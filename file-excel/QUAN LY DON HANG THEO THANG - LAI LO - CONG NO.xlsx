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comments3.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7.xml" ContentType="application/vnd.openxmlformats-officedocument.drawing+xml"/>
  <Override PartName="/xl/drawings/vmlDrawing6.vml" ContentType="application/vnd.openxmlformats-officedocument.vmlDrawing"/>
  <Override PartName="/xl/drawings/drawing6.xml" ContentType="application/vnd.openxmlformats-officedocument.drawing+xml"/>
  <Override PartName="/xl/drawings/vmlDrawing5.vml" ContentType="application/vnd.openxmlformats-officedocument.vmlDrawing"/>
  <Override PartName="/xl/drawings/drawing5.xml" ContentType="application/vnd.openxmlformats-officedocument.drawing+xml"/>
  <Override PartName="/xl/drawings/vmlDrawing4.vml" ContentType="application/vnd.openxmlformats-officedocument.vmlDrawing"/>
  <Override PartName="/xl/drawings/drawing9.xml" ContentType="application/vnd.openxmlformats-officedocument.drawing+xml"/>
  <Override PartName="/xl/drawings/vmlDrawing8.vml" ContentType="application/vnd.openxmlformats-officedocument.vmlDrawing"/>
  <Override PartName="/xl/drawings/drawing8.xml" ContentType="application/vnd.openxmlformats-officedocument.drawing+xml"/>
  <Override PartName="/xl/drawings/vmlDrawing7.vml" ContentType="application/vnd.openxmlformats-officedocument.vmlDrawing"/>
  <Override PartName="/xl/drawings/drawing10.xml" ContentType="application/vnd.openxmlformats-officedocument.drawing+xml"/>
  <Override PartName="/xl/drawings/drawing1.xml" ContentType="application/vnd.openxmlformats-officedocument.drawing+xml"/>
  <Override PartName="/xl/drawings/drawing4.xml" ContentType="application/vnd.openxmlformats-officedocument.drawing+xml"/>
  <Override PartName="/xl/drawings/vmlDrawing3.vml" ContentType="application/vnd.openxmlformats-officedocument.vmlDrawing"/>
  <Override PartName="/xl/drawings/drawing1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1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BẢNG GIÁ GỐC" sheetId="2" state="visible" r:id="rId4"/>
    <sheet name="THÁNG 6" sheetId="3" state="visible" r:id="rId5"/>
    <sheet name="THÁNG 7" sheetId="4" state="visible" r:id="rId6"/>
    <sheet name="THÁNG 8" sheetId="5" state="visible" r:id="rId7"/>
    <sheet name="THÁNG 9" sheetId="6" state="visible" r:id="rId8"/>
    <sheet name="THÁNG 10" sheetId="7" state="visible" r:id="rId9"/>
    <sheet name="THÁNG 11" sheetId="8" state="visible" r:id="rId10"/>
    <sheet name="THÁNG 12" sheetId="9" state="visible" r:id="rId11"/>
    <sheet name="DỮ LIỆU" sheetId="10" state="hidden" r:id="rId12"/>
    <sheet name="BÁO CÁO NĂM" sheetId="11" state="visible" r:id="rId13"/>
    <sheet name="LÃI LỖ" sheetId="12" state="visible" r:id="rId14"/>
    <sheet name="THANH TOÁN" sheetId="13" state="visible" r:id="rId15"/>
    <sheet name="CÔNG NỢ" sheetId="14" state="visible" r:id="rId16"/>
    <sheet name="KHÁCH HÀNG" sheetId="15" state="visible" r:id="rId17"/>
    <sheet name="KHÁCH LẤY VAT" sheetId="16" state="visible" r:id="rId18"/>
    <sheet name="KHÁCH KHÔNG VAT" sheetId="17" state="visible" r:id="rId19"/>
  </sheets>
  <definedNames>
    <definedName function="false" hidden="true" localSheetId="1" name="_xlnm._FilterDatabase" vbProcedure="false">'BẢNG GIÁ GỐC'!$A$4:$G$254</definedName>
    <definedName function="false" hidden="true" localSheetId="13" name="_xlnm._FilterDatabase" vbProcedure="false">'CÔNG NỢ'!$A$5:$L$255</definedName>
    <definedName function="false" hidden="true" localSheetId="14" name="_xlnm._FilterDatabase" vbProcedure="false">'KHÁCH HÀNG'!$A$5:$N$355</definedName>
    <definedName function="false" hidden="true" localSheetId="16" name="_xlnm._FilterDatabase" vbProcedure="false">'KHÁCH KHÔNG VAT'!$A$5:$L$305</definedName>
    <definedName function="false" hidden="true" localSheetId="15" name="_xlnm._FilterDatabase" vbProcedure="false">'KHÁCH LẤY VAT'!$A$5:$N$205</definedName>
    <definedName function="false" hidden="true" localSheetId="6" name="_xlnm._FilterDatabase" vbProcedure="false">'THÁNG 10'!$A$9:$X$159</definedName>
    <definedName function="false" hidden="true" localSheetId="7" name="_xlnm._FilterDatabase" vbProcedure="false">'THÁNG 11'!$A$9:$X$159</definedName>
    <definedName function="false" hidden="true" localSheetId="8" name="_xlnm._FilterDatabase" vbProcedure="false">'THÁNG 12'!$A$9:$X$159</definedName>
    <definedName function="false" hidden="true" localSheetId="2" name="_xlnm._FilterDatabase" vbProcedure="false">'THÁNG 6'!$A$9:$X$159</definedName>
    <definedName function="false" hidden="true" localSheetId="3" name="_xlnm._FilterDatabase" vbProcedure="false">'THÁNG 7'!$A$9:$X$159</definedName>
    <definedName function="false" hidden="true" localSheetId="4" name="_xlnm._FilterDatabase" vbProcedure="false">'THÁNG 8'!$A$9:$X$159</definedName>
    <definedName function="false" hidden="true" localSheetId="5" name="_xlnm._FilterDatabase" vbProcedure="false">'THÁNG 9'!$A$9:$X$159</definedName>
    <definedName function="false" hidden="false" name="DS_SANPHAM" vbProcedure="false">'BẢNG GIÁ GỐC'!$A$5:$A$254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TÊN SẢN PHẨM là khóa nối sang các sheet tháng. Không đặt trùng tên, không thừa dấu cách.</t>
        </r>
      </text>
    </comment>
    <comment ref="C4" authorId="0">
      <text>
        <r>
          <rPr>
            <sz val="10"/>
            <rFont val="Arial"/>
            <family val="2"/>
          </rPr>
          <t xml:space="preserve">Giá vốn 1 sản phẩm. Bỏ trống thì đơn hàng không tính được lãi lỗ.</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J9" authorId="0">
      <text>
        <r>
          <rPr>
            <sz val="10"/>
            <rFont val="Arial"/>
            <family val="2"/>
          </rPr>
          <t xml:space="preserve">TỰ ĐỘNG lấy từ BẢNG GIÁ GỐC theo TÊN SẢN PHẨM. Không gõ tay.</t>
        </r>
      </text>
    </comment>
    <comment ref="Q9" authorId="0">
      <text>
        <r>
          <rPr>
            <sz val="10"/>
            <rFont val="Arial"/>
            <family val="2"/>
          </rPr>
          <t xml:space="preserve">Cộng dồn tất cả các lần khách đã trả cho đơn này (cọc + trả thêm).</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9" authorId="0">
      <text>
        <r>
          <rPr>
            <sz val="10"/>
            <rFont val="Arial"/>
            <family val="2"/>
          </rPr>
          <t xml:space="preserve">TỰ ĐỘNG lấy từ BẢNG GIÁ GỐC theo TÊN SẢN PHẨM. Không gõ tay.</t>
        </r>
      </text>
    </comment>
    <comment ref="Q9" authorId="0">
      <text>
        <r>
          <rPr>
            <sz val="10"/>
            <rFont val="Arial"/>
            <family val="2"/>
          </rPr>
          <t xml:space="preserve">Cộng dồn tất cả các lần khách đã trả cho đơn này (cọc + trả thêm).</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J9" authorId="0">
      <text>
        <r>
          <rPr>
            <sz val="10"/>
            <rFont val="Arial"/>
            <family val="2"/>
          </rPr>
          <t xml:space="preserve">TỰ ĐỘNG lấy từ BẢNG GIÁ GỐC theo TÊN SẢN PHẨM. Không gõ tay.</t>
        </r>
      </text>
    </comment>
    <comment ref="Q9" authorId="0">
      <text>
        <r>
          <rPr>
            <sz val="10"/>
            <rFont val="Arial"/>
            <family val="2"/>
          </rPr>
          <t xml:space="preserve">Cộng dồn tất cả các lần khách đã trả cho đơn này (cọc + trả thêm).</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J9" authorId="0">
      <text>
        <r>
          <rPr>
            <sz val="10"/>
            <rFont val="Arial"/>
            <family val="2"/>
          </rPr>
          <t xml:space="preserve">TỰ ĐỘNG lấy từ BẢNG GIÁ GỐC theo TÊN SẢN PHẨM. Không gõ tay.</t>
        </r>
      </text>
    </comment>
    <comment ref="Q9" authorId="0">
      <text>
        <r>
          <rPr>
            <sz val="10"/>
            <rFont val="Arial"/>
            <family val="2"/>
          </rPr>
          <t xml:space="preserve">Cộng dồn tất cả các lần khách đã trả cho đơn này (cọc + trả thêm).</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J9" authorId="0">
      <text>
        <r>
          <rPr>
            <sz val="10"/>
            <rFont val="Arial"/>
            <family val="2"/>
          </rPr>
          <t xml:space="preserve">TỰ ĐỘNG lấy từ BẢNG GIÁ GỐC theo TÊN SẢN PHẨM. Không gõ tay.</t>
        </r>
      </text>
    </comment>
    <comment ref="Q9" authorId="0">
      <text>
        <r>
          <rPr>
            <sz val="10"/>
            <rFont val="Arial"/>
            <family val="2"/>
          </rPr>
          <t xml:space="preserve">Cộng dồn tất cả các lần khách đã trả cho đơn này (cọc + trả thêm).</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J9" authorId="0">
      <text>
        <r>
          <rPr>
            <sz val="10"/>
            <rFont val="Arial"/>
            <family val="2"/>
          </rPr>
          <t xml:space="preserve">TỰ ĐỘNG lấy từ BẢNG GIÁ GỐC theo TÊN SẢN PHẨM. Không gõ tay.</t>
        </r>
      </text>
    </comment>
    <comment ref="Q9" authorId="0">
      <text>
        <r>
          <rPr>
            <sz val="10"/>
            <rFont val="Arial"/>
            <family val="2"/>
          </rPr>
          <t xml:space="preserve">Cộng dồn tất cả các lần khách đã trả cho đơn này (cọc + trả thêm).</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J9" authorId="0">
      <text>
        <r>
          <rPr>
            <sz val="10"/>
            <rFont val="Arial"/>
            <family val="2"/>
          </rPr>
          <t xml:space="preserve">TỰ ĐỘNG lấy từ BẢNG GIÁ GỐC theo TÊN SẢN PHẨM. Không gõ tay.</t>
        </r>
      </text>
    </comment>
    <comment ref="Q9" authorId="0">
      <text>
        <r>
          <rPr>
            <sz val="10"/>
            <rFont val="Arial"/>
            <family val="2"/>
          </rPr>
          <t xml:space="preserve">Cộng dồn tất cả các lần khách đã trả cho đơn này (cọc + trả thêm).</t>
        </r>
      </text>
    </comment>
  </commentList>
</comments>
</file>

<file path=xl/sharedStrings.xml><?xml version="1.0" encoding="utf-8"?>
<sst xmlns="http://schemas.openxmlformats.org/spreadsheetml/2006/main" count="1040" uniqueCount="498">
  <si>
    <t xml:space="preserve">HƯỚNG DẪN – FILE QUẢN LÝ ĐƠN HÀNG, CHI PHÍ, LÃI LỖ &amp; CÔNG NỢ THEO THÁNG</t>
  </si>
  <si>
    <t xml:space="preserve">Nhân viên chỉ nhập Ô MÀU VÀNG ở sheet BẢNG GIÁ GỐC và 7 sheet THÁNG. Mọi báo cáo tự chạy.</t>
  </si>
  <si>
    <t xml:space="preserve">A. SHEET PHẢI NHẬP (thẻ màu vàng)</t>
  </si>
  <si>
    <t xml:space="preserve">BẢNG GIÁ GỐC</t>
  </si>
  <si>
    <t xml:space="preserve">Mỗi sản phẩm 1 dòng: TÊN SẢN PHẨM + GIÁ GỐC (giá vốn) + GIÁ BÁN GỢI Ý. Đây là nơi duy nhất khai giá gốc; các sheet tháng tự lấy về để tính lãi lỗ.</t>
  </si>
  <si>
    <t xml:space="preserve">THÁNG 6 → THÁNG 12</t>
  </si>
  <si>
    <t xml:space="preserve">Mỗi tháng 1 sheet. Nhập đơn hàng vào bảng bên trái (từ dòng 10) và CHI PHÍ KHÁC vào khối vàng bên phải (cột Z). Báo cáo của tháng nằm ngay đầu sheet, tự cập nhật.</t>
  </si>
  <si>
    <t xml:space="preserve">B. SHEET TỰ ĐỘNG (thẻ xanh – không gõ gì)</t>
  </si>
  <si>
    <t xml:space="preserve">BÁO CÁO NĂM</t>
  </si>
  <si>
    <t xml:space="preserve">Doanh thu, VAT, chi phí, lãi lỗ, đã thu, còn nợ của cả 7 tháng và tổng cả năm.</t>
  </si>
  <si>
    <t xml:space="preserve">LÃI LỖ</t>
  </si>
  <si>
    <t xml:space="preserve">Tổng quan lãi lỗ, lãi lỗ theo tháng và lãi lỗ theo từng sản phẩm.</t>
  </si>
  <si>
    <t xml:space="preserve">THANH TOÁN</t>
  </si>
  <si>
    <t xml:space="preserve">Tiền hàng ĐÃ thanh toán / CHƯA thanh toán theo tháng, kèm danh sách đơn đã thu đủ.</t>
  </si>
  <si>
    <t xml:space="preserve">CÔNG NỢ</t>
  </si>
  <si>
    <t xml:space="preserve">Danh sách đơn khách còn nợ tiền, kèm số ngày kể từ ngày đặt.</t>
  </si>
  <si>
    <t xml:space="preserve">KHÁCH HÀNG</t>
  </si>
  <si>
    <t xml:space="preserve">Tự gom danh sách khách: đã mua bao nhiêu, đã trả, còn nợ, lãi thu được từ khách.</t>
  </si>
  <si>
    <t xml:space="preserve">KHÁCH LẤY VAT</t>
  </si>
  <si>
    <t xml:space="preserve">Các đơn có VAT, kèm tiền thuế từng đơn và tổng thuế phải xuất hóa đơn.</t>
  </si>
  <si>
    <t xml:space="preserve">KHÁCH KHÔNG VAT</t>
  </si>
  <si>
    <t xml:space="preserve">Các đơn không lấy hóa đơn VAT.</t>
  </si>
  <si>
    <t xml:space="preserve">C. QUY TẮC MÀU</t>
  </si>
  <si>
    <t xml:space="preserve">Ô MÀU VÀNG</t>
  </si>
  <si>
    <t xml:space="preserve">Nhân viên nhập tay.</t>
  </si>
  <si>
    <t xml:space="preserve">Ô MÀU XANH NHẠT</t>
  </si>
  <si>
    <t xml:space="preserve">Máy tự tính – KHÔNG gõ đè, sẽ mất công thức.</t>
  </si>
  <si>
    <t xml:space="preserve">Ô MÀU CAM (CẢNH BÁO)</t>
  </si>
  <si>
    <t xml:space="preserve">Dòng thiếu dữ liệu hoặc đang lỗ. Xử lý hết cảnh báo là số liệu chuẩn.</t>
  </si>
  <si>
    <t xml:space="preserve">D. CÔNG THỨC ĐANG CHẠY</t>
  </si>
  <si>
    <t xml:space="preserve">GIÁ GỐC / SP</t>
  </si>
  <si>
    <t xml:space="preserve">Tự dò từ BẢNG GIÁ GỐC theo TÊN SẢN PHẨM (VLOOKUP). Chưa khai giá gốc thì để trống và báo cảnh báo.</t>
  </si>
  <si>
    <t xml:space="preserve">TIỀN HÀNG</t>
  </si>
  <si>
    <t xml:space="preserve">SỐ LƯỢNG × GIÁ BÁN/SP   (giá bán nhập là giá CHƯA có VAT)</t>
  </si>
  <si>
    <t xml:space="preserve">TIỀN VAT</t>
  </si>
  <si>
    <t xml:space="preserve">TIỀN HÀNG × THUẾ SUẤT   (chọn Không lấy VAT / VAT 5% / VAT 8% / VAT 10%)</t>
  </si>
  <si>
    <t xml:space="preserve">TỔNG PHẢI THU</t>
  </si>
  <si>
    <t xml:space="preserve">TIỀN HÀNG + TIỀN VAT</t>
  </si>
  <si>
    <t xml:space="preserve">CÒN NỢ</t>
  </si>
  <si>
    <t xml:space="preserve">TỔNG PHẢI THU − ĐÃ THANH TOÁN</t>
  </si>
  <si>
    <t xml:space="preserve">TỔNG VỐN (giá vốn hàng bán)</t>
  </si>
  <si>
    <t xml:space="preserve">SỐ LƯỢNG × GIÁ GỐC/SP</t>
  </si>
  <si>
    <t xml:space="preserve">LÃI / LỖ trên từng đơn</t>
  </si>
  <si>
    <t xml:space="preserve">TIỀN HÀNG − TỔNG VỐN</t>
  </si>
  <si>
    <t xml:space="preserve">TỔNG CHI PHÍ THÁNG</t>
  </si>
  <si>
    <t xml:space="preserve">GIÁ VỐN HÀNG BÁN của tháng + CHI PHÍ KHÁC của tháng</t>
  </si>
  <si>
    <t xml:space="preserve">LÃI / LỖ THỰC của tháng</t>
  </si>
  <si>
    <t xml:space="preserve">DOANH THU TIỀN HÀNG − TỔNG CHI PHÍ THÁNG</t>
  </si>
  <si>
    <t xml:space="preserve">E. VIỆC CẦN LÀM NGAY</t>
  </si>
  <si>
    <t xml:space="preserve">Điền GIÁ GỐC còn thiếu</t>
  </si>
  <si>
    <t xml:space="preserve">Dữ liệu cũ có 31 tên sản phẩm chưa từng khai giá vốn. Vào BẢNG GIÁ GỐC điền cột GIÁ GỐC/SP (ô vàng) là toàn bộ lãi lỗ hiện ra ngay.</t>
  </si>
  <si>
    <t xml:space="preserve">Giá bán đã gồm VAT</t>
  </si>
  <si>
    <t xml:space="preserve">Nếu báo khách giá đã gồm 8% VAT thì lấy giá đó chia 1,08 rồi mới nhập vào cột GIÁ BÁN/SP.</t>
  </si>
  <si>
    <t xml:space="preserve">Thêm sản phẩm mới</t>
  </si>
  <si>
    <t xml:space="preserve">Thêm 1 dòng ở BẢNG GIÁ GỐC là danh sách chọn trong sheet tháng tự có ngay.</t>
  </si>
  <si>
    <t xml:space="preserve">BẢNG GIÁ GỐC SẢN PHẨM – NHẬP GIÁ VỐN TẠI ĐÂY</t>
  </si>
  <si>
    <t xml:space="preserve">Khai 1 lần cho mỗi sản phẩm. Các sheet tháng tự lấy GIÁ GỐC về để tính lãi lỗ.</t>
  </si>
  <si>
    <t xml:space="preserve">SỐ SẢN PHẨM CHƯA CÓ GIÁ GỐC:</t>
  </si>
  <si>
    <t xml:space="preserve">← điền hết cột GIÁ GỐC là toàn bộ báo cáo lãi lỗ chạy đủ</t>
  </si>
  <si>
    <t xml:space="preserve">TÊN SẢN PHẨM</t>
  </si>
  <si>
    <t xml:space="preserve">QUY CÁCH</t>
  </si>
  <si>
    <t xml:space="preserve">GIÁ GỐC / SP (đ)</t>
  </si>
  <si>
    <t xml:space="preserve">GIÁ BÁN GỢI Ý (đ)</t>
  </si>
  <si>
    <t xml:space="preserve">LÃI GỢI Ý / SP (đ)</t>
  </si>
  <si>
    <t xml:space="preserve">% LÃI GỢI Ý</t>
  </si>
  <si>
    <t xml:space="preserve">GHI CHÚ</t>
  </si>
  <si>
    <t xml:space="preserve">GẤU TEDDY 25CM TRẮNG</t>
  </si>
  <si>
    <t xml:space="preserve">25CM</t>
  </si>
  <si>
    <t xml:space="preserve">Danh mục sản phẩm của file cũ</t>
  </si>
  <si>
    <t xml:space="preserve">GẤU TEDDY 30CM</t>
  </si>
  <si>
    <t xml:space="preserve">30CM</t>
  </si>
  <si>
    <t xml:space="preserve">GẤU TEDDY 20CM LÔNG MỊN</t>
  </si>
  <si>
    <t xml:space="preserve">20CM</t>
  </si>
  <si>
    <t xml:space="preserve">GỐI ÔM CỎ</t>
  </si>
  <si>
    <t xml:space="preserve">GẤU TEDDY 20CM LÔNG XÙ</t>
  </si>
  <si>
    <t xml:space="preserve">GẤU TEDDY 27CM NÂU</t>
  </si>
  <si>
    <t xml:space="preserve">27CM</t>
  </si>
  <si>
    <t xml:space="preserve">GẤU TỐT NGHIỆP</t>
  </si>
  <si>
    <t xml:space="preserve">GẤU TEDY INLOGO HOA THÁI</t>
  </si>
  <si>
    <t xml:space="preserve">GẤU TRÁI TIM INLOGO 1 MẶT HOA THÁI</t>
  </si>
  <si>
    <t xml:space="preserve">40CM</t>
  </si>
  <si>
    <t xml:space="preserve">GẤU BÔNG LENA TRÚC</t>
  </si>
  <si>
    <t xml:space="preserve">CÁ MẬP INLOGO</t>
  </si>
  <si>
    <t xml:space="preserve">MẦM INLOGO / ĐÀO TIÊN INLOGO</t>
  </si>
  <si>
    <t xml:space="preserve">CHUỐI INLOGO</t>
  </si>
  <si>
    <t xml:space="preserve">35CM</t>
  </si>
  <si>
    <t xml:space="preserve">TEDDY TRẮNG QUẢNG CHÂU INLOGO</t>
  </si>
  <si>
    <t xml:space="preserve">Bình giữ nhiệt in logo</t>
  </si>
  <si>
    <t xml:space="preserve">Lấy từ đơn hàng cũ – CẦN ĐIỀN GIÁ GỐC</t>
  </si>
  <si>
    <t xml:space="preserve">Bút ký khắc tên</t>
  </si>
  <si>
    <t xml:space="preserve">CÁ BABY SHARK</t>
  </si>
  <si>
    <t xml:space="preserve">Gấu HT 30cm</t>
  </si>
  <si>
    <t xml:space="preserve">Sổ tay da in logo</t>
  </si>
  <si>
    <t xml:space="preserve">gấu 2 loại</t>
  </si>
  <si>
    <t xml:space="preserve">gấu 30 cm nhà HT</t>
  </si>
  <si>
    <t xml:space="preserve">gấu 30 cm nâu in 2 mặt</t>
  </si>
  <si>
    <t xml:space="preserve">gấu 4 loại, mỗi loại 5 con</t>
  </si>
  <si>
    <t xml:space="preserve">gấu mẫu</t>
  </si>
  <si>
    <t xml:space="preserve">gấu ngồi lông mịn</t>
  </si>
  <si>
    <t xml:space="preserve">gấu ngồi lông mịn kèm mũ tn</t>
  </si>
  <si>
    <t xml:space="preserve">gấu ngồi lông mịn, gấu panda</t>
  </si>
  <si>
    <t xml:space="preserve">gấu nâu</t>
  </si>
  <si>
    <t xml:space="preserve">gấu nâu 25cm</t>
  </si>
  <si>
    <t xml:space="preserve">gấu nâu 30cm</t>
  </si>
  <si>
    <t xml:space="preserve">gấu nâu ngồi</t>
  </si>
  <si>
    <t xml:space="preserve">gấu nâu tốt nghiệp</t>
  </si>
  <si>
    <t xml:space="preserve">gấu teddy trắng</t>
  </si>
  <si>
    <t xml:space="preserve">gấu trắng</t>
  </si>
  <si>
    <t xml:space="preserve">gấu trắng, gấu nâu</t>
  </si>
  <si>
    <t xml:space="preserve">gấy nâu 25cm</t>
  </si>
  <si>
    <t xml:space="preserve">gối chữ U</t>
  </si>
  <si>
    <t xml:space="preserve">gối chữ U màu nâu</t>
  </si>
  <si>
    <t xml:space="preserve">gối chữ U màu xám</t>
  </si>
  <si>
    <t xml:space="preserve">móc khóa</t>
  </si>
  <si>
    <t xml:space="preserve">móc khóa (ko lấy nữa do lâu quá)</t>
  </si>
  <si>
    <t xml:space="preserve">mẫu gấu</t>
  </si>
  <si>
    <t xml:space="preserve">THÁNG 6/2026 – NHẬP ĐƠN HÀNG &amp; BÁO CÁO THÁNG</t>
  </si>
  <si>
    <t xml:space="preserve">Chỉ gõ Ô MÀU VÀNG. Chi phí khác của tháng nhập ở khối vàng bên phải (cột Z). Tiền hàng, VAT, còn nợ, giá vốn, lãi lỗ đều tự tính.</t>
  </si>
  <si>
    <t xml:space="preserve">SỐ ĐƠN HÀNG</t>
  </si>
  <si>
    <t xml:space="preserve">DOANH THU TIỀN HÀNG (chưa VAT) (đ)</t>
  </si>
  <si>
    <t xml:space="preserve">CHI PHÍ – GIÁ VỐN HÀNG BÁN (đ)</t>
  </si>
  <si>
    <t xml:space="preserve">CHI PHÍ KHÁC TRONG THÁNG 6 (NHẬP TAY)</t>
  </si>
  <si>
    <t xml:space="preserve">SỐ KHÁCH HÀNG</t>
  </si>
  <si>
    <t xml:space="preserve">TIỀN VAT (đ)</t>
  </si>
  <si>
    <t xml:space="preserve">CHI PHÍ KHÁC TRONG THÁNG (đ)</t>
  </si>
  <si>
    <t xml:space="preserve">NGÀY</t>
  </si>
  <si>
    <t xml:space="preserve">LOẠI CHI PHÍ</t>
  </si>
  <si>
    <t xml:space="preserve">NỘI DUNG</t>
  </si>
  <si>
    <t xml:space="preserve">SỐ TIỀN (đ)</t>
  </si>
  <si>
    <t xml:space="preserve">SỐ ĐƠN ĐÃ THU ĐỦ</t>
  </si>
  <si>
    <t xml:space="preserve">TỔNG PHẢI THU (gồm VAT) (đ)</t>
  </si>
  <si>
    <t xml:space="preserve">TỔNG CHI PHÍ THÁNG (đ)</t>
  </si>
  <si>
    <t xml:space="preserve">SỐ ĐƠN CÒN NỢ</t>
  </si>
  <si>
    <t xml:space="preserve">TIỀN HÀNG ĐÃ THANH TOÁN (đ)</t>
  </si>
  <si>
    <t xml:space="preserve">LÃI / LỖ THỰC CỦA THÁNG (đ)</t>
  </si>
  <si>
    <t xml:space="preserve">% ĐÃ THU</t>
  </si>
  <si>
    <t xml:space="preserve">TIỀN HÀNG CHƯA THANH TOÁN (đ)</t>
  </si>
  <si>
    <t xml:space="preserve">% LÃI THỰC</t>
  </si>
  <si>
    <t xml:space="preserve">STT</t>
  </si>
  <si>
    <t xml:space="preserve">NGÀY ĐẶT</t>
  </si>
  <si>
    <t xml:space="preserve">TÊN KHÁCH HÀNG</t>
  </si>
  <si>
    <t xml:space="preserve">SỐ ĐIỆN THOẠI</t>
  </si>
  <si>
    <t xml:space="preserve">CÔNG TY (nếu có)</t>
  </si>
  <si>
    <t xml:space="preserve">MÃ SỐ THUẾ</t>
  </si>
  <si>
    <t xml:space="preserve">ĐỊA CHỈ GIAO HÀNG</t>
  </si>
  <si>
    <t xml:space="preserve">SỐ LƯỢNG</t>
  </si>
  <si>
    <t xml:space="preserve">GIÁ BÁN / SP (đ)
(chưa VAT)</t>
  </si>
  <si>
    <t xml:space="preserve">TIỀN HÀNG (đ)</t>
  </si>
  <si>
    <t xml:space="preserve">LẤY VAT?</t>
  </si>
  <si>
    <t xml:space="preserve">THUẾ SUẤT</t>
  </si>
  <si>
    <t xml:space="preserve">TỔNG PHẢI THU (đ)</t>
  </si>
  <si>
    <t xml:space="preserve">ĐÃ THANH TOÁN (đ)</t>
  </si>
  <si>
    <t xml:space="preserve">CÒN NỢ (đ)</t>
  </si>
  <si>
    <t xml:space="preserve">TÌNH TRẠNG</t>
  </si>
  <si>
    <t xml:space="preserve">TỔNG VỐN (đ)</t>
  </si>
  <si>
    <t xml:space="preserve">LÃI / LỖ (đ)</t>
  </si>
  <si>
    <t xml:space="preserve">% LÃI</t>
  </si>
  <si>
    <t xml:space="preserve">CẢNH BÁO</t>
  </si>
  <si>
    <t xml:space="preserve">Nguyễn Văn An</t>
  </si>
  <si>
    <t xml:space="preserve">0901234567</t>
  </si>
  <si>
    <t xml:space="preserve">Công ty TNHH Thương Mại ABC</t>
  </si>
  <si>
    <t xml:space="preserve">0312345678</t>
  </si>
  <si>
    <t xml:space="preserve">12 Nguyễn Trãi, Thanh Xuân, Hà Nội</t>
  </si>
  <si>
    <t xml:space="preserve">Không lấy VAT</t>
  </si>
  <si>
    <t xml:space="preserve">Giao đợt 1 (VÍ DỤ MẪU) | chuyển từ Tháng 6 dòng 10</t>
  </si>
  <si>
    <t xml:space="preserve">Trần Thị Bích</t>
  </si>
  <si>
    <t xml:space="preserve">0987654321</t>
  </si>
  <si>
    <t xml:space="preserve">Công ty CP Đầu Tư XYZ</t>
  </si>
  <si>
    <t xml:space="preserve">0109876543</t>
  </si>
  <si>
    <t xml:space="preserve">45 Lê Lợi, Quận 1, TP.HCM</t>
  </si>
  <si>
    <t xml:space="preserve">(VÍ DỤ MẪU) | chuyển từ Tháng 6 dòng 92</t>
  </si>
  <si>
    <t xml:space="preserve">Lê Minh Cường</t>
  </si>
  <si>
    <t xml:space="preserve">0912345678</t>
  </si>
  <si>
    <t xml:space="preserve">Công ty TNHH DEF</t>
  </si>
  <si>
    <t xml:space="preserve">0301122334</t>
  </si>
  <si>
    <t xml:space="preserve">88 Trần Phú, Hải Châu, Đà Nẵng</t>
  </si>
  <si>
    <t xml:space="preserve">Khách quen (VÍ DỤ MẪU) | chuyển từ Tháng 6 dòng 174</t>
  </si>
  <si>
    <t xml:space="preserve">TỔNG CHI PHÍ KHÁC</t>
  </si>
  <si>
    <t xml:space="preserve">THÁNG 7/2026 – NHẬP ĐƠN HÀNG &amp; BÁO CÁO THÁNG</t>
  </si>
  <si>
    <t xml:space="preserve">CHI PHÍ KHÁC TRONG THÁNG 7 (NHẬP TAY)</t>
  </si>
  <si>
    <t xml:space="preserve">A Tài - Huyndai - 20c</t>
  </si>
  <si>
    <t xml:space="preserve">0935494005</t>
  </si>
  <si>
    <t xml:space="preserve">461 Tây sơn, Quy Nhơn Nam, Gia lai</t>
  </si>
  <si>
    <t xml:space="preserve">chuyển từ Tháng 7 dòng 10</t>
  </si>
  <si>
    <t xml:space="preserve">BGB - Cô An Mến Tặng</t>
  </si>
  <si>
    <t xml:space="preserve">0903535291</t>
  </si>
  <si>
    <t xml:space="preserve">658 đường 2/9 Hải châu - Đà Nẵng</t>
  </si>
  <si>
    <t xml:space="preserve">chuyển từ Tháng 7 dòng 11</t>
  </si>
  <si>
    <t xml:space="preserve">BGB - GẤU TỐT NGHIỆP AMES EL</t>
  </si>
  <si>
    <t xml:space="preserve">0865895498</t>
  </si>
  <si>
    <t xml:space="preserve">18 Phan Chu Trinh, Hạc Thành, Thanh Hóa</t>
  </si>
  <si>
    <t xml:space="preserve">VAT 8%</t>
  </si>
  <si>
    <t xml:space="preserve">chuyển từ Tháng 7 dòng 12</t>
  </si>
  <si>
    <t xml:space="preserve">C Trang Jade</t>
  </si>
  <si>
    <t xml:space="preserve">0799740948</t>
  </si>
  <si>
    <t xml:space="preserve">số 9 đường Trương Vĩnh Kỳ, Vùng Tàu, HCM</t>
  </si>
  <si>
    <t xml:space="preserve">chuyển từ Tháng 7 dòng 13</t>
  </si>
  <si>
    <t xml:space="preserve">Điện máy Ngọc Hiển</t>
  </si>
  <si>
    <t xml:space="preserve">097579661</t>
  </si>
  <si>
    <t xml:space="preserve">Cổng chợ Phú Cường - Xã Phú Thịnh - Tỉnh Thái Nguyên</t>
  </si>
  <si>
    <t xml:space="preserve">chuyển từ Tháng 7 dòng 14</t>
  </si>
  <si>
    <t xml:space="preserve">Tạ Quang Bửu</t>
  </si>
  <si>
    <t xml:space="preserve">0347713942</t>
  </si>
  <si>
    <t xml:space="preserve">TRƯỜNG THCS-THPT TẠ QUANG BỬU</t>
  </si>
  <si>
    <t xml:space="preserve">0106193778</t>
  </si>
  <si>
    <t xml:space="preserve">"94A Lê Thanh Nghị, Hà Nội Đối diện sân vân động bách khoa "</t>
  </si>
  <si>
    <t xml:space="preserve">gộp tiền ship vào gấu | chuyển từ Tháng 7 dòng 15</t>
  </si>
  <si>
    <t xml:space="preserve">C Lan Anh</t>
  </si>
  <si>
    <t xml:space="preserve">0989472201</t>
  </si>
  <si>
    <t xml:space="preserve">thôn Bình Phú, xã Việt Yên, tỉnh Hưng Yên.</t>
  </si>
  <si>
    <t xml:space="preserve">chuyển từ Tháng 7 dòng 16</t>
  </si>
  <si>
    <t xml:space="preserve">BGB - SPA ĐẸP TPHCM</t>
  </si>
  <si>
    <t xml:space="preserve">0399871317</t>
  </si>
  <si>
    <t xml:space="preserve">134 Liêu Bình Dương, Thị trấn Củ Chi, TPHCM</t>
  </si>
  <si>
    <t xml:space="preserve">chuyển từ Tháng 7 dòng 17</t>
  </si>
  <si>
    <t xml:space="preserve">NHA KHOA VÂN ANH</t>
  </si>
  <si>
    <t xml:space="preserve">0943599705</t>
  </si>
  <si>
    <t xml:space="preserve">CÔNG TY CỔ PHẦN TPA DENTAL</t>
  </si>
  <si>
    <t xml:space="preserve">0901232239</t>
  </si>
  <si>
    <t xml:space="preserve">nha khoa Vân Anh, 301 Minh Khai, Từ Sơn, Bắc Ninh</t>
  </si>
  <si>
    <t xml:space="preserve">lỗi logo trả lại cho khách 200k | chuyển từ Tháng 7 dòng 41</t>
  </si>
  <si>
    <t xml:space="preserve">SPA TUYẾT LISA</t>
  </si>
  <si>
    <t xml:space="preserve">0975299444</t>
  </si>
  <si>
    <t xml:space="preserve">53 nguyễn văn bổng phường Khuê Trung đà nẵng</t>
  </si>
  <si>
    <t xml:space="preserve">chuyển từ Tháng 7 dòng 42</t>
  </si>
  <si>
    <t xml:space="preserve">LÀM ĐẸP THỦY MỘC</t>
  </si>
  <si>
    <t xml:space="preserve">0909377298</t>
  </si>
  <si>
    <t xml:space="preserve">F12/21 Quách Điêu - tổ 25 - Vĩnh Lộc - tpHCM</t>
  </si>
  <si>
    <t xml:space="preserve">chuyển từ Tháng 7 dòng 43</t>
  </si>
  <si>
    <t xml:space="preserve">HAU - ĐHKTHN</t>
  </si>
  <si>
    <t xml:space="preserve">ĐHKTHN</t>
  </si>
  <si>
    <t xml:space="preserve">chuyển từ Tháng 7 dòng 44</t>
  </si>
  <si>
    <t xml:space="preserve">THCS - THPT HÀ THÀNH</t>
  </si>
  <si>
    <t xml:space="preserve">0916283845</t>
  </si>
  <si>
    <t xml:space="preserve">Trường THCS - THPT Hà Thành</t>
  </si>
  <si>
    <t xml:space="preserve">0104102366</t>
  </si>
  <si>
    <t xml:space="preserve">36A Phạm Văn Đồng, Phường Nghĩa Đô, Hà Nội</t>
  </si>
  <si>
    <t xml:space="preserve">chuyển từ Tháng 7 dòng 45</t>
  </si>
  <si>
    <t xml:space="preserve">VTV10</t>
  </si>
  <si>
    <t xml:space="preserve">0962866186</t>
  </si>
  <si>
    <t xml:space="preserve">PGĐ VTV10 - 407 đường 30/4, Phường Tân An, TP Cần Thơ</t>
  </si>
  <si>
    <t xml:space="preserve">chuyển từ Tháng 7 dòng 46</t>
  </si>
  <si>
    <t xml:space="preserve">BGB - Melody</t>
  </si>
  <si>
    <t xml:space="preserve">đơn này ko lãi | chuyển từ Tháng 7 dòng 47</t>
  </si>
  <si>
    <t xml:space="preserve">chị Sang Phú Quốc</t>
  </si>
  <si>
    <t xml:space="preserve">0976166217</t>
  </si>
  <si>
    <t xml:space="preserve">Căn TH1-11, GrandWorld Khu Bãi Dài, X.Gành Dầu, H.Phú Quốc, T.Kiên Giang</t>
  </si>
  <si>
    <t xml:space="preserve">chuyển từ Tháng 7 dòng 48</t>
  </si>
  <si>
    <t xml:space="preserve">Chị Thúy - Gối U</t>
  </si>
  <si>
    <t xml:space="preserve">0978939891</t>
  </si>
  <si>
    <t xml:space="preserve">Toà GS1- vinhome smart city - Tây Mỗ - Hà Nội</t>
  </si>
  <si>
    <t xml:space="preserve">chuyển từ Tháng 7 dòng 49</t>
  </si>
  <si>
    <t xml:space="preserve">Anh Tài - Seabank</t>
  </si>
  <si>
    <t xml:space="preserve">0983470862</t>
  </si>
  <si>
    <t xml:space="preserve">tòa BRG, 198 Đ. Trần Quang Khải, Hoàn Kiếm, Hà Nội</t>
  </si>
  <si>
    <t xml:space="preserve">chuyển từ Tháng 7 dòng 50</t>
  </si>
  <si>
    <t xml:space="preserve">Mrs Thương - Du Lịch Trọn Gói</t>
  </si>
  <si>
    <t xml:space="preserve">094.874.1368</t>
  </si>
  <si>
    <t xml:space="preserve">chuyển từ Tháng 7 dòng 51</t>
  </si>
  <si>
    <t xml:space="preserve">MÓC KHÓA BGB - ANH NGỮ WIN</t>
  </si>
  <si>
    <t xml:space="preserve">0909828699</t>
  </si>
  <si>
    <t xml:space="preserve">276 hùng vương, thôn 4a, xã Đạ Tẻh, Lâm Đồng.</t>
  </si>
  <si>
    <t xml:space="preserve">chuyển từ Tháng 7 dòng 52</t>
  </si>
  <si>
    <t xml:space="preserve">BGB - CHỊ QUỲNH 35C</t>
  </si>
  <si>
    <t xml:space="preserve">0918479558</t>
  </si>
  <si>
    <t xml:space="preserve">Tòa Nhà Viễn Thông 9, Số 641 Đường Phạm Văn Đồng, Phường Nghĩa Đô, Thành Phố Hà Nội</t>
  </si>
  <si>
    <t xml:space="preserve">chuyển từ Tháng 7 dòng 53</t>
  </si>
  <si>
    <t xml:space="preserve">BGB - ANH HẢI 20C</t>
  </si>
  <si>
    <t xml:space="preserve">0907 188 988</t>
  </si>
  <si>
    <t xml:space="preserve">68/10/08 Hoàng Việt, Phường Đạo Thạnh, tỉnh Đồng Tháp</t>
  </si>
  <si>
    <t xml:space="preserve">chuyển từ Tháng 7 dòng 54</t>
  </si>
  <si>
    <t xml:space="preserve">BGB - ANH KIỆT MEDIA</t>
  </si>
  <si>
    <t xml:space="preserve">0354065678</t>
  </si>
  <si>
    <t xml:space="preserve">208 nguyễn tất thành - thành phố pleiku</t>
  </si>
  <si>
    <t xml:space="preserve">chuyển từ Tháng 7 dòng 55 | đơn giá suy từ thành tiền</t>
  </si>
  <si>
    <t xml:space="preserve">BGB - WEAUTOMATE 90C</t>
  </si>
  <si>
    <t xml:space="preserve">0904415147</t>
  </si>
  <si>
    <t xml:space="preserve">chuyển từ Tháng 7 dòng 123</t>
  </si>
  <si>
    <t xml:space="preserve">Ánh Linh music</t>
  </si>
  <si>
    <t xml:space="preserve">097 7102094</t>
  </si>
  <si>
    <t xml:space="preserve">đền thờ Hai Bà Trưng - Thôn 2 Hạ Lôi - xã Mê Linh - Tp Hà Nội</t>
  </si>
  <si>
    <t xml:space="preserve">chuyển từ Tháng 7 dòng 124</t>
  </si>
  <si>
    <t xml:space="preserve">BGB - Chị LINH CAO 100G</t>
  </si>
  <si>
    <t xml:space="preserve">078 833 2168</t>
  </si>
  <si>
    <t xml:space="preserve">115 Hai Bà Trưng, Lê Chân, Hải Phòng</t>
  </si>
  <si>
    <t xml:space="preserve">Gấu nâu</t>
  </si>
  <si>
    <t xml:space="preserve">Chưa có gấu làm cho khách | chuyển từ Tháng 7 dòng 125</t>
  </si>
  <si>
    <t xml:space="preserve">BGB - NHẬT ANH IQ 100C</t>
  </si>
  <si>
    <t xml:space="preserve">0987999723</t>
  </si>
  <si>
    <t xml:space="preserve">12 liền kề 2 số 90 Nguyễn Tuân, phường Thanh Xuân, Hà Nội</t>
  </si>
  <si>
    <t xml:space="preserve">chuyển từ Tháng 7 dòng 126</t>
  </si>
  <si>
    <t xml:space="preserve">BGB - VIAEL 100g</t>
  </si>
  <si>
    <t xml:space="preserve">0968747832</t>
  </si>
  <si>
    <t xml:space="preserve">VIA English - GTMTT 02, K1 Khai Sơn city, Nguyễn Gia Bồng, Bồ Đề, HN em ạ</t>
  </si>
  <si>
    <t xml:space="preserve">kh đang báo đi lại lệnh chuyển nốt tiền hàng | chuyển từ Tháng 7 dòng 127</t>
  </si>
  <si>
    <t xml:space="preserve">BGB - SOS 50C</t>
  </si>
  <si>
    <t xml:space="preserve">0975.89.3388</t>
  </si>
  <si>
    <t xml:space="preserve">49, ngõ 58A, Hoàng Đạo Thành, Kim Giang, Thanh Xuân</t>
  </si>
  <si>
    <t xml:space="preserve">chuyển từ Tháng 7 dòng 128</t>
  </si>
  <si>
    <t xml:space="preserve">BGB - GOLF 20C</t>
  </si>
  <si>
    <t xml:space="preserve">0396457248</t>
  </si>
  <si>
    <t xml:space="preserve">Sân golf Đầm Vạc, đường Đinh Tiên Hoàng, phường Vĩnh Phúc, Phú Thọ</t>
  </si>
  <si>
    <t xml:space="preserve">chuyển từ Tháng 7 dòng 129</t>
  </si>
  <si>
    <t xml:space="preserve">0396457249</t>
  </si>
  <si>
    <t xml:space="preserve">chuyển từ Tháng 7 dòng 130</t>
  </si>
  <si>
    <t xml:space="preserve">BGB - BGB - KIDS 80 GỐI, 80 GẤU</t>
  </si>
  <si>
    <t xml:space="preserve">0986665266</t>
  </si>
  <si>
    <t xml:space="preserve">số 70- cầu thang C- Chung cư Suối Hoa- Phường Suối Hoa- TP Bắc Ninh.</t>
  </si>
  <si>
    <t xml:space="preserve">chuyển từ Tháng 7 dòng 131</t>
  </si>
  <si>
    <t xml:space="preserve">0986665267</t>
  </si>
  <si>
    <t xml:space="preserve">chuyển từ Tháng 7 dòng 132</t>
  </si>
  <si>
    <t xml:space="preserve">BGB - K2 NBK 130C</t>
  </si>
  <si>
    <t xml:space="preserve">0914121088</t>
  </si>
  <si>
    <t xml:space="preserve">Gần Nguyễn Hoàng (đoạn đường tránh qua TP. Tam Kỳ)</t>
  </si>
  <si>
    <t xml:space="preserve">chuyển từ Tháng 7 dòng 133</t>
  </si>
  <si>
    <t xml:space="preserve">BGB - RAIN 50G</t>
  </si>
  <si>
    <t xml:space="preserve">0394305093</t>
  </si>
  <si>
    <t xml:space="preserve">babinh.ho@gmail.com</t>
  </si>
  <si>
    <t xml:space="preserve">3801300120</t>
  </si>
  <si>
    <t xml:space="preserve">TỔ 3 ẤP ĐỒNG NƠ 5, PHƯỜNG TÂN KHAI, TP ĐỒNG NAI</t>
  </si>
  <si>
    <t xml:space="preserve">chuyển từ Tháng 7 dòng 134</t>
  </si>
  <si>
    <t xml:space="preserve">BGB - HÀO QUANG 30G</t>
  </si>
  <si>
    <t xml:space="preserve">0941012666</t>
  </si>
  <si>
    <t xml:space="preserve">gohaoquang@gmail.com</t>
  </si>
  <si>
    <t xml:space="preserve">3000 380 533</t>
  </si>
  <si>
    <t xml:space="preserve">số 5, đường 26/3, phường Thành Sen, Hà Tĩnh</t>
  </si>
  <si>
    <t xml:space="preserve">chuyển từ Tháng 7 dòng 135</t>
  </si>
  <si>
    <t xml:space="preserve">BGB - KIOT BV 30 GỐI</t>
  </si>
  <si>
    <t xml:space="preserve">0395.254.610</t>
  </si>
  <si>
    <t xml:space="preserve">Số nhà 3/144 Trung Kính, Phường Yên Hòa, Quận Cầu Giấy, Hà Nội</t>
  </si>
  <si>
    <t xml:space="preserve">chuyển từ Tháng 7 dòng 136</t>
  </si>
  <si>
    <t xml:space="preserve">BGB - KIOT BV 30 GỐI - chị Hien Anh</t>
  </si>
  <si>
    <t xml:space="preserve">0395.254.611</t>
  </si>
  <si>
    <t xml:space="preserve">chuyển từ Tháng 7 dòng 137</t>
  </si>
  <si>
    <t xml:space="preserve">chị Hậu</t>
  </si>
  <si>
    <t xml:space="preserve">0989403759</t>
  </si>
  <si>
    <t xml:space="preserve">Phòng Công đoàn - Công Ty TNHH Sao Vàng Ngã 3 An Tràng, TT.Trường Sơn, H.An Lão, TP.Hải Phòng</t>
  </si>
  <si>
    <t xml:space="preserve">chuyển từ Tháng 7 dòng 138 | file cũ không ghi số lượng, quy về 1 x thành tiền</t>
  </si>
  <si>
    <t xml:space="preserve">BGB - CLUB 16 DAKLAK 200G</t>
  </si>
  <si>
    <t xml:space="preserve">0933115335</t>
  </si>
  <si>
    <t xml:space="preserve">93 quốc lộ 14 ( trà sữa cana ) , thôn 5 , xã hoà thuận , tp bmt , daklak !</t>
  </si>
  <si>
    <t xml:space="preserve">chuyển từ Tháng 7 dòng 141</t>
  </si>
  <si>
    <t xml:space="preserve">BGB - MK VINFAST NGỌC CHÂU THÀNH 50C</t>
  </si>
  <si>
    <t xml:space="preserve">0828388882</t>
  </si>
  <si>
    <t xml:space="preserve">Ql 63 - An phước- Bình an - châu thành - kiên giang</t>
  </si>
  <si>
    <t xml:space="preserve">chuyển từ Tháng 7 dòng 142</t>
  </si>
  <si>
    <t xml:space="preserve">BGB - MK ĐÌNH KHÔI 50C</t>
  </si>
  <si>
    <t xml:space="preserve">0869760626</t>
  </si>
  <si>
    <t xml:space="preserve">B1-51 khu đô thị mới lý thường kiệt . Phường 1 bảo lộc</t>
  </si>
  <si>
    <t xml:space="preserve">chuyển từ Tháng 7 dòng 143 | file cũ gõ đè thành tiền, đơn giá tính lại = thành tiền / số lượng</t>
  </si>
  <si>
    <t xml:space="preserve">BGB - WULING 20C</t>
  </si>
  <si>
    <t xml:space="preserve">0904568820</t>
  </si>
  <si>
    <t xml:space="preserve">Wuling HTA Long Biên - số 3-5 Nguyen Van</t>
  </si>
  <si>
    <t xml:space="preserve">chuyển từ Tháng 7 dòng 144</t>
  </si>
  <si>
    <t xml:space="preserve">BGB - TRƯỜNG GIANG TOURIST GỐI U 50C</t>
  </si>
  <si>
    <t xml:space="preserve">0353330284</t>
  </si>
  <si>
    <t xml:space="preserve">Chung Cư Kim oanh Group - eastgate - 43 Tân Lập - phường Đông Hoà - Dĩ An ( Ngay L</t>
  </si>
  <si>
    <t xml:space="preserve">chuyển từ Tháng 7 dòng 145</t>
  </si>
  <si>
    <t xml:space="preserve">BGB - ANH TÀI 100G HT</t>
  </si>
  <si>
    <t xml:space="preserve">0368349339</t>
  </si>
  <si>
    <t xml:space="preserve">B-TT9-2, KĐT Him Lam, Vạn Phúc. Hà Đông, Hà Nội.</t>
  </si>
  <si>
    <t xml:space="preserve">chuyển từ Tháng 7 dòng 146</t>
  </si>
  <si>
    <t xml:space="preserve">BGB - CÔNG HIỀN TOUR 20G ĐỦ LOẠI</t>
  </si>
  <si>
    <t xml:space="preserve">0984008644</t>
  </si>
  <si>
    <t xml:space="preserve">đội xe văn phòng cty cổ phần than hà tu phường hà tu tp hạ long tỉnh quảng ninh</t>
  </si>
  <si>
    <t xml:space="preserve">chuyển từ Tháng 7 dòng 147</t>
  </si>
  <si>
    <t xml:space="preserve">BGB - HẠ LONG 50G</t>
  </si>
  <si>
    <t xml:space="preserve">0376290595</t>
  </si>
  <si>
    <t xml:space="preserve">lô k8. Tổ 5. Khu 7. Bãi cháy. Hạ Long . QN</t>
  </si>
  <si>
    <t xml:space="preserve">chuyển từ Tháng 7 dòng 148 | file cũ gõ đè thành tiền, đơn giá tính lại = thành tiền / số lượng</t>
  </si>
  <si>
    <t xml:space="preserve">BGB - GẤU BÔNG RUTA THÁI BÌNH 100G</t>
  </si>
  <si>
    <t xml:space="preserve">0947930930</t>
  </si>
  <si>
    <t xml:space="preserve">20 Chu Văn An - thành phố thái bình</t>
  </si>
  <si>
    <t xml:space="preserve">chuyển từ Tháng 7 dòng 149</t>
  </si>
  <si>
    <t xml:space="preserve">BGB - MK DTTH 50C</t>
  </si>
  <si>
    <t xml:space="preserve">0388376911</t>
  </si>
  <si>
    <t xml:space="preserve">124/3 đường Long Thuận phường Long Phước Q9, Tp Thủ Đức</t>
  </si>
  <si>
    <t xml:space="preserve">chuyển từ Tháng 7 dòng 150</t>
  </si>
  <si>
    <t xml:space="preserve">BGB - THIÊN LONG BĐS 100G</t>
  </si>
  <si>
    <t xml:space="preserve">0878202959</t>
  </si>
  <si>
    <t xml:space="preserve">Nam Việt Group - Số 55 Vũ Tông Phan, Phường Bình Trưng, HCM</t>
  </si>
  <si>
    <t xml:space="preserve">chuyển từ Tháng 7 dòng 151</t>
  </si>
  <si>
    <t xml:space="preserve">anh Tuyên</t>
  </si>
  <si>
    <t xml:space="preserve">0987323121</t>
  </si>
  <si>
    <t xml:space="preserve">Nhà văn hóa xóm Diễn , xã tân đức , phú bình , thái nguyên</t>
  </si>
  <si>
    <t xml:space="preserve">chuyển từ Tháng 7 dòng 152 | file cũ không ghi số lượng, quy về 1 x thành tiền</t>
  </si>
  <si>
    <t xml:space="preserve">anh Tomsong</t>
  </si>
  <si>
    <t xml:space="preserve">0326397762</t>
  </si>
  <si>
    <t xml:space="preserve">Giếng Hố, Lệ Thuỷ, Vạn Tường ,Quảng Ngãi</t>
  </si>
  <si>
    <t xml:space="preserve">chuyển từ Tháng 7 dòng 153</t>
  </si>
  <si>
    <t xml:space="preserve">chị Nga Vũ</t>
  </si>
  <si>
    <t xml:space="preserve">0977597222</t>
  </si>
  <si>
    <t xml:space="preserve">H34 khu đấu giá Ngô Thì Nhậm Hà Đông Hà Nội</t>
  </si>
  <si>
    <t xml:space="preserve">chuyển từ Tháng 7 dòng 154</t>
  </si>
  <si>
    <t xml:space="preserve">BGB - Dược Hậu Giang 25G TN</t>
  </si>
  <si>
    <t xml:space="preserve">0973393695</t>
  </si>
  <si>
    <t xml:space="preserve">288 Bis Nguyễn Văn Cừ, P.Cái Khế, TP Cần Thơ</t>
  </si>
  <si>
    <t xml:space="preserve">Gấu tốt nghiệp</t>
  </si>
  <si>
    <t xml:space="preserve">chuyển từ Tháng 7 dòng 155</t>
  </si>
  <si>
    <t xml:space="preserve">THÁNG 8/2026 – NHẬP ĐƠN HÀNG &amp; BÁO CÁO THÁNG</t>
  </si>
  <si>
    <t xml:space="preserve">CHI PHÍ KHÁC TRONG THÁNG 8 (NHẬP TAY)</t>
  </si>
  <si>
    <t xml:space="preserve">Chị Hồng Liên</t>
  </si>
  <si>
    <t xml:space="preserve">0941379111</t>
  </si>
  <si>
    <t xml:space="preserve">gấu tốt nghiệp</t>
  </si>
  <si>
    <t xml:space="preserve">chuyển từ Tháng 8 dòng 10</t>
  </si>
  <si>
    <t xml:space="preserve">chị Trang Jade</t>
  </si>
  <si>
    <t xml:space="preserve">3500780970</t>
  </si>
  <si>
    <t xml:space="preserve">chuyển từ Tháng 8 dòng 11</t>
  </si>
  <si>
    <t xml:space="preserve">BGB - HOÀNG HẢI TRAVEL 30G</t>
  </si>
  <si>
    <t xml:space="preserve">0967840505</t>
  </si>
  <si>
    <t xml:space="preserve">Thôn thượng trì ấp Hoài thượng Thuận thành Bắc Ninh</t>
  </si>
  <si>
    <t xml:space="preserve">chuyển từ Tháng 8 dòng 12</t>
  </si>
  <si>
    <t xml:space="preserve">THÁNG 9/2026 – NHẬP ĐƠN HÀNG &amp; BÁO CÁO THÁNG</t>
  </si>
  <si>
    <t xml:space="preserve">CHI PHÍ KHÁC TRONG THÁNG 9 (NHẬP TAY)</t>
  </si>
  <si>
    <t xml:space="preserve">THÁNG 10/2026 – NHẬP ĐƠN HÀNG &amp; BÁO CÁO THÁNG</t>
  </si>
  <si>
    <t xml:space="preserve">CHI PHÍ KHÁC TRONG THÁNG 10 (NHẬP TAY)</t>
  </si>
  <si>
    <t xml:space="preserve">THÁNG 11/2026 – NHẬP ĐƠN HÀNG &amp; BÁO CÁO THÁNG</t>
  </si>
  <si>
    <t xml:space="preserve">CHI PHÍ KHÁC TRONG THÁNG 11 (NHẬP TAY)</t>
  </si>
  <si>
    <t xml:space="preserve">THÁNG 12/2026 – NHẬP ĐƠN HÀNG &amp; BÁO CÁO THÁNG</t>
  </si>
  <si>
    <t xml:space="preserve">CHI PHÍ KHÁC TRONG THÁNG 12 (NHẬP TAY)</t>
  </si>
  <si>
    <t xml:space="preserve">BẢNG GOM DỮ LIỆU 7 THÁNG – SHEET KỸ THUẬT, KHÔNG SỬA, KHÔNG XÓA</t>
  </si>
  <si>
    <t xml:space="preserve">THÁNG</t>
  </si>
  <si>
    <t xml:space="preserve">CÔNG TY</t>
  </si>
  <si>
    <t xml:space="preserve">ĐỊA CHỈ</t>
  </si>
  <si>
    <t xml:space="preserve">ĐÃ THANH TOÁN</t>
  </si>
  <si>
    <t xml:space="preserve">TỔNG VỐN</t>
  </si>
  <si>
    <t xml:space="preserve">LÃI/LỖ</t>
  </si>
  <si>
    <t xml:space="preserve">_nợ</t>
  </si>
  <si>
    <t xml:space="preserve">_vat</t>
  </si>
  <si>
    <t xml:space="preserve">_kvat</t>
  </si>
  <si>
    <t xml:space="preserve">_khách</t>
  </si>
  <si>
    <t xml:space="preserve">_sp</t>
  </si>
  <si>
    <t xml:space="preserve">_đủ</t>
  </si>
  <si>
    <t xml:space="preserve">_ngày số</t>
  </si>
  <si>
    <t xml:space="preserve">BÁO CÁO DOANH THU – CHI PHÍ – LÃI LỖ NĂM 2026 (TỰ ĐỘNG)</t>
  </si>
  <si>
    <t xml:space="preserve">Số liệu lấy thẳng từ 7 sheet tháng. Không nhập gì ở sheet này.</t>
  </si>
  <si>
    <t xml:space="preserve">SỐ ĐƠN</t>
  </si>
  <si>
    <t xml:space="preserve">SỐ KHÁCH</t>
  </si>
  <si>
    <t xml:space="preserve">DOANH THU TIỀN HÀNG (đ)</t>
  </si>
  <si>
    <t xml:space="preserve">CHƯA THANH TOÁN (đ)</t>
  </si>
  <si>
    <t xml:space="preserve">GIÁ VỐN HÀNG BÁN (đ)</t>
  </si>
  <si>
    <t xml:space="preserve">CHI PHÍ KHÁC (đ)</t>
  </si>
  <si>
    <t xml:space="preserve">TỔNG CHI PHÍ (đ)</t>
  </si>
  <si>
    <t xml:space="preserve">LÃI / LỖ THỰC (đ)</t>
  </si>
  <si>
    <t xml:space="preserve">Tháng 6/2026</t>
  </si>
  <si>
    <t xml:space="preserve">Tháng 7/2026</t>
  </si>
  <si>
    <t xml:space="preserve">Tháng 8/2026</t>
  </si>
  <si>
    <t xml:space="preserve">Tháng 9/2026</t>
  </si>
  <si>
    <t xml:space="preserve">Tháng 10/2026</t>
  </si>
  <si>
    <t xml:space="preserve">Tháng 11/2026</t>
  </si>
  <si>
    <t xml:space="preserve">Tháng 12/2026</t>
  </si>
  <si>
    <t xml:space="preserve">TỔNG CẢ NĂM</t>
  </si>
  <si>
    <t xml:space="preserve">Ghi chú: đơn chưa nhập NGÀY ĐẶT vẫn được tính vào tháng của sheet chứa nó. Cột CẢNH BÁO trong sheet tháng sẽ nhắc các dòng còn thiếu dữ liệu.</t>
  </si>
  <si>
    <t xml:space="preserve">BÁO CÁO LÃI – LỖ (TỰ ĐỘNG)</t>
  </si>
  <si>
    <t xml:space="preserve">Lãi trên đơn = TIỀN HÀNG − GIÁ VỐN. Lãi thực của tháng còn trừ thêm CHI PHÍ KHÁC.</t>
  </si>
  <si>
    <t xml:space="preserve">A. TỔNG QUAN CẢ NĂM</t>
  </si>
  <si>
    <t xml:space="preserve">TỔNG DOANH THU TIỀN HÀNG (chưa VAT)</t>
  </si>
  <si>
    <t xml:space="preserve">TỔNG GIÁ VỐN HÀNG BÁN</t>
  </si>
  <si>
    <t xml:space="preserve">TỔNG CHI PHÍ</t>
  </si>
  <si>
    <t xml:space="preserve">LÃI / LỖ THỰC CẢ NĂM</t>
  </si>
  <si>
    <t xml:space="preserve">TỔNG TIỀN VAT</t>
  </si>
  <si>
    <t xml:space="preserve">TỔNG PHẢI THU (gồm VAT)</t>
  </si>
  <si>
    <t xml:space="preserve">KHÁCH ĐÃ THANH TOÁN</t>
  </si>
  <si>
    <t xml:space="preserve">KHÁCH CÒN NỢ</t>
  </si>
  <si>
    <t xml:space="preserve">SỐ ĐƠN ĐANG LỖ</t>
  </si>
  <si>
    <t xml:space="preserve">B. LÃI – LỖ THEO THÁNG</t>
  </si>
  <si>
    <t xml:space="preserve">DOANH THU (đ)</t>
  </si>
  <si>
    <t xml:space="preserve">GIÁ VỐN (đ)</t>
  </si>
  <si>
    <t xml:space="preserve">C. LÃI – LỖ THEO TỪNG SẢN PHẨM (chưa trừ chi phí khác)</t>
  </si>
  <si>
    <t xml:space="preserve">SỐ LƯỢNG ĐÃ BÁN</t>
  </si>
  <si>
    <t xml:space="preserve">TIỀN HÀNG ĐÃ THANH TOÁN / CHƯA THANH TOÁN (TỰ ĐỘNG)</t>
  </si>
  <si>
    <t xml:space="preserve">Phần trên là tổng hợp theo tháng, phần dưới là danh sách các đơn khách đã trả đủ tiền.</t>
  </si>
  <si>
    <t xml:space="preserve">A. THEO TỪNG THÁNG</t>
  </si>
  <si>
    <t xml:space="preserve">B. DANH SÁCH ĐƠN ĐÃ THANH TOÁN ĐỦ</t>
  </si>
  <si>
    <t xml:space="preserve">CÔNG NỢ – CÁC ĐƠN KHÁCH CÒN NỢ TIỀN (TỰ ĐỘNG)</t>
  </si>
  <si>
    <t xml:space="preserve">Chỉ hiện đơn có CÒN NỢ &gt; 0. Nhập đủ tiền vào cột ĐÃ THANH TOÁN ở sheet tháng là đơn tự biến mất.</t>
  </si>
  <si>
    <t xml:space="preserve">TỔNG CÒN NỢ (đ):</t>
  </si>
  <si>
    <t xml:space="preserve">SỐ ĐƠN CÒN NỢ:</t>
  </si>
  <si>
    <t xml:space="preserve">SỐ NGÀY KỂ TỪ NGÀY ĐẶT</t>
  </si>
  <si>
    <t xml:space="preserve">DANH SÁCH KHÁCH HÀNG (TỰ ĐỘNG GOM TỪ 7 SHEET THÁNG)</t>
  </si>
  <si>
    <t xml:space="preserve">Không nhập gì ở đây. Cứ nhập đơn ở sheet tháng là khách tự xuất hiện kèm tổng mua, đã trả, còn nợ, lãi.</t>
  </si>
  <si>
    <t xml:space="preserve">TỔNG SỐ KHÁCH:</t>
  </si>
  <si>
    <t xml:space="preserve">TỔNG TIỀN HÀNG (đ)</t>
  </si>
  <si>
    <t xml:space="preserve">LÃI TỪ KHÁCH (đ)</t>
  </si>
  <si>
    <t xml:space="preserve">LẦN MUA GẦN NHẤT</t>
  </si>
  <si>
    <t xml:space="preserve">PHÂN LOẠI VAT</t>
  </si>
  <si>
    <t xml:space="preserve">KHÁCH LẤY VAT (TỰ ĐỘNG)</t>
  </si>
  <si>
    <t xml:space="preserve">Các đơn có chọn VAT ở sheet tháng. Dùng để đối chiếu khi xuất hóa đơn.</t>
  </si>
  <si>
    <t xml:space="preserve">TIỀN HÀNG CHƯA VAT (đ):</t>
  </si>
  <si>
    <t xml:space="preserve">TỔNG TIỀN VAT (đ):</t>
  </si>
  <si>
    <t xml:space="preserve">TỔNG SAU VAT (đ):</t>
  </si>
  <si>
    <t xml:space="preserve">TIỀN HÀNG CHƯA VAT (đ)</t>
  </si>
  <si>
    <t xml:space="preserve">TỔNG SAU VAT (đ)</t>
  </si>
  <si>
    <t xml:space="preserve">KHÁCH KHÔNG LẤY VAT (TỰ ĐỘNG)</t>
  </si>
  <si>
    <t xml:space="preserve">Các đơn không lấy hóa đơn VAT, cập nhật ngay khi nhập đơn ở sheet tháng.</t>
  </si>
  <si>
    <t xml:space="preserve">TỔNG TIỀN HÀNG (đ):</t>
  </si>
  <si>
    <t xml:space="preserve">ĐÃ THANH TOÁN (đ):</t>
  </si>
  <si>
    <t xml:space="preserve">CÒN NỢ (đ):</t>
  </si>
</sst>
</file>

<file path=xl/styles.xml><?xml version="1.0" encoding="utf-8"?>
<styleSheet xmlns="http://schemas.openxmlformats.org/spreadsheetml/2006/main">
  <numFmts count="6">
    <numFmt numFmtId="164" formatCode="General"/>
    <numFmt numFmtId="165" formatCode="General"/>
    <numFmt numFmtId="166" formatCode="#,##0;[RED]\-#,##0;\-"/>
    <numFmt numFmtId="167" formatCode="0.0%;[RED]\-0.0%;\-"/>
    <numFmt numFmtId="168" formatCode="dd/mm/yyyy"/>
    <numFmt numFmtId="169" formatCode="@"/>
  </numFmts>
  <fonts count="21">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
      <color rgb="FF833C00"/>
      <name val="Arial"/>
      <family val="0"/>
      <charset val="1"/>
    </font>
    <font>
      <b val="true"/>
      <sz val="12"/>
      <color rgb="FFFFFFFF"/>
      <name val="Arial"/>
      <family val="0"/>
      <charset val="1"/>
    </font>
    <font>
      <b val="true"/>
      <sz val="10"/>
      <color rgb="FF000000"/>
      <name val="Arial"/>
      <family val="0"/>
      <charset val="1"/>
    </font>
    <font>
      <sz val="10"/>
      <color rgb="FF000000"/>
      <name val="Arial"/>
      <family val="0"/>
      <charset val="1"/>
    </font>
    <font>
      <b val="true"/>
      <sz val="11"/>
      <color rgb="FFC00000"/>
      <name val="Arial"/>
      <family val="0"/>
      <charset val="1"/>
    </font>
    <font>
      <b val="true"/>
      <sz val="13"/>
      <color rgb="FFC00000"/>
      <name val="Arial"/>
      <family val="0"/>
      <charset val="1"/>
    </font>
    <font>
      <b val="true"/>
      <sz val="10"/>
      <color rgb="FFFFFFFF"/>
      <name val="Arial"/>
      <family val="0"/>
      <charset val="1"/>
    </font>
    <font>
      <sz val="10"/>
      <name val="Arial"/>
      <family val="2"/>
    </font>
    <font>
      <b val="true"/>
      <sz val="10"/>
      <color rgb="FF1F3864"/>
      <name val="Arial"/>
      <family val="0"/>
      <charset val="1"/>
    </font>
    <font>
      <b val="true"/>
      <sz val="11"/>
      <color rgb="FFFFFFFF"/>
      <name val="Arial"/>
      <family val="0"/>
      <charset val="1"/>
    </font>
    <font>
      <b val="true"/>
      <sz val="11"/>
      <color rgb="FF9C0006"/>
      <name val="Arial"/>
      <family val="0"/>
      <charset val="1"/>
    </font>
    <font>
      <b val="true"/>
      <sz val="12"/>
      <color rgb="FFC00000"/>
      <name val="Arial"/>
      <family val="0"/>
      <charset val="1"/>
    </font>
    <font>
      <b val="true"/>
      <sz val="9"/>
      <color rgb="FFFFFFFF"/>
      <name val="Arial"/>
      <family val="0"/>
      <charset val="1"/>
    </font>
    <font>
      <i val="true"/>
      <sz val="10"/>
      <color rgb="FFC00000"/>
      <name val="Arial"/>
      <family val="0"/>
      <charset val="1"/>
    </font>
    <font>
      <b val="true"/>
      <sz val="11"/>
      <color rgb="FF000000"/>
      <name val="Arial"/>
      <family val="0"/>
      <charset val="1"/>
    </font>
    <font>
      <b val="true"/>
      <sz val="12"/>
      <color rgb="FF000000"/>
      <name val="Arial"/>
      <family val="0"/>
      <charset val="1"/>
    </font>
  </fonts>
  <fills count="11">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FF2CC"/>
        <bgColor rgb="FFFCE4D6"/>
      </patternFill>
    </fill>
    <fill>
      <patternFill patternType="solid">
        <fgColor rgb="FFBF8F00"/>
        <bgColor rgb="FF808000"/>
      </patternFill>
    </fill>
    <fill>
      <patternFill patternType="solid">
        <fgColor rgb="FFE2EFDA"/>
        <bgColor rgb="FFF2F2F2"/>
      </patternFill>
    </fill>
    <fill>
      <patternFill patternType="solid">
        <fgColor rgb="FFF2F2F2"/>
        <bgColor rgb="FFE2EFDA"/>
      </patternFill>
    </fill>
    <fill>
      <patternFill patternType="solid">
        <fgColor rgb="FFC55A11"/>
        <bgColor rgb="FFBF8F00"/>
      </patternFill>
    </fill>
    <fill>
      <patternFill patternType="solid">
        <fgColor rgb="FFFCE4D6"/>
        <bgColor rgb="FFFFF2CC"/>
      </patternFill>
    </fill>
    <fill>
      <patternFill patternType="solid">
        <fgColor rgb="FF006100"/>
        <bgColor rgb="FF00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center" textRotation="0" wrapText="false" indent="1" shrinkToFit="false"/>
      <protection locked="true" hidden="false"/>
    </xf>
    <xf numFmtId="164" fontId="6" fillId="3" borderId="0" xfId="0" applyFont="true" applyBorder="true" applyAlignment="true" applyProtection="false">
      <alignment horizontal="general" vertical="center" textRotation="0" wrapText="false" indent="1"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6" fontId="8" fillId="4" borderId="1" xfId="0" applyFont="true" applyBorder="true" applyAlignment="true" applyProtection="false">
      <alignment horizontal="right" vertical="center" textRotation="0" wrapText="false" indent="0" shrinkToFit="false"/>
      <protection locked="true" hidden="false"/>
    </xf>
    <xf numFmtId="166" fontId="8" fillId="6" borderId="1" xfId="0" applyFont="true" applyBorder="true" applyAlignment="true" applyProtection="false">
      <alignment horizontal="right" vertical="center" textRotation="0" wrapText="false" indent="0" shrinkToFit="false"/>
      <protection locked="true" hidden="false"/>
    </xf>
    <xf numFmtId="167" fontId="8" fillId="6"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right" vertical="center" textRotation="0" wrapText="false" indent="0" shrinkToFit="false"/>
      <protection locked="true" hidden="false"/>
    </xf>
    <xf numFmtId="166" fontId="9" fillId="4" borderId="1" xfId="0" applyFont="true" applyBorder="true" applyAlignment="true" applyProtection="false">
      <alignment horizontal="center" vertical="center" textRotation="0" wrapText="false" indent="0" shrinkToFit="false"/>
      <protection locked="true" hidden="false"/>
    </xf>
    <xf numFmtId="164" fontId="14" fillId="8" borderId="0" xfId="0" applyFont="true" applyBorder="true" applyAlignment="true" applyProtection="false">
      <alignment horizontal="center" vertical="center" textRotation="0" wrapText="false" indent="0" shrinkToFit="false"/>
      <protection locked="true" hidden="false"/>
    </xf>
    <xf numFmtId="168" fontId="8" fillId="4" borderId="1" xfId="0" applyFont="true" applyBorder="true" applyAlignment="true" applyProtection="false">
      <alignment horizontal="center" vertical="center" textRotation="0" wrapText="false" indent="0" shrinkToFit="false"/>
      <protection locked="true" hidden="false"/>
    </xf>
    <xf numFmtId="167" fontId="9" fillId="4" borderId="1" xfId="0" applyFont="true" applyBorder="true" applyAlignment="true" applyProtection="false">
      <alignment horizontal="center" vertical="center" textRotation="0" wrapText="false" indent="0" shrinkToFit="false"/>
      <protection locked="true" hidden="false"/>
    </xf>
    <xf numFmtId="164" fontId="15" fillId="9" borderId="0" xfId="0" applyFont="true" applyBorder="true" applyAlignment="true" applyProtection="false">
      <alignment horizontal="general" vertical="center" textRotation="0" wrapText="false" indent="1" shrinkToFit="false"/>
      <protection locked="true" hidden="false"/>
    </xf>
    <xf numFmtId="165" fontId="8" fillId="6" borderId="1" xfId="0" applyFont="true" applyBorder="true" applyAlignment="true" applyProtection="false">
      <alignment horizontal="left" vertical="center" textRotation="0" wrapText="false" indent="0" shrinkToFit="false"/>
      <protection locked="true" hidden="false"/>
    </xf>
    <xf numFmtId="169" fontId="8" fillId="4" borderId="1"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false" indent="0" shrinkToFit="false"/>
      <protection locked="true" hidden="false"/>
    </xf>
    <xf numFmtId="164" fontId="11" fillId="2" borderId="1" xfId="0" applyFont="true" applyBorder="true" applyAlignment="true" applyProtection="false">
      <alignment horizontal="right" vertical="center" textRotation="0" wrapText="false" indent="0" shrinkToFit="false"/>
      <protection locked="true" hidden="false"/>
    </xf>
    <xf numFmtId="166" fontId="14" fillId="2" borderId="1" xfId="0" applyFont="true" applyBorder="true" applyAlignment="true" applyProtection="false">
      <alignment horizontal="right"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left" vertical="bottom" textRotation="0" wrapText="false" indent="1" shrinkToFit="false"/>
      <protection locked="true" hidden="false"/>
    </xf>
    <xf numFmtId="166" fontId="14" fillId="2" borderId="1" xfId="0" applyFont="true" applyBorder="true" applyAlignment="true" applyProtection="false">
      <alignment horizontal="right" vertical="center" textRotation="0" wrapText="false" indent="0" shrinkToFit="false"/>
      <protection locked="true" hidden="false"/>
    </xf>
    <xf numFmtId="167" fontId="14" fillId="2"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6" fontId="19" fillId="6" borderId="1" xfId="0" applyFont="true" applyBorder="true" applyAlignment="true" applyProtection="false">
      <alignment horizontal="right" vertical="bottom" textRotation="0" wrapText="false" indent="0" shrinkToFit="false"/>
      <protection locked="true" hidden="false"/>
    </xf>
    <xf numFmtId="167" fontId="19" fillId="6" borderId="1" xfId="0" applyFont="true" applyBorder="true" applyAlignment="true" applyProtection="false">
      <alignment horizontal="right" vertical="bottom" textRotation="0" wrapText="false" indent="0" shrinkToFit="false"/>
      <protection locked="true" hidden="false"/>
    </xf>
    <xf numFmtId="164" fontId="6" fillId="10" borderId="0" xfId="0" applyFont="true" applyBorder="true" applyAlignment="false" applyProtection="false">
      <alignment horizontal="general" vertical="bottom" textRotation="0" wrapText="false" indent="0" shrinkToFit="false"/>
      <protection locked="true" hidden="false"/>
    </xf>
    <xf numFmtId="168" fontId="8" fillId="6"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6" fontId="20" fillId="4" borderId="1" xfId="0" applyFont="true" applyBorder="true" applyAlignment="false" applyProtection="false">
      <alignment horizontal="general" vertical="bottom" textRotation="0" wrapText="false" indent="0" shrinkToFit="false"/>
      <protection locked="true" hidden="false"/>
    </xf>
    <xf numFmtId="166" fontId="16"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BF8F00"/>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C00000"/>
          <bgColor rgb="FF000000"/>
        </patternFill>
      </fill>
    </dxf>
    <dxf>
      <fill>
        <patternFill patternType="solid">
          <fgColor rgb="FF2E75B6"/>
          <bgColor rgb="FF000000"/>
        </patternFill>
      </fill>
    </dxf>
    <dxf>
      <fill>
        <patternFill patternType="solid">
          <fgColor rgb="FFE2EFDA"/>
          <bgColor rgb="FF000000"/>
        </patternFill>
      </fill>
    </dxf>
    <dxf>
      <font>
        <name val="Arial"/>
        <charset val="1"/>
        <family val="0"/>
        <b val="1"/>
        <color rgb="FFC00000"/>
        <sz val="10"/>
      </font>
      <fill>
        <patternFill>
          <bgColor rgb="FFFFC7CE"/>
        </patternFill>
      </fill>
    </dxf>
    <dxf>
      <font>
        <name val="Arial"/>
        <charset val="1"/>
        <family val="0"/>
        <b val="1"/>
        <color rgb="FFC00000"/>
        <sz val="10"/>
      </font>
    </dxf>
    <dxf>
      <fill>
        <patternFill patternType="solid">
          <fgColor rgb="FF006100"/>
          <bgColor rgb="FF000000"/>
        </patternFill>
      </fill>
    </dxf>
    <dxf>
      <fill>
        <patternFill patternType="solid">
          <fgColor rgb="FFFCE4D6"/>
          <bgColor rgb="FF000000"/>
        </patternFill>
      </fill>
    </dxf>
    <dxf>
      <fill>
        <patternFill patternType="solid">
          <fgColor rgb="FF9C0006"/>
          <bgColor rgb="FF000000"/>
        </patternFill>
      </fill>
    </dxf>
    <dxf>
      <font>
        <name val="Arial"/>
        <charset val="1"/>
        <family val="0"/>
        <color rgb="FF9C0006"/>
        <sz val="10"/>
      </font>
      <fill>
        <patternFill>
          <bgColor rgb="FFFCE4D6"/>
        </patternFill>
      </fill>
    </dxf>
    <dxf>
      <font>
        <name val="Arial"/>
        <charset val="1"/>
        <family val="0"/>
        <b val="1"/>
        <color rgb="FF006100"/>
        <sz val="10"/>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FC7CE"/>
      <rgbColor rgb="FF2E75B6"/>
      <rgbColor rgb="FF33CCCC"/>
      <rgbColor rgb="FF99CC00"/>
      <rgbColor rgb="FFFFC000"/>
      <rgbColor rgb="FFBF8F00"/>
      <rgbColor rgb="FFC55A11"/>
      <rgbColor rgb="FF666699"/>
      <rgbColor rgb="FF969696"/>
      <rgbColor rgb="FF1F3864"/>
      <rgbColor rgb="FF339966"/>
      <rgbColor rgb="FF003300"/>
      <rgbColor rgb="FF333300"/>
      <rgbColor rgb="FF833C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5.xml"/><Relationship Id="rId3"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6.xml"/><Relationship Id="rId3"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7.xml"/><Relationship Id="rId3"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8.xml"/><Relationship Id="rId3" Type="http://schemas.openxmlformats.org/officeDocument/2006/relationships/vmlDrawing" Target="../drawings/vmlDrawing8.vml"/>
</Relationships>
</file>

<file path=xl/worksheets/_rels/sheet14.xml.rels><?xml version="1.0" encoding="UTF-8"?>
<Relationships xmlns="http://schemas.openxmlformats.org/package/2006/relationships"><Relationship Id="rId1" Type="http://schemas.openxmlformats.org/officeDocument/2006/relationships/drawing" Target="../drawings/drawing9.xml"/>
</Relationships>
</file>

<file path=xl/worksheets/_rels/sheet15.xml.rels><?xml version="1.0" encoding="UTF-8"?>
<Relationships xmlns="http://schemas.openxmlformats.org/package/2006/relationships"><Relationship Id="rId1" Type="http://schemas.openxmlformats.org/officeDocument/2006/relationships/drawing" Target="../drawings/drawing10.xml"/>
</Relationships>
</file>

<file path=xl/worksheets/_rels/sheet16.xml.rels><?xml version="1.0" encoding="UTF-8"?>
<Relationships xmlns="http://schemas.openxmlformats.org/package/2006/relationships"><Relationship Id="rId1" Type="http://schemas.openxmlformats.org/officeDocument/2006/relationships/drawing" Target="../drawings/drawing11.xml"/>
</Relationships>
</file>

<file path=xl/worksheets/_rels/sheet17.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F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6" min="2" style="0" width="21"/>
  </cols>
  <sheetData>
    <row r="1" customFormat="false" ht="27.75" hidden="false" customHeight="true" outlineLevel="0" collapsed="false">
      <c r="A1" s="1" t="s">
        <v>0</v>
      </c>
      <c r="B1" s="1"/>
      <c r="C1" s="1"/>
      <c r="D1" s="1"/>
      <c r="E1" s="1"/>
      <c r="F1" s="1"/>
    </row>
    <row r="2" customFormat="false" ht="18.75" hidden="false" customHeight="true" outlineLevel="0" collapsed="false">
      <c r="A2" s="2" t="s">
        <v>1</v>
      </c>
      <c r="B2" s="2"/>
      <c r="C2" s="2"/>
      <c r="D2" s="2"/>
      <c r="E2" s="2"/>
      <c r="F2" s="2"/>
    </row>
    <row r="4" customFormat="false" ht="7.5" hidden="false" customHeight="true" outlineLevel="0" collapsed="false"/>
    <row r="5" customFormat="false" ht="21.75" hidden="false" customHeight="true" outlineLevel="0" collapsed="false">
      <c r="A5" s="3" t="s">
        <v>2</v>
      </c>
      <c r="B5" s="3"/>
      <c r="C5" s="3"/>
      <c r="D5" s="3"/>
      <c r="E5" s="3"/>
      <c r="F5" s="3"/>
    </row>
    <row r="6" customFormat="false" ht="31.5" hidden="false" customHeight="true" outlineLevel="0" collapsed="false">
      <c r="A6" s="4" t="s">
        <v>3</v>
      </c>
      <c r="B6" s="5" t="s">
        <v>4</v>
      </c>
      <c r="C6" s="5"/>
      <c r="D6" s="5"/>
      <c r="E6" s="5"/>
      <c r="F6" s="5"/>
    </row>
    <row r="7" customFormat="false" ht="31.5" hidden="false" customHeight="true" outlineLevel="0" collapsed="false">
      <c r="A7" s="4" t="s">
        <v>5</v>
      </c>
      <c r="B7" s="5" t="s">
        <v>6</v>
      </c>
      <c r="C7" s="5"/>
      <c r="D7" s="5"/>
      <c r="E7" s="5"/>
      <c r="F7" s="5"/>
    </row>
    <row r="8" customFormat="false" ht="7.5" hidden="false" customHeight="true" outlineLevel="0" collapsed="false"/>
    <row r="9" customFormat="false" ht="21.75" hidden="false" customHeight="true" outlineLevel="0" collapsed="false">
      <c r="A9" s="3" t="s">
        <v>7</v>
      </c>
      <c r="B9" s="3"/>
      <c r="C9" s="3"/>
      <c r="D9" s="3"/>
      <c r="E9" s="3"/>
      <c r="F9" s="3"/>
    </row>
    <row r="10" customFormat="false" ht="31.5" hidden="false" customHeight="true" outlineLevel="0" collapsed="false">
      <c r="A10" s="4" t="s">
        <v>8</v>
      </c>
      <c r="B10" s="5" t="s">
        <v>9</v>
      </c>
      <c r="C10" s="5"/>
      <c r="D10" s="5"/>
      <c r="E10" s="5"/>
      <c r="F10" s="5"/>
    </row>
    <row r="11" customFormat="false" ht="31.5" hidden="false" customHeight="true" outlineLevel="0" collapsed="false">
      <c r="A11" s="4" t="s">
        <v>10</v>
      </c>
      <c r="B11" s="5" t="s">
        <v>11</v>
      </c>
      <c r="C11" s="5"/>
      <c r="D11" s="5"/>
      <c r="E11" s="5"/>
      <c r="F11" s="5"/>
    </row>
    <row r="12" customFormat="false" ht="31.5" hidden="false" customHeight="true" outlineLevel="0" collapsed="false">
      <c r="A12" s="4" t="s">
        <v>12</v>
      </c>
      <c r="B12" s="5" t="s">
        <v>13</v>
      </c>
      <c r="C12" s="5"/>
      <c r="D12" s="5"/>
      <c r="E12" s="5"/>
      <c r="F12" s="5"/>
    </row>
    <row r="13" customFormat="false" ht="31.5" hidden="false" customHeight="true" outlineLevel="0" collapsed="false">
      <c r="A13" s="4" t="s">
        <v>14</v>
      </c>
      <c r="B13" s="5" t="s">
        <v>15</v>
      </c>
      <c r="C13" s="5"/>
      <c r="D13" s="5"/>
      <c r="E13" s="5"/>
      <c r="F13" s="5"/>
    </row>
    <row r="14" customFormat="false" ht="31.5" hidden="false" customHeight="true" outlineLevel="0" collapsed="false">
      <c r="A14" s="4" t="s">
        <v>16</v>
      </c>
      <c r="B14" s="5" t="s">
        <v>17</v>
      </c>
      <c r="C14" s="5"/>
      <c r="D14" s="5"/>
      <c r="E14" s="5"/>
      <c r="F14" s="5"/>
    </row>
    <row r="15" customFormat="false" ht="31.5" hidden="false" customHeight="true" outlineLevel="0" collapsed="false">
      <c r="A15" s="4" t="s">
        <v>18</v>
      </c>
      <c r="B15" s="5" t="s">
        <v>19</v>
      </c>
      <c r="C15" s="5"/>
      <c r="D15" s="5"/>
      <c r="E15" s="5"/>
      <c r="F15" s="5"/>
    </row>
    <row r="16" customFormat="false" ht="31.5" hidden="false" customHeight="true" outlineLevel="0" collapsed="false">
      <c r="A16" s="4" t="s">
        <v>20</v>
      </c>
      <c r="B16" s="5" t="s">
        <v>21</v>
      </c>
      <c r="C16" s="5"/>
      <c r="D16" s="5"/>
      <c r="E16" s="5"/>
      <c r="F16" s="5"/>
    </row>
    <row r="17" customFormat="false" ht="7.5" hidden="false" customHeight="true" outlineLevel="0" collapsed="false"/>
    <row r="18" customFormat="false" ht="21.75" hidden="false" customHeight="true" outlineLevel="0" collapsed="false">
      <c r="A18" s="3" t="s">
        <v>22</v>
      </c>
      <c r="B18" s="3"/>
      <c r="C18" s="3"/>
      <c r="D18" s="3"/>
      <c r="E18" s="3"/>
      <c r="F18" s="3"/>
    </row>
    <row r="19" customFormat="false" ht="31.5" hidden="false" customHeight="true" outlineLevel="0" collapsed="false">
      <c r="A19" s="4" t="s">
        <v>23</v>
      </c>
      <c r="B19" s="5" t="s">
        <v>24</v>
      </c>
      <c r="C19" s="5"/>
      <c r="D19" s="5"/>
      <c r="E19" s="5"/>
      <c r="F19" s="5"/>
    </row>
    <row r="20" customFormat="false" ht="31.5" hidden="false" customHeight="true" outlineLevel="0" collapsed="false">
      <c r="A20" s="4" t="s">
        <v>25</v>
      </c>
      <c r="B20" s="5" t="s">
        <v>26</v>
      </c>
      <c r="C20" s="5"/>
      <c r="D20" s="5"/>
      <c r="E20" s="5"/>
      <c r="F20" s="5"/>
    </row>
    <row r="21" customFormat="false" ht="31.5" hidden="false" customHeight="true" outlineLevel="0" collapsed="false">
      <c r="A21" s="4" t="s">
        <v>27</v>
      </c>
      <c r="B21" s="5" t="s">
        <v>28</v>
      </c>
      <c r="C21" s="5"/>
      <c r="D21" s="5"/>
      <c r="E21" s="5"/>
      <c r="F21" s="5"/>
    </row>
    <row r="22" customFormat="false" ht="7.5" hidden="false" customHeight="true" outlineLevel="0" collapsed="false"/>
    <row r="23" customFormat="false" ht="21.75" hidden="false" customHeight="true" outlineLevel="0" collapsed="false">
      <c r="A23" s="3" t="s">
        <v>29</v>
      </c>
      <c r="B23" s="3"/>
      <c r="C23" s="3"/>
      <c r="D23" s="3"/>
      <c r="E23" s="3"/>
      <c r="F23" s="3"/>
    </row>
    <row r="24" customFormat="false" ht="31.5" hidden="false" customHeight="true" outlineLevel="0" collapsed="false">
      <c r="A24" s="4" t="s">
        <v>30</v>
      </c>
      <c r="B24" s="5" t="s">
        <v>31</v>
      </c>
      <c r="C24" s="5"/>
      <c r="D24" s="5"/>
      <c r="E24" s="5"/>
      <c r="F24" s="5"/>
    </row>
    <row r="25" customFormat="false" ht="31.5" hidden="false" customHeight="true" outlineLevel="0" collapsed="false">
      <c r="A25" s="4" t="s">
        <v>32</v>
      </c>
      <c r="B25" s="5" t="s">
        <v>33</v>
      </c>
      <c r="C25" s="5"/>
      <c r="D25" s="5"/>
      <c r="E25" s="5"/>
      <c r="F25" s="5"/>
    </row>
    <row r="26" customFormat="false" ht="31.5" hidden="false" customHeight="true" outlineLevel="0" collapsed="false">
      <c r="A26" s="4" t="s">
        <v>34</v>
      </c>
      <c r="B26" s="5" t="s">
        <v>35</v>
      </c>
      <c r="C26" s="5"/>
      <c r="D26" s="5"/>
      <c r="E26" s="5"/>
      <c r="F26" s="5"/>
    </row>
    <row r="27" customFormat="false" ht="31.5" hidden="false" customHeight="true" outlineLevel="0" collapsed="false">
      <c r="A27" s="4" t="s">
        <v>36</v>
      </c>
      <c r="B27" s="5" t="s">
        <v>37</v>
      </c>
      <c r="C27" s="5"/>
      <c r="D27" s="5"/>
      <c r="E27" s="5"/>
      <c r="F27" s="5"/>
    </row>
    <row r="28" customFormat="false" ht="31.5" hidden="false" customHeight="true" outlineLevel="0" collapsed="false">
      <c r="A28" s="4" t="s">
        <v>38</v>
      </c>
      <c r="B28" s="5" t="s">
        <v>39</v>
      </c>
      <c r="C28" s="5"/>
      <c r="D28" s="5"/>
      <c r="E28" s="5"/>
      <c r="F28" s="5"/>
    </row>
    <row r="29" customFormat="false" ht="31.5" hidden="false" customHeight="true" outlineLevel="0" collapsed="false">
      <c r="A29" s="4" t="s">
        <v>40</v>
      </c>
      <c r="B29" s="5" t="s">
        <v>41</v>
      </c>
      <c r="C29" s="5"/>
      <c r="D29" s="5"/>
      <c r="E29" s="5"/>
      <c r="F29" s="5"/>
    </row>
    <row r="30" customFormat="false" ht="31.5" hidden="false" customHeight="true" outlineLevel="0" collapsed="false">
      <c r="A30" s="4" t="s">
        <v>42</v>
      </c>
      <c r="B30" s="5" t="s">
        <v>43</v>
      </c>
      <c r="C30" s="5"/>
      <c r="D30" s="5"/>
      <c r="E30" s="5"/>
      <c r="F30" s="5"/>
    </row>
    <row r="31" customFormat="false" ht="31.5" hidden="false" customHeight="true" outlineLevel="0" collapsed="false">
      <c r="A31" s="4" t="s">
        <v>44</v>
      </c>
      <c r="B31" s="5" t="s">
        <v>45</v>
      </c>
      <c r="C31" s="5"/>
      <c r="D31" s="5"/>
      <c r="E31" s="5"/>
      <c r="F31" s="5"/>
    </row>
    <row r="32" customFormat="false" ht="31.5" hidden="false" customHeight="true" outlineLevel="0" collapsed="false">
      <c r="A32" s="4" t="s">
        <v>46</v>
      </c>
      <c r="B32" s="5" t="s">
        <v>47</v>
      </c>
      <c r="C32" s="5"/>
      <c r="D32" s="5"/>
      <c r="E32" s="5"/>
      <c r="F32" s="5"/>
    </row>
    <row r="33" customFormat="false" ht="7.5" hidden="false" customHeight="true" outlineLevel="0" collapsed="false"/>
    <row r="34" customFormat="false" ht="21.75" hidden="false" customHeight="true" outlineLevel="0" collapsed="false">
      <c r="A34" s="3" t="s">
        <v>48</v>
      </c>
      <c r="B34" s="3"/>
      <c r="C34" s="3"/>
      <c r="D34" s="3"/>
      <c r="E34" s="3"/>
      <c r="F34" s="3"/>
    </row>
    <row r="35" customFormat="false" ht="31.5" hidden="false" customHeight="true" outlineLevel="0" collapsed="false">
      <c r="A35" s="4" t="s">
        <v>49</v>
      </c>
      <c r="B35" s="5" t="s">
        <v>50</v>
      </c>
      <c r="C35" s="5"/>
      <c r="D35" s="5"/>
      <c r="E35" s="5"/>
      <c r="F35" s="5"/>
    </row>
    <row r="36" customFormat="false" ht="31.5" hidden="false" customHeight="true" outlineLevel="0" collapsed="false">
      <c r="A36" s="4" t="s">
        <v>51</v>
      </c>
      <c r="B36" s="5" t="s">
        <v>52</v>
      </c>
      <c r="C36" s="5"/>
      <c r="D36" s="5"/>
      <c r="E36" s="5"/>
      <c r="F36" s="5"/>
    </row>
    <row r="37" customFormat="false" ht="31.5" hidden="false" customHeight="true" outlineLevel="0" collapsed="false">
      <c r="A37" s="4" t="s">
        <v>53</v>
      </c>
      <c r="B37" s="5" t="s">
        <v>54</v>
      </c>
      <c r="C37" s="5"/>
      <c r="D37" s="5"/>
      <c r="E37" s="5"/>
      <c r="F37" s="5"/>
    </row>
  </sheetData>
  <mergeCells count="31">
    <mergeCell ref="A1:F1"/>
    <mergeCell ref="A2:F2"/>
    <mergeCell ref="A5:F5"/>
    <mergeCell ref="B6:F6"/>
    <mergeCell ref="B7:F7"/>
    <mergeCell ref="A9:F9"/>
    <mergeCell ref="B10:F10"/>
    <mergeCell ref="B11:F11"/>
    <mergeCell ref="B12:F12"/>
    <mergeCell ref="B13:F13"/>
    <mergeCell ref="B14:F14"/>
    <mergeCell ref="B15:F15"/>
    <mergeCell ref="B16:F16"/>
    <mergeCell ref="A18:F18"/>
    <mergeCell ref="B19:F19"/>
    <mergeCell ref="B20:F20"/>
    <mergeCell ref="B21:F21"/>
    <mergeCell ref="A23:F23"/>
    <mergeCell ref="B24:F24"/>
    <mergeCell ref="B25:F25"/>
    <mergeCell ref="B26:F26"/>
    <mergeCell ref="B27:F27"/>
    <mergeCell ref="B28:F28"/>
    <mergeCell ref="B29:F29"/>
    <mergeCell ref="B30:F30"/>
    <mergeCell ref="B31:F31"/>
    <mergeCell ref="B32:F32"/>
    <mergeCell ref="A34:F34"/>
    <mergeCell ref="B35:F35"/>
    <mergeCell ref="B36:F36"/>
    <mergeCell ref="B37: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G2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3" min="2" style="0" width="16"/>
    <col collapsed="false" customWidth="true" hidden="false" outlineLevel="0" max="4" min="4" style="0" width="17"/>
    <col collapsed="false" customWidth="true" hidden="false" outlineLevel="0" max="5" min="5" style="0" width="16"/>
    <col collapsed="false" customWidth="true" hidden="false" outlineLevel="0" max="6" min="6" style="0" width="12"/>
    <col collapsed="false" customWidth="true" hidden="false" outlineLevel="0" max="7" min="7" style="0" width="40"/>
  </cols>
  <sheetData>
    <row r="1" customFormat="false" ht="27.75" hidden="false" customHeight="true" outlineLevel="0" collapsed="false">
      <c r="A1" s="1" t="s">
        <v>55</v>
      </c>
      <c r="B1" s="1"/>
      <c r="C1" s="1"/>
      <c r="D1" s="1"/>
      <c r="E1" s="1"/>
      <c r="F1" s="1"/>
      <c r="G1" s="1"/>
    </row>
    <row r="2" customFormat="false" ht="18.75" hidden="false" customHeight="true" outlineLevel="0" collapsed="false">
      <c r="A2" s="2" t="s">
        <v>56</v>
      </c>
      <c r="B2" s="2"/>
      <c r="C2" s="2"/>
      <c r="D2" s="2"/>
      <c r="E2" s="2"/>
      <c r="F2" s="2"/>
      <c r="G2" s="2"/>
    </row>
    <row r="3" customFormat="false" ht="16.15" hidden="false" customHeight="false" outlineLevel="0" collapsed="false">
      <c r="A3" s="6" t="s">
        <v>57</v>
      </c>
      <c r="B3" s="6"/>
      <c r="C3" s="7" t="n">
        <f aca="false">COUNTIFS($A$5:$A$254,"?*",$C$5:$C$254,"")</f>
        <v>28</v>
      </c>
      <c r="D3" s="8" t="s">
        <v>58</v>
      </c>
    </row>
    <row r="4" customFormat="false" ht="33.75" hidden="false" customHeight="true" outlineLevel="0" collapsed="false">
      <c r="A4" s="9" t="s">
        <v>59</v>
      </c>
      <c r="B4" s="9" t="s">
        <v>60</v>
      </c>
      <c r="C4" s="9" t="s">
        <v>61</v>
      </c>
      <c r="D4" s="9" t="s">
        <v>62</v>
      </c>
      <c r="E4" s="10" t="s">
        <v>63</v>
      </c>
      <c r="F4" s="10" t="s">
        <v>64</v>
      </c>
      <c r="G4" s="9" t="s">
        <v>65</v>
      </c>
    </row>
    <row r="5" customFormat="false" ht="15" hidden="false" customHeight="false" outlineLevel="0" collapsed="false">
      <c r="A5" s="11" t="s">
        <v>66</v>
      </c>
      <c r="B5" s="11" t="s">
        <v>67</v>
      </c>
      <c r="C5" s="12" t="n">
        <v>35000</v>
      </c>
      <c r="D5" s="12" t="n">
        <v>50000</v>
      </c>
      <c r="E5" s="13" t="n">
        <f aca="false">IF(OR($A5="",$C5=""),"",N($D5)-$C5)</f>
        <v>15000</v>
      </c>
      <c r="F5" s="14" t="n">
        <f aca="false">IF(OR($A5="",$C5="",N($D5)=0),"",($D5-$C5)/$D5)</f>
        <v>0.3</v>
      </c>
      <c r="G5" s="11" t="s">
        <v>68</v>
      </c>
    </row>
    <row r="6" customFormat="false" ht="15" hidden="false" customHeight="false" outlineLevel="0" collapsed="false">
      <c r="A6" s="11" t="s">
        <v>69</v>
      </c>
      <c r="B6" s="11" t="s">
        <v>70</v>
      </c>
      <c r="C6" s="12" t="n">
        <v>35000</v>
      </c>
      <c r="D6" s="12" t="n">
        <v>50000</v>
      </c>
      <c r="E6" s="13" t="n">
        <f aca="false">IF(OR($A6="",$C6=""),"",N($D6)-$C6)</f>
        <v>15000</v>
      </c>
      <c r="F6" s="14" t="n">
        <f aca="false">IF(OR($A6="",$C6="",N($D6)=0),"",($D6-$C6)/$D6)</f>
        <v>0.3</v>
      </c>
      <c r="G6" s="11" t="s">
        <v>68</v>
      </c>
    </row>
    <row r="7" customFormat="false" ht="15" hidden="false" customHeight="false" outlineLevel="0" collapsed="false">
      <c r="A7" s="11" t="s">
        <v>71</v>
      </c>
      <c r="B7" s="11" t="s">
        <v>72</v>
      </c>
      <c r="C7" s="12" t="n">
        <v>35000</v>
      </c>
      <c r="D7" s="12" t="n">
        <v>50000</v>
      </c>
      <c r="E7" s="13" t="n">
        <f aca="false">IF(OR($A7="",$C7=""),"",N($D7)-$C7)</f>
        <v>15000</v>
      </c>
      <c r="F7" s="14" t="n">
        <f aca="false">IF(OR($A7="",$C7="",N($D7)=0),"",($D7-$C7)/$D7)</f>
        <v>0.3</v>
      </c>
      <c r="G7" s="11" t="s">
        <v>68</v>
      </c>
    </row>
    <row r="8" customFormat="false" ht="15" hidden="false" customHeight="false" outlineLevel="0" collapsed="false">
      <c r="A8" s="11" t="s">
        <v>73</v>
      </c>
      <c r="B8" s="11" t="s">
        <v>67</v>
      </c>
      <c r="C8" s="12" t="n">
        <v>35000</v>
      </c>
      <c r="D8" s="12" t="n">
        <v>45000</v>
      </c>
      <c r="E8" s="13" t="n">
        <f aca="false">IF(OR($A8="",$C8=""),"",N($D8)-$C8)</f>
        <v>10000</v>
      </c>
      <c r="F8" s="14" t="n">
        <f aca="false">IF(OR($A8="",$C8="",N($D8)=0),"",($D8-$C8)/$D8)</f>
        <v>0.222222222222222</v>
      </c>
      <c r="G8" s="11" t="s">
        <v>68</v>
      </c>
    </row>
    <row r="9" customFormat="false" ht="15" hidden="false" customHeight="false" outlineLevel="0" collapsed="false">
      <c r="A9" s="11" t="s">
        <v>74</v>
      </c>
      <c r="B9" s="11" t="s">
        <v>72</v>
      </c>
      <c r="C9" s="12" t="n">
        <v>35000</v>
      </c>
      <c r="D9" s="12" t="n">
        <v>45000</v>
      </c>
      <c r="E9" s="13" t="n">
        <f aca="false">IF(OR($A9="",$C9=""),"",N($D9)-$C9)</f>
        <v>10000</v>
      </c>
      <c r="F9" s="14" t="n">
        <f aca="false">IF(OR($A9="",$C9="",N($D9)=0),"",($D9-$C9)/$D9)</f>
        <v>0.222222222222222</v>
      </c>
      <c r="G9" s="11" t="s">
        <v>68</v>
      </c>
    </row>
    <row r="10" customFormat="false" ht="15" hidden="false" customHeight="false" outlineLevel="0" collapsed="false">
      <c r="A10" s="11" t="s">
        <v>75</v>
      </c>
      <c r="B10" s="11" t="s">
        <v>76</v>
      </c>
      <c r="C10" s="12" t="n">
        <v>35000</v>
      </c>
      <c r="D10" s="12" t="n">
        <v>50000</v>
      </c>
      <c r="E10" s="13" t="n">
        <f aca="false">IF(OR($A10="",$C10=""),"",N($D10)-$C10)</f>
        <v>15000</v>
      </c>
      <c r="F10" s="14" t="n">
        <f aca="false">IF(OR($A10="",$C10="",N($D10)=0),"",($D10-$C10)/$D10)</f>
        <v>0.3</v>
      </c>
      <c r="G10" s="11" t="s">
        <v>68</v>
      </c>
    </row>
    <row r="11" customFormat="false" ht="15" hidden="false" customHeight="false" outlineLevel="0" collapsed="false">
      <c r="A11" s="11" t="s">
        <v>77</v>
      </c>
      <c r="B11" s="11" t="s">
        <v>76</v>
      </c>
      <c r="C11" s="12" t="n">
        <v>40000</v>
      </c>
      <c r="D11" s="12" t="n">
        <v>55000</v>
      </c>
      <c r="E11" s="13" t="n">
        <f aca="false">IF(OR($A11="",$C11=""),"",N($D11)-$C11)</f>
        <v>15000</v>
      </c>
      <c r="F11" s="14" t="n">
        <f aca="false">IF(OR($A11="",$C11="",N($D11)=0),"",($D11-$C11)/$D11)</f>
        <v>0.272727272727273</v>
      </c>
      <c r="G11" s="11" t="s">
        <v>68</v>
      </c>
    </row>
    <row r="12" customFormat="false" ht="15" hidden="false" customHeight="false" outlineLevel="0" collapsed="false">
      <c r="A12" s="11" t="s">
        <v>78</v>
      </c>
      <c r="B12" s="11" t="s">
        <v>70</v>
      </c>
      <c r="C12" s="12" t="n">
        <v>42000</v>
      </c>
      <c r="D12" s="12" t="n">
        <v>52000</v>
      </c>
      <c r="E12" s="13" t="n">
        <f aca="false">IF(OR($A12="",$C12=""),"",N($D12)-$C12)</f>
        <v>10000</v>
      </c>
      <c r="F12" s="14" t="n">
        <f aca="false">IF(OR($A12="",$C12="",N($D12)=0),"",($D12-$C12)/$D12)</f>
        <v>0.192307692307692</v>
      </c>
      <c r="G12" s="11" t="s">
        <v>68</v>
      </c>
    </row>
    <row r="13" customFormat="false" ht="15" hidden="false" customHeight="false" outlineLevel="0" collapsed="false">
      <c r="A13" s="11" t="s">
        <v>79</v>
      </c>
      <c r="B13" s="11" t="s">
        <v>80</v>
      </c>
      <c r="C13" s="12" t="n">
        <v>42000</v>
      </c>
      <c r="D13" s="12" t="n">
        <v>55000</v>
      </c>
      <c r="E13" s="13" t="n">
        <f aca="false">IF(OR($A13="",$C13=""),"",N($D13)-$C13)</f>
        <v>13000</v>
      </c>
      <c r="F13" s="14" t="n">
        <f aca="false">IF(OR($A13="",$C13="",N($D13)=0),"",($D13-$C13)/$D13)</f>
        <v>0.236363636363636</v>
      </c>
      <c r="G13" s="11" t="s">
        <v>68</v>
      </c>
    </row>
    <row r="14" customFormat="false" ht="15" hidden="false" customHeight="false" outlineLevel="0" collapsed="false">
      <c r="A14" s="11" t="s">
        <v>81</v>
      </c>
      <c r="B14" s="11" t="s">
        <v>70</v>
      </c>
      <c r="C14" s="12" t="n">
        <v>50000</v>
      </c>
      <c r="D14" s="12" t="n">
        <v>65000</v>
      </c>
      <c r="E14" s="13" t="n">
        <f aca="false">IF(OR($A14="",$C14=""),"",N($D14)-$C14)</f>
        <v>15000</v>
      </c>
      <c r="F14" s="14" t="n">
        <f aca="false">IF(OR($A14="",$C14="",N($D14)=0),"",($D14-$C14)/$D14)</f>
        <v>0.230769230769231</v>
      </c>
      <c r="G14" s="11" t="s">
        <v>68</v>
      </c>
    </row>
    <row r="15" customFormat="false" ht="15" hidden="false" customHeight="false" outlineLevel="0" collapsed="false">
      <c r="A15" s="11" t="s">
        <v>82</v>
      </c>
      <c r="B15" s="11" t="s">
        <v>70</v>
      </c>
      <c r="C15" s="12" t="n">
        <v>36000</v>
      </c>
      <c r="D15" s="12" t="n">
        <v>48000</v>
      </c>
      <c r="E15" s="13" t="n">
        <f aca="false">IF(OR($A15="",$C15=""),"",N($D15)-$C15)</f>
        <v>12000</v>
      </c>
      <c r="F15" s="14" t="n">
        <f aca="false">IF(OR($A15="",$C15="",N($D15)=0),"",($D15-$C15)/$D15)</f>
        <v>0.25</v>
      </c>
      <c r="G15" s="11" t="s">
        <v>68</v>
      </c>
    </row>
    <row r="16" customFormat="false" ht="15" hidden="false" customHeight="false" outlineLevel="0" collapsed="false">
      <c r="A16" s="11" t="s">
        <v>83</v>
      </c>
      <c r="B16" s="11" t="s">
        <v>72</v>
      </c>
      <c r="C16" s="12" t="n">
        <v>36000</v>
      </c>
      <c r="D16" s="12" t="n">
        <v>48000</v>
      </c>
      <c r="E16" s="13" t="n">
        <f aca="false">IF(OR($A16="",$C16=""),"",N($D16)-$C16)</f>
        <v>12000</v>
      </c>
      <c r="F16" s="14" t="n">
        <f aca="false">IF(OR($A16="",$C16="",N($D16)=0),"",($D16-$C16)/$D16)</f>
        <v>0.25</v>
      </c>
      <c r="G16" s="11" t="s">
        <v>68</v>
      </c>
    </row>
    <row r="17" customFormat="false" ht="15" hidden="false" customHeight="false" outlineLevel="0" collapsed="false">
      <c r="A17" s="11" t="s">
        <v>84</v>
      </c>
      <c r="B17" s="11" t="s">
        <v>85</v>
      </c>
      <c r="C17" s="12" t="n">
        <v>36000</v>
      </c>
      <c r="D17" s="12" t="n">
        <v>48000</v>
      </c>
      <c r="E17" s="13" t="n">
        <f aca="false">IF(OR($A17="",$C17=""),"",N($D17)-$C17)</f>
        <v>12000</v>
      </c>
      <c r="F17" s="14" t="n">
        <f aca="false">IF(OR($A17="",$C17="",N($D17)=0),"",($D17-$C17)/$D17)</f>
        <v>0.25</v>
      </c>
      <c r="G17" s="11" t="s">
        <v>68</v>
      </c>
    </row>
    <row r="18" customFormat="false" ht="15" hidden="false" customHeight="false" outlineLevel="0" collapsed="false">
      <c r="A18" s="11" t="s">
        <v>86</v>
      </c>
      <c r="B18" s="11" t="s">
        <v>70</v>
      </c>
      <c r="C18" s="12" t="n">
        <v>45000</v>
      </c>
      <c r="D18" s="12" t="n">
        <v>58000</v>
      </c>
      <c r="E18" s="13" t="n">
        <f aca="false">IF(OR($A18="",$C18=""),"",N($D18)-$C18)</f>
        <v>13000</v>
      </c>
      <c r="F18" s="14" t="n">
        <f aca="false">IF(OR($A18="",$C18="",N($D18)=0),"",($D18-$C18)/$D18)</f>
        <v>0.224137931034483</v>
      </c>
      <c r="G18" s="11" t="s">
        <v>68</v>
      </c>
    </row>
    <row r="19" customFormat="false" ht="15" hidden="false" customHeight="false" outlineLevel="0" collapsed="false">
      <c r="A19" s="11" t="s">
        <v>87</v>
      </c>
      <c r="B19" s="11"/>
      <c r="C19" s="12"/>
      <c r="D19" s="12" t="n">
        <v>85000</v>
      </c>
      <c r="E19" s="13" t="str">
        <f aca="false">IF(OR($A19="",$C19=""),"",N($D19)-$C19)</f>
        <v/>
      </c>
      <c r="F19" s="14" t="str">
        <f aca="false">IF(OR($A19="",$C19="",N($D19)=0),"",($D19-$C19)/$D19)</f>
        <v/>
      </c>
      <c r="G19" s="11" t="s">
        <v>88</v>
      </c>
    </row>
    <row r="20" customFormat="false" ht="15" hidden="false" customHeight="false" outlineLevel="0" collapsed="false">
      <c r="A20" s="11" t="s">
        <v>89</v>
      </c>
      <c r="B20" s="11"/>
      <c r="C20" s="12"/>
      <c r="D20" s="12" t="n">
        <v>35000</v>
      </c>
      <c r="E20" s="13" t="str">
        <f aca="false">IF(OR($A20="",$C20=""),"",N($D20)-$C20)</f>
        <v/>
      </c>
      <c r="F20" s="14" t="str">
        <f aca="false">IF(OR($A20="",$C20="",N($D20)=0),"",($D20-$C20)/$D20)</f>
        <v/>
      </c>
      <c r="G20" s="11" t="s">
        <v>88</v>
      </c>
    </row>
    <row r="21" customFormat="false" ht="15" hidden="false" customHeight="false" outlineLevel="0" collapsed="false">
      <c r="A21" s="11" t="s">
        <v>90</v>
      </c>
      <c r="B21" s="11"/>
      <c r="C21" s="12"/>
      <c r="D21" s="12" t="n">
        <v>48000</v>
      </c>
      <c r="E21" s="13" t="str">
        <f aca="false">IF(OR($A21="",$C21=""),"",N($D21)-$C21)</f>
        <v/>
      </c>
      <c r="F21" s="14" t="str">
        <f aca="false">IF(OR($A21="",$C21="",N($D21)=0),"",($D21-$C21)/$D21)</f>
        <v/>
      </c>
      <c r="G21" s="11" t="s">
        <v>88</v>
      </c>
    </row>
    <row r="22" customFormat="false" ht="15" hidden="false" customHeight="false" outlineLevel="0" collapsed="false">
      <c r="A22" s="11" t="s">
        <v>91</v>
      </c>
      <c r="B22" s="11"/>
      <c r="C22" s="12"/>
      <c r="D22" s="12" t="n">
        <v>65000</v>
      </c>
      <c r="E22" s="13" t="str">
        <f aca="false">IF(OR($A22="",$C22=""),"",N($D22)-$C22)</f>
        <v/>
      </c>
      <c r="F22" s="14" t="str">
        <f aca="false">IF(OR($A22="",$C22="",N($D22)=0),"",($D22-$C22)/$D22)</f>
        <v/>
      </c>
      <c r="G22" s="11" t="s">
        <v>88</v>
      </c>
    </row>
    <row r="23" customFormat="false" ht="15" hidden="false" customHeight="false" outlineLevel="0" collapsed="false">
      <c r="A23" s="11" t="s">
        <v>92</v>
      </c>
      <c r="B23" s="11"/>
      <c r="C23" s="12"/>
      <c r="D23" s="12" t="n">
        <v>120000</v>
      </c>
      <c r="E23" s="13" t="str">
        <f aca="false">IF(OR($A23="",$C23=""),"",N($D23)-$C23)</f>
        <v/>
      </c>
      <c r="F23" s="14" t="str">
        <f aca="false">IF(OR($A23="",$C23="",N($D23)=0),"",($D23-$C23)/$D23)</f>
        <v/>
      </c>
      <c r="G23" s="11" t="s">
        <v>88</v>
      </c>
    </row>
    <row r="24" customFormat="false" ht="15" hidden="false" customHeight="false" outlineLevel="0" collapsed="false">
      <c r="A24" s="11" t="s">
        <v>93</v>
      </c>
      <c r="B24" s="11"/>
      <c r="C24" s="12"/>
      <c r="D24" s="12" t="n">
        <v>52000</v>
      </c>
      <c r="E24" s="13" t="str">
        <f aca="false">IF(OR($A24="",$C24=""),"",N($D24)-$C24)</f>
        <v/>
      </c>
      <c r="F24" s="14" t="str">
        <f aca="false">IF(OR($A24="",$C24="",N($D24)=0),"",($D24-$C24)/$D24)</f>
        <v/>
      </c>
      <c r="G24" s="11" t="s">
        <v>88</v>
      </c>
    </row>
    <row r="25" customFormat="false" ht="15" hidden="false" customHeight="false" outlineLevel="0" collapsed="false">
      <c r="A25" s="11" t="s">
        <v>94</v>
      </c>
      <c r="B25" s="11"/>
      <c r="C25" s="12"/>
      <c r="D25" s="12" t="n">
        <v>55000</v>
      </c>
      <c r="E25" s="13" t="str">
        <f aca="false">IF(OR($A25="",$C25=""),"",N($D25)-$C25)</f>
        <v/>
      </c>
      <c r="F25" s="14" t="str">
        <f aca="false">IF(OR($A25="",$C25="",N($D25)=0),"",($D25-$C25)/$D25)</f>
        <v/>
      </c>
      <c r="G25" s="11" t="s">
        <v>88</v>
      </c>
    </row>
    <row r="26" customFormat="false" ht="15" hidden="false" customHeight="false" outlineLevel="0" collapsed="false">
      <c r="A26" s="11" t="s">
        <v>95</v>
      </c>
      <c r="B26" s="11"/>
      <c r="C26" s="12"/>
      <c r="D26" s="12" t="n">
        <v>47000</v>
      </c>
      <c r="E26" s="13" t="str">
        <f aca="false">IF(OR($A26="",$C26=""),"",N($D26)-$C26)</f>
        <v/>
      </c>
      <c r="F26" s="14" t="str">
        <f aca="false">IF(OR($A26="",$C26="",N($D26)=0),"",($D26-$C26)/$D26)</f>
        <v/>
      </c>
      <c r="G26" s="11" t="s">
        <v>88</v>
      </c>
    </row>
    <row r="27" customFormat="false" ht="15" hidden="false" customHeight="false" outlineLevel="0" collapsed="false">
      <c r="A27" s="11" t="s">
        <v>96</v>
      </c>
      <c r="B27" s="11"/>
      <c r="C27" s="12"/>
      <c r="D27" s="12" t="n">
        <v>55000</v>
      </c>
      <c r="E27" s="13" t="str">
        <f aca="false">IF(OR($A27="",$C27=""),"",N($D27)-$C27)</f>
        <v/>
      </c>
      <c r="F27" s="14" t="str">
        <f aca="false">IF(OR($A27="",$C27="",N($D27)=0),"",($D27-$C27)/$D27)</f>
        <v/>
      </c>
      <c r="G27" s="11" t="s">
        <v>88</v>
      </c>
    </row>
    <row r="28" customFormat="false" ht="15" hidden="false" customHeight="false" outlineLevel="0" collapsed="false">
      <c r="A28" s="11" t="s">
        <v>97</v>
      </c>
      <c r="B28" s="11"/>
      <c r="C28" s="12"/>
      <c r="D28" s="12" t="n">
        <v>250000</v>
      </c>
      <c r="E28" s="13" t="str">
        <f aca="false">IF(OR($A28="",$C28=""),"",N($D28)-$C28)</f>
        <v/>
      </c>
      <c r="F28" s="14" t="str">
        <f aca="false">IF(OR($A28="",$C28="",N($D28)=0),"",($D28-$C28)/$D28)</f>
        <v/>
      </c>
      <c r="G28" s="11" t="s">
        <v>88</v>
      </c>
    </row>
    <row r="29" customFormat="false" ht="15" hidden="false" customHeight="false" outlineLevel="0" collapsed="false">
      <c r="A29" s="11" t="s">
        <v>98</v>
      </c>
      <c r="B29" s="11"/>
      <c r="C29" s="12"/>
      <c r="D29" s="12" t="n">
        <v>58000</v>
      </c>
      <c r="E29" s="13" t="str">
        <f aca="false">IF(OR($A29="",$C29=""),"",N($D29)-$C29)</f>
        <v/>
      </c>
      <c r="F29" s="14" t="str">
        <f aca="false">IF(OR($A29="",$C29="",N($D29)=0),"",($D29-$C29)/$D29)</f>
        <v/>
      </c>
      <c r="G29" s="11" t="s">
        <v>88</v>
      </c>
    </row>
    <row r="30" customFormat="false" ht="15" hidden="false" customHeight="false" outlineLevel="0" collapsed="false">
      <c r="A30" s="11" t="s">
        <v>99</v>
      </c>
      <c r="B30" s="11"/>
      <c r="C30" s="12"/>
      <c r="D30" s="12" t="n">
        <v>48000</v>
      </c>
      <c r="E30" s="13" t="str">
        <f aca="false">IF(OR($A30="",$C30=""),"",N($D30)-$C30)</f>
        <v/>
      </c>
      <c r="F30" s="14" t="str">
        <f aca="false">IF(OR($A30="",$C30="",N($D30)=0),"",($D30-$C30)/$D30)</f>
        <v/>
      </c>
      <c r="G30" s="11" t="s">
        <v>88</v>
      </c>
    </row>
    <row r="31" customFormat="false" ht="15" hidden="false" customHeight="false" outlineLevel="0" collapsed="false">
      <c r="A31" s="11" t="s">
        <v>100</v>
      </c>
      <c r="B31" s="11"/>
      <c r="C31" s="12"/>
      <c r="D31" s="12" t="n">
        <v>62500</v>
      </c>
      <c r="E31" s="13" t="str">
        <f aca="false">IF(OR($A31="",$C31=""),"",N($D31)-$C31)</f>
        <v/>
      </c>
      <c r="F31" s="14" t="str">
        <f aca="false">IF(OR($A31="",$C31="",N($D31)=0),"",($D31-$C31)/$D31)</f>
        <v/>
      </c>
      <c r="G31" s="11" t="s">
        <v>88</v>
      </c>
    </row>
    <row r="32" customFormat="false" ht="15" hidden="false" customHeight="false" outlineLevel="0" collapsed="false">
      <c r="A32" s="11" t="s">
        <v>101</v>
      </c>
      <c r="B32" s="11"/>
      <c r="C32" s="12"/>
      <c r="D32" s="12" t="n">
        <v>50000</v>
      </c>
      <c r="E32" s="13" t="str">
        <f aca="false">IF(OR($A32="",$C32=""),"",N($D32)-$C32)</f>
        <v/>
      </c>
      <c r="F32" s="14" t="str">
        <f aca="false">IF(OR($A32="",$C32="",N($D32)=0),"",($D32-$C32)/$D32)</f>
        <v/>
      </c>
      <c r="G32" s="11" t="s">
        <v>88</v>
      </c>
    </row>
    <row r="33" customFormat="false" ht="15" hidden="false" customHeight="false" outlineLevel="0" collapsed="false">
      <c r="A33" s="11" t="s">
        <v>102</v>
      </c>
      <c r="B33" s="11"/>
      <c r="C33" s="12"/>
      <c r="D33" s="12" t="n">
        <v>54000</v>
      </c>
      <c r="E33" s="13" t="str">
        <f aca="false">IF(OR($A33="",$C33=""),"",N($D33)-$C33)</f>
        <v/>
      </c>
      <c r="F33" s="14" t="str">
        <f aca="false">IF(OR($A33="",$C33="",N($D33)=0),"",($D33-$C33)/$D33)</f>
        <v/>
      </c>
      <c r="G33" s="11" t="s">
        <v>88</v>
      </c>
    </row>
    <row r="34" customFormat="false" ht="15" hidden="false" customHeight="false" outlineLevel="0" collapsed="false">
      <c r="A34" s="11" t="s">
        <v>103</v>
      </c>
      <c r="B34" s="11"/>
      <c r="C34" s="12"/>
      <c r="D34" s="12" t="n">
        <v>47000</v>
      </c>
      <c r="E34" s="13" t="str">
        <f aca="false">IF(OR($A34="",$C34=""),"",N($D34)-$C34)</f>
        <v/>
      </c>
      <c r="F34" s="14" t="str">
        <f aca="false">IF(OR($A34="",$C34="",N($D34)=0),"",($D34-$C34)/$D34)</f>
        <v/>
      </c>
      <c r="G34" s="11" t="s">
        <v>88</v>
      </c>
    </row>
    <row r="35" customFormat="false" ht="15" hidden="false" customHeight="false" outlineLevel="0" collapsed="false">
      <c r="A35" s="11" t="s">
        <v>104</v>
      </c>
      <c r="B35" s="11"/>
      <c r="C35" s="12"/>
      <c r="D35" s="12" t="n">
        <v>50000</v>
      </c>
      <c r="E35" s="13" t="str">
        <f aca="false">IF(OR($A35="",$C35=""),"",N($D35)-$C35)</f>
        <v/>
      </c>
      <c r="F35" s="14" t="str">
        <f aca="false">IF(OR($A35="",$C35="",N($D35)=0),"",($D35-$C35)/$D35)</f>
        <v/>
      </c>
      <c r="G35" s="11" t="s">
        <v>88</v>
      </c>
    </row>
    <row r="36" customFormat="false" ht="15" hidden="false" customHeight="false" outlineLevel="0" collapsed="false">
      <c r="A36" s="11" t="s">
        <v>105</v>
      </c>
      <c r="B36" s="11"/>
      <c r="C36" s="12"/>
      <c r="D36" s="12" t="n">
        <v>54000</v>
      </c>
      <c r="E36" s="13" t="str">
        <f aca="false">IF(OR($A36="",$C36=""),"",N($D36)-$C36)</f>
        <v/>
      </c>
      <c r="F36" s="14" t="str">
        <f aca="false">IF(OR($A36="",$C36="",N($D36)=0),"",($D36-$C36)/$D36)</f>
        <v/>
      </c>
      <c r="G36" s="11" t="s">
        <v>88</v>
      </c>
    </row>
    <row r="37" customFormat="false" ht="15" hidden="false" customHeight="false" outlineLevel="0" collapsed="false">
      <c r="A37" s="11" t="s">
        <v>106</v>
      </c>
      <c r="B37" s="11"/>
      <c r="C37" s="12"/>
      <c r="D37" s="12" t="n">
        <v>50000</v>
      </c>
      <c r="E37" s="13" t="str">
        <f aca="false">IF(OR($A37="",$C37=""),"",N($D37)-$C37)</f>
        <v/>
      </c>
      <c r="F37" s="14" t="str">
        <f aca="false">IF(OR($A37="",$C37="",N($D37)=0),"",($D37-$C37)/$D37)</f>
        <v/>
      </c>
      <c r="G37" s="11" t="s">
        <v>88</v>
      </c>
    </row>
    <row r="38" customFormat="false" ht="15" hidden="false" customHeight="false" outlineLevel="0" collapsed="false">
      <c r="A38" s="11" t="s">
        <v>107</v>
      </c>
      <c r="B38" s="11"/>
      <c r="C38" s="12"/>
      <c r="D38" s="12" t="n">
        <v>48000</v>
      </c>
      <c r="E38" s="13" t="str">
        <f aca="false">IF(OR($A38="",$C38=""),"",N($D38)-$C38)</f>
        <v/>
      </c>
      <c r="F38" s="14" t="str">
        <f aca="false">IF(OR($A38="",$C38="",N($D38)=0),"",($D38-$C38)/$D38)</f>
        <v/>
      </c>
      <c r="G38" s="11" t="s">
        <v>88</v>
      </c>
    </row>
    <row r="39" customFormat="false" ht="15" hidden="false" customHeight="false" outlineLevel="0" collapsed="false">
      <c r="A39" s="11" t="s">
        <v>108</v>
      </c>
      <c r="B39" s="11"/>
      <c r="C39" s="12"/>
      <c r="D39" s="12" t="n">
        <v>45000</v>
      </c>
      <c r="E39" s="13" t="str">
        <f aca="false">IF(OR($A39="",$C39=""),"",N($D39)-$C39)</f>
        <v/>
      </c>
      <c r="F39" s="14" t="str">
        <f aca="false">IF(OR($A39="",$C39="",N($D39)=0),"",($D39-$C39)/$D39)</f>
        <v/>
      </c>
      <c r="G39" s="11" t="s">
        <v>88</v>
      </c>
    </row>
    <row r="40" customFormat="false" ht="15" hidden="false" customHeight="false" outlineLevel="0" collapsed="false">
      <c r="A40" s="11" t="s">
        <v>109</v>
      </c>
      <c r="B40" s="11"/>
      <c r="C40" s="12"/>
      <c r="D40" s="12" t="n">
        <v>50000</v>
      </c>
      <c r="E40" s="13" t="str">
        <f aca="false">IF(OR($A40="",$C40=""),"",N($D40)-$C40)</f>
        <v/>
      </c>
      <c r="F40" s="14" t="str">
        <f aca="false">IF(OR($A40="",$C40="",N($D40)=0),"",($D40-$C40)/$D40)</f>
        <v/>
      </c>
      <c r="G40" s="11" t="s">
        <v>88</v>
      </c>
    </row>
    <row r="41" customFormat="false" ht="15" hidden="false" customHeight="false" outlineLevel="0" collapsed="false">
      <c r="A41" s="11" t="s">
        <v>110</v>
      </c>
      <c r="B41" s="11"/>
      <c r="C41" s="12"/>
      <c r="D41" s="12" t="n">
        <v>70000</v>
      </c>
      <c r="E41" s="13" t="str">
        <f aca="false">IF(OR($A41="",$C41=""),"",N($D41)-$C41)</f>
        <v/>
      </c>
      <c r="F41" s="14" t="str">
        <f aca="false">IF(OR($A41="",$C41="",N($D41)=0),"",($D41-$C41)/$D41)</f>
        <v/>
      </c>
      <c r="G41" s="11" t="s">
        <v>88</v>
      </c>
    </row>
    <row r="42" customFormat="false" ht="15" hidden="false" customHeight="false" outlineLevel="0" collapsed="false">
      <c r="A42" s="11" t="s">
        <v>111</v>
      </c>
      <c r="B42" s="11"/>
      <c r="C42" s="12"/>
      <c r="D42" s="12" t="n">
        <v>55000</v>
      </c>
      <c r="E42" s="13" t="str">
        <f aca="false">IF(OR($A42="",$C42=""),"",N($D42)-$C42)</f>
        <v/>
      </c>
      <c r="F42" s="14" t="str">
        <f aca="false">IF(OR($A42="",$C42="",N($D42)=0),"",($D42-$C42)/$D42)</f>
        <v/>
      </c>
      <c r="G42" s="11" t="s">
        <v>88</v>
      </c>
    </row>
    <row r="43" customFormat="false" ht="15" hidden="false" customHeight="false" outlineLevel="0" collapsed="false">
      <c r="A43" s="11" t="s">
        <v>112</v>
      </c>
      <c r="B43" s="11"/>
      <c r="C43" s="12"/>
      <c r="D43" s="12" t="n">
        <v>55000</v>
      </c>
      <c r="E43" s="13" t="str">
        <f aca="false">IF(OR($A43="",$C43=""),"",N($D43)-$C43)</f>
        <v/>
      </c>
      <c r="F43" s="14" t="str">
        <f aca="false">IF(OR($A43="",$C43="",N($D43)=0),"",($D43-$C43)/$D43)</f>
        <v/>
      </c>
      <c r="G43" s="11" t="s">
        <v>88</v>
      </c>
    </row>
    <row r="44" customFormat="false" ht="15" hidden="false" customHeight="false" outlineLevel="0" collapsed="false">
      <c r="A44" s="11" t="s">
        <v>113</v>
      </c>
      <c r="B44" s="11"/>
      <c r="C44" s="12"/>
      <c r="D44" s="12" t="n">
        <v>29000</v>
      </c>
      <c r="E44" s="13" t="str">
        <f aca="false">IF(OR($A44="",$C44=""),"",N($D44)-$C44)</f>
        <v/>
      </c>
      <c r="F44" s="14" t="str">
        <f aca="false">IF(OR($A44="",$C44="",N($D44)=0),"",($D44-$C44)/$D44)</f>
        <v/>
      </c>
      <c r="G44" s="11" t="s">
        <v>88</v>
      </c>
    </row>
    <row r="45" customFormat="false" ht="15" hidden="false" customHeight="false" outlineLevel="0" collapsed="false">
      <c r="A45" s="11" t="s">
        <v>114</v>
      </c>
      <c r="B45" s="11"/>
      <c r="C45" s="12"/>
      <c r="D45" s="12"/>
      <c r="E45" s="13" t="str">
        <f aca="false">IF(OR($A45="",$C45=""),"",N($D45)-$C45)</f>
        <v/>
      </c>
      <c r="F45" s="14" t="str">
        <f aca="false">IF(OR($A45="",$C45="",N($D45)=0),"",($D45-$C45)/$D45)</f>
        <v/>
      </c>
      <c r="G45" s="11" t="s">
        <v>88</v>
      </c>
    </row>
    <row r="46" customFormat="false" ht="15" hidden="false" customHeight="false" outlineLevel="0" collapsed="false">
      <c r="A46" s="11" t="s">
        <v>115</v>
      </c>
      <c r="B46" s="11"/>
      <c r="C46" s="12"/>
      <c r="D46" s="12" t="n">
        <v>140000</v>
      </c>
      <c r="E46" s="13" t="str">
        <f aca="false">IF(OR($A46="",$C46=""),"",N($D46)-$C46)</f>
        <v/>
      </c>
      <c r="F46" s="14" t="str">
        <f aca="false">IF(OR($A46="",$C46="",N($D46)=0),"",($D46-$C46)/$D46)</f>
        <v/>
      </c>
      <c r="G46" s="11" t="s">
        <v>88</v>
      </c>
    </row>
    <row r="47" customFormat="false" ht="15" hidden="false" customHeight="false" outlineLevel="0" collapsed="false">
      <c r="A47" s="11"/>
      <c r="B47" s="11"/>
      <c r="C47" s="12"/>
      <c r="D47" s="12"/>
      <c r="E47" s="13" t="str">
        <f aca="false">IF(OR($A47="",$C47=""),"",N($D47)-$C47)</f>
        <v/>
      </c>
      <c r="F47" s="14" t="str">
        <f aca="false">IF(OR($A47="",$C47="",N($D47)=0),"",($D47-$C47)/$D47)</f>
        <v/>
      </c>
      <c r="G47" s="11"/>
    </row>
    <row r="48" customFormat="false" ht="15" hidden="false" customHeight="false" outlineLevel="0" collapsed="false">
      <c r="A48" s="11"/>
      <c r="B48" s="11"/>
      <c r="C48" s="12"/>
      <c r="D48" s="12"/>
      <c r="E48" s="13" t="str">
        <f aca="false">IF(OR($A48="",$C48=""),"",N($D48)-$C48)</f>
        <v/>
      </c>
      <c r="F48" s="14" t="str">
        <f aca="false">IF(OR($A48="",$C48="",N($D48)=0),"",($D48-$C48)/$D48)</f>
        <v/>
      </c>
      <c r="G48" s="11"/>
    </row>
    <row r="49" customFormat="false" ht="15" hidden="false" customHeight="false" outlineLevel="0" collapsed="false">
      <c r="A49" s="11"/>
      <c r="B49" s="11"/>
      <c r="C49" s="12"/>
      <c r="D49" s="12"/>
      <c r="E49" s="13" t="str">
        <f aca="false">IF(OR($A49="",$C49=""),"",N($D49)-$C49)</f>
        <v/>
      </c>
      <c r="F49" s="14" t="str">
        <f aca="false">IF(OR($A49="",$C49="",N($D49)=0),"",($D49-$C49)/$D49)</f>
        <v/>
      </c>
      <c r="G49" s="11"/>
    </row>
    <row r="50" customFormat="false" ht="15" hidden="false" customHeight="false" outlineLevel="0" collapsed="false">
      <c r="A50" s="11"/>
      <c r="B50" s="11"/>
      <c r="C50" s="12"/>
      <c r="D50" s="12"/>
      <c r="E50" s="13" t="str">
        <f aca="false">IF(OR($A50="",$C50=""),"",N($D50)-$C50)</f>
        <v/>
      </c>
      <c r="F50" s="14" t="str">
        <f aca="false">IF(OR($A50="",$C50="",N($D50)=0),"",($D50-$C50)/$D50)</f>
        <v/>
      </c>
      <c r="G50" s="11"/>
    </row>
    <row r="51" customFormat="false" ht="15" hidden="false" customHeight="false" outlineLevel="0" collapsed="false">
      <c r="A51" s="11"/>
      <c r="B51" s="11"/>
      <c r="C51" s="12"/>
      <c r="D51" s="12"/>
      <c r="E51" s="13" t="str">
        <f aca="false">IF(OR($A51="",$C51=""),"",N($D51)-$C51)</f>
        <v/>
      </c>
      <c r="F51" s="14" t="str">
        <f aca="false">IF(OR($A51="",$C51="",N($D51)=0),"",($D51-$C51)/$D51)</f>
        <v/>
      </c>
      <c r="G51" s="11"/>
    </row>
    <row r="52" customFormat="false" ht="15" hidden="false" customHeight="false" outlineLevel="0" collapsed="false">
      <c r="A52" s="11"/>
      <c r="B52" s="11"/>
      <c r="C52" s="12"/>
      <c r="D52" s="12"/>
      <c r="E52" s="13" t="str">
        <f aca="false">IF(OR($A52="",$C52=""),"",N($D52)-$C52)</f>
        <v/>
      </c>
      <c r="F52" s="14" t="str">
        <f aca="false">IF(OR($A52="",$C52="",N($D52)=0),"",($D52-$C52)/$D52)</f>
        <v/>
      </c>
      <c r="G52" s="11"/>
    </row>
    <row r="53" customFormat="false" ht="15" hidden="false" customHeight="false" outlineLevel="0" collapsed="false">
      <c r="A53" s="11"/>
      <c r="B53" s="11"/>
      <c r="C53" s="12"/>
      <c r="D53" s="12"/>
      <c r="E53" s="13" t="str">
        <f aca="false">IF(OR($A53="",$C53=""),"",N($D53)-$C53)</f>
        <v/>
      </c>
      <c r="F53" s="14" t="str">
        <f aca="false">IF(OR($A53="",$C53="",N($D53)=0),"",($D53-$C53)/$D53)</f>
        <v/>
      </c>
      <c r="G53" s="11"/>
    </row>
    <row r="54" customFormat="false" ht="15" hidden="false" customHeight="false" outlineLevel="0" collapsed="false">
      <c r="A54" s="11"/>
      <c r="B54" s="11"/>
      <c r="C54" s="12"/>
      <c r="D54" s="12"/>
      <c r="E54" s="13" t="str">
        <f aca="false">IF(OR($A54="",$C54=""),"",N($D54)-$C54)</f>
        <v/>
      </c>
      <c r="F54" s="14" t="str">
        <f aca="false">IF(OR($A54="",$C54="",N($D54)=0),"",($D54-$C54)/$D54)</f>
        <v/>
      </c>
      <c r="G54" s="11"/>
    </row>
    <row r="55" customFormat="false" ht="15" hidden="false" customHeight="false" outlineLevel="0" collapsed="false">
      <c r="A55" s="11"/>
      <c r="B55" s="11"/>
      <c r="C55" s="12"/>
      <c r="D55" s="12"/>
      <c r="E55" s="13" t="str">
        <f aca="false">IF(OR($A55="",$C55=""),"",N($D55)-$C55)</f>
        <v/>
      </c>
      <c r="F55" s="14" t="str">
        <f aca="false">IF(OR($A55="",$C55="",N($D55)=0),"",($D55-$C55)/$D55)</f>
        <v/>
      </c>
      <c r="G55" s="11"/>
    </row>
    <row r="56" customFormat="false" ht="15" hidden="false" customHeight="false" outlineLevel="0" collapsed="false">
      <c r="A56" s="11"/>
      <c r="B56" s="11"/>
      <c r="C56" s="12"/>
      <c r="D56" s="12"/>
      <c r="E56" s="13" t="str">
        <f aca="false">IF(OR($A56="",$C56=""),"",N($D56)-$C56)</f>
        <v/>
      </c>
      <c r="F56" s="14" t="str">
        <f aca="false">IF(OR($A56="",$C56="",N($D56)=0),"",($D56-$C56)/$D56)</f>
        <v/>
      </c>
      <c r="G56" s="11"/>
    </row>
    <row r="57" customFormat="false" ht="15" hidden="false" customHeight="false" outlineLevel="0" collapsed="false">
      <c r="A57" s="11"/>
      <c r="B57" s="11"/>
      <c r="C57" s="12"/>
      <c r="D57" s="12"/>
      <c r="E57" s="13" t="str">
        <f aca="false">IF(OR($A57="",$C57=""),"",N($D57)-$C57)</f>
        <v/>
      </c>
      <c r="F57" s="14" t="str">
        <f aca="false">IF(OR($A57="",$C57="",N($D57)=0),"",($D57-$C57)/$D57)</f>
        <v/>
      </c>
      <c r="G57" s="11"/>
    </row>
    <row r="58" customFormat="false" ht="15" hidden="false" customHeight="false" outlineLevel="0" collapsed="false">
      <c r="A58" s="11"/>
      <c r="B58" s="11"/>
      <c r="C58" s="12"/>
      <c r="D58" s="12"/>
      <c r="E58" s="13" t="str">
        <f aca="false">IF(OR($A58="",$C58=""),"",N($D58)-$C58)</f>
        <v/>
      </c>
      <c r="F58" s="14" t="str">
        <f aca="false">IF(OR($A58="",$C58="",N($D58)=0),"",($D58-$C58)/$D58)</f>
        <v/>
      </c>
      <c r="G58" s="11"/>
    </row>
    <row r="59" customFormat="false" ht="15" hidden="false" customHeight="false" outlineLevel="0" collapsed="false">
      <c r="A59" s="11"/>
      <c r="B59" s="11"/>
      <c r="C59" s="12"/>
      <c r="D59" s="12"/>
      <c r="E59" s="13" t="str">
        <f aca="false">IF(OR($A59="",$C59=""),"",N($D59)-$C59)</f>
        <v/>
      </c>
      <c r="F59" s="14" t="str">
        <f aca="false">IF(OR($A59="",$C59="",N($D59)=0),"",($D59-$C59)/$D59)</f>
        <v/>
      </c>
      <c r="G59" s="11"/>
    </row>
    <row r="60" customFormat="false" ht="15" hidden="false" customHeight="false" outlineLevel="0" collapsed="false">
      <c r="A60" s="11"/>
      <c r="B60" s="11"/>
      <c r="C60" s="12"/>
      <c r="D60" s="12"/>
      <c r="E60" s="13" t="str">
        <f aca="false">IF(OR($A60="",$C60=""),"",N($D60)-$C60)</f>
        <v/>
      </c>
      <c r="F60" s="14" t="str">
        <f aca="false">IF(OR($A60="",$C60="",N($D60)=0),"",($D60-$C60)/$D60)</f>
        <v/>
      </c>
      <c r="G60" s="11"/>
    </row>
    <row r="61" customFormat="false" ht="15" hidden="false" customHeight="false" outlineLevel="0" collapsed="false">
      <c r="A61" s="11"/>
      <c r="B61" s="11"/>
      <c r="C61" s="12"/>
      <c r="D61" s="12"/>
      <c r="E61" s="13" t="str">
        <f aca="false">IF(OR($A61="",$C61=""),"",N($D61)-$C61)</f>
        <v/>
      </c>
      <c r="F61" s="14" t="str">
        <f aca="false">IF(OR($A61="",$C61="",N($D61)=0),"",($D61-$C61)/$D61)</f>
        <v/>
      </c>
      <c r="G61" s="11"/>
    </row>
    <row r="62" customFormat="false" ht="15" hidden="false" customHeight="false" outlineLevel="0" collapsed="false">
      <c r="A62" s="11"/>
      <c r="B62" s="11"/>
      <c r="C62" s="12"/>
      <c r="D62" s="12"/>
      <c r="E62" s="13" t="str">
        <f aca="false">IF(OR($A62="",$C62=""),"",N($D62)-$C62)</f>
        <v/>
      </c>
      <c r="F62" s="14" t="str">
        <f aca="false">IF(OR($A62="",$C62="",N($D62)=0),"",($D62-$C62)/$D62)</f>
        <v/>
      </c>
      <c r="G62" s="11"/>
    </row>
    <row r="63" customFormat="false" ht="15" hidden="false" customHeight="false" outlineLevel="0" collapsed="false">
      <c r="A63" s="11"/>
      <c r="B63" s="11"/>
      <c r="C63" s="12"/>
      <c r="D63" s="12"/>
      <c r="E63" s="13" t="str">
        <f aca="false">IF(OR($A63="",$C63=""),"",N($D63)-$C63)</f>
        <v/>
      </c>
      <c r="F63" s="14" t="str">
        <f aca="false">IF(OR($A63="",$C63="",N($D63)=0),"",($D63-$C63)/$D63)</f>
        <v/>
      </c>
      <c r="G63" s="11"/>
    </row>
    <row r="64" customFormat="false" ht="15" hidden="false" customHeight="false" outlineLevel="0" collapsed="false">
      <c r="A64" s="11"/>
      <c r="B64" s="11"/>
      <c r="C64" s="12"/>
      <c r="D64" s="12"/>
      <c r="E64" s="13" t="str">
        <f aca="false">IF(OR($A64="",$C64=""),"",N($D64)-$C64)</f>
        <v/>
      </c>
      <c r="F64" s="14" t="str">
        <f aca="false">IF(OR($A64="",$C64="",N($D64)=0),"",($D64-$C64)/$D64)</f>
        <v/>
      </c>
      <c r="G64" s="11"/>
    </row>
    <row r="65" customFormat="false" ht="15" hidden="false" customHeight="false" outlineLevel="0" collapsed="false">
      <c r="A65" s="11"/>
      <c r="B65" s="11"/>
      <c r="C65" s="12"/>
      <c r="D65" s="12"/>
      <c r="E65" s="13" t="str">
        <f aca="false">IF(OR($A65="",$C65=""),"",N($D65)-$C65)</f>
        <v/>
      </c>
      <c r="F65" s="14" t="str">
        <f aca="false">IF(OR($A65="",$C65="",N($D65)=0),"",($D65-$C65)/$D65)</f>
        <v/>
      </c>
      <c r="G65" s="11"/>
    </row>
    <row r="66" customFormat="false" ht="15" hidden="false" customHeight="false" outlineLevel="0" collapsed="false">
      <c r="A66" s="11"/>
      <c r="B66" s="11"/>
      <c r="C66" s="12"/>
      <c r="D66" s="12"/>
      <c r="E66" s="13" t="str">
        <f aca="false">IF(OR($A66="",$C66=""),"",N($D66)-$C66)</f>
        <v/>
      </c>
      <c r="F66" s="14" t="str">
        <f aca="false">IF(OR($A66="",$C66="",N($D66)=0),"",($D66-$C66)/$D66)</f>
        <v/>
      </c>
      <c r="G66" s="11"/>
    </row>
    <row r="67" customFormat="false" ht="15" hidden="false" customHeight="false" outlineLevel="0" collapsed="false">
      <c r="A67" s="11"/>
      <c r="B67" s="11"/>
      <c r="C67" s="12"/>
      <c r="D67" s="12"/>
      <c r="E67" s="13" t="str">
        <f aca="false">IF(OR($A67="",$C67=""),"",N($D67)-$C67)</f>
        <v/>
      </c>
      <c r="F67" s="14" t="str">
        <f aca="false">IF(OR($A67="",$C67="",N($D67)=0),"",($D67-$C67)/$D67)</f>
        <v/>
      </c>
      <c r="G67" s="11"/>
    </row>
    <row r="68" customFormat="false" ht="15" hidden="false" customHeight="false" outlineLevel="0" collapsed="false">
      <c r="A68" s="11"/>
      <c r="B68" s="11"/>
      <c r="C68" s="12"/>
      <c r="D68" s="12"/>
      <c r="E68" s="13" t="str">
        <f aca="false">IF(OR($A68="",$C68=""),"",N($D68)-$C68)</f>
        <v/>
      </c>
      <c r="F68" s="14" t="str">
        <f aca="false">IF(OR($A68="",$C68="",N($D68)=0),"",($D68-$C68)/$D68)</f>
        <v/>
      </c>
      <c r="G68" s="11"/>
    </row>
    <row r="69" customFormat="false" ht="15" hidden="false" customHeight="false" outlineLevel="0" collapsed="false">
      <c r="A69" s="11"/>
      <c r="B69" s="11"/>
      <c r="C69" s="12"/>
      <c r="D69" s="12"/>
      <c r="E69" s="13" t="str">
        <f aca="false">IF(OR($A69="",$C69=""),"",N($D69)-$C69)</f>
        <v/>
      </c>
      <c r="F69" s="14" t="str">
        <f aca="false">IF(OR($A69="",$C69="",N($D69)=0),"",($D69-$C69)/$D69)</f>
        <v/>
      </c>
      <c r="G69" s="11"/>
    </row>
    <row r="70" customFormat="false" ht="15" hidden="false" customHeight="false" outlineLevel="0" collapsed="false">
      <c r="A70" s="11"/>
      <c r="B70" s="11"/>
      <c r="C70" s="12"/>
      <c r="D70" s="12"/>
      <c r="E70" s="13" t="str">
        <f aca="false">IF(OR($A70="",$C70=""),"",N($D70)-$C70)</f>
        <v/>
      </c>
      <c r="F70" s="14" t="str">
        <f aca="false">IF(OR($A70="",$C70="",N($D70)=0),"",($D70-$C70)/$D70)</f>
        <v/>
      </c>
      <c r="G70" s="11"/>
    </row>
    <row r="71" customFormat="false" ht="15" hidden="false" customHeight="false" outlineLevel="0" collapsed="false">
      <c r="A71" s="11"/>
      <c r="B71" s="11"/>
      <c r="C71" s="12"/>
      <c r="D71" s="12"/>
      <c r="E71" s="13" t="str">
        <f aca="false">IF(OR($A71="",$C71=""),"",N($D71)-$C71)</f>
        <v/>
      </c>
      <c r="F71" s="14" t="str">
        <f aca="false">IF(OR($A71="",$C71="",N($D71)=0),"",($D71-$C71)/$D71)</f>
        <v/>
      </c>
      <c r="G71" s="11"/>
    </row>
    <row r="72" customFormat="false" ht="15" hidden="false" customHeight="false" outlineLevel="0" collapsed="false">
      <c r="A72" s="11"/>
      <c r="B72" s="11"/>
      <c r="C72" s="12"/>
      <c r="D72" s="12"/>
      <c r="E72" s="13" t="str">
        <f aca="false">IF(OR($A72="",$C72=""),"",N($D72)-$C72)</f>
        <v/>
      </c>
      <c r="F72" s="14" t="str">
        <f aca="false">IF(OR($A72="",$C72="",N($D72)=0),"",($D72-$C72)/$D72)</f>
        <v/>
      </c>
      <c r="G72" s="11"/>
    </row>
    <row r="73" customFormat="false" ht="15" hidden="false" customHeight="false" outlineLevel="0" collapsed="false">
      <c r="A73" s="11"/>
      <c r="B73" s="11"/>
      <c r="C73" s="12"/>
      <c r="D73" s="12"/>
      <c r="E73" s="13" t="str">
        <f aca="false">IF(OR($A73="",$C73=""),"",N($D73)-$C73)</f>
        <v/>
      </c>
      <c r="F73" s="14" t="str">
        <f aca="false">IF(OR($A73="",$C73="",N($D73)=0),"",($D73-$C73)/$D73)</f>
        <v/>
      </c>
      <c r="G73" s="11"/>
    </row>
    <row r="74" customFormat="false" ht="15" hidden="false" customHeight="false" outlineLevel="0" collapsed="false">
      <c r="A74" s="11"/>
      <c r="B74" s="11"/>
      <c r="C74" s="12"/>
      <c r="D74" s="12"/>
      <c r="E74" s="13" t="str">
        <f aca="false">IF(OR($A74="",$C74=""),"",N($D74)-$C74)</f>
        <v/>
      </c>
      <c r="F74" s="14" t="str">
        <f aca="false">IF(OR($A74="",$C74="",N($D74)=0),"",($D74-$C74)/$D74)</f>
        <v/>
      </c>
      <c r="G74" s="11"/>
    </row>
    <row r="75" customFormat="false" ht="15" hidden="false" customHeight="false" outlineLevel="0" collapsed="false">
      <c r="A75" s="11"/>
      <c r="B75" s="11"/>
      <c r="C75" s="12"/>
      <c r="D75" s="12"/>
      <c r="E75" s="13" t="str">
        <f aca="false">IF(OR($A75="",$C75=""),"",N($D75)-$C75)</f>
        <v/>
      </c>
      <c r="F75" s="14" t="str">
        <f aca="false">IF(OR($A75="",$C75="",N($D75)=0),"",($D75-$C75)/$D75)</f>
        <v/>
      </c>
      <c r="G75" s="11"/>
    </row>
    <row r="76" customFormat="false" ht="15" hidden="false" customHeight="false" outlineLevel="0" collapsed="false">
      <c r="A76" s="11"/>
      <c r="B76" s="11"/>
      <c r="C76" s="12"/>
      <c r="D76" s="12"/>
      <c r="E76" s="13" t="str">
        <f aca="false">IF(OR($A76="",$C76=""),"",N($D76)-$C76)</f>
        <v/>
      </c>
      <c r="F76" s="14" t="str">
        <f aca="false">IF(OR($A76="",$C76="",N($D76)=0),"",($D76-$C76)/$D76)</f>
        <v/>
      </c>
      <c r="G76" s="11"/>
    </row>
    <row r="77" customFormat="false" ht="15" hidden="false" customHeight="false" outlineLevel="0" collapsed="false">
      <c r="A77" s="11"/>
      <c r="B77" s="11"/>
      <c r="C77" s="12"/>
      <c r="D77" s="12"/>
      <c r="E77" s="13" t="str">
        <f aca="false">IF(OR($A77="",$C77=""),"",N($D77)-$C77)</f>
        <v/>
      </c>
      <c r="F77" s="14" t="str">
        <f aca="false">IF(OR($A77="",$C77="",N($D77)=0),"",($D77-$C77)/$D77)</f>
        <v/>
      </c>
      <c r="G77" s="11"/>
    </row>
    <row r="78" customFormat="false" ht="15" hidden="false" customHeight="false" outlineLevel="0" collapsed="false">
      <c r="A78" s="11"/>
      <c r="B78" s="11"/>
      <c r="C78" s="12"/>
      <c r="D78" s="12"/>
      <c r="E78" s="13" t="str">
        <f aca="false">IF(OR($A78="",$C78=""),"",N($D78)-$C78)</f>
        <v/>
      </c>
      <c r="F78" s="14" t="str">
        <f aca="false">IF(OR($A78="",$C78="",N($D78)=0),"",($D78-$C78)/$D78)</f>
        <v/>
      </c>
      <c r="G78" s="11"/>
    </row>
    <row r="79" customFormat="false" ht="15" hidden="false" customHeight="false" outlineLevel="0" collapsed="false">
      <c r="A79" s="11"/>
      <c r="B79" s="11"/>
      <c r="C79" s="12"/>
      <c r="D79" s="12"/>
      <c r="E79" s="13" t="str">
        <f aca="false">IF(OR($A79="",$C79=""),"",N($D79)-$C79)</f>
        <v/>
      </c>
      <c r="F79" s="14" t="str">
        <f aca="false">IF(OR($A79="",$C79="",N($D79)=0),"",($D79-$C79)/$D79)</f>
        <v/>
      </c>
      <c r="G79" s="11"/>
    </row>
    <row r="80" customFormat="false" ht="15" hidden="false" customHeight="false" outlineLevel="0" collapsed="false">
      <c r="A80" s="11"/>
      <c r="B80" s="11"/>
      <c r="C80" s="12"/>
      <c r="D80" s="12"/>
      <c r="E80" s="13" t="str">
        <f aca="false">IF(OR($A80="",$C80=""),"",N($D80)-$C80)</f>
        <v/>
      </c>
      <c r="F80" s="14" t="str">
        <f aca="false">IF(OR($A80="",$C80="",N($D80)=0),"",($D80-$C80)/$D80)</f>
        <v/>
      </c>
      <c r="G80" s="11"/>
    </row>
    <row r="81" customFormat="false" ht="15" hidden="false" customHeight="false" outlineLevel="0" collapsed="false">
      <c r="A81" s="11"/>
      <c r="B81" s="11"/>
      <c r="C81" s="12"/>
      <c r="D81" s="12"/>
      <c r="E81" s="13" t="str">
        <f aca="false">IF(OR($A81="",$C81=""),"",N($D81)-$C81)</f>
        <v/>
      </c>
      <c r="F81" s="14" t="str">
        <f aca="false">IF(OR($A81="",$C81="",N($D81)=0),"",($D81-$C81)/$D81)</f>
        <v/>
      </c>
      <c r="G81" s="11"/>
    </row>
    <row r="82" customFormat="false" ht="15" hidden="false" customHeight="false" outlineLevel="0" collapsed="false">
      <c r="A82" s="11"/>
      <c r="B82" s="11"/>
      <c r="C82" s="12"/>
      <c r="D82" s="12"/>
      <c r="E82" s="13" t="str">
        <f aca="false">IF(OR($A82="",$C82=""),"",N($D82)-$C82)</f>
        <v/>
      </c>
      <c r="F82" s="14" t="str">
        <f aca="false">IF(OR($A82="",$C82="",N($D82)=0),"",($D82-$C82)/$D82)</f>
        <v/>
      </c>
      <c r="G82" s="11"/>
    </row>
    <row r="83" customFormat="false" ht="15" hidden="false" customHeight="false" outlineLevel="0" collapsed="false">
      <c r="A83" s="11"/>
      <c r="B83" s="11"/>
      <c r="C83" s="12"/>
      <c r="D83" s="12"/>
      <c r="E83" s="13" t="str">
        <f aca="false">IF(OR($A83="",$C83=""),"",N($D83)-$C83)</f>
        <v/>
      </c>
      <c r="F83" s="14" t="str">
        <f aca="false">IF(OR($A83="",$C83="",N($D83)=0),"",($D83-$C83)/$D83)</f>
        <v/>
      </c>
      <c r="G83" s="11"/>
    </row>
    <row r="84" customFormat="false" ht="15" hidden="false" customHeight="false" outlineLevel="0" collapsed="false">
      <c r="A84" s="11"/>
      <c r="B84" s="11"/>
      <c r="C84" s="12"/>
      <c r="D84" s="12"/>
      <c r="E84" s="13" t="str">
        <f aca="false">IF(OR($A84="",$C84=""),"",N($D84)-$C84)</f>
        <v/>
      </c>
      <c r="F84" s="14" t="str">
        <f aca="false">IF(OR($A84="",$C84="",N($D84)=0),"",($D84-$C84)/$D84)</f>
        <v/>
      </c>
      <c r="G84" s="11"/>
    </row>
    <row r="85" customFormat="false" ht="15" hidden="false" customHeight="false" outlineLevel="0" collapsed="false">
      <c r="A85" s="11"/>
      <c r="B85" s="11"/>
      <c r="C85" s="12"/>
      <c r="D85" s="12"/>
      <c r="E85" s="13" t="str">
        <f aca="false">IF(OR($A85="",$C85=""),"",N($D85)-$C85)</f>
        <v/>
      </c>
      <c r="F85" s="14" t="str">
        <f aca="false">IF(OR($A85="",$C85="",N($D85)=0),"",($D85-$C85)/$D85)</f>
        <v/>
      </c>
      <c r="G85" s="11"/>
    </row>
    <row r="86" customFormat="false" ht="15" hidden="false" customHeight="false" outlineLevel="0" collapsed="false">
      <c r="A86" s="11"/>
      <c r="B86" s="11"/>
      <c r="C86" s="12"/>
      <c r="D86" s="12"/>
      <c r="E86" s="13" t="str">
        <f aca="false">IF(OR($A86="",$C86=""),"",N($D86)-$C86)</f>
        <v/>
      </c>
      <c r="F86" s="14" t="str">
        <f aca="false">IF(OR($A86="",$C86="",N($D86)=0),"",($D86-$C86)/$D86)</f>
        <v/>
      </c>
      <c r="G86" s="11"/>
    </row>
    <row r="87" customFormat="false" ht="15" hidden="false" customHeight="false" outlineLevel="0" collapsed="false">
      <c r="A87" s="11"/>
      <c r="B87" s="11"/>
      <c r="C87" s="12"/>
      <c r="D87" s="12"/>
      <c r="E87" s="13" t="str">
        <f aca="false">IF(OR($A87="",$C87=""),"",N($D87)-$C87)</f>
        <v/>
      </c>
      <c r="F87" s="14" t="str">
        <f aca="false">IF(OR($A87="",$C87="",N($D87)=0),"",($D87-$C87)/$D87)</f>
        <v/>
      </c>
      <c r="G87" s="11"/>
    </row>
    <row r="88" customFormat="false" ht="15" hidden="false" customHeight="false" outlineLevel="0" collapsed="false">
      <c r="A88" s="11"/>
      <c r="B88" s="11"/>
      <c r="C88" s="12"/>
      <c r="D88" s="12"/>
      <c r="E88" s="13" t="str">
        <f aca="false">IF(OR($A88="",$C88=""),"",N($D88)-$C88)</f>
        <v/>
      </c>
      <c r="F88" s="14" t="str">
        <f aca="false">IF(OR($A88="",$C88="",N($D88)=0),"",($D88-$C88)/$D88)</f>
        <v/>
      </c>
      <c r="G88" s="11"/>
    </row>
    <row r="89" customFormat="false" ht="15" hidden="false" customHeight="false" outlineLevel="0" collapsed="false">
      <c r="A89" s="11"/>
      <c r="B89" s="11"/>
      <c r="C89" s="12"/>
      <c r="D89" s="12"/>
      <c r="E89" s="13" t="str">
        <f aca="false">IF(OR($A89="",$C89=""),"",N($D89)-$C89)</f>
        <v/>
      </c>
      <c r="F89" s="14" t="str">
        <f aca="false">IF(OR($A89="",$C89="",N($D89)=0),"",($D89-$C89)/$D89)</f>
        <v/>
      </c>
      <c r="G89" s="11"/>
    </row>
    <row r="90" customFormat="false" ht="15" hidden="false" customHeight="false" outlineLevel="0" collapsed="false">
      <c r="A90" s="11"/>
      <c r="B90" s="11"/>
      <c r="C90" s="12"/>
      <c r="D90" s="12"/>
      <c r="E90" s="13" t="str">
        <f aca="false">IF(OR($A90="",$C90=""),"",N($D90)-$C90)</f>
        <v/>
      </c>
      <c r="F90" s="14" t="str">
        <f aca="false">IF(OR($A90="",$C90="",N($D90)=0),"",($D90-$C90)/$D90)</f>
        <v/>
      </c>
      <c r="G90" s="11"/>
    </row>
    <row r="91" customFormat="false" ht="15" hidden="false" customHeight="false" outlineLevel="0" collapsed="false">
      <c r="A91" s="11"/>
      <c r="B91" s="11"/>
      <c r="C91" s="12"/>
      <c r="D91" s="12"/>
      <c r="E91" s="13" t="str">
        <f aca="false">IF(OR($A91="",$C91=""),"",N($D91)-$C91)</f>
        <v/>
      </c>
      <c r="F91" s="14" t="str">
        <f aca="false">IF(OR($A91="",$C91="",N($D91)=0),"",($D91-$C91)/$D91)</f>
        <v/>
      </c>
      <c r="G91" s="11"/>
    </row>
    <row r="92" customFormat="false" ht="15" hidden="false" customHeight="false" outlineLevel="0" collapsed="false">
      <c r="A92" s="11"/>
      <c r="B92" s="11"/>
      <c r="C92" s="12"/>
      <c r="D92" s="12"/>
      <c r="E92" s="13" t="str">
        <f aca="false">IF(OR($A92="",$C92=""),"",N($D92)-$C92)</f>
        <v/>
      </c>
      <c r="F92" s="14" t="str">
        <f aca="false">IF(OR($A92="",$C92="",N($D92)=0),"",($D92-$C92)/$D92)</f>
        <v/>
      </c>
      <c r="G92" s="11"/>
    </row>
    <row r="93" customFormat="false" ht="15" hidden="false" customHeight="false" outlineLevel="0" collapsed="false">
      <c r="A93" s="11"/>
      <c r="B93" s="11"/>
      <c r="C93" s="12"/>
      <c r="D93" s="12"/>
      <c r="E93" s="13" t="str">
        <f aca="false">IF(OR($A93="",$C93=""),"",N($D93)-$C93)</f>
        <v/>
      </c>
      <c r="F93" s="14" t="str">
        <f aca="false">IF(OR($A93="",$C93="",N($D93)=0),"",($D93-$C93)/$D93)</f>
        <v/>
      </c>
      <c r="G93" s="11"/>
    </row>
    <row r="94" customFormat="false" ht="15" hidden="false" customHeight="false" outlineLevel="0" collapsed="false">
      <c r="A94" s="11"/>
      <c r="B94" s="11"/>
      <c r="C94" s="12"/>
      <c r="D94" s="12"/>
      <c r="E94" s="13" t="str">
        <f aca="false">IF(OR($A94="",$C94=""),"",N($D94)-$C94)</f>
        <v/>
      </c>
      <c r="F94" s="14" t="str">
        <f aca="false">IF(OR($A94="",$C94="",N($D94)=0),"",($D94-$C94)/$D94)</f>
        <v/>
      </c>
      <c r="G94" s="11"/>
    </row>
    <row r="95" customFormat="false" ht="15" hidden="false" customHeight="false" outlineLevel="0" collapsed="false">
      <c r="A95" s="11"/>
      <c r="B95" s="11"/>
      <c r="C95" s="12"/>
      <c r="D95" s="12"/>
      <c r="E95" s="13" t="str">
        <f aca="false">IF(OR($A95="",$C95=""),"",N($D95)-$C95)</f>
        <v/>
      </c>
      <c r="F95" s="14" t="str">
        <f aca="false">IF(OR($A95="",$C95="",N($D95)=0),"",($D95-$C95)/$D95)</f>
        <v/>
      </c>
      <c r="G95" s="11"/>
    </row>
    <row r="96" customFormat="false" ht="15" hidden="false" customHeight="false" outlineLevel="0" collapsed="false">
      <c r="A96" s="11"/>
      <c r="B96" s="11"/>
      <c r="C96" s="12"/>
      <c r="D96" s="12"/>
      <c r="E96" s="13" t="str">
        <f aca="false">IF(OR($A96="",$C96=""),"",N($D96)-$C96)</f>
        <v/>
      </c>
      <c r="F96" s="14" t="str">
        <f aca="false">IF(OR($A96="",$C96="",N($D96)=0),"",($D96-$C96)/$D96)</f>
        <v/>
      </c>
      <c r="G96" s="11"/>
    </row>
    <row r="97" customFormat="false" ht="15" hidden="false" customHeight="false" outlineLevel="0" collapsed="false">
      <c r="A97" s="11"/>
      <c r="B97" s="11"/>
      <c r="C97" s="12"/>
      <c r="D97" s="12"/>
      <c r="E97" s="13" t="str">
        <f aca="false">IF(OR($A97="",$C97=""),"",N($D97)-$C97)</f>
        <v/>
      </c>
      <c r="F97" s="14" t="str">
        <f aca="false">IF(OR($A97="",$C97="",N($D97)=0),"",($D97-$C97)/$D97)</f>
        <v/>
      </c>
      <c r="G97" s="11"/>
    </row>
    <row r="98" customFormat="false" ht="15" hidden="false" customHeight="false" outlineLevel="0" collapsed="false">
      <c r="A98" s="11"/>
      <c r="B98" s="11"/>
      <c r="C98" s="12"/>
      <c r="D98" s="12"/>
      <c r="E98" s="13" t="str">
        <f aca="false">IF(OR($A98="",$C98=""),"",N($D98)-$C98)</f>
        <v/>
      </c>
      <c r="F98" s="14" t="str">
        <f aca="false">IF(OR($A98="",$C98="",N($D98)=0),"",($D98-$C98)/$D98)</f>
        <v/>
      </c>
      <c r="G98" s="11"/>
    </row>
    <row r="99" customFormat="false" ht="15" hidden="false" customHeight="false" outlineLevel="0" collapsed="false">
      <c r="A99" s="11"/>
      <c r="B99" s="11"/>
      <c r="C99" s="12"/>
      <c r="D99" s="12"/>
      <c r="E99" s="13" t="str">
        <f aca="false">IF(OR($A99="",$C99=""),"",N($D99)-$C99)</f>
        <v/>
      </c>
      <c r="F99" s="14" t="str">
        <f aca="false">IF(OR($A99="",$C99="",N($D99)=0),"",($D99-$C99)/$D99)</f>
        <v/>
      </c>
      <c r="G99" s="11"/>
    </row>
    <row r="100" customFormat="false" ht="15" hidden="false" customHeight="false" outlineLevel="0" collapsed="false">
      <c r="A100" s="11"/>
      <c r="B100" s="11"/>
      <c r="C100" s="12"/>
      <c r="D100" s="12"/>
      <c r="E100" s="13" t="str">
        <f aca="false">IF(OR($A100="",$C100=""),"",N($D100)-$C100)</f>
        <v/>
      </c>
      <c r="F100" s="14" t="str">
        <f aca="false">IF(OR($A100="",$C100="",N($D100)=0),"",($D100-$C100)/$D100)</f>
        <v/>
      </c>
      <c r="G100" s="11"/>
    </row>
    <row r="101" customFormat="false" ht="15" hidden="false" customHeight="false" outlineLevel="0" collapsed="false">
      <c r="A101" s="11"/>
      <c r="B101" s="11"/>
      <c r="C101" s="12"/>
      <c r="D101" s="12"/>
      <c r="E101" s="13" t="str">
        <f aca="false">IF(OR($A101="",$C101=""),"",N($D101)-$C101)</f>
        <v/>
      </c>
      <c r="F101" s="14" t="str">
        <f aca="false">IF(OR($A101="",$C101="",N($D101)=0),"",($D101-$C101)/$D101)</f>
        <v/>
      </c>
      <c r="G101" s="11"/>
    </row>
    <row r="102" customFormat="false" ht="15" hidden="false" customHeight="false" outlineLevel="0" collapsed="false">
      <c r="A102" s="11"/>
      <c r="B102" s="11"/>
      <c r="C102" s="12"/>
      <c r="D102" s="12"/>
      <c r="E102" s="13" t="str">
        <f aca="false">IF(OR($A102="",$C102=""),"",N($D102)-$C102)</f>
        <v/>
      </c>
      <c r="F102" s="14" t="str">
        <f aca="false">IF(OR($A102="",$C102="",N($D102)=0),"",($D102-$C102)/$D102)</f>
        <v/>
      </c>
      <c r="G102" s="11"/>
    </row>
    <row r="103" customFormat="false" ht="15" hidden="false" customHeight="false" outlineLevel="0" collapsed="false">
      <c r="A103" s="11"/>
      <c r="B103" s="11"/>
      <c r="C103" s="12"/>
      <c r="D103" s="12"/>
      <c r="E103" s="13" t="str">
        <f aca="false">IF(OR($A103="",$C103=""),"",N($D103)-$C103)</f>
        <v/>
      </c>
      <c r="F103" s="14" t="str">
        <f aca="false">IF(OR($A103="",$C103="",N($D103)=0),"",($D103-$C103)/$D103)</f>
        <v/>
      </c>
      <c r="G103" s="11"/>
    </row>
    <row r="104" customFormat="false" ht="15" hidden="false" customHeight="false" outlineLevel="0" collapsed="false">
      <c r="A104" s="11"/>
      <c r="B104" s="11"/>
      <c r="C104" s="12"/>
      <c r="D104" s="12"/>
      <c r="E104" s="13" t="str">
        <f aca="false">IF(OR($A104="",$C104=""),"",N($D104)-$C104)</f>
        <v/>
      </c>
      <c r="F104" s="14" t="str">
        <f aca="false">IF(OR($A104="",$C104="",N($D104)=0),"",($D104-$C104)/$D104)</f>
        <v/>
      </c>
      <c r="G104" s="11"/>
    </row>
    <row r="105" customFormat="false" ht="15" hidden="false" customHeight="false" outlineLevel="0" collapsed="false">
      <c r="A105" s="11"/>
      <c r="B105" s="11"/>
      <c r="C105" s="12"/>
      <c r="D105" s="12"/>
      <c r="E105" s="13" t="str">
        <f aca="false">IF(OR($A105="",$C105=""),"",N($D105)-$C105)</f>
        <v/>
      </c>
      <c r="F105" s="14" t="str">
        <f aca="false">IF(OR($A105="",$C105="",N($D105)=0),"",($D105-$C105)/$D105)</f>
        <v/>
      </c>
      <c r="G105" s="11"/>
    </row>
    <row r="106" customFormat="false" ht="15" hidden="false" customHeight="false" outlineLevel="0" collapsed="false">
      <c r="A106" s="11"/>
      <c r="B106" s="11"/>
      <c r="C106" s="12"/>
      <c r="D106" s="12"/>
      <c r="E106" s="13" t="str">
        <f aca="false">IF(OR($A106="",$C106=""),"",N($D106)-$C106)</f>
        <v/>
      </c>
      <c r="F106" s="14" t="str">
        <f aca="false">IF(OR($A106="",$C106="",N($D106)=0),"",($D106-$C106)/$D106)</f>
        <v/>
      </c>
      <c r="G106" s="11"/>
    </row>
    <row r="107" customFormat="false" ht="15" hidden="false" customHeight="false" outlineLevel="0" collapsed="false">
      <c r="A107" s="11"/>
      <c r="B107" s="11"/>
      <c r="C107" s="12"/>
      <c r="D107" s="12"/>
      <c r="E107" s="13" t="str">
        <f aca="false">IF(OR($A107="",$C107=""),"",N($D107)-$C107)</f>
        <v/>
      </c>
      <c r="F107" s="14" t="str">
        <f aca="false">IF(OR($A107="",$C107="",N($D107)=0),"",($D107-$C107)/$D107)</f>
        <v/>
      </c>
      <c r="G107" s="11"/>
    </row>
    <row r="108" customFormat="false" ht="15" hidden="false" customHeight="false" outlineLevel="0" collapsed="false">
      <c r="A108" s="11"/>
      <c r="B108" s="11"/>
      <c r="C108" s="12"/>
      <c r="D108" s="12"/>
      <c r="E108" s="13" t="str">
        <f aca="false">IF(OR($A108="",$C108=""),"",N($D108)-$C108)</f>
        <v/>
      </c>
      <c r="F108" s="14" t="str">
        <f aca="false">IF(OR($A108="",$C108="",N($D108)=0),"",($D108-$C108)/$D108)</f>
        <v/>
      </c>
      <c r="G108" s="11"/>
    </row>
    <row r="109" customFormat="false" ht="15" hidden="false" customHeight="false" outlineLevel="0" collapsed="false">
      <c r="A109" s="11"/>
      <c r="B109" s="11"/>
      <c r="C109" s="12"/>
      <c r="D109" s="12"/>
      <c r="E109" s="13" t="str">
        <f aca="false">IF(OR($A109="",$C109=""),"",N($D109)-$C109)</f>
        <v/>
      </c>
      <c r="F109" s="14" t="str">
        <f aca="false">IF(OR($A109="",$C109="",N($D109)=0),"",($D109-$C109)/$D109)</f>
        <v/>
      </c>
      <c r="G109" s="11"/>
    </row>
    <row r="110" customFormat="false" ht="15" hidden="false" customHeight="false" outlineLevel="0" collapsed="false">
      <c r="A110" s="11"/>
      <c r="B110" s="11"/>
      <c r="C110" s="12"/>
      <c r="D110" s="12"/>
      <c r="E110" s="13" t="str">
        <f aca="false">IF(OR($A110="",$C110=""),"",N($D110)-$C110)</f>
        <v/>
      </c>
      <c r="F110" s="14" t="str">
        <f aca="false">IF(OR($A110="",$C110="",N($D110)=0),"",($D110-$C110)/$D110)</f>
        <v/>
      </c>
      <c r="G110" s="11"/>
    </row>
    <row r="111" customFormat="false" ht="15" hidden="false" customHeight="false" outlineLevel="0" collapsed="false">
      <c r="A111" s="11"/>
      <c r="B111" s="11"/>
      <c r="C111" s="12"/>
      <c r="D111" s="12"/>
      <c r="E111" s="13" t="str">
        <f aca="false">IF(OR($A111="",$C111=""),"",N($D111)-$C111)</f>
        <v/>
      </c>
      <c r="F111" s="14" t="str">
        <f aca="false">IF(OR($A111="",$C111="",N($D111)=0),"",($D111-$C111)/$D111)</f>
        <v/>
      </c>
      <c r="G111" s="11"/>
    </row>
    <row r="112" customFormat="false" ht="15" hidden="false" customHeight="false" outlineLevel="0" collapsed="false">
      <c r="A112" s="11"/>
      <c r="B112" s="11"/>
      <c r="C112" s="12"/>
      <c r="D112" s="12"/>
      <c r="E112" s="13" t="str">
        <f aca="false">IF(OR($A112="",$C112=""),"",N($D112)-$C112)</f>
        <v/>
      </c>
      <c r="F112" s="14" t="str">
        <f aca="false">IF(OR($A112="",$C112="",N($D112)=0),"",($D112-$C112)/$D112)</f>
        <v/>
      </c>
      <c r="G112" s="11"/>
    </row>
    <row r="113" customFormat="false" ht="15" hidden="false" customHeight="false" outlineLevel="0" collapsed="false">
      <c r="A113" s="11"/>
      <c r="B113" s="11"/>
      <c r="C113" s="12"/>
      <c r="D113" s="12"/>
      <c r="E113" s="13" t="str">
        <f aca="false">IF(OR($A113="",$C113=""),"",N($D113)-$C113)</f>
        <v/>
      </c>
      <c r="F113" s="14" t="str">
        <f aca="false">IF(OR($A113="",$C113="",N($D113)=0),"",($D113-$C113)/$D113)</f>
        <v/>
      </c>
      <c r="G113" s="11"/>
    </row>
    <row r="114" customFormat="false" ht="15" hidden="false" customHeight="false" outlineLevel="0" collapsed="false">
      <c r="A114" s="11"/>
      <c r="B114" s="11"/>
      <c r="C114" s="12"/>
      <c r="D114" s="12"/>
      <c r="E114" s="13" t="str">
        <f aca="false">IF(OR($A114="",$C114=""),"",N($D114)-$C114)</f>
        <v/>
      </c>
      <c r="F114" s="14" t="str">
        <f aca="false">IF(OR($A114="",$C114="",N($D114)=0),"",($D114-$C114)/$D114)</f>
        <v/>
      </c>
      <c r="G114" s="11"/>
    </row>
    <row r="115" customFormat="false" ht="15" hidden="false" customHeight="false" outlineLevel="0" collapsed="false">
      <c r="A115" s="11"/>
      <c r="B115" s="11"/>
      <c r="C115" s="12"/>
      <c r="D115" s="12"/>
      <c r="E115" s="13" t="str">
        <f aca="false">IF(OR($A115="",$C115=""),"",N($D115)-$C115)</f>
        <v/>
      </c>
      <c r="F115" s="14" t="str">
        <f aca="false">IF(OR($A115="",$C115="",N($D115)=0),"",($D115-$C115)/$D115)</f>
        <v/>
      </c>
      <c r="G115" s="11"/>
    </row>
    <row r="116" customFormat="false" ht="15" hidden="false" customHeight="false" outlineLevel="0" collapsed="false">
      <c r="A116" s="11"/>
      <c r="B116" s="11"/>
      <c r="C116" s="12"/>
      <c r="D116" s="12"/>
      <c r="E116" s="13" t="str">
        <f aca="false">IF(OR($A116="",$C116=""),"",N($D116)-$C116)</f>
        <v/>
      </c>
      <c r="F116" s="14" t="str">
        <f aca="false">IF(OR($A116="",$C116="",N($D116)=0),"",($D116-$C116)/$D116)</f>
        <v/>
      </c>
      <c r="G116" s="11"/>
    </row>
    <row r="117" customFormat="false" ht="15" hidden="false" customHeight="false" outlineLevel="0" collapsed="false">
      <c r="A117" s="11"/>
      <c r="B117" s="11"/>
      <c r="C117" s="12"/>
      <c r="D117" s="12"/>
      <c r="E117" s="13" t="str">
        <f aca="false">IF(OR($A117="",$C117=""),"",N($D117)-$C117)</f>
        <v/>
      </c>
      <c r="F117" s="14" t="str">
        <f aca="false">IF(OR($A117="",$C117="",N($D117)=0),"",($D117-$C117)/$D117)</f>
        <v/>
      </c>
      <c r="G117" s="11"/>
    </row>
    <row r="118" customFormat="false" ht="15" hidden="false" customHeight="false" outlineLevel="0" collapsed="false">
      <c r="A118" s="11"/>
      <c r="B118" s="11"/>
      <c r="C118" s="12"/>
      <c r="D118" s="12"/>
      <c r="E118" s="13" t="str">
        <f aca="false">IF(OR($A118="",$C118=""),"",N($D118)-$C118)</f>
        <v/>
      </c>
      <c r="F118" s="14" t="str">
        <f aca="false">IF(OR($A118="",$C118="",N($D118)=0),"",($D118-$C118)/$D118)</f>
        <v/>
      </c>
      <c r="G118" s="11"/>
    </row>
    <row r="119" customFormat="false" ht="15" hidden="false" customHeight="false" outlineLevel="0" collapsed="false">
      <c r="A119" s="11"/>
      <c r="B119" s="11"/>
      <c r="C119" s="12"/>
      <c r="D119" s="12"/>
      <c r="E119" s="13" t="str">
        <f aca="false">IF(OR($A119="",$C119=""),"",N($D119)-$C119)</f>
        <v/>
      </c>
      <c r="F119" s="14" t="str">
        <f aca="false">IF(OR($A119="",$C119="",N($D119)=0),"",($D119-$C119)/$D119)</f>
        <v/>
      </c>
      <c r="G119" s="11"/>
    </row>
    <row r="120" customFormat="false" ht="15" hidden="false" customHeight="false" outlineLevel="0" collapsed="false">
      <c r="A120" s="11"/>
      <c r="B120" s="11"/>
      <c r="C120" s="12"/>
      <c r="D120" s="12"/>
      <c r="E120" s="13" t="str">
        <f aca="false">IF(OR($A120="",$C120=""),"",N($D120)-$C120)</f>
        <v/>
      </c>
      <c r="F120" s="14" t="str">
        <f aca="false">IF(OR($A120="",$C120="",N($D120)=0),"",($D120-$C120)/$D120)</f>
        <v/>
      </c>
      <c r="G120" s="11"/>
    </row>
    <row r="121" customFormat="false" ht="15" hidden="false" customHeight="false" outlineLevel="0" collapsed="false">
      <c r="A121" s="11"/>
      <c r="B121" s="11"/>
      <c r="C121" s="12"/>
      <c r="D121" s="12"/>
      <c r="E121" s="13" t="str">
        <f aca="false">IF(OR($A121="",$C121=""),"",N($D121)-$C121)</f>
        <v/>
      </c>
      <c r="F121" s="14" t="str">
        <f aca="false">IF(OR($A121="",$C121="",N($D121)=0),"",($D121-$C121)/$D121)</f>
        <v/>
      </c>
      <c r="G121" s="11"/>
    </row>
    <row r="122" customFormat="false" ht="15" hidden="false" customHeight="false" outlineLevel="0" collapsed="false">
      <c r="A122" s="11"/>
      <c r="B122" s="11"/>
      <c r="C122" s="12"/>
      <c r="D122" s="12"/>
      <c r="E122" s="13" t="str">
        <f aca="false">IF(OR($A122="",$C122=""),"",N($D122)-$C122)</f>
        <v/>
      </c>
      <c r="F122" s="14" t="str">
        <f aca="false">IF(OR($A122="",$C122="",N($D122)=0),"",($D122-$C122)/$D122)</f>
        <v/>
      </c>
      <c r="G122" s="11"/>
    </row>
    <row r="123" customFormat="false" ht="15" hidden="false" customHeight="false" outlineLevel="0" collapsed="false">
      <c r="A123" s="11"/>
      <c r="B123" s="11"/>
      <c r="C123" s="12"/>
      <c r="D123" s="12"/>
      <c r="E123" s="13" t="str">
        <f aca="false">IF(OR($A123="",$C123=""),"",N($D123)-$C123)</f>
        <v/>
      </c>
      <c r="F123" s="14" t="str">
        <f aca="false">IF(OR($A123="",$C123="",N($D123)=0),"",($D123-$C123)/$D123)</f>
        <v/>
      </c>
      <c r="G123" s="11"/>
    </row>
    <row r="124" customFormat="false" ht="15" hidden="false" customHeight="false" outlineLevel="0" collapsed="false">
      <c r="A124" s="11"/>
      <c r="B124" s="11"/>
      <c r="C124" s="12"/>
      <c r="D124" s="12"/>
      <c r="E124" s="13" t="str">
        <f aca="false">IF(OR($A124="",$C124=""),"",N($D124)-$C124)</f>
        <v/>
      </c>
      <c r="F124" s="14" t="str">
        <f aca="false">IF(OR($A124="",$C124="",N($D124)=0),"",($D124-$C124)/$D124)</f>
        <v/>
      </c>
      <c r="G124" s="11"/>
    </row>
    <row r="125" customFormat="false" ht="15" hidden="false" customHeight="false" outlineLevel="0" collapsed="false">
      <c r="A125" s="11"/>
      <c r="B125" s="11"/>
      <c r="C125" s="12"/>
      <c r="D125" s="12"/>
      <c r="E125" s="13" t="str">
        <f aca="false">IF(OR($A125="",$C125=""),"",N($D125)-$C125)</f>
        <v/>
      </c>
      <c r="F125" s="14" t="str">
        <f aca="false">IF(OR($A125="",$C125="",N($D125)=0),"",($D125-$C125)/$D125)</f>
        <v/>
      </c>
      <c r="G125" s="11"/>
    </row>
    <row r="126" customFormat="false" ht="15" hidden="false" customHeight="false" outlineLevel="0" collapsed="false">
      <c r="A126" s="11"/>
      <c r="B126" s="11"/>
      <c r="C126" s="12"/>
      <c r="D126" s="12"/>
      <c r="E126" s="13" t="str">
        <f aca="false">IF(OR($A126="",$C126=""),"",N($D126)-$C126)</f>
        <v/>
      </c>
      <c r="F126" s="14" t="str">
        <f aca="false">IF(OR($A126="",$C126="",N($D126)=0),"",($D126-$C126)/$D126)</f>
        <v/>
      </c>
      <c r="G126" s="11"/>
    </row>
    <row r="127" customFormat="false" ht="15" hidden="false" customHeight="false" outlineLevel="0" collapsed="false">
      <c r="A127" s="11"/>
      <c r="B127" s="11"/>
      <c r="C127" s="12"/>
      <c r="D127" s="12"/>
      <c r="E127" s="13" t="str">
        <f aca="false">IF(OR($A127="",$C127=""),"",N($D127)-$C127)</f>
        <v/>
      </c>
      <c r="F127" s="14" t="str">
        <f aca="false">IF(OR($A127="",$C127="",N($D127)=0),"",($D127-$C127)/$D127)</f>
        <v/>
      </c>
      <c r="G127" s="11"/>
    </row>
    <row r="128" customFormat="false" ht="15" hidden="false" customHeight="false" outlineLevel="0" collapsed="false">
      <c r="A128" s="11"/>
      <c r="B128" s="11"/>
      <c r="C128" s="12"/>
      <c r="D128" s="12"/>
      <c r="E128" s="13" t="str">
        <f aca="false">IF(OR($A128="",$C128=""),"",N($D128)-$C128)</f>
        <v/>
      </c>
      <c r="F128" s="14" t="str">
        <f aca="false">IF(OR($A128="",$C128="",N($D128)=0),"",($D128-$C128)/$D128)</f>
        <v/>
      </c>
      <c r="G128" s="11"/>
    </row>
    <row r="129" customFormat="false" ht="15" hidden="false" customHeight="false" outlineLevel="0" collapsed="false">
      <c r="A129" s="11"/>
      <c r="B129" s="11"/>
      <c r="C129" s="12"/>
      <c r="D129" s="12"/>
      <c r="E129" s="13" t="str">
        <f aca="false">IF(OR($A129="",$C129=""),"",N($D129)-$C129)</f>
        <v/>
      </c>
      <c r="F129" s="14" t="str">
        <f aca="false">IF(OR($A129="",$C129="",N($D129)=0),"",($D129-$C129)/$D129)</f>
        <v/>
      </c>
      <c r="G129" s="11"/>
    </row>
    <row r="130" customFormat="false" ht="15" hidden="false" customHeight="false" outlineLevel="0" collapsed="false">
      <c r="A130" s="11"/>
      <c r="B130" s="11"/>
      <c r="C130" s="12"/>
      <c r="D130" s="12"/>
      <c r="E130" s="13" t="str">
        <f aca="false">IF(OR($A130="",$C130=""),"",N($D130)-$C130)</f>
        <v/>
      </c>
      <c r="F130" s="14" t="str">
        <f aca="false">IF(OR($A130="",$C130="",N($D130)=0),"",($D130-$C130)/$D130)</f>
        <v/>
      </c>
      <c r="G130" s="11"/>
    </row>
    <row r="131" customFormat="false" ht="15" hidden="false" customHeight="false" outlineLevel="0" collapsed="false">
      <c r="A131" s="11"/>
      <c r="B131" s="11"/>
      <c r="C131" s="12"/>
      <c r="D131" s="12"/>
      <c r="E131" s="13" t="str">
        <f aca="false">IF(OR($A131="",$C131=""),"",N($D131)-$C131)</f>
        <v/>
      </c>
      <c r="F131" s="14" t="str">
        <f aca="false">IF(OR($A131="",$C131="",N($D131)=0),"",($D131-$C131)/$D131)</f>
        <v/>
      </c>
      <c r="G131" s="11"/>
    </row>
    <row r="132" customFormat="false" ht="15" hidden="false" customHeight="false" outlineLevel="0" collapsed="false">
      <c r="A132" s="11"/>
      <c r="B132" s="11"/>
      <c r="C132" s="12"/>
      <c r="D132" s="12"/>
      <c r="E132" s="13" t="str">
        <f aca="false">IF(OR($A132="",$C132=""),"",N($D132)-$C132)</f>
        <v/>
      </c>
      <c r="F132" s="14" t="str">
        <f aca="false">IF(OR($A132="",$C132="",N($D132)=0),"",($D132-$C132)/$D132)</f>
        <v/>
      </c>
      <c r="G132" s="11"/>
    </row>
    <row r="133" customFormat="false" ht="15" hidden="false" customHeight="false" outlineLevel="0" collapsed="false">
      <c r="A133" s="11"/>
      <c r="B133" s="11"/>
      <c r="C133" s="12"/>
      <c r="D133" s="12"/>
      <c r="E133" s="13" t="str">
        <f aca="false">IF(OR($A133="",$C133=""),"",N($D133)-$C133)</f>
        <v/>
      </c>
      <c r="F133" s="14" t="str">
        <f aca="false">IF(OR($A133="",$C133="",N($D133)=0),"",($D133-$C133)/$D133)</f>
        <v/>
      </c>
      <c r="G133" s="11"/>
    </row>
    <row r="134" customFormat="false" ht="15" hidden="false" customHeight="false" outlineLevel="0" collapsed="false">
      <c r="A134" s="11"/>
      <c r="B134" s="11"/>
      <c r="C134" s="12"/>
      <c r="D134" s="12"/>
      <c r="E134" s="13" t="str">
        <f aca="false">IF(OR($A134="",$C134=""),"",N($D134)-$C134)</f>
        <v/>
      </c>
      <c r="F134" s="14" t="str">
        <f aca="false">IF(OR($A134="",$C134="",N($D134)=0),"",($D134-$C134)/$D134)</f>
        <v/>
      </c>
      <c r="G134" s="11"/>
    </row>
    <row r="135" customFormat="false" ht="15" hidden="false" customHeight="false" outlineLevel="0" collapsed="false">
      <c r="A135" s="11"/>
      <c r="B135" s="11"/>
      <c r="C135" s="12"/>
      <c r="D135" s="12"/>
      <c r="E135" s="13" t="str">
        <f aca="false">IF(OR($A135="",$C135=""),"",N($D135)-$C135)</f>
        <v/>
      </c>
      <c r="F135" s="14" t="str">
        <f aca="false">IF(OR($A135="",$C135="",N($D135)=0),"",($D135-$C135)/$D135)</f>
        <v/>
      </c>
      <c r="G135" s="11"/>
    </row>
    <row r="136" customFormat="false" ht="15" hidden="false" customHeight="false" outlineLevel="0" collapsed="false">
      <c r="A136" s="11"/>
      <c r="B136" s="11"/>
      <c r="C136" s="12"/>
      <c r="D136" s="12"/>
      <c r="E136" s="13" t="str">
        <f aca="false">IF(OR($A136="",$C136=""),"",N($D136)-$C136)</f>
        <v/>
      </c>
      <c r="F136" s="14" t="str">
        <f aca="false">IF(OR($A136="",$C136="",N($D136)=0),"",($D136-$C136)/$D136)</f>
        <v/>
      </c>
      <c r="G136" s="11"/>
    </row>
    <row r="137" customFormat="false" ht="15" hidden="false" customHeight="false" outlineLevel="0" collapsed="false">
      <c r="A137" s="11"/>
      <c r="B137" s="11"/>
      <c r="C137" s="12"/>
      <c r="D137" s="12"/>
      <c r="E137" s="13" t="str">
        <f aca="false">IF(OR($A137="",$C137=""),"",N($D137)-$C137)</f>
        <v/>
      </c>
      <c r="F137" s="14" t="str">
        <f aca="false">IF(OR($A137="",$C137="",N($D137)=0),"",($D137-$C137)/$D137)</f>
        <v/>
      </c>
      <c r="G137" s="11"/>
    </row>
    <row r="138" customFormat="false" ht="15" hidden="false" customHeight="false" outlineLevel="0" collapsed="false">
      <c r="A138" s="11"/>
      <c r="B138" s="11"/>
      <c r="C138" s="12"/>
      <c r="D138" s="12"/>
      <c r="E138" s="13" t="str">
        <f aca="false">IF(OR($A138="",$C138=""),"",N($D138)-$C138)</f>
        <v/>
      </c>
      <c r="F138" s="14" t="str">
        <f aca="false">IF(OR($A138="",$C138="",N($D138)=0),"",($D138-$C138)/$D138)</f>
        <v/>
      </c>
      <c r="G138" s="11"/>
    </row>
    <row r="139" customFormat="false" ht="15" hidden="false" customHeight="false" outlineLevel="0" collapsed="false">
      <c r="A139" s="11"/>
      <c r="B139" s="11"/>
      <c r="C139" s="12"/>
      <c r="D139" s="12"/>
      <c r="E139" s="13" t="str">
        <f aca="false">IF(OR($A139="",$C139=""),"",N($D139)-$C139)</f>
        <v/>
      </c>
      <c r="F139" s="14" t="str">
        <f aca="false">IF(OR($A139="",$C139="",N($D139)=0),"",($D139-$C139)/$D139)</f>
        <v/>
      </c>
      <c r="G139" s="11"/>
    </row>
    <row r="140" customFormat="false" ht="15" hidden="false" customHeight="false" outlineLevel="0" collapsed="false">
      <c r="A140" s="11"/>
      <c r="B140" s="11"/>
      <c r="C140" s="12"/>
      <c r="D140" s="12"/>
      <c r="E140" s="13" t="str">
        <f aca="false">IF(OR($A140="",$C140=""),"",N($D140)-$C140)</f>
        <v/>
      </c>
      <c r="F140" s="14" t="str">
        <f aca="false">IF(OR($A140="",$C140="",N($D140)=0),"",($D140-$C140)/$D140)</f>
        <v/>
      </c>
      <c r="G140" s="11"/>
    </row>
    <row r="141" customFormat="false" ht="15" hidden="false" customHeight="false" outlineLevel="0" collapsed="false">
      <c r="A141" s="11"/>
      <c r="B141" s="11"/>
      <c r="C141" s="12"/>
      <c r="D141" s="12"/>
      <c r="E141" s="13" t="str">
        <f aca="false">IF(OR($A141="",$C141=""),"",N($D141)-$C141)</f>
        <v/>
      </c>
      <c r="F141" s="14" t="str">
        <f aca="false">IF(OR($A141="",$C141="",N($D141)=0),"",($D141-$C141)/$D141)</f>
        <v/>
      </c>
      <c r="G141" s="11"/>
    </row>
    <row r="142" customFormat="false" ht="15" hidden="false" customHeight="false" outlineLevel="0" collapsed="false">
      <c r="A142" s="11"/>
      <c r="B142" s="11"/>
      <c r="C142" s="12"/>
      <c r="D142" s="12"/>
      <c r="E142" s="13" t="str">
        <f aca="false">IF(OR($A142="",$C142=""),"",N($D142)-$C142)</f>
        <v/>
      </c>
      <c r="F142" s="14" t="str">
        <f aca="false">IF(OR($A142="",$C142="",N($D142)=0),"",($D142-$C142)/$D142)</f>
        <v/>
      </c>
      <c r="G142" s="11"/>
    </row>
    <row r="143" customFormat="false" ht="15" hidden="false" customHeight="false" outlineLevel="0" collapsed="false">
      <c r="A143" s="11"/>
      <c r="B143" s="11"/>
      <c r="C143" s="12"/>
      <c r="D143" s="12"/>
      <c r="E143" s="13" t="str">
        <f aca="false">IF(OR($A143="",$C143=""),"",N($D143)-$C143)</f>
        <v/>
      </c>
      <c r="F143" s="14" t="str">
        <f aca="false">IF(OR($A143="",$C143="",N($D143)=0),"",($D143-$C143)/$D143)</f>
        <v/>
      </c>
      <c r="G143" s="11"/>
    </row>
    <row r="144" customFormat="false" ht="15" hidden="false" customHeight="false" outlineLevel="0" collapsed="false">
      <c r="A144" s="11"/>
      <c r="B144" s="11"/>
      <c r="C144" s="12"/>
      <c r="D144" s="12"/>
      <c r="E144" s="13" t="str">
        <f aca="false">IF(OR($A144="",$C144=""),"",N($D144)-$C144)</f>
        <v/>
      </c>
      <c r="F144" s="14" t="str">
        <f aca="false">IF(OR($A144="",$C144="",N($D144)=0),"",($D144-$C144)/$D144)</f>
        <v/>
      </c>
      <c r="G144" s="11"/>
    </row>
    <row r="145" customFormat="false" ht="15" hidden="false" customHeight="false" outlineLevel="0" collapsed="false">
      <c r="A145" s="11"/>
      <c r="B145" s="11"/>
      <c r="C145" s="12"/>
      <c r="D145" s="12"/>
      <c r="E145" s="13" t="str">
        <f aca="false">IF(OR($A145="",$C145=""),"",N($D145)-$C145)</f>
        <v/>
      </c>
      <c r="F145" s="14" t="str">
        <f aca="false">IF(OR($A145="",$C145="",N($D145)=0),"",($D145-$C145)/$D145)</f>
        <v/>
      </c>
      <c r="G145" s="11"/>
    </row>
    <row r="146" customFormat="false" ht="15" hidden="false" customHeight="false" outlineLevel="0" collapsed="false">
      <c r="A146" s="11"/>
      <c r="B146" s="11"/>
      <c r="C146" s="12"/>
      <c r="D146" s="12"/>
      <c r="E146" s="13" t="str">
        <f aca="false">IF(OR($A146="",$C146=""),"",N($D146)-$C146)</f>
        <v/>
      </c>
      <c r="F146" s="14" t="str">
        <f aca="false">IF(OR($A146="",$C146="",N($D146)=0),"",($D146-$C146)/$D146)</f>
        <v/>
      </c>
      <c r="G146" s="11"/>
    </row>
    <row r="147" customFormat="false" ht="15" hidden="false" customHeight="false" outlineLevel="0" collapsed="false">
      <c r="A147" s="11"/>
      <c r="B147" s="11"/>
      <c r="C147" s="12"/>
      <c r="D147" s="12"/>
      <c r="E147" s="13" t="str">
        <f aca="false">IF(OR($A147="",$C147=""),"",N($D147)-$C147)</f>
        <v/>
      </c>
      <c r="F147" s="14" t="str">
        <f aca="false">IF(OR($A147="",$C147="",N($D147)=0),"",($D147-$C147)/$D147)</f>
        <v/>
      </c>
      <c r="G147" s="11"/>
    </row>
    <row r="148" customFormat="false" ht="15" hidden="false" customHeight="false" outlineLevel="0" collapsed="false">
      <c r="A148" s="11"/>
      <c r="B148" s="11"/>
      <c r="C148" s="12"/>
      <c r="D148" s="12"/>
      <c r="E148" s="13" t="str">
        <f aca="false">IF(OR($A148="",$C148=""),"",N($D148)-$C148)</f>
        <v/>
      </c>
      <c r="F148" s="14" t="str">
        <f aca="false">IF(OR($A148="",$C148="",N($D148)=0),"",($D148-$C148)/$D148)</f>
        <v/>
      </c>
      <c r="G148" s="11"/>
    </row>
    <row r="149" customFormat="false" ht="15" hidden="false" customHeight="false" outlineLevel="0" collapsed="false">
      <c r="A149" s="11"/>
      <c r="B149" s="11"/>
      <c r="C149" s="12"/>
      <c r="D149" s="12"/>
      <c r="E149" s="13" t="str">
        <f aca="false">IF(OR($A149="",$C149=""),"",N($D149)-$C149)</f>
        <v/>
      </c>
      <c r="F149" s="14" t="str">
        <f aca="false">IF(OR($A149="",$C149="",N($D149)=0),"",($D149-$C149)/$D149)</f>
        <v/>
      </c>
      <c r="G149" s="11"/>
    </row>
    <row r="150" customFormat="false" ht="15" hidden="false" customHeight="false" outlineLevel="0" collapsed="false">
      <c r="A150" s="11"/>
      <c r="B150" s="11"/>
      <c r="C150" s="12"/>
      <c r="D150" s="12"/>
      <c r="E150" s="13" t="str">
        <f aca="false">IF(OR($A150="",$C150=""),"",N($D150)-$C150)</f>
        <v/>
      </c>
      <c r="F150" s="14" t="str">
        <f aca="false">IF(OR($A150="",$C150="",N($D150)=0),"",($D150-$C150)/$D150)</f>
        <v/>
      </c>
      <c r="G150" s="11"/>
    </row>
    <row r="151" customFormat="false" ht="15" hidden="false" customHeight="false" outlineLevel="0" collapsed="false">
      <c r="A151" s="11"/>
      <c r="B151" s="11"/>
      <c r="C151" s="12"/>
      <c r="D151" s="12"/>
      <c r="E151" s="13" t="str">
        <f aca="false">IF(OR($A151="",$C151=""),"",N($D151)-$C151)</f>
        <v/>
      </c>
      <c r="F151" s="14" t="str">
        <f aca="false">IF(OR($A151="",$C151="",N($D151)=0),"",($D151-$C151)/$D151)</f>
        <v/>
      </c>
      <c r="G151" s="11"/>
    </row>
    <row r="152" customFormat="false" ht="15" hidden="false" customHeight="false" outlineLevel="0" collapsed="false">
      <c r="A152" s="11"/>
      <c r="B152" s="11"/>
      <c r="C152" s="12"/>
      <c r="D152" s="12"/>
      <c r="E152" s="13" t="str">
        <f aca="false">IF(OR($A152="",$C152=""),"",N($D152)-$C152)</f>
        <v/>
      </c>
      <c r="F152" s="14" t="str">
        <f aca="false">IF(OR($A152="",$C152="",N($D152)=0),"",($D152-$C152)/$D152)</f>
        <v/>
      </c>
      <c r="G152" s="11"/>
    </row>
    <row r="153" customFormat="false" ht="15" hidden="false" customHeight="false" outlineLevel="0" collapsed="false">
      <c r="A153" s="11"/>
      <c r="B153" s="11"/>
      <c r="C153" s="12"/>
      <c r="D153" s="12"/>
      <c r="E153" s="13" t="str">
        <f aca="false">IF(OR($A153="",$C153=""),"",N($D153)-$C153)</f>
        <v/>
      </c>
      <c r="F153" s="14" t="str">
        <f aca="false">IF(OR($A153="",$C153="",N($D153)=0),"",($D153-$C153)/$D153)</f>
        <v/>
      </c>
      <c r="G153" s="11"/>
    </row>
    <row r="154" customFormat="false" ht="15" hidden="false" customHeight="false" outlineLevel="0" collapsed="false">
      <c r="A154" s="11"/>
      <c r="B154" s="11"/>
      <c r="C154" s="12"/>
      <c r="D154" s="12"/>
      <c r="E154" s="13" t="str">
        <f aca="false">IF(OR($A154="",$C154=""),"",N($D154)-$C154)</f>
        <v/>
      </c>
      <c r="F154" s="14" t="str">
        <f aca="false">IF(OR($A154="",$C154="",N($D154)=0),"",($D154-$C154)/$D154)</f>
        <v/>
      </c>
      <c r="G154" s="11"/>
    </row>
    <row r="155" customFormat="false" ht="15" hidden="false" customHeight="false" outlineLevel="0" collapsed="false">
      <c r="A155" s="11"/>
      <c r="B155" s="11"/>
      <c r="C155" s="12"/>
      <c r="D155" s="12"/>
      <c r="E155" s="13" t="str">
        <f aca="false">IF(OR($A155="",$C155=""),"",N($D155)-$C155)</f>
        <v/>
      </c>
      <c r="F155" s="14" t="str">
        <f aca="false">IF(OR($A155="",$C155="",N($D155)=0),"",($D155-$C155)/$D155)</f>
        <v/>
      </c>
      <c r="G155" s="11"/>
    </row>
    <row r="156" customFormat="false" ht="15" hidden="false" customHeight="false" outlineLevel="0" collapsed="false">
      <c r="A156" s="11"/>
      <c r="B156" s="11"/>
      <c r="C156" s="12"/>
      <c r="D156" s="12"/>
      <c r="E156" s="13" t="str">
        <f aca="false">IF(OR($A156="",$C156=""),"",N($D156)-$C156)</f>
        <v/>
      </c>
      <c r="F156" s="14" t="str">
        <f aca="false">IF(OR($A156="",$C156="",N($D156)=0),"",($D156-$C156)/$D156)</f>
        <v/>
      </c>
      <c r="G156" s="11"/>
    </row>
    <row r="157" customFormat="false" ht="15" hidden="false" customHeight="false" outlineLevel="0" collapsed="false">
      <c r="A157" s="11"/>
      <c r="B157" s="11"/>
      <c r="C157" s="12"/>
      <c r="D157" s="12"/>
      <c r="E157" s="13" t="str">
        <f aca="false">IF(OR($A157="",$C157=""),"",N($D157)-$C157)</f>
        <v/>
      </c>
      <c r="F157" s="14" t="str">
        <f aca="false">IF(OR($A157="",$C157="",N($D157)=0),"",($D157-$C157)/$D157)</f>
        <v/>
      </c>
      <c r="G157" s="11"/>
    </row>
    <row r="158" customFormat="false" ht="15" hidden="false" customHeight="false" outlineLevel="0" collapsed="false">
      <c r="A158" s="11"/>
      <c r="B158" s="11"/>
      <c r="C158" s="12"/>
      <c r="D158" s="12"/>
      <c r="E158" s="13" t="str">
        <f aca="false">IF(OR($A158="",$C158=""),"",N($D158)-$C158)</f>
        <v/>
      </c>
      <c r="F158" s="14" t="str">
        <f aca="false">IF(OR($A158="",$C158="",N($D158)=0),"",($D158-$C158)/$D158)</f>
        <v/>
      </c>
      <c r="G158" s="11"/>
    </row>
    <row r="159" customFormat="false" ht="15" hidden="false" customHeight="false" outlineLevel="0" collapsed="false">
      <c r="A159" s="11"/>
      <c r="B159" s="11"/>
      <c r="C159" s="12"/>
      <c r="D159" s="12"/>
      <c r="E159" s="13" t="str">
        <f aca="false">IF(OR($A159="",$C159=""),"",N($D159)-$C159)</f>
        <v/>
      </c>
      <c r="F159" s="14" t="str">
        <f aca="false">IF(OR($A159="",$C159="",N($D159)=0),"",($D159-$C159)/$D159)</f>
        <v/>
      </c>
      <c r="G159" s="11"/>
    </row>
    <row r="160" customFormat="false" ht="15" hidden="false" customHeight="false" outlineLevel="0" collapsed="false">
      <c r="A160" s="11"/>
      <c r="B160" s="11"/>
      <c r="C160" s="12"/>
      <c r="D160" s="12"/>
      <c r="E160" s="13" t="str">
        <f aca="false">IF(OR($A160="",$C160=""),"",N($D160)-$C160)</f>
        <v/>
      </c>
      <c r="F160" s="14" t="str">
        <f aca="false">IF(OR($A160="",$C160="",N($D160)=0),"",($D160-$C160)/$D160)</f>
        <v/>
      </c>
      <c r="G160" s="11"/>
    </row>
    <row r="161" customFormat="false" ht="15" hidden="false" customHeight="false" outlineLevel="0" collapsed="false">
      <c r="A161" s="11"/>
      <c r="B161" s="11"/>
      <c r="C161" s="12"/>
      <c r="D161" s="12"/>
      <c r="E161" s="13" t="str">
        <f aca="false">IF(OR($A161="",$C161=""),"",N($D161)-$C161)</f>
        <v/>
      </c>
      <c r="F161" s="14" t="str">
        <f aca="false">IF(OR($A161="",$C161="",N($D161)=0),"",($D161-$C161)/$D161)</f>
        <v/>
      </c>
      <c r="G161" s="11"/>
    </row>
    <row r="162" customFormat="false" ht="15" hidden="false" customHeight="false" outlineLevel="0" collapsed="false">
      <c r="A162" s="11"/>
      <c r="B162" s="11"/>
      <c r="C162" s="12"/>
      <c r="D162" s="12"/>
      <c r="E162" s="13" t="str">
        <f aca="false">IF(OR($A162="",$C162=""),"",N($D162)-$C162)</f>
        <v/>
      </c>
      <c r="F162" s="14" t="str">
        <f aca="false">IF(OR($A162="",$C162="",N($D162)=0),"",($D162-$C162)/$D162)</f>
        <v/>
      </c>
      <c r="G162" s="11"/>
    </row>
    <row r="163" customFormat="false" ht="15" hidden="false" customHeight="false" outlineLevel="0" collapsed="false">
      <c r="A163" s="11"/>
      <c r="B163" s="11"/>
      <c r="C163" s="12"/>
      <c r="D163" s="12"/>
      <c r="E163" s="13" t="str">
        <f aca="false">IF(OR($A163="",$C163=""),"",N($D163)-$C163)</f>
        <v/>
      </c>
      <c r="F163" s="14" t="str">
        <f aca="false">IF(OR($A163="",$C163="",N($D163)=0),"",($D163-$C163)/$D163)</f>
        <v/>
      </c>
      <c r="G163" s="11"/>
    </row>
    <row r="164" customFormat="false" ht="15" hidden="false" customHeight="false" outlineLevel="0" collapsed="false">
      <c r="A164" s="11"/>
      <c r="B164" s="11"/>
      <c r="C164" s="12"/>
      <c r="D164" s="12"/>
      <c r="E164" s="13" t="str">
        <f aca="false">IF(OR($A164="",$C164=""),"",N($D164)-$C164)</f>
        <v/>
      </c>
      <c r="F164" s="14" t="str">
        <f aca="false">IF(OR($A164="",$C164="",N($D164)=0),"",($D164-$C164)/$D164)</f>
        <v/>
      </c>
      <c r="G164" s="11"/>
    </row>
    <row r="165" customFormat="false" ht="15" hidden="false" customHeight="false" outlineLevel="0" collapsed="false">
      <c r="A165" s="11"/>
      <c r="B165" s="11"/>
      <c r="C165" s="12"/>
      <c r="D165" s="12"/>
      <c r="E165" s="13" t="str">
        <f aca="false">IF(OR($A165="",$C165=""),"",N($D165)-$C165)</f>
        <v/>
      </c>
      <c r="F165" s="14" t="str">
        <f aca="false">IF(OR($A165="",$C165="",N($D165)=0),"",($D165-$C165)/$D165)</f>
        <v/>
      </c>
      <c r="G165" s="11"/>
    </row>
    <row r="166" customFormat="false" ht="15" hidden="false" customHeight="false" outlineLevel="0" collapsed="false">
      <c r="A166" s="11"/>
      <c r="B166" s="11"/>
      <c r="C166" s="12"/>
      <c r="D166" s="12"/>
      <c r="E166" s="13" t="str">
        <f aca="false">IF(OR($A166="",$C166=""),"",N($D166)-$C166)</f>
        <v/>
      </c>
      <c r="F166" s="14" t="str">
        <f aca="false">IF(OR($A166="",$C166="",N($D166)=0),"",($D166-$C166)/$D166)</f>
        <v/>
      </c>
      <c r="G166" s="11"/>
    </row>
    <row r="167" customFormat="false" ht="15" hidden="false" customHeight="false" outlineLevel="0" collapsed="false">
      <c r="A167" s="11"/>
      <c r="B167" s="11"/>
      <c r="C167" s="12"/>
      <c r="D167" s="12"/>
      <c r="E167" s="13" t="str">
        <f aca="false">IF(OR($A167="",$C167=""),"",N($D167)-$C167)</f>
        <v/>
      </c>
      <c r="F167" s="14" t="str">
        <f aca="false">IF(OR($A167="",$C167="",N($D167)=0),"",($D167-$C167)/$D167)</f>
        <v/>
      </c>
      <c r="G167" s="11"/>
    </row>
    <row r="168" customFormat="false" ht="15" hidden="false" customHeight="false" outlineLevel="0" collapsed="false">
      <c r="A168" s="11"/>
      <c r="B168" s="11"/>
      <c r="C168" s="12"/>
      <c r="D168" s="12"/>
      <c r="E168" s="13" t="str">
        <f aca="false">IF(OR($A168="",$C168=""),"",N($D168)-$C168)</f>
        <v/>
      </c>
      <c r="F168" s="14" t="str">
        <f aca="false">IF(OR($A168="",$C168="",N($D168)=0),"",($D168-$C168)/$D168)</f>
        <v/>
      </c>
      <c r="G168" s="11"/>
    </row>
    <row r="169" customFormat="false" ht="15" hidden="false" customHeight="false" outlineLevel="0" collapsed="false">
      <c r="A169" s="11"/>
      <c r="B169" s="11"/>
      <c r="C169" s="12"/>
      <c r="D169" s="12"/>
      <c r="E169" s="13" t="str">
        <f aca="false">IF(OR($A169="",$C169=""),"",N($D169)-$C169)</f>
        <v/>
      </c>
      <c r="F169" s="14" t="str">
        <f aca="false">IF(OR($A169="",$C169="",N($D169)=0),"",($D169-$C169)/$D169)</f>
        <v/>
      </c>
      <c r="G169" s="11"/>
    </row>
    <row r="170" customFormat="false" ht="15" hidden="false" customHeight="false" outlineLevel="0" collapsed="false">
      <c r="A170" s="11"/>
      <c r="B170" s="11"/>
      <c r="C170" s="12"/>
      <c r="D170" s="12"/>
      <c r="E170" s="13" t="str">
        <f aca="false">IF(OR($A170="",$C170=""),"",N($D170)-$C170)</f>
        <v/>
      </c>
      <c r="F170" s="14" t="str">
        <f aca="false">IF(OR($A170="",$C170="",N($D170)=0),"",($D170-$C170)/$D170)</f>
        <v/>
      </c>
      <c r="G170" s="11"/>
    </row>
    <row r="171" customFormat="false" ht="15" hidden="false" customHeight="false" outlineLevel="0" collapsed="false">
      <c r="A171" s="11"/>
      <c r="B171" s="11"/>
      <c r="C171" s="12"/>
      <c r="D171" s="12"/>
      <c r="E171" s="13" t="str">
        <f aca="false">IF(OR($A171="",$C171=""),"",N($D171)-$C171)</f>
        <v/>
      </c>
      <c r="F171" s="14" t="str">
        <f aca="false">IF(OR($A171="",$C171="",N($D171)=0),"",($D171-$C171)/$D171)</f>
        <v/>
      </c>
      <c r="G171" s="11"/>
    </row>
    <row r="172" customFormat="false" ht="15" hidden="false" customHeight="false" outlineLevel="0" collapsed="false">
      <c r="A172" s="11"/>
      <c r="B172" s="11"/>
      <c r="C172" s="12"/>
      <c r="D172" s="12"/>
      <c r="E172" s="13" t="str">
        <f aca="false">IF(OR($A172="",$C172=""),"",N($D172)-$C172)</f>
        <v/>
      </c>
      <c r="F172" s="14" t="str">
        <f aca="false">IF(OR($A172="",$C172="",N($D172)=0),"",($D172-$C172)/$D172)</f>
        <v/>
      </c>
      <c r="G172" s="11"/>
    </row>
    <row r="173" customFormat="false" ht="15" hidden="false" customHeight="false" outlineLevel="0" collapsed="false">
      <c r="A173" s="11"/>
      <c r="B173" s="11"/>
      <c r="C173" s="12"/>
      <c r="D173" s="12"/>
      <c r="E173" s="13" t="str">
        <f aca="false">IF(OR($A173="",$C173=""),"",N($D173)-$C173)</f>
        <v/>
      </c>
      <c r="F173" s="14" t="str">
        <f aca="false">IF(OR($A173="",$C173="",N($D173)=0),"",($D173-$C173)/$D173)</f>
        <v/>
      </c>
      <c r="G173" s="11"/>
    </row>
    <row r="174" customFormat="false" ht="15" hidden="false" customHeight="false" outlineLevel="0" collapsed="false">
      <c r="A174" s="11"/>
      <c r="B174" s="11"/>
      <c r="C174" s="12"/>
      <c r="D174" s="12"/>
      <c r="E174" s="13" t="str">
        <f aca="false">IF(OR($A174="",$C174=""),"",N($D174)-$C174)</f>
        <v/>
      </c>
      <c r="F174" s="14" t="str">
        <f aca="false">IF(OR($A174="",$C174="",N($D174)=0),"",($D174-$C174)/$D174)</f>
        <v/>
      </c>
      <c r="G174" s="11"/>
    </row>
    <row r="175" customFormat="false" ht="15" hidden="false" customHeight="false" outlineLevel="0" collapsed="false">
      <c r="A175" s="11"/>
      <c r="B175" s="11"/>
      <c r="C175" s="12"/>
      <c r="D175" s="12"/>
      <c r="E175" s="13" t="str">
        <f aca="false">IF(OR($A175="",$C175=""),"",N($D175)-$C175)</f>
        <v/>
      </c>
      <c r="F175" s="14" t="str">
        <f aca="false">IF(OR($A175="",$C175="",N($D175)=0),"",($D175-$C175)/$D175)</f>
        <v/>
      </c>
      <c r="G175" s="11"/>
    </row>
    <row r="176" customFormat="false" ht="15" hidden="false" customHeight="false" outlineLevel="0" collapsed="false">
      <c r="A176" s="11"/>
      <c r="B176" s="11"/>
      <c r="C176" s="12"/>
      <c r="D176" s="12"/>
      <c r="E176" s="13" t="str">
        <f aca="false">IF(OR($A176="",$C176=""),"",N($D176)-$C176)</f>
        <v/>
      </c>
      <c r="F176" s="14" t="str">
        <f aca="false">IF(OR($A176="",$C176="",N($D176)=0),"",($D176-$C176)/$D176)</f>
        <v/>
      </c>
      <c r="G176" s="11"/>
    </row>
    <row r="177" customFormat="false" ht="15" hidden="false" customHeight="false" outlineLevel="0" collapsed="false">
      <c r="A177" s="11"/>
      <c r="B177" s="11"/>
      <c r="C177" s="12"/>
      <c r="D177" s="12"/>
      <c r="E177" s="13" t="str">
        <f aca="false">IF(OR($A177="",$C177=""),"",N($D177)-$C177)</f>
        <v/>
      </c>
      <c r="F177" s="14" t="str">
        <f aca="false">IF(OR($A177="",$C177="",N($D177)=0),"",($D177-$C177)/$D177)</f>
        <v/>
      </c>
      <c r="G177" s="11"/>
    </row>
    <row r="178" customFormat="false" ht="15" hidden="false" customHeight="false" outlineLevel="0" collapsed="false">
      <c r="A178" s="11"/>
      <c r="B178" s="11"/>
      <c r="C178" s="12"/>
      <c r="D178" s="12"/>
      <c r="E178" s="13" t="str">
        <f aca="false">IF(OR($A178="",$C178=""),"",N($D178)-$C178)</f>
        <v/>
      </c>
      <c r="F178" s="14" t="str">
        <f aca="false">IF(OR($A178="",$C178="",N($D178)=0),"",($D178-$C178)/$D178)</f>
        <v/>
      </c>
      <c r="G178" s="11"/>
    </row>
    <row r="179" customFormat="false" ht="15" hidden="false" customHeight="false" outlineLevel="0" collapsed="false">
      <c r="A179" s="11"/>
      <c r="B179" s="11"/>
      <c r="C179" s="12"/>
      <c r="D179" s="12"/>
      <c r="E179" s="13" t="str">
        <f aca="false">IF(OR($A179="",$C179=""),"",N($D179)-$C179)</f>
        <v/>
      </c>
      <c r="F179" s="14" t="str">
        <f aca="false">IF(OR($A179="",$C179="",N($D179)=0),"",($D179-$C179)/$D179)</f>
        <v/>
      </c>
      <c r="G179" s="11"/>
    </row>
    <row r="180" customFormat="false" ht="15" hidden="false" customHeight="false" outlineLevel="0" collapsed="false">
      <c r="A180" s="11"/>
      <c r="B180" s="11"/>
      <c r="C180" s="12"/>
      <c r="D180" s="12"/>
      <c r="E180" s="13" t="str">
        <f aca="false">IF(OR($A180="",$C180=""),"",N($D180)-$C180)</f>
        <v/>
      </c>
      <c r="F180" s="14" t="str">
        <f aca="false">IF(OR($A180="",$C180="",N($D180)=0),"",($D180-$C180)/$D180)</f>
        <v/>
      </c>
      <c r="G180" s="11"/>
    </row>
    <row r="181" customFormat="false" ht="15" hidden="false" customHeight="false" outlineLevel="0" collapsed="false">
      <c r="A181" s="11"/>
      <c r="B181" s="11"/>
      <c r="C181" s="12"/>
      <c r="D181" s="12"/>
      <c r="E181" s="13" t="str">
        <f aca="false">IF(OR($A181="",$C181=""),"",N($D181)-$C181)</f>
        <v/>
      </c>
      <c r="F181" s="14" t="str">
        <f aca="false">IF(OR($A181="",$C181="",N($D181)=0),"",($D181-$C181)/$D181)</f>
        <v/>
      </c>
      <c r="G181" s="11"/>
    </row>
    <row r="182" customFormat="false" ht="15" hidden="false" customHeight="false" outlineLevel="0" collapsed="false">
      <c r="A182" s="11"/>
      <c r="B182" s="11"/>
      <c r="C182" s="12"/>
      <c r="D182" s="12"/>
      <c r="E182" s="13" t="str">
        <f aca="false">IF(OR($A182="",$C182=""),"",N($D182)-$C182)</f>
        <v/>
      </c>
      <c r="F182" s="14" t="str">
        <f aca="false">IF(OR($A182="",$C182="",N($D182)=0),"",($D182-$C182)/$D182)</f>
        <v/>
      </c>
      <c r="G182" s="11"/>
    </row>
    <row r="183" customFormat="false" ht="15" hidden="false" customHeight="false" outlineLevel="0" collapsed="false">
      <c r="A183" s="11"/>
      <c r="B183" s="11"/>
      <c r="C183" s="12"/>
      <c r="D183" s="12"/>
      <c r="E183" s="13" t="str">
        <f aca="false">IF(OR($A183="",$C183=""),"",N($D183)-$C183)</f>
        <v/>
      </c>
      <c r="F183" s="14" t="str">
        <f aca="false">IF(OR($A183="",$C183="",N($D183)=0),"",($D183-$C183)/$D183)</f>
        <v/>
      </c>
      <c r="G183" s="11"/>
    </row>
    <row r="184" customFormat="false" ht="15" hidden="false" customHeight="false" outlineLevel="0" collapsed="false">
      <c r="A184" s="11"/>
      <c r="B184" s="11"/>
      <c r="C184" s="12"/>
      <c r="D184" s="12"/>
      <c r="E184" s="13" t="str">
        <f aca="false">IF(OR($A184="",$C184=""),"",N($D184)-$C184)</f>
        <v/>
      </c>
      <c r="F184" s="14" t="str">
        <f aca="false">IF(OR($A184="",$C184="",N($D184)=0),"",($D184-$C184)/$D184)</f>
        <v/>
      </c>
      <c r="G184" s="11"/>
    </row>
    <row r="185" customFormat="false" ht="15" hidden="false" customHeight="false" outlineLevel="0" collapsed="false">
      <c r="A185" s="11"/>
      <c r="B185" s="11"/>
      <c r="C185" s="12"/>
      <c r="D185" s="12"/>
      <c r="E185" s="13" t="str">
        <f aca="false">IF(OR($A185="",$C185=""),"",N($D185)-$C185)</f>
        <v/>
      </c>
      <c r="F185" s="14" t="str">
        <f aca="false">IF(OR($A185="",$C185="",N($D185)=0),"",($D185-$C185)/$D185)</f>
        <v/>
      </c>
      <c r="G185" s="11"/>
    </row>
    <row r="186" customFormat="false" ht="15" hidden="false" customHeight="false" outlineLevel="0" collapsed="false">
      <c r="A186" s="11"/>
      <c r="B186" s="11"/>
      <c r="C186" s="12"/>
      <c r="D186" s="12"/>
      <c r="E186" s="13" t="str">
        <f aca="false">IF(OR($A186="",$C186=""),"",N($D186)-$C186)</f>
        <v/>
      </c>
      <c r="F186" s="14" t="str">
        <f aca="false">IF(OR($A186="",$C186="",N($D186)=0),"",($D186-$C186)/$D186)</f>
        <v/>
      </c>
      <c r="G186" s="11"/>
    </row>
    <row r="187" customFormat="false" ht="15" hidden="false" customHeight="false" outlineLevel="0" collapsed="false">
      <c r="A187" s="11"/>
      <c r="B187" s="11"/>
      <c r="C187" s="12"/>
      <c r="D187" s="12"/>
      <c r="E187" s="13" t="str">
        <f aca="false">IF(OR($A187="",$C187=""),"",N($D187)-$C187)</f>
        <v/>
      </c>
      <c r="F187" s="14" t="str">
        <f aca="false">IF(OR($A187="",$C187="",N($D187)=0),"",($D187-$C187)/$D187)</f>
        <v/>
      </c>
      <c r="G187" s="11"/>
    </row>
    <row r="188" customFormat="false" ht="15" hidden="false" customHeight="false" outlineLevel="0" collapsed="false">
      <c r="A188" s="11"/>
      <c r="B188" s="11"/>
      <c r="C188" s="12"/>
      <c r="D188" s="12"/>
      <c r="E188" s="13" t="str">
        <f aca="false">IF(OR($A188="",$C188=""),"",N($D188)-$C188)</f>
        <v/>
      </c>
      <c r="F188" s="14" t="str">
        <f aca="false">IF(OR($A188="",$C188="",N($D188)=0),"",($D188-$C188)/$D188)</f>
        <v/>
      </c>
      <c r="G188" s="11"/>
    </row>
    <row r="189" customFormat="false" ht="15" hidden="false" customHeight="false" outlineLevel="0" collapsed="false">
      <c r="A189" s="11"/>
      <c r="B189" s="11"/>
      <c r="C189" s="12"/>
      <c r="D189" s="12"/>
      <c r="E189" s="13" t="str">
        <f aca="false">IF(OR($A189="",$C189=""),"",N($D189)-$C189)</f>
        <v/>
      </c>
      <c r="F189" s="14" t="str">
        <f aca="false">IF(OR($A189="",$C189="",N($D189)=0),"",($D189-$C189)/$D189)</f>
        <v/>
      </c>
      <c r="G189" s="11"/>
    </row>
    <row r="190" customFormat="false" ht="15" hidden="false" customHeight="false" outlineLevel="0" collapsed="false">
      <c r="A190" s="11"/>
      <c r="B190" s="11"/>
      <c r="C190" s="12"/>
      <c r="D190" s="12"/>
      <c r="E190" s="13" t="str">
        <f aca="false">IF(OR($A190="",$C190=""),"",N($D190)-$C190)</f>
        <v/>
      </c>
      <c r="F190" s="14" t="str">
        <f aca="false">IF(OR($A190="",$C190="",N($D190)=0),"",($D190-$C190)/$D190)</f>
        <v/>
      </c>
      <c r="G190" s="11"/>
    </row>
    <row r="191" customFormat="false" ht="15" hidden="false" customHeight="false" outlineLevel="0" collapsed="false">
      <c r="A191" s="11"/>
      <c r="B191" s="11"/>
      <c r="C191" s="12"/>
      <c r="D191" s="12"/>
      <c r="E191" s="13" t="str">
        <f aca="false">IF(OR($A191="",$C191=""),"",N($D191)-$C191)</f>
        <v/>
      </c>
      <c r="F191" s="14" t="str">
        <f aca="false">IF(OR($A191="",$C191="",N($D191)=0),"",($D191-$C191)/$D191)</f>
        <v/>
      </c>
      <c r="G191" s="11"/>
    </row>
    <row r="192" customFormat="false" ht="15" hidden="false" customHeight="false" outlineLevel="0" collapsed="false">
      <c r="A192" s="11"/>
      <c r="B192" s="11"/>
      <c r="C192" s="12"/>
      <c r="D192" s="12"/>
      <c r="E192" s="13" t="str">
        <f aca="false">IF(OR($A192="",$C192=""),"",N($D192)-$C192)</f>
        <v/>
      </c>
      <c r="F192" s="14" t="str">
        <f aca="false">IF(OR($A192="",$C192="",N($D192)=0),"",($D192-$C192)/$D192)</f>
        <v/>
      </c>
      <c r="G192" s="11"/>
    </row>
    <row r="193" customFormat="false" ht="15" hidden="false" customHeight="false" outlineLevel="0" collapsed="false">
      <c r="A193" s="11"/>
      <c r="B193" s="11"/>
      <c r="C193" s="12"/>
      <c r="D193" s="12"/>
      <c r="E193" s="13" t="str">
        <f aca="false">IF(OR($A193="",$C193=""),"",N($D193)-$C193)</f>
        <v/>
      </c>
      <c r="F193" s="14" t="str">
        <f aca="false">IF(OR($A193="",$C193="",N($D193)=0),"",($D193-$C193)/$D193)</f>
        <v/>
      </c>
      <c r="G193" s="11"/>
    </row>
    <row r="194" customFormat="false" ht="15" hidden="false" customHeight="false" outlineLevel="0" collapsed="false">
      <c r="A194" s="11"/>
      <c r="B194" s="11"/>
      <c r="C194" s="12"/>
      <c r="D194" s="12"/>
      <c r="E194" s="13" t="str">
        <f aca="false">IF(OR($A194="",$C194=""),"",N($D194)-$C194)</f>
        <v/>
      </c>
      <c r="F194" s="14" t="str">
        <f aca="false">IF(OR($A194="",$C194="",N($D194)=0),"",($D194-$C194)/$D194)</f>
        <v/>
      </c>
      <c r="G194" s="11"/>
    </row>
    <row r="195" customFormat="false" ht="15" hidden="false" customHeight="false" outlineLevel="0" collapsed="false">
      <c r="A195" s="11"/>
      <c r="B195" s="11"/>
      <c r="C195" s="12"/>
      <c r="D195" s="12"/>
      <c r="E195" s="13" t="str">
        <f aca="false">IF(OR($A195="",$C195=""),"",N($D195)-$C195)</f>
        <v/>
      </c>
      <c r="F195" s="14" t="str">
        <f aca="false">IF(OR($A195="",$C195="",N($D195)=0),"",($D195-$C195)/$D195)</f>
        <v/>
      </c>
      <c r="G195" s="11"/>
    </row>
    <row r="196" customFormat="false" ht="15" hidden="false" customHeight="false" outlineLevel="0" collapsed="false">
      <c r="A196" s="11"/>
      <c r="B196" s="11"/>
      <c r="C196" s="12"/>
      <c r="D196" s="12"/>
      <c r="E196" s="13" t="str">
        <f aca="false">IF(OR($A196="",$C196=""),"",N($D196)-$C196)</f>
        <v/>
      </c>
      <c r="F196" s="14" t="str">
        <f aca="false">IF(OR($A196="",$C196="",N($D196)=0),"",($D196-$C196)/$D196)</f>
        <v/>
      </c>
      <c r="G196" s="11"/>
    </row>
    <row r="197" customFormat="false" ht="15" hidden="false" customHeight="false" outlineLevel="0" collapsed="false">
      <c r="A197" s="11"/>
      <c r="B197" s="11"/>
      <c r="C197" s="12"/>
      <c r="D197" s="12"/>
      <c r="E197" s="13" t="str">
        <f aca="false">IF(OR($A197="",$C197=""),"",N($D197)-$C197)</f>
        <v/>
      </c>
      <c r="F197" s="14" t="str">
        <f aca="false">IF(OR($A197="",$C197="",N($D197)=0),"",($D197-$C197)/$D197)</f>
        <v/>
      </c>
      <c r="G197" s="11"/>
    </row>
    <row r="198" customFormat="false" ht="15" hidden="false" customHeight="false" outlineLevel="0" collapsed="false">
      <c r="A198" s="11"/>
      <c r="B198" s="11"/>
      <c r="C198" s="12"/>
      <c r="D198" s="12"/>
      <c r="E198" s="13" t="str">
        <f aca="false">IF(OR($A198="",$C198=""),"",N($D198)-$C198)</f>
        <v/>
      </c>
      <c r="F198" s="14" t="str">
        <f aca="false">IF(OR($A198="",$C198="",N($D198)=0),"",($D198-$C198)/$D198)</f>
        <v/>
      </c>
      <c r="G198" s="11"/>
    </row>
    <row r="199" customFormat="false" ht="15" hidden="false" customHeight="false" outlineLevel="0" collapsed="false">
      <c r="A199" s="11"/>
      <c r="B199" s="11"/>
      <c r="C199" s="12"/>
      <c r="D199" s="12"/>
      <c r="E199" s="13" t="str">
        <f aca="false">IF(OR($A199="",$C199=""),"",N($D199)-$C199)</f>
        <v/>
      </c>
      <c r="F199" s="14" t="str">
        <f aca="false">IF(OR($A199="",$C199="",N($D199)=0),"",($D199-$C199)/$D199)</f>
        <v/>
      </c>
      <c r="G199" s="11"/>
    </row>
    <row r="200" customFormat="false" ht="15" hidden="false" customHeight="false" outlineLevel="0" collapsed="false">
      <c r="A200" s="11"/>
      <c r="B200" s="11"/>
      <c r="C200" s="12"/>
      <c r="D200" s="12"/>
      <c r="E200" s="13" t="str">
        <f aca="false">IF(OR($A200="",$C200=""),"",N($D200)-$C200)</f>
        <v/>
      </c>
      <c r="F200" s="14" t="str">
        <f aca="false">IF(OR($A200="",$C200="",N($D200)=0),"",($D200-$C200)/$D200)</f>
        <v/>
      </c>
      <c r="G200" s="11"/>
    </row>
    <row r="201" customFormat="false" ht="15" hidden="false" customHeight="false" outlineLevel="0" collapsed="false">
      <c r="A201" s="11"/>
      <c r="B201" s="11"/>
      <c r="C201" s="12"/>
      <c r="D201" s="12"/>
      <c r="E201" s="13" t="str">
        <f aca="false">IF(OR($A201="",$C201=""),"",N($D201)-$C201)</f>
        <v/>
      </c>
      <c r="F201" s="14" t="str">
        <f aca="false">IF(OR($A201="",$C201="",N($D201)=0),"",($D201-$C201)/$D201)</f>
        <v/>
      </c>
      <c r="G201" s="11"/>
    </row>
    <row r="202" customFormat="false" ht="15" hidden="false" customHeight="false" outlineLevel="0" collapsed="false">
      <c r="A202" s="11"/>
      <c r="B202" s="11"/>
      <c r="C202" s="12"/>
      <c r="D202" s="12"/>
      <c r="E202" s="13" t="str">
        <f aca="false">IF(OR($A202="",$C202=""),"",N($D202)-$C202)</f>
        <v/>
      </c>
      <c r="F202" s="14" t="str">
        <f aca="false">IF(OR($A202="",$C202="",N($D202)=0),"",($D202-$C202)/$D202)</f>
        <v/>
      </c>
      <c r="G202" s="11"/>
    </row>
    <row r="203" customFormat="false" ht="15" hidden="false" customHeight="false" outlineLevel="0" collapsed="false">
      <c r="A203" s="11"/>
      <c r="B203" s="11"/>
      <c r="C203" s="12"/>
      <c r="D203" s="12"/>
      <c r="E203" s="13" t="str">
        <f aca="false">IF(OR($A203="",$C203=""),"",N($D203)-$C203)</f>
        <v/>
      </c>
      <c r="F203" s="14" t="str">
        <f aca="false">IF(OR($A203="",$C203="",N($D203)=0),"",($D203-$C203)/$D203)</f>
        <v/>
      </c>
      <c r="G203" s="11"/>
    </row>
    <row r="204" customFormat="false" ht="15" hidden="false" customHeight="false" outlineLevel="0" collapsed="false">
      <c r="A204" s="11"/>
      <c r="B204" s="11"/>
      <c r="C204" s="12"/>
      <c r="D204" s="12"/>
      <c r="E204" s="13" t="str">
        <f aca="false">IF(OR($A204="",$C204=""),"",N($D204)-$C204)</f>
        <v/>
      </c>
      <c r="F204" s="14" t="str">
        <f aca="false">IF(OR($A204="",$C204="",N($D204)=0),"",($D204-$C204)/$D204)</f>
        <v/>
      </c>
      <c r="G204" s="11"/>
    </row>
    <row r="205" customFormat="false" ht="15" hidden="false" customHeight="false" outlineLevel="0" collapsed="false">
      <c r="A205" s="11"/>
      <c r="B205" s="11"/>
      <c r="C205" s="12"/>
      <c r="D205" s="12"/>
      <c r="E205" s="13" t="str">
        <f aca="false">IF(OR($A205="",$C205=""),"",N($D205)-$C205)</f>
        <v/>
      </c>
      <c r="F205" s="14" t="str">
        <f aca="false">IF(OR($A205="",$C205="",N($D205)=0),"",($D205-$C205)/$D205)</f>
        <v/>
      </c>
      <c r="G205" s="11"/>
    </row>
    <row r="206" customFormat="false" ht="15" hidden="false" customHeight="false" outlineLevel="0" collapsed="false">
      <c r="A206" s="11"/>
      <c r="B206" s="11"/>
      <c r="C206" s="12"/>
      <c r="D206" s="12"/>
      <c r="E206" s="13" t="str">
        <f aca="false">IF(OR($A206="",$C206=""),"",N($D206)-$C206)</f>
        <v/>
      </c>
      <c r="F206" s="14" t="str">
        <f aca="false">IF(OR($A206="",$C206="",N($D206)=0),"",($D206-$C206)/$D206)</f>
        <v/>
      </c>
      <c r="G206" s="11"/>
    </row>
    <row r="207" customFormat="false" ht="15" hidden="false" customHeight="false" outlineLevel="0" collapsed="false">
      <c r="A207" s="11"/>
      <c r="B207" s="11"/>
      <c r="C207" s="12"/>
      <c r="D207" s="12"/>
      <c r="E207" s="13" t="str">
        <f aca="false">IF(OR($A207="",$C207=""),"",N($D207)-$C207)</f>
        <v/>
      </c>
      <c r="F207" s="14" t="str">
        <f aca="false">IF(OR($A207="",$C207="",N($D207)=0),"",($D207-$C207)/$D207)</f>
        <v/>
      </c>
      <c r="G207" s="11"/>
    </row>
    <row r="208" customFormat="false" ht="15" hidden="false" customHeight="false" outlineLevel="0" collapsed="false">
      <c r="A208" s="11"/>
      <c r="B208" s="11"/>
      <c r="C208" s="12"/>
      <c r="D208" s="12"/>
      <c r="E208" s="13" t="str">
        <f aca="false">IF(OR($A208="",$C208=""),"",N($D208)-$C208)</f>
        <v/>
      </c>
      <c r="F208" s="14" t="str">
        <f aca="false">IF(OR($A208="",$C208="",N($D208)=0),"",($D208-$C208)/$D208)</f>
        <v/>
      </c>
      <c r="G208" s="11"/>
    </row>
    <row r="209" customFormat="false" ht="15" hidden="false" customHeight="false" outlineLevel="0" collapsed="false">
      <c r="A209" s="11"/>
      <c r="B209" s="11"/>
      <c r="C209" s="12"/>
      <c r="D209" s="12"/>
      <c r="E209" s="13" t="str">
        <f aca="false">IF(OR($A209="",$C209=""),"",N($D209)-$C209)</f>
        <v/>
      </c>
      <c r="F209" s="14" t="str">
        <f aca="false">IF(OR($A209="",$C209="",N($D209)=0),"",($D209-$C209)/$D209)</f>
        <v/>
      </c>
      <c r="G209" s="11"/>
    </row>
    <row r="210" customFormat="false" ht="15" hidden="false" customHeight="false" outlineLevel="0" collapsed="false">
      <c r="A210" s="11"/>
      <c r="B210" s="11"/>
      <c r="C210" s="12"/>
      <c r="D210" s="12"/>
      <c r="E210" s="13" t="str">
        <f aca="false">IF(OR($A210="",$C210=""),"",N($D210)-$C210)</f>
        <v/>
      </c>
      <c r="F210" s="14" t="str">
        <f aca="false">IF(OR($A210="",$C210="",N($D210)=0),"",($D210-$C210)/$D210)</f>
        <v/>
      </c>
      <c r="G210" s="11"/>
    </row>
    <row r="211" customFormat="false" ht="15" hidden="false" customHeight="false" outlineLevel="0" collapsed="false">
      <c r="A211" s="11"/>
      <c r="B211" s="11"/>
      <c r="C211" s="12"/>
      <c r="D211" s="12"/>
      <c r="E211" s="13" t="str">
        <f aca="false">IF(OR($A211="",$C211=""),"",N($D211)-$C211)</f>
        <v/>
      </c>
      <c r="F211" s="14" t="str">
        <f aca="false">IF(OR($A211="",$C211="",N($D211)=0),"",($D211-$C211)/$D211)</f>
        <v/>
      </c>
      <c r="G211" s="11"/>
    </row>
    <row r="212" customFormat="false" ht="15" hidden="false" customHeight="false" outlineLevel="0" collapsed="false">
      <c r="A212" s="11"/>
      <c r="B212" s="11"/>
      <c r="C212" s="12"/>
      <c r="D212" s="12"/>
      <c r="E212" s="13" t="str">
        <f aca="false">IF(OR($A212="",$C212=""),"",N($D212)-$C212)</f>
        <v/>
      </c>
      <c r="F212" s="14" t="str">
        <f aca="false">IF(OR($A212="",$C212="",N($D212)=0),"",($D212-$C212)/$D212)</f>
        <v/>
      </c>
      <c r="G212" s="11"/>
    </row>
    <row r="213" customFormat="false" ht="15" hidden="false" customHeight="false" outlineLevel="0" collapsed="false">
      <c r="A213" s="11"/>
      <c r="B213" s="11"/>
      <c r="C213" s="12"/>
      <c r="D213" s="12"/>
      <c r="E213" s="13" t="str">
        <f aca="false">IF(OR($A213="",$C213=""),"",N($D213)-$C213)</f>
        <v/>
      </c>
      <c r="F213" s="14" t="str">
        <f aca="false">IF(OR($A213="",$C213="",N($D213)=0),"",($D213-$C213)/$D213)</f>
        <v/>
      </c>
      <c r="G213" s="11"/>
    </row>
    <row r="214" customFormat="false" ht="15" hidden="false" customHeight="false" outlineLevel="0" collapsed="false">
      <c r="A214" s="11"/>
      <c r="B214" s="11"/>
      <c r="C214" s="12"/>
      <c r="D214" s="12"/>
      <c r="E214" s="13" t="str">
        <f aca="false">IF(OR($A214="",$C214=""),"",N($D214)-$C214)</f>
        <v/>
      </c>
      <c r="F214" s="14" t="str">
        <f aca="false">IF(OR($A214="",$C214="",N($D214)=0),"",($D214-$C214)/$D214)</f>
        <v/>
      </c>
      <c r="G214" s="11"/>
    </row>
    <row r="215" customFormat="false" ht="15" hidden="false" customHeight="false" outlineLevel="0" collapsed="false">
      <c r="A215" s="11"/>
      <c r="B215" s="11"/>
      <c r="C215" s="12"/>
      <c r="D215" s="12"/>
      <c r="E215" s="13" t="str">
        <f aca="false">IF(OR($A215="",$C215=""),"",N($D215)-$C215)</f>
        <v/>
      </c>
      <c r="F215" s="14" t="str">
        <f aca="false">IF(OR($A215="",$C215="",N($D215)=0),"",($D215-$C215)/$D215)</f>
        <v/>
      </c>
      <c r="G215" s="11"/>
    </row>
    <row r="216" customFormat="false" ht="15" hidden="false" customHeight="false" outlineLevel="0" collapsed="false">
      <c r="A216" s="11"/>
      <c r="B216" s="11"/>
      <c r="C216" s="12"/>
      <c r="D216" s="12"/>
      <c r="E216" s="13" t="str">
        <f aca="false">IF(OR($A216="",$C216=""),"",N($D216)-$C216)</f>
        <v/>
      </c>
      <c r="F216" s="14" t="str">
        <f aca="false">IF(OR($A216="",$C216="",N($D216)=0),"",($D216-$C216)/$D216)</f>
        <v/>
      </c>
      <c r="G216" s="11"/>
    </row>
    <row r="217" customFormat="false" ht="15" hidden="false" customHeight="false" outlineLevel="0" collapsed="false">
      <c r="A217" s="11"/>
      <c r="B217" s="11"/>
      <c r="C217" s="12"/>
      <c r="D217" s="12"/>
      <c r="E217" s="13" t="str">
        <f aca="false">IF(OR($A217="",$C217=""),"",N($D217)-$C217)</f>
        <v/>
      </c>
      <c r="F217" s="14" t="str">
        <f aca="false">IF(OR($A217="",$C217="",N($D217)=0),"",($D217-$C217)/$D217)</f>
        <v/>
      </c>
      <c r="G217" s="11"/>
    </row>
    <row r="218" customFormat="false" ht="15" hidden="false" customHeight="false" outlineLevel="0" collapsed="false">
      <c r="A218" s="11"/>
      <c r="B218" s="11"/>
      <c r="C218" s="12"/>
      <c r="D218" s="12"/>
      <c r="E218" s="13" t="str">
        <f aca="false">IF(OR($A218="",$C218=""),"",N($D218)-$C218)</f>
        <v/>
      </c>
      <c r="F218" s="14" t="str">
        <f aca="false">IF(OR($A218="",$C218="",N($D218)=0),"",($D218-$C218)/$D218)</f>
        <v/>
      </c>
      <c r="G218" s="11"/>
    </row>
    <row r="219" customFormat="false" ht="15" hidden="false" customHeight="false" outlineLevel="0" collapsed="false">
      <c r="A219" s="11"/>
      <c r="B219" s="11"/>
      <c r="C219" s="12"/>
      <c r="D219" s="12"/>
      <c r="E219" s="13" t="str">
        <f aca="false">IF(OR($A219="",$C219=""),"",N($D219)-$C219)</f>
        <v/>
      </c>
      <c r="F219" s="14" t="str">
        <f aca="false">IF(OR($A219="",$C219="",N($D219)=0),"",($D219-$C219)/$D219)</f>
        <v/>
      </c>
      <c r="G219" s="11"/>
    </row>
    <row r="220" customFormat="false" ht="15" hidden="false" customHeight="false" outlineLevel="0" collapsed="false">
      <c r="A220" s="11"/>
      <c r="B220" s="11"/>
      <c r="C220" s="12"/>
      <c r="D220" s="12"/>
      <c r="E220" s="13" t="str">
        <f aca="false">IF(OR($A220="",$C220=""),"",N($D220)-$C220)</f>
        <v/>
      </c>
      <c r="F220" s="14" t="str">
        <f aca="false">IF(OR($A220="",$C220="",N($D220)=0),"",($D220-$C220)/$D220)</f>
        <v/>
      </c>
      <c r="G220" s="11"/>
    </row>
    <row r="221" customFormat="false" ht="15" hidden="false" customHeight="false" outlineLevel="0" collapsed="false">
      <c r="A221" s="11"/>
      <c r="B221" s="11"/>
      <c r="C221" s="12"/>
      <c r="D221" s="12"/>
      <c r="E221" s="13" t="str">
        <f aca="false">IF(OR($A221="",$C221=""),"",N($D221)-$C221)</f>
        <v/>
      </c>
      <c r="F221" s="14" t="str">
        <f aca="false">IF(OR($A221="",$C221="",N($D221)=0),"",($D221-$C221)/$D221)</f>
        <v/>
      </c>
      <c r="G221" s="11"/>
    </row>
    <row r="222" customFormat="false" ht="15" hidden="false" customHeight="false" outlineLevel="0" collapsed="false">
      <c r="A222" s="11"/>
      <c r="B222" s="11"/>
      <c r="C222" s="12"/>
      <c r="D222" s="12"/>
      <c r="E222" s="13" t="str">
        <f aca="false">IF(OR($A222="",$C222=""),"",N($D222)-$C222)</f>
        <v/>
      </c>
      <c r="F222" s="14" t="str">
        <f aca="false">IF(OR($A222="",$C222="",N($D222)=0),"",($D222-$C222)/$D222)</f>
        <v/>
      </c>
      <c r="G222" s="11"/>
    </row>
    <row r="223" customFormat="false" ht="15" hidden="false" customHeight="false" outlineLevel="0" collapsed="false">
      <c r="A223" s="11"/>
      <c r="B223" s="11"/>
      <c r="C223" s="12"/>
      <c r="D223" s="12"/>
      <c r="E223" s="13" t="str">
        <f aca="false">IF(OR($A223="",$C223=""),"",N($D223)-$C223)</f>
        <v/>
      </c>
      <c r="F223" s="14" t="str">
        <f aca="false">IF(OR($A223="",$C223="",N($D223)=0),"",($D223-$C223)/$D223)</f>
        <v/>
      </c>
      <c r="G223" s="11"/>
    </row>
    <row r="224" customFormat="false" ht="15" hidden="false" customHeight="false" outlineLevel="0" collapsed="false">
      <c r="A224" s="11"/>
      <c r="B224" s="11"/>
      <c r="C224" s="12"/>
      <c r="D224" s="12"/>
      <c r="E224" s="13" t="str">
        <f aca="false">IF(OR($A224="",$C224=""),"",N($D224)-$C224)</f>
        <v/>
      </c>
      <c r="F224" s="14" t="str">
        <f aca="false">IF(OR($A224="",$C224="",N($D224)=0),"",($D224-$C224)/$D224)</f>
        <v/>
      </c>
      <c r="G224" s="11"/>
    </row>
    <row r="225" customFormat="false" ht="15" hidden="false" customHeight="false" outlineLevel="0" collapsed="false">
      <c r="A225" s="11"/>
      <c r="B225" s="11"/>
      <c r="C225" s="12"/>
      <c r="D225" s="12"/>
      <c r="E225" s="13" t="str">
        <f aca="false">IF(OR($A225="",$C225=""),"",N($D225)-$C225)</f>
        <v/>
      </c>
      <c r="F225" s="14" t="str">
        <f aca="false">IF(OR($A225="",$C225="",N($D225)=0),"",($D225-$C225)/$D225)</f>
        <v/>
      </c>
      <c r="G225" s="11"/>
    </row>
    <row r="226" customFormat="false" ht="15" hidden="false" customHeight="false" outlineLevel="0" collapsed="false">
      <c r="A226" s="11"/>
      <c r="B226" s="11"/>
      <c r="C226" s="12"/>
      <c r="D226" s="12"/>
      <c r="E226" s="13" t="str">
        <f aca="false">IF(OR($A226="",$C226=""),"",N($D226)-$C226)</f>
        <v/>
      </c>
      <c r="F226" s="14" t="str">
        <f aca="false">IF(OR($A226="",$C226="",N($D226)=0),"",($D226-$C226)/$D226)</f>
        <v/>
      </c>
      <c r="G226" s="11"/>
    </row>
    <row r="227" customFormat="false" ht="15" hidden="false" customHeight="false" outlineLevel="0" collapsed="false">
      <c r="A227" s="11"/>
      <c r="B227" s="11"/>
      <c r="C227" s="12"/>
      <c r="D227" s="12"/>
      <c r="E227" s="13" t="str">
        <f aca="false">IF(OR($A227="",$C227=""),"",N($D227)-$C227)</f>
        <v/>
      </c>
      <c r="F227" s="14" t="str">
        <f aca="false">IF(OR($A227="",$C227="",N($D227)=0),"",($D227-$C227)/$D227)</f>
        <v/>
      </c>
      <c r="G227" s="11"/>
    </row>
    <row r="228" customFormat="false" ht="15" hidden="false" customHeight="false" outlineLevel="0" collapsed="false">
      <c r="A228" s="11"/>
      <c r="B228" s="11"/>
      <c r="C228" s="12"/>
      <c r="D228" s="12"/>
      <c r="E228" s="13" t="str">
        <f aca="false">IF(OR($A228="",$C228=""),"",N($D228)-$C228)</f>
        <v/>
      </c>
      <c r="F228" s="14" t="str">
        <f aca="false">IF(OR($A228="",$C228="",N($D228)=0),"",($D228-$C228)/$D228)</f>
        <v/>
      </c>
      <c r="G228" s="11"/>
    </row>
    <row r="229" customFormat="false" ht="15" hidden="false" customHeight="false" outlineLevel="0" collapsed="false">
      <c r="A229" s="11"/>
      <c r="B229" s="11"/>
      <c r="C229" s="12"/>
      <c r="D229" s="12"/>
      <c r="E229" s="13" t="str">
        <f aca="false">IF(OR($A229="",$C229=""),"",N($D229)-$C229)</f>
        <v/>
      </c>
      <c r="F229" s="14" t="str">
        <f aca="false">IF(OR($A229="",$C229="",N($D229)=0),"",($D229-$C229)/$D229)</f>
        <v/>
      </c>
      <c r="G229" s="11"/>
    </row>
    <row r="230" customFormat="false" ht="15" hidden="false" customHeight="false" outlineLevel="0" collapsed="false">
      <c r="A230" s="11"/>
      <c r="B230" s="11"/>
      <c r="C230" s="12"/>
      <c r="D230" s="12"/>
      <c r="E230" s="13" t="str">
        <f aca="false">IF(OR($A230="",$C230=""),"",N($D230)-$C230)</f>
        <v/>
      </c>
      <c r="F230" s="14" t="str">
        <f aca="false">IF(OR($A230="",$C230="",N($D230)=0),"",($D230-$C230)/$D230)</f>
        <v/>
      </c>
      <c r="G230" s="11"/>
    </row>
    <row r="231" customFormat="false" ht="15" hidden="false" customHeight="false" outlineLevel="0" collapsed="false">
      <c r="A231" s="11"/>
      <c r="B231" s="11"/>
      <c r="C231" s="12"/>
      <c r="D231" s="12"/>
      <c r="E231" s="13" t="str">
        <f aca="false">IF(OR($A231="",$C231=""),"",N($D231)-$C231)</f>
        <v/>
      </c>
      <c r="F231" s="14" t="str">
        <f aca="false">IF(OR($A231="",$C231="",N($D231)=0),"",($D231-$C231)/$D231)</f>
        <v/>
      </c>
      <c r="G231" s="11"/>
    </row>
    <row r="232" customFormat="false" ht="15" hidden="false" customHeight="false" outlineLevel="0" collapsed="false">
      <c r="A232" s="11"/>
      <c r="B232" s="11"/>
      <c r="C232" s="12"/>
      <c r="D232" s="12"/>
      <c r="E232" s="13" t="str">
        <f aca="false">IF(OR($A232="",$C232=""),"",N($D232)-$C232)</f>
        <v/>
      </c>
      <c r="F232" s="14" t="str">
        <f aca="false">IF(OR($A232="",$C232="",N($D232)=0),"",($D232-$C232)/$D232)</f>
        <v/>
      </c>
      <c r="G232" s="11"/>
    </row>
    <row r="233" customFormat="false" ht="15" hidden="false" customHeight="false" outlineLevel="0" collapsed="false">
      <c r="A233" s="11"/>
      <c r="B233" s="11"/>
      <c r="C233" s="12"/>
      <c r="D233" s="12"/>
      <c r="E233" s="13" t="str">
        <f aca="false">IF(OR($A233="",$C233=""),"",N($D233)-$C233)</f>
        <v/>
      </c>
      <c r="F233" s="14" t="str">
        <f aca="false">IF(OR($A233="",$C233="",N($D233)=0),"",($D233-$C233)/$D233)</f>
        <v/>
      </c>
      <c r="G233" s="11"/>
    </row>
    <row r="234" customFormat="false" ht="15" hidden="false" customHeight="false" outlineLevel="0" collapsed="false">
      <c r="A234" s="11"/>
      <c r="B234" s="11"/>
      <c r="C234" s="12"/>
      <c r="D234" s="12"/>
      <c r="E234" s="13" t="str">
        <f aca="false">IF(OR($A234="",$C234=""),"",N($D234)-$C234)</f>
        <v/>
      </c>
      <c r="F234" s="14" t="str">
        <f aca="false">IF(OR($A234="",$C234="",N($D234)=0),"",($D234-$C234)/$D234)</f>
        <v/>
      </c>
      <c r="G234" s="11"/>
    </row>
    <row r="235" customFormat="false" ht="15" hidden="false" customHeight="false" outlineLevel="0" collapsed="false">
      <c r="A235" s="11"/>
      <c r="B235" s="11"/>
      <c r="C235" s="12"/>
      <c r="D235" s="12"/>
      <c r="E235" s="13" t="str">
        <f aca="false">IF(OR($A235="",$C235=""),"",N($D235)-$C235)</f>
        <v/>
      </c>
      <c r="F235" s="14" t="str">
        <f aca="false">IF(OR($A235="",$C235="",N($D235)=0),"",($D235-$C235)/$D235)</f>
        <v/>
      </c>
      <c r="G235" s="11"/>
    </row>
    <row r="236" customFormat="false" ht="15" hidden="false" customHeight="false" outlineLevel="0" collapsed="false">
      <c r="A236" s="11"/>
      <c r="B236" s="11"/>
      <c r="C236" s="12"/>
      <c r="D236" s="12"/>
      <c r="E236" s="13" t="str">
        <f aca="false">IF(OR($A236="",$C236=""),"",N($D236)-$C236)</f>
        <v/>
      </c>
      <c r="F236" s="14" t="str">
        <f aca="false">IF(OR($A236="",$C236="",N($D236)=0),"",($D236-$C236)/$D236)</f>
        <v/>
      </c>
      <c r="G236" s="11"/>
    </row>
    <row r="237" customFormat="false" ht="15" hidden="false" customHeight="false" outlineLevel="0" collapsed="false">
      <c r="A237" s="11"/>
      <c r="B237" s="11"/>
      <c r="C237" s="12"/>
      <c r="D237" s="12"/>
      <c r="E237" s="13" t="str">
        <f aca="false">IF(OR($A237="",$C237=""),"",N($D237)-$C237)</f>
        <v/>
      </c>
      <c r="F237" s="14" t="str">
        <f aca="false">IF(OR($A237="",$C237="",N($D237)=0),"",($D237-$C237)/$D237)</f>
        <v/>
      </c>
      <c r="G237" s="11"/>
    </row>
    <row r="238" customFormat="false" ht="15" hidden="false" customHeight="false" outlineLevel="0" collapsed="false">
      <c r="A238" s="11"/>
      <c r="B238" s="11"/>
      <c r="C238" s="12"/>
      <c r="D238" s="12"/>
      <c r="E238" s="13" t="str">
        <f aca="false">IF(OR($A238="",$C238=""),"",N($D238)-$C238)</f>
        <v/>
      </c>
      <c r="F238" s="14" t="str">
        <f aca="false">IF(OR($A238="",$C238="",N($D238)=0),"",($D238-$C238)/$D238)</f>
        <v/>
      </c>
      <c r="G238" s="11"/>
    </row>
    <row r="239" customFormat="false" ht="15" hidden="false" customHeight="false" outlineLevel="0" collapsed="false">
      <c r="A239" s="11"/>
      <c r="B239" s="11"/>
      <c r="C239" s="12"/>
      <c r="D239" s="12"/>
      <c r="E239" s="13" t="str">
        <f aca="false">IF(OR($A239="",$C239=""),"",N($D239)-$C239)</f>
        <v/>
      </c>
      <c r="F239" s="14" t="str">
        <f aca="false">IF(OR($A239="",$C239="",N($D239)=0),"",($D239-$C239)/$D239)</f>
        <v/>
      </c>
      <c r="G239" s="11"/>
    </row>
    <row r="240" customFormat="false" ht="15" hidden="false" customHeight="false" outlineLevel="0" collapsed="false">
      <c r="A240" s="11"/>
      <c r="B240" s="11"/>
      <c r="C240" s="12"/>
      <c r="D240" s="12"/>
      <c r="E240" s="13" t="str">
        <f aca="false">IF(OR($A240="",$C240=""),"",N($D240)-$C240)</f>
        <v/>
      </c>
      <c r="F240" s="14" t="str">
        <f aca="false">IF(OR($A240="",$C240="",N($D240)=0),"",($D240-$C240)/$D240)</f>
        <v/>
      </c>
      <c r="G240" s="11"/>
    </row>
    <row r="241" customFormat="false" ht="15" hidden="false" customHeight="false" outlineLevel="0" collapsed="false">
      <c r="A241" s="11"/>
      <c r="B241" s="11"/>
      <c r="C241" s="12"/>
      <c r="D241" s="12"/>
      <c r="E241" s="13" t="str">
        <f aca="false">IF(OR($A241="",$C241=""),"",N($D241)-$C241)</f>
        <v/>
      </c>
      <c r="F241" s="14" t="str">
        <f aca="false">IF(OR($A241="",$C241="",N($D241)=0),"",($D241-$C241)/$D241)</f>
        <v/>
      </c>
      <c r="G241" s="11"/>
    </row>
    <row r="242" customFormat="false" ht="15" hidden="false" customHeight="false" outlineLevel="0" collapsed="false">
      <c r="A242" s="11"/>
      <c r="B242" s="11"/>
      <c r="C242" s="12"/>
      <c r="D242" s="12"/>
      <c r="E242" s="13" t="str">
        <f aca="false">IF(OR($A242="",$C242=""),"",N($D242)-$C242)</f>
        <v/>
      </c>
      <c r="F242" s="14" t="str">
        <f aca="false">IF(OR($A242="",$C242="",N($D242)=0),"",($D242-$C242)/$D242)</f>
        <v/>
      </c>
      <c r="G242" s="11"/>
    </row>
    <row r="243" customFormat="false" ht="15" hidden="false" customHeight="false" outlineLevel="0" collapsed="false">
      <c r="A243" s="11"/>
      <c r="B243" s="11"/>
      <c r="C243" s="12"/>
      <c r="D243" s="12"/>
      <c r="E243" s="13" t="str">
        <f aca="false">IF(OR($A243="",$C243=""),"",N($D243)-$C243)</f>
        <v/>
      </c>
      <c r="F243" s="14" t="str">
        <f aca="false">IF(OR($A243="",$C243="",N($D243)=0),"",($D243-$C243)/$D243)</f>
        <v/>
      </c>
      <c r="G243" s="11"/>
    </row>
    <row r="244" customFormat="false" ht="15" hidden="false" customHeight="false" outlineLevel="0" collapsed="false">
      <c r="A244" s="11"/>
      <c r="B244" s="11"/>
      <c r="C244" s="12"/>
      <c r="D244" s="12"/>
      <c r="E244" s="13" t="str">
        <f aca="false">IF(OR($A244="",$C244=""),"",N($D244)-$C244)</f>
        <v/>
      </c>
      <c r="F244" s="14" t="str">
        <f aca="false">IF(OR($A244="",$C244="",N($D244)=0),"",($D244-$C244)/$D244)</f>
        <v/>
      </c>
      <c r="G244" s="11"/>
    </row>
    <row r="245" customFormat="false" ht="15" hidden="false" customHeight="false" outlineLevel="0" collapsed="false">
      <c r="A245" s="11"/>
      <c r="B245" s="11"/>
      <c r="C245" s="12"/>
      <c r="D245" s="12"/>
      <c r="E245" s="13" t="str">
        <f aca="false">IF(OR($A245="",$C245=""),"",N($D245)-$C245)</f>
        <v/>
      </c>
      <c r="F245" s="14" t="str">
        <f aca="false">IF(OR($A245="",$C245="",N($D245)=0),"",($D245-$C245)/$D245)</f>
        <v/>
      </c>
      <c r="G245" s="11"/>
    </row>
    <row r="246" customFormat="false" ht="15" hidden="false" customHeight="false" outlineLevel="0" collapsed="false">
      <c r="A246" s="11"/>
      <c r="B246" s="11"/>
      <c r="C246" s="12"/>
      <c r="D246" s="12"/>
      <c r="E246" s="13" t="str">
        <f aca="false">IF(OR($A246="",$C246=""),"",N($D246)-$C246)</f>
        <v/>
      </c>
      <c r="F246" s="14" t="str">
        <f aca="false">IF(OR($A246="",$C246="",N($D246)=0),"",($D246-$C246)/$D246)</f>
        <v/>
      </c>
      <c r="G246" s="11"/>
    </row>
    <row r="247" customFormat="false" ht="15" hidden="false" customHeight="false" outlineLevel="0" collapsed="false">
      <c r="A247" s="11"/>
      <c r="B247" s="11"/>
      <c r="C247" s="12"/>
      <c r="D247" s="12"/>
      <c r="E247" s="13" t="str">
        <f aca="false">IF(OR($A247="",$C247=""),"",N($D247)-$C247)</f>
        <v/>
      </c>
      <c r="F247" s="14" t="str">
        <f aca="false">IF(OR($A247="",$C247="",N($D247)=0),"",($D247-$C247)/$D247)</f>
        <v/>
      </c>
      <c r="G247" s="11"/>
    </row>
    <row r="248" customFormat="false" ht="15" hidden="false" customHeight="false" outlineLevel="0" collapsed="false">
      <c r="A248" s="11"/>
      <c r="B248" s="11"/>
      <c r="C248" s="12"/>
      <c r="D248" s="12"/>
      <c r="E248" s="13" t="str">
        <f aca="false">IF(OR($A248="",$C248=""),"",N($D248)-$C248)</f>
        <v/>
      </c>
      <c r="F248" s="14" t="str">
        <f aca="false">IF(OR($A248="",$C248="",N($D248)=0),"",($D248-$C248)/$D248)</f>
        <v/>
      </c>
      <c r="G248" s="11"/>
    </row>
    <row r="249" customFormat="false" ht="15" hidden="false" customHeight="false" outlineLevel="0" collapsed="false">
      <c r="A249" s="11"/>
      <c r="B249" s="11"/>
      <c r="C249" s="12"/>
      <c r="D249" s="12"/>
      <c r="E249" s="13" t="str">
        <f aca="false">IF(OR($A249="",$C249=""),"",N($D249)-$C249)</f>
        <v/>
      </c>
      <c r="F249" s="14" t="str">
        <f aca="false">IF(OR($A249="",$C249="",N($D249)=0),"",($D249-$C249)/$D249)</f>
        <v/>
      </c>
      <c r="G249" s="11"/>
    </row>
    <row r="250" customFormat="false" ht="15" hidden="false" customHeight="false" outlineLevel="0" collapsed="false">
      <c r="A250" s="11"/>
      <c r="B250" s="11"/>
      <c r="C250" s="12"/>
      <c r="D250" s="12"/>
      <c r="E250" s="13" t="str">
        <f aca="false">IF(OR($A250="",$C250=""),"",N($D250)-$C250)</f>
        <v/>
      </c>
      <c r="F250" s="14" t="str">
        <f aca="false">IF(OR($A250="",$C250="",N($D250)=0),"",($D250-$C250)/$D250)</f>
        <v/>
      </c>
      <c r="G250" s="11"/>
    </row>
    <row r="251" customFormat="false" ht="15" hidden="false" customHeight="false" outlineLevel="0" collapsed="false">
      <c r="A251" s="11"/>
      <c r="B251" s="11"/>
      <c r="C251" s="12"/>
      <c r="D251" s="12"/>
      <c r="E251" s="13" t="str">
        <f aca="false">IF(OR($A251="",$C251=""),"",N($D251)-$C251)</f>
        <v/>
      </c>
      <c r="F251" s="14" t="str">
        <f aca="false">IF(OR($A251="",$C251="",N($D251)=0),"",($D251-$C251)/$D251)</f>
        <v/>
      </c>
      <c r="G251" s="11"/>
    </row>
    <row r="252" customFormat="false" ht="15" hidden="false" customHeight="false" outlineLevel="0" collapsed="false">
      <c r="A252" s="11"/>
      <c r="B252" s="11"/>
      <c r="C252" s="12"/>
      <c r="D252" s="12"/>
      <c r="E252" s="13" t="str">
        <f aca="false">IF(OR($A252="",$C252=""),"",N($D252)-$C252)</f>
        <v/>
      </c>
      <c r="F252" s="14" t="str">
        <f aca="false">IF(OR($A252="",$C252="",N($D252)=0),"",($D252-$C252)/$D252)</f>
        <v/>
      </c>
      <c r="G252" s="11"/>
    </row>
    <row r="253" customFormat="false" ht="15" hidden="false" customHeight="false" outlineLevel="0" collapsed="false">
      <c r="A253" s="11"/>
      <c r="B253" s="11"/>
      <c r="C253" s="12"/>
      <c r="D253" s="12"/>
      <c r="E253" s="13" t="str">
        <f aca="false">IF(OR($A253="",$C253=""),"",N($D253)-$C253)</f>
        <v/>
      </c>
      <c r="F253" s="14" t="str">
        <f aca="false">IF(OR($A253="",$C253="",N($D253)=0),"",($D253-$C253)/$D253)</f>
        <v/>
      </c>
      <c r="G253" s="11"/>
    </row>
    <row r="254" customFormat="false" ht="15" hidden="false" customHeight="false" outlineLevel="0" collapsed="false">
      <c r="A254" s="11"/>
      <c r="B254" s="11"/>
      <c r="C254" s="12"/>
      <c r="D254" s="12"/>
      <c r="E254" s="13" t="str">
        <f aca="false">IF(OR($A254="",$C254=""),"",N($D254)-$C254)</f>
        <v/>
      </c>
      <c r="F254" s="14" t="str">
        <f aca="false">IF(OR($A254="",$C254="",N($D254)=0),"",($D254-$C254)/$D254)</f>
        <v/>
      </c>
      <c r="G254" s="11"/>
    </row>
  </sheetData>
  <autoFilter ref="A4:G254"/>
  <mergeCells count="3">
    <mergeCell ref="A1:G1"/>
    <mergeCell ref="A2:G2"/>
    <mergeCell ref="A3:B3"/>
  </mergeCells>
  <conditionalFormatting sqref="C5:C254">
    <cfRule type="expression" priority="2" aboveAverage="0" equalAverage="0" bottom="0" percent="0" rank="0" text="" dxfId="8">
      <formula>AND($A5&lt;&gt;"",$C5="")</formula>
    </cfRule>
  </conditionalFormatting>
  <conditionalFormatting sqref="E5:E254">
    <cfRule type="cellIs" priority="3" operator="lessThan"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D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0"/>
    <col collapsed="false" customWidth="true" hidden="false" outlineLevel="0" max="4" min="4" style="0" width="14"/>
    <col collapsed="false" customWidth="true" hidden="false" outlineLevel="0" max="5" min="5" style="0" width="30"/>
    <col collapsed="false" customWidth="true" hidden="false" outlineLevel="0" max="6" min="6" style="0" width="16"/>
    <col collapsed="false" customWidth="true" hidden="false" outlineLevel="0" max="8" min="7" style="0" width="34"/>
    <col collapsed="false" customWidth="true" hidden="false" outlineLevel="0" max="9" min="9" style="0" width="10"/>
    <col collapsed="false" customWidth="true" hidden="false" outlineLevel="0" max="10" min="10" style="0" width="14"/>
    <col collapsed="false" customWidth="true" hidden="false" outlineLevel="0" max="13" min="11" style="0" width="15"/>
    <col collapsed="false" customWidth="true" hidden="false" outlineLevel="0" max="14" min="14" style="0" width="10"/>
    <col collapsed="false" customWidth="true" hidden="false" outlineLevel="0" max="15" min="15" style="0" width="13"/>
    <col collapsed="false" customWidth="true" hidden="false" outlineLevel="0" max="17" min="16" style="0" width="16"/>
    <col collapsed="false" customWidth="true" hidden="false" outlineLevel="0" max="18" min="18" style="0" width="14"/>
    <col collapsed="false" customWidth="true" hidden="false" outlineLevel="0" max="19" min="19" style="0" width="18"/>
    <col collapsed="false" customWidth="true" hidden="false" outlineLevel="0" max="21" min="20" style="0" width="14"/>
    <col collapsed="false" customWidth="true" hidden="false" outlineLevel="0" max="22" min="22" style="0" width="9"/>
    <col collapsed="false" customWidth="true" hidden="false" outlineLevel="0" max="23" min="23" style="0" width="28"/>
    <col collapsed="false" customWidth="true" hidden="false" outlineLevel="0" max="24" min="24" style="0" width="38"/>
    <col collapsed="false" customWidth="true" hidden="false" outlineLevel="0" max="26" min="26" style="0" width="12"/>
    <col collapsed="false" customWidth="true" hidden="false" outlineLevel="0" max="27" min="27" style="0" width="22"/>
    <col collapsed="false" customWidth="true" hidden="false" outlineLevel="0" max="28" min="28" style="0" width="34"/>
    <col collapsed="false" customWidth="true" hidden="false" outlineLevel="0" max="29" min="29" style="0" width="16"/>
    <col collapsed="false" customWidth="true" hidden="false" outlineLevel="0" max="30" min="30" style="0" width="28"/>
  </cols>
  <sheetData>
    <row r="1" customFormat="false" ht="27.75" hidden="false" customHeight="true" outlineLevel="0" collapsed="false">
      <c r="A1" s="1" t="s">
        <v>116</v>
      </c>
      <c r="B1" s="1"/>
      <c r="C1" s="1"/>
      <c r="D1" s="1"/>
      <c r="E1" s="1"/>
      <c r="F1" s="1"/>
      <c r="G1" s="1"/>
      <c r="H1" s="1"/>
      <c r="I1" s="1"/>
      <c r="J1" s="1"/>
      <c r="K1" s="1"/>
      <c r="L1" s="1"/>
      <c r="M1" s="1"/>
      <c r="N1" s="1"/>
      <c r="O1" s="1"/>
      <c r="P1" s="1"/>
      <c r="Q1" s="1"/>
      <c r="R1" s="1"/>
      <c r="S1" s="1"/>
      <c r="T1" s="1"/>
      <c r="U1" s="1"/>
      <c r="V1" s="1"/>
      <c r="W1" s="1"/>
      <c r="X1" s="1"/>
    </row>
    <row r="2" customFormat="false" ht="18.75" hidden="false" customHeight="true" outlineLevel="0" collapsed="false">
      <c r="A2" s="2" t="s">
        <v>117</v>
      </c>
      <c r="B2" s="2"/>
      <c r="C2" s="2"/>
      <c r="D2" s="2"/>
      <c r="E2" s="2"/>
      <c r="F2" s="2"/>
      <c r="G2" s="2"/>
      <c r="H2" s="2"/>
      <c r="I2" s="2"/>
      <c r="J2" s="2"/>
      <c r="K2" s="2"/>
      <c r="L2" s="2"/>
      <c r="M2" s="2"/>
      <c r="N2" s="2"/>
      <c r="O2" s="2"/>
      <c r="P2" s="2"/>
      <c r="Q2" s="2"/>
      <c r="R2" s="2"/>
      <c r="S2" s="2"/>
      <c r="T2" s="2"/>
      <c r="U2" s="2"/>
      <c r="V2" s="2"/>
      <c r="W2" s="2"/>
      <c r="X2" s="2"/>
    </row>
    <row r="3" customFormat="false" ht="19.5" hidden="false" customHeight="true" outlineLevel="0" collapsed="false">
      <c r="A3" s="15" t="s">
        <v>118</v>
      </c>
      <c r="B3" s="15"/>
      <c r="C3" s="15"/>
      <c r="D3" s="16" t="n">
        <f aca="false">COUNTIFS($C$10:$C$159,"?*",$L$10:$L$159,"&gt;0")</f>
        <v>3</v>
      </c>
      <c r="E3" s="16"/>
      <c r="F3" s="15" t="s">
        <v>119</v>
      </c>
      <c r="G3" s="15"/>
      <c r="H3" s="15"/>
      <c r="I3" s="16" t="n">
        <f aca="false">SUM($L$10:$L$159)</f>
        <v>21500000</v>
      </c>
      <c r="J3" s="16"/>
      <c r="K3" s="16"/>
      <c r="L3" s="15" t="s">
        <v>120</v>
      </c>
      <c r="M3" s="15"/>
      <c r="N3" s="15"/>
      <c r="O3" s="15"/>
      <c r="P3" s="16" t="n">
        <f aca="false">SUM($T$10:$T$159)</f>
        <v>0</v>
      </c>
      <c r="Q3" s="16"/>
      <c r="R3" s="16"/>
      <c r="Z3" s="17" t="s">
        <v>121</v>
      </c>
      <c r="AA3" s="17"/>
      <c r="AB3" s="17"/>
      <c r="AC3" s="17"/>
      <c r="AD3" s="17"/>
    </row>
    <row r="4" customFormat="false" ht="19.5" hidden="false" customHeight="true" outlineLevel="0" collapsed="false">
      <c r="A4" s="15" t="s">
        <v>122</v>
      </c>
      <c r="B4" s="15"/>
      <c r="C4" s="15"/>
      <c r="D4" s="16" t="n">
        <f aca="false">IF(COUNTA($C$10:$C$159)=0,0,SUMPRODUCT(($C$10:$C$159&lt;&gt;"")/COUNTIF($C$10:$C$159,$C$10:$C$159&amp;"")))</f>
        <v>3</v>
      </c>
      <c r="E4" s="16"/>
      <c r="F4" s="15" t="s">
        <v>123</v>
      </c>
      <c r="G4" s="15"/>
      <c r="H4" s="15"/>
      <c r="I4" s="16" t="n">
        <f aca="false">SUM($O$10:$O$159)</f>
        <v>0</v>
      </c>
      <c r="J4" s="16"/>
      <c r="K4" s="16"/>
      <c r="L4" s="15" t="s">
        <v>124</v>
      </c>
      <c r="M4" s="15"/>
      <c r="N4" s="15"/>
      <c r="O4" s="15"/>
      <c r="P4" s="16" t="n">
        <f aca="false">SUM($AC$5:$AC$24)</f>
        <v>0</v>
      </c>
      <c r="Q4" s="16"/>
      <c r="R4" s="16"/>
      <c r="Z4" s="9" t="s">
        <v>125</v>
      </c>
      <c r="AA4" s="9" t="s">
        <v>126</v>
      </c>
      <c r="AB4" s="9" t="s">
        <v>127</v>
      </c>
      <c r="AC4" s="9" t="s">
        <v>128</v>
      </c>
      <c r="AD4" s="9" t="s">
        <v>65</v>
      </c>
    </row>
    <row r="5" customFormat="false" ht="19.5" hidden="false" customHeight="true" outlineLevel="0" collapsed="false">
      <c r="A5" s="15" t="s">
        <v>129</v>
      </c>
      <c r="B5" s="15"/>
      <c r="C5" s="15"/>
      <c r="D5" s="16" t="n">
        <f aca="false">COUNTIFS($P$10:$P$159,"&gt;0",$R$10:$R$159,"&lt;=0")</f>
        <v>2</v>
      </c>
      <c r="E5" s="16"/>
      <c r="F5" s="15" t="s">
        <v>130</v>
      </c>
      <c r="G5" s="15"/>
      <c r="H5" s="15"/>
      <c r="I5" s="16" t="n">
        <f aca="false">SUM($P$10:$P$159)</f>
        <v>21500000</v>
      </c>
      <c r="J5" s="16"/>
      <c r="K5" s="16"/>
      <c r="L5" s="15" t="s">
        <v>131</v>
      </c>
      <c r="M5" s="15"/>
      <c r="N5" s="15"/>
      <c r="O5" s="15"/>
      <c r="P5" s="16" t="n">
        <f aca="false">$P3+$P4</f>
        <v>0</v>
      </c>
      <c r="Q5" s="16"/>
      <c r="R5" s="16"/>
      <c r="Z5" s="18"/>
      <c r="AA5" s="11"/>
      <c r="AB5" s="11"/>
      <c r="AC5" s="12"/>
      <c r="AD5" s="11"/>
    </row>
    <row r="6" customFormat="false" ht="19.5" hidden="false" customHeight="true" outlineLevel="0" collapsed="false">
      <c r="A6" s="15" t="s">
        <v>132</v>
      </c>
      <c r="B6" s="15"/>
      <c r="C6" s="15"/>
      <c r="D6" s="16" t="n">
        <f aca="false">COUNTIF($R$10:$R$159,"&gt;0")</f>
        <v>1</v>
      </c>
      <c r="E6" s="16"/>
      <c r="F6" s="15" t="s">
        <v>133</v>
      </c>
      <c r="G6" s="15"/>
      <c r="H6" s="15"/>
      <c r="I6" s="16" t="n">
        <f aca="false">SUM($Q$10:$Q$159)</f>
        <v>15500000</v>
      </c>
      <c r="J6" s="16"/>
      <c r="K6" s="16"/>
      <c r="L6" s="15" t="s">
        <v>134</v>
      </c>
      <c r="M6" s="15"/>
      <c r="N6" s="15"/>
      <c r="O6" s="15"/>
      <c r="P6" s="16" t="n">
        <f aca="false">$I3-$P5</f>
        <v>21500000</v>
      </c>
      <c r="Q6" s="16"/>
      <c r="R6" s="16"/>
      <c r="Z6" s="18"/>
      <c r="AA6" s="11"/>
      <c r="AB6" s="11"/>
      <c r="AC6" s="12"/>
      <c r="AD6" s="11"/>
    </row>
    <row r="7" customFormat="false" ht="19.5" hidden="false" customHeight="true" outlineLevel="0" collapsed="false">
      <c r="A7" s="15" t="s">
        <v>135</v>
      </c>
      <c r="B7" s="15"/>
      <c r="C7" s="15"/>
      <c r="D7" s="19" t="n">
        <f aca="false">IF($I5=0,"",$I6/$I5)</f>
        <v>0.72093023255814</v>
      </c>
      <c r="E7" s="19"/>
      <c r="F7" s="15" t="s">
        <v>136</v>
      </c>
      <c r="G7" s="15"/>
      <c r="H7" s="15"/>
      <c r="I7" s="16" t="n">
        <f aca="false">SUM($R$10:$R$159)</f>
        <v>6000000</v>
      </c>
      <c r="J7" s="16"/>
      <c r="K7" s="16"/>
      <c r="L7" s="15" t="s">
        <v>137</v>
      </c>
      <c r="M7" s="15"/>
      <c r="N7" s="15"/>
      <c r="O7" s="15"/>
      <c r="P7" s="19" t="n">
        <f aca="false">IF($I3=0,"",$P6/$I3)</f>
        <v>1</v>
      </c>
      <c r="Q7" s="19"/>
      <c r="R7" s="19"/>
      <c r="Z7" s="18"/>
      <c r="AA7" s="11"/>
      <c r="AB7" s="11"/>
      <c r="AC7" s="12"/>
      <c r="AD7" s="11"/>
    </row>
    <row r="8" customFormat="false" ht="21.75" hidden="false" customHeight="true" outlineLevel="0" collapsed="false">
      <c r="A8" s="20" t="str">
        <f aca="false">IF(SUMPRODUCT(($H$10:$H$159&lt;&gt;"")*($J$10:$J$159=""))=0,"✔ Mọi đơn trong tháng đã có GIÁ GỐC – số liệu lãi lỗ đầy đủ.","⚠ CÓ "&amp;SUMPRODUCT(($H$10:$H$159&lt;&gt;"")*($J$10:$J$159=""))&amp;" ĐƠN CHƯA KHAI GIÁ GỐC → GIÁ VỐN và LÃI/LỖ của tháng CHƯA ĐỦ. Vào sheet BẢNG GIÁ GỐC điền cột GIÁ GỐC/SP.")</f>
        <v>⚠ CÓ 3 ĐƠN CHƯA KHAI GIÁ GỐC → GIÁ VỐN và LÃI/LỖ của tháng CHƯA ĐỦ. Vào sheet BẢNG GIÁ GỐC điền cột GIÁ GỐC/SP.</v>
      </c>
      <c r="B8" s="20"/>
      <c r="C8" s="20"/>
      <c r="D8" s="20"/>
      <c r="E8" s="20"/>
      <c r="F8" s="20"/>
      <c r="G8" s="20"/>
      <c r="H8" s="20"/>
      <c r="I8" s="20"/>
      <c r="J8" s="20"/>
      <c r="K8" s="20"/>
      <c r="L8" s="20"/>
      <c r="M8" s="20"/>
      <c r="N8" s="20"/>
      <c r="O8" s="20"/>
      <c r="P8" s="20"/>
      <c r="Q8" s="20"/>
      <c r="R8" s="20"/>
      <c r="S8" s="20"/>
      <c r="T8" s="20"/>
      <c r="U8" s="20"/>
      <c r="V8" s="20"/>
      <c r="W8" s="20"/>
      <c r="X8" s="20"/>
      <c r="Z8" s="18"/>
      <c r="AA8" s="11"/>
      <c r="AB8" s="11"/>
      <c r="AC8" s="12"/>
      <c r="AD8" s="11"/>
    </row>
    <row r="9" customFormat="false" ht="33.75" hidden="false" customHeight="true" outlineLevel="0" collapsed="false">
      <c r="A9" s="10" t="s">
        <v>138</v>
      </c>
      <c r="B9" s="9" t="s">
        <v>139</v>
      </c>
      <c r="C9" s="9" t="s">
        <v>140</v>
      </c>
      <c r="D9" s="9" t="s">
        <v>141</v>
      </c>
      <c r="E9" s="9" t="s">
        <v>142</v>
      </c>
      <c r="F9" s="9" t="s">
        <v>143</v>
      </c>
      <c r="G9" s="9" t="s">
        <v>144</v>
      </c>
      <c r="H9" s="9" t="s">
        <v>59</v>
      </c>
      <c r="I9" s="9" t="s">
        <v>145</v>
      </c>
      <c r="J9" s="10" t="s">
        <v>61</v>
      </c>
      <c r="K9" s="9" t="s">
        <v>146</v>
      </c>
      <c r="L9" s="10" t="s">
        <v>147</v>
      </c>
      <c r="M9" s="9" t="s">
        <v>148</v>
      </c>
      <c r="N9" s="10" t="s">
        <v>149</v>
      </c>
      <c r="O9" s="10" t="s">
        <v>123</v>
      </c>
      <c r="P9" s="10" t="s">
        <v>150</v>
      </c>
      <c r="Q9" s="9" t="s">
        <v>151</v>
      </c>
      <c r="R9" s="10" t="s">
        <v>152</v>
      </c>
      <c r="S9" s="10" t="s">
        <v>153</v>
      </c>
      <c r="T9" s="10" t="s">
        <v>154</v>
      </c>
      <c r="U9" s="10" t="s">
        <v>155</v>
      </c>
      <c r="V9" s="10" t="s">
        <v>156</v>
      </c>
      <c r="W9" s="9" t="s">
        <v>65</v>
      </c>
      <c r="X9" s="10" t="s">
        <v>157</v>
      </c>
      <c r="Z9" s="18"/>
      <c r="AA9" s="11"/>
      <c r="AB9" s="11"/>
      <c r="AC9" s="12"/>
      <c r="AD9" s="11"/>
    </row>
    <row r="10" customFormat="false" ht="15" hidden="false" customHeight="false" outlineLevel="0" collapsed="false">
      <c r="A10" s="21" t="n">
        <f aca="false">IF($C10="","",COUNTA($C$10:$C10))</f>
        <v>1</v>
      </c>
      <c r="B10" s="18" t="n">
        <v>46176</v>
      </c>
      <c r="C10" s="11" t="s">
        <v>158</v>
      </c>
      <c r="D10" s="22" t="s">
        <v>159</v>
      </c>
      <c r="E10" s="11" t="s">
        <v>160</v>
      </c>
      <c r="F10" s="22" t="s">
        <v>161</v>
      </c>
      <c r="G10" s="11" t="s">
        <v>162</v>
      </c>
      <c r="H10" s="11" t="s">
        <v>87</v>
      </c>
      <c r="I10" s="12" t="n">
        <v>100</v>
      </c>
      <c r="J10" s="13" t="n">
        <f aca="false">IF($H10="","",IFERROR(VLOOKUP($H10,'BẢNG GIÁ GỐC'!$A$5:$D$254,3,FALSE()),""))</f>
        <v>0</v>
      </c>
      <c r="K10" s="12" t="n">
        <v>85000</v>
      </c>
      <c r="L10" s="13" t="n">
        <f aca="false">IF($C10="","",N($I10)*N($K10))</f>
        <v>8500000</v>
      </c>
      <c r="M10" s="11" t="s">
        <v>163</v>
      </c>
      <c r="N10" s="14" t="n">
        <f aca="false">IF($C10="","",IF($M10="VAT 5%",0.05,IF($M10="VAT 8%",0.08,IF($M10="VAT 10%",0.1,0))))</f>
        <v>0</v>
      </c>
      <c r="O10" s="13" t="n">
        <f aca="false">IF($C10="","",$L10*$N10)</f>
        <v>0</v>
      </c>
      <c r="P10" s="13" t="n">
        <f aca="false">IF($C10="","",$L10+$O10)</f>
        <v>8500000</v>
      </c>
      <c r="Q10" s="12" t="n">
        <v>8500000</v>
      </c>
      <c r="R10" s="13" t="n">
        <f aca="false">IF($C10="","",MAX(0,$P10-N($Q10)))</f>
        <v>0</v>
      </c>
      <c r="S10" s="23" t="str">
        <f aca="false">IF(OR($C10="",$P10=0),"",IF(N($Q10)&lt;=0,"Chưa thanh toán",IF(N($Q10)&lt;$P10,"Thanh toán một phần","Đã thanh toán")))</f>
        <v>Đã thanh toán</v>
      </c>
      <c r="T10" s="13" t="str">
        <f aca="false">IF(OR($C10="",$J10=""),"",N($I10)*$J10)</f>
        <v/>
      </c>
      <c r="U10" s="13" t="str">
        <f aca="false">IF(OR($C10="",$T10=""),"",$L10-$T10)</f>
        <v/>
      </c>
      <c r="V10" s="14" t="str">
        <f aca="false">IF(OR($U10="",$L10=0),"",$U10/$L10)</f>
        <v/>
      </c>
      <c r="W10" s="11" t="s">
        <v>164</v>
      </c>
      <c r="X10" s="23" t="str">
        <f aca="false">IF($C10="","",IF(AND($H10="",N($I10)=0,N($K10)=0),"Dòng chỉ lưu thông tin khách (chưa có đơn); ",IF($B10="","Thiếu ngày đặt; ","")&amp;IF($H10="","Thiếu tên sản phẩm; ",IF($J10="","Chưa khai GIÁ GỐC ở BẢNG GIÁ GỐC; ",""))&amp;IF(N($I10)&lt;=0,"Thiếu số lượng; ","")&amp;IF(N($K10)&lt;=0,"Thiếu giá bán; ","")&amp;IF(AND($N10&gt;0,$F10=""),"Khách lấy VAT thiếu mã số thuế; ","")&amp;IF(N($Q10)&gt;$P10,"Đã thu vượt tổng phải thu; ","")&amp;IF(AND($L10&gt;0,$U10&lt;&gt;"",$U10&lt;0),"CẢNH BÁO: ĐƠN NÀY ĐANG LỖ; ","")))</f>
        <v>Chưa khai GIÁ GỐC ở BẢNG GIÁ GỐC; </v>
      </c>
      <c r="Z10" s="18"/>
      <c r="AA10" s="11"/>
      <c r="AB10" s="11"/>
      <c r="AC10" s="12"/>
      <c r="AD10" s="11"/>
    </row>
    <row r="11" customFormat="false" ht="15" hidden="false" customHeight="false" outlineLevel="0" collapsed="false">
      <c r="A11" s="21" t="n">
        <f aca="false">IF($C11="","",COUNTA($C$10:$C11))</f>
        <v>2</v>
      </c>
      <c r="B11" s="18" t="n">
        <v>46183</v>
      </c>
      <c r="C11" s="11" t="s">
        <v>165</v>
      </c>
      <c r="D11" s="22" t="s">
        <v>166</v>
      </c>
      <c r="E11" s="11" t="s">
        <v>167</v>
      </c>
      <c r="F11" s="22" t="s">
        <v>168</v>
      </c>
      <c r="G11" s="11" t="s">
        <v>169</v>
      </c>
      <c r="H11" s="11" t="s">
        <v>92</v>
      </c>
      <c r="I11" s="12" t="n">
        <v>50</v>
      </c>
      <c r="J11" s="13" t="n">
        <f aca="false">IF($H11="","",IFERROR(VLOOKUP($H11,'BẢNG GIÁ GỐC'!$A$5:$D$254,3,FALSE()),""))</f>
        <v>0</v>
      </c>
      <c r="K11" s="12" t="n">
        <v>120000</v>
      </c>
      <c r="L11" s="13" t="n">
        <f aca="false">IF($C11="","",N($I11)*N($K11))</f>
        <v>6000000</v>
      </c>
      <c r="M11" s="11" t="s">
        <v>163</v>
      </c>
      <c r="N11" s="14" t="n">
        <f aca="false">IF($C11="","",IF($M11="VAT 5%",0.05,IF($M11="VAT 8%",0.08,IF($M11="VAT 10%",0.1,0))))</f>
        <v>0</v>
      </c>
      <c r="O11" s="13" t="n">
        <f aca="false">IF($C11="","",$L11*$N11)</f>
        <v>0</v>
      </c>
      <c r="P11" s="13" t="n">
        <f aca="false">IF($C11="","",$L11+$O11)</f>
        <v>6000000</v>
      </c>
      <c r="Q11" s="12" t="n">
        <v>0</v>
      </c>
      <c r="R11" s="13" t="n">
        <f aca="false">IF($C11="","",MAX(0,$P11-N($Q11)))</f>
        <v>6000000</v>
      </c>
      <c r="S11" s="23" t="str">
        <f aca="false">IF(OR($C11="",$P11=0),"",IF(N($Q11)&lt;=0,"Chưa thanh toán",IF(N($Q11)&lt;$P11,"Thanh toán một phần","Đã thanh toán")))</f>
        <v>Chưa thanh toán</v>
      </c>
      <c r="T11" s="13" t="str">
        <f aca="false">IF(OR($C11="",$J11=""),"",N($I11)*$J11)</f>
        <v/>
      </c>
      <c r="U11" s="13" t="str">
        <f aca="false">IF(OR($C11="",$T11=""),"",$L11-$T11)</f>
        <v/>
      </c>
      <c r="V11" s="14" t="str">
        <f aca="false">IF(OR($U11="",$L11=0),"",$U11/$L11)</f>
        <v/>
      </c>
      <c r="W11" s="11" t="s">
        <v>170</v>
      </c>
      <c r="X11" s="23" t="str">
        <f aca="false">IF($C11="","",IF(AND($H11="",N($I11)=0,N($K11)=0),"Dòng chỉ lưu thông tin khách (chưa có đơn); ",IF($B11="","Thiếu ngày đặt; ","")&amp;IF($H11="","Thiếu tên sản phẩm; ",IF($J11="","Chưa khai GIÁ GỐC ở BẢNG GIÁ GỐC; ",""))&amp;IF(N($I11)&lt;=0,"Thiếu số lượng; ","")&amp;IF(N($K11)&lt;=0,"Thiếu giá bán; ","")&amp;IF(AND($N11&gt;0,$F11=""),"Khách lấy VAT thiếu mã số thuế; ","")&amp;IF(N($Q11)&gt;$P11,"Đã thu vượt tổng phải thu; ","")&amp;IF(AND($L11&gt;0,$U11&lt;&gt;"",$U11&lt;0),"CẢNH BÁO: ĐƠN NÀY ĐANG LỖ; ","")))</f>
        <v>Chưa khai GIÁ GỐC ở BẢNG GIÁ GỐC; </v>
      </c>
      <c r="Z11" s="18"/>
      <c r="AA11" s="11"/>
      <c r="AB11" s="11"/>
      <c r="AC11" s="12"/>
      <c r="AD11" s="11"/>
    </row>
    <row r="12" customFormat="false" ht="15" hidden="false" customHeight="false" outlineLevel="0" collapsed="false">
      <c r="A12" s="21" t="n">
        <f aca="false">IF($C12="","",COUNTA($C$10:$C12))</f>
        <v>3</v>
      </c>
      <c r="B12" s="18" t="n">
        <v>46188</v>
      </c>
      <c r="C12" s="11" t="s">
        <v>171</v>
      </c>
      <c r="D12" s="22" t="s">
        <v>172</v>
      </c>
      <c r="E12" s="11" t="s">
        <v>173</v>
      </c>
      <c r="F12" s="22" t="s">
        <v>174</v>
      </c>
      <c r="G12" s="11" t="s">
        <v>175</v>
      </c>
      <c r="H12" s="11" t="s">
        <v>89</v>
      </c>
      <c r="I12" s="12" t="n">
        <v>200</v>
      </c>
      <c r="J12" s="13" t="n">
        <f aca="false">IF($H12="","",IFERROR(VLOOKUP($H12,'BẢNG GIÁ GỐC'!$A$5:$D$254,3,FALSE()),""))</f>
        <v>0</v>
      </c>
      <c r="K12" s="12" t="n">
        <v>35000</v>
      </c>
      <c r="L12" s="13" t="n">
        <f aca="false">IF($C12="","",N($I12)*N($K12))</f>
        <v>7000000</v>
      </c>
      <c r="M12" s="11" t="s">
        <v>163</v>
      </c>
      <c r="N12" s="14" t="n">
        <f aca="false">IF($C12="","",IF($M12="VAT 5%",0.05,IF($M12="VAT 8%",0.08,IF($M12="VAT 10%",0.1,0))))</f>
        <v>0</v>
      </c>
      <c r="O12" s="13" t="n">
        <f aca="false">IF($C12="","",$L12*$N12)</f>
        <v>0</v>
      </c>
      <c r="P12" s="13" t="n">
        <f aca="false">IF($C12="","",$L12+$O12)</f>
        <v>7000000</v>
      </c>
      <c r="Q12" s="12" t="n">
        <v>7000000</v>
      </c>
      <c r="R12" s="13" t="n">
        <f aca="false">IF($C12="","",MAX(0,$P12-N($Q12)))</f>
        <v>0</v>
      </c>
      <c r="S12" s="23" t="str">
        <f aca="false">IF(OR($C12="",$P12=0),"",IF(N($Q12)&lt;=0,"Chưa thanh toán",IF(N($Q12)&lt;$P12,"Thanh toán một phần","Đã thanh toán")))</f>
        <v>Đã thanh toán</v>
      </c>
      <c r="T12" s="13" t="str">
        <f aca="false">IF(OR($C12="",$J12=""),"",N($I12)*$J12)</f>
        <v/>
      </c>
      <c r="U12" s="13" t="str">
        <f aca="false">IF(OR($C12="",$T12=""),"",$L12-$T12)</f>
        <v/>
      </c>
      <c r="V12" s="14" t="str">
        <f aca="false">IF(OR($U12="",$L12=0),"",$U12/$L12)</f>
        <v/>
      </c>
      <c r="W12" s="11" t="s">
        <v>176</v>
      </c>
      <c r="X12" s="23" t="str">
        <f aca="false">IF($C12="","",IF(AND($H12="",N($I12)=0,N($K12)=0),"Dòng chỉ lưu thông tin khách (chưa có đơn); ",IF($B12="","Thiếu ngày đặt; ","")&amp;IF($H12="","Thiếu tên sản phẩm; ",IF($J12="","Chưa khai GIÁ GỐC ở BẢNG GIÁ GỐC; ",""))&amp;IF(N($I12)&lt;=0,"Thiếu số lượng; ","")&amp;IF(N($K12)&lt;=0,"Thiếu giá bán; ","")&amp;IF(AND($N12&gt;0,$F12=""),"Khách lấy VAT thiếu mã số thuế; ","")&amp;IF(N($Q12)&gt;$P12,"Đã thu vượt tổng phải thu; ","")&amp;IF(AND($L12&gt;0,$U12&lt;&gt;"",$U12&lt;0),"CẢNH BÁO: ĐƠN NÀY ĐANG LỖ; ","")))</f>
        <v>Chưa khai GIÁ GỐC ở BẢNG GIÁ GỐC; </v>
      </c>
      <c r="Z12" s="18"/>
      <c r="AA12" s="11"/>
      <c r="AB12" s="11"/>
      <c r="AC12" s="12"/>
      <c r="AD12" s="11"/>
    </row>
    <row r="13" customFormat="false" ht="15" hidden="false" customHeight="false" outlineLevel="0" collapsed="false">
      <c r="A13" s="21" t="str">
        <f aca="false">IF($C13="","",COUNTA($C$10:$C13))</f>
        <v/>
      </c>
      <c r="B13" s="18"/>
      <c r="C13" s="11"/>
      <c r="D13" s="11"/>
      <c r="E13" s="11"/>
      <c r="F13" s="11"/>
      <c r="G13" s="11"/>
      <c r="H13" s="11"/>
      <c r="I13" s="12"/>
      <c r="J13" s="13" t="str">
        <f aca="false">IF($H13="","",IFERROR(VLOOKUP($H13,'BẢNG GIÁ GỐC'!$A$5:$D$254,3,FALSE()),""))</f>
        <v/>
      </c>
      <c r="K13" s="12"/>
      <c r="L13" s="13" t="str">
        <f aca="false">IF($C13="","",N($I13)*N($K13))</f>
        <v/>
      </c>
      <c r="M13" s="11"/>
      <c r="N13" s="14" t="str">
        <f aca="false">IF($C13="","",IF($M13="VAT 5%",0.05,IF($M13="VAT 8%",0.08,IF($M13="VAT 10%",0.1,0))))</f>
        <v/>
      </c>
      <c r="O13" s="13" t="str">
        <f aca="false">IF($C13="","",$L13*$N13)</f>
        <v/>
      </c>
      <c r="P13" s="13" t="str">
        <f aca="false">IF($C13="","",$L13+$O13)</f>
        <v/>
      </c>
      <c r="Q13" s="12"/>
      <c r="R13" s="13" t="str">
        <f aca="false">IF($C13="","",MAX(0,$P13-N($Q13)))</f>
        <v/>
      </c>
      <c r="S13" s="23" t="str">
        <f aca="false">IF(OR($C13="",$P13=0),"",IF(N($Q13)&lt;=0,"Chưa thanh toán",IF(N($Q13)&lt;$P13,"Thanh toán một phần","Đã thanh toán")))</f>
        <v/>
      </c>
      <c r="T13" s="13" t="str">
        <f aca="false">IF(OR($C13="",$J13=""),"",N($I13)*$J13)</f>
        <v/>
      </c>
      <c r="U13" s="13" t="str">
        <f aca="false">IF(OR($C13="",$T13=""),"",$L13-$T13)</f>
        <v/>
      </c>
      <c r="V13" s="14" t="str">
        <f aca="false">IF(OR($U13="",$L13=0),"",$U13/$L13)</f>
        <v/>
      </c>
      <c r="W13" s="11"/>
      <c r="X13" s="23" t="str">
        <f aca="false">IF($C13="","",IF(AND($H13="",N($I13)=0,N($K13)=0),"Dòng chỉ lưu thông tin khách (chưa có đơn); ",IF($B13="","Thiếu ngày đặt; ","")&amp;IF($H13="","Thiếu tên sản phẩm; ",IF($J13="","Chưa khai GIÁ GỐC ở BẢNG GIÁ GỐC; ",""))&amp;IF(N($I13)&lt;=0,"Thiếu số lượng; ","")&amp;IF(N($K13)&lt;=0,"Thiếu giá bán; ","")&amp;IF(AND($N13&gt;0,$F13=""),"Khách lấy VAT thiếu mã số thuế; ","")&amp;IF(N($Q13)&gt;$P13,"Đã thu vượt tổng phải thu; ","")&amp;IF(AND($L13&gt;0,$U13&lt;&gt;"",$U13&lt;0),"CẢNH BÁO: ĐƠN NÀY ĐANG LỖ; ","")))</f>
        <v/>
      </c>
      <c r="Z13" s="18"/>
      <c r="AA13" s="11"/>
      <c r="AB13" s="11"/>
      <c r="AC13" s="12"/>
      <c r="AD13" s="11"/>
    </row>
    <row r="14" customFormat="false" ht="15" hidden="false" customHeight="false" outlineLevel="0" collapsed="false">
      <c r="A14" s="21" t="str">
        <f aca="false">IF($C14="","",COUNTA($C$10:$C14))</f>
        <v/>
      </c>
      <c r="B14" s="18"/>
      <c r="C14" s="11"/>
      <c r="D14" s="11"/>
      <c r="E14" s="11"/>
      <c r="F14" s="11"/>
      <c r="G14" s="11"/>
      <c r="H14" s="11"/>
      <c r="I14" s="12"/>
      <c r="J14" s="13" t="str">
        <f aca="false">IF($H14="","",IFERROR(VLOOKUP($H14,'BẢNG GIÁ GỐC'!$A$5:$D$254,3,FALSE()),""))</f>
        <v/>
      </c>
      <c r="K14" s="12"/>
      <c r="L14" s="13" t="str">
        <f aca="false">IF($C14="","",N($I14)*N($K14))</f>
        <v/>
      </c>
      <c r="M14" s="11"/>
      <c r="N14" s="14" t="str">
        <f aca="false">IF($C14="","",IF($M14="VAT 5%",0.05,IF($M14="VAT 8%",0.08,IF($M14="VAT 10%",0.1,0))))</f>
        <v/>
      </c>
      <c r="O14" s="13" t="str">
        <f aca="false">IF($C14="","",$L14*$N14)</f>
        <v/>
      </c>
      <c r="P14" s="13" t="str">
        <f aca="false">IF($C14="","",$L14+$O14)</f>
        <v/>
      </c>
      <c r="Q14" s="12"/>
      <c r="R14" s="13" t="str">
        <f aca="false">IF($C14="","",MAX(0,$P14-N($Q14)))</f>
        <v/>
      </c>
      <c r="S14" s="23" t="str">
        <f aca="false">IF(OR($C14="",$P14=0),"",IF(N($Q14)&lt;=0,"Chưa thanh toán",IF(N($Q14)&lt;$P14,"Thanh toán một phần","Đã thanh toán")))</f>
        <v/>
      </c>
      <c r="T14" s="13" t="str">
        <f aca="false">IF(OR($C14="",$J14=""),"",N($I14)*$J14)</f>
        <v/>
      </c>
      <c r="U14" s="13" t="str">
        <f aca="false">IF(OR($C14="",$T14=""),"",$L14-$T14)</f>
        <v/>
      </c>
      <c r="V14" s="14" t="str">
        <f aca="false">IF(OR($U14="",$L14=0),"",$U14/$L14)</f>
        <v/>
      </c>
      <c r="W14" s="11"/>
      <c r="X14" s="23" t="str">
        <f aca="false">IF($C14="","",IF(AND($H14="",N($I14)=0,N($K14)=0),"Dòng chỉ lưu thông tin khách (chưa có đơn); ",IF($B14="","Thiếu ngày đặt; ","")&amp;IF($H14="","Thiếu tên sản phẩm; ",IF($J14="","Chưa khai GIÁ GỐC ở BẢNG GIÁ GỐC; ",""))&amp;IF(N($I14)&lt;=0,"Thiếu số lượng; ","")&amp;IF(N($K14)&lt;=0,"Thiếu giá bán; ","")&amp;IF(AND($N14&gt;0,$F14=""),"Khách lấy VAT thiếu mã số thuế; ","")&amp;IF(N($Q14)&gt;$P14,"Đã thu vượt tổng phải thu; ","")&amp;IF(AND($L14&gt;0,$U14&lt;&gt;"",$U14&lt;0),"CẢNH BÁO: ĐƠN NÀY ĐANG LỖ; ","")))</f>
        <v/>
      </c>
      <c r="Z14" s="18"/>
      <c r="AA14" s="11"/>
      <c r="AB14" s="11"/>
      <c r="AC14" s="12"/>
      <c r="AD14" s="11"/>
    </row>
    <row r="15" customFormat="false" ht="15" hidden="false" customHeight="false" outlineLevel="0" collapsed="false">
      <c r="A15" s="21" t="str">
        <f aca="false">IF($C15="","",COUNTA($C$10:$C15))</f>
        <v/>
      </c>
      <c r="B15" s="18"/>
      <c r="C15" s="11"/>
      <c r="D15" s="11"/>
      <c r="E15" s="11"/>
      <c r="F15" s="11"/>
      <c r="G15" s="11"/>
      <c r="H15" s="11"/>
      <c r="I15" s="12"/>
      <c r="J15" s="13" t="str">
        <f aca="false">IF($H15="","",IFERROR(VLOOKUP($H15,'BẢNG GIÁ GỐC'!$A$5:$D$254,3,FALSE()),""))</f>
        <v/>
      </c>
      <c r="K15" s="12"/>
      <c r="L15" s="13" t="str">
        <f aca="false">IF($C15="","",N($I15)*N($K15))</f>
        <v/>
      </c>
      <c r="M15" s="11"/>
      <c r="N15" s="14" t="str">
        <f aca="false">IF($C15="","",IF($M15="VAT 5%",0.05,IF($M15="VAT 8%",0.08,IF($M15="VAT 10%",0.1,0))))</f>
        <v/>
      </c>
      <c r="O15" s="13" t="str">
        <f aca="false">IF($C15="","",$L15*$N15)</f>
        <v/>
      </c>
      <c r="P15" s="13" t="str">
        <f aca="false">IF($C15="","",$L15+$O15)</f>
        <v/>
      </c>
      <c r="Q15" s="12"/>
      <c r="R15" s="13" t="str">
        <f aca="false">IF($C15="","",MAX(0,$P15-N($Q15)))</f>
        <v/>
      </c>
      <c r="S15" s="23" t="str">
        <f aca="false">IF(OR($C15="",$P15=0),"",IF(N($Q15)&lt;=0,"Chưa thanh toán",IF(N($Q15)&lt;$P15,"Thanh toán một phần","Đã thanh toán")))</f>
        <v/>
      </c>
      <c r="T15" s="13" t="str">
        <f aca="false">IF(OR($C15="",$J15=""),"",N($I15)*$J15)</f>
        <v/>
      </c>
      <c r="U15" s="13" t="str">
        <f aca="false">IF(OR($C15="",$T15=""),"",$L15-$T15)</f>
        <v/>
      </c>
      <c r="V15" s="14" t="str">
        <f aca="false">IF(OR($U15="",$L15=0),"",$U15/$L15)</f>
        <v/>
      </c>
      <c r="W15" s="11"/>
      <c r="X15" s="23" t="str">
        <f aca="false">IF($C15="","",IF(AND($H15="",N($I15)=0,N($K15)=0),"Dòng chỉ lưu thông tin khách (chưa có đơn); ",IF($B15="","Thiếu ngày đặt; ","")&amp;IF($H15="","Thiếu tên sản phẩm; ",IF($J15="","Chưa khai GIÁ GỐC ở BẢNG GIÁ GỐC; ",""))&amp;IF(N($I15)&lt;=0,"Thiếu số lượng; ","")&amp;IF(N($K15)&lt;=0,"Thiếu giá bán; ","")&amp;IF(AND($N15&gt;0,$F15=""),"Khách lấy VAT thiếu mã số thuế; ","")&amp;IF(N($Q15)&gt;$P15,"Đã thu vượt tổng phải thu; ","")&amp;IF(AND($L15&gt;0,$U15&lt;&gt;"",$U15&lt;0),"CẢNH BÁO: ĐƠN NÀY ĐANG LỖ; ","")))</f>
        <v/>
      </c>
      <c r="Z15" s="18"/>
      <c r="AA15" s="11"/>
      <c r="AB15" s="11"/>
      <c r="AC15" s="12"/>
      <c r="AD15" s="11"/>
    </row>
    <row r="16" customFormat="false" ht="15" hidden="false" customHeight="false" outlineLevel="0" collapsed="false">
      <c r="A16" s="21" t="str">
        <f aca="false">IF($C16="","",COUNTA($C$10:$C16))</f>
        <v/>
      </c>
      <c r="B16" s="18"/>
      <c r="C16" s="11"/>
      <c r="D16" s="11"/>
      <c r="E16" s="11"/>
      <c r="F16" s="11"/>
      <c r="G16" s="11"/>
      <c r="H16" s="11"/>
      <c r="I16" s="12"/>
      <c r="J16" s="13" t="str">
        <f aca="false">IF($H16="","",IFERROR(VLOOKUP($H16,'BẢNG GIÁ GỐC'!$A$5:$D$254,3,FALSE()),""))</f>
        <v/>
      </c>
      <c r="K16" s="12"/>
      <c r="L16" s="13" t="str">
        <f aca="false">IF($C16="","",N($I16)*N($K16))</f>
        <v/>
      </c>
      <c r="M16" s="11"/>
      <c r="N16" s="14" t="str">
        <f aca="false">IF($C16="","",IF($M16="VAT 5%",0.05,IF($M16="VAT 8%",0.08,IF($M16="VAT 10%",0.1,0))))</f>
        <v/>
      </c>
      <c r="O16" s="13" t="str">
        <f aca="false">IF($C16="","",$L16*$N16)</f>
        <v/>
      </c>
      <c r="P16" s="13" t="str">
        <f aca="false">IF($C16="","",$L16+$O16)</f>
        <v/>
      </c>
      <c r="Q16" s="12"/>
      <c r="R16" s="13" t="str">
        <f aca="false">IF($C16="","",MAX(0,$P16-N($Q16)))</f>
        <v/>
      </c>
      <c r="S16" s="23" t="str">
        <f aca="false">IF(OR($C16="",$P16=0),"",IF(N($Q16)&lt;=0,"Chưa thanh toán",IF(N($Q16)&lt;$P16,"Thanh toán một phần","Đã thanh toán")))</f>
        <v/>
      </c>
      <c r="T16" s="13" t="str">
        <f aca="false">IF(OR($C16="",$J16=""),"",N($I16)*$J16)</f>
        <v/>
      </c>
      <c r="U16" s="13" t="str">
        <f aca="false">IF(OR($C16="",$T16=""),"",$L16-$T16)</f>
        <v/>
      </c>
      <c r="V16" s="14" t="str">
        <f aca="false">IF(OR($U16="",$L16=0),"",$U16/$L16)</f>
        <v/>
      </c>
      <c r="W16" s="11"/>
      <c r="X16" s="23" t="str">
        <f aca="false">IF($C16="","",IF(AND($H16="",N($I16)=0,N($K16)=0),"Dòng chỉ lưu thông tin khách (chưa có đơn); ",IF($B16="","Thiếu ngày đặt; ","")&amp;IF($H16="","Thiếu tên sản phẩm; ",IF($J16="","Chưa khai GIÁ GỐC ở BẢNG GIÁ GỐC; ",""))&amp;IF(N($I16)&lt;=0,"Thiếu số lượng; ","")&amp;IF(N($K16)&lt;=0,"Thiếu giá bán; ","")&amp;IF(AND($N16&gt;0,$F16=""),"Khách lấy VAT thiếu mã số thuế; ","")&amp;IF(N($Q16)&gt;$P16,"Đã thu vượt tổng phải thu; ","")&amp;IF(AND($L16&gt;0,$U16&lt;&gt;"",$U16&lt;0),"CẢNH BÁO: ĐƠN NÀY ĐANG LỖ; ","")))</f>
        <v/>
      </c>
      <c r="Z16" s="18"/>
      <c r="AA16" s="11"/>
      <c r="AB16" s="11"/>
      <c r="AC16" s="12"/>
      <c r="AD16" s="11"/>
    </row>
    <row r="17" customFormat="false" ht="15" hidden="false" customHeight="false" outlineLevel="0" collapsed="false">
      <c r="A17" s="21" t="str">
        <f aca="false">IF($C17="","",COUNTA($C$10:$C17))</f>
        <v/>
      </c>
      <c r="B17" s="18"/>
      <c r="C17" s="11"/>
      <c r="D17" s="11"/>
      <c r="E17" s="11"/>
      <c r="F17" s="11"/>
      <c r="G17" s="11"/>
      <c r="H17" s="11"/>
      <c r="I17" s="12"/>
      <c r="J17" s="13" t="str">
        <f aca="false">IF($H17="","",IFERROR(VLOOKUP($H17,'BẢNG GIÁ GỐC'!$A$5:$D$254,3,FALSE()),""))</f>
        <v/>
      </c>
      <c r="K17" s="12"/>
      <c r="L17" s="13" t="str">
        <f aca="false">IF($C17="","",N($I17)*N($K17))</f>
        <v/>
      </c>
      <c r="M17" s="11"/>
      <c r="N17" s="14" t="str">
        <f aca="false">IF($C17="","",IF($M17="VAT 5%",0.05,IF($M17="VAT 8%",0.08,IF($M17="VAT 10%",0.1,0))))</f>
        <v/>
      </c>
      <c r="O17" s="13" t="str">
        <f aca="false">IF($C17="","",$L17*$N17)</f>
        <v/>
      </c>
      <c r="P17" s="13" t="str">
        <f aca="false">IF($C17="","",$L17+$O17)</f>
        <v/>
      </c>
      <c r="Q17" s="12"/>
      <c r="R17" s="13" t="str">
        <f aca="false">IF($C17="","",MAX(0,$P17-N($Q17)))</f>
        <v/>
      </c>
      <c r="S17" s="23" t="str">
        <f aca="false">IF(OR($C17="",$P17=0),"",IF(N($Q17)&lt;=0,"Chưa thanh toán",IF(N($Q17)&lt;$P17,"Thanh toán một phần","Đã thanh toán")))</f>
        <v/>
      </c>
      <c r="T17" s="13" t="str">
        <f aca="false">IF(OR($C17="",$J17=""),"",N($I17)*$J17)</f>
        <v/>
      </c>
      <c r="U17" s="13" t="str">
        <f aca="false">IF(OR($C17="",$T17=""),"",$L17-$T17)</f>
        <v/>
      </c>
      <c r="V17" s="14" t="str">
        <f aca="false">IF(OR($U17="",$L17=0),"",$U17/$L17)</f>
        <v/>
      </c>
      <c r="W17" s="11"/>
      <c r="X17" s="23" t="str">
        <f aca="false">IF($C17="","",IF(AND($H17="",N($I17)=0,N($K17)=0),"Dòng chỉ lưu thông tin khách (chưa có đơn); ",IF($B17="","Thiếu ngày đặt; ","")&amp;IF($H17="","Thiếu tên sản phẩm; ",IF($J17="","Chưa khai GIÁ GỐC ở BẢNG GIÁ GỐC; ",""))&amp;IF(N($I17)&lt;=0,"Thiếu số lượng; ","")&amp;IF(N($K17)&lt;=0,"Thiếu giá bán; ","")&amp;IF(AND($N17&gt;0,$F17=""),"Khách lấy VAT thiếu mã số thuế; ","")&amp;IF(N($Q17)&gt;$P17,"Đã thu vượt tổng phải thu; ","")&amp;IF(AND($L17&gt;0,$U17&lt;&gt;"",$U17&lt;0),"CẢNH BÁO: ĐƠN NÀY ĐANG LỖ; ","")))</f>
        <v/>
      </c>
      <c r="Z17" s="18"/>
      <c r="AA17" s="11"/>
      <c r="AB17" s="11"/>
      <c r="AC17" s="12"/>
      <c r="AD17" s="11"/>
    </row>
    <row r="18" customFormat="false" ht="15" hidden="false" customHeight="false" outlineLevel="0" collapsed="false">
      <c r="A18" s="21" t="str">
        <f aca="false">IF($C18="","",COUNTA($C$10:$C18))</f>
        <v/>
      </c>
      <c r="B18" s="18"/>
      <c r="C18" s="11"/>
      <c r="D18" s="11"/>
      <c r="E18" s="11"/>
      <c r="F18" s="11"/>
      <c r="G18" s="11"/>
      <c r="H18" s="11"/>
      <c r="I18" s="12"/>
      <c r="J18" s="13" t="str">
        <f aca="false">IF($H18="","",IFERROR(VLOOKUP($H18,'BẢNG GIÁ GỐC'!$A$5:$D$254,3,FALSE()),""))</f>
        <v/>
      </c>
      <c r="K18" s="12"/>
      <c r="L18" s="13" t="str">
        <f aca="false">IF($C18="","",N($I18)*N($K18))</f>
        <v/>
      </c>
      <c r="M18" s="11"/>
      <c r="N18" s="14" t="str">
        <f aca="false">IF($C18="","",IF($M18="VAT 5%",0.05,IF($M18="VAT 8%",0.08,IF($M18="VAT 10%",0.1,0))))</f>
        <v/>
      </c>
      <c r="O18" s="13" t="str">
        <f aca="false">IF($C18="","",$L18*$N18)</f>
        <v/>
      </c>
      <c r="P18" s="13" t="str">
        <f aca="false">IF($C18="","",$L18+$O18)</f>
        <v/>
      </c>
      <c r="Q18" s="12"/>
      <c r="R18" s="13" t="str">
        <f aca="false">IF($C18="","",MAX(0,$P18-N($Q18)))</f>
        <v/>
      </c>
      <c r="S18" s="23" t="str">
        <f aca="false">IF(OR($C18="",$P18=0),"",IF(N($Q18)&lt;=0,"Chưa thanh toán",IF(N($Q18)&lt;$P18,"Thanh toán một phần","Đã thanh toán")))</f>
        <v/>
      </c>
      <c r="T18" s="13" t="str">
        <f aca="false">IF(OR($C18="",$J18=""),"",N($I18)*$J18)</f>
        <v/>
      </c>
      <c r="U18" s="13" t="str">
        <f aca="false">IF(OR($C18="",$T18=""),"",$L18-$T18)</f>
        <v/>
      </c>
      <c r="V18" s="14" t="str">
        <f aca="false">IF(OR($U18="",$L18=0),"",$U18/$L18)</f>
        <v/>
      </c>
      <c r="W18" s="11"/>
      <c r="X18" s="23" t="str">
        <f aca="false">IF($C18="","",IF(AND($H18="",N($I18)=0,N($K18)=0),"Dòng chỉ lưu thông tin khách (chưa có đơn); ",IF($B18="","Thiếu ngày đặt; ","")&amp;IF($H18="","Thiếu tên sản phẩm; ",IF($J18="","Chưa khai GIÁ GỐC ở BẢNG GIÁ GỐC; ",""))&amp;IF(N($I18)&lt;=0,"Thiếu số lượng; ","")&amp;IF(N($K18)&lt;=0,"Thiếu giá bán; ","")&amp;IF(AND($N18&gt;0,$F18=""),"Khách lấy VAT thiếu mã số thuế; ","")&amp;IF(N($Q18)&gt;$P18,"Đã thu vượt tổng phải thu; ","")&amp;IF(AND($L18&gt;0,$U18&lt;&gt;"",$U18&lt;0),"CẢNH BÁO: ĐƠN NÀY ĐANG LỖ; ","")))</f>
        <v/>
      </c>
      <c r="Z18" s="18"/>
      <c r="AA18" s="11"/>
      <c r="AB18" s="11"/>
      <c r="AC18" s="12"/>
      <c r="AD18" s="11"/>
    </row>
    <row r="19" customFormat="false" ht="15" hidden="false" customHeight="false" outlineLevel="0" collapsed="false">
      <c r="A19" s="21" t="str">
        <f aca="false">IF($C19="","",COUNTA($C$10:$C19))</f>
        <v/>
      </c>
      <c r="B19" s="18"/>
      <c r="C19" s="11"/>
      <c r="D19" s="11"/>
      <c r="E19" s="11"/>
      <c r="F19" s="11"/>
      <c r="G19" s="11"/>
      <c r="H19" s="11"/>
      <c r="I19" s="12"/>
      <c r="J19" s="13" t="str">
        <f aca="false">IF($H19="","",IFERROR(VLOOKUP($H19,'BẢNG GIÁ GỐC'!$A$5:$D$254,3,FALSE()),""))</f>
        <v/>
      </c>
      <c r="K19" s="12"/>
      <c r="L19" s="13" t="str">
        <f aca="false">IF($C19="","",N($I19)*N($K19))</f>
        <v/>
      </c>
      <c r="M19" s="11"/>
      <c r="N19" s="14" t="str">
        <f aca="false">IF($C19="","",IF($M19="VAT 5%",0.05,IF($M19="VAT 8%",0.08,IF($M19="VAT 10%",0.1,0))))</f>
        <v/>
      </c>
      <c r="O19" s="13" t="str">
        <f aca="false">IF($C19="","",$L19*$N19)</f>
        <v/>
      </c>
      <c r="P19" s="13" t="str">
        <f aca="false">IF($C19="","",$L19+$O19)</f>
        <v/>
      </c>
      <c r="Q19" s="12"/>
      <c r="R19" s="13" t="str">
        <f aca="false">IF($C19="","",MAX(0,$P19-N($Q19)))</f>
        <v/>
      </c>
      <c r="S19" s="23" t="str">
        <f aca="false">IF(OR($C19="",$P19=0),"",IF(N($Q19)&lt;=0,"Chưa thanh toán",IF(N($Q19)&lt;$P19,"Thanh toán một phần","Đã thanh toán")))</f>
        <v/>
      </c>
      <c r="T19" s="13" t="str">
        <f aca="false">IF(OR($C19="",$J19=""),"",N($I19)*$J19)</f>
        <v/>
      </c>
      <c r="U19" s="13" t="str">
        <f aca="false">IF(OR($C19="",$T19=""),"",$L19-$T19)</f>
        <v/>
      </c>
      <c r="V19" s="14" t="str">
        <f aca="false">IF(OR($U19="",$L19=0),"",$U19/$L19)</f>
        <v/>
      </c>
      <c r="W19" s="11"/>
      <c r="X19" s="23" t="str">
        <f aca="false">IF($C19="","",IF(AND($H19="",N($I19)=0,N($K19)=0),"Dòng chỉ lưu thông tin khách (chưa có đơn); ",IF($B19="","Thiếu ngày đặt; ","")&amp;IF($H19="","Thiếu tên sản phẩm; ",IF($J19="","Chưa khai GIÁ GỐC ở BẢNG GIÁ GỐC; ",""))&amp;IF(N($I19)&lt;=0,"Thiếu số lượng; ","")&amp;IF(N($K19)&lt;=0,"Thiếu giá bán; ","")&amp;IF(AND($N19&gt;0,$F19=""),"Khách lấy VAT thiếu mã số thuế; ","")&amp;IF(N($Q19)&gt;$P19,"Đã thu vượt tổng phải thu; ","")&amp;IF(AND($L19&gt;0,$U19&lt;&gt;"",$U19&lt;0),"CẢNH BÁO: ĐƠN NÀY ĐANG LỖ; ","")))</f>
        <v/>
      </c>
      <c r="Z19" s="18"/>
      <c r="AA19" s="11"/>
      <c r="AB19" s="11"/>
      <c r="AC19" s="12"/>
      <c r="AD19" s="11"/>
    </row>
    <row r="20" customFormat="false" ht="15" hidden="false" customHeight="false" outlineLevel="0" collapsed="false">
      <c r="A20" s="21" t="str">
        <f aca="false">IF($C20="","",COUNTA($C$10:$C20))</f>
        <v/>
      </c>
      <c r="B20" s="18"/>
      <c r="C20" s="11"/>
      <c r="D20" s="11"/>
      <c r="E20" s="11"/>
      <c r="F20" s="11"/>
      <c r="G20" s="11"/>
      <c r="H20" s="11"/>
      <c r="I20" s="12"/>
      <c r="J20" s="13" t="str">
        <f aca="false">IF($H20="","",IFERROR(VLOOKUP($H20,'BẢNG GIÁ GỐC'!$A$5:$D$254,3,FALSE()),""))</f>
        <v/>
      </c>
      <c r="K20" s="12"/>
      <c r="L20" s="13" t="str">
        <f aca="false">IF($C20="","",N($I20)*N($K20))</f>
        <v/>
      </c>
      <c r="M20" s="11"/>
      <c r="N20" s="14" t="str">
        <f aca="false">IF($C20="","",IF($M20="VAT 5%",0.05,IF($M20="VAT 8%",0.08,IF($M20="VAT 10%",0.1,0))))</f>
        <v/>
      </c>
      <c r="O20" s="13" t="str">
        <f aca="false">IF($C20="","",$L20*$N20)</f>
        <v/>
      </c>
      <c r="P20" s="13" t="str">
        <f aca="false">IF($C20="","",$L20+$O20)</f>
        <v/>
      </c>
      <c r="Q20" s="12"/>
      <c r="R20" s="13" t="str">
        <f aca="false">IF($C20="","",MAX(0,$P20-N($Q20)))</f>
        <v/>
      </c>
      <c r="S20" s="23" t="str">
        <f aca="false">IF(OR($C20="",$P20=0),"",IF(N($Q20)&lt;=0,"Chưa thanh toán",IF(N($Q20)&lt;$P20,"Thanh toán một phần","Đã thanh toán")))</f>
        <v/>
      </c>
      <c r="T20" s="13" t="str">
        <f aca="false">IF(OR($C20="",$J20=""),"",N($I20)*$J20)</f>
        <v/>
      </c>
      <c r="U20" s="13" t="str">
        <f aca="false">IF(OR($C20="",$T20=""),"",$L20-$T20)</f>
        <v/>
      </c>
      <c r="V20" s="14" t="str">
        <f aca="false">IF(OR($U20="",$L20=0),"",$U20/$L20)</f>
        <v/>
      </c>
      <c r="W20" s="11"/>
      <c r="X20" s="23" t="str">
        <f aca="false">IF($C20="","",IF(AND($H20="",N($I20)=0,N($K20)=0),"Dòng chỉ lưu thông tin khách (chưa có đơn); ",IF($B20="","Thiếu ngày đặt; ","")&amp;IF($H20="","Thiếu tên sản phẩm; ",IF($J20="","Chưa khai GIÁ GỐC ở BẢNG GIÁ GỐC; ",""))&amp;IF(N($I20)&lt;=0,"Thiếu số lượng; ","")&amp;IF(N($K20)&lt;=0,"Thiếu giá bán; ","")&amp;IF(AND($N20&gt;0,$F20=""),"Khách lấy VAT thiếu mã số thuế; ","")&amp;IF(N($Q20)&gt;$P20,"Đã thu vượt tổng phải thu; ","")&amp;IF(AND($L20&gt;0,$U20&lt;&gt;"",$U20&lt;0),"CẢNH BÁO: ĐƠN NÀY ĐANG LỖ; ","")))</f>
        <v/>
      </c>
      <c r="Z20" s="18"/>
      <c r="AA20" s="11"/>
      <c r="AB20" s="11"/>
      <c r="AC20" s="12"/>
      <c r="AD20" s="11"/>
    </row>
    <row r="21" customFormat="false" ht="15" hidden="false" customHeight="false" outlineLevel="0" collapsed="false">
      <c r="A21" s="21" t="str">
        <f aca="false">IF($C21="","",COUNTA($C$10:$C21))</f>
        <v/>
      </c>
      <c r="B21" s="18"/>
      <c r="C21" s="11"/>
      <c r="D21" s="11"/>
      <c r="E21" s="11"/>
      <c r="F21" s="11"/>
      <c r="G21" s="11"/>
      <c r="H21" s="11"/>
      <c r="I21" s="12"/>
      <c r="J21" s="13" t="str">
        <f aca="false">IF($H21="","",IFERROR(VLOOKUP($H21,'BẢNG GIÁ GỐC'!$A$5:$D$254,3,FALSE()),""))</f>
        <v/>
      </c>
      <c r="K21" s="12"/>
      <c r="L21" s="13" t="str">
        <f aca="false">IF($C21="","",N($I21)*N($K21))</f>
        <v/>
      </c>
      <c r="M21" s="11"/>
      <c r="N21" s="14" t="str">
        <f aca="false">IF($C21="","",IF($M21="VAT 5%",0.05,IF($M21="VAT 8%",0.08,IF($M21="VAT 10%",0.1,0))))</f>
        <v/>
      </c>
      <c r="O21" s="13" t="str">
        <f aca="false">IF($C21="","",$L21*$N21)</f>
        <v/>
      </c>
      <c r="P21" s="13" t="str">
        <f aca="false">IF($C21="","",$L21+$O21)</f>
        <v/>
      </c>
      <c r="Q21" s="12"/>
      <c r="R21" s="13" t="str">
        <f aca="false">IF($C21="","",MAX(0,$P21-N($Q21)))</f>
        <v/>
      </c>
      <c r="S21" s="23" t="str">
        <f aca="false">IF(OR($C21="",$P21=0),"",IF(N($Q21)&lt;=0,"Chưa thanh toán",IF(N($Q21)&lt;$P21,"Thanh toán một phần","Đã thanh toán")))</f>
        <v/>
      </c>
      <c r="T21" s="13" t="str">
        <f aca="false">IF(OR($C21="",$J21=""),"",N($I21)*$J21)</f>
        <v/>
      </c>
      <c r="U21" s="13" t="str">
        <f aca="false">IF(OR($C21="",$T21=""),"",$L21-$T21)</f>
        <v/>
      </c>
      <c r="V21" s="14" t="str">
        <f aca="false">IF(OR($U21="",$L21=0),"",$U21/$L21)</f>
        <v/>
      </c>
      <c r="W21" s="11"/>
      <c r="X21" s="23" t="str">
        <f aca="false">IF($C21="","",IF(AND($H21="",N($I21)=0,N($K21)=0),"Dòng chỉ lưu thông tin khách (chưa có đơn); ",IF($B21="","Thiếu ngày đặt; ","")&amp;IF($H21="","Thiếu tên sản phẩm; ",IF($J21="","Chưa khai GIÁ GỐC ở BẢNG GIÁ GỐC; ",""))&amp;IF(N($I21)&lt;=0,"Thiếu số lượng; ","")&amp;IF(N($K21)&lt;=0,"Thiếu giá bán; ","")&amp;IF(AND($N21&gt;0,$F21=""),"Khách lấy VAT thiếu mã số thuế; ","")&amp;IF(N($Q21)&gt;$P21,"Đã thu vượt tổng phải thu; ","")&amp;IF(AND($L21&gt;0,$U21&lt;&gt;"",$U21&lt;0),"CẢNH BÁO: ĐƠN NÀY ĐANG LỖ; ","")))</f>
        <v/>
      </c>
      <c r="Z21" s="18"/>
      <c r="AA21" s="11"/>
      <c r="AB21" s="11"/>
      <c r="AC21" s="12"/>
      <c r="AD21" s="11"/>
    </row>
    <row r="22" customFormat="false" ht="15" hidden="false" customHeight="false" outlineLevel="0" collapsed="false">
      <c r="A22" s="21" t="str">
        <f aca="false">IF($C22="","",COUNTA($C$10:$C22))</f>
        <v/>
      </c>
      <c r="B22" s="18"/>
      <c r="C22" s="11"/>
      <c r="D22" s="11"/>
      <c r="E22" s="11"/>
      <c r="F22" s="11"/>
      <c r="G22" s="11"/>
      <c r="H22" s="11"/>
      <c r="I22" s="12"/>
      <c r="J22" s="13" t="str">
        <f aca="false">IF($H22="","",IFERROR(VLOOKUP($H22,'BẢNG GIÁ GỐC'!$A$5:$D$254,3,FALSE()),""))</f>
        <v/>
      </c>
      <c r="K22" s="12"/>
      <c r="L22" s="13" t="str">
        <f aca="false">IF($C22="","",N($I22)*N($K22))</f>
        <v/>
      </c>
      <c r="M22" s="11"/>
      <c r="N22" s="14" t="str">
        <f aca="false">IF($C22="","",IF($M22="VAT 5%",0.05,IF($M22="VAT 8%",0.08,IF($M22="VAT 10%",0.1,0))))</f>
        <v/>
      </c>
      <c r="O22" s="13" t="str">
        <f aca="false">IF($C22="","",$L22*$N22)</f>
        <v/>
      </c>
      <c r="P22" s="13" t="str">
        <f aca="false">IF($C22="","",$L22+$O22)</f>
        <v/>
      </c>
      <c r="Q22" s="12"/>
      <c r="R22" s="13" t="str">
        <f aca="false">IF($C22="","",MAX(0,$P22-N($Q22)))</f>
        <v/>
      </c>
      <c r="S22" s="23" t="str">
        <f aca="false">IF(OR($C22="",$P22=0),"",IF(N($Q22)&lt;=0,"Chưa thanh toán",IF(N($Q22)&lt;$P22,"Thanh toán một phần","Đã thanh toán")))</f>
        <v/>
      </c>
      <c r="T22" s="13" t="str">
        <f aca="false">IF(OR($C22="",$J22=""),"",N($I22)*$J22)</f>
        <v/>
      </c>
      <c r="U22" s="13" t="str">
        <f aca="false">IF(OR($C22="",$T22=""),"",$L22-$T22)</f>
        <v/>
      </c>
      <c r="V22" s="14" t="str">
        <f aca="false">IF(OR($U22="",$L22=0),"",$U22/$L22)</f>
        <v/>
      </c>
      <c r="W22" s="11"/>
      <c r="X22" s="23" t="str">
        <f aca="false">IF($C22="","",IF(AND($H22="",N($I22)=0,N($K22)=0),"Dòng chỉ lưu thông tin khách (chưa có đơn); ",IF($B22="","Thiếu ngày đặt; ","")&amp;IF($H22="","Thiếu tên sản phẩm; ",IF($J22="","Chưa khai GIÁ GỐC ở BẢNG GIÁ GỐC; ",""))&amp;IF(N($I22)&lt;=0,"Thiếu số lượng; ","")&amp;IF(N($K22)&lt;=0,"Thiếu giá bán; ","")&amp;IF(AND($N22&gt;0,$F22=""),"Khách lấy VAT thiếu mã số thuế; ","")&amp;IF(N($Q22)&gt;$P22,"Đã thu vượt tổng phải thu; ","")&amp;IF(AND($L22&gt;0,$U22&lt;&gt;"",$U22&lt;0),"CẢNH BÁO: ĐƠN NÀY ĐANG LỖ; ","")))</f>
        <v/>
      </c>
      <c r="Z22" s="18"/>
      <c r="AA22" s="11"/>
      <c r="AB22" s="11"/>
      <c r="AC22" s="12"/>
      <c r="AD22" s="11"/>
    </row>
    <row r="23" customFormat="false" ht="15" hidden="false" customHeight="false" outlineLevel="0" collapsed="false">
      <c r="A23" s="21" t="str">
        <f aca="false">IF($C23="","",COUNTA($C$10:$C23))</f>
        <v/>
      </c>
      <c r="B23" s="18"/>
      <c r="C23" s="11"/>
      <c r="D23" s="11"/>
      <c r="E23" s="11"/>
      <c r="F23" s="11"/>
      <c r="G23" s="11"/>
      <c r="H23" s="11"/>
      <c r="I23" s="12"/>
      <c r="J23" s="13" t="str">
        <f aca="false">IF($H23="","",IFERROR(VLOOKUP($H23,'BẢNG GIÁ GỐC'!$A$5:$D$254,3,FALSE()),""))</f>
        <v/>
      </c>
      <c r="K23" s="12"/>
      <c r="L23" s="13" t="str">
        <f aca="false">IF($C23="","",N($I23)*N($K23))</f>
        <v/>
      </c>
      <c r="M23" s="11"/>
      <c r="N23" s="14" t="str">
        <f aca="false">IF($C23="","",IF($M23="VAT 5%",0.05,IF($M23="VAT 8%",0.08,IF($M23="VAT 10%",0.1,0))))</f>
        <v/>
      </c>
      <c r="O23" s="13" t="str">
        <f aca="false">IF($C23="","",$L23*$N23)</f>
        <v/>
      </c>
      <c r="P23" s="13" t="str">
        <f aca="false">IF($C23="","",$L23+$O23)</f>
        <v/>
      </c>
      <c r="Q23" s="12"/>
      <c r="R23" s="13" t="str">
        <f aca="false">IF($C23="","",MAX(0,$P23-N($Q23)))</f>
        <v/>
      </c>
      <c r="S23" s="23" t="str">
        <f aca="false">IF(OR($C23="",$P23=0),"",IF(N($Q23)&lt;=0,"Chưa thanh toán",IF(N($Q23)&lt;$P23,"Thanh toán một phần","Đã thanh toán")))</f>
        <v/>
      </c>
      <c r="T23" s="13" t="str">
        <f aca="false">IF(OR($C23="",$J23=""),"",N($I23)*$J23)</f>
        <v/>
      </c>
      <c r="U23" s="13" t="str">
        <f aca="false">IF(OR($C23="",$T23=""),"",$L23-$T23)</f>
        <v/>
      </c>
      <c r="V23" s="14" t="str">
        <f aca="false">IF(OR($U23="",$L23=0),"",$U23/$L23)</f>
        <v/>
      </c>
      <c r="W23" s="11"/>
      <c r="X23" s="23" t="str">
        <f aca="false">IF($C23="","",IF(AND($H23="",N($I23)=0,N($K23)=0),"Dòng chỉ lưu thông tin khách (chưa có đơn); ",IF($B23="","Thiếu ngày đặt; ","")&amp;IF($H23="","Thiếu tên sản phẩm; ",IF($J23="","Chưa khai GIÁ GỐC ở BẢNG GIÁ GỐC; ",""))&amp;IF(N($I23)&lt;=0,"Thiếu số lượng; ","")&amp;IF(N($K23)&lt;=0,"Thiếu giá bán; ","")&amp;IF(AND($N23&gt;0,$F23=""),"Khách lấy VAT thiếu mã số thuế; ","")&amp;IF(N($Q23)&gt;$P23,"Đã thu vượt tổng phải thu; ","")&amp;IF(AND($L23&gt;0,$U23&lt;&gt;"",$U23&lt;0),"CẢNH BÁO: ĐƠN NÀY ĐANG LỖ; ","")))</f>
        <v/>
      </c>
      <c r="Z23" s="18"/>
      <c r="AA23" s="11"/>
      <c r="AB23" s="11"/>
      <c r="AC23" s="12"/>
      <c r="AD23" s="11"/>
    </row>
    <row r="24" customFormat="false" ht="15" hidden="false" customHeight="false" outlineLevel="0" collapsed="false">
      <c r="A24" s="21" t="str">
        <f aca="false">IF($C24="","",COUNTA($C$10:$C24))</f>
        <v/>
      </c>
      <c r="B24" s="18"/>
      <c r="C24" s="11"/>
      <c r="D24" s="11"/>
      <c r="E24" s="11"/>
      <c r="F24" s="11"/>
      <c r="G24" s="11"/>
      <c r="H24" s="11"/>
      <c r="I24" s="12"/>
      <c r="J24" s="13" t="str">
        <f aca="false">IF($H24="","",IFERROR(VLOOKUP($H24,'BẢNG GIÁ GỐC'!$A$5:$D$254,3,FALSE()),""))</f>
        <v/>
      </c>
      <c r="K24" s="12"/>
      <c r="L24" s="13" t="str">
        <f aca="false">IF($C24="","",N($I24)*N($K24))</f>
        <v/>
      </c>
      <c r="M24" s="11"/>
      <c r="N24" s="14" t="str">
        <f aca="false">IF($C24="","",IF($M24="VAT 5%",0.05,IF($M24="VAT 8%",0.08,IF($M24="VAT 10%",0.1,0))))</f>
        <v/>
      </c>
      <c r="O24" s="13" t="str">
        <f aca="false">IF($C24="","",$L24*$N24)</f>
        <v/>
      </c>
      <c r="P24" s="13" t="str">
        <f aca="false">IF($C24="","",$L24+$O24)</f>
        <v/>
      </c>
      <c r="Q24" s="12"/>
      <c r="R24" s="13" t="str">
        <f aca="false">IF($C24="","",MAX(0,$P24-N($Q24)))</f>
        <v/>
      </c>
      <c r="S24" s="23" t="str">
        <f aca="false">IF(OR($C24="",$P24=0),"",IF(N($Q24)&lt;=0,"Chưa thanh toán",IF(N($Q24)&lt;$P24,"Thanh toán một phần","Đã thanh toán")))</f>
        <v/>
      </c>
      <c r="T24" s="13" t="str">
        <f aca="false">IF(OR($C24="",$J24=""),"",N($I24)*$J24)</f>
        <v/>
      </c>
      <c r="U24" s="13" t="str">
        <f aca="false">IF(OR($C24="",$T24=""),"",$L24-$T24)</f>
        <v/>
      </c>
      <c r="V24" s="14" t="str">
        <f aca="false">IF(OR($U24="",$L24=0),"",$U24/$L24)</f>
        <v/>
      </c>
      <c r="W24" s="11"/>
      <c r="X24" s="23" t="str">
        <f aca="false">IF($C24="","",IF(AND($H24="",N($I24)=0,N($K24)=0),"Dòng chỉ lưu thông tin khách (chưa có đơn); ",IF($B24="","Thiếu ngày đặt; ","")&amp;IF($H24="","Thiếu tên sản phẩm; ",IF($J24="","Chưa khai GIÁ GỐC ở BẢNG GIÁ GỐC; ",""))&amp;IF(N($I24)&lt;=0,"Thiếu số lượng; ","")&amp;IF(N($K24)&lt;=0,"Thiếu giá bán; ","")&amp;IF(AND($N24&gt;0,$F24=""),"Khách lấy VAT thiếu mã số thuế; ","")&amp;IF(N($Q24)&gt;$P24,"Đã thu vượt tổng phải thu; ","")&amp;IF(AND($L24&gt;0,$U24&lt;&gt;"",$U24&lt;0),"CẢNH BÁO: ĐƠN NÀY ĐANG LỖ; ","")))</f>
        <v/>
      </c>
      <c r="Z24" s="18"/>
      <c r="AA24" s="11"/>
      <c r="AB24" s="11"/>
      <c r="AC24" s="12"/>
      <c r="AD24" s="11"/>
    </row>
    <row r="25" customFormat="false" ht="15" hidden="false" customHeight="false" outlineLevel="0" collapsed="false">
      <c r="A25" s="21" t="str">
        <f aca="false">IF($C25="","",COUNTA($C$10:$C25))</f>
        <v/>
      </c>
      <c r="B25" s="18"/>
      <c r="C25" s="11"/>
      <c r="D25" s="11"/>
      <c r="E25" s="11"/>
      <c r="F25" s="11"/>
      <c r="G25" s="11"/>
      <c r="H25" s="11"/>
      <c r="I25" s="12"/>
      <c r="J25" s="13" t="str">
        <f aca="false">IF($H25="","",IFERROR(VLOOKUP($H25,'BẢNG GIÁ GỐC'!$A$5:$D$254,3,FALSE()),""))</f>
        <v/>
      </c>
      <c r="K25" s="12"/>
      <c r="L25" s="13" t="str">
        <f aca="false">IF($C25="","",N($I25)*N($K25))</f>
        <v/>
      </c>
      <c r="M25" s="11"/>
      <c r="N25" s="14" t="str">
        <f aca="false">IF($C25="","",IF($M25="VAT 5%",0.05,IF($M25="VAT 8%",0.08,IF($M25="VAT 10%",0.1,0))))</f>
        <v/>
      </c>
      <c r="O25" s="13" t="str">
        <f aca="false">IF($C25="","",$L25*$N25)</f>
        <v/>
      </c>
      <c r="P25" s="13" t="str">
        <f aca="false">IF($C25="","",$L25+$O25)</f>
        <v/>
      </c>
      <c r="Q25" s="12"/>
      <c r="R25" s="13" t="str">
        <f aca="false">IF($C25="","",MAX(0,$P25-N($Q25)))</f>
        <v/>
      </c>
      <c r="S25" s="23" t="str">
        <f aca="false">IF(OR($C25="",$P25=0),"",IF(N($Q25)&lt;=0,"Chưa thanh toán",IF(N($Q25)&lt;$P25,"Thanh toán một phần","Đã thanh toán")))</f>
        <v/>
      </c>
      <c r="T25" s="13" t="str">
        <f aca="false">IF(OR($C25="",$J25=""),"",N($I25)*$J25)</f>
        <v/>
      </c>
      <c r="U25" s="13" t="str">
        <f aca="false">IF(OR($C25="",$T25=""),"",$L25-$T25)</f>
        <v/>
      </c>
      <c r="V25" s="14" t="str">
        <f aca="false">IF(OR($U25="",$L25=0),"",$U25/$L25)</f>
        <v/>
      </c>
      <c r="W25" s="11"/>
      <c r="X25" s="23" t="str">
        <f aca="false">IF($C25="","",IF(AND($H25="",N($I25)=0,N($K25)=0),"Dòng chỉ lưu thông tin khách (chưa có đơn); ",IF($B25="","Thiếu ngày đặt; ","")&amp;IF($H25="","Thiếu tên sản phẩm; ",IF($J25="","Chưa khai GIÁ GỐC ở BẢNG GIÁ GỐC; ",""))&amp;IF(N($I25)&lt;=0,"Thiếu số lượng; ","")&amp;IF(N($K25)&lt;=0,"Thiếu giá bán; ","")&amp;IF(AND($N25&gt;0,$F25=""),"Khách lấy VAT thiếu mã số thuế; ","")&amp;IF(N($Q25)&gt;$P25,"Đã thu vượt tổng phải thu; ","")&amp;IF(AND($L25&gt;0,$U25&lt;&gt;"",$U25&lt;0),"CẢNH BÁO: ĐƠN NÀY ĐANG LỖ; ","")))</f>
        <v/>
      </c>
      <c r="Z25" s="24" t="s">
        <v>177</v>
      </c>
      <c r="AA25" s="24"/>
      <c r="AB25" s="24"/>
      <c r="AC25" s="25" t="n">
        <f aca="false">SUM(AC5:AC24)</f>
        <v>0</v>
      </c>
      <c r="AD25" s="26"/>
    </row>
    <row r="26" customFormat="false" ht="15" hidden="false" customHeight="false" outlineLevel="0" collapsed="false">
      <c r="A26" s="21" t="str">
        <f aca="false">IF($C26="","",COUNTA($C$10:$C26))</f>
        <v/>
      </c>
      <c r="B26" s="18"/>
      <c r="C26" s="11"/>
      <c r="D26" s="11"/>
      <c r="E26" s="11"/>
      <c r="F26" s="11"/>
      <c r="G26" s="11"/>
      <c r="H26" s="11"/>
      <c r="I26" s="12"/>
      <c r="J26" s="13" t="str">
        <f aca="false">IF($H26="","",IFERROR(VLOOKUP($H26,'BẢNG GIÁ GỐC'!$A$5:$D$254,3,FALSE()),""))</f>
        <v/>
      </c>
      <c r="K26" s="12"/>
      <c r="L26" s="13" t="str">
        <f aca="false">IF($C26="","",N($I26)*N($K26))</f>
        <v/>
      </c>
      <c r="M26" s="11"/>
      <c r="N26" s="14" t="str">
        <f aca="false">IF($C26="","",IF($M26="VAT 5%",0.05,IF($M26="VAT 8%",0.08,IF($M26="VAT 10%",0.1,0))))</f>
        <v/>
      </c>
      <c r="O26" s="13" t="str">
        <f aca="false">IF($C26="","",$L26*$N26)</f>
        <v/>
      </c>
      <c r="P26" s="13" t="str">
        <f aca="false">IF($C26="","",$L26+$O26)</f>
        <v/>
      </c>
      <c r="Q26" s="12"/>
      <c r="R26" s="13" t="str">
        <f aca="false">IF($C26="","",MAX(0,$P26-N($Q26)))</f>
        <v/>
      </c>
      <c r="S26" s="23" t="str">
        <f aca="false">IF(OR($C26="",$P26=0),"",IF(N($Q26)&lt;=0,"Chưa thanh toán",IF(N($Q26)&lt;$P26,"Thanh toán một phần","Đã thanh toán")))</f>
        <v/>
      </c>
      <c r="T26" s="13" t="str">
        <f aca="false">IF(OR($C26="",$J26=""),"",N($I26)*$J26)</f>
        <v/>
      </c>
      <c r="U26" s="13" t="str">
        <f aca="false">IF(OR($C26="",$T26=""),"",$L26-$T26)</f>
        <v/>
      </c>
      <c r="V26" s="14" t="str">
        <f aca="false">IF(OR($U26="",$L26=0),"",$U26/$L26)</f>
        <v/>
      </c>
      <c r="W26" s="11"/>
      <c r="X26" s="23" t="str">
        <f aca="false">IF($C26="","",IF(AND($H26="",N($I26)=0,N($K26)=0),"Dòng chỉ lưu thông tin khách (chưa có đơn); ",IF($B26="","Thiếu ngày đặt; ","")&amp;IF($H26="","Thiếu tên sản phẩm; ",IF($J26="","Chưa khai GIÁ GỐC ở BẢNG GIÁ GỐC; ",""))&amp;IF(N($I26)&lt;=0,"Thiếu số lượng; ","")&amp;IF(N($K26)&lt;=0,"Thiếu giá bán; ","")&amp;IF(AND($N26&gt;0,$F26=""),"Khách lấy VAT thiếu mã số thuế; ","")&amp;IF(N($Q26)&gt;$P26,"Đã thu vượt tổng phải thu; ","")&amp;IF(AND($L26&gt;0,$U26&lt;&gt;"",$U26&lt;0),"CẢNH BÁO: ĐƠN NÀY ĐANG LỖ; ","")))</f>
        <v/>
      </c>
    </row>
    <row r="27" customFormat="false" ht="15" hidden="false" customHeight="false" outlineLevel="0" collapsed="false">
      <c r="A27" s="21" t="str">
        <f aca="false">IF($C27="","",COUNTA($C$10:$C27))</f>
        <v/>
      </c>
      <c r="B27" s="18"/>
      <c r="C27" s="11"/>
      <c r="D27" s="11"/>
      <c r="E27" s="11"/>
      <c r="F27" s="11"/>
      <c r="G27" s="11"/>
      <c r="H27" s="11"/>
      <c r="I27" s="12"/>
      <c r="J27" s="13" t="str">
        <f aca="false">IF($H27="","",IFERROR(VLOOKUP($H27,'BẢNG GIÁ GỐC'!$A$5:$D$254,3,FALSE()),""))</f>
        <v/>
      </c>
      <c r="K27" s="12"/>
      <c r="L27" s="13" t="str">
        <f aca="false">IF($C27="","",N($I27)*N($K27))</f>
        <v/>
      </c>
      <c r="M27" s="11"/>
      <c r="N27" s="14" t="str">
        <f aca="false">IF($C27="","",IF($M27="VAT 5%",0.05,IF($M27="VAT 8%",0.08,IF($M27="VAT 10%",0.1,0))))</f>
        <v/>
      </c>
      <c r="O27" s="13" t="str">
        <f aca="false">IF($C27="","",$L27*$N27)</f>
        <v/>
      </c>
      <c r="P27" s="13" t="str">
        <f aca="false">IF($C27="","",$L27+$O27)</f>
        <v/>
      </c>
      <c r="Q27" s="12"/>
      <c r="R27" s="13" t="str">
        <f aca="false">IF($C27="","",MAX(0,$P27-N($Q27)))</f>
        <v/>
      </c>
      <c r="S27" s="23" t="str">
        <f aca="false">IF(OR($C27="",$P27=0),"",IF(N($Q27)&lt;=0,"Chưa thanh toán",IF(N($Q27)&lt;$P27,"Thanh toán một phần","Đã thanh toán")))</f>
        <v/>
      </c>
      <c r="T27" s="13" t="str">
        <f aca="false">IF(OR($C27="",$J27=""),"",N($I27)*$J27)</f>
        <v/>
      </c>
      <c r="U27" s="13" t="str">
        <f aca="false">IF(OR($C27="",$T27=""),"",$L27-$T27)</f>
        <v/>
      </c>
      <c r="V27" s="14" t="str">
        <f aca="false">IF(OR($U27="",$L27=0),"",$U27/$L27)</f>
        <v/>
      </c>
      <c r="W27" s="11"/>
      <c r="X27" s="23" t="str">
        <f aca="false">IF($C27="","",IF(AND($H27="",N($I27)=0,N($K27)=0),"Dòng chỉ lưu thông tin khách (chưa có đơn); ",IF($B27="","Thiếu ngày đặt; ","")&amp;IF($H27="","Thiếu tên sản phẩm; ",IF($J27="","Chưa khai GIÁ GỐC ở BẢNG GIÁ GỐC; ",""))&amp;IF(N($I27)&lt;=0,"Thiếu số lượng; ","")&amp;IF(N($K27)&lt;=0,"Thiếu giá bán; ","")&amp;IF(AND($N27&gt;0,$F27=""),"Khách lấy VAT thiếu mã số thuế; ","")&amp;IF(N($Q27)&gt;$P27,"Đã thu vượt tổng phải thu; ","")&amp;IF(AND($L27&gt;0,$U27&lt;&gt;"",$U27&lt;0),"CẢNH BÁO: ĐƠN NÀY ĐANG LỖ; ","")))</f>
        <v/>
      </c>
    </row>
    <row r="28" customFormat="false" ht="15" hidden="false" customHeight="false" outlineLevel="0" collapsed="false">
      <c r="A28" s="21" t="str">
        <f aca="false">IF($C28="","",COUNTA($C$10:$C28))</f>
        <v/>
      </c>
      <c r="B28" s="18"/>
      <c r="C28" s="11"/>
      <c r="D28" s="11"/>
      <c r="E28" s="11"/>
      <c r="F28" s="11"/>
      <c r="G28" s="11"/>
      <c r="H28" s="11"/>
      <c r="I28" s="12"/>
      <c r="J28" s="13" t="str">
        <f aca="false">IF($H28="","",IFERROR(VLOOKUP($H28,'BẢNG GIÁ GỐC'!$A$5:$D$254,3,FALSE()),""))</f>
        <v/>
      </c>
      <c r="K28" s="12"/>
      <c r="L28" s="13" t="str">
        <f aca="false">IF($C28="","",N($I28)*N($K28))</f>
        <v/>
      </c>
      <c r="M28" s="11"/>
      <c r="N28" s="14" t="str">
        <f aca="false">IF($C28="","",IF($M28="VAT 5%",0.05,IF($M28="VAT 8%",0.08,IF($M28="VAT 10%",0.1,0))))</f>
        <v/>
      </c>
      <c r="O28" s="13" t="str">
        <f aca="false">IF($C28="","",$L28*$N28)</f>
        <v/>
      </c>
      <c r="P28" s="13" t="str">
        <f aca="false">IF($C28="","",$L28+$O28)</f>
        <v/>
      </c>
      <c r="Q28" s="12"/>
      <c r="R28" s="13" t="str">
        <f aca="false">IF($C28="","",MAX(0,$P28-N($Q28)))</f>
        <v/>
      </c>
      <c r="S28" s="23" t="str">
        <f aca="false">IF(OR($C28="",$P28=0),"",IF(N($Q28)&lt;=0,"Chưa thanh toán",IF(N($Q28)&lt;$P28,"Thanh toán một phần","Đã thanh toán")))</f>
        <v/>
      </c>
      <c r="T28" s="13" t="str">
        <f aca="false">IF(OR($C28="",$J28=""),"",N($I28)*$J28)</f>
        <v/>
      </c>
      <c r="U28" s="13" t="str">
        <f aca="false">IF(OR($C28="",$T28=""),"",$L28-$T28)</f>
        <v/>
      </c>
      <c r="V28" s="14" t="str">
        <f aca="false">IF(OR($U28="",$L28=0),"",$U28/$L28)</f>
        <v/>
      </c>
      <c r="W28" s="11"/>
      <c r="X28" s="23" t="str">
        <f aca="false">IF($C28="","",IF(AND($H28="",N($I28)=0,N($K28)=0),"Dòng chỉ lưu thông tin khách (chưa có đơn); ",IF($B28="","Thiếu ngày đặt; ","")&amp;IF($H28="","Thiếu tên sản phẩm; ",IF($J28="","Chưa khai GIÁ GỐC ở BẢNG GIÁ GỐC; ",""))&amp;IF(N($I28)&lt;=0,"Thiếu số lượng; ","")&amp;IF(N($K28)&lt;=0,"Thiếu giá bán; ","")&amp;IF(AND($N28&gt;0,$F28=""),"Khách lấy VAT thiếu mã số thuế; ","")&amp;IF(N($Q28)&gt;$P28,"Đã thu vượt tổng phải thu; ","")&amp;IF(AND($L28&gt;0,$U28&lt;&gt;"",$U28&lt;0),"CẢNH BÁO: ĐƠN NÀY ĐANG LỖ; ","")))</f>
        <v/>
      </c>
    </row>
    <row r="29" customFormat="false" ht="15" hidden="false" customHeight="false" outlineLevel="0" collapsed="false">
      <c r="A29" s="21" t="str">
        <f aca="false">IF($C29="","",COUNTA($C$10:$C29))</f>
        <v/>
      </c>
      <c r="B29" s="18"/>
      <c r="C29" s="11"/>
      <c r="D29" s="11"/>
      <c r="E29" s="11"/>
      <c r="F29" s="11"/>
      <c r="G29" s="11"/>
      <c r="H29" s="11"/>
      <c r="I29" s="12"/>
      <c r="J29" s="13" t="str">
        <f aca="false">IF($H29="","",IFERROR(VLOOKUP($H29,'BẢNG GIÁ GỐC'!$A$5:$D$254,3,FALSE()),""))</f>
        <v/>
      </c>
      <c r="K29" s="12"/>
      <c r="L29" s="13" t="str">
        <f aca="false">IF($C29="","",N($I29)*N($K29))</f>
        <v/>
      </c>
      <c r="M29" s="11"/>
      <c r="N29" s="14" t="str">
        <f aca="false">IF($C29="","",IF($M29="VAT 5%",0.05,IF($M29="VAT 8%",0.08,IF($M29="VAT 10%",0.1,0))))</f>
        <v/>
      </c>
      <c r="O29" s="13" t="str">
        <f aca="false">IF($C29="","",$L29*$N29)</f>
        <v/>
      </c>
      <c r="P29" s="13" t="str">
        <f aca="false">IF($C29="","",$L29+$O29)</f>
        <v/>
      </c>
      <c r="Q29" s="12"/>
      <c r="R29" s="13" t="str">
        <f aca="false">IF($C29="","",MAX(0,$P29-N($Q29)))</f>
        <v/>
      </c>
      <c r="S29" s="23" t="str">
        <f aca="false">IF(OR($C29="",$P29=0),"",IF(N($Q29)&lt;=0,"Chưa thanh toán",IF(N($Q29)&lt;$P29,"Thanh toán một phần","Đã thanh toán")))</f>
        <v/>
      </c>
      <c r="T29" s="13" t="str">
        <f aca="false">IF(OR($C29="",$J29=""),"",N($I29)*$J29)</f>
        <v/>
      </c>
      <c r="U29" s="13" t="str">
        <f aca="false">IF(OR($C29="",$T29=""),"",$L29-$T29)</f>
        <v/>
      </c>
      <c r="V29" s="14" t="str">
        <f aca="false">IF(OR($U29="",$L29=0),"",$U29/$L29)</f>
        <v/>
      </c>
      <c r="W29" s="11"/>
      <c r="X29" s="23" t="str">
        <f aca="false">IF($C29="","",IF(AND($H29="",N($I29)=0,N($K29)=0),"Dòng chỉ lưu thông tin khách (chưa có đơn); ",IF($B29="","Thiếu ngày đặt; ","")&amp;IF($H29="","Thiếu tên sản phẩm; ",IF($J29="","Chưa khai GIÁ GỐC ở BẢNG GIÁ GỐC; ",""))&amp;IF(N($I29)&lt;=0,"Thiếu số lượng; ","")&amp;IF(N($K29)&lt;=0,"Thiếu giá bán; ","")&amp;IF(AND($N29&gt;0,$F29=""),"Khách lấy VAT thiếu mã số thuế; ","")&amp;IF(N($Q29)&gt;$P29,"Đã thu vượt tổng phải thu; ","")&amp;IF(AND($L29&gt;0,$U29&lt;&gt;"",$U29&lt;0),"CẢNH BÁO: ĐƠN NÀY ĐANG LỖ; ","")))</f>
        <v/>
      </c>
    </row>
    <row r="30" customFormat="false" ht="15" hidden="false" customHeight="false" outlineLevel="0" collapsed="false">
      <c r="A30" s="21" t="str">
        <f aca="false">IF($C30="","",COUNTA($C$10:$C30))</f>
        <v/>
      </c>
      <c r="B30" s="18"/>
      <c r="C30" s="11"/>
      <c r="D30" s="11"/>
      <c r="E30" s="11"/>
      <c r="F30" s="11"/>
      <c r="G30" s="11"/>
      <c r="H30" s="11"/>
      <c r="I30" s="12"/>
      <c r="J30" s="13" t="str">
        <f aca="false">IF($H30="","",IFERROR(VLOOKUP($H30,'BẢNG GIÁ GỐC'!$A$5:$D$254,3,FALSE()),""))</f>
        <v/>
      </c>
      <c r="K30" s="12"/>
      <c r="L30" s="13" t="str">
        <f aca="false">IF($C30="","",N($I30)*N($K30))</f>
        <v/>
      </c>
      <c r="M30" s="11"/>
      <c r="N30" s="14" t="str">
        <f aca="false">IF($C30="","",IF($M30="VAT 5%",0.05,IF($M30="VAT 8%",0.08,IF($M30="VAT 10%",0.1,0))))</f>
        <v/>
      </c>
      <c r="O30" s="13" t="str">
        <f aca="false">IF($C30="","",$L30*$N30)</f>
        <v/>
      </c>
      <c r="P30" s="13" t="str">
        <f aca="false">IF($C30="","",$L30+$O30)</f>
        <v/>
      </c>
      <c r="Q30" s="12"/>
      <c r="R30" s="13" t="str">
        <f aca="false">IF($C30="","",MAX(0,$P30-N($Q30)))</f>
        <v/>
      </c>
      <c r="S30" s="23" t="str">
        <f aca="false">IF(OR($C30="",$P30=0),"",IF(N($Q30)&lt;=0,"Chưa thanh toán",IF(N($Q30)&lt;$P30,"Thanh toán một phần","Đã thanh toán")))</f>
        <v/>
      </c>
      <c r="T30" s="13" t="str">
        <f aca="false">IF(OR($C30="",$J30=""),"",N($I30)*$J30)</f>
        <v/>
      </c>
      <c r="U30" s="13" t="str">
        <f aca="false">IF(OR($C30="",$T30=""),"",$L30-$T30)</f>
        <v/>
      </c>
      <c r="V30" s="14" t="str">
        <f aca="false">IF(OR($U30="",$L30=0),"",$U30/$L30)</f>
        <v/>
      </c>
      <c r="W30" s="11"/>
      <c r="X30" s="23" t="str">
        <f aca="false">IF($C30="","",IF(AND($H30="",N($I30)=0,N($K30)=0),"Dòng chỉ lưu thông tin khách (chưa có đơn); ",IF($B30="","Thiếu ngày đặt; ","")&amp;IF($H30="","Thiếu tên sản phẩm; ",IF($J30="","Chưa khai GIÁ GỐC ở BẢNG GIÁ GỐC; ",""))&amp;IF(N($I30)&lt;=0,"Thiếu số lượng; ","")&amp;IF(N($K30)&lt;=0,"Thiếu giá bán; ","")&amp;IF(AND($N30&gt;0,$F30=""),"Khách lấy VAT thiếu mã số thuế; ","")&amp;IF(N($Q30)&gt;$P30,"Đã thu vượt tổng phải thu; ","")&amp;IF(AND($L30&gt;0,$U30&lt;&gt;"",$U30&lt;0),"CẢNH BÁO: ĐƠN NÀY ĐANG LỖ; ","")))</f>
        <v/>
      </c>
    </row>
    <row r="31" customFormat="false" ht="15" hidden="false" customHeight="false" outlineLevel="0" collapsed="false">
      <c r="A31" s="21" t="str">
        <f aca="false">IF($C31="","",COUNTA($C$10:$C31))</f>
        <v/>
      </c>
      <c r="B31" s="18"/>
      <c r="C31" s="11"/>
      <c r="D31" s="11"/>
      <c r="E31" s="11"/>
      <c r="F31" s="11"/>
      <c r="G31" s="11"/>
      <c r="H31" s="11"/>
      <c r="I31" s="12"/>
      <c r="J31" s="13" t="str">
        <f aca="false">IF($H31="","",IFERROR(VLOOKUP($H31,'BẢNG GIÁ GỐC'!$A$5:$D$254,3,FALSE()),""))</f>
        <v/>
      </c>
      <c r="K31" s="12"/>
      <c r="L31" s="13" t="str">
        <f aca="false">IF($C31="","",N($I31)*N($K31))</f>
        <v/>
      </c>
      <c r="M31" s="11"/>
      <c r="N31" s="14" t="str">
        <f aca="false">IF($C31="","",IF($M31="VAT 5%",0.05,IF($M31="VAT 8%",0.08,IF($M31="VAT 10%",0.1,0))))</f>
        <v/>
      </c>
      <c r="O31" s="13" t="str">
        <f aca="false">IF($C31="","",$L31*$N31)</f>
        <v/>
      </c>
      <c r="P31" s="13" t="str">
        <f aca="false">IF($C31="","",$L31+$O31)</f>
        <v/>
      </c>
      <c r="Q31" s="12"/>
      <c r="R31" s="13" t="str">
        <f aca="false">IF($C31="","",MAX(0,$P31-N($Q31)))</f>
        <v/>
      </c>
      <c r="S31" s="23" t="str">
        <f aca="false">IF(OR($C31="",$P31=0),"",IF(N($Q31)&lt;=0,"Chưa thanh toán",IF(N($Q31)&lt;$P31,"Thanh toán một phần","Đã thanh toán")))</f>
        <v/>
      </c>
      <c r="T31" s="13" t="str">
        <f aca="false">IF(OR($C31="",$J31=""),"",N($I31)*$J31)</f>
        <v/>
      </c>
      <c r="U31" s="13" t="str">
        <f aca="false">IF(OR($C31="",$T31=""),"",$L31-$T31)</f>
        <v/>
      </c>
      <c r="V31" s="14" t="str">
        <f aca="false">IF(OR($U31="",$L31=0),"",$U31/$L31)</f>
        <v/>
      </c>
      <c r="W31" s="11"/>
      <c r="X31" s="23" t="str">
        <f aca="false">IF($C31="","",IF(AND($H31="",N($I31)=0,N($K31)=0),"Dòng chỉ lưu thông tin khách (chưa có đơn); ",IF($B31="","Thiếu ngày đặt; ","")&amp;IF($H31="","Thiếu tên sản phẩm; ",IF($J31="","Chưa khai GIÁ GỐC ở BẢNG GIÁ GỐC; ",""))&amp;IF(N($I31)&lt;=0,"Thiếu số lượng; ","")&amp;IF(N($K31)&lt;=0,"Thiếu giá bán; ","")&amp;IF(AND($N31&gt;0,$F31=""),"Khách lấy VAT thiếu mã số thuế; ","")&amp;IF(N($Q31)&gt;$P31,"Đã thu vượt tổng phải thu; ","")&amp;IF(AND($L31&gt;0,$U31&lt;&gt;"",$U31&lt;0),"CẢNH BÁO: ĐƠN NÀY ĐANG LỖ; ","")))</f>
        <v/>
      </c>
    </row>
    <row r="32" customFormat="false" ht="15" hidden="false" customHeight="false" outlineLevel="0" collapsed="false">
      <c r="A32" s="21" t="str">
        <f aca="false">IF($C32="","",COUNTA($C$10:$C32))</f>
        <v/>
      </c>
      <c r="B32" s="18"/>
      <c r="C32" s="11"/>
      <c r="D32" s="11"/>
      <c r="E32" s="11"/>
      <c r="F32" s="11"/>
      <c r="G32" s="11"/>
      <c r="H32" s="11"/>
      <c r="I32" s="12"/>
      <c r="J32" s="13" t="str">
        <f aca="false">IF($H32="","",IFERROR(VLOOKUP($H32,'BẢNG GIÁ GỐC'!$A$5:$D$254,3,FALSE()),""))</f>
        <v/>
      </c>
      <c r="K32" s="12"/>
      <c r="L32" s="13" t="str">
        <f aca="false">IF($C32="","",N($I32)*N($K32))</f>
        <v/>
      </c>
      <c r="M32" s="11"/>
      <c r="N32" s="14" t="str">
        <f aca="false">IF($C32="","",IF($M32="VAT 5%",0.05,IF($M32="VAT 8%",0.08,IF($M32="VAT 10%",0.1,0))))</f>
        <v/>
      </c>
      <c r="O32" s="13" t="str">
        <f aca="false">IF($C32="","",$L32*$N32)</f>
        <v/>
      </c>
      <c r="P32" s="13" t="str">
        <f aca="false">IF($C32="","",$L32+$O32)</f>
        <v/>
      </c>
      <c r="Q32" s="12"/>
      <c r="R32" s="13" t="str">
        <f aca="false">IF($C32="","",MAX(0,$P32-N($Q32)))</f>
        <v/>
      </c>
      <c r="S32" s="23" t="str">
        <f aca="false">IF(OR($C32="",$P32=0),"",IF(N($Q32)&lt;=0,"Chưa thanh toán",IF(N($Q32)&lt;$P32,"Thanh toán một phần","Đã thanh toán")))</f>
        <v/>
      </c>
      <c r="T32" s="13" t="str">
        <f aca="false">IF(OR($C32="",$J32=""),"",N($I32)*$J32)</f>
        <v/>
      </c>
      <c r="U32" s="13" t="str">
        <f aca="false">IF(OR($C32="",$T32=""),"",$L32-$T32)</f>
        <v/>
      </c>
      <c r="V32" s="14" t="str">
        <f aca="false">IF(OR($U32="",$L32=0),"",$U32/$L32)</f>
        <v/>
      </c>
      <c r="W32" s="11"/>
      <c r="X32" s="23" t="str">
        <f aca="false">IF($C32="","",IF(AND($H32="",N($I32)=0,N($K32)=0),"Dòng chỉ lưu thông tin khách (chưa có đơn); ",IF($B32="","Thiếu ngày đặt; ","")&amp;IF($H32="","Thiếu tên sản phẩm; ",IF($J32="","Chưa khai GIÁ GỐC ở BẢNG GIÁ GỐC; ",""))&amp;IF(N($I32)&lt;=0,"Thiếu số lượng; ","")&amp;IF(N($K32)&lt;=0,"Thiếu giá bán; ","")&amp;IF(AND($N32&gt;0,$F32=""),"Khách lấy VAT thiếu mã số thuế; ","")&amp;IF(N($Q32)&gt;$P32,"Đã thu vượt tổng phải thu; ","")&amp;IF(AND($L32&gt;0,$U32&lt;&gt;"",$U32&lt;0),"CẢNH BÁO: ĐƠN NÀY ĐANG LỖ; ","")))</f>
        <v/>
      </c>
    </row>
    <row r="33" customFormat="false" ht="15" hidden="false" customHeight="false" outlineLevel="0" collapsed="false">
      <c r="A33" s="21" t="str">
        <f aca="false">IF($C33="","",COUNTA($C$10:$C33))</f>
        <v/>
      </c>
      <c r="B33" s="18"/>
      <c r="C33" s="11"/>
      <c r="D33" s="11"/>
      <c r="E33" s="11"/>
      <c r="F33" s="11"/>
      <c r="G33" s="11"/>
      <c r="H33" s="11"/>
      <c r="I33" s="12"/>
      <c r="J33" s="13" t="str">
        <f aca="false">IF($H33="","",IFERROR(VLOOKUP($H33,'BẢNG GIÁ GỐC'!$A$5:$D$254,3,FALSE()),""))</f>
        <v/>
      </c>
      <c r="K33" s="12"/>
      <c r="L33" s="13" t="str">
        <f aca="false">IF($C33="","",N($I33)*N($K33))</f>
        <v/>
      </c>
      <c r="M33" s="11"/>
      <c r="N33" s="14" t="str">
        <f aca="false">IF($C33="","",IF($M33="VAT 5%",0.05,IF($M33="VAT 8%",0.08,IF($M33="VAT 10%",0.1,0))))</f>
        <v/>
      </c>
      <c r="O33" s="13" t="str">
        <f aca="false">IF($C33="","",$L33*$N33)</f>
        <v/>
      </c>
      <c r="P33" s="13" t="str">
        <f aca="false">IF($C33="","",$L33+$O33)</f>
        <v/>
      </c>
      <c r="Q33" s="12"/>
      <c r="R33" s="13" t="str">
        <f aca="false">IF($C33="","",MAX(0,$P33-N($Q33)))</f>
        <v/>
      </c>
      <c r="S33" s="23" t="str">
        <f aca="false">IF(OR($C33="",$P33=0),"",IF(N($Q33)&lt;=0,"Chưa thanh toán",IF(N($Q33)&lt;$P33,"Thanh toán một phần","Đã thanh toán")))</f>
        <v/>
      </c>
      <c r="T33" s="13" t="str">
        <f aca="false">IF(OR($C33="",$J33=""),"",N($I33)*$J33)</f>
        <v/>
      </c>
      <c r="U33" s="13" t="str">
        <f aca="false">IF(OR($C33="",$T33=""),"",$L33-$T33)</f>
        <v/>
      </c>
      <c r="V33" s="14" t="str">
        <f aca="false">IF(OR($U33="",$L33=0),"",$U33/$L33)</f>
        <v/>
      </c>
      <c r="W33" s="11"/>
      <c r="X33" s="23" t="str">
        <f aca="false">IF($C33="","",IF(AND($H33="",N($I33)=0,N($K33)=0),"Dòng chỉ lưu thông tin khách (chưa có đơn); ",IF($B33="","Thiếu ngày đặt; ","")&amp;IF($H33="","Thiếu tên sản phẩm; ",IF($J33="","Chưa khai GIÁ GỐC ở BẢNG GIÁ GỐC; ",""))&amp;IF(N($I33)&lt;=0,"Thiếu số lượng; ","")&amp;IF(N($K33)&lt;=0,"Thiếu giá bán; ","")&amp;IF(AND($N33&gt;0,$F33=""),"Khách lấy VAT thiếu mã số thuế; ","")&amp;IF(N($Q33)&gt;$P33,"Đã thu vượt tổng phải thu; ","")&amp;IF(AND($L33&gt;0,$U33&lt;&gt;"",$U33&lt;0),"CẢNH BÁO: ĐƠN NÀY ĐANG LỖ; ","")))</f>
        <v/>
      </c>
    </row>
    <row r="34" customFormat="false" ht="15" hidden="false" customHeight="false" outlineLevel="0" collapsed="false">
      <c r="A34" s="21" t="str">
        <f aca="false">IF($C34="","",COUNTA($C$10:$C34))</f>
        <v/>
      </c>
      <c r="B34" s="18"/>
      <c r="C34" s="11"/>
      <c r="D34" s="11"/>
      <c r="E34" s="11"/>
      <c r="F34" s="11"/>
      <c r="G34" s="11"/>
      <c r="H34" s="11"/>
      <c r="I34" s="12"/>
      <c r="J34" s="13" t="str">
        <f aca="false">IF($H34="","",IFERROR(VLOOKUP($H34,'BẢNG GIÁ GỐC'!$A$5:$D$254,3,FALSE()),""))</f>
        <v/>
      </c>
      <c r="K34" s="12"/>
      <c r="L34" s="13" t="str">
        <f aca="false">IF($C34="","",N($I34)*N($K34))</f>
        <v/>
      </c>
      <c r="M34" s="11"/>
      <c r="N34" s="14" t="str">
        <f aca="false">IF($C34="","",IF($M34="VAT 5%",0.05,IF($M34="VAT 8%",0.08,IF($M34="VAT 10%",0.1,0))))</f>
        <v/>
      </c>
      <c r="O34" s="13" t="str">
        <f aca="false">IF($C34="","",$L34*$N34)</f>
        <v/>
      </c>
      <c r="P34" s="13" t="str">
        <f aca="false">IF($C34="","",$L34+$O34)</f>
        <v/>
      </c>
      <c r="Q34" s="12"/>
      <c r="R34" s="13" t="str">
        <f aca="false">IF($C34="","",MAX(0,$P34-N($Q34)))</f>
        <v/>
      </c>
      <c r="S34" s="23" t="str">
        <f aca="false">IF(OR($C34="",$P34=0),"",IF(N($Q34)&lt;=0,"Chưa thanh toán",IF(N($Q34)&lt;$P34,"Thanh toán một phần","Đã thanh toán")))</f>
        <v/>
      </c>
      <c r="T34" s="13" t="str">
        <f aca="false">IF(OR($C34="",$J34=""),"",N($I34)*$J34)</f>
        <v/>
      </c>
      <c r="U34" s="13" t="str">
        <f aca="false">IF(OR($C34="",$T34=""),"",$L34-$T34)</f>
        <v/>
      </c>
      <c r="V34" s="14" t="str">
        <f aca="false">IF(OR($U34="",$L34=0),"",$U34/$L34)</f>
        <v/>
      </c>
      <c r="W34" s="11"/>
      <c r="X34" s="23" t="str">
        <f aca="false">IF($C34="","",IF(AND($H34="",N($I34)=0,N($K34)=0),"Dòng chỉ lưu thông tin khách (chưa có đơn); ",IF($B34="","Thiếu ngày đặt; ","")&amp;IF($H34="","Thiếu tên sản phẩm; ",IF($J34="","Chưa khai GIÁ GỐC ở BẢNG GIÁ GỐC; ",""))&amp;IF(N($I34)&lt;=0,"Thiếu số lượng; ","")&amp;IF(N($K34)&lt;=0,"Thiếu giá bán; ","")&amp;IF(AND($N34&gt;0,$F34=""),"Khách lấy VAT thiếu mã số thuế; ","")&amp;IF(N($Q34)&gt;$P34,"Đã thu vượt tổng phải thu; ","")&amp;IF(AND($L34&gt;0,$U34&lt;&gt;"",$U34&lt;0),"CẢNH BÁO: ĐƠN NÀY ĐANG LỖ; ","")))</f>
        <v/>
      </c>
    </row>
    <row r="35" customFormat="false" ht="15" hidden="false" customHeight="false" outlineLevel="0" collapsed="false">
      <c r="A35" s="21" t="str">
        <f aca="false">IF($C35="","",COUNTA($C$10:$C35))</f>
        <v/>
      </c>
      <c r="B35" s="18"/>
      <c r="C35" s="11"/>
      <c r="D35" s="11"/>
      <c r="E35" s="11"/>
      <c r="F35" s="11"/>
      <c r="G35" s="11"/>
      <c r="H35" s="11"/>
      <c r="I35" s="12"/>
      <c r="J35" s="13" t="str">
        <f aca="false">IF($H35="","",IFERROR(VLOOKUP($H35,'BẢNG GIÁ GỐC'!$A$5:$D$254,3,FALSE()),""))</f>
        <v/>
      </c>
      <c r="K35" s="12"/>
      <c r="L35" s="13" t="str">
        <f aca="false">IF($C35="","",N($I35)*N($K35))</f>
        <v/>
      </c>
      <c r="M35" s="11"/>
      <c r="N35" s="14" t="str">
        <f aca="false">IF($C35="","",IF($M35="VAT 5%",0.05,IF($M35="VAT 8%",0.08,IF($M35="VAT 10%",0.1,0))))</f>
        <v/>
      </c>
      <c r="O35" s="13" t="str">
        <f aca="false">IF($C35="","",$L35*$N35)</f>
        <v/>
      </c>
      <c r="P35" s="13" t="str">
        <f aca="false">IF($C35="","",$L35+$O35)</f>
        <v/>
      </c>
      <c r="Q35" s="12"/>
      <c r="R35" s="13" t="str">
        <f aca="false">IF($C35="","",MAX(0,$P35-N($Q35)))</f>
        <v/>
      </c>
      <c r="S35" s="23" t="str">
        <f aca="false">IF(OR($C35="",$P35=0),"",IF(N($Q35)&lt;=0,"Chưa thanh toán",IF(N($Q35)&lt;$P35,"Thanh toán một phần","Đã thanh toán")))</f>
        <v/>
      </c>
      <c r="T35" s="13" t="str">
        <f aca="false">IF(OR($C35="",$J35=""),"",N($I35)*$J35)</f>
        <v/>
      </c>
      <c r="U35" s="13" t="str">
        <f aca="false">IF(OR($C35="",$T35=""),"",$L35-$T35)</f>
        <v/>
      </c>
      <c r="V35" s="14" t="str">
        <f aca="false">IF(OR($U35="",$L35=0),"",$U35/$L35)</f>
        <v/>
      </c>
      <c r="W35" s="11"/>
      <c r="X35" s="23" t="str">
        <f aca="false">IF($C35="","",IF(AND($H35="",N($I35)=0,N($K35)=0),"Dòng chỉ lưu thông tin khách (chưa có đơn); ",IF($B35="","Thiếu ngày đặt; ","")&amp;IF($H35="","Thiếu tên sản phẩm; ",IF($J35="","Chưa khai GIÁ GỐC ở BẢNG GIÁ GỐC; ",""))&amp;IF(N($I35)&lt;=0,"Thiếu số lượng; ","")&amp;IF(N($K35)&lt;=0,"Thiếu giá bán; ","")&amp;IF(AND($N35&gt;0,$F35=""),"Khách lấy VAT thiếu mã số thuế; ","")&amp;IF(N($Q35)&gt;$P35,"Đã thu vượt tổng phải thu; ","")&amp;IF(AND($L35&gt;0,$U35&lt;&gt;"",$U35&lt;0),"CẢNH BÁO: ĐƠN NÀY ĐANG LỖ; ","")))</f>
        <v/>
      </c>
    </row>
    <row r="36" customFormat="false" ht="15" hidden="false" customHeight="false" outlineLevel="0" collapsed="false">
      <c r="A36" s="21" t="str">
        <f aca="false">IF($C36="","",COUNTA($C$10:$C36))</f>
        <v/>
      </c>
      <c r="B36" s="18"/>
      <c r="C36" s="11"/>
      <c r="D36" s="11"/>
      <c r="E36" s="11"/>
      <c r="F36" s="11"/>
      <c r="G36" s="11"/>
      <c r="H36" s="11"/>
      <c r="I36" s="12"/>
      <c r="J36" s="13" t="str">
        <f aca="false">IF($H36="","",IFERROR(VLOOKUP($H36,'BẢNG GIÁ GỐC'!$A$5:$D$254,3,FALSE()),""))</f>
        <v/>
      </c>
      <c r="K36" s="12"/>
      <c r="L36" s="13" t="str">
        <f aca="false">IF($C36="","",N($I36)*N($K36))</f>
        <v/>
      </c>
      <c r="M36" s="11"/>
      <c r="N36" s="14" t="str">
        <f aca="false">IF($C36="","",IF($M36="VAT 5%",0.05,IF($M36="VAT 8%",0.08,IF($M36="VAT 10%",0.1,0))))</f>
        <v/>
      </c>
      <c r="O36" s="13" t="str">
        <f aca="false">IF($C36="","",$L36*$N36)</f>
        <v/>
      </c>
      <c r="P36" s="13" t="str">
        <f aca="false">IF($C36="","",$L36+$O36)</f>
        <v/>
      </c>
      <c r="Q36" s="12"/>
      <c r="R36" s="13" t="str">
        <f aca="false">IF($C36="","",MAX(0,$P36-N($Q36)))</f>
        <v/>
      </c>
      <c r="S36" s="23" t="str">
        <f aca="false">IF(OR($C36="",$P36=0),"",IF(N($Q36)&lt;=0,"Chưa thanh toán",IF(N($Q36)&lt;$P36,"Thanh toán một phần","Đã thanh toán")))</f>
        <v/>
      </c>
      <c r="T36" s="13" t="str">
        <f aca="false">IF(OR($C36="",$J36=""),"",N($I36)*$J36)</f>
        <v/>
      </c>
      <c r="U36" s="13" t="str">
        <f aca="false">IF(OR($C36="",$T36=""),"",$L36-$T36)</f>
        <v/>
      </c>
      <c r="V36" s="14" t="str">
        <f aca="false">IF(OR($U36="",$L36=0),"",$U36/$L36)</f>
        <v/>
      </c>
      <c r="W36" s="11"/>
      <c r="X36" s="23" t="str">
        <f aca="false">IF($C36="","",IF(AND($H36="",N($I36)=0,N($K36)=0),"Dòng chỉ lưu thông tin khách (chưa có đơn); ",IF($B36="","Thiếu ngày đặt; ","")&amp;IF($H36="","Thiếu tên sản phẩm; ",IF($J36="","Chưa khai GIÁ GỐC ở BẢNG GIÁ GỐC; ",""))&amp;IF(N($I36)&lt;=0,"Thiếu số lượng; ","")&amp;IF(N($K36)&lt;=0,"Thiếu giá bán; ","")&amp;IF(AND($N36&gt;0,$F36=""),"Khách lấy VAT thiếu mã số thuế; ","")&amp;IF(N($Q36)&gt;$P36,"Đã thu vượt tổng phải thu; ","")&amp;IF(AND($L36&gt;0,$U36&lt;&gt;"",$U36&lt;0),"CẢNH BÁO: ĐƠN NÀY ĐANG LỖ; ","")))</f>
        <v/>
      </c>
    </row>
    <row r="37" customFormat="false" ht="15" hidden="false" customHeight="false" outlineLevel="0" collapsed="false">
      <c r="A37" s="21" t="str">
        <f aca="false">IF($C37="","",COUNTA($C$10:$C37))</f>
        <v/>
      </c>
      <c r="B37" s="18"/>
      <c r="C37" s="11"/>
      <c r="D37" s="11"/>
      <c r="E37" s="11"/>
      <c r="F37" s="11"/>
      <c r="G37" s="11"/>
      <c r="H37" s="11"/>
      <c r="I37" s="12"/>
      <c r="J37" s="13" t="str">
        <f aca="false">IF($H37="","",IFERROR(VLOOKUP($H37,'BẢNG GIÁ GỐC'!$A$5:$D$254,3,FALSE()),""))</f>
        <v/>
      </c>
      <c r="K37" s="12"/>
      <c r="L37" s="13" t="str">
        <f aca="false">IF($C37="","",N($I37)*N($K37))</f>
        <v/>
      </c>
      <c r="M37" s="11"/>
      <c r="N37" s="14" t="str">
        <f aca="false">IF($C37="","",IF($M37="VAT 5%",0.05,IF($M37="VAT 8%",0.08,IF($M37="VAT 10%",0.1,0))))</f>
        <v/>
      </c>
      <c r="O37" s="13" t="str">
        <f aca="false">IF($C37="","",$L37*$N37)</f>
        <v/>
      </c>
      <c r="P37" s="13" t="str">
        <f aca="false">IF($C37="","",$L37+$O37)</f>
        <v/>
      </c>
      <c r="Q37" s="12"/>
      <c r="R37" s="13" t="str">
        <f aca="false">IF($C37="","",MAX(0,$P37-N($Q37)))</f>
        <v/>
      </c>
      <c r="S37" s="23" t="str">
        <f aca="false">IF(OR($C37="",$P37=0),"",IF(N($Q37)&lt;=0,"Chưa thanh toán",IF(N($Q37)&lt;$P37,"Thanh toán một phần","Đã thanh toán")))</f>
        <v/>
      </c>
      <c r="T37" s="13" t="str">
        <f aca="false">IF(OR($C37="",$J37=""),"",N($I37)*$J37)</f>
        <v/>
      </c>
      <c r="U37" s="13" t="str">
        <f aca="false">IF(OR($C37="",$T37=""),"",$L37-$T37)</f>
        <v/>
      </c>
      <c r="V37" s="14" t="str">
        <f aca="false">IF(OR($U37="",$L37=0),"",$U37/$L37)</f>
        <v/>
      </c>
      <c r="W37" s="11"/>
      <c r="X37" s="23" t="str">
        <f aca="false">IF($C37="","",IF(AND($H37="",N($I37)=0,N($K37)=0),"Dòng chỉ lưu thông tin khách (chưa có đơn); ",IF($B37="","Thiếu ngày đặt; ","")&amp;IF($H37="","Thiếu tên sản phẩm; ",IF($J37="","Chưa khai GIÁ GỐC ở BẢNG GIÁ GỐC; ",""))&amp;IF(N($I37)&lt;=0,"Thiếu số lượng; ","")&amp;IF(N($K37)&lt;=0,"Thiếu giá bán; ","")&amp;IF(AND($N37&gt;0,$F37=""),"Khách lấy VAT thiếu mã số thuế; ","")&amp;IF(N($Q37)&gt;$P37,"Đã thu vượt tổng phải thu; ","")&amp;IF(AND($L37&gt;0,$U37&lt;&gt;"",$U37&lt;0),"CẢNH BÁO: ĐƠN NÀY ĐANG LỖ; ","")))</f>
        <v/>
      </c>
    </row>
    <row r="38" customFormat="false" ht="15" hidden="false" customHeight="false" outlineLevel="0" collapsed="false">
      <c r="A38" s="21" t="str">
        <f aca="false">IF($C38="","",COUNTA($C$10:$C38))</f>
        <v/>
      </c>
      <c r="B38" s="18"/>
      <c r="C38" s="11"/>
      <c r="D38" s="11"/>
      <c r="E38" s="11"/>
      <c r="F38" s="11"/>
      <c r="G38" s="11"/>
      <c r="H38" s="11"/>
      <c r="I38" s="12"/>
      <c r="J38" s="13" t="str">
        <f aca="false">IF($H38="","",IFERROR(VLOOKUP($H38,'BẢNG GIÁ GỐC'!$A$5:$D$254,3,FALSE()),""))</f>
        <v/>
      </c>
      <c r="K38" s="12"/>
      <c r="L38" s="13" t="str">
        <f aca="false">IF($C38="","",N($I38)*N($K38))</f>
        <v/>
      </c>
      <c r="M38" s="11"/>
      <c r="N38" s="14" t="str">
        <f aca="false">IF($C38="","",IF($M38="VAT 5%",0.05,IF($M38="VAT 8%",0.08,IF($M38="VAT 10%",0.1,0))))</f>
        <v/>
      </c>
      <c r="O38" s="13" t="str">
        <f aca="false">IF($C38="","",$L38*$N38)</f>
        <v/>
      </c>
      <c r="P38" s="13" t="str">
        <f aca="false">IF($C38="","",$L38+$O38)</f>
        <v/>
      </c>
      <c r="Q38" s="12"/>
      <c r="R38" s="13" t="str">
        <f aca="false">IF($C38="","",MAX(0,$P38-N($Q38)))</f>
        <v/>
      </c>
      <c r="S38" s="23" t="str">
        <f aca="false">IF(OR($C38="",$P38=0),"",IF(N($Q38)&lt;=0,"Chưa thanh toán",IF(N($Q38)&lt;$P38,"Thanh toán một phần","Đã thanh toán")))</f>
        <v/>
      </c>
      <c r="T38" s="13" t="str">
        <f aca="false">IF(OR($C38="",$J38=""),"",N($I38)*$J38)</f>
        <v/>
      </c>
      <c r="U38" s="13" t="str">
        <f aca="false">IF(OR($C38="",$T38=""),"",$L38-$T38)</f>
        <v/>
      </c>
      <c r="V38" s="14" t="str">
        <f aca="false">IF(OR($U38="",$L38=0),"",$U38/$L38)</f>
        <v/>
      </c>
      <c r="W38" s="11"/>
      <c r="X38" s="23" t="str">
        <f aca="false">IF($C38="","",IF(AND($H38="",N($I38)=0,N($K38)=0),"Dòng chỉ lưu thông tin khách (chưa có đơn); ",IF($B38="","Thiếu ngày đặt; ","")&amp;IF($H38="","Thiếu tên sản phẩm; ",IF($J38="","Chưa khai GIÁ GỐC ở BẢNG GIÁ GỐC; ",""))&amp;IF(N($I38)&lt;=0,"Thiếu số lượng; ","")&amp;IF(N($K38)&lt;=0,"Thiếu giá bán; ","")&amp;IF(AND($N38&gt;0,$F38=""),"Khách lấy VAT thiếu mã số thuế; ","")&amp;IF(N($Q38)&gt;$P38,"Đã thu vượt tổng phải thu; ","")&amp;IF(AND($L38&gt;0,$U38&lt;&gt;"",$U38&lt;0),"CẢNH BÁO: ĐƠN NÀY ĐANG LỖ; ","")))</f>
        <v/>
      </c>
    </row>
    <row r="39" customFormat="false" ht="15" hidden="false" customHeight="false" outlineLevel="0" collapsed="false">
      <c r="A39" s="21" t="str">
        <f aca="false">IF($C39="","",COUNTA($C$10:$C39))</f>
        <v/>
      </c>
      <c r="B39" s="18"/>
      <c r="C39" s="11"/>
      <c r="D39" s="11"/>
      <c r="E39" s="11"/>
      <c r="F39" s="11"/>
      <c r="G39" s="11"/>
      <c r="H39" s="11"/>
      <c r="I39" s="12"/>
      <c r="J39" s="13" t="str">
        <f aca="false">IF($H39="","",IFERROR(VLOOKUP($H39,'BẢNG GIÁ GỐC'!$A$5:$D$254,3,FALSE()),""))</f>
        <v/>
      </c>
      <c r="K39" s="12"/>
      <c r="L39" s="13" t="str">
        <f aca="false">IF($C39="","",N($I39)*N($K39))</f>
        <v/>
      </c>
      <c r="M39" s="11"/>
      <c r="N39" s="14" t="str">
        <f aca="false">IF($C39="","",IF($M39="VAT 5%",0.05,IF($M39="VAT 8%",0.08,IF($M39="VAT 10%",0.1,0))))</f>
        <v/>
      </c>
      <c r="O39" s="13" t="str">
        <f aca="false">IF($C39="","",$L39*$N39)</f>
        <v/>
      </c>
      <c r="P39" s="13" t="str">
        <f aca="false">IF($C39="","",$L39+$O39)</f>
        <v/>
      </c>
      <c r="Q39" s="12"/>
      <c r="R39" s="13" t="str">
        <f aca="false">IF($C39="","",MAX(0,$P39-N($Q39)))</f>
        <v/>
      </c>
      <c r="S39" s="23" t="str">
        <f aca="false">IF(OR($C39="",$P39=0),"",IF(N($Q39)&lt;=0,"Chưa thanh toán",IF(N($Q39)&lt;$P39,"Thanh toán một phần","Đã thanh toán")))</f>
        <v/>
      </c>
      <c r="T39" s="13" t="str">
        <f aca="false">IF(OR($C39="",$J39=""),"",N($I39)*$J39)</f>
        <v/>
      </c>
      <c r="U39" s="13" t="str">
        <f aca="false">IF(OR($C39="",$T39=""),"",$L39-$T39)</f>
        <v/>
      </c>
      <c r="V39" s="14" t="str">
        <f aca="false">IF(OR($U39="",$L39=0),"",$U39/$L39)</f>
        <v/>
      </c>
      <c r="W39" s="11"/>
      <c r="X39" s="23" t="str">
        <f aca="false">IF($C39="","",IF(AND($H39="",N($I39)=0,N($K39)=0),"Dòng chỉ lưu thông tin khách (chưa có đơn); ",IF($B39="","Thiếu ngày đặt; ","")&amp;IF($H39="","Thiếu tên sản phẩm; ",IF($J39="","Chưa khai GIÁ GỐC ở BẢNG GIÁ GỐC; ",""))&amp;IF(N($I39)&lt;=0,"Thiếu số lượng; ","")&amp;IF(N($K39)&lt;=0,"Thiếu giá bán; ","")&amp;IF(AND($N39&gt;0,$F39=""),"Khách lấy VAT thiếu mã số thuế; ","")&amp;IF(N($Q39)&gt;$P39,"Đã thu vượt tổng phải thu; ","")&amp;IF(AND($L39&gt;0,$U39&lt;&gt;"",$U39&lt;0),"CẢNH BÁO: ĐƠN NÀY ĐANG LỖ; ","")))</f>
        <v/>
      </c>
    </row>
    <row r="40" customFormat="false" ht="15" hidden="false" customHeight="false" outlineLevel="0" collapsed="false">
      <c r="A40" s="21" t="str">
        <f aca="false">IF($C40="","",COUNTA($C$10:$C40))</f>
        <v/>
      </c>
      <c r="B40" s="18"/>
      <c r="C40" s="11"/>
      <c r="D40" s="11"/>
      <c r="E40" s="11"/>
      <c r="F40" s="11"/>
      <c r="G40" s="11"/>
      <c r="H40" s="11"/>
      <c r="I40" s="12"/>
      <c r="J40" s="13" t="str">
        <f aca="false">IF($H40="","",IFERROR(VLOOKUP($H40,'BẢNG GIÁ GỐC'!$A$5:$D$254,3,FALSE()),""))</f>
        <v/>
      </c>
      <c r="K40" s="12"/>
      <c r="L40" s="13" t="str">
        <f aca="false">IF($C40="","",N($I40)*N($K40))</f>
        <v/>
      </c>
      <c r="M40" s="11"/>
      <c r="N40" s="14" t="str">
        <f aca="false">IF($C40="","",IF($M40="VAT 5%",0.05,IF($M40="VAT 8%",0.08,IF($M40="VAT 10%",0.1,0))))</f>
        <v/>
      </c>
      <c r="O40" s="13" t="str">
        <f aca="false">IF($C40="","",$L40*$N40)</f>
        <v/>
      </c>
      <c r="P40" s="13" t="str">
        <f aca="false">IF($C40="","",$L40+$O40)</f>
        <v/>
      </c>
      <c r="Q40" s="12"/>
      <c r="R40" s="13" t="str">
        <f aca="false">IF($C40="","",MAX(0,$P40-N($Q40)))</f>
        <v/>
      </c>
      <c r="S40" s="23" t="str">
        <f aca="false">IF(OR($C40="",$P40=0),"",IF(N($Q40)&lt;=0,"Chưa thanh toán",IF(N($Q40)&lt;$P40,"Thanh toán một phần","Đã thanh toán")))</f>
        <v/>
      </c>
      <c r="T40" s="13" t="str">
        <f aca="false">IF(OR($C40="",$J40=""),"",N($I40)*$J40)</f>
        <v/>
      </c>
      <c r="U40" s="13" t="str">
        <f aca="false">IF(OR($C40="",$T40=""),"",$L40-$T40)</f>
        <v/>
      </c>
      <c r="V40" s="14" t="str">
        <f aca="false">IF(OR($U40="",$L40=0),"",$U40/$L40)</f>
        <v/>
      </c>
      <c r="W40" s="11"/>
      <c r="X40" s="23" t="str">
        <f aca="false">IF($C40="","",IF(AND($H40="",N($I40)=0,N($K40)=0),"Dòng chỉ lưu thông tin khách (chưa có đơn); ",IF($B40="","Thiếu ngày đặt; ","")&amp;IF($H40="","Thiếu tên sản phẩm; ",IF($J40="","Chưa khai GIÁ GỐC ở BẢNG GIÁ GỐC; ",""))&amp;IF(N($I40)&lt;=0,"Thiếu số lượng; ","")&amp;IF(N($K40)&lt;=0,"Thiếu giá bán; ","")&amp;IF(AND($N40&gt;0,$F40=""),"Khách lấy VAT thiếu mã số thuế; ","")&amp;IF(N($Q40)&gt;$P40,"Đã thu vượt tổng phải thu; ","")&amp;IF(AND($L40&gt;0,$U40&lt;&gt;"",$U40&lt;0),"CẢNH BÁO: ĐƠN NÀY ĐANG LỖ; ","")))</f>
        <v/>
      </c>
    </row>
    <row r="41" customFormat="false" ht="15" hidden="false" customHeight="false" outlineLevel="0" collapsed="false">
      <c r="A41" s="21" t="str">
        <f aca="false">IF($C41="","",COUNTA($C$10:$C41))</f>
        <v/>
      </c>
      <c r="B41" s="18"/>
      <c r="C41" s="11"/>
      <c r="D41" s="11"/>
      <c r="E41" s="11"/>
      <c r="F41" s="11"/>
      <c r="G41" s="11"/>
      <c r="H41" s="11"/>
      <c r="I41" s="12"/>
      <c r="J41" s="13" t="str">
        <f aca="false">IF($H41="","",IFERROR(VLOOKUP($H41,'BẢNG GIÁ GỐC'!$A$5:$D$254,3,FALSE()),""))</f>
        <v/>
      </c>
      <c r="K41" s="12"/>
      <c r="L41" s="13" t="str">
        <f aca="false">IF($C41="","",N($I41)*N($K41))</f>
        <v/>
      </c>
      <c r="M41" s="11"/>
      <c r="N41" s="14" t="str">
        <f aca="false">IF($C41="","",IF($M41="VAT 5%",0.05,IF($M41="VAT 8%",0.08,IF($M41="VAT 10%",0.1,0))))</f>
        <v/>
      </c>
      <c r="O41" s="13" t="str">
        <f aca="false">IF($C41="","",$L41*$N41)</f>
        <v/>
      </c>
      <c r="P41" s="13" t="str">
        <f aca="false">IF($C41="","",$L41+$O41)</f>
        <v/>
      </c>
      <c r="Q41" s="12"/>
      <c r="R41" s="13" t="str">
        <f aca="false">IF($C41="","",MAX(0,$P41-N($Q41)))</f>
        <v/>
      </c>
      <c r="S41" s="23" t="str">
        <f aca="false">IF(OR($C41="",$P41=0),"",IF(N($Q41)&lt;=0,"Chưa thanh toán",IF(N($Q41)&lt;$P41,"Thanh toán một phần","Đã thanh toán")))</f>
        <v/>
      </c>
      <c r="T41" s="13" t="str">
        <f aca="false">IF(OR($C41="",$J41=""),"",N($I41)*$J41)</f>
        <v/>
      </c>
      <c r="U41" s="13" t="str">
        <f aca="false">IF(OR($C41="",$T41=""),"",$L41-$T41)</f>
        <v/>
      </c>
      <c r="V41" s="14" t="str">
        <f aca="false">IF(OR($U41="",$L41=0),"",$U41/$L41)</f>
        <v/>
      </c>
      <c r="W41" s="11"/>
      <c r="X41" s="23" t="str">
        <f aca="false">IF($C41="","",IF(AND($H41="",N($I41)=0,N($K41)=0),"Dòng chỉ lưu thông tin khách (chưa có đơn); ",IF($B41="","Thiếu ngày đặt; ","")&amp;IF($H41="","Thiếu tên sản phẩm; ",IF($J41="","Chưa khai GIÁ GỐC ở BẢNG GIÁ GỐC; ",""))&amp;IF(N($I41)&lt;=0,"Thiếu số lượng; ","")&amp;IF(N($K41)&lt;=0,"Thiếu giá bán; ","")&amp;IF(AND($N41&gt;0,$F41=""),"Khách lấy VAT thiếu mã số thuế; ","")&amp;IF(N($Q41)&gt;$P41,"Đã thu vượt tổng phải thu; ","")&amp;IF(AND($L41&gt;0,$U41&lt;&gt;"",$U41&lt;0),"CẢNH BÁO: ĐƠN NÀY ĐANG LỖ; ","")))</f>
        <v/>
      </c>
    </row>
    <row r="42" customFormat="false" ht="15" hidden="false" customHeight="false" outlineLevel="0" collapsed="false">
      <c r="A42" s="21" t="str">
        <f aca="false">IF($C42="","",COUNTA($C$10:$C42))</f>
        <v/>
      </c>
      <c r="B42" s="18"/>
      <c r="C42" s="11"/>
      <c r="D42" s="11"/>
      <c r="E42" s="11"/>
      <c r="F42" s="11"/>
      <c r="G42" s="11"/>
      <c r="H42" s="11"/>
      <c r="I42" s="12"/>
      <c r="J42" s="13" t="str">
        <f aca="false">IF($H42="","",IFERROR(VLOOKUP($H42,'BẢNG GIÁ GỐC'!$A$5:$D$254,3,FALSE()),""))</f>
        <v/>
      </c>
      <c r="K42" s="12"/>
      <c r="L42" s="13" t="str">
        <f aca="false">IF($C42="","",N($I42)*N($K42))</f>
        <v/>
      </c>
      <c r="M42" s="11"/>
      <c r="N42" s="14" t="str">
        <f aca="false">IF($C42="","",IF($M42="VAT 5%",0.05,IF($M42="VAT 8%",0.08,IF($M42="VAT 10%",0.1,0))))</f>
        <v/>
      </c>
      <c r="O42" s="13" t="str">
        <f aca="false">IF($C42="","",$L42*$N42)</f>
        <v/>
      </c>
      <c r="P42" s="13" t="str">
        <f aca="false">IF($C42="","",$L42+$O42)</f>
        <v/>
      </c>
      <c r="Q42" s="12"/>
      <c r="R42" s="13" t="str">
        <f aca="false">IF($C42="","",MAX(0,$P42-N($Q42)))</f>
        <v/>
      </c>
      <c r="S42" s="23" t="str">
        <f aca="false">IF(OR($C42="",$P42=0),"",IF(N($Q42)&lt;=0,"Chưa thanh toán",IF(N($Q42)&lt;$P42,"Thanh toán một phần","Đã thanh toán")))</f>
        <v/>
      </c>
      <c r="T42" s="13" t="str">
        <f aca="false">IF(OR($C42="",$J42=""),"",N($I42)*$J42)</f>
        <v/>
      </c>
      <c r="U42" s="13" t="str">
        <f aca="false">IF(OR($C42="",$T42=""),"",$L42-$T42)</f>
        <v/>
      </c>
      <c r="V42" s="14" t="str">
        <f aca="false">IF(OR($U42="",$L42=0),"",$U42/$L42)</f>
        <v/>
      </c>
      <c r="W42" s="11"/>
      <c r="X42" s="23" t="str">
        <f aca="false">IF($C42="","",IF(AND($H42="",N($I42)=0,N($K42)=0),"Dòng chỉ lưu thông tin khách (chưa có đơn); ",IF($B42="","Thiếu ngày đặt; ","")&amp;IF($H42="","Thiếu tên sản phẩm; ",IF($J42="","Chưa khai GIÁ GỐC ở BẢNG GIÁ GỐC; ",""))&amp;IF(N($I42)&lt;=0,"Thiếu số lượng; ","")&amp;IF(N($K42)&lt;=0,"Thiếu giá bán; ","")&amp;IF(AND($N42&gt;0,$F42=""),"Khách lấy VAT thiếu mã số thuế; ","")&amp;IF(N($Q42)&gt;$P42,"Đã thu vượt tổng phải thu; ","")&amp;IF(AND($L42&gt;0,$U42&lt;&gt;"",$U42&lt;0),"CẢNH BÁO: ĐƠN NÀY ĐANG LỖ; ","")))</f>
        <v/>
      </c>
    </row>
    <row r="43" customFormat="false" ht="15" hidden="false" customHeight="false" outlineLevel="0" collapsed="false">
      <c r="A43" s="21" t="str">
        <f aca="false">IF($C43="","",COUNTA($C$10:$C43))</f>
        <v/>
      </c>
      <c r="B43" s="18"/>
      <c r="C43" s="11"/>
      <c r="D43" s="11"/>
      <c r="E43" s="11"/>
      <c r="F43" s="11"/>
      <c r="G43" s="11"/>
      <c r="H43" s="11"/>
      <c r="I43" s="12"/>
      <c r="J43" s="13" t="str">
        <f aca="false">IF($H43="","",IFERROR(VLOOKUP($H43,'BẢNG GIÁ GỐC'!$A$5:$D$254,3,FALSE()),""))</f>
        <v/>
      </c>
      <c r="K43" s="12"/>
      <c r="L43" s="13" t="str">
        <f aca="false">IF($C43="","",N($I43)*N($K43))</f>
        <v/>
      </c>
      <c r="M43" s="11"/>
      <c r="N43" s="14" t="str">
        <f aca="false">IF($C43="","",IF($M43="VAT 5%",0.05,IF($M43="VAT 8%",0.08,IF($M43="VAT 10%",0.1,0))))</f>
        <v/>
      </c>
      <c r="O43" s="13" t="str">
        <f aca="false">IF($C43="","",$L43*$N43)</f>
        <v/>
      </c>
      <c r="P43" s="13" t="str">
        <f aca="false">IF($C43="","",$L43+$O43)</f>
        <v/>
      </c>
      <c r="Q43" s="12"/>
      <c r="R43" s="13" t="str">
        <f aca="false">IF($C43="","",MAX(0,$P43-N($Q43)))</f>
        <v/>
      </c>
      <c r="S43" s="23" t="str">
        <f aca="false">IF(OR($C43="",$P43=0),"",IF(N($Q43)&lt;=0,"Chưa thanh toán",IF(N($Q43)&lt;$P43,"Thanh toán một phần","Đã thanh toán")))</f>
        <v/>
      </c>
      <c r="T43" s="13" t="str">
        <f aca="false">IF(OR($C43="",$J43=""),"",N($I43)*$J43)</f>
        <v/>
      </c>
      <c r="U43" s="13" t="str">
        <f aca="false">IF(OR($C43="",$T43=""),"",$L43-$T43)</f>
        <v/>
      </c>
      <c r="V43" s="14" t="str">
        <f aca="false">IF(OR($U43="",$L43=0),"",$U43/$L43)</f>
        <v/>
      </c>
      <c r="W43" s="11"/>
      <c r="X43" s="23" t="str">
        <f aca="false">IF($C43="","",IF(AND($H43="",N($I43)=0,N($K43)=0),"Dòng chỉ lưu thông tin khách (chưa có đơn); ",IF($B43="","Thiếu ngày đặt; ","")&amp;IF($H43="","Thiếu tên sản phẩm; ",IF($J43="","Chưa khai GIÁ GỐC ở BẢNG GIÁ GỐC; ",""))&amp;IF(N($I43)&lt;=0,"Thiếu số lượng; ","")&amp;IF(N($K43)&lt;=0,"Thiếu giá bán; ","")&amp;IF(AND($N43&gt;0,$F43=""),"Khách lấy VAT thiếu mã số thuế; ","")&amp;IF(N($Q43)&gt;$P43,"Đã thu vượt tổng phải thu; ","")&amp;IF(AND($L43&gt;0,$U43&lt;&gt;"",$U43&lt;0),"CẢNH BÁO: ĐƠN NÀY ĐANG LỖ; ","")))</f>
        <v/>
      </c>
    </row>
    <row r="44" customFormat="false" ht="15" hidden="false" customHeight="false" outlineLevel="0" collapsed="false">
      <c r="A44" s="21" t="str">
        <f aca="false">IF($C44="","",COUNTA($C$10:$C44))</f>
        <v/>
      </c>
      <c r="B44" s="18"/>
      <c r="C44" s="11"/>
      <c r="D44" s="11"/>
      <c r="E44" s="11"/>
      <c r="F44" s="11"/>
      <c r="G44" s="11"/>
      <c r="H44" s="11"/>
      <c r="I44" s="12"/>
      <c r="J44" s="13" t="str">
        <f aca="false">IF($H44="","",IFERROR(VLOOKUP($H44,'BẢNG GIÁ GỐC'!$A$5:$D$254,3,FALSE()),""))</f>
        <v/>
      </c>
      <c r="K44" s="12"/>
      <c r="L44" s="13" t="str">
        <f aca="false">IF($C44="","",N($I44)*N($K44))</f>
        <v/>
      </c>
      <c r="M44" s="11"/>
      <c r="N44" s="14" t="str">
        <f aca="false">IF($C44="","",IF($M44="VAT 5%",0.05,IF($M44="VAT 8%",0.08,IF($M44="VAT 10%",0.1,0))))</f>
        <v/>
      </c>
      <c r="O44" s="13" t="str">
        <f aca="false">IF($C44="","",$L44*$N44)</f>
        <v/>
      </c>
      <c r="P44" s="13" t="str">
        <f aca="false">IF($C44="","",$L44+$O44)</f>
        <v/>
      </c>
      <c r="Q44" s="12"/>
      <c r="R44" s="13" t="str">
        <f aca="false">IF($C44="","",MAX(0,$P44-N($Q44)))</f>
        <v/>
      </c>
      <c r="S44" s="23" t="str">
        <f aca="false">IF(OR($C44="",$P44=0),"",IF(N($Q44)&lt;=0,"Chưa thanh toán",IF(N($Q44)&lt;$P44,"Thanh toán một phần","Đã thanh toán")))</f>
        <v/>
      </c>
      <c r="T44" s="13" t="str">
        <f aca="false">IF(OR($C44="",$J44=""),"",N($I44)*$J44)</f>
        <v/>
      </c>
      <c r="U44" s="13" t="str">
        <f aca="false">IF(OR($C44="",$T44=""),"",$L44-$T44)</f>
        <v/>
      </c>
      <c r="V44" s="14" t="str">
        <f aca="false">IF(OR($U44="",$L44=0),"",$U44/$L44)</f>
        <v/>
      </c>
      <c r="W44" s="11"/>
      <c r="X44" s="23" t="str">
        <f aca="false">IF($C44="","",IF(AND($H44="",N($I44)=0,N($K44)=0),"Dòng chỉ lưu thông tin khách (chưa có đơn); ",IF($B44="","Thiếu ngày đặt; ","")&amp;IF($H44="","Thiếu tên sản phẩm; ",IF($J44="","Chưa khai GIÁ GỐC ở BẢNG GIÁ GỐC; ",""))&amp;IF(N($I44)&lt;=0,"Thiếu số lượng; ","")&amp;IF(N($K44)&lt;=0,"Thiếu giá bán; ","")&amp;IF(AND($N44&gt;0,$F44=""),"Khách lấy VAT thiếu mã số thuế; ","")&amp;IF(N($Q44)&gt;$P44,"Đã thu vượt tổng phải thu; ","")&amp;IF(AND($L44&gt;0,$U44&lt;&gt;"",$U44&lt;0),"CẢNH BÁO: ĐƠN NÀY ĐANG LỖ; ","")))</f>
        <v/>
      </c>
    </row>
    <row r="45" customFormat="false" ht="15" hidden="false" customHeight="false" outlineLevel="0" collapsed="false">
      <c r="A45" s="21" t="str">
        <f aca="false">IF($C45="","",COUNTA($C$10:$C45))</f>
        <v/>
      </c>
      <c r="B45" s="18"/>
      <c r="C45" s="11"/>
      <c r="D45" s="11"/>
      <c r="E45" s="11"/>
      <c r="F45" s="11"/>
      <c r="G45" s="11"/>
      <c r="H45" s="11"/>
      <c r="I45" s="12"/>
      <c r="J45" s="13" t="str">
        <f aca="false">IF($H45="","",IFERROR(VLOOKUP($H45,'BẢNG GIÁ GỐC'!$A$5:$D$254,3,FALSE()),""))</f>
        <v/>
      </c>
      <c r="K45" s="12"/>
      <c r="L45" s="13" t="str">
        <f aca="false">IF($C45="","",N($I45)*N($K45))</f>
        <v/>
      </c>
      <c r="M45" s="11"/>
      <c r="N45" s="14" t="str">
        <f aca="false">IF($C45="","",IF($M45="VAT 5%",0.05,IF($M45="VAT 8%",0.08,IF($M45="VAT 10%",0.1,0))))</f>
        <v/>
      </c>
      <c r="O45" s="13" t="str">
        <f aca="false">IF($C45="","",$L45*$N45)</f>
        <v/>
      </c>
      <c r="P45" s="13" t="str">
        <f aca="false">IF($C45="","",$L45+$O45)</f>
        <v/>
      </c>
      <c r="Q45" s="12"/>
      <c r="R45" s="13" t="str">
        <f aca="false">IF($C45="","",MAX(0,$P45-N($Q45)))</f>
        <v/>
      </c>
      <c r="S45" s="23" t="str">
        <f aca="false">IF(OR($C45="",$P45=0),"",IF(N($Q45)&lt;=0,"Chưa thanh toán",IF(N($Q45)&lt;$P45,"Thanh toán một phần","Đã thanh toán")))</f>
        <v/>
      </c>
      <c r="T45" s="13" t="str">
        <f aca="false">IF(OR($C45="",$J45=""),"",N($I45)*$J45)</f>
        <v/>
      </c>
      <c r="U45" s="13" t="str">
        <f aca="false">IF(OR($C45="",$T45=""),"",$L45-$T45)</f>
        <v/>
      </c>
      <c r="V45" s="14" t="str">
        <f aca="false">IF(OR($U45="",$L45=0),"",$U45/$L45)</f>
        <v/>
      </c>
      <c r="W45" s="11"/>
      <c r="X45" s="23" t="str">
        <f aca="false">IF($C45="","",IF(AND($H45="",N($I45)=0,N($K45)=0),"Dòng chỉ lưu thông tin khách (chưa có đơn); ",IF($B45="","Thiếu ngày đặt; ","")&amp;IF($H45="","Thiếu tên sản phẩm; ",IF($J45="","Chưa khai GIÁ GỐC ở BẢNG GIÁ GỐC; ",""))&amp;IF(N($I45)&lt;=0,"Thiếu số lượng; ","")&amp;IF(N($K45)&lt;=0,"Thiếu giá bán; ","")&amp;IF(AND($N45&gt;0,$F45=""),"Khách lấy VAT thiếu mã số thuế; ","")&amp;IF(N($Q45)&gt;$P45,"Đã thu vượt tổng phải thu; ","")&amp;IF(AND($L45&gt;0,$U45&lt;&gt;"",$U45&lt;0),"CẢNH BÁO: ĐƠN NÀY ĐANG LỖ; ","")))</f>
        <v/>
      </c>
    </row>
    <row r="46" customFormat="false" ht="15" hidden="false" customHeight="false" outlineLevel="0" collapsed="false">
      <c r="A46" s="21" t="str">
        <f aca="false">IF($C46="","",COUNTA($C$10:$C46))</f>
        <v/>
      </c>
      <c r="B46" s="18"/>
      <c r="C46" s="11"/>
      <c r="D46" s="11"/>
      <c r="E46" s="11"/>
      <c r="F46" s="11"/>
      <c r="G46" s="11"/>
      <c r="H46" s="11"/>
      <c r="I46" s="12"/>
      <c r="J46" s="13" t="str">
        <f aca="false">IF($H46="","",IFERROR(VLOOKUP($H46,'BẢNG GIÁ GỐC'!$A$5:$D$254,3,FALSE()),""))</f>
        <v/>
      </c>
      <c r="K46" s="12"/>
      <c r="L46" s="13" t="str">
        <f aca="false">IF($C46="","",N($I46)*N($K46))</f>
        <v/>
      </c>
      <c r="M46" s="11"/>
      <c r="N46" s="14" t="str">
        <f aca="false">IF($C46="","",IF($M46="VAT 5%",0.05,IF($M46="VAT 8%",0.08,IF($M46="VAT 10%",0.1,0))))</f>
        <v/>
      </c>
      <c r="O46" s="13" t="str">
        <f aca="false">IF($C46="","",$L46*$N46)</f>
        <v/>
      </c>
      <c r="P46" s="13" t="str">
        <f aca="false">IF($C46="","",$L46+$O46)</f>
        <v/>
      </c>
      <c r="Q46" s="12"/>
      <c r="R46" s="13" t="str">
        <f aca="false">IF($C46="","",MAX(0,$P46-N($Q46)))</f>
        <v/>
      </c>
      <c r="S46" s="23" t="str">
        <f aca="false">IF(OR($C46="",$P46=0),"",IF(N($Q46)&lt;=0,"Chưa thanh toán",IF(N($Q46)&lt;$P46,"Thanh toán một phần","Đã thanh toán")))</f>
        <v/>
      </c>
      <c r="T46" s="13" t="str">
        <f aca="false">IF(OR($C46="",$J46=""),"",N($I46)*$J46)</f>
        <v/>
      </c>
      <c r="U46" s="13" t="str">
        <f aca="false">IF(OR($C46="",$T46=""),"",$L46-$T46)</f>
        <v/>
      </c>
      <c r="V46" s="14" t="str">
        <f aca="false">IF(OR($U46="",$L46=0),"",$U46/$L46)</f>
        <v/>
      </c>
      <c r="W46" s="11"/>
      <c r="X46" s="23" t="str">
        <f aca="false">IF($C46="","",IF(AND($H46="",N($I46)=0,N($K46)=0),"Dòng chỉ lưu thông tin khách (chưa có đơn); ",IF($B46="","Thiếu ngày đặt; ","")&amp;IF($H46="","Thiếu tên sản phẩm; ",IF($J46="","Chưa khai GIÁ GỐC ở BẢNG GIÁ GỐC; ",""))&amp;IF(N($I46)&lt;=0,"Thiếu số lượng; ","")&amp;IF(N($K46)&lt;=0,"Thiếu giá bán; ","")&amp;IF(AND($N46&gt;0,$F46=""),"Khách lấy VAT thiếu mã số thuế; ","")&amp;IF(N($Q46)&gt;$P46,"Đã thu vượt tổng phải thu; ","")&amp;IF(AND($L46&gt;0,$U46&lt;&gt;"",$U46&lt;0),"CẢNH BÁO: ĐƠN NÀY ĐANG LỖ; ","")))</f>
        <v/>
      </c>
    </row>
    <row r="47" customFormat="false" ht="15" hidden="false" customHeight="false" outlineLevel="0" collapsed="false">
      <c r="A47" s="21" t="str">
        <f aca="false">IF($C47="","",COUNTA($C$10:$C47))</f>
        <v/>
      </c>
      <c r="B47" s="18"/>
      <c r="C47" s="11"/>
      <c r="D47" s="11"/>
      <c r="E47" s="11"/>
      <c r="F47" s="11"/>
      <c r="G47" s="11"/>
      <c r="H47" s="11"/>
      <c r="I47" s="12"/>
      <c r="J47" s="13" t="str">
        <f aca="false">IF($H47="","",IFERROR(VLOOKUP($H47,'BẢNG GIÁ GỐC'!$A$5:$D$254,3,FALSE()),""))</f>
        <v/>
      </c>
      <c r="K47" s="12"/>
      <c r="L47" s="13" t="str">
        <f aca="false">IF($C47="","",N($I47)*N($K47))</f>
        <v/>
      </c>
      <c r="M47" s="11"/>
      <c r="N47" s="14" t="str">
        <f aca="false">IF($C47="","",IF($M47="VAT 5%",0.05,IF($M47="VAT 8%",0.08,IF($M47="VAT 10%",0.1,0))))</f>
        <v/>
      </c>
      <c r="O47" s="13" t="str">
        <f aca="false">IF($C47="","",$L47*$N47)</f>
        <v/>
      </c>
      <c r="P47" s="13" t="str">
        <f aca="false">IF($C47="","",$L47+$O47)</f>
        <v/>
      </c>
      <c r="Q47" s="12"/>
      <c r="R47" s="13" t="str">
        <f aca="false">IF($C47="","",MAX(0,$P47-N($Q47)))</f>
        <v/>
      </c>
      <c r="S47" s="23" t="str">
        <f aca="false">IF(OR($C47="",$P47=0),"",IF(N($Q47)&lt;=0,"Chưa thanh toán",IF(N($Q47)&lt;$P47,"Thanh toán một phần","Đã thanh toán")))</f>
        <v/>
      </c>
      <c r="T47" s="13" t="str">
        <f aca="false">IF(OR($C47="",$J47=""),"",N($I47)*$J47)</f>
        <v/>
      </c>
      <c r="U47" s="13" t="str">
        <f aca="false">IF(OR($C47="",$T47=""),"",$L47-$T47)</f>
        <v/>
      </c>
      <c r="V47" s="14" t="str">
        <f aca="false">IF(OR($U47="",$L47=0),"",$U47/$L47)</f>
        <v/>
      </c>
      <c r="W47" s="11"/>
      <c r="X47" s="23" t="str">
        <f aca="false">IF($C47="","",IF(AND($H47="",N($I47)=0,N($K47)=0),"Dòng chỉ lưu thông tin khách (chưa có đơn); ",IF($B47="","Thiếu ngày đặt; ","")&amp;IF($H47="","Thiếu tên sản phẩm; ",IF($J47="","Chưa khai GIÁ GỐC ở BẢNG GIÁ GỐC; ",""))&amp;IF(N($I47)&lt;=0,"Thiếu số lượng; ","")&amp;IF(N($K47)&lt;=0,"Thiếu giá bán; ","")&amp;IF(AND($N47&gt;0,$F47=""),"Khách lấy VAT thiếu mã số thuế; ","")&amp;IF(N($Q47)&gt;$P47,"Đã thu vượt tổng phải thu; ","")&amp;IF(AND($L47&gt;0,$U47&lt;&gt;"",$U47&lt;0),"CẢNH BÁO: ĐƠN NÀY ĐANG LỖ; ","")))</f>
        <v/>
      </c>
    </row>
    <row r="48" customFormat="false" ht="15" hidden="false" customHeight="false" outlineLevel="0" collapsed="false">
      <c r="A48" s="21" t="str">
        <f aca="false">IF($C48="","",COUNTA($C$10:$C48))</f>
        <v/>
      </c>
      <c r="B48" s="18"/>
      <c r="C48" s="11"/>
      <c r="D48" s="11"/>
      <c r="E48" s="11"/>
      <c r="F48" s="11"/>
      <c r="G48" s="11"/>
      <c r="H48" s="11"/>
      <c r="I48" s="12"/>
      <c r="J48" s="13" t="str">
        <f aca="false">IF($H48="","",IFERROR(VLOOKUP($H48,'BẢNG GIÁ GỐC'!$A$5:$D$254,3,FALSE()),""))</f>
        <v/>
      </c>
      <c r="K48" s="12"/>
      <c r="L48" s="13" t="str">
        <f aca="false">IF($C48="","",N($I48)*N($K48))</f>
        <v/>
      </c>
      <c r="M48" s="11"/>
      <c r="N48" s="14" t="str">
        <f aca="false">IF($C48="","",IF($M48="VAT 5%",0.05,IF($M48="VAT 8%",0.08,IF($M48="VAT 10%",0.1,0))))</f>
        <v/>
      </c>
      <c r="O48" s="13" t="str">
        <f aca="false">IF($C48="","",$L48*$N48)</f>
        <v/>
      </c>
      <c r="P48" s="13" t="str">
        <f aca="false">IF($C48="","",$L48+$O48)</f>
        <v/>
      </c>
      <c r="Q48" s="12"/>
      <c r="R48" s="13" t="str">
        <f aca="false">IF($C48="","",MAX(0,$P48-N($Q48)))</f>
        <v/>
      </c>
      <c r="S48" s="23" t="str">
        <f aca="false">IF(OR($C48="",$P48=0),"",IF(N($Q48)&lt;=0,"Chưa thanh toán",IF(N($Q48)&lt;$P48,"Thanh toán một phần","Đã thanh toán")))</f>
        <v/>
      </c>
      <c r="T48" s="13" t="str">
        <f aca="false">IF(OR($C48="",$J48=""),"",N($I48)*$J48)</f>
        <v/>
      </c>
      <c r="U48" s="13" t="str">
        <f aca="false">IF(OR($C48="",$T48=""),"",$L48-$T48)</f>
        <v/>
      </c>
      <c r="V48" s="14" t="str">
        <f aca="false">IF(OR($U48="",$L48=0),"",$U48/$L48)</f>
        <v/>
      </c>
      <c r="W48" s="11"/>
      <c r="X48" s="23" t="str">
        <f aca="false">IF($C48="","",IF(AND($H48="",N($I48)=0,N($K48)=0),"Dòng chỉ lưu thông tin khách (chưa có đơn); ",IF($B48="","Thiếu ngày đặt; ","")&amp;IF($H48="","Thiếu tên sản phẩm; ",IF($J48="","Chưa khai GIÁ GỐC ở BẢNG GIÁ GỐC; ",""))&amp;IF(N($I48)&lt;=0,"Thiếu số lượng; ","")&amp;IF(N($K48)&lt;=0,"Thiếu giá bán; ","")&amp;IF(AND($N48&gt;0,$F48=""),"Khách lấy VAT thiếu mã số thuế; ","")&amp;IF(N($Q48)&gt;$P48,"Đã thu vượt tổng phải thu; ","")&amp;IF(AND($L48&gt;0,$U48&lt;&gt;"",$U48&lt;0),"CẢNH BÁO: ĐƠN NÀY ĐANG LỖ; ","")))</f>
        <v/>
      </c>
    </row>
    <row r="49" customFormat="false" ht="15" hidden="false" customHeight="false" outlineLevel="0" collapsed="false">
      <c r="A49" s="21" t="str">
        <f aca="false">IF($C49="","",COUNTA($C$10:$C49))</f>
        <v/>
      </c>
      <c r="B49" s="18"/>
      <c r="C49" s="11"/>
      <c r="D49" s="11"/>
      <c r="E49" s="11"/>
      <c r="F49" s="11"/>
      <c r="G49" s="11"/>
      <c r="H49" s="11"/>
      <c r="I49" s="12"/>
      <c r="J49" s="13" t="str">
        <f aca="false">IF($H49="","",IFERROR(VLOOKUP($H49,'BẢNG GIÁ GỐC'!$A$5:$D$254,3,FALSE()),""))</f>
        <v/>
      </c>
      <c r="K49" s="12"/>
      <c r="L49" s="13" t="str">
        <f aca="false">IF($C49="","",N($I49)*N($K49))</f>
        <v/>
      </c>
      <c r="M49" s="11"/>
      <c r="N49" s="14" t="str">
        <f aca="false">IF($C49="","",IF($M49="VAT 5%",0.05,IF($M49="VAT 8%",0.08,IF($M49="VAT 10%",0.1,0))))</f>
        <v/>
      </c>
      <c r="O49" s="13" t="str">
        <f aca="false">IF($C49="","",$L49*$N49)</f>
        <v/>
      </c>
      <c r="P49" s="13" t="str">
        <f aca="false">IF($C49="","",$L49+$O49)</f>
        <v/>
      </c>
      <c r="Q49" s="12"/>
      <c r="R49" s="13" t="str">
        <f aca="false">IF($C49="","",MAX(0,$P49-N($Q49)))</f>
        <v/>
      </c>
      <c r="S49" s="23" t="str">
        <f aca="false">IF(OR($C49="",$P49=0),"",IF(N($Q49)&lt;=0,"Chưa thanh toán",IF(N($Q49)&lt;$P49,"Thanh toán một phần","Đã thanh toán")))</f>
        <v/>
      </c>
      <c r="T49" s="13" t="str">
        <f aca="false">IF(OR($C49="",$J49=""),"",N($I49)*$J49)</f>
        <v/>
      </c>
      <c r="U49" s="13" t="str">
        <f aca="false">IF(OR($C49="",$T49=""),"",$L49-$T49)</f>
        <v/>
      </c>
      <c r="V49" s="14" t="str">
        <f aca="false">IF(OR($U49="",$L49=0),"",$U49/$L49)</f>
        <v/>
      </c>
      <c r="W49" s="11"/>
      <c r="X49" s="23" t="str">
        <f aca="false">IF($C49="","",IF(AND($H49="",N($I49)=0,N($K49)=0),"Dòng chỉ lưu thông tin khách (chưa có đơn); ",IF($B49="","Thiếu ngày đặt; ","")&amp;IF($H49="","Thiếu tên sản phẩm; ",IF($J49="","Chưa khai GIÁ GỐC ở BẢNG GIÁ GỐC; ",""))&amp;IF(N($I49)&lt;=0,"Thiếu số lượng; ","")&amp;IF(N($K49)&lt;=0,"Thiếu giá bán; ","")&amp;IF(AND($N49&gt;0,$F49=""),"Khách lấy VAT thiếu mã số thuế; ","")&amp;IF(N($Q49)&gt;$P49,"Đã thu vượt tổng phải thu; ","")&amp;IF(AND($L49&gt;0,$U49&lt;&gt;"",$U49&lt;0),"CẢNH BÁO: ĐƠN NÀY ĐANG LỖ; ","")))</f>
        <v/>
      </c>
    </row>
    <row r="50" customFormat="false" ht="15" hidden="false" customHeight="false" outlineLevel="0" collapsed="false">
      <c r="A50" s="21" t="str">
        <f aca="false">IF($C50="","",COUNTA($C$10:$C50))</f>
        <v/>
      </c>
      <c r="B50" s="18"/>
      <c r="C50" s="11"/>
      <c r="D50" s="11"/>
      <c r="E50" s="11"/>
      <c r="F50" s="11"/>
      <c r="G50" s="11"/>
      <c r="H50" s="11"/>
      <c r="I50" s="12"/>
      <c r="J50" s="13" t="str">
        <f aca="false">IF($H50="","",IFERROR(VLOOKUP($H50,'BẢNG GIÁ GỐC'!$A$5:$D$254,3,FALSE()),""))</f>
        <v/>
      </c>
      <c r="K50" s="12"/>
      <c r="L50" s="13" t="str">
        <f aca="false">IF($C50="","",N($I50)*N($K50))</f>
        <v/>
      </c>
      <c r="M50" s="11"/>
      <c r="N50" s="14" t="str">
        <f aca="false">IF($C50="","",IF($M50="VAT 5%",0.05,IF($M50="VAT 8%",0.08,IF($M50="VAT 10%",0.1,0))))</f>
        <v/>
      </c>
      <c r="O50" s="13" t="str">
        <f aca="false">IF($C50="","",$L50*$N50)</f>
        <v/>
      </c>
      <c r="P50" s="13" t="str">
        <f aca="false">IF($C50="","",$L50+$O50)</f>
        <v/>
      </c>
      <c r="Q50" s="12"/>
      <c r="R50" s="13" t="str">
        <f aca="false">IF($C50="","",MAX(0,$P50-N($Q50)))</f>
        <v/>
      </c>
      <c r="S50" s="23" t="str">
        <f aca="false">IF(OR($C50="",$P50=0),"",IF(N($Q50)&lt;=0,"Chưa thanh toán",IF(N($Q50)&lt;$P50,"Thanh toán một phần","Đã thanh toán")))</f>
        <v/>
      </c>
      <c r="T50" s="13" t="str">
        <f aca="false">IF(OR($C50="",$J50=""),"",N($I50)*$J50)</f>
        <v/>
      </c>
      <c r="U50" s="13" t="str">
        <f aca="false">IF(OR($C50="",$T50=""),"",$L50-$T50)</f>
        <v/>
      </c>
      <c r="V50" s="14" t="str">
        <f aca="false">IF(OR($U50="",$L50=0),"",$U50/$L50)</f>
        <v/>
      </c>
      <c r="W50" s="11"/>
      <c r="X50" s="23" t="str">
        <f aca="false">IF($C50="","",IF(AND($H50="",N($I50)=0,N($K50)=0),"Dòng chỉ lưu thông tin khách (chưa có đơn); ",IF($B50="","Thiếu ngày đặt; ","")&amp;IF($H50="","Thiếu tên sản phẩm; ",IF($J50="","Chưa khai GIÁ GỐC ở BẢNG GIÁ GỐC; ",""))&amp;IF(N($I50)&lt;=0,"Thiếu số lượng; ","")&amp;IF(N($K50)&lt;=0,"Thiếu giá bán; ","")&amp;IF(AND($N50&gt;0,$F50=""),"Khách lấy VAT thiếu mã số thuế; ","")&amp;IF(N($Q50)&gt;$P50,"Đã thu vượt tổng phải thu; ","")&amp;IF(AND($L50&gt;0,$U50&lt;&gt;"",$U50&lt;0),"CẢNH BÁO: ĐƠN NÀY ĐANG LỖ; ","")))</f>
        <v/>
      </c>
    </row>
    <row r="51" customFormat="false" ht="15" hidden="false" customHeight="false" outlineLevel="0" collapsed="false">
      <c r="A51" s="21" t="str">
        <f aca="false">IF($C51="","",COUNTA($C$10:$C51))</f>
        <v/>
      </c>
      <c r="B51" s="18"/>
      <c r="C51" s="11"/>
      <c r="D51" s="11"/>
      <c r="E51" s="11"/>
      <c r="F51" s="11"/>
      <c r="G51" s="11"/>
      <c r="H51" s="11"/>
      <c r="I51" s="12"/>
      <c r="J51" s="13" t="str">
        <f aca="false">IF($H51="","",IFERROR(VLOOKUP($H51,'BẢNG GIÁ GỐC'!$A$5:$D$254,3,FALSE()),""))</f>
        <v/>
      </c>
      <c r="K51" s="12"/>
      <c r="L51" s="13" t="str">
        <f aca="false">IF($C51="","",N($I51)*N($K51))</f>
        <v/>
      </c>
      <c r="M51" s="11"/>
      <c r="N51" s="14" t="str">
        <f aca="false">IF($C51="","",IF($M51="VAT 5%",0.05,IF($M51="VAT 8%",0.08,IF($M51="VAT 10%",0.1,0))))</f>
        <v/>
      </c>
      <c r="O51" s="13" t="str">
        <f aca="false">IF($C51="","",$L51*$N51)</f>
        <v/>
      </c>
      <c r="P51" s="13" t="str">
        <f aca="false">IF($C51="","",$L51+$O51)</f>
        <v/>
      </c>
      <c r="Q51" s="12"/>
      <c r="R51" s="13" t="str">
        <f aca="false">IF($C51="","",MAX(0,$P51-N($Q51)))</f>
        <v/>
      </c>
      <c r="S51" s="23" t="str">
        <f aca="false">IF(OR($C51="",$P51=0),"",IF(N($Q51)&lt;=0,"Chưa thanh toán",IF(N($Q51)&lt;$P51,"Thanh toán một phần","Đã thanh toán")))</f>
        <v/>
      </c>
      <c r="T51" s="13" t="str">
        <f aca="false">IF(OR($C51="",$J51=""),"",N($I51)*$J51)</f>
        <v/>
      </c>
      <c r="U51" s="13" t="str">
        <f aca="false">IF(OR($C51="",$T51=""),"",$L51-$T51)</f>
        <v/>
      </c>
      <c r="V51" s="14" t="str">
        <f aca="false">IF(OR($U51="",$L51=0),"",$U51/$L51)</f>
        <v/>
      </c>
      <c r="W51" s="11"/>
      <c r="X51" s="23" t="str">
        <f aca="false">IF($C51="","",IF(AND($H51="",N($I51)=0,N($K51)=0),"Dòng chỉ lưu thông tin khách (chưa có đơn); ",IF($B51="","Thiếu ngày đặt; ","")&amp;IF($H51="","Thiếu tên sản phẩm; ",IF($J51="","Chưa khai GIÁ GỐC ở BẢNG GIÁ GỐC; ",""))&amp;IF(N($I51)&lt;=0,"Thiếu số lượng; ","")&amp;IF(N($K51)&lt;=0,"Thiếu giá bán; ","")&amp;IF(AND($N51&gt;0,$F51=""),"Khách lấy VAT thiếu mã số thuế; ","")&amp;IF(N($Q51)&gt;$P51,"Đã thu vượt tổng phải thu; ","")&amp;IF(AND($L51&gt;0,$U51&lt;&gt;"",$U51&lt;0),"CẢNH BÁO: ĐƠN NÀY ĐANG LỖ; ","")))</f>
        <v/>
      </c>
    </row>
    <row r="52" customFormat="false" ht="15" hidden="false" customHeight="false" outlineLevel="0" collapsed="false">
      <c r="A52" s="21" t="str">
        <f aca="false">IF($C52="","",COUNTA($C$10:$C52))</f>
        <v/>
      </c>
      <c r="B52" s="18"/>
      <c r="C52" s="11"/>
      <c r="D52" s="11"/>
      <c r="E52" s="11"/>
      <c r="F52" s="11"/>
      <c r="G52" s="11"/>
      <c r="H52" s="11"/>
      <c r="I52" s="12"/>
      <c r="J52" s="13" t="str">
        <f aca="false">IF($H52="","",IFERROR(VLOOKUP($H52,'BẢNG GIÁ GỐC'!$A$5:$D$254,3,FALSE()),""))</f>
        <v/>
      </c>
      <c r="K52" s="12"/>
      <c r="L52" s="13" t="str">
        <f aca="false">IF($C52="","",N($I52)*N($K52))</f>
        <v/>
      </c>
      <c r="M52" s="11"/>
      <c r="N52" s="14" t="str">
        <f aca="false">IF($C52="","",IF($M52="VAT 5%",0.05,IF($M52="VAT 8%",0.08,IF($M52="VAT 10%",0.1,0))))</f>
        <v/>
      </c>
      <c r="O52" s="13" t="str">
        <f aca="false">IF($C52="","",$L52*$N52)</f>
        <v/>
      </c>
      <c r="P52" s="13" t="str">
        <f aca="false">IF($C52="","",$L52+$O52)</f>
        <v/>
      </c>
      <c r="Q52" s="12"/>
      <c r="R52" s="13" t="str">
        <f aca="false">IF($C52="","",MAX(0,$P52-N($Q52)))</f>
        <v/>
      </c>
      <c r="S52" s="23" t="str">
        <f aca="false">IF(OR($C52="",$P52=0),"",IF(N($Q52)&lt;=0,"Chưa thanh toán",IF(N($Q52)&lt;$P52,"Thanh toán một phần","Đã thanh toán")))</f>
        <v/>
      </c>
      <c r="T52" s="13" t="str">
        <f aca="false">IF(OR($C52="",$J52=""),"",N($I52)*$J52)</f>
        <v/>
      </c>
      <c r="U52" s="13" t="str">
        <f aca="false">IF(OR($C52="",$T52=""),"",$L52-$T52)</f>
        <v/>
      </c>
      <c r="V52" s="14" t="str">
        <f aca="false">IF(OR($U52="",$L52=0),"",$U52/$L52)</f>
        <v/>
      </c>
      <c r="W52" s="11"/>
      <c r="X52" s="23" t="str">
        <f aca="false">IF($C52="","",IF(AND($H52="",N($I52)=0,N($K52)=0),"Dòng chỉ lưu thông tin khách (chưa có đơn); ",IF($B52="","Thiếu ngày đặt; ","")&amp;IF($H52="","Thiếu tên sản phẩm; ",IF($J52="","Chưa khai GIÁ GỐC ở BẢNG GIÁ GỐC; ",""))&amp;IF(N($I52)&lt;=0,"Thiếu số lượng; ","")&amp;IF(N($K52)&lt;=0,"Thiếu giá bán; ","")&amp;IF(AND($N52&gt;0,$F52=""),"Khách lấy VAT thiếu mã số thuế; ","")&amp;IF(N($Q52)&gt;$P52,"Đã thu vượt tổng phải thu; ","")&amp;IF(AND($L52&gt;0,$U52&lt;&gt;"",$U52&lt;0),"CẢNH BÁO: ĐƠN NÀY ĐANG LỖ; ","")))</f>
        <v/>
      </c>
    </row>
    <row r="53" customFormat="false" ht="15" hidden="false" customHeight="false" outlineLevel="0" collapsed="false">
      <c r="A53" s="21" t="str">
        <f aca="false">IF($C53="","",COUNTA($C$10:$C53))</f>
        <v/>
      </c>
      <c r="B53" s="18"/>
      <c r="C53" s="11"/>
      <c r="D53" s="11"/>
      <c r="E53" s="11"/>
      <c r="F53" s="11"/>
      <c r="G53" s="11"/>
      <c r="H53" s="11"/>
      <c r="I53" s="12"/>
      <c r="J53" s="13" t="str">
        <f aca="false">IF($H53="","",IFERROR(VLOOKUP($H53,'BẢNG GIÁ GỐC'!$A$5:$D$254,3,FALSE()),""))</f>
        <v/>
      </c>
      <c r="K53" s="12"/>
      <c r="L53" s="13" t="str">
        <f aca="false">IF($C53="","",N($I53)*N($K53))</f>
        <v/>
      </c>
      <c r="M53" s="11"/>
      <c r="N53" s="14" t="str">
        <f aca="false">IF($C53="","",IF($M53="VAT 5%",0.05,IF($M53="VAT 8%",0.08,IF($M53="VAT 10%",0.1,0))))</f>
        <v/>
      </c>
      <c r="O53" s="13" t="str">
        <f aca="false">IF($C53="","",$L53*$N53)</f>
        <v/>
      </c>
      <c r="P53" s="13" t="str">
        <f aca="false">IF($C53="","",$L53+$O53)</f>
        <v/>
      </c>
      <c r="Q53" s="12"/>
      <c r="R53" s="13" t="str">
        <f aca="false">IF($C53="","",MAX(0,$P53-N($Q53)))</f>
        <v/>
      </c>
      <c r="S53" s="23" t="str">
        <f aca="false">IF(OR($C53="",$P53=0),"",IF(N($Q53)&lt;=0,"Chưa thanh toán",IF(N($Q53)&lt;$P53,"Thanh toán một phần","Đã thanh toán")))</f>
        <v/>
      </c>
      <c r="T53" s="13" t="str">
        <f aca="false">IF(OR($C53="",$J53=""),"",N($I53)*$J53)</f>
        <v/>
      </c>
      <c r="U53" s="13" t="str">
        <f aca="false">IF(OR($C53="",$T53=""),"",$L53-$T53)</f>
        <v/>
      </c>
      <c r="V53" s="14" t="str">
        <f aca="false">IF(OR($U53="",$L53=0),"",$U53/$L53)</f>
        <v/>
      </c>
      <c r="W53" s="11"/>
      <c r="X53" s="23" t="str">
        <f aca="false">IF($C53="","",IF(AND($H53="",N($I53)=0,N($K53)=0),"Dòng chỉ lưu thông tin khách (chưa có đơn); ",IF($B53="","Thiếu ngày đặt; ","")&amp;IF($H53="","Thiếu tên sản phẩm; ",IF($J53="","Chưa khai GIÁ GỐC ở BẢNG GIÁ GỐC; ",""))&amp;IF(N($I53)&lt;=0,"Thiếu số lượng; ","")&amp;IF(N($K53)&lt;=0,"Thiếu giá bán; ","")&amp;IF(AND($N53&gt;0,$F53=""),"Khách lấy VAT thiếu mã số thuế; ","")&amp;IF(N($Q53)&gt;$P53,"Đã thu vượt tổng phải thu; ","")&amp;IF(AND($L53&gt;0,$U53&lt;&gt;"",$U53&lt;0),"CẢNH BÁO: ĐƠN NÀY ĐANG LỖ; ","")))</f>
        <v/>
      </c>
    </row>
    <row r="54" customFormat="false" ht="15" hidden="false" customHeight="false" outlineLevel="0" collapsed="false">
      <c r="A54" s="21" t="str">
        <f aca="false">IF($C54="","",COUNTA($C$10:$C54))</f>
        <v/>
      </c>
      <c r="B54" s="18"/>
      <c r="C54" s="11"/>
      <c r="D54" s="11"/>
      <c r="E54" s="11"/>
      <c r="F54" s="11"/>
      <c r="G54" s="11"/>
      <c r="H54" s="11"/>
      <c r="I54" s="12"/>
      <c r="J54" s="13" t="str">
        <f aca="false">IF($H54="","",IFERROR(VLOOKUP($H54,'BẢNG GIÁ GỐC'!$A$5:$D$254,3,FALSE()),""))</f>
        <v/>
      </c>
      <c r="K54" s="12"/>
      <c r="L54" s="13" t="str">
        <f aca="false">IF($C54="","",N($I54)*N($K54))</f>
        <v/>
      </c>
      <c r="M54" s="11"/>
      <c r="N54" s="14" t="str">
        <f aca="false">IF($C54="","",IF($M54="VAT 5%",0.05,IF($M54="VAT 8%",0.08,IF($M54="VAT 10%",0.1,0))))</f>
        <v/>
      </c>
      <c r="O54" s="13" t="str">
        <f aca="false">IF($C54="","",$L54*$N54)</f>
        <v/>
      </c>
      <c r="P54" s="13" t="str">
        <f aca="false">IF($C54="","",$L54+$O54)</f>
        <v/>
      </c>
      <c r="Q54" s="12"/>
      <c r="R54" s="13" t="str">
        <f aca="false">IF($C54="","",MAX(0,$P54-N($Q54)))</f>
        <v/>
      </c>
      <c r="S54" s="23" t="str">
        <f aca="false">IF(OR($C54="",$P54=0),"",IF(N($Q54)&lt;=0,"Chưa thanh toán",IF(N($Q54)&lt;$P54,"Thanh toán một phần","Đã thanh toán")))</f>
        <v/>
      </c>
      <c r="T54" s="13" t="str">
        <f aca="false">IF(OR($C54="",$J54=""),"",N($I54)*$J54)</f>
        <v/>
      </c>
      <c r="U54" s="13" t="str">
        <f aca="false">IF(OR($C54="",$T54=""),"",$L54-$T54)</f>
        <v/>
      </c>
      <c r="V54" s="14" t="str">
        <f aca="false">IF(OR($U54="",$L54=0),"",$U54/$L54)</f>
        <v/>
      </c>
      <c r="W54" s="11"/>
      <c r="X54" s="23" t="str">
        <f aca="false">IF($C54="","",IF(AND($H54="",N($I54)=0,N($K54)=0),"Dòng chỉ lưu thông tin khách (chưa có đơn); ",IF($B54="","Thiếu ngày đặt; ","")&amp;IF($H54="","Thiếu tên sản phẩm; ",IF($J54="","Chưa khai GIÁ GỐC ở BẢNG GIÁ GỐC; ",""))&amp;IF(N($I54)&lt;=0,"Thiếu số lượng; ","")&amp;IF(N($K54)&lt;=0,"Thiếu giá bán; ","")&amp;IF(AND($N54&gt;0,$F54=""),"Khách lấy VAT thiếu mã số thuế; ","")&amp;IF(N($Q54)&gt;$P54,"Đã thu vượt tổng phải thu; ","")&amp;IF(AND($L54&gt;0,$U54&lt;&gt;"",$U54&lt;0),"CẢNH BÁO: ĐƠN NÀY ĐANG LỖ; ","")))</f>
        <v/>
      </c>
    </row>
    <row r="55" customFormat="false" ht="15" hidden="false" customHeight="false" outlineLevel="0" collapsed="false">
      <c r="A55" s="21" t="str">
        <f aca="false">IF($C55="","",COUNTA($C$10:$C55))</f>
        <v/>
      </c>
      <c r="B55" s="18"/>
      <c r="C55" s="11"/>
      <c r="D55" s="11"/>
      <c r="E55" s="11"/>
      <c r="F55" s="11"/>
      <c r="G55" s="11"/>
      <c r="H55" s="11"/>
      <c r="I55" s="12"/>
      <c r="J55" s="13" t="str">
        <f aca="false">IF($H55="","",IFERROR(VLOOKUP($H55,'BẢNG GIÁ GỐC'!$A$5:$D$254,3,FALSE()),""))</f>
        <v/>
      </c>
      <c r="K55" s="12"/>
      <c r="L55" s="13" t="str">
        <f aca="false">IF($C55="","",N($I55)*N($K55))</f>
        <v/>
      </c>
      <c r="M55" s="11"/>
      <c r="N55" s="14" t="str">
        <f aca="false">IF($C55="","",IF($M55="VAT 5%",0.05,IF($M55="VAT 8%",0.08,IF($M55="VAT 10%",0.1,0))))</f>
        <v/>
      </c>
      <c r="O55" s="13" t="str">
        <f aca="false">IF($C55="","",$L55*$N55)</f>
        <v/>
      </c>
      <c r="P55" s="13" t="str">
        <f aca="false">IF($C55="","",$L55+$O55)</f>
        <v/>
      </c>
      <c r="Q55" s="12"/>
      <c r="R55" s="13" t="str">
        <f aca="false">IF($C55="","",MAX(0,$P55-N($Q55)))</f>
        <v/>
      </c>
      <c r="S55" s="23" t="str">
        <f aca="false">IF(OR($C55="",$P55=0),"",IF(N($Q55)&lt;=0,"Chưa thanh toán",IF(N($Q55)&lt;$P55,"Thanh toán một phần","Đã thanh toán")))</f>
        <v/>
      </c>
      <c r="T55" s="13" t="str">
        <f aca="false">IF(OR($C55="",$J55=""),"",N($I55)*$J55)</f>
        <v/>
      </c>
      <c r="U55" s="13" t="str">
        <f aca="false">IF(OR($C55="",$T55=""),"",$L55-$T55)</f>
        <v/>
      </c>
      <c r="V55" s="14" t="str">
        <f aca="false">IF(OR($U55="",$L55=0),"",$U55/$L55)</f>
        <v/>
      </c>
      <c r="W55" s="11"/>
      <c r="X55" s="23" t="str">
        <f aca="false">IF($C55="","",IF(AND($H55="",N($I55)=0,N($K55)=0),"Dòng chỉ lưu thông tin khách (chưa có đơn); ",IF($B55="","Thiếu ngày đặt; ","")&amp;IF($H55="","Thiếu tên sản phẩm; ",IF($J55="","Chưa khai GIÁ GỐC ở BẢNG GIÁ GỐC; ",""))&amp;IF(N($I55)&lt;=0,"Thiếu số lượng; ","")&amp;IF(N($K55)&lt;=0,"Thiếu giá bán; ","")&amp;IF(AND($N55&gt;0,$F55=""),"Khách lấy VAT thiếu mã số thuế; ","")&amp;IF(N($Q55)&gt;$P55,"Đã thu vượt tổng phải thu; ","")&amp;IF(AND($L55&gt;0,$U55&lt;&gt;"",$U55&lt;0),"CẢNH BÁO: ĐƠN NÀY ĐANG LỖ; ","")))</f>
        <v/>
      </c>
    </row>
    <row r="56" customFormat="false" ht="15" hidden="false" customHeight="false" outlineLevel="0" collapsed="false">
      <c r="A56" s="21" t="str">
        <f aca="false">IF($C56="","",COUNTA($C$10:$C56))</f>
        <v/>
      </c>
      <c r="B56" s="18"/>
      <c r="C56" s="11"/>
      <c r="D56" s="11"/>
      <c r="E56" s="11"/>
      <c r="F56" s="11"/>
      <c r="G56" s="11"/>
      <c r="H56" s="11"/>
      <c r="I56" s="12"/>
      <c r="J56" s="13" t="str">
        <f aca="false">IF($H56="","",IFERROR(VLOOKUP($H56,'BẢNG GIÁ GỐC'!$A$5:$D$254,3,FALSE()),""))</f>
        <v/>
      </c>
      <c r="K56" s="12"/>
      <c r="L56" s="13" t="str">
        <f aca="false">IF($C56="","",N($I56)*N($K56))</f>
        <v/>
      </c>
      <c r="M56" s="11"/>
      <c r="N56" s="14" t="str">
        <f aca="false">IF($C56="","",IF($M56="VAT 5%",0.05,IF($M56="VAT 8%",0.08,IF($M56="VAT 10%",0.1,0))))</f>
        <v/>
      </c>
      <c r="O56" s="13" t="str">
        <f aca="false">IF($C56="","",$L56*$N56)</f>
        <v/>
      </c>
      <c r="P56" s="13" t="str">
        <f aca="false">IF($C56="","",$L56+$O56)</f>
        <v/>
      </c>
      <c r="Q56" s="12"/>
      <c r="R56" s="13" t="str">
        <f aca="false">IF($C56="","",MAX(0,$P56-N($Q56)))</f>
        <v/>
      </c>
      <c r="S56" s="23" t="str">
        <f aca="false">IF(OR($C56="",$P56=0),"",IF(N($Q56)&lt;=0,"Chưa thanh toán",IF(N($Q56)&lt;$P56,"Thanh toán một phần","Đã thanh toán")))</f>
        <v/>
      </c>
      <c r="T56" s="13" t="str">
        <f aca="false">IF(OR($C56="",$J56=""),"",N($I56)*$J56)</f>
        <v/>
      </c>
      <c r="U56" s="13" t="str">
        <f aca="false">IF(OR($C56="",$T56=""),"",$L56-$T56)</f>
        <v/>
      </c>
      <c r="V56" s="14" t="str">
        <f aca="false">IF(OR($U56="",$L56=0),"",$U56/$L56)</f>
        <v/>
      </c>
      <c r="W56" s="11"/>
      <c r="X56" s="23" t="str">
        <f aca="false">IF($C56="","",IF(AND($H56="",N($I56)=0,N($K56)=0),"Dòng chỉ lưu thông tin khách (chưa có đơn); ",IF($B56="","Thiếu ngày đặt; ","")&amp;IF($H56="","Thiếu tên sản phẩm; ",IF($J56="","Chưa khai GIÁ GỐC ở BẢNG GIÁ GỐC; ",""))&amp;IF(N($I56)&lt;=0,"Thiếu số lượng; ","")&amp;IF(N($K56)&lt;=0,"Thiếu giá bán; ","")&amp;IF(AND($N56&gt;0,$F56=""),"Khách lấy VAT thiếu mã số thuế; ","")&amp;IF(N($Q56)&gt;$P56,"Đã thu vượt tổng phải thu; ","")&amp;IF(AND($L56&gt;0,$U56&lt;&gt;"",$U56&lt;0),"CẢNH BÁO: ĐƠN NÀY ĐANG LỖ; ","")))</f>
        <v/>
      </c>
    </row>
    <row r="57" customFormat="false" ht="15" hidden="false" customHeight="false" outlineLevel="0" collapsed="false">
      <c r="A57" s="21" t="str">
        <f aca="false">IF($C57="","",COUNTA($C$10:$C57))</f>
        <v/>
      </c>
      <c r="B57" s="18"/>
      <c r="C57" s="11"/>
      <c r="D57" s="11"/>
      <c r="E57" s="11"/>
      <c r="F57" s="11"/>
      <c r="G57" s="11"/>
      <c r="H57" s="11"/>
      <c r="I57" s="12"/>
      <c r="J57" s="13" t="str">
        <f aca="false">IF($H57="","",IFERROR(VLOOKUP($H57,'BẢNG GIÁ GỐC'!$A$5:$D$254,3,FALSE()),""))</f>
        <v/>
      </c>
      <c r="K57" s="12"/>
      <c r="L57" s="13" t="str">
        <f aca="false">IF($C57="","",N($I57)*N($K57))</f>
        <v/>
      </c>
      <c r="M57" s="11"/>
      <c r="N57" s="14" t="str">
        <f aca="false">IF($C57="","",IF($M57="VAT 5%",0.05,IF($M57="VAT 8%",0.08,IF($M57="VAT 10%",0.1,0))))</f>
        <v/>
      </c>
      <c r="O57" s="13" t="str">
        <f aca="false">IF($C57="","",$L57*$N57)</f>
        <v/>
      </c>
      <c r="P57" s="13" t="str">
        <f aca="false">IF($C57="","",$L57+$O57)</f>
        <v/>
      </c>
      <c r="Q57" s="12"/>
      <c r="R57" s="13" t="str">
        <f aca="false">IF($C57="","",MAX(0,$P57-N($Q57)))</f>
        <v/>
      </c>
      <c r="S57" s="23" t="str">
        <f aca="false">IF(OR($C57="",$P57=0),"",IF(N($Q57)&lt;=0,"Chưa thanh toán",IF(N($Q57)&lt;$P57,"Thanh toán một phần","Đã thanh toán")))</f>
        <v/>
      </c>
      <c r="T57" s="13" t="str">
        <f aca="false">IF(OR($C57="",$J57=""),"",N($I57)*$J57)</f>
        <v/>
      </c>
      <c r="U57" s="13" t="str">
        <f aca="false">IF(OR($C57="",$T57=""),"",$L57-$T57)</f>
        <v/>
      </c>
      <c r="V57" s="14" t="str">
        <f aca="false">IF(OR($U57="",$L57=0),"",$U57/$L57)</f>
        <v/>
      </c>
      <c r="W57" s="11"/>
      <c r="X57" s="23" t="str">
        <f aca="false">IF($C57="","",IF(AND($H57="",N($I57)=0,N($K57)=0),"Dòng chỉ lưu thông tin khách (chưa có đơn); ",IF($B57="","Thiếu ngày đặt; ","")&amp;IF($H57="","Thiếu tên sản phẩm; ",IF($J57="","Chưa khai GIÁ GỐC ở BẢNG GIÁ GỐC; ",""))&amp;IF(N($I57)&lt;=0,"Thiếu số lượng; ","")&amp;IF(N($K57)&lt;=0,"Thiếu giá bán; ","")&amp;IF(AND($N57&gt;0,$F57=""),"Khách lấy VAT thiếu mã số thuế; ","")&amp;IF(N($Q57)&gt;$P57,"Đã thu vượt tổng phải thu; ","")&amp;IF(AND($L57&gt;0,$U57&lt;&gt;"",$U57&lt;0),"CẢNH BÁO: ĐƠN NÀY ĐANG LỖ; ","")))</f>
        <v/>
      </c>
    </row>
    <row r="58" customFormat="false" ht="15" hidden="false" customHeight="false" outlineLevel="0" collapsed="false">
      <c r="A58" s="21" t="str">
        <f aca="false">IF($C58="","",COUNTA($C$10:$C58))</f>
        <v/>
      </c>
      <c r="B58" s="18"/>
      <c r="C58" s="11"/>
      <c r="D58" s="11"/>
      <c r="E58" s="11"/>
      <c r="F58" s="11"/>
      <c r="G58" s="11"/>
      <c r="H58" s="11"/>
      <c r="I58" s="12"/>
      <c r="J58" s="13" t="str">
        <f aca="false">IF($H58="","",IFERROR(VLOOKUP($H58,'BẢNG GIÁ GỐC'!$A$5:$D$254,3,FALSE()),""))</f>
        <v/>
      </c>
      <c r="K58" s="12"/>
      <c r="L58" s="13" t="str">
        <f aca="false">IF($C58="","",N($I58)*N($K58))</f>
        <v/>
      </c>
      <c r="M58" s="11"/>
      <c r="N58" s="14" t="str">
        <f aca="false">IF($C58="","",IF($M58="VAT 5%",0.05,IF($M58="VAT 8%",0.08,IF($M58="VAT 10%",0.1,0))))</f>
        <v/>
      </c>
      <c r="O58" s="13" t="str">
        <f aca="false">IF($C58="","",$L58*$N58)</f>
        <v/>
      </c>
      <c r="P58" s="13" t="str">
        <f aca="false">IF($C58="","",$L58+$O58)</f>
        <v/>
      </c>
      <c r="Q58" s="12"/>
      <c r="R58" s="13" t="str">
        <f aca="false">IF($C58="","",MAX(0,$P58-N($Q58)))</f>
        <v/>
      </c>
      <c r="S58" s="23" t="str">
        <f aca="false">IF(OR($C58="",$P58=0),"",IF(N($Q58)&lt;=0,"Chưa thanh toán",IF(N($Q58)&lt;$P58,"Thanh toán một phần","Đã thanh toán")))</f>
        <v/>
      </c>
      <c r="T58" s="13" t="str">
        <f aca="false">IF(OR($C58="",$J58=""),"",N($I58)*$J58)</f>
        <v/>
      </c>
      <c r="U58" s="13" t="str">
        <f aca="false">IF(OR($C58="",$T58=""),"",$L58-$T58)</f>
        <v/>
      </c>
      <c r="V58" s="14" t="str">
        <f aca="false">IF(OR($U58="",$L58=0),"",$U58/$L58)</f>
        <v/>
      </c>
      <c r="W58" s="11"/>
      <c r="X58" s="23" t="str">
        <f aca="false">IF($C58="","",IF(AND($H58="",N($I58)=0,N($K58)=0),"Dòng chỉ lưu thông tin khách (chưa có đơn); ",IF($B58="","Thiếu ngày đặt; ","")&amp;IF($H58="","Thiếu tên sản phẩm; ",IF($J58="","Chưa khai GIÁ GỐC ở BẢNG GIÁ GỐC; ",""))&amp;IF(N($I58)&lt;=0,"Thiếu số lượng; ","")&amp;IF(N($K58)&lt;=0,"Thiếu giá bán; ","")&amp;IF(AND($N58&gt;0,$F58=""),"Khách lấy VAT thiếu mã số thuế; ","")&amp;IF(N($Q58)&gt;$P58,"Đã thu vượt tổng phải thu; ","")&amp;IF(AND($L58&gt;0,$U58&lt;&gt;"",$U58&lt;0),"CẢNH BÁO: ĐƠN NÀY ĐANG LỖ; ","")))</f>
        <v/>
      </c>
    </row>
    <row r="59" customFormat="false" ht="15" hidden="false" customHeight="false" outlineLevel="0" collapsed="false">
      <c r="A59" s="21" t="str">
        <f aca="false">IF($C59="","",COUNTA($C$10:$C59))</f>
        <v/>
      </c>
      <c r="B59" s="18"/>
      <c r="C59" s="11"/>
      <c r="D59" s="11"/>
      <c r="E59" s="11"/>
      <c r="F59" s="11"/>
      <c r="G59" s="11"/>
      <c r="H59" s="11"/>
      <c r="I59" s="12"/>
      <c r="J59" s="13" t="str">
        <f aca="false">IF($H59="","",IFERROR(VLOOKUP($H59,'BẢNG GIÁ GỐC'!$A$5:$D$254,3,FALSE()),""))</f>
        <v/>
      </c>
      <c r="K59" s="12"/>
      <c r="L59" s="13" t="str">
        <f aca="false">IF($C59="","",N($I59)*N($K59))</f>
        <v/>
      </c>
      <c r="M59" s="11"/>
      <c r="N59" s="14" t="str">
        <f aca="false">IF($C59="","",IF($M59="VAT 5%",0.05,IF($M59="VAT 8%",0.08,IF($M59="VAT 10%",0.1,0))))</f>
        <v/>
      </c>
      <c r="O59" s="13" t="str">
        <f aca="false">IF($C59="","",$L59*$N59)</f>
        <v/>
      </c>
      <c r="P59" s="13" t="str">
        <f aca="false">IF($C59="","",$L59+$O59)</f>
        <v/>
      </c>
      <c r="Q59" s="12"/>
      <c r="R59" s="13" t="str">
        <f aca="false">IF($C59="","",MAX(0,$P59-N($Q59)))</f>
        <v/>
      </c>
      <c r="S59" s="23" t="str">
        <f aca="false">IF(OR($C59="",$P59=0),"",IF(N($Q59)&lt;=0,"Chưa thanh toán",IF(N($Q59)&lt;$P59,"Thanh toán một phần","Đã thanh toán")))</f>
        <v/>
      </c>
      <c r="T59" s="13" t="str">
        <f aca="false">IF(OR($C59="",$J59=""),"",N($I59)*$J59)</f>
        <v/>
      </c>
      <c r="U59" s="13" t="str">
        <f aca="false">IF(OR($C59="",$T59=""),"",$L59-$T59)</f>
        <v/>
      </c>
      <c r="V59" s="14" t="str">
        <f aca="false">IF(OR($U59="",$L59=0),"",$U59/$L59)</f>
        <v/>
      </c>
      <c r="W59" s="11"/>
      <c r="X59" s="23" t="str">
        <f aca="false">IF($C59="","",IF(AND($H59="",N($I59)=0,N($K59)=0),"Dòng chỉ lưu thông tin khách (chưa có đơn); ",IF($B59="","Thiếu ngày đặt; ","")&amp;IF($H59="","Thiếu tên sản phẩm; ",IF($J59="","Chưa khai GIÁ GỐC ở BẢNG GIÁ GỐC; ",""))&amp;IF(N($I59)&lt;=0,"Thiếu số lượng; ","")&amp;IF(N($K59)&lt;=0,"Thiếu giá bán; ","")&amp;IF(AND($N59&gt;0,$F59=""),"Khách lấy VAT thiếu mã số thuế; ","")&amp;IF(N($Q59)&gt;$P59,"Đã thu vượt tổng phải thu; ","")&amp;IF(AND($L59&gt;0,$U59&lt;&gt;"",$U59&lt;0),"CẢNH BÁO: ĐƠN NÀY ĐANG LỖ; ","")))</f>
        <v/>
      </c>
    </row>
    <row r="60" customFormat="false" ht="15" hidden="false" customHeight="false" outlineLevel="0" collapsed="false">
      <c r="A60" s="21" t="str">
        <f aca="false">IF($C60="","",COUNTA($C$10:$C60))</f>
        <v/>
      </c>
      <c r="B60" s="18"/>
      <c r="C60" s="11"/>
      <c r="D60" s="11"/>
      <c r="E60" s="11"/>
      <c r="F60" s="11"/>
      <c r="G60" s="11"/>
      <c r="H60" s="11"/>
      <c r="I60" s="12"/>
      <c r="J60" s="13" t="str">
        <f aca="false">IF($H60="","",IFERROR(VLOOKUP($H60,'BẢNG GIÁ GỐC'!$A$5:$D$254,3,FALSE()),""))</f>
        <v/>
      </c>
      <c r="K60" s="12"/>
      <c r="L60" s="13" t="str">
        <f aca="false">IF($C60="","",N($I60)*N($K60))</f>
        <v/>
      </c>
      <c r="M60" s="11"/>
      <c r="N60" s="14" t="str">
        <f aca="false">IF($C60="","",IF($M60="VAT 5%",0.05,IF($M60="VAT 8%",0.08,IF($M60="VAT 10%",0.1,0))))</f>
        <v/>
      </c>
      <c r="O60" s="13" t="str">
        <f aca="false">IF($C60="","",$L60*$N60)</f>
        <v/>
      </c>
      <c r="P60" s="13" t="str">
        <f aca="false">IF($C60="","",$L60+$O60)</f>
        <v/>
      </c>
      <c r="Q60" s="12"/>
      <c r="R60" s="13" t="str">
        <f aca="false">IF($C60="","",MAX(0,$P60-N($Q60)))</f>
        <v/>
      </c>
      <c r="S60" s="23" t="str">
        <f aca="false">IF(OR($C60="",$P60=0),"",IF(N($Q60)&lt;=0,"Chưa thanh toán",IF(N($Q60)&lt;$P60,"Thanh toán một phần","Đã thanh toán")))</f>
        <v/>
      </c>
      <c r="T60" s="13" t="str">
        <f aca="false">IF(OR($C60="",$J60=""),"",N($I60)*$J60)</f>
        <v/>
      </c>
      <c r="U60" s="13" t="str">
        <f aca="false">IF(OR($C60="",$T60=""),"",$L60-$T60)</f>
        <v/>
      </c>
      <c r="V60" s="14" t="str">
        <f aca="false">IF(OR($U60="",$L60=0),"",$U60/$L60)</f>
        <v/>
      </c>
      <c r="W60" s="11"/>
      <c r="X60" s="23" t="str">
        <f aca="false">IF($C60="","",IF(AND($H60="",N($I60)=0,N($K60)=0),"Dòng chỉ lưu thông tin khách (chưa có đơn); ",IF($B60="","Thiếu ngày đặt; ","")&amp;IF($H60="","Thiếu tên sản phẩm; ",IF($J60="","Chưa khai GIÁ GỐC ở BẢNG GIÁ GỐC; ",""))&amp;IF(N($I60)&lt;=0,"Thiếu số lượng; ","")&amp;IF(N($K60)&lt;=0,"Thiếu giá bán; ","")&amp;IF(AND($N60&gt;0,$F60=""),"Khách lấy VAT thiếu mã số thuế; ","")&amp;IF(N($Q60)&gt;$P60,"Đã thu vượt tổng phải thu; ","")&amp;IF(AND($L60&gt;0,$U60&lt;&gt;"",$U60&lt;0),"CẢNH BÁO: ĐƠN NÀY ĐANG LỖ; ","")))</f>
        <v/>
      </c>
    </row>
    <row r="61" customFormat="false" ht="15" hidden="false" customHeight="false" outlineLevel="0" collapsed="false">
      <c r="A61" s="21" t="str">
        <f aca="false">IF($C61="","",COUNTA($C$10:$C61))</f>
        <v/>
      </c>
      <c r="B61" s="18"/>
      <c r="C61" s="11"/>
      <c r="D61" s="11"/>
      <c r="E61" s="11"/>
      <c r="F61" s="11"/>
      <c r="G61" s="11"/>
      <c r="H61" s="11"/>
      <c r="I61" s="12"/>
      <c r="J61" s="13" t="str">
        <f aca="false">IF($H61="","",IFERROR(VLOOKUP($H61,'BẢNG GIÁ GỐC'!$A$5:$D$254,3,FALSE()),""))</f>
        <v/>
      </c>
      <c r="K61" s="12"/>
      <c r="L61" s="13" t="str">
        <f aca="false">IF($C61="","",N($I61)*N($K61))</f>
        <v/>
      </c>
      <c r="M61" s="11"/>
      <c r="N61" s="14" t="str">
        <f aca="false">IF($C61="","",IF($M61="VAT 5%",0.05,IF($M61="VAT 8%",0.08,IF($M61="VAT 10%",0.1,0))))</f>
        <v/>
      </c>
      <c r="O61" s="13" t="str">
        <f aca="false">IF($C61="","",$L61*$N61)</f>
        <v/>
      </c>
      <c r="P61" s="13" t="str">
        <f aca="false">IF($C61="","",$L61+$O61)</f>
        <v/>
      </c>
      <c r="Q61" s="12"/>
      <c r="R61" s="13" t="str">
        <f aca="false">IF($C61="","",MAX(0,$P61-N($Q61)))</f>
        <v/>
      </c>
      <c r="S61" s="23" t="str">
        <f aca="false">IF(OR($C61="",$P61=0),"",IF(N($Q61)&lt;=0,"Chưa thanh toán",IF(N($Q61)&lt;$P61,"Thanh toán một phần","Đã thanh toán")))</f>
        <v/>
      </c>
      <c r="T61" s="13" t="str">
        <f aca="false">IF(OR($C61="",$J61=""),"",N($I61)*$J61)</f>
        <v/>
      </c>
      <c r="U61" s="13" t="str">
        <f aca="false">IF(OR($C61="",$T61=""),"",$L61-$T61)</f>
        <v/>
      </c>
      <c r="V61" s="14" t="str">
        <f aca="false">IF(OR($U61="",$L61=0),"",$U61/$L61)</f>
        <v/>
      </c>
      <c r="W61" s="11"/>
      <c r="X61" s="23" t="str">
        <f aca="false">IF($C61="","",IF(AND($H61="",N($I61)=0,N($K61)=0),"Dòng chỉ lưu thông tin khách (chưa có đơn); ",IF($B61="","Thiếu ngày đặt; ","")&amp;IF($H61="","Thiếu tên sản phẩm; ",IF($J61="","Chưa khai GIÁ GỐC ở BẢNG GIÁ GỐC; ",""))&amp;IF(N($I61)&lt;=0,"Thiếu số lượng; ","")&amp;IF(N($K61)&lt;=0,"Thiếu giá bán; ","")&amp;IF(AND($N61&gt;0,$F61=""),"Khách lấy VAT thiếu mã số thuế; ","")&amp;IF(N($Q61)&gt;$P61,"Đã thu vượt tổng phải thu; ","")&amp;IF(AND($L61&gt;0,$U61&lt;&gt;"",$U61&lt;0),"CẢNH BÁO: ĐƠN NÀY ĐANG LỖ; ","")))</f>
        <v/>
      </c>
    </row>
    <row r="62" customFormat="false" ht="15" hidden="false" customHeight="false" outlineLevel="0" collapsed="false">
      <c r="A62" s="21" t="str">
        <f aca="false">IF($C62="","",COUNTA($C$10:$C62))</f>
        <v/>
      </c>
      <c r="B62" s="18"/>
      <c r="C62" s="11"/>
      <c r="D62" s="11"/>
      <c r="E62" s="11"/>
      <c r="F62" s="11"/>
      <c r="G62" s="11"/>
      <c r="H62" s="11"/>
      <c r="I62" s="12"/>
      <c r="J62" s="13" t="str">
        <f aca="false">IF($H62="","",IFERROR(VLOOKUP($H62,'BẢNG GIÁ GỐC'!$A$5:$D$254,3,FALSE()),""))</f>
        <v/>
      </c>
      <c r="K62" s="12"/>
      <c r="L62" s="13" t="str">
        <f aca="false">IF($C62="","",N($I62)*N($K62))</f>
        <v/>
      </c>
      <c r="M62" s="11"/>
      <c r="N62" s="14" t="str">
        <f aca="false">IF($C62="","",IF($M62="VAT 5%",0.05,IF($M62="VAT 8%",0.08,IF($M62="VAT 10%",0.1,0))))</f>
        <v/>
      </c>
      <c r="O62" s="13" t="str">
        <f aca="false">IF($C62="","",$L62*$N62)</f>
        <v/>
      </c>
      <c r="P62" s="13" t="str">
        <f aca="false">IF($C62="","",$L62+$O62)</f>
        <v/>
      </c>
      <c r="Q62" s="12"/>
      <c r="R62" s="13" t="str">
        <f aca="false">IF($C62="","",MAX(0,$P62-N($Q62)))</f>
        <v/>
      </c>
      <c r="S62" s="23" t="str">
        <f aca="false">IF(OR($C62="",$P62=0),"",IF(N($Q62)&lt;=0,"Chưa thanh toán",IF(N($Q62)&lt;$P62,"Thanh toán một phần","Đã thanh toán")))</f>
        <v/>
      </c>
      <c r="T62" s="13" t="str">
        <f aca="false">IF(OR($C62="",$J62=""),"",N($I62)*$J62)</f>
        <v/>
      </c>
      <c r="U62" s="13" t="str">
        <f aca="false">IF(OR($C62="",$T62=""),"",$L62-$T62)</f>
        <v/>
      </c>
      <c r="V62" s="14" t="str">
        <f aca="false">IF(OR($U62="",$L62=0),"",$U62/$L62)</f>
        <v/>
      </c>
      <c r="W62" s="11"/>
      <c r="X62" s="23" t="str">
        <f aca="false">IF($C62="","",IF(AND($H62="",N($I62)=0,N($K62)=0),"Dòng chỉ lưu thông tin khách (chưa có đơn); ",IF($B62="","Thiếu ngày đặt; ","")&amp;IF($H62="","Thiếu tên sản phẩm; ",IF($J62="","Chưa khai GIÁ GỐC ở BẢNG GIÁ GỐC; ",""))&amp;IF(N($I62)&lt;=0,"Thiếu số lượng; ","")&amp;IF(N($K62)&lt;=0,"Thiếu giá bán; ","")&amp;IF(AND($N62&gt;0,$F62=""),"Khách lấy VAT thiếu mã số thuế; ","")&amp;IF(N($Q62)&gt;$P62,"Đã thu vượt tổng phải thu; ","")&amp;IF(AND($L62&gt;0,$U62&lt;&gt;"",$U62&lt;0),"CẢNH BÁO: ĐƠN NÀY ĐANG LỖ; ","")))</f>
        <v/>
      </c>
    </row>
    <row r="63" customFormat="false" ht="15" hidden="false" customHeight="false" outlineLevel="0" collapsed="false">
      <c r="A63" s="21" t="str">
        <f aca="false">IF($C63="","",COUNTA($C$10:$C63))</f>
        <v/>
      </c>
      <c r="B63" s="18"/>
      <c r="C63" s="11"/>
      <c r="D63" s="11"/>
      <c r="E63" s="11"/>
      <c r="F63" s="11"/>
      <c r="G63" s="11"/>
      <c r="H63" s="11"/>
      <c r="I63" s="12"/>
      <c r="J63" s="13" t="str">
        <f aca="false">IF($H63="","",IFERROR(VLOOKUP($H63,'BẢNG GIÁ GỐC'!$A$5:$D$254,3,FALSE()),""))</f>
        <v/>
      </c>
      <c r="K63" s="12"/>
      <c r="L63" s="13" t="str">
        <f aca="false">IF($C63="","",N($I63)*N($K63))</f>
        <v/>
      </c>
      <c r="M63" s="11"/>
      <c r="N63" s="14" t="str">
        <f aca="false">IF($C63="","",IF($M63="VAT 5%",0.05,IF($M63="VAT 8%",0.08,IF($M63="VAT 10%",0.1,0))))</f>
        <v/>
      </c>
      <c r="O63" s="13" t="str">
        <f aca="false">IF($C63="","",$L63*$N63)</f>
        <v/>
      </c>
      <c r="P63" s="13" t="str">
        <f aca="false">IF($C63="","",$L63+$O63)</f>
        <v/>
      </c>
      <c r="Q63" s="12"/>
      <c r="R63" s="13" t="str">
        <f aca="false">IF($C63="","",MAX(0,$P63-N($Q63)))</f>
        <v/>
      </c>
      <c r="S63" s="23" t="str">
        <f aca="false">IF(OR($C63="",$P63=0),"",IF(N($Q63)&lt;=0,"Chưa thanh toán",IF(N($Q63)&lt;$P63,"Thanh toán một phần","Đã thanh toán")))</f>
        <v/>
      </c>
      <c r="T63" s="13" t="str">
        <f aca="false">IF(OR($C63="",$J63=""),"",N($I63)*$J63)</f>
        <v/>
      </c>
      <c r="U63" s="13" t="str">
        <f aca="false">IF(OR($C63="",$T63=""),"",$L63-$T63)</f>
        <v/>
      </c>
      <c r="V63" s="14" t="str">
        <f aca="false">IF(OR($U63="",$L63=0),"",$U63/$L63)</f>
        <v/>
      </c>
      <c r="W63" s="11"/>
      <c r="X63" s="23" t="str">
        <f aca="false">IF($C63="","",IF(AND($H63="",N($I63)=0,N($K63)=0),"Dòng chỉ lưu thông tin khách (chưa có đơn); ",IF($B63="","Thiếu ngày đặt; ","")&amp;IF($H63="","Thiếu tên sản phẩm; ",IF($J63="","Chưa khai GIÁ GỐC ở BẢNG GIÁ GỐC; ",""))&amp;IF(N($I63)&lt;=0,"Thiếu số lượng; ","")&amp;IF(N($K63)&lt;=0,"Thiếu giá bán; ","")&amp;IF(AND($N63&gt;0,$F63=""),"Khách lấy VAT thiếu mã số thuế; ","")&amp;IF(N($Q63)&gt;$P63,"Đã thu vượt tổng phải thu; ","")&amp;IF(AND($L63&gt;0,$U63&lt;&gt;"",$U63&lt;0),"CẢNH BÁO: ĐƠN NÀY ĐANG LỖ; ","")))</f>
        <v/>
      </c>
    </row>
    <row r="64" customFormat="false" ht="15" hidden="false" customHeight="false" outlineLevel="0" collapsed="false">
      <c r="A64" s="21" t="str">
        <f aca="false">IF($C64="","",COUNTA($C$10:$C64))</f>
        <v/>
      </c>
      <c r="B64" s="18"/>
      <c r="C64" s="11"/>
      <c r="D64" s="11"/>
      <c r="E64" s="11"/>
      <c r="F64" s="11"/>
      <c r="G64" s="11"/>
      <c r="H64" s="11"/>
      <c r="I64" s="12"/>
      <c r="J64" s="13" t="str">
        <f aca="false">IF($H64="","",IFERROR(VLOOKUP($H64,'BẢNG GIÁ GỐC'!$A$5:$D$254,3,FALSE()),""))</f>
        <v/>
      </c>
      <c r="K64" s="12"/>
      <c r="L64" s="13" t="str">
        <f aca="false">IF($C64="","",N($I64)*N($K64))</f>
        <v/>
      </c>
      <c r="M64" s="11"/>
      <c r="N64" s="14" t="str">
        <f aca="false">IF($C64="","",IF($M64="VAT 5%",0.05,IF($M64="VAT 8%",0.08,IF($M64="VAT 10%",0.1,0))))</f>
        <v/>
      </c>
      <c r="O64" s="13" t="str">
        <f aca="false">IF($C64="","",$L64*$N64)</f>
        <v/>
      </c>
      <c r="P64" s="13" t="str">
        <f aca="false">IF($C64="","",$L64+$O64)</f>
        <v/>
      </c>
      <c r="Q64" s="12"/>
      <c r="R64" s="13" t="str">
        <f aca="false">IF($C64="","",MAX(0,$P64-N($Q64)))</f>
        <v/>
      </c>
      <c r="S64" s="23" t="str">
        <f aca="false">IF(OR($C64="",$P64=0),"",IF(N($Q64)&lt;=0,"Chưa thanh toán",IF(N($Q64)&lt;$P64,"Thanh toán một phần","Đã thanh toán")))</f>
        <v/>
      </c>
      <c r="T64" s="13" t="str">
        <f aca="false">IF(OR($C64="",$J64=""),"",N($I64)*$J64)</f>
        <v/>
      </c>
      <c r="U64" s="13" t="str">
        <f aca="false">IF(OR($C64="",$T64=""),"",$L64-$T64)</f>
        <v/>
      </c>
      <c r="V64" s="14" t="str">
        <f aca="false">IF(OR($U64="",$L64=0),"",$U64/$L64)</f>
        <v/>
      </c>
      <c r="W64" s="11"/>
      <c r="X64" s="23" t="str">
        <f aca="false">IF($C64="","",IF(AND($H64="",N($I64)=0,N($K64)=0),"Dòng chỉ lưu thông tin khách (chưa có đơn); ",IF($B64="","Thiếu ngày đặt; ","")&amp;IF($H64="","Thiếu tên sản phẩm; ",IF($J64="","Chưa khai GIÁ GỐC ở BẢNG GIÁ GỐC; ",""))&amp;IF(N($I64)&lt;=0,"Thiếu số lượng; ","")&amp;IF(N($K64)&lt;=0,"Thiếu giá bán; ","")&amp;IF(AND($N64&gt;0,$F64=""),"Khách lấy VAT thiếu mã số thuế; ","")&amp;IF(N($Q64)&gt;$P64,"Đã thu vượt tổng phải thu; ","")&amp;IF(AND($L64&gt;0,$U64&lt;&gt;"",$U64&lt;0),"CẢNH BÁO: ĐƠN NÀY ĐANG LỖ; ","")))</f>
        <v/>
      </c>
    </row>
    <row r="65" customFormat="false" ht="15" hidden="false" customHeight="false" outlineLevel="0" collapsed="false">
      <c r="A65" s="21" t="str">
        <f aca="false">IF($C65="","",COUNTA($C$10:$C65))</f>
        <v/>
      </c>
      <c r="B65" s="18"/>
      <c r="C65" s="11"/>
      <c r="D65" s="11"/>
      <c r="E65" s="11"/>
      <c r="F65" s="11"/>
      <c r="G65" s="11"/>
      <c r="H65" s="11"/>
      <c r="I65" s="12"/>
      <c r="J65" s="13" t="str">
        <f aca="false">IF($H65="","",IFERROR(VLOOKUP($H65,'BẢNG GIÁ GỐC'!$A$5:$D$254,3,FALSE()),""))</f>
        <v/>
      </c>
      <c r="K65" s="12"/>
      <c r="L65" s="13" t="str">
        <f aca="false">IF($C65="","",N($I65)*N($K65))</f>
        <v/>
      </c>
      <c r="M65" s="11"/>
      <c r="N65" s="14" t="str">
        <f aca="false">IF($C65="","",IF($M65="VAT 5%",0.05,IF($M65="VAT 8%",0.08,IF($M65="VAT 10%",0.1,0))))</f>
        <v/>
      </c>
      <c r="O65" s="13" t="str">
        <f aca="false">IF($C65="","",$L65*$N65)</f>
        <v/>
      </c>
      <c r="P65" s="13" t="str">
        <f aca="false">IF($C65="","",$L65+$O65)</f>
        <v/>
      </c>
      <c r="Q65" s="12"/>
      <c r="R65" s="13" t="str">
        <f aca="false">IF($C65="","",MAX(0,$P65-N($Q65)))</f>
        <v/>
      </c>
      <c r="S65" s="23" t="str">
        <f aca="false">IF(OR($C65="",$P65=0),"",IF(N($Q65)&lt;=0,"Chưa thanh toán",IF(N($Q65)&lt;$P65,"Thanh toán một phần","Đã thanh toán")))</f>
        <v/>
      </c>
      <c r="T65" s="13" t="str">
        <f aca="false">IF(OR($C65="",$J65=""),"",N($I65)*$J65)</f>
        <v/>
      </c>
      <c r="U65" s="13" t="str">
        <f aca="false">IF(OR($C65="",$T65=""),"",$L65-$T65)</f>
        <v/>
      </c>
      <c r="V65" s="14" t="str">
        <f aca="false">IF(OR($U65="",$L65=0),"",$U65/$L65)</f>
        <v/>
      </c>
      <c r="W65" s="11"/>
      <c r="X65" s="23" t="str">
        <f aca="false">IF($C65="","",IF(AND($H65="",N($I65)=0,N($K65)=0),"Dòng chỉ lưu thông tin khách (chưa có đơn); ",IF($B65="","Thiếu ngày đặt; ","")&amp;IF($H65="","Thiếu tên sản phẩm; ",IF($J65="","Chưa khai GIÁ GỐC ở BẢNG GIÁ GỐC; ",""))&amp;IF(N($I65)&lt;=0,"Thiếu số lượng; ","")&amp;IF(N($K65)&lt;=0,"Thiếu giá bán; ","")&amp;IF(AND($N65&gt;0,$F65=""),"Khách lấy VAT thiếu mã số thuế; ","")&amp;IF(N($Q65)&gt;$P65,"Đã thu vượt tổng phải thu; ","")&amp;IF(AND($L65&gt;0,$U65&lt;&gt;"",$U65&lt;0),"CẢNH BÁO: ĐƠN NÀY ĐANG LỖ; ","")))</f>
        <v/>
      </c>
    </row>
    <row r="66" customFormat="false" ht="15" hidden="false" customHeight="false" outlineLevel="0" collapsed="false">
      <c r="A66" s="21" t="str">
        <f aca="false">IF($C66="","",COUNTA($C$10:$C66))</f>
        <v/>
      </c>
      <c r="B66" s="18"/>
      <c r="C66" s="11"/>
      <c r="D66" s="11"/>
      <c r="E66" s="11"/>
      <c r="F66" s="11"/>
      <c r="G66" s="11"/>
      <c r="H66" s="11"/>
      <c r="I66" s="12"/>
      <c r="J66" s="13" t="str">
        <f aca="false">IF($H66="","",IFERROR(VLOOKUP($H66,'BẢNG GIÁ GỐC'!$A$5:$D$254,3,FALSE()),""))</f>
        <v/>
      </c>
      <c r="K66" s="12"/>
      <c r="L66" s="13" t="str">
        <f aca="false">IF($C66="","",N($I66)*N($K66))</f>
        <v/>
      </c>
      <c r="M66" s="11"/>
      <c r="N66" s="14" t="str">
        <f aca="false">IF($C66="","",IF($M66="VAT 5%",0.05,IF($M66="VAT 8%",0.08,IF($M66="VAT 10%",0.1,0))))</f>
        <v/>
      </c>
      <c r="O66" s="13" t="str">
        <f aca="false">IF($C66="","",$L66*$N66)</f>
        <v/>
      </c>
      <c r="P66" s="13" t="str">
        <f aca="false">IF($C66="","",$L66+$O66)</f>
        <v/>
      </c>
      <c r="Q66" s="12"/>
      <c r="R66" s="13" t="str">
        <f aca="false">IF($C66="","",MAX(0,$P66-N($Q66)))</f>
        <v/>
      </c>
      <c r="S66" s="23" t="str">
        <f aca="false">IF(OR($C66="",$P66=0),"",IF(N($Q66)&lt;=0,"Chưa thanh toán",IF(N($Q66)&lt;$P66,"Thanh toán một phần","Đã thanh toán")))</f>
        <v/>
      </c>
      <c r="T66" s="13" t="str">
        <f aca="false">IF(OR($C66="",$J66=""),"",N($I66)*$J66)</f>
        <v/>
      </c>
      <c r="U66" s="13" t="str">
        <f aca="false">IF(OR($C66="",$T66=""),"",$L66-$T66)</f>
        <v/>
      </c>
      <c r="V66" s="14" t="str">
        <f aca="false">IF(OR($U66="",$L66=0),"",$U66/$L66)</f>
        <v/>
      </c>
      <c r="W66" s="11"/>
      <c r="X66" s="23" t="str">
        <f aca="false">IF($C66="","",IF(AND($H66="",N($I66)=0,N($K66)=0),"Dòng chỉ lưu thông tin khách (chưa có đơn); ",IF($B66="","Thiếu ngày đặt; ","")&amp;IF($H66="","Thiếu tên sản phẩm; ",IF($J66="","Chưa khai GIÁ GỐC ở BẢNG GIÁ GỐC; ",""))&amp;IF(N($I66)&lt;=0,"Thiếu số lượng; ","")&amp;IF(N($K66)&lt;=0,"Thiếu giá bán; ","")&amp;IF(AND($N66&gt;0,$F66=""),"Khách lấy VAT thiếu mã số thuế; ","")&amp;IF(N($Q66)&gt;$P66,"Đã thu vượt tổng phải thu; ","")&amp;IF(AND($L66&gt;0,$U66&lt;&gt;"",$U66&lt;0),"CẢNH BÁO: ĐƠN NÀY ĐANG LỖ; ","")))</f>
        <v/>
      </c>
    </row>
    <row r="67" customFormat="false" ht="15" hidden="false" customHeight="false" outlineLevel="0" collapsed="false">
      <c r="A67" s="21" t="str">
        <f aca="false">IF($C67="","",COUNTA($C$10:$C67))</f>
        <v/>
      </c>
      <c r="B67" s="18"/>
      <c r="C67" s="11"/>
      <c r="D67" s="11"/>
      <c r="E67" s="11"/>
      <c r="F67" s="11"/>
      <c r="G67" s="11"/>
      <c r="H67" s="11"/>
      <c r="I67" s="12"/>
      <c r="J67" s="13" t="str">
        <f aca="false">IF($H67="","",IFERROR(VLOOKUP($H67,'BẢNG GIÁ GỐC'!$A$5:$D$254,3,FALSE()),""))</f>
        <v/>
      </c>
      <c r="K67" s="12"/>
      <c r="L67" s="13" t="str">
        <f aca="false">IF($C67="","",N($I67)*N($K67))</f>
        <v/>
      </c>
      <c r="M67" s="11"/>
      <c r="N67" s="14" t="str">
        <f aca="false">IF($C67="","",IF($M67="VAT 5%",0.05,IF($M67="VAT 8%",0.08,IF($M67="VAT 10%",0.1,0))))</f>
        <v/>
      </c>
      <c r="O67" s="13" t="str">
        <f aca="false">IF($C67="","",$L67*$N67)</f>
        <v/>
      </c>
      <c r="P67" s="13" t="str">
        <f aca="false">IF($C67="","",$L67+$O67)</f>
        <v/>
      </c>
      <c r="Q67" s="12"/>
      <c r="R67" s="13" t="str">
        <f aca="false">IF($C67="","",MAX(0,$P67-N($Q67)))</f>
        <v/>
      </c>
      <c r="S67" s="23" t="str">
        <f aca="false">IF(OR($C67="",$P67=0),"",IF(N($Q67)&lt;=0,"Chưa thanh toán",IF(N($Q67)&lt;$P67,"Thanh toán một phần","Đã thanh toán")))</f>
        <v/>
      </c>
      <c r="T67" s="13" t="str">
        <f aca="false">IF(OR($C67="",$J67=""),"",N($I67)*$J67)</f>
        <v/>
      </c>
      <c r="U67" s="13" t="str">
        <f aca="false">IF(OR($C67="",$T67=""),"",$L67-$T67)</f>
        <v/>
      </c>
      <c r="V67" s="14" t="str">
        <f aca="false">IF(OR($U67="",$L67=0),"",$U67/$L67)</f>
        <v/>
      </c>
      <c r="W67" s="11"/>
      <c r="X67" s="23" t="str">
        <f aca="false">IF($C67="","",IF(AND($H67="",N($I67)=0,N($K67)=0),"Dòng chỉ lưu thông tin khách (chưa có đơn); ",IF($B67="","Thiếu ngày đặt; ","")&amp;IF($H67="","Thiếu tên sản phẩm; ",IF($J67="","Chưa khai GIÁ GỐC ở BẢNG GIÁ GỐC; ",""))&amp;IF(N($I67)&lt;=0,"Thiếu số lượng; ","")&amp;IF(N($K67)&lt;=0,"Thiếu giá bán; ","")&amp;IF(AND($N67&gt;0,$F67=""),"Khách lấy VAT thiếu mã số thuế; ","")&amp;IF(N($Q67)&gt;$P67,"Đã thu vượt tổng phải thu; ","")&amp;IF(AND($L67&gt;0,$U67&lt;&gt;"",$U67&lt;0),"CẢNH BÁO: ĐƠN NÀY ĐANG LỖ; ","")))</f>
        <v/>
      </c>
    </row>
    <row r="68" customFormat="false" ht="15" hidden="false" customHeight="false" outlineLevel="0" collapsed="false">
      <c r="A68" s="21" t="str">
        <f aca="false">IF($C68="","",COUNTA($C$10:$C68))</f>
        <v/>
      </c>
      <c r="B68" s="18"/>
      <c r="C68" s="11"/>
      <c r="D68" s="11"/>
      <c r="E68" s="11"/>
      <c r="F68" s="11"/>
      <c r="G68" s="11"/>
      <c r="H68" s="11"/>
      <c r="I68" s="12"/>
      <c r="J68" s="13" t="str">
        <f aca="false">IF($H68="","",IFERROR(VLOOKUP($H68,'BẢNG GIÁ GỐC'!$A$5:$D$254,3,FALSE()),""))</f>
        <v/>
      </c>
      <c r="K68" s="12"/>
      <c r="L68" s="13" t="str">
        <f aca="false">IF($C68="","",N($I68)*N($K68))</f>
        <v/>
      </c>
      <c r="M68" s="11"/>
      <c r="N68" s="14" t="str">
        <f aca="false">IF($C68="","",IF($M68="VAT 5%",0.05,IF($M68="VAT 8%",0.08,IF($M68="VAT 10%",0.1,0))))</f>
        <v/>
      </c>
      <c r="O68" s="13" t="str">
        <f aca="false">IF($C68="","",$L68*$N68)</f>
        <v/>
      </c>
      <c r="P68" s="13" t="str">
        <f aca="false">IF($C68="","",$L68+$O68)</f>
        <v/>
      </c>
      <c r="Q68" s="12"/>
      <c r="R68" s="13" t="str">
        <f aca="false">IF($C68="","",MAX(0,$P68-N($Q68)))</f>
        <v/>
      </c>
      <c r="S68" s="23" t="str">
        <f aca="false">IF(OR($C68="",$P68=0),"",IF(N($Q68)&lt;=0,"Chưa thanh toán",IF(N($Q68)&lt;$P68,"Thanh toán một phần","Đã thanh toán")))</f>
        <v/>
      </c>
      <c r="T68" s="13" t="str">
        <f aca="false">IF(OR($C68="",$J68=""),"",N($I68)*$J68)</f>
        <v/>
      </c>
      <c r="U68" s="13" t="str">
        <f aca="false">IF(OR($C68="",$T68=""),"",$L68-$T68)</f>
        <v/>
      </c>
      <c r="V68" s="14" t="str">
        <f aca="false">IF(OR($U68="",$L68=0),"",$U68/$L68)</f>
        <v/>
      </c>
      <c r="W68" s="11"/>
      <c r="X68" s="23" t="str">
        <f aca="false">IF($C68="","",IF(AND($H68="",N($I68)=0,N($K68)=0),"Dòng chỉ lưu thông tin khách (chưa có đơn); ",IF($B68="","Thiếu ngày đặt; ","")&amp;IF($H68="","Thiếu tên sản phẩm; ",IF($J68="","Chưa khai GIÁ GỐC ở BẢNG GIÁ GỐC; ",""))&amp;IF(N($I68)&lt;=0,"Thiếu số lượng; ","")&amp;IF(N($K68)&lt;=0,"Thiếu giá bán; ","")&amp;IF(AND($N68&gt;0,$F68=""),"Khách lấy VAT thiếu mã số thuế; ","")&amp;IF(N($Q68)&gt;$P68,"Đã thu vượt tổng phải thu; ","")&amp;IF(AND($L68&gt;0,$U68&lt;&gt;"",$U68&lt;0),"CẢNH BÁO: ĐƠN NÀY ĐANG LỖ; ","")))</f>
        <v/>
      </c>
    </row>
    <row r="69" customFormat="false" ht="15" hidden="false" customHeight="false" outlineLevel="0" collapsed="false">
      <c r="A69" s="21" t="str">
        <f aca="false">IF($C69="","",COUNTA($C$10:$C69))</f>
        <v/>
      </c>
      <c r="B69" s="18"/>
      <c r="C69" s="11"/>
      <c r="D69" s="11"/>
      <c r="E69" s="11"/>
      <c r="F69" s="11"/>
      <c r="G69" s="11"/>
      <c r="H69" s="11"/>
      <c r="I69" s="12"/>
      <c r="J69" s="13" t="str">
        <f aca="false">IF($H69="","",IFERROR(VLOOKUP($H69,'BẢNG GIÁ GỐC'!$A$5:$D$254,3,FALSE()),""))</f>
        <v/>
      </c>
      <c r="K69" s="12"/>
      <c r="L69" s="13" t="str">
        <f aca="false">IF($C69="","",N($I69)*N($K69))</f>
        <v/>
      </c>
      <c r="M69" s="11"/>
      <c r="N69" s="14" t="str">
        <f aca="false">IF($C69="","",IF($M69="VAT 5%",0.05,IF($M69="VAT 8%",0.08,IF($M69="VAT 10%",0.1,0))))</f>
        <v/>
      </c>
      <c r="O69" s="13" t="str">
        <f aca="false">IF($C69="","",$L69*$N69)</f>
        <v/>
      </c>
      <c r="P69" s="13" t="str">
        <f aca="false">IF($C69="","",$L69+$O69)</f>
        <v/>
      </c>
      <c r="Q69" s="12"/>
      <c r="R69" s="13" t="str">
        <f aca="false">IF($C69="","",MAX(0,$P69-N($Q69)))</f>
        <v/>
      </c>
      <c r="S69" s="23" t="str">
        <f aca="false">IF(OR($C69="",$P69=0),"",IF(N($Q69)&lt;=0,"Chưa thanh toán",IF(N($Q69)&lt;$P69,"Thanh toán một phần","Đã thanh toán")))</f>
        <v/>
      </c>
      <c r="T69" s="13" t="str">
        <f aca="false">IF(OR($C69="",$J69=""),"",N($I69)*$J69)</f>
        <v/>
      </c>
      <c r="U69" s="13" t="str">
        <f aca="false">IF(OR($C69="",$T69=""),"",$L69-$T69)</f>
        <v/>
      </c>
      <c r="V69" s="14" t="str">
        <f aca="false">IF(OR($U69="",$L69=0),"",$U69/$L69)</f>
        <v/>
      </c>
      <c r="W69" s="11"/>
      <c r="X69" s="23" t="str">
        <f aca="false">IF($C69="","",IF(AND($H69="",N($I69)=0,N($K69)=0),"Dòng chỉ lưu thông tin khách (chưa có đơn); ",IF($B69="","Thiếu ngày đặt; ","")&amp;IF($H69="","Thiếu tên sản phẩm; ",IF($J69="","Chưa khai GIÁ GỐC ở BẢNG GIÁ GỐC; ",""))&amp;IF(N($I69)&lt;=0,"Thiếu số lượng; ","")&amp;IF(N($K69)&lt;=0,"Thiếu giá bán; ","")&amp;IF(AND($N69&gt;0,$F69=""),"Khách lấy VAT thiếu mã số thuế; ","")&amp;IF(N($Q69)&gt;$P69,"Đã thu vượt tổng phải thu; ","")&amp;IF(AND($L69&gt;0,$U69&lt;&gt;"",$U69&lt;0),"CẢNH BÁO: ĐƠN NÀY ĐANG LỖ; ","")))</f>
        <v/>
      </c>
    </row>
    <row r="70" customFormat="false" ht="15" hidden="false" customHeight="false" outlineLevel="0" collapsed="false">
      <c r="A70" s="21" t="str">
        <f aca="false">IF($C70="","",COUNTA($C$10:$C70))</f>
        <v/>
      </c>
      <c r="B70" s="18"/>
      <c r="C70" s="11"/>
      <c r="D70" s="11"/>
      <c r="E70" s="11"/>
      <c r="F70" s="11"/>
      <c r="G70" s="11"/>
      <c r="H70" s="11"/>
      <c r="I70" s="12"/>
      <c r="J70" s="13" t="str">
        <f aca="false">IF($H70="","",IFERROR(VLOOKUP($H70,'BẢNG GIÁ GỐC'!$A$5:$D$254,3,FALSE()),""))</f>
        <v/>
      </c>
      <c r="K70" s="12"/>
      <c r="L70" s="13" t="str">
        <f aca="false">IF($C70="","",N($I70)*N($K70))</f>
        <v/>
      </c>
      <c r="M70" s="11"/>
      <c r="N70" s="14" t="str">
        <f aca="false">IF($C70="","",IF($M70="VAT 5%",0.05,IF($M70="VAT 8%",0.08,IF($M70="VAT 10%",0.1,0))))</f>
        <v/>
      </c>
      <c r="O70" s="13" t="str">
        <f aca="false">IF($C70="","",$L70*$N70)</f>
        <v/>
      </c>
      <c r="P70" s="13" t="str">
        <f aca="false">IF($C70="","",$L70+$O70)</f>
        <v/>
      </c>
      <c r="Q70" s="12"/>
      <c r="R70" s="13" t="str">
        <f aca="false">IF($C70="","",MAX(0,$P70-N($Q70)))</f>
        <v/>
      </c>
      <c r="S70" s="23" t="str">
        <f aca="false">IF(OR($C70="",$P70=0),"",IF(N($Q70)&lt;=0,"Chưa thanh toán",IF(N($Q70)&lt;$P70,"Thanh toán một phần","Đã thanh toán")))</f>
        <v/>
      </c>
      <c r="T70" s="13" t="str">
        <f aca="false">IF(OR($C70="",$J70=""),"",N($I70)*$J70)</f>
        <v/>
      </c>
      <c r="U70" s="13" t="str">
        <f aca="false">IF(OR($C70="",$T70=""),"",$L70-$T70)</f>
        <v/>
      </c>
      <c r="V70" s="14" t="str">
        <f aca="false">IF(OR($U70="",$L70=0),"",$U70/$L70)</f>
        <v/>
      </c>
      <c r="W70" s="11"/>
      <c r="X70" s="23" t="str">
        <f aca="false">IF($C70="","",IF(AND($H70="",N($I70)=0,N($K70)=0),"Dòng chỉ lưu thông tin khách (chưa có đơn); ",IF($B70="","Thiếu ngày đặt; ","")&amp;IF($H70="","Thiếu tên sản phẩm; ",IF($J70="","Chưa khai GIÁ GỐC ở BẢNG GIÁ GỐC; ",""))&amp;IF(N($I70)&lt;=0,"Thiếu số lượng; ","")&amp;IF(N($K70)&lt;=0,"Thiếu giá bán; ","")&amp;IF(AND($N70&gt;0,$F70=""),"Khách lấy VAT thiếu mã số thuế; ","")&amp;IF(N($Q70)&gt;$P70,"Đã thu vượt tổng phải thu; ","")&amp;IF(AND($L70&gt;0,$U70&lt;&gt;"",$U70&lt;0),"CẢNH BÁO: ĐƠN NÀY ĐANG LỖ; ","")))</f>
        <v/>
      </c>
    </row>
    <row r="71" customFormat="false" ht="15" hidden="false" customHeight="false" outlineLevel="0" collapsed="false">
      <c r="A71" s="21" t="str">
        <f aca="false">IF($C71="","",COUNTA($C$10:$C71))</f>
        <v/>
      </c>
      <c r="B71" s="18"/>
      <c r="C71" s="11"/>
      <c r="D71" s="11"/>
      <c r="E71" s="11"/>
      <c r="F71" s="11"/>
      <c r="G71" s="11"/>
      <c r="H71" s="11"/>
      <c r="I71" s="12"/>
      <c r="J71" s="13" t="str">
        <f aca="false">IF($H71="","",IFERROR(VLOOKUP($H71,'BẢNG GIÁ GỐC'!$A$5:$D$254,3,FALSE()),""))</f>
        <v/>
      </c>
      <c r="K71" s="12"/>
      <c r="L71" s="13" t="str">
        <f aca="false">IF($C71="","",N($I71)*N($K71))</f>
        <v/>
      </c>
      <c r="M71" s="11"/>
      <c r="N71" s="14" t="str">
        <f aca="false">IF($C71="","",IF($M71="VAT 5%",0.05,IF($M71="VAT 8%",0.08,IF($M71="VAT 10%",0.1,0))))</f>
        <v/>
      </c>
      <c r="O71" s="13" t="str">
        <f aca="false">IF($C71="","",$L71*$N71)</f>
        <v/>
      </c>
      <c r="P71" s="13" t="str">
        <f aca="false">IF($C71="","",$L71+$O71)</f>
        <v/>
      </c>
      <c r="Q71" s="12"/>
      <c r="R71" s="13" t="str">
        <f aca="false">IF($C71="","",MAX(0,$P71-N($Q71)))</f>
        <v/>
      </c>
      <c r="S71" s="23" t="str">
        <f aca="false">IF(OR($C71="",$P71=0),"",IF(N($Q71)&lt;=0,"Chưa thanh toán",IF(N($Q71)&lt;$P71,"Thanh toán một phần","Đã thanh toán")))</f>
        <v/>
      </c>
      <c r="T71" s="13" t="str">
        <f aca="false">IF(OR($C71="",$J71=""),"",N($I71)*$J71)</f>
        <v/>
      </c>
      <c r="U71" s="13" t="str">
        <f aca="false">IF(OR($C71="",$T71=""),"",$L71-$T71)</f>
        <v/>
      </c>
      <c r="V71" s="14" t="str">
        <f aca="false">IF(OR($U71="",$L71=0),"",$U71/$L71)</f>
        <v/>
      </c>
      <c r="W71" s="11"/>
      <c r="X71" s="23" t="str">
        <f aca="false">IF($C71="","",IF(AND($H71="",N($I71)=0,N($K71)=0),"Dòng chỉ lưu thông tin khách (chưa có đơn); ",IF($B71="","Thiếu ngày đặt; ","")&amp;IF($H71="","Thiếu tên sản phẩm; ",IF($J71="","Chưa khai GIÁ GỐC ở BẢNG GIÁ GỐC; ",""))&amp;IF(N($I71)&lt;=0,"Thiếu số lượng; ","")&amp;IF(N($K71)&lt;=0,"Thiếu giá bán; ","")&amp;IF(AND($N71&gt;0,$F71=""),"Khách lấy VAT thiếu mã số thuế; ","")&amp;IF(N($Q71)&gt;$P71,"Đã thu vượt tổng phải thu; ","")&amp;IF(AND($L71&gt;0,$U71&lt;&gt;"",$U71&lt;0),"CẢNH BÁO: ĐƠN NÀY ĐANG LỖ; ","")))</f>
        <v/>
      </c>
    </row>
    <row r="72" customFormat="false" ht="15" hidden="false" customHeight="false" outlineLevel="0" collapsed="false">
      <c r="A72" s="21" t="str">
        <f aca="false">IF($C72="","",COUNTA($C$10:$C72))</f>
        <v/>
      </c>
      <c r="B72" s="18"/>
      <c r="C72" s="11"/>
      <c r="D72" s="11"/>
      <c r="E72" s="11"/>
      <c r="F72" s="11"/>
      <c r="G72" s="11"/>
      <c r="H72" s="11"/>
      <c r="I72" s="12"/>
      <c r="J72" s="13" t="str">
        <f aca="false">IF($H72="","",IFERROR(VLOOKUP($H72,'BẢNG GIÁ GỐC'!$A$5:$D$254,3,FALSE()),""))</f>
        <v/>
      </c>
      <c r="K72" s="12"/>
      <c r="L72" s="13" t="str">
        <f aca="false">IF($C72="","",N($I72)*N($K72))</f>
        <v/>
      </c>
      <c r="M72" s="11"/>
      <c r="N72" s="14" t="str">
        <f aca="false">IF($C72="","",IF($M72="VAT 5%",0.05,IF($M72="VAT 8%",0.08,IF($M72="VAT 10%",0.1,0))))</f>
        <v/>
      </c>
      <c r="O72" s="13" t="str">
        <f aca="false">IF($C72="","",$L72*$N72)</f>
        <v/>
      </c>
      <c r="P72" s="13" t="str">
        <f aca="false">IF($C72="","",$L72+$O72)</f>
        <v/>
      </c>
      <c r="Q72" s="12"/>
      <c r="R72" s="13" t="str">
        <f aca="false">IF($C72="","",MAX(0,$P72-N($Q72)))</f>
        <v/>
      </c>
      <c r="S72" s="23" t="str">
        <f aca="false">IF(OR($C72="",$P72=0),"",IF(N($Q72)&lt;=0,"Chưa thanh toán",IF(N($Q72)&lt;$P72,"Thanh toán một phần","Đã thanh toán")))</f>
        <v/>
      </c>
      <c r="T72" s="13" t="str">
        <f aca="false">IF(OR($C72="",$J72=""),"",N($I72)*$J72)</f>
        <v/>
      </c>
      <c r="U72" s="13" t="str">
        <f aca="false">IF(OR($C72="",$T72=""),"",$L72-$T72)</f>
        <v/>
      </c>
      <c r="V72" s="14" t="str">
        <f aca="false">IF(OR($U72="",$L72=0),"",$U72/$L72)</f>
        <v/>
      </c>
      <c r="W72" s="11"/>
      <c r="X72" s="23" t="str">
        <f aca="false">IF($C72="","",IF(AND($H72="",N($I72)=0,N($K72)=0),"Dòng chỉ lưu thông tin khách (chưa có đơn); ",IF($B72="","Thiếu ngày đặt; ","")&amp;IF($H72="","Thiếu tên sản phẩm; ",IF($J72="","Chưa khai GIÁ GỐC ở BẢNG GIÁ GỐC; ",""))&amp;IF(N($I72)&lt;=0,"Thiếu số lượng; ","")&amp;IF(N($K72)&lt;=0,"Thiếu giá bán; ","")&amp;IF(AND($N72&gt;0,$F72=""),"Khách lấy VAT thiếu mã số thuế; ","")&amp;IF(N($Q72)&gt;$P72,"Đã thu vượt tổng phải thu; ","")&amp;IF(AND($L72&gt;0,$U72&lt;&gt;"",$U72&lt;0),"CẢNH BÁO: ĐƠN NÀY ĐANG LỖ; ","")))</f>
        <v/>
      </c>
    </row>
    <row r="73" customFormat="false" ht="15" hidden="false" customHeight="false" outlineLevel="0" collapsed="false">
      <c r="A73" s="21" t="str">
        <f aca="false">IF($C73="","",COUNTA($C$10:$C73))</f>
        <v/>
      </c>
      <c r="B73" s="18"/>
      <c r="C73" s="11"/>
      <c r="D73" s="11"/>
      <c r="E73" s="11"/>
      <c r="F73" s="11"/>
      <c r="G73" s="11"/>
      <c r="H73" s="11"/>
      <c r="I73" s="12"/>
      <c r="J73" s="13" t="str">
        <f aca="false">IF($H73="","",IFERROR(VLOOKUP($H73,'BẢNG GIÁ GỐC'!$A$5:$D$254,3,FALSE()),""))</f>
        <v/>
      </c>
      <c r="K73" s="12"/>
      <c r="L73" s="13" t="str">
        <f aca="false">IF($C73="","",N($I73)*N($K73))</f>
        <v/>
      </c>
      <c r="M73" s="11"/>
      <c r="N73" s="14" t="str">
        <f aca="false">IF($C73="","",IF($M73="VAT 5%",0.05,IF($M73="VAT 8%",0.08,IF($M73="VAT 10%",0.1,0))))</f>
        <v/>
      </c>
      <c r="O73" s="13" t="str">
        <f aca="false">IF($C73="","",$L73*$N73)</f>
        <v/>
      </c>
      <c r="P73" s="13" t="str">
        <f aca="false">IF($C73="","",$L73+$O73)</f>
        <v/>
      </c>
      <c r="Q73" s="12"/>
      <c r="R73" s="13" t="str">
        <f aca="false">IF($C73="","",MAX(0,$P73-N($Q73)))</f>
        <v/>
      </c>
      <c r="S73" s="23" t="str">
        <f aca="false">IF(OR($C73="",$P73=0),"",IF(N($Q73)&lt;=0,"Chưa thanh toán",IF(N($Q73)&lt;$P73,"Thanh toán một phần","Đã thanh toán")))</f>
        <v/>
      </c>
      <c r="T73" s="13" t="str">
        <f aca="false">IF(OR($C73="",$J73=""),"",N($I73)*$J73)</f>
        <v/>
      </c>
      <c r="U73" s="13" t="str">
        <f aca="false">IF(OR($C73="",$T73=""),"",$L73-$T73)</f>
        <v/>
      </c>
      <c r="V73" s="14" t="str">
        <f aca="false">IF(OR($U73="",$L73=0),"",$U73/$L73)</f>
        <v/>
      </c>
      <c r="W73" s="11"/>
      <c r="X73" s="23" t="str">
        <f aca="false">IF($C73="","",IF(AND($H73="",N($I73)=0,N($K73)=0),"Dòng chỉ lưu thông tin khách (chưa có đơn); ",IF($B73="","Thiếu ngày đặt; ","")&amp;IF($H73="","Thiếu tên sản phẩm; ",IF($J73="","Chưa khai GIÁ GỐC ở BẢNG GIÁ GỐC; ",""))&amp;IF(N($I73)&lt;=0,"Thiếu số lượng; ","")&amp;IF(N($K73)&lt;=0,"Thiếu giá bán; ","")&amp;IF(AND($N73&gt;0,$F73=""),"Khách lấy VAT thiếu mã số thuế; ","")&amp;IF(N($Q73)&gt;$P73,"Đã thu vượt tổng phải thu; ","")&amp;IF(AND($L73&gt;0,$U73&lt;&gt;"",$U73&lt;0),"CẢNH BÁO: ĐƠN NÀY ĐANG LỖ; ","")))</f>
        <v/>
      </c>
    </row>
    <row r="74" customFormat="false" ht="15" hidden="false" customHeight="false" outlineLevel="0" collapsed="false">
      <c r="A74" s="21" t="str">
        <f aca="false">IF($C74="","",COUNTA($C$10:$C74))</f>
        <v/>
      </c>
      <c r="B74" s="18"/>
      <c r="C74" s="11"/>
      <c r="D74" s="11"/>
      <c r="E74" s="11"/>
      <c r="F74" s="11"/>
      <c r="G74" s="11"/>
      <c r="H74" s="11"/>
      <c r="I74" s="12"/>
      <c r="J74" s="13" t="str">
        <f aca="false">IF($H74="","",IFERROR(VLOOKUP($H74,'BẢNG GIÁ GỐC'!$A$5:$D$254,3,FALSE()),""))</f>
        <v/>
      </c>
      <c r="K74" s="12"/>
      <c r="L74" s="13" t="str">
        <f aca="false">IF($C74="","",N($I74)*N($K74))</f>
        <v/>
      </c>
      <c r="M74" s="11"/>
      <c r="N74" s="14" t="str">
        <f aca="false">IF($C74="","",IF($M74="VAT 5%",0.05,IF($M74="VAT 8%",0.08,IF($M74="VAT 10%",0.1,0))))</f>
        <v/>
      </c>
      <c r="O74" s="13" t="str">
        <f aca="false">IF($C74="","",$L74*$N74)</f>
        <v/>
      </c>
      <c r="P74" s="13" t="str">
        <f aca="false">IF($C74="","",$L74+$O74)</f>
        <v/>
      </c>
      <c r="Q74" s="12"/>
      <c r="R74" s="13" t="str">
        <f aca="false">IF($C74="","",MAX(0,$P74-N($Q74)))</f>
        <v/>
      </c>
      <c r="S74" s="23" t="str">
        <f aca="false">IF(OR($C74="",$P74=0),"",IF(N($Q74)&lt;=0,"Chưa thanh toán",IF(N($Q74)&lt;$P74,"Thanh toán một phần","Đã thanh toán")))</f>
        <v/>
      </c>
      <c r="T74" s="13" t="str">
        <f aca="false">IF(OR($C74="",$J74=""),"",N($I74)*$J74)</f>
        <v/>
      </c>
      <c r="U74" s="13" t="str">
        <f aca="false">IF(OR($C74="",$T74=""),"",$L74-$T74)</f>
        <v/>
      </c>
      <c r="V74" s="14" t="str">
        <f aca="false">IF(OR($U74="",$L74=0),"",$U74/$L74)</f>
        <v/>
      </c>
      <c r="W74" s="11"/>
      <c r="X74" s="23" t="str">
        <f aca="false">IF($C74="","",IF(AND($H74="",N($I74)=0,N($K74)=0),"Dòng chỉ lưu thông tin khách (chưa có đơn); ",IF($B74="","Thiếu ngày đặt; ","")&amp;IF($H74="","Thiếu tên sản phẩm; ",IF($J74="","Chưa khai GIÁ GỐC ở BẢNG GIÁ GỐC; ",""))&amp;IF(N($I74)&lt;=0,"Thiếu số lượng; ","")&amp;IF(N($K74)&lt;=0,"Thiếu giá bán; ","")&amp;IF(AND($N74&gt;0,$F74=""),"Khách lấy VAT thiếu mã số thuế; ","")&amp;IF(N($Q74)&gt;$P74,"Đã thu vượt tổng phải thu; ","")&amp;IF(AND($L74&gt;0,$U74&lt;&gt;"",$U74&lt;0),"CẢNH BÁO: ĐƠN NÀY ĐANG LỖ; ","")))</f>
        <v/>
      </c>
    </row>
    <row r="75" customFormat="false" ht="15" hidden="false" customHeight="false" outlineLevel="0" collapsed="false">
      <c r="A75" s="21" t="str">
        <f aca="false">IF($C75="","",COUNTA($C$10:$C75))</f>
        <v/>
      </c>
      <c r="B75" s="18"/>
      <c r="C75" s="11"/>
      <c r="D75" s="11"/>
      <c r="E75" s="11"/>
      <c r="F75" s="11"/>
      <c r="G75" s="11"/>
      <c r="H75" s="11"/>
      <c r="I75" s="12"/>
      <c r="J75" s="13" t="str">
        <f aca="false">IF($H75="","",IFERROR(VLOOKUP($H75,'BẢNG GIÁ GỐC'!$A$5:$D$254,3,FALSE()),""))</f>
        <v/>
      </c>
      <c r="K75" s="12"/>
      <c r="L75" s="13" t="str">
        <f aca="false">IF($C75="","",N($I75)*N($K75))</f>
        <v/>
      </c>
      <c r="M75" s="11"/>
      <c r="N75" s="14" t="str">
        <f aca="false">IF($C75="","",IF($M75="VAT 5%",0.05,IF($M75="VAT 8%",0.08,IF($M75="VAT 10%",0.1,0))))</f>
        <v/>
      </c>
      <c r="O75" s="13" t="str">
        <f aca="false">IF($C75="","",$L75*$N75)</f>
        <v/>
      </c>
      <c r="P75" s="13" t="str">
        <f aca="false">IF($C75="","",$L75+$O75)</f>
        <v/>
      </c>
      <c r="Q75" s="12"/>
      <c r="R75" s="13" t="str">
        <f aca="false">IF($C75="","",MAX(0,$P75-N($Q75)))</f>
        <v/>
      </c>
      <c r="S75" s="23" t="str">
        <f aca="false">IF(OR($C75="",$P75=0),"",IF(N($Q75)&lt;=0,"Chưa thanh toán",IF(N($Q75)&lt;$P75,"Thanh toán một phần","Đã thanh toán")))</f>
        <v/>
      </c>
      <c r="T75" s="13" t="str">
        <f aca="false">IF(OR($C75="",$J75=""),"",N($I75)*$J75)</f>
        <v/>
      </c>
      <c r="U75" s="13" t="str">
        <f aca="false">IF(OR($C75="",$T75=""),"",$L75-$T75)</f>
        <v/>
      </c>
      <c r="V75" s="14" t="str">
        <f aca="false">IF(OR($U75="",$L75=0),"",$U75/$L75)</f>
        <v/>
      </c>
      <c r="W75" s="11"/>
      <c r="X75" s="23" t="str">
        <f aca="false">IF($C75="","",IF(AND($H75="",N($I75)=0,N($K75)=0),"Dòng chỉ lưu thông tin khách (chưa có đơn); ",IF($B75="","Thiếu ngày đặt; ","")&amp;IF($H75="","Thiếu tên sản phẩm; ",IF($J75="","Chưa khai GIÁ GỐC ở BẢNG GIÁ GỐC; ",""))&amp;IF(N($I75)&lt;=0,"Thiếu số lượng; ","")&amp;IF(N($K75)&lt;=0,"Thiếu giá bán; ","")&amp;IF(AND($N75&gt;0,$F75=""),"Khách lấy VAT thiếu mã số thuế; ","")&amp;IF(N($Q75)&gt;$P75,"Đã thu vượt tổng phải thu; ","")&amp;IF(AND($L75&gt;0,$U75&lt;&gt;"",$U75&lt;0),"CẢNH BÁO: ĐƠN NÀY ĐANG LỖ; ","")))</f>
        <v/>
      </c>
    </row>
    <row r="76" customFormat="false" ht="15" hidden="false" customHeight="false" outlineLevel="0" collapsed="false">
      <c r="A76" s="21" t="str">
        <f aca="false">IF($C76="","",COUNTA($C$10:$C76))</f>
        <v/>
      </c>
      <c r="B76" s="18"/>
      <c r="C76" s="11"/>
      <c r="D76" s="11"/>
      <c r="E76" s="11"/>
      <c r="F76" s="11"/>
      <c r="G76" s="11"/>
      <c r="H76" s="11"/>
      <c r="I76" s="12"/>
      <c r="J76" s="13" t="str">
        <f aca="false">IF($H76="","",IFERROR(VLOOKUP($H76,'BẢNG GIÁ GỐC'!$A$5:$D$254,3,FALSE()),""))</f>
        <v/>
      </c>
      <c r="K76" s="12"/>
      <c r="L76" s="13" t="str">
        <f aca="false">IF($C76="","",N($I76)*N($K76))</f>
        <v/>
      </c>
      <c r="M76" s="11"/>
      <c r="N76" s="14" t="str">
        <f aca="false">IF($C76="","",IF($M76="VAT 5%",0.05,IF($M76="VAT 8%",0.08,IF($M76="VAT 10%",0.1,0))))</f>
        <v/>
      </c>
      <c r="O76" s="13" t="str">
        <f aca="false">IF($C76="","",$L76*$N76)</f>
        <v/>
      </c>
      <c r="P76" s="13" t="str">
        <f aca="false">IF($C76="","",$L76+$O76)</f>
        <v/>
      </c>
      <c r="Q76" s="12"/>
      <c r="R76" s="13" t="str">
        <f aca="false">IF($C76="","",MAX(0,$P76-N($Q76)))</f>
        <v/>
      </c>
      <c r="S76" s="23" t="str">
        <f aca="false">IF(OR($C76="",$P76=0),"",IF(N($Q76)&lt;=0,"Chưa thanh toán",IF(N($Q76)&lt;$P76,"Thanh toán một phần","Đã thanh toán")))</f>
        <v/>
      </c>
      <c r="T76" s="13" t="str">
        <f aca="false">IF(OR($C76="",$J76=""),"",N($I76)*$J76)</f>
        <v/>
      </c>
      <c r="U76" s="13" t="str">
        <f aca="false">IF(OR($C76="",$T76=""),"",$L76-$T76)</f>
        <v/>
      </c>
      <c r="V76" s="14" t="str">
        <f aca="false">IF(OR($U76="",$L76=0),"",$U76/$L76)</f>
        <v/>
      </c>
      <c r="W76" s="11"/>
      <c r="X76" s="23" t="str">
        <f aca="false">IF($C76="","",IF(AND($H76="",N($I76)=0,N($K76)=0),"Dòng chỉ lưu thông tin khách (chưa có đơn); ",IF($B76="","Thiếu ngày đặt; ","")&amp;IF($H76="","Thiếu tên sản phẩm; ",IF($J76="","Chưa khai GIÁ GỐC ở BẢNG GIÁ GỐC; ",""))&amp;IF(N($I76)&lt;=0,"Thiếu số lượng; ","")&amp;IF(N($K76)&lt;=0,"Thiếu giá bán; ","")&amp;IF(AND($N76&gt;0,$F76=""),"Khách lấy VAT thiếu mã số thuế; ","")&amp;IF(N($Q76)&gt;$P76,"Đã thu vượt tổng phải thu; ","")&amp;IF(AND($L76&gt;0,$U76&lt;&gt;"",$U76&lt;0),"CẢNH BÁO: ĐƠN NÀY ĐANG LỖ; ","")))</f>
        <v/>
      </c>
    </row>
    <row r="77" customFormat="false" ht="15" hidden="false" customHeight="false" outlineLevel="0" collapsed="false">
      <c r="A77" s="21" t="str">
        <f aca="false">IF($C77="","",COUNTA($C$10:$C77))</f>
        <v/>
      </c>
      <c r="B77" s="18"/>
      <c r="C77" s="11"/>
      <c r="D77" s="11"/>
      <c r="E77" s="11"/>
      <c r="F77" s="11"/>
      <c r="G77" s="11"/>
      <c r="H77" s="11"/>
      <c r="I77" s="12"/>
      <c r="J77" s="13" t="str">
        <f aca="false">IF($H77="","",IFERROR(VLOOKUP($H77,'BẢNG GIÁ GỐC'!$A$5:$D$254,3,FALSE()),""))</f>
        <v/>
      </c>
      <c r="K77" s="12"/>
      <c r="L77" s="13" t="str">
        <f aca="false">IF($C77="","",N($I77)*N($K77))</f>
        <v/>
      </c>
      <c r="M77" s="11"/>
      <c r="N77" s="14" t="str">
        <f aca="false">IF($C77="","",IF($M77="VAT 5%",0.05,IF($M77="VAT 8%",0.08,IF($M77="VAT 10%",0.1,0))))</f>
        <v/>
      </c>
      <c r="O77" s="13" t="str">
        <f aca="false">IF($C77="","",$L77*$N77)</f>
        <v/>
      </c>
      <c r="P77" s="13" t="str">
        <f aca="false">IF($C77="","",$L77+$O77)</f>
        <v/>
      </c>
      <c r="Q77" s="12"/>
      <c r="R77" s="13" t="str">
        <f aca="false">IF($C77="","",MAX(0,$P77-N($Q77)))</f>
        <v/>
      </c>
      <c r="S77" s="23" t="str">
        <f aca="false">IF(OR($C77="",$P77=0),"",IF(N($Q77)&lt;=0,"Chưa thanh toán",IF(N($Q77)&lt;$P77,"Thanh toán một phần","Đã thanh toán")))</f>
        <v/>
      </c>
      <c r="T77" s="13" t="str">
        <f aca="false">IF(OR($C77="",$J77=""),"",N($I77)*$J77)</f>
        <v/>
      </c>
      <c r="U77" s="13" t="str">
        <f aca="false">IF(OR($C77="",$T77=""),"",$L77-$T77)</f>
        <v/>
      </c>
      <c r="V77" s="14" t="str">
        <f aca="false">IF(OR($U77="",$L77=0),"",$U77/$L77)</f>
        <v/>
      </c>
      <c r="W77" s="11"/>
      <c r="X77" s="23" t="str">
        <f aca="false">IF($C77="","",IF(AND($H77="",N($I77)=0,N($K77)=0),"Dòng chỉ lưu thông tin khách (chưa có đơn); ",IF($B77="","Thiếu ngày đặt; ","")&amp;IF($H77="","Thiếu tên sản phẩm; ",IF($J77="","Chưa khai GIÁ GỐC ở BẢNG GIÁ GỐC; ",""))&amp;IF(N($I77)&lt;=0,"Thiếu số lượng; ","")&amp;IF(N($K77)&lt;=0,"Thiếu giá bán; ","")&amp;IF(AND($N77&gt;0,$F77=""),"Khách lấy VAT thiếu mã số thuế; ","")&amp;IF(N($Q77)&gt;$P77,"Đã thu vượt tổng phải thu; ","")&amp;IF(AND($L77&gt;0,$U77&lt;&gt;"",$U77&lt;0),"CẢNH BÁO: ĐƠN NÀY ĐANG LỖ; ","")))</f>
        <v/>
      </c>
    </row>
    <row r="78" customFormat="false" ht="15" hidden="false" customHeight="false" outlineLevel="0" collapsed="false">
      <c r="A78" s="21" t="str">
        <f aca="false">IF($C78="","",COUNTA($C$10:$C78))</f>
        <v/>
      </c>
      <c r="B78" s="18"/>
      <c r="C78" s="11"/>
      <c r="D78" s="11"/>
      <c r="E78" s="11"/>
      <c r="F78" s="11"/>
      <c r="G78" s="11"/>
      <c r="H78" s="11"/>
      <c r="I78" s="12"/>
      <c r="J78" s="13" t="str">
        <f aca="false">IF($H78="","",IFERROR(VLOOKUP($H78,'BẢNG GIÁ GỐC'!$A$5:$D$254,3,FALSE()),""))</f>
        <v/>
      </c>
      <c r="K78" s="12"/>
      <c r="L78" s="13" t="str">
        <f aca="false">IF($C78="","",N($I78)*N($K78))</f>
        <v/>
      </c>
      <c r="M78" s="11"/>
      <c r="N78" s="14" t="str">
        <f aca="false">IF($C78="","",IF($M78="VAT 5%",0.05,IF($M78="VAT 8%",0.08,IF($M78="VAT 10%",0.1,0))))</f>
        <v/>
      </c>
      <c r="O78" s="13" t="str">
        <f aca="false">IF($C78="","",$L78*$N78)</f>
        <v/>
      </c>
      <c r="P78" s="13" t="str">
        <f aca="false">IF($C78="","",$L78+$O78)</f>
        <v/>
      </c>
      <c r="Q78" s="12"/>
      <c r="R78" s="13" t="str">
        <f aca="false">IF($C78="","",MAX(0,$P78-N($Q78)))</f>
        <v/>
      </c>
      <c r="S78" s="23" t="str">
        <f aca="false">IF(OR($C78="",$P78=0),"",IF(N($Q78)&lt;=0,"Chưa thanh toán",IF(N($Q78)&lt;$P78,"Thanh toán một phần","Đã thanh toán")))</f>
        <v/>
      </c>
      <c r="T78" s="13" t="str">
        <f aca="false">IF(OR($C78="",$J78=""),"",N($I78)*$J78)</f>
        <v/>
      </c>
      <c r="U78" s="13" t="str">
        <f aca="false">IF(OR($C78="",$T78=""),"",$L78-$T78)</f>
        <v/>
      </c>
      <c r="V78" s="14" t="str">
        <f aca="false">IF(OR($U78="",$L78=0),"",$U78/$L78)</f>
        <v/>
      </c>
      <c r="W78" s="11"/>
      <c r="X78" s="23" t="str">
        <f aca="false">IF($C78="","",IF(AND($H78="",N($I78)=0,N($K78)=0),"Dòng chỉ lưu thông tin khách (chưa có đơn); ",IF($B78="","Thiếu ngày đặt; ","")&amp;IF($H78="","Thiếu tên sản phẩm; ",IF($J78="","Chưa khai GIÁ GỐC ở BẢNG GIÁ GỐC; ",""))&amp;IF(N($I78)&lt;=0,"Thiếu số lượng; ","")&amp;IF(N($K78)&lt;=0,"Thiếu giá bán; ","")&amp;IF(AND($N78&gt;0,$F78=""),"Khách lấy VAT thiếu mã số thuế; ","")&amp;IF(N($Q78)&gt;$P78,"Đã thu vượt tổng phải thu; ","")&amp;IF(AND($L78&gt;0,$U78&lt;&gt;"",$U78&lt;0),"CẢNH BÁO: ĐƠN NÀY ĐANG LỖ; ","")))</f>
        <v/>
      </c>
    </row>
    <row r="79" customFormat="false" ht="15" hidden="false" customHeight="false" outlineLevel="0" collapsed="false">
      <c r="A79" s="21" t="str">
        <f aca="false">IF($C79="","",COUNTA($C$10:$C79))</f>
        <v/>
      </c>
      <c r="B79" s="18"/>
      <c r="C79" s="11"/>
      <c r="D79" s="11"/>
      <c r="E79" s="11"/>
      <c r="F79" s="11"/>
      <c r="G79" s="11"/>
      <c r="H79" s="11"/>
      <c r="I79" s="12"/>
      <c r="J79" s="13" t="str">
        <f aca="false">IF($H79="","",IFERROR(VLOOKUP($H79,'BẢNG GIÁ GỐC'!$A$5:$D$254,3,FALSE()),""))</f>
        <v/>
      </c>
      <c r="K79" s="12"/>
      <c r="L79" s="13" t="str">
        <f aca="false">IF($C79="","",N($I79)*N($K79))</f>
        <v/>
      </c>
      <c r="M79" s="11"/>
      <c r="N79" s="14" t="str">
        <f aca="false">IF($C79="","",IF($M79="VAT 5%",0.05,IF($M79="VAT 8%",0.08,IF($M79="VAT 10%",0.1,0))))</f>
        <v/>
      </c>
      <c r="O79" s="13" t="str">
        <f aca="false">IF($C79="","",$L79*$N79)</f>
        <v/>
      </c>
      <c r="P79" s="13" t="str">
        <f aca="false">IF($C79="","",$L79+$O79)</f>
        <v/>
      </c>
      <c r="Q79" s="12"/>
      <c r="R79" s="13" t="str">
        <f aca="false">IF($C79="","",MAX(0,$P79-N($Q79)))</f>
        <v/>
      </c>
      <c r="S79" s="23" t="str">
        <f aca="false">IF(OR($C79="",$P79=0),"",IF(N($Q79)&lt;=0,"Chưa thanh toán",IF(N($Q79)&lt;$P79,"Thanh toán một phần","Đã thanh toán")))</f>
        <v/>
      </c>
      <c r="T79" s="13" t="str">
        <f aca="false">IF(OR($C79="",$J79=""),"",N($I79)*$J79)</f>
        <v/>
      </c>
      <c r="U79" s="13" t="str">
        <f aca="false">IF(OR($C79="",$T79=""),"",$L79-$T79)</f>
        <v/>
      </c>
      <c r="V79" s="14" t="str">
        <f aca="false">IF(OR($U79="",$L79=0),"",$U79/$L79)</f>
        <v/>
      </c>
      <c r="W79" s="11"/>
      <c r="X79" s="23" t="str">
        <f aca="false">IF($C79="","",IF(AND($H79="",N($I79)=0,N($K79)=0),"Dòng chỉ lưu thông tin khách (chưa có đơn); ",IF($B79="","Thiếu ngày đặt; ","")&amp;IF($H79="","Thiếu tên sản phẩm; ",IF($J79="","Chưa khai GIÁ GỐC ở BẢNG GIÁ GỐC; ",""))&amp;IF(N($I79)&lt;=0,"Thiếu số lượng; ","")&amp;IF(N($K79)&lt;=0,"Thiếu giá bán; ","")&amp;IF(AND($N79&gt;0,$F79=""),"Khách lấy VAT thiếu mã số thuế; ","")&amp;IF(N($Q79)&gt;$P79,"Đã thu vượt tổng phải thu; ","")&amp;IF(AND($L79&gt;0,$U79&lt;&gt;"",$U79&lt;0),"CẢNH BÁO: ĐƠN NÀY ĐANG LỖ; ","")))</f>
        <v/>
      </c>
    </row>
    <row r="80" customFormat="false" ht="15" hidden="false" customHeight="false" outlineLevel="0" collapsed="false">
      <c r="A80" s="21" t="str">
        <f aca="false">IF($C80="","",COUNTA($C$10:$C80))</f>
        <v/>
      </c>
      <c r="B80" s="18"/>
      <c r="C80" s="11"/>
      <c r="D80" s="11"/>
      <c r="E80" s="11"/>
      <c r="F80" s="11"/>
      <c r="G80" s="11"/>
      <c r="H80" s="11"/>
      <c r="I80" s="12"/>
      <c r="J80" s="13" t="str">
        <f aca="false">IF($H80="","",IFERROR(VLOOKUP($H80,'BẢNG GIÁ GỐC'!$A$5:$D$254,3,FALSE()),""))</f>
        <v/>
      </c>
      <c r="K80" s="12"/>
      <c r="L80" s="13" t="str">
        <f aca="false">IF($C80="","",N($I80)*N($K80))</f>
        <v/>
      </c>
      <c r="M80" s="11"/>
      <c r="N80" s="14" t="str">
        <f aca="false">IF($C80="","",IF($M80="VAT 5%",0.05,IF($M80="VAT 8%",0.08,IF($M80="VAT 10%",0.1,0))))</f>
        <v/>
      </c>
      <c r="O80" s="13" t="str">
        <f aca="false">IF($C80="","",$L80*$N80)</f>
        <v/>
      </c>
      <c r="P80" s="13" t="str">
        <f aca="false">IF($C80="","",$L80+$O80)</f>
        <v/>
      </c>
      <c r="Q80" s="12"/>
      <c r="R80" s="13" t="str">
        <f aca="false">IF($C80="","",MAX(0,$P80-N($Q80)))</f>
        <v/>
      </c>
      <c r="S80" s="23" t="str">
        <f aca="false">IF(OR($C80="",$P80=0),"",IF(N($Q80)&lt;=0,"Chưa thanh toán",IF(N($Q80)&lt;$P80,"Thanh toán một phần","Đã thanh toán")))</f>
        <v/>
      </c>
      <c r="T80" s="13" t="str">
        <f aca="false">IF(OR($C80="",$J80=""),"",N($I80)*$J80)</f>
        <v/>
      </c>
      <c r="U80" s="13" t="str">
        <f aca="false">IF(OR($C80="",$T80=""),"",$L80-$T80)</f>
        <v/>
      </c>
      <c r="V80" s="14" t="str">
        <f aca="false">IF(OR($U80="",$L80=0),"",$U80/$L80)</f>
        <v/>
      </c>
      <c r="W80" s="11"/>
      <c r="X80" s="23" t="str">
        <f aca="false">IF($C80="","",IF(AND($H80="",N($I80)=0,N($K80)=0),"Dòng chỉ lưu thông tin khách (chưa có đơn); ",IF($B80="","Thiếu ngày đặt; ","")&amp;IF($H80="","Thiếu tên sản phẩm; ",IF($J80="","Chưa khai GIÁ GỐC ở BẢNG GIÁ GỐC; ",""))&amp;IF(N($I80)&lt;=0,"Thiếu số lượng; ","")&amp;IF(N($K80)&lt;=0,"Thiếu giá bán; ","")&amp;IF(AND($N80&gt;0,$F80=""),"Khách lấy VAT thiếu mã số thuế; ","")&amp;IF(N($Q80)&gt;$P80,"Đã thu vượt tổng phải thu; ","")&amp;IF(AND($L80&gt;0,$U80&lt;&gt;"",$U80&lt;0),"CẢNH BÁO: ĐƠN NÀY ĐANG LỖ; ","")))</f>
        <v/>
      </c>
    </row>
    <row r="81" customFormat="false" ht="15" hidden="false" customHeight="false" outlineLevel="0" collapsed="false">
      <c r="A81" s="21" t="str">
        <f aca="false">IF($C81="","",COUNTA($C$10:$C81))</f>
        <v/>
      </c>
      <c r="B81" s="18"/>
      <c r="C81" s="11"/>
      <c r="D81" s="11"/>
      <c r="E81" s="11"/>
      <c r="F81" s="11"/>
      <c r="G81" s="11"/>
      <c r="H81" s="11"/>
      <c r="I81" s="12"/>
      <c r="J81" s="13" t="str">
        <f aca="false">IF($H81="","",IFERROR(VLOOKUP($H81,'BẢNG GIÁ GỐC'!$A$5:$D$254,3,FALSE()),""))</f>
        <v/>
      </c>
      <c r="K81" s="12"/>
      <c r="L81" s="13" t="str">
        <f aca="false">IF($C81="","",N($I81)*N($K81))</f>
        <v/>
      </c>
      <c r="M81" s="11"/>
      <c r="N81" s="14" t="str">
        <f aca="false">IF($C81="","",IF($M81="VAT 5%",0.05,IF($M81="VAT 8%",0.08,IF($M81="VAT 10%",0.1,0))))</f>
        <v/>
      </c>
      <c r="O81" s="13" t="str">
        <f aca="false">IF($C81="","",$L81*$N81)</f>
        <v/>
      </c>
      <c r="P81" s="13" t="str">
        <f aca="false">IF($C81="","",$L81+$O81)</f>
        <v/>
      </c>
      <c r="Q81" s="12"/>
      <c r="R81" s="13" t="str">
        <f aca="false">IF($C81="","",MAX(0,$P81-N($Q81)))</f>
        <v/>
      </c>
      <c r="S81" s="23" t="str">
        <f aca="false">IF(OR($C81="",$P81=0),"",IF(N($Q81)&lt;=0,"Chưa thanh toán",IF(N($Q81)&lt;$P81,"Thanh toán một phần","Đã thanh toán")))</f>
        <v/>
      </c>
      <c r="T81" s="13" t="str">
        <f aca="false">IF(OR($C81="",$J81=""),"",N($I81)*$J81)</f>
        <v/>
      </c>
      <c r="U81" s="13" t="str">
        <f aca="false">IF(OR($C81="",$T81=""),"",$L81-$T81)</f>
        <v/>
      </c>
      <c r="V81" s="14" t="str">
        <f aca="false">IF(OR($U81="",$L81=0),"",$U81/$L81)</f>
        <v/>
      </c>
      <c r="W81" s="11"/>
      <c r="X81" s="23" t="str">
        <f aca="false">IF($C81="","",IF(AND($H81="",N($I81)=0,N($K81)=0),"Dòng chỉ lưu thông tin khách (chưa có đơn); ",IF($B81="","Thiếu ngày đặt; ","")&amp;IF($H81="","Thiếu tên sản phẩm; ",IF($J81="","Chưa khai GIÁ GỐC ở BẢNG GIÁ GỐC; ",""))&amp;IF(N($I81)&lt;=0,"Thiếu số lượng; ","")&amp;IF(N($K81)&lt;=0,"Thiếu giá bán; ","")&amp;IF(AND($N81&gt;0,$F81=""),"Khách lấy VAT thiếu mã số thuế; ","")&amp;IF(N($Q81)&gt;$P81,"Đã thu vượt tổng phải thu; ","")&amp;IF(AND($L81&gt;0,$U81&lt;&gt;"",$U81&lt;0),"CẢNH BÁO: ĐƠN NÀY ĐANG LỖ; ","")))</f>
        <v/>
      </c>
    </row>
    <row r="82" customFormat="false" ht="15" hidden="false" customHeight="false" outlineLevel="0" collapsed="false">
      <c r="A82" s="21" t="str">
        <f aca="false">IF($C82="","",COUNTA($C$10:$C82))</f>
        <v/>
      </c>
      <c r="B82" s="18"/>
      <c r="C82" s="11"/>
      <c r="D82" s="11"/>
      <c r="E82" s="11"/>
      <c r="F82" s="11"/>
      <c r="G82" s="11"/>
      <c r="H82" s="11"/>
      <c r="I82" s="12"/>
      <c r="J82" s="13" t="str">
        <f aca="false">IF($H82="","",IFERROR(VLOOKUP($H82,'BẢNG GIÁ GỐC'!$A$5:$D$254,3,FALSE()),""))</f>
        <v/>
      </c>
      <c r="K82" s="12"/>
      <c r="L82" s="13" t="str">
        <f aca="false">IF($C82="","",N($I82)*N($K82))</f>
        <v/>
      </c>
      <c r="M82" s="11"/>
      <c r="N82" s="14" t="str">
        <f aca="false">IF($C82="","",IF($M82="VAT 5%",0.05,IF($M82="VAT 8%",0.08,IF($M82="VAT 10%",0.1,0))))</f>
        <v/>
      </c>
      <c r="O82" s="13" t="str">
        <f aca="false">IF($C82="","",$L82*$N82)</f>
        <v/>
      </c>
      <c r="P82" s="13" t="str">
        <f aca="false">IF($C82="","",$L82+$O82)</f>
        <v/>
      </c>
      <c r="Q82" s="12"/>
      <c r="R82" s="13" t="str">
        <f aca="false">IF($C82="","",MAX(0,$P82-N($Q82)))</f>
        <v/>
      </c>
      <c r="S82" s="23" t="str">
        <f aca="false">IF(OR($C82="",$P82=0),"",IF(N($Q82)&lt;=0,"Chưa thanh toán",IF(N($Q82)&lt;$P82,"Thanh toán một phần","Đã thanh toán")))</f>
        <v/>
      </c>
      <c r="T82" s="13" t="str">
        <f aca="false">IF(OR($C82="",$J82=""),"",N($I82)*$J82)</f>
        <v/>
      </c>
      <c r="U82" s="13" t="str">
        <f aca="false">IF(OR($C82="",$T82=""),"",$L82-$T82)</f>
        <v/>
      </c>
      <c r="V82" s="14" t="str">
        <f aca="false">IF(OR($U82="",$L82=0),"",$U82/$L82)</f>
        <v/>
      </c>
      <c r="W82" s="11"/>
      <c r="X82" s="23" t="str">
        <f aca="false">IF($C82="","",IF(AND($H82="",N($I82)=0,N($K82)=0),"Dòng chỉ lưu thông tin khách (chưa có đơn); ",IF($B82="","Thiếu ngày đặt; ","")&amp;IF($H82="","Thiếu tên sản phẩm; ",IF($J82="","Chưa khai GIÁ GỐC ở BẢNG GIÁ GỐC; ",""))&amp;IF(N($I82)&lt;=0,"Thiếu số lượng; ","")&amp;IF(N($K82)&lt;=0,"Thiếu giá bán; ","")&amp;IF(AND($N82&gt;0,$F82=""),"Khách lấy VAT thiếu mã số thuế; ","")&amp;IF(N($Q82)&gt;$P82,"Đã thu vượt tổng phải thu; ","")&amp;IF(AND($L82&gt;0,$U82&lt;&gt;"",$U82&lt;0),"CẢNH BÁO: ĐƠN NÀY ĐANG LỖ; ","")))</f>
        <v/>
      </c>
    </row>
    <row r="83" customFormat="false" ht="15" hidden="false" customHeight="false" outlineLevel="0" collapsed="false">
      <c r="A83" s="21" t="str">
        <f aca="false">IF($C83="","",COUNTA($C$10:$C83))</f>
        <v/>
      </c>
      <c r="B83" s="18"/>
      <c r="C83" s="11"/>
      <c r="D83" s="11"/>
      <c r="E83" s="11"/>
      <c r="F83" s="11"/>
      <c r="G83" s="11"/>
      <c r="H83" s="11"/>
      <c r="I83" s="12"/>
      <c r="J83" s="13" t="str">
        <f aca="false">IF($H83="","",IFERROR(VLOOKUP($H83,'BẢNG GIÁ GỐC'!$A$5:$D$254,3,FALSE()),""))</f>
        <v/>
      </c>
      <c r="K83" s="12"/>
      <c r="L83" s="13" t="str">
        <f aca="false">IF($C83="","",N($I83)*N($K83))</f>
        <v/>
      </c>
      <c r="M83" s="11"/>
      <c r="N83" s="14" t="str">
        <f aca="false">IF($C83="","",IF($M83="VAT 5%",0.05,IF($M83="VAT 8%",0.08,IF($M83="VAT 10%",0.1,0))))</f>
        <v/>
      </c>
      <c r="O83" s="13" t="str">
        <f aca="false">IF($C83="","",$L83*$N83)</f>
        <v/>
      </c>
      <c r="P83" s="13" t="str">
        <f aca="false">IF($C83="","",$L83+$O83)</f>
        <v/>
      </c>
      <c r="Q83" s="12"/>
      <c r="R83" s="13" t="str">
        <f aca="false">IF($C83="","",MAX(0,$P83-N($Q83)))</f>
        <v/>
      </c>
      <c r="S83" s="23" t="str">
        <f aca="false">IF(OR($C83="",$P83=0),"",IF(N($Q83)&lt;=0,"Chưa thanh toán",IF(N($Q83)&lt;$P83,"Thanh toán một phần","Đã thanh toán")))</f>
        <v/>
      </c>
      <c r="T83" s="13" t="str">
        <f aca="false">IF(OR($C83="",$J83=""),"",N($I83)*$J83)</f>
        <v/>
      </c>
      <c r="U83" s="13" t="str">
        <f aca="false">IF(OR($C83="",$T83=""),"",$L83-$T83)</f>
        <v/>
      </c>
      <c r="V83" s="14" t="str">
        <f aca="false">IF(OR($U83="",$L83=0),"",$U83/$L83)</f>
        <v/>
      </c>
      <c r="W83" s="11"/>
      <c r="X83" s="23" t="str">
        <f aca="false">IF($C83="","",IF(AND($H83="",N($I83)=0,N($K83)=0),"Dòng chỉ lưu thông tin khách (chưa có đơn); ",IF($B83="","Thiếu ngày đặt; ","")&amp;IF($H83="","Thiếu tên sản phẩm; ",IF($J83="","Chưa khai GIÁ GỐC ở BẢNG GIÁ GỐC; ",""))&amp;IF(N($I83)&lt;=0,"Thiếu số lượng; ","")&amp;IF(N($K83)&lt;=0,"Thiếu giá bán; ","")&amp;IF(AND($N83&gt;0,$F83=""),"Khách lấy VAT thiếu mã số thuế; ","")&amp;IF(N($Q83)&gt;$P83,"Đã thu vượt tổng phải thu; ","")&amp;IF(AND($L83&gt;0,$U83&lt;&gt;"",$U83&lt;0),"CẢNH BÁO: ĐƠN NÀY ĐANG LỖ; ","")))</f>
        <v/>
      </c>
    </row>
    <row r="84" customFormat="false" ht="15" hidden="false" customHeight="false" outlineLevel="0" collapsed="false">
      <c r="A84" s="21" t="str">
        <f aca="false">IF($C84="","",COUNTA($C$10:$C84))</f>
        <v/>
      </c>
      <c r="B84" s="18"/>
      <c r="C84" s="11"/>
      <c r="D84" s="11"/>
      <c r="E84" s="11"/>
      <c r="F84" s="11"/>
      <c r="G84" s="11"/>
      <c r="H84" s="11"/>
      <c r="I84" s="12"/>
      <c r="J84" s="13" t="str">
        <f aca="false">IF($H84="","",IFERROR(VLOOKUP($H84,'BẢNG GIÁ GỐC'!$A$5:$D$254,3,FALSE()),""))</f>
        <v/>
      </c>
      <c r="K84" s="12"/>
      <c r="L84" s="13" t="str">
        <f aca="false">IF($C84="","",N($I84)*N($K84))</f>
        <v/>
      </c>
      <c r="M84" s="11"/>
      <c r="N84" s="14" t="str">
        <f aca="false">IF($C84="","",IF($M84="VAT 5%",0.05,IF($M84="VAT 8%",0.08,IF($M84="VAT 10%",0.1,0))))</f>
        <v/>
      </c>
      <c r="O84" s="13" t="str">
        <f aca="false">IF($C84="","",$L84*$N84)</f>
        <v/>
      </c>
      <c r="P84" s="13" t="str">
        <f aca="false">IF($C84="","",$L84+$O84)</f>
        <v/>
      </c>
      <c r="Q84" s="12"/>
      <c r="R84" s="13" t="str">
        <f aca="false">IF($C84="","",MAX(0,$P84-N($Q84)))</f>
        <v/>
      </c>
      <c r="S84" s="23" t="str">
        <f aca="false">IF(OR($C84="",$P84=0),"",IF(N($Q84)&lt;=0,"Chưa thanh toán",IF(N($Q84)&lt;$P84,"Thanh toán một phần","Đã thanh toán")))</f>
        <v/>
      </c>
      <c r="T84" s="13" t="str">
        <f aca="false">IF(OR($C84="",$J84=""),"",N($I84)*$J84)</f>
        <v/>
      </c>
      <c r="U84" s="13" t="str">
        <f aca="false">IF(OR($C84="",$T84=""),"",$L84-$T84)</f>
        <v/>
      </c>
      <c r="V84" s="14" t="str">
        <f aca="false">IF(OR($U84="",$L84=0),"",$U84/$L84)</f>
        <v/>
      </c>
      <c r="W84" s="11"/>
      <c r="X84" s="23" t="str">
        <f aca="false">IF($C84="","",IF(AND($H84="",N($I84)=0,N($K84)=0),"Dòng chỉ lưu thông tin khách (chưa có đơn); ",IF($B84="","Thiếu ngày đặt; ","")&amp;IF($H84="","Thiếu tên sản phẩm; ",IF($J84="","Chưa khai GIÁ GỐC ở BẢNG GIÁ GỐC; ",""))&amp;IF(N($I84)&lt;=0,"Thiếu số lượng; ","")&amp;IF(N($K84)&lt;=0,"Thiếu giá bán; ","")&amp;IF(AND($N84&gt;0,$F84=""),"Khách lấy VAT thiếu mã số thuế; ","")&amp;IF(N($Q84)&gt;$P84,"Đã thu vượt tổng phải thu; ","")&amp;IF(AND($L84&gt;0,$U84&lt;&gt;"",$U84&lt;0),"CẢNH BÁO: ĐƠN NÀY ĐANG LỖ; ","")))</f>
        <v/>
      </c>
    </row>
    <row r="85" customFormat="false" ht="15" hidden="false" customHeight="false" outlineLevel="0" collapsed="false">
      <c r="A85" s="21" t="str">
        <f aca="false">IF($C85="","",COUNTA($C$10:$C85))</f>
        <v/>
      </c>
      <c r="B85" s="18"/>
      <c r="C85" s="11"/>
      <c r="D85" s="11"/>
      <c r="E85" s="11"/>
      <c r="F85" s="11"/>
      <c r="G85" s="11"/>
      <c r="H85" s="11"/>
      <c r="I85" s="12"/>
      <c r="J85" s="13" t="str">
        <f aca="false">IF($H85="","",IFERROR(VLOOKUP($H85,'BẢNG GIÁ GỐC'!$A$5:$D$254,3,FALSE()),""))</f>
        <v/>
      </c>
      <c r="K85" s="12"/>
      <c r="L85" s="13" t="str">
        <f aca="false">IF($C85="","",N($I85)*N($K85))</f>
        <v/>
      </c>
      <c r="M85" s="11"/>
      <c r="N85" s="14" t="str">
        <f aca="false">IF($C85="","",IF($M85="VAT 5%",0.05,IF($M85="VAT 8%",0.08,IF($M85="VAT 10%",0.1,0))))</f>
        <v/>
      </c>
      <c r="O85" s="13" t="str">
        <f aca="false">IF($C85="","",$L85*$N85)</f>
        <v/>
      </c>
      <c r="P85" s="13" t="str">
        <f aca="false">IF($C85="","",$L85+$O85)</f>
        <v/>
      </c>
      <c r="Q85" s="12"/>
      <c r="R85" s="13" t="str">
        <f aca="false">IF($C85="","",MAX(0,$P85-N($Q85)))</f>
        <v/>
      </c>
      <c r="S85" s="23" t="str">
        <f aca="false">IF(OR($C85="",$P85=0),"",IF(N($Q85)&lt;=0,"Chưa thanh toán",IF(N($Q85)&lt;$P85,"Thanh toán một phần","Đã thanh toán")))</f>
        <v/>
      </c>
      <c r="T85" s="13" t="str">
        <f aca="false">IF(OR($C85="",$J85=""),"",N($I85)*$J85)</f>
        <v/>
      </c>
      <c r="U85" s="13" t="str">
        <f aca="false">IF(OR($C85="",$T85=""),"",$L85-$T85)</f>
        <v/>
      </c>
      <c r="V85" s="14" t="str">
        <f aca="false">IF(OR($U85="",$L85=0),"",$U85/$L85)</f>
        <v/>
      </c>
      <c r="W85" s="11"/>
      <c r="X85" s="23" t="str">
        <f aca="false">IF($C85="","",IF(AND($H85="",N($I85)=0,N($K85)=0),"Dòng chỉ lưu thông tin khách (chưa có đơn); ",IF($B85="","Thiếu ngày đặt; ","")&amp;IF($H85="","Thiếu tên sản phẩm; ",IF($J85="","Chưa khai GIÁ GỐC ở BẢNG GIÁ GỐC; ",""))&amp;IF(N($I85)&lt;=0,"Thiếu số lượng; ","")&amp;IF(N($K85)&lt;=0,"Thiếu giá bán; ","")&amp;IF(AND($N85&gt;0,$F85=""),"Khách lấy VAT thiếu mã số thuế; ","")&amp;IF(N($Q85)&gt;$P85,"Đã thu vượt tổng phải thu; ","")&amp;IF(AND($L85&gt;0,$U85&lt;&gt;"",$U85&lt;0),"CẢNH BÁO: ĐƠN NÀY ĐANG LỖ; ","")))</f>
        <v/>
      </c>
    </row>
    <row r="86" customFormat="false" ht="15" hidden="false" customHeight="false" outlineLevel="0" collapsed="false">
      <c r="A86" s="21" t="str">
        <f aca="false">IF($C86="","",COUNTA($C$10:$C86))</f>
        <v/>
      </c>
      <c r="B86" s="18"/>
      <c r="C86" s="11"/>
      <c r="D86" s="11"/>
      <c r="E86" s="11"/>
      <c r="F86" s="11"/>
      <c r="G86" s="11"/>
      <c r="H86" s="11"/>
      <c r="I86" s="12"/>
      <c r="J86" s="13" t="str">
        <f aca="false">IF($H86="","",IFERROR(VLOOKUP($H86,'BẢNG GIÁ GỐC'!$A$5:$D$254,3,FALSE()),""))</f>
        <v/>
      </c>
      <c r="K86" s="12"/>
      <c r="L86" s="13" t="str">
        <f aca="false">IF($C86="","",N($I86)*N($K86))</f>
        <v/>
      </c>
      <c r="M86" s="11"/>
      <c r="N86" s="14" t="str">
        <f aca="false">IF($C86="","",IF($M86="VAT 5%",0.05,IF($M86="VAT 8%",0.08,IF($M86="VAT 10%",0.1,0))))</f>
        <v/>
      </c>
      <c r="O86" s="13" t="str">
        <f aca="false">IF($C86="","",$L86*$N86)</f>
        <v/>
      </c>
      <c r="P86" s="13" t="str">
        <f aca="false">IF($C86="","",$L86+$O86)</f>
        <v/>
      </c>
      <c r="Q86" s="12"/>
      <c r="R86" s="13" t="str">
        <f aca="false">IF($C86="","",MAX(0,$P86-N($Q86)))</f>
        <v/>
      </c>
      <c r="S86" s="23" t="str">
        <f aca="false">IF(OR($C86="",$P86=0),"",IF(N($Q86)&lt;=0,"Chưa thanh toán",IF(N($Q86)&lt;$P86,"Thanh toán một phần","Đã thanh toán")))</f>
        <v/>
      </c>
      <c r="T86" s="13" t="str">
        <f aca="false">IF(OR($C86="",$J86=""),"",N($I86)*$J86)</f>
        <v/>
      </c>
      <c r="U86" s="13" t="str">
        <f aca="false">IF(OR($C86="",$T86=""),"",$L86-$T86)</f>
        <v/>
      </c>
      <c r="V86" s="14" t="str">
        <f aca="false">IF(OR($U86="",$L86=0),"",$U86/$L86)</f>
        <v/>
      </c>
      <c r="W86" s="11"/>
      <c r="X86" s="23" t="str">
        <f aca="false">IF($C86="","",IF(AND($H86="",N($I86)=0,N($K86)=0),"Dòng chỉ lưu thông tin khách (chưa có đơn); ",IF($B86="","Thiếu ngày đặt; ","")&amp;IF($H86="","Thiếu tên sản phẩm; ",IF($J86="","Chưa khai GIÁ GỐC ở BẢNG GIÁ GỐC; ",""))&amp;IF(N($I86)&lt;=0,"Thiếu số lượng; ","")&amp;IF(N($K86)&lt;=0,"Thiếu giá bán; ","")&amp;IF(AND($N86&gt;0,$F86=""),"Khách lấy VAT thiếu mã số thuế; ","")&amp;IF(N($Q86)&gt;$P86,"Đã thu vượt tổng phải thu; ","")&amp;IF(AND($L86&gt;0,$U86&lt;&gt;"",$U86&lt;0),"CẢNH BÁO: ĐƠN NÀY ĐANG LỖ; ","")))</f>
        <v/>
      </c>
    </row>
    <row r="87" customFormat="false" ht="15" hidden="false" customHeight="false" outlineLevel="0" collapsed="false">
      <c r="A87" s="21" t="str">
        <f aca="false">IF($C87="","",COUNTA($C$10:$C87))</f>
        <v/>
      </c>
      <c r="B87" s="18"/>
      <c r="C87" s="11"/>
      <c r="D87" s="11"/>
      <c r="E87" s="11"/>
      <c r="F87" s="11"/>
      <c r="G87" s="11"/>
      <c r="H87" s="11"/>
      <c r="I87" s="12"/>
      <c r="J87" s="13" t="str">
        <f aca="false">IF($H87="","",IFERROR(VLOOKUP($H87,'BẢNG GIÁ GỐC'!$A$5:$D$254,3,FALSE()),""))</f>
        <v/>
      </c>
      <c r="K87" s="12"/>
      <c r="L87" s="13" t="str">
        <f aca="false">IF($C87="","",N($I87)*N($K87))</f>
        <v/>
      </c>
      <c r="M87" s="11"/>
      <c r="N87" s="14" t="str">
        <f aca="false">IF($C87="","",IF($M87="VAT 5%",0.05,IF($M87="VAT 8%",0.08,IF($M87="VAT 10%",0.1,0))))</f>
        <v/>
      </c>
      <c r="O87" s="13" t="str">
        <f aca="false">IF($C87="","",$L87*$N87)</f>
        <v/>
      </c>
      <c r="P87" s="13" t="str">
        <f aca="false">IF($C87="","",$L87+$O87)</f>
        <v/>
      </c>
      <c r="Q87" s="12"/>
      <c r="R87" s="13" t="str">
        <f aca="false">IF($C87="","",MAX(0,$P87-N($Q87)))</f>
        <v/>
      </c>
      <c r="S87" s="23" t="str">
        <f aca="false">IF(OR($C87="",$P87=0),"",IF(N($Q87)&lt;=0,"Chưa thanh toán",IF(N($Q87)&lt;$P87,"Thanh toán một phần","Đã thanh toán")))</f>
        <v/>
      </c>
      <c r="T87" s="13" t="str">
        <f aca="false">IF(OR($C87="",$J87=""),"",N($I87)*$J87)</f>
        <v/>
      </c>
      <c r="U87" s="13" t="str">
        <f aca="false">IF(OR($C87="",$T87=""),"",$L87-$T87)</f>
        <v/>
      </c>
      <c r="V87" s="14" t="str">
        <f aca="false">IF(OR($U87="",$L87=0),"",$U87/$L87)</f>
        <v/>
      </c>
      <c r="W87" s="11"/>
      <c r="X87" s="23" t="str">
        <f aca="false">IF($C87="","",IF(AND($H87="",N($I87)=0,N($K87)=0),"Dòng chỉ lưu thông tin khách (chưa có đơn); ",IF($B87="","Thiếu ngày đặt; ","")&amp;IF($H87="","Thiếu tên sản phẩm; ",IF($J87="","Chưa khai GIÁ GỐC ở BẢNG GIÁ GỐC; ",""))&amp;IF(N($I87)&lt;=0,"Thiếu số lượng; ","")&amp;IF(N($K87)&lt;=0,"Thiếu giá bán; ","")&amp;IF(AND($N87&gt;0,$F87=""),"Khách lấy VAT thiếu mã số thuế; ","")&amp;IF(N($Q87)&gt;$P87,"Đã thu vượt tổng phải thu; ","")&amp;IF(AND($L87&gt;0,$U87&lt;&gt;"",$U87&lt;0),"CẢNH BÁO: ĐƠN NÀY ĐANG LỖ; ","")))</f>
        <v/>
      </c>
    </row>
    <row r="88" customFormat="false" ht="15" hidden="false" customHeight="false" outlineLevel="0" collapsed="false">
      <c r="A88" s="21" t="str">
        <f aca="false">IF($C88="","",COUNTA($C$10:$C88))</f>
        <v/>
      </c>
      <c r="B88" s="18"/>
      <c r="C88" s="11"/>
      <c r="D88" s="11"/>
      <c r="E88" s="11"/>
      <c r="F88" s="11"/>
      <c r="G88" s="11"/>
      <c r="H88" s="11"/>
      <c r="I88" s="12"/>
      <c r="J88" s="13" t="str">
        <f aca="false">IF($H88="","",IFERROR(VLOOKUP($H88,'BẢNG GIÁ GỐC'!$A$5:$D$254,3,FALSE()),""))</f>
        <v/>
      </c>
      <c r="K88" s="12"/>
      <c r="L88" s="13" t="str">
        <f aca="false">IF($C88="","",N($I88)*N($K88))</f>
        <v/>
      </c>
      <c r="M88" s="11"/>
      <c r="N88" s="14" t="str">
        <f aca="false">IF($C88="","",IF($M88="VAT 5%",0.05,IF($M88="VAT 8%",0.08,IF($M88="VAT 10%",0.1,0))))</f>
        <v/>
      </c>
      <c r="O88" s="13" t="str">
        <f aca="false">IF($C88="","",$L88*$N88)</f>
        <v/>
      </c>
      <c r="P88" s="13" t="str">
        <f aca="false">IF($C88="","",$L88+$O88)</f>
        <v/>
      </c>
      <c r="Q88" s="12"/>
      <c r="R88" s="13" t="str">
        <f aca="false">IF($C88="","",MAX(0,$P88-N($Q88)))</f>
        <v/>
      </c>
      <c r="S88" s="23" t="str">
        <f aca="false">IF(OR($C88="",$P88=0),"",IF(N($Q88)&lt;=0,"Chưa thanh toán",IF(N($Q88)&lt;$P88,"Thanh toán một phần","Đã thanh toán")))</f>
        <v/>
      </c>
      <c r="T88" s="13" t="str">
        <f aca="false">IF(OR($C88="",$J88=""),"",N($I88)*$J88)</f>
        <v/>
      </c>
      <c r="U88" s="13" t="str">
        <f aca="false">IF(OR($C88="",$T88=""),"",$L88-$T88)</f>
        <v/>
      </c>
      <c r="V88" s="14" t="str">
        <f aca="false">IF(OR($U88="",$L88=0),"",$U88/$L88)</f>
        <v/>
      </c>
      <c r="W88" s="11"/>
      <c r="X88" s="23" t="str">
        <f aca="false">IF($C88="","",IF(AND($H88="",N($I88)=0,N($K88)=0),"Dòng chỉ lưu thông tin khách (chưa có đơn); ",IF($B88="","Thiếu ngày đặt; ","")&amp;IF($H88="","Thiếu tên sản phẩm; ",IF($J88="","Chưa khai GIÁ GỐC ở BẢNG GIÁ GỐC; ",""))&amp;IF(N($I88)&lt;=0,"Thiếu số lượng; ","")&amp;IF(N($K88)&lt;=0,"Thiếu giá bán; ","")&amp;IF(AND($N88&gt;0,$F88=""),"Khách lấy VAT thiếu mã số thuế; ","")&amp;IF(N($Q88)&gt;$P88,"Đã thu vượt tổng phải thu; ","")&amp;IF(AND($L88&gt;0,$U88&lt;&gt;"",$U88&lt;0),"CẢNH BÁO: ĐƠN NÀY ĐANG LỖ; ","")))</f>
        <v/>
      </c>
    </row>
    <row r="89" customFormat="false" ht="15" hidden="false" customHeight="false" outlineLevel="0" collapsed="false">
      <c r="A89" s="21" t="str">
        <f aca="false">IF($C89="","",COUNTA($C$10:$C89))</f>
        <v/>
      </c>
      <c r="B89" s="18"/>
      <c r="C89" s="11"/>
      <c r="D89" s="11"/>
      <c r="E89" s="11"/>
      <c r="F89" s="11"/>
      <c r="G89" s="11"/>
      <c r="H89" s="11"/>
      <c r="I89" s="12"/>
      <c r="J89" s="13" t="str">
        <f aca="false">IF($H89="","",IFERROR(VLOOKUP($H89,'BẢNG GIÁ GỐC'!$A$5:$D$254,3,FALSE()),""))</f>
        <v/>
      </c>
      <c r="K89" s="12"/>
      <c r="L89" s="13" t="str">
        <f aca="false">IF($C89="","",N($I89)*N($K89))</f>
        <v/>
      </c>
      <c r="M89" s="11"/>
      <c r="N89" s="14" t="str">
        <f aca="false">IF($C89="","",IF($M89="VAT 5%",0.05,IF($M89="VAT 8%",0.08,IF($M89="VAT 10%",0.1,0))))</f>
        <v/>
      </c>
      <c r="O89" s="13" t="str">
        <f aca="false">IF($C89="","",$L89*$N89)</f>
        <v/>
      </c>
      <c r="P89" s="13" t="str">
        <f aca="false">IF($C89="","",$L89+$O89)</f>
        <v/>
      </c>
      <c r="Q89" s="12"/>
      <c r="R89" s="13" t="str">
        <f aca="false">IF($C89="","",MAX(0,$P89-N($Q89)))</f>
        <v/>
      </c>
      <c r="S89" s="23" t="str">
        <f aca="false">IF(OR($C89="",$P89=0),"",IF(N($Q89)&lt;=0,"Chưa thanh toán",IF(N($Q89)&lt;$P89,"Thanh toán một phần","Đã thanh toán")))</f>
        <v/>
      </c>
      <c r="T89" s="13" t="str">
        <f aca="false">IF(OR($C89="",$J89=""),"",N($I89)*$J89)</f>
        <v/>
      </c>
      <c r="U89" s="13" t="str">
        <f aca="false">IF(OR($C89="",$T89=""),"",$L89-$T89)</f>
        <v/>
      </c>
      <c r="V89" s="14" t="str">
        <f aca="false">IF(OR($U89="",$L89=0),"",$U89/$L89)</f>
        <v/>
      </c>
      <c r="W89" s="11"/>
      <c r="X89" s="23" t="str">
        <f aca="false">IF($C89="","",IF(AND($H89="",N($I89)=0,N($K89)=0),"Dòng chỉ lưu thông tin khách (chưa có đơn); ",IF($B89="","Thiếu ngày đặt; ","")&amp;IF($H89="","Thiếu tên sản phẩm; ",IF($J89="","Chưa khai GIÁ GỐC ở BẢNG GIÁ GỐC; ",""))&amp;IF(N($I89)&lt;=0,"Thiếu số lượng; ","")&amp;IF(N($K89)&lt;=0,"Thiếu giá bán; ","")&amp;IF(AND($N89&gt;0,$F89=""),"Khách lấy VAT thiếu mã số thuế; ","")&amp;IF(N($Q89)&gt;$P89,"Đã thu vượt tổng phải thu; ","")&amp;IF(AND($L89&gt;0,$U89&lt;&gt;"",$U89&lt;0),"CẢNH BÁO: ĐƠN NÀY ĐANG LỖ; ","")))</f>
        <v/>
      </c>
    </row>
    <row r="90" customFormat="false" ht="15" hidden="false" customHeight="false" outlineLevel="0" collapsed="false">
      <c r="A90" s="21" t="str">
        <f aca="false">IF($C90="","",COUNTA($C$10:$C90))</f>
        <v/>
      </c>
      <c r="B90" s="18"/>
      <c r="C90" s="11"/>
      <c r="D90" s="11"/>
      <c r="E90" s="11"/>
      <c r="F90" s="11"/>
      <c r="G90" s="11"/>
      <c r="H90" s="11"/>
      <c r="I90" s="12"/>
      <c r="J90" s="13" t="str">
        <f aca="false">IF($H90="","",IFERROR(VLOOKUP($H90,'BẢNG GIÁ GỐC'!$A$5:$D$254,3,FALSE()),""))</f>
        <v/>
      </c>
      <c r="K90" s="12"/>
      <c r="L90" s="13" t="str">
        <f aca="false">IF($C90="","",N($I90)*N($K90))</f>
        <v/>
      </c>
      <c r="M90" s="11"/>
      <c r="N90" s="14" t="str">
        <f aca="false">IF($C90="","",IF($M90="VAT 5%",0.05,IF($M90="VAT 8%",0.08,IF($M90="VAT 10%",0.1,0))))</f>
        <v/>
      </c>
      <c r="O90" s="13" t="str">
        <f aca="false">IF($C90="","",$L90*$N90)</f>
        <v/>
      </c>
      <c r="P90" s="13" t="str">
        <f aca="false">IF($C90="","",$L90+$O90)</f>
        <v/>
      </c>
      <c r="Q90" s="12"/>
      <c r="R90" s="13" t="str">
        <f aca="false">IF($C90="","",MAX(0,$P90-N($Q90)))</f>
        <v/>
      </c>
      <c r="S90" s="23" t="str">
        <f aca="false">IF(OR($C90="",$P90=0),"",IF(N($Q90)&lt;=0,"Chưa thanh toán",IF(N($Q90)&lt;$P90,"Thanh toán một phần","Đã thanh toán")))</f>
        <v/>
      </c>
      <c r="T90" s="13" t="str">
        <f aca="false">IF(OR($C90="",$J90=""),"",N($I90)*$J90)</f>
        <v/>
      </c>
      <c r="U90" s="13" t="str">
        <f aca="false">IF(OR($C90="",$T90=""),"",$L90-$T90)</f>
        <v/>
      </c>
      <c r="V90" s="14" t="str">
        <f aca="false">IF(OR($U90="",$L90=0),"",$U90/$L90)</f>
        <v/>
      </c>
      <c r="W90" s="11"/>
      <c r="X90" s="23" t="str">
        <f aca="false">IF($C90="","",IF(AND($H90="",N($I90)=0,N($K90)=0),"Dòng chỉ lưu thông tin khách (chưa có đơn); ",IF($B90="","Thiếu ngày đặt; ","")&amp;IF($H90="","Thiếu tên sản phẩm; ",IF($J90="","Chưa khai GIÁ GỐC ở BẢNG GIÁ GỐC; ",""))&amp;IF(N($I90)&lt;=0,"Thiếu số lượng; ","")&amp;IF(N($K90)&lt;=0,"Thiếu giá bán; ","")&amp;IF(AND($N90&gt;0,$F90=""),"Khách lấy VAT thiếu mã số thuế; ","")&amp;IF(N($Q90)&gt;$P90,"Đã thu vượt tổng phải thu; ","")&amp;IF(AND($L90&gt;0,$U90&lt;&gt;"",$U90&lt;0),"CẢNH BÁO: ĐƠN NÀY ĐANG LỖ; ","")))</f>
        <v/>
      </c>
    </row>
    <row r="91" customFormat="false" ht="15" hidden="false" customHeight="false" outlineLevel="0" collapsed="false">
      <c r="A91" s="21" t="str">
        <f aca="false">IF($C91="","",COUNTA($C$10:$C91))</f>
        <v/>
      </c>
      <c r="B91" s="18"/>
      <c r="C91" s="11"/>
      <c r="D91" s="11"/>
      <c r="E91" s="11"/>
      <c r="F91" s="11"/>
      <c r="G91" s="11"/>
      <c r="H91" s="11"/>
      <c r="I91" s="12"/>
      <c r="J91" s="13" t="str">
        <f aca="false">IF($H91="","",IFERROR(VLOOKUP($H91,'BẢNG GIÁ GỐC'!$A$5:$D$254,3,FALSE()),""))</f>
        <v/>
      </c>
      <c r="K91" s="12"/>
      <c r="L91" s="13" t="str">
        <f aca="false">IF($C91="","",N($I91)*N($K91))</f>
        <v/>
      </c>
      <c r="M91" s="11"/>
      <c r="N91" s="14" t="str">
        <f aca="false">IF($C91="","",IF($M91="VAT 5%",0.05,IF($M91="VAT 8%",0.08,IF($M91="VAT 10%",0.1,0))))</f>
        <v/>
      </c>
      <c r="O91" s="13" t="str">
        <f aca="false">IF($C91="","",$L91*$N91)</f>
        <v/>
      </c>
      <c r="P91" s="13" t="str">
        <f aca="false">IF($C91="","",$L91+$O91)</f>
        <v/>
      </c>
      <c r="Q91" s="12"/>
      <c r="R91" s="13" t="str">
        <f aca="false">IF($C91="","",MAX(0,$P91-N($Q91)))</f>
        <v/>
      </c>
      <c r="S91" s="23" t="str">
        <f aca="false">IF(OR($C91="",$P91=0),"",IF(N($Q91)&lt;=0,"Chưa thanh toán",IF(N($Q91)&lt;$P91,"Thanh toán một phần","Đã thanh toán")))</f>
        <v/>
      </c>
      <c r="T91" s="13" t="str">
        <f aca="false">IF(OR($C91="",$J91=""),"",N($I91)*$J91)</f>
        <v/>
      </c>
      <c r="U91" s="13" t="str">
        <f aca="false">IF(OR($C91="",$T91=""),"",$L91-$T91)</f>
        <v/>
      </c>
      <c r="V91" s="14" t="str">
        <f aca="false">IF(OR($U91="",$L91=0),"",$U91/$L91)</f>
        <v/>
      </c>
      <c r="W91" s="11"/>
      <c r="X91" s="23" t="str">
        <f aca="false">IF($C91="","",IF(AND($H91="",N($I91)=0,N($K91)=0),"Dòng chỉ lưu thông tin khách (chưa có đơn); ",IF($B91="","Thiếu ngày đặt; ","")&amp;IF($H91="","Thiếu tên sản phẩm; ",IF($J91="","Chưa khai GIÁ GỐC ở BẢNG GIÁ GỐC; ",""))&amp;IF(N($I91)&lt;=0,"Thiếu số lượng; ","")&amp;IF(N($K91)&lt;=0,"Thiếu giá bán; ","")&amp;IF(AND($N91&gt;0,$F91=""),"Khách lấy VAT thiếu mã số thuế; ","")&amp;IF(N($Q91)&gt;$P91,"Đã thu vượt tổng phải thu; ","")&amp;IF(AND($L91&gt;0,$U91&lt;&gt;"",$U91&lt;0),"CẢNH BÁO: ĐƠN NÀY ĐANG LỖ; ","")))</f>
        <v/>
      </c>
    </row>
    <row r="92" customFormat="false" ht="15" hidden="false" customHeight="false" outlineLevel="0" collapsed="false">
      <c r="A92" s="21" t="str">
        <f aca="false">IF($C92="","",COUNTA($C$10:$C92))</f>
        <v/>
      </c>
      <c r="B92" s="18"/>
      <c r="C92" s="11"/>
      <c r="D92" s="11"/>
      <c r="E92" s="11"/>
      <c r="F92" s="11"/>
      <c r="G92" s="11"/>
      <c r="H92" s="11"/>
      <c r="I92" s="12"/>
      <c r="J92" s="13" t="str">
        <f aca="false">IF($H92="","",IFERROR(VLOOKUP($H92,'BẢNG GIÁ GỐC'!$A$5:$D$254,3,FALSE()),""))</f>
        <v/>
      </c>
      <c r="K92" s="12"/>
      <c r="L92" s="13" t="str">
        <f aca="false">IF($C92="","",N($I92)*N($K92))</f>
        <v/>
      </c>
      <c r="M92" s="11"/>
      <c r="N92" s="14" t="str">
        <f aca="false">IF($C92="","",IF($M92="VAT 5%",0.05,IF($M92="VAT 8%",0.08,IF($M92="VAT 10%",0.1,0))))</f>
        <v/>
      </c>
      <c r="O92" s="13" t="str">
        <f aca="false">IF($C92="","",$L92*$N92)</f>
        <v/>
      </c>
      <c r="P92" s="13" t="str">
        <f aca="false">IF($C92="","",$L92+$O92)</f>
        <v/>
      </c>
      <c r="Q92" s="12"/>
      <c r="R92" s="13" t="str">
        <f aca="false">IF($C92="","",MAX(0,$P92-N($Q92)))</f>
        <v/>
      </c>
      <c r="S92" s="23" t="str">
        <f aca="false">IF(OR($C92="",$P92=0),"",IF(N($Q92)&lt;=0,"Chưa thanh toán",IF(N($Q92)&lt;$P92,"Thanh toán một phần","Đã thanh toán")))</f>
        <v/>
      </c>
      <c r="T92" s="13" t="str">
        <f aca="false">IF(OR($C92="",$J92=""),"",N($I92)*$J92)</f>
        <v/>
      </c>
      <c r="U92" s="13" t="str">
        <f aca="false">IF(OR($C92="",$T92=""),"",$L92-$T92)</f>
        <v/>
      </c>
      <c r="V92" s="14" t="str">
        <f aca="false">IF(OR($U92="",$L92=0),"",$U92/$L92)</f>
        <v/>
      </c>
      <c r="W92" s="11"/>
      <c r="X92" s="23" t="str">
        <f aca="false">IF($C92="","",IF(AND($H92="",N($I92)=0,N($K92)=0),"Dòng chỉ lưu thông tin khách (chưa có đơn); ",IF($B92="","Thiếu ngày đặt; ","")&amp;IF($H92="","Thiếu tên sản phẩm; ",IF($J92="","Chưa khai GIÁ GỐC ở BẢNG GIÁ GỐC; ",""))&amp;IF(N($I92)&lt;=0,"Thiếu số lượng; ","")&amp;IF(N($K92)&lt;=0,"Thiếu giá bán; ","")&amp;IF(AND($N92&gt;0,$F92=""),"Khách lấy VAT thiếu mã số thuế; ","")&amp;IF(N($Q92)&gt;$P92,"Đã thu vượt tổng phải thu; ","")&amp;IF(AND($L92&gt;0,$U92&lt;&gt;"",$U92&lt;0),"CẢNH BÁO: ĐƠN NÀY ĐANG LỖ; ","")))</f>
        <v/>
      </c>
    </row>
    <row r="93" customFormat="false" ht="15" hidden="false" customHeight="false" outlineLevel="0" collapsed="false">
      <c r="A93" s="21" t="str">
        <f aca="false">IF($C93="","",COUNTA($C$10:$C93))</f>
        <v/>
      </c>
      <c r="B93" s="18"/>
      <c r="C93" s="11"/>
      <c r="D93" s="11"/>
      <c r="E93" s="11"/>
      <c r="F93" s="11"/>
      <c r="G93" s="11"/>
      <c r="H93" s="11"/>
      <c r="I93" s="12"/>
      <c r="J93" s="13" t="str">
        <f aca="false">IF($H93="","",IFERROR(VLOOKUP($H93,'BẢNG GIÁ GỐC'!$A$5:$D$254,3,FALSE()),""))</f>
        <v/>
      </c>
      <c r="K93" s="12"/>
      <c r="L93" s="13" t="str">
        <f aca="false">IF($C93="","",N($I93)*N($K93))</f>
        <v/>
      </c>
      <c r="M93" s="11"/>
      <c r="N93" s="14" t="str">
        <f aca="false">IF($C93="","",IF($M93="VAT 5%",0.05,IF($M93="VAT 8%",0.08,IF($M93="VAT 10%",0.1,0))))</f>
        <v/>
      </c>
      <c r="O93" s="13" t="str">
        <f aca="false">IF($C93="","",$L93*$N93)</f>
        <v/>
      </c>
      <c r="P93" s="13" t="str">
        <f aca="false">IF($C93="","",$L93+$O93)</f>
        <v/>
      </c>
      <c r="Q93" s="12"/>
      <c r="R93" s="13" t="str">
        <f aca="false">IF($C93="","",MAX(0,$P93-N($Q93)))</f>
        <v/>
      </c>
      <c r="S93" s="23" t="str">
        <f aca="false">IF(OR($C93="",$P93=0),"",IF(N($Q93)&lt;=0,"Chưa thanh toán",IF(N($Q93)&lt;$P93,"Thanh toán một phần","Đã thanh toán")))</f>
        <v/>
      </c>
      <c r="T93" s="13" t="str">
        <f aca="false">IF(OR($C93="",$J93=""),"",N($I93)*$J93)</f>
        <v/>
      </c>
      <c r="U93" s="13" t="str">
        <f aca="false">IF(OR($C93="",$T93=""),"",$L93-$T93)</f>
        <v/>
      </c>
      <c r="V93" s="14" t="str">
        <f aca="false">IF(OR($U93="",$L93=0),"",$U93/$L93)</f>
        <v/>
      </c>
      <c r="W93" s="11"/>
      <c r="X93" s="23" t="str">
        <f aca="false">IF($C93="","",IF(AND($H93="",N($I93)=0,N($K93)=0),"Dòng chỉ lưu thông tin khách (chưa có đơn); ",IF($B93="","Thiếu ngày đặt; ","")&amp;IF($H93="","Thiếu tên sản phẩm; ",IF($J93="","Chưa khai GIÁ GỐC ở BẢNG GIÁ GỐC; ",""))&amp;IF(N($I93)&lt;=0,"Thiếu số lượng; ","")&amp;IF(N($K93)&lt;=0,"Thiếu giá bán; ","")&amp;IF(AND($N93&gt;0,$F93=""),"Khách lấy VAT thiếu mã số thuế; ","")&amp;IF(N($Q93)&gt;$P93,"Đã thu vượt tổng phải thu; ","")&amp;IF(AND($L93&gt;0,$U93&lt;&gt;"",$U93&lt;0),"CẢNH BÁO: ĐƠN NÀY ĐANG LỖ; ","")))</f>
        <v/>
      </c>
    </row>
    <row r="94" customFormat="false" ht="15" hidden="false" customHeight="false" outlineLevel="0" collapsed="false">
      <c r="A94" s="21" t="str">
        <f aca="false">IF($C94="","",COUNTA($C$10:$C94))</f>
        <v/>
      </c>
      <c r="B94" s="18"/>
      <c r="C94" s="11"/>
      <c r="D94" s="11"/>
      <c r="E94" s="11"/>
      <c r="F94" s="11"/>
      <c r="G94" s="11"/>
      <c r="H94" s="11"/>
      <c r="I94" s="12"/>
      <c r="J94" s="13" t="str">
        <f aca="false">IF($H94="","",IFERROR(VLOOKUP($H94,'BẢNG GIÁ GỐC'!$A$5:$D$254,3,FALSE()),""))</f>
        <v/>
      </c>
      <c r="K94" s="12"/>
      <c r="L94" s="13" t="str">
        <f aca="false">IF($C94="","",N($I94)*N($K94))</f>
        <v/>
      </c>
      <c r="M94" s="11"/>
      <c r="N94" s="14" t="str">
        <f aca="false">IF($C94="","",IF($M94="VAT 5%",0.05,IF($M94="VAT 8%",0.08,IF($M94="VAT 10%",0.1,0))))</f>
        <v/>
      </c>
      <c r="O94" s="13" t="str">
        <f aca="false">IF($C94="","",$L94*$N94)</f>
        <v/>
      </c>
      <c r="P94" s="13" t="str">
        <f aca="false">IF($C94="","",$L94+$O94)</f>
        <v/>
      </c>
      <c r="Q94" s="12"/>
      <c r="R94" s="13" t="str">
        <f aca="false">IF($C94="","",MAX(0,$P94-N($Q94)))</f>
        <v/>
      </c>
      <c r="S94" s="23" t="str">
        <f aca="false">IF(OR($C94="",$P94=0),"",IF(N($Q94)&lt;=0,"Chưa thanh toán",IF(N($Q94)&lt;$P94,"Thanh toán một phần","Đã thanh toán")))</f>
        <v/>
      </c>
      <c r="T94" s="13" t="str">
        <f aca="false">IF(OR($C94="",$J94=""),"",N($I94)*$J94)</f>
        <v/>
      </c>
      <c r="U94" s="13" t="str">
        <f aca="false">IF(OR($C94="",$T94=""),"",$L94-$T94)</f>
        <v/>
      </c>
      <c r="V94" s="14" t="str">
        <f aca="false">IF(OR($U94="",$L94=0),"",$U94/$L94)</f>
        <v/>
      </c>
      <c r="W94" s="11"/>
      <c r="X94" s="23" t="str">
        <f aca="false">IF($C94="","",IF(AND($H94="",N($I94)=0,N($K94)=0),"Dòng chỉ lưu thông tin khách (chưa có đơn); ",IF($B94="","Thiếu ngày đặt; ","")&amp;IF($H94="","Thiếu tên sản phẩm; ",IF($J94="","Chưa khai GIÁ GỐC ở BẢNG GIÁ GỐC; ",""))&amp;IF(N($I94)&lt;=0,"Thiếu số lượng; ","")&amp;IF(N($K94)&lt;=0,"Thiếu giá bán; ","")&amp;IF(AND($N94&gt;0,$F94=""),"Khách lấy VAT thiếu mã số thuế; ","")&amp;IF(N($Q94)&gt;$P94,"Đã thu vượt tổng phải thu; ","")&amp;IF(AND($L94&gt;0,$U94&lt;&gt;"",$U94&lt;0),"CẢNH BÁO: ĐƠN NÀY ĐANG LỖ; ","")))</f>
        <v/>
      </c>
    </row>
    <row r="95" customFormat="false" ht="15" hidden="false" customHeight="false" outlineLevel="0" collapsed="false">
      <c r="A95" s="21" t="str">
        <f aca="false">IF($C95="","",COUNTA($C$10:$C95))</f>
        <v/>
      </c>
      <c r="B95" s="18"/>
      <c r="C95" s="11"/>
      <c r="D95" s="11"/>
      <c r="E95" s="11"/>
      <c r="F95" s="11"/>
      <c r="G95" s="11"/>
      <c r="H95" s="11"/>
      <c r="I95" s="12"/>
      <c r="J95" s="13" t="str">
        <f aca="false">IF($H95="","",IFERROR(VLOOKUP($H95,'BẢNG GIÁ GỐC'!$A$5:$D$254,3,FALSE()),""))</f>
        <v/>
      </c>
      <c r="K95" s="12"/>
      <c r="L95" s="13" t="str">
        <f aca="false">IF($C95="","",N($I95)*N($K95))</f>
        <v/>
      </c>
      <c r="M95" s="11"/>
      <c r="N95" s="14" t="str">
        <f aca="false">IF($C95="","",IF($M95="VAT 5%",0.05,IF($M95="VAT 8%",0.08,IF($M95="VAT 10%",0.1,0))))</f>
        <v/>
      </c>
      <c r="O95" s="13" t="str">
        <f aca="false">IF($C95="","",$L95*$N95)</f>
        <v/>
      </c>
      <c r="P95" s="13" t="str">
        <f aca="false">IF($C95="","",$L95+$O95)</f>
        <v/>
      </c>
      <c r="Q95" s="12"/>
      <c r="R95" s="13" t="str">
        <f aca="false">IF($C95="","",MAX(0,$P95-N($Q95)))</f>
        <v/>
      </c>
      <c r="S95" s="23" t="str">
        <f aca="false">IF(OR($C95="",$P95=0),"",IF(N($Q95)&lt;=0,"Chưa thanh toán",IF(N($Q95)&lt;$P95,"Thanh toán một phần","Đã thanh toán")))</f>
        <v/>
      </c>
      <c r="T95" s="13" t="str">
        <f aca="false">IF(OR($C95="",$J95=""),"",N($I95)*$J95)</f>
        <v/>
      </c>
      <c r="U95" s="13" t="str">
        <f aca="false">IF(OR($C95="",$T95=""),"",$L95-$T95)</f>
        <v/>
      </c>
      <c r="V95" s="14" t="str">
        <f aca="false">IF(OR($U95="",$L95=0),"",$U95/$L95)</f>
        <v/>
      </c>
      <c r="W95" s="11"/>
      <c r="X95" s="23" t="str">
        <f aca="false">IF($C95="","",IF(AND($H95="",N($I95)=0,N($K95)=0),"Dòng chỉ lưu thông tin khách (chưa có đơn); ",IF($B95="","Thiếu ngày đặt; ","")&amp;IF($H95="","Thiếu tên sản phẩm; ",IF($J95="","Chưa khai GIÁ GỐC ở BẢNG GIÁ GỐC; ",""))&amp;IF(N($I95)&lt;=0,"Thiếu số lượng; ","")&amp;IF(N($K95)&lt;=0,"Thiếu giá bán; ","")&amp;IF(AND($N95&gt;0,$F95=""),"Khách lấy VAT thiếu mã số thuế; ","")&amp;IF(N($Q95)&gt;$P95,"Đã thu vượt tổng phải thu; ","")&amp;IF(AND($L95&gt;0,$U95&lt;&gt;"",$U95&lt;0),"CẢNH BÁO: ĐƠN NÀY ĐANG LỖ; ","")))</f>
        <v/>
      </c>
    </row>
    <row r="96" customFormat="false" ht="15" hidden="false" customHeight="false" outlineLevel="0" collapsed="false">
      <c r="A96" s="21" t="str">
        <f aca="false">IF($C96="","",COUNTA($C$10:$C96))</f>
        <v/>
      </c>
      <c r="B96" s="18"/>
      <c r="C96" s="11"/>
      <c r="D96" s="11"/>
      <c r="E96" s="11"/>
      <c r="F96" s="11"/>
      <c r="G96" s="11"/>
      <c r="H96" s="11"/>
      <c r="I96" s="12"/>
      <c r="J96" s="13" t="str">
        <f aca="false">IF($H96="","",IFERROR(VLOOKUP($H96,'BẢNG GIÁ GỐC'!$A$5:$D$254,3,FALSE()),""))</f>
        <v/>
      </c>
      <c r="K96" s="12"/>
      <c r="L96" s="13" t="str">
        <f aca="false">IF($C96="","",N($I96)*N($K96))</f>
        <v/>
      </c>
      <c r="M96" s="11"/>
      <c r="N96" s="14" t="str">
        <f aca="false">IF($C96="","",IF($M96="VAT 5%",0.05,IF($M96="VAT 8%",0.08,IF($M96="VAT 10%",0.1,0))))</f>
        <v/>
      </c>
      <c r="O96" s="13" t="str">
        <f aca="false">IF($C96="","",$L96*$N96)</f>
        <v/>
      </c>
      <c r="P96" s="13" t="str">
        <f aca="false">IF($C96="","",$L96+$O96)</f>
        <v/>
      </c>
      <c r="Q96" s="12"/>
      <c r="R96" s="13" t="str">
        <f aca="false">IF($C96="","",MAX(0,$P96-N($Q96)))</f>
        <v/>
      </c>
      <c r="S96" s="23" t="str">
        <f aca="false">IF(OR($C96="",$P96=0),"",IF(N($Q96)&lt;=0,"Chưa thanh toán",IF(N($Q96)&lt;$P96,"Thanh toán một phần","Đã thanh toán")))</f>
        <v/>
      </c>
      <c r="T96" s="13" t="str">
        <f aca="false">IF(OR($C96="",$J96=""),"",N($I96)*$J96)</f>
        <v/>
      </c>
      <c r="U96" s="13" t="str">
        <f aca="false">IF(OR($C96="",$T96=""),"",$L96-$T96)</f>
        <v/>
      </c>
      <c r="V96" s="14" t="str">
        <f aca="false">IF(OR($U96="",$L96=0),"",$U96/$L96)</f>
        <v/>
      </c>
      <c r="W96" s="11"/>
      <c r="X96" s="23" t="str">
        <f aca="false">IF($C96="","",IF(AND($H96="",N($I96)=0,N($K96)=0),"Dòng chỉ lưu thông tin khách (chưa có đơn); ",IF($B96="","Thiếu ngày đặt; ","")&amp;IF($H96="","Thiếu tên sản phẩm; ",IF($J96="","Chưa khai GIÁ GỐC ở BẢNG GIÁ GỐC; ",""))&amp;IF(N($I96)&lt;=0,"Thiếu số lượng; ","")&amp;IF(N($K96)&lt;=0,"Thiếu giá bán; ","")&amp;IF(AND($N96&gt;0,$F96=""),"Khách lấy VAT thiếu mã số thuế; ","")&amp;IF(N($Q96)&gt;$P96,"Đã thu vượt tổng phải thu; ","")&amp;IF(AND($L96&gt;0,$U96&lt;&gt;"",$U96&lt;0),"CẢNH BÁO: ĐƠN NÀY ĐANG LỖ; ","")))</f>
        <v/>
      </c>
    </row>
    <row r="97" customFormat="false" ht="15" hidden="false" customHeight="false" outlineLevel="0" collapsed="false">
      <c r="A97" s="21" t="str">
        <f aca="false">IF($C97="","",COUNTA($C$10:$C97))</f>
        <v/>
      </c>
      <c r="B97" s="18"/>
      <c r="C97" s="11"/>
      <c r="D97" s="11"/>
      <c r="E97" s="11"/>
      <c r="F97" s="11"/>
      <c r="G97" s="11"/>
      <c r="H97" s="11"/>
      <c r="I97" s="12"/>
      <c r="J97" s="13" t="str">
        <f aca="false">IF($H97="","",IFERROR(VLOOKUP($H97,'BẢNG GIÁ GỐC'!$A$5:$D$254,3,FALSE()),""))</f>
        <v/>
      </c>
      <c r="K97" s="12"/>
      <c r="L97" s="13" t="str">
        <f aca="false">IF($C97="","",N($I97)*N($K97))</f>
        <v/>
      </c>
      <c r="M97" s="11"/>
      <c r="N97" s="14" t="str">
        <f aca="false">IF($C97="","",IF($M97="VAT 5%",0.05,IF($M97="VAT 8%",0.08,IF($M97="VAT 10%",0.1,0))))</f>
        <v/>
      </c>
      <c r="O97" s="13" t="str">
        <f aca="false">IF($C97="","",$L97*$N97)</f>
        <v/>
      </c>
      <c r="P97" s="13" t="str">
        <f aca="false">IF($C97="","",$L97+$O97)</f>
        <v/>
      </c>
      <c r="Q97" s="12"/>
      <c r="R97" s="13" t="str">
        <f aca="false">IF($C97="","",MAX(0,$P97-N($Q97)))</f>
        <v/>
      </c>
      <c r="S97" s="23" t="str">
        <f aca="false">IF(OR($C97="",$P97=0),"",IF(N($Q97)&lt;=0,"Chưa thanh toán",IF(N($Q97)&lt;$P97,"Thanh toán một phần","Đã thanh toán")))</f>
        <v/>
      </c>
      <c r="T97" s="13" t="str">
        <f aca="false">IF(OR($C97="",$J97=""),"",N($I97)*$J97)</f>
        <v/>
      </c>
      <c r="U97" s="13" t="str">
        <f aca="false">IF(OR($C97="",$T97=""),"",$L97-$T97)</f>
        <v/>
      </c>
      <c r="V97" s="14" t="str">
        <f aca="false">IF(OR($U97="",$L97=0),"",$U97/$L97)</f>
        <v/>
      </c>
      <c r="W97" s="11"/>
      <c r="X97" s="23" t="str">
        <f aca="false">IF($C97="","",IF(AND($H97="",N($I97)=0,N($K97)=0),"Dòng chỉ lưu thông tin khách (chưa có đơn); ",IF($B97="","Thiếu ngày đặt; ","")&amp;IF($H97="","Thiếu tên sản phẩm; ",IF($J97="","Chưa khai GIÁ GỐC ở BẢNG GIÁ GỐC; ",""))&amp;IF(N($I97)&lt;=0,"Thiếu số lượng; ","")&amp;IF(N($K97)&lt;=0,"Thiếu giá bán; ","")&amp;IF(AND($N97&gt;0,$F97=""),"Khách lấy VAT thiếu mã số thuế; ","")&amp;IF(N($Q97)&gt;$P97,"Đã thu vượt tổng phải thu; ","")&amp;IF(AND($L97&gt;0,$U97&lt;&gt;"",$U97&lt;0),"CẢNH BÁO: ĐƠN NÀY ĐANG LỖ; ","")))</f>
        <v/>
      </c>
    </row>
    <row r="98" customFormat="false" ht="15" hidden="false" customHeight="false" outlineLevel="0" collapsed="false">
      <c r="A98" s="21" t="str">
        <f aca="false">IF($C98="","",COUNTA($C$10:$C98))</f>
        <v/>
      </c>
      <c r="B98" s="18"/>
      <c r="C98" s="11"/>
      <c r="D98" s="11"/>
      <c r="E98" s="11"/>
      <c r="F98" s="11"/>
      <c r="G98" s="11"/>
      <c r="H98" s="11"/>
      <c r="I98" s="12"/>
      <c r="J98" s="13" t="str">
        <f aca="false">IF($H98="","",IFERROR(VLOOKUP($H98,'BẢNG GIÁ GỐC'!$A$5:$D$254,3,FALSE()),""))</f>
        <v/>
      </c>
      <c r="K98" s="12"/>
      <c r="L98" s="13" t="str">
        <f aca="false">IF($C98="","",N($I98)*N($K98))</f>
        <v/>
      </c>
      <c r="M98" s="11"/>
      <c r="N98" s="14" t="str">
        <f aca="false">IF($C98="","",IF($M98="VAT 5%",0.05,IF($M98="VAT 8%",0.08,IF($M98="VAT 10%",0.1,0))))</f>
        <v/>
      </c>
      <c r="O98" s="13" t="str">
        <f aca="false">IF($C98="","",$L98*$N98)</f>
        <v/>
      </c>
      <c r="P98" s="13" t="str">
        <f aca="false">IF($C98="","",$L98+$O98)</f>
        <v/>
      </c>
      <c r="Q98" s="12"/>
      <c r="R98" s="13" t="str">
        <f aca="false">IF($C98="","",MAX(0,$P98-N($Q98)))</f>
        <v/>
      </c>
      <c r="S98" s="23" t="str">
        <f aca="false">IF(OR($C98="",$P98=0),"",IF(N($Q98)&lt;=0,"Chưa thanh toán",IF(N($Q98)&lt;$P98,"Thanh toán một phần","Đã thanh toán")))</f>
        <v/>
      </c>
      <c r="T98" s="13" t="str">
        <f aca="false">IF(OR($C98="",$J98=""),"",N($I98)*$J98)</f>
        <v/>
      </c>
      <c r="U98" s="13" t="str">
        <f aca="false">IF(OR($C98="",$T98=""),"",$L98-$T98)</f>
        <v/>
      </c>
      <c r="V98" s="14" t="str">
        <f aca="false">IF(OR($U98="",$L98=0),"",$U98/$L98)</f>
        <v/>
      </c>
      <c r="W98" s="11"/>
      <c r="X98" s="23" t="str">
        <f aca="false">IF($C98="","",IF(AND($H98="",N($I98)=0,N($K98)=0),"Dòng chỉ lưu thông tin khách (chưa có đơn); ",IF($B98="","Thiếu ngày đặt; ","")&amp;IF($H98="","Thiếu tên sản phẩm; ",IF($J98="","Chưa khai GIÁ GỐC ở BẢNG GIÁ GỐC; ",""))&amp;IF(N($I98)&lt;=0,"Thiếu số lượng; ","")&amp;IF(N($K98)&lt;=0,"Thiếu giá bán; ","")&amp;IF(AND($N98&gt;0,$F98=""),"Khách lấy VAT thiếu mã số thuế; ","")&amp;IF(N($Q98)&gt;$P98,"Đã thu vượt tổng phải thu; ","")&amp;IF(AND($L98&gt;0,$U98&lt;&gt;"",$U98&lt;0),"CẢNH BÁO: ĐƠN NÀY ĐANG LỖ; ","")))</f>
        <v/>
      </c>
    </row>
    <row r="99" customFormat="false" ht="15" hidden="false" customHeight="false" outlineLevel="0" collapsed="false">
      <c r="A99" s="21" t="str">
        <f aca="false">IF($C99="","",COUNTA($C$10:$C99))</f>
        <v/>
      </c>
      <c r="B99" s="18"/>
      <c r="C99" s="11"/>
      <c r="D99" s="11"/>
      <c r="E99" s="11"/>
      <c r="F99" s="11"/>
      <c r="G99" s="11"/>
      <c r="H99" s="11"/>
      <c r="I99" s="12"/>
      <c r="J99" s="13" t="str">
        <f aca="false">IF($H99="","",IFERROR(VLOOKUP($H99,'BẢNG GIÁ GỐC'!$A$5:$D$254,3,FALSE()),""))</f>
        <v/>
      </c>
      <c r="K99" s="12"/>
      <c r="L99" s="13" t="str">
        <f aca="false">IF($C99="","",N($I99)*N($K99))</f>
        <v/>
      </c>
      <c r="M99" s="11"/>
      <c r="N99" s="14" t="str">
        <f aca="false">IF($C99="","",IF($M99="VAT 5%",0.05,IF($M99="VAT 8%",0.08,IF($M99="VAT 10%",0.1,0))))</f>
        <v/>
      </c>
      <c r="O99" s="13" t="str">
        <f aca="false">IF($C99="","",$L99*$N99)</f>
        <v/>
      </c>
      <c r="P99" s="13" t="str">
        <f aca="false">IF($C99="","",$L99+$O99)</f>
        <v/>
      </c>
      <c r="Q99" s="12"/>
      <c r="R99" s="13" t="str">
        <f aca="false">IF($C99="","",MAX(0,$P99-N($Q99)))</f>
        <v/>
      </c>
      <c r="S99" s="23" t="str">
        <f aca="false">IF(OR($C99="",$P99=0),"",IF(N($Q99)&lt;=0,"Chưa thanh toán",IF(N($Q99)&lt;$P99,"Thanh toán một phần","Đã thanh toán")))</f>
        <v/>
      </c>
      <c r="T99" s="13" t="str">
        <f aca="false">IF(OR($C99="",$J99=""),"",N($I99)*$J99)</f>
        <v/>
      </c>
      <c r="U99" s="13" t="str">
        <f aca="false">IF(OR($C99="",$T99=""),"",$L99-$T99)</f>
        <v/>
      </c>
      <c r="V99" s="14" t="str">
        <f aca="false">IF(OR($U99="",$L99=0),"",$U99/$L99)</f>
        <v/>
      </c>
      <c r="W99" s="11"/>
      <c r="X99" s="23" t="str">
        <f aca="false">IF($C99="","",IF(AND($H99="",N($I99)=0,N($K99)=0),"Dòng chỉ lưu thông tin khách (chưa có đơn); ",IF($B99="","Thiếu ngày đặt; ","")&amp;IF($H99="","Thiếu tên sản phẩm; ",IF($J99="","Chưa khai GIÁ GỐC ở BẢNG GIÁ GỐC; ",""))&amp;IF(N($I99)&lt;=0,"Thiếu số lượng; ","")&amp;IF(N($K99)&lt;=0,"Thiếu giá bán; ","")&amp;IF(AND($N99&gt;0,$F99=""),"Khách lấy VAT thiếu mã số thuế; ","")&amp;IF(N($Q99)&gt;$P99,"Đã thu vượt tổng phải thu; ","")&amp;IF(AND($L99&gt;0,$U99&lt;&gt;"",$U99&lt;0),"CẢNH BÁO: ĐƠN NÀY ĐANG LỖ; ","")))</f>
        <v/>
      </c>
    </row>
    <row r="100" customFormat="false" ht="15" hidden="false" customHeight="false" outlineLevel="0" collapsed="false">
      <c r="A100" s="21" t="str">
        <f aca="false">IF($C100="","",COUNTA($C$10:$C100))</f>
        <v/>
      </c>
      <c r="B100" s="18"/>
      <c r="C100" s="11"/>
      <c r="D100" s="11"/>
      <c r="E100" s="11"/>
      <c r="F100" s="11"/>
      <c r="G100" s="11"/>
      <c r="H100" s="11"/>
      <c r="I100" s="12"/>
      <c r="J100" s="13" t="str">
        <f aca="false">IF($H100="","",IFERROR(VLOOKUP($H100,'BẢNG GIÁ GỐC'!$A$5:$D$254,3,FALSE()),""))</f>
        <v/>
      </c>
      <c r="K100" s="12"/>
      <c r="L100" s="13" t="str">
        <f aca="false">IF($C100="","",N($I100)*N($K100))</f>
        <v/>
      </c>
      <c r="M100" s="11"/>
      <c r="N100" s="14" t="str">
        <f aca="false">IF($C100="","",IF($M100="VAT 5%",0.05,IF($M100="VAT 8%",0.08,IF($M100="VAT 10%",0.1,0))))</f>
        <v/>
      </c>
      <c r="O100" s="13" t="str">
        <f aca="false">IF($C100="","",$L100*$N100)</f>
        <v/>
      </c>
      <c r="P100" s="13" t="str">
        <f aca="false">IF($C100="","",$L100+$O100)</f>
        <v/>
      </c>
      <c r="Q100" s="12"/>
      <c r="R100" s="13" t="str">
        <f aca="false">IF($C100="","",MAX(0,$P100-N($Q100)))</f>
        <v/>
      </c>
      <c r="S100" s="23" t="str">
        <f aca="false">IF(OR($C100="",$P100=0),"",IF(N($Q100)&lt;=0,"Chưa thanh toán",IF(N($Q100)&lt;$P100,"Thanh toán một phần","Đã thanh toán")))</f>
        <v/>
      </c>
      <c r="T100" s="13" t="str">
        <f aca="false">IF(OR($C100="",$J100=""),"",N($I100)*$J100)</f>
        <v/>
      </c>
      <c r="U100" s="13" t="str">
        <f aca="false">IF(OR($C100="",$T100=""),"",$L100-$T100)</f>
        <v/>
      </c>
      <c r="V100" s="14" t="str">
        <f aca="false">IF(OR($U100="",$L100=0),"",$U100/$L100)</f>
        <v/>
      </c>
      <c r="W100" s="11"/>
      <c r="X100" s="23" t="str">
        <f aca="false">IF($C100="","",IF(AND($H100="",N($I100)=0,N($K100)=0),"Dòng chỉ lưu thông tin khách (chưa có đơn); ",IF($B100="","Thiếu ngày đặt; ","")&amp;IF($H100="","Thiếu tên sản phẩm; ",IF($J100="","Chưa khai GIÁ GỐC ở BẢNG GIÁ GỐC; ",""))&amp;IF(N($I100)&lt;=0,"Thiếu số lượng; ","")&amp;IF(N($K100)&lt;=0,"Thiếu giá bán; ","")&amp;IF(AND($N100&gt;0,$F100=""),"Khách lấy VAT thiếu mã số thuế; ","")&amp;IF(N($Q100)&gt;$P100,"Đã thu vượt tổng phải thu; ","")&amp;IF(AND($L100&gt;0,$U100&lt;&gt;"",$U100&lt;0),"CẢNH BÁO: ĐƠN NÀY ĐANG LỖ; ","")))</f>
        <v/>
      </c>
    </row>
    <row r="101" customFormat="false" ht="15" hidden="false" customHeight="false" outlineLevel="0" collapsed="false">
      <c r="A101" s="21" t="str">
        <f aca="false">IF($C101="","",COUNTA($C$10:$C101))</f>
        <v/>
      </c>
      <c r="B101" s="18"/>
      <c r="C101" s="11"/>
      <c r="D101" s="11"/>
      <c r="E101" s="11"/>
      <c r="F101" s="11"/>
      <c r="G101" s="11"/>
      <c r="H101" s="11"/>
      <c r="I101" s="12"/>
      <c r="J101" s="13" t="str">
        <f aca="false">IF($H101="","",IFERROR(VLOOKUP($H101,'BẢNG GIÁ GỐC'!$A$5:$D$254,3,FALSE()),""))</f>
        <v/>
      </c>
      <c r="K101" s="12"/>
      <c r="L101" s="13" t="str">
        <f aca="false">IF($C101="","",N($I101)*N($K101))</f>
        <v/>
      </c>
      <c r="M101" s="11"/>
      <c r="N101" s="14" t="str">
        <f aca="false">IF($C101="","",IF($M101="VAT 5%",0.05,IF($M101="VAT 8%",0.08,IF($M101="VAT 10%",0.1,0))))</f>
        <v/>
      </c>
      <c r="O101" s="13" t="str">
        <f aca="false">IF($C101="","",$L101*$N101)</f>
        <v/>
      </c>
      <c r="P101" s="13" t="str">
        <f aca="false">IF($C101="","",$L101+$O101)</f>
        <v/>
      </c>
      <c r="Q101" s="12"/>
      <c r="R101" s="13" t="str">
        <f aca="false">IF($C101="","",MAX(0,$P101-N($Q101)))</f>
        <v/>
      </c>
      <c r="S101" s="23" t="str">
        <f aca="false">IF(OR($C101="",$P101=0),"",IF(N($Q101)&lt;=0,"Chưa thanh toán",IF(N($Q101)&lt;$P101,"Thanh toán một phần","Đã thanh toán")))</f>
        <v/>
      </c>
      <c r="T101" s="13" t="str">
        <f aca="false">IF(OR($C101="",$J101=""),"",N($I101)*$J101)</f>
        <v/>
      </c>
      <c r="U101" s="13" t="str">
        <f aca="false">IF(OR($C101="",$T101=""),"",$L101-$T101)</f>
        <v/>
      </c>
      <c r="V101" s="14" t="str">
        <f aca="false">IF(OR($U101="",$L101=0),"",$U101/$L101)</f>
        <v/>
      </c>
      <c r="W101" s="11"/>
      <c r="X101" s="23" t="str">
        <f aca="false">IF($C101="","",IF(AND($H101="",N($I101)=0,N($K101)=0),"Dòng chỉ lưu thông tin khách (chưa có đơn); ",IF($B101="","Thiếu ngày đặt; ","")&amp;IF($H101="","Thiếu tên sản phẩm; ",IF($J101="","Chưa khai GIÁ GỐC ở BẢNG GIÁ GỐC; ",""))&amp;IF(N($I101)&lt;=0,"Thiếu số lượng; ","")&amp;IF(N($K101)&lt;=0,"Thiếu giá bán; ","")&amp;IF(AND($N101&gt;0,$F101=""),"Khách lấy VAT thiếu mã số thuế; ","")&amp;IF(N($Q101)&gt;$P101,"Đã thu vượt tổng phải thu; ","")&amp;IF(AND($L101&gt;0,$U101&lt;&gt;"",$U101&lt;0),"CẢNH BÁO: ĐƠN NÀY ĐANG LỖ; ","")))</f>
        <v/>
      </c>
    </row>
    <row r="102" customFormat="false" ht="15" hidden="false" customHeight="false" outlineLevel="0" collapsed="false">
      <c r="A102" s="21" t="str">
        <f aca="false">IF($C102="","",COUNTA($C$10:$C102))</f>
        <v/>
      </c>
      <c r="B102" s="18"/>
      <c r="C102" s="11"/>
      <c r="D102" s="11"/>
      <c r="E102" s="11"/>
      <c r="F102" s="11"/>
      <c r="G102" s="11"/>
      <c r="H102" s="11"/>
      <c r="I102" s="12"/>
      <c r="J102" s="13" t="str">
        <f aca="false">IF($H102="","",IFERROR(VLOOKUP($H102,'BẢNG GIÁ GỐC'!$A$5:$D$254,3,FALSE()),""))</f>
        <v/>
      </c>
      <c r="K102" s="12"/>
      <c r="L102" s="13" t="str">
        <f aca="false">IF($C102="","",N($I102)*N($K102))</f>
        <v/>
      </c>
      <c r="M102" s="11"/>
      <c r="N102" s="14" t="str">
        <f aca="false">IF($C102="","",IF($M102="VAT 5%",0.05,IF($M102="VAT 8%",0.08,IF($M102="VAT 10%",0.1,0))))</f>
        <v/>
      </c>
      <c r="O102" s="13" t="str">
        <f aca="false">IF($C102="","",$L102*$N102)</f>
        <v/>
      </c>
      <c r="P102" s="13" t="str">
        <f aca="false">IF($C102="","",$L102+$O102)</f>
        <v/>
      </c>
      <c r="Q102" s="12"/>
      <c r="R102" s="13" t="str">
        <f aca="false">IF($C102="","",MAX(0,$P102-N($Q102)))</f>
        <v/>
      </c>
      <c r="S102" s="23" t="str">
        <f aca="false">IF(OR($C102="",$P102=0),"",IF(N($Q102)&lt;=0,"Chưa thanh toán",IF(N($Q102)&lt;$P102,"Thanh toán một phần","Đã thanh toán")))</f>
        <v/>
      </c>
      <c r="T102" s="13" t="str">
        <f aca="false">IF(OR($C102="",$J102=""),"",N($I102)*$J102)</f>
        <v/>
      </c>
      <c r="U102" s="13" t="str">
        <f aca="false">IF(OR($C102="",$T102=""),"",$L102-$T102)</f>
        <v/>
      </c>
      <c r="V102" s="14" t="str">
        <f aca="false">IF(OR($U102="",$L102=0),"",$U102/$L102)</f>
        <v/>
      </c>
      <c r="W102" s="11"/>
      <c r="X102" s="23" t="str">
        <f aca="false">IF($C102="","",IF(AND($H102="",N($I102)=0,N($K102)=0),"Dòng chỉ lưu thông tin khách (chưa có đơn); ",IF($B102="","Thiếu ngày đặt; ","")&amp;IF($H102="","Thiếu tên sản phẩm; ",IF($J102="","Chưa khai GIÁ GỐC ở BẢNG GIÁ GỐC; ",""))&amp;IF(N($I102)&lt;=0,"Thiếu số lượng; ","")&amp;IF(N($K102)&lt;=0,"Thiếu giá bán; ","")&amp;IF(AND($N102&gt;0,$F102=""),"Khách lấy VAT thiếu mã số thuế; ","")&amp;IF(N($Q102)&gt;$P102,"Đã thu vượt tổng phải thu; ","")&amp;IF(AND($L102&gt;0,$U102&lt;&gt;"",$U102&lt;0),"CẢNH BÁO: ĐƠN NÀY ĐANG LỖ; ","")))</f>
        <v/>
      </c>
    </row>
    <row r="103" customFormat="false" ht="15" hidden="false" customHeight="false" outlineLevel="0" collapsed="false">
      <c r="A103" s="21" t="str">
        <f aca="false">IF($C103="","",COUNTA($C$10:$C103))</f>
        <v/>
      </c>
      <c r="B103" s="18"/>
      <c r="C103" s="11"/>
      <c r="D103" s="11"/>
      <c r="E103" s="11"/>
      <c r="F103" s="11"/>
      <c r="G103" s="11"/>
      <c r="H103" s="11"/>
      <c r="I103" s="12"/>
      <c r="J103" s="13" t="str">
        <f aca="false">IF($H103="","",IFERROR(VLOOKUP($H103,'BẢNG GIÁ GỐC'!$A$5:$D$254,3,FALSE()),""))</f>
        <v/>
      </c>
      <c r="K103" s="12"/>
      <c r="L103" s="13" t="str">
        <f aca="false">IF($C103="","",N($I103)*N($K103))</f>
        <v/>
      </c>
      <c r="M103" s="11"/>
      <c r="N103" s="14" t="str">
        <f aca="false">IF($C103="","",IF($M103="VAT 5%",0.05,IF($M103="VAT 8%",0.08,IF($M103="VAT 10%",0.1,0))))</f>
        <v/>
      </c>
      <c r="O103" s="13" t="str">
        <f aca="false">IF($C103="","",$L103*$N103)</f>
        <v/>
      </c>
      <c r="P103" s="13" t="str">
        <f aca="false">IF($C103="","",$L103+$O103)</f>
        <v/>
      </c>
      <c r="Q103" s="12"/>
      <c r="R103" s="13" t="str">
        <f aca="false">IF($C103="","",MAX(0,$P103-N($Q103)))</f>
        <v/>
      </c>
      <c r="S103" s="23" t="str">
        <f aca="false">IF(OR($C103="",$P103=0),"",IF(N($Q103)&lt;=0,"Chưa thanh toán",IF(N($Q103)&lt;$P103,"Thanh toán một phần","Đã thanh toán")))</f>
        <v/>
      </c>
      <c r="T103" s="13" t="str">
        <f aca="false">IF(OR($C103="",$J103=""),"",N($I103)*$J103)</f>
        <v/>
      </c>
      <c r="U103" s="13" t="str">
        <f aca="false">IF(OR($C103="",$T103=""),"",$L103-$T103)</f>
        <v/>
      </c>
      <c r="V103" s="14" t="str">
        <f aca="false">IF(OR($U103="",$L103=0),"",$U103/$L103)</f>
        <v/>
      </c>
      <c r="W103" s="11"/>
      <c r="X103" s="23" t="str">
        <f aca="false">IF($C103="","",IF(AND($H103="",N($I103)=0,N($K103)=0),"Dòng chỉ lưu thông tin khách (chưa có đơn); ",IF($B103="","Thiếu ngày đặt; ","")&amp;IF($H103="","Thiếu tên sản phẩm; ",IF($J103="","Chưa khai GIÁ GỐC ở BẢNG GIÁ GỐC; ",""))&amp;IF(N($I103)&lt;=0,"Thiếu số lượng; ","")&amp;IF(N($K103)&lt;=0,"Thiếu giá bán; ","")&amp;IF(AND($N103&gt;0,$F103=""),"Khách lấy VAT thiếu mã số thuế; ","")&amp;IF(N($Q103)&gt;$P103,"Đã thu vượt tổng phải thu; ","")&amp;IF(AND($L103&gt;0,$U103&lt;&gt;"",$U103&lt;0),"CẢNH BÁO: ĐƠN NÀY ĐANG LỖ; ","")))</f>
        <v/>
      </c>
    </row>
    <row r="104" customFormat="false" ht="15" hidden="false" customHeight="false" outlineLevel="0" collapsed="false">
      <c r="A104" s="21" t="str">
        <f aca="false">IF($C104="","",COUNTA($C$10:$C104))</f>
        <v/>
      </c>
      <c r="B104" s="18"/>
      <c r="C104" s="11"/>
      <c r="D104" s="11"/>
      <c r="E104" s="11"/>
      <c r="F104" s="11"/>
      <c r="G104" s="11"/>
      <c r="H104" s="11"/>
      <c r="I104" s="12"/>
      <c r="J104" s="13" t="str">
        <f aca="false">IF($H104="","",IFERROR(VLOOKUP($H104,'BẢNG GIÁ GỐC'!$A$5:$D$254,3,FALSE()),""))</f>
        <v/>
      </c>
      <c r="K104" s="12"/>
      <c r="L104" s="13" t="str">
        <f aca="false">IF($C104="","",N($I104)*N($K104))</f>
        <v/>
      </c>
      <c r="M104" s="11"/>
      <c r="N104" s="14" t="str">
        <f aca="false">IF($C104="","",IF($M104="VAT 5%",0.05,IF($M104="VAT 8%",0.08,IF($M104="VAT 10%",0.1,0))))</f>
        <v/>
      </c>
      <c r="O104" s="13" t="str">
        <f aca="false">IF($C104="","",$L104*$N104)</f>
        <v/>
      </c>
      <c r="P104" s="13" t="str">
        <f aca="false">IF($C104="","",$L104+$O104)</f>
        <v/>
      </c>
      <c r="Q104" s="12"/>
      <c r="R104" s="13" t="str">
        <f aca="false">IF($C104="","",MAX(0,$P104-N($Q104)))</f>
        <v/>
      </c>
      <c r="S104" s="23" t="str">
        <f aca="false">IF(OR($C104="",$P104=0),"",IF(N($Q104)&lt;=0,"Chưa thanh toán",IF(N($Q104)&lt;$P104,"Thanh toán một phần","Đã thanh toán")))</f>
        <v/>
      </c>
      <c r="T104" s="13" t="str">
        <f aca="false">IF(OR($C104="",$J104=""),"",N($I104)*$J104)</f>
        <v/>
      </c>
      <c r="U104" s="13" t="str">
        <f aca="false">IF(OR($C104="",$T104=""),"",$L104-$T104)</f>
        <v/>
      </c>
      <c r="V104" s="14" t="str">
        <f aca="false">IF(OR($U104="",$L104=0),"",$U104/$L104)</f>
        <v/>
      </c>
      <c r="W104" s="11"/>
      <c r="X104" s="23" t="str">
        <f aca="false">IF($C104="","",IF(AND($H104="",N($I104)=0,N($K104)=0),"Dòng chỉ lưu thông tin khách (chưa có đơn); ",IF($B104="","Thiếu ngày đặt; ","")&amp;IF($H104="","Thiếu tên sản phẩm; ",IF($J104="","Chưa khai GIÁ GỐC ở BẢNG GIÁ GỐC; ",""))&amp;IF(N($I104)&lt;=0,"Thiếu số lượng; ","")&amp;IF(N($K104)&lt;=0,"Thiếu giá bán; ","")&amp;IF(AND($N104&gt;0,$F104=""),"Khách lấy VAT thiếu mã số thuế; ","")&amp;IF(N($Q104)&gt;$P104,"Đã thu vượt tổng phải thu; ","")&amp;IF(AND($L104&gt;0,$U104&lt;&gt;"",$U104&lt;0),"CẢNH BÁO: ĐƠN NÀY ĐANG LỖ; ","")))</f>
        <v/>
      </c>
    </row>
    <row r="105" customFormat="false" ht="15" hidden="false" customHeight="false" outlineLevel="0" collapsed="false">
      <c r="A105" s="21" t="str">
        <f aca="false">IF($C105="","",COUNTA($C$10:$C105))</f>
        <v/>
      </c>
      <c r="B105" s="18"/>
      <c r="C105" s="11"/>
      <c r="D105" s="11"/>
      <c r="E105" s="11"/>
      <c r="F105" s="11"/>
      <c r="G105" s="11"/>
      <c r="H105" s="11"/>
      <c r="I105" s="12"/>
      <c r="J105" s="13" t="str">
        <f aca="false">IF($H105="","",IFERROR(VLOOKUP($H105,'BẢNG GIÁ GỐC'!$A$5:$D$254,3,FALSE()),""))</f>
        <v/>
      </c>
      <c r="K105" s="12"/>
      <c r="L105" s="13" t="str">
        <f aca="false">IF($C105="","",N($I105)*N($K105))</f>
        <v/>
      </c>
      <c r="M105" s="11"/>
      <c r="N105" s="14" t="str">
        <f aca="false">IF($C105="","",IF($M105="VAT 5%",0.05,IF($M105="VAT 8%",0.08,IF($M105="VAT 10%",0.1,0))))</f>
        <v/>
      </c>
      <c r="O105" s="13" t="str">
        <f aca="false">IF($C105="","",$L105*$N105)</f>
        <v/>
      </c>
      <c r="P105" s="13" t="str">
        <f aca="false">IF($C105="","",$L105+$O105)</f>
        <v/>
      </c>
      <c r="Q105" s="12"/>
      <c r="R105" s="13" t="str">
        <f aca="false">IF($C105="","",MAX(0,$P105-N($Q105)))</f>
        <v/>
      </c>
      <c r="S105" s="23" t="str">
        <f aca="false">IF(OR($C105="",$P105=0),"",IF(N($Q105)&lt;=0,"Chưa thanh toán",IF(N($Q105)&lt;$P105,"Thanh toán một phần","Đã thanh toán")))</f>
        <v/>
      </c>
      <c r="T105" s="13" t="str">
        <f aca="false">IF(OR($C105="",$J105=""),"",N($I105)*$J105)</f>
        <v/>
      </c>
      <c r="U105" s="13" t="str">
        <f aca="false">IF(OR($C105="",$T105=""),"",$L105-$T105)</f>
        <v/>
      </c>
      <c r="V105" s="14" t="str">
        <f aca="false">IF(OR($U105="",$L105=0),"",$U105/$L105)</f>
        <v/>
      </c>
      <c r="W105" s="11"/>
      <c r="X105" s="23" t="str">
        <f aca="false">IF($C105="","",IF(AND($H105="",N($I105)=0,N($K105)=0),"Dòng chỉ lưu thông tin khách (chưa có đơn); ",IF($B105="","Thiếu ngày đặt; ","")&amp;IF($H105="","Thiếu tên sản phẩm; ",IF($J105="","Chưa khai GIÁ GỐC ở BẢNG GIÁ GỐC; ",""))&amp;IF(N($I105)&lt;=0,"Thiếu số lượng; ","")&amp;IF(N($K105)&lt;=0,"Thiếu giá bán; ","")&amp;IF(AND($N105&gt;0,$F105=""),"Khách lấy VAT thiếu mã số thuế; ","")&amp;IF(N($Q105)&gt;$P105,"Đã thu vượt tổng phải thu; ","")&amp;IF(AND($L105&gt;0,$U105&lt;&gt;"",$U105&lt;0),"CẢNH BÁO: ĐƠN NÀY ĐANG LỖ; ","")))</f>
        <v/>
      </c>
    </row>
    <row r="106" customFormat="false" ht="15" hidden="false" customHeight="false" outlineLevel="0" collapsed="false">
      <c r="A106" s="21" t="str">
        <f aca="false">IF($C106="","",COUNTA($C$10:$C106))</f>
        <v/>
      </c>
      <c r="B106" s="18"/>
      <c r="C106" s="11"/>
      <c r="D106" s="11"/>
      <c r="E106" s="11"/>
      <c r="F106" s="11"/>
      <c r="G106" s="11"/>
      <c r="H106" s="11"/>
      <c r="I106" s="12"/>
      <c r="J106" s="13" t="str">
        <f aca="false">IF($H106="","",IFERROR(VLOOKUP($H106,'BẢNG GIÁ GỐC'!$A$5:$D$254,3,FALSE()),""))</f>
        <v/>
      </c>
      <c r="K106" s="12"/>
      <c r="L106" s="13" t="str">
        <f aca="false">IF($C106="","",N($I106)*N($K106))</f>
        <v/>
      </c>
      <c r="M106" s="11"/>
      <c r="N106" s="14" t="str">
        <f aca="false">IF($C106="","",IF($M106="VAT 5%",0.05,IF($M106="VAT 8%",0.08,IF($M106="VAT 10%",0.1,0))))</f>
        <v/>
      </c>
      <c r="O106" s="13" t="str">
        <f aca="false">IF($C106="","",$L106*$N106)</f>
        <v/>
      </c>
      <c r="P106" s="13" t="str">
        <f aca="false">IF($C106="","",$L106+$O106)</f>
        <v/>
      </c>
      <c r="Q106" s="12"/>
      <c r="R106" s="13" t="str">
        <f aca="false">IF($C106="","",MAX(0,$P106-N($Q106)))</f>
        <v/>
      </c>
      <c r="S106" s="23" t="str">
        <f aca="false">IF(OR($C106="",$P106=0),"",IF(N($Q106)&lt;=0,"Chưa thanh toán",IF(N($Q106)&lt;$P106,"Thanh toán một phần","Đã thanh toán")))</f>
        <v/>
      </c>
      <c r="T106" s="13" t="str">
        <f aca="false">IF(OR($C106="",$J106=""),"",N($I106)*$J106)</f>
        <v/>
      </c>
      <c r="U106" s="13" t="str">
        <f aca="false">IF(OR($C106="",$T106=""),"",$L106-$T106)</f>
        <v/>
      </c>
      <c r="V106" s="14" t="str">
        <f aca="false">IF(OR($U106="",$L106=0),"",$U106/$L106)</f>
        <v/>
      </c>
      <c r="W106" s="11"/>
      <c r="X106" s="23" t="str">
        <f aca="false">IF($C106="","",IF(AND($H106="",N($I106)=0,N($K106)=0),"Dòng chỉ lưu thông tin khách (chưa có đơn); ",IF($B106="","Thiếu ngày đặt; ","")&amp;IF($H106="","Thiếu tên sản phẩm; ",IF($J106="","Chưa khai GIÁ GỐC ở BẢNG GIÁ GỐC; ",""))&amp;IF(N($I106)&lt;=0,"Thiếu số lượng; ","")&amp;IF(N($K106)&lt;=0,"Thiếu giá bán; ","")&amp;IF(AND($N106&gt;0,$F106=""),"Khách lấy VAT thiếu mã số thuế; ","")&amp;IF(N($Q106)&gt;$P106,"Đã thu vượt tổng phải thu; ","")&amp;IF(AND($L106&gt;0,$U106&lt;&gt;"",$U106&lt;0),"CẢNH BÁO: ĐƠN NÀY ĐANG LỖ; ","")))</f>
        <v/>
      </c>
    </row>
    <row r="107" customFormat="false" ht="15" hidden="false" customHeight="false" outlineLevel="0" collapsed="false">
      <c r="A107" s="21" t="str">
        <f aca="false">IF($C107="","",COUNTA($C$10:$C107))</f>
        <v/>
      </c>
      <c r="B107" s="18"/>
      <c r="C107" s="11"/>
      <c r="D107" s="11"/>
      <c r="E107" s="11"/>
      <c r="F107" s="11"/>
      <c r="G107" s="11"/>
      <c r="H107" s="11"/>
      <c r="I107" s="12"/>
      <c r="J107" s="13" t="str">
        <f aca="false">IF($H107="","",IFERROR(VLOOKUP($H107,'BẢNG GIÁ GỐC'!$A$5:$D$254,3,FALSE()),""))</f>
        <v/>
      </c>
      <c r="K107" s="12"/>
      <c r="L107" s="13" t="str">
        <f aca="false">IF($C107="","",N($I107)*N($K107))</f>
        <v/>
      </c>
      <c r="M107" s="11"/>
      <c r="N107" s="14" t="str">
        <f aca="false">IF($C107="","",IF($M107="VAT 5%",0.05,IF($M107="VAT 8%",0.08,IF($M107="VAT 10%",0.1,0))))</f>
        <v/>
      </c>
      <c r="O107" s="13" t="str">
        <f aca="false">IF($C107="","",$L107*$N107)</f>
        <v/>
      </c>
      <c r="P107" s="13" t="str">
        <f aca="false">IF($C107="","",$L107+$O107)</f>
        <v/>
      </c>
      <c r="Q107" s="12"/>
      <c r="R107" s="13" t="str">
        <f aca="false">IF($C107="","",MAX(0,$P107-N($Q107)))</f>
        <v/>
      </c>
      <c r="S107" s="23" t="str">
        <f aca="false">IF(OR($C107="",$P107=0),"",IF(N($Q107)&lt;=0,"Chưa thanh toán",IF(N($Q107)&lt;$P107,"Thanh toán một phần","Đã thanh toán")))</f>
        <v/>
      </c>
      <c r="T107" s="13" t="str">
        <f aca="false">IF(OR($C107="",$J107=""),"",N($I107)*$J107)</f>
        <v/>
      </c>
      <c r="U107" s="13" t="str">
        <f aca="false">IF(OR($C107="",$T107=""),"",$L107-$T107)</f>
        <v/>
      </c>
      <c r="V107" s="14" t="str">
        <f aca="false">IF(OR($U107="",$L107=0),"",$U107/$L107)</f>
        <v/>
      </c>
      <c r="W107" s="11"/>
      <c r="X107" s="23" t="str">
        <f aca="false">IF($C107="","",IF(AND($H107="",N($I107)=0,N($K107)=0),"Dòng chỉ lưu thông tin khách (chưa có đơn); ",IF($B107="","Thiếu ngày đặt; ","")&amp;IF($H107="","Thiếu tên sản phẩm; ",IF($J107="","Chưa khai GIÁ GỐC ở BẢNG GIÁ GỐC; ",""))&amp;IF(N($I107)&lt;=0,"Thiếu số lượng; ","")&amp;IF(N($K107)&lt;=0,"Thiếu giá bán; ","")&amp;IF(AND($N107&gt;0,$F107=""),"Khách lấy VAT thiếu mã số thuế; ","")&amp;IF(N($Q107)&gt;$P107,"Đã thu vượt tổng phải thu; ","")&amp;IF(AND($L107&gt;0,$U107&lt;&gt;"",$U107&lt;0),"CẢNH BÁO: ĐƠN NÀY ĐANG LỖ; ","")))</f>
        <v/>
      </c>
    </row>
    <row r="108" customFormat="false" ht="15" hidden="false" customHeight="false" outlineLevel="0" collapsed="false">
      <c r="A108" s="21" t="str">
        <f aca="false">IF($C108="","",COUNTA($C$10:$C108))</f>
        <v/>
      </c>
      <c r="B108" s="18"/>
      <c r="C108" s="11"/>
      <c r="D108" s="11"/>
      <c r="E108" s="11"/>
      <c r="F108" s="11"/>
      <c r="G108" s="11"/>
      <c r="H108" s="11"/>
      <c r="I108" s="12"/>
      <c r="J108" s="13" t="str">
        <f aca="false">IF($H108="","",IFERROR(VLOOKUP($H108,'BẢNG GIÁ GỐC'!$A$5:$D$254,3,FALSE()),""))</f>
        <v/>
      </c>
      <c r="K108" s="12"/>
      <c r="L108" s="13" t="str">
        <f aca="false">IF($C108="","",N($I108)*N($K108))</f>
        <v/>
      </c>
      <c r="M108" s="11"/>
      <c r="N108" s="14" t="str">
        <f aca="false">IF($C108="","",IF($M108="VAT 5%",0.05,IF($M108="VAT 8%",0.08,IF($M108="VAT 10%",0.1,0))))</f>
        <v/>
      </c>
      <c r="O108" s="13" t="str">
        <f aca="false">IF($C108="","",$L108*$N108)</f>
        <v/>
      </c>
      <c r="P108" s="13" t="str">
        <f aca="false">IF($C108="","",$L108+$O108)</f>
        <v/>
      </c>
      <c r="Q108" s="12"/>
      <c r="R108" s="13" t="str">
        <f aca="false">IF($C108="","",MAX(0,$P108-N($Q108)))</f>
        <v/>
      </c>
      <c r="S108" s="23" t="str">
        <f aca="false">IF(OR($C108="",$P108=0),"",IF(N($Q108)&lt;=0,"Chưa thanh toán",IF(N($Q108)&lt;$P108,"Thanh toán một phần","Đã thanh toán")))</f>
        <v/>
      </c>
      <c r="T108" s="13" t="str">
        <f aca="false">IF(OR($C108="",$J108=""),"",N($I108)*$J108)</f>
        <v/>
      </c>
      <c r="U108" s="13" t="str">
        <f aca="false">IF(OR($C108="",$T108=""),"",$L108-$T108)</f>
        <v/>
      </c>
      <c r="V108" s="14" t="str">
        <f aca="false">IF(OR($U108="",$L108=0),"",$U108/$L108)</f>
        <v/>
      </c>
      <c r="W108" s="11"/>
      <c r="X108" s="23" t="str">
        <f aca="false">IF($C108="","",IF(AND($H108="",N($I108)=0,N($K108)=0),"Dòng chỉ lưu thông tin khách (chưa có đơn); ",IF($B108="","Thiếu ngày đặt; ","")&amp;IF($H108="","Thiếu tên sản phẩm; ",IF($J108="","Chưa khai GIÁ GỐC ở BẢNG GIÁ GỐC; ",""))&amp;IF(N($I108)&lt;=0,"Thiếu số lượng; ","")&amp;IF(N($K108)&lt;=0,"Thiếu giá bán; ","")&amp;IF(AND($N108&gt;0,$F108=""),"Khách lấy VAT thiếu mã số thuế; ","")&amp;IF(N($Q108)&gt;$P108,"Đã thu vượt tổng phải thu; ","")&amp;IF(AND($L108&gt;0,$U108&lt;&gt;"",$U108&lt;0),"CẢNH BÁO: ĐƠN NÀY ĐANG LỖ; ","")))</f>
        <v/>
      </c>
    </row>
    <row r="109" customFormat="false" ht="15" hidden="false" customHeight="false" outlineLevel="0" collapsed="false">
      <c r="A109" s="21" t="str">
        <f aca="false">IF($C109="","",COUNTA($C$10:$C109))</f>
        <v/>
      </c>
      <c r="B109" s="18"/>
      <c r="C109" s="11"/>
      <c r="D109" s="11"/>
      <c r="E109" s="11"/>
      <c r="F109" s="11"/>
      <c r="G109" s="11"/>
      <c r="H109" s="11"/>
      <c r="I109" s="12"/>
      <c r="J109" s="13" t="str">
        <f aca="false">IF($H109="","",IFERROR(VLOOKUP($H109,'BẢNG GIÁ GỐC'!$A$5:$D$254,3,FALSE()),""))</f>
        <v/>
      </c>
      <c r="K109" s="12"/>
      <c r="L109" s="13" t="str">
        <f aca="false">IF($C109="","",N($I109)*N($K109))</f>
        <v/>
      </c>
      <c r="M109" s="11"/>
      <c r="N109" s="14" t="str">
        <f aca="false">IF($C109="","",IF($M109="VAT 5%",0.05,IF($M109="VAT 8%",0.08,IF($M109="VAT 10%",0.1,0))))</f>
        <v/>
      </c>
      <c r="O109" s="13" t="str">
        <f aca="false">IF($C109="","",$L109*$N109)</f>
        <v/>
      </c>
      <c r="P109" s="13" t="str">
        <f aca="false">IF($C109="","",$L109+$O109)</f>
        <v/>
      </c>
      <c r="Q109" s="12"/>
      <c r="R109" s="13" t="str">
        <f aca="false">IF($C109="","",MAX(0,$P109-N($Q109)))</f>
        <v/>
      </c>
      <c r="S109" s="23" t="str">
        <f aca="false">IF(OR($C109="",$P109=0),"",IF(N($Q109)&lt;=0,"Chưa thanh toán",IF(N($Q109)&lt;$P109,"Thanh toán một phần","Đã thanh toán")))</f>
        <v/>
      </c>
      <c r="T109" s="13" t="str">
        <f aca="false">IF(OR($C109="",$J109=""),"",N($I109)*$J109)</f>
        <v/>
      </c>
      <c r="U109" s="13" t="str">
        <f aca="false">IF(OR($C109="",$T109=""),"",$L109-$T109)</f>
        <v/>
      </c>
      <c r="V109" s="14" t="str">
        <f aca="false">IF(OR($U109="",$L109=0),"",$U109/$L109)</f>
        <v/>
      </c>
      <c r="W109" s="11"/>
      <c r="X109" s="23" t="str">
        <f aca="false">IF($C109="","",IF(AND($H109="",N($I109)=0,N($K109)=0),"Dòng chỉ lưu thông tin khách (chưa có đơn); ",IF($B109="","Thiếu ngày đặt; ","")&amp;IF($H109="","Thiếu tên sản phẩm; ",IF($J109="","Chưa khai GIÁ GỐC ở BẢNG GIÁ GỐC; ",""))&amp;IF(N($I109)&lt;=0,"Thiếu số lượng; ","")&amp;IF(N($K109)&lt;=0,"Thiếu giá bán; ","")&amp;IF(AND($N109&gt;0,$F109=""),"Khách lấy VAT thiếu mã số thuế; ","")&amp;IF(N($Q109)&gt;$P109,"Đã thu vượt tổng phải thu; ","")&amp;IF(AND($L109&gt;0,$U109&lt;&gt;"",$U109&lt;0),"CẢNH BÁO: ĐƠN NÀY ĐANG LỖ; ","")))</f>
        <v/>
      </c>
    </row>
    <row r="110" customFormat="false" ht="15" hidden="false" customHeight="false" outlineLevel="0" collapsed="false">
      <c r="A110" s="21" t="str">
        <f aca="false">IF($C110="","",COUNTA($C$10:$C110))</f>
        <v/>
      </c>
      <c r="B110" s="18"/>
      <c r="C110" s="11"/>
      <c r="D110" s="11"/>
      <c r="E110" s="11"/>
      <c r="F110" s="11"/>
      <c r="G110" s="11"/>
      <c r="H110" s="11"/>
      <c r="I110" s="12"/>
      <c r="J110" s="13" t="str">
        <f aca="false">IF($H110="","",IFERROR(VLOOKUP($H110,'BẢNG GIÁ GỐC'!$A$5:$D$254,3,FALSE()),""))</f>
        <v/>
      </c>
      <c r="K110" s="12"/>
      <c r="L110" s="13" t="str">
        <f aca="false">IF($C110="","",N($I110)*N($K110))</f>
        <v/>
      </c>
      <c r="M110" s="11"/>
      <c r="N110" s="14" t="str">
        <f aca="false">IF($C110="","",IF($M110="VAT 5%",0.05,IF($M110="VAT 8%",0.08,IF($M110="VAT 10%",0.1,0))))</f>
        <v/>
      </c>
      <c r="O110" s="13" t="str">
        <f aca="false">IF($C110="","",$L110*$N110)</f>
        <v/>
      </c>
      <c r="P110" s="13" t="str">
        <f aca="false">IF($C110="","",$L110+$O110)</f>
        <v/>
      </c>
      <c r="Q110" s="12"/>
      <c r="R110" s="13" t="str">
        <f aca="false">IF($C110="","",MAX(0,$P110-N($Q110)))</f>
        <v/>
      </c>
      <c r="S110" s="23" t="str">
        <f aca="false">IF(OR($C110="",$P110=0),"",IF(N($Q110)&lt;=0,"Chưa thanh toán",IF(N($Q110)&lt;$P110,"Thanh toán một phần","Đã thanh toán")))</f>
        <v/>
      </c>
      <c r="T110" s="13" t="str">
        <f aca="false">IF(OR($C110="",$J110=""),"",N($I110)*$J110)</f>
        <v/>
      </c>
      <c r="U110" s="13" t="str">
        <f aca="false">IF(OR($C110="",$T110=""),"",$L110-$T110)</f>
        <v/>
      </c>
      <c r="V110" s="14" t="str">
        <f aca="false">IF(OR($U110="",$L110=0),"",$U110/$L110)</f>
        <v/>
      </c>
      <c r="W110" s="11"/>
      <c r="X110" s="23" t="str">
        <f aca="false">IF($C110="","",IF(AND($H110="",N($I110)=0,N($K110)=0),"Dòng chỉ lưu thông tin khách (chưa có đơn); ",IF($B110="","Thiếu ngày đặt; ","")&amp;IF($H110="","Thiếu tên sản phẩm; ",IF($J110="","Chưa khai GIÁ GỐC ở BẢNG GIÁ GỐC; ",""))&amp;IF(N($I110)&lt;=0,"Thiếu số lượng; ","")&amp;IF(N($K110)&lt;=0,"Thiếu giá bán; ","")&amp;IF(AND($N110&gt;0,$F110=""),"Khách lấy VAT thiếu mã số thuế; ","")&amp;IF(N($Q110)&gt;$P110,"Đã thu vượt tổng phải thu; ","")&amp;IF(AND($L110&gt;0,$U110&lt;&gt;"",$U110&lt;0),"CẢNH BÁO: ĐƠN NÀY ĐANG LỖ; ","")))</f>
        <v/>
      </c>
    </row>
    <row r="111" customFormat="false" ht="15" hidden="false" customHeight="false" outlineLevel="0" collapsed="false">
      <c r="A111" s="21" t="str">
        <f aca="false">IF($C111="","",COUNTA($C$10:$C111))</f>
        <v/>
      </c>
      <c r="B111" s="18"/>
      <c r="C111" s="11"/>
      <c r="D111" s="11"/>
      <c r="E111" s="11"/>
      <c r="F111" s="11"/>
      <c r="G111" s="11"/>
      <c r="H111" s="11"/>
      <c r="I111" s="12"/>
      <c r="J111" s="13" t="str">
        <f aca="false">IF($H111="","",IFERROR(VLOOKUP($H111,'BẢNG GIÁ GỐC'!$A$5:$D$254,3,FALSE()),""))</f>
        <v/>
      </c>
      <c r="K111" s="12"/>
      <c r="L111" s="13" t="str">
        <f aca="false">IF($C111="","",N($I111)*N($K111))</f>
        <v/>
      </c>
      <c r="M111" s="11"/>
      <c r="N111" s="14" t="str">
        <f aca="false">IF($C111="","",IF($M111="VAT 5%",0.05,IF($M111="VAT 8%",0.08,IF($M111="VAT 10%",0.1,0))))</f>
        <v/>
      </c>
      <c r="O111" s="13" t="str">
        <f aca="false">IF($C111="","",$L111*$N111)</f>
        <v/>
      </c>
      <c r="P111" s="13" t="str">
        <f aca="false">IF($C111="","",$L111+$O111)</f>
        <v/>
      </c>
      <c r="Q111" s="12"/>
      <c r="R111" s="13" t="str">
        <f aca="false">IF($C111="","",MAX(0,$P111-N($Q111)))</f>
        <v/>
      </c>
      <c r="S111" s="23" t="str">
        <f aca="false">IF(OR($C111="",$P111=0),"",IF(N($Q111)&lt;=0,"Chưa thanh toán",IF(N($Q111)&lt;$P111,"Thanh toán một phần","Đã thanh toán")))</f>
        <v/>
      </c>
      <c r="T111" s="13" t="str">
        <f aca="false">IF(OR($C111="",$J111=""),"",N($I111)*$J111)</f>
        <v/>
      </c>
      <c r="U111" s="13" t="str">
        <f aca="false">IF(OR($C111="",$T111=""),"",$L111-$T111)</f>
        <v/>
      </c>
      <c r="V111" s="14" t="str">
        <f aca="false">IF(OR($U111="",$L111=0),"",$U111/$L111)</f>
        <v/>
      </c>
      <c r="W111" s="11"/>
      <c r="X111" s="23" t="str">
        <f aca="false">IF($C111="","",IF(AND($H111="",N($I111)=0,N($K111)=0),"Dòng chỉ lưu thông tin khách (chưa có đơn); ",IF($B111="","Thiếu ngày đặt; ","")&amp;IF($H111="","Thiếu tên sản phẩm; ",IF($J111="","Chưa khai GIÁ GỐC ở BẢNG GIÁ GỐC; ",""))&amp;IF(N($I111)&lt;=0,"Thiếu số lượng; ","")&amp;IF(N($K111)&lt;=0,"Thiếu giá bán; ","")&amp;IF(AND($N111&gt;0,$F111=""),"Khách lấy VAT thiếu mã số thuế; ","")&amp;IF(N($Q111)&gt;$P111,"Đã thu vượt tổng phải thu; ","")&amp;IF(AND($L111&gt;0,$U111&lt;&gt;"",$U111&lt;0),"CẢNH BÁO: ĐƠN NÀY ĐANG LỖ; ","")))</f>
        <v/>
      </c>
    </row>
    <row r="112" customFormat="false" ht="15" hidden="false" customHeight="false" outlineLevel="0" collapsed="false">
      <c r="A112" s="21" t="str">
        <f aca="false">IF($C112="","",COUNTA($C$10:$C112))</f>
        <v/>
      </c>
      <c r="B112" s="18"/>
      <c r="C112" s="11"/>
      <c r="D112" s="11"/>
      <c r="E112" s="11"/>
      <c r="F112" s="11"/>
      <c r="G112" s="11"/>
      <c r="H112" s="11"/>
      <c r="I112" s="12"/>
      <c r="J112" s="13" t="str">
        <f aca="false">IF($H112="","",IFERROR(VLOOKUP($H112,'BẢNG GIÁ GỐC'!$A$5:$D$254,3,FALSE()),""))</f>
        <v/>
      </c>
      <c r="K112" s="12"/>
      <c r="L112" s="13" t="str">
        <f aca="false">IF($C112="","",N($I112)*N($K112))</f>
        <v/>
      </c>
      <c r="M112" s="11"/>
      <c r="N112" s="14" t="str">
        <f aca="false">IF($C112="","",IF($M112="VAT 5%",0.05,IF($M112="VAT 8%",0.08,IF($M112="VAT 10%",0.1,0))))</f>
        <v/>
      </c>
      <c r="O112" s="13" t="str">
        <f aca="false">IF($C112="","",$L112*$N112)</f>
        <v/>
      </c>
      <c r="P112" s="13" t="str">
        <f aca="false">IF($C112="","",$L112+$O112)</f>
        <v/>
      </c>
      <c r="Q112" s="12"/>
      <c r="R112" s="13" t="str">
        <f aca="false">IF($C112="","",MAX(0,$P112-N($Q112)))</f>
        <v/>
      </c>
      <c r="S112" s="23" t="str">
        <f aca="false">IF(OR($C112="",$P112=0),"",IF(N($Q112)&lt;=0,"Chưa thanh toán",IF(N($Q112)&lt;$P112,"Thanh toán một phần","Đã thanh toán")))</f>
        <v/>
      </c>
      <c r="T112" s="13" t="str">
        <f aca="false">IF(OR($C112="",$J112=""),"",N($I112)*$J112)</f>
        <v/>
      </c>
      <c r="U112" s="13" t="str">
        <f aca="false">IF(OR($C112="",$T112=""),"",$L112-$T112)</f>
        <v/>
      </c>
      <c r="V112" s="14" t="str">
        <f aca="false">IF(OR($U112="",$L112=0),"",$U112/$L112)</f>
        <v/>
      </c>
      <c r="W112" s="11"/>
      <c r="X112" s="23" t="str">
        <f aca="false">IF($C112="","",IF(AND($H112="",N($I112)=0,N($K112)=0),"Dòng chỉ lưu thông tin khách (chưa có đơn); ",IF($B112="","Thiếu ngày đặt; ","")&amp;IF($H112="","Thiếu tên sản phẩm; ",IF($J112="","Chưa khai GIÁ GỐC ở BẢNG GIÁ GỐC; ",""))&amp;IF(N($I112)&lt;=0,"Thiếu số lượng; ","")&amp;IF(N($K112)&lt;=0,"Thiếu giá bán; ","")&amp;IF(AND($N112&gt;0,$F112=""),"Khách lấy VAT thiếu mã số thuế; ","")&amp;IF(N($Q112)&gt;$P112,"Đã thu vượt tổng phải thu; ","")&amp;IF(AND($L112&gt;0,$U112&lt;&gt;"",$U112&lt;0),"CẢNH BÁO: ĐƠN NÀY ĐANG LỖ; ","")))</f>
        <v/>
      </c>
    </row>
    <row r="113" customFormat="false" ht="15" hidden="false" customHeight="false" outlineLevel="0" collapsed="false">
      <c r="A113" s="21" t="str">
        <f aca="false">IF($C113="","",COUNTA($C$10:$C113))</f>
        <v/>
      </c>
      <c r="B113" s="18"/>
      <c r="C113" s="11"/>
      <c r="D113" s="11"/>
      <c r="E113" s="11"/>
      <c r="F113" s="11"/>
      <c r="G113" s="11"/>
      <c r="H113" s="11"/>
      <c r="I113" s="12"/>
      <c r="J113" s="13" t="str">
        <f aca="false">IF($H113="","",IFERROR(VLOOKUP($H113,'BẢNG GIÁ GỐC'!$A$5:$D$254,3,FALSE()),""))</f>
        <v/>
      </c>
      <c r="K113" s="12"/>
      <c r="L113" s="13" t="str">
        <f aca="false">IF($C113="","",N($I113)*N($K113))</f>
        <v/>
      </c>
      <c r="M113" s="11"/>
      <c r="N113" s="14" t="str">
        <f aca="false">IF($C113="","",IF($M113="VAT 5%",0.05,IF($M113="VAT 8%",0.08,IF($M113="VAT 10%",0.1,0))))</f>
        <v/>
      </c>
      <c r="O113" s="13" t="str">
        <f aca="false">IF($C113="","",$L113*$N113)</f>
        <v/>
      </c>
      <c r="P113" s="13" t="str">
        <f aca="false">IF($C113="","",$L113+$O113)</f>
        <v/>
      </c>
      <c r="Q113" s="12"/>
      <c r="R113" s="13" t="str">
        <f aca="false">IF($C113="","",MAX(0,$P113-N($Q113)))</f>
        <v/>
      </c>
      <c r="S113" s="23" t="str">
        <f aca="false">IF(OR($C113="",$P113=0),"",IF(N($Q113)&lt;=0,"Chưa thanh toán",IF(N($Q113)&lt;$P113,"Thanh toán một phần","Đã thanh toán")))</f>
        <v/>
      </c>
      <c r="T113" s="13" t="str">
        <f aca="false">IF(OR($C113="",$J113=""),"",N($I113)*$J113)</f>
        <v/>
      </c>
      <c r="U113" s="13" t="str">
        <f aca="false">IF(OR($C113="",$T113=""),"",$L113-$T113)</f>
        <v/>
      </c>
      <c r="V113" s="14" t="str">
        <f aca="false">IF(OR($U113="",$L113=0),"",$U113/$L113)</f>
        <v/>
      </c>
      <c r="W113" s="11"/>
      <c r="X113" s="23" t="str">
        <f aca="false">IF($C113="","",IF(AND($H113="",N($I113)=0,N($K113)=0),"Dòng chỉ lưu thông tin khách (chưa có đơn); ",IF($B113="","Thiếu ngày đặt; ","")&amp;IF($H113="","Thiếu tên sản phẩm; ",IF($J113="","Chưa khai GIÁ GỐC ở BẢNG GIÁ GỐC; ",""))&amp;IF(N($I113)&lt;=0,"Thiếu số lượng; ","")&amp;IF(N($K113)&lt;=0,"Thiếu giá bán; ","")&amp;IF(AND($N113&gt;0,$F113=""),"Khách lấy VAT thiếu mã số thuế; ","")&amp;IF(N($Q113)&gt;$P113,"Đã thu vượt tổng phải thu; ","")&amp;IF(AND($L113&gt;0,$U113&lt;&gt;"",$U113&lt;0),"CẢNH BÁO: ĐƠN NÀY ĐANG LỖ; ","")))</f>
        <v/>
      </c>
    </row>
    <row r="114" customFormat="false" ht="15" hidden="false" customHeight="false" outlineLevel="0" collapsed="false">
      <c r="A114" s="21" t="str">
        <f aca="false">IF($C114="","",COUNTA($C$10:$C114))</f>
        <v/>
      </c>
      <c r="B114" s="18"/>
      <c r="C114" s="11"/>
      <c r="D114" s="11"/>
      <c r="E114" s="11"/>
      <c r="F114" s="11"/>
      <c r="G114" s="11"/>
      <c r="H114" s="11"/>
      <c r="I114" s="12"/>
      <c r="J114" s="13" t="str">
        <f aca="false">IF($H114="","",IFERROR(VLOOKUP($H114,'BẢNG GIÁ GỐC'!$A$5:$D$254,3,FALSE()),""))</f>
        <v/>
      </c>
      <c r="K114" s="12"/>
      <c r="L114" s="13" t="str">
        <f aca="false">IF($C114="","",N($I114)*N($K114))</f>
        <v/>
      </c>
      <c r="M114" s="11"/>
      <c r="N114" s="14" t="str">
        <f aca="false">IF($C114="","",IF($M114="VAT 5%",0.05,IF($M114="VAT 8%",0.08,IF($M114="VAT 10%",0.1,0))))</f>
        <v/>
      </c>
      <c r="O114" s="13" t="str">
        <f aca="false">IF($C114="","",$L114*$N114)</f>
        <v/>
      </c>
      <c r="P114" s="13" t="str">
        <f aca="false">IF($C114="","",$L114+$O114)</f>
        <v/>
      </c>
      <c r="Q114" s="12"/>
      <c r="R114" s="13" t="str">
        <f aca="false">IF($C114="","",MAX(0,$P114-N($Q114)))</f>
        <v/>
      </c>
      <c r="S114" s="23" t="str">
        <f aca="false">IF(OR($C114="",$P114=0),"",IF(N($Q114)&lt;=0,"Chưa thanh toán",IF(N($Q114)&lt;$P114,"Thanh toán một phần","Đã thanh toán")))</f>
        <v/>
      </c>
      <c r="T114" s="13" t="str">
        <f aca="false">IF(OR($C114="",$J114=""),"",N($I114)*$J114)</f>
        <v/>
      </c>
      <c r="U114" s="13" t="str">
        <f aca="false">IF(OR($C114="",$T114=""),"",$L114-$T114)</f>
        <v/>
      </c>
      <c r="V114" s="14" t="str">
        <f aca="false">IF(OR($U114="",$L114=0),"",$U114/$L114)</f>
        <v/>
      </c>
      <c r="W114" s="11"/>
      <c r="X114" s="23" t="str">
        <f aca="false">IF($C114="","",IF(AND($H114="",N($I114)=0,N($K114)=0),"Dòng chỉ lưu thông tin khách (chưa có đơn); ",IF($B114="","Thiếu ngày đặt; ","")&amp;IF($H114="","Thiếu tên sản phẩm; ",IF($J114="","Chưa khai GIÁ GỐC ở BẢNG GIÁ GỐC; ",""))&amp;IF(N($I114)&lt;=0,"Thiếu số lượng; ","")&amp;IF(N($K114)&lt;=0,"Thiếu giá bán; ","")&amp;IF(AND($N114&gt;0,$F114=""),"Khách lấy VAT thiếu mã số thuế; ","")&amp;IF(N($Q114)&gt;$P114,"Đã thu vượt tổng phải thu; ","")&amp;IF(AND($L114&gt;0,$U114&lt;&gt;"",$U114&lt;0),"CẢNH BÁO: ĐƠN NÀY ĐANG LỖ; ","")))</f>
        <v/>
      </c>
    </row>
    <row r="115" customFormat="false" ht="15" hidden="false" customHeight="false" outlineLevel="0" collapsed="false">
      <c r="A115" s="21" t="str">
        <f aca="false">IF($C115="","",COUNTA($C$10:$C115))</f>
        <v/>
      </c>
      <c r="B115" s="18"/>
      <c r="C115" s="11"/>
      <c r="D115" s="11"/>
      <c r="E115" s="11"/>
      <c r="F115" s="11"/>
      <c r="G115" s="11"/>
      <c r="H115" s="11"/>
      <c r="I115" s="12"/>
      <c r="J115" s="13" t="str">
        <f aca="false">IF($H115="","",IFERROR(VLOOKUP($H115,'BẢNG GIÁ GỐC'!$A$5:$D$254,3,FALSE()),""))</f>
        <v/>
      </c>
      <c r="K115" s="12"/>
      <c r="L115" s="13" t="str">
        <f aca="false">IF($C115="","",N($I115)*N($K115))</f>
        <v/>
      </c>
      <c r="M115" s="11"/>
      <c r="N115" s="14" t="str">
        <f aca="false">IF($C115="","",IF($M115="VAT 5%",0.05,IF($M115="VAT 8%",0.08,IF($M115="VAT 10%",0.1,0))))</f>
        <v/>
      </c>
      <c r="O115" s="13" t="str">
        <f aca="false">IF($C115="","",$L115*$N115)</f>
        <v/>
      </c>
      <c r="P115" s="13" t="str">
        <f aca="false">IF($C115="","",$L115+$O115)</f>
        <v/>
      </c>
      <c r="Q115" s="12"/>
      <c r="R115" s="13" t="str">
        <f aca="false">IF($C115="","",MAX(0,$P115-N($Q115)))</f>
        <v/>
      </c>
      <c r="S115" s="23" t="str">
        <f aca="false">IF(OR($C115="",$P115=0),"",IF(N($Q115)&lt;=0,"Chưa thanh toán",IF(N($Q115)&lt;$P115,"Thanh toán một phần","Đã thanh toán")))</f>
        <v/>
      </c>
      <c r="T115" s="13" t="str">
        <f aca="false">IF(OR($C115="",$J115=""),"",N($I115)*$J115)</f>
        <v/>
      </c>
      <c r="U115" s="13" t="str">
        <f aca="false">IF(OR($C115="",$T115=""),"",$L115-$T115)</f>
        <v/>
      </c>
      <c r="V115" s="14" t="str">
        <f aca="false">IF(OR($U115="",$L115=0),"",$U115/$L115)</f>
        <v/>
      </c>
      <c r="W115" s="11"/>
      <c r="X115" s="23" t="str">
        <f aca="false">IF($C115="","",IF(AND($H115="",N($I115)=0,N($K115)=0),"Dòng chỉ lưu thông tin khách (chưa có đơn); ",IF($B115="","Thiếu ngày đặt; ","")&amp;IF($H115="","Thiếu tên sản phẩm; ",IF($J115="","Chưa khai GIÁ GỐC ở BẢNG GIÁ GỐC; ",""))&amp;IF(N($I115)&lt;=0,"Thiếu số lượng; ","")&amp;IF(N($K115)&lt;=0,"Thiếu giá bán; ","")&amp;IF(AND($N115&gt;0,$F115=""),"Khách lấy VAT thiếu mã số thuế; ","")&amp;IF(N($Q115)&gt;$P115,"Đã thu vượt tổng phải thu; ","")&amp;IF(AND($L115&gt;0,$U115&lt;&gt;"",$U115&lt;0),"CẢNH BÁO: ĐƠN NÀY ĐANG LỖ; ","")))</f>
        <v/>
      </c>
    </row>
    <row r="116" customFormat="false" ht="15" hidden="false" customHeight="false" outlineLevel="0" collapsed="false">
      <c r="A116" s="21" t="str">
        <f aca="false">IF($C116="","",COUNTA($C$10:$C116))</f>
        <v/>
      </c>
      <c r="B116" s="18"/>
      <c r="C116" s="11"/>
      <c r="D116" s="11"/>
      <c r="E116" s="11"/>
      <c r="F116" s="11"/>
      <c r="G116" s="11"/>
      <c r="H116" s="11"/>
      <c r="I116" s="12"/>
      <c r="J116" s="13" t="str">
        <f aca="false">IF($H116="","",IFERROR(VLOOKUP($H116,'BẢNG GIÁ GỐC'!$A$5:$D$254,3,FALSE()),""))</f>
        <v/>
      </c>
      <c r="K116" s="12"/>
      <c r="L116" s="13" t="str">
        <f aca="false">IF($C116="","",N($I116)*N($K116))</f>
        <v/>
      </c>
      <c r="M116" s="11"/>
      <c r="N116" s="14" t="str">
        <f aca="false">IF($C116="","",IF($M116="VAT 5%",0.05,IF($M116="VAT 8%",0.08,IF($M116="VAT 10%",0.1,0))))</f>
        <v/>
      </c>
      <c r="O116" s="13" t="str">
        <f aca="false">IF($C116="","",$L116*$N116)</f>
        <v/>
      </c>
      <c r="P116" s="13" t="str">
        <f aca="false">IF($C116="","",$L116+$O116)</f>
        <v/>
      </c>
      <c r="Q116" s="12"/>
      <c r="R116" s="13" t="str">
        <f aca="false">IF($C116="","",MAX(0,$P116-N($Q116)))</f>
        <v/>
      </c>
      <c r="S116" s="23" t="str">
        <f aca="false">IF(OR($C116="",$P116=0),"",IF(N($Q116)&lt;=0,"Chưa thanh toán",IF(N($Q116)&lt;$P116,"Thanh toán một phần","Đã thanh toán")))</f>
        <v/>
      </c>
      <c r="T116" s="13" t="str">
        <f aca="false">IF(OR($C116="",$J116=""),"",N($I116)*$J116)</f>
        <v/>
      </c>
      <c r="U116" s="13" t="str">
        <f aca="false">IF(OR($C116="",$T116=""),"",$L116-$T116)</f>
        <v/>
      </c>
      <c r="V116" s="14" t="str">
        <f aca="false">IF(OR($U116="",$L116=0),"",$U116/$L116)</f>
        <v/>
      </c>
      <c r="W116" s="11"/>
      <c r="X116" s="23" t="str">
        <f aca="false">IF($C116="","",IF(AND($H116="",N($I116)=0,N($K116)=0),"Dòng chỉ lưu thông tin khách (chưa có đơn); ",IF($B116="","Thiếu ngày đặt; ","")&amp;IF($H116="","Thiếu tên sản phẩm; ",IF($J116="","Chưa khai GIÁ GỐC ở BẢNG GIÁ GỐC; ",""))&amp;IF(N($I116)&lt;=0,"Thiếu số lượng; ","")&amp;IF(N($K116)&lt;=0,"Thiếu giá bán; ","")&amp;IF(AND($N116&gt;0,$F116=""),"Khách lấy VAT thiếu mã số thuế; ","")&amp;IF(N($Q116)&gt;$P116,"Đã thu vượt tổng phải thu; ","")&amp;IF(AND($L116&gt;0,$U116&lt;&gt;"",$U116&lt;0),"CẢNH BÁO: ĐƠN NÀY ĐANG LỖ; ","")))</f>
        <v/>
      </c>
    </row>
    <row r="117" customFormat="false" ht="15" hidden="false" customHeight="false" outlineLevel="0" collapsed="false">
      <c r="A117" s="21" t="str">
        <f aca="false">IF($C117="","",COUNTA($C$10:$C117))</f>
        <v/>
      </c>
      <c r="B117" s="18"/>
      <c r="C117" s="11"/>
      <c r="D117" s="11"/>
      <c r="E117" s="11"/>
      <c r="F117" s="11"/>
      <c r="G117" s="11"/>
      <c r="H117" s="11"/>
      <c r="I117" s="12"/>
      <c r="J117" s="13" t="str">
        <f aca="false">IF($H117="","",IFERROR(VLOOKUP($H117,'BẢNG GIÁ GỐC'!$A$5:$D$254,3,FALSE()),""))</f>
        <v/>
      </c>
      <c r="K117" s="12"/>
      <c r="L117" s="13" t="str">
        <f aca="false">IF($C117="","",N($I117)*N($K117))</f>
        <v/>
      </c>
      <c r="M117" s="11"/>
      <c r="N117" s="14" t="str">
        <f aca="false">IF($C117="","",IF($M117="VAT 5%",0.05,IF($M117="VAT 8%",0.08,IF($M117="VAT 10%",0.1,0))))</f>
        <v/>
      </c>
      <c r="O117" s="13" t="str">
        <f aca="false">IF($C117="","",$L117*$N117)</f>
        <v/>
      </c>
      <c r="P117" s="13" t="str">
        <f aca="false">IF($C117="","",$L117+$O117)</f>
        <v/>
      </c>
      <c r="Q117" s="12"/>
      <c r="R117" s="13" t="str">
        <f aca="false">IF($C117="","",MAX(0,$P117-N($Q117)))</f>
        <v/>
      </c>
      <c r="S117" s="23" t="str">
        <f aca="false">IF(OR($C117="",$P117=0),"",IF(N($Q117)&lt;=0,"Chưa thanh toán",IF(N($Q117)&lt;$P117,"Thanh toán một phần","Đã thanh toán")))</f>
        <v/>
      </c>
      <c r="T117" s="13" t="str">
        <f aca="false">IF(OR($C117="",$J117=""),"",N($I117)*$J117)</f>
        <v/>
      </c>
      <c r="U117" s="13" t="str">
        <f aca="false">IF(OR($C117="",$T117=""),"",$L117-$T117)</f>
        <v/>
      </c>
      <c r="V117" s="14" t="str">
        <f aca="false">IF(OR($U117="",$L117=0),"",$U117/$L117)</f>
        <v/>
      </c>
      <c r="W117" s="11"/>
      <c r="X117" s="23" t="str">
        <f aca="false">IF($C117="","",IF(AND($H117="",N($I117)=0,N($K117)=0),"Dòng chỉ lưu thông tin khách (chưa có đơn); ",IF($B117="","Thiếu ngày đặt; ","")&amp;IF($H117="","Thiếu tên sản phẩm; ",IF($J117="","Chưa khai GIÁ GỐC ở BẢNG GIÁ GỐC; ",""))&amp;IF(N($I117)&lt;=0,"Thiếu số lượng; ","")&amp;IF(N($K117)&lt;=0,"Thiếu giá bán; ","")&amp;IF(AND($N117&gt;0,$F117=""),"Khách lấy VAT thiếu mã số thuế; ","")&amp;IF(N($Q117)&gt;$P117,"Đã thu vượt tổng phải thu; ","")&amp;IF(AND($L117&gt;0,$U117&lt;&gt;"",$U117&lt;0),"CẢNH BÁO: ĐƠN NÀY ĐANG LỖ; ","")))</f>
        <v/>
      </c>
    </row>
    <row r="118" customFormat="false" ht="15" hidden="false" customHeight="false" outlineLevel="0" collapsed="false">
      <c r="A118" s="21" t="str">
        <f aca="false">IF($C118="","",COUNTA($C$10:$C118))</f>
        <v/>
      </c>
      <c r="B118" s="18"/>
      <c r="C118" s="11"/>
      <c r="D118" s="11"/>
      <c r="E118" s="11"/>
      <c r="F118" s="11"/>
      <c r="G118" s="11"/>
      <c r="H118" s="11"/>
      <c r="I118" s="12"/>
      <c r="J118" s="13" t="str">
        <f aca="false">IF($H118="","",IFERROR(VLOOKUP($H118,'BẢNG GIÁ GỐC'!$A$5:$D$254,3,FALSE()),""))</f>
        <v/>
      </c>
      <c r="K118" s="12"/>
      <c r="L118" s="13" t="str">
        <f aca="false">IF($C118="","",N($I118)*N($K118))</f>
        <v/>
      </c>
      <c r="M118" s="11"/>
      <c r="N118" s="14" t="str">
        <f aca="false">IF($C118="","",IF($M118="VAT 5%",0.05,IF($M118="VAT 8%",0.08,IF($M118="VAT 10%",0.1,0))))</f>
        <v/>
      </c>
      <c r="O118" s="13" t="str">
        <f aca="false">IF($C118="","",$L118*$N118)</f>
        <v/>
      </c>
      <c r="P118" s="13" t="str">
        <f aca="false">IF($C118="","",$L118+$O118)</f>
        <v/>
      </c>
      <c r="Q118" s="12"/>
      <c r="R118" s="13" t="str">
        <f aca="false">IF($C118="","",MAX(0,$P118-N($Q118)))</f>
        <v/>
      </c>
      <c r="S118" s="23" t="str">
        <f aca="false">IF(OR($C118="",$P118=0),"",IF(N($Q118)&lt;=0,"Chưa thanh toán",IF(N($Q118)&lt;$P118,"Thanh toán một phần","Đã thanh toán")))</f>
        <v/>
      </c>
      <c r="T118" s="13" t="str">
        <f aca="false">IF(OR($C118="",$J118=""),"",N($I118)*$J118)</f>
        <v/>
      </c>
      <c r="U118" s="13" t="str">
        <f aca="false">IF(OR($C118="",$T118=""),"",$L118-$T118)</f>
        <v/>
      </c>
      <c r="V118" s="14" t="str">
        <f aca="false">IF(OR($U118="",$L118=0),"",$U118/$L118)</f>
        <v/>
      </c>
      <c r="W118" s="11"/>
      <c r="X118" s="23" t="str">
        <f aca="false">IF($C118="","",IF(AND($H118="",N($I118)=0,N($K118)=0),"Dòng chỉ lưu thông tin khách (chưa có đơn); ",IF($B118="","Thiếu ngày đặt; ","")&amp;IF($H118="","Thiếu tên sản phẩm; ",IF($J118="","Chưa khai GIÁ GỐC ở BẢNG GIÁ GỐC; ",""))&amp;IF(N($I118)&lt;=0,"Thiếu số lượng; ","")&amp;IF(N($K118)&lt;=0,"Thiếu giá bán; ","")&amp;IF(AND($N118&gt;0,$F118=""),"Khách lấy VAT thiếu mã số thuế; ","")&amp;IF(N($Q118)&gt;$P118,"Đã thu vượt tổng phải thu; ","")&amp;IF(AND($L118&gt;0,$U118&lt;&gt;"",$U118&lt;0),"CẢNH BÁO: ĐƠN NÀY ĐANG LỖ; ","")))</f>
        <v/>
      </c>
    </row>
    <row r="119" customFormat="false" ht="15" hidden="false" customHeight="false" outlineLevel="0" collapsed="false">
      <c r="A119" s="21" t="str">
        <f aca="false">IF($C119="","",COUNTA($C$10:$C119))</f>
        <v/>
      </c>
      <c r="B119" s="18"/>
      <c r="C119" s="11"/>
      <c r="D119" s="11"/>
      <c r="E119" s="11"/>
      <c r="F119" s="11"/>
      <c r="G119" s="11"/>
      <c r="H119" s="11"/>
      <c r="I119" s="12"/>
      <c r="J119" s="13" t="str">
        <f aca="false">IF($H119="","",IFERROR(VLOOKUP($H119,'BẢNG GIÁ GỐC'!$A$5:$D$254,3,FALSE()),""))</f>
        <v/>
      </c>
      <c r="K119" s="12"/>
      <c r="L119" s="13" t="str">
        <f aca="false">IF($C119="","",N($I119)*N($K119))</f>
        <v/>
      </c>
      <c r="M119" s="11"/>
      <c r="N119" s="14" t="str">
        <f aca="false">IF($C119="","",IF($M119="VAT 5%",0.05,IF($M119="VAT 8%",0.08,IF($M119="VAT 10%",0.1,0))))</f>
        <v/>
      </c>
      <c r="O119" s="13" t="str">
        <f aca="false">IF($C119="","",$L119*$N119)</f>
        <v/>
      </c>
      <c r="P119" s="13" t="str">
        <f aca="false">IF($C119="","",$L119+$O119)</f>
        <v/>
      </c>
      <c r="Q119" s="12"/>
      <c r="R119" s="13" t="str">
        <f aca="false">IF($C119="","",MAX(0,$P119-N($Q119)))</f>
        <v/>
      </c>
      <c r="S119" s="23" t="str">
        <f aca="false">IF(OR($C119="",$P119=0),"",IF(N($Q119)&lt;=0,"Chưa thanh toán",IF(N($Q119)&lt;$P119,"Thanh toán một phần","Đã thanh toán")))</f>
        <v/>
      </c>
      <c r="T119" s="13" t="str">
        <f aca="false">IF(OR($C119="",$J119=""),"",N($I119)*$J119)</f>
        <v/>
      </c>
      <c r="U119" s="13" t="str">
        <f aca="false">IF(OR($C119="",$T119=""),"",$L119-$T119)</f>
        <v/>
      </c>
      <c r="V119" s="14" t="str">
        <f aca="false">IF(OR($U119="",$L119=0),"",$U119/$L119)</f>
        <v/>
      </c>
      <c r="W119" s="11"/>
      <c r="X119" s="23" t="str">
        <f aca="false">IF($C119="","",IF(AND($H119="",N($I119)=0,N($K119)=0),"Dòng chỉ lưu thông tin khách (chưa có đơn); ",IF($B119="","Thiếu ngày đặt; ","")&amp;IF($H119="","Thiếu tên sản phẩm; ",IF($J119="","Chưa khai GIÁ GỐC ở BẢNG GIÁ GỐC; ",""))&amp;IF(N($I119)&lt;=0,"Thiếu số lượng; ","")&amp;IF(N($K119)&lt;=0,"Thiếu giá bán; ","")&amp;IF(AND($N119&gt;0,$F119=""),"Khách lấy VAT thiếu mã số thuế; ","")&amp;IF(N($Q119)&gt;$P119,"Đã thu vượt tổng phải thu; ","")&amp;IF(AND($L119&gt;0,$U119&lt;&gt;"",$U119&lt;0),"CẢNH BÁO: ĐƠN NÀY ĐANG LỖ; ","")))</f>
        <v/>
      </c>
    </row>
    <row r="120" customFormat="false" ht="15" hidden="false" customHeight="false" outlineLevel="0" collapsed="false">
      <c r="A120" s="21" t="str">
        <f aca="false">IF($C120="","",COUNTA($C$10:$C120))</f>
        <v/>
      </c>
      <c r="B120" s="18"/>
      <c r="C120" s="11"/>
      <c r="D120" s="11"/>
      <c r="E120" s="11"/>
      <c r="F120" s="11"/>
      <c r="G120" s="11"/>
      <c r="H120" s="11"/>
      <c r="I120" s="12"/>
      <c r="J120" s="13" t="str">
        <f aca="false">IF($H120="","",IFERROR(VLOOKUP($H120,'BẢNG GIÁ GỐC'!$A$5:$D$254,3,FALSE()),""))</f>
        <v/>
      </c>
      <c r="K120" s="12"/>
      <c r="L120" s="13" t="str">
        <f aca="false">IF($C120="","",N($I120)*N($K120))</f>
        <v/>
      </c>
      <c r="M120" s="11"/>
      <c r="N120" s="14" t="str">
        <f aca="false">IF($C120="","",IF($M120="VAT 5%",0.05,IF($M120="VAT 8%",0.08,IF($M120="VAT 10%",0.1,0))))</f>
        <v/>
      </c>
      <c r="O120" s="13" t="str">
        <f aca="false">IF($C120="","",$L120*$N120)</f>
        <v/>
      </c>
      <c r="P120" s="13" t="str">
        <f aca="false">IF($C120="","",$L120+$O120)</f>
        <v/>
      </c>
      <c r="Q120" s="12"/>
      <c r="R120" s="13" t="str">
        <f aca="false">IF($C120="","",MAX(0,$P120-N($Q120)))</f>
        <v/>
      </c>
      <c r="S120" s="23" t="str">
        <f aca="false">IF(OR($C120="",$P120=0),"",IF(N($Q120)&lt;=0,"Chưa thanh toán",IF(N($Q120)&lt;$P120,"Thanh toán một phần","Đã thanh toán")))</f>
        <v/>
      </c>
      <c r="T120" s="13" t="str">
        <f aca="false">IF(OR($C120="",$J120=""),"",N($I120)*$J120)</f>
        <v/>
      </c>
      <c r="U120" s="13" t="str">
        <f aca="false">IF(OR($C120="",$T120=""),"",$L120-$T120)</f>
        <v/>
      </c>
      <c r="V120" s="14" t="str">
        <f aca="false">IF(OR($U120="",$L120=0),"",$U120/$L120)</f>
        <v/>
      </c>
      <c r="W120" s="11"/>
      <c r="X120" s="23" t="str">
        <f aca="false">IF($C120="","",IF(AND($H120="",N($I120)=0,N($K120)=0),"Dòng chỉ lưu thông tin khách (chưa có đơn); ",IF($B120="","Thiếu ngày đặt; ","")&amp;IF($H120="","Thiếu tên sản phẩm; ",IF($J120="","Chưa khai GIÁ GỐC ở BẢNG GIÁ GỐC; ",""))&amp;IF(N($I120)&lt;=0,"Thiếu số lượng; ","")&amp;IF(N($K120)&lt;=0,"Thiếu giá bán; ","")&amp;IF(AND($N120&gt;0,$F120=""),"Khách lấy VAT thiếu mã số thuế; ","")&amp;IF(N($Q120)&gt;$P120,"Đã thu vượt tổng phải thu; ","")&amp;IF(AND($L120&gt;0,$U120&lt;&gt;"",$U120&lt;0),"CẢNH BÁO: ĐƠN NÀY ĐANG LỖ; ","")))</f>
        <v/>
      </c>
    </row>
    <row r="121" customFormat="false" ht="15" hidden="false" customHeight="false" outlineLevel="0" collapsed="false">
      <c r="A121" s="21" t="str">
        <f aca="false">IF($C121="","",COUNTA($C$10:$C121))</f>
        <v/>
      </c>
      <c r="B121" s="18"/>
      <c r="C121" s="11"/>
      <c r="D121" s="11"/>
      <c r="E121" s="11"/>
      <c r="F121" s="11"/>
      <c r="G121" s="11"/>
      <c r="H121" s="11"/>
      <c r="I121" s="12"/>
      <c r="J121" s="13" t="str">
        <f aca="false">IF($H121="","",IFERROR(VLOOKUP($H121,'BẢNG GIÁ GỐC'!$A$5:$D$254,3,FALSE()),""))</f>
        <v/>
      </c>
      <c r="K121" s="12"/>
      <c r="L121" s="13" t="str">
        <f aca="false">IF($C121="","",N($I121)*N($K121))</f>
        <v/>
      </c>
      <c r="M121" s="11"/>
      <c r="N121" s="14" t="str">
        <f aca="false">IF($C121="","",IF($M121="VAT 5%",0.05,IF($M121="VAT 8%",0.08,IF($M121="VAT 10%",0.1,0))))</f>
        <v/>
      </c>
      <c r="O121" s="13" t="str">
        <f aca="false">IF($C121="","",$L121*$N121)</f>
        <v/>
      </c>
      <c r="P121" s="13" t="str">
        <f aca="false">IF($C121="","",$L121+$O121)</f>
        <v/>
      </c>
      <c r="Q121" s="12"/>
      <c r="R121" s="13" t="str">
        <f aca="false">IF($C121="","",MAX(0,$P121-N($Q121)))</f>
        <v/>
      </c>
      <c r="S121" s="23" t="str">
        <f aca="false">IF(OR($C121="",$P121=0),"",IF(N($Q121)&lt;=0,"Chưa thanh toán",IF(N($Q121)&lt;$P121,"Thanh toán một phần","Đã thanh toán")))</f>
        <v/>
      </c>
      <c r="T121" s="13" t="str">
        <f aca="false">IF(OR($C121="",$J121=""),"",N($I121)*$J121)</f>
        <v/>
      </c>
      <c r="U121" s="13" t="str">
        <f aca="false">IF(OR($C121="",$T121=""),"",$L121-$T121)</f>
        <v/>
      </c>
      <c r="V121" s="14" t="str">
        <f aca="false">IF(OR($U121="",$L121=0),"",$U121/$L121)</f>
        <v/>
      </c>
      <c r="W121" s="11"/>
      <c r="X121" s="23" t="str">
        <f aca="false">IF($C121="","",IF(AND($H121="",N($I121)=0,N($K121)=0),"Dòng chỉ lưu thông tin khách (chưa có đơn); ",IF($B121="","Thiếu ngày đặt; ","")&amp;IF($H121="","Thiếu tên sản phẩm; ",IF($J121="","Chưa khai GIÁ GỐC ở BẢNG GIÁ GỐC; ",""))&amp;IF(N($I121)&lt;=0,"Thiếu số lượng; ","")&amp;IF(N($K121)&lt;=0,"Thiếu giá bán; ","")&amp;IF(AND($N121&gt;0,$F121=""),"Khách lấy VAT thiếu mã số thuế; ","")&amp;IF(N($Q121)&gt;$P121,"Đã thu vượt tổng phải thu; ","")&amp;IF(AND($L121&gt;0,$U121&lt;&gt;"",$U121&lt;0),"CẢNH BÁO: ĐƠN NÀY ĐANG LỖ; ","")))</f>
        <v/>
      </c>
    </row>
    <row r="122" customFormat="false" ht="15" hidden="false" customHeight="false" outlineLevel="0" collapsed="false">
      <c r="A122" s="21" t="str">
        <f aca="false">IF($C122="","",COUNTA($C$10:$C122))</f>
        <v/>
      </c>
      <c r="B122" s="18"/>
      <c r="C122" s="11"/>
      <c r="D122" s="11"/>
      <c r="E122" s="11"/>
      <c r="F122" s="11"/>
      <c r="G122" s="11"/>
      <c r="H122" s="11"/>
      <c r="I122" s="12"/>
      <c r="J122" s="13" t="str">
        <f aca="false">IF($H122="","",IFERROR(VLOOKUP($H122,'BẢNG GIÁ GỐC'!$A$5:$D$254,3,FALSE()),""))</f>
        <v/>
      </c>
      <c r="K122" s="12"/>
      <c r="L122" s="13" t="str">
        <f aca="false">IF($C122="","",N($I122)*N($K122))</f>
        <v/>
      </c>
      <c r="M122" s="11"/>
      <c r="N122" s="14" t="str">
        <f aca="false">IF($C122="","",IF($M122="VAT 5%",0.05,IF($M122="VAT 8%",0.08,IF($M122="VAT 10%",0.1,0))))</f>
        <v/>
      </c>
      <c r="O122" s="13" t="str">
        <f aca="false">IF($C122="","",$L122*$N122)</f>
        <v/>
      </c>
      <c r="P122" s="13" t="str">
        <f aca="false">IF($C122="","",$L122+$O122)</f>
        <v/>
      </c>
      <c r="Q122" s="12"/>
      <c r="R122" s="13" t="str">
        <f aca="false">IF($C122="","",MAX(0,$P122-N($Q122)))</f>
        <v/>
      </c>
      <c r="S122" s="23" t="str">
        <f aca="false">IF(OR($C122="",$P122=0),"",IF(N($Q122)&lt;=0,"Chưa thanh toán",IF(N($Q122)&lt;$P122,"Thanh toán một phần","Đã thanh toán")))</f>
        <v/>
      </c>
      <c r="T122" s="13" t="str">
        <f aca="false">IF(OR($C122="",$J122=""),"",N($I122)*$J122)</f>
        <v/>
      </c>
      <c r="U122" s="13" t="str">
        <f aca="false">IF(OR($C122="",$T122=""),"",$L122-$T122)</f>
        <v/>
      </c>
      <c r="V122" s="14" t="str">
        <f aca="false">IF(OR($U122="",$L122=0),"",$U122/$L122)</f>
        <v/>
      </c>
      <c r="W122" s="11"/>
      <c r="X122" s="23" t="str">
        <f aca="false">IF($C122="","",IF(AND($H122="",N($I122)=0,N($K122)=0),"Dòng chỉ lưu thông tin khách (chưa có đơn); ",IF($B122="","Thiếu ngày đặt; ","")&amp;IF($H122="","Thiếu tên sản phẩm; ",IF($J122="","Chưa khai GIÁ GỐC ở BẢNG GIÁ GỐC; ",""))&amp;IF(N($I122)&lt;=0,"Thiếu số lượng; ","")&amp;IF(N($K122)&lt;=0,"Thiếu giá bán; ","")&amp;IF(AND($N122&gt;0,$F122=""),"Khách lấy VAT thiếu mã số thuế; ","")&amp;IF(N($Q122)&gt;$P122,"Đã thu vượt tổng phải thu; ","")&amp;IF(AND($L122&gt;0,$U122&lt;&gt;"",$U122&lt;0),"CẢNH BÁO: ĐƠN NÀY ĐANG LỖ; ","")))</f>
        <v/>
      </c>
    </row>
    <row r="123" customFormat="false" ht="15" hidden="false" customHeight="false" outlineLevel="0" collapsed="false">
      <c r="A123" s="21" t="str">
        <f aca="false">IF($C123="","",COUNTA($C$10:$C123))</f>
        <v/>
      </c>
      <c r="B123" s="18"/>
      <c r="C123" s="11"/>
      <c r="D123" s="11"/>
      <c r="E123" s="11"/>
      <c r="F123" s="11"/>
      <c r="G123" s="11"/>
      <c r="H123" s="11"/>
      <c r="I123" s="12"/>
      <c r="J123" s="13" t="str">
        <f aca="false">IF($H123="","",IFERROR(VLOOKUP($H123,'BẢNG GIÁ GỐC'!$A$5:$D$254,3,FALSE()),""))</f>
        <v/>
      </c>
      <c r="K123" s="12"/>
      <c r="L123" s="13" t="str">
        <f aca="false">IF($C123="","",N($I123)*N($K123))</f>
        <v/>
      </c>
      <c r="M123" s="11"/>
      <c r="N123" s="14" t="str">
        <f aca="false">IF($C123="","",IF($M123="VAT 5%",0.05,IF($M123="VAT 8%",0.08,IF($M123="VAT 10%",0.1,0))))</f>
        <v/>
      </c>
      <c r="O123" s="13" t="str">
        <f aca="false">IF($C123="","",$L123*$N123)</f>
        <v/>
      </c>
      <c r="P123" s="13" t="str">
        <f aca="false">IF($C123="","",$L123+$O123)</f>
        <v/>
      </c>
      <c r="Q123" s="12"/>
      <c r="R123" s="13" t="str">
        <f aca="false">IF($C123="","",MAX(0,$P123-N($Q123)))</f>
        <v/>
      </c>
      <c r="S123" s="23" t="str">
        <f aca="false">IF(OR($C123="",$P123=0),"",IF(N($Q123)&lt;=0,"Chưa thanh toán",IF(N($Q123)&lt;$P123,"Thanh toán một phần","Đã thanh toán")))</f>
        <v/>
      </c>
      <c r="T123" s="13" t="str">
        <f aca="false">IF(OR($C123="",$J123=""),"",N($I123)*$J123)</f>
        <v/>
      </c>
      <c r="U123" s="13" t="str">
        <f aca="false">IF(OR($C123="",$T123=""),"",$L123-$T123)</f>
        <v/>
      </c>
      <c r="V123" s="14" t="str">
        <f aca="false">IF(OR($U123="",$L123=0),"",$U123/$L123)</f>
        <v/>
      </c>
      <c r="W123" s="11"/>
      <c r="X123" s="23" t="str">
        <f aca="false">IF($C123="","",IF(AND($H123="",N($I123)=0,N($K123)=0),"Dòng chỉ lưu thông tin khách (chưa có đơn); ",IF($B123="","Thiếu ngày đặt; ","")&amp;IF($H123="","Thiếu tên sản phẩm; ",IF($J123="","Chưa khai GIÁ GỐC ở BẢNG GIÁ GỐC; ",""))&amp;IF(N($I123)&lt;=0,"Thiếu số lượng; ","")&amp;IF(N($K123)&lt;=0,"Thiếu giá bán; ","")&amp;IF(AND($N123&gt;0,$F123=""),"Khách lấy VAT thiếu mã số thuế; ","")&amp;IF(N($Q123)&gt;$P123,"Đã thu vượt tổng phải thu; ","")&amp;IF(AND($L123&gt;0,$U123&lt;&gt;"",$U123&lt;0),"CẢNH BÁO: ĐƠN NÀY ĐANG LỖ; ","")))</f>
        <v/>
      </c>
    </row>
    <row r="124" customFormat="false" ht="15" hidden="false" customHeight="false" outlineLevel="0" collapsed="false">
      <c r="A124" s="21" t="str">
        <f aca="false">IF($C124="","",COUNTA($C$10:$C124))</f>
        <v/>
      </c>
      <c r="B124" s="18"/>
      <c r="C124" s="11"/>
      <c r="D124" s="11"/>
      <c r="E124" s="11"/>
      <c r="F124" s="11"/>
      <c r="G124" s="11"/>
      <c r="H124" s="11"/>
      <c r="I124" s="12"/>
      <c r="J124" s="13" t="str">
        <f aca="false">IF($H124="","",IFERROR(VLOOKUP($H124,'BẢNG GIÁ GỐC'!$A$5:$D$254,3,FALSE()),""))</f>
        <v/>
      </c>
      <c r="K124" s="12"/>
      <c r="L124" s="13" t="str">
        <f aca="false">IF($C124="","",N($I124)*N($K124))</f>
        <v/>
      </c>
      <c r="M124" s="11"/>
      <c r="N124" s="14" t="str">
        <f aca="false">IF($C124="","",IF($M124="VAT 5%",0.05,IF($M124="VAT 8%",0.08,IF($M124="VAT 10%",0.1,0))))</f>
        <v/>
      </c>
      <c r="O124" s="13" t="str">
        <f aca="false">IF($C124="","",$L124*$N124)</f>
        <v/>
      </c>
      <c r="P124" s="13" t="str">
        <f aca="false">IF($C124="","",$L124+$O124)</f>
        <v/>
      </c>
      <c r="Q124" s="12"/>
      <c r="R124" s="13" t="str">
        <f aca="false">IF($C124="","",MAX(0,$P124-N($Q124)))</f>
        <v/>
      </c>
      <c r="S124" s="23" t="str">
        <f aca="false">IF(OR($C124="",$P124=0),"",IF(N($Q124)&lt;=0,"Chưa thanh toán",IF(N($Q124)&lt;$P124,"Thanh toán một phần","Đã thanh toán")))</f>
        <v/>
      </c>
      <c r="T124" s="13" t="str">
        <f aca="false">IF(OR($C124="",$J124=""),"",N($I124)*$J124)</f>
        <v/>
      </c>
      <c r="U124" s="13" t="str">
        <f aca="false">IF(OR($C124="",$T124=""),"",$L124-$T124)</f>
        <v/>
      </c>
      <c r="V124" s="14" t="str">
        <f aca="false">IF(OR($U124="",$L124=0),"",$U124/$L124)</f>
        <v/>
      </c>
      <c r="W124" s="11"/>
      <c r="X124" s="23" t="str">
        <f aca="false">IF($C124="","",IF(AND($H124="",N($I124)=0,N($K124)=0),"Dòng chỉ lưu thông tin khách (chưa có đơn); ",IF($B124="","Thiếu ngày đặt; ","")&amp;IF($H124="","Thiếu tên sản phẩm; ",IF($J124="","Chưa khai GIÁ GỐC ở BẢNG GIÁ GỐC; ",""))&amp;IF(N($I124)&lt;=0,"Thiếu số lượng; ","")&amp;IF(N($K124)&lt;=0,"Thiếu giá bán; ","")&amp;IF(AND($N124&gt;0,$F124=""),"Khách lấy VAT thiếu mã số thuế; ","")&amp;IF(N($Q124)&gt;$P124,"Đã thu vượt tổng phải thu; ","")&amp;IF(AND($L124&gt;0,$U124&lt;&gt;"",$U124&lt;0),"CẢNH BÁO: ĐƠN NÀY ĐANG LỖ; ","")))</f>
        <v/>
      </c>
    </row>
    <row r="125" customFormat="false" ht="15" hidden="false" customHeight="false" outlineLevel="0" collapsed="false">
      <c r="A125" s="21" t="str">
        <f aca="false">IF($C125="","",COUNTA($C$10:$C125))</f>
        <v/>
      </c>
      <c r="B125" s="18"/>
      <c r="C125" s="11"/>
      <c r="D125" s="11"/>
      <c r="E125" s="11"/>
      <c r="F125" s="11"/>
      <c r="G125" s="11"/>
      <c r="H125" s="11"/>
      <c r="I125" s="12"/>
      <c r="J125" s="13" t="str">
        <f aca="false">IF($H125="","",IFERROR(VLOOKUP($H125,'BẢNG GIÁ GỐC'!$A$5:$D$254,3,FALSE()),""))</f>
        <v/>
      </c>
      <c r="K125" s="12"/>
      <c r="L125" s="13" t="str">
        <f aca="false">IF($C125="","",N($I125)*N($K125))</f>
        <v/>
      </c>
      <c r="M125" s="11"/>
      <c r="N125" s="14" t="str">
        <f aca="false">IF($C125="","",IF($M125="VAT 5%",0.05,IF($M125="VAT 8%",0.08,IF($M125="VAT 10%",0.1,0))))</f>
        <v/>
      </c>
      <c r="O125" s="13" t="str">
        <f aca="false">IF($C125="","",$L125*$N125)</f>
        <v/>
      </c>
      <c r="P125" s="13" t="str">
        <f aca="false">IF($C125="","",$L125+$O125)</f>
        <v/>
      </c>
      <c r="Q125" s="12"/>
      <c r="R125" s="13" t="str">
        <f aca="false">IF($C125="","",MAX(0,$P125-N($Q125)))</f>
        <v/>
      </c>
      <c r="S125" s="23" t="str">
        <f aca="false">IF(OR($C125="",$P125=0),"",IF(N($Q125)&lt;=0,"Chưa thanh toán",IF(N($Q125)&lt;$P125,"Thanh toán một phần","Đã thanh toán")))</f>
        <v/>
      </c>
      <c r="T125" s="13" t="str">
        <f aca="false">IF(OR($C125="",$J125=""),"",N($I125)*$J125)</f>
        <v/>
      </c>
      <c r="U125" s="13" t="str">
        <f aca="false">IF(OR($C125="",$T125=""),"",$L125-$T125)</f>
        <v/>
      </c>
      <c r="V125" s="14" t="str">
        <f aca="false">IF(OR($U125="",$L125=0),"",$U125/$L125)</f>
        <v/>
      </c>
      <c r="W125" s="11"/>
      <c r="X125" s="23" t="str">
        <f aca="false">IF($C125="","",IF(AND($H125="",N($I125)=0,N($K125)=0),"Dòng chỉ lưu thông tin khách (chưa có đơn); ",IF($B125="","Thiếu ngày đặt; ","")&amp;IF($H125="","Thiếu tên sản phẩm; ",IF($J125="","Chưa khai GIÁ GỐC ở BẢNG GIÁ GỐC; ",""))&amp;IF(N($I125)&lt;=0,"Thiếu số lượng; ","")&amp;IF(N($K125)&lt;=0,"Thiếu giá bán; ","")&amp;IF(AND($N125&gt;0,$F125=""),"Khách lấy VAT thiếu mã số thuế; ","")&amp;IF(N($Q125)&gt;$P125,"Đã thu vượt tổng phải thu; ","")&amp;IF(AND($L125&gt;0,$U125&lt;&gt;"",$U125&lt;0),"CẢNH BÁO: ĐƠN NÀY ĐANG LỖ; ","")))</f>
        <v/>
      </c>
    </row>
    <row r="126" customFormat="false" ht="15" hidden="false" customHeight="false" outlineLevel="0" collapsed="false">
      <c r="A126" s="21" t="str">
        <f aca="false">IF($C126="","",COUNTA($C$10:$C126))</f>
        <v/>
      </c>
      <c r="B126" s="18"/>
      <c r="C126" s="11"/>
      <c r="D126" s="11"/>
      <c r="E126" s="11"/>
      <c r="F126" s="11"/>
      <c r="G126" s="11"/>
      <c r="H126" s="11"/>
      <c r="I126" s="12"/>
      <c r="J126" s="13" t="str">
        <f aca="false">IF($H126="","",IFERROR(VLOOKUP($H126,'BẢNG GIÁ GỐC'!$A$5:$D$254,3,FALSE()),""))</f>
        <v/>
      </c>
      <c r="K126" s="12"/>
      <c r="L126" s="13" t="str">
        <f aca="false">IF($C126="","",N($I126)*N($K126))</f>
        <v/>
      </c>
      <c r="M126" s="11"/>
      <c r="N126" s="14" t="str">
        <f aca="false">IF($C126="","",IF($M126="VAT 5%",0.05,IF($M126="VAT 8%",0.08,IF($M126="VAT 10%",0.1,0))))</f>
        <v/>
      </c>
      <c r="O126" s="13" t="str">
        <f aca="false">IF($C126="","",$L126*$N126)</f>
        <v/>
      </c>
      <c r="P126" s="13" t="str">
        <f aca="false">IF($C126="","",$L126+$O126)</f>
        <v/>
      </c>
      <c r="Q126" s="12"/>
      <c r="R126" s="13" t="str">
        <f aca="false">IF($C126="","",MAX(0,$P126-N($Q126)))</f>
        <v/>
      </c>
      <c r="S126" s="23" t="str">
        <f aca="false">IF(OR($C126="",$P126=0),"",IF(N($Q126)&lt;=0,"Chưa thanh toán",IF(N($Q126)&lt;$P126,"Thanh toán một phần","Đã thanh toán")))</f>
        <v/>
      </c>
      <c r="T126" s="13" t="str">
        <f aca="false">IF(OR($C126="",$J126=""),"",N($I126)*$J126)</f>
        <v/>
      </c>
      <c r="U126" s="13" t="str">
        <f aca="false">IF(OR($C126="",$T126=""),"",$L126-$T126)</f>
        <v/>
      </c>
      <c r="V126" s="14" t="str">
        <f aca="false">IF(OR($U126="",$L126=0),"",$U126/$L126)</f>
        <v/>
      </c>
      <c r="W126" s="11"/>
      <c r="X126" s="23" t="str">
        <f aca="false">IF($C126="","",IF(AND($H126="",N($I126)=0,N($K126)=0),"Dòng chỉ lưu thông tin khách (chưa có đơn); ",IF($B126="","Thiếu ngày đặt; ","")&amp;IF($H126="","Thiếu tên sản phẩm; ",IF($J126="","Chưa khai GIÁ GỐC ở BẢNG GIÁ GỐC; ",""))&amp;IF(N($I126)&lt;=0,"Thiếu số lượng; ","")&amp;IF(N($K126)&lt;=0,"Thiếu giá bán; ","")&amp;IF(AND($N126&gt;0,$F126=""),"Khách lấy VAT thiếu mã số thuế; ","")&amp;IF(N($Q126)&gt;$P126,"Đã thu vượt tổng phải thu; ","")&amp;IF(AND($L126&gt;0,$U126&lt;&gt;"",$U126&lt;0),"CẢNH BÁO: ĐƠN NÀY ĐANG LỖ; ","")))</f>
        <v/>
      </c>
    </row>
    <row r="127" customFormat="false" ht="15" hidden="false" customHeight="false" outlineLevel="0" collapsed="false">
      <c r="A127" s="21" t="str">
        <f aca="false">IF($C127="","",COUNTA($C$10:$C127))</f>
        <v/>
      </c>
      <c r="B127" s="18"/>
      <c r="C127" s="11"/>
      <c r="D127" s="11"/>
      <c r="E127" s="11"/>
      <c r="F127" s="11"/>
      <c r="G127" s="11"/>
      <c r="H127" s="11"/>
      <c r="I127" s="12"/>
      <c r="J127" s="13" t="str">
        <f aca="false">IF($H127="","",IFERROR(VLOOKUP($H127,'BẢNG GIÁ GỐC'!$A$5:$D$254,3,FALSE()),""))</f>
        <v/>
      </c>
      <c r="K127" s="12"/>
      <c r="L127" s="13" t="str">
        <f aca="false">IF($C127="","",N($I127)*N($K127))</f>
        <v/>
      </c>
      <c r="M127" s="11"/>
      <c r="N127" s="14" t="str">
        <f aca="false">IF($C127="","",IF($M127="VAT 5%",0.05,IF($M127="VAT 8%",0.08,IF($M127="VAT 10%",0.1,0))))</f>
        <v/>
      </c>
      <c r="O127" s="13" t="str">
        <f aca="false">IF($C127="","",$L127*$N127)</f>
        <v/>
      </c>
      <c r="P127" s="13" t="str">
        <f aca="false">IF($C127="","",$L127+$O127)</f>
        <v/>
      </c>
      <c r="Q127" s="12"/>
      <c r="R127" s="13" t="str">
        <f aca="false">IF($C127="","",MAX(0,$P127-N($Q127)))</f>
        <v/>
      </c>
      <c r="S127" s="23" t="str">
        <f aca="false">IF(OR($C127="",$P127=0),"",IF(N($Q127)&lt;=0,"Chưa thanh toán",IF(N($Q127)&lt;$P127,"Thanh toán một phần","Đã thanh toán")))</f>
        <v/>
      </c>
      <c r="T127" s="13" t="str">
        <f aca="false">IF(OR($C127="",$J127=""),"",N($I127)*$J127)</f>
        <v/>
      </c>
      <c r="U127" s="13" t="str">
        <f aca="false">IF(OR($C127="",$T127=""),"",$L127-$T127)</f>
        <v/>
      </c>
      <c r="V127" s="14" t="str">
        <f aca="false">IF(OR($U127="",$L127=0),"",$U127/$L127)</f>
        <v/>
      </c>
      <c r="W127" s="11"/>
      <c r="X127" s="23" t="str">
        <f aca="false">IF($C127="","",IF(AND($H127="",N($I127)=0,N($K127)=0),"Dòng chỉ lưu thông tin khách (chưa có đơn); ",IF($B127="","Thiếu ngày đặt; ","")&amp;IF($H127="","Thiếu tên sản phẩm; ",IF($J127="","Chưa khai GIÁ GỐC ở BẢNG GIÁ GỐC; ",""))&amp;IF(N($I127)&lt;=0,"Thiếu số lượng; ","")&amp;IF(N($K127)&lt;=0,"Thiếu giá bán; ","")&amp;IF(AND($N127&gt;0,$F127=""),"Khách lấy VAT thiếu mã số thuế; ","")&amp;IF(N($Q127)&gt;$P127,"Đã thu vượt tổng phải thu; ","")&amp;IF(AND($L127&gt;0,$U127&lt;&gt;"",$U127&lt;0),"CẢNH BÁO: ĐƠN NÀY ĐANG LỖ; ","")))</f>
        <v/>
      </c>
    </row>
    <row r="128" customFormat="false" ht="15" hidden="false" customHeight="false" outlineLevel="0" collapsed="false">
      <c r="A128" s="21" t="str">
        <f aca="false">IF($C128="","",COUNTA($C$10:$C128))</f>
        <v/>
      </c>
      <c r="B128" s="18"/>
      <c r="C128" s="11"/>
      <c r="D128" s="11"/>
      <c r="E128" s="11"/>
      <c r="F128" s="11"/>
      <c r="G128" s="11"/>
      <c r="H128" s="11"/>
      <c r="I128" s="12"/>
      <c r="J128" s="13" t="str">
        <f aca="false">IF($H128="","",IFERROR(VLOOKUP($H128,'BẢNG GIÁ GỐC'!$A$5:$D$254,3,FALSE()),""))</f>
        <v/>
      </c>
      <c r="K128" s="12"/>
      <c r="L128" s="13" t="str">
        <f aca="false">IF($C128="","",N($I128)*N($K128))</f>
        <v/>
      </c>
      <c r="M128" s="11"/>
      <c r="N128" s="14" t="str">
        <f aca="false">IF($C128="","",IF($M128="VAT 5%",0.05,IF($M128="VAT 8%",0.08,IF($M128="VAT 10%",0.1,0))))</f>
        <v/>
      </c>
      <c r="O128" s="13" t="str">
        <f aca="false">IF($C128="","",$L128*$N128)</f>
        <v/>
      </c>
      <c r="P128" s="13" t="str">
        <f aca="false">IF($C128="","",$L128+$O128)</f>
        <v/>
      </c>
      <c r="Q128" s="12"/>
      <c r="R128" s="13" t="str">
        <f aca="false">IF($C128="","",MAX(0,$P128-N($Q128)))</f>
        <v/>
      </c>
      <c r="S128" s="23" t="str">
        <f aca="false">IF(OR($C128="",$P128=0),"",IF(N($Q128)&lt;=0,"Chưa thanh toán",IF(N($Q128)&lt;$P128,"Thanh toán một phần","Đã thanh toán")))</f>
        <v/>
      </c>
      <c r="T128" s="13" t="str">
        <f aca="false">IF(OR($C128="",$J128=""),"",N($I128)*$J128)</f>
        <v/>
      </c>
      <c r="U128" s="13" t="str">
        <f aca="false">IF(OR($C128="",$T128=""),"",$L128-$T128)</f>
        <v/>
      </c>
      <c r="V128" s="14" t="str">
        <f aca="false">IF(OR($U128="",$L128=0),"",$U128/$L128)</f>
        <v/>
      </c>
      <c r="W128" s="11"/>
      <c r="X128" s="23" t="str">
        <f aca="false">IF($C128="","",IF(AND($H128="",N($I128)=0,N($K128)=0),"Dòng chỉ lưu thông tin khách (chưa có đơn); ",IF($B128="","Thiếu ngày đặt; ","")&amp;IF($H128="","Thiếu tên sản phẩm; ",IF($J128="","Chưa khai GIÁ GỐC ở BẢNG GIÁ GỐC; ",""))&amp;IF(N($I128)&lt;=0,"Thiếu số lượng; ","")&amp;IF(N($K128)&lt;=0,"Thiếu giá bán; ","")&amp;IF(AND($N128&gt;0,$F128=""),"Khách lấy VAT thiếu mã số thuế; ","")&amp;IF(N($Q128)&gt;$P128,"Đã thu vượt tổng phải thu; ","")&amp;IF(AND($L128&gt;0,$U128&lt;&gt;"",$U128&lt;0),"CẢNH BÁO: ĐƠN NÀY ĐANG LỖ; ","")))</f>
        <v/>
      </c>
    </row>
    <row r="129" customFormat="false" ht="15" hidden="false" customHeight="false" outlineLevel="0" collapsed="false">
      <c r="A129" s="21" t="str">
        <f aca="false">IF($C129="","",COUNTA($C$10:$C129))</f>
        <v/>
      </c>
      <c r="B129" s="18"/>
      <c r="C129" s="11"/>
      <c r="D129" s="11"/>
      <c r="E129" s="11"/>
      <c r="F129" s="11"/>
      <c r="G129" s="11"/>
      <c r="H129" s="11"/>
      <c r="I129" s="12"/>
      <c r="J129" s="13" t="str">
        <f aca="false">IF($H129="","",IFERROR(VLOOKUP($H129,'BẢNG GIÁ GỐC'!$A$5:$D$254,3,FALSE()),""))</f>
        <v/>
      </c>
      <c r="K129" s="12"/>
      <c r="L129" s="13" t="str">
        <f aca="false">IF($C129="","",N($I129)*N($K129))</f>
        <v/>
      </c>
      <c r="M129" s="11"/>
      <c r="N129" s="14" t="str">
        <f aca="false">IF($C129="","",IF($M129="VAT 5%",0.05,IF($M129="VAT 8%",0.08,IF($M129="VAT 10%",0.1,0))))</f>
        <v/>
      </c>
      <c r="O129" s="13" t="str">
        <f aca="false">IF($C129="","",$L129*$N129)</f>
        <v/>
      </c>
      <c r="P129" s="13" t="str">
        <f aca="false">IF($C129="","",$L129+$O129)</f>
        <v/>
      </c>
      <c r="Q129" s="12"/>
      <c r="R129" s="13" t="str">
        <f aca="false">IF($C129="","",MAX(0,$P129-N($Q129)))</f>
        <v/>
      </c>
      <c r="S129" s="23" t="str">
        <f aca="false">IF(OR($C129="",$P129=0),"",IF(N($Q129)&lt;=0,"Chưa thanh toán",IF(N($Q129)&lt;$P129,"Thanh toán một phần","Đã thanh toán")))</f>
        <v/>
      </c>
      <c r="T129" s="13" t="str">
        <f aca="false">IF(OR($C129="",$J129=""),"",N($I129)*$J129)</f>
        <v/>
      </c>
      <c r="U129" s="13" t="str">
        <f aca="false">IF(OR($C129="",$T129=""),"",$L129-$T129)</f>
        <v/>
      </c>
      <c r="V129" s="14" t="str">
        <f aca="false">IF(OR($U129="",$L129=0),"",$U129/$L129)</f>
        <v/>
      </c>
      <c r="W129" s="11"/>
      <c r="X129" s="23" t="str">
        <f aca="false">IF($C129="","",IF(AND($H129="",N($I129)=0,N($K129)=0),"Dòng chỉ lưu thông tin khách (chưa có đơn); ",IF($B129="","Thiếu ngày đặt; ","")&amp;IF($H129="","Thiếu tên sản phẩm; ",IF($J129="","Chưa khai GIÁ GỐC ở BẢNG GIÁ GỐC; ",""))&amp;IF(N($I129)&lt;=0,"Thiếu số lượng; ","")&amp;IF(N($K129)&lt;=0,"Thiếu giá bán; ","")&amp;IF(AND($N129&gt;0,$F129=""),"Khách lấy VAT thiếu mã số thuế; ","")&amp;IF(N($Q129)&gt;$P129,"Đã thu vượt tổng phải thu; ","")&amp;IF(AND($L129&gt;0,$U129&lt;&gt;"",$U129&lt;0),"CẢNH BÁO: ĐƠN NÀY ĐANG LỖ; ","")))</f>
        <v/>
      </c>
    </row>
    <row r="130" customFormat="false" ht="15" hidden="false" customHeight="false" outlineLevel="0" collapsed="false">
      <c r="A130" s="21" t="str">
        <f aca="false">IF($C130="","",COUNTA($C$10:$C130))</f>
        <v/>
      </c>
      <c r="B130" s="18"/>
      <c r="C130" s="11"/>
      <c r="D130" s="11"/>
      <c r="E130" s="11"/>
      <c r="F130" s="11"/>
      <c r="G130" s="11"/>
      <c r="H130" s="11"/>
      <c r="I130" s="12"/>
      <c r="J130" s="13" t="str">
        <f aca="false">IF($H130="","",IFERROR(VLOOKUP($H130,'BẢNG GIÁ GỐC'!$A$5:$D$254,3,FALSE()),""))</f>
        <v/>
      </c>
      <c r="K130" s="12"/>
      <c r="L130" s="13" t="str">
        <f aca="false">IF($C130="","",N($I130)*N($K130))</f>
        <v/>
      </c>
      <c r="M130" s="11"/>
      <c r="N130" s="14" t="str">
        <f aca="false">IF($C130="","",IF($M130="VAT 5%",0.05,IF($M130="VAT 8%",0.08,IF($M130="VAT 10%",0.1,0))))</f>
        <v/>
      </c>
      <c r="O130" s="13" t="str">
        <f aca="false">IF($C130="","",$L130*$N130)</f>
        <v/>
      </c>
      <c r="P130" s="13" t="str">
        <f aca="false">IF($C130="","",$L130+$O130)</f>
        <v/>
      </c>
      <c r="Q130" s="12"/>
      <c r="R130" s="13" t="str">
        <f aca="false">IF($C130="","",MAX(0,$P130-N($Q130)))</f>
        <v/>
      </c>
      <c r="S130" s="23" t="str">
        <f aca="false">IF(OR($C130="",$P130=0),"",IF(N($Q130)&lt;=0,"Chưa thanh toán",IF(N($Q130)&lt;$P130,"Thanh toán một phần","Đã thanh toán")))</f>
        <v/>
      </c>
      <c r="T130" s="13" t="str">
        <f aca="false">IF(OR($C130="",$J130=""),"",N($I130)*$J130)</f>
        <v/>
      </c>
      <c r="U130" s="13" t="str">
        <f aca="false">IF(OR($C130="",$T130=""),"",$L130-$T130)</f>
        <v/>
      </c>
      <c r="V130" s="14" t="str">
        <f aca="false">IF(OR($U130="",$L130=0),"",$U130/$L130)</f>
        <v/>
      </c>
      <c r="W130" s="11"/>
      <c r="X130" s="23" t="str">
        <f aca="false">IF($C130="","",IF(AND($H130="",N($I130)=0,N($K130)=0),"Dòng chỉ lưu thông tin khách (chưa có đơn); ",IF($B130="","Thiếu ngày đặt; ","")&amp;IF($H130="","Thiếu tên sản phẩm; ",IF($J130="","Chưa khai GIÁ GỐC ở BẢNG GIÁ GỐC; ",""))&amp;IF(N($I130)&lt;=0,"Thiếu số lượng; ","")&amp;IF(N($K130)&lt;=0,"Thiếu giá bán; ","")&amp;IF(AND($N130&gt;0,$F130=""),"Khách lấy VAT thiếu mã số thuế; ","")&amp;IF(N($Q130)&gt;$P130,"Đã thu vượt tổng phải thu; ","")&amp;IF(AND($L130&gt;0,$U130&lt;&gt;"",$U130&lt;0),"CẢNH BÁO: ĐƠN NÀY ĐANG LỖ; ","")))</f>
        <v/>
      </c>
    </row>
    <row r="131" customFormat="false" ht="15" hidden="false" customHeight="false" outlineLevel="0" collapsed="false">
      <c r="A131" s="21" t="str">
        <f aca="false">IF($C131="","",COUNTA($C$10:$C131))</f>
        <v/>
      </c>
      <c r="B131" s="18"/>
      <c r="C131" s="11"/>
      <c r="D131" s="11"/>
      <c r="E131" s="11"/>
      <c r="F131" s="11"/>
      <c r="G131" s="11"/>
      <c r="H131" s="11"/>
      <c r="I131" s="12"/>
      <c r="J131" s="13" t="str">
        <f aca="false">IF($H131="","",IFERROR(VLOOKUP($H131,'BẢNG GIÁ GỐC'!$A$5:$D$254,3,FALSE()),""))</f>
        <v/>
      </c>
      <c r="K131" s="12"/>
      <c r="L131" s="13" t="str">
        <f aca="false">IF($C131="","",N($I131)*N($K131))</f>
        <v/>
      </c>
      <c r="M131" s="11"/>
      <c r="N131" s="14" t="str">
        <f aca="false">IF($C131="","",IF($M131="VAT 5%",0.05,IF($M131="VAT 8%",0.08,IF($M131="VAT 10%",0.1,0))))</f>
        <v/>
      </c>
      <c r="O131" s="13" t="str">
        <f aca="false">IF($C131="","",$L131*$N131)</f>
        <v/>
      </c>
      <c r="P131" s="13" t="str">
        <f aca="false">IF($C131="","",$L131+$O131)</f>
        <v/>
      </c>
      <c r="Q131" s="12"/>
      <c r="R131" s="13" t="str">
        <f aca="false">IF($C131="","",MAX(0,$P131-N($Q131)))</f>
        <v/>
      </c>
      <c r="S131" s="23" t="str">
        <f aca="false">IF(OR($C131="",$P131=0),"",IF(N($Q131)&lt;=0,"Chưa thanh toán",IF(N($Q131)&lt;$P131,"Thanh toán một phần","Đã thanh toán")))</f>
        <v/>
      </c>
      <c r="T131" s="13" t="str">
        <f aca="false">IF(OR($C131="",$J131=""),"",N($I131)*$J131)</f>
        <v/>
      </c>
      <c r="U131" s="13" t="str">
        <f aca="false">IF(OR($C131="",$T131=""),"",$L131-$T131)</f>
        <v/>
      </c>
      <c r="V131" s="14" t="str">
        <f aca="false">IF(OR($U131="",$L131=0),"",$U131/$L131)</f>
        <v/>
      </c>
      <c r="W131" s="11"/>
      <c r="X131" s="23" t="str">
        <f aca="false">IF($C131="","",IF(AND($H131="",N($I131)=0,N($K131)=0),"Dòng chỉ lưu thông tin khách (chưa có đơn); ",IF($B131="","Thiếu ngày đặt; ","")&amp;IF($H131="","Thiếu tên sản phẩm; ",IF($J131="","Chưa khai GIÁ GỐC ở BẢNG GIÁ GỐC; ",""))&amp;IF(N($I131)&lt;=0,"Thiếu số lượng; ","")&amp;IF(N($K131)&lt;=0,"Thiếu giá bán; ","")&amp;IF(AND($N131&gt;0,$F131=""),"Khách lấy VAT thiếu mã số thuế; ","")&amp;IF(N($Q131)&gt;$P131,"Đã thu vượt tổng phải thu; ","")&amp;IF(AND($L131&gt;0,$U131&lt;&gt;"",$U131&lt;0),"CẢNH BÁO: ĐƠN NÀY ĐANG LỖ; ","")))</f>
        <v/>
      </c>
    </row>
    <row r="132" customFormat="false" ht="15" hidden="false" customHeight="false" outlineLevel="0" collapsed="false">
      <c r="A132" s="21" t="str">
        <f aca="false">IF($C132="","",COUNTA($C$10:$C132))</f>
        <v/>
      </c>
      <c r="B132" s="18"/>
      <c r="C132" s="11"/>
      <c r="D132" s="11"/>
      <c r="E132" s="11"/>
      <c r="F132" s="11"/>
      <c r="G132" s="11"/>
      <c r="H132" s="11"/>
      <c r="I132" s="12"/>
      <c r="J132" s="13" t="str">
        <f aca="false">IF($H132="","",IFERROR(VLOOKUP($H132,'BẢNG GIÁ GỐC'!$A$5:$D$254,3,FALSE()),""))</f>
        <v/>
      </c>
      <c r="K132" s="12"/>
      <c r="L132" s="13" t="str">
        <f aca="false">IF($C132="","",N($I132)*N($K132))</f>
        <v/>
      </c>
      <c r="M132" s="11"/>
      <c r="N132" s="14" t="str">
        <f aca="false">IF($C132="","",IF($M132="VAT 5%",0.05,IF($M132="VAT 8%",0.08,IF($M132="VAT 10%",0.1,0))))</f>
        <v/>
      </c>
      <c r="O132" s="13" t="str">
        <f aca="false">IF($C132="","",$L132*$N132)</f>
        <v/>
      </c>
      <c r="P132" s="13" t="str">
        <f aca="false">IF($C132="","",$L132+$O132)</f>
        <v/>
      </c>
      <c r="Q132" s="12"/>
      <c r="R132" s="13" t="str">
        <f aca="false">IF($C132="","",MAX(0,$P132-N($Q132)))</f>
        <v/>
      </c>
      <c r="S132" s="23" t="str">
        <f aca="false">IF(OR($C132="",$P132=0),"",IF(N($Q132)&lt;=0,"Chưa thanh toán",IF(N($Q132)&lt;$P132,"Thanh toán một phần","Đã thanh toán")))</f>
        <v/>
      </c>
      <c r="T132" s="13" t="str">
        <f aca="false">IF(OR($C132="",$J132=""),"",N($I132)*$J132)</f>
        <v/>
      </c>
      <c r="U132" s="13" t="str">
        <f aca="false">IF(OR($C132="",$T132=""),"",$L132-$T132)</f>
        <v/>
      </c>
      <c r="V132" s="14" t="str">
        <f aca="false">IF(OR($U132="",$L132=0),"",$U132/$L132)</f>
        <v/>
      </c>
      <c r="W132" s="11"/>
      <c r="X132" s="23" t="str">
        <f aca="false">IF($C132="","",IF(AND($H132="",N($I132)=0,N($K132)=0),"Dòng chỉ lưu thông tin khách (chưa có đơn); ",IF($B132="","Thiếu ngày đặt; ","")&amp;IF($H132="","Thiếu tên sản phẩm; ",IF($J132="","Chưa khai GIÁ GỐC ở BẢNG GIÁ GỐC; ",""))&amp;IF(N($I132)&lt;=0,"Thiếu số lượng; ","")&amp;IF(N($K132)&lt;=0,"Thiếu giá bán; ","")&amp;IF(AND($N132&gt;0,$F132=""),"Khách lấy VAT thiếu mã số thuế; ","")&amp;IF(N($Q132)&gt;$P132,"Đã thu vượt tổng phải thu; ","")&amp;IF(AND($L132&gt;0,$U132&lt;&gt;"",$U132&lt;0),"CẢNH BÁO: ĐƠN NÀY ĐANG LỖ; ","")))</f>
        <v/>
      </c>
    </row>
    <row r="133" customFormat="false" ht="15" hidden="false" customHeight="false" outlineLevel="0" collapsed="false">
      <c r="A133" s="21" t="str">
        <f aca="false">IF($C133="","",COUNTA($C$10:$C133))</f>
        <v/>
      </c>
      <c r="B133" s="18"/>
      <c r="C133" s="11"/>
      <c r="D133" s="11"/>
      <c r="E133" s="11"/>
      <c r="F133" s="11"/>
      <c r="G133" s="11"/>
      <c r="H133" s="11"/>
      <c r="I133" s="12"/>
      <c r="J133" s="13" t="str">
        <f aca="false">IF($H133="","",IFERROR(VLOOKUP($H133,'BẢNG GIÁ GỐC'!$A$5:$D$254,3,FALSE()),""))</f>
        <v/>
      </c>
      <c r="K133" s="12"/>
      <c r="L133" s="13" t="str">
        <f aca="false">IF($C133="","",N($I133)*N($K133))</f>
        <v/>
      </c>
      <c r="M133" s="11"/>
      <c r="N133" s="14" t="str">
        <f aca="false">IF($C133="","",IF($M133="VAT 5%",0.05,IF($M133="VAT 8%",0.08,IF($M133="VAT 10%",0.1,0))))</f>
        <v/>
      </c>
      <c r="O133" s="13" t="str">
        <f aca="false">IF($C133="","",$L133*$N133)</f>
        <v/>
      </c>
      <c r="P133" s="13" t="str">
        <f aca="false">IF($C133="","",$L133+$O133)</f>
        <v/>
      </c>
      <c r="Q133" s="12"/>
      <c r="R133" s="13" t="str">
        <f aca="false">IF($C133="","",MAX(0,$P133-N($Q133)))</f>
        <v/>
      </c>
      <c r="S133" s="23" t="str">
        <f aca="false">IF(OR($C133="",$P133=0),"",IF(N($Q133)&lt;=0,"Chưa thanh toán",IF(N($Q133)&lt;$P133,"Thanh toán một phần","Đã thanh toán")))</f>
        <v/>
      </c>
      <c r="T133" s="13" t="str">
        <f aca="false">IF(OR($C133="",$J133=""),"",N($I133)*$J133)</f>
        <v/>
      </c>
      <c r="U133" s="13" t="str">
        <f aca="false">IF(OR($C133="",$T133=""),"",$L133-$T133)</f>
        <v/>
      </c>
      <c r="V133" s="14" t="str">
        <f aca="false">IF(OR($U133="",$L133=0),"",$U133/$L133)</f>
        <v/>
      </c>
      <c r="W133" s="11"/>
      <c r="X133" s="23" t="str">
        <f aca="false">IF($C133="","",IF(AND($H133="",N($I133)=0,N($K133)=0),"Dòng chỉ lưu thông tin khách (chưa có đơn); ",IF($B133="","Thiếu ngày đặt; ","")&amp;IF($H133="","Thiếu tên sản phẩm; ",IF($J133="","Chưa khai GIÁ GỐC ở BẢNG GIÁ GỐC; ",""))&amp;IF(N($I133)&lt;=0,"Thiếu số lượng; ","")&amp;IF(N($K133)&lt;=0,"Thiếu giá bán; ","")&amp;IF(AND($N133&gt;0,$F133=""),"Khách lấy VAT thiếu mã số thuế; ","")&amp;IF(N($Q133)&gt;$P133,"Đã thu vượt tổng phải thu; ","")&amp;IF(AND($L133&gt;0,$U133&lt;&gt;"",$U133&lt;0),"CẢNH BÁO: ĐƠN NÀY ĐANG LỖ; ","")))</f>
        <v/>
      </c>
    </row>
    <row r="134" customFormat="false" ht="15" hidden="false" customHeight="false" outlineLevel="0" collapsed="false">
      <c r="A134" s="21" t="str">
        <f aca="false">IF($C134="","",COUNTA($C$10:$C134))</f>
        <v/>
      </c>
      <c r="B134" s="18"/>
      <c r="C134" s="11"/>
      <c r="D134" s="11"/>
      <c r="E134" s="11"/>
      <c r="F134" s="11"/>
      <c r="G134" s="11"/>
      <c r="H134" s="11"/>
      <c r="I134" s="12"/>
      <c r="J134" s="13" t="str">
        <f aca="false">IF($H134="","",IFERROR(VLOOKUP($H134,'BẢNG GIÁ GỐC'!$A$5:$D$254,3,FALSE()),""))</f>
        <v/>
      </c>
      <c r="K134" s="12"/>
      <c r="L134" s="13" t="str">
        <f aca="false">IF($C134="","",N($I134)*N($K134))</f>
        <v/>
      </c>
      <c r="M134" s="11"/>
      <c r="N134" s="14" t="str">
        <f aca="false">IF($C134="","",IF($M134="VAT 5%",0.05,IF($M134="VAT 8%",0.08,IF($M134="VAT 10%",0.1,0))))</f>
        <v/>
      </c>
      <c r="O134" s="13" t="str">
        <f aca="false">IF($C134="","",$L134*$N134)</f>
        <v/>
      </c>
      <c r="P134" s="13" t="str">
        <f aca="false">IF($C134="","",$L134+$O134)</f>
        <v/>
      </c>
      <c r="Q134" s="12"/>
      <c r="R134" s="13" t="str">
        <f aca="false">IF($C134="","",MAX(0,$P134-N($Q134)))</f>
        <v/>
      </c>
      <c r="S134" s="23" t="str">
        <f aca="false">IF(OR($C134="",$P134=0),"",IF(N($Q134)&lt;=0,"Chưa thanh toán",IF(N($Q134)&lt;$P134,"Thanh toán một phần","Đã thanh toán")))</f>
        <v/>
      </c>
      <c r="T134" s="13" t="str">
        <f aca="false">IF(OR($C134="",$J134=""),"",N($I134)*$J134)</f>
        <v/>
      </c>
      <c r="U134" s="13" t="str">
        <f aca="false">IF(OR($C134="",$T134=""),"",$L134-$T134)</f>
        <v/>
      </c>
      <c r="V134" s="14" t="str">
        <f aca="false">IF(OR($U134="",$L134=0),"",$U134/$L134)</f>
        <v/>
      </c>
      <c r="W134" s="11"/>
      <c r="X134" s="23" t="str">
        <f aca="false">IF($C134="","",IF(AND($H134="",N($I134)=0,N($K134)=0),"Dòng chỉ lưu thông tin khách (chưa có đơn); ",IF($B134="","Thiếu ngày đặt; ","")&amp;IF($H134="","Thiếu tên sản phẩm; ",IF($J134="","Chưa khai GIÁ GỐC ở BẢNG GIÁ GỐC; ",""))&amp;IF(N($I134)&lt;=0,"Thiếu số lượng; ","")&amp;IF(N($K134)&lt;=0,"Thiếu giá bán; ","")&amp;IF(AND($N134&gt;0,$F134=""),"Khách lấy VAT thiếu mã số thuế; ","")&amp;IF(N($Q134)&gt;$P134,"Đã thu vượt tổng phải thu; ","")&amp;IF(AND($L134&gt;0,$U134&lt;&gt;"",$U134&lt;0),"CẢNH BÁO: ĐƠN NÀY ĐANG LỖ; ","")))</f>
        <v/>
      </c>
    </row>
    <row r="135" customFormat="false" ht="15" hidden="false" customHeight="false" outlineLevel="0" collapsed="false">
      <c r="A135" s="21" t="str">
        <f aca="false">IF($C135="","",COUNTA($C$10:$C135))</f>
        <v/>
      </c>
      <c r="B135" s="18"/>
      <c r="C135" s="11"/>
      <c r="D135" s="11"/>
      <c r="E135" s="11"/>
      <c r="F135" s="11"/>
      <c r="G135" s="11"/>
      <c r="H135" s="11"/>
      <c r="I135" s="12"/>
      <c r="J135" s="13" t="str">
        <f aca="false">IF($H135="","",IFERROR(VLOOKUP($H135,'BẢNG GIÁ GỐC'!$A$5:$D$254,3,FALSE()),""))</f>
        <v/>
      </c>
      <c r="K135" s="12"/>
      <c r="L135" s="13" t="str">
        <f aca="false">IF($C135="","",N($I135)*N($K135))</f>
        <v/>
      </c>
      <c r="M135" s="11"/>
      <c r="N135" s="14" t="str">
        <f aca="false">IF($C135="","",IF($M135="VAT 5%",0.05,IF($M135="VAT 8%",0.08,IF($M135="VAT 10%",0.1,0))))</f>
        <v/>
      </c>
      <c r="O135" s="13" t="str">
        <f aca="false">IF($C135="","",$L135*$N135)</f>
        <v/>
      </c>
      <c r="P135" s="13" t="str">
        <f aca="false">IF($C135="","",$L135+$O135)</f>
        <v/>
      </c>
      <c r="Q135" s="12"/>
      <c r="R135" s="13" t="str">
        <f aca="false">IF($C135="","",MAX(0,$P135-N($Q135)))</f>
        <v/>
      </c>
      <c r="S135" s="23" t="str">
        <f aca="false">IF(OR($C135="",$P135=0),"",IF(N($Q135)&lt;=0,"Chưa thanh toán",IF(N($Q135)&lt;$P135,"Thanh toán một phần","Đã thanh toán")))</f>
        <v/>
      </c>
      <c r="T135" s="13" t="str">
        <f aca="false">IF(OR($C135="",$J135=""),"",N($I135)*$J135)</f>
        <v/>
      </c>
      <c r="U135" s="13" t="str">
        <f aca="false">IF(OR($C135="",$T135=""),"",$L135-$T135)</f>
        <v/>
      </c>
      <c r="V135" s="14" t="str">
        <f aca="false">IF(OR($U135="",$L135=0),"",$U135/$L135)</f>
        <v/>
      </c>
      <c r="W135" s="11"/>
      <c r="X135" s="23" t="str">
        <f aca="false">IF($C135="","",IF(AND($H135="",N($I135)=0,N($K135)=0),"Dòng chỉ lưu thông tin khách (chưa có đơn); ",IF($B135="","Thiếu ngày đặt; ","")&amp;IF($H135="","Thiếu tên sản phẩm; ",IF($J135="","Chưa khai GIÁ GỐC ở BẢNG GIÁ GỐC; ",""))&amp;IF(N($I135)&lt;=0,"Thiếu số lượng; ","")&amp;IF(N($K135)&lt;=0,"Thiếu giá bán; ","")&amp;IF(AND($N135&gt;0,$F135=""),"Khách lấy VAT thiếu mã số thuế; ","")&amp;IF(N($Q135)&gt;$P135,"Đã thu vượt tổng phải thu; ","")&amp;IF(AND($L135&gt;0,$U135&lt;&gt;"",$U135&lt;0),"CẢNH BÁO: ĐƠN NÀY ĐANG LỖ; ","")))</f>
        <v/>
      </c>
    </row>
    <row r="136" customFormat="false" ht="15" hidden="false" customHeight="false" outlineLevel="0" collapsed="false">
      <c r="A136" s="21" t="str">
        <f aca="false">IF($C136="","",COUNTA($C$10:$C136))</f>
        <v/>
      </c>
      <c r="B136" s="18"/>
      <c r="C136" s="11"/>
      <c r="D136" s="11"/>
      <c r="E136" s="11"/>
      <c r="F136" s="11"/>
      <c r="G136" s="11"/>
      <c r="H136" s="11"/>
      <c r="I136" s="12"/>
      <c r="J136" s="13" t="str">
        <f aca="false">IF($H136="","",IFERROR(VLOOKUP($H136,'BẢNG GIÁ GỐC'!$A$5:$D$254,3,FALSE()),""))</f>
        <v/>
      </c>
      <c r="K136" s="12"/>
      <c r="L136" s="13" t="str">
        <f aca="false">IF($C136="","",N($I136)*N($K136))</f>
        <v/>
      </c>
      <c r="M136" s="11"/>
      <c r="N136" s="14" t="str">
        <f aca="false">IF($C136="","",IF($M136="VAT 5%",0.05,IF($M136="VAT 8%",0.08,IF($M136="VAT 10%",0.1,0))))</f>
        <v/>
      </c>
      <c r="O136" s="13" t="str">
        <f aca="false">IF($C136="","",$L136*$N136)</f>
        <v/>
      </c>
      <c r="P136" s="13" t="str">
        <f aca="false">IF($C136="","",$L136+$O136)</f>
        <v/>
      </c>
      <c r="Q136" s="12"/>
      <c r="R136" s="13" t="str">
        <f aca="false">IF($C136="","",MAX(0,$P136-N($Q136)))</f>
        <v/>
      </c>
      <c r="S136" s="23" t="str">
        <f aca="false">IF(OR($C136="",$P136=0),"",IF(N($Q136)&lt;=0,"Chưa thanh toán",IF(N($Q136)&lt;$P136,"Thanh toán một phần","Đã thanh toán")))</f>
        <v/>
      </c>
      <c r="T136" s="13" t="str">
        <f aca="false">IF(OR($C136="",$J136=""),"",N($I136)*$J136)</f>
        <v/>
      </c>
      <c r="U136" s="13" t="str">
        <f aca="false">IF(OR($C136="",$T136=""),"",$L136-$T136)</f>
        <v/>
      </c>
      <c r="V136" s="14" t="str">
        <f aca="false">IF(OR($U136="",$L136=0),"",$U136/$L136)</f>
        <v/>
      </c>
      <c r="W136" s="11"/>
      <c r="X136" s="23" t="str">
        <f aca="false">IF($C136="","",IF(AND($H136="",N($I136)=0,N($K136)=0),"Dòng chỉ lưu thông tin khách (chưa có đơn); ",IF($B136="","Thiếu ngày đặt; ","")&amp;IF($H136="","Thiếu tên sản phẩm; ",IF($J136="","Chưa khai GIÁ GỐC ở BẢNG GIÁ GỐC; ",""))&amp;IF(N($I136)&lt;=0,"Thiếu số lượng; ","")&amp;IF(N($K136)&lt;=0,"Thiếu giá bán; ","")&amp;IF(AND($N136&gt;0,$F136=""),"Khách lấy VAT thiếu mã số thuế; ","")&amp;IF(N($Q136)&gt;$P136,"Đã thu vượt tổng phải thu; ","")&amp;IF(AND($L136&gt;0,$U136&lt;&gt;"",$U136&lt;0),"CẢNH BÁO: ĐƠN NÀY ĐANG LỖ; ","")))</f>
        <v/>
      </c>
    </row>
    <row r="137" customFormat="false" ht="15" hidden="false" customHeight="false" outlineLevel="0" collapsed="false">
      <c r="A137" s="21" t="str">
        <f aca="false">IF($C137="","",COUNTA($C$10:$C137))</f>
        <v/>
      </c>
      <c r="B137" s="18"/>
      <c r="C137" s="11"/>
      <c r="D137" s="11"/>
      <c r="E137" s="11"/>
      <c r="F137" s="11"/>
      <c r="G137" s="11"/>
      <c r="H137" s="11"/>
      <c r="I137" s="12"/>
      <c r="J137" s="13" t="str">
        <f aca="false">IF($H137="","",IFERROR(VLOOKUP($H137,'BẢNG GIÁ GỐC'!$A$5:$D$254,3,FALSE()),""))</f>
        <v/>
      </c>
      <c r="K137" s="12"/>
      <c r="L137" s="13" t="str">
        <f aca="false">IF($C137="","",N($I137)*N($K137))</f>
        <v/>
      </c>
      <c r="M137" s="11"/>
      <c r="N137" s="14" t="str">
        <f aca="false">IF($C137="","",IF($M137="VAT 5%",0.05,IF($M137="VAT 8%",0.08,IF($M137="VAT 10%",0.1,0))))</f>
        <v/>
      </c>
      <c r="O137" s="13" t="str">
        <f aca="false">IF($C137="","",$L137*$N137)</f>
        <v/>
      </c>
      <c r="P137" s="13" t="str">
        <f aca="false">IF($C137="","",$L137+$O137)</f>
        <v/>
      </c>
      <c r="Q137" s="12"/>
      <c r="R137" s="13" t="str">
        <f aca="false">IF($C137="","",MAX(0,$P137-N($Q137)))</f>
        <v/>
      </c>
      <c r="S137" s="23" t="str">
        <f aca="false">IF(OR($C137="",$P137=0),"",IF(N($Q137)&lt;=0,"Chưa thanh toán",IF(N($Q137)&lt;$P137,"Thanh toán một phần","Đã thanh toán")))</f>
        <v/>
      </c>
      <c r="T137" s="13" t="str">
        <f aca="false">IF(OR($C137="",$J137=""),"",N($I137)*$J137)</f>
        <v/>
      </c>
      <c r="U137" s="13" t="str">
        <f aca="false">IF(OR($C137="",$T137=""),"",$L137-$T137)</f>
        <v/>
      </c>
      <c r="V137" s="14" t="str">
        <f aca="false">IF(OR($U137="",$L137=0),"",$U137/$L137)</f>
        <v/>
      </c>
      <c r="W137" s="11"/>
      <c r="X137" s="23" t="str">
        <f aca="false">IF($C137="","",IF(AND($H137="",N($I137)=0,N($K137)=0),"Dòng chỉ lưu thông tin khách (chưa có đơn); ",IF($B137="","Thiếu ngày đặt; ","")&amp;IF($H137="","Thiếu tên sản phẩm; ",IF($J137="","Chưa khai GIÁ GỐC ở BẢNG GIÁ GỐC; ",""))&amp;IF(N($I137)&lt;=0,"Thiếu số lượng; ","")&amp;IF(N($K137)&lt;=0,"Thiếu giá bán; ","")&amp;IF(AND($N137&gt;0,$F137=""),"Khách lấy VAT thiếu mã số thuế; ","")&amp;IF(N($Q137)&gt;$P137,"Đã thu vượt tổng phải thu; ","")&amp;IF(AND($L137&gt;0,$U137&lt;&gt;"",$U137&lt;0),"CẢNH BÁO: ĐƠN NÀY ĐANG LỖ; ","")))</f>
        <v/>
      </c>
    </row>
    <row r="138" customFormat="false" ht="15" hidden="false" customHeight="false" outlineLevel="0" collapsed="false">
      <c r="A138" s="21" t="str">
        <f aca="false">IF($C138="","",COUNTA($C$10:$C138))</f>
        <v/>
      </c>
      <c r="B138" s="18"/>
      <c r="C138" s="11"/>
      <c r="D138" s="11"/>
      <c r="E138" s="11"/>
      <c r="F138" s="11"/>
      <c r="G138" s="11"/>
      <c r="H138" s="11"/>
      <c r="I138" s="12"/>
      <c r="J138" s="13" t="str">
        <f aca="false">IF($H138="","",IFERROR(VLOOKUP($H138,'BẢNG GIÁ GỐC'!$A$5:$D$254,3,FALSE()),""))</f>
        <v/>
      </c>
      <c r="K138" s="12"/>
      <c r="L138" s="13" t="str">
        <f aca="false">IF($C138="","",N($I138)*N($K138))</f>
        <v/>
      </c>
      <c r="M138" s="11"/>
      <c r="N138" s="14" t="str">
        <f aca="false">IF($C138="","",IF($M138="VAT 5%",0.05,IF($M138="VAT 8%",0.08,IF($M138="VAT 10%",0.1,0))))</f>
        <v/>
      </c>
      <c r="O138" s="13" t="str">
        <f aca="false">IF($C138="","",$L138*$N138)</f>
        <v/>
      </c>
      <c r="P138" s="13" t="str">
        <f aca="false">IF($C138="","",$L138+$O138)</f>
        <v/>
      </c>
      <c r="Q138" s="12"/>
      <c r="R138" s="13" t="str">
        <f aca="false">IF($C138="","",MAX(0,$P138-N($Q138)))</f>
        <v/>
      </c>
      <c r="S138" s="23" t="str">
        <f aca="false">IF(OR($C138="",$P138=0),"",IF(N($Q138)&lt;=0,"Chưa thanh toán",IF(N($Q138)&lt;$P138,"Thanh toán một phần","Đã thanh toán")))</f>
        <v/>
      </c>
      <c r="T138" s="13" t="str">
        <f aca="false">IF(OR($C138="",$J138=""),"",N($I138)*$J138)</f>
        <v/>
      </c>
      <c r="U138" s="13" t="str">
        <f aca="false">IF(OR($C138="",$T138=""),"",$L138-$T138)</f>
        <v/>
      </c>
      <c r="V138" s="14" t="str">
        <f aca="false">IF(OR($U138="",$L138=0),"",$U138/$L138)</f>
        <v/>
      </c>
      <c r="W138" s="11"/>
      <c r="X138" s="23" t="str">
        <f aca="false">IF($C138="","",IF(AND($H138="",N($I138)=0,N($K138)=0),"Dòng chỉ lưu thông tin khách (chưa có đơn); ",IF($B138="","Thiếu ngày đặt; ","")&amp;IF($H138="","Thiếu tên sản phẩm; ",IF($J138="","Chưa khai GIÁ GỐC ở BẢNG GIÁ GỐC; ",""))&amp;IF(N($I138)&lt;=0,"Thiếu số lượng; ","")&amp;IF(N($K138)&lt;=0,"Thiếu giá bán; ","")&amp;IF(AND($N138&gt;0,$F138=""),"Khách lấy VAT thiếu mã số thuế; ","")&amp;IF(N($Q138)&gt;$P138,"Đã thu vượt tổng phải thu; ","")&amp;IF(AND($L138&gt;0,$U138&lt;&gt;"",$U138&lt;0),"CẢNH BÁO: ĐƠN NÀY ĐANG LỖ; ","")))</f>
        <v/>
      </c>
    </row>
    <row r="139" customFormat="false" ht="15" hidden="false" customHeight="false" outlineLevel="0" collapsed="false">
      <c r="A139" s="21" t="str">
        <f aca="false">IF($C139="","",COUNTA($C$10:$C139))</f>
        <v/>
      </c>
      <c r="B139" s="18"/>
      <c r="C139" s="11"/>
      <c r="D139" s="11"/>
      <c r="E139" s="11"/>
      <c r="F139" s="11"/>
      <c r="G139" s="11"/>
      <c r="H139" s="11"/>
      <c r="I139" s="12"/>
      <c r="J139" s="13" t="str">
        <f aca="false">IF($H139="","",IFERROR(VLOOKUP($H139,'BẢNG GIÁ GỐC'!$A$5:$D$254,3,FALSE()),""))</f>
        <v/>
      </c>
      <c r="K139" s="12"/>
      <c r="L139" s="13" t="str">
        <f aca="false">IF($C139="","",N($I139)*N($K139))</f>
        <v/>
      </c>
      <c r="M139" s="11"/>
      <c r="N139" s="14" t="str">
        <f aca="false">IF($C139="","",IF($M139="VAT 5%",0.05,IF($M139="VAT 8%",0.08,IF($M139="VAT 10%",0.1,0))))</f>
        <v/>
      </c>
      <c r="O139" s="13" t="str">
        <f aca="false">IF($C139="","",$L139*$N139)</f>
        <v/>
      </c>
      <c r="P139" s="13" t="str">
        <f aca="false">IF($C139="","",$L139+$O139)</f>
        <v/>
      </c>
      <c r="Q139" s="12"/>
      <c r="R139" s="13" t="str">
        <f aca="false">IF($C139="","",MAX(0,$P139-N($Q139)))</f>
        <v/>
      </c>
      <c r="S139" s="23" t="str">
        <f aca="false">IF(OR($C139="",$P139=0),"",IF(N($Q139)&lt;=0,"Chưa thanh toán",IF(N($Q139)&lt;$P139,"Thanh toán một phần","Đã thanh toán")))</f>
        <v/>
      </c>
      <c r="T139" s="13" t="str">
        <f aca="false">IF(OR($C139="",$J139=""),"",N($I139)*$J139)</f>
        <v/>
      </c>
      <c r="U139" s="13" t="str">
        <f aca="false">IF(OR($C139="",$T139=""),"",$L139-$T139)</f>
        <v/>
      </c>
      <c r="V139" s="14" t="str">
        <f aca="false">IF(OR($U139="",$L139=0),"",$U139/$L139)</f>
        <v/>
      </c>
      <c r="W139" s="11"/>
      <c r="X139" s="23" t="str">
        <f aca="false">IF($C139="","",IF(AND($H139="",N($I139)=0,N($K139)=0),"Dòng chỉ lưu thông tin khách (chưa có đơn); ",IF($B139="","Thiếu ngày đặt; ","")&amp;IF($H139="","Thiếu tên sản phẩm; ",IF($J139="","Chưa khai GIÁ GỐC ở BẢNG GIÁ GỐC; ",""))&amp;IF(N($I139)&lt;=0,"Thiếu số lượng; ","")&amp;IF(N($K139)&lt;=0,"Thiếu giá bán; ","")&amp;IF(AND($N139&gt;0,$F139=""),"Khách lấy VAT thiếu mã số thuế; ","")&amp;IF(N($Q139)&gt;$P139,"Đã thu vượt tổng phải thu; ","")&amp;IF(AND($L139&gt;0,$U139&lt;&gt;"",$U139&lt;0),"CẢNH BÁO: ĐƠN NÀY ĐANG LỖ; ","")))</f>
        <v/>
      </c>
    </row>
    <row r="140" customFormat="false" ht="15" hidden="false" customHeight="false" outlineLevel="0" collapsed="false">
      <c r="A140" s="21" t="str">
        <f aca="false">IF($C140="","",COUNTA($C$10:$C140))</f>
        <v/>
      </c>
      <c r="B140" s="18"/>
      <c r="C140" s="11"/>
      <c r="D140" s="11"/>
      <c r="E140" s="11"/>
      <c r="F140" s="11"/>
      <c r="G140" s="11"/>
      <c r="H140" s="11"/>
      <c r="I140" s="12"/>
      <c r="J140" s="13" t="str">
        <f aca="false">IF($H140="","",IFERROR(VLOOKUP($H140,'BẢNG GIÁ GỐC'!$A$5:$D$254,3,FALSE()),""))</f>
        <v/>
      </c>
      <c r="K140" s="12"/>
      <c r="L140" s="13" t="str">
        <f aca="false">IF($C140="","",N($I140)*N($K140))</f>
        <v/>
      </c>
      <c r="M140" s="11"/>
      <c r="N140" s="14" t="str">
        <f aca="false">IF($C140="","",IF($M140="VAT 5%",0.05,IF($M140="VAT 8%",0.08,IF($M140="VAT 10%",0.1,0))))</f>
        <v/>
      </c>
      <c r="O140" s="13" t="str">
        <f aca="false">IF($C140="","",$L140*$N140)</f>
        <v/>
      </c>
      <c r="P140" s="13" t="str">
        <f aca="false">IF($C140="","",$L140+$O140)</f>
        <v/>
      </c>
      <c r="Q140" s="12"/>
      <c r="R140" s="13" t="str">
        <f aca="false">IF($C140="","",MAX(0,$P140-N($Q140)))</f>
        <v/>
      </c>
      <c r="S140" s="23" t="str">
        <f aca="false">IF(OR($C140="",$P140=0),"",IF(N($Q140)&lt;=0,"Chưa thanh toán",IF(N($Q140)&lt;$P140,"Thanh toán một phần","Đã thanh toán")))</f>
        <v/>
      </c>
      <c r="T140" s="13" t="str">
        <f aca="false">IF(OR($C140="",$J140=""),"",N($I140)*$J140)</f>
        <v/>
      </c>
      <c r="U140" s="13" t="str">
        <f aca="false">IF(OR($C140="",$T140=""),"",$L140-$T140)</f>
        <v/>
      </c>
      <c r="V140" s="14" t="str">
        <f aca="false">IF(OR($U140="",$L140=0),"",$U140/$L140)</f>
        <v/>
      </c>
      <c r="W140" s="11"/>
      <c r="X140" s="23" t="str">
        <f aca="false">IF($C140="","",IF(AND($H140="",N($I140)=0,N($K140)=0),"Dòng chỉ lưu thông tin khách (chưa có đơn); ",IF($B140="","Thiếu ngày đặt; ","")&amp;IF($H140="","Thiếu tên sản phẩm; ",IF($J140="","Chưa khai GIÁ GỐC ở BẢNG GIÁ GỐC; ",""))&amp;IF(N($I140)&lt;=0,"Thiếu số lượng; ","")&amp;IF(N($K140)&lt;=0,"Thiếu giá bán; ","")&amp;IF(AND($N140&gt;0,$F140=""),"Khách lấy VAT thiếu mã số thuế; ","")&amp;IF(N($Q140)&gt;$P140,"Đã thu vượt tổng phải thu; ","")&amp;IF(AND($L140&gt;0,$U140&lt;&gt;"",$U140&lt;0),"CẢNH BÁO: ĐƠN NÀY ĐANG LỖ; ","")))</f>
        <v/>
      </c>
    </row>
    <row r="141" customFormat="false" ht="15" hidden="false" customHeight="false" outlineLevel="0" collapsed="false">
      <c r="A141" s="21" t="str">
        <f aca="false">IF($C141="","",COUNTA($C$10:$C141))</f>
        <v/>
      </c>
      <c r="B141" s="18"/>
      <c r="C141" s="11"/>
      <c r="D141" s="11"/>
      <c r="E141" s="11"/>
      <c r="F141" s="11"/>
      <c r="G141" s="11"/>
      <c r="H141" s="11"/>
      <c r="I141" s="12"/>
      <c r="J141" s="13" t="str">
        <f aca="false">IF($H141="","",IFERROR(VLOOKUP($H141,'BẢNG GIÁ GỐC'!$A$5:$D$254,3,FALSE()),""))</f>
        <v/>
      </c>
      <c r="K141" s="12"/>
      <c r="L141" s="13" t="str">
        <f aca="false">IF($C141="","",N($I141)*N($K141))</f>
        <v/>
      </c>
      <c r="M141" s="11"/>
      <c r="N141" s="14" t="str">
        <f aca="false">IF($C141="","",IF($M141="VAT 5%",0.05,IF($M141="VAT 8%",0.08,IF($M141="VAT 10%",0.1,0))))</f>
        <v/>
      </c>
      <c r="O141" s="13" t="str">
        <f aca="false">IF($C141="","",$L141*$N141)</f>
        <v/>
      </c>
      <c r="P141" s="13" t="str">
        <f aca="false">IF($C141="","",$L141+$O141)</f>
        <v/>
      </c>
      <c r="Q141" s="12"/>
      <c r="R141" s="13" t="str">
        <f aca="false">IF($C141="","",MAX(0,$P141-N($Q141)))</f>
        <v/>
      </c>
      <c r="S141" s="23" t="str">
        <f aca="false">IF(OR($C141="",$P141=0),"",IF(N($Q141)&lt;=0,"Chưa thanh toán",IF(N($Q141)&lt;$P141,"Thanh toán một phần","Đã thanh toán")))</f>
        <v/>
      </c>
      <c r="T141" s="13" t="str">
        <f aca="false">IF(OR($C141="",$J141=""),"",N($I141)*$J141)</f>
        <v/>
      </c>
      <c r="U141" s="13" t="str">
        <f aca="false">IF(OR($C141="",$T141=""),"",$L141-$T141)</f>
        <v/>
      </c>
      <c r="V141" s="14" t="str">
        <f aca="false">IF(OR($U141="",$L141=0),"",$U141/$L141)</f>
        <v/>
      </c>
      <c r="W141" s="11"/>
      <c r="X141" s="23" t="str">
        <f aca="false">IF($C141="","",IF(AND($H141="",N($I141)=0,N($K141)=0),"Dòng chỉ lưu thông tin khách (chưa có đơn); ",IF($B141="","Thiếu ngày đặt; ","")&amp;IF($H141="","Thiếu tên sản phẩm; ",IF($J141="","Chưa khai GIÁ GỐC ở BẢNG GIÁ GỐC; ",""))&amp;IF(N($I141)&lt;=0,"Thiếu số lượng; ","")&amp;IF(N($K141)&lt;=0,"Thiếu giá bán; ","")&amp;IF(AND($N141&gt;0,$F141=""),"Khách lấy VAT thiếu mã số thuế; ","")&amp;IF(N($Q141)&gt;$P141,"Đã thu vượt tổng phải thu; ","")&amp;IF(AND($L141&gt;0,$U141&lt;&gt;"",$U141&lt;0),"CẢNH BÁO: ĐƠN NÀY ĐANG LỖ; ","")))</f>
        <v/>
      </c>
    </row>
    <row r="142" customFormat="false" ht="15" hidden="false" customHeight="false" outlineLevel="0" collapsed="false">
      <c r="A142" s="21" t="str">
        <f aca="false">IF($C142="","",COUNTA($C$10:$C142))</f>
        <v/>
      </c>
      <c r="B142" s="18"/>
      <c r="C142" s="11"/>
      <c r="D142" s="11"/>
      <c r="E142" s="11"/>
      <c r="F142" s="11"/>
      <c r="G142" s="11"/>
      <c r="H142" s="11"/>
      <c r="I142" s="12"/>
      <c r="J142" s="13" t="str">
        <f aca="false">IF($H142="","",IFERROR(VLOOKUP($H142,'BẢNG GIÁ GỐC'!$A$5:$D$254,3,FALSE()),""))</f>
        <v/>
      </c>
      <c r="K142" s="12"/>
      <c r="L142" s="13" t="str">
        <f aca="false">IF($C142="","",N($I142)*N($K142))</f>
        <v/>
      </c>
      <c r="M142" s="11"/>
      <c r="N142" s="14" t="str">
        <f aca="false">IF($C142="","",IF($M142="VAT 5%",0.05,IF($M142="VAT 8%",0.08,IF($M142="VAT 10%",0.1,0))))</f>
        <v/>
      </c>
      <c r="O142" s="13" t="str">
        <f aca="false">IF($C142="","",$L142*$N142)</f>
        <v/>
      </c>
      <c r="P142" s="13" t="str">
        <f aca="false">IF($C142="","",$L142+$O142)</f>
        <v/>
      </c>
      <c r="Q142" s="12"/>
      <c r="R142" s="13" t="str">
        <f aca="false">IF($C142="","",MAX(0,$P142-N($Q142)))</f>
        <v/>
      </c>
      <c r="S142" s="23" t="str">
        <f aca="false">IF(OR($C142="",$P142=0),"",IF(N($Q142)&lt;=0,"Chưa thanh toán",IF(N($Q142)&lt;$P142,"Thanh toán một phần","Đã thanh toán")))</f>
        <v/>
      </c>
      <c r="T142" s="13" t="str">
        <f aca="false">IF(OR($C142="",$J142=""),"",N($I142)*$J142)</f>
        <v/>
      </c>
      <c r="U142" s="13" t="str">
        <f aca="false">IF(OR($C142="",$T142=""),"",$L142-$T142)</f>
        <v/>
      </c>
      <c r="V142" s="14" t="str">
        <f aca="false">IF(OR($U142="",$L142=0),"",$U142/$L142)</f>
        <v/>
      </c>
      <c r="W142" s="11"/>
      <c r="X142" s="23" t="str">
        <f aca="false">IF($C142="","",IF(AND($H142="",N($I142)=0,N($K142)=0),"Dòng chỉ lưu thông tin khách (chưa có đơn); ",IF($B142="","Thiếu ngày đặt; ","")&amp;IF($H142="","Thiếu tên sản phẩm; ",IF($J142="","Chưa khai GIÁ GỐC ở BẢNG GIÁ GỐC; ",""))&amp;IF(N($I142)&lt;=0,"Thiếu số lượng; ","")&amp;IF(N($K142)&lt;=0,"Thiếu giá bán; ","")&amp;IF(AND($N142&gt;0,$F142=""),"Khách lấy VAT thiếu mã số thuế; ","")&amp;IF(N($Q142)&gt;$P142,"Đã thu vượt tổng phải thu; ","")&amp;IF(AND($L142&gt;0,$U142&lt;&gt;"",$U142&lt;0),"CẢNH BÁO: ĐƠN NÀY ĐANG LỖ; ","")))</f>
        <v/>
      </c>
    </row>
    <row r="143" customFormat="false" ht="15" hidden="false" customHeight="false" outlineLevel="0" collapsed="false">
      <c r="A143" s="21" t="str">
        <f aca="false">IF($C143="","",COUNTA($C$10:$C143))</f>
        <v/>
      </c>
      <c r="B143" s="18"/>
      <c r="C143" s="11"/>
      <c r="D143" s="11"/>
      <c r="E143" s="11"/>
      <c r="F143" s="11"/>
      <c r="G143" s="11"/>
      <c r="H143" s="11"/>
      <c r="I143" s="12"/>
      <c r="J143" s="13" t="str">
        <f aca="false">IF($H143="","",IFERROR(VLOOKUP($H143,'BẢNG GIÁ GỐC'!$A$5:$D$254,3,FALSE()),""))</f>
        <v/>
      </c>
      <c r="K143" s="12"/>
      <c r="L143" s="13" t="str">
        <f aca="false">IF($C143="","",N($I143)*N($K143))</f>
        <v/>
      </c>
      <c r="M143" s="11"/>
      <c r="N143" s="14" t="str">
        <f aca="false">IF($C143="","",IF($M143="VAT 5%",0.05,IF($M143="VAT 8%",0.08,IF($M143="VAT 10%",0.1,0))))</f>
        <v/>
      </c>
      <c r="O143" s="13" t="str">
        <f aca="false">IF($C143="","",$L143*$N143)</f>
        <v/>
      </c>
      <c r="P143" s="13" t="str">
        <f aca="false">IF($C143="","",$L143+$O143)</f>
        <v/>
      </c>
      <c r="Q143" s="12"/>
      <c r="R143" s="13" t="str">
        <f aca="false">IF($C143="","",MAX(0,$P143-N($Q143)))</f>
        <v/>
      </c>
      <c r="S143" s="23" t="str">
        <f aca="false">IF(OR($C143="",$P143=0),"",IF(N($Q143)&lt;=0,"Chưa thanh toán",IF(N($Q143)&lt;$P143,"Thanh toán một phần","Đã thanh toán")))</f>
        <v/>
      </c>
      <c r="T143" s="13" t="str">
        <f aca="false">IF(OR($C143="",$J143=""),"",N($I143)*$J143)</f>
        <v/>
      </c>
      <c r="U143" s="13" t="str">
        <f aca="false">IF(OR($C143="",$T143=""),"",$L143-$T143)</f>
        <v/>
      </c>
      <c r="V143" s="14" t="str">
        <f aca="false">IF(OR($U143="",$L143=0),"",$U143/$L143)</f>
        <v/>
      </c>
      <c r="W143" s="11"/>
      <c r="X143" s="23" t="str">
        <f aca="false">IF($C143="","",IF(AND($H143="",N($I143)=0,N($K143)=0),"Dòng chỉ lưu thông tin khách (chưa có đơn); ",IF($B143="","Thiếu ngày đặt; ","")&amp;IF($H143="","Thiếu tên sản phẩm; ",IF($J143="","Chưa khai GIÁ GỐC ở BẢNG GIÁ GỐC; ",""))&amp;IF(N($I143)&lt;=0,"Thiếu số lượng; ","")&amp;IF(N($K143)&lt;=0,"Thiếu giá bán; ","")&amp;IF(AND($N143&gt;0,$F143=""),"Khách lấy VAT thiếu mã số thuế; ","")&amp;IF(N($Q143)&gt;$P143,"Đã thu vượt tổng phải thu; ","")&amp;IF(AND($L143&gt;0,$U143&lt;&gt;"",$U143&lt;0),"CẢNH BÁO: ĐƠN NÀY ĐANG LỖ; ","")))</f>
        <v/>
      </c>
    </row>
    <row r="144" customFormat="false" ht="15" hidden="false" customHeight="false" outlineLevel="0" collapsed="false">
      <c r="A144" s="21" t="str">
        <f aca="false">IF($C144="","",COUNTA($C$10:$C144))</f>
        <v/>
      </c>
      <c r="B144" s="18"/>
      <c r="C144" s="11"/>
      <c r="D144" s="11"/>
      <c r="E144" s="11"/>
      <c r="F144" s="11"/>
      <c r="G144" s="11"/>
      <c r="H144" s="11"/>
      <c r="I144" s="12"/>
      <c r="J144" s="13" t="str">
        <f aca="false">IF($H144="","",IFERROR(VLOOKUP($H144,'BẢNG GIÁ GỐC'!$A$5:$D$254,3,FALSE()),""))</f>
        <v/>
      </c>
      <c r="K144" s="12"/>
      <c r="L144" s="13" t="str">
        <f aca="false">IF($C144="","",N($I144)*N($K144))</f>
        <v/>
      </c>
      <c r="M144" s="11"/>
      <c r="N144" s="14" t="str">
        <f aca="false">IF($C144="","",IF($M144="VAT 5%",0.05,IF($M144="VAT 8%",0.08,IF($M144="VAT 10%",0.1,0))))</f>
        <v/>
      </c>
      <c r="O144" s="13" t="str">
        <f aca="false">IF($C144="","",$L144*$N144)</f>
        <v/>
      </c>
      <c r="P144" s="13" t="str">
        <f aca="false">IF($C144="","",$L144+$O144)</f>
        <v/>
      </c>
      <c r="Q144" s="12"/>
      <c r="R144" s="13" t="str">
        <f aca="false">IF($C144="","",MAX(0,$P144-N($Q144)))</f>
        <v/>
      </c>
      <c r="S144" s="23" t="str">
        <f aca="false">IF(OR($C144="",$P144=0),"",IF(N($Q144)&lt;=0,"Chưa thanh toán",IF(N($Q144)&lt;$P144,"Thanh toán một phần","Đã thanh toán")))</f>
        <v/>
      </c>
      <c r="T144" s="13" t="str">
        <f aca="false">IF(OR($C144="",$J144=""),"",N($I144)*$J144)</f>
        <v/>
      </c>
      <c r="U144" s="13" t="str">
        <f aca="false">IF(OR($C144="",$T144=""),"",$L144-$T144)</f>
        <v/>
      </c>
      <c r="V144" s="14" t="str">
        <f aca="false">IF(OR($U144="",$L144=0),"",$U144/$L144)</f>
        <v/>
      </c>
      <c r="W144" s="11"/>
      <c r="X144" s="23" t="str">
        <f aca="false">IF($C144="","",IF(AND($H144="",N($I144)=0,N($K144)=0),"Dòng chỉ lưu thông tin khách (chưa có đơn); ",IF($B144="","Thiếu ngày đặt; ","")&amp;IF($H144="","Thiếu tên sản phẩm; ",IF($J144="","Chưa khai GIÁ GỐC ở BẢNG GIÁ GỐC; ",""))&amp;IF(N($I144)&lt;=0,"Thiếu số lượng; ","")&amp;IF(N($K144)&lt;=0,"Thiếu giá bán; ","")&amp;IF(AND($N144&gt;0,$F144=""),"Khách lấy VAT thiếu mã số thuế; ","")&amp;IF(N($Q144)&gt;$P144,"Đã thu vượt tổng phải thu; ","")&amp;IF(AND($L144&gt;0,$U144&lt;&gt;"",$U144&lt;0),"CẢNH BÁO: ĐƠN NÀY ĐANG LỖ; ","")))</f>
        <v/>
      </c>
    </row>
    <row r="145" customFormat="false" ht="15" hidden="false" customHeight="false" outlineLevel="0" collapsed="false">
      <c r="A145" s="21" t="str">
        <f aca="false">IF($C145="","",COUNTA($C$10:$C145))</f>
        <v/>
      </c>
      <c r="B145" s="18"/>
      <c r="C145" s="11"/>
      <c r="D145" s="11"/>
      <c r="E145" s="11"/>
      <c r="F145" s="11"/>
      <c r="G145" s="11"/>
      <c r="H145" s="11"/>
      <c r="I145" s="12"/>
      <c r="J145" s="13" t="str">
        <f aca="false">IF($H145="","",IFERROR(VLOOKUP($H145,'BẢNG GIÁ GỐC'!$A$5:$D$254,3,FALSE()),""))</f>
        <v/>
      </c>
      <c r="K145" s="12"/>
      <c r="L145" s="13" t="str">
        <f aca="false">IF($C145="","",N($I145)*N($K145))</f>
        <v/>
      </c>
      <c r="M145" s="11"/>
      <c r="N145" s="14" t="str">
        <f aca="false">IF($C145="","",IF($M145="VAT 5%",0.05,IF($M145="VAT 8%",0.08,IF($M145="VAT 10%",0.1,0))))</f>
        <v/>
      </c>
      <c r="O145" s="13" t="str">
        <f aca="false">IF($C145="","",$L145*$N145)</f>
        <v/>
      </c>
      <c r="P145" s="13" t="str">
        <f aca="false">IF($C145="","",$L145+$O145)</f>
        <v/>
      </c>
      <c r="Q145" s="12"/>
      <c r="R145" s="13" t="str">
        <f aca="false">IF($C145="","",MAX(0,$P145-N($Q145)))</f>
        <v/>
      </c>
      <c r="S145" s="23" t="str">
        <f aca="false">IF(OR($C145="",$P145=0),"",IF(N($Q145)&lt;=0,"Chưa thanh toán",IF(N($Q145)&lt;$P145,"Thanh toán một phần","Đã thanh toán")))</f>
        <v/>
      </c>
      <c r="T145" s="13" t="str">
        <f aca="false">IF(OR($C145="",$J145=""),"",N($I145)*$J145)</f>
        <v/>
      </c>
      <c r="U145" s="13" t="str">
        <f aca="false">IF(OR($C145="",$T145=""),"",$L145-$T145)</f>
        <v/>
      </c>
      <c r="V145" s="14" t="str">
        <f aca="false">IF(OR($U145="",$L145=0),"",$U145/$L145)</f>
        <v/>
      </c>
      <c r="W145" s="11"/>
      <c r="X145" s="23" t="str">
        <f aca="false">IF($C145="","",IF(AND($H145="",N($I145)=0,N($K145)=0),"Dòng chỉ lưu thông tin khách (chưa có đơn); ",IF($B145="","Thiếu ngày đặt; ","")&amp;IF($H145="","Thiếu tên sản phẩm; ",IF($J145="","Chưa khai GIÁ GỐC ở BẢNG GIÁ GỐC; ",""))&amp;IF(N($I145)&lt;=0,"Thiếu số lượng; ","")&amp;IF(N($K145)&lt;=0,"Thiếu giá bán; ","")&amp;IF(AND($N145&gt;0,$F145=""),"Khách lấy VAT thiếu mã số thuế; ","")&amp;IF(N($Q145)&gt;$P145,"Đã thu vượt tổng phải thu; ","")&amp;IF(AND($L145&gt;0,$U145&lt;&gt;"",$U145&lt;0),"CẢNH BÁO: ĐƠN NÀY ĐANG LỖ; ","")))</f>
        <v/>
      </c>
    </row>
    <row r="146" customFormat="false" ht="15" hidden="false" customHeight="false" outlineLevel="0" collapsed="false">
      <c r="A146" s="21" t="str">
        <f aca="false">IF($C146="","",COUNTA($C$10:$C146))</f>
        <v/>
      </c>
      <c r="B146" s="18"/>
      <c r="C146" s="11"/>
      <c r="D146" s="11"/>
      <c r="E146" s="11"/>
      <c r="F146" s="11"/>
      <c r="G146" s="11"/>
      <c r="H146" s="11"/>
      <c r="I146" s="12"/>
      <c r="J146" s="13" t="str">
        <f aca="false">IF($H146="","",IFERROR(VLOOKUP($H146,'BẢNG GIÁ GỐC'!$A$5:$D$254,3,FALSE()),""))</f>
        <v/>
      </c>
      <c r="K146" s="12"/>
      <c r="L146" s="13" t="str">
        <f aca="false">IF($C146="","",N($I146)*N($K146))</f>
        <v/>
      </c>
      <c r="M146" s="11"/>
      <c r="N146" s="14" t="str">
        <f aca="false">IF($C146="","",IF($M146="VAT 5%",0.05,IF($M146="VAT 8%",0.08,IF($M146="VAT 10%",0.1,0))))</f>
        <v/>
      </c>
      <c r="O146" s="13" t="str">
        <f aca="false">IF($C146="","",$L146*$N146)</f>
        <v/>
      </c>
      <c r="P146" s="13" t="str">
        <f aca="false">IF($C146="","",$L146+$O146)</f>
        <v/>
      </c>
      <c r="Q146" s="12"/>
      <c r="R146" s="13" t="str">
        <f aca="false">IF($C146="","",MAX(0,$P146-N($Q146)))</f>
        <v/>
      </c>
      <c r="S146" s="23" t="str">
        <f aca="false">IF(OR($C146="",$P146=0),"",IF(N($Q146)&lt;=0,"Chưa thanh toán",IF(N($Q146)&lt;$P146,"Thanh toán một phần","Đã thanh toán")))</f>
        <v/>
      </c>
      <c r="T146" s="13" t="str">
        <f aca="false">IF(OR($C146="",$J146=""),"",N($I146)*$J146)</f>
        <v/>
      </c>
      <c r="U146" s="13" t="str">
        <f aca="false">IF(OR($C146="",$T146=""),"",$L146-$T146)</f>
        <v/>
      </c>
      <c r="V146" s="14" t="str">
        <f aca="false">IF(OR($U146="",$L146=0),"",$U146/$L146)</f>
        <v/>
      </c>
      <c r="W146" s="11"/>
      <c r="X146" s="23" t="str">
        <f aca="false">IF($C146="","",IF(AND($H146="",N($I146)=0,N($K146)=0),"Dòng chỉ lưu thông tin khách (chưa có đơn); ",IF($B146="","Thiếu ngày đặt; ","")&amp;IF($H146="","Thiếu tên sản phẩm; ",IF($J146="","Chưa khai GIÁ GỐC ở BẢNG GIÁ GỐC; ",""))&amp;IF(N($I146)&lt;=0,"Thiếu số lượng; ","")&amp;IF(N($K146)&lt;=0,"Thiếu giá bán; ","")&amp;IF(AND($N146&gt;0,$F146=""),"Khách lấy VAT thiếu mã số thuế; ","")&amp;IF(N($Q146)&gt;$P146,"Đã thu vượt tổng phải thu; ","")&amp;IF(AND($L146&gt;0,$U146&lt;&gt;"",$U146&lt;0),"CẢNH BÁO: ĐƠN NÀY ĐANG LỖ; ","")))</f>
        <v/>
      </c>
    </row>
    <row r="147" customFormat="false" ht="15" hidden="false" customHeight="false" outlineLevel="0" collapsed="false">
      <c r="A147" s="21" t="str">
        <f aca="false">IF($C147="","",COUNTA($C$10:$C147))</f>
        <v/>
      </c>
      <c r="B147" s="18"/>
      <c r="C147" s="11"/>
      <c r="D147" s="11"/>
      <c r="E147" s="11"/>
      <c r="F147" s="11"/>
      <c r="G147" s="11"/>
      <c r="H147" s="11"/>
      <c r="I147" s="12"/>
      <c r="J147" s="13" t="str">
        <f aca="false">IF($H147="","",IFERROR(VLOOKUP($H147,'BẢNG GIÁ GỐC'!$A$5:$D$254,3,FALSE()),""))</f>
        <v/>
      </c>
      <c r="K147" s="12"/>
      <c r="L147" s="13" t="str">
        <f aca="false">IF($C147="","",N($I147)*N($K147))</f>
        <v/>
      </c>
      <c r="M147" s="11"/>
      <c r="N147" s="14" t="str">
        <f aca="false">IF($C147="","",IF($M147="VAT 5%",0.05,IF($M147="VAT 8%",0.08,IF($M147="VAT 10%",0.1,0))))</f>
        <v/>
      </c>
      <c r="O147" s="13" t="str">
        <f aca="false">IF($C147="","",$L147*$N147)</f>
        <v/>
      </c>
      <c r="P147" s="13" t="str">
        <f aca="false">IF($C147="","",$L147+$O147)</f>
        <v/>
      </c>
      <c r="Q147" s="12"/>
      <c r="R147" s="13" t="str">
        <f aca="false">IF($C147="","",MAX(0,$P147-N($Q147)))</f>
        <v/>
      </c>
      <c r="S147" s="23" t="str">
        <f aca="false">IF(OR($C147="",$P147=0),"",IF(N($Q147)&lt;=0,"Chưa thanh toán",IF(N($Q147)&lt;$P147,"Thanh toán một phần","Đã thanh toán")))</f>
        <v/>
      </c>
      <c r="T147" s="13" t="str">
        <f aca="false">IF(OR($C147="",$J147=""),"",N($I147)*$J147)</f>
        <v/>
      </c>
      <c r="U147" s="13" t="str">
        <f aca="false">IF(OR($C147="",$T147=""),"",$L147-$T147)</f>
        <v/>
      </c>
      <c r="V147" s="14" t="str">
        <f aca="false">IF(OR($U147="",$L147=0),"",$U147/$L147)</f>
        <v/>
      </c>
      <c r="W147" s="11"/>
      <c r="X147" s="23" t="str">
        <f aca="false">IF($C147="","",IF(AND($H147="",N($I147)=0,N($K147)=0),"Dòng chỉ lưu thông tin khách (chưa có đơn); ",IF($B147="","Thiếu ngày đặt; ","")&amp;IF($H147="","Thiếu tên sản phẩm; ",IF($J147="","Chưa khai GIÁ GỐC ở BẢNG GIÁ GỐC; ",""))&amp;IF(N($I147)&lt;=0,"Thiếu số lượng; ","")&amp;IF(N($K147)&lt;=0,"Thiếu giá bán; ","")&amp;IF(AND($N147&gt;0,$F147=""),"Khách lấy VAT thiếu mã số thuế; ","")&amp;IF(N($Q147)&gt;$P147,"Đã thu vượt tổng phải thu; ","")&amp;IF(AND($L147&gt;0,$U147&lt;&gt;"",$U147&lt;0),"CẢNH BÁO: ĐƠN NÀY ĐANG LỖ; ","")))</f>
        <v/>
      </c>
    </row>
    <row r="148" customFormat="false" ht="15" hidden="false" customHeight="false" outlineLevel="0" collapsed="false">
      <c r="A148" s="21" t="str">
        <f aca="false">IF($C148="","",COUNTA($C$10:$C148))</f>
        <v/>
      </c>
      <c r="B148" s="18"/>
      <c r="C148" s="11"/>
      <c r="D148" s="11"/>
      <c r="E148" s="11"/>
      <c r="F148" s="11"/>
      <c r="G148" s="11"/>
      <c r="H148" s="11"/>
      <c r="I148" s="12"/>
      <c r="J148" s="13" t="str">
        <f aca="false">IF($H148="","",IFERROR(VLOOKUP($H148,'BẢNG GIÁ GỐC'!$A$5:$D$254,3,FALSE()),""))</f>
        <v/>
      </c>
      <c r="K148" s="12"/>
      <c r="L148" s="13" t="str">
        <f aca="false">IF($C148="","",N($I148)*N($K148))</f>
        <v/>
      </c>
      <c r="M148" s="11"/>
      <c r="N148" s="14" t="str">
        <f aca="false">IF($C148="","",IF($M148="VAT 5%",0.05,IF($M148="VAT 8%",0.08,IF($M148="VAT 10%",0.1,0))))</f>
        <v/>
      </c>
      <c r="O148" s="13" t="str">
        <f aca="false">IF($C148="","",$L148*$N148)</f>
        <v/>
      </c>
      <c r="P148" s="13" t="str">
        <f aca="false">IF($C148="","",$L148+$O148)</f>
        <v/>
      </c>
      <c r="Q148" s="12"/>
      <c r="R148" s="13" t="str">
        <f aca="false">IF($C148="","",MAX(0,$P148-N($Q148)))</f>
        <v/>
      </c>
      <c r="S148" s="23" t="str">
        <f aca="false">IF(OR($C148="",$P148=0),"",IF(N($Q148)&lt;=0,"Chưa thanh toán",IF(N($Q148)&lt;$P148,"Thanh toán một phần","Đã thanh toán")))</f>
        <v/>
      </c>
      <c r="T148" s="13" t="str">
        <f aca="false">IF(OR($C148="",$J148=""),"",N($I148)*$J148)</f>
        <v/>
      </c>
      <c r="U148" s="13" t="str">
        <f aca="false">IF(OR($C148="",$T148=""),"",$L148-$T148)</f>
        <v/>
      </c>
      <c r="V148" s="14" t="str">
        <f aca="false">IF(OR($U148="",$L148=0),"",$U148/$L148)</f>
        <v/>
      </c>
      <c r="W148" s="11"/>
      <c r="X148" s="23" t="str">
        <f aca="false">IF($C148="","",IF(AND($H148="",N($I148)=0,N($K148)=0),"Dòng chỉ lưu thông tin khách (chưa có đơn); ",IF($B148="","Thiếu ngày đặt; ","")&amp;IF($H148="","Thiếu tên sản phẩm; ",IF($J148="","Chưa khai GIÁ GỐC ở BẢNG GIÁ GỐC; ",""))&amp;IF(N($I148)&lt;=0,"Thiếu số lượng; ","")&amp;IF(N($K148)&lt;=0,"Thiếu giá bán; ","")&amp;IF(AND($N148&gt;0,$F148=""),"Khách lấy VAT thiếu mã số thuế; ","")&amp;IF(N($Q148)&gt;$P148,"Đã thu vượt tổng phải thu; ","")&amp;IF(AND($L148&gt;0,$U148&lt;&gt;"",$U148&lt;0),"CẢNH BÁO: ĐƠN NÀY ĐANG LỖ; ","")))</f>
        <v/>
      </c>
    </row>
    <row r="149" customFormat="false" ht="15" hidden="false" customHeight="false" outlineLevel="0" collapsed="false">
      <c r="A149" s="21" t="str">
        <f aca="false">IF($C149="","",COUNTA($C$10:$C149))</f>
        <v/>
      </c>
      <c r="B149" s="18"/>
      <c r="C149" s="11"/>
      <c r="D149" s="11"/>
      <c r="E149" s="11"/>
      <c r="F149" s="11"/>
      <c r="G149" s="11"/>
      <c r="H149" s="11"/>
      <c r="I149" s="12"/>
      <c r="J149" s="13" t="str">
        <f aca="false">IF($H149="","",IFERROR(VLOOKUP($H149,'BẢNG GIÁ GỐC'!$A$5:$D$254,3,FALSE()),""))</f>
        <v/>
      </c>
      <c r="K149" s="12"/>
      <c r="L149" s="13" t="str">
        <f aca="false">IF($C149="","",N($I149)*N($K149))</f>
        <v/>
      </c>
      <c r="M149" s="11"/>
      <c r="N149" s="14" t="str">
        <f aca="false">IF($C149="","",IF($M149="VAT 5%",0.05,IF($M149="VAT 8%",0.08,IF($M149="VAT 10%",0.1,0))))</f>
        <v/>
      </c>
      <c r="O149" s="13" t="str">
        <f aca="false">IF($C149="","",$L149*$N149)</f>
        <v/>
      </c>
      <c r="P149" s="13" t="str">
        <f aca="false">IF($C149="","",$L149+$O149)</f>
        <v/>
      </c>
      <c r="Q149" s="12"/>
      <c r="R149" s="13" t="str">
        <f aca="false">IF($C149="","",MAX(0,$P149-N($Q149)))</f>
        <v/>
      </c>
      <c r="S149" s="23" t="str">
        <f aca="false">IF(OR($C149="",$P149=0),"",IF(N($Q149)&lt;=0,"Chưa thanh toán",IF(N($Q149)&lt;$P149,"Thanh toán một phần","Đã thanh toán")))</f>
        <v/>
      </c>
      <c r="T149" s="13" t="str">
        <f aca="false">IF(OR($C149="",$J149=""),"",N($I149)*$J149)</f>
        <v/>
      </c>
      <c r="U149" s="13" t="str">
        <f aca="false">IF(OR($C149="",$T149=""),"",$L149-$T149)</f>
        <v/>
      </c>
      <c r="V149" s="14" t="str">
        <f aca="false">IF(OR($U149="",$L149=0),"",$U149/$L149)</f>
        <v/>
      </c>
      <c r="W149" s="11"/>
      <c r="X149" s="23" t="str">
        <f aca="false">IF($C149="","",IF(AND($H149="",N($I149)=0,N($K149)=0),"Dòng chỉ lưu thông tin khách (chưa có đơn); ",IF($B149="","Thiếu ngày đặt; ","")&amp;IF($H149="","Thiếu tên sản phẩm; ",IF($J149="","Chưa khai GIÁ GỐC ở BẢNG GIÁ GỐC; ",""))&amp;IF(N($I149)&lt;=0,"Thiếu số lượng; ","")&amp;IF(N($K149)&lt;=0,"Thiếu giá bán; ","")&amp;IF(AND($N149&gt;0,$F149=""),"Khách lấy VAT thiếu mã số thuế; ","")&amp;IF(N($Q149)&gt;$P149,"Đã thu vượt tổng phải thu; ","")&amp;IF(AND($L149&gt;0,$U149&lt;&gt;"",$U149&lt;0),"CẢNH BÁO: ĐƠN NÀY ĐANG LỖ; ","")))</f>
        <v/>
      </c>
    </row>
    <row r="150" customFormat="false" ht="15" hidden="false" customHeight="false" outlineLevel="0" collapsed="false">
      <c r="A150" s="21" t="str">
        <f aca="false">IF($C150="","",COUNTA($C$10:$C150))</f>
        <v/>
      </c>
      <c r="B150" s="18"/>
      <c r="C150" s="11"/>
      <c r="D150" s="11"/>
      <c r="E150" s="11"/>
      <c r="F150" s="11"/>
      <c r="G150" s="11"/>
      <c r="H150" s="11"/>
      <c r="I150" s="12"/>
      <c r="J150" s="13" t="str">
        <f aca="false">IF($H150="","",IFERROR(VLOOKUP($H150,'BẢNG GIÁ GỐC'!$A$5:$D$254,3,FALSE()),""))</f>
        <v/>
      </c>
      <c r="K150" s="12"/>
      <c r="L150" s="13" t="str">
        <f aca="false">IF($C150="","",N($I150)*N($K150))</f>
        <v/>
      </c>
      <c r="M150" s="11"/>
      <c r="N150" s="14" t="str">
        <f aca="false">IF($C150="","",IF($M150="VAT 5%",0.05,IF($M150="VAT 8%",0.08,IF($M150="VAT 10%",0.1,0))))</f>
        <v/>
      </c>
      <c r="O150" s="13" t="str">
        <f aca="false">IF($C150="","",$L150*$N150)</f>
        <v/>
      </c>
      <c r="P150" s="13" t="str">
        <f aca="false">IF($C150="","",$L150+$O150)</f>
        <v/>
      </c>
      <c r="Q150" s="12"/>
      <c r="R150" s="13" t="str">
        <f aca="false">IF($C150="","",MAX(0,$P150-N($Q150)))</f>
        <v/>
      </c>
      <c r="S150" s="23" t="str">
        <f aca="false">IF(OR($C150="",$P150=0),"",IF(N($Q150)&lt;=0,"Chưa thanh toán",IF(N($Q150)&lt;$P150,"Thanh toán một phần","Đã thanh toán")))</f>
        <v/>
      </c>
      <c r="T150" s="13" t="str">
        <f aca="false">IF(OR($C150="",$J150=""),"",N($I150)*$J150)</f>
        <v/>
      </c>
      <c r="U150" s="13" t="str">
        <f aca="false">IF(OR($C150="",$T150=""),"",$L150-$T150)</f>
        <v/>
      </c>
      <c r="V150" s="14" t="str">
        <f aca="false">IF(OR($U150="",$L150=0),"",$U150/$L150)</f>
        <v/>
      </c>
      <c r="W150" s="11"/>
      <c r="X150" s="23" t="str">
        <f aca="false">IF($C150="","",IF(AND($H150="",N($I150)=0,N($K150)=0),"Dòng chỉ lưu thông tin khách (chưa có đơn); ",IF($B150="","Thiếu ngày đặt; ","")&amp;IF($H150="","Thiếu tên sản phẩm; ",IF($J150="","Chưa khai GIÁ GỐC ở BẢNG GIÁ GỐC; ",""))&amp;IF(N($I150)&lt;=0,"Thiếu số lượng; ","")&amp;IF(N($K150)&lt;=0,"Thiếu giá bán; ","")&amp;IF(AND($N150&gt;0,$F150=""),"Khách lấy VAT thiếu mã số thuế; ","")&amp;IF(N($Q150)&gt;$P150,"Đã thu vượt tổng phải thu; ","")&amp;IF(AND($L150&gt;0,$U150&lt;&gt;"",$U150&lt;0),"CẢNH BÁO: ĐƠN NÀY ĐANG LỖ; ","")))</f>
        <v/>
      </c>
    </row>
    <row r="151" customFormat="false" ht="15" hidden="false" customHeight="false" outlineLevel="0" collapsed="false">
      <c r="A151" s="21" t="str">
        <f aca="false">IF($C151="","",COUNTA($C$10:$C151))</f>
        <v/>
      </c>
      <c r="B151" s="18"/>
      <c r="C151" s="11"/>
      <c r="D151" s="11"/>
      <c r="E151" s="11"/>
      <c r="F151" s="11"/>
      <c r="G151" s="11"/>
      <c r="H151" s="11"/>
      <c r="I151" s="12"/>
      <c r="J151" s="13" t="str">
        <f aca="false">IF($H151="","",IFERROR(VLOOKUP($H151,'BẢNG GIÁ GỐC'!$A$5:$D$254,3,FALSE()),""))</f>
        <v/>
      </c>
      <c r="K151" s="12"/>
      <c r="L151" s="13" t="str">
        <f aca="false">IF($C151="","",N($I151)*N($K151))</f>
        <v/>
      </c>
      <c r="M151" s="11"/>
      <c r="N151" s="14" t="str">
        <f aca="false">IF($C151="","",IF($M151="VAT 5%",0.05,IF($M151="VAT 8%",0.08,IF($M151="VAT 10%",0.1,0))))</f>
        <v/>
      </c>
      <c r="O151" s="13" t="str">
        <f aca="false">IF($C151="","",$L151*$N151)</f>
        <v/>
      </c>
      <c r="P151" s="13" t="str">
        <f aca="false">IF($C151="","",$L151+$O151)</f>
        <v/>
      </c>
      <c r="Q151" s="12"/>
      <c r="R151" s="13" t="str">
        <f aca="false">IF($C151="","",MAX(0,$P151-N($Q151)))</f>
        <v/>
      </c>
      <c r="S151" s="23" t="str">
        <f aca="false">IF(OR($C151="",$P151=0),"",IF(N($Q151)&lt;=0,"Chưa thanh toán",IF(N($Q151)&lt;$P151,"Thanh toán một phần","Đã thanh toán")))</f>
        <v/>
      </c>
      <c r="T151" s="13" t="str">
        <f aca="false">IF(OR($C151="",$J151=""),"",N($I151)*$J151)</f>
        <v/>
      </c>
      <c r="U151" s="13" t="str">
        <f aca="false">IF(OR($C151="",$T151=""),"",$L151-$T151)</f>
        <v/>
      </c>
      <c r="V151" s="14" t="str">
        <f aca="false">IF(OR($U151="",$L151=0),"",$U151/$L151)</f>
        <v/>
      </c>
      <c r="W151" s="11"/>
      <c r="X151" s="23" t="str">
        <f aca="false">IF($C151="","",IF(AND($H151="",N($I151)=0,N($K151)=0),"Dòng chỉ lưu thông tin khách (chưa có đơn); ",IF($B151="","Thiếu ngày đặt; ","")&amp;IF($H151="","Thiếu tên sản phẩm; ",IF($J151="","Chưa khai GIÁ GỐC ở BẢNG GIÁ GỐC; ",""))&amp;IF(N($I151)&lt;=0,"Thiếu số lượng; ","")&amp;IF(N($K151)&lt;=0,"Thiếu giá bán; ","")&amp;IF(AND($N151&gt;0,$F151=""),"Khách lấy VAT thiếu mã số thuế; ","")&amp;IF(N($Q151)&gt;$P151,"Đã thu vượt tổng phải thu; ","")&amp;IF(AND($L151&gt;0,$U151&lt;&gt;"",$U151&lt;0),"CẢNH BÁO: ĐƠN NÀY ĐANG LỖ; ","")))</f>
        <v/>
      </c>
    </row>
    <row r="152" customFormat="false" ht="15" hidden="false" customHeight="false" outlineLevel="0" collapsed="false">
      <c r="A152" s="21" t="str">
        <f aca="false">IF($C152="","",COUNTA($C$10:$C152))</f>
        <v/>
      </c>
      <c r="B152" s="18"/>
      <c r="C152" s="11"/>
      <c r="D152" s="11"/>
      <c r="E152" s="11"/>
      <c r="F152" s="11"/>
      <c r="G152" s="11"/>
      <c r="H152" s="11"/>
      <c r="I152" s="12"/>
      <c r="J152" s="13" t="str">
        <f aca="false">IF($H152="","",IFERROR(VLOOKUP($H152,'BẢNG GIÁ GỐC'!$A$5:$D$254,3,FALSE()),""))</f>
        <v/>
      </c>
      <c r="K152" s="12"/>
      <c r="L152" s="13" t="str">
        <f aca="false">IF($C152="","",N($I152)*N($K152))</f>
        <v/>
      </c>
      <c r="M152" s="11"/>
      <c r="N152" s="14" t="str">
        <f aca="false">IF($C152="","",IF($M152="VAT 5%",0.05,IF($M152="VAT 8%",0.08,IF($M152="VAT 10%",0.1,0))))</f>
        <v/>
      </c>
      <c r="O152" s="13" t="str">
        <f aca="false">IF($C152="","",$L152*$N152)</f>
        <v/>
      </c>
      <c r="P152" s="13" t="str">
        <f aca="false">IF($C152="","",$L152+$O152)</f>
        <v/>
      </c>
      <c r="Q152" s="12"/>
      <c r="R152" s="13" t="str">
        <f aca="false">IF($C152="","",MAX(0,$P152-N($Q152)))</f>
        <v/>
      </c>
      <c r="S152" s="23" t="str">
        <f aca="false">IF(OR($C152="",$P152=0),"",IF(N($Q152)&lt;=0,"Chưa thanh toán",IF(N($Q152)&lt;$P152,"Thanh toán một phần","Đã thanh toán")))</f>
        <v/>
      </c>
      <c r="T152" s="13" t="str">
        <f aca="false">IF(OR($C152="",$J152=""),"",N($I152)*$J152)</f>
        <v/>
      </c>
      <c r="U152" s="13" t="str">
        <f aca="false">IF(OR($C152="",$T152=""),"",$L152-$T152)</f>
        <v/>
      </c>
      <c r="V152" s="14" t="str">
        <f aca="false">IF(OR($U152="",$L152=0),"",$U152/$L152)</f>
        <v/>
      </c>
      <c r="W152" s="11"/>
      <c r="X152" s="23" t="str">
        <f aca="false">IF($C152="","",IF(AND($H152="",N($I152)=0,N($K152)=0),"Dòng chỉ lưu thông tin khách (chưa có đơn); ",IF($B152="","Thiếu ngày đặt; ","")&amp;IF($H152="","Thiếu tên sản phẩm; ",IF($J152="","Chưa khai GIÁ GỐC ở BẢNG GIÁ GỐC; ",""))&amp;IF(N($I152)&lt;=0,"Thiếu số lượng; ","")&amp;IF(N($K152)&lt;=0,"Thiếu giá bán; ","")&amp;IF(AND($N152&gt;0,$F152=""),"Khách lấy VAT thiếu mã số thuế; ","")&amp;IF(N($Q152)&gt;$P152,"Đã thu vượt tổng phải thu; ","")&amp;IF(AND($L152&gt;0,$U152&lt;&gt;"",$U152&lt;0),"CẢNH BÁO: ĐƠN NÀY ĐANG LỖ; ","")))</f>
        <v/>
      </c>
    </row>
    <row r="153" customFormat="false" ht="15" hidden="false" customHeight="false" outlineLevel="0" collapsed="false">
      <c r="A153" s="21" t="str">
        <f aca="false">IF($C153="","",COUNTA($C$10:$C153))</f>
        <v/>
      </c>
      <c r="B153" s="18"/>
      <c r="C153" s="11"/>
      <c r="D153" s="11"/>
      <c r="E153" s="11"/>
      <c r="F153" s="11"/>
      <c r="G153" s="11"/>
      <c r="H153" s="11"/>
      <c r="I153" s="12"/>
      <c r="J153" s="13" t="str">
        <f aca="false">IF($H153="","",IFERROR(VLOOKUP($H153,'BẢNG GIÁ GỐC'!$A$5:$D$254,3,FALSE()),""))</f>
        <v/>
      </c>
      <c r="K153" s="12"/>
      <c r="L153" s="13" t="str">
        <f aca="false">IF($C153="","",N($I153)*N($K153))</f>
        <v/>
      </c>
      <c r="M153" s="11"/>
      <c r="N153" s="14" t="str">
        <f aca="false">IF($C153="","",IF($M153="VAT 5%",0.05,IF($M153="VAT 8%",0.08,IF($M153="VAT 10%",0.1,0))))</f>
        <v/>
      </c>
      <c r="O153" s="13" t="str">
        <f aca="false">IF($C153="","",$L153*$N153)</f>
        <v/>
      </c>
      <c r="P153" s="13" t="str">
        <f aca="false">IF($C153="","",$L153+$O153)</f>
        <v/>
      </c>
      <c r="Q153" s="12"/>
      <c r="R153" s="13" t="str">
        <f aca="false">IF($C153="","",MAX(0,$P153-N($Q153)))</f>
        <v/>
      </c>
      <c r="S153" s="23" t="str">
        <f aca="false">IF(OR($C153="",$P153=0),"",IF(N($Q153)&lt;=0,"Chưa thanh toán",IF(N($Q153)&lt;$P153,"Thanh toán một phần","Đã thanh toán")))</f>
        <v/>
      </c>
      <c r="T153" s="13" t="str">
        <f aca="false">IF(OR($C153="",$J153=""),"",N($I153)*$J153)</f>
        <v/>
      </c>
      <c r="U153" s="13" t="str">
        <f aca="false">IF(OR($C153="",$T153=""),"",$L153-$T153)</f>
        <v/>
      </c>
      <c r="V153" s="14" t="str">
        <f aca="false">IF(OR($U153="",$L153=0),"",$U153/$L153)</f>
        <v/>
      </c>
      <c r="W153" s="11"/>
      <c r="X153" s="23" t="str">
        <f aca="false">IF($C153="","",IF(AND($H153="",N($I153)=0,N($K153)=0),"Dòng chỉ lưu thông tin khách (chưa có đơn); ",IF($B153="","Thiếu ngày đặt; ","")&amp;IF($H153="","Thiếu tên sản phẩm; ",IF($J153="","Chưa khai GIÁ GỐC ở BẢNG GIÁ GỐC; ",""))&amp;IF(N($I153)&lt;=0,"Thiếu số lượng; ","")&amp;IF(N($K153)&lt;=0,"Thiếu giá bán; ","")&amp;IF(AND($N153&gt;0,$F153=""),"Khách lấy VAT thiếu mã số thuế; ","")&amp;IF(N($Q153)&gt;$P153,"Đã thu vượt tổng phải thu; ","")&amp;IF(AND($L153&gt;0,$U153&lt;&gt;"",$U153&lt;0),"CẢNH BÁO: ĐƠN NÀY ĐANG LỖ; ","")))</f>
        <v/>
      </c>
    </row>
    <row r="154" customFormat="false" ht="15" hidden="false" customHeight="false" outlineLevel="0" collapsed="false">
      <c r="A154" s="21" t="str">
        <f aca="false">IF($C154="","",COUNTA($C$10:$C154))</f>
        <v/>
      </c>
      <c r="B154" s="18"/>
      <c r="C154" s="11"/>
      <c r="D154" s="11"/>
      <c r="E154" s="11"/>
      <c r="F154" s="11"/>
      <c r="G154" s="11"/>
      <c r="H154" s="11"/>
      <c r="I154" s="12"/>
      <c r="J154" s="13" t="str">
        <f aca="false">IF($H154="","",IFERROR(VLOOKUP($H154,'BẢNG GIÁ GỐC'!$A$5:$D$254,3,FALSE()),""))</f>
        <v/>
      </c>
      <c r="K154" s="12"/>
      <c r="L154" s="13" t="str">
        <f aca="false">IF($C154="","",N($I154)*N($K154))</f>
        <v/>
      </c>
      <c r="M154" s="11"/>
      <c r="N154" s="14" t="str">
        <f aca="false">IF($C154="","",IF($M154="VAT 5%",0.05,IF($M154="VAT 8%",0.08,IF($M154="VAT 10%",0.1,0))))</f>
        <v/>
      </c>
      <c r="O154" s="13" t="str">
        <f aca="false">IF($C154="","",$L154*$N154)</f>
        <v/>
      </c>
      <c r="P154" s="13" t="str">
        <f aca="false">IF($C154="","",$L154+$O154)</f>
        <v/>
      </c>
      <c r="Q154" s="12"/>
      <c r="R154" s="13" t="str">
        <f aca="false">IF($C154="","",MAX(0,$P154-N($Q154)))</f>
        <v/>
      </c>
      <c r="S154" s="23" t="str">
        <f aca="false">IF(OR($C154="",$P154=0),"",IF(N($Q154)&lt;=0,"Chưa thanh toán",IF(N($Q154)&lt;$P154,"Thanh toán một phần","Đã thanh toán")))</f>
        <v/>
      </c>
      <c r="T154" s="13" t="str">
        <f aca="false">IF(OR($C154="",$J154=""),"",N($I154)*$J154)</f>
        <v/>
      </c>
      <c r="U154" s="13" t="str">
        <f aca="false">IF(OR($C154="",$T154=""),"",$L154-$T154)</f>
        <v/>
      </c>
      <c r="V154" s="14" t="str">
        <f aca="false">IF(OR($U154="",$L154=0),"",$U154/$L154)</f>
        <v/>
      </c>
      <c r="W154" s="11"/>
      <c r="X154" s="23" t="str">
        <f aca="false">IF($C154="","",IF(AND($H154="",N($I154)=0,N($K154)=0),"Dòng chỉ lưu thông tin khách (chưa có đơn); ",IF($B154="","Thiếu ngày đặt; ","")&amp;IF($H154="","Thiếu tên sản phẩm; ",IF($J154="","Chưa khai GIÁ GỐC ở BẢNG GIÁ GỐC; ",""))&amp;IF(N($I154)&lt;=0,"Thiếu số lượng; ","")&amp;IF(N($K154)&lt;=0,"Thiếu giá bán; ","")&amp;IF(AND($N154&gt;0,$F154=""),"Khách lấy VAT thiếu mã số thuế; ","")&amp;IF(N($Q154)&gt;$P154,"Đã thu vượt tổng phải thu; ","")&amp;IF(AND($L154&gt;0,$U154&lt;&gt;"",$U154&lt;0),"CẢNH BÁO: ĐƠN NÀY ĐANG LỖ; ","")))</f>
        <v/>
      </c>
    </row>
    <row r="155" customFormat="false" ht="15" hidden="false" customHeight="false" outlineLevel="0" collapsed="false">
      <c r="A155" s="21" t="str">
        <f aca="false">IF($C155="","",COUNTA($C$10:$C155))</f>
        <v/>
      </c>
      <c r="B155" s="18"/>
      <c r="C155" s="11"/>
      <c r="D155" s="11"/>
      <c r="E155" s="11"/>
      <c r="F155" s="11"/>
      <c r="G155" s="11"/>
      <c r="H155" s="11"/>
      <c r="I155" s="12"/>
      <c r="J155" s="13" t="str">
        <f aca="false">IF($H155="","",IFERROR(VLOOKUP($H155,'BẢNG GIÁ GỐC'!$A$5:$D$254,3,FALSE()),""))</f>
        <v/>
      </c>
      <c r="K155" s="12"/>
      <c r="L155" s="13" t="str">
        <f aca="false">IF($C155="","",N($I155)*N($K155))</f>
        <v/>
      </c>
      <c r="M155" s="11"/>
      <c r="N155" s="14" t="str">
        <f aca="false">IF($C155="","",IF($M155="VAT 5%",0.05,IF($M155="VAT 8%",0.08,IF($M155="VAT 10%",0.1,0))))</f>
        <v/>
      </c>
      <c r="O155" s="13" t="str">
        <f aca="false">IF($C155="","",$L155*$N155)</f>
        <v/>
      </c>
      <c r="P155" s="13" t="str">
        <f aca="false">IF($C155="","",$L155+$O155)</f>
        <v/>
      </c>
      <c r="Q155" s="12"/>
      <c r="R155" s="13" t="str">
        <f aca="false">IF($C155="","",MAX(0,$P155-N($Q155)))</f>
        <v/>
      </c>
      <c r="S155" s="23" t="str">
        <f aca="false">IF(OR($C155="",$P155=0),"",IF(N($Q155)&lt;=0,"Chưa thanh toán",IF(N($Q155)&lt;$P155,"Thanh toán một phần","Đã thanh toán")))</f>
        <v/>
      </c>
      <c r="T155" s="13" t="str">
        <f aca="false">IF(OR($C155="",$J155=""),"",N($I155)*$J155)</f>
        <v/>
      </c>
      <c r="U155" s="13" t="str">
        <f aca="false">IF(OR($C155="",$T155=""),"",$L155-$T155)</f>
        <v/>
      </c>
      <c r="V155" s="14" t="str">
        <f aca="false">IF(OR($U155="",$L155=0),"",$U155/$L155)</f>
        <v/>
      </c>
      <c r="W155" s="11"/>
      <c r="X155" s="23" t="str">
        <f aca="false">IF($C155="","",IF(AND($H155="",N($I155)=0,N($K155)=0),"Dòng chỉ lưu thông tin khách (chưa có đơn); ",IF($B155="","Thiếu ngày đặt; ","")&amp;IF($H155="","Thiếu tên sản phẩm; ",IF($J155="","Chưa khai GIÁ GỐC ở BẢNG GIÁ GỐC; ",""))&amp;IF(N($I155)&lt;=0,"Thiếu số lượng; ","")&amp;IF(N($K155)&lt;=0,"Thiếu giá bán; ","")&amp;IF(AND($N155&gt;0,$F155=""),"Khách lấy VAT thiếu mã số thuế; ","")&amp;IF(N($Q155)&gt;$P155,"Đã thu vượt tổng phải thu; ","")&amp;IF(AND($L155&gt;0,$U155&lt;&gt;"",$U155&lt;0),"CẢNH BÁO: ĐƠN NÀY ĐANG LỖ; ","")))</f>
        <v/>
      </c>
    </row>
    <row r="156" customFormat="false" ht="15" hidden="false" customHeight="false" outlineLevel="0" collapsed="false">
      <c r="A156" s="21" t="str">
        <f aca="false">IF($C156="","",COUNTA($C$10:$C156))</f>
        <v/>
      </c>
      <c r="B156" s="18"/>
      <c r="C156" s="11"/>
      <c r="D156" s="11"/>
      <c r="E156" s="11"/>
      <c r="F156" s="11"/>
      <c r="G156" s="11"/>
      <c r="H156" s="11"/>
      <c r="I156" s="12"/>
      <c r="J156" s="13" t="str">
        <f aca="false">IF($H156="","",IFERROR(VLOOKUP($H156,'BẢNG GIÁ GỐC'!$A$5:$D$254,3,FALSE()),""))</f>
        <v/>
      </c>
      <c r="K156" s="12"/>
      <c r="L156" s="13" t="str">
        <f aca="false">IF($C156="","",N($I156)*N($K156))</f>
        <v/>
      </c>
      <c r="M156" s="11"/>
      <c r="N156" s="14" t="str">
        <f aca="false">IF($C156="","",IF($M156="VAT 5%",0.05,IF($M156="VAT 8%",0.08,IF($M156="VAT 10%",0.1,0))))</f>
        <v/>
      </c>
      <c r="O156" s="13" t="str">
        <f aca="false">IF($C156="","",$L156*$N156)</f>
        <v/>
      </c>
      <c r="P156" s="13" t="str">
        <f aca="false">IF($C156="","",$L156+$O156)</f>
        <v/>
      </c>
      <c r="Q156" s="12"/>
      <c r="R156" s="13" t="str">
        <f aca="false">IF($C156="","",MAX(0,$P156-N($Q156)))</f>
        <v/>
      </c>
      <c r="S156" s="23" t="str">
        <f aca="false">IF(OR($C156="",$P156=0),"",IF(N($Q156)&lt;=0,"Chưa thanh toán",IF(N($Q156)&lt;$P156,"Thanh toán một phần","Đã thanh toán")))</f>
        <v/>
      </c>
      <c r="T156" s="13" t="str">
        <f aca="false">IF(OR($C156="",$J156=""),"",N($I156)*$J156)</f>
        <v/>
      </c>
      <c r="U156" s="13" t="str">
        <f aca="false">IF(OR($C156="",$T156=""),"",$L156-$T156)</f>
        <v/>
      </c>
      <c r="V156" s="14" t="str">
        <f aca="false">IF(OR($U156="",$L156=0),"",$U156/$L156)</f>
        <v/>
      </c>
      <c r="W156" s="11"/>
      <c r="X156" s="23" t="str">
        <f aca="false">IF($C156="","",IF(AND($H156="",N($I156)=0,N($K156)=0),"Dòng chỉ lưu thông tin khách (chưa có đơn); ",IF($B156="","Thiếu ngày đặt; ","")&amp;IF($H156="","Thiếu tên sản phẩm; ",IF($J156="","Chưa khai GIÁ GỐC ở BẢNG GIÁ GỐC; ",""))&amp;IF(N($I156)&lt;=0,"Thiếu số lượng; ","")&amp;IF(N($K156)&lt;=0,"Thiếu giá bán; ","")&amp;IF(AND($N156&gt;0,$F156=""),"Khách lấy VAT thiếu mã số thuế; ","")&amp;IF(N($Q156)&gt;$P156,"Đã thu vượt tổng phải thu; ","")&amp;IF(AND($L156&gt;0,$U156&lt;&gt;"",$U156&lt;0),"CẢNH BÁO: ĐƠN NÀY ĐANG LỖ; ","")))</f>
        <v/>
      </c>
    </row>
    <row r="157" customFormat="false" ht="15" hidden="false" customHeight="false" outlineLevel="0" collapsed="false">
      <c r="A157" s="21" t="str">
        <f aca="false">IF($C157="","",COUNTA($C$10:$C157))</f>
        <v/>
      </c>
      <c r="B157" s="18"/>
      <c r="C157" s="11"/>
      <c r="D157" s="11"/>
      <c r="E157" s="11"/>
      <c r="F157" s="11"/>
      <c r="G157" s="11"/>
      <c r="H157" s="11"/>
      <c r="I157" s="12"/>
      <c r="J157" s="13" t="str">
        <f aca="false">IF($H157="","",IFERROR(VLOOKUP($H157,'BẢNG GIÁ GỐC'!$A$5:$D$254,3,FALSE()),""))</f>
        <v/>
      </c>
      <c r="K157" s="12"/>
      <c r="L157" s="13" t="str">
        <f aca="false">IF($C157="","",N($I157)*N($K157))</f>
        <v/>
      </c>
      <c r="M157" s="11"/>
      <c r="N157" s="14" t="str">
        <f aca="false">IF($C157="","",IF($M157="VAT 5%",0.05,IF($M157="VAT 8%",0.08,IF($M157="VAT 10%",0.1,0))))</f>
        <v/>
      </c>
      <c r="O157" s="13" t="str">
        <f aca="false">IF($C157="","",$L157*$N157)</f>
        <v/>
      </c>
      <c r="P157" s="13" t="str">
        <f aca="false">IF($C157="","",$L157+$O157)</f>
        <v/>
      </c>
      <c r="Q157" s="12"/>
      <c r="R157" s="13" t="str">
        <f aca="false">IF($C157="","",MAX(0,$P157-N($Q157)))</f>
        <v/>
      </c>
      <c r="S157" s="23" t="str">
        <f aca="false">IF(OR($C157="",$P157=0),"",IF(N($Q157)&lt;=0,"Chưa thanh toán",IF(N($Q157)&lt;$P157,"Thanh toán một phần","Đã thanh toán")))</f>
        <v/>
      </c>
      <c r="T157" s="13" t="str">
        <f aca="false">IF(OR($C157="",$J157=""),"",N($I157)*$J157)</f>
        <v/>
      </c>
      <c r="U157" s="13" t="str">
        <f aca="false">IF(OR($C157="",$T157=""),"",$L157-$T157)</f>
        <v/>
      </c>
      <c r="V157" s="14" t="str">
        <f aca="false">IF(OR($U157="",$L157=0),"",$U157/$L157)</f>
        <v/>
      </c>
      <c r="W157" s="11"/>
      <c r="X157" s="23" t="str">
        <f aca="false">IF($C157="","",IF(AND($H157="",N($I157)=0,N($K157)=0),"Dòng chỉ lưu thông tin khách (chưa có đơn); ",IF($B157="","Thiếu ngày đặt; ","")&amp;IF($H157="","Thiếu tên sản phẩm; ",IF($J157="","Chưa khai GIÁ GỐC ở BẢNG GIÁ GỐC; ",""))&amp;IF(N($I157)&lt;=0,"Thiếu số lượng; ","")&amp;IF(N($K157)&lt;=0,"Thiếu giá bán; ","")&amp;IF(AND($N157&gt;0,$F157=""),"Khách lấy VAT thiếu mã số thuế; ","")&amp;IF(N($Q157)&gt;$P157,"Đã thu vượt tổng phải thu; ","")&amp;IF(AND($L157&gt;0,$U157&lt;&gt;"",$U157&lt;0),"CẢNH BÁO: ĐƠN NÀY ĐANG LỖ; ","")))</f>
        <v/>
      </c>
    </row>
    <row r="158" customFormat="false" ht="15" hidden="false" customHeight="false" outlineLevel="0" collapsed="false">
      <c r="A158" s="21" t="str">
        <f aca="false">IF($C158="","",COUNTA($C$10:$C158))</f>
        <v/>
      </c>
      <c r="B158" s="18"/>
      <c r="C158" s="11"/>
      <c r="D158" s="11"/>
      <c r="E158" s="11"/>
      <c r="F158" s="11"/>
      <c r="G158" s="11"/>
      <c r="H158" s="11"/>
      <c r="I158" s="12"/>
      <c r="J158" s="13" t="str">
        <f aca="false">IF($H158="","",IFERROR(VLOOKUP($H158,'BẢNG GIÁ GỐC'!$A$5:$D$254,3,FALSE()),""))</f>
        <v/>
      </c>
      <c r="K158" s="12"/>
      <c r="L158" s="13" t="str">
        <f aca="false">IF($C158="","",N($I158)*N($K158))</f>
        <v/>
      </c>
      <c r="M158" s="11"/>
      <c r="N158" s="14" t="str">
        <f aca="false">IF($C158="","",IF($M158="VAT 5%",0.05,IF($M158="VAT 8%",0.08,IF($M158="VAT 10%",0.1,0))))</f>
        <v/>
      </c>
      <c r="O158" s="13" t="str">
        <f aca="false">IF($C158="","",$L158*$N158)</f>
        <v/>
      </c>
      <c r="P158" s="13" t="str">
        <f aca="false">IF($C158="","",$L158+$O158)</f>
        <v/>
      </c>
      <c r="Q158" s="12"/>
      <c r="R158" s="13" t="str">
        <f aca="false">IF($C158="","",MAX(0,$P158-N($Q158)))</f>
        <v/>
      </c>
      <c r="S158" s="23" t="str">
        <f aca="false">IF(OR($C158="",$P158=0),"",IF(N($Q158)&lt;=0,"Chưa thanh toán",IF(N($Q158)&lt;$P158,"Thanh toán một phần","Đã thanh toán")))</f>
        <v/>
      </c>
      <c r="T158" s="13" t="str">
        <f aca="false">IF(OR($C158="",$J158=""),"",N($I158)*$J158)</f>
        <v/>
      </c>
      <c r="U158" s="13" t="str">
        <f aca="false">IF(OR($C158="",$T158=""),"",$L158-$T158)</f>
        <v/>
      </c>
      <c r="V158" s="14" t="str">
        <f aca="false">IF(OR($U158="",$L158=0),"",$U158/$L158)</f>
        <v/>
      </c>
      <c r="W158" s="11"/>
      <c r="X158" s="23" t="str">
        <f aca="false">IF($C158="","",IF(AND($H158="",N($I158)=0,N($K158)=0),"Dòng chỉ lưu thông tin khách (chưa có đơn); ",IF($B158="","Thiếu ngày đặt; ","")&amp;IF($H158="","Thiếu tên sản phẩm; ",IF($J158="","Chưa khai GIÁ GỐC ở BẢNG GIÁ GỐC; ",""))&amp;IF(N($I158)&lt;=0,"Thiếu số lượng; ","")&amp;IF(N($K158)&lt;=0,"Thiếu giá bán; ","")&amp;IF(AND($N158&gt;0,$F158=""),"Khách lấy VAT thiếu mã số thuế; ","")&amp;IF(N($Q158)&gt;$P158,"Đã thu vượt tổng phải thu; ","")&amp;IF(AND($L158&gt;0,$U158&lt;&gt;"",$U158&lt;0),"CẢNH BÁO: ĐƠN NÀY ĐANG LỖ; ","")))</f>
        <v/>
      </c>
    </row>
    <row r="159" customFormat="false" ht="15" hidden="false" customHeight="false" outlineLevel="0" collapsed="false">
      <c r="A159" s="21" t="str">
        <f aca="false">IF($C159="","",COUNTA($C$10:$C159))</f>
        <v/>
      </c>
      <c r="B159" s="18"/>
      <c r="C159" s="11"/>
      <c r="D159" s="11"/>
      <c r="E159" s="11"/>
      <c r="F159" s="11"/>
      <c r="G159" s="11"/>
      <c r="H159" s="11"/>
      <c r="I159" s="12"/>
      <c r="J159" s="13" t="str">
        <f aca="false">IF($H159="","",IFERROR(VLOOKUP($H159,'BẢNG GIÁ GỐC'!$A$5:$D$254,3,FALSE()),""))</f>
        <v/>
      </c>
      <c r="K159" s="12"/>
      <c r="L159" s="13" t="str">
        <f aca="false">IF($C159="","",N($I159)*N($K159))</f>
        <v/>
      </c>
      <c r="M159" s="11"/>
      <c r="N159" s="14" t="str">
        <f aca="false">IF($C159="","",IF($M159="VAT 5%",0.05,IF($M159="VAT 8%",0.08,IF($M159="VAT 10%",0.1,0))))</f>
        <v/>
      </c>
      <c r="O159" s="13" t="str">
        <f aca="false">IF($C159="","",$L159*$N159)</f>
        <v/>
      </c>
      <c r="P159" s="13" t="str">
        <f aca="false">IF($C159="","",$L159+$O159)</f>
        <v/>
      </c>
      <c r="Q159" s="12"/>
      <c r="R159" s="13" t="str">
        <f aca="false">IF($C159="","",MAX(0,$P159-N($Q159)))</f>
        <v/>
      </c>
      <c r="S159" s="23" t="str">
        <f aca="false">IF(OR($C159="",$P159=0),"",IF(N($Q159)&lt;=0,"Chưa thanh toán",IF(N($Q159)&lt;$P159,"Thanh toán một phần","Đã thanh toán")))</f>
        <v/>
      </c>
      <c r="T159" s="13" t="str">
        <f aca="false">IF(OR($C159="",$J159=""),"",N($I159)*$J159)</f>
        <v/>
      </c>
      <c r="U159" s="13" t="str">
        <f aca="false">IF(OR($C159="",$T159=""),"",$L159-$T159)</f>
        <v/>
      </c>
      <c r="V159" s="14" t="str">
        <f aca="false">IF(OR($U159="",$L159=0),"",$U159/$L159)</f>
        <v/>
      </c>
      <c r="W159" s="11"/>
      <c r="X159" s="23" t="str">
        <f aca="false">IF($C159="","",IF(AND($H159="",N($I159)=0,N($K159)=0),"Dòng chỉ lưu thông tin khách (chưa có đơn); ",IF($B159="","Thiếu ngày đặt; ","")&amp;IF($H159="","Thiếu tên sản phẩm; ",IF($J159="","Chưa khai GIÁ GỐC ở BẢNG GIÁ GỐC; ",""))&amp;IF(N($I159)&lt;=0,"Thiếu số lượng; ","")&amp;IF(N($K159)&lt;=0,"Thiếu giá bán; ","")&amp;IF(AND($N159&gt;0,$F159=""),"Khách lấy VAT thiếu mã số thuế; ","")&amp;IF(N($Q159)&gt;$P159,"Đã thu vượt tổng phải thu; ","")&amp;IF(AND($L159&gt;0,$U159&lt;&gt;"",$U159&lt;0),"CẢNH BÁO: ĐƠN NÀY ĐANG LỖ; ","")))</f>
        <v/>
      </c>
    </row>
  </sheetData>
  <autoFilter ref="A9:X159"/>
  <mergeCells count="35">
    <mergeCell ref="A1:X1"/>
    <mergeCell ref="A2:X2"/>
    <mergeCell ref="A3:C3"/>
    <mergeCell ref="D3:E3"/>
    <mergeCell ref="F3:H3"/>
    <mergeCell ref="I3:K3"/>
    <mergeCell ref="L3:O3"/>
    <mergeCell ref="P3:R3"/>
    <mergeCell ref="Z3:AD3"/>
    <mergeCell ref="A4:C4"/>
    <mergeCell ref="D4:E4"/>
    <mergeCell ref="F4:H4"/>
    <mergeCell ref="I4:K4"/>
    <mergeCell ref="L4:O4"/>
    <mergeCell ref="P4:R4"/>
    <mergeCell ref="A5:C5"/>
    <mergeCell ref="D5:E5"/>
    <mergeCell ref="F5:H5"/>
    <mergeCell ref="I5:K5"/>
    <mergeCell ref="L5:O5"/>
    <mergeCell ref="P5:R5"/>
    <mergeCell ref="A6:C6"/>
    <mergeCell ref="D6:E6"/>
    <mergeCell ref="F6:H6"/>
    <mergeCell ref="I6:K6"/>
    <mergeCell ref="L6:O6"/>
    <mergeCell ref="P6:R6"/>
    <mergeCell ref="A7:C7"/>
    <mergeCell ref="D7:E7"/>
    <mergeCell ref="F7:H7"/>
    <mergeCell ref="I7:K7"/>
    <mergeCell ref="L7:O7"/>
    <mergeCell ref="P7:R7"/>
    <mergeCell ref="A8:X8"/>
    <mergeCell ref="Z25:AB25"/>
  </mergeCells>
  <conditionalFormatting sqref="R10:R159">
    <cfRule type="cellIs" priority="2" operator="greaterThan" aboveAverage="0" equalAverage="0" bottom="0" percent="0" rank="0" text="" dxfId="8">
      <formula>0</formula>
    </cfRule>
  </conditionalFormatting>
  <conditionalFormatting sqref="U10:U159">
    <cfRule type="cellIs" priority="3" operator="lessThan" aboveAverage="0" equalAverage="0" bottom="0" percent="0" rank="0" text="" dxfId="8">
      <formula>0</formula>
    </cfRule>
  </conditionalFormatting>
  <conditionalFormatting sqref="X10:X159">
    <cfRule type="expression" priority="4" aboveAverage="0" equalAverage="0" bottom="0" percent="0" rank="0" text="" dxfId="13">
      <formula>LEN($X10)&gt;0</formula>
    </cfRule>
  </conditionalFormatting>
  <conditionalFormatting sqref="S10:S159">
    <cfRule type="expression" priority="5" aboveAverage="0" equalAverage="0" bottom="0" percent="0" rank="0" text="" dxfId="14">
      <formula>$S10="Đã thanh toán"</formula>
    </cfRule>
  </conditionalFormatting>
  <dataValidations count="5">
    <dataValidation allowBlank="true" error="Chỉ nhập số, không nhập chữ và không nhập số âm." errorStyle="stop" errorTitle="Số không hợp lệ" operator="greaterThanOrEqual" showDropDown="false" showErrorMessage="false" showInputMessage="false" sqref="AC5:AC24 I10:I159 K10:K159 Q10:Q159" type="decimal">
      <formula1>0</formula1>
      <formula2>0</formula2>
    </dataValidation>
    <dataValidation allowBlank="true" error="Hãy chọn sản phẩm có trong sheet BẢNG GIÁ GỐC, hoặc thêm sản phẩm đó vào BẢNG GIÁ GỐC trước." errorStyle="stop" errorTitle="Sản phẩm chưa có trong bảng giá" operator="between" showDropDown="false" showErrorMessage="false" showInputMessage="false" sqref="H10:H159" type="list">
      <formula1>DS_SANPHAM</formula1>
      <formula2>0</formula2>
    </dataValidation>
    <dataValidation allowBlank="true" errorStyle="stop" operator="between" showDropDown="false" showErrorMessage="false" showInputMessage="false" sqref="M10:M159" type="list">
      <formula1>"Không lấy VAT,VAT 5%,VAT 8%,VAT 10%"</formula1>
      <formula2>0</formula2>
    </dataValidation>
    <dataValidation allowBlank="true" errorStyle="stop" operator="between" showDropDown="false" showErrorMessage="false" showInputMessage="false" sqref="AA5:AA24" type="list">
      <formula1>"Tiền ship,Nguyên vật liệu,Nhân công,Quảng cáo,Thuê kho bãi,Điện nước,Đổi trả - bồi thường,Chi phí khác"</formula1>
      <formula2>0</formula2>
    </dataValidation>
    <dataValidation allowBlank="true" errorStyle="stop" operator="between" showDropDown="false" showErrorMessage="false" showInputMessage="false" sqref="Z5:Z24 B10:B159" type="date">
      <formula1>DATE(2020,1,1)</formula1>
      <formula2>DATE(2100,12,31)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D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0"/>
    <col collapsed="false" customWidth="true" hidden="false" outlineLevel="0" max="4" min="4" style="0" width="14"/>
    <col collapsed="false" customWidth="true" hidden="false" outlineLevel="0" max="5" min="5" style="0" width="30"/>
    <col collapsed="false" customWidth="true" hidden="false" outlineLevel="0" max="6" min="6" style="0" width="16"/>
    <col collapsed="false" customWidth="true" hidden="false" outlineLevel="0" max="8" min="7" style="0" width="34"/>
    <col collapsed="false" customWidth="true" hidden="false" outlineLevel="0" max="9" min="9" style="0" width="10"/>
    <col collapsed="false" customWidth="true" hidden="false" outlineLevel="0" max="10" min="10" style="0" width="14"/>
    <col collapsed="false" customWidth="true" hidden="false" outlineLevel="0" max="13" min="11" style="0" width="15"/>
    <col collapsed="false" customWidth="true" hidden="false" outlineLevel="0" max="14" min="14" style="0" width="10"/>
    <col collapsed="false" customWidth="true" hidden="false" outlineLevel="0" max="15" min="15" style="0" width="13"/>
    <col collapsed="false" customWidth="true" hidden="false" outlineLevel="0" max="17" min="16" style="0" width="16"/>
    <col collapsed="false" customWidth="true" hidden="false" outlineLevel="0" max="18" min="18" style="0" width="14"/>
    <col collapsed="false" customWidth="true" hidden="false" outlineLevel="0" max="19" min="19" style="0" width="18"/>
    <col collapsed="false" customWidth="true" hidden="false" outlineLevel="0" max="21" min="20" style="0" width="14"/>
    <col collapsed="false" customWidth="true" hidden="false" outlineLevel="0" max="22" min="22" style="0" width="9"/>
    <col collapsed="false" customWidth="true" hidden="false" outlineLevel="0" max="23" min="23" style="0" width="28"/>
    <col collapsed="false" customWidth="true" hidden="false" outlineLevel="0" max="24" min="24" style="0" width="38"/>
    <col collapsed="false" customWidth="true" hidden="false" outlineLevel="0" max="26" min="26" style="0" width="12"/>
    <col collapsed="false" customWidth="true" hidden="false" outlineLevel="0" max="27" min="27" style="0" width="22"/>
    <col collapsed="false" customWidth="true" hidden="false" outlineLevel="0" max="28" min="28" style="0" width="34"/>
    <col collapsed="false" customWidth="true" hidden="false" outlineLevel="0" max="29" min="29" style="0" width="16"/>
    <col collapsed="false" customWidth="true" hidden="false" outlineLevel="0" max="30" min="30" style="0" width="28"/>
  </cols>
  <sheetData>
    <row r="1" customFormat="false" ht="27.75" hidden="false" customHeight="true" outlineLevel="0" collapsed="false">
      <c r="A1" s="1" t="s">
        <v>178</v>
      </c>
      <c r="B1" s="1"/>
      <c r="C1" s="1"/>
      <c r="D1" s="1"/>
      <c r="E1" s="1"/>
      <c r="F1" s="1"/>
      <c r="G1" s="1"/>
      <c r="H1" s="1"/>
      <c r="I1" s="1"/>
      <c r="J1" s="1"/>
      <c r="K1" s="1"/>
      <c r="L1" s="1"/>
      <c r="M1" s="1"/>
      <c r="N1" s="1"/>
      <c r="O1" s="1"/>
      <c r="P1" s="1"/>
      <c r="Q1" s="1"/>
      <c r="R1" s="1"/>
      <c r="S1" s="1"/>
      <c r="T1" s="1"/>
      <c r="U1" s="1"/>
      <c r="V1" s="1"/>
      <c r="W1" s="1"/>
      <c r="X1" s="1"/>
    </row>
    <row r="2" customFormat="false" ht="18.75" hidden="false" customHeight="true" outlineLevel="0" collapsed="false">
      <c r="A2" s="2" t="s">
        <v>117</v>
      </c>
      <c r="B2" s="2"/>
      <c r="C2" s="2"/>
      <c r="D2" s="2"/>
      <c r="E2" s="2"/>
      <c r="F2" s="2"/>
      <c r="G2" s="2"/>
      <c r="H2" s="2"/>
      <c r="I2" s="2"/>
      <c r="J2" s="2"/>
      <c r="K2" s="2"/>
      <c r="L2" s="2"/>
      <c r="M2" s="2"/>
      <c r="N2" s="2"/>
      <c r="O2" s="2"/>
      <c r="P2" s="2"/>
      <c r="Q2" s="2"/>
      <c r="R2" s="2"/>
      <c r="S2" s="2"/>
      <c r="T2" s="2"/>
      <c r="U2" s="2"/>
      <c r="V2" s="2"/>
      <c r="W2" s="2"/>
      <c r="X2" s="2"/>
    </row>
    <row r="3" customFormat="false" ht="19.5" hidden="false" customHeight="true" outlineLevel="0" collapsed="false">
      <c r="A3" s="15" t="s">
        <v>118</v>
      </c>
      <c r="B3" s="15"/>
      <c r="C3" s="15"/>
      <c r="D3" s="16" t="n">
        <f aca="false">COUNTIFS($C$10:$C$159,"?*",$L$10:$L$159,"&gt;0")</f>
        <v>53</v>
      </c>
      <c r="E3" s="16"/>
      <c r="F3" s="15" t="s">
        <v>119</v>
      </c>
      <c r="G3" s="15"/>
      <c r="H3" s="15"/>
      <c r="I3" s="16" t="n">
        <f aca="false">SUM($L$10:$L$159)</f>
        <v>182995000</v>
      </c>
      <c r="J3" s="16"/>
      <c r="K3" s="16"/>
      <c r="L3" s="15" t="s">
        <v>120</v>
      </c>
      <c r="M3" s="15"/>
      <c r="N3" s="15"/>
      <c r="O3" s="15"/>
      <c r="P3" s="16" t="n">
        <f aca="false">SUM($T$10:$T$159)</f>
        <v>1000000</v>
      </c>
      <c r="Q3" s="16"/>
      <c r="R3" s="16"/>
      <c r="Z3" s="17" t="s">
        <v>179</v>
      </c>
      <c r="AA3" s="17"/>
      <c r="AB3" s="17"/>
      <c r="AC3" s="17"/>
      <c r="AD3" s="17"/>
    </row>
    <row r="4" customFormat="false" ht="19.5" hidden="false" customHeight="true" outlineLevel="0" collapsed="false">
      <c r="A4" s="15" t="s">
        <v>122</v>
      </c>
      <c r="B4" s="15"/>
      <c r="C4" s="15"/>
      <c r="D4" s="16" t="n">
        <f aca="false">IF(COUNTA($C$10:$C$159)=0,0,SUMPRODUCT(($C$10:$C$159&lt;&gt;"")/COUNTIF($C$10:$C$159,$C$10:$C$159&amp;"")))</f>
        <v>52</v>
      </c>
      <c r="E4" s="16"/>
      <c r="F4" s="15" t="s">
        <v>123</v>
      </c>
      <c r="G4" s="15"/>
      <c r="H4" s="15"/>
      <c r="I4" s="16" t="n">
        <f aca="false">SUM($O$10:$O$159)</f>
        <v>4333200</v>
      </c>
      <c r="J4" s="16"/>
      <c r="K4" s="16"/>
      <c r="L4" s="15" t="s">
        <v>124</v>
      </c>
      <c r="M4" s="15"/>
      <c r="N4" s="15"/>
      <c r="O4" s="15"/>
      <c r="P4" s="16" t="n">
        <f aca="false">SUM($AC$5:$AC$24)</f>
        <v>0</v>
      </c>
      <c r="Q4" s="16"/>
      <c r="R4" s="16"/>
      <c r="Z4" s="9" t="s">
        <v>125</v>
      </c>
      <c r="AA4" s="9" t="s">
        <v>126</v>
      </c>
      <c r="AB4" s="9" t="s">
        <v>127</v>
      </c>
      <c r="AC4" s="9" t="s">
        <v>128</v>
      </c>
      <c r="AD4" s="9" t="s">
        <v>65</v>
      </c>
    </row>
    <row r="5" customFormat="false" ht="19.5" hidden="false" customHeight="true" outlineLevel="0" collapsed="false">
      <c r="A5" s="15" t="s">
        <v>129</v>
      </c>
      <c r="B5" s="15"/>
      <c r="C5" s="15"/>
      <c r="D5" s="16" t="n">
        <f aca="false">COUNTIFS($P$10:$P$159,"&gt;0",$R$10:$R$159,"&lt;=0")</f>
        <v>39</v>
      </c>
      <c r="E5" s="16"/>
      <c r="F5" s="15" t="s">
        <v>130</v>
      </c>
      <c r="G5" s="15"/>
      <c r="H5" s="15"/>
      <c r="I5" s="16" t="n">
        <f aca="false">SUM($P$10:$P$159)</f>
        <v>187328200</v>
      </c>
      <c r="J5" s="16"/>
      <c r="K5" s="16"/>
      <c r="L5" s="15" t="s">
        <v>131</v>
      </c>
      <c r="M5" s="15"/>
      <c r="N5" s="15"/>
      <c r="O5" s="15"/>
      <c r="P5" s="16" t="n">
        <f aca="false">$P3+$P4</f>
        <v>1000000</v>
      </c>
      <c r="Q5" s="16"/>
      <c r="R5" s="16"/>
      <c r="Z5" s="18"/>
      <c r="AA5" s="11"/>
      <c r="AB5" s="11"/>
      <c r="AC5" s="12"/>
      <c r="AD5" s="11"/>
    </row>
    <row r="6" customFormat="false" ht="19.5" hidden="false" customHeight="true" outlineLevel="0" collapsed="false">
      <c r="A6" s="15" t="s">
        <v>132</v>
      </c>
      <c r="B6" s="15"/>
      <c r="C6" s="15"/>
      <c r="D6" s="16" t="n">
        <f aca="false">COUNTIF($R$10:$R$159,"&gt;0")</f>
        <v>14</v>
      </c>
      <c r="E6" s="16"/>
      <c r="F6" s="15" t="s">
        <v>133</v>
      </c>
      <c r="G6" s="15"/>
      <c r="H6" s="15"/>
      <c r="I6" s="16" t="n">
        <f aca="false">SUM($Q$10:$Q$159)</f>
        <v>167102200</v>
      </c>
      <c r="J6" s="16"/>
      <c r="K6" s="16"/>
      <c r="L6" s="15" t="s">
        <v>134</v>
      </c>
      <c r="M6" s="15"/>
      <c r="N6" s="15"/>
      <c r="O6" s="15"/>
      <c r="P6" s="16" t="n">
        <f aca="false">$I3-$P5</f>
        <v>181995000</v>
      </c>
      <c r="Q6" s="16"/>
      <c r="R6" s="16"/>
      <c r="Z6" s="18"/>
      <c r="AA6" s="11"/>
      <c r="AB6" s="11"/>
      <c r="AC6" s="12"/>
      <c r="AD6" s="11"/>
    </row>
    <row r="7" customFormat="false" ht="19.5" hidden="false" customHeight="true" outlineLevel="0" collapsed="false">
      <c r="A7" s="15" t="s">
        <v>135</v>
      </c>
      <c r="B7" s="15"/>
      <c r="C7" s="15"/>
      <c r="D7" s="19" t="n">
        <f aca="false">IF($I5=0,"",$I6/$I5)</f>
        <v>0.892029069835722</v>
      </c>
      <c r="E7" s="19"/>
      <c r="F7" s="15" t="s">
        <v>136</v>
      </c>
      <c r="G7" s="15"/>
      <c r="H7" s="15"/>
      <c r="I7" s="16" t="n">
        <f aca="false">SUM($R$10:$R$159)</f>
        <v>20226000</v>
      </c>
      <c r="J7" s="16"/>
      <c r="K7" s="16"/>
      <c r="L7" s="15" t="s">
        <v>137</v>
      </c>
      <c r="M7" s="15"/>
      <c r="N7" s="15"/>
      <c r="O7" s="15"/>
      <c r="P7" s="19" t="n">
        <f aca="false">IF($I3=0,"",$P6/$I3)</f>
        <v>0.994535369818848</v>
      </c>
      <c r="Q7" s="19"/>
      <c r="R7" s="19"/>
      <c r="Z7" s="18"/>
      <c r="AA7" s="11"/>
      <c r="AB7" s="11"/>
      <c r="AC7" s="12"/>
      <c r="AD7" s="11"/>
    </row>
    <row r="8" customFormat="false" ht="21.75" hidden="false" customHeight="true" outlineLevel="0" collapsed="false">
      <c r="A8" s="20" t="str">
        <f aca="false">IF(SUMPRODUCT(($H$10:$H$159&lt;&gt;"")*($J$10:$J$159=""))=0,"✔ Mọi đơn trong tháng đã có GIÁ GỐC – số liệu lãi lỗ đầy đủ.","⚠ CÓ "&amp;SUMPRODUCT(($H$10:$H$159&lt;&gt;"")*($J$10:$J$159=""))&amp;" ĐƠN CHƯA KHAI GIÁ GỐC → GIÁ VỐN và LÃI/LỖ của tháng CHƯA ĐỦ. Vào sheet BẢNG GIÁ GỐC điền cột GIÁ GỐC/SP.")</f>
        <v>⚠ CÓ 53 ĐƠN CHƯA KHAI GIÁ GỐC → GIÁ VỐN và LÃI/LỖ của tháng CHƯA ĐỦ. Vào sheet BẢNG GIÁ GỐC điền cột GIÁ GỐC/SP.</v>
      </c>
      <c r="B8" s="20"/>
      <c r="C8" s="20"/>
      <c r="D8" s="20"/>
      <c r="E8" s="20"/>
      <c r="F8" s="20"/>
      <c r="G8" s="20"/>
      <c r="H8" s="20"/>
      <c r="I8" s="20"/>
      <c r="J8" s="20"/>
      <c r="K8" s="20"/>
      <c r="L8" s="20"/>
      <c r="M8" s="20"/>
      <c r="N8" s="20"/>
      <c r="O8" s="20"/>
      <c r="P8" s="20"/>
      <c r="Q8" s="20"/>
      <c r="R8" s="20"/>
      <c r="S8" s="20"/>
      <c r="T8" s="20"/>
      <c r="U8" s="20"/>
      <c r="V8" s="20"/>
      <c r="W8" s="20"/>
      <c r="X8" s="20"/>
      <c r="Z8" s="18"/>
      <c r="AA8" s="11"/>
      <c r="AB8" s="11"/>
      <c r="AC8" s="12"/>
      <c r="AD8" s="11"/>
    </row>
    <row r="9" customFormat="false" ht="33.75" hidden="false" customHeight="true" outlineLevel="0" collapsed="false">
      <c r="A9" s="10" t="s">
        <v>138</v>
      </c>
      <c r="B9" s="9" t="s">
        <v>139</v>
      </c>
      <c r="C9" s="9" t="s">
        <v>140</v>
      </c>
      <c r="D9" s="9" t="s">
        <v>141</v>
      </c>
      <c r="E9" s="9" t="s">
        <v>142</v>
      </c>
      <c r="F9" s="9" t="s">
        <v>143</v>
      </c>
      <c r="G9" s="9" t="s">
        <v>144</v>
      </c>
      <c r="H9" s="9" t="s">
        <v>59</v>
      </c>
      <c r="I9" s="9" t="s">
        <v>145</v>
      </c>
      <c r="J9" s="10" t="s">
        <v>61</v>
      </c>
      <c r="K9" s="9" t="s">
        <v>146</v>
      </c>
      <c r="L9" s="10" t="s">
        <v>147</v>
      </c>
      <c r="M9" s="9" t="s">
        <v>148</v>
      </c>
      <c r="N9" s="10" t="s">
        <v>149</v>
      </c>
      <c r="O9" s="10" t="s">
        <v>123</v>
      </c>
      <c r="P9" s="10" t="s">
        <v>150</v>
      </c>
      <c r="Q9" s="9" t="s">
        <v>151</v>
      </c>
      <c r="R9" s="10" t="s">
        <v>152</v>
      </c>
      <c r="S9" s="10" t="s">
        <v>153</v>
      </c>
      <c r="T9" s="10" t="s">
        <v>154</v>
      </c>
      <c r="U9" s="10" t="s">
        <v>155</v>
      </c>
      <c r="V9" s="10" t="s">
        <v>156</v>
      </c>
      <c r="W9" s="9" t="s">
        <v>65</v>
      </c>
      <c r="X9" s="10" t="s">
        <v>157</v>
      </c>
      <c r="Z9" s="18"/>
      <c r="AA9" s="11"/>
      <c r="AB9" s="11"/>
      <c r="AC9" s="12"/>
      <c r="AD9" s="11"/>
    </row>
    <row r="10" customFormat="false" ht="15" hidden="false" customHeight="false" outlineLevel="0" collapsed="false">
      <c r="A10" s="21" t="n">
        <f aca="false">IF($C10="","",COUNTA($C$10:$C10))</f>
        <v>1</v>
      </c>
      <c r="B10" s="18" t="n">
        <v>46204</v>
      </c>
      <c r="C10" s="11" t="s">
        <v>180</v>
      </c>
      <c r="D10" s="22" t="s">
        <v>181</v>
      </c>
      <c r="E10" s="11"/>
      <c r="F10" s="22"/>
      <c r="G10" s="11" t="s">
        <v>182</v>
      </c>
      <c r="H10" s="11" t="s">
        <v>106</v>
      </c>
      <c r="I10" s="12" t="n">
        <v>20</v>
      </c>
      <c r="J10" s="13" t="n">
        <f aca="false">IF($H10="","",IFERROR(VLOOKUP($H10,'BẢNG GIÁ GỐC'!$A$5:$D$254,3,FALSE()),""))</f>
        <v>0</v>
      </c>
      <c r="K10" s="12" t="n">
        <v>50000</v>
      </c>
      <c r="L10" s="13" t="n">
        <f aca="false">IF($C10="","",N($I10)*N($K10))</f>
        <v>1000000</v>
      </c>
      <c r="M10" s="11" t="s">
        <v>163</v>
      </c>
      <c r="N10" s="14" t="n">
        <f aca="false">IF($C10="","",IF($M10="VAT 5%",0.05,IF($M10="VAT 8%",0.08,IF($M10="VAT 10%",0.1,0))))</f>
        <v>0</v>
      </c>
      <c r="O10" s="13" t="n">
        <f aca="false">IF($C10="","",$L10*$N10)</f>
        <v>0</v>
      </c>
      <c r="P10" s="13" t="n">
        <f aca="false">IF($C10="","",$L10+$O10)</f>
        <v>1000000</v>
      </c>
      <c r="Q10" s="12" t="n">
        <v>1000000</v>
      </c>
      <c r="R10" s="13" t="n">
        <f aca="false">IF($C10="","",MAX(0,$P10-N($Q10)))</f>
        <v>0</v>
      </c>
      <c r="S10" s="23" t="str">
        <f aca="false">IF(OR($C10="",$P10=0),"",IF(N($Q10)&lt;=0,"Chưa thanh toán",IF(N($Q10)&lt;$P10,"Thanh toán một phần","Đã thanh toán")))</f>
        <v>Đã thanh toán</v>
      </c>
      <c r="T10" s="13" t="str">
        <f aca="false">IF(OR($C10="",$J10=""),"",N($I10)*$J10)</f>
        <v/>
      </c>
      <c r="U10" s="13" t="str">
        <f aca="false">IF(OR($C10="",$T10=""),"",$L10-$T10)</f>
        <v/>
      </c>
      <c r="V10" s="14" t="str">
        <f aca="false">IF(OR($U10="",$L10=0),"",$U10/$L10)</f>
        <v/>
      </c>
      <c r="W10" s="11" t="s">
        <v>183</v>
      </c>
      <c r="X10" s="23" t="str">
        <f aca="false">IF($C10="","",IF(AND($H10="",N($I10)=0,N($K10)=0),"Dòng chỉ lưu thông tin khách (chưa có đơn); ",IF($B10="","Thiếu ngày đặt; ","")&amp;IF($H10="","Thiếu tên sản phẩm; ",IF($J10="","Chưa khai GIÁ GỐC ở BẢNG GIÁ GỐC; ",""))&amp;IF(N($I10)&lt;=0,"Thiếu số lượng; ","")&amp;IF(N($K10)&lt;=0,"Thiếu giá bán; ","")&amp;IF(AND($N10&gt;0,$F10=""),"Khách lấy VAT thiếu mã số thuế; ","")&amp;IF(N($Q10)&gt;$P10,"Đã thu vượt tổng phải thu; ","")&amp;IF(AND($L10&gt;0,$U10&lt;&gt;"",$U10&lt;0),"CẢNH BÁO: ĐƠN NÀY ĐANG LỖ; ","")))</f>
        <v>Chưa khai GIÁ GỐC ở BẢNG GIÁ GỐC; </v>
      </c>
      <c r="Z10" s="18"/>
      <c r="AA10" s="11"/>
      <c r="AB10" s="11"/>
      <c r="AC10" s="12"/>
      <c r="AD10" s="11"/>
    </row>
    <row r="11" customFormat="false" ht="15" hidden="false" customHeight="false" outlineLevel="0" collapsed="false">
      <c r="A11" s="21" t="n">
        <f aca="false">IF($C11="","",COUNTA($C$10:$C11))</f>
        <v>2</v>
      </c>
      <c r="B11" s="18" t="n">
        <v>46205</v>
      </c>
      <c r="C11" s="11" t="s">
        <v>184</v>
      </c>
      <c r="D11" s="22" t="s">
        <v>185</v>
      </c>
      <c r="E11" s="11"/>
      <c r="F11" s="22"/>
      <c r="G11" s="11" t="s">
        <v>186</v>
      </c>
      <c r="H11" s="11" t="s">
        <v>106</v>
      </c>
      <c r="I11" s="12" t="n">
        <v>22</v>
      </c>
      <c r="J11" s="13" t="n">
        <f aca="false">IF($H11="","",IFERROR(VLOOKUP($H11,'BẢNG GIÁ GỐC'!$A$5:$D$254,3,FALSE()),""))</f>
        <v>0</v>
      </c>
      <c r="K11" s="12" t="n">
        <v>50000</v>
      </c>
      <c r="L11" s="13" t="n">
        <f aca="false">IF($C11="","",N($I11)*N($K11))</f>
        <v>1100000</v>
      </c>
      <c r="M11" s="11" t="s">
        <v>163</v>
      </c>
      <c r="N11" s="14" t="n">
        <f aca="false">IF($C11="","",IF($M11="VAT 5%",0.05,IF($M11="VAT 8%",0.08,IF($M11="VAT 10%",0.1,0))))</f>
        <v>0</v>
      </c>
      <c r="O11" s="13" t="n">
        <f aca="false">IF($C11="","",$L11*$N11)</f>
        <v>0</v>
      </c>
      <c r="P11" s="13" t="n">
        <f aca="false">IF($C11="","",$L11+$O11)</f>
        <v>1100000</v>
      </c>
      <c r="Q11" s="12" t="n">
        <v>1100000</v>
      </c>
      <c r="R11" s="13" t="n">
        <f aca="false">IF($C11="","",MAX(0,$P11-N($Q11)))</f>
        <v>0</v>
      </c>
      <c r="S11" s="23" t="str">
        <f aca="false">IF(OR($C11="",$P11=0),"",IF(N($Q11)&lt;=0,"Chưa thanh toán",IF(N($Q11)&lt;$P11,"Thanh toán một phần","Đã thanh toán")))</f>
        <v>Đã thanh toán</v>
      </c>
      <c r="T11" s="13" t="str">
        <f aca="false">IF(OR($C11="",$J11=""),"",N($I11)*$J11)</f>
        <v/>
      </c>
      <c r="U11" s="13" t="str">
        <f aca="false">IF(OR($C11="",$T11=""),"",$L11-$T11)</f>
        <v/>
      </c>
      <c r="V11" s="14" t="str">
        <f aca="false">IF(OR($U11="",$L11=0),"",$U11/$L11)</f>
        <v/>
      </c>
      <c r="W11" s="11" t="s">
        <v>187</v>
      </c>
      <c r="X11" s="23" t="str">
        <f aca="false">IF($C11="","",IF(AND($H11="",N($I11)=0,N($K11)=0),"Dòng chỉ lưu thông tin khách (chưa có đơn); ",IF($B11="","Thiếu ngày đặt; ","")&amp;IF($H11="","Thiếu tên sản phẩm; ",IF($J11="","Chưa khai GIÁ GỐC ở BẢNG GIÁ GỐC; ",""))&amp;IF(N($I11)&lt;=0,"Thiếu số lượng; ","")&amp;IF(N($K11)&lt;=0,"Thiếu giá bán; ","")&amp;IF(AND($N11&gt;0,$F11=""),"Khách lấy VAT thiếu mã số thuế; ","")&amp;IF(N($Q11)&gt;$P11,"Đã thu vượt tổng phải thu; ","")&amp;IF(AND($L11&gt;0,$U11&lt;&gt;"",$U11&lt;0),"CẢNH BÁO: ĐƠN NÀY ĐANG LỖ; ","")))</f>
        <v>Chưa khai GIÁ GỐC ở BẢNG GIÁ GỐC; </v>
      </c>
      <c r="Z11" s="18"/>
      <c r="AA11" s="11"/>
      <c r="AB11" s="11"/>
      <c r="AC11" s="12"/>
      <c r="AD11" s="11"/>
    </row>
    <row r="12" customFormat="false" ht="15" hidden="false" customHeight="false" outlineLevel="0" collapsed="false">
      <c r="A12" s="21" t="n">
        <f aca="false">IF($C12="","",COUNTA($C$10:$C12))</f>
        <v>3</v>
      </c>
      <c r="B12" s="18" t="n">
        <v>46206</v>
      </c>
      <c r="C12" s="11" t="s">
        <v>188</v>
      </c>
      <c r="D12" s="22" t="s">
        <v>189</v>
      </c>
      <c r="E12" s="11"/>
      <c r="F12" s="22"/>
      <c r="G12" s="11" t="s">
        <v>190</v>
      </c>
      <c r="H12" s="11" t="s">
        <v>105</v>
      </c>
      <c r="I12" s="12" t="n">
        <v>20</v>
      </c>
      <c r="J12" s="13" t="n">
        <f aca="false">IF($H12="","",IFERROR(VLOOKUP($H12,'BẢNG GIÁ GỐC'!$A$5:$D$254,3,FALSE()),""))</f>
        <v>0</v>
      </c>
      <c r="K12" s="12" t="n">
        <v>54000</v>
      </c>
      <c r="L12" s="13" t="n">
        <f aca="false">IF($C12="","",N($I12)*N($K12))</f>
        <v>1080000</v>
      </c>
      <c r="M12" s="11" t="s">
        <v>191</v>
      </c>
      <c r="N12" s="14" t="n">
        <f aca="false">IF($C12="","",IF($M12="VAT 5%",0.05,IF($M12="VAT 8%",0.08,IF($M12="VAT 10%",0.1,0))))</f>
        <v>0.08</v>
      </c>
      <c r="O12" s="13" t="n">
        <f aca="false">IF($C12="","",$L12*$N12)</f>
        <v>86400</v>
      </c>
      <c r="P12" s="13" t="n">
        <f aca="false">IF($C12="","",$L12+$O12)</f>
        <v>1166400</v>
      </c>
      <c r="Q12" s="12" t="n">
        <v>1166400</v>
      </c>
      <c r="R12" s="13" t="n">
        <f aca="false">IF($C12="","",MAX(0,$P12-N($Q12)))</f>
        <v>0</v>
      </c>
      <c r="S12" s="23" t="str">
        <f aca="false">IF(OR($C12="",$P12=0),"",IF(N($Q12)&lt;=0,"Chưa thanh toán",IF(N($Q12)&lt;$P12,"Thanh toán một phần","Đã thanh toán")))</f>
        <v>Đã thanh toán</v>
      </c>
      <c r="T12" s="13" t="str">
        <f aca="false">IF(OR($C12="",$J12=""),"",N($I12)*$J12)</f>
        <v/>
      </c>
      <c r="U12" s="13" t="str">
        <f aca="false">IF(OR($C12="",$T12=""),"",$L12-$T12)</f>
        <v/>
      </c>
      <c r="V12" s="14" t="str">
        <f aca="false">IF(OR($U12="",$L12=0),"",$U12/$L12)</f>
        <v/>
      </c>
      <c r="W12" s="11" t="s">
        <v>192</v>
      </c>
      <c r="X12" s="23" t="str">
        <f aca="false">IF($C12="","",IF(AND($H12="",N($I12)=0,N($K12)=0),"Dòng chỉ lưu thông tin khách (chưa có đơn); ",IF($B12="","Thiếu ngày đặt; ","")&amp;IF($H12="","Thiếu tên sản phẩm; ",IF($J12="","Chưa khai GIÁ GỐC ở BẢNG GIÁ GỐC; ",""))&amp;IF(N($I12)&lt;=0,"Thiếu số lượng; ","")&amp;IF(N($K12)&lt;=0,"Thiếu giá bán; ","")&amp;IF(AND($N12&gt;0,$F12=""),"Khách lấy VAT thiếu mã số thuế; ","")&amp;IF(N($Q12)&gt;$P12,"Đã thu vượt tổng phải thu; ","")&amp;IF(AND($L12&gt;0,$U12&lt;&gt;"",$U12&lt;0),"CẢNH BÁO: ĐƠN NÀY ĐANG LỖ; ","")))</f>
        <v>Chưa khai GIÁ GỐC ở BẢNG GIÁ GỐC; Khách lấy VAT thiếu mã số thuế; </v>
      </c>
      <c r="Z12" s="18"/>
      <c r="AA12" s="11"/>
      <c r="AB12" s="11"/>
      <c r="AC12" s="12"/>
      <c r="AD12" s="11"/>
    </row>
    <row r="13" customFormat="false" ht="15" hidden="false" customHeight="false" outlineLevel="0" collapsed="false">
      <c r="A13" s="21" t="n">
        <f aca="false">IF($C13="","",COUNTA($C$10:$C13))</f>
        <v>4</v>
      </c>
      <c r="B13" s="18" t="n">
        <v>46207</v>
      </c>
      <c r="C13" s="11" t="s">
        <v>193</v>
      </c>
      <c r="D13" s="22" t="s">
        <v>194</v>
      </c>
      <c r="E13" s="11"/>
      <c r="F13" s="22"/>
      <c r="G13" s="11" t="s">
        <v>195</v>
      </c>
      <c r="H13" s="11" t="s">
        <v>107</v>
      </c>
      <c r="I13" s="12" t="n">
        <v>25</v>
      </c>
      <c r="J13" s="13" t="n">
        <f aca="false">IF($H13="","",IFERROR(VLOOKUP($H13,'BẢNG GIÁ GỐC'!$A$5:$D$254,3,FALSE()),""))</f>
        <v>0</v>
      </c>
      <c r="K13" s="12" t="n">
        <v>49000</v>
      </c>
      <c r="L13" s="13" t="n">
        <f aca="false">IF($C13="","",N($I13)*N($K13))</f>
        <v>1225000</v>
      </c>
      <c r="M13" s="11" t="s">
        <v>191</v>
      </c>
      <c r="N13" s="14" t="n">
        <f aca="false">IF($C13="","",IF($M13="VAT 5%",0.05,IF($M13="VAT 8%",0.08,IF($M13="VAT 10%",0.1,0))))</f>
        <v>0.08</v>
      </c>
      <c r="O13" s="13" t="n">
        <f aca="false">IF($C13="","",$L13*$N13)</f>
        <v>98000</v>
      </c>
      <c r="P13" s="13" t="n">
        <f aca="false">IF($C13="","",$L13+$O13)</f>
        <v>1323000</v>
      </c>
      <c r="Q13" s="12" t="n">
        <v>1323000</v>
      </c>
      <c r="R13" s="13" t="n">
        <f aca="false">IF($C13="","",MAX(0,$P13-N($Q13)))</f>
        <v>0</v>
      </c>
      <c r="S13" s="23" t="str">
        <f aca="false">IF(OR($C13="",$P13=0),"",IF(N($Q13)&lt;=0,"Chưa thanh toán",IF(N($Q13)&lt;$P13,"Thanh toán một phần","Đã thanh toán")))</f>
        <v>Đã thanh toán</v>
      </c>
      <c r="T13" s="13" t="str">
        <f aca="false">IF(OR($C13="",$J13=""),"",N($I13)*$J13)</f>
        <v/>
      </c>
      <c r="U13" s="13" t="str">
        <f aca="false">IF(OR($C13="",$T13=""),"",$L13-$T13)</f>
        <v/>
      </c>
      <c r="V13" s="14" t="str">
        <f aca="false">IF(OR($U13="",$L13=0),"",$U13/$L13)</f>
        <v/>
      </c>
      <c r="W13" s="11" t="s">
        <v>196</v>
      </c>
      <c r="X13" s="23" t="str">
        <f aca="false">IF($C13="","",IF(AND($H13="",N($I13)=0,N($K13)=0),"Dòng chỉ lưu thông tin khách (chưa có đơn); ",IF($B13="","Thiếu ngày đặt; ","")&amp;IF($H13="","Thiếu tên sản phẩm; ",IF($J13="","Chưa khai GIÁ GỐC ở BẢNG GIÁ GỐC; ",""))&amp;IF(N($I13)&lt;=0,"Thiếu số lượng; ","")&amp;IF(N($K13)&lt;=0,"Thiếu giá bán; ","")&amp;IF(AND($N13&gt;0,$F13=""),"Khách lấy VAT thiếu mã số thuế; ","")&amp;IF(N($Q13)&gt;$P13,"Đã thu vượt tổng phải thu; ","")&amp;IF(AND($L13&gt;0,$U13&lt;&gt;"",$U13&lt;0),"CẢNH BÁO: ĐƠN NÀY ĐANG LỖ; ","")))</f>
        <v>Chưa khai GIÁ GỐC ở BẢNG GIÁ GỐC; Khách lấy VAT thiếu mã số thuế; </v>
      </c>
      <c r="Z13" s="18"/>
      <c r="AA13" s="11"/>
      <c r="AB13" s="11"/>
      <c r="AC13" s="12"/>
      <c r="AD13" s="11"/>
    </row>
    <row r="14" customFormat="false" ht="15" hidden="false" customHeight="false" outlineLevel="0" collapsed="false">
      <c r="A14" s="21" t="n">
        <f aca="false">IF($C14="","",COUNTA($C$10:$C14))</f>
        <v>5</v>
      </c>
      <c r="B14" s="18" t="n">
        <v>46207</v>
      </c>
      <c r="C14" s="11" t="s">
        <v>197</v>
      </c>
      <c r="D14" s="22" t="s">
        <v>198</v>
      </c>
      <c r="E14" s="11"/>
      <c r="F14" s="22"/>
      <c r="G14" s="11" t="s">
        <v>199</v>
      </c>
      <c r="H14" s="11" t="s">
        <v>109</v>
      </c>
      <c r="I14" s="12" t="n">
        <v>50</v>
      </c>
      <c r="J14" s="13" t="n">
        <f aca="false">IF($H14="","",IFERROR(VLOOKUP($H14,'BẢNG GIÁ GỐC'!$A$5:$D$254,3,FALSE()),""))</f>
        <v>0</v>
      </c>
      <c r="K14" s="12" t="n">
        <v>50000</v>
      </c>
      <c r="L14" s="13" t="n">
        <f aca="false">IF($C14="","",N($I14)*N($K14))</f>
        <v>2500000</v>
      </c>
      <c r="M14" s="11" t="s">
        <v>163</v>
      </c>
      <c r="N14" s="14" t="n">
        <f aca="false">IF($C14="","",IF($M14="VAT 5%",0.05,IF($M14="VAT 8%",0.08,IF($M14="VAT 10%",0.1,0))))</f>
        <v>0</v>
      </c>
      <c r="O14" s="13" t="n">
        <f aca="false">IF($C14="","",$L14*$N14)</f>
        <v>0</v>
      </c>
      <c r="P14" s="13" t="n">
        <f aca="false">IF($C14="","",$L14+$O14)</f>
        <v>2500000</v>
      </c>
      <c r="Q14" s="12" t="n">
        <v>2500000</v>
      </c>
      <c r="R14" s="13" t="n">
        <f aca="false">IF($C14="","",MAX(0,$P14-N($Q14)))</f>
        <v>0</v>
      </c>
      <c r="S14" s="23" t="str">
        <f aca="false">IF(OR($C14="",$P14=0),"",IF(N($Q14)&lt;=0,"Chưa thanh toán",IF(N($Q14)&lt;$P14,"Thanh toán một phần","Đã thanh toán")))</f>
        <v>Đã thanh toán</v>
      </c>
      <c r="T14" s="13" t="str">
        <f aca="false">IF(OR($C14="",$J14=""),"",N($I14)*$J14)</f>
        <v/>
      </c>
      <c r="U14" s="13" t="str">
        <f aca="false">IF(OR($C14="",$T14=""),"",$L14-$T14)</f>
        <v/>
      </c>
      <c r="V14" s="14" t="str">
        <f aca="false">IF(OR($U14="",$L14=0),"",$U14/$L14)</f>
        <v/>
      </c>
      <c r="W14" s="11" t="s">
        <v>200</v>
      </c>
      <c r="X14" s="23" t="str">
        <f aca="false">IF($C14="","",IF(AND($H14="",N($I14)=0,N($K14)=0),"Dòng chỉ lưu thông tin khách (chưa có đơn); ",IF($B14="","Thiếu ngày đặt; ","")&amp;IF($H14="","Thiếu tên sản phẩm; ",IF($J14="","Chưa khai GIÁ GỐC ở BẢNG GIÁ GỐC; ",""))&amp;IF(N($I14)&lt;=0,"Thiếu số lượng; ","")&amp;IF(N($K14)&lt;=0,"Thiếu giá bán; ","")&amp;IF(AND($N14&gt;0,$F14=""),"Khách lấy VAT thiếu mã số thuế; ","")&amp;IF(N($Q14)&gt;$P14,"Đã thu vượt tổng phải thu; ","")&amp;IF(AND($L14&gt;0,$U14&lt;&gt;"",$U14&lt;0),"CẢNH BÁO: ĐƠN NÀY ĐANG LỖ; ","")))</f>
        <v>Chưa khai GIÁ GỐC ở BẢNG GIÁ GỐC; </v>
      </c>
      <c r="Z14" s="18"/>
      <c r="AA14" s="11"/>
      <c r="AB14" s="11"/>
      <c r="AC14" s="12"/>
      <c r="AD14" s="11"/>
    </row>
    <row r="15" customFormat="false" ht="15" hidden="false" customHeight="false" outlineLevel="0" collapsed="false">
      <c r="A15" s="21" t="n">
        <f aca="false">IF($C15="","",COUNTA($C$10:$C15))</f>
        <v>6</v>
      </c>
      <c r="B15" s="18" t="n">
        <v>46209</v>
      </c>
      <c r="C15" s="11" t="s">
        <v>201</v>
      </c>
      <c r="D15" s="22" t="s">
        <v>202</v>
      </c>
      <c r="E15" s="11" t="s">
        <v>203</v>
      </c>
      <c r="F15" s="22" t="s">
        <v>204</v>
      </c>
      <c r="G15" s="11" t="s">
        <v>205</v>
      </c>
      <c r="H15" s="11" t="s">
        <v>102</v>
      </c>
      <c r="I15" s="12" t="n">
        <v>25</v>
      </c>
      <c r="J15" s="13" t="n">
        <f aca="false">IF($H15="","",IFERROR(VLOOKUP($H15,'BẢNG GIÁ GỐC'!$A$5:$D$254,3,FALSE()),""))</f>
        <v>0</v>
      </c>
      <c r="K15" s="12" t="n">
        <v>54000</v>
      </c>
      <c r="L15" s="13" t="n">
        <f aca="false">IF($C15="","",N($I15)*N($K15))</f>
        <v>1350000</v>
      </c>
      <c r="M15" s="11" t="s">
        <v>191</v>
      </c>
      <c r="N15" s="14" t="n">
        <f aca="false">IF($C15="","",IF($M15="VAT 5%",0.05,IF($M15="VAT 8%",0.08,IF($M15="VAT 10%",0.1,0))))</f>
        <v>0.08</v>
      </c>
      <c r="O15" s="13" t="n">
        <f aca="false">IF($C15="","",$L15*$N15)</f>
        <v>108000</v>
      </c>
      <c r="P15" s="13" t="n">
        <f aca="false">IF($C15="","",$L15+$O15)</f>
        <v>1458000</v>
      </c>
      <c r="Q15" s="12" t="n">
        <v>1458000</v>
      </c>
      <c r="R15" s="13" t="n">
        <f aca="false">IF($C15="","",MAX(0,$P15-N($Q15)))</f>
        <v>0</v>
      </c>
      <c r="S15" s="23" t="str">
        <f aca="false">IF(OR($C15="",$P15=0),"",IF(N($Q15)&lt;=0,"Chưa thanh toán",IF(N($Q15)&lt;$P15,"Thanh toán một phần","Đã thanh toán")))</f>
        <v>Đã thanh toán</v>
      </c>
      <c r="T15" s="13" t="str">
        <f aca="false">IF(OR($C15="",$J15=""),"",N($I15)*$J15)</f>
        <v/>
      </c>
      <c r="U15" s="13" t="str">
        <f aca="false">IF(OR($C15="",$T15=""),"",$L15-$T15)</f>
        <v/>
      </c>
      <c r="V15" s="14" t="str">
        <f aca="false">IF(OR($U15="",$L15=0),"",$U15/$L15)</f>
        <v/>
      </c>
      <c r="W15" s="11" t="s">
        <v>206</v>
      </c>
      <c r="X15" s="23" t="str">
        <f aca="false">IF($C15="","",IF(AND($H15="",N($I15)=0,N($K15)=0),"Dòng chỉ lưu thông tin khách (chưa có đơn); ",IF($B15="","Thiếu ngày đặt; ","")&amp;IF($H15="","Thiếu tên sản phẩm; ",IF($J15="","Chưa khai GIÁ GỐC ở BẢNG GIÁ GỐC; ",""))&amp;IF(N($I15)&lt;=0,"Thiếu số lượng; ","")&amp;IF(N($K15)&lt;=0,"Thiếu giá bán; ","")&amp;IF(AND($N15&gt;0,$F15=""),"Khách lấy VAT thiếu mã số thuế; ","")&amp;IF(N($Q15)&gt;$P15,"Đã thu vượt tổng phải thu; ","")&amp;IF(AND($L15&gt;0,$U15&lt;&gt;"",$U15&lt;0),"CẢNH BÁO: ĐƠN NÀY ĐANG LỖ; ","")))</f>
        <v>Chưa khai GIÁ GỐC ở BẢNG GIÁ GỐC; </v>
      </c>
      <c r="Z15" s="18"/>
      <c r="AA15" s="11"/>
      <c r="AB15" s="11"/>
      <c r="AC15" s="12"/>
      <c r="AD15" s="11"/>
    </row>
    <row r="16" customFormat="false" ht="15" hidden="false" customHeight="false" outlineLevel="0" collapsed="false">
      <c r="A16" s="21" t="n">
        <f aca="false">IF($C16="","",COUNTA($C$10:$C16))</f>
        <v>7</v>
      </c>
      <c r="B16" s="18" t="n">
        <v>46210</v>
      </c>
      <c r="C16" s="11" t="s">
        <v>207</v>
      </c>
      <c r="D16" s="22" t="s">
        <v>208</v>
      </c>
      <c r="E16" s="11"/>
      <c r="F16" s="22"/>
      <c r="G16" s="11" t="s">
        <v>209</v>
      </c>
      <c r="H16" s="11" t="s">
        <v>98</v>
      </c>
      <c r="I16" s="12" t="n">
        <v>20</v>
      </c>
      <c r="J16" s="13" t="n">
        <f aca="false">IF($H16="","",IFERROR(VLOOKUP($H16,'BẢNG GIÁ GỐC'!$A$5:$D$254,3,FALSE()),""))</f>
        <v>0</v>
      </c>
      <c r="K16" s="12" t="n">
        <v>58000</v>
      </c>
      <c r="L16" s="13" t="n">
        <f aca="false">IF($C16="","",N($I16)*N($K16))</f>
        <v>1160000</v>
      </c>
      <c r="M16" s="11" t="s">
        <v>163</v>
      </c>
      <c r="N16" s="14" t="n">
        <f aca="false">IF($C16="","",IF($M16="VAT 5%",0.05,IF($M16="VAT 8%",0.08,IF($M16="VAT 10%",0.1,0))))</f>
        <v>0</v>
      </c>
      <c r="O16" s="13" t="n">
        <f aca="false">IF($C16="","",$L16*$N16)</f>
        <v>0</v>
      </c>
      <c r="P16" s="13" t="n">
        <f aca="false">IF($C16="","",$L16+$O16)</f>
        <v>1160000</v>
      </c>
      <c r="Q16" s="12" t="n">
        <v>1160000</v>
      </c>
      <c r="R16" s="13" t="n">
        <f aca="false">IF($C16="","",MAX(0,$P16-N($Q16)))</f>
        <v>0</v>
      </c>
      <c r="S16" s="23" t="str">
        <f aca="false">IF(OR($C16="",$P16=0),"",IF(N($Q16)&lt;=0,"Chưa thanh toán",IF(N($Q16)&lt;$P16,"Thanh toán một phần","Đã thanh toán")))</f>
        <v>Đã thanh toán</v>
      </c>
      <c r="T16" s="13" t="str">
        <f aca="false">IF(OR($C16="",$J16=""),"",N($I16)*$J16)</f>
        <v/>
      </c>
      <c r="U16" s="13" t="str">
        <f aca="false">IF(OR($C16="",$T16=""),"",$L16-$T16)</f>
        <v/>
      </c>
      <c r="V16" s="14" t="str">
        <f aca="false">IF(OR($U16="",$L16=0),"",$U16/$L16)</f>
        <v/>
      </c>
      <c r="W16" s="11" t="s">
        <v>210</v>
      </c>
      <c r="X16" s="23" t="str">
        <f aca="false">IF($C16="","",IF(AND($H16="",N($I16)=0,N($K16)=0),"Dòng chỉ lưu thông tin khách (chưa có đơn); ",IF($B16="","Thiếu ngày đặt; ","")&amp;IF($H16="","Thiếu tên sản phẩm; ",IF($J16="","Chưa khai GIÁ GỐC ở BẢNG GIÁ GỐC; ",""))&amp;IF(N($I16)&lt;=0,"Thiếu số lượng; ","")&amp;IF(N($K16)&lt;=0,"Thiếu giá bán; ","")&amp;IF(AND($N16&gt;0,$F16=""),"Khách lấy VAT thiếu mã số thuế; ","")&amp;IF(N($Q16)&gt;$P16,"Đã thu vượt tổng phải thu; ","")&amp;IF(AND($L16&gt;0,$U16&lt;&gt;"",$U16&lt;0),"CẢNH BÁO: ĐƠN NÀY ĐANG LỖ; ","")))</f>
        <v>Chưa khai GIÁ GỐC ở BẢNG GIÁ GỐC; </v>
      </c>
      <c r="Z16" s="18"/>
      <c r="AA16" s="11"/>
      <c r="AB16" s="11"/>
      <c r="AC16" s="12"/>
      <c r="AD16" s="11"/>
    </row>
    <row r="17" customFormat="false" ht="15" hidden="false" customHeight="false" outlineLevel="0" collapsed="false">
      <c r="A17" s="21" t="n">
        <f aca="false">IF($C17="","",COUNTA($C$10:$C17))</f>
        <v>8</v>
      </c>
      <c r="B17" s="18" t="n">
        <v>46210</v>
      </c>
      <c r="C17" s="11" t="s">
        <v>211</v>
      </c>
      <c r="D17" s="22" t="s">
        <v>212</v>
      </c>
      <c r="E17" s="11"/>
      <c r="F17" s="22"/>
      <c r="G17" s="11" t="s">
        <v>213</v>
      </c>
      <c r="H17" s="11" t="s">
        <v>108</v>
      </c>
      <c r="I17" s="12" t="n">
        <v>100</v>
      </c>
      <c r="J17" s="13" t="n">
        <f aca="false">IF($H17="","",IFERROR(VLOOKUP($H17,'BẢNG GIÁ GỐC'!$A$5:$D$254,3,FALSE()),""))</f>
        <v>0</v>
      </c>
      <c r="K17" s="12" t="n">
        <v>45000</v>
      </c>
      <c r="L17" s="13" t="n">
        <f aca="false">IF($C17="","",N($I17)*N($K17))</f>
        <v>4500000</v>
      </c>
      <c r="M17" s="11" t="s">
        <v>163</v>
      </c>
      <c r="N17" s="14" t="n">
        <f aca="false">IF($C17="","",IF($M17="VAT 5%",0.05,IF($M17="VAT 8%",0.08,IF($M17="VAT 10%",0.1,0))))</f>
        <v>0</v>
      </c>
      <c r="O17" s="13" t="n">
        <f aca="false">IF($C17="","",$L17*$N17)</f>
        <v>0</v>
      </c>
      <c r="P17" s="13" t="n">
        <f aca="false">IF($C17="","",$L17+$O17)</f>
        <v>4500000</v>
      </c>
      <c r="Q17" s="12" t="n">
        <v>4500000</v>
      </c>
      <c r="R17" s="13" t="n">
        <f aca="false">IF($C17="","",MAX(0,$P17-N($Q17)))</f>
        <v>0</v>
      </c>
      <c r="S17" s="23" t="str">
        <f aca="false">IF(OR($C17="",$P17=0),"",IF(N($Q17)&lt;=0,"Chưa thanh toán",IF(N($Q17)&lt;$P17,"Thanh toán một phần","Đã thanh toán")))</f>
        <v>Đã thanh toán</v>
      </c>
      <c r="T17" s="13" t="str">
        <f aca="false">IF(OR($C17="",$J17=""),"",N($I17)*$J17)</f>
        <v/>
      </c>
      <c r="U17" s="13" t="str">
        <f aca="false">IF(OR($C17="",$T17=""),"",$L17-$T17)</f>
        <v/>
      </c>
      <c r="V17" s="14" t="str">
        <f aca="false">IF(OR($U17="",$L17=0),"",$U17/$L17)</f>
        <v/>
      </c>
      <c r="W17" s="11" t="s">
        <v>214</v>
      </c>
      <c r="X17" s="23" t="str">
        <f aca="false">IF($C17="","",IF(AND($H17="",N($I17)=0,N($K17)=0),"Dòng chỉ lưu thông tin khách (chưa có đơn); ",IF($B17="","Thiếu ngày đặt; ","")&amp;IF($H17="","Thiếu tên sản phẩm; ",IF($J17="","Chưa khai GIÁ GỐC ở BẢNG GIÁ GỐC; ",""))&amp;IF(N($I17)&lt;=0,"Thiếu số lượng; ","")&amp;IF(N($K17)&lt;=0,"Thiếu giá bán; ","")&amp;IF(AND($N17&gt;0,$F17=""),"Khách lấy VAT thiếu mã số thuế; ","")&amp;IF(N($Q17)&gt;$P17,"Đã thu vượt tổng phải thu; ","")&amp;IF(AND($L17&gt;0,$U17&lt;&gt;"",$U17&lt;0),"CẢNH BÁO: ĐƠN NÀY ĐANG LỖ; ","")))</f>
        <v>Chưa khai GIÁ GỐC ở BẢNG GIÁ GỐC; </v>
      </c>
      <c r="Z17" s="18"/>
      <c r="AA17" s="11"/>
      <c r="AB17" s="11"/>
      <c r="AC17" s="12"/>
      <c r="AD17" s="11"/>
    </row>
    <row r="18" customFormat="false" ht="15" hidden="false" customHeight="false" outlineLevel="0" collapsed="false">
      <c r="A18" s="21" t="n">
        <f aca="false">IF($C18="","",COUNTA($C$10:$C18))</f>
        <v>9</v>
      </c>
      <c r="B18" s="18" t="n">
        <v>46211</v>
      </c>
      <c r="C18" s="11" t="s">
        <v>215</v>
      </c>
      <c r="D18" s="22" t="s">
        <v>216</v>
      </c>
      <c r="E18" s="11" t="s">
        <v>217</v>
      </c>
      <c r="F18" s="22" t="s">
        <v>218</v>
      </c>
      <c r="G18" s="11" t="s">
        <v>219</v>
      </c>
      <c r="H18" s="11" t="s">
        <v>104</v>
      </c>
      <c r="I18" s="12" t="n">
        <v>50</v>
      </c>
      <c r="J18" s="13" t="n">
        <f aca="false">IF($H18="","",IFERROR(VLOOKUP($H18,'BẢNG GIÁ GỐC'!$A$5:$D$254,3,FALSE()),""))</f>
        <v>0</v>
      </c>
      <c r="K18" s="12" t="n">
        <v>50000</v>
      </c>
      <c r="L18" s="13" t="n">
        <f aca="false">IF($C18="","",N($I18)*N($K18))</f>
        <v>2500000</v>
      </c>
      <c r="M18" s="11" t="s">
        <v>191</v>
      </c>
      <c r="N18" s="14" t="n">
        <f aca="false">IF($C18="","",IF($M18="VAT 5%",0.05,IF($M18="VAT 8%",0.08,IF($M18="VAT 10%",0.1,0))))</f>
        <v>0.08</v>
      </c>
      <c r="O18" s="13" t="n">
        <f aca="false">IF($C18="","",$L18*$N18)</f>
        <v>200000</v>
      </c>
      <c r="P18" s="13" t="n">
        <f aca="false">IF($C18="","",$L18+$O18)</f>
        <v>2700000</v>
      </c>
      <c r="Q18" s="12" t="n">
        <v>2500000</v>
      </c>
      <c r="R18" s="13" t="n">
        <f aca="false">IF($C18="","",MAX(0,$P18-N($Q18)))</f>
        <v>200000</v>
      </c>
      <c r="S18" s="23" t="str">
        <f aca="false">IF(OR($C18="",$P18=0),"",IF(N($Q18)&lt;=0,"Chưa thanh toán",IF(N($Q18)&lt;$P18,"Thanh toán một phần","Đã thanh toán")))</f>
        <v>Thanh toán một phần</v>
      </c>
      <c r="T18" s="13" t="str">
        <f aca="false">IF(OR($C18="",$J18=""),"",N($I18)*$J18)</f>
        <v/>
      </c>
      <c r="U18" s="13" t="str">
        <f aca="false">IF(OR($C18="",$T18=""),"",$L18-$T18)</f>
        <v/>
      </c>
      <c r="V18" s="14" t="str">
        <f aca="false">IF(OR($U18="",$L18=0),"",$U18/$L18)</f>
        <v/>
      </c>
      <c r="W18" s="11" t="s">
        <v>220</v>
      </c>
      <c r="X18" s="23" t="str">
        <f aca="false">IF($C18="","",IF(AND($H18="",N($I18)=0,N($K18)=0),"Dòng chỉ lưu thông tin khách (chưa có đơn); ",IF($B18="","Thiếu ngày đặt; ","")&amp;IF($H18="","Thiếu tên sản phẩm; ",IF($J18="","Chưa khai GIÁ GỐC ở BẢNG GIÁ GỐC; ",""))&amp;IF(N($I18)&lt;=0,"Thiếu số lượng; ","")&amp;IF(N($K18)&lt;=0,"Thiếu giá bán; ","")&amp;IF(AND($N18&gt;0,$F18=""),"Khách lấy VAT thiếu mã số thuế; ","")&amp;IF(N($Q18)&gt;$P18,"Đã thu vượt tổng phải thu; ","")&amp;IF(AND($L18&gt;0,$U18&lt;&gt;"",$U18&lt;0),"CẢNH BÁO: ĐƠN NÀY ĐANG LỖ; ","")))</f>
        <v>Chưa khai GIÁ GỐC ở BẢNG GIÁ GỐC; </v>
      </c>
      <c r="Z18" s="18"/>
      <c r="AA18" s="11"/>
      <c r="AB18" s="11"/>
      <c r="AC18" s="12"/>
      <c r="AD18" s="11"/>
    </row>
    <row r="19" customFormat="false" ht="15" hidden="false" customHeight="false" outlineLevel="0" collapsed="false">
      <c r="A19" s="21" t="n">
        <f aca="false">IF($C19="","",COUNTA($C$10:$C19))</f>
        <v>10</v>
      </c>
      <c r="B19" s="18" t="n">
        <v>46211</v>
      </c>
      <c r="C19" s="11" t="s">
        <v>221</v>
      </c>
      <c r="D19" s="22" t="s">
        <v>222</v>
      </c>
      <c r="E19" s="11"/>
      <c r="F19" s="22"/>
      <c r="G19" s="11" t="s">
        <v>223</v>
      </c>
      <c r="H19" s="11" t="s">
        <v>102</v>
      </c>
      <c r="I19" s="12" t="n">
        <v>50</v>
      </c>
      <c r="J19" s="13" t="n">
        <f aca="false">IF($H19="","",IFERROR(VLOOKUP($H19,'BẢNG GIÁ GỐC'!$A$5:$D$254,3,FALSE()),""))</f>
        <v>0</v>
      </c>
      <c r="K19" s="12" t="n">
        <v>50000</v>
      </c>
      <c r="L19" s="13" t="n">
        <f aca="false">IF($C19="","",N($I19)*N($K19))</f>
        <v>2500000</v>
      </c>
      <c r="M19" s="11" t="s">
        <v>163</v>
      </c>
      <c r="N19" s="14" t="n">
        <f aca="false">IF($C19="","",IF($M19="VAT 5%",0.05,IF($M19="VAT 8%",0.08,IF($M19="VAT 10%",0.1,0))))</f>
        <v>0</v>
      </c>
      <c r="O19" s="13" t="n">
        <f aca="false">IF($C19="","",$L19*$N19)</f>
        <v>0</v>
      </c>
      <c r="P19" s="13" t="n">
        <f aca="false">IF($C19="","",$L19+$O19)</f>
        <v>2500000</v>
      </c>
      <c r="Q19" s="12" t="n">
        <v>2500000</v>
      </c>
      <c r="R19" s="13" t="n">
        <f aca="false">IF($C19="","",MAX(0,$P19-N($Q19)))</f>
        <v>0</v>
      </c>
      <c r="S19" s="23" t="str">
        <f aca="false">IF(OR($C19="",$P19=0),"",IF(N($Q19)&lt;=0,"Chưa thanh toán",IF(N($Q19)&lt;$P19,"Thanh toán một phần","Đã thanh toán")))</f>
        <v>Đã thanh toán</v>
      </c>
      <c r="T19" s="13" t="str">
        <f aca="false">IF(OR($C19="",$J19=""),"",N($I19)*$J19)</f>
        <v/>
      </c>
      <c r="U19" s="13" t="str">
        <f aca="false">IF(OR($C19="",$T19=""),"",$L19-$T19)</f>
        <v/>
      </c>
      <c r="V19" s="14" t="str">
        <f aca="false">IF(OR($U19="",$L19=0),"",$U19/$L19)</f>
        <v/>
      </c>
      <c r="W19" s="11" t="s">
        <v>224</v>
      </c>
      <c r="X19" s="23" t="str">
        <f aca="false">IF($C19="","",IF(AND($H19="",N($I19)=0,N($K19)=0),"Dòng chỉ lưu thông tin khách (chưa có đơn); ",IF($B19="","Thiếu ngày đặt; ","")&amp;IF($H19="","Thiếu tên sản phẩm; ",IF($J19="","Chưa khai GIÁ GỐC ở BẢNG GIÁ GỐC; ",""))&amp;IF(N($I19)&lt;=0,"Thiếu số lượng; ","")&amp;IF(N($K19)&lt;=0,"Thiếu giá bán; ","")&amp;IF(AND($N19&gt;0,$F19=""),"Khách lấy VAT thiếu mã số thuế; ","")&amp;IF(N($Q19)&gt;$P19,"Đã thu vượt tổng phải thu; ","")&amp;IF(AND($L19&gt;0,$U19&lt;&gt;"",$U19&lt;0),"CẢNH BÁO: ĐƠN NÀY ĐANG LỖ; ","")))</f>
        <v>Chưa khai GIÁ GỐC ở BẢNG GIÁ GỐC; </v>
      </c>
      <c r="Z19" s="18"/>
      <c r="AA19" s="11"/>
      <c r="AB19" s="11"/>
      <c r="AC19" s="12"/>
      <c r="AD19" s="11"/>
    </row>
    <row r="20" customFormat="false" ht="15" hidden="false" customHeight="false" outlineLevel="0" collapsed="false">
      <c r="A20" s="21" t="n">
        <f aca="false">IF($C20="","",COUNTA($C$10:$C20))</f>
        <v>11</v>
      </c>
      <c r="B20" s="18" t="n">
        <v>46211</v>
      </c>
      <c r="C20" s="11" t="s">
        <v>225</v>
      </c>
      <c r="D20" s="22" t="s">
        <v>226</v>
      </c>
      <c r="E20" s="11"/>
      <c r="F20" s="22"/>
      <c r="G20" s="11" t="s">
        <v>227</v>
      </c>
      <c r="H20" s="11" t="s">
        <v>107</v>
      </c>
      <c r="I20" s="12" t="n">
        <v>60</v>
      </c>
      <c r="J20" s="13" t="n">
        <f aca="false">IF($H20="","",IFERROR(VLOOKUP($H20,'BẢNG GIÁ GỐC'!$A$5:$D$254,3,FALSE()),""))</f>
        <v>0</v>
      </c>
      <c r="K20" s="12" t="n">
        <v>48000</v>
      </c>
      <c r="L20" s="13" t="n">
        <f aca="false">IF($C20="","",N($I20)*N($K20))</f>
        <v>2880000</v>
      </c>
      <c r="M20" s="11" t="s">
        <v>163</v>
      </c>
      <c r="N20" s="14" t="n">
        <f aca="false">IF($C20="","",IF($M20="VAT 5%",0.05,IF($M20="VAT 8%",0.08,IF($M20="VAT 10%",0.1,0))))</f>
        <v>0</v>
      </c>
      <c r="O20" s="13" t="n">
        <f aca="false">IF($C20="","",$L20*$N20)</f>
        <v>0</v>
      </c>
      <c r="P20" s="13" t="n">
        <f aca="false">IF($C20="","",$L20+$O20)</f>
        <v>2880000</v>
      </c>
      <c r="Q20" s="12" t="n">
        <v>2880000</v>
      </c>
      <c r="R20" s="13" t="n">
        <f aca="false">IF($C20="","",MAX(0,$P20-N($Q20)))</f>
        <v>0</v>
      </c>
      <c r="S20" s="23" t="str">
        <f aca="false">IF(OR($C20="",$P20=0),"",IF(N($Q20)&lt;=0,"Chưa thanh toán",IF(N($Q20)&lt;$P20,"Thanh toán một phần","Đã thanh toán")))</f>
        <v>Đã thanh toán</v>
      </c>
      <c r="T20" s="13" t="str">
        <f aca="false">IF(OR($C20="",$J20=""),"",N($I20)*$J20)</f>
        <v/>
      </c>
      <c r="U20" s="13" t="str">
        <f aca="false">IF(OR($C20="",$T20=""),"",$L20-$T20)</f>
        <v/>
      </c>
      <c r="V20" s="14" t="str">
        <f aca="false">IF(OR($U20="",$L20=0),"",$U20/$L20)</f>
        <v/>
      </c>
      <c r="W20" s="11" t="s">
        <v>228</v>
      </c>
      <c r="X20" s="23" t="str">
        <f aca="false">IF($C20="","",IF(AND($H20="",N($I20)=0,N($K20)=0),"Dòng chỉ lưu thông tin khách (chưa có đơn); ",IF($B20="","Thiếu ngày đặt; ","")&amp;IF($H20="","Thiếu tên sản phẩm; ",IF($J20="","Chưa khai GIÁ GỐC ở BẢNG GIÁ GỐC; ",""))&amp;IF(N($I20)&lt;=0,"Thiếu số lượng; ","")&amp;IF(N($K20)&lt;=0,"Thiếu giá bán; ","")&amp;IF(AND($N20&gt;0,$F20=""),"Khách lấy VAT thiếu mã số thuế; ","")&amp;IF(N($Q20)&gt;$P20,"Đã thu vượt tổng phải thu; ","")&amp;IF(AND($L20&gt;0,$U20&lt;&gt;"",$U20&lt;0),"CẢNH BÁO: ĐƠN NÀY ĐANG LỖ; ","")))</f>
        <v>Chưa khai GIÁ GỐC ở BẢNG GIÁ GỐC; </v>
      </c>
      <c r="Z20" s="18"/>
      <c r="AA20" s="11"/>
      <c r="AB20" s="11"/>
      <c r="AC20" s="12"/>
      <c r="AD20" s="11"/>
    </row>
    <row r="21" customFormat="false" ht="15" hidden="false" customHeight="false" outlineLevel="0" collapsed="false">
      <c r="A21" s="21" t="n">
        <f aca="false">IF($C21="","",COUNTA($C$10:$C21))</f>
        <v>12</v>
      </c>
      <c r="B21" s="18" t="n">
        <v>46212</v>
      </c>
      <c r="C21" s="11" t="s">
        <v>229</v>
      </c>
      <c r="D21" s="22"/>
      <c r="E21" s="11"/>
      <c r="F21" s="22"/>
      <c r="G21" s="11" t="s">
        <v>230</v>
      </c>
      <c r="H21" s="11" t="s">
        <v>101</v>
      </c>
      <c r="I21" s="12" t="n">
        <v>312</v>
      </c>
      <c r="J21" s="13" t="n">
        <f aca="false">IF($H21="","",IFERROR(VLOOKUP($H21,'BẢNG GIÁ GỐC'!$A$5:$D$254,3,FALSE()),""))</f>
        <v>0</v>
      </c>
      <c r="K21" s="12" t="n">
        <v>50000</v>
      </c>
      <c r="L21" s="13" t="n">
        <f aca="false">IF($C21="","",N($I21)*N($K21))</f>
        <v>15600000</v>
      </c>
      <c r="M21" s="11" t="s">
        <v>163</v>
      </c>
      <c r="N21" s="14" t="n">
        <f aca="false">IF($C21="","",IF($M21="VAT 5%",0.05,IF($M21="VAT 8%",0.08,IF($M21="VAT 10%",0.1,0))))</f>
        <v>0</v>
      </c>
      <c r="O21" s="13" t="n">
        <f aca="false">IF($C21="","",$L21*$N21)</f>
        <v>0</v>
      </c>
      <c r="P21" s="13" t="n">
        <f aca="false">IF($C21="","",$L21+$O21)</f>
        <v>15600000</v>
      </c>
      <c r="Q21" s="12" t="n">
        <v>15600000</v>
      </c>
      <c r="R21" s="13" t="n">
        <f aca="false">IF($C21="","",MAX(0,$P21-N($Q21)))</f>
        <v>0</v>
      </c>
      <c r="S21" s="23" t="str">
        <f aca="false">IF(OR($C21="",$P21=0),"",IF(N($Q21)&lt;=0,"Chưa thanh toán",IF(N($Q21)&lt;$P21,"Thanh toán một phần","Đã thanh toán")))</f>
        <v>Đã thanh toán</v>
      </c>
      <c r="T21" s="13" t="str">
        <f aca="false">IF(OR($C21="",$J21=""),"",N($I21)*$J21)</f>
        <v/>
      </c>
      <c r="U21" s="13" t="str">
        <f aca="false">IF(OR($C21="",$T21=""),"",$L21-$T21)</f>
        <v/>
      </c>
      <c r="V21" s="14" t="str">
        <f aca="false">IF(OR($U21="",$L21=0),"",$U21/$L21)</f>
        <v/>
      </c>
      <c r="W21" s="11" t="s">
        <v>231</v>
      </c>
      <c r="X21" s="23" t="str">
        <f aca="false">IF($C21="","",IF(AND($H21="",N($I21)=0,N($K21)=0),"Dòng chỉ lưu thông tin khách (chưa có đơn); ",IF($B21="","Thiếu ngày đặt; ","")&amp;IF($H21="","Thiếu tên sản phẩm; ",IF($J21="","Chưa khai GIÁ GỐC ở BẢNG GIÁ GỐC; ",""))&amp;IF(N($I21)&lt;=0,"Thiếu số lượng; ","")&amp;IF(N($K21)&lt;=0,"Thiếu giá bán; ","")&amp;IF(AND($N21&gt;0,$F21=""),"Khách lấy VAT thiếu mã số thuế; ","")&amp;IF(N($Q21)&gt;$P21,"Đã thu vượt tổng phải thu; ","")&amp;IF(AND($L21&gt;0,$U21&lt;&gt;"",$U21&lt;0),"CẢNH BÁO: ĐƠN NÀY ĐANG LỖ; ","")))</f>
        <v>Chưa khai GIÁ GỐC ở BẢNG GIÁ GỐC; </v>
      </c>
      <c r="Z21" s="18"/>
      <c r="AA21" s="11"/>
      <c r="AB21" s="11"/>
      <c r="AC21" s="12"/>
      <c r="AD21" s="11"/>
    </row>
    <row r="22" customFormat="false" ht="15" hidden="false" customHeight="false" outlineLevel="0" collapsed="false">
      <c r="A22" s="21" t="n">
        <f aca="false">IF($C22="","",COUNTA($C$10:$C22))</f>
        <v>13</v>
      </c>
      <c r="B22" s="18" t="n">
        <v>46214</v>
      </c>
      <c r="C22" s="11" t="s">
        <v>232</v>
      </c>
      <c r="D22" s="22" t="s">
        <v>233</v>
      </c>
      <c r="E22" s="11" t="s">
        <v>234</v>
      </c>
      <c r="F22" s="22" t="s">
        <v>235</v>
      </c>
      <c r="G22" s="11" t="s">
        <v>236</v>
      </c>
      <c r="H22" s="11" t="s">
        <v>104</v>
      </c>
      <c r="I22" s="12" t="n">
        <v>400</v>
      </c>
      <c r="J22" s="13" t="n">
        <f aca="false">IF($H22="","",IFERROR(VLOOKUP($H22,'BẢNG GIÁ GỐC'!$A$5:$D$254,3,FALSE()),""))</f>
        <v>0</v>
      </c>
      <c r="K22" s="12" t="n">
        <v>45000</v>
      </c>
      <c r="L22" s="13" t="n">
        <f aca="false">IF($C22="","",N($I22)*N($K22))</f>
        <v>18000000</v>
      </c>
      <c r="M22" s="11" t="s">
        <v>191</v>
      </c>
      <c r="N22" s="14" t="n">
        <f aca="false">IF($C22="","",IF($M22="VAT 5%",0.05,IF($M22="VAT 8%",0.08,IF($M22="VAT 10%",0.1,0))))</f>
        <v>0.08</v>
      </c>
      <c r="O22" s="13" t="n">
        <f aca="false">IF($C22="","",$L22*$N22)</f>
        <v>1440000</v>
      </c>
      <c r="P22" s="13" t="n">
        <f aca="false">IF($C22="","",$L22+$O22)</f>
        <v>19440000</v>
      </c>
      <c r="Q22" s="12" t="n">
        <v>19440000</v>
      </c>
      <c r="R22" s="13" t="n">
        <f aca="false">IF($C22="","",MAX(0,$P22-N($Q22)))</f>
        <v>0</v>
      </c>
      <c r="S22" s="23" t="str">
        <f aca="false">IF(OR($C22="",$P22=0),"",IF(N($Q22)&lt;=0,"Chưa thanh toán",IF(N($Q22)&lt;$P22,"Thanh toán một phần","Đã thanh toán")))</f>
        <v>Đã thanh toán</v>
      </c>
      <c r="T22" s="13" t="str">
        <f aca="false">IF(OR($C22="",$J22=""),"",N($I22)*$J22)</f>
        <v/>
      </c>
      <c r="U22" s="13" t="str">
        <f aca="false">IF(OR($C22="",$T22=""),"",$L22-$T22)</f>
        <v/>
      </c>
      <c r="V22" s="14" t="str">
        <f aca="false">IF(OR($U22="",$L22=0),"",$U22/$L22)</f>
        <v/>
      </c>
      <c r="W22" s="11" t="s">
        <v>237</v>
      </c>
      <c r="X22" s="23" t="str">
        <f aca="false">IF($C22="","",IF(AND($H22="",N($I22)=0,N($K22)=0),"Dòng chỉ lưu thông tin khách (chưa có đơn); ",IF($B22="","Thiếu ngày đặt; ","")&amp;IF($H22="","Thiếu tên sản phẩm; ",IF($J22="","Chưa khai GIÁ GỐC ở BẢNG GIÁ GỐC; ",""))&amp;IF(N($I22)&lt;=0,"Thiếu số lượng; ","")&amp;IF(N($K22)&lt;=0,"Thiếu giá bán; ","")&amp;IF(AND($N22&gt;0,$F22=""),"Khách lấy VAT thiếu mã số thuế; ","")&amp;IF(N($Q22)&gt;$P22,"Đã thu vượt tổng phải thu; ","")&amp;IF(AND($L22&gt;0,$U22&lt;&gt;"",$U22&lt;0),"CẢNH BÁO: ĐƠN NÀY ĐANG LỖ; ","")))</f>
        <v>Chưa khai GIÁ GỐC ở BẢNG GIÁ GỐC; </v>
      </c>
      <c r="Z22" s="18"/>
      <c r="AA22" s="11"/>
      <c r="AB22" s="11"/>
      <c r="AC22" s="12"/>
      <c r="AD22" s="11"/>
    </row>
    <row r="23" customFormat="false" ht="15" hidden="false" customHeight="false" outlineLevel="0" collapsed="false">
      <c r="A23" s="21" t="n">
        <f aca="false">IF($C23="","",COUNTA($C$10:$C23))</f>
        <v>14</v>
      </c>
      <c r="B23" s="18" t="n">
        <v>46214</v>
      </c>
      <c r="C23" s="11" t="s">
        <v>238</v>
      </c>
      <c r="D23" s="22" t="s">
        <v>239</v>
      </c>
      <c r="E23" s="11"/>
      <c r="F23" s="22"/>
      <c r="G23" s="11" t="s">
        <v>240</v>
      </c>
      <c r="H23" s="11" t="s">
        <v>107</v>
      </c>
      <c r="I23" s="12" t="n">
        <v>50</v>
      </c>
      <c r="J23" s="13" t="n">
        <f aca="false">IF($H23="","",IFERROR(VLOOKUP($H23,'BẢNG GIÁ GỐC'!$A$5:$D$254,3,FALSE()),""))</f>
        <v>0</v>
      </c>
      <c r="K23" s="12" t="n">
        <v>50000</v>
      </c>
      <c r="L23" s="13" t="n">
        <f aca="false">IF($C23="","",N($I23)*N($K23))</f>
        <v>2500000</v>
      </c>
      <c r="M23" s="11" t="s">
        <v>163</v>
      </c>
      <c r="N23" s="14" t="n">
        <f aca="false">IF($C23="","",IF($M23="VAT 5%",0.05,IF($M23="VAT 8%",0.08,IF($M23="VAT 10%",0.1,0))))</f>
        <v>0</v>
      </c>
      <c r="O23" s="13" t="n">
        <f aca="false">IF($C23="","",$L23*$N23)</f>
        <v>0</v>
      </c>
      <c r="P23" s="13" t="n">
        <f aca="false">IF($C23="","",$L23+$O23)</f>
        <v>2500000</v>
      </c>
      <c r="Q23" s="12" t="n">
        <v>2500000</v>
      </c>
      <c r="R23" s="13" t="n">
        <f aca="false">IF($C23="","",MAX(0,$P23-N($Q23)))</f>
        <v>0</v>
      </c>
      <c r="S23" s="23" t="str">
        <f aca="false">IF(OR($C23="",$P23=0),"",IF(N($Q23)&lt;=0,"Chưa thanh toán",IF(N($Q23)&lt;$P23,"Thanh toán một phần","Đã thanh toán")))</f>
        <v>Đã thanh toán</v>
      </c>
      <c r="T23" s="13" t="str">
        <f aca="false">IF(OR($C23="",$J23=""),"",N($I23)*$J23)</f>
        <v/>
      </c>
      <c r="U23" s="13" t="str">
        <f aca="false">IF(OR($C23="",$T23=""),"",$L23-$T23)</f>
        <v/>
      </c>
      <c r="V23" s="14" t="str">
        <f aca="false">IF(OR($U23="",$L23=0),"",$U23/$L23)</f>
        <v/>
      </c>
      <c r="W23" s="11" t="s">
        <v>241</v>
      </c>
      <c r="X23" s="23" t="str">
        <f aca="false">IF($C23="","",IF(AND($H23="",N($I23)=0,N($K23)=0),"Dòng chỉ lưu thông tin khách (chưa có đơn); ",IF($B23="","Thiếu ngày đặt; ","")&amp;IF($H23="","Thiếu tên sản phẩm; ",IF($J23="","Chưa khai GIÁ GỐC ở BẢNG GIÁ GỐC; ",""))&amp;IF(N($I23)&lt;=0,"Thiếu số lượng; ","")&amp;IF(N($K23)&lt;=0,"Thiếu giá bán; ","")&amp;IF(AND($N23&gt;0,$F23=""),"Khách lấy VAT thiếu mã số thuế; ","")&amp;IF(N($Q23)&gt;$P23,"Đã thu vượt tổng phải thu; ","")&amp;IF(AND($L23&gt;0,$U23&lt;&gt;"",$U23&lt;0),"CẢNH BÁO: ĐƠN NÀY ĐANG LỖ; ","")))</f>
        <v>Chưa khai GIÁ GỐC ở BẢNG GIÁ GỐC; </v>
      </c>
      <c r="Z23" s="18"/>
      <c r="AA23" s="11"/>
      <c r="AB23" s="11"/>
      <c r="AC23" s="12"/>
      <c r="AD23" s="11"/>
    </row>
    <row r="24" customFormat="false" ht="15" hidden="false" customHeight="false" outlineLevel="0" collapsed="false">
      <c r="A24" s="21" t="n">
        <f aca="false">IF($C24="","",COUNTA($C$10:$C24))</f>
        <v>15</v>
      </c>
      <c r="B24" s="18" t="n">
        <v>46214</v>
      </c>
      <c r="C24" s="11" t="s">
        <v>242</v>
      </c>
      <c r="D24" s="22"/>
      <c r="E24" s="11"/>
      <c r="F24" s="22"/>
      <c r="G24" s="11"/>
      <c r="H24" s="11" t="s">
        <v>107</v>
      </c>
      <c r="I24" s="12" t="n">
        <v>250</v>
      </c>
      <c r="J24" s="13" t="n">
        <f aca="false">IF($H24="","",IFERROR(VLOOKUP($H24,'BẢNG GIÁ GỐC'!$A$5:$D$254,3,FALSE()),""))</f>
        <v>0</v>
      </c>
      <c r="K24" s="12" t="n">
        <v>40000</v>
      </c>
      <c r="L24" s="13" t="n">
        <f aca="false">IF($C24="","",N($I24)*N($K24))</f>
        <v>10000000</v>
      </c>
      <c r="M24" s="11" t="s">
        <v>163</v>
      </c>
      <c r="N24" s="14" t="n">
        <f aca="false">IF($C24="","",IF($M24="VAT 5%",0.05,IF($M24="VAT 8%",0.08,IF($M24="VAT 10%",0.1,0))))</f>
        <v>0</v>
      </c>
      <c r="O24" s="13" t="n">
        <f aca="false">IF($C24="","",$L24*$N24)</f>
        <v>0</v>
      </c>
      <c r="P24" s="13" t="n">
        <f aca="false">IF($C24="","",$L24+$O24)</f>
        <v>10000000</v>
      </c>
      <c r="Q24" s="12" t="n">
        <v>10000000</v>
      </c>
      <c r="R24" s="13" t="n">
        <f aca="false">IF($C24="","",MAX(0,$P24-N($Q24)))</f>
        <v>0</v>
      </c>
      <c r="S24" s="23" t="str">
        <f aca="false">IF(OR($C24="",$P24=0),"",IF(N($Q24)&lt;=0,"Chưa thanh toán",IF(N($Q24)&lt;$P24,"Thanh toán một phần","Đã thanh toán")))</f>
        <v>Đã thanh toán</v>
      </c>
      <c r="T24" s="13" t="str">
        <f aca="false">IF(OR($C24="",$J24=""),"",N($I24)*$J24)</f>
        <v/>
      </c>
      <c r="U24" s="13" t="str">
        <f aca="false">IF(OR($C24="",$T24=""),"",$L24-$T24)</f>
        <v/>
      </c>
      <c r="V24" s="14" t="str">
        <f aca="false">IF(OR($U24="",$L24=0),"",$U24/$L24)</f>
        <v/>
      </c>
      <c r="W24" s="11" t="s">
        <v>243</v>
      </c>
      <c r="X24" s="23" t="str">
        <f aca="false">IF($C24="","",IF(AND($H24="",N($I24)=0,N($K24)=0),"Dòng chỉ lưu thông tin khách (chưa có đơn); ",IF($B24="","Thiếu ngày đặt; ","")&amp;IF($H24="","Thiếu tên sản phẩm; ",IF($J24="","Chưa khai GIÁ GỐC ở BẢNG GIÁ GỐC; ",""))&amp;IF(N($I24)&lt;=0,"Thiếu số lượng; ","")&amp;IF(N($K24)&lt;=0,"Thiếu giá bán; ","")&amp;IF(AND($N24&gt;0,$F24=""),"Khách lấy VAT thiếu mã số thuế; ","")&amp;IF(N($Q24)&gt;$P24,"Đã thu vượt tổng phải thu; ","")&amp;IF(AND($L24&gt;0,$U24&lt;&gt;"",$U24&lt;0),"CẢNH BÁO: ĐƠN NÀY ĐANG LỖ; ","")))</f>
        <v>Chưa khai GIÁ GỐC ở BẢNG GIÁ GỐC; </v>
      </c>
      <c r="Z24" s="18"/>
      <c r="AA24" s="11"/>
      <c r="AB24" s="11"/>
      <c r="AC24" s="12"/>
      <c r="AD24" s="11"/>
    </row>
    <row r="25" customFormat="false" ht="15" hidden="false" customHeight="false" outlineLevel="0" collapsed="false">
      <c r="A25" s="21" t="n">
        <f aca="false">IF($C25="","",COUNTA($C$10:$C25))</f>
        <v>16</v>
      </c>
      <c r="B25" s="18" t="n">
        <v>46214</v>
      </c>
      <c r="C25" s="11" t="s">
        <v>244</v>
      </c>
      <c r="D25" s="22" t="s">
        <v>245</v>
      </c>
      <c r="E25" s="11"/>
      <c r="F25" s="22"/>
      <c r="G25" s="11" t="s">
        <v>246</v>
      </c>
      <c r="H25" s="11" t="s">
        <v>110</v>
      </c>
      <c r="I25" s="12" t="n">
        <v>20</v>
      </c>
      <c r="J25" s="13" t="n">
        <f aca="false">IF($H25="","",IFERROR(VLOOKUP($H25,'BẢNG GIÁ GỐC'!$A$5:$D$254,3,FALSE()),""))</f>
        <v>0</v>
      </c>
      <c r="K25" s="12" t="n">
        <v>70000</v>
      </c>
      <c r="L25" s="13" t="n">
        <f aca="false">IF($C25="","",N($I25)*N($K25))</f>
        <v>1400000</v>
      </c>
      <c r="M25" s="11" t="s">
        <v>163</v>
      </c>
      <c r="N25" s="14" t="n">
        <f aca="false">IF($C25="","",IF($M25="VAT 5%",0.05,IF($M25="VAT 8%",0.08,IF($M25="VAT 10%",0.1,0))))</f>
        <v>0</v>
      </c>
      <c r="O25" s="13" t="n">
        <f aca="false">IF($C25="","",$L25*$N25)</f>
        <v>0</v>
      </c>
      <c r="P25" s="13" t="n">
        <f aca="false">IF($C25="","",$L25+$O25)</f>
        <v>1400000</v>
      </c>
      <c r="Q25" s="12" t="n">
        <v>1400000</v>
      </c>
      <c r="R25" s="13" t="n">
        <f aca="false">IF($C25="","",MAX(0,$P25-N($Q25)))</f>
        <v>0</v>
      </c>
      <c r="S25" s="23" t="str">
        <f aca="false">IF(OR($C25="",$P25=0),"",IF(N($Q25)&lt;=0,"Chưa thanh toán",IF(N($Q25)&lt;$P25,"Thanh toán một phần","Đã thanh toán")))</f>
        <v>Đã thanh toán</v>
      </c>
      <c r="T25" s="13" t="str">
        <f aca="false">IF(OR($C25="",$J25=""),"",N($I25)*$J25)</f>
        <v/>
      </c>
      <c r="U25" s="13" t="str">
        <f aca="false">IF(OR($C25="",$T25=""),"",$L25-$T25)</f>
        <v/>
      </c>
      <c r="V25" s="14" t="str">
        <f aca="false">IF(OR($U25="",$L25=0),"",$U25/$L25)</f>
        <v/>
      </c>
      <c r="W25" s="11" t="s">
        <v>247</v>
      </c>
      <c r="X25" s="23" t="str">
        <f aca="false">IF($C25="","",IF(AND($H25="",N($I25)=0,N($K25)=0),"Dòng chỉ lưu thông tin khách (chưa có đơn); ",IF($B25="","Thiếu ngày đặt; ","")&amp;IF($H25="","Thiếu tên sản phẩm; ",IF($J25="","Chưa khai GIÁ GỐC ở BẢNG GIÁ GỐC; ",""))&amp;IF(N($I25)&lt;=0,"Thiếu số lượng; ","")&amp;IF(N($K25)&lt;=0,"Thiếu giá bán; ","")&amp;IF(AND($N25&gt;0,$F25=""),"Khách lấy VAT thiếu mã số thuế; ","")&amp;IF(N($Q25)&gt;$P25,"Đã thu vượt tổng phải thu; ","")&amp;IF(AND($L25&gt;0,$U25&lt;&gt;"",$U25&lt;0),"CẢNH BÁO: ĐƠN NÀY ĐANG LỖ; ","")))</f>
        <v>Chưa khai GIÁ GỐC ở BẢNG GIÁ GỐC; </v>
      </c>
      <c r="Z25" s="24" t="s">
        <v>177</v>
      </c>
      <c r="AA25" s="24"/>
      <c r="AB25" s="24"/>
      <c r="AC25" s="25" t="n">
        <f aca="false">SUM(AC5:AC24)</f>
        <v>0</v>
      </c>
      <c r="AD25" s="26"/>
    </row>
    <row r="26" customFormat="false" ht="15" hidden="false" customHeight="false" outlineLevel="0" collapsed="false">
      <c r="A26" s="21" t="n">
        <f aca="false">IF($C26="","",COUNTA($C$10:$C26))</f>
        <v>17</v>
      </c>
      <c r="B26" s="18" t="n">
        <v>46216</v>
      </c>
      <c r="C26" s="11" t="s">
        <v>248</v>
      </c>
      <c r="D26" s="22" t="s">
        <v>249</v>
      </c>
      <c r="E26" s="11"/>
      <c r="F26" s="22"/>
      <c r="G26" s="11" t="s">
        <v>250</v>
      </c>
      <c r="H26" s="11" t="s">
        <v>110</v>
      </c>
      <c r="I26" s="12" t="n">
        <v>50</v>
      </c>
      <c r="J26" s="13" t="n">
        <f aca="false">IF($H26="","",IFERROR(VLOOKUP($H26,'BẢNG GIÁ GỐC'!$A$5:$D$254,3,FALSE()),""))</f>
        <v>0</v>
      </c>
      <c r="K26" s="12" t="n">
        <v>55000</v>
      </c>
      <c r="L26" s="13" t="n">
        <f aca="false">IF($C26="","",N($I26)*N($K26))</f>
        <v>2750000</v>
      </c>
      <c r="M26" s="11" t="s">
        <v>163</v>
      </c>
      <c r="N26" s="14" t="n">
        <f aca="false">IF($C26="","",IF($M26="VAT 5%",0.05,IF($M26="VAT 8%",0.08,IF($M26="VAT 10%",0.1,0))))</f>
        <v>0</v>
      </c>
      <c r="O26" s="13" t="n">
        <f aca="false">IF($C26="","",$L26*$N26)</f>
        <v>0</v>
      </c>
      <c r="P26" s="13" t="n">
        <f aca="false">IF($C26="","",$L26+$O26)</f>
        <v>2750000</v>
      </c>
      <c r="Q26" s="12" t="n">
        <v>2750000</v>
      </c>
      <c r="R26" s="13" t="n">
        <f aca="false">IF($C26="","",MAX(0,$P26-N($Q26)))</f>
        <v>0</v>
      </c>
      <c r="S26" s="23" t="str">
        <f aca="false">IF(OR($C26="",$P26=0),"",IF(N($Q26)&lt;=0,"Chưa thanh toán",IF(N($Q26)&lt;$P26,"Thanh toán một phần","Đã thanh toán")))</f>
        <v>Đã thanh toán</v>
      </c>
      <c r="T26" s="13" t="str">
        <f aca="false">IF(OR($C26="",$J26=""),"",N($I26)*$J26)</f>
        <v/>
      </c>
      <c r="U26" s="13" t="str">
        <f aca="false">IF(OR($C26="",$T26=""),"",$L26-$T26)</f>
        <v/>
      </c>
      <c r="V26" s="14" t="str">
        <f aca="false">IF(OR($U26="",$L26=0),"",$U26/$L26)</f>
        <v/>
      </c>
      <c r="W26" s="11" t="s">
        <v>251</v>
      </c>
      <c r="X26" s="23" t="str">
        <f aca="false">IF($C26="","",IF(AND($H26="",N($I26)=0,N($K26)=0),"Dòng chỉ lưu thông tin khách (chưa có đơn); ",IF($B26="","Thiếu ngày đặt; ","")&amp;IF($H26="","Thiếu tên sản phẩm; ",IF($J26="","Chưa khai GIÁ GỐC ở BẢNG GIÁ GỐC; ",""))&amp;IF(N($I26)&lt;=0,"Thiếu số lượng; ","")&amp;IF(N($K26)&lt;=0,"Thiếu giá bán; ","")&amp;IF(AND($N26&gt;0,$F26=""),"Khách lấy VAT thiếu mã số thuế; ","")&amp;IF(N($Q26)&gt;$P26,"Đã thu vượt tổng phải thu; ","")&amp;IF(AND($L26&gt;0,$U26&lt;&gt;"",$U26&lt;0),"CẢNH BÁO: ĐƠN NÀY ĐANG LỖ; ","")))</f>
        <v>Chưa khai GIÁ GỐC ở BẢNG GIÁ GỐC; </v>
      </c>
    </row>
    <row r="27" customFormat="false" ht="15" hidden="false" customHeight="false" outlineLevel="0" collapsed="false">
      <c r="A27" s="21" t="n">
        <f aca="false">IF($C27="","",COUNTA($C$10:$C27))</f>
        <v>18</v>
      </c>
      <c r="B27" s="18" t="n">
        <v>46216</v>
      </c>
      <c r="C27" s="11" t="s">
        <v>252</v>
      </c>
      <c r="D27" s="22" t="s">
        <v>253</v>
      </c>
      <c r="E27" s="11"/>
      <c r="F27" s="22"/>
      <c r="G27" s="11" t="s">
        <v>254</v>
      </c>
      <c r="H27" s="11" t="s">
        <v>98</v>
      </c>
      <c r="I27" s="12" t="n">
        <v>25</v>
      </c>
      <c r="J27" s="13" t="n">
        <f aca="false">IF($H27="","",IFERROR(VLOOKUP($H27,'BẢNG GIÁ GỐC'!$A$5:$D$254,3,FALSE()),""))</f>
        <v>0</v>
      </c>
      <c r="K27" s="12" t="n">
        <v>58000</v>
      </c>
      <c r="L27" s="13" t="n">
        <f aca="false">IF($C27="","",N($I27)*N($K27))</f>
        <v>1450000</v>
      </c>
      <c r="M27" s="11" t="s">
        <v>163</v>
      </c>
      <c r="N27" s="14" t="n">
        <f aca="false">IF($C27="","",IF($M27="VAT 5%",0.05,IF($M27="VAT 8%",0.08,IF($M27="VAT 10%",0.1,0))))</f>
        <v>0</v>
      </c>
      <c r="O27" s="13" t="n">
        <f aca="false">IF($C27="","",$L27*$N27)</f>
        <v>0</v>
      </c>
      <c r="P27" s="13" t="n">
        <f aca="false">IF($C27="","",$L27+$O27)</f>
        <v>1450000</v>
      </c>
      <c r="Q27" s="12" t="n">
        <v>1450000</v>
      </c>
      <c r="R27" s="13" t="n">
        <f aca="false">IF($C27="","",MAX(0,$P27-N($Q27)))</f>
        <v>0</v>
      </c>
      <c r="S27" s="23" t="str">
        <f aca="false">IF(OR($C27="",$P27=0),"",IF(N($Q27)&lt;=0,"Chưa thanh toán",IF(N($Q27)&lt;$P27,"Thanh toán một phần","Đã thanh toán")))</f>
        <v>Đã thanh toán</v>
      </c>
      <c r="T27" s="13" t="str">
        <f aca="false">IF(OR($C27="",$J27=""),"",N($I27)*$J27)</f>
        <v/>
      </c>
      <c r="U27" s="13" t="str">
        <f aca="false">IF(OR($C27="",$T27=""),"",$L27-$T27)</f>
        <v/>
      </c>
      <c r="V27" s="14" t="str">
        <f aca="false">IF(OR($U27="",$L27=0),"",$U27/$L27)</f>
        <v/>
      </c>
      <c r="W27" s="11" t="s">
        <v>255</v>
      </c>
      <c r="X27" s="23" t="str">
        <f aca="false">IF($C27="","",IF(AND($H27="",N($I27)=0,N($K27)=0),"Dòng chỉ lưu thông tin khách (chưa có đơn); ",IF($B27="","Thiếu ngày đặt; ","")&amp;IF($H27="","Thiếu tên sản phẩm; ",IF($J27="","Chưa khai GIÁ GỐC ở BẢNG GIÁ GỐC; ",""))&amp;IF(N($I27)&lt;=0,"Thiếu số lượng; ","")&amp;IF(N($K27)&lt;=0,"Thiếu giá bán; ","")&amp;IF(AND($N27&gt;0,$F27=""),"Khách lấy VAT thiếu mã số thuế; ","")&amp;IF(N($Q27)&gt;$P27,"Đã thu vượt tổng phải thu; ","")&amp;IF(AND($L27&gt;0,$U27&lt;&gt;"",$U27&lt;0),"CẢNH BÁO: ĐƠN NÀY ĐANG LỖ; ","")))</f>
        <v>Chưa khai GIÁ GỐC ở BẢNG GIÁ GỐC; </v>
      </c>
    </row>
    <row r="28" customFormat="false" ht="15" hidden="false" customHeight="false" outlineLevel="0" collapsed="false">
      <c r="A28" s="21" t="n">
        <f aca="false">IF($C28="","",COUNTA($C$10:$C28))</f>
        <v>19</v>
      </c>
      <c r="B28" s="18" t="n">
        <v>46216</v>
      </c>
      <c r="C28" s="11" t="s">
        <v>256</v>
      </c>
      <c r="D28" s="22" t="s">
        <v>257</v>
      </c>
      <c r="E28" s="11"/>
      <c r="F28" s="22"/>
      <c r="G28" s="11"/>
      <c r="H28" s="11" t="s">
        <v>107</v>
      </c>
      <c r="I28" s="12" t="n">
        <v>30</v>
      </c>
      <c r="J28" s="13" t="n">
        <f aca="false">IF($H28="","",IFERROR(VLOOKUP($H28,'BẢNG GIÁ GỐC'!$A$5:$D$254,3,FALSE()),""))</f>
        <v>0</v>
      </c>
      <c r="K28" s="12" t="n">
        <v>48000</v>
      </c>
      <c r="L28" s="13" t="n">
        <f aca="false">IF($C28="","",N($I28)*N($K28))</f>
        <v>1440000</v>
      </c>
      <c r="M28" s="11" t="s">
        <v>163</v>
      </c>
      <c r="N28" s="14" t="n">
        <f aca="false">IF($C28="","",IF($M28="VAT 5%",0.05,IF($M28="VAT 8%",0.08,IF($M28="VAT 10%",0.1,0))))</f>
        <v>0</v>
      </c>
      <c r="O28" s="13" t="n">
        <f aca="false">IF($C28="","",$L28*$N28)</f>
        <v>0</v>
      </c>
      <c r="P28" s="13" t="n">
        <f aca="false">IF($C28="","",$L28+$O28)</f>
        <v>1440000</v>
      </c>
      <c r="Q28" s="12" t="n">
        <v>1440000</v>
      </c>
      <c r="R28" s="13" t="n">
        <f aca="false">IF($C28="","",MAX(0,$P28-N($Q28)))</f>
        <v>0</v>
      </c>
      <c r="S28" s="23" t="str">
        <f aca="false">IF(OR($C28="",$P28=0),"",IF(N($Q28)&lt;=0,"Chưa thanh toán",IF(N($Q28)&lt;$P28,"Thanh toán một phần","Đã thanh toán")))</f>
        <v>Đã thanh toán</v>
      </c>
      <c r="T28" s="13" t="str">
        <f aca="false">IF(OR($C28="",$J28=""),"",N($I28)*$J28)</f>
        <v/>
      </c>
      <c r="U28" s="13" t="str">
        <f aca="false">IF(OR($C28="",$T28=""),"",$L28-$T28)</f>
        <v/>
      </c>
      <c r="V28" s="14" t="str">
        <f aca="false">IF(OR($U28="",$L28=0),"",$U28/$L28)</f>
        <v/>
      </c>
      <c r="W28" s="11" t="s">
        <v>258</v>
      </c>
      <c r="X28" s="23" t="str">
        <f aca="false">IF($C28="","",IF(AND($H28="",N($I28)=0,N($K28)=0),"Dòng chỉ lưu thông tin khách (chưa có đơn); ",IF($B28="","Thiếu ngày đặt; ","")&amp;IF($H28="","Thiếu tên sản phẩm; ",IF($J28="","Chưa khai GIÁ GỐC ở BẢNG GIÁ GỐC; ",""))&amp;IF(N($I28)&lt;=0,"Thiếu số lượng; ","")&amp;IF(N($K28)&lt;=0,"Thiếu giá bán; ","")&amp;IF(AND($N28&gt;0,$F28=""),"Khách lấy VAT thiếu mã số thuế; ","")&amp;IF(N($Q28)&gt;$P28,"Đã thu vượt tổng phải thu; ","")&amp;IF(AND($L28&gt;0,$U28&lt;&gt;"",$U28&lt;0),"CẢNH BÁO: ĐƠN NÀY ĐANG LỖ; ","")))</f>
        <v>Chưa khai GIÁ GỐC ở BẢNG GIÁ GỐC; </v>
      </c>
    </row>
    <row r="29" customFormat="false" ht="15" hidden="false" customHeight="false" outlineLevel="0" collapsed="false">
      <c r="A29" s="21" t="n">
        <f aca="false">IF($C29="","",COUNTA($C$10:$C29))</f>
        <v>20</v>
      </c>
      <c r="B29" s="18" t="n">
        <v>46216</v>
      </c>
      <c r="C29" s="11" t="s">
        <v>259</v>
      </c>
      <c r="D29" s="22" t="s">
        <v>260</v>
      </c>
      <c r="E29" s="11"/>
      <c r="F29" s="22"/>
      <c r="G29" s="11" t="s">
        <v>261</v>
      </c>
      <c r="H29" s="11" t="s">
        <v>113</v>
      </c>
      <c r="I29" s="12" t="n">
        <v>50</v>
      </c>
      <c r="J29" s="13" t="n">
        <f aca="false">IF($H29="","",IFERROR(VLOOKUP($H29,'BẢNG GIÁ GỐC'!$A$5:$D$254,3,FALSE()),""))</f>
        <v>0</v>
      </c>
      <c r="K29" s="12" t="n">
        <v>29000</v>
      </c>
      <c r="L29" s="13" t="n">
        <f aca="false">IF($C29="","",N($I29)*N($K29))</f>
        <v>1450000</v>
      </c>
      <c r="M29" s="11" t="s">
        <v>163</v>
      </c>
      <c r="N29" s="14" t="n">
        <f aca="false">IF($C29="","",IF($M29="VAT 5%",0.05,IF($M29="VAT 8%",0.08,IF($M29="VAT 10%",0.1,0))))</f>
        <v>0</v>
      </c>
      <c r="O29" s="13" t="n">
        <f aca="false">IF($C29="","",$L29*$N29)</f>
        <v>0</v>
      </c>
      <c r="P29" s="13" t="n">
        <f aca="false">IF($C29="","",$L29+$O29)</f>
        <v>1450000</v>
      </c>
      <c r="Q29" s="12" t="n">
        <v>725000</v>
      </c>
      <c r="R29" s="13" t="n">
        <f aca="false">IF($C29="","",MAX(0,$P29-N($Q29)))</f>
        <v>725000</v>
      </c>
      <c r="S29" s="23" t="str">
        <f aca="false">IF(OR($C29="",$P29=0),"",IF(N($Q29)&lt;=0,"Chưa thanh toán",IF(N($Q29)&lt;$P29,"Thanh toán một phần","Đã thanh toán")))</f>
        <v>Thanh toán một phần</v>
      </c>
      <c r="T29" s="13" t="str">
        <f aca="false">IF(OR($C29="",$J29=""),"",N($I29)*$J29)</f>
        <v/>
      </c>
      <c r="U29" s="13" t="str">
        <f aca="false">IF(OR($C29="",$T29=""),"",$L29-$T29)</f>
        <v/>
      </c>
      <c r="V29" s="14" t="str">
        <f aca="false">IF(OR($U29="",$L29=0),"",$U29/$L29)</f>
        <v/>
      </c>
      <c r="W29" s="11" t="s">
        <v>262</v>
      </c>
      <c r="X29" s="23" t="str">
        <f aca="false">IF($C29="","",IF(AND($H29="",N($I29)=0,N($K29)=0),"Dòng chỉ lưu thông tin khách (chưa có đơn); ",IF($B29="","Thiếu ngày đặt; ","")&amp;IF($H29="","Thiếu tên sản phẩm; ",IF($J29="","Chưa khai GIÁ GỐC ở BẢNG GIÁ GỐC; ",""))&amp;IF(N($I29)&lt;=0,"Thiếu số lượng; ","")&amp;IF(N($K29)&lt;=0,"Thiếu giá bán; ","")&amp;IF(AND($N29&gt;0,$F29=""),"Khách lấy VAT thiếu mã số thuế; ","")&amp;IF(N($Q29)&gt;$P29,"Đã thu vượt tổng phải thu; ","")&amp;IF(AND($L29&gt;0,$U29&lt;&gt;"",$U29&lt;0),"CẢNH BÁO: ĐƠN NÀY ĐANG LỖ; ","")))</f>
        <v>Chưa khai GIÁ GỐC ở BẢNG GIÁ GỐC; </v>
      </c>
    </row>
    <row r="30" customFormat="false" ht="15" hidden="false" customHeight="false" outlineLevel="0" collapsed="false">
      <c r="A30" s="21" t="n">
        <f aca="false">IF($C30="","",COUNTA($C$10:$C30))</f>
        <v>21</v>
      </c>
      <c r="B30" s="18" t="n">
        <v>46217</v>
      </c>
      <c r="C30" s="11" t="s">
        <v>263</v>
      </c>
      <c r="D30" s="22" t="s">
        <v>264</v>
      </c>
      <c r="E30" s="11"/>
      <c r="F30" s="22"/>
      <c r="G30" s="11" t="s">
        <v>265</v>
      </c>
      <c r="H30" s="11" t="s">
        <v>107</v>
      </c>
      <c r="I30" s="12" t="n">
        <v>35</v>
      </c>
      <c r="J30" s="13" t="n">
        <f aca="false">IF($H30="","",IFERROR(VLOOKUP($H30,'BẢNG GIÁ GỐC'!$A$5:$D$254,3,FALSE()),""))</f>
        <v>0</v>
      </c>
      <c r="K30" s="12" t="n">
        <v>50000</v>
      </c>
      <c r="L30" s="13" t="n">
        <f aca="false">IF($C30="","",N($I30)*N($K30))</f>
        <v>1750000</v>
      </c>
      <c r="M30" s="11" t="s">
        <v>163</v>
      </c>
      <c r="N30" s="14" t="n">
        <f aca="false">IF($C30="","",IF($M30="VAT 5%",0.05,IF($M30="VAT 8%",0.08,IF($M30="VAT 10%",0.1,0))))</f>
        <v>0</v>
      </c>
      <c r="O30" s="13" t="n">
        <f aca="false">IF($C30="","",$L30*$N30)</f>
        <v>0</v>
      </c>
      <c r="P30" s="13" t="n">
        <f aca="false">IF($C30="","",$L30+$O30)</f>
        <v>1750000</v>
      </c>
      <c r="Q30" s="12" t="n">
        <v>1750000</v>
      </c>
      <c r="R30" s="13" t="n">
        <f aca="false">IF($C30="","",MAX(0,$P30-N($Q30)))</f>
        <v>0</v>
      </c>
      <c r="S30" s="23" t="str">
        <f aca="false">IF(OR($C30="",$P30=0),"",IF(N($Q30)&lt;=0,"Chưa thanh toán",IF(N($Q30)&lt;$P30,"Thanh toán một phần","Đã thanh toán")))</f>
        <v>Đã thanh toán</v>
      </c>
      <c r="T30" s="13" t="str">
        <f aca="false">IF(OR($C30="",$J30=""),"",N($I30)*$J30)</f>
        <v/>
      </c>
      <c r="U30" s="13" t="str">
        <f aca="false">IF(OR($C30="",$T30=""),"",$L30-$T30)</f>
        <v/>
      </c>
      <c r="V30" s="14" t="str">
        <f aca="false">IF(OR($U30="",$L30=0),"",$U30/$L30)</f>
        <v/>
      </c>
      <c r="W30" s="11" t="s">
        <v>266</v>
      </c>
      <c r="X30" s="23" t="str">
        <f aca="false">IF($C30="","",IF(AND($H30="",N($I30)=0,N($K30)=0),"Dòng chỉ lưu thông tin khách (chưa có đơn); ",IF($B30="","Thiếu ngày đặt; ","")&amp;IF($H30="","Thiếu tên sản phẩm; ",IF($J30="","Chưa khai GIÁ GỐC ở BẢNG GIÁ GỐC; ",""))&amp;IF(N($I30)&lt;=0,"Thiếu số lượng; ","")&amp;IF(N($K30)&lt;=0,"Thiếu giá bán; ","")&amp;IF(AND($N30&gt;0,$F30=""),"Khách lấy VAT thiếu mã số thuế; ","")&amp;IF(N($Q30)&gt;$P30,"Đã thu vượt tổng phải thu; ","")&amp;IF(AND($L30&gt;0,$U30&lt;&gt;"",$U30&lt;0),"CẢNH BÁO: ĐƠN NÀY ĐANG LỖ; ","")))</f>
        <v>Chưa khai GIÁ GỐC ở BẢNG GIÁ GỐC; </v>
      </c>
    </row>
    <row r="31" customFormat="false" ht="15" hidden="false" customHeight="false" outlineLevel="0" collapsed="false">
      <c r="A31" s="21" t="n">
        <f aca="false">IF($C31="","",COUNTA($C$10:$C31))</f>
        <v>22</v>
      </c>
      <c r="B31" s="18" t="n">
        <v>46217</v>
      </c>
      <c r="C31" s="11" t="s">
        <v>267</v>
      </c>
      <c r="D31" s="22" t="s">
        <v>268</v>
      </c>
      <c r="E31" s="11"/>
      <c r="F31" s="22"/>
      <c r="G31" s="11" t="s">
        <v>269</v>
      </c>
      <c r="H31" s="11" t="s">
        <v>103</v>
      </c>
      <c r="I31" s="12" t="n">
        <v>20</v>
      </c>
      <c r="J31" s="13" t="n">
        <f aca="false">IF($H31="","",IFERROR(VLOOKUP($H31,'BẢNG GIÁ GỐC'!$A$5:$D$254,3,FALSE()),""))</f>
        <v>0</v>
      </c>
      <c r="K31" s="12" t="n">
        <v>50000</v>
      </c>
      <c r="L31" s="13" t="n">
        <f aca="false">IF($C31="","",N($I31)*N($K31))</f>
        <v>1000000</v>
      </c>
      <c r="M31" s="11" t="s">
        <v>163</v>
      </c>
      <c r="N31" s="14" t="n">
        <f aca="false">IF($C31="","",IF($M31="VAT 5%",0.05,IF($M31="VAT 8%",0.08,IF($M31="VAT 10%",0.1,0))))</f>
        <v>0</v>
      </c>
      <c r="O31" s="13" t="n">
        <f aca="false">IF($C31="","",$L31*$N31)</f>
        <v>0</v>
      </c>
      <c r="P31" s="13" t="n">
        <f aca="false">IF($C31="","",$L31+$O31)</f>
        <v>1000000</v>
      </c>
      <c r="Q31" s="12" t="n">
        <v>1000000</v>
      </c>
      <c r="R31" s="13" t="n">
        <f aca="false">IF($C31="","",MAX(0,$P31-N($Q31)))</f>
        <v>0</v>
      </c>
      <c r="S31" s="23" t="str">
        <f aca="false">IF(OR($C31="",$P31=0),"",IF(N($Q31)&lt;=0,"Chưa thanh toán",IF(N($Q31)&lt;$P31,"Thanh toán một phần","Đã thanh toán")))</f>
        <v>Đã thanh toán</v>
      </c>
      <c r="T31" s="13" t="str">
        <f aca="false">IF(OR($C31="",$J31=""),"",N($I31)*$J31)</f>
        <v/>
      </c>
      <c r="U31" s="13" t="str">
        <f aca="false">IF(OR($C31="",$T31=""),"",$L31-$T31)</f>
        <v/>
      </c>
      <c r="V31" s="14" t="str">
        <f aca="false">IF(OR($U31="",$L31=0),"",$U31/$L31)</f>
        <v/>
      </c>
      <c r="W31" s="11" t="s">
        <v>270</v>
      </c>
      <c r="X31" s="23" t="str">
        <f aca="false">IF($C31="","",IF(AND($H31="",N($I31)=0,N($K31)=0),"Dòng chỉ lưu thông tin khách (chưa có đơn); ",IF($B31="","Thiếu ngày đặt; ","")&amp;IF($H31="","Thiếu tên sản phẩm; ",IF($J31="","Chưa khai GIÁ GỐC ở BẢNG GIÁ GỐC; ",""))&amp;IF(N($I31)&lt;=0,"Thiếu số lượng; ","")&amp;IF(N($K31)&lt;=0,"Thiếu giá bán; ","")&amp;IF(AND($N31&gt;0,$F31=""),"Khách lấy VAT thiếu mã số thuế; ","")&amp;IF(N($Q31)&gt;$P31,"Đã thu vượt tổng phải thu; ","")&amp;IF(AND($L31&gt;0,$U31&lt;&gt;"",$U31&lt;0),"CẢNH BÁO: ĐƠN NÀY ĐANG LỖ; ","")))</f>
        <v>Chưa khai GIÁ GỐC ở BẢNG GIÁ GỐC; </v>
      </c>
    </row>
    <row r="32" customFormat="false" ht="15" hidden="false" customHeight="false" outlineLevel="0" collapsed="false">
      <c r="A32" s="21" t="n">
        <f aca="false">IF($C32="","",COUNTA($C$10:$C32))</f>
        <v>23</v>
      </c>
      <c r="B32" s="18" t="n">
        <v>46217</v>
      </c>
      <c r="C32" s="11" t="s">
        <v>271</v>
      </c>
      <c r="D32" s="22" t="s">
        <v>272</v>
      </c>
      <c r="E32" s="11"/>
      <c r="F32" s="22"/>
      <c r="G32" s="11" t="s">
        <v>273</v>
      </c>
      <c r="H32" s="11" t="s">
        <v>100</v>
      </c>
      <c r="I32" s="12" t="n">
        <v>100</v>
      </c>
      <c r="J32" s="13" t="n">
        <f aca="false">IF($H32="","",IFERROR(VLOOKUP($H32,'BẢNG GIÁ GỐC'!$A$5:$D$254,3,FALSE()),""))</f>
        <v>0</v>
      </c>
      <c r="K32" s="12" t="n">
        <v>62500</v>
      </c>
      <c r="L32" s="13" t="n">
        <f aca="false">IF($C32="","",N($I32)*N($K32))</f>
        <v>6250000</v>
      </c>
      <c r="M32" s="11" t="s">
        <v>163</v>
      </c>
      <c r="N32" s="14" t="n">
        <f aca="false">IF($C32="","",IF($M32="VAT 5%",0.05,IF($M32="VAT 8%",0.08,IF($M32="VAT 10%",0.1,0))))</f>
        <v>0</v>
      </c>
      <c r="O32" s="13" t="n">
        <f aca="false">IF($C32="","",$L32*$N32)</f>
        <v>0</v>
      </c>
      <c r="P32" s="13" t="n">
        <f aca="false">IF($C32="","",$L32+$O32)</f>
        <v>6250000</v>
      </c>
      <c r="Q32" s="12" t="n">
        <v>6250000</v>
      </c>
      <c r="R32" s="13" t="n">
        <f aca="false">IF($C32="","",MAX(0,$P32-N($Q32)))</f>
        <v>0</v>
      </c>
      <c r="S32" s="23" t="str">
        <f aca="false">IF(OR($C32="",$P32=0),"",IF(N($Q32)&lt;=0,"Chưa thanh toán",IF(N($Q32)&lt;$P32,"Thanh toán một phần","Đã thanh toán")))</f>
        <v>Đã thanh toán</v>
      </c>
      <c r="T32" s="13" t="str">
        <f aca="false">IF(OR($C32="",$J32=""),"",N($I32)*$J32)</f>
        <v/>
      </c>
      <c r="U32" s="13" t="str">
        <f aca="false">IF(OR($C32="",$T32=""),"",$L32-$T32)</f>
        <v/>
      </c>
      <c r="V32" s="14" t="str">
        <f aca="false">IF(OR($U32="",$L32=0),"",$U32/$L32)</f>
        <v/>
      </c>
      <c r="W32" s="11" t="s">
        <v>274</v>
      </c>
      <c r="X32" s="23" t="str">
        <f aca="false">IF($C32="","",IF(AND($H32="",N($I32)=0,N($K32)=0),"Dòng chỉ lưu thông tin khách (chưa có đơn); ",IF($B32="","Thiếu ngày đặt; ","")&amp;IF($H32="","Thiếu tên sản phẩm; ",IF($J32="","Chưa khai GIÁ GỐC ở BẢNG GIÁ GỐC; ",""))&amp;IF(N($I32)&lt;=0,"Thiếu số lượng; ","")&amp;IF(N($K32)&lt;=0,"Thiếu giá bán; ","")&amp;IF(AND($N32&gt;0,$F32=""),"Khách lấy VAT thiếu mã số thuế; ","")&amp;IF(N($Q32)&gt;$P32,"Đã thu vượt tổng phải thu; ","")&amp;IF(AND($L32&gt;0,$U32&lt;&gt;"",$U32&lt;0),"CẢNH BÁO: ĐƠN NÀY ĐANG LỖ; ","")))</f>
        <v>Chưa khai GIÁ GỐC ở BẢNG GIÁ GỐC; </v>
      </c>
    </row>
    <row r="33" customFormat="false" ht="15" hidden="false" customHeight="false" outlineLevel="0" collapsed="false">
      <c r="A33" s="21" t="n">
        <f aca="false">IF($C33="","",COUNTA($C$10:$C33))</f>
        <v>24</v>
      </c>
      <c r="B33" s="18" t="n">
        <v>46219</v>
      </c>
      <c r="C33" s="11" t="s">
        <v>275</v>
      </c>
      <c r="D33" s="22" t="s">
        <v>276</v>
      </c>
      <c r="E33" s="11"/>
      <c r="F33" s="22"/>
      <c r="G33" s="11"/>
      <c r="H33" s="11" t="s">
        <v>91</v>
      </c>
      <c r="I33" s="12" t="n">
        <v>90</v>
      </c>
      <c r="J33" s="13" t="n">
        <f aca="false">IF($H33="","",IFERROR(VLOOKUP($H33,'BẢNG GIÁ GỐC'!$A$5:$D$254,3,FALSE()),""))</f>
        <v>0</v>
      </c>
      <c r="K33" s="12" t="n">
        <v>65000</v>
      </c>
      <c r="L33" s="13" t="n">
        <f aca="false">IF($C33="","",N($I33)*N($K33))</f>
        <v>5850000</v>
      </c>
      <c r="M33" s="11" t="s">
        <v>191</v>
      </c>
      <c r="N33" s="14" t="n">
        <f aca="false">IF($C33="","",IF($M33="VAT 5%",0.05,IF($M33="VAT 8%",0.08,IF($M33="VAT 10%",0.1,0))))</f>
        <v>0.08</v>
      </c>
      <c r="O33" s="13" t="n">
        <f aca="false">IF($C33="","",$L33*$N33)</f>
        <v>468000</v>
      </c>
      <c r="P33" s="13" t="n">
        <f aca="false">IF($C33="","",$L33+$O33)</f>
        <v>6318000</v>
      </c>
      <c r="Q33" s="12" t="n">
        <v>6318000</v>
      </c>
      <c r="R33" s="13" t="n">
        <f aca="false">IF($C33="","",MAX(0,$P33-N($Q33)))</f>
        <v>0</v>
      </c>
      <c r="S33" s="23" t="str">
        <f aca="false">IF(OR($C33="",$P33=0),"",IF(N($Q33)&lt;=0,"Chưa thanh toán",IF(N($Q33)&lt;$P33,"Thanh toán một phần","Đã thanh toán")))</f>
        <v>Đã thanh toán</v>
      </c>
      <c r="T33" s="13" t="str">
        <f aca="false">IF(OR($C33="",$J33=""),"",N($I33)*$J33)</f>
        <v/>
      </c>
      <c r="U33" s="13" t="str">
        <f aca="false">IF(OR($C33="",$T33=""),"",$L33-$T33)</f>
        <v/>
      </c>
      <c r="V33" s="14" t="str">
        <f aca="false">IF(OR($U33="",$L33=0),"",$U33/$L33)</f>
        <v/>
      </c>
      <c r="W33" s="11" t="s">
        <v>277</v>
      </c>
      <c r="X33" s="23" t="str">
        <f aca="false">IF($C33="","",IF(AND($H33="",N($I33)=0,N($K33)=0),"Dòng chỉ lưu thông tin khách (chưa có đơn); ",IF($B33="","Thiếu ngày đặt; ","")&amp;IF($H33="","Thiếu tên sản phẩm; ",IF($J33="","Chưa khai GIÁ GỐC ở BẢNG GIÁ GỐC; ",""))&amp;IF(N($I33)&lt;=0,"Thiếu số lượng; ","")&amp;IF(N($K33)&lt;=0,"Thiếu giá bán; ","")&amp;IF(AND($N33&gt;0,$F33=""),"Khách lấy VAT thiếu mã số thuế; ","")&amp;IF(N($Q33)&gt;$P33,"Đã thu vượt tổng phải thu; ","")&amp;IF(AND($L33&gt;0,$U33&lt;&gt;"",$U33&lt;0),"CẢNH BÁO: ĐƠN NÀY ĐANG LỖ; ","")))</f>
        <v>Chưa khai GIÁ GỐC ở BẢNG GIÁ GỐC; Khách lấy VAT thiếu mã số thuế; </v>
      </c>
    </row>
    <row r="34" customFormat="false" ht="15" hidden="false" customHeight="false" outlineLevel="0" collapsed="false">
      <c r="A34" s="21" t="n">
        <f aca="false">IF($C34="","",COUNTA($C$10:$C34))</f>
        <v>25</v>
      </c>
      <c r="B34" s="18" t="n">
        <v>46219</v>
      </c>
      <c r="C34" s="11" t="s">
        <v>278</v>
      </c>
      <c r="D34" s="22" t="s">
        <v>279</v>
      </c>
      <c r="E34" s="11"/>
      <c r="F34" s="22"/>
      <c r="G34" s="11" t="s">
        <v>280</v>
      </c>
      <c r="H34" s="11" t="s">
        <v>90</v>
      </c>
      <c r="I34" s="12" t="n">
        <v>60</v>
      </c>
      <c r="J34" s="13" t="n">
        <f aca="false">IF($H34="","",IFERROR(VLOOKUP($H34,'BẢNG GIÁ GỐC'!$A$5:$D$254,3,FALSE()),""))</f>
        <v>0</v>
      </c>
      <c r="K34" s="12" t="n">
        <v>48000</v>
      </c>
      <c r="L34" s="13" t="n">
        <f aca="false">IF($C34="","",N($I34)*N($K34))</f>
        <v>2880000</v>
      </c>
      <c r="M34" s="11" t="s">
        <v>163</v>
      </c>
      <c r="N34" s="14" t="n">
        <f aca="false">IF($C34="","",IF($M34="VAT 5%",0.05,IF($M34="VAT 8%",0.08,IF($M34="VAT 10%",0.1,0))))</f>
        <v>0</v>
      </c>
      <c r="O34" s="13" t="n">
        <f aca="false">IF($C34="","",$L34*$N34)</f>
        <v>0</v>
      </c>
      <c r="P34" s="13" t="n">
        <f aca="false">IF($C34="","",$L34+$O34)</f>
        <v>2880000</v>
      </c>
      <c r="Q34" s="12" t="n">
        <v>2880000</v>
      </c>
      <c r="R34" s="13" t="n">
        <f aca="false">IF($C34="","",MAX(0,$P34-N($Q34)))</f>
        <v>0</v>
      </c>
      <c r="S34" s="23" t="str">
        <f aca="false">IF(OR($C34="",$P34=0),"",IF(N($Q34)&lt;=0,"Chưa thanh toán",IF(N($Q34)&lt;$P34,"Thanh toán một phần","Đã thanh toán")))</f>
        <v>Đã thanh toán</v>
      </c>
      <c r="T34" s="13" t="str">
        <f aca="false">IF(OR($C34="",$J34=""),"",N($I34)*$J34)</f>
        <v/>
      </c>
      <c r="U34" s="13" t="str">
        <f aca="false">IF(OR($C34="",$T34=""),"",$L34-$T34)</f>
        <v/>
      </c>
      <c r="V34" s="14" t="str">
        <f aca="false">IF(OR($U34="",$L34=0),"",$U34/$L34)</f>
        <v/>
      </c>
      <c r="W34" s="11" t="s">
        <v>281</v>
      </c>
      <c r="X34" s="23" t="str">
        <f aca="false">IF($C34="","",IF(AND($H34="",N($I34)=0,N($K34)=0),"Dòng chỉ lưu thông tin khách (chưa có đơn); ",IF($B34="","Thiếu ngày đặt; ","")&amp;IF($H34="","Thiếu tên sản phẩm; ",IF($J34="","Chưa khai GIÁ GỐC ở BẢNG GIÁ GỐC; ",""))&amp;IF(N($I34)&lt;=0,"Thiếu số lượng; ","")&amp;IF(N($K34)&lt;=0,"Thiếu giá bán; ","")&amp;IF(AND($N34&gt;0,$F34=""),"Khách lấy VAT thiếu mã số thuế; ","")&amp;IF(N($Q34)&gt;$P34,"Đã thu vượt tổng phải thu; ","")&amp;IF(AND($L34&gt;0,$U34&lt;&gt;"",$U34&lt;0),"CẢNH BÁO: ĐƠN NÀY ĐANG LỖ; ","")))</f>
        <v>Chưa khai GIÁ GỐC ở BẢNG GIÁ GỐC; </v>
      </c>
    </row>
    <row r="35" customFormat="false" ht="15" hidden="false" customHeight="false" outlineLevel="0" collapsed="false">
      <c r="A35" s="21" t="n">
        <f aca="false">IF($C35="","",COUNTA($C$10:$C35))</f>
        <v>26</v>
      </c>
      <c r="B35" s="18" t="n">
        <v>46219</v>
      </c>
      <c r="C35" s="11" t="s">
        <v>282</v>
      </c>
      <c r="D35" s="22" t="s">
        <v>283</v>
      </c>
      <c r="E35" s="11"/>
      <c r="F35" s="22"/>
      <c r="G35" s="11" t="s">
        <v>284</v>
      </c>
      <c r="H35" s="11" t="s">
        <v>285</v>
      </c>
      <c r="I35" s="12" t="n">
        <v>100</v>
      </c>
      <c r="J35" s="13" t="n">
        <f aca="false">IF($H35="","",IFERROR(VLOOKUP($H35,'BẢNG GIÁ GỐC'!$A$5:$D$254,3,FALSE()),""))</f>
        <v>0</v>
      </c>
      <c r="K35" s="12" t="n">
        <v>48000</v>
      </c>
      <c r="L35" s="13" t="n">
        <f aca="false">IF($C35="","",N($I35)*N($K35))</f>
        <v>4800000</v>
      </c>
      <c r="M35" s="11" t="s">
        <v>163</v>
      </c>
      <c r="N35" s="14" t="n">
        <f aca="false">IF($C35="","",IF($M35="VAT 5%",0.05,IF($M35="VAT 8%",0.08,IF($M35="VAT 10%",0.1,0))))</f>
        <v>0</v>
      </c>
      <c r="O35" s="13" t="n">
        <f aca="false">IF($C35="","",$L35*$N35)</f>
        <v>0</v>
      </c>
      <c r="P35" s="13" t="n">
        <f aca="false">IF($C35="","",$L35+$O35)</f>
        <v>4800000</v>
      </c>
      <c r="Q35" s="12" t="n">
        <v>4800000</v>
      </c>
      <c r="R35" s="13" t="n">
        <f aca="false">IF($C35="","",MAX(0,$P35-N($Q35)))</f>
        <v>0</v>
      </c>
      <c r="S35" s="23" t="str">
        <f aca="false">IF(OR($C35="",$P35=0),"",IF(N($Q35)&lt;=0,"Chưa thanh toán",IF(N($Q35)&lt;$P35,"Thanh toán một phần","Đã thanh toán")))</f>
        <v>Đã thanh toán</v>
      </c>
      <c r="T35" s="13" t="str">
        <f aca="false">IF(OR($C35="",$J35=""),"",N($I35)*$J35)</f>
        <v/>
      </c>
      <c r="U35" s="13" t="str">
        <f aca="false">IF(OR($C35="",$T35=""),"",$L35-$T35)</f>
        <v/>
      </c>
      <c r="V35" s="14" t="str">
        <f aca="false">IF(OR($U35="",$L35=0),"",$U35/$L35)</f>
        <v/>
      </c>
      <c r="W35" s="11" t="s">
        <v>286</v>
      </c>
      <c r="X35" s="23" t="str">
        <f aca="false">IF($C35="","",IF(AND($H35="",N($I35)=0,N($K35)=0),"Dòng chỉ lưu thông tin khách (chưa có đơn); ",IF($B35="","Thiếu ngày đặt; ","")&amp;IF($H35="","Thiếu tên sản phẩm; ",IF($J35="","Chưa khai GIÁ GỐC ở BẢNG GIÁ GỐC; ",""))&amp;IF(N($I35)&lt;=0,"Thiếu số lượng; ","")&amp;IF(N($K35)&lt;=0,"Thiếu giá bán; ","")&amp;IF(AND($N35&gt;0,$F35=""),"Khách lấy VAT thiếu mã số thuế; ","")&amp;IF(N($Q35)&gt;$P35,"Đã thu vượt tổng phải thu; ","")&amp;IF(AND($L35&gt;0,$U35&lt;&gt;"",$U35&lt;0),"CẢNH BÁO: ĐƠN NÀY ĐANG LỖ; ","")))</f>
        <v>Chưa khai GIÁ GỐC ở BẢNG GIÁ GỐC; </v>
      </c>
    </row>
    <row r="36" customFormat="false" ht="15" hidden="false" customHeight="false" outlineLevel="0" collapsed="false">
      <c r="A36" s="21" t="n">
        <f aca="false">IF($C36="","",COUNTA($C$10:$C36))</f>
        <v>27</v>
      </c>
      <c r="B36" s="18" t="n">
        <v>46219</v>
      </c>
      <c r="C36" s="11" t="s">
        <v>287</v>
      </c>
      <c r="D36" s="22" t="s">
        <v>288</v>
      </c>
      <c r="E36" s="11"/>
      <c r="F36" s="22"/>
      <c r="G36" s="11" t="s">
        <v>289</v>
      </c>
      <c r="H36" s="11" t="s">
        <v>108</v>
      </c>
      <c r="I36" s="12" t="n">
        <v>100</v>
      </c>
      <c r="J36" s="13" t="n">
        <f aca="false">IF($H36="","",IFERROR(VLOOKUP($H36,'BẢNG GIÁ GỐC'!$A$5:$D$254,3,FALSE()),""))</f>
        <v>0</v>
      </c>
      <c r="K36" s="12" t="n">
        <v>45000</v>
      </c>
      <c r="L36" s="13" t="n">
        <f aca="false">IF($C36="","",N($I36)*N($K36))</f>
        <v>4500000</v>
      </c>
      <c r="M36" s="11" t="s">
        <v>163</v>
      </c>
      <c r="N36" s="14" t="n">
        <f aca="false">IF($C36="","",IF($M36="VAT 5%",0.05,IF($M36="VAT 8%",0.08,IF($M36="VAT 10%",0.1,0))))</f>
        <v>0</v>
      </c>
      <c r="O36" s="13" t="n">
        <f aca="false">IF($C36="","",$L36*$N36)</f>
        <v>0</v>
      </c>
      <c r="P36" s="13" t="n">
        <f aca="false">IF($C36="","",$L36+$O36)</f>
        <v>4500000</v>
      </c>
      <c r="Q36" s="12" t="n">
        <v>4500000</v>
      </c>
      <c r="R36" s="13" t="n">
        <f aca="false">IF($C36="","",MAX(0,$P36-N($Q36)))</f>
        <v>0</v>
      </c>
      <c r="S36" s="23" t="str">
        <f aca="false">IF(OR($C36="",$P36=0),"",IF(N($Q36)&lt;=0,"Chưa thanh toán",IF(N($Q36)&lt;$P36,"Thanh toán một phần","Đã thanh toán")))</f>
        <v>Đã thanh toán</v>
      </c>
      <c r="T36" s="13" t="str">
        <f aca="false">IF(OR($C36="",$J36=""),"",N($I36)*$J36)</f>
        <v/>
      </c>
      <c r="U36" s="13" t="str">
        <f aca="false">IF(OR($C36="",$T36=""),"",$L36-$T36)</f>
        <v/>
      </c>
      <c r="V36" s="14" t="str">
        <f aca="false">IF(OR($U36="",$L36=0),"",$U36/$L36)</f>
        <v/>
      </c>
      <c r="W36" s="11" t="s">
        <v>290</v>
      </c>
      <c r="X36" s="23" t="str">
        <f aca="false">IF($C36="","",IF(AND($H36="",N($I36)=0,N($K36)=0),"Dòng chỉ lưu thông tin khách (chưa có đơn); ",IF($B36="","Thiếu ngày đặt; ","")&amp;IF($H36="","Thiếu tên sản phẩm; ",IF($J36="","Chưa khai GIÁ GỐC ở BẢNG GIÁ GỐC; ",""))&amp;IF(N($I36)&lt;=0,"Thiếu số lượng; ","")&amp;IF(N($K36)&lt;=0,"Thiếu giá bán; ","")&amp;IF(AND($N36&gt;0,$F36=""),"Khách lấy VAT thiếu mã số thuế; ","")&amp;IF(N($Q36)&gt;$P36,"Đã thu vượt tổng phải thu; ","")&amp;IF(AND($L36&gt;0,$U36&lt;&gt;"",$U36&lt;0),"CẢNH BÁO: ĐƠN NÀY ĐANG LỖ; ","")))</f>
        <v>Chưa khai GIÁ GỐC ở BẢNG GIÁ GỐC; </v>
      </c>
    </row>
    <row r="37" customFormat="false" ht="15" hidden="false" customHeight="false" outlineLevel="0" collapsed="false">
      <c r="A37" s="21" t="n">
        <f aca="false">IF($C37="","",COUNTA($C$10:$C37))</f>
        <v>28</v>
      </c>
      <c r="B37" s="18" t="n">
        <v>46220</v>
      </c>
      <c r="C37" s="11" t="s">
        <v>291</v>
      </c>
      <c r="D37" s="22" t="s">
        <v>292</v>
      </c>
      <c r="E37" s="11"/>
      <c r="F37" s="22"/>
      <c r="G37" s="11" t="s">
        <v>293</v>
      </c>
      <c r="H37" s="11" t="s">
        <v>99</v>
      </c>
      <c r="I37" s="12" t="n">
        <v>100</v>
      </c>
      <c r="J37" s="13" t="n">
        <f aca="false">IF($H37="","",IFERROR(VLOOKUP($H37,'BẢNG GIÁ GỐC'!$A$5:$D$254,3,FALSE()),""))</f>
        <v>0</v>
      </c>
      <c r="K37" s="12" t="n">
        <v>48000</v>
      </c>
      <c r="L37" s="13" t="n">
        <f aca="false">IF($C37="","",N($I37)*N($K37))</f>
        <v>4800000</v>
      </c>
      <c r="M37" s="11" t="s">
        <v>191</v>
      </c>
      <c r="N37" s="14" t="n">
        <f aca="false">IF($C37="","",IF($M37="VAT 5%",0.05,IF($M37="VAT 8%",0.08,IF($M37="VAT 10%",0.1,0))))</f>
        <v>0.08</v>
      </c>
      <c r="O37" s="13" t="n">
        <f aca="false">IF($C37="","",$L37*$N37)</f>
        <v>384000</v>
      </c>
      <c r="P37" s="13" t="n">
        <f aca="false">IF($C37="","",$L37+$O37)</f>
        <v>5184000</v>
      </c>
      <c r="Q37" s="12" t="n">
        <v>2600000</v>
      </c>
      <c r="R37" s="13" t="n">
        <f aca="false">IF($C37="","",MAX(0,$P37-N($Q37)))</f>
        <v>2584000</v>
      </c>
      <c r="S37" s="23" t="str">
        <f aca="false">IF(OR($C37="",$P37=0),"",IF(N($Q37)&lt;=0,"Chưa thanh toán",IF(N($Q37)&lt;$P37,"Thanh toán một phần","Đã thanh toán")))</f>
        <v>Thanh toán một phần</v>
      </c>
      <c r="T37" s="13" t="str">
        <f aca="false">IF(OR($C37="",$J37=""),"",N($I37)*$J37)</f>
        <v/>
      </c>
      <c r="U37" s="13" t="str">
        <f aca="false">IF(OR($C37="",$T37=""),"",$L37-$T37)</f>
        <v/>
      </c>
      <c r="V37" s="14" t="str">
        <f aca="false">IF(OR($U37="",$L37=0),"",$U37/$L37)</f>
        <v/>
      </c>
      <c r="W37" s="11" t="s">
        <v>294</v>
      </c>
      <c r="X37" s="23" t="str">
        <f aca="false">IF($C37="","",IF(AND($H37="",N($I37)=0,N($K37)=0),"Dòng chỉ lưu thông tin khách (chưa có đơn); ",IF($B37="","Thiếu ngày đặt; ","")&amp;IF($H37="","Thiếu tên sản phẩm; ",IF($J37="","Chưa khai GIÁ GỐC ở BẢNG GIÁ GỐC; ",""))&amp;IF(N($I37)&lt;=0,"Thiếu số lượng; ","")&amp;IF(N($K37)&lt;=0,"Thiếu giá bán; ","")&amp;IF(AND($N37&gt;0,$F37=""),"Khách lấy VAT thiếu mã số thuế; ","")&amp;IF(N($Q37)&gt;$P37,"Đã thu vượt tổng phải thu; ","")&amp;IF(AND($L37&gt;0,$U37&lt;&gt;"",$U37&lt;0),"CẢNH BÁO: ĐƠN NÀY ĐANG LỖ; ","")))</f>
        <v>Chưa khai GIÁ GỐC ở BẢNG GIÁ GỐC; Khách lấy VAT thiếu mã số thuế; </v>
      </c>
    </row>
    <row r="38" customFormat="false" ht="15" hidden="false" customHeight="false" outlineLevel="0" collapsed="false">
      <c r="A38" s="21" t="n">
        <f aca="false">IF($C38="","",COUNTA($C$10:$C38))</f>
        <v>29</v>
      </c>
      <c r="B38" s="18" t="n">
        <v>46220</v>
      </c>
      <c r="C38" s="11" t="s">
        <v>295</v>
      </c>
      <c r="D38" s="22" t="s">
        <v>296</v>
      </c>
      <c r="E38" s="11"/>
      <c r="F38" s="22"/>
      <c r="G38" s="11" t="s">
        <v>297</v>
      </c>
      <c r="H38" s="11" t="s">
        <v>99</v>
      </c>
      <c r="I38" s="12" t="n">
        <v>50</v>
      </c>
      <c r="J38" s="13" t="n">
        <f aca="false">IF($H38="","",IFERROR(VLOOKUP($H38,'BẢNG GIÁ GỐC'!$A$5:$D$254,3,FALSE()),""))</f>
        <v>0</v>
      </c>
      <c r="K38" s="12" t="n">
        <v>55000</v>
      </c>
      <c r="L38" s="13" t="n">
        <f aca="false">IF($C38="","",N($I38)*N($K38))</f>
        <v>2750000</v>
      </c>
      <c r="M38" s="11" t="s">
        <v>163</v>
      </c>
      <c r="N38" s="14" t="n">
        <f aca="false">IF($C38="","",IF($M38="VAT 5%",0.05,IF($M38="VAT 8%",0.08,IF($M38="VAT 10%",0.1,0))))</f>
        <v>0</v>
      </c>
      <c r="O38" s="13" t="n">
        <f aca="false">IF($C38="","",$L38*$N38)</f>
        <v>0</v>
      </c>
      <c r="P38" s="13" t="n">
        <f aca="false">IF($C38="","",$L38+$O38)</f>
        <v>2750000</v>
      </c>
      <c r="Q38" s="12" t="n">
        <v>2750000</v>
      </c>
      <c r="R38" s="13" t="n">
        <f aca="false">IF($C38="","",MAX(0,$P38-N($Q38)))</f>
        <v>0</v>
      </c>
      <c r="S38" s="23" t="str">
        <f aca="false">IF(OR($C38="",$P38=0),"",IF(N($Q38)&lt;=0,"Chưa thanh toán",IF(N($Q38)&lt;$P38,"Thanh toán một phần","Đã thanh toán")))</f>
        <v>Đã thanh toán</v>
      </c>
      <c r="T38" s="13" t="str">
        <f aca="false">IF(OR($C38="",$J38=""),"",N($I38)*$J38)</f>
        <v/>
      </c>
      <c r="U38" s="13" t="str">
        <f aca="false">IF(OR($C38="",$T38=""),"",$L38-$T38)</f>
        <v/>
      </c>
      <c r="V38" s="14" t="str">
        <f aca="false">IF(OR($U38="",$L38=0),"",$U38/$L38)</f>
        <v/>
      </c>
      <c r="W38" s="11" t="s">
        <v>298</v>
      </c>
      <c r="X38" s="23" t="str">
        <f aca="false">IF($C38="","",IF(AND($H38="",N($I38)=0,N($K38)=0),"Dòng chỉ lưu thông tin khách (chưa có đơn); ",IF($B38="","Thiếu ngày đặt; ","")&amp;IF($H38="","Thiếu tên sản phẩm; ",IF($J38="","Chưa khai GIÁ GỐC ở BẢNG GIÁ GỐC; ",""))&amp;IF(N($I38)&lt;=0,"Thiếu số lượng; ","")&amp;IF(N($K38)&lt;=0,"Thiếu giá bán; ","")&amp;IF(AND($N38&gt;0,$F38=""),"Khách lấy VAT thiếu mã số thuế; ","")&amp;IF(N($Q38)&gt;$P38,"Đã thu vượt tổng phải thu; ","")&amp;IF(AND($L38&gt;0,$U38&lt;&gt;"",$U38&lt;0),"CẢNH BÁO: ĐƠN NÀY ĐANG LỖ; ","")))</f>
        <v>Chưa khai GIÁ GỐC ở BẢNG GIÁ GỐC; </v>
      </c>
    </row>
    <row r="39" customFormat="false" ht="15" hidden="false" customHeight="false" outlineLevel="0" collapsed="false">
      <c r="A39" s="21" t="n">
        <f aca="false">IF($C39="","",COUNTA($C$10:$C39))</f>
        <v>30</v>
      </c>
      <c r="B39" s="18" t="n">
        <v>46221</v>
      </c>
      <c r="C39" s="11" t="s">
        <v>299</v>
      </c>
      <c r="D39" s="22" t="s">
        <v>300</v>
      </c>
      <c r="E39" s="11"/>
      <c r="F39" s="22"/>
      <c r="G39" s="11" t="s">
        <v>301</v>
      </c>
      <c r="H39" s="11" t="s">
        <v>107</v>
      </c>
      <c r="I39" s="12" t="n">
        <v>20</v>
      </c>
      <c r="J39" s="13" t="n">
        <f aca="false">IF($H39="","",IFERROR(VLOOKUP($H39,'BẢNG GIÁ GỐC'!$A$5:$D$254,3,FALSE()),""))</f>
        <v>0</v>
      </c>
      <c r="K39" s="12" t="n">
        <v>55000</v>
      </c>
      <c r="L39" s="13" t="n">
        <f aca="false">IF($C39="","",N($I39)*N($K39))</f>
        <v>1100000</v>
      </c>
      <c r="M39" s="11" t="s">
        <v>191</v>
      </c>
      <c r="N39" s="14" t="n">
        <f aca="false">IF($C39="","",IF($M39="VAT 5%",0.05,IF($M39="VAT 8%",0.08,IF($M39="VAT 10%",0.1,0))))</f>
        <v>0.08</v>
      </c>
      <c r="O39" s="13" t="n">
        <f aca="false">IF($C39="","",$L39*$N39)</f>
        <v>88000</v>
      </c>
      <c r="P39" s="13" t="n">
        <f aca="false">IF($C39="","",$L39+$O39)</f>
        <v>1188000</v>
      </c>
      <c r="Q39" s="12" t="n">
        <v>1188000</v>
      </c>
      <c r="R39" s="13" t="n">
        <f aca="false">IF($C39="","",MAX(0,$P39-N($Q39)))</f>
        <v>0</v>
      </c>
      <c r="S39" s="23" t="str">
        <f aca="false">IF(OR($C39="",$P39=0),"",IF(N($Q39)&lt;=0,"Chưa thanh toán",IF(N($Q39)&lt;$P39,"Thanh toán một phần","Đã thanh toán")))</f>
        <v>Đã thanh toán</v>
      </c>
      <c r="T39" s="13" t="str">
        <f aca="false">IF(OR($C39="",$J39=""),"",N($I39)*$J39)</f>
        <v/>
      </c>
      <c r="U39" s="13" t="str">
        <f aca="false">IF(OR($C39="",$T39=""),"",$L39-$T39)</f>
        <v/>
      </c>
      <c r="V39" s="14" t="str">
        <f aca="false">IF(OR($U39="",$L39=0),"",$U39/$L39)</f>
        <v/>
      </c>
      <c r="W39" s="11" t="s">
        <v>302</v>
      </c>
      <c r="X39" s="23" t="str">
        <f aca="false">IF($C39="","",IF(AND($H39="",N($I39)=0,N($K39)=0),"Dòng chỉ lưu thông tin khách (chưa có đơn); ",IF($B39="","Thiếu ngày đặt; ","")&amp;IF($H39="","Thiếu tên sản phẩm; ",IF($J39="","Chưa khai GIÁ GỐC ở BẢNG GIÁ GỐC; ",""))&amp;IF(N($I39)&lt;=0,"Thiếu số lượng; ","")&amp;IF(N($K39)&lt;=0,"Thiếu giá bán; ","")&amp;IF(AND($N39&gt;0,$F39=""),"Khách lấy VAT thiếu mã số thuế; ","")&amp;IF(N($Q39)&gt;$P39,"Đã thu vượt tổng phải thu; ","")&amp;IF(AND($L39&gt;0,$U39&lt;&gt;"",$U39&lt;0),"CẢNH BÁO: ĐƠN NÀY ĐANG LỖ; ","")))</f>
        <v>Chưa khai GIÁ GỐC ở BẢNG GIÁ GỐC; Khách lấy VAT thiếu mã số thuế; </v>
      </c>
    </row>
    <row r="40" customFormat="false" ht="15" hidden="false" customHeight="false" outlineLevel="0" collapsed="false">
      <c r="A40" s="21" t="n">
        <f aca="false">IF($C40="","",COUNTA($C$10:$C40))</f>
        <v>31</v>
      </c>
      <c r="B40" s="18" t="n">
        <v>46223</v>
      </c>
      <c r="C40" s="11" t="s">
        <v>299</v>
      </c>
      <c r="D40" s="22" t="s">
        <v>303</v>
      </c>
      <c r="E40" s="11"/>
      <c r="F40" s="22"/>
      <c r="G40" s="11" t="s">
        <v>301</v>
      </c>
      <c r="H40" s="11" t="s">
        <v>107</v>
      </c>
      <c r="I40" s="12" t="n">
        <v>30</v>
      </c>
      <c r="J40" s="13" t="n">
        <f aca="false">IF($H40="","",IFERROR(VLOOKUP($H40,'BẢNG GIÁ GỐC'!$A$5:$D$254,3,FALSE()),""))</f>
        <v>0</v>
      </c>
      <c r="K40" s="12" t="n">
        <v>52000</v>
      </c>
      <c r="L40" s="13" t="n">
        <f aca="false">IF($C40="","",N($I40)*N($K40))</f>
        <v>1560000</v>
      </c>
      <c r="M40" s="11" t="s">
        <v>191</v>
      </c>
      <c r="N40" s="14" t="n">
        <f aca="false">IF($C40="","",IF($M40="VAT 5%",0.05,IF($M40="VAT 8%",0.08,IF($M40="VAT 10%",0.1,0))))</f>
        <v>0.08</v>
      </c>
      <c r="O40" s="13" t="n">
        <f aca="false">IF($C40="","",$L40*$N40)</f>
        <v>124800</v>
      </c>
      <c r="P40" s="13" t="n">
        <f aca="false">IF($C40="","",$L40+$O40)</f>
        <v>1684800</v>
      </c>
      <c r="Q40" s="12" t="n">
        <v>1684800</v>
      </c>
      <c r="R40" s="13" t="n">
        <f aca="false">IF($C40="","",MAX(0,$P40-N($Q40)))</f>
        <v>0</v>
      </c>
      <c r="S40" s="23" t="str">
        <f aca="false">IF(OR($C40="",$P40=0),"",IF(N($Q40)&lt;=0,"Chưa thanh toán",IF(N($Q40)&lt;$P40,"Thanh toán một phần","Đã thanh toán")))</f>
        <v>Đã thanh toán</v>
      </c>
      <c r="T40" s="13" t="str">
        <f aca="false">IF(OR($C40="",$J40=""),"",N($I40)*$J40)</f>
        <v/>
      </c>
      <c r="U40" s="13" t="str">
        <f aca="false">IF(OR($C40="",$T40=""),"",$L40-$T40)</f>
        <v/>
      </c>
      <c r="V40" s="14" t="str">
        <f aca="false">IF(OR($U40="",$L40=0),"",$U40/$L40)</f>
        <v/>
      </c>
      <c r="W40" s="11" t="s">
        <v>304</v>
      </c>
      <c r="X40" s="23" t="str">
        <f aca="false">IF($C40="","",IF(AND($H40="",N($I40)=0,N($K40)=0),"Dòng chỉ lưu thông tin khách (chưa có đơn); ",IF($B40="","Thiếu ngày đặt; ","")&amp;IF($H40="","Thiếu tên sản phẩm; ",IF($J40="","Chưa khai GIÁ GỐC ở BẢNG GIÁ GỐC; ",""))&amp;IF(N($I40)&lt;=0,"Thiếu số lượng; ","")&amp;IF(N($K40)&lt;=0,"Thiếu giá bán; ","")&amp;IF(AND($N40&gt;0,$F40=""),"Khách lấy VAT thiếu mã số thuế; ","")&amp;IF(N($Q40)&gt;$P40,"Đã thu vượt tổng phải thu; ","")&amp;IF(AND($L40&gt;0,$U40&lt;&gt;"",$U40&lt;0),"CẢNH BÁO: ĐƠN NÀY ĐANG LỖ; ","")))</f>
        <v>Chưa khai GIÁ GỐC ở BẢNG GIÁ GỐC; Khách lấy VAT thiếu mã số thuế; </v>
      </c>
    </row>
    <row r="41" customFormat="false" ht="15" hidden="false" customHeight="false" outlineLevel="0" collapsed="false">
      <c r="A41" s="21" t="n">
        <f aca="false">IF($C41="","",COUNTA($C$10:$C41))</f>
        <v>32</v>
      </c>
      <c r="B41" s="18" t="n">
        <v>46223</v>
      </c>
      <c r="C41" s="11" t="s">
        <v>305</v>
      </c>
      <c r="D41" s="22" t="s">
        <v>306</v>
      </c>
      <c r="E41" s="11"/>
      <c r="F41" s="22"/>
      <c r="G41" s="11" t="s">
        <v>307</v>
      </c>
      <c r="H41" s="11" t="s">
        <v>103</v>
      </c>
      <c r="I41" s="12" t="n">
        <v>80</v>
      </c>
      <c r="J41" s="13" t="n">
        <f aca="false">IF($H41="","",IFERROR(VLOOKUP($H41,'BẢNG GIÁ GỐC'!$A$5:$D$254,3,FALSE()),""))</f>
        <v>0</v>
      </c>
      <c r="K41" s="12" t="n">
        <v>47000</v>
      </c>
      <c r="L41" s="13" t="n">
        <f aca="false">IF($C41="","",N($I41)*N($K41))</f>
        <v>3760000</v>
      </c>
      <c r="M41" s="11" t="s">
        <v>163</v>
      </c>
      <c r="N41" s="14" t="n">
        <f aca="false">IF($C41="","",IF($M41="VAT 5%",0.05,IF($M41="VAT 8%",0.08,IF($M41="VAT 10%",0.1,0))))</f>
        <v>0</v>
      </c>
      <c r="O41" s="13" t="n">
        <f aca="false">IF($C41="","",$L41*$N41)</f>
        <v>0</v>
      </c>
      <c r="P41" s="13" t="n">
        <f aca="false">IF($C41="","",$L41+$O41)</f>
        <v>3760000</v>
      </c>
      <c r="Q41" s="12" t="n">
        <v>3760000</v>
      </c>
      <c r="R41" s="13" t="n">
        <f aca="false">IF($C41="","",MAX(0,$P41-N($Q41)))</f>
        <v>0</v>
      </c>
      <c r="S41" s="23" t="str">
        <f aca="false">IF(OR($C41="",$P41=0),"",IF(N($Q41)&lt;=0,"Chưa thanh toán",IF(N($Q41)&lt;$P41,"Thanh toán một phần","Đã thanh toán")))</f>
        <v>Đã thanh toán</v>
      </c>
      <c r="T41" s="13" t="str">
        <f aca="false">IF(OR($C41="",$J41=""),"",N($I41)*$J41)</f>
        <v/>
      </c>
      <c r="U41" s="13" t="str">
        <f aca="false">IF(OR($C41="",$T41=""),"",$L41-$T41)</f>
        <v/>
      </c>
      <c r="V41" s="14" t="str">
        <f aca="false">IF(OR($U41="",$L41=0),"",$U41/$L41)</f>
        <v/>
      </c>
      <c r="W41" s="11" t="s">
        <v>308</v>
      </c>
      <c r="X41" s="23" t="str">
        <f aca="false">IF($C41="","",IF(AND($H41="",N($I41)=0,N($K41)=0),"Dòng chỉ lưu thông tin khách (chưa có đơn); ",IF($B41="","Thiếu ngày đặt; ","")&amp;IF($H41="","Thiếu tên sản phẩm; ",IF($J41="","Chưa khai GIÁ GỐC ở BẢNG GIÁ GỐC; ",""))&amp;IF(N($I41)&lt;=0,"Thiếu số lượng; ","")&amp;IF(N($K41)&lt;=0,"Thiếu giá bán; ","")&amp;IF(AND($N41&gt;0,$F41=""),"Khách lấy VAT thiếu mã số thuế; ","")&amp;IF(N($Q41)&gt;$P41,"Đã thu vượt tổng phải thu; ","")&amp;IF(AND($L41&gt;0,$U41&lt;&gt;"",$U41&lt;0),"CẢNH BÁO: ĐƠN NÀY ĐANG LỖ; ","")))</f>
        <v>Chưa khai GIÁ GỐC ở BẢNG GIÁ GỐC; </v>
      </c>
    </row>
    <row r="42" customFormat="false" ht="15" hidden="false" customHeight="false" outlineLevel="0" collapsed="false">
      <c r="A42" s="21" t="n">
        <f aca="false">IF($C42="","",COUNTA($C$10:$C42))</f>
        <v>33</v>
      </c>
      <c r="B42" s="18" t="n">
        <v>46223</v>
      </c>
      <c r="C42" s="11" t="s">
        <v>305</v>
      </c>
      <c r="D42" s="22" t="s">
        <v>309</v>
      </c>
      <c r="E42" s="11"/>
      <c r="F42" s="22"/>
      <c r="G42" s="11" t="s">
        <v>307</v>
      </c>
      <c r="H42" s="11" t="s">
        <v>110</v>
      </c>
      <c r="I42" s="12" t="n">
        <v>80</v>
      </c>
      <c r="J42" s="13" t="n">
        <f aca="false">IF($H42="","",IFERROR(VLOOKUP($H42,'BẢNG GIÁ GỐC'!$A$5:$D$254,3,FALSE()),""))</f>
        <v>0</v>
      </c>
      <c r="K42" s="12" t="n">
        <v>52000</v>
      </c>
      <c r="L42" s="13" t="n">
        <f aca="false">IF($C42="","",N($I42)*N($K42))</f>
        <v>4160000</v>
      </c>
      <c r="M42" s="11" t="s">
        <v>163</v>
      </c>
      <c r="N42" s="14" t="n">
        <f aca="false">IF($C42="","",IF($M42="VAT 5%",0.05,IF($M42="VAT 8%",0.08,IF($M42="VAT 10%",0.1,0))))</f>
        <v>0</v>
      </c>
      <c r="O42" s="13" t="n">
        <f aca="false">IF($C42="","",$L42*$N42)</f>
        <v>0</v>
      </c>
      <c r="P42" s="13" t="n">
        <f aca="false">IF($C42="","",$L42+$O42)</f>
        <v>4160000</v>
      </c>
      <c r="Q42" s="12" t="n">
        <v>4160000</v>
      </c>
      <c r="R42" s="13" t="n">
        <f aca="false">IF($C42="","",MAX(0,$P42-N($Q42)))</f>
        <v>0</v>
      </c>
      <c r="S42" s="23" t="str">
        <f aca="false">IF(OR($C42="",$P42=0),"",IF(N($Q42)&lt;=0,"Chưa thanh toán",IF(N($Q42)&lt;$P42,"Thanh toán một phần","Đã thanh toán")))</f>
        <v>Đã thanh toán</v>
      </c>
      <c r="T42" s="13" t="str">
        <f aca="false">IF(OR($C42="",$J42=""),"",N($I42)*$J42)</f>
        <v/>
      </c>
      <c r="U42" s="13" t="str">
        <f aca="false">IF(OR($C42="",$T42=""),"",$L42-$T42)</f>
        <v/>
      </c>
      <c r="V42" s="14" t="str">
        <f aca="false">IF(OR($U42="",$L42=0),"",$U42/$L42)</f>
        <v/>
      </c>
      <c r="W42" s="11" t="s">
        <v>310</v>
      </c>
      <c r="X42" s="23" t="str">
        <f aca="false">IF($C42="","",IF(AND($H42="",N($I42)=0,N($K42)=0),"Dòng chỉ lưu thông tin khách (chưa có đơn); ",IF($B42="","Thiếu ngày đặt; ","")&amp;IF($H42="","Thiếu tên sản phẩm; ",IF($J42="","Chưa khai GIÁ GỐC ở BẢNG GIÁ GỐC; ",""))&amp;IF(N($I42)&lt;=0,"Thiếu số lượng; ","")&amp;IF(N($K42)&lt;=0,"Thiếu giá bán; ","")&amp;IF(AND($N42&gt;0,$F42=""),"Khách lấy VAT thiếu mã số thuế; ","")&amp;IF(N($Q42)&gt;$P42,"Đã thu vượt tổng phải thu; ","")&amp;IF(AND($L42&gt;0,$U42&lt;&gt;"",$U42&lt;0),"CẢNH BÁO: ĐƠN NÀY ĐANG LỖ; ","")))</f>
        <v>Chưa khai GIÁ GỐC ở BẢNG GIÁ GỐC; </v>
      </c>
    </row>
    <row r="43" customFormat="false" ht="15" hidden="false" customHeight="false" outlineLevel="0" collapsed="false">
      <c r="A43" s="21" t="n">
        <f aca="false">IF($C43="","",COUNTA($C$10:$C43))</f>
        <v>34</v>
      </c>
      <c r="B43" s="18" t="n">
        <v>46223</v>
      </c>
      <c r="C43" s="11" t="s">
        <v>311</v>
      </c>
      <c r="D43" s="22" t="s">
        <v>312</v>
      </c>
      <c r="E43" s="11"/>
      <c r="F43" s="22"/>
      <c r="G43" s="11" t="s">
        <v>313</v>
      </c>
      <c r="H43" s="11" t="s">
        <v>103</v>
      </c>
      <c r="I43" s="12" t="n">
        <v>130</v>
      </c>
      <c r="J43" s="13" t="n">
        <f aca="false">IF($H43="","",IFERROR(VLOOKUP($H43,'BẢNG GIÁ GỐC'!$A$5:$D$254,3,FALSE()),""))</f>
        <v>0</v>
      </c>
      <c r="K43" s="12" t="n">
        <v>47000</v>
      </c>
      <c r="L43" s="13" t="n">
        <f aca="false">IF($C43="","",N($I43)*N($K43))</f>
        <v>6110000</v>
      </c>
      <c r="M43" s="11" t="s">
        <v>163</v>
      </c>
      <c r="N43" s="14" t="n">
        <f aca="false">IF($C43="","",IF($M43="VAT 5%",0.05,IF($M43="VAT 8%",0.08,IF($M43="VAT 10%",0.1,0))))</f>
        <v>0</v>
      </c>
      <c r="O43" s="13" t="n">
        <f aca="false">IF($C43="","",$L43*$N43)</f>
        <v>0</v>
      </c>
      <c r="P43" s="13" t="n">
        <f aca="false">IF($C43="","",$L43+$O43)</f>
        <v>6110000</v>
      </c>
      <c r="Q43" s="12" t="n">
        <v>6110000</v>
      </c>
      <c r="R43" s="13" t="n">
        <f aca="false">IF($C43="","",MAX(0,$P43-N($Q43)))</f>
        <v>0</v>
      </c>
      <c r="S43" s="23" t="str">
        <f aca="false">IF(OR($C43="",$P43=0),"",IF(N($Q43)&lt;=0,"Chưa thanh toán",IF(N($Q43)&lt;$P43,"Thanh toán một phần","Đã thanh toán")))</f>
        <v>Đã thanh toán</v>
      </c>
      <c r="T43" s="13" t="str">
        <f aca="false">IF(OR($C43="",$J43=""),"",N($I43)*$J43)</f>
        <v/>
      </c>
      <c r="U43" s="13" t="str">
        <f aca="false">IF(OR($C43="",$T43=""),"",$L43-$T43)</f>
        <v/>
      </c>
      <c r="V43" s="14" t="str">
        <f aca="false">IF(OR($U43="",$L43=0),"",$U43/$L43)</f>
        <v/>
      </c>
      <c r="W43" s="11" t="s">
        <v>314</v>
      </c>
      <c r="X43" s="23" t="str">
        <f aca="false">IF($C43="","",IF(AND($H43="",N($I43)=0,N($K43)=0),"Dòng chỉ lưu thông tin khách (chưa có đơn); ",IF($B43="","Thiếu ngày đặt; ","")&amp;IF($H43="","Thiếu tên sản phẩm; ",IF($J43="","Chưa khai GIÁ GỐC ở BẢNG GIÁ GỐC; ",""))&amp;IF(N($I43)&lt;=0,"Thiếu số lượng; ","")&amp;IF(N($K43)&lt;=0,"Thiếu giá bán; ","")&amp;IF(AND($N43&gt;0,$F43=""),"Khách lấy VAT thiếu mã số thuế; ","")&amp;IF(N($Q43)&gt;$P43,"Đã thu vượt tổng phải thu; ","")&amp;IF(AND($L43&gt;0,$U43&lt;&gt;"",$U43&lt;0),"CẢNH BÁO: ĐƠN NÀY ĐANG LỖ; ","")))</f>
        <v>Chưa khai GIÁ GỐC ở BẢNG GIÁ GỐC; </v>
      </c>
    </row>
    <row r="44" customFormat="false" ht="15" hidden="false" customHeight="false" outlineLevel="0" collapsed="false">
      <c r="A44" s="21" t="n">
        <f aca="false">IF($C44="","",COUNTA($C$10:$C44))</f>
        <v>35</v>
      </c>
      <c r="B44" s="18" t="n">
        <v>46223</v>
      </c>
      <c r="C44" s="11" t="s">
        <v>315</v>
      </c>
      <c r="D44" s="22" t="s">
        <v>316</v>
      </c>
      <c r="E44" s="11" t="s">
        <v>317</v>
      </c>
      <c r="F44" s="22" t="s">
        <v>318</v>
      </c>
      <c r="G44" s="11" t="s">
        <v>319</v>
      </c>
      <c r="H44" s="11" t="s">
        <v>107</v>
      </c>
      <c r="I44" s="12" t="n">
        <v>50</v>
      </c>
      <c r="J44" s="13" t="n">
        <f aca="false">IF($H44="","",IFERROR(VLOOKUP($H44,'BẢNG GIÁ GỐC'!$A$5:$D$254,3,FALSE()),""))</f>
        <v>0</v>
      </c>
      <c r="K44" s="12" t="n">
        <v>48000</v>
      </c>
      <c r="L44" s="13" t="n">
        <f aca="false">IF($C44="","",N($I44)*N($K44))</f>
        <v>2400000</v>
      </c>
      <c r="M44" s="11" t="s">
        <v>191</v>
      </c>
      <c r="N44" s="14" t="n">
        <f aca="false">IF($C44="","",IF($M44="VAT 5%",0.05,IF($M44="VAT 8%",0.08,IF($M44="VAT 10%",0.1,0))))</f>
        <v>0.08</v>
      </c>
      <c r="O44" s="13" t="n">
        <f aca="false">IF($C44="","",$L44*$N44)</f>
        <v>192000</v>
      </c>
      <c r="P44" s="13" t="n">
        <f aca="false">IF($C44="","",$L44+$O44)</f>
        <v>2592000</v>
      </c>
      <c r="Q44" s="12" t="n">
        <v>2400000</v>
      </c>
      <c r="R44" s="13" t="n">
        <f aca="false">IF($C44="","",MAX(0,$P44-N($Q44)))</f>
        <v>192000</v>
      </c>
      <c r="S44" s="23" t="str">
        <f aca="false">IF(OR($C44="",$P44=0),"",IF(N($Q44)&lt;=0,"Chưa thanh toán",IF(N($Q44)&lt;$P44,"Thanh toán một phần","Đã thanh toán")))</f>
        <v>Thanh toán một phần</v>
      </c>
      <c r="T44" s="13" t="str">
        <f aca="false">IF(OR($C44="",$J44=""),"",N($I44)*$J44)</f>
        <v/>
      </c>
      <c r="U44" s="13" t="str">
        <f aca="false">IF(OR($C44="",$T44=""),"",$L44-$T44)</f>
        <v/>
      </c>
      <c r="V44" s="14" t="str">
        <f aca="false">IF(OR($U44="",$L44=0),"",$U44/$L44)</f>
        <v/>
      </c>
      <c r="W44" s="11" t="s">
        <v>320</v>
      </c>
      <c r="X44" s="23" t="str">
        <f aca="false">IF($C44="","",IF(AND($H44="",N($I44)=0,N($K44)=0),"Dòng chỉ lưu thông tin khách (chưa có đơn); ",IF($B44="","Thiếu ngày đặt; ","")&amp;IF($H44="","Thiếu tên sản phẩm; ",IF($J44="","Chưa khai GIÁ GỐC ở BẢNG GIÁ GỐC; ",""))&amp;IF(N($I44)&lt;=0,"Thiếu số lượng; ","")&amp;IF(N($K44)&lt;=0,"Thiếu giá bán; ","")&amp;IF(AND($N44&gt;0,$F44=""),"Khách lấy VAT thiếu mã số thuế; ","")&amp;IF(N($Q44)&gt;$P44,"Đã thu vượt tổng phải thu; ","")&amp;IF(AND($L44&gt;0,$U44&lt;&gt;"",$U44&lt;0),"CẢNH BÁO: ĐƠN NÀY ĐANG LỖ; ","")))</f>
        <v>Chưa khai GIÁ GỐC ở BẢNG GIÁ GỐC; </v>
      </c>
    </row>
    <row r="45" customFormat="false" ht="15" hidden="false" customHeight="false" outlineLevel="0" collapsed="false">
      <c r="A45" s="21" t="n">
        <f aca="false">IF($C45="","",COUNTA($C$10:$C45))</f>
        <v>36</v>
      </c>
      <c r="B45" s="18" t="n">
        <v>46224</v>
      </c>
      <c r="C45" s="11" t="s">
        <v>321</v>
      </c>
      <c r="D45" s="22" t="s">
        <v>322</v>
      </c>
      <c r="E45" s="11" t="s">
        <v>323</v>
      </c>
      <c r="F45" s="22" t="s">
        <v>324</v>
      </c>
      <c r="G45" s="11" t="s">
        <v>325</v>
      </c>
      <c r="H45" s="11" t="s">
        <v>107</v>
      </c>
      <c r="I45" s="12" t="n">
        <v>30</v>
      </c>
      <c r="J45" s="13" t="n">
        <f aca="false">IF($H45="","",IFERROR(VLOOKUP($H45,'BẢNG GIÁ GỐC'!$A$5:$D$254,3,FALSE()),""))</f>
        <v>0</v>
      </c>
      <c r="K45" s="12" t="n">
        <v>50000</v>
      </c>
      <c r="L45" s="13" t="n">
        <f aca="false">IF($C45="","",N($I45)*N($K45))</f>
        <v>1500000</v>
      </c>
      <c r="M45" s="11" t="s">
        <v>191</v>
      </c>
      <c r="N45" s="14" t="n">
        <f aca="false">IF($C45="","",IF($M45="VAT 5%",0.05,IF($M45="VAT 8%",0.08,IF($M45="VAT 10%",0.1,0))))</f>
        <v>0.08</v>
      </c>
      <c r="O45" s="13" t="n">
        <f aca="false">IF($C45="","",$L45*$N45)</f>
        <v>120000</v>
      </c>
      <c r="P45" s="13" t="n">
        <f aca="false">IF($C45="","",$L45+$O45)</f>
        <v>1620000</v>
      </c>
      <c r="Q45" s="12" t="n">
        <v>1620000</v>
      </c>
      <c r="R45" s="13" t="n">
        <f aca="false">IF($C45="","",MAX(0,$P45-N($Q45)))</f>
        <v>0</v>
      </c>
      <c r="S45" s="23" t="str">
        <f aca="false">IF(OR($C45="",$P45=0),"",IF(N($Q45)&lt;=0,"Chưa thanh toán",IF(N($Q45)&lt;$P45,"Thanh toán một phần","Đã thanh toán")))</f>
        <v>Đã thanh toán</v>
      </c>
      <c r="T45" s="13" t="str">
        <f aca="false">IF(OR($C45="",$J45=""),"",N($I45)*$J45)</f>
        <v/>
      </c>
      <c r="U45" s="13" t="str">
        <f aca="false">IF(OR($C45="",$T45=""),"",$L45-$T45)</f>
        <v/>
      </c>
      <c r="V45" s="14" t="str">
        <f aca="false">IF(OR($U45="",$L45=0),"",$U45/$L45)</f>
        <v/>
      </c>
      <c r="W45" s="11" t="s">
        <v>326</v>
      </c>
      <c r="X45" s="23" t="str">
        <f aca="false">IF($C45="","",IF(AND($H45="",N($I45)=0,N($K45)=0),"Dòng chỉ lưu thông tin khách (chưa có đơn); ",IF($B45="","Thiếu ngày đặt; ","")&amp;IF($H45="","Thiếu tên sản phẩm; ",IF($J45="","Chưa khai GIÁ GỐC ở BẢNG GIÁ GỐC; ",""))&amp;IF(N($I45)&lt;=0,"Thiếu số lượng; ","")&amp;IF(N($K45)&lt;=0,"Thiếu giá bán; ","")&amp;IF(AND($N45&gt;0,$F45=""),"Khách lấy VAT thiếu mã số thuế; ","")&amp;IF(N($Q45)&gt;$P45,"Đã thu vượt tổng phải thu; ","")&amp;IF(AND($L45&gt;0,$U45&lt;&gt;"",$U45&lt;0),"CẢNH BÁO: ĐƠN NÀY ĐANG LỖ; ","")))</f>
        <v>Chưa khai GIÁ GỐC ở BẢNG GIÁ GỐC; </v>
      </c>
    </row>
    <row r="46" customFormat="false" ht="15" hidden="false" customHeight="false" outlineLevel="0" collapsed="false">
      <c r="A46" s="21" t="n">
        <f aca="false">IF($C46="","",COUNTA($C$10:$C46))</f>
        <v>37</v>
      </c>
      <c r="B46" s="18" t="n">
        <v>46224</v>
      </c>
      <c r="C46" s="11" t="s">
        <v>327</v>
      </c>
      <c r="D46" s="22" t="s">
        <v>328</v>
      </c>
      <c r="E46" s="11"/>
      <c r="F46" s="22"/>
      <c r="G46" s="11" t="s">
        <v>329</v>
      </c>
      <c r="H46" s="11" t="s">
        <v>110</v>
      </c>
      <c r="I46" s="12" t="n">
        <v>30</v>
      </c>
      <c r="J46" s="13" t="n">
        <f aca="false">IF($H46="","",IFERROR(VLOOKUP($H46,'BẢNG GIÁ GỐC'!$A$5:$D$254,3,FALSE()),""))</f>
        <v>0</v>
      </c>
      <c r="K46" s="12" t="n">
        <v>70000</v>
      </c>
      <c r="L46" s="13" t="n">
        <f aca="false">IF($C46="","",N($I46)*N($K46))</f>
        <v>2100000</v>
      </c>
      <c r="M46" s="11" t="s">
        <v>191</v>
      </c>
      <c r="N46" s="14" t="n">
        <f aca="false">IF($C46="","",IF($M46="VAT 5%",0.05,IF($M46="VAT 8%",0.08,IF($M46="VAT 10%",0.1,0))))</f>
        <v>0.08</v>
      </c>
      <c r="O46" s="13" t="n">
        <f aca="false">IF($C46="","",$L46*$N46)</f>
        <v>168000</v>
      </c>
      <c r="P46" s="13" t="n">
        <f aca="false">IF($C46="","",$L46+$O46)</f>
        <v>2268000</v>
      </c>
      <c r="Q46" s="12" t="n">
        <v>2268000</v>
      </c>
      <c r="R46" s="13" t="n">
        <f aca="false">IF($C46="","",MAX(0,$P46-N($Q46)))</f>
        <v>0</v>
      </c>
      <c r="S46" s="23" t="str">
        <f aca="false">IF(OR($C46="",$P46=0),"",IF(N($Q46)&lt;=0,"Chưa thanh toán",IF(N($Q46)&lt;$P46,"Thanh toán một phần","Đã thanh toán")))</f>
        <v>Đã thanh toán</v>
      </c>
      <c r="T46" s="13" t="str">
        <f aca="false">IF(OR($C46="",$J46=""),"",N($I46)*$J46)</f>
        <v/>
      </c>
      <c r="U46" s="13" t="str">
        <f aca="false">IF(OR($C46="",$T46=""),"",$L46-$T46)</f>
        <v/>
      </c>
      <c r="V46" s="14" t="str">
        <f aca="false">IF(OR($U46="",$L46=0),"",$U46/$L46)</f>
        <v/>
      </c>
      <c r="W46" s="11" t="s">
        <v>330</v>
      </c>
      <c r="X46" s="23" t="str">
        <f aca="false">IF($C46="","",IF(AND($H46="",N($I46)=0,N($K46)=0),"Dòng chỉ lưu thông tin khách (chưa có đơn); ",IF($B46="","Thiếu ngày đặt; ","")&amp;IF($H46="","Thiếu tên sản phẩm; ",IF($J46="","Chưa khai GIÁ GỐC ở BẢNG GIÁ GỐC; ",""))&amp;IF(N($I46)&lt;=0,"Thiếu số lượng; ","")&amp;IF(N($K46)&lt;=0,"Thiếu giá bán; ","")&amp;IF(AND($N46&gt;0,$F46=""),"Khách lấy VAT thiếu mã số thuế; ","")&amp;IF(N($Q46)&gt;$P46,"Đã thu vượt tổng phải thu; ","")&amp;IF(AND($L46&gt;0,$U46&lt;&gt;"",$U46&lt;0),"CẢNH BÁO: ĐƠN NÀY ĐANG LỖ; ","")))</f>
        <v>Chưa khai GIÁ GỐC ở BẢNG GIÁ GỐC; Khách lấy VAT thiếu mã số thuế; </v>
      </c>
    </row>
    <row r="47" customFormat="false" ht="15" hidden="false" customHeight="false" outlineLevel="0" collapsed="false">
      <c r="A47" s="21" t="n">
        <f aca="false">IF($C47="","",COUNTA($C$10:$C47))</f>
        <v>38</v>
      </c>
      <c r="B47" s="18" t="n">
        <v>46224</v>
      </c>
      <c r="C47" s="11" t="s">
        <v>331</v>
      </c>
      <c r="D47" s="22" t="s">
        <v>332</v>
      </c>
      <c r="E47" s="11"/>
      <c r="F47" s="22"/>
      <c r="G47" s="11" t="s">
        <v>329</v>
      </c>
      <c r="H47" s="11" t="s">
        <v>110</v>
      </c>
      <c r="I47" s="12" t="n">
        <v>10</v>
      </c>
      <c r="J47" s="13" t="n">
        <f aca="false">IF($H47="","",IFERROR(VLOOKUP($H47,'BẢNG GIÁ GỐC'!$A$5:$D$254,3,FALSE()),""))</f>
        <v>0</v>
      </c>
      <c r="K47" s="12" t="n">
        <v>70000</v>
      </c>
      <c r="L47" s="13" t="n">
        <f aca="false">IF($C47="","",N($I47)*N($K47))</f>
        <v>700000</v>
      </c>
      <c r="M47" s="11" t="s">
        <v>163</v>
      </c>
      <c r="N47" s="14" t="n">
        <f aca="false">IF($C47="","",IF($M47="VAT 5%",0.05,IF($M47="VAT 8%",0.08,IF($M47="VAT 10%",0.1,0))))</f>
        <v>0</v>
      </c>
      <c r="O47" s="13" t="n">
        <f aca="false">IF($C47="","",$L47*$N47)</f>
        <v>0</v>
      </c>
      <c r="P47" s="13" t="n">
        <f aca="false">IF($C47="","",$L47+$O47)</f>
        <v>700000</v>
      </c>
      <c r="Q47" s="12" t="n">
        <v>700000</v>
      </c>
      <c r="R47" s="13" t="n">
        <f aca="false">IF($C47="","",MAX(0,$P47-N($Q47)))</f>
        <v>0</v>
      </c>
      <c r="S47" s="23" t="str">
        <f aca="false">IF(OR($C47="",$P47=0),"",IF(N($Q47)&lt;=0,"Chưa thanh toán",IF(N($Q47)&lt;$P47,"Thanh toán một phần","Đã thanh toán")))</f>
        <v>Đã thanh toán</v>
      </c>
      <c r="T47" s="13" t="str">
        <f aca="false">IF(OR($C47="",$J47=""),"",N($I47)*$J47)</f>
        <v/>
      </c>
      <c r="U47" s="13" t="str">
        <f aca="false">IF(OR($C47="",$T47=""),"",$L47-$T47)</f>
        <v/>
      </c>
      <c r="V47" s="14" t="str">
        <f aca="false">IF(OR($U47="",$L47=0),"",$U47/$L47)</f>
        <v/>
      </c>
      <c r="W47" s="11" t="s">
        <v>333</v>
      </c>
      <c r="X47" s="23" t="str">
        <f aca="false">IF($C47="","",IF(AND($H47="",N($I47)=0,N($K47)=0),"Dòng chỉ lưu thông tin khách (chưa có đơn); ",IF($B47="","Thiếu ngày đặt; ","")&amp;IF($H47="","Thiếu tên sản phẩm; ",IF($J47="","Chưa khai GIÁ GỐC ở BẢNG GIÁ GỐC; ",""))&amp;IF(N($I47)&lt;=0,"Thiếu số lượng; ","")&amp;IF(N($K47)&lt;=0,"Thiếu giá bán; ","")&amp;IF(AND($N47&gt;0,$F47=""),"Khách lấy VAT thiếu mã số thuế; ","")&amp;IF(N($Q47)&gt;$P47,"Đã thu vượt tổng phải thu; ","")&amp;IF(AND($L47&gt;0,$U47&lt;&gt;"",$U47&lt;0),"CẢNH BÁO: ĐƠN NÀY ĐANG LỖ; ","")))</f>
        <v>Chưa khai GIÁ GỐC ở BẢNG GIÁ GỐC; </v>
      </c>
    </row>
    <row r="48" customFormat="false" ht="15" hidden="false" customHeight="false" outlineLevel="0" collapsed="false">
      <c r="A48" s="21" t="n">
        <f aca="false">IF($C48="","",COUNTA($C$10:$C48))</f>
        <v>39</v>
      </c>
      <c r="B48" s="18" t="n">
        <v>46224</v>
      </c>
      <c r="C48" s="11" t="s">
        <v>334</v>
      </c>
      <c r="D48" s="22" t="s">
        <v>335</v>
      </c>
      <c r="E48" s="11"/>
      <c r="F48" s="22"/>
      <c r="G48" s="11" t="s">
        <v>336</v>
      </c>
      <c r="H48" s="11" t="s">
        <v>97</v>
      </c>
      <c r="I48" s="12" t="n">
        <v>1</v>
      </c>
      <c r="J48" s="13" t="n">
        <f aca="false">IF($H48="","",IFERROR(VLOOKUP($H48,'BẢNG GIÁ GỐC'!$A$5:$D$254,3,FALSE()),""))</f>
        <v>0</v>
      </c>
      <c r="K48" s="12" t="n">
        <v>250000</v>
      </c>
      <c r="L48" s="13" t="n">
        <f aca="false">IF($C48="","",N($I48)*N($K48))</f>
        <v>250000</v>
      </c>
      <c r="M48" s="11" t="s">
        <v>163</v>
      </c>
      <c r="N48" s="14" t="n">
        <f aca="false">IF($C48="","",IF($M48="VAT 5%",0.05,IF($M48="VAT 8%",0.08,IF($M48="VAT 10%",0.1,0))))</f>
        <v>0</v>
      </c>
      <c r="O48" s="13" t="n">
        <f aca="false">IF($C48="","",$L48*$N48)</f>
        <v>0</v>
      </c>
      <c r="P48" s="13" t="n">
        <f aca="false">IF($C48="","",$L48+$O48)</f>
        <v>250000</v>
      </c>
      <c r="Q48" s="12" t="n">
        <v>250000</v>
      </c>
      <c r="R48" s="13" t="n">
        <f aca="false">IF($C48="","",MAX(0,$P48-N($Q48)))</f>
        <v>0</v>
      </c>
      <c r="S48" s="23" t="str">
        <f aca="false">IF(OR($C48="",$P48=0),"",IF(N($Q48)&lt;=0,"Chưa thanh toán",IF(N($Q48)&lt;$P48,"Thanh toán một phần","Đã thanh toán")))</f>
        <v>Đã thanh toán</v>
      </c>
      <c r="T48" s="13" t="str">
        <f aca="false">IF(OR($C48="",$J48=""),"",N($I48)*$J48)</f>
        <v/>
      </c>
      <c r="U48" s="13" t="str">
        <f aca="false">IF(OR($C48="",$T48=""),"",$L48-$T48)</f>
        <v/>
      </c>
      <c r="V48" s="14" t="str">
        <f aca="false">IF(OR($U48="",$L48=0),"",$U48/$L48)</f>
        <v/>
      </c>
      <c r="W48" s="11" t="s">
        <v>337</v>
      </c>
      <c r="X48" s="23" t="str">
        <f aca="false">IF($C48="","",IF(AND($H48="",N($I48)=0,N($K48)=0),"Dòng chỉ lưu thông tin khách (chưa có đơn); ",IF($B48="","Thiếu ngày đặt; ","")&amp;IF($H48="","Thiếu tên sản phẩm; ",IF($J48="","Chưa khai GIÁ GỐC ở BẢNG GIÁ GỐC; ",""))&amp;IF(N($I48)&lt;=0,"Thiếu số lượng; ","")&amp;IF(N($K48)&lt;=0,"Thiếu giá bán; ","")&amp;IF(AND($N48&gt;0,$F48=""),"Khách lấy VAT thiếu mã số thuế; ","")&amp;IF(N($Q48)&gt;$P48,"Đã thu vượt tổng phải thu; ","")&amp;IF(AND($L48&gt;0,$U48&lt;&gt;"",$U48&lt;0),"CẢNH BÁO: ĐƠN NÀY ĐANG LỖ; ","")))</f>
        <v>Chưa khai GIÁ GỐC ở BẢNG GIÁ GỐC; </v>
      </c>
    </row>
    <row r="49" customFormat="false" ht="15" hidden="false" customHeight="false" outlineLevel="0" collapsed="false">
      <c r="A49" s="21" t="n">
        <f aca="false">IF($C49="","",COUNTA($C$10:$C49))</f>
        <v>40</v>
      </c>
      <c r="B49" s="18" t="n">
        <v>46225</v>
      </c>
      <c r="C49" s="11" t="s">
        <v>338</v>
      </c>
      <c r="D49" s="22" t="s">
        <v>339</v>
      </c>
      <c r="E49" s="11"/>
      <c r="F49" s="22"/>
      <c r="G49" s="11" t="s">
        <v>340</v>
      </c>
      <c r="H49" s="11" t="s">
        <v>103</v>
      </c>
      <c r="I49" s="12" t="n">
        <v>200</v>
      </c>
      <c r="J49" s="13" t="n">
        <f aca="false">IF($H49="","",IFERROR(VLOOKUP($H49,'BẢNG GIÁ GỐC'!$A$5:$D$254,3,FALSE()),""))</f>
        <v>0</v>
      </c>
      <c r="K49" s="12" t="n">
        <v>47000</v>
      </c>
      <c r="L49" s="13" t="n">
        <f aca="false">IF($C49="","",N($I49)*N($K49))</f>
        <v>9400000</v>
      </c>
      <c r="M49" s="11" t="s">
        <v>163</v>
      </c>
      <c r="N49" s="14" t="n">
        <f aca="false">IF($C49="","",IF($M49="VAT 5%",0.05,IF($M49="VAT 8%",0.08,IF($M49="VAT 10%",0.1,0))))</f>
        <v>0</v>
      </c>
      <c r="O49" s="13" t="n">
        <f aca="false">IF($C49="","",$L49*$N49)</f>
        <v>0</v>
      </c>
      <c r="P49" s="13" t="n">
        <f aca="false">IF($C49="","",$L49+$O49)</f>
        <v>9400000</v>
      </c>
      <c r="Q49" s="12" t="n">
        <v>9400000</v>
      </c>
      <c r="R49" s="13" t="n">
        <f aca="false">IF($C49="","",MAX(0,$P49-N($Q49)))</f>
        <v>0</v>
      </c>
      <c r="S49" s="23" t="str">
        <f aca="false">IF(OR($C49="",$P49=0),"",IF(N($Q49)&lt;=0,"Chưa thanh toán",IF(N($Q49)&lt;$P49,"Thanh toán một phần","Đã thanh toán")))</f>
        <v>Đã thanh toán</v>
      </c>
      <c r="T49" s="13" t="str">
        <f aca="false">IF(OR($C49="",$J49=""),"",N($I49)*$J49)</f>
        <v/>
      </c>
      <c r="U49" s="13" t="str">
        <f aca="false">IF(OR($C49="",$T49=""),"",$L49-$T49)</f>
        <v/>
      </c>
      <c r="V49" s="14" t="str">
        <f aca="false">IF(OR($U49="",$L49=0),"",$U49/$L49)</f>
        <v/>
      </c>
      <c r="W49" s="11" t="s">
        <v>341</v>
      </c>
      <c r="X49" s="23" t="str">
        <f aca="false">IF($C49="","",IF(AND($H49="",N($I49)=0,N($K49)=0),"Dòng chỉ lưu thông tin khách (chưa có đơn); ",IF($B49="","Thiếu ngày đặt; ","")&amp;IF($H49="","Thiếu tên sản phẩm; ",IF($J49="","Chưa khai GIÁ GỐC ở BẢNG GIÁ GỐC; ",""))&amp;IF(N($I49)&lt;=0,"Thiếu số lượng; ","")&amp;IF(N($K49)&lt;=0,"Thiếu giá bán; ","")&amp;IF(AND($N49&gt;0,$F49=""),"Khách lấy VAT thiếu mã số thuế; ","")&amp;IF(N($Q49)&gt;$P49,"Đã thu vượt tổng phải thu; ","")&amp;IF(AND($L49&gt;0,$U49&lt;&gt;"",$U49&lt;0),"CẢNH BÁO: ĐƠN NÀY ĐANG LỖ; ","")))</f>
        <v>Chưa khai GIÁ GỐC ở BẢNG GIÁ GỐC; </v>
      </c>
    </row>
    <row r="50" customFormat="false" ht="15" hidden="false" customHeight="false" outlineLevel="0" collapsed="false">
      <c r="A50" s="21" t="n">
        <f aca="false">IF($C50="","",COUNTA($C$10:$C50))</f>
        <v>41</v>
      </c>
      <c r="B50" s="18" t="n">
        <v>46225</v>
      </c>
      <c r="C50" s="11" t="s">
        <v>342</v>
      </c>
      <c r="D50" s="22" t="s">
        <v>343</v>
      </c>
      <c r="E50" s="11"/>
      <c r="F50" s="22"/>
      <c r="G50" s="11" t="s">
        <v>344</v>
      </c>
      <c r="H50" s="11" t="s">
        <v>113</v>
      </c>
      <c r="I50" s="12" t="n">
        <v>50</v>
      </c>
      <c r="J50" s="13" t="n">
        <f aca="false">IF($H50="","",IFERROR(VLOOKUP($H50,'BẢNG GIÁ GỐC'!$A$5:$D$254,3,FALSE()),""))</f>
        <v>0</v>
      </c>
      <c r="K50" s="12" t="n">
        <v>29000</v>
      </c>
      <c r="L50" s="13" t="n">
        <f aca="false">IF($C50="","",N($I50)*N($K50))</f>
        <v>1450000</v>
      </c>
      <c r="M50" s="11" t="s">
        <v>163</v>
      </c>
      <c r="N50" s="14" t="n">
        <f aca="false">IF($C50="","",IF($M50="VAT 5%",0.05,IF($M50="VAT 8%",0.08,IF($M50="VAT 10%",0.1,0))))</f>
        <v>0</v>
      </c>
      <c r="O50" s="13" t="n">
        <f aca="false">IF($C50="","",$L50*$N50)</f>
        <v>0</v>
      </c>
      <c r="P50" s="13" t="n">
        <f aca="false">IF($C50="","",$L50+$O50)</f>
        <v>1450000</v>
      </c>
      <c r="Q50" s="12" t="n">
        <v>750000</v>
      </c>
      <c r="R50" s="13" t="n">
        <f aca="false">IF($C50="","",MAX(0,$P50-N($Q50)))</f>
        <v>700000</v>
      </c>
      <c r="S50" s="23" t="str">
        <f aca="false">IF(OR($C50="",$P50=0),"",IF(N($Q50)&lt;=0,"Chưa thanh toán",IF(N($Q50)&lt;$P50,"Thanh toán một phần","Đã thanh toán")))</f>
        <v>Thanh toán một phần</v>
      </c>
      <c r="T50" s="13" t="str">
        <f aca="false">IF(OR($C50="",$J50=""),"",N($I50)*$J50)</f>
        <v/>
      </c>
      <c r="U50" s="13" t="str">
        <f aca="false">IF(OR($C50="",$T50=""),"",$L50-$T50)</f>
        <v/>
      </c>
      <c r="V50" s="14" t="str">
        <f aca="false">IF(OR($U50="",$L50=0),"",$U50/$L50)</f>
        <v/>
      </c>
      <c r="W50" s="11" t="s">
        <v>345</v>
      </c>
      <c r="X50" s="23" t="str">
        <f aca="false">IF($C50="","",IF(AND($H50="",N($I50)=0,N($K50)=0),"Dòng chỉ lưu thông tin khách (chưa có đơn); ",IF($B50="","Thiếu ngày đặt; ","")&amp;IF($H50="","Thiếu tên sản phẩm; ",IF($J50="","Chưa khai GIÁ GỐC ở BẢNG GIÁ GỐC; ",""))&amp;IF(N($I50)&lt;=0,"Thiếu số lượng; ","")&amp;IF(N($K50)&lt;=0,"Thiếu giá bán; ","")&amp;IF(AND($N50&gt;0,$F50=""),"Khách lấy VAT thiếu mã số thuế; ","")&amp;IF(N($Q50)&gt;$P50,"Đã thu vượt tổng phải thu; ","")&amp;IF(AND($L50&gt;0,$U50&lt;&gt;"",$U50&lt;0),"CẢNH BÁO: ĐƠN NÀY ĐANG LỖ; ","")))</f>
        <v>Chưa khai GIÁ GỐC ở BẢNG GIÁ GỐC; </v>
      </c>
    </row>
    <row r="51" customFormat="false" ht="15" hidden="false" customHeight="false" outlineLevel="0" collapsed="false">
      <c r="A51" s="21" t="n">
        <f aca="false">IF($C51="","",COUNTA($C$10:$C51))</f>
        <v>42</v>
      </c>
      <c r="B51" s="18" t="n">
        <v>46225</v>
      </c>
      <c r="C51" s="11" t="s">
        <v>346</v>
      </c>
      <c r="D51" s="22" t="s">
        <v>347</v>
      </c>
      <c r="E51" s="11"/>
      <c r="F51" s="22"/>
      <c r="G51" s="11" t="s">
        <v>348</v>
      </c>
      <c r="H51" s="11" t="s">
        <v>114</v>
      </c>
      <c r="I51" s="12" t="n">
        <v>50</v>
      </c>
      <c r="J51" s="13" t="n">
        <f aca="false">IF($H51="","",IFERROR(VLOOKUP($H51,'BẢNG GIÁ GỐC'!$A$5:$D$254,3,FALSE()),""))</f>
        <v>0</v>
      </c>
      <c r="K51" s="12" t="n">
        <v>0</v>
      </c>
      <c r="L51" s="13" t="n">
        <f aca="false">IF($C51="","",N($I51)*N($K51))</f>
        <v>0</v>
      </c>
      <c r="M51" s="11" t="s">
        <v>163</v>
      </c>
      <c r="N51" s="14" t="n">
        <f aca="false">IF($C51="","",IF($M51="VAT 5%",0.05,IF($M51="VAT 8%",0.08,IF($M51="VAT 10%",0.1,0))))</f>
        <v>0</v>
      </c>
      <c r="O51" s="13" t="n">
        <f aca="false">IF($C51="","",$L51*$N51)</f>
        <v>0</v>
      </c>
      <c r="P51" s="13" t="n">
        <f aca="false">IF($C51="","",$L51+$O51)</f>
        <v>0</v>
      </c>
      <c r="Q51" s="12" t="n">
        <v>0</v>
      </c>
      <c r="R51" s="13" t="n">
        <f aca="false">IF($C51="","",MAX(0,$P51-N($Q51)))</f>
        <v>0</v>
      </c>
      <c r="S51" s="23" t="str">
        <f aca="false">IF(OR($C51="",$P51=0),"",IF(N($Q51)&lt;=0,"Chưa thanh toán",IF(N($Q51)&lt;$P51,"Thanh toán một phần","Đã thanh toán")))</f>
        <v/>
      </c>
      <c r="T51" s="13" t="str">
        <f aca="false">IF(OR($C51="",$J51=""),"",N($I51)*$J51)</f>
        <v/>
      </c>
      <c r="U51" s="13" t="str">
        <f aca="false">IF(OR($C51="",$T51=""),"",$L51-$T51)</f>
        <v/>
      </c>
      <c r="V51" s="14" t="str">
        <f aca="false">IF(OR($U51="",$L51=0),"",$U51/$L51)</f>
        <v/>
      </c>
      <c r="W51" s="11" t="s">
        <v>349</v>
      </c>
      <c r="X51" s="23" t="str">
        <f aca="false">IF($C51="","",IF(AND($H51="",N($I51)=0,N($K51)=0),"Dòng chỉ lưu thông tin khách (chưa có đơn); ",IF($B51="","Thiếu ngày đặt; ","")&amp;IF($H51="","Thiếu tên sản phẩm; ",IF($J51="","Chưa khai GIÁ GỐC ở BẢNG GIÁ GỐC; ",""))&amp;IF(N($I51)&lt;=0,"Thiếu số lượng; ","")&amp;IF(N($K51)&lt;=0,"Thiếu giá bán; ","")&amp;IF(AND($N51&gt;0,$F51=""),"Khách lấy VAT thiếu mã số thuế; ","")&amp;IF(N($Q51)&gt;$P51,"Đã thu vượt tổng phải thu; ","")&amp;IF(AND($L51&gt;0,$U51&lt;&gt;"",$U51&lt;0),"CẢNH BÁO: ĐƠN NÀY ĐANG LỖ; ","")))</f>
        <v>Chưa khai GIÁ GỐC ở BẢNG GIÁ GỐC; Thiếu giá bán; </v>
      </c>
    </row>
    <row r="52" customFormat="false" ht="15" hidden="false" customHeight="false" outlineLevel="0" collapsed="false">
      <c r="A52" s="21" t="n">
        <f aca="false">IF($C52="","",COUNTA($C$10:$C52))</f>
        <v>43</v>
      </c>
      <c r="B52" s="18" t="n">
        <v>46226</v>
      </c>
      <c r="C52" s="11" t="s">
        <v>350</v>
      </c>
      <c r="D52" s="22" t="s">
        <v>351</v>
      </c>
      <c r="E52" s="11"/>
      <c r="F52" s="22"/>
      <c r="G52" s="11" t="s">
        <v>352</v>
      </c>
      <c r="H52" s="11" t="s">
        <v>103</v>
      </c>
      <c r="I52" s="12" t="n">
        <v>20</v>
      </c>
      <c r="J52" s="13" t="n">
        <f aca="false">IF($H52="","",IFERROR(VLOOKUP($H52,'BẢNG GIÁ GỐC'!$A$5:$D$254,3,FALSE()),""))</f>
        <v>0</v>
      </c>
      <c r="K52" s="12" t="n">
        <v>50000</v>
      </c>
      <c r="L52" s="13" t="n">
        <f aca="false">IF($C52="","",N($I52)*N($K52))</f>
        <v>1000000</v>
      </c>
      <c r="M52" s="11" t="s">
        <v>163</v>
      </c>
      <c r="N52" s="14" t="n">
        <f aca="false">IF($C52="","",IF($M52="VAT 5%",0.05,IF($M52="VAT 8%",0.08,IF($M52="VAT 10%",0.1,0))))</f>
        <v>0</v>
      </c>
      <c r="O52" s="13" t="n">
        <f aca="false">IF($C52="","",$L52*$N52)</f>
        <v>0</v>
      </c>
      <c r="P52" s="13" t="n">
        <f aca="false">IF($C52="","",$L52+$O52)</f>
        <v>1000000</v>
      </c>
      <c r="Q52" s="12" t="n">
        <v>1000000</v>
      </c>
      <c r="R52" s="13" t="n">
        <f aca="false">IF($C52="","",MAX(0,$P52-N($Q52)))</f>
        <v>0</v>
      </c>
      <c r="S52" s="23" t="str">
        <f aca="false">IF(OR($C52="",$P52=0),"",IF(N($Q52)&lt;=0,"Chưa thanh toán",IF(N($Q52)&lt;$P52,"Thanh toán một phần","Đã thanh toán")))</f>
        <v>Đã thanh toán</v>
      </c>
      <c r="T52" s="13" t="str">
        <f aca="false">IF(OR($C52="",$J52=""),"",N($I52)*$J52)</f>
        <v/>
      </c>
      <c r="U52" s="13" t="str">
        <f aca="false">IF(OR($C52="",$T52=""),"",$L52-$T52)</f>
        <v/>
      </c>
      <c r="V52" s="14" t="str">
        <f aca="false">IF(OR($U52="",$L52=0),"",$U52/$L52)</f>
        <v/>
      </c>
      <c r="W52" s="11" t="s">
        <v>353</v>
      </c>
      <c r="X52" s="23" t="str">
        <f aca="false">IF($C52="","",IF(AND($H52="",N($I52)=0,N($K52)=0),"Dòng chỉ lưu thông tin khách (chưa có đơn); ",IF($B52="","Thiếu ngày đặt; ","")&amp;IF($H52="","Thiếu tên sản phẩm; ",IF($J52="","Chưa khai GIÁ GỐC ở BẢNG GIÁ GỐC; ",""))&amp;IF(N($I52)&lt;=0,"Thiếu số lượng; ","")&amp;IF(N($K52)&lt;=0,"Thiếu giá bán; ","")&amp;IF(AND($N52&gt;0,$F52=""),"Khách lấy VAT thiếu mã số thuế; ","")&amp;IF(N($Q52)&gt;$P52,"Đã thu vượt tổng phải thu; ","")&amp;IF(AND($L52&gt;0,$U52&lt;&gt;"",$U52&lt;0),"CẢNH BÁO: ĐƠN NÀY ĐANG LỖ; ","")))</f>
        <v>Chưa khai GIÁ GỐC ở BẢNG GIÁ GỐC; </v>
      </c>
    </row>
    <row r="53" customFormat="false" ht="15" hidden="false" customHeight="false" outlineLevel="0" collapsed="false">
      <c r="A53" s="21" t="n">
        <f aca="false">IF($C53="","",COUNTA($C$10:$C53))</f>
        <v>44</v>
      </c>
      <c r="B53" s="18" t="n">
        <v>46228</v>
      </c>
      <c r="C53" s="11" t="s">
        <v>354</v>
      </c>
      <c r="D53" s="22" t="s">
        <v>355</v>
      </c>
      <c r="E53" s="11"/>
      <c r="F53" s="22"/>
      <c r="G53" s="11" t="s">
        <v>356</v>
      </c>
      <c r="H53" s="11" t="s">
        <v>111</v>
      </c>
      <c r="I53" s="12" t="n">
        <v>50</v>
      </c>
      <c r="J53" s="13" t="n">
        <f aca="false">IF($H53="","",IFERROR(VLOOKUP($H53,'BẢNG GIÁ GỐC'!$A$5:$D$254,3,FALSE()),""))</f>
        <v>0</v>
      </c>
      <c r="K53" s="12" t="n">
        <v>55000</v>
      </c>
      <c r="L53" s="13" t="n">
        <f aca="false">IF($C53="","",N($I53)*N($K53))</f>
        <v>2750000</v>
      </c>
      <c r="M53" s="11" t="s">
        <v>163</v>
      </c>
      <c r="N53" s="14" t="n">
        <f aca="false">IF($C53="","",IF($M53="VAT 5%",0.05,IF($M53="VAT 8%",0.08,IF($M53="VAT 10%",0.1,0))))</f>
        <v>0</v>
      </c>
      <c r="O53" s="13" t="n">
        <f aca="false">IF($C53="","",$L53*$N53)</f>
        <v>0</v>
      </c>
      <c r="P53" s="13" t="n">
        <f aca="false">IF($C53="","",$L53+$O53)</f>
        <v>2750000</v>
      </c>
      <c r="Q53" s="12" t="n">
        <v>1500000</v>
      </c>
      <c r="R53" s="13" t="n">
        <f aca="false">IF($C53="","",MAX(0,$P53-N($Q53)))</f>
        <v>1250000</v>
      </c>
      <c r="S53" s="23" t="str">
        <f aca="false">IF(OR($C53="",$P53=0),"",IF(N($Q53)&lt;=0,"Chưa thanh toán",IF(N($Q53)&lt;$P53,"Thanh toán một phần","Đã thanh toán")))</f>
        <v>Thanh toán một phần</v>
      </c>
      <c r="T53" s="13" t="str">
        <f aca="false">IF(OR($C53="",$J53=""),"",N($I53)*$J53)</f>
        <v/>
      </c>
      <c r="U53" s="13" t="str">
        <f aca="false">IF(OR($C53="",$T53=""),"",$L53-$T53)</f>
        <v/>
      </c>
      <c r="V53" s="14" t="str">
        <f aca="false">IF(OR($U53="",$L53=0),"",$U53/$L53)</f>
        <v/>
      </c>
      <c r="W53" s="11" t="s">
        <v>357</v>
      </c>
      <c r="X53" s="23" t="str">
        <f aca="false">IF($C53="","",IF(AND($H53="",N($I53)=0,N($K53)=0),"Dòng chỉ lưu thông tin khách (chưa có đơn); ",IF($B53="","Thiếu ngày đặt; ","")&amp;IF($H53="","Thiếu tên sản phẩm; ",IF($J53="","Chưa khai GIÁ GỐC ở BẢNG GIÁ GỐC; ",""))&amp;IF(N($I53)&lt;=0,"Thiếu số lượng; ","")&amp;IF(N($K53)&lt;=0,"Thiếu giá bán; ","")&amp;IF(AND($N53&gt;0,$F53=""),"Khách lấy VAT thiếu mã số thuế; ","")&amp;IF(N($Q53)&gt;$P53,"Đã thu vượt tổng phải thu; ","")&amp;IF(AND($L53&gt;0,$U53&lt;&gt;"",$U53&lt;0),"CẢNH BÁO: ĐƠN NÀY ĐANG LỖ; ","")))</f>
        <v>Chưa khai GIÁ GỐC ở BẢNG GIÁ GỐC; </v>
      </c>
    </row>
    <row r="54" customFormat="false" ht="15" hidden="false" customHeight="false" outlineLevel="0" collapsed="false">
      <c r="A54" s="21" t="n">
        <f aca="false">IF($C54="","",COUNTA($C$10:$C54))</f>
        <v>45</v>
      </c>
      <c r="B54" s="18" t="n">
        <v>46228</v>
      </c>
      <c r="C54" s="11" t="s">
        <v>358</v>
      </c>
      <c r="D54" s="22" t="s">
        <v>359</v>
      </c>
      <c r="E54" s="11"/>
      <c r="F54" s="22"/>
      <c r="G54" s="11" t="s">
        <v>360</v>
      </c>
      <c r="H54" s="11" t="s">
        <v>94</v>
      </c>
      <c r="I54" s="12" t="n">
        <v>100</v>
      </c>
      <c r="J54" s="13" t="n">
        <f aca="false">IF($H54="","",IFERROR(VLOOKUP($H54,'BẢNG GIÁ GỐC'!$A$5:$D$254,3,FALSE()),""))</f>
        <v>0</v>
      </c>
      <c r="K54" s="12" t="n">
        <v>55000</v>
      </c>
      <c r="L54" s="13" t="n">
        <f aca="false">IF($C54="","",N($I54)*N($K54))</f>
        <v>5500000</v>
      </c>
      <c r="M54" s="11" t="s">
        <v>163</v>
      </c>
      <c r="N54" s="14" t="n">
        <f aca="false">IF($C54="","",IF($M54="VAT 5%",0.05,IF($M54="VAT 8%",0.08,IF($M54="VAT 10%",0.1,0))))</f>
        <v>0</v>
      </c>
      <c r="O54" s="13" t="n">
        <f aca="false">IF($C54="","",$L54*$N54)</f>
        <v>0</v>
      </c>
      <c r="P54" s="13" t="n">
        <f aca="false">IF($C54="","",$L54+$O54)</f>
        <v>5500000</v>
      </c>
      <c r="Q54" s="12" t="n">
        <v>2750000</v>
      </c>
      <c r="R54" s="13" t="n">
        <f aca="false">IF($C54="","",MAX(0,$P54-N($Q54)))</f>
        <v>2750000</v>
      </c>
      <c r="S54" s="23" t="str">
        <f aca="false">IF(OR($C54="",$P54=0),"",IF(N($Q54)&lt;=0,"Chưa thanh toán",IF(N($Q54)&lt;$P54,"Thanh toán một phần","Đã thanh toán")))</f>
        <v>Thanh toán một phần</v>
      </c>
      <c r="T54" s="13" t="str">
        <f aca="false">IF(OR($C54="",$J54=""),"",N($I54)*$J54)</f>
        <v/>
      </c>
      <c r="U54" s="13" t="str">
        <f aca="false">IF(OR($C54="",$T54=""),"",$L54-$T54)</f>
        <v/>
      </c>
      <c r="V54" s="14" t="str">
        <f aca="false">IF(OR($U54="",$L54=0),"",$U54/$L54)</f>
        <v/>
      </c>
      <c r="W54" s="11" t="s">
        <v>361</v>
      </c>
      <c r="X54" s="23" t="str">
        <f aca="false">IF($C54="","",IF(AND($H54="",N($I54)=0,N($K54)=0),"Dòng chỉ lưu thông tin khách (chưa có đơn); ",IF($B54="","Thiếu ngày đặt; ","")&amp;IF($H54="","Thiếu tên sản phẩm; ",IF($J54="","Chưa khai GIÁ GỐC ở BẢNG GIÁ GỐC; ",""))&amp;IF(N($I54)&lt;=0,"Thiếu số lượng; ","")&amp;IF(N($K54)&lt;=0,"Thiếu giá bán; ","")&amp;IF(AND($N54&gt;0,$F54=""),"Khách lấy VAT thiếu mã số thuế; ","")&amp;IF(N($Q54)&gt;$P54,"Đã thu vượt tổng phải thu; ","")&amp;IF(AND($L54&gt;0,$U54&lt;&gt;"",$U54&lt;0),"CẢNH BÁO: ĐƠN NÀY ĐANG LỖ; ","")))</f>
        <v>Chưa khai GIÁ GỐC ở BẢNG GIÁ GỐC; </v>
      </c>
    </row>
    <row r="55" customFormat="false" ht="15" hidden="false" customHeight="false" outlineLevel="0" collapsed="false">
      <c r="A55" s="21" t="n">
        <f aca="false">IF($C55="","",COUNTA($C$10:$C55))</f>
        <v>46</v>
      </c>
      <c r="B55" s="18" t="n">
        <v>46230</v>
      </c>
      <c r="C55" s="11" t="s">
        <v>362</v>
      </c>
      <c r="D55" s="22" t="s">
        <v>363</v>
      </c>
      <c r="E55" s="11"/>
      <c r="F55" s="22"/>
      <c r="G55" s="11" t="s">
        <v>364</v>
      </c>
      <c r="H55" s="11" t="s">
        <v>96</v>
      </c>
      <c r="I55" s="12" t="n">
        <v>20</v>
      </c>
      <c r="J55" s="13" t="n">
        <f aca="false">IF($H55="","",IFERROR(VLOOKUP($H55,'BẢNG GIÁ GỐC'!$A$5:$D$254,3,FALSE()),""))</f>
        <v>0</v>
      </c>
      <c r="K55" s="12" t="n">
        <v>55000</v>
      </c>
      <c r="L55" s="13" t="n">
        <f aca="false">IF($C55="","",N($I55)*N($K55))</f>
        <v>1100000</v>
      </c>
      <c r="M55" s="11" t="s">
        <v>163</v>
      </c>
      <c r="N55" s="14" t="n">
        <f aca="false">IF($C55="","",IF($M55="VAT 5%",0.05,IF($M55="VAT 8%",0.08,IF($M55="VAT 10%",0.1,0))))</f>
        <v>0</v>
      </c>
      <c r="O55" s="13" t="n">
        <f aca="false">IF($C55="","",$L55*$N55)</f>
        <v>0</v>
      </c>
      <c r="P55" s="13" t="n">
        <f aca="false">IF($C55="","",$L55+$O55)</f>
        <v>1100000</v>
      </c>
      <c r="Q55" s="12" t="n">
        <v>1100000</v>
      </c>
      <c r="R55" s="13" t="n">
        <f aca="false">IF($C55="","",MAX(0,$P55-N($Q55)))</f>
        <v>0</v>
      </c>
      <c r="S55" s="23" t="str">
        <f aca="false">IF(OR($C55="",$P55=0),"",IF(N($Q55)&lt;=0,"Chưa thanh toán",IF(N($Q55)&lt;$P55,"Thanh toán một phần","Đã thanh toán")))</f>
        <v>Đã thanh toán</v>
      </c>
      <c r="T55" s="13" t="str">
        <f aca="false">IF(OR($C55="",$J55=""),"",N($I55)*$J55)</f>
        <v/>
      </c>
      <c r="U55" s="13" t="str">
        <f aca="false">IF(OR($C55="",$T55=""),"",$L55-$T55)</f>
        <v/>
      </c>
      <c r="V55" s="14" t="str">
        <f aca="false">IF(OR($U55="",$L55=0),"",$U55/$L55)</f>
        <v/>
      </c>
      <c r="W55" s="11" t="s">
        <v>365</v>
      </c>
      <c r="X55" s="23" t="str">
        <f aca="false">IF($C55="","",IF(AND($H55="",N($I55)=0,N($K55)=0),"Dòng chỉ lưu thông tin khách (chưa có đơn); ",IF($B55="","Thiếu ngày đặt; ","")&amp;IF($H55="","Thiếu tên sản phẩm; ",IF($J55="","Chưa khai GIÁ GỐC ở BẢNG GIÁ GỐC; ",""))&amp;IF(N($I55)&lt;=0,"Thiếu số lượng; ","")&amp;IF(N($K55)&lt;=0,"Thiếu giá bán; ","")&amp;IF(AND($N55&gt;0,$F55=""),"Khách lấy VAT thiếu mã số thuế; ","")&amp;IF(N($Q55)&gt;$P55,"Đã thu vượt tổng phải thu; ","")&amp;IF(AND($L55&gt;0,$U55&lt;&gt;"",$U55&lt;0),"CẢNH BÁO: ĐƠN NÀY ĐANG LỖ; ","")))</f>
        <v>Chưa khai GIÁ GỐC ở BẢNG GIÁ GỐC; </v>
      </c>
    </row>
    <row r="56" customFormat="false" ht="15" hidden="false" customHeight="false" outlineLevel="0" collapsed="false">
      <c r="A56" s="21" t="n">
        <f aca="false">IF($C56="","",COUNTA($C$10:$C56))</f>
        <v>47</v>
      </c>
      <c r="B56" s="18" t="n">
        <v>46230</v>
      </c>
      <c r="C56" s="11" t="s">
        <v>366</v>
      </c>
      <c r="D56" s="22" t="s">
        <v>367</v>
      </c>
      <c r="E56" s="11"/>
      <c r="F56" s="22"/>
      <c r="G56" s="11" t="s">
        <v>368</v>
      </c>
      <c r="H56" s="11" t="s">
        <v>93</v>
      </c>
      <c r="I56" s="12" t="n">
        <v>50</v>
      </c>
      <c r="J56" s="13" t="n">
        <f aca="false">IF($H56="","",IFERROR(VLOOKUP($H56,'BẢNG GIÁ GỐC'!$A$5:$D$254,3,FALSE()),""))</f>
        <v>0</v>
      </c>
      <c r="K56" s="12" t="n">
        <v>52000</v>
      </c>
      <c r="L56" s="13" t="n">
        <f aca="false">IF($C56="","",N($I56)*N($K56))</f>
        <v>2600000</v>
      </c>
      <c r="M56" s="11" t="s">
        <v>163</v>
      </c>
      <c r="N56" s="14" t="n">
        <f aca="false">IF($C56="","",IF($M56="VAT 5%",0.05,IF($M56="VAT 8%",0.08,IF($M56="VAT 10%",0.1,0))))</f>
        <v>0</v>
      </c>
      <c r="O56" s="13" t="n">
        <f aca="false">IF($C56="","",$L56*$N56)</f>
        <v>0</v>
      </c>
      <c r="P56" s="13" t="n">
        <f aca="false">IF($C56="","",$L56+$O56)</f>
        <v>2600000</v>
      </c>
      <c r="Q56" s="12" t="n">
        <v>1300000</v>
      </c>
      <c r="R56" s="13" t="n">
        <f aca="false">IF($C56="","",MAX(0,$P56-N($Q56)))</f>
        <v>1300000</v>
      </c>
      <c r="S56" s="23" t="str">
        <f aca="false">IF(OR($C56="",$P56=0),"",IF(N($Q56)&lt;=0,"Chưa thanh toán",IF(N($Q56)&lt;$P56,"Thanh toán một phần","Đã thanh toán")))</f>
        <v>Thanh toán một phần</v>
      </c>
      <c r="T56" s="13" t="str">
        <f aca="false">IF(OR($C56="",$J56=""),"",N($I56)*$J56)</f>
        <v/>
      </c>
      <c r="U56" s="13" t="str">
        <f aca="false">IF(OR($C56="",$T56=""),"",$L56-$T56)</f>
        <v/>
      </c>
      <c r="V56" s="14" t="str">
        <f aca="false">IF(OR($U56="",$L56=0),"",$U56/$L56)</f>
        <v/>
      </c>
      <c r="W56" s="11" t="s">
        <v>369</v>
      </c>
      <c r="X56" s="23" t="str">
        <f aca="false">IF($C56="","",IF(AND($H56="",N($I56)=0,N($K56)=0),"Dòng chỉ lưu thông tin khách (chưa có đơn); ",IF($B56="","Thiếu ngày đặt; ","")&amp;IF($H56="","Thiếu tên sản phẩm; ",IF($J56="","Chưa khai GIÁ GỐC ở BẢNG GIÁ GỐC; ",""))&amp;IF(N($I56)&lt;=0,"Thiếu số lượng; ","")&amp;IF(N($K56)&lt;=0,"Thiếu giá bán; ","")&amp;IF(AND($N56&gt;0,$F56=""),"Khách lấy VAT thiếu mã số thuế; ","")&amp;IF(N($Q56)&gt;$P56,"Đã thu vượt tổng phải thu; ","")&amp;IF(AND($L56&gt;0,$U56&lt;&gt;"",$U56&lt;0),"CẢNH BÁO: ĐƠN NÀY ĐANG LỖ; ","")))</f>
        <v>Chưa khai GIÁ GỐC ở BẢNG GIÁ GỐC; </v>
      </c>
    </row>
    <row r="57" customFormat="false" ht="15" hidden="false" customHeight="false" outlineLevel="0" collapsed="false">
      <c r="A57" s="21" t="n">
        <f aca="false">IF($C57="","",COUNTA($C$10:$C57))</f>
        <v>48</v>
      </c>
      <c r="B57" s="18" t="n">
        <v>46230</v>
      </c>
      <c r="C57" s="11" t="s">
        <v>370</v>
      </c>
      <c r="D57" s="22" t="s">
        <v>371</v>
      </c>
      <c r="E57" s="11"/>
      <c r="F57" s="22"/>
      <c r="G57" s="11" t="s">
        <v>372</v>
      </c>
      <c r="H57" s="11" t="s">
        <v>95</v>
      </c>
      <c r="I57" s="12" t="n">
        <v>100</v>
      </c>
      <c r="J57" s="13" t="n">
        <f aca="false">IF($H57="","",IFERROR(VLOOKUP($H57,'BẢNG GIÁ GỐC'!$A$5:$D$254,3,FALSE()),""))</f>
        <v>0</v>
      </c>
      <c r="K57" s="12" t="n">
        <v>47000</v>
      </c>
      <c r="L57" s="13" t="n">
        <f aca="false">IF($C57="","",N($I57)*N($K57))</f>
        <v>4700000</v>
      </c>
      <c r="M57" s="11" t="s">
        <v>163</v>
      </c>
      <c r="N57" s="14" t="n">
        <f aca="false">IF($C57="","",IF($M57="VAT 5%",0.05,IF($M57="VAT 8%",0.08,IF($M57="VAT 10%",0.1,0))))</f>
        <v>0</v>
      </c>
      <c r="O57" s="13" t="n">
        <f aca="false">IF($C57="","",$L57*$N57)</f>
        <v>0</v>
      </c>
      <c r="P57" s="13" t="n">
        <f aca="false">IF($C57="","",$L57+$O57)</f>
        <v>4700000</v>
      </c>
      <c r="Q57" s="12" t="n">
        <v>4700000</v>
      </c>
      <c r="R57" s="13" t="n">
        <f aca="false">IF($C57="","",MAX(0,$P57-N($Q57)))</f>
        <v>0</v>
      </c>
      <c r="S57" s="23" t="str">
        <f aca="false">IF(OR($C57="",$P57=0),"",IF(N($Q57)&lt;=0,"Chưa thanh toán",IF(N($Q57)&lt;$P57,"Thanh toán một phần","Đã thanh toán")))</f>
        <v>Đã thanh toán</v>
      </c>
      <c r="T57" s="13" t="str">
        <f aca="false">IF(OR($C57="",$J57=""),"",N($I57)*$J57)</f>
        <v/>
      </c>
      <c r="U57" s="13" t="str">
        <f aca="false">IF(OR($C57="",$T57=""),"",$L57-$T57)</f>
        <v/>
      </c>
      <c r="V57" s="14" t="str">
        <f aca="false">IF(OR($U57="",$L57=0),"",$U57/$L57)</f>
        <v/>
      </c>
      <c r="W57" s="11" t="s">
        <v>373</v>
      </c>
      <c r="X57" s="23" t="str">
        <f aca="false">IF($C57="","",IF(AND($H57="",N($I57)=0,N($K57)=0),"Dòng chỉ lưu thông tin khách (chưa có đơn); ",IF($B57="","Thiếu ngày đặt; ","")&amp;IF($H57="","Thiếu tên sản phẩm; ",IF($J57="","Chưa khai GIÁ GỐC ở BẢNG GIÁ GỐC; ",""))&amp;IF(N($I57)&lt;=0,"Thiếu số lượng; ","")&amp;IF(N($K57)&lt;=0,"Thiếu giá bán; ","")&amp;IF(AND($N57&gt;0,$F57=""),"Khách lấy VAT thiếu mã số thuế; ","")&amp;IF(N($Q57)&gt;$P57,"Đã thu vượt tổng phải thu; ","")&amp;IF(AND($L57&gt;0,$U57&lt;&gt;"",$U57&lt;0),"CẢNH BÁO: ĐƠN NÀY ĐANG LỖ; ","")))</f>
        <v>Chưa khai GIÁ GỐC ở BẢNG GIÁ GỐC; </v>
      </c>
    </row>
    <row r="58" customFormat="false" ht="15" hidden="false" customHeight="false" outlineLevel="0" collapsed="false">
      <c r="A58" s="21" t="n">
        <f aca="false">IF($C58="","",COUNTA($C$10:$C58))</f>
        <v>49</v>
      </c>
      <c r="B58" s="18" t="n">
        <v>46230</v>
      </c>
      <c r="C58" s="11" t="s">
        <v>374</v>
      </c>
      <c r="D58" s="22" t="s">
        <v>375</v>
      </c>
      <c r="E58" s="11"/>
      <c r="F58" s="22"/>
      <c r="G58" s="11" t="s">
        <v>376</v>
      </c>
      <c r="H58" s="11" t="s">
        <v>113</v>
      </c>
      <c r="I58" s="12" t="n">
        <v>50</v>
      </c>
      <c r="J58" s="13" t="n">
        <f aca="false">IF($H58="","",IFERROR(VLOOKUP($H58,'BẢNG GIÁ GỐC'!$A$5:$D$254,3,FALSE()),""))</f>
        <v>0</v>
      </c>
      <c r="K58" s="12" t="n">
        <v>30000</v>
      </c>
      <c r="L58" s="13" t="n">
        <f aca="false">IF($C58="","",N($I58)*N($K58))</f>
        <v>1500000</v>
      </c>
      <c r="M58" s="11" t="s">
        <v>163</v>
      </c>
      <c r="N58" s="14" t="n">
        <f aca="false">IF($C58="","",IF($M58="VAT 5%",0.05,IF($M58="VAT 8%",0.08,IF($M58="VAT 10%",0.1,0))))</f>
        <v>0</v>
      </c>
      <c r="O58" s="13" t="n">
        <f aca="false">IF($C58="","",$L58*$N58)</f>
        <v>0</v>
      </c>
      <c r="P58" s="13" t="n">
        <f aca="false">IF($C58="","",$L58+$O58)</f>
        <v>1500000</v>
      </c>
      <c r="Q58" s="12" t="n">
        <v>750000</v>
      </c>
      <c r="R58" s="13" t="n">
        <f aca="false">IF($C58="","",MAX(0,$P58-N($Q58)))</f>
        <v>750000</v>
      </c>
      <c r="S58" s="23" t="str">
        <f aca="false">IF(OR($C58="",$P58=0),"",IF(N($Q58)&lt;=0,"Chưa thanh toán",IF(N($Q58)&lt;$P58,"Thanh toán một phần","Đã thanh toán")))</f>
        <v>Thanh toán một phần</v>
      </c>
      <c r="T58" s="13" t="str">
        <f aca="false">IF(OR($C58="",$J58=""),"",N($I58)*$J58)</f>
        <v/>
      </c>
      <c r="U58" s="13" t="str">
        <f aca="false">IF(OR($C58="",$T58=""),"",$L58-$T58)</f>
        <v/>
      </c>
      <c r="V58" s="14" t="str">
        <f aca="false">IF(OR($U58="",$L58=0),"",$U58/$L58)</f>
        <v/>
      </c>
      <c r="W58" s="11" t="s">
        <v>377</v>
      </c>
      <c r="X58" s="23" t="str">
        <f aca="false">IF($C58="","",IF(AND($H58="",N($I58)=0,N($K58)=0),"Dòng chỉ lưu thông tin khách (chưa có đơn); ",IF($B58="","Thiếu ngày đặt; ","")&amp;IF($H58="","Thiếu tên sản phẩm; ",IF($J58="","Chưa khai GIÁ GỐC ở BẢNG GIÁ GỐC; ",""))&amp;IF(N($I58)&lt;=0,"Thiếu số lượng; ","")&amp;IF(N($K58)&lt;=0,"Thiếu giá bán; ","")&amp;IF(AND($N58&gt;0,$F58=""),"Khách lấy VAT thiếu mã số thuế; ","")&amp;IF(N($Q58)&gt;$P58,"Đã thu vượt tổng phải thu; ","")&amp;IF(AND($L58&gt;0,$U58&lt;&gt;"",$U58&lt;0),"CẢNH BÁO: ĐƠN NÀY ĐANG LỖ; ","")))</f>
        <v>Chưa khai GIÁ GỐC ở BẢNG GIÁ GỐC; </v>
      </c>
    </row>
    <row r="59" customFormat="false" ht="15" hidden="false" customHeight="false" outlineLevel="0" collapsed="false">
      <c r="A59" s="21" t="n">
        <f aca="false">IF($C59="","",COUNTA($C$10:$C59))</f>
        <v>50</v>
      </c>
      <c r="B59" s="18" t="n">
        <v>46231</v>
      </c>
      <c r="C59" s="11" t="s">
        <v>378</v>
      </c>
      <c r="D59" s="22" t="s">
        <v>379</v>
      </c>
      <c r="E59" s="11"/>
      <c r="F59" s="22"/>
      <c r="G59" s="11" t="s">
        <v>380</v>
      </c>
      <c r="H59" s="11" t="s">
        <v>103</v>
      </c>
      <c r="I59" s="12" t="n">
        <v>100</v>
      </c>
      <c r="J59" s="13" t="n">
        <f aca="false">IF($H59="","",IFERROR(VLOOKUP($H59,'BẢNG GIÁ GỐC'!$A$5:$D$254,3,FALSE()),""))</f>
        <v>0</v>
      </c>
      <c r="K59" s="12" t="n">
        <v>48000</v>
      </c>
      <c r="L59" s="13" t="n">
        <f aca="false">IF($C59="","",N($I59)*N($K59))</f>
        <v>4800000</v>
      </c>
      <c r="M59" s="11" t="s">
        <v>163</v>
      </c>
      <c r="N59" s="14" t="n">
        <f aca="false">IF($C59="","",IF($M59="VAT 5%",0.05,IF($M59="VAT 8%",0.08,IF($M59="VAT 10%",0.1,0))))</f>
        <v>0</v>
      </c>
      <c r="O59" s="13" t="n">
        <f aca="false">IF($C59="","",$L59*$N59)</f>
        <v>0</v>
      </c>
      <c r="P59" s="13" t="n">
        <f aca="false">IF($C59="","",$L59+$O59)</f>
        <v>4800000</v>
      </c>
      <c r="Q59" s="12" t="n">
        <v>2400000</v>
      </c>
      <c r="R59" s="13" t="n">
        <f aca="false">IF($C59="","",MAX(0,$P59-N($Q59)))</f>
        <v>2400000</v>
      </c>
      <c r="S59" s="23" t="str">
        <f aca="false">IF(OR($C59="",$P59=0),"",IF(N($Q59)&lt;=0,"Chưa thanh toán",IF(N($Q59)&lt;$P59,"Thanh toán một phần","Đã thanh toán")))</f>
        <v>Thanh toán một phần</v>
      </c>
      <c r="T59" s="13" t="str">
        <f aca="false">IF(OR($C59="",$J59=""),"",N($I59)*$J59)</f>
        <v/>
      </c>
      <c r="U59" s="13" t="str">
        <f aca="false">IF(OR($C59="",$T59=""),"",$L59-$T59)</f>
        <v/>
      </c>
      <c r="V59" s="14" t="str">
        <f aca="false">IF(OR($U59="",$L59=0),"",$U59/$L59)</f>
        <v/>
      </c>
      <c r="W59" s="11" t="s">
        <v>381</v>
      </c>
      <c r="X59" s="23" t="str">
        <f aca="false">IF($C59="","",IF(AND($H59="",N($I59)=0,N($K59)=0),"Dòng chỉ lưu thông tin khách (chưa có đơn); ",IF($B59="","Thiếu ngày đặt; ","")&amp;IF($H59="","Thiếu tên sản phẩm; ",IF($J59="","Chưa khai GIÁ GỐC ở BẢNG GIÁ GỐC; ",""))&amp;IF(N($I59)&lt;=0,"Thiếu số lượng; ","")&amp;IF(N($K59)&lt;=0,"Thiếu giá bán; ","")&amp;IF(AND($N59&gt;0,$F59=""),"Khách lấy VAT thiếu mã số thuế; ","")&amp;IF(N($Q59)&gt;$P59,"Đã thu vượt tổng phải thu; ","")&amp;IF(AND($L59&gt;0,$U59&lt;&gt;"",$U59&lt;0),"CẢNH BÁO: ĐƠN NÀY ĐANG LỖ; ","")))</f>
        <v>Chưa khai GIÁ GỐC ở BẢNG GIÁ GỐC; </v>
      </c>
    </row>
    <row r="60" customFormat="false" ht="15" hidden="false" customHeight="false" outlineLevel="0" collapsed="false">
      <c r="A60" s="21" t="n">
        <f aca="false">IF($C60="","",COUNTA($C$10:$C60))</f>
        <v>51</v>
      </c>
      <c r="B60" s="18" t="n">
        <v>46231</v>
      </c>
      <c r="C60" s="11" t="s">
        <v>382</v>
      </c>
      <c r="D60" s="22" t="s">
        <v>383</v>
      </c>
      <c r="E60" s="11"/>
      <c r="F60" s="22"/>
      <c r="G60" s="11" t="s">
        <v>384</v>
      </c>
      <c r="H60" s="11" t="s">
        <v>115</v>
      </c>
      <c r="I60" s="12" t="n">
        <v>1</v>
      </c>
      <c r="J60" s="13" t="n">
        <f aca="false">IF($H60="","",IFERROR(VLOOKUP($H60,'BẢNG GIÁ GỐC'!$A$5:$D$254,3,FALSE()),""))</f>
        <v>0</v>
      </c>
      <c r="K60" s="12" t="n">
        <v>140000</v>
      </c>
      <c r="L60" s="13" t="n">
        <f aca="false">IF($C60="","",N($I60)*N($K60))</f>
        <v>140000</v>
      </c>
      <c r="M60" s="11" t="s">
        <v>163</v>
      </c>
      <c r="N60" s="14" t="n">
        <f aca="false">IF($C60="","",IF($M60="VAT 5%",0.05,IF($M60="VAT 8%",0.08,IF($M60="VAT 10%",0.1,0))))</f>
        <v>0</v>
      </c>
      <c r="O60" s="13" t="n">
        <f aca="false">IF($C60="","",$L60*$N60)</f>
        <v>0</v>
      </c>
      <c r="P60" s="13" t="n">
        <f aca="false">IF($C60="","",$L60+$O60)</f>
        <v>140000</v>
      </c>
      <c r="Q60" s="12" t="n">
        <v>0</v>
      </c>
      <c r="R60" s="13" t="n">
        <f aca="false">IF($C60="","",MAX(0,$P60-N($Q60)))</f>
        <v>140000</v>
      </c>
      <c r="S60" s="23" t="str">
        <f aca="false">IF(OR($C60="",$P60=0),"",IF(N($Q60)&lt;=0,"Chưa thanh toán",IF(N($Q60)&lt;$P60,"Thanh toán một phần","Đã thanh toán")))</f>
        <v>Chưa thanh toán</v>
      </c>
      <c r="T60" s="13" t="str">
        <f aca="false">IF(OR($C60="",$J60=""),"",N($I60)*$J60)</f>
        <v/>
      </c>
      <c r="U60" s="13" t="str">
        <f aca="false">IF(OR($C60="",$T60=""),"",$L60-$T60)</f>
        <v/>
      </c>
      <c r="V60" s="14" t="str">
        <f aca="false">IF(OR($U60="",$L60=0),"",$U60/$L60)</f>
        <v/>
      </c>
      <c r="W60" s="11" t="s">
        <v>385</v>
      </c>
      <c r="X60" s="23" t="str">
        <f aca="false">IF($C60="","",IF(AND($H60="",N($I60)=0,N($K60)=0),"Dòng chỉ lưu thông tin khách (chưa có đơn); ",IF($B60="","Thiếu ngày đặt; ","")&amp;IF($H60="","Thiếu tên sản phẩm; ",IF($J60="","Chưa khai GIÁ GỐC ở BẢNG GIÁ GỐC; ",""))&amp;IF(N($I60)&lt;=0,"Thiếu số lượng; ","")&amp;IF(N($K60)&lt;=0,"Thiếu giá bán; ","")&amp;IF(AND($N60&gt;0,$F60=""),"Khách lấy VAT thiếu mã số thuế; ","")&amp;IF(N($Q60)&gt;$P60,"Đã thu vượt tổng phải thu; ","")&amp;IF(AND($L60&gt;0,$U60&lt;&gt;"",$U60&lt;0),"CẢNH BÁO: ĐƠN NÀY ĐANG LỖ; ","")))</f>
        <v>Chưa khai GIÁ GỐC ở BẢNG GIÁ GỐC; </v>
      </c>
    </row>
    <row r="61" customFormat="false" ht="15" hidden="false" customHeight="false" outlineLevel="0" collapsed="false">
      <c r="A61" s="21" t="n">
        <f aca="false">IF($C61="","",COUNTA($C$10:$C61))</f>
        <v>52</v>
      </c>
      <c r="B61" s="18" t="n">
        <v>46233</v>
      </c>
      <c r="C61" s="11" t="s">
        <v>386</v>
      </c>
      <c r="D61" s="22" t="s">
        <v>387</v>
      </c>
      <c r="E61" s="11"/>
      <c r="F61" s="22"/>
      <c r="G61" s="11" t="s">
        <v>388</v>
      </c>
      <c r="H61" s="11" t="s">
        <v>112</v>
      </c>
      <c r="I61" s="12" t="n">
        <v>50</v>
      </c>
      <c r="J61" s="13" t="n">
        <f aca="false">IF($H61="","",IFERROR(VLOOKUP($H61,'BẢNG GIÁ GỐC'!$A$5:$D$254,3,FALSE()),""))</f>
        <v>0</v>
      </c>
      <c r="K61" s="12" t="n">
        <v>55000</v>
      </c>
      <c r="L61" s="13" t="n">
        <f aca="false">IF($C61="","",N($I61)*N($K61))</f>
        <v>2750000</v>
      </c>
      <c r="M61" s="11" t="s">
        <v>163</v>
      </c>
      <c r="N61" s="14" t="n">
        <f aca="false">IF($C61="","",IF($M61="VAT 5%",0.05,IF($M61="VAT 8%",0.08,IF($M61="VAT 10%",0.1,0))))</f>
        <v>0</v>
      </c>
      <c r="O61" s="13" t="n">
        <f aca="false">IF($C61="","",$L61*$N61)</f>
        <v>0</v>
      </c>
      <c r="P61" s="13" t="n">
        <f aca="false">IF($C61="","",$L61+$O61)</f>
        <v>2750000</v>
      </c>
      <c r="Q61" s="12" t="n">
        <v>1375000</v>
      </c>
      <c r="R61" s="13" t="n">
        <f aca="false">IF($C61="","",MAX(0,$P61-N($Q61)))</f>
        <v>1375000</v>
      </c>
      <c r="S61" s="23" t="str">
        <f aca="false">IF(OR($C61="",$P61=0),"",IF(N($Q61)&lt;=0,"Chưa thanh toán",IF(N($Q61)&lt;$P61,"Thanh toán một phần","Đã thanh toán")))</f>
        <v>Thanh toán một phần</v>
      </c>
      <c r="T61" s="13" t="str">
        <f aca="false">IF(OR($C61="",$J61=""),"",N($I61)*$J61)</f>
        <v/>
      </c>
      <c r="U61" s="13" t="str">
        <f aca="false">IF(OR($C61="",$T61=""),"",$L61-$T61)</f>
        <v/>
      </c>
      <c r="V61" s="14" t="str">
        <f aca="false">IF(OR($U61="",$L61=0),"",$U61/$L61)</f>
        <v/>
      </c>
      <c r="W61" s="11" t="s">
        <v>389</v>
      </c>
      <c r="X61" s="23" t="str">
        <f aca="false">IF($C61="","",IF(AND($H61="",N($I61)=0,N($K61)=0),"Dòng chỉ lưu thông tin khách (chưa có đơn); ",IF($B61="","Thiếu ngày đặt; ","")&amp;IF($H61="","Thiếu tên sản phẩm; ",IF($J61="","Chưa khai GIÁ GỐC ở BẢNG GIÁ GỐC; ",""))&amp;IF(N($I61)&lt;=0,"Thiếu số lượng; ","")&amp;IF(N($K61)&lt;=0,"Thiếu giá bán; ","")&amp;IF(AND($N61&gt;0,$F61=""),"Khách lấy VAT thiếu mã số thuế; ","")&amp;IF(N($Q61)&gt;$P61,"Đã thu vượt tổng phải thu; ","")&amp;IF(AND($L61&gt;0,$U61&lt;&gt;"",$U61&lt;0),"CẢNH BÁO: ĐƠN NÀY ĐANG LỖ; ","")))</f>
        <v>Chưa khai GIÁ GỐC ở BẢNG GIÁ GỐC; </v>
      </c>
    </row>
    <row r="62" customFormat="false" ht="15" hidden="false" customHeight="false" outlineLevel="0" collapsed="false">
      <c r="A62" s="21" t="n">
        <f aca="false">IF($C62="","",COUNTA($C$10:$C62))</f>
        <v>53</v>
      </c>
      <c r="B62" s="18" t="n">
        <v>46233</v>
      </c>
      <c r="C62" s="11" t="s">
        <v>390</v>
      </c>
      <c r="D62" s="22" t="s">
        <v>391</v>
      </c>
      <c r="E62" s="11"/>
      <c r="F62" s="22"/>
      <c r="G62" s="11" t="s">
        <v>392</v>
      </c>
      <c r="H62" s="11" t="s">
        <v>107</v>
      </c>
      <c r="I62" s="12" t="n">
        <v>200</v>
      </c>
      <c r="J62" s="13" t="n">
        <f aca="false">IF($H62="","",IFERROR(VLOOKUP($H62,'BẢNG GIÁ GỐC'!$A$5:$D$254,3,FALSE()),""))</f>
        <v>0</v>
      </c>
      <c r="K62" s="12" t="n">
        <v>46000</v>
      </c>
      <c r="L62" s="13" t="n">
        <f aca="false">IF($C62="","",N($I62)*N($K62))</f>
        <v>9200000</v>
      </c>
      <c r="M62" s="11" t="s">
        <v>191</v>
      </c>
      <c r="N62" s="14" t="n">
        <f aca="false">IF($C62="","",IF($M62="VAT 5%",0.05,IF($M62="VAT 8%",0.08,IF($M62="VAT 10%",0.1,0))))</f>
        <v>0.08</v>
      </c>
      <c r="O62" s="13" t="n">
        <f aca="false">IF($C62="","",$L62*$N62)</f>
        <v>736000</v>
      </c>
      <c r="P62" s="13" t="n">
        <f aca="false">IF($C62="","",$L62+$O62)</f>
        <v>9936000</v>
      </c>
      <c r="Q62" s="12" t="n">
        <v>4968000</v>
      </c>
      <c r="R62" s="13" t="n">
        <f aca="false">IF($C62="","",MAX(0,$P62-N($Q62)))</f>
        <v>4968000</v>
      </c>
      <c r="S62" s="23" t="str">
        <f aca="false">IF(OR($C62="",$P62=0),"",IF(N($Q62)&lt;=0,"Chưa thanh toán",IF(N($Q62)&lt;$P62,"Thanh toán một phần","Đã thanh toán")))</f>
        <v>Thanh toán một phần</v>
      </c>
      <c r="T62" s="13" t="str">
        <f aca="false">IF(OR($C62="",$J62=""),"",N($I62)*$J62)</f>
        <v/>
      </c>
      <c r="U62" s="13" t="str">
        <f aca="false">IF(OR($C62="",$T62=""),"",$L62-$T62)</f>
        <v/>
      </c>
      <c r="V62" s="14" t="str">
        <f aca="false">IF(OR($U62="",$L62=0),"",$U62/$L62)</f>
        <v/>
      </c>
      <c r="W62" s="11" t="s">
        <v>393</v>
      </c>
      <c r="X62" s="23" t="str">
        <f aca="false">IF($C62="","",IF(AND($H62="",N($I62)=0,N($K62)=0),"Dòng chỉ lưu thông tin khách (chưa có đơn); ",IF($B62="","Thiếu ngày đặt; ","")&amp;IF($H62="","Thiếu tên sản phẩm; ",IF($J62="","Chưa khai GIÁ GỐC ở BẢNG GIÁ GỐC; ",""))&amp;IF(N($I62)&lt;=0,"Thiếu số lượng; ","")&amp;IF(N($K62)&lt;=0,"Thiếu giá bán; ","")&amp;IF(AND($N62&gt;0,$F62=""),"Khách lấy VAT thiếu mã số thuế; ","")&amp;IF(N($Q62)&gt;$P62,"Đã thu vượt tổng phải thu; ","")&amp;IF(AND($L62&gt;0,$U62&lt;&gt;"",$U62&lt;0),"CẢNH BÁO: ĐƠN NÀY ĐANG LỖ; ","")))</f>
        <v>Chưa khai GIÁ GỐC ở BẢNG GIÁ GỐC; Khách lấy VAT thiếu mã số thuế; </v>
      </c>
    </row>
    <row r="63" customFormat="false" ht="15" hidden="false" customHeight="false" outlineLevel="0" collapsed="false">
      <c r="A63" s="21" t="n">
        <f aca="false">IF($C63="","",COUNTA($C$10:$C63))</f>
        <v>54</v>
      </c>
      <c r="B63" s="18" t="n">
        <v>46234</v>
      </c>
      <c r="C63" s="11" t="s">
        <v>394</v>
      </c>
      <c r="D63" s="22" t="s">
        <v>395</v>
      </c>
      <c r="E63" s="11"/>
      <c r="F63" s="22"/>
      <c r="G63" s="11" t="s">
        <v>396</v>
      </c>
      <c r="H63" s="11" t="s">
        <v>397</v>
      </c>
      <c r="I63" s="12" t="n">
        <v>25</v>
      </c>
      <c r="J63" s="13" t="n">
        <f aca="false">IF($H63="","",IFERROR(VLOOKUP($H63,'BẢNG GIÁ GỐC'!$A$5:$D$254,3,FALSE()),""))</f>
        <v>40000</v>
      </c>
      <c r="K63" s="12" t="n">
        <v>60000</v>
      </c>
      <c r="L63" s="13" t="n">
        <f aca="false">IF($C63="","",N($I63)*N($K63))</f>
        <v>1500000</v>
      </c>
      <c r="M63" s="11" t="s">
        <v>191</v>
      </c>
      <c r="N63" s="14" t="n">
        <f aca="false">IF($C63="","",IF($M63="VAT 5%",0.05,IF($M63="VAT 8%",0.08,IF($M63="VAT 10%",0.1,0))))</f>
        <v>0.08</v>
      </c>
      <c r="O63" s="13" t="n">
        <f aca="false">IF($C63="","",$L63*$N63)</f>
        <v>120000</v>
      </c>
      <c r="P63" s="13" t="n">
        <f aca="false">IF($C63="","",$L63+$O63)</f>
        <v>1620000</v>
      </c>
      <c r="Q63" s="12" t="n">
        <v>728000</v>
      </c>
      <c r="R63" s="13" t="n">
        <f aca="false">IF($C63="","",MAX(0,$P63-N($Q63)))</f>
        <v>892000</v>
      </c>
      <c r="S63" s="23" t="str">
        <f aca="false">IF(OR($C63="",$P63=0),"",IF(N($Q63)&lt;=0,"Chưa thanh toán",IF(N($Q63)&lt;$P63,"Thanh toán một phần","Đã thanh toán")))</f>
        <v>Thanh toán một phần</v>
      </c>
      <c r="T63" s="13" t="n">
        <f aca="false">IF(OR($C63="",$J63=""),"",N($I63)*$J63)</f>
        <v>1000000</v>
      </c>
      <c r="U63" s="13" t="n">
        <f aca="false">IF(OR($C63="",$T63=""),"",$L63-$T63)</f>
        <v>500000</v>
      </c>
      <c r="V63" s="14" t="n">
        <f aca="false">IF(OR($U63="",$L63=0),"",$U63/$L63)</f>
        <v>0.333333333333333</v>
      </c>
      <c r="W63" s="11" t="s">
        <v>398</v>
      </c>
      <c r="X63" s="23" t="str">
        <f aca="false">IF($C63="","",IF(AND($H63="",N($I63)=0,N($K63)=0),"Dòng chỉ lưu thông tin khách (chưa có đơn); ",IF($B63="","Thiếu ngày đặt; ","")&amp;IF($H63="","Thiếu tên sản phẩm; ",IF($J63="","Chưa khai GIÁ GỐC ở BẢNG GIÁ GỐC; ",""))&amp;IF(N($I63)&lt;=0,"Thiếu số lượng; ","")&amp;IF(N($K63)&lt;=0,"Thiếu giá bán; ","")&amp;IF(AND($N63&gt;0,$F63=""),"Khách lấy VAT thiếu mã số thuế; ","")&amp;IF(N($Q63)&gt;$P63,"Đã thu vượt tổng phải thu; ","")&amp;IF(AND($L63&gt;0,$U63&lt;&gt;"",$U63&lt;0),"CẢNH BÁO: ĐƠN NÀY ĐANG LỖ; ","")))</f>
        <v>Khách lấy VAT thiếu mã số thuế; </v>
      </c>
    </row>
    <row r="64" customFormat="false" ht="15" hidden="false" customHeight="false" outlineLevel="0" collapsed="false">
      <c r="A64" s="21" t="str">
        <f aca="false">IF($C64="","",COUNTA($C$10:$C64))</f>
        <v/>
      </c>
      <c r="B64" s="18"/>
      <c r="C64" s="11"/>
      <c r="D64" s="11"/>
      <c r="E64" s="11"/>
      <c r="F64" s="11"/>
      <c r="G64" s="11"/>
      <c r="H64" s="11"/>
      <c r="I64" s="12"/>
      <c r="J64" s="13" t="str">
        <f aca="false">IF($H64="","",IFERROR(VLOOKUP($H64,'BẢNG GIÁ GỐC'!$A$5:$D$254,3,FALSE()),""))</f>
        <v/>
      </c>
      <c r="K64" s="12"/>
      <c r="L64" s="13" t="str">
        <f aca="false">IF($C64="","",N($I64)*N($K64))</f>
        <v/>
      </c>
      <c r="M64" s="11"/>
      <c r="N64" s="14" t="str">
        <f aca="false">IF($C64="","",IF($M64="VAT 5%",0.05,IF($M64="VAT 8%",0.08,IF($M64="VAT 10%",0.1,0))))</f>
        <v/>
      </c>
      <c r="O64" s="13" t="str">
        <f aca="false">IF($C64="","",$L64*$N64)</f>
        <v/>
      </c>
      <c r="P64" s="13" t="str">
        <f aca="false">IF($C64="","",$L64+$O64)</f>
        <v/>
      </c>
      <c r="Q64" s="12"/>
      <c r="R64" s="13" t="str">
        <f aca="false">IF($C64="","",MAX(0,$P64-N($Q64)))</f>
        <v/>
      </c>
      <c r="S64" s="23" t="str">
        <f aca="false">IF(OR($C64="",$P64=0),"",IF(N($Q64)&lt;=0,"Chưa thanh toán",IF(N($Q64)&lt;$P64,"Thanh toán một phần","Đã thanh toán")))</f>
        <v/>
      </c>
      <c r="T64" s="13" t="str">
        <f aca="false">IF(OR($C64="",$J64=""),"",N($I64)*$J64)</f>
        <v/>
      </c>
      <c r="U64" s="13" t="str">
        <f aca="false">IF(OR($C64="",$T64=""),"",$L64-$T64)</f>
        <v/>
      </c>
      <c r="V64" s="14" t="str">
        <f aca="false">IF(OR($U64="",$L64=0),"",$U64/$L64)</f>
        <v/>
      </c>
      <c r="W64" s="11"/>
      <c r="X64" s="23" t="str">
        <f aca="false">IF($C64="","",IF(AND($H64="",N($I64)=0,N($K64)=0),"Dòng chỉ lưu thông tin khách (chưa có đơn); ",IF($B64="","Thiếu ngày đặt; ","")&amp;IF($H64="","Thiếu tên sản phẩm; ",IF($J64="","Chưa khai GIÁ GỐC ở BẢNG GIÁ GỐC; ",""))&amp;IF(N($I64)&lt;=0,"Thiếu số lượng; ","")&amp;IF(N($K64)&lt;=0,"Thiếu giá bán; ","")&amp;IF(AND($N64&gt;0,$F64=""),"Khách lấy VAT thiếu mã số thuế; ","")&amp;IF(N($Q64)&gt;$P64,"Đã thu vượt tổng phải thu; ","")&amp;IF(AND($L64&gt;0,$U64&lt;&gt;"",$U64&lt;0),"CẢNH BÁO: ĐƠN NÀY ĐANG LỖ; ","")))</f>
        <v/>
      </c>
    </row>
    <row r="65" customFormat="false" ht="15" hidden="false" customHeight="false" outlineLevel="0" collapsed="false">
      <c r="A65" s="21" t="str">
        <f aca="false">IF($C65="","",COUNTA($C$10:$C65))</f>
        <v/>
      </c>
      <c r="B65" s="18"/>
      <c r="C65" s="11"/>
      <c r="D65" s="11"/>
      <c r="E65" s="11"/>
      <c r="F65" s="11"/>
      <c r="G65" s="11"/>
      <c r="H65" s="11"/>
      <c r="I65" s="12"/>
      <c r="J65" s="13" t="str">
        <f aca="false">IF($H65="","",IFERROR(VLOOKUP($H65,'BẢNG GIÁ GỐC'!$A$5:$D$254,3,FALSE()),""))</f>
        <v/>
      </c>
      <c r="K65" s="12"/>
      <c r="L65" s="13" t="str">
        <f aca="false">IF($C65="","",N($I65)*N($K65))</f>
        <v/>
      </c>
      <c r="M65" s="11"/>
      <c r="N65" s="14" t="str">
        <f aca="false">IF($C65="","",IF($M65="VAT 5%",0.05,IF($M65="VAT 8%",0.08,IF($M65="VAT 10%",0.1,0))))</f>
        <v/>
      </c>
      <c r="O65" s="13" t="str">
        <f aca="false">IF($C65="","",$L65*$N65)</f>
        <v/>
      </c>
      <c r="P65" s="13" t="str">
        <f aca="false">IF($C65="","",$L65+$O65)</f>
        <v/>
      </c>
      <c r="Q65" s="12"/>
      <c r="R65" s="13" t="str">
        <f aca="false">IF($C65="","",MAX(0,$P65-N($Q65)))</f>
        <v/>
      </c>
      <c r="S65" s="23" t="str">
        <f aca="false">IF(OR($C65="",$P65=0),"",IF(N($Q65)&lt;=0,"Chưa thanh toán",IF(N($Q65)&lt;$P65,"Thanh toán một phần","Đã thanh toán")))</f>
        <v/>
      </c>
      <c r="T65" s="13" t="str">
        <f aca="false">IF(OR($C65="",$J65=""),"",N($I65)*$J65)</f>
        <v/>
      </c>
      <c r="U65" s="13" t="str">
        <f aca="false">IF(OR($C65="",$T65=""),"",$L65-$T65)</f>
        <v/>
      </c>
      <c r="V65" s="14" t="str">
        <f aca="false">IF(OR($U65="",$L65=0),"",$U65/$L65)</f>
        <v/>
      </c>
      <c r="W65" s="11"/>
      <c r="X65" s="23" t="str">
        <f aca="false">IF($C65="","",IF(AND($H65="",N($I65)=0,N($K65)=0),"Dòng chỉ lưu thông tin khách (chưa có đơn); ",IF($B65="","Thiếu ngày đặt; ","")&amp;IF($H65="","Thiếu tên sản phẩm; ",IF($J65="","Chưa khai GIÁ GỐC ở BẢNG GIÁ GỐC; ",""))&amp;IF(N($I65)&lt;=0,"Thiếu số lượng; ","")&amp;IF(N($K65)&lt;=0,"Thiếu giá bán; ","")&amp;IF(AND($N65&gt;0,$F65=""),"Khách lấy VAT thiếu mã số thuế; ","")&amp;IF(N($Q65)&gt;$P65,"Đã thu vượt tổng phải thu; ","")&amp;IF(AND($L65&gt;0,$U65&lt;&gt;"",$U65&lt;0),"CẢNH BÁO: ĐƠN NÀY ĐANG LỖ; ","")))</f>
        <v/>
      </c>
    </row>
    <row r="66" customFormat="false" ht="15" hidden="false" customHeight="false" outlineLevel="0" collapsed="false">
      <c r="A66" s="21" t="str">
        <f aca="false">IF($C66="","",COUNTA($C$10:$C66))</f>
        <v/>
      </c>
      <c r="B66" s="18"/>
      <c r="C66" s="11"/>
      <c r="D66" s="11"/>
      <c r="E66" s="11"/>
      <c r="F66" s="11"/>
      <c r="G66" s="11"/>
      <c r="H66" s="11"/>
      <c r="I66" s="12"/>
      <c r="J66" s="13" t="str">
        <f aca="false">IF($H66="","",IFERROR(VLOOKUP($H66,'BẢNG GIÁ GỐC'!$A$5:$D$254,3,FALSE()),""))</f>
        <v/>
      </c>
      <c r="K66" s="12"/>
      <c r="L66" s="13" t="str">
        <f aca="false">IF($C66="","",N($I66)*N($K66))</f>
        <v/>
      </c>
      <c r="M66" s="11"/>
      <c r="N66" s="14" t="str">
        <f aca="false">IF($C66="","",IF($M66="VAT 5%",0.05,IF($M66="VAT 8%",0.08,IF($M66="VAT 10%",0.1,0))))</f>
        <v/>
      </c>
      <c r="O66" s="13" t="str">
        <f aca="false">IF($C66="","",$L66*$N66)</f>
        <v/>
      </c>
      <c r="P66" s="13" t="str">
        <f aca="false">IF($C66="","",$L66+$O66)</f>
        <v/>
      </c>
      <c r="Q66" s="12"/>
      <c r="R66" s="13" t="str">
        <f aca="false">IF($C66="","",MAX(0,$P66-N($Q66)))</f>
        <v/>
      </c>
      <c r="S66" s="23" t="str">
        <f aca="false">IF(OR($C66="",$P66=0),"",IF(N($Q66)&lt;=0,"Chưa thanh toán",IF(N($Q66)&lt;$P66,"Thanh toán một phần","Đã thanh toán")))</f>
        <v/>
      </c>
      <c r="T66" s="13" t="str">
        <f aca="false">IF(OR($C66="",$J66=""),"",N($I66)*$J66)</f>
        <v/>
      </c>
      <c r="U66" s="13" t="str">
        <f aca="false">IF(OR($C66="",$T66=""),"",$L66-$T66)</f>
        <v/>
      </c>
      <c r="V66" s="14" t="str">
        <f aca="false">IF(OR($U66="",$L66=0),"",$U66/$L66)</f>
        <v/>
      </c>
      <c r="W66" s="11"/>
      <c r="X66" s="23" t="str">
        <f aca="false">IF($C66="","",IF(AND($H66="",N($I66)=0,N($K66)=0),"Dòng chỉ lưu thông tin khách (chưa có đơn); ",IF($B66="","Thiếu ngày đặt; ","")&amp;IF($H66="","Thiếu tên sản phẩm; ",IF($J66="","Chưa khai GIÁ GỐC ở BẢNG GIÁ GỐC; ",""))&amp;IF(N($I66)&lt;=0,"Thiếu số lượng; ","")&amp;IF(N($K66)&lt;=0,"Thiếu giá bán; ","")&amp;IF(AND($N66&gt;0,$F66=""),"Khách lấy VAT thiếu mã số thuế; ","")&amp;IF(N($Q66)&gt;$P66,"Đã thu vượt tổng phải thu; ","")&amp;IF(AND($L66&gt;0,$U66&lt;&gt;"",$U66&lt;0),"CẢNH BÁO: ĐƠN NÀY ĐANG LỖ; ","")))</f>
        <v/>
      </c>
    </row>
    <row r="67" customFormat="false" ht="15" hidden="false" customHeight="false" outlineLevel="0" collapsed="false">
      <c r="A67" s="21" t="str">
        <f aca="false">IF($C67="","",COUNTA($C$10:$C67))</f>
        <v/>
      </c>
      <c r="B67" s="18"/>
      <c r="C67" s="11"/>
      <c r="D67" s="11"/>
      <c r="E67" s="11"/>
      <c r="F67" s="11"/>
      <c r="G67" s="11"/>
      <c r="H67" s="11"/>
      <c r="I67" s="12"/>
      <c r="J67" s="13" t="str">
        <f aca="false">IF($H67="","",IFERROR(VLOOKUP($H67,'BẢNG GIÁ GỐC'!$A$5:$D$254,3,FALSE()),""))</f>
        <v/>
      </c>
      <c r="K67" s="12"/>
      <c r="L67" s="13" t="str">
        <f aca="false">IF($C67="","",N($I67)*N($K67))</f>
        <v/>
      </c>
      <c r="M67" s="11"/>
      <c r="N67" s="14" t="str">
        <f aca="false">IF($C67="","",IF($M67="VAT 5%",0.05,IF($M67="VAT 8%",0.08,IF($M67="VAT 10%",0.1,0))))</f>
        <v/>
      </c>
      <c r="O67" s="13" t="str">
        <f aca="false">IF($C67="","",$L67*$N67)</f>
        <v/>
      </c>
      <c r="P67" s="13" t="str">
        <f aca="false">IF($C67="","",$L67+$O67)</f>
        <v/>
      </c>
      <c r="Q67" s="12"/>
      <c r="R67" s="13" t="str">
        <f aca="false">IF($C67="","",MAX(0,$P67-N($Q67)))</f>
        <v/>
      </c>
      <c r="S67" s="23" t="str">
        <f aca="false">IF(OR($C67="",$P67=0),"",IF(N($Q67)&lt;=0,"Chưa thanh toán",IF(N($Q67)&lt;$P67,"Thanh toán một phần","Đã thanh toán")))</f>
        <v/>
      </c>
      <c r="T67" s="13" t="str">
        <f aca="false">IF(OR($C67="",$J67=""),"",N($I67)*$J67)</f>
        <v/>
      </c>
      <c r="U67" s="13" t="str">
        <f aca="false">IF(OR($C67="",$T67=""),"",$L67-$T67)</f>
        <v/>
      </c>
      <c r="V67" s="14" t="str">
        <f aca="false">IF(OR($U67="",$L67=0),"",$U67/$L67)</f>
        <v/>
      </c>
      <c r="W67" s="11"/>
      <c r="X67" s="23" t="str">
        <f aca="false">IF($C67="","",IF(AND($H67="",N($I67)=0,N($K67)=0),"Dòng chỉ lưu thông tin khách (chưa có đơn); ",IF($B67="","Thiếu ngày đặt; ","")&amp;IF($H67="","Thiếu tên sản phẩm; ",IF($J67="","Chưa khai GIÁ GỐC ở BẢNG GIÁ GỐC; ",""))&amp;IF(N($I67)&lt;=0,"Thiếu số lượng; ","")&amp;IF(N($K67)&lt;=0,"Thiếu giá bán; ","")&amp;IF(AND($N67&gt;0,$F67=""),"Khách lấy VAT thiếu mã số thuế; ","")&amp;IF(N($Q67)&gt;$P67,"Đã thu vượt tổng phải thu; ","")&amp;IF(AND($L67&gt;0,$U67&lt;&gt;"",$U67&lt;0),"CẢNH BÁO: ĐƠN NÀY ĐANG LỖ; ","")))</f>
        <v/>
      </c>
    </row>
    <row r="68" customFormat="false" ht="15" hidden="false" customHeight="false" outlineLevel="0" collapsed="false">
      <c r="A68" s="21" t="str">
        <f aca="false">IF($C68="","",COUNTA($C$10:$C68))</f>
        <v/>
      </c>
      <c r="B68" s="18"/>
      <c r="C68" s="11"/>
      <c r="D68" s="11"/>
      <c r="E68" s="11"/>
      <c r="F68" s="11"/>
      <c r="G68" s="11"/>
      <c r="H68" s="11"/>
      <c r="I68" s="12"/>
      <c r="J68" s="13" t="str">
        <f aca="false">IF($H68="","",IFERROR(VLOOKUP($H68,'BẢNG GIÁ GỐC'!$A$5:$D$254,3,FALSE()),""))</f>
        <v/>
      </c>
      <c r="K68" s="12"/>
      <c r="L68" s="13" t="str">
        <f aca="false">IF($C68="","",N($I68)*N($K68))</f>
        <v/>
      </c>
      <c r="M68" s="11"/>
      <c r="N68" s="14" t="str">
        <f aca="false">IF($C68="","",IF($M68="VAT 5%",0.05,IF($M68="VAT 8%",0.08,IF($M68="VAT 10%",0.1,0))))</f>
        <v/>
      </c>
      <c r="O68" s="13" t="str">
        <f aca="false">IF($C68="","",$L68*$N68)</f>
        <v/>
      </c>
      <c r="P68" s="13" t="str">
        <f aca="false">IF($C68="","",$L68+$O68)</f>
        <v/>
      </c>
      <c r="Q68" s="12"/>
      <c r="R68" s="13" t="str">
        <f aca="false">IF($C68="","",MAX(0,$P68-N($Q68)))</f>
        <v/>
      </c>
      <c r="S68" s="23" t="str">
        <f aca="false">IF(OR($C68="",$P68=0),"",IF(N($Q68)&lt;=0,"Chưa thanh toán",IF(N($Q68)&lt;$P68,"Thanh toán một phần","Đã thanh toán")))</f>
        <v/>
      </c>
      <c r="T68" s="13" t="str">
        <f aca="false">IF(OR($C68="",$J68=""),"",N($I68)*$J68)</f>
        <v/>
      </c>
      <c r="U68" s="13" t="str">
        <f aca="false">IF(OR($C68="",$T68=""),"",$L68-$T68)</f>
        <v/>
      </c>
      <c r="V68" s="14" t="str">
        <f aca="false">IF(OR($U68="",$L68=0),"",$U68/$L68)</f>
        <v/>
      </c>
      <c r="W68" s="11"/>
      <c r="X68" s="23" t="str">
        <f aca="false">IF($C68="","",IF(AND($H68="",N($I68)=0,N($K68)=0),"Dòng chỉ lưu thông tin khách (chưa có đơn); ",IF($B68="","Thiếu ngày đặt; ","")&amp;IF($H68="","Thiếu tên sản phẩm; ",IF($J68="","Chưa khai GIÁ GỐC ở BẢNG GIÁ GỐC; ",""))&amp;IF(N($I68)&lt;=0,"Thiếu số lượng; ","")&amp;IF(N($K68)&lt;=0,"Thiếu giá bán; ","")&amp;IF(AND($N68&gt;0,$F68=""),"Khách lấy VAT thiếu mã số thuế; ","")&amp;IF(N($Q68)&gt;$P68,"Đã thu vượt tổng phải thu; ","")&amp;IF(AND($L68&gt;0,$U68&lt;&gt;"",$U68&lt;0),"CẢNH BÁO: ĐƠN NÀY ĐANG LỖ; ","")))</f>
        <v/>
      </c>
    </row>
    <row r="69" customFormat="false" ht="15" hidden="false" customHeight="false" outlineLevel="0" collapsed="false">
      <c r="A69" s="21" t="str">
        <f aca="false">IF($C69="","",COUNTA($C$10:$C69))</f>
        <v/>
      </c>
      <c r="B69" s="18"/>
      <c r="C69" s="11"/>
      <c r="D69" s="11"/>
      <c r="E69" s="11"/>
      <c r="F69" s="11"/>
      <c r="G69" s="11"/>
      <c r="H69" s="11"/>
      <c r="I69" s="12"/>
      <c r="J69" s="13" t="str">
        <f aca="false">IF($H69="","",IFERROR(VLOOKUP($H69,'BẢNG GIÁ GỐC'!$A$5:$D$254,3,FALSE()),""))</f>
        <v/>
      </c>
      <c r="K69" s="12"/>
      <c r="L69" s="13" t="str">
        <f aca="false">IF($C69="","",N($I69)*N($K69))</f>
        <v/>
      </c>
      <c r="M69" s="11"/>
      <c r="N69" s="14" t="str">
        <f aca="false">IF($C69="","",IF($M69="VAT 5%",0.05,IF($M69="VAT 8%",0.08,IF($M69="VAT 10%",0.1,0))))</f>
        <v/>
      </c>
      <c r="O69" s="13" t="str">
        <f aca="false">IF($C69="","",$L69*$N69)</f>
        <v/>
      </c>
      <c r="P69" s="13" t="str">
        <f aca="false">IF($C69="","",$L69+$O69)</f>
        <v/>
      </c>
      <c r="Q69" s="12"/>
      <c r="R69" s="13" t="str">
        <f aca="false">IF($C69="","",MAX(0,$P69-N($Q69)))</f>
        <v/>
      </c>
      <c r="S69" s="23" t="str">
        <f aca="false">IF(OR($C69="",$P69=0),"",IF(N($Q69)&lt;=0,"Chưa thanh toán",IF(N($Q69)&lt;$P69,"Thanh toán một phần","Đã thanh toán")))</f>
        <v/>
      </c>
      <c r="T69" s="13" t="str">
        <f aca="false">IF(OR($C69="",$J69=""),"",N($I69)*$J69)</f>
        <v/>
      </c>
      <c r="U69" s="13" t="str">
        <f aca="false">IF(OR($C69="",$T69=""),"",$L69-$T69)</f>
        <v/>
      </c>
      <c r="V69" s="14" t="str">
        <f aca="false">IF(OR($U69="",$L69=0),"",$U69/$L69)</f>
        <v/>
      </c>
      <c r="W69" s="11"/>
      <c r="X69" s="23" t="str">
        <f aca="false">IF($C69="","",IF(AND($H69="",N($I69)=0,N($K69)=0),"Dòng chỉ lưu thông tin khách (chưa có đơn); ",IF($B69="","Thiếu ngày đặt; ","")&amp;IF($H69="","Thiếu tên sản phẩm; ",IF($J69="","Chưa khai GIÁ GỐC ở BẢNG GIÁ GỐC; ",""))&amp;IF(N($I69)&lt;=0,"Thiếu số lượng; ","")&amp;IF(N($K69)&lt;=0,"Thiếu giá bán; ","")&amp;IF(AND($N69&gt;0,$F69=""),"Khách lấy VAT thiếu mã số thuế; ","")&amp;IF(N($Q69)&gt;$P69,"Đã thu vượt tổng phải thu; ","")&amp;IF(AND($L69&gt;0,$U69&lt;&gt;"",$U69&lt;0),"CẢNH BÁO: ĐƠN NÀY ĐANG LỖ; ","")))</f>
        <v/>
      </c>
    </row>
    <row r="70" customFormat="false" ht="15" hidden="false" customHeight="false" outlineLevel="0" collapsed="false">
      <c r="A70" s="21" t="str">
        <f aca="false">IF($C70="","",COUNTA($C$10:$C70))</f>
        <v/>
      </c>
      <c r="B70" s="18"/>
      <c r="C70" s="11"/>
      <c r="D70" s="11"/>
      <c r="E70" s="11"/>
      <c r="F70" s="11"/>
      <c r="G70" s="11"/>
      <c r="H70" s="11"/>
      <c r="I70" s="12"/>
      <c r="J70" s="13" t="str">
        <f aca="false">IF($H70="","",IFERROR(VLOOKUP($H70,'BẢNG GIÁ GỐC'!$A$5:$D$254,3,FALSE()),""))</f>
        <v/>
      </c>
      <c r="K70" s="12"/>
      <c r="L70" s="13" t="str">
        <f aca="false">IF($C70="","",N($I70)*N($K70))</f>
        <v/>
      </c>
      <c r="M70" s="11"/>
      <c r="N70" s="14" t="str">
        <f aca="false">IF($C70="","",IF($M70="VAT 5%",0.05,IF($M70="VAT 8%",0.08,IF($M70="VAT 10%",0.1,0))))</f>
        <v/>
      </c>
      <c r="O70" s="13" t="str">
        <f aca="false">IF($C70="","",$L70*$N70)</f>
        <v/>
      </c>
      <c r="P70" s="13" t="str">
        <f aca="false">IF($C70="","",$L70+$O70)</f>
        <v/>
      </c>
      <c r="Q70" s="12"/>
      <c r="R70" s="13" t="str">
        <f aca="false">IF($C70="","",MAX(0,$P70-N($Q70)))</f>
        <v/>
      </c>
      <c r="S70" s="23" t="str">
        <f aca="false">IF(OR($C70="",$P70=0),"",IF(N($Q70)&lt;=0,"Chưa thanh toán",IF(N($Q70)&lt;$P70,"Thanh toán một phần","Đã thanh toán")))</f>
        <v/>
      </c>
      <c r="T70" s="13" t="str">
        <f aca="false">IF(OR($C70="",$J70=""),"",N($I70)*$J70)</f>
        <v/>
      </c>
      <c r="U70" s="13" t="str">
        <f aca="false">IF(OR($C70="",$T70=""),"",$L70-$T70)</f>
        <v/>
      </c>
      <c r="V70" s="14" t="str">
        <f aca="false">IF(OR($U70="",$L70=0),"",$U70/$L70)</f>
        <v/>
      </c>
      <c r="W70" s="11"/>
      <c r="X70" s="23" t="str">
        <f aca="false">IF($C70="","",IF(AND($H70="",N($I70)=0,N($K70)=0),"Dòng chỉ lưu thông tin khách (chưa có đơn); ",IF($B70="","Thiếu ngày đặt; ","")&amp;IF($H70="","Thiếu tên sản phẩm; ",IF($J70="","Chưa khai GIÁ GỐC ở BẢNG GIÁ GỐC; ",""))&amp;IF(N($I70)&lt;=0,"Thiếu số lượng; ","")&amp;IF(N($K70)&lt;=0,"Thiếu giá bán; ","")&amp;IF(AND($N70&gt;0,$F70=""),"Khách lấy VAT thiếu mã số thuế; ","")&amp;IF(N($Q70)&gt;$P70,"Đã thu vượt tổng phải thu; ","")&amp;IF(AND($L70&gt;0,$U70&lt;&gt;"",$U70&lt;0),"CẢNH BÁO: ĐƠN NÀY ĐANG LỖ; ","")))</f>
        <v/>
      </c>
    </row>
    <row r="71" customFormat="false" ht="15" hidden="false" customHeight="false" outlineLevel="0" collapsed="false">
      <c r="A71" s="21" t="str">
        <f aca="false">IF($C71="","",COUNTA($C$10:$C71))</f>
        <v/>
      </c>
      <c r="B71" s="18"/>
      <c r="C71" s="11"/>
      <c r="D71" s="11"/>
      <c r="E71" s="11"/>
      <c r="F71" s="11"/>
      <c r="G71" s="11"/>
      <c r="H71" s="11"/>
      <c r="I71" s="12"/>
      <c r="J71" s="13" t="str">
        <f aca="false">IF($H71="","",IFERROR(VLOOKUP($H71,'BẢNG GIÁ GỐC'!$A$5:$D$254,3,FALSE()),""))</f>
        <v/>
      </c>
      <c r="K71" s="12"/>
      <c r="L71" s="13" t="str">
        <f aca="false">IF($C71="","",N($I71)*N($K71))</f>
        <v/>
      </c>
      <c r="M71" s="11"/>
      <c r="N71" s="14" t="str">
        <f aca="false">IF($C71="","",IF($M71="VAT 5%",0.05,IF($M71="VAT 8%",0.08,IF($M71="VAT 10%",0.1,0))))</f>
        <v/>
      </c>
      <c r="O71" s="13" t="str">
        <f aca="false">IF($C71="","",$L71*$N71)</f>
        <v/>
      </c>
      <c r="P71" s="13" t="str">
        <f aca="false">IF($C71="","",$L71+$O71)</f>
        <v/>
      </c>
      <c r="Q71" s="12"/>
      <c r="R71" s="13" t="str">
        <f aca="false">IF($C71="","",MAX(0,$P71-N($Q71)))</f>
        <v/>
      </c>
      <c r="S71" s="23" t="str">
        <f aca="false">IF(OR($C71="",$P71=0),"",IF(N($Q71)&lt;=0,"Chưa thanh toán",IF(N($Q71)&lt;$P71,"Thanh toán một phần","Đã thanh toán")))</f>
        <v/>
      </c>
      <c r="T71" s="13" t="str">
        <f aca="false">IF(OR($C71="",$J71=""),"",N($I71)*$J71)</f>
        <v/>
      </c>
      <c r="U71" s="13" t="str">
        <f aca="false">IF(OR($C71="",$T71=""),"",$L71-$T71)</f>
        <v/>
      </c>
      <c r="V71" s="14" t="str">
        <f aca="false">IF(OR($U71="",$L71=0),"",$U71/$L71)</f>
        <v/>
      </c>
      <c r="W71" s="11"/>
      <c r="X71" s="23" t="str">
        <f aca="false">IF($C71="","",IF(AND($H71="",N($I71)=0,N($K71)=0),"Dòng chỉ lưu thông tin khách (chưa có đơn); ",IF($B71="","Thiếu ngày đặt; ","")&amp;IF($H71="","Thiếu tên sản phẩm; ",IF($J71="","Chưa khai GIÁ GỐC ở BẢNG GIÁ GỐC; ",""))&amp;IF(N($I71)&lt;=0,"Thiếu số lượng; ","")&amp;IF(N($K71)&lt;=0,"Thiếu giá bán; ","")&amp;IF(AND($N71&gt;0,$F71=""),"Khách lấy VAT thiếu mã số thuế; ","")&amp;IF(N($Q71)&gt;$P71,"Đã thu vượt tổng phải thu; ","")&amp;IF(AND($L71&gt;0,$U71&lt;&gt;"",$U71&lt;0),"CẢNH BÁO: ĐƠN NÀY ĐANG LỖ; ","")))</f>
        <v/>
      </c>
    </row>
    <row r="72" customFormat="false" ht="15" hidden="false" customHeight="false" outlineLevel="0" collapsed="false">
      <c r="A72" s="21" t="str">
        <f aca="false">IF($C72="","",COUNTA($C$10:$C72))</f>
        <v/>
      </c>
      <c r="B72" s="18"/>
      <c r="C72" s="11"/>
      <c r="D72" s="11"/>
      <c r="E72" s="11"/>
      <c r="F72" s="11"/>
      <c r="G72" s="11"/>
      <c r="H72" s="11"/>
      <c r="I72" s="12"/>
      <c r="J72" s="13" t="str">
        <f aca="false">IF($H72="","",IFERROR(VLOOKUP($H72,'BẢNG GIÁ GỐC'!$A$5:$D$254,3,FALSE()),""))</f>
        <v/>
      </c>
      <c r="K72" s="12"/>
      <c r="L72" s="13" t="str">
        <f aca="false">IF($C72="","",N($I72)*N($K72))</f>
        <v/>
      </c>
      <c r="M72" s="11"/>
      <c r="N72" s="14" t="str">
        <f aca="false">IF($C72="","",IF($M72="VAT 5%",0.05,IF($M72="VAT 8%",0.08,IF($M72="VAT 10%",0.1,0))))</f>
        <v/>
      </c>
      <c r="O72" s="13" t="str">
        <f aca="false">IF($C72="","",$L72*$N72)</f>
        <v/>
      </c>
      <c r="P72" s="13" t="str">
        <f aca="false">IF($C72="","",$L72+$O72)</f>
        <v/>
      </c>
      <c r="Q72" s="12"/>
      <c r="R72" s="13" t="str">
        <f aca="false">IF($C72="","",MAX(0,$P72-N($Q72)))</f>
        <v/>
      </c>
      <c r="S72" s="23" t="str">
        <f aca="false">IF(OR($C72="",$P72=0),"",IF(N($Q72)&lt;=0,"Chưa thanh toán",IF(N($Q72)&lt;$P72,"Thanh toán một phần","Đã thanh toán")))</f>
        <v/>
      </c>
      <c r="T72" s="13" t="str">
        <f aca="false">IF(OR($C72="",$J72=""),"",N($I72)*$J72)</f>
        <v/>
      </c>
      <c r="U72" s="13" t="str">
        <f aca="false">IF(OR($C72="",$T72=""),"",$L72-$T72)</f>
        <v/>
      </c>
      <c r="V72" s="14" t="str">
        <f aca="false">IF(OR($U72="",$L72=0),"",$U72/$L72)</f>
        <v/>
      </c>
      <c r="W72" s="11"/>
      <c r="X72" s="23" t="str">
        <f aca="false">IF($C72="","",IF(AND($H72="",N($I72)=0,N($K72)=0),"Dòng chỉ lưu thông tin khách (chưa có đơn); ",IF($B72="","Thiếu ngày đặt; ","")&amp;IF($H72="","Thiếu tên sản phẩm; ",IF($J72="","Chưa khai GIÁ GỐC ở BẢNG GIÁ GỐC; ",""))&amp;IF(N($I72)&lt;=0,"Thiếu số lượng; ","")&amp;IF(N($K72)&lt;=0,"Thiếu giá bán; ","")&amp;IF(AND($N72&gt;0,$F72=""),"Khách lấy VAT thiếu mã số thuế; ","")&amp;IF(N($Q72)&gt;$P72,"Đã thu vượt tổng phải thu; ","")&amp;IF(AND($L72&gt;0,$U72&lt;&gt;"",$U72&lt;0),"CẢNH BÁO: ĐƠN NÀY ĐANG LỖ; ","")))</f>
        <v/>
      </c>
    </row>
    <row r="73" customFormat="false" ht="15" hidden="false" customHeight="false" outlineLevel="0" collapsed="false">
      <c r="A73" s="21" t="str">
        <f aca="false">IF($C73="","",COUNTA($C$10:$C73))</f>
        <v/>
      </c>
      <c r="B73" s="18"/>
      <c r="C73" s="11"/>
      <c r="D73" s="11"/>
      <c r="E73" s="11"/>
      <c r="F73" s="11"/>
      <c r="G73" s="11"/>
      <c r="H73" s="11"/>
      <c r="I73" s="12"/>
      <c r="J73" s="13" t="str">
        <f aca="false">IF($H73="","",IFERROR(VLOOKUP($H73,'BẢNG GIÁ GỐC'!$A$5:$D$254,3,FALSE()),""))</f>
        <v/>
      </c>
      <c r="K73" s="12"/>
      <c r="L73" s="13" t="str">
        <f aca="false">IF($C73="","",N($I73)*N($K73))</f>
        <v/>
      </c>
      <c r="M73" s="11"/>
      <c r="N73" s="14" t="str">
        <f aca="false">IF($C73="","",IF($M73="VAT 5%",0.05,IF($M73="VAT 8%",0.08,IF($M73="VAT 10%",0.1,0))))</f>
        <v/>
      </c>
      <c r="O73" s="13" t="str">
        <f aca="false">IF($C73="","",$L73*$N73)</f>
        <v/>
      </c>
      <c r="P73" s="13" t="str">
        <f aca="false">IF($C73="","",$L73+$O73)</f>
        <v/>
      </c>
      <c r="Q73" s="12"/>
      <c r="R73" s="13" t="str">
        <f aca="false">IF($C73="","",MAX(0,$P73-N($Q73)))</f>
        <v/>
      </c>
      <c r="S73" s="23" t="str">
        <f aca="false">IF(OR($C73="",$P73=0),"",IF(N($Q73)&lt;=0,"Chưa thanh toán",IF(N($Q73)&lt;$P73,"Thanh toán một phần","Đã thanh toán")))</f>
        <v/>
      </c>
      <c r="T73" s="13" t="str">
        <f aca="false">IF(OR($C73="",$J73=""),"",N($I73)*$J73)</f>
        <v/>
      </c>
      <c r="U73" s="13" t="str">
        <f aca="false">IF(OR($C73="",$T73=""),"",$L73-$T73)</f>
        <v/>
      </c>
      <c r="V73" s="14" t="str">
        <f aca="false">IF(OR($U73="",$L73=0),"",$U73/$L73)</f>
        <v/>
      </c>
      <c r="W73" s="11"/>
      <c r="X73" s="23" t="str">
        <f aca="false">IF($C73="","",IF(AND($H73="",N($I73)=0,N($K73)=0),"Dòng chỉ lưu thông tin khách (chưa có đơn); ",IF($B73="","Thiếu ngày đặt; ","")&amp;IF($H73="","Thiếu tên sản phẩm; ",IF($J73="","Chưa khai GIÁ GỐC ở BẢNG GIÁ GỐC; ",""))&amp;IF(N($I73)&lt;=0,"Thiếu số lượng; ","")&amp;IF(N($K73)&lt;=0,"Thiếu giá bán; ","")&amp;IF(AND($N73&gt;0,$F73=""),"Khách lấy VAT thiếu mã số thuế; ","")&amp;IF(N($Q73)&gt;$P73,"Đã thu vượt tổng phải thu; ","")&amp;IF(AND($L73&gt;0,$U73&lt;&gt;"",$U73&lt;0),"CẢNH BÁO: ĐƠN NÀY ĐANG LỖ; ","")))</f>
        <v/>
      </c>
    </row>
    <row r="74" customFormat="false" ht="15" hidden="false" customHeight="false" outlineLevel="0" collapsed="false">
      <c r="A74" s="21" t="str">
        <f aca="false">IF($C74="","",COUNTA($C$10:$C74))</f>
        <v/>
      </c>
      <c r="B74" s="18"/>
      <c r="C74" s="11"/>
      <c r="D74" s="11"/>
      <c r="E74" s="11"/>
      <c r="F74" s="11"/>
      <c r="G74" s="11"/>
      <c r="H74" s="11"/>
      <c r="I74" s="12"/>
      <c r="J74" s="13" t="str">
        <f aca="false">IF($H74="","",IFERROR(VLOOKUP($H74,'BẢNG GIÁ GỐC'!$A$5:$D$254,3,FALSE()),""))</f>
        <v/>
      </c>
      <c r="K74" s="12"/>
      <c r="L74" s="13" t="str">
        <f aca="false">IF($C74="","",N($I74)*N($K74))</f>
        <v/>
      </c>
      <c r="M74" s="11"/>
      <c r="N74" s="14" t="str">
        <f aca="false">IF($C74="","",IF($M74="VAT 5%",0.05,IF($M74="VAT 8%",0.08,IF($M74="VAT 10%",0.1,0))))</f>
        <v/>
      </c>
      <c r="O74" s="13" t="str">
        <f aca="false">IF($C74="","",$L74*$N74)</f>
        <v/>
      </c>
      <c r="P74" s="13" t="str">
        <f aca="false">IF($C74="","",$L74+$O74)</f>
        <v/>
      </c>
      <c r="Q74" s="12"/>
      <c r="R74" s="13" t="str">
        <f aca="false">IF($C74="","",MAX(0,$P74-N($Q74)))</f>
        <v/>
      </c>
      <c r="S74" s="23" t="str">
        <f aca="false">IF(OR($C74="",$P74=0),"",IF(N($Q74)&lt;=0,"Chưa thanh toán",IF(N($Q74)&lt;$P74,"Thanh toán một phần","Đã thanh toán")))</f>
        <v/>
      </c>
      <c r="T74" s="13" t="str">
        <f aca="false">IF(OR($C74="",$J74=""),"",N($I74)*$J74)</f>
        <v/>
      </c>
      <c r="U74" s="13" t="str">
        <f aca="false">IF(OR($C74="",$T74=""),"",$L74-$T74)</f>
        <v/>
      </c>
      <c r="V74" s="14" t="str">
        <f aca="false">IF(OR($U74="",$L74=0),"",$U74/$L74)</f>
        <v/>
      </c>
      <c r="W74" s="11"/>
      <c r="X74" s="23" t="str">
        <f aca="false">IF($C74="","",IF(AND($H74="",N($I74)=0,N($K74)=0),"Dòng chỉ lưu thông tin khách (chưa có đơn); ",IF($B74="","Thiếu ngày đặt; ","")&amp;IF($H74="","Thiếu tên sản phẩm; ",IF($J74="","Chưa khai GIÁ GỐC ở BẢNG GIÁ GỐC; ",""))&amp;IF(N($I74)&lt;=0,"Thiếu số lượng; ","")&amp;IF(N($K74)&lt;=0,"Thiếu giá bán; ","")&amp;IF(AND($N74&gt;0,$F74=""),"Khách lấy VAT thiếu mã số thuế; ","")&amp;IF(N($Q74)&gt;$P74,"Đã thu vượt tổng phải thu; ","")&amp;IF(AND($L74&gt;0,$U74&lt;&gt;"",$U74&lt;0),"CẢNH BÁO: ĐƠN NÀY ĐANG LỖ; ","")))</f>
        <v/>
      </c>
    </row>
    <row r="75" customFormat="false" ht="15" hidden="false" customHeight="false" outlineLevel="0" collapsed="false">
      <c r="A75" s="21" t="str">
        <f aca="false">IF($C75="","",COUNTA($C$10:$C75))</f>
        <v/>
      </c>
      <c r="B75" s="18"/>
      <c r="C75" s="11"/>
      <c r="D75" s="11"/>
      <c r="E75" s="11"/>
      <c r="F75" s="11"/>
      <c r="G75" s="11"/>
      <c r="H75" s="11"/>
      <c r="I75" s="12"/>
      <c r="J75" s="13" t="str">
        <f aca="false">IF($H75="","",IFERROR(VLOOKUP($H75,'BẢNG GIÁ GỐC'!$A$5:$D$254,3,FALSE()),""))</f>
        <v/>
      </c>
      <c r="K75" s="12"/>
      <c r="L75" s="13" t="str">
        <f aca="false">IF($C75="","",N($I75)*N($K75))</f>
        <v/>
      </c>
      <c r="M75" s="11"/>
      <c r="N75" s="14" t="str">
        <f aca="false">IF($C75="","",IF($M75="VAT 5%",0.05,IF($M75="VAT 8%",0.08,IF($M75="VAT 10%",0.1,0))))</f>
        <v/>
      </c>
      <c r="O75" s="13" t="str">
        <f aca="false">IF($C75="","",$L75*$N75)</f>
        <v/>
      </c>
      <c r="P75" s="13" t="str">
        <f aca="false">IF($C75="","",$L75+$O75)</f>
        <v/>
      </c>
      <c r="Q75" s="12"/>
      <c r="R75" s="13" t="str">
        <f aca="false">IF($C75="","",MAX(0,$P75-N($Q75)))</f>
        <v/>
      </c>
      <c r="S75" s="23" t="str">
        <f aca="false">IF(OR($C75="",$P75=0),"",IF(N($Q75)&lt;=0,"Chưa thanh toán",IF(N($Q75)&lt;$P75,"Thanh toán một phần","Đã thanh toán")))</f>
        <v/>
      </c>
      <c r="T75" s="13" t="str">
        <f aca="false">IF(OR($C75="",$J75=""),"",N($I75)*$J75)</f>
        <v/>
      </c>
      <c r="U75" s="13" t="str">
        <f aca="false">IF(OR($C75="",$T75=""),"",$L75-$T75)</f>
        <v/>
      </c>
      <c r="V75" s="14" t="str">
        <f aca="false">IF(OR($U75="",$L75=0),"",$U75/$L75)</f>
        <v/>
      </c>
      <c r="W75" s="11"/>
      <c r="X75" s="23" t="str">
        <f aca="false">IF($C75="","",IF(AND($H75="",N($I75)=0,N($K75)=0),"Dòng chỉ lưu thông tin khách (chưa có đơn); ",IF($B75="","Thiếu ngày đặt; ","")&amp;IF($H75="","Thiếu tên sản phẩm; ",IF($J75="","Chưa khai GIÁ GỐC ở BẢNG GIÁ GỐC; ",""))&amp;IF(N($I75)&lt;=0,"Thiếu số lượng; ","")&amp;IF(N($K75)&lt;=0,"Thiếu giá bán; ","")&amp;IF(AND($N75&gt;0,$F75=""),"Khách lấy VAT thiếu mã số thuế; ","")&amp;IF(N($Q75)&gt;$P75,"Đã thu vượt tổng phải thu; ","")&amp;IF(AND($L75&gt;0,$U75&lt;&gt;"",$U75&lt;0),"CẢNH BÁO: ĐƠN NÀY ĐANG LỖ; ","")))</f>
        <v/>
      </c>
    </row>
    <row r="76" customFormat="false" ht="15" hidden="false" customHeight="false" outlineLevel="0" collapsed="false">
      <c r="A76" s="21" t="str">
        <f aca="false">IF($C76="","",COUNTA($C$10:$C76))</f>
        <v/>
      </c>
      <c r="B76" s="18"/>
      <c r="C76" s="11"/>
      <c r="D76" s="11"/>
      <c r="E76" s="11"/>
      <c r="F76" s="11"/>
      <c r="G76" s="11"/>
      <c r="H76" s="11"/>
      <c r="I76" s="12"/>
      <c r="J76" s="13" t="str">
        <f aca="false">IF($H76="","",IFERROR(VLOOKUP($H76,'BẢNG GIÁ GỐC'!$A$5:$D$254,3,FALSE()),""))</f>
        <v/>
      </c>
      <c r="K76" s="12"/>
      <c r="L76" s="13" t="str">
        <f aca="false">IF($C76="","",N($I76)*N($K76))</f>
        <v/>
      </c>
      <c r="M76" s="11"/>
      <c r="N76" s="14" t="str">
        <f aca="false">IF($C76="","",IF($M76="VAT 5%",0.05,IF($M76="VAT 8%",0.08,IF($M76="VAT 10%",0.1,0))))</f>
        <v/>
      </c>
      <c r="O76" s="13" t="str">
        <f aca="false">IF($C76="","",$L76*$N76)</f>
        <v/>
      </c>
      <c r="P76" s="13" t="str">
        <f aca="false">IF($C76="","",$L76+$O76)</f>
        <v/>
      </c>
      <c r="Q76" s="12"/>
      <c r="R76" s="13" t="str">
        <f aca="false">IF($C76="","",MAX(0,$P76-N($Q76)))</f>
        <v/>
      </c>
      <c r="S76" s="23" t="str">
        <f aca="false">IF(OR($C76="",$P76=0),"",IF(N($Q76)&lt;=0,"Chưa thanh toán",IF(N($Q76)&lt;$P76,"Thanh toán một phần","Đã thanh toán")))</f>
        <v/>
      </c>
      <c r="T76" s="13" t="str">
        <f aca="false">IF(OR($C76="",$J76=""),"",N($I76)*$J76)</f>
        <v/>
      </c>
      <c r="U76" s="13" t="str">
        <f aca="false">IF(OR($C76="",$T76=""),"",$L76-$T76)</f>
        <v/>
      </c>
      <c r="V76" s="14" t="str">
        <f aca="false">IF(OR($U76="",$L76=0),"",$U76/$L76)</f>
        <v/>
      </c>
      <c r="W76" s="11"/>
      <c r="X76" s="23" t="str">
        <f aca="false">IF($C76="","",IF(AND($H76="",N($I76)=0,N($K76)=0),"Dòng chỉ lưu thông tin khách (chưa có đơn); ",IF($B76="","Thiếu ngày đặt; ","")&amp;IF($H76="","Thiếu tên sản phẩm; ",IF($J76="","Chưa khai GIÁ GỐC ở BẢNG GIÁ GỐC; ",""))&amp;IF(N($I76)&lt;=0,"Thiếu số lượng; ","")&amp;IF(N($K76)&lt;=0,"Thiếu giá bán; ","")&amp;IF(AND($N76&gt;0,$F76=""),"Khách lấy VAT thiếu mã số thuế; ","")&amp;IF(N($Q76)&gt;$P76,"Đã thu vượt tổng phải thu; ","")&amp;IF(AND($L76&gt;0,$U76&lt;&gt;"",$U76&lt;0),"CẢNH BÁO: ĐƠN NÀY ĐANG LỖ; ","")))</f>
        <v/>
      </c>
    </row>
    <row r="77" customFormat="false" ht="15" hidden="false" customHeight="false" outlineLevel="0" collapsed="false">
      <c r="A77" s="21" t="str">
        <f aca="false">IF($C77="","",COUNTA($C$10:$C77))</f>
        <v/>
      </c>
      <c r="B77" s="18"/>
      <c r="C77" s="11"/>
      <c r="D77" s="11"/>
      <c r="E77" s="11"/>
      <c r="F77" s="11"/>
      <c r="G77" s="11"/>
      <c r="H77" s="11"/>
      <c r="I77" s="12"/>
      <c r="J77" s="13" t="str">
        <f aca="false">IF($H77="","",IFERROR(VLOOKUP($H77,'BẢNG GIÁ GỐC'!$A$5:$D$254,3,FALSE()),""))</f>
        <v/>
      </c>
      <c r="K77" s="12"/>
      <c r="L77" s="13" t="str">
        <f aca="false">IF($C77="","",N($I77)*N($K77))</f>
        <v/>
      </c>
      <c r="M77" s="11"/>
      <c r="N77" s="14" t="str">
        <f aca="false">IF($C77="","",IF($M77="VAT 5%",0.05,IF($M77="VAT 8%",0.08,IF($M77="VAT 10%",0.1,0))))</f>
        <v/>
      </c>
      <c r="O77" s="13" t="str">
        <f aca="false">IF($C77="","",$L77*$N77)</f>
        <v/>
      </c>
      <c r="P77" s="13" t="str">
        <f aca="false">IF($C77="","",$L77+$O77)</f>
        <v/>
      </c>
      <c r="Q77" s="12"/>
      <c r="R77" s="13" t="str">
        <f aca="false">IF($C77="","",MAX(0,$P77-N($Q77)))</f>
        <v/>
      </c>
      <c r="S77" s="23" t="str">
        <f aca="false">IF(OR($C77="",$P77=0),"",IF(N($Q77)&lt;=0,"Chưa thanh toán",IF(N($Q77)&lt;$P77,"Thanh toán một phần","Đã thanh toán")))</f>
        <v/>
      </c>
      <c r="T77" s="13" t="str">
        <f aca="false">IF(OR($C77="",$J77=""),"",N($I77)*$J77)</f>
        <v/>
      </c>
      <c r="U77" s="13" t="str">
        <f aca="false">IF(OR($C77="",$T77=""),"",$L77-$T77)</f>
        <v/>
      </c>
      <c r="V77" s="14" t="str">
        <f aca="false">IF(OR($U77="",$L77=0),"",$U77/$L77)</f>
        <v/>
      </c>
      <c r="W77" s="11"/>
      <c r="X77" s="23" t="str">
        <f aca="false">IF($C77="","",IF(AND($H77="",N($I77)=0,N($K77)=0),"Dòng chỉ lưu thông tin khách (chưa có đơn); ",IF($B77="","Thiếu ngày đặt; ","")&amp;IF($H77="","Thiếu tên sản phẩm; ",IF($J77="","Chưa khai GIÁ GỐC ở BẢNG GIÁ GỐC; ",""))&amp;IF(N($I77)&lt;=0,"Thiếu số lượng; ","")&amp;IF(N($K77)&lt;=0,"Thiếu giá bán; ","")&amp;IF(AND($N77&gt;0,$F77=""),"Khách lấy VAT thiếu mã số thuế; ","")&amp;IF(N($Q77)&gt;$P77,"Đã thu vượt tổng phải thu; ","")&amp;IF(AND($L77&gt;0,$U77&lt;&gt;"",$U77&lt;0),"CẢNH BÁO: ĐƠN NÀY ĐANG LỖ; ","")))</f>
        <v/>
      </c>
    </row>
    <row r="78" customFormat="false" ht="15" hidden="false" customHeight="false" outlineLevel="0" collapsed="false">
      <c r="A78" s="21" t="str">
        <f aca="false">IF($C78="","",COUNTA($C$10:$C78))</f>
        <v/>
      </c>
      <c r="B78" s="18"/>
      <c r="C78" s="11"/>
      <c r="D78" s="11"/>
      <c r="E78" s="11"/>
      <c r="F78" s="11"/>
      <c r="G78" s="11"/>
      <c r="H78" s="11"/>
      <c r="I78" s="12"/>
      <c r="J78" s="13" t="str">
        <f aca="false">IF($H78="","",IFERROR(VLOOKUP($H78,'BẢNG GIÁ GỐC'!$A$5:$D$254,3,FALSE()),""))</f>
        <v/>
      </c>
      <c r="K78" s="12"/>
      <c r="L78" s="13" t="str">
        <f aca="false">IF($C78="","",N($I78)*N($K78))</f>
        <v/>
      </c>
      <c r="M78" s="11"/>
      <c r="N78" s="14" t="str">
        <f aca="false">IF($C78="","",IF($M78="VAT 5%",0.05,IF($M78="VAT 8%",0.08,IF($M78="VAT 10%",0.1,0))))</f>
        <v/>
      </c>
      <c r="O78" s="13" t="str">
        <f aca="false">IF($C78="","",$L78*$N78)</f>
        <v/>
      </c>
      <c r="P78" s="13" t="str">
        <f aca="false">IF($C78="","",$L78+$O78)</f>
        <v/>
      </c>
      <c r="Q78" s="12"/>
      <c r="R78" s="13" t="str">
        <f aca="false">IF($C78="","",MAX(0,$P78-N($Q78)))</f>
        <v/>
      </c>
      <c r="S78" s="23" t="str">
        <f aca="false">IF(OR($C78="",$P78=0),"",IF(N($Q78)&lt;=0,"Chưa thanh toán",IF(N($Q78)&lt;$P78,"Thanh toán một phần","Đã thanh toán")))</f>
        <v/>
      </c>
      <c r="T78" s="13" t="str">
        <f aca="false">IF(OR($C78="",$J78=""),"",N($I78)*$J78)</f>
        <v/>
      </c>
      <c r="U78" s="13" t="str">
        <f aca="false">IF(OR($C78="",$T78=""),"",$L78-$T78)</f>
        <v/>
      </c>
      <c r="V78" s="14" t="str">
        <f aca="false">IF(OR($U78="",$L78=0),"",$U78/$L78)</f>
        <v/>
      </c>
      <c r="W78" s="11"/>
      <c r="X78" s="23" t="str">
        <f aca="false">IF($C78="","",IF(AND($H78="",N($I78)=0,N($K78)=0),"Dòng chỉ lưu thông tin khách (chưa có đơn); ",IF($B78="","Thiếu ngày đặt; ","")&amp;IF($H78="","Thiếu tên sản phẩm; ",IF($J78="","Chưa khai GIÁ GỐC ở BẢNG GIÁ GỐC; ",""))&amp;IF(N($I78)&lt;=0,"Thiếu số lượng; ","")&amp;IF(N($K78)&lt;=0,"Thiếu giá bán; ","")&amp;IF(AND($N78&gt;0,$F78=""),"Khách lấy VAT thiếu mã số thuế; ","")&amp;IF(N($Q78)&gt;$P78,"Đã thu vượt tổng phải thu; ","")&amp;IF(AND($L78&gt;0,$U78&lt;&gt;"",$U78&lt;0),"CẢNH BÁO: ĐƠN NÀY ĐANG LỖ; ","")))</f>
        <v/>
      </c>
    </row>
    <row r="79" customFormat="false" ht="15" hidden="false" customHeight="false" outlineLevel="0" collapsed="false">
      <c r="A79" s="21" t="str">
        <f aca="false">IF($C79="","",COUNTA($C$10:$C79))</f>
        <v/>
      </c>
      <c r="B79" s="18"/>
      <c r="C79" s="11"/>
      <c r="D79" s="11"/>
      <c r="E79" s="11"/>
      <c r="F79" s="11"/>
      <c r="G79" s="11"/>
      <c r="H79" s="11"/>
      <c r="I79" s="12"/>
      <c r="J79" s="13" t="str">
        <f aca="false">IF($H79="","",IFERROR(VLOOKUP($H79,'BẢNG GIÁ GỐC'!$A$5:$D$254,3,FALSE()),""))</f>
        <v/>
      </c>
      <c r="K79" s="12"/>
      <c r="L79" s="13" t="str">
        <f aca="false">IF($C79="","",N($I79)*N($K79))</f>
        <v/>
      </c>
      <c r="M79" s="11"/>
      <c r="N79" s="14" t="str">
        <f aca="false">IF($C79="","",IF($M79="VAT 5%",0.05,IF($M79="VAT 8%",0.08,IF($M79="VAT 10%",0.1,0))))</f>
        <v/>
      </c>
      <c r="O79" s="13" t="str">
        <f aca="false">IF($C79="","",$L79*$N79)</f>
        <v/>
      </c>
      <c r="P79" s="13" t="str">
        <f aca="false">IF($C79="","",$L79+$O79)</f>
        <v/>
      </c>
      <c r="Q79" s="12"/>
      <c r="R79" s="13" t="str">
        <f aca="false">IF($C79="","",MAX(0,$P79-N($Q79)))</f>
        <v/>
      </c>
      <c r="S79" s="23" t="str">
        <f aca="false">IF(OR($C79="",$P79=0),"",IF(N($Q79)&lt;=0,"Chưa thanh toán",IF(N($Q79)&lt;$P79,"Thanh toán một phần","Đã thanh toán")))</f>
        <v/>
      </c>
      <c r="T79" s="13" t="str">
        <f aca="false">IF(OR($C79="",$J79=""),"",N($I79)*$J79)</f>
        <v/>
      </c>
      <c r="U79" s="13" t="str">
        <f aca="false">IF(OR($C79="",$T79=""),"",$L79-$T79)</f>
        <v/>
      </c>
      <c r="V79" s="14" t="str">
        <f aca="false">IF(OR($U79="",$L79=0),"",$U79/$L79)</f>
        <v/>
      </c>
      <c r="W79" s="11"/>
      <c r="X79" s="23" t="str">
        <f aca="false">IF($C79="","",IF(AND($H79="",N($I79)=0,N($K79)=0),"Dòng chỉ lưu thông tin khách (chưa có đơn); ",IF($B79="","Thiếu ngày đặt; ","")&amp;IF($H79="","Thiếu tên sản phẩm; ",IF($J79="","Chưa khai GIÁ GỐC ở BẢNG GIÁ GỐC; ",""))&amp;IF(N($I79)&lt;=0,"Thiếu số lượng; ","")&amp;IF(N($K79)&lt;=0,"Thiếu giá bán; ","")&amp;IF(AND($N79&gt;0,$F79=""),"Khách lấy VAT thiếu mã số thuế; ","")&amp;IF(N($Q79)&gt;$P79,"Đã thu vượt tổng phải thu; ","")&amp;IF(AND($L79&gt;0,$U79&lt;&gt;"",$U79&lt;0),"CẢNH BÁO: ĐƠN NÀY ĐANG LỖ; ","")))</f>
        <v/>
      </c>
    </row>
    <row r="80" customFormat="false" ht="15" hidden="false" customHeight="false" outlineLevel="0" collapsed="false">
      <c r="A80" s="21" t="str">
        <f aca="false">IF($C80="","",COUNTA($C$10:$C80))</f>
        <v/>
      </c>
      <c r="B80" s="18"/>
      <c r="C80" s="11"/>
      <c r="D80" s="11"/>
      <c r="E80" s="11"/>
      <c r="F80" s="11"/>
      <c r="G80" s="11"/>
      <c r="H80" s="11"/>
      <c r="I80" s="12"/>
      <c r="J80" s="13" t="str">
        <f aca="false">IF($H80="","",IFERROR(VLOOKUP($H80,'BẢNG GIÁ GỐC'!$A$5:$D$254,3,FALSE()),""))</f>
        <v/>
      </c>
      <c r="K80" s="12"/>
      <c r="L80" s="13" t="str">
        <f aca="false">IF($C80="","",N($I80)*N($K80))</f>
        <v/>
      </c>
      <c r="M80" s="11"/>
      <c r="N80" s="14" t="str">
        <f aca="false">IF($C80="","",IF($M80="VAT 5%",0.05,IF($M80="VAT 8%",0.08,IF($M80="VAT 10%",0.1,0))))</f>
        <v/>
      </c>
      <c r="O80" s="13" t="str">
        <f aca="false">IF($C80="","",$L80*$N80)</f>
        <v/>
      </c>
      <c r="P80" s="13" t="str">
        <f aca="false">IF($C80="","",$L80+$O80)</f>
        <v/>
      </c>
      <c r="Q80" s="12"/>
      <c r="R80" s="13" t="str">
        <f aca="false">IF($C80="","",MAX(0,$P80-N($Q80)))</f>
        <v/>
      </c>
      <c r="S80" s="23" t="str">
        <f aca="false">IF(OR($C80="",$P80=0),"",IF(N($Q80)&lt;=0,"Chưa thanh toán",IF(N($Q80)&lt;$P80,"Thanh toán một phần","Đã thanh toán")))</f>
        <v/>
      </c>
      <c r="T80" s="13" t="str">
        <f aca="false">IF(OR($C80="",$J80=""),"",N($I80)*$J80)</f>
        <v/>
      </c>
      <c r="U80" s="13" t="str">
        <f aca="false">IF(OR($C80="",$T80=""),"",$L80-$T80)</f>
        <v/>
      </c>
      <c r="V80" s="14" t="str">
        <f aca="false">IF(OR($U80="",$L80=0),"",$U80/$L80)</f>
        <v/>
      </c>
      <c r="W80" s="11"/>
      <c r="X80" s="23" t="str">
        <f aca="false">IF($C80="","",IF(AND($H80="",N($I80)=0,N($K80)=0),"Dòng chỉ lưu thông tin khách (chưa có đơn); ",IF($B80="","Thiếu ngày đặt; ","")&amp;IF($H80="","Thiếu tên sản phẩm; ",IF($J80="","Chưa khai GIÁ GỐC ở BẢNG GIÁ GỐC; ",""))&amp;IF(N($I80)&lt;=0,"Thiếu số lượng; ","")&amp;IF(N($K80)&lt;=0,"Thiếu giá bán; ","")&amp;IF(AND($N80&gt;0,$F80=""),"Khách lấy VAT thiếu mã số thuế; ","")&amp;IF(N($Q80)&gt;$P80,"Đã thu vượt tổng phải thu; ","")&amp;IF(AND($L80&gt;0,$U80&lt;&gt;"",$U80&lt;0),"CẢNH BÁO: ĐƠN NÀY ĐANG LỖ; ","")))</f>
        <v/>
      </c>
    </row>
    <row r="81" customFormat="false" ht="15" hidden="false" customHeight="false" outlineLevel="0" collapsed="false">
      <c r="A81" s="21" t="str">
        <f aca="false">IF($C81="","",COUNTA($C$10:$C81))</f>
        <v/>
      </c>
      <c r="B81" s="18"/>
      <c r="C81" s="11"/>
      <c r="D81" s="11"/>
      <c r="E81" s="11"/>
      <c r="F81" s="11"/>
      <c r="G81" s="11"/>
      <c r="H81" s="11"/>
      <c r="I81" s="12"/>
      <c r="J81" s="13" t="str">
        <f aca="false">IF($H81="","",IFERROR(VLOOKUP($H81,'BẢNG GIÁ GỐC'!$A$5:$D$254,3,FALSE()),""))</f>
        <v/>
      </c>
      <c r="K81" s="12"/>
      <c r="L81" s="13" t="str">
        <f aca="false">IF($C81="","",N($I81)*N($K81))</f>
        <v/>
      </c>
      <c r="M81" s="11"/>
      <c r="N81" s="14" t="str">
        <f aca="false">IF($C81="","",IF($M81="VAT 5%",0.05,IF($M81="VAT 8%",0.08,IF($M81="VAT 10%",0.1,0))))</f>
        <v/>
      </c>
      <c r="O81" s="13" t="str">
        <f aca="false">IF($C81="","",$L81*$N81)</f>
        <v/>
      </c>
      <c r="P81" s="13" t="str">
        <f aca="false">IF($C81="","",$L81+$O81)</f>
        <v/>
      </c>
      <c r="Q81" s="12"/>
      <c r="R81" s="13" t="str">
        <f aca="false">IF($C81="","",MAX(0,$P81-N($Q81)))</f>
        <v/>
      </c>
      <c r="S81" s="23" t="str">
        <f aca="false">IF(OR($C81="",$P81=0),"",IF(N($Q81)&lt;=0,"Chưa thanh toán",IF(N($Q81)&lt;$P81,"Thanh toán một phần","Đã thanh toán")))</f>
        <v/>
      </c>
      <c r="T81" s="13" t="str">
        <f aca="false">IF(OR($C81="",$J81=""),"",N($I81)*$J81)</f>
        <v/>
      </c>
      <c r="U81" s="13" t="str">
        <f aca="false">IF(OR($C81="",$T81=""),"",$L81-$T81)</f>
        <v/>
      </c>
      <c r="V81" s="14" t="str">
        <f aca="false">IF(OR($U81="",$L81=0),"",$U81/$L81)</f>
        <v/>
      </c>
      <c r="W81" s="11"/>
      <c r="X81" s="23" t="str">
        <f aca="false">IF($C81="","",IF(AND($H81="",N($I81)=0,N($K81)=0),"Dòng chỉ lưu thông tin khách (chưa có đơn); ",IF($B81="","Thiếu ngày đặt; ","")&amp;IF($H81="","Thiếu tên sản phẩm; ",IF($J81="","Chưa khai GIÁ GỐC ở BẢNG GIÁ GỐC; ",""))&amp;IF(N($I81)&lt;=0,"Thiếu số lượng; ","")&amp;IF(N($K81)&lt;=0,"Thiếu giá bán; ","")&amp;IF(AND($N81&gt;0,$F81=""),"Khách lấy VAT thiếu mã số thuế; ","")&amp;IF(N($Q81)&gt;$P81,"Đã thu vượt tổng phải thu; ","")&amp;IF(AND($L81&gt;0,$U81&lt;&gt;"",$U81&lt;0),"CẢNH BÁO: ĐƠN NÀY ĐANG LỖ; ","")))</f>
        <v/>
      </c>
    </row>
    <row r="82" customFormat="false" ht="15" hidden="false" customHeight="false" outlineLevel="0" collapsed="false">
      <c r="A82" s="21" t="str">
        <f aca="false">IF($C82="","",COUNTA($C$10:$C82))</f>
        <v/>
      </c>
      <c r="B82" s="18"/>
      <c r="C82" s="11"/>
      <c r="D82" s="11"/>
      <c r="E82" s="11"/>
      <c r="F82" s="11"/>
      <c r="G82" s="11"/>
      <c r="H82" s="11"/>
      <c r="I82" s="12"/>
      <c r="J82" s="13" t="str">
        <f aca="false">IF($H82="","",IFERROR(VLOOKUP($H82,'BẢNG GIÁ GỐC'!$A$5:$D$254,3,FALSE()),""))</f>
        <v/>
      </c>
      <c r="K82" s="12"/>
      <c r="L82" s="13" t="str">
        <f aca="false">IF($C82="","",N($I82)*N($K82))</f>
        <v/>
      </c>
      <c r="M82" s="11"/>
      <c r="N82" s="14" t="str">
        <f aca="false">IF($C82="","",IF($M82="VAT 5%",0.05,IF($M82="VAT 8%",0.08,IF($M82="VAT 10%",0.1,0))))</f>
        <v/>
      </c>
      <c r="O82" s="13" t="str">
        <f aca="false">IF($C82="","",$L82*$N82)</f>
        <v/>
      </c>
      <c r="P82" s="13" t="str">
        <f aca="false">IF($C82="","",$L82+$O82)</f>
        <v/>
      </c>
      <c r="Q82" s="12"/>
      <c r="R82" s="13" t="str">
        <f aca="false">IF($C82="","",MAX(0,$P82-N($Q82)))</f>
        <v/>
      </c>
      <c r="S82" s="23" t="str">
        <f aca="false">IF(OR($C82="",$P82=0),"",IF(N($Q82)&lt;=0,"Chưa thanh toán",IF(N($Q82)&lt;$P82,"Thanh toán một phần","Đã thanh toán")))</f>
        <v/>
      </c>
      <c r="T82" s="13" t="str">
        <f aca="false">IF(OR($C82="",$J82=""),"",N($I82)*$J82)</f>
        <v/>
      </c>
      <c r="U82" s="13" t="str">
        <f aca="false">IF(OR($C82="",$T82=""),"",$L82-$T82)</f>
        <v/>
      </c>
      <c r="V82" s="14" t="str">
        <f aca="false">IF(OR($U82="",$L82=0),"",$U82/$L82)</f>
        <v/>
      </c>
      <c r="W82" s="11"/>
      <c r="X82" s="23" t="str">
        <f aca="false">IF($C82="","",IF(AND($H82="",N($I82)=0,N($K82)=0),"Dòng chỉ lưu thông tin khách (chưa có đơn); ",IF($B82="","Thiếu ngày đặt; ","")&amp;IF($H82="","Thiếu tên sản phẩm; ",IF($J82="","Chưa khai GIÁ GỐC ở BẢNG GIÁ GỐC; ",""))&amp;IF(N($I82)&lt;=0,"Thiếu số lượng; ","")&amp;IF(N($K82)&lt;=0,"Thiếu giá bán; ","")&amp;IF(AND($N82&gt;0,$F82=""),"Khách lấy VAT thiếu mã số thuế; ","")&amp;IF(N($Q82)&gt;$P82,"Đã thu vượt tổng phải thu; ","")&amp;IF(AND($L82&gt;0,$U82&lt;&gt;"",$U82&lt;0),"CẢNH BÁO: ĐƠN NÀY ĐANG LỖ; ","")))</f>
        <v/>
      </c>
    </row>
    <row r="83" customFormat="false" ht="15" hidden="false" customHeight="false" outlineLevel="0" collapsed="false">
      <c r="A83" s="21" t="str">
        <f aca="false">IF($C83="","",COUNTA($C$10:$C83))</f>
        <v/>
      </c>
      <c r="B83" s="18"/>
      <c r="C83" s="11"/>
      <c r="D83" s="11"/>
      <c r="E83" s="11"/>
      <c r="F83" s="11"/>
      <c r="G83" s="11"/>
      <c r="H83" s="11"/>
      <c r="I83" s="12"/>
      <c r="J83" s="13" t="str">
        <f aca="false">IF($H83="","",IFERROR(VLOOKUP($H83,'BẢNG GIÁ GỐC'!$A$5:$D$254,3,FALSE()),""))</f>
        <v/>
      </c>
      <c r="K83" s="12"/>
      <c r="L83" s="13" t="str">
        <f aca="false">IF($C83="","",N($I83)*N($K83))</f>
        <v/>
      </c>
      <c r="M83" s="11"/>
      <c r="N83" s="14" t="str">
        <f aca="false">IF($C83="","",IF($M83="VAT 5%",0.05,IF($M83="VAT 8%",0.08,IF($M83="VAT 10%",0.1,0))))</f>
        <v/>
      </c>
      <c r="O83" s="13" t="str">
        <f aca="false">IF($C83="","",$L83*$N83)</f>
        <v/>
      </c>
      <c r="P83" s="13" t="str">
        <f aca="false">IF($C83="","",$L83+$O83)</f>
        <v/>
      </c>
      <c r="Q83" s="12"/>
      <c r="R83" s="13" t="str">
        <f aca="false">IF($C83="","",MAX(0,$P83-N($Q83)))</f>
        <v/>
      </c>
      <c r="S83" s="23" t="str">
        <f aca="false">IF(OR($C83="",$P83=0),"",IF(N($Q83)&lt;=0,"Chưa thanh toán",IF(N($Q83)&lt;$P83,"Thanh toán một phần","Đã thanh toán")))</f>
        <v/>
      </c>
      <c r="T83" s="13" t="str">
        <f aca="false">IF(OR($C83="",$J83=""),"",N($I83)*$J83)</f>
        <v/>
      </c>
      <c r="U83" s="13" t="str">
        <f aca="false">IF(OR($C83="",$T83=""),"",$L83-$T83)</f>
        <v/>
      </c>
      <c r="V83" s="14" t="str">
        <f aca="false">IF(OR($U83="",$L83=0),"",$U83/$L83)</f>
        <v/>
      </c>
      <c r="W83" s="11"/>
      <c r="X83" s="23" t="str">
        <f aca="false">IF($C83="","",IF(AND($H83="",N($I83)=0,N($K83)=0),"Dòng chỉ lưu thông tin khách (chưa có đơn); ",IF($B83="","Thiếu ngày đặt; ","")&amp;IF($H83="","Thiếu tên sản phẩm; ",IF($J83="","Chưa khai GIÁ GỐC ở BẢNG GIÁ GỐC; ",""))&amp;IF(N($I83)&lt;=0,"Thiếu số lượng; ","")&amp;IF(N($K83)&lt;=0,"Thiếu giá bán; ","")&amp;IF(AND($N83&gt;0,$F83=""),"Khách lấy VAT thiếu mã số thuế; ","")&amp;IF(N($Q83)&gt;$P83,"Đã thu vượt tổng phải thu; ","")&amp;IF(AND($L83&gt;0,$U83&lt;&gt;"",$U83&lt;0),"CẢNH BÁO: ĐƠN NÀY ĐANG LỖ; ","")))</f>
        <v/>
      </c>
    </row>
    <row r="84" customFormat="false" ht="15" hidden="false" customHeight="false" outlineLevel="0" collapsed="false">
      <c r="A84" s="21" t="str">
        <f aca="false">IF($C84="","",COUNTA($C$10:$C84))</f>
        <v/>
      </c>
      <c r="B84" s="18"/>
      <c r="C84" s="11"/>
      <c r="D84" s="11"/>
      <c r="E84" s="11"/>
      <c r="F84" s="11"/>
      <c r="G84" s="11"/>
      <c r="H84" s="11"/>
      <c r="I84" s="12"/>
      <c r="J84" s="13" t="str">
        <f aca="false">IF($H84="","",IFERROR(VLOOKUP($H84,'BẢNG GIÁ GỐC'!$A$5:$D$254,3,FALSE()),""))</f>
        <v/>
      </c>
      <c r="K84" s="12"/>
      <c r="L84" s="13" t="str">
        <f aca="false">IF($C84="","",N($I84)*N($K84))</f>
        <v/>
      </c>
      <c r="M84" s="11"/>
      <c r="N84" s="14" t="str">
        <f aca="false">IF($C84="","",IF($M84="VAT 5%",0.05,IF($M84="VAT 8%",0.08,IF($M84="VAT 10%",0.1,0))))</f>
        <v/>
      </c>
      <c r="O84" s="13" t="str">
        <f aca="false">IF($C84="","",$L84*$N84)</f>
        <v/>
      </c>
      <c r="P84" s="13" t="str">
        <f aca="false">IF($C84="","",$L84+$O84)</f>
        <v/>
      </c>
      <c r="Q84" s="12"/>
      <c r="R84" s="13" t="str">
        <f aca="false">IF($C84="","",MAX(0,$P84-N($Q84)))</f>
        <v/>
      </c>
      <c r="S84" s="23" t="str">
        <f aca="false">IF(OR($C84="",$P84=0),"",IF(N($Q84)&lt;=0,"Chưa thanh toán",IF(N($Q84)&lt;$P84,"Thanh toán một phần","Đã thanh toán")))</f>
        <v/>
      </c>
      <c r="T84" s="13" t="str">
        <f aca="false">IF(OR($C84="",$J84=""),"",N($I84)*$J84)</f>
        <v/>
      </c>
      <c r="U84" s="13" t="str">
        <f aca="false">IF(OR($C84="",$T84=""),"",$L84-$T84)</f>
        <v/>
      </c>
      <c r="V84" s="14" t="str">
        <f aca="false">IF(OR($U84="",$L84=0),"",$U84/$L84)</f>
        <v/>
      </c>
      <c r="W84" s="11"/>
      <c r="X84" s="23" t="str">
        <f aca="false">IF($C84="","",IF(AND($H84="",N($I84)=0,N($K84)=0),"Dòng chỉ lưu thông tin khách (chưa có đơn); ",IF($B84="","Thiếu ngày đặt; ","")&amp;IF($H84="","Thiếu tên sản phẩm; ",IF($J84="","Chưa khai GIÁ GỐC ở BẢNG GIÁ GỐC; ",""))&amp;IF(N($I84)&lt;=0,"Thiếu số lượng; ","")&amp;IF(N($K84)&lt;=0,"Thiếu giá bán; ","")&amp;IF(AND($N84&gt;0,$F84=""),"Khách lấy VAT thiếu mã số thuế; ","")&amp;IF(N($Q84)&gt;$P84,"Đã thu vượt tổng phải thu; ","")&amp;IF(AND($L84&gt;0,$U84&lt;&gt;"",$U84&lt;0),"CẢNH BÁO: ĐƠN NÀY ĐANG LỖ; ","")))</f>
        <v/>
      </c>
    </row>
    <row r="85" customFormat="false" ht="15" hidden="false" customHeight="false" outlineLevel="0" collapsed="false">
      <c r="A85" s="21" t="str">
        <f aca="false">IF($C85="","",COUNTA($C$10:$C85))</f>
        <v/>
      </c>
      <c r="B85" s="18"/>
      <c r="C85" s="11"/>
      <c r="D85" s="11"/>
      <c r="E85" s="11"/>
      <c r="F85" s="11"/>
      <c r="G85" s="11"/>
      <c r="H85" s="11"/>
      <c r="I85" s="12"/>
      <c r="J85" s="13" t="str">
        <f aca="false">IF($H85="","",IFERROR(VLOOKUP($H85,'BẢNG GIÁ GỐC'!$A$5:$D$254,3,FALSE()),""))</f>
        <v/>
      </c>
      <c r="K85" s="12"/>
      <c r="L85" s="13" t="str">
        <f aca="false">IF($C85="","",N($I85)*N($K85))</f>
        <v/>
      </c>
      <c r="M85" s="11"/>
      <c r="N85" s="14" t="str">
        <f aca="false">IF($C85="","",IF($M85="VAT 5%",0.05,IF($M85="VAT 8%",0.08,IF($M85="VAT 10%",0.1,0))))</f>
        <v/>
      </c>
      <c r="O85" s="13" t="str">
        <f aca="false">IF($C85="","",$L85*$N85)</f>
        <v/>
      </c>
      <c r="P85" s="13" t="str">
        <f aca="false">IF($C85="","",$L85+$O85)</f>
        <v/>
      </c>
      <c r="Q85" s="12"/>
      <c r="R85" s="13" t="str">
        <f aca="false">IF($C85="","",MAX(0,$P85-N($Q85)))</f>
        <v/>
      </c>
      <c r="S85" s="23" t="str">
        <f aca="false">IF(OR($C85="",$P85=0),"",IF(N($Q85)&lt;=0,"Chưa thanh toán",IF(N($Q85)&lt;$P85,"Thanh toán một phần","Đã thanh toán")))</f>
        <v/>
      </c>
      <c r="T85" s="13" t="str">
        <f aca="false">IF(OR($C85="",$J85=""),"",N($I85)*$J85)</f>
        <v/>
      </c>
      <c r="U85" s="13" t="str">
        <f aca="false">IF(OR($C85="",$T85=""),"",$L85-$T85)</f>
        <v/>
      </c>
      <c r="V85" s="14" t="str">
        <f aca="false">IF(OR($U85="",$L85=0),"",$U85/$L85)</f>
        <v/>
      </c>
      <c r="W85" s="11"/>
      <c r="X85" s="23" t="str">
        <f aca="false">IF($C85="","",IF(AND($H85="",N($I85)=0,N($K85)=0),"Dòng chỉ lưu thông tin khách (chưa có đơn); ",IF($B85="","Thiếu ngày đặt; ","")&amp;IF($H85="","Thiếu tên sản phẩm; ",IF($J85="","Chưa khai GIÁ GỐC ở BẢNG GIÁ GỐC; ",""))&amp;IF(N($I85)&lt;=0,"Thiếu số lượng; ","")&amp;IF(N($K85)&lt;=0,"Thiếu giá bán; ","")&amp;IF(AND($N85&gt;0,$F85=""),"Khách lấy VAT thiếu mã số thuế; ","")&amp;IF(N($Q85)&gt;$P85,"Đã thu vượt tổng phải thu; ","")&amp;IF(AND($L85&gt;0,$U85&lt;&gt;"",$U85&lt;0),"CẢNH BÁO: ĐƠN NÀY ĐANG LỖ; ","")))</f>
        <v/>
      </c>
    </row>
    <row r="86" customFormat="false" ht="15" hidden="false" customHeight="false" outlineLevel="0" collapsed="false">
      <c r="A86" s="21" t="str">
        <f aca="false">IF($C86="","",COUNTA($C$10:$C86))</f>
        <v/>
      </c>
      <c r="B86" s="18"/>
      <c r="C86" s="11"/>
      <c r="D86" s="11"/>
      <c r="E86" s="11"/>
      <c r="F86" s="11"/>
      <c r="G86" s="11"/>
      <c r="H86" s="11"/>
      <c r="I86" s="12"/>
      <c r="J86" s="13" t="str">
        <f aca="false">IF($H86="","",IFERROR(VLOOKUP($H86,'BẢNG GIÁ GỐC'!$A$5:$D$254,3,FALSE()),""))</f>
        <v/>
      </c>
      <c r="K86" s="12"/>
      <c r="L86" s="13" t="str">
        <f aca="false">IF($C86="","",N($I86)*N($K86))</f>
        <v/>
      </c>
      <c r="M86" s="11"/>
      <c r="N86" s="14" t="str">
        <f aca="false">IF($C86="","",IF($M86="VAT 5%",0.05,IF($M86="VAT 8%",0.08,IF($M86="VAT 10%",0.1,0))))</f>
        <v/>
      </c>
      <c r="O86" s="13" t="str">
        <f aca="false">IF($C86="","",$L86*$N86)</f>
        <v/>
      </c>
      <c r="P86" s="13" t="str">
        <f aca="false">IF($C86="","",$L86+$O86)</f>
        <v/>
      </c>
      <c r="Q86" s="12"/>
      <c r="R86" s="13" t="str">
        <f aca="false">IF($C86="","",MAX(0,$P86-N($Q86)))</f>
        <v/>
      </c>
      <c r="S86" s="23" t="str">
        <f aca="false">IF(OR($C86="",$P86=0),"",IF(N($Q86)&lt;=0,"Chưa thanh toán",IF(N($Q86)&lt;$P86,"Thanh toán một phần","Đã thanh toán")))</f>
        <v/>
      </c>
      <c r="T86" s="13" t="str">
        <f aca="false">IF(OR($C86="",$J86=""),"",N($I86)*$J86)</f>
        <v/>
      </c>
      <c r="U86" s="13" t="str">
        <f aca="false">IF(OR($C86="",$T86=""),"",$L86-$T86)</f>
        <v/>
      </c>
      <c r="V86" s="14" t="str">
        <f aca="false">IF(OR($U86="",$L86=0),"",$U86/$L86)</f>
        <v/>
      </c>
      <c r="W86" s="11"/>
      <c r="X86" s="23" t="str">
        <f aca="false">IF($C86="","",IF(AND($H86="",N($I86)=0,N($K86)=0),"Dòng chỉ lưu thông tin khách (chưa có đơn); ",IF($B86="","Thiếu ngày đặt; ","")&amp;IF($H86="","Thiếu tên sản phẩm; ",IF($J86="","Chưa khai GIÁ GỐC ở BẢNG GIÁ GỐC; ",""))&amp;IF(N($I86)&lt;=0,"Thiếu số lượng; ","")&amp;IF(N($K86)&lt;=0,"Thiếu giá bán; ","")&amp;IF(AND($N86&gt;0,$F86=""),"Khách lấy VAT thiếu mã số thuế; ","")&amp;IF(N($Q86)&gt;$P86,"Đã thu vượt tổng phải thu; ","")&amp;IF(AND($L86&gt;0,$U86&lt;&gt;"",$U86&lt;0),"CẢNH BÁO: ĐƠN NÀY ĐANG LỖ; ","")))</f>
        <v/>
      </c>
    </row>
    <row r="87" customFormat="false" ht="15" hidden="false" customHeight="false" outlineLevel="0" collapsed="false">
      <c r="A87" s="21" t="str">
        <f aca="false">IF($C87="","",COUNTA($C$10:$C87))</f>
        <v/>
      </c>
      <c r="B87" s="18"/>
      <c r="C87" s="11"/>
      <c r="D87" s="11"/>
      <c r="E87" s="11"/>
      <c r="F87" s="11"/>
      <c r="G87" s="11"/>
      <c r="H87" s="11"/>
      <c r="I87" s="12"/>
      <c r="J87" s="13" t="str">
        <f aca="false">IF($H87="","",IFERROR(VLOOKUP($H87,'BẢNG GIÁ GỐC'!$A$5:$D$254,3,FALSE()),""))</f>
        <v/>
      </c>
      <c r="K87" s="12"/>
      <c r="L87" s="13" t="str">
        <f aca="false">IF($C87="","",N($I87)*N($K87))</f>
        <v/>
      </c>
      <c r="M87" s="11"/>
      <c r="N87" s="14" t="str">
        <f aca="false">IF($C87="","",IF($M87="VAT 5%",0.05,IF($M87="VAT 8%",0.08,IF($M87="VAT 10%",0.1,0))))</f>
        <v/>
      </c>
      <c r="O87" s="13" t="str">
        <f aca="false">IF($C87="","",$L87*$N87)</f>
        <v/>
      </c>
      <c r="P87" s="13" t="str">
        <f aca="false">IF($C87="","",$L87+$O87)</f>
        <v/>
      </c>
      <c r="Q87" s="12"/>
      <c r="R87" s="13" t="str">
        <f aca="false">IF($C87="","",MAX(0,$P87-N($Q87)))</f>
        <v/>
      </c>
      <c r="S87" s="23" t="str">
        <f aca="false">IF(OR($C87="",$P87=0),"",IF(N($Q87)&lt;=0,"Chưa thanh toán",IF(N($Q87)&lt;$P87,"Thanh toán một phần","Đã thanh toán")))</f>
        <v/>
      </c>
      <c r="T87" s="13" t="str">
        <f aca="false">IF(OR($C87="",$J87=""),"",N($I87)*$J87)</f>
        <v/>
      </c>
      <c r="U87" s="13" t="str">
        <f aca="false">IF(OR($C87="",$T87=""),"",$L87-$T87)</f>
        <v/>
      </c>
      <c r="V87" s="14" t="str">
        <f aca="false">IF(OR($U87="",$L87=0),"",$U87/$L87)</f>
        <v/>
      </c>
      <c r="W87" s="11"/>
      <c r="X87" s="23" t="str">
        <f aca="false">IF($C87="","",IF(AND($H87="",N($I87)=0,N($K87)=0),"Dòng chỉ lưu thông tin khách (chưa có đơn); ",IF($B87="","Thiếu ngày đặt; ","")&amp;IF($H87="","Thiếu tên sản phẩm; ",IF($J87="","Chưa khai GIÁ GỐC ở BẢNG GIÁ GỐC; ",""))&amp;IF(N($I87)&lt;=0,"Thiếu số lượng; ","")&amp;IF(N($K87)&lt;=0,"Thiếu giá bán; ","")&amp;IF(AND($N87&gt;0,$F87=""),"Khách lấy VAT thiếu mã số thuế; ","")&amp;IF(N($Q87)&gt;$P87,"Đã thu vượt tổng phải thu; ","")&amp;IF(AND($L87&gt;0,$U87&lt;&gt;"",$U87&lt;0),"CẢNH BÁO: ĐƠN NÀY ĐANG LỖ; ","")))</f>
        <v/>
      </c>
    </row>
    <row r="88" customFormat="false" ht="15" hidden="false" customHeight="false" outlineLevel="0" collapsed="false">
      <c r="A88" s="21" t="str">
        <f aca="false">IF($C88="","",COUNTA($C$10:$C88))</f>
        <v/>
      </c>
      <c r="B88" s="18"/>
      <c r="C88" s="11"/>
      <c r="D88" s="11"/>
      <c r="E88" s="11"/>
      <c r="F88" s="11"/>
      <c r="G88" s="11"/>
      <c r="H88" s="11"/>
      <c r="I88" s="12"/>
      <c r="J88" s="13" t="str">
        <f aca="false">IF($H88="","",IFERROR(VLOOKUP($H88,'BẢNG GIÁ GỐC'!$A$5:$D$254,3,FALSE()),""))</f>
        <v/>
      </c>
      <c r="K88" s="12"/>
      <c r="L88" s="13" t="str">
        <f aca="false">IF($C88="","",N($I88)*N($K88))</f>
        <v/>
      </c>
      <c r="M88" s="11"/>
      <c r="N88" s="14" t="str">
        <f aca="false">IF($C88="","",IF($M88="VAT 5%",0.05,IF($M88="VAT 8%",0.08,IF($M88="VAT 10%",0.1,0))))</f>
        <v/>
      </c>
      <c r="O88" s="13" t="str">
        <f aca="false">IF($C88="","",$L88*$N88)</f>
        <v/>
      </c>
      <c r="P88" s="13" t="str">
        <f aca="false">IF($C88="","",$L88+$O88)</f>
        <v/>
      </c>
      <c r="Q88" s="12"/>
      <c r="R88" s="13" t="str">
        <f aca="false">IF($C88="","",MAX(0,$P88-N($Q88)))</f>
        <v/>
      </c>
      <c r="S88" s="23" t="str">
        <f aca="false">IF(OR($C88="",$P88=0),"",IF(N($Q88)&lt;=0,"Chưa thanh toán",IF(N($Q88)&lt;$P88,"Thanh toán một phần","Đã thanh toán")))</f>
        <v/>
      </c>
      <c r="T88" s="13" t="str">
        <f aca="false">IF(OR($C88="",$J88=""),"",N($I88)*$J88)</f>
        <v/>
      </c>
      <c r="U88" s="13" t="str">
        <f aca="false">IF(OR($C88="",$T88=""),"",$L88-$T88)</f>
        <v/>
      </c>
      <c r="V88" s="14" t="str">
        <f aca="false">IF(OR($U88="",$L88=0),"",$U88/$L88)</f>
        <v/>
      </c>
      <c r="W88" s="11"/>
      <c r="X88" s="23" t="str">
        <f aca="false">IF($C88="","",IF(AND($H88="",N($I88)=0,N($K88)=0),"Dòng chỉ lưu thông tin khách (chưa có đơn); ",IF($B88="","Thiếu ngày đặt; ","")&amp;IF($H88="","Thiếu tên sản phẩm; ",IF($J88="","Chưa khai GIÁ GỐC ở BẢNG GIÁ GỐC; ",""))&amp;IF(N($I88)&lt;=0,"Thiếu số lượng; ","")&amp;IF(N($K88)&lt;=0,"Thiếu giá bán; ","")&amp;IF(AND($N88&gt;0,$F88=""),"Khách lấy VAT thiếu mã số thuế; ","")&amp;IF(N($Q88)&gt;$P88,"Đã thu vượt tổng phải thu; ","")&amp;IF(AND($L88&gt;0,$U88&lt;&gt;"",$U88&lt;0),"CẢNH BÁO: ĐƠN NÀY ĐANG LỖ; ","")))</f>
        <v/>
      </c>
    </row>
    <row r="89" customFormat="false" ht="15" hidden="false" customHeight="false" outlineLevel="0" collapsed="false">
      <c r="A89" s="21" t="str">
        <f aca="false">IF($C89="","",COUNTA($C$10:$C89))</f>
        <v/>
      </c>
      <c r="B89" s="18"/>
      <c r="C89" s="11"/>
      <c r="D89" s="11"/>
      <c r="E89" s="11"/>
      <c r="F89" s="11"/>
      <c r="G89" s="11"/>
      <c r="H89" s="11"/>
      <c r="I89" s="12"/>
      <c r="J89" s="13" t="str">
        <f aca="false">IF($H89="","",IFERROR(VLOOKUP($H89,'BẢNG GIÁ GỐC'!$A$5:$D$254,3,FALSE()),""))</f>
        <v/>
      </c>
      <c r="K89" s="12"/>
      <c r="L89" s="13" t="str">
        <f aca="false">IF($C89="","",N($I89)*N($K89))</f>
        <v/>
      </c>
      <c r="M89" s="11"/>
      <c r="N89" s="14" t="str">
        <f aca="false">IF($C89="","",IF($M89="VAT 5%",0.05,IF($M89="VAT 8%",0.08,IF($M89="VAT 10%",0.1,0))))</f>
        <v/>
      </c>
      <c r="O89" s="13" t="str">
        <f aca="false">IF($C89="","",$L89*$N89)</f>
        <v/>
      </c>
      <c r="P89" s="13" t="str">
        <f aca="false">IF($C89="","",$L89+$O89)</f>
        <v/>
      </c>
      <c r="Q89" s="12"/>
      <c r="R89" s="13" t="str">
        <f aca="false">IF($C89="","",MAX(0,$P89-N($Q89)))</f>
        <v/>
      </c>
      <c r="S89" s="23" t="str">
        <f aca="false">IF(OR($C89="",$P89=0),"",IF(N($Q89)&lt;=0,"Chưa thanh toán",IF(N($Q89)&lt;$P89,"Thanh toán một phần","Đã thanh toán")))</f>
        <v/>
      </c>
      <c r="T89" s="13" t="str">
        <f aca="false">IF(OR($C89="",$J89=""),"",N($I89)*$J89)</f>
        <v/>
      </c>
      <c r="U89" s="13" t="str">
        <f aca="false">IF(OR($C89="",$T89=""),"",$L89-$T89)</f>
        <v/>
      </c>
      <c r="V89" s="14" t="str">
        <f aca="false">IF(OR($U89="",$L89=0),"",$U89/$L89)</f>
        <v/>
      </c>
      <c r="W89" s="11"/>
      <c r="X89" s="23" t="str">
        <f aca="false">IF($C89="","",IF(AND($H89="",N($I89)=0,N($K89)=0),"Dòng chỉ lưu thông tin khách (chưa có đơn); ",IF($B89="","Thiếu ngày đặt; ","")&amp;IF($H89="","Thiếu tên sản phẩm; ",IF($J89="","Chưa khai GIÁ GỐC ở BẢNG GIÁ GỐC; ",""))&amp;IF(N($I89)&lt;=0,"Thiếu số lượng; ","")&amp;IF(N($K89)&lt;=0,"Thiếu giá bán; ","")&amp;IF(AND($N89&gt;0,$F89=""),"Khách lấy VAT thiếu mã số thuế; ","")&amp;IF(N($Q89)&gt;$P89,"Đã thu vượt tổng phải thu; ","")&amp;IF(AND($L89&gt;0,$U89&lt;&gt;"",$U89&lt;0),"CẢNH BÁO: ĐƠN NÀY ĐANG LỖ; ","")))</f>
        <v/>
      </c>
    </row>
    <row r="90" customFormat="false" ht="15" hidden="false" customHeight="false" outlineLevel="0" collapsed="false">
      <c r="A90" s="21" t="str">
        <f aca="false">IF($C90="","",COUNTA($C$10:$C90))</f>
        <v/>
      </c>
      <c r="B90" s="18"/>
      <c r="C90" s="11"/>
      <c r="D90" s="11"/>
      <c r="E90" s="11"/>
      <c r="F90" s="11"/>
      <c r="G90" s="11"/>
      <c r="H90" s="11"/>
      <c r="I90" s="12"/>
      <c r="J90" s="13" t="str">
        <f aca="false">IF($H90="","",IFERROR(VLOOKUP($H90,'BẢNG GIÁ GỐC'!$A$5:$D$254,3,FALSE()),""))</f>
        <v/>
      </c>
      <c r="K90" s="12"/>
      <c r="L90" s="13" t="str">
        <f aca="false">IF($C90="","",N($I90)*N($K90))</f>
        <v/>
      </c>
      <c r="M90" s="11"/>
      <c r="N90" s="14" t="str">
        <f aca="false">IF($C90="","",IF($M90="VAT 5%",0.05,IF($M90="VAT 8%",0.08,IF($M90="VAT 10%",0.1,0))))</f>
        <v/>
      </c>
      <c r="O90" s="13" t="str">
        <f aca="false">IF($C90="","",$L90*$N90)</f>
        <v/>
      </c>
      <c r="P90" s="13" t="str">
        <f aca="false">IF($C90="","",$L90+$O90)</f>
        <v/>
      </c>
      <c r="Q90" s="12"/>
      <c r="R90" s="13" t="str">
        <f aca="false">IF($C90="","",MAX(0,$P90-N($Q90)))</f>
        <v/>
      </c>
      <c r="S90" s="23" t="str">
        <f aca="false">IF(OR($C90="",$P90=0),"",IF(N($Q90)&lt;=0,"Chưa thanh toán",IF(N($Q90)&lt;$P90,"Thanh toán một phần","Đã thanh toán")))</f>
        <v/>
      </c>
      <c r="T90" s="13" t="str">
        <f aca="false">IF(OR($C90="",$J90=""),"",N($I90)*$J90)</f>
        <v/>
      </c>
      <c r="U90" s="13" t="str">
        <f aca="false">IF(OR($C90="",$T90=""),"",$L90-$T90)</f>
        <v/>
      </c>
      <c r="V90" s="14" t="str">
        <f aca="false">IF(OR($U90="",$L90=0),"",$U90/$L90)</f>
        <v/>
      </c>
      <c r="W90" s="11"/>
      <c r="X90" s="23" t="str">
        <f aca="false">IF($C90="","",IF(AND($H90="",N($I90)=0,N($K90)=0),"Dòng chỉ lưu thông tin khách (chưa có đơn); ",IF($B90="","Thiếu ngày đặt; ","")&amp;IF($H90="","Thiếu tên sản phẩm; ",IF($J90="","Chưa khai GIÁ GỐC ở BẢNG GIÁ GỐC; ",""))&amp;IF(N($I90)&lt;=0,"Thiếu số lượng; ","")&amp;IF(N($K90)&lt;=0,"Thiếu giá bán; ","")&amp;IF(AND($N90&gt;0,$F90=""),"Khách lấy VAT thiếu mã số thuế; ","")&amp;IF(N($Q90)&gt;$P90,"Đã thu vượt tổng phải thu; ","")&amp;IF(AND($L90&gt;0,$U90&lt;&gt;"",$U90&lt;0),"CẢNH BÁO: ĐƠN NÀY ĐANG LỖ; ","")))</f>
        <v/>
      </c>
    </row>
    <row r="91" customFormat="false" ht="15" hidden="false" customHeight="false" outlineLevel="0" collapsed="false">
      <c r="A91" s="21" t="str">
        <f aca="false">IF($C91="","",COUNTA($C$10:$C91))</f>
        <v/>
      </c>
      <c r="B91" s="18"/>
      <c r="C91" s="11"/>
      <c r="D91" s="11"/>
      <c r="E91" s="11"/>
      <c r="F91" s="11"/>
      <c r="G91" s="11"/>
      <c r="H91" s="11"/>
      <c r="I91" s="12"/>
      <c r="J91" s="13" t="str">
        <f aca="false">IF($H91="","",IFERROR(VLOOKUP($H91,'BẢNG GIÁ GỐC'!$A$5:$D$254,3,FALSE()),""))</f>
        <v/>
      </c>
      <c r="K91" s="12"/>
      <c r="L91" s="13" t="str">
        <f aca="false">IF($C91="","",N($I91)*N($K91))</f>
        <v/>
      </c>
      <c r="M91" s="11"/>
      <c r="N91" s="14" t="str">
        <f aca="false">IF($C91="","",IF($M91="VAT 5%",0.05,IF($M91="VAT 8%",0.08,IF($M91="VAT 10%",0.1,0))))</f>
        <v/>
      </c>
      <c r="O91" s="13" t="str">
        <f aca="false">IF($C91="","",$L91*$N91)</f>
        <v/>
      </c>
      <c r="P91" s="13" t="str">
        <f aca="false">IF($C91="","",$L91+$O91)</f>
        <v/>
      </c>
      <c r="Q91" s="12"/>
      <c r="R91" s="13" t="str">
        <f aca="false">IF($C91="","",MAX(0,$P91-N($Q91)))</f>
        <v/>
      </c>
      <c r="S91" s="23" t="str">
        <f aca="false">IF(OR($C91="",$P91=0),"",IF(N($Q91)&lt;=0,"Chưa thanh toán",IF(N($Q91)&lt;$P91,"Thanh toán một phần","Đã thanh toán")))</f>
        <v/>
      </c>
      <c r="T91" s="13" t="str">
        <f aca="false">IF(OR($C91="",$J91=""),"",N($I91)*$J91)</f>
        <v/>
      </c>
      <c r="U91" s="13" t="str">
        <f aca="false">IF(OR($C91="",$T91=""),"",$L91-$T91)</f>
        <v/>
      </c>
      <c r="V91" s="14" t="str">
        <f aca="false">IF(OR($U91="",$L91=0),"",$U91/$L91)</f>
        <v/>
      </c>
      <c r="W91" s="11"/>
      <c r="X91" s="23" t="str">
        <f aca="false">IF($C91="","",IF(AND($H91="",N($I91)=0,N($K91)=0),"Dòng chỉ lưu thông tin khách (chưa có đơn); ",IF($B91="","Thiếu ngày đặt; ","")&amp;IF($H91="","Thiếu tên sản phẩm; ",IF($J91="","Chưa khai GIÁ GỐC ở BẢNG GIÁ GỐC; ",""))&amp;IF(N($I91)&lt;=0,"Thiếu số lượng; ","")&amp;IF(N($K91)&lt;=0,"Thiếu giá bán; ","")&amp;IF(AND($N91&gt;0,$F91=""),"Khách lấy VAT thiếu mã số thuế; ","")&amp;IF(N($Q91)&gt;$P91,"Đã thu vượt tổng phải thu; ","")&amp;IF(AND($L91&gt;0,$U91&lt;&gt;"",$U91&lt;0),"CẢNH BÁO: ĐƠN NÀY ĐANG LỖ; ","")))</f>
        <v/>
      </c>
    </row>
    <row r="92" customFormat="false" ht="15" hidden="false" customHeight="false" outlineLevel="0" collapsed="false">
      <c r="A92" s="21" t="str">
        <f aca="false">IF($C92="","",COUNTA($C$10:$C92))</f>
        <v/>
      </c>
      <c r="B92" s="18"/>
      <c r="C92" s="11"/>
      <c r="D92" s="11"/>
      <c r="E92" s="11"/>
      <c r="F92" s="11"/>
      <c r="G92" s="11"/>
      <c r="H92" s="11"/>
      <c r="I92" s="12"/>
      <c r="J92" s="13" t="str">
        <f aca="false">IF($H92="","",IFERROR(VLOOKUP($H92,'BẢNG GIÁ GỐC'!$A$5:$D$254,3,FALSE()),""))</f>
        <v/>
      </c>
      <c r="K92" s="12"/>
      <c r="L92" s="13" t="str">
        <f aca="false">IF($C92="","",N($I92)*N($K92))</f>
        <v/>
      </c>
      <c r="M92" s="11"/>
      <c r="N92" s="14" t="str">
        <f aca="false">IF($C92="","",IF($M92="VAT 5%",0.05,IF($M92="VAT 8%",0.08,IF($M92="VAT 10%",0.1,0))))</f>
        <v/>
      </c>
      <c r="O92" s="13" t="str">
        <f aca="false">IF($C92="","",$L92*$N92)</f>
        <v/>
      </c>
      <c r="P92" s="13" t="str">
        <f aca="false">IF($C92="","",$L92+$O92)</f>
        <v/>
      </c>
      <c r="Q92" s="12"/>
      <c r="R92" s="13" t="str">
        <f aca="false">IF($C92="","",MAX(0,$P92-N($Q92)))</f>
        <v/>
      </c>
      <c r="S92" s="23" t="str">
        <f aca="false">IF(OR($C92="",$P92=0),"",IF(N($Q92)&lt;=0,"Chưa thanh toán",IF(N($Q92)&lt;$P92,"Thanh toán một phần","Đã thanh toán")))</f>
        <v/>
      </c>
      <c r="T92" s="13" t="str">
        <f aca="false">IF(OR($C92="",$J92=""),"",N($I92)*$J92)</f>
        <v/>
      </c>
      <c r="U92" s="13" t="str">
        <f aca="false">IF(OR($C92="",$T92=""),"",$L92-$T92)</f>
        <v/>
      </c>
      <c r="V92" s="14" t="str">
        <f aca="false">IF(OR($U92="",$L92=0),"",$U92/$L92)</f>
        <v/>
      </c>
      <c r="W92" s="11"/>
      <c r="X92" s="23" t="str">
        <f aca="false">IF($C92="","",IF(AND($H92="",N($I92)=0,N($K92)=0),"Dòng chỉ lưu thông tin khách (chưa có đơn); ",IF($B92="","Thiếu ngày đặt; ","")&amp;IF($H92="","Thiếu tên sản phẩm; ",IF($J92="","Chưa khai GIÁ GỐC ở BẢNG GIÁ GỐC; ",""))&amp;IF(N($I92)&lt;=0,"Thiếu số lượng; ","")&amp;IF(N($K92)&lt;=0,"Thiếu giá bán; ","")&amp;IF(AND($N92&gt;0,$F92=""),"Khách lấy VAT thiếu mã số thuế; ","")&amp;IF(N($Q92)&gt;$P92,"Đã thu vượt tổng phải thu; ","")&amp;IF(AND($L92&gt;0,$U92&lt;&gt;"",$U92&lt;0),"CẢNH BÁO: ĐƠN NÀY ĐANG LỖ; ","")))</f>
        <v/>
      </c>
    </row>
    <row r="93" customFormat="false" ht="15" hidden="false" customHeight="false" outlineLevel="0" collapsed="false">
      <c r="A93" s="21" t="str">
        <f aca="false">IF($C93="","",COUNTA($C$10:$C93))</f>
        <v/>
      </c>
      <c r="B93" s="18"/>
      <c r="C93" s="11"/>
      <c r="D93" s="11"/>
      <c r="E93" s="11"/>
      <c r="F93" s="11"/>
      <c r="G93" s="11"/>
      <c r="H93" s="11"/>
      <c r="I93" s="12"/>
      <c r="J93" s="13" t="str">
        <f aca="false">IF($H93="","",IFERROR(VLOOKUP($H93,'BẢNG GIÁ GỐC'!$A$5:$D$254,3,FALSE()),""))</f>
        <v/>
      </c>
      <c r="K93" s="12"/>
      <c r="L93" s="13" t="str">
        <f aca="false">IF($C93="","",N($I93)*N($K93))</f>
        <v/>
      </c>
      <c r="M93" s="11"/>
      <c r="N93" s="14" t="str">
        <f aca="false">IF($C93="","",IF($M93="VAT 5%",0.05,IF($M93="VAT 8%",0.08,IF($M93="VAT 10%",0.1,0))))</f>
        <v/>
      </c>
      <c r="O93" s="13" t="str">
        <f aca="false">IF($C93="","",$L93*$N93)</f>
        <v/>
      </c>
      <c r="P93" s="13" t="str">
        <f aca="false">IF($C93="","",$L93+$O93)</f>
        <v/>
      </c>
      <c r="Q93" s="12"/>
      <c r="R93" s="13" t="str">
        <f aca="false">IF($C93="","",MAX(0,$P93-N($Q93)))</f>
        <v/>
      </c>
      <c r="S93" s="23" t="str">
        <f aca="false">IF(OR($C93="",$P93=0),"",IF(N($Q93)&lt;=0,"Chưa thanh toán",IF(N($Q93)&lt;$P93,"Thanh toán một phần","Đã thanh toán")))</f>
        <v/>
      </c>
      <c r="T93" s="13" t="str">
        <f aca="false">IF(OR($C93="",$J93=""),"",N($I93)*$J93)</f>
        <v/>
      </c>
      <c r="U93" s="13" t="str">
        <f aca="false">IF(OR($C93="",$T93=""),"",$L93-$T93)</f>
        <v/>
      </c>
      <c r="V93" s="14" t="str">
        <f aca="false">IF(OR($U93="",$L93=0),"",$U93/$L93)</f>
        <v/>
      </c>
      <c r="W93" s="11"/>
      <c r="X93" s="23" t="str">
        <f aca="false">IF($C93="","",IF(AND($H93="",N($I93)=0,N($K93)=0),"Dòng chỉ lưu thông tin khách (chưa có đơn); ",IF($B93="","Thiếu ngày đặt; ","")&amp;IF($H93="","Thiếu tên sản phẩm; ",IF($J93="","Chưa khai GIÁ GỐC ở BẢNG GIÁ GỐC; ",""))&amp;IF(N($I93)&lt;=0,"Thiếu số lượng; ","")&amp;IF(N($K93)&lt;=0,"Thiếu giá bán; ","")&amp;IF(AND($N93&gt;0,$F93=""),"Khách lấy VAT thiếu mã số thuế; ","")&amp;IF(N($Q93)&gt;$P93,"Đã thu vượt tổng phải thu; ","")&amp;IF(AND($L93&gt;0,$U93&lt;&gt;"",$U93&lt;0),"CẢNH BÁO: ĐƠN NÀY ĐANG LỖ; ","")))</f>
        <v/>
      </c>
    </row>
    <row r="94" customFormat="false" ht="15" hidden="false" customHeight="false" outlineLevel="0" collapsed="false">
      <c r="A94" s="21" t="str">
        <f aca="false">IF($C94="","",COUNTA($C$10:$C94))</f>
        <v/>
      </c>
      <c r="B94" s="18"/>
      <c r="C94" s="11"/>
      <c r="D94" s="11"/>
      <c r="E94" s="11"/>
      <c r="F94" s="11"/>
      <c r="G94" s="11"/>
      <c r="H94" s="11"/>
      <c r="I94" s="12"/>
      <c r="J94" s="13" t="str">
        <f aca="false">IF($H94="","",IFERROR(VLOOKUP($H94,'BẢNG GIÁ GỐC'!$A$5:$D$254,3,FALSE()),""))</f>
        <v/>
      </c>
      <c r="K94" s="12"/>
      <c r="L94" s="13" t="str">
        <f aca="false">IF($C94="","",N($I94)*N($K94))</f>
        <v/>
      </c>
      <c r="M94" s="11"/>
      <c r="N94" s="14" t="str">
        <f aca="false">IF($C94="","",IF($M94="VAT 5%",0.05,IF($M94="VAT 8%",0.08,IF($M94="VAT 10%",0.1,0))))</f>
        <v/>
      </c>
      <c r="O94" s="13" t="str">
        <f aca="false">IF($C94="","",$L94*$N94)</f>
        <v/>
      </c>
      <c r="P94" s="13" t="str">
        <f aca="false">IF($C94="","",$L94+$O94)</f>
        <v/>
      </c>
      <c r="Q94" s="12"/>
      <c r="R94" s="13" t="str">
        <f aca="false">IF($C94="","",MAX(0,$P94-N($Q94)))</f>
        <v/>
      </c>
      <c r="S94" s="23" t="str">
        <f aca="false">IF(OR($C94="",$P94=0),"",IF(N($Q94)&lt;=0,"Chưa thanh toán",IF(N($Q94)&lt;$P94,"Thanh toán một phần","Đã thanh toán")))</f>
        <v/>
      </c>
      <c r="T94" s="13" t="str">
        <f aca="false">IF(OR($C94="",$J94=""),"",N($I94)*$J94)</f>
        <v/>
      </c>
      <c r="U94" s="13" t="str">
        <f aca="false">IF(OR($C94="",$T94=""),"",$L94-$T94)</f>
        <v/>
      </c>
      <c r="V94" s="14" t="str">
        <f aca="false">IF(OR($U94="",$L94=0),"",$U94/$L94)</f>
        <v/>
      </c>
      <c r="W94" s="11"/>
      <c r="X94" s="23" t="str">
        <f aca="false">IF($C94="","",IF(AND($H94="",N($I94)=0,N($K94)=0),"Dòng chỉ lưu thông tin khách (chưa có đơn); ",IF($B94="","Thiếu ngày đặt; ","")&amp;IF($H94="","Thiếu tên sản phẩm; ",IF($J94="","Chưa khai GIÁ GỐC ở BẢNG GIÁ GỐC; ",""))&amp;IF(N($I94)&lt;=0,"Thiếu số lượng; ","")&amp;IF(N($K94)&lt;=0,"Thiếu giá bán; ","")&amp;IF(AND($N94&gt;0,$F94=""),"Khách lấy VAT thiếu mã số thuế; ","")&amp;IF(N($Q94)&gt;$P94,"Đã thu vượt tổng phải thu; ","")&amp;IF(AND($L94&gt;0,$U94&lt;&gt;"",$U94&lt;0),"CẢNH BÁO: ĐƠN NÀY ĐANG LỖ; ","")))</f>
        <v/>
      </c>
    </row>
    <row r="95" customFormat="false" ht="15" hidden="false" customHeight="false" outlineLevel="0" collapsed="false">
      <c r="A95" s="21" t="str">
        <f aca="false">IF($C95="","",COUNTA($C$10:$C95))</f>
        <v/>
      </c>
      <c r="B95" s="18"/>
      <c r="C95" s="11"/>
      <c r="D95" s="11"/>
      <c r="E95" s="11"/>
      <c r="F95" s="11"/>
      <c r="G95" s="11"/>
      <c r="H95" s="11"/>
      <c r="I95" s="12"/>
      <c r="J95" s="13" t="str">
        <f aca="false">IF($H95="","",IFERROR(VLOOKUP($H95,'BẢNG GIÁ GỐC'!$A$5:$D$254,3,FALSE()),""))</f>
        <v/>
      </c>
      <c r="K95" s="12"/>
      <c r="L95" s="13" t="str">
        <f aca="false">IF($C95="","",N($I95)*N($K95))</f>
        <v/>
      </c>
      <c r="M95" s="11"/>
      <c r="N95" s="14" t="str">
        <f aca="false">IF($C95="","",IF($M95="VAT 5%",0.05,IF($M95="VAT 8%",0.08,IF($M95="VAT 10%",0.1,0))))</f>
        <v/>
      </c>
      <c r="O95" s="13" t="str">
        <f aca="false">IF($C95="","",$L95*$N95)</f>
        <v/>
      </c>
      <c r="P95" s="13" t="str">
        <f aca="false">IF($C95="","",$L95+$O95)</f>
        <v/>
      </c>
      <c r="Q95" s="12"/>
      <c r="R95" s="13" t="str">
        <f aca="false">IF($C95="","",MAX(0,$P95-N($Q95)))</f>
        <v/>
      </c>
      <c r="S95" s="23" t="str">
        <f aca="false">IF(OR($C95="",$P95=0),"",IF(N($Q95)&lt;=0,"Chưa thanh toán",IF(N($Q95)&lt;$P95,"Thanh toán một phần","Đã thanh toán")))</f>
        <v/>
      </c>
      <c r="T95" s="13" t="str">
        <f aca="false">IF(OR($C95="",$J95=""),"",N($I95)*$J95)</f>
        <v/>
      </c>
      <c r="U95" s="13" t="str">
        <f aca="false">IF(OR($C95="",$T95=""),"",$L95-$T95)</f>
        <v/>
      </c>
      <c r="V95" s="14" t="str">
        <f aca="false">IF(OR($U95="",$L95=0),"",$U95/$L95)</f>
        <v/>
      </c>
      <c r="W95" s="11"/>
      <c r="X95" s="23" t="str">
        <f aca="false">IF($C95="","",IF(AND($H95="",N($I95)=0,N($K95)=0),"Dòng chỉ lưu thông tin khách (chưa có đơn); ",IF($B95="","Thiếu ngày đặt; ","")&amp;IF($H95="","Thiếu tên sản phẩm; ",IF($J95="","Chưa khai GIÁ GỐC ở BẢNG GIÁ GỐC; ",""))&amp;IF(N($I95)&lt;=0,"Thiếu số lượng; ","")&amp;IF(N($K95)&lt;=0,"Thiếu giá bán; ","")&amp;IF(AND($N95&gt;0,$F95=""),"Khách lấy VAT thiếu mã số thuế; ","")&amp;IF(N($Q95)&gt;$P95,"Đã thu vượt tổng phải thu; ","")&amp;IF(AND($L95&gt;0,$U95&lt;&gt;"",$U95&lt;0),"CẢNH BÁO: ĐƠN NÀY ĐANG LỖ; ","")))</f>
        <v/>
      </c>
    </row>
    <row r="96" customFormat="false" ht="15" hidden="false" customHeight="false" outlineLevel="0" collapsed="false">
      <c r="A96" s="21" t="str">
        <f aca="false">IF($C96="","",COUNTA($C$10:$C96))</f>
        <v/>
      </c>
      <c r="B96" s="18"/>
      <c r="C96" s="11"/>
      <c r="D96" s="11"/>
      <c r="E96" s="11"/>
      <c r="F96" s="11"/>
      <c r="G96" s="11"/>
      <c r="H96" s="11"/>
      <c r="I96" s="12"/>
      <c r="J96" s="13" t="str">
        <f aca="false">IF($H96="","",IFERROR(VLOOKUP($H96,'BẢNG GIÁ GỐC'!$A$5:$D$254,3,FALSE()),""))</f>
        <v/>
      </c>
      <c r="K96" s="12"/>
      <c r="L96" s="13" t="str">
        <f aca="false">IF($C96="","",N($I96)*N($K96))</f>
        <v/>
      </c>
      <c r="M96" s="11"/>
      <c r="N96" s="14" t="str">
        <f aca="false">IF($C96="","",IF($M96="VAT 5%",0.05,IF($M96="VAT 8%",0.08,IF($M96="VAT 10%",0.1,0))))</f>
        <v/>
      </c>
      <c r="O96" s="13" t="str">
        <f aca="false">IF($C96="","",$L96*$N96)</f>
        <v/>
      </c>
      <c r="P96" s="13" t="str">
        <f aca="false">IF($C96="","",$L96+$O96)</f>
        <v/>
      </c>
      <c r="Q96" s="12"/>
      <c r="R96" s="13" t="str">
        <f aca="false">IF($C96="","",MAX(0,$P96-N($Q96)))</f>
        <v/>
      </c>
      <c r="S96" s="23" t="str">
        <f aca="false">IF(OR($C96="",$P96=0),"",IF(N($Q96)&lt;=0,"Chưa thanh toán",IF(N($Q96)&lt;$P96,"Thanh toán một phần","Đã thanh toán")))</f>
        <v/>
      </c>
      <c r="T96" s="13" t="str">
        <f aca="false">IF(OR($C96="",$J96=""),"",N($I96)*$J96)</f>
        <v/>
      </c>
      <c r="U96" s="13" t="str">
        <f aca="false">IF(OR($C96="",$T96=""),"",$L96-$T96)</f>
        <v/>
      </c>
      <c r="V96" s="14" t="str">
        <f aca="false">IF(OR($U96="",$L96=0),"",$U96/$L96)</f>
        <v/>
      </c>
      <c r="W96" s="11"/>
      <c r="X96" s="23" t="str">
        <f aca="false">IF($C96="","",IF(AND($H96="",N($I96)=0,N($K96)=0),"Dòng chỉ lưu thông tin khách (chưa có đơn); ",IF($B96="","Thiếu ngày đặt; ","")&amp;IF($H96="","Thiếu tên sản phẩm; ",IF($J96="","Chưa khai GIÁ GỐC ở BẢNG GIÁ GỐC; ",""))&amp;IF(N($I96)&lt;=0,"Thiếu số lượng; ","")&amp;IF(N($K96)&lt;=0,"Thiếu giá bán; ","")&amp;IF(AND($N96&gt;0,$F96=""),"Khách lấy VAT thiếu mã số thuế; ","")&amp;IF(N($Q96)&gt;$P96,"Đã thu vượt tổng phải thu; ","")&amp;IF(AND($L96&gt;0,$U96&lt;&gt;"",$U96&lt;0),"CẢNH BÁO: ĐƠN NÀY ĐANG LỖ; ","")))</f>
        <v/>
      </c>
    </row>
    <row r="97" customFormat="false" ht="15" hidden="false" customHeight="false" outlineLevel="0" collapsed="false">
      <c r="A97" s="21" t="str">
        <f aca="false">IF($C97="","",COUNTA($C$10:$C97))</f>
        <v/>
      </c>
      <c r="B97" s="18"/>
      <c r="C97" s="11"/>
      <c r="D97" s="11"/>
      <c r="E97" s="11"/>
      <c r="F97" s="11"/>
      <c r="G97" s="11"/>
      <c r="H97" s="11"/>
      <c r="I97" s="12"/>
      <c r="J97" s="13" t="str">
        <f aca="false">IF($H97="","",IFERROR(VLOOKUP($H97,'BẢNG GIÁ GỐC'!$A$5:$D$254,3,FALSE()),""))</f>
        <v/>
      </c>
      <c r="K97" s="12"/>
      <c r="L97" s="13" t="str">
        <f aca="false">IF($C97="","",N($I97)*N($K97))</f>
        <v/>
      </c>
      <c r="M97" s="11"/>
      <c r="N97" s="14" t="str">
        <f aca="false">IF($C97="","",IF($M97="VAT 5%",0.05,IF($M97="VAT 8%",0.08,IF($M97="VAT 10%",0.1,0))))</f>
        <v/>
      </c>
      <c r="O97" s="13" t="str">
        <f aca="false">IF($C97="","",$L97*$N97)</f>
        <v/>
      </c>
      <c r="P97" s="13" t="str">
        <f aca="false">IF($C97="","",$L97+$O97)</f>
        <v/>
      </c>
      <c r="Q97" s="12"/>
      <c r="R97" s="13" t="str">
        <f aca="false">IF($C97="","",MAX(0,$P97-N($Q97)))</f>
        <v/>
      </c>
      <c r="S97" s="23" t="str">
        <f aca="false">IF(OR($C97="",$P97=0),"",IF(N($Q97)&lt;=0,"Chưa thanh toán",IF(N($Q97)&lt;$P97,"Thanh toán một phần","Đã thanh toán")))</f>
        <v/>
      </c>
      <c r="T97" s="13" t="str">
        <f aca="false">IF(OR($C97="",$J97=""),"",N($I97)*$J97)</f>
        <v/>
      </c>
      <c r="U97" s="13" t="str">
        <f aca="false">IF(OR($C97="",$T97=""),"",$L97-$T97)</f>
        <v/>
      </c>
      <c r="V97" s="14" t="str">
        <f aca="false">IF(OR($U97="",$L97=0),"",$U97/$L97)</f>
        <v/>
      </c>
      <c r="W97" s="11"/>
      <c r="X97" s="23" t="str">
        <f aca="false">IF($C97="","",IF(AND($H97="",N($I97)=0,N($K97)=0),"Dòng chỉ lưu thông tin khách (chưa có đơn); ",IF($B97="","Thiếu ngày đặt; ","")&amp;IF($H97="","Thiếu tên sản phẩm; ",IF($J97="","Chưa khai GIÁ GỐC ở BẢNG GIÁ GỐC; ",""))&amp;IF(N($I97)&lt;=0,"Thiếu số lượng; ","")&amp;IF(N($K97)&lt;=0,"Thiếu giá bán; ","")&amp;IF(AND($N97&gt;0,$F97=""),"Khách lấy VAT thiếu mã số thuế; ","")&amp;IF(N($Q97)&gt;$P97,"Đã thu vượt tổng phải thu; ","")&amp;IF(AND($L97&gt;0,$U97&lt;&gt;"",$U97&lt;0),"CẢNH BÁO: ĐƠN NÀY ĐANG LỖ; ","")))</f>
        <v/>
      </c>
    </row>
    <row r="98" customFormat="false" ht="15" hidden="false" customHeight="false" outlineLevel="0" collapsed="false">
      <c r="A98" s="21" t="str">
        <f aca="false">IF($C98="","",COUNTA($C$10:$C98))</f>
        <v/>
      </c>
      <c r="B98" s="18"/>
      <c r="C98" s="11"/>
      <c r="D98" s="11"/>
      <c r="E98" s="11"/>
      <c r="F98" s="11"/>
      <c r="G98" s="11"/>
      <c r="H98" s="11"/>
      <c r="I98" s="12"/>
      <c r="J98" s="13" t="str">
        <f aca="false">IF($H98="","",IFERROR(VLOOKUP($H98,'BẢNG GIÁ GỐC'!$A$5:$D$254,3,FALSE()),""))</f>
        <v/>
      </c>
      <c r="K98" s="12"/>
      <c r="L98" s="13" t="str">
        <f aca="false">IF($C98="","",N($I98)*N($K98))</f>
        <v/>
      </c>
      <c r="M98" s="11"/>
      <c r="N98" s="14" t="str">
        <f aca="false">IF($C98="","",IF($M98="VAT 5%",0.05,IF($M98="VAT 8%",0.08,IF($M98="VAT 10%",0.1,0))))</f>
        <v/>
      </c>
      <c r="O98" s="13" t="str">
        <f aca="false">IF($C98="","",$L98*$N98)</f>
        <v/>
      </c>
      <c r="P98" s="13" t="str">
        <f aca="false">IF($C98="","",$L98+$O98)</f>
        <v/>
      </c>
      <c r="Q98" s="12"/>
      <c r="R98" s="13" t="str">
        <f aca="false">IF($C98="","",MAX(0,$P98-N($Q98)))</f>
        <v/>
      </c>
      <c r="S98" s="23" t="str">
        <f aca="false">IF(OR($C98="",$P98=0),"",IF(N($Q98)&lt;=0,"Chưa thanh toán",IF(N($Q98)&lt;$P98,"Thanh toán một phần","Đã thanh toán")))</f>
        <v/>
      </c>
      <c r="T98" s="13" t="str">
        <f aca="false">IF(OR($C98="",$J98=""),"",N($I98)*$J98)</f>
        <v/>
      </c>
      <c r="U98" s="13" t="str">
        <f aca="false">IF(OR($C98="",$T98=""),"",$L98-$T98)</f>
        <v/>
      </c>
      <c r="V98" s="14" t="str">
        <f aca="false">IF(OR($U98="",$L98=0),"",$U98/$L98)</f>
        <v/>
      </c>
      <c r="W98" s="11"/>
      <c r="X98" s="23" t="str">
        <f aca="false">IF($C98="","",IF(AND($H98="",N($I98)=0,N($K98)=0),"Dòng chỉ lưu thông tin khách (chưa có đơn); ",IF($B98="","Thiếu ngày đặt; ","")&amp;IF($H98="","Thiếu tên sản phẩm; ",IF($J98="","Chưa khai GIÁ GỐC ở BẢNG GIÁ GỐC; ",""))&amp;IF(N($I98)&lt;=0,"Thiếu số lượng; ","")&amp;IF(N($K98)&lt;=0,"Thiếu giá bán; ","")&amp;IF(AND($N98&gt;0,$F98=""),"Khách lấy VAT thiếu mã số thuế; ","")&amp;IF(N($Q98)&gt;$P98,"Đã thu vượt tổng phải thu; ","")&amp;IF(AND($L98&gt;0,$U98&lt;&gt;"",$U98&lt;0),"CẢNH BÁO: ĐƠN NÀY ĐANG LỖ; ","")))</f>
        <v/>
      </c>
    </row>
    <row r="99" customFormat="false" ht="15" hidden="false" customHeight="false" outlineLevel="0" collapsed="false">
      <c r="A99" s="21" t="str">
        <f aca="false">IF($C99="","",COUNTA($C$10:$C99))</f>
        <v/>
      </c>
      <c r="B99" s="18"/>
      <c r="C99" s="11"/>
      <c r="D99" s="11"/>
      <c r="E99" s="11"/>
      <c r="F99" s="11"/>
      <c r="G99" s="11"/>
      <c r="H99" s="11"/>
      <c r="I99" s="12"/>
      <c r="J99" s="13" t="str">
        <f aca="false">IF($H99="","",IFERROR(VLOOKUP($H99,'BẢNG GIÁ GỐC'!$A$5:$D$254,3,FALSE()),""))</f>
        <v/>
      </c>
      <c r="K99" s="12"/>
      <c r="L99" s="13" t="str">
        <f aca="false">IF($C99="","",N($I99)*N($K99))</f>
        <v/>
      </c>
      <c r="M99" s="11"/>
      <c r="N99" s="14" t="str">
        <f aca="false">IF($C99="","",IF($M99="VAT 5%",0.05,IF($M99="VAT 8%",0.08,IF($M99="VAT 10%",0.1,0))))</f>
        <v/>
      </c>
      <c r="O99" s="13" t="str">
        <f aca="false">IF($C99="","",$L99*$N99)</f>
        <v/>
      </c>
      <c r="P99" s="13" t="str">
        <f aca="false">IF($C99="","",$L99+$O99)</f>
        <v/>
      </c>
      <c r="Q99" s="12"/>
      <c r="R99" s="13" t="str">
        <f aca="false">IF($C99="","",MAX(0,$P99-N($Q99)))</f>
        <v/>
      </c>
      <c r="S99" s="23" t="str">
        <f aca="false">IF(OR($C99="",$P99=0),"",IF(N($Q99)&lt;=0,"Chưa thanh toán",IF(N($Q99)&lt;$P99,"Thanh toán một phần","Đã thanh toán")))</f>
        <v/>
      </c>
      <c r="T99" s="13" t="str">
        <f aca="false">IF(OR($C99="",$J99=""),"",N($I99)*$J99)</f>
        <v/>
      </c>
      <c r="U99" s="13" t="str">
        <f aca="false">IF(OR($C99="",$T99=""),"",$L99-$T99)</f>
        <v/>
      </c>
      <c r="V99" s="14" t="str">
        <f aca="false">IF(OR($U99="",$L99=0),"",$U99/$L99)</f>
        <v/>
      </c>
      <c r="W99" s="11"/>
      <c r="X99" s="23" t="str">
        <f aca="false">IF($C99="","",IF(AND($H99="",N($I99)=0,N($K99)=0),"Dòng chỉ lưu thông tin khách (chưa có đơn); ",IF($B99="","Thiếu ngày đặt; ","")&amp;IF($H99="","Thiếu tên sản phẩm; ",IF($J99="","Chưa khai GIÁ GỐC ở BẢNG GIÁ GỐC; ",""))&amp;IF(N($I99)&lt;=0,"Thiếu số lượng; ","")&amp;IF(N($K99)&lt;=0,"Thiếu giá bán; ","")&amp;IF(AND($N99&gt;0,$F99=""),"Khách lấy VAT thiếu mã số thuế; ","")&amp;IF(N($Q99)&gt;$P99,"Đã thu vượt tổng phải thu; ","")&amp;IF(AND($L99&gt;0,$U99&lt;&gt;"",$U99&lt;0),"CẢNH BÁO: ĐƠN NÀY ĐANG LỖ; ","")))</f>
        <v/>
      </c>
    </row>
    <row r="100" customFormat="false" ht="15" hidden="false" customHeight="false" outlineLevel="0" collapsed="false">
      <c r="A100" s="21" t="str">
        <f aca="false">IF($C100="","",COUNTA($C$10:$C100))</f>
        <v/>
      </c>
      <c r="B100" s="18"/>
      <c r="C100" s="11"/>
      <c r="D100" s="11"/>
      <c r="E100" s="11"/>
      <c r="F100" s="11"/>
      <c r="G100" s="11"/>
      <c r="H100" s="11"/>
      <c r="I100" s="12"/>
      <c r="J100" s="13" t="str">
        <f aca="false">IF($H100="","",IFERROR(VLOOKUP($H100,'BẢNG GIÁ GỐC'!$A$5:$D$254,3,FALSE()),""))</f>
        <v/>
      </c>
      <c r="K100" s="12"/>
      <c r="L100" s="13" t="str">
        <f aca="false">IF($C100="","",N($I100)*N($K100))</f>
        <v/>
      </c>
      <c r="M100" s="11"/>
      <c r="N100" s="14" t="str">
        <f aca="false">IF($C100="","",IF($M100="VAT 5%",0.05,IF($M100="VAT 8%",0.08,IF($M100="VAT 10%",0.1,0))))</f>
        <v/>
      </c>
      <c r="O100" s="13" t="str">
        <f aca="false">IF($C100="","",$L100*$N100)</f>
        <v/>
      </c>
      <c r="P100" s="13" t="str">
        <f aca="false">IF($C100="","",$L100+$O100)</f>
        <v/>
      </c>
      <c r="Q100" s="12"/>
      <c r="R100" s="13" t="str">
        <f aca="false">IF($C100="","",MAX(0,$P100-N($Q100)))</f>
        <v/>
      </c>
      <c r="S100" s="23" t="str">
        <f aca="false">IF(OR($C100="",$P100=0),"",IF(N($Q100)&lt;=0,"Chưa thanh toán",IF(N($Q100)&lt;$P100,"Thanh toán một phần","Đã thanh toán")))</f>
        <v/>
      </c>
      <c r="T100" s="13" t="str">
        <f aca="false">IF(OR($C100="",$J100=""),"",N($I100)*$J100)</f>
        <v/>
      </c>
      <c r="U100" s="13" t="str">
        <f aca="false">IF(OR($C100="",$T100=""),"",$L100-$T100)</f>
        <v/>
      </c>
      <c r="V100" s="14" t="str">
        <f aca="false">IF(OR($U100="",$L100=0),"",$U100/$L100)</f>
        <v/>
      </c>
      <c r="W100" s="11"/>
      <c r="X100" s="23" t="str">
        <f aca="false">IF($C100="","",IF(AND($H100="",N($I100)=0,N($K100)=0),"Dòng chỉ lưu thông tin khách (chưa có đơn); ",IF($B100="","Thiếu ngày đặt; ","")&amp;IF($H100="","Thiếu tên sản phẩm; ",IF($J100="","Chưa khai GIÁ GỐC ở BẢNG GIÁ GỐC; ",""))&amp;IF(N($I100)&lt;=0,"Thiếu số lượng; ","")&amp;IF(N($K100)&lt;=0,"Thiếu giá bán; ","")&amp;IF(AND($N100&gt;0,$F100=""),"Khách lấy VAT thiếu mã số thuế; ","")&amp;IF(N($Q100)&gt;$P100,"Đã thu vượt tổng phải thu; ","")&amp;IF(AND($L100&gt;0,$U100&lt;&gt;"",$U100&lt;0),"CẢNH BÁO: ĐƠN NÀY ĐANG LỖ; ","")))</f>
        <v/>
      </c>
    </row>
    <row r="101" customFormat="false" ht="15" hidden="false" customHeight="false" outlineLevel="0" collapsed="false">
      <c r="A101" s="21" t="str">
        <f aca="false">IF($C101="","",COUNTA($C$10:$C101))</f>
        <v/>
      </c>
      <c r="B101" s="18"/>
      <c r="C101" s="11"/>
      <c r="D101" s="11"/>
      <c r="E101" s="11"/>
      <c r="F101" s="11"/>
      <c r="G101" s="11"/>
      <c r="H101" s="11"/>
      <c r="I101" s="12"/>
      <c r="J101" s="13" t="str">
        <f aca="false">IF($H101="","",IFERROR(VLOOKUP($H101,'BẢNG GIÁ GỐC'!$A$5:$D$254,3,FALSE()),""))</f>
        <v/>
      </c>
      <c r="K101" s="12"/>
      <c r="L101" s="13" t="str">
        <f aca="false">IF($C101="","",N($I101)*N($K101))</f>
        <v/>
      </c>
      <c r="M101" s="11"/>
      <c r="N101" s="14" t="str">
        <f aca="false">IF($C101="","",IF($M101="VAT 5%",0.05,IF($M101="VAT 8%",0.08,IF($M101="VAT 10%",0.1,0))))</f>
        <v/>
      </c>
      <c r="O101" s="13" t="str">
        <f aca="false">IF($C101="","",$L101*$N101)</f>
        <v/>
      </c>
      <c r="P101" s="13" t="str">
        <f aca="false">IF($C101="","",$L101+$O101)</f>
        <v/>
      </c>
      <c r="Q101" s="12"/>
      <c r="R101" s="13" t="str">
        <f aca="false">IF($C101="","",MAX(0,$P101-N($Q101)))</f>
        <v/>
      </c>
      <c r="S101" s="23" t="str">
        <f aca="false">IF(OR($C101="",$P101=0),"",IF(N($Q101)&lt;=0,"Chưa thanh toán",IF(N($Q101)&lt;$P101,"Thanh toán một phần","Đã thanh toán")))</f>
        <v/>
      </c>
      <c r="T101" s="13" t="str">
        <f aca="false">IF(OR($C101="",$J101=""),"",N($I101)*$J101)</f>
        <v/>
      </c>
      <c r="U101" s="13" t="str">
        <f aca="false">IF(OR($C101="",$T101=""),"",$L101-$T101)</f>
        <v/>
      </c>
      <c r="V101" s="14" t="str">
        <f aca="false">IF(OR($U101="",$L101=0),"",$U101/$L101)</f>
        <v/>
      </c>
      <c r="W101" s="11"/>
      <c r="X101" s="23" t="str">
        <f aca="false">IF($C101="","",IF(AND($H101="",N($I101)=0,N($K101)=0),"Dòng chỉ lưu thông tin khách (chưa có đơn); ",IF($B101="","Thiếu ngày đặt; ","")&amp;IF($H101="","Thiếu tên sản phẩm; ",IF($J101="","Chưa khai GIÁ GỐC ở BẢNG GIÁ GỐC; ",""))&amp;IF(N($I101)&lt;=0,"Thiếu số lượng; ","")&amp;IF(N($K101)&lt;=0,"Thiếu giá bán; ","")&amp;IF(AND($N101&gt;0,$F101=""),"Khách lấy VAT thiếu mã số thuế; ","")&amp;IF(N($Q101)&gt;$P101,"Đã thu vượt tổng phải thu; ","")&amp;IF(AND($L101&gt;0,$U101&lt;&gt;"",$U101&lt;0),"CẢNH BÁO: ĐƠN NÀY ĐANG LỖ; ","")))</f>
        <v/>
      </c>
    </row>
    <row r="102" customFormat="false" ht="15" hidden="false" customHeight="false" outlineLevel="0" collapsed="false">
      <c r="A102" s="21" t="str">
        <f aca="false">IF($C102="","",COUNTA($C$10:$C102))</f>
        <v/>
      </c>
      <c r="B102" s="18"/>
      <c r="C102" s="11"/>
      <c r="D102" s="11"/>
      <c r="E102" s="11"/>
      <c r="F102" s="11"/>
      <c r="G102" s="11"/>
      <c r="H102" s="11"/>
      <c r="I102" s="12"/>
      <c r="J102" s="13" t="str">
        <f aca="false">IF($H102="","",IFERROR(VLOOKUP($H102,'BẢNG GIÁ GỐC'!$A$5:$D$254,3,FALSE()),""))</f>
        <v/>
      </c>
      <c r="K102" s="12"/>
      <c r="L102" s="13" t="str">
        <f aca="false">IF($C102="","",N($I102)*N($K102))</f>
        <v/>
      </c>
      <c r="M102" s="11"/>
      <c r="N102" s="14" t="str">
        <f aca="false">IF($C102="","",IF($M102="VAT 5%",0.05,IF($M102="VAT 8%",0.08,IF($M102="VAT 10%",0.1,0))))</f>
        <v/>
      </c>
      <c r="O102" s="13" t="str">
        <f aca="false">IF($C102="","",$L102*$N102)</f>
        <v/>
      </c>
      <c r="P102" s="13" t="str">
        <f aca="false">IF($C102="","",$L102+$O102)</f>
        <v/>
      </c>
      <c r="Q102" s="12"/>
      <c r="R102" s="13" t="str">
        <f aca="false">IF($C102="","",MAX(0,$P102-N($Q102)))</f>
        <v/>
      </c>
      <c r="S102" s="23" t="str">
        <f aca="false">IF(OR($C102="",$P102=0),"",IF(N($Q102)&lt;=0,"Chưa thanh toán",IF(N($Q102)&lt;$P102,"Thanh toán một phần","Đã thanh toán")))</f>
        <v/>
      </c>
      <c r="T102" s="13" t="str">
        <f aca="false">IF(OR($C102="",$J102=""),"",N($I102)*$J102)</f>
        <v/>
      </c>
      <c r="U102" s="13" t="str">
        <f aca="false">IF(OR($C102="",$T102=""),"",$L102-$T102)</f>
        <v/>
      </c>
      <c r="V102" s="14" t="str">
        <f aca="false">IF(OR($U102="",$L102=0),"",$U102/$L102)</f>
        <v/>
      </c>
      <c r="W102" s="11"/>
      <c r="X102" s="23" t="str">
        <f aca="false">IF($C102="","",IF(AND($H102="",N($I102)=0,N($K102)=0),"Dòng chỉ lưu thông tin khách (chưa có đơn); ",IF($B102="","Thiếu ngày đặt; ","")&amp;IF($H102="","Thiếu tên sản phẩm; ",IF($J102="","Chưa khai GIÁ GỐC ở BẢNG GIÁ GỐC; ",""))&amp;IF(N($I102)&lt;=0,"Thiếu số lượng; ","")&amp;IF(N($K102)&lt;=0,"Thiếu giá bán; ","")&amp;IF(AND($N102&gt;0,$F102=""),"Khách lấy VAT thiếu mã số thuế; ","")&amp;IF(N($Q102)&gt;$P102,"Đã thu vượt tổng phải thu; ","")&amp;IF(AND($L102&gt;0,$U102&lt;&gt;"",$U102&lt;0),"CẢNH BÁO: ĐƠN NÀY ĐANG LỖ; ","")))</f>
        <v/>
      </c>
    </row>
    <row r="103" customFormat="false" ht="15" hidden="false" customHeight="false" outlineLevel="0" collapsed="false">
      <c r="A103" s="21" t="str">
        <f aca="false">IF($C103="","",COUNTA($C$10:$C103))</f>
        <v/>
      </c>
      <c r="B103" s="18"/>
      <c r="C103" s="11"/>
      <c r="D103" s="11"/>
      <c r="E103" s="11"/>
      <c r="F103" s="11"/>
      <c r="G103" s="11"/>
      <c r="H103" s="11"/>
      <c r="I103" s="12"/>
      <c r="J103" s="13" t="str">
        <f aca="false">IF($H103="","",IFERROR(VLOOKUP($H103,'BẢNG GIÁ GỐC'!$A$5:$D$254,3,FALSE()),""))</f>
        <v/>
      </c>
      <c r="K103" s="12"/>
      <c r="L103" s="13" t="str">
        <f aca="false">IF($C103="","",N($I103)*N($K103))</f>
        <v/>
      </c>
      <c r="M103" s="11"/>
      <c r="N103" s="14" t="str">
        <f aca="false">IF($C103="","",IF($M103="VAT 5%",0.05,IF($M103="VAT 8%",0.08,IF($M103="VAT 10%",0.1,0))))</f>
        <v/>
      </c>
      <c r="O103" s="13" t="str">
        <f aca="false">IF($C103="","",$L103*$N103)</f>
        <v/>
      </c>
      <c r="P103" s="13" t="str">
        <f aca="false">IF($C103="","",$L103+$O103)</f>
        <v/>
      </c>
      <c r="Q103" s="12"/>
      <c r="R103" s="13" t="str">
        <f aca="false">IF($C103="","",MAX(0,$P103-N($Q103)))</f>
        <v/>
      </c>
      <c r="S103" s="23" t="str">
        <f aca="false">IF(OR($C103="",$P103=0),"",IF(N($Q103)&lt;=0,"Chưa thanh toán",IF(N($Q103)&lt;$P103,"Thanh toán một phần","Đã thanh toán")))</f>
        <v/>
      </c>
      <c r="T103" s="13" t="str">
        <f aca="false">IF(OR($C103="",$J103=""),"",N($I103)*$J103)</f>
        <v/>
      </c>
      <c r="U103" s="13" t="str">
        <f aca="false">IF(OR($C103="",$T103=""),"",$L103-$T103)</f>
        <v/>
      </c>
      <c r="V103" s="14" t="str">
        <f aca="false">IF(OR($U103="",$L103=0),"",$U103/$L103)</f>
        <v/>
      </c>
      <c r="W103" s="11"/>
      <c r="X103" s="23" t="str">
        <f aca="false">IF($C103="","",IF(AND($H103="",N($I103)=0,N($K103)=0),"Dòng chỉ lưu thông tin khách (chưa có đơn); ",IF($B103="","Thiếu ngày đặt; ","")&amp;IF($H103="","Thiếu tên sản phẩm; ",IF($J103="","Chưa khai GIÁ GỐC ở BẢNG GIÁ GỐC; ",""))&amp;IF(N($I103)&lt;=0,"Thiếu số lượng; ","")&amp;IF(N($K103)&lt;=0,"Thiếu giá bán; ","")&amp;IF(AND($N103&gt;0,$F103=""),"Khách lấy VAT thiếu mã số thuế; ","")&amp;IF(N($Q103)&gt;$P103,"Đã thu vượt tổng phải thu; ","")&amp;IF(AND($L103&gt;0,$U103&lt;&gt;"",$U103&lt;0),"CẢNH BÁO: ĐƠN NÀY ĐANG LỖ; ","")))</f>
        <v/>
      </c>
    </row>
    <row r="104" customFormat="false" ht="15" hidden="false" customHeight="false" outlineLevel="0" collapsed="false">
      <c r="A104" s="21" t="str">
        <f aca="false">IF($C104="","",COUNTA($C$10:$C104))</f>
        <v/>
      </c>
      <c r="B104" s="18"/>
      <c r="C104" s="11"/>
      <c r="D104" s="11"/>
      <c r="E104" s="11"/>
      <c r="F104" s="11"/>
      <c r="G104" s="11"/>
      <c r="H104" s="11"/>
      <c r="I104" s="12"/>
      <c r="J104" s="13" t="str">
        <f aca="false">IF($H104="","",IFERROR(VLOOKUP($H104,'BẢNG GIÁ GỐC'!$A$5:$D$254,3,FALSE()),""))</f>
        <v/>
      </c>
      <c r="K104" s="12"/>
      <c r="L104" s="13" t="str">
        <f aca="false">IF($C104="","",N($I104)*N($K104))</f>
        <v/>
      </c>
      <c r="M104" s="11"/>
      <c r="N104" s="14" t="str">
        <f aca="false">IF($C104="","",IF($M104="VAT 5%",0.05,IF($M104="VAT 8%",0.08,IF($M104="VAT 10%",0.1,0))))</f>
        <v/>
      </c>
      <c r="O104" s="13" t="str">
        <f aca="false">IF($C104="","",$L104*$N104)</f>
        <v/>
      </c>
      <c r="P104" s="13" t="str">
        <f aca="false">IF($C104="","",$L104+$O104)</f>
        <v/>
      </c>
      <c r="Q104" s="12"/>
      <c r="R104" s="13" t="str">
        <f aca="false">IF($C104="","",MAX(0,$P104-N($Q104)))</f>
        <v/>
      </c>
      <c r="S104" s="23" t="str">
        <f aca="false">IF(OR($C104="",$P104=0),"",IF(N($Q104)&lt;=0,"Chưa thanh toán",IF(N($Q104)&lt;$P104,"Thanh toán một phần","Đã thanh toán")))</f>
        <v/>
      </c>
      <c r="T104" s="13" t="str">
        <f aca="false">IF(OR($C104="",$J104=""),"",N($I104)*$J104)</f>
        <v/>
      </c>
      <c r="U104" s="13" t="str">
        <f aca="false">IF(OR($C104="",$T104=""),"",$L104-$T104)</f>
        <v/>
      </c>
      <c r="V104" s="14" t="str">
        <f aca="false">IF(OR($U104="",$L104=0),"",$U104/$L104)</f>
        <v/>
      </c>
      <c r="W104" s="11"/>
      <c r="X104" s="23" t="str">
        <f aca="false">IF($C104="","",IF(AND($H104="",N($I104)=0,N($K104)=0),"Dòng chỉ lưu thông tin khách (chưa có đơn); ",IF($B104="","Thiếu ngày đặt; ","")&amp;IF($H104="","Thiếu tên sản phẩm; ",IF($J104="","Chưa khai GIÁ GỐC ở BẢNG GIÁ GỐC; ",""))&amp;IF(N($I104)&lt;=0,"Thiếu số lượng; ","")&amp;IF(N($K104)&lt;=0,"Thiếu giá bán; ","")&amp;IF(AND($N104&gt;0,$F104=""),"Khách lấy VAT thiếu mã số thuế; ","")&amp;IF(N($Q104)&gt;$P104,"Đã thu vượt tổng phải thu; ","")&amp;IF(AND($L104&gt;0,$U104&lt;&gt;"",$U104&lt;0),"CẢNH BÁO: ĐƠN NÀY ĐANG LỖ; ","")))</f>
        <v/>
      </c>
    </row>
    <row r="105" customFormat="false" ht="15" hidden="false" customHeight="false" outlineLevel="0" collapsed="false">
      <c r="A105" s="21" t="str">
        <f aca="false">IF($C105="","",COUNTA($C$10:$C105))</f>
        <v/>
      </c>
      <c r="B105" s="18"/>
      <c r="C105" s="11"/>
      <c r="D105" s="11"/>
      <c r="E105" s="11"/>
      <c r="F105" s="11"/>
      <c r="G105" s="11"/>
      <c r="H105" s="11"/>
      <c r="I105" s="12"/>
      <c r="J105" s="13" t="str">
        <f aca="false">IF($H105="","",IFERROR(VLOOKUP($H105,'BẢNG GIÁ GỐC'!$A$5:$D$254,3,FALSE()),""))</f>
        <v/>
      </c>
      <c r="K105" s="12"/>
      <c r="L105" s="13" t="str">
        <f aca="false">IF($C105="","",N($I105)*N($K105))</f>
        <v/>
      </c>
      <c r="M105" s="11"/>
      <c r="N105" s="14" t="str">
        <f aca="false">IF($C105="","",IF($M105="VAT 5%",0.05,IF($M105="VAT 8%",0.08,IF($M105="VAT 10%",0.1,0))))</f>
        <v/>
      </c>
      <c r="O105" s="13" t="str">
        <f aca="false">IF($C105="","",$L105*$N105)</f>
        <v/>
      </c>
      <c r="P105" s="13" t="str">
        <f aca="false">IF($C105="","",$L105+$O105)</f>
        <v/>
      </c>
      <c r="Q105" s="12"/>
      <c r="R105" s="13" t="str">
        <f aca="false">IF($C105="","",MAX(0,$P105-N($Q105)))</f>
        <v/>
      </c>
      <c r="S105" s="23" t="str">
        <f aca="false">IF(OR($C105="",$P105=0),"",IF(N($Q105)&lt;=0,"Chưa thanh toán",IF(N($Q105)&lt;$P105,"Thanh toán một phần","Đã thanh toán")))</f>
        <v/>
      </c>
      <c r="T105" s="13" t="str">
        <f aca="false">IF(OR($C105="",$J105=""),"",N($I105)*$J105)</f>
        <v/>
      </c>
      <c r="U105" s="13" t="str">
        <f aca="false">IF(OR($C105="",$T105=""),"",$L105-$T105)</f>
        <v/>
      </c>
      <c r="V105" s="14" t="str">
        <f aca="false">IF(OR($U105="",$L105=0),"",$U105/$L105)</f>
        <v/>
      </c>
      <c r="W105" s="11"/>
      <c r="X105" s="23" t="str">
        <f aca="false">IF($C105="","",IF(AND($H105="",N($I105)=0,N($K105)=0),"Dòng chỉ lưu thông tin khách (chưa có đơn); ",IF($B105="","Thiếu ngày đặt; ","")&amp;IF($H105="","Thiếu tên sản phẩm; ",IF($J105="","Chưa khai GIÁ GỐC ở BẢNG GIÁ GỐC; ",""))&amp;IF(N($I105)&lt;=0,"Thiếu số lượng; ","")&amp;IF(N($K105)&lt;=0,"Thiếu giá bán; ","")&amp;IF(AND($N105&gt;0,$F105=""),"Khách lấy VAT thiếu mã số thuế; ","")&amp;IF(N($Q105)&gt;$P105,"Đã thu vượt tổng phải thu; ","")&amp;IF(AND($L105&gt;0,$U105&lt;&gt;"",$U105&lt;0),"CẢNH BÁO: ĐƠN NÀY ĐANG LỖ; ","")))</f>
        <v/>
      </c>
    </row>
    <row r="106" customFormat="false" ht="15" hidden="false" customHeight="false" outlineLevel="0" collapsed="false">
      <c r="A106" s="21" t="str">
        <f aca="false">IF($C106="","",COUNTA($C$10:$C106))</f>
        <v/>
      </c>
      <c r="B106" s="18"/>
      <c r="C106" s="11"/>
      <c r="D106" s="11"/>
      <c r="E106" s="11"/>
      <c r="F106" s="11"/>
      <c r="G106" s="11"/>
      <c r="H106" s="11"/>
      <c r="I106" s="12"/>
      <c r="J106" s="13" t="str">
        <f aca="false">IF($H106="","",IFERROR(VLOOKUP($H106,'BẢNG GIÁ GỐC'!$A$5:$D$254,3,FALSE()),""))</f>
        <v/>
      </c>
      <c r="K106" s="12"/>
      <c r="L106" s="13" t="str">
        <f aca="false">IF($C106="","",N($I106)*N($K106))</f>
        <v/>
      </c>
      <c r="M106" s="11"/>
      <c r="N106" s="14" t="str">
        <f aca="false">IF($C106="","",IF($M106="VAT 5%",0.05,IF($M106="VAT 8%",0.08,IF($M106="VAT 10%",0.1,0))))</f>
        <v/>
      </c>
      <c r="O106" s="13" t="str">
        <f aca="false">IF($C106="","",$L106*$N106)</f>
        <v/>
      </c>
      <c r="P106" s="13" t="str">
        <f aca="false">IF($C106="","",$L106+$O106)</f>
        <v/>
      </c>
      <c r="Q106" s="12"/>
      <c r="R106" s="13" t="str">
        <f aca="false">IF($C106="","",MAX(0,$P106-N($Q106)))</f>
        <v/>
      </c>
      <c r="S106" s="23" t="str">
        <f aca="false">IF(OR($C106="",$P106=0),"",IF(N($Q106)&lt;=0,"Chưa thanh toán",IF(N($Q106)&lt;$P106,"Thanh toán một phần","Đã thanh toán")))</f>
        <v/>
      </c>
      <c r="T106" s="13" t="str">
        <f aca="false">IF(OR($C106="",$J106=""),"",N($I106)*$J106)</f>
        <v/>
      </c>
      <c r="U106" s="13" t="str">
        <f aca="false">IF(OR($C106="",$T106=""),"",$L106-$T106)</f>
        <v/>
      </c>
      <c r="V106" s="14" t="str">
        <f aca="false">IF(OR($U106="",$L106=0),"",$U106/$L106)</f>
        <v/>
      </c>
      <c r="W106" s="11"/>
      <c r="X106" s="23" t="str">
        <f aca="false">IF($C106="","",IF(AND($H106="",N($I106)=0,N($K106)=0),"Dòng chỉ lưu thông tin khách (chưa có đơn); ",IF($B106="","Thiếu ngày đặt; ","")&amp;IF($H106="","Thiếu tên sản phẩm; ",IF($J106="","Chưa khai GIÁ GỐC ở BẢNG GIÁ GỐC; ",""))&amp;IF(N($I106)&lt;=0,"Thiếu số lượng; ","")&amp;IF(N($K106)&lt;=0,"Thiếu giá bán; ","")&amp;IF(AND($N106&gt;0,$F106=""),"Khách lấy VAT thiếu mã số thuế; ","")&amp;IF(N($Q106)&gt;$P106,"Đã thu vượt tổng phải thu; ","")&amp;IF(AND($L106&gt;0,$U106&lt;&gt;"",$U106&lt;0),"CẢNH BÁO: ĐƠN NÀY ĐANG LỖ; ","")))</f>
        <v/>
      </c>
    </row>
    <row r="107" customFormat="false" ht="15" hidden="false" customHeight="false" outlineLevel="0" collapsed="false">
      <c r="A107" s="21" t="str">
        <f aca="false">IF($C107="","",COUNTA($C$10:$C107))</f>
        <v/>
      </c>
      <c r="B107" s="18"/>
      <c r="C107" s="11"/>
      <c r="D107" s="11"/>
      <c r="E107" s="11"/>
      <c r="F107" s="11"/>
      <c r="G107" s="11"/>
      <c r="H107" s="11"/>
      <c r="I107" s="12"/>
      <c r="J107" s="13" t="str">
        <f aca="false">IF($H107="","",IFERROR(VLOOKUP($H107,'BẢNG GIÁ GỐC'!$A$5:$D$254,3,FALSE()),""))</f>
        <v/>
      </c>
      <c r="K107" s="12"/>
      <c r="L107" s="13" t="str">
        <f aca="false">IF($C107="","",N($I107)*N($K107))</f>
        <v/>
      </c>
      <c r="M107" s="11"/>
      <c r="N107" s="14" t="str">
        <f aca="false">IF($C107="","",IF($M107="VAT 5%",0.05,IF($M107="VAT 8%",0.08,IF($M107="VAT 10%",0.1,0))))</f>
        <v/>
      </c>
      <c r="O107" s="13" t="str">
        <f aca="false">IF($C107="","",$L107*$N107)</f>
        <v/>
      </c>
      <c r="P107" s="13" t="str">
        <f aca="false">IF($C107="","",$L107+$O107)</f>
        <v/>
      </c>
      <c r="Q107" s="12"/>
      <c r="R107" s="13" t="str">
        <f aca="false">IF($C107="","",MAX(0,$P107-N($Q107)))</f>
        <v/>
      </c>
      <c r="S107" s="23" t="str">
        <f aca="false">IF(OR($C107="",$P107=0),"",IF(N($Q107)&lt;=0,"Chưa thanh toán",IF(N($Q107)&lt;$P107,"Thanh toán một phần","Đã thanh toán")))</f>
        <v/>
      </c>
      <c r="T107" s="13" t="str">
        <f aca="false">IF(OR($C107="",$J107=""),"",N($I107)*$J107)</f>
        <v/>
      </c>
      <c r="U107" s="13" t="str">
        <f aca="false">IF(OR($C107="",$T107=""),"",$L107-$T107)</f>
        <v/>
      </c>
      <c r="V107" s="14" t="str">
        <f aca="false">IF(OR($U107="",$L107=0),"",$U107/$L107)</f>
        <v/>
      </c>
      <c r="W107" s="11"/>
      <c r="X107" s="23" t="str">
        <f aca="false">IF($C107="","",IF(AND($H107="",N($I107)=0,N($K107)=0),"Dòng chỉ lưu thông tin khách (chưa có đơn); ",IF($B107="","Thiếu ngày đặt; ","")&amp;IF($H107="","Thiếu tên sản phẩm; ",IF($J107="","Chưa khai GIÁ GỐC ở BẢNG GIÁ GỐC; ",""))&amp;IF(N($I107)&lt;=0,"Thiếu số lượng; ","")&amp;IF(N($K107)&lt;=0,"Thiếu giá bán; ","")&amp;IF(AND($N107&gt;0,$F107=""),"Khách lấy VAT thiếu mã số thuế; ","")&amp;IF(N($Q107)&gt;$P107,"Đã thu vượt tổng phải thu; ","")&amp;IF(AND($L107&gt;0,$U107&lt;&gt;"",$U107&lt;0),"CẢNH BÁO: ĐƠN NÀY ĐANG LỖ; ","")))</f>
        <v/>
      </c>
    </row>
    <row r="108" customFormat="false" ht="15" hidden="false" customHeight="false" outlineLevel="0" collapsed="false">
      <c r="A108" s="21" t="str">
        <f aca="false">IF($C108="","",COUNTA($C$10:$C108))</f>
        <v/>
      </c>
      <c r="B108" s="18"/>
      <c r="C108" s="11"/>
      <c r="D108" s="11"/>
      <c r="E108" s="11"/>
      <c r="F108" s="11"/>
      <c r="G108" s="11"/>
      <c r="H108" s="11"/>
      <c r="I108" s="12"/>
      <c r="J108" s="13" t="str">
        <f aca="false">IF($H108="","",IFERROR(VLOOKUP($H108,'BẢNG GIÁ GỐC'!$A$5:$D$254,3,FALSE()),""))</f>
        <v/>
      </c>
      <c r="K108" s="12"/>
      <c r="L108" s="13" t="str">
        <f aca="false">IF($C108="","",N($I108)*N($K108))</f>
        <v/>
      </c>
      <c r="M108" s="11"/>
      <c r="N108" s="14" t="str">
        <f aca="false">IF($C108="","",IF($M108="VAT 5%",0.05,IF($M108="VAT 8%",0.08,IF($M108="VAT 10%",0.1,0))))</f>
        <v/>
      </c>
      <c r="O108" s="13" t="str">
        <f aca="false">IF($C108="","",$L108*$N108)</f>
        <v/>
      </c>
      <c r="P108" s="13" t="str">
        <f aca="false">IF($C108="","",$L108+$O108)</f>
        <v/>
      </c>
      <c r="Q108" s="12"/>
      <c r="R108" s="13" t="str">
        <f aca="false">IF($C108="","",MAX(0,$P108-N($Q108)))</f>
        <v/>
      </c>
      <c r="S108" s="23" t="str">
        <f aca="false">IF(OR($C108="",$P108=0),"",IF(N($Q108)&lt;=0,"Chưa thanh toán",IF(N($Q108)&lt;$P108,"Thanh toán một phần","Đã thanh toán")))</f>
        <v/>
      </c>
      <c r="T108" s="13" t="str">
        <f aca="false">IF(OR($C108="",$J108=""),"",N($I108)*$J108)</f>
        <v/>
      </c>
      <c r="U108" s="13" t="str">
        <f aca="false">IF(OR($C108="",$T108=""),"",$L108-$T108)</f>
        <v/>
      </c>
      <c r="V108" s="14" t="str">
        <f aca="false">IF(OR($U108="",$L108=0),"",$U108/$L108)</f>
        <v/>
      </c>
      <c r="W108" s="11"/>
      <c r="X108" s="23" t="str">
        <f aca="false">IF($C108="","",IF(AND($H108="",N($I108)=0,N($K108)=0),"Dòng chỉ lưu thông tin khách (chưa có đơn); ",IF($B108="","Thiếu ngày đặt; ","")&amp;IF($H108="","Thiếu tên sản phẩm; ",IF($J108="","Chưa khai GIÁ GỐC ở BẢNG GIÁ GỐC; ",""))&amp;IF(N($I108)&lt;=0,"Thiếu số lượng; ","")&amp;IF(N($K108)&lt;=0,"Thiếu giá bán; ","")&amp;IF(AND($N108&gt;0,$F108=""),"Khách lấy VAT thiếu mã số thuế; ","")&amp;IF(N($Q108)&gt;$P108,"Đã thu vượt tổng phải thu; ","")&amp;IF(AND($L108&gt;0,$U108&lt;&gt;"",$U108&lt;0),"CẢNH BÁO: ĐƠN NÀY ĐANG LỖ; ","")))</f>
        <v/>
      </c>
    </row>
    <row r="109" customFormat="false" ht="15" hidden="false" customHeight="false" outlineLevel="0" collapsed="false">
      <c r="A109" s="21" t="str">
        <f aca="false">IF($C109="","",COUNTA($C$10:$C109))</f>
        <v/>
      </c>
      <c r="B109" s="18"/>
      <c r="C109" s="11"/>
      <c r="D109" s="11"/>
      <c r="E109" s="11"/>
      <c r="F109" s="11"/>
      <c r="G109" s="11"/>
      <c r="H109" s="11"/>
      <c r="I109" s="12"/>
      <c r="J109" s="13" t="str">
        <f aca="false">IF($H109="","",IFERROR(VLOOKUP($H109,'BẢNG GIÁ GỐC'!$A$5:$D$254,3,FALSE()),""))</f>
        <v/>
      </c>
      <c r="K109" s="12"/>
      <c r="L109" s="13" t="str">
        <f aca="false">IF($C109="","",N($I109)*N($K109))</f>
        <v/>
      </c>
      <c r="M109" s="11"/>
      <c r="N109" s="14" t="str">
        <f aca="false">IF($C109="","",IF($M109="VAT 5%",0.05,IF($M109="VAT 8%",0.08,IF($M109="VAT 10%",0.1,0))))</f>
        <v/>
      </c>
      <c r="O109" s="13" t="str">
        <f aca="false">IF($C109="","",$L109*$N109)</f>
        <v/>
      </c>
      <c r="P109" s="13" t="str">
        <f aca="false">IF($C109="","",$L109+$O109)</f>
        <v/>
      </c>
      <c r="Q109" s="12"/>
      <c r="R109" s="13" t="str">
        <f aca="false">IF($C109="","",MAX(0,$P109-N($Q109)))</f>
        <v/>
      </c>
      <c r="S109" s="23" t="str">
        <f aca="false">IF(OR($C109="",$P109=0),"",IF(N($Q109)&lt;=0,"Chưa thanh toán",IF(N($Q109)&lt;$P109,"Thanh toán một phần","Đã thanh toán")))</f>
        <v/>
      </c>
      <c r="T109" s="13" t="str">
        <f aca="false">IF(OR($C109="",$J109=""),"",N($I109)*$J109)</f>
        <v/>
      </c>
      <c r="U109" s="13" t="str">
        <f aca="false">IF(OR($C109="",$T109=""),"",$L109-$T109)</f>
        <v/>
      </c>
      <c r="V109" s="14" t="str">
        <f aca="false">IF(OR($U109="",$L109=0),"",$U109/$L109)</f>
        <v/>
      </c>
      <c r="W109" s="11"/>
      <c r="X109" s="23" t="str">
        <f aca="false">IF($C109="","",IF(AND($H109="",N($I109)=0,N($K109)=0),"Dòng chỉ lưu thông tin khách (chưa có đơn); ",IF($B109="","Thiếu ngày đặt; ","")&amp;IF($H109="","Thiếu tên sản phẩm; ",IF($J109="","Chưa khai GIÁ GỐC ở BẢNG GIÁ GỐC; ",""))&amp;IF(N($I109)&lt;=0,"Thiếu số lượng; ","")&amp;IF(N($K109)&lt;=0,"Thiếu giá bán; ","")&amp;IF(AND($N109&gt;0,$F109=""),"Khách lấy VAT thiếu mã số thuế; ","")&amp;IF(N($Q109)&gt;$P109,"Đã thu vượt tổng phải thu; ","")&amp;IF(AND($L109&gt;0,$U109&lt;&gt;"",$U109&lt;0),"CẢNH BÁO: ĐƠN NÀY ĐANG LỖ; ","")))</f>
        <v/>
      </c>
    </row>
    <row r="110" customFormat="false" ht="15" hidden="false" customHeight="false" outlineLevel="0" collapsed="false">
      <c r="A110" s="21" t="str">
        <f aca="false">IF($C110="","",COUNTA($C$10:$C110))</f>
        <v/>
      </c>
      <c r="B110" s="18"/>
      <c r="C110" s="11"/>
      <c r="D110" s="11"/>
      <c r="E110" s="11"/>
      <c r="F110" s="11"/>
      <c r="G110" s="11"/>
      <c r="H110" s="11"/>
      <c r="I110" s="12"/>
      <c r="J110" s="13" t="str">
        <f aca="false">IF($H110="","",IFERROR(VLOOKUP($H110,'BẢNG GIÁ GỐC'!$A$5:$D$254,3,FALSE()),""))</f>
        <v/>
      </c>
      <c r="K110" s="12"/>
      <c r="L110" s="13" t="str">
        <f aca="false">IF($C110="","",N($I110)*N($K110))</f>
        <v/>
      </c>
      <c r="M110" s="11"/>
      <c r="N110" s="14" t="str">
        <f aca="false">IF($C110="","",IF($M110="VAT 5%",0.05,IF($M110="VAT 8%",0.08,IF($M110="VAT 10%",0.1,0))))</f>
        <v/>
      </c>
      <c r="O110" s="13" t="str">
        <f aca="false">IF($C110="","",$L110*$N110)</f>
        <v/>
      </c>
      <c r="P110" s="13" t="str">
        <f aca="false">IF($C110="","",$L110+$O110)</f>
        <v/>
      </c>
      <c r="Q110" s="12"/>
      <c r="R110" s="13" t="str">
        <f aca="false">IF($C110="","",MAX(0,$P110-N($Q110)))</f>
        <v/>
      </c>
      <c r="S110" s="23" t="str">
        <f aca="false">IF(OR($C110="",$P110=0),"",IF(N($Q110)&lt;=0,"Chưa thanh toán",IF(N($Q110)&lt;$P110,"Thanh toán một phần","Đã thanh toán")))</f>
        <v/>
      </c>
      <c r="T110" s="13" t="str">
        <f aca="false">IF(OR($C110="",$J110=""),"",N($I110)*$J110)</f>
        <v/>
      </c>
      <c r="U110" s="13" t="str">
        <f aca="false">IF(OR($C110="",$T110=""),"",$L110-$T110)</f>
        <v/>
      </c>
      <c r="V110" s="14" t="str">
        <f aca="false">IF(OR($U110="",$L110=0),"",$U110/$L110)</f>
        <v/>
      </c>
      <c r="W110" s="11"/>
      <c r="X110" s="23" t="str">
        <f aca="false">IF($C110="","",IF(AND($H110="",N($I110)=0,N($K110)=0),"Dòng chỉ lưu thông tin khách (chưa có đơn); ",IF($B110="","Thiếu ngày đặt; ","")&amp;IF($H110="","Thiếu tên sản phẩm; ",IF($J110="","Chưa khai GIÁ GỐC ở BẢNG GIÁ GỐC; ",""))&amp;IF(N($I110)&lt;=0,"Thiếu số lượng; ","")&amp;IF(N($K110)&lt;=0,"Thiếu giá bán; ","")&amp;IF(AND($N110&gt;0,$F110=""),"Khách lấy VAT thiếu mã số thuế; ","")&amp;IF(N($Q110)&gt;$P110,"Đã thu vượt tổng phải thu; ","")&amp;IF(AND($L110&gt;0,$U110&lt;&gt;"",$U110&lt;0),"CẢNH BÁO: ĐƠN NÀY ĐANG LỖ; ","")))</f>
        <v/>
      </c>
    </row>
    <row r="111" customFormat="false" ht="15" hidden="false" customHeight="false" outlineLevel="0" collapsed="false">
      <c r="A111" s="21" t="str">
        <f aca="false">IF($C111="","",COUNTA($C$10:$C111))</f>
        <v/>
      </c>
      <c r="B111" s="18"/>
      <c r="C111" s="11"/>
      <c r="D111" s="11"/>
      <c r="E111" s="11"/>
      <c r="F111" s="11"/>
      <c r="G111" s="11"/>
      <c r="H111" s="11"/>
      <c r="I111" s="12"/>
      <c r="J111" s="13" t="str">
        <f aca="false">IF($H111="","",IFERROR(VLOOKUP($H111,'BẢNG GIÁ GỐC'!$A$5:$D$254,3,FALSE()),""))</f>
        <v/>
      </c>
      <c r="K111" s="12"/>
      <c r="L111" s="13" t="str">
        <f aca="false">IF($C111="","",N($I111)*N($K111))</f>
        <v/>
      </c>
      <c r="M111" s="11"/>
      <c r="N111" s="14" t="str">
        <f aca="false">IF($C111="","",IF($M111="VAT 5%",0.05,IF($M111="VAT 8%",0.08,IF($M111="VAT 10%",0.1,0))))</f>
        <v/>
      </c>
      <c r="O111" s="13" t="str">
        <f aca="false">IF($C111="","",$L111*$N111)</f>
        <v/>
      </c>
      <c r="P111" s="13" t="str">
        <f aca="false">IF($C111="","",$L111+$O111)</f>
        <v/>
      </c>
      <c r="Q111" s="12"/>
      <c r="R111" s="13" t="str">
        <f aca="false">IF($C111="","",MAX(0,$P111-N($Q111)))</f>
        <v/>
      </c>
      <c r="S111" s="23" t="str">
        <f aca="false">IF(OR($C111="",$P111=0),"",IF(N($Q111)&lt;=0,"Chưa thanh toán",IF(N($Q111)&lt;$P111,"Thanh toán một phần","Đã thanh toán")))</f>
        <v/>
      </c>
      <c r="T111" s="13" t="str">
        <f aca="false">IF(OR($C111="",$J111=""),"",N($I111)*$J111)</f>
        <v/>
      </c>
      <c r="U111" s="13" t="str">
        <f aca="false">IF(OR($C111="",$T111=""),"",$L111-$T111)</f>
        <v/>
      </c>
      <c r="V111" s="14" t="str">
        <f aca="false">IF(OR($U111="",$L111=0),"",$U111/$L111)</f>
        <v/>
      </c>
      <c r="W111" s="11"/>
      <c r="X111" s="23" t="str">
        <f aca="false">IF($C111="","",IF(AND($H111="",N($I111)=0,N($K111)=0),"Dòng chỉ lưu thông tin khách (chưa có đơn); ",IF($B111="","Thiếu ngày đặt; ","")&amp;IF($H111="","Thiếu tên sản phẩm; ",IF($J111="","Chưa khai GIÁ GỐC ở BẢNG GIÁ GỐC; ",""))&amp;IF(N($I111)&lt;=0,"Thiếu số lượng; ","")&amp;IF(N($K111)&lt;=0,"Thiếu giá bán; ","")&amp;IF(AND($N111&gt;0,$F111=""),"Khách lấy VAT thiếu mã số thuế; ","")&amp;IF(N($Q111)&gt;$P111,"Đã thu vượt tổng phải thu; ","")&amp;IF(AND($L111&gt;0,$U111&lt;&gt;"",$U111&lt;0),"CẢNH BÁO: ĐƠN NÀY ĐANG LỖ; ","")))</f>
        <v/>
      </c>
    </row>
    <row r="112" customFormat="false" ht="15" hidden="false" customHeight="false" outlineLevel="0" collapsed="false">
      <c r="A112" s="21" t="str">
        <f aca="false">IF($C112="","",COUNTA($C$10:$C112))</f>
        <v/>
      </c>
      <c r="B112" s="18"/>
      <c r="C112" s="11"/>
      <c r="D112" s="11"/>
      <c r="E112" s="11"/>
      <c r="F112" s="11"/>
      <c r="G112" s="11"/>
      <c r="H112" s="11"/>
      <c r="I112" s="12"/>
      <c r="J112" s="13" t="str">
        <f aca="false">IF($H112="","",IFERROR(VLOOKUP($H112,'BẢNG GIÁ GỐC'!$A$5:$D$254,3,FALSE()),""))</f>
        <v/>
      </c>
      <c r="K112" s="12"/>
      <c r="L112" s="13" t="str">
        <f aca="false">IF($C112="","",N($I112)*N($K112))</f>
        <v/>
      </c>
      <c r="M112" s="11"/>
      <c r="N112" s="14" t="str">
        <f aca="false">IF($C112="","",IF($M112="VAT 5%",0.05,IF($M112="VAT 8%",0.08,IF($M112="VAT 10%",0.1,0))))</f>
        <v/>
      </c>
      <c r="O112" s="13" t="str">
        <f aca="false">IF($C112="","",$L112*$N112)</f>
        <v/>
      </c>
      <c r="P112" s="13" t="str">
        <f aca="false">IF($C112="","",$L112+$O112)</f>
        <v/>
      </c>
      <c r="Q112" s="12"/>
      <c r="R112" s="13" t="str">
        <f aca="false">IF($C112="","",MAX(0,$P112-N($Q112)))</f>
        <v/>
      </c>
      <c r="S112" s="23" t="str">
        <f aca="false">IF(OR($C112="",$P112=0),"",IF(N($Q112)&lt;=0,"Chưa thanh toán",IF(N($Q112)&lt;$P112,"Thanh toán một phần","Đã thanh toán")))</f>
        <v/>
      </c>
      <c r="T112" s="13" t="str">
        <f aca="false">IF(OR($C112="",$J112=""),"",N($I112)*$J112)</f>
        <v/>
      </c>
      <c r="U112" s="13" t="str">
        <f aca="false">IF(OR($C112="",$T112=""),"",$L112-$T112)</f>
        <v/>
      </c>
      <c r="V112" s="14" t="str">
        <f aca="false">IF(OR($U112="",$L112=0),"",$U112/$L112)</f>
        <v/>
      </c>
      <c r="W112" s="11"/>
      <c r="X112" s="23" t="str">
        <f aca="false">IF($C112="","",IF(AND($H112="",N($I112)=0,N($K112)=0),"Dòng chỉ lưu thông tin khách (chưa có đơn); ",IF($B112="","Thiếu ngày đặt; ","")&amp;IF($H112="","Thiếu tên sản phẩm; ",IF($J112="","Chưa khai GIÁ GỐC ở BẢNG GIÁ GỐC; ",""))&amp;IF(N($I112)&lt;=0,"Thiếu số lượng; ","")&amp;IF(N($K112)&lt;=0,"Thiếu giá bán; ","")&amp;IF(AND($N112&gt;0,$F112=""),"Khách lấy VAT thiếu mã số thuế; ","")&amp;IF(N($Q112)&gt;$P112,"Đã thu vượt tổng phải thu; ","")&amp;IF(AND($L112&gt;0,$U112&lt;&gt;"",$U112&lt;0),"CẢNH BÁO: ĐƠN NÀY ĐANG LỖ; ","")))</f>
        <v/>
      </c>
    </row>
    <row r="113" customFormat="false" ht="15" hidden="false" customHeight="false" outlineLevel="0" collapsed="false">
      <c r="A113" s="21" t="str">
        <f aca="false">IF($C113="","",COUNTA($C$10:$C113))</f>
        <v/>
      </c>
      <c r="B113" s="18"/>
      <c r="C113" s="11"/>
      <c r="D113" s="11"/>
      <c r="E113" s="11"/>
      <c r="F113" s="11"/>
      <c r="G113" s="11"/>
      <c r="H113" s="11"/>
      <c r="I113" s="12"/>
      <c r="J113" s="13" t="str">
        <f aca="false">IF($H113="","",IFERROR(VLOOKUP($H113,'BẢNG GIÁ GỐC'!$A$5:$D$254,3,FALSE()),""))</f>
        <v/>
      </c>
      <c r="K113" s="12"/>
      <c r="L113" s="13" t="str">
        <f aca="false">IF($C113="","",N($I113)*N($K113))</f>
        <v/>
      </c>
      <c r="M113" s="11"/>
      <c r="N113" s="14" t="str">
        <f aca="false">IF($C113="","",IF($M113="VAT 5%",0.05,IF($M113="VAT 8%",0.08,IF($M113="VAT 10%",0.1,0))))</f>
        <v/>
      </c>
      <c r="O113" s="13" t="str">
        <f aca="false">IF($C113="","",$L113*$N113)</f>
        <v/>
      </c>
      <c r="P113" s="13" t="str">
        <f aca="false">IF($C113="","",$L113+$O113)</f>
        <v/>
      </c>
      <c r="Q113" s="12"/>
      <c r="R113" s="13" t="str">
        <f aca="false">IF($C113="","",MAX(0,$P113-N($Q113)))</f>
        <v/>
      </c>
      <c r="S113" s="23" t="str">
        <f aca="false">IF(OR($C113="",$P113=0),"",IF(N($Q113)&lt;=0,"Chưa thanh toán",IF(N($Q113)&lt;$P113,"Thanh toán một phần","Đã thanh toán")))</f>
        <v/>
      </c>
      <c r="T113" s="13" t="str">
        <f aca="false">IF(OR($C113="",$J113=""),"",N($I113)*$J113)</f>
        <v/>
      </c>
      <c r="U113" s="13" t="str">
        <f aca="false">IF(OR($C113="",$T113=""),"",$L113-$T113)</f>
        <v/>
      </c>
      <c r="V113" s="14" t="str">
        <f aca="false">IF(OR($U113="",$L113=0),"",$U113/$L113)</f>
        <v/>
      </c>
      <c r="W113" s="11"/>
      <c r="X113" s="23" t="str">
        <f aca="false">IF($C113="","",IF(AND($H113="",N($I113)=0,N($K113)=0),"Dòng chỉ lưu thông tin khách (chưa có đơn); ",IF($B113="","Thiếu ngày đặt; ","")&amp;IF($H113="","Thiếu tên sản phẩm; ",IF($J113="","Chưa khai GIÁ GỐC ở BẢNG GIÁ GỐC; ",""))&amp;IF(N($I113)&lt;=0,"Thiếu số lượng; ","")&amp;IF(N($K113)&lt;=0,"Thiếu giá bán; ","")&amp;IF(AND($N113&gt;0,$F113=""),"Khách lấy VAT thiếu mã số thuế; ","")&amp;IF(N($Q113)&gt;$P113,"Đã thu vượt tổng phải thu; ","")&amp;IF(AND($L113&gt;0,$U113&lt;&gt;"",$U113&lt;0),"CẢNH BÁO: ĐƠN NÀY ĐANG LỖ; ","")))</f>
        <v/>
      </c>
    </row>
    <row r="114" customFormat="false" ht="15" hidden="false" customHeight="false" outlineLevel="0" collapsed="false">
      <c r="A114" s="21" t="str">
        <f aca="false">IF($C114="","",COUNTA($C$10:$C114))</f>
        <v/>
      </c>
      <c r="B114" s="18"/>
      <c r="C114" s="11"/>
      <c r="D114" s="11"/>
      <c r="E114" s="11"/>
      <c r="F114" s="11"/>
      <c r="G114" s="11"/>
      <c r="H114" s="11"/>
      <c r="I114" s="12"/>
      <c r="J114" s="13" t="str">
        <f aca="false">IF($H114="","",IFERROR(VLOOKUP($H114,'BẢNG GIÁ GỐC'!$A$5:$D$254,3,FALSE()),""))</f>
        <v/>
      </c>
      <c r="K114" s="12"/>
      <c r="L114" s="13" t="str">
        <f aca="false">IF($C114="","",N($I114)*N($K114))</f>
        <v/>
      </c>
      <c r="M114" s="11"/>
      <c r="N114" s="14" t="str">
        <f aca="false">IF($C114="","",IF($M114="VAT 5%",0.05,IF($M114="VAT 8%",0.08,IF($M114="VAT 10%",0.1,0))))</f>
        <v/>
      </c>
      <c r="O114" s="13" t="str">
        <f aca="false">IF($C114="","",$L114*$N114)</f>
        <v/>
      </c>
      <c r="P114" s="13" t="str">
        <f aca="false">IF($C114="","",$L114+$O114)</f>
        <v/>
      </c>
      <c r="Q114" s="12"/>
      <c r="R114" s="13" t="str">
        <f aca="false">IF($C114="","",MAX(0,$P114-N($Q114)))</f>
        <v/>
      </c>
      <c r="S114" s="23" t="str">
        <f aca="false">IF(OR($C114="",$P114=0),"",IF(N($Q114)&lt;=0,"Chưa thanh toán",IF(N($Q114)&lt;$P114,"Thanh toán một phần","Đã thanh toán")))</f>
        <v/>
      </c>
      <c r="T114" s="13" t="str">
        <f aca="false">IF(OR($C114="",$J114=""),"",N($I114)*$J114)</f>
        <v/>
      </c>
      <c r="U114" s="13" t="str">
        <f aca="false">IF(OR($C114="",$T114=""),"",$L114-$T114)</f>
        <v/>
      </c>
      <c r="V114" s="14" t="str">
        <f aca="false">IF(OR($U114="",$L114=0),"",$U114/$L114)</f>
        <v/>
      </c>
      <c r="W114" s="11"/>
      <c r="X114" s="23" t="str">
        <f aca="false">IF($C114="","",IF(AND($H114="",N($I114)=0,N($K114)=0),"Dòng chỉ lưu thông tin khách (chưa có đơn); ",IF($B114="","Thiếu ngày đặt; ","")&amp;IF($H114="","Thiếu tên sản phẩm; ",IF($J114="","Chưa khai GIÁ GỐC ở BẢNG GIÁ GỐC; ",""))&amp;IF(N($I114)&lt;=0,"Thiếu số lượng; ","")&amp;IF(N($K114)&lt;=0,"Thiếu giá bán; ","")&amp;IF(AND($N114&gt;0,$F114=""),"Khách lấy VAT thiếu mã số thuế; ","")&amp;IF(N($Q114)&gt;$P114,"Đã thu vượt tổng phải thu; ","")&amp;IF(AND($L114&gt;0,$U114&lt;&gt;"",$U114&lt;0),"CẢNH BÁO: ĐƠN NÀY ĐANG LỖ; ","")))</f>
        <v/>
      </c>
    </row>
    <row r="115" customFormat="false" ht="15" hidden="false" customHeight="false" outlineLevel="0" collapsed="false">
      <c r="A115" s="21" t="str">
        <f aca="false">IF($C115="","",COUNTA($C$10:$C115))</f>
        <v/>
      </c>
      <c r="B115" s="18"/>
      <c r="C115" s="11"/>
      <c r="D115" s="11"/>
      <c r="E115" s="11"/>
      <c r="F115" s="11"/>
      <c r="G115" s="11"/>
      <c r="H115" s="11"/>
      <c r="I115" s="12"/>
      <c r="J115" s="13" t="str">
        <f aca="false">IF($H115="","",IFERROR(VLOOKUP($H115,'BẢNG GIÁ GỐC'!$A$5:$D$254,3,FALSE()),""))</f>
        <v/>
      </c>
      <c r="K115" s="12"/>
      <c r="L115" s="13" t="str">
        <f aca="false">IF($C115="","",N($I115)*N($K115))</f>
        <v/>
      </c>
      <c r="M115" s="11"/>
      <c r="N115" s="14" t="str">
        <f aca="false">IF($C115="","",IF($M115="VAT 5%",0.05,IF($M115="VAT 8%",0.08,IF($M115="VAT 10%",0.1,0))))</f>
        <v/>
      </c>
      <c r="O115" s="13" t="str">
        <f aca="false">IF($C115="","",$L115*$N115)</f>
        <v/>
      </c>
      <c r="P115" s="13" t="str">
        <f aca="false">IF($C115="","",$L115+$O115)</f>
        <v/>
      </c>
      <c r="Q115" s="12"/>
      <c r="R115" s="13" t="str">
        <f aca="false">IF($C115="","",MAX(0,$P115-N($Q115)))</f>
        <v/>
      </c>
      <c r="S115" s="23" t="str">
        <f aca="false">IF(OR($C115="",$P115=0),"",IF(N($Q115)&lt;=0,"Chưa thanh toán",IF(N($Q115)&lt;$P115,"Thanh toán một phần","Đã thanh toán")))</f>
        <v/>
      </c>
      <c r="T115" s="13" t="str">
        <f aca="false">IF(OR($C115="",$J115=""),"",N($I115)*$J115)</f>
        <v/>
      </c>
      <c r="U115" s="13" t="str">
        <f aca="false">IF(OR($C115="",$T115=""),"",$L115-$T115)</f>
        <v/>
      </c>
      <c r="V115" s="14" t="str">
        <f aca="false">IF(OR($U115="",$L115=0),"",$U115/$L115)</f>
        <v/>
      </c>
      <c r="W115" s="11"/>
      <c r="X115" s="23" t="str">
        <f aca="false">IF($C115="","",IF(AND($H115="",N($I115)=0,N($K115)=0),"Dòng chỉ lưu thông tin khách (chưa có đơn); ",IF($B115="","Thiếu ngày đặt; ","")&amp;IF($H115="","Thiếu tên sản phẩm; ",IF($J115="","Chưa khai GIÁ GỐC ở BẢNG GIÁ GỐC; ",""))&amp;IF(N($I115)&lt;=0,"Thiếu số lượng; ","")&amp;IF(N($K115)&lt;=0,"Thiếu giá bán; ","")&amp;IF(AND($N115&gt;0,$F115=""),"Khách lấy VAT thiếu mã số thuế; ","")&amp;IF(N($Q115)&gt;$P115,"Đã thu vượt tổng phải thu; ","")&amp;IF(AND($L115&gt;0,$U115&lt;&gt;"",$U115&lt;0),"CẢNH BÁO: ĐƠN NÀY ĐANG LỖ; ","")))</f>
        <v/>
      </c>
    </row>
    <row r="116" customFormat="false" ht="15" hidden="false" customHeight="false" outlineLevel="0" collapsed="false">
      <c r="A116" s="21" t="str">
        <f aca="false">IF($C116="","",COUNTA($C$10:$C116))</f>
        <v/>
      </c>
      <c r="B116" s="18"/>
      <c r="C116" s="11"/>
      <c r="D116" s="11"/>
      <c r="E116" s="11"/>
      <c r="F116" s="11"/>
      <c r="G116" s="11"/>
      <c r="H116" s="11"/>
      <c r="I116" s="12"/>
      <c r="J116" s="13" t="str">
        <f aca="false">IF($H116="","",IFERROR(VLOOKUP($H116,'BẢNG GIÁ GỐC'!$A$5:$D$254,3,FALSE()),""))</f>
        <v/>
      </c>
      <c r="K116" s="12"/>
      <c r="L116" s="13" t="str">
        <f aca="false">IF($C116="","",N($I116)*N($K116))</f>
        <v/>
      </c>
      <c r="M116" s="11"/>
      <c r="N116" s="14" t="str">
        <f aca="false">IF($C116="","",IF($M116="VAT 5%",0.05,IF($M116="VAT 8%",0.08,IF($M116="VAT 10%",0.1,0))))</f>
        <v/>
      </c>
      <c r="O116" s="13" t="str">
        <f aca="false">IF($C116="","",$L116*$N116)</f>
        <v/>
      </c>
      <c r="P116" s="13" t="str">
        <f aca="false">IF($C116="","",$L116+$O116)</f>
        <v/>
      </c>
      <c r="Q116" s="12"/>
      <c r="R116" s="13" t="str">
        <f aca="false">IF($C116="","",MAX(0,$P116-N($Q116)))</f>
        <v/>
      </c>
      <c r="S116" s="23" t="str">
        <f aca="false">IF(OR($C116="",$P116=0),"",IF(N($Q116)&lt;=0,"Chưa thanh toán",IF(N($Q116)&lt;$P116,"Thanh toán một phần","Đã thanh toán")))</f>
        <v/>
      </c>
      <c r="T116" s="13" t="str">
        <f aca="false">IF(OR($C116="",$J116=""),"",N($I116)*$J116)</f>
        <v/>
      </c>
      <c r="U116" s="13" t="str">
        <f aca="false">IF(OR($C116="",$T116=""),"",$L116-$T116)</f>
        <v/>
      </c>
      <c r="V116" s="14" t="str">
        <f aca="false">IF(OR($U116="",$L116=0),"",$U116/$L116)</f>
        <v/>
      </c>
      <c r="W116" s="11"/>
      <c r="X116" s="23" t="str">
        <f aca="false">IF($C116="","",IF(AND($H116="",N($I116)=0,N($K116)=0),"Dòng chỉ lưu thông tin khách (chưa có đơn); ",IF($B116="","Thiếu ngày đặt; ","")&amp;IF($H116="","Thiếu tên sản phẩm; ",IF($J116="","Chưa khai GIÁ GỐC ở BẢNG GIÁ GỐC; ",""))&amp;IF(N($I116)&lt;=0,"Thiếu số lượng; ","")&amp;IF(N($K116)&lt;=0,"Thiếu giá bán; ","")&amp;IF(AND($N116&gt;0,$F116=""),"Khách lấy VAT thiếu mã số thuế; ","")&amp;IF(N($Q116)&gt;$P116,"Đã thu vượt tổng phải thu; ","")&amp;IF(AND($L116&gt;0,$U116&lt;&gt;"",$U116&lt;0),"CẢNH BÁO: ĐƠN NÀY ĐANG LỖ; ","")))</f>
        <v/>
      </c>
    </row>
    <row r="117" customFormat="false" ht="15" hidden="false" customHeight="false" outlineLevel="0" collapsed="false">
      <c r="A117" s="21" t="str">
        <f aca="false">IF($C117="","",COUNTA($C$10:$C117))</f>
        <v/>
      </c>
      <c r="B117" s="18"/>
      <c r="C117" s="11"/>
      <c r="D117" s="11"/>
      <c r="E117" s="11"/>
      <c r="F117" s="11"/>
      <c r="G117" s="11"/>
      <c r="H117" s="11"/>
      <c r="I117" s="12"/>
      <c r="J117" s="13" t="str">
        <f aca="false">IF($H117="","",IFERROR(VLOOKUP($H117,'BẢNG GIÁ GỐC'!$A$5:$D$254,3,FALSE()),""))</f>
        <v/>
      </c>
      <c r="K117" s="12"/>
      <c r="L117" s="13" t="str">
        <f aca="false">IF($C117="","",N($I117)*N($K117))</f>
        <v/>
      </c>
      <c r="M117" s="11"/>
      <c r="N117" s="14" t="str">
        <f aca="false">IF($C117="","",IF($M117="VAT 5%",0.05,IF($M117="VAT 8%",0.08,IF($M117="VAT 10%",0.1,0))))</f>
        <v/>
      </c>
      <c r="O117" s="13" t="str">
        <f aca="false">IF($C117="","",$L117*$N117)</f>
        <v/>
      </c>
      <c r="P117" s="13" t="str">
        <f aca="false">IF($C117="","",$L117+$O117)</f>
        <v/>
      </c>
      <c r="Q117" s="12"/>
      <c r="R117" s="13" t="str">
        <f aca="false">IF($C117="","",MAX(0,$P117-N($Q117)))</f>
        <v/>
      </c>
      <c r="S117" s="23" t="str">
        <f aca="false">IF(OR($C117="",$P117=0),"",IF(N($Q117)&lt;=0,"Chưa thanh toán",IF(N($Q117)&lt;$P117,"Thanh toán một phần","Đã thanh toán")))</f>
        <v/>
      </c>
      <c r="T117" s="13" t="str">
        <f aca="false">IF(OR($C117="",$J117=""),"",N($I117)*$J117)</f>
        <v/>
      </c>
      <c r="U117" s="13" t="str">
        <f aca="false">IF(OR($C117="",$T117=""),"",$L117-$T117)</f>
        <v/>
      </c>
      <c r="V117" s="14" t="str">
        <f aca="false">IF(OR($U117="",$L117=0),"",$U117/$L117)</f>
        <v/>
      </c>
      <c r="W117" s="11"/>
      <c r="X117" s="23" t="str">
        <f aca="false">IF($C117="","",IF(AND($H117="",N($I117)=0,N($K117)=0),"Dòng chỉ lưu thông tin khách (chưa có đơn); ",IF($B117="","Thiếu ngày đặt; ","")&amp;IF($H117="","Thiếu tên sản phẩm; ",IF($J117="","Chưa khai GIÁ GỐC ở BẢNG GIÁ GỐC; ",""))&amp;IF(N($I117)&lt;=0,"Thiếu số lượng; ","")&amp;IF(N($K117)&lt;=0,"Thiếu giá bán; ","")&amp;IF(AND($N117&gt;0,$F117=""),"Khách lấy VAT thiếu mã số thuế; ","")&amp;IF(N($Q117)&gt;$P117,"Đã thu vượt tổng phải thu; ","")&amp;IF(AND($L117&gt;0,$U117&lt;&gt;"",$U117&lt;0),"CẢNH BÁO: ĐƠN NÀY ĐANG LỖ; ","")))</f>
        <v/>
      </c>
    </row>
    <row r="118" customFormat="false" ht="15" hidden="false" customHeight="false" outlineLevel="0" collapsed="false">
      <c r="A118" s="21" t="str">
        <f aca="false">IF($C118="","",COUNTA($C$10:$C118))</f>
        <v/>
      </c>
      <c r="B118" s="18"/>
      <c r="C118" s="11"/>
      <c r="D118" s="11"/>
      <c r="E118" s="11"/>
      <c r="F118" s="11"/>
      <c r="G118" s="11"/>
      <c r="H118" s="11"/>
      <c r="I118" s="12"/>
      <c r="J118" s="13" t="str">
        <f aca="false">IF($H118="","",IFERROR(VLOOKUP($H118,'BẢNG GIÁ GỐC'!$A$5:$D$254,3,FALSE()),""))</f>
        <v/>
      </c>
      <c r="K118" s="12"/>
      <c r="L118" s="13" t="str">
        <f aca="false">IF($C118="","",N($I118)*N($K118))</f>
        <v/>
      </c>
      <c r="M118" s="11"/>
      <c r="N118" s="14" t="str">
        <f aca="false">IF($C118="","",IF($M118="VAT 5%",0.05,IF($M118="VAT 8%",0.08,IF($M118="VAT 10%",0.1,0))))</f>
        <v/>
      </c>
      <c r="O118" s="13" t="str">
        <f aca="false">IF($C118="","",$L118*$N118)</f>
        <v/>
      </c>
      <c r="P118" s="13" t="str">
        <f aca="false">IF($C118="","",$L118+$O118)</f>
        <v/>
      </c>
      <c r="Q118" s="12"/>
      <c r="R118" s="13" t="str">
        <f aca="false">IF($C118="","",MAX(0,$P118-N($Q118)))</f>
        <v/>
      </c>
      <c r="S118" s="23" t="str">
        <f aca="false">IF(OR($C118="",$P118=0),"",IF(N($Q118)&lt;=0,"Chưa thanh toán",IF(N($Q118)&lt;$P118,"Thanh toán một phần","Đã thanh toán")))</f>
        <v/>
      </c>
      <c r="T118" s="13" t="str">
        <f aca="false">IF(OR($C118="",$J118=""),"",N($I118)*$J118)</f>
        <v/>
      </c>
      <c r="U118" s="13" t="str">
        <f aca="false">IF(OR($C118="",$T118=""),"",$L118-$T118)</f>
        <v/>
      </c>
      <c r="V118" s="14" t="str">
        <f aca="false">IF(OR($U118="",$L118=0),"",$U118/$L118)</f>
        <v/>
      </c>
      <c r="W118" s="11"/>
      <c r="X118" s="23" t="str">
        <f aca="false">IF($C118="","",IF(AND($H118="",N($I118)=0,N($K118)=0),"Dòng chỉ lưu thông tin khách (chưa có đơn); ",IF($B118="","Thiếu ngày đặt; ","")&amp;IF($H118="","Thiếu tên sản phẩm; ",IF($J118="","Chưa khai GIÁ GỐC ở BẢNG GIÁ GỐC; ",""))&amp;IF(N($I118)&lt;=0,"Thiếu số lượng; ","")&amp;IF(N($K118)&lt;=0,"Thiếu giá bán; ","")&amp;IF(AND($N118&gt;0,$F118=""),"Khách lấy VAT thiếu mã số thuế; ","")&amp;IF(N($Q118)&gt;$P118,"Đã thu vượt tổng phải thu; ","")&amp;IF(AND($L118&gt;0,$U118&lt;&gt;"",$U118&lt;0),"CẢNH BÁO: ĐƠN NÀY ĐANG LỖ; ","")))</f>
        <v/>
      </c>
    </row>
    <row r="119" customFormat="false" ht="15" hidden="false" customHeight="false" outlineLevel="0" collapsed="false">
      <c r="A119" s="21" t="str">
        <f aca="false">IF($C119="","",COUNTA($C$10:$C119))</f>
        <v/>
      </c>
      <c r="B119" s="18"/>
      <c r="C119" s="11"/>
      <c r="D119" s="11"/>
      <c r="E119" s="11"/>
      <c r="F119" s="11"/>
      <c r="G119" s="11"/>
      <c r="H119" s="11"/>
      <c r="I119" s="12"/>
      <c r="J119" s="13" t="str">
        <f aca="false">IF($H119="","",IFERROR(VLOOKUP($H119,'BẢNG GIÁ GỐC'!$A$5:$D$254,3,FALSE()),""))</f>
        <v/>
      </c>
      <c r="K119" s="12"/>
      <c r="L119" s="13" t="str">
        <f aca="false">IF($C119="","",N($I119)*N($K119))</f>
        <v/>
      </c>
      <c r="M119" s="11"/>
      <c r="N119" s="14" t="str">
        <f aca="false">IF($C119="","",IF($M119="VAT 5%",0.05,IF($M119="VAT 8%",0.08,IF($M119="VAT 10%",0.1,0))))</f>
        <v/>
      </c>
      <c r="O119" s="13" t="str">
        <f aca="false">IF($C119="","",$L119*$N119)</f>
        <v/>
      </c>
      <c r="P119" s="13" t="str">
        <f aca="false">IF($C119="","",$L119+$O119)</f>
        <v/>
      </c>
      <c r="Q119" s="12"/>
      <c r="R119" s="13" t="str">
        <f aca="false">IF($C119="","",MAX(0,$P119-N($Q119)))</f>
        <v/>
      </c>
      <c r="S119" s="23" t="str">
        <f aca="false">IF(OR($C119="",$P119=0),"",IF(N($Q119)&lt;=0,"Chưa thanh toán",IF(N($Q119)&lt;$P119,"Thanh toán một phần","Đã thanh toán")))</f>
        <v/>
      </c>
      <c r="T119" s="13" t="str">
        <f aca="false">IF(OR($C119="",$J119=""),"",N($I119)*$J119)</f>
        <v/>
      </c>
      <c r="U119" s="13" t="str">
        <f aca="false">IF(OR($C119="",$T119=""),"",$L119-$T119)</f>
        <v/>
      </c>
      <c r="V119" s="14" t="str">
        <f aca="false">IF(OR($U119="",$L119=0),"",$U119/$L119)</f>
        <v/>
      </c>
      <c r="W119" s="11"/>
      <c r="X119" s="23" t="str">
        <f aca="false">IF($C119="","",IF(AND($H119="",N($I119)=0,N($K119)=0),"Dòng chỉ lưu thông tin khách (chưa có đơn); ",IF($B119="","Thiếu ngày đặt; ","")&amp;IF($H119="","Thiếu tên sản phẩm; ",IF($J119="","Chưa khai GIÁ GỐC ở BẢNG GIÁ GỐC; ",""))&amp;IF(N($I119)&lt;=0,"Thiếu số lượng; ","")&amp;IF(N($K119)&lt;=0,"Thiếu giá bán; ","")&amp;IF(AND($N119&gt;0,$F119=""),"Khách lấy VAT thiếu mã số thuế; ","")&amp;IF(N($Q119)&gt;$P119,"Đã thu vượt tổng phải thu; ","")&amp;IF(AND($L119&gt;0,$U119&lt;&gt;"",$U119&lt;0),"CẢNH BÁO: ĐƠN NÀY ĐANG LỖ; ","")))</f>
        <v/>
      </c>
    </row>
    <row r="120" customFormat="false" ht="15" hidden="false" customHeight="false" outlineLevel="0" collapsed="false">
      <c r="A120" s="21" t="str">
        <f aca="false">IF($C120="","",COUNTA($C$10:$C120))</f>
        <v/>
      </c>
      <c r="B120" s="18"/>
      <c r="C120" s="11"/>
      <c r="D120" s="11"/>
      <c r="E120" s="11"/>
      <c r="F120" s="11"/>
      <c r="G120" s="11"/>
      <c r="H120" s="11"/>
      <c r="I120" s="12"/>
      <c r="J120" s="13" t="str">
        <f aca="false">IF($H120="","",IFERROR(VLOOKUP($H120,'BẢNG GIÁ GỐC'!$A$5:$D$254,3,FALSE()),""))</f>
        <v/>
      </c>
      <c r="K120" s="12"/>
      <c r="L120" s="13" t="str">
        <f aca="false">IF($C120="","",N($I120)*N($K120))</f>
        <v/>
      </c>
      <c r="M120" s="11"/>
      <c r="N120" s="14" t="str">
        <f aca="false">IF($C120="","",IF($M120="VAT 5%",0.05,IF($M120="VAT 8%",0.08,IF($M120="VAT 10%",0.1,0))))</f>
        <v/>
      </c>
      <c r="O120" s="13" t="str">
        <f aca="false">IF($C120="","",$L120*$N120)</f>
        <v/>
      </c>
      <c r="P120" s="13" t="str">
        <f aca="false">IF($C120="","",$L120+$O120)</f>
        <v/>
      </c>
      <c r="Q120" s="12"/>
      <c r="R120" s="13" t="str">
        <f aca="false">IF($C120="","",MAX(0,$P120-N($Q120)))</f>
        <v/>
      </c>
      <c r="S120" s="23" t="str">
        <f aca="false">IF(OR($C120="",$P120=0),"",IF(N($Q120)&lt;=0,"Chưa thanh toán",IF(N($Q120)&lt;$P120,"Thanh toán một phần","Đã thanh toán")))</f>
        <v/>
      </c>
      <c r="T120" s="13" t="str">
        <f aca="false">IF(OR($C120="",$J120=""),"",N($I120)*$J120)</f>
        <v/>
      </c>
      <c r="U120" s="13" t="str">
        <f aca="false">IF(OR($C120="",$T120=""),"",$L120-$T120)</f>
        <v/>
      </c>
      <c r="V120" s="14" t="str">
        <f aca="false">IF(OR($U120="",$L120=0),"",$U120/$L120)</f>
        <v/>
      </c>
      <c r="W120" s="11"/>
      <c r="X120" s="23" t="str">
        <f aca="false">IF($C120="","",IF(AND($H120="",N($I120)=0,N($K120)=0),"Dòng chỉ lưu thông tin khách (chưa có đơn); ",IF($B120="","Thiếu ngày đặt; ","")&amp;IF($H120="","Thiếu tên sản phẩm; ",IF($J120="","Chưa khai GIÁ GỐC ở BẢNG GIÁ GỐC; ",""))&amp;IF(N($I120)&lt;=0,"Thiếu số lượng; ","")&amp;IF(N($K120)&lt;=0,"Thiếu giá bán; ","")&amp;IF(AND($N120&gt;0,$F120=""),"Khách lấy VAT thiếu mã số thuế; ","")&amp;IF(N($Q120)&gt;$P120,"Đã thu vượt tổng phải thu; ","")&amp;IF(AND($L120&gt;0,$U120&lt;&gt;"",$U120&lt;0),"CẢNH BÁO: ĐƠN NÀY ĐANG LỖ; ","")))</f>
        <v/>
      </c>
    </row>
    <row r="121" customFormat="false" ht="15" hidden="false" customHeight="false" outlineLevel="0" collapsed="false">
      <c r="A121" s="21" t="str">
        <f aca="false">IF($C121="","",COUNTA($C$10:$C121))</f>
        <v/>
      </c>
      <c r="B121" s="18"/>
      <c r="C121" s="11"/>
      <c r="D121" s="11"/>
      <c r="E121" s="11"/>
      <c r="F121" s="11"/>
      <c r="G121" s="11"/>
      <c r="H121" s="11"/>
      <c r="I121" s="12"/>
      <c r="J121" s="13" t="str">
        <f aca="false">IF($H121="","",IFERROR(VLOOKUP($H121,'BẢNG GIÁ GỐC'!$A$5:$D$254,3,FALSE()),""))</f>
        <v/>
      </c>
      <c r="K121" s="12"/>
      <c r="L121" s="13" t="str">
        <f aca="false">IF($C121="","",N($I121)*N($K121))</f>
        <v/>
      </c>
      <c r="M121" s="11"/>
      <c r="N121" s="14" t="str">
        <f aca="false">IF($C121="","",IF($M121="VAT 5%",0.05,IF($M121="VAT 8%",0.08,IF($M121="VAT 10%",0.1,0))))</f>
        <v/>
      </c>
      <c r="O121" s="13" t="str">
        <f aca="false">IF($C121="","",$L121*$N121)</f>
        <v/>
      </c>
      <c r="P121" s="13" t="str">
        <f aca="false">IF($C121="","",$L121+$O121)</f>
        <v/>
      </c>
      <c r="Q121" s="12"/>
      <c r="R121" s="13" t="str">
        <f aca="false">IF($C121="","",MAX(0,$P121-N($Q121)))</f>
        <v/>
      </c>
      <c r="S121" s="23" t="str">
        <f aca="false">IF(OR($C121="",$P121=0),"",IF(N($Q121)&lt;=0,"Chưa thanh toán",IF(N($Q121)&lt;$P121,"Thanh toán một phần","Đã thanh toán")))</f>
        <v/>
      </c>
      <c r="T121" s="13" t="str">
        <f aca="false">IF(OR($C121="",$J121=""),"",N($I121)*$J121)</f>
        <v/>
      </c>
      <c r="U121" s="13" t="str">
        <f aca="false">IF(OR($C121="",$T121=""),"",$L121-$T121)</f>
        <v/>
      </c>
      <c r="V121" s="14" t="str">
        <f aca="false">IF(OR($U121="",$L121=0),"",$U121/$L121)</f>
        <v/>
      </c>
      <c r="W121" s="11"/>
      <c r="X121" s="23" t="str">
        <f aca="false">IF($C121="","",IF(AND($H121="",N($I121)=0,N($K121)=0),"Dòng chỉ lưu thông tin khách (chưa có đơn); ",IF($B121="","Thiếu ngày đặt; ","")&amp;IF($H121="","Thiếu tên sản phẩm; ",IF($J121="","Chưa khai GIÁ GỐC ở BẢNG GIÁ GỐC; ",""))&amp;IF(N($I121)&lt;=0,"Thiếu số lượng; ","")&amp;IF(N($K121)&lt;=0,"Thiếu giá bán; ","")&amp;IF(AND($N121&gt;0,$F121=""),"Khách lấy VAT thiếu mã số thuế; ","")&amp;IF(N($Q121)&gt;$P121,"Đã thu vượt tổng phải thu; ","")&amp;IF(AND($L121&gt;0,$U121&lt;&gt;"",$U121&lt;0),"CẢNH BÁO: ĐƠN NÀY ĐANG LỖ; ","")))</f>
        <v/>
      </c>
    </row>
    <row r="122" customFormat="false" ht="15" hidden="false" customHeight="false" outlineLevel="0" collapsed="false">
      <c r="A122" s="21" t="str">
        <f aca="false">IF($C122="","",COUNTA($C$10:$C122))</f>
        <v/>
      </c>
      <c r="B122" s="18"/>
      <c r="C122" s="11"/>
      <c r="D122" s="11"/>
      <c r="E122" s="11"/>
      <c r="F122" s="11"/>
      <c r="G122" s="11"/>
      <c r="H122" s="11"/>
      <c r="I122" s="12"/>
      <c r="J122" s="13" t="str">
        <f aca="false">IF($H122="","",IFERROR(VLOOKUP($H122,'BẢNG GIÁ GỐC'!$A$5:$D$254,3,FALSE()),""))</f>
        <v/>
      </c>
      <c r="K122" s="12"/>
      <c r="L122" s="13" t="str">
        <f aca="false">IF($C122="","",N($I122)*N($K122))</f>
        <v/>
      </c>
      <c r="M122" s="11"/>
      <c r="N122" s="14" t="str">
        <f aca="false">IF($C122="","",IF($M122="VAT 5%",0.05,IF($M122="VAT 8%",0.08,IF($M122="VAT 10%",0.1,0))))</f>
        <v/>
      </c>
      <c r="O122" s="13" t="str">
        <f aca="false">IF($C122="","",$L122*$N122)</f>
        <v/>
      </c>
      <c r="P122" s="13" t="str">
        <f aca="false">IF($C122="","",$L122+$O122)</f>
        <v/>
      </c>
      <c r="Q122" s="12"/>
      <c r="R122" s="13" t="str">
        <f aca="false">IF($C122="","",MAX(0,$P122-N($Q122)))</f>
        <v/>
      </c>
      <c r="S122" s="23" t="str">
        <f aca="false">IF(OR($C122="",$P122=0),"",IF(N($Q122)&lt;=0,"Chưa thanh toán",IF(N($Q122)&lt;$P122,"Thanh toán một phần","Đã thanh toán")))</f>
        <v/>
      </c>
      <c r="T122" s="13" t="str">
        <f aca="false">IF(OR($C122="",$J122=""),"",N($I122)*$J122)</f>
        <v/>
      </c>
      <c r="U122" s="13" t="str">
        <f aca="false">IF(OR($C122="",$T122=""),"",$L122-$T122)</f>
        <v/>
      </c>
      <c r="V122" s="14" t="str">
        <f aca="false">IF(OR($U122="",$L122=0),"",$U122/$L122)</f>
        <v/>
      </c>
      <c r="W122" s="11"/>
      <c r="X122" s="23" t="str">
        <f aca="false">IF($C122="","",IF(AND($H122="",N($I122)=0,N($K122)=0),"Dòng chỉ lưu thông tin khách (chưa có đơn); ",IF($B122="","Thiếu ngày đặt; ","")&amp;IF($H122="","Thiếu tên sản phẩm; ",IF($J122="","Chưa khai GIÁ GỐC ở BẢNG GIÁ GỐC; ",""))&amp;IF(N($I122)&lt;=0,"Thiếu số lượng; ","")&amp;IF(N($K122)&lt;=0,"Thiếu giá bán; ","")&amp;IF(AND($N122&gt;0,$F122=""),"Khách lấy VAT thiếu mã số thuế; ","")&amp;IF(N($Q122)&gt;$P122,"Đã thu vượt tổng phải thu; ","")&amp;IF(AND($L122&gt;0,$U122&lt;&gt;"",$U122&lt;0),"CẢNH BÁO: ĐƠN NÀY ĐANG LỖ; ","")))</f>
        <v/>
      </c>
    </row>
    <row r="123" customFormat="false" ht="15" hidden="false" customHeight="false" outlineLevel="0" collapsed="false">
      <c r="A123" s="21" t="str">
        <f aca="false">IF($C123="","",COUNTA($C$10:$C123))</f>
        <v/>
      </c>
      <c r="B123" s="18"/>
      <c r="C123" s="11"/>
      <c r="D123" s="11"/>
      <c r="E123" s="11"/>
      <c r="F123" s="11"/>
      <c r="G123" s="11"/>
      <c r="H123" s="11"/>
      <c r="I123" s="12"/>
      <c r="J123" s="13" t="str">
        <f aca="false">IF($H123="","",IFERROR(VLOOKUP($H123,'BẢNG GIÁ GỐC'!$A$5:$D$254,3,FALSE()),""))</f>
        <v/>
      </c>
      <c r="K123" s="12"/>
      <c r="L123" s="13" t="str">
        <f aca="false">IF($C123="","",N($I123)*N($K123))</f>
        <v/>
      </c>
      <c r="M123" s="11"/>
      <c r="N123" s="14" t="str">
        <f aca="false">IF($C123="","",IF($M123="VAT 5%",0.05,IF($M123="VAT 8%",0.08,IF($M123="VAT 10%",0.1,0))))</f>
        <v/>
      </c>
      <c r="O123" s="13" t="str">
        <f aca="false">IF($C123="","",$L123*$N123)</f>
        <v/>
      </c>
      <c r="P123" s="13" t="str">
        <f aca="false">IF($C123="","",$L123+$O123)</f>
        <v/>
      </c>
      <c r="Q123" s="12"/>
      <c r="R123" s="13" t="str">
        <f aca="false">IF($C123="","",MAX(0,$P123-N($Q123)))</f>
        <v/>
      </c>
      <c r="S123" s="23" t="str">
        <f aca="false">IF(OR($C123="",$P123=0),"",IF(N($Q123)&lt;=0,"Chưa thanh toán",IF(N($Q123)&lt;$P123,"Thanh toán một phần","Đã thanh toán")))</f>
        <v/>
      </c>
      <c r="T123" s="13" t="str">
        <f aca="false">IF(OR($C123="",$J123=""),"",N($I123)*$J123)</f>
        <v/>
      </c>
      <c r="U123" s="13" t="str">
        <f aca="false">IF(OR($C123="",$T123=""),"",$L123-$T123)</f>
        <v/>
      </c>
      <c r="V123" s="14" t="str">
        <f aca="false">IF(OR($U123="",$L123=0),"",$U123/$L123)</f>
        <v/>
      </c>
      <c r="W123" s="11"/>
      <c r="X123" s="23" t="str">
        <f aca="false">IF($C123="","",IF(AND($H123="",N($I123)=0,N($K123)=0),"Dòng chỉ lưu thông tin khách (chưa có đơn); ",IF($B123="","Thiếu ngày đặt; ","")&amp;IF($H123="","Thiếu tên sản phẩm; ",IF($J123="","Chưa khai GIÁ GỐC ở BẢNG GIÁ GỐC; ",""))&amp;IF(N($I123)&lt;=0,"Thiếu số lượng; ","")&amp;IF(N($K123)&lt;=0,"Thiếu giá bán; ","")&amp;IF(AND($N123&gt;0,$F123=""),"Khách lấy VAT thiếu mã số thuế; ","")&amp;IF(N($Q123)&gt;$P123,"Đã thu vượt tổng phải thu; ","")&amp;IF(AND($L123&gt;0,$U123&lt;&gt;"",$U123&lt;0),"CẢNH BÁO: ĐƠN NÀY ĐANG LỖ; ","")))</f>
        <v/>
      </c>
    </row>
    <row r="124" customFormat="false" ht="15" hidden="false" customHeight="false" outlineLevel="0" collapsed="false">
      <c r="A124" s="21" t="str">
        <f aca="false">IF($C124="","",COUNTA($C$10:$C124))</f>
        <v/>
      </c>
      <c r="B124" s="18"/>
      <c r="C124" s="11"/>
      <c r="D124" s="11"/>
      <c r="E124" s="11"/>
      <c r="F124" s="11"/>
      <c r="G124" s="11"/>
      <c r="H124" s="11"/>
      <c r="I124" s="12"/>
      <c r="J124" s="13" t="str">
        <f aca="false">IF($H124="","",IFERROR(VLOOKUP($H124,'BẢNG GIÁ GỐC'!$A$5:$D$254,3,FALSE()),""))</f>
        <v/>
      </c>
      <c r="K124" s="12"/>
      <c r="L124" s="13" t="str">
        <f aca="false">IF($C124="","",N($I124)*N($K124))</f>
        <v/>
      </c>
      <c r="M124" s="11"/>
      <c r="N124" s="14" t="str">
        <f aca="false">IF($C124="","",IF($M124="VAT 5%",0.05,IF($M124="VAT 8%",0.08,IF($M124="VAT 10%",0.1,0))))</f>
        <v/>
      </c>
      <c r="O124" s="13" t="str">
        <f aca="false">IF($C124="","",$L124*$N124)</f>
        <v/>
      </c>
      <c r="P124" s="13" t="str">
        <f aca="false">IF($C124="","",$L124+$O124)</f>
        <v/>
      </c>
      <c r="Q124" s="12"/>
      <c r="R124" s="13" t="str">
        <f aca="false">IF($C124="","",MAX(0,$P124-N($Q124)))</f>
        <v/>
      </c>
      <c r="S124" s="23" t="str">
        <f aca="false">IF(OR($C124="",$P124=0),"",IF(N($Q124)&lt;=0,"Chưa thanh toán",IF(N($Q124)&lt;$P124,"Thanh toán một phần","Đã thanh toán")))</f>
        <v/>
      </c>
      <c r="T124" s="13" t="str">
        <f aca="false">IF(OR($C124="",$J124=""),"",N($I124)*$J124)</f>
        <v/>
      </c>
      <c r="U124" s="13" t="str">
        <f aca="false">IF(OR($C124="",$T124=""),"",$L124-$T124)</f>
        <v/>
      </c>
      <c r="V124" s="14" t="str">
        <f aca="false">IF(OR($U124="",$L124=0),"",$U124/$L124)</f>
        <v/>
      </c>
      <c r="W124" s="11"/>
      <c r="X124" s="23" t="str">
        <f aca="false">IF($C124="","",IF(AND($H124="",N($I124)=0,N($K124)=0),"Dòng chỉ lưu thông tin khách (chưa có đơn); ",IF($B124="","Thiếu ngày đặt; ","")&amp;IF($H124="","Thiếu tên sản phẩm; ",IF($J124="","Chưa khai GIÁ GỐC ở BẢNG GIÁ GỐC; ",""))&amp;IF(N($I124)&lt;=0,"Thiếu số lượng; ","")&amp;IF(N($K124)&lt;=0,"Thiếu giá bán; ","")&amp;IF(AND($N124&gt;0,$F124=""),"Khách lấy VAT thiếu mã số thuế; ","")&amp;IF(N($Q124)&gt;$P124,"Đã thu vượt tổng phải thu; ","")&amp;IF(AND($L124&gt;0,$U124&lt;&gt;"",$U124&lt;0),"CẢNH BÁO: ĐƠN NÀY ĐANG LỖ; ","")))</f>
        <v/>
      </c>
    </row>
    <row r="125" customFormat="false" ht="15" hidden="false" customHeight="false" outlineLevel="0" collapsed="false">
      <c r="A125" s="21" t="str">
        <f aca="false">IF($C125="","",COUNTA($C$10:$C125))</f>
        <v/>
      </c>
      <c r="B125" s="18"/>
      <c r="C125" s="11"/>
      <c r="D125" s="11"/>
      <c r="E125" s="11"/>
      <c r="F125" s="11"/>
      <c r="G125" s="11"/>
      <c r="H125" s="11"/>
      <c r="I125" s="12"/>
      <c r="J125" s="13" t="str">
        <f aca="false">IF($H125="","",IFERROR(VLOOKUP($H125,'BẢNG GIÁ GỐC'!$A$5:$D$254,3,FALSE()),""))</f>
        <v/>
      </c>
      <c r="K125" s="12"/>
      <c r="L125" s="13" t="str">
        <f aca="false">IF($C125="","",N($I125)*N($K125))</f>
        <v/>
      </c>
      <c r="M125" s="11"/>
      <c r="N125" s="14" t="str">
        <f aca="false">IF($C125="","",IF($M125="VAT 5%",0.05,IF($M125="VAT 8%",0.08,IF($M125="VAT 10%",0.1,0))))</f>
        <v/>
      </c>
      <c r="O125" s="13" t="str">
        <f aca="false">IF($C125="","",$L125*$N125)</f>
        <v/>
      </c>
      <c r="P125" s="13" t="str">
        <f aca="false">IF($C125="","",$L125+$O125)</f>
        <v/>
      </c>
      <c r="Q125" s="12"/>
      <c r="R125" s="13" t="str">
        <f aca="false">IF($C125="","",MAX(0,$P125-N($Q125)))</f>
        <v/>
      </c>
      <c r="S125" s="23" t="str">
        <f aca="false">IF(OR($C125="",$P125=0),"",IF(N($Q125)&lt;=0,"Chưa thanh toán",IF(N($Q125)&lt;$P125,"Thanh toán một phần","Đã thanh toán")))</f>
        <v/>
      </c>
      <c r="T125" s="13" t="str">
        <f aca="false">IF(OR($C125="",$J125=""),"",N($I125)*$J125)</f>
        <v/>
      </c>
      <c r="U125" s="13" t="str">
        <f aca="false">IF(OR($C125="",$T125=""),"",$L125-$T125)</f>
        <v/>
      </c>
      <c r="V125" s="14" t="str">
        <f aca="false">IF(OR($U125="",$L125=0),"",$U125/$L125)</f>
        <v/>
      </c>
      <c r="W125" s="11"/>
      <c r="X125" s="23" t="str">
        <f aca="false">IF($C125="","",IF(AND($H125="",N($I125)=0,N($K125)=0),"Dòng chỉ lưu thông tin khách (chưa có đơn); ",IF($B125="","Thiếu ngày đặt; ","")&amp;IF($H125="","Thiếu tên sản phẩm; ",IF($J125="","Chưa khai GIÁ GỐC ở BẢNG GIÁ GỐC; ",""))&amp;IF(N($I125)&lt;=0,"Thiếu số lượng; ","")&amp;IF(N($K125)&lt;=0,"Thiếu giá bán; ","")&amp;IF(AND($N125&gt;0,$F125=""),"Khách lấy VAT thiếu mã số thuế; ","")&amp;IF(N($Q125)&gt;$P125,"Đã thu vượt tổng phải thu; ","")&amp;IF(AND($L125&gt;0,$U125&lt;&gt;"",$U125&lt;0),"CẢNH BÁO: ĐƠN NÀY ĐANG LỖ; ","")))</f>
        <v/>
      </c>
    </row>
    <row r="126" customFormat="false" ht="15" hidden="false" customHeight="false" outlineLevel="0" collapsed="false">
      <c r="A126" s="21" t="str">
        <f aca="false">IF($C126="","",COUNTA($C$10:$C126))</f>
        <v/>
      </c>
      <c r="B126" s="18"/>
      <c r="C126" s="11"/>
      <c r="D126" s="11"/>
      <c r="E126" s="11"/>
      <c r="F126" s="11"/>
      <c r="G126" s="11"/>
      <c r="H126" s="11"/>
      <c r="I126" s="12"/>
      <c r="J126" s="13" t="str">
        <f aca="false">IF($H126="","",IFERROR(VLOOKUP($H126,'BẢNG GIÁ GỐC'!$A$5:$D$254,3,FALSE()),""))</f>
        <v/>
      </c>
      <c r="K126" s="12"/>
      <c r="L126" s="13" t="str">
        <f aca="false">IF($C126="","",N($I126)*N($K126))</f>
        <v/>
      </c>
      <c r="M126" s="11"/>
      <c r="N126" s="14" t="str">
        <f aca="false">IF($C126="","",IF($M126="VAT 5%",0.05,IF($M126="VAT 8%",0.08,IF($M126="VAT 10%",0.1,0))))</f>
        <v/>
      </c>
      <c r="O126" s="13" t="str">
        <f aca="false">IF($C126="","",$L126*$N126)</f>
        <v/>
      </c>
      <c r="P126" s="13" t="str">
        <f aca="false">IF($C126="","",$L126+$O126)</f>
        <v/>
      </c>
      <c r="Q126" s="12"/>
      <c r="R126" s="13" t="str">
        <f aca="false">IF($C126="","",MAX(0,$P126-N($Q126)))</f>
        <v/>
      </c>
      <c r="S126" s="23" t="str">
        <f aca="false">IF(OR($C126="",$P126=0),"",IF(N($Q126)&lt;=0,"Chưa thanh toán",IF(N($Q126)&lt;$P126,"Thanh toán một phần","Đã thanh toán")))</f>
        <v/>
      </c>
      <c r="T126" s="13" t="str">
        <f aca="false">IF(OR($C126="",$J126=""),"",N($I126)*$J126)</f>
        <v/>
      </c>
      <c r="U126" s="13" t="str">
        <f aca="false">IF(OR($C126="",$T126=""),"",$L126-$T126)</f>
        <v/>
      </c>
      <c r="V126" s="14" t="str">
        <f aca="false">IF(OR($U126="",$L126=0),"",$U126/$L126)</f>
        <v/>
      </c>
      <c r="W126" s="11"/>
      <c r="X126" s="23" t="str">
        <f aca="false">IF($C126="","",IF(AND($H126="",N($I126)=0,N($K126)=0),"Dòng chỉ lưu thông tin khách (chưa có đơn); ",IF($B126="","Thiếu ngày đặt; ","")&amp;IF($H126="","Thiếu tên sản phẩm; ",IF($J126="","Chưa khai GIÁ GỐC ở BẢNG GIÁ GỐC; ",""))&amp;IF(N($I126)&lt;=0,"Thiếu số lượng; ","")&amp;IF(N($K126)&lt;=0,"Thiếu giá bán; ","")&amp;IF(AND($N126&gt;0,$F126=""),"Khách lấy VAT thiếu mã số thuế; ","")&amp;IF(N($Q126)&gt;$P126,"Đã thu vượt tổng phải thu; ","")&amp;IF(AND($L126&gt;0,$U126&lt;&gt;"",$U126&lt;0),"CẢNH BÁO: ĐƠN NÀY ĐANG LỖ; ","")))</f>
        <v/>
      </c>
    </row>
    <row r="127" customFormat="false" ht="15" hidden="false" customHeight="false" outlineLevel="0" collapsed="false">
      <c r="A127" s="21" t="str">
        <f aca="false">IF($C127="","",COUNTA($C$10:$C127))</f>
        <v/>
      </c>
      <c r="B127" s="18"/>
      <c r="C127" s="11"/>
      <c r="D127" s="11"/>
      <c r="E127" s="11"/>
      <c r="F127" s="11"/>
      <c r="G127" s="11"/>
      <c r="H127" s="11"/>
      <c r="I127" s="12"/>
      <c r="J127" s="13" t="str">
        <f aca="false">IF($H127="","",IFERROR(VLOOKUP($H127,'BẢNG GIÁ GỐC'!$A$5:$D$254,3,FALSE()),""))</f>
        <v/>
      </c>
      <c r="K127" s="12"/>
      <c r="L127" s="13" t="str">
        <f aca="false">IF($C127="","",N($I127)*N($K127))</f>
        <v/>
      </c>
      <c r="M127" s="11"/>
      <c r="N127" s="14" t="str">
        <f aca="false">IF($C127="","",IF($M127="VAT 5%",0.05,IF($M127="VAT 8%",0.08,IF($M127="VAT 10%",0.1,0))))</f>
        <v/>
      </c>
      <c r="O127" s="13" t="str">
        <f aca="false">IF($C127="","",$L127*$N127)</f>
        <v/>
      </c>
      <c r="P127" s="13" t="str">
        <f aca="false">IF($C127="","",$L127+$O127)</f>
        <v/>
      </c>
      <c r="Q127" s="12"/>
      <c r="R127" s="13" t="str">
        <f aca="false">IF($C127="","",MAX(0,$P127-N($Q127)))</f>
        <v/>
      </c>
      <c r="S127" s="23" t="str">
        <f aca="false">IF(OR($C127="",$P127=0),"",IF(N($Q127)&lt;=0,"Chưa thanh toán",IF(N($Q127)&lt;$P127,"Thanh toán một phần","Đã thanh toán")))</f>
        <v/>
      </c>
      <c r="T127" s="13" t="str">
        <f aca="false">IF(OR($C127="",$J127=""),"",N($I127)*$J127)</f>
        <v/>
      </c>
      <c r="U127" s="13" t="str">
        <f aca="false">IF(OR($C127="",$T127=""),"",$L127-$T127)</f>
        <v/>
      </c>
      <c r="V127" s="14" t="str">
        <f aca="false">IF(OR($U127="",$L127=0),"",$U127/$L127)</f>
        <v/>
      </c>
      <c r="W127" s="11"/>
      <c r="X127" s="23" t="str">
        <f aca="false">IF($C127="","",IF(AND($H127="",N($I127)=0,N($K127)=0),"Dòng chỉ lưu thông tin khách (chưa có đơn); ",IF($B127="","Thiếu ngày đặt; ","")&amp;IF($H127="","Thiếu tên sản phẩm; ",IF($J127="","Chưa khai GIÁ GỐC ở BẢNG GIÁ GỐC; ",""))&amp;IF(N($I127)&lt;=0,"Thiếu số lượng; ","")&amp;IF(N($K127)&lt;=0,"Thiếu giá bán; ","")&amp;IF(AND($N127&gt;0,$F127=""),"Khách lấy VAT thiếu mã số thuế; ","")&amp;IF(N($Q127)&gt;$P127,"Đã thu vượt tổng phải thu; ","")&amp;IF(AND($L127&gt;0,$U127&lt;&gt;"",$U127&lt;0),"CẢNH BÁO: ĐƠN NÀY ĐANG LỖ; ","")))</f>
        <v/>
      </c>
    </row>
    <row r="128" customFormat="false" ht="15" hidden="false" customHeight="false" outlineLevel="0" collapsed="false">
      <c r="A128" s="21" t="str">
        <f aca="false">IF($C128="","",COUNTA($C$10:$C128))</f>
        <v/>
      </c>
      <c r="B128" s="18"/>
      <c r="C128" s="11"/>
      <c r="D128" s="11"/>
      <c r="E128" s="11"/>
      <c r="F128" s="11"/>
      <c r="G128" s="11"/>
      <c r="H128" s="11"/>
      <c r="I128" s="12"/>
      <c r="J128" s="13" t="str">
        <f aca="false">IF($H128="","",IFERROR(VLOOKUP($H128,'BẢNG GIÁ GỐC'!$A$5:$D$254,3,FALSE()),""))</f>
        <v/>
      </c>
      <c r="K128" s="12"/>
      <c r="L128" s="13" t="str">
        <f aca="false">IF($C128="","",N($I128)*N($K128))</f>
        <v/>
      </c>
      <c r="M128" s="11"/>
      <c r="N128" s="14" t="str">
        <f aca="false">IF($C128="","",IF($M128="VAT 5%",0.05,IF($M128="VAT 8%",0.08,IF($M128="VAT 10%",0.1,0))))</f>
        <v/>
      </c>
      <c r="O128" s="13" t="str">
        <f aca="false">IF($C128="","",$L128*$N128)</f>
        <v/>
      </c>
      <c r="P128" s="13" t="str">
        <f aca="false">IF($C128="","",$L128+$O128)</f>
        <v/>
      </c>
      <c r="Q128" s="12"/>
      <c r="R128" s="13" t="str">
        <f aca="false">IF($C128="","",MAX(0,$P128-N($Q128)))</f>
        <v/>
      </c>
      <c r="S128" s="23" t="str">
        <f aca="false">IF(OR($C128="",$P128=0),"",IF(N($Q128)&lt;=0,"Chưa thanh toán",IF(N($Q128)&lt;$P128,"Thanh toán một phần","Đã thanh toán")))</f>
        <v/>
      </c>
      <c r="T128" s="13" t="str">
        <f aca="false">IF(OR($C128="",$J128=""),"",N($I128)*$J128)</f>
        <v/>
      </c>
      <c r="U128" s="13" t="str">
        <f aca="false">IF(OR($C128="",$T128=""),"",$L128-$T128)</f>
        <v/>
      </c>
      <c r="V128" s="14" t="str">
        <f aca="false">IF(OR($U128="",$L128=0),"",$U128/$L128)</f>
        <v/>
      </c>
      <c r="W128" s="11"/>
      <c r="X128" s="23" t="str">
        <f aca="false">IF($C128="","",IF(AND($H128="",N($I128)=0,N($K128)=0),"Dòng chỉ lưu thông tin khách (chưa có đơn); ",IF($B128="","Thiếu ngày đặt; ","")&amp;IF($H128="","Thiếu tên sản phẩm; ",IF($J128="","Chưa khai GIÁ GỐC ở BẢNG GIÁ GỐC; ",""))&amp;IF(N($I128)&lt;=0,"Thiếu số lượng; ","")&amp;IF(N($K128)&lt;=0,"Thiếu giá bán; ","")&amp;IF(AND($N128&gt;0,$F128=""),"Khách lấy VAT thiếu mã số thuế; ","")&amp;IF(N($Q128)&gt;$P128,"Đã thu vượt tổng phải thu; ","")&amp;IF(AND($L128&gt;0,$U128&lt;&gt;"",$U128&lt;0),"CẢNH BÁO: ĐƠN NÀY ĐANG LỖ; ","")))</f>
        <v/>
      </c>
    </row>
    <row r="129" customFormat="false" ht="15" hidden="false" customHeight="false" outlineLevel="0" collapsed="false">
      <c r="A129" s="21" t="str">
        <f aca="false">IF($C129="","",COUNTA($C$10:$C129))</f>
        <v/>
      </c>
      <c r="B129" s="18"/>
      <c r="C129" s="11"/>
      <c r="D129" s="11"/>
      <c r="E129" s="11"/>
      <c r="F129" s="11"/>
      <c r="G129" s="11"/>
      <c r="H129" s="11"/>
      <c r="I129" s="12"/>
      <c r="J129" s="13" t="str">
        <f aca="false">IF($H129="","",IFERROR(VLOOKUP($H129,'BẢNG GIÁ GỐC'!$A$5:$D$254,3,FALSE()),""))</f>
        <v/>
      </c>
      <c r="K129" s="12"/>
      <c r="L129" s="13" t="str">
        <f aca="false">IF($C129="","",N($I129)*N($K129))</f>
        <v/>
      </c>
      <c r="M129" s="11"/>
      <c r="N129" s="14" t="str">
        <f aca="false">IF($C129="","",IF($M129="VAT 5%",0.05,IF($M129="VAT 8%",0.08,IF($M129="VAT 10%",0.1,0))))</f>
        <v/>
      </c>
      <c r="O129" s="13" t="str">
        <f aca="false">IF($C129="","",$L129*$N129)</f>
        <v/>
      </c>
      <c r="P129" s="13" t="str">
        <f aca="false">IF($C129="","",$L129+$O129)</f>
        <v/>
      </c>
      <c r="Q129" s="12"/>
      <c r="R129" s="13" t="str">
        <f aca="false">IF($C129="","",MAX(0,$P129-N($Q129)))</f>
        <v/>
      </c>
      <c r="S129" s="23" t="str">
        <f aca="false">IF(OR($C129="",$P129=0),"",IF(N($Q129)&lt;=0,"Chưa thanh toán",IF(N($Q129)&lt;$P129,"Thanh toán một phần","Đã thanh toán")))</f>
        <v/>
      </c>
      <c r="T129" s="13" t="str">
        <f aca="false">IF(OR($C129="",$J129=""),"",N($I129)*$J129)</f>
        <v/>
      </c>
      <c r="U129" s="13" t="str">
        <f aca="false">IF(OR($C129="",$T129=""),"",$L129-$T129)</f>
        <v/>
      </c>
      <c r="V129" s="14" t="str">
        <f aca="false">IF(OR($U129="",$L129=0),"",$U129/$L129)</f>
        <v/>
      </c>
      <c r="W129" s="11"/>
      <c r="X129" s="23" t="str">
        <f aca="false">IF($C129="","",IF(AND($H129="",N($I129)=0,N($K129)=0),"Dòng chỉ lưu thông tin khách (chưa có đơn); ",IF($B129="","Thiếu ngày đặt; ","")&amp;IF($H129="","Thiếu tên sản phẩm; ",IF($J129="","Chưa khai GIÁ GỐC ở BẢNG GIÁ GỐC; ",""))&amp;IF(N($I129)&lt;=0,"Thiếu số lượng; ","")&amp;IF(N($K129)&lt;=0,"Thiếu giá bán; ","")&amp;IF(AND($N129&gt;0,$F129=""),"Khách lấy VAT thiếu mã số thuế; ","")&amp;IF(N($Q129)&gt;$P129,"Đã thu vượt tổng phải thu; ","")&amp;IF(AND($L129&gt;0,$U129&lt;&gt;"",$U129&lt;0),"CẢNH BÁO: ĐƠN NÀY ĐANG LỖ; ","")))</f>
        <v/>
      </c>
    </row>
    <row r="130" customFormat="false" ht="15" hidden="false" customHeight="false" outlineLevel="0" collapsed="false">
      <c r="A130" s="21" t="str">
        <f aca="false">IF($C130="","",COUNTA($C$10:$C130))</f>
        <v/>
      </c>
      <c r="B130" s="18"/>
      <c r="C130" s="11"/>
      <c r="D130" s="11"/>
      <c r="E130" s="11"/>
      <c r="F130" s="11"/>
      <c r="G130" s="11"/>
      <c r="H130" s="11"/>
      <c r="I130" s="12"/>
      <c r="J130" s="13" t="str">
        <f aca="false">IF($H130="","",IFERROR(VLOOKUP($H130,'BẢNG GIÁ GỐC'!$A$5:$D$254,3,FALSE()),""))</f>
        <v/>
      </c>
      <c r="K130" s="12"/>
      <c r="L130" s="13" t="str">
        <f aca="false">IF($C130="","",N($I130)*N($K130))</f>
        <v/>
      </c>
      <c r="M130" s="11"/>
      <c r="N130" s="14" t="str">
        <f aca="false">IF($C130="","",IF($M130="VAT 5%",0.05,IF($M130="VAT 8%",0.08,IF($M130="VAT 10%",0.1,0))))</f>
        <v/>
      </c>
      <c r="O130" s="13" t="str">
        <f aca="false">IF($C130="","",$L130*$N130)</f>
        <v/>
      </c>
      <c r="P130" s="13" t="str">
        <f aca="false">IF($C130="","",$L130+$O130)</f>
        <v/>
      </c>
      <c r="Q130" s="12"/>
      <c r="R130" s="13" t="str">
        <f aca="false">IF($C130="","",MAX(0,$P130-N($Q130)))</f>
        <v/>
      </c>
      <c r="S130" s="23" t="str">
        <f aca="false">IF(OR($C130="",$P130=0),"",IF(N($Q130)&lt;=0,"Chưa thanh toán",IF(N($Q130)&lt;$P130,"Thanh toán một phần","Đã thanh toán")))</f>
        <v/>
      </c>
      <c r="T130" s="13" t="str">
        <f aca="false">IF(OR($C130="",$J130=""),"",N($I130)*$J130)</f>
        <v/>
      </c>
      <c r="U130" s="13" t="str">
        <f aca="false">IF(OR($C130="",$T130=""),"",$L130-$T130)</f>
        <v/>
      </c>
      <c r="V130" s="14" t="str">
        <f aca="false">IF(OR($U130="",$L130=0),"",$U130/$L130)</f>
        <v/>
      </c>
      <c r="W130" s="11"/>
      <c r="X130" s="23" t="str">
        <f aca="false">IF($C130="","",IF(AND($H130="",N($I130)=0,N($K130)=0),"Dòng chỉ lưu thông tin khách (chưa có đơn); ",IF($B130="","Thiếu ngày đặt; ","")&amp;IF($H130="","Thiếu tên sản phẩm; ",IF($J130="","Chưa khai GIÁ GỐC ở BẢNG GIÁ GỐC; ",""))&amp;IF(N($I130)&lt;=0,"Thiếu số lượng; ","")&amp;IF(N($K130)&lt;=0,"Thiếu giá bán; ","")&amp;IF(AND($N130&gt;0,$F130=""),"Khách lấy VAT thiếu mã số thuế; ","")&amp;IF(N($Q130)&gt;$P130,"Đã thu vượt tổng phải thu; ","")&amp;IF(AND($L130&gt;0,$U130&lt;&gt;"",$U130&lt;0),"CẢNH BÁO: ĐƠN NÀY ĐANG LỖ; ","")))</f>
        <v/>
      </c>
    </row>
    <row r="131" customFormat="false" ht="15" hidden="false" customHeight="false" outlineLevel="0" collapsed="false">
      <c r="A131" s="21" t="str">
        <f aca="false">IF($C131="","",COUNTA($C$10:$C131))</f>
        <v/>
      </c>
      <c r="B131" s="18"/>
      <c r="C131" s="11"/>
      <c r="D131" s="11"/>
      <c r="E131" s="11"/>
      <c r="F131" s="11"/>
      <c r="G131" s="11"/>
      <c r="H131" s="11"/>
      <c r="I131" s="12"/>
      <c r="J131" s="13" t="str">
        <f aca="false">IF($H131="","",IFERROR(VLOOKUP($H131,'BẢNG GIÁ GỐC'!$A$5:$D$254,3,FALSE()),""))</f>
        <v/>
      </c>
      <c r="K131" s="12"/>
      <c r="L131" s="13" t="str">
        <f aca="false">IF($C131="","",N($I131)*N($K131))</f>
        <v/>
      </c>
      <c r="M131" s="11"/>
      <c r="N131" s="14" t="str">
        <f aca="false">IF($C131="","",IF($M131="VAT 5%",0.05,IF($M131="VAT 8%",0.08,IF($M131="VAT 10%",0.1,0))))</f>
        <v/>
      </c>
      <c r="O131" s="13" t="str">
        <f aca="false">IF($C131="","",$L131*$N131)</f>
        <v/>
      </c>
      <c r="P131" s="13" t="str">
        <f aca="false">IF($C131="","",$L131+$O131)</f>
        <v/>
      </c>
      <c r="Q131" s="12"/>
      <c r="R131" s="13" t="str">
        <f aca="false">IF($C131="","",MAX(0,$P131-N($Q131)))</f>
        <v/>
      </c>
      <c r="S131" s="23" t="str">
        <f aca="false">IF(OR($C131="",$P131=0),"",IF(N($Q131)&lt;=0,"Chưa thanh toán",IF(N($Q131)&lt;$P131,"Thanh toán một phần","Đã thanh toán")))</f>
        <v/>
      </c>
      <c r="T131" s="13" t="str">
        <f aca="false">IF(OR($C131="",$J131=""),"",N($I131)*$J131)</f>
        <v/>
      </c>
      <c r="U131" s="13" t="str">
        <f aca="false">IF(OR($C131="",$T131=""),"",$L131-$T131)</f>
        <v/>
      </c>
      <c r="V131" s="14" t="str">
        <f aca="false">IF(OR($U131="",$L131=0),"",$U131/$L131)</f>
        <v/>
      </c>
      <c r="W131" s="11"/>
      <c r="X131" s="23" t="str">
        <f aca="false">IF($C131="","",IF(AND($H131="",N($I131)=0,N($K131)=0),"Dòng chỉ lưu thông tin khách (chưa có đơn); ",IF($B131="","Thiếu ngày đặt; ","")&amp;IF($H131="","Thiếu tên sản phẩm; ",IF($J131="","Chưa khai GIÁ GỐC ở BẢNG GIÁ GỐC; ",""))&amp;IF(N($I131)&lt;=0,"Thiếu số lượng; ","")&amp;IF(N($K131)&lt;=0,"Thiếu giá bán; ","")&amp;IF(AND($N131&gt;0,$F131=""),"Khách lấy VAT thiếu mã số thuế; ","")&amp;IF(N($Q131)&gt;$P131,"Đã thu vượt tổng phải thu; ","")&amp;IF(AND($L131&gt;0,$U131&lt;&gt;"",$U131&lt;0),"CẢNH BÁO: ĐƠN NÀY ĐANG LỖ; ","")))</f>
        <v/>
      </c>
    </row>
    <row r="132" customFormat="false" ht="15" hidden="false" customHeight="false" outlineLevel="0" collapsed="false">
      <c r="A132" s="21" t="str">
        <f aca="false">IF($C132="","",COUNTA($C$10:$C132))</f>
        <v/>
      </c>
      <c r="B132" s="18"/>
      <c r="C132" s="11"/>
      <c r="D132" s="11"/>
      <c r="E132" s="11"/>
      <c r="F132" s="11"/>
      <c r="G132" s="11"/>
      <c r="H132" s="11"/>
      <c r="I132" s="12"/>
      <c r="J132" s="13" t="str">
        <f aca="false">IF($H132="","",IFERROR(VLOOKUP($H132,'BẢNG GIÁ GỐC'!$A$5:$D$254,3,FALSE()),""))</f>
        <v/>
      </c>
      <c r="K132" s="12"/>
      <c r="L132" s="13" t="str">
        <f aca="false">IF($C132="","",N($I132)*N($K132))</f>
        <v/>
      </c>
      <c r="M132" s="11"/>
      <c r="N132" s="14" t="str">
        <f aca="false">IF($C132="","",IF($M132="VAT 5%",0.05,IF($M132="VAT 8%",0.08,IF($M132="VAT 10%",0.1,0))))</f>
        <v/>
      </c>
      <c r="O132" s="13" t="str">
        <f aca="false">IF($C132="","",$L132*$N132)</f>
        <v/>
      </c>
      <c r="P132" s="13" t="str">
        <f aca="false">IF($C132="","",$L132+$O132)</f>
        <v/>
      </c>
      <c r="Q132" s="12"/>
      <c r="R132" s="13" t="str">
        <f aca="false">IF($C132="","",MAX(0,$P132-N($Q132)))</f>
        <v/>
      </c>
      <c r="S132" s="23" t="str">
        <f aca="false">IF(OR($C132="",$P132=0),"",IF(N($Q132)&lt;=0,"Chưa thanh toán",IF(N($Q132)&lt;$P132,"Thanh toán một phần","Đã thanh toán")))</f>
        <v/>
      </c>
      <c r="T132" s="13" t="str">
        <f aca="false">IF(OR($C132="",$J132=""),"",N($I132)*$J132)</f>
        <v/>
      </c>
      <c r="U132" s="13" t="str">
        <f aca="false">IF(OR($C132="",$T132=""),"",$L132-$T132)</f>
        <v/>
      </c>
      <c r="V132" s="14" t="str">
        <f aca="false">IF(OR($U132="",$L132=0),"",$U132/$L132)</f>
        <v/>
      </c>
      <c r="W132" s="11"/>
      <c r="X132" s="23" t="str">
        <f aca="false">IF($C132="","",IF(AND($H132="",N($I132)=0,N($K132)=0),"Dòng chỉ lưu thông tin khách (chưa có đơn); ",IF($B132="","Thiếu ngày đặt; ","")&amp;IF($H132="","Thiếu tên sản phẩm; ",IF($J132="","Chưa khai GIÁ GỐC ở BẢNG GIÁ GỐC; ",""))&amp;IF(N($I132)&lt;=0,"Thiếu số lượng; ","")&amp;IF(N($K132)&lt;=0,"Thiếu giá bán; ","")&amp;IF(AND($N132&gt;0,$F132=""),"Khách lấy VAT thiếu mã số thuế; ","")&amp;IF(N($Q132)&gt;$P132,"Đã thu vượt tổng phải thu; ","")&amp;IF(AND($L132&gt;0,$U132&lt;&gt;"",$U132&lt;0),"CẢNH BÁO: ĐƠN NÀY ĐANG LỖ; ","")))</f>
        <v/>
      </c>
    </row>
    <row r="133" customFormat="false" ht="15" hidden="false" customHeight="false" outlineLevel="0" collapsed="false">
      <c r="A133" s="21" t="str">
        <f aca="false">IF($C133="","",COUNTA($C$10:$C133))</f>
        <v/>
      </c>
      <c r="B133" s="18"/>
      <c r="C133" s="11"/>
      <c r="D133" s="11"/>
      <c r="E133" s="11"/>
      <c r="F133" s="11"/>
      <c r="G133" s="11"/>
      <c r="H133" s="11"/>
      <c r="I133" s="12"/>
      <c r="J133" s="13" t="str">
        <f aca="false">IF($H133="","",IFERROR(VLOOKUP($H133,'BẢNG GIÁ GỐC'!$A$5:$D$254,3,FALSE()),""))</f>
        <v/>
      </c>
      <c r="K133" s="12"/>
      <c r="L133" s="13" t="str">
        <f aca="false">IF($C133="","",N($I133)*N($K133))</f>
        <v/>
      </c>
      <c r="M133" s="11"/>
      <c r="N133" s="14" t="str">
        <f aca="false">IF($C133="","",IF($M133="VAT 5%",0.05,IF($M133="VAT 8%",0.08,IF($M133="VAT 10%",0.1,0))))</f>
        <v/>
      </c>
      <c r="O133" s="13" t="str">
        <f aca="false">IF($C133="","",$L133*$N133)</f>
        <v/>
      </c>
      <c r="P133" s="13" t="str">
        <f aca="false">IF($C133="","",$L133+$O133)</f>
        <v/>
      </c>
      <c r="Q133" s="12"/>
      <c r="R133" s="13" t="str">
        <f aca="false">IF($C133="","",MAX(0,$P133-N($Q133)))</f>
        <v/>
      </c>
      <c r="S133" s="23" t="str">
        <f aca="false">IF(OR($C133="",$P133=0),"",IF(N($Q133)&lt;=0,"Chưa thanh toán",IF(N($Q133)&lt;$P133,"Thanh toán một phần","Đã thanh toán")))</f>
        <v/>
      </c>
      <c r="T133" s="13" t="str">
        <f aca="false">IF(OR($C133="",$J133=""),"",N($I133)*$J133)</f>
        <v/>
      </c>
      <c r="U133" s="13" t="str">
        <f aca="false">IF(OR($C133="",$T133=""),"",$L133-$T133)</f>
        <v/>
      </c>
      <c r="V133" s="14" t="str">
        <f aca="false">IF(OR($U133="",$L133=0),"",$U133/$L133)</f>
        <v/>
      </c>
      <c r="W133" s="11"/>
      <c r="X133" s="23" t="str">
        <f aca="false">IF($C133="","",IF(AND($H133="",N($I133)=0,N($K133)=0),"Dòng chỉ lưu thông tin khách (chưa có đơn); ",IF($B133="","Thiếu ngày đặt; ","")&amp;IF($H133="","Thiếu tên sản phẩm; ",IF($J133="","Chưa khai GIÁ GỐC ở BẢNG GIÁ GỐC; ",""))&amp;IF(N($I133)&lt;=0,"Thiếu số lượng; ","")&amp;IF(N($K133)&lt;=0,"Thiếu giá bán; ","")&amp;IF(AND($N133&gt;0,$F133=""),"Khách lấy VAT thiếu mã số thuế; ","")&amp;IF(N($Q133)&gt;$P133,"Đã thu vượt tổng phải thu; ","")&amp;IF(AND($L133&gt;0,$U133&lt;&gt;"",$U133&lt;0),"CẢNH BÁO: ĐƠN NÀY ĐANG LỖ; ","")))</f>
        <v/>
      </c>
    </row>
    <row r="134" customFormat="false" ht="15" hidden="false" customHeight="false" outlineLevel="0" collapsed="false">
      <c r="A134" s="21" t="str">
        <f aca="false">IF($C134="","",COUNTA($C$10:$C134))</f>
        <v/>
      </c>
      <c r="B134" s="18"/>
      <c r="C134" s="11"/>
      <c r="D134" s="11"/>
      <c r="E134" s="11"/>
      <c r="F134" s="11"/>
      <c r="G134" s="11"/>
      <c r="H134" s="11"/>
      <c r="I134" s="12"/>
      <c r="J134" s="13" t="str">
        <f aca="false">IF($H134="","",IFERROR(VLOOKUP($H134,'BẢNG GIÁ GỐC'!$A$5:$D$254,3,FALSE()),""))</f>
        <v/>
      </c>
      <c r="K134" s="12"/>
      <c r="L134" s="13" t="str">
        <f aca="false">IF($C134="","",N($I134)*N($K134))</f>
        <v/>
      </c>
      <c r="M134" s="11"/>
      <c r="N134" s="14" t="str">
        <f aca="false">IF($C134="","",IF($M134="VAT 5%",0.05,IF($M134="VAT 8%",0.08,IF($M134="VAT 10%",0.1,0))))</f>
        <v/>
      </c>
      <c r="O134" s="13" t="str">
        <f aca="false">IF($C134="","",$L134*$N134)</f>
        <v/>
      </c>
      <c r="P134" s="13" t="str">
        <f aca="false">IF($C134="","",$L134+$O134)</f>
        <v/>
      </c>
      <c r="Q134" s="12"/>
      <c r="R134" s="13" t="str">
        <f aca="false">IF($C134="","",MAX(0,$P134-N($Q134)))</f>
        <v/>
      </c>
      <c r="S134" s="23" t="str">
        <f aca="false">IF(OR($C134="",$P134=0),"",IF(N($Q134)&lt;=0,"Chưa thanh toán",IF(N($Q134)&lt;$P134,"Thanh toán một phần","Đã thanh toán")))</f>
        <v/>
      </c>
      <c r="T134" s="13" t="str">
        <f aca="false">IF(OR($C134="",$J134=""),"",N($I134)*$J134)</f>
        <v/>
      </c>
      <c r="U134" s="13" t="str">
        <f aca="false">IF(OR($C134="",$T134=""),"",$L134-$T134)</f>
        <v/>
      </c>
      <c r="V134" s="14" t="str">
        <f aca="false">IF(OR($U134="",$L134=0),"",$U134/$L134)</f>
        <v/>
      </c>
      <c r="W134" s="11"/>
      <c r="X134" s="23" t="str">
        <f aca="false">IF($C134="","",IF(AND($H134="",N($I134)=0,N($K134)=0),"Dòng chỉ lưu thông tin khách (chưa có đơn); ",IF($B134="","Thiếu ngày đặt; ","")&amp;IF($H134="","Thiếu tên sản phẩm; ",IF($J134="","Chưa khai GIÁ GỐC ở BẢNG GIÁ GỐC; ",""))&amp;IF(N($I134)&lt;=0,"Thiếu số lượng; ","")&amp;IF(N($K134)&lt;=0,"Thiếu giá bán; ","")&amp;IF(AND($N134&gt;0,$F134=""),"Khách lấy VAT thiếu mã số thuế; ","")&amp;IF(N($Q134)&gt;$P134,"Đã thu vượt tổng phải thu; ","")&amp;IF(AND($L134&gt;0,$U134&lt;&gt;"",$U134&lt;0),"CẢNH BÁO: ĐƠN NÀY ĐANG LỖ; ","")))</f>
        <v/>
      </c>
    </row>
    <row r="135" customFormat="false" ht="15" hidden="false" customHeight="false" outlineLevel="0" collapsed="false">
      <c r="A135" s="21" t="str">
        <f aca="false">IF($C135="","",COUNTA($C$10:$C135))</f>
        <v/>
      </c>
      <c r="B135" s="18"/>
      <c r="C135" s="11"/>
      <c r="D135" s="11"/>
      <c r="E135" s="11"/>
      <c r="F135" s="11"/>
      <c r="G135" s="11"/>
      <c r="H135" s="11"/>
      <c r="I135" s="12"/>
      <c r="J135" s="13" t="str">
        <f aca="false">IF($H135="","",IFERROR(VLOOKUP($H135,'BẢNG GIÁ GỐC'!$A$5:$D$254,3,FALSE()),""))</f>
        <v/>
      </c>
      <c r="K135" s="12"/>
      <c r="L135" s="13" t="str">
        <f aca="false">IF($C135="","",N($I135)*N($K135))</f>
        <v/>
      </c>
      <c r="M135" s="11"/>
      <c r="N135" s="14" t="str">
        <f aca="false">IF($C135="","",IF($M135="VAT 5%",0.05,IF($M135="VAT 8%",0.08,IF($M135="VAT 10%",0.1,0))))</f>
        <v/>
      </c>
      <c r="O135" s="13" t="str">
        <f aca="false">IF($C135="","",$L135*$N135)</f>
        <v/>
      </c>
      <c r="P135" s="13" t="str">
        <f aca="false">IF($C135="","",$L135+$O135)</f>
        <v/>
      </c>
      <c r="Q135" s="12"/>
      <c r="R135" s="13" t="str">
        <f aca="false">IF($C135="","",MAX(0,$P135-N($Q135)))</f>
        <v/>
      </c>
      <c r="S135" s="23" t="str">
        <f aca="false">IF(OR($C135="",$P135=0),"",IF(N($Q135)&lt;=0,"Chưa thanh toán",IF(N($Q135)&lt;$P135,"Thanh toán một phần","Đã thanh toán")))</f>
        <v/>
      </c>
      <c r="T135" s="13" t="str">
        <f aca="false">IF(OR($C135="",$J135=""),"",N($I135)*$J135)</f>
        <v/>
      </c>
      <c r="U135" s="13" t="str">
        <f aca="false">IF(OR($C135="",$T135=""),"",$L135-$T135)</f>
        <v/>
      </c>
      <c r="V135" s="14" t="str">
        <f aca="false">IF(OR($U135="",$L135=0),"",$U135/$L135)</f>
        <v/>
      </c>
      <c r="W135" s="11"/>
      <c r="X135" s="23" t="str">
        <f aca="false">IF($C135="","",IF(AND($H135="",N($I135)=0,N($K135)=0),"Dòng chỉ lưu thông tin khách (chưa có đơn); ",IF($B135="","Thiếu ngày đặt; ","")&amp;IF($H135="","Thiếu tên sản phẩm; ",IF($J135="","Chưa khai GIÁ GỐC ở BẢNG GIÁ GỐC; ",""))&amp;IF(N($I135)&lt;=0,"Thiếu số lượng; ","")&amp;IF(N($K135)&lt;=0,"Thiếu giá bán; ","")&amp;IF(AND($N135&gt;0,$F135=""),"Khách lấy VAT thiếu mã số thuế; ","")&amp;IF(N($Q135)&gt;$P135,"Đã thu vượt tổng phải thu; ","")&amp;IF(AND($L135&gt;0,$U135&lt;&gt;"",$U135&lt;0),"CẢNH BÁO: ĐƠN NÀY ĐANG LỖ; ","")))</f>
        <v/>
      </c>
    </row>
    <row r="136" customFormat="false" ht="15" hidden="false" customHeight="false" outlineLevel="0" collapsed="false">
      <c r="A136" s="21" t="str">
        <f aca="false">IF($C136="","",COUNTA($C$10:$C136))</f>
        <v/>
      </c>
      <c r="B136" s="18"/>
      <c r="C136" s="11"/>
      <c r="D136" s="11"/>
      <c r="E136" s="11"/>
      <c r="F136" s="11"/>
      <c r="G136" s="11"/>
      <c r="H136" s="11"/>
      <c r="I136" s="12"/>
      <c r="J136" s="13" t="str">
        <f aca="false">IF($H136="","",IFERROR(VLOOKUP($H136,'BẢNG GIÁ GỐC'!$A$5:$D$254,3,FALSE()),""))</f>
        <v/>
      </c>
      <c r="K136" s="12"/>
      <c r="L136" s="13" t="str">
        <f aca="false">IF($C136="","",N($I136)*N($K136))</f>
        <v/>
      </c>
      <c r="M136" s="11"/>
      <c r="N136" s="14" t="str">
        <f aca="false">IF($C136="","",IF($M136="VAT 5%",0.05,IF($M136="VAT 8%",0.08,IF($M136="VAT 10%",0.1,0))))</f>
        <v/>
      </c>
      <c r="O136" s="13" t="str">
        <f aca="false">IF($C136="","",$L136*$N136)</f>
        <v/>
      </c>
      <c r="P136" s="13" t="str">
        <f aca="false">IF($C136="","",$L136+$O136)</f>
        <v/>
      </c>
      <c r="Q136" s="12"/>
      <c r="R136" s="13" t="str">
        <f aca="false">IF($C136="","",MAX(0,$P136-N($Q136)))</f>
        <v/>
      </c>
      <c r="S136" s="23" t="str">
        <f aca="false">IF(OR($C136="",$P136=0),"",IF(N($Q136)&lt;=0,"Chưa thanh toán",IF(N($Q136)&lt;$P136,"Thanh toán một phần","Đã thanh toán")))</f>
        <v/>
      </c>
      <c r="T136" s="13" t="str">
        <f aca="false">IF(OR($C136="",$J136=""),"",N($I136)*$J136)</f>
        <v/>
      </c>
      <c r="U136" s="13" t="str">
        <f aca="false">IF(OR($C136="",$T136=""),"",$L136-$T136)</f>
        <v/>
      </c>
      <c r="V136" s="14" t="str">
        <f aca="false">IF(OR($U136="",$L136=0),"",$U136/$L136)</f>
        <v/>
      </c>
      <c r="W136" s="11"/>
      <c r="X136" s="23" t="str">
        <f aca="false">IF($C136="","",IF(AND($H136="",N($I136)=0,N($K136)=0),"Dòng chỉ lưu thông tin khách (chưa có đơn); ",IF($B136="","Thiếu ngày đặt; ","")&amp;IF($H136="","Thiếu tên sản phẩm; ",IF($J136="","Chưa khai GIÁ GỐC ở BẢNG GIÁ GỐC; ",""))&amp;IF(N($I136)&lt;=0,"Thiếu số lượng; ","")&amp;IF(N($K136)&lt;=0,"Thiếu giá bán; ","")&amp;IF(AND($N136&gt;0,$F136=""),"Khách lấy VAT thiếu mã số thuế; ","")&amp;IF(N($Q136)&gt;$P136,"Đã thu vượt tổng phải thu; ","")&amp;IF(AND($L136&gt;0,$U136&lt;&gt;"",$U136&lt;0),"CẢNH BÁO: ĐƠN NÀY ĐANG LỖ; ","")))</f>
        <v/>
      </c>
    </row>
    <row r="137" customFormat="false" ht="15" hidden="false" customHeight="false" outlineLevel="0" collapsed="false">
      <c r="A137" s="21" t="str">
        <f aca="false">IF($C137="","",COUNTA($C$10:$C137))</f>
        <v/>
      </c>
      <c r="B137" s="18"/>
      <c r="C137" s="11"/>
      <c r="D137" s="11"/>
      <c r="E137" s="11"/>
      <c r="F137" s="11"/>
      <c r="G137" s="11"/>
      <c r="H137" s="11"/>
      <c r="I137" s="12"/>
      <c r="J137" s="13" t="str">
        <f aca="false">IF($H137="","",IFERROR(VLOOKUP($H137,'BẢNG GIÁ GỐC'!$A$5:$D$254,3,FALSE()),""))</f>
        <v/>
      </c>
      <c r="K137" s="12"/>
      <c r="L137" s="13" t="str">
        <f aca="false">IF($C137="","",N($I137)*N($K137))</f>
        <v/>
      </c>
      <c r="M137" s="11"/>
      <c r="N137" s="14" t="str">
        <f aca="false">IF($C137="","",IF($M137="VAT 5%",0.05,IF($M137="VAT 8%",0.08,IF($M137="VAT 10%",0.1,0))))</f>
        <v/>
      </c>
      <c r="O137" s="13" t="str">
        <f aca="false">IF($C137="","",$L137*$N137)</f>
        <v/>
      </c>
      <c r="P137" s="13" t="str">
        <f aca="false">IF($C137="","",$L137+$O137)</f>
        <v/>
      </c>
      <c r="Q137" s="12"/>
      <c r="R137" s="13" t="str">
        <f aca="false">IF($C137="","",MAX(0,$P137-N($Q137)))</f>
        <v/>
      </c>
      <c r="S137" s="23" t="str">
        <f aca="false">IF(OR($C137="",$P137=0),"",IF(N($Q137)&lt;=0,"Chưa thanh toán",IF(N($Q137)&lt;$P137,"Thanh toán một phần","Đã thanh toán")))</f>
        <v/>
      </c>
      <c r="T137" s="13" t="str">
        <f aca="false">IF(OR($C137="",$J137=""),"",N($I137)*$J137)</f>
        <v/>
      </c>
      <c r="U137" s="13" t="str">
        <f aca="false">IF(OR($C137="",$T137=""),"",$L137-$T137)</f>
        <v/>
      </c>
      <c r="V137" s="14" t="str">
        <f aca="false">IF(OR($U137="",$L137=0),"",$U137/$L137)</f>
        <v/>
      </c>
      <c r="W137" s="11"/>
      <c r="X137" s="23" t="str">
        <f aca="false">IF($C137="","",IF(AND($H137="",N($I137)=0,N($K137)=0),"Dòng chỉ lưu thông tin khách (chưa có đơn); ",IF($B137="","Thiếu ngày đặt; ","")&amp;IF($H137="","Thiếu tên sản phẩm; ",IF($J137="","Chưa khai GIÁ GỐC ở BẢNG GIÁ GỐC; ",""))&amp;IF(N($I137)&lt;=0,"Thiếu số lượng; ","")&amp;IF(N($K137)&lt;=0,"Thiếu giá bán; ","")&amp;IF(AND($N137&gt;0,$F137=""),"Khách lấy VAT thiếu mã số thuế; ","")&amp;IF(N($Q137)&gt;$P137,"Đã thu vượt tổng phải thu; ","")&amp;IF(AND($L137&gt;0,$U137&lt;&gt;"",$U137&lt;0),"CẢNH BÁO: ĐƠN NÀY ĐANG LỖ; ","")))</f>
        <v/>
      </c>
    </row>
    <row r="138" customFormat="false" ht="15" hidden="false" customHeight="false" outlineLevel="0" collapsed="false">
      <c r="A138" s="21" t="str">
        <f aca="false">IF($C138="","",COUNTA($C$10:$C138))</f>
        <v/>
      </c>
      <c r="B138" s="18"/>
      <c r="C138" s="11"/>
      <c r="D138" s="11"/>
      <c r="E138" s="11"/>
      <c r="F138" s="11"/>
      <c r="G138" s="11"/>
      <c r="H138" s="11"/>
      <c r="I138" s="12"/>
      <c r="J138" s="13" t="str">
        <f aca="false">IF($H138="","",IFERROR(VLOOKUP($H138,'BẢNG GIÁ GỐC'!$A$5:$D$254,3,FALSE()),""))</f>
        <v/>
      </c>
      <c r="K138" s="12"/>
      <c r="L138" s="13" t="str">
        <f aca="false">IF($C138="","",N($I138)*N($K138))</f>
        <v/>
      </c>
      <c r="M138" s="11"/>
      <c r="N138" s="14" t="str">
        <f aca="false">IF($C138="","",IF($M138="VAT 5%",0.05,IF($M138="VAT 8%",0.08,IF($M138="VAT 10%",0.1,0))))</f>
        <v/>
      </c>
      <c r="O138" s="13" t="str">
        <f aca="false">IF($C138="","",$L138*$N138)</f>
        <v/>
      </c>
      <c r="P138" s="13" t="str">
        <f aca="false">IF($C138="","",$L138+$O138)</f>
        <v/>
      </c>
      <c r="Q138" s="12"/>
      <c r="R138" s="13" t="str">
        <f aca="false">IF($C138="","",MAX(0,$P138-N($Q138)))</f>
        <v/>
      </c>
      <c r="S138" s="23" t="str">
        <f aca="false">IF(OR($C138="",$P138=0),"",IF(N($Q138)&lt;=0,"Chưa thanh toán",IF(N($Q138)&lt;$P138,"Thanh toán một phần","Đã thanh toán")))</f>
        <v/>
      </c>
      <c r="T138" s="13" t="str">
        <f aca="false">IF(OR($C138="",$J138=""),"",N($I138)*$J138)</f>
        <v/>
      </c>
      <c r="U138" s="13" t="str">
        <f aca="false">IF(OR($C138="",$T138=""),"",$L138-$T138)</f>
        <v/>
      </c>
      <c r="V138" s="14" t="str">
        <f aca="false">IF(OR($U138="",$L138=0),"",$U138/$L138)</f>
        <v/>
      </c>
      <c r="W138" s="11"/>
      <c r="X138" s="23" t="str">
        <f aca="false">IF($C138="","",IF(AND($H138="",N($I138)=0,N($K138)=0),"Dòng chỉ lưu thông tin khách (chưa có đơn); ",IF($B138="","Thiếu ngày đặt; ","")&amp;IF($H138="","Thiếu tên sản phẩm; ",IF($J138="","Chưa khai GIÁ GỐC ở BẢNG GIÁ GỐC; ",""))&amp;IF(N($I138)&lt;=0,"Thiếu số lượng; ","")&amp;IF(N($K138)&lt;=0,"Thiếu giá bán; ","")&amp;IF(AND($N138&gt;0,$F138=""),"Khách lấy VAT thiếu mã số thuế; ","")&amp;IF(N($Q138)&gt;$P138,"Đã thu vượt tổng phải thu; ","")&amp;IF(AND($L138&gt;0,$U138&lt;&gt;"",$U138&lt;0),"CẢNH BÁO: ĐƠN NÀY ĐANG LỖ; ","")))</f>
        <v/>
      </c>
    </row>
    <row r="139" customFormat="false" ht="15" hidden="false" customHeight="false" outlineLevel="0" collapsed="false">
      <c r="A139" s="21" t="str">
        <f aca="false">IF($C139="","",COUNTA($C$10:$C139))</f>
        <v/>
      </c>
      <c r="B139" s="18"/>
      <c r="C139" s="11"/>
      <c r="D139" s="11"/>
      <c r="E139" s="11"/>
      <c r="F139" s="11"/>
      <c r="G139" s="11"/>
      <c r="H139" s="11"/>
      <c r="I139" s="12"/>
      <c r="J139" s="13" t="str">
        <f aca="false">IF($H139="","",IFERROR(VLOOKUP($H139,'BẢNG GIÁ GỐC'!$A$5:$D$254,3,FALSE()),""))</f>
        <v/>
      </c>
      <c r="K139" s="12"/>
      <c r="L139" s="13" t="str">
        <f aca="false">IF($C139="","",N($I139)*N($K139))</f>
        <v/>
      </c>
      <c r="M139" s="11"/>
      <c r="N139" s="14" t="str">
        <f aca="false">IF($C139="","",IF($M139="VAT 5%",0.05,IF($M139="VAT 8%",0.08,IF($M139="VAT 10%",0.1,0))))</f>
        <v/>
      </c>
      <c r="O139" s="13" t="str">
        <f aca="false">IF($C139="","",$L139*$N139)</f>
        <v/>
      </c>
      <c r="P139" s="13" t="str">
        <f aca="false">IF($C139="","",$L139+$O139)</f>
        <v/>
      </c>
      <c r="Q139" s="12"/>
      <c r="R139" s="13" t="str">
        <f aca="false">IF($C139="","",MAX(0,$P139-N($Q139)))</f>
        <v/>
      </c>
      <c r="S139" s="23" t="str">
        <f aca="false">IF(OR($C139="",$P139=0),"",IF(N($Q139)&lt;=0,"Chưa thanh toán",IF(N($Q139)&lt;$P139,"Thanh toán một phần","Đã thanh toán")))</f>
        <v/>
      </c>
      <c r="T139" s="13" t="str">
        <f aca="false">IF(OR($C139="",$J139=""),"",N($I139)*$J139)</f>
        <v/>
      </c>
      <c r="U139" s="13" t="str">
        <f aca="false">IF(OR($C139="",$T139=""),"",$L139-$T139)</f>
        <v/>
      </c>
      <c r="V139" s="14" t="str">
        <f aca="false">IF(OR($U139="",$L139=0),"",$U139/$L139)</f>
        <v/>
      </c>
      <c r="W139" s="11"/>
      <c r="X139" s="23" t="str">
        <f aca="false">IF($C139="","",IF(AND($H139="",N($I139)=0,N($K139)=0),"Dòng chỉ lưu thông tin khách (chưa có đơn); ",IF($B139="","Thiếu ngày đặt; ","")&amp;IF($H139="","Thiếu tên sản phẩm; ",IF($J139="","Chưa khai GIÁ GỐC ở BẢNG GIÁ GỐC; ",""))&amp;IF(N($I139)&lt;=0,"Thiếu số lượng; ","")&amp;IF(N($K139)&lt;=0,"Thiếu giá bán; ","")&amp;IF(AND($N139&gt;0,$F139=""),"Khách lấy VAT thiếu mã số thuế; ","")&amp;IF(N($Q139)&gt;$P139,"Đã thu vượt tổng phải thu; ","")&amp;IF(AND($L139&gt;0,$U139&lt;&gt;"",$U139&lt;0),"CẢNH BÁO: ĐƠN NÀY ĐANG LỖ; ","")))</f>
        <v/>
      </c>
    </row>
    <row r="140" customFormat="false" ht="15" hidden="false" customHeight="false" outlineLevel="0" collapsed="false">
      <c r="A140" s="21" t="str">
        <f aca="false">IF($C140="","",COUNTA($C$10:$C140))</f>
        <v/>
      </c>
      <c r="B140" s="18"/>
      <c r="C140" s="11"/>
      <c r="D140" s="11"/>
      <c r="E140" s="11"/>
      <c r="F140" s="11"/>
      <c r="G140" s="11"/>
      <c r="H140" s="11"/>
      <c r="I140" s="12"/>
      <c r="J140" s="13" t="str">
        <f aca="false">IF($H140="","",IFERROR(VLOOKUP($H140,'BẢNG GIÁ GỐC'!$A$5:$D$254,3,FALSE()),""))</f>
        <v/>
      </c>
      <c r="K140" s="12"/>
      <c r="L140" s="13" t="str">
        <f aca="false">IF($C140="","",N($I140)*N($K140))</f>
        <v/>
      </c>
      <c r="M140" s="11"/>
      <c r="N140" s="14" t="str">
        <f aca="false">IF($C140="","",IF($M140="VAT 5%",0.05,IF($M140="VAT 8%",0.08,IF($M140="VAT 10%",0.1,0))))</f>
        <v/>
      </c>
      <c r="O140" s="13" t="str">
        <f aca="false">IF($C140="","",$L140*$N140)</f>
        <v/>
      </c>
      <c r="P140" s="13" t="str">
        <f aca="false">IF($C140="","",$L140+$O140)</f>
        <v/>
      </c>
      <c r="Q140" s="12"/>
      <c r="R140" s="13" t="str">
        <f aca="false">IF($C140="","",MAX(0,$P140-N($Q140)))</f>
        <v/>
      </c>
      <c r="S140" s="23" t="str">
        <f aca="false">IF(OR($C140="",$P140=0),"",IF(N($Q140)&lt;=0,"Chưa thanh toán",IF(N($Q140)&lt;$P140,"Thanh toán một phần","Đã thanh toán")))</f>
        <v/>
      </c>
      <c r="T140" s="13" t="str">
        <f aca="false">IF(OR($C140="",$J140=""),"",N($I140)*$J140)</f>
        <v/>
      </c>
      <c r="U140" s="13" t="str">
        <f aca="false">IF(OR($C140="",$T140=""),"",$L140-$T140)</f>
        <v/>
      </c>
      <c r="V140" s="14" t="str">
        <f aca="false">IF(OR($U140="",$L140=0),"",$U140/$L140)</f>
        <v/>
      </c>
      <c r="W140" s="11"/>
      <c r="X140" s="23" t="str">
        <f aca="false">IF($C140="","",IF(AND($H140="",N($I140)=0,N($K140)=0),"Dòng chỉ lưu thông tin khách (chưa có đơn); ",IF($B140="","Thiếu ngày đặt; ","")&amp;IF($H140="","Thiếu tên sản phẩm; ",IF($J140="","Chưa khai GIÁ GỐC ở BẢNG GIÁ GỐC; ",""))&amp;IF(N($I140)&lt;=0,"Thiếu số lượng; ","")&amp;IF(N($K140)&lt;=0,"Thiếu giá bán; ","")&amp;IF(AND($N140&gt;0,$F140=""),"Khách lấy VAT thiếu mã số thuế; ","")&amp;IF(N($Q140)&gt;$P140,"Đã thu vượt tổng phải thu; ","")&amp;IF(AND($L140&gt;0,$U140&lt;&gt;"",$U140&lt;0),"CẢNH BÁO: ĐƠN NÀY ĐANG LỖ; ","")))</f>
        <v/>
      </c>
    </row>
    <row r="141" customFormat="false" ht="15" hidden="false" customHeight="false" outlineLevel="0" collapsed="false">
      <c r="A141" s="21" t="str">
        <f aca="false">IF($C141="","",COUNTA($C$10:$C141))</f>
        <v/>
      </c>
      <c r="B141" s="18"/>
      <c r="C141" s="11"/>
      <c r="D141" s="11"/>
      <c r="E141" s="11"/>
      <c r="F141" s="11"/>
      <c r="G141" s="11"/>
      <c r="H141" s="11"/>
      <c r="I141" s="12"/>
      <c r="J141" s="13" t="str">
        <f aca="false">IF($H141="","",IFERROR(VLOOKUP($H141,'BẢNG GIÁ GỐC'!$A$5:$D$254,3,FALSE()),""))</f>
        <v/>
      </c>
      <c r="K141" s="12"/>
      <c r="L141" s="13" t="str">
        <f aca="false">IF($C141="","",N($I141)*N($K141))</f>
        <v/>
      </c>
      <c r="M141" s="11"/>
      <c r="N141" s="14" t="str">
        <f aca="false">IF($C141="","",IF($M141="VAT 5%",0.05,IF($M141="VAT 8%",0.08,IF($M141="VAT 10%",0.1,0))))</f>
        <v/>
      </c>
      <c r="O141" s="13" t="str">
        <f aca="false">IF($C141="","",$L141*$N141)</f>
        <v/>
      </c>
      <c r="P141" s="13" t="str">
        <f aca="false">IF($C141="","",$L141+$O141)</f>
        <v/>
      </c>
      <c r="Q141" s="12"/>
      <c r="R141" s="13" t="str">
        <f aca="false">IF($C141="","",MAX(0,$P141-N($Q141)))</f>
        <v/>
      </c>
      <c r="S141" s="23" t="str">
        <f aca="false">IF(OR($C141="",$P141=0),"",IF(N($Q141)&lt;=0,"Chưa thanh toán",IF(N($Q141)&lt;$P141,"Thanh toán một phần","Đã thanh toán")))</f>
        <v/>
      </c>
      <c r="T141" s="13" t="str">
        <f aca="false">IF(OR($C141="",$J141=""),"",N($I141)*$J141)</f>
        <v/>
      </c>
      <c r="U141" s="13" t="str">
        <f aca="false">IF(OR($C141="",$T141=""),"",$L141-$T141)</f>
        <v/>
      </c>
      <c r="V141" s="14" t="str">
        <f aca="false">IF(OR($U141="",$L141=0),"",$U141/$L141)</f>
        <v/>
      </c>
      <c r="W141" s="11"/>
      <c r="X141" s="23" t="str">
        <f aca="false">IF($C141="","",IF(AND($H141="",N($I141)=0,N($K141)=0),"Dòng chỉ lưu thông tin khách (chưa có đơn); ",IF($B141="","Thiếu ngày đặt; ","")&amp;IF($H141="","Thiếu tên sản phẩm; ",IF($J141="","Chưa khai GIÁ GỐC ở BẢNG GIÁ GỐC; ",""))&amp;IF(N($I141)&lt;=0,"Thiếu số lượng; ","")&amp;IF(N($K141)&lt;=0,"Thiếu giá bán; ","")&amp;IF(AND($N141&gt;0,$F141=""),"Khách lấy VAT thiếu mã số thuế; ","")&amp;IF(N($Q141)&gt;$P141,"Đã thu vượt tổng phải thu; ","")&amp;IF(AND($L141&gt;0,$U141&lt;&gt;"",$U141&lt;0),"CẢNH BÁO: ĐƠN NÀY ĐANG LỖ; ","")))</f>
        <v/>
      </c>
    </row>
    <row r="142" customFormat="false" ht="15" hidden="false" customHeight="false" outlineLevel="0" collapsed="false">
      <c r="A142" s="21" t="str">
        <f aca="false">IF($C142="","",COUNTA($C$10:$C142))</f>
        <v/>
      </c>
      <c r="B142" s="18"/>
      <c r="C142" s="11"/>
      <c r="D142" s="11"/>
      <c r="E142" s="11"/>
      <c r="F142" s="11"/>
      <c r="G142" s="11"/>
      <c r="H142" s="11"/>
      <c r="I142" s="12"/>
      <c r="J142" s="13" t="str">
        <f aca="false">IF($H142="","",IFERROR(VLOOKUP($H142,'BẢNG GIÁ GỐC'!$A$5:$D$254,3,FALSE()),""))</f>
        <v/>
      </c>
      <c r="K142" s="12"/>
      <c r="L142" s="13" t="str">
        <f aca="false">IF($C142="","",N($I142)*N($K142))</f>
        <v/>
      </c>
      <c r="M142" s="11"/>
      <c r="N142" s="14" t="str">
        <f aca="false">IF($C142="","",IF($M142="VAT 5%",0.05,IF($M142="VAT 8%",0.08,IF($M142="VAT 10%",0.1,0))))</f>
        <v/>
      </c>
      <c r="O142" s="13" t="str">
        <f aca="false">IF($C142="","",$L142*$N142)</f>
        <v/>
      </c>
      <c r="P142" s="13" t="str">
        <f aca="false">IF($C142="","",$L142+$O142)</f>
        <v/>
      </c>
      <c r="Q142" s="12"/>
      <c r="R142" s="13" t="str">
        <f aca="false">IF($C142="","",MAX(0,$P142-N($Q142)))</f>
        <v/>
      </c>
      <c r="S142" s="23" t="str">
        <f aca="false">IF(OR($C142="",$P142=0),"",IF(N($Q142)&lt;=0,"Chưa thanh toán",IF(N($Q142)&lt;$P142,"Thanh toán một phần","Đã thanh toán")))</f>
        <v/>
      </c>
      <c r="T142" s="13" t="str">
        <f aca="false">IF(OR($C142="",$J142=""),"",N($I142)*$J142)</f>
        <v/>
      </c>
      <c r="U142" s="13" t="str">
        <f aca="false">IF(OR($C142="",$T142=""),"",$L142-$T142)</f>
        <v/>
      </c>
      <c r="V142" s="14" t="str">
        <f aca="false">IF(OR($U142="",$L142=0),"",$U142/$L142)</f>
        <v/>
      </c>
      <c r="W142" s="11"/>
      <c r="X142" s="23" t="str">
        <f aca="false">IF($C142="","",IF(AND($H142="",N($I142)=0,N($K142)=0),"Dòng chỉ lưu thông tin khách (chưa có đơn); ",IF($B142="","Thiếu ngày đặt; ","")&amp;IF($H142="","Thiếu tên sản phẩm; ",IF($J142="","Chưa khai GIÁ GỐC ở BẢNG GIÁ GỐC; ",""))&amp;IF(N($I142)&lt;=0,"Thiếu số lượng; ","")&amp;IF(N($K142)&lt;=0,"Thiếu giá bán; ","")&amp;IF(AND($N142&gt;0,$F142=""),"Khách lấy VAT thiếu mã số thuế; ","")&amp;IF(N($Q142)&gt;$P142,"Đã thu vượt tổng phải thu; ","")&amp;IF(AND($L142&gt;0,$U142&lt;&gt;"",$U142&lt;0),"CẢNH BÁO: ĐƠN NÀY ĐANG LỖ; ","")))</f>
        <v/>
      </c>
    </row>
    <row r="143" customFormat="false" ht="15" hidden="false" customHeight="false" outlineLevel="0" collapsed="false">
      <c r="A143" s="21" t="str">
        <f aca="false">IF($C143="","",COUNTA($C$10:$C143))</f>
        <v/>
      </c>
      <c r="B143" s="18"/>
      <c r="C143" s="11"/>
      <c r="D143" s="11"/>
      <c r="E143" s="11"/>
      <c r="F143" s="11"/>
      <c r="G143" s="11"/>
      <c r="H143" s="11"/>
      <c r="I143" s="12"/>
      <c r="J143" s="13" t="str">
        <f aca="false">IF($H143="","",IFERROR(VLOOKUP($H143,'BẢNG GIÁ GỐC'!$A$5:$D$254,3,FALSE()),""))</f>
        <v/>
      </c>
      <c r="K143" s="12"/>
      <c r="L143" s="13" t="str">
        <f aca="false">IF($C143="","",N($I143)*N($K143))</f>
        <v/>
      </c>
      <c r="M143" s="11"/>
      <c r="N143" s="14" t="str">
        <f aca="false">IF($C143="","",IF($M143="VAT 5%",0.05,IF($M143="VAT 8%",0.08,IF($M143="VAT 10%",0.1,0))))</f>
        <v/>
      </c>
      <c r="O143" s="13" t="str">
        <f aca="false">IF($C143="","",$L143*$N143)</f>
        <v/>
      </c>
      <c r="P143" s="13" t="str">
        <f aca="false">IF($C143="","",$L143+$O143)</f>
        <v/>
      </c>
      <c r="Q143" s="12"/>
      <c r="R143" s="13" t="str">
        <f aca="false">IF($C143="","",MAX(0,$P143-N($Q143)))</f>
        <v/>
      </c>
      <c r="S143" s="23" t="str">
        <f aca="false">IF(OR($C143="",$P143=0),"",IF(N($Q143)&lt;=0,"Chưa thanh toán",IF(N($Q143)&lt;$P143,"Thanh toán một phần","Đã thanh toán")))</f>
        <v/>
      </c>
      <c r="T143" s="13" t="str">
        <f aca="false">IF(OR($C143="",$J143=""),"",N($I143)*$J143)</f>
        <v/>
      </c>
      <c r="U143" s="13" t="str">
        <f aca="false">IF(OR($C143="",$T143=""),"",$L143-$T143)</f>
        <v/>
      </c>
      <c r="V143" s="14" t="str">
        <f aca="false">IF(OR($U143="",$L143=0),"",$U143/$L143)</f>
        <v/>
      </c>
      <c r="W143" s="11"/>
      <c r="X143" s="23" t="str">
        <f aca="false">IF($C143="","",IF(AND($H143="",N($I143)=0,N($K143)=0),"Dòng chỉ lưu thông tin khách (chưa có đơn); ",IF($B143="","Thiếu ngày đặt; ","")&amp;IF($H143="","Thiếu tên sản phẩm; ",IF($J143="","Chưa khai GIÁ GỐC ở BẢNG GIÁ GỐC; ",""))&amp;IF(N($I143)&lt;=0,"Thiếu số lượng; ","")&amp;IF(N($K143)&lt;=0,"Thiếu giá bán; ","")&amp;IF(AND($N143&gt;0,$F143=""),"Khách lấy VAT thiếu mã số thuế; ","")&amp;IF(N($Q143)&gt;$P143,"Đã thu vượt tổng phải thu; ","")&amp;IF(AND($L143&gt;0,$U143&lt;&gt;"",$U143&lt;0),"CẢNH BÁO: ĐƠN NÀY ĐANG LỖ; ","")))</f>
        <v/>
      </c>
    </row>
    <row r="144" customFormat="false" ht="15" hidden="false" customHeight="false" outlineLevel="0" collapsed="false">
      <c r="A144" s="21" t="str">
        <f aca="false">IF($C144="","",COUNTA($C$10:$C144))</f>
        <v/>
      </c>
      <c r="B144" s="18"/>
      <c r="C144" s="11"/>
      <c r="D144" s="11"/>
      <c r="E144" s="11"/>
      <c r="F144" s="11"/>
      <c r="G144" s="11"/>
      <c r="H144" s="11"/>
      <c r="I144" s="12"/>
      <c r="J144" s="13" t="str">
        <f aca="false">IF($H144="","",IFERROR(VLOOKUP($H144,'BẢNG GIÁ GỐC'!$A$5:$D$254,3,FALSE()),""))</f>
        <v/>
      </c>
      <c r="K144" s="12"/>
      <c r="L144" s="13" t="str">
        <f aca="false">IF($C144="","",N($I144)*N($K144))</f>
        <v/>
      </c>
      <c r="M144" s="11"/>
      <c r="N144" s="14" t="str">
        <f aca="false">IF($C144="","",IF($M144="VAT 5%",0.05,IF($M144="VAT 8%",0.08,IF($M144="VAT 10%",0.1,0))))</f>
        <v/>
      </c>
      <c r="O144" s="13" t="str">
        <f aca="false">IF($C144="","",$L144*$N144)</f>
        <v/>
      </c>
      <c r="P144" s="13" t="str">
        <f aca="false">IF($C144="","",$L144+$O144)</f>
        <v/>
      </c>
      <c r="Q144" s="12"/>
      <c r="R144" s="13" t="str">
        <f aca="false">IF($C144="","",MAX(0,$P144-N($Q144)))</f>
        <v/>
      </c>
      <c r="S144" s="23" t="str">
        <f aca="false">IF(OR($C144="",$P144=0),"",IF(N($Q144)&lt;=0,"Chưa thanh toán",IF(N($Q144)&lt;$P144,"Thanh toán một phần","Đã thanh toán")))</f>
        <v/>
      </c>
      <c r="T144" s="13" t="str">
        <f aca="false">IF(OR($C144="",$J144=""),"",N($I144)*$J144)</f>
        <v/>
      </c>
      <c r="U144" s="13" t="str">
        <f aca="false">IF(OR($C144="",$T144=""),"",$L144-$T144)</f>
        <v/>
      </c>
      <c r="V144" s="14" t="str">
        <f aca="false">IF(OR($U144="",$L144=0),"",$U144/$L144)</f>
        <v/>
      </c>
      <c r="W144" s="11"/>
      <c r="X144" s="23" t="str">
        <f aca="false">IF($C144="","",IF(AND($H144="",N($I144)=0,N($K144)=0),"Dòng chỉ lưu thông tin khách (chưa có đơn); ",IF($B144="","Thiếu ngày đặt; ","")&amp;IF($H144="","Thiếu tên sản phẩm; ",IF($J144="","Chưa khai GIÁ GỐC ở BẢNG GIÁ GỐC; ",""))&amp;IF(N($I144)&lt;=0,"Thiếu số lượng; ","")&amp;IF(N($K144)&lt;=0,"Thiếu giá bán; ","")&amp;IF(AND($N144&gt;0,$F144=""),"Khách lấy VAT thiếu mã số thuế; ","")&amp;IF(N($Q144)&gt;$P144,"Đã thu vượt tổng phải thu; ","")&amp;IF(AND($L144&gt;0,$U144&lt;&gt;"",$U144&lt;0),"CẢNH BÁO: ĐƠN NÀY ĐANG LỖ; ","")))</f>
        <v/>
      </c>
    </row>
    <row r="145" customFormat="false" ht="15" hidden="false" customHeight="false" outlineLevel="0" collapsed="false">
      <c r="A145" s="21" t="str">
        <f aca="false">IF($C145="","",COUNTA($C$10:$C145))</f>
        <v/>
      </c>
      <c r="B145" s="18"/>
      <c r="C145" s="11"/>
      <c r="D145" s="11"/>
      <c r="E145" s="11"/>
      <c r="F145" s="11"/>
      <c r="G145" s="11"/>
      <c r="H145" s="11"/>
      <c r="I145" s="12"/>
      <c r="J145" s="13" t="str">
        <f aca="false">IF($H145="","",IFERROR(VLOOKUP($H145,'BẢNG GIÁ GỐC'!$A$5:$D$254,3,FALSE()),""))</f>
        <v/>
      </c>
      <c r="K145" s="12"/>
      <c r="L145" s="13" t="str">
        <f aca="false">IF($C145="","",N($I145)*N($K145))</f>
        <v/>
      </c>
      <c r="M145" s="11"/>
      <c r="N145" s="14" t="str">
        <f aca="false">IF($C145="","",IF($M145="VAT 5%",0.05,IF($M145="VAT 8%",0.08,IF($M145="VAT 10%",0.1,0))))</f>
        <v/>
      </c>
      <c r="O145" s="13" t="str">
        <f aca="false">IF($C145="","",$L145*$N145)</f>
        <v/>
      </c>
      <c r="P145" s="13" t="str">
        <f aca="false">IF($C145="","",$L145+$O145)</f>
        <v/>
      </c>
      <c r="Q145" s="12"/>
      <c r="R145" s="13" t="str">
        <f aca="false">IF($C145="","",MAX(0,$P145-N($Q145)))</f>
        <v/>
      </c>
      <c r="S145" s="23" t="str">
        <f aca="false">IF(OR($C145="",$P145=0),"",IF(N($Q145)&lt;=0,"Chưa thanh toán",IF(N($Q145)&lt;$P145,"Thanh toán một phần","Đã thanh toán")))</f>
        <v/>
      </c>
      <c r="T145" s="13" t="str">
        <f aca="false">IF(OR($C145="",$J145=""),"",N($I145)*$J145)</f>
        <v/>
      </c>
      <c r="U145" s="13" t="str">
        <f aca="false">IF(OR($C145="",$T145=""),"",$L145-$T145)</f>
        <v/>
      </c>
      <c r="V145" s="14" t="str">
        <f aca="false">IF(OR($U145="",$L145=0),"",$U145/$L145)</f>
        <v/>
      </c>
      <c r="W145" s="11"/>
      <c r="X145" s="23" t="str">
        <f aca="false">IF($C145="","",IF(AND($H145="",N($I145)=0,N($K145)=0),"Dòng chỉ lưu thông tin khách (chưa có đơn); ",IF($B145="","Thiếu ngày đặt; ","")&amp;IF($H145="","Thiếu tên sản phẩm; ",IF($J145="","Chưa khai GIÁ GỐC ở BẢNG GIÁ GỐC; ",""))&amp;IF(N($I145)&lt;=0,"Thiếu số lượng; ","")&amp;IF(N($K145)&lt;=0,"Thiếu giá bán; ","")&amp;IF(AND($N145&gt;0,$F145=""),"Khách lấy VAT thiếu mã số thuế; ","")&amp;IF(N($Q145)&gt;$P145,"Đã thu vượt tổng phải thu; ","")&amp;IF(AND($L145&gt;0,$U145&lt;&gt;"",$U145&lt;0),"CẢNH BÁO: ĐƠN NÀY ĐANG LỖ; ","")))</f>
        <v/>
      </c>
    </row>
    <row r="146" customFormat="false" ht="15" hidden="false" customHeight="false" outlineLevel="0" collapsed="false">
      <c r="A146" s="21" t="str">
        <f aca="false">IF($C146="","",COUNTA($C$10:$C146))</f>
        <v/>
      </c>
      <c r="B146" s="18"/>
      <c r="C146" s="11"/>
      <c r="D146" s="11"/>
      <c r="E146" s="11"/>
      <c r="F146" s="11"/>
      <c r="G146" s="11"/>
      <c r="H146" s="11"/>
      <c r="I146" s="12"/>
      <c r="J146" s="13" t="str">
        <f aca="false">IF($H146="","",IFERROR(VLOOKUP($H146,'BẢNG GIÁ GỐC'!$A$5:$D$254,3,FALSE()),""))</f>
        <v/>
      </c>
      <c r="K146" s="12"/>
      <c r="L146" s="13" t="str">
        <f aca="false">IF($C146="","",N($I146)*N($K146))</f>
        <v/>
      </c>
      <c r="M146" s="11"/>
      <c r="N146" s="14" t="str">
        <f aca="false">IF($C146="","",IF($M146="VAT 5%",0.05,IF($M146="VAT 8%",0.08,IF($M146="VAT 10%",0.1,0))))</f>
        <v/>
      </c>
      <c r="O146" s="13" t="str">
        <f aca="false">IF($C146="","",$L146*$N146)</f>
        <v/>
      </c>
      <c r="P146" s="13" t="str">
        <f aca="false">IF($C146="","",$L146+$O146)</f>
        <v/>
      </c>
      <c r="Q146" s="12"/>
      <c r="R146" s="13" t="str">
        <f aca="false">IF($C146="","",MAX(0,$P146-N($Q146)))</f>
        <v/>
      </c>
      <c r="S146" s="23" t="str">
        <f aca="false">IF(OR($C146="",$P146=0),"",IF(N($Q146)&lt;=0,"Chưa thanh toán",IF(N($Q146)&lt;$P146,"Thanh toán một phần","Đã thanh toán")))</f>
        <v/>
      </c>
      <c r="T146" s="13" t="str">
        <f aca="false">IF(OR($C146="",$J146=""),"",N($I146)*$J146)</f>
        <v/>
      </c>
      <c r="U146" s="13" t="str">
        <f aca="false">IF(OR($C146="",$T146=""),"",$L146-$T146)</f>
        <v/>
      </c>
      <c r="V146" s="14" t="str">
        <f aca="false">IF(OR($U146="",$L146=0),"",$U146/$L146)</f>
        <v/>
      </c>
      <c r="W146" s="11"/>
      <c r="X146" s="23" t="str">
        <f aca="false">IF($C146="","",IF(AND($H146="",N($I146)=0,N($K146)=0),"Dòng chỉ lưu thông tin khách (chưa có đơn); ",IF($B146="","Thiếu ngày đặt; ","")&amp;IF($H146="","Thiếu tên sản phẩm; ",IF($J146="","Chưa khai GIÁ GỐC ở BẢNG GIÁ GỐC; ",""))&amp;IF(N($I146)&lt;=0,"Thiếu số lượng; ","")&amp;IF(N($K146)&lt;=0,"Thiếu giá bán; ","")&amp;IF(AND($N146&gt;0,$F146=""),"Khách lấy VAT thiếu mã số thuế; ","")&amp;IF(N($Q146)&gt;$P146,"Đã thu vượt tổng phải thu; ","")&amp;IF(AND($L146&gt;0,$U146&lt;&gt;"",$U146&lt;0),"CẢNH BÁO: ĐƠN NÀY ĐANG LỖ; ","")))</f>
        <v/>
      </c>
    </row>
    <row r="147" customFormat="false" ht="15" hidden="false" customHeight="false" outlineLevel="0" collapsed="false">
      <c r="A147" s="21" t="str">
        <f aca="false">IF($C147="","",COUNTA($C$10:$C147))</f>
        <v/>
      </c>
      <c r="B147" s="18"/>
      <c r="C147" s="11"/>
      <c r="D147" s="11"/>
      <c r="E147" s="11"/>
      <c r="F147" s="11"/>
      <c r="G147" s="11"/>
      <c r="H147" s="11"/>
      <c r="I147" s="12"/>
      <c r="J147" s="13" t="str">
        <f aca="false">IF($H147="","",IFERROR(VLOOKUP($H147,'BẢNG GIÁ GỐC'!$A$5:$D$254,3,FALSE()),""))</f>
        <v/>
      </c>
      <c r="K147" s="12"/>
      <c r="L147" s="13" t="str">
        <f aca="false">IF($C147="","",N($I147)*N($K147))</f>
        <v/>
      </c>
      <c r="M147" s="11"/>
      <c r="N147" s="14" t="str">
        <f aca="false">IF($C147="","",IF($M147="VAT 5%",0.05,IF($M147="VAT 8%",0.08,IF($M147="VAT 10%",0.1,0))))</f>
        <v/>
      </c>
      <c r="O147" s="13" t="str">
        <f aca="false">IF($C147="","",$L147*$N147)</f>
        <v/>
      </c>
      <c r="P147" s="13" t="str">
        <f aca="false">IF($C147="","",$L147+$O147)</f>
        <v/>
      </c>
      <c r="Q147" s="12"/>
      <c r="R147" s="13" t="str">
        <f aca="false">IF($C147="","",MAX(0,$P147-N($Q147)))</f>
        <v/>
      </c>
      <c r="S147" s="23" t="str">
        <f aca="false">IF(OR($C147="",$P147=0),"",IF(N($Q147)&lt;=0,"Chưa thanh toán",IF(N($Q147)&lt;$P147,"Thanh toán một phần","Đã thanh toán")))</f>
        <v/>
      </c>
      <c r="T147" s="13" t="str">
        <f aca="false">IF(OR($C147="",$J147=""),"",N($I147)*$J147)</f>
        <v/>
      </c>
      <c r="U147" s="13" t="str">
        <f aca="false">IF(OR($C147="",$T147=""),"",$L147-$T147)</f>
        <v/>
      </c>
      <c r="V147" s="14" t="str">
        <f aca="false">IF(OR($U147="",$L147=0),"",$U147/$L147)</f>
        <v/>
      </c>
      <c r="W147" s="11"/>
      <c r="X147" s="23" t="str">
        <f aca="false">IF($C147="","",IF(AND($H147="",N($I147)=0,N($K147)=0),"Dòng chỉ lưu thông tin khách (chưa có đơn); ",IF($B147="","Thiếu ngày đặt; ","")&amp;IF($H147="","Thiếu tên sản phẩm; ",IF($J147="","Chưa khai GIÁ GỐC ở BẢNG GIÁ GỐC; ",""))&amp;IF(N($I147)&lt;=0,"Thiếu số lượng; ","")&amp;IF(N($K147)&lt;=0,"Thiếu giá bán; ","")&amp;IF(AND($N147&gt;0,$F147=""),"Khách lấy VAT thiếu mã số thuế; ","")&amp;IF(N($Q147)&gt;$P147,"Đã thu vượt tổng phải thu; ","")&amp;IF(AND($L147&gt;0,$U147&lt;&gt;"",$U147&lt;0),"CẢNH BÁO: ĐƠN NÀY ĐANG LỖ; ","")))</f>
        <v/>
      </c>
    </row>
    <row r="148" customFormat="false" ht="15" hidden="false" customHeight="false" outlineLevel="0" collapsed="false">
      <c r="A148" s="21" t="str">
        <f aca="false">IF($C148="","",COUNTA($C$10:$C148))</f>
        <v/>
      </c>
      <c r="B148" s="18"/>
      <c r="C148" s="11"/>
      <c r="D148" s="11"/>
      <c r="E148" s="11"/>
      <c r="F148" s="11"/>
      <c r="G148" s="11"/>
      <c r="H148" s="11"/>
      <c r="I148" s="12"/>
      <c r="J148" s="13" t="str">
        <f aca="false">IF($H148="","",IFERROR(VLOOKUP($H148,'BẢNG GIÁ GỐC'!$A$5:$D$254,3,FALSE()),""))</f>
        <v/>
      </c>
      <c r="K148" s="12"/>
      <c r="L148" s="13" t="str">
        <f aca="false">IF($C148="","",N($I148)*N($K148))</f>
        <v/>
      </c>
      <c r="M148" s="11"/>
      <c r="N148" s="14" t="str">
        <f aca="false">IF($C148="","",IF($M148="VAT 5%",0.05,IF($M148="VAT 8%",0.08,IF($M148="VAT 10%",0.1,0))))</f>
        <v/>
      </c>
      <c r="O148" s="13" t="str">
        <f aca="false">IF($C148="","",$L148*$N148)</f>
        <v/>
      </c>
      <c r="P148" s="13" t="str">
        <f aca="false">IF($C148="","",$L148+$O148)</f>
        <v/>
      </c>
      <c r="Q148" s="12"/>
      <c r="R148" s="13" t="str">
        <f aca="false">IF($C148="","",MAX(0,$P148-N($Q148)))</f>
        <v/>
      </c>
      <c r="S148" s="23" t="str">
        <f aca="false">IF(OR($C148="",$P148=0),"",IF(N($Q148)&lt;=0,"Chưa thanh toán",IF(N($Q148)&lt;$P148,"Thanh toán một phần","Đã thanh toán")))</f>
        <v/>
      </c>
      <c r="T148" s="13" t="str">
        <f aca="false">IF(OR($C148="",$J148=""),"",N($I148)*$J148)</f>
        <v/>
      </c>
      <c r="U148" s="13" t="str">
        <f aca="false">IF(OR($C148="",$T148=""),"",$L148-$T148)</f>
        <v/>
      </c>
      <c r="V148" s="14" t="str">
        <f aca="false">IF(OR($U148="",$L148=0),"",$U148/$L148)</f>
        <v/>
      </c>
      <c r="W148" s="11"/>
      <c r="X148" s="23" t="str">
        <f aca="false">IF($C148="","",IF(AND($H148="",N($I148)=0,N($K148)=0),"Dòng chỉ lưu thông tin khách (chưa có đơn); ",IF($B148="","Thiếu ngày đặt; ","")&amp;IF($H148="","Thiếu tên sản phẩm; ",IF($J148="","Chưa khai GIÁ GỐC ở BẢNG GIÁ GỐC; ",""))&amp;IF(N($I148)&lt;=0,"Thiếu số lượng; ","")&amp;IF(N($K148)&lt;=0,"Thiếu giá bán; ","")&amp;IF(AND($N148&gt;0,$F148=""),"Khách lấy VAT thiếu mã số thuế; ","")&amp;IF(N($Q148)&gt;$P148,"Đã thu vượt tổng phải thu; ","")&amp;IF(AND($L148&gt;0,$U148&lt;&gt;"",$U148&lt;0),"CẢNH BÁO: ĐƠN NÀY ĐANG LỖ; ","")))</f>
        <v/>
      </c>
    </row>
    <row r="149" customFormat="false" ht="15" hidden="false" customHeight="false" outlineLevel="0" collapsed="false">
      <c r="A149" s="21" t="str">
        <f aca="false">IF($C149="","",COUNTA($C$10:$C149))</f>
        <v/>
      </c>
      <c r="B149" s="18"/>
      <c r="C149" s="11"/>
      <c r="D149" s="11"/>
      <c r="E149" s="11"/>
      <c r="F149" s="11"/>
      <c r="G149" s="11"/>
      <c r="H149" s="11"/>
      <c r="I149" s="12"/>
      <c r="J149" s="13" t="str">
        <f aca="false">IF($H149="","",IFERROR(VLOOKUP($H149,'BẢNG GIÁ GỐC'!$A$5:$D$254,3,FALSE()),""))</f>
        <v/>
      </c>
      <c r="K149" s="12"/>
      <c r="L149" s="13" t="str">
        <f aca="false">IF($C149="","",N($I149)*N($K149))</f>
        <v/>
      </c>
      <c r="M149" s="11"/>
      <c r="N149" s="14" t="str">
        <f aca="false">IF($C149="","",IF($M149="VAT 5%",0.05,IF($M149="VAT 8%",0.08,IF($M149="VAT 10%",0.1,0))))</f>
        <v/>
      </c>
      <c r="O149" s="13" t="str">
        <f aca="false">IF($C149="","",$L149*$N149)</f>
        <v/>
      </c>
      <c r="P149" s="13" t="str">
        <f aca="false">IF($C149="","",$L149+$O149)</f>
        <v/>
      </c>
      <c r="Q149" s="12"/>
      <c r="R149" s="13" t="str">
        <f aca="false">IF($C149="","",MAX(0,$P149-N($Q149)))</f>
        <v/>
      </c>
      <c r="S149" s="23" t="str">
        <f aca="false">IF(OR($C149="",$P149=0),"",IF(N($Q149)&lt;=0,"Chưa thanh toán",IF(N($Q149)&lt;$P149,"Thanh toán một phần","Đã thanh toán")))</f>
        <v/>
      </c>
      <c r="T149" s="13" t="str">
        <f aca="false">IF(OR($C149="",$J149=""),"",N($I149)*$J149)</f>
        <v/>
      </c>
      <c r="U149" s="13" t="str">
        <f aca="false">IF(OR($C149="",$T149=""),"",$L149-$T149)</f>
        <v/>
      </c>
      <c r="V149" s="14" t="str">
        <f aca="false">IF(OR($U149="",$L149=0),"",$U149/$L149)</f>
        <v/>
      </c>
      <c r="W149" s="11"/>
      <c r="X149" s="23" t="str">
        <f aca="false">IF($C149="","",IF(AND($H149="",N($I149)=0,N($K149)=0),"Dòng chỉ lưu thông tin khách (chưa có đơn); ",IF($B149="","Thiếu ngày đặt; ","")&amp;IF($H149="","Thiếu tên sản phẩm; ",IF($J149="","Chưa khai GIÁ GỐC ở BẢNG GIÁ GỐC; ",""))&amp;IF(N($I149)&lt;=0,"Thiếu số lượng; ","")&amp;IF(N($K149)&lt;=0,"Thiếu giá bán; ","")&amp;IF(AND($N149&gt;0,$F149=""),"Khách lấy VAT thiếu mã số thuế; ","")&amp;IF(N($Q149)&gt;$P149,"Đã thu vượt tổng phải thu; ","")&amp;IF(AND($L149&gt;0,$U149&lt;&gt;"",$U149&lt;0),"CẢNH BÁO: ĐƠN NÀY ĐANG LỖ; ","")))</f>
        <v/>
      </c>
    </row>
    <row r="150" customFormat="false" ht="15" hidden="false" customHeight="false" outlineLevel="0" collapsed="false">
      <c r="A150" s="21" t="str">
        <f aca="false">IF($C150="","",COUNTA($C$10:$C150))</f>
        <v/>
      </c>
      <c r="B150" s="18"/>
      <c r="C150" s="11"/>
      <c r="D150" s="11"/>
      <c r="E150" s="11"/>
      <c r="F150" s="11"/>
      <c r="G150" s="11"/>
      <c r="H150" s="11"/>
      <c r="I150" s="12"/>
      <c r="J150" s="13" t="str">
        <f aca="false">IF($H150="","",IFERROR(VLOOKUP($H150,'BẢNG GIÁ GỐC'!$A$5:$D$254,3,FALSE()),""))</f>
        <v/>
      </c>
      <c r="K150" s="12"/>
      <c r="L150" s="13" t="str">
        <f aca="false">IF($C150="","",N($I150)*N($K150))</f>
        <v/>
      </c>
      <c r="M150" s="11"/>
      <c r="N150" s="14" t="str">
        <f aca="false">IF($C150="","",IF($M150="VAT 5%",0.05,IF($M150="VAT 8%",0.08,IF($M150="VAT 10%",0.1,0))))</f>
        <v/>
      </c>
      <c r="O150" s="13" t="str">
        <f aca="false">IF($C150="","",$L150*$N150)</f>
        <v/>
      </c>
      <c r="P150" s="13" t="str">
        <f aca="false">IF($C150="","",$L150+$O150)</f>
        <v/>
      </c>
      <c r="Q150" s="12"/>
      <c r="R150" s="13" t="str">
        <f aca="false">IF($C150="","",MAX(0,$P150-N($Q150)))</f>
        <v/>
      </c>
      <c r="S150" s="23" t="str">
        <f aca="false">IF(OR($C150="",$P150=0),"",IF(N($Q150)&lt;=0,"Chưa thanh toán",IF(N($Q150)&lt;$P150,"Thanh toán một phần","Đã thanh toán")))</f>
        <v/>
      </c>
      <c r="T150" s="13" t="str">
        <f aca="false">IF(OR($C150="",$J150=""),"",N($I150)*$J150)</f>
        <v/>
      </c>
      <c r="U150" s="13" t="str">
        <f aca="false">IF(OR($C150="",$T150=""),"",$L150-$T150)</f>
        <v/>
      </c>
      <c r="V150" s="14" t="str">
        <f aca="false">IF(OR($U150="",$L150=0),"",$U150/$L150)</f>
        <v/>
      </c>
      <c r="W150" s="11"/>
      <c r="X150" s="23" t="str">
        <f aca="false">IF($C150="","",IF(AND($H150="",N($I150)=0,N($K150)=0),"Dòng chỉ lưu thông tin khách (chưa có đơn); ",IF($B150="","Thiếu ngày đặt; ","")&amp;IF($H150="","Thiếu tên sản phẩm; ",IF($J150="","Chưa khai GIÁ GỐC ở BẢNG GIÁ GỐC; ",""))&amp;IF(N($I150)&lt;=0,"Thiếu số lượng; ","")&amp;IF(N($K150)&lt;=0,"Thiếu giá bán; ","")&amp;IF(AND($N150&gt;0,$F150=""),"Khách lấy VAT thiếu mã số thuế; ","")&amp;IF(N($Q150)&gt;$P150,"Đã thu vượt tổng phải thu; ","")&amp;IF(AND($L150&gt;0,$U150&lt;&gt;"",$U150&lt;0),"CẢNH BÁO: ĐƠN NÀY ĐANG LỖ; ","")))</f>
        <v/>
      </c>
    </row>
    <row r="151" customFormat="false" ht="15" hidden="false" customHeight="false" outlineLevel="0" collapsed="false">
      <c r="A151" s="21" t="str">
        <f aca="false">IF($C151="","",COUNTA($C$10:$C151))</f>
        <v/>
      </c>
      <c r="B151" s="18"/>
      <c r="C151" s="11"/>
      <c r="D151" s="11"/>
      <c r="E151" s="11"/>
      <c r="F151" s="11"/>
      <c r="G151" s="11"/>
      <c r="H151" s="11"/>
      <c r="I151" s="12"/>
      <c r="J151" s="13" t="str">
        <f aca="false">IF($H151="","",IFERROR(VLOOKUP($H151,'BẢNG GIÁ GỐC'!$A$5:$D$254,3,FALSE()),""))</f>
        <v/>
      </c>
      <c r="K151" s="12"/>
      <c r="L151" s="13" t="str">
        <f aca="false">IF($C151="","",N($I151)*N($K151))</f>
        <v/>
      </c>
      <c r="M151" s="11"/>
      <c r="N151" s="14" t="str">
        <f aca="false">IF($C151="","",IF($M151="VAT 5%",0.05,IF($M151="VAT 8%",0.08,IF($M151="VAT 10%",0.1,0))))</f>
        <v/>
      </c>
      <c r="O151" s="13" t="str">
        <f aca="false">IF($C151="","",$L151*$N151)</f>
        <v/>
      </c>
      <c r="P151" s="13" t="str">
        <f aca="false">IF($C151="","",$L151+$O151)</f>
        <v/>
      </c>
      <c r="Q151" s="12"/>
      <c r="R151" s="13" t="str">
        <f aca="false">IF($C151="","",MAX(0,$P151-N($Q151)))</f>
        <v/>
      </c>
      <c r="S151" s="23" t="str">
        <f aca="false">IF(OR($C151="",$P151=0),"",IF(N($Q151)&lt;=0,"Chưa thanh toán",IF(N($Q151)&lt;$P151,"Thanh toán một phần","Đã thanh toán")))</f>
        <v/>
      </c>
      <c r="T151" s="13" t="str">
        <f aca="false">IF(OR($C151="",$J151=""),"",N($I151)*$J151)</f>
        <v/>
      </c>
      <c r="U151" s="13" t="str">
        <f aca="false">IF(OR($C151="",$T151=""),"",$L151-$T151)</f>
        <v/>
      </c>
      <c r="V151" s="14" t="str">
        <f aca="false">IF(OR($U151="",$L151=0),"",$U151/$L151)</f>
        <v/>
      </c>
      <c r="W151" s="11"/>
      <c r="X151" s="23" t="str">
        <f aca="false">IF($C151="","",IF(AND($H151="",N($I151)=0,N($K151)=0),"Dòng chỉ lưu thông tin khách (chưa có đơn); ",IF($B151="","Thiếu ngày đặt; ","")&amp;IF($H151="","Thiếu tên sản phẩm; ",IF($J151="","Chưa khai GIÁ GỐC ở BẢNG GIÁ GỐC; ",""))&amp;IF(N($I151)&lt;=0,"Thiếu số lượng; ","")&amp;IF(N($K151)&lt;=0,"Thiếu giá bán; ","")&amp;IF(AND($N151&gt;0,$F151=""),"Khách lấy VAT thiếu mã số thuế; ","")&amp;IF(N($Q151)&gt;$P151,"Đã thu vượt tổng phải thu; ","")&amp;IF(AND($L151&gt;0,$U151&lt;&gt;"",$U151&lt;0),"CẢNH BÁO: ĐƠN NÀY ĐANG LỖ; ","")))</f>
        <v/>
      </c>
    </row>
    <row r="152" customFormat="false" ht="15" hidden="false" customHeight="false" outlineLevel="0" collapsed="false">
      <c r="A152" s="21" t="str">
        <f aca="false">IF($C152="","",COUNTA($C$10:$C152))</f>
        <v/>
      </c>
      <c r="B152" s="18"/>
      <c r="C152" s="11"/>
      <c r="D152" s="11"/>
      <c r="E152" s="11"/>
      <c r="F152" s="11"/>
      <c r="G152" s="11"/>
      <c r="H152" s="11"/>
      <c r="I152" s="12"/>
      <c r="J152" s="13" t="str">
        <f aca="false">IF($H152="","",IFERROR(VLOOKUP($H152,'BẢNG GIÁ GỐC'!$A$5:$D$254,3,FALSE()),""))</f>
        <v/>
      </c>
      <c r="K152" s="12"/>
      <c r="L152" s="13" t="str">
        <f aca="false">IF($C152="","",N($I152)*N($K152))</f>
        <v/>
      </c>
      <c r="M152" s="11"/>
      <c r="N152" s="14" t="str">
        <f aca="false">IF($C152="","",IF($M152="VAT 5%",0.05,IF($M152="VAT 8%",0.08,IF($M152="VAT 10%",0.1,0))))</f>
        <v/>
      </c>
      <c r="O152" s="13" t="str">
        <f aca="false">IF($C152="","",$L152*$N152)</f>
        <v/>
      </c>
      <c r="P152" s="13" t="str">
        <f aca="false">IF($C152="","",$L152+$O152)</f>
        <v/>
      </c>
      <c r="Q152" s="12"/>
      <c r="R152" s="13" t="str">
        <f aca="false">IF($C152="","",MAX(0,$P152-N($Q152)))</f>
        <v/>
      </c>
      <c r="S152" s="23" t="str">
        <f aca="false">IF(OR($C152="",$P152=0),"",IF(N($Q152)&lt;=0,"Chưa thanh toán",IF(N($Q152)&lt;$P152,"Thanh toán một phần","Đã thanh toán")))</f>
        <v/>
      </c>
      <c r="T152" s="13" t="str">
        <f aca="false">IF(OR($C152="",$J152=""),"",N($I152)*$J152)</f>
        <v/>
      </c>
      <c r="U152" s="13" t="str">
        <f aca="false">IF(OR($C152="",$T152=""),"",$L152-$T152)</f>
        <v/>
      </c>
      <c r="V152" s="14" t="str">
        <f aca="false">IF(OR($U152="",$L152=0),"",$U152/$L152)</f>
        <v/>
      </c>
      <c r="W152" s="11"/>
      <c r="X152" s="23" t="str">
        <f aca="false">IF($C152="","",IF(AND($H152="",N($I152)=0,N($K152)=0),"Dòng chỉ lưu thông tin khách (chưa có đơn); ",IF($B152="","Thiếu ngày đặt; ","")&amp;IF($H152="","Thiếu tên sản phẩm; ",IF($J152="","Chưa khai GIÁ GỐC ở BẢNG GIÁ GỐC; ",""))&amp;IF(N($I152)&lt;=0,"Thiếu số lượng; ","")&amp;IF(N($K152)&lt;=0,"Thiếu giá bán; ","")&amp;IF(AND($N152&gt;0,$F152=""),"Khách lấy VAT thiếu mã số thuế; ","")&amp;IF(N($Q152)&gt;$P152,"Đã thu vượt tổng phải thu; ","")&amp;IF(AND($L152&gt;0,$U152&lt;&gt;"",$U152&lt;0),"CẢNH BÁO: ĐƠN NÀY ĐANG LỖ; ","")))</f>
        <v/>
      </c>
    </row>
    <row r="153" customFormat="false" ht="15" hidden="false" customHeight="false" outlineLevel="0" collapsed="false">
      <c r="A153" s="21" t="str">
        <f aca="false">IF($C153="","",COUNTA($C$10:$C153))</f>
        <v/>
      </c>
      <c r="B153" s="18"/>
      <c r="C153" s="11"/>
      <c r="D153" s="11"/>
      <c r="E153" s="11"/>
      <c r="F153" s="11"/>
      <c r="G153" s="11"/>
      <c r="H153" s="11"/>
      <c r="I153" s="12"/>
      <c r="J153" s="13" t="str">
        <f aca="false">IF($H153="","",IFERROR(VLOOKUP($H153,'BẢNG GIÁ GỐC'!$A$5:$D$254,3,FALSE()),""))</f>
        <v/>
      </c>
      <c r="K153" s="12"/>
      <c r="L153" s="13" t="str">
        <f aca="false">IF($C153="","",N($I153)*N($K153))</f>
        <v/>
      </c>
      <c r="M153" s="11"/>
      <c r="N153" s="14" t="str">
        <f aca="false">IF($C153="","",IF($M153="VAT 5%",0.05,IF($M153="VAT 8%",0.08,IF($M153="VAT 10%",0.1,0))))</f>
        <v/>
      </c>
      <c r="O153" s="13" t="str">
        <f aca="false">IF($C153="","",$L153*$N153)</f>
        <v/>
      </c>
      <c r="P153" s="13" t="str">
        <f aca="false">IF($C153="","",$L153+$O153)</f>
        <v/>
      </c>
      <c r="Q153" s="12"/>
      <c r="R153" s="13" t="str">
        <f aca="false">IF($C153="","",MAX(0,$P153-N($Q153)))</f>
        <v/>
      </c>
      <c r="S153" s="23" t="str">
        <f aca="false">IF(OR($C153="",$P153=0),"",IF(N($Q153)&lt;=0,"Chưa thanh toán",IF(N($Q153)&lt;$P153,"Thanh toán một phần","Đã thanh toán")))</f>
        <v/>
      </c>
      <c r="T153" s="13" t="str">
        <f aca="false">IF(OR($C153="",$J153=""),"",N($I153)*$J153)</f>
        <v/>
      </c>
      <c r="U153" s="13" t="str">
        <f aca="false">IF(OR($C153="",$T153=""),"",$L153-$T153)</f>
        <v/>
      </c>
      <c r="V153" s="14" t="str">
        <f aca="false">IF(OR($U153="",$L153=0),"",$U153/$L153)</f>
        <v/>
      </c>
      <c r="W153" s="11"/>
      <c r="X153" s="23" t="str">
        <f aca="false">IF($C153="","",IF(AND($H153="",N($I153)=0,N($K153)=0),"Dòng chỉ lưu thông tin khách (chưa có đơn); ",IF($B153="","Thiếu ngày đặt; ","")&amp;IF($H153="","Thiếu tên sản phẩm; ",IF($J153="","Chưa khai GIÁ GỐC ở BẢNG GIÁ GỐC; ",""))&amp;IF(N($I153)&lt;=0,"Thiếu số lượng; ","")&amp;IF(N($K153)&lt;=0,"Thiếu giá bán; ","")&amp;IF(AND($N153&gt;0,$F153=""),"Khách lấy VAT thiếu mã số thuế; ","")&amp;IF(N($Q153)&gt;$P153,"Đã thu vượt tổng phải thu; ","")&amp;IF(AND($L153&gt;0,$U153&lt;&gt;"",$U153&lt;0),"CẢNH BÁO: ĐƠN NÀY ĐANG LỖ; ","")))</f>
        <v/>
      </c>
    </row>
    <row r="154" customFormat="false" ht="15" hidden="false" customHeight="false" outlineLevel="0" collapsed="false">
      <c r="A154" s="21" t="str">
        <f aca="false">IF($C154="","",COUNTA($C$10:$C154))</f>
        <v/>
      </c>
      <c r="B154" s="18"/>
      <c r="C154" s="11"/>
      <c r="D154" s="11"/>
      <c r="E154" s="11"/>
      <c r="F154" s="11"/>
      <c r="G154" s="11"/>
      <c r="H154" s="11"/>
      <c r="I154" s="12"/>
      <c r="J154" s="13" t="str">
        <f aca="false">IF($H154="","",IFERROR(VLOOKUP($H154,'BẢNG GIÁ GỐC'!$A$5:$D$254,3,FALSE()),""))</f>
        <v/>
      </c>
      <c r="K154" s="12"/>
      <c r="L154" s="13" t="str">
        <f aca="false">IF($C154="","",N($I154)*N($K154))</f>
        <v/>
      </c>
      <c r="M154" s="11"/>
      <c r="N154" s="14" t="str">
        <f aca="false">IF($C154="","",IF($M154="VAT 5%",0.05,IF($M154="VAT 8%",0.08,IF($M154="VAT 10%",0.1,0))))</f>
        <v/>
      </c>
      <c r="O154" s="13" t="str">
        <f aca="false">IF($C154="","",$L154*$N154)</f>
        <v/>
      </c>
      <c r="P154" s="13" t="str">
        <f aca="false">IF($C154="","",$L154+$O154)</f>
        <v/>
      </c>
      <c r="Q154" s="12"/>
      <c r="R154" s="13" t="str">
        <f aca="false">IF($C154="","",MAX(0,$P154-N($Q154)))</f>
        <v/>
      </c>
      <c r="S154" s="23" t="str">
        <f aca="false">IF(OR($C154="",$P154=0),"",IF(N($Q154)&lt;=0,"Chưa thanh toán",IF(N($Q154)&lt;$P154,"Thanh toán một phần","Đã thanh toán")))</f>
        <v/>
      </c>
      <c r="T154" s="13" t="str">
        <f aca="false">IF(OR($C154="",$J154=""),"",N($I154)*$J154)</f>
        <v/>
      </c>
      <c r="U154" s="13" t="str">
        <f aca="false">IF(OR($C154="",$T154=""),"",$L154-$T154)</f>
        <v/>
      </c>
      <c r="V154" s="14" t="str">
        <f aca="false">IF(OR($U154="",$L154=0),"",$U154/$L154)</f>
        <v/>
      </c>
      <c r="W154" s="11"/>
      <c r="X154" s="23" t="str">
        <f aca="false">IF($C154="","",IF(AND($H154="",N($I154)=0,N($K154)=0),"Dòng chỉ lưu thông tin khách (chưa có đơn); ",IF($B154="","Thiếu ngày đặt; ","")&amp;IF($H154="","Thiếu tên sản phẩm; ",IF($J154="","Chưa khai GIÁ GỐC ở BẢNG GIÁ GỐC; ",""))&amp;IF(N($I154)&lt;=0,"Thiếu số lượng; ","")&amp;IF(N($K154)&lt;=0,"Thiếu giá bán; ","")&amp;IF(AND($N154&gt;0,$F154=""),"Khách lấy VAT thiếu mã số thuế; ","")&amp;IF(N($Q154)&gt;$P154,"Đã thu vượt tổng phải thu; ","")&amp;IF(AND($L154&gt;0,$U154&lt;&gt;"",$U154&lt;0),"CẢNH BÁO: ĐƠN NÀY ĐANG LỖ; ","")))</f>
        <v/>
      </c>
    </row>
    <row r="155" customFormat="false" ht="15" hidden="false" customHeight="false" outlineLevel="0" collapsed="false">
      <c r="A155" s="21" t="str">
        <f aca="false">IF($C155="","",COUNTA($C$10:$C155))</f>
        <v/>
      </c>
      <c r="B155" s="18"/>
      <c r="C155" s="11"/>
      <c r="D155" s="11"/>
      <c r="E155" s="11"/>
      <c r="F155" s="11"/>
      <c r="G155" s="11"/>
      <c r="H155" s="11"/>
      <c r="I155" s="12"/>
      <c r="J155" s="13" t="str">
        <f aca="false">IF($H155="","",IFERROR(VLOOKUP($H155,'BẢNG GIÁ GỐC'!$A$5:$D$254,3,FALSE()),""))</f>
        <v/>
      </c>
      <c r="K155" s="12"/>
      <c r="L155" s="13" t="str">
        <f aca="false">IF($C155="","",N($I155)*N($K155))</f>
        <v/>
      </c>
      <c r="M155" s="11"/>
      <c r="N155" s="14" t="str">
        <f aca="false">IF($C155="","",IF($M155="VAT 5%",0.05,IF($M155="VAT 8%",0.08,IF($M155="VAT 10%",0.1,0))))</f>
        <v/>
      </c>
      <c r="O155" s="13" t="str">
        <f aca="false">IF($C155="","",$L155*$N155)</f>
        <v/>
      </c>
      <c r="P155" s="13" t="str">
        <f aca="false">IF($C155="","",$L155+$O155)</f>
        <v/>
      </c>
      <c r="Q155" s="12"/>
      <c r="R155" s="13" t="str">
        <f aca="false">IF($C155="","",MAX(0,$P155-N($Q155)))</f>
        <v/>
      </c>
      <c r="S155" s="23" t="str">
        <f aca="false">IF(OR($C155="",$P155=0),"",IF(N($Q155)&lt;=0,"Chưa thanh toán",IF(N($Q155)&lt;$P155,"Thanh toán một phần","Đã thanh toán")))</f>
        <v/>
      </c>
      <c r="T155" s="13" t="str">
        <f aca="false">IF(OR($C155="",$J155=""),"",N($I155)*$J155)</f>
        <v/>
      </c>
      <c r="U155" s="13" t="str">
        <f aca="false">IF(OR($C155="",$T155=""),"",$L155-$T155)</f>
        <v/>
      </c>
      <c r="V155" s="14" t="str">
        <f aca="false">IF(OR($U155="",$L155=0),"",$U155/$L155)</f>
        <v/>
      </c>
      <c r="W155" s="11"/>
      <c r="X155" s="23" t="str">
        <f aca="false">IF($C155="","",IF(AND($H155="",N($I155)=0,N($K155)=0),"Dòng chỉ lưu thông tin khách (chưa có đơn); ",IF($B155="","Thiếu ngày đặt; ","")&amp;IF($H155="","Thiếu tên sản phẩm; ",IF($J155="","Chưa khai GIÁ GỐC ở BẢNG GIÁ GỐC; ",""))&amp;IF(N($I155)&lt;=0,"Thiếu số lượng; ","")&amp;IF(N($K155)&lt;=0,"Thiếu giá bán; ","")&amp;IF(AND($N155&gt;0,$F155=""),"Khách lấy VAT thiếu mã số thuế; ","")&amp;IF(N($Q155)&gt;$P155,"Đã thu vượt tổng phải thu; ","")&amp;IF(AND($L155&gt;0,$U155&lt;&gt;"",$U155&lt;0),"CẢNH BÁO: ĐƠN NÀY ĐANG LỖ; ","")))</f>
        <v/>
      </c>
    </row>
    <row r="156" customFormat="false" ht="15" hidden="false" customHeight="false" outlineLevel="0" collapsed="false">
      <c r="A156" s="21" t="str">
        <f aca="false">IF($C156="","",COUNTA($C$10:$C156))</f>
        <v/>
      </c>
      <c r="B156" s="18"/>
      <c r="C156" s="11"/>
      <c r="D156" s="11"/>
      <c r="E156" s="11"/>
      <c r="F156" s="11"/>
      <c r="G156" s="11"/>
      <c r="H156" s="11"/>
      <c r="I156" s="12"/>
      <c r="J156" s="13" t="str">
        <f aca="false">IF($H156="","",IFERROR(VLOOKUP($H156,'BẢNG GIÁ GỐC'!$A$5:$D$254,3,FALSE()),""))</f>
        <v/>
      </c>
      <c r="K156" s="12"/>
      <c r="L156" s="13" t="str">
        <f aca="false">IF($C156="","",N($I156)*N($K156))</f>
        <v/>
      </c>
      <c r="M156" s="11"/>
      <c r="N156" s="14" t="str">
        <f aca="false">IF($C156="","",IF($M156="VAT 5%",0.05,IF($M156="VAT 8%",0.08,IF($M156="VAT 10%",0.1,0))))</f>
        <v/>
      </c>
      <c r="O156" s="13" t="str">
        <f aca="false">IF($C156="","",$L156*$N156)</f>
        <v/>
      </c>
      <c r="P156" s="13" t="str">
        <f aca="false">IF($C156="","",$L156+$O156)</f>
        <v/>
      </c>
      <c r="Q156" s="12"/>
      <c r="R156" s="13" t="str">
        <f aca="false">IF($C156="","",MAX(0,$P156-N($Q156)))</f>
        <v/>
      </c>
      <c r="S156" s="23" t="str">
        <f aca="false">IF(OR($C156="",$P156=0),"",IF(N($Q156)&lt;=0,"Chưa thanh toán",IF(N($Q156)&lt;$P156,"Thanh toán một phần","Đã thanh toán")))</f>
        <v/>
      </c>
      <c r="T156" s="13" t="str">
        <f aca="false">IF(OR($C156="",$J156=""),"",N($I156)*$J156)</f>
        <v/>
      </c>
      <c r="U156" s="13" t="str">
        <f aca="false">IF(OR($C156="",$T156=""),"",$L156-$T156)</f>
        <v/>
      </c>
      <c r="V156" s="14" t="str">
        <f aca="false">IF(OR($U156="",$L156=0),"",$U156/$L156)</f>
        <v/>
      </c>
      <c r="W156" s="11"/>
      <c r="X156" s="23" t="str">
        <f aca="false">IF($C156="","",IF(AND($H156="",N($I156)=0,N($K156)=0),"Dòng chỉ lưu thông tin khách (chưa có đơn); ",IF($B156="","Thiếu ngày đặt; ","")&amp;IF($H156="","Thiếu tên sản phẩm; ",IF($J156="","Chưa khai GIÁ GỐC ở BẢNG GIÁ GỐC; ",""))&amp;IF(N($I156)&lt;=0,"Thiếu số lượng; ","")&amp;IF(N($K156)&lt;=0,"Thiếu giá bán; ","")&amp;IF(AND($N156&gt;0,$F156=""),"Khách lấy VAT thiếu mã số thuế; ","")&amp;IF(N($Q156)&gt;$P156,"Đã thu vượt tổng phải thu; ","")&amp;IF(AND($L156&gt;0,$U156&lt;&gt;"",$U156&lt;0),"CẢNH BÁO: ĐƠN NÀY ĐANG LỖ; ","")))</f>
        <v/>
      </c>
    </row>
    <row r="157" customFormat="false" ht="15" hidden="false" customHeight="false" outlineLevel="0" collapsed="false">
      <c r="A157" s="21" t="str">
        <f aca="false">IF($C157="","",COUNTA($C$10:$C157))</f>
        <v/>
      </c>
      <c r="B157" s="18"/>
      <c r="C157" s="11"/>
      <c r="D157" s="11"/>
      <c r="E157" s="11"/>
      <c r="F157" s="11"/>
      <c r="G157" s="11"/>
      <c r="H157" s="11"/>
      <c r="I157" s="12"/>
      <c r="J157" s="13" t="str">
        <f aca="false">IF($H157="","",IFERROR(VLOOKUP($H157,'BẢNG GIÁ GỐC'!$A$5:$D$254,3,FALSE()),""))</f>
        <v/>
      </c>
      <c r="K157" s="12"/>
      <c r="L157" s="13" t="str">
        <f aca="false">IF($C157="","",N($I157)*N($K157))</f>
        <v/>
      </c>
      <c r="M157" s="11"/>
      <c r="N157" s="14" t="str">
        <f aca="false">IF($C157="","",IF($M157="VAT 5%",0.05,IF($M157="VAT 8%",0.08,IF($M157="VAT 10%",0.1,0))))</f>
        <v/>
      </c>
      <c r="O157" s="13" t="str">
        <f aca="false">IF($C157="","",$L157*$N157)</f>
        <v/>
      </c>
      <c r="P157" s="13" t="str">
        <f aca="false">IF($C157="","",$L157+$O157)</f>
        <v/>
      </c>
      <c r="Q157" s="12"/>
      <c r="R157" s="13" t="str">
        <f aca="false">IF($C157="","",MAX(0,$P157-N($Q157)))</f>
        <v/>
      </c>
      <c r="S157" s="23" t="str">
        <f aca="false">IF(OR($C157="",$P157=0),"",IF(N($Q157)&lt;=0,"Chưa thanh toán",IF(N($Q157)&lt;$P157,"Thanh toán một phần","Đã thanh toán")))</f>
        <v/>
      </c>
      <c r="T157" s="13" t="str">
        <f aca="false">IF(OR($C157="",$J157=""),"",N($I157)*$J157)</f>
        <v/>
      </c>
      <c r="U157" s="13" t="str">
        <f aca="false">IF(OR($C157="",$T157=""),"",$L157-$T157)</f>
        <v/>
      </c>
      <c r="V157" s="14" t="str">
        <f aca="false">IF(OR($U157="",$L157=0),"",$U157/$L157)</f>
        <v/>
      </c>
      <c r="W157" s="11"/>
      <c r="X157" s="23" t="str">
        <f aca="false">IF($C157="","",IF(AND($H157="",N($I157)=0,N($K157)=0),"Dòng chỉ lưu thông tin khách (chưa có đơn); ",IF($B157="","Thiếu ngày đặt; ","")&amp;IF($H157="","Thiếu tên sản phẩm; ",IF($J157="","Chưa khai GIÁ GỐC ở BẢNG GIÁ GỐC; ",""))&amp;IF(N($I157)&lt;=0,"Thiếu số lượng; ","")&amp;IF(N($K157)&lt;=0,"Thiếu giá bán; ","")&amp;IF(AND($N157&gt;0,$F157=""),"Khách lấy VAT thiếu mã số thuế; ","")&amp;IF(N($Q157)&gt;$P157,"Đã thu vượt tổng phải thu; ","")&amp;IF(AND($L157&gt;0,$U157&lt;&gt;"",$U157&lt;0),"CẢNH BÁO: ĐƠN NÀY ĐANG LỖ; ","")))</f>
        <v/>
      </c>
    </row>
    <row r="158" customFormat="false" ht="15" hidden="false" customHeight="false" outlineLevel="0" collapsed="false">
      <c r="A158" s="21" t="str">
        <f aca="false">IF($C158="","",COUNTA($C$10:$C158))</f>
        <v/>
      </c>
      <c r="B158" s="18"/>
      <c r="C158" s="11"/>
      <c r="D158" s="11"/>
      <c r="E158" s="11"/>
      <c r="F158" s="11"/>
      <c r="G158" s="11"/>
      <c r="H158" s="11"/>
      <c r="I158" s="12"/>
      <c r="J158" s="13" t="str">
        <f aca="false">IF($H158="","",IFERROR(VLOOKUP($H158,'BẢNG GIÁ GỐC'!$A$5:$D$254,3,FALSE()),""))</f>
        <v/>
      </c>
      <c r="K158" s="12"/>
      <c r="L158" s="13" t="str">
        <f aca="false">IF($C158="","",N($I158)*N($K158))</f>
        <v/>
      </c>
      <c r="M158" s="11"/>
      <c r="N158" s="14" t="str">
        <f aca="false">IF($C158="","",IF($M158="VAT 5%",0.05,IF($M158="VAT 8%",0.08,IF($M158="VAT 10%",0.1,0))))</f>
        <v/>
      </c>
      <c r="O158" s="13" t="str">
        <f aca="false">IF($C158="","",$L158*$N158)</f>
        <v/>
      </c>
      <c r="P158" s="13" t="str">
        <f aca="false">IF($C158="","",$L158+$O158)</f>
        <v/>
      </c>
      <c r="Q158" s="12"/>
      <c r="R158" s="13" t="str">
        <f aca="false">IF($C158="","",MAX(0,$P158-N($Q158)))</f>
        <v/>
      </c>
      <c r="S158" s="23" t="str">
        <f aca="false">IF(OR($C158="",$P158=0),"",IF(N($Q158)&lt;=0,"Chưa thanh toán",IF(N($Q158)&lt;$P158,"Thanh toán một phần","Đã thanh toán")))</f>
        <v/>
      </c>
      <c r="T158" s="13" t="str">
        <f aca="false">IF(OR($C158="",$J158=""),"",N($I158)*$J158)</f>
        <v/>
      </c>
      <c r="U158" s="13" t="str">
        <f aca="false">IF(OR($C158="",$T158=""),"",$L158-$T158)</f>
        <v/>
      </c>
      <c r="V158" s="14" t="str">
        <f aca="false">IF(OR($U158="",$L158=0),"",$U158/$L158)</f>
        <v/>
      </c>
      <c r="W158" s="11"/>
      <c r="X158" s="23" t="str">
        <f aca="false">IF($C158="","",IF(AND($H158="",N($I158)=0,N($K158)=0),"Dòng chỉ lưu thông tin khách (chưa có đơn); ",IF($B158="","Thiếu ngày đặt; ","")&amp;IF($H158="","Thiếu tên sản phẩm; ",IF($J158="","Chưa khai GIÁ GỐC ở BẢNG GIÁ GỐC; ",""))&amp;IF(N($I158)&lt;=0,"Thiếu số lượng; ","")&amp;IF(N($K158)&lt;=0,"Thiếu giá bán; ","")&amp;IF(AND($N158&gt;0,$F158=""),"Khách lấy VAT thiếu mã số thuế; ","")&amp;IF(N($Q158)&gt;$P158,"Đã thu vượt tổng phải thu; ","")&amp;IF(AND($L158&gt;0,$U158&lt;&gt;"",$U158&lt;0),"CẢNH BÁO: ĐƠN NÀY ĐANG LỖ; ","")))</f>
        <v/>
      </c>
    </row>
    <row r="159" customFormat="false" ht="15" hidden="false" customHeight="false" outlineLevel="0" collapsed="false">
      <c r="A159" s="21" t="str">
        <f aca="false">IF($C159="","",COUNTA($C$10:$C159))</f>
        <v/>
      </c>
      <c r="B159" s="18"/>
      <c r="C159" s="11"/>
      <c r="D159" s="11"/>
      <c r="E159" s="11"/>
      <c r="F159" s="11"/>
      <c r="G159" s="11"/>
      <c r="H159" s="11"/>
      <c r="I159" s="12"/>
      <c r="J159" s="13" t="str">
        <f aca="false">IF($H159="","",IFERROR(VLOOKUP($H159,'BẢNG GIÁ GỐC'!$A$5:$D$254,3,FALSE()),""))</f>
        <v/>
      </c>
      <c r="K159" s="12"/>
      <c r="L159" s="13" t="str">
        <f aca="false">IF($C159="","",N($I159)*N($K159))</f>
        <v/>
      </c>
      <c r="M159" s="11"/>
      <c r="N159" s="14" t="str">
        <f aca="false">IF($C159="","",IF($M159="VAT 5%",0.05,IF($M159="VAT 8%",0.08,IF($M159="VAT 10%",0.1,0))))</f>
        <v/>
      </c>
      <c r="O159" s="13" t="str">
        <f aca="false">IF($C159="","",$L159*$N159)</f>
        <v/>
      </c>
      <c r="P159" s="13" t="str">
        <f aca="false">IF($C159="","",$L159+$O159)</f>
        <v/>
      </c>
      <c r="Q159" s="12"/>
      <c r="R159" s="13" t="str">
        <f aca="false">IF($C159="","",MAX(0,$P159-N($Q159)))</f>
        <v/>
      </c>
      <c r="S159" s="23" t="str">
        <f aca="false">IF(OR($C159="",$P159=0),"",IF(N($Q159)&lt;=0,"Chưa thanh toán",IF(N($Q159)&lt;$P159,"Thanh toán một phần","Đã thanh toán")))</f>
        <v/>
      </c>
      <c r="T159" s="13" t="str">
        <f aca="false">IF(OR($C159="",$J159=""),"",N($I159)*$J159)</f>
        <v/>
      </c>
      <c r="U159" s="13" t="str">
        <f aca="false">IF(OR($C159="",$T159=""),"",$L159-$T159)</f>
        <v/>
      </c>
      <c r="V159" s="14" t="str">
        <f aca="false">IF(OR($U159="",$L159=0),"",$U159/$L159)</f>
        <v/>
      </c>
      <c r="W159" s="11"/>
      <c r="X159" s="23" t="str">
        <f aca="false">IF($C159="","",IF(AND($H159="",N($I159)=0,N($K159)=0),"Dòng chỉ lưu thông tin khách (chưa có đơn); ",IF($B159="","Thiếu ngày đặt; ","")&amp;IF($H159="","Thiếu tên sản phẩm; ",IF($J159="","Chưa khai GIÁ GỐC ở BẢNG GIÁ GỐC; ",""))&amp;IF(N($I159)&lt;=0,"Thiếu số lượng; ","")&amp;IF(N($K159)&lt;=0,"Thiếu giá bán; ","")&amp;IF(AND($N159&gt;0,$F159=""),"Khách lấy VAT thiếu mã số thuế; ","")&amp;IF(N($Q159)&gt;$P159,"Đã thu vượt tổng phải thu; ","")&amp;IF(AND($L159&gt;0,$U159&lt;&gt;"",$U159&lt;0),"CẢNH BÁO: ĐƠN NÀY ĐANG LỖ; ","")))</f>
        <v/>
      </c>
    </row>
  </sheetData>
  <autoFilter ref="A9:X159"/>
  <mergeCells count="35">
    <mergeCell ref="A1:X1"/>
    <mergeCell ref="A2:X2"/>
    <mergeCell ref="A3:C3"/>
    <mergeCell ref="D3:E3"/>
    <mergeCell ref="F3:H3"/>
    <mergeCell ref="I3:K3"/>
    <mergeCell ref="L3:O3"/>
    <mergeCell ref="P3:R3"/>
    <mergeCell ref="Z3:AD3"/>
    <mergeCell ref="A4:C4"/>
    <mergeCell ref="D4:E4"/>
    <mergeCell ref="F4:H4"/>
    <mergeCell ref="I4:K4"/>
    <mergeCell ref="L4:O4"/>
    <mergeCell ref="P4:R4"/>
    <mergeCell ref="A5:C5"/>
    <mergeCell ref="D5:E5"/>
    <mergeCell ref="F5:H5"/>
    <mergeCell ref="I5:K5"/>
    <mergeCell ref="L5:O5"/>
    <mergeCell ref="P5:R5"/>
    <mergeCell ref="A6:C6"/>
    <mergeCell ref="D6:E6"/>
    <mergeCell ref="F6:H6"/>
    <mergeCell ref="I6:K6"/>
    <mergeCell ref="L6:O6"/>
    <mergeCell ref="P6:R6"/>
    <mergeCell ref="A7:C7"/>
    <mergeCell ref="D7:E7"/>
    <mergeCell ref="F7:H7"/>
    <mergeCell ref="I7:K7"/>
    <mergeCell ref="L7:O7"/>
    <mergeCell ref="P7:R7"/>
    <mergeCell ref="A8:X8"/>
    <mergeCell ref="Z25:AB25"/>
  </mergeCells>
  <conditionalFormatting sqref="R10:R159">
    <cfRule type="cellIs" priority="2" operator="greaterThan" aboveAverage="0" equalAverage="0" bottom="0" percent="0" rank="0" text="" dxfId="8">
      <formula>0</formula>
    </cfRule>
  </conditionalFormatting>
  <conditionalFormatting sqref="U10:U159">
    <cfRule type="cellIs" priority="3" operator="lessThan" aboveAverage="0" equalAverage="0" bottom="0" percent="0" rank="0" text="" dxfId="8">
      <formula>0</formula>
    </cfRule>
  </conditionalFormatting>
  <conditionalFormatting sqref="X10:X159">
    <cfRule type="expression" priority="4" aboveAverage="0" equalAverage="0" bottom="0" percent="0" rank="0" text="" dxfId="13">
      <formula>LEN($X10)&gt;0</formula>
    </cfRule>
  </conditionalFormatting>
  <conditionalFormatting sqref="S10:S159">
    <cfRule type="expression" priority="5" aboveAverage="0" equalAverage="0" bottom="0" percent="0" rank="0" text="" dxfId="14">
      <formula>$S10="Đã thanh toán"</formula>
    </cfRule>
  </conditionalFormatting>
  <dataValidations count="5">
    <dataValidation allowBlank="true" error="Chỉ nhập số, không nhập chữ và không nhập số âm." errorStyle="stop" errorTitle="Số không hợp lệ" operator="greaterThanOrEqual" showDropDown="false" showErrorMessage="false" showInputMessage="false" sqref="AC5:AC24 I10:I159 K10:K159 Q10:Q159" type="decimal">
      <formula1>0</formula1>
      <formula2>0</formula2>
    </dataValidation>
    <dataValidation allowBlank="true" error="Hãy chọn sản phẩm có trong sheet BẢNG GIÁ GỐC, hoặc thêm sản phẩm đó vào BẢNG GIÁ GỐC trước." errorStyle="stop" errorTitle="Sản phẩm chưa có trong bảng giá" operator="between" showDropDown="false" showErrorMessage="false" showInputMessage="false" sqref="H10:H159" type="list">
      <formula1>DS_SANPHAM</formula1>
      <formula2>0</formula2>
    </dataValidation>
    <dataValidation allowBlank="true" errorStyle="stop" operator="between" showDropDown="false" showErrorMessage="false" showInputMessage="false" sqref="M10:M159" type="list">
      <formula1>"Không lấy VAT,VAT 5%,VAT 8%,VAT 10%"</formula1>
      <formula2>0</formula2>
    </dataValidation>
    <dataValidation allowBlank="true" errorStyle="stop" operator="between" showDropDown="false" showErrorMessage="false" showInputMessage="false" sqref="AA5:AA24" type="list">
      <formula1>"Tiền ship,Nguyên vật liệu,Nhân công,Quảng cáo,Thuê kho bãi,Điện nước,Đổi trả - bồi thường,Chi phí khác"</formula1>
      <formula2>0</formula2>
    </dataValidation>
    <dataValidation allowBlank="true" errorStyle="stop" operator="between" showDropDown="false" showErrorMessage="false" showInputMessage="false" sqref="Z5:Z24 B10:B159" type="date">
      <formula1>DATE(2020,1,1)</formula1>
      <formula2>DATE(2100,12,31)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D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0"/>
    <col collapsed="false" customWidth="true" hidden="false" outlineLevel="0" max="4" min="4" style="0" width="14"/>
    <col collapsed="false" customWidth="true" hidden="false" outlineLevel="0" max="5" min="5" style="0" width="30"/>
    <col collapsed="false" customWidth="true" hidden="false" outlineLevel="0" max="6" min="6" style="0" width="16"/>
    <col collapsed="false" customWidth="true" hidden="false" outlineLevel="0" max="8" min="7" style="0" width="34"/>
    <col collapsed="false" customWidth="true" hidden="false" outlineLevel="0" max="9" min="9" style="0" width="10"/>
    <col collapsed="false" customWidth="true" hidden="false" outlineLevel="0" max="10" min="10" style="0" width="14"/>
    <col collapsed="false" customWidth="true" hidden="false" outlineLevel="0" max="13" min="11" style="0" width="15"/>
    <col collapsed="false" customWidth="true" hidden="false" outlineLevel="0" max="14" min="14" style="0" width="10"/>
    <col collapsed="false" customWidth="true" hidden="false" outlineLevel="0" max="15" min="15" style="0" width="13"/>
    <col collapsed="false" customWidth="true" hidden="false" outlineLevel="0" max="17" min="16" style="0" width="16"/>
    <col collapsed="false" customWidth="true" hidden="false" outlineLevel="0" max="18" min="18" style="0" width="14"/>
    <col collapsed="false" customWidth="true" hidden="false" outlineLevel="0" max="19" min="19" style="0" width="18"/>
    <col collapsed="false" customWidth="true" hidden="false" outlineLevel="0" max="21" min="20" style="0" width="14"/>
    <col collapsed="false" customWidth="true" hidden="false" outlineLevel="0" max="22" min="22" style="0" width="9"/>
    <col collapsed="false" customWidth="true" hidden="false" outlineLevel="0" max="23" min="23" style="0" width="28"/>
    <col collapsed="false" customWidth="true" hidden="false" outlineLevel="0" max="24" min="24" style="0" width="38"/>
    <col collapsed="false" customWidth="true" hidden="false" outlineLevel="0" max="26" min="26" style="0" width="12"/>
    <col collapsed="false" customWidth="true" hidden="false" outlineLevel="0" max="27" min="27" style="0" width="22"/>
    <col collapsed="false" customWidth="true" hidden="false" outlineLevel="0" max="28" min="28" style="0" width="34"/>
    <col collapsed="false" customWidth="true" hidden="false" outlineLevel="0" max="29" min="29" style="0" width="16"/>
    <col collapsed="false" customWidth="true" hidden="false" outlineLevel="0" max="30" min="30" style="0" width="28"/>
  </cols>
  <sheetData>
    <row r="1" customFormat="false" ht="27.75" hidden="false" customHeight="true" outlineLevel="0" collapsed="false">
      <c r="A1" s="1" t="s">
        <v>399</v>
      </c>
      <c r="B1" s="1"/>
      <c r="C1" s="1"/>
      <c r="D1" s="1"/>
      <c r="E1" s="1"/>
      <c r="F1" s="1"/>
      <c r="G1" s="1"/>
      <c r="H1" s="1"/>
      <c r="I1" s="1"/>
      <c r="J1" s="1"/>
      <c r="K1" s="1"/>
      <c r="L1" s="1"/>
      <c r="M1" s="1"/>
      <c r="N1" s="1"/>
      <c r="O1" s="1"/>
      <c r="P1" s="1"/>
      <c r="Q1" s="1"/>
      <c r="R1" s="1"/>
      <c r="S1" s="1"/>
      <c r="T1" s="1"/>
      <c r="U1" s="1"/>
      <c r="V1" s="1"/>
      <c r="W1" s="1"/>
      <c r="X1" s="1"/>
    </row>
    <row r="2" customFormat="false" ht="18.75" hidden="false" customHeight="true" outlineLevel="0" collapsed="false">
      <c r="A2" s="2" t="s">
        <v>117</v>
      </c>
      <c r="B2" s="2"/>
      <c r="C2" s="2"/>
      <c r="D2" s="2"/>
      <c r="E2" s="2"/>
      <c r="F2" s="2"/>
      <c r="G2" s="2"/>
      <c r="H2" s="2"/>
      <c r="I2" s="2"/>
      <c r="J2" s="2"/>
      <c r="K2" s="2"/>
      <c r="L2" s="2"/>
      <c r="M2" s="2"/>
      <c r="N2" s="2"/>
      <c r="O2" s="2"/>
      <c r="P2" s="2"/>
      <c r="Q2" s="2"/>
      <c r="R2" s="2"/>
      <c r="S2" s="2"/>
      <c r="T2" s="2"/>
      <c r="U2" s="2"/>
      <c r="V2" s="2"/>
      <c r="W2" s="2"/>
      <c r="X2" s="2"/>
    </row>
    <row r="3" customFormat="false" ht="19.5" hidden="false" customHeight="true" outlineLevel="0" collapsed="false">
      <c r="A3" s="15" t="s">
        <v>118</v>
      </c>
      <c r="B3" s="15"/>
      <c r="C3" s="15"/>
      <c r="D3" s="16" t="n">
        <f aca="false">COUNTIFS($C$10:$C$159,"?*",$L$10:$L$159,"&gt;0")</f>
        <v>3</v>
      </c>
      <c r="E3" s="16"/>
      <c r="F3" s="15" t="s">
        <v>119</v>
      </c>
      <c r="G3" s="15"/>
      <c r="H3" s="15"/>
      <c r="I3" s="16" t="n">
        <f aca="false">SUM($L$10:$L$159)</f>
        <v>4805000</v>
      </c>
      <c r="J3" s="16"/>
      <c r="K3" s="16"/>
      <c r="L3" s="15" t="s">
        <v>120</v>
      </c>
      <c r="M3" s="15"/>
      <c r="N3" s="15"/>
      <c r="O3" s="15"/>
      <c r="P3" s="16" t="n">
        <f aca="false">SUM($T$10:$T$159)</f>
        <v>1280000</v>
      </c>
      <c r="Q3" s="16"/>
      <c r="R3" s="16"/>
      <c r="Z3" s="17" t="s">
        <v>400</v>
      </c>
      <c r="AA3" s="17"/>
      <c r="AB3" s="17"/>
      <c r="AC3" s="17"/>
      <c r="AD3" s="17"/>
    </row>
    <row r="4" customFormat="false" ht="19.5" hidden="false" customHeight="true" outlineLevel="0" collapsed="false">
      <c r="A4" s="15" t="s">
        <v>122</v>
      </c>
      <c r="B4" s="15"/>
      <c r="C4" s="15"/>
      <c r="D4" s="16" t="n">
        <f aca="false">IF(COUNTA($C$10:$C$159)=0,0,SUMPRODUCT(($C$10:$C$159&lt;&gt;"")/COUNTIF($C$10:$C$159,$C$10:$C$159&amp;"")))</f>
        <v>3</v>
      </c>
      <c r="E4" s="16"/>
      <c r="F4" s="15" t="s">
        <v>123</v>
      </c>
      <c r="G4" s="15"/>
      <c r="H4" s="15"/>
      <c r="I4" s="16" t="n">
        <f aca="false">SUM($O$10:$O$159)</f>
        <v>98000</v>
      </c>
      <c r="J4" s="16"/>
      <c r="K4" s="16"/>
      <c r="L4" s="15" t="s">
        <v>124</v>
      </c>
      <c r="M4" s="15"/>
      <c r="N4" s="15"/>
      <c r="O4" s="15"/>
      <c r="P4" s="16" t="n">
        <f aca="false">SUM($AC$5:$AC$24)</f>
        <v>0</v>
      </c>
      <c r="Q4" s="16"/>
      <c r="R4" s="16"/>
      <c r="Z4" s="9" t="s">
        <v>125</v>
      </c>
      <c r="AA4" s="9" t="s">
        <v>126</v>
      </c>
      <c r="AB4" s="9" t="s">
        <v>127</v>
      </c>
      <c r="AC4" s="9" t="s">
        <v>128</v>
      </c>
      <c r="AD4" s="9" t="s">
        <v>65</v>
      </c>
    </row>
    <row r="5" customFormat="false" ht="19.5" hidden="false" customHeight="true" outlineLevel="0" collapsed="false">
      <c r="A5" s="15" t="s">
        <v>129</v>
      </c>
      <c r="B5" s="15"/>
      <c r="C5" s="15"/>
      <c r="D5" s="16" t="n">
        <f aca="false">COUNTIFS($P$10:$P$159,"&gt;0",$R$10:$R$159,"&lt;=0")</f>
        <v>0</v>
      </c>
      <c r="E5" s="16"/>
      <c r="F5" s="15" t="s">
        <v>130</v>
      </c>
      <c r="G5" s="15"/>
      <c r="H5" s="15"/>
      <c r="I5" s="16" t="n">
        <f aca="false">SUM($P$10:$P$159)</f>
        <v>4903000</v>
      </c>
      <c r="J5" s="16"/>
      <c r="K5" s="16"/>
      <c r="L5" s="15" t="s">
        <v>131</v>
      </c>
      <c r="M5" s="15"/>
      <c r="N5" s="15"/>
      <c r="O5" s="15"/>
      <c r="P5" s="16" t="n">
        <f aca="false">$P3+$P4</f>
        <v>1280000</v>
      </c>
      <c r="Q5" s="16"/>
      <c r="R5" s="16"/>
      <c r="Z5" s="18"/>
      <c r="AA5" s="11"/>
      <c r="AB5" s="11"/>
      <c r="AC5" s="12"/>
      <c r="AD5" s="11"/>
    </row>
    <row r="6" customFormat="false" ht="19.5" hidden="false" customHeight="true" outlineLevel="0" collapsed="false">
      <c r="A6" s="15" t="s">
        <v>132</v>
      </c>
      <c r="B6" s="15"/>
      <c r="C6" s="15"/>
      <c r="D6" s="16" t="n">
        <f aca="false">COUNTIF($R$10:$R$159,"&gt;0")</f>
        <v>3</v>
      </c>
      <c r="E6" s="16"/>
      <c r="F6" s="15" t="s">
        <v>133</v>
      </c>
      <c r="G6" s="15"/>
      <c r="H6" s="15"/>
      <c r="I6" s="16" t="n">
        <f aca="false">SUM($Q$10:$Q$159)</f>
        <v>2212000</v>
      </c>
      <c r="J6" s="16"/>
      <c r="K6" s="16"/>
      <c r="L6" s="15" t="s">
        <v>134</v>
      </c>
      <c r="M6" s="15"/>
      <c r="N6" s="15"/>
      <c r="O6" s="15"/>
      <c r="P6" s="16" t="n">
        <f aca="false">$I3-$P5</f>
        <v>3525000</v>
      </c>
      <c r="Q6" s="16"/>
      <c r="R6" s="16"/>
      <c r="Z6" s="18"/>
      <c r="AA6" s="11"/>
      <c r="AB6" s="11"/>
      <c r="AC6" s="12"/>
      <c r="AD6" s="11"/>
    </row>
    <row r="7" customFormat="false" ht="19.5" hidden="false" customHeight="true" outlineLevel="0" collapsed="false">
      <c r="A7" s="15" t="s">
        <v>135</v>
      </c>
      <c r="B7" s="15"/>
      <c r="C7" s="15"/>
      <c r="D7" s="19" t="n">
        <f aca="false">IF($I5=0,"",$I6/$I5)</f>
        <v>0.451152355700592</v>
      </c>
      <c r="E7" s="19"/>
      <c r="F7" s="15" t="s">
        <v>136</v>
      </c>
      <c r="G7" s="15"/>
      <c r="H7" s="15"/>
      <c r="I7" s="16" t="n">
        <f aca="false">SUM($R$10:$R$159)</f>
        <v>2691000</v>
      </c>
      <c r="J7" s="16"/>
      <c r="K7" s="16"/>
      <c r="L7" s="15" t="s">
        <v>137</v>
      </c>
      <c r="M7" s="15"/>
      <c r="N7" s="15"/>
      <c r="O7" s="15"/>
      <c r="P7" s="19" t="n">
        <f aca="false">IF($I3=0,"",$P6/$I3)</f>
        <v>0.733610822060354</v>
      </c>
      <c r="Q7" s="19"/>
      <c r="R7" s="19"/>
      <c r="Z7" s="18"/>
      <c r="AA7" s="11"/>
      <c r="AB7" s="11"/>
      <c r="AC7" s="12"/>
      <c r="AD7" s="11"/>
    </row>
    <row r="8" customFormat="false" ht="21.75" hidden="false" customHeight="true" outlineLevel="0" collapsed="false">
      <c r="A8" s="20" t="str">
        <f aca="false">IF(SUMPRODUCT(($H$10:$H$159&lt;&gt;"")*($J$10:$J$159=""))=0,"✔ Mọi đơn trong tháng đã có GIÁ GỐC – số liệu lãi lỗ đầy đủ.","⚠ CÓ "&amp;SUMPRODUCT(($H$10:$H$159&lt;&gt;"")*($J$10:$J$159=""))&amp;" ĐƠN CHƯA KHAI GIÁ GỐC → GIÁ VỐN và LÃI/LỖ của tháng CHƯA ĐỦ. Vào sheet BẢNG GIÁ GỐC điền cột GIÁ GỐC/SP.")</f>
        <v>⚠ CÓ 2 ĐƠN CHƯA KHAI GIÁ GỐC → GIÁ VỐN và LÃI/LỖ của tháng CHƯA ĐỦ. Vào sheet BẢNG GIÁ GỐC điền cột GIÁ GỐC/SP.</v>
      </c>
      <c r="B8" s="20"/>
      <c r="C8" s="20"/>
      <c r="D8" s="20"/>
      <c r="E8" s="20"/>
      <c r="F8" s="20"/>
      <c r="G8" s="20"/>
      <c r="H8" s="20"/>
      <c r="I8" s="20"/>
      <c r="J8" s="20"/>
      <c r="K8" s="20"/>
      <c r="L8" s="20"/>
      <c r="M8" s="20"/>
      <c r="N8" s="20"/>
      <c r="O8" s="20"/>
      <c r="P8" s="20"/>
      <c r="Q8" s="20"/>
      <c r="R8" s="20"/>
      <c r="S8" s="20"/>
      <c r="T8" s="20"/>
      <c r="U8" s="20"/>
      <c r="V8" s="20"/>
      <c r="W8" s="20"/>
      <c r="X8" s="20"/>
      <c r="Z8" s="18"/>
      <c r="AA8" s="11"/>
      <c r="AB8" s="11"/>
      <c r="AC8" s="12"/>
      <c r="AD8" s="11"/>
    </row>
    <row r="9" customFormat="false" ht="33.75" hidden="false" customHeight="true" outlineLevel="0" collapsed="false">
      <c r="A9" s="10" t="s">
        <v>138</v>
      </c>
      <c r="B9" s="9" t="s">
        <v>139</v>
      </c>
      <c r="C9" s="9" t="s">
        <v>140</v>
      </c>
      <c r="D9" s="9" t="s">
        <v>141</v>
      </c>
      <c r="E9" s="9" t="s">
        <v>142</v>
      </c>
      <c r="F9" s="9" t="s">
        <v>143</v>
      </c>
      <c r="G9" s="9" t="s">
        <v>144</v>
      </c>
      <c r="H9" s="9" t="s">
        <v>59</v>
      </c>
      <c r="I9" s="9" t="s">
        <v>145</v>
      </c>
      <c r="J9" s="10" t="s">
        <v>61</v>
      </c>
      <c r="K9" s="9" t="s">
        <v>146</v>
      </c>
      <c r="L9" s="10" t="s">
        <v>147</v>
      </c>
      <c r="M9" s="9" t="s">
        <v>148</v>
      </c>
      <c r="N9" s="10" t="s">
        <v>149</v>
      </c>
      <c r="O9" s="10" t="s">
        <v>123</v>
      </c>
      <c r="P9" s="10" t="s">
        <v>150</v>
      </c>
      <c r="Q9" s="9" t="s">
        <v>151</v>
      </c>
      <c r="R9" s="10" t="s">
        <v>152</v>
      </c>
      <c r="S9" s="10" t="s">
        <v>153</v>
      </c>
      <c r="T9" s="10" t="s">
        <v>154</v>
      </c>
      <c r="U9" s="10" t="s">
        <v>155</v>
      </c>
      <c r="V9" s="10" t="s">
        <v>156</v>
      </c>
      <c r="W9" s="9" t="s">
        <v>65</v>
      </c>
      <c r="X9" s="10" t="s">
        <v>157</v>
      </c>
      <c r="Z9" s="18"/>
      <c r="AA9" s="11"/>
      <c r="AB9" s="11"/>
      <c r="AC9" s="12"/>
      <c r="AD9" s="11"/>
    </row>
    <row r="10" customFormat="false" ht="15" hidden="false" customHeight="false" outlineLevel="0" collapsed="false">
      <c r="A10" s="21" t="n">
        <f aca="false">IF($C10="","",COUNTA($C$10:$C10))</f>
        <v>1</v>
      </c>
      <c r="B10" s="18" t="n">
        <v>46235</v>
      </c>
      <c r="C10" s="11" t="s">
        <v>401</v>
      </c>
      <c r="D10" s="22" t="s">
        <v>402</v>
      </c>
      <c r="E10" s="11"/>
      <c r="F10" s="22"/>
      <c r="G10" s="11"/>
      <c r="H10" s="11" t="s">
        <v>403</v>
      </c>
      <c r="I10" s="12" t="n">
        <v>32</v>
      </c>
      <c r="J10" s="13" t="n">
        <f aca="false">IF($H10="","",IFERROR(VLOOKUP($H10,'BẢNG GIÁ GỐC'!$A$5:$D$254,3,FALSE()),""))</f>
        <v>40000</v>
      </c>
      <c r="K10" s="12" t="n">
        <v>65000</v>
      </c>
      <c r="L10" s="13" t="n">
        <f aca="false">IF($C10="","",N($I10)*N($K10))</f>
        <v>2080000</v>
      </c>
      <c r="M10" s="11" t="s">
        <v>163</v>
      </c>
      <c r="N10" s="14" t="n">
        <f aca="false">IF($C10="","",IF($M10="VAT 5%",0.05,IF($M10="VAT 8%",0.08,IF($M10="VAT 10%",0.1,0))))</f>
        <v>0</v>
      </c>
      <c r="O10" s="13" t="n">
        <f aca="false">IF($C10="","",$L10*$N10)</f>
        <v>0</v>
      </c>
      <c r="P10" s="13" t="n">
        <f aca="false">IF($C10="","",$L10+$O10)</f>
        <v>2080000</v>
      </c>
      <c r="Q10" s="12" t="n">
        <v>1050000</v>
      </c>
      <c r="R10" s="13" t="n">
        <f aca="false">IF($C10="","",MAX(0,$P10-N($Q10)))</f>
        <v>1030000</v>
      </c>
      <c r="S10" s="23" t="str">
        <f aca="false">IF(OR($C10="",$P10=0),"",IF(N($Q10)&lt;=0,"Chưa thanh toán",IF(N($Q10)&lt;$P10,"Thanh toán một phần","Đã thanh toán")))</f>
        <v>Thanh toán một phần</v>
      </c>
      <c r="T10" s="13" t="n">
        <f aca="false">IF(OR($C10="",$J10=""),"",N($I10)*$J10)</f>
        <v>1280000</v>
      </c>
      <c r="U10" s="13" t="n">
        <f aca="false">IF(OR($C10="",$T10=""),"",$L10-$T10)</f>
        <v>800000</v>
      </c>
      <c r="V10" s="14" t="n">
        <f aca="false">IF(OR($U10="",$L10=0),"",$U10/$L10)</f>
        <v>0.384615384615385</v>
      </c>
      <c r="W10" s="11" t="s">
        <v>404</v>
      </c>
      <c r="X10" s="23" t="str">
        <f aca="false">IF($C10="","",IF(AND($H10="",N($I10)=0,N($K10)=0),"Dòng chỉ lưu thông tin khách (chưa có đơn); ",IF($B10="","Thiếu ngày đặt; ","")&amp;IF($H10="","Thiếu tên sản phẩm; ",IF($J10="","Chưa khai GIÁ GỐC ở BẢNG GIÁ GỐC; ",""))&amp;IF(N($I10)&lt;=0,"Thiếu số lượng; ","")&amp;IF(N($K10)&lt;=0,"Thiếu giá bán; ","")&amp;IF(AND($N10&gt;0,$F10=""),"Khách lấy VAT thiếu mã số thuế; ","")&amp;IF(N($Q10)&gt;$P10,"Đã thu vượt tổng phải thu; ","")&amp;IF(AND($L10&gt;0,$U10&lt;&gt;"",$U10&lt;0),"CẢNH BÁO: ĐƠN NÀY ĐANG LỖ; ","")))</f>
        <v/>
      </c>
      <c r="Z10" s="18"/>
      <c r="AA10" s="11"/>
      <c r="AB10" s="11"/>
      <c r="AC10" s="12"/>
      <c r="AD10" s="11"/>
    </row>
    <row r="11" customFormat="false" ht="15" hidden="false" customHeight="false" outlineLevel="0" collapsed="false">
      <c r="A11" s="21" t="n">
        <f aca="false">IF($C11="","",COUNTA($C$10:$C11))</f>
        <v>2</v>
      </c>
      <c r="B11" s="18" t="n">
        <v>46235</v>
      </c>
      <c r="C11" s="11" t="s">
        <v>405</v>
      </c>
      <c r="D11" s="22" t="s">
        <v>194</v>
      </c>
      <c r="E11" s="11"/>
      <c r="F11" s="22" t="s">
        <v>406</v>
      </c>
      <c r="G11" s="11" t="s">
        <v>195</v>
      </c>
      <c r="H11" s="11" t="s">
        <v>107</v>
      </c>
      <c r="I11" s="12" t="n">
        <v>25</v>
      </c>
      <c r="J11" s="13" t="n">
        <f aca="false">IF($H11="","",IFERROR(VLOOKUP($H11,'BẢNG GIÁ GỐC'!$A$5:$D$254,3,FALSE()),""))</f>
        <v>0</v>
      </c>
      <c r="K11" s="12" t="n">
        <v>49000</v>
      </c>
      <c r="L11" s="13" t="n">
        <f aca="false">IF($C11="","",N($I11)*N($K11))</f>
        <v>1225000</v>
      </c>
      <c r="M11" s="11" t="s">
        <v>191</v>
      </c>
      <c r="N11" s="14" t="n">
        <f aca="false">IF($C11="","",IF($M11="VAT 5%",0.05,IF($M11="VAT 8%",0.08,IF($M11="VAT 10%",0.1,0))))</f>
        <v>0.08</v>
      </c>
      <c r="O11" s="13" t="n">
        <f aca="false">IF($C11="","",$L11*$N11)</f>
        <v>98000</v>
      </c>
      <c r="P11" s="13" t="n">
        <f aca="false">IF($C11="","",$L11+$O11)</f>
        <v>1323000</v>
      </c>
      <c r="Q11" s="12" t="n">
        <v>662000</v>
      </c>
      <c r="R11" s="13" t="n">
        <f aca="false">IF($C11="","",MAX(0,$P11-N($Q11)))</f>
        <v>661000</v>
      </c>
      <c r="S11" s="23" t="str">
        <f aca="false">IF(OR($C11="",$P11=0),"",IF(N($Q11)&lt;=0,"Chưa thanh toán",IF(N($Q11)&lt;$P11,"Thanh toán một phần","Đã thanh toán")))</f>
        <v>Thanh toán một phần</v>
      </c>
      <c r="T11" s="13" t="str">
        <f aca="false">IF(OR($C11="",$J11=""),"",N($I11)*$J11)</f>
        <v/>
      </c>
      <c r="U11" s="13" t="str">
        <f aca="false">IF(OR($C11="",$T11=""),"",$L11-$T11)</f>
        <v/>
      </c>
      <c r="V11" s="14" t="str">
        <f aca="false">IF(OR($U11="",$L11=0),"",$U11/$L11)</f>
        <v/>
      </c>
      <c r="W11" s="11" t="s">
        <v>407</v>
      </c>
      <c r="X11" s="23" t="str">
        <f aca="false">IF($C11="","",IF(AND($H11="",N($I11)=0,N($K11)=0),"Dòng chỉ lưu thông tin khách (chưa có đơn); ",IF($B11="","Thiếu ngày đặt; ","")&amp;IF($H11="","Thiếu tên sản phẩm; ",IF($J11="","Chưa khai GIÁ GỐC ở BẢNG GIÁ GỐC; ",""))&amp;IF(N($I11)&lt;=0,"Thiếu số lượng; ","")&amp;IF(N($K11)&lt;=0,"Thiếu giá bán; ","")&amp;IF(AND($N11&gt;0,$F11=""),"Khách lấy VAT thiếu mã số thuế; ","")&amp;IF(N($Q11)&gt;$P11,"Đã thu vượt tổng phải thu; ","")&amp;IF(AND($L11&gt;0,$U11&lt;&gt;"",$U11&lt;0),"CẢNH BÁO: ĐƠN NÀY ĐANG LỖ; ","")))</f>
        <v>Chưa khai GIÁ GỐC ở BẢNG GIÁ GỐC; </v>
      </c>
      <c r="Z11" s="18"/>
      <c r="AA11" s="11"/>
      <c r="AB11" s="11"/>
      <c r="AC11" s="12"/>
      <c r="AD11" s="11"/>
    </row>
    <row r="12" customFormat="false" ht="15" hidden="false" customHeight="false" outlineLevel="0" collapsed="false">
      <c r="A12" s="21" t="n">
        <f aca="false">IF($C12="","",COUNTA($C$10:$C12))</f>
        <v>3</v>
      </c>
      <c r="B12" s="18" t="n">
        <v>46235</v>
      </c>
      <c r="C12" s="11" t="s">
        <v>408</v>
      </c>
      <c r="D12" s="22" t="s">
        <v>409</v>
      </c>
      <c r="E12" s="11"/>
      <c r="F12" s="22"/>
      <c r="G12" s="11" t="s">
        <v>410</v>
      </c>
      <c r="H12" s="11" t="s">
        <v>101</v>
      </c>
      <c r="I12" s="12" t="n">
        <v>30</v>
      </c>
      <c r="J12" s="13" t="n">
        <f aca="false">IF($H12="","",IFERROR(VLOOKUP($H12,'BẢNG GIÁ GỐC'!$A$5:$D$254,3,FALSE()),""))</f>
        <v>0</v>
      </c>
      <c r="K12" s="12" t="n">
        <v>50000</v>
      </c>
      <c r="L12" s="13" t="n">
        <f aca="false">IF($C12="","",N($I12)*N($K12))</f>
        <v>1500000</v>
      </c>
      <c r="M12" s="11" t="s">
        <v>163</v>
      </c>
      <c r="N12" s="14" t="n">
        <f aca="false">IF($C12="","",IF($M12="VAT 5%",0.05,IF($M12="VAT 8%",0.08,IF($M12="VAT 10%",0.1,0))))</f>
        <v>0</v>
      </c>
      <c r="O12" s="13" t="n">
        <f aca="false">IF($C12="","",$L12*$N12)</f>
        <v>0</v>
      </c>
      <c r="P12" s="13" t="n">
        <f aca="false">IF($C12="","",$L12+$O12)</f>
        <v>1500000</v>
      </c>
      <c r="Q12" s="12" t="n">
        <v>500000</v>
      </c>
      <c r="R12" s="13" t="n">
        <f aca="false">IF($C12="","",MAX(0,$P12-N($Q12)))</f>
        <v>1000000</v>
      </c>
      <c r="S12" s="23" t="str">
        <f aca="false">IF(OR($C12="",$P12=0),"",IF(N($Q12)&lt;=0,"Chưa thanh toán",IF(N($Q12)&lt;$P12,"Thanh toán một phần","Đã thanh toán")))</f>
        <v>Thanh toán một phần</v>
      </c>
      <c r="T12" s="13" t="str">
        <f aca="false">IF(OR($C12="",$J12=""),"",N($I12)*$J12)</f>
        <v/>
      </c>
      <c r="U12" s="13" t="str">
        <f aca="false">IF(OR($C12="",$T12=""),"",$L12-$T12)</f>
        <v/>
      </c>
      <c r="V12" s="14" t="str">
        <f aca="false">IF(OR($U12="",$L12=0),"",$U12/$L12)</f>
        <v/>
      </c>
      <c r="W12" s="11" t="s">
        <v>411</v>
      </c>
      <c r="X12" s="23" t="str">
        <f aca="false">IF($C12="","",IF(AND($H12="",N($I12)=0,N($K12)=0),"Dòng chỉ lưu thông tin khách (chưa có đơn); ",IF($B12="","Thiếu ngày đặt; ","")&amp;IF($H12="","Thiếu tên sản phẩm; ",IF($J12="","Chưa khai GIÁ GỐC ở BẢNG GIÁ GỐC; ",""))&amp;IF(N($I12)&lt;=0,"Thiếu số lượng; ","")&amp;IF(N($K12)&lt;=0,"Thiếu giá bán; ","")&amp;IF(AND($N12&gt;0,$F12=""),"Khách lấy VAT thiếu mã số thuế; ","")&amp;IF(N($Q12)&gt;$P12,"Đã thu vượt tổng phải thu; ","")&amp;IF(AND($L12&gt;0,$U12&lt;&gt;"",$U12&lt;0),"CẢNH BÁO: ĐƠN NÀY ĐANG LỖ; ","")))</f>
        <v>Chưa khai GIÁ GỐC ở BẢNG GIÁ GỐC; </v>
      </c>
      <c r="Z12" s="18"/>
      <c r="AA12" s="11"/>
      <c r="AB12" s="11"/>
      <c r="AC12" s="12"/>
      <c r="AD12" s="11"/>
    </row>
    <row r="13" customFormat="false" ht="15" hidden="false" customHeight="false" outlineLevel="0" collapsed="false">
      <c r="A13" s="21" t="str">
        <f aca="false">IF($C13="","",COUNTA($C$10:$C13))</f>
        <v/>
      </c>
      <c r="B13" s="18"/>
      <c r="C13" s="11"/>
      <c r="D13" s="11"/>
      <c r="E13" s="11"/>
      <c r="F13" s="11"/>
      <c r="G13" s="11"/>
      <c r="H13" s="11"/>
      <c r="I13" s="12"/>
      <c r="J13" s="13" t="str">
        <f aca="false">IF($H13="","",IFERROR(VLOOKUP($H13,'BẢNG GIÁ GỐC'!$A$5:$D$254,3,FALSE()),""))</f>
        <v/>
      </c>
      <c r="K13" s="12"/>
      <c r="L13" s="13" t="str">
        <f aca="false">IF($C13="","",N($I13)*N($K13))</f>
        <v/>
      </c>
      <c r="M13" s="11"/>
      <c r="N13" s="14" t="str">
        <f aca="false">IF($C13="","",IF($M13="VAT 5%",0.05,IF($M13="VAT 8%",0.08,IF($M13="VAT 10%",0.1,0))))</f>
        <v/>
      </c>
      <c r="O13" s="13" t="str">
        <f aca="false">IF($C13="","",$L13*$N13)</f>
        <v/>
      </c>
      <c r="P13" s="13" t="str">
        <f aca="false">IF($C13="","",$L13+$O13)</f>
        <v/>
      </c>
      <c r="Q13" s="12"/>
      <c r="R13" s="13" t="str">
        <f aca="false">IF($C13="","",MAX(0,$P13-N($Q13)))</f>
        <v/>
      </c>
      <c r="S13" s="23" t="str">
        <f aca="false">IF(OR($C13="",$P13=0),"",IF(N($Q13)&lt;=0,"Chưa thanh toán",IF(N($Q13)&lt;$P13,"Thanh toán một phần","Đã thanh toán")))</f>
        <v/>
      </c>
      <c r="T13" s="13" t="str">
        <f aca="false">IF(OR($C13="",$J13=""),"",N($I13)*$J13)</f>
        <v/>
      </c>
      <c r="U13" s="13" t="str">
        <f aca="false">IF(OR($C13="",$T13=""),"",$L13-$T13)</f>
        <v/>
      </c>
      <c r="V13" s="14" t="str">
        <f aca="false">IF(OR($U13="",$L13=0),"",$U13/$L13)</f>
        <v/>
      </c>
      <c r="W13" s="11"/>
      <c r="X13" s="23" t="str">
        <f aca="false">IF($C13="","",IF(AND($H13="",N($I13)=0,N($K13)=0),"Dòng chỉ lưu thông tin khách (chưa có đơn); ",IF($B13="","Thiếu ngày đặt; ","")&amp;IF($H13="","Thiếu tên sản phẩm; ",IF($J13="","Chưa khai GIÁ GỐC ở BẢNG GIÁ GỐC; ",""))&amp;IF(N($I13)&lt;=0,"Thiếu số lượng; ","")&amp;IF(N($K13)&lt;=0,"Thiếu giá bán; ","")&amp;IF(AND($N13&gt;0,$F13=""),"Khách lấy VAT thiếu mã số thuế; ","")&amp;IF(N($Q13)&gt;$P13,"Đã thu vượt tổng phải thu; ","")&amp;IF(AND($L13&gt;0,$U13&lt;&gt;"",$U13&lt;0),"CẢNH BÁO: ĐƠN NÀY ĐANG LỖ; ","")))</f>
        <v/>
      </c>
      <c r="Z13" s="18"/>
      <c r="AA13" s="11"/>
      <c r="AB13" s="11"/>
      <c r="AC13" s="12"/>
      <c r="AD13" s="11"/>
    </row>
    <row r="14" customFormat="false" ht="15" hidden="false" customHeight="false" outlineLevel="0" collapsed="false">
      <c r="A14" s="21" t="str">
        <f aca="false">IF($C14="","",COUNTA($C$10:$C14))</f>
        <v/>
      </c>
      <c r="B14" s="18"/>
      <c r="C14" s="11"/>
      <c r="D14" s="11"/>
      <c r="E14" s="11"/>
      <c r="F14" s="11"/>
      <c r="G14" s="11"/>
      <c r="H14" s="11"/>
      <c r="I14" s="12"/>
      <c r="J14" s="13" t="str">
        <f aca="false">IF($H14="","",IFERROR(VLOOKUP($H14,'BẢNG GIÁ GỐC'!$A$5:$D$254,3,FALSE()),""))</f>
        <v/>
      </c>
      <c r="K14" s="12"/>
      <c r="L14" s="13" t="str">
        <f aca="false">IF($C14="","",N($I14)*N($K14))</f>
        <v/>
      </c>
      <c r="M14" s="11"/>
      <c r="N14" s="14" t="str">
        <f aca="false">IF($C14="","",IF($M14="VAT 5%",0.05,IF($M14="VAT 8%",0.08,IF($M14="VAT 10%",0.1,0))))</f>
        <v/>
      </c>
      <c r="O14" s="13" t="str">
        <f aca="false">IF($C14="","",$L14*$N14)</f>
        <v/>
      </c>
      <c r="P14" s="13" t="str">
        <f aca="false">IF($C14="","",$L14+$O14)</f>
        <v/>
      </c>
      <c r="Q14" s="12"/>
      <c r="R14" s="13" t="str">
        <f aca="false">IF($C14="","",MAX(0,$P14-N($Q14)))</f>
        <v/>
      </c>
      <c r="S14" s="23" t="str">
        <f aca="false">IF(OR($C14="",$P14=0),"",IF(N($Q14)&lt;=0,"Chưa thanh toán",IF(N($Q14)&lt;$P14,"Thanh toán một phần","Đã thanh toán")))</f>
        <v/>
      </c>
      <c r="T14" s="13" t="str">
        <f aca="false">IF(OR($C14="",$J14=""),"",N($I14)*$J14)</f>
        <v/>
      </c>
      <c r="U14" s="13" t="str">
        <f aca="false">IF(OR($C14="",$T14=""),"",$L14-$T14)</f>
        <v/>
      </c>
      <c r="V14" s="14" t="str">
        <f aca="false">IF(OR($U14="",$L14=0),"",$U14/$L14)</f>
        <v/>
      </c>
      <c r="W14" s="11"/>
      <c r="X14" s="23" t="str">
        <f aca="false">IF($C14="","",IF(AND($H14="",N($I14)=0,N($K14)=0),"Dòng chỉ lưu thông tin khách (chưa có đơn); ",IF($B14="","Thiếu ngày đặt; ","")&amp;IF($H14="","Thiếu tên sản phẩm; ",IF($J14="","Chưa khai GIÁ GỐC ở BẢNG GIÁ GỐC; ",""))&amp;IF(N($I14)&lt;=0,"Thiếu số lượng; ","")&amp;IF(N($K14)&lt;=0,"Thiếu giá bán; ","")&amp;IF(AND($N14&gt;0,$F14=""),"Khách lấy VAT thiếu mã số thuế; ","")&amp;IF(N($Q14)&gt;$P14,"Đã thu vượt tổng phải thu; ","")&amp;IF(AND($L14&gt;0,$U14&lt;&gt;"",$U14&lt;0),"CẢNH BÁO: ĐƠN NÀY ĐANG LỖ; ","")))</f>
        <v/>
      </c>
      <c r="Z14" s="18"/>
      <c r="AA14" s="11"/>
      <c r="AB14" s="11"/>
      <c r="AC14" s="12"/>
      <c r="AD14" s="11"/>
    </row>
    <row r="15" customFormat="false" ht="15" hidden="false" customHeight="false" outlineLevel="0" collapsed="false">
      <c r="A15" s="21" t="str">
        <f aca="false">IF($C15="","",COUNTA($C$10:$C15))</f>
        <v/>
      </c>
      <c r="B15" s="18"/>
      <c r="C15" s="11"/>
      <c r="D15" s="11"/>
      <c r="E15" s="11"/>
      <c r="F15" s="11"/>
      <c r="G15" s="11"/>
      <c r="H15" s="11"/>
      <c r="I15" s="12"/>
      <c r="J15" s="13" t="str">
        <f aca="false">IF($H15="","",IFERROR(VLOOKUP($H15,'BẢNG GIÁ GỐC'!$A$5:$D$254,3,FALSE()),""))</f>
        <v/>
      </c>
      <c r="K15" s="12"/>
      <c r="L15" s="13" t="str">
        <f aca="false">IF($C15="","",N($I15)*N($K15))</f>
        <v/>
      </c>
      <c r="M15" s="11"/>
      <c r="N15" s="14" t="str">
        <f aca="false">IF($C15="","",IF($M15="VAT 5%",0.05,IF($M15="VAT 8%",0.08,IF($M15="VAT 10%",0.1,0))))</f>
        <v/>
      </c>
      <c r="O15" s="13" t="str">
        <f aca="false">IF($C15="","",$L15*$N15)</f>
        <v/>
      </c>
      <c r="P15" s="13" t="str">
        <f aca="false">IF($C15="","",$L15+$O15)</f>
        <v/>
      </c>
      <c r="Q15" s="12"/>
      <c r="R15" s="13" t="str">
        <f aca="false">IF($C15="","",MAX(0,$P15-N($Q15)))</f>
        <v/>
      </c>
      <c r="S15" s="23" t="str">
        <f aca="false">IF(OR($C15="",$P15=0),"",IF(N($Q15)&lt;=0,"Chưa thanh toán",IF(N($Q15)&lt;$P15,"Thanh toán một phần","Đã thanh toán")))</f>
        <v/>
      </c>
      <c r="T15" s="13" t="str">
        <f aca="false">IF(OR($C15="",$J15=""),"",N($I15)*$J15)</f>
        <v/>
      </c>
      <c r="U15" s="13" t="str">
        <f aca="false">IF(OR($C15="",$T15=""),"",$L15-$T15)</f>
        <v/>
      </c>
      <c r="V15" s="14" t="str">
        <f aca="false">IF(OR($U15="",$L15=0),"",$U15/$L15)</f>
        <v/>
      </c>
      <c r="W15" s="11"/>
      <c r="X15" s="23" t="str">
        <f aca="false">IF($C15="","",IF(AND($H15="",N($I15)=0,N($K15)=0),"Dòng chỉ lưu thông tin khách (chưa có đơn); ",IF($B15="","Thiếu ngày đặt; ","")&amp;IF($H15="","Thiếu tên sản phẩm; ",IF($J15="","Chưa khai GIÁ GỐC ở BẢNG GIÁ GỐC; ",""))&amp;IF(N($I15)&lt;=0,"Thiếu số lượng; ","")&amp;IF(N($K15)&lt;=0,"Thiếu giá bán; ","")&amp;IF(AND($N15&gt;0,$F15=""),"Khách lấy VAT thiếu mã số thuế; ","")&amp;IF(N($Q15)&gt;$P15,"Đã thu vượt tổng phải thu; ","")&amp;IF(AND($L15&gt;0,$U15&lt;&gt;"",$U15&lt;0),"CẢNH BÁO: ĐƠN NÀY ĐANG LỖ; ","")))</f>
        <v/>
      </c>
      <c r="Z15" s="18"/>
      <c r="AA15" s="11"/>
      <c r="AB15" s="11"/>
      <c r="AC15" s="12"/>
      <c r="AD15" s="11"/>
    </row>
    <row r="16" customFormat="false" ht="15" hidden="false" customHeight="false" outlineLevel="0" collapsed="false">
      <c r="A16" s="21" t="str">
        <f aca="false">IF($C16="","",COUNTA($C$10:$C16))</f>
        <v/>
      </c>
      <c r="B16" s="18"/>
      <c r="C16" s="11"/>
      <c r="D16" s="11"/>
      <c r="E16" s="11"/>
      <c r="F16" s="11"/>
      <c r="G16" s="11"/>
      <c r="H16" s="11"/>
      <c r="I16" s="12"/>
      <c r="J16" s="13" t="str">
        <f aca="false">IF($H16="","",IFERROR(VLOOKUP($H16,'BẢNG GIÁ GỐC'!$A$5:$D$254,3,FALSE()),""))</f>
        <v/>
      </c>
      <c r="K16" s="12"/>
      <c r="L16" s="13" t="str">
        <f aca="false">IF($C16="","",N($I16)*N($K16))</f>
        <v/>
      </c>
      <c r="M16" s="11"/>
      <c r="N16" s="14" t="str">
        <f aca="false">IF($C16="","",IF($M16="VAT 5%",0.05,IF($M16="VAT 8%",0.08,IF($M16="VAT 10%",0.1,0))))</f>
        <v/>
      </c>
      <c r="O16" s="13" t="str">
        <f aca="false">IF($C16="","",$L16*$N16)</f>
        <v/>
      </c>
      <c r="P16" s="13" t="str">
        <f aca="false">IF($C16="","",$L16+$O16)</f>
        <v/>
      </c>
      <c r="Q16" s="12"/>
      <c r="R16" s="13" t="str">
        <f aca="false">IF($C16="","",MAX(0,$P16-N($Q16)))</f>
        <v/>
      </c>
      <c r="S16" s="23" t="str">
        <f aca="false">IF(OR($C16="",$P16=0),"",IF(N($Q16)&lt;=0,"Chưa thanh toán",IF(N($Q16)&lt;$P16,"Thanh toán một phần","Đã thanh toán")))</f>
        <v/>
      </c>
      <c r="T16" s="13" t="str">
        <f aca="false">IF(OR($C16="",$J16=""),"",N($I16)*$J16)</f>
        <v/>
      </c>
      <c r="U16" s="13" t="str">
        <f aca="false">IF(OR($C16="",$T16=""),"",$L16-$T16)</f>
        <v/>
      </c>
      <c r="V16" s="14" t="str">
        <f aca="false">IF(OR($U16="",$L16=0),"",$U16/$L16)</f>
        <v/>
      </c>
      <c r="W16" s="11"/>
      <c r="X16" s="23" t="str">
        <f aca="false">IF($C16="","",IF(AND($H16="",N($I16)=0,N($K16)=0),"Dòng chỉ lưu thông tin khách (chưa có đơn); ",IF($B16="","Thiếu ngày đặt; ","")&amp;IF($H16="","Thiếu tên sản phẩm; ",IF($J16="","Chưa khai GIÁ GỐC ở BẢNG GIÁ GỐC; ",""))&amp;IF(N($I16)&lt;=0,"Thiếu số lượng; ","")&amp;IF(N($K16)&lt;=0,"Thiếu giá bán; ","")&amp;IF(AND($N16&gt;0,$F16=""),"Khách lấy VAT thiếu mã số thuế; ","")&amp;IF(N($Q16)&gt;$P16,"Đã thu vượt tổng phải thu; ","")&amp;IF(AND($L16&gt;0,$U16&lt;&gt;"",$U16&lt;0),"CẢNH BÁO: ĐƠN NÀY ĐANG LỖ; ","")))</f>
        <v/>
      </c>
      <c r="Z16" s="18"/>
      <c r="AA16" s="11"/>
      <c r="AB16" s="11"/>
      <c r="AC16" s="12"/>
      <c r="AD16" s="11"/>
    </row>
    <row r="17" customFormat="false" ht="15" hidden="false" customHeight="false" outlineLevel="0" collapsed="false">
      <c r="A17" s="21" t="str">
        <f aca="false">IF($C17="","",COUNTA($C$10:$C17))</f>
        <v/>
      </c>
      <c r="B17" s="18"/>
      <c r="C17" s="11"/>
      <c r="D17" s="11"/>
      <c r="E17" s="11"/>
      <c r="F17" s="11"/>
      <c r="G17" s="11"/>
      <c r="H17" s="11"/>
      <c r="I17" s="12"/>
      <c r="J17" s="13" t="str">
        <f aca="false">IF($H17="","",IFERROR(VLOOKUP($H17,'BẢNG GIÁ GỐC'!$A$5:$D$254,3,FALSE()),""))</f>
        <v/>
      </c>
      <c r="K17" s="12"/>
      <c r="L17" s="13" t="str">
        <f aca="false">IF($C17="","",N($I17)*N($K17))</f>
        <v/>
      </c>
      <c r="M17" s="11"/>
      <c r="N17" s="14" t="str">
        <f aca="false">IF($C17="","",IF($M17="VAT 5%",0.05,IF($M17="VAT 8%",0.08,IF($M17="VAT 10%",0.1,0))))</f>
        <v/>
      </c>
      <c r="O17" s="13" t="str">
        <f aca="false">IF($C17="","",$L17*$N17)</f>
        <v/>
      </c>
      <c r="P17" s="13" t="str">
        <f aca="false">IF($C17="","",$L17+$O17)</f>
        <v/>
      </c>
      <c r="Q17" s="12"/>
      <c r="R17" s="13" t="str">
        <f aca="false">IF($C17="","",MAX(0,$P17-N($Q17)))</f>
        <v/>
      </c>
      <c r="S17" s="23" t="str">
        <f aca="false">IF(OR($C17="",$P17=0),"",IF(N($Q17)&lt;=0,"Chưa thanh toán",IF(N($Q17)&lt;$P17,"Thanh toán một phần","Đã thanh toán")))</f>
        <v/>
      </c>
      <c r="T17" s="13" t="str">
        <f aca="false">IF(OR($C17="",$J17=""),"",N($I17)*$J17)</f>
        <v/>
      </c>
      <c r="U17" s="13" t="str">
        <f aca="false">IF(OR($C17="",$T17=""),"",$L17-$T17)</f>
        <v/>
      </c>
      <c r="V17" s="14" t="str">
        <f aca="false">IF(OR($U17="",$L17=0),"",$U17/$L17)</f>
        <v/>
      </c>
      <c r="W17" s="11"/>
      <c r="X17" s="23" t="str">
        <f aca="false">IF($C17="","",IF(AND($H17="",N($I17)=0,N($K17)=0),"Dòng chỉ lưu thông tin khách (chưa có đơn); ",IF($B17="","Thiếu ngày đặt; ","")&amp;IF($H17="","Thiếu tên sản phẩm; ",IF($J17="","Chưa khai GIÁ GỐC ở BẢNG GIÁ GỐC; ",""))&amp;IF(N($I17)&lt;=0,"Thiếu số lượng; ","")&amp;IF(N($K17)&lt;=0,"Thiếu giá bán; ","")&amp;IF(AND($N17&gt;0,$F17=""),"Khách lấy VAT thiếu mã số thuế; ","")&amp;IF(N($Q17)&gt;$P17,"Đã thu vượt tổng phải thu; ","")&amp;IF(AND($L17&gt;0,$U17&lt;&gt;"",$U17&lt;0),"CẢNH BÁO: ĐƠN NÀY ĐANG LỖ; ","")))</f>
        <v/>
      </c>
      <c r="Z17" s="18"/>
      <c r="AA17" s="11"/>
      <c r="AB17" s="11"/>
      <c r="AC17" s="12"/>
      <c r="AD17" s="11"/>
    </row>
    <row r="18" customFormat="false" ht="15" hidden="false" customHeight="false" outlineLevel="0" collapsed="false">
      <c r="A18" s="21" t="str">
        <f aca="false">IF($C18="","",COUNTA($C$10:$C18))</f>
        <v/>
      </c>
      <c r="B18" s="18"/>
      <c r="C18" s="11"/>
      <c r="D18" s="11"/>
      <c r="E18" s="11"/>
      <c r="F18" s="11"/>
      <c r="G18" s="11"/>
      <c r="H18" s="11"/>
      <c r="I18" s="12"/>
      <c r="J18" s="13" t="str">
        <f aca="false">IF($H18="","",IFERROR(VLOOKUP($H18,'BẢNG GIÁ GỐC'!$A$5:$D$254,3,FALSE()),""))</f>
        <v/>
      </c>
      <c r="K18" s="12"/>
      <c r="L18" s="13" t="str">
        <f aca="false">IF($C18="","",N($I18)*N($K18))</f>
        <v/>
      </c>
      <c r="M18" s="11"/>
      <c r="N18" s="14" t="str">
        <f aca="false">IF($C18="","",IF($M18="VAT 5%",0.05,IF($M18="VAT 8%",0.08,IF($M18="VAT 10%",0.1,0))))</f>
        <v/>
      </c>
      <c r="O18" s="13" t="str">
        <f aca="false">IF($C18="","",$L18*$N18)</f>
        <v/>
      </c>
      <c r="P18" s="13" t="str">
        <f aca="false">IF($C18="","",$L18+$O18)</f>
        <v/>
      </c>
      <c r="Q18" s="12"/>
      <c r="R18" s="13" t="str">
        <f aca="false">IF($C18="","",MAX(0,$P18-N($Q18)))</f>
        <v/>
      </c>
      <c r="S18" s="23" t="str">
        <f aca="false">IF(OR($C18="",$P18=0),"",IF(N($Q18)&lt;=0,"Chưa thanh toán",IF(N($Q18)&lt;$P18,"Thanh toán một phần","Đã thanh toán")))</f>
        <v/>
      </c>
      <c r="T18" s="13" t="str">
        <f aca="false">IF(OR($C18="",$J18=""),"",N($I18)*$J18)</f>
        <v/>
      </c>
      <c r="U18" s="13" t="str">
        <f aca="false">IF(OR($C18="",$T18=""),"",$L18-$T18)</f>
        <v/>
      </c>
      <c r="V18" s="14" t="str">
        <f aca="false">IF(OR($U18="",$L18=0),"",$U18/$L18)</f>
        <v/>
      </c>
      <c r="W18" s="11"/>
      <c r="X18" s="23" t="str">
        <f aca="false">IF($C18="","",IF(AND($H18="",N($I18)=0,N($K18)=0),"Dòng chỉ lưu thông tin khách (chưa có đơn); ",IF($B18="","Thiếu ngày đặt; ","")&amp;IF($H18="","Thiếu tên sản phẩm; ",IF($J18="","Chưa khai GIÁ GỐC ở BẢNG GIÁ GỐC; ",""))&amp;IF(N($I18)&lt;=0,"Thiếu số lượng; ","")&amp;IF(N($K18)&lt;=0,"Thiếu giá bán; ","")&amp;IF(AND($N18&gt;0,$F18=""),"Khách lấy VAT thiếu mã số thuế; ","")&amp;IF(N($Q18)&gt;$P18,"Đã thu vượt tổng phải thu; ","")&amp;IF(AND($L18&gt;0,$U18&lt;&gt;"",$U18&lt;0),"CẢNH BÁO: ĐƠN NÀY ĐANG LỖ; ","")))</f>
        <v/>
      </c>
      <c r="Z18" s="18"/>
      <c r="AA18" s="11"/>
      <c r="AB18" s="11"/>
      <c r="AC18" s="12"/>
      <c r="AD18" s="11"/>
    </row>
    <row r="19" customFormat="false" ht="15" hidden="false" customHeight="false" outlineLevel="0" collapsed="false">
      <c r="A19" s="21" t="str">
        <f aca="false">IF($C19="","",COUNTA($C$10:$C19))</f>
        <v/>
      </c>
      <c r="B19" s="18"/>
      <c r="C19" s="11"/>
      <c r="D19" s="11"/>
      <c r="E19" s="11"/>
      <c r="F19" s="11"/>
      <c r="G19" s="11"/>
      <c r="H19" s="11"/>
      <c r="I19" s="12"/>
      <c r="J19" s="13" t="str">
        <f aca="false">IF($H19="","",IFERROR(VLOOKUP($H19,'BẢNG GIÁ GỐC'!$A$5:$D$254,3,FALSE()),""))</f>
        <v/>
      </c>
      <c r="K19" s="12"/>
      <c r="L19" s="13" t="str">
        <f aca="false">IF($C19="","",N($I19)*N($K19))</f>
        <v/>
      </c>
      <c r="M19" s="11"/>
      <c r="N19" s="14" t="str">
        <f aca="false">IF($C19="","",IF($M19="VAT 5%",0.05,IF($M19="VAT 8%",0.08,IF($M19="VAT 10%",0.1,0))))</f>
        <v/>
      </c>
      <c r="O19" s="13" t="str">
        <f aca="false">IF($C19="","",$L19*$N19)</f>
        <v/>
      </c>
      <c r="P19" s="13" t="str">
        <f aca="false">IF($C19="","",$L19+$O19)</f>
        <v/>
      </c>
      <c r="Q19" s="12"/>
      <c r="R19" s="13" t="str">
        <f aca="false">IF($C19="","",MAX(0,$P19-N($Q19)))</f>
        <v/>
      </c>
      <c r="S19" s="23" t="str">
        <f aca="false">IF(OR($C19="",$P19=0),"",IF(N($Q19)&lt;=0,"Chưa thanh toán",IF(N($Q19)&lt;$P19,"Thanh toán một phần","Đã thanh toán")))</f>
        <v/>
      </c>
      <c r="T19" s="13" t="str">
        <f aca="false">IF(OR($C19="",$J19=""),"",N($I19)*$J19)</f>
        <v/>
      </c>
      <c r="U19" s="13" t="str">
        <f aca="false">IF(OR($C19="",$T19=""),"",$L19-$T19)</f>
        <v/>
      </c>
      <c r="V19" s="14" t="str">
        <f aca="false">IF(OR($U19="",$L19=0),"",$U19/$L19)</f>
        <v/>
      </c>
      <c r="W19" s="11"/>
      <c r="X19" s="23" t="str">
        <f aca="false">IF($C19="","",IF(AND($H19="",N($I19)=0,N($K19)=0),"Dòng chỉ lưu thông tin khách (chưa có đơn); ",IF($B19="","Thiếu ngày đặt; ","")&amp;IF($H19="","Thiếu tên sản phẩm; ",IF($J19="","Chưa khai GIÁ GỐC ở BẢNG GIÁ GỐC; ",""))&amp;IF(N($I19)&lt;=0,"Thiếu số lượng; ","")&amp;IF(N($K19)&lt;=0,"Thiếu giá bán; ","")&amp;IF(AND($N19&gt;0,$F19=""),"Khách lấy VAT thiếu mã số thuế; ","")&amp;IF(N($Q19)&gt;$P19,"Đã thu vượt tổng phải thu; ","")&amp;IF(AND($L19&gt;0,$U19&lt;&gt;"",$U19&lt;0),"CẢNH BÁO: ĐƠN NÀY ĐANG LỖ; ","")))</f>
        <v/>
      </c>
      <c r="Z19" s="18"/>
      <c r="AA19" s="11"/>
      <c r="AB19" s="11"/>
      <c r="AC19" s="12"/>
      <c r="AD19" s="11"/>
    </row>
    <row r="20" customFormat="false" ht="15" hidden="false" customHeight="false" outlineLevel="0" collapsed="false">
      <c r="A20" s="21" t="str">
        <f aca="false">IF($C20="","",COUNTA($C$10:$C20))</f>
        <v/>
      </c>
      <c r="B20" s="18"/>
      <c r="C20" s="11"/>
      <c r="D20" s="11"/>
      <c r="E20" s="11"/>
      <c r="F20" s="11"/>
      <c r="G20" s="11"/>
      <c r="H20" s="11"/>
      <c r="I20" s="12"/>
      <c r="J20" s="13" t="str">
        <f aca="false">IF($H20="","",IFERROR(VLOOKUP($H20,'BẢNG GIÁ GỐC'!$A$5:$D$254,3,FALSE()),""))</f>
        <v/>
      </c>
      <c r="K20" s="12"/>
      <c r="L20" s="13" t="str">
        <f aca="false">IF($C20="","",N($I20)*N($K20))</f>
        <v/>
      </c>
      <c r="M20" s="11"/>
      <c r="N20" s="14" t="str">
        <f aca="false">IF($C20="","",IF($M20="VAT 5%",0.05,IF($M20="VAT 8%",0.08,IF($M20="VAT 10%",0.1,0))))</f>
        <v/>
      </c>
      <c r="O20" s="13" t="str">
        <f aca="false">IF($C20="","",$L20*$N20)</f>
        <v/>
      </c>
      <c r="P20" s="13" t="str">
        <f aca="false">IF($C20="","",$L20+$O20)</f>
        <v/>
      </c>
      <c r="Q20" s="12"/>
      <c r="R20" s="13" t="str">
        <f aca="false">IF($C20="","",MAX(0,$P20-N($Q20)))</f>
        <v/>
      </c>
      <c r="S20" s="23" t="str">
        <f aca="false">IF(OR($C20="",$P20=0),"",IF(N($Q20)&lt;=0,"Chưa thanh toán",IF(N($Q20)&lt;$P20,"Thanh toán một phần","Đã thanh toán")))</f>
        <v/>
      </c>
      <c r="T20" s="13" t="str">
        <f aca="false">IF(OR($C20="",$J20=""),"",N($I20)*$J20)</f>
        <v/>
      </c>
      <c r="U20" s="13" t="str">
        <f aca="false">IF(OR($C20="",$T20=""),"",$L20-$T20)</f>
        <v/>
      </c>
      <c r="V20" s="14" t="str">
        <f aca="false">IF(OR($U20="",$L20=0),"",$U20/$L20)</f>
        <v/>
      </c>
      <c r="W20" s="11"/>
      <c r="X20" s="23" t="str">
        <f aca="false">IF($C20="","",IF(AND($H20="",N($I20)=0,N($K20)=0),"Dòng chỉ lưu thông tin khách (chưa có đơn); ",IF($B20="","Thiếu ngày đặt; ","")&amp;IF($H20="","Thiếu tên sản phẩm; ",IF($J20="","Chưa khai GIÁ GỐC ở BẢNG GIÁ GỐC; ",""))&amp;IF(N($I20)&lt;=0,"Thiếu số lượng; ","")&amp;IF(N($K20)&lt;=0,"Thiếu giá bán; ","")&amp;IF(AND($N20&gt;0,$F20=""),"Khách lấy VAT thiếu mã số thuế; ","")&amp;IF(N($Q20)&gt;$P20,"Đã thu vượt tổng phải thu; ","")&amp;IF(AND($L20&gt;0,$U20&lt;&gt;"",$U20&lt;0),"CẢNH BÁO: ĐƠN NÀY ĐANG LỖ; ","")))</f>
        <v/>
      </c>
      <c r="Z20" s="18"/>
      <c r="AA20" s="11"/>
      <c r="AB20" s="11"/>
      <c r="AC20" s="12"/>
      <c r="AD20" s="11"/>
    </row>
    <row r="21" customFormat="false" ht="15" hidden="false" customHeight="false" outlineLevel="0" collapsed="false">
      <c r="A21" s="21" t="str">
        <f aca="false">IF($C21="","",COUNTA($C$10:$C21))</f>
        <v/>
      </c>
      <c r="B21" s="18"/>
      <c r="C21" s="11"/>
      <c r="D21" s="11"/>
      <c r="E21" s="11"/>
      <c r="F21" s="11"/>
      <c r="G21" s="11"/>
      <c r="H21" s="11"/>
      <c r="I21" s="12"/>
      <c r="J21" s="13" t="str">
        <f aca="false">IF($H21="","",IFERROR(VLOOKUP($H21,'BẢNG GIÁ GỐC'!$A$5:$D$254,3,FALSE()),""))</f>
        <v/>
      </c>
      <c r="K21" s="12"/>
      <c r="L21" s="13" t="str">
        <f aca="false">IF($C21="","",N($I21)*N($K21))</f>
        <v/>
      </c>
      <c r="M21" s="11"/>
      <c r="N21" s="14" t="str">
        <f aca="false">IF($C21="","",IF($M21="VAT 5%",0.05,IF($M21="VAT 8%",0.08,IF($M21="VAT 10%",0.1,0))))</f>
        <v/>
      </c>
      <c r="O21" s="13" t="str">
        <f aca="false">IF($C21="","",$L21*$N21)</f>
        <v/>
      </c>
      <c r="P21" s="13" t="str">
        <f aca="false">IF($C21="","",$L21+$O21)</f>
        <v/>
      </c>
      <c r="Q21" s="12"/>
      <c r="R21" s="13" t="str">
        <f aca="false">IF($C21="","",MAX(0,$P21-N($Q21)))</f>
        <v/>
      </c>
      <c r="S21" s="23" t="str">
        <f aca="false">IF(OR($C21="",$P21=0),"",IF(N($Q21)&lt;=0,"Chưa thanh toán",IF(N($Q21)&lt;$P21,"Thanh toán một phần","Đã thanh toán")))</f>
        <v/>
      </c>
      <c r="T21" s="13" t="str">
        <f aca="false">IF(OR($C21="",$J21=""),"",N($I21)*$J21)</f>
        <v/>
      </c>
      <c r="U21" s="13" t="str">
        <f aca="false">IF(OR($C21="",$T21=""),"",$L21-$T21)</f>
        <v/>
      </c>
      <c r="V21" s="14" t="str">
        <f aca="false">IF(OR($U21="",$L21=0),"",$U21/$L21)</f>
        <v/>
      </c>
      <c r="W21" s="11"/>
      <c r="X21" s="23" t="str">
        <f aca="false">IF($C21="","",IF(AND($H21="",N($I21)=0,N($K21)=0),"Dòng chỉ lưu thông tin khách (chưa có đơn); ",IF($B21="","Thiếu ngày đặt; ","")&amp;IF($H21="","Thiếu tên sản phẩm; ",IF($J21="","Chưa khai GIÁ GỐC ở BẢNG GIÁ GỐC; ",""))&amp;IF(N($I21)&lt;=0,"Thiếu số lượng; ","")&amp;IF(N($K21)&lt;=0,"Thiếu giá bán; ","")&amp;IF(AND($N21&gt;0,$F21=""),"Khách lấy VAT thiếu mã số thuế; ","")&amp;IF(N($Q21)&gt;$P21,"Đã thu vượt tổng phải thu; ","")&amp;IF(AND($L21&gt;0,$U21&lt;&gt;"",$U21&lt;0),"CẢNH BÁO: ĐƠN NÀY ĐANG LỖ; ","")))</f>
        <v/>
      </c>
      <c r="Z21" s="18"/>
      <c r="AA21" s="11"/>
      <c r="AB21" s="11"/>
      <c r="AC21" s="12"/>
      <c r="AD21" s="11"/>
    </row>
    <row r="22" customFormat="false" ht="15" hidden="false" customHeight="false" outlineLevel="0" collapsed="false">
      <c r="A22" s="21" t="str">
        <f aca="false">IF($C22="","",COUNTA($C$10:$C22))</f>
        <v/>
      </c>
      <c r="B22" s="18"/>
      <c r="C22" s="11"/>
      <c r="D22" s="11"/>
      <c r="E22" s="11"/>
      <c r="F22" s="11"/>
      <c r="G22" s="11"/>
      <c r="H22" s="11"/>
      <c r="I22" s="12"/>
      <c r="J22" s="13" t="str">
        <f aca="false">IF($H22="","",IFERROR(VLOOKUP($H22,'BẢNG GIÁ GỐC'!$A$5:$D$254,3,FALSE()),""))</f>
        <v/>
      </c>
      <c r="K22" s="12"/>
      <c r="L22" s="13" t="str">
        <f aca="false">IF($C22="","",N($I22)*N($K22))</f>
        <v/>
      </c>
      <c r="M22" s="11"/>
      <c r="N22" s="14" t="str">
        <f aca="false">IF($C22="","",IF($M22="VAT 5%",0.05,IF($M22="VAT 8%",0.08,IF($M22="VAT 10%",0.1,0))))</f>
        <v/>
      </c>
      <c r="O22" s="13" t="str">
        <f aca="false">IF($C22="","",$L22*$N22)</f>
        <v/>
      </c>
      <c r="P22" s="13" t="str">
        <f aca="false">IF($C22="","",$L22+$O22)</f>
        <v/>
      </c>
      <c r="Q22" s="12"/>
      <c r="R22" s="13" t="str">
        <f aca="false">IF($C22="","",MAX(0,$P22-N($Q22)))</f>
        <v/>
      </c>
      <c r="S22" s="23" t="str">
        <f aca="false">IF(OR($C22="",$P22=0),"",IF(N($Q22)&lt;=0,"Chưa thanh toán",IF(N($Q22)&lt;$P22,"Thanh toán một phần","Đã thanh toán")))</f>
        <v/>
      </c>
      <c r="T22" s="13" t="str">
        <f aca="false">IF(OR($C22="",$J22=""),"",N($I22)*$J22)</f>
        <v/>
      </c>
      <c r="U22" s="13" t="str">
        <f aca="false">IF(OR($C22="",$T22=""),"",$L22-$T22)</f>
        <v/>
      </c>
      <c r="V22" s="14" t="str">
        <f aca="false">IF(OR($U22="",$L22=0),"",$U22/$L22)</f>
        <v/>
      </c>
      <c r="W22" s="11"/>
      <c r="X22" s="23" t="str">
        <f aca="false">IF($C22="","",IF(AND($H22="",N($I22)=0,N($K22)=0),"Dòng chỉ lưu thông tin khách (chưa có đơn); ",IF($B22="","Thiếu ngày đặt; ","")&amp;IF($H22="","Thiếu tên sản phẩm; ",IF($J22="","Chưa khai GIÁ GỐC ở BẢNG GIÁ GỐC; ",""))&amp;IF(N($I22)&lt;=0,"Thiếu số lượng; ","")&amp;IF(N($K22)&lt;=0,"Thiếu giá bán; ","")&amp;IF(AND($N22&gt;0,$F22=""),"Khách lấy VAT thiếu mã số thuế; ","")&amp;IF(N($Q22)&gt;$P22,"Đã thu vượt tổng phải thu; ","")&amp;IF(AND($L22&gt;0,$U22&lt;&gt;"",$U22&lt;0),"CẢNH BÁO: ĐƠN NÀY ĐANG LỖ; ","")))</f>
        <v/>
      </c>
      <c r="Z22" s="18"/>
      <c r="AA22" s="11"/>
      <c r="AB22" s="11"/>
      <c r="AC22" s="12"/>
      <c r="AD22" s="11"/>
    </row>
    <row r="23" customFormat="false" ht="15" hidden="false" customHeight="false" outlineLevel="0" collapsed="false">
      <c r="A23" s="21" t="str">
        <f aca="false">IF($C23="","",COUNTA($C$10:$C23))</f>
        <v/>
      </c>
      <c r="B23" s="18"/>
      <c r="C23" s="11"/>
      <c r="D23" s="11"/>
      <c r="E23" s="11"/>
      <c r="F23" s="11"/>
      <c r="G23" s="11"/>
      <c r="H23" s="11"/>
      <c r="I23" s="12"/>
      <c r="J23" s="13" t="str">
        <f aca="false">IF($H23="","",IFERROR(VLOOKUP($H23,'BẢNG GIÁ GỐC'!$A$5:$D$254,3,FALSE()),""))</f>
        <v/>
      </c>
      <c r="K23" s="12"/>
      <c r="L23" s="13" t="str">
        <f aca="false">IF($C23="","",N($I23)*N($K23))</f>
        <v/>
      </c>
      <c r="M23" s="11"/>
      <c r="N23" s="14" t="str">
        <f aca="false">IF($C23="","",IF($M23="VAT 5%",0.05,IF($M23="VAT 8%",0.08,IF($M23="VAT 10%",0.1,0))))</f>
        <v/>
      </c>
      <c r="O23" s="13" t="str">
        <f aca="false">IF($C23="","",$L23*$N23)</f>
        <v/>
      </c>
      <c r="P23" s="13" t="str">
        <f aca="false">IF($C23="","",$L23+$O23)</f>
        <v/>
      </c>
      <c r="Q23" s="12"/>
      <c r="R23" s="13" t="str">
        <f aca="false">IF($C23="","",MAX(0,$P23-N($Q23)))</f>
        <v/>
      </c>
      <c r="S23" s="23" t="str">
        <f aca="false">IF(OR($C23="",$P23=0),"",IF(N($Q23)&lt;=0,"Chưa thanh toán",IF(N($Q23)&lt;$P23,"Thanh toán một phần","Đã thanh toán")))</f>
        <v/>
      </c>
      <c r="T23" s="13" t="str">
        <f aca="false">IF(OR($C23="",$J23=""),"",N($I23)*$J23)</f>
        <v/>
      </c>
      <c r="U23" s="13" t="str">
        <f aca="false">IF(OR($C23="",$T23=""),"",$L23-$T23)</f>
        <v/>
      </c>
      <c r="V23" s="14" t="str">
        <f aca="false">IF(OR($U23="",$L23=0),"",$U23/$L23)</f>
        <v/>
      </c>
      <c r="W23" s="11"/>
      <c r="X23" s="23" t="str">
        <f aca="false">IF($C23="","",IF(AND($H23="",N($I23)=0,N($K23)=0),"Dòng chỉ lưu thông tin khách (chưa có đơn); ",IF($B23="","Thiếu ngày đặt; ","")&amp;IF($H23="","Thiếu tên sản phẩm; ",IF($J23="","Chưa khai GIÁ GỐC ở BẢNG GIÁ GỐC; ",""))&amp;IF(N($I23)&lt;=0,"Thiếu số lượng; ","")&amp;IF(N($K23)&lt;=0,"Thiếu giá bán; ","")&amp;IF(AND($N23&gt;0,$F23=""),"Khách lấy VAT thiếu mã số thuế; ","")&amp;IF(N($Q23)&gt;$P23,"Đã thu vượt tổng phải thu; ","")&amp;IF(AND($L23&gt;0,$U23&lt;&gt;"",$U23&lt;0),"CẢNH BÁO: ĐƠN NÀY ĐANG LỖ; ","")))</f>
        <v/>
      </c>
      <c r="Z23" s="18"/>
      <c r="AA23" s="11"/>
      <c r="AB23" s="11"/>
      <c r="AC23" s="12"/>
      <c r="AD23" s="11"/>
    </row>
    <row r="24" customFormat="false" ht="15" hidden="false" customHeight="false" outlineLevel="0" collapsed="false">
      <c r="A24" s="21" t="str">
        <f aca="false">IF($C24="","",COUNTA($C$10:$C24))</f>
        <v/>
      </c>
      <c r="B24" s="18"/>
      <c r="C24" s="11"/>
      <c r="D24" s="11"/>
      <c r="E24" s="11"/>
      <c r="F24" s="11"/>
      <c r="G24" s="11"/>
      <c r="H24" s="11"/>
      <c r="I24" s="12"/>
      <c r="J24" s="13" t="str">
        <f aca="false">IF($H24="","",IFERROR(VLOOKUP($H24,'BẢNG GIÁ GỐC'!$A$5:$D$254,3,FALSE()),""))</f>
        <v/>
      </c>
      <c r="K24" s="12"/>
      <c r="L24" s="13" t="str">
        <f aca="false">IF($C24="","",N($I24)*N($K24))</f>
        <v/>
      </c>
      <c r="M24" s="11"/>
      <c r="N24" s="14" t="str">
        <f aca="false">IF($C24="","",IF($M24="VAT 5%",0.05,IF($M24="VAT 8%",0.08,IF($M24="VAT 10%",0.1,0))))</f>
        <v/>
      </c>
      <c r="O24" s="13" t="str">
        <f aca="false">IF($C24="","",$L24*$N24)</f>
        <v/>
      </c>
      <c r="P24" s="13" t="str">
        <f aca="false">IF($C24="","",$L24+$O24)</f>
        <v/>
      </c>
      <c r="Q24" s="12"/>
      <c r="R24" s="13" t="str">
        <f aca="false">IF($C24="","",MAX(0,$P24-N($Q24)))</f>
        <v/>
      </c>
      <c r="S24" s="23" t="str">
        <f aca="false">IF(OR($C24="",$P24=0),"",IF(N($Q24)&lt;=0,"Chưa thanh toán",IF(N($Q24)&lt;$P24,"Thanh toán một phần","Đã thanh toán")))</f>
        <v/>
      </c>
      <c r="T24" s="13" t="str">
        <f aca="false">IF(OR($C24="",$J24=""),"",N($I24)*$J24)</f>
        <v/>
      </c>
      <c r="U24" s="13" t="str">
        <f aca="false">IF(OR($C24="",$T24=""),"",$L24-$T24)</f>
        <v/>
      </c>
      <c r="V24" s="14" t="str">
        <f aca="false">IF(OR($U24="",$L24=0),"",$U24/$L24)</f>
        <v/>
      </c>
      <c r="W24" s="11"/>
      <c r="X24" s="23" t="str">
        <f aca="false">IF($C24="","",IF(AND($H24="",N($I24)=0,N($K24)=0),"Dòng chỉ lưu thông tin khách (chưa có đơn); ",IF($B24="","Thiếu ngày đặt; ","")&amp;IF($H24="","Thiếu tên sản phẩm; ",IF($J24="","Chưa khai GIÁ GỐC ở BẢNG GIÁ GỐC; ",""))&amp;IF(N($I24)&lt;=0,"Thiếu số lượng; ","")&amp;IF(N($K24)&lt;=0,"Thiếu giá bán; ","")&amp;IF(AND($N24&gt;0,$F24=""),"Khách lấy VAT thiếu mã số thuế; ","")&amp;IF(N($Q24)&gt;$P24,"Đã thu vượt tổng phải thu; ","")&amp;IF(AND($L24&gt;0,$U24&lt;&gt;"",$U24&lt;0),"CẢNH BÁO: ĐƠN NÀY ĐANG LỖ; ","")))</f>
        <v/>
      </c>
      <c r="Z24" s="18"/>
      <c r="AA24" s="11"/>
      <c r="AB24" s="11"/>
      <c r="AC24" s="12"/>
      <c r="AD24" s="11"/>
    </row>
    <row r="25" customFormat="false" ht="15" hidden="false" customHeight="false" outlineLevel="0" collapsed="false">
      <c r="A25" s="21" t="str">
        <f aca="false">IF($C25="","",COUNTA($C$10:$C25))</f>
        <v/>
      </c>
      <c r="B25" s="18"/>
      <c r="C25" s="11"/>
      <c r="D25" s="11"/>
      <c r="E25" s="11"/>
      <c r="F25" s="11"/>
      <c r="G25" s="11"/>
      <c r="H25" s="11"/>
      <c r="I25" s="12"/>
      <c r="J25" s="13" t="str">
        <f aca="false">IF($H25="","",IFERROR(VLOOKUP($H25,'BẢNG GIÁ GỐC'!$A$5:$D$254,3,FALSE()),""))</f>
        <v/>
      </c>
      <c r="K25" s="12"/>
      <c r="L25" s="13" t="str">
        <f aca="false">IF($C25="","",N($I25)*N($K25))</f>
        <v/>
      </c>
      <c r="M25" s="11"/>
      <c r="N25" s="14" t="str">
        <f aca="false">IF($C25="","",IF($M25="VAT 5%",0.05,IF($M25="VAT 8%",0.08,IF($M25="VAT 10%",0.1,0))))</f>
        <v/>
      </c>
      <c r="O25" s="13" t="str">
        <f aca="false">IF($C25="","",$L25*$N25)</f>
        <v/>
      </c>
      <c r="P25" s="13" t="str">
        <f aca="false">IF($C25="","",$L25+$O25)</f>
        <v/>
      </c>
      <c r="Q25" s="12"/>
      <c r="R25" s="13" t="str">
        <f aca="false">IF($C25="","",MAX(0,$P25-N($Q25)))</f>
        <v/>
      </c>
      <c r="S25" s="23" t="str">
        <f aca="false">IF(OR($C25="",$P25=0),"",IF(N($Q25)&lt;=0,"Chưa thanh toán",IF(N($Q25)&lt;$P25,"Thanh toán một phần","Đã thanh toán")))</f>
        <v/>
      </c>
      <c r="T25" s="13" t="str">
        <f aca="false">IF(OR($C25="",$J25=""),"",N($I25)*$J25)</f>
        <v/>
      </c>
      <c r="U25" s="13" t="str">
        <f aca="false">IF(OR($C25="",$T25=""),"",$L25-$T25)</f>
        <v/>
      </c>
      <c r="V25" s="14" t="str">
        <f aca="false">IF(OR($U25="",$L25=0),"",$U25/$L25)</f>
        <v/>
      </c>
      <c r="W25" s="11"/>
      <c r="X25" s="23" t="str">
        <f aca="false">IF($C25="","",IF(AND($H25="",N($I25)=0,N($K25)=0),"Dòng chỉ lưu thông tin khách (chưa có đơn); ",IF($B25="","Thiếu ngày đặt; ","")&amp;IF($H25="","Thiếu tên sản phẩm; ",IF($J25="","Chưa khai GIÁ GỐC ở BẢNG GIÁ GỐC; ",""))&amp;IF(N($I25)&lt;=0,"Thiếu số lượng; ","")&amp;IF(N($K25)&lt;=0,"Thiếu giá bán; ","")&amp;IF(AND($N25&gt;0,$F25=""),"Khách lấy VAT thiếu mã số thuế; ","")&amp;IF(N($Q25)&gt;$P25,"Đã thu vượt tổng phải thu; ","")&amp;IF(AND($L25&gt;0,$U25&lt;&gt;"",$U25&lt;0),"CẢNH BÁO: ĐƠN NÀY ĐANG LỖ; ","")))</f>
        <v/>
      </c>
      <c r="Z25" s="24" t="s">
        <v>177</v>
      </c>
      <c r="AA25" s="24"/>
      <c r="AB25" s="24"/>
      <c r="AC25" s="25" t="n">
        <f aca="false">SUM(AC5:AC24)</f>
        <v>0</v>
      </c>
      <c r="AD25" s="26"/>
    </row>
    <row r="26" customFormat="false" ht="15" hidden="false" customHeight="false" outlineLevel="0" collapsed="false">
      <c r="A26" s="21" t="str">
        <f aca="false">IF($C26="","",COUNTA($C$10:$C26))</f>
        <v/>
      </c>
      <c r="B26" s="18"/>
      <c r="C26" s="11"/>
      <c r="D26" s="11"/>
      <c r="E26" s="11"/>
      <c r="F26" s="11"/>
      <c r="G26" s="11"/>
      <c r="H26" s="11"/>
      <c r="I26" s="12"/>
      <c r="J26" s="13" t="str">
        <f aca="false">IF($H26="","",IFERROR(VLOOKUP($H26,'BẢNG GIÁ GỐC'!$A$5:$D$254,3,FALSE()),""))</f>
        <v/>
      </c>
      <c r="K26" s="12"/>
      <c r="L26" s="13" t="str">
        <f aca="false">IF($C26="","",N($I26)*N($K26))</f>
        <v/>
      </c>
      <c r="M26" s="11"/>
      <c r="N26" s="14" t="str">
        <f aca="false">IF($C26="","",IF($M26="VAT 5%",0.05,IF($M26="VAT 8%",0.08,IF($M26="VAT 10%",0.1,0))))</f>
        <v/>
      </c>
      <c r="O26" s="13" t="str">
        <f aca="false">IF($C26="","",$L26*$N26)</f>
        <v/>
      </c>
      <c r="P26" s="13" t="str">
        <f aca="false">IF($C26="","",$L26+$O26)</f>
        <v/>
      </c>
      <c r="Q26" s="12"/>
      <c r="R26" s="13" t="str">
        <f aca="false">IF($C26="","",MAX(0,$P26-N($Q26)))</f>
        <v/>
      </c>
      <c r="S26" s="23" t="str">
        <f aca="false">IF(OR($C26="",$P26=0),"",IF(N($Q26)&lt;=0,"Chưa thanh toán",IF(N($Q26)&lt;$P26,"Thanh toán một phần","Đã thanh toán")))</f>
        <v/>
      </c>
      <c r="T26" s="13" t="str">
        <f aca="false">IF(OR($C26="",$J26=""),"",N($I26)*$J26)</f>
        <v/>
      </c>
      <c r="U26" s="13" t="str">
        <f aca="false">IF(OR($C26="",$T26=""),"",$L26-$T26)</f>
        <v/>
      </c>
      <c r="V26" s="14" t="str">
        <f aca="false">IF(OR($U26="",$L26=0),"",$U26/$L26)</f>
        <v/>
      </c>
      <c r="W26" s="11"/>
      <c r="X26" s="23" t="str">
        <f aca="false">IF($C26="","",IF(AND($H26="",N($I26)=0,N($K26)=0),"Dòng chỉ lưu thông tin khách (chưa có đơn); ",IF($B26="","Thiếu ngày đặt; ","")&amp;IF($H26="","Thiếu tên sản phẩm; ",IF($J26="","Chưa khai GIÁ GỐC ở BẢNG GIÁ GỐC; ",""))&amp;IF(N($I26)&lt;=0,"Thiếu số lượng; ","")&amp;IF(N($K26)&lt;=0,"Thiếu giá bán; ","")&amp;IF(AND($N26&gt;0,$F26=""),"Khách lấy VAT thiếu mã số thuế; ","")&amp;IF(N($Q26)&gt;$P26,"Đã thu vượt tổng phải thu; ","")&amp;IF(AND($L26&gt;0,$U26&lt;&gt;"",$U26&lt;0),"CẢNH BÁO: ĐƠN NÀY ĐANG LỖ; ","")))</f>
        <v/>
      </c>
    </row>
    <row r="27" customFormat="false" ht="15" hidden="false" customHeight="false" outlineLevel="0" collapsed="false">
      <c r="A27" s="21" t="str">
        <f aca="false">IF($C27="","",COUNTA($C$10:$C27))</f>
        <v/>
      </c>
      <c r="B27" s="18"/>
      <c r="C27" s="11"/>
      <c r="D27" s="11"/>
      <c r="E27" s="11"/>
      <c r="F27" s="11"/>
      <c r="G27" s="11"/>
      <c r="H27" s="11"/>
      <c r="I27" s="12"/>
      <c r="J27" s="13" t="str">
        <f aca="false">IF($H27="","",IFERROR(VLOOKUP($H27,'BẢNG GIÁ GỐC'!$A$5:$D$254,3,FALSE()),""))</f>
        <v/>
      </c>
      <c r="K27" s="12"/>
      <c r="L27" s="13" t="str">
        <f aca="false">IF($C27="","",N($I27)*N($K27))</f>
        <v/>
      </c>
      <c r="M27" s="11"/>
      <c r="N27" s="14" t="str">
        <f aca="false">IF($C27="","",IF($M27="VAT 5%",0.05,IF($M27="VAT 8%",0.08,IF($M27="VAT 10%",0.1,0))))</f>
        <v/>
      </c>
      <c r="O27" s="13" t="str">
        <f aca="false">IF($C27="","",$L27*$N27)</f>
        <v/>
      </c>
      <c r="P27" s="13" t="str">
        <f aca="false">IF($C27="","",$L27+$O27)</f>
        <v/>
      </c>
      <c r="Q27" s="12"/>
      <c r="R27" s="13" t="str">
        <f aca="false">IF($C27="","",MAX(0,$P27-N($Q27)))</f>
        <v/>
      </c>
      <c r="S27" s="23" t="str">
        <f aca="false">IF(OR($C27="",$P27=0),"",IF(N($Q27)&lt;=0,"Chưa thanh toán",IF(N($Q27)&lt;$P27,"Thanh toán một phần","Đã thanh toán")))</f>
        <v/>
      </c>
      <c r="T27" s="13" t="str">
        <f aca="false">IF(OR($C27="",$J27=""),"",N($I27)*$J27)</f>
        <v/>
      </c>
      <c r="U27" s="13" t="str">
        <f aca="false">IF(OR($C27="",$T27=""),"",$L27-$T27)</f>
        <v/>
      </c>
      <c r="V27" s="14" t="str">
        <f aca="false">IF(OR($U27="",$L27=0),"",$U27/$L27)</f>
        <v/>
      </c>
      <c r="W27" s="11"/>
      <c r="X27" s="23" t="str">
        <f aca="false">IF($C27="","",IF(AND($H27="",N($I27)=0,N($K27)=0),"Dòng chỉ lưu thông tin khách (chưa có đơn); ",IF($B27="","Thiếu ngày đặt; ","")&amp;IF($H27="","Thiếu tên sản phẩm; ",IF($J27="","Chưa khai GIÁ GỐC ở BẢNG GIÁ GỐC; ",""))&amp;IF(N($I27)&lt;=0,"Thiếu số lượng; ","")&amp;IF(N($K27)&lt;=0,"Thiếu giá bán; ","")&amp;IF(AND($N27&gt;0,$F27=""),"Khách lấy VAT thiếu mã số thuế; ","")&amp;IF(N($Q27)&gt;$P27,"Đã thu vượt tổng phải thu; ","")&amp;IF(AND($L27&gt;0,$U27&lt;&gt;"",$U27&lt;0),"CẢNH BÁO: ĐƠN NÀY ĐANG LỖ; ","")))</f>
        <v/>
      </c>
    </row>
    <row r="28" customFormat="false" ht="15" hidden="false" customHeight="false" outlineLevel="0" collapsed="false">
      <c r="A28" s="21" t="str">
        <f aca="false">IF($C28="","",COUNTA($C$10:$C28))</f>
        <v/>
      </c>
      <c r="B28" s="18"/>
      <c r="C28" s="11"/>
      <c r="D28" s="11"/>
      <c r="E28" s="11"/>
      <c r="F28" s="11"/>
      <c r="G28" s="11"/>
      <c r="H28" s="11"/>
      <c r="I28" s="12"/>
      <c r="J28" s="13" t="str">
        <f aca="false">IF($H28="","",IFERROR(VLOOKUP($H28,'BẢNG GIÁ GỐC'!$A$5:$D$254,3,FALSE()),""))</f>
        <v/>
      </c>
      <c r="K28" s="12"/>
      <c r="L28" s="13" t="str">
        <f aca="false">IF($C28="","",N($I28)*N($K28))</f>
        <v/>
      </c>
      <c r="M28" s="11"/>
      <c r="N28" s="14" t="str">
        <f aca="false">IF($C28="","",IF($M28="VAT 5%",0.05,IF($M28="VAT 8%",0.08,IF($M28="VAT 10%",0.1,0))))</f>
        <v/>
      </c>
      <c r="O28" s="13" t="str">
        <f aca="false">IF($C28="","",$L28*$N28)</f>
        <v/>
      </c>
      <c r="P28" s="13" t="str">
        <f aca="false">IF($C28="","",$L28+$O28)</f>
        <v/>
      </c>
      <c r="Q28" s="12"/>
      <c r="R28" s="13" t="str">
        <f aca="false">IF($C28="","",MAX(0,$P28-N($Q28)))</f>
        <v/>
      </c>
      <c r="S28" s="23" t="str">
        <f aca="false">IF(OR($C28="",$P28=0),"",IF(N($Q28)&lt;=0,"Chưa thanh toán",IF(N($Q28)&lt;$P28,"Thanh toán một phần","Đã thanh toán")))</f>
        <v/>
      </c>
      <c r="T28" s="13" t="str">
        <f aca="false">IF(OR($C28="",$J28=""),"",N($I28)*$J28)</f>
        <v/>
      </c>
      <c r="U28" s="13" t="str">
        <f aca="false">IF(OR($C28="",$T28=""),"",$L28-$T28)</f>
        <v/>
      </c>
      <c r="V28" s="14" t="str">
        <f aca="false">IF(OR($U28="",$L28=0),"",$U28/$L28)</f>
        <v/>
      </c>
      <c r="W28" s="11"/>
      <c r="X28" s="23" t="str">
        <f aca="false">IF($C28="","",IF(AND($H28="",N($I28)=0,N($K28)=0),"Dòng chỉ lưu thông tin khách (chưa có đơn); ",IF($B28="","Thiếu ngày đặt; ","")&amp;IF($H28="","Thiếu tên sản phẩm; ",IF($J28="","Chưa khai GIÁ GỐC ở BẢNG GIÁ GỐC; ",""))&amp;IF(N($I28)&lt;=0,"Thiếu số lượng; ","")&amp;IF(N($K28)&lt;=0,"Thiếu giá bán; ","")&amp;IF(AND($N28&gt;0,$F28=""),"Khách lấy VAT thiếu mã số thuế; ","")&amp;IF(N($Q28)&gt;$P28,"Đã thu vượt tổng phải thu; ","")&amp;IF(AND($L28&gt;0,$U28&lt;&gt;"",$U28&lt;0),"CẢNH BÁO: ĐƠN NÀY ĐANG LỖ; ","")))</f>
        <v/>
      </c>
    </row>
    <row r="29" customFormat="false" ht="15" hidden="false" customHeight="false" outlineLevel="0" collapsed="false">
      <c r="A29" s="21" t="str">
        <f aca="false">IF($C29="","",COUNTA($C$10:$C29))</f>
        <v/>
      </c>
      <c r="B29" s="18"/>
      <c r="C29" s="11"/>
      <c r="D29" s="11"/>
      <c r="E29" s="11"/>
      <c r="F29" s="11"/>
      <c r="G29" s="11"/>
      <c r="H29" s="11"/>
      <c r="I29" s="12"/>
      <c r="J29" s="13" t="str">
        <f aca="false">IF($H29="","",IFERROR(VLOOKUP($H29,'BẢNG GIÁ GỐC'!$A$5:$D$254,3,FALSE()),""))</f>
        <v/>
      </c>
      <c r="K29" s="12"/>
      <c r="L29" s="13" t="str">
        <f aca="false">IF($C29="","",N($I29)*N($K29))</f>
        <v/>
      </c>
      <c r="M29" s="11"/>
      <c r="N29" s="14" t="str">
        <f aca="false">IF($C29="","",IF($M29="VAT 5%",0.05,IF($M29="VAT 8%",0.08,IF($M29="VAT 10%",0.1,0))))</f>
        <v/>
      </c>
      <c r="O29" s="13" t="str">
        <f aca="false">IF($C29="","",$L29*$N29)</f>
        <v/>
      </c>
      <c r="P29" s="13" t="str">
        <f aca="false">IF($C29="","",$L29+$O29)</f>
        <v/>
      </c>
      <c r="Q29" s="12"/>
      <c r="R29" s="13" t="str">
        <f aca="false">IF($C29="","",MAX(0,$P29-N($Q29)))</f>
        <v/>
      </c>
      <c r="S29" s="23" t="str">
        <f aca="false">IF(OR($C29="",$P29=0),"",IF(N($Q29)&lt;=0,"Chưa thanh toán",IF(N($Q29)&lt;$P29,"Thanh toán một phần","Đã thanh toán")))</f>
        <v/>
      </c>
      <c r="T29" s="13" t="str">
        <f aca="false">IF(OR($C29="",$J29=""),"",N($I29)*$J29)</f>
        <v/>
      </c>
      <c r="U29" s="13" t="str">
        <f aca="false">IF(OR($C29="",$T29=""),"",$L29-$T29)</f>
        <v/>
      </c>
      <c r="V29" s="14" t="str">
        <f aca="false">IF(OR($U29="",$L29=0),"",$U29/$L29)</f>
        <v/>
      </c>
      <c r="W29" s="11"/>
      <c r="X29" s="23" t="str">
        <f aca="false">IF($C29="","",IF(AND($H29="",N($I29)=0,N($K29)=0),"Dòng chỉ lưu thông tin khách (chưa có đơn); ",IF($B29="","Thiếu ngày đặt; ","")&amp;IF($H29="","Thiếu tên sản phẩm; ",IF($J29="","Chưa khai GIÁ GỐC ở BẢNG GIÁ GỐC; ",""))&amp;IF(N($I29)&lt;=0,"Thiếu số lượng; ","")&amp;IF(N($K29)&lt;=0,"Thiếu giá bán; ","")&amp;IF(AND($N29&gt;0,$F29=""),"Khách lấy VAT thiếu mã số thuế; ","")&amp;IF(N($Q29)&gt;$P29,"Đã thu vượt tổng phải thu; ","")&amp;IF(AND($L29&gt;0,$U29&lt;&gt;"",$U29&lt;0),"CẢNH BÁO: ĐƠN NÀY ĐANG LỖ; ","")))</f>
        <v/>
      </c>
    </row>
    <row r="30" customFormat="false" ht="15" hidden="false" customHeight="false" outlineLevel="0" collapsed="false">
      <c r="A30" s="21" t="str">
        <f aca="false">IF($C30="","",COUNTA($C$10:$C30))</f>
        <v/>
      </c>
      <c r="B30" s="18"/>
      <c r="C30" s="11"/>
      <c r="D30" s="11"/>
      <c r="E30" s="11"/>
      <c r="F30" s="11"/>
      <c r="G30" s="11"/>
      <c r="H30" s="11"/>
      <c r="I30" s="12"/>
      <c r="J30" s="13" t="str">
        <f aca="false">IF($H30="","",IFERROR(VLOOKUP($H30,'BẢNG GIÁ GỐC'!$A$5:$D$254,3,FALSE()),""))</f>
        <v/>
      </c>
      <c r="K30" s="12"/>
      <c r="L30" s="13" t="str">
        <f aca="false">IF($C30="","",N($I30)*N($K30))</f>
        <v/>
      </c>
      <c r="M30" s="11"/>
      <c r="N30" s="14" t="str">
        <f aca="false">IF($C30="","",IF($M30="VAT 5%",0.05,IF($M30="VAT 8%",0.08,IF($M30="VAT 10%",0.1,0))))</f>
        <v/>
      </c>
      <c r="O30" s="13" t="str">
        <f aca="false">IF($C30="","",$L30*$N30)</f>
        <v/>
      </c>
      <c r="P30" s="13" t="str">
        <f aca="false">IF($C30="","",$L30+$O30)</f>
        <v/>
      </c>
      <c r="Q30" s="12"/>
      <c r="R30" s="13" t="str">
        <f aca="false">IF($C30="","",MAX(0,$P30-N($Q30)))</f>
        <v/>
      </c>
      <c r="S30" s="23" t="str">
        <f aca="false">IF(OR($C30="",$P30=0),"",IF(N($Q30)&lt;=0,"Chưa thanh toán",IF(N($Q30)&lt;$P30,"Thanh toán một phần","Đã thanh toán")))</f>
        <v/>
      </c>
      <c r="T30" s="13" t="str">
        <f aca="false">IF(OR($C30="",$J30=""),"",N($I30)*$J30)</f>
        <v/>
      </c>
      <c r="U30" s="13" t="str">
        <f aca="false">IF(OR($C30="",$T30=""),"",$L30-$T30)</f>
        <v/>
      </c>
      <c r="V30" s="14" t="str">
        <f aca="false">IF(OR($U30="",$L30=0),"",$U30/$L30)</f>
        <v/>
      </c>
      <c r="W30" s="11"/>
      <c r="X30" s="23" t="str">
        <f aca="false">IF($C30="","",IF(AND($H30="",N($I30)=0,N($K30)=0),"Dòng chỉ lưu thông tin khách (chưa có đơn); ",IF($B30="","Thiếu ngày đặt; ","")&amp;IF($H30="","Thiếu tên sản phẩm; ",IF($J30="","Chưa khai GIÁ GỐC ở BẢNG GIÁ GỐC; ",""))&amp;IF(N($I30)&lt;=0,"Thiếu số lượng; ","")&amp;IF(N($K30)&lt;=0,"Thiếu giá bán; ","")&amp;IF(AND($N30&gt;0,$F30=""),"Khách lấy VAT thiếu mã số thuế; ","")&amp;IF(N($Q30)&gt;$P30,"Đã thu vượt tổng phải thu; ","")&amp;IF(AND($L30&gt;0,$U30&lt;&gt;"",$U30&lt;0),"CẢNH BÁO: ĐƠN NÀY ĐANG LỖ; ","")))</f>
        <v/>
      </c>
    </row>
    <row r="31" customFormat="false" ht="15" hidden="false" customHeight="false" outlineLevel="0" collapsed="false">
      <c r="A31" s="21" t="str">
        <f aca="false">IF($C31="","",COUNTA($C$10:$C31))</f>
        <v/>
      </c>
      <c r="B31" s="18"/>
      <c r="C31" s="11"/>
      <c r="D31" s="11"/>
      <c r="E31" s="11"/>
      <c r="F31" s="11"/>
      <c r="G31" s="11"/>
      <c r="H31" s="11"/>
      <c r="I31" s="12"/>
      <c r="J31" s="13" t="str">
        <f aca="false">IF($H31="","",IFERROR(VLOOKUP($H31,'BẢNG GIÁ GỐC'!$A$5:$D$254,3,FALSE()),""))</f>
        <v/>
      </c>
      <c r="K31" s="12"/>
      <c r="L31" s="13" t="str">
        <f aca="false">IF($C31="","",N($I31)*N($K31))</f>
        <v/>
      </c>
      <c r="M31" s="11"/>
      <c r="N31" s="14" t="str">
        <f aca="false">IF($C31="","",IF($M31="VAT 5%",0.05,IF($M31="VAT 8%",0.08,IF($M31="VAT 10%",0.1,0))))</f>
        <v/>
      </c>
      <c r="O31" s="13" t="str">
        <f aca="false">IF($C31="","",$L31*$N31)</f>
        <v/>
      </c>
      <c r="P31" s="13" t="str">
        <f aca="false">IF($C31="","",$L31+$O31)</f>
        <v/>
      </c>
      <c r="Q31" s="12"/>
      <c r="R31" s="13" t="str">
        <f aca="false">IF($C31="","",MAX(0,$P31-N($Q31)))</f>
        <v/>
      </c>
      <c r="S31" s="23" t="str">
        <f aca="false">IF(OR($C31="",$P31=0),"",IF(N($Q31)&lt;=0,"Chưa thanh toán",IF(N($Q31)&lt;$P31,"Thanh toán một phần","Đã thanh toán")))</f>
        <v/>
      </c>
      <c r="T31" s="13" t="str">
        <f aca="false">IF(OR($C31="",$J31=""),"",N($I31)*$J31)</f>
        <v/>
      </c>
      <c r="U31" s="13" t="str">
        <f aca="false">IF(OR($C31="",$T31=""),"",$L31-$T31)</f>
        <v/>
      </c>
      <c r="V31" s="14" t="str">
        <f aca="false">IF(OR($U31="",$L31=0),"",$U31/$L31)</f>
        <v/>
      </c>
      <c r="W31" s="11"/>
      <c r="X31" s="23" t="str">
        <f aca="false">IF($C31="","",IF(AND($H31="",N($I31)=0,N($K31)=0),"Dòng chỉ lưu thông tin khách (chưa có đơn); ",IF($B31="","Thiếu ngày đặt; ","")&amp;IF($H31="","Thiếu tên sản phẩm; ",IF($J31="","Chưa khai GIÁ GỐC ở BẢNG GIÁ GỐC; ",""))&amp;IF(N($I31)&lt;=0,"Thiếu số lượng; ","")&amp;IF(N($K31)&lt;=0,"Thiếu giá bán; ","")&amp;IF(AND($N31&gt;0,$F31=""),"Khách lấy VAT thiếu mã số thuế; ","")&amp;IF(N($Q31)&gt;$P31,"Đã thu vượt tổng phải thu; ","")&amp;IF(AND($L31&gt;0,$U31&lt;&gt;"",$U31&lt;0),"CẢNH BÁO: ĐƠN NÀY ĐANG LỖ; ","")))</f>
        <v/>
      </c>
    </row>
    <row r="32" customFormat="false" ht="15" hidden="false" customHeight="false" outlineLevel="0" collapsed="false">
      <c r="A32" s="21" t="str">
        <f aca="false">IF($C32="","",COUNTA($C$10:$C32))</f>
        <v/>
      </c>
      <c r="B32" s="18"/>
      <c r="C32" s="11"/>
      <c r="D32" s="11"/>
      <c r="E32" s="11"/>
      <c r="F32" s="11"/>
      <c r="G32" s="11"/>
      <c r="H32" s="11"/>
      <c r="I32" s="12"/>
      <c r="J32" s="13" t="str">
        <f aca="false">IF($H32="","",IFERROR(VLOOKUP($H32,'BẢNG GIÁ GỐC'!$A$5:$D$254,3,FALSE()),""))</f>
        <v/>
      </c>
      <c r="K32" s="12"/>
      <c r="L32" s="13" t="str">
        <f aca="false">IF($C32="","",N($I32)*N($K32))</f>
        <v/>
      </c>
      <c r="M32" s="11"/>
      <c r="N32" s="14" t="str">
        <f aca="false">IF($C32="","",IF($M32="VAT 5%",0.05,IF($M32="VAT 8%",0.08,IF($M32="VAT 10%",0.1,0))))</f>
        <v/>
      </c>
      <c r="O32" s="13" t="str">
        <f aca="false">IF($C32="","",$L32*$N32)</f>
        <v/>
      </c>
      <c r="P32" s="13" t="str">
        <f aca="false">IF($C32="","",$L32+$O32)</f>
        <v/>
      </c>
      <c r="Q32" s="12"/>
      <c r="R32" s="13" t="str">
        <f aca="false">IF($C32="","",MAX(0,$P32-N($Q32)))</f>
        <v/>
      </c>
      <c r="S32" s="23" t="str">
        <f aca="false">IF(OR($C32="",$P32=0),"",IF(N($Q32)&lt;=0,"Chưa thanh toán",IF(N($Q32)&lt;$P32,"Thanh toán một phần","Đã thanh toán")))</f>
        <v/>
      </c>
      <c r="T32" s="13" t="str">
        <f aca="false">IF(OR($C32="",$J32=""),"",N($I32)*$J32)</f>
        <v/>
      </c>
      <c r="U32" s="13" t="str">
        <f aca="false">IF(OR($C32="",$T32=""),"",$L32-$T32)</f>
        <v/>
      </c>
      <c r="V32" s="14" t="str">
        <f aca="false">IF(OR($U32="",$L32=0),"",$U32/$L32)</f>
        <v/>
      </c>
      <c r="W32" s="11"/>
      <c r="X32" s="23" t="str">
        <f aca="false">IF($C32="","",IF(AND($H32="",N($I32)=0,N($K32)=0),"Dòng chỉ lưu thông tin khách (chưa có đơn); ",IF($B32="","Thiếu ngày đặt; ","")&amp;IF($H32="","Thiếu tên sản phẩm; ",IF($J32="","Chưa khai GIÁ GỐC ở BẢNG GIÁ GỐC; ",""))&amp;IF(N($I32)&lt;=0,"Thiếu số lượng; ","")&amp;IF(N($K32)&lt;=0,"Thiếu giá bán; ","")&amp;IF(AND($N32&gt;0,$F32=""),"Khách lấy VAT thiếu mã số thuế; ","")&amp;IF(N($Q32)&gt;$P32,"Đã thu vượt tổng phải thu; ","")&amp;IF(AND($L32&gt;0,$U32&lt;&gt;"",$U32&lt;0),"CẢNH BÁO: ĐƠN NÀY ĐANG LỖ; ","")))</f>
        <v/>
      </c>
    </row>
    <row r="33" customFormat="false" ht="15" hidden="false" customHeight="false" outlineLevel="0" collapsed="false">
      <c r="A33" s="21" t="str">
        <f aca="false">IF($C33="","",COUNTA($C$10:$C33))</f>
        <v/>
      </c>
      <c r="B33" s="18"/>
      <c r="C33" s="11"/>
      <c r="D33" s="11"/>
      <c r="E33" s="11"/>
      <c r="F33" s="11"/>
      <c r="G33" s="11"/>
      <c r="H33" s="11"/>
      <c r="I33" s="12"/>
      <c r="J33" s="13" t="str">
        <f aca="false">IF($H33="","",IFERROR(VLOOKUP($H33,'BẢNG GIÁ GỐC'!$A$5:$D$254,3,FALSE()),""))</f>
        <v/>
      </c>
      <c r="K33" s="12"/>
      <c r="L33" s="13" t="str">
        <f aca="false">IF($C33="","",N($I33)*N($K33))</f>
        <v/>
      </c>
      <c r="M33" s="11"/>
      <c r="N33" s="14" t="str">
        <f aca="false">IF($C33="","",IF($M33="VAT 5%",0.05,IF($M33="VAT 8%",0.08,IF($M33="VAT 10%",0.1,0))))</f>
        <v/>
      </c>
      <c r="O33" s="13" t="str">
        <f aca="false">IF($C33="","",$L33*$N33)</f>
        <v/>
      </c>
      <c r="P33" s="13" t="str">
        <f aca="false">IF($C33="","",$L33+$O33)</f>
        <v/>
      </c>
      <c r="Q33" s="12"/>
      <c r="R33" s="13" t="str">
        <f aca="false">IF($C33="","",MAX(0,$P33-N($Q33)))</f>
        <v/>
      </c>
      <c r="S33" s="23" t="str">
        <f aca="false">IF(OR($C33="",$P33=0),"",IF(N($Q33)&lt;=0,"Chưa thanh toán",IF(N($Q33)&lt;$P33,"Thanh toán một phần","Đã thanh toán")))</f>
        <v/>
      </c>
      <c r="T33" s="13" t="str">
        <f aca="false">IF(OR($C33="",$J33=""),"",N($I33)*$J33)</f>
        <v/>
      </c>
      <c r="U33" s="13" t="str">
        <f aca="false">IF(OR($C33="",$T33=""),"",$L33-$T33)</f>
        <v/>
      </c>
      <c r="V33" s="14" t="str">
        <f aca="false">IF(OR($U33="",$L33=0),"",$U33/$L33)</f>
        <v/>
      </c>
      <c r="W33" s="11"/>
      <c r="X33" s="23" t="str">
        <f aca="false">IF($C33="","",IF(AND($H33="",N($I33)=0,N($K33)=0),"Dòng chỉ lưu thông tin khách (chưa có đơn); ",IF($B33="","Thiếu ngày đặt; ","")&amp;IF($H33="","Thiếu tên sản phẩm; ",IF($J33="","Chưa khai GIÁ GỐC ở BẢNG GIÁ GỐC; ",""))&amp;IF(N($I33)&lt;=0,"Thiếu số lượng; ","")&amp;IF(N($K33)&lt;=0,"Thiếu giá bán; ","")&amp;IF(AND($N33&gt;0,$F33=""),"Khách lấy VAT thiếu mã số thuế; ","")&amp;IF(N($Q33)&gt;$P33,"Đã thu vượt tổng phải thu; ","")&amp;IF(AND($L33&gt;0,$U33&lt;&gt;"",$U33&lt;0),"CẢNH BÁO: ĐƠN NÀY ĐANG LỖ; ","")))</f>
        <v/>
      </c>
    </row>
    <row r="34" customFormat="false" ht="15" hidden="false" customHeight="false" outlineLevel="0" collapsed="false">
      <c r="A34" s="21" t="str">
        <f aca="false">IF($C34="","",COUNTA($C$10:$C34))</f>
        <v/>
      </c>
      <c r="B34" s="18"/>
      <c r="C34" s="11"/>
      <c r="D34" s="11"/>
      <c r="E34" s="11"/>
      <c r="F34" s="11"/>
      <c r="G34" s="11"/>
      <c r="H34" s="11"/>
      <c r="I34" s="12"/>
      <c r="J34" s="13" t="str">
        <f aca="false">IF($H34="","",IFERROR(VLOOKUP($H34,'BẢNG GIÁ GỐC'!$A$5:$D$254,3,FALSE()),""))</f>
        <v/>
      </c>
      <c r="K34" s="12"/>
      <c r="L34" s="13" t="str">
        <f aca="false">IF($C34="","",N($I34)*N($K34))</f>
        <v/>
      </c>
      <c r="M34" s="11"/>
      <c r="N34" s="14" t="str">
        <f aca="false">IF($C34="","",IF($M34="VAT 5%",0.05,IF($M34="VAT 8%",0.08,IF($M34="VAT 10%",0.1,0))))</f>
        <v/>
      </c>
      <c r="O34" s="13" t="str">
        <f aca="false">IF($C34="","",$L34*$N34)</f>
        <v/>
      </c>
      <c r="P34" s="13" t="str">
        <f aca="false">IF($C34="","",$L34+$O34)</f>
        <v/>
      </c>
      <c r="Q34" s="12"/>
      <c r="R34" s="13" t="str">
        <f aca="false">IF($C34="","",MAX(0,$P34-N($Q34)))</f>
        <v/>
      </c>
      <c r="S34" s="23" t="str">
        <f aca="false">IF(OR($C34="",$P34=0),"",IF(N($Q34)&lt;=0,"Chưa thanh toán",IF(N($Q34)&lt;$P34,"Thanh toán một phần","Đã thanh toán")))</f>
        <v/>
      </c>
      <c r="T34" s="13" t="str">
        <f aca="false">IF(OR($C34="",$J34=""),"",N($I34)*$J34)</f>
        <v/>
      </c>
      <c r="U34" s="13" t="str">
        <f aca="false">IF(OR($C34="",$T34=""),"",$L34-$T34)</f>
        <v/>
      </c>
      <c r="V34" s="14" t="str">
        <f aca="false">IF(OR($U34="",$L34=0),"",$U34/$L34)</f>
        <v/>
      </c>
      <c r="W34" s="11"/>
      <c r="X34" s="23" t="str">
        <f aca="false">IF($C34="","",IF(AND($H34="",N($I34)=0,N($K34)=0),"Dòng chỉ lưu thông tin khách (chưa có đơn); ",IF($B34="","Thiếu ngày đặt; ","")&amp;IF($H34="","Thiếu tên sản phẩm; ",IF($J34="","Chưa khai GIÁ GỐC ở BẢNG GIÁ GỐC; ",""))&amp;IF(N($I34)&lt;=0,"Thiếu số lượng; ","")&amp;IF(N($K34)&lt;=0,"Thiếu giá bán; ","")&amp;IF(AND($N34&gt;0,$F34=""),"Khách lấy VAT thiếu mã số thuế; ","")&amp;IF(N($Q34)&gt;$P34,"Đã thu vượt tổng phải thu; ","")&amp;IF(AND($L34&gt;0,$U34&lt;&gt;"",$U34&lt;0),"CẢNH BÁO: ĐƠN NÀY ĐANG LỖ; ","")))</f>
        <v/>
      </c>
    </row>
    <row r="35" customFormat="false" ht="15" hidden="false" customHeight="false" outlineLevel="0" collapsed="false">
      <c r="A35" s="21" t="str">
        <f aca="false">IF($C35="","",COUNTA($C$10:$C35))</f>
        <v/>
      </c>
      <c r="B35" s="18"/>
      <c r="C35" s="11"/>
      <c r="D35" s="11"/>
      <c r="E35" s="11"/>
      <c r="F35" s="11"/>
      <c r="G35" s="11"/>
      <c r="H35" s="11"/>
      <c r="I35" s="12"/>
      <c r="J35" s="13" t="str">
        <f aca="false">IF($H35="","",IFERROR(VLOOKUP($H35,'BẢNG GIÁ GỐC'!$A$5:$D$254,3,FALSE()),""))</f>
        <v/>
      </c>
      <c r="K35" s="12"/>
      <c r="L35" s="13" t="str">
        <f aca="false">IF($C35="","",N($I35)*N($K35))</f>
        <v/>
      </c>
      <c r="M35" s="11"/>
      <c r="N35" s="14" t="str">
        <f aca="false">IF($C35="","",IF($M35="VAT 5%",0.05,IF($M35="VAT 8%",0.08,IF($M35="VAT 10%",0.1,0))))</f>
        <v/>
      </c>
      <c r="O35" s="13" t="str">
        <f aca="false">IF($C35="","",$L35*$N35)</f>
        <v/>
      </c>
      <c r="P35" s="13" t="str">
        <f aca="false">IF($C35="","",$L35+$O35)</f>
        <v/>
      </c>
      <c r="Q35" s="12"/>
      <c r="R35" s="13" t="str">
        <f aca="false">IF($C35="","",MAX(0,$P35-N($Q35)))</f>
        <v/>
      </c>
      <c r="S35" s="23" t="str">
        <f aca="false">IF(OR($C35="",$P35=0),"",IF(N($Q35)&lt;=0,"Chưa thanh toán",IF(N($Q35)&lt;$P35,"Thanh toán một phần","Đã thanh toán")))</f>
        <v/>
      </c>
      <c r="T35" s="13" t="str">
        <f aca="false">IF(OR($C35="",$J35=""),"",N($I35)*$J35)</f>
        <v/>
      </c>
      <c r="U35" s="13" t="str">
        <f aca="false">IF(OR($C35="",$T35=""),"",$L35-$T35)</f>
        <v/>
      </c>
      <c r="V35" s="14" t="str">
        <f aca="false">IF(OR($U35="",$L35=0),"",$U35/$L35)</f>
        <v/>
      </c>
      <c r="W35" s="11"/>
      <c r="X35" s="23" t="str">
        <f aca="false">IF($C35="","",IF(AND($H35="",N($I35)=0,N($K35)=0),"Dòng chỉ lưu thông tin khách (chưa có đơn); ",IF($B35="","Thiếu ngày đặt; ","")&amp;IF($H35="","Thiếu tên sản phẩm; ",IF($J35="","Chưa khai GIÁ GỐC ở BẢNG GIÁ GỐC; ",""))&amp;IF(N($I35)&lt;=0,"Thiếu số lượng; ","")&amp;IF(N($K35)&lt;=0,"Thiếu giá bán; ","")&amp;IF(AND($N35&gt;0,$F35=""),"Khách lấy VAT thiếu mã số thuế; ","")&amp;IF(N($Q35)&gt;$P35,"Đã thu vượt tổng phải thu; ","")&amp;IF(AND($L35&gt;0,$U35&lt;&gt;"",$U35&lt;0),"CẢNH BÁO: ĐƠN NÀY ĐANG LỖ; ","")))</f>
        <v/>
      </c>
    </row>
    <row r="36" customFormat="false" ht="15" hidden="false" customHeight="false" outlineLevel="0" collapsed="false">
      <c r="A36" s="21" t="str">
        <f aca="false">IF($C36="","",COUNTA($C$10:$C36))</f>
        <v/>
      </c>
      <c r="B36" s="18"/>
      <c r="C36" s="11"/>
      <c r="D36" s="11"/>
      <c r="E36" s="11"/>
      <c r="F36" s="11"/>
      <c r="G36" s="11"/>
      <c r="H36" s="11"/>
      <c r="I36" s="12"/>
      <c r="J36" s="13" t="str">
        <f aca="false">IF($H36="","",IFERROR(VLOOKUP($H36,'BẢNG GIÁ GỐC'!$A$5:$D$254,3,FALSE()),""))</f>
        <v/>
      </c>
      <c r="K36" s="12"/>
      <c r="L36" s="13" t="str">
        <f aca="false">IF($C36="","",N($I36)*N($K36))</f>
        <v/>
      </c>
      <c r="M36" s="11"/>
      <c r="N36" s="14" t="str">
        <f aca="false">IF($C36="","",IF($M36="VAT 5%",0.05,IF($M36="VAT 8%",0.08,IF($M36="VAT 10%",0.1,0))))</f>
        <v/>
      </c>
      <c r="O36" s="13" t="str">
        <f aca="false">IF($C36="","",$L36*$N36)</f>
        <v/>
      </c>
      <c r="P36" s="13" t="str">
        <f aca="false">IF($C36="","",$L36+$O36)</f>
        <v/>
      </c>
      <c r="Q36" s="12"/>
      <c r="R36" s="13" t="str">
        <f aca="false">IF($C36="","",MAX(0,$P36-N($Q36)))</f>
        <v/>
      </c>
      <c r="S36" s="23" t="str">
        <f aca="false">IF(OR($C36="",$P36=0),"",IF(N($Q36)&lt;=0,"Chưa thanh toán",IF(N($Q36)&lt;$P36,"Thanh toán một phần","Đã thanh toán")))</f>
        <v/>
      </c>
      <c r="T36" s="13" t="str">
        <f aca="false">IF(OR($C36="",$J36=""),"",N($I36)*$J36)</f>
        <v/>
      </c>
      <c r="U36" s="13" t="str">
        <f aca="false">IF(OR($C36="",$T36=""),"",$L36-$T36)</f>
        <v/>
      </c>
      <c r="V36" s="14" t="str">
        <f aca="false">IF(OR($U36="",$L36=0),"",$U36/$L36)</f>
        <v/>
      </c>
      <c r="W36" s="11"/>
      <c r="X36" s="23" t="str">
        <f aca="false">IF($C36="","",IF(AND($H36="",N($I36)=0,N($K36)=0),"Dòng chỉ lưu thông tin khách (chưa có đơn); ",IF($B36="","Thiếu ngày đặt; ","")&amp;IF($H36="","Thiếu tên sản phẩm; ",IF($J36="","Chưa khai GIÁ GỐC ở BẢNG GIÁ GỐC; ",""))&amp;IF(N($I36)&lt;=0,"Thiếu số lượng; ","")&amp;IF(N($K36)&lt;=0,"Thiếu giá bán; ","")&amp;IF(AND($N36&gt;0,$F36=""),"Khách lấy VAT thiếu mã số thuế; ","")&amp;IF(N($Q36)&gt;$P36,"Đã thu vượt tổng phải thu; ","")&amp;IF(AND($L36&gt;0,$U36&lt;&gt;"",$U36&lt;0),"CẢNH BÁO: ĐƠN NÀY ĐANG LỖ; ","")))</f>
        <v/>
      </c>
    </row>
    <row r="37" customFormat="false" ht="15" hidden="false" customHeight="false" outlineLevel="0" collapsed="false">
      <c r="A37" s="21" t="str">
        <f aca="false">IF($C37="","",COUNTA($C$10:$C37))</f>
        <v/>
      </c>
      <c r="B37" s="18"/>
      <c r="C37" s="11"/>
      <c r="D37" s="11"/>
      <c r="E37" s="11"/>
      <c r="F37" s="11"/>
      <c r="G37" s="11"/>
      <c r="H37" s="11"/>
      <c r="I37" s="12"/>
      <c r="J37" s="13" t="str">
        <f aca="false">IF($H37="","",IFERROR(VLOOKUP($H37,'BẢNG GIÁ GỐC'!$A$5:$D$254,3,FALSE()),""))</f>
        <v/>
      </c>
      <c r="K37" s="12"/>
      <c r="L37" s="13" t="str">
        <f aca="false">IF($C37="","",N($I37)*N($K37))</f>
        <v/>
      </c>
      <c r="M37" s="11"/>
      <c r="N37" s="14" t="str">
        <f aca="false">IF($C37="","",IF($M37="VAT 5%",0.05,IF($M37="VAT 8%",0.08,IF($M37="VAT 10%",0.1,0))))</f>
        <v/>
      </c>
      <c r="O37" s="13" t="str">
        <f aca="false">IF($C37="","",$L37*$N37)</f>
        <v/>
      </c>
      <c r="P37" s="13" t="str">
        <f aca="false">IF($C37="","",$L37+$O37)</f>
        <v/>
      </c>
      <c r="Q37" s="12"/>
      <c r="R37" s="13" t="str">
        <f aca="false">IF($C37="","",MAX(0,$P37-N($Q37)))</f>
        <v/>
      </c>
      <c r="S37" s="23" t="str">
        <f aca="false">IF(OR($C37="",$P37=0),"",IF(N($Q37)&lt;=0,"Chưa thanh toán",IF(N($Q37)&lt;$P37,"Thanh toán một phần","Đã thanh toán")))</f>
        <v/>
      </c>
      <c r="T37" s="13" t="str">
        <f aca="false">IF(OR($C37="",$J37=""),"",N($I37)*$J37)</f>
        <v/>
      </c>
      <c r="U37" s="13" t="str">
        <f aca="false">IF(OR($C37="",$T37=""),"",$L37-$T37)</f>
        <v/>
      </c>
      <c r="V37" s="14" t="str">
        <f aca="false">IF(OR($U37="",$L37=0),"",$U37/$L37)</f>
        <v/>
      </c>
      <c r="W37" s="11"/>
      <c r="X37" s="23" t="str">
        <f aca="false">IF($C37="","",IF(AND($H37="",N($I37)=0,N($K37)=0),"Dòng chỉ lưu thông tin khách (chưa có đơn); ",IF($B37="","Thiếu ngày đặt; ","")&amp;IF($H37="","Thiếu tên sản phẩm; ",IF($J37="","Chưa khai GIÁ GỐC ở BẢNG GIÁ GỐC; ",""))&amp;IF(N($I37)&lt;=0,"Thiếu số lượng; ","")&amp;IF(N($K37)&lt;=0,"Thiếu giá bán; ","")&amp;IF(AND($N37&gt;0,$F37=""),"Khách lấy VAT thiếu mã số thuế; ","")&amp;IF(N($Q37)&gt;$P37,"Đã thu vượt tổng phải thu; ","")&amp;IF(AND($L37&gt;0,$U37&lt;&gt;"",$U37&lt;0),"CẢNH BÁO: ĐƠN NÀY ĐANG LỖ; ","")))</f>
        <v/>
      </c>
    </row>
    <row r="38" customFormat="false" ht="15" hidden="false" customHeight="false" outlineLevel="0" collapsed="false">
      <c r="A38" s="21" t="str">
        <f aca="false">IF($C38="","",COUNTA($C$10:$C38))</f>
        <v/>
      </c>
      <c r="B38" s="18"/>
      <c r="C38" s="11"/>
      <c r="D38" s="11"/>
      <c r="E38" s="11"/>
      <c r="F38" s="11"/>
      <c r="G38" s="11"/>
      <c r="H38" s="11"/>
      <c r="I38" s="12"/>
      <c r="J38" s="13" t="str">
        <f aca="false">IF($H38="","",IFERROR(VLOOKUP($H38,'BẢNG GIÁ GỐC'!$A$5:$D$254,3,FALSE()),""))</f>
        <v/>
      </c>
      <c r="K38" s="12"/>
      <c r="L38" s="13" t="str">
        <f aca="false">IF($C38="","",N($I38)*N($K38))</f>
        <v/>
      </c>
      <c r="M38" s="11"/>
      <c r="N38" s="14" t="str">
        <f aca="false">IF($C38="","",IF($M38="VAT 5%",0.05,IF($M38="VAT 8%",0.08,IF($M38="VAT 10%",0.1,0))))</f>
        <v/>
      </c>
      <c r="O38" s="13" t="str">
        <f aca="false">IF($C38="","",$L38*$N38)</f>
        <v/>
      </c>
      <c r="P38" s="13" t="str">
        <f aca="false">IF($C38="","",$L38+$O38)</f>
        <v/>
      </c>
      <c r="Q38" s="12"/>
      <c r="R38" s="13" t="str">
        <f aca="false">IF($C38="","",MAX(0,$P38-N($Q38)))</f>
        <v/>
      </c>
      <c r="S38" s="23" t="str">
        <f aca="false">IF(OR($C38="",$P38=0),"",IF(N($Q38)&lt;=0,"Chưa thanh toán",IF(N($Q38)&lt;$P38,"Thanh toán một phần","Đã thanh toán")))</f>
        <v/>
      </c>
      <c r="T38" s="13" t="str">
        <f aca="false">IF(OR($C38="",$J38=""),"",N($I38)*$J38)</f>
        <v/>
      </c>
      <c r="U38" s="13" t="str">
        <f aca="false">IF(OR($C38="",$T38=""),"",$L38-$T38)</f>
        <v/>
      </c>
      <c r="V38" s="14" t="str">
        <f aca="false">IF(OR($U38="",$L38=0),"",$U38/$L38)</f>
        <v/>
      </c>
      <c r="W38" s="11"/>
      <c r="X38" s="23" t="str">
        <f aca="false">IF($C38="","",IF(AND($H38="",N($I38)=0,N($K38)=0),"Dòng chỉ lưu thông tin khách (chưa có đơn); ",IF($B38="","Thiếu ngày đặt; ","")&amp;IF($H38="","Thiếu tên sản phẩm; ",IF($J38="","Chưa khai GIÁ GỐC ở BẢNG GIÁ GỐC; ",""))&amp;IF(N($I38)&lt;=0,"Thiếu số lượng; ","")&amp;IF(N($K38)&lt;=0,"Thiếu giá bán; ","")&amp;IF(AND($N38&gt;0,$F38=""),"Khách lấy VAT thiếu mã số thuế; ","")&amp;IF(N($Q38)&gt;$P38,"Đã thu vượt tổng phải thu; ","")&amp;IF(AND($L38&gt;0,$U38&lt;&gt;"",$U38&lt;0),"CẢNH BÁO: ĐƠN NÀY ĐANG LỖ; ","")))</f>
        <v/>
      </c>
    </row>
    <row r="39" customFormat="false" ht="15" hidden="false" customHeight="false" outlineLevel="0" collapsed="false">
      <c r="A39" s="21" t="str">
        <f aca="false">IF($C39="","",COUNTA($C$10:$C39))</f>
        <v/>
      </c>
      <c r="B39" s="18"/>
      <c r="C39" s="11"/>
      <c r="D39" s="11"/>
      <c r="E39" s="11"/>
      <c r="F39" s="11"/>
      <c r="G39" s="11"/>
      <c r="H39" s="11"/>
      <c r="I39" s="12"/>
      <c r="J39" s="13" t="str">
        <f aca="false">IF($H39="","",IFERROR(VLOOKUP($H39,'BẢNG GIÁ GỐC'!$A$5:$D$254,3,FALSE()),""))</f>
        <v/>
      </c>
      <c r="K39" s="12"/>
      <c r="L39" s="13" t="str">
        <f aca="false">IF($C39="","",N($I39)*N($K39))</f>
        <v/>
      </c>
      <c r="M39" s="11"/>
      <c r="N39" s="14" t="str">
        <f aca="false">IF($C39="","",IF($M39="VAT 5%",0.05,IF($M39="VAT 8%",0.08,IF($M39="VAT 10%",0.1,0))))</f>
        <v/>
      </c>
      <c r="O39" s="13" t="str">
        <f aca="false">IF($C39="","",$L39*$N39)</f>
        <v/>
      </c>
      <c r="P39" s="13" t="str">
        <f aca="false">IF($C39="","",$L39+$O39)</f>
        <v/>
      </c>
      <c r="Q39" s="12"/>
      <c r="R39" s="13" t="str">
        <f aca="false">IF($C39="","",MAX(0,$P39-N($Q39)))</f>
        <v/>
      </c>
      <c r="S39" s="23" t="str">
        <f aca="false">IF(OR($C39="",$P39=0),"",IF(N($Q39)&lt;=0,"Chưa thanh toán",IF(N($Q39)&lt;$P39,"Thanh toán một phần","Đã thanh toán")))</f>
        <v/>
      </c>
      <c r="T39" s="13" t="str">
        <f aca="false">IF(OR($C39="",$J39=""),"",N($I39)*$J39)</f>
        <v/>
      </c>
      <c r="U39" s="13" t="str">
        <f aca="false">IF(OR($C39="",$T39=""),"",$L39-$T39)</f>
        <v/>
      </c>
      <c r="V39" s="14" t="str">
        <f aca="false">IF(OR($U39="",$L39=0),"",$U39/$L39)</f>
        <v/>
      </c>
      <c r="W39" s="11"/>
      <c r="X39" s="23" t="str">
        <f aca="false">IF($C39="","",IF(AND($H39="",N($I39)=0,N($K39)=0),"Dòng chỉ lưu thông tin khách (chưa có đơn); ",IF($B39="","Thiếu ngày đặt; ","")&amp;IF($H39="","Thiếu tên sản phẩm; ",IF($J39="","Chưa khai GIÁ GỐC ở BẢNG GIÁ GỐC; ",""))&amp;IF(N($I39)&lt;=0,"Thiếu số lượng; ","")&amp;IF(N($K39)&lt;=0,"Thiếu giá bán; ","")&amp;IF(AND($N39&gt;0,$F39=""),"Khách lấy VAT thiếu mã số thuế; ","")&amp;IF(N($Q39)&gt;$P39,"Đã thu vượt tổng phải thu; ","")&amp;IF(AND($L39&gt;0,$U39&lt;&gt;"",$U39&lt;0),"CẢNH BÁO: ĐƠN NÀY ĐANG LỖ; ","")))</f>
        <v/>
      </c>
    </row>
    <row r="40" customFormat="false" ht="15" hidden="false" customHeight="false" outlineLevel="0" collapsed="false">
      <c r="A40" s="21" t="str">
        <f aca="false">IF($C40="","",COUNTA($C$10:$C40))</f>
        <v/>
      </c>
      <c r="B40" s="18"/>
      <c r="C40" s="11"/>
      <c r="D40" s="11"/>
      <c r="E40" s="11"/>
      <c r="F40" s="11"/>
      <c r="G40" s="11"/>
      <c r="H40" s="11"/>
      <c r="I40" s="12"/>
      <c r="J40" s="13" t="str">
        <f aca="false">IF($H40="","",IFERROR(VLOOKUP($H40,'BẢNG GIÁ GỐC'!$A$5:$D$254,3,FALSE()),""))</f>
        <v/>
      </c>
      <c r="K40" s="12"/>
      <c r="L40" s="13" t="str">
        <f aca="false">IF($C40="","",N($I40)*N($K40))</f>
        <v/>
      </c>
      <c r="M40" s="11"/>
      <c r="N40" s="14" t="str">
        <f aca="false">IF($C40="","",IF($M40="VAT 5%",0.05,IF($M40="VAT 8%",0.08,IF($M40="VAT 10%",0.1,0))))</f>
        <v/>
      </c>
      <c r="O40" s="13" t="str">
        <f aca="false">IF($C40="","",$L40*$N40)</f>
        <v/>
      </c>
      <c r="P40" s="13" t="str">
        <f aca="false">IF($C40="","",$L40+$O40)</f>
        <v/>
      </c>
      <c r="Q40" s="12"/>
      <c r="R40" s="13" t="str">
        <f aca="false">IF($C40="","",MAX(0,$P40-N($Q40)))</f>
        <v/>
      </c>
      <c r="S40" s="23" t="str">
        <f aca="false">IF(OR($C40="",$P40=0),"",IF(N($Q40)&lt;=0,"Chưa thanh toán",IF(N($Q40)&lt;$P40,"Thanh toán một phần","Đã thanh toán")))</f>
        <v/>
      </c>
      <c r="T40" s="13" t="str">
        <f aca="false">IF(OR($C40="",$J40=""),"",N($I40)*$J40)</f>
        <v/>
      </c>
      <c r="U40" s="13" t="str">
        <f aca="false">IF(OR($C40="",$T40=""),"",$L40-$T40)</f>
        <v/>
      </c>
      <c r="V40" s="14" t="str">
        <f aca="false">IF(OR($U40="",$L40=0),"",$U40/$L40)</f>
        <v/>
      </c>
      <c r="W40" s="11"/>
      <c r="X40" s="23" t="str">
        <f aca="false">IF($C40="","",IF(AND($H40="",N($I40)=0,N($K40)=0),"Dòng chỉ lưu thông tin khách (chưa có đơn); ",IF($B40="","Thiếu ngày đặt; ","")&amp;IF($H40="","Thiếu tên sản phẩm; ",IF($J40="","Chưa khai GIÁ GỐC ở BẢNG GIÁ GỐC; ",""))&amp;IF(N($I40)&lt;=0,"Thiếu số lượng; ","")&amp;IF(N($K40)&lt;=0,"Thiếu giá bán; ","")&amp;IF(AND($N40&gt;0,$F40=""),"Khách lấy VAT thiếu mã số thuế; ","")&amp;IF(N($Q40)&gt;$P40,"Đã thu vượt tổng phải thu; ","")&amp;IF(AND($L40&gt;0,$U40&lt;&gt;"",$U40&lt;0),"CẢNH BÁO: ĐƠN NÀY ĐANG LỖ; ","")))</f>
        <v/>
      </c>
    </row>
    <row r="41" customFormat="false" ht="15" hidden="false" customHeight="false" outlineLevel="0" collapsed="false">
      <c r="A41" s="21" t="str">
        <f aca="false">IF($C41="","",COUNTA($C$10:$C41))</f>
        <v/>
      </c>
      <c r="B41" s="18"/>
      <c r="C41" s="11"/>
      <c r="D41" s="11"/>
      <c r="E41" s="11"/>
      <c r="F41" s="11"/>
      <c r="G41" s="11"/>
      <c r="H41" s="11"/>
      <c r="I41" s="12"/>
      <c r="J41" s="13" t="str">
        <f aca="false">IF($H41="","",IFERROR(VLOOKUP($H41,'BẢNG GIÁ GỐC'!$A$5:$D$254,3,FALSE()),""))</f>
        <v/>
      </c>
      <c r="K41" s="12"/>
      <c r="L41" s="13" t="str">
        <f aca="false">IF($C41="","",N($I41)*N($K41))</f>
        <v/>
      </c>
      <c r="M41" s="11"/>
      <c r="N41" s="14" t="str">
        <f aca="false">IF($C41="","",IF($M41="VAT 5%",0.05,IF($M41="VAT 8%",0.08,IF($M41="VAT 10%",0.1,0))))</f>
        <v/>
      </c>
      <c r="O41" s="13" t="str">
        <f aca="false">IF($C41="","",$L41*$N41)</f>
        <v/>
      </c>
      <c r="P41" s="13" t="str">
        <f aca="false">IF($C41="","",$L41+$O41)</f>
        <v/>
      </c>
      <c r="Q41" s="12"/>
      <c r="R41" s="13" t="str">
        <f aca="false">IF($C41="","",MAX(0,$P41-N($Q41)))</f>
        <v/>
      </c>
      <c r="S41" s="23" t="str">
        <f aca="false">IF(OR($C41="",$P41=0),"",IF(N($Q41)&lt;=0,"Chưa thanh toán",IF(N($Q41)&lt;$P41,"Thanh toán một phần","Đã thanh toán")))</f>
        <v/>
      </c>
      <c r="T41" s="13" t="str">
        <f aca="false">IF(OR($C41="",$J41=""),"",N($I41)*$J41)</f>
        <v/>
      </c>
      <c r="U41" s="13" t="str">
        <f aca="false">IF(OR($C41="",$T41=""),"",$L41-$T41)</f>
        <v/>
      </c>
      <c r="V41" s="14" t="str">
        <f aca="false">IF(OR($U41="",$L41=0),"",$U41/$L41)</f>
        <v/>
      </c>
      <c r="W41" s="11"/>
      <c r="X41" s="23" t="str">
        <f aca="false">IF($C41="","",IF(AND($H41="",N($I41)=0,N($K41)=0),"Dòng chỉ lưu thông tin khách (chưa có đơn); ",IF($B41="","Thiếu ngày đặt; ","")&amp;IF($H41="","Thiếu tên sản phẩm; ",IF($J41="","Chưa khai GIÁ GỐC ở BẢNG GIÁ GỐC; ",""))&amp;IF(N($I41)&lt;=0,"Thiếu số lượng; ","")&amp;IF(N($K41)&lt;=0,"Thiếu giá bán; ","")&amp;IF(AND($N41&gt;0,$F41=""),"Khách lấy VAT thiếu mã số thuế; ","")&amp;IF(N($Q41)&gt;$P41,"Đã thu vượt tổng phải thu; ","")&amp;IF(AND($L41&gt;0,$U41&lt;&gt;"",$U41&lt;0),"CẢNH BÁO: ĐƠN NÀY ĐANG LỖ; ","")))</f>
        <v/>
      </c>
    </row>
    <row r="42" customFormat="false" ht="15" hidden="false" customHeight="false" outlineLevel="0" collapsed="false">
      <c r="A42" s="21" t="str">
        <f aca="false">IF($C42="","",COUNTA($C$10:$C42))</f>
        <v/>
      </c>
      <c r="B42" s="18"/>
      <c r="C42" s="11"/>
      <c r="D42" s="11"/>
      <c r="E42" s="11"/>
      <c r="F42" s="11"/>
      <c r="G42" s="11"/>
      <c r="H42" s="11"/>
      <c r="I42" s="12"/>
      <c r="J42" s="13" t="str">
        <f aca="false">IF($H42="","",IFERROR(VLOOKUP($H42,'BẢNG GIÁ GỐC'!$A$5:$D$254,3,FALSE()),""))</f>
        <v/>
      </c>
      <c r="K42" s="12"/>
      <c r="L42" s="13" t="str">
        <f aca="false">IF($C42="","",N($I42)*N($K42))</f>
        <v/>
      </c>
      <c r="M42" s="11"/>
      <c r="N42" s="14" t="str">
        <f aca="false">IF($C42="","",IF($M42="VAT 5%",0.05,IF($M42="VAT 8%",0.08,IF($M42="VAT 10%",0.1,0))))</f>
        <v/>
      </c>
      <c r="O42" s="13" t="str">
        <f aca="false">IF($C42="","",$L42*$N42)</f>
        <v/>
      </c>
      <c r="P42" s="13" t="str">
        <f aca="false">IF($C42="","",$L42+$O42)</f>
        <v/>
      </c>
      <c r="Q42" s="12"/>
      <c r="R42" s="13" t="str">
        <f aca="false">IF($C42="","",MAX(0,$P42-N($Q42)))</f>
        <v/>
      </c>
      <c r="S42" s="23" t="str">
        <f aca="false">IF(OR($C42="",$P42=0),"",IF(N($Q42)&lt;=0,"Chưa thanh toán",IF(N($Q42)&lt;$P42,"Thanh toán một phần","Đã thanh toán")))</f>
        <v/>
      </c>
      <c r="T42" s="13" t="str">
        <f aca="false">IF(OR($C42="",$J42=""),"",N($I42)*$J42)</f>
        <v/>
      </c>
      <c r="U42" s="13" t="str">
        <f aca="false">IF(OR($C42="",$T42=""),"",$L42-$T42)</f>
        <v/>
      </c>
      <c r="V42" s="14" t="str">
        <f aca="false">IF(OR($U42="",$L42=0),"",$U42/$L42)</f>
        <v/>
      </c>
      <c r="W42" s="11"/>
      <c r="X42" s="23" t="str">
        <f aca="false">IF($C42="","",IF(AND($H42="",N($I42)=0,N($K42)=0),"Dòng chỉ lưu thông tin khách (chưa có đơn); ",IF($B42="","Thiếu ngày đặt; ","")&amp;IF($H42="","Thiếu tên sản phẩm; ",IF($J42="","Chưa khai GIÁ GỐC ở BẢNG GIÁ GỐC; ",""))&amp;IF(N($I42)&lt;=0,"Thiếu số lượng; ","")&amp;IF(N($K42)&lt;=0,"Thiếu giá bán; ","")&amp;IF(AND($N42&gt;0,$F42=""),"Khách lấy VAT thiếu mã số thuế; ","")&amp;IF(N($Q42)&gt;$P42,"Đã thu vượt tổng phải thu; ","")&amp;IF(AND($L42&gt;0,$U42&lt;&gt;"",$U42&lt;0),"CẢNH BÁO: ĐƠN NÀY ĐANG LỖ; ","")))</f>
        <v/>
      </c>
    </row>
    <row r="43" customFormat="false" ht="15" hidden="false" customHeight="false" outlineLevel="0" collapsed="false">
      <c r="A43" s="21" t="str">
        <f aca="false">IF($C43="","",COUNTA($C$10:$C43))</f>
        <v/>
      </c>
      <c r="B43" s="18"/>
      <c r="C43" s="11"/>
      <c r="D43" s="11"/>
      <c r="E43" s="11"/>
      <c r="F43" s="11"/>
      <c r="G43" s="11"/>
      <c r="H43" s="11"/>
      <c r="I43" s="12"/>
      <c r="J43" s="13" t="str">
        <f aca="false">IF($H43="","",IFERROR(VLOOKUP($H43,'BẢNG GIÁ GỐC'!$A$5:$D$254,3,FALSE()),""))</f>
        <v/>
      </c>
      <c r="K43" s="12"/>
      <c r="L43" s="13" t="str">
        <f aca="false">IF($C43="","",N($I43)*N($K43))</f>
        <v/>
      </c>
      <c r="M43" s="11"/>
      <c r="N43" s="14" t="str">
        <f aca="false">IF($C43="","",IF($M43="VAT 5%",0.05,IF($M43="VAT 8%",0.08,IF($M43="VAT 10%",0.1,0))))</f>
        <v/>
      </c>
      <c r="O43" s="13" t="str">
        <f aca="false">IF($C43="","",$L43*$N43)</f>
        <v/>
      </c>
      <c r="P43" s="13" t="str">
        <f aca="false">IF($C43="","",$L43+$O43)</f>
        <v/>
      </c>
      <c r="Q43" s="12"/>
      <c r="R43" s="13" t="str">
        <f aca="false">IF($C43="","",MAX(0,$P43-N($Q43)))</f>
        <v/>
      </c>
      <c r="S43" s="23" t="str">
        <f aca="false">IF(OR($C43="",$P43=0),"",IF(N($Q43)&lt;=0,"Chưa thanh toán",IF(N($Q43)&lt;$P43,"Thanh toán một phần","Đã thanh toán")))</f>
        <v/>
      </c>
      <c r="T43" s="13" t="str">
        <f aca="false">IF(OR($C43="",$J43=""),"",N($I43)*$J43)</f>
        <v/>
      </c>
      <c r="U43" s="13" t="str">
        <f aca="false">IF(OR($C43="",$T43=""),"",$L43-$T43)</f>
        <v/>
      </c>
      <c r="V43" s="14" t="str">
        <f aca="false">IF(OR($U43="",$L43=0),"",$U43/$L43)</f>
        <v/>
      </c>
      <c r="W43" s="11"/>
      <c r="X43" s="23" t="str">
        <f aca="false">IF($C43="","",IF(AND($H43="",N($I43)=0,N($K43)=0),"Dòng chỉ lưu thông tin khách (chưa có đơn); ",IF($B43="","Thiếu ngày đặt; ","")&amp;IF($H43="","Thiếu tên sản phẩm; ",IF($J43="","Chưa khai GIÁ GỐC ở BẢNG GIÁ GỐC; ",""))&amp;IF(N($I43)&lt;=0,"Thiếu số lượng; ","")&amp;IF(N($K43)&lt;=0,"Thiếu giá bán; ","")&amp;IF(AND($N43&gt;0,$F43=""),"Khách lấy VAT thiếu mã số thuế; ","")&amp;IF(N($Q43)&gt;$P43,"Đã thu vượt tổng phải thu; ","")&amp;IF(AND($L43&gt;0,$U43&lt;&gt;"",$U43&lt;0),"CẢNH BÁO: ĐƠN NÀY ĐANG LỖ; ","")))</f>
        <v/>
      </c>
    </row>
    <row r="44" customFormat="false" ht="15" hidden="false" customHeight="false" outlineLevel="0" collapsed="false">
      <c r="A44" s="21" t="str">
        <f aca="false">IF($C44="","",COUNTA($C$10:$C44))</f>
        <v/>
      </c>
      <c r="B44" s="18"/>
      <c r="C44" s="11"/>
      <c r="D44" s="11"/>
      <c r="E44" s="11"/>
      <c r="F44" s="11"/>
      <c r="G44" s="11"/>
      <c r="H44" s="11"/>
      <c r="I44" s="12"/>
      <c r="J44" s="13" t="str">
        <f aca="false">IF($H44="","",IFERROR(VLOOKUP($H44,'BẢNG GIÁ GỐC'!$A$5:$D$254,3,FALSE()),""))</f>
        <v/>
      </c>
      <c r="K44" s="12"/>
      <c r="L44" s="13" t="str">
        <f aca="false">IF($C44="","",N($I44)*N($K44))</f>
        <v/>
      </c>
      <c r="M44" s="11"/>
      <c r="N44" s="14" t="str">
        <f aca="false">IF($C44="","",IF($M44="VAT 5%",0.05,IF($M44="VAT 8%",0.08,IF($M44="VAT 10%",0.1,0))))</f>
        <v/>
      </c>
      <c r="O44" s="13" t="str">
        <f aca="false">IF($C44="","",$L44*$N44)</f>
        <v/>
      </c>
      <c r="P44" s="13" t="str">
        <f aca="false">IF($C44="","",$L44+$O44)</f>
        <v/>
      </c>
      <c r="Q44" s="12"/>
      <c r="R44" s="13" t="str">
        <f aca="false">IF($C44="","",MAX(0,$P44-N($Q44)))</f>
        <v/>
      </c>
      <c r="S44" s="23" t="str">
        <f aca="false">IF(OR($C44="",$P44=0),"",IF(N($Q44)&lt;=0,"Chưa thanh toán",IF(N($Q44)&lt;$P44,"Thanh toán một phần","Đã thanh toán")))</f>
        <v/>
      </c>
      <c r="T44" s="13" t="str">
        <f aca="false">IF(OR($C44="",$J44=""),"",N($I44)*$J44)</f>
        <v/>
      </c>
      <c r="U44" s="13" t="str">
        <f aca="false">IF(OR($C44="",$T44=""),"",$L44-$T44)</f>
        <v/>
      </c>
      <c r="V44" s="14" t="str">
        <f aca="false">IF(OR($U44="",$L44=0),"",$U44/$L44)</f>
        <v/>
      </c>
      <c r="W44" s="11"/>
      <c r="X44" s="23" t="str">
        <f aca="false">IF($C44="","",IF(AND($H44="",N($I44)=0,N($K44)=0),"Dòng chỉ lưu thông tin khách (chưa có đơn); ",IF($B44="","Thiếu ngày đặt; ","")&amp;IF($H44="","Thiếu tên sản phẩm; ",IF($J44="","Chưa khai GIÁ GỐC ở BẢNG GIÁ GỐC; ",""))&amp;IF(N($I44)&lt;=0,"Thiếu số lượng; ","")&amp;IF(N($K44)&lt;=0,"Thiếu giá bán; ","")&amp;IF(AND($N44&gt;0,$F44=""),"Khách lấy VAT thiếu mã số thuế; ","")&amp;IF(N($Q44)&gt;$P44,"Đã thu vượt tổng phải thu; ","")&amp;IF(AND($L44&gt;0,$U44&lt;&gt;"",$U44&lt;0),"CẢNH BÁO: ĐƠN NÀY ĐANG LỖ; ","")))</f>
        <v/>
      </c>
    </row>
    <row r="45" customFormat="false" ht="15" hidden="false" customHeight="false" outlineLevel="0" collapsed="false">
      <c r="A45" s="21" t="str">
        <f aca="false">IF($C45="","",COUNTA($C$10:$C45))</f>
        <v/>
      </c>
      <c r="B45" s="18"/>
      <c r="C45" s="11"/>
      <c r="D45" s="11"/>
      <c r="E45" s="11"/>
      <c r="F45" s="11"/>
      <c r="G45" s="11"/>
      <c r="H45" s="11"/>
      <c r="I45" s="12"/>
      <c r="J45" s="13" t="str">
        <f aca="false">IF($H45="","",IFERROR(VLOOKUP($H45,'BẢNG GIÁ GỐC'!$A$5:$D$254,3,FALSE()),""))</f>
        <v/>
      </c>
      <c r="K45" s="12"/>
      <c r="L45" s="13" t="str">
        <f aca="false">IF($C45="","",N($I45)*N($K45))</f>
        <v/>
      </c>
      <c r="M45" s="11"/>
      <c r="N45" s="14" t="str">
        <f aca="false">IF($C45="","",IF($M45="VAT 5%",0.05,IF($M45="VAT 8%",0.08,IF($M45="VAT 10%",0.1,0))))</f>
        <v/>
      </c>
      <c r="O45" s="13" t="str">
        <f aca="false">IF($C45="","",$L45*$N45)</f>
        <v/>
      </c>
      <c r="P45" s="13" t="str">
        <f aca="false">IF($C45="","",$L45+$O45)</f>
        <v/>
      </c>
      <c r="Q45" s="12"/>
      <c r="R45" s="13" t="str">
        <f aca="false">IF($C45="","",MAX(0,$P45-N($Q45)))</f>
        <v/>
      </c>
      <c r="S45" s="23" t="str">
        <f aca="false">IF(OR($C45="",$P45=0),"",IF(N($Q45)&lt;=0,"Chưa thanh toán",IF(N($Q45)&lt;$P45,"Thanh toán một phần","Đã thanh toán")))</f>
        <v/>
      </c>
      <c r="T45" s="13" t="str">
        <f aca="false">IF(OR($C45="",$J45=""),"",N($I45)*$J45)</f>
        <v/>
      </c>
      <c r="U45" s="13" t="str">
        <f aca="false">IF(OR($C45="",$T45=""),"",$L45-$T45)</f>
        <v/>
      </c>
      <c r="V45" s="14" t="str">
        <f aca="false">IF(OR($U45="",$L45=0),"",$U45/$L45)</f>
        <v/>
      </c>
      <c r="W45" s="11"/>
      <c r="X45" s="23" t="str">
        <f aca="false">IF($C45="","",IF(AND($H45="",N($I45)=0,N($K45)=0),"Dòng chỉ lưu thông tin khách (chưa có đơn); ",IF($B45="","Thiếu ngày đặt; ","")&amp;IF($H45="","Thiếu tên sản phẩm; ",IF($J45="","Chưa khai GIÁ GỐC ở BẢNG GIÁ GỐC; ",""))&amp;IF(N($I45)&lt;=0,"Thiếu số lượng; ","")&amp;IF(N($K45)&lt;=0,"Thiếu giá bán; ","")&amp;IF(AND($N45&gt;0,$F45=""),"Khách lấy VAT thiếu mã số thuế; ","")&amp;IF(N($Q45)&gt;$P45,"Đã thu vượt tổng phải thu; ","")&amp;IF(AND($L45&gt;0,$U45&lt;&gt;"",$U45&lt;0),"CẢNH BÁO: ĐƠN NÀY ĐANG LỖ; ","")))</f>
        <v/>
      </c>
    </row>
    <row r="46" customFormat="false" ht="15" hidden="false" customHeight="false" outlineLevel="0" collapsed="false">
      <c r="A46" s="21" t="str">
        <f aca="false">IF($C46="","",COUNTA($C$10:$C46))</f>
        <v/>
      </c>
      <c r="B46" s="18"/>
      <c r="C46" s="11"/>
      <c r="D46" s="11"/>
      <c r="E46" s="11"/>
      <c r="F46" s="11"/>
      <c r="G46" s="11"/>
      <c r="H46" s="11"/>
      <c r="I46" s="12"/>
      <c r="J46" s="13" t="str">
        <f aca="false">IF($H46="","",IFERROR(VLOOKUP($H46,'BẢNG GIÁ GỐC'!$A$5:$D$254,3,FALSE()),""))</f>
        <v/>
      </c>
      <c r="K46" s="12"/>
      <c r="L46" s="13" t="str">
        <f aca="false">IF($C46="","",N($I46)*N($K46))</f>
        <v/>
      </c>
      <c r="M46" s="11"/>
      <c r="N46" s="14" t="str">
        <f aca="false">IF($C46="","",IF($M46="VAT 5%",0.05,IF($M46="VAT 8%",0.08,IF($M46="VAT 10%",0.1,0))))</f>
        <v/>
      </c>
      <c r="O46" s="13" t="str">
        <f aca="false">IF($C46="","",$L46*$N46)</f>
        <v/>
      </c>
      <c r="P46" s="13" t="str">
        <f aca="false">IF($C46="","",$L46+$O46)</f>
        <v/>
      </c>
      <c r="Q46" s="12"/>
      <c r="R46" s="13" t="str">
        <f aca="false">IF($C46="","",MAX(0,$P46-N($Q46)))</f>
        <v/>
      </c>
      <c r="S46" s="23" t="str">
        <f aca="false">IF(OR($C46="",$P46=0),"",IF(N($Q46)&lt;=0,"Chưa thanh toán",IF(N($Q46)&lt;$P46,"Thanh toán một phần","Đã thanh toán")))</f>
        <v/>
      </c>
      <c r="T46" s="13" t="str">
        <f aca="false">IF(OR($C46="",$J46=""),"",N($I46)*$J46)</f>
        <v/>
      </c>
      <c r="U46" s="13" t="str">
        <f aca="false">IF(OR($C46="",$T46=""),"",$L46-$T46)</f>
        <v/>
      </c>
      <c r="V46" s="14" t="str">
        <f aca="false">IF(OR($U46="",$L46=0),"",$U46/$L46)</f>
        <v/>
      </c>
      <c r="W46" s="11"/>
      <c r="X46" s="23" t="str">
        <f aca="false">IF($C46="","",IF(AND($H46="",N($I46)=0,N($K46)=0),"Dòng chỉ lưu thông tin khách (chưa có đơn); ",IF($B46="","Thiếu ngày đặt; ","")&amp;IF($H46="","Thiếu tên sản phẩm; ",IF($J46="","Chưa khai GIÁ GỐC ở BẢNG GIÁ GỐC; ",""))&amp;IF(N($I46)&lt;=0,"Thiếu số lượng; ","")&amp;IF(N($K46)&lt;=0,"Thiếu giá bán; ","")&amp;IF(AND($N46&gt;0,$F46=""),"Khách lấy VAT thiếu mã số thuế; ","")&amp;IF(N($Q46)&gt;$P46,"Đã thu vượt tổng phải thu; ","")&amp;IF(AND($L46&gt;0,$U46&lt;&gt;"",$U46&lt;0),"CẢNH BÁO: ĐƠN NÀY ĐANG LỖ; ","")))</f>
        <v/>
      </c>
    </row>
    <row r="47" customFormat="false" ht="15" hidden="false" customHeight="false" outlineLevel="0" collapsed="false">
      <c r="A47" s="21" t="str">
        <f aca="false">IF($C47="","",COUNTA($C$10:$C47))</f>
        <v/>
      </c>
      <c r="B47" s="18"/>
      <c r="C47" s="11"/>
      <c r="D47" s="11"/>
      <c r="E47" s="11"/>
      <c r="F47" s="11"/>
      <c r="G47" s="11"/>
      <c r="H47" s="11"/>
      <c r="I47" s="12"/>
      <c r="J47" s="13" t="str">
        <f aca="false">IF($H47="","",IFERROR(VLOOKUP($H47,'BẢNG GIÁ GỐC'!$A$5:$D$254,3,FALSE()),""))</f>
        <v/>
      </c>
      <c r="K47" s="12"/>
      <c r="L47" s="13" t="str">
        <f aca="false">IF($C47="","",N($I47)*N($K47))</f>
        <v/>
      </c>
      <c r="M47" s="11"/>
      <c r="N47" s="14" t="str">
        <f aca="false">IF($C47="","",IF($M47="VAT 5%",0.05,IF($M47="VAT 8%",0.08,IF($M47="VAT 10%",0.1,0))))</f>
        <v/>
      </c>
      <c r="O47" s="13" t="str">
        <f aca="false">IF($C47="","",$L47*$N47)</f>
        <v/>
      </c>
      <c r="P47" s="13" t="str">
        <f aca="false">IF($C47="","",$L47+$O47)</f>
        <v/>
      </c>
      <c r="Q47" s="12"/>
      <c r="R47" s="13" t="str">
        <f aca="false">IF($C47="","",MAX(0,$P47-N($Q47)))</f>
        <v/>
      </c>
      <c r="S47" s="23" t="str">
        <f aca="false">IF(OR($C47="",$P47=0),"",IF(N($Q47)&lt;=0,"Chưa thanh toán",IF(N($Q47)&lt;$P47,"Thanh toán một phần","Đã thanh toán")))</f>
        <v/>
      </c>
      <c r="T47" s="13" t="str">
        <f aca="false">IF(OR($C47="",$J47=""),"",N($I47)*$J47)</f>
        <v/>
      </c>
      <c r="U47" s="13" t="str">
        <f aca="false">IF(OR($C47="",$T47=""),"",$L47-$T47)</f>
        <v/>
      </c>
      <c r="V47" s="14" t="str">
        <f aca="false">IF(OR($U47="",$L47=0),"",$U47/$L47)</f>
        <v/>
      </c>
      <c r="W47" s="11"/>
      <c r="X47" s="23" t="str">
        <f aca="false">IF($C47="","",IF(AND($H47="",N($I47)=0,N($K47)=0),"Dòng chỉ lưu thông tin khách (chưa có đơn); ",IF($B47="","Thiếu ngày đặt; ","")&amp;IF($H47="","Thiếu tên sản phẩm; ",IF($J47="","Chưa khai GIÁ GỐC ở BẢNG GIÁ GỐC; ",""))&amp;IF(N($I47)&lt;=0,"Thiếu số lượng; ","")&amp;IF(N($K47)&lt;=0,"Thiếu giá bán; ","")&amp;IF(AND($N47&gt;0,$F47=""),"Khách lấy VAT thiếu mã số thuế; ","")&amp;IF(N($Q47)&gt;$P47,"Đã thu vượt tổng phải thu; ","")&amp;IF(AND($L47&gt;0,$U47&lt;&gt;"",$U47&lt;0),"CẢNH BÁO: ĐƠN NÀY ĐANG LỖ; ","")))</f>
        <v/>
      </c>
    </row>
    <row r="48" customFormat="false" ht="15" hidden="false" customHeight="false" outlineLevel="0" collapsed="false">
      <c r="A48" s="21" t="str">
        <f aca="false">IF($C48="","",COUNTA($C$10:$C48))</f>
        <v/>
      </c>
      <c r="B48" s="18"/>
      <c r="C48" s="11"/>
      <c r="D48" s="11"/>
      <c r="E48" s="11"/>
      <c r="F48" s="11"/>
      <c r="G48" s="11"/>
      <c r="H48" s="11"/>
      <c r="I48" s="12"/>
      <c r="J48" s="13" t="str">
        <f aca="false">IF($H48="","",IFERROR(VLOOKUP($H48,'BẢNG GIÁ GỐC'!$A$5:$D$254,3,FALSE()),""))</f>
        <v/>
      </c>
      <c r="K48" s="12"/>
      <c r="L48" s="13" t="str">
        <f aca="false">IF($C48="","",N($I48)*N($K48))</f>
        <v/>
      </c>
      <c r="M48" s="11"/>
      <c r="N48" s="14" t="str">
        <f aca="false">IF($C48="","",IF($M48="VAT 5%",0.05,IF($M48="VAT 8%",0.08,IF($M48="VAT 10%",0.1,0))))</f>
        <v/>
      </c>
      <c r="O48" s="13" t="str">
        <f aca="false">IF($C48="","",$L48*$N48)</f>
        <v/>
      </c>
      <c r="P48" s="13" t="str">
        <f aca="false">IF($C48="","",$L48+$O48)</f>
        <v/>
      </c>
      <c r="Q48" s="12"/>
      <c r="R48" s="13" t="str">
        <f aca="false">IF($C48="","",MAX(0,$P48-N($Q48)))</f>
        <v/>
      </c>
      <c r="S48" s="23" t="str">
        <f aca="false">IF(OR($C48="",$P48=0),"",IF(N($Q48)&lt;=0,"Chưa thanh toán",IF(N($Q48)&lt;$P48,"Thanh toán một phần","Đã thanh toán")))</f>
        <v/>
      </c>
      <c r="T48" s="13" t="str">
        <f aca="false">IF(OR($C48="",$J48=""),"",N($I48)*$J48)</f>
        <v/>
      </c>
      <c r="U48" s="13" t="str">
        <f aca="false">IF(OR($C48="",$T48=""),"",$L48-$T48)</f>
        <v/>
      </c>
      <c r="V48" s="14" t="str">
        <f aca="false">IF(OR($U48="",$L48=0),"",$U48/$L48)</f>
        <v/>
      </c>
      <c r="W48" s="11"/>
      <c r="X48" s="23" t="str">
        <f aca="false">IF($C48="","",IF(AND($H48="",N($I48)=0,N($K48)=0),"Dòng chỉ lưu thông tin khách (chưa có đơn); ",IF($B48="","Thiếu ngày đặt; ","")&amp;IF($H48="","Thiếu tên sản phẩm; ",IF($J48="","Chưa khai GIÁ GỐC ở BẢNG GIÁ GỐC; ",""))&amp;IF(N($I48)&lt;=0,"Thiếu số lượng; ","")&amp;IF(N($K48)&lt;=0,"Thiếu giá bán; ","")&amp;IF(AND($N48&gt;0,$F48=""),"Khách lấy VAT thiếu mã số thuế; ","")&amp;IF(N($Q48)&gt;$P48,"Đã thu vượt tổng phải thu; ","")&amp;IF(AND($L48&gt;0,$U48&lt;&gt;"",$U48&lt;0),"CẢNH BÁO: ĐƠN NÀY ĐANG LỖ; ","")))</f>
        <v/>
      </c>
    </row>
    <row r="49" customFormat="false" ht="15" hidden="false" customHeight="false" outlineLevel="0" collapsed="false">
      <c r="A49" s="21" t="str">
        <f aca="false">IF($C49="","",COUNTA($C$10:$C49))</f>
        <v/>
      </c>
      <c r="B49" s="18"/>
      <c r="C49" s="11"/>
      <c r="D49" s="11"/>
      <c r="E49" s="11"/>
      <c r="F49" s="11"/>
      <c r="G49" s="11"/>
      <c r="H49" s="11"/>
      <c r="I49" s="12"/>
      <c r="J49" s="13" t="str">
        <f aca="false">IF($H49="","",IFERROR(VLOOKUP($H49,'BẢNG GIÁ GỐC'!$A$5:$D$254,3,FALSE()),""))</f>
        <v/>
      </c>
      <c r="K49" s="12"/>
      <c r="L49" s="13" t="str">
        <f aca="false">IF($C49="","",N($I49)*N($K49))</f>
        <v/>
      </c>
      <c r="M49" s="11"/>
      <c r="N49" s="14" t="str">
        <f aca="false">IF($C49="","",IF($M49="VAT 5%",0.05,IF($M49="VAT 8%",0.08,IF($M49="VAT 10%",0.1,0))))</f>
        <v/>
      </c>
      <c r="O49" s="13" t="str">
        <f aca="false">IF($C49="","",$L49*$N49)</f>
        <v/>
      </c>
      <c r="P49" s="13" t="str">
        <f aca="false">IF($C49="","",$L49+$O49)</f>
        <v/>
      </c>
      <c r="Q49" s="12"/>
      <c r="R49" s="13" t="str">
        <f aca="false">IF($C49="","",MAX(0,$P49-N($Q49)))</f>
        <v/>
      </c>
      <c r="S49" s="23" t="str">
        <f aca="false">IF(OR($C49="",$P49=0),"",IF(N($Q49)&lt;=0,"Chưa thanh toán",IF(N($Q49)&lt;$P49,"Thanh toán một phần","Đã thanh toán")))</f>
        <v/>
      </c>
      <c r="T49" s="13" t="str">
        <f aca="false">IF(OR($C49="",$J49=""),"",N($I49)*$J49)</f>
        <v/>
      </c>
      <c r="U49" s="13" t="str">
        <f aca="false">IF(OR($C49="",$T49=""),"",$L49-$T49)</f>
        <v/>
      </c>
      <c r="V49" s="14" t="str">
        <f aca="false">IF(OR($U49="",$L49=0),"",$U49/$L49)</f>
        <v/>
      </c>
      <c r="W49" s="11"/>
      <c r="X49" s="23" t="str">
        <f aca="false">IF($C49="","",IF(AND($H49="",N($I49)=0,N($K49)=0),"Dòng chỉ lưu thông tin khách (chưa có đơn); ",IF($B49="","Thiếu ngày đặt; ","")&amp;IF($H49="","Thiếu tên sản phẩm; ",IF($J49="","Chưa khai GIÁ GỐC ở BẢNG GIÁ GỐC; ",""))&amp;IF(N($I49)&lt;=0,"Thiếu số lượng; ","")&amp;IF(N($K49)&lt;=0,"Thiếu giá bán; ","")&amp;IF(AND($N49&gt;0,$F49=""),"Khách lấy VAT thiếu mã số thuế; ","")&amp;IF(N($Q49)&gt;$P49,"Đã thu vượt tổng phải thu; ","")&amp;IF(AND($L49&gt;0,$U49&lt;&gt;"",$U49&lt;0),"CẢNH BÁO: ĐƠN NÀY ĐANG LỖ; ","")))</f>
        <v/>
      </c>
    </row>
    <row r="50" customFormat="false" ht="15" hidden="false" customHeight="false" outlineLevel="0" collapsed="false">
      <c r="A50" s="21" t="str">
        <f aca="false">IF($C50="","",COUNTA($C$10:$C50))</f>
        <v/>
      </c>
      <c r="B50" s="18"/>
      <c r="C50" s="11"/>
      <c r="D50" s="11"/>
      <c r="E50" s="11"/>
      <c r="F50" s="11"/>
      <c r="G50" s="11"/>
      <c r="H50" s="11"/>
      <c r="I50" s="12"/>
      <c r="J50" s="13" t="str">
        <f aca="false">IF($H50="","",IFERROR(VLOOKUP($H50,'BẢNG GIÁ GỐC'!$A$5:$D$254,3,FALSE()),""))</f>
        <v/>
      </c>
      <c r="K50" s="12"/>
      <c r="L50" s="13" t="str">
        <f aca="false">IF($C50="","",N($I50)*N($K50))</f>
        <v/>
      </c>
      <c r="M50" s="11"/>
      <c r="N50" s="14" t="str">
        <f aca="false">IF($C50="","",IF($M50="VAT 5%",0.05,IF($M50="VAT 8%",0.08,IF($M50="VAT 10%",0.1,0))))</f>
        <v/>
      </c>
      <c r="O50" s="13" t="str">
        <f aca="false">IF($C50="","",$L50*$N50)</f>
        <v/>
      </c>
      <c r="P50" s="13" t="str">
        <f aca="false">IF($C50="","",$L50+$O50)</f>
        <v/>
      </c>
      <c r="Q50" s="12"/>
      <c r="R50" s="13" t="str">
        <f aca="false">IF($C50="","",MAX(0,$P50-N($Q50)))</f>
        <v/>
      </c>
      <c r="S50" s="23" t="str">
        <f aca="false">IF(OR($C50="",$P50=0),"",IF(N($Q50)&lt;=0,"Chưa thanh toán",IF(N($Q50)&lt;$P50,"Thanh toán một phần","Đã thanh toán")))</f>
        <v/>
      </c>
      <c r="T50" s="13" t="str">
        <f aca="false">IF(OR($C50="",$J50=""),"",N($I50)*$J50)</f>
        <v/>
      </c>
      <c r="U50" s="13" t="str">
        <f aca="false">IF(OR($C50="",$T50=""),"",$L50-$T50)</f>
        <v/>
      </c>
      <c r="V50" s="14" t="str">
        <f aca="false">IF(OR($U50="",$L50=0),"",$U50/$L50)</f>
        <v/>
      </c>
      <c r="W50" s="11"/>
      <c r="X50" s="23" t="str">
        <f aca="false">IF($C50="","",IF(AND($H50="",N($I50)=0,N($K50)=0),"Dòng chỉ lưu thông tin khách (chưa có đơn); ",IF($B50="","Thiếu ngày đặt; ","")&amp;IF($H50="","Thiếu tên sản phẩm; ",IF($J50="","Chưa khai GIÁ GỐC ở BẢNG GIÁ GỐC; ",""))&amp;IF(N($I50)&lt;=0,"Thiếu số lượng; ","")&amp;IF(N($K50)&lt;=0,"Thiếu giá bán; ","")&amp;IF(AND($N50&gt;0,$F50=""),"Khách lấy VAT thiếu mã số thuế; ","")&amp;IF(N($Q50)&gt;$P50,"Đã thu vượt tổng phải thu; ","")&amp;IF(AND($L50&gt;0,$U50&lt;&gt;"",$U50&lt;0),"CẢNH BÁO: ĐƠN NÀY ĐANG LỖ; ","")))</f>
        <v/>
      </c>
    </row>
    <row r="51" customFormat="false" ht="15" hidden="false" customHeight="false" outlineLevel="0" collapsed="false">
      <c r="A51" s="21" t="str">
        <f aca="false">IF($C51="","",COUNTA($C$10:$C51))</f>
        <v/>
      </c>
      <c r="B51" s="18"/>
      <c r="C51" s="11"/>
      <c r="D51" s="11"/>
      <c r="E51" s="11"/>
      <c r="F51" s="11"/>
      <c r="G51" s="11"/>
      <c r="H51" s="11"/>
      <c r="I51" s="12"/>
      <c r="J51" s="13" t="str">
        <f aca="false">IF($H51="","",IFERROR(VLOOKUP($H51,'BẢNG GIÁ GỐC'!$A$5:$D$254,3,FALSE()),""))</f>
        <v/>
      </c>
      <c r="K51" s="12"/>
      <c r="L51" s="13" t="str">
        <f aca="false">IF($C51="","",N($I51)*N($K51))</f>
        <v/>
      </c>
      <c r="M51" s="11"/>
      <c r="N51" s="14" t="str">
        <f aca="false">IF($C51="","",IF($M51="VAT 5%",0.05,IF($M51="VAT 8%",0.08,IF($M51="VAT 10%",0.1,0))))</f>
        <v/>
      </c>
      <c r="O51" s="13" t="str">
        <f aca="false">IF($C51="","",$L51*$N51)</f>
        <v/>
      </c>
      <c r="P51" s="13" t="str">
        <f aca="false">IF($C51="","",$L51+$O51)</f>
        <v/>
      </c>
      <c r="Q51" s="12"/>
      <c r="R51" s="13" t="str">
        <f aca="false">IF($C51="","",MAX(0,$P51-N($Q51)))</f>
        <v/>
      </c>
      <c r="S51" s="23" t="str">
        <f aca="false">IF(OR($C51="",$P51=0),"",IF(N($Q51)&lt;=0,"Chưa thanh toán",IF(N($Q51)&lt;$P51,"Thanh toán một phần","Đã thanh toán")))</f>
        <v/>
      </c>
      <c r="T51" s="13" t="str">
        <f aca="false">IF(OR($C51="",$J51=""),"",N($I51)*$J51)</f>
        <v/>
      </c>
      <c r="U51" s="13" t="str">
        <f aca="false">IF(OR($C51="",$T51=""),"",$L51-$T51)</f>
        <v/>
      </c>
      <c r="V51" s="14" t="str">
        <f aca="false">IF(OR($U51="",$L51=0),"",$U51/$L51)</f>
        <v/>
      </c>
      <c r="W51" s="11"/>
      <c r="X51" s="23" t="str">
        <f aca="false">IF($C51="","",IF(AND($H51="",N($I51)=0,N($K51)=0),"Dòng chỉ lưu thông tin khách (chưa có đơn); ",IF($B51="","Thiếu ngày đặt; ","")&amp;IF($H51="","Thiếu tên sản phẩm; ",IF($J51="","Chưa khai GIÁ GỐC ở BẢNG GIÁ GỐC; ",""))&amp;IF(N($I51)&lt;=0,"Thiếu số lượng; ","")&amp;IF(N($K51)&lt;=0,"Thiếu giá bán; ","")&amp;IF(AND($N51&gt;0,$F51=""),"Khách lấy VAT thiếu mã số thuế; ","")&amp;IF(N($Q51)&gt;$P51,"Đã thu vượt tổng phải thu; ","")&amp;IF(AND($L51&gt;0,$U51&lt;&gt;"",$U51&lt;0),"CẢNH BÁO: ĐƠN NÀY ĐANG LỖ; ","")))</f>
        <v/>
      </c>
    </row>
    <row r="52" customFormat="false" ht="15" hidden="false" customHeight="false" outlineLevel="0" collapsed="false">
      <c r="A52" s="21" t="str">
        <f aca="false">IF($C52="","",COUNTA($C$10:$C52))</f>
        <v/>
      </c>
      <c r="B52" s="18"/>
      <c r="C52" s="11"/>
      <c r="D52" s="11"/>
      <c r="E52" s="11"/>
      <c r="F52" s="11"/>
      <c r="G52" s="11"/>
      <c r="H52" s="11"/>
      <c r="I52" s="12"/>
      <c r="J52" s="13" t="str">
        <f aca="false">IF($H52="","",IFERROR(VLOOKUP($H52,'BẢNG GIÁ GỐC'!$A$5:$D$254,3,FALSE()),""))</f>
        <v/>
      </c>
      <c r="K52" s="12"/>
      <c r="L52" s="13" t="str">
        <f aca="false">IF($C52="","",N($I52)*N($K52))</f>
        <v/>
      </c>
      <c r="M52" s="11"/>
      <c r="N52" s="14" t="str">
        <f aca="false">IF($C52="","",IF($M52="VAT 5%",0.05,IF($M52="VAT 8%",0.08,IF($M52="VAT 10%",0.1,0))))</f>
        <v/>
      </c>
      <c r="O52" s="13" t="str">
        <f aca="false">IF($C52="","",$L52*$N52)</f>
        <v/>
      </c>
      <c r="P52" s="13" t="str">
        <f aca="false">IF($C52="","",$L52+$O52)</f>
        <v/>
      </c>
      <c r="Q52" s="12"/>
      <c r="R52" s="13" t="str">
        <f aca="false">IF($C52="","",MAX(0,$P52-N($Q52)))</f>
        <v/>
      </c>
      <c r="S52" s="23" t="str">
        <f aca="false">IF(OR($C52="",$P52=0),"",IF(N($Q52)&lt;=0,"Chưa thanh toán",IF(N($Q52)&lt;$P52,"Thanh toán một phần","Đã thanh toán")))</f>
        <v/>
      </c>
      <c r="T52" s="13" t="str">
        <f aca="false">IF(OR($C52="",$J52=""),"",N($I52)*$J52)</f>
        <v/>
      </c>
      <c r="U52" s="13" t="str">
        <f aca="false">IF(OR($C52="",$T52=""),"",$L52-$T52)</f>
        <v/>
      </c>
      <c r="V52" s="14" t="str">
        <f aca="false">IF(OR($U52="",$L52=0),"",$U52/$L52)</f>
        <v/>
      </c>
      <c r="W52" s="11"/>
      <c r="X52" s="23" t="str">
        <f aca="false">IF($C52="","",IF(AND($H52="",N($I52)=0,N($K52)=0),"Dòng chỉ lưu thông tin khách (chưa có đơn); ",IF($B52="","Thiếu ngày đặt; ","")&amp;IF($H52="","Thiếu tên sản phẩm; ",IF($J52="","Chưa khai GIÁ GỐC ở BẢNG GIÁ GỐC; ",""))&amp;IF(N($I52)&lt;=0,"Thiếu số lượng; ","")&amp;IF(N($K52)&lt;=0,"Thiếu giá bán; ","")&amp;IF(AND($N52&gt;0,$F52=""),"Khách lấy VAT thiếu mã số thuế; ","")&amp;IF(N($Q52)&gt;$P52,"Đã thu vượt tổng phải thu; ","")&amp;IF(AND($L52&gt;0,$U52&lt;&gt;"",$U52&lt;0),"CẢNH BÁO: ĐƠN NÀY ĐANG LỖ; ","")))</f>
        <v/>
      </c>
    </row>
    <row r="53" customFormat="false" ht="15" hidden="false" customHeight="false" outlineLevel="0" collapsed="false">
      <c r="A53" s="21" t="str">
        <f aca="false">IF($C53="","",COUNTA($C$10:$C53))</f>
        <v/>
      </c>
      <c r="B53" s="18"/>
      <c r="C53" s="11"/>
      <c r="D53" s="11"/>
      <c r="E53" s="11"/>
      <c r="F53" s="11"/>
      <c r="G53" s="11"/>
      <c r="H53" s="11"/>
      <c r="I53" s="12"/>
      <c r="J53" s="13" t="str">
        <f aca="false">IF($H53="","",IFERROR(VLOOKUP($H53,'BẢNG GIÁ GỐC'!$A$5:$D$254,3,FALSE()),""))</f>
        <v/>
      </c>
      <c r="K53" s="12"/>
      <c r="L53" s="13" t="str">
        <f aca="false">IF($C53="","",N($I53)*N($K53))</f>
        <v/>
      </c>
      <c r="M53" s="11"/>
      <c r="N53" s="14" t="str">
        <f aca="false">IF($C53="","",IF($M53="VAT 5%",0.05,IF($M53="VAT 8%",0.08,IF($M53="VAT 10%",0.1,0))))</f>
        <v/>
      </c>
      <c r="O53" s="13" t="str">
        <f aca="false">IF($C53="","",$L53*$N53)</f>
        <v/>
      </c>
      <c r="P53" s="13" t="str">
        <f aca="false">IF($C53="","",$L53+$O53)</f>
        <v/>
      </c>
      <c r="Q53" s="12"/>
      <c r="R53" s="13" t="str">
        <f aca="false">IF($C53="","",MAX(0,$P53-N($Q53)))</f>
        <v/>
      </c>
      <c r="S53" s="23" t="str">
        <f aca="false">IF(OR($C53="",$P53=0),"",IF(N($Q53)&lt;=0,"Chưa thanh toán",IF(N($Q53)&lt;$P53,"Thanh toán một phần","Đã thanh toán")))</f>
        <v/>
      </c>
      <c r="T53" s="13" t="str">
        <f aca="false">IF(OR($C53="",$J53=""),"",N($I53)*$J53)</f>
        <v/>
      </c>
      <c r="U53" s="13" t="str">
        <f aca="false">IF(OR($C53="",$T53=""),"",$L53-$T53)</f>
        <v/>
      </c>
      <c r="V53" s="14" t="str">
        <f aca="false">IF(OR($U53="",$L53=0),"",$U53/$L53)</f>
        <v/>
      </c>
      <c r="W53" s="11"/>
      <c r="X53" s="23" t="str">
        <f aca="false">IF($C53="","",IF(AND($H53="",N($I53)=0,N($K53)=0),"Dòng chỉ lưu thông tin khách (chưa có đơn); ",IF($B53="","Thiếu ngày đặt; ","")&amp;IF($H53="","Thiếu tên sản phẩm; ",IF($J53="","Chưa khai GIÁ GỐC ở BẢNG GIÁ GỐC; ",""))&amp;IF(N($I53)&lt;=0,"Thiếu số lượng; ","")&amp;IF(N($K53)&lt;=0,"Thiếu giá bán; ","")&amp;IF(AND($N53&gt;0,$F53=""),"Khách lấy VAT thiếu mã số thuế; ","")&amp;IF(N($Q53)&gt;$P53,"Đã thu vượt tổng phải thu; ","")&amp;IF(AND($L53&gt;0,$U53&lt;&gt;"",$U53&lt;0),"CẢNH BÁO: ĐƠN NÀY ĐANG LỖ; ","")))</f>
        <v/>
      </c>
    </row>
    <row r="54" customFormat="false" ht="15" hidden="false" customHeight="false" outlineLevel="0" collapsed="false">
      <c r="A54" s="21" t="str">
        <f aca="false">IF($C54="","",COUNTA($C$10:$C54))</f>
        <v/>
      </c>
      <c r="B54" s="18"/>
      <c r="C54" s="11"/>
      <c r="D54" s="11"/>
      <c r="E54" s="11"/>
      <c r="F54" s="11"/>
      <c r="G54" s="11"/>
      <c r="H54" s="11"/>
      <c r="I54" s="12"/>
      <c r="J54" s="13" t="str">
        <f aca="false">IF($H54="","",IFERROR(VLOOKUP($H54,'BẢNG GIÁ GỐC'!$A$5:$D$254,3,FALSE()),""))</f>
        <v/>
      </c>
      <c r="K54" s="12"/>
      <c r="L54" s="13" t="str">
        <f aca="false">IF($C54="","",N($I54)*N($K54))</f>
        <v/>
      </c>
      <c r="M54" s="11"/>
      <c r="N54" s="14" t="str">
        <f aca="false">IF($C54="","",IF($M54="VAT 5%",0.05,IF($M54="VAT 8%",0.08,IF($M54="VAT 10%",0.1,0))))</f>
        <v/>
      </c>
      <c r="O54" s="13" t="str">
        <f aca="false">IF($C54="","",$L54*$N54)</f>
        <v/>
      </c>
      <c r="P54" s="13" t="str">
        <f aca="false">IF($C54="","",$L54+$O54)</f>
        <v/>
      </c>
      <c r="Q54" s="12"/>
      <c r="R54" s="13" t="str">
        <f aca="false">IF($C54="","",MAX(0,$P54-N($Q54)))</f>
        <v/>
      </c>
      <c r="S54" s="23" t="str">
        <f aca="false">IF(OR($C54="",$P54=0),"",IF(N($Q54)&lt;=0,"Chưa thanh toán",IF(N($Q54)&lt;$P54,"Thanh toán một phần","Đã thanh toán")))</f>
        <v/>
      </c>
      <c r="T54" s="13" t="str">
        <f aca="false">IF(OR($C54="",$J54=""),"",N($I54)*$J54)</f>
        <v/>
      </c>
      <c r="U54" s="13" t="str">
        <f aca="false">IF(OR($C54="",$T54=""),"",$L54-$T54)</f>
        <v/>
      </c>
      <c r="V54" s="14" t="str">
        <f aca="false">IF(OR($U54="",$L54=0),"",$U54/$L54)</f>
        <v/>
      </c>
      <c r="W54" s="11"/>
      <c r="X54" s="23" t="str">
        <f aca="false">IF($C54="","",IF(AND($H54="",N($I54)=0,N($K54)=0),"Dòng chỉ lưu thông tin khách (chưa có đơn); ",IF($B54="","Thiếu ngày đặt; ","")&amp;IF($H54="","Thiếu tên sản phẩm; ",IF($J54="","Chưa khai GIÁ GỐC ở BẢNG GIÁ GỐC; ",""))&amp;IF(N($I54)&lt;=0,"Thiếu số lượng; ","")&amp;IF(N($K54)&lt;=0,"Thiếu giá bán; ","")&amp;IF(AND($N54&gt;0,$F54=""),"Khách lấy VAT thiếu mã số thuế; ","")&amp;IF(N($Q54)&gt;$P54,"Đã thu vượt tổng phải thu; ","")&amp;IF(AND($L54&gt;0,$U54&lt;&gt;"",$U54&lt;0),"CẢNH BÁO: ĐƠN NÀY ĐANG LỖ; ","")))</f>
        <v/>
      </c>
    </row>
    <row r="55" customFormat="false" ht="15" hidden="false" customHeight="false" outlineLevel="0" collapsed="false">
      <c r="A55" s="21" t="str">
        <f aca="false">IF($C55="","",COUNTA($C$10:$C55))</f>
        <v/>
      </c>
      <c r="B55" s="18"/>
      <c r="C55" s="11"/>
      <c r="D55" s="11"/>
      <c r="E55" s="11"/>
      <c r="F55" s="11"/>
      <c r="G55" s="11"/>
      <c r="H55" s="11"/>
      <c r="I55" s="12"/>
      <c r="J55" s="13" t="str">
        <f aca="false">IF($H55="","",IFERROR(VLOOKUP($H55,'BẢNG GIÁ GỐC'!$A$5:$D$254,3,FALSE()),""))</f>
        <v/>
      </c>
      <c r="K55" s="12"/>
      <c r="L55" s="13" t="str">
        <f aca="false">IF($C55="","",N($I55)*N($K55))</f>
        <v/>
      </c>
      <c r="M55" s="11"/>
      <c r="N55" s="14" t="str">
        <f aca="false">IF($C55="","",IF($M55="VAT 5%",0.05,IF($M55="VAT 8%",0.08,IF($M55="VAT 10%",0.1,0))))</f>
        <v/>
      </c>
      <c r="O55" s="13" t="str">
        <f aca="false">IF($C55="","",$L55*$N55)</f>
        <v/>
      </c>
      <c r="P55" s="13" t="str">
        <f aca="false">IF($C55="","",$L55+$O55)</f>
        <v/>
      </c>
      <c r="Q55" s="12"/>
      <c r="R55" s="13" t="str">
        <f aca="false">IF($C55="","",MAX(0,$P55-N($Q55)))</f>
        <v/>
      </c>
      <c r="S55" s="23" t="str">
        <f aca="false">IF(OR($C55="",$P55=0),"",IF(N($Q55)&lt;=0,"Chưa thanh toán",IF(N($Q55)&lt;$P55,"Thanh toán một phần","Đã thanh toán")))</f>
        <v/>
      </c>
      <c r="T55" s="13" t="str">
        <f aca="false">IF(OR($C55="",$J55=""),"",N($I55)*$J55)</f>
        <v/>
      </c>
      <c r="U55" s="13" t="str">
        <f aca="false">IF(OR($C55="",$T55=""),"",$L55-$T55)</f>
        <v/>
      </c>
      <c r="V55" s="14" t="str">
        <f aca="false">IF(OR($U55="",$L55=0),"",$U55/$L55)</f>
        <v/>
      </c>
      <c r="W55" s="11"/>
      <c r="X55" s="23" t="str">
        <f aca="false">IF($C55="","",IF(AND($H55="",N($I55)=0,N($K55)=0),"Dòng chỉ lưu thông tin khách (chưa có đơn); ",IF($B55="","Thiếu ngày đặt; ","")&amp;IF($H55="","Thiếu tên sản phẩm; ",IF($J55="","Chưa khai GIÁ GỐC ở BẢNG GIÁ GỐC; ",""))&amp;IF(N($I55)&lt;=0,"Thiếu số lượng; ","")&amp;IF(N($K55)&lt;=0,"Thiếu giá bán; ","")&amp;IF(AND($N55&gt;0,$F55=""),"Khách lấy VAT thiếu mã số thuế; ","")&amp;IF(N($Q55)&gt;$P55,"Đã thu vượt tổng phải thu; ","")&amp;IF(AND($L55&gt;0,$U55&lt;&gt;"",$U55&lt;0),"CẢNH BÁO: ĐƠN NÀY ĐANG LỖ; ","")))</f>
        <v/>
      </c>
    </row>
    <row r="56" customFormat="false" ht="15" hidden="false" customHeight="false" outlineLevel="0" collapsed="false">
      <c r="A56" s="21" t="str">
        <f aca="false">IF($C56="","",COUNTA($C$10:$C56))</f>
        <v/>
      </c>
      <c r="B56" s="18"/>
      <c r="C56" s="11"/>
      <c r="D56" s="11"/>
      <c r="E56" s="11"/>
      <c r="F56" s="11"/>
      <c r="G56" s="11"/>
      <c r="H56" s="11"/>
      <c r="I56" s="12"/>
      <c r="J56" s="13" t="str">
        <f aca="false">IF($H56="","",IFERROR(VLOOKUP($H56,'BẢNG GIÁ GỐC'!$A$5:$D$254,3,FALSE()),""))</f>
        <v/>
      </c>
      <c r="K56" s="12"/>
      <c r="L56" s="13" t="str">
        <f aca="false">IF($C56="","",N($I56)*N($K56))</f>
        <v/>
      </c>
      <c r="M56" s="11"/>
      <c r="N56" s="14" t="str">
        <f aca="false">IF($C56="","",IF($M56="VAT 5%",0.05,IF($M56="VAT 8%",0.08,IF($M56="VAT 10%",0.1,0))))</f>
        <v/>
      </c>
      <c r="O56" s="13" t="str">
        <f aca="false">IF($C56="","",$L56*$N56)</f>
        <v/>
      </c>
      <c r="P56" s="13" t="str">
        <f aca="false">IF($C56="","",$L56+$O56)</f>
        <v/>
      </c>
      <c r="Q56" s="12"/>
      <c r="R56" s="13" t="str">
        <f aca="false">IF($C56="","",MAX(0,$P56-N($Q56)))</f>
        <v/>
      </c>
      <c r="S56" s="23" t="str">
        <f aca="false">IF(OR($C56="",$P56=0),"",IF(N($Q56)&lt;=0,"Chưa thanh toán",IF(N($Q56)&lt;$P56,"Thanh toán một phần","Đã thanh toán")))</f>
        <v/>
      </c>
      <c r="T56" s="13" t="str">
        <f aca="false">IF(OR($C56="",$J56=""),"",N($I56)*$J56)</f>
        <v/>
      </c>
      <c r="U56" s="13" t="str">
        <f aca="false">IF(OR($C56="",$T56=""),"",$L56-$T56)</f>
        <v/>
      </c>
      <c r="V56" s="14" t="str">
        <f aca="false">IF(OR($U56="",$L56=0),"",$U56/$L56)</f>
        <v/>
      </c>
      <c r="W56" s="11"/>
      <c r="X56" s="23" t="str">
        <f aca="false">IF($C56="","",IF(AND($H56="",N($I56)=0,N($K56)=0),"Dòng chỉ lưu thông tin khách (chưa có đơn); ",IF($B56="","Thiếu ngày đặt; ","")&amp;IF($H56="","Thiếu tên sản phẩm; ",IF($J56="","Chưa khai GIÁ GỐC ở BẢNG GIÁ GỐC; ",""))&amp;IF(N($I56)&lt;=0,"Thiếu số lượng; ","")&amp;IF(N($K56)&lt;=0,"Thiếu giá bán; ","")&amp;IF(AND($N56&gt;0,$F56=""),"Khách lấy VAT thiếu mã số thuế; ","")&amp;IF(N($Q56)&gt;$P56,"Đã thu vượt tổng phải thu; ","")&amp;IF(AND($L56&gt;0,$U56&lt;&gt;"",$U56&lt;0),"CẢNH BÁO: ĐƠN NÀY ĐANG LỖ; ","")))</f>
        <v/>
      </c>
    </row>
    <row r="57" customFormat="false" ht="15" hidden="false" customHeight="false" outlineLevel="0" collapsed="false">
      <c r="A57" s="21" t="str">
        <f aca="false">IF($C57="","",COUNTA($C$10:$C57))</f>
        <v/>
      </c>
      <c r="B57" s="18"/>
      <c r="C57" s="11"/>
      <c r="D57" s="11"/>
      <c r="E57" s="11"/>
      <c r="F57" s="11"/>
      <c r="G57" s="11"/>
      <c r="H57" s="11"/>
      <c r="I57" s="12"/>
      <c r="J57" s="13" t="str">
        <f aca="false">IF($H57="","",IFERROR(VLOOKUP($H57,'BẢNG GIÁ GỐC'!$A$5:$D$254,3,FALSE()),""))</f>
        <v/>
      </c>
      <c r="K57" s="12"/>
      <c r="L57" s="13" t="str">
        <f aca="false">IF($C57="","",N($I57)*N($K57))</f>
        <v/>
      </c>
      <c r="M57" s="11"/>
      <c r="N57" s="14" t="str">
        <f aca="false">IF($C57="","",IF($M57="VAT 5%",0.05,IF($M57="VAT 8%",0.08,IF($M57="VAT 10%",0.1,0))))</f>
        <v/>
      </c>
      <c r="O57" s="13" t="str">
        <f aca="false">IF($C57="","",$L57*$N57)</f>
        <v/>
      </c>
      <c r="P57" s="13" t="str">
        <f aca="false">IF($C57="","",$L57+$O57)</f>
        <v/>
      </c>
      <c r="Q57" s="12"/>
      <c r="R57" s="13" t="str">
        <f aca="false">IF($C57="","",MAX(0,$P57-N($Q57)))</f>
        <v/>
      </c>
      <c r="S57" s="23" t="str">
        <f aca="false">IF(OR($C57="",$P57=0),"",IF(N($Q57)&lt;=0,"Chưa thanh toán",IF(N($Q57)&lt;$P57,"Thanh toán một phần","Đã thanh toán")))</f>
        <v/>
      </c>
      <c r="T57" s="13" t="str">
        <f aca="false">IF(OR($C57="",$J57=""),"",N($I57)*$J57)</f>
        <v/>
      </c>
      <c r="U57" s="13" t="str">
        <f aca="false">IF(OR($C57="",$T57=""),"",$L57-$T57)</f>
        <v/>
      </c>
      <c r="V57" s="14" t="str">
        <f aca="false">IF(OR($U57="",$L57=0),"",$U57/$L57)</f>
        <v/>
      </c>
      <c r="W57" s="11"/>
      <c r="X57" s="23" t="str">
        <f aca="false">IF($C57="","",IF(AND($H57="",N($I57)=0,N($K57)=0),"Dòng chỉ lưu thông tin khách (chưa có đơn); ",IF($B57="","Thiếu ngày đặt; ","")&amp;IF($H57="","Thiếu tên sản phẩm; ",IF($J57="","Chưa khai GIÁ GỐC ở BẢNG GIÁ GỐC; ",""))&amp;IF(N($I57)&lt;=0,"Thiếu số lượng; ","")&amp;IF(N($K57)&lt;=0,"Thiếu giá bán; ","")&amp;IF(AND($N57&gt;0,$F57=""),"Khách lấy VAT thiếu mã số thuế; ","")&amp;IF(N($Q57)&gt;$P57,"Đã thu vượt tổng phải thu; ","")&amp;IF(AND($L57&gt;0,$U57&lt;&gt;"",$U57&lt;0),"CẢNH BÁO: ĐƠN NÀY ĐANG LỖ; ","")))</f>
        <v/>
      </c>
    </row>
    <row r="58" customFormat="false" ht="15" hidden="false" customHeight="false" outlineLevel="0" collapsed="false">
      <c r="A58" s="21" t="str">
        <f aca="false">IF($C58="","",COUNTA($C$10:$C58))</f>
        <v/>
      </c>
      <c r="B58" s="18"/>
      <c r="C58" s="11"/>
      <c r="D58" s="11"/>
      <c r="E58" s="11"/>
      <c r="F58" s="11"/>
      <c r="G58" s="11"/>
      <c r="H58" s="11"/>
      <c r="I58" s="12"/>
      <c r="J58" s="13" t="str">
        <f aca="false">IF($H58="","",IFERROR(VLOOKUP($H58,'BẢNG GIÁ GỐC'!$A$5:$D$254,3,FALSE()),""))</f>
        <v/>
      </c>
      <c r="K58" s="12"/>
      <c r="L58" s="13" t="str">
        <f aca="false">IF($C58="","",N($I58)*N($K58))</f>
        <v/>
      </c>
      <c r="M58" s="11"/>
      <c r="N58" s="14" t="str">
        <f aca="false">IF($C58="","",IF($M58="VAT 5%",0.05,IF($M58="VAT 8%",0.08,IF($M58="VAT 10%",0.1,0))))</f>
        <v/>
      </c>
      <c r="O58" s="13" t="str">
        <f aca="false">IF($C58="","",$L58*$N58)</f>
        <v/>
      </c>
      <c r="P58" s="13" t="str">
        <f aca="false">IF($C58="","",$L58+$O58)</f>
        <v/>
      </c>
      <c r="Q58" s="12"/>
      <c r="R58" s="13" t="str">
        <f aca="false">IF($C58="","",MAX(0,$P58-N($Q58)))</f>
        <v/>
      </c>
      <c r="S58" s="23" t="str">
        <f aca="false">IF(OR($C58="",$P58=0),"",IF(N($Q58)&lt;=0,"Chưa thanh toán",IF(N($Q58)&lt;$P58,"Thanh toán một phần","Đã thanh toán")))</f>
        <v/>
      </c>
      <c r="T58" s="13" t="str">
        <f aca="false">IF(OR($C58="",$J58=""),"",N($I58)*$J58)</f>
        <v/>
      </c>
      <c r="U58" s="13" t="str">
        <f aca="false">IF(OR($C58="",$T58=""),"",$L58-$T58)</f>
        <v/>
      </c>
      <c r="V58" s="14" t="str">
        <f aca="false">IF(OR($U58="",$L58=0),"",$U58/$L58)</f>
        <v/>
      </c>
      <c r="W58" s="11"/>
      <c r="X58" s="23" t="str">
        <f aca="false">IF($C58="","",IF(AND($H58="",N($I58)=0,N($K58)=0),"Dòng chỉ lưu thông tin khách (chưa có đơn); ",IF($B58="","Thiếu ngày đặt; ","")&amp;IF($H58="","Thiếu tên sản phẩm; ",IF($J58="","Chưa khai GIÁ GỐC ở BẢNG GIÁ GỐC; ",""))&amp;IF(N($I58)&lt;=0,"Thiếu số lượng; ","")&amp;IF(N($K58)&lt;=0,"Thiếu giá bán; ","")&amp;IF(AND($N58&gt;0,$F58=""),"Khách lấy VAT thiếu mã số thuế; ","")&amp;IF(N($Q58)&gt;$P58,"Đã thu vượt tổng phải thu; ","")&amp;IF(AND($L58&gt;0,$U58&lt;&gt;"",$U58&lt;0),"CẢNH BÁO: ĐƠN NÀY ĐANG LỖ; ","")))</f>
        <v/>
      </c>
    </row>
    <row r="59" customFormat="false" ht="15" hidden="false" customHeight="false" outlineLevel="0" collapsed="false">
      <c r="A59" s="21" t="str">
        <f aca="false">IF($C59="","",COUNTA($C$10:$C59))</f>
        <v/>
      </c>
      <c r="B59" s="18"/>
      <c r="C59" s="11"/>
      <c r="D59" s="11"/>
      <c r="E59" s="11"/>
      <c r="F59" s="11"/>
      <c r="G59" s="11"/>
      <c r="H59" s="11"/>
      <c r="I59" s="12"/>
      <c r="J59" s="13" t="str">
        <f aca="false">IF($H59="","",IFERROR(VLOOKUP($H59,'BẢNG GIÁ GỐC'!$A$5:$D$254,3,FALSE()),""))</f>
        <v/>
      </c>
      <c r="K59" s="12"/>
      <c r="L59" s="13" t="str">
        <f aca="false">IF($C59="","",N($I59)*N($K59))</f>
        <v/>
      </c>
      <c r="M59" s="11"/>
      <c r="N59" s="14" t="str">
        <f aca="false">IF($C59="","",IF($M59="VAT 5%",0.05,IF($M59="VAT 8%",0.08,IF($M59="VAT 10%",0.1,0))))</f>
        <v/>
      </c>
      <c r="O59" s="13" t="str">
        <f aca="false">IF($C59="","",$L59*$N59)</f>
        <v/>
      </c>
      <c r="P59" s="13" t="str">
        <f aca="false">IF($C59="","",$L59+$O59)</f>
        <v/>
      </c>
      <c r="Q59" s="12"/>
      <c r="R59" s="13" t="str">
        <f aca="false">IF($C59="","",MAX(0,$P59-N($Q59)))</f>
        <v/>
      </c>
      <c r="S59" s="23" t="str">
        <f aca="false">IF(OR($C59="",$P59=0),"",IF(N($Q59)&lt;=0,"Chưa thanh toán",IF(N($Q59)&lt;$P59,"Thanh toán một phần","Đã thanh toán")))</f>
        <v/>
      </c>
      <c r="T59" s="13" t="str">
        <f aca="false">IF(OR($C59="",$J59=""),"",N($I59)*$J59)</f>
        <v/>
      </c>
      <c r="U59" s="13" t="str">
        <f aca="false">IF(OR($C59="",$T59=""),"",$L59-$T59)</f>
        <v/>
      </c>
      <c r="V59" s="14" t="str">
        <f aca="false">IF(OR($U59="",$L59=0),"",$U59/$L59)</f>
        <v/>
      </c>
      <c r="W59" s="11"/>
      <c r="X59" s="23" t="str">
        <f aca="false">IF($C59="","",IF(AND($H59="",N($I59)=0,N($K59)=0),"Dòng chỉ lưu thông tin khách (chưa có đơn); ",IF($B59="","Thiếu ngày đặt; ","")&amp;IF($H59="","Thiếu tên sản phẩm; ",IF($J59="","Chưa khai GIÁ GỐC ở BẢNG GIÁ GỐC; ",""))&amp;IF(N($I59)&lt;=0,"Thiếu số lượng; ","")&amp;IF(N($K59)&lt;=0,"Thiếu giá bán; ","")&amp;IF(AND($N59&gt;0,$F59=""),"Khách lấy VAT thiếu mã số thuế; ","")&amp;IF(N($Q59)&gt;$P59,"Đã thu vượt tổng phải thu; ","")&amp;IF(AND($L59&gt;0,$U59&lt;&gt;"",$U59&lt;0),"CẢNH BÁO: ĐƠN NÀY ĐANG LỖ; ","")))</f>
        <v/>
      </c>
    </row>
    <row r="60" customFormat="false" ht="15" hidden="false" customHeight="false" outlineLevel="0" collapsed="false">
      <c r="A60" s="21" t="str">
        <f aca="false">IF($C60="","",COUNTA($C$10:$C60))</f>
        <v/>
      </c>
      <c r="B60" s="18"/>
      <c r="C60" s="11"/>
      <c r="D60" s="11"/>
      <c r="E60" s="11"/>
      <c r="F60" s="11"/>
      <c r="G60" s="11"/>
      <c r="H60" s="11"/>
      <c r="I60" s="12"/>
      <c r="J60" s="13" t="str">
        <f aca="false">IF($H60="","",IFERROR(VLOOKUP($H60,'BẢNG GIÁ GỐC'!$A$5:$D$254,3,FALSE()),""))</f>
        <v/>
      </c>
      <c r="K60" s="12"/>
      <c r="L60" s="13" t="str">
        <f aca="false">IF($C60="","",N($I60)*N($K60))</f>
        <v/>
      </c>
      <c r="M60" s="11"/>
      <c r="N60" s="14" t="str">
        <f aca="false">IF($C60="","",IF($M60="VAT 5%",0.05,IF($M60="VAT 8%",0.08,IF($M60="VAT 10%",0.1,0))))</f>
        <v/>
      </c>
      <c r="O60" s="13" t="str">
        <f aca="false">IF($C60="","",$L60*$N60)</f>
        <v/>
      </c>
      <c r="P60" s="13" t="str">
        <f aca="false">IF($C60="","",$L60+$O60)</f>
        <v/>
      </c>
      <c r="Q60" s="12"/>
      <c r="R60" s="13" t="str">
        <f aca="false">IF($C60="","",MAX(0,$P60-N($Q60)))</f>
        <v/>
      </c>
      <c r="S60" s="23" t="str">
        <f aca="false">IF(OR($C60="",$P60=0),"",IF(N($Q60)&lt;=0,"Chưa thanh toán",IF(N($Q60)&lt;$P60,"Thanh toán một phần","Đã thanh toán")))</f>
        <v/>
      </c>
      <c r="T60" s="13" t="str">
        <f aca="false">IF(OR($C60="",$J60=""),"",N($I60)*$J60)</f>
        <v/>
      </c>
      <c r="U60" s="13" t="str">
        <f aca="false">IF(OR($C60="",$T60=""),"",$L60-$T60)</f>
        <v/>
      </c>
      <c r="V60" s="14" t="str">
        <f aca="false">IF(OR($U60="",$L60=0),"",$U60/$L60)</f>
        <v/>
      </c>
      <c r="W60" s="11"/>
      <c r="X60" s="23" t="str">
        <f aca="false">IF($C60="","",IF(AND($H60="",N($I60)=0,N($K60)=0),"Dòng chỉ lưu thông tin khách (chưa có đơn); ",IF($B60="","Thiếu ngày đặt; ","")&amp;IF($H60="","Thiếu tên sản phẩm; ",IF($J60="","Chưa khai GIÁ GỐC ở BẢNG GIÁ GỐC; ",""))&amp;IF(N($I60)&lt;=0,"Thiếu số lượng; ","")&amp;IF(N($K60)&lt;=0,"Thiếu giá bán; ","")&amp;IF(AND($N60&gt;0,$F60=""),"Khách lấy VAT thiếu mã số thuế; ","")&amp;IF(N($Q60)&gt;$P60,"Đã thu vượt tổng phải thu; ","")&amp;IF(AND($L60&gt;0,$U60&lt;&gt;"",$U60&lt;0),"CẢNH BÁO: ĐƠN NÀY ĐANG LỖ; ","")))</f>
        <v/>
      </c>
    </row>
    <row r="61" customFormat="false" ht="15" hidden="false" customHeight="false" outlineLevel="0" collapsed="false">
      <c r="A61" s="21" t="str">
        <f aca="false">IF($C61="","",COUNTA($C$10:$C61))</f>
        <v/>
      </c>
      <c r="B61" s="18"/>
      <c r="C61" s="11"/>
      <c r="D61" s="11"/>
      <c r="E61" s="11"/>
      <c r="F61" s="11"/>
      <c r="G61" s="11"/>
      <c r="H61" s="11"/>
      <c r="I61" s="12"/>
      <c r="J61" s="13" t="str">
        <f aca="false">IF($H61="","",IFERROR(VLOOKUP($H61,'BẢNG GIÁ GỐC'!$A$5:$D$254,3,FALSE()),""))</f>
        <v/>
      </c>
      <c r="K61" s="12"/>
      <c r="L61" s="13" t="str">
        <f aca="false">IF($C61="","",N($I61)*N($K61))</f>
        <v/>
      </c>
      <c r="M61" s="11"/>
      <c r="N61" s="14" t="str">
        <f aca="false">IF($C61="","",IF($M61="VAT 5%",0.05,IF($M61="VAT 8%",0.08,IF($M61="VAT 10%",0.1,0))))</f>
        <v/>
      </c>
      <c r="O61" s="13" t="str">
        <f aca="false">IF($C61="","",$L61*$N61)</f>
        <v/>
      </c>
      <c r="P61" s="13" t="str">
        <f aca="false">IF($C61="","",$L61+$O61)</f>
        <v/>
      </c>
      <c r="Q61" s="12"/>
      <c r="R61" s="13" t="str">
        <f aca="false">IF($C61="","",MAX(0,$P61-N($Q61)))</f>
        <v/>
      </c>
      <c r="S61" s="23" t="str">
        <f aca="false">IF(OR($C61="",$P61=0),"",IF(N($Q61)&lt;=0,"Chưa thanh toán",IF(N($Q61)&lt;$P61,"Thanh toán một phần","Đã thanh toán")))</f>
        <v/>
      </c>
      <c r="T61" s="13" t="str">
        <f aca="false">IF(OR($C61="",$J61=""),"",N($I61)*$J61)</f>
        <v/>
      </c>
      <c r="U61" s="13" t="str">
        <f aca="false">IF(OR($C61="",$T61=""),"",$L61-$T61)</f>
        <v/>
      </c>
      <c r="V61" s="14" t="str">
        <f aca="false">IF(OR($U61="",$L61=0),"",$U61/$L61)</f>
        <v/>
      </c>
      <c r="W61" s="11"/>
      <c r="X61" s="23" t="str">
        <f aca="false">IF($C61="","",IF(AND($H61="",N($I61)=0,N($K61)=0),"Dòng chỉ lưu thông tin khách (chưa có đơn); ",IF($B61="","Thiếu ngày đặt; ","")&amp;IF($H61="","Thiếu tên sản phẩm; ",IF($J61="","Chưa khai GIÁ GỐC ở BẢNG GIÁ GỐC; ",""))&amp;IF(N($I61)&lt;=0,"Thiếu số lượng; ","")&amp;IF(N($K61)&lt;=0,"Thiếu giá bán; ","")&amp;IF(AND($N61&gt;0,$F61=""),"Khách lấy VAT thiếu mã số thuế; ","")&amp;IF(N($Q61)&gt;$P61,"Đã thu vượt tổng phải thu; ","")&amp;IF(AND($L61&gt;0,$U61&lt;&gt;"",$U61&lt;0),"CẢNH BÁO: ĐƠN NÀY ĐANG LỖ; ","")))</f>
        <v/>
      </c>
    </row>
    <row r="62" customFormat="false" ht="15" hidden="false" customHeight="false" outlineLevel="0" collapsed="false">
      <c r="A62" s="21" t="str">
        <f aca="false">IF($C62="","",COUNTA($C$10:$C62))</f>
        <v/>
      </c>
      <c r="B62" s="18"/>
      <c r="C62" s="11"/>
      <c r="D62" s="11"/>
      <c r="E62" s="11"/>
      <c r="F62" s="11"/>
      <c r="G62" s="11"/>
      <c r="H62" s="11"/>
      <c r="I62" s="12"/>
      <c r="J62" s="13" t="str">
        <f aca="false">IF($H62="","",IFERROR(VLOOKUP($H62,'BẢNG GIÁ GỐC'!$A$5:$D$254,3,FALSE()),""))</f>
        <v/>
      </c>
      <c r="K62" s="12"/>
      <c r="L62" s="13" t="str">
        <f aca="false">IF($C62="","",N($I62)*N($K62))</f>
        <v/>
      </c>
      <c r="M62" s="11"/>
      <c r="N62" s="14" t="str">
        <f aca="false">IF($C62="","",IF($M62="VAT 5%",0.05,IF($M62="VAT 8%",0.08,IF($M62="VAT 10%",0.1,0))))</f>
        <v/>
      </c>
      <c r="O62" s="13" t="str">
        <f aca="false">IF($C62="","",$L62*$N62)</f>
        <v/>
      </c>
      <c r="P62" s="13" t="str">
        <f aca="false">IF($C62="","",$L62+$O62)</f>
        <v/>
      </c>
      <c r="Q62" s="12"/>
      <c r="R62" s="13" t="str">
        <f aca="false">IF($C62="","",MAX(0,$P62-N($Q62)))</f>
        <v/>
      </c>
      <c r="S62" s="23" t="str">
        <f aca="false">IF(OR($C62="",$P62=0),"",IF(N($Q62)&lt;=0,"Chưa thanh toán",IF(N($Q62)&lt;$P62,"Thanh toán một phần","Đã thanh toán")))</f>
        <v/>
      </c>
      <c r="T62" s="13" t="str">
        <f aca="false">IF(OR($C62="",$J62=""),"",N($I62)*$J62)</f>
        <v/>
      </c>
      <c r="U62" s="13" t="str">
        <f aca="false">IF(OR($C62="",$T62=""),"",$L62-$T62)</f>
        <v/>
      </c>
      <c r="V62" s="14" t="str">
        <f aca="false">IF(OR($U62="",$L62=0),"",$U62/$L62)</f>
        <v/>
      </c>
      <c r="W62" s="11"/>
      <c r="X62" s="23" t="str">
        <f aca="false">IF($C62="","",IF(AND($H62="",N($I62)=0,N($K62)=0),"Dòng chỉ lưu thông tin khách (chưa có đơn); ",IF($B62="","Thiếu ngày đặt; ","")&amp;IF($H62="","Thiếu tên sản phẩm; ",IF($J62="","Chưa khai GIÁ GỐC ở BẢNG GIÁ GỐC; ",""))&amp;IF(N($I62)&lt;=0,"Thiếu số lượng; ","")&amp;IF(N($K62)&lt;=0,"Thiếu giá bán; ","")&amp;IF(AND($N62&gt;0,$F62=""),"Khách lấy VAT thiếu mã số thuế; ","")&amp;IF(N($Q62)&gt;$P62,"Đã thu vượt tổng phải thu; ","")&amp;IF(AND($L62&gt;0,$U62&lt;&gt;"",$U62&lt;0),"CẢNH BÁO: ĐƠN NÀY ĐANG LỖ; ","")))</f>
        <v/>
      </c>
    </row>
    <row r="63" customFormat="false" ht="15" hidden="false" customHeight="false" outlineLevel="0" collapsed="false">
      <c r="A63" s="21" t="str">
        <f aca="false">IF($C63="","",COUNTA($C$10:$C63))</f>
        <v/>
      </c>
      <c r="B63" s="18"/>
      <c r="C63" s="11"/>
      <c r="D63" s="11"/>
      <c r="E63" s="11"/>
      <c r="F63" s="11"/>
      <c r="G63" s="11"/>
      <c r="H63" s="11"/>
      <c r="I63" s="12"/>
      <c r="J63" s="13" t="str">
        <f aca="false">IF($H63="","",IFERROR(VLOOKUP($H63,'BẢNG GIÁ GỐC'!$A$5:$D$254,3,FALSE()),""))</f>
        <v/>
      </c>
      <c r="K63" s="12"/>
      <c r="L63" s="13" t="str">
        <f aca="false">IF($C63="","",N($I63)*N($K63))</f>
        <v/>
      </c>
      <c r="M63" s="11"/>
      <c r="N63" s="14" t="str">
        <f aca="false">IF($C63="","",IF($M63="VAT 5%",0.05,IF($M63="VAT 8%",0.08,IF($M63="VAT 10%",0.1,0))))</f>
        <v/>
      </c>
      <c r="O63" s="13" t="str">
        <f aca="false">IF($C63="","",$L63*$N63)</f>
        <v/>
      </c>
      <c r="P63" s="13" t="str">
        <f aca="false">IF($C63="","",$L63+$O63)</f>
        <v/>
      </c>
      <c r="Q63" s="12"/>
      <c r="R63" s="13" t="str">
        <f aca="false">IF($C63="","",MAX(0,$P63-N($Q63)))</f>
        <v/>
      </c>
      <c r="S63" s="23" t="str">
        <f aca="false">IF(OR($C63="",$P63=0),"",IF(N($Q63)&lt;=0,"Chưa thanh toán",IF(N($Q63)&lt;$P63,"Thanh toán một phần","Đã thanh toán")))</f>
        <v/>
      </c>
      <c r="T63" s="13" t="str">
        <f aca="false">IF(OR($C63="",$J63=""),"",N($I63)*$J63)</f>
        <v/>
      </c>
      <c r="U63" s="13" t="str">
        <f aca="false">IF(OR($C63="",$T63=""),"",$L63-$T63)</f>
        <v/>
      </c>
      <c r="V63" s="14" t="str">
        <f aca="false">IF(OR($U63="",$L63=0),"",$U63/$L63)</f>
        <v/>
      </c>
      <c r="W63" s="11"/>
      <c r="X63" s="23" t="str">
        <f aca="false">IF($C63="","",IF(AND($H63="",N($I63)=0,N($K63)=0),"Dòng chỉ lưu thông tin khách (chưa có đơn); ",IF($B63="","Thiếu ngày đặt; ","")&amp;IF($H63="","Thiếu tên sản phẩm; ",IF($J63="","Chưa khai GIÁ GỐC ở BẢNG GIÁ GỐC; ",""))&amp;IF(N($I63)&lt;=0,"Thiếu số lượng; ","")&amp;IF(N($K63)&lt;=0,"Thiếu giá bán; ","")&amp;IF(AND($N63&gt;0,$F63=""),"Khách lấy VAT thiếu mã số thuế; ","")&amp;IF(N($Q63)&gt;$P63,"Đã thu vượt tổng phải thu; ","")&amp;IF(AND($L63&gt;0,$U63&lt;&gt;"",$U63&lt;0),"CẢNH BÁO: ĐƠN NÀY ĐANG LỖ; ","")))</f>
        <v/>
      </c>
    </row>
    <row r="64" customFormat="false" ht="15" hidden="false" customHeight="false" outlineLevel="0" collapsed="false">
      <c r="A64" s="21" t="str">
        <f aca="false">IF($C64="","",COUNTA($C$10:$C64))</f>
        <v/>
      </c>
      <c r="B64" s="18"/>
      <c r="C64" s="11"/>
      <c r="D64" s="11"/>
      <c r="E64" s="11"/>
      <c r="F64" s="11"/>
      <c r="G64" s="11"/>
      <c r="H64" s="11"/>
      <c r="I64" s="12"/>
      <c r="J64" s="13" t="str">
        <f aca="false">IF($H64="","",IFERROR(VLOOKUP($H64,'BẢNG GIÁ GỐC'!$A$5:$D$254,3,FALSE()),""))</f>
        <v/>
      </c>
      <c r="K64" s="12"/>
      <c r="L64" s="13" t="str">
        <f aca="false">IF($C64="","",N($I64)*N($K64))</f>
        <v/>
      </c>
      <c r="M64" s="11"/>
      <c r="N64" s="14" t="str">
        <f aca="false">IF($C64="","",IF($M64="VAT 5%",0.05,IF($M64="VAT 8%",0.08,IF($M64="VAT 10%",0.1,0))))</f>
        <v/>
      </c>
      <c r="O64" s="13" t="str">
        <f aca="false">IF($C64="","",$L64*$N64)</f>
        <v/>
      </c>
      <c r="P64" s="13" t="str">
        <f aca="false">IF($C64="","",$L64+$O64)</f>
        <v/>
      </c>
      <c r="Q64" s="12"/>
      <c r="R64" s="13" t="str">
        <f aca="false">IF($C64="","",MAX(0,$P64-N($Q64)))</f>
        <v/>
      </c>
      <c r="S64" s="23" t="str">
        <f aca="false">IF(OR($C64="",$P64=0),"",IF(N($Q64)&lt;=0,"Chưa thanh toán",IF(N($Q64)&lt;$P64,"Thanh toán một phần","Đã thanh toán")))</f>
        <v/>
      </c>
      <c r="T64" s="13" t="str">
        <f aca="false">IF(OR($C64="",$J64=""),"",N($I64)*$J64)</f>
        <v/>
      </c>
      <c r="U64" s="13" t="str">
        <f aca="false">IF(OR($C64="",$T64=""),"",$L64-$T64)</f>
        <v/>
      </c>
      <c r="V64" s="14" t="str">
        <f aca="false">IF(OR($U64="",$L64=0),"",$U64/$L64)</f>
        <v/>
      </c>
      <c r="W64" s="11"/>
      <c r="X64" s="23" t="str">
        <f aca="false">IF($C64="","",IF(AND($H64="",N($I64)=0,N($K64)=0),"Dòng chỉ lưu thông tin khách (chưa có đơn); ",IF($B64="","Thiếu ngày đặt; ","")&amp;IF($H64="","Thiếu tên sản phẩm; ",IF($J64="","Chưa khai GIÁ GỐC ở BẢNG GIÁ GỐC; ",""))&amp;IF(N($I64)&lt;=0,"Thiếu số lượng; ","")&amp;IF(N($K64)&lt;=0,"Thiếu giá bán; ","")&amp;IF(AND($N64&gt;0,$F64=""),"Khách lấy VAT thiếu mã số thuế; ","")&amp;IF(N($Q64)&gt;$P64,"Đã thu vượt tổng phải thu; ","")&amp;IF(AND($L64&gt;0,$U64&lt;&gt;"",$U64&lt;0),"CẢNH BÁO: ĐƠN NÀY ĐANG LỖ; ","")))</f>
        <v/>
      </c>
    </row>
    <row r="65" customFormat="false" ht="15" hidden="false" customHeight="false" outlineLevel="0" collapsed="false">
      <c r="A65" s="21" t="str">
        <f aca="false">IF($C65="","",COUNTA($C$10:$C65))</f>
        <v/>
      </c>
      <c r="B65" s="18"/>
      <c r="C65" s="11"/>
      <c r="D65" s="11"/>
      <c r="E65" s="11"/>
      <c r="F65" s="11"/>
      <c r="G65" s="11"/>
      <c r="H65" s="11"/>
      <c r="I65" s="12"/>
      <c r="J65" s="13" t="str">
        <f aca="false">IF($H65="","",IFERROR(VLOOKUP($H65,'BẢNG GIÁ GỐC'!$A$5:$D$254,3,FALSE()),""))</f>
        <v/>
      </c>
      <c r="K65" s="12"/>
      <c r="L65" s="13" t="str">
        <f aca="false">IF($C65="","",N($I65)*N($K65))</f>
        <v/>
      </c>
      <c r="M65" s="11"/>
      <c r="N65" s="14" t="str">
        <f aca="false">IF($C65="","",IF($M65="VAT 5%",0.05,IF($M65="VAT 8%",0.08,IF($M65="VAT 10%",0.1,0))))</f>
        <v/>
      </c>
      <c r="O65" s="13" t="str">
        <f aca="false">IF($C65="","",$L65*$N65)</f>
        <v/>
      </c>
      <c r="P65" s="13" t="str">
        <f aca="false">IF($C65="","",$L65+$O65)</f>
        <v/>
      </c>
      <c r="Q65" s="12"/>
      <c r="R65" s="13" t="str">
        <f aca="false">IF($C65="","",MAX(0,$P65-N($Q65)))</f>
        <v/>
      </c>
      <c r="S65" s="23" t="str">
        <f aca="false">IF(OR($C65="",$P65=0),"",IF(N($Q65)&lt;=0,"Chưa thanh toán",IF(N($Q65)&lt;$P65,"Thanh toán một phần","Đã thanh toán")))</f>
        <v/>
      </c>
      <c r="T65" s="13" t="str">
        <f aca="false">IF(OR($C65="",$J65=""),"",N($I65)*$J65)</f>
        <v/>
      </c>
      <c r="U65" s="13" t="str">
        <f aca="false">IF(OR($C65="",$T65=""),"",$L65-$T65)</f>
        <v/>
      </c>
      <c r="V65" s="14" t="str">
        <f aca="false">IF(OR($U65="",$L65=0),"",$U65/$L65)</f>
        <v/>
      </c>
      <c r="W65" s="11"/>
      <c r="X65" s="23" t="str">
        <f aca="false">IF($C65="","",IF(AND($H65="",N($I65)=0,N($K65)=0),"Dòng chỉ lưu thông tin khách (chưa có đơn); ",IF($B65="","Thiếu ngày đặt; ","")&amp;IF($H65="","Thiếu tên sản phẩm; ",IF($J65="","Chưa khai GIÁ GỐC ở BẢNG GIÁ GỐC; ",""))&amp;IF(N($I65)&lt;=0,"Thiếu số lượng; ","")&amp;IF(N($K65)&lt;=0,"Thiếu giá bán; ","")&amp;IF(AND($N65&gt;0,$F65=""),"Khách lấy VAT thiếu mã số thuế; ","")&amp;IF(N($Q65)&gt;$P65,"Đã thu vượt tổng phải thu; ","")&amp;IF(AND($L65&gt;0,$U65&lt;&gt;"",$U65&lt;0),"CẢNH BÁO: ĐƠN NÀY ĐANG LỖ; ","")))</f>
        <v/>
      </c>
    </row>
    <row r="66" customFormat="false" ht="15" hidden="false" customHeight="false" outlineLevel="0" collapsed="false">
      <c r="A66" s="21" t="str">
        <f aca="false">IF($C66="","",COUNTA($C$10:$C66))</f>
        <v/>
      </c>
      <c r="B66" s="18"/>
      <c r="C66" s="11"/>
      <c r="D66" s="11"/>
      <c r="E66" s="11"/>
      <c r="F66" s="11"/>
      <c r="G66" s="11"/>
      <c r="H66" s="11"/>
      <c r="I66" s="12"/>
      <c r="J66" s="13" t="str">
        <f aca="false">IF($H66="","",IFERROR(VLOOKUP($H66,'BẢNG GIÁ GỐC'!$A$5:$D$254,3,FALSE()),""))</f>
        <v/>
      </c>
      <c r="K66" s="12"/>
      <c r="L66" s="13" t="str">
        <f aca="false">IF($C66="","",N($I66)*N($K66))</f>
        <v/>
      </c>
      <c r="M66" s="11"/>
      <c r="N66" s="14" t="str">
        <f aca="false">IF($C66="","",IF($M66="VAT 5%",0.05,IF($M66="VAT 8%",0.08,IF($M66="VAT 10%",0.1,0))))</f>
        <v/>
      </c>
      <c r="O66" s="13" t="str">
        <f aca="false">IF($C66="","",$L66*$N66)</f>
        <v/>
      </c>
      <c r="P66" s="13" t="str">
        <f aca="false">IF($C66="","",$L66+$O66)</f>
        <v/>
      </c>
      <c r="Q66" s="12"/>
      <c r="R66" s="13" t="str">
        <f aca="false">IF($C66="","",MAX(0,$P66-N($Q66)))</f>
        <v/>
      </c>
      <c r="S66" s="23" t="str">
        <f aca="false">IF(OR($C66="",$P66=0),"",IF(N($Q66)&lt;=0,"Chưa thanh toán",IF(N($Q66)&lt;$P66,"Thanh toán một phần","Đã thanh toán")))</f>
        <v/>
      </c>
      <c r="T66" s="13" t="str">
        <f aca="false">IF(OR($C66="",$J66=""),"",N($I66)*$J66)</f>
        <v/>
      </c>
      <c r="U66" s="13" t="str">
        <f aca="false">IF(OR($C66="",$T66=""),"",$L66-$T66)</f>
        <v/>
      </c>
      <c r="V66" s="14" t="str">
        <f aca="false">IF(OR($U66="",$L66=0),"",$U66/$L66)</f>
        <v/>
      </c>
      <c r="W66" s="11"/>
      <c r="X66" s="23" t="str">
        <f aca="false">IF($C66="","",IF(AND($H66="",N($I66)=0,N($K66)=0),"Dòng chỉ lưu thông tin khách (chưa có đơn); ",IF($B66="","Thiếu ngày đặt; ","")&amp;IF($H66="","Thiếu tên sản phẩm; ",IF($J66="","Chưa khai GIÁ GỐC ở BẢNG GIÁ GỐC; ",""))&amp;IF(N($I66)&lt;=0,"Thiếu số lượng; ","")&amp;IF(N($K66)&lt;=0,"Thiếu giá bán; ","")&amp;IF(AND($N66&gt;0,$F66=""),"Khách lấy VAT thiếu mã số thuế; ","")&amp;IF(N($Q66)&gt;$P66,"Đã thu vượt tổng phải thu; ","")&amp;IF(AND($L66&gt;0,$U66&lt;&gt;"",$U66&lt;0),"CẢNH BÁO: ĐƠN NÀY ĐANG LỖ; ","")))</f>
        <v/>
      </c>
    </row>
    <row r="67" customFormat="false" ht="15" hidden="false" customHeight="false" outlineLevel="0" collapsed="false">
      <c r="A67" s="21" t="str">
        <f aca="false">IF($C67="","",COUNTA($C$10:$C67))</f>
        <v/>
      </c>
      <c r="B67" s="18"/>
      <c r="C67" s="11"/>
      <c r="D67" s="11"/>
      <c r="E67" s="11"/>
      <c r="F67" s="11"/>
      <c r="G67" s="11"/>
      <c r="H67" s="11"/>
      <c r="I67" s="12"/>
      <c r="J67" s="13" t="str">
        <f aca="false">IF($H67="","",IFERROR(VLOOKUP($H67,'BẢNG GIÁ GỐC'!$A$5:$D$254,3,FALSE()),""))</f>
        <v/>
      </c>
      <c r="K67" s="12"/>
      <c r="L67" s="13" t="str">
        <f aca="false">IF($C67="","",N($I67)*N($K67))</f>
        <v/>
      </c>
      <c r="M67" s="11"/>
      <c r="N67" s="14" t="str">
        <f aca="false">IF($C67="","",IF($M67="VAT 5%",0.05,IF($M67="VAT 8%",0.08,IF($M67="VAT 10%",0.1,0))))</f>
        <v/>
      </c>
      <c r="O67" s="13" t="str">
        <f aca="false">IF($C67="","",$L67*$N67)</f>
        <v/>
      </c>
      <c r="P67" s="13" t="str">
        <f aca="false">IF($C67="","",$L67+$O67)</f>
        <v/>
      </c>
      <c r="Q67" s="12"/>
      <c r="R67" s="13" t="str">
        <f aca="false">IF($C67="","",MAX(0,$P67-N($Q67)))</f>
        <v/>
      </c>
      <c r="S67" s="23" t="str">
        <f aca="false">IF(OR($C67="",$P67=0),"",IF(N($Q67)&lt;=0,"Chưa thanh toán",IF(N($Q67)&lt;$P67,"Thanh toán một phần","Đã thanh toán")))</f>
        <v/>
      </c>
      <c r="T67" s="13" t="str">
        <f aca="false">IF(OR($C67="",$J67=""),"",N($I67)*$J67)</f>
        <v/>
      </c>
      <c r="U67" s="13" t="str">
        <f aca="false">IF(OR($C67="",$T67=""),"",$L67-$T67)</f>
        <v/>
      </c>
      <c r="V67" s="14" t="str">
        <f aca="false">IF(OR($U67="",$L67=0),"",$U67/$L67)</f>
        <v/>
      </c>
      <c r="W67" s="11"/>
      <c r="X67" s="23" t="str">
        <f aca="false">IF($C67="","",IF(AND($H67="",N($I67)=0,N($K67)=0),"Dòng chỉ lưu thông tin khách (chưa có đơn); ",IF($B67="","Thiếu ngày đặt; ","")&amp;IF($H67="","Thiếu tên sản phẩm; ",IF($J67="","Chưa khai GIÁ GỐC ở BẢNG GIÁ GỐC; ",""))&amp;IF(N($I67)&lt;=0,"Thiếu số lượng; ","")&amp;IF(N($K67)&lt;=0,"Thiếu giá bán; ","")&amp;IF(AND($N67&gt;0,$F67=""),"Khách lấy VAT thiếu mã số thuế; ","")&amp;IF(N($Q67)&gt;$P67,"Đã thu vượt tổng phải thu; ","")&amp;IF(AND($L67&gt;0,$U67&lt;&gt;"",$U67&lt;0),"CẢNH BÁO: ĐƠN NÀY ĐANG LỖ; ","")))</f>
        <v/>
      </c>
    </row>
    <row r="68" customFormat="false" ht="15" hidden="false" customHeight="false" outlineLevel="0" collapsed="false">
      <c r="A68" s="21" t="str">
        <f aca="false">IF($C68="","",COUNTA($C$10:$C68))</f>
        <v/>
      </c>
      <c r="B68" s="18"/>
      <c r="C68" s="11"/>
      <c r="D68" s="11"/>
      <c r="E68" s="11"/>
      <c r="F68" s="11"/>
      <c r="G68" s="11"/>
      <c r="H68" s="11"/>
      <c r="I68" s="12"/>
      <c r="J68" s="13" t="str">
        <f aca="false">IF($H68="","",IFERROR(VLOOKUP($H68,'BẢNG GIÁ GỐC'!$A$5:$D$254,3,FALSE()),""))</f>
        <v/>
      </c>
      <c r="K68" s="12"/>
      <c r="L68" s="13" t="str">
        <f aca="false">IF($C68="","",N($I68)*N($K68))</f>
        <v/>
      </c>
      <c r="M68" s="11"/>
      <c r="N68" s="14" t="str">
        <f aca="false">IF($C68="","",IF($M68="VAT 5%",0.05,IF($M68="VAT 8%",0.08,IF($M68="VAT 10%",0.1,0))))</f>
        <v/>
      </c>
      <c r="O68" s="13" t="str">
        <f aca="false">IF($C68="","",$L68*$N68)</f>
        <v/>
      </c>
      <c r="P68" s="13" t="str">
        <f aca="false">IF($C68="","",$L68+$O68)</f>
        <v/>
      </c>
      <c r="Q68" s="12"/>
      <c r="R68" s="13" t="str">
        <f aca="false">IF($C68="","",MAX(0,$P68-N($Q68)))</f>
        <v/>
      </c>
      <c r="S68" s="23" t="str">
        <f aca="false">IF(OR($C68="",$P68=0),"",IF(N($Q68)&lt;=0,"Chưa thanh toán",IF(N($Q68)&lt;$P68,"Thanh toán một phần","Đã thanh toán")))</f>
        <v/>
      </c>
      <c r="T68" s="13" t="str">
        <f aca="false">IF(OR($C68="",$J68=""),"",N($I68)*$J68)</f>
        <v/>
      </c>
      <c r="U68" s="13" t="str">
        <f aca="false">IF(OR($C68="",$T68=""),"",$L68-$T68)</f>
        <v/>
      </c>
      <c r="V68" s="14" t="str">
        <f aca="false">IF(OR($U68="",$L68=0),"",$U68/$L68)</f>
        <v/>
      </c>
      <c r="W68" s="11"/>
      <c r="X68" s="23" t="str">
        <f aca="false">IF($C68="","",IF(AND($H68="",N($I68)=0,N($K68)=0),"Dòng chỉ lưu thông tin khách (chưa có đơn); ",IF($B68="","Thiếu ngày đặt; ","")&amp;IF($H68="","Thiếu tên sản phẩm; ",IF($J68="","Chưa khai GIÁ GỐC ở BẢNG GIÁ GỐC; ",""))&amp;IF(N($I68)&lt;=0,"Thiếu số lượng; ","")&amp;IF(N($K68)&lt;=0,"Thiếu giá bán; ","")&amp;IF(AND($N68&gt;0,$F68=""),"Khách lấy VAT thiếu mã số thuế; ","")&amp;IF(N($Q68)&gt;$P68,"Đã thu vượt tổng phải thu; ","")&amp;IF(AND($L68&gt;0,$U68&lt;&gt;"",$U68&lt;0),"CẢNH BÁO: ĐƠN NÀY ĐANG LỖ; ","")))</f>
        <v/>
      </c>
    </row>
    <row r="69" customFormat="false" ht="15" hidden="false" customHeight="false" outlineLevel="0" collapsed="false">
      <c r="A69" s="21" t="str">
        <f aca="false">IF($C69="","",COUNTA($C$10:$C69))</f>
        <v/>
      </c>
      <c r="B69" s="18"/>
      <c r="C69" s="11"/>
      <c r="D69" s="11"/>
      <c r="E69" s="11"/>
      <c r="F69" s="11"/>
      <c r="G69" s="11"/>
      <c r="H69" s="11"/>
      <c r="I69" s="12"/>
      <c r="J69" s="13" t="str">
        <f aca="false">IF($H69="","",IFERROR(VLOOKUP($H69,'BẢNG GIÁ GỐC'!$A$5:$D$254,3,FALSE()),""))</f>
        <v/>
      </c>
      <c r="K69" s="12"/>
      <c r="L69" s="13" t="str">
        <f aca="false">IF($C69="","",N($I69)*N($K69))</f>
        <v/>
      </c>
      <c r="M69" s="11"/>
      <c r="N69" s="14" t="str">
        <f aca="false">IF($C69="","",IF($M69="VAT 5%",0.05,IF($M69="VAT 8%",0.08,IF($M69="VAT 10%",0.1,0))))</f>
        <v/>
      </c>
      <c r="O69" s="13" t="str">
        <f aca="false">IF($C69="","",$L69*$N69)</f>
        <v/>
      </c>
      <c r="P69" s="13" t="str">
        <f aca="false">IF($C69="","",$L69+$O69)</f>
        <v/>
      </c>
      <c r="Q69" s="12"/>
      <c r="R69" s="13" t="str">
        <f aca="false">IF($C69="","",MAX(0,$P69-N($Q69)))</f>
        <v/>
      </c>
      <c r="S69" s="23" t="str">
        <f aca="false">IF(OR($C69="",$P69=0),"",IF(N($Q69)&lt;=0,"Chưa thanh toán",IF(N($Q69)&lt;$P69,"Thanh toán một phần","Đã thanh toán")))</f>
        <v/>
      </c>
      <c r="T69" s="13" t="str">
        <f aca="false">IF(OR($C69="",$J69=""),"",N($I69)*$J69)</f>
        <v/>
      </c>
      <c r="U69" s="13" t="str">
        <f aca="false">IF(OR($C69="",$T69=""),"",$L69-$T69)</f>
        <v/>
      </c>
      <c r="V69" s="14" t="str">
        <f aca="false">IF(OR($U69="",$L69=0),"",$U69/$L69)</f>
        <v/>
      </c>
      <c r="W69" s="11"/>
      <c r="X69" s="23" t="str">
        <f aca="false">IF($C69="","",IF(AND($H69="",N($I69)=0,N($K69)=0),"Dòng chỉ lưu thông tin khách (chưa có đơn); ",IF($B69="","Thiếu ngày đặt; ","")&amp;IF($H69="","Thiếu tên sản phẩm; ",IF($J69="","Chưa khai GIÁ GỐC ở BẢNG GIÁ GỐC; ",""))&amp;IF(N($I69)&lt;=0,"Thiếu số lượng; ","")&amp;IF(N($K69)&lt;=0,"Thiếu giá bán; ","")&amp;IF(AND($N69&gt;0,$F69=""),"Khách lấy VAT thiếu mã số thuế; ","")&amp;IF(N($Q69)&gt;$P69,"Đã thu vượt tổng phải thu; ","")&amp;IF(AND($L69&gt;0,$U69&lt;&gt;"",$U69&lt;0),"CẢNH BÁO: ĐƠN NÀY ĐANG LỖ; ","")))</f>
        <v/>
      </c>
    </row>
    <row r="70" customFormat="false" ht="15" hidden="false" customHeight="false" outlineLevel="0" collapsed="false">
      <c r="A70" s="21" t="str">
        <f aca="false">IF($C70="","",COUNTA($C$10:$C70))</f>
        <v/>
      </c>
      <c r="B70" s="18"/>
      <c r="C70" s="11"/>
      <c r="D70" s="11"/>
      <c r="E70" s="11"/>
      <c r="F70" s="11"/>
      <c r="G70" s="11"/>
      <c r="H70" s="11"/>
      <c r="I70" s="12"/>
      <c r="J70" s="13" t="str">
        <f aca="false">IF($H70="","",IFERROR(VLOOKUP($H70,'BẢNG GIÁ GỐC'!$A$5:$D$254,3,FALSE()),""))</f>
        <v/>
      </c>
      <c r="K70" s="12"/>
      <c r="L70" s="13" t="str">
        <f aca="false">IF($C70="","",N($I70)*N($K70))</f>
        <v/>
      </c>
      <c r="M70" s="11"/>
      <c r="N70" s="14" t="str">
        <f aca="false">IF($C70="","",IF($M70="VAT 5%",0.05,IF($M70="VAT 8%",0.08,IF($M70="VAT 10%",0.1,0))))</f>
        <v/>
      </c>
      <c r="O70" s="13" t="str">
        <f aca="false">IF($C70="","",$L70*$N70)</f>
        <v/>
      </c>
      <c r="P70" s="13" t="str">
        <f aca="false">IF($C70="","",$L70+$O70)</f>
        <v/>
      </c>
      <c r="Q70" s="12"/>
      <c r="R70" s="13" t="str">
        <f aca="false">IF($C70="","",MAX(0,$P70-N($Q70)))</f>
        <v/>
      </c>
      <c r="S70" s="23" t="str">
        <f aca="false">IF(OR($C70="",$P70=0),"",IF(N($Q70)&lt;=0,"Chưa thanh toán",IF(N($Q70)&lt;$P70,"Thanh toán một phần","Đã thanh toán")))</f>
        <v/>
      </c>
      <c r="T70" s="13" t="str">
        <f aca="false">IF(OR($C70="",$J70=""),"",N($I70)*$J70)</f>
        <v/>
      </c>
      <c r="U70" s="13" t="str">
        <f aca="false">IF(OR($C70="",$T70=""),"",$L70-$T70)</f>
        <v/>
      </c>
      <c r="V70" s="14" t="str">
        <f aca="false">IF(OR($U70="",$L70=0),"",$U70/$L70)</f>
        <v/>
      </c>
      <c r="W70" s="11"/>
      <c r="X70" s="23" t="str">
        <f aca="false">IF($C70="","",IF(AND($H70="",N($I70)=0,N($K70)=0),"Dòng chỉ lưu thông tin khách (chưa có đơn); ",IF($B70="","Thiếu ngày đặt; ","")&amp;IF($H70="","Thiếu tên sản phẩm; ",IF($J70="","Chưa khai GIÁ GỐC ở BẢNG GIÁ GỐC; ",""))&amp;IF(N($I70)&lt;=0,"Thiếu số lượng; ","")&amp;IF(N($K70)&lt;=0,"Thiếu giá bán; ","")&amp;IF(AND($N70&gt;0,$F70=""),"Khách lấy VAT thiếu mã số thuế; ","")&amp;IF(N($Q70)&gt;$P70,"Đã thu vượt tổng phải thu; ","")&amp;IF(AND($L70&gt;0,$U70&lt;&gt;"",$U70&lt;0),"CẢNH BÁO: ĐƠN NÀY ĐANG LỖ; ","")))</f>
        <v/>
      </c>
    </row>
    <row r="71" customFormat="false" ht="15" hidden="false" customHeight="false" outlineLevel="0" collapsed="false">
      <c r="A71" s="21" t="str">
        <f aca="false">IF($C71="","",COUNTA($C$10:$C71))</f>
        <v/>
      </c>
      <c r="B71" s="18"/>
      <c r="C71" s="11"/>
      <c r="D71" s="11"/>
      <c r="E71" s="11"/>
      <c r="F71" s="11"/>
      <c r="G71" s="11"/>
      <c r="H71" s="11"/>
      <c r="I71" s="12"/>
      <c r="J71" s="13" t="str">
        <f aca="false">IF($H71="","",IFERROR(VLOOKUP($H71,'BẢNG GIÁ GỐC'!$A$5:$D$254,3,FALSE()),""))</f>
        <v/>
      </c>
      <c r="K71" s="12"/>
      <c r="L71" s="13" t="str">
        <f aca="false">IF($C71="","",N($I71)*N($K71))</f>
        <v/>
      </c>
      <c r="M71" s="11"/>
      <c r="N71" s="14" t="str">
        <f aca="false">IF($C71="","",IF($M71="VAT 5%",0.05,IF($M71="VAT 8%",0.08,IF($M71="VAT 10%",0.1,0))))</f>
        <v/>
      </c>
      <c r="O71" s="13" t="str">
        <f aca="false">IF($C71="","",$L71*$N71)</f>
        <v/>
      </c>
      <c r="P71" s="13" t="str">
        <f aca="false">IF($C71="","",$L71+$O71)</f>
        <v/>
      </c>
      <c r="Q71" s="12"/>
      <c r="R71" s="13" t="str">
        <f aca="false">IF($C71="","",MAX(0,$P71-N($Q71)))</f>
        <v/>
      </c>
      <c r="S71" s="23" t="str">
        <f aca="false">IF(OR($C71="",$P71=0),"",IF(N($Q71)&lt;=0,"Chưa thanh toán",IF(N($Q71)&lt;$P71,"Thanh toán một phần","Đã thanh toán")))</f>
        <v/>
      </c>
      <c r="T71" s="13" t="str">
        <f aca="false">IF(OR($C71="",$J71=""),"",N($I71)*$J71)</f>
        <v/>
      </c>
      <c r="U71" s="13" t="str">
        <f aca="false">IF(OR($C71="",$T71=""),"",$L71-$T71)</f>
        <v/>
      </c>
      <c r="V71" s="14" t="str">
        <f aca="false">IF(OR($U71="",$L71=0),"",$U71/$L71)</f>
        <v/>
      </c>
      <c r="W71" s="11"/>
      <c r="X71" s="23" t="str">
        <f aca="false">IF($C71="","",IF(AND($H71="",N($I71)=0,N($K71)=0),"Dòng chỉ lưu thông tin khách (chưa có đơn); ",IF($B71="","Thiếu ngày đặt; ","")&amp;IF($H71="","Thiếu tên sản phẩm; ",IF($J71="","Chưa khai GIÁ GỐC ở BẢNG GIÁ GỐC; ",""))&amp;IF(N($I71)&lt;=0,"Thiếu số lượng; ","")&amp;IF(N($K71)&lt;=0,"Thiếu giá bán; ","")&amp;IF(AND($N71&gt;0,$F71=""),"Khách lấy VAT thiếu mã số thuế; ","")&amp;IF(N($Q71)&gt;$P71,"Đã thu vượt tổng phải thu; ","")&amp;IF(AND($L71&gt;0,$U71&lt;&gt;"",$U71&lt;0),"CẢNH BÁO: ĐƠN NÀY ĐANG LỖ; ","")))</f>
        <v/>
      </c>
    </row>
    <row r="72" customFormat="false" ht="15" hidden="false" customHeight="false" outlineLevel="0" collapsed="false">
      <c r="A72" s="21" t="str">
        <f aca="false">IF($C72="","",COUNTA($C$10:$C72))</f>
        <v/>
      </c>
      <c r="B72" s="18"/>
      <c r="C72" s="11"/>
      <c r="D72" s="11"/>
      <c r="E72" s="11"/>
      <c r="F72" s="11"/>
      <c r="G72" s="11"/>
      <c r="H72" s="11"/>
      <c r="I72" s="12"/>
      <c r="J72" s="13" t="str">
        <f aca="false">IF($H72="","",IFERROR(VLOOKUP($H72,'BẢNG GIÁ GỐC'!$A$5:$D$254,3,FALSE()),""))</f>
        <v/>
      </c>
      <c r="K72" s="12"/>
      <c r="L72" s="13" t="str">
        <f aca="false">IF($C72="","",N($I72)*N($K72))</f>
        <v/>
      </c>
      <c r="M72" s="11"/>
      <c r="N72" s="14" t="str">
        <f aca="false">IF($C72="","",IF($M72="VAT 5%",0.05,IF($M72="VAT 8%",0.08,IF($M72="VAT 10%",0.1,0))))</f>
        <v/>
      </c>
      <c r="O72" s="13" t="str">
        <f aca="false">IF($C72="","",$L72*$N72)</f>
        <v/>
      </c>
      <c r="P72" s="13" t="str">
        <f aca="false">IF($C72="","",$L72+$O72)</f>
        <v/>
      </c>
      <c r="Q72" s="12"/>
      <c r="R72" s="13" t="str">
        <f aca="false">IF($C72="","",MAX(0,$P72-N($Q72)))</f>
        <v/>
      </c>
      <c r="S72" s="23" t="str">
        <f aca="false">IF(OR($C72="",$P72=0),"",IF(N($Q72)&lt;=0,"Chưa thanh toán",IF(N($Q72)&lt;$P72,"Thanh toán một phần","Đã thanh toán")))</f>
        <v/>
      </c>
      <c r="T72" s="13" t="str">
        <f aca="false">IF(OR($C72="",$J72=""),"",N($I72)*$J72)</f>
        <v/>
      </c>
      <c r="U72" s="13" t="str">
        <f aca="false">IF(OR($C72="",$T72=""),"",$L72-$T72)</f>
        <v/>
      </c>
      <c r="V72" s="14" t="str">
        <f aca="false">IF(OR($U72="",$L72=0),"",$U72/$L72)</f>
        <v/>
      </c>
      <c r="W72" s="11"/>
      <c r="X72" s="23" t="str">
        <f aca="false">IF($C72="","",IF(AND($H72="",N($I72)=0,N($K72)=0),"Dòng chỉ lưu thông tin khách (chưa có đơn); ",IF($B72="","Thiếu ngày đặt; ","")&amp;IF($H72="","Thiếu tên sản phẩm; ",IF($J72="","Chưa khai GIÁ GỐC ở BẢNG GIÁ GỐC; ",""))&amp;IF(N($I72)&lt;=0,"Thiếu số lượng; ","")&amp;IF(N($K72)&lt;=0,"Thiếu giá bán; ","")&amp;IF(AND($N72&gt;0,$F72=""),"Khách lấy VAT thiếu mã số thuế; ","")&amp;IF(N($Q72)&gt;$P72,"Đã thu vượt tổng phải thu; ","")&amp;IF(AND($L72&gt;0,$U72&lt;&gt;"",$U72&lt;0),"CẢNH BÁO: ĐƠN NÀY ĐANG LỖ; ","")))</f>
        <v/>
      </c>
    </row>
    <row r="73" customFormat="false" ht="15" hidden="false" customHeight="false" outlineLevel="0" collapsed="false">
      <c r="A73" s="21" t="str">
        <f aca="false">IF($C73="","",COUNTA($C$10:$C73))</f>
        <v/>
      </c>
      <c r="B73" s="18"/>
      <c r="C73" s="11"/>
      <c r="D73" s="11"/>
      <c r="E73" s="11"/>
      <c r="F73" s="11"/>
      <c r="G73" s="11"/>
      <c r="H73" s="11"/>
      <c r="I73" s="12"/>
      <c r="J73" s="13" t="str">
        <f aca="false">IF($H73="","",IFERROR(VLOOKUP($H73,'BẢNG GIÁ GỐC'!$A$5:$D$254,3,FALSE()),""))</f>
        <v/>
      </c>
      <c r="K73" s="12"/>
      <c r="L73" s="13" t="str">
        <f aca="false">IF($C73="","",N($I73)*N($K73))</f>
        <v/>
      </c>
      <c r="M73" s="11"/>
      <c r="N73" s="14" t="str">
        <f aca="false">IF($C73="","",IF($M73="VAT 5%",0.05,IF($M73="VAT 8%",0.08,IF($M73="VAT 10%",0.1,0))))</f>
        <v/>
      </c>
      <c r="O73" s="13" t="str">
        <f aca="false">IF($C73="","",$L73*$N73)</f>
        <v/>
      </c>
      <c r="P73" s="13" t="str">
        <f aca="false">IF($C73="","",$L73+$O73)</f>
        <v/>
      </c>
      <c r="Q73" s="12"/>
      <c r="R73" s="13" t="str">
        <f aca="false">IF($C73="","",MAX(0,$P73-N($Q73)))</f>
        <v/>
      </c>
      <c r="S73" s="23" t="str">
        <f aca="false">IF(OR($C73="",$P73=0),"",IF(N($Q73)&lt;=0,"Chưa thanh toán",IF(N($Q73)&lt;$P73,"Thanh toán một phần","Đã thanh toán")))</f>
        <v/>
      </c>
      <c r="T73" s="13" t="str">
        <f aca="false">IF(OR($C73="",$J73=""),"",N($I73)*$J73)</f>
        <v/>
      </c>
      <c r="U73" s="13" t="str">
        <f aca="false">IF(OR($C73="",$T73=""),"",$L73-$T73)</f>
        <v/>
      </c>
      <c r="V73" s="14" t="str">
        <f aca="false">IF(OR($U73="",$L73=0),"",$U73/$L73)</f>
        <v/>
      </c>
      <c r="W73" s="11"/>
      <c r="X73" s="23" t="str">
        <f aca="false">IF($C73="","",IF(AND($H73="",N($I73)=0,N($K73)=0),"Dòng chỉ lưu thông tin khách (chưa có đơn); ",IF($B73="","Thiếu ngày đặt; ","")&amp;IF($H73="","Thiếu tên sản phẩm; ",IF($J73="","Chưa khai GIÁ GỐC ở BẢNG GIÁ GỐC; ",""))&amp;IF(N($I73)&lt;=0,"Thiếu số lượng; ","")&amp;IF(N($K73)&lt;=0,"Thiếu giá bán; ","")&amp;IF(AND($N73&gt;0,$F73=""),"Khách lấy VAT thiếu mã số thuế; ","")&amp;IF(N($Q73)&gt;$P73,"Đã thu vượt tổng phải thu; ","")&amp;IF(AND($L73&gt;0,$U73&lt;&gt;"",$U73&lt;0),"CẢNH BÁO: ĐƠN NÀY ĐANG LỖ; ","")))</f>
        <v/>
      </c>
    </row>
    <row r="74" customFormat="false" ht="15" hidden="false" customHeight="false" outlineLevel="0" collapsed="false">
      <c r="A74" s="21" t="str">
        <f aca="false">IF($C74="","",COUNTA($C$10:$C74))</f>
        <v/>
      </c>
      <c r="B74" s="18"/>
      <c r="C74" s="11"/>
      <c r="D74" s="11"/>
      <c r="E74" s="11"/>
      <c r="F74" s="11"/>
      <c r="G74" s="11"/>
      <c r="H74" s="11"/>
      <c r="I74" s="12"/>
      <c r="J74" s="13" t="str">
        <f aca="false">IF($H74="","",IFERROR(VLOOKUP($H74,'BẢNG GIÁ GỐC'!$A$5:$D$254,3,FALSE()),""))</f>
        <v/>
      </c>
      <c r="K74" s="12"/>
      <c r="L74" s="13" t="str">
        <f aca="false">IF($C74="","",N($I74)*N($K74))</f>
        <v/>
      </c>
      <c r="M74" s="11"/>
      <c r="N74" s="14" t="str">
        <f aca="false">IF($C74="","",IF($M74="VAT 5%",0.05,IF($M74="VAT 8%",0.08,IF($M74="VAT 10%",0.1,0))))</f>
        <v/>
      </c>
      <c r="O74" s="13" t="str">
        <f aca="false">IF($C74="","",$L74*$N74)</f>
        <v/>
      </c>
      <c r="P74" s="13" t="str">
        <f aca="false">IF($C74="","",$L74+$O74)</f>
        <v/>
      </c>
      <c r="Q74" s="12"/>
      <c r="R74" s="13" t="str">
        <f aca="false">IF($C74="","",MAX(0,$P74-N($Q74)))</f>
        <v/>
      </c>
      <c r="S74" s="23" t="str">
        <f aca="false">IF(OR($C74="",$P74=0),"",IF(N($Q74)&lt;=0,"Chưa thanh toán",IF(N($Q74)&lt;$P74,"Thanh toán một phần","Đã thanh toán")))</f>
        <v/>
      </c>
      <c r="T74" s="13" t="str">
        <f aca="false">IF(OR($C74="",$J74=""),"",N($I74)*$J74)</f>
        <v/>
      </c>
      <c r="U74" s="13" t="str">
        <f aca="false">IF(OR($C74="",$T74=""),"",$L74-$T74)</f>
        <v/>
      </c>
      <c r="V74" s="14" t="str">
        <f aca="false">IF(OR($U74="",$L74=0),"",$U74/$L74)</f>
        <v/>
      </c>
      <c r="W74" s="11"/>
      <c r="X74" s="23" t="str">
        <f aca="false">IF($C74="","",IF(AND($H74="",N($I74)=0,N($K74)=0),"Dòng chỉ lưu thông tin khách (chưa có đơn); ",IF($B74="","Thiếu ngày đặt; ","")&amp;IF($H74="","Thiếu tên sản phẩm; ",IF($J74="","Chưa khai GIÁ GỐC ở BẢNG GIÁ GỐC; ",""))&amp;IF(N($I74)&lt;=0,"Thiếu số lượng; ","")&amp;IF(N($K74)&lt;=0,"Thiếu giá bán; ","")&amp;IF(AND($N74&gt;0,$F74=""),"Khách lấy VAT thiếu mã số thuế; ","")&amp;IF(N($Q74)&gt;$P74,"Đã thu vượt tổng phải thu; ","")&amp;IF(AND($L74&gt;0,$U74&lt;&gt;"",$U74&lt;0),"CẢNH BÁO: ĐƠN NÀY ĐANG LỖ; ","")))</f>
        <v/>
      </c>
    </row>
    <row r="75" customFormat="false" ht="15" hidden="false" customHeight="false" outlineLevel="0" collapsed="false">
      <c r="A75" s="21" t="str">
        <f aca="false">IF($C75="","",COUNTA($C$10:$C75))</f>
        <v/>
      </c>
      <c r="B75" s="18"/>
      <c r="C75" s="11"/>
      <c r="D75" s="11"/>
      <c r="E75" s="11"/>
      <c r="F75" s="11"/>
      <c r="G75" s="11"/>
      <c r="H75" s="11"/>
      <c r="I75" s="12"/>
      <c r="J75" s="13" t="str">
        <f aca="false">IF($H75="","",IFERROR(VLOOKUP($H75,'BẢNG GIÁ GỐC'!$A$5:$D$254,3,FALSE()),""))</f>
        <v/>
      </c>
      <c r="K75" s="12"/>
      <c r="L75" s="13" t="str">
        <f aca="false">IF($C75="","",N($I75)*N($K75))</f>
        <v/>
      </c>
      <c r="M75" s="11"/>
      <c r="N75" s="14" t="str">
        <f aca="false">IF($C75="","",IF($M75="VAT 5%",0.05,IF($M75="VAT 8%",0.08,IF($M75="VAT 10%",0.1,0))))</f>
        <v/>
      </c>
      <c r="O75" s="13" t="str">
        <f aca="false">IF($C75="","",$L75*$N75)</f>
        <v/>
      </c>
      <c r="P75" s="13" t="str">
        <f aca="false">IF($C75="","",$L75+$O75)</f>
        <v/>
      </c>
      <c r="Q75" s="12"/>
      <c r="R75" s="13" t="str">
        <f aca="false">IF($C75="","",MAX(0,$P75-N($Q75)))</f>
        <v/>
      </c>
      <c r="S75" s="23" t="str">
        <f aca="false">IF(OR($C75="",$P75=0),"",IF(N($Q75)&lt;=0,"Chưa thanh toán",IF(N($Q75)&lt;$P75,"Thanh toán một phần","Đã thanh toán")))</f>
        <v/>
      </c>
      <c r="T75" s="13" t="str">
        <f aca="false">IF(OR($C75="",$J75=""),"",N($I75)*$J75)</f>
        <v/>
      </c>
      <c r="U75" s="13" t="str">
        <f aca="false">IF(OR($C75="",$T75=""),"",$L75-$T75)</f>
        <v/>
      </c>
      <c r="V75" s="14" t="str">
        <f aca="false">IF(OR($U75="",$L75=0),"",$U75/$L75)</f>
        <v/>
      </c>
      <c r="W75" s="11"/>
      <c r="X75" s="23" t="str">
        <f aca="false">IF($C75="","",IF(AND($H75="",N($I75)=0,N($K75)=0),"Dòng chỉ lưu thông tin khách (chưa có đơn); ",IF($B75="","Thiếu ngày đặt; ","")&amp;IF($H75="","Thiếu tên sản phẩm; ",IF($J75="","Chưa khai GIÁ GỐC ở BẢNG GIÁ GỐC; ",""))&amp;IF(N($I75)&lt;=0,"Thiếu số lượng; ","")&amp;IF(N($K75)&lt;=0,"Thiếu giá bán; ","")&amp;IF(AND($N75&gt;0,$F75=""),"Khách lấy VAT thiếu mã số thuế; ","")&amp;IF(N($Q75)&gt;$P75,"Đã thu vượt tổng phải thu; ","")&amp;IF(AND($L75&gt;0,$U75&lt;&gt;"",$U75&lt;0),"CẢNH BÁO: ĐƠN NÀY ĐANG LỖ; ","")))</f>
        <v/>
      </c>
    </row>
    <row r="76" customFormat="false" ht="15" hidden="false" customHeight="false" outlineLevel="0" collapsed="false">
      <c r="A76" s="21" t="str">
        <f aca="false">IF($C76="","",COUNTA($C$10:$C76))</f>
        <v/>
      </c>
      <c r="B76" s="18"/>
      <c r="C76" s="11"/>
      <c r="D76" s="11"/>
      <c r="E76" s="11"/>
      <c r="F76" s="11"/>
      <c r="G76" s="11"/>
      <c r="H76" s="11"/>
      <c r="I76" s="12"/>
      <c r="J76" s="13" t="str">
        <f aca="false">IF($H76="","",IFERROR(VLOOKUP($H76,'BẢNG GIÁ GỐC'!$A$5:$D$254,3,FALSE()),""))</f>
        <v/>
      </c>
      <c r="K76" s="12"/>
      <c r="L76" s="13" t="str">
        <f aca="false">IF($C76="","",N($I76)*N($K76))</f>
        <v/>
      </c>
      <c r="M76" s="11"/>
      <c r="N76" s="14" t="str">
        <f aca="false">IF($C76="","",IF($M76="VAT 5%",0.05,IF($M76="VAT 8%",0.08,IF($M76="VAT 10%",0.1,0))))</f>
        <v/>
      </c>
      <c r="O76" s="13" t="str">
        <f aca="false">IF($C76="","",$L76*$N76)</f>
        <v/>
      </c>
      <c r="P76" s="13" t="str">
        <f aca="false">IF($C76="","",$L76+$O76)</f>
        <v/>
      </c>
      <c r="Q76" s="12"/>
      <c r="R76" s="13" t="str">
        <f aca="false">IF($C76="","",MAX(0,$P76-N($Q76)))</f>
        <v/>
      </c>
      <c r="S76" s="23" t="str">
        <f aca="false">IF(OR($C76="",$P76=0),"",IF(N($Q76)&lt;=0,"Chưa thanh toán",IF(N($Q76)&lt;$P76,"Thanh toán một phần","Đã thanh toán")))</f>
        <v/>
      </c>
      <c r="T76" s="13" t="str">
        <f aca="false">IF(OR($C76="",$J76=""),"",N($I76)*$J76)</f>
        <v/>
      </c>
      <c r="U76" s="13" t="str">
        <f aca="false">IF(OR($C76="",$T76=""),"",$L76-$T76)</f>
        <v/>
      </c>
      <c r="V76" s="14" t="str">
        <f aca="false">IF(OR($U76="",$L76=0),"",$U76/$L76)</f>
        <v/>
      </c>
      <c r="W76" s="11"/>
      <c r="X76" s="23" t="str">
        <f aca="false">IF($C76="","",IF(AND($H76="",N($I76)=0,N($K76)=0),"Dòng chỉ lưu thông tin khách (chưa có đơn); ",IF($B76="","Thiếu ngày đặt; ","")&amp;IF($H76="","Thiếu tên sản phẩm; ",IF($J76="","Chưa khai GIÁ GỐC ở BẢNG GIÁ GỐC; ",""))&amp;IF(N($I76)&lt;=0,"Thiếu số lượng; ","")&amp;IF(N($K76)&lt;=0,"Thiếu giá bán; ","")&amp;IF(AND($N76&gt;0,$F76=""),"Khách lấy VAT thiếu mã số thuế; ","")&amp;IF(N($Q76)&gt;$P76,"Đã thu vượt tổng phải thu; ","")&amp;IF(AND($L76&gt;0,$U76&lt;&gt;"",$U76&lt;0),"CẢNH BÁO: ĐƠN NÀY ĐANG LỖ; ","")))</f>
        <v/>
      </c>
    </row>
    <row r="77" customFormat="false" ht="15" hidden="false" customHeight="false" outlineLevel="0" collapsed="false">
      <c r="A77" s="21" t="str">
        <f aca="false">IF($C77="","",COUNTA($C$10:$C77))</f>
        <v/>
      </c>
      <c r="B77" s="18"/>
      <c r="C77" s="11"/>
      <c r="D77" s="11"/>
      <c r="E77" s="11"/>
      <c r="F77" s="11"/>
      <c r="G77" s="11"/>
      <c r="H77" s="11"/>
      <c r="I77" s="12"/>
      <c r="J77" s="13" t="str">
        <f aca="false">IF($H77="","",IFERROR(VLOOKUP($H77,'BẢNG GIÁ GỐC'!$A$5:$D$254,3,FALSE()),""))</f>
        <v/>
      </c>
      <c r="K77" s="12"/>
      <c r="L77" s="13" t="str">
        <f aca="false">IF($C77="","",N($I77)*N($K77))</f>
        <v/>
      </c>
      <c r="M77" s="11"/>
      <c r="N77" s="14" t="str">
        <f aca="false">IF($C77="","",IF($M77="VAT 5%",0.05,IF($M77="VAT 8%",0.08,IF($M77="VAT 10%",0.1,0))))</f>
        <v/>
      </c>
      <c r="O77" s="13" t="str">
        <f aca="false">IF($C77="","",$L77*$N77)</f>
        <v/>
      </c>
      <c r="P77" s="13" t="str">
        <f aca="false">IF($C77="","",$L77+$O77)</f>
        <v/>
      </c>
      <c r="Q77" s="12"/>
      <c r="R77" s="13" t="str">
        <f aca="false">IF($C77="","",MAX(0,$P77-N($Q77)))</f>
        <v/>
      </c>
      <c r="S77" s="23" t="str">
        <f aca="false">IF(OR($C77="",$P77=0),"",IF(N($Q77)&lt;=0,"Chưa thanh toán",IF(N($Q77)&lt;$P77,"Thanh toán một phần","Đã thanh toán")))</f>
        <v/>
      </c>
      <c r="T77" s="13" t="str">
        <f aca="false">IF(OR($C77="",$J77=""),"",N($I77)*$J77)</f>
        <v/>
      </c>
      <c r="U77" s="13" t="str">
        <f aca="false">IF(OR($C77="",$T77=""),"",$L77-$T77)</f>
        <v/>
      </c>
      <c r="V77" s="14" t="str">
        <f aca="false">IF(OR($U77="",$L77=0),"",$U77/$L77)</f>
        <v/>
      </c>
      <c r="W77" s="11"/>
      <c r="X77" s="23" t="str">
        <f aca="false">IF($C77="","",IF(AND($H77="",N($I77)=0,N($K77)=0),"Dòng chỉ lưu thông tin khách (chưa có đơn); ",IF($B77="","Thiếu ngày đặt; ","")&amp;IF($H77="","Thiếu tên sản phẩm; ",IF($J77="","Chưa khai GIÁ GỐC ở BẢNG GIÁ GỐC; ",""))&amp;IF(N($I77)&lt;=0,"Thiếu số lượng; ","")&amp;IF(N($K77)&lt;=0,"Thiếu giá bán; ","")&amp;IF(AND($N77&gt;0,$F77=""),"Khách lấy VAT thiếu mã số thuế; ","")&amp;IF(N($Q77)&gt;$P77,"Đã thu vượt tổng phải thu; ","")&amp;IF(AND($L77&gt;0,$U77&lt;&gt;"",$U77&lt;0),"CẢNH BÁO: ĐƠN NÀY ĐANG LỖ; ","")))</f>
        <v/>
      </c>
    </row>
    <row r="78" customFormat="false" ht="15" hidden="false" customHeight="false" outlineLevel="0" collapsed="false">
      <c r="A78" s="21" t="str">
        <f aca="false">IF($C78="","",COUNTA($C$10:$C78))</f>
        <v/>
      </c>
      <c r="B78" s="18"/>
      <c r="C78" s="11"/>
      <c r="D78" s="11"/>
      <c r="E78" s="11"/>
      <c r="F78" s="11"/>
      <c r="G78" s="11"/>
      <c r="H78" s="11"/>
      <c r="I78" s="12"/>
      <c r="J78" s="13" t="str">
        <f aca="false">IF($H78="","",IFERROR(VLOOKUP($H78,'BẢNG GIÁ GỐC'!$A$5:$D$254,3,FALSE()),""))</f>
        <v/>
      </c>
      <c r="K78" s="12"/>
      <c r="L78" s="13" t="str">
        <f aca="false">IF($C78="","",N($I78)*N($K78))</f>
        <v/>
      </c>
      <c r="M78" s="11"/>
      <c r="N78" s="14" t="str">
        <f aca="false">IF($C78="","",IF($M78="VAT 5%",0.05,IF($M78="VAT 8%",0.08,IF($M78="VAT 10%",0.1,0))))</f>
        <v/>
      </c>
      <c r="O78" s="13" t="str">
        <f aca="false">IF($C78="","",$L78*$N78)</f>
        <v/>
      </c>
      <c r="P78" s="13" t="str">
        <f aca="false">IF($C78="","",$L78+$O78)</f>
        <v/>
      </c>
      <c r="Q78" s="12"/>
      <c r="R78" s="13" t="str">
        <f aca="false">IF($C78="","",MAX(0,$P78-N($Q78)))</f>
        <v/>
      </c>
      <c r="S78" s="23" t="str">
        <f aca="false">IF(OR($C78="",$P78=0),"",IF(N($Q78)&lt;=0,"Chưa thanh toán",IF(N($Q78)&lt;$P78,"Thanh toán một phần","Đã thanh toán")))</f>
        <v/>
      </c>
      <c r="T78" s="13" t="str">
        <f aca="false">IF(OR($C78="",$J78=""),"",N($I78)*$J78)</f>
        <v/>
      </c>
      <c r="U78" s="13" t="str">
        <f aca="false">IF(OR($C78="",$T78=""),"",$L78-$T78)</f>
        <v/>
      </c>
      <c r="V78" s="14" t="str">
        <f aca="false">IF(OR($U78="",$L78=0),"",$U78/$L78)</f>
        <v/>
      </c>
      <c r="W78" s="11"/>
      <c r="X78" s="23" t="str">
        <f aca="false">IF($C78="","",IF(AND($H78="",N($I78)=0,N($K78)=0),"Dòng chỉ lưu thông tin khách (chưa có đơn); ",IF($B78="","Thiếu ngày đặt; ","")&amp;IF($H78="","Thiếu tên sản phẩm; ",IF($J78="","Chưa khai GIÁ GỐC ở BẢNG GIÁ GỐC; ",""))&amp;IF(N($I78)&lt;=0,"Thiếu số lượng; ","")&amp;IF(N($K78)&lt;=0,"Thiếu giá bán; ","")&amp;IF(AND($N78&gt;0,$F78=""),"Khách lấy VAT thiếu mã số thuế; ","")&amp;IF(N($Q78)&gt;$P78,"Đã thu vượt tổng phải thu; ","")&amp;IF(AND($L78&gt;0,$U78&lt;&gt;"",$U78&lt;0),"CẢNH BÁO: ĐƠN NÀY ĐANG LỖ; ","")))</f>
        <v/>
      </c>
    </row>
    <row r="79" customFormat="false" ht="15" hidden="false" customHeight="false" outlineLevel="0" collapsed="false">
      <c r="A79" s="21" t="str">
        <f aca="false">IF($C79="","",COUNTA($C$10:$C79))</f>
        <v/>
      </c>
      <c r="B79" s="18"/>
      <c r="C79" s="11"/>
      <c r="D79" s="11"/>
      <c r="E79" s="11"/>
      <c r="F79" s="11"/>
      <c r="G79" s="11"/>
      <c r="H79" s="11"/>
      <c r="I79" s="12"/>
      <c r="J79" s="13" t="str">
        <f aca="false">IF($H79="","",IFERROR(VLOOKUP($H79,'BẢNG GIÁ GỐC'!$A$5:$D$254,3,FALSE()),""))</f>
        <v/>
      </c>
      <c r="K79" s="12"/>
      <c r="L79" s="13" t="str">
        <f aca="false">IF($C79="","",N($I79)*N($K79))</f>
        <v/>
      </c>
      <c r="M79" s="11"/>
      <c r="N79" s="14" t="str">
        <f aca="false">IF($C79="","",IF($M79="VAT 5%",0.05,IF($M79="VAT 8%",0.08,IF($M79="VAT 10%",0.1,0))))</f>
        <v/>
      </c>
      <c r="O79" s="13" t="str">
        <f aca="false">IF($C79="","",$L79*$N79)</f>
        <v/>
      </c>
      <c r="P79" s="13" t="str">
        <f aca="false">IF($C79="","",$L79+$O79)</f>
        <v/>
      </c>
      <c r="Q79" s="12"/>
      <c r="R79" s="13" t="str">
        <f aca="false">IF($C79="","",MAX(0,$P79-N($Q79)))</f>
        <v/>
      </c>
      <c r="S79" s="23" t="str">
        <f aca="false">IF(OR($C79="",$P79=0),"",IF(N($Q79)&lt;=0,"Chưa thanh toán",IF(N($Q79)&lt;$P79,"Thanh toán một phần","Đã thanh toán")))</f>
        <v/>
      </c>
      <c r="T79" s="13" t="str">
        <f aca="false">IF(OR($C79="",$J79=""),"",N($I79)*$J79)</f>
        <v/>
      </c>
      <c r="U79" s="13" t="str">
        <f aca="false">IF(OR($C79="",$T79=""),"",$L79-$T79)</f>
        <v/>
      </c>
      <c r="V79" s="14" t="str">
        <f aca="false">IF(OR($U79="",$L79=0),"",$U79/$L79)</f>
        <v/>
      </c>
      <c r="W79" s="11"/>
      <c r="X79" s="23" t="str">
        <f aca="false">IF($C79="","",IF(AND($H79="",N($I79)=0,N($K79)=0),"Dòng chỉ lưu thông tin khách (chưa có đơn); ",IF($B79="","Thiếu ngày đặt; ","")&amp;IF($H79="","Thiếu tên sản phẩm; ",IF($J79="","Chưa khai GIÁ GỐC ở BẢNG GIÁ GỐC; ",""))&amp;IF(N($I79)&lt;=0,"Thiếu số lượng; ","")&amp;IF(N($K79)&lt;=0,"Thiếu giá bán; ","")&amp;IF(AND($N79&gt;0,$F79=""),"Khách lấy VAT thiếu mã số thuế; ","")&amp;IF(N($Q79)&gt;$P79,"Đã thu vượt tổng phải thu; ","")&amp;IF(AND($L79&gt;0,$U79&lt;&gt;"",$U79&lt;0),"CẢNH BÁO: ĐƠN NÀY ĐANG LỖ; ","")))</f>
        <v/>
      </c>
    </row>
    <row r="80" customFormat="false" ht="15" hidden="false" customHeight="false" outlineLevel="0" collapsed="false">
      <c r="A80" s="21" t="str">
        <f aca="false">IF($C80="","",COUNTA($C$10:$C80))</f>
        <v/>
      </c>
      <c r="B80" s="18"/>
      <c r="C80" s="11"/>
      <c r="D80" s="11"/>
      <c r="E80" s="11"/>
      <c r="F80" s="11"/>
      <c r="G80" s="11"/>
      <c r="H80" s="11"/>
      <c r="I80" s="12"/>
      <c r="J80" s="13" t="str">
        <f aca="false">IF($H80="","",IFERROR(VLOOKUP($H80,'BẢNG GIÁ GỐC'!$A$5:$D$254,3,FALSE()),""))</f>
        <v/>
      </c>
      <c r="K80" s="12"/>
      <c r="L80" s="13" t="str">
        <f aca="false">IF($C80="","",N($I80)*N($K80))</f>
        <v/>
      </c>
      <c r="M80" s="11"/>
      <c r="N80" s="14" t="str">
        <f aca="false">IF($C80="","",IF($M80="VAT 5%",0.05,IF($M80="VAT 8%",0.08,IF($M80="VAT 10%",0.1,0))))</f>
        <v/>
      </c>
      <c r="O80" s="13" t="str">
        <f aca="false">IF($C80="","",$L80*$N80)</f>
        <v/>
      </c>
      <c r="P80" s="13" t="str">
        <f aca="false">IF($C80="","",$L80+$O80)</f>
        <v/>
      </c>
      <c r="Q80" s="12"/>
      <c r="R80" s="13" t="str">
        <f aca="false">IF($C80="","",MAX(0,$P80-N($Q80)))</f>
        <v/>
      </c>
      <c r="S80" s="23" t="str">
        <f aca="false">IF(OR($C80="",$P80=0),"",IF(N($Q80)&lt;=0,"Chưa thanh toán",IF(N($Q80)&lt;$P80,"Thanh toán một phần","Đã thanh toán")))</f>
        <v/>
      </c>
      <c r="T80" s="13" t="str">
        <f aca="false">IF(OR($C80="",$J80=""),"",N($I80)*$J80)</f>
        <v/>
      </c>
      <c r="U80" s="13" t="str">
        <f aca="false">IF(OR($C80="",$T80=""),"",$L80-$T80)</f>
        <v/>
      </c>
      <c r="V80" s="14" t="str">
        <f aca="false">IF(OR($U80="",$L80=0),"",$U80/$L80)</f>
        <v/>
      </c>
      <c r="W80" s="11"/>
      <c r="X80" s="23" t="str">
        <f aca="false">IF($C80="","",IF(AND($H80="",N($I80)=0,N($K80)=0),"Dòng chỉ lưu thông tin khách (chưa có đơn); ",IF($B80="","Thiếu ngày đặt; ","")&amp;IF($H80="","Thiếu tên sản phẩm; ",IF($J80="","Chưa khai GIÁ GỐC ở BẢNG GIÁ GỐC; ",""))&amp;IF(N($I80)&lt;=0,"Thiếu số lượng; ","")&amp;IF(N($K80)&lt;=0,"Thiếu giá bán; ","")&amp;IF(AND($N80&gt;0,$F80=""),"Khách lấy VAT thiếu mã số thuế; ","")&amp;IF(N($Q80)&gt;$P80,"Đã thu vượt tổng phải thu; ","")&amp;IF(AND($L80&gt;0,$U80&lt;&gt;"",$U80&lt;0),"CẢNH BÁO: ĐƠN NÀY ĐANG LỖ; ","")))</f>
        <v/>
      </c>
    </row>
    <row r="81" customFormat="false" ht="15" hidden="false" customHeight="false" outlineLevel="0" collapsed="false">
      <c r="A81" s="21" t="str">
        <f aca="false">IF($C81="","",COUNTA($C$10:$C81))</f>
        <v/>
      </c>
      <c r="B81" s="18"/>
      <c r="C81" s="11"/>
      <c r="D81" s="11"/>
      <c r="E81" s="11"/>
      <c r="F81" s="11"/>
      <c r="G81" s="11"/>
      <c r="H81" s="11"/>
      <c r="I81" s="12"/>
      <c r="J81" s="13" t="str">
        <f aca="false">IF($H81="","",IFERROR(VLOOKUP($H81,'BẢNG GIÁ GỐC'!$A$5:$D$254,3,FALSE()),""))</f>
        <v/>
      </c>
      <c r="K81" s="12"/>
      <c r="L81" s="13" t="str">
        <f aca="false">IF($C81="","",N($I81)*N($K81))</f>
        <v/>
      </c>
      <c r="M81" s="11"/>
      <c r="N81" s="14" t="str">
        <f aca="false">IF($C81="","",IF($M81="VAT 5%",0.05,IF($M81="VAT 8%",0.08,IF($M81="VAT 10%",0.1,0))))</f>
        <v/>
      </c>
      <c r="O81" s="13" t="str">
        <f aca="false">IF($C81="","",$L81*$N81)</f>
        <v/>
      </c>
      <c r="P81" s="13" t="str">
        <f aca="false">IF($C81="","",$L81+$O81)</f>
        <v/>
      </c>
      <c r="Q81" s="12"/>
      <c r="R81" s="13" t="str">
        <f aca="false">IF($C81="","",MAX(0,$P81-N($Q81)))</f>
        <v/>
      </c>
      <c r="S81" s="23" t="str">
        <f aca="false">IF(OR($C81="",$P81=0),"",IF(N($Q81)&lt;=0,"Chưa thanh toán",IF(N($Q81)&lt;$P81,"Thanh toán một phần","Đã thanh toán")))</f>
        <v/>
      </c>
      <c r="T81" s="13" t="str">
        <f aca="false">IF(OR($C81="",$J81=""),"",N($I81)*$J81)</f>
        <v/>
      </c>
      <c r="U81" s="13" t="str">
        <f aca="false">IF(OR($C81="",$T81=""),"",$L81-$T81)</f>
        <v/>
      </c>
      <c r="V81" s="14" t="str">
        <f aca="false">IF(OR($U81="",$L81=0),"",$U81/$L81)</f>
        <v/>
      </c>
      <c r="W81" s="11"/>
      <c r="X81" s="23" t="str">
        <f aca="false">IF($C81="","",IF(AND($H81="",N($I81)=0,N($K81)=0),"Dòng chỉ lưu thông tin khách (chưa có đơn); ",IF($B81="","Thiếu ngày đặt; ","")&amp;IF($H81="","Thiếu tên sản phẩm; ",IF($J81="","Chưa khai GIÁ GỐC ở BẢNG GIÁ GỐC; ",""))&amp;IF(N($I81)&lt;=0,"Thiếu số lượng; ","")&amp;IF(N($K81)&lt;=0,"Thiếu giá bán; ","")&amp;IF(AND($N81&gt;0,$F81=""),"Khách lấy VAT thiếu mã số thuế; ","")&amp;IF(N($Q81)&gt;$P81,"Đã thu vượt tổng phải thu; ","")&amp;IF(AND($L81&gt;0,$U81&lt;&gt;"",$U81&lt;0),"CẢNH BÁO: ĐƠN NÀY ĐANG LỖ; ","")))</f>
        <v/>
      </c>
    </row>
    <row r="82" customFormat="false" ht="15" hidden="false" customHeight="false" outlineLevel="0" collapsed="false">
      <c r="A82" s="21" t="str">
        <f aca="false">IF($C82="","",COUNTA($C$10:$C82))</f>
        <v/>
      </c>
      <c r="B82" s="18"/>
      <c r="C82" s="11"/>
      <c r="D82" s="11"/>
      <c r="E82" s="11"/>
      <c r="F82" s="11"/>
      <c r="G82" s="11"/>
      <c r="H82" s="11"/>
      <c r="I82" s="12"/>
      <c r="J82" s="13" t="str">
        <f aca="false">IF($H82="","",IFERROR(VLOOKUP($H82,'BẢNG GIÁ GỐC'!$A$5:$D$254,3,FALSE()),""))</f>
        <v/>
      </c>
      <c r="K82" s="12"/>
      <c r="L82" s="13" t="str">
        <f aca="false">IF($C82="","",N($I82)*N($K82))</f>
        <v/>
      </c>
      <c r="M82" s="11"/>
      <c r="N82" s="14" t="str">
        <f aca="false">IF($C82="","",IF($M82="VAT 5%",0.05,IF($M82="VAT 8%",0.08,IF($M82="VAT 10%",0.1,0))))</f>
        <v/>
      </c>
      <c r="O82" s="13" t="str">
        <f aca="false">IF($C82="","",$L82*$N82)</f>
        <v/>
      </c>
      <c r="P82" s="13" t="str">
        <f aca="false">IF($C82="","",$L82+$O82)</f>
        <v/>
      </c>
      <c r="Q82" s="12"/>
      <c r="R82" s="13" t="str">
        <f aca="false">IF($C82="","",MAX(0,$P82-N($Q82)))</f>
        <v/>
      </c>
      <c r="S82" s="23" t="str">
        <f aca="false">IF(OR($C82="",$P82=0),"",IF(N($Q82)&lt;=0,"Chưa thanh toán",IF(N($Q82)&lt;$P82,"Thanh toán một phần","Đã thanh toán")))</f>
        <v/>
      </c>
      <c r="T82" s="13" t="str">
        <f aca="false">IF(OR($C82="",$J82=""),"",N($I82)*$J82)</f>
        <v/>
      </c>
      <c r="U82" s="13" t="str">
        <f aca="false">IF(OR($C82="",$T82=""),"",$L82-$T82)</f>
        <v/>
      </c>
      <c r="V82" s="14" t="str">
        <f aca="false">IF(OR($U82="",$L82=0),"",$U82/$L82)</f>
        <v/>
      </c>
      <c r="W82" s="11"/>
      <c r="X82" s="23" t="str">
        <f aca="false">IF($C82="","",IF(AND($H82="",N($I82)=0,N($K82)=0),"Dòng chỉ lưu thông tin khách (chưa có đơn); ",IF($B82="","Thiếu ngày đặt; ","")&amp;IF($H82="","Thiếu tên sản phẩm; ",IF($J82="","Chưa khai GIÁ GỐC ở BẢNG GIÁ GỐC; ",""))&amp;IF(N($I82)&lt;=0,"Thiếu số lượng; ","")&amp;IF(N($K82)&lt;=0,"Thiếu giá bán; ","")&amp;IF(AND($N82&gt;0,$F82=""),"Khách lấy VAT thiếu mã số thuế; ","")&amp;IF(N($Q82)&gt;$P82,"Đã thu vượt tổng phải thu; ","")&amp;IF(AND($L82&gt;0,$U82&lt;&gt;"",$U82&lt;0),"CẢNH BÁO: ĐƠN NÀY ĐANG LỖ; ","")))</f>
        <v/>
      </c>
    </row>
    <row r="83" customFormat="false" ht="15" hidden="false" customHeight="false" outlineLevel="0" collapsed="false">
      <c r="A83" s="21" t="str">
        <f aca="false">IF($C83="","",COUNTA($C$10:$C83))</f>
        <v/>
      </c>
      <c r="B83" s="18"/>
      <c r="C83" s="11"/>
      <c r="D83" s="11"/>
      <c r="E83" s="11"/>
      <c r="F83" s="11"/>
      <c r="G83" s="11"/>
      <c r="H83" s="11"/>
      <c r="I83" s="12"/>
      <c r="J83" s="13" t="str">
        <f aca="false">IF($H83="","",IFERROR(VLOOKUP($H83,'BẢNG GIÁ GỐC'!$A$5:$D$254,3,FALSE()),""))</f>
        <v/>
      </c>
      <c r="K83" s="12"/>
      <c r="L83" s="13" t="str">
        <f aca="false">IF($C83="","",N($I83)*N($K83))</f>
        <v/>
      </c>
      <c r="M83" s="11"/>
      <c r="N83" s="14" t="str">
        <f aca="false">IF($C83="","",IF($M83="VAT 5%",0.05,IF($M83="VAT 8%",0.08,IF($M83="VAT 10%",0.1,0))))</f>
        <v/>
      </c>
      <c r="O83" s="13" t="str">
        <f aca="false">IF($C83="","",$L83*$N83)</f>
        <v/>
      </c>
      <c r="P83" s="13" t="str">
        <f aca="false">IF($C83="","",$L83+$O83)</f>
        <v/>
      </c>
      <c r="Q83" s="12"/>
      <c r="R83" s="13" t="str">
        <f aca="false">IF($C83="","",MAX(0,$P83-N($Q83)))</f>
        <v/>
      </c>
      <c r="S83" s="23" t="str">
        <f aca="false">IF(OR($C83="",$P83=0),"",IF(N($Q83)&lt;=0,"Chưa thanh toán",IF(N($Q83)&lt;$P83,"Thanh toán một phần","Đã thanh toán")))</f>
        <v/>
      </c>
      <c r="T83" s="13" t="str">
        <f aca="false">IF(OR($C83="",$J83=""),"",N($I83)*$J83)</f>
        <v/>
      </c>
      <c r="U83" s="13" t="str">
        <f aca="false">IF(OR($C83="",$T83=""),"",$L83-$T83)</f>
        <v/>
      </c>
      <c r="V83" s="14" t="str">
        <f aca="false">IF(OR($U83="",$L83=0),"",$U83/$L83)</f>
        <v/>
      </c>
      <c r="W83" s="11"/>
      <c r="X83" s="23" t="str">
        <f aca="false">IF($C83="","",IF(AND($H83="",N($I83)=0,N($K83)=0),"Dòng chỉ lưu thông tin khách (chưa có đơn); ",IF($B83="","Thiếu ngày đặt; ","")&amp;IF($H83="","Thiếu tên sản phẩm; ",IF($J83="","Chưa khai GIÁ GỐC ở BẢNG GIÁ GỐC; ",""))&amp;IF(N($I83)&lt;=0,"Thiếu số lượng; ","")&amp;IF(N($K83)&lt;=0,"Thiếu giá bán; ","")&amp;IF(AND($N83&gt;0,$F83=""),"Khách lấy VAT thiếu mã số thuế; ","")&amp;IF(N($Q83)&gt;$P83,"Đã thu vượt tổng phải thu; ","")&amp;IF(AND($L83&gt;0,$U83&lt;&gt;"",$U83&lt;0),"CẢNH BÁO: ĐƠN NÀY ĐANG LỖ; ","")))</f>
        <v/>
      </c>
    </row>
    <row r="84" customFormat="false" ht="15" hidden="false" customHeight="false" outlineLevel="0" collapsed="false">
      <c r="A84" s="21" t="str">
        <f aca="false">IF($C84="","",COUNTA($C$10:$C84))</f>
        <v/>
      </c>
      <c r="B84" s="18"/>
      <c r="C84" s="11"/>
      <c r="D84" s="11"/>
      <c r="E84" s="11"/>
      <c r="F84" s="11"/>
      <c r="G84" s="11"/>
      <c r="H84" s="11"/>
      <c r="I84" s="12"/>
      <c r="J84" s="13" t="str">
        <f aca="false">IF($H84="","",IFERROR(VLOOKUP($H84,'BẢNG GIÁ GỐC'!$A$5:$D$254,3,FALSE()),""))</f>
        <v/>
      </c>
      <c r="K84" s="12"/>
      <c r="L84" s="13" t="str">
        <f aca="false">IF($C84="","",N($I84)*N($K84))</f>
        <v/>
      </c>
      <c r="M84" s="11"/>
      <c r="N84" s="14" t="str">
        <f aca="false">IF($C84="","",IF($M84="VAT 5%",0.05,IF($M84="VAT 8%",0.08,IF($M84="VAT 10%",0.1,0))))</f>
        <v/>
      </c>
      <c r="O84" s="13" t="str">
        <f aca="false">IF($C84="","",$L84*$N84)</f>
        <v/>
      </c>
      <c r="P84" s="13" t="str">
        <f aca="false">IF($C84="","",$L84+$O84)</f>
        <v/>
      </c>
      <c r="Q84" s="12"/>
      <c r="R84" s="13" t="str">
        <f aca="false">IF($C84="","",MAX(0,$P84-N($Q84)))</f>
        <v/>
      </c>
      <c r="S84" s="23" t="str">
        <f aca="false">IF(OR($C84="",$P84=0),"",IF(N($Q84)&lt;=0,"Chưa thanh toán",IF(N($Q84)&lt;$P84,"Thanh toán một phần","Đã thanh toán")))</f>
        <v/>
      </c>
      <c r="T84" s="13" t="str">
        <f aca="false">IF(OR($C84="",$J84=""),"",N($I84)*$J84)</f>
        <v/>
      </c>
      <c r="U84" s="13" t="str">
        <f aca="false">IF(OR($C84="",$T84=""),"",$L84-$T84)</f>
        <v/>
      </c>
      <c r="V84" s="14" t="str">
        <f aca="false">IF(OR($U84="",$L84=0),"",$U84/$L84)</f>
        <v/>
      </c>
      <c r="W84" s="11"/>
      <c r="X84" s="23" t="str">
        <f aca="false">IF($C84="","",IF(AND($H84="",N($I84)=0,N($K84)=0),"Dòng chỉ lưu thông tin khách (chưa có đơn); ",IF($B84="","Thiếu ngày đặt; ","")&amp;IF($H84="","Thiếu tên sản phẩm; ",IF($J84="","Chưa khai GIÁ GỐC ở BẢNG GIÁ GỐC; ",""))&amp;IF(N($I84)&lt;=0,"Thiếu số lượng; ","")&amp;IF(N($K84)&lt;=0,"Thiếu giá bán; ","")&amp;IF(AND($N84&gt;0,$F84=""),"Khách lấy VAT thiếu mã số thuế; ","")&amp;IF(N($Q84)&gt;$P84,"Đã thu vượt tổng phải thu; ","")&amp;IF(AND($L84&gt;0,$U84&lt;&gt;"",$U84&lt;0),"CẢNH BÁO: ĐƠN NÀY ĐANG LỖ; ","")))</f>
        <v/>
      </c>
    </row>
    <row r="85" customFormat="false" ht="15" hidden="false" customHeight="false" outlineLevel="0" collapsed="false">
      <c r="A85" s="21" t="str">
        <f aca="false">IF($C85="","",COUNTA($C$10:$C85))</f>
        <v/>
      </c>
      <c r="B85" s="18"/>
      <c r="C85" s="11"/>
      <c r="D85" s="11"/>
      <c r="E85" s="11"/>
      <c r="F85" s="11"/>
      <c r="G85" s="11"/>
      <c r="H85" s="11"/>
      <c r="I85" s="12"/>
      <c r="J85" s="13" t="str">
        <f aca="false">IF($H85="","",IFERROR(VLOOKUP($H85,'BẢNG GIÁ GỐC'!$A$5:$D$254,3,FALSE()),""))</f>
        <v/>
      </c>
      <c r="K85" s="12"/>
      <c r="L85" s="13" t="str">
        <f aca="false">IF($C85="","",N($I85)*N($K85))</f>
        <v/>
      </c>
      <c r="M85" s="11"/>
      <c r="N85" s="14" t="str">
        <f aca="false">IF($C85="","",IF($M85="VAT 5%",0.05,IF($M85="VAT 8%",0.08,IF($M85="VAT 10%",0.1,0))))</f>
        <v/>
      </c>
      <c r="O85" s="13" t="str">
        <f aca="false">IF($C85="","",$L85*$N85)</f>
        <v/>
      </c>
      <c r="P85" s="13" t="str">
        <f aca="false">IF($C85="","",$L85+$O85)</f>
        <v/>
      </c>
      <c r="Q85" s="12"/>
      <c r="R85" s="13" t="str">
        <f aca="false">IF($C85="","",MAX(0,$P85-N($Q85)))</f>
        <v/>
      </c>
      <c r="S85" s="23" t="str">
        <f aca="false">IF(OR($C85="",$P85=0),"",IF(N($Q85)&lt;=0,"Chưa thanh toán",IF(N($Q85)&lt;$P85,"Thanh toán một phần","Đã thanh toán")))</f>
        <v/>
      </c>
      <c r="T85" s="13" t="str">
        <f aca="false">IF(OR($C85="",$J85=""),"",N($I85)*$J85)</f>
        <v/>
      </c>
      <c r="U85" s="13" t="str">
        <f aca="false">IF(OR($C85="",$T85=""),"",$L85-$T85)</f>
        <v/>
      </c>
      <c r="V85" s="14" t="str">
        <f aca="false">IF(OR($U85="",$L85=0),"",$U85/$L85)</f>
        <v/>
      </c>
      <c r="W85" s="11"/>
      <c r="X85" s="23" t="str">
        <f aca="false">IF($C85="","",IF(AND($H85="",N($I85)=0,N($K85)=0),"Dòng chỉ lưu thông tin khách (chưa có đơn); ",IF($B85="","Thiếu ngày đặt; ","")&amp;IF($H85="","Thiếu tên sản phẩm; ",IF($J85="","Chưa khai GIÁ GỐC ở BẢNG GIÁ GỐC; ",""))&amp;IF(N($I85)&lt;=0,"Thiếu số lượng; ","")&amp;IF(N($K85)&lt;=0,"Thiếu giá bán; ","")&amp;IF(AND($N85&gt;0,$F85=""),"Khách lấy VAT thiếu mã số thuế; ","")&amp;IF(N($Q85)&gt;$P85,"Đã thu vượt tổng phải thu; ","")&amp;IF(AND($L85&gt;0,$U85&lt;&gt;"",$U85&lt;0),"CẢNH BÁO: ĐƠN NÀY ĐANG LỖ; ","")))</f>
        <v/>
      </c>
    </row>
    <row r="86" customFormat="false" ht="15" hidden="false" customHeight="false" outlineLevel="0" collapsed="false">
      <c r="A86" s="21" t="str">
        <f aca="false">IF($C86="","",COUNTA($C$10:$C86))</f>
        <v/>
      </c>
      <c r="B86" s="18"/>
      <c r="C86" s="11"/>
      <c r="D86" s="11"/>
      <c r="E86" s="11"/>
      <c r="F86" s="11"/>
      <c r="G86" s="11"/>
      <c r="H86" s="11"/>
      <c r="I86" s="12"/>
      <c r="J86" s="13" t="str">
        <f aca="false">IF($H86="","",IFERROR(VLOOKUP($H86,'BẢNG GIÁ GỐC'!$A$5:$D$254,3,FALSE()),""))</f>
        <v/>
      </c>
      <c r="K86" s="12"/>
      <c r="L86" s="13" t="str">
        <f aca="false">IF($C86="","",N($I86)*N($K86))</f>
        <v/>
      </c>
      <c r="M86" s="11"/>
      <c r="N86" s="14" t="str">
        <f aca="false">IF($C86="","",IF($M86="VAT 5%",0.05,IF($M86="VAT 8%",0.08,IF($M86="VAT 10%",0.1,0))))</f>
        <v/>
      </c>
      <c r="O86" s="13" t="str">
        <f aca="false">IF($C86="","",$L86*$N86)</f>
        <v/>
      </c>
      <c r="P86" s="13" t="str">
        <f aca="false">IF($C86="","",$L86+$O86)</f>
        <v/>
      </c>
      <c r="Q86" s="12"/>
      <c r="R86" s="13" t="str">
        <f aca="false">IF($C86="","",MAX(0,$P86-N($Q86)))</f>
        <v/>
      </c>
      <c r="S86" s="23" t="str">
        <f aca="false">IF(OR($C86="",$P86=0),"",IF(N($Q86)&lt;=0,"Chưa thanh toán",IF(N($Q86)&lt;$P86,"Thanh toán một phần","Đã thanh toán")))</f>
        <v/>
      </c>
      <c r="T86" s="13" t="str">
        <f aca="false">IF(OR($C86="",$J86=""),"",N($I86)*$J86)</f>
        <v/>
      </c>
      <c r="U86" s="13" t="str">
        <f aca="false">IF(OR($C86="",$T86=""),"",$L86-$T86)</f>
        <v/>
      </c>
      <c r="V86" s="14" t="str">
        <f aca="false">IF(OR($U86="",$L86=0),"",$U86/$L86)</f>
        <v/>
      </c>
      <c r="W86" s="11"/>
      <c r="X86" s="23" t="str">
        <f aca="false">IF($C86="","",IF(AND($H86="",N($I86)=0,N($K86)=0),"Dòng chỉ lưu thông tin khách (chưa có đơn); ",IF($B86="","Thiếu ngày đặt; ","")&amp;IF($H86="","Thiếu tên sản phẩm; ",IF($J86="","Chưa khai GIÁ GỐC ở BẢNG GIÁ GỐC; ",""))&amp;IF(N($I86)&lt;=0,"Thiếu số lượng; ","")&amp;IF(N($K86)&lt;=0,"Thiếu giá bán; ","")&amp;IF(AND($N86&gt;0,$F86=""),"Khách lấy VAT thiếu mã số thuế; ","")&amp;IF(N($Q86)&gt;$P86,"Đã thu vượt tổng phải thu; ","")&amp;IF(AND($L86&gt;0,$U86&lt;&gt;"",$U86&lt;0),"CẢNH BÁO: ĐƠN NÀY ĐANG LỖ; ","")))</f>
        <v/>
      </c>
    </row>
    <row r="87" customFormat="false" ht="15" hidden="false" customHeight="false" outlineLevel="0" collapsed="false">
      <c r="A87" s="21" t="str">
        <f aca="false">IF($C87="","",COUNTA($C$10:$C87))</f>
        <v/>
      </c>
      <c r="B87" s="18"/>
      <c r="C87" s="11"/>
      <c r="D87" s="11"/>
      <c r="E87" s="11"/>
      <c r="F87" s="11"/>
      <c r="G87" s="11"/>
      <c r="H87" s="11"/>
      <c r="I87" s="12"/>
      <c r="J87" s="13" t="str">
        <f aca="false">IF($H87="","",IFERROR(VLOOKUP($H87,'BẢNG GIÁ GỐC'!$A$5:$D$254,3,FALSE()),""))</f>
        <v/>
      </c>
      <c r="K87" s="12"/>
      <c r="L87" s="13" t="str">
        <f aca="false">IF($C87="","",N($I87)*N($K87))</f>
        <v/>
      </c>
      <c r="M87" s="11"/>
      <c r="N87" s="14" t="str">
        <f aca="false">IF($C87="","",IF($M87="VAT 5%",0.05,IF($M87="VAT 8%",0.08,IF($M87="VAT 10%",0.1,0))))</f>
        <v/>
      </c>
      <c r="O87" s="13" t="str">
        <f aca="false">IF($C87="","",$L87*$N87)</f>
        <v/>
      </c>
      <c r="P87" s="13" t="str">
        <f aca="false">IF($C87="","",$L87+$O87)</f>
        <v/>
      </c>
      <c r="Q87" s="12"/>
      <c r="R87" s="13" t="str">
        <f aca="false">IF($C87="","",MAX(0,$P87-N($Q87)))</f>
        <v/>
      </c>
      <c r="S87" s="23" t="str">
        <f aca="false">IF(OR($C87="",$P87=0),"",IF(N($Q87)&lt;=0,"Chưa thanh toán",IF(N($Q87)&lt;$P87,"Thanh toán một phần","Đã thanh toán")))</f>
        <v/>
      </c>
      <c r="T87" s="13" t="str">
        <f aca="false">IF(OR($C87="",$J87=""),"",N($I87)*$J87)</f>
        <v/>
      </c>
      <c r="U87" s="13" t="str">
        <f aca="false">IF(OR($C87="",$T87=""),"",$L87-$T87)</f>
        <v/>
      </c>
      <c r="V87" s="14" t="str">
        <f aca="false">IF(OR($U87="",$L87=0),"",$U87/$L87)</f>
        <v/>
      </c>
      <c r="W87" s="11"/>
      <c r="X87" s="23" t="str">
        <f aca="false">IF($C87="","",IF(AND($H87="",N($I87)=0,N($K87)=0),"Dòng chỉ lưu thông tin khách (chưa có đơn); ",IF($B87="","Thiếu ngày đặt; ","")&amp;IF($H87="","Thiếu tên sản phẩm; ",IF($J87="","Chưa khai GIÁ GỐC ở BẢNG GIÁ GỐC; ",""))&amp;IF(N($I87)&lt;=0,"Thiếu số lượng; ","")&amp;IF(N($K87)&lt;=0,"Thiếu giá bán; ","")&amp;IF(AND($N87&gt;0,$F87=""),"Khách lấy VAT thiếu mã số thuế; ","")&amp;IF(N($Q87)&gt;$P87,"Đã thu vượt tổng phải thu; ","")&amp;IF(AND($L87&gt;0,$U87&lt;&gt;"",$U87&lt;0),"CẢNH BÁO: ĐƠN NÀY ĐANG LỖ; ","")))</f>
        <v/>
      </c>
    </row>
    <row r="88" customFormat="false" ht="15" hidden="false" customHeight="false" outlineLevel="0" collapsed="false">
      <c r="A88" s="21" t="str">
        <f aca="false">IF($C88="","",COUNTA($C$10:$C88))</f>
        <v/>
      </c>
      <c r="B88" s="18"/>
      <c r="C88" s="11"/>
      <c r="D88" s="11"/>
      <c r="E88" s="11"/>
      <c r="F88" s="11"/>
      <c r="G88" s="11"/>
      <c r="H88" s="11"/>
      <c r="I88" s="12"/>
      <c r="J88" s="13" t="str">
        <f aca="false">IF($H88="","",IFERROR(VLOOKUP($H88,'BẢNG GIÁ GỐC'!$A$5:$D$254,3,FALSE()),""))</f>
        <v/>
      </c>
      <c r="K88" s="12"/>
      <c r="L88" s="13" t="str">
        <f aca="false">IF($C88="","",N($I88)*N($K88))</f>
        <v/>
      </c>
      <c r="M88" s="11"/>
      <c r="N88" s="14" t="str">
        <f aca="false">IF($C88="","",IF($M88="VAT 5%",0.05,IF($M88="VAT 8%",0.08,IF($M88="VAT 10%",0.1,0))))</f>
        <v/>
      </c>
      <c r="O88" s="13" t="str">
        <f aca="false">IF($C88="","",$L88*$N88)</f>
        <v/>
      </c>
      <c r="P88" s="13" t="str">
        <f aca="false">IF($C88="","",$L88+$O88)</f>
        <v/>
      </c>
      <c r="Q88" s="12"/>
      <c r="R88" s="13" t="str">
        <f aca="false">IF($C88="","",MAX(0,$P88-N($Q88)))</f>
        <v/>
      </c>
      <c r="S88" s="23" t="str">
        <f aca="false">IF(OR($C88="",$P88=0),"",IF(N($Q88)&lt;=0,"Chưa thanh toán",IF(N($Q88)&lt;$P88,"Thanh toán một phần","Đã thanh toán")))</f>
        <v/>
      </c>
      <c r="T88" s="13" t="str">
        <f aca="false">IF(OR($C88="",$J88=""),"",N($I88)*$J88)</f>
        <v/>
      </c>
      <c r="U88" s="13" t="str">
        <f aca="false">IF(OR($C88="",$T88=""),"",$L88-$T88)</f>
        <v/>
      </c>
      <c r="V88" s="14" t="str">
        <f aca="false">IF(OR($U88="",$L88=0),"",$U88/$L88)</f>
        <v/>
      </c>
      <c r="W88" s="11"/>
      <c r="X88" s="23" t="str">
        <f aca="false">IF($C88="","",IF(AND($H88="",N($I88)=0,N($K88)=0),"Dòng chỉ lưu thông tin khách (chưa có đơn); ",IF($B88="","Thiếu ngày đặt; ","")&amp;IF($H88="","Thiếu tên sản phẩm; ",IF($J88="","Chưa khai GIÁ GỐC ở BẢNG GIÁ GỐC; ",""))&amp;IF(N($I88)&lt;=0,"Thiếu số lượng; ","")&amp;IF(N($K88)&lt;=0,"Thiếu giá bán; ","")&amp;IF(AND($N88&gt;0,$F88=""),"Khách lấy VAT thiếu mã số thuế; ","")&amp;IF(N($Q88)&gt;$P88,"Đã thu vượt tổng phải thu; ","")&amp;IF(AND($L88&gt;0,$U88&lt;&gt;"",$U88&lt;0),"CẢNH BÁO: ĐƠN NÀY ĐANG LỖ; ","")))</f>
        <v/>
      </c>
    </row>
    <row r="89" customFormat="false" ht="15" hidden="false" customHeight="false" outlineLevel="0" collapsed="false">
      <c r="A89" s="21" t="str">
        <f aca="false">IF($C89="","",COUNTA($C$10:$C89))</f>
        <v/>
      </c>
      <c r="B89" s="18"/>
      <c r="C89" s="11"/>
      <c r="D89" s="11"/>
      <c r="E89" s="11"/>
      <c r="F89" s="11"/>
      <c r="G89" s="11"/>
      <c r="H89" s="11"/>
      <c r="I89" s="12"/>
      <c r="J89" s="13" t="str">
        <f aca="false">IF($H89="","",IFERROR(VLOOKUP($H89,'BẢNG GIÁ GỐC'!$A$5:$D$254,3,FALSE()),""))</f>
        <v/>
      </c>
      <c r="K89" s="12"/>
      <c r="L89" s="13" t="str">
        <f aca="false">IF($C89="","",N($I89)*N($K89))</f>
        <v/>
      </c>
      <c r="M89" s="11"/>
      <c r="N89" s="14" t="str">
        <f aca="false">IF($C89="","",IF($M89="VAT 5%",0.05,IF($M89="VAT 8%",0.08,IF($M89="VAT 10%",0.1,0))))</f>
        <v/>
      </c>
      <c r="O89" s="13" t="str">
        <f aca="false">IF($C89="","",$L89*$N89)</f>
        <v/>
      </c>
      <c r="P89" s="13" t="str">
        <f aca="false">IF($C89="","",$L89+$O89)</f>
        <v/>
      </c>
      <c r="Q89" s="12"/>
      <c r="R89" s="13" t="str">
        <f aca="false">IF($C89="","",MAX(0,$P89-N($Q89)))</f>
        <v/>
      </c>
      <c r="S89" s="23" t="str">
        <f aca="false">IF(OR($C89="",$P89=0),"",IF(N($Q89)&lt;=0,"Chưa thanh toán",IF(N($Q89)&lt;$P89,"Thanh toán một phần","Đã thanh toán")))</f>
        <v/>
      </c>
      <c r="T89" s="13" t="str">
        <f aca="false">IF(OR($C89="",$J89=""),"",N($I89)*$J89)</f>
        <v/>
      </c>
      <c r="U89" s="13" t="str">
        <f aca="false">IF(OR($C89="",$T89=""),"",$L89-$T89)</f>
        <v/>
      </c>
      <c r="V89" s="14" t="str">
        <f aca="false">IF(OR($U89="",$L89=0),"",$U89/$L89)</f>
        <v/>
      </c>
      <c r="W89" s="11"/>
      <c r="X89" s="23" t="str">
        <f aca="false">IF($C89="","",IF(AND($H89="",N($I89)=0,N($K89)=0),"Dòng chỉ lưu thông tin khách (chưa có đơn); ",IF($B89="","Thiếu ngày đặt; ","")&amp;IF($H89="","Thiếu tên sản phẩm; ",IF($J89="","Chưa khai GIÁ GỐC ở BẢNG GIÁ GỐC; ",""))&amp;IF(N($I89)&lt;=0,"Thiếu số lượng; ","")&amp;IF(N($K89)&lt;=0,"Thiếu giá bán; ","")&amp;IF(AND($N89&gt;0,$F89=""),"Khách lấy VAT thiếu mã số thuế; ","")&amp;IF(N($Q89)&gt;$P89,"Đã thu vượt tổng phải thu; ","")&amp;IF(AND($L89&gt;0,$U89&lt;&gt;"",$U89&lt;0),"CẢNH BÁO: ĐƠN NÀY ĐANG LỖ; ","")))</f>
        <v/>
      </c>
    </row>
    <row r="90" customFormat="false" ht="15" hidden="false" customHeight="false" outlineLevel="0" collapsed="false">
      <c r="A90" s="21" t="str">
        <f aca="false">IF($C90="","",COUNTA($C$10:$C90))</f>
        <v/>
      </c>
      <c r="B90" s="18"/>
      <c r="C90" s="11"/>
      <c r="D90" s="11"/>
      <c r="E90" s="11"/>
      <c r="F90" s="11"/>
      <c r="G90" s="11"/>
      <c r="H90" s="11"/>
      <c r="I90" s="12"/>
      <c r="J90" s="13" t="str">
        <f aca="false">IF($H90="","",IFERROR(VLOOKUP($H90,'BẢNG GIÁ GỐC'!$A$5:$D$254,3,FALSE()),""))</f>
        <v/>
      </c>
      <c r="K90" s="12"/>
      <c r="L90" s="13" t="str">
        <f aca="false">IF($C90="","",N($I90)*N($K90))</f>
        <v/>
      </c>
      <c r="M90" s="11"/>
      <c r="N90" s="14" t="str">
        <f aca="false">IF($C90="","",IF($M90="VAT 5%",0.05,IF($M90="VAT 8%",0.08,IF($M90="VAT 10%",0.1,0))))</f>
        <v/>
      </c>
      <c r="O90" s="13" t="str">
        <f aca="false">IF($C90="","",$L90*$N90)</f>
        <v/>
      </c>
      <c r="P90" s="13" t="str">
        <f aca="false">IF($C90="","",$L90+$O90)</f>
        <v/>
      </c>
      <c r="Q90" s="12"/>
      <c r="R90" s="13" t="str">
        <f aca="false">IF($C90="","",MAX(0,$P90-N($Q90)))</f>
        <v/>
      </c>
      <c r="S90" s="23" t="str">
        <f aca="false">IF(OR($C90="",$P90=0),"",IF(N($Q90)&lt;=0,"Chưa thanh toán",IF(N($Q90)&lt;$P90,"Thanh toán một phần","Đã thanh toán")))</f>
        <v/>
      </c>
      <c r="T90" s="13" t="str">
        <f aca="false">IF(OR($C90="",$J90=""),"",N($I90)*$J90)</f>
        <v/>
      </c>
      <c r="U90" s="13" t="str">
        <f aca="false">IF(OR($C90="",$T90=""),"",$L90-$T90)</f>
        <v/>
      </c>
      <c r="V90" s="14" t="str">
        <f aca="false">IF(OR($U90="",$L90=0),"",$U90/$L90)</f>
        <v/>
      </c>
      <c r="W90" s="11"/>
      <c r="X90" s="23" t="str">
        <f aca="false">IF($C90="","",IF(AND($H90="",N($I90)=0,N($K90)=0),"Dòng chỉ lưu thông tin khách (chưa có đơn); ",IF($B90="","Thiếu ngày đặt; ","")&amp;IF($H90="","Thiếu tên sản phẩm; ",IF($J90="","Chưa khai GIÁ GỐC ở BẢNG GIÁ GỐC; ",""))&amp;IF(N($I90)&lt;=0,"Thiếu số lượng; ","")&amp;IF(N($K90)&lt;=0,"Thiếu giá bán; ","")&amp;IF(AND($N90&gt;0,$F90=""),"Khách lấy VAT thiếu mã số thuế; ","")&amp;IF(N($Q90)&gt;$P90,"Đã thu vượt tổng phải thu; ","")&amp;IF(AND($L90&gt;0,$U90&lt;&gt;"",$U90&lt;0),"CẢNH BÁO: ĐƠN NÀY ĐANG LỖ; ","")))</f>
        <v/>
      </c>
    </row>
    <row r="91" customFormat="false" ht="15" hidden="false" customHeight="false" outlineLevel="0" collapsed="false">
      <c r="A91" s="21" t="str">
        <f aca="false">IF($C91="","",COUNTA($C$10:$C91))</f>
        <v/>
      </c>
      <c r="B91" s="18"/>
      <c r="C91" s="11"/>
      <c r="D91" s="11"/>
      <c r="E91" s="11"/>
      <c r="F91" s="11"/>
      <c r="G91" s="11"/>
      <c r="H91" s="11"/>
      <c r="I91" s="12"/>
      <c r="J91" s="13" t="str">
        <f aca="false">IF($H91="","",IFERROR(VLOOKUP($H91,'BẢNG GIÁ GỐC'!$A$5:$D$254,3,FALSE()),""))</f>
        <v/>
      </c>
      <c r="K91" s="12"/>
      <c r="L91" s="13" t="str">
        <f aca="false">IF($C91="","",N($I91)*N($K91))</f>
        <v/>
      </c>
      <c r="M91" s="11"/>
      <c r="N91" s="14" t="str">
        <f aca="false">IF($C91="","",IF($M91="VAT 5%",0.05,IF($M91="VAT 8%",0.08,IF($M91="VAT 10%",0.1,0))))</f>
        <v/>
      </c>
      <c r="O91" s="13" t="str">
        <f aca="false">IF($C91="","",$L91*$N91)</f>
        <v/>
      </c>
      <c r="P91" s="13" t="str">
        <f aca="false">IF($C91="","",$L91+$O91)</f>
        <v/>
      </c>
      <c r="Q91" s="12"/>
      <c r="R91" s="13" t="str">
        <f aca="false">IF($C91="","",MAX(0,$P91-N($Q91)))</f>
        <v/>
      </c>
      <c r="S91" s="23" t="str">
        <f aca="false">IF(OR($C91="",$P91=0),"",IF(N($Q91)&lt;=0,"Chưa thanh toán",IF(N($Q91)&lt;$P91,"Thanh toán một phần","Đã thanh toán")))</f>
        <v/>
      </c>
      <c r="T91" s="13" t="str">
        <f aca="false">IF(OR($C91="",$J91=""),"",N($I91)*$J91)</f>
        <v/>
      </c>
      <c r="U91" s="13" t="str">
        <f aca="false">IF(OR($C91="",$T91=""),"",$L91-$T91)</f>
        <v/>
      </c>
      <c r="V91" s="14" t="str">
        <f aca="false">IF(OR($U91="",$L91=0),"",$U91/$L91)</f>
        <v/>
      </c>
      <c r="W91" s="11"/>
      <c r="X91" s="23" t="str">
        <f aca="false">IF($C91="","",IF(AND($H91="",N($I91)=0,N($K91)=0),"Dòng chỉ lưu thông tin khách (chưa có đơn); ",IF($B91="","Thiếu ngày đặt; ","")&amp;IF($H91="","Thiếu tên sản phẩm; ",IF($J91="","Chưa khai GIÁ GỐC ở BẢNG GIÁ GỐC; ",""))&amp;IF(N($I91)&lt;=0,"Thiếu số lượng; ","")&amp;IF(N($K91)&lt;=0,"Thiếu giá bán; ","")&amp;IF(AND($N91&gt;0,$F91=""),"Khách lấy VAT thiếu mã số thuế; ","")&amp;IF(N($Q91)&gt;$P91,"Đã thu vượt tổng phải thu; ","")&amp;IF(AND($L91&gt;0,$U91&lt;&gt;"",$U91&lt;0),"CẢNH BÁO: ĐƠN NÀY ĐANG LỖ; ","")))</f>
        <v/>
      </c>
    </row>
    <row r="92" customFormat="false" ht="15" hidden="false" customHeight="false" outlineLevel="0" collapsed="false">
      <c r="A92" s="21" t="str">
        <f aca="false">IF($C92="","",COUNTA($C$10:$C92))</f>
        <v/>
      </c>
      <c r="B92" s="18"/>
      <c r="C92" s="11"/>
      <c r="D92" s="11"/>
      <c r="E92" s="11"/>
      <c r="F92" s="11"/>
      <c r="G92" s="11"/>
      <c r="H92" s="11"/>
      <c r="I92" s="12"/>
      <c r="J92" s="13" t="str">
        <f aca="false">IF($H92="","",IFERROR(VLOOKUP($H92,'BẢNG GIÁ GỐC'!$A$5:$D$254,3,FALSE()),""))</f>
        <v/>
      </c>
      <c r="K92" s="12"/>
      <c r="L92" s="13" t="str">
        <f aca="false">IF($C92="","",N($I92)*N($K92))</f>
        <v/>
      </c>
      <c r="M92" s="11"/>
      <c r="N92" s="14" t="str">
        <f aca="false">IF($C92="","",IF($M92="VAT 5%",0.05,IF($M92="VAT 8%",0.08,IF($M92="VAT 10%",0.1,0))))</f>
        <v/>
      </c>
      <c r="O92" s="13" t="str">
        <f aca="false">IF($C92="","",$L92*$N92)</f>
        <v/>
      </c>
      <c r="P92" s="13" t="str">
        <f aca="false">IF($C92="","",$L92+$O92)</f>
        <v/>
      </c>
      <c r="Q92" s="12"/>
      <c r="R92" s="13" t="str">
        <f aca="false">IF($C92="","",MAX(0,$P92-N($Q92)))</f>
        <v/>
      </c>
      <c r="S92" s="23" t="str">
        <f aca="false">IF(OR($C92="",$P92=0),"",IF(N($Q92)&lt;=0,"Chưa thanh toán",IF(N($Q92)&lt;$P92,"Thanh toán một phần","Đã thanh toán")))</f>
        <v/>
      </c>
      <c r="T92" s="13" t="str">
        <f aca="false">IF(OR($C92="",$J92=""),"",N($I92)*$J92)</f>
        <v/>
      </c>
      <c r="U92" s="13" t="str">
        <f aca="false">IF(OR($C92="",$T92=""),"",$L92-$T92)</f>
        <v/>
      </c>
      <c r="V92" s="14" t="str">
        <f aca="false">IF(OR($U92="",$L92=0),"",$U92/$L92)</f>
        <v/>
      </c>
      <c r="W92" s="11"/>
      <c r="X92" s="23" t="str">
        <f aca="false">IF($C92="","",IF(AND($H92="",N($I92)=0,N($K92)=0),"Dòng chỉ lưu thông tin khách (chưa có đơn); ",IF($B92="","Thiếu ngày đặt; ","")&amp;IF($H92="","Thiếu tên sản phẩm; ",IF($J92="","Chưa khai GIÁ GỐC ở BẢNG GIÁ GỐC; ",""))&amp;IF(N($I92)&lt;=0,"Thiếu số lượng; ","")&amp;IF(N($K92)&lt;=0,"Thiếu giá bán; ","")&amp;IF(AND($N92&gt;0,$F92=""),"Khách lấy VAT thiếu mã số thuế; ","")&amp;IF(N($Q92)&gt;$P92,"Đã thu vượt tổng phải thu; ","")&amp;IF(AND($L92&gt;0,$U92&lt;&gt;"",$U92&lt;0),"CẢNH BÁO: ĐƠN NÀY ĐANG LỖ; ","")))</f>
        <v/>
      </c>
    </row>
    <row r="93" customFormat="false" ht="15" hidden="false" customHeight="false" outlineLevel="0" collapsed="false">
      <c r="A93" s="21" t="str">
        <f aca="false">IF($C93="","",COUNTA($C$10:$C93))</f>
        <v/>
      </c>
      <c r="B93" s="18"/>
      <c r="C93" s="11"/>
      <c r="D93" s="11"/>
      <c r="E93" s="11"/>
      <c r="F93" s="11"/>
      <c r="G93" s="11"/>
      <c r="H93" s="11"/>
      <c r="I93" s="12"/>
      <c r="J93" s="13" t="str">
        <f aca="false">IF($H93="","",IFERROR(VLOOKUP($H93,'BẢNG GIÁ GỐC'!$A$5:$D$254,3,FALSE()),""))</f>
        <v/>
      </c>
      <c r="K93" s="12"/>
      <c r="L93" s="13" t="str">
        <f aca="false">IF($C93="","",N($I93)*N($K93))</f>
        <v/>
      </c>
      <c r="M93" s="11"/>
      <c r="N93" s="14" t="str">
        <f aca="false">IF($C93="","",IF($M93="VAT 5%",0.05,IF($M93="VAT 8%",0.08,IF($M93="VAT 10%",0.1,0))))</f>
        <v/>
      </c>
      <c r="O93" s="13" t="str">
        <f aca="false">IF($C93="","",$L93*$N93)</f>
        <v/>
      </c>
      <c r="P93" s="13" t="str">
        <f aca="false">IF($C93="","",$L93+$O93)</f>
        <v/>
      </c>
      <c r="Q93" s="12"/>
      <c r="R93" s="13" t="str">
        <f aca="false">IF($C93="","",MAX(0,$P93-N($Q93)))</f>
        <v/>
      </c>
      <c r="S93" s="23" t="str">
        <f aca="false">IF(OR($C93="",$P93=0),"",IF(N($Q93)&lt;=0,"Chưa thanh toán",IF(N($Q93)&lt;$P93,"Thanh toán một phần","Đã thanh toán")))</f>
        <v/>
      </c>
      <c r="T93" s="13" t="str">
        <f aca="false">IF(OR($C93="",$J93=""),"",N($I93)*$J93)</f>
        <v/>
      </c>
      <c r="U93" s="13" t="str">
        <f aca="false">IF(OR($C93="",$T93=""),"",$L93-$T93)</f>
        <v/>
      </c>
      <c r="V93" s="14" t="str">
        <f aca="false">IF(OR($U93="",$L93=0),"",$U93/$L93)</f>
        <v/>
      </c>
      <c r="W93" s="11"/>
      <c r="X93" s="23" t="str">
        <f aca="false">IF($C93="","",IF(AND($H93="",N($I93)=0,N($K93)=0),"Dòng chỉ lưu thông tin khách (chưa có đơn); ",IF($B93="","Thiếu ngày đặt; ","")&amp;IF($H93="","Thiếu tên sản phẩm; ",IF($J93="","Chưa khai GIÁ GỐC ở BẢNG GIÁ GỐC; ",""))&amp;IF(N($I93)&lt;=0,"Thiếu số lượng; ","")&amp;IF(N($K93)&lt;=0,"Thiếu giá bán; ","")&amp;IF(AND($N93&gt;0,$F93=""),"Khách lấy VAT thiếu mã số thuế; ","")&amp;IF(N($Q93)&gt;$P93,"Đã thu vượt tổng phải thu; ","")&amp;IF(AND($L93&gt;0,$U93&lt;&gt;"",$U93&lt;0),"CẢNH BÁO: ĐƠN NÀY ĐANG LỖ; ","")))</f>
        <v/>
      </c>
    </row>
    <row r="94" customFormat="false" ht="15" hidden="false" customHeight="false" outlineLevel="0" collapsed="false">
      <c r="A94" s="21" t="str">
        <f aca="false">IF($C94="","",COUNTA($C$10:$C94))</f>
        <v/>
      </c>
      <c r="B94" s="18"/>
      <c r="C94" s="11"/>
      <c r="D94" s="11"/>
      <c r="E94" s="11"/>
      <c r="F94" s="11"/>
      <c r="G94" s="11"/>
      <c r="H94" s="11"/>
      <c r="I94" s="12"/>
      <c r="J94" s="13" t="str">
        <f aca="false">IF($H94="","",IFERROR(VLOOKUP($H94,'BẢNG GIÁ GỐC'!$A$5:$D$254,3,FALSE()),""))</f>
        <v/>
      </c>
      <c r="K94" s="12"/>
      <c r="L94" s="13" t="str">
        <f aca="false">IF($C94="","",N($I94)*N($K94))</f>
        <v/>
      </c>
      <c r="M94" s="11"/>
      <c r="N94" s="14" t="str">
        <f aca="false">IF($C94="","",IF($M94="VAT 5%",0.05,IF($M94="VAT 8%",0.08,IF($M94="VAT 10%",0.1,0))))</f>
        <v/>
      </c>
      <c r="O94" s="13" t="str">
        <f aca="false">IF($C94="","",$L94*$N94)</f>
        <v/>
      </c>
      <c r="P94" s="13" t="str">
        <f aca="false">IF($C94="","",$L94+$O94)</f>
        <v/>
      </c>
      <c r="Q94" s="12"/>
      <c r="R94" s="13" t="str">
        <f aca="false">IF($C94="","",MAX(0,$P94-N($Q94)))</f>
        <v/>
      </c>
      <c r="S94" s="23" t="str">
        <f aca="false">IF(OR($C94="",$P94=0),"",IF(N($Q94)&lt;=0,"Chưa thanh toán",IF(N($Q94)&lt;$P94,"Thanh toán một phần","Đã thanh toán")))</f>
        <v/>
      </c>
      <c r="T94" s="13" t="str">
        <f aca="false">IF(OR($C94="",$J94=""),"",N($I94)*$J94)</f>
        <v/>
      </c>
      <c r="U94" s="13" t="str">
        <f aca="false">IF(OR($C94="",$T94=""),"",$L94-$T94)</f>
        <v/>
      </c>
      <c r="V94" s="14" t="str">
        <f aca="false">IF(OR($U94="",$L94=0),"",$U94/$L94)</f>
        <v/>
      </c>
      <c r="W94" s="11"/>
      <c r="X94" s="23" t="str">
        <f aca="false">IF($C94="","",IF(AND($H94="",N($I94)=0,N($K94)=0),"Dòng chỉ lưu thông tin khách (chưa có đơn); ",IF($B94="","Thiếu ngày đặt; ","")&amp;IF($H94="","Thiếu tên sản phẩm; ",IF($J94="","Chưa khai GIÁ GỐC ở BẢNG GIÁ GỐC; ",""))&amp;IF(N($I94)&lt;=0,"Thiếu số lượng; ","")&amp;IF(N($K94)&lt;=0,"Thiếu giá bán; ","")&amp;IF(AND($N94&gt;0,$F94=""),"Khách lấy VAT thiếu mã số thuế; ","")&amp;IF(N($Q94)&gt;$P94,"Đã thu vượt tổng phải thu; ","")&amp;IF(AND($L94&gt;0,$U94&lt;&gt;"",$U94&lt;0),"CẢNH BÁO: ĐƠN NÀY ĐANG LỖ; ","")))</f>
        <v/>
      </c>
    </row>
    <row r="95" customFormat="false" ht="15" hidden="false" customHeight="false" outlineLevel="0" collapsed="false">
      <c r="A95" s="21" t="str">
        <f aca="false">IF($C95="","",COUNTA($C$10:$C95))</f>
        <v/>
      </c>
      <c r="B95" s="18"/>
      <c r="C95" s="11"/>
      <c r="D95" s="11"/>
      <c r="E95" s="11"/>
      <c r="F95" s="11"/>
      <c r="G95" s="11"/>
      <c r="H95" s="11"/>
      <c r="I95" s="12"/>
      <c r="J95" s="13" t="str">
        <f aca="false">IF($H95="","",IFERROR(VLOOKUP($H95,'BẢNG GIÁ GỐC'!$A$5:$D$254,3,FALSE()),""))</f>
        <v/>
      </c>
      <c r="K95" s="12"/>
      <c r="L95" s="13" t="str">
        <f aca="false">IF($C95="","",N($I95)*N($K95))</f>
        <v/>
      </c>
      <c r="M95" s="11"/>
      <c r="N95" s="14" t="str">
        <f aca="false">IF($C95="","",IF($M95="VAT 5%",0.05,IF($M95="VAT 8%",0.08,IF($M95="VAT 10%",0.1,0))))</f>
        <v/>
      </c>
      <c r="O95" s="13" t="str">
        <f aca="false">IF($C95="","",$L95*$N95)</f>
        <v/>
      </c>
      <c r="P95" s="13" t="str">
        <f aca="false">IF($C95="","",$L95+$O95)</f>
        <v/>
      </c>
      <c r="Q95" s="12"/>
      <c r="R95" s="13" t="str">
        <f aca="false">IF($C95="","",MAX(0,$P95-N($Q95)))</f>
        <v/>
      </c>
      <c r="S95" s="23" t="str">
        <f aca="false">IF(OR($C95="",$P95=0),"",IF(N($Q95)&lt;=0,"Chưa thanh toán",IF(N($Q95)&lt;$P95,"Thanh toán một phần","Đã thanh toán")))</f>
        <v/>
      </c>
      <c r="T95" s="13" t="str">
        <f aca="false">IF(OR($C95="",$J95=""),"",N($I95)*$J95)</f>
        <v/>
      </c>
      <c r="U95" s="13" t="str">
        <f aca="false">IF(OR($C95="",$T95=""),"",$L95-$T95)</f>
        <v/>
      </c>
      <c r="V95" s="14" t="str">
        <f aca="false">IF(OR($U95="",$L95=0),"",$U95/$L95)</f>
        <v/>
      </c>
      <c r="W95" s="11"/>
      <c r="X95" s="23" t="str">
        <f aca="false">IF($C95="","",IF(AND($H95="",N($I95)=0,N($K95)=0),"Dòng chỉ lưu thông tin khách (chưa có đơn); ",IF($B95="","Thiếu ngày đặt; ","")&amp;IF($H95="","Thiếu tên sản phẩm; ",IF($J95="","Chưa khai GIÁ GỐC ở BẢNG GIÁ GỐC; ",""))&amp;IF(N($I95)&lt;=0,"Thiếu số lượng; ","")&amp;IF(N($K95)&lt;=0,"Thiếu giá bán; ","")&amp;IF(AND($N95&gt;0,$F95=""),"Khách lấy VAT thiếu mã số thuế; ","")&amp;IF(N($Q95)&gt;$P95,"Đã thu vượt tổng phải thu; ","")&amp;IF(AND($L95&gt;0,$U95&lt;&gt;"",$U95&lt;0),"CẢNH BÁO: ĐƠN NÀY ĐANG LỖ; ","")))</f>
        <v/>
      </c>
    </row>
    <row r="96" customFormat="false" ht="15" hidden="false" customHeight="false" outlineLevel="0" collapsed="false">
      <c r="A96" s="21" t="str">
        <f aca="false">IF($C96="","",COUNTA($C$10:$C96))</f>
        <v/>
      </c>
      <c r="B96" s="18"/>
      <c r="C96" s="11"/>
      <c r="D96" s="11"/>
      <c r="E96" s="11"/>
      <c r="F96" s="11"/>
      <c r="G96" s="11"/>
      <c r="H96" s="11"/>
      <c r="I96" s="12"/>
      <c r="J96" s="13" t="str">
        <f aca="false">IF($H96="","",IFERROR(VLOOKUP($H96,'BẢNG GIÁ GỐC'!$A$5:$D$254,3,FALSE()),""))</f>
        <v/>
      </c>
      <c r="K96" s="12"/>
      <c r="L96" s="13" t="str">
        <f aca="false">IF($C96="","",N($I96)*N($K96))</f>
        <v/>
      </c>
      <c r="M96" s="11"/>
      <c r="N96" s="14" t="str">
        <f aca="false">IF($C96="","",IF($M96="VAT 5%",0.05,IF($M96="VAT 8%",0.08,IF($M96="VAT 10%",0.1,0))))</f>
        <v/>
      </c>
      <c r="O96" s="13" t="str">
        <f aca="false">IF($C96="","",$L96*$N96)</f>
        <v/>
      </c>
      <c r="P96" s="13" t="str">
        <f aca="false">IF($C96="","",$L96+$O96)</f>
        <v/>
      </c>
      <c r="Q96" s="12"/>
      <c r="R96" s="13" t="str">
        <f aca="false">IF($C96="","",MAX(0,$P96-N($Q96)))</f>
        <v/>
      </c>
      <c r="S96" s="23" t="str">
        <f aca="false">IF(OR($C96="",$P96=0),"",IF(N($Q96)&lt;=0,"Chưa thanh toán",IF(N($Q96)&lt;$P96,"Thanh toán một phần","Đã thanh toán")))</f>
        <v/>
      </c>
      <c r="T96" s="13" t="str">
        <f aca="false">IF(OR($C96="",$J96=""),"",N($I96)*$J96)</f>
        <v/>
      </c>
      <c r="U96" s="13" t="str">
        <f aca="false">IF(OR($C96="",$T96=""),"",$L96-$T96)</f>
        <v/>
      </c>
      <c r="V96" s="14" t="str">
        <f aca="false">IF(OR($U96="",$L96=0),"",$U96/$L96)</f>
        <v/>
      </c>
      <c r="W96" s="11"/>
      <c r="X96" s="23" t="str">
        <f aca="false">IF($C96="","",IF(AND($H96="",N($I96)=0,N($K96)=0),"Dòng chỉ lưu thông tin khách (chưa có đơn); ",IF($B96="","Thiếu ngày đặt; ","")&amp;IF($H96="","Thiếu tên sản phẩm; ",IF($J96="","Chưa khai GIÁ GỐC ở BẢNG GIÁ GỐC; ",""))&amp;IF(N($I96)&lt;=0,"Thiếu số lượng; ","")&amp;IF(N($K96)&lt;=0,"Thiếu giá bán; ","")&amp;IF(AND($N96&gt;0,$F96=""),"Khách lấy VAT thiếu mã số thuế; ","")&amp;IF(N($Q96)&gt;$P96,"Đã thu vượt tổng phải thu; ","")&amp;IF(AND($L96&gt;0,$U96&lt;&gt;"",$U96&lt;0),"CẢNH BÁO: ĐƠN NÀY ĐANG LỖ; ","")))</f>
        <v/>
      </c>
    </row>
    <row r="97" customFormat="false" ht="15" hidden="false" customHeight="false" outlineLevel="0" collapsed="false">
      <c r="A97" s="21" t="str">
        <f aca="false">IF($C97="","",COUNTA($C$10:$C97))</f>
        <v/>
      </c>
      <c r="B97" s="18"/>
      <c r="C97" s="11"/>
      <c r="D97" s="11"/>
      <c r="E97" s="11"/>
      <c r="F97" s="11"/>
      <c r="G97" s="11"/>
      <c r="H97" s="11"/>
      <c r="I97" s="12"/>
      <c r="J97" s="13" t="str">
        <f aca="false">IF($H97="","",IFERROR(VLOOKUP($H97,'BẢNG GIÁ GỐC'!$A$5:$D$254,3,FALSE()),""))</f>
        <v/>
      </c>
      <c r="K97" s="12"/>
      <c r="L97" s="13" t="str">
        <f aca="false">IF($C97="","",N($I97)*N($K97))</f>
        <v/>
      </c>
      <c r="M97" s="11"/>
      <c r="N97" s="14" t="str">
        <f aca="false">IF($C97="","",IF($M97="VAT 5%",0.05,IF($M97="VAT 8%",0.08,IF($M97="VAT 10%",0.1,0))))</f>
        <v/>
      </c>
      <c r="O97" s="13" t="str">
        <f aca="false">IF($C97="","",$L97*$N97)</f>
        <v/>
      </c>
      <c r="P97" s="13" t="str">
        <f aca="false">IF($C97="","",$L97+$O97)</f>
        <v/>
      </c>
      <c r="Q97" s="12"/>
      <c r="R97" s="13" t="str">
        <f aca="false">IF($C97="","",MAX(0,$P97-N($Q97)))</f>
        <v/>
      </c>
      <c r="S97" s="23" t="str">
        <f aca="false">IF(OR($C97="",$P97=0),"",IF(N($Q97)&lt;=0,"Chưa thanh toán",IF(N($Q97)&lt;$P97,"Thanh toán một phần","Đã thanh toán")))</f>
        <v/>
      </c>
      <c r="T97" s="13" t="str">
        <f aca="false">IF(OR($C97="",$J97=""),"",N($I97)*$J97)</f>
        <v/>
      </c>
      <c r="U97" s="13" t="str">
        <f aca="false">IF(OR($C97="",$T97=""),"",$L97-$T97)</f>
        <v/>
      </c>
      <c r="V97" s="14" t="str">
        <f aca="false">IF(OR($U97="",$L97=0),"",$U97/$L97)</f>
        <v/>
      </c>
      <c r="W97" s="11"/>
      <c r="X97" s="23" t="str">
        <f aca="false">IF($C97="","",IF(AND($H97="",N($I97)=0,N($K97)=0),"Dòng chỉ lưu thông tin khách (chưa có đơn); ",IF($B97="","Thiếu ngày đặt; ","")&amp;IF($H97="","Thiếu tên sản phẩm; ",IF($J97="","Chưa khai GIÁ GỐC ở BẢNG GIÁ GỐC; ",""))&amp;IF(N($I97)&lt;=0,"Thiếu số lượng; ","")&amp;IF(N($K97)&lt;=0,"Thiếu giá bán; ","")&amp;IF(AND($N97&gt;0,$F97=""),"Khách lấy VAT thiếu mã số thuế; ","")&amp;IF(N($Q97)&gt;$P97,"Đã thu vượt tổng phải thu; ","")&amp;IF(AND($L97&gt;0,$U97&lt;&gt;"",$U97&lt;0),"CẢNH BÁO: ĐƠN NÀY ĐANG LỖ; ","")))</f>
        <v/>
      </c>
    </row>
    <row r="98" customFormat="false" ht="15" hidden="false" customHeight="false" outlineLevel="0" collapsed="false">
      <c r="A98" s="21" t="str">
        <f aca="false">IF($C98="","",COUNTA($C$10:$C98))</f>
        <v/>
      </c>
      <c r="B98" s="18"/>
      <c r="C98" s="11"/>
      <c r="D98" s="11"/>
      <c r="E98" s="11"/>
      <c r="F98" s="11"/>
      <c r="G98" s="11"/>
      <c r="H98" s="11"/>
      <c r="I98" s="12"/>
      <c r="J98" s="13" t="str">
        <f aca="false">IF($H98="","",IFERROR(VLOOKUP($H98,'BẢNG GIÁ GỐC'!$A$5:$D$254,3,FALSE()),""))</f>
        <v/>
      </c>
      <c r="K98" s="12"/>
      <c r="L98" s="13" t="str">
        <f aca="false">IF($C98="","",N($I98)*N($K98))</f>
        <v/>
      </c>
      <c r="M98" s="11"/>
      <c r="N98" s="14" t="str">
        <f aca="false">IF($C98="","",IF($M98="VAT 5%",0.05,IF($M98="VAT 8%",0.08,IF($M98="VAT 10%",0.1,0))))</f>
        <v/>
      </c>
      <c r="O98" s="13" t="str">
        <f aca="false">IF($C98="","",$L98*$N98)</f>
        <v/>
      </c>
      <c r="P98" s="13" t="str">
        <f aca="false">IF($C98="","",$L98+$O98)</f>
        <v/>
      </c>
      <c r="Q98" s="12"/>
      <c r="R98" s="13" t="str">
        <f aca="false">IF($C98="","",MAX(0,$P98-N($Q98)))</f>
        <v/>
      </c>
      <c r="S98" s="23" t="str">
        <f aca="false">IF(OR($C98="",$P98=0),"",IF(N($Q98)&lt;=0,"Chưa thanh toán",IF(N($Q98)&lt;$P98,"Thanh toán một phần","Đã thanh toán")))</f>
        <v/>
      </c>
      <c r="T98" s="13" t="str">
        <f aca="false">IF(OR($C98="",$J98=""),"",N($I98)*$J98)</f>
        <v/>
      </c>
      <c r="U98" s="13" t="str">
        <f aca="false">IF(OR($C98="",$T98=""),"",$L98-$T98)</f>
        <v/>
      </c>
      <c r="V98" s="14" t="str">
        <f aca="false">IF(OR($U98="",$L98=0),"",$U98/$L98)</f>
        <v/>
      </c>
      <c r="W98" s="11"/>
      <c r="X98" s="23" t="str">
        <f aca="false">IF($C98="","",IF(AND($H98="",N($I98)=0,N($K98)=0),"Dòng chỉ lưu thông tin khách (chưa có đơn); ",IF($B98="","Thiếu ngày đặt; ","")&amp;IF($H98="","Thiếu tên sản phẩm; ",IF($J98="","Chưa khai GIÁ GỐC ở BẢNG GIÁ GỐC; ",""))&amp;IF(N($I98)&lt;=0,"Thiếu số lượng; ","")&amp;IF(N($K98)&lt;=0,"Thiếu giá bán; ","")&amp;IF(AND($N98&gt;0,$F98=""),"Khách lấy VAT thiếu mã số thuế; ","")&amp;IF(N($Q98)&gt;$P98,"Đã thu vượt tổng phải thu; ","")&amp;IF(AND($L98&gt;0,$U98&lt;&gt;"",$U98&lt;0),"CẢNH BÁO: ĐƠN NÀY ĐANG LỖ; ","")))</f>
        <v/>
      </c>
    </row>
    <row r="99" customFormat="false" ht="15" hidden="false" customHeight="false" outlineLevel="0" collapsed="false">
      <c r="A99" s="21" t="str">
        <f aca="false">IF($C99="","",COUNTA($C$10:$C99))</f>
        <v/>
      </c>
      <c r="B99" s="18"/>
      <c r="C99" s="11"/>
      <c r="D99" s="11"/>
      <c r="E99" s="11"/>
      <c r="F99" s="11"/>
      <c r="G99" s="11"/>
      <c r="H99" s="11"/>
      <c r="I99" s="12"/>
      <c r="J99" s="13" t="str">
        <f aca="false">IF($H99="","",IFERROR(VLOOKUP($H99,'BẢNG GIÁ GỐC'!$A$5:$D$254,3,FALSE()),""))</f>
        <v/>
      </c>
      <c r="K99" s="12"/>
      <c r="L99" s="13" t="str">
        <f aca="false">IF($C99="","",N($I99)*N($K99))</f>
        <v/>
      </c>
      <c r="M99" s="11"/>
      <c r="N99" s="14" t="str">
        <f aca="false">IF($C99="","",IF($M99="VAT 5%",0.05,IF($M99="VAT 8%",0.08,IF($M99="VAT 10%",0.1,0))))</f>
        <v/>
      </c>
      <c r="O99" s="13" t="str">
        <f aca="false">IF($C99="","",$L99*$N99)</f>
        <v/>
      </c>
      <c r="P99" s="13" t="str">
        <f aca="false">IF($C99="","",$L99+$O99)</f>
        <v/>
      </c>
      <c r="Q99" s="12"/>
      <c r="R99" s="13" t="str">
        <f aca="false">IF($C99="","",MAX(0,$P99-N($Q99)))</f>
        <v/>
      </c>
      <c r="S99" s="23" t="str">
        <f aca="false">IF(OR($C99="",$P99=0),"",IF(N($Q99)&lt;=0,"Chưa thanh toán",IF(N($Q99)&lt;$P99,"Thanh toán một phần","Đã thanh toán")))</f>
        <v/>
      </c>
      <c r="T99" s="13" t="str">
        <f aca="false">IF(OR($C99="",$J99=""),"",N($I99)*$J99)</f>
        <v/>
      </c>
      <c r="U99" s="13" t="str">
        <f aca="false">IF(OR($C99="",$T99=""),"",$L99-$T99)</f>
        <v/>
      </c>
      <c r="V99" s="14" t="str">
        <f aca="false">IF(OR($U99="",$L99=0),"",$U99/$L99)</f>
        <v/>
      </c>
      <c r="W99" s="11"/>
      <c r="X99" s="23" t="str">
        <f aca="false">IF($C99="","",IF(AND($H99="",N($I99)=0,N($K99)=0),"Dòng chỉ lưu thông tin khách (chưa có đơn); ",IF($B99="","Thiếu ngày đặt; ","")&amp;IF($H99="","Thiếu tên sản phẩm; ",IF($J99="","Chưa khai GIÁ GỐC ở BẢNG GIÁ GỐC; ",""))&amp;IF(N($I99)&lt;=0,"Thiếu số lượng; ","")&amp;IF(N($K99)&lt;=0,"Thiếu giá bán; ","")&amp;IF(AND($N99&gt;0,$F99=""),"Khách lấy VAT thiếu mã số thuế; ","")&amp;IF(N($Q99)&gt;$P99,"Đã thu vượt tổng phải thu; ","")&amp;IF(AND($L99&gt;0,$U99&lt;&gt;"",$U99&lt;0),"CẢNH BÁO: ĐƠN NÀY ĐANG LỖ; ","")))</f>
        <v/>
      </c>
    </row>
    <row r="100" customFormat="false" ht="15" hidden="false" customHeight="false" outlineLevel="0" collapsed="false">
      <c r="A100" s="21" t="str">
        <f aca="false">IF($C100="","",COUNTA($C$10:$C100))</f>
        <v/>
      </c>
      <c r="B100" s="18"/>
      <c r="C100" s="11"/>
      <c r="D100" s="11"/>
      <c r="E100" s="11"/>
      <c r="F100" s="11"/>
      <c r="G100" s="11"/>
      <c r="H100" s="11"/>
      <c r="I100" s="12"/>
      <c r="J100" s="13" t="str">
        <f aca="false">IF($H100="","",IFERROR(VLOOKUP($H100,'BẢNG GIÁ GỐC'!$A$5:$D$254,3,FALSE()),""))</f>
        <v/>
      </c>
      <c r="K100" s="12"/>
      <c r="L100" s="13" t="str">
        <f aca="false">IF($C100="","",N($I100)*N($K100))</f>
        <v/>
      </c>
      <c r="M100" s="11"/>
      <c r="N100" s="14" t="str">
        <f aca="false">IF($C100="","",IF($M100="VAT 5%",0.05,IF($M100="VAT 8%",0.08,IF($M100="VAT 10%",0.1,0))))</f>
        <v/>
      </c>
      <c r="O100" s="13" t="str">
        <f aca="false">IF($C100="","",$L100*$N100)</f>
        <v/>
      </c>
      <c r="P100" s="13" t="str">
        <f aca="false">IF($C100="","",$L100+$O100)</f>
        <v/>
      </c>
      <c r="Q100" s="12"/>
      <c r="R100" s="13" t="str">
        <f aca="false">IF($C100="","",MAX(0,$P100-N($Q100)))</f>
        <v/>
      </c>
      <c r="S100" s="23" t="str">
        <f aca="false">IF(OR($C100="",$P100=0),"",IF(N($Q100)&lt;=0,"Chưa thanh toán",IF(N($Q100)&lt;$P100,"Thanh toán một phần","Đã thanh toán")))</f>
        <v/>
      </c>
      <c r="T100" s="13" t="str">
        <f aca="false">IF(OR($C100="",$J100=""),"",N($I100)*$J100)</f>
        <v/>
      </c>
      <c r="U100" s="13" t="str">
        <f aca="false">IF(OR($C100="",$T100=""),"",$L100-$T100)</f>
        <v/>
      </c>
      <c r="V100" s="14" t="str">
        <f aca="false">IF(OR($U100="",$L100=0),"",$U100/$L100)</f>
        <v/>
      </c>
      <c r="W100" s="11"/>
      <c r="X100" s="23" t="str">
        <f aca="false">IF($C100="","",IF(AND($H100="",N($I100)=0,N($K100)=0),"Dòng chỉ lưu thông tin khách (chưa có đơn); ",IF($B100="","Thiếu ngày đặt; ","")&amp;IF($H100="","Thiếu tên sản phẩm; ",IF($J100="","Chưa khai GIÁ GỐC ở BẢNG GIÁ GỐC; ",""))&amp;IF(N($I100)&lt;=0,"Thiếu số lượng; ","")&amp;IF(N($K100)&lt;=0,"Thiếu giá bán; ","")&amp;IF(AND($N100&gt;0,$F100=""),"Khách lấy VAT thiếu mã số thuế; ","")&amp;IF(N($Q100)&gt;$P100,"Đã thu vượt tổng phải thu; ","")&amp;IF(AND($L100&gt;0,$U100&lt;&gt;"",$U100&lt;0),"CẢNH BÁO: ĐƠN NÀY ĐANG LỖ; ","")))</f>
        <v/>
      </c>
    </row>
    <row r="101" customFormat="false" ht="15" hidden="false" customHeight="false" outlineLevel="0" collapsed="false">
      <c r="A101" s="21" t="str">
        <f aca="false">IF($C101="","",COUNTA($C$10:$C101))</f>
        <v/>
      </c>
      <c r="B101" s="18"/>
      <c r="C101" s="11"/>
      <c r="D101" s="11"/>
      <c r="E101" s="11"/>
      <c r="F101" s="11"/>
      <c r="G101" s="11"/>
      <c r="H101" s="11"/>
      <c r="I101" s="12"/>
      <c r="J101" s="13" t="str">
        <f aca="false">IF($H101="","",IFERROR(VLOOKUP($H101,'BẢNG GIÁ GỐC'!$A$5:$D$254,3,FALSE()),""))</f>
        <v/>
      </c>
      <c r="K101" s="12"/>
      <c r="L101" s="13" t="str">
        <f aca="false">IF($C101="","",N($I101)*N($K101))</f>
        <v/>
      </c>
      <c r="M101" s="11"/>
      <c r="N101" s="14" t="str">
        <f aca="false">IF($C101="","",IF($M101="VAT 5%",0.05,IF($M101="VAT 8%",0.08,IF($M101="VAT 10%",0.1,0))))</f>
        <v/>
      </c>
      <c r="O101" s="13" t="str">
        <f aca="false">IF($C101="","",$L101*$N101)</f>
        <v/>
      </c>
      <c r="P101" s="13" t="str">
        <f aca="false">IF($C101="","",$L101+$O101)</f>
        <v/>
      </c>
      <c r="Q101" s="12"/>
      <c r="R101" s="13" t="str">
        <f aca="false">IF($C101="","",MAX(0,$P101-N($Q101)))</f>
        <v/>
      </c>
      <c r="S101" s="23" t="str">
        <f aca="false">IF(OR($C101="",$P101=0),"",IF(N($Q101)&lt;=0,"Chưa thanh toán",IF(N($Q101)&lt;$P101,"Thanh toán một phần","Đã thanh toán")))</f>
        <v/>
      </c>
      <c r="T101" s="13" t="str">
        <f aca="false">IF(OR($C101="",$J101=""),"",N($I101)*$J101)</f>
        <v/>
      </c>
      <c r="U101" s="13" t="str">
        <f aca="false">IF(OR($C101="",$T101=""),"",$L101-$T101)</f>
        <v/>
      </c>
      <c r="V101" s="14" t="str">
        <f aca="false">IF(OR($U101="",$L101=0),"",$U101/$L101)</f>
        <v/>
      </c>
      <c r="W101" s="11"/>
      <c r="X101" s="23" t="str">
        <f aca="false">IF($C101="","",IF(AND($H101="",N($I101)=0,N($K101)=0),"Dòng chỉ lưu thông tin khách (chưa có đơn); ",IF($B101="","Thiếu ngày đặt; ","")&amp;IF($H101="","Thiếu tên sản phẩm; ",IF($J101="","Chưa khai GIÁ GỐC ở BẢNG GIÁ GỐC; ",""))&amp;IF(N($I101)&lt;=0,"Thiếu số lượng; ","")&amp;IF(N($K101)&lt;=0,"Thiếu giá bán; ","")&amp;IF(AND($N101&gt;0,$F101=""),"Khách lấy VAT thiếu mã số thuế; ","")&amp;IF(N($Q101)&gt;$P101,"Đã thu vượt tổng phải thu; ","")&amp;IF(AND($L101&gt;0,$U101&lt;&gt;"",$U101&lt;0),"CẢNH BÁO: ĐƠN NÀY ĐANG LỖ; ","")))</f>
        <v/>
      </c>
    </row>
    <row r="102" customFormat="false" ht="15" hidden="false" customHeight="false" outlineLevel="0" collapsed="false">
      <c r="A102" s="21" t="str">
        <f aca="false">IF($C102="","",COUNTA($C$10:$C102))</f>
        <v/>
      </c>
      <c r="B102" s="18"/>
      <c r="C102" s="11"/>
      <c r="D102" s="11"/>
      <c r="E102" s="11"/>
      <c r="F102" s="11"/>
      <c r="G102" s="11"/>
      <c r="H102" s="11"/>
      <c r="I102" s="12"/>
      <c r="J102" s="13" t="str">
        <f aca="false">IF($H102="","",IFERROR(VLOOKUP($H102,'BẢNG GIÁ GỐC'!$A$5:$D$254,3,FALSE()),""))</f>
        <v/>
      </c>
      <c r="K102" s="12"/>
      <c r="L102" s="13" t="str">
        <f aca="false">IF($C102="","",N($I102)*N($K102))</f>
        <v/>
      </c>
      <c r="M102" s="11"/>
      <c r="N102" s="14" t="str">
        <f aca="false">IF($C102="","",IF($M102="VAT 5%",0.05,IF($M102="VAT 8%",0.08,IF($M102="VAT 10%",0.1,0))))</f>
        <v/>
      </c>
      <c r="O102" s="13" t="str">
        <f aca="false">IF($C102="","",$L102*$N102)</f>
        <v/>
      </c>
      <c r="P102" s="13" t="str">
        <f aca="false">IF($C102="","",$L102+$O102)</f>
        <v/>
      </c>
      <c r="Q102" s="12"/>
      <c r="R102" s="13" t="str">
        <f aca="false">IF($C102="","",MAX(0,$P102-N($Q102)))</f>
        <v/>
      </c>
      <c r="S102" s="23" t="str">
        <f aca="false">IF(OR($C102="",$P102=0),"",IF(N($Q102)&lt;=0,"Chưa thanh toán",IF(N($Q102)&lt;$P102,"Thanh toán một phần","Đã thanh toán")))</f>
        <v/>
      </c>
      <c r="T102" s="13" t="str">
        <f aca="false">IF(OR($C102="",$J102=""),"",N($I102)*$J102)</f>
        <v/>
      </c>
      <c r="U102" s="13" t="str">
        <f aca="false">IF(OR($C102="",$T102=""),"",$L102-$T102)</f>
        <v/>
      </c>
      <c r="V102" s="14" t="str">
        <f aca="false">IF(OR($U102="",$L102=0),"",$U102/$L102)</f>
        <v/>
      </c>
      <c r="W102" s="11"/>
      <c r="X102" s="23" t="str">
        <f aca="false">IF($C102="","",IF(AND($H102="",N($I102)=0,N($K102)=0),"Dòng chỉ lưu thông tin khách (chưa có đơn); ",IF($B102="","Thiếu ngày đặt; ","")&amp;IF($H102="","Thiếu tên sản phẩm; ",IF($J102="","Chưa khai GIÁ GỐC ở BẢNG GIÁ GỐC; ",""))&amp;IF(N($I102)&lt;=0,"Thiếu số lượng; ","")&amp;IF(N($K102)&lt;=0,"Thiếu giá bán; ","")&amp;IF(AND($N102&gt;0,$F102=""),"Khách lấy VAT thiếu mã số thuế; ","")&amp;IF(N($Q102)&gt;$P102,"Đã thu vượt tổng phải thu; ","")&amp;IF(AND($L102&gt;0,$U102&lt;&gt;"",$U102&lt;0),"CẢNH BÁO: ĐƠN NÀY ĐANG LỖ; ","")))</f>
        <v/>
      </c>
    </row>
    <row r="103" customFormat="false" ht="15" hidden="false" customHeight="false" outlineLevel="0" collapsed="false">
      <c r="A103" s="21" t="str">
        <f aca="false">IF($C103="","",COUNTA($C$10:$C103))</f>
        <v/>
      </c>
      <c r="B103" s="18"/>
      <c r="C103" s="11"/>
      <c r="D103" s="11"/>
      <c r="E103" s="11"/>
      <c r="F103" s="11"/>
      <c r="G103" s="11"/>
      <c r="H103" s="11"/>
      <c r="I103" s="12"/>
      <c r="J103" s="13" t="str">
        <f aca="false">IF($H103="","",IFERROR(VLOOKUP($H103,'BẢNG GIÁ GỐC'!$A$5:$D$254,3,FALSE()),""))</f>
        <v/>
      </c>
      <c r="K103" s="12"/>
      <c r="L103" s="13" t="str">
        <f aca="false">IF($C103="","",N($I103)*N($K103))</f>
        <v/>
      </c>
      <c r="M103" s="11"/>
      <c r="N103" s="14" t="str">
        <f aca="false">IF($C103="","",IF($M103="VAT 5%",0.05,IF($M103="VAT 8%",0.08,IF($M103="VAT 10%",0.1,0))))</f>
        <v/>
      </c>
      <c r="O103" s="13" t="str">
        <f aca="false">IF($C103="","",$L103*$N103)</f>
        <v/>
      </c>
      <c r="P103" s="13" t="str">
        <f aca="false">IF($C103="","",$L103+$O103)</f>
        <v/>
      </c>
      <c r="Q103" s="12"/>
      <c r="R103" s="13" t="str">
        <f aca="false">IF($C103="","",MAX(0,$P103-N($Q103)))</f>
        <v/>
      </c>
      <c r="S103" s="23" t="str">
        <f aca="false">IF(OR($C103="",$P103=0),"",IF(N($Q103)&lt;=0,"Chưa thanh toán",IF(N($Q103)&lt;$P103,"Thanh toán một phần","Đã thanh toán")))</f>
        <v/>
      </c>
      <c r="T103" s="13" t="str">
        <f aca="false">IF(OR($C103="",$J103=""),"",N($I103)*$J103)</f>
        <v/>
      </c>
      <c r="U103" s="13" t="str">
        <f aca="false">IF(OR($C103="",$T103=""),"",$L103-$T103)</f>
        <v/>
      </c>
      <c r="V103" s="14" t="str">
        <f aca="false">IF(OR($U103="",$L103=0),"",$U103/$L103)</f>
        <v/>
      </c>
      <c r="W103" s="11"/>
      <c r="X103" s="23" t="str">
        <f aca="false">IF($C103="","",IF(AND($H103="",N($I103)=0,N($K103)=0),"Dòng chỉ lưu thông tin khách (chưa có đơn); ",IF($B103="","Thiếu ngày đặt; ","")&amp;IF($H103="","Thiếu tên sản phẩm; ",IF($J103="","Chưa khai GIÁ GỐC ở BẢNG GIÁ GỐC; ",""))&amp;IF(N($I103)&lt;=0,"Thiếu số lượng; ","")&amp;IF(N($K103)&lt;=0,"Thiếu giá bán; ","")&amp;IF(AND($N103&gt;0,$F103=""),"Khách lấy VAT thiếu mã số thuế; ","")&amp;IF(N($Q103)&gt;$P103,"Đã thu vượt tổng phải thu; ","")&amp;IF(AND($L103&gt;0,$U103&lt;&gt;"",$U103&lt;0),"CẢNH BÁO: ĐƠN NÀY ĐANG LỖ; ","")))</f>
        <v/>
      </c>
    </row>
    <row r="104" customFormat="false" ht="15" hidden="false" customHeight="false" outlineLevel="0" collapsed="false">
      <c r="A104" s="21" t="str">
        <f aca="false">IF($C104="","",COUNTA($C$10:$C104))</f>
        <v/>
      </c>
      <c r="B104" s="18"/>
      <c r="C104" s="11"/>
      <c r="D104" s="11"/>
      <c r="E104" s="11"/>
      <c r="F104" s="11"/>
      <c r="G104" s="11"/>
      <c r="H104" s="11"/>
      <c r="I104" s="12"/>
      <c r="J104" s="13" t="str">
        <f aca="false">IF($H104="","",IFERROR(VLOOKUP($H104,'BẢNG GIÁ GỐC'!$A$5:$D$254,3,FALSE()),""))</f>
        <v/>
      </c>
      <c r="K104" s="12"/>
      <c r="L104" s="13" t="str">
        <f aca="false">IF($C104="","",N($I104)*N($K104))</f>
        <v/>
      </c>
      <c r="M104" s="11"/>
      <c r="N104" s="14" t="str">
        <f aca="false">IF($C104="","",IF($M104="VAT 5%",0.05,IF($M104="VAT 8%",0.08,IF($M104="VAT 10%",0.1,0))))</f>
        <v/>
      </c>
      <c r="O104" s="13" t="str">
        <f aca="false">IF($C104="","",$L104*$N104)</f>
        <v/>
      </c>
      <c r="P104" s="13" t="str">
        <f aca="false">IF($C104="","",$L104+$O104)</f>
        <v/>
      </c>
      <c r="Q104" s="12"/>
      <c r="R104" s="13" t="str">
        <f aca="false">IF($C104="","",MAX(0,$P104-N($Q104)))</f>
        <v/>
      </c>
      <c r="S104" s="23" t="str">
        <f aca="false">IF(OR($C104="",$P104=0),"",IF(N($Q104)&lt;=0,"Chưa thanh toán",IF(N($Q104)&lt;$P104,"Thanh toán một phần","Đã thanh toán")))</f>
        <v/>
      </c>
      <c r="T104" s="13" t="str">
        <f aca="false">IF(OR($C104="",$J104=""),"",N($I104)*$J104)</f>
        <v/>
      </c>
      <c r="U104" s="13" t="str">
        <f aca="false">IF(OR($C104="",$T104=""),"",$L104-$T104)</f>
        <v/>
      </c>
      <c r="V104" s="14" t="str">
        <f aca="false">IF(OR($U104="",$L104=0),"",$U104/$L104)</f>
        <v/>
      </c>
      <c r="W104" s="11"/>
      <c r="X104" s="23" t="str">
        <f aca="false">IF($C104="","",IF(AND($H104="",N($I104)=0,N($K104)=0),"Dòng chỉ lưu thông tin khách (chưa có đơn); ",IF($B104="","Thiếu ngày đặt; ","")&amp;IF($H104="","Thiếu tên sản phẩm; ",IF($J104="","Chưa khai GIÁ GỐC ở BẢNG GIÁ GỐC; ",""))&amp;IF(N($I104)&lt;=0,"Thiếu số lượng; ","")&amp;IF(N($K104)&lt;=0,"Thiếu giá bán; ","")&amp;IF(AND($N104&gt;0,$F104=""),"Khách lấy VAT thiếu mã số thuế; ","")&amp;IF(N($Q104)&gt;$P104,"Đã thu vượt tổng phải thu; ","")&amp;IF(AND($L104&gt;0,$U104&lt;&gt;"",$U104&lt;0),"CẢNH BÁO: ĐƠN NÀY ĐANG LỖ; ","")))</f>
        <v/>
      </c>
    </row>
    <row r="105" customFormat="false" ht="15" hidden="false" customHeight="false" outlineLevel="0" collapsed="false">
      <c r="A105" s="21" t="str">
        <f aca="false">IF($C105="","",COUNTA($C$10:$C105))</f>
        <v/>
      </c>
      <c r="B105" s="18"/>
      <c r="C105" s="11"/>
      <c r="D105" s="11"/>
      <c r="E105" s="11"/>
      <c r="F105" s="11"/>
      <c r="G105" s="11"/>
      <c r="H105" s="11"/>
      <c r="I105" s="12"/>
      <c r="J105" s="13" t="str">
        <f aca="false">IF($H105="","",IFERROR(VLOOKUP($H105,'BẢNG GIÁ GỐC'!$A$5:$D$254,3,FALSE()),""))</f>
        <v/>
      </c>
      <c r="K105" s="12"/>
      <c r="L105" s="13" t="str">
        <f aca="false">IF($C105="","",N($I105)*N($K105))</f>
        <v/>
      </c>
      <c r="M105" s="11"/>
      <c r="N105" s="14" t="str">
        <f aca="false">IF($C105="","",IF($M105="VAT 5%",0.05,IF($M105="VAT 8%",0.08,IF($M105="VAT 10%",0.1,0))))</f>
        <v/>
      </c>
      <c r="O105" s="13" t="str">
        <f aca="false">IF($C105="","",$L105*$N105)</f>
        <v/>
      </c>
      <c r="P105" s="13" t="str">
        <f aca="false">IF($C105="","",$L105+$O105)</f>
        <v/>
      </c>
      <c r="Q105" s="12"/>
      <c r="R105" s="13" t="str">
        <f aca="false">IF($C105="","",MAX(0,$P105-N($Q105)))</f>
        <v/>
      </c>
      <c r="S105" s="23" t="str">
        <f aca="false">IF(OR($C105="",$P105=0),"",IF(N($Q105)&lt;=0,"Chưa thanh toán",IF(N($Q105)&lt;$P105,"Thanh toán một phần","Đã thanh toán")))</f>
        <v/>
      </c>
      <c r="T105" s="13" t="str">
        <f aca="false">IF(OR($C105="",$J105=""),"",N($I105)*$J105)</f>
        <v/>
      </c>
      <c r="U105" s="13" t="str">
        <f aca="false">IF(OR($C105="",$T105=""),"",$L105-$T105)</f>
        <v/>
      </c>
      <c r="V105" s="14" t="str">
        <f aca="false">IF(OR($U105="",$L105=0),"",$U105/$L105)</f>
        <v/>
      </c>
      <c r="W105" s="11"/>
      <c r="X105" s="23" t="str">
        <f aca="false">IF($C105="","",IF(AND($H105="",N($I105)=0,N($K105)=0),"Dòng chỉ lưu thông tin khách (chưa có đơn); ",IF($B105="","Thiếu ngày đặt; ","")&amp;IF($H105="","Thiếu tên sản phẩm; ",IF($J105="","Chưa khai GIÁ GỐC ở BẢNG GIÁ GỐC; ",""))&amp;IF(N($I105)&lt;=0,"Thiếu số lượng; ","")&amp;IF(N($K105)&lt;=0,"Thiếu giá bán; ","")&amp;IF(AND($N105&gt;0,$F105=""),"Khách lấy VAT thiếu mã số thuế; ","")&amp;IF(N($Q105)&gt;$P105,"Đã thu vượt tổng phải thu; ","")&amp;IF(AND($L105&gt;0,$U105&lt;&gt;"",$U105&lt;0),"CẢNH BÁO: ĐƠN NÀY ĐANG LỖ; ","")))</f>
        <v/>
      </c>
    </row>
    <row r="106" customFormat="false" ht="15" hidden="false" customHeight="false" outlineLevel="0" collapsed="false">
      <c r="A106" s="21" t="str">
        <f aca="false">IF($C106="","",COUNTA($C$10:$C106))</f>
        <v/>
      </c>
      <c r="B106" s="18"/>
      <c r="C106" s="11"/>
      <c r="D106" s="11"/>
      <c r="E106" s="11"/>
      <c r="F106" s="11"/>
      <c r="G106" s="11"/>
      <c r="H106" s="11"/>
      <c r="I106" s="12"/>
      <c r="J106" s="13" t="str">
        <f aca="false">IF($H106="","",IFERROR(VLOOKUP($H106,'BẢNG GIÁ GỐC'!$A$5:$D$254,3,FALSE()),""))</f>
        <v/>
      </c>
      <c r="K106" s="12"/>
      <c r="L106" s="13" t="str">
        <f aca="false">IF($C106="","",N($I106)*N($K106))</f>
        <v/>
      </c>
      <c r="M106" s="11"/>
      <c r="N106" s="14" t="str">
        <f aca="false">IF($C106="","",IF($M106="VAT 5%",0.05,IF($M106="VAT 8%",0.08,IF($M106="VAT 10%",0.1,0))))</f>
        <v/>
      </c>
      <c r="O106" s="13" t="str">
        <f aca="false">IF($C106="","",$L106*$N106)</f>
        <v/>
      </c>
      <c r="P106" s="13" t="str">
        <f aca="false">IF($C106="","",$L106+$O106)</f>
        <v/>
      </c>
      <c r="Q106" s="12"/>
      <c r="R106" s="13" t="str">
        <f aca="false">IF($C106="","",MAX(0,$P106-N($Q106)))</f>
        <v/>
      </c>
      <c r="S106" s="23" t="str">
        <f aca="false">IF(OR($C106="",$P106=0),"",IF(N($Q106)&lt;=0,"Chưa thanh toán",IF(N($Q106)&lt;$P106,"Thanh toán một phần","Đã thanh toán")))</f>
        <v/>
      </c>
      <c r="T106" s="13" t="str">
        <f aca="false">IF(OR($C106="",$J106=""),"",N($I106)*$J106)</f>
        <v/>
      </c>
      <c r="U106" s="13" t="str">
        <f aca="false">IF(OR($C106="",$T106=""),"",$L106-$T106)</f>
        <v/>
      </c>
      <c r="V106" s="14" t="str">
        <f aca="false">IF(OR($U106="",$L106=0),"",$U106/$L106)</f>
        <v/>
      </c>
      <c r="W106" s="11"/>
      <c r="X106" s="23" t="str">
        <f aca="false">IF($C106="","",IF(AND($H106="",N($I106)=0,N($K106)=0),"Dòng chỉ lưu thông tin khách (chưa có đơn); ",IF($B106="","Thiếu ngày đặt; ","")&amp;IF($H106="","Thiếu tên sản phẩm; ",IF($J106="","Chưa khai GIÁ GỐC ở BẢNG GIÁ GỐC; ",""))&amp;IF(N($I106)&lt;=0,"Thiếu số lượng; ","")&amp;IF(N($K106)&lt;=0,"Thiếu giá bán; ","")&amp;IF(AND($N106&gt;0,$F106=""),"Khách lấy VAT thiếu mã số thuế; ","")&amp;IF(N($Q106)&gt;$P106,"Đã thu vượt tổng phải thu; ","")&amp;IF(AND($L106&gt;0,$U106&lt;&gt;"",$U106&lt;0),"CẢNH BÁO: ĐƠN NÀY ĐANG LỖ; ","")))</f>
        <v/>
      </c>
    </row>
    <row r="107" customFormat="false" ht="15" hidden="false" customHeight="false" outlineLevel="0" collapsed="false">
      <c r="A107" s="21" t="str">
        <f aca="false">IF($C107="","",COUNTA($C$10:$C107))</f>
        <v/>
      </c>
      <c r="B107" s="18"/>
      <c r="C107" s="11"/>
      <c r="D107" s="11"/>
      <c r="E107" s="11"/>
      <c r="F107" s="11"/>
      <c r="G107" s="11"/>
      <c r="H107" s="11"/>
      <c r="I107" s="12"/>
      <c r="J107" s="13" t="str">
        <f aca="false">IF($H107="","",IFERROR(VLOOKUP($H107,'BẢNG GIÁ GỐC'!$A$5:$D$254,3,FALSE()),""))</f>
        <v/>
      </c>
      <c r="K107" s="12"/>
      <c r="L107" s="13" t="str">
        <f aca="false">IF($C107="","",N($I107)*N($K107))</f>
        <v/>
      </c>
      <c r="M107" s="11"/>
      <c r="N107" s="14" t="str">
        <f aca="false">IF($C107="","",IF($M107="VAT 5%",0.05,IF($M107="VAT 8%",0.08,IF($M107="VAT 10%",0.1,0))))</f>
        <v/>
      </c>
      <c r="O107" s="13" t="str">
        <f aca="false">IF($C107="","",$L107*$N107)</f>
        <v/>
      </c>
      <c r="P107" s="13" t="str">
        <f aca="false">IF($C107="","",$L107+$O107)</f>
        <v/>
      </c>
      <c r="Q107" s="12"/>
      <c r="R107" s="13" t="str">
        <f aca="false">IF($C107="","",MAX(0,$P107-N($Q107)))</f>
        <v/>
      </c>
      <c r="S107" s="23" t="str">
        <f aca="false">IF(OR($C107="",$P107=0),"",IF(N($Q107)&lt;=0,"Chưa thanh toán",IF(N($Q107)&lt;$P107,"Thanh toán một phần","Đã thanh toán")))</f>
        <v/>
      </c>
      <c r="T107" s="13" t="str">
        <f aca="false">IF(OR($C107="",$J107=""),"",N($I107)*$J107)</f>
        <v/>
      </c>
      <c r="U107" s="13" t="str">
        <f aca="false">IF(OR($C107="",$T107=""),"",$L107-$T107)</f>
        <v/>
      </c>
      <c r="V107" s="14" t="str">
        <f aca="false">IF(OR($U107="",$L107=0),"",$U107/$L107)</f>
        <v/>
      </c>
      <c r="W107" s="11"/>
      <c r="X107" s="23" t="str">
        <f aca="false">IF($C107="","",IF(AND($H107="",N($I107)=0,N($K107)=0),"Dòng chỉ lưu thông tin khách (chưa có đơn); ",IF($B107="","Thiếu ngày đặt; ","")&amp;IF($H107="","Thiếu tên sản phẩm; ",IF($J107="","Chưa khai GIÁ GỐC ở BẢNG GIÁ GỐC; ",""))&amp;IF(N($I107)&lt;=0,"Thiếu số lượng; ","")&amp;IF(N($K107)&lt;=0,"Thiếu giá bán; ","")&amp;IF(AND($N107&gt;0,$F107=""),"Khách lấy VAT thiếu mã số thuế; ","")&amp;IF(N($Q107)&gt;$P107,"Đã thu vượt tổng phải thu; ","")&amp;IF(AND($L107&gt;0,$U107&lt;&gt;"",$U107&lt;0),"CẢNH BÁO: ĐƠN NÀY ĐANG LỖ; ","")))</f>
        <v/>
      </c>
    </row>
    <row r="108" customFormat="false" ht="15" hidden="false" customHeight="false" outlineLevel="0" collapsed="false">
      <c r="A108" s="21" t="str">
        <f aca="false">IF($C108="","",COUNTA($C$10:$C108))</f>
        <v/>
      </c>
      <c r="B108" s="18"/>
      <c r="C108" s="11"/>
      <c r="D108" s="11"/>
      <c r="E108" s="11"/>
      <c r="F108" s="11"/>
      <c r="G108" s="11"/>
      <c r="H108" s="11"/>
      <c r="I108" s="12"/>
      <c r="J108" s="13" t="str">
        <f aca="false">IF($H108="","",IFERROR(VLOOKUP($H108,'BẢNG GIÁ GỐC'!$A$5:$D$254,3,FALSE()),""))</f>
        <v/>
      </c>
      <c r="K108" s="12"/>
      <c r="L108" s="13" t="str">
        <f aca="false">IF($C108="","",N($I108)*N($K108))</f>
        <v/>
      </c>
      <c r="M108" s="11"/>
      <c r="N108" s="14" t="str">
        <f aca="false">IF($C108="","",IF($M108="VAT 5%",0.05,IF($M108="VAT 8%",0.08,IF($M108="VAT 10%",0.1,0))))</f>
        <v/>
      </c>
      <c r="O108" s="13" t="str">
        <f aca="false">IF($C108="","",$L108*$N108)</f>
        <v/>
      </c>
      <c r="P108" s="13" t="str">
        <f aca="false">IF($C108="","",$L108+$O108)</f>
        <v/>
      </c>
      <c r="Q108" s="12"/>
      <c r="R108" s="13" t="str">
        <f aca="false">IF($C108="","",MAX(0,$P108-N($Q108)))</f>
        <v/>
      </c>
      <c r="S108" s="23" t="str">
        <f aca="false">IF(OR($C108="",$P108=0),"",IF(N($Q108)&lt;=0,"Chưa thanh toán",IF(N($Q108)&lt;$P108,"Thanh toán một phần","Đã thanh toán")))</f>
        <v/>
      </c>
      <c r="T108" s="13" t="str">
        <f aca="false">IF(OR($C108="",$J108=""),"",N($I108)*$J108)</f>
        <v/>
      </c>
      <c r="U108" s="13" t="str">
        <f aca="false">IF(OR($C108="",$T108=""),"",$L108-$T108)</f>
        <v/>
      </c>
      <c r="V108" s="14" t="str">
        <f aca="false">IF(OR($U108="",$L108=0),"",$U108/$L108)</f>
        <v/>
      </c>
      <c r="W108" s="11"/>
      <c r="X108" s="23" t="str">
        <f aca="false">IF($C108="","",IF(AND($H108="",N($I108)=0,N($K108)=0),"Dòng chỉ lưu thông tin khách (chưa có đơn); ",IF($B108="","Thiếu ngày đặt; ","")&amp;IF($H108="","Thiếu tên sản phẩm; ",IF($J108="","Chưa khai GIÁ GỐC ở BẢNG GIÁ GỐC; ",""))&amp;IF(N($I108)&lt;=0,"Thiếu số lượng; ","")&amp;IF(N($K108)&lt;=0,"Thiếu giá bán; ","")&amp;IF(AND($N108&gt;0,$F108=""),"Khách lấy VAT thiếu mã số thuế; ","")&amp;IF(N($Q108)&gt;$P108,"Đã thu vượt tổng phải thu; ","")&amp;IF(AND($L108&gt;0,$U108&lt;&gt;"",$U108&lt;0),"CẢNH BÁO: ĐƠN NÀY ĐANG LỖ; ","")))</f>
        <v/>
      </c>
    </row>
    <row r="109" customFormat="false" ht="15" hidden="false" customHeight="false" outlineLevel="0" collapsed="false">
      <c r="A109" s="21" t="str">
        <f aca="false">IF($C109="","",COUNTA($C$10:$C109))</f>
        <v/>
      </c>
      <c r="B109" s="18"/>
      <c r="C109" s="11"/>
      <c r="D109" s="11"/>
      <c r="E109" s="11"/>
      <c r="F109" s="11"/>
      <c r="G109" s="11"/>
      <c r="H109" s="11"/>
      <c r="I109" s="12"/>
      <c r="J109" s="13" t="str">
        <f aca="false">IF($H109="","",IFERROR(VLOOKUP($H109,'BẢNG GIÁ GỐC'!$A$5:$D$254,3,FALSE()),""))</f>
        <v/>
      </c>
      <c r="K109" s="12"/>
      <c r="L109" s="13" t="str">
        <f aca="false">IF($C109="","",N($I109)*N($K109))</f>
        <v/>
      </c>
      <c r="M109" s="11"/>
      <c r="N109" s="14" t="str">
        <f aca="false">IF($C109="","",IF($M109="VAT 5%",0.05,IF($M109="VAT 8%",0.08,IF($M109="VAT 10%",0.1,0))))</f>
        <v/>
      </c>
      <c r="O109" s="13" t="str">
        <f aca="false">IF($C109="","",$L109*$N109)</f>
        <v/>
      </c>
      <c r="P109" s="13" t="str">
        <f aca="false">IF($C109="","",$L109+$O109)</f>
        <v/>
      </c>
      <c r="Q109" s="12"/>
      <c r="R109" s="13" t="str">
        <f aca="false">IF($C109="","",MAX(0,$P109-N($Q109)))</f>
        <v/>
      </c>
      <c r="S109" s="23" t="str">
        <f aca="false">IF(OR($C109="",$P109=0),"",IF(N($Q109)&lt;=0,"Chưa thanh toán",IF(N($Q109)&lt;$P109,"Thanh toán một phần","Đã thanh toán")))</f>
        <v/>
      </c>
      <c r="T109" s="13" t="str">
        <f aca="false">IF(OR($C109="",$J109=""),"",N($I109)*$J109)</f>
        <v/>
      </c>
      <c r="U109" s="13" t="str">
        <f aca="false">IF(OR($C109="",$T109=""),"",$L109-$T109)</f>
        <v/>
      </c>
      <c r="V109" s="14" t="str">
        <f aca="false">IF(OR($U109="",$L109=0),"",$U109/$L109)</f>
        <v/>
      </c>
      <c r="W109" s="11"/>
      <c r="X109" s="23" t="str">
        <f aca="false">IF($C109="","",IF(AND($H109="",N($I109)=0,N($K109)=0),"Dòng chỉ lưu thông tin khách (chưa có đơn); ",IF($B109="","Thiếu ngày đặt; ","")&amp;IF($H109="","Thiếu tên sản phẩm; ",IF($J109="","Chưa khai GIÁ GỐC ở BẢNG GIÁ GỐC; ",""))&amp;IF(N($I109)&lt;=0,"Thiếu số lượng; ","")&amp;IF(N($K109)&lt;=0,"Thiếu giá bán; ","")&amp;IF(AND($N109&gt;0,$F109=""),"Khách lấy VAT thiếu mã số thuế; ","")&amp;IF(N($Q109)&gt;$P109,"Đã thu vượt tổng phải thu; ","")&amp;IF(AND($L109&gt;0,$U109&lt;&gt;"",$U109&lt;0),"CẢNH BÁO: ĐƠN NÀY ĐANG LỖ; ","")))</f>
        <v/>
      </c>
    </row>
    <row r="110" customFormat="false" ht="15" hidden="false" customHeight="false" outlineLevel="0" collapsed="false">
      <c r="A110" s="21" t="str">
        <f aca="false">IF($C110="","",COUNTA($C$10:$C110))</f>
        <v/>
      </c>
      <c r="B110" s="18"/>
      <c r="C110" s="11"/>
      <c r="D110" s="11"/>
      <c r="E110" s="11"/>
      <c r="F110" s="11"/>
      <c r="G110" s="11"/>
      <c r="H110" s="11"/>
      <c r="I110" s="12"/>
      <c r="J110" s="13" t="str">
        <f aca="false">IF($H110="","",IFERROR(VLOOKUP($H110,'BẢNG GIÁ GỐC'!$A$5:$D$254,3,FALSE()),""))</f>
        <v/>
      </c>
      <c r="K110" s="12"/>
      <c r="L110" s="13" t="str">
        <f aca="false">IF($C110="","",N($I110)*N($K110))</f>
        <v/>
      </c>
      <c r="M110" s="11"/>
      <c r="N110" s="14" t="str">
        <f aca="false">IF($C110="","",IF($M110="VAT 5%",0.05,IF($M110="VAT 8%",0.08,IF($M110="VAT 10%",0.1,0))))</f>
        <v/>
      </c>
      <c r="O110" s="13" t="str">
        <f aca="false">IF($C110="","",$L110*$N110)</f>
        <v/>
      </c>
      <c r="P110" s="13" t="str">
        <f aca="false">IF($C110="","",$L110+$O110)</f>
        <v/>
      </c>
      <c r="Q110" s="12"/>
      <c r="R110" s="13" t="str">
        <f aca="false">IF($C110="","",MAX(0,$P110-N($Q110)))</f>
        <v/>
      </c>
      <c r="S110" s="23" t="str">
        <f aca="false">IF(OR($C110="",$P110=0),"",IF(N($Q110)&lt;=0,"Chưa thanh toán",IF(N($Q110)&lt;$P110,"Thanh toán một phần","Đã thanh toán")))</f>
        <v/>
      </c>
      <c r="T110" s="13" t="str">
        <f aca="false">IF(OR($C110="",$J110=""),"",N($I110)*$J110)</f>
        <v/>
      </c>
      <c r="U110" s="13" t="str">
        <f aca="false">IF(OR($C110="",$T110=""),"",$L110-$T110)</f>
        <v/>
      </c>
      <c r="V110" s="14" t="str">
        <f aca="false">IF(OR($U110="",$L110=0),"",$U110/$L110)</f>
        <v/>
      </c>
      <c r="W110" s="11"/>
      <c r="X110" s="23" t="str">
        <f aca="false">IF($C110="","",IF(AND($H110="",N($I110)=0,N($K110)=0),"Dòng chỉ lưu thông tin khách (chưa có đơn); ",IF($B110="","Thiếu ngày đặt; ","")&amp;IF($H110="","Thiếu tên sản phẩm; ",IF($J110="","Chưa khai GIÁ GỐC ở BẢNG GIÁ GỐC; ",""))&amp;IF(N($I110)&lt;=0,"Thiếu số lượng; ","")&amp;IF(N($K110)&lt;=0,"Thiếu giá bán; ","")&amp;IF(AND($N110&gt;0,$F110=""),"Khách lấy VAT thiếu mã số thuế; ","")&amp;IF(N($Q110)&gt;$P110,"Đã thu vượt tổng phải thu; ","")&amp;IF(AND($L110&gt;0,$U110&lt;&gt;"",$U110&lt;0),"CẢNH BÁO: ĐƠN NÀY ĐANG LỖ; ","")))</f>
        <v/>
      </c>
    </row>
    <row r="111" customFormat="false" ht="15" hidden="false" customHeight="false" outlineLevel="0" collapsed="false">
      <c r="A111" s="21" t="str">
        <f aca="false">IF($C111="","",COUNTA($C$10:$C111))</f>
        <v/>
      </c>
      <c r="B111" s="18"/>
      <c r="C111" s="11"/>
      <c r="D111" s="11"/>
      <c r="E111" s="11"/>
      <c r="F111" s="11"/>
      <c r="G111" s="11"/>
      <c r="H111" s="11"/>
      <c r="I111" s="12"/>
      <c r="J111" s="13" t="str">
        <f aca="false">IF($H111="","",IFERROR(VLOOKUP($H111,'BẢNG GIÁ GỐC'!$A$5:$D$254,3,FALSE()),""))</f>
        <v/>
      </c>
      <c r="K111" s="12"/>
      <c r="L111" s="13" t="str">
        <f aca="false">IF($C111="","",N($I111)*N($K111))</f>
        <v/>
      </c>
      <c r="M111" s="11"/>
      <c r="N111" s="14" t="str">
        <f aca="false">IF($C111="","",IF($M111="VAT 5%",0.05,IF($M111="VAT 8%",0.08,IF($M111="VAT 10%",0.1,0))))</f>
        <v/>
      </c>
      <c r="O111" s="13" t="str">
        <f aca="false">IF($C111="","",$L111*$N111)</f>
        <v/>
      </c>
      <c r="P111" s="13" t="str">
        <f aca="false">IF($C111="","",$L111+$O111)</f>
        <v/>
      </c>
      <c r="Q111" s="12"/>
      <c r="R111" s="13" t="str">
        <f aca="false">IF($C111="","",MAX(0,$P111-N($Q111)))</f>
        <v/>
      </c>
      <c r="S111" s="23" t="str">
        <f aca="false">IF(OR($C111="",$P111=0),"",IF(N($Q111)&lt;=0,"Chưa thanh toán",IF(N($Q111)&lt;$P111,"Thanh toán một phần","Đã thanh toán")))</f>
        <v/>
      </c>
      <c r="T111" s="13" t="str">
        <f aca="false">IF(OR($C111="",$J111=""),"",N($I111)*$J111)</f>
        <v/>
      </c>
      <c r="U111" s="13" t="str">
        <f aca="false">IF(OR($C111="",$T111=""),"",$L111-$T111)</f>
        <v/>
      </c>
      <c r="V111" s="14" t="str">
        <f aca="false">IF(OR($U111="",$L111=0),"",$U111/$L111)</f>
        <v/>
      </c>
      <c r="W111" s="11"/>
      <c r="X111" s="23" t="str">
        <f aca="false">IF($C111="","",IF(AND($H111="",N($I111)=0,N($K111)=0),"Dòng chỉ lưu thông tin khách (chưa có đơn); ",IF($B111="","Thiếu ngày đặt; ","")&amp;IF($H111="","Thiếu tên sản phẩm; ",IF($J111="","Chưa khai GIÁ GỐC ở BẢNG GIÁ GỐC; ",""))&amp;IF(N($I111)&lt;=0,"Thiếu số lượng; ","")&amp;IF(N($K111)&lt;=0,"Thiếu giá bán; ","")&amp;IF(AND($N111&gt;0,$F111=""),"Khách lấy VAT thiếu mã số thuế; ","")&amp;IF(N($Q111)&gt;$P111,"Đã thu vượt tổng phải thu; ","")&amp;IF(AND($L111&gt;0,$U111&lt;&gt;"",$U111&lt;0),"CẢNH BÁO: ĐƠN NÀY ĐANG LỖ; ","")))</f>
        <v/>
      </c>
    </row>
    <row r="112" customFormat="false" ht="15" hidden="false" customHeight="false" outlineLevel="0" collapsed="false">
      <c r="A112" s="21" t="str">
        <f aca="false">IF($C112="","",COUNTA($C$10:$C112))</f>
        <v/>
      </c>
      <c r="B112" s="18"/>
      <c r="C112" s="11"/>
      <c r="D112" s="11"/>
      <c r="E112" s="11"/>
      <c r="F112" s="11"/>
      <c r="G112" s="11"/>
      <c r="H112" s="11"/>
      <c r="I112" s="12"/>
      <c r="J112" s="13" t="str">
        <f aca="false">IF($H112="","",IFERROR(VLOOKUP($H112,'BẢNG GIÁ GỐC'!$A$5:$D$254,3,FALSE()),""))</f>
        <v/>
      </c>
      <c r="K112" s="12"/>
      <c r="L112" s="13" t="str">
        <f aca="false">IF($C112="","",N($I112)*N($K112))</f>
        <v/>
      </c>
      <c r="M112" s="11"/>
      <c r="N112" s="14" t="str">
        <f aca="false">IF($C112="","",IF($M112="VAT 5%",0.05,IF($M112="VAT 8%",0.08,IF($M112="VAT 10%",0.1,0))))</f>
        <v/>
      </c>
      <c r="O112" s="13" t="str">
        <f aca="false">IF($C112="","",$L112*$N112)</f>
        <v/>
      </c>
      <c r="P112" s="13" t="str">
        <f aca="false">IF($C112="","",$L112+$O112)</f>
        <v/>
      </c>
      <c r="Q112" s="12"/>
      <c r="R112" s="13" t="str">
        <f aca="false">IF($C112="","",MAX(0,$P112-N($Q112)))</f>
        <v/>
      </c>
      <c r="S112" s="23" t="str">
        <f aca="false">IF(OR($C112="",$P112=0),"",IF(N($Q112)&lt;=0,"Chưa thanh toán",IF(N($Q112)&lt;$P112,"Thanh toán một phần","Đã thanh toán")))</f>
        <v/>
      </c>
      <c r="T112" s="13" t="str">
        <f aca="false">IF(OR($C112="",$J112=""),"",N($I112)*$J112)</f>
        <v/>
      </c>
      <c r="U112" s="13" t="str">
        <f aca="false">IF(OR($C112="",$T112=""),"",$L112-$T112)</f>
        <v/>
      </c>
      <c r="V112" s="14" t="str">
        <f aca="false">IF(OR($U112="",$L112=0),"",$U112/$L112)</f>
        <v/>
      </c>
      <c r="W112" s="11"/>
      <c r="X112" s="23" t="str">
        <f aca="false">IF($C112="","",IF(AND($H112="",N($I112)=0,N($K112)=0),"Dòng chỉ lưu thông tin khách (chưa có đơn); ",IF($B112="","Thiếu ngày đặt; ","")&amp;IF($H112="","Thiếu tên sản phẩm; ",IF($J112="","Chưa khai GIÁ GỐC ở BẢNG GIÁ GỐC; ",""))&amp;IF(N($I112)&lt;=0,"Thiếu số lượng; ","")&amp;IF(N($K112)&lt;=0,"Thiếu giá bán; ","")&amp;IF(AND($N112&gt;0,$F112=""),"Khách lấy VAT thiếu mã số thuế; ","")&amp;IF(N($Q112)&gt;$P112,"Đã thu vượt tổng phải thu; ","")&amp;IF(AND($L112&gt;0,$U112&lt;&gt;"",$U112&lt;0),"CẢNH BÁO: ĐƠN NÀY ĐANG LỖ; ","")))</f>
        <v/>
      </c>
    </row>
    <row r="113" customFormat="false" ht="15" hidden="false" customHeight="false" outlineLevel="0" collapsed="false">
      <c r="A113" s="21" t="str">
        <f aca="false">IF($C113="","",COUNTA($C$10:$C113))</f>
        <v/>
      </c>
      <c r="B113" s="18"/>
      <c r="C113" s="11"/>
      <c r="D113" s="11"/>
      <c r="E113" s="11"/>
      <c r="F113" s="11"/>
      <c r="G113" s="11"/>
      <c r="H113" s="11"/>
      <c r="I113" s="12"/>
      <c r="J113" s="13" t="str">
        <f aca="false">IF($H113="","",IFERROR(VLOOKUP($H113,'BẢNG GIÁ GỐC'!$A$5:$D$254,3,FALSE()),""))</f>
        <v/>
      </c>
      <c r="K113" s="12"/>
      <c r="L113" s="13" t="str">
        <f aca="false">IF($C113="","",N($I113)*N($K113))</f>
        <v/>
      </c>
      <c r="M113" s="11"/>
      <c r="N113" s="14" t="str">
        <f aca="false">IF($C113="","",IF($M113="VAT 5%",0.05,IF($M113="VAT 8%",0.08,IF($M113="VAT 10%",0.1,0))))</f>
        <v/>
      </c>
      <c r="O113" s="13" t="str">
        <f aca="false">IF($C113="","",$L113*$N113)</f>
        <v/>
      </c>
      <c r="P113" s="13" t="str">
        <f aca="false">IF($C113="","",$L113+$O113)</f>
        <v/>
      </c>
      <c r="Q113" s="12"/>
      <c r="R113" s="13" t="str">
        <f aca="false">IF($C113="","",MAX(0,$P113-N($Q113)))</f>
        <v/>
      </c>
      <c r="S113" s="23" t="str">
        <f aca="false">IF(OR($C113="",$P113=0),"",IF(N($Q113)&lt;=0,"Chưa thanh toán",IF(N($Q113)&lt;$P113,"Thanh toán một phần","Đã thanh toán")))</f>
        <v/>
      </c>
      <c r="T113" s="13" t="str">
        <f aca="false">IF(OR($C113="",$J113=""),"",N($I113)*$J113)</f>
        <v/>
      </c>
      <c r="U113" s="13" t="str">
        <f aca="false">IF(OR($C113="",$T113=""),"",$L113-$T113)</f>
        <v/>
      </c>
      <c r="V113" s="14" t="str">
        <f aca="false">IF(OR($U113="",$L113=0),"",$U113/$L113)</f>
        <v/>
      </c>
      <c r="W113" s="11"/>
      <c r="X113" s="23" t="str">
        <f aca="false">IF($C113="","",IF(AND($H113="",N($I113)=0,N($K113)=0),"Dòng chỉ lưu thông tin khách (chưa có đơn); ",IF($B113="","Thiếu ngày đặt; ","")&amp;IF($H113="","Thiếu tên sản phẩm; ",IF($J113="","Chưa khai GIÁ GỐC ở BẢNG GIÁ GỐC; ",""))&amp;IF(N($I113)&lt;=0,"Thiếu số lượng; ","")&amp;IF(N($K113)&lt;=0,"Thiếu giá bán; ","")&amp;IF(AND($N113&gt;0,$F113=""),"Khách lấy VAT thiếu mã số thuế; ","")&amp;IF(N($Q113)&gt;$P113,"Đã thu vượt tổng phải thu; ","")&amp;IF(AND($L113&gt;0,$U113&lt;&gt;"",$U113&lt;0),"CẢNH BÁO: ĐƠN NÀY ĐANG LỖ; ","")))</f>
        <v/>
      </c>
    </row>
    <row r="114" customFormat="false" ht="15" hidden="false" customHeight="false" outlineLevel="0" collapsed="false">
      <c r="A114" s="21" t="str">
        <f aca="false">IF($C114="","",COUNTA($C$10:$C114))</f>
        <v/>
      </c>
      <c r="B114" s="18"/>
      <c r="C114" s="11"/>
      <c r="D114" s="11"/>
      <c r="E114" s="11"/>
      <c r="F114" s="11"/>
      <c r="G114" s="11"/>
      <c r="H114" s="11"/>
      <c r="I114" s="12"/>
      <c r="J114" s="13" t="str">
        <f aca="false">IF($H114="","",IFERROR(VLOOKUP($H114,'BẢNG GIÁ GỐC'!$A$5:$D$254,3,FALSE()),""))</f>
        <v/>
      </c>
      <c r="K114" s="12"/>
      <c r="L114" s="13" t="str">
        <f aca="false">IF($C114="","",N($I114)*N($K114))</f>
        <v/>
      </c>
      <c r="M114" s="11"/>
      <c r="N114" s="14" t="str">
        <f aca="false">IF($C114="","",IF($M114="VAT 5%",0.05,IF($M114="VAT 8%",0.08,IF($M114="VAT 10%",0.1,0))))</f>
        <v/>
      </c>
      <c r="O114" s="13" t="str">
        <f aca="false">IF($C114="","",$L114*$N114)</f>
        <v/>
      </c>
      <c r="P114" s="13" t="str">
        <f aca="false">IF($C114="","",$L114+$O114)</f>
        <v/>
      </c>
      <c r="Q114" s="12"/>
      <c r="R114" s="13" t="str">
        <f aca="false">IF($C114="","",MAX(0,$P114-N($Q114)))</f>
        <v/>
      </c>
      <c r="S114" s="23" t="str">
        <f aca="false">IF(OR($C114="",$P114=0),"",IF(N($Q114)&lt;=0,"Chưa thanh toán",IF(N($Q114)&lt;$P114,"Thanh toán một phần","Đã thanh toán")))</f>
        <v/>
      </c>
      <c r="T114" s="13" t="str">
        <f aca="false">IF(OR($C114="",$J114=""),"",N($I114)*$J114)</f>
        <v/>
      </c>
      <c r="U114" s="13" t="str">
        <f aca="false">IF(OR($C114="",$T114=""),"",$L114-$T114)</f>
        <v/>
      </c>
      <c r="V114" s="14" t="str">
        <f aca="false">IF(OR($U114="",$L114=0),"",$U114/$L114)</f>
        <v/>
      </c>
      <c r="W114" s="11"/>
      <c r="X114" s="23" t="str">
        <f aca="false">IF($C114="","",IF(AND($H114="",N($I114)=0,N($K114)=0),"Dòng chỉ lưu thông tin khách (chưa có đơn); ",IF($B114="","Thiếu ngày đặt; ","")&amp;IF($H114="","Thiếu tên sản phẩm; ",IF($J114="","Chưa khai GIÁ GỐC ở BẢNG GIÁ GỐC; ",""))&amp;IF(N($I114)&lt;=0,"Thiếu số lượng; ","")&amp;IF(N($K114)&lt;=0,"Thiếu giá bán; ","")&amp;IF(AND($N114&gt;0,$F114=""),"Khách lấy VAT thiếu mã số thuế; ","")&amp;IF(N($Q114)&gt;$P114,"Đã thu vượt tổng phải thu; ","")&amp;IF(AND($L114&gt;0,$U114&lt;&gt;"",$U114&lt;0),"CẢNH BÁO: ĐƠN NÀY ĐANG LỖ; ","")))</f>
        <v/>
      </c>
    </row>
    <row r="115" customFormat="false" ht="15" hidden="false" customHeight="false" outlineLevel="0" collapsed="false">
      <c r="A115" s="21" t="str">
        <f aca="false">IF($C115="","",COUNTA($C$10:$C115))</f>
        <v/>
      </c>
      <c r="B115" s="18"/>
      <c r="C115" s="11"/>
      <c r="D115" s="11"/>
      <c r="E115" s="11"/>
      <c r="F115" s="11"/>
      <c r="G115" s="11"/>
      <c r="H115" s="11"/>
      <c r="I115" s="12"/>
      <c r="J115" s="13" t="str">
        <f aca="false">IF($H115="","",IFERROR(VLOOKUP($H115,'BẢNG GIÁ GỐC'!$A$5:$D$254,3,FALSE()),""))</f>
        <v/>
      </c>
      <c r="K115" s="12"/>
      <c r="L115" s="13" t="str">
        <f aca="false">IF($C115="","",N($I115)*N($K115))</f>
        <v/>
      </c>
      <c r="M115" s="11"/>
      <c r="N115" s="14" t="str">
        <f aca="false">IF($C115="","",IF($M115="VAT 5%",0.05,IF($M115="VAT 8%",0.08,IF($M115="VAT 10%",0.1,0))))</f>
        <v/>
      </c>
      <c r="O115" s="13" t="str">
        <f aca="false">IF($C115="","",$L115*$N115)</f>
        <v/>
      </c>
      <c r="P115" s="13" t="str">
        <f aca="false">IF($C115="","",$L115+$O115)</f>
        <v/>
      </c>
      <c r="Q115" s="12"/>
      <c r="R115" s="13" t="str">
        <f aca="false">IF($C115="","",MAX(0,$P115-N($Q115)))</f>
        <v/>
      </c>
      <c r="S115" s="23" t="str">
        <f aca="false">IF(OR($C115="",$P115=0),"",IF(N($Q115)&lt;=0,"Chưa thanh toán",IF(N($Q115)&lt;$P115,"Thanh toán một phần","Đã thanh toán")))</f>
        <v/>
      </c>
      <c r="T115" s="13" t="str">
        <f aca="false">IF(OR($C115="",$J115=""),"",N($I115)*$J115)</f>
        <v/>
      </c>
      <c r="U115" s="13" t="str">
        <f aca="false">IF(OR($C115="",$T115=""),"",$L115-$T115)</f>
        <v/>
      </c>
      <c r="V115" s="14" t="str">
        <f aca="false">IF(OR($U115="",$L115=0),"",$U115/$L115)</f>
        <v/>
      </c>
      <c r="W115" s="11"/>
      <c r="X115" s="23" t="str">
        <f aca="false">IF($C115="","",IF(AND($H115="",N($I115)=0,N($K115)=0),"Dòng chỉ lưu thông tin khách (chưa có đơn); ",IF($B115="","Thiếu ngày đặt; ","")&amp;IF($H115="","Thiếu tên sản phẩm; ",IF($J115="","Chưa khai GIÁ GỐC ở BẢNG GIÁ GỐC; ",""))&amp;IF(N($I115)&lt;=0,"Thiếu số lượng; ","")&amp;IF(N($K115)&lt;=0,"Thiếu giá bán; ","")&amp;IF(AND($N115&gt;0,$F115=""),"Khách lấy VAT thiếu mã số thuế; ","")&amp;IF(N($Q115)&gt;$P115,"Đã thu vượt tổng phải thu; ","")&amp;IF(AND($L115&gt;0,$U115&lt;&gt;"",$U115&lt;0),"CẢNH BÁO: ĐƠN NÀY ĐANG LỖ; ","")))</f>
        <v/>
      </c>
    </row>
    <row r="116" customFormat="false" ht="15" hidden="false" customHeight="false" outlineLevel="0" collapsed="false">
      <c r="A116" s="21" t="str">
        <f aca="false">IF($C116="","",COUNTA($C$10:$C116))</f>
        <v/>
      </c>
      <c r="B116" s="18"/>
      <c r="C116" s="11"/>
      <c r="D116" s="11"/>
      <c r="E116" s="11"/>
      <c r="F116" s="11"/>
      <c r="G116" s="11"/>
      <c r="H116" s="11"/>
      <c r="I116" s="12"/>
      <c r="J116" s="13" t="str">
        <f aca="false">IF($H116="","",IFERROR(VLOOKUP($H116,'BẢNG GIÁ GỐC'!$A$5:$D$254,3,FALSE()),""))</f>
        <v/>
      </c>
      <c r="K116" s="12"/>
      <c r="L116" s="13" t="str">
        <f aca="false">IF($C116="","",N($I116)*N($K116))</f>
        <v/>
      </c>
      <c r="M116" s="11"/>
      <c r="N116" s="14" t="str">
        <f aca="false">IF($C116="","",IF($M116="VAT 5%",0.05,IF($M116="VAT 8%",0.08,IF($M116="VAT 10%",0.1,0))))</f>
        <v/>
      </c>
      <c r="O116" s="13" t="str">
        <f aca="false">IF($C116="","",$L116*$N116)</f>
        <v/>
      </c>
      <c r="P116" s="13" t="str">
        <f aca="false">IF($C116="","",$L116+$O116)</f>
        <v/>
      </c>
      <c r="Q116" s="12"/>
      <c r="R116" s="13" t="str">
        <f aca="false">IF($C116="","",MAX(0,$P116-N($Q116)))</f>
        <v/>
      </c>
      <c r="S116" s="23" t="str">
        <f aca="false">IF(OR($C116="",$P116=0),"",IF(N($Q116)&lt;=0,"Chưa thanh toán",IF(N($Q116)&lt;$P116,"Thanh toán một phần","Đã thanh toán")))</f>
        <v/>
      </c>
      <c r="T116" s="13" t="str">
        <f aca="false">IF(OR($C116="",$J116=""),"",N($I116)*$J116)</f>
        <v/>
      </c>
      <c r="U116" s="13" t="str">
        <f aca="false">IF(OR($C116="",$T116=""),"",$L116-$T116)</f>
        <v/>
      </c>
      <c r="V116" s="14" t="str">
        <f aca="false">IF(OR($U116="",$L116=0),"",$U116/$L116)</f>
        <v/>
      </c>
      <c r="W116" s="11"/>
      <c r="X116" s="23" t="str">
        <f aca="false">IF($C116="","",IF(AND($H116="",N($I116)=0,N($K116)=0),"Dòng chỉ lưu thông tin khách (chưa có đơn); ",IF($B116="","Thiếu ngày đặt; ","")&amp;IF($H116="","Thiếu tên sản phẩm; ",IF($J116="","Chưa khai GIÁ GỐC ở BẢNG GIÁ GỐC; ",""))&amp;IF(N($I116)&lt;=0,"Thiếu số lượng; ","")&amp;IF(N($K116)&lt;=0,"Thiếu giá bán; ","")&amp;IF(AND($N116&gt;0,$F116=""),"Khách lấy VAT thiếu mã số thuế; ","")&amp;IF(N($Q116)&gt;$P116,"Đã thu vượt tổng phải thu; ","")&amp;IF(AND($L116&gt;0,$U116&lt;&gt;"",$U116&lt;0),"CẢNH BÁO: ĐƠN NÀY ĐANG LỖ; ","")))</f>
        <v/>
      </c>
    </row>
    <row r="117" customFormat="false" ht="15" hidden="false" customHeight="false" outlineLevel="0" collapsed="false">
      <c r="A117" s="21" t="str">
        <f aca="false">IF($C117="","",COUNTA($C$10:$C117))</f>
        <v/>
      </c>
      <c r="B117" s="18"/>
      <c r="C117" s="11"/>
      <c r="D117" s="11"/>
      <c r="E117" s="11"/>
      <c r="F117" s="11"/>
      <c r="G117" s="11"/>
      <c r="H117" s="11"/>
      <c r="I117" s="12"/>
      <c r="J117" s="13" t="str">
        <f aca="false">IF($H117="","",IFERROR(VLOOKUP($H117,'BẢNG GIÁ GỐC'!$A$5:$D$254,3,FALSE()),""))</f>
        <v/>
      </c>
      <c r="K117" s="12"/>
      <c r="L117" s="13" t="str">
        <f aca="false">IF($C117="","",N($I117)*N($K117))</f>
        <v/>
      </c>
      <c r="M117" s="11"/>
      <c r="N117" s="14" t="str">
        <f aca="false">IF($C117="","",IF($M117="VAT 5%",0.05,IF($M117="VAT 8%",0.08,IF($M117="VAT 10%",0.1,0))))</f>
        <v/>
      </c>
      <c r="O117" s="13" t="str">
        <f aca="false">IF($C117="","",$L117*$N117)</f>
        <v/>
      </c>
      <c r="P117" s="13" t="str">
        <f aca="false">IF($C117="","",$L117+$O117)</f>
        <v/>
      </c>
      <c r="Q117" s="12"/>
      <c r="R117" s="13" t="str">
        <f aca="false">IF($C117="","",MAX(0,$P117-N($Q117)))</f>
        <v/>
      </c>
      <c r="S117" s="23" t="str">
        <f aca="false">IF(OR($C117="",$P117=0),"",IF(N($Q117)&lt;=0,"Chưa thanh toán",IF(N($Q117)&lt;$P117,"Thanh toán một phần","Đã thanh toán")))</f>
        <v/>
      </c>
      <c r="T117" s="13" t="str">
        <f aca="false">IF(OR($C117="",$J117=""),"",N($I117)*$J117)</f>
        <v/>
      </c>
      <c r="U117" s="13" t="str">
        <f aca="false">IF(OR($C117="",$T117=""),"",$L117-$T117)</f>
        <v/>
      </c>
      <c r="V117" s="14" t="str">
        <f aca="false">IF(OR($U117="",$L117=0),"",$U117/$L117)</f>
        <v/>
      </c>
      <c r="W117" s="11"/>
      <c r="X117" s="23" t="str">
        <f aca="false">IF($C117="","",IF(AND($H117="",N($I117)=0,N($K117)=0),"Dòng chỉ lưu thông tin khách (chưa có đơn); ",IF($B117="","Thiếu ngày đặt; ","")&amp;IF($H117="","Thiếu tên sản phẩm; ",IF($J117="","Chưa khai GIÁ GỐC ở BẢNG GIÁ GỐC; ",""))&amp;IF(N($I117)&lt;=0,"Thiếu số lượng; ","")&amp;IF(N($K117)&lt;=0,"Thiếu giá bán; ","")&amp;IF(AND($N117&gt;0,$F117=""),"Khách lấy VAT thiếu mã số thuế; ","")&amp;IF(N($Q117)&gt;$P117,"Đã thu vượt tổng phải thu; ","")&amp;IF(AND($L117&gt;0,$U117&lt;&gt;"",$U117&lt;0),"CẢNH BÁO: ĐƠN NÀY ĐANG LỖ; ","")))</f>
        <v/>
      </c>
    </row>
    <row r="118" customFormat="false" ht="15" hidden="false" customHeight="false" outlineLevel="0" collapsed="false">
      <c r="A118" s="21" t="str">
        <f aca="false">IF($C118="","",COUNTA($C$10:$C118))</f>
        <v/>
      </c>
      <c r="B118" s="18"/>
      <c r="C118" s="11"/>
      <c r="D118" s="11"/>
      <c r="E118" s="11"/>
      <c r="F118" s="11"/>
      <c r="G118" s="11"/>
      <c r="H118" s="11"/>
      <c r="I118" s="12"/>
      <c r="J118" s="13" t="str">
        <f aca="false">IF($H118="","",IFERROR(VLOOKUP($H118,'BẢNG GIÁ GỐC'!$A$5:$D$254,3,FALSE()),""))</f>
        <v/>
      </c>
      <c r="K118" s="12"/>
      <c r="L118" s="13" t="str">
        <f aca="false">IF($C118="","",N($I118)*N($K118))</f>
        <v/>
      </c>
      <c r="M118" s="11"/>
      <c r="N118" s="14" t="str">
        <f aca="false">IF($C118="","",IF($M118="VAT 5%",0.05,IF($M118="VAT 8%",0.08,IF($M118="VAT 10%",0.1,0))))</f>
        <v/>
      </c>
      <c r="O118" s="13" t="str">
        <f aca="false">IF($C118="","",$L118*$N118)</f>
        <v/>
      </c>
      <c r="P118" s="13" t="str">
        <f aca="false">IF($C118="","",$L118+$O118)</f>
        <v/>
      </c>
      <c r="Q118" s="12"/>
      <c r="R118" s="13" t="str">
        <f aca="false">IF($C118="","",MAX(0,$P118-N($Q118)))</f>
        <v/>
      </c>
      <c r="S118" s="23" t="str">
        <f aca="false">IF(OR($C118="",$P118=0),"",IF(N($Q118)&lt;=0,"Chưa thanh toán",IF(N($Q118)&lt;$P118,"Thanh toán một phần","Đã thanh toán")))</f>
        <v/>
      </c>
      <c r="T118" s="13" t="str">
        <f aca="false">IF(OR($C118="",$J118=""),"",N($I118)*$J118)</f>
        <v/>
      </c>
      <c r="U118" s="13" t="str">
        <f aca="false">IF(OR($C118="",$T118=""),"",$L118-$T118)</f>
        <v/>
      </c>
      <c r="V118" s="14" t="str">
        <f aca="false">IF(OR($U118="",$L118=0),"",$U118/$L118)</f>
        <v/>
      </c>
      <c r="W118" s="11"/>
      <c r="X118" s="23" t="str">
        <f aca="false">IF($C118="","",IF(AND($H118="",N($I118)=0,N($K118)=0),"Dòng chỉ lưu thông tin khách (chưa có đơn); ",IF($B118="","Thiếu ngày đặt; ","")&amp;IF($H118="","Thiếu tên sản phẩm; ",IF($J118="","Chưa khai GIÁ GỐC ở BẢNG GIÁ GỐC; ",""))&amp;IF(N($I118)&lt;=0,"Thiếu số lượng; ","")&amp;IF(N($K118)&lt;=0,"Thiếu giá bán; ","")&amp;IF(AND($N118&gt;0,$F118=""),"Khách lấy VAT thiếu mã số thuế; ","")&amp;IF(N($Q118)&gt;$P118,"Đã thu vượt tổng phải thu; ","")&amp;IF(AND($L118&gt;0,$U118&lt;&gt;"",$U118&lt;0),"CẢNH BÁO: ĐƠN NÀY ĐANG LỖ; ","")))</f>
        <v/>
      </c>
    </row>
    <row r="119" customFormat="false" ht="15" hidden="false" customHeight="false" outlineLevel="0" collapsed="false">
      <c r="A119" s="21" t="str">
        <f aca="false">IF($C119="","",COUNTA($C$10:$C119))</f>
        <v/>
      </c>
      <c r="B119" s="18"/>
      <c r="C119" s="11"/>
      <c r="D119" s="11"/>
      <c r="E119" s="11"/>
      <c r="F119" s="11"/>
      <c r="G119" s="11"/>
      <c r="H119" s="11"/>
      <c r="I119" s="12"/>
      <c r="J119" s="13" t="str">
        <f aca="false">IF($H119="","",IFERROR(VLOOKUP($H119,'BẢNG GIÁ GỐC'!$A$5:$D$254,3,FALSE()),""))</f>
        <v/>
      </c>
      <c r="K119" s="12"/>
      <c r="L119" s="13" t="str">
        <f aca="false">IF($C119="","",N($I119)*N($K119))</f>
        <v/>
      </c>
      <c r="M119" s="11"/>
      <c r="N119" s="14" t="str">
        <f aca="false">IF($C119="","",IF($M119="VAT 5%",0.05,IF($M119="VAT 8%",0.08,IF($M119="VAT 10%",0.1,0))))</f>
        <v/>
      </c>
      <c r="O119" s="13" t="str">
        <f aca="false">IF($C119="","",$L119*$N119)</f>
        <v/>
      </c>
      <c r="P119" s="13" t="str">
        <f aca="false">IF($C119="","",$L119+$O119)</f>
        <v/>
      </c>
      <c r="Q119" s="12"/>
      <c r="R119" s="13" t="str">
        <f aca="false">IF($C119="","",MAX(0,$P119-N($Q119)))</f>
        <v/>
      </c>
      <c r="S119" s="23" t="str">
        <f aca="false">IF(OR($C119="",$P119=0),"",IF(N($Q119)&lt;=0,"Chưa thanh toán",IF(N($Q119)&lt;$P119,"Thanh toán một phần","Đã thanh toán")))</f>
        <v/>
      </c>
      <c r="T119" s="13" t="str">
        <f aca="false">IF(OR($C119="",$J119=""),"",N($I119)*$J119)</f>
        <v/>
      </c>
      <c r="U119" s="13" t="str">
        <f aca="false">IF(OR($C119="",$T119=""),"",$L119-$T119)</f>
        <v/>
      </c>
      <c r="V119" s="14" t="str">
        <f aca="false">IF(OR($U119="",$L119=0),"",$U119/$L119)</f>
        <v/>
      </c>
      <c r="W119" s="11"/>
      <c r="X119" s="23" t="str">
        <f aca="false">IF($C119="","",IF(AND($H119="",N($I119)=0,N($K119)=0),"Dòng chỉ lưu thông tin khách (chưa có đơn); ",IF($B119="","Thiếu ngày đặt; ","")&amp;IF($H119="","Thiếu tên sản phẩm; ",IF($J119="","Chưa khai GIÁ GỐC ở BẢNG GIÁ GỐC; ",""))&amp;IF(N($I119)&lt;=0,"Thiếu số lượng; ","")&amp;IF(N($K119)&lt;=0,"Thiếu giá bán; ","")&amp;IF(AND($N119&gt;0,$F119=""),"Khách lấy VAT thiếu mã số thuế; ","")&amp;IF(N($Q119)&gt;$P119,"Đã thu vượt tổng phải thu; ","")&amp;IF(AND($L119&gt;0,$U119&lt;&gt;"",$U119&lt;0),"CẢNH BÁO: ĐƠN NÀY ĐANG LỖ; ","")))</f>
        <v/>
      </c>
    </row>
    <row r="120" customFormat="false" ht="15" hidden="false" customHeight="false" outlineLevel="0" collapsed="false">
      <c r="A120" s="21" t="str">
        <f aca="false">IF($C120="","",COUNTA($C$10:$C120))</f>
        <v/>
      </c>
      <c r="B120" s="18"/>
      <c r="C120" s="11"/>
      <c r="D120" s="11"/>
      <c r="E120" s="11"/>
      <c r="F120" s="11"/>
      <c r="G120" s="11"/>
      <c r="H120" s="11"/>
      <c r="I120" s="12"/>
      <c r="J120" s="13" t="str">
        <f aca="false">IF($H120="","",IFERROR(VLOOKUP($H120,'BẢNG GIÁ GỐC'!$A$5:$D$254,3,FALSE()),""))</f>
        <v/>
      </c>
      <c r="K120" s="12"/>
      <c r="L120" s="13" t="str">
        <f aca="false">IF($C120="","",N($I120)*N($K120))</f>
        <v/>
      </c>
      <c r="M120" s="11"/>
      <c r="N120" s="14" t="str">
        <f aca="false">IF($C120="","",IF($M120="VAT 5%",0.05,IF($M120="VAT 8%",0.08,IF($M120="VAT 10%",0.1,0))))</f>
        <v/>
      </c>
      <c r="O120" s="13" t="str">
        <f aca="false">IF($C120="","",$L120*$N120)</f>
        <v/>
      </c>
      <c r="P120" s="13" t="str">
        <f aca="false">IF($C120="","",$L120+$O120)</f>
        <v/>
      </c>
      <c r="Q120" s="12"/>
      <c r="R120" s="13" t="str">
        <f aca="false">IF($C120="","",MAX(0,$P120-N($Q120)))</f>
        <v/>
      </c>
      <c r="S120" s="23" t="str">
        <f aca="false">IF(OR($C120="",$P120=0),"",IF(N($Q120)&lt;=0,"Chưa thanh toán",IF(N($Q120)&lt;$P120,"Thanh toán một phần","Đã thanh toán")))</f>
        <v/>
      </c>
      <c r="T120" s="13" t="str">
        <f aca="false">IF(OR($C120="",$J120=""),"",N($I120)*$J120)</f>
        <v/>
      </c>
      <c r="U120" s="13" t="str">
        <f aca="false">IF(OR($C120="",$T120=""),"",$L120-$T120)</f>
        <v/>
      </c>
      <c r="V120" s="14" t="str">
        <f aca="false">IF(OR($U120="",$L120=0),"",$U120/$L120)</f>
        <v/>
      </c>
      <c r="W120" s="11"/>
      <c r="X120" s="23" t="str">
        <f aca="false">IF($C120="","",IF(AND($H120="",N($I120)=0,N($K120)=0),"Dòng chỉ lưu thông tin khách (chưa có đơn); ",IF($B120="","Thiếu ngày đặt; ","")&amp;IF($H120="","Thiếu tên sản phẩm; ",IF($J120="","Chưa khai GIÁ GỐC ở BẢNG GIÁ GỐC; ",""))&amp;IF(N($I120)&lt;=0,"Thiếu số lượng; ","")&amp;IF(N($K120)&lt;=0,"Thiếu giá bán; ","")&amp;IF(AND($N120&gt;0,$F120=""),"Khách lấy VAT thiếu mã số thuế; ","")&amp;IF(N($Q120)&gt;$P120,"Đã thu vượt tổng phải thu; ","")&amp;IF(AND($L120&gt;0,$U120&lt;&gt;"",$U120&lt;0),"CẢNH BÁO: ĐƠN NÀY ĐANG LỖ; ","")))</f>
        <v/>
      </c>
    </row>
    <row r="121" customFormat="false" ht="15" hidden="false" customHeight="false" outlineLevel="0" collapsed="false">
      <c r="A121" s="21" t="str">
        <f aca="false">IF($C121="","",COUNTA($C$10:$C121))</f>
        <v/>
      </c>
      <c r="B121" s="18"/>
      <c r="C121" s="11"/>
      <c r="D121" s="11"/>
      <c r="E121" s="11"/>
      <c r="F121" s="11"/>
      <c r="G121" s="11"/>
      <c r="H121" s="11"/>
      <c r="I121" s="12"/>
      <c r="J121" s="13" t="str">
        <f aca="false">IF($H121="","",IFERROR(VLOOKUP($H121,'BẢNG GIÁ GỐC'!$A$5:$D$254,3,FALSE()),""))</f>
        <v/>
      </c>
      <c r="K121" s="12"/>
      <c r="L121" s="13" t="str">
        <f aca="false">IF($C121="","",N($I121)*N($K121))</f>
        <v/>
      </c>
      <c r="M121" s="11"/>
      <c r="N121" s="14" t="str">
        <f aca="false">IF($C121="","",IF($M121="VAT 5%",0.05,IF($M121="VAT 8%",0.08,IF($M121="VAT 10%",0.1,0))))</f>
        <v/>
      </c>
      <c r="O121" s="13" t="str">
        <f aca="false">IF($C121="","",$L121*$N121)</f>
        <v/>
      </c>
      <c r="P121" s="13" t="str">
        <f aca="false">IF($C121="","",$L121+$O121)</f>
        <v/>
      </c>
      <c r="Q121" s="12"/>
      <c r="R121" s="13" t="str">
        <f aca="false">IF($C121="","",MAX(0,$P121-N($Q121)))</f>
        <v/>
      </c>
      <c r="S121" s="23" t="str">
        <f aca="false">IF(OR($C121="",$P121=0),"",IF(N($Q121)&lt;=0,"Chưa thanh toán",IF(N($Q121)&lt;$P121,"Thanh toán một phần","Đã thanh toán")))</f>
        <v/>
      </c>
      <c r="T121" s="13" t="str">
        <f aca="false">IF(OR($C121="",$J121=""),"",N($I121)*$J121)</f>
        <v/>
      </c>
      <c r="U121" s="13" t="str">
        <f aca="false">IF(OR($C121="",$T121=""),"",$L121-$T121)</f>
        <v/>
      </c>
      <c r="V121" s="14" t="str">
        <f aca="false">IF(OR($U121="",$L121=0),"",$U121/$L121)</f>
        <v/>
      </c>
      <c r="W121" s="11"/>
      <c r="X121" s="23" t="str">
        <f aca="false">IF($C121="","",IF(AND($H121="",N($I121)=0,N($K121)=0),"Dòng chỉ lưu thông tin khách (chưa có đơn); ",IF($B121="","Thiếu ngày đặt; ","")&amp;IF($H121="","Thiếu tên sản phẩm; ",IF($J121="","Chưa khai GIÁ GỐC ở BẢNG GIÁ GỐC; ",""))&amp;IF(N($I121)&lt;=0,"Thiếu số lượng; ","")&amp;IF(N($K121)&lt;=0,"Thiếu giá bán; ","")&amp;IF(AND($N121&gt;0,$F121=""),"Khách lấy VAT thiếu mã số thuế; ","")&amp;IF(N($Q121)&gt;$P121,"Đã thu vượt tổng phải thu; ","")&amp;IF(AND($L121&gt;0,$U121&lt;&gt;"",$U121&lt;0),"CẢNH BÁO: ĐƠN NÀY ĐANG LỖ; ","")))</f>
        <v/>
      </c>
    </row>
    <row r="122" customFormat="false" ht="15" hidden="false" customHeight="false" outlineLevel="0" collapsed="false">
      <c r="A122" s="21" t="str">
        <f aca="false">IF($C122="","",COUNTA($C$10:$C122))</f>
        <v/>
      </c>
      <c r="B122" s="18"/>
      <c r="C122" s="11"/>
      <c r="D122" s="11"/>
      <c r="E122" s="11"/>
      <c r="F122" s="11"/>
      <c r="G122" s="11"/>
      <c r="H122" s="11"/>
      <c r="I122" s="12"/>
      <c r="J122" s="13" t="str">
        <f aca="false">IF($H122="","",IFERROR(VLOOKUP($H122,'BẢNG GIÁ GỐC'!$A$5:$D$254,3,FALSE()),""))</f>
        <v/>
      </c>
      <c r="K122" s="12"/>
      <c r="L122" s="13" t="str">
        <f aca="false">IF($C122="","",N($I122)*N($K122))</f>
        <v/>
      </c>
      <c r="M122" s="11"/>
      <c r="N122" s="14" t="str">
        <f aca="false">IF($C122="","",IF($M122="VAT 5%",0.05,IF($M122="VAT 8%",0.08,IF($M122="VAT 10%",0.1,0))))</f>
        <v/>
      </c>
      <c r="O122" s="13" t="str">
        <f aca="false">IF($C122="","",$L122*$N122)</f>
        <v/>
      </c>
      <c r="P122" s="13" t="str">
        <f aca="false">IF($C122="","",$L122+$O122)</f>
        <v/>
      </c>
      <c r="Q122" s="12"/>
      <c r="R122" s="13" t="str">
        <f aca="false">IF($C122="","",MAX(0,$P122-N($Q122)))</f>
        <v/>
      </c>
      <c r="S122" s="23" t="str">
        <f aca="false">IF(OR($C122="",$P122=0),"",IF(N($Q122)&lt;=0,"Chưa thanh toán",IF(N($Q122)&lt;$P122,"Thanh toán một phần","Đã thanh toán")))</f>
        <v/>
      </c>
      <c r="T122" s="13" t="str">
        <f aca="false">IF(OR($C122="",$J122=""),"",N($I122)*$J122)</f>
        <v/>
      </c>
      <c r="U122" s="13" t="str">
        <f aca="false">IF(OR($C122="",$T122=""),"",$L122-$T122)</f>
        <v/>
      </c>
      <c r="V122" s="14" t="str">
        <f aca="false">IF(OR($U122="",$L122=0),"",$U122/$L122)</f>
        <v/>
      </c>
      <c r="W122" s="11"/>
      <c r="X122" s="23" t="str">
        <f aca="false">IF($C122="","",IF(AND($H122="",N($I122)=0,N($K122)=0),"Dòng chỉ lưu thông tin khách (chưa có đơn); ",IF($B122="","Thiếu ngày đặt; ","")&amp;IF($H122="","Thiếu tên sản phẩm; ",IF($J122="","Chưa khai GIÁ GỐC ở BẢNG GIÁ GỐC; ",""))&amp;IF(N($I122)&lt;=0,"Thiếu số lượng; ","")&amp;IF(N($K122)&lt;=0,"Thiếu giá bán; ","")&amp;IF(AND($N122&gt;0,$F122=""),"Khách lấy VAT thiếu mã số thuế; ","")&amp;IF(N($Q122)&gt;$P122,"Đã thu vượt tổng phải thu; ","")&amp;IF(AND($L122&gt;0,$U122&lt;&gt;"",$U122&lt;0),"CẢNH BÁO: ĐƠN NÀY ĐANG LỖ; ","")))</f>
        <v/>
      </c>
    </row>
    <row r="123" customFormat="false" ht="15" hidden="false" customHeight="false" outlineLevel="0" collapsed="false">
      <c r="A123" s="21" t="str">
        <f aca="false">IF($C123="","",COUNTA($C$10:$C123))</f>
        <v/>
      </c>
      <c r="B123" s="18"/>
      <c r="C123" s="11"/>
      <c r="D123" s="11"/>
      <c r="E123" s="11"/>
      <c r="F123" s="11"/>
      <c r="G123" s="11"/>
      <c r="H123" s="11"/>
      <c r="I123" s="12"/>
      <c r="J123" s="13" t="str">
        <f aca="false">IF($H123="","",IFERROR(VLOOKUP($H123,'BẢNG GIÁ GỐC'!$A$5:$D$254,3,FALSE()),""))</f>
        <v/>
      </c>
      <c r="K123" s="12"/>
      <c r="L123" s="13" t="str">
        <f aca="false">IF($C123="","",N($I123)*N($K123))</f>
        <v/>
      </c>
      <c r="M123" s="11"/>
      <c r="N123" s="14" t="str">
        <f aca="false">IF($C123="","",IF($M123="VAT 5%",0.05,IF($M123="VAT 8%",0.08,IF($M123="VAT 10%",0.1,0))))</f>
        <v/>
      </c>
      <c r="O123" s="13" t="str">
        <f aca="false">IF($C123="","",$L123*$N123)</f>
        <v/>
      </c>
      <c r="P123" s="13" t="str">
        <f aca="false">IF($C123="","",$L123+$O123)</f>
        <v/>
      </c>
      <c r="Q123" s="12"/>
      <c r="R123" s="13" t="str">
        <f aca="false">IF($C123="","",MAX(0,$P123-N($Q123)))</f>
        <v/>
      </c>
      <c r="S123" s="23" t="str">
        <f aca="false">IF(OR($C123="",$P123=0),"",IF(N($Q123)&lt;=0,"Chưa thanh toán",IF(N($Q123)&lt;$P123,"Thanh toán một phần","Đã thanh toán")))</f>
        <v/>
      </c>
      <c r="T123" s="13" t="str">
        <f aca="false">IF(OR($C123="",$J123=""),"",N($I123)*$J123)</f>
        <v/>
      </c>
      <c r="U123" s="13" t="str">
        <f aca="false">IF(OR($C123="",$T123=""),"",$L123-$T123)</f>
        <v/>
      </c>
      <c r="V123" s="14" t="str">
        <f aca="false">IF(OR($U123="",$L123=0),"",$U123/$L123)</f>
        <v/>
      </c>
      <c r="W123" s="11"/>
      <c r="X123" s="23" t="str">
        <f aca="false">IF($C123="","",IF(AND($H123="",N($I123)=0,N($K123)=0),"Dòng chỉ lưu thông tin khách (chưa có đơn); ",IF($B123="","Thiếu ngày đặt; ","")&amp;IF($H123="","Thiếu tên sản phẩm; ",IF($J123="","Chưa khai GIÁ GỐC ở BẢNG GIÁ GỐC; ",""))&amp;IF(N($I123)&lt;=0,"Thiếu số lượng; ","")&amp;IF(N($K123)&lt;=0,"Thiếu giá bán; ","")&amp;IF(AND($N123&gt;0,$F123=""),"Khách lấy VAT thiếu mã số thuế; ","")&amp;IF(N($Q123)&gt;$P123,"Đã thu vượt tổng phải thu; ","")&amp;IF(AND($L123&gt;0,$U123&lt;&gt;"",$U123&lt;0),"CẢNH BÁO: ĐƠN NÀY ĐANG LỖ; ","")))</f>
        <v/>
      </c>
    </row>
    <row r="124" customFormat="false" ht="15" hidden="false" customHeight="false" outlineLevel="0" collapsed="false">
      <c r="A124" s="21" t="str">
        <f aca="false">IF($C124="","",COUNTA($C$10:$C124))</f>
        <v/>
      </c>
      <c r="B124" s="18"/>
      <c r="C124" s="11"/>
      <c r="D124" s="11"/>
      <c r="E124" s="11"/>
      <c r="F124" s="11"/>
      <c r="G124" s="11"/>
      <c r="H124" s="11"/>
      <c r="I124" s="12"/>
      <c r="J124" s="13" t="str">
        <f aca="false">IF($H124="","",IFERROR(VLOOKUP($H124,'BẢNG GIÁ GỐC'!$A$5:$D$254,3,FALSE()),""))</f>
        <v/>
      </c>
      <c r="K124" s="12"/>
      <c r="L124" s="13" t="str">
        <f aca="false">IF($C124="","",N($I124)*N($K124))</f>
        <v/>
      </c>
      <c r="M124" s="11"/>
      <c r="N124" s="14" t="str">
        <f aca="false">IF($C124="","",IF($M124="VAT 5%",0.05,IF($M124="VAT 8%",0.08,IF($M124="VAT 10%",0.1,0))))</f>
        <v/>
      </c>
      <c r="O124" s="13" t="str">
        <f aca="false">IF($C124="","",$L124*$N124)</f>
        <v/>
      </c>
      <c r="P124" s="13" t="str">
        <f aca="false">IF($C124="","",$L124+$O124)</f>
        <v/>
      </c>
      <c r="Q124" s="12"/>
      <c r="R124" s="13" t="str">
        <f aca="false">IF($C124="","",MAX(0,$P124-N($Q124)))</f>
        <v/>
      </c>
      <c r="S124" s="23" t="str">
        <f aca="false">IF(OR($C124="",$P124=0),"",IF(N($Q124)&lt;=0,"Chưa thanh toán",IF(N($Q124)&lt;$P124,"Thanh toán một phần","Đã thanh toán")))</f>
        <v/>
      </c>
      <c r="T124" s="13" t="str">
        <f aca="false">IF(OR($C124="",$J124=""),"",N($I124)*$J124)</f>
        <v/>
      </c>
      <c r="U124" s="13" t="str">
        <f aca="false">IF(OR($C124="",$T124=""),"",$L124-$T124)</f>
        <v/>
      </c>
      <c r="V124" s="14" t="str">
        <f aca="false">IF(OR($U124="",$L124=0),"",$U124/$L124)</f>
        <v/>
      </c>
      <c r="W124" s="11"/>
      <c r="X124" s="23" t="str">
        <f aca="false">IF($C124="","",IF(AND($H124="",N($I124)=0,N($K124)=0),"Dòng chỉ lưu thông tin khách (chưa có đơn); ",IF($B124="","Thiếu ngày đặt; ","")&amp;IF($H124="","Thiếu tên sản phẩm; ",IF($J124="","Chưa khai GIÁ GỐC ở BẢNG GIÁ GỐC; ",""))&amp;IF(N($I124)&lt;=0,"Thiếu số lượng; ","")&amp;IF(N($K124)&lt;=0,"Thiếu giá bán; ","")&amp;IF(AND($N124&gt;0,$F124=""),"Khách lấy VAT thiếu mã số thuế; ","")&amp;IF(N($Q124)&gt;$P124,"Đã thu vượt tổng phải thu; ","")&amp;IF(AND($L124&gt;0,$U124&lt;&gt;"",$U124&lt;0),"CẢNH BÁO: ĐƠN NÀY ĐANG LỖ; ","")))</f>
        <v/>
      </c>
    </row>
    <row r="125" customFormat="false" ht="15" hidden="false" customHeight="false" outlineLevel="0" collapsed="false">
      <c r="A125" s="21" t="str">
        <f aca="false">IF($C125="","",COUNTA($C$10:$C125))</f>
        <v/>
      </c>
      <c r="B125" s="18"/>
      <c r="C125" s="11"/>
      <c r="D125" s="11"/>
      <c r="E125" s="11"/>
      <c r="F125" s="11"/>
      <c r="G125" s="11"/>
      <c r="H125" s="11"/>
      <c r="I125" s="12"/>
      <c r="J125" s="13" t="str">
        <f aca="false">IF($H125="","",IFERROR(VLOOKUP($H125,'BẢNG GIÁ GỐC'!$A$5:$D$254,3,FALSE()),""))</f>
        <v/>
      </c>
      <c r="K125" s="12"/>
      <c r="L125" s="13" t="str">
        <f aca="false">IF($C125="","",N($I125)*N($K125))</f>
        <v/>
      </c>
      <c r="M125" s="11"/>
      <c r="N125" s="14" t="str">
        <f aca="false">IF($C125="","",IF($M125="VAT 5%",0.05,IF($M125="VAT 8%",0.08,IF($M125="VAT 10%",0.1,0))))</f>
        <v/>
      </c>
      <c r="O125" s="13" t="str">
        <f aca="false">IF($C125="","",$L125*$N125)</f>
        <v/>
      </c>
      <c r="P125" s="13" t="str">
        <f aca="false">IF($C125="","",$L125+$O125)</f>
        <v/>
      </c>
      <c r="Q125" s="12"/>
      <c r="R125" s="13" t="str">
        <f aca="false">IF($C125="","",MAX(0,$P125-N($Q125)))</f>
        <v/>
      </c>
      <c r="S125" s="23" t="str">
        <f aca="false">IF(OR($C125="",$P125=0),"",IF(N($Q125)&lt;=0,"Chưa thanh toán",IF(N($Q125)&lt;$P125,"Thanh toán một phần","Đã thanh toán")))</f>
        <v/>
      </c>
      <c r="T125" s="13" t="str">
        <f aca="false">IF(OR($C125="",$J125=""),"",N($I125)*$J125)</f>
        <v/>
      </c>
      <c r="U125" s="13" t="str">
        <f aca="false">IF(OR($C125="",$T125=""),"",$L125-$T125)</f>
        <v/>
      </c>
      <c r="V125" s="14" t="str">
        <f aca="false">IF(OR($U125="",$L125=0),"",$U125/$L125)</f>
        <v/>
      </c>
      <c r="W125" s="11"/>
      <c r="X125" s="23" t="str">
        <f aca="false">IF($C125="","",IF(AND($H125="",N($I125)=0,N($K125)=0),"Dòng chỉ lưu thông tin khách (chưa có đơn); ",IF($B125="","Thiếu ngày đặt; ","")&amp;IF($H125="","Thiếu tên sản phẩm; ",IF($J125="","Chưa khai GIÁ GỐC ở BẢNG GIÁ GỐC; ",""))&amp;IF(N($I125)&lt;=0,"Thiếu số lượng; ","")&amp;IF(N($K125)&lt;=0,"Thiếu giá bán; ","")&amp;IF(AND($N125&gt;0,$F125=""),"Khách lấy VAT thiếu mã số thuế; ","")&amp;IF(N($Q125)&gt;$P125,"Đã thu vượt tổng phải thu; ","")&amp;IF(AND($L125&gt;0,$U125&lt;&gt;"",$U125&lt;0),"CẢNH BÁO: ĐƠN NÀY ĐANG LỖ; ","")))</f>
        <v/>
      </c>
    </row>
    <row r="126" customFormat="false" ht="15" hidden="false" customHeight="false" outlineLevel="0" collapsed="false">
      <c r="A126" s="21" t="str">
        <f aca="false">IF($C126="","",COUNTA($C$10:$C126))</f>
        <v/>
      </c>
      <c r="B126" s="18"/>
      <c r="C126" s="11"/>
      <c r="D126" s="11"/>
      <c r="E126" s="11"/>
      <c r="F126" s="11"/>
      <c r="G126" s="11"/>
      <c r="H126" s="11"/>
      <c r="I126" s="12"/>
      <c r="J126" s="13" t="str">
        <f aca="false">IF($H126="","",IFERROR(VLOOKUP($H126,'BẢNG GIÁ GỐC'!$A$5:$D$254,3,FALSE()),""))</f>
        <v/>
      </c>
      <c r="K126" s="12"/>
      <c r="L126" s="13" t="str">
        <f aca="false">IF($C126="","",N($I126)*N($K126))</f>
        <v/>
      </c>
      <c r="M126" s="11"/>
      <c r="N126" s="14" t="str">
        <f aca="false">IF($C126="","",IF($M126="VAT 5%",0.05,IF($M126="VAT 8%",0.08,IF($M126="VAT 10%",0.1,0))))</f>
        <v/>
      </c>
      <c r="O126" s="13" t="str">
        <f aca="false">IF($C126="","",$L126*$N126)</f>
        <v/>
      </c>
      <c r="P126" s="13" t="str">
        <f aca="false">IF($C126="","",$L126+$O126)</f>
        <v/>
      </c>
      <c r="Q126" s="12"/>
      <c r="R126" s="13" t="str">
        <f aca="false">IF($C126="","",MAX(0,$P126-N($Q126)))</f>
        <v/>
      </c>
      <c r="S126" s="23" t="str">
        <f aca="false">IF(OR($C126="",$P126=0),"",IF(N($Q126)&lt;=0,"Chưa thanh toán",IF(N($Q126)&lt;$P126,"Thanh toán một phần","Đã thanh toán")))</f>
        <v/>
      </c>
      <c r="T126" s="13" t="str">
        <f aca="false">IF(OR($C126="",$J126=""),"",N($I126)*$J126)</f>
        <v/>
      </c>
      <c r="U126" s="13" t="str">
        <f aca="false">IF(OR($C126="",$T126=""),"",$L126-$T126)</f>
        <v/>
      </c>
      <c r="V126" s="14" t="str">
        <f aca="false">IF(OR($U126="",$L126=0),"",$U126/$L126)</f>
        <v/>
      </c>
      <c r="W126" s="11"/>
      <c r="X126" s="23" t="str">
        <f aca="false">IF($C126="","",IF(AND($H126="",N($I126)=0,N($K126)=0),"Dòng chỉ lưu thông tin khách (chưa có đơn); ",IF($B126="","Thiếu ngày đặt; ","")&amp;IF($H126="","Thiếu tên sản phẩm; ",IF($J126="","Chưa khai GIÁ GỐC ở BẢNG GIÁ GỐC; ",""))&amp;IF(N($I126)&lt;=0,"Thiếu số lượng; ","")&amp;IF(N($K126)&lt;=0,"Thiếu giá bán; ","")&amp;IF(AND($N126&gt;0,$F126=""),"Khách lấy VAT thiếu mã số thuế; ","")&amp;IF(N($Q126)&gt;$P126,"Đã thu vượt tổng phải thu; ","")&amp;IF(AND($L126&gt;0,$U126&lt;&gt;"",$U126&lt;0),"CẢNH BÁO: ĐƠN NÀY ĐANG LỖ; ","")))</f>
        <v/>
      </c>
    </row>
    <row r="127" customFormat="false" ht="15" hidden="false" customHeight="false" outlineLevel="0" collapsed="false">
      <c r="A127" s="21" t="str">
        <f aca="false">IF($C127="","",COUNTA($C$10:$C127))</f>
        <v/>
      </c>
      <c r="B127" s="18"/>
      <c r="C127" s="11"/>
      <c r="D127" s="11"/>
      <c r="E127" s="11"/>
      <c r="F127" s="11"/>
      <c r="G127" s="11"/>
      <c r="H127" s="11"/>
      <c r="I127" s="12"/>
      <c r="J127" s="13" t="str">
        <f aca="false">IF($H127="","",IFERROR(VLOOKUP($H127,'BẢNG GIÁ GỐC'!$A$5:$D$254,3,FALSE()),""))</f>
        <v/>
      </c>
      <c r="K127" s="12"/>
      <c r="L127" s="13" t="str">
        <f aca="false">IF($C127="","",N($I127)*N($K127))</f>
        <v/>
      </c>
      <c r="M127" s="11"/>
      <c r="N127" s="14" t="str">
        <f aca="false">IF($C127="","",IF($M127="VAT 5%",0.05,IF($M127="VAT 8%",0.08,IF($M127="VAT 10%",0.1,0))))</f>
        <v/>
      </c>
      <c r="O127" s="13" t="str">
        <f aca="false">IF($C127="","",$L127*$N127)</f>
        <v/>
      </c>
      <c r="P127" s="13" t="str">
        <f aca="false">IF($C127="","",$L127+$O127)</f>
        <v/>
      </c>
      <c r="Q127" s="12"/>
      <c r="R127" s="13" t="str">
        <f aca="false">IF($C127="","",MAX(0,$P127-N($Q127)))</f>
        <v/>
      </c>
      <c r="S127" s="23" t="str">
        <f aca="false">IF(OR($C127="",$P127=0),"",IF(N($Q127)&lt;=0,"Chưa thanh toán",IF(N($Q127)&lt;$P127,"Thanh toán một phần","Đã thanh toán")))</f>
        <v/>
      </c>
      <c r="T127" s="13" t="str">
        <f aca="false">IF(OR($C127="",$J127=""),"",N($I127)*$J127)</f>
        <v/>
      </c>
      <c r="U127" s="13" t="str">
        <f aca="false">IF(OR($C127="",$T127=""),"",$L127-$T127)</f>
        <v/>
      </c>
      <c r="V127" s="14" t="str">
        <f aca="false">IF(OR($U127="",$L127=0),"",$U127/$L127)</f>
        <v/>
      </c>
      <c r="W127" s="11"/>
      <c r="X127" s="23" t="str">
        <f aca="false">IF($C127="","",IF(AND($H127="",N($I127)=0,N($K127)=0),"Dòng chỉ lưu thông tin khách (chưa có đơn); ",IF($B127="","Thiếu ngày đặt; ","")&amp;IF($H127="","Thiếu tên sản phẩm; ",IF($J127="","Chưa khai GIÁ GỐC ở BẢNG GIÁ GỐC; ",""))&amp;IF(N($I127)&lt;=0,"Thiếu số lượng; ","")&amp;IF(N($K127)&lt;=0,"Thiếu giá bán; ","")&amp;IF(AND($N127&gt;0,$F127=""),"Khách lấy VAT thiếu mã số thuế; ","")&amp;IF(N($Q127)&gt;$P127,"Đã thu vượt tổng phải thu; ","")&amp;IF(AND($L127&gt;0,$U127&lt;&gt;"",$U127&lt;0),"CẢNH BÁO: ĐƠN NÀY ĐANG LỖ; ","")))</f>
        <v/>
      </c>
    </row>
    <row r="128" customFormat="false" ht="15" hidden="false" customHeight="false" outlineLevel="0" collapsed="false">
      <c r="A128" s="21" t="str">
        <f aca="false">IF($C128="","",COUNTA($C$10:$C128))</f>
        <v/>
      </c>
      <c r="B128" s="18"/>
      <c r="C128" s="11"/>
      <c r="D128" s="11"/>
      <c r="E128" s="11"/>
      <c r="F128" s="11"/>
      <c r="G128" s="11"/>
      <c r="H128" s="11"/>
      <c r="I128" s="12"/>
      <c r="J128" s="13" t="str">
        <f aca="false">IF($H128="","",IFERROR(VLOOKUP($H128,'BẢNG GIÁ GỐC'!$A$5:$D$254,3,FALSE()),""))</f>
        <v/>
      </c>
      <c r="K128" s="12"/>
      <c r="L128" s="13" t="str">
        <f aca="false">IF($C128="","",N($I128)*N($K128))</f>
        <v/>
      </c>
      <c r="M128" s="11"/>
      <c r="N128" s="14" t="str">
        <f aca="false">IF($C128="","",IF($M128="VAT 5%",0.05,IF($M128="VAT 8%",0.08,IF($M128="VAT 10%",0.1,0))))</f>
        <v/>
      </c>
      <c r="O128" s="13" t="str">
        <f aca="false">IF($C128="","",$L128*$N128)</f>
        <v/>
      </c>
      <c r="P128" s="13" t="str">
        <f aca="false">IF($C128="","",$L128+$O128)</f>
        <v/>
      </c>
      <c r="Q128" s="12"/>
      <c r="R128" s="13" t="str">
        <f aca="false">IF($C128="","",MAX(0,$P128-N($Q128)))</f>
        <v/>
      </c>
      <c r="S128" s="23" t="str">
        <f aca="false">IF(OR($C128="",$P128=0),"",IF(N($Q128)&lt;=0,"Chưa thanh toán",IF(N($Q128)&lt;$P128,"Thanh toán một phần","Đã thanh toán")))</f>
        <v/>
      </c>
      <c r="T128" s="13" t="str">
        <f aca="false">IF(OR($C128="",$J128=""),"",N($I128)*$J128)</f>
        <v/>
      </c>
      <c r="U128" s="13" t="str">
        <f aca="false">IF(OR($C128="",$T128=""),"",$L128-$T128)</f>
        <v/>
      </c>
      <c r="V128" s="14" t="str">
        <f aca="false">IF(OR($U128="",$L128=0),"",$U128/$L128)</f>
        <v/>
      </c>
      <c r="W128" s="11"/>
      <c r="X128" s="23" t="str">
        <f aca="false">IF($C128="","",IF(AND($H128="",N($I128)=0,N($K128)=0),"Dòng chỉ lưu thông tin khách (chưa có đơn); ",IF($B128="","Thiếu ngày đặt; ","")&amp;IF($H128="","Thiếu tên sản phẩm; ",IF($J128="","Chưa khai GIÁ GỐC ở BẢNG GIÁ GỐC; ",""))&amp;IF(N($I128)&lt;=0,"Thiếu số lượng; ","")&amp;IF(N($K128)&lt;=0,"Thiếu giá bán; ","")&amp;IF(AND($N128&gt;0,$F128=""),"Khách lấy VAT thiếu mã số thuế; ","")&amp;IF(N($Q128)&gt;$P128,"Đã thu vượt tổng phải thu; ","")&amp;IF(AND($L128&gt;0,$U128&lt;&gt;"",$U128&lt;0),"CẢNH BÁO: ĐƠN NÀY ĐANG LỖ; ","")))</f>
        <v/>
      </c>
    </row>
    <row r="129" customFormat="false" ht="15" hidden="false" customHeight="false" outlineLevel="0" collapsed="false">
      <c r="A129" s="21" t="str">
        <f aca="false">IF($C129="","",COUNTA($C$10:$C129))</f>
        <v/>
      </c>
      <c r="B129" s="18"/>
      <c r="C129" s="11"/>
      <c r="D129" s="11"/>
      <c r="E129" s="11"/>
      <c r="F129" s="11"/>
      <c r="G129" s="11"/>
      <c r="H129" s="11"/>
      <c r="I129" s="12"/>
      <c r="J129" s="13" t="str">
        <f aca="false">IF($H129="","",IFERROR(VLOOKUP($H129,'BẢNG GIÁ GỐC'!$A$5:$D$254,3,FALSE()),""))</f>
        <v/>
      </c>
      <c r="K129" s="12"/>
      <c r="L129" s="13" t="str">
        <f aca="false">IF($C129="","",N($I129)*N($K129))</f>
        <v/>
      </c>
      <c r="M129" s="11"/>
      <c r="N129" s="14" t="str">
        <f aca="false">IF($C129="","",IF($M129="VAT 5%",0.05,IF($M129="VAT 8%",0.08,IF($M129="VAT 10%",0.1,0))))</f>
        <v/>
      </c>
      <c r="O129" s="13" t="str">
        <f aca="false">IF($C129="","",$L129*$N129)</f>
        <v/>
      </c>
      <c r="P129" s="13" t="str">
        <f aca="false">IF($C129="","",$L129+$O129)</f>
        <v/>
      </c>
      <c r="Q129" s="12"/>
      <c r="R129" s="13" t="str">
        <f aca="false">IF($C129="","",MAX(0,$P129-N($Q129)))</f>
        <v/>
      </c>
      <c r="S129" s="23" t="str">
        <f aca="false">IF(OR($C129="",$P129=0),"",IF(N($Q129)&lt;=0,"Chưa thanh toán",IF(N($Q129)&lt;$P129,"Thanh toán một phần","Đã thanh toán")))</f>
        <v/>
      </c>
      <c r="T129" s="13" t="str">
        <f aca="false">IF(OR($C129="",$J129=""),"",N($I129)*$J129)</f>
        <v/>
      </c>
      <c r="U129" s="13" t="str">
        <f aca="false">IF(OR($C129="",$T129=""),"",$L129-$T129)</f>
        <v/>
      </c>
      <c r="V129" s="14" t="str">
        <f aca="false">IF(OR($U129="",$L129=0),"",$U129/$L129)</f>
        <v/>
      </c>
      <c r="W129" s="11"/>
      <c r="X129" s="23" t="str">
        <f aca="false">IF($C129="","",IF(AND($H129="",N($I129)=0,N($K129)=0),"Dòng chỉ lưu thông tin khách (chưa có đơn); ",IF($B129="","Thiếu ngày đặt; ","")&amp;IF($H129="","Thiếu tên sản phẩm; ",IF($J129="","Chưa khai GIÁ GỐC ở BẢNG GIÁ GỐC; ",""))&amp;IF(N($I129)&lt;=0,"Thiếu số lượng; ","")&amp;IF(N($K129)&lt;=0,"Thiếu giá bán; ","")&amp;IF(AND($N129&gt;0,$F129=""),"Khách lấy VAT thiếu mã số thuế; ","")&amp;IF(N($Q129)&gt;$P129,"Đã thu vượt tổng phải thu; ","")&amp;IF(AND($L129&gt;0,$U129&lt;&gt;"",$U129&lt;0),"CẢNH BÁO: ĐƠN NÀY ĐANG LỖ; ","")))</f>
        <v/>
      </c>
    </row>
    <row r="130" customFormat="false" ht="15" hidden="false" customHeight="false" outlineLevel="0" collapsed="false">
      <c r="A130" s="21" t="str">
        <f aca="false">IF($C130="","",COUNTA($C$10:$C130))</f>
        <v/>
      </c>
      <c r="B130" s="18"/>
      <c r="C130" s="11"/>
      <c r="D130" s="11"/>
      <c r="E130" s="11"/>
      <c r="F130" s="11"/>
      <c r="G130" s="11"/>
      <c r="H130" s="11"/>
      <c r="I130" s="12"/>
      <c r="J130" s="13" t="str">
        <f aca="false">IF($H130="","",IFERROR(VLOOKUP($H130,'BẢNG GIÁ GỐC'!$A$5:$D$254,3,FALSE()),""))</f>
        <v/>
      </c>
      <c r="K130" s="12"/>
      <c r="L130" s="13" t="str">
        <f aca="false">IF($C130="","",N($I130)*N($K130))</f>
        <v/>
      </c>
      <c r="M130" s="11"/>
      <c r="N130" s="14" t="str">
        <f aca="false">IF($C130="","",IF($M130="VAT 5%",0.05,IF($M130="VAT 8%",0.08,IF($M130="VAT 10%",0.1,0))))</f>
        <v/>
      </c>
      <c r="O130" s="13" t="str">
        <f aca="false">IF($C130="","",$L130*$N130)</f>
        <v/>
      </c>
      <c r="P130" s="13" t="str">
        <f aca="false">IF($C130="","",$L130+$O130)</f>
        <v/>
      </c>
      <c r="Q130" s="12"/>
      <c r="R130" s="13" t="str">
        <f aca="false">IF($C130="","",MAX(0,$P130-N($Q130)))</f>
        <v/>
      </c>
      <c r="S130" s="23" t="str">
        <f aca="false">IF(OR($C130="",$P130=0),"",IF(N($Q130)&lt;=0,"Chưa thanh toán",IF(N($Q130)&lt;$P130,"Thanh toán một phần","Đã thanh toán")))</f>
        <v/>
      </c>
      <c r="T130" s="13" t="str">
        <f aca="false">IF(OR($C130="",$J130=""),"",N($I130)*$J130)</f>
        <v/>
      </c>
      <c r="U130" s="13" t="str">
        <f aca="false">IF(OR($C130="",$T130=""),"",$L130-$T130)</f>
        <v/>
      </c>
      <c r="V130" s="14" t="str">
        <f aca="false">IF(OR($U130="",$L130=0),"",$U130/$L130)</f>
        <v/>
      </c>
      <c r="W130" s="11"/>
      <c r="X130" s="23" t="str">
        <f aca="false">IF($C130="","",IF(AND($H130="",N($I130)=0,N($K130)=0),"Dòng chỉ lưu thông tin khách (chưa có đơn); ",IF($B130="","Thiếu ngày đặt; ","")&amp;IF($H130="","Thiếu tên sản phẩm; ",IF($J130="","Chưa khai GIÁ GỐC ở BẢNG GIÁ GỐC; ",""))&amp;IF(N($I130)&lt;=0,"Thiếu số lượng; ","")&amp;IF(N($K130)&lt;=0,"Thiếu giá bán; ","")&amp;IF(AND($N130&gt;0,$F130=""),"Khách lấy VAT thiếu mã số thuế; ","")&amp;IF(N($Q130)&gt;$P130,"Đã thu vượt tổng phải thu; ","")&amp;IF(AND($L130&gt;0,$U130&lt;&gt;"",$U130&lt;0),"CẢNH BÁO: ĐƠN NÀY ĐANG LỖ; ","")))</f>
        <v/>
      </c>
    </row>
    <row r="131" customFormat="false" ht="15" hidden="false" customHeight="false" outlineLevel="0" collapsed="false">
      <c r="A131" s="21" t="str">
        <f aca="false">IF($C131="","",COUNTA($C$10:$C131))</f>
        <v/>
      </c>
      <c r="B131" s="18"/>
      <c r="C131" s="11"/>
      <c r="D131" s="11"/>
      <c r="E131" s="11"/>
      <c r="F131" s="11"/>
      <c r="G131" s="11"/>
      <c r="H131" s="11"/>
      <c r="I131" s="12"/>
      <c r="J131" s="13" t="str">
        <f aca="false">IF($H131="","",IFERROR(VLOOKUP($H131,'BẢNG GIÁ GỐC'!$A$5:$D$254,3,FALSE()),""))</f>
        <v/>
      </c>
      <c r="K131" s="12"/>
      <c r="L131" s="13" t="str">
        <f aca="false">IF($C131="","",N($I131)*N($K131))</f>
        <v/>
      </c>
      <c r="M131" s="11"/>
      <c r="N131" s="14" t="str">
        <f aca="false">IF($C131="","",IF($M131="VAT 5%",0.05,IF($M131="VAT 8%",0.08,IF($M131="VAT 10%",0.1,0))))</f>
        <v/>
      </c>
      <c r="O131" s="13" t="str">
        <f aca="false">IF($C131="","",$L131*$N131)</f>
        <v/>
      </c>
      <c r="P131" s="13" t="str">
        <f aca="false">IF($C131="","",$L131+$O131)</f>
        <v/>
      </c>
      <c r="Q131" s="12"/>
      <c r="R131" s="13" t="str">
        <f aca="false">IF($C131="","",MAX(0,$P131-N($Q131)))</f>
        <v/>
      </c>
      <c r="S131" s="23" t="str">
        <f aca="false">IF(OR($C131="",$P131=0),"",IF(N($Q131)&lt;=0,"Chưa thanh toán",IF(N($Q131)&lt;$P131,"Thanh toán một phần","Đã thanh toán")))</f>
        <v/>
      </c>
      <c r="T131" s="13" t="str">
        <f aca="false">IF(OR($C131="",$J131=""),"",N($I131)*$J131)</f>
        <v/>
      </c>
      <c r="U131" s="13" t="str">
        <f aca="false">IF(OR($C131="",$T131=""),"",$L131-$T131)</f>
        <v/>
      </c>
      <c r="V131" s="14" t="str">
        <f aca="false">IF(OR($U131="",$L131=0),"",$U131/$L131)</f>
        <v/>
      </c>
      <c r="W131" s="11"/>
      <c r="X131" s="23" t="str">
        <f aca="false">IF($C131="","",IF(AND($H131="",N($I131)=0,N($K131)=0),"Dòng chỉ lưu thông tin khách (chưa có đơn); ",IF($B131="","Thiếu ngày đặt; ","")&amp;IF($H131="","Thiếu tên sản phẩm; ",IF($J131="","Chưa khai GIÁ GỐC ở BẢNG GIÁ GỐC; ",""))&amp;IF(N($I131)&lt;=0,"Thiếu số lượng; ","")&amp;IF(N($K131)&lt;=0,"Thiếu giá bán; ","")&amp;IF(AND($N131&gt;0,$F131=""),"Khách lấy VAT thiếu mã số thuế; ","")&amp;IF(N($Q131)&gt;$P131,"Đã thu vượt tổng phải thu; ","")&amp;IF(AND($L131&gt;0,$U131&lt;&gt;"",$U131&lt;0),"CẢNH BÁO: ĐƠN NÀY ĐANG LỖ; ","")))</f>
        <v/>
      </c>
    </row>
    <row r="132" customFormat="false" ht="15" hidden="false" customHeight="false" outlineLevel="0" collapsed="false">
      <c r="A132" s="21" t="str">
        <f aca="false">IF($C132="","",COUNTA($C$10:$C132))</f>
        <v/>
      </c>
      <c r="B132" s="18"/>
      <c r="C132" s="11"/>
      <c r="D132" s="11"/>
      <c r="E132" s="11"/>
      <c r="F132" s="11"/>
      <c r="G132" s="11"/>
      <c r="H132" s="11"/>
      <c r="I132" s="12"/>
      <c r="J132" s="13" t="str">
        <f aca="false">IF($H132="","",IFERROR(VLOOKUP($H132,'BẢNG GIÁ GỐC'!$A$5:$D$254,3,FALSE()),""))</f>
        <v/>
      </c>
      <c r="K132" s="12"/>
      <c r="L132" s="13" t="str">
        <f aca="false">IF($C132="","",N($I132)*N($K132))</f>
        <v/>
      </c>
      <c r="M132" s="11"/>
      <c r="N132" s="14" t="str">
        <f aca="false">IF($C132="","",IF($M132="VAT 5%",0.05,IF($M132="VAT 8%",0.08,IF($M132="VAT 10%",0.1,0))))</f>
        <v/>
      </c>
      <c r="O132" s="13" t="str">
        <f aca="false">IF($C132="","",$L132*$N132)</f>
        <v/>
      </c>
      <c r="P132" s="13" t="str">
        <f aca="false">IF($C132="","",$L132+$O132)</f>
        <v/>
      </c>
      <c r="Q132" s="12"/>
      <c r="R132" s="13" t="str">
        <f aca="false">IF($C132="","",MAX(0,$P132-N($Q132)))</f>
        <v/>
      </c>
      <c r="S132" s="23" t="str">
        <f aca="false">IF(OR($C132="",$P132=0),"",IF(N($Q132)&lt;=0,"Chưa thanh toán",IF(N($Q132)&lt;$P132,"Thanh toán một phần","Đã thanh toán")))</f>
        <v/>
      </c>
      <c r="T132" s="13" t="str">
        <f aca="false">IF(OR($C132="",$J132=""),"",N($I132)*$J132)</f>
        <v/>
      </c>
      <c r="U132" s="13" t="str">
        <f aca="false">IF(OR($C132="",$T132=""),"",$L132-$T132)</f>
        <v/>
      </c>
      <c r="V132" s="14" t="str">
        <f aca="false">IF(OR($U132="",$L132=0),"",$U132/$L132)</f>
        <v/>
      </c>
      <c r="W132" s="11"/>
      <c r="X132" s="23" t="str">
        <f aca="false">IF($C132="","",IF(AND($H132="",N($I132)=0,N($K132)=0),"Dòng chỉ lưu thông tin khách (chưa có đơn); ",IF($B132="","Thiếu ngày đặt; ","")&amp;IF($H132="","Thiếu tên sản phẩm; ",IF($J132="","Chưa khai GIÁ GỐC ở BẢNG GIÁ GỐC; ",""))&amp;IF(N($I132)&lt;=0,"Thiếu số lượng; ","")&amp;IF(N($K132)&lt;=0,"Thiếu giá bán; ","")&amp;IF(AND($N132&gt;0,$F132=""),"Khách lấy VAT thiếu mã số thuế; ","")&amp;IF(N($Q132)&gt;$P132,"Đã thu vượt tổng phải thu; ","")&amp;IF(AND($L132&gt;0,$U132&lt;&gt;"",$U132&lt;0),"CẢNH BÁO: ĐƠN NÀY ĐANG LỖ; ","")))</f>
        <v/>
      </c>
    </row>
    <row r="133" customFormat="false" ht="15" hidden="false" customHeight="false" outlineLevel="0" collapsed="false">
      <c r="A133" s="21" t="str">
        <f aca="false">IF($C133="","",COUNTA($C$10:$C133))</f>
        <v/>
      </c>
      <c r="B133" s="18"/>
      <c r="C133" s="11"/>
      <c r="D133" s="11"/>
      <c r="E133" s="11"/>
      <c r="F133" s="11"/>
      <c r="G133" s="11"/>
      <c r="H133" s="11"/>
      <c r="I133" s="12"/>
      <c r="J133" s="13" t="str">
        <f aca="false">IF($H133="","",IFERROR(VLOOKUP($H133,'BẢNG GIÁ GỐC'!$A$5:$D$254,3,FALSE()),""))</f>
        <v/>
      </c>
      <c r="K133" s="12"/>
      <c r="L133" s="13" t="str">
        <f aca="false">IF($C133="","",N($I133)*N($K133))</f>
        <v/>
      </c>
      <c r="M133" s="11"/>
      <c r="N133" s="14" t="str">
        <f aca="false">IF($C133="","",IF($M133="VAT 5%",0.05,IF($M133="VAT 8%",0.08,IF($M133="VAT 10%",0.1,0))))</f>
        <v/>
      </c>
      <c r="O133" s="13" t="str">
        <f aca="false">IF($C133="","",$L133*$N133)</f>
        <v/>
      </c>
      <c r="P133" s="13" t="str">
        <f aca="false">IF($C133="","",$L133+$O133)</f>
        <v/>
      </c>
      <c r="Q133" s="12"/>
      <c r="R133" s="13" t="str">
        <f aca="false">IF($C133="","",MAX(0,$P133-N($Q133)))</f>
        <v/>
      </c>
      <c r="S133" s="23" t="str">
        <f aca="false">IF(OR($C133="",$P133=0),"",IF(N($Q133)&lt;=0,"Chưa thanh toán",IF(N($Q133)&lt;$P133,"Thanh toán một phần","Đã thanh toán")))</f>
        <v/>
      </c>
      <c r="T133" s="13" t="str">
        <f aca="false">IF(OR($C133="",$J133=""),"",N($I133)*$J133)</f>
        <v/>
      </c>
      <c r="U133" s="13" t="str">
        <f aca="false">IF(OR($C133="",$T133=""),"",$L133-$T133)</f>
        <v/>
      </c>
      <c r="V133" s="14" t="str">
        <f aca="false">IF(OR($U133="",$L133=0),"",$U133/$L133)</f>
        <v/>
      </c>
      <c r="W133" s="11"/>
      <c r="X133" s="23" t="str">
        <f aca="false">IF($C133="","",IF(AND($H133="",N($I133)=0,N($K133)=0),"Dòng chỉ lưu thông tin khách (chưa có đơn); ",IF($B133="","Thiếu ngày đặt; ","")&amp;IF($H133="","Thiếu tên sản phẩm; ",IF($J133="","Chưa khai GIÁ GỐC ở BẢNG GIÁ GỐC; ",""))&amp;IF(N($I133)&lt;=0,"Thiếu số lượng; ","")&amp;IF(N($K133)&lt;=0,"Thiếu giá bán; ","")&amp;IF(AND($N133&gt;0,$F133=""),"Khách lấy VAT thiếu mã số thuế; ","")&amp;IF(N($Q133)&gt;$P133,"Đã thu vượt tổng phải thu; ","")&amp;IF(AND($L133&gt;0,$U133&lt;&gt;"",$U133&lt;0),"CẢNH BÁO: ĐƠN NÀY ĐANG LỖ; ","")))</f>
        <v/>
      </c>
    </row>
    <row r="134" customFormat="false" ht="15" hidden="false" customHeight="false" outlineLevel="0" collapsed="false">
      <c r="A134" s="21" t="str">
        <f aca="false">IF($C134="","",COUNTA($C$10:$C134))</f>
        <v/>
      </c>
      <c r="B134" s="18"/>
      <c r="C134" s="11"/>
      <c r="D134" s="11"/>
      <c r="E134" s="11"/>
      <c r="F134" s="11"/>
      <c r="G134" s="11"/>
      <c r="H134" s="11"/>
      <c r="I134" s="12"/>
      <c r="J134" s="13" t="str">
        <f aca="false">IF($H134="","",IFERROR(VLOOKUP($H134,'BẢNG GIÁ GỐC'!$A$5:$D$254,3,FALSE()),""))</f>
        <v/>
      </c>
      <c r="K134" s="12"/>
      <c r="L134" s="13" t="str">
        <f aca="false">IF($C134="","",N($I134)*N($K134))</f>
        <v/>
      </c>
      <c r="M134" s="11"/>
      <c r="N134" s="14" t="str">
        <f aca="false">IF($C134="","",IF($M134="VAT 5%",0.05,IF($M134="VAT 8%",0.08,IF($M134="VAT 10%",0.1,0))))</f>
        <v/>
      </c>
      <c r="O134" s="13" t="str">
        <f aca="false">IF($C134="","",$L134*$N134)</f>
        <v/>
      </c>
      <c r="P134" s="13" t="str">
        <f aca="false">IF($C134="","",$L134+$O134)</f>
        <v/>
      </c>
      <c r="Q134" s="12"/>
      <c r="R134" s="13" t="str">
        <f aca="false">IF($C134="","",MAX(0,$P134-N($Q134)))</f>
        <v/>
      </c>
      <c r="S134" s="23" t="str">
        <f aca="false">IF(OR($C134="",$P134=0),"",IF(N($Q134)&lt;=0,"Chưa thanh toán",IF(N($Q134)&lt;$P134,"Thanh toán một phần","Đã thanh toán")))</f>
        <v/>
      </c>
      <c r="T134" s="13" t="str">
        <f aca="false">IF(OR($C134="",$J134=""),"",N($I134)*$J134)</f>
        <v/>
      </c>
      <c r="U134" s="13" t="str">
        <f aca="false">IF(OR($C134="",$T134=""),"",$L134-$T134)</f>
        <v/>
      </c>
      <c r="V134" s="14" t="str">
        <f aca="false">IF(OR($U134="",$L134=0),"",$U134/$L134)</f>
        <v/>
      </c>
      <c r="W134" s="11"/>
      <c r="X134" s="23" t="str">
        <f aca="false">IF($C134="","",IF(AND($H134="",N($I134)=0,N($K134)=0),"Dòng chỉ lưu thông tin khách (chưa có đơn); ",IF($B134="","Thiếu ngày đặt; ","")&amp;IF($H134="","Thiếu tên sản phẩm; ",IF($J134="","Chưa khai GIÁ GỐC ở BẢNG GIÁ GỐC; ",""))&amp;IF(N($I134)&lt;=0,"Thiếu số lượng; ","")&amp;IF(N($K134)&lt;=0,"Thiếu giá bán; ","")&amp;IF(AND($N134&gt;0,$F134=""),"Khách lấy VAT thiếu mã số thuế; ","")&amp;IF(N($Q134)&gt;$P134,"Đã thu vượt tổng phải thu; ","")&amp;IF(AND($L134&gt;0,$U134&lt;&gt;"",$U134&lt;0),"CẢNH BÁO: ĐƠN NÀY ĐANG LỖ; ","")))</f>
        <v/>
      </c>
    </row>
    <row r="135" customFormat="false" ht="15" hidden="false" customHeight="false" outlineLevel="0" collapsed="false">
      <c r="A135" s="21" t="str">
        <f aca="false">IF($C135="","",COUNTA($C$10:$C135))</f>
        <v/>
      </c>
      <c r="B135" s="18"/>
      <c r="C135" s="11"/>
      <c r="D135" s="11"/>
      <c r="E135" s="11"/>
      <c r="F135" s="11"/>
      <c r="G135" s="11"/>
      <c r="H135" s="11"/>
      <c r="I135" s="12"/>
      <c r="J135" s="13" t="str">
        <f aca="false">IF($H135="","",IFERROR(VLOOKUP($H135,'BẢNG GIÁ GỐC'!$A$5:$D$254,3,FALSE()),""))</f>
        <v/>
      </c>
      <c r="K135" s="12"/>
      <c r="L135" s="13" t="str">
        <f aca="false">IF($C135="","",N($I135)*N($K135))</f>
        <v/>
      </c>
      <c r="M135" s="11"/>
      <c r="N135" s="14" t="str">
        <f aca="false">IF($C135="","",IF($M135="VAT 5%",0.05,IF($M135="VAT 8%",0.08,IF($M135="VAT 10%",0.1,0))))</f>
        <v/>
      </c>
      <c r="O135" s="13" t="str">
        <f aca="false">IF($C135="","",$L135*$N135)</f>
        <v/>
      </c>
      <c r="P135" s="13" t="str">
        <f aca="false">IF($C135="","",$L135+$O135)</f>
        <v/>
      </c>
      <c r="Q135" s="12"/>
      <c r="R135" s="13" t="str">
        <f aca="false">IF($C135="","",MAX(0,$P135-N($Q135)))</f>
        <v/>
      </c>
      <c r="S135" s="23" t="str">
        <f aca="false">IF(OR($C135="",$P135=0),"",IF(N($Q135)&lt;=0,"Chưa thanh toán",IF(N($Q135)&lt;$P135,"Thanh toán một phần","Đã thanh toán")))</f>
        <v/>
      </c>
      <c r="T135" s="13" t="str">
        <f aca="false">IF(OR($C135="",$J135=""),"",N($I135)*$J135)</f>
        <v/>
      </c>
      <c r="U135" s="13" t="str">
        <f aca="false">IF(OR($C135="",$T135=""),"",$L135-$T135)</f>
        <v/>
      </c>
      <c r="V135" s="14" t="str">
        <f aca="false">IF(OR($U135="",$L135=0),"",$U135/$L135)</f>
        <v/>
      </c>
      <c r="W135" s="11"/>
      <c r="X135" s="23" t="str">
        <f aca="false">IF($C135="","",IF(AND($H135="",N($I135)=0,N($K135)=0),"Dòng chỉ lưu thông tin khách (chưa có đơn); ",IF($B135="","Thiếu ngày đặt; ","")&amp;IF($H135="","Thiếu tên sản phẩm; ",IF($J135="","Chưa khai GIÁ GỐC ở BẢNG GIÁ GỐC; ",""))&amp;IF(N($I135)&lt;=0,"Thiếu số lượng; ","")&amp;IF(N($K135)&lt;=0,"Thiếu giá bán; ","")&amp;IF(AND($N135&gt;0,$F135=""),"Khách lấy VAT thiếu mã số thuế; ","")&amp;IF(N($Q135)&gt;$P135,"Đã thu vượt tổng phải thu; ","")&amp;IF(AND($L135&gt;0,$U135&lt;&gt;"",$U135&lt;0),"CẢNH BÁO: ĐƠN NÀY ĐANG LỖ; ","")))</f>
        <v/>
      </c>
    </row>
    <row r="136" customFormat="false" ht="15" hidden="false" customHeight="false" outlineLevel="0" collapsed="false">
      <c r="A136" s="21" t="str">
        <f aca="false">IF($C136="","",COUNTA($C$10:$C136))</f>
        <v/>
      </c>
      <c r="B136" s="18"/>
      <c r="C136" s="11"/>
      <c r="D136" s="11"/>
      <c r="E136" s="11"/>
      <c r="F136" s="11"/>
      <c r="G136" s="11"/>
      <c r="H136" s="11"/>
      <c r="I136" s="12"/>
      <c r="J136" s="13" t="str">
        <f aca="false">IF($H136="","",IFERROR(VLOOKUP($H136,'BẢNG GIÁ GỐC'!$A$5:$D$254,3,FALSE()),""))</f>
        <v/>
      </c>
      <c r="K136" s="12"/>
      <c r="L136" s="13" t="str">
        <f aca="false">IF($C136="","",N($I136)*N($K136))</f>
        <v/>
      </c>
      <c r="M136" s="11"/>
      <c r="N136" s="14" t="str">
        <f aca="false">IF($C136="","",IF($M136="VAT 5%",0.05,IF($M136="VAT 8%",0.08,IF($M136="VAT 10%",0.1,0))))</f>
        <v/>
      </c>
      <c r="O136" s="13" t="str">
        <f aca="false">IF($C136="","",$L136*$N136)</f>
        <v/>
      </c>
      <c r="P136" s="13" t="str">
        <f aca="false">IF($C136="","",$L136+$O136)</f>
        <v/>
      </c>
      <c r="Q136" s="12"/>
      <c r="R136" s="13" t="str">
        <f aca="false">IF($C136="","",MAX(0,$P136-N($Q136)))</f>
        <v/>
      </c>
      <c r="S136" s="23" t="str">
        <f aca="false">IF(OR($C136="",$P136=0),"",IF(N($Q136)&lt;=0,"Chưa thanh toán",IF(N($Q136)&lt;$P136,"Thanh toán một phần","Đã thanh toán")))</f>
        <v/>
      </c>
      <c r="T136" s="13" t="str">
        <f aca="false">IF(OR($C136="",$J136=""),"",N($I136)*$J136)</f>
        <v/>
      </c>
      <c r="U136" s="13" t="str">
        <f aca="false">IF(OR($C136="",$T136=""),"",$L136-$T136)</f>
        <v/>
      </c>
      <c r="V136" s="14" t="str">
        <f aca="false">IF(OR($U136="",$L136=0),"",$U136/$L136)</f>
        <v/>
      </c>
      <c r="W136" s="11"/>
      <c r="X136" s="23" t="str">
        <f aca="false">IF($C136="","",IF(AND($H136="",N($I136)=0,N($K136)=0),"Dòng chỉ lưu thông tin khách (chưa có đơn); ",IF($B136="","Thiếu ngày đặt; ","")&amp;IF($H136="","Thiếu tên sản phẩm; ",IF($J136="","Chưa khai GIÁ GỐC ở BẢNG GIÁ GỐC; ",""))&amp;IF(N($I136)&lt;=0,"Thiếu số lượng; ","")&amp;IF(N($K136)&lt;=0,"Thiếu giá bán; ","")&amp;IF(AND($N136&gt;0,$F136=""),"Khách lấy VAT thiếu mã số thuế; ","")&amp;IF(N($Q136)&gt;$P136,"Đã thu vượt tổng phải thu; ","")&amp;IF(AND($L136&gt;0,$U136&lt;&gt;"",$U136&lt;0),"CẢNH BÁO: ĐƠN NÀY ĐANG LỖ; ","")))</f>
        <v/>
      </c>
    </row>
    <row r="137" customFormat="false" ht="15" hidden="false" customHeight="false" outlineLevel="0" collapsed="false">
      <c r="A137" s="21" t="str">
        <f aca="false">IF($C137="","",COUNTA($C$10:$C137))</f>
        <v/>
      </c>
      <c r="B137" s="18"/>
      <c r="C137" s="11"/>
      <c r="D137" s="11"/>
      <c r="E137" s="11"/>
      <c r="F137" s="11"/>
      <c r="G137" s="11"/>
      <c r="H137" s="11"/>
      <c r="I137" s="12"/>
      <c r="J137" s="13" t="str">
        <f aca="false">IF($H137="","",IFERROR(VLOOKUP($H137,'BẢNG GIÁ GỐC'!$A$5:$D$254,3,FALSE()),""))</f>
        <v/>
      </c>
      <c r="K137" s="12"/>
      <c r="L137" s="13" t="str">
        <f aca="false">IF($C137="","",N($I137)*N($K137))</f>
        <v/>
      </c>
      <c r="M137" s="11"/>
      <c r="N137" s="14" t="str">
        <f aca="false">IF($C137="","",IF($M137="VAT 5%",0.05,IF($M137="VAT 8%",0.08,IF($M137="VAT 10%",0.1,0))))</f>
        <v/>
      </c>
      <c r="O137" s="13" t="str">
        <f aca="false">IF($C137="","",$L137*$N137)</f>
        <v/>
      </c>
      <c r="P137" s="13" t="str">
        <f aca="false">IF($C137="","",$L137+$O137)</f>
        <v/>
      </c>
      <c r="Q137" s="12"/>
      <c r="R137" s="13" t="str">
        <f aca="false">IF($C137="","",MAX(0,$P137-N($Q137)))</f>
        <v/>
      </c>
      <c r="S137" s="23" t="str">
        <f aca="false">IF(OR($C137="",$P137=0),"",IF(N($Q137)&lt;=0,"Chưa thanh toán",IF(N($Q137)&lt;$P137,"Thanh toán một phần","Đã thanh toán")))</f>
        <v/>
      </c>
      <c r="T137" s="13" t="str">
        <f aca="false">IF(OR($C137="",$J137=""),"",N($I137)*$J137)</f>
        <v/>
      </c>
      <c r="U137" s="13" t="str">
        <f aca="false">IF(OR($C137="",$T137=""),"",$L137-$T137)</f>
        <v/>
      </c>
      <c r="V137" s="14" t="str">
        <f aca="false">IF(OR($U137="",$L137=0),"",$U137/$L137)</f>
        <v/>
      </c>
      <c r="W137" s="11"/>
      <c r="X137" s="23" t="str">
        <f aca="false">IF($C137="","",IF(AND($H137="",N($I137)=0,N($K137)=0),"Dòng chỉ lưu thông tin khách (chưa có đơn); ",IF($B137="","Thiếu ngày đặt; ","")&amp;IF($H137="","Thiếu tên sản phẩm; ",IF($J137="","Chưa khai GIÁ GỐC ở BẢNG GIÁ GỐC; ",""))&amp;IF(N($I137)&lt;=0,"Thiếu số lượng; ","")&amp;IF(N($K137)&lt;=0,"Thiếu giá bán; ","")&amp;IF(AND($N137&gt;0,$F137=""),"Khách lấy VAT thiếu mã số thuế; ","")&amp;IF(N($Q137)&gt;$P137,"Đã thu vượt tổng phải thu; ","")&amp;IF(AND($L137&gt;0,$U137&lt;&gt;"",$U137&lt;0),"CẢNH BÁO: ĐƠN NÀY ĐANG LỖ; ","")))</f>
        <v/>
      </c>
    </row>
    <row r="138" customFormat="false" ht="15" hidden="false" customHeight="false" outlineLevel="0" collapsed="false">
      <c r="A138" s="21" t="str">
        <f aca="false">IF($C138="","",COUNTA($C$10:$C138))</f>
        <v/>
      </c>
      <c r="B138" s="18"/>
      <c r="C138" s="11"/>
      <c r="D138" s="11"/>
      <c r="E138" s="11"/>
      <c r="F138" s="11"/>
      <c r="G138" s="11"/>
      <c r="H138" s="11"/>
      <c r="I138" s="12"/>
      <c r="J138" s="13" t="str">
        <f aca="false">IF($H138="","",IFERROR(VLOOKUP($H138,'BẢNG GIÁ GỐC'!$A$5:$D$254,3,FALSE()),""))</f>
        <v/>
      </c>
      <c r="K138" s="12"/>
      <c r="L138" s="13" t="str">
        <f aca="false">IF($C138="","",N($I138)*N($K138))</f>
        <v/>
      </c>
      <c r="M138" s="11"/>
      <c r="N138" s="14" t="str">
        <f aca="false">IF($C138="","",IF($M138="VAT 5%",0.05,IF($M138="VAT 8%",0.08,IF($M138="VAT 10%",0.1,0))))</f>
        <v/>
      </c>
      <c r="O138" s="13" t="str">
        <f aca="false">IF($C138="","",$L138*$N138)</f>
        <v/>
      </c>
      <c r="P138" s="13" t="str">
        <f aca="false">IF($C138="","",$L138+$O138)</f>
        <v/>
      </c>
      <c r="Q138" s="12"/>
      <c r="R138" s="13" t="str">
        <f aca="false">IF($C138="","",MAX(0,$P138-N($Q138)))</f>
        <v/>
      </c>
      <c r="S138" s="23" t="str">
        <f aca="false">IF(OR($C138="",$P138=0),"",IF(N($Q138)&lt;=0,"Chưa thanh toán",IF(N($Q138)&lt;$P138,"Thanh toán một phần","Đã thanh toán")))</f>
        <v/>
      </c>
      <c r="T138" s="13" t="str">
        <f aca="false">IF(OR($C138="",$J138=""),"",N($I138)*$J138)</f>
        <v/>
      </c>
      <c r="U138" s="13" t="str">
        <f aca="false">IF(OR($C138="",$T138=""),"",$L138-$T138)</f>
        <v/>
      </c>
      <c r="V138" s="14" t="str">
        <f aca="false">IF(OR($U138="",$L138=0),"",$U138/$L138)</f>
        <v/>
      </c>
      <c r="W138" s="11"/>
      <c r="X138" s="23" t="str">
        <f aca="false">IF($C138="","",IF(AND($H138="",N($I138)=0,N($K138)=0),"Dòng chỉ lưu thông tin khách (chưa có đơn); ",IF($B138="","Thiếu ngày đặt; ","")&amp;IF($H138="","Thiếu tên sản phẩm; ",IF($J138="","Chưa khai GIÁ GỐC ở BẢNG GIÁ GỐC; ",""))&amp;IF(N($I138)&lt;=0,"Thiếu số lượng; ","")&amp;IF(N($K138)&lt;=0,"Thiếu giá bán; ","")&amp;IF(AND($N138&gt;0,$F138=""),"Khách lấy VAT thiếu mã số thuế; ","")&amp;IF(N($Q138)&gt;$P138,"Đã thu vượt tổng phải thu; ","")&amp;IF(AND($L138&gt;0,$U138&lt;&gt;"",$U138&lt;0),"CẢNH BÁO: ĐƠN NÀY ĐANG LỖ; ","")))</f>
        <v/>
      </c>
    </row>
    <row r="139" customFormat="false" ht="15" hidden="false" customHeight="false" outlineLevel="0" collapsed="false">
      <c r="A139" s="21" t="str">
        <f aca="false">IF($C139="","",COUNTA($C$10:$C139))</f>
        <v/>
      </c>
      <c r="B139" s="18"/>
      <c r="C139" s="11"/>
      <c r="D139" s="11"/>
      <c r="E139" s="11"/>
      <c r="F139" s="11"/>
      <c r="G139" s="11"/>
      <c r="H139" s="11"/>
      <c r="I139" s="12"/>
      <c r="J139" s="13" t="str">
        <f aca="false">IF($H139="","",IFERROR(VLOOKUP($H139,'BẢNG GIÁ GỐC'!$A$5:$D$254,3,FALSE()),""))</f>
        <v/>
      </c>
      <c r="K139" s="12"/>
      <c r="L139" s="13" t="str">
        <f aca="false">IF($C139="","",N($I139)*N($K139))</f>
        <v/>
      </c>
      <c r="M139" s="11"/>
      <c r="N139" s="14" t="str">
        <f aca="false">IF($C139="","",IF($M139="VAT 5%",0.05,IF($M139="VAT 8%",0.08,IF($M139="VAT 10%",0.1,0))))</f>
        <v/>
      </c>
      <c r="O139" s="13" t="str">
        <f aca="false">IF($C139="","",$L139*$N139)</f>
        <v/>
      </c>
      <c r="P139" s="13" t="str">
        <f aca="false">IF($C139="","",$L139+$O139)</f>
        <v/>
      </c>
      <c r="Q139" s="12"/>
      <c r="R139" s="13" t="str">
        <f aca="false">IF($C139="","",MAX(0,$P139-N($Q139)))</f>
        <v/>
      </c>
      <c r="S139" s="23" t="str">
        <f aca="false">IF(OR($C139="",$P139=0),"",IF(N($Q139)&lt;=0,"Chưa thanh toán",IF(N($Q139)&lt;$P139,"Thanh toán một phần","Đã thanh toán")))</f>
        <v/>
      </c>
      <c r="T139" s="13" t="str">
        <f aca="false">IF(OR($C139="",$J139=""),"",N($I139)*$J139)</f>
        <v/>
      </c>
      <c r="U139" s="13" t="str">
        <f aca="false">IF(OR($C139="",$T139=""),"",$L139-$T139)</f>
        <v/>
      </c>
      <c r="V139" s="14" t="str">
        <f aca="false">IF(OR($U139="",$L139=0),"",$U139/$L139)</f>
        <v/>
      </c>
      <c r="W139" s="11"/>
      <c r="X139" s="23" t="str">
        <f aca="false">IF($C139="","",IF(AND($H139="",N($I139)=0,N($K139)=0),"Dòng chỉ lưu thông tin khách (chưa có đơn); ",IF($B139="","Thiếu ngày đặt; ","")&amp;IF($H139="","Thiếu tên sản phẩm; ",IF($J139="","Chưa khai GIÁ GỐC ở BẢNG GIÁ GỐC; ",""))&amp;IF(N($I139)&lt;=0,"Thiếu số lượng; ","")&amp;IF(N($K139)&lt;=0,"Thiếu giá bán; ","")&amp;IF(AND($N139&gt;0,$F139=""),"Khách lấy VAT thiếu mã số thuế; ","")&amp;IF(N($Q139)&gt;$P139,"Đã thu vượt tổng phải thu; ","")&amp;IF(AND($L139&gt;0,$U139&lt;&gt;"",$U139&lt;0),"CẢNH BÁO: ĐƠN NÀY ĐANG LỖ; ","")))</f>
        <v/>
      </c>
    </row>
    <row r="140" customFormat="false" ht="15" hidden="false" customHeight="false" outlineLevel="0" collapsed="false">
      <c r="A140" s="21" t="str">
        <f aca="false">IF($C140="","",COUNTA($C$10:$C140))</f>
        <v/>
      </c>
      <c r="B140" s="18"/>
      <c r="C140" s="11"/>
      <c r="D140" s="11"/>
      <c r="E140" s="11"/>
      <c r="F140" s="11"/>
      <c r="G140" s="11"/>
      <c r="H140" s="11"/>
      <c r="I140" s="12"/>
      <c r="J140" s="13" t="str">
        <f aca="false">IF($H140="","",IFERROR(VLOOKUP($H140,'BẢNG GIÁ GỐC'!$A$5:$D$254,3,FALSE()),""))</f>
        <v/>
      </c>
      <c r="K140" s="12"/>
      <c r="L140" s="13" t="str">
        <f aca="false">IF($C140="","",N($I140)*N($K140))</f>
        <v/>
      </c>
      <c r="M140" s="11"/>
      <c r="N140" s="14" t="str">
        <f aca="false">IF($C140="","",IF($M140="VAT 5%",0.05,IF($M140="VAT 8%",0.08,IF($M140="VAT 10%",0.1,0))))</f>
        <v/>
      </c>
      <c r="O140" s="13" t="str">
        <f aca="false">IF($C140="","",$L140*$N140)</f>
        <v/>
      </c>
      <c r="P140" s="13" t="str">
        <f aca="false">IF($C140="","",$L140+$O140)</f>
        <v/>
      </c>
      <c r="Q140" s="12"/>
      <c r="R140" s="13" t="str">
        <f aca="false">IF($C140="","",MAX(0,$P140-N($Q140)))</f>
        <v/>
      </c>
      <c r="S140" s="23" t="str">
        <f aca="false">IF(OR($C140="",$P140=0),"",IF(N($Q140)&lt;=0,"Chưa thanh toán",IF(N($Q140)&lt;$P140,"Thanh toán một phần","Đã thanh toán")))</f>
        <v/>
      </c>
      <c r="T140" s="13" t="str">
        <f aca="false">IF(OR($C140="",$J140=""),"",N($I140)*$J140)</f>
        <v/>
      </c>
      <c r="U140" s="13" t="str">
        <f aca="false">IF(OR($C140="",$T140=""),"",$L140-$T140)</f>
        <v/>
      </c>
      <c r="V140" s="14" t="str">
        <f aca="false">IF(OR($U140="",$L140=0),"",$U140/$L140)</f>
        <v/>
      </c>
      <c r="W140" s="11"/>
      <c r="X140" s="23" t="str">
        <f aca="false">IF($C140="","",IF(AND($H140="",N($I140)=0,N($K140)=0),"Dòng chỉ lưu thông tin khách (chưa có đơn); ",IF($B140="","Thiếu ngày đặt; ","")&amp;IF($H140="","Thiếu tên sản phẩm; ",IF($J140="","Chưa khai GIÁ GỐC ở BẢNG GIÁ GỐC; ",""))&amp;IF(N($I140)&lt;=0,"Thiếu số lượng; ","")&amp;IF(N($K140)&lt;=0,"Thiếu giá bán; ","")&amp;IF(AND($N140&gt;0,$F140=""),"Khách lấy VAT thiếu mã số thuế; ","")&amp;IF(N($Q140)&gt;$P140,"Đã thu vượt tổng phải thu; ","")&amp;IF(AND($L140&gt;0,$U140&lt;&gt;"",$U140&lt;0),"CẢNH BÁO: ĐƠN NÀY ĐANG LỖ; ","")))</f>
        <v/>
      </c>
    </row>
    <row r="141" customFormat="false" ht="15" hidden="false" customHeight="false" outlineLevel="0" collapsed="false">
      <c r="A141" s="21" t="str">
        <f aca="false">IF($C141="","",COUNTA($C$10:$C141))</f>
        <v/>
      </c>
      <c r="B141" s="18"/>
      <c r="C141" s="11"/>
      <c r="D141" s="11"/>
      <c r="E141" s="11"/>
      <c r="F141" s="11"/>
      <c r="G141" s="11"/>
      <c r="H141" s="11"/>
      <c r="I141" s="12"/>
      <c r="J141" s="13" t="str">
        <f aca="false">IF($H141="","",IFERROR(VLOOKUP($H141,'BẢNG GIÁ GỐC'!$A$5:$D$254,3,FALSE()),""))</f>
        <v/>
      </c>
      <c r="K141" s="12"/>
      <c r="L141" s="13" t="str">
        <f aca="false">IF($C141="","",N($I141)*N($K141))</f>
        <v/>
      </c>
      <c r="M141" s="11"/>
      <c r="N141" s="14" t="str">
        <f aca="false">IF($C141="","",IF($M141="VAT 5%",0.05,IF($M141="VAT 8%",0.08,IF($M141="VAT 10%",0.1,0))))</f>
        <v/>
      </c>
      <c r="O141" s="13" t="str">
        <f aca="false">IF($C141="","",$L141*$N141)</f>
        <v/>
      </c>
      <c r="P141" s="13" t="str">
        <f aca="false">IF($C141="","",$L141+$O141)</f>
        <v/>
      </c>
      <c r="Q141" s="12"/>
      <c r="R141" s="13" t="str">
        <f aca="false">IF($C141="","",MAX(0,$P141-N($Q141)))</f>
        <v/>
      </c>
      <c r="S141" s="23" t="str">
        <f aca="false">IF(OR($C141="",$P141=0),"",IF(N($Q141)&lt;=0,"Chưa thanh toán",IF(N($Q141)&lt;$P141,"Thanh toán một phần","Đã thanh toán")))</f>
        <v/>
      </c>
      <c r="T141" s="13" t="str">
        <f aca="false">IF(OR($C141="",$J141=""),"",N($I141)*$J141)</f>
        <v/>
      </c>
      <c r="U141" s="13" t="str">
        <f aca="false">IF(OR($C141="",$T141=""),"",$L141-$T141)</f>
        <v/>
      </c>
      <c r="V141" s="14" t="str">
        <f aca="false">IF(OR($U141="",$L141=0),"",$U141/$L141)</f>
        <v/>
      </c>
      <c r="W141" s="11"/>
      <c r="X141" s="23" t="str">
        <f aca="false">IF($C141="","",IF(AND($H141="",N($I141)=0,N($K141)=0),"Dòng chỉ lưu thông tin khách (chưa có đơn); ",IF($B141="","Thiếu ngày đặt; ","")&amp;IF($H141="","Thiếu tên sản phẩm; ",IF($J141="","Chưa khai GIÁ GỐC ở BẢNG GIÁ GỐC; ",""))&amp;IF(N($I141)&lt;=0,"Thiếu số lượng; ","")&amp;IF(N($K141)&lt;=0,"Thiếu giá bán; ","")&amp;IF(AND($N141&gt;0,$F141=""),"Khách lấy VAT thiếu mã số thuế; ","")&amp;IF(N($Q141)&gt;$P141,"Đã thu vượt tổng phải thu; ","")&amp;IF(AND($L141&gt;0,$U141&lt;&gt;"",$U141&lt;0),"CẢNH BÁO: ĐƠN NÀY ĐANG LỖ; ","")))</f>
        <v/>
      </c>
    </row>
    <row r="142" customFormat="false" ht="15" hidden="false" customHeight="false" outlineLevel="0" collapsed="false">
      <c r="A142" s="21" t="str">
        <f aca="false">IF($C142="","",COUNTA($C$10:$C142))</f>
        <v/>
      </c>
      <c r="B142" s="18"/>
      <c r="C142" s="11"/>
      <c r="D142" s="11"/>
      <c r="E142" s="11"/>
      <c r="F142" s="11"/>
      <c r="G142" s="11"/>
      <c r="H142" s="11"/>
      <c r="I142" s="12"/>
      <c r="J142" s="13" t="str">
        <f aca="false">IF($H142="","",IFERROR(VLOOKUP($H142,'BẢNG GIÁ GỐC'!$A$5:$D$254,3,FALSE()),""))</f>
        <v/>
      </c>
      <c r="K142" s="12"/>
      <c r="L142" s="13" t="str">
        <f aca="false">IF($C142="","",N($I142)*N($K142))</f>
        <v/>
      </c>
      <c r="M142" s="11"/>
      <c r="N142" s="14" t="str">
        <f aca="false">IF($C142="","",IF($M142="VAT 5%",0.05,IF($M142="VAT 8%",0.08,IF($M142="VAT 10%",0.1,0))))</f>
        <v/>
      </c>
      <c r="O142" s="13" t="str">
        <f aca="false">IF($C142="","",$L142*$N142)</f>
        <v/>
      </c>
      <c r="P142" s="13" t="str">
        <f aca="false">IF($C142="","",$L142+$O142)</f>
        <v/>
      </c>
      <c r="Q142" s="12"/>
      <c r="R142" s="13" t="str">
        <f aca="false">IF($C142="","",MAX(0,$P142-N($Q142)))</f>
        <v/>
      </c>
      <c r="S142" s="23" t="str">
        <f aca="false">IF(OR($C142="",$P142=0),"",IF(N($Q142)&lt;=0,"Chưa thanh toán",IF(N($Q142)&lt;$P142,"Thanh toán một phần","Đã thanh toán")))</f>
        <v/>
      </c>
      <c r="T142" s="13" t="str">
        <f aca="false">IF(OR($C142="",$J142=""),"",N($I142)*$J142)</f>
        <v/>
      </c>
      <c r="U142" s="13" t="str">
        <f aca="false">IF(OR($C142="",$T142=""),"",$L142-$T142)</f>
        <v/>
      </c>
      <c r="V142" s="14" t="str">
        <f aca="false">IF(OR($U142="",$L142=0),"",$U142/$L142)</f>
        <v/>
      </c>
      <c r="W142" s="11"/>
      <c r="X142" s="23" t="str">
        <f aca="false">IF($C142="","",IF(AND($H142="",N($I142)=0,N($K142)=0),"Dòng chỉ lưu thông tin khách (chưa có đơn); ",IF($B142="","Thiếu ngày đặt; ","")&amp;IF($H142="","Thiếu tên sản phẩm; ",IF($J142="","Chưa khai GIÁ GỐC ở BẢNG GIÁ GỐC; ",""))&amp;IF(N($I142)&lt;=0,"Thiếu số lượng; ","")&amp;IF(N($K142)&lt;=0,"Thiếu giá bán; ","")&amp;IF(AND($N142&gt;0,$F142=""),"Khách lấy VAT thiếu mã số thuế; ","")&amp;IF(N($Q142)&gt;$P142,"Đã thu vượt tổng phải thu; ","")&amp;IF(AND($L142&gt;0,$U142&lt;&gt;"",$U142&lt;0),"CẢNH BÁO: ĐƠN NÀY ĐANG LỖ; ","")))</f>
        <v/>
      </c>
    </row>
    <row r="143" customFormat="false" ht="15" hidden="false" customHeight="false" outlineLevel="0" collapsed="false">
      <c r="A143" s="21" t="str">
        <f aca="false">IF($C143="","",COUNTA($C$10:$C143))</f>
        <v/>
      </c>
      <c r="B143" s="18"/>
      <c r="C143" s="11"/>
      <c r="D143" s="11"/>
      <c r="E143" s="11"/>
      <c r="F143" s="11"/>
      <c r="G143" s="11"/>
      <c r="H143" s="11"/>
      <c r="I143" s="12"/>
      <c r="J143" s="13" t="str">
        <f aca="false">IF($H143="","",IFERROR(VLOOKUP($H143,'BẢNG GIÁ GỐC'!$A$5:$D$254,3,FALSE()),""))</f>
        <v/>
      </c>
      <c r="K143" s="12"/>
      <c r="L143" s="13" t="str">
        <f aca="false">IF($C143="","",N($I143)*N($K143))</f>
        <v/>
      </c>
      <c r="M143" s="11"/>
      <c r="N143" s="14" t="str">
        <f aca="false">IF($C143="","",IF($M143="VAT 5%",0.05,IF($M143="VAT 8%",0.08,IF($M143="VAT 10%",0.1,0))))</f>
        <v/>
      </c>
      <c r="O143" s="13" t="str">
        <f aca="false">IF($C143="","",$L143*$N143)</f>
        <v/>
      </c>
      <c r="P143" s="13" t="str">
        <f aca="false">IF($C143="","",$L143+$O143)</f>
        <v/>
      </c>
      <c r="Q143" s="12"/>
      <c r="R143" s="13" t="str">
        <f aca="false">IF($C143="","",MAX(0,$P143-N($Q143)))</f>
        <v/>
      </c>
      <c r="S143" s="23" t="str">
        <f aca="false">IF(OR($C143="",$P143=0),"",IF(N($Q143)&lt;=0,"Chưa thanh toán",IF(N($Q143)&lt;$P143,"Thanh toán một phần","Đã thanh toán")))</f>
        <v/>
      </c>
      <c r="T143" s="13" t="str">
        <f aca="false">IF(OR($C143="",$J143=""),"",N($I143)*$J143)</f>
        <v/>
      </c>
      <c r="U143" s="13" t="str">
        <f aca="false">IF(OR($C143="",$T143=""),"",$L143-$T143)</f>
        <v/>
      </c>
      <c r="V143" s="14" t="str">
        <f aca="false">IF(OR($U143="",$L143=0),"",$U143/$L143)</f>
        <v/>
      </c>
      <c r="W143" s="11"/>
      <c r="X143" s="23" t="str">
        <f aca="false">IF($C143="","",IF(AND($H143="",N($I143)=0,N($K143)=0),"Dòng chỉ lưu thông tin khách (chưa có đơn); ",IF($B143="","Thiếu ngày đặt; ","")&amp;IF($H143="","Thiếu tên sản phẩm; ",IF($J143="","Chưa khai GIÁ GỐC ở BẢNG GIÁ GỐC; ",""))&amp;IF(N($I143)&lt;=0,"Thiếu số lượng; ","")&amp;IF(N($K143)&lt;=0,"Thiếu giá bán; ","")&amp;IF(AND($N143&gt;0,$F143=""),"Khách lấy VAT thiếu mã số thuế; ","")&amp;IF(N($Q143)&gt;$P143,"Đã thu vượt tổng phải thu; ","")&amp;IF(AND($L143&gt;0,$U143&lt;&gt;"",$U143&lt;0),"CẢNH BÁO: ĐƠN NÀY ĐANG LỖ; ","")))</f>
        <v/>
      </c>
    </row>
    <row r="144" customFormat="false" ht="15" hidden="false" customHeight="false" outlineLevel="0" collapsed="false">
      <c r="A144" s="21" t="str">
        <f aca="false">IF($C144="","",COUNTA($C$10:$C144))</f>
        <v/>
      </c>
      <c r="B144" s="18"/>
      <c r="C144" s="11"/>
      <c r="D144" s="11"/>
      <c r="E144" s="11"/>
      <c r="F144" s="11"/>
      <c r="G144" s="11"/>
      <c r="H144" s="11"/>
      <c r="I144" s="12"/>
      <c r="J144" s="13" t="str">
        <f aca="false">IF($H144="","",IFERROR(VLOOKUP($H144,'BẢNG GIÁ GỐC'!$A$5:$D$254,3,FALSE()),""))</f>
        <v/>
      </c>
      <c r="K144" s="12"/>
      <c r="L144" s="13" t="str">
        <f aca="false">IF($C144="","",N($I144)*N($K144))</f>
        <v/>
      </c>
      <c r="M144" s="11"/>
      <c r="N144" s="14" t="str">
        <f aca="false">IF($C144="","",IF($M144="VAT 5%",0.05,IF($M144="VAT 8%",0.08,IF($M144="VAT 10%",0.1,0))))</f>
        <v/>
      </c>
      <c r="O144" s="13" t="str">
        <f aca="false">IF($C144="","",$L144*$N144)</f>
        <v/>
      </c>
      <c r="P144" s="13" t="str">
        <f aca="false">IF($C144="","",$L144+$O144)</f>
        <v/>
      </c>
      <c r="Q144" s="12"/>
      <c r="R144" s="13" t="str">
        <f aca="false">IF($C144="","",MAX(0,$P144-N($Q144)))</f>
        <v/>
      </c>
      <c r="S144" s="23" t="str">
        <f aca="false">IF(OR($C144="",$P144=0),"",IF(N($Q144)&lt;=0,"Chưa thanh toán",IF(N($Q144)&lt;$P144,"Thanh toán một phần","Đã thanh toán")))</f>
        <v/>
      </c>
      <c r="T144" s="13" t="str">
        <f aca="false">IF(OR($C144="",$J144=""),"",N($I144)*$J144)</f>
        <v/>
      </c>
      <c r="U144" s="13" t="str">
        <f aca="false">IF(OR($C144="",$T144=""),"",$L144-$T144)</f>
        <v/>
      </c>
      <c r="V144" s="14" t="str">
        <f aca="false">IF(OR($U144="",$L144=0),"",$U144/$L144)</f>
        <v/>
      </c>
      <c r="W144" s="11"/>
      <c r="X144" s="23" t="str">
        <f aca="false">IF($C144="","",IF(AND($H144="",N($I144)=0,N($K144)=0),"Dòng chỉ lưu thông tin khách (chưa có đơn); ",IF($B144="","Thiếu ngày đặt; ","")&amp;IF($H144="","Thiếu tên sản phẩm; ",IF($J144="","Chưa khai GIÁ GỐC ở BẢNG GIÁ GỐC; ",""))&amp;IF(N($I144)&lt;=0,"Thiếu số lượng; ","")&amp;IF(N($K144)&lt;=0,"Thiếu giá bán; ","")&amp;IF(AND($N144&gt;0,$F144=""),"Khách lấy VAT thiếu mã số thuế; ","")&amp;IF(N($Q144)&gt;$P144,"Đã thu vượt tổng phải thu; ","")&amp;IF(AND($L144&gt;0,$U144&lt;&gt;"",$U144&lt;0),"CẢNH BÁO: ĐƠN NÀY ĐANG LỖ; ","")))</f>
        <v/>
      </c>
    </row>
    <row r="145" customFormat="false" ht="15" hidden="false" customHeight="false" outlineLevel="0" collapsed="false">
      <c r="A145" s="21" t="str">
        <f aca="false">IF($C145="","",COUNTA($C$10:$C145))</f>
        <v/>
      </c>
      <c r="B145" s="18"/>
      <c r="C145" s="11"/>
      <c r="D145" s="11"/>
      <c r="E145" s="11"/>
      <c r="F145" s="11"/>
      <c r="G145" s="11"/>
      <c r="H145" s="11"/>
      <c r="I145" s="12"/>
      <c r="J145" s="13" t="str">
        <f aca="false">IF($H145="","",IFERROR(VLOOKUP($H145,'BẢNG GIÁ GỐC'!$A$5:$D$254,3,FALSE()),""))</f>
        <v/>
      </c>
      <c r="K145" s="12"/>
      <c r="L145" s="13" t="str">
        <f aca="false">IF($C145="","",N($I145)*N($K145))</f>
        <v/>
      </c>
      <c r="M145" s="11"/>
      <c r="N145" s="14" t="str">
        <f aca="false">IF($C145="","",IF($M145="VAT 5%",0.05,IF($M145="VAT 8%",0.08,IF($M145="VAT 10%",0.1,0))))</f>
        <v/>
      </c>
      <c r="O145" s="13" t="str">
        <f aca="false">IF($C145="","",$L145*$N145)</f>
        <v/>
      </c>
      <c r="P145" s="13" t="str">
        <f aca="false">IF($C145="","",$L145+$O145)</f>
        <v/>
      </c>
      <c r="Q145" s="12"/>
      <c r="R145" s="13" t="str">
        <f aca="false">IF($C145="","",MAX(0,$P145-N($Q145)))</f>
        <v/>
      </c>
      <c r="S145" s="23" t="str">
        <f aca="false">IF(OR($C145="",$P145=0),"",IF(N($Q145)&lt;=0,"Chưa thanh toán",IF(N($Q145)&lt;$P145,"Thanh toán một phần","Đã thanh toán")))</f>
        <v/>
      </c>
      <c r="T145" s="13" t="str">
        <f aca="false">IF(OR($C145="",$J145=""),"",N($I145)*$J145)</f>
        <v/>
      </c>
      <c r="U145" s="13" t="str">
        <f aca="false">IF(OR($C145="",$T145=""),"",$L145-$T145)</f>
        <v/>
      </c>
      <c r="V145" s="14" t="str">
        <f aca="false">IF(OR($U145="",$L145=0),"",$U145/$L145)</f>
        <v/>
      </c>
      <c r="W145" s="11"/>
      <c r="X145" s="23" t="str">
        <f aca="false">IF($C145="","",IF(AND($H145="",N($I145)=0,N($K145)=0),"Dòng chỉ lưu thông tin khách (chưa có đơn); ",IF($B145="","Thiếu ngày đặt; ","")&amp;IF($H145="","Thiếu tên sản phẩm; ",IF($J145="","Chưa khai GIÁ GỐC ở BẢNG GIÁ GỐC; ",""))&amp;IF(N($I145)&lt;=0,"Thiếu số lượng; ","")&amp;IF(N($K145)&lt;=0,"Thiếu giá bán; ","")&amp;IF(AND($N145&gt;0,$F145=""),"Khách lấy VAT thiếu mã số thuế; ","")&amp;IF(N($Q145)&gt;$P145,"Đã thu vượt tổng phải thu; ","")&amp;IF(AND($L145&gt;0,$U145&lt;&gt;"",$U145&lt;0),"CẢNH BÁO: ĐƠN NÀY ĐANG LỖ; ","")))</f>
        <v/>
      </c>
    </row>
    <row r="146" customFormat="false" ht="15" hidden="false" customHeight="false" outlineLevel="0" collapsed="false">
      <c r="A146" s="21" t="str">
        <f aca="false">IF($C146="","",COUNTA($C$10:$C146))</f>
        <v/>
      </c>
      <c r="B146" s="18"/>
      <c r="C146" s="11"/>
      <c r="D146" s="11"/>
      <c r="E146" s="11"/>
      <c r="F146" s="11"/>
      <c r="G146" s="11"/>
      <c r="H146" s="11"/>
      <c r="I146" s="12"/>
      <c r="J146" s="13" t="str">
        <f aca="false">IF($H146="","",IFERROR(VLOOKUP($H146,'BẢNG GIÁ GỐC'!$A$5:$D$254,3,FALSE()),""))</f>
        <v/>
      </c>
      <c r="K146" s="12"/>
      <c r="L146" s="13" t="str">
        <f aca="false">IF($C146="","",N($I146)*N($K146))</f>
        <v/>
      </c>
      <c r="M146" s="11"/>
      <c r="N146" s="14" t="str">
        <f aca="false">IF($C146="","",IF($M146="VAT 5%",0.05,IF($M146="VAT 8%",0.08,IF($M146="VAT 10%",0.1,0))))</f>
        <v/>
      </c>
      <c r="O146" s="13" t="str">
        <f aca="false">IF($C146="","",$L146*$N146)</f>
        <v/>
      </c>
      <c r="P146" s="13" t="str">
        <f aca="false">IF($C146="","",$L146+$O146)</f>
        <v/>
      </c>
      <c r="Q146" s="12"/>
      <c r="R146" s="13" t="str">
        <f aca="false">IF($C146="","",MAX(0,$P146-N($Q146)))</f>
        <v/>
      </c>
      <c r="S146" s="23" t="str">
        <f aca="false">IF(OR($C146="",$P146=0),"",IF(N($Q146)&lt;=0,"Chưa thanh toán",IF(N($Q146)&lt;$P146,"Thanh toán một phần","Đã thanh toán")))</f>
        <v/>
      </c>
      <c r="T146" s="13" t="str">
        <f aca="false">IF(OR($C146="",$J146=""),"",N($I146)*$J146)</f>
        <v/>
      </c>
      <c r="U146" s="13" t="str">
        <f aca="false">IF(OR($C146="",$T146=""),"",$L146-$T146)</f>
        <v/>
      </c>
      <c r="V146" s="14" t="str">
        <f aca="false">IF(OR($U146="",$L146=0),"",$U146/$L146)</f>
        <v/>
      </c>
      <c r="W146" s="11"/>
      <c r="X146" s="23" t="str">
        <f aca="false">IF($C146="","",IF(AND($H146="",N($I146)=0,N($K146)=0),"Dòng chỉ lưu thông tin khách (chưa có đơn); ",IF($B146="","Thiếu ngày đặt; ","")&amp;IF($H146="","Thiếu tên sản phẩm; ",IF($J146="","Chưa khai GIÁ GỐC ở BẢNG GIÁ GỐC; ",""))&amp;IF(N($I146)&lt;=0,"Thiếu số lượng; ","")&amp;IF(N($K146)&lt;=0,"Thiếu giá bán; ","")&amp;IF(AND($N146&gt;0,$F146=""),"Khách lấy VAT thiếu mã số thuế; ","")&amp;IF(N($Q146)&gt;$P146,"Đã thu vượt tổng phải thu; ","")&amp;IF(AND($L146&gt;0,$U146&lt;&gt;"",$U146&lt;0),"CẢNH BÁO: ĐƠN NÀY ĐANG LỖ; ","")))</f>
        <v/>
      </c>
    </row>
    <row r="147" customFormat="false" ht="15" hidden="false" customHeight="false" outlineLevel="0" collapsed="false">
      <c r="A147" s="21" t="str">
        <f aca="false">IF($C147="","",COUNTA($C$10:$C147))</f>
        <v/>
      </c>
      <c r="B147" s="18"/>
      <c r="C147" s="11"/>
      <c r="D147" s="11"/>
      <c r="E147" s="11"/>
      <c r="F147" s="11"/>
      <c r="G147" s="11"/>
      <c r="H147" s="11"/>
      <c r="I147" s="12"/>
      <c r="J147" s="13" t="str">
        <f aca="false">IF($H147="","",IFERROR(VLOOKUP($H147,'BẢNG GIÁ GỐC'!$A$5:$D$254,3,FALSE()),""))</f>
        <v/>
      </c>
      <c r="K147" s="12"/>
      <c r="L147" s="13" t="str">
        <f aca="false">IF($C147="","",N($I147)*N($K147))</f>
        <v/>
      </c>
      <c r="M147" s="11"/>
      <c r="N147" s="14" t="str">
        <f aca="false">IF($C147="","",IF($M147="VAT 5%",0.05,IF($M147="VAT 8%",0.08,IF($M147="VAT 10%",0.1,0))))</f>
        <v/>
      </c>
      <c r="O147" s="13" t="str">
        <f aca="false">IF($C147="","",$L147*$N147)</f>
        <v/>
      </c>
      <c r="P147" s="13" t="str">
        <f aca="false">IF($C147="","",$L147+$O147)</f>
        <v/>
      </c>
      <c r="Q147" s="12"/>
      <c r="R147" s="13" t="str">
        <f aca="false">IF($C147="","",MAX(0,$P147-N($Q147)))</f>
        <v/>
      </c>
      <c r="S147" s="23" t="str">
        <f aca="false">IF(OR($C147="",$P147=0),"",IF(N($Q147)&lt;=0,"Chưa thanh toán",IF(N($Q147)&lt;$P147,"Thanh toán một phần","Đã thanh toán")))</f>
        <v/>
      </c>
      <c r="T147" s="13" t="str">
        <f aca="false">IF(OR($C147="",$J147=""),"",N($I147)*$J147)</f>
        <v/>
      </c>
      <c r="U147" s="13" t="str">
        <f aca="false">IF(OR($C147="",$T147=""),"",$L147-$T147)</f>
        <v/>
      </c>
      <c r="V147" s="14" t="str">
        <f aca="false">IF(OR($U147="",$L147=0),"",$U147/$L147)</f>
        <v/>
      </c>
      <c r="W147" s="11"/>
      <c r="X147" s="23" t="str">
        <f aca="false">IF($C147="","",IF(AND($H147="",N($I147)=0,N($K147)=0),"Dòng chỉ lưu thông tin khách (chưa có đơn); ",IF($B147="","Thiếu ngày đặt; ","")&amp;IF($H147="","Thiếu tên sản phẩm; ",IF($J147="","Chưa khai GIÁ GỐC ở BẢNG GIÁ GỐC; ",""))&amp;IF(N($I147)&lt;=0,"Thiếu số lượng; ","")&amp;IF(N($K147)&lt;=0,"Thiếu giá bán; ","")&amp;IF(AND($N147&gt;0,$F147=""),"Khách lấy VAT thiếu mã số thuế; ","")&amp;IF(N($Q147)&gt;$P147,"Đã thu vượt tổng phải thu; ","")&amp;IF(AND($L147&gt;0,$U147&lt;&gt;"",$U147&lt;0),"CẢNH BÁO: ĐƠN NÀY ĐANG LỖ; ","")))</f>
        <v/>
      </c>
    </row>
    <row r="148" customFormat="false" ht="15" hidden="false" customHeight="false" outlineLevel="0" collapsed="false">
      <c r="A148" s="21" t="str">
        <f aca="false">IF($C148="","",COUNTA($C$10:$C148))</f>
        <v/>
      </c>
      <c r="B148" s="18"/>
      <c r="C148" s="11"/>
      <c r="D148" s="11"/>
      <c r="E148" s="11"/>
      <c r="F148" s="11"/>
      <c r="G148" s="11"/>
      <c r="H148" s="11"/>
      <c r="I148" s="12"/>
      <c r="J148" s="13" t="str">
        <f aca="false">IF($H148="","",IFERROR(VLOOKUP($H148,'BẢNG GIÁ GỐC'!$A$5:$D$254,3,FALSE()),""))</f>
        <v/>
      </c>
      <c r="K148" s="12"/>
      <c r="L148" s="13" t="str">
        <f aca="false">IF($C148="","",N($I148)*N($K148))</f>
        <v/>
      </c>
      <c r="M148" s="11"/>
      <c r="N148" s="14" t="str">
        <f aca="false">IF($C148="","",IF($M148="VAT 5%",0.05,IF($M148="VAT 8%",0.08,IF($M148="VAT 10%",0.1,0))))</f>
        <v/>
      </c>
      <c r="O148" s="13" t="str">
        <f aca="false">IF($C148="","",$L148*$N148)</f>
        <v/>
      </c>
      <c r="P148" s="13" t="str">
        <f aca="false">IF($C148="","",$L148+$O148)</f>
        <v/>
      </c>
      <c r="Q148" s="12"/>
      <c r="R148" s="13" t="str">
        <f aca="false">IF($C148="","",MAX(0,$P148-N($Q148)))</f>
        <v/>
      </c>
      <c r="S148" s="23" t="str">
        <f aca="false">IF(OR($C148="",$P148=0),"",IF(N($Q148)&lt;=0,"Chưa thanh toán",IF(N($Q148)&lt;$P148,"Thanh toán một phần","Đã thanh toán")))</f>
        <v/>
      </c>
      <c r="T148" s="13" t="str">
        <f aca="false">IF(OR($C148="",$J148=""),"",N($I148)*$J148)</f>
        <v/>
      </c>
      <c r="U148" s="13" t="str">
        <f aca="false">IF(OR($C148="",$T148=""),"",$L148-$T148)</f>
        <v/>
      </c>
      <c r="V148" s="14" t="str">
        <f aca="false">IF(OR($U148="",$L148=0),"",$U148/$L148)</f>
        <v/>
      </c>
      <c r="W148" s="11"/>
      <c r="X148" s="23" t="str">
        <f aca="false">IF($C148="","",IF(AND($H148="",N($I148)=0,N($K148)=0),"Dòng chỉ lưu thông tin khách (chưa có đơn); ",IF($B148="","Thiếu ngày đặt; ","")&amp;IF($H148="","Thiếu tên sản phẩm; ",IF($J148="","Chưa khai GIÁ GỐC ở BẢNG GIÁ GỐC; ",""))&amp;IF(N($I148)&lt;=0,"Thiếu số lượng; ","")&amp;IF(N($K148)&lt;=0,"Thiếu giá bán; ","")&amp;IF(AND($N148&gt;0,$F148=""),"Khách lấy VAT thiếu mã số thuế; ","")&amp;IF(N($Q148)&gt;$P148,"Đã thu vượt tổng phải thu; ","")&amp;IF(AND($L148&gt;0,$U148&lt;&gt;"",$U148&lt;0),"CẢNH BÁO: ĐƠN NÀY ĐANG LỖ; ","")))</f>
        <v/>
      </c>
    </row>
    <row r="149" customFormat="false" ht="15" hidden="false" customHeight="false" outlineLevel="0" collapsed="false">
      <c r="A149" s="21" t="str">
        <f aca="false">IF($C149="","",COUNTA($C$10:$C149))</f>
        <v/>
      </c>
      <c r="B149" s="18"/>
      <c r="C149" s="11"/>
      <c r="D149" s="11"/>
      <c r="E149" s="11"/>
      <c r="F149" s="11"/>
      <c r="G149" s="11"/>
      <c r="H149" s="11"/>
      <c r="I149" s="12"/>
      <c r="J149" s="13" t="str">
        <f aca="false">IF($H149="","",IFERROR(VLOOKUP($H149,'BẢNG GIÁ GỐC'!$A$5:$D$254,3,FALSE()),""))</f>
        <v/>
      </c>
      <c r="K149" s="12"/>
      <c r="L149" s="13" t="str">
        <f aca="false">IF($C149="","",N($I149)*N($K149))</f>
        <v/>
      </c>
      <c r="M149" s="11"/>
      <c r="N149" s="14" t="str">
        <f aca="false">IF($C149="","",IF($M149="VAT 5%",0.05,IF($M149="VAT 8%",0.08,IF($M149="VAT 10%",0.1,0))))</f>
        <v/>
      </c>
      <c r="O149" s="13" t="str">
        <f aca="false">IF($C149="","",$L149*$N149)</f>
        <v/>
      </c>
      <c r="P149" s="13" t="str">
        <f aca="false">IF($C149="","",$L149+$O149)</f>
        <v/>
      </c>
      <c r="Q149" s="12"/>
      <c r="R149" s="13" t="str">
        <f aca="false">IF($C149="","",MAX(0,$P149-N($Q149)))</f>
        <v/>
      </c>
      <c r="S149" s="23" t="str">
        <f aca="false">IF(OR($C149="",$P149=0),"",IF(N($Q149)&lt;=0,"Chưa thanh toán",IF(N($Q149)&lt;$P149,"Thanh toán một phần","Đã thanh toán")))</f>
        <v/>
      </c>
      <c r="T149" s="13" t="str">
        <f aca="false">IF(OR($C149="",$J149=""),"",N($I149)*$J149)</f>
        <v/>
      </c>
      <c r="U149" s="13" t="str">
        <f aca="false">IF(OR($C149="",$T149=""),"",$L149-$T149)</f>
        <v/>
      </c>
      <c r="V149" s="14" t="str">
        <f aca="false">IF(OR($U149="",$L149=0),"",$U149/$L149)</f>
        <v/>
      </c>
      <c r="W149" s="11"/>
      <c r="X149" s="23" t="str">
        <f aca="false">IF($C149="","",IF(AND($H149="",N($I149)=0,N($K149)=0),"Dòng chỉ lưu thông tin khách (chưa có đơn); ",IF($B149="","Thiếu ngày đặt; ","")&amp;IF($H149="","Thiếu tên sản phẩm; ",IF($J149="","Chưa khai GIÁ GỐC ở BẢNG GIÁ GỐC; ",""))&amp;IF(N($I149)&lt;=0,"Thiếu số lượng; ","")&amp;IF(N($K149)&lt;=0,"Thiếu giá bán; ","")&amp;IF(AND($N149&gt;0,$F149=""),"Khách lấy VAT thiếu mã số thuế; ","")&amp;IF(N($Q149)&gt;$P149,"Đã thu vượt tổng phải thu; ","")&amp;IF(AND($L149&gt;0,$U149&lt;&gt;"",$U149&lt;0),"CẢNH BÁO: ĐƠN NÀY ĐANG LỖ; ","")))</f>
        <v/>
      </c>
    </row>
    <row r="150" customFormat="false" ht="15" hidden="false" customHeight="false" outlineLevel="0" collapsed="false">
      <c r="A150" s="21" t="str">
        <f aca="false">IF($C150="","",COUNTA($C$10:$C150))</f>
        <v/>
      </c>
      <c r="B150" s="18"/>
      <c r="C150" s="11"/>
      <c r="D150" s="11"/>
      <c r="E150" s="11"/>
      <c r="F150" s="11"/>
      <c r="G150" s="11"/>
      <c r="H150" s="11"/>
      <c r="I150" s="12"/>
      <c r="J150" s="13" t="str">
        <f aca="false">IF($H150="","",IFERROR(VLOOKUP($H150,'BẢNG GIÁ GỐC'!$A$5:$D$254,3,FALSE()),""))</f>
        <v/>
      </c>
      <c r="K150" s="12"/>
      <c r="L150" s="13" t="str">
        <f aca="false">IF($C150="","",N($I150)*N($K150))</f>
        <v/>
      </c>
      <c r="M150" s="11"/>
      <c r="N150" s="14" t="str">
        <f aca="false">IF($C150="","",IF($M150="VAT 5%",0.05,IF($M150="VAT 8%",0.08,IF($M150="VAT 10%",0.1,0))))</f>
        <v/>
      </c>
      <c r="O150" s="13" t="str">
        <f aca="false">IF($C150="","",$L150*$N150)</f>
        <v/>
      </c>
      <c r="P150" s="13" t="str">
        <f aca="false">IF($C150="","",$L150+$O150)</f>
        <v/>
      </c>
      <c r="Q150" s="12"/>
      <c r="R150" s="13" t="str">
        <f aca="false">IF($C150="","",MAX(0,$P150-N($Q150)))</f>
        <v/>
      </c>
      <c r="S150" s="23" t="str">
        <f aca="false">IF(OR($C150="",$P150=0),"",IF(N($Q150)&lt;=0,"Chưa thanh toán",IF(N($Q150)&lt;$P150,"Thanh toán một phần","Đã thanh toán")))</f>
        <v/>
      </c>
      <c r="T150" s="13" t="str">
        <f aca="false">IF(OR($C150="",$J150=""),"",N($I150)*$J150)</f>
        <v/>
      </c>
      <c r="U150" s="13" t="str">
        <f aca="false">IF(OR($C150="",$T150=""),"",$L150-$T150)</f>
        <v/>
      </c>
      <c r="V150" s="14" t="str">
        <f aca="false">IF(OR($U150="",$L150=0),"",$U150/$L150)</f>
        <v/>
      </c>
      <c r="W150" s="11"/>
      <c r="X150" s="23" t="str">
        <f aca="false">IF($C150="","",IF(AND($H150="",N($I150)=0,N($K150)=0),"Dòng chỉ lưu thông tin khách (chưa có đơn); ",IF($B150="","Thiếu ngày đặt; ","")&amp;IF($H150="","Thiếu tên sản phẩm; ",IF($J150="","Chưa khai GIÁ GỐC ở BẢNG GIÁ GỐC; ",""))&amp;IF(N($I150)&lt;=0,"Thiếu số lượng; ","")&amp;IF(N($K150)&lt;=0,"Thiếu giá bán; ","")&amp;IF(AND($N150&gt;0,$F150=""),"Khách lấy VAT thiếu mã số thuế; ","")&amp;IF(N($Q150)&gt;$P150,"Đã thu vượt tổng phải thu; ","")&amp;IF(AND($L150&gt;0,$U150&lt;&gt;"",$U150&lt;0),"CẢNH BÁO: ĐƠN NÀY ĐANG LỖ; ","")))</f>
        <v/>
      </c>
    </row>
    <row r="151" customFormat="false" ht="15" hidden="false" customHeight="false" outlineLevel="0" collapsed="false">
      <c r="A151" s="21" t="str">
        <f aca="false">IF($C151="","",COUNTA($C$10:$C151))</f>
        <v/>
      </c>
      <c r="B151" s="18"/>
      <c r="C151" s="11"/>
      <c r="D151" s="11"/>
      <c r="E151" s="11"/>
      <c r="F151" s="11"/>
      <c r="G151" s="11"/>
      <c r="H151" s="11"/>
      <c r="I151" s="12"/>
      <c r="J151" s="13" t="str">
        <f aca="false">IF($H151="","",IFERROR(VLOOKUP($H151,'BẢNG GIÁ GỐC'!$A$5:$D$254,3,FALSE()),""))</f>
        <v/>
      </c>
      <c r="K151" s="12"/>
      <c r="L151" s="13" t="str">
        <f aca="false">IF($C151="","",N($I151)*N($K151))</f>
        <v/>
      </c>
      <c r="M151" s="11"/>
      <c r="N151" s="14" t="str">
        <f aca="false">IF($C151="","",IF($M151="VAT 5%",0.05,IF($M151="VAT 8%",0.08,IF($M151="VAT 10%",0.1,0))))</f>
        <v/>
      </c>
      <c r="O151" s="13" t="str">
        <f aca="false">IF($C151="","",$L151*$N151)</f>
        <v/>
      </c>
      <c r="P151" s="13" t="str">
        <f aca="false">IF($C151="","",$L151+$O151)</f>
        <v/>
      </c>
      <c r="Q151" s="12"/>
      <c r="R151" s="13" t="str">
        <f aca="false">IF($C151="","",MAX(0,$P151-N($Q151)))</f>
        <v/>
      </c>
      <c r="S151" s="23" t="str">
        <f aca="false">IF(OR($C151="",$P151=0),"",IF(N($Q151)&lt;=0,"Chưa thanh toán",IF(N($Q151)&lt;$P151,"Thanh toán một phần","Đã thanh toán")))</f>
        <v/>
      </c>
      <c r="T151" s="13" t="str">
        <f aca="false">IF(OR($C151="",$J151=""),"",N($I151)*$J151)</f>
        <v/>
      </c>
      <c r="U151" s="13" t="str">
        <f aca="false">IF(OR($C151="",$T151=""),"",$L151-$T151)</f>
        <v/>
      </c>
      <c r="V151" s="14" t="str">
        <f aca="false">IF(OR($U151="",$L151=0),"",$U151/$L151)</f>
        <v/>
      </c>
      <c r="W151" s="11"/>
      <c r="X151" s="23" t="str">
        <f aca="false">IF($C151="","",IF(AND($H151="",N($I151)=0,N($K151)=0),"Dòng chỉ lưu thông tin khách (chưa có đơn); ",IF($B151="","Thiếu ngày đặt; ","")&amp;IF($H151="","Thiếu tên sản phẩm; ",IF($J151="","Chưa khai GIÁ GỐC ở BẢNG GIÁ GỐC; ",""))&amp;IF(N($I151)&lt;=0,"Thiếu số lượng; ","")&amp;IF(N($K151)&lt;=0,"Thiếu giá bán; ","")&amp;IF(AND($N151&gt;0,$F151=""),"Khách lấy VAT thiếu mã số thuế; ","")&amp;IF(N($Q151)&gt;$P151,"Đã thu vượt tổng phải thu; ","")&amp;IF(AND($L151&gt;0,$U151&lt;&gt;"",$U151&lt;0),"CẢNH BÁO: ĐƠN NÀY ĐANG LỖ; ","")))</f>
        <v/>
      </c>
    </row>
    <row r="152" customFormat="false" ht="15" hidden="false" customHeight="false" outlineLevel="0" collapsed="false">
      <c r="A152" s="21" t="str">
        <f aca="false">IF($C152="","",COUNTA($C$10:$C152))</f>
        <v/>
      </c>
      <c r="B152" s="18"/>
      <c r="C152" s="11"/>
      <c r="D152" s="11"/>
      <c r="E152" s="11"/>
      <c r="F152" s="11"/>
      <c r="G152" s="11"/>
      <c r="H152" s="11"/>
      <c r="I152" s="12"/>
      <c r="J152" s="13" t="str">
        <f aca="false">IF($H152="","",IFERROR(VLOOKUP($H152,'BẢNG GIÁ GỐC'!$A$5:$D$254,3,FALSE()),""))</f>
        <v/>
      </c>
      <c r="K152" s="12"/>
      <c r="L152" s="13" t="str">
        <f aca="false">IF($C152="","",N($I152)*N($K152))</f>
        <v/>
      </c>
      <c r="M152" s="11"/>
      <c r="N152" s="14" t="str">
        <f aca="false">IF($C152="","",IF($M152="VAT 5%",0.05,IF($M152="VAT 8%",0.08,IF($M152="VAT 10%",0.1,0))))</f>
        <v/>
      </c>
      <c r="O152" s="13" t="str">
        <f aca="false">IF($C152="","",$L152*$N152)</f>
        <v/>
      </c>
      <c r="P152" s="13" t="str">
        <f aca="false">IF($C152="","",$L152+$O152)</f>
        <v/>
      </c>
      <c r="Q152" s="12"/>
      <c r="R152" s="13" t="str">
        <f aca="false">IF($C152="","",MAX(0,$P152-N($Q152)))</f>
        <v/>
      </c>
      <c r="S152" s="23" t="str">
        <f aca="false">IF(OR($C152="",$P152=0),"",IF(N($Q152)&lt;=0,"Chưa thanh toán",IF(N($Q152)&lt;$P152,"Thanh toán một phần","Đã thanh toán")))</f>
        <v/>
      </c>
      <c r="T152" s="13" t="str">
        <f aca="false">IF(OR($C152="",$J152=""),"",N($I152)*$J152)</f>
        <v/>
      </c>
      <c r="U152" s="13" t="str">
        <f aca="false">IF(OR($C152="",$T152=""),"",$L152-$T152)</f>
        <v/>
      </c>
      <c r="V152" s="14" t="str">
        <f aca="false">IF(OR($U152="",$L152=0),"",$U152/$L152)</f>
        <v/>
      </c>
      <c r="W152" s="11"/>
      <c r="X152" s="23" t="str">
        <f aca="false">IF($C152="","",IF(AND($H152="",N($I152)=0,N($K152)=0),"Dòng chỉ lưu thông tin khách (chưa có đơn); ",IF($B152="","Thiếu ngày đặt; ","")&amp;IF($H152="","Thiếu tên sản phẩm; ",IF($J152="","Chưa khai GIÁ GỐC ở BẢNG GIÁ GỐC; ",""))&amp;IF(N($I152)&lt;=0,"Thiếu số lượng; ","")&amp;IF(N($K152)&lt;=0,"Thiếu giá bán; ","")&amp;IF(AND($N152&gt;0,$F152=""),"Khách lấy VAT thiếu mã số thuế; ","")&amp;IF(N($Q152)&gt;$P152,"Đã thu vượt tổng phải thu; ","")&amp;IF(AND($L152&gt;0,$U152&lt;&gt;"",$U152&lt;0),"CẢNH BÁO: ĐƠN NÀY ĐANG LỖ; ","")))</f>
        <v/>
      </c>
    </row>
    <row r="153" customFormat="false" ht="15" hidden="false" customHeight="false" outlineLevel="0" collapsed="false">
      <c r="A153" s="21" t="str">
        <f aca="false">IF($C153="","",COUNTA($C$10:$C153))</f>
        <v/>
      </c>
      <c r="B153" s="18"/>
      <c r="C153" s="11"/>
      <c r="D153" s="11"/>
      <c r="E153" s="11"/>
      <c r="F153" s="11"/>
      <c r="G153" s="11"/>
      <c r="H153" s="11"/>
      <c r="I153" s="12"/>
      <c r="J153" s="13" t="str">
        <f aca="false">IF($H153="","",IFERROR(VLOOKUP($H153,'BẢNG GIÁ GỐC'!$A$5:$D$254,3,FALSE()),""))</f>
        <v/>
      </c>
      <c r="K153" s="12"/>
      <c r="L153" s="13" t="str">
        <f aca="false">IF($C153="","",N($I153)*N($K153))</f>
        <v/>
      </c>
      <c r="M153" s="11"/>
      <c r="N153" s="14" t="str">
        <f aca="false">IF($C153="","",IF($M153="VAT 5%",0.05,IF($M153="VAT 8%",0.08,IF($M153="VAT 10%",0.1,0))))</f>
        <v/>
      </c>
      <c r="O153" s="13" t="str">
        <f aca="false">IF($C153="","",$L153*$N153)</f>
        <v/>
      </c>
      <c r="P153" s="13" t="str">
        <f aca="false">IF($C153="","",$L153+$O153)</f>
        <v/>
      </c>
      <c r="Q153" s="12"/>
      <c r="R153" s="13" t="str">
        <f aca="false">IF($C153="","",MAX(0,$P153-N($Q153)))</f>
        <v/>
      </c>
      <c r="S153" s="23" t="str">
        <f aca="false">IF(OR($C153="",$P153=0),"",IF(N($Q153)&lt;=0,"Chưa thanh toán",IF(N($Q153)&lt;$P153,"Thanh toán một phần","Đã thanh toán")))</f>
        <v/>
      </c>
      <c r="T153" s="13" t="str">
        <f aca="false">IF(OR($C153="",$J153=""),"",N($I153)*$J153)</f>
        <v/>
      </c>
      <c r="U153" s="13" t="str">
        <f aca="false">IF(OR($C153="",$T153=""),"",$L153-$T153)</f>
        <v/>
      </c>
      <c r="V153" s="14" t="str">
        <f aca="false">IF(OR($U153="",$L153=0),"",$U153/$L153)</f>
        <v/>
      </c>
      <c r="W153" s="11"/>
      <c r="X153" s="23" t="str">
        <f aca="false">IF($C153="","",IF(AND($H153="",N($I153)=0,N($K153)=0),"Dòng chỉ lưu thông tin khách (chưa có đơn); ",IF($B153="","Thiếu ngày đặt; ","")&amp;IF($H153="","Thiếu tên sản phẩm; ",IF($J153="","Chưa khai GIÁ GỐC ở BẢNG GIÁ GỐC; ",""))&amp;IF(N($I153)&lt;=0,"Thiếu số lượng; ","")&amp;IF(N($K153)&lt;=0,"Thiếu giá bán; ","")&amp;IF(AND($N153&gt;0,$F153=""),"Khách lấy VAT thiếu mã số thuế; ","")&amp;IF(N($Q153)&gt;$P153,"Đã thu vượt tổng phải thu; ","")&amp;IF(AND($L153&gt;0,$U153&lt;&gt;"",$U153&lt;0),"CẢNH BÁO: ĐƠN NÀY ĐANG LỖ; ","")))</f>
        <v/>
      </c>
    </row>
    <row r="154" customFormat="false" ht="15" hidden="false" customHeight="false" outlineLevel="0" collapsed="false">
      <c r="A154" s="21" t="str">
        <f aca="false">IF($C154="","",COUNTA($C$10:$C154))</f>
        <v/>
      </c>
      <c r="B154" s="18"/>
      <c r="C154" s="11"/>
      <c r="D154" s="11"/>
      <c r="E154" s="11"/>
      <c r="F154" s="11"/>
      <c r="G154" s="11"/>
      <c r="H154" s="11"/>
      <c r="I154" s="12"/>
      <c r="J154" s="13" t="str">
        <f aca="false">IF($H154="","",IFERROR(VLOOKUP($H154,'BẢNG GIÁ GỐC'!$A$5:$D$254,3,FALSE()),""))</f>
        <v/>
      </c>
      <c r="K154" s="12"/>
      <c r="L154" s="13" t="str">
        <f aca="false">IF($C154="","",N($I154)*N($K154))</f>
        <v/>
      </c>
      <c r="M154" s="11"/>
      <c r="N154" s="14" t="str">
        <f aca="false">IF($C154="","",IF($M154="VAT 5%",0.05,IF($M154="VAT 8%",0.08,IF($M154="VAT 10%",0.1,0))))</f>
        <v/>
      </c>
      <c r="O154" s="13" t="str">
        <f aca="false">IF($C154="","",$L154*$N154)</f>
        <v/>
      </c>
      <c r="P154" s="13" t="str">
        <f aca="false">IF($C154="","",$L154+$O154)</f>
        <v/>
      </c>
      <c r="Q154" s="12"/>
      <c r="R154" s="13" t="str">
        <f aca="false">IF($C154="","",MAX(0,$P154-N($Q154)))</f>
        <v/>
      </c>
      <c r="S154" s="23" t="str">
        <f aca="false">IF(OR($C154="",$P154=0),"",IF(N($Q154)&lt;=0,"Chưa thanh toán",IF(N($Q154)&lt;$P154,"Thanh toán một phần","Đã thanh toán")))</f>
        <v/>
      </c>
      <c r="T154" s="13" t="str">
        <f aca="false">IF(OR($C154="",$J154=""),"",N($I154)*$J154)</f>
        <v/>
      </c>
      <c r="U154" s="13" t="str">
        <f aca="false">IF(OR($C154="",$T154=""),"",$L154-$T154)</f>
        <v/>
      </c>
      <c r="V154" s="14" t="str">
        <f aca="false">IF(OR($U154="",$L154=0),"",$U154/$L154)</f>
        <v/>
      </c>
      <c r="W154" s="11"/>
      <c r="X154" s="23" t="str">
        <f aca="false">IF($C154="","",IF(AND($H154="",N($I154)=0,N($K154)=0),"Dòng chỉ lưu thông tin khách (chưa có đơn); ",IF($B154="","Thiếu ngày đặt; ","")&amp;IF($H154="","Thiếu tên sản phẩm; ",IF($J154="","Chưa khai GIÁ GỐC ở BẢNG GIÁ GỐC; ",""))&amp;IF(N($I154)&lt;=0,"Thiếu số lượng; ","")&amp;IF(N($K154)&lt;=0,"Thiếu giá bán; ","")&amp;IF(AND($N154&gt;0,$F154=""),"Khách lấy VAT thiếu mã số thuế; ","")&amp;IF(N($Q154)&gt;$P154,"Đã thu vượt tổng phải thu; ","")&amp;IF(AND($L154&gt;0,$U154&lt;&gt;"",$U154&lt;0),"CẢNH BÁO: ĐƠN NÀY ĐANG LỖ; ","")))</f>
        <v/>
      </c>
    </row>
    <row r="155" customFormat="false" ht="15" hidden="false" customHeight="false" outlineLevel="0" collapsed="false">
      <c r="A155" s="21" t="str">
        <f aca="false">IF($C155="","",COUNTA($C$10:$C155))</f>
        <v/>
      </c>
      <c r="B155" s="18"/>
      <c r="C155" s="11"/>
      <c r="D155" s="11"/>
      <c r="E155" s="11"/>
      <c r="F155" s="11"/>
      <c r="G155" s="11"/>
      <c r="H155" s="11"/>
      <c r="I155" s="12"/>
      <c r="J155" s="13" t="str">
        <f aca="false">IF($H155="","",IFERROR(VLOOKUP($H155,'BẢNG GIÁ GỐC'!$A$5:$D$254,3,FALSE()),""))</f>
        <v/>
      </c>
      <c r="K155" s="12"/>
      <c r="L155" s="13" t="str">
        <f aca="false">IF($C155="","",N($I155)*N($K155))</f>
        <v/>
      </c>
      <c r="M155" s="11"/>
      <c r="N155" s="14" t="str">
        <f aca="false">IF($C155="","",IF($M155="VAT 5%",0.05,IF($M155="VAT 8%",0.08,IF($M155="VAT 10%",0.1,0))))</f>
        <v/>
      </c>
      <c r="O155" s="13" t="str">
        <f aca="false">IF($C155="","",$L155*$N155)</f>
        <v/>
      </c>
      <c r="P155" s="13" t="str">
        <f aca="false">IF($C155="","",$L155+$O155)</f>
        <v/>
      </c>
      <c r="Q155" s="12"/>
      <c r="R155" s="13" t="str">
        <f aca="false">IF($C155="","",MAX(0,$P155-N($Q155)))</f>
        <v/>
      </c>
      <c r="S155" s="23" t="str">
        <f aca="false">IF(OR($C155="",$P155=0),"",IF(N($Q155)&lt;=0,"Chưa thanh toán",IF(N($Q155)&lt;$P155,"Thanh toán một phần","Đã thanh toán")))</f>
        <v/>
      </c>
      <c r="T155" s="13" t="str">
        <f aca="false">IF(OR($C155="",$J155=""),"",N($I155)*$J155)</f>
        <v/>
      </c>
      <c r="U155" s="13" t="str">
        <f aca="false">IF(OR($C155="",$T155=""),"",$L155-$T155)</f>
        <v/>
      </c>
      <c r="V155" s="14" t="str">
        <f aca="false">IF(OR($U155="",$L155=0),"",$U155/$L155)</f>
        <v/>
      </c>
      <c r="W155" s="11"/>
      <c r="X155" s="23" t="str">
        <f aca="false">IF($C155="","",IF(AND($H155="",N($I155)=0,N($K155)=0),"Dòng chỉ lưu thông tin khách (chưa có đơn); ",IF($B155="","Thiếu ngày đặt; ","")&amp;IF($H155="","Thiếu tên sản phẩm; ",IF($J155="","Chưa khai GIÁ GỐC ở BẢNG GIÁ GỐC; ",""))&amp;IF(N($I155)&lt;=0,"Thiếu số lượng; ","")&amp;IF(N($K155)&lt;=0,"Thiếu giá bán; ","")&amp;IF(AND($N155&gt;0,$F155=""),"Khách lấy VAT thiếu mã số thuế; ","")&amp;IF(N($Q155)&gt;$P155,"Đã thu vượt tổng phải thu; ","")&amp;IF(AND($L155&gt;0,$U155&lt;&gt;"",$U155&lt;0),"CẢNH BÁO: ĐƠN NÀY ĐANG LỖ; ","")))</f>
        <v/>
      </c>
    </row>
    <row r="156" customFormat="false" ht="15" hidden="false" customHeight="false" outlineLevel="0" collapsed="false">
      <c r="A156" s="21" t="str">
        <f aca="false">IF($C156="","",COUNTA($C$10:$C156))</f>
        <v/>
      </c>
      <c r="B156" s="18"/>
      <c r="C156" s="11"/>
      <c r="D156" s="11"/>
      <c r="E156" s="11"/>
      <c r="F156" s="11"/>
      <c r="G156" s="11"/>
      <c r="H156" s="11"/>
      <c r="I156" s="12"/>
      <c r="J156" s="13" t="str">
        <f aca="false">IF($H156="","",IFERROR(VLOOKUP($H156,'BẢNG GIÁ GỐC'!$A$5:$D$254,3,FALSE()),""))</f>
        <v/>
      </c>
      <c r="K156" s="12"/>
      <c r="L156" s="13" t="str">
        <f aca="false">IF($C156="","",N($I156)*N($K156))</f>
        <v/>
      </c>
      <c r="M156" s="11"/>
      <c r="N156" s="14" t="str">
        <f aca="false">IF($C156="","",IF($M156="VAT 5%",0.05,IF($M156="VAT 8%",0.08,IF($M156="VAT 10%",0.1,0))))</f>
        <v/>
      </c>
      <c r="O156" s="13" t="str">
        <f aca="false">IF($C156="","",$L156*$N156)</f>
        <v/>
      </c>
      <c r="P156" s="13" t="str">
        <f aca="false">IF($C156="","",$L156+$O156)</f>
        <v/>
      </c>
      <c r="Q156" s="12"/>
      <c r="R156" s="13" t="str">
        <f aca="false">IF($C156="","",MAX(0,$P156-N($Q156)))</f>
        <v/>
      </c>
      <c r="S156" s="23" t="str">
        <f aca="false">IF(OR($C156="",$P156=0),"",IF(N($Q156)&lt;=0,"Chưa thanh toán",IF(N($Q156)&lt;$P156,"Thanh toán một phần","Đã thanh toán")))</f>
        <v/>
      </c>
      <c r="T156" s="13" t="str">
        <f aca="false">IF(OR($C156="",$J156=""),"",N($I156)*$J156)</f>
        <v/>
      </c>
      <c r="U156" s="13" t="str">
        <f aca="false">IF(OR($C156="",$T156=""),"",$L156-$T156)</f>
        <v/>
      </c>
      <c r="V156" s="14" t="str">
        <f aca="false">IF(OR($U156="",$L156=0),"",$U156/$L156)</f>
        <v/>
      </c>
      <c r="W156" s="11"/>
      <c r="X156" s="23" t="str">
        <f aca="false">IF($C156="","",IF(AND($H156="",N($I156)=0,N($K156)=0),"Dòng chỉ lưu thông tin khách (chưa có đơn); ",IF($B156="","Thiếu ngày đặt; ","")&amp;IF($H156="","Thiếu tên sản phẩm; ",IF($J156="","Chưa khai GIÁ GỐC ở BẢNG GIÁ GỐC; ",""))&amp;IF(N($I156)&lt;=0,"Thiếu số lượng; ","")&amp;IF(N($K156)&lt;=0,"Thiếu giá bán; ","")&amp;IF(AND($N156&gt;0,$F156=""),"Khách lấy VAT thiếu mã số thuế; ","")&amp;IF(N($Q156)&gt;$P156,"Đã thu vượt tổng phải thu; ","")&amp;IF(AND($L156&gt;0,$U156&lt;&gt;"",$U156&lt;0),"CẢNH BÁO: ĐƠN NÀY ĐANG LỖ; ","")))</f>
        <v/>
      </c>
    </row>
    <row r="157" customFormat="false" ht="15" hidden="false" customHeight="false" outlineLevel="0" collapsed="false">
      <c r="A157" s="21" t="str">
        <f aca="false">IF($C157="","",COUNTA($C$10:$C157))</f>
        <v/>
      </c>
      <c r="B157" s="18"/>
      <c r="C157" s="11"/>
      <c r="D157" s="11"/>
      <c r="E157" s="11"/>
      <c r="F157" s="11"/>
      <c r="G157" s="11"/>
      <c r="H157" s="11"/>
      <c r="I157" s="12"/>
      <c r="J157" s="13" t="str">
        <f aca="false">IF($H157="","",IFERROR(VLOOKUP($H157,'BẢNG GIÁ GỐC'!$A$5:$D$254,3,FALSE()),""))</f>
        <v/>
      </c>
      <c r="K157" s="12"/>
      <c r="L157" s="13" t="str">
        <f aca="false">IF($C157="","",N($I157)*N($K157))</f>
        <v/>
      </c>
      <c r="M157" s="11"/>
      <c r="N157" s="14" t="str">
        <f aca="false">IF($C157="","",IF($M157="VAT 5%",0.05,IF($M157="VAT 8%",0.08,IF($M157="VAT 10%",0.1,0))))</f>
        <v/>
      </c>
      <c r="O157" s="13" t="str">
        <f aca="false">IF($C157="","",$L157*$N157)</f>
        <v/>
      </c>
      <c r="P157" s="13" t="str">
        <f aca="false">IF($C157="","",$L157+$O157)</f>
        <v/>
      </c>
      <c r="Q157" s="12"/>
      <c r="R157" s="13" t="str">
        <f aca="false">IF($C157="","",MAX(0,$P157-N($Q157)))</f>
        <v/>
      </c>
      <c r="S157" s="23" t="str">
        <f aca="false">IF(OR($C157="",$P157=0),"",IF(N($Q157)&lt;=0,"Chưa thanh toán",IF(N($Q157)&lt;$P157,"Thanh toán một phần","Đã thanh toán")))</f>
        <v/>
      </c>
      <c r="T157" s="13" t="str">
        <f aca="false">IF(OR($C157="",$J157=""),"",N($I157)*$J157)</f>
        <v/>
      </c>
      <c r="U157" s="13" t="str">
        <f aca="false">IF(OR($C157="",$T157=""),"",$L157-$T157)</f>
        <v/>
      </c>
      <c r="V157" s="14" t="str">
        <f aca="false">IF(OR($U157="",$L157=0),"",$U157/$L157)</f>
        <v/>
      </c>
      <c r="W157" s="11"/>
      <c r="X157" s="23" t="str">
        <f aca="false">IF($C157="","",IF(AND($H157="",N($I157)=0,N($K157)=0),"Dòng chỉ lưu thông tin khách (chưa có đơn); ",IF($B157="","Thiếu ngày đặt; ","")&amp;IF($H157="","Thiếu tên sản phẩm; ",IF($J157="","Chưa khai GIÁ GỐC ở BẢNG GIÁ GỐC; ",""))&amp;IF(N($I157)&lt;=0,"Thiếu số lượng; ","")&amp;IF(N($K157)&lt;=0,"Thiếu giá bán; ","")&amp;IF(AND($N157&gt;0,$F157=""),"Khách lấy VAT thiếu mã số thuế; ","")&amp;IF(N($Q157)&gt;$P157,"Đã thu vượt tổng phải thu; ","")&amp;IF(AND($L157&gt;0,$U157&lt;&gt;"",$U157&lt;0),"CẢNH BÁO: ĐƠN NÀY ĐANG LỖ; ","")))</f>
        <v/>
      </c>
    </row>
    <row r="158" customFormat="false" ht="15" hidden="false" customHeight="false" outlineLevel="0" collapsed="false">
      <c r="A158" s="21" t="str">
        <f aca="false">IF($C158="","",COUNTA($C$10:$C158))</f>
        <v/>
      </c>
      <c r="B158" s="18"/>
      <c r="C158" s="11"/>
      <c r="D158" s="11"/>
      <c r="E158" s="11"/>
      <c r="F158" s="11"/>
      <c r="G158" s="11"/>
      <c r="H158" s="11"/>
      <c r="I158" s="12"/>
      <c r="J158" s="13" t="str">
        <f aca="false">IF($H158="","",IFERROR(VLOOKUP($H158,'BẢNG GIÁ GỐC'!$A$5:$D$254,3,FALSE()),""))</f>
        <v/>
      </c>
      <c r="K158" s="12"/>
      <c r="L158" s="13" t="str">
        <f aca="false">IF($C158="","",N($I158)*N($K158))</f>
        <v/>
      </c>
      <c r="M158" s="11"/>
      <c r="N158" s="14" t="str">
        <f aca="false">IF($C158="","",IF($M158="VAT 5%",0.05,IF($M158="VAT 8%",0.08,IF($M158="VAT 10%",0.1,0))))</f>
        <v/>
      </c>
      <c r="O158" s="13" t="str">
        <f aca="false">IF($C158="","",$L158*$N158)</f>
        <v/>
      </c>
      <c r="P158" s="13" t="str">
        <f aca="false">IF($C158="","",$L158+$O158)</f>
        <v/>
      </c>
      <c r="Q158" s="12"/>
      <c r="R158" s="13" t="str">
        <f aca="false">IF($C158="","",MAX(0,$P158-N($Q158)))</f>
        <v/>
      </c>
      <c r="S158" s="23" t="str">
        <f aca="false">IF(OR($C158="",$P158=0),"",IF(N($Q158)&lt;=0,"Chưa thanh toán",IF(N($Q158)&lt;$P158,"Thanh toán một phần","Đã thanh toán")))</f>
        <v/>
      </c>
      <c r="T158" s="13" t="str">
        <f aca="false">IF(OR($C158="",$J158=""),"",N($I158)*$J158)</f>
        <v/>
      </c>
      <c r="U158" s="13" t="str">
        <f aca="false">IF(OR($C158="",$T158=""),"",$L158-$T158)</f>
        <v/>
      </c>
      <c r="V158" s="14" t="str">
        <f aca="false">IF(OR($U158="",$L158=0),"",$U158/$L158)</f>
        <v/>
      </c>
      <c r="W158" s="11"/>
      <c r="X158" s="23" t="str">
        <f aca="false">IF($C158="","",IF(AND($H158="",N($I158)=0,N($K158)=0),"Dòng chỉ lưu thông tin khách (chưa có đơn); ",IF($B158="","Thiếu ngày đặt; ","")&amp;IF($H158="","Thiếu tên sản phẩm; ",IF($J158="","Chưa khai GIÁ GỐC ở BẢNG GIÁ GỐC; ",""))&amp;IF(N($I158)&lt;=0,"Thiếu số lượng; ","")&amp;IF(N($K158)&lt;=0,"Thiếu giá bán; ","")&amp;IF(AND($N158&gt;0,$F158=""),"Khách lấy VAT thiếu mã số thuế; ","")&amp;IF(N($Q158)&gt;$P158,"Đã thu vượt tổng phải thu; ","")&amp;IF(AND($L158&gt;0,$U158&lt;&gt;"",$U158&lt;0),"CẢNH BÁO: ĐƠN NÀY ĐANG LỖ; ","")))</f>
        <v/>
      </c>
    </row>
    <row r="159" customFormat="false" ht="15" hidden="false" customHeight="false" outlineLevel="0" collapsed="false">
      <c r="A159" s="21" t="str">
        <f aca="false">IF($C159="","",COUNTA($C$10:$C159))</f>
        <v/>
      </c>
      <c r="B159" s="18"/>
      <c r="C159" s="11"/>
      <c r="D159" s="11"/>
      <c r="E159" s="11"/>
      <c r="F159" s="11"/>
      <c r="G159" s="11"/>
      <c r="H159" s="11"/>
      <c r="I159" s="12"/>
      <c r="J159" s="13" t="str">
        <f aca="false">IF($H159="","",IFERROR(VLOOKUP($H159,'BẢNG GIÁ GỐC'!$A$5:$D$254,3,FALSE()),""))</f>
        <v/>
      </c>
      <c r="K159" s="12"/>
      <c r="L159" s="13" t="str">
        <f aca="false">IF($C159="","",N($I159)*N($K159))</f>
        <v/>
      </c>
      <c r="M159" s="11"/>
      <c r="N159" s="14" t="str">
        <f aca="false">IF($C159="","",IF($M159="VAT 5%",0.05,IF($M159="VAT 8%",0.08,IF($M159="VAT 10%",0.1,0))))</f>
        <v/>
      </c>
      <c r="O159" s="13" t="str">
        <f aca="false">IF($C159="","",$L159*$N159)</f>
        <v/>
      </c>
      <c r="P159" s="13" t="str">
        <f aca="false">IF($C159="","",$L159+$O159)</f>
        <v/>
      </c>
      <c r="Q159" s="12"/>
      <c r="R159" s="13" t="str">
        <f aca="false">IF($C159="","",MAX(0,$P159-N($Q159)))</f>
        <v/>
      </c>
      <c r="S159" s="23" t="str">
        <f aca="false">IF(OR($C159="",$P159=0),"",IF(N($Q159)&lt;=0,"Chưa thanh toán",IF(N($Q159)&lt;$P159,"Thanh toán một phần","Đã thanh toán")))</f>
        <v/>
      </c>
      <c r="T159" s="13" t="str">
        <f aca="false">IF(OR($C159="",$J159=""),"",N($I159)*$J159)</f>
        <v/>
      </c>
      <c r="U159" s="13" t="str">
        <f aca="false">IF(OR($C159="",$T159=""),"",$L159-$T159)</f>
        <v/>
      </c>
      <c r="V159" s="14" t="str">
        <f aca="false">IF(OR($U159="",$L159=0),"",$U159/$L159)</f>
        <v/>
      </c>
      <c r="W159" s="11"/>
      <c r="X159" s="23" t="str">
        <f aca="false">IF($C159="","",IF(AND($H159="",N($I159)=0,N($K159)=0),"Dòng chỉ lưu thông tin khách (chưa có đơn); ",IF($B159="","Thiếu ngày đặt; ","")&amp;IF($H159="","Thiếu tên sản phẩm; ",IF($J159="","Chưa khai GIÁ GỐC ở BẢNG GIÁ GỐC; ",""))&amp;IF(N($I159)&lt;=0,"Thiếu số lượng; ","")&amp;IF(N($K159)&lt;=0,"Thiếu giá bán; ","")&amp;IF(AND($N159&gt;0,$F159=""),"Khách lấy VAT thiếu mã số thuế; ","")&amp;IF(N($Q159)&gt;$P159,"Đã thu vượt tổng phải thu; ","")&amp;IF(AND($L159&gt;0,$U159&lt;&gt;"",$U159&lt;0),"CẢNH BÁO: ĐƠN NÀY ĐANG LỖ; ","")))</f>
        <v/>
      </c>
    </row>
  </sheetData>
  <autoFilter ref="A9:X159"/>
  <mergeCells count="35">
    <mergeCell ref="A1:X1"/>
    <mergeCell ref="A2:X2"/>
    <mergeCell ref="A3:C3"/>
    <mergeCell ref="D3:E3"/>
    <mergeCell ref="F3:H3"/>
    <mergeCell ref="I3:K3"/>
    <mergeCell ref="L3:O3"/>
    <mergeCell ref="P3:R3"/>
    <mergeCell ref="Z3:AD3"/>
    <mergeCell ref="A4:C4"/>
    <mergeCell ref="D4:E4"/>
    <mergeCell ref="F4:H4"/>
    <mergeCell ref="I4:K4"/>
    <mergeCell ref="L4:O4"/>
    <mergeCell ref="P4:R4"/>
    <mergeCell ref="A5:C5"/>
    <mergeCell ref="D5:E5"/>
    <mergeCell ref="F5:H5"/>
    <mergeCell ref="I5:K5"/>
    <mergeCell ref="L5:O5"/>
    <mergeCell ref="P5:R5"/>
    <mergeCell ref="A6:C6"/>
    <mergeCell ref="D6:E6"/>
    <mergeCell ref="F6:H6"/>
    <mergeCell ref="I6:K6"/>
    <mergeCell ref="L6:O6"/>
    <mergeCell ref="P6:R6"/>
    <mergeCell ref="A7:C7"/>
    <mergeCell ref="D7:E7"/>
    <mergeCell ref="F7:H7"/>
    <mergeCell ref="I7:K7"/>
    <mergeCell ref="L7:O7"/>
    <mergeCell ref="P7:R7"/>
    <mergeCell ref="A8:X8"/>
    <mergeCell ref="Z25:AB25"/>
  </mergeCells>
  <conditionalFormatting sqref="R10:R159">
    <cfRule type="cellIs" priority="2" operator="greaterThan" aboveAverage="0" equalAverage="0" bottom="0" percent="0" rank="0" text="" dxfId="8">
      <formula>0</formula>
    </cfRule>
  </conditionalFormatting>
  <conditionalFormatting sqref="U10:U159">
    <cfRule type="cellIs" priority="3" operator="lessThan" aboveAverage="0" equalAverage="0" bottom="0" percent="0" rank="0" text="" dxfId="8">
      <formula>0</formula>
    </cfRule>
  </conditionalFormatting>
  <conditionalFormatting sqref="X10:X159">
    <cfRule type="expression" priority="4" aboveAverage="0" equalAverage="0" bottom="0" percent="0" rank="0" text="" dxfId="13">
      <formula>LEN($X10)&gt;0</formula>
    </cfRule>
  </conditionalFormatting>
  <conditionalFormatting sqref="S10:S159">
    <cfRule type="expression" priority="5" aboveAverage="0" equalAverage="0" bottom="0" percent="0" rank="0" text="" dxfId="14">
      <formula>$S10="Đã thanh toán"</formula>
    </cfRule>
  </conditionalFormatting>
  <dataValidations count="5">
    <dataValidation allowBlank="true" error="Hãy chọn sản phẩm có trong sheet BẢNG GIÁ GỐC, hoặc thêm sản phẩm đó vào BẢNG GIÁ GỐC trước." errorStyle="stop" errorTitle="Sản phẩm chưa có trong bảng giá" operator="between" showDropDown="false" showErrorMessage="false" showInputMessage="false" sqref="H10:H159" type="list">
      <formula1>DS_SANPHAM</formula1>
      <formula2>0</formula2>
    </dataValidation>
    <dataValidation allowBlank="true" errorStyle="stop" operator="between" showDropDown="false" showErrorMessage="false" showInputMessage="false" sqref="M10:M159" type="list">
      <formula1>"Không lấy VAT,VAT 5%,VAT 8%,VAT 10%"</formula1>
      <formula2>0</formula2>
    </dataValidation>
    <dataValidation allowBlank="true" errorStyle="stop" operator="between" showDropDown="false" showErrorMessage="false" showInputMessage="false" sqref="AA5:AA24" type="list">
      <formula1>"Tiền ship,Nguyên vật liệu,Nhân công,Quảng cáo,Thuê kho bãi,Điện nước,Đổi trả - bồi thường,Chi phí khác"</formula1>
      <formula2>0</formula2>
    </dataValidation>
    <dataValidation allowBlank="true" error="Chỉ nhập số, không nhập chữ và không nhập số âm." errorStyle="stop" errorTitle="Số không hợp lệ" operator="greaterThanOrEqual" showDropDown="false" showErrorMessage="false" showInputMessage="false" sqref="AC5:AC24 I10:I159 K10:K159 Q10:Q159" type="decimal">
      <formula1>0</formula1>
      <formula2>0</formula2>
    </dataValidation>
    <dataValidation allowBlank="true" errorStyle="stop" operator="between" showDropDown="false" showErrorMessage="false" showInputMessage="false" sqref="Z5:Z24 B10:B159" type="date">
      <formula1>DATE(2020,1,1)</formula1>
      <formula2>DATE(2100,12,31)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D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0"/>
    <col collapsed="false" customWidth="true" hidden="false" outlineLevel="0" max="4" min="4" style="0" width="14"/>
    <col collapsed="false" customWidth="true" hidden="false" outlineLevel="0" max="5" min="5" style="0" width="30"/>
    <col collapsed="false" customWidth="true" hidden="false" outlineLevel="0" max="6" min="6" style="0" width="16"/>
    <col collapsed="false" customWidth="true" hidden="false" outlineLevel="0" max="8" min="7" style="0" width="34"/>
    <col collapsed="false" customWidth="true" hidden="false" outlineLevel="0" max="9" min="9" style="0" width="10"/>
    <col collapsed="false" customWidth="true" hidden="false" outlineLevel="0" max="10" min="10" style="0" width="14"/>
    <col collapsed="false" customWidth="true" hidden="false" outlineLevel="0" max="13" min="11" style="0" width="15"/>
    <col collapsed="false" customWidth="true" hidden="false" outlineLevel="0" max="14" min="14" style="0" width="10"/>
    <col collapsed="false" customWidth="true" hidden="false" outlineLevel="0" max="15" min="15" style="0" width="13"/>
    <col collapsed="false" customWidth="true" hidden="false" outlineLevel="0" max="17" min="16" style="0" width="16"/>
    <col collapsed="false" customWidth="true" hidden="false" outlineLevel="0" max="18" min="18" style="0" width="14"/>
    <col collapsed="false" customWidth="true" hidden="false" outlineLevel="0" max="19" min="19" style="0" width="18"/>
    <col collapsed="false" customWidth="true" hidden="false" outlineLevel="0" max="21" min="20" style="0" width="14"/>
    <col collapsed="false" customWidth="true" hidden="false" outlineLevel="0" max="22" min="22" style="0" width="9"/>
    <col collapsed="false" customWidth="true" hidden="false" outlineLevel="0" max="23" min="23" style="0" width="28"/>
    <col collapsed="false" customWidth="true" hidden="false" outlineLevel="0" max="24" min="24" style="0" width="38"/>
    <col collapsed="false" customWidth="true" hidden="false" outlineLevel="0" max="26" min="26" style="0" width="12"/>
    <col collapsed="false" customWidth="true" hidden="false" outlineLevel="0" max="27" min="27" style="0" width="22"/>
    <col collapsed="false" customWidth="true" hidden="false" outlineLevel="0" max="28" min="28" style="0" width="34"/>
    <col collapsed="false" customWidth="true" hidden="false" outlineLevel="0" max="29" min="29" style="0" width="16"/>
    <col collapsed="false" customWidth="true" hidden="false" outlineLevel="0" max="30" min="30" style="0" width="28"/>
  </cols>
  <sheetData>
    <row r="1" customFormat="false" ht="27.75" hidden="false" customHeight="true" outlineLevel="0" collapsed="false">
      <c r="A1" s="1" t="s">
        <v>412</v>
      </c>
      <c r="B1" s="1"/>
      <c r="C1" s="1"/>
      <c r="D1" s="1"/>
      <c r="E1" s="1"/>
      <c r="F1" s="1"/>
      <c r="G1" s="1"/>
      <c r="H1" s="1"/>
      <c r="I1" s="1"/>
      <c r="J1" s="1"/>
      <c r="K1" s="1"/>
      <c r="L1" s="1"/>
      <c r="M1" s="1"/>
      <c r="N1" s="1"/>
      <c r="O1" s="1"/>
      <c r="P1" s="1"/>
      <c r="Q1" s="1"/>
      <c r="R1" s="1"/>
      <c r="S1" s="1"/>
      <c r="T1" s="1"/>
      <c r="U1" s="1"/>
      <c r="V1" s="1"/>
      <c r="W1" s="1"/>
      <c r="X1" s="1"/>
    </row>
    <row r="2" customFormat="false" ht="18.75" hidden="false" customHeight="true" outlineLevel="0" collapsed="false">
      <c r="A2" s="2" t="s">
        <v>117</v>
      </c>
      <c r="B2" s="2"/>
      <c r="C2" s="2"/>
      <c r="D2" s="2"/>
      <c r="E2" s="2"/>
      <c r="F2" s="2"/>
      <c r="G2" s="2"/>
      <c r="H2" s="2"/>
      <c r="I2" s="2"/>
      <c r="J2" s="2"/>
      <c r="K2" s="2"/>
      <c r="L2" s="2"/>
      <c r="M2" s="2"/>
      <c r="N2" s="2"/>
      <c r="O2" s="2"/>
      <c r="P2" s="2"/>
      <c r="Q2" s="2"/>
      <c r="R2" s="2"/>
      <c r="S2" s="2"/>
      <c r="T2" s="2"/>
      <c r="U2" s="2"/>
      <c r="V2" s="2"/>
      <c r="W2" s="2"/>
      <c r="X2" s="2"/>
    </row>
    <row r="3" customFormat="false" ht="19.5" hidden="false" customHeight="true" outlineLevel="0" collapsed="false">
      <c r="A3" s="15" t="s">
        <v>118</v>
      </c>
      <c r="B3" s="15"/>
      <c r="C3" s="15"/>
      <c r="D3" s="16" t="n">
        <f aca="false">COUNTIFS($C$10:$C$159,"?*",$L$10:$L$159,"&gt;0")</f>
        <v>0</v>
      </c>
      <c r="E3" s="16"/>
      <c r="F3" s="15" t="s">
        <v>119</v>
      </c>
      <c r="G3" s="15"/>
      <c r="H3" s="15"/>
      <c r="I3" s="16" t="n">
        <f aca="false">SUM($L$10:$L$159)</f>
        <v>0</v>
      </c>
      <c r="J3" s="16"/>
      <c r="K3" s="16"/>
      <c r="L3" s="15" t="s">
        <v>120</v>
      </c>
      <c r="M3" s="15"/>
      <c r="N3" s="15"/>
      <c r="O3" s="15"/>
      <c r="P3" s="16" t="n">
        <f aca="false">SUM($T$10:$T$159)</f>
        <v>0</v>
      </c>
      <c r="Q3" s="16"/>
      <c r="R3" s="16"/>
      <c r="Z3" s="17" t="s">
        <v>413</v>
      </c>
      <c r="AA3" s="17"/>
      <c r="AB3" s="17"/>
      <c r="AC3" s="17"/>
      <c r="AD3" s="17"/>
    </row>
    <row r="4" customFormat="false" ht="19.5" hidden="false" customHeight="true" outlineLevel="0" collapsed="false">
      <c r="A4" s="15" t="s">
        <v>122</v>
      </c>
      <c r="B4" s="15"/>
      <c r="C4" s="15"/>
      <c r="D4" s="16" t="n">
        <f aca="false">IF(COUNTA($C$10:$C$159)=0,0,SUMPRODUCT(($C$10:$C$159&lt;&gt;"")/COUNTIF($C$10:$C$159,$C$10:$C$159&amp;"")))</f>
        <v>0</v>
      </c>
      <c r="E4" s="16"/>
      <c r="F4" s="15" t="s">
        <v>123</v>
      </c>
      <c r="G4" s="15"/>
      <c r="H4" s="15"/>
      <c r="I4" s="16" t="n">
        <f aca="false">SUM($O$10:$O$159)</f>
        <v>0</v>
      </c>
      <c r="J4" s="16"/>
      <c r="K4" s="16"/>
      <c r="L4" s="15" t="s">
        <v>124</v>
      </c>
      <c r="M4" s="15"/>
      <c r="N4" s="15"/>
      <c r="O4" s="15"/>
      <c r="P4" s="16" t="n">
        <f aca="false">SUM($AC$5:$AC$24)</f>
        <v>0</v>
      </c>
      <c r="Q4" s="16"/>
      <c r="R4" s="16"/>
      <c r="Z4" s="9" t="s">
        <v>125</v>
      </c>
      <c r="AA4" s="9" t="s">
        <v>126</v>
      </c>
      <c r="AB4" s="9" t="s">
        <v>127</v>
      </c>
      <c r="AC4" s="9" t="s">
        <v>128</v>
      </c>
      <c r="AD4" s="9" t="s">
        <v>65</v>
      </c>
    </row>
    <row r="5" customFormat="false" ht="19.5" hidden="false" customHeight="true" outlineLevel="0" collapsed="false">
      <c r="A5" s="15" t="s">
        <v>129</v>
      </c>
      <c r="B5" s="15"/>
      <c r="C5" s="15"/>
      <c r="D5" s="16" t="n">
        <f aca="false">COUNTIFS($P$10:$P$159,"&gt;0",$R$10:$R$159,"&lt;=0")</f>
        <v>0</v>
      </c>
      <c r="E5" s="16"/>
      <c r="F5" s="15" t="s">
        <v>130</v>
      </c>
      <c r="G5" s="15"/>
      <c r="H5" s="15"/>
      <c r="I5" s="16" t="n">
        <f aca="false">SUM($P$10:$P$159)</f>
        <v>0</v>
      </c>
      <c r="J5" s="16"/>
      <c r="K5" s="16"/>
      <c r="L5" s="15" t="s">
        <v>131</v>
      </c>
      <c r="M5" s="15"/>
      <c r="N5" s="15"/>
      <c r="O5" s="15"/>
      <c r="P5" s="16" t="n">
        <f aca="false">$P3+$P4</f>
        <v>0</v>
      </c>
      <c r="Q5" s="16"/>
      <c r="R5" s="16"/>
      <c r="Z5" s="18"/>
      <c r="AA5" s="11"/>
      <c r="AB5" s="11"/>
      <c r="AC5" s="12"/>
      <c r="AD5" s="11"/>
    </row>
    <row r="6" customFormat="false" ht="19.5" hidden="false" customHeight="true" outlineLevel="0" collapsed="false">
      <c r="A6" s="15" t="s">
        <v>132</v>
      </c>
      <c r="B6" s="15"/>
      <c r="C6" s="15"/>
      <c r="D6" s="16" t="n">
        <f aca="false">COUNTIF($R$10:$R$159,"&gt;0")</f>
        <v>0</v>
      </c>
      <c r="E6" s="16"/>
      <c r="F6" s="15" t="s">
        <v>133</v>
      </c>
      <c r="G6" s="15"/>
      <c r="H6" s="15"/>
      <c r="I6" s="16" t="n">
        <f aca="false">SUM($Q$10:$Q$159)</f>
        <v>0</v>
      </c>
      <c r="J6" s="16"/>
      <c r="K6" s="16"/>
      <c r="L6" s="15" t="s">
        <v>134</v>
      </c>
      <c r="M6" s="15"/>
      <c r="N6" s="15"/>
      <c r="O6" s="15"/>
      <c r="P6" s="16" t="n">
        <f aca="false">$I3-$P5</f>
        <v>0</v>
      </c>
      <c r="Q6" s="16"/>
      <c r="R6" s="16"/>
      <c r="Z6" s="18"/>
      <c r="AA6" s="11"/>
      <c r="AB6" s="11"/>
      <c r="AC6" s="12"/>
      <c r="AD6" s="11"/>
    </row>
    <row r="7" customFormat="false" ht="19.5" hidden="false" customHeight="true" outlineLevel="0" collapsed="false">
      <c r="A7" s="15" t="s">
        <v>135</v>
      </c>
      <c r="B7" s="15"/>
      <c r="C7" s="15"/>
      <c r="D7" s="19" t="str">
        <f aca="false">IF($I5=0,"",$I6/$I5)</f>
        <v/>
      </c>
      <c r="E7" s="19"/>
      <c r="F7" s="15" t="s">
        <v>136</v>
      </c>
      <c r="G7" s="15"/>
      <c r="H7" s="15"/>
      <c r="I7" s="16" t="n">
        <f aca="false">SUM($R$10:$R$159)</f>
        <v>0</v>
      </c>
      <c r="J7" s="16"/>
      <c r="K7" s="16"/>
      <c r="L7" s="15" t="s">
        <v>137</v>
      </c>
      <c r="M7" s="15"/>
      <c r="N7" s="15"/>
      <c r="O7" s="15"/>
      <c r="P7" s="19" t="str">
        <f aca="false">IF($I3=0,"",$P6/$I3)</f>
        <v/>
      </c>
      <c r="Q7" s="19"/>
      <c r="R7" s="19"/>
      <c r="Z7" s="18"/>
      <c r="AA7" s="11"/>
      <c r="AB7" s="11"/>
      <c r="AC7" s="12"/>
      <c r="AD7" s="11"/>
    </row>
    <row r="8" customFormat="false" ht="21.75" hidden="false" customHeight="true" outlineLevel="0" collapsed="false">
      <c r="A8" s="20" t="str">
        <f aca="false">IF(SUMPRODUCT(($H$10:$H$159&lt;&gt;"")*($J$10:$J$159=""))=0,"✔ Mọi đơn trong tháng đã có GIÁ GỐC – số liệu lãi lỗ đầy đủ.","⚠ CÓ "&amp;SUMPRODUCT(($H$10:$H$159&lt;&gt;"")*($J$10:$J$159=""))&amp;" ĐƠN CHƯA KHAI GIÁ GỐC → GIÁ VỐN và LÃI/LỖ của tháng CHƯA ĐỦ. Vào sheet BẢNG GIÁ GỐC điền cột GIÁ GỐC/SP.")</f>
        <v>✔ Mọi đơn trong tháng đã có GIÁ GỐC – số liệu lãi lỗ đầy đủ.</v>
      </c>
      <c r="B8" s="20"/>
      <c r="C8" s="20"/>
      <c r="D8" s="20"/>
      <c r="E8" s="20"/>
      <c r="F8" s="20"/>
      <c r="G8" s="20"/>
      <c r="H8" s="20"/>
      <c r="I8" s="20"/>
      <c r="J8" s="20"/>
      <c r="K8" s="20"/>
      <c r="L8" s="20"/>
      <c r="M8" s="20"/>
      <c r="N8" s="20"/>
      <c r="O8" s="20"/>
      <c r="P8" s="20"/>
      <c r="Q8" s="20"/>
      <c r="R8" s="20"/>
      <c r="S8" s="20"/>
      <c r="T8" s="20"/>
      <c r="U8" s="20"/>
      <c r="V8" s="20"/>
      <c r="W8" s="20"/>
      <c r="X8" s="20"/>
      <c r="Z8" s="18"/>
      <c r="AA8" s="11"/>
      <c r="AB8" s="11"/>
      <c r="AC8" s="12"/>
      <c r="AD8" s="11"/>
    </row>
    <row r="9" customFormat="false" ht="33.75" hidden="false" customHeight="true" outlineLevel="0" collapsed="false">
      <c r="A9" s="10" t="s">
        <v>138</v>
      </c>
      <c r="B9" s="9" t="s">
        <v>139</v>
      </c>
      <c r="C9" s="9" t="s">
        <v>140</v>
      </c>
      <c r="D9" s="9" t="s">
        <v>141</v>
      </c>
      <c r="E9" s="9" t="s">
        <v>142</v>
      </c>
      <c r="F9" s="9" t="s">
        <v>143</v>
      </c>
      <c r="G9" s="9" t="s">
        <v>144</v>
      </c>
      <c r="H9" s="9" t="s">
        <v>59</v>
      </c>
      <c r="I9" s="9" t="s">
        <v>145</v>
      </c>
      <c r="J9" s="10" t="s">
        <v>61</v>
      </c>
      <c r="K9" s="9" t="s">
        <v>146</v>
      </c>
      <c r="L9" s="10" t="s">
        <v>147</v>
      </c>
      <c r="M9" s="9" t="s">
        <v>148</v>
      </c>
      <c r="N9" s="10" t="s">
        <v>149</v>
      </c>
      <c r="O9" s="10" t="s">
        <v>123</v>
      </c>
      <c r="P9" s="10" t="s">
        <v>150</v>
      </c>
      <c r="Q9" s="9" t="s">
        <v>151</v>
      </c>
      <c r="R9" s="10" t="s">
        <v>152</v>
      </c>
      <c r="S9" s="10" t="s">
        <v>153</v>
      </c>
      <c r="T9" s="10" t="s">
        <v>154</v>
      </c>
      <c r="U9" s="10" t="s">
        <v>155</v>
      </c>
      <c r="V9" s="10" t="s">
        <v>156</v>
      </c>
      <c r="W9" s="9" t="s">
        <v>65</v>
      </c>
      <c r="X9" s="10" t="s">
        <v>157</v>
      </c>
      <c r="Z9" s="18"/>
      <c r="AA9" s="11"/>
      <c r="AB9" s="11"/>
      <c r="AC9" s="12"/>
      <c r="AD9" s="11"/>
    </row>
    <row r="10" customFormat="false" ht="15" hidden="false" customHeight="false" outlineLevel="0" collapsed="false">
      <c r="A10" s="21" t="str">
        <f aca="false">IF($C10="","",COUNTA($C$10:$C10))</f>
        <v/>
      </c>
      <c r="B10" s="18"/>
      <c r="C10" s="11"/>
      <c r="D10" s="11"/>
      <c r="E10" s="11"/>
      <c r="F10" s="11"/>
      <c r="G10" s="11"/>
      <c r="H10" s="11"/>
      <c r="I10" s="12"/>
      <c r="J10" s="13" t="str">
        <f aca="false">IF($H10="","",IFERROR(VLOOKUP($H10,'BẢNG GIÁ GỐC'!$A$5:$D$254,3,FALSE()),""))</f>
        <v/>
      </c>
      <c r="K10" s="12"/>
      <c r="L10" s="13" t="str">
        <f aca="false">IF($C10="","",N($I10)*N($K10))</f>
        <v/>
      </c>
      <c r="M10" s="11"/>
      <c r="N10" s="14" t="str">
        <f aca="false">IF($C10="","",IF($M10="VAT 5%",0.05,IF($M10="VAT 8%",0.08,IF($M10="VAT 10%",0.1,0))))</f>
        <v/>
      </c>
      <c r="O10" s="13" t="str">
        <f aca="false">IF($C10="","",$L10*$N10)</f>
        <v/>
      </c>
      <c r="P10" s="13" t="str">
        <f aca="false">IF($C10="","",$L10+$O10)</f>
        <v/>
      </c>
      <c r="Q10" s="12"/>
      <c r="R10" s="13" t="str">
        <f aca="false">IF($C10="","",MAX(0,$P10-N($Q10)))</f>
        <v/>
      </c>
      <c r="S10" s="23" t="str">
        <f aca="false">IF(OR($C10="",$P10=0),"",IF(N($Q10)&lt;=0,"Chưa thanh toán",IF(N($Q10)&lt;$P10,"Thanh toán một phần","Đã thanh toán")))</f>
        <v/>
      </c>
      <c r="T10" s="13" t="str">
        <f aca="false">IF(OR($C10="",$J10=""),"",N($I10)*$J10)</f>
        <v/>
      </c>
      <c r="U10" s="13" t="str">
        <f aca="false">IF(OR($C10="",$T10=""),"",$L10-$T10)</f>
        <v/>
      </c>
      <c r="V10" s="14" t="str">
        <f aca="false">IF(OR($U10="",$L10=0),"",$U10/$L10)</f>
        <v/>
      </c>
      <c r="W10" s="11"/>
      <c r="X10" s="23" t="str">
        <f aca="false">IF($C10="","",IF(AND($H10="",N($I10)=0,N($K10)=0),"Dòng chỉ lưu thông tin khách (chưa có đơn); ",IF($B10="","Thiếu ngày đặt; ","")&amp;IF($H10="","Thiếu tên sản phẩm; ",IF($J10="","Chưa khai GIÁ GỐC ở BẢNG GIÁ GỐC; ",""))&amp;IF(N($I10)&lt;=0,"Thiếu số lượng; ","")&amp;IF(N($K10)&lt;=0,"Thiếu giá bán; ","")&amp;IF(AND($N10&gt;0,$F10=""),"Khách lấy VAT thiếu mã số thuế; ","")&amp;IF(N($Q10)&gt;$P10,"Đã thu vượt tổng phải thu; ","")&amp;IF(AND($L10&gt;0,$U10&lt;&gt;"",$U10&lt;0),"CẢNH BÁO: ĐƠN NÀY ĐANG LỖ; ","")))</f>
        <v/>
      </c>
      <c r="Z10" s="18"/>
      <c r="AA10" s="11"/>
      <c r="AB10" s="11"/>
      <c r="AC10" s="12"/>
      <c r="AD10" s="11"/>
    </row>
    <row r="11" customFormat="false" ht="15" hidden="false" customHeight="false" outlineLevel="0" collapsed="false">
      <c r="A11" s="21" t="str">
        <f aca="false">IF($C11="","",COUNTA($C$10:$C11))</f>
        <v/>
      </c>
      <c r="B11" s="18"/>
      <c r="C11" s="11"/>
      <c r="D11" s="11"/>
      <c r="E11" s="11"/>
      <c r="F11" s="11"/>
      <c r="G11" s="11"/>
      <c r="H11" s="11"/>
      <c r="I11" s="12"/>
      <c r="J11" s="13" t="str">
        <f aca="false">IF($H11="","",IFERROR(VLOOKUP($H11,'BẢNG GIÁ GỐC'!$A$5:$D$254,3,FALSE()),""))</f>
        <v/>
      </c>
      <c r="K11" s="12"/>
      <c r="L11" s="13" t="str">
        <f aca="false">IF($C11="","",N($I11)*N($K11))</f>
        <v/>
      </c>
      <c r="M11" s="11"/>
      <c r="N11" s="14" t="str">
        <f aca="false">IF($C11="","",IF($M11="VAT 5%",0.05,IF($M11="VAT 8%",0.08,IF($M11="VAT 10%",0.1,0))))</f>
        <v/>
      </c>
      <c r="O11" s="13" t="str">
        <f aca="false">IF($C11="","",$L11*$N11)</f>
        <v/>
      </c>
      <c r="P11" s="13" t="str">
        <f aca="false">IF($C11="","",$L11+$O11)</f>
        <v/>
      </c>
      <c r="Q11" s="12"/>
      <c r="R11" s="13" t="str">
        <f aca="false">IF($C11="","",MAX(0,$P11-N($Q11)))</f>
        <v/>
      </c>
      <c r="S11" s="23" t="str">
        <f aca="false">IF(OR($C11="",$P11=0),"",IF(N($Q11)&lt;=0,"Chưa thanh toán",IF(N($Q11)&lt;$P11,"Thanh toán một phần","Đã thanh toán")))</f>
        <v/>
      </c>
      <c r="T11" s="13" t="str">
        <f aca="false">IF(OR($C11="",$J11=""),"",N($I11)*$J11)</f>
        <v/>
      </c>
      <c r="U11" s="13" t="str">
        <f aca="false">IF(OR($C11="",$T11=""),"",$L11-$T11)</f>
        <v/>
      </c>
      <c r="V11" s="14" t="str">
        <f aca="false">IF(OR($U11="",$L11=0),"",$U11/$L11)</f>
        <v/>
      </c>
      <c r="W11" s="11"/>
      <c r="X11" s="23" t="str">
        <f aca="false">IF($C11="","",IF(AND($H11="",N($I11)=0,N($K11)=0),"Dòng chỉ lưu thông tin khách (chưa có đơn); ",IF($B11="","Thiếu ngày đặt; ","")&amp;IF($H11="","Thiếu tên sản phẩm; ",IF($J11="","Chưa khai GIÁ GỐC ở BẢNG GIÁ GỐC; ",""))&amp;IF(N($I11)&lt;=0,"Thiếu số lượng; ","")&amp;IF(N($K11)&lt;=0,"Thiếu giá bán; ","")&amp;IF(AND($N11&gt;0,$F11=""),"Khách lấy VAT thiếu mã số thuế; ","")&amp;IF(N($Q11)&gt;$P11,"Đã thu vượt tổng phải thu; ","")&amp;IF(AND($L11&gt;0,$U11&lt;&gt;"",$U11&lt;0),"CẢNH BÁO: ĐƠN NÀY ĐANG LỖ; ","")))</f>
        <v/>
      </c>
      <c r="Z11" s="18"/>
      <c r="AA11" s="11"/>
      <c r="AB11" s="11"/>
      <c r="AC11" s="12"/>
      <c r="AD11" s="11"/>
    </row>
    <row r="12" customFormat="false" ht="15" hidden="false" customHeight="false" outlineLevel="0" collapsed="false">
      <c r="A12" s="21" t="str">
        <f aca="false">IF($C12="","",COUNTA($C$10:$C12))</f>
        <v/>
      </c>
      <c r="B12" s="18"/>
      <c r="C12" s="11"/>
      <c r="D12" s="11"/>
      <c r="E12" s="11"/>
      <c r="F12" s="11"/>
      <c r="G12" s="11"/>
      <c r="H12" s="11"/>
      <c r="I12" s="12"/>
      <c r="J12" s="13" t="str">
        <f aca="false">IF($H12="","",IFERROR(VLOOKUP($H12,'BẢNG GIÁ GỐC'!$A$5:$D$254,3,FALSE()),""))</f>
        <v/>
      </c>
      <c r="K12" s="12"/>
      <c r="L12" s="13" t="str">
        <f aca="false">IF($C12="","",N($I12)*N($K12))</f>
        <v/>
      </c>
      <c r="M12" s="11"/>
      <c r="N12" s="14" t="str">
        <f aca="false">IF($C12="","",IF($M12="VAT 5%",0.05,IF($M12="VAT 8%",0.08,IF($M12="VAT 10%",0.1,0))))</f>
        <v/>
      </c>
      <c r="O12" s="13" t="str">
        <f aca="false">IF($C12="","",$L12*$N12)</f>
        <v/>
      </c>
      <c r="P12" s="13" t="str">
        <f aca="false">IF($C12="","",$L12+$O12)</f>
        <v/>
      </c>
      <c r="Q12" s="12"/>
      <c r="R12" s="13" t="str">
        <f aca="false">IF($C12="","",MAX(0,$P12-N($Q12)))</f>
        <v/>
      </c>
      <c r="S12" s="23" t="str">
        <f aca="false">IF(OR($C12="",$P12=0),"",IF(N($Q12)&lt;=0,"Chưa thanh toán",IF(N($Q12)&lt;$P12,"Thanh toán một phần","Đã thanh toán")))</f>
        <v/>
      </c>
      <c r="T12" s="13" t="str">
        <f aca="false">IF(OR($C12="",$J12=""),"",N($I12)*$J12)</f>
        <v/>
      </c>
      <c r="U12" s="13" t="str">
        <f aca="false">IF(OR($C12="",$T12=""),"",$L12-$T12)</f>
        <v/>
      </c>
      <c r="V12" s="14" t="str">
        <f aca="false">IF(OR($U12="",$L12=0),"",$U12/$L12)</f>
        <v/>
      </c>
      <c r="W12" s="11"/>
      <c r="X12" s="23" t="str">
        <f aca="false">IF($C12="","",IF(AND($H12="",N($I12)=0,N($K12)=0),"Dòng chỉ lưu thông tin khách (chưa có đơn); ",IF($B12="","Thiếu ngày đặt; ","")&amp;IF($H12="","Thiếu tên sản phẩm; ",IF($J12="","Chưa khai GIÁ GỐC ở BẢNG GIÁ GỐC; ",""))&amp;IF(N($I12)&lt;=0,"Thiếu số lượng; ","")&amp;IF(N($K12)&lt;=0,"Thiếu giá bán; ","")&amp;IF(AND($N12&gt;0,$F12=""),"Khách lấy VAT thiếu mã số thuế; ","")&amp;IF(N($Q12)&gt;$P12,"Đã thu vượt tổng phải thu; ","")&amp;IF(AND($L12&gt;0,$U12&lt;&gt;"",$U12&lt;0),"CẢNH BÁO: ĐƠN NÀY ĐANG LỖ; ","")))</f>
        <v/>
      </c>
      <c r="Z12" s="18"/>
      <c r="AA12" s="11"/>
      <c r="AB12" s="11"/>
      <c r="AC12" s="12"/>
      <c r="AD12" s="11"/>
    </row>
    <row r="13" customFormat="false" ht="15" hidden="false" customHeight="false" outlineLevel="0" collapsed="false">
      <c r="A13" s="21" t="str">
        <f aca="false">IF($C13="","",COUNTA($C$10:$C13))</f>
        <v/>
      </c>
      <c r="B13" s="18"/>
      <c r="C13" s="11"/>
      <c r="D13" s="11"/>
      <c r="E13" s="11"/>
      <c r="F13" s="11"/>
      <c r="G13" s="11"/>
      <c r="H13" s="11"/>
      <c r="I13" s="12"/>
      <c r="J13" s="13" t="str">
        <f aca="false">IF($H13="","",IFERROR(VLOOKUP($H13,'BẢNG GIÁ GỐC'!$A$5:$D$254,3,FALSE()),""))</f>
        <v/>
      </c>
      <c r="K13" s="12"/>
      <c r="L13" s="13" t="str">
        <f aca="false">IF($C13="","",N($I13)*N($K13))</f>
        <v/>
      </c>
      <c r="M13" s="11"/>
      <c r="N13" s="14" t="str">
        <f aca="false">IF($C13="","",IF($M13="VAT 5%",0.05,IF($M13="VAT 8%",0.08,IF($M13="VAT 10%",0.1,0))))</f>
        <v/>
      </c>
      <c r="O13" s="13" t="str">
        <f aca="false">IF($C13="","",$L13*$N13)</f>
        <v/>
      </c>
      <c r="P13" s="13" t="str">
        <f aca="false">IF($C13="","",$L13+$O13)</f>
        <v/>
      </c>
      <c r="Q13" s="12"/>
      <c r="R13" s="13" t="str">
        <f aca="false">IF($C13="","",MAX(0,$P13-N($Q13)))</f>
        <v/>
      </c>
      <c r="S13" s="23" t="str">
        <f aca="false">IF(OR($C13="",$P13=0),"",IF(N($Q13)&lt;=0,"Chưa thanh toán",IF(N($Q13)&lt;$P13,"Thanh toán một phần","Đã thanh toán")))</f>
        <v/>
      </c>
      <c r="T13" s="13" t="str">
        <f aca="false">IF(OR($C13="",$J13=""),"",N($I13)*$J13)</f>
        <v/>
      </c>
      <c r="U13" s="13" t="str">
        <f aca="false">IF(OR($C13="",$T13=""),"",$L13-$T13)</f>
        <v/>
      </c>
      <c r="V13" s="14" t="str">
        <f aca="false">IF(OR($U13="",$L13=0),"",$U13/$L13)</f>
        <v/>
      </c>
      <c r="W13" s="11"/>
      <c r="X13" s="23" t="str">
        <f aca="false">IF($C13="","",IF(AND($H13="",N($I13)=0,N($K13)=0),"Dòng chỉ lưu thông tin khách (chưa có đơn); ",IF($B13="","Thiếu ngày đặt; ","")&amp;IF($H13="","Thiếu tên sản phẩm; ",IF($J13="","Chưa khai GIÁ GỐC ở BẢNG GIÁ GỐC; ",""))&amp;IF(N($I13)&lt;=0,"Thiếu số lượng; ","")&amp;IF(N($K13)&lt;=0,"Thiếu giá bán; ","")&amp;IF(AND($N13&gt;0,$F13=""),"Khách lấy VAT thiếu mã số thuế; ","")&amp;IF(N($Q13)&gt;$P13,"Đã thu vượt tổng phải thu; ","")&amp;IF(AND($L13&gt;0,$U13&lt;&gt;"",$U13&lt;0),"CẢNH BÁO: ĐƠN NÀY ĐANG LỖ; ","")))</f>
        <v/>
      </c>
      <c r="Z13" s="18"/>
      <c r="AA13" s="11"/>
      <c r="AB13" s="11"/>
      <c r="AC13" s="12"/>
      <c r="AD13" s="11"/>
    </row>
    <row r="14" customFormat="false" ht="15" hidden="false" customHeight="false" outlineLevel="0" collapsed="false">
      <c r="A14" s="21" t="str">
        <f aca="false">IF($C14="","",COUNTA($C$10:$C14))</f>
        <v/>
      </c>
      <c r="B14" s="18"/>
      <c r="C14" s="11"/>
      <c r="D14" s="11"/>
      <c r="E14" s="11"/>
      <c r="F14" s="11"/>
      <c r="G14" s="11"/>
      <c r="H14" s="11"/>
      <c r="I14" s="12"/>
      <c r="J14" s="13" t="str">
        <f aca="false">IF($H14="","",IFERROR(VLOOKUP($H14,'BẢNG GIÁ GỐC'!$A$5:$D$254,3,FALSE()),""))</f>
        <v/>
      </c>
      <c r="K14" s="12"/>
      <c r="L14" s="13" t="str">
        <f aca="false">IF($C14="","",N($I14)*N($K14))</f>
        <v/>
      </c>
      <c r="M14" s="11"/>
      <c r="N14" s="14" t="str">
        <f aca="false">IF($C14="","",IF($M14="VAT 5%",0.05,IF($M14="VAT 8%",0.08,IF($M14="VAT 10%",0.1,0))))</f>
        <v/>
      </c>
      <c r="O14" s="13" t="str">
        <f aca="false">IF($C14="","",$L14*$N14)</f>
        <v/>
      </c>
      <c r="P14" s="13" t="str">
        <f aca="false">IF($C14="","",$L14+$O14)</f>
        <v/>
      </c>
      <c r="Q14" s="12"/>
      <c r="R14" s="13" t="str">
        <f aca="false">IF($C14="","",MAX(0,$P14-N($Q14)))</f>
        <v/>
      </c>
      <c r="S14" s="23" t="str">
        <f aca="false">IF(OR($C14="",$P14=0),"",IF(N($Q14)&lt;=0,"Chưa thanh toán",IF(N($Q14)&lt;$P14,"Thanh toán một phần","Đã thanh toán")))</f>
        <v/>
      </c>
      <c r="T14" s="13" t="str">
        <f aca="false">IF(OR($C14="",$J14=""),"",N($I14)*$J14)</f>
        <v/>
      </c>
      <c r="U14" s="13" t="str">
        <f aca="false">IF(OR($C14="",$T14=""),"",$L14-$T14)</f>
        <v/>
      </c>
      <c r="V14" s="14" t="str">
        <f aca="false">IF(OR($U14="",$L14=0),"",$U14/$L14)</f>
        <v/>
      </c>
      <c r="W14" s="11"/>
      <c r="X14" s="23" t="str">
        <f aca="false">IF($C14="","",IF(AND($H14="",N($I14)=0,N($K14)=0),"Dòng chỉ lưu thông tin khách (chưa có đơn); ",IF($B14="","Thiếu ngày đặt; ","")&amp;IF($H14="","Thiếu tên sản phẩm; ",IF($J14="","Chưa khai GIÁ GỐC ở BẢNG GIÁ GỐC; ",""))&amp;IF(N($I14)&lt;=0,"Thiếu số lượng; ","")&amp;IF(N($K14)&lt;=0,"Thiếu giá bán; ","")&amp;IF(AND($N14&gt;0,$F14=""),"Khách lấy VAT thiếu mã số thuế; ","")&amp;IF(N($Q14)&gt;$P14,"Đã thu vượt tổng phải thu; ","")&amp;IF(AND($L14&gt;0,$U14&lt;&gt;"",$U14&lt;0),"CẢNH BÁO: ĐƠN NÀY ĐANG LỖ; ","")))</f>
        <v/>
      </c>
      <c r="Z14" s="18"/>
      <c r="AA14" s="11"/>
      <c r="AB14" s="11"/>
      <c r="AC14" s="12"/>
      <c r="AD14" s="11"/>
    </row>
    <row r="15" customFormat="false" ht="15" hidden="false" customHeight="false" outlineLevel="0" collapsed="false">
      <c r="A15" s="21" t="str">
        <f aca="false">IF($C15="","",COUNTA($C$10:$C15))</f>
        <v/>
      </c>
      <c r="B15" s="18"/>
      <c r="C15" s="11"/>
      <c r="D15" s="11"/>
      <c r="E15" s="11"/>
      <c r="F15" s="11"/>
      <c r="G15" s="11"/>
      <c r="H15" s="11"/>
      <c r="I15" s="12"/>
      <c r="J15" s="13" t="str">
        <f aca="false">IF($H15="","",IFERROR(VLOOKUP($H15,'BẢNG GIÁ GỐC'!$A$5:$D$254,3,FALSE()),""))</f>
        <v/>
      </c>
      <c r="K15" s="12"/>
      <c r="L15" s="13" t="str">
        <f aca="false">IF($C15="","",N($I15)*N($K15))</f>
        <v/>
      </c>
      <c r="M15" s="11"/>
      <c r="N15" s="14" t="str">
        <f aca="false">IF($C15="","",IF($M15="VAT 5%",0.05,IF($M15="VAT 8%",0.08,IF($M15="VAT 10%",0.1,0))))</f>
        <v/>
      </c>
      <c r="O15" s="13" t="str">
        <f aca="false">IF($C15="","",$L15*$N15)</f>
        <v/>
      </c>
      <c r="P15" s="13" t="str">
        <f aca="false">IF($C15="","",$L15+$O15)</f>
        <v/>
      </c>
      <c r="Q15" s="12"/>
      <c r="R15" s="13" t="str">
        <f aca="false">IF($C15="","",MAX(0,$P15-N($Q15)))</f>
        <v/>
      </c>
      <c r="S15" s="23" t="str">
        <f aca="false">IF(OR($C15="",$P15=0),"",IF(N($Q15)&lt;=0,"Chưa thanh toán",IF(N($Q15)&lt;$P15,"Thanh toán một phần","Đã thanh toán")))</f>
        <v/>
      </c>
      <c r="T15" s="13" t="str">
        <f aca="false">IF(OR($C15="",$J15=""),"",N($I15)*$J15)</f>
        <v/>
      </c>
      <c r="U15" s="13" t="str">
        <f aca="false">IF(OR($C15="",$T15=""),"",$L15-$T15)</f>
        <v/>
      </c>
      <c r="V15" s="14" t="str">
        <f aca="false">IF(OR($U15="",$L15=0),"",$U15/$L15)</f>
        <v/>
      </c>
      <c r="W15" s="11"/>
      <c r="X15" s="23" t="str">
        <f aca="false">IF($C15="","",IF(AND($H15="",N($I15)=0,N($K15)=0),"Dòng chỉ lưu thông tin khách (chưa có đơn); ",IF($B15="","Thiếu ngày đặt; ","")&amp;IF($H15="","Thiếu tên sản phẩm; ",IF($J15="","Chưa khai GIÁ GỐC ở BẢNG GIÁ GỐC; ",""))&amp;IF(N($I15)&lt;=0,"Thiếu số lượng; ","")&amp;IF(N($K15)&lt;=0,"Thiếu giá bán; ","")&amp;IF(AND($N15&gt;0,$F15=""),"Khách lấy VAT thiếu mã số thuế; ","")&amp;IF(N($Q15)&gt;$P15,"Đã thu vượt tổng phải thu; ","")&amp;IF(AND($L15&gt;0,$U15&lt;&gt;"",$U15&lt;0),"CẢNH BÁO: ĐƠN NÀY ĐANG LỖ; ","")))</f>
        <v/>
      </c>
      <c r="Z15" s="18"/>
      <c r="AA15" s="11"/>
      <c r="AB15" s="11"/>
      <c r="AC15" s="12"/>
      <c r="AD15" s="11"/>
    </row>
    <row r="16" customFormat="false" ht="15" hidden="false" customHeight="false" outlineLevel="0" collapsed="false">
      <c r="A16" s="21" t="str">
        <f aca="false">IF($C16="","",COUNTA($C$10:$C16))</f>
        <v/>
      </c>
      <c r="B16" s="18"/>
      <c r="C16" s="11"/>
      <c r="D16" s="11"/>
      <c r="E16" s="11"/>
      <c r="F16" s="11"/>
      <c r="G16" s="11"/>
      <c r="H16" s="11"/>
      <c r="I16" s="12"/>
      <c r="J16" s="13" t="str">
        <f aca="false">IF($H16="","",IFERROR(VLOOKUP($H16,'BẢNG GIÁ GỐC'!$A$5:$D$254,3,FALSE()),""))</f>
        <v/>
      </c>
      <c r="K16" s="12"/>
      <c r="L16" s="13" t="str">
        <f aca="false">IF($C16="","",N($I16)*N($K16))</f>
        <v/>
      </c>
      <c r="M16" s="11"/>
      <c r="N16" s="14" t="str">
        <f aca="false">IF($C16="","",IF($M16="VAT 5%",0.05,IF($M16="VAT 8%",0.08,IF($M16="VAT 10%",0.1,0))))</f>
        <v/>
      </c>
      <c r="O16" s="13" t="str">
        <f aca="false">IF($C16="","",$L16*$N16)</f>
        <v/>
      </c>
      <c r="P16" s="13" t="str">
        <f aca="false">IF($C16="","",$L16+$O16)</f>
        <v/>
      </c>
      <c r="Q16" s="12"/>
      <c r="R16" s="13" t="str">
        <f aca="false">IF($C16="","",MAX(0,$P16-N($Q16)))</f>
        <v/>
      </c>
      <c r="S16" s="23" t="str">
        <f aca="false">IF(OR($C16="",$P16=0),"",IF(N($Q16)&lt;=0,"Chưa thanh toán",IF(N($Q16)&lt;$P16,"Thanh toán một phần","Đã thanh toán")))</f>
        <v/>
      </c>
      <c r="T16" s="13" t="str">
        <f aca="false">IF(OR($C16="",$J16=""),"",N($I16)*$J16)</f>
        <v/>
      </c>
      <c r="U16" s="13" t="str">
        <f aca="false">IF(OR($C16="",$T16=""),"",$L16-$T16)</f>
        <v/>
      </c>
      <c r="V16" s="14" t="str">
        <f aca="false">IF(OR($U16="",$L16=0),"",$U16/$L16)</f>
        <v/>
      </c>
      <c r="W16" s="11"/>
      <c r="X16" s="23" t="str">
        <f aca="false">IF($C16="","",IF(AND($H16="",N($I16)=0,N($K16)=0),"Dòng chỉ lưu thông tin khách (chưa có đơn); ",IF($B16="","Thiếu ngày đặt; ","")&amp;IF($H16="","Thiếu tên sản phẩm; ",IF($J16="","Chưa khai GIÁ GỐC ở BẢNG GIÁ GỐC; ",""))&amp;IF(N($I16)&lt;=0,"Thiếu số lượng; ","")&amp;IF(N($K16)&lt;=0,"Thiếu giá bán; ","")&amp;IF(AND($N16&gt;0,$F16=""),"Khách lấy VAT thiếu mã số thuế; ","")&amp;IF(N($Q16)&gt;$P16,"Đã thu vượt tổng phải thu; ","")&amp;IF(AND($L16&gt;0,$U16&lt;&gt;"",$U16&lt;0),"CẢNH BÁO: ĐƠN NÀY ĐANG LỖ; ","")))</f>
        <v/>
      </c>
      <c r="Z16" s="18"/>
      <c r="AA16" s="11"/>
      <c r="AB16" s="11"/>
      <c r="AC16" s="12"/>
      <c r="AD16" s="11"/>
    </row>
    <row r="17" customFormat="false" ht="15" hidden="false" customHeight="false" outlineLevel="0" collapsed="false">
      <c r="A17" s="21" t="str">
        <f aca="false">IF($C17="","",COUNTA($C$10:$C17))</f>
        <v/>
      </c>
      <c r="B17" s="18"/>
      <c r="C17" s="11"/>
      <c r="D17" s="11"/>
      <c r="E17" s="11"/>
      <c r="F17" s="11"/>
      <c r="G17" s="11"/>
      <c r="H17" s="11"/>
      <c r="I17" s="12"/>
      <c r="J17" s="13" t="str">
        <f aca="false">IF($H17="","",IFERROR(VLOOKUP($H17,'BẢNG GIÁ GỐC'!$A$5:$D$254,3,FALSE()),""))</f>
        <v/>
      </c>
      <c r="K17" s="12"/>
      <c r="L17" s="13" t="str">
        <f aca="false">IF($C17="","",N($I17)*N($K17))</f>
        <v/>
      </c>
      <c r="M17" s="11"/>
      <c r="N17" s="14" t="str">
        <f aca="false">IF($C17="","",IF($M17="VAT 5%",0.05,IF($M17="VAT 8%",0.08,IF($M17="VAT 10%",0.1,0))))</f>
        <v/>
      </c>
      <c r="O17" s="13" t="str">
        <f aca="false">IF($C17="","",$L17*$N17)</f>
        <v/>
      </c>
      <c r="P17" s="13" t="str">
        <f aca="false">IF($C17="","",$L17+$O17)</f>
        <v/>
      </c>
      <c r="Q17" s="12"/>
      <c r="R17" s="13" t="str">
        <f aca="false">IF($C17="","",MAX(0,$P17-N($Q17)))</f>
        <v/>
      </c>
      <c r="S17" s="23" t="str">
        <f aca="false">IF(OR($C17="",$P17=0),"",IF(N($Q17)&lt;=0,"Chưa thanh toán",IF(N($Q17)&lt;$P17,"Thanh toán một phần","Đã thanh toán")))</f>
        <v/>
      </c>
      <c r="T17" s="13" t="str">
        <f aca="false">IF(OR($C17="",$J17=""),"",N($I17)*$J17)</f>
        <v/>
      </c>
      <c r="U17" s="13" t="str">
        <f aca="false">IF(OR($C17="",$T17=""),"",$L17-$T17)</f>
        <v/>
      </c>
      <c r="V17" s="14" t="str">
        <f aca="false">IF(OR($U17="",$L17=0),"",$U17/$L17)</f>
        <v/>
      </c>
      <c r="W17" s="11"/>
      <c r="X17" s="23" t="str">
        <f aca="false">IF($C17="","",IF(AND($H17="",N($I17)=0,N($K17)=0),"Dòng chỉ lưu thông tin khách (chưa có đơn); ",IF($B17="","Thiếu ngày đặt; ","")&amp;IF($H17="","Thiếu tên sản phẩm; ",IF($J17="","Chưa khai GIÁ GỐC ở BẢNG GIÁ GỐC; ",""))&amp;IF(N($I17)&lt;=0,"Thiếu số lượng; ","")&amp;IF(N($K17)&lt;=0,"Thiếu giá bán; ","")&amp;IF(AND($N17&gt;0,$F17=""),"Khách lấy VAT thiếu mã số thuế; ","")&amp;IF(N($Q17)&gt;$P17,"Đã thu vượt tổng phải thu; ","")&amp;IF(AND($L17&gt;0,$U17&lt;&gt;"",$U17&lt;0),"CẢNH BÁO: ĐƠN NÀY ĐANG LỖ; ","")))</f>
        <v/>
      </c>
      <c r="Z17" s="18"/>
      <c r="AA17" s="11"/>
      <c r="AB17" s="11"/>
      <c r="AC17" s="12"/>
      <c r="AD17" s="11"/>
    </row>
    <row r="18" customFormat="false" ht="15" hidden="false" customHeight="false" outlineLevel="0" collapsed="false">
      <c r="A18" s="21" t="str">
        <f aca="false">IF($C18="","",COUNTA($C$10:$C18))</f>
        <v/>
      </c>
      <c r="B18" s="18"/>
      <c r="C18" s="11"/>
      <c r="D18" s="11"/>
      <c r="E18" s="11"/>
      <c r="F18" s="11"/>
      <c r="G18" s="11"/>
      <c r="H18" s="11"/>
      <c r="I18" s="12"/>
      <c r="J18" s="13" t="str">
        <f aca="false">IF($H18="","",IFERROR(VLOOKUP($H18,'BẢNG GIÁ GỐC'!$A$5:$D$254,3,FALSE()),""))</f>
        <v/>
      </c>
      <c r="K18" s="12"/>
      <c r="L18" s="13" t="str">
        <f aca="false">IF($C18="","",N($I18)*N($K18))</f>
        <v/>
      </c>
      <c r="M18" s="11"/>
      <c r="N18" s="14" t="str">
        <f aca="false">IF($C18="","",IF($M18="VAT 5%",0.05,IF($M18="VAT 8%",0.08,IF($M18="VAT 10%",0.1,0))))</f>
        <v/>
      </c>
      <c r="O18" s="13" t="str">
        <f aca="false">IF($C18="","",$L18*$N18)</f>
        <v/>
      </c>
      <c r="P18" s="13" t="str">
        <f aca="false">IF($C18="","",$L18+$O18)</f>
        <v/>
      </c>
      <c r="Q18" s="12"/>
      <c r="R18" s="13" t="str">
        <f aca="false">IF($C18="","",MAX(0,$P18-N($Q18)))</f>
        <v/>
      </c>
      <c r="S18" s="23" t="str">
        <f aca="false">IF(OR($C18="",$P18=0),"",IF(N($Q18)&lt;=0,"Chưa thanh toán",IF(N($Q18)&lt;$P18,"Thanh toán một phần","Đã thanh toán")))</f>
        <v/>
      </c>
      <c r="T18" s="13" t="str">
        <f aca="false">IF(OR($C18="",$J18=""),"",N($I18)*$J18)</f>
        <v/>
      </c>
      <c r="U18" s="13" t="str">
        <f aca="false">IF(OR($C18="",$T18=""),"",$L18-$T18)</f>
        <v/>
      </c>
      <c r="V18" s="14" t="str">
        <f aca="false">IF(OR($U18="",$L18=0),"",$U18/$L18)</f>
        <v/>
      </c>
      <c r="W18" s="11"/>
      <c r="X18" s="23" t="str">
        <f aca="false">IF($C18="","",IF(AND($H18="",N($I18)=0,N($K18)=0),"Dòng chỉ lưu thông tin khách (chưa có đơn); ",IF($B18="","Thiếu ngày đặt; ","")&amp;IF($H18="","Thiếu tên sản phẩm; ",IF($J18="","Chưa khai GIÁ GỐC ở BẢNG GIÁ GỐC; ",""))&amp;IF(N($I18)&lt;=0,"Thiếu số lượng; ","")&amp;IF(N($K18)&lt;=0,"Thiếu giá bán; ","")&amp;IF(AND($N18&gt;0,$F18=""),"Khách lấy VAT thiếu mã số thuế; ","")&amp;IF(N($Q18)&gt;$P18,"Đã thu vượt tổng phải thu; ","")&amp;IF(AND($L18&gt;0,$U18&lt;&gt;"",$U18&lt;0),"CẢNH BÁO: ĐƠN NÀY ĐANG LỖ; ","")))</f>
        <v/>
      </c>
      <c r="Z18" s="18"/>
      <c r="AA18" s="11"/>
      <c r="AB18" s="11"/>
      <c r="AC18" s="12"/>
      <c r="AD18" s="11"/>
    </row>
    <row r="19" customFormat="false" ht="15" hidden="false" customHeight="false" outlineLevel="0" collapsed="false">
      <c r="A19" s="21" t="str">
        <f aca="false">IF($C19="","",COUNTA($C$10:$C19))</f>
        <v/>
      </c>
      <c r="B19" s="18"/>
      <c r="C19" s="11"/>
      <c r="D19" s="11"/>
      <c r="E19" s="11"/>
      <c r="F19" s="11"/>
      <c r="G19" s="11"/>
      <c r="H19" s="11"/>
      <c r="I19" s="12"/>
      <c r="J19" s="13" t="str">
        <f aca="false">IF($H19="","",IFERROR(VLOOKUP($H19,'BẢNG GIÁ GỐC'!$A$5:$D$254,3,FALSE()),""))</f>
        <v/>
      </c>
      <c r="K19" s="12"/>
      <c r="L19" s="13" t="str">
        <f aca="false">IF($C19="","",N($I19)*N($K19))</f>
        <v/>
      </c>
      <c r="M19" s="11"/>
      <c r="N19" s="14" t="str">
        <f aca="false">IF($C19="","",IF($M19="VAT 5%",0.05,IF($M19="VAT 8%",0.08,IF($M19="VAT 10%",0.1,0))))</f>
        <v/>
      </c>
      <c r="O19" s="13" t="str">
        <f aca="false">IF($C19="","",$L19*$N19)</f>
        <v/>
      </c>
      <c r="P19" s="13" t="str">
        <f aca="false">IF($C19="","",$L19+$O19)</f>
        <v/>
      </c>
      <c r="Q19" s="12"/>
      <c r="R19" s="13" t="str">
        <f aca="false">IF($C19="","",MAX(0,$P19-N($Q19)))</f>
        <v/>
      </c>
      <c r="S19" s="23" t="str">
        <f aca="false">IF(OR($C19="",$P19=0),"",IF(N($Q19)&lt;=0,"Chưa thanh toán",IF(N($Q19)&lt;$P19,"Thanh toán một phần","Đã thanh toán")))</f>
        <v/>
      </c>
      <c r="T19" s="13" t="str">
        <f aca="false">IF(OR($C19="",$J19=""),"",N($I19)*$J19)</f>
        <v/>
      </c>
      <c r="U19" s="13" t="str">
        <f aca="false">IF(OR($C19="",$T19=""),"",$L19-$T19)</f>
        <v/>
      </c>
      <c r="V19" s="14" t="str">
        <f aca="false">IF(OR($U19="",$L19=0),"",$U19/$L19)</f>
        <v/>
      </c>
      <c r="W19" s="11"/>
      <c r="X19" s="23" t="str">
        <f aca="false">IF($C19="","",IF(AND($H19="",N($I19)=0,N($K19)=0),"Dòng chỉ lưu thông tin khách (chưa có đơn); ",IF($B19="","Thiếu ngày đặt; ","")&amp;IF($H19="","Thiếu tên sản phẩm; ",IF($J19="","Chưa khai GIÁ GỐC ở BẢNG GIÁ GỐC; ",""))&amp;IF(N($I19)&lt;=0,"Thiếu số lượng; ","")&amp;IF(N($K19)&lt;=0,"Thiếu giá bán; ","")&amp;IF(AND($N19&gt;0,$F19=""),"Khách lấy VAT thiếu mã số thuế; ","")&amp;IF(N($Q19)&gt;$P19,"Đã thu vượt tổng phải thu; ","")&amp;IF(AND($L19&gt;0,$U19&lt;&gt;"",$U19&lt;0),"CẢNH BÁO: ĐƠN NÀY ĐANG LỖ; ","")))</f>
        <v/>
      </c>
      <c r="Z19" s="18"/>
      <c r="AA19" s="11"/>
      <c r="AB19" s="11"/>
      <c r="AC19" s="12"/>
      <c r="AD19" s="11"/>
    </row>
    <row r="20" customFormat="false" ht="15" hidden="false" customHeight="false" outlineLevel="0" collapsed="false">
      <c r="A20" s="21" t="str">
        <f aca="false">IF($C20="","",COUNTA($C$10:$C20))</f>
        <v/>
      </c>
      <c r="B20" s="18"/>
      <c r="C20" s="11"/>
      <c r="D20" s="11"/>
      <c r="E20" s="11"/>
      <c r="F20" s="11"/>
      <c r="G20" s="11"/>
      <c r="H20" s="11"/>
      <c r="I20" s="12"/>
      <c r="J20" s="13" t="str">
        <f aca="false">IF($H20="","",IFERROR(VLOOKUP($H20,'BẢNG GIÁ GỐC'!$A$5:$D$254,3,FALSE()),""))</f>
        <v/>
      </c>
      <c r="K20" s="12"/>
      <c r="L20" s="13" t="str">
        <f aca="false">IF($C20="","",N($I20)*N($K20))</f>
        <v/>
      </c>
      <c r="M20" s="11"/>
      <c r="N20" s="14" t="str">
        <f aca="false">IF($C20="","",IF($M20="VAT 5%",0.05,IF($M20="VAT 8%",0.08,IF($M20="VAT 10%",0.1,0))))</f>
        <v/>
      </c>
      <c r="O20" s="13" t="str">
        <f aca="false">IF($C20="","",$L20*$N20)</f>
        <v/>
      </c>
      <c r="P20" s="13" t="str">
        <f aca="false">IF($C20="","",$L20+$O20)</f>
        <v/>
      </c>
      <c r="Q20" s="12"/>
      <c r="R20" s="13" t="str">
        <f aca="false">IF($C20="","",MAX(0,$P20-N($Q20)))</f>
        <v/>
      </c>
      <c r="S20" s="23" t="str">
        <f aca="false">IF(OR($C20="",$P20=0),"",IF(N($Q20)&lt;=0,"Chưa thanh toán",IF(N($Q20)&lt;$P20,"Thanh toán một phần","Đã thanh toán")))</f>
        <v/>
      </c>
      <c r="T20" s="13" t="str">
        <f aca="false">IF(OR($C20="",$J20=""),"",N($I20)*$J20)</f>
        <v/>
      </c>
      <c r="U20" s="13" t="str">
        <f aca="false">IF(OR($C20="",$T20=""),"",$L20-$T20)</f>
        <v/>
      </c>
      <c r="V20" s="14" t="str">
        <f aca="false">IF(OR($U20="",$L20=0),"",$U20/$L20)</f>
        <v/>
      </c>
      <c r="W20" s="11"/>
      <c r="X20" s="23" t="str">
        <f aca="false">IF($C20="","",IF(AND($H20="",N($I20)=0,N($K20)=0),"Dòng chỉ lưu thông tin khách (chưa có đơn); ",IF($B20="","Thiếu ngày đặt; ","")&amp;IF($H20="","Thiếu tên sản phẩm; ",IF($J20="","Chưa khai GIÁ GỐC ở BẢNG GIÁ GỐC; ",""))&amp;IF(N($I20)&lt;=0,"Thiếu số lượng; ","")&amp;IF(N($K20)&lt;=0,"Thiếu giá bán; ","")&amp;IF(AND($N20&gt;0,$F20=""),"Khách lấy VAT thiếu mã số thuế; ","")&amp;IF(N($Q20)&gt;$P20,"Đã thu vượt tổng phải thu; ","")&amp;IF(AND($L20&gt;0,$U20&lt;&gt;"",$U20&lt;0),"CẢNH BÁO: ĐƠN NÀY ĐANG LỖ; ","")))</f>
        <v/>
      </c>
      <c r="Z20" s="18"/>
      <c r="AA20" s="11"/>
      <c r="AB20" s="11"/>
      <c r="AC20" s="12"/>
      <c r="AD20" s="11"/>
    </row>
    <row r="21" customFormat="false" ht="15" hidden="false" customHeight="false" outlineLevel="0" collapsed="false">
      <c r="A21" s="21" t="str">
        <f aca="false">IF($C21="","",COUNTA($C$10:$C21))</f>
        <v/>
      </c>
      <c r="B21" s="18"/>
      <c r="C21" s="11"/>
      <c r="D21" s="11"/>
      <c r="E21" s="11"/>
      <c r="F21" s="11"/>
      <c r="G21" s="11"/>
      <c r="H21" s="11"/>
      <c r="I21" s="12"/>
      <c r="J21" s="13" t="str">
        <f aca="false">IF($H21="","",IFERROR(VLOOKUP($H21,'BẢNG GIÁ GỐC'!$A$5:$D$254,3,FALSE()),""))</f>
        <v/>
      </c>
      <c r="K21" s="12"/>
      <c r="L21" s="13" t="str">
        <f aca="false">IF($C21="","",N($I21)*N($K21))</f>
        <v/>
      </c>
      <c r="M21" s="11"/>
      <c r="N21" s="14" t="str">
        <f aca="false">IF($C21="","",IF($M21="VAT 5%",0.05,IF($M21="VAT 8%",0.08,IF($M21="VAT 10%",0.1,0))))</f>
        <v/>
      </c>
      <c r="O21" s="13" t="str">
        <f aca="false">IF($C21="","",$L21*$N21)</f>
        <v/>
      </c>
      <c r="P21" s="13" t="str">
        <f aca="false">IF($C21="","",$L21+$O21)</f>
        <v/>
      </c>
      <c r="Q21" s="12"/>
      <c r="R21" s="13" t="str">
        <f aca="false">IF($C21="","",MAX(0,$P21-N($Q21)))</f>
        <v/>
      </c>
      <c r="S21" s="23" t="str">
        <f aca="false">IF(OR($C21="",$P21=0),"",IF(N($Q21)&lt;=0,"Chưa thanh toán",IF(N($Q21)&lt;$P21,"Thanh toán một phần","Đã thanh toán")))</f>
        <v/>
      </c>
      <c r="T21" s="13" t="str">
        <f aca="false">IF(OR($C21="",$J21=""),"",N($I21)*$J21)</f>
        <v/>
      </c>
      <c r="U21" s="13" t="str">
        <f aca="false">IF(OR($C21="",$T21=""),"",$L21-$T21)</f>
        <v/>
      </c>
      <c r="V21" s="14" t="str">
        <f aca="false">IF(OR($U21="",$L21=0),"",$U21/$L21)</f>
        <v/>
      </c>
      <c r="W21" s="11"/>
      <c r="X21" s="23" t="str">
        <f aca="false">IF($C21="","",IF(AND($H21="",N($I21)=0,N($K21)=0),"Dòng chỉ lưu thông tin khách (chưa có đơn); ",IF($B21="","Thiếu ngày đặt; ","")&amp;IF($H21="","Thiếu tên sản phẩm; ",IF($J21="","Chưa khai GIÁ GỐC ở BẢNG GIÁ GỐC; ",""))&amp;IF(N($I21)&lt;=0,"Thiếu số lượng; ","")&amp;IF(N($K21)&lt;=0,"Thiếu giá bán; ","")&amp;IF(AND($N21&gt;0,$F21=""),"Khách lấy VAT thiếu mã số thuế; ","")&amp;IF(N($Q21)&gt;$P21,"Đã thu vượt tổng phải thu; ","")&amp;IF(AND($L21&gt;0,$U21&lt;&gt;"",$U21&lt;0),"CẢNH BÁO: ĐƠN NÀY ĐANG LỖ; ","")))</f>
        <v/>
      </c>
      <c r="Z21" s="18"/>
      <c r="AA21" s="11"/>
      <c r="AB21" s="11"/>
      <c r="AC21" s="12"/>
      <c r="AD21" s="11"/>
    </row>
    <row r="22" customFormat="false" ht="15" hidden="false" customHeight="false" outlineLevel="0" collapsed="false">
      <c r="A22" s="21" t="str">
        <f aca="false">IF($C22="","",COUNTA($C$10:$C22))</f>
        <v/>
      </c>
      <c r="B22" s="18"/>
      <c r="C22" s="11"/>
      <c r="D22" s="11"/>
      <c r="E22" s="11"/>
      <c r="F22" s="11"/>
      <c r="G22" s="11"/>
      <c r="H22" s="11"/>
      <c r="I22" s="12"/>
      <c r="J22" s="13" t="str">
        <f aca="false">IF($H22="","",IFERROR(VLOOKUP($H22,'BẢNG GIÁ GỐC'!$A$5:$D$254,3,FALSE()),""))</f>
        <v/>
      </c>
      <c r="K22" s="12"/>
      <c r="L22" s="13" t="str">
        <f aca="false">IF($C22="","",N($I22)*N($K22))</f>
        <v/>
      </c>
      <c r="M22" s="11"/>
      <c r="N22" s="14" t="str">
        <f aca="false">IF($C22="","",IF($M22="VAT 5%",0.05,IF($M22="VAT 8%",0.08,IF($M22="VAT 10%",0.1,0))))</f>
        <v/>
      </c>
      <c r="O22" s="13" t="str">
        <f aca="false">IF($C22="","",$L22*$N22)</f>
        <v/>
      </c>
      <c r="P22" s="13" t="str">
        <f aca="false">IF($C22="","",$L22+$O22)</f>
        <v/>
      </c>
      <c r="Q22" s="12"/>
      <c r="R22" s="13" t="str">
        <f aca="false">IF($C22="","",MAX(0,$P22-N($Q22)))</f>
        <v/>
      </c>
      <c r="S22" s="23" t="str">
        <f aca="false">IF(OR($C22="",$P22=0),"",IF(N($Q22)&lt;=0,"Chưa thanh toán",IF(N($Q22)&lt;$P22,"Thanh toán một phần","Đã thanh toán")))</f>
        <v/>
      </c>
      <c r="T22" s="13" t="str">
        <f aca="false">IF(OR($C22="",$J22=""),"",N($I22)*$J22)</f>
        <v/>
      </c>
      <c r="U22" s="13" t="str">
        <f aca="false">IF(OR($C22="",$T22=""),"",$L22-$T22)</f>
        <v/>
      </c>
      <c r="V22" s="14" t="str">
        <f aca="false">IF(OR($U22="",$L22=0),"",$U22/$L22)</f>
        <v/>
      </c>
      <c r="W22" s="11"/>
      <c r="X22" s="23" t="str">
        <f aca="false">IF($C22="","",IF(AND($H22="",N($I22)=0,N($K22)=0),"Dòng chỉ lưu thông tin khách (chưa có đơn); ",IF($B22="","Thiếu ngày đặt; ","")&amp;IF($H22="","Thiếu tên sản phẩm; ",IF($J22="","Chưa khai GIÁ GỐC ở BẢNG GIÁ GỐC; ",""))&amp;IF(N($I22)&lt;=0,"Thiếu số lượng; ","")&amp;IF(N($K22)&lt;=0,"Thiếu giá bán; ","")&amp;IF(AND($N22&gt;0,$F22=""),"Khách lấy VAT thiếu mã số thuế; ","")&amp;IF(N($Q22)&gt;$P22,"Đã thu vượt tổng phải thu; ","")&amp;IF(AND($L22&gt;0,$U22&lt;&gt;"",$U22&lt;0),"CẢNH BÁO: ĐƠN NÀY ĐANG LỖ; ","")))</f>
        <v/>
      </c>
      <c r="Z22" s="18"/>
      <c r="AA22" s="11"/>
      <c r="AB22" s="11"/>
      <c r="AC22" s="12"/>
      <c r="AD22" s="11"/>
    </row>
    <row r="23" customFormat="false" ht="15" hidden="false" customHeight="false" outlineLevel="0" collapsed="false">
      <c r="A23" s="21" t="str">
        <f aca="false">IF($C23="","",COUNTA($C$10:$C23))</f>
        <v/>
      </c>
      <c r="B23" s="18"/>
      <c r="C23" s="11"/>
      <c r="D23" s="11"/>
      <c r="E23" s="11"/>
      <c r="F23" s="11"/>
      <c r="G23" s="11"/>
      <c r="H23" s="11"/>
      <c r="I23" s="12"/>
      <c r="J23" s="13" t="str">
        <f aca="false">IF($H23="","",IFERROR(VLOOKUP($H23,'BẢNG GIÁ GỐC'!$A$5:$D$254,3,FALSE()),""))</f>
        <v/>
      </c>
      <c r="K23" s="12"/>
      <c r="L23" s="13" t="str">
        <f aca="false">IF($C23="","",N($I23)*N($K23))</f>
        <v/>
      </c>
      <c r="M23" s="11"/>
      <c r="N23" s="14" t="str">
        <f aca="false">IF($C23="","",IF($M23="VAT 5%",0.05,IF($M23="VAT 8%",0.08,IF($M23="VAT 10%",0.1,0))))</f>
        <v/>
      </c>
      <c r="O23" s="13" t="str">
        <f aca="false">IF($C23="","",$L23*$N23)</f>
        <v/>
      </c>
      <c r="P23" s="13" t="str">
        <f aca="false">IF($C23="","",$L23+$O23)</f>
        <v/>
      </c>
      <c r="Q23" s="12"/>
      <c r="R23" s="13" t="str">
        <f aca="false">IF($C23="","",MAX(0,$P23-N($Q23)))</f>
        <v/>
      </c>
      <c r="S23" s="23" t="str">
        <f aca="false">IF(OR($C23="",$P23=0),"",IF(N($Q23)&lt;=0,"Chưa thanh toán",IF(N($Q23)&lt;$P23,"Thanh toán một phần","Đã thanh toán")))</f>
        <v/>
      </c>
      <c r="T23" s="13" t="str">
        <f aca="false">IF(OR($C23="",$J23=""),"",N($I23)*$J23)</f>
        <v/>
      </c>
      <c r="U23" s="13" t="str">
        <f aca="false">IF(OR($C23="",$T23=""),"",$L23-$T23)</f>
        <v/>
      </c>
      <c r="V23" s="14" t="str">
        <f aca="false">IF(OR($U23="",$L23=0),"",$U23/$L23)</f>
        <v/>
      </c>
      <c r="W23" s="11"/>
      <c r="X23" s="23" t="str">
        <f aca="false">IF($C23="","",IF(AND($H23="",N($I23)=0,N($K23)=0),"Dòng chỉ lưu thông tin khách (chưa có đơn); ",IF($B23="","Thiếu ngày đặt; ","")&amp;IF($H23="","Thiếu tên sản phẩm; ",IF($J23="","Chưa khai GIÁ GỐC ở BẢNG GIÁ GỐC; ",""))&amp;IF(N($I23)&lt;=0,"Thiếu số lượng; ","")&amp;IF(N($K23)&lt;=0,"Thiếu giá bán; ","")&amp;IF(AND($N23&gt;0,$F23=""),"Khách lấy VAT thiếu mã số thuế; ","")&amp;IF(N($Q23)&gt;$P23,"Đã thu vượt tổng phải thu; ","")&amp;IF(AND($L23&gt;0,$U23&lt;&gt;"",$U23&lt;0),"CẢNH BÁO: ĐƠN NÀY ĐANG LỖ; ","")))</f>
        <v/>
      </c>
      <c r="Z23" s="18"/>
      <c r="AA23" s="11"/>
      <c r="AB23" s="11"/>
      <c r="AC23" s="12"/>
      <c r="AD23" s="11"/>
    </row>
    <row r="24" customFormat="false" ht="15" hidden="false" customHeight="false" outlineLevel="0" collapsed="false">
      <c r="A24" s="21" t="str">
        <f aca="false">IF($C24="","",COUNTA($C$10:$C24))</f>
        <v/>
      </c>
      <c r="B24" s="18"/>
      <c r="C24" s="11"/>
      <c r="D24" s="11"/>
      <c r="E24" s="11"/>
      <c r="F24" s="11"/>
      <c r="G24" s="11"/>
      <c r="H24" s="11"/>
      <c r="I24" s="12"/>
      <c r="J24" s="13" t="str">
        <f aca="false">IF($H24="","",IFERROR(VLOOKUP($H24,'BẢNG GIÁ GỐC'!$A$5:$D$254,3,FALSE()),""))</f>
        <v/>
      </c>
      <c r="K24" s="12"/>
      <c r="L24" s="13" t="str">
        <f aca="false">IF($C24="","",N($I24)*N($K24))</f>
        <v/>
      </c>
      <c r="M24" s="11"/>
      <c r="N24" s="14" t="str">
        <f aca="false">IF($C24="","",IF($M24="VAT 5%",0.05,IF($M24="VAT 8%",0.08,IF($M24="VAT 10%",0.1,0))))</f>
        <v/>
      </c>
      <c r="O24" s="13" t="str">
        <f aca="false">IF($C24="","",$L24*$N24)</f>
        <v/>
      </c>
      <c r="P24" s="13" t="str">
        <f aca="false">IF($C24="","",$L24+$O24)</f>
        <v/>
      </c>
      <c r="Q24" s="12"/>
      <c r="R24" s="13" t="str">
        <f aca="false">IF($C24="","",MAX(0,$P24-N($Q24)))</f>
        <v/>
      </c>
      <c r="S24" s="23" t="str">
        <f aca="false">IF(OR($C24="",$P24=0),"",IF(N($Q24)&lt;=0,"Chưa thanh toán",IF(N($Q24)&lt;$P24,"Thanh toán một phần","Đã thanh toán")))</f>
        <v/>
      </c>
      <c r="T24" s="13" t="str">
        <f aca="false">IF(OR($C24="",$J24=""),"",N($I24)*$J24)</f>
        <v/>
      </c>
      <c r="U24" s="13" t="str">
        <f aca="false">IF(OR($C24="",$T24=""),"",$L24-$T24)</f>
        <v/>
      </c>
      <c r="V24" s="14" t="str">
        <f aca="false">IF(OR($U24="",$L24=0),"",$U24/$L24)</f>
        <v/>
      </c>
      <c r="W24" s="11"/>
      <c r="X24" s="23" t="str">
        <f aca="false">IF($C24="","",IF(AND($H24="",N($I24)=0,N($K24)=0),"Dòng chỉ lưu thông tin khách (chưa có đơn); ",IF($B24="","Thiếu ngày đặt; ","")&amp;IF($H24="","Thiếu tên sản phẩm; ",IF($J24="","Chưa khai GIÁ GỐC ở BẢNG GIÁ GỐC; ",""))&amp;IF(N($I24)&lt;=0,"Thiếu số lượng; ","")&amp;IF(N($K24)&lt;=0,"Thiếu giá bán; ","")&amp;IF(AND($N24&gt;0,$F24=""),"Khách lấy VAT thiếu mã số thuế; ","")&amp;IF(N($Q24)&gt;$P24,"Đã thu vượt tổng phải thu; ","")&amp;IF(AND($L24&gt;0,$U24&lt;&gt;"",$U24&lt;0),"CẢNH BÁO: ĐƠN NÀY ĐANG LỖ; ","")))</f>
        <v/>
      </c>
      <c r="Z24" s="18"/>
      <c r="AA24" s="11"/>
      <c r="AB24" s="11"/>
      <c r="AC24" s="12"/>
      <c r="AD24" s="11"/>
    </row>
    <row r="25" customFormat="false" ht="15" hidden="false" customHeight="false" outlineLevel="0" collapsed="false">
      <c r="A25" s="21" t="str">
        <f aca="false">IF($C25="","",COUNTA($C$10:$C25))</f>
        <v/>
      </c>
      <c r="B25" s="18"/>
      <c r="C25" s="11"/>
      <c r="D25" s="11"/>
      <c r="E25" s="11"/>
      <c r="F25" s="11"/>
      <c r="G25" s="11"/>
      <c r="H25" s="11"/>
      <c r="I25" s="12"/>
      <c r="J25" s="13" t="str">
        <f aca="false">IF($H25="","",IFERROR(VLOOKUP($H25,'BẢNG GIÁ GỐC'!$A$5:$D$254,3,FALSE()),""))</f>
        <v/>
      </c>
      <c r="K25" s="12"/>
      <c r="L25" s="13" t="str">
        <f aca="false">IF($C25="","",N($I25)*N($K25))</f>
        <v/>
      </c>
      <c r="M25" s="11"/>
      <c r="N25" s="14" t="str">
        <f aca="false">IF($C25="","",IF($M25="VAT 5%",0.05,IF($M25="VAT 8%",0.08,IF($M25="VAT 10%",0.1,0))))</f>
        <v/>
      </c>
      <c r="O25" s="13" t="str">
        <f aca="false">IF($C25="","",$L25*$N25)</f>
        <v/>
      </c>
      <c r="P25" s="13" t="str">
        <f aca="false">IF($C25="","",$L25+$O25)</f>
        <v/>
      </c>
      <c r="Q25" s="12"/>
      <c r="R25" s="13" t="str">
        <f aca="false">IF($C25="","",MAX(0,$P25-N($Q25)))</f>
        <v/>
      </c>
      <c r="S25" s="23" t="str">
        <f aca="false">IF(OR($C25="",$P25=0),"",IF(N($Q25)&lt;=0,"Chưa thanh toán",IF(N($Q25)&lt;$P25,"Thanh toán một phần","Đã thanh toán")))</f>
        <v/>
      </c>
      <c r="T25" s="13" t="str">
        <f aca="false">IF(OR($C25="",$J25=""),"",N($I25)*$J25)</f>
        <v/>
      </c>
      <c r="U25" s="13" t="str">
        <f aca="false">IF(OR($C25="",$T25=""),"",$L25-$T25)</f>
        <v/>
      </c>
      <c r="V25" s="14" t="str">
        <f aca="false">IF(OR($U25="",$L25=0),"",$U25/$L25)</f>
        <v/>
      </c>
      <c r="W25" s="11"/>
      <c r="X25" s="23" t="str">
        <f aca="false">IF($C25="","",IF(AND($H25="",N($I25)=0,N($K25)=0),"Dòng chỉ lưu thông tin khách (chưa có đơn); ",IF($B25="","Thiếu ngày đặt; ","")&amp;IF($H25="","Thiếu tên sản phẩm; ",IF($J25="","Chưa khai GIÁ GỐC ở BẢNG GIÁ GỐC; ",""))&amp;IF(N($I25)&lt;=0,"Thiếu số lượng; ","")&amp;IF(N($K25)&lt;=0,"Thiếu giá bán; ","")&amp;IF(AND($N25&gt;0,$F25=""),"Khách lấy VAT thiếu mã số thuế; ","")&amp;IF(N($Q25)&gt;$P25,"Đã thu vượt tổng phải thu; ","")&amp;IF(AND($L25&gt;0,$U25&lt;&gt;"",$U25&lt;0),"CẢNH BÁO: ĐƠN NÀY ĐANG LỖ; ","")))</f>
        <v/>
      </c>
      <c r="Z25" s="24" t="s">
        <v>177</v>
      </c>
      <c r="AA25" s="24"/>
      <c r="AB25" s="24"/>
      <c r="AC25" s="25" t="n">
        <f aca="false">SUM(AC5:AC24)</f>
        <v>0</v>
      </c>
      <c r="AD25" s="26"/>
    </row>
    <row r="26" customFormat="false" ht="15" hidden="false" customHeight="false" outlineLevel="0" collapsed="false">
      <c r="A26" s="21" t="str">
        <f aca="false">IF($C26="","",COUNTA($C$10:$C26))</f>
        <v/>
      </c>
      <c r="B26" s="18"/>
      <c r="C26" s="11"/>
      <c r="D26" s="11"/>
      <c r="E26" s="11"/>
      <c r="F26" s="11"/>
      <c r="G26" s="11"/>
      <c r="H26" s="11"/>
      <c r="I26" s="12"/>
      <c r="J26" s="13" t="str">
        <f aca="false">IF($H26="","",IFERROR(VLOOKUP($H26,'BẢNG GIÁ GỐC'!$A$5:$D$254,3,FALSE()),""))</f>
        <v/>
      </c>
      <c r="K26" s="12"/>
      <c r="L26" s="13" t="str">
        <f aca="false">IF($C26="","",N($I26)*N($K26))</f>
        <v/>
      </c>
      <c r="M26" s="11"/>
      <c r="N26" s="14" t="str">
        <f aca="false">IF($C26="","",IF($M26="VAT 5%",0.05,IF($M26="VAT 8%",0.08,IF($M26="VAT 10%",0.1,0))))</f>
        <v/>
      </c>
      <c r="O26" s="13" t="str">
        <f aca="false">IF($C26="","",$L26*$N26)</f>
        <v/>
      </c>
      <c r="P26" s="13" t="str">
        <f aca="false">IF($C26="","",$L26+$O26)</f>
        <v/>
      </c>
      <c r="Q26" s="12"/>
      <c r="R26" s="13" t="str">
        <f aca="false">IF($C26="","",MAX(0,$P26-N($Q26)))</f>
        <v/>
      </c>
      <c r="S26" s="23" t="str">
        <f aca="false">IF(OR($C26="",$P26=0),"",IF(N($Q26)&lt;=0,"Chưa thanh toán",IF(N($Q26)&lt;$P26,"Thanh toán một phần","Đã thanh toán")))</f>
        <v/>
      </c>
      <c r="T26" s="13" t="str">
        <f aca="false">IF(OR($C26="",$J26=""),"",N($I26)*$J26)</f>
        <v/>
      </c>
      <c r="U26" s="13" t="str">
        <f aca="false">IF(OR($C26="",$T26=""),"",$L26-$T26)</f>
        <v/>
      </c>
      <c r="V26" s="14" t="str">
        <f aca="false">IF(OR($U26="",$L26=0),"",$U26/$L26)</f>
        <v/>
      </c>
      <c r="W26" s="11"/>
      <c r="X26" s="23" t="str">
        <f aca="false">IF($C26="","",IF(AND($H26="",N($I26)=0,N($K26)=0),"Dòng chỉ lưu thông tin khách (chưa có đơn); ",IF($B26="","Thiếu ngày đặt; ","")&amp;IF($H26="","Thiếu tên sản phẩm; ",IF($J26="","Chưa khai GIÁ GỐC ở BẢNG GIÁ GỐC; ",""))&amp;IF(N($I26)&lt;=0,"Thiếu số lượng; ","")&amp;IF(N($K26)&lt;=0,"Thiếu giá bán; ","")&amp;IF(AND($N26&gt;0,$F26=""),"Khách lấy VAT thiếu mã số thuế; ","")&amp;IF(N($Q26)&gt;$P26,"Đã thu vượt tổng phải thu; ","")&amp;IF(AND($L26&gt;0,$U26&lt;&gt;"",$U26&lt;0),"CẢNH BÁO: ĐƠN NÀY ĐANG LỖ; ","")))</f>
        <v/>
      </c>
    </row>
    <row r="27" customFormat="false" ht="15" hidden="false" customHeight="false" outlineLevel="0" collapsed="false">
      <c r="A27" s="21" t="str">
        <f aca="false">IF($C27="","",COUNTA($C$10:$C27))</f>
        <v/>
      </c>
      <c r="B27" s="18"/>
      <c r="C27" s="11"/>
      <c r="D27" s="11"/>
      <c r="E27" s="11"/>
      <c r="F27" s="11"/>
      <c r="G27" s="11"/>
      <c r="H27" s="11"/>
      <c r="I27" s="12"/>
      <c r="J27" s="13" t="str">
        <f aca="false">IF($H27="","",IFERROR(VLOOKUP($H27,'BẢNG GIÁ GỐC'!$A$5:$D$254,3,FALSE()),""))</f>
        <v/>
      </c>
      <c r="K27" s="12"/>
      <c r="L27" s="13" t="str">
        <f aca="false">IF($C27="","",N($I27)*N($K27))</f>
        <v/>
      </c>
      <c r="M27" s="11"/>
      <c r="N27" s="14" t="str">
        <f aca="false">IF($C27="","",IF($M27="VAT 5%",0.05,IF($M27="VAT 8%",0.08,IF($M27="VAT 10%",0.1,0))))</f>
        <v/>
      </c>
      <c r="O27" s="13" t="str">
        <f aca="false">IF($C27="","",$L27*$N27)</f>
        <v/>
      </c>
      <c r="P27" s="13" t="str">
        <f aca="false">IF($C27="","",$L27+$O27)</f>
        <v/>
      </c>
      <c r="Q27" s="12"/>
      <c r="R27" s="13" t="str">
        <f aca="false">IF($C27="","",MAX(0,$P27-N($Q27)))</f>
        <v/>
      </c>
      <c r="S27" s="23" t="str">
        <f aca="false">IF(OR($C27="",$P27=0),"",IF(N($Q27)&lt;=0,"Chưa thanh toán",IF(N($Q27)&lt;$P27,"Thanh toán một phần","Đã thanh toán")))</f>
        <v/>
      </c>
      <c r="T27" s="13" t="str">
        <f aca="false">IF(OR($C27="",$J27=""),"",N($I27)*$J27)</f>
        <v/>
      </c>
      <c r="U27" s="13" t="str">
        <f aca="false">IF(OR($C27="",$T27=""),"",$L27-$T27)</f>
        <v/>
      </c>
      <c r="V27" s="14" t="str">
        <f aca="false">IF(OR($U27="",$L27=0),"",$U27/$L27)</f>
        <v/>
      </c>
      <c r="W27" s="11"/>
      <c r="X27" s="23" t="str">
        <f aca="false">IF($C27="","",IF(AND($H27="",N($I27)=0,N($K27)=0),"Dòng chỉ lưu thông tin khách (chưa có đơn); ",IF($B27="","Thiếu ngày đặt; ","")&amp;IF($H27="","Thiếu tên sản phẩm; ",IF($J27="","Chưa khai GIÁ GỐC ở BẢNG GIÁ GỐC; ",""))&amp;IF(N($I27)&lt;=0,"Thiếu số lượng; ","")&amp;IF(N($K27)&lt;=0,"Thiếu giá bán; ","")&amp;IF(AND($N27&gt;0,$F27=""),"Khách lấy VAT thiếu mã số thuế; ","")&amp;IF(N($Q27)&gt;$P27,"Đã thu vượt tổng phải thu; ","")&amp;IF(AND($L27&gt;0,$U27&lt;&gt;"",$U27&lt;0),"CẢNH BÁO: ĐƠN NÀY ĐANG LỖ; ","")))</f>
        <v/>
      </c>
    </row>
    <row r="28" customFormat="false" ht="15" hidden="false" customHeight="false" outlineLevel="0" collapsed="false">
      <c r="A28" s="21" t="str">
        <f aca="false">IF($C28="","",COUNTA($C$10:$C28))</f>
        <v/>
      </c>
      <c r="B28" s="18"/>
      <c r="C28" s="11"/>
      <c r="D28" s="11"/>
      <c r="E28" s="11"/>
      <c r="F28" s="11"/>
      <c r="G28" s="11"/>
      <c r="H28" s="11"/>
      <c r="I28" s="12"/>
      <c r="J28" s="13" t="str">
        <f aca="false">IF($H28="","",IFERROR(VLOOKUP($H28,'BẢNG GIÁ GỐC'!$A$5:$D$254,3,FALSE()),""))</f>
        <v/>
      </c>
      <c r="K28" s="12"/>
      <c r="L28" s="13" t="str">
        <f aca="false">IF($C28="","",N($I28)*N($K28))</f>
        <v/>
      </c>
      <c r="M28" s="11"/>
      <c r="N28" s="14" t="str">
        <f aca="false">IF($C28="","",IF($M28="VAT 5%",0.05,IF($M28="VAT 8%",0.08,IF($M28="VAT 10%",0.1,0))))</f>
        <v/>
      </c>
      <c r="O28" s="13" t="str">
        <f aca="false">IF($C28="","",$L28*$N28)</f>
        <v/>
      </c>
      <c r="P28" s="13" t="str">
        <f aca="false">IF($C28="","",$L28+$O28)</f>
        <v/>
      </c>
      <c r="Q28" s="12"/>
      <c r="R28" s="13" t="str">
        <f aca="false">IF($C28="","",MAX(0,$P28-N($Q28)))</f>
        <v/>
      </c>
      <c r="S28" s="23" t="str">
        <f aca="false">IF(OR($C28="",$P28=0),"",IF(N($Q28)&lt;=0,"Chưa thanh toán",IF(N($Q28)&lt;$P28,"Thanh toán một phần","Đã thanh toán")))</f>
        <v/>
      </c>
      <c r="T28" s="13" t="str">
        <f aca="false">IF(OR($C28="",$J28=""),"",N($I28)*$J28)</f>
        <v/>
      </c>
      <c r="U28" s="13" t="str">
        <f aca="false">IF(OR($C28="",$T28=""),"",$L28-$T28)</f>
        <v/>
      </c>
      <c r="V28" s="14" t="str">
        <f aca="false">IF(OR($U28="",$L28=0),"",$U28/$L28)</f>
        <v/>
      </c>
      <c r="W28" s="11"/>
      <c r="X28" s="23" t="str">
        <f aca="false">IF($C28="","",IF(AND($H28="",N($I28)=0,N($K28)=0),"Dòng chỉ lưu thông tin khách (chưa có đơn); ",IF($B28="","Thiếu ngày đặt; ","")&amp;IF($H28="","Thiếu tên sản phẩm; ",IF($J28="","Chưa khai GIÁ GỐC ở BẢNG GIÁ GỐC; ",""))&amp;IF(N($I28)&lt;=0,"Thiếu số lượng; ","")&amp;IF(N($K28)&lt;=0,"Thiếu giá bán; ","")&amp;IF(AND($N28&gt;0,$F28=""),"Khách lấy VAT thiếu mã số thuế; ","")&amp;IF(N($Q28)&gt;$P28,"Đã thu vượt tổng phải thu; ","")&amp;IF(AND($L28&gt;0,$U28&lt;&gt;"",$U28&lt;0),"CẢNH BÁO: ĐƠN NÀY ĐANG LỖ; ","")))</f>
        <v/>
      </c>
    </row>
    <row r="29" customFormat="false" ht="15" hidden="false" customHeight="false" outlineLevel="0" collapsed="false">
      <c r="A29" s="21" t="str">
        <f aca="false">IF($C29="","",COUNTA($C$10:$C29))</f>
        <v/>
      </c>
      <c r="B29" s="18"/>
      <c r="C29" s="11"/>
      <c r="D29" s="11"/>
      <c r="E29" s="11"/>
      <c r="F29" s="11"/>
      <c r="G29" s="11"/>
      <c r="H29" s="11"/>
      <c r="I29" s="12"/>
      <c r="J29" s="13" t="str">
        <f aca="false">IF($H29="","",IFERROR(VLOOKUP($H29,'BẢNG GIÁ GỐC'!$A$5:$D$254,3,FALSE()),""))</f>
        <v/>
      </c>
      <c r="K29" s="12"/>
      <c r="L29" s="13" t="str">
        <f aca="false">IF($C29="","",N($I29)*N($K29))</f>
        <v/>
      </c>
      <c r="M29" s="11"/>
      <c r="N29" s="14" t="str">
        <f aca="false">IF($C29="","",IF($M29="VAT 5%",0.05,IF($M29="VAT 8%",0.08,IF($M29="VAT 10%",0.1,0))))</f>
        <v/>
      </c>
      <c r="O29" s="13" t="str">
        <f aca="false">IF($C29="","",$L29*$N29)</f>
        <v/>
      </c>
      <c r="P29" s="13" t="str">
        <f aca="false">IF($C29="","",$L29+$O29)</f>
        <v/>
      </c>
      <c r="Q29" s="12"/>
      <c r="R29" s="13" t="str">
        <f aca="false">IF($C29="","",MAX(0,$P29-N($Q29)))</f>
        <v/>
      </c>
      <c r="S29" s="23" t="str">
        <f aca="false">IF(OR($C29="",$P29=0),"",IF(N($Q29)&lt;=0,"Chưa thanh toán",IF(N($Q29)&lt;$P29,"Thanh toán một phần","Đã thanh toán")))</f>
        <v/>
      </c>
      <c r="T29" s="13" t="str">
        <f aca="false">IF(OR($C29="",$J29=""),"",N($I29)*$J29)</f>
        <v/>
      </c>
      <c r="U29" s="13" t="str">
        <f aca="false">IF(OR($C29="",$T29=""),"",$L29-$T29)</f>
        <v/>
      </c>
      <c r="V29" s="14" t="str">
        <f aca="false">IF(OR($U29="",$L29=0),"",$U29/$L29)</f>
        <v/>
      </c>
      <c r="W29" s="11"/>
      <c r="X29" s="23" t="str">
        <f aca="false">IF($C29="","",IF(AND($H29="",N($I29)=0,N($K29)=0),"Dòng chỉ lưu thông tin khách (chưa có đơn); ",IF($B29="","Thiếu ngày đặt; ","")&amp;IF($H29="","Thiếu tên sản phẩm; ",IF($J29="","Chưa khai GIÁ GỐC ở BẢNG GIÁ GỐC; ",""))&amp;IF(N($I29)&lt;=0,"Thiếu số lượng; ","")&amp;IF(N($K29)&lt;=0,"Thiếu giá bán; ","")&amp;IF(AND($N29&gt;0,$F29=""),"Khách lấy VAT thiếu mã số thuế; ","")&amp;IF(N($Q29)&gt;$P29,"Đã thu vượt tổng phải thu; ","")&amp;IF(AND($L29&gt;0,$U29&lt;&gt;"",$U29&lt;0),"CẢNH BÁO: ĐƠN NÀY ĐANG LỖ; ","")))</f>
        <v/>
      </c>
    </row>
    <row r="30" customFormat="false" ht="15" hidden="false" customHeight="false" outlineLevel="0" collapsed="false">
      <c r="A30" s="21" t="str">
        <f aca="false">IF($C30="","",COUNTA($C$10:$C30))</f>
        <v/>
      </c>
      <c r="B30" s="18"/>
      <c r="C30" s="11"/>
      <c r="D30" s="11"/>
      <c r="E30" s="11"/>
      <c r="F30" s="11"/>
      <c r="G30" s="11"/>
      <c r="H30" s="11"/>
      <c r="I30" s="12"/>
      <c r="J30" s="13" t="str">
        <f aca="false">IF($H30="","",IFERROR(VLOOKUP($H30,'BẢNG GIÁ GỐC'!$A$5:$D$254,3,FALSE()),""))</f>
        <v/>
      </c>
      <c r="K30" s="12"/>
      <c r="L30" s="13" t="str">
        <f aca="false">IF($C30="","",N($I30)*N($K30))</f>
        <v/>
      </c>
      <c r="M30" s="11"/>
      <c r="N30" s="14" t="str">
        <f aca="false">IF($C30="","",IF($M30="VAT 5%",0.05,IF($M30="VAT 8%",0.08,IF($M30="VAT 10%",0.1,0))))</f>
        <v/>
      </c>
      <c r="O30" s="13" t="str">
        <f aca="false">IF($C30="","",$L30*$N30)</f>
        <v/>
      </c>
      <c r="P30" s="13" t="str">
        <f aca="false">IF($C30="","",$L30+$O30)</f>
        <v/>
      </c>
      <c r="Q30" s="12"/>
      <c r="R30" s="13" t="str">
        <f aca="false">IF($C30="","",MAX(0,$P30-N($Q30)))</f>
        <v/>
      </c>
      <c r="S30" s="23" t="str">
        <f aca="false">IF(OR($C30="",$P30=0),"",IF(N($Q30)&lt;=0,"Chưa thanh toán",IF(N($Q30)&lt;$P30,"Thanh toán một phần","Đã thanh toán")))</f>
        <v/>
      </c>
      <c r="T30" s="13" t="str">
        <f aca="false">IF(OR($C30="",$J30=""),"",N($I30)*$J30)</f>
        <v/>
      </c>
      <c r="U30" s="13" t="str">
        <f aca="false">IF(OR($C30="",$T30=""),"",$L30-$T30)</f>
        <v/>
      </c>
      <c r="V30" s="14" t="str">
        <f aca="false">IF(OR($U30="",$L30=0),"",$U30/$L30)</f>
        <v/>
      </c>
      <c r="W30" s="11"/>
      <c r="X30" s="23" t="str">
        <f aca="false">IF($C30="","",IF(AND($H30="",N($I30)=0,N($K30)=0),"Dòng chỉ lưu thông tin khách (chưa có đơn); ",IF($B30="","Thiếu ngày đặt; ","")&amp;IF($H30="","Thiếu tên sản phẩm; ",IF($J30="","Chưa khai GIÁ GỐC ở BẢNG GIÁ GỐC; ",""))&amp;IF(N($I30)&lt;=0,"Thiếu số lượng; ","")&amp;IF(N($K30)&lt;=0,"Thiếu giá bán; ","")&amp;IF(AND($N30&gt;0,$F30=""),"Khách lấy VAT thiếu mã số thuế; ","")&amp;IF(N($Q30)&gt;$P30,"Đã thu vượt tổng phải thu; ","")&amp;IF(AND($L30&gt;0,$U30&lt;&gt;"",$U30&lt;0),"CẢNH BÁO: ĐƠN NÀY ĐANG LỖ; ","")))</f>
        <v/>
      </c>
    </row>
    <row r="31" customFormat="false" ht="15" hidden="false" customHeight="false" outlineLevel="0" collapsed="false">
      <c r="A31" s="21" t="str">
        <f aca="false">IF($C31="","",COUNTA($C$10:$C31))</f>
        <v/>
      </c>
      <c r="B31" s="18"/>
      <c r="C31" s="11"/>
      <c r="D31" s="11"/>
      <c r="E31" s="11"/>
      <c r="F31" s="11"/>
      <c r="G31" s="11"/>
      <c r="H31" s="11"/>
      <c r="I31" s="12"/>
      <c r="J31" s="13" t="str">
        <f aca="false">IF($H31="","",IFERROR(VLOOKUP($H31,'BẢNG GIÁ GỐC'!$A$5:$D$254,3,FALSE()),""))</f>
        <v/>
      </c>
      <c r="K31" s="12"/>
      <c r="L31" s="13" t="str">
        <f aca="false">IF($C31="","",N($I31)*N($K31))</f>
        <v/>
      </c>
      <c r="M31" s="11"/>
      <c r="N31" s="14" t="str">
        <f aca="false">IF($C31="","",IF($M31="VAT 5%",0.05,IF($M31="VAT 8%",0.08,IF($M31="VAT 10%",0.1,0))))</f>
        <v/>
      </c>
      <c r="O31" s="13" t="str">
        <f aca="false">IF($C31="","",$L31*$N31)</f>
        <v/>
      </c>
      <c r="P31" s="13" t="str">
        <f aca="false">IF($C31="","",$L31+$O31)</f>
        <v/>
      </c>
      <c r="Q31" s="12"/>
      <c r="R31" s="13" t="str">
        <f aca="false">IF($C31="","",MAX(0,$P31-N($Q31)))</f>
        <v/>
      </c>
      <c r="S31" s="23" t="str">
        <f aca="false">IF(OR($C31="",$P31=0),"",IF(N($Q31)&lt;=0,"Chưa thanh toán",IF(N($Q31)&lt;$P31,"Thanh toán một phần","Đã thanh toán")))</f>
        <v/>
      </c>
      <c r="T31" s="13" t="str">
        <f aca="false">IF(OR($C31="",$J31=""),"",N($I31)*$J31)</f>
        <v/>
      </c>
      <c r="U31" s="13" t="str">
        <f aca="false">IF(OR($C31="",$T31=""),"",$L31-$T31)</f>
        <v/>
      </c>
      <c r="V31" s="14" t="str">
        <f aca="false">IF(OR($U31="",$L31=0),"",$U31/$L31)</f>
        <v/>
      </c>
      <c r="W31" s="11"/>
      <c r="X31" s="23" t="str">
        <f aca="false">IF($C31="","",IF(AND($H31="",N($I31)=0,N($K31)=0),"Dòng chỉ lưu thông tin khách (chưa có đơn); ",IF($B31="","Thiếu ngày đặt; ","")&amp;IF($H31="","Thiếu tên sản phẩm; ",IF($J31="","Chưa khai GIÁ GỐC ở BẢNG GIÁ GỐC; ",""))&amp;IF(N($I31)&lt;=0,"Thiếu số lượng; ","")&amp;IF(N($K31)&lt;=0,"Thiếu giá bán; ","")&amp;IF(AND($N31&gt;0,$F31=""),"Khách lấy VAT thiếu mã số thuế; ","")&amp;IF(N($Q31)&gt;$P31,"Đã thu vượt tổng phải thu; ","")&amp;IF(AND($L31&gt;0,$U31&lt;&gt;"",$U31&lt;0),"CẢNH BÁO: ĐƠN NÀY ĐANG LỖ; ","")))</f>
        <v/>
      </c>
    </row>
    <row r="32" customFormat="false" ht="15" hidden="false" customHeight="false" outlineLevel="0" collapsed="false">
      <c r="A32" s="21" t="str">
        <f aca="false">IF($C32="","",COUNTA($C$10:$C32))</f>
        <v/>
      </c>
      <c r="B32" s="18"/>
      <c r="C32" s="11"/>
      <c r="D32" s="11"/>
      <c r="E32" s="11"/>
      <c r="F32" s="11"/>
      <c r="G32" s="11"/>
      <c r="H32" s="11"/>
      <c r="I32" s="12"/>
      <c r="J32" s="13" t="str">
        <f aca="false">IF($H32="","",IFERROR(VLOOKUP($H32,'BẢNG GIÁ GỐC'!$A$5:$D$254,3,FALSE()),""))</f>
        <v/>
      </c>
      <c r="K32" s="12"/>
      <c r="L32" s="13" t="str">
        <f aca="false">IF($C32="","",N($I32)*N($K32))</f>
        <v/>
      </c>
      <c r="M32" s="11"/>
      <c r="N32" s="14" t="str">
        <f aca="false">IF($C32="","",IF($M32="VAT 5%",0.05,IF($M32="VAT 8%",0.08,IF($M32="VAT 10%",0.1,0))))</f>
        <v/>
      </c>
      <c r="O32" s="13" t="str">
        <f aca="false">IF($C32="","",$L32*$N32)</f>
        <v/>
      </c>
      <c r="P32" s="13" t="str">
        <f aca="false">IF($C32="","",$L32+$O32)</f>
        <v/>
      </c>
      <c r="Q32" s="12"/>
      <c r="R32" s="13" t="str">
        <f aca="false">IF($C32="","",MAX(0,$P32-N($Q32)))</f>
        <v/>
      </c>
      <c r="S32" s="23" t="str">
        <f aca="false">IF(OR($C32="",$P32=0),"",IF(N($Q32)&lt;=0,"Chưa thanh toán",IF(N($Q32)&lt;$P32,"Thanh toán một phần","Đã thanh toán")))</f>
        <v/>
      </c>
      <c r="T32" s="13" t="str">
        <f aca="false">IF(OR($C32="",$J32=""),"",N($I32)*$J32)</f>
        <v/>
      </c>
      <c r="U32" s="13" t="str">
        <f aca="false">IF(OR($C32="",$T32=""),"",$L32-$T32)</f>
        <v/>
      </c>
      <c r="V32" s="14" t="str">
        <f aca="false">IF(OR($U32="",$L32=0),"",$U32/$L32)</f>
        <v/>
      </c>
      <c r="W32" s="11"/>
      <c r="X32" s="23" t="str">
        <f aca="false">IF($C32="","",IF(AND($H32="",N($I32)=0,N($K32)=0),"Dòng chỉ lưu thông tin khách (chưa có đơn); ",IF($B32="","Thiếu ngày đặt; ","")&amp;IF($H32="","Thiếu tên sản phẩm; ",IF($J32="","Chưa khai GIÁ GỐC ở BẢNG GIÁ GỐC; ",""))&amp;IF(N($I32)&lt;=0,"Thiếu số lượng; ","")&amp;IF(N($K32)&lt;=0,"Thiếu giá bán; ","")&amp;IF(AND($N32&gt;0,$F32=""),"Khách lấy VAT thiếu mã số thuế; ","")&amp;IF(N($Q32)&gt;$P32,"Đã thu vượt tổng phải thu; ","")&amp;IF(AND($L32&gt;0,$U32&lt;&gt;"",$U32&lt;0),"CẢNH BÁO: ĐƠN NÀY ĐANG LỖ; ","")))</f>
        <v/>
      </c>
    </row>
    <row r="33" customFormat="false" ht="15" hidden="false" customHeight="false" outlineLevel="0" collapsed="false">
      <c r="A33" s="21" t="str">
        <f aca="false">IF($C33="","",COUNTA($C$10:$C33))</f>
        <v/>
      </c>
      <c r="B33" s="18"/>
      <c r="C33" s="11"/>
      <c r="D33" s="11"/>
      <c r="E33" s="11"/>
      <c r="F33" s="11"/>
      <c r="G33" s="11"/>
      <c r="H33" s="11"/>
      <c r="I33" s="12"/>
      <c r="J33" s="13" t="str">
        <f aca="false">IF($H33="","",IFERROR(VLOOKUP($H33,'BẢNG GIÁ GỐC'!$A$5:$D$254,3,FALSE()),""))</f>
        <v/>
      </c>
      <c r="K33" s="12"/>
      <c r="L33" s="13" t="str">
        <f aca="false">IF($C33="","",N($I33)*N($K33))</f>
        <v/>
      </c>
      <c r="M33" s="11"/>
      <c r="N33" s="14" t="str">
        <f aca="false">IF($C33="","",IF($M33="VAT 5%",0.05,IF($M33="VAT 8%",0.08,IF($M33="VAT 10%",0.1,0))))</f>
        <v/>
      </c>
      <c r="O33" s="13" t="str">
        <f aca="false">IF($C33="","",$L33*$N33)</f>
        <v/>
      </c>
      <c r="P33" s="13" t="str">
        <f aca="false">IF($C33="","",$L33+$O33)</f>
        <v/>
      </c>
      <c r="Q33" s="12"/>
      <c r="R33" s="13" t="str">
        <f aca="false">IF($C33="","",MAX(0,$P33-N($Q33)))</f>
        <v/>
      </c>
      <c r="S33" s="23" t="str">
        <f aca="false">IF(OR($C33="",$P33=0),"",IF(N($Q33)&lt;=0,"Chưa thanh toán",IF(N($Q33)&lt;$P33,"Thanh toán một phần","Đã thanh toán")))</f>
        <v/>
      </c>
      <c r="T33" s="13" t="str">
        <f aca="false">IF(OR($C33="",$J33=""),"",N($I33)*$J33)</f>
        <v/>
      </c>
      <c r="U33" s="13" t="str">
        <f aca="false">IF(OR($C33="",$T33=""),"",$L33-$T33)</f>
        <v/>
      </c>
      <c r="V33" s="14" t="str">
        <f aca="false">IF(OR($U33="",$L33=0),"",$U33/$L33)</f>
        <v/>
      </c>
      <c r="W33" s="11"/>
      <c r="X33" s="23" t="str">
        <f aca="false">IF($C33="","",IF(AND($H33="",N($I33)=0,N($K33)=0),"Dòng chỉ lưu thông tin khách (chưa có đơn); ",IF($B33="","Thiếu ngày đặt; ","")&amp;IF($H33="","Thiếu tên sản phẩm; ",IF($J33="","Chưa khai GIÁ GỐC ở BẢNG GIÁ GỐC; ",""))&amp;IF(N($I33)&lt;=0,"Thiếu số lượng; ","")&amp;IF(N($K33)&lt;=0,"Thiếu giá bán; ","")&amp;IF(AND($N33&gt;0,$F33=""),"Khách lấy VAT thiếu mã số thuế; ","")&amp;IF(N($Q33)&gt;$P33,"Đã thu vượt tổng phải thu; ","")&amp;IF(AND($L33&gt;0,$U33&lt;&gt;"",$U33&lt;0),"CẢNH BÁO: ĐƠN NÀY ĐANG LỖ; ","")))</f>
        <v/>
      </c>
    </row>
    <row r="34" customFormat="false" ht="15" hidden="false" customHeight="false" outlineLevel="0" collapsed="false">
      <c r="A34" s="21" t="str">
        <f aca="false">IF($C34="","",COUNTA($C$10:$C34))</f>
        <v/>
      </c>
      <c r="B34" s="18"/>
      <c r="C34" s="11"/>
      <c r="D34" s="11"/>
      <c r="E34" s="11"/>
      <c r="F34" s="11"/>
      <c r="G34" s="11"/>
      <c r="H34" s="11"/>
      <c r="I34" s="12"/>
      <c r="J34" s="13" t="str">
        <f aca="false">IF($H34="","",IFERROR(VLOOKUP($H34,'BẢNG GIÁ GỐC'!$A$5:$D$254,3,FALSE()),""))</f>
        <v/>
      </c>
      <c r="K34" s="12"/>
      <c r="L34" s="13" t="str">
        <f aca="false">IF($C34="","",N($I34)*N($K34))</f>
        <v/>
      </c>
      <c r="M34" s="11"/>
      <c r="N34" s="14" t="str">
        <f aca="false">IF($C34="","",IF($M34="VAT 5%",0.05,IF($M34="VAT 8%",0.08,IF($M34="VAT 10%",0.1,0))))</f>
        <v/>
      </c>
      <c r="O34" s="13" t="str">
        <f aca="false">IF($C34="","",$L34*$N34)</f>
        <v/>
      </c>
      <c r="P34" s="13" t="str">
        <f aca="false">IF($C34="","",$L34+$O34)</f>
        <v/>
      </c>
      <c r="Q34" s="12"/>
      <c r="R34" s="13" t="str">
        <f aca="false">IF($C34="","",MAX(0,$P34-N($Q34)))</f>
        <v/>
      </c>
      <c r="S34" s="23" t="str">
        <f aca="false">IF(OR($C34="",$P34=0),"",IF(N($Q34)&lt;=0,"Chưa thanh toán",IF(N($Q34)&lt;$P34,"Thanh toán một phần","Đã thanh toán")))</f>
        <v/>
      </c>
      <c r="T34" s="13" t="str">
        <f aca="false">IF(OR($C34="",$J34=""),"",N($I34)*$J34)</f>
        <v/>
      </c>
      <c r="U34" s="13" t="str">
        <f aca="false">IF(OR($C34="",$T34=""),"",$L34-$T34)</f>
        <v/>
      </c>
      <c r="V34" s="14" t="str">
        <f aca="false">IF(OR($U34="",$L34=0),"",$U34/$L34)</f>
        <v/>
      </c>
      <c r="W34" s="11"/>
      <c r="X34" s="23" t="str">
        <f aca="false">IF($C34="","",IF(AND($H34="",N($I34)=0,N($K34)=0),"Dòng chỉ lưu thông tin khách (chưa có đơn); ",IF($B34="","Thiếu ngày đặt; ","")&amp;IF($H34="","Thiếu tên sản phẩm; ",IF($J34="","Chưa khai GIÁ GỐC ở BẢNG GIÁ GỐC; ",""))&amp;IF(N($I34)&lt;=0,"Thiếu số lượng; ","")&amp;IF(N($K34)&lt;=0,"Thiếu giá bán; ","")&amp;IF(AND($N34&gt;0,$F34=""),"Khách lấy VAT thiếu mã số thuế; ","")&amp;IF(N($Q34)&gt;$P34,"Đã thu vượt tổng phải thu; ","")&amp;IF(AND($L34&gt;0,$U34&lt;&gt;"",$U34&lt;0),"CẢNH BÁO: ĐƠN NÀY ĐANG LỖ; ","")))</f>
        <v/>
      </c>
    </row>
    <row r="35" customFormat="false" ht="15" hidden="false" customHeight="false" outlineLevel="0" collapsed="false">
      <c r="A35" s="21" t="str">
        <f aca="false">IF($C35="","",COUNTA($C$10:$C35))</f>
        <v/>
      </c>
      <c r="B35" s="18"/>
      <c r="C35" s="11"/>
      <c r="D35" s="11"/>
      <c r="E35" s="11"/>
      <c r="F35" s="11"/>
      <c r="G35" s="11"/>
      <c r="H35" s="11"/>
      <c r="I35" s="12"/>
      <c r="J35" s="13" t="str">
        <f aca="false">IF($H35="","",IFERROR(VLOOKUP($H35,'BẢNG GIÁ GỐC'!$A$5:$D$254,3,FALSE()),""))</f>
        <v/>
      </c>
      <c r="K35" s="12"/>
      <c r="L35" s="13" t="str">
        <f aca="false">IF($C35="","",N($I35)*N($K35))</f>
        <v/>
      </c>
      <c r="M35" s="11"/>
      <c r="N35" s="14" t="str">
        <f aca="false">IF($C35="","",IF($M35="VAT 5%",0.05,IF($M35="VAT 8%",0.08,IF($M35="VAT 10%",0.1,0))))</f>
        <v/>
      </c>
      <c r="O35" s="13" t="str">
        <f aca="false">IF($C35="","",$L35*$N35)</f>
        <v/>
      </c>
      <c r="P35" s="13" t="str">
        <f aca="false">IF($C35="","",$L35+$O35)</f>
        <v/>
      </c>
      <c r="Q35" s="12"/>
      <c r="R35" s="13" t="str">
        <f aca="false">IF($C35="","",MAX(0,$P35-N($Q35)))</f>
        <v/>
      </c>
      <c r="S35" s="23" t="str">
        <f aca="false">IF(OR($C35="",$P35=0),"",IF(N($Q35)&lt;=0,"Chưa thanh toán",IF(N($Q35)&lt;$P35,"Thanh toán một phần","Đã thanh toán")))</f>
        <v/>
      </c>
      <c r="T35" s="13" t="str">
        <f aca="false">IF(OR($C35="",$J35=""),"",N($I35)*$J35)</f>
        <v/>
      </c>
      <c r="U35" s="13" t="str">
        <f aca="false">IF(OR($C35="",$T35=""),"",$L35-$T35)</f>
        <v/>
      </c>
      <c r="V35" s="14" t="str">
        <f aca="false">IF(OR($U35="",$L35=0),"",$U35/$L35)</f>
        <v/>
      </c>
      <c r="W35" s="11"/>
      <c r="X35" s="23" t="str">
        <f aca="false">IF($C35="","",IF(AND($H35="",N($I35)=0,N($K35)=0),"Dòng chỉ lưu thông tin khách (chưa có đơn); ",IF($B35="","Thiếu ngày đặt; ","")&amp;IF($H35="","Thiếu tên sản phẩm; ",IF($J35="","Chưa khai GIÁ GỐC ở BẢNG GIÁ GỐC; ",""))&amp;IF(N($I35)&lt;=0,"Thiếu số lượng; ","")&amp;IF(N($K35)&lt;=0,"Thiếu giá bán; ","")&amp;IF(AND($N35&gt;0,$F35=""),"Khách lấy VAT thiếu mã số thuế; ","")&amp;IF(N($Q35)&gt;$P35,"Đã thu vượt tổng phải thu; ","")&amp;IF(AND($L35&gt;0,$U35&lt;&gt;"",$U35&lt;0),"CẢNH BÁO: ĐƠN NÀY ĐANG LỖ; ","")))</f>
        <v/>
      </c>
    </row>
    <row r="36" customFormat="false" ht="15" hidden="false" customHeight="false" outlineLevel="0" collapsed="false">
      <c r="A36" s="21" t="str">
        <f aca="false">IF($C36="","",COUNTA($C$10:$C36))</f>
        <v/>
      </c>
      <c r="B36" s="18"/>
      <c r="C36" s="11"/>
      <c r="D36" s="11"/>
      <c r="E36" s="11"/>
      <c r="F36" s="11"/>
      <c r="G36" s="11"/>
      <c r="H36" s="11"/>
      <c r="I36" s="12"/>
      <c r="J36" s="13" t="str">
        <f aca="false">IF($H36="","",IFERROR(VLOOKUP($H36,'BẢNG GIÁ GỐC'!$A$5:$D$254,3,FALSE()),""))</f>
        <v/>
      </c>
      <c r="K36" s="12"/>
      <c r="L36" s="13" t="str">
        <f aca="false">IF($C36="","",N($I36)*N($K36))</f>
        <v/>
      </c>
      <c r="M36" s="11"/>
      <c r="N36" s="14" t="str">
        <f aca="false">IF($C36="","",IF($M36="VAT 5%",0.05,IF($M36="VAT 8%",0.08,IF($M36="VAT 10%",0.1,0))))</f>
        <v/>
      </c>
      <c r="O36" s="13" t="str">
        <f aca="false">IF($C36="","",$L36*$N36)</f>
        <v/>
      </c>
      <c r="P36" s="13" t="str">
        <f aca="false">IF($C36="","",$L36+$O36)</f>
        <v/>
      </c>
      <c r="Q36" s="12"/>
      <c r="R36" s="13" t="str">
        <f aca="false">IF($C36="","",MAX(0,$P36-N($Q36)))</f>
        <v/>
      </c>
      <c r="S36" s="23" t="str">
        <f aca="false">IF(OR($C36="",$P36=0),"",IF(N($Q36)&lt;=0,"Chưa thanh toán",IF(N($Q36)&lt;$P36,"Thanh toán một phần","Đã thanh toán")))</f>
        <v/>
      </c>
      <c r="T36" s="13" t="str">
        <f aca="false">IF(OR($C36="",$J36=""),"",N($I36)*$J36)</f>
        <v/>
      </c>
      <c r="U36" s="13" t="str">
        <f aca="false">IF(OR($C36="",$T36=""),"",$L36-$T36)</f>
        <v/>
      </c>
      <c r="V36" s="14" t="str">
        <f aca="false">IF(OR($U36="",$L36=0),"",$U36/$L36)</f>
        <v/>
      </c>
      <c r="W36" s="11"/>
      <c r="X36" s="23" t="str">
        <f aca="false">IF($C36="","",IF(AND($H36="",N($I36)=0,N($K36)=0),"Dòng chỉ lưu thông tin khách (chưa có đơn); ",IF($B36="","Thiếu ngày đặt; ","")&amp;IF($H36="","Thiếu tên sản phẩm; ",IF($J36="","Chưa khai GIÁ GỐC ở BẢNG GIÁ GỐC; ",""))&amp;IF(N($I36)&lt;=0,"Thiếu số lượng; ","")&amp;IF(N($K36)&lt;=0,"Thiếu giá bán; ","")&amp;IF(AND($N36&gt;0,$F36=""),"Khách lấy VAT thiếu mã số thuế; ","")&amp;IF(N($Q36)&gt;$P36,"Đã thu vượt tổng phải thu; ","")&amp;IF(AND($L36&gt;0,$U36&lt;&gt;"",$U36&lt;0),"CẢNH BÁO: ĐƠN NÀY ĐANG LỖ; ","")))</f>
        <v/>
      </c>
    </row>
    <row r="37" customFormat="false" ht="15" hidden="false" customHeight="false" outlineLevel="0" collapsed="false">
      <c r="A37" s="21" t="str">
        <f aca="false">IF($C37="","",COUNTA($C$10:$C37))</f>
        <v/>
      </c>
      <c r="B37" s="18"/>
      <c r="C37" s="11"/>
      <c r="D37" s="11"/>
      <c r="E37" s="11"/>
      <c r="F37" s="11"/>
      <c r="G37" s="11"/>
      <c r="H37" s="11"/>
      <c r="I37" s="12"/>
      <c r="J37" s="13" t="str">
        <f aca="false">IF($H37="","",IFERROR(VLOOKUP($H37,'BẢNG GIÁ GỐC'!$A$5:$D$254,3,FALSE()),""))</f>
        <v/>
      </c>
      <c r="K37" s="12"/>
      <c r="L37" s="13" t="str">
        <f aca="false">IF($C37="","",N($I37)*N($K37))</f>
        <v/>
      </c>
      <c r="M37" s="11"/>
      <c r="N37" s="14" t="str">
        <f aca="false">IF($C37="","",IF($M37="VAT 5%",0.05,IF($M37="VAT 8%",0.08,IF($M37="VAT 10%",0.1,0))))</f>
        <v/>
      </c>
      <c r="O37" s="13" t="str">
        <f aca="false">IF($C37="","",$L37*$N37)</f>
        <v/>
      </c>
      <c r="P37" s="13" t="str">
        <f aca="false">IF($C37="","",$L37+$O37)</f>
        <v/>
      </c>
      <c r="Q37" s="12"/>
      <c r="R37" s="13" t="str">
        <f aca="false">IF($C37="","",MAX(0,$P37-N($Q37)))</f>
        <v/>
      </c>
      <c r="S37" s="23" t="str">
        <f aca="false">IF(OR($C37="",$P37=0),"",IF(N($Q37)&lt;=0,"Chưa thanh toán",IF(N($Q37)&lt;$P37,"Thanh toán một phần","Đã thanh toán")))</f>
        <v/>
      </c>
      <c r="T37" s="13" t="str">
        <f aca="false">IF(OR($C37="",$J37=""),"",N($I37)*$J37)</f>
        <v/>
      </c>
      <c r="U37" s="13" t="str">
        <f aca="false">IF(OR($C37="",$T37=""),"",$L37-$T37)</f>
        <v/>
      </c>
      <c r="V37" s="14" t="str">
        <f aca="false">IF(OR($U37="",$L37=0),"",$U37/$L37)</f>
        <v/>
      </c>
      <c r="W37" s="11"/>
      <c r="X37" s="23" t="str">
        <f aca="false">IF($C37="","",IF(AND($H37="",N($I37)=0,N($K37)=0),"Dòng chỉ lưu thông tin khách (chưa có đơn); ",IF($B37="","Thiếu ngày đặt; ","")&amp;IF($H37="","Thiếu tên sản phẩm; ",IF($J37="","Chưa khai GIÁ GỐC ở BẢNG GIÁ GỐC; ",""))&amp;IF(N($I37)&lt;=0,"Thiếu số lượng; ","")&amp;IF(N($K37)&lt;=0,"Thiếu giá bán; ","")&amp;IF(AND($N37&gt;0,$F37=""),"Khách lấy VAT thiếu mã số thuế; ","")&amp;IF(N($Q37)&gt;$P37,"Đã thu vượt tổng phải thu; ","")&amp;IF(AND($L37&gt;0,$U37&lt;&gt;"",$U37&lt;0),"CẢNH BÁO: ĐƠN NÀY ĐANG LỖ; ","")))</f>
        <v/>
      </c>
    </row>
    <row r="38" customFormat="false" ht="15" hidden="false" customHeight="false" outlineLevel="0" collapsed="false">
      <c r="A38" s="21" t="str">
        <f aca="false">IF($C38="","",COUNTA($C$10:$C38))</f>
        <v/>
      </c>
      <c r="B38" s="18"/>
      <c r="C38" s="11"/>
      <c r="D38" s="11"/>
      <c r="E38" s="11"/>
      <c r="F38" s="11"/>
      <c r="G38" s="11"/>
      <c r="H38" s="11"/>
      <c r="I38" s="12"/>
      <c r="J38" s="13" t="str">
        <f aca="false">IF($H38="","",IFERROR(VLOOKUP($H38,'BẢNG GIÁ GỐC'!$A$5:$D$254,3,FALSE()),""))</f>
        <v/>
      </c>
      <c r="K38" s="12"/>
      <c r="L38" s="13" t="str">
        <f aca="false">IF($C38="","",N($I38)*N($K38))</f>
        <v/>
      </c>
      <c r="M38" s="11"/>
      <c r="N38" s="14" t="str">
        <f aca="false">IF($C38="","",IF($M38="VAT 5%",0.05,IF($M38="VAT 8%",0.08,IF($M38="VAT 10%",0.1,0))))</f>
        <v/>
      </c>
      <c r="O38" s="13" t="str">
        <f aca="false">IF($C38="","",$L38*$N38)</f>
        <v/>
      </c>
      <c r="P38" s="13" t="str">
        <f aca="false">IF($C38="","",$L38+$O38)</f>
        <v/>
      </c>
      <c r="Q38" s="12"/>
      <c r="R38" s="13" t="str">
        <f aca="false">IF($C38="","",MAX(0,$P38-N($Q38)))</f>
        <v/>
      </c>
      <c r="S38" s="23" t="str">
        <f aca="false">IF(OR($C38="",$P38=0),"",IF(N($Q38)&lt;=0,"Chưa thanh toán",IF(N($Q38)&lt;$P38,"Thanh toán một phần","Đã thanh toán")))</f>
        <v/>
      </c>
      <c r="T38" s="13" t="str">
        <f aca="false">IF(OR($C38="",$J38=""),"",N($I38)*$J38)</f>
        <v/>
      </c>
      <c r="U38" s="13" t="str">
        <f aca="false">IF(OR($C38="",$T38=""),"",$L38-$T38)</f>
        <v/>
      </c>
      <c r="V38" s="14" t="str">
        <f aca="false">IF(OR($U38="",$L38=0),"",$U38/$L38)</f>
        <v/>
      </c>
      <c r="W38" s="11"/>
      <c r="X38" s="23" t="str">
        <f aca="false">IF($C38="","",IF(AND($H38="",N($I38)=0,N($K38)=0),"Dòng chỉ lưu thông tin khách (chưa có đơn); ",IF($B38="","Thiếu ngày đặt; ","")&amp;IF($H38="","Thiếu tên sản phẩm; ",IF($J38="","Chưa khai GIÁ GỐC ở BẢNG GIÁ GỐC; ",""))&amp;IF(N($I38)&lt;=0,"Thiếu số lượng; ","")&amp;IF(N($K38)&lt;=0,"Thiếu giá bán; ","")&amp;IF(AND($N38&gt;0,$F38=""),"Khách lấy VAT thiếu mã số thuế; ","")&amp;IF(N($Q38)&gt;$P38,"Đã thu vượt tổng phải thu; ","")&amp;IF(AND($L38&gt;0,$U38&lt;&gt;"",$U38&lt;0),"CẢNH BÁO: ĐƠN NÀY ĐANG LỖ; ","")))</f>
        <v/>
      </c>
    </row>
    <row r="39" customFormat="false" ht="15" hidden="false" customHeight="false" outlineLevel="0" collapsed="false">
      <c r="A39" s="21" t="str">
        <f aca="false">IF($C39="","",COUNTA($C$10:$C39))</f>
        <v/>
      </c>
      <c r="B39" s="18"/>
      <c r="C39" s="11"/>
      <c r="D39" s="11"/>
      <c r="E39" s="11"/>
      <c r="F39" s="11"/>
      <c r="G39" s="11"/>
      <c r="H39" s="11"/>
      <c r="I39" s="12"/>
      <c r="J39" s="13" t="str">
        <f aca="false">IF($H39="","",IFERROR(VLOOKUP($H39,'BẢNG GIÁ GỐC'!$A$5:$D$254,3,FALSE()),""))</f>
        <v/>
      </c>
      <c r="K39" s="12"/>
      <c r="L39" s="13" t="str">
        <f aca="false">IF($C39="","",N($I39)*N($K39))</f>
        <v/>
      </c>
      <c r="M39" s="11"/>
      <c r="N39" s="14" t="str">
        <f aca="false">IF($C39="","",IF($M39="VAT 5%",0.05,IF($M39="VAT 8%",0.08,IF($M39="VAT 10%",0.1,0))))</f>
        <v/>
      </c>
      <c r="O39" s="13" t="str">
        <f aca="false">IF($C39="","",$L39*$N39)</f>
        <v/>
      </c>
      <c r="P39" s="13" t="str">
        <f aca="false">IF($C39="","",$L39+$O39)</f>
        <v/>
      </c>
      <c r="Q39" s="12"/>
      <c r="R39" s="13" t="str">
        <f aca="false">IF($C39="","",MAX(0,$P39-N($Q39)))</f>
        <v/>
      </c>
      <c r="S39" s="23" t="str">
        <f aca="false">IF(OR($C39="",$P39=0),"",IF(N($Q39)&lt;=0,"Chưa thanh toán",IF(N($Q39)&lt;$P39,"Thanh toán một phần","Đã thanh toán")))</f>
        <v/>
      </c>
      <c r="T39" s="13" t="str">
        <f aca="false">IF(OR($C39="",$J39=""),"",N($I39)*$J39)</f>
        <v/>
      </c>
      <c r="U39" s="13" t="str">
        <f aca="false">IF(OR($C39="",$T39=""),"",$L39-$T39)</f>
        <v/>
      </c>
      <c r="V39" s="14" t="str">
        <f aca="false">IF(OR($U39="",$L39=0),"",$U39/$L39)</f>
        <v/>
      </c>
      <c r="W39" s="11"/>
      <c r="X39" s="23" t="str">
        <f aca="false">IF($C39="","",IF(AND($H39="",N($I39)=0,N($K39)=0),"Dòng chỉ lưu thông tin khách (chưa có đơn); ",IF($B39="","Thiếu ngày đặt; ","")&amp;IF($H39="","Thiếu tên sản phẩm; ",IF($J39="","Chưa khai GIÁ GỐC ở BẢNG GIÁ GỐC; ",""))&amp;IF(N($I39)&lt;=0,"Thiếu số lượng; ","")&amp;IF(N($K39)&lt;=0,"Thiếu giá bán; ","")&amp;IF(AND($N39&gt;0,$F39=""),"Khách lấy VAT thiếu mã số thuế; ","")&amp;IF(N($Q39)&gt;$P39,"Đã thu vượt tổng phải thu; ","")&amp;IF(AND($L39&gt;0,$U39&lt;&gt;"",$U39&lt;0),"CẢNH BÁO: ĐƠN NÀY ĐANG LỖ; ","")))</f>
        <v/>
      </c>
    </row>
    <row r="40" customFormat="false" ht="15" hidden="false" customHeight="false" outlineLevel="0" collapsed="false">
      <c r="A40" s="21" t="str">
        <f aca="false">IF($C40="","",COUNTA($C$10:$C40))</f>
        <v/>
      </c>
      <c r="B40" s="18"/>
      <c r="C40" s="11"/>
      <c r="D40" s="11"/>
      <c r="E40" s="11"/>
      <c r="F40" s="11"/>
      <c r="G40" s="11"/>
      <c r="H40" s="11"/>
      <c r="I40" s="12"/>
      <c r="J40" s="13" t="str">
        <f aca="false">IF($H40="","",IFERROR(VLOOKUP($H40,'BẢNG GIÁ GỐC'!$A$5:$D$254,3,FALSE()),""))</f>
        <v/>
      </c>
      <c r="K40" s="12"/>
      <c r="L40" s="13" t="str">
        <f aca="false">IF($C40="","",N($I40)*N($K40))</f>
        <v/>
      </c>
      <c r="M40" s="11"/>
      <c r="N40" s="14" t="str">
        <f aca="false">IF($C40="","",IF($M40="VAT 5%",0.05,IF($M40="VAT 8%",0.08,IF($M40="VAT 10%",0.1,0))))</f>
        <v/>
      </c>
      <c r="O40" s="13" t="str">
        <f aca="false">IF($C40="","",$L40*$N40)</f>
        <v/>
      </c>
      <c r="P40" s="13" t="str">
        <f aca="false">IF($C40="","",$L40+$O40)</f>
        <v/>
      </c>
      <c r="Q40" s="12"/>
      <c r="R40" s="13" t="str">
        <f aca="false">IF($C40="","",MAX(0,$P40-N($Q40)))</f>
        <v/>
      </c>
      <c r="S40" s="23" t="str">
        <f aca="false">IF(OR($C40="",$P40=0),"",IF(N($Q40)&lt;=0,"Chưa thanh toán",IF(N($Q40)&lt;$P40,"Thanh toán một phần","Đã thanh toán")))</f>
        <v/>
      </c>
      <c r="T40" s="13" t="str">
        <f aca="false">IF(OR($C40="",$J40=""),"",N($I40)*$J40)</f>
        <v/>
      </c>
      <c r="U40" s="13" t="str">
        <f aca="false">IF(OR($C40="",$T40=""),"",$L40-$T40)</f>
        <v/>
      </c>
      <c r="V40" s="14" t="str">
        <f aca="false">IF(OR($U40="",$L40=0),"",$U40/$L40)</f>
        <v/>
      </c>
      <c r="W40" s="11"/>
      <c r="X40" s="23" t="str">
        <f aca="false">IF($C40="","",IF(AND($H40="",N($I40)=0,N($K40)=0),"Dòng chỉ lưu thông tin khách (chưa có đơn); ",IF($B40="","Thiếu ngày đặt; ","")&amp;IF($H40="","Thiếu tên sản phẩm; ",IF($J40="","Chưa khai GIÁ GỐC ở BẢNG GIÁ GỐC; ",""))&amp;IF(N($I40)&lt;=0,"Thiếu số lượng; ","")&amp;IF(N($K40)&lt;=0,"Thiếu giá bán; ","")&amp;IF(AND($N40&gt;0,$F40=""),"Khách lấy VAT thiếu mã số thuế; ","")&amp;IF(N($Q40)&gt;$P40,"Đã thu vượt tổng phải thu; ","")&amp;IF(AND($L40&gt;0,$U40&lt;&gt;"",$U40&lt;0),"CẢNH BÁO: ĐƠN NÀY ĐANG LỖ; ","")))</f>
        <v/>
      </c>
    </row>
    <row r="41" customFormat="false" ht="15" hidden="false" customHeight="false" outlineLevel="0" collapsed="false">
      <c r="A41" s="21" t="str">
        <f aca="false">IF($C41="","",COUNTA($C$10:$C41))</f>
        <v/>
      </c>
      <c r="B41" s="18"/>
      <c r="C41" s="11"/>
      <c r="D41" s="11"/>
      <c r="E41" s="11"/>
      <c r="F41" s="11"/>
      <c r="G41" s="11"/>
      <c r="H41" s="11"/>
      <c r="I41" s="12"/>
      <c r="J41" s="13" t="str">
        <f aca="false">IF($H41="","",IFERROR(VLOOKUP($H41,'BẢNG GIÁ GỐC'!$A$5:$D$254,3,FALSE()),""))</f>
        <v/>
      </c>
      <c r="K41" s="12"/>
      <c r="L41" s="13" t="str">
        <f aca="false">IF($C41="","",N($I41)*N($K41))</f>
        <v/>
      </c>
      <c r="M41" s="11"/>
      <c r="N41" s="14" t="str">
        <f aca="false">IF($C41="","",IF($M41="VAT 5%",0.05,IF($M41="VAT 8%",0.08,IF($M41="VAT 10%",0.1,0))))</f>
        <v/>
      </c>
      <c r="O41" s="13" t="str">
        <f aca="false">IF($C41="","",$L41*$N41)</f>
        <v/>
      </c>
      <c r="P41" s="13" t="str">
        <f aca="false">IF($C41="","",$L41+$O41)</f>
        <v/>
      </c>
      <c r="Q41" s="12"/>
      <c r="R41" s="13" t="str">
        <f aca="false">IF($C41="","",MAX(0,$P41-N($Q41)))</f>
        <v/>
      </c>
      <c r="S41" s="23" t="str">
        <f aca="false">IF(OR($C41="",$P41=0),"",IF(N($Q41)&lt;=0,"Chưa thanh toán",IF(N($Q41)&lt;$P41,"Thanh toán một phần","Đã thanh toán")))</f>
        <v/>
      </c>
      <c r="T41" s="13" t="str">
        <f aca="false">IF(OR($C41="",$J41=""),"",N($I41)*$J41)</f>
        <v/>
      </c>
      <c r="U41" s="13" t="str">
        <f aca="false">IF(OR($C41="",$T41=""),"",$L41-$T41)</f>
        <v/>
      </c>
      <c r="V41" s="14" t="str">
        <f aca="false">IF(OR($U41="",$L41=0),"",$U41/$L41)</f>
        <v/>
      </c>
      <c r="W41" s="11"/>
      <c r="X41" s="23" t="str">
        <f aca="false">IF($C41="","",IF(AND($H41="",N($I41)=0,N($K41)=0),"Dòng chỉ lưu thông tin khách (chưa có đơn); ",IF($B41="","Thiếu ngày đặt; ","")&amp;IF($H41="","Thiếu tên sản phẩm; ",IF($J41="","Chưa khai GIÁ GỐC ở BẢNG GIÁ GỐC; ",""))&amp;IF(N($I41)&lt;=0,"Thiếu số lượng; ","")&amp;IF(N($K41)&lt;=0,"Thiếu giá bán; ","")&amp;IF(AND($N41&gt;0,$F41=""),"Khách lấy VAT thiếu mã số thuế; ","")&amp;IF(N($Q41)&gt;$P41,"Đã thu vượt tổng phải thu; ","")&amp;IF(AND($L41&gt;0,$U41&lt;&gt;"",$U41&lt;0),"CẢNH BÁO: ĐƠN NÀY ĐANG LỖ; ","")))</f>
        <v/>
      </c>
    </row>
    <row r="42" customFormat="false" ht="15" hidden="false" customHeight="false" outlineLevel="0" collapsed="false">
      <c r="A42" s="21" t="str">
        <f aca="false">IF($C42="","",COUNTA($C$10:$C42))</f>
        <v/>
      </c>
      <c r="B42" s="18"/>
      <c r="C42" s="11"/>
      <c r="D42" s="11"/>
      <c r="E42" s="11"/>
      <c r="F42" s="11"/>
      <c r="G42" s="11"/>
      <c r="H42" s="11"/>
      <c r="I42" s="12"/>
      <c r="J42" s="13" t="str">
        <f aca="false">IF($H42="","",IFERROR(VLOOKUP($H42,'BẢNG GIÁ GỐC'!$A$5:$D$254,3,FALSE()),""))</f>
        <v/>
      </c>
      <c r="K42" s="12"/>
      <c r="L42" s="13" t="str">
        <f aca="false">IF($C42="","",N($I42)*N($K42))</f>
        <v/>
      </c>
      <c r="M42" s="11"/>
      <c r="N42" s="14" t="str">
        <f aca="false">IF($C42="","",IF($M42="VAT 5%",0.05,IF($M42="VAT 8%",0.08,IF($M42="VAT 10%",0.1,0))))</f>
        <v/>
      </c>
      <c r="O42" s="13" t="str">
        <f aca="false">IF($C42="","",$L42*$N42)</f>
        <v/>
      </c>
      <c r="P42" s="13" t="str">
        <f aca="false">IF($C42="","",$L42+$O42)</f>
        <v/>
      </c>
      <c r="Q42" s="12"/>
      <c r="R42" s="13" t="str">
        <f aca="false">IF($C42="","",MAX(0,$P42-N($Q42)))</f>
        <v/>
      </c>
      <c r="S42" s="23" t="str">
        <f aca="false">IF(OR($C42="",$P42=0),"",IF(N($Q42)&lt;=0,"Chưa thanh toán",IF(N($Q42)&lt;$P42,"Thanh toán một phần","Đã thanh toán")))</f>
        <v/>
      </c>
      <c r="T42" s="13" t="str">
        <f aca="false">IF(OR($C42="",$J42=""),"",N($I42)*$J42)</f>
        <v/>
      </c>
      <c r="U42" s="13" t="str">
        <f aca="false">IF(OR($C42="",$T42=""),"",$L42-$T42)</f>
        <v/>
      </c>
      <c r="V42" s="14" t="str">
        <f aca="false">IF(OR($U42="",$L42=0),"",$U42/$L42)</f>
        <v/>
      </c>
      <c r="W42" s="11"/>
      <c r="X42" s="23" t="str">
        <f aca="false">IF($C42="","",IF(AND($H42="",N($I42)=0,N($K42)=0),"Dòng chỉ lưu thông tin khách (chưa có đơn); ",IF($B42="","Thiếu ngày đặt; ","")&amp;IF($H42="","Thiếu tên sản phẩm; ",IF($J42="","Chưa khai GIÁ GỐC ở BẢNG GIÁ GỐC; ",""))&amp;IF(N($I42)&lt;=0,"Thiếu số lượng; ","")&amp;IF(N($K42)&lt;=0,"Thiếu giá bán; ","")&amp;IF(AND($N42&gt;0,$F42=""),"Khách lấy VAT thiếu mã số thuế; ","")&amp;IF(N($Q42)&gt;$P42,"Đã thu vượt tổng phải thu; ","")&amp;IF(AND($L42&gt;0,$U42&lt;&gt;"",$U42&lt;0),"CẢNH BÁO: ĐƠN NÀY ĐANG LỖ; ","")))</f>
        <v/>
      </c>
    </row>
    <row r="43" customFormat="false" ht="15" hidden="false" customHeight="false" outlineLevel="0" collapsed="false">
      <c r="A43" s="21" t="str">
        <f aca="false">IF($C43="","",COUNTA($C$10:$C43))</f>
        <v/>
      </c>
      <c r="B43" s="18"/>
      <c r="C43" s="11"/>
      <c r="D43" s="11"/>
      <c r="E43" s="11"/>
      <c r="F43" s="11"/>
      <c r="G43" s="11"/>
      <c r="H43" s="11"/>
      <c r="I43" s="12"/>
      <c r="J43" s="13" t="str">
        <f aca="false">IF($H43="","",IFERROR(VLOOKUP($H43,'BẢNG GIÁ GỐC'!$A$5:$D$254,3,FALSE()),""))</f>
        <v/>
      </c>
      <c r="K43" s="12"/>
      <c r="L43" s="13" t="str">
        <f aca="false">IF($C43="","",N($I43)*N($K43))</f>
        <v/>
      </c>
      <c r="M43" s="11"/>
      <c r="N43" s="14" t="str">
        <f aca="false">IF($C43="","",IF($M43="VAT 5%",0.05,IF($M43="VAT 8%",0.08,IF($M43="VAT 10%",0.1,0))))</f>
        <v/>
      </c>
      <c r="O43" s="13" t="str">
        <f aca="false">IF($C43="","",$L43*$N43)</f>
        <v/>
      </c>
      <c r="P43" s="13" t="str">
        <f aca="false">IF($C43="","",$L43+$O43)</f>
        <v/>
      </c>
      <c r="Q43" s="12"/>
      <c r="R43" s="13" t="str">
        <f aca="false">IF($C43="","",MAX(0,$P43-N($Q43)))</f>
        <v/>
      </c>
      <c r="S43" s="23" t="str">
        <f aca="false">IF(OR($C43="",$P43=0),"",IF(N($Q43)&lt;=0,"Chưa thanh toán",IF(N($Q43)&lt;$P43,"Thanh toán một phần","Đã thanh toán")))</f>
        <v/>
      </c>
      <c r="T43" s="13" t="str">
        <f aca="false">IF(OR($C43="",$J43=""),"",N($I43)*$J43)</f>
        <v/>
      </c>
      <c r="U43" s="13" t="str">
        <f aca="false">IF(OR($C43="",$T43=""),"",$L43-$T43)</f>
        <v/>
      </c>
      <c r="V43" s="14" t="str">
        <f aca="false">IF(OR($U43="",$L43=0),"",$U43/$L43)</f>
        <v/>
      </c>
      <c r="W43" s="11"/>
      <c r="X43" s="23" t="str">
        <f aca="false">IF($C43="","",IF(AND($H43="",N($I43)=0,N($K43)=0),"Dòng chỉ lưu thông tin khách (chưa có đơn); ",IF($B43="","Thiếu ngày đặt; ","")&amp;IF($H43="","Thiếu tên sản phẩm; ",IF($J43="","Chưa khai GIÁ GỐC ở BẢNG GIÁ GỐC; ",""))&amp;IF(N($I43)&lt;=0,"Thiếu số lượng; ","")&amp;IF(N($K43)&lt;=0,"Thiếu giá bán; ","")&amp;IF(AND($N43&gt;0,$F43=""),"Khách lấy VAT thiếu mã số thuế; ","")&amp;IF(N($Q43)&gt;$P43,"Đã thu vượt tổng phải thu; ","")&amp;IF(AND($L43&gt;0,$U43&lt;&gt;"",$U43&lt;0),"CẢNH BÁO: ĐƠN NÀY ĐANG LỖ; ","")))</f>
        <v/>
      </c>
    </row>
    <row r="44" customFormat="false" ht="15" hidden="false" customHeight="false" outlineLevel="0" collapsed="false">
      <c r="A44" s="21" t="str">
        <f aca="false">IF($C44="","",COUNTA($C$10:$C44))</f>
        <v/>
      </c>
      <c r="B44" s="18"/>
      <c r="C44" s="11"/>
      <c r="D44" s="11"/>
      <c r="E44" s="11"/>
      <c r="F44" s="11"/>
      <c r="G44" s="11"/>
      <c r="H44" s="11"/>
      <c r="I44" s="12"/>
      <c r="J44" s="13" t="str">
        <f aca="false">IF($H44="","",IFERROR(VLOOKUP($H44,'BẢNG GIÁ GỐC'!$A$5:$D$254,3,FALSE()),""))</f>
        <v/>
      </c>
      <c r="K44" s="12"/>
      <c r="L44" s="13" t="str">
        <f aca="false">IF($C44="","",N($I44)*N($K44))</f>
        <v/>
      </c>
      <c r="M44" s="11"/>
      <c r="N44" s="14" t="str">
        <f aca="false">IF($C44="","",IF($M44="VAT 5%",0.05,IF($M44="VAT 8%",0.08,IF($M44="VAT 10%",0.1,0))))</f>
        <v/>
      </c>
      <c r="O44" s="13" t="str">
        <f aca="false">IF($C44="","",$L44*$N44)</f>
        <v/>
      </c>
      <c r="P44" s="13" t="str">
        <f aca="false">IF($C44="","",$L44+$O44)</f>
        <v/>
      </c>
      <c r="Q44" s="12"/>
      <c r="R44" s="13" t="str">
        <f aca="false">IF($C44="","",MAX(0,$P44-N($Q44)))</f>
        <v/>
      </c>
      <c r="S44" s="23" t="str">
        <f aca="false">IF(OR($C44="",$P44=0),"",IF(N($Q44)&lt;=0,"Chưa thanh toán",IF(N($Q44)&lt;$P44,"Thanh toán một phần","Đã thanh toán")))</f>
        <v/>
      </c>
      <c r="T44" s="13" t="str">
        <f aca="false">IF(OR($C44="",$J44=""),"",N($I44)*$J44)</f>
        <v/>
      </c>
      <c r="U44" s="13" t="str">
        <f aca="false">IF(OR($C44="",$T44=""),"",$L44-$T44)</f>
        <v/>
      </c>
      <c r="V44" s="14" t="str">
        <f aca="false">IF(OR($U44="",$L44=0),"",$U44/$L44)</f>
        <v/>
      </c>
      <c r="W44" s="11"/>
      <c r="X44" s="23" t="str">
        <f aca="false">IF($C44="","",IF(AND($H44="",N($I44)=0,N($K44)=0),"Dòng chỉ lưu thông tin khách (chưa có đơn); ",IF($B44="","Thiếu ngày đặt; ","")&amp;IF($H44="","Thiếu tên sản phẩm; ",IF($J44="","Chưa khai GIÁ GỐC ở BẢNG GIÁ GỐC; ",""))&amp;IF(N($I44)&lt;=0,"Thiếu số lượng; ","")&amp;IF(N($K44)&lt;=0,"Thiếu giá bán; ","")&amp;IF(AND($N44&gt;0,$F44=""),"Khách lấy VAT thiếu mã số thuế; ","")&amp;IF(N($Q44)&gt;$P44,"Đã thu vượt tổng phải thu; ","")&amp;IF(AND($L44&gt;0,$U44&lt;&gt;"",$U44&lt;0),"CẢNH BÁO: ĐƠN NÀY ĐANG LỖ; ","")))</f>
        <v/>
      </c>
    </row>
    <row r="45" customFormat="false" ht="15" hidden="false" customHeight="false" outlineLevel="0" collapsed="false">
      <c r="A45" s="21" t="str">
        <f aca="false">IF($C45="","",COUNTA($C$10:$C45))</f>
        <v/>
      </c>
      <c r="B45" s="18"/>
      <c r="C45" s="11"/>
      <c r="D45" s="11"/>
      <c r="E45" s="11"/>
      <c r="F45" s="11"/>
      <c r="G45" s="11"/>
      <c r="H45" s="11"/>
      <c r="I45" s="12"/>
      <c r="J45" s="13" t="str">
        <f aca="false">IF($H45="","",IFERROR(VLOOKUP($H45,'BẢNG GIÁ GỐC'!$A$5:$D$254,3,FALSE()),""))</f>
        <v/>
      </c>
      <c r="K45" s="12"/>
      <c r="L45" s="13" t="str">
        <f aca="false">IF($C45="","",N($I45)*N($K45))</f>
        <v/>
      </c>
      <c r="M45" s="11"/>
      <c r="N45" s="14" t="str">
        <f aca="false">IF($C45="","",IF($M45="VAT 5%",0.05,IF($M45="VAT 8%",0.08,IF($M45="VAT 10%",0.1,0))))</f>
        <v/>
      </c>
      <c r="O45" s="13" t="str">
        <f aca="false">IF($C45="","",$L45*$N45)</f>
        <v/>
      </c>
      <c r="P45" s="13" t="str">
        <f aca="false">IF($C45="","",$L45+$O45)</f>
        <v/>
      </c>
      <c r="Q45" s="12"/>
      <c r="R45" s="13" t="str">
        <f aca="false">IF($C45="","",MAX(0,$P45-N($Q45)))</f>
        <v/>
      </c>
      <c r="S45" s="23" t="str">
        <f aca="false">IF(OR($C45="",$P45=0),"",IF(N($Q45)&lt;=0,"Chưa thanh toán",IF(N($Q45)&lt;$P45,"Thanh toán một phần","Đã thanh toán")))</f>
        <v/>
      </c>
      <c r="T45" s="13" t="str">
        <f aca="false">IF(OR($C45="",$J45=""),"",N($I45)*$J45)</f>
        <v/>
      </c>
      <c r="U45" s="13" t="str">
        <f aca="false">IF(OR($C45="",$T45=""),"",$L45-$T45)</f>
        <v/>
      </c>
      <c r="V45" s="14" t="str">
        <f aca="false">IF(OR($U45="",$L45=0),"",$U45/$L45)</f>
        <v/>
      </c>
      <c r="W45" s="11"/>
      <c r="X45" s="23" t="str">
        <f aca="false">IF($C45="","",IF(AND($H45="",N($I45)=0,N($K45)=0),"Dòng chỉ lưu thông tin khách (chưa có đơn); ",IF($B45="","Thiếu ngày đặt; ","")&amp;IF($H45="","Thiếu tên sản phẩm; ",IF($J45="","Chưa khai GIÁ GỐC ở BẢNG GIÁ GỐC; ",""))&amp;IF(N($I45)&lt;=0,"Thiếu số lượng; ","")&amp;IF(N($K45)&lt;=0,"Thiếu giá bán; ","")&amp;IF(AND($N45&gt;0,$F45=""),"Khách lấy VAT thiếu mã số thuế; ","")&amp;IF(N($Q45)&gt;$P45,"Đã thu vượt tổng phải thu; ","")&amp;IF(AND($L45&gt;0,$U45&lt;&gt;"",$U45&lt;0),"CẢNH BÁO: ĐƠN NÀY ĐANG LỖ; ","")))</f>
        <v/>
      </c>
    </row>
    <row r="46" customFormat="false" ht="15" hidden="false" customHeight="false" outlineLevel="0" collapsed="false">
      <c r="A46" s="21" t="str">
        <f aca="false">IF($C46="","",COUNTA($C$10:$C46))</f>
        <v/>
      </c>
      <c r="B46" s="18"/>
      <c r="C46" s="11"/>
      <c r="D46" s="11"/>
      <c r="E46" s="11"/>
      <c r="F46" s="11"/>
      <c r="G46" s="11"/>
      <c r="H46" s="11"/>
      <c r="I46" s="12"/>
      <c r="J46" s="13" t="str">
        <f aca="false">IF($H46="","",IFERROR(VLOOKUP($H46,'BẢNG GIÁ GỐC'!$A$5:$D$254,3,FALSE()),""))</f>
        <v/>
      </c>
      <c r="K46" s="12"/>
      <c r="L46" s="13" t="str">
        <f aca="false">IF($C46="","",N($I46)*N($K46))</f>
        <v/>
      </c>
      <c r="M46" s="11"/>
      <c r="N46" s="14" t="str">
        <f aca="false">IF($C46="","",IF($M46="VAT 5%",0.05,IF($M46="VAT 8%",0.08,IF($M46="VAT 10%",0.1,0))))</f>
        <v/>
      </c>
      <c r="O46" s="13" t="str">
        <f aca="false">IF($C46="","",$L46*$N46)</f>
        <v/>
      </c>
      <c r="P46" s="13" t="str">
        <f aca="false">IF($C46="","",$L46+$O46)</f>
        <v/>
      </c>
      <c r="Q46" s="12"/>
      <c r="R46" s="13" t="str">
        <f aca="false">IF($C46="","",MAX(0,$P46-N($Q46)))</f>
        <v/>
      </c>
      <c r="S46" s="23" t="str">
        <f aca="false">IF(OR($C46="",$P46=0),"",IF(N($Q46)&lt;=0,"Chưa thanh toán",IF(N($Q46)&lt;$P46,"Thanh toán một phần","Đã thanh toán")))</f>
        <v/>
      </c>
      <c r="T46" s="13" t="str">
        <f aca="false">IF(OR($C46="",$J46=""),"",N($I46)*$J46)</f>
        <v/>
      </c>
      <c r="U46" s="13" t="str">
        <f aca="false">IF(OR($C46="",$T46=""),"",$L46-$T46)</f>
        <v/>
      </c>
      <c r="V46" s="14" t="str">
        <f aca="false">IF(OR($U46="",$L46=0),"",$U46/$L46)</f>
        <v/>
      </c>
      <c r="W46" s="11"/>
      <c r="X46" s="23" t="str">
        <f aca="false">IF($C46="","",IF(AND($H46="",N($I46)=0,N($K46)=0),"Dòng chỉ lưu thông tin khách (chưa có đơn); ",IF($B46="","Thiếu ngày đặt; ","")&amp;IF($H46="","Thiếu tên sản phẩm; ",IF($J46="","Chưa khai GIÁ GỐC ở BẢNG GIÁ GỐC; ",""))&amp;IF(N($I46)&lt;=0,"Thiếu số lượng; ","")&amp;IF(N($K46)&lt;=0,"Thiếu giá bán; ","")&amp;IF(AND($N46&gt;0,$F46=""),"Khách lấy VAT thiếu mã số thuế; ","")&amp;IF(N($Q46)&gt;$P46,"Đã thu vượt tổng phải thu; ","")&amp;IF(AND($L46&gt;0,$U46&lt;&gt;"",$U46&lt;0),"CẢNH BÁO: ĐƠN NÀY ĐANG LỖ; ","")))</f>
        <v/>
      </c>
    </row>
    <row r="47" customFormat="false" ht="15" hidden="false" customHeight="false" outlineLevel="0" collapsed="false">
      <c r="A47" s="21" t="str">
        <f aca="false">IF($C47="","",COUNTA($C$10:$C47))</f>
        <v/>
      </c>
      <c r="B47" s="18"/>
      <c r="C47" s="11"/>
      <c r="D47" s="11"/>
      <c r="E47" s="11"/>
      <c r="F47" s="11"/>
      <c r="G47" s="11"/>
      <c r="H47" s="11"/>
      <c r="I47" s="12"/>
      <c r="J47" s="13" t="str">
        <f aca="false">IF($H47="","",IFERROR(VLOOKUP($H47,'BẢNG GIÁ GỐC'!$A$5:$D$254,3,FALSE()),""))</f>
        <v/>
      </c>
      <c r="K47" s="12"/>
      <c r="L47" s="13" t="str">
        <f aca="false">IF($C47="","",N($I47)*N($K47))</f>
        <v/>
      </c>
      <c r="M47" s="11"/>
      <c r="N47" s="14" t="str">
        <f aca="false">IF($C47="","",IF($M47="VAT 5%",0.05,IF($M47="VAT 8%",0.08,IF($M47="VAT 10%",0.1,0))))</f>
        <v/>
      </c>
      <c r="O47" s="13" t="str">
        <f aca="false">IF($C47="","",$L47*$N47)</f>
        <v/>
      </c>
      <c r="P47" s="13" t="str">
        <f aca="false">IF($C47="","",$L47+$O47)</f>
        <v/>
      </c>
      <c r="Q47" s="12"/>
      <c r="R47" s="13" t="str">
        <f aca="false">IF($C47="","",MAX(0,$P47-N($Q47)))</f>
        <v/>
      </c>
      <c r="S47" s="23" t="str">
        <f aca="false">IF(OR($C47="",$P47=0),"",IF(N($Q47)&lt;=0,"Chưa thanh toán",IF(N($Q47)&lt;$P47,"Thanh toán một phần","Đã thanh toán")))</f>
        <v/>
      </c>
      <c r="T47" s="13" t="str">
        <f aca="false">IF(OR($C47="",$J47=""),"",N($I47)*$J47)</f>
        <v/>
      </c>
      <c r="U47" s="13" t="str">
        <f aca="false">IF(OR($C47="",$T47=""),"",$L47-$T47)</f>
        <v/>
      </c>
      <c r="V47" s="14" t="str">
        <f aca="false">IF(OR($U47="",$L47=0),"",$U47/$L47)</f>
        <v/>
      </c>
      <c r="W47" s="11"/>
      <c r="X47" s="23" t="str">
        <f aca="false">IF($C47="","",IF(AND($H47="",N($I47)=0,N($K47)=0),"Dòng chỉ lưu thông tin khách (chưa có đơn); ",IF($B47="","Thiếu ngày đặt; ","")&amp;IF($H47="","Thiếu tên sản phẩm; ",IF($J47="","Chưa khai GIÁ GỐC ở BẢNG GIÁ GỐC; ",""))&amp;IF(N($I47)&lt;=0,"Thiếu số lượng; ","")&amp;IF(N($K47)&lt;=0,"Thiếu giá bán; ","")&amp;IF(AND($N47&gt;0,$F47=""),"Khách lấy VAT thiếu mã số thuế; ","")&amp;IF(N($Q47)&gt;$P47,"Đã thu vượt tổng phải thu; ","")&amp;IF(AND($L47&gt;0,$U47&lt;&gt;"",$U47&lt;0),"CẢNH BÁO: ĐƠN NÀY ĐANG LỖ; ","")))</f>
        <v/>
      </c>
    </row>
    <row r="48" customFormat="false" ht="15" hidden="false" customHeight="false" outlineLevel="0" collapsed="false">
      <c r="A48" s="21" t="str">
        <f aca="false">IF($C48="","",COUNTA($C$10:$C48))</f>
        <v/>
      </c>
      <c r="B48" s="18"/>
      <c r="C48" s="11"/>
      <c r="D48" s="11"/>
      <c r="E48" s="11"/>
      <c r="F48" s="11"/>
      <c r="G48" s="11"/>
      <c r="H48" s="11"/>
      <c r="I48" s="12"/>
      <c r="J48" s="13" t="str">
        <f aca="false">IF($H48="","",IFERROR(VLOOKUP($H48,'BẢNG GIÁ GỐC'!$A$5:$D$254,3,FALSE()),""))</f>
        <v/>
      </c>
      <c r="K48" s="12"/>
      <c r="L48" s="13" t="str">
        <f aca="false">IF($C48="","",N($I48)*N($K48))</f>
        <v/>
      </c>
      <c r="M48" s="11"/>
      <c r="N48" s="14" t="str">
        <f aca="false">IF($C48="","",IF($M48="VAT 5%",0.05,IF($M48="VAT 8%",0.08,IF($M48="VAT 10%",0.1,0))))</f>
        <v/>
      </c>
      <c r="O48" s="13" t="str">
        <f aca="false">IF($C48="","",$L48*$N48)</f>
        <v/>
      </c>
      <c r="P48" s="13" t="str">
        <f aca="false">IF($C48="","",$L48+$O48)</f>
        <v/>
      </c>
      <c r="Q48" s="12"/>
      <c r="R48" s="13" t="str">
        <f aca="false">IF($C48="","",MAX(0,$P48-N($Q48)))</f>
        <v/>
      </c>
      <c r="S48" s="23" t="str">
        <f aca="false">IF(OR($C48="",$P48=0),"",IF(N($Q48)&lt;=0,"Chưa thanh toán",IF(N($Q48)&lt;$P48,"Thanh toán một phần","Đã thanh toán")))</f>
        <v/>
      </c>
      <c r="T48" s="13" t="str">
        <f aca="false">IF(OR($C48="",$J48=""),"",N($I48)*$J48)</f>
        <v/>
      </c>
      <c r="U48" s="13" t="str">
        <f aca="false">IF(OR($C48="",$T48=""),"",$L48-$T48)</f>
        <v/>
      </c>
      <c r="V48" s="14" t="str">
        <f aca="false">IF(OR($U48="",$L48=0),"",$U48/$L48)</f>
        <v/>
      </c>
      <c r="W48" s="11"/>
      <c r="X48" s="23" t="str">
        <f aca="false">IF($C48="","",IF(AND($H48="",N($I48)=0,N($K48)=0),"Dòng chỉ lưu thông tin khách (chưa có đơn); ",IF($B48="","Thiếu ngày đặt; ","")&amp;IF($H48="","Thiếu tên sản phẩm; ",IF($J48="","Chưa khai GIÁ GỐC ở BẢNG GIÁ GỐC; ",""))&amp;IF(N($I48)&lt;=0,"Thiếu số lượng; ","")&amp;IF(N($K48)&lt;=0,"Thiếu giá bán; ","")&amp;IF(AND($N48&gt;0,$F48=""),"Khách lấy VAT thiếu mã số thuế; ","")&amp;IF(N($Q48)&gt;$P48,"Đã thu vượt tổng phải thu; ","")&amp;IF(AND($L48&gt;0,$U48&lt;&gt;"",$U48&lt;0),"CẢNH BÁO: ĐƠN NÀY ĐANG LỖ; ","")))</f>
        <v/>
      </c>
    </row>
    <row r="49" customFormat="false" ht="15" hidden="false" customHeight="false" outlineLevel="0" collapsed="false">
      <c r="A49" s="21" t="str">
        <f aca="false">IF($C49="","",COUNTA($C$10:$C49))</f>
        <v/>
      </c>
      <c r="B49" s="18"/>
      <c r="C49" s="11"/>
      <c r="D49" s="11"/>
      <c r="E49" s="11"/>
      <c r="F49" s="11"/>
      <c r="G49" s="11"/>
      <c r="H49" s="11"/>
      <c r="I49" s="12"/>
      <c r="J49" s="13" t="str">
        <f aca="false">IF($H49="","",IFERROR(VLOOKUP($H49,'BẢNG GIÁ GỐC'!$A$5:$D$254,3,FALSE()),""))</f>
        <v/>
      </c>
      <c r="K49" s="12"/>
      <c r="L49" s="13" t="str">
        <f aca="false">IF($C49="","",N($I49)*N($K49))</f>
        <v/>
      </c>
      <c r="M49" s="11"/>
      <c r="N49" s="14" t="str">
        <f aca="false">IF($C49="","",IF($M49="VAT 5%",0.05,IF($M49="VAT 8%",0.08,IF($M49="VAT 10%",0.1,0))))</f>
        <v/>
      </c>
      <c r="O49" s="13" t="str">
        <f aca="false">IF($C49="","",$L49*$N49)</f>
        <v/>
      </c>
      <c r="P49" s="13" t="str">
        <f aca="false">IF($C49="","",$L49+$O49)</f>
        <v/>
      </c>
      <c r="Q49" s="12"/>
      <c r="R49" s="13" t="str">
        <f aca="false">IF($C49="","",MAX(0,$P49-N($Q49)))</f>
        <v/>
      </c>
      <c r="S49" s="23" t="str">
        <f aca="false">IF(OR($C49="",$P49=0),"",IF(N($Q49)&lt;=0,"Chưa thanh toán",IF(N($Q49)&lt;$P49,"Thanh toán một phần","Đã thanh toán")))</f>
        <v/>
      </c>
      <c r="T49" s="13" t="str">
        <f aca="false">IF(OR($C49="",$J49=""),"",N($I49)*$J49)</f>
        <v/>
      </c>
      <c r="U49" s="13" t="str">
        <f aca="false">IF(OR($C49="",$T49=""),"",$L49-$T49)</f>
        <v/>
      </c>
      <c r="V49" s="14" t="str">
        <f aca="false">IF(OR($U49="",$L49=0),"",$U49/$L49)</f>
        <v/>
      </c>
      <c r="W49" s="11"/>
      <c r="X49" s="23" t="str">
        <f aca="false">IF($C49="","",IF(AND($H49="",N($I49)=0,N($K49)=0),"Dòng chỉ lưu thông tin khách (chưa có đơn); ",IF($B49="","Thiếu ngày đặt; ","")&amp;IF($H49="","Thiếu tên sản phẩm; ",IF($J49="","Chưa khai GIÁ GỐC ở BẢNG GIÁ GỐC; ",""))&amp;IF(N($I49)&lt;=0,"Thiếu số lượng; ","")&amp;IF(N($K49)&lt;=0,"Thiếu giá bán; ","")&amp;IF(AND($N49&gt;0,$F49=""),"Khách lấy VAT thiếu mã số thuế; ","")&amp;IF(N($Q49)&gt;$P49,"Đã thu vượt tổng phải thu; ","")&amp;IF(AND($L49&gt;0,$U49&lt;&gt;"",$U49&lt;0),"CẢNH BÁO: ĐƠN NÀY ĐANG LỖ; ","")))</f>
        <v/>
      </c>
    </row>
    <row r="50" customFormat="false" ht="15" hidden="false" customHeight="false" outlineLevel="0" collapsed="false">
      <c r="A50" s="21" t="str">
        <f aca="false">IF($C50="","",COUNTA($C$10:$C50))</f>
        <v/>
      </c>
      <c r="B50" s="18"/>
      <c r="C50" s="11"/>
      <c r="D50" s="11"/>
      <c r="E50" s="11"/>
      <c r="F50" s="11"/>
      <c r="G50" s="11"/>
      <c r="H50" s="11"/>
      <c r="I50" s="12"/>
      <c r="J50" s="13" t="str">
        <f aca="false">IF($H50="","",IFERROR(VLOOKUP($H50,'BẢNG GIÁ GỐC'!$A$5:$D$254,3,FALSE()),""))</f>
        <v/>
      </c>
      <c r="K50" s="12"/>
      <c r="L50" s="13" t="str">
        <f aca="false">IF($C50="","",N($I50)*N($K50))</f>
        <v/>
      </c>
      <c r="M50" s="11"/>
      <c r="N50" s="14" t="str">
        <f aca="false">IF($C50="","",IF($M50="VAT 5%",0.05,IF($M50="VAT 8%",0.08,IF($M50="VAT 10%",0.1,0))))</f>
        <v/>
      </c>
      <c r="O50" s="13" t="str">
        <f aca="false">IF($C50="","",$L50*$N50)</f>
        <v/>
      </c>
      <c r="P50" s="13" t="str">
        <f aca="false">IF($C50="","",$L50+$O50)</f>
        <v/>
      </c>
      <c r="Q50" s="12"/>
      <c r="R50" s="13" t="str">
        <f aca="false">IF($C50="","",MAX(0,$P50-N($Q50)))</f>
        <v/>
      </c>
      <c r="S50" s="23" t="str">
        <f aca="false">IF(OR($C50="",$P50=0),"",IF(N($Q50)&lt;=0,"Chưa thanh toán",IF(N($Q50)&lt;$P50,"Thanh toán một phần","Đã thanh toán")))</f>
        <v/>
      </c>
      <c r="T50" s="13" t="str">
        <f aca="false">IF(OR($C50="",$J50=""),"",N($I50)*$J50)</f>
        <v/>
      </c>
      <c r="U50" s="13" t="str">
        <f aca="false">IF(OR($C50="",$T50=""),"",$L50-$T50)</f>
        <v/>
      </c>
      <c r="V50" s="14" t="str">
        <f aca="false">IF(OR($U50="",$L50=0),"",$U50/$L50)</f>
        <v/>
      </c>
      <c r="W50" s="11"/>
      <c r="X50" s="23" t="str">
        <f aca="false">IF($C50="","",IF(AND($H50="",N($I50)=0,N($K50)=0),"Dòng chỉ lưu thông tin khách (chưa có đơn); ",IF($B50="","Thiếu ngày đặt; ","")&amp;IF($H50="","Thiếu tên sản phẩm; ",IF($J50="","Chưa khai GIÁ GỐC ở BẢNG GIÁ GỐC; ",""))&amp;IF(N($I50)&lt;=0,"Thiếu số lượng; ","")&amp;IF(N($K50)&lt;=0,"Thiếu giá bán; ","")&amp;IF(AND($N50&gt;0,$F50=""),"Khách lấy VAT thiếu mã số thuế; ","")&amp;IF(N($Q50)&gt;$P50,"Đã thu vượt tổng phải thu; ","")&amp;IF(AND($L50&gt;0,$U50&lt;&gt;"",$U50&lt;0),"CẢNH BÁO: ĐƠN NÀY ĐANG LỖ; ","")))</f>
        <v/>
      </c>
    </row>
    <row r="51" customFormat="false" ht="15" hidden="false" customHeight="false" outlineLevel="0" collapsed="false">
      <c r="A51" s="21" t="str">
        <f aca="false">IF($C51="","",COUNTA($C$10:$C51))</f>
        <v/>
      </c>
      <c r="B51" s="18"/>
      <c r="C51" s="11"/>
      <c r="D51" s="11"/>
      <c r="E51" s="11"/>
      <c r="F51" s="11"/>
      <c r="G51" s="11"/>
      <c r="H51" s="11"/>
      <c r="I51" s="12"/>
      <c r="J51" s="13" t="str">
        <f aca="false">IF($H51="","",IFERROR(VLOOKUP($H51,'BẢNG GIÁ GỐC'!$A$5:$D$254,3,FALSE()),""))</f>
        <v/>
      </c>
      <c r="K51" s="12"/>
      <c r="L51" s="13" t="str">
        <f aca="false">IF($C51="","",N($I51)*N($K51))</f>
        <v/>
      </c>
      <c r="M51" s="11"/>
      <c r="N51" s="14" t="str">
        <f aca="false">IF($C51="","",IF($M51="VAT 5%",0.05,IF($M51="VAT 8%",0.08,IF($M51="VAT 10%",0.1,0))))</f>
        <v/>
      </c>
      <c r="O51" s="13" t="str">
        <f aca="false">IF($C51="","",$L51*$N51)</f>
        <v/>
      </c>
      <c r="P51" s="13" t="str">
        <f aca="false">IF($C51="","",$L51+$O51)</f>
        <v/>
      </c>
      <c r="Q51" s="12"/>
      <c r="R51" s="13" t="str">
        <f aca="false">IF($C51="","",MAX(0,$P51-N($Q51)))</f>
        <v/>
      </c>
      <c r="S51" s="23" t="str">
        <f aca="false">IF(OR($C51="",$P51=0),"",IF(N($Q51)&lt;=0,"Chưa thanh toán",IF(N($Q51)&lt;$P51,"Thanh toán một phần","Đã thanh toán")))</f>
        <v/>
      </c>
      <c r="T51" s="13" t="str">
        <f aca="false">IF(OR($C51="",$J51=""),"",N($I51)*$J51)</f>
        <v/>
      </c>
      <c r="U51" s="13" t="str">
        <f aca="false">IF(OR($C51="",$T51=""),"",$L51-$T51)</f>
        <v/>
      </c>
      <c r="V51" s="14" t="str">
        <f aca="false">IF(OR($U51="",$L51=0),"",$U51/$L51)</f>
        <v/>
      </c>
      <c r="W51" s="11"/>
      <c r="X51" s="23" t="str">
        <f aca="false">IF($C51="","",IF(AND($H51="",N($I51)=0,N($K51)=0),"Dòng chỉ lưu thông tin khách (chưa có đơn); ",IF($B51="","Thiếu ngày đặt; ","")&amp;IF($H51="","Thiếu tên sản phẩm; ",IF($J51="","Chưa khai GIÁ GỐC ở BẢNG GIÁ GỐC; ",""))&amp;IF(N($I51)&lt;=0,"Thiếu số lượng; ","")&amp;IF(N($K51)&lt;=0,"Thiếu giá bán; ","")&amp;IF(AND($N51&gt;0,$F51=""),"Khách lấy VAT thiếu mã số thuế; ","")&amp;IF(N($Q51)&gt;$P51,"Đã thu vượt tổng phải thu; ","")&amp;IF(AND($L51&gt;0,$U51&lt;&gt;"",$U51&lt;0),"CẢNH BÁO: ĐƠN NÀY ĐANG LỖ; ","")))</f>
        <v/>
      </c>
    </row>
    <row r="52" customFormat="false" ht="15" hidden="false" customHeight="false" outlineLevel="0" collapsed="false">
      <c r="A52" s="21" t="str">
        <f aca="false">IF($C52="","",COUNTA($C$10:$C52))</f>
        <v/>
      </c>
      <c r="B52" s="18"/>
      <c r="C52" s="11"/>
      <c r="D52" s="11"/>
      <c r="E52" s="11"/>
      <c r="F52" s="11"/>
      <c r="G52" s="11"/>
      <c r="H52" s="11"/>
      <c r="I52" s="12"/>
      <c r="J52" s="13" t="str">
        <f aca="false">IF($H52="","",IFERROR(VLOOKUP($H52,'BẢNG GIÁ GỐC'!$A$5:$D$254,3,FALSE()),""))</f>
        <v/>
      </c>
      <c r="K52" s="12"/>
      <c r="L52" s="13" t="str">
        <f aca="false">IF($C52="","",N($I52)*N($K52))</f>
        <v/>
      </c>
      <c r="M52" s="11"/>
      <c r="N52" s="14" t="str">
        <f aca="false">IF($C52="","",IF($M52="VAT 5%",0.05,IF($M52="VAT 8%",0.08,IF($M52="VAT 10%",0.1,0))))</f>
        <v/>
      </c>
      <c r="O52" s="13" t="str">
        <f aca="false">IF($C52="","",$L52*$N52)</f>
        <v/>
      </c>
      <c r="P52" s="13" t="str">
        <f aca="false">IF($C52="","",$L52+$O52)</f>
        <v/>
      </c>
      <c r="Q52" s="12"/>
      <c r="R52" s="13" t="str">
        <f aca="false">IF($C52="","",MAX(0,$P52-N($Q52)))</f>
        <v/>
      </c>
      <c r="S52" s="23" t="str">
        <f aca="false">IF(OR($C52="",$P52=0),"",IF(N($Q52)&lt;=0,"Chưa thanh toán",IF(N($Q52)&lt;$P52,"Thanh toán một phần","Đã thanh toán")))</f>
        <v/>
      </c>
      <c r="T52" s="13" t="str">
        <f aca="false">IF(OR($C52="",$J52=""),"",N($I52)*$J52)</f>
        <v/>
      </c>
      <c r="U52" s="13" t="str">
        <f aca="false">IF(OR($C52="",$T52=""),"",$L52-$T52)</f>
        <v/>
      </c>
      <c r="V52" s="14" t="str">
        <f aca="false">IF(OR($U52="",$L52=0),"",$U52/$L52)</f>
        <v/>
      </c>
      <c r="W52" s="11"/>
      <c r="X52" s="23" t="str">
        <f aca="false">IF($C52="","",IF(AND($H52="",N($I52)=0,N($K52)=0),"Dòng chỉ lưu thông tin khách (chưa có đơn); ",IF($B52="","Thiếu ngày đặt; ","")&amp;IF($H52="","Thiếu tên sản phẩm; ",IF($J52="","Chưa khai GIÁ GỐC ở BẢNG GIÁ GỐC; ",""))&amp;IF(N($I52)&lt;=0,"Thiếu số lượng; ","")&amp;IF(N($K52)&lt;=0,"Thiếu giá bán; ","")&amp;IF(AND($N52&gt;0,$F52=""),"Khách lấy VAT thiếu mã số thuế; ","")&amp;IF(N($Q52)&gt;$P52,"Đã thu vượt tổng phải thu; ","")&amp;IF(AND($L52&gt;0,$U52&lt;&gt;"",$U52&lt;0),"CẢNH BÁO: ĐƠN NÀY ĐANG LỖ; ","")))</f>
        <v/>
      </c>
    </row>
    <row r="53" customFormat="false" ht="15" hidden="false" customHeight="false" outlineLevel="0" collapsed="false">
      <c r="A53" s="21" t="str">
        <f aca="false">IF($C53="","",COUNTA($C$10:$C53))</f>
        <v/>
      </c>
      <c r="B53" s="18"/>
      <c r="C53" s="11"/>
      <c r="D53" s="11"/>
      <c r="E53" s="11"/>
      <c r="F53" s="11"/>
      <c r="G53" s="11"/>
      <c r="H53" s="11"/>
      <c r="I53" s="12"/>
      <c r="J53" s="13" t="str">
        <f aca="false">IF($H53="","",IFERROR(VLOOKUP($H53,'BẢNG GIÁ GỐC'!$A$5:$D$254,3,FALSE()),""))</f>
        <v/>
      </c>
      <c r="K53" s="12"/>
      <c r="L53" s="13" t="str">
        <f aca="false">IF($C53="","",N($I53)*N($K53))</f>
        <v/>
      </c>
      <c r="M53" s="11"/>
      <c r="N53" s="14" t="str">
        <f aca="false">IF($C53="","",IF($M53="VAT 5%",0.05,IF($M53="VAT 8%",0.08,IF($M53="VAT 10%",0.1,0))))</f>
        <v/>
      </c>
      <c r="O53" s="13" t="str">
        <f aca="false">IF($C53="","",$L53*$N53)</f>
        <v/>
      </c>
      <c r="P53" s="13" t="str">
        <f aca="false">IF($C53="","",$L53+$O53)</f>
        <v/>
      </c>
      <c r="Q53" s="12"/>
      <c r="R53" s="13" t="str">
        <f aca="false">IF($C53="","",MAX(0,$P53-N($Q53)))</f>
        <v/>
      </c>
      <c r="S53" s="23" t="str">
        <f aca="false">IF(OR($C53="",$P53=0),"",IF(N($Q53)&lt;=0,"Chưa thanh toán",IF(N($Q53)&lt;$P53,"Thanh toán một phần","Đã thanh toán")))</f>
        <v/>
      </c>
      <c r="T53" s="13" t="str">
        <f aca="false">IF(OR($C53="",$J53=""),"",N($I53)*$J53)</f>
        <v/>
      </c>
      <c r="U53" s="13" t="str">
        <f aca="false">IF(OR($C53="",$T53=""),"",$L53-$T53)</f>
        <v/>
      </c>
      <c r="V53" s="14" t="str">
        <f aca="false">IF(OR($U53="",$L53=0),"",$U53/$L53)</f>
        <v/>
      </c>
      <c r="W53" s="11"/>
      <c r="X53" s="23" t="str">
        <f aca="false">IF($C53="","",IF(AND($H53="",N($I53)=0,N($K53)=0),"Dòng chỉ lưu thông tin khách (chưa có đơn); ",IF($B53="","Thiếu ngày đặt; ","")&amp;IF($H53="","Thiếu tên sản phẩm; ",IF($J53="","Chưa khai GIÁ GỐC ở BẢNG GIÁ GỐC; ",""))&amp;IF(N($I53)&lt;=0,"Thiếu số lượng; ","")&amp;IF(N($K53)&lt;=0,"Thiếu giá bán; ","")&amp;IF(AND($N53&gt;0,$F53=""),"Khách lấy VAT thiếu mã số thuế; ","")&amp;IF(N($Q53)&gt;$P53,"Đã thu vượt tổng phải thu; ","")&amp;IF(AND($L53&gt;0,$U53&lt;&gt;"",$U53&lt;0),"CẢNH BÁO: ĐƠN NÀY ĐANG LỖ; ","")))</f>
        <v/>
      </c>
    </row>
    <row r="54" customFormat="false" ht="15" hidden="false" customHeight="false" outlineLevel="0" collapsed="false">
      <c r="A54" s="21" t="str">
        <f aca="false">IF($C54="","",COUNTA($C$10:$C54))</f>
        <v/>
      </c>
      <c r="B54" s="18"/>
      <c r="C54" s="11"/>
      <c r="D54" s="11"/>
      <c r="E54" s="11"/>
      <c r="F54" s="11"/>
      <c r="G54" s="11"/>
      <c r="H54" s="11"/>
      <c r="I54" s="12"/>
      <c r="J54" s="13" t="str">
        <f aca="false">IF($H54="","",IFERROR(VLOOKUP($H54,'BẢNG GIÁ GỐC'!$A$5:$D$254,3,FALSE()),""))</f>
        <v/>
      </c>
      <c r="K54" s="12"/>
      <c r="L54" s="13" t="str">
        <f aca="false">IF($C54="","",N($I54)*N($K54))</f>
        <v/>
      </c>
      <c r="M54" s="11"/>
      <c r="N54" s="14" t="str">
        <f aca="false">IF($C54="","",IF($M54="VAT 5%",0.05,IF($M54="VAT 8%",0.08,IF($M54="VAT 10%",0.1,0))))</f>
        <v/>
      </c>
      <c r="O54" s="13" t="str">
        <f aca="false">IF($C54="","",$L54*$N54)</f>
        <v/>
      </c>
      <c r="P54" s="13" t="str">
        <f aca="false">IF($C54="","",$L54+$O54)</f>
        <v/>
      </c>
      <c r="Q54" s="12"/>
      <c r="R54" s="13" t="str">
        <f aca="false">IF($C54="","",MAX(0,$P54-N($Q54)))</f>
        <v/>
      </c>
      <c r="S54" s="23" t="str">
        <f aca="false">IF(OR($C54="",$P54=0),"",IF(N($Q54)&lt;=0,"Chưa thanh toán",IF(N($Q54)&lt;$P54,"Thanh toán một phần","Đã thanh toán")))</f>
        <v/>
      </c>
      <c r="T54" s="13" t="str">
        <f aca="false">IF(OR($C54="",$J54=""),"",N($I54)*$J54)</f>
        <v/>
      </c>
      <c r="U54" s="13" t="str">
        <f aca="false">IF(OR($C54="",$T54=""),"",$L54-$T54)</f>
        <v/>
      </c>
      <c r="V54" s="14" t="str">
        <f aca="false">IF(OR($U54="",$L54=0),"",$U54/$L54)</f>
        <v/>
      </c>
      <c r="W54" s="11"/>
      <c r="X54" s="23" t="str">
        <f aca="false">IF($C54="","",IF(AND($H54="",N($I54)=0,N($K54)=0),"Dòng chỉ lưu thông tin khách (chưa có đơn); ",IF($B54="","Thiếu ngày đặt; ","")&amp;IF($H54="","Thiếu tên sản phẩm; ",IF($J54="","Chưa khai GIÁ GỐC ở BẢNG GIÁ GỐC; ",""))&amp;IF(N($I54)&lt;=0,"Thiếu số lượng; ","")&amp;IF(N($K54)&lt;=0,"Thiếu giá bán; ","")&amp;IF(AND($N54&gt;0,$F54=""),"Khách lấy VAT thiếu mã số thuế; ","")&amp;IF(N($Q54)&gt;$P54,"Đã thu vượt tổng phải thu; ","")&amp;IF(AND($L54&gt;0,$U54&lt;&gt;"",$U54&lt;0),"CẢNH BÁO: ĐƠN NÀY ĐANG LỖ; ","")))</f>
        <v/>
      </c>
    </row>
    <row r="55" customFormat="false" ht="15" hidden="false" customHeight="false" outlineLevel="0" collapsed="false">
      <c r="A55" s="21" t="str">
        <f aca="false">IF($C55="","",COUNTA($C$10:$C55))</f>
        <v/>
      </c>
      <c r="B55" s="18"/>
      <c r="C55" s="11"/>
      <c r="D55" s="11"/>
      <c r="E55" s="11"/>
      <c r="F55" s="11"/>
      <c r="G55" s="11"/>
      <c r="H55" s="11"/>
      <c r="I55" s="12"/>
      <c r="J55" s="13" t="str">
        <f aca="false">IF($H55="","",IFERROR(VLOOKUP($H55,'BẢNG GIÁ GỐC'!$A$5:$D$254,3,FALSE()),""))</f>
        <v/>
      </c>
      <c r="K55" s="12"/>
      <c r="L55" s="13" t="str">
        <f aca="false">IF($C55="","",N($I55)*N($K55))</f>
        <v/>
      </c>
      <c r="M55" s="11"/>
      <c r="N55" s="14" t="str">
        <f aca="false">IF($C55="","",IF($M55="VAT 5%",0.05,IF($M55="VAT 8%",0.08,IF($M55="VAT 10%",0.1,0))))</f>
        <v/>
      </c>
      <c r="O55" s="13" t="str">
        <f aca="false">IF($C55="","",$L55*$N55)</f>
        <v/>
      </c>
      <c r="P55" s="13" t="str">
        <f aca="false">IF($C55="","",$L55+$O55)</f>
        <v/>
      </c>
      <c r="Q55" s="12"/>
      <c r="R55" s="13" t="str">
        <f aca="false">IF($C55="","",MAX(0,$P55-N($Q55)))</f>
        <v/>
      </c>
      <c r="S55" s="23" t="str">
        <f aca="false">IF(OR($C55="",$P55=0),"",IF(N($Q55)&lt;=0,"Chưa thanh toán",IF(N($Q55)&lt;$P55,"Thanh toán một phần","Đã thanh toán")))</f>
        <v/>
      </c>
      <c r="T55" s="13" t="str">
        <f aca="false">IF(OR($C55="",$J55=""),"",N($I55)*$J55)</f>
        <v/>
      </c>
      <c r="U55" s="13" t="str">
        <f aca="false">IF(OR($C55="",$T55=""),"",$L55-$T55)</f>
        <v/>
      </c>
      <c r="V55" s="14" t="str">
        <f aca="false">IF(OR($U55="",$L55=0),"",$U55/$L55)</f>
        <v/>
      </c>
      <c r="W55" s="11"/>
      <c r="X55" s="23" t="str">
        <f aca="false">IF($C55="","",IF(AND($H55="",N($I55)=0,N($K55)=0),"Dòng chỉ lưu thông tin khách (chưa có đơn); ",IF($B55="","Thiếu ngày đặt; ","")&amp;IF($H55="","Thiếu tên sản phẩm; ",IF($J55="","Chưa khai GIÁ GỐC ở BẢNG GIÁ GỐC; ",""))&amp;IF(N($I55)&lt;=0,"Thiếu số lượng; ","")&amp;IF(N($K55)&lt;=0,"Thiếu giá bán; ","")&amp;IF(AND($N55&gt;0,$F55=""),"Khách lấy VAT thiếu mã số thuế; ","")&amp;IF(N($Q55)&gt;$P55,"Đã thu vượt tổng phải thu; ","")&amp;IF(AND($L55&gt;0,$U55&lt;&gt;"",$U55&lt;0),"CẢNH BÁO: ĐƠN NÀY ĐANG LỖ; ","")))</f>
        <v/>
      </c>
    </row>
    <row r="56" customFormat="false" ht="15" hidden="false" customHeight="false" outlineLevel="0" collapsed="false">
      <c r="A56" s="21" t="str">
        <f aca="false">IF($C56="","",COUNTA($C$10:$C56))</f>
        <v/>
      </c>
      <c r="B56" s="18"/>
      <c r="C56" s="11"/>
      <c r="D56" s="11"/>
      <c r="E56" s="11"/>
      <c r="F56" s="11"/>
      <c r="G56" s="11"/>
      <c r="H56" s="11"/>
      <c r="I56" s="12"/>
      <c r="J56" s="13" t="str">
        <f aca="false">IF($H56="","",IFERROR(VLOOKUP($H56,'BẢNG GIÁ GỐC'!$A$5:$D$254,3,FALSE()),""))</f>
        <v/>
      </c>
      <c r="K56" s="12"/>
      <c r="L56" s="13" t="str">
        <f aca="false">IF($C56="","",N($I56)*N($K56))</f>
        <v/>
      </c>
      <c r="M56" s="11"/>
      <c r="N56" s="14" t="str">
        <f aca="false">IF($C56="","",IF($M56="VAT 5%",0.05,IF($M56="VAT 8%",0.08,IF($M56="VAT 10%",0.1,0))))</f>
        <v/>
      </c>
      <c r="O56" s="13" t="str">
        <f aca="false">IF($C56="","",$L56*$N56)</f>
        <v/>
      </c>
      <c r="P56" s="13" t="str">
        <f aca="false">IF($C56="","",$L56+$O56)</f>
        <v/>
      </c>
      <c r="Q56" s="12"/>
      <c r="R56" s="13" t="str">
        <f aca="false">IF($C56="","",MAX(0,$P56-N($Q56)))</f>
        <v/>
      </c>
      <c r="S56" s="23" t="str">
        <f aca="false">IF(OR($C56="",$P56=0),"",IF(N($Q56)&lt;=0,"Chưa thanh toán",IF(N($Q56)&lt;$P56,"Thanh toán một phần","Đã thanh toán")))</f>
        <v/>
      </c>
      <c r="T56" s="13" t="str">
        <f aca="false">IF(OR($C56="",$J56=""),"",N($I56)*$J56)</f>
        <v/>
      </c>
      <c r="U56" s="13" t="str">
        <f aca="false">IF(OR($C56="",$T56=""),"",$L56-$T56)</f>
        <v/>
      </c>
      <c r="V56" s="14" t="str">
        <f aca="false">IF(OR($U56="",$L56=0),"",$U56/$L56)</f>
        <v/>
      </c>
      <c r="W56" s="11"/>
      <c r="X56" s="23" t="str">
        <f aca="false">IF($C56="","",IF(AND($H56="",N($I56)=0,N($K56)=0),"Dòng chỉ lưu thông tin khách (chưa có đơn); ",IF($B56="","Thiếu ngày đặt; ","")&amp;IF($H56="","Thiếu tên sản phẩm; ",IF($J56="","Chưa khai GIÁ GỐC ở BẢNG GIÁ GỐC; ",""))&amp;IF(N($I56)&lt;=0,"Thiếu số lượng; ","")&amp;IF(N($K56)&lt;=0,"Thiếu giá bán; ","")&amp;IF(AND($N56&gt;0,$F56=""),"Khách lấy VAT thiếu mã số thuế; ","")&amp;IF(N($Q56)&gt;$P56,"Đã thu vượt tổng phải thu; ","")&amp;IF(AND($L56&gt;0,$U56&lt;&gt;"",$U56&lt;0),"CẢNH BÁO: ĐƠN NÀY ĐANG LỖ; ","")))</f>
        <v/>
      </c>
    </row>
    <row r="57" customFormat="false" ht="15" hidden="false" customHeight="false" outlineLevel="0" collapsed="false">
      <c r="A57" s="21" t="str">
        <f aca="false">IF($C57="","",COUNTA($C$10:$C57))</f>
        <v/>
      </c>
      <c r="B57" s="18"/>
      <c r="C57" s="11"/>
      <c r="D57" s="11"/>
      <c r="E57" s="11"/>
      <c r="F57" s="11"/>
      <c r="G57" s="11"/>
      <c r="H57" s="11"/>
      <c r="I57" s="12"/>
      <c r="J57" s="13" t="str">
        <f aca="false">IF($H57="","",IFERROR(VLOOKUP($H57,'BẢNG GIÁ GỐC'!$A$5:$D$254,3,FALSE()),""))</f>
        <v/>
      </c>
      <c r="K57" s="12"/>
      <c r="L57" s="13" t="str">
        <f aca="false">IF($C57="","",N($I57)*N($K57))</f>
        <v/>
      </c>
      <c r="M57" s="11"/>
      <c r="N57" s="14" t="str">
        <f aca="false">IF($C57="","",IF($M57="VAT 5%",0.05,IF($M57="VAT 8%",0.08,IF($M57="VAT 10%",0.1,0))))</f>
        <v/>
      </c>
      <c r="O57" s="13" t="str">
        <f aca="false">IF($C57="","",$L57*$N57)</f>
        <v/>
      </c>
      <c r="P57" s="13" t="str">
        <f aca="false">IF($C57="","",$L57+$O57)</f>
        <v/>
      </c>
      <c r="Q57" s="12"/>
      <c r="R57" s="13" t="str">
        <f aca="false">IF($C57="","",MAX(0,$P57-N($Q57)))</f>
        <v/>
      </c>
      <c r="S57" s="23" t="str">
        <f aca="false">IF(OR($C57="",$P57=0),"",IF(N($Q57)&lt;=0,"Chưa thanh toán",IF(N($Q57)&lt;$P57,"Thanh toán một phần","Đã thanh toán")))</f>
        <v/>
      </c>
      <c r="T57" s="13" t="str">
        <f aca="false">IF(OR($C57="",$J57=""),"",N($I57)*$J57)</f>
        <v/>
      </c>
      <c r="U57" s="13" t="str">
        <f aca="false">IF(OR($C57="",$T57=""),"",$L57-$T57)</f>
        <v/>
      </c>
      <c r="V57" s="14" t="str">
        <f aca="false">IF(OR($U57="",$L57=0),"",$U57/$L57)</f>
        <v/>
      </c>
      <c r="W57" s="11"/>
      <c r="X57" s="23" t="str">
        <f aca="false">IF($C57="","",IF(AND($H57="",N($I57)=0,N($K57)=0),"Dòng chỉ lưu thông tin khách (chưa có đơn); ",IF($B57="","Thiếu ngày đặt; ","")&amp;IF($H57="","Thiếu tên sản phẩm; ",IF($J57="","Chưa khai GIÁ GỐC ở BẢNG GIÁ GỐC; ",""))&amp;IF(N($I57)&lt;=0,"Thiếu số lượng; ","")&amp;IF(N($K57)&lt;=0,"Thiếu giá bán; ","")&amp;IF(AND($N57&gt;0,$F57=""),"Khách lấy VAT thiếu mã số thuế; ","")&amp;IF(N($Q57)&gt;$P57,"Đã thu vượt tổng phải thu; ","")&amp;IF(AND($L57&gt;0,$U57&lt;&gt;"",$U57&lt;0),"CẢNH BÁO: ĐƠN NÀY ĐANG LỖ; ","")))</f>
        <v/>
      </c>
    </row>
    <row r="58" customFormat="false" ht="15" hidden="false" customHeight="false" outlineLevel="0" collapsed="false">
      <c r="A58" s="21" t="str">
        <f aca="false">IF($C58="","",COUNTA($C$10:$C58))</f>
        <v/>
      </c>
      <c r="B58" s="18"/>
      <c r="C58" s="11"/>
      <c r="D58" s="11"/>
      <c r="E58" s="11"/>
      <c r="F58" s="11"/>
      <c r="G58" s="11"/>
      <c r="H58" s="11"/>
      <c r="I58" s="12"/>
      <c r="J58" s="13" t="str">
        <f aca="false">IF($H58="","",IFERROR(VLOOKUP($H58,'BẢNG GIÁ GỐC'!$A$5:$D$254,3,FALSE()),""))</f>
        <v/>
      </c>
      <c r="K58" s="12"/>
      <c r="L58" s="13" t="str">
        <f aca="false">IF($C58="","",N($I58)*N($K58))</f>
        <v/>
      </c>
      <c r="M58" s="11"/>
      <c r="N58" s="14" t="str">
        <f aca="false">IF($C58="","",IF($M58="VAT 5%",0.05,IF($M58="VAT 8%",0.08,IF($M58="VAT 10%",0.1,0))))</f>
        <v/>
      </c>
      <c r="O58" s="13" t="str">
        <f aca="false">IF($C58="","",$L58*$N58)</f>
        <v/>
      </c>
      <c r="P58" s="13" t="str">
        <f aca="false">IF($C58="","",$L58+$O58)</f>
        <v/>
      </c>
      <c r="Q58" s="12"/>
      <c r="R58" s="13" t="str">
        <f aca="false">IF($C58="","",MAX(0,$P58-N($Q58)))</f>
        <v/>
      </c>
      <c r="S58" s="23" t="str">
        <f aca="false">IF(OR($C58="",$P58=0),"",IF(N($Q58)&lt;=0,"Chưa thanh toán",IF(N($Q58)&lt;$P58,"Thanh toán một phần","Đã thanh toán")))</f>
        <v/>
      </c>
      <c r="T58" s="13" t="str">
        <f aca="false">IF(OR($C58="",$J58=""),"",N($I58)*$J58)</f>
        <v/>
      </c>
      <c r="U58" s="13" t="str">
        <f aca="false">IF(OR($C58="",$T58=""),"",$L58-$T58)</f>
        <v/>
      </c>
      <c r="V58" s="14" t="str">
        <f aca="false">IF(OR($U58="",$L58=0),"",$U58/$L58)</f>
        <v/>
      </c>
      <c r="W58" s="11"/>
      <c r="X58" s="23" t="str">
        <f aca="false">IF($C58="","",IF(AND($H58="",N($I58)=0,N($K58)=0),"Dòng chỉ lưu thông tin khách (chưa có đơn); ",IF($B58="","Thiếu ngày đặt; ","")&amp;IF($H58="","Thiếu tên sản phẩm; ",IF($J58="","Chưa khai GIÁ GỐC ở BẢNG GIÁ GỐC; ",""))&amp;IF(N($I58)&lt;=0,"Thiếu số lượng; ","")&amp;IF(N($K58)&lt;=0,"Thiếu giá bán; ","")&amp;IF(AND($N58&gt;0,$F58=""),"Khách lấy VAT thiếu mã số thuế; ","")&amp;IF(N($Q58)&gt;$P58,"Đã thu vượt tổng phải thu; ","")&amp;IF(AND($L58&gt;0,$U58&lt;&gt;"",$U58&lt;0),"CẢNH BÁO: ĐƠN NÀY ĐANG LỖ; ","")))</f>
        <v/>
      </c>
    </row>
    <row r="59" customFormat="false" ht="15" hidden="false" customHeight="false" outlineLevel="0" collapsed="false">
      <c r="A59" s="21" t="str">
        <f aca="false">IF($C59="","",COUNTA($C$10:$C59))</f>
        <v/>
      </c>
      <c r="B59" s="18"/>
      <c r="C59" s="11"/>
      <c r="D59" s="11"/>
      <c r="E59" s="11"/>
      <c r="F59" s="11"/>
      <c r="G59" s="11"/>
      <c r="H59" s="11"/>
      <c r="I59" s="12"/>
      <c r="J59" s="13" t="str">
        <f aca="false">IF($H59="","",IFERROR(VLOOKUP($H59,'BẢNG GIÁ GỐC'!$A$5:$D$254,3,FALSE()),""))</f>
        <v/>
      </c>
      <c r="K59" s="12"/>
      <c r="L59" s="13" t="str">
        <f aca="false">IF($C59="","",N($I59)*N($K59))</f>
        <v/>
      </c>
      <c r="M59" s="11"/>
      <c r="N59" s="14" t="str">
        <f aca="false">IF($C59="","",IF($M59="VAT 5%",0.05,IF($M59="VAT 8%",0.08,IF($M59="VAT 10%",0.1,0))))</f>
        <v/>
      </c>
      <c r="O59" s="13" t="str">
        <f aca="false">IF($C59="","",$L59*$N59)</f>
        <v/>
      </c>
      <c r="P59" s="13" t="str">
        <f aca="false">IF($C59="","",$L59+$O59)</f>
        <v/>
      </c>
      <c r="Q59" s="12"/>
      <c r="R59" s="13" t="str">
        <f aca="false">IF($C59="","",MAX(0,$P59-N($Q59)))</f>
        <v/>
      </c>
      <c r="S59" s="23" t="str">
        <f aca="false">IF(OR($C59="",$P59=0),"",IF(N($Q59)&lt;=0,"Chưa thanh toán",IF(N($Q59)&lt;$P59,"Thanh toán một phần","Đã thanh toán")))</f>
        <v/>
      </c>
      <c r="T59" s="13" t="str">
        <f aca="false">IF(OR($C59="",$J59=""),"",N($I59)*$J59)</f>
        <v/>
      </c>
      <c r="U59" s="13" t="str">
        <f aca="false">IF(OR($C59="",$T59=""),"",$L59-$T59)</f>
        <v/>
      </c>
      <c r="V59" s="14" t="str">
        <f aca="false">IF(OR($U59="",$L59=0),"",$U59/$L59)</f>
        <v/>
      </c>
      <c r="W59" s="11"/>
      <c r="X59" s="23" t="str">
        <f aca="false">IF($C59="","",IF(AND($H59="",N($I59)=0,N($K59)=0),"Dòng chỉ lưu thông tin khách (chưa có đơn); ",IF($B59="","Thiếu ngày đặt; ","")&amp;IF($H59="","Thiếu tên sản phẩm; ",IF($J59="","Chưa khai GIÁ GỐC ở BẢNG GIÁ GỐC; ",""))&amp;IF(N($I59)&lt;=0,"Thiếu số lượng; ","")&amp;IF(N($K59)&lt;=0,"Thiếu giá bán; ","")&amp;IF(AND($N59&gt;0,$F59=""),"Khách lấy VAT thiếu mã số thuế; ","")&amp;IF(N($Q59)&gt;$P59,"Đã thu vượt tổng phải thu; ","")&amp;IF(AND($L59&gt;0,$U59&lt;&gt;"",$U59&lt;0),"CẢNH BÁO: ĐƠN NÀY ĐANG LỖ; ","")))</f>
        <v/>
      </c>
    </row>
    <row r="60" customFormat="false" ht="15" hidden="false" customHeight="false" outlineLevel="0" collapsed="false">
      <c r="A60" s="21" t="str">
        <f aca="false">IF($C60="","",COUNTA($C$10:$C60))</f>
        <v/>
      </c>
      <c r="B60" s="18"/>
      <c r="C60" s="11"/>
      <c r="D60" s="11"/>
      <c r="E60" s="11"/>
      <c r="F60" s="11"/>
      <c r="G60" s="11"/>
      <c r="H60" s="11"/>
      <c r="I60" s="12"/>
      <c r="J60" s="13" t="str">
        <f aca="false">IF($H60="","",IFERROR(VLOOKUP($H60,'BẢNG GIÁ GỐC'!$A$5:$D$254,3,FALSE()),""))</f>
        <v/>
      </c>
      <c r="K60" s="12"/>
      <c r="L60" s="13" t="str">
        <f aca="false">IF($C60="","",N($I60)*N($K60))</f>
        <v/>
      </c>
      <c r="M60" s="11"/>
      <c r="N60" s="14" t="str">
        <f aca="false">IF($C60="","",IF($M60="VAT 5%",0.05,IF($M60="VAT 8%",0.08,IF($M60="VAT 10%",0.1,0))))</f>
        <v/>
      </c>
      <c r="O60" s="13" t="str">
        <f aca="false">IF($C60="","",$L60*$N60)</f>
        <v/>
      </c>
      <c r="P60" s="13" t="str">
        <f aca="false">IF($C60="","",$L60+$O60)</f>
        <v/>
      </c>
      <c r="Q60" s="12"/>
      <c r="R60" s="13" t="str">
        <f aca="false">IF($C60="","",MAX(0,$P60-N($Q60)))</f>
        <v/>
      </c>
      <c r="S60" s="23" t="str">
        <f aca="false">IF(OR($C60="",$P60=0),"",IF(N($Q60)&lt;=0,"Chưa thanh toán",IF(N($Q60)&lt;$P60,"Thanh toán một phần","Đã thanh toán")))</f>
        <v/>
      </c>
      <c r="T60" s="13" t="str">
        <f aca="false">IF(OR($C60="",$J60=""),"",N($I60)*$J60)</f>
        <v/>
      </c>
      <c r="U60" s="13" t="str">
        <f aca="false">IF(OR($C60="",$T60=""),"",$L60-$T60)</f>
        <v/>
      </c>
      <c r="V60" s="14" t="str">
        <f aca="false">IF(OR($U60="",$L60=0),"",$U60/$L60)</f>
        <v/>
      </c>
      <c r="W60" s="11"/>
      <c r="X60" s="23" t="str">
        <f aca="false">IF($C60="","",IF(AND($H60="",N($I60)=0,N($K60)=0),"Dòng chỉ lưu thông tin khách (chưa có đơn); ",IF($B60="","Thiếu ngày đặt; ","")&amp;IF($H60="","Thiếu tên sản phẩm; ",IF($J60="","Chưa khai GIÁ GỐC ở BẢNG GIÁ GỐC; ",""))&amp;IF(N($I60)&lt;=0,"Thiếu số lượng; ","")&amp;IF(N($K60)&lt;=0,"Thiếu giá bán; ","")&amp;IF(AND($N60&gt;0,$F60=""),"Khách lấy VAT thiếu mã số thuế; ","")&amp;IF(N($Q60)&gt;$P60,"Đã thu vượt tổng phải thu; ","")&amp;IF(AND($L60&gt;0,$U60&lt;&gt;"",$U60&lt;0),"CẢNH BÁO: ĐƠN NÀY ĐANG LỖ; ","")))</f>
        <v/>
      </c>
    </row>
    <row r="61" customFormat="false" ht="15" hidden="false" customHeight="false" outlineLevel="0" collapsed="false">
      <c r="A61" s="21" t="str">
        <f aca="false">IF($C61="","",COUNTA($C$10:$C61))</f>
        <v/>
      </c>
      <c r="B61" s="18"/>
      <c r="C61" s="11"/>
      <c r="D61" s="11"/>
      <c r="E61" s="11"/>
      <c r="F61" s="11"/>
      <c r="G61" s="11"/>
      <c r="H61" s="11"/>
      <c r="I61" s="12"/>
      <c r="J61" s="13" t="str">
        <f aca="false">IF($H61="","",IFERROR(VLOOKUP($H61,'BẢNG GIÁ GỐC'!$A$5:$D$254,3,FALSE()),""))</f>
        <v/>
      </c>
      <c r="K61" s="12"/>
      <c r="L61" s="13" t="str">
        <f aca="false">IF($C61="","",N($I61)*N($K61))</f>
        <v/>
      </c>
      <c r="M61" s="11"/>
      <c r="N61" s="14" t="str">
        <f aca="false">IF($C61="","",IF($M61="VAT 5%",0.05,IF($M61="VAT 8%",0.08,IF($M61="VAT 10%",0.1,0))))</f>
        <v/>
      </c>
      <c r="O61" s="13" t="str">
        <f aca="false">IF($C61="","",$L61*$N61)</f>
        <v/>
      </c>
      <c r="P61" s="13" t="str">
        <f aca="false">IF($C61="","",$L61+$O61)</f>
        <v/>
      </c>
      <c r="Q61" s="12"/>
      <c r="R61" s="13" t="str">
        <f aca="false">IF($C61="","",MAX(0,$P61-N($Q61)))</f>
        <v/>
      </c>
      <c r="S61" s="23" t="str">
        <f aca="false">IF(OR($C61="",$P61=0),"",IF(N($Q61)&lt;=0,"Chưa thanh toán",IF(N($Q61)&lt;$P61,"Thanh toán một phần","Đã thanh toán")))</f>
        <v/>
      </c>
      <c r="T61" s="13" t="str">
        <f aca="false">IF(OR($C61="",$J61=""),"",N($I61)*$J61)</f>
        <v/>
      </c>
      <c r="U61" s="13" t="str">
        <f aca="false">IF(OR($C61="",$T61=""),"",$L61-$T61)</f>
        <v/>
      </c>
      <c r="V61" s="14" t="str">
        <f aca="false">IF(OR($U61="",$L61=0),"",$U61/$L61)</f>
        <v/>
      </c>
      <c r="W61" s="11"/>
      <c r="X61" s="23" t="str">
        <f aca="false">IF($C61="","",IF(AND($H61="",N($I61)=0,N($K61)=0),"Dòng chỉ lưu thông tin khách (chưa có đơn); ",IF($B61="","Thiếu ngày đặt; ","")&amp;IF($H61="","Thiếu tên sản phẩm; ",IF($J61="","Chưa khai GIÁ GỐC ở BẢNG GIÁ GỐC; ",""))&amp;IF(N($I61)&lt;=0,"Thiếu số lượng; ","")&amp;IF(N($K61)&lt;=0,"Thiếu giá bán; ","")&amp;IF(AND($N61&gt;0,$F61=""),"Khách lấy VAT thiếu mã số thuế; ","")&amp;IF(N($Q61)&gt;$P61,"Đã thu vượt tổng phải thu; ","")&amp;IF(AND($L61&gt;0,$U61&lt;&gt;"",$U61&lt;0),"CẢNH BÁO: ĐƠN NÀY ĐANG LỖ; ","")))</f>
        <v/>
      </c>
    </row>
    <row r="62" customFormat="false" ht="15" hidden="false" customHeight="false" outlineLevel="0" collapsed="false">
      <c r="A62" s="21" t="str">
        <f aca="false">IF($C62="","",COUNTA($C$10:$C62))</f>
        <v/>
      </c>
      <c r="B62" s="18"/>
      <c r="C62" s="11"/>
      <c r="D62" s="11"/>
      <c r="E62" s="11"/>
      <c r="F62" s="11"/>
      <c r="G62" s="11"/>
      <c r="H62" s="11"/>
      <c r="I62" s="12"/>
      <c r="J62" s="13" t="str">
        <f aca="false">IF($H62="","",IFERROR(VLOOKUP($H62,'BẢNG GIÁ GỐC'!$A$5:$D$254,3,FALSE()),""))</f>
        <v/>
      </c>
      <c r="K62" s="12"/>
      <c r="L62" s="13" t="str">
        <f aca="false">IF($C62="","",N($I62)*N($K62))</f>
        <v/>
      </c>
      <c r="M62" s="11"/>
      <c r="N62" s="14" t="str">
        <f aca="false">IF($C62="","",IF($M62="VAT 5%",0.05,IF($M62="VAT 8%",0.08,IF($M62="VAT 10%",0.1,0))))</f>
        <v/>
      </c>
      <c r="O62" s="13" t="str">
        <f aca="false">IF($C62="","",$L62*$N62)</f>
        <v/>
      </c>
      <c r="P62" s="13" t="str">
        <f aca="false">IF($C62="","",$L62+$O62)</f>
        <v/>
      </c>
      <c r="Q62" s="12"/>
      <c r="R62" s="13" t="str">
        <f aca="false">IF($C62="","",MAX(0,$P62-N($Q62)))</f>
        <v/>
      </c>
      <c r="S62" s="23" t="str">
        <f aca="false">IF(OR($C62="",$P62=0),"",IF(N($Q62)&lt;=0,"Chưa thanh toán",IF(N($Q62)&lt;$P62,"Thanh toán một phần","Đã thanh toán")))</f>
        <v/>
      </c>
      <c r="T62" s="13" t="str">
        <f aca="false">IF(OR($C62="",$J62=""),"",N($I62)*$J62)</f>
        <v/>
      </c>
      <c r="U62" s="13" t="str">
        <f aca="false">IF(OR($C62="",$T62=""),"",$L62-$T62)</f>
        <v/>
      </c>
      <c r="V62" s="14" t="str">
        <f aca="false">IF(OR($U62="",$L62=0),"",$U62/$L62)</f>
        <v/>
      </c>
      <c r="W62" s="11"/>
      <c r="X62" s="23" t="str">
        <f aca="false">IF($C62="","",IF(AND($H62="",N($I62)=0,N($K62)=0),"Dòng chỉ lưu thông tin khách (chưa có đơn); ",IF($B62="","Thiếu ngày đặt; ","")&amp;IF($H62="","Thiếu tên sản phẩm; ",IF($J62="","Chưa khai GIÁ GỐC ở BẢNG GIÁ GỐC; ",""))&amp;IF(N($I62)&lt;=0,"Thiếu số lượng; ","")&amp;IF(N($K62)&lt;=0,"Thiếu giá bán; ","")&amp;IF(AND($N62&gt;0,$F62=""),"Khách lấy VAT thiếu mã số thuế; ","")&amp;IF(N($Q62)&gt;$P62,"Đã thu vượt tổng phải thu; ","")&amp;IF(AND($L62&gt;0,$U62&lt;&gt;"",$U62&lt;0),"CẢNH BÁO: ĐƠN NÀY ĐANG LỖ; ","")))</f>
        <v/>
      </c>
    </row>
    <row r="63" customFormat="false" ht="15" hidden="false" customHeight="false" outlineLevel="0" collapsed="false">
      <c r="A63" s="21" t="str">
        <f aca="false">IF($C63="","",COUNTA($C$10:$C63))</f>
        <v/>
      </c>
      <c r="B63" s="18"/>
      <c r="C63" s="11"/>
      <c r="D63" s="11"/>
      <c r="E63" s="11"/>
      <c r="F63" s="11"/>
      <c r="G63" s="11"/>
      <c r="H63" s="11"/>
      <c r="I63" s="12"/>
      <c r="J63" s="13" t="str">
        <f aca="false">IF($H63="","",IFERROR(VLOOKUP($H63,'BẢNG GIÁ GỐC'!$A$5:$D$254,3,FALSE()),""))</f>
        <v/>
      </c>
      <c r="K63" s="12"/>
      <c r="L63" s="13" t="str">
        <f aca="false">IF($C63="","",N($I63)*N($K63))</f>
        <v/>
      </c>
      <c r="M63" s="11"/>
      <c r="N63" s="14" t="str">
        <f aca="false">IF($C63="","",IF($M63="VAT 5%",0.05,IF($M63="VAT 8%",0.08,IF($M63="VAT 10%",0.1,0))))</f>
        <v/>
      </c>
      <c r="O63" s="13" t="str">
        <f aca="false">IF($C63="","",$L63*$N63)</f>
        <v/>
      </c>
      <c r="P63" s="13" t="str">
        <f aca="false">IF($C63="","",$L63+$O63)</f>
        <v/>
      </c>
      <c r="Q63" s="12"/>
      <c r="R63" s="13" t="str">
        <f aca="false">IF($C63="","",MAX(0,$P63-N($Q63)))</f>
        <v/>
      </c>
      <c r="S63" s="23" t="str">
        <f aca="false">IF(OR($C63="",$P63=0),"",IF(N($Q63)&lt;=0,"Chưa thanh toán",IF(N($Q63)&lt;$P63,"Thanh toán một phần","Đã thanh toán")))</f>
        <v/>
      </c>
      <c r="T63" s="13" t="str">
        <f aca="false">IF(OR($C63="",$J63=""),"",N($I63)*$J63)</f>
        <v/>
      </c>
      <c r="U63" s="13" t="str">
        <f aca="false">IF(OR($C63="",$T63=""),"",$L63-$T63)</f>
        <v/>
      </c>
      <c r="V63" s="14" t="str">
        <f aca="false">IF(OR($U63="",$L63=0),"",$U63/$L63)</f>
        <v/>
      </c>
      <c r="W63" s="11"/>
      <c r="X63" s="23" t="str">
        <f aca="false">IF($C63="","",IF(AND($H63="",N($I63)=0,N($K63)=0),"Dòng chỉ lưu thông tin khách (chưa có đơn); ",IF($B63="","Thiếu ngày đặt; ","")&amp;IF($H63="","Thiếu tên sản phẩm; ",IF($J63="","Chưa khai GIÁ GỐC ở BẢNG GIÁ GỐC; ",""))&amp;IF(N($I63)&lt;=0,"Thiếu số lượng; ","")&amp;IF(N($K63)&lt;=0,"Thiếu giá bán; ","")&amp;IF(AND($N63&gt;0,$F63=""),"Khách lấy VAT thiếu mã số thuế; ","")&amp;IF(N($Q63)&gt;$P63,"Đã thu vượt tổng phải thu; ","")&amp;IF(AND($L63&gt;0,$U63&lt;&gt;"",$U63&lt;0),"CẢNH BÁO: ĐƠN NÀY ĐANG LỖ; ","")))</f>
        <v/>
      </c>
    </row>
    <row r="64" customFormat="false" ht="15" hidden="false" customHeight="false" outlineLevel="0" collapsed="false">
      <c r="A64" s="21" t="str">
        <f aca="false">IF($C64="","",COUNTA($C$10:$C64))</f>
        <v/>
      </c>
      <c r="B64" s="18"/>
      <c r="C64" s="11"/>
      <c r="D64" s="11"/>
      <c r="E64" s="11"/>
      <c r="F64" s="11"/>
      <c r="G64" s="11"/>
      <c r="H64" s="11"/>
      <c r="I64" s="12"/>
      <c r="J64" s="13" t="str">
        <f aca="false">IF($H64="","",IFERROR(VLOOKUP($H64,'BẢNG GIÁ GỐC'!$A$5:$D$254,3,FALSE()),""))</f>
        <v/>
      </c>
      <c r="K64" s="12"/>
      <c r="L64" s="13" t="str">
        <f aca="false">IF($C64="","",N($I64)*N($K64))</f>
        <v/>
      </c>
      <c r="M64" s="11"/>
      <c r="N64" s="14" t="str">
        <f aca="false">IF($C64="","",IF($M64="VAT 5%",0.05,IF($M64="VAT 8%",0.08,IF($M64="VAT 10%",0.1,0))))</f>
        <v/>
      </c>
      <c r="O64" s="13" t="str">
        <f aca="false">IF($C64="","",$L64*$N64)</f>
        <v/>
      </c>
      <c r="P64" s="13" t="str">
        <f aca="false">IF($C64="","",$L64+$O64)</f>
        <v/>
      </c>
      <c r="Q64" s="12"/>
      <c r="R64" s="13" t="str">
        <f aca="false">IF($C64="","",MAX(0,$P64-N($Q64)))</f>
        <v/>
      </c>
      <c r="S64" s="23" t="str">
        <f aca="false">IF(OR($C64="",$P64=0),"",IF(N($Q64)&lt;=0,"Chưa thanh toán",IF(N($Q64)&lt;$P64,"Thanh toán một phần","Đã thanh toán")))</f>
        <v/>
      </c>
      <c r="T64" s="13" t="str">
        <f aca="false">IF(OR($C64="",$J64=""),"",N($I64)*$J64)</f>
        <v/>
      </c>
      <c r="U64" s="13" t="str">
        <f aca="false">IF(OR($C64="",$T64=""),"",$L64-$T64)</f>
        <v/>
      </c>
      <c r="V64" s="14" t="str">
        <f aca="false">IF(OR($U64="",$L64=0),"",$U64/$L64)</f>
        <v/>
      </c>
      <c r="W64" s="11"/>
      <c r="X64" s="23" t="str">
        <f aca="false">IF($C64="","",IF(AND($H64="",N($I64)=0,N($K64)=0),"Dòng chỉ lưu thông tin khách (chưa có đơn); ",IF($B64="","Thiếu ngày đặt; ","")&amp;IF($H64="","Thiếu tên sản phẩm; ",IF($J64="","Chưa khai GIÁ GỐC ở BẢNG GIÁ GỐC; ",""))&amp;IF(N($I64)&lt;=0,"Thiếu số lượng; ","")&amp;IF(N($K64)&lt;=0,"Thiếu giá bán; ","")&amp;IF(AND($N64&gt;0,$F64=""),"Khách lấy VAT thiếu mã số thuế; ","")&amp;IF(N($Q64)&gt;$P64,"Đã thu vượt tổng phải thu; ","")&amp;IF(AND($L64&gt;0,$U64&lt;&gt;"",$U64&lt;0),"CẢNH BÁO: ĐƠN NÀY ĐANG LỖ; ","")))</f>
        <v/>
      </c>
    </row>
    <row r="65" customFormat="false" ht="15" hidden="false" customHeight="false" outlineLevel="0" collapsed="false">
      <c r="A65" s="21" t="str">
        <f aca="false">IF($C65="","",COUNTA($C$10:$C65))</f>
        <v/>
      </c>
      <c r="B65" s="18"/>
      <c r="C65" s="11"/>
      <c r="D65" s="11"/>
      <c r="E65" s="11"/>
      <c r="F65" s="11"/>
      <c r="G65" s="11"/>
      <c r="H65" s="11"/>
      <c r="I65" s="12"/>
      <c r="J65" s="13" t="str">
        <f aca="false">IF($H65="","",IFERROR(VLOOKUP($H65,'BẢNG GIÁ GỐC'!$A$5:$D$254,3,FALSE()),""))</f>
        <v/>
      </c>
      <c r="K65" s="12"/>
      <c r="L65" s="13" t="str">
        <f aca="false">IF($C65="","",N($I65)*N($K65))</f>
        <v/>
      </c>
      <c r="M65" s="11"/>
      <c r="N65" s="14" t="str">
        <f aca="false">IF($C65="","",IF($M65="VAT 5%",0.05,IF($M65="VAT 8%",0.08,IF($M65="VAT 10%",0.1,0))))</f>
        <v/>
      </c>
      <c r="O65" s="13" t="str">
        <f aca="false">IF($C65="","",$L65*$N65)</f>
        <v/>
      </c>
      <c r="P65" s="13" t="str">
        <f aca="false">IF($C65="","",$L65+$O65)</f>
        <v/>
      </c>
      <c r="Q65" s="12"/>
      <c r="R65" s="13" t="str">
        <f aca="false">IF($C65="","",MAX(0,$P65-N($Q65)))</f>
        <v/>
      </c>
      <c r="S65" s="23" t="str">
        <f aca="false">IF(OR($C65="",$P65=0),"",IF(N($Q65)&lt;=0,"Chưa thanh toán",IF(N($Q65)&lt;$P65,"Thanh toán một phần","Đã thanh toán")))</f>
        <v/>
      </c>
      <c r="T65" s="13" t="str">
        <f aca="false">IF(OR($C65="",$J65=""),"",N($I65)*$J65)</f>
        <v/>
      </c>
      <c r="U65" s="13" t="str">
        <f aca="false">IF(OR($C65="",$T65=""),"",$L65-$T65)</f>
        <v/>
      </c>
      <c r="V65" s="14" t="str">
        <f aca="false">IF(OR($U65="",$L65=0),"",$U65/$L65)</f>
        <v/>
      </c>
      <c r="W65" s="11"/>
      <c r="X65" s="23" t="str">
        <f aca="false">IF($C65="","",IF(AND($H65="",N($I65)=0,N($K65)=0),"Dòng chỉ lưu thông tin khách (chưa có đơn); ",IF($B65="","Thiếu ngày đặt; ","")&amp;IF($H65="","Thiếu tên sản phẩm; ",IF($J65="","Chưa khai GIÁ GỐC ở BẢNG GIÁ GỐC; ",""))&amp;IF(N($I65)&lt;=0,"Thiếu số lượng; ","")&amp;IF(N($K65)&lt;=0,"Thiếu giá bán; ","")&amp;IF(AND($N65&gt;0,$F65=""),"Khách lấy VAT thiếu mã số thuế; ","")&amp;IF(N($Q65)&gt;$P65,"Đã thu vượt tổng phải thu; ","")&amp;IF(AND($L65&gt;0,$U65&lt;&gt;"",$U65&lt;0),"CẢNH BÁO: ĐƠN NÀY ĐANG LỖ; ","")))</f>
        <v/>
      </c>
    </row>
    <row r="66" customFormat="false" ht="15" hidden="false" customHeight="false" outlineLevel="0" collapsed="false">
      <c r="A66" s="21" t="str">
        <f aca="false">IF($C66="","",COUNTA($C$10:$C66))</f>
        <v/>
      </c>
      <c r="B66" s="18"/>
      <c r="C66" s="11"/>
      <c r="D66" s="11"/>
      <c r="E66" s="11"/>
      <c r="F66" s="11"/>
      <c r="G66" s="11"/>
      <c r="H66" s="11"/>
      <c r="I66" s="12"/>
      <c r="J66" s="13" t="str">
        <f aca="false">IF($H66="","",IFERROR(VLOOKUP($H66,'BẢNG GIÁ GỐC'!$A$5:$D$254,3,FALSE()),""))</f>
        <v/>
      </c>
      <c r="K66" s="12"/>
      <c r="L66" s="13" t="str">
        <f aca="false">IF($C66="","",N($I66)*N($K66))</f>
        <v/>
      </c>
      <c r="M66" s="11"/>
      <c r="N66" s="14" t="str">
        <f aca="false">IF($C66="","",IF($M66="VAT 5%",0.05,IF($M66="VAT 8%",0.08,IF($M66="VAT 10%",0.1,0))))</f>
        <v/>
      </c>
      <c r="O66" s="13" t="str">
        <f aca="false">IF($C66="","",$L66*$N66)</f>
        <v/>
      </c>
      <c r="P66" s="13" t="str">
        <f aca="false">IF($C66="","",$L66+$O66)</f>
        <v/>
      </c>
      <c r="Q66" s="12"/>
      <c r="R66" s="13" t="str">
        <f aca="false">IF($C66="","",MAX(0,$P66-N($Q66)))</f>
        <v/>
      </c>
      <c r="S66" s="23" t="str">
        <f aca="false">IF(OR($C66="",$P66=0),"",IF(N($Q66)&lt;=0,"Chưa thanh toán",IF(N($Q66)&lt;$P66,"Thanh toán một phần","Đã thanh toán")))</f>
        <v/>
      </c>
      <c r="T66" s="13" t="str">
        <f aca="false">IF(OR($C66="",$J66=""),"",N($I66)*$J66)</f>
        <v/>
      </c>
      <c r="U66" s="13" t="str">
        <f aca="false">IF(OR($C66="",$T66=""),"",$L66-$T66)</f>
        <v/>
      </c>
      <c r="V66" s="14" t="str">
        <f aca="false">IF(OR($U66="",$L66=0),"",$U66/$L66)</f>
        <v/>
      </c>
      <c r="W66" s="11"/>
      <c r="X66" s="23" t="str">
        <f aca="false">IF($C66="","",IF(AND($H66="",N($I66)=0,N($K66)=0),"Dòng chỉ lưu thông tin khách (chưa có đơn); ",IF($B66="","Thiếu ngày đặt; ","")&amp;IF($H66="","Thiếu tên sản phẩm; ",IF($J66="","Chưa khai GIÁ GỐC ở BẢNG GIÁ GỐC; ",""))&amp;IF(N($I66)&lt;=0,"Thiếu số lượng; ","")&amp;IF(N($K66)&lt;=0,"Thiếu giá bán; ","")&amp;IF(AND($N66&gt;0,$F66=""),"Khách lấy VAT thiếu mã số thuế; ","")&amp;IF(N($Q66)&gt;$P66,"Đã thu vượt tổng phải thu; ","")&amp;IF(AND($L66&gt;0,$U66&lt;&gt;"",$U66&lt;0),"CẢNH BÁO: ĐƠN NÀY ĐANG LỖ; ","")))</f>
        <v/>
      </c>
    </row>
    <row r="67" customFormat="false" ht="15" hidden="false" customHeight="false" outlineLevel="0" collapsed="false">
      <c r="A67" s="21" t="str">
        <f aca="false">IF($C67="","",COUNTA($C$10:$C67))</f>
        <v/>
      </c>
      <c r="B67" s="18"/>
      <c r="C67" s="11"/>
      <c r="D67" s="11"/>
      <c r="E67" s="11"/>
      <c r="F67" s="11"/>
      <c r="G67" s="11"/>
      <c r="H67" s="11"/>
      <c r="I67" s="12"/>
      <c r="J67" s="13" t="str">
        <f aca="false">IF($H67="","",IFERROR(VLOOKUP($H67,'BẢNG GIÁ GỐC'!$A$5:$D$254,3,FALSE()),""))</f>
        <v/>
      </c>
      <c r="K67" s="12"/>
      <c r="L67" s="13" t="str">
        <f aca="false">IF($C67="","",N($I67)*N($K67))</f>
        <v/>
      </c>
      <c r="M67" s="11"/>
      <c r="N67" s="14" t="str">
        <f aca="false">IF($C67="","",IF($M67="VAT 5%",0.05,IF($M67="VAT 8%",0.08,IF($M67="VAT 10%",0.1,0))))</f>
        <v/>
      </c>
      <c r="O67" s="13" t="str">
        <f aca="false">IF($C67="","",$L67*$N67)</f>
        <v/>
      </c>
      <c r="P67" s="13" t="str">
        <f aca="false">IF($C67="","",$L67+$O67)</f>
        <v/>
      </c>
      <c r="Q67" s="12"/>
      <c r="R67" s="13" t="str">
        <f aca="false">IF($C67="","",MAX(0,$P67-N($Q67)))</f>
        <v/>
      </c>
      <c r="S67" s="23" t="str">
        <f aca="false">IF(OR($C67="",$P67=0),"",IF(N($Q67)&lt;=0,"Chưa thanh toán",IF(N($Q67)&lt;$P67,"Thanh toán một phần","Đã thanh toán")))</f>
        <v/>
      </c>
      <c r="T67" s="13" t="str">
        <f aca="false">IF(OR($C67="",$J67=""),"",N($I67)*$J67)</f>
        <v/>
      </c>
      <c r="U67" s="13" t="str">
        <f aca="false">IF(OR($C67="",$T67=""),"",$L67-$T67)</f>
        <v/>
      </c>
      <c r="V67" s="14" t="str">
        <f aca="false">IF(OR($U67="",$L67=0),"",$U67/$L67)</f>
        <v/>
      </c>
      <c r="W67" s="11"/>
      <c r="X67" s="23" t="str">
        <f aca="false">IF($C67="","",IF(AND($H67="",N($I67)=0,N($K67)=0),"Dòng chỉ lưu thông tin khách (chưa có đơn); ",IF($B67="","Thiếu ngày đặt; ","")&amp;IF($H67="","Thiếu tên sản phẩm; ",IF($J67="","Chưa khai GIÁ GỐC ở BẢNG GIÁ GỐC; ",""))&amp;IF(N($I67)&lt;=0,"Thiếu số lượng; ","")&amp;IF(N($K67)&lt;=0,"Thiếu giá bán; ","")&amp;IF(AND($N67&gt;0,$F67=""),"Khách lấy VAT thiếu mã số thuế; ","")&amp;IF(N($Q67)&gt;$P67,"Đã thu vượt tổng phải thu; ","")&amp;IF(AND($L67&gt;0,$U67&lt;&gt;"",$U67&lt;0),"CẢNH BÁO: ĐƠN NÀY ĐANG LỖ; ","")))</f>
        <v/>
      </c>
    </row>
    <row r="68" customFormat="false" ht="15" hidden="false" customHeight="false" outlineLevel="0" collapsed="false">
      <c r="A68" s="21" t="str">
        <f aca="false">IF($C68="","",COUNTA($C$10:$C68))</f>
        <v/>
      </c>
      <c r="B68" s="18"/>
      <c r="C68" s="11"/>
      <c r="D68" s="11"/>
      <c r="E68" s="11"/>
      <c r="F68" s="11"/>
      <c r="G68" s="11"/>
      <c r="H68" s="11"/>
      <c r="I68" s="12"/>
      <c r="J68" s="13" t="str">
        <f aca="false">IF($H68="","",IFERROR(VLOOKUP($H68,'BẢNG GIÁ GỐC'!$A$5:$D$254,3,FALSE()),""))</f>
        <v/>
      </c>
      <c r="K68" s="12"/>
      <c r="L68" s="13" t="str">
        <f aca="false">IF($C68="","",N($I68)*N($K68))</f>
        <v/>
      </c>
      <c r="M68" s="11"/>
      <c r="N68" s="14" t="str">
        <f aca="false">IF($C68="","",IF($M68="VAT 5%",0.05,IF($M68="VAT 8%",0.08,IF($M68="VAT 10%",0.1,0))))</f>
        <v/>
      </c>
      <c r="O68" s="13" t="str">
        <f aca="false">IF($C68="","",$L68*$N68)</f>
        <v/>
      </c>
      <c r="P68" s="13" t="str">
        <f aca="false">IF($C68="","",$L68+$O68)</f>
        <v/>
      </c>
      <c r="Q68" s="12"/>
      <c r="R68" s="13" t="str">
        <f aca="false">IF($C68="","",MAX(0,$P68-N($Q68)))</f>
        <v/>
      </c>
      <c r="S68" s="23" t="str">
        <f aca="false">IF(OR($C68="",$P68=0),"",IF(N($Q68)&lt;=0,"Chưa thanh toán",IF(N($Q68)&lt;$P68,"Thanh toán một phần","Đã thanh toán")))</f>
        <v/>
      </c>
      <c r="T68" s="13" t="str">
        <f aca="false">IF(OR($C68="",$J68=""),"",N($I68)*$J68)</f>
        <v/>
      </c>
      <c r="U68" s="13" t="str">
        <f aca="false">IF(OR($C68="",$T68=""),"",$L68-$T68)</f>
        <v/>
      </c>
      <c r="V68" s="14" t="str">
        <f aca="false">IF(OR($U68="",$L68=0),"",$U68/$L68)</f>
        <v/>
      </c>
      <c r="W68" s="11"/>
      <c r="X68" s="23" t="str">
        <f aca="false">IF($C68="","",IF(AND($H68="",N($I68)=0,N($K68)=0),"Dòng chỉ lưu thông tin khách (chưa có đơn); ",IF($B68="","Thiếu ngày đặt; ","")&amp;IF($H68="","Thiếu tên sản phẩm; ",IF($J68="","Chưa khai GIÁ GỐC ở BẢNG GIÁ GỐC; ",""))&amp;IF(N($I68)&lt;=0,"Thiếu số lượng; ","")&amp;IF(N($K68)&lt;=0,"Thiếu giá bán; ","")&amp;IF(AND($N68&gt;0,$F68=""),"Khách lấy VAT thiếu mã số thuế; ","")&amp;IF(N($Q68)&gt;$P68,"Đã thu vượt tổng phải thu; ","")&amp;IF(AND($L68&gt;0,$U68&lt;&gt;"",$U68&lt;0),"CẢNH BÁO: ĐƠN NÀY ĐANG LỖ; ","")))</f>
        <v/>
      </c>
    </row>
    <row r="69" customFormat="false" ht="15" hidden="false" customHeight="false" outlineLevel="0" collapsed="false">
      <c r="A69" s="21" t="str">
        <f aca="false">IF($C69="","",COUNTA($C$10:$C69))</f>
        <v/>
      </c>
      <c r="B69" s="18"/>
      <c r="C69" s="11"/>
      <c r="D69" s="11"/>
      <c r="E69" s="11"/>
      <c r="F69" s="11"/>
      <c r="G69" s="11"/>
      <c r="H69" s="11"/>
      <c r="I69" s="12"/>
      <c r="J69" s="13" t="str">
        <f aca="false">IF($H69="","",IFERROR(VLOOKUP($H69,'BẢNG GIÁ GỐC'!$A$5:$D$254,3,FALSE()),""))</f>
        <v/>
      </c>
      <c r="K69" s="12"/>
      <c r="L69" s="13" t="str">
        <f aca="false">IF($C69="","",N($I69)*N($K69))</f>
        <v/>
      </c>
      <c r="M69" s="11"/>
      <c r="N69" s="14" t="str">
        <f aca="false">IF($C69="","",IF($M69="VAT 5%",0.05,IF($M69="VAT 8%",0.08,IF($M69="VAT 10%",0.1,0))))</f>
        <v/>
      </c>
      <c r="O69" s="13" t="str">
        <f aca="false">IF($C69="","",$L69*$N69)</f>
        <v/>
      </c>
      <c r="P69" s="13" t="str">
        <f aca="false">IF($C69="","",$L69+$O69)</f>
        <v/>
      </c>
      <c r="Q69" s="12"/>
      <c r="R69" s="13" t="str">
        <f aca="false">IF($C69="","",MAX(0,$P69-N($Q69)))</f>
        <v/>
      </c>
      <c r="S69" s="23" t="str">
        <f aca="false">IF(OR($C69="",$P69=0),"",IF(N($Q69)&lt;=0,"Chưa thanh toán",IF(N($Q69)&lt;$P69,"Thanh toán một phần","Đã thanh toán")))</f>
        <v/>
      </c>
      <c r="T69" s="13" t="str">
        <f aca="false">IF(OR($C69="",$J69=""),"",N($I69)*$J69)</f>
        <v/>
      </c>
      <c r="U69" s="13" t="str">
        <f aca="false">IF(OR($C69="",$T69=""),"",$L69-$T69)</f>
        <v/>
      </c>
      <c r="V69" s="14" t="str">
        <f aca="false">IF(OR($U69="",$L69=0),"",$U69/$L69)</f>
        <v/>
      </c>
      <c r="W69" s="11"/>
      <c r="X69" s="23" t="str">
        <f aca="false">IF($C69="","",IF(AND($H69="",N($I69)=0,N($K69)=0),"Dòng chỉ lưu thông tin khách (chưa có đơn); ",IF($B69="","Thiếu ngày đặt; ","")&amp;IF($H69="","Thiếu tên sản phẩm; ",IF($J69="","Chưa khai GIÁ GỐC ở BẢNG GIÁ GỐC; ",""))&amp;IF(N($I69)&lt;=0,"Thiếu số lượng; ","")&amp;IF(N($K69)&lt;=0,"Thiếu giá bán; ","")&amp;IF(AND($N69&gt;0,$F69=""),"Khách lấy VAT thiếu mã số thuế; ","")&amp;IF(N($Q69)&gt;$P69,"Đã thu vượt tổng phải thu; ","")&amp;IF(AND($L69&gt;0,$U69&lt;&gt;"",$U69&lt;0),"CẢNH BÁO: ĐƠN NÀY ĐANG LỖ; ","")))</f>
        <v/>
      </c>
    </row>
    <row r="70" customFormat="false" ht="15" hidden="false" customHeight="false" outlineLevel="0" collapsed="false">
      <c r="A70" s="21" t="str">
        <f aca="false">IF($C70="","",COUNTA($C$10:$C70))</f>
        <v/>
      </c>
      <c r="B70" s="18"/>
      <c r="C70" s="11"/>
      <c r="D70" s="11"/>
      <c r="E70" s="11"/>
      <c r="F70" s="11"/>
      <c r="G70" s="11"/>
      <c r="H70" s="11"/>
      <c r="I70" s="12"/>
      <c r="J70" s="13" t="str">
        <f aca="false">IF($H70="","",IFERROR(VLOOKUP($H70,'BẢNG GIÁ GỐC'!$A$5:$D$254,3,FALSE()),""))</f>
        <v/>
      </c>
      <c r="K70" s="12"/>
      <c r="L70" s="13" t="str">
        <f aca="false">IF($C70="","",N($I70)*N($K70))</f>
        <v/>
      </c>
      <c r="M70" s="11"/>
      <c r="N70" s="14" t="str">
        <f aca="false">IF($C70="","",IF($M70="VAT 5%",0.05,IF($M70="VAT 8%",0.08,IF($M70="VAT 10%",0.1,0))))</f>
        <v/>
      </c>
      <c r="O70" s="13" t="str">
        <f aca="false">IF($C70="","",$L70*$N70)</f>
        <v/>
      </c>
      <c r="P70" s="13" t="str">
        <f aca="false">IF($C70="","",$L70+$O70)</f>
        <v/>
      </c>
      <c r="Q70" s="12"/>
      <c r="R70" s="13" t="str">
        <f aca="false">IF($C70="","",MAX(0,$P70-N($Q70)))</f>
        <v/>
      </c>
      <c r="S70" s="23" t="str">
        <f aca="false">IF(OR($C70="",$P70=0),"",IF(N($Q70)&lt;=0,"Chưa thanh toán",IF(N($Q70)&lt;$P70,"Thanh toán một phần","Đã thanh toán")))</f>
        <v/>
      </c>
      <c r="T70" s="13" t="str">
        <f aca="false">IF(OR($C70="",$J70=""),"",N($I70)*$J70)</f>
        <v/>
      </c>
      <c r="U70" s="13" t="str">
        <f aca="false">IF(OR($C70="",$T70=""),"",$L70-$T70)</f>
        <v/>
      </c>
      <c r="V70" s="14" t="str">
        <f aca="false">IF(OR($U70="",$L70=0),"",$U70/$L70)</f>
        <v/>
      </c>
      <c r="W70" s="11"/>
      <c r="X70" s="23" t="str">
        <f aca="false">IF($C70="","",IF(AND($H70="",N($I70)=0,N($K70)=0),"Dòng chỉ lưu thông tin khách (chưa có đơn); ",IF($B70="","Thiếu ngày đặt; ","")&amp;IF($H70="","Thiếu tên sản phẩm; ",IF($J70="","Chưa khai GIÁ GỐC ở BẢNG GIÁ GỐC; ",""))&amp;IF(N($I70)&lt;=0,"Thiếu số lượng; ","")&amp;IF(N($K70)&lt;=0,"Thiếu giá bán; ","")&amp;IF(AND($N70&gt;0,$F70=""),"Khách lấy VAT thiếu mã số thuế; ","")&amp;IF(N($Q70)&gt;$P70,"Đã thu vượt tổng phải thu; ","")&amp;IF(AND($L70&gt;0,$U70&lt;&gt;"",$U70&lt;0),"CẢNH BÁO: ĐƠN NÀY ĐANG LỖ; ","")))</f>
        <v/>
      </c>
    </row>
    <row r="71" customFormat="false" ht="15" hidden="false" customHeight="false" outlineLevel="0" collapsed="false">
      <c r="A71" s="21" t="str">
        <f aca="false">IF($C71="","",COUNTA($C$10:$C71))</f>
        <v/>
      </c>
      <c r="B71" s="18"/>
      <c r="C71" s="11"/>
      <c r="D71" s="11"/>
      <c r="E71" s="11"/>
      <c r="F71" s="11"/>
      <c r="G71" s="11"/>
      <c r="H71" s="11"/>
      <c r="I71" s="12"/>
      <c r="J71" s="13" t="str">
        <f aca="false">IF($H71="","",IFERROR(VLOOKUP($H71,'BẢNG GIÁ GỐC'!$A$5:$D$254,3,FALSE()),""))</f>
        <v/>
      </c>
      <c r="K71" s="12"/>
      <c r="L71" s="13" t="str">
        <f aca="false">IF($C71="","",N($I71)*N($K71))</f>
        <v/>
      </c>
      <c r="M71" s="11"/>
      <c r="N71" s="14" t="str">
        <f aca="false">IF($C71="","",IF($M71="VAT 5%",0.05,IF($M71="VAT 8%",0.08,IF($M71="VAT 10%",0.1,0))))</f>
        <v/>
      </c>
      <c r="O71" s="13" t="str">
        <f aca="false">IF($C71="","",$L71*$N71)</f>
        <v/>
      </c>
      <c r="P71" s="13" t="str">
        <f aca="false">IF($C71="","",$L71+$O71)</f>
        <v/>
      </c>
      <c r="Q71" s="12"/>
      <c r="R71" s="13" t="str">
        <f aca="false">IF($C71="","",MAX(0,$P71-N($Q71)))</f>
        <v/>
      </c>
      <c r="S71" s="23" t="str">
        <f aca="false">IF(OR($C71="",$P71=0),"",IF(N($Q71)&lt;=0,"Chưa thanh toán",IF(N($Q71)&lt;$P71,"Thanh toán một phần","Đã thanh toán")))</f>
        <v/>
      </c>
      <c r="T71" s="13" t="str">
        <f aca="false">IF(OR($C71="",$J71=""),"",N($I71)*$J71)</f>
        <v/>
      </c>
      <c r="U71" s="13" t="str">
        <f aca="false">IF(OR($C71="",$T71=""),"",$L71-$T71)</f>
        <v/>
      </c>
      <c r="V71" s="14" t="str">
        <f aca="false">IF(OR($U71="",$L71=0),"",$U71/$L71)</f>
        <v/>
      </c>
      <c r="W71" s="11"/>
      <c r="X71" s="23" t="str">
        <f aca="false">IF($C71="","",IF(AND($H71="",N($I71)=0,N($K71)=0),"Dòng chỉ lưu thông tin khách (chưa có đơn); ",IF($B71="","Thiếu ngày đặt; ","")&amp;IF($H71="","Thiếu tên sản phẩm; ",IF($J71="","Chưa khai GIÁ GỐC ở BẢNG GIÁ GỐC; ",""))&amp;IF(N($I71)&lt;=0,"Thiếu số lượng; ","")&amp;IF(N($K71)&lt;=0,"Thiếu giá bán; ","")&amp;IF(AND($N71&gt;0,$F71=""),"Khách lấy VAT thiếu mã số thuế; ","")&amp;IF(N($Q71)&gt;$P71,"Đã thu vượt tổng phải thu; ","")&amp;IF(AND($L71&gt;0,$U71&lt;&gt;"",$U71&lt;0),"CẢNH BÁO: ĐƠN NÀY ĐANG LỖ; ","")))</f>
        <v/>
      </c>
    </row>
    <row r="72" customFormat="false" ht="15" hidden="false" customHeight="false" outlineLevel="0" collapsed="false">
      <c r="A72" s="21" t="str">
        <f aca="false">IF($C72="","",COUNTA($C$10:$C72))</f>
        <v/>
      </c>
      <c r="B72" s="18"/>
      <c r="C72" s="11"/>
      <c r="D72" s="11"/>
      <c r="E72" s="11"/>
      <c r="F72" s="11"/>
      <c r="G72" s="11"/>
      <c r="H72" s="11"/>
      <c r="I72" s="12"/>
      <c r="J72" s="13" t="str">
        <f aca="false">IF($H72="","",IFERROR(VLOOKUP($H72,'BẢNG GIÁ GỐC'!$A$5:$D$254,3,FALSE()),""))</f>
        <v/>
      </c>
      <c r="K72" s="12"/>
      <c r="L72" s="13" t="str">
        <f aca="false">IF($C72="","",N($I72)*N($K72))</f>
        <v/>
      </c>
      <c r="M72" s="11"/>
      <c r="N72" s="14" t="str">
        <f aca="false">IF($C72="","",IF($M72="VAT 5%",0.05,IF($M72="VAT 8%",0.08,IF($M72="VAT 10%",0.1,0))))</f>
        <v/>
      </c>
      <c r="O72" s="13" t="str">
        <f aca="false">IF($C72="","",$L72*$N72)</f>
        <v/>
      </c>
      <c r="P72" s="13" t="str">
        <f aca="false">IF($C72="","",$L72+$O72)</f>
        <v/>
      </c>
      <c r="Q72" s="12"/>
      <c r="R72" s="13" t="str">
        <f aca="false">IF($C72="","",MAX(0,$P72-N($Q72)))</f>
        <v/>
      </c>
      <c r="S72" s="23" t="str">
        <f aca="false">IF(OR($C72="",$P72=0),"",IF(N($Q72)&lt;=0,"Chưa thanh toán",IF(N($Q72)&lt;$P72,"Thanh toán một phần","Đã thanh toán")))</f>
        <v/>
      </c>
      <c r="T72" s="13" t="str">
        <f aca="false">IF(OR($C72="",$J72=""),"",N($I72)*$J72)</f>
        <v/>
      </c>
      <c r="U72" s="13" t="str">
        <f aca="false">IF(OR($C72="",$T72=""),"",$L72-$T72)</f>
        <v/>
      </c>
      <c r="V72" s="14" t="str">
        <f aca="false">IF(OR($U72="",$L72=0),"",$U72/$L72)</f>
        <v/>
      </c>
      <c r="W72" s="11"/>
      <c r="X72" s="23" t="str">
        <f aca="false">IF($C72="","",IF(AND($H72="",N($I72)=0,N($K72)=0),"Dòng chỉ lưu thông tin khách (chưa có đơn); ",IF($B72="","Thiếu ngày đặt; ","")&amp;IF($H72="","Thiếu tên sản phẩm; ",IF($J72="","Chưa khai GIÁ GỐC ở BẢNG GIÁ GỐC; ",""))&amp;IF(N($I72)&lt;=0,"Thiếu số lượng; ","")&amp;IF(N($K72)&lt;=0,"Thiếu giá bán; ","")&amp;IF(AND($N72&gt;0,$F72=""),"Khách lấy VAT thiếu mã số thuế; ","")&amp;IF(N($Q72)&gt;$P72,"Đã thu vượt tổng phải thu; ","")&amp;IF(AND($L72&gt;0,$U72&lt;&gt;"",$U72&lt;0),"CẢNH BÁO: ĐƠN NÀY ĐANG LỖ; ","")))</f>
        <v/>
      </c>
    </row>
    <row r="73" customFormat="false" ht="15" hidden="false" customHeight="false" outlineLevel="0" collapsed="false">
      <c r="A73" s="21" t="str">
        <f aca="false">IF($C73="","",COUNTA($C$10:$C73))</f>
        <v/>
      </c>
      <c r="B73" s="18"/>
      <c r="C73" s="11"/>
      <c r="D73" s="11"/>
      <c r="E73" s="11"/>
      <c r="F73" s="11"/>
      <c r="G73" s="11"/>
      <c r="H73" s="11"/>
      <c r="I73" s="12"/>
      <c r="J73" s="13" t="str">
        <f aca="false">IF($H73="","",IFERROR(VLOOKUP($H73,'BẢNG GIÁ GỐC'!$A$5:$D$254,3,FALSE()),""))</f>
        <v/>
      </c>
      <c r="K73" s="12"/>
      <c r="L73" s="13" t="str">
        <f aca="false">IF($C73="","",N($I73)*N($K73))</f>
        <v/>
      </c>
      <c r="M73" s="11"/>
      <c r="N73" s="14" t="str">
        <f aca="false">IF($C73="","",IF($M73="VAT 5%",0.05,IF($M73="VAT 8%",0.08,IF($M73="VAT 10%",0.1,0))))</f>
        <v/>
      </c>
      <c r="O73" s="13" t="str">
        <f aca="false">IF($C73="","",$L73*$N73)</f>
        <v/>
      </c>
      <c r="P73" s="13" t="str">
        <f aca="false">IF($C73="","",$L73+$O73)</f>
        <v/>
      </c>
      <c r="Q73" s="12"/>
      <c r="R73" s="13" t="str">
        <f aca="false">IF($C73="","",MAX(0,$P73-N($Q73)))</f>
        <v/>
      </c>
      <c r="S73" s="23" t="str">
        <f aca="false">IF(OR($C73="",$P73=0),"",IF(N($Q73)&lt;=0,"Chưa thanh toán",IF(N($Q73)&lt;$P73,"Thanh toán một phần","Đã thanh toán")))</f>
        <v/>
      </c>
      <c r="T73" s="13" t="str">
        <f aca="false">IF(OR($C73="",$J73=""),"",N($I73)*$J73)</f>
        <v/>
      </c>
      <c r="U73" s="13" t="str">
        <f aca="false">IF(OR($C73="",$T73=""),"",$L73-$T73)</f>
        <v/>
      </c>
      <c r="V73" s="14" t="str">
        <f aca="false">IF(OR($U73="",$L73=0),"",$U73/$L73)</f>
        <v/>
      </c>
      <c r="W73" s="11"/>
      <c r="X73" s="23" t="str">
        <f aca="false">IF($C73="","",IF(AND($H73="",N($I73)=0,N($K73)=0),"Dòng chỉ lưu thông tin khách (chưa có đơn); ",IF($B73="","Thiếu ngày đặt; ","")&amp;IF($H73="","Thiếu tên sản phẩm; ",IF($J73="","Chưa khai GIÁ GỐC ở BẢNG GIÁ GỐC; ",""))&amp;IF(N($I73)&lt;=0,"Thiếu số lượng; ","")&amp;IF(N($K73)&lt;=0,"Thiếu giá bán; ","")&amp;IF(AND($N73&gt;0,$F73=""),"Khách lấy VAT thiếu mã số thuế; ","")&amp;IF(N($Q73)&gt;$P73,"Đã thu vượt tổng phải thu; ","")&amp;IF(AND($L73&gt;0,$U73&lt;&gt;"",$U73&lt;0),"CẢNH BÁO: ĐƠN NÀY ĐANG LỖ; ","")))</f>
        <v/>
      </c>
    </row>
    <row r="74" customFormat="false" ht="15" hidden="false" customHeight="false" outlineLevel="0" collapsed="false">
      <c r="A74" s="21" t="str">
        <f aca="false">IF($C74="","",COUNTA($C$10:$C74))</f>
        <v/>
      </c>
      <c r="B74" s="18"/>
      <c r="C74" s="11"/>
      <c r="D74" s="11"/>
      <c r="E74" s="11"/>
      <c r="F74" s="11"/>
      <c r="G74" s="11"/>
      <c r="H74" s="11"/>
      <c r="I74" s="12"/>
      <c r="J74" s="13" t="str">
        <f aca="false">IF($H74="","",IFERROR(VLOOKUP($H74,'BẢNG GIÁ GỐC'!$A$5:$D$254,3,FALSE()),""))</f>
        <v/>
      </c>
      <c r="K74" s="12"/>
      <c r="L74" s="13" t="str">
        <f aca="false">IF($C74="","",N($I74)*N($K74))</f>
        <v/>
      </c>
      <c r="M74" s="11"/>
      <c r="N74" s="14" t="str">
        <f aca="false">IF($C74="","",IF($M74="VAT 5%",0.05,IF($M74="VAT 8%",0.08,IF($M74="VAT 10%",0.1,0))))</f>
        <v/>
      </c>
      <c r="O74" s="13" t="str">
        <f aca="false">IF($C74="","",$L74*$N74)</f>
        <v/>
      </c>
      <c r="P74" s="13" t="str">
        <f aca="false">IF($C74="","",$L74+$O74)</f>
        <v/>
      </c>
      <c r="Q74" s="12"/>
      <c r="R74" s="13" t="str">
        <f aca="false">IF($C74="","",MAX(0,$P74-N($Q74)))</f>
        <v/>
      </c>
      <c r="S74" s="23" t="str">
        <f aca="false">IF(OR($C74="",$P74=0),"",IF(N($Q74)&lt;=0,"Chưa thanh toán",IF(N($Q74)&lt;$P74,"Thanh toán một phần","Đã thanh toán")))</f>
        <v/>
      </c>
      <c r="T74" s="13" t="str">
        <f aca="false">IF(OR($C74="",$J74=""),"",N($I74)*$J74)</f>
        <v/>
      </c>
      <c r="U74" s="13" t="str">
        <f aca="false">IF(OR($C74="",$T74=""),"",$L74-$T74)</f>
        <v/>
      </c>
      <c r="V74" s="14" t="str">
        <f aca="false">IF(OR($U74="",$L74=0),"",$U74/$L74)</f>
        <v/>
      </c>
      <c r="W74" s="11"/>
      <c r="X74" s="23" t="str">
        <f aca="false">IF($C74="","",IF(AND($H74="",N($I74)=0,N($K74)=0),"Dòng chỉ lưu thông tin khách (chưa có đơn); ",IF($B74="","Thiếu ngày đặt; ","")&amp;IF($H74="","Thiếu tên sản phẩm; ",IF($J74="","Chưa khai GIÁ GỐC ở BẢNG GIÁ GỐC; ",""))&amp;IF(N($I74)&lt;=0,"Thiếu số lượng; ","")&amp;IF(N($K74)&lt;=0,"Thiếu giá bán; ","")&amp;IF(AND($N74&gt;0,$F74=""),"Khách lấy VAT thiếu mã số thuế; ","")&amp;IF(N($Q74)&gt;$P74,"Đã thu vượt tổng phải thu; ","")&amp;IF(AND($L74&gt;0,$U74&lt;&gt;"",$U74&lt;0),"CẢNH BÁO: ĐƠN NÀY ĐANG LỖ; ","")))</f>
        <v/>
      </c>
    </row>
    <row r="75" customFormat="false" ht="15" hidden="false" customHeight="false" outlineLevel="0" collapsed="false">
      <c r="A75" s="21" t="str">
        <f aca="false">IF($C75="","",COUNTA($C$10:$C75))</f>
        <v/>
      </c>
      <c r="B75" s="18"/>
      <c r="C75" s="11"/>
      <c r="D75" s="11"/>
      <c r="E75" s="11"/>
      <c r="F75" s="11"/>
      <c r="G75" s="11"/>
      <c r="H75" s="11"/>
      <c r="I75" s="12"/>
      <c r="J75" s="13" t="str">
        <f aca="false">IF($H75="","",IFERROR(VLOOKUP($H75,'BẢNG GIÁ GỐC'!$A$5:$D$254,3,FALSE()),""))</f>
        <v/>
      </c>
      <c r="K75" s="12"/>
      <c r="L75" s="13" t="str">
        <f aca="false">IF($C75="","",N($I75)*N($K75))</f>
        <v/>
      </c>
      <c r="M75" s="11"/>
      <c r="N75" s="14" t="str">
        <f aca="false">IF($C75="","",IF($M75="VAT 5%",0.05,IF($M75="VAT 8%",0.08,IF($M75="VAT 10%",0.1,0))))</f>
        <v/>
      </c>
      <c r="O75" s="13" t="str">
        <f aca="false">IF($C75="","",$L75*$N75)</f>
        <v/>
      </c>
      <c r="P75" s="13" t="str">
        <f aca="false">IF($C75="","",$L75+$O75)</f>
        <v/>
      </c>
      <c r="Q75" s="12"/>
      <c r="R75" s="13" t="str">
        <f aca="false">IF($C75="","",MAX(0,$P75-N($Q75)))</f>
        <v/>
      </c>
      <c r="S75" s="23" t="str">
        <f aca="false">IF(OR($C75="",$P75=0),"",IF(N($Q75)&lt;=0,"Chưa thanh toán",IF(N($Q75)&lt;$P75,"Thanh toán một phần","Đã thanh toán")))</f>
        <v/>
      </c>
      <c r="T75" s="13" t="str">
        <f aca="false">IF(OR($C75="",$J75=""),"",N($I75)*$J75)</f>
        <v/>
      </c>
      <c r="U75" s="13" t="str">
        <f aca="false">IF(OR($C75="",$T75=""),"",$L75-$T75)</f>
        <v/>
      </c>
      <c r="V75" s="14" t="str">
        <f aca="false">IF(OR($U75="",$L75=0),"",$U75/$L75)</f>
        <v/>
      </c>
      <c r="W75" s="11"/>
      <c r="X75" s="23" t="str">
        <f aca="false">IF($C75="","",IF(AND($H75="",N($I75)=0,N($K75)=0),"Dòng chỉ lưu thông tin khách (chưa có đơn); ",IF($B75="","Thiếu ngày đặt; ","")&amp;IF($H75="","Thiếu tên sản phẩm; ",IF($J75="","Chưa khai GIÁ GỐC ở BẢNG GIÁ GỐC; ",""))&amp;IF(N($I75)&lt;=0,"Thiếu số lượng; ","")&amp;IF(N($K75)&lt;=0,"Thiếu giá bán; ","")&amp;IF(AND($N75&gt;0,$F75=""),"Khách lấy VAT thiếu mã số thuế; ","")&amp;IF(N($Q75)&gt;$P75,"Đã thu vượt tổng phải thu; ","")&amp;IF(AND($L75&gt;0,$U75&lt;&gt;"",$U75&lt;0),"CẢNH BÁO: ĐƠN NÀY ĐANG LỖ; ","")))</f>
        <v/>
      </c>
    </row>
    <row r="76" customFormat="false" ht="15" hidden="false" customHeight="false" outlineLevel="0" collapsed="false">
      <c r="A76" s="21" t="str">
        <f aca="false">IF($C76="","",COUNTA($C$10:$C76))</f>
        <v/>
      </c>
      <c r="B76" s="18"/>
      <c r="C76" s="11"/>
      <c r="D76" s="11"/>
      <c r="E76" s="11"/>
      <c r="F76" s="11"/>
      <c r="G76" s="11"/>
      <c r="H76" s="11"/>
      <c r="I76" s="12"/>
      <c r="J76" s="13" t="str">
        <f aca="false">IF($H76="","",IFERROR(VLOOKUP($H76,'BẢNG GIÁ GỐC'!$A$5:$D$254,3,FALSE()),""))</f>
        <v/>
      </c>
      <c r="K76" s="12"/>
      <c r="L76" s="13" t="str">
        <f aca="false">IF($C76="","",N($I76)*N($K76))</f>
        <v/>
      </c>
      <c r="M76" s="11"/>
      <c r="N76" s="14" t="str">
        <f aca="false">IF($C76="","",IF($M76="VAT 5%",0.05,IF($M76="VAT 8%",0.08,IF($M76="VAT 10%",0.1,0))))</f>
        <v/>
      </c>
      <c r="O76" s="13" t="str">
        <f aca="false">IF($C76="","",$L76*$N76)</f>
        <v/>
      </c>
      <c r="P76" s="13" t="str">
        <f aca="false">IF($C76="","",$L76+$O76)</f>
        <v/>
      </c>
      <c r="Q76" s="12"/>
      <c r="R76" s="13" t="str">
        <f aca="false">IF($C76="","",MAX(0,$P76-N($Q76)))</f>
        <v/>
      </c>
      <c r="S76" s="23" t="str">
        <f aca="false">IF(OR($C76="",$P76=0),"",IF(N($Q76)&lt;=0,"Chưa thanh toán",IF(N($Q76)&lt;$P76,"Thanh toán một phần","Đã thanh toán")))</f>
        <v/>
      </c>
      <c r="T76" s="13" t="str">
        <f aca="false">IF(OR($C76="",$J76=""),"",N($I76)*$J76)</f>
        <v/>
      </c>
      <c r="U76" s="13" t="str">
        <f aca="false">IF(OR($C76="",$T76=""),"",$L76-$T76)</f>
        <v/>
      </c>
      <c r="V76" s="14" t="str">
        <f aca="false">IF(OR($U76="",$L76=0),"",$U76/$L76)</f>
        <v/>
      </c>
      <c r="W76" s="11"/>
      <c r="X76" s="23" t="str">
        <f aca="false">IF($C76="","",IF(AND($H76="",N($I76)=0,N($K76)=0),"Dòng chỉ lưu thông tin khách (chưa có đơn); ",IF($B76="","Thiếu ngày đặt; ","")&amp;IF($H76="","Thiếu tên sản phẩm; ",IF($J76="","Chưa khai GIÁ GỐC ở BẢNG GIÁ GỐC; ",""))&amp;IF(N($I76)&lt;=0,"Thiếu số lượng; ","")&amp;IF(N($K76)&lt;=0,"Thiếu giá bán; ","")&amp;IF(AND($N76&gt;0,$F76=""),"Khách lấy VAT thiếu mã số thuế; ","")&amp;IF(N($Q76)&gt;$P76,"Đã thu vượt tổng phải thu; ","")&amp;IF(AND($L76&gt;0,$U76&lt;&gt;"",$U76&lt;0),"CẢNH BÁO: ĐƠN NÀY ĐANG LỖ; ","")))</f>
        <v/>
      </c>
    </row>
    <row r="77" customFormat="false" ht="15" hidden="false" customHeight="false" outlineLevel="0" collapsed="false">
      <c r="A77" s="21" t="str">
        <f aca="false">IF($C77="","",COUNTA($C$10:$C77))</f>
        <v/>
      </c>
      <c r="B77" s="18"/>
      <c r="C77" s="11"/>
      <c r="D77" s="11"/>
      <c r="E77" s="11"/>
      <c r="F77" s="11"/>
      <c r="G77" s="11"/>
      <c r="H77" s="11"/>
      <c r="I77" s="12"/>
      <c r="J77" s="13" t="str">
        <f aca="false">IF($H77="","",IFERROR(VLOOKUP($H77,'BẢNG GIÁ GỐC'!$A$5:$D$254,3,FALSE()),""))</f>
        <v/>
      </c>
      <c r="K77" s="12"/>
      <c r="L77" s="13" t="str">
        <f aca="false">IF($C77="","",N($I77)*N($K77))</f>
        <v/>
      </c>
      <c r="M77" s="11"/>
      <c r="N77" s="14" t="str">
        <f aca="false">IF($C77="","",IF($M77="VAT 5%",0.05,IF($M77="VAT 8%",0.08,IF($M77="VAT 10%",0.1,0))))</f>
        <v/>
      </c>
      <c r="O77" s="13" t="str">
        <f aca="false">IF($C77="","",$L77*$N77)</f>
        <v/>
      </c>
      <c r="P77" s="13" t="str">
        <f aca="false">IF($C77="","",$L77+$O77)</f>
        <v/>
      </c>
      <c r="Q77" s="12"/>
      <c r="R77" s="13" t="str">
        <f aca="false">IF($C77="","",MAX(0,$P77-N($Q77)))</f>
        <v/>
      </c>
      <c r="S77" s="23" t="str">
        <f aca="false">IF(OR($C77="",$P77=0),"",IF(N($Q77)&lt;=0,"Chưa thanh toán",IF(N($Q77)&lt;$P77,"Thanh toán một phần","Đã thanh toán")))</f>
        <v/>
      </c>
      <c r="T77" s="13" t="str">
        <f aca="false">IF(OR($C77="",$J77=""),"",N($I77)*$J77)</f>
        <v/>
      </c>
      <c r="U77" s="13" t="str">
        <f aca="false">IF(OR($C77="",$T77=""),"",$L77-$T77)</f>
        <v/>
      </c>
      <c r="V77" s="14" t="str">
        <f aca="false">IF(OR($U77="",$L77=0),"",$U77/$L77)</f>
        <v/>
      </c>
      <c r="W77" s="11"/>
      <c r="X77" s="23" t="str">
        <f aca="false">IF($C77="","",IF(AND($H77="",N($I77)=0,N($K77)=0),"Dòng chỉ lưu thông tin khách (chưa có đơn); ",IF($B77="","Thiếu ngày đặt; ","")&amp;IF($H77="","Thiếu tên sản phẩm; ",IF($J77="","Chưa khai GIÁ GỐC ở BẢNG GIÁ GỐC; ",""))&amp;IF(N($I77)&lt;=0,"Thiếu số lượng; ","")&amp;IF(N($K77)&lt;=0,"Thiếu giá bán; ","")&amp;IF(AND($N77&gt;0,$F77=""),"Khách lấy VAT thiếu mã số thuế; ","")&amp;IF(N($Q77)&gt;$P77,"Đã thu vượt tổng phải thu; ","")&amp;IF(AND($L77&gt;0,$U77&lt;&gt;"",$U77&lt;0),"CẢNH BÁO: ĐƠN NÀY ĐANG LỖ; ","")))</f>
        <v/>
      </c>
    </row>
    <row r="78" customFormat="false" ht="15" hidden="false" customHeight="false" outlineLevel="0" collapsed="false">
      <c r="A78" s="21" t="str">
        <f aca="false">IF($C78="","",COUNTA($C$10:$C78))</f>
        <v/>
      </c>
      <c r="B78" s="18"/>
      <c r="C78" s="11"/>
      <c r="D78" s="11"/>
      <c r="E78" s="11"/>
      <c r="F78" s="11"/>
      <c r="G78" s="11"/>
      <c r="H78" s="11"/>
      <c r="I78" s="12"/>
      <c r="J78" s="13" t="str">
        <f aca="false">IF($H78="","",IFERROR(VLOOKUP($H78,'BẢNG GIÁ GỐC'!$A$5:$D$254,3,FALSE()),""))</f>
        <v/>
      </c>
      <c r="K78" s="12"/>
      <c r="L78" s="13" t="str">
        <f aca="false">IF($C78="","",N($I78)*N($K78))</f>
        <v/>
      </c>
      <c r="M78" s="11"/>
      <c r="N78" s="14" t="str">
        <f aca="false">IF($C78="","",IF($M78="VAT 5%",0.05,IF($M78="VAT 8%",0.08,IF($M78="VAT 10%",0.1,0))))</f>
        <v/>
      </c>
      <c r="O78" s="13" t="str">
        <f aca="false">IF($C78="","",$L78*$N78)</f>
        <v/>
      </c>
      <c r="P78" s="13" t="str">
        <f aca="false">IF($C78="","",$L78+$O78)</f>
        <v/>
      </c>
      <c r="Q78" s="12"/>
      <c r="R78" s="13" t="str">
        <f aca="false">IF($C78="","",MAX(0,$P78-N($Q78)))</f>
        <v/>
      </c>
      <c r="S78" s="23" t="str">
        <f aca="false">IF(OR($C78="",$P78=0),"",IF(N($Q78)&lt;=0,"Chưa thanh toán",IF(N($Q78)&lt;$P78,"Thanh toán một phần","Đã thanh toán")))</f>
        <v/>
      </c>
      <c r="T78" s="13" t="str">
        <f aca="false">IF(OR($C78="",$J78=""),"",N($I78)*$J78)</f>
        <v/>
      </c>
      <c r="U78" s="13" t="str">
        <f aca="false">IF(OR($C78="",$T78=""),"",$L78-$T78)</f>
        <v/>
      </c>
      <c r="V78" s="14" t="str">
        <f aca="false">IF(OR($U78="",$L78=0),"",$U78/$L78)</f>
        <v/>
      </c>
      <c r="W78" s="11"/>
      <c r="X78" s="23" t="str">
        <f aca="false">IF($C78="","",IF(AND($H78="",N($I78)=0,N($K78)=0),"Dòng chỉ lưu thông tin khách (chưa có đơn); ",IF($B78="","Thiếu ngày đặt; ","")&amp;IF($H78="","Thiếu tên sản phẩm; ",IF($J78="","Chưa khai GIÁ GỐC ở BẢNG GIÁ GỐC; ",""))&amp;IF(N($I78)&lt;=0,"Thiếu số lượng; ","")&amp;IF(N($K78)&lt;=0,"Thiếu giá bán; ","")&amp;IF(AND($N78&gt;0,$F78=""),"Khách lấy VAT thiếu mã số thuế; ","")&amp;IF(N($Q78)&gt;$P78,"Đã thu vượt tổng phải thu; ","")&amp;IF(AND($L78&gt;0,$U78&lt;&gt;"",$U78&lt;0),"CẢNH BÁO: ĐƠN NÀY ĐANG LỖ; ","")))</f>
        <v/>
      </c>
    </row>
    <row r="79" customFormat="false" ht="15" hidden="false" customHeight="false" outlineLevel="0" collapsed="false">
      <c r="A79" s="21" t="str">
        <f aca="false">IF($C79="","",COUNTA($C$10:$C79))</f>
        <v/>
      </c>
      <c r="B79" s="18"/>
      <c r="C79" s="11"/>
      <c r="D79" s="11"/>
      <c r="E79" s="11"/>
      <c r="F79" s="11"/>
      <c r="G79" s="11"/>
      <c r="H79" s="11"/>
      <c r="I79" s="12"/>
      <c r="J79" s="13" t="str">
        <f aca="false">IF($H79="","",IFERROR(VLOOKUP($H79,'BẢNG GIÁ GỐC'!$A$5:$D$254,3,FALSE()),""))</f>
        <v/>
      </c>
      <c r="K79" s="12"/>
      <c r="L79" s="13" t="str">
        <f aca="false">IF($C79="","",N($I79)*N($K79))</f>
        <v/>
      </c>
      <c r="M79" s="11"/>
      <c r="N79" s="14" t="str">
        <f aca="false">IF($C79="","",IF($M79="VAT 5%",0.05,IF($M79="VAT 8%",0.08,IF($M79="VAT 10%",0.1,0))))</f>
        <v/>
      </c>
      <c r="O79" s="13" t="str">
        <f aca="false">IF($C79="","",$L79*$N79)</f>
        <v/>
      </c>
      <c r="P79" s="13" t="str">
        <f aca="false">IF($C79="","",$L79+$O79)</f>
        <v/>
      </c>
      <c r="Q79" s="12"/>
      <c r="R79" s="13" t="str">
        <f aca="false">IF($C79="","",MAX(0,$P79-N($Q79)))</f>
        <v/>
      </c>
      <c r="S79" s="23" t="str">
        <f aca="false">IF(OR($C79="",$P79=0),"",IF(N($Q79)&lt;=0,"Chưa thanh toán",IF(N($Q79)&lt;$P79,"Thanh toán một phần","Đã thanh toán")))</f>
        <v/>
      </c>
      <c r="T79" s="13" t="str">
        <f aca="false">IF(OR($C79="",$J79=""),"",N($I79)*$J79)</f>
        <v/>
      </c>
      <c r="U79" s="13" t="str">
        <f aca="false">IF(OR($C79="",$T79=""),"",$L79-$T79)</f>
        <v/>
      </c>
      <c r="V79" s="14" t="str">
        <f aca="false">IF(OR($U79="",$L79=0),"",$U79/$L79)</f>
        <v/>
      </c>
      <c r="W79" s="11"/>
      <c r="X79" s="23" t="str">
        <f aca="false">IF($C79="","",IF(AND($H79="",N($I79)=0,N($K79)=0),"Dòng chỉ lưu thông tin khách (chưa có đơn); ",IF($B79="","Thiếu ngày đặt; ","")&amp;IF($H79="","Thiếu tên sản phẩm; ",IF($J79="","Chưa khai GIÁ GỐC ở BẢNG GIÁ GỐC; ",""))&amp;IF(N($I79)&lt;=0,"Thiếu số lượng; ","")&amp;IF(N($K79)&lt;=0,"Thiếu giá bán; ","")&amp;IF(AND($N79&gt;0,$F79=""),"Khách lấy VAT thiếu mã số thuế; ","")&amp;IF(N($Q79)&gt;$P79,"Đã thu vượt tổng phải thu; ","")&amp;IF(AND($L79&gt;0,$U79&lt;&gt;"",$U79&lt;0),"CẢNH BÁO: ĐƠN NÀY ĐANG LỖ; ","")))</f>
        <v/>
      </c>
    </row>
    <row r="80" customFormat="false" ht="15" hidden="false" customHeight="false" outlineLevel="0" collapsed="false">
      <c r="A80" s="21" t="str">
        <f aca="false">IF($C80="","",COUNTA($C$10:$C80))</f>
        <v/>
      </c>
      <c r="B80" s="18"/>
      <c r="C80" s="11"/>
      <c r="D80" s="11"/>
      <c r="E80" s="11"/>
      <c r="F80" s="11"/>
      <c r="G80" s="11"/>
      <c r="H80" s="11"/>
      <c r="I80" s="12"/>
      <c r="J80" s="13" t="str">
        <f aca="false">IF($H80="","",IFERROR(VLOOKUP($H80,'BẢNG GIÁ GỐC'!$A$5:$D$254,3,FALSE()),""))</f>
        <v/>
      </c>
      <c r="K80" s="12"/>
      <c r="L80" s="13" t="str">
        <f aca="false">IF($C80="","",N($I80)*N($K80))</f>
        <v/>
      </c>
      <c r="M80" s="11"/>
      <c r="N80" s="14" t="str">
        <f aca="false">IF($C80="","",IF($M80="VAT 5%",0.05,IF($M80="VAT 8%",0.08,IF($M80="VAT 10%",0.1,0))))</f>
        <v/>
      </c>
      <c r="O80" s="13" t="str">
        <f aca="false">IF($C80="","",$L80*$N80)</f>
        <v/>
      </c>
      <c r="P80" s="13" t="str">
        <f aca="false">IF($C80="","",$L80+$O80)</f>
        <v/>
      </c>
      <c r="Q80" s="12"/>
      <c r="R80" s="13" t="str">
        <f aca="false">IF($C80="","",MAX(0,$P80-N($Q80)))</f>
        <v/>
      </c>
      <c r="S80" s="23" t="str">
        <f aca="false">IF(OR($C80="",$P80=0),"",IF(N($Q80)&lt;=0,"Chưa thanh toán",IF(N($Q80)&lt;$P80,"Thanh toán một phần","Đã thanh toán")))</f>
        <v/>
      </c>
      <c r="T80" s="13" t="str">
        <f aca="false">IF(OR($C80="",$J80=""),"",N($I80)*$J80)</f>
        <v/>
      </c>
      <c r="U80" s="13" t="str">
        <f aca="false">IF(OR($C80="",$T80=""),"",$L80-$T80)</f>
        <v/>
      </c>
      <c r="V80" s="14" t="str">
        <f aca="false">IF(OR($U80="",$L80=0),"",$U80/$L80)</f>
        <v/>
      </c>
      <c r="W80" s="11"/>
      <c r="X80" s="23" t="str">
        <f aca="false">IF($C80="","",IF(AND($H80="",N($I80)=0,N($K80)=0),"Dòng chỉ lưu thông tin khách (chưa có đơn); ",IF($B80="","Thiếu ngày đặt; ","")&amp;IF($H80="","Thiếu tên sản phẩm; ",IF($J80="","Chưa khai GIÁ GỐC ở BẢNG GIÁ GỐC; ",""))&amp;IF(N($I80)&lt;=0,"Thiếu số lượng; ","")&amp;IF(N($K80)&lt;=0,"Thiếu giá bán; ","")&amp;IF(AND($N80&gt;0,$F80=""),"Khách lấy VAT thiếu mã số thuế; ","")&amp;IF(N($Q80)&gt;$P80,"Đã thu vượt tổng phải thu; ","")&amp;IF(AND($L80&gt;0,$U80&lt;&gt;"",$U80&lt;0),"CẢNH BÁO: ĐƠN NÀY ĐANG LỖ; ","")))</f>
        <v/>
      </c>
    </row>
    <row r="81" customFormat="false" ht="15" hidden="false" customHeight="false" outlineLevel="0" collapsed="false">
      <c r="A81" s="21" t="str">
        <f aca="false">IF($C81="","",COUNTA($C$10:$C81))</f>
        <v/>
      </c>
      <c r="B81" s="18"/>
      <c r="C81" s="11"/>
      <c r="D81" s="11"/>
      <c r="E81" s="11"/>
      <c r="F81" s="11"/>
      <c r="G81" s="11"/>
      <c r="H81" s="11"/>
      <c r="I81" s="12"/>
      <c r="J81" s="13" t="str">
        <f aca="false">IF($H81="","",IFERROR(VLOOKUP($H81,'BẢNG GIÁ GỐC'!$A$5:$D$254,3,FALSE()),""))</f>
        <v/>
      </c>
      <c r="K81" s="12"/>
      <c r="L81" s="13" t="str">
        <f aca="false">IF($C81="","",N($I81)*N($K81))</f>
        <v/>
      </c>
      <c r="M81" s="11"/>
      <c r="N81" s="14" t="str">
        <f aca="false">IF($C81="","",IF($M81="VAT 5%",0.05,IF($M81="VAT 8%",0.08,IF($M81="VAT 10%",0.1,0))))</f>
        <v/>
      </c>
      <c r="O81" s="13" t="str">
        <f aca="false">IF($C81="","",$L81*$N81)</f>
        <v/>
      </c>
      <c r="P81" s="13" t="str">
        <f aca="false">IF($C81="","",$L81+$O81)</f>
        <v/>
      </c>
      <c r="Q81" s="12"/>
      <c r="R81" s="13" t="str">
        <f aca="false">IF($C81="","",MAX(0,$P81-N($Q81)))</f>
        <v/>
      </c>
      <c r="S81" s="23" t="str">
        <f aca="false">IF(OR($C81="",$P81=0),"",IF(N($Q81)&lt;=0,"Chưa thanh toán",IF(N($Q81)&lt;$P81,"Thanh toán một phần","Đã thanh toán")))</f>
        <v/>
      </c>
      <c r="T81" s="13" t="str">
        <f aca="false">IF(OR($C81="",$J81=""),"",N($I81)*$J81)</f>
        <v/>
      </c>
      <c r="U81" s="13" t="str">
        <f aca="false">IF(OR($C81="",$T81=""),"",$L81-$T81)</f>
        <v/>
      </c>
      <c r="V81" s="14" t="str">
        <f aca="false">IF(OR($U81="",$L81=0),"",$U81/$L81)</f>
        <v/>
      </c>
      <c r="W81" s="11"/>
      <c r="X81" s="23" t="str">
        <f aca="false">IF($C81="","",IF(AND($H81="",N($I81)=0,N($K81)=0),"Dòng chỉ lưu thông tin khách (chưa có đơn); ",IF($B81="","Thiếu ngày đặt; ","")&amp;IF($H81="","Thiếu tên sản phẩm; ",IF($J81="","Chưa khai GIÁ GỐC ở BẢNG GIÁ GỐC; ",""))&amp;IF(N($I81)&lt;=0,"Thiếu số lượng; ","")&amp;IF(N($K81)&lt;=0,"Thiếu giá bán; ","")&amp;IF(AND($N81&gt;0,$F81=""),"Khách lấy VAT thiếu mã số thuế; ","")&amp;IF(N($Q81)&gt;$P81,"Đã thu vượt tổng phải thu; ","")&amp;IF(AND($L81&gt;0,$U81&lt;&gt;"",$U81&lt;0),"CẢNH BÁO: ĐƠN NÀY ĐANG LỖ; ","")))</f>
        <v/>
      </c>
    </row>
    <row r="82" customFormat="false" ht="15" hidden="false" customHeight="false" outlineLevel="0" collapsed="false">
      <c r="A82" s="21" t="str">
        <f aca="false">IF($C82="","",COUNTA($C$10:$C82))</f>
        <v/>
      </c>
      <c r="B82" s="18"/>
      <c r="C82" s="11"/>
      <c r="D82" s="11"/>
      <c r="E82" s="11"/>
      <c r="F82" s="11"/>
      <c r="G82" s="11"/>
      <c r="H82" s="11"/>
      <c r="I82" s="12"/>
      <c r="J82" s="13" t="str">
        <f aca="false">IF($H82="","",IFERROR(VLOOKUP($H82,'BẢNG GIÁ GỐC'!$A$5:$D$254,3,FALSE()),""))</f>
        <v/>
      </c>
      <c r="K82" s="12"/>
      <c r="L82" s="13" t="str">
        <f aca="false">IF($C82="","",N($I82)*N($K82))</f>
        <v/>
      </c>
      <c r="M82" s="11"/>
      <c r="N82" s="14" t="str">
        <f aca="false">IF($C82="","",IF($M82="VAT 5%",0.05,IF($M82="VAT 8%",0.08,IF($M82="VAT 10%",0.1,0))))</f>
        <v/>
      </c>
      <c r="O82" s="13" t="str">
        <f aca="false">IF($C82="","",$L82*$N82)</f>
        <v/>
      </c>
      <c r="P82" s="13" t="str">
        <f aca="false">IF($C82="","",$L82+$O82)</f>
        <v/>
      </c>
      <c r="Q82" s="12"/>
      <c r="R82" s="13" t="str">
        <f aca="false">IF($C82="","",MAX(0,$P82-N($Q82)))</f>
        <v/>
      </c>
      <c r="S82" s="23" t="str">
        <f aca="false">IF(OR($C82="",$P82=0),"",IF(N($Q82)&lt;=0,"Chưa thanh toán",IF(N($Q82)&lt;$P82,"Thanh toán một phần","Đã thanh toán")))</f>
        <v/>
      </c>
      <c r="T82" s="13" t="str">
        <f aca="false">IF(OR($C82="",$J82=""),"",N($I82)*$J82)</f>
        <v/>
      </c>
      <c r="U82" s="13" t="str">
        <f aca="false">IF(OR($C82="",$T82=""),"",$L82-$T82)</f>
        <v/>
      </c>
      <c r="V82" s="14" t="str">
        <f aca="false">IF(OR($U82="",$L82=0),"",$U82/$L82)</f>
        <v/>
      </c>
      <c r="W82" s="11"/>
      <c r="X82" s="23" t="str">
        <f aca="false">IF($C82="","",IF(AND($H82="",N($I82)=0,N($K82)=0),"Dòng chỉ lưu thông tin khách (chưa có đơn); ",IF($B82="","Thiếu ngày đặt; ","")&amp;IF($H82="","Thiếu tên sản phẩm; ",IF($J82="","Chưa khai GIÁ GỐC ở BẢNG GIÁ GỐC; ",""))&amp;IF(N($I82)&lt;=0,"Thiếu số lượng; ","")&amp;IF(N($K82)&lt;=0,"Thiếu giá bán; ","")&amp;IF(AND($N82&gt;0,$F82=""),"Khách lấy VAT thiếu mã số thuế; ","")&amp;IF(N($Q82)&gt;$P82,"Đã thu vượt tổng phải thu; ","")&amp;IF(AND($L82&gt;0,$U82&lt;&gt;"",$U82&lt;0),"CẢNH BÁO: ĐƠN NÀY ĐANG LỖ; ","")))</f>
        <v/>
      </c>
    </row>
    <row r="83" customFormat="false" ht="15" hidden="false" customHeight="false" outlineLevel="0" collapsed="false">
      <c r="A83" s="21" t="str">
        <f aca="false">IF($C83="","",COUNTA($C$10:$C83))</f>
        <v/>
      </c>
      <c r="B83" s="18"/>
      <c r="C83" s="11"/>
      <c r="D83" s="11"/>
      <c r="E83" s="11"/>
      <c r="F83" s="11"/>
      <c r="G83" s="11"/>
      <c r="H83" s="11"/>
      <c r="I83" s="12"/>
      <c r="J83" s="13" t="str">
        <f aca="false">IF($H83="","",IFERROR(VLOOKUP($H83,'BẢNG GIÁ GỐC'!$A$5:$D$254,3,FALSE()),""))</f>
        <v/>
      </c>
      <c r="K83" s="12"/>
      <c r="L83" s="13" t="str">
        <f aca="false">IF($C83="","",N($I83)*N($K83))</f>
        <v/>
      </c>
      <c r="M83" s="11"/>
      <c r="N83" s="14" t="str">
        <f aca="false">IF($C83="","",IF($M83="VAT 5%",0.05,IF($M83="VAT 8%",0.08,IF($M83="VAT 10%",0.1,0))))</f>
        <v/>
      </c>
      <c r="O83" s="13" t="str">
        <f aca="false">IF($C83="","",$L83*$N83)</f>
        <v/>
      </c>
      <c r="P83" s="13" t="str">
        <f aca="false">IF($C83="","",$L83+$O83)</f>
        <v/>
      </c>
      <c r="Q83" s="12"/>
      <c r="R83" s="13" t="str">
        <f aca="false">IF($C83="","",MAX(0,$P83-N($Q83)))</f>
        <v/>
      </c>
      <c r="S83" s="23" t="str">
        <f aca="false">IF(OR($C83="",$P83=0),"",IF(N($Q83)&lt;=0,"Chưa thanh toán",IF(N($Q83)&lt;$P83,"Thanh toán một phần","Đã thanh toán")))</f>
        <v/>
      </c>
      <c r="T83" s="13" t="str">
        <f aca="false">IF(OR($C83="",$J83=""),"",N($I83)*$J83)</f>
        <v/>
      </c>
      <c r="U83" s="13" t="str">
        <f aca="false">IF(OR($C83="",$T83=""),"",$L83-$T83)</f>
        <v/>
      </c>
      <c r="V83" s="14" t="str">
        <f aca="false">IF(OR($U83="",$L83=0),"",$U83/$L83)</f>
        <v/>
      </c>
      <c r="W83" s="11"/>
      <c r="X83" s="23" t="str">
        <f aca="false">IF($C83="","",IF(AND($H83="",N($I83)=0,N($K83)=0),"Dòng chỉ lưu thông tin khách (chưa có đơn); ",IF($B83="","Thiếu ngày đặt; ","")&amp;IF($H83="","Thiếu tên sản phẩm; ",IF($J83="","Chưa khai GIÁ GỐC ở BẢNG GIÁ GỐC; ",""))&amp;IF(N($I83)&lt;=0,"Thiếu số lượng; ","")&amp;IF(N($K83)&lt;=0,"Thiếu giá bán; ","")&amp;IF(AND($N83&gt;0,$F83=""),"Khách lấy VAT thiếu mã số thuế; ","")&amp;IF(N($Q83)&gt;$P83,"Đã thu vượt tổng phải thu; ","")&amp;IF(AND($L83&gt;0,$U83&lt;&gt;"",$U83&lt;0),"CẢNH BÁO: ĐƠN NÀY ĐANG LỖ; ","")))</f>
        <v/>
      </c>
    </row>
    <row r="84" customFormat="false" ht="15" hidden="false" customHeight="false" outlineLevel="0" collapsed="false">
      <c r="A84" s="21" t="str">
        <f aca="false">IF($C84="","",COUNTA($C$10:$C84))</f>
        <v/>
      </c>
      <c r="B84" s="18"/>
      <c r="C84" s="11"/>
      <c r="D84" s="11"/>
      <c r="E84" s="11"/>
      <c r="F84" s="11"/>
      <c r="G84" s="11"/>
      <c r="H84" s="11"/>
      <c r="I84" s="12"/>
      <c r="J84" s="13" t="str">
        <f aca="false">IF($H84="","",IFERROR(VLOOKUP($H84,'BẢNG GIÁ GỐC'!$A$5:$D$254,3,FALSE()),""))</f>
        <v/>
      </c>
      <c r="K84" s="12"/>
      <c r="L84" s="13" t="str">
        <f aca="false">IF($C84="","",N($I84)*N($K84))</f>
        <v/>
      </c>
      <c r="M84" s="11"/>
      <c r="N84" s="14" t="str">
        <f aca="false">IF($C84="","",IF($M84="VAT 5%",0.05,IF($M84="VAT 8%",0.08,IF($M84="VAT 10%",0.1,0))))</f>
        <v/>
      </c>
      <c r="O84" s="13" t="str">
        <f aca="false">IF($C84="","",$L84*$N84)</f>
        <v/>
      </c>
      <c r="P84" s="13" t="str">
        <f aca="false">IF($C84="","",$L84+$O84)</f>
        <v/>
      </c>
      <c r="Q84" s="12"/>
      <c r="R84" s="13" t="str">
        <f aca="false">IF($C84="","",MAX(0,$P84-N($Q84)))</f>
        <v/>
      </c>
      <c r="S84" s="23" t="str">
        <f aca="false">IF(OR($C84="",$P84=0),"",IF(N($Q84)&lt;=0,"Chưa thanh toán",IF(N($Q84)&lt;$P84,"Thanh toán một phần","Đã thanh toán")))</f>
        <v/>
      </c>
      <c r="T84" s="13" t="str">
        <f aca="false">IF(OR($C84="",$J84=""),"",N($I84)*$J84)</f>
        <v/>
      </c>
      <c r="U84" s="13" t="str">
        <f aca="false">IF(OR($C84="",$T84=""),"",$L84-$T84)</f>
        <v/>
      </c>
      <c r="V84" s="14" t="str">
        <f aca="false">IF(OR($U84="",$L84=0),"",$U84/$L84)</f>
        <v/>
      </c>
      <c r="W84" s="11"/>
      <c r="X84" s="23" t="str">
        <f aca="false">IF($C84="","",IF(AND($H84="",N($I84)=0,N($K84)=0),"Dòng chỉ lưu thông tin khách (chưa có đơn); ",IF($B84="","Thiếu ngày đặt; ","")&amp;IF($H84="","Thiếu tên sản phẩm; ",IF($J84="","Chưa khai GIÁ GỐC ở BẢNG GIÁ GỐC; ",""))&amp;IF(N($I84)&lt;=0,"Thiếu số lượng; ","")&amp;IF(N($K84)&lt;=0,"Thiếu giá bán; ","")&amp;IF(AND($N84&gt;0,$F84=""),"Khách lấy VAT thiếu mã số thuế; ","")&amp;IF(N($Q84)&gt;$P84,"Đã thu vượt tổng phải thu; ","")&amp;IF(AND($L84&gt;0,$U84&lt;&gt;"",$U84&lt;0),"CẢNH BÁO: ĐƠN NÀY ĐANG LỖ; ","")))</f>
        <v/>
      </c>
    </row>
    <row r="85" customFormat="false" ht="15" hidden="false" customHeight="false" outlineLevel="0" collapsed="false">
      <c r="A85" s="21" t="str">
        <f aca="false">IF($C85="","",COUNTA($C$10:$C85))</f>
        <v/>
      </c>
      <c r="B85" s="18"/>
      <c r="C85" s="11"/>
      <c r="D85" s="11"/>
      <c r="E85" s="11"/>
      <c r="F85" s="11"/>
      <c r="G85" s="11"/>
      <c r="H85" s="11"/>
      <c r="I85" s="12"/>
      <c r="J85" s="13" t="str">
        <f aca="false">IF($H85="","",IFERROR(VLOOKUP($H85,'BẢNG GIÁ GỐC'!$A$5:$D$254,3,FALSE()),""))</f>
        <v/>
      </c>
      <c r="K85" s="12"/>
      <c r="L85" s="13" t="str">
        <f aca="false">IF($C85="","",N($I85)*N($K85))</f>
        <v/>
      </c>
      <c r="M85" s="11"/>
      <c r="N85" s="14" t="str">
        <f aca="false">IF($C85="","",IF($M85="VAT 5%",0.05,IF($M85="VAT 8%",0.08,IF($M85="VAT 10%",0.1,0))))</f>
        <v/>
      </c>
      <c r="O85" s="13" t="str">
        <f aca="false">IF($C85="","",$L85*$N85)</f>
        <v/>
      </c>
      <c r="P85" s="13" t="str">
        <f aca="false">IF($C85="","",$L85+$O85)</f>
        <v/>
      </c>
      <c r="Q85" s="12"/>
      <c r="R85" s="13" t="str">
        <f aca="false">IF($C85="","",MAX(0,$P85-N($Q85)))</f>
        <v/>
      </c>
      <c r="S85" s="23" t="str">
        <f aca="false">IF(OR($C85="",$P85=0),"",IF(N($Q85)&lt;=0,"Chưa thanh toán",IF(N($Q85)&lt;$P85,"Thanh toán một phần","Đã thanh toán")))</f>
        <v/>
      </c>
      <c r="T85" s="13" t="str">
        <f aca="false">IF(OR($C85="",$J85=""),"",N($I85)*$J85)</f>
        <v/>
      </c>
      <c r="U85" s="13" t="str">
        <f aca="false">IF(OR($C85="",$T85=""),"",$L85-$T85)</f>
        <v/>
      </c>
      <c r="V85" s="14" t="str">
        <f aca="false">IF(OR($U85="",$L85=0),"",$U85/$L85)</f>
        <v/>
      </c>
      <c r="W85" s="11"/>
      <c r="X85" s="23" t="str">
        <f aca="false">IF($C85="","",IF(AND($H85="",N($I85)=0,N($K85)=0),"Dòng chỉ lưu thông tin khách (chưa có đơn); ",IF($B85="","Thiếu ngày đặt; ","")&amp;IF($H85="","Thiếu tên sản phẩm; ",IF($J85="","Chưa khai GIÁ GỐC ở BẢNG GIÁ GỐC; ",""))&amp;IF(N($I85)&lt;=0,"Thiếu số lượng; ","")&amp;IF(N($K85)&lt;=0,"Thiếu giá bán; ","")&amp;IF(AND($N85&gt;0,$F85=""),"Khách lấy VAT thiếu mã số thuế; ","")&amp;IF(N($Q85)&gt;$P85,"Đã thu vượt tổng phải thu; ","")&amp;IF(AND($L85&gt;0,$U85&lt;&gt;"",$U85&lt;0),"CẢNH BÁO: ĐƠN NÀY ĐANG LỖ; ","")))</f>
        <v/>
      </c>
    </row>
    <row r="86" customFormat="false" ht="15" hidden="false" customHeight="false" outlineLevel="0" collapsed="false">
      <c r="A86" s="21" t="str">
        <f aca="false">IF($C86="","",COUNTA($C$10:$C86))</f>
        <v/>
      </c>
      <c r="B86" s="18"/>
      <c r="C86" s="11"/>
      <c r="D86" s="11"/>
      <c r="E86" s="11"/>
      <c r="F86" s="11"/>
      <c r="G86" s="11"/>
      <c r="H86" s="11"/>
      <c r="I86" s="12"/>
      <c r="J86" s="13" t="str">
        <f aca="false">IF($H86="","",IFERROR(VLOOKUP($H86,'BẢNG GIÁ GỐC'!$A$5:$D$254,3,FALSE()),""))</f>
        <v/>
      </c>
      <c r="K86" s="12"/>
      <c r="L86" s="13" t="str">
        <f aca="false">IF($C86="","",N($I86)*N($K86))</f>
        <v/>
      </c>
      <c r="M86" s="11"/>
      <c r="N86" s="14" t="str">
        <f aca="false">IF($C86="","",IF($M86="VAT 5%",0.05,IF($M86="VAT 8%",0.08,IF($M86="VAT 10%",0.1,0))))</f>
        <v/>
      </c>
      <c r="O86" s="13" t="str">
        <f aca="false">IF($C86="","",$L86*$N86)</f>
        <v/>
      </c>
      <c r="P86" s="13" t="str">
        <f aca="false">IF($C86="","",$L86+$O86)</f>
        <v/>
      </c>
      <c r="Q86" s="12"/>
      <c r="R86" s="13" t="str">
        <f aca="false">IF($C86="","",MAX(0,$P86-N($Q86)))</f>
        <v/>
      </c>
      <c r="S86" s="23" t="str">
        <f aca="false">IF(OR($C86="",$P86=0),"",IF(N($Q86)&lt;=0,"Chưa thanh toán",IF(N($Q86)&lt;$P86,"Thanh toán một phần","Đã thanh toán")))</f>
        <v/>
      </c>
      <c r="T86" s="13" t="str">
        <f aca="false">IF(OR($C86="",$J86=""),"",N($I86)*$J86)</f>
        <v/>
      </c>
      <c r="U86" s="13" t="str">
        <f aca="false">IF(OR($C86="",$T86=""),"",$L86-$T86)</f>
        <v/>
      </c>
      <c r="V86" s="14" t="str">
        <f aca="false">IF(OR($U86="",$L86=0),"",$U86/$L86)</f>
        <v/>
      </c>
      <c r="W86" s="11"/>
      <c r="X86" s="23" t="str">
        <f aca="false">IF($C86="","",IF(AND($H86="",N($I86)=0,N($K86)=0),"Dòng chỉ lưu thông tin khách (chưa có đơn); ",IF($B86="","Thiếu ngày đặt; ","")&amp;IF($H86="","Thiếu tên sản phẩm; ",IF($J86="","Chưa khai GIÁ GỐC ở BẢNG GIÁ GỐC; ",""))&amp;IF(N($I86)&lt;=0,"Thiếu số lượng; ","")&amp;IF(N($K86)&lt;=0,"Thiếu giá bán; ","")&amp;IF(AND($N86&gt;0,$F86=""),"Khách lấy VAT thiếu mã số thuế; ","")&amp;IF(N($Q86)&gt;$P86,"Đã thu vượt tổng phải thu; ","")&amp;IF(AND($L86&gt;0,$U86&lt;&gt;"",$U86&lt;0),"CẢNH BÁO: ĐƠN NÀY ĐANG LỖ; ","")))</f>
        <v/>
      </c>
    </row>
    <row r="87" customFormat="false" ht="15" hidden="false" customHeight="false" outlineLevel="0" collapsed="false">
      <c r="A87" s="21" t="str">
        <f aca="false">IF($C87="","",COUNTA($C$10:$C87))</f>
        <v/>
      </c>
      <c r="B87" s="18"/>
      <c r="C87" s="11"/>
      <c r="D87" s="11"/>
      <c r="E87" s="11"/>
      <c r="F87" s="11"/>
      <c r="G87" s="11"/>
      <c r="H87" s="11"/>
      <c r="I87" s="12"/>
      <c r="J87" s="13" t="str">
        <f aca="false">IF($H87="","",IFERROR(VLOOKUP($H87,'BẢNG GIÁ GỐC'!$A$5:$D$254,3,FALSE()),""))</f>
        <v/>
      </c>
      <c r="K87" s="12"/>
      <c r="L87" s="13" t="str">
        <f aca="false">IF($C87="","",N($I87)*N($K87))</f>
        <v/>
      </c>
      <c r="M87" s="11"/>
      <c r="N87" s="14" t="str">
        <f aca="false">IF($C87="","",IF($M87="VAT 5%",0.05,IF($M87="VAT 8%",0.08,IF($M87="VAT 10%",0.1,0))))</f>
        <v/>
      </c>
      <c r="O87" s="13" t="str">
        <f aca="false">IF($C87="","",$L87*$N87)</f>
        <v/>
      </c>
      <c r="P87" s="13" t="str">
        <f aca="false">IF($C87="","",$L87+$O87)</f>
        <v/>
      </c>
      <c r="Q87" s="12"/>
      <c r="R87" s="13" t="str">
        <f aca="false">IF($C87="","",MAX(0,$P87-N($Q87)))</f>
        <v/>
      </c>
      <c r="S87" s="23" t="str">
        <f aca="false">IF(OR($C87="",$P87=0),"",IF(N($Q87)&lt;=0,"Chưa thanh toán",IF(N($Q87)&lt;$P87,"Thanh toán một phần","Đã thanh toán")))</f>
        <v/>
      </c>
      <c r="T87" s="13" t="str">
        <f aca="false">IF(OR($C87="",$J87=""),"",N($I87)*$J87)</f>
        <v/>
      </c>
      <c r="U87" s="13" t="str">
        <f aca="false">IF(OR($C87="",$T87=""),"",$L87-$T87)</f>
        <v/>
      </c>
      <c r="V87" s="14" t="str">
        <f aca="false">IF(OR($U87="",$L87=0),"",$U87/$L87)</f>
        <v/>
      </c>
      <c r="W87" s="11"/>
      <c r="X87" s="23" t="str">
        <f aca="false">IF($C87="","",IF(AND($H87="",N($I87)=0,N($K87)=0),"Dòng chỉ lưu thông tin khách (chưa có đơn); ",IF($B87="","Thiếu ngày đặt; ","")&amp;IF($H87="","Thiếu tên sản phẩm; ",IF($J87="","Chưa khai GIÁ GỐC ở BẢNG GIÁ GỐC; ",""))&amp;IF(N($I87)&lt;=0,"Thiếu số lượng; ","")&amp;IF(N($K87)&lt;=0,"Thiếu giá bán; ","")&amp;IF(AND($N87&gt;0,$F87=""),"Khách lấy VAT thiếu mã số thuế; ","")&amp;IF(N($Q87)&gt;$P87,"Đã thu vượt tổng phải thu; ","")&amp;IF(AND($L87&gt;0,$U87&lt;&gt;"",$U87&lt;0),"CẢNH BÁO: ĐƠN NÀY ĐANG LỖ; ","")))</f>
        <v/>
      </c>
    </row>
    <row r="88" customFormat="false" ht="15" hidden="false" customHeight="false" outlineLevel="0" collapsed="false">
      <c r="A88" s="21" t="str">
        <f aca="false">IF($C88="","",COUNTA($C$10:$C88))</f>
        <v/>
      </c>
      <c r="B88" s="18"/>
      <c r="C88" s="11"/>
      <c r="D88" s="11"/>
      <c r="E88" s="11"/>
      <c r="F88" s="11"/>
      <c r="G88" s="11"/>
      <c r="H88" s="11"/>
      <c r="I88" s="12"/>
      <c r="J88" s="13" t="str">
        <f aca="false">IF($H88="","",IFERROR(VLOOKUP($H88,'BẢNG GIÁ GỐC'!$A$5:$D$254,3,FALSE()),""))</f>
        <v/>
      </c>
      <c r="K88" s="12"/>
      <c r="L88" s="13" t="str">
        <f aca="false">IF($C88="","",N($I88)*N($K88))</f>
        <v/>
      </c>
      <c r="M88" s="11"/>
      <c r="N88" s="14" t="str">
        <f aca="false">IF($C88="","",IF($M88="VAT 5%",0.05,IF($M88="VAT 8%",0.08,IF($M88="VAT 10%",0.1,0))))</f>
        <v/>
      </c>
      <c r="O88" s="13" t="str">
        <f aca="false">IF($C88="","",$L88*$N88)</f>
        <v/>
      </c>
      <c r="P88" s="13" t="str">
        <f aca="false">IF($C88="","",$L88+$O88)</f>
        <v/>
      </c>
      <c r="Q88" s="12"/>
      <c r="R88" s="13" t="str">
        <f aca="false">IF($C88="","",MAX(0,$P88-N($Q88)))</f>
        <v/>
      </c>
      <c r="S88" s="23" t="str">
        <f aca="false">IF(OR($C88="",$P88=0),"",IF(N($Q88)&lt;=0,"Chưa thanh toán",IF(N($Q88)&lt;$P88,"Thanh toán một phần","Đã thanh toán")))</f>
        <v/>
      </c>
      <c r="T88" s="13" t="str">
        <f aca="false">IF(OR($C88="",$J88=""),"",N($I88)*$J88)</f>
        <v/>
      </c>
      <c r="U88" s="13" t="str">
        <f aca="false">IF(OR($C88="",$T88=""),"",$L88-$T88)</f>
        <v/>
      </c>
      <c r="V88" s="14" t="str">
        <f aca="false">IF(OR($U88="",$L88=0),"",$U88/$L88)</f>
        <v/>
      </c>
      <c r="W88" s="11"/>
      <c r="X88" s="23" t="str">
        <f aca="false">IF($C88="","",IF(AND($H88="",N($I88)=0,N($K88)=0),"Dòng chỉ lưu thông tin khách (chưa có đơn); ",IF($B88="","Thiếu ngày đặt; ","")&amp;IF($H88="","Thiếu tên sản phẩm; ",IF($J88="","Chưa khai GIÁ GỐC ở BẢNG GIÁ GỐC; ",""))&amp;IF(N($I88)&lt;=0,"Thiếu số lượng; ","")&amp;IF(N($K88)&lt;=0,"Thiếu giá bán; ","")&amp;IF(AND($N88&gt;0,$F88=""),"Khách lấy VAT thiếu mã số thuế; ","")&amp;IF(N($Q88)&gt;$P88,"Đã thu vượt tổng phải thu; ","")&amp;IF(AND($L88&gt;0,$U88&lt;&gt;"",$U88&lt;0),"CẢNH BÁO: ĐƠN NÀY ĐANG LỖ; ","")))</f>
        <v/>
      </c>
    </row>
    <row r="89" customFormat="false" ht="15" hidden="false" customHeight="false" outlineLevel="0" collapsed="false">
      <c r="A89" s="21" t="str">
        <f aca="false">IF($C89="","",COUNTA($C$10:$C89))</f>
        <v/>
      </c>
      <c r="B89" s="18"/>
      <c r="C89" s="11"/>
      <c r="D89" s="11"/>
      <c r="E89" s="11"/>
      <c r="F89" s="11"/>
      <c r="G89" s="11"/>
      <c r="H89" s="11"/>
      <c r="I89" s="12"/>
      <c r="J89" s="13" t="str">
        <f aca="false">IF($H89="","",IFERROR(VLOOKUP($H89,'BẢNG GIÁ GỐC'!$A$5:$D$254,3,FALSE()),""))</f>
        <v/>
      </c>
      <c r="K89" s="12"/>
      <c r="L89" s="13" t="str">
        <f aca="false">IF($C89="","",N($I89)*N($K89))</f>
        <v/>
      </c>
      <c r="M89" s="11"/>
      <c r="N89" s="14" t="str">
        <f aca="false">IF($C89="","",IF($M89="VAT 5%",0.05,IF($M89="VAT 8%",0.08,IF($M89="VAT 10%",0.1,0))))</f>
        <v/>
      </c>
      <c r="O89" s="13" t="str">
        <f aca="false">IF($C89="","",$L89*$N89)</f>
        <v/>
      </c>
      <c r="P89" s="13" t="str">
        <f aca="false">IF($C89="","",$L89+$O89)</f>
        <v/>
      </c>
      <c r="Q89" s="12"/>
      <c r="R89" s="13" t="str">
        <f aca="false">IF($C89="","",MAX(0,$P89-N($Q89)))</f>
        <v/>
      </c>
      <c r="S89" s="23" t="str">
        <f aca="false">IF(OR($C89="",$P89=0),"",IF(N($Q89)&lt;=0,"Chưa thanh toán",IF(N($Q89)&lt;$P89,"Thanh toán một phần","Đã thanh toán")))</f>
        <v/>
      </c>
      <c r="T89" s="13" t="str">
        <f aca="false">IF(OR($C89="",$J89=""),"",N($I89)*$J89)</f>
        <v/>
      </c>
      <c r="U89" s="13" t="str">
        <f aca="false">IF(OR($C89="",$T89=""),"",$L89-$T89)</f>
        <v/>
      </c>
      <c r="V89" s="14" t="str">
        <f aca="false">IF(OR($U89="",$L89=0),"",$U89/$L89)</f>
        <v/>
      </c>
      <c r="W89" s="11"/>
      <c r="X89" s="23" t="str">
        <f aca="false">IF($C89="","",IF(AND($H89="",N($I89)=0,N($K89)=0),"Dòng chỉ lưu thông tin khách (chưa có đơn); ",IF($B89="","Thiếu ngày đặt; ","")&amp;IF($H89="","Thiếu tên sản phẩm; ",IF($J89="","Chưa khai GIÁ GỐC ở BẢNG GIÁ GỐC; ",""))&amp;IF(N($I89)&lt;=0,"Thiếu số lượng; ","")&amp;IF(N($K89)&lt;=0,"Thiếu giá bán; ","")&amp;IF(AND($N89&gt;0,$F89=""),"Khách lấy VAT thiếu mã số thuế; ","")&amp;IF(N($Q89)&gt;$P89,"Đã thu vượt tổng phải thu; ","")&amp;IF(AND($L89&gt;0,$U89&lt;&gt;"",$U89&lt;0),"CẢNH BÁO: ĐƠN NÀY ĐANG LỖ; ","")))</f>
        <v/>
      </c>
    </row>
    <row r="90" customFormat="false" ht="15" hidden="false" customHeight="false" outlineLevel="0" collapsed="false">
      <c r="A90" s="21" t="str">
        <f aca="false">IF($C90="","",COUNTA($C$10:$C90))</f>
        <v/>
      </c>
      <c r="B90" s="18"/>
      <c r="C90" s="11"/>
      <c r="D90" s="11"/>
      <c r="E90" s="11"/>
      <c r="F90" s="11"/>
      <c r="G90" s="11"/>
      <c r="H90" s="11"/>
      <c r="I90" s="12"/>
      <c r="J90" s="13" t="str">
        <f aca="false">IF($H90="","",IFERROR(VLOOKUP($H90,'BẢNG GIÁ GỐC'!$A$5:$D$254,3,FALSE()),""))</f>
        <v/>
      </c>
      <c r="K90" s="12"/>
      <c r="L90" s="13" t="str">
        <f aca="false">IF($C90="","",N($I90)*N($K90))</f>
        <v/>
      </c>
      <c r="M90" s="11"/>
      <c r="N90" s="14" t="str">
        <f aca="false">IF($C90="","",IF($M90="VAT 5%",0.05,IF($M90="VAT 8%",0.08,IF($M90="VAT 10%",0.1,0))))</f>
        <v/>
      </c>
      <c r="O90" s="13" t="str">
        <f aca="false">IF($C90="","",$L90*$N90)</f>
        <v/>
      </c>
      <c r="P90" s="13" t="str">
        <f aca="false">IF($C90="","",$L90+$O90)</f>
        <v/>
      </c>
      <c r="Q90" s="12"/>
      <c r="R90" s="13" t="str">
        <f aca="false">IF($C90="","",MAX(0,$P90-N($Q90)))</f>
        <v/>
      </c>
      <c r="S90" s="23" t="str">
        <f aca="false">IF(OR($C90="",$P90=0),"",IF(N($Q90)&lt;=0,"Chưa thanh toán",IF(N($Q90)&lt;$P90,"Thanh toán một phần","Đã thanh toán")))</f>
        <v/>
      </c>
      <c r="T90" s="13" t="str">
        <f aca="false">IF(OR($C90="",$J90=""),"",N($I90)*$J90)</f>
        <v/>
      </c>
      <c r="U90" s="13" t="str">
        <f aca="false">IF(OR($C90="",$T90=""),"",$L90-$T90)</f>
        <v/>
      </c>
      <c r="V90" s="14" t="str">
        <f aca="false">IF(OR($U90="",$L90=0),"",$U90/$L90)</f>
        <v/>
      </c>
      <c r="W90" s="11"/>
      <c r="X90" s="23" t="str">
        <f aca="false">IF($C90="","",IF(AND($H90="",N($I90)=0,N($K90)=0),"Dòng chỉ lưu thông tin khách (chưa có đơn); ",IF($B90="","Thiếu ngày đặt; ","")&amp;IF($H90="","Thiếu tên sản phẩm; ",IF($J90="","Chưa khai GIÁ GỐC ở BẢNG GIÁ GỐC; ",""))&amp;IF(N($I90)&lt;=0,"Thiếu số lượng; ","")&amp;IF(N($K90)&lt;=0,"Thiếu giá bán; ","")&amp;IF(AND($N90&gt;0,$F90=""),"Khách lấy VAT thiếu mã số thuế; ","")&amp;IF(N($Q90)&gt;$P90,"Đã thu vượt tổng phải thu; ","")&amp;IF(AND($L90&gt;0,$U90&lt;&gt;"",$U90&lt;0),"CẢNH BÁO: ĐƠN NÀY ĐANG LỖ; ","")))</f>
        <v/>
      </c>
    </row>
    <row r="91" customFormat="false" ht="15" hidden="false" customHeight="false" outlineLevel="0" collapsed="false">
      <c r="A91" s="21" t="str">
        <f aca="false">IF($C91="","",COUNTA($C$10:$C91))</f>
        <v/>
      </c>
      <c r="B91" s="18"/>
      <c r="C91" s="11"/>
      <c r="D91" s="11"/>
      <c r="E91" s="11"/>
      <c r="F91" s="11"/>
      <c r="G91" s="11"/>
      <c r="H91" s="11"/>
      <c r="I91" s="12"/>
      <c r="J91" s="13" t="str">
        <f aca="false">IF($H91="","",IFERROR(VLOOKUP($H91,'BẢNG GIÁ GỐC'!$A$5:$D$254,3,FALSE()),""))</f>
        <v/>
      </c>
      <c r="K91" s="12"/>
      <c r="L91" s="13" t="str">
        <f aca="false">IF($C91="","",N($I91)*N($K91))</f>
        <v/>
      </c>
      <c r="M91" s="11"/>
      <c r="N91" s="14" t="str">
        <f aca="false">IF($C91="","",IF($M91="VAT 5%",0.05,IF($M91="VAT 8%",0.08,IF($M91="VAT 10%",0.1,0))))</f>
        <v/>
      </c>
      <c r="O91" s="13" t="str">
        <f aca="false">IF($C91="","",$L91*$N91)</f>
        <v/>
      </c>
      <c r="P91" s="13" t="str">
        <f aca="false">IF($C91="","",$L91+$O91)</f>
        <v/>
      </c>
      <c r="Q91" s="12"/>
      <c r="R91" s="13" t="str">
        <f aca="false">IF($C91="","",MAX(0,$P91-N($Q91)))</f>
        <v/>
      </c>
      <c r="S91" s="23" t="str">
        <f aca="false">IF(OR($C91="",$P91=0),"",IF(N($Q91)&lt;=0,"Chưa thanh toán",IF(N($Q91)&lt;$P91,"Thanh toán một phần","Đã thanh toán")))</f>
        <v/>
      </c>
      <c r="T91" s="13" t="str">
        <f aca="false">IF(OR($C91="",$J91=""),"",N($I91)*$J91)</f>
        <v/>
      </c>
      <c r="U91" s="13" t="str">
        <f aca="false">IF(OR($C91="",$T91=""),"",$L91-$T91)</f>
        <v/>
      </c>
      <c r="V91" s="14" t="str">
        <f aca="false">IF(OR($U91="",$L91=0),"",$U91/$L91)</f>
        <v/>
      </c>
      <c r="W91" s="11"/>
      <c r="X91" s="23" t="str">
        <f aca="false">IF($C91="","",IF(AND($H91="",N($I91)=0,N($K91)=0),"Dòng chỉ lưu thông tin khách (chưa có đơn); ",IF($B91="","Thiếu ngày đặt; ","")&amp;IF($H91="","Thiếu tên sản phẩm; ",IF($J91="","Chưa khai GIÁ GỐC ở BẢNG GIÁ GỐC; ",""))&amp;IF(N($I91)&lt;=0,"Thiếu số lượng; ","")&amp;IF(N($K91)&lt;=0,"Thiếu giá bán; ","")&amp;IF(AND($N91&gt;0,$F91=""),"Khách lấy VAT thiếu mã số thuế; ","")&amp;IF(N($Q91)&gt;$P91,"Đã thu vượt tổng phải thu; ","")&amp;IF(AND($L91&gt;0,$U91&lt;&gt;"",$U91&lt;0),"CẢNH BÁO: ĐƠN NÀY ĐANG LỖ; ","")))</f>
        <v/>
      </c>
    </row>
    <row r="92" customFormat="false" ht="15" hidden="false" customHeight="false" outlineLevel="0" collapsed="false">
      <c r="A92" s="21" t="str">
        <f aca="false">IF($C92="","",COUNTA($C$10:$C92))</f>
        <v/>
      </c>
      <c r="B92" s="18"/>
      <c r="C92" s="11"/>
      <c r="D92" s="11"/>
      <c r="E92" s="11"/>
      <c r="F92" s="11"/>
      <c r="G92" s="11"/>
      <c r="H92" s="11"/>
      <c r="I92" s="12"/>
      <c r="J92" s="13" t="str">
        <f aca="false">IF($H92="","",IFERROR(VLOOKUP($H92,'BẢNG GIÁ GỐC'!$A$5:$D$254,3,FALSE()),""))</f>
        <v/>
      </c>
      <c r="K92" s="12"/>
      <c r="L92" s="13" t="str">
        <f aca="false">IF($C92="","",N($I92)*N($K92))</f>
        <v/>
      </c>
      <c r="M92" s="11"/>
      <c r="N92" s="14" t="str">
        <f aca="false">IF($C92="","",IF($M92="VAT 5%",0.05,IF($M92="VAT 8%",0.08,IF($M92="VAT 10%",0.1,0))))</f>
        <v/>
      </c>
      <c r="O92" s="13" t="str">
        <f aca="false">IF($C92="","",$L92*$N92)</f>
        <v/>
      </c>
      <c r="P92" s="13" t="str">
        <f aca="false">IF($C92="","",$L92+$O92)</f>
        <v/>
      </c>
      <c r="Q92" s="12"/>
      <c r="R92" s="13" t="str">
        <f aca="false">IF($C92="","",MAX(0,$P92-N($Q92)))</f>
        <v/>
      </c>
      <c r="S92" s="23" t="str">
        <f aca="false">IF(OR($C92="",$P92=0),"",IF(N($Q92)&lt;=0,"Chưa thanh toán",IF(N($Q92)&lt;$P92,"Thanh toán một phần","Đã thanh toán")))</f>
        <v/>
      </c>
      <c r="T92" s="13" t="str">
        <f aca="false">IF(OR($C92="",$J92=""),"",N($I92)*$J92)</f>
        <v/>
      </c>
      <c r="U92" s="13" t="str">
        <f aca="false">IF(OR($C92="",$T92=""),"",$L92-$T92)</f>
        <v/>
      </c>
      <c r="V92" s="14" t="str">
        <f aca="false">IF(OR($U92="",$L92=0),"",$U92/$L92)</f>
        <v/>
      </c>
      <c r="W92" s="11"/>
      <c r="X92" s="23" t="str">
        <f aca="false">IF($C92="","",IF(AND($H92="",N($I92)=0,N($K92)=0),"Dòng chỉ lưu thông tin khách (chưa có đơn); ",IF($B92="","Thiếu ngày đặt; ","")&amp;IF($H92="","Thiếu tên sản phẩm; ",IF($J92="","Chưa khai GIÁ GỐC ở BẢNG GIÁ GỐC; ",""))&amp;IF(N($I92)&lt;=0,"Thiếu số lượng; ","")&amp;IF(N($K92)&lt;=0,"Thiếu giá bán; ","")&amp;IF(AND($N92&gt;0,$F92=""),"Khách lấy VAT thiếu mã số thuế; ","")&amp;IF(N($Q92)&gt;$P92,"Đã thu vượt tổng phải thu; ","")&amp;IF(AND($L92&gt;0,$U92&lt;&gt;"",$U92&lt;0),"CẢNH BÁO: ĐƠN NÀY ĐANG LỖ; ","")))</f>
        <v/>
      </c>
    </row>
    <row r="93" customFormat="false" ht="15" hidden="false" customHeight="false" outlineLevel="0" collapsed="false">
      <c r="A93" s="21" t="str">
        <f aca="false">IF($C93="","",COUNTA($C$10:$C93))</f>
        <v/>
      </c>
      <c r="B93" s="18"/>
      <c r="C93" s="11"/>
      <c r="D93" s="11"/>
      <c r="E93" s="11"/>
      <c r="F93" s="11"/>
      <c r="G93" s="11"/>
      <c r="H93" s="11"/>
      <c r="I93" s="12"/>
      <c r="J93" s="13" t="str">
        <f aca="false">IF($H93="","",IFERROR(VLOOKUP($H93,'BẢNG GIÁ GỐC'!$A$5:$D$254,3,FALSE()),""))</f>
        <v/>
      </c>
      <c r="K93" s="12"/>
      <c r="L93" s="13" t="str">
        <f aca="false">IF($C93="","",N($I93)*N($K93))</f>
        <v/>
      </c>
      <c r="M93" s="11"/>
      <c r="N93" s="14" t="str">
        <f aca="false">IF($C93="","",IF($M93="VAT 5%",0.05,IF($M93="VAT 8%",0.08,IF($M93="VAT 10%",0.1,0))))</f>
        <v/>
      </c>
      <c r="O93" s="13" t="str">
        <f aca="false">IF($C93="","",$L93*$N93)</f>
        <v/>
      </c>
      <c r="P93" s="13" t="str">
        <f aca="false">IF($C93="","",$L93+$O93)</f>
        <v/>
      </c>
      <c r="Q93" s="12"/>
      <c r="R93" s="13" t="str">
        <f aca="false">IF($C93="","",MAX(0,$P93-N($Q93)))</f>
        <v/>
      </c>
      <c r="S93" s="23" t="str">
        <f aca="false">IF(OR($C93="",$P93=0),"",IF(N($Q93)&lt;=0,"Chưa thanh toán",IF(N($Q93)&lt;$P93,"Thanh toán một phần","Đã thanh toán")))</f>
        <v/>
      </c>
      <c r="T93" s="13" t="str">
        <f aca="false">IF(OR($C93="",$J93=""),"",N($I93)*$J93)</f>
        <v/>
      </c>
      <c r="U93" s="13" t="str">
        <f aca="false">IF(OR($C93="",$T93=""),"",$L93-$T93)</f>
        <v/>
      </c>
      <c r="V93" s="14" t="str">
        <f aca="false">IF(OR($U93="",$L93=0),"",$U93/$L93)</f>
        <v/>
      </c>
      <c r="W93" s="11"/>
      <c r="X93" s="23" t="str">
        <f aca="false">IF($C93="","",IF(AND($H93="",N($I93)=0,N($K93)=0),"Dòng chỉ lưu thông tin khách (chưa có đơn); ",IF($B93="","Thiếu ngày đặt; ","")&amp;IF($H93="","Thiếu tên sản phẩm; ",IF($J93="","Chưa khai GIÁ GỐC ở BẢNG GIÁ GỐC; ",""))&amp;IF(N($I93)&lt;=0,"Thiếu số lượng; ","")&amp;IF(N($K93)&lt;=0,"Thiếu giá bán; ","")&amp;IF(AND($N93&gt;0,$F93=""),"Khách lấy VAT thiếu mã số thuế; ","")&amp;IF(N($Q93)&gt;$P93,"Đã thu vượt tổng phải thu; ","")&amp;IF(AND($L93&gt;0,$U93&lt;&gt;"",$U93&lt;0),"CẢNH BÁO: ĐƠN NÀY ĐANG LỖ; ","")))</f>
        <v/>
      </c>
    </row>
    <row r="94" customFormat="false" ht="15" hidden="false" customHeight="false" outlineLevel="0" collapsed="false">
      <c r="A94" s="21" t="str">
        <f aca="false">IF($C94="","",COUNTA($C$10:$C94))</f>
        <v/>
      </c>
      <c r="B94" s="18"/>
      <c r="C94" s="11"/>
      <c r="D94" s="11"/>
      <c r="E94" s="11"/>
      <c r="F94" s="11"/>
      <c r="G94" s="11"/>
      <c r="H94" s="11"/>
      <c r="I94" s="12"/>
      <c r="J94" s="13" t="str">
        <f aca="false">IF($H94="","",IFERROR(VLOOKUP($H94,'BẢNG GIÁ GỐC'!$A$5:$D$254,3,FALSE()),""))</f>
        <v/>
      </c>
      <c r="K94" s="12"/>
      <c r="L94" s="13" t="str">
        <f aca="false">IF($C94="","",N($I94)*N($K94))</f>
        <v/>
      </c>
      <c r="M94" s="11"/>
      <c r="N94" s="14" t="str">
        <f aca="false">IF($C94="","",IF($M94="VAT 5%",0.05,IF($M94="VAT 8%",0.08,IF($M94="VAT 10%",0.1,0))))</f>
        <v/>
      </c>
      <c r="O94" s="13" t="str">
        <f aca="false">IF($C94="","",$L94*$N94)</f>
        <v/>
      </c>
      <c r="P94" s="13" t="str">
        <f aca="false">IF($C94="","",$L94+$O94)</f>
        <v/>
      </c>
      <c r="Q94" s="12"/>
      <c r="R94" s="13" t="str">
        <f aca="false">IF($C94="","",MAX(0,$P94-N($Q94)))</f>
        <v/>
      </c>
      <c r="S94" s="23" t="str">
        <f aca="false">IF(OR($C94="",$P94=0),"",IF(N($Q94)&lt;=0,"Chưa thanh toán",IF(N($Q94)&lt;$P94,"Thanh toán một phần","Đã thanh toán")))</f>
        <v/>
      </c>
      <c r="T94" s="13" t="str">
        <f aca="false">IF(OR($C94="",$J94=""),"",N($I94)*$J94)</f>
        <v/>
      </c>
      <c r="U94" s="13" t="str">
        <f aca="false">IF(OR($C94="",$T94=""),"",$L94-$T94)</f>
        <v/>
      </c>
      <c r="V94" s="14" t="str">
        <f aca="false">IF(OR($U94="",$L94=0),"",$U94/$L94)</f>
        <v/>
      </c>
      <c r="W94" s="11"/>
      <c r="X94" s="23" t="str">
        <f aca="false">IF($C94="","",IF(AND($H94="",N($I94)=0,N($K94)=0),"Dòng chỉ lưu thông tin khách (chưa có đơn); ",IF($B94="","Thiếu ngày đặt; ","")&amp;IF($H94="","Thiếu tên sản phẩm; ",IF($J94="","Chưa khai GIÁ GỐC ở BẢNG GIÁ GỐC; ",""))&amp;IF(N($I94)&lt;=0,"Thiếu số lượng; ","")&amp;IF(N($K94)&lt;=0,"Thiếu giá bán; ","")&amp;IF(AND($N94&gt;0,$F94=""),"Khách lấy VAT thiếu mã số thuế; ","")&amp;IF(N($Q94)&gt;$P94,"Đã thu vượt tổng phải thu; ","")&amp;IF(AND($L94&gt;0,$U94&lt;&gt;"",$U94&lt;0),"CẢNH BÁO: ĐƠN NÀY ĐANG LỖ; ","")))</f>
        <v/>
      </c>
    </row>
    <row r="95" customFormat="false" ht="15" hidden="false" customHeight="false" outlineLevel="0" collapsed="false">
      <c r="A95" s="21" t="str">
        <f aca="false">IF($C95="","",COUNTA($C$10:$C95))</f>
        <v/>
      </c>
      <c r="B95" s="18"/>
      <c r="C95" s="11"/>
      <c r="D95" s="11"/>
      <c r="E95" s="11"/>
      <c r="F95" s="11"/>
      <c r="G95" s="11"/>
      <c r="H95" s="11"/>
      <c r="I95" s="12"/>
      <c r="J95" s="13" t="str">
        <f aca="false">IF($H95="","",IFERROR(VLOOKUP($H95,'BẢNG GIÁ GỐC'!$A$5:$D$254,3,FALSE()),""))</f>
        <v/>
      </c>
      <c r="K95" s="12"/>
      <c r="L95" s="13" t="str">
        <f aca="false">IF($C95="","",N($I95)*N($K95))</f>
        <v/>
      </c>
      <c r="M95" s="11"/>
      <c r="N95" s="14" t="str">
        <f aca="false">IF($C95="","",IF($M95="VAT 5%",0.05,IF($M95="VAT 8%",0.08,IF($M95="VAT 10%",0.1,0))))</f>
        <v/>
      </c>
      <c r="O95" s="13" t="str">
        <f aca="false">IF($C95="","",$L95*$N95)</f>
        <v/>
      </c>
      <c r="P95" s="13" t="str">
        <f aca="false">IF($C95="","",$L95+$O95)</f>
        <v/>
      </c>
      <c r="Q95" s="12"/>
      <c r="R95" s="13" t="str">
        <f aca="false">IF($C95="","",MAX(0,$P95-N($Q95)))</f>
        <v/>
      </c>
      <c r="S95" s="23" t="str">
        <f aca="false">IF(OR($C95="",$P95=0),"",IF(N($Q95)&lt;=0,"Chưa thanh toán",IF(N($Q95)&lt;$P95,"Thanh toán một phần","Đã thanh toán")))</f>
        <v/>
      </c>
      <c r="T95" s="13" t="str">
        <f aca="false">IF(OR($C95="",$J95=""),"",N($I95)*$J95)</f>
        <v/>
      </c>
      <c r="U95" s="13" t="str">
        <f aca="false">IF(OR($C95="",$T95=""),"",$L95-$T95)</f>
        <v/>
      </c>
      <c r="V95" s="14" t="str">
        <f aca="false">IF(OR($U95="",$L95=0),"",$U95/$L95)</f>
        <v/>
      </c>
      <c r="W95" s="11"/>
      <c r="X95" s="23" t="str">
        <f aca="false">IF($C95="","",IF(AND($H95="",N($I95)=0,N($K95)=0),"Dòng chỉ lưu thông tin khách (chưa có đơn); ",IF($B95="","Thiếu ngày đặt; ","")&amp;IF($H95="","Thiếu tên sản phẩm; ",IF($J95="","Chưa khai GIÁ GỐC ở BẢNG GIÁ GỐC; ",""))&amp;IF(N($I95)&lt;=0,"Thiếu số lượng; ","")&amp;IF(N($K95)&lt;=0,"Thiếu giá bán; ","")&amp;IF(AND($N95&gt;0,$F95=""),"Khách lấy VAT thiếu mã số thuế; ","")&amp;IF(N($Q95)&gt;$P95,"Đã thu vượt tổng phải thu; ","")&amp;IF(AND($L95&gt;0,$U95&lt;&gt;"",$U95&lt;0),"CẢNH BÁO: ĐƠN NÀY ĐANG LỖ; ","")))</f>
        <v/>
      </c>
    </row>
    <row r="96" customFormat="false" ht="15" hidden="false" customHeight="false" outlineLevel="0" collapsed="false">
      <c r="A96" s="21" t="str">
        <f aca="false">IF($C96="","",COUNTA($C$10:$C96))</f>
        <v/>
      </c>
      <c r="B96" s="18"/>
      <c r="C96" s="11"/>
      <c r="D96" s="11"/>
      <c r="E96" s="11"/>
      <c r="F96" s="11"/>
      <c r="G96" s="11"/>
      <c r="H96" s="11"/>
      <c r="I96" s="12"/>
      <c r="J96" s="13" t="str">
        <f aca="false">IF($H96="","",IFERROR(VLOOKUP($H96,'BẢNG GIÁ GỐC'!$A$5:$D$254,3,FALSE()),""))</f>
        <v/>
      </c>
      <c r="K96" s="12"/>
      <c r="L96" s="13" t="str">
        <f aca="false">IF($C96="","",N($I96)*N($K96))</f>
        <v/>
      </c>
      <c r="M96" s="11"/>
      <c r="N96" s="14" t="str">
        <f aca="false">IF($C96="","",IF($M96="VAT 5%",0.05,IF($M96="VAT 8%",0.08,IF($M96="VAT 10%",0.1,0))))</f>
        <v/>
      </c>
      <c r="O96" s="13" t="str">
        <f aca="false">IF($C96="","",$L96*$N96)</f>
        <v/>
      </c>
      <c r="P96" s="13" t="str">
        <f aca="false">IF($C96="","",$L96+$O96)</f>
        <v/>
      </c>
      <c r="Q96" s="12"/>
      <c r="R96" s="13" t="str">
        <f aca="false">IF($C96="","",MAX(0,$P96-N($Q96)))</f>
        <v/>
      </c>
      <c r="S96" s="23" t="str">
        <f aca="false">IF(OR($C96="",$P96=0),"",IF(N($Q96)&lt;=0,"Chưa thanh toán",IF(N($Q96)&lt;$P96,"Thanh toán một phần","Đã thanh toán")))</f>
        <v/>
      </c>
      <c r="T96" s="13" t="str">
        <f aca="false">IF(OR($C96="",$J96=""),"",N($I96)*$J96)</f>
        <v/>
      </c>
      <c r="U96" s="13" t="str">
        <f aca="false">IF(OR($C96="",$T96=""),"",$L96-$T96)</f>
        <v/>
      </c>
      <c r="V96" s="14" t="str">
        <f aca="false">IF(OR($U96="",$L96=0),"",$U96/$L96)</f>
        <v/>
      </c>
      <c r="W96" s="11"/>
      <c r="X96" s="23" t="str">
        <f aca="false">IF($C96="","",IF(AND($H96="",N($I96)=0,N($K96)=0),"Dòng chỉ lưu thông tin khách (chưa có đơn); ",IF($B96="","Thiếu ngày đặt; ","")&amp;IF($H96="","Thiếu tên sản phẩm; ",IF($J96="","Chưa khai GIÁ GỐC ở BẢNG GIÁ GỐC; ",""))&amp;IF(N($I96)&lt;=0,"Thiếu số lượng; ","")&amp;IF(N($K96)&lt;=0,"Thiếu giá bán; ","")&amp;IF(AND($N96&gt;0,$F96=""),"Khách lấy VAT thiếu mã số thuế; ","")&amp;IF(N($Q96)&gt;$P96,"Đã thu vượt tổng phải thu; ","")&amp;IF(AND($L96&gt;0,$U96&lt;&gt;"",$U96&lt;0),"CẢNH BÁO: ĐƠN NÀY ĐANG LỖ; ","")))</f>
        <v/>
      </c>
    </row>
    <row r="97" customFormat="false" ht="15" hidden="false" customHeight="false" outlineLevel="0" collapsed="false">
      <c r="A97" s="21" t="str">
        <f aca="false">IF($C97="","",COUNTA($C$10:$C97))</f>
        <v/>
      </c>
      <c r="B97" s="18"/>
      <c r="C97" s="11"/>
      <c r="D97" s="11"/>
      <c r="E97" s="11"/>
      <c r="F97" s="11"/>
      <c r="G97" s="11"/>
      <c r="H97" s="11"/>
      <c r="I97" s="12"/>
      <c r="J97" s="13" t="str">
        <f aca="false">IF($H97="","",IFERROR(VLOOKUP($H97,'BẢNG GIÁ GỐC'!$A$5:$D$254,3,FALSE()),""))</f>
        <v/>
      </c>
      <c r="K97" s="12"/>
      <c r="L97" s="13" t="str">
        <f aca="false">IF($C97="","",N($I97)*N($K97))</f>
        <v/>
      </c>
      <c r="M97" s="11"/>
      <c r="N97" s="14" t="str">
        <f aca="false">IF($C97="","",IF($M97="VAT 5%",0.05,IF($M97="VAT 8%",0.08,IF($M97="VAT 10%",0.1,0))))</f>
        <v/>
      </c>
      <c r="O97" s="13" t="str">
        <f aca="false">IF($C97="","",$L97*$N97)</f>
        <v/>
      </c>
      <c r="P97" s="13" t="str">
        <f aca="false">IF($C97="","",$L97+$O97)</f>
        <v/>
      </c>
      <c r="Q97" s="12"/>
      <c r="R97" s="13" t="str">
        <f aca="false">IF($C97="","",MAX(0,$P97-N($Q97)))</f>
        <v/>
      </c>
      <c r="S97" s="23" t="str">
        <f aca="false">IF(OR($C97="",$P97=0),"",IF(N($Q97)&lt;=0,"Chưa thanh toán",IF(N($Q97)&lt;$P97,"Thanh toán một phần","Đã thanh toán")))</f>
        <v/>
      </c>
      <c r="T97" s="13" t="str">
        <f aca="false">IF(OR($C97="",$J97=""),"",N($I97)*$J97)</f>
        <v/>
      </c>
      <c r="U97" s="13" t="str">
        <f aca="false">IF(OR($C97="",$T97=""),"",$L97-$T97)</f>
        <v/>
      </c>
      <c r="V97" s="14" t="str">
        <f aca="false">IF(OR($U97="",$L97=0),"",$U97/$L97)</f>
        <v/>
      </c>
      <c r="W97" s="11"/>
      <c r="X97" s="23" t="str">
        <f aca="false">IF($C97="","",IF(AND($H97="",N($I97)=0,N($K97)=0),"Dòng chỉ lưu thông tin khách (chưa có đơn); ",IF($B97="","Thiếu ngày đặt; ","")&amp;IF($H97="","Thiếu tên sản phẩm; ",IF($J97="","Chưa khai GIÁ GỐC ở BẢNG GIÁ GỐC; ",""))&amp;IF(N($I97)&lt;=0,"Thiếu số lượng; ","")&amp;IF(N($K97)&lt;=0,"Thiếu giá bán; ","")&amp;IF(AND($N97&gt;0,$F97=""),"Khách lấy VAT thiếu mã số thuế; ","")&amp;IF(N($Q97)&gt;$P97,"Đã thu vượt tổng phải thu; ","")&amp;IF(AND($L97&gt;0,$U97&lt;&gt;"",$U97&lt;0),"CẢNH BÁO: ĐƠN NÀY ĐANG LỖ; ","")))</f>
        <v/>
      </c>
    </row>
    <row r="98" customFormat="false" ht="15" hidden="false" customHeight="false" outlineLevel="0" collapsed="false">
      <c r="A98" s="21" t="str">
        <f aca="false">IF($C98="","",COUNTA($C$10:$C98))</f>
        <v/>
      </c>
      <c r="B98" s="18"/>
      <c r="C98" s="11"/>
      <c r="D98" s="11"/>
      <c r="E98" s="11"/>
      <c r="F98" s="11"/>
      <c r="G98" s="11"/>
      <c r="H98" s="11"/>
      <c r="I98" s="12"/>
      <c r="J98" s="13" t="str">
        <f aca="false">IF($H98="","",IFERROR(VLOOKUP($H98,'BẢNG GIÁ GỐC'!$A$5:$D$254,3,FALSE()),""))</f>
        <v/>
      </c>
      <c r="K98" s="12"/>
      <c r="L98" s="13" t="str">
        <f aca="false">IF($C98="","",N($I98)*N($K98))</f>
        <v/>
      </c>
      <c r="M98" s="11"/>
      <c r="N98" s="14" t="str">
        <f aca="false">IF($C98="","",IF($M98="VAT 5%",0.05,IF($M98="VAT 8%",0.08,IF($M98="VAT 10%",0.1,0))))</f>
        <v/>
      </c>
      <c r="O98" s="13" t="str">
        <f aca="false">IF($C98="","",$L98*$N98)</f>
        <v/>
      </c>
      <c r="P98" s="13" t="str">
        <f aca="false">IF($C98="","",$L98+$O98)</f>
        <v/>
      </c>
      <c r="Q98" s="12"/>
      <c r="R98" s="13" t="str">
        <f aca="false">IF($C98="","",MAX(0,$P98-N($Q98)))</f>
        <v/>
      </c>
      <c r="S98" s="23" t="str">
        <f aca="false">IF(OR($C98="",$P98=0),"",IF(N($Q98)&lt;=0,"Chưa thanh toán",IF(N($Q98)&lt;$P98,"Thanh toán một phần","Đã thanh toán")))</f>
        <v/>
      </c>
      <c r="T98" s="13" t="str">
        <f aca="false">IF(OR($C98="",$J98=""),"",N($I98)*$J98)</f>
        <v/>
      </c>
      <c r="U98" s="13" t="str">
        <f aca="false">IF(OR($C98="",$T98=""),"",$L98-$T98)</f>
        <v/>
      </c>
      <c r="V98" s="14" t="str">
        <f aca="false">IF(OR($U98="",$L98=0),"",$U98/$L98)</f>
        <v/>
      </c>
      <c r="W98" s="11"/>
      <c r="X98" s="23" t="str">
        <f aca="false">IF($C98="","",IF(AND($H98="",N($I98)=0,N($K98)=0),"Dòng chỉ lưu thông tin khách (chưa có đơn); ",IF($B98="","Thiếu ngày đặt; ","")&amp;IF($H98="","Thiếu tên sản phẩm; ",IF($J98="","Chưa khai GIÁ GỐC ở BẢNG GIÁ GỐC; ",""))&amp;IF(N($I98)&lt;=0,"Thiếu số lượng; ","")&amp;IF(N($K98)&lt;=0,"Thiếu giá bán; ","")&amp;IF(AND($N98&gt;0,$F98=""),"Khách lấy VAT thiếu mã số thuế; ","")&amp;IF(N($Q98)&gt;$P98,"Đã thu vượt tổng phải thu; ","")&amp;IF(AND($L98&gt;0,$U98&lt;&gt;"",$U98&lt;0),"CẢNH BÁO: ĐƠN NÀY ĐANG LỖ; ","")))</f>
        <v/>
      </c>
    </row>
    <row r="99" customFormat="false" ht="15" hidden="false" customHeight="false" outlineLevel="0" collapsed="false">
      <c r="A99" s="21" t="str">
        <f aca="false">IF($C99="","",COUNTA($C$10:$C99))</f>
        <v/>
      </c>
      <c r="B99" s="18"/>
      <c r="C99" s="11"/>
      <c r="D99" s="11"/>
      <c r="E99" s="11"/>
      <c r="F99" s="11"/>
      <c r="G99" s="11"/>
      <c r="H99" s="11"/>
      <c r="I99" s="12"/>
      <c r="J99" s="13" t="str">
        <f aca="false">IF($H99="","",IFERROR(VLOOKUP($H99,'BẢNG GIÁ GỐC'!$A$5:$D$254,3,FALSE()),""))</f>
        <v/>
      </c>
      <c r="K99" s="12"/>
      <c r="L99" s="13" t="str">
        <f aca="false">IF($C99="","",N($I99)*N($K99))</f>
        <v/>
      </c>
      <c r="M99" s="11"/>
      <c r="N99" s="14" t="str">
        <f aca="false">IF($C99="","",IF($M99="VAT 5%",0.05,IF($M99="VAT 8%",0.08,IF($M99="VAT 10%",0.1,0))))</f>
        <v/>
      </c>
      <c r="O99" s="13" t="str">
        <f aca="false">IF($C99="","",$L99*$N99)</f>
        <v/>
      </c>
      <c r="P99" s="13" t="str">
        <f aca="false">IF($C99="","",$L99+$O99)</f>
        <v/>
      </c>
      <c r="Q99" s="12"/>
      <c r="R99" s="13" t="str">
        <f aca="false">IF($C99="","",MAX(0,$P99-N($Q99)))</f>
        <v/>
      </c>
      <c r="S99" s="23" t="str">
        <f aca="false">IF(OR($C99="",$P99=0),"",IF(N($Q99)&lt;=0,"Chưa thanh toán",IF(N($Q99)&lt;$P99,"Thanh toán một phần","Đã thanh toán")))</f>
        <v/>
      </c>
      <c r="T99" s="13" t="str">
        <f aca="false">IF(OR($C99="",$J99=""),"",N($I99)*$J99)</f>
        <v/>
      </c>
      <c r="U99" s="13" t="str">
        <f aca="false">IF(OR($C99="",$T99=""),"",$L99-$T99)</f>
        <v/>
      </c>
      <c r="V99" s="14" t="str">
        <f aca="false">IF(OR($U99="",$L99=0),"",$U99/$L99)</f>
        <v/>
      </c>
      <c r="W99" s="11"/>
      <c r="X99" s="23" t="str">
        <f aca="false">IF($C99="","",IF(AND($H99="",N($I99)=0,N($K99)=0),"Dòng chỉ lưu thông tin khách (chưa có đơn); ",IF($B99="","Thiếu ngày đặt; ","")&amp;IF($H99="","Thiếu tên sản phẩm; ",IF($J99="","Chưa khai GIÁ GỐC ở BẢNG GIÁ GỐC; ",""))&amp;IF(N($I99)&lt;=0,"Thiếu số lượng; ","")&amp;IF(N($K99)&lt;=0,"Thiếu giá bán; ","")&amp;IF(AND($N99&gt;0,$F99=""),"Khách lấy VAT thiếu mã số thuế; ","")&amp;IF(N($Q99)&gt;$P99,"Đã thu vượt tổng phải thu; ","")&amp;IF(AND($L99&gt;0,$U99&lt;&gt;"",$U99&lt;0),"CẢNH BÁO: ĐƠN NÀY ĐANG LỖ; ","")))</f>
        <v/>
      </c>
    </row>
    <row r="100" customFormat="false" ht="15" hidden="false" customHeight="false" outlineLevel="0" collapsed="false">
      <c r="A100" s="21" t="str">
        <f aca="false">IF($C100="","",COUNTA($C$10:$C100))</f>
        <v/>
      </c>
      <c r="B100" s="18"/>
      <c r="C100" s="11"/>
      <c r="D100" s="11"/>
      <c r="E100" s="11"/>
      <c r="F100" s="11"/>
      <c r="G100" s="11"/>
      <c r="H100" s="11"/>
      <c r="I100" s="12"/>
      <c r="J100" s="13" t="str">
        <f aca="false">IF($H100="","",IFERROR(VLOOKUP($H100,'BẢNG GIÁ GỐC'!$A$5:$D$254,3,FALSE()),""))</f>
        <v/>
      </c>
      <c r="K100" s="12"/>
      <c r="L100" s="13" t="str">
        <f aca="false">IF($C100="","",N($I100)*N($K100))</f>
        <v/>
      </c>
      <c r="M100" s="11"/>
      <c r="N100" s="14" t="str">
        <f aca="false">IF($C100="","",IF($M100="VAT 5%",0.05,IF($M100="VAT 8%",0.08,IF($M100="VAT 10%",0.1,0))))</f>
        <v/>
      </c>
      <c r="O100" s="13" t="str">
        <f aca="false">IF($C100="","",$L100*$N100)</f>
        <v/>
      </c>
      <c r="P100" s="13" t="str">
        <f aca="false">IF($C100="","",$L100+$O100)</f>
        <v/>
      </c>
      <c r="Q100" s="12"/>
      <c r="R100" s="13" t="str">
        <f aca="false">IF($C100="","",MAX(0,$P100-N($Q100)))</f>
        <v/>
      </c>
      <c r="S100" s="23" t="str">
        <f aca="false">IF(OR($C100="",$P100=0),"",IF(N($Q100)&lt;=0,"Chưa thanh toán",IF(N($Q100)&lt;$P100,"Thanh toán một phần","Đã thanh toán")))</f>
        <v/>
      </c>
      <c r="T100" s="13" t="str">
        <f aca="false">IF(OR($C100="",$J100=""),"",N($I100)*$J100)</f>
        <v/>
      </c>
      <c r="U100" s="13" t="str">
        <f aca="false">IF(OR($C100="",$T100=""),"",$L100-$T100)</f>
        <v/>
      </c>
      <c r="V100" s="14" t="str">
        <f aca="false">IF(OR($U100="",$L100=0),"",$U100/$L100)</f>
        <v/>
      </c>
      <c r="W100" s="11"/>
      <c r="X100" s="23" t="str">
        <f aca="false">IF($C100="","",IF(AND($H100="",N($I100)=0,N($K100)=0),"Dòng chỉ lưu thông tin khách (chưa có đơn); ",IF($B100="","Thiếu ngày đặt; ","")&amp;IF($H100="","Thiếu tên sản phẩm; ",IF($J100="","Chưa khai GIÁ GỐC ở BẢNG GIÁ GỐC; ",""))&amp;IF(N($I100)&lt;=0,"Thiếu số lượng; ","")&amp;IF(N($K100)&lt;=0,"Thiếu giá bán; ","")&amp;IF(AND($N100&gt;0,$F100=""),"Khách lấy VAT thiếu mã số thuế; ","")&amp;IF(N($Q100)&gt;$P100,"Đã thu vượt tổng phải thu; ","")&amp;IF(AND($L100&gt;0,$U100&lt;&gt;"",$U100&lt;0),"CẢNH BÁO: ĐƠN NÀY ĐANG LỖ; ","")))</f>
        <v/>
      </c>
    </row>
    <row r="101" customFormat="false" ht="15" hidden="false" customHeight="false" outlineLevel="0" collapsed="false">
      <c r="A101" s="21" t="str">
        <f aca="false">IF($C101="","",COUNTA($C$10:$C101))</f>
        <v/>
      </c>
      <c r="B101" s="18"/>
      <c r="C101" s="11"/>
      <c r="D101" s="11"/>
      <c r="E101" s="11"/>
      <c r="F101" s="11"/>
      <c r="G101" s="11"/>
      <c r="H101" s="11"/>
      <c r="I101" s="12"/>
      <c r="J101" s="13" t="str">
        <f aca="false">IF($H101="","",IFERROR(VLOOKUP($H101,'BẢNG GIÁ GỐC'!$A$5:$D$254,3,FALSE()),""))</f>
        <v/>
      </c>
      <c r="K101" s="12"/>
      <c r="L101" s="13" t="str">
        <f aca="false">IF($C101="","",N($I101)*N($K101))</f>
        <v/>
      </c>
      <c r="M101" s="11"/>
      <c r="N101" s="14" t="str">
        <f aca="false">IF($C101="","",IF($M101="VAT 5%",0.05,IF($M101="VAT 8%",0.08,IF($M101="VAT 10%",0.1,0))))</f>
        <v/>
      </c>
      <c r="O101" s="13" t="str">
        <f aca="false">IF($C101="","",$L101*$N101)</f>
        <v/>
      </c>
      <c r="P101" s="13" t="str">
        <f aca="false">IF($C101="","",$L101+$O101)</f>
        <v/>
      </c>
      <c r="Q101" s="12"/>
      <c r="R101" s="13" t="str">
        <f aca="false">IF($C101="","",MAX(0,$P101-N($Q101)))</f>
        <v/>
      </c>
      <c r="S101" s="23" t="str">
        <f aca="false">IF(OR($C101="",$P101=0),"",IF(N($Q101)&lt;=0,"Chưa thanh toán",IF(N($Q101)&lt;$P101,"Thanh toán một phần","Đã thanh toán")))</f>
        <v/>
      </c>
      <c r="T101" s="13" t="str">
        <f aca="false">IF(OR($C101="",$J101=""),"",N($I101)*$J101)</f>
        <v/>
      </c>
      <c r="U101" s="13" t="str">
        <f aca="false">IF(OR($C101="",$T101=""),"",$L101-$T101)</f>
        <v/>
      </c>
      <c r="V101" s="14" t="str">
        <f aca="false">IF(OR($U101="",$L101=0),"",$U101/$L101)</f>
        <v/>
      </c>
      <c r="W101" s="11"/>
      <c r="X101" s="23" t="str">
        <f aca="false">IF($C101="","",IF(AND($H101="",N($I101)=0,N($K101)=0),"Dòng chỉ lưu thông tin khách (chưa có đơn); ",IF($B101="","Thiếu ngày đặt; ","")&amp;IF($H101="","Thiếu tên sản phẩm; ",IF($J101="","Chưa khai GIÁ GỐC ở BẢNG GIÁ GỐC; ",""))&amp;IF(N($I101)&lt;=0,"Thiếu số lượng; ","")&amp;IF(N($K101)&lt;=0,"Thiếu giá bán; ","")&amp;IF(AND($N101&gt;0,$F101=""),"Khách lấy VAT thiếu mã số thuế; ","")&amp;IF(N($Q101)&gt;$P101,"Đã thu vượt tổng phải thu; ","")&amp;IF(AND($L101&gt;0,$U101&lt;&gt;"",$U101&lt;0),"CẢNH BÁO: ĐƠN NÀY ĐANG LỖ; ","")))</f>
        <v/>
      </c>
    </row>
    <row r="102" customFormat="false" ht="15" hidden="false" customHeight="false" outlineLevel="0" collapsed="false">
      <c r="A102" s="21" t="str">
        <f aca="false">IF($C102="","",COUNTA($C$10:$C102))</f>
        <v/>
      </c>
      <c r="B102" s="18"/>
      <c r="C102" s="11"/>
      <c r="D102" s="11"/>
      <c r="E102" s="11"/>
      <c r="F102" s="11"/>
      <c r="G102" s="11"/>
      <c r="H102" s="11"/>
      <c r="I102" s="12"/>
      <c r="J102" s="13" t="str">
        <f aca="false">IF($H102="","",IFERROR(VLOOKUP($H102,'BẢNG GIÁ GỐC'!$A$5:$D$254,3,FALSE()),""))</f>
        <v/>
      </c>
      <c r="K102" s="12"/>
      <c r="L102" s="13" t="str">
        <f aca="false">IF($C102="","",N($I102)*N($K102))</f>
        <v/>
      </c>
      <c r="M102" s="11"/>
      <c r="N102" s="14" t="str">
        <f aca="false">IF($C102="","",IF($M102="VAT 5%",0.05,IF($M102="VAT 8%",0.08,IF($M102="VAT 10%",0.1,0))))</f>
        <v/>
      </c>
      <c r="O102" s="13" t="str">
        <f aca="false">IF($C102="","",$L102*$N102)</f>
        <v/>
      </c>
      <c r="P102" s="13" t="str">
        <f aca="false">IF($C102="","",$L102+$O102)</f>
        <v/>
      </c>
      <c r="Q102" s="12"/>
      <c r="R102" s="13" t="str">
        <f aca="false">IF($C102="","",MAX(0,$P102-N($Q102)))</f>
        <v/>
      </c>
      <c r="S102" s="23" t="str">
        <f aca="false">IF(OR($C102="",$P102=0),"",IF(N($Q102)&lt;=0,"Chưa thanh toán",IF(N($Q102)&lt;$P102,"Thanh toán một phần","Đã thanh toán")))</f>
        <v/>
      </c>
      <c r="T102" s="13" t="str">
        <f aca="false">IF(OR($C102="",$J102=""),"",N($I102)*$J102)</f>
        <v/>
      </c>
      <c r="U102" s="13" t="str">
        <f aca="false">IF(OR($C102="",$T102=""),"",$L102-$T102)</f>
        <v/>
      </c>
      <c r="V102" s="14" t="str">
        <f aca="false">IF(OR($U102="",$L102=0),"",$U102/$L102)</f>
        <v/>
      </c>
      <c r="W102" s="11"/>
      <c r="X102" s="23" t="str">
        <f aca="false">IF($C102="","",IF(AND($H102="",N($I102)=0,N($K102)=0),"Dòng chỉ lưu thông tin khách (chưa có đơn); ",IF($B102="","Thiếu ngày đặt; ","")&amp;IF($H102="","Thiếu tên sản phẩm; ",IF($J102="","Chưa khai GIÁ GỐC ở BẢNG GIÁ GỐC; ",""))&amp;IF(N($I102)&lt;=0,"Thiếu số lượng; ","")&amp;IF(N($K102)&lt;=0,"Thiếu giá bán; ","")&amp;IF(AND($N102&gt;0,$F102=""),"Khách lấy VAT thiếu mã số thuế; ","")&amp;IF(N($Q102)&gt;$P102,"Đã thu vượt tổng phải thu; ","")&amp;IF(AND($L102&gt;0,$U102&lt;&gt;"",$U102&lt;0),"CẢNH BÁO: ĐƠN NÀY ĐANG LỖ; ","")))</f>
        <v/>
      </c>
    </row>
    <row r="103" customFormat="false" ht="15" hidden="false" customHeight="false" outlineLevel="0" collapsed="false">
      <c r="A103" s="21" t="str">
        <f aca="false">IF($C103="","",COUNTA($C$10:$C103))</f>
        <v/>
      </c>
      <c r="B103" s="18"/>
      <c r="C103" s="11"/>
      <c r="D103" s="11"/>
      <c r="E103" s="11"/>
      <c r="F103" s="11"/>
      <c r="G103" s="11"/>
      <c r="H103" s="11"/>
      <c r="I103" s="12"/>
      <c r="J103" s="13" t="str">
        <f aca="false">IF($H103="","",IFERROR(VLOOKUP($H103,'BẢNG GIÁ GỐC'!$A$5:$D$254,3,FALSE()),""))</f>
        <v/>
      </c>
      <c r="K103" s="12"/>
      <c r="L103" s="13" t="str">
        <f aca="false">IF($C103="","",N($I103)*N($K103))</f>
        <v/>
      </c>
      <c r="M103" s="11"/>
      <c r="N103" s="14" t="str">
        <f aca="false">IF($C103="","",IF($M103="VAT 5%",0.05,IF($M103="VAT 8%",0.08,IF($M103="VAT 10%",0.1,0))))</f>
        <v/>
      </c>
      <c r="O103" s="13" t="str">
        <f aca="false">IF($C103="","",$L103*$N103)</f>
        <v/>
      </c>
      <c r="P103" s="13" t="str">
        <f aca="false">IF($C103="","",$L103+$O103)</f>
        <v/>
      </c>
      <c r="Q103" s="12"/>
      <c r="R103" s="13" t="str">
        <f aca="false">IF($C103="","",MAX(0,$P103-N($Q103)))</f>
        <v/>
      </c>
      <c r="S103" s="23" t="str">
        <f aca="false">IF(OR($C103="",$P103=0),"",IF(N($Q103)&lt;=0,"Chưa thanh toán",IF(N($Q103)&lt;$P103,"Thanh toán một phần","Đã thanh toán")))</f>
        <v/>
      </c>
      <c r="T103" s="13" t="str">
        <f aca="false">IF(OR($C103="",$J103=""),"",N($I103)*$J103)</f>
        <v/>
      </c>
      <c r="U103" s="13" t="str">
        <f aca="false">IF(OR($C103="",$T103=""),"",$L103-$T103)</f>
        <v/>
      </c>
      <c r="V103" s="14" t="str">
        <f aca="false">IF(OR($U103="",$L103=0),"",$U103/$L103)</f>
        <v/>
      </c>
      <c r="W103" s="11"/>
      <c r="X103" s="23" t="str">
        <f aca="false">IF($C103="","",IF(AND($H103="",N($I103)=0,N($K103)=0),"Dòng chỉ lưu thông tin khách (chưa có đơn); ",IF($B103="","Thiếu ngày đặt; ","")&amp;IF($H103="","Thiếu tên sản phẩm; ",IF($J103="","Chưa khai GIÁ GỐC ở BẢNG GIÁ GỐC; ",""))&amp;IF(N($I103)&lt;=0,"Thiếu số lượng; ","")&amp;IF(N($K103)&lt;=0,"Thiếu giá bán; ","")&amp;IF(AND($N103&gt;0,$F103=""),"Khách lấy VAT thiếu mã số thuế; ","")&amp;IF(N($Q103)&gt;$P103,"Đã thu vượt tổng phải thu; ","")&amp;IF(AND($L103&gt;0,$U103&lt;&gt;"",$U103&lt;0),"CẢNH BÁO: ĐƠN NÀY ĐANG LỖ; ","")))</f>
        <v/>
      </c>
    </row>
    <row r="104" customFormat="false" ht="15" hidden="false" customHeight="false" outlineLevel="0" collapsed="false">
      <c r="A104" s="21" t="str">
        <f aca="false">IF($C104="","",COUNTA($C$10:$C104))</f>
        <v/>
      </c>
      <c r="B104" s="18"/>
      <c r="C104" s="11"/>
      <c r="D104" s="11"/>
      <c r="E104" s="11"/>
      <c r="F104" s="11"/>
      <c r="G104" s="11"/>
      <c r="H104" s="11"/>
      <c r="I104" s="12"/>
      <c r="J104" s="13" t="str">
        <f aca="false">IF($H104="","",IFERROR(VLOOKUP($H104,'BẢNG GIÁ GỐC'!$A$5:$D$254,3,FALSE()),""))</f>
        <v/>
      </c>
      <c r="K104" s="12"/>
      <c r="L104" s="13" t="str">
        <f aca="false">IF($C104="","",N($I104)*N($K104))</f>
        <v/>
      </c>
      <c r="M104" s="11"/>
      <c r="N104" s="14" t="str">
        <f aca="false">IF($C104="","",IF($M104="VAT 5%",0.05,IF($M104="VAT 8%",0.08,IF($M104="VAT 10%",0.1,0))))</f>
        <v/>
      </c>
      <c r="O104" s="13" t="str">
        <f aca="false">IF($C104="","",$L104*$N104)</f>
        <v/>
      </c>
      <c r="P104" s="13" t="str">
        <f aca="false">IF($C104="","",$L104+$O104)</f>
        <v/>
      </c>
      <c r="Q104" s="12"/>
      <c r="R104" s="13" t="str">
        <f aca="false">IF($C104="","",MAX(0,$P104-N($Q104)))</f>
        <v/>
      </c>
      <c r="S104" s="23" t="str">
        <f aca="false">IF(OR($C104="",$P104=0),"",IF(N($Q104)&lt;=0,"Chưa thanh toán",IF(N($Q104)&lt;$P104,"Thanh toán một phần","Đã thanh toán")))</f>
        <v/>
      </c>
      <c r="T104" s="13" t="str">
        <f aca="false">IF(OR($C104="",$J104=""),"",N($I104)*$J104)</f>
        <v/>
      </c>
      <c r="U104" s="13" t="str">
        <f aca="false">IF(OR($C104="",$T104=""),"",$L104-$T104)</f>
        <v/>
      </c>
      <c r="V104" s="14" t="str">
        <f aca="false">IF(OR($U104="",$L104=0),"",$U104/$L104)</f>
        <v/>
      </c>
      <c r="W104" s="11"/>
      <c r="X104" s="23" t="str">
        <f aca="false">IF($C104="","",IF(AND($H104="",N($I104)=0,N($K104)=0),"Dòng chỉ lưu thông tin khách (chưa có đơn); ",IF($B104="","Thiếu ngày đặt; ","")&amp;IF($H104="","Thiếu tên sản phẩm; ",IF($J104="","Chưa khai GIÁ GỐC ở BẢNG GIÁ GỐC; ",""))&amp;IF(N($I104)&lt;=0,"Thiếu số lượng; ","")&amp;IF(N($K104)&lt;=0,"Thiếu giá bán; ","")&amp;IF(AND($N104&gt;0,$F104=""),"Khách lấy VAT thiếu mã số thuế; ","")&amp;IF(N($Q104)&gt;$P104,"Đã thu vượt tổng phải thu; ","")&amp;IF(AND($L104&gt;0,$U104&lt;&gt;"",$U104&lt;0),"CẢNH BÁO: ĐƠN NÀY ĐANG LỖ; ","")))</f>
        <v/>
      </c>
    </row>
    <row r="105" customFormat="false" ht="15" hidden="false" customHeight="false" outlineLevel="0" collapsed="false">
      <c r="A105" s="21" t="str">
        <f aca="false">IF($C105="","",COUNTA($C$10:$C105))</f>
        <v/>
      </c>
      <c r="B105" s="18"/>
      <c r="C105" s="11"/>
      <c r="D105" s="11"/>
      <c r="E105" s="11"/>
      <c r="F105" s="11"/>
      <c r="G105" s="11"/>
      <c r="H105" s="11"/>
      <c r="I105" s="12"/>
      <c r="J105" s="13" t="str">
        <f aca="false">IF($H105="","",IFERROR(VLOOKUP($H105,'BẢNG GIÁ GỐC'!$A$5:$D$254,3,FALSE()),""))</f>
        <v/>
      </c>
      <c r="K105" s="12"/>
      <c r="L105" s="13" t="str">
        <f aca="false">IF($C105="","",N($I105)*N($K105))</f>
        <v/>
      </c>
      <c r="M105" s="11"/>
      <c r="N105" s="14" t="str">
        <f aca="false">IF($C105="","",IF($M105="VAT 5%",0.05,IF($M105="VAT 8%",0.08,IF($M105="VAT 10%",0.1,0))))</f>
        <v/>
      </c>
      <c r="O105" s="13" t="str">
        <f aca="false">IF($C105="","",$L105*$N105)</f>
        <v/>
      </c>
      <c r="P105" s="13" t="str">
        <f aca="false">IF($C105="","",$L105+$O105)</f>
        <v/>
      </c>
      <c r="Q105" s="12"/>
      <c r="R105" s="13" t="str">
        <f aca="false">IF($C105="","",MAX(0,$P105-N($Q105)))</f>
        <v/>
      </c>
      <c r="S105" s="23" t="str">
        <f aca="false">IF(OR($C105="",$P105=0),"",IF(N($Q105)&lt;=0,"Chưa thanh toán",IF(N($Q105)&lt;$P105,"Thanh toán một phần","Đã thanh toán")))</f>
        <v/>
      </c>
      <c r="T105" s="13" t="str">
        <f aca="false">IF(OR($C105="",$J105=""),"",N($I105)*$J105)</f>
        <v/>
      </c>
      <c r="U105" s="13" t="str">
        <f aca="false">IF(OR($C105="",$T105=""),"",$L105-$T105)</f>
        <v/>
      </c>
      <c r="V105" s="14" t="str">
        <f aca="false">IF(OR($U105="",$L105=0),"",$U105/$L105)</f>
        <v/>
      </c>
      <c r="W105" s="11"/>
      <c r="X105" s="23" t="str">
        <f aca="false">IF($C105="","",IF(AND($H105="",N($I105)=0,N($K105)=0),"Dòng chỉ lưu thông tin khách (chưa có đơn); ",IF($B105="","Thiếu ngày đặt; ","")&amp;IF($H105="","Thiếu tên sản phẩm; ",IF($J105="","Chưa khai GIÁ GỐC ở BẢNG GIÁ GỐC; ",""))&amp;IF(N($I105)&lt;=0,"Thiếu số lượng; ","")&amp;IF(N($K105)&lt;=0,"Thiếu giá bán; ","")&amp;IF(AND($N105&gt;0,$F105=""),"Khách lấy VAT thiếu mã số thuế; ","")&amp;IF(N($Q105)&gt;$P105,"Đã thu vượt tổng phải thu; ","")&amp;IF(AND($L105&gt;0,$U105&lt;&gt;"",$U105&lt;0),"CẢNH BÁO: ĐƠN NÀY ĐANG LỖ; ","")))</f>
        <v/>
      </c>
    </row>
    <row r="106" customFormat="false" ht="15" hidden="false" customHeight="false" outlineLevel="0" collapsed="false">
      <c r="A106" s="21" t="str">
        <f aca="false">IF($C106="","",COUNTA($C$10:$C106))</f>
        <v/>
      </c>
      <c r="B106" s="18"/>
      <c r="C106" s="11"/>
      <c r="D106" s="11"/>
      <c r="E106" s="11"/>
      <c r="F106" s="11"/>
      <c r="G106" s="11"/>
      <c r="H106" s="11"/>
      <c r="I106" s="12"/>
      <c r="J106" s="13" t="str">
        <f aca="false">IF($H106="","",IFERROR(VLOOKUP($H106,'BẢNG GIÁ GỐC'!$A$5:$D$254,3,FALSE()),""))</f>
        <v/>
      </c>
      <c r="K106" s="12"/>
      <c r="L106" s="13" t="str">
        <f aca="false">IF($C106="","",N($I106)*N($K106))</f>
        <v/>
      </c>
      <c r="M106" s="11"/>
      <c r="N106" s="14" t="str">
        <f aca="false">IF($C106="","",IF($M106="VAT 5%",0.05,IF($M106="VAT 8%",0.08,IF($M106="VAT 10%",0.1,0))))</f>
        <v/>
      </c>
      <c r="O106" s="13" t="str">
        <f aca="false">IF($C106="","",$L106*$N106)</f>
        <v/>
      </c>
      <c r="P106" s="13" t="str">
        <f aca="false">IF($C106="","",$L106+$O106)</f>
        <v/>
      </c>
      <c r="Q106" s="12"/>
      <c r="R106" s="13" t="str">
        <f aca="false">IF($C106="","",MAX(0,$P106-N($Q106)))</f>
        <v/>
      </c>
      <c r="S106" s="23" t="str">
        <f aca="false">IF(OR($C106="",$P106=0),"",IF(N($Q106)&lt;=0,"Chưa thanh toán",IF(N($Q106)&lt;$P106,"Thanh toán một phần","Đã thanh toán")))</f>
        <v/>
      </c>
      <c r="T106" s="13" t="str">
        <f aca="false">IF(OR($C106="",$J106=""),"",N($I106)*$J106)</f>
        <v/>
      </c>
      <c r="U106" s="13" t="str">
        <f aca="false">IF(OR($C106="",$T106=""),"",$L106-$T106)</f>
        <v/>
      </c>
      <c r="V106" s="14" t="str">
        <f aca="false">IF(OR($U106="",$L106=0),"",$U106/$L106)</f>
        <v/>
      </c>
      <c r="W106" s="11"/>
      <c r="X106" s="23" t="str">
        <f aca="false">IF($C106="","",IF(AND($H106="",N($I106)=0,N($K106)=0),"Dòng chỉ lưu thông tin khách (chưa có đơn); ",IF($B106="","Thiếu ngày đặt; ","")&amp;IF($H106="","Thiếu tên sản phẩm; ",IF($J106="","Chưa khai GIÁ GỐC ở BẢNG GIÁ GỐC; ",""))&amp;IF(N($I106)&lt;=0,"Thiếu số lượng; ","")&amp;IF(N($K106)&lt;=0,"Thiếu giá bán; ","")&amp;IF(AND($N106&gt;0,$F106=""),"Khách lấy VAT thiếu mã số thuế; ","")&amp;IF(N($Q106)&gt;$P106,"Đã thu vượt tổng phải thu; ","")&amp;IF(AND($L106&gt;0,$U106&lt;&gt;"",$U106&lt;0),"CẢNH BÁO: ĐƠN NÀY ĐANG LỖ; ","")))</f>
        <v/>
      </c>
    </row>
    <row r="107" customFormat="false" ht="15" hidden="false" customHeight="false" outlineLevel="0" collapsed="false">
      <c r="A107" s="21" t="str">
        <f aca="false">IF($C107="","",COUNTA($C$10:$C107))</f>
        <v/>
      </c>
      <c r="B107" s="18"/>
      <c r="C107" s="11"/>
      <c r="D107" s="11"/>
      <c r="E107" s="11"/>
      <c r="F107" s="11"/>
      <c r="G107" s="11"/>
      <c r="H107" s="11"/>
      <c r="I107" s="12"/>
      <c r="J107" s="13" t="str">
        <f aca="false">IF($H107="","",IFERROR(VLOOKUP($H107,'BẢNG GIÁ GỐC'!$A$5:$D$254,3,FALSE()),""))</f>
        <v/>
      </c>
      <c r="K107" s="12"/>
      <c r="L107" s="13" t="str">
        <f aca="false">IF($C107="","",N($I107)*N($K107))</f>
        <v/>
      </c>
      <c r="M107" s="11"/>
      <c r="N107" s="14" t="str">
        <f aca="false">IF($C107="","",IF($M107="VAT 5%",0.05,IF($M107="VAT 8%",0.08,IF($M107="VAT 10%",0.1,0))))</f>
        <v/>
      </c>
      <c r="O107" s="13" t="str">
        <f aca="false">IF($C107="","",$L107*$N107)</f>
        <v/>
      </c>
      <c r="P107" s="13" t="str">
        <f aca="false">IF($C107="","",$L107+$O107)</f>
        <v/>
      </c>
      <c r="Q107" s="12"/>
      <c r="R107" s="13" t="str">
        <f aca="false">IF($C107="","",MAX(0,$P107-N($Q107)))</f>
        <v/>
      </c>
      <c r="S107" s="23" t="str">
        <f aca="false">IF(OR($C107="",$P107=0),"",IF(N($Q107)&lt;=0,"Chưa thanh toán",IF(N($Q107)&lt;$P107,"Thanh toán một phần","Đã thanh toán")))</f>
        <v/>
      </c>
      <c r="T107" s="13" t="str">
        <f aca="false">IF(OR($C107="",$J107=""),"",N($I107)*$J107)</f>
        <v/>
      </c>
      <c r="U107" s="13" t="str">
        <f aca="false">IF(OR($C107="",$T107=""),"",$L107-$T107)</f>
        <v/>
      </c>
      <c r="V107" s="14" t="str">
        <f aca="false">IF(OR($U107="",$L107=0),"",$U107/$L107)</f>
        <v/>
      </c>
      <c r="W107" s="11"/>
      <c r="X107" s="23" t="str">
        <f aca="false">IF($C107="","",IF(AND($H107="",N($I107)=0,N($K107)=0),"Dòng chỉ lưu thông tin khách (chưa có đơn); ",IF($B107="","Thiếu ngày đặt; ","")&amp;IF($H107="","Thiếu tên sản phẩm; ",IF($J107="","Chưa khai GIÁ GỐC ở BẢNG GIÁ GỐC; ",""))&amp;IF(N($I107)&lt;=0,"Thiếu số lượng; ","")&amp;IF(N($K107)&lt;=0,"Thiếu giá bán; ","")&amp;IF(AND($N107&gt;0,$F107=""),"Khách lấy VAT thiếu mã số thuế; ","")&amp;IF(N($Q107)&gt;$P107,"Đã thu vượt tổng phải thu; ","")&amp;IF(AND($L107&gt;0,$U107&lt;&gt;"",$U107&lt;0),"CẢNH BÁO: ĐƠN NÀY ĐANG LỖ; ","")))</f>
        <v/>
      </c>
    </row>
    <row r="108" customFormat="false" ht="15" hidden="false" customHeight="false" outlineLevel="0" collapsed="false">
      <c r="A108" s="21" t="str">
        <f aca="false">IF($C108="","",COUNTA($C$10:$C108))</f>
        <v/>
      </c>
      <c r="B108" s="18"/>
      <c r="C108" s="11"/>
      <c r="D108" s="11"/>
      <c r="E108" s="11"/>
      <c r="F108" s="11"/>
      <c r="G108" s="11"/>
      <c r="H108" s="11"/>
      <c r="I108" s="12"/>
      <c r="J108" s="13" t="str">
        <f aca="false">IF($H108="","",IFERROR(VLOOKUP($H108,'BẢNG GIÁ GỐC'!$A$5:$D$254,3,FALSE()),""))</f>
        <v/>
      </c>
      <c r="K108" s="12"/>
      <c r="L108" s="13" t="str">
        <f aca="false">IF($C108="","",N($I108)*N($K108))</f>
        <v/>
      </c>
      <c r="M108" s="11"/>
      <c r="N108" s="14" t="str">
        <f aca="false">IF($C108="","",IF($M108="VAT 5%",0.05,IF($M108="VAT 8%",0.08,IF($M108="VAT 10%",0.1,0))))</f>
        <v/>
      </c>
      <c r="O108" s="13" t="str">
        <f aca="false">IF($C108="","",$L108*$N108)</f>
        <v/>
      </c>
      <c r="P108" s="13" t="str">
        <f aca="false">IF($C108="","",$L108+$O108)</f>
        <v/>
      </c>
      <c r="Q108" s="12"/>
      <c r="R108" s="13" t="str">
        <f aca="false">IF($C108="","",MAX(0,$P108-N($Q108)))</f>
        <v/>
      </c>
      <c r="S108" s="23" t="str">
        <f aca="false">IF(OR($C108="",$P108=0),"",IF(N($Q108)&lt;=0,"Chưa thanh toán",IF(N($Q108)&lt;$P108,"Thanh toán một phần","Đã thanh toán")))</f>
        <v/>
      </c>
      <c r="T108" s="13" t="str">
        <f aca="false">IF(OR($C108="",$J108=""),"",N($I108)*$J108)</f>
        <v/>
      </c>
      <c r="U108" s="13" t="str">
        <f aca="false">IF(OR($C108="",$T108=""),"",$L108-$T108)</f>
        <v/>
      </c>
      <c r="V108" s="14" t="str">
        <f aca="false">IF(OR($U108="",$L108=0),"",$U108/$L108)</f>
        <v/>
      </c>
      <c r="W108" s="11"/>
      <c r="X108" s="23" t="str">
        <f aca="false">IF($C108="","",IF(AND($H108="",N($I108)=0,N($K108)=0),"Dòng chỉ lưu thông tin khách (chưa có đơn); ",IF($B108="","Thiếu ngày đặt; ","")&amp;IF($H108="","Thiếu tên sản phẩm; ",IF($J108="","Chưa khai GIÁ GỐC ở BẢNG GIÁ GỐC; ",""))&amp;IF(N($I108)&lt;=0,"Thiếu số lượng; ","")&amp;IF(N($K108)&lt;=0,"Thiếu giá bán; ","")&amp;IF(AND($N108&gt;0,$F108=""),"Khách lấy VAT thiếu mã số thuế; ","")&amp;IF(N($Q108)&gt;$P108,"Đã thu vượt tổng phải thu; ","")&amp;IF(AND($L108&gt;0,$U108&lt;&gt;"",$U108&lt;0),"CẢNH BÁO: ĐƠN NÀY ĐANG LỖ; ","")))</f>
        <v/>
      </c>
    </row>
    <row r="109" customFormat="false" ht="15" hidden="false" customHeight="false" outlineLevel="0" collapsed="false">
      <c r="A109" s="21" t="str">
        <f aca="false">IF($C109="","",COUNTA($C$10:$C109))</f>
        <v/>
      </c>
      <c r="B109" s="18"/>
      <c r="C109" s="11"/>
      <c r="D109" s="11"/>
      <c r="E109" s="11"/>
      <c r="F109" s="11"/>
      <c r="G109" s="11"/>
      <c r="H109" s="11"/>
      <c r="I109" s="12"/>
      <c r="J109" s="13" t="str">
        <f aca="false">IF($H109="","",IFERROR(VLOOKUP($H109,'BẢNG GIÁ GỐC'!$A$5:$D$254,3,FALSE()),""))</f>
        <v/>
      </c>
      <c r="K109" s="12"/>
      <c r="L109" s="13" t="str">
        <f aca="false">IF($C109="","",N($I109)*N($K109))</f>
        <v/>
      </c>
      <c r="M109" s="11"/>
      <c r="N109" s="14" t="str">
        <f aca="false">IF($C109="","",IF($M109="VAT 5%",0.05,IF($M109="VAT 8%",0.08,IF($M109="VAT 10%",0.1,0))))</f>
        <v/>
      </c>
      <c r="O109" s="13" t="str">
        <f aca="false">IF($C109="","",$L109*$N109)</f>
        <v/>
      </c>
      <c r="P109" s="13" t="str">
        <f aca="false">IF($C109="","",$L109+$O109)</f>
        <v/>
      </c>
      <c r="Q109" s="12"/>
      <c r="R109" s="13" t="str">
        <f aca="false">IF($C109="","",MAX(0,$P109-N($Q109)))</f>
        <v/>
      </c>
      <c r="S109" s="23" t="str">
        <f aca="false">IF(OR($C109="",$P109=0),"",IF(N($Q109)&lt;=0,"Chưa thanh toán",IF(N($Q109)&lt;$P109,"Thanh toán một phần","Đã thanh toán")))</f>
        <v/>
      </c>
      <c r="T109" s="13" t="str">
        <f aca="false">IF(OR($C109="",$J109=""),"",N($I109)*$J109)</f>
        <v/>
      </c>
      <c r="U109" s="13" t="str">
        <f aca="false">IF(OR($C109="",$T109=""),"",$L109-$T109)</f>
        <v/>
      </c>
      <c r="V109" s="14" t="str">
        <f aca="false">IF(OR($U109="",$L109=0),"",$U109/$L109)</f>
        <v/>
      </c>
      <c r="W109" s="11"/>
      <c r="X109" s="23" t="str">
        <f aca="false">IF($C109="","",IF(AND($H109="",N($I109)=0,N($K109)=0),"Dòng chỉ lưu thông tin khách (chưa có đơn); ",IF($B109="","Thiếu ngày đặt; ","")&amp;IF($H109="","Thiếu tên sản phẩm; ",IF($J109="","Chưa khai GIÁ GỐC ở BẢNG GIÁ GỐC; ",""))&amp;IF(N($I109)&lt;=0,"Thiếu số lượng; ","")&amp;IF(N($K109)&lt;=0,"Thiếu giá bán; ","")&amp;IF(AND($N109&gt;0,$F109=""),"Khách lấy VAT thiếu mã số thuế; ","")&amp;IF(N($Q109)&gt;$P109,"Đã thu vượt tổng phải thu; ","")&amp;IF(AND($L109&gt;0,$U109&lt;&gt;"",$U109&lt;0),"CẢNH BÁO: ĐƠN NÀY ĐANG LỖ; ","")))</f>
        <v/>
      </c>
    </row>
    <row r="110" customFormat="false" ht="15" hidden="false" customHeight="false" outlineLevel="0" collapsed="false">
      <c r="A110" s="21" t="str">
        <f aca="false">IF($C110="","",COUNTA($C$10:$C110))</f>
        <v/>
      </c>
      <c r="B110" s="18"/>
      <c r="C110" s="11"/>
      <c r="D110" s="11"/>
      <c r="E110" s="11"/>
      <c r="F110" s="11"/>
      <c r="G110" s="11"/>
      <c r="H110" s="11"/>
      <c r="I110" s="12"/>
      <c r="J110" s="13" t="str">
        <f aca="false">IF($H110="","",IFERROR(VLOOKUP($H110,'BẢNG GIÁ GỐC'!$A$5:$D$254,3,FALSE()),""))</f>
        <v/>
      </c>
      <c r="K110" s="12"/>
      <c r="L110" s="13" t="str">
        <f aca="false">IF($C110="","",N($I110)*N($K110))</f>
        <v/>
      </c>
      <c r="M110" s="11"/>
      <c r="N110" s="14" t="str">
        <f aca="false">IF($C110="","",IF($M110="VAT 5%",0.05,IF($M110="VAT 8%",0.08,IF($M110="VAT 10%",0.1,0))))</f>
        <v/>
      </c>
      <c r="O110" s="13" t="str">
        <f aca="false">IF($C110="","",$L110*$N110)</f>
        <v/>
      </c>
      <c r="P110" s="13" t="str">
        <f aca="false">IF($C110="","",$L110+$O110)</f>
        <v/>
      </c>
      <c r="Q110" s="12"/>
      <c r="R110" s="13" t="str">
        <f aca="false">IF($C110="","",MAX(0,$P110-N($Q110)))</f>
        <v/>
      </c>
      <c r="S110" s="23" t="str">
        <f aca="false">IF(OR($C110="",$P110=0),"",IF(N($Q110)&lt;=0,"Chưa thanh toán",IF(N($Q110)&lt;$P110,"Thanh toán một phần","Đã thanh toán")))</f>
        <v/>
      </c>
      <c r="T110" s="13" t="str">
        <f aca="false">IF(OR($C110="",$J110=""),"",N($I110)*$J110)</f>
        <v/>
      </c>
      <c r="U110" s="13" t="str">
        <f aca="false">IF(OR($C110="",$T110=""),"",$L110-$T110)</f>
        <v/>
      </c>
      <c r="V110" s="14" t="str">
        <f aca="false">IF(OR($U110="",$L110=0),"",$U110/$L110)</f>
        <v/>
      </c>
      <c r="W110" s="11"/>
      <c r="X110" s="23" t="str">
        <f aca="false">IF($C110="","",IF(AND($H110="",N($I110)=0,N($K110)=0),"Dòng chỉ lưu thông tin khách (chưa có đơn); ",IF($B110="","Thiếu ngày đặt; ","")&amp;IF($H110="","Thiếu tên sản phẩm; ",IF($J110="","Chưa khai GIÁ GỐC ở BẢNG GIÁ GỐC; ",""))&amp;IF(N($I110)&lt;=0,"Thiếu số lượng; ","")&amp;IF(N($K110)&lt;=0,"Thiếu giá bán; ","")&amp;IF(AND($N110&gt;0,$F110=""),"Khách lấy VAT thiếu mã số thuế; ","")&amp;IF(N($Q110)&gt;$P110,"Đã thu vượt tổng phải thu; ","")&amp;IF(AND($L110&gt;0,$U110&lt;&gt;"",$U110&lt;0),"CẢNH BÁO: ĐƠN NÀY ĐANG LỖ; ","")))</f>
        <v/>
      </c>
    </row>
    <row r="111" customFormat="false" ht="15" hidden="false" customHeight="false" outlineLevel="0" collapsed="false">
      <c r="A111" s="21" t="str">
        <f aca="false">IF($C111="","",COUNTA($C$10:$C111))</f>
        <v/>
      </c>
      <c r="B111" s="18"/>
      <c r="C111" s="11"/>
      <c r="D111" s="11"/>
      <c r="E111" s="11"/>
      <c r="F111" s="11"/>
      <c r="G111" s="11"/>
      <c r="H111" s="11"/>
      <c r="I111" s="12"/>
      <c r="J111" s="13" t="str">
        <f aca="false">IF($H111="","",IFERROR(VLOOKUP($H111,'BẢNG GIÁ GỐC'!$A$5:$D$254,3,FALSE()),""))</f>
        <v/>
      </c>
      <c r="K111" s="12"/>
      <c r="L111" s="13" t="str">
        <f aca="false">IF($C111="","",N($I111)*N($K111))</f>
        <v/>
      </c>
      <c r="M111" s="11"/>
      <c r="N111" s="14" t="str">
        <f aca="false">IF($C111="","",IF($M111="VAT 5%",0.05,IF($M111="VAT 8%",0.08,IF($M111="VAT 10%",0.1,0))))</f>
        <v/>
      </c>
      <c r="O111" s="13" t="str">
        <f aca="false">IF($C111="","",$L111*$N111)</f>
        <v/>
      </c>
      <c r="P111" s="13" t="str">
        <f aca="false">IF($C111="","",$L111+$O111)</f>
        <v/>
      </c>
      <c r="Q111" s="12"/>
      <c r="R111" s="13" t="str">
        <f aca="false">IF($C111="","",MAX(0,$P111-N($Q111)))</f>
        <v/>
      </c>
      <c r="S111" s="23" t="str">
        <f aca="false">IF(OR($C111="",$P111=0),"",IF(N($Q111)&lt;=0,"Chưa thanh toán",IF(N($Q111)&lt;$P111,"Thanh toán một phần","Đã thanh toán")))</f>
        <v/>
      </c>
      <c r="T111" s="13" t="str">
        <f aca="false">IF(OR($C111="",$J111=""),"",N($I111)*$J111)</f>
        <v/>
      </c>
      <c r="U111" s="13" t="str">
        <f aca="false">IF(OR($C111="",$T111=""),"",$L111-$T111)</f>
        <v/>
      </c>
      <c r="V111" s="14" t="str">
        <f aca="false">IF(OR($U111="",$L111=0),"",$U111/$L111)</f>
        <v/>
      </c>
      <c r="W111" s="11"/>
      <c r="X111" s="23" t="str">
        <f aca="false">IF($C111="","",IF(AND($H111="",N($I111)=0,N($K111)=0),"Dòng chỉ lưu thông tin khách (chưa có đơn); ",IF($B111="","Thiếu ngày đặt; ","")&amp;IF($H111="","Thiếu tên sản phẩm; ",IF($J111="","Chưa khai GIÁ GỐC ở BẢNG GIÁ GỐC; ",""))&amp;IF(N($I111)&lt;=0,"Thiếu số lượng; ","")&amp;IF(N($K111)&lt;=0,"Thiếu giá bán; ","")&amp;IF(AND($N111&gt;0,$F111=""),"Khách lấy VAT thiếu mã số thuế; ","")&amp;IF(N($Q111)&gt;$P111,"Đã thu vượt tổng phải thu; ","")&amp;IF(AND($L111&gt;0,$U111&lt;&gt;"",$U111&lt;0),"CẢNH BÁO: ĐƠN NÀY ĐANG LỖ; ","")))</f>
        <v/>
      </c>
    </row>
    <row r="112" customFormat="false" ht="15" hidden="false" customHeight="false" outlineLevel="0" collapsed="false">
      <c r="A112" s="21" t="str">
        <f aca="false">IF($C112="","",COUNTA($C$10:$C112))</f>
        <v/>
      </c>
      <c r="B112" s="18"/>
      <c r="C112" s="11"/>
      <c r="D112" s="11"/>
      <c r="E112" s="11"/>
      <c r="F112" s="11"/>
      <c r="G112" s="11"/>
      <c r="H112" s="11"/>
      <c r="I112" s="12"/>
      <c r="J112" s="13" t="str">
        <f aca="false">IF($H112="","",IFERROR(VLOOKUP($H112,'BẢNG GIÁ GỐC'!$A$5:$D$254,3,FALSE()),""))</f>
        <v/>
      </c>
      <c r="K112" s="12"/>
      <c r="L112" s="13" t="str">
        <f aca="false">IF($C112="","",N($I112)*N($K112))</f>
        <v/>
      </c>
      <c r="M112" s="11"/>
      <c r="N112" s="14" t="str">
        <f aca="false">IF($C112="","",IF($M112="VAT 5%",0.05,IF($M112="VAT 8%",0.08,IF($M112="VAT 10%",0.1,0))))</f>
        <v/>
      </c>
      <c r="O112" s="13" t="str">
        <f aca="false">IF($C112="","",$L112*$N112)</f>
        <v/>
      </c>
      <c r="P112" s="13" t="str">
        <f aca="false">IF($C112="","",$L112+$O112)</f>
        <v/>
      </c>
      <c r="Q112" s="12"/>
      <c r="R112" s="13" t="str">
        <f aca="false">IF($C112="","",MAX(0,$P112-N($Q112)))</f>
        <v/>
      </c>
      <c r="S112" s="23" t="str">
        <f aca="false">IF(OR($C112="",$P112=0),"",IF(N($Q112)&lt;=0,"Chưa thanh toán",IF(N($Q112)&lt;$P112,"Thanh toán một phần","Đã thanh toán")))</f>
        <v/>
      </c>
      <c r="T112" s="13" t="str">
        <f aca="false">IF(OR($C112="",$J112=""),"",N($I112)*$J112)</f>
        <v/>
      </c>
      <c r="U112" s="13" t="str">
        <f aca="false">IF(OR($C112="",$T112=""),"",$L112-$T112)</f>
        <v/>
      </c>
      <c r="V112" s="14" t="str">
        <f aca="false">IF(OR($U112="",$L112=0),"",$U112/$L112)</f>
        <v/>
      </c>
      <c r="W112" s="11"/>
      <c r="X112" s="23" t="str">
        <f aca="false">IF($C112="","",IF(AND($H112="",N($I112)=0,N($K112)=0),"Dòng chỉ lưu thông tin khách (chưa có đơn); ",IF($B112="","Thiếu ngày đặt; ","")&amp;IF($H112="","Thiếu tên sản phẩm; ",IF($J112="","Chưa khai GIÁ GỐC ở BẢNG GIÁ GỐC; ",""))&amp;IF(N($I112)&lt;=0,"Thiếu số lượng; ","")&amp;IF(N($K112)&lt;=0,"Thiếu giá bán; ","")&amp;IF(AND($N112&gt;0,$F112=""),"Khách lấy VAT thiếu mã số thuế; ","")&amp;IF(N($Q112)&gt;$P112,"Đã thu vượt tổng phải thu; ","")&amp;IF(AND($L112&gt;0,$U112&lt;&gt;"",$U112&lt;0),"CẢNH BÁO: ĐƠN NÀY ĐANG LỖ; ","")))</f>
        <v/>
      </c>
    </row>
    <row r="113" customFormat="false" ht="15" hidden="false" customHeight="false" outlineLevel="0" collapsed="false">
      <c r="A113" s="21" t="str">
        <f aca="false">IF($C113="","",COUNTA($C$10:$C113))</f>
        <v/>
      </c>
      <c r="B113" s="18"/>
      <c r="C113" s="11"/>
      <c r="D113" s="11"/>
      <c r="E113" s="11"/>
      <c r="F113" s="11"/>
      <c r="G113" s="11"/>
      <c r="H113" s="11"/>
      <c r="I113" s="12"/>
      <c r="J113" s="13" t="str">
        <f aca="false">IF($H113="","",IFERROR(VLOOKUP($H113,'BẢNG GIÁ GỐC'!$A$5:$D$254,3,FALSE()),""))</f>
        <v/>
      </c>
      <c r="K113" s="12"/>
      <c r="L113" s="13" t="str">
        <f aca="false">IF($C113="","",N($I113)*N($K113))</f>
        <v/>
      </c>
      <c r="M113" s="11"/>
      <c r="N113" s="14" t="str">
        <f aca="false">IF($C113="","",IF($M113="VAT 5%",0.05,IF($M113="VAT 8%",0.08,IF($M113="VAT 10%",0.1,0))))</f>
        <v/>
      </c>
      <c r="O113" s="13" t="str">
        <f aca="false">IF($C113="","",$L113*$N113)</f>
        <v/>
      </c>
      <c r="P113" s="13" t="str">
        <f aca="false">IF($C113="","",$L113+$O113)</f>
        <v/>
      </c>
      <c r="Q113" s="12"/>
      <c r="R113" s="13" t="str">
        <f aca="false">IF($C113="","",MAX(0,$P113-N($Q113)))</f>
        <v/>
      </c>
      <c r="S113" s="23" t="str">
        <f aca="false">IF(OR($C113="",$P113=0),"",IF(N($Q113)&lt;=0,"Chưa thanh toán",IF(N($Q113)&lt;$P113,"Thanh toán một phần","Đã thanh toán")))</f>
        <v/>
      </c>
      <c r="T113" s="13" t="str">
        <f aca="false">IF(OR($C113="",$J113=""),"",N($I113)*$J113)</f>
        <v/>
      </c>
      <c r="U113" s="13" t="str">
        <f aca="false">IF(OR($C113="",$T113=""),"",$L113-$T113)</f>
        <v/>
      </c>
      <c r="V113" s="14" t="str">
        <f aca="false">IF(OR($U113="",$L113=0),"",$U113/$L113)</f>
        <v/>
      </c>
      <c r="W113" s="11"/>
      <c r="X113" s="23" t="str">
        <f aca="false">IF($C113="","",IF(AND($H113="",N($I113)=0,N($K113)=0),"Dòng chỉ lưu thông tin khách (chưa có đơn); ",IF($B113="","Thiếu ngày đặt; ","")&amp;IF($H113="","Thiếu tên sản phẩm; ",IF($J113="","Chưa khai GIÁ GỐC ở BẢNG GIÁ GỐC; ",""))&amp;IF(N($I113)&lt;=0,"Thiếu số lượng; ","")&amp;IF(N($K113)&lt;=0,"Thiếu giá bán; ","")&amp;IF(AND($N113&gt;0,$F113=""),"Khách lấy VAT thiếu mã số thuế; ","")&amp;IF(N($Q113)&gt;$P113,"Đã thu vượt tổng phải thu; ","")&amp;IF(AND($L113&gt;0,$U113&lt;&gt;"",$U113&lt;0),"CẢNH BÁO: ĐƠN NÀY ĐANG LỖ; ","")))</f>
        <v/>
      </c>
    </row>
    <row r="114" customFormat="false" ht="15" hidden="false" customHeight="false" outlineLevel="0" collapsed="false">
      <c r="A114" s="21" t="str">
        <f aca="false">IF($C114="","",COUNTA($C$10:$C114))</f>
        <v/>
      </c>
      <c r="B114" s="18"/>
      <c r="C114" s="11"/>
      <c r="D114" s="11"/>
      <c r="E114" s="11"/>
      <c r="F114" s="11"/>
      <c r="G114" s="11"/>
      <c r="H114" s="11"/>
      <c r="I114" s="12"/>
      <c r="J114" s="13" t="str">
        <f aca="false">IF($H114="","",IFERROR(VLOOKUP($H114,'BẢNG GIÁ GỐC'!$A$5:$D$254,3,FALSE()),""))</f>
        <v/>
      </c>
      <c r="K114" s="12"/>
      <c r="L114" s="13" t="str">
        <f aca="false">IF($C114="","",N($I114)*N($K114))</f>
        <v/>
      </c>
      <c r="M114" s="11"/>
      <c r="N114" s="14" t="str">
        <f aca="false">IF($C114="","",IF($M114="VAT 5%",0.05,IF($M114="VAT 8%",0.08,IF($M114="VAT 10%",0.1,0))))</f>
        <v/>
      </c>
      <c r="O114" s="13" t="str">
        <f aca="false">IF($C114="","",$L114*$N114)</f>
        <v/>
      </c>
      <c r="P114" s="13" t="str">
        <f aca="false">IF($C114="","",$L114+$O114)</f>
        <v/>
      </c>
      <c r="Q114" s="12"/>
      <c r="R114" s="13" t="str">
        <f aca="false">IF($C114="","",MAX(0,$P114-N($Q114)))</f>
        <v/>
      </c>
      <c r="S114" s="23" t="str">
        <f aca="false">IF(OR($C114="",$P114=0),"",IF(N($Q114)&lt;=0,"Chưa thanh toán",IF(N($Q114)&lt;$P114,"Thanh toán một phần","Đã thanh toán")))</f>
        <v/>
      </c>
      <c r="T114" s="13" t="str">
        <f aca="false">IF(OR($C114="",$J114=""),"",N($I114)*$J114)</f>
        <v/>
      </c>
      <c r="U114" s="13" t="str">
        <f aca="false">IF(OR($C114="",$T114=""),"",$L114-$T114)</f>
        <v/>
      </c>
      <c r="V114" s="14" t="str">
        <f aca="false">IF(OR($U114="",$L114=0),"",$U114/$L114)</f>
        <v/>
      </c>
      <c r="W114" s="11"/>
      <c r="X114" s="23" t="str">
        <f aca="false">IF($C114="","",IF(AND($H114="",N($I114)=0,N($K114)=0),"Dòng chỉ lưu thông tin khách (chưa có đơn); ",IF($B114="","Thiếu ngày đặt; ","")&amp;IF($H114="","Thiếu tên sản phẩm; ",IF($J114="","Chưa khai GIÁ GỐC ở BẢNG GIÁ GỐC; ",""))&amp;IF(N($I114)&lt;=0,"Thiếu số lượng; ","")&amp;IF(N($K114)&lt;=0,"Thiếu giá bán; ","")&amp;IF(AND($N114&gt;0,$F114=""),"Khách lấy VAT thiếu mã số thuế; ","")&amp;IF(N($Q114)&gt;$P114,"Đã thu vượt tổng phải thu; ","")&amp;IF(AND($L114&gt;0,$U114&lt;&gt;"",$U114&lt;0),"CẢNH BÁO: ĐƠN NÀY ĐANG LỖ; ","")))</f>
        <v/>
      </c>
    </row>
    <row r="115" customFormat="false" ht="15" hidden="false" customHeight="false" outlineLevel="0" collapsed="false">
      <c r="A115" s="21" t="str">
        <f aca="false">IF($C115="","",COUNTA($C$10:$C115))</f>
        <v/>
      </c>
      <c r="B115" s="18"/>
      <c r="C115" s="11"/>
      <c r="D115" s="11"/>
      <c r="E115" s="11"/>
      <c r="F115" s="11"/>
      <c r="G115" s="11"/>
      <c r="H115" s="11"/>
      <c r="I115" s="12"/>
      <c r="J115" s="13" t="str">
        <f aca="false">IF($H115="","",IFERROR(VLOOKUP($H115,'BẢNG GIÁ GỐC'!$A$5:$D$254,3,FALSE()),""))</f>
        <v/>
      </c>
      <c r="K115" s="12"/>
      <c r="L115" s="13" t="str">
        <f aca="false">IF($C115="","",N($I115)*N($K115))</f>
        <v/>
      </c>
      <c r="M115" s="11"/>
      <c r="N115" s="14" t="str">
        <f aca="false">IF($C115="","",IF($M115="VAT 5%",0.05,IF($M115="VAT 8%",0.08,IF($M115="VAT 10%",0.1,0))))</f>
        <v/>
      </c>
      <c r="O115" s="13" t="str">
        <f aca="false">IF($C115="","",$L115*$N115)</f>
        <v/>
      </c>
      <c r="P115" s="13" t="str">
        <f aca="false">IF($C115="","",$L115+$O115)</f>
        <v/>
      </c>
      <c r="Q115" s="12"/>
      <c r="R115" s="13" t="str">
        <f aca="false">IF($C115="","",MAX(0,$P115-N($Q115)))</f>
        <v/>
      </c>
      <c r="S115" s="23" t="str">
        <f aca="false">IF(OR($C115="",$P115=0),"",IF(N($Q115)&lt;=0,"Chưa thanh toán",IF(N($Q115)&lt;$P115,"Thanh toán một phần","Đã thanh toán")))</f>
        <v/>
      </c>
      <c r="T115" s="13" t="str">
        <f aca="false">IF(OR($C115="",$J115=""),"",N($I115)*$J115)</f>
        <v/>
      </c>
      <c r="U115" s="13" t="str">
        <f aca="false">IF(OR($C115="",$T115=""),"",$L115-$T115)</f>
        <v/>
      </c>
      <c r="V115" s="14" t="str">
        <f aca="false">IF(OR($U115="",$L115=0),"",$U115/$L115)</f>
        <v/>
      </c>
      <c r="W115" s="11"/>
      <c r="X115" s="23" t="str">
        <f aca="false">IF($C115="","",IF(AND($H115="",N($I115)=0,N($K115)=0),"Dòng chỉ lưu thông tin khách (chưa có đơn); ",IF($B115="","Thiếu ngày đặt; ","")&amp;IF($H115="","Thiếu tên sản phẩm; ",IF($J115="","Chưa khai GIÁ GỐC ở BẢNG GIÁ GỐC; ",""))&amp;IF(N($I115)&lt;=0,"Thiếu số lượng; ","")&amp;IF(N($K115)&lt;=0,"Thiếu giá bán; ","")&amp;IF(AND($N115&gt;0,$F115=""),"Khách lấy VAT thiếu mã số thuế; ","")&amp;IF(N($Q115)&gt;$P115,"Đã thu vượt tổng phải thu; ","")&amp;IF(AND($L115&gt;0,$U115&lt;&gt;"",$U115&lt;0),"CẢNH BÁO: ĐƠN NÀY ĐANG LỖ; ","")))</f>
        <v/>
      </c>
    </row>
    <row r="116" customFormat="false" ht="15" hidden="false" customHeight="false" outlineLevel="0" collapsed="false">
      <c r="A116" s="21" t="str">
        <f aca="false">IF($C116="","",COUNTA($C$10:$C116))</f>
        <v/>
      </c>
      <c r="B116" s="18"/>
      <c r="C116" s="11"/>
      <c r="D116" s="11"/>
      <c r="E116" s="11"/>
      <c r="F116" s="11"/>
      <c r="G116" s="11"/>
      <c r="H116" s="11"/>
      <c r="I116" s="12"/>
      <c r="J116" s="13" t="str">
        <f aca="false">IF($H116="","",IFERROR(VLOOKUP($H116,'BẢNG GIÁ GỐC'!$A$5:$D$254,3,FALSE()),""))</f>
        <v/>
      </c>
      <c r="K116" s="12"/>
      <c r="L116" s="13" t="str">
        <f aca="false">IF($C116="","",N($I116)*N($K116))</f>
        <v/>
      </c>
      <c r="M116" s="11"/>
      <c r="N116" s="14" t="str">
        <f aca="false">IF($C116="","",IF($M116="VAT 5%",0.05,IF($M116="VAT 8%",0.08,IF($M116="VAT 10%",0.1,0))))</f>
        <v/>
      </c>
      <c r="O116" s="13" t="str">
        <f aca="false">IF($C116="","",$L116*$N116)</f>
        <v/>
      </c>
      <c r="P116" s="13" t="str">
        <f aca="false">IF($C116="","",$L116+$O116)</f>
        <v/>
      </c>
      <c r="Q116" s="12"/>
      <c r="R116" s="13" t="str">
        <f aca="false">IF($C116="","",MAX(0,$P116-N($Q116)))</f>
        <v/>
      </c>
      <c r="S116" s="23" t="str">
        <f aca="false">IF(OR($C116="",$P116=0),"",IF(N($Q116)&lt;=0,"Chưa thanh toán",IF(N($Q116)&lt;$P116,"Thanh toán một phần","Đã thanh toán")))</f>
        <v/>
      </c>
      <c r="T116" s="13" t="str">
        <f aca="false">IF(OR($C116="",$J116=""),"",N($I116)*$J116)</f>
        <v/>
      </c>
      <c r="U116" s="13" t="str">
        <f aca="false">IF(OR($C116="",$T116=""),"",$L116-$T116)</f>
        <v/>
      </c>
      <c r="V116" s="14" t="str">
        <f aca="false">IF(OR($U116="",$L116=0),"",$U116/$L116)</f>
        <v/>
      </c>
      <c r="W116" s="11"/>
      <c r="X116" s="23" t="str">
        <f aca="false">IF($C116="","",IF(AND($H116="",N($I116)=0,N($K116)=0),"Dòng chỉ lưu thông tin khách (chưa có đơn); ",IF($B116="","Thiếu ngày đặt; ","")&amp;IF($H116="","Thiếu tên sản phẩm; ",IF($J116="","Chưa khai GIÁ GỐC ở BẢNG GIÁ GỐC; ",""))&amp;IF(N($I116)&lt;=0,"Thiếu số lượng; ","")&amp;IF(N($K116)&lt;=0,"Thiếu giá bán; ","")&amp;IF(AND($N116&gt;0,$F116=""),"Khách lấy VAT thiếu mã số thuế; ","")&amp;IF(N($Q116)&gt;$P116,"Đã thu vượt tổng phải thu; ","")&amp;IF(AND($L116&gt;0,$U116&lt;&gt;"",$U116&lt;0),"CẢNH BÁO: ĐƠN NÀY ĐANG LỖ; ","")))</f>
        <v/>
      </c>
    </row>
    <row r="117" customFormat="false" ht="15" hidden="false" customHeight="false" outlineLevel="0" collapsed="false">
      <c r="A117" s="21" t="str">
        <f aca="false">IF($C117="","",COUNTA($C$10:$C117))</f>
        <v/>
      </c>
      <c r="B117" s="18"/>
      <c r="C117" s="11"/>
      <c r="D117" s="11"/>
      <c r="E117" s="11"/>
      <c r="F117" s="11"/>
      <c r="G117" s="11"/>
      <c r="H117" s="11"/>
      <c r="I117" s="12"/>
      <c r="J117" s="13" t="str">
        <f aca="false">IF($H117="","",IFERROR(VLOOKUP($H117,'BẢNG GIÁ GỐC'!$A$5:$D$254,3,FALSE()),""))</f>
        <v/>
      </c>
      <c r="K117" s="12"/>
      <c r="L117" s="13" t="str">
        <f aca="false">IF($C117="","",N($I117)*N($K117))</f>
        <v/>
      </c>
      <c r="M117" s="11"/>
      <c r="N117" s="14" t="str">
        <f aca="false">IF($C117="","",IF($M117="VAT 5%",0.05,IF($M117="VAT 8%",0.08,IF($M117="VAT 10%",0.1,0))))</f>
        <v/>
      </c>
      <c r="O117" s="13" t="str">
        <f aca="false">IF($C117="","",$L117*$N117)</f>
        <v/>
      </c>
      <c r="P117" s="13" t="str">
        <f aca="false">IF($C117="","",$L117+$O117)</f>
        <v/>
      </c>
      <c r="Q117" s="12"/>
      <c r="R117" s="13" t="str">
        <f aca="false">IF($C117="","",MAX(0,$P117-N($Q117)))</f>
        <v/>
      </c>
      <c r="S117" s="23" t="str">
        <f aca="false">IF(OR($C117="",$P117=0),"",IF(N($Q117)&lt;=0,"Chưa thanh toán",IF(N($Q117)&lt;$P117,"Thanh toán một phần","Đã thanh toán")))</f>
        <v/>
      </c>
      <c r="T117" s="13" t="str">
        <f aca="false">IF(OR($C117="",$J117=""),"",N($I117)*$J117)</f>
        <v/>
      </c>
      <c r="U117" s="13" t="str">
        <f aca="false">IF(OR($C117="",$T117=""),"",$L117-$T117)</f>
        <v/>
      </c>
      <c r="V117" s="14" t="str">
        <f aca="false">IF(OR($U117="",$L117=0),"",$U117/$L117)</f>
        <v/>
      </c>
      <c r="W117" s="11"/>
      <c r="X117" s="23" t="str">
        <f aca="false">IF($C117="","",IF(AND($H117="",N($I117)=0,N($K117)=0),"Dòng chỉ lưu thông tin khách (chưa có đơn); ",IF($B117="","Thiếu ngày đặt; ","")&amp;IF($H117="","Thiếu tên sản phẩm; ",IF($J117="","Chưa khai GIÁ GỐC ở BẢNG GIÁ GỐC; ",""))&amp;IF(N($I117)&lt;=0,"Thiếu số lượng; ","")&amp;IF(N($K117)&lt;=0,"Thiếu giá bán; ","")&amp;IF(AND($N117&gt;0,$F117=""),"Khách lấy VAT thiếu mã số thuế; ","")&amp;IF(N($Q117)&gt;$P117,"Đã thu vượt tổng phải thu; ","")&amp;IF(AND($L117&gt;0,$U117&lt;&gt;"",$U117&lt;0),"CẢNH BÁO: ĐƠN NÀY ĐANG LỖ; ","")))</f>
        <v/>
      </c>
    </row>
    <row r="118" customFormat="false" ht="15" hidden="false" customHeight="false" outlineLevel="0" collapsed="false">
      <c r="A118" s="21" t="str">
        <f aca="false">IF($C118="","",COUNTA($C$10:$C118))</f>
        <v/>
      </c>
      <c r="B118" s="18"/>
      <c r="C118" s="11"/>
      <c r="D118" s="11"/>
      <c r="E118" s="11"/>
      <c r="F118" s="11"/>
      <c r="G118" s="11"/>
      <c r="H118" s="11"/>
      <c r="I118" s="12"/>
      <c r="J118" s="13" t="str">
        <f aca="false">IF($H118="","",IFERROR(VLOOKUP($H118,'BẢNG GIÁ GỐC'!$A$5:$D$254,3,FALSE()),""))</f>
        <v/>
      </c>
      <c r="K118" s="12"/>
      <c r="L118" s="13" t="str">
        <f aca="false">IF($C118="","",N($I118)*N($K118))</f>
        <v/>
      </c>
      <c r="M118" s="11"/>
      <c r="N118" s="14" t="str">
        <f aca="false">IF($C118="","",IF($M118="VAT 5%",0.05,IF($M118="VAT 8%",0.08,IF($M118="VAT 10%",0.1,0))))</f>
        <v/>
      </c>
      <c r="O118" s="13" t="str">
        <f aca="false">IF($C118="","",$L118*$N118)</f>
        <v/>
      </c>
      <c r="P118" s="13" t="str">
        <f aca="false">IF($C118="","",$L118+$O118)</f>
        <v/>
      </c>
      <c r="Q118" s="12"/>
      <c r="R118" s="13" t="str">
        <f aca="false">IF($C118="","",MAX(0,$P118-N($Q118)))</f>
        <v/>
      </c>
      <c r="S118" s="23" t="str">
        <f aca="false">IF(OR($C118="",$P118=0),"",IF(N($Q118)&lt;=0,"Chưa thanh toán",IF(N($Q118)&lt;$P118,"Thanh toán một phần","Đã thanh toán")))</f>
        <v/>
      </c>
      <c r="T118" s="13" t="str">
        <f aca="false">IF(OR($C118="",$J118=""),"",N($I118)*$J118)</f>
        <v/>
      </c>
      <c r="U118" s="13" t="str">
        <f aca="false">IF(OR($C118="",$T118=""),"",$L118-$T118)</f>
        <v/>
      </c>
      <c r="V118" s="14" t="str">
        <f aca="false">IF(OR($U118="",$L118=0),"",$U118/$L118)</f>
        <v/>
      </c>
      <c r="W118" s="11"/>
      <c r="X118" s="23" t="str">
        <f aca="false">IF($C118="","",IF(AND($H118="",N($I118)=0,N($K118)=0),"Dòng chỉ lưu thông tin khách (chưa có đơn); ",IF($B118="","Thiếu ngày đặt; ","")&amp;IF($H118="","Thiếu tên sản phẩm; ",IF($J118="","Chưa khai GIÁ GỐC ở BẢNG GIÁ GỐC; ",""))&amp;IF(N($I118)&lt;=0,"Thiếu số lượng; ","")&amp;IF(N($K118)&lt;=0,"Thiếu giá bán; ","")&amp;IF(AND($N118&gt;0,$F118=""),"Khách lấy VAT thiếu mã số thuế; ","")&amp;IF(N($Q118)&gt;$P118,"Đã thu vượt tổng phải thu; ","")&amp;IF(AND($L118&gt;0,$U118&lt;&gt;"",$U118&lt;0),"CẢNH BÁO: ĐƠN NÀY ĐANG LỖ; ","")))</f>
        <v/>
      </c>
    </row>
    <row r="119" customFormat="false" ht="15" hidden="false" customHeight="false" outlineLevel="0" collapsed="false">
      <c r="A119" s="21" t="str">
        <f aca="false">IF($C119="","",COUNTA($C$10:$C119))</f>
        <v/>
      </c>
      <c r="B119" s="18"/>
      <c r="C119" s="11"/>
      <c r="D119" s="11"/>
      <c r="E119" s="11"/>
      <c r="F119" s="11"/>
      <c r="G119" s="11"/>
      <c r="H119" s="11"/>
      <c r="I119" s="12"/>
      <c r="J119" s="13" t="str">
        <f aca="false">IF($H119="","",IFERROR(VLOOKUP($H119,'BẢNG GIÁ GỐC'!$A$5:$D$254,3,FALSE()),""))</f>
        <v/>
      </c>
      <c r="K119" s="12"/>
      <c r="L119" s="13" t="str">
        <f aca="false">IF($C119="","",N($I119)*N($K119))</f>
        <v/>
      </c>
      <c r="M119" s="11"/>
      <c r="N119" s="14" t="str">
        <f aca="false">IF($C119="","",IF($M119="VAT 5%",0.05,IF($M119="VAT 8%",0.08,IF($M119="VAT 10%",0.1,0))))</f>
        <v/>
      </c>
      <c r="O119" s="13" t="str">
        <f aca="false">IF($C119="","",$L119*$N119)</f>
        <v/>
      </c>
      <c r="P119" s="13" t="str">
        <f aca="false">IF($C119="","",$L119+$O119)</f>
        <v/>
      </c>
      <c r="Q119" s="12"/>
      <c r="R119" s="13" t="str">
        <f aca="false">IF($C119="","",MAX(0,$P119-N($Q119)))</f>
        <v/>
      </c>
      <c r="S119" s="23" t="str">
        <f aca="false">IF(OR($C119="",$P119=0),"",IF(N($Q119)&lt;=0,"Chưa thanh toán",IF(N($Q119)&lt;$P119,"Thanh toán một phần","Đã thanh toán")))</f>
        <v/>
      </c>
      <c r="T119" s="13" t="str">
        <f aca="false">IF(OR($C119="",$J119=""),"",N($I119)*$J119)</f>
        <v/>
      </c>
      <c r="U119" s="13" t="str">
        <f aca="false">IF(OR($C119="",$T119=""),"",$L119-$T119)</f>
        <v/>
      </c>
      <c r="V119" s="14" t="str">
        <f aca="false">IF(OR($U119="",$L119=0),"",$U119/$L119)</f>
        <v/>
      </c>
      <c r="W119" s="11"/>
      <c r="X119" s="23" t="str">
        <f aca="false">IF($C119="","",IF(AND($H119="",N($I119)=0,N($K119)=0),"Dòng chỉ lưu thông tin khách (chưa có đơn); ",IF($B119="","Thiếu ngày đặt; ","")&amp;IF($H119="","Thiếu tên sản phẩm; ",IF($J119="","Chưa khai GIÁ GỐC ở BẢNG GIÁ GỐC; ",""))&amp;IF(N($I119)&lt;=0,"Thiếu số lượng; ","")&amp;IF(N($K119)&lt;=0,"Thiếu giá bán; ","")&amp;IF(AND($N119&gt;0,$F119=""),"Khách lấy VAT thiếu mã số thuế; ","")&amp;IF(N($Q119)&gt;$P119,"Đã thu vượt tổng phải thu; ","")&amp;IF(AND($L119&gt;0,$U119&lt;&gt;"",$U119&lt;0),"CẢNH BÁO: ĐƠN NÀY ĐANG LỖ; ","")))</f>
        <v/>
      </c>
    </row>
    <row r="120" customFormat="false" ht="15" hidden="false" customHeight="false" outlineLevel="0" collapsed="false">
      <c r="A120" s="21" t="str">
        <f aca="false">IF($C120="","",COUNTA($C$10:$C120))</f>
        <v/>
      </c>
      <c r="B120" s="18"/>
      <c r="C120" s="11"/>
      <c r="D120" s="11"/>
      <c r="E120" s="11"/>
      <c r="F120" s="11"/>
      <c r="G120" s="11"/>
      <c r="H120" s="11"/>
      <c r="I120" s="12"/>
      <c r="J120" s="13" t="str">
        <f aca="false">IF($H120="","",IFERROR(VLOOKUP($H120,'BẢNG GIÁ GỐC'!$A$5:$D$254,3,FALSE()),""))</f>
        <v/>
      </c>
      <c r="K120" s="12"/>
      <c r="L120" s="13" t="str">
        <f aca="false">IF($C120="","",N($I120)*N($K120))</f>
        <v/>
      </c>
      <c r="M120" s="11"/>
      <c r="N120" s="14" t="str">
        <f aca="false">IF($C120="","",IF($M120="VAT 5%",0.05,IF($M120="VAT 8%",0.08,IF($M120="VAT 10%",0.1,0))))</f>
        <v/>
      </c>
      <c r="O120" s="13" t="str">
        <f aca="false">IF($C120="","",$L120*$N120)</f>
        <v/>
      </c>
      <c r="P120" s="13" t="str">
        <f aca="false">IF($C120="","",$L120+$O120)</f>
        <v/>
      </c>
      <c r="Q120" s="12"/>
      <c r="R120" s="13" t="str">
        <f aca="false">IF($C120="","",MAX(0,$P120-N($Q120)))</f>
        <v/>
      </c>
      <c r="S120" s="23" t="str">
        <f aca="false">IF(OR($C120="",$P120=0),"",IF(N($Q120)&lt;=0,"Chưa thanh toán",IF(N($Q120)&lt;$P120,"Thanh toán một phần","Đã thanh toán")))</f>
        <v/>
      </c>
      <c r="T120" s="13" t="str">
        <f aca="false">IF(OR($C120="",$J120=""),"",N($I120)*$J120)</f>
        <v/>
      </c>
      <c r="U120" s="13" t="str">
        <f aca="false">IF(OR($C120="",$T120=""),"",$L120-$T120)</f>
        <v/>
      </c>
      <c r="V120" s="14" t="str">
        <f aca="false">IF(OR($U120="",$L120=0),"",$U120/$L120)</f>
        <v/>
      </c>
      <c r="W120" s="11"/>
      <c r="X120" s="23" t="str">
        <f aca="false">IF($C120="","",IF(AND($H120="",N($I120)=0,N($K120)=0),"Dòng chỉ lưu thông tin khách (chưa có đơn); ",IF($B120="","Thiếu ngày đặt; ","")&amp;IF($H120="","Thiếu tên sản phẩm; ",IF($J120="","Chưa khai GIÁ GỐC ở BẢNG GIÁ GỐC; ",""))&amp;IF(N($I120)&lt;=0,"Thiếu số lượng; ","")&amp;IF(N($K120)&lt;=0,"Thiếu giá bán; ","")&amp;IF(AND($N120&gt;0,$F120=""),"Khách lấy VAT thiếu mã số thuế; ","")&amp;IF(N($Q120)&gt;$P120,"Đã thu vượt tổng phải thu; ","")&amp;IF(AND($L120&gt;0,$U120&lt;&gt;"",$U120&lt;0),"CẢNH BÁO: ĐƠN NÀY ĐANG LỖ; ","")))</f>
        <v/>
      </c>
    </row>
    <row r="121" customFormat="false" ht="15" hidden="false" customHeight="false" outlineLevel="0" collapsed="false">
      <c r="A121" s="21" t="str">
        <f aca="false">IF($C121="","",COUNTA($C$10:$C121))</f>
        <v/>
      </c>
      <c r="B121" s="18"/>
      <c r="C121" s="11"/>
      <c r="D121" s="11"/>
      <c r="E121" s="11"/>
      <c r="F121" s="11"/>
      <c r="G121" s="11"/>
      <c r="H121" s="11"/>
      <c r="I121" s="12"/>
      <c r="J121" s="13" t="str">
        <f aca="false">IF($H121="","",IFERROR(VLOOKUP($H121,'BẢNG GIÁ GỐC'!$A$5:$D$254,3,FALSE()),""))</f>
        <v/>
      </c>
      <c r="K121" s="12"/>
      <c r="L121" s="13" t="str">
        <f aca="false">IF($C121="","",N($I121)*N($K121))</f>
        <v/>
      </c>
      <c r="M121" s="11"/>
      <c r="N121" s="14" t="str">
        <f aca="false">IF($C121="","",IF($M121="VAT 5%",0.05,IF($M121="VAT 8%",0.08,IF($M121="VAT 10%",0.1,0))))</f>
        <v/>
      </c>
      <c r="O121" s="13" t="str">
        <f aca="false">IF($C121="","",$L121*$N121)</f>
        <v/>
      </c>
      <c r="P121" s="13" t="str">
        <f aca="false">IF($C121="","",$L121+$O121)</f>
        <v/>
      </c>
      <c r="Q121" s="12"/>
      <c r="R121" s="13" t="str">
        <f aca="false">IF($C121="","",MAX(0,$P121-N($Q121)))</f>
        <v/>
      </c>
      <c r="S121" s="23" t="str">
        <f aca="false">IF(OR($C121="",$P121=0),"",IF(N($Q121)&lt;=0,"Chưa thanh toán",IF(N($Q121)&lt;$P121,"Thanh toán một phần","Đã thanh toán")))</f>
        <v/>
      </c>
      <c r="T121" s="13" t="str">
        <f aca="false">IF(OR($C121="",$J121=""),"",N($I121)*$J121)</f>
        <v/>
      </c>
      <c r="U121" s="13" t="str">
        <f aca="false">IF(OR($C121="",$T121=""),"",$L121-$T121)</f>
        <v/>
      </c>
      <c r="V121" s="14" t="str">
        <f aca="false">IF(OR($U121="",$L121=0),"",$U121/$L121)</f>
        <v/>
      </c>
      <c r="W121" s="11"/>
      <c r="X121" s="23" t="str">
        <f aca="false">IF($C121="","",IF(AND($H121="",N($I121)=0,N($K121)=0),"Dòng chỉ lưu thông tin khách (chưa có đơn); ",IF($B121="","Thiếu ngày đặt; ","")&amp;IF($H121="","Thiếu tên sản phẩm; ",IF($J121="","Chưa khai GIÁ GỐC ở BẢNG GIÁ GỐC; ",""))&amp;IF(N($I121)&lt;=0,"Thiếu số lượng; ","")&amp;IF(N($K121)&lt;=0,"Thiếu giá bán; ","")&amp;IF(AND($N121&gt;0,$F121=""),"Khách lấy VAT thiếu mã số thuế; ","")&amp;IF(N($Q121)&gt;$P121,"Đã thu vượt tổng phải thu; ","")&amp;IF(AND($L121&gt;0,$U121&lt;&gt;"",$U121&lt;0),"CẢNH BÁO: ĐƠN NÀY ĐANG LỖ; ","")))</f>
        <v/>
      </c>
    </row>
    <row r="122" customFormat="false" ht="15" hidden="false" customHeight="false" outlineLevel="0" collapsed="false">
      <c r="A122" s="21" t="str">
        <f aca="false">IF($C122="","",COUNTA($C$10:$C122))</f>
        <v/>
      </c>
      <c r="B122" s="18"/>
      <c r="C122" s="11"/>
      <c r="D122" s="11"/>
      <c r="E122" s="11"/>
      <c r="F122" s="11"/>
      <c r="G122" s="11"/>
      <c r="H122" s="11"/>
      <c r="I122" s="12"/>
      <c r="J122" s="13" t="str">
        <f aca="false">IF($H122="","",IFERROR(VLOOKUP($H122,'BẢNG GIÁ GỐC'!$A$5:$D$254,3,FALSE()),""))</f>
        <v/>
      </c>
      <c r="K122" s="12"/>
      <c r="L122" s="13" t="str">
        <f aca="false">IF($C122="","",N($I122)*N($K122))</f>
        <v/>
      </c>
      <c r="M122" s="11"/>
      <c r="N122" s="14" t="str">
        <f aca="false">IF($C122="","",IF($M122="VAT 5%",0.05,IF($M122="VAT 8%",0.08,IF($M122="VAT 10%",0.1,0))))</f>
        <v/>
      </c>
      <c r="O122" s="13" t="str">
        <f aca="false">IF($C122="","",$L122*$N122)</f>
        <v/>
      </c>
      <c r="P122" s="13" t="str">
        <f aca="false">IF($C122="","",$L122+$O122)</f>
        <v/>
      </c>
      <c r="Q122" s="12"/>
      <c r="R122" s="13" t="str">
        <f aca="false">IF($C122="","",MAX(0,$P122-N($Q122)))</f>
        <v/>
      </c>
      <c r="S122" s="23" t="str">
        <f aca="false">IF(OR($C122="",$P122=0),"",IF(N($Q122)&lt;=0,"Chưa thanh toán",IF(N($Q122)&lt;$P122,"Thanh toán một phần","Đã thanh toán")))</f>
        <v/>
      </c>
      <c r="T122" s="13" t="str">
        <f aca="false">IF(OR($C122="",$J122=""),"",N($I122)*$J122)</f>
        <v/>
      </c>
      <c r="U122" s="13" t="str">
        <f aca="false">IF(OR($C122="",$T122=""),"",$L122-$T122)</f>
        <v/>
      </c>
      <c r="V122" s="14" t="str">
        <f aca="false">IF(OR($U122="",$L122=0),"",$U122/$L122)</f>
        <v/>
      </c>
      <c r="W122" s="11"/>
      <c r="X122" s="23" t="str">
        <f aca="false">IF($C122="","",IF(AND($H122="",N($I122)=0,N($K122)=0),"Dòng chỉ lưu thông tin khách (chưa có đơn); ",IF($B122="","Thiếu ngày đặt; ","")&amp;IF($H122="","Thiếu tên sản phẩm; ",IF($J122="","Chưa khai GIÁ GỐC ở BẢNG GIÁ GỐC; ",""))&amp;IF(N($I122)&lt;=0,"Thiếu số lượng; ","")&amp;IF(N($K122)&lt;=0,"Thiếu giá bán; ","")&amp;IF(AND($N122&gt;0,$F122=""),"Khách lấy VAT thiếu mã số thuế; ","")&amp;IF(N($Q122)&gt;$P122,"Đã thu vượt tổng phải thu; ","")&amp;IF(AND($L122&gt;0,$U122&lt;&gt;"",$U122&lt;0),"CẢNH BÁO: ĐƠN NÀY ĐANG LỖ; ","")))</f>
        <v/>
      </c>
    </row>
    <row r="123" customFormat="false" ht="15" hidden="false" customHeight="false" outlineLevel="0" collapsed="false">
      <c r="A123" s="21" t="str">
        <f aca="false">IF($C123="","",COUNTA($C$10:$C123))</f>
        <v/>
      </c>
      <c r="B123" s="18"/>
      <c r="C123" s="11"/>
      <c r="D123" s="11"/>
      <c r="E123" s="11"/>
      <c r="F123" s="11"/>
      <c r="G123" s="11"/>
      <c r="H123" s="11"/>
      <c r="I123" s="12"/>
      <c r="J123" s="13" t="str">
        <f aca="false">IF($H123="","",IFERROR(VLOOKUP($H123,'BẢNG GIÁ GỐC'!$A$5:$D$254,3,FALSE()),""))</f>
        <v/>
      </c>
      <c r="K123" s="12"/>
      <c r="L123" s="13" t="str">
        <f aca="false">IF($C123="","",N($I123)*N($K123))</f>
        <v/>
      </c>
      <c r="M123" s="11"/>
      <c r="N123" s="14" t="str">
        <f aca="false">IF($C123="","",IF($M123="VAT 5%",0.05,IF($M123="VAT 8%",0.08,IF($M123="VAT 10%",0.1,0))))</f>
        <v/>
      </c>
      <c r="O123" s="13" t="str">
        <f aca="false">IF($C123="","",$L123*$N123)</f>
        <v/>
      </c>
      <c r="P123" s="13" t="str">
        <f aca="false">IF($C123="","",$L123+$O123)</f>
        <v/>
      </c>
      <c r="Q123" s="12"/>
      <c r="R123" s="13" t="str">
        <f aca="false">IF($C123="","",MAX(0,$P123-N($Q123)))</f>
        <v/>
      </c>
      <c r="S123" s="23" t="str">
        <f aca="false">IF(OR($C123="",$P123=0),"",IF(N($Q123)&lt;=0,"Chưa thanh toán",IF(N($Q123)&lt;$P123,"Thanh toán một phần","Đã thanh toán")))</f>
        <v/>
      </c>
      <c r="T123" s="13" t="str">
        <f aca="false">IF(OR($C123="",$J123=""),"",N($I123)*$J123)</f>
        <v/>
      </c>
      <c r="U123" s="13" t="str">
        <f aca="false">IF(OR($C123="",$T123=""),"",$L123-$T123)</f>
        <v/>
      </c>
      <c r="V123" s="14" t="str">
        <f aca="false">IF(OR($U123="",$L123=0),"",$U123/$L123)</f>
        <v/>
      </c>
      <c r="W123" s="11"/>
      <c r="X123" s="23" t="str">
        <f aca="false">IF($C123="","",IF(AND($H123="",N($I123)=0,N($K123)=0),"Dòng chỉ lưu thông tin khách (chưa có đơn); ",IF($B123="","Thiếu ngày đặt; ","")&amp;IF($H123="","Thiếu tên sản phẩm; ",IF($J123="","Chưa khai GIÁ GỐC ở BẢNG GIÁ GỐC; ",""))&amp;IF(N($I123)&lt;=0,"Thiếu số lượng; ","")&amp;IF(N($K123)&lt;=0,"Thiếu giá bán; ","")&amp;IF(AND($N123&gt;0,$F123=""),"Khách lấy VAT thiếu mã số thuế; ","")&amp;IF(N($Q123)&gt;$P123,"Đã thu vượt tổng phải thu; ","")&amp;IF(AND($L123&gt;0,$U123&lt;&gt;"",$U123&lt;0),"CẢNH BÁO: ĐƠN NÀY ĐANG LỖ; ","")))</f>
        <v/>
      </c>
    </row>
    <row r="124" customFormat="false" ht="15" hidden="false" customHeight="false" outlineLevel="0" collapsed="false">
      <c r="A124" s="21" t="str">
        <f aca="false">IF($C124="","",COUNTA($C$10:$C124))</f>
        <v/>
      </c>
      <c r="B124" s="18"/>
      <c r="C124" s="11"/>
      <c r="D124" s="11"/>
      <c r="E124" s="11"/>
      <c r="F124" s="11"/>
      <c r="G124" s="11"/>
      <c r="H124" s="11"/>
      <c r="I124" s="12"/>
      <c r="J124" s="13" t="str">
        <f aca="false">IF($H124="","",IFERROR(VLOOKUP($H124,'BẢNG GIÁ GỐC'!$A$5:$D$254,3,FALSE()),""))</f>
        <v/>
      </c>
      <c r="K124" s="12"/>
      <c r="L124" s="13" t="str">
        <f aca="false">IF($C124="","",N($I124)*N($K124))</f>
        <v/>
      </c>
      <c r="M124" s="11"/>
      <c r="N124" s="14" t="str">
        <f aca="false">IF($C124="","",IF($M124="VAT 5%",0.05,IF($M124="VAT 8%",0.08,IF($M124="VAT 10%",0.1,0))))</f>
        <v/>
      </c>
      <c r="O124" s="13" t="str">
        <f aca="false">IF($C124="","",$L124*$N124)</f>
        <v/>
      </c>
      <c r="P124" s="13" t="str">
        <f aca="false">IF($C124="","",$L124+$O124)</f>
        <v/>
      </c>
      <c r="Q124" s="12"/>
      <c r="R124" s="13" t="str">
        <f aca="false">IF($C124="","",MAX(0,$P124-N($Q124)))</f>
        <v/>
      </c>
      <c r="S124" s="23" t="str">
        <f aca="false">IF(OR($C124="",$P124=0),"",IF(N($Q124)&lt;=0,"Chưa thanh toán",IF(N($Q124)&lt;$P124,"Thanh toán một phần","Đã thanh toán")))</f>
        <v/>
      </c>
      <c r="T124" s="13" t="str">
        <f aca="false">IF(OR($C124="",$J124=""),"",N($I124)*$J124)</f>
        <v/>
      </c>
      <c r="U124" s="13" t="str">
        <f aca="false">IF(OR($C124="",$T124=""),"",$L124-$T124)</f>
        <v/>
      </c>
      <c r="V124" s="14" t="str">
        <f aca="false">IF(OR($U124="",$L124=0),"",$U124/$L124)</f>
        <v/>
      </c>
      <c r="W124" s="11"/>
      <c r="X124" s="23" t="str">
        <f aca="false">IF($C124="","",IF(AND($H124="",N($I124)=0,N($K124)=0),"Dòng chỉ lưu thông tin khách (chưa có đơn); ",IF($B124="","Thiếu ngày đặt; ","")&amp;IF($H124="","Thiếu tên sản phẩm; ",IF($J124="","Chưa khai GIÁ GỐC ở BẢNG GIÁ GỐC; ",""))&amp;IF(N($I124)&lt;=0,"Thiếu số lượng; ","")&amp;IF(N($K124)&lt;=0,"Thiếu giá bán; ","")&amp;IF(AND($N124&gt;0,$F124=""),"Khách lấy VAT thiếu mã số thuế; ","")&amp;IF(N($Q124)&gt;$P124,"Đã thu vượt tổng phải thu; ","")&amp;IF(AND($L124&gt;0,$U124&lt;&gt;"",$U124&lt;0),"CẢNH BÁO: ĐƠN NÀY ĐANG LỖ; ","")))</f>
        <v/>
      </c>
    </row>
    <row r="125" customFormat="false" ht="15" hidden="false" customHeight="false" outlineLevel="0" collapsed="false">
      <c r="A125" s="21" t="str">
        <f aca="false">IF($C125="","",COUNTA($C$10:$C125))</f>
        <v/>
      </c>
      <c r="B125" s="18"/>
      <c r="C125" s="11"/>
      <c r="D125" s="11"/>
      <c r="E125" s="11"/>
      <c r="F125" s="11"/>
      <c r="G125" s="11"/>
      <c r="H125" s="11"/>
      <c r="I125" s="12"/>
      <c r="J125" s="13" t="str">
        <f aca="false">IF($H125="","",IFERROR(VLOOKUP($H125,'BẢNG GIÁ GỐC'!$A$5:$D$254,3,FALSE()),""))</f>
        <v/>
      </c>
      <c r="K125" s="12"/>
      <c r="L125" s="13" t="str">
        <f aca="false">IF($C125="","",N($I125)*N($K125))</f>
        <v/>
      </c>
      <c r="M125" s="11"/>
      <c r="N125" s="14" t="str">
        <f aca="false">IF($C125="","",IF($M125="VAT 5%",0.05,IF($M125="VAT 8%",0.08,IF($M125="VAT 10%",0.1,0))))</f>
        <v/>
      </c>
      <c r="O125" s="13" t="str">
        <f aca="false">IF($C125="","",$L125*$N125)</f>
        <v/>
      </c>
      <c r="P125" s="13" t="str">
        <f aca="false">IF($C125="","",$L125+$O125)</f>
        <v/>
      </c>
      <c r="Q125" s="12"/>
      <c r="R125" s="13" t="str">
        <f aca="false">IF($C125="","",MAX(0,$P125-N($Q125)))</f>
        <v/>
      </c>
      <c r="S125" s="23" t="str">
        <f aca="false">IF(OR($C125="",$P125=0),"",IF(N($Q125)&lt;=0,"Chưa thanh toán",IF(N($Q125)&lt;$P125,"Thanh toán một phần","Đã thanh toán")))</f>
        <v/>
      </c>
      <c r="T125" s="13" t="str">
        <f aca="false">IF(OR($C125="",$J125=""),"",N($I125)*$J125)</f>
        <v/>
      </c>
      <c r="U125" s="13" t="str">
        <f aca="false">IF(OR($C125="",$T125=""),"",$L125-$T125)</f>
        <v/>
      </c>
      <c r="V125" s="14" t="str">
        <f aca="false">IF(OR($U125="",$L125=0),"",$U125/$L125)</f>
        <v/>
      </c>
      <c r="W125" s="11"/>
      <c r="X125" s="23" t="str">
        <f aca="false">IF($C125="","",IF(AND($H125="",N($I125)=0,N($K125)=0),"Dòng chỉ lưu thông tin khách (chưa có đơn); ",IF($B125="","Thiếu ngày đặt; ","")&amp;IF($H125="","Thiếu tên sản phẩm; ",IF($J125="","Chưa khai GIÁ GỐC ở BẢNG GIÁ GỐC; ",""))&amp;IF(N($I125)&lt;=0,"Thiếu số lượng; ","")&amp;IF(N($K125)&lt;=0,"Thiếu giá bán; ","")&amp;IF(AND($N125&gt;0,$F125=""),"Khách lấy VAT thiếu mã số thuế; ","")&amp;IF(N($Q125)&gt;$P125,"Đã thu vượt tổng phải thu; ","")&amp;IF(AND($L125&gt;0,$U125&lt;&gt;"",$U125&lt;0),"CẢNH BÁO: ĐƠN NÀY ĐANG LỖ; ","")))</f>
        <v/>
      </c>
    </row>
    <row r="126" customFormat="false" ht="15" hidden="false" customHeight="false" outlineLevel="0" collapsed="false">
      <c r="A126" s="21" t="str">
        <f aca="false">IF($C126="","",COUNTA($C$10:$C126))</f>
        <v/>
      </c>
      <c r="B126" s="18"/>
      <c r="C126" s="11"/>
      <c r="D126" s="11"/>
      <c r="E126" s="11"/>
      <c r="F126" s="11"/>
      <c r="G126" s="11"/>
      <c r="H126" s="11"/>
      <c r="I126" s="12"/>
      <c r="J126" s="13" t="str">
        <f aca="false">IF($H126="","",IFERROR(VLOOKUP($H126,'BẢNG GIÁ GỐC'!$A$5:$D$254,3,FALSE()),""))</f>
        <v/>
      </c>
      <c r="K126" s="12"/>
      <c r="L126" s="13" t="str">
        <f aca="false">IF($C126="","",N($I126)*N($K126))</f>
        <v/>
      </c>
      <c r="M126" s="11"/>
      <c r="N126" s="14" t="str">
        <f aca="false">IF($C126="","",IF($M126="VAT 5%",0.05,IF($M126="VAT 8%",0.08,IF($M126="VAT 10%",0.1,0))))</f>
        <v/>
      </c>
      <c r="O126" s="13" t="str">
        <f aca="false">IF($C126="","",$L126*$N126)</f>
        <v/>
      </c>
      <c r="P126" s="13" t="str">
        <f aca="false">IF($C126="","",$L126+$O126)</f>
        <v/>
      </c>
      <c r="Q126" s="12"/>
      <c r="R126" s="13" t="str">
        <f aca="false">IF($C126="","",MAX(0,$P126-N($Q126)))</f>
        <v/>
      </c>
      <c r="S126" s="23" t="str">
        <f aca="false">IF(OR($C126="",$P126=0),"",IF(N($Q126)&lt;=0,"Chưa thanh toán",IF(N($Q126)&lt;$P126,"Thanh toán một phần","Đã thanh toán")))</f>
        <v/>
      </c>
      <c r="T126" s="13" t="str">
        <f aca="false">IF(OR($C126="",$J126=""),"",N($I126)*$J126)</f>
        <v/>
      </c>
      <c r="U126" s="13" t="str">
        <f aca="false">IF(OR($C126="",$T126=""),"",$L126-$T126)</f>
        <v/>
      </c>
      <c r="V126" s="14" t="str">
        <f aca="false">IF(OR($U126="",$L126=0),"",$U126/$L126)</f>
        <v/>
      </c>
      <c r="W126" s="11"/>
      <c r="X126" s="23" t="str">
        <f aca="false">IF($C126="","",IF(AND($H126="",N($I126)=0,N($K126)=0),"Dòng chỉ lưu thông tin khách (chưa có đơn); ",IF($B126="","Thiếu ngày đặt; ","")&amp;IF($H126="","Thiếu tên sản phẩm; ",IF($J126="","Chưa khai GIÁ GỐC ở BẢNG GIÁ GỐC; ",""))&amp;IF(N($I126)&lt;=0,"Thiếu số lượng; ","")&amp;IF(N($K126)&lt;=0,"Thiếu giá bán; ","")&amp;IF(AND($N126&gt;0,$F126=""),"Khách lấy VAT thiếu mã số thuế; ","")&amp;IF(N($Q126)&gt;$P126,"Đã thu vượt tổng phải thu; ","")&amp;IF(AND($L126&gt;0,$U126&lt;&gt;"",$U126&lt;0),"CẢNH BÁO: ĐƠN NÀY ĐANG LỖ; ","")))</f>
        <v/>
      </c>
    </row>
    <row r="127" customFormat="false" ht="15" hidden="false" customHeight="false" outlineLevel="0" collapsed="false">
      <c r="A127" s="21" t="str">
        <f aca="false">IF($C127="","",COUNTA($C$10:$C127))</f>
        <v/>
      </c>
      <c r="B127" s="18"/>
      <c r="C127" s="11"/>
      <c r="D127" s="11"/>
      <c r="E127" s="11"/>
      <c r="F127" s="11"/>
      <c r="G127" s="11"/>
      <c r="H127" s="11"/>
      <c r="I127" s="12"/>
      <c r="J127" s="13" t="str">
        <f aca="false">IF($H127="","",IFERROR(VLOOKUP($H127,'BẢNG GIÁ GỐC'!$A$5:$D$254,3,FALSE()),""))</f>
        <v/>
      </c>
      <c r="K127" s="12"/>
      <c r="L127" s="13" t="str">
        <f aca="false">IF($C127="","",N($I127)*N($K127))</f>
        <v/>
      </c>
      <c r="M127" s="11"/>
      <c r="N127" s="14" t="str">
        <f aca="false">IF($C127="","",IF($M127="VAT 5%",0.05,IF($M127="VAT 8%",0.08,IF($M127="VAT 10%",0.1,0))))</f>
        <v/>
      </c>
      <c r="O127" s="13" t="str">
        <f aca="false">IF($C127="","",$L127*$N127)</f>
        <v/>
      </c>
      <c r="P127" s="13" t="str">
        <f aca="false">IF($C127="","",$L127+$O127)</f>
        <v/>
      </c>
      <c r="Q127" s="12"/>
      <c r="R127" s="13" t="str">
        <f aca="false">IF($C127="","",MAX(0,$P127-N($Q127)))</f>
        <v/>
      </c>
      <c r="S127" s="23" t="str">
        <f aca="false">IF(OR($C127="",$P127=0),"",IF(N($Q127)&lt;=0,"Chưa thanh toán",IF(N($Q127)&lt;$P127,"Thanh toán một phần","Đã thanh toán")))</f>
        <v/>
      </c>
      <c r="T127" s="13" t="str">
        <f aca="false">IF(OR($C127="",$J127=""),"",N($I127)*$J127)</f>
        <v/>
      </c>
      <c r="U127" s="13" t="str">
        <f aca="false">IF(OR($C127="",$T127=""),"",$L127-$T127)</f>
        <v/>
      </c>
      <c r="V127" s="14" t="str">
        <f aca="false">IF(OR($U127="",$L127=0),"",$U127/$L127)</f>
        <v/>
      </c>
      <c r="W127" s="11"/>
      <c r="X127" s="23" t="str">
        <f aca="false">IF($C127="","",IF(AND($H127="",N($I127)=0,N($K127)=0),"Dòng chỉ lưu thông tin khách (chưa có đơn); ",IF($B127="","Thiếu ngày đặt; ","")&amp;IF($H127="","Thiếu tên sản phẩm; ",IF($J127="","Chưa khai GIÁ GỐC ở BẢNG GIÁ GỐC; ",""))&amp;IF(N($I127)&lt;=0,"Thiếu số lượng; ","")&amp;IF(N($K127)&lt;=0,"Thiếu giá bán; ","")&amp;IF(AND($N127&gt;0,$F127=""),"Khách lấy VAT thiếu mã số thuế; ","")&amp;IF(N($Q127)&gt;$P127,"Đã thu vượt tổng phải thu; ","")&amp;IF(AND($L127&gt;0,$U127&lt;&gt;"",$U127&lt;0),"CẢNH BÁO: ĐƠN NÀY ĐANG LỖ; ","")))</f>
        <v/>
      </c>
    </row>
    <row r="128" customFormat="false" ht="15" hidden="false" customHeight="false" outlineLevel="0" collapsed="false">
      <c r="A128" s="21" t="str">
        <f aca="false">IF($C128="","",COUNTA($C$10:$C128))</f>
        <v/>
      </c>
      <c r="B128" s="18"/>
      <c r="C128" s="11"/>
      <c r="D128" s="11"/>
      <c r="E128" s="11"/>
      <c r="F128" s="11"/>
      <c r="G128" s="11"/>
      <c r="H128" s="11"/>
      <c r="I128" s="12"/>
      <c r="J128" s="13" t="str">
        <f aca="false">IF($H128="","",IFERROR(VLOOKUP($H128,'BẢNG GIÁ GỐC'!$A$5:$D$254,3,FALSE()),""))</f>
        <v/>
      </c>
      <c r="K128" s="12"/>
      <c r="L128" s="13" t="str">
        <f aca="false">IF($C128="","",N($I128)*N($K128))</f>
        <v/>
      </c>
      <c r="M128" s="11"/>
      <c r="N128" s="14" t="str">
        <f aca="false">IF($C128="","",IF($M128="VAT 5%",0.05,IF($M128="VAT 8%",0.08,IF($M128="VAT 10%",0.1,0))))</f>
        <v/>
      </c>
      <c r="O128" s="13" t="str">
        <f aca="false">IF($C128="","",$L128*$N128)</f>
        <v/>
      </c>
      <c r="P128" s="13" t="str">
        <f aca="false">IF($C128="","",$L128+$O128)</f>
        <v/>
      </c>
      <c r="Q128" s="12"/>
      <c r="R128" s="13" t="str">
        <f aca="false">IF($C128="","",MAX(0,$P128-N($Q128)))</f>
        <v/>
      </c>
      <c r="S128" s="23" t="str">
        <f aca="false">IF(OR($C128="",$P128=0),"",IF(N($Q128)&lt;=0,"Chưa thanh toán",IF(N($Q128)&lt;$P128,"Thanh toán một phần","Đã thanh toán")))</f>
        <v/>
      </c>
      <c r="T128" s="13" t="str">
        <f aca="false">IF(OR($C128="",$J128=""),"",N($I128)*$J128)</f>
        <v/>
      </c>
      <c r="U128" s="13" t="str">
        <f aca="false">IF(OR($C128="",$T128=""),"",$L128-$T128)</f>
        <v/>
      </c>
      <c r="V128" s="14" t="str">
        <f aca="false">IF(OR($U128="",$L128=0),"",$U128/$L128)</f>
        <v/>
      </c>
      <c r="W128" s="11"/>
      <c r="X128" s="23" t="str">
        <f aca="false">IF($C128="","",IF(AND($H128="",N($I128)=0,N($K128)=0),"Dòng chỉ lưu thông tin khách (chưa có đơn); ",IF($B128="","Thiếu ngày đặt; ","")&amp;IF($H128="","Thiếu tên sản phẩm; ",IF($J128="","Chưa khai GIÁ GỐC ở BẢNG GIÁ GỐC; ",""))&amp;IF(N($I128)&lt;=0,"Thiếu số lượng; ","")&amp;IF(N($K128)&lt;=0,"Thiếu giá bán; ","")&amp;IF(AND($N128&gt;0,$F128=""),"Khách lấy VAT thiếu mã số thuế; ","")&amp;IF(N($Q128)&gt;$P128,"Đã thu vượt tổng phải thu; ","")&amp;IF(AND($L128&gt;0,$U128&lt;&gt;"",$U128&lt;0),"CẢNH BÁO: ĐƠN NÀY ĐANG LỖ; ","")))</f>
        <v/>
      </c>
    </row>
    <row r="129" customFormat="false" ht="15" hidden="false" customHeight="false" outlineLevel="0" collapsed="false">
      <c r="A129" s="21" t="str">
        <f aca="false">IF($C129="","",COUNTA($C$10:$C129))</f>
        <v/>
      </c>
      <c r="B129" s="18"/>
      <c r="C129" s="11"/>
      <c r="D129" s="11"/>
      <c r="E129" s="11"/>
      <c r="F129" s="11"/>
      <c r="G129" s="11"/>
      <c r="H129" s="11"/>
      <c r="I129" s="12"/>
      <c r="J129" s="13" t="str">
        <f aca="false">IF($H129="","",IFERROR(VLOOKUP($H129,'BẢNG GIÁ GỐC'!$A$5:$D$254,3,FALSE()),""))</f>
        <v/>
      </c>
      <c r="K129" s="12"/>
      <c r="L129" s="13" t="str">
        <f aca="false">IF($C129="","",N($I129)*N($K129))</f>
        <v/>
      </c>
      <c r="M129" s="11"/>
      <c r="N129" s="14" t="str">
        <f aca="false">IF($C129="","",IF($M129="VAT 5%",0.05,IF($M129="VAT 8%",0.08,IF($M129="VAT 10%",0.1,0))))</f>
        <v/>
      </c>
      <c r="O129" s="13" t="str">
        <f aca="false">IF($C129="","",$L129*$N129)</f>
        <v/>
      </c>
      <c r="P129" s="13" t="str">
        <f aca="false">IF($C129="","",$L129+$O129)</f>
        <v/>
      </c>
      <c r="Q129" s="12"/>
      <c r="R129" s="13" t="str">
        <f aca="false">IF($C129="","",MAX(0,$P129-N($Q129)))</f>
        <v/>
      </c>
      <c r="S129" s="23" t="str">
        <f aca="false">IF(OR($C129="",$P129=0),"",IF(N($Q129)&lt;=0,"Chưa thanh toán",IF(N($Q129)&lt;$P129,"Thanh toán một phần","Đã thanh toán")))</f>
        <v/>
      </c>
      <c r="T129" s="13" t="str">
        <f aca="false">IF(OR($C129="",$J129=""),"",N($I129)*$J129)</f>
        <v/>
      </c>
      <c r="U129" s="13" t="str">
        <f aca="false">IF(OR($C129="",$T129=""),"",$L129-$T129)</f>
        <v/>
      </c>
      <c r="V129" s="14" t="str">
        <f aca="false">IF(OR($U129="",$L129=0),"",$U129/$L129)</f>
        <v/>
      </c>
      <c r="W129" s="11"/>
      <c r="X129" s="23" t="str">
        <f aca="false">IF($C129="","",IF(AND($H129="",N($I129)=0,N($K129)=0),"Dòng chỉ lưu thông tin khách (chưa có đơn); ",IF($B129="","Thiếu ngày đặt; ","")&amp;IF($H129="","Thiếu tên sản phẩm; ",IF($J129="","Chưa khai GIÁ GỐC ở BẢNG GIÁ GỐC; ",""))&amp;IF(N($I129)&lt;=0,"Thiếu số lượng; ","")&amp;IF(N($K129)&lt;=0,"Thiếu giá bán; ","")&amp;IF(AND($N129&gt;0,$F129=""),"Khách lấy VAT thiếu mã số thuế; ","")&amp;IF(N($Q129)&gt;$P129,"Đã thu vượt tổng phải thu; ","")&amp;IF(AND($L129&gt;0,$U129&lt;&gt;"",$U129&lt;0),"CẢNH BÁO: ĐƠN NÀY ĐANG LỖ; ","")))</f>
        <v/>
      </c>
    </row>
    <row r="130" customFormat="false" ht="15" hidden="false" customHeight="false" outlineLevel="0" collapsed="false">
      <c r="A130" s="21" t="str">
        <f aca="false">IF($C130="","",COUNTA($C$10:$C130))</f>
        <v/>
      </c>
      <c r="B130" s="18"/>
      <c r="C130" s="11"/>
      <c r="D130" s="11"/>
      <c r="E130" s="11"/>
      <c r="F130" s="11"/>
      <c r="G130" s="11"/>
      <c r="H130" s="11"/>
      <c r="I130" s="12"/>
      <c r="J130" s="13" t="str">
        <f aca="false">IF($H130="","",IFERROR(VLOOKUP($H130,'BẢNG GIÁ GỐC'!$A$5:$D$254,3,FALSE()),""))</f>
        <v/>
      </c>
      <c r="K130" s="12"/>
      <c r="L130" s="13" t="str">
        <f aca="false">IF($C130="","",N($I130)*N($K130))</f>
        <v/>
      </c>
      <c r="M130" s="11"/>
      <c r="N130" s="14" t="str">
        <f aca="false">IF($C130="","",IF($M130="VAT 5%",0.05,IF($M130="VAT 8%",0.08,IF($M130="VAT 10%",0.1,0))))</f>
        <v/>
      </c>
      <c r="O130" s="13" t="str">
        <f aca="false">IF($C130="","",$L130*$N130)</f>
        <v/>
      </c>
      <c r="P130" s="13" t="str">
        <f aca="false">IF($C130="","",$L130+$O130)</f>
        <v/>
      </c>
      <c r="Q130" s="12"/>
      <c r="R130" s="13" t="str">
        <f aca="false">IF($C130="","",MAX(0,$P130-N($Q130)))</f>
        <v/>
      </c>
      <c r="S130" s="23" t="str">
        <f aca="false">IF(OR($C130="",$P130=0),"",IF(N($Q130)&lt;=0,"Chưa thanh toán",IF(N($Q130)&lt;$P130,"Thanh toán một phần","Đã thanh toán")))</f>
        <v/>
      </c>
      <c r="T130" s="13" t="str">
        <f aca="false">IF(OR($C130="",$J130=""),"",N($I130)*$J130)</f>
        <v/>
      </c>
      <c r="U130" s="13" t="str">
        <f aca="false">IF(OR($C130="",$T130=""),"",$L130-$T130)</f>
        <v/>
      </c>
      <c r="V130" s="14" t="str">
        <f aca="false">IF(OR($U130="",$L130=0),"",$U130/$L130)</f>
        <v/>
      </c>
      <c r="W130" s="11"/>
      <c r="X130" s="23" t="str">
        <f aca="false">IF($C130="","",IF(AND($H130="",N($I130)=0,N($K130)=0),"Dòng chỉ lưu thông tin khách (chưa có đơn); ",IF($B130="","Thiếu ngày đặt; ","")&amp;IF($H130="","Thiếu tên sản phẩm; ",IF($J130="","Chưa khai GIÁ GỐC ở BẢNG GIÁ GỐC; ",""))&amp;IF(N($I130)&lt;=0,"Thiếu số lượng; ","")&amp;IF(N($K130)&lt;=0,"Thiếu giá bán; ","")&amp;IF(AND($N130&gt;0,$F130=""),"Khách lấy VAT thiếu mã số thuế; ","")&amp;IF(N($Q130)&gt;$P130,"Đã thu vượt tổng phải thu; ","")&amp;IF(AND($L130&gt;0,$U130&lt;&gt;"",$U130&lt;0),"CẢNH BÁO: ĐƠN NÀY ĐANG LỖ; ","")))</f>
        <v/>
      </c>
    </row>
    <row r="131" customFormat="false" ht="15" hidden="false" customHeight="false" outlineLevel="0" collapsed="false">
      <c r="A131" s="21" t="str">
        <f aca="false">IF($C131="","",COUNTA($C$10:$C131))</f>
        <v/>
      </c>
      <c r="B131" s="18"/>
      <c r="C131" s="11"/>
      <c r="D131" s="11"/>
      <c r="E131" s="11"/>
      <c r="F131" s="11"/>
      <c r="G131" s="11"/>
      <c r="H131" s="11"/>
      <c r="I131" s="12"/>
      <c r="J131" s="13" t="str">
        <f aca="false">IF($H131="","",IFERROR(VLOOKUP($H131,'BẢNG GIÁ GỐC'!$A$5:$D$254,3,FALSE()),""))</f>
        <v/>
      </c>
      <c r="K131" s="12"/>
      <c r="L131" s="13" t="str">
        <f aca="false">IF($C131="","",N($I131)*N($K131))</f>
        <v/>
      </c>
      <c r="M131" s="11"/>
      <c r="N131" s="14" t="str">
        <f aca="false">IF($C131="","",IF($M131="VAT 5%",0.05,IF($M131="VAT 8%",0.08,IF($M131="VAT 10%",0.1,0))))</f>
        <v/>
      </c>
      <c r="O131" s="13" t="str">
        <f aca="false">IF($C131="","",$L131*$N131)</f>
        <v/>
      </c>
      <c r="P131" s="13" t="str">
        <f aca="false">IF($C131="","",$L131+$O131)</f>
        <v/>
      </c>
      <c r="Q131" s="12"/>
      <c r="R131" s="13" t="str">
        <f aca="false">IF($C131="","",MAX(0,$P131-N($Q131)))</f>
        <v/>
      </c>
      <c r="S131" s="23" t="str">
        <f aca="false">IF(OR($C131="",$P131=0),"",IF(N($Q131)&lt;=0,"Chưa thanh toán",IF(N($Q131)&lt;$P131,"Thanh toán một phần","Đã thanh toán")))</f>
        <v/>
      </c>
      <c r="T131" s="13" t="str">
        <f aca="false">IF(OR($C131="",$J131=""),"",N($I131)*$J131)</f>
        <v/>
      </c>
      <c r="U131" s="13" t="str">
        <f aca="false">IF(OR($C131="",$T131=""),"",$L131-$T131)</f>
        <v/>
      </c>
      <c r="V131" s="14" t="str">
        <f aca="false">IF(OR($U131="",$L131=0),"",$U131/$L131)</f>
        <v/>
      </c>
      <c r="W131" s="11"/>
      <c r="X131" s="23" t="str">
        <f aca="false">IF($C131="","",IF(AND($H131="",N($I131)=0,N($K131)=0),"Dòng chỉ lưu thông tin khách (chưa có đơn); ",IF($B131="","Thiếu ngày đặt; ","")&amp;IF($H131="","Thiếu tên sản phẩm; ",IF($J131="","Chưa khai GIÁ GỐC ở BẢNG GIÁ GỐC; ",""))&amp;IF(N($I131)&lt;=0,"Thiếu số lượng; ","")&amp;IF(N($K131)&lt;=0,"Thiếu giá bán; ","")&amp;IF(AND($N131&gt;0,$F131=""),"Khách lấy VAT thiếu mã số thuế; ","")&amp;IF(N($Q131)&gt;$P131,"Đã thu vượt tổng phải thu; ","")&amp;IF(AND($L131&gt;0,$U131&lt;&gt;"",$U131&lt;0),"CẢNH BÁO: ĐƠN NÀY ĐANG LỖ; ","")))</f>
        <v/>
      </c>
    </row>
    <row r="132" customFormat="false" ht="15" hidden="false" customHeight="false" outlineLevel="0" collapsed="false">
      <c r="A132" s="21" t="str">
        <f aca="false">IF($C132="","",COUNTA($C$10:$C132))</f>
        <v/>
      </c>
      <c r="B132" s="18"/>
      <c r="C132" s="11"/>
      <c r="D132" s="11"/>
      <c r="E132" s="11"/>
      <c r="F132" s="11"/>
      <c r="G132" s="11"/>
      <c r="H132" s="11"/>
      <c r="I132" s="12"/>
      <c r="J132" s="13" t="str">
        <f aca="false">IF($H132="","",IFERROR(VLOOKUP($H132,'BẢNG GIÁ GỐC'!$A$5:$D$254,3,FALSE()),""))</f>
        <v/>
      </c>
      <c r="K132" s="12"/>
      <c r="L132" s="13" t="str">
        <f aca="false">IF($C132="","",N($I132)*N($K132))</f>
        <v/>
      </c>
      <c r="M132" s="11"/>
      <c r="N132" s="14" t="str">
        <f aca="false">IF($C132="","",IF($M132="VAT 5%",0.05,IF($M132="VAT 8%",0.08,IF($M132="VAT 10%",0.1,0))))</f>
        <v/>
      </c>
      <c r="O132" s="13" t="str">
        <f aca="false">IF($C132="","",$L132*$N132)</f>
        <v/>
      </c>
      <c r="P132" s="13" t="str">
        <f aca="false">IF($C132="","",$L132+$O132)</f>
        <v/>
      </c>
      <c r="Q132" s="12"/>
      <c r="R132" s="13" t="str">
        <f aca="false">IF($C132="","",MAX(0,$P132-N($Q132)))</f>
        <v/>
      </c>
      <c r="S132" s="23" t="str">
        <f aca="false">IF(OR($C132="",$P132=0),"",IF(N($Q132)&lt;=0,"Chưa thanh toán",IF(N($Q132)&lt;$P132,"Thanh toán một phần","Đã thanh toán")))</f>
        <v/>
      </c>
      <c r="T132" s="13" t="str">
        <f aca="false">IF(OR($C132="",$J132=""),"",N($I132)*$J132)</f>
        <v/>
      </c>
      <c r="U132" s="13" t="str">
        <f aca="false">IF(OR($C132="",$T132=""),"",$L132-$T132)</f>
        <v/>
      </c>
      <c r="V132" s="14" t="str">
        <f aca="false">IF(OR($U132="",$L132=0),"",$U132/$L132)</f>
        <v/>
      </c>
      <c r="W132" s="11"/>
      <c r="X132" s="23" t="str">
        <f aca="false">IF($C132="","",IF(AND($H132="",N($I132)=0,N($K132)=0),"Dòng chỉ lưu thông tin khách (chưa có đơn); ",IF($B132="","Thiếu ngày đặt; ","")&amp;IF($H132="","Thiếu tên sản phẩm; ",IF($J132="","Chưa khai GIÁ GỐC ở BẢNG GIÁ GỐC; ",""))&amp;IF(N($I132)&lt;=0,"Thiếu số lượng; ","")&amp;IF(N($K132)&lt;=0,"Thiếu giá bán; ","")&amp;IF(AND($N132&gt;0,$F132=""),"Khách lấy VAT thiếu mã số thuế; ","")&amp;IF(N($Q132)&gt;$P132,"Đã thu vượt tổng phải thu; ","")&amp;IF(AND($L132&gt;0,$U132&lt;&gt;"",$U132&lt;0),"CẢNH BÁO: ĐƠN NÀY ĐANG LỖ; ","")))</f>
        <v/>
      </c>
    </row>
    <row r="133" customFormat="false" ht="15" hidden="false" customHeight="false" outlineLevel="0" collapsed="false">
      <c r="A133" s="21" t="str">
        <f aca="false">IF($C133="","",COUNTA($C$10:$C133))</f>
        <v/>
      </c>
      <c r="B133" s="18"/>
      <c r="C133" s="11"/>
      <c r="D133" s="11"/>
      <c r="E133" s="11"/>
      <c r="F133" s="11"/>
      <c r="G133" s="11"/>
      <c r="H133" s="11"/>
      <c r="I133" s="12"/>
      <c r="J133" s="13" t="str">
        <f aca="false">IF($H133="","",IFERROR(VLOOKUP($H133,'BẢNG GIÁ GỐC'!$A$5:$D$254,3,FALSE()),""))</f>
        <v/>
      </c>
      <c r="K133" s="12"/>
      <c r="L133" s="13" t="str">
        <f aca="false">IF($C133="","",N($I133)*N($K133))</f>
        <v/>
      </c>
      <c r="M133" s="11"/>
      <c r="N133" s="14" t="str">
        <f aca="false">IF($C133="","",IF($M133="VAT 5%",0.05,IF($M133="VAT 8%",0.08,IF($M133="VAT 10%",0.1,0))))</f>
        <v/>
      </c>
      <c r="O133" s="13" t="str">
        <f aca="false">IF($C133="","",$L133*$N133)</f>
        <v/>
      </c>
      <c r="P133" s="13" t="str">
        <f aca="false">IF($C133="","",$L133+$O133)</f>
        <v/>
      </c>
      <c r="Q133" s="12"/>
      <c r="R133" s="13" t="str">
        <f aca="false">IF($C133="","",MAX(0,$P133-N($Q133)))</f>
        <v/>
      </c>
      <c r="S133" s="23" t="str">
        <f aca="false">IF(OR($C133="",$P133=0),"",IF(N($Q133)&lt;=0,"Chưa thanh toán",IF(N($Q133)&lt;$P133,"Thanh toán một phần","Đã thanh toán")))</f>
        <v/>
      </c>
      <c r="T133" s="13" t="str">
        <f aca="false">IF(OR($C133="",$J133=""),"",N($I133)*$J133)</f>
        <v/>
      </c>
      <c r="U133" s="13" t="str">
        <f aca="false">IF(OR($C133="",$T133=""),"",$L133-$T133)</f>
        <v/>
      </c>
      <c r="V133" s="14" t="str">
        <f aca="false">IF(OR($U133="",$L133=0),"",$U133/$L133)</f>
        <v/>
      </c>
      <c r="W133" s="11"/>
      <c r="X133" s="23" t="str">
        <f aca="false">IF($C133="","",IF(AND($H133="",N($I133)=0,N($K133)=0),"Dòng chỉ lưu thông tin khách (chưa có đơn); ",IF($B133="","Thiếu ngày đặt; ","")&amp;IF($H133="","Thiếu tên sản phẩm; ",IF($J133="","Chưa khai GIÁ GỐC ở BẢNG GIÁ GỐC; ",""))&amp;IF(N($I133)&lt;=0,"Thiếu số lượng; ","")&amp;IF(N($K133)&lt;=0,"Thiếu giá bán; ","")&amp;IF(AND($N133&gt;0,$F133=""),"Khách lấy VAT thiếu mã số thuế; ","")&amp;IF(N($Q133)&gt;$P133,"Đã thu vượt tổng phải thu; ","")&amp;IF(AND($L133&gt;0,$U133&lt;&gt;"",$U133&lt;0),"CẢNH BÁO: ĐƠN NÀY ĐANG LỖ; ","")))</f>
        <v/>
      </c>
    </row>
    <row r="134" customFormat="false" ht="15" hidden="false" customHeight="false" outlineLevel="0" collapsed="false">
      <c r="A134" s="21" t="str">
        <f aca="false">IF($C134="","",COUNTA($C$10:$C134))</f>
        <v/>
      </c>
      <c r="B134" s="18"/>
      <c r="C134" s="11"/>
      <c r="D134" s="11"/>
      <c r="E134" s="11"/>
      <c r="F134" s="11"/>
      <c r="G134" s="11"/>
      <c r="H134" s="11"/>
      <c r="I134" s="12"/>
      <c r="J134" s="13" t="str">
        <f aca="false">IF($H134="","",IFERROR(VLOOKUP($H134,'BẢNG GIÁ GỐC'!$A$5:$D$254,3,FALSE()),""))</f>
        <v/>
      </c>
      <c r="K134" s="12"/>
      <c r="L134" s="13" t="str">
        <f aca="false">IF($C134="","",N($I134)*N($K134))</f>
        <v/>
      </c>
      <c r="M134" s="11"/>
      <c r="N134" s="14" t="str">
        <f aca="false">IF($C134="","",IF($M134="VAT 5%",0.05,IF($M134="VAT 8%",0.08,IF($M134="VAT 10%",0.1,0))))</f>
        <v/>
      </c>
      <c r="O134" s="13" t="str">
        <f aca="false">IF($C134="","",$L134*$N134)</f>
        <v/>
      </c>
      <c r="P134" s="13" t="str">
        <f aca="false">IF($C134="","",$L134+$O134)</f>
        <v/>
      </c>
      <c r="Q134" s="12"/>
      <c r="R134" s="13" t="str">
        <f aca="false">IF($C134="","",MAX(0,$P134-N($Q134)))</f>
        <v/>
      </c>
      <c r="S134" s="23" t="str">
        <f aca="false">IF(OR($C134="",$P134=0),"",IF(N($Q134)&lt;=0,"Chưa thanh toán",IF(N($Q134)&lt;$P134,"Thanh toán một phần","Đã thanh toán")))</f>
        <v/>
      </c>
      <c r="T134" s="13" t="str">
        <f aca="false">IF(OR($C134="",$J134=""),"",N($I134)*$J134)</f>
        <v/>
      </c>
      <c r="U134" s="13" t="str">
        <f aca="false">IF(OR($C134="",$T134=""),"",$L134-$T134)</f>
        <v/>
      </c>
      <c r="V134" s="14" t="str">
        <f aca="false">IF(OR($U134="",$L134=0),"",$U134/$L134)</f>
        <v/>
      </c>
      <c r="W134" s="11"/>
      <c r="X134" s="23" t="str">
        <f aca="false">IF($C134="","",IF(AND($H134="",N($I134)=0,N($K134)=0),"Dòng chỉ lưu thông tin khách (chưa có đơn); ",IF($B134="","Thiếu ngày đặt; ","")&amp;IF($H134="","Thiếu tên sản phẩm; ",IF($J134="","Chưa khai GIÁ GỐC ở BẢNG GIÁ GỐC; ",""))&amp;IF(N($I134)&lt;=0,"Thiếu số lượng; ","")&amp;IF(N($K134)&lt;=0,"Thiếu giá bán; ","")&amp;IF(AND($N134&gt;0,$F134=""),"Khách lấy VAT thiếu mã số thuế; ","")&amp;IF(N($Q134)&gt;$P134,"Đã thu vượt tổng phải thu; ","")&amp;IF(AND($L134&gt;0,$U134&lt;&gt;"",$U134&lt;0),"CẢNH BÁO: ĐƠN NÀY ĐANG LỖ; ","")))</f>
        <v/>
      </c>
    </row>
    <row r="135" customFormat="false" ht="15" hidden="false" customHeight="false" outlineLevel="0" collapsed="false">
      <c r="A135" s="21" t="str">
        <f aca="false">IF($C135="","",COUNTA($C$10:$C135))</f>
        <v/>
      </c>
      <c r="B135" s="18"/>
      <c r="C135" s="11"/>
      <c r="D135" s="11"/>
      <c r="E135" s="11"/>
      <c r="F135" s="11"/>
      <c r="G135" s="11"/>
      <c r="H135" s="11"/>
      <c r="I135" s="12"/>
      <c r="J135" s="13" t="str">
        <f aca="false">IF($H135="","",IFERROR(VLOOKUP($H135,'BẢNG GIÁ GỐC'!$A$5:$D$254,3,FALSE()),""))</f>
        <v/>
      </c>
      <c r="K135" s="12"/>
      <c r="L135" s="13" t="str">
        <f aca="false">IF($C135="","",N($I135)*N($K135))</f>
        <v/>
      </c>
      <c r="M135" s="11"/>
      <c r="N135" s="14" t="str">
        <f aca="false">IF($C135="","",IF($M135="VAT 5%",0.05,IF($M135="VAT 8%",0.08,IF($M135="VAT 10%",0.1,0))))</f>
        <v/>
      </c>
      <c r="O135" s="13" t="str">
        <f aca="false">IF($C135="","",$L135*$N135)</f>
        <v/>
      </c>
      <c r="P135" s="13" t="str">
        <f aca="false">IF($C135="","",$L135+$O135)</f>
        <v/>
      </c>
      <c r="Q135" s="12"/>
      <c r="R135" s="13" t="str">
        <f aca="false">IF($C135="","",MAX(0,$P135-N($Q135)))</f>
        <v/>
      </c>
      <c r="S135" s="23" t="str">
        <f aca="false">IF(OR($C135="",$P135=0),"",IF(N($Q135)&lt;=0,"Chưa thanh toán",IF(N($Q135)&lt;$P135,"Thanh toán một phần","Đã thanh toán")))</f>
        <v/>
      </c>
      <c r="T135" s="13" t="str">
        <f aca="false">IF(OR($C135="",$J135=""),"",N($I135)*$J135)</f>
        <v/>
      </c>
      <c r="U135" s="13" t="str">
        <f aca="false">IF(OR($C135="",$T135=""),"",$L135-$T135)</f>
        <v/>
      </c>
      <c r="V135" s="14" t="str">
        <f aca="false">IF(OR($U135="",$L135=0),"",$U135/$L135)</f>
        <v/>
      </c>
      <c r="W135" s="11"/>
      <c r="X135" s="23" t="str">
        <f aca="false">IF($C135="","",IF(AND($H135="",N($I135)=0,N($K135)=0),"Dòng chỉ lưu thông tin khách (chưa có đơn); ",IF($B135="","Thiếu ngày đặt; ","")&amp;IF($H135="","Thiếu tên sản phẩm; ",IF($J135="","Chưa khai GIÁ GỐC ở BẢNG GIÁ GỐC; ",""))&amp;IF(N($I135)&lt;=0,"Thiếu số lượng; ","")&amp;IF(N($K135)&lt;=0,"Thiếu giá bán; ","")&amp;IF(AND($N135&gt;0,$F135=""),"Khách lấy VAT thiếu mã số thuế; ","")&amp;IF(N($Q135)&gt;$P135,"Đã thu vượt tổng phải thu; ","")&amp;IF(AND($L135&gt;0,$U135&lt;&gt;"",$U135&lt;0),"CẢNH BÁO: ĐƠN NÀY ĐANG LỖ; ","")))</f>
        <v/>
      </c>
    </row>
    <row r="136" customFormat="false" ht="15" hidden="false" customHeight="false" outlineLevel="0" collapsed="false">
      <c r="A136" s="21" t="str">
        <f aca="false">IF($C136="","",COUNTA($C$10:$C136))</f>
        <v/>
      </c>
      <c r="B136" s="18"/>
      <c r="C136" s="11"/>
      <c r="D136" s="11"/>
      <c r="E136" s="11"/>
      <c r="F136" s="11"/>
      <c r="G136" s="11"/>
      <c r="H136" s="11"/>
      <c r="I136" s="12"/>
      <c r="J136" s="13" t="str">
        <f aca="false">IF($H136="","",IFERROR(VLOOKUP($H136,'BẢNG GIÁ GỐC'!$A$5:$D$254,3,FALSE()),""))</f>
        <v/>
      </c>
      <c r="K136" s="12"/>
      <c r="L136" s="13" t="str">
        <f aca="false">IF($C136="","",N($I136)*N($K136))</f>
        <v/>
      </c>
      <c r="M136" s="11"/>
      <c r="N136" s="14" t="str">
        <f aca="false">IF($C136="","",IF($M136="VAT 5%",0.05,IF($M136="VAT 8%",0.08,IF($M136="VAT 10%",0.1,0))))</f>
        <v/>
      </c>
      <c r="O136" s="13" t="str">
        <f aca="false">IF($C136="","",$L136*$N136)</f>
        <v/>
      </c>
      <c r="P136" s="13" t="str">
        <f aca="false">IF($C136="","",$L136+$O136)</f>
        <v/>
      </c>
      <c r="Q136" s="12"/>
      <c r="R136" s="13" t="str">
        <f aca="false">IF($C136="","",MAX(0,$P136-N($Q136)))</f>
        <v/>
      </c>
      <c r="S136" s="23" t="str">
        <f aca="false">IF(OR($C136="",$P136=0),"",IF(N($Q136)&lt;=0,"Chưa thanh toán",IF(N($Q136)&lt;$P136,"Thanh toán một phần","Đã thanh toán")))</f>
        <v/>
      </c>
      <c r="T136" s="13" t="str">
        <f aca="false">IF(OR($C136="",$J136=""),"",N($I136)*$J136)</f>
        <v/>
      </c>
      <c r="U136" s="13" t="str">
        <f aca="false">IF(OR($C136="",$T136=""),"",$L136-$T136)</f>
        <v/>
      </c>
      <c r="V136" s="14" t="str">
        <f aca="false">IF(OR($U136="",$L136=0),"",$U136/$L136)</f>
        <v/>
      </c>
      <c r="W136" s="11"/>
      <c r="X136" s="23" t="str">
        <f aca="false">IF($C136="","",IF(AND($H136="",N($I136)=0,N($K136)=0),"Dòng chỉ lưu thông tin khách (chưa có đơn); ",IF($B136="","Thiếu ngày đặt; ","")&amp;IF($H136="","Thiếu tên sản phẩm; ",IF($J136="","Chưa khai GIÁ GỐC ở BẢNG GIÁ GỐC; ",""))&amp;IF(N($I136)&lt;=0,"Thiếu số lượng; ","")&amp;IF(N($K136)&lt;=0,"Thiếu giá bán; ","")&amp;IF(AND($N136&gt;0,$F136=""),"Khách lấy VAT thiếu mã số thuế; ","")&amp;IF(N($Q136)&gt;$P136,"Đã thu vượt tổng phải thu; ","")&amp;IF(AND($L136&gt;0,$U136&lt;&gt;"",$U136&lt;0),"CẢNH BÁO: ĐƠN NÀY ĐANG LỖ; ","")))</f>
        <v/>
      </c>
    </row>
    <row r="137" customFormat="false" ht="15" hidden="false" customHeight="false" outlineLevel="0" collapsed="false">
      <c r="A137" s="21" t="str">
        <f aca="false">IF($C137="","",COUNTA($C$10:$C137))</f>
        <v/>
      </c>
      <c r="B137" s="18"/>
      <c r="C137" s="11"/>
      <c r="D137" s="11"/>
      <c r="E137" s="11"/>
      <c r="F137" s="11"/>
      <c r="G137" s="11"/>
      <c r="H137" s="11"/>
      <c r="I137" s="12"/>
      <c r="J137" s="13" t="str">
        <f aca="false">IF($H137="","",IFERROR(VLOOKUP($H137,'BẢNG GIÁ GỐC'!$A$5:$D$254,3,FALSE()),""))</f>
        <v/>
      </c>
      <c r="K137" s="12"/>
      <c r="L137" s="13" t="str">
        <f aca="false">IF($C137="","",N($I137)*N($K137))</f>
        <v/>
      </c>
      <c r="M137" s="11"/>
      <c r="N137" s="14" t="str">
        <f aca="false">IF($C137="","",IF($M137="VAT 5%",0.05,IF($M137="VAT 8%",0.08,IF($M137="VAT 10%",0.1,0))))</f>
        <v/>
      </c>
      <c r="O137" s="13" t="str">
        <f aca="false">IF($C137="","",$L137*$N137)</f>
        <v/>
      </c>
      <c r="P137" s="13" t="str">
        <f aca="false">IF($C137="","",$L137+$O137)</f>
        <v/>
      </c>
      <c r="Q137" s="12"/>
      <c r="R137" s="13" t="str">
        <f aca="false">IF($C137="","",MAX(0,$P137-N($Q137)))</f>
        <v/>
      </c>
      <c r="S137" s="23" t="str">
        <f aca="false">IF(OR($C137="",$P137=0),"",IF(N($Q137)&lt;=0,"Chưa thanh toán",IF(N($Q137)&lt;$P137,"Thanh toán một phần","Đã thanh toán")))</f>
        <v/>
      </c>
      <c r="T137" s="13" t="str">
        <f aca="false">IF(OR($C137="",$J137=""),"",N($I137)*$J137)</f>
        <v/>
      </c>
      <c r="U137" s="13" t="str">
        <f aca="false">IF(OR($C137="",$T137=""),"",$L137-$T137)</f>
        <v/>
      </c>
      <c r="V137" s="14" t="str">
        <f aca="false">IF(OR($U137="",$L137=0),"",$U137/$L137)</f>
        <v/>
      </c>
      <c r="W137" s="11"/>
      <c r="X137" s="23" t="str">
        <f aca="false">IF($C137="","",IF(AND($H137="",N($I137)=0,N($K137)=0),"Dòng chỉ lưu thông tin khách (chưa có đơn); ",IF($B137="","Thiếu ngày đặt; ","")&amp;IF($H137="","Thiếu tên sản phẩm; ",IF($J137="","Chưa khai GIÁ GỐC ở BẢNG GIÁ GỐC; ",""))&amp;IF(N($I137)&lt;=0,"Thiếu số lượng; ","")&amp;IF(N($K137)&lt;=0,"Thiếu giá bán; ","")&amp;IF(AND($N137&gt;0,$F137=""),"Khách lấy VAT thiếu mã số thuế; ","")&amp;IF(N($Q137)&gt;$P137,"Đã thu vượt tổng phải thu; ","")&amp;IF(AND($L137&gt;0,$U137&lt;&gt;"",$U137&lt;0),"CẢNH BÁO: ĐƠN NÀY ĐANG LỖ; ","")))</f>
        <v/>
      </c>
    </row>
    <row r="138" customFormat="false" ht="15" hidden="false" customHeight="false" outlineLevel="0" collapsed="false">
      <c r="A138" s="21" t="str">
        <f aca="false">IF($C138="","",COUNTA($C$10:$C138))</f>
        <v/>
      </c>
      <c r="B138" s="18"/>
      <c r="C138" s="11"/>
      <c r="D138" s="11"/>
      <c r="E138" s="11"/>
      <c r="F138" s="11"/>
      <c r="G138" s="11"/>
      <c r="H138" s="11"/>
      <c r="I138" s="12"/>
      <c r="J138" s="13" t="str">
        <f aca="false">IF($H138="","",IFERROR(VLOOKUP($H138,'BẢNG GIÁ GỐC'!$A$5:$D$254,3,FALSE()),""))</f>
        <v/>
      </c>
      <c r="K138" s="12"/>
      <c r="L138" s="13" t="str">
        <f aca="false">IF($C138="","",N($I138)*N($K138))</f>
        <v/>
      </c>
      <c r="M138" s="11"/>
      <c r="N138" s="14" t="str">
        <f aca="false">IF($C138="","",IF($M138="VAT 5%",0.05,IF($M138="VAT 8%",0.08,IF($M138="VAT 10%",0.1,0))))</f>
        <v/>
      </c>
      <c r="O138" s="13" t="str">
        <f aca="false">IF($C138="","",$L138*$N138)</f>
        <v/>
      </c>
      <c r="P138" s="13" t="str">
        <f aca="false">IF($C138="","",$L138+$O138)</f>
        <v/>
      </c>
      <c r="Q138" s="12"/>
      <c r="R138" s="13" t="str">
        <f aca="false">IF($C138="","",MAX(0,$P138-N($Q138)))</f>
        <v/>
      </c>
      <c r="S138" s="23" t="str">
        <f aca="false">IF(OR($C138="",$P138=0),"",IF(N($Q138)&lt;=0,"Chưa thanh toán",IF(N($Q138)&lt;$P138,"Thanh toán một phần","Đã thanh toán")))</f>
        <v/>
      </c>
      <c r="T138" s="13" t="str">
        <f aca="false">IF(OR($C138="",$J138=""),"",N($I138)*$J138)</f>
        <v/>
      </c>
      <c r="U138" s="13" t="str">
        <f aca="false">IF(OR($C138="",$T138=""),"",$L138-$T138)</f>
        <v/>
      </c>
      <c r="V138" s="14" t="str">
        <f aca="false">IF(OR($U138="",$L138=0),"",$U138/$L138)</f>
        <v/>
      </c>
      <c r="W138" s="11"/>
      <c r="X138" s="23" t="str">
        <f aca="false">IF($C138="","",IF(AND($H138="",N($I138)=0,N($K138)=0),"Dòng chỉ lưu thông tin khách (chưa có đơn); ",IF($B138="","Thiếu ngày đặt; ","")&amp;IF($H138="","Thiếu tên sản phẩm; ",IF($J138="","Chưa khai GIÁ GỐC ở BẢNG GIÁ GỐC; ",""))&amp;IF(N($I138)&lt;=0,"Thiếu số lượng; ","")&amp;IF(N($K138)&lt;=0,"Thiếu giá bán; ","")&amp;IF(AND($N138&gt;0,$F138=""),"Khách lấy VAT thiếu mã số thuế; ","")&amp;IF(N($Q138)&gt;$P138,"Đã thu vượt tổng phải thu; ","")&amp;IF(AND($L138&gt;0,$U138&lt;&gt;"",$U138&lt;0),"CẢNH BÁO: ĐƠN NÀY ĐANG LỖ; ","")))</f>
        <v/>
      </c>
    </row>
    <row r="139" customFormat="false" ht="15" hidden="false" customHeight="false" outlineLevel="0" collapsed="false">
      <c r="A139" s="21" t="str">
        <f aca="false">IF($C139="","",COUNTA($C$10:$C139))</f>
        <v/>
      </c>
      <c r="B139" s="18"/>
      <c r="C139" s="11"/>
      <c r="D139" s="11"/>
      <c r="E139" s="11"/>
      <c r="F139" s="11"/>
      <c r="G139" s="11"/>
      <c r="H139" s="11"/>
      <c r="I139" s="12"/>
      <c r="J139" s="13" t="str">
        <f aca="false">IF($H139="","",IFERROR(VLOOKUP($H139,'BẢNG GIÁ GỐC'!$A$5:$D$254,3,FALSE()),""))</f>
        <v/>
      </c>
      <c r="K139" s="12"/>
      <c r="L139" s="13" t="str">
        <f aca="false">IF($C139="","",N($I139)*N($K139))</f>
        <v/>
      </c>
      <c r="M139" s="11"/>
      <c r="N139" s="14" t="str">
        <f aca="false">IF($C139="","",IF($M139="VAT 5%",0.05,IF($M139="VAT 8%",0.08,IF($M139="VAT 10%",0.1,0))))</f>
        <v/>
      </c>
      <c r="O139" s="13" t="str">
        <f aca="false">IF($C139="","",$L139*$N139)</f>
        <v/>
      </c>
      <c r="P139" s="13" t="str">
        <f aca="false">IF($C139="","",$L139+$O139)</f>
        <v/>
      </c>
      <c r="Q139" s="12"/>
      <c r="R139" s="13" t="str">
        <f aca="false">IF($C139="","",MAX(0,$P139-N($Q139)))</f>
        <v/>
      </c>
      <c r="S139" s="23" t="str">
        <f aca="false">IF(OR($C139="",$P139=0),"",IF(N($Q139)&lt;=0,"Chưa thanh toán",IF(N($Q139)&lt;$P139,"Thanh toán một phần","Đã thanh toán")))</f>
        <v/>
      </c>
      <c r="T139" s="13" t="str">
        <f aca="false">IF(OR($C139="",$J139=""),"",N($I139)*$J139)</f>
        <v/>
      </c>
      <c r="U139" s="13" t="str">
        <f aca="false">IF(OR($C139="",$T139=""),"",$L139-$T139)</f>
        <v/>
      </c>
      <c r="V139" s="14" t="str">
        <f aca="false">IF(OR($U139="",$L139=0),"",$U139/$L139)</f>
        <v/>
      </c>
      <c r="W139" s="11"/>
      <c r="X139" s="23" t="str">
        <f aca="false">IF($C139="","",IF(AND($H139="",N($I139)=0,N($K139)=0),"Dòng chỉ lưu thông tin khách (chưa có đơn); ",IF($B139="","Thiếu ngày đặt; ","")&amp;IF($H139="","Thiếu tên sản phẩm; ",IF($J139="","Chưa khai GIÁ GỐC ở BẢNG GIÁ GỐC; ",""))&amp;IF(N($I139)&lt;=0,"Thiếu số lượng; ","")&amp;IF(N($K139)&lt;=0,"Thiếu giá bán; ","")&amp;IF(AND($N139&gt;0,$F139=""),"Khách lấy VAT thiếu mã số thuế; ","")&amp;IF(N($Q139)&gt;$P139,"Đã thu vượt tổng phải thu; ","")&amp;IF(AND($L139&gt;0,$U139&lt;&gt;"",$U139&lt;0),"CẢNH BÁO: ĐƠN NÀY ĐANG LỖ; ","")))</f>
        <v/>
      </c>
    </row>
    <row r="140" customFormat="false" ht="15" hidden="false" customHeight="false" outlineLevel="0" collapsed="false">
      <c r="A140" s="21" t="str">
        <f aca="false">IF($C140="","",COUNTA($C$10:$C140))</f>
        <v/>
      </c>
      <c r="B140" s="18"/>
      <c r="C140" s="11"/>
      <c r="D140" s="11"/>
      <c r="E140" s="11"/>
      <c r="F140" s="11"/>
      <c r="G140" s="11"/>
      <c r="H140" s="11"/>
      <c r="I140" s="12"/>
      <c r="J140" s="13" t="str">
        <f aca="false">IF($H140="","",IFERROR(VLOOKUP($H140,'BẢNG GIÁ GỐC'!$A$5:$D$254,3,FALSE()),""))</f>
        <v/>
      </c>
      <c r="K140" s="12"/>
      <c r="L140" s="13" t="str">
        <f aca="false">IF($C140="","",N($I140)*N($K140))</f>
        <v/>
      </c>
      <c r="M140" s="11"/>
      <c r="N140" s="14" t="str">
        <f aca="false">IF($C140="","",IF($M140="VAT 5%",0.05,IF($M140="VAT 8%",0.08,IF($M140="VAT 10%",0.1,0))))</f>
        <v/>
      </c>
      <c r="O140" s="13" t="str">
        <f aca="false">IF($C140="","",$L140*$N140)</f>
        <v/>
      </c>
      <c r="P140" s="13" t="str">
        <f aca="false">IF($C140="","",$L140+$O140)</f>
        <v/>
      </c>
      <c r="Q140" s="12"/>
      <c r="R140" s="13" t="str">
        <f aca="false">IF($C140="","",MAX(0,$P140-N($Q140)))</f>
        <v/>
      </c>
      <c r="S140" s="23" t="str">
        <f aca="false">IF(OR($C140="",$P140=0),"",IF(N($Q140)&lt;=0,"Chưa thanh toán",IF(N($Q140)&lt;$P140,"Thanh toán một phần","Đã thanh toán")))</f>
        <v/>
      </c>
      <c r="T140" s="13" t="str">
        <f aca="false">IF(OR($C140="",$J140=""),"",N($I140)*$J140)</f>
        <v/>
      </c>
      <c r="U140" s="13" t="str">
        <f aca="false">IF(OR($C140="",$T140=""),"",$L140-$T140)</f>
        <v/>
      </c>
      <c r="V140" s="14" t="str">
        <f aca="false">IF(OR($U140="",$L140=0),"",$U140/$L140)</f>
        <v/>
      </c>
      <c r="W140" s="11"/>
      <c r="X140" s="23" t="str">
        <f aca="false">IF($C140="","",IF(AND($H140="",N($I140)=0,N($K140)=0),"Dòng chỉ lưu thông tin khách (chưa có đơn); ",IF($B140="","Thiếu ngày đặt; ","")&amp;IF($H140="","Thiếu tên sản phẩm; ",IF($J140="","Chưa khai GIÁ GỐC ở BẢNG GIÁ GỐC; ",""))&amp;IF(N($I140)&lt;=0,"Thiếu số lượng; ","")&amp;IF(N($K140)&lt;=0,"Thiếu giá bán; ","")&amp;IF(AND($N140&gt;0,$F140=""),"Khách lấy VAT thiếu mã số thuế; ","")&amp;IF(N($Q140)&gt;$P140,"Đã thu vượt tổng phải thu; ","")&amp;IF(AND($L140&gt;0,$U140&lt;&gt;"",$U140&lt;0),"CẢNH BÁO: ĐƠN NÀY ĐANG LỖ; ","")))</f>
        <v/>
      </c>
    </row>
    <row r="141" customFormat="false" ht="15" hidden="false" customHeight="false" outlineLevel="0" collapsed="false">
      <c r="A141" s="21" t="str">
        <f aca="false">IF($C141="","",COUNTA($C$10:$C141))</f>
        <v/>
      </c>
      <c r="B141" s="18"/>
      <c r="C141" s="11"/>
      <c r="D141" s="11"/>
      <c r="E141" s="11"/>
      <c r="F141" s="11"/>
      <c r="G141" s="11"/>
      <c r="H141" s="11"/>
      <c r="I141" s="12"/>
      <c r="J141" s="13" t="str">
        <f aca="false">IF($H141="","",IFERROR(VLOOKUP($H141,'BẢNG GIÁ GỐC'!$A$5:$D$254,3,FALSE()),""))</f>
        <v/>
      </c>
      <c r="K141" s="12"/>
      <c r="L141" s="13" t="str">
        <f aca="false">IF($C141="","",N($I141)*N($K141))</f>
        <v/>
      </c>
      <c r="M141" s="11"/>
      <c r="N141" s="14" t="str">
        <f aca="false">IF($C141="","",IF($M141="VAT 5%",0.05,IF($M141="VAT 8%",0.08,IF($M141="VAT 10%",0.1,0))))</f>
        <v/>
      </c>
      <c r="O141" s="13" t="str">
        <f aca="false">IF($C141="","",$L141*$N141)</f>
        <v/>
      </c>
      <c r="P141" s="13" t="str">
        <f aca="false">IF($C141="","",$L141+$O141)</f>
        <v/>
      </c>
      <c r="Q141" s="12"/>
      <c r="R141" s="13" t="str">
        <f aca="false">IF($C141="","",MAX(0,$P141-N($Q141)))</f>
        <v/>
      </c>
      <c r="S141" s="23" t="str">
        <f aca="false">IF(OR($C141="",$P141=0),"",IF(N($Q141)&lt;=0,"Chưa thanh toán",IF(N($Q141)&lt;$P141,"Thanh toán một phần","Đã thanh toán")))</f>
        <v/>
      </c>
      <c r="T141" s="13" t="str">
        <f aca="false">IF(OR($C141="",$J141=""),"",N($I141)*$J141)</f>
        <v/>
      </c>
      <c r="U141" s="13" t="str">
        <f aca="false">IF(OR($C141="",$T141=""),"",$L141-$T141)</f>
        <v/>
      </c>
      <c r="V141" s="14" t="str">
        <f aca="false">IF(OR($U141="",$L141=0),"",$U141/$L141)</f>
        <v/>
      </c>
      <c r="W141" s="11"/>
      <c r="X141" s="23" t="str">
        <f aca="false">IF($C141="","",IF(AND($H141="",N($I141)=0,N($K141)=0),"Dòng chỉ lưu thông tin khách (chưa có đơn); ",IF($B141="","Thiếu ngày đặt; ","")&amp;IF($H141="","Thiếu tên sản phẩm; ",IF($J141="","Chưa khai GIÁ GỐC ở BẢNG GIÁ GỐC; ",""))&amp;IF(N($I141)&lt;=0,"Thiếu số lượng; ","")&amp;IF(N($K141)&lt;=0,"Thiếu giá bán; ","")&amp;IF(AND($N141&gt;0,$F141=""),"Khách lấy VAT thiếu mã số thuế; ","")&amp;IF(N($Q141)&gt;$P141,"Đã thu vượt tổng phải thu; ","")&amp;IF(AND($L141&gt;0,$U141&lt;&gt;"",$U141&lt;0),"CẢNH BÁO: ĐƠN NÀY ĐANG LỖ; ","")))</f>
        <v/>
      </c>
    </row>
    <row r="142" customFormat="false" ht="15" hidden="false" customHeight="false" outlineLevel="0" collapsed="false">
      <c r="A142" s="21" t="str">
        <f aca="false">IF($C142="","",COUNTA($C$10:$C142))</f>
        <v/>
      </c>
      <c r="B142" s="18"/>
      <c r="C142" s="11"/>
      <c r="D142" s="11"/>
      <c r="E142" s="11"/>
      <c r="F142" s="11"/>
      <c r="G142" s="11"/>
      <c r="H142" s="11"/>
      <c r="I142" s="12"/>
      <c r="J142" s="13" t="str">
        <f aca="false">IF($H142="","",IFERROR(VLOOKUP($H142,'BẢNG GIÁ GỐC'!$A$5:$D$254,3,FALSE()),""))</f>
        <v/>
      </c>
      <c r="K142" s="12"/>
      <c r="L142" s="13" t="str">
        <f aca="false">IF($C142="","",N($I142)*N($K142))</f>
        <v/>
      </c>
      <c r="M142" s="11"/>
      <c r="N142" s="14" t="str">
        <f aca="false">IF($C142="","",IF($M142="VAT 5%",0.05,IF($M142="VAT 8%",0.08,IF($M142="VAT 10%",0.1,0))))</f>
        <v/>
      </c>
      <c r="O142" s="13" t="str">
        <f aca="false">IF($C142="","",$L142*$N142)</f>
        <v/>
      </c>
      <c r="P142" s="13" t="str">
        <f aca="false">IF($C142="","",$L142+$O142)</f>
        <v/>
      </c>
      <c r="Q142" s="12"/>
      <c r="R142" s="13" t="str">
        <f aca="false">IF($C142="","",MAX(0,$P142-N($Q142)))</f>
        <v/>
      </c>
      <c r="S142" s="23" t="str">
        <f aca="false">IF(OR($C142="",$P142=0),"",IF(N($Q142)&lt;=0,"Chưa thanh toán",IF(N($Q142)&lt;$P142,"Thanh toán một phần","Đã thanh toán")))</f>
        <v/>
      </c>
      <c r="T142" s="13" t="str">
        <f aca="false">IF(OR($C142="",$J142=""),"",N($I142)*$J142)</f>
        <v/>
      </c>
      <c r="U142" s="13" t="str">
        <f aca="false">IF(OR($C142="",$T142=""),"",$L142-$T142)</f>
        <v/>
      </c>
      <c r="V142" s="14" t="str">
        <f aca="false">IF(OR($U142="",$L142=0),"",$U142/$L142)</f>
        <v/>
      </c>
      <c r="W142" s="11"/>
      <c r="X142" s="23" t="str">
        <f aca="false">IF($C142="","",IF(AND($H142="",N($I142)=0,N($K142)=0),"Dòng chỉ lưu thông tin khách (chưa có đơn); ",IF($B142="","Thiếu ngày đặt; ","")&amp;IF($H142="","Thiếu tên sản phẩm; ",IF($J142="","Chưa khai GIÁ GỐC ở BẢNG GIÁ GỐC; ",""))&amp;IF(N($I142)&lt;=0,"Thiếu số lượng; ","")&amp;IF(N($K142)&lt;=0,"Thiếu giá bán; ","")&amp;IF(AND($N142&gt;0,$F142=""),"Khách lấy VAT thiếu mã số thuế; ","")&amp;IF(N($Q142)&gt;$P142,"Đã thu vượt tổng phải thu; ","")&amp;IF(AND($L142&gt;0,$U142&lt;&gt;"",$U142&lt;0),"CẢNH BÁO: ĐƠN NÀY ĐANG LỖ; ","")))</f>
        <v/>
      </c>
    </row>
    <row r="143" customFormat="false" ht="15" hidden="false" customHeight="false" outlineLevel="0" collapsed="false">
      <c r="A143" s="21" t="str">
        <f aca="false">IF($C143="","",COUNTA($C$10:$C143))</f>
        <v/>
      </c>
      <c r="B143" s="18"/>
      <c r="C143" s="11"/>
      <c r="D143" s="11"/>
      <c r="E143" s="11"/>
      <c r="F143" s="11"/>
      <c r="G143" s="11"/>
      <c r="H143" s="11"/>
      <c r="I143" s="12"/>
      <c r="J143" s="13" t="str">
        <f aca="false">IF($H143="","",IFERROR(VLOOKUP($H143,'BẢNG GIÁ GỐC'!$A$5:$D$254,3,FALSE()),""))</f>
        <v/>
      </c>
      <c r="K143" s="12"/>
      <c r="L143" s="13" t="str">
        <f aca="false">IF($C143="","",N($I143)*N($K143))</f>
        <v/>
      </c>
      <c r="M143" s="11"/>
      <c r="N143" s="14" t="str">
        <f aca="false">IF($C143="","",IF($M143="VAT 5%",0.05,IF($M143="VAT 8%",0.08,IF($M143="VAT 10%",0.1,0))))</f>
        <v/>
      </c>
      <c r="O143" s="13" t="str">
        <f aca="false">IF($C143="","",$L143*$N143)</f>
        <v/>
      </c>
      <c r="P143" s="13" t="str">
        <f aca="false">IF($C143="","",$L143+$O143)</f>
        <v/>
      </c>
      <c r="Q143" s="12"/>
      <c r="R143" s="13" t="str">
        <f aca="false">IF($C143="","",MAX(0,$P143-N($Q143)))</f>
        <v/>
      </c>
      <c r="S143" s="23" t="str">
        <f aca="false">IF(OR($C143="",$P143=0),"",IF(N($Q143)&lt;=0,"Chưa thanh toán",IF(N($Q143)&lt;$P143,"Thanh toán một phần","Đã thanh toán")))</f>
        <v/>
      </c>
      <c r="T143" s="13" t="str">
        <f aca="false">IF(OR($C143="",$J143=""),"",N($I143)*$J143)</f>
        <v/>
      </c>
      <c r="U143" s="13" t="str">
        <f aca="false">IF(OR($C143="",$T143=""),"",$L143-$T143)</f>
        <v/>
      </c>
      <c r="V143" s="14" t="str">
        <f aca="false">IF(OR($U143="",$L143=0),"",$U143/$L143)</f>
        <v/>
      </c>
      <c r="W143" s="11"/>
      <c r="X143" s="23" t="str">
        <f aca="false">IF($C143="","",IF(AND($H143="",N($I143)=0,N($K143)=0),"Dòng chỉ lưu thông tin khách (chưa có đơn); ",IF($B143="","Thiếu ngày đặt; ","")&amp;IF($H143="","Thiếu tên sản phẩm; ",IF($J143="","Chưa khai GIÁ GỐC ở BẢNG GIÁ GỐC; ",""))&amp;IF(N($I143)&lt;=0,"Thiếu số lượng; ","")&amp;IF(N($K143)&lt;=0,"Thiếu giá bán; ","")&amp;IF(AND($N143&gt;0,$F143=""),"Khách lấy VAT thiếu mã số thuế; ","")&amp;IF(N($Q143)&gt;$P143,"Đã thu vượt tổng phải thu; ","")&amp;IF(AND($L143&gt;0,$U143&lt;&gt;"",$U143&lt;0),"CẢNH BÁO: ĐƠN NÀY ĐANG LỖ; ","")))</f>
        <v/>
      </c>
    </row>
    <row r="144" customFormat="false" ht="15" hidden="false" customHeight="false" outlineLevel="0" collapsed="false">
      <c r="A144" s="21" t="str">
        <f aca="false">IF($C144="","",COUNTA($C$10:$C144))</f>
        <v/>
      </c>
      <c r="B144" s="18"/>
      <c r="C144" s="11"/>
      <c r="D144" s="11"/>
      <c r="E144" s="11"/>
      <c r="F144" s="11"/>
      <c r="G144" s="11"/>
      <c r="H144" s="11"/>
      <c r="I144" s="12"/>
      <c r="J144" s="13" t="str">
        <f aca="false">IF($H144="","",IFERROR(VLOOKUP($H144,'BẢNG GIÁ GỐC'!$A$5:$D$254,3,FALSE()),""))</f>
        <v/>
      </c>
      <c r="K144" s="12"/>
      <c r="L144" s="13" t="str">
        <f aca="false">IF($C144="","",N($I144)*N($K144))</f>
        <v/>
      </c>
      <c r="M144" s="11"/>
      <c r="N144" s="14" t="str">
        <f aca="false">IF($C144="","",IF($M144="VAT 5%",0.05,IF($M144="VAT 8%",0.08,IF($M144="VAT 10%",0.1,0))))</f>
        <v/>
      </c>
      <c r="O144" s="13" t="str">
        <f aca="false">IF($C144="","",$L144*$N144)</f>
        <v/>
      </c>
      <c r="P144" s="13" t="str">
        <f aca="false">IF($C144="","",$L144+$O144)</f>
        <v/>
      </c>
      <c r="Q144" s="12"/>
      <c r="R144" s="13" t="str">
        <f aca="false">IF($C144="","",MAX(0,$P144-N($Q144)))</f>
        <v/>
      </c>
      <c r="S144" s="23" t="str">
        <f aca="false">IF(OR($C144="",$P144=0),"",IF(N($Q144)&lt;=0,"Chưa thanh toán",IF(N($Q144)&lt;$P144,"Thanh toán một phần","Đã thanh toán")))</f>
        <v/>
      </c>
      <c r="T144" s="13" t="str">
        <f aca="false">IF(OR($C144="",$J144=""),"",N($I144)*$J144)</f>
        <v/>
      </c>
      <c r="U144" s="13" t="str">
        <f aca="false">IF(OR($C144="",$T144=""),"",$L144-$T144)</f>
        <v/>
      </c>
      <c r="V144" s="14" t="str">
        <f aca="false">IF(OR($U144="",$L144=0),"",$U144/$L144)</f>
        <v/>
      </c>
      <c r="W144" s="11"/>
      <c r="X144" s="23" t="str">
        <f aca="false">IF($C144="","",IF(AND($H144="",N($I144)=0,N($K144)=0),"Dòng chỉ lưu thông tin khách (chưa có đơn); ",IF($B144="","Thiếu ngày đặt; ","")&amp;IF($H144="","Thiếu tên sản phẩm; ",IF($J144="","Chưa khai GIÁ GỐC ở BẢNG GIÁ GỐC; ",""))&amp;IF(N($I144)&lt;=0,"Thiếu số lượng; ","")&amp;IF(N($K144)&lt;=0,"Thiếu giá bán; ","")&amp;IF(AND($N144&gt;0,$F144=""),"Khách lấy VAT thiếu mã số thuế; ","")&amp;IF(N($Q144)&gt;$P144,"Đã thu vượt tổng phải thu; ","")&amp;IF(AND($L144&gt;0,$U144&lt;&gt;"",$U144&lt;0),"CẢNH BÁO: ĐƠN NÀY ĐANG LỖ; ","")))</f>
        <v/>
      </c>
    </row>
    <row r="145" customFormat="false" ht="15" hidden="false" customHeight="false" outlineLevel="0" collapsed="false">
      <c r="A145" s="21" t="str">
        <f aca="false">IF($C145="","",COUNTA($C$10:$C145))</f>
        <v/>
      </c>
      <c r="B145" s="18"/>
      <c r="C145" s="11"/>
      <c r="D145" s="11"/>
      <c r="E145" s="11"/>
      <c r="F145" s="11"/>
      <c r="G145" s="11"/>
      <c r="H145" s="11"/>
      <c r="I145" s="12"/>
      <c r="J145" s="13" t="str">
        <f aca="false">IF($H145="","",IFERROR(VLOOKUP($H145,'BẢNG GIÁ GỐC'!$A$5:$D$254,3,FALSE()),""))</f>
        <v/>
      </c>
      <c r="K145" s="12"/>
      <c r="L145" s="13" t="str">
        <f aca="false">IF($C145="","",N($I145)*N($K145))</f>
        <v/>
      </c>
      <c r="M145" s="11"/>
      <c r="N145" s="14" t="str">
        <f aca="false">IF($C145="","",IF($M145="VAT 5%",0.05,IF($M145="VAT 8%",0.08,IF($M145="VAT 10%",0.1,0))))</f>
        <v/>
      </c>
      <c r="O145" s="13" t="str">
        <f aca="false">IF($C145="","",$L145*$N145)</f>
        <v/>
      </c>
      <c r="P145" s="13" t="str">
        <f aca="false">IF($C145="","",$L145+$O145)</f>
        <v/>
      </c>
      <c r="Q145" s="12"/>
      <c r="R145" s="13" t="str">
        <f aca="false">IF($C145="","",MAX(0,$P145-N($Q145)))</f>
        <v/>
      </c>
      <c r="S145" s="23" t="str">
        <f aca="false">IF(OR($C145="",$P145=0),"",IF(N($Q145)&lt;=0,"Chưa thanh toán",IF(N($Q145)&lt;$P145,"Thanh toán một phần","Đã thanh toán")))</f>
        <v/>
      </c>
      <c r="T145" s="13" t="str">
        <f aca="false">IF(OR($C145="",$J145=""),"",N($I145)*$J145)</f>
        <v/>
      </c>
      <c r="U145" s="13" t="str">
        <f aca="false">IF(OR($C145="",$T145=""),"",$L145-$T145)</f>
        <v/>
      </c>
      <c r="V145" s="14" t="str">
        <f aca="false">IF(OR($U145="",$L145=0),"",$U145/$L145)</f>
        <v/>
      </c>
      <c r="W145" s="11"/>
      <c r="X145" s="23" t="str">
        <f aca="false">IF($C145="","",IF(AND($H145="",N($I145)=0,N($K145)=0),"Dòng chỉ lưu thông tin khách (chưa có đơn); ",IF($B145="","Thiếu ngày đặt; ","")&amp;IF($H145="","Thiếu tên sản phẩm; ",IF($J145="","Chưa khai GIÁ GỐC ở BẢNG GIÁ GỐC; ",""))&amp;IF(N($I145)&lt;=0,"Thiếu số lượng; ","")&amp;IF(N($K145)&lt;=0,"Thiếu giá bán; ","")&amp;IF(AND($N145&gt;0,$F145=""),"Khách lấy VAT thiếu mã số thuế; ","")&amp;IF(N($Q145)&gt;$P145,"Đã thu vượt tổng phải thu; ","")&amp;IF(AND($L145&gt;0,$U145&lt;&gt;"",$U145&lt;0),"CẢNH BÁO: ĐƠN NÀY ĐANG LỖ; ","")))</f>
        <v/>
      </c>
    </row>
    <row r="146" customFormat="false" ht="15" hidden="false" customHeight="false" outlineLevel="0" collapsed="false">
      <c r="A146" s="21" t="str">
        <f aca="false">IF($C146="","",COUNTA($C$10:$C146))</f>
        <v/>
      </c>
      <c r="B146" s="18"/>
      <c r="C146" s="11"/>
      <c r="D146" s="11"/>
      <c r="E146" s="11"/>
      <c r="F146" s="11"/>
      <c r="G146" s="11"/>
      <c r="H146" s="11"/>
      <c r="I146" s="12"/>
      <c r="J146" s="13" t="str">
        <f aca="false">IF($H146="","",IFERROR(VLOOKUP($H146,'BẢNG GIÁ GỐC'!$A$5:$D$254,3,FALSE()),""))</f>
        <v/>
      </c>
      <c r="K146" s="12"/>
      <c r="L146" s="13" t="str">
        <f aca="false">IF($C146="","",N($I146)*N($K146))</f>
        <v/>
      </c>
      <c r="M146" s="11"/>
      <c r="N146" s="14" t="str">
        <f aca="false">IF($C146="","",IF($M146="VAT 5%",0.05,IF($M146="VAT 8%",0.08,IF($M146="VAT 10%",0.1,0))))</f>
        <v/>
      </c>
      <c r="O146" s="13" t="str">
        <f aca="false">IF($C146="","",$L146*$N146)</f>
        <v/>
      </c>
      <c r="P146" s="13" t="str">
        <f aca="false">IF($C146="","",$L146+$O146)</f>
        <v/>
      </c>
      <c r="Q146" s="12"/>
      <c r="R146" s="13" t="str">
        <f aca="false">IF($C146="","",MAX(0,$P146-N($Q146)))</f>
        <v/>
      </c>
      <c r="S146" s="23" t="str">
        <f aca="false">IF(OR($C146="",$P146=0),"",IF(N($Q146)&lt;=0,"Chưa thanh toán",IF(N($Q146)&lt;$P146,"Thanh toán một phần","Đã thanh toán")))</f>
        <v/>
      </c>
      <c r="T146" s="13" t="str">
        <f aca="false">IF(OR($C146="",$J146=""),"",N($I146)*$J146)</f>
        <v/>
      </c>
      <c r="U146" s="13" t="str">
        <f aca="false">IF(OR($C146="",$T146=""),"",$L146-$T146)</f>
        <v/>
      </c>
      <c r="V146" s="14" t="str">
        <f aca="false">IF(OR($U146="",$L146=0),"",$U146/$L146)</f>
        <v/>
      </c>
      <c r="W146" s="11"/>
      <c r="X146" s="23" t="str">
        <f aca="false">IF($C146="","",IF(AND($H146="",N($I146)=0,N($K146)=0),"Dòng chỉ lưu thông tin khách (chưa có đơn); ",IF($B146="","Thiếu ngày đặt; ","")&amp;IF($H146="","Thiếu tên sản phẩm; ",IF($J146="","Chưa khai GIÁ GỐC ở BẢNG GIÁ GỐC; ",""))&amp;IF(N($I146)&lt;=0,"Thiếu số lượng; ","")&amp;IF(N($K146)&lt;=0,"Thiếu giá bán; ","")&amp;IF(AND($N146&gt;0,$F146=""),"Khách lấy VAT thiếu mã số thuế; ","")&amp;IF(N($Q146)&gt;$P146,"Đã thu vượt tổng phải thu; ","")&amp;IF(AND($L146&gt;0,$U146&lt;&gt;"",$U146&lt;0),"CẢNH BÁO: ĐƠN NÀY ĐANG LỖ; ","")))</f>
        <v/>
      </c>
    </row>
    <row r="147" customFormat="false" ht="15" hidden="false" customHeight="false" outlineLevel="0" collapsed="false">
      <c r="A147" s="21" t="str">
        <f aca="false">IF($C147="","",COUNTA($C$10:$C147))</f>
        <v/>
      </c>
      <c r="B147" s="18"/>
      <c r="C147" s="11"/>
      <c r="D147" s="11"/>
      <c r="E147" s="11"/>
      <c r="F147" s="11"/>
      <c r="G147" s="11"/>
      <c r="H147" s="11"/>
      <c r="I147" s="12"/>
      <c r="J147" s="13" t="str">
        <f aca="false">IF($H147="","",IFERROR(VLOOKUP($H147,'BẢNG GIÁ GỐC'!$A$5:$D$254,3,FALSE()),""))</f>
        <v/>
      </c>
      <c r="K147" s="12"/>
      <c r="L147" s="13" t="str">
        <f aca="false">IF($C147="","",N($I147)*N($K147))</f>
        <v/>
      </c>
      <c r="M147" s="11"/>
      <c r="N147" s="14" t="str">
        <f aca="false">IF($C147="","",IF($M147="VAT 5%",0.05,IF($M147="VAT 8%",0.08,IF($M147="VAT 10%",0.1,0))))</f>
        <v/>
      </c>
      <c r="O147" s="13" t="str">
        <f aca="false">IF($C147="","",$L147*$N147)</f>
        <v/>
      </c>
      <c r="P147" s="13" t="str">
        <f aca="false">IF($C147="","",$L147+$O147)</f>
        <v/>
      </c>
      <c r="Q147" s="12"/>
      <c r="R147" s="13" t="str">
        <f aca="false">IF($C147="","",MAX(0,$P147-N($Q147)))</f>
        <v/>
      </c>
      <c r="S147" s="23" t="str">
        <f aca="false">IF(OR($C147="",$P147=0),"",IF(N($Q147)&lt;=0,"Chưa thanh toán",IF(N($Q147)&lt;$P147,"Thanh toán một phần","Đã thanh toán")))</f>
        <v/>
      </c>
      <c r="T147" s="13" t="str">
        <f aca="false">IF(OR($C147="",$J147=""),"",N($I147)*$J147)</f>
        <v/>
      </c>
      <c r="U147" s="13" t="str">
        <f aca="false">IF(OR($C147="",$T147=""),"",$L147-$T147)</f>
        <v/>
      </c>
      <c r="V147" s="14" t="str">
        <f aca="false">IF(OR($U147="",$L147=0),"",$U147/$L147)</f>
        <v/>
      </c>
      <c r="W147" s="11"/>
      <c r="X147" s="23" t="str">
        <f aca="false">IF($C147="","",IF(AND($H147="",N($I147)=0,N($K147)=0),"Dòng chỉ lưu thông tin khách (chưa có đơn); ",IF($B147="","Thiếu ngày đặt; ","")&amp;IF($H147="","Thiếu tên sản phẩm; ",IF($J147="","Chưa khai GIÁ GỐC ở BẢNG GIÁ GỐC; ",""))&amp;IF(N($I147)&lt;=0,"Thiếu số lượng; ","")&amp;IF(N($K147)&lt;=0,"Thiếu giá bán; ","")&amp;IF(AND($N147&gt;0,$F147=""),"Khách lấy VAT thiếu mã số thuế; ","")&amp;IF(N($Q147)&gt;$P147,"Đã thu vượt tổng phải thu; ","")&amp;IF(AND($L147&gt;0,$U147&lt;&gt;"",$U147&lt;0),"CẢNH BÁO: ĐƠN NÀY ĐANG LỖ; ","")))</f>
        <v/>
      </c>
    </row>
    <row r="148" customFormat="false" ht="15" hidden="false" customHeight="false" outlineLevel="0" collapsed="false">
      <c r="A148" s="21" t="str">
        <f aca="false">IF($C148="","",COUNTA($C$10:$C148))</f>
        <v/>
      </c>
      <c r="B148" s="18"/>
      <c r="C148" s="11"/>
      <c r="D148" s="11"/>
      <c r="E148" s="11"/>
      <c r="F148" s="11"/>
      <c r="G148" s="11"/>
      <c r="H148" s="11"/>
      <c r="I148" s="12"/>
      <c r="J148" s="13" t="str">
        <f aca="false">IF($H148="","",IFERROR(VLOOKUP($H148,'BẢNG GIÁ GỐC'!$A$5:$D$254,3,FALSE()),""))</f>
        <v/>
      </c>
      <c r="K148" s="12"/>
      <c r="L148" s="13" t="str">
        <f aca="false">IF($C148="","",N($I148)*N($K148))</f>
        <v/>
      </c>
      <c r="M148" s="11"/>
      <c r="N148" s="14" t="str">
        <f aca="false">IF($C148="","",IF($M148="VAT 5%",0.05,IF($M148="VAT 8%",0.08,IF($M148="VAT 10%",0.1,0))))</f>
        <v/>
      </c>
      <c r="O148" s="13" t="str">
        <f aca="false">IF($C148="","",$L148*$N148)</f>
        <v/>
      </c>
      <c r="P148" s="13" t="str">
        <f aca="false">IF($C148="","",$L148+$O148)</f>
        <v/>
      </c>
      <c r="Q148" s="12"/>
      <c r="R148" s="13" t="str">
        <f aca="false">IF($C148="","",MAX(0,$P148-N($Q148)))</f>
        <v/>
      </c>
      <c r="S148" s="23" t="str">
        <f aca="false">IF(OR($C148="",$P148=0),"",IF(N($Q148)&lt;=0,"Chưa thanh toán",IF(N($Q148)&lt;$P148,"Thanh toán một phần","Đã thanh toán")))</f>
        <v/>
      </c>
      <c r="T148" s="13" t="str">
        <f aca="false">IF(OR($C148="",$J148=""),"",N($I148)*$J148)</f>
        <v/>
      </c>
      <c r="U148" s="13" t="str">
        <f aca="false">IF(OR($C148="",$T148=""),"",$L148-$T148)</f>
        <v/>
      </c>
      <c r="V148" s="14" t="str">
        <f aca="false">IF(OR($U148="",$L148=0),"",$U148/$L148)</f>
        <v/>
      </c>
      <c r="W148" s="11"/>
      <c r="X148" s="23" t="str">
        <f aca="false">IF($C148="","",IF(AND($H148="",N($I148)=0,N($K148)=0),"Dòng chỉ lưu thông tin khách (chưa có đơn); ",IF($B148="","Thiếu ngày đặt; ","")&amp;IF($H148="","Thiếu tên sản phẩm; ",IF($J148="","Chưa khai GIÁ GỐC ở BẢNG GIÁ GỐC; ",""))&amp;IF(N($I148)&lt;=0,"Thiếu số lượng; ","")&amp;IF(N($K148)&lt;=0,"Thiếu giá bán; ","")&amp;IF(AND($N148&gt;0,$F148=""),"Khách lấy VAT thiếu mã số thuế; ","")&amp;IF(N($Q148)&gt;$P148,"Đã thu vượt tổng phải thu; ","")&amp;IF(AND($L148&gt;0,$U148&lt;&gt;"",$U148&lt;0),"CẢNH BÁO: ĐƠN NÀY ĐANG LỖ; ","")))</f>
        <v/>
      </c>
    </row>
    <row r="149" customFormat="false" ht="15" hidden="false" customHeight="false" outlineLevel="0" collapsed="false">
      <c r="A149" s="21" t="str">
        <f aca="false">IF($C149="","",COUNTA($C$10:$C149))</f>
        <v/>
      </c>
      <c r="B149" s="18"/>
      <c r="C149" s="11"/>
      <c r="D149" s="11"/>
      <c r="E149" s="11"/>
      <c r="F149" s="11"/>
      <c r="G149" s="11"/>
      <c r="H149" s="11"/>
      <c r="I149" s="12"/>
      <c r="J149" s="13" t="str">
        <f aca="false">IF($H149="","",IFERROR(VLOOKUP($H149,'BẢNG GIÁ GỐC'!$A$5:$D$254,3,FALSE()),""))</f>
        <v/>
      </c>
      <c r="K149" s="12"/>
      <c r="L149" s="13" t="str">
        <f aca="false">IF($C149="","",N($I149)*N($K149))</f>
        <v/>
      </c>
      <c r="M149" s="11"/>
      <c r="N149" s="14" t="str">
        <f aca="false">IF($C149="","",IF($M149="VAT 5%",0.05,IF($M149="VAT 8%",0.08,IF($M149="VAT 10%",0.1,0))))</f>
        <v/>
      </c>
      <c r="O149" s="13" t="str">
        <f aca="false">IF($C149="","",$L149*$N149)</f>
        <v/>
      </c>
      <c r="P149" s="13" t="str">
        <f aca="false">IF($C149="","",$L149+$O149)</f>
        <v/>
      </c>
      <c r="Q149" s="12"/>
      <c r="R149" s="13" t="str">
        <f aca="false">IF($C149="","",MAX(0,$P149-N($Q149)))</f>
        <v/>
      </c>
      <c r="S149" s="23" t="str">
        <f aca="false">IF(OR($C149="",$P149=0),"",IF(N($Q149)&lt;=0,"Chưa thanh toán",IF(N($Q149)&lt;$P149,"Thanh toán một phần","Đã thanh toán")))</f>
        <v/>
      </c>
      <c r="T149" s="13" t="str">
        <f aca="false">IF(OR($C149="",$J149=""),"",N($I149)*$J149)</f>
        <v/>
      </c>
      <c r="U149" s="13" t="str">
        <f aca="false">IF(OR($C149="",$T149=""),"",$L149-$T149)</f>
        <v/>
      </c>
      <c r="V149" s="14" t="str">
        <f aca="false">IF(OR($U149="",$L149=0),"",$U149/$L149)</f>
        <v/>
      </c>
      <c r="W149" s="11"/>
      <c r="X149" s="23" t="str">
        <f aca="false">IF($C149="","",IF(AND($H149="",N($I149)=0,N($K149)=0),"Dòng chỉ lưu thông tin khách (chưa có đơn); ",IF($B149="","Thiếu ngày đặt; ","")&amp;IF($H149="","Thiếu tên sản phẩm; ",IF($J149="","Chưa khai GIÁ GỐC ở BẢNG GIÁ GỐC; ",""))&amp;IF(N($I149)&lt;=0,"Thiếu số lượng; ","")&amp;IF(N($K149)&lt;=0,"Thiếu giá bán; ","")&amp;IF(AND($N149&gt;0,$F149=""),"Khách lấy VAT thiếu mã số thuế; ","")&amp;IF(N($Q149)&gt;$P149,"Đã thu vượt tổng phải thu; ","")&amp;IF(AND($L149&gt;0,$U149&lt;&gt;"",$U149&lt;0),"CẢNH BÁO: ĐƠN NÀY ĐANG LỖ; ","")))</f>
        <v/>
      </c>
    </row>
    <row r="150" customFormat="false" ht="15" hidden="false" customHeight="false" outlineLevel="0" collapsed="false">
      <c r="A150" s="21" t="str">
        <f aca="false">IF($C150="","",COUNTA($C$10:$C150))</f>
        <v/>
      </c>
      <c r="B150" s="18"/>
      <c r="C150" s="11"/>
      <c r="D150" s="11"/>
      <c r="E150" s="11"/>
      <c r="F150" s="11"/>
      <c r="G150" s="11"/>
      <c r="H150" s="11"/>
      <c r="I150" s="12"/>
      <c r="J150" s="13" t="str">
        <f aca="false">IF($H150="","",IFERROR(VLOOKUP($H150,'BẢNG GIÁ GỐC'!$A$5:$D$254,3,FALSE()),""))</f>
        <v/>
      </c>
      <c r="K150" s="12"/>
      <c r="L150" s="13" t="str">
        <f aca="false">IF($C150="","",N($I150)*N($K150))</f>
        <v/>
      </c>
      <c r="M150" s="11"/>
      <c r="N150" s="14" t="str">
        <f aca="false">IF($C150="","",IF($M150="VAT 5%",0.05,IF($M150="VAT 8%",0.08,IF($M150="VAT 10%",0.1,0))))</f>
        <v/>
      </c>
      <c r="O150" s="13" t="str">
        <f aca="false">IF($C150="","",$L150*$N150)</f>
        <v/>
      </c>
      <c r="P150" s="13" t="str">
        <f aca="false">IF($C150="","",$L150+$O150)</f>
        <v/>
      </c>
      <c r="Q150" s="12"/>
      <c r="R150" s="13" t="str">
        <f aca="false">IF($C150="","",MAX(0,$P150-N($Q150)))</f>
        <v/>
      </c>
      <c r="S150" s="23" t="str">
        <f aca="false">IF(OR($C150="",$P150=0),"",IF(N($Q150)&lt;=0,"Chưa thanh toán",IF(N($Q150)&lt;$P150,"Thanh toán một phần","Đã thanh toán")))</f>
        <v/>
      </c>
      <c r="T150" s="13" t="str">
        <f aca="false">IF(OR($C150="",$J150=""),"",N($I150)*$J150)</f>
        <v/>
      </c>
      <c r="U150" s="13" t="str">
        <f aca="false">IF(OR($C150="",$T150=""),"",$L150-$T150)</f>
        <v/>
      </c>
      <c r="V150" s="14" t="str">
        <f aca="false">IF(OR($U150="",$L150=0),"",$U150/$L150)</f>
        <v/>
      </c>
      <c r="W150" s="11"/>
      <c r="X150" s="23" t="str">
        <f aca="false">IF($C150="","",IF(AND($H150="",N($I150)=0,N($K150)=0),"Dòng chỉ lưu thông tin khách (chưa có đơn); ",IF($B150="","Thiếu ngày đặt; ","")&amp;IF($H150="","Thiếu tên sản phẩm; ",IF($J150="","Chưa khai GIÁ GỐC ở BẢNG GIÁ GỐC; ",""))&amp;IF(N($I150)&lt;=0,"Thiếu số lượng; ","")&amp;IF(N($K150)&lt;=0,"Thiếu giá bán; ","")&amp;IF(AND($N150&gt;0,$F150=""),"Khách lấy VAT thiếu mã số thuế; ","")&amp;IF(N($Q150)&gt;$P150,"Đã thu vượt tổng phải thu; ","")&amp;IF(AND($L150&gt;0,$U150&lt;&gt;"",$U150&lt;0),"CẢNH BÁO: ĐƠN NÀY ĐANG LỖ; ","")))</f>
        <v/>
      </c>
    </row>
    <row r="151" customFormat="false" ht="15" hidden="false" customHeight="false" outlineLevel="0" collapsed="false">
      <c r="A151" s="21" t="str">
        <f aca="false">IF($C151="","",COUNTA($C$10:$C151))</f>
        <v/>
      </c>
      <c r="B151" s="18"/>
      <c r="C151" s="11"/>
      <c r="D151" s="11"/>
      <c r="E151" s="11"/>
      <c r="F151" s="11"/>
      <c r="G151" s="11"/>
      <c r="H151" s="11"/>
      <c r="I151" s="12"/>
      <c r="J151" s="13" t="str">
        <f aca="false">IF($H151="","",IFERROR(VLOOKUP($H151,'BẢNG GIÁ GỐC'!$A$5:$D$254,3,FALSE()),""))</f>
        <v/>
      </c>
      <c r="K151" s="12"/>
      <c r="L151" s="13" t="str">
        <f aca="false">IF($C151="","",N($I151)*N($K151))</f>
        <v/>
      </c>
      <c r="M151" s="11"/>
      <c r="N151" s="14" t="str">
        <f aca="false">IF($C151="","",IF($M151="VAT 5%",0.05,IF($M151="VAT 8%",0.08,IF($M151="VAT 10%",0.1,0))))</f>
        <v/>
      </c>
      <c r="O151" s="13" t="str">
        <f aca="false">IF($C151="","",$L151*$N151)</f>
        <v/>
      </c>
      <c r="P151" s="13" t="str">
        <f aca="false">IF($C151="","",$L151+$O151)</f>
        <v/>
      </c>
      <c r="Q151" s="12"/>
      <c r="R151" s="13" t="str">
        <f aca="false">IF($C151="","",MAX(0,$P151-N($Q151)))</f>
        <v/>
      </c>
      <c r="S151" s="23" t="str">
        <f aca="false">IF(OR($C151="",$P151=0),"",IF(N($Q151)&lt;=0,"Chưa thanh toán",IF(N($Q151)&lt;$P151,"Thanh toán một phần","Đã thanh toán")))</f>
        <v/>
      </c>
      <c r="T151" s="13" t="str">
        <f aca="false">IF(OR($C151="",$J151=""),"",N($I151)*$J151)</f>
        <v/>
      </c>
      <c r="U151" s="13" t="str">
        <f aca="false">IF(OR($C151="",$T151=""),"",$L151-$T151)</f>
        <v/>
      </c>
      <c r="V151" s="14" t="str">
        <f aca="false">IF(OR($U151="",$L151=0),"",$U151/$L151)</f>
        <v/>
      </c>
      <c r="W151" s="11"/>
      <c r="X151" s="23" t="str">
        <f aca="false">IF($C151="","",IF(AND($H151="",N($I151)=0,N($K151)=0),"Dòng chỉ lưu thông tin khách (chưa có đơn); ",IF($B151="","Thiếu ngày đặt; ","")&amp;IF($H151="","Thiếu tên sản phẩm; ",IF($J151="","Chưa khai GIÁ GỐC ở BẢNG GIÁ GỐC; ",""))&amp;IF(N($I151)&lt;=0,"Thiếu số lượng; ","")&amp;IF(N($K151)&lt;=0,"Thiếu giá bán; ","")&amp;IF(AND($N151&gt;0,$F151=""),"Khách lấy VAT thiếu mã số thuế; ","")&amp;IF(N($Q151)&gt;$P151,"Đã thu vượt tổng phải thu; ","")&amp;IF(AND($L151&gt;0,$U151&lt;&gt;"",$U151&lt;0),"CẢNH BÁO: ĐƠN NÀY ĐANG LỖ; ","")))</f>
        <v/>
      </c>
    </row>
    <row r="152" customFormat="false" ht="15" hidden="false" customHeight="false" outlineLevel="0" collapsed="false">
      <c r="A152" s="21" t="str">
        <f aca="false">IF($C152="","",COUNTA($C$10:$C152))</f>
        <v/>
      </c>
      <c r="B152" s="18"/>
      <c r="C152" s="11"/>
      <c r="D152" s="11"/>
      <c r="E152" s="11"/>
      <c r="F152" s="11"/>
      <c r="G152" s="11"/>
      <c r="H152" s="11"/>
      <c r="I152" s="12"/>
      <c r="J152" s="13" t="str">
        <f aca="false">IF($H152="","",IFERROR(VLOOKUP($H152,'BẢNG GIÁ GỐC'!$A$5:$D$254,3,FALSE()),""))</f>
        <v/>
      </c>
      <c r="K152" s="12"/>
      <c r="L152" s="13" t="str">
        <f aca="false">IF($C152="","",N($I152)*N($K152))</f>
        <v/>
      </c>
      <c r="M152" s="11"/>
      <c r="N152" s="14" t="str">
        <f aca="false">IF($C152="","",IF($M152="VAT 5%",0.05,IF($M152="VAT 8%",0.08,IF($M152="VAT 10%",0.1,0))))</f>
        <v/>
      </c>
      <c r="O152" s="13" t="str">
        <f aca="false">IF($C152="","",$L152*$N152)</f>
        <v/>
      </c>
      <c r="P152" s="13" t="str">
        <f aca="false">IF($C152="","",$L152+$O152)</f>
        <v/>
      </c>
      <c r="Q152" s="12"/>
      <c r="R152" s="13" t="str">
        <f aca="false">IF($C152="","",MAX(0,$P152-N($Q152)))</f>
        <v/>
      </c>
      <c r="S152" s="23" t="str">
        <f aca="false">IF(OR($C152="",$P152=0),"",IF(N($Q152)&lt;=0,"Chưa thanh toán",IF(N($Q152)&lt;$P152,"Thanh toán một phần","Đã thanh toán")))</f>
        <v/>
      </c>
      <c r="T152" s="13" t="str">
        <f aca="false">IF(OR($C152="",$J152=""),"",N($I152)*$J152)</f>
        <v/>
      </c>
      <c r="U152" s="13" t="str">
        <f aca="false">IF(OR($C152="",$T152=""),"",$L152-$T152)</f>
        <v/>
      </c>
      <c r="V152" s="14" t="str">
        <f aca="false">IF(OR($U152="",$L152=0),"",$U152/$L152)</f>
        <v/>
      </c>
      <c r="W152" s="11"/>
      <c r="X152" s="23" t="str">
        <f aca="false">IF($C152="","",IF(AND($H152="",N($I152)=0,N($K152)=0),"Dòng chỉ lưu thông tin khách (chưa có đơn); ",IF($B152="","Thiếu ngày đặt; ","")&amp;IF($H152="","Thiếu tên sản phẩm; ",IF($J152="","Chưa khai GIÁ GỐC ở BẢNG GIÁ GỐC; ",""))&amp;IF(N($I152)&lt;=0,"Thiếu số lượng; ","")&amp;IF(N($K152)&lt;=0,"Thiếu giá bán; ","")&amp;IF(AND($N152&gt;0,$F152=""),"Khách lấy VAT thiếu mã số thuế; ","")&amp;IF(N($Q152)&gt;$P152,"Đã thu vượt tổng phải thu; ","")&amp;IF(AND($L152&gt;0,$U152&lt;&gt;"",$U152&lt;0),"CẢNH BÁO: ĐƠN NÀY ĐANG LỖ; ","")))</f>
        <v/>
      </c>
    </row>
    <row r="153" customFormat="false" ht="15" hidden="false" customHeight="false" outlineLevel="0" collapsed="false">
      <c r="A153" s="21" t="str">
        <f aca="false">IF($C153="","",COUNTA($C$10:$C153))</f>
        <v/>
      </c>
      <c r="B153" s="18"/>
      <c r="C153" s="11"/>
      <c r="D153" s="11"/>
      <c r="E153" s="11"/>
      <c r="F153" s="11"/>
      <c r="G153" s="11"/>
      <c r="H153" s="11"/>
      <c r="I153" s="12"/>
      <c r="J153" s="13" t="str">
        <f aca="false">IF($H153="","",IFERROR(VLOOKUP($H153,'BẢNG GIÁ GỐC'!$A$5:$D$254,3,FALSE()),""))</f>
        <v/>
      </c>
      <c r="K153" s="12"/>
      <c r="L153" s="13" t="str">
        <f aca="false">IF($C153="","",N($I153)*N($K153))</f>
        <v/>
      </c>
      <c r="M153" s="11"/>
      <c r="N153" s="14" t="str">
        <f aca="false">IF($C153="","",IF($M153="VAT 5%",0.05,IF($M153="VAT 8%",0.08,IF($M153="VAT 10%",0.1,0))))</f>
        <v/>
      </c>
      <c r="O153" s="13" t="str">
        <f aca="false">IF($C153="","",$L153*$N153)</f>
        <v/>
      </c>
      <c r="P153" s="13" t="str">
        <f aca="false">IF($C153="","",$L153+$O153)</f>
        <v/>
      </c>
      <c r="Q153" s="12"/>
      <c r="R153" s="13" t="str">
        <f aca="false">IF($C153="","",MAX(0,$P153-N($Q153)))</f>
        <v/>
      </c>
      <c r="S153" s="23" t="str">
        <f aca="false">IF(OR($C153="",$P153=0),"",IF(N($Q153)&lt;=0,"Chưa thanh toán",IF(N($Q153)&lt;$P153,"Thanh toán một phần","Đã thanh toán")))</f>
        <v/>
      </c>
      <c r="T153" s="13" t="str">
        <f aca="false">IF(OR($C153="",$J153=""),"",N($I153)*$J153)</f>
        <v/>
      </c>
      <c r="U153" s="13" t="str">
        <f aca="false">IF(OR($C153="",$T153=""),"",$L153-$T153)</f>
        <v/>
      </c>
      <c r="V153" s="14" t="str">
        <f aca="false">IF(OR($U153="",$L153=0),"",$U153/$L153)</f>
        <v/>
      </c>
      <c r="W153" s="11"/>
      <c r="X153" s="23" t="str">
        <f aca="false">IF($C153="","",IF(AND($H153="",N($I153)=0,N($K153)=0),"Dòng chỉ lưu thông tin khách (chưa có đơn); ",IF($B153="","Thiếu ngày đặt; ","")&amp;IF($H153="","Thiếu tên sản phẩm; ",IF($J153="","Chưa khai GIÁ GỐC ở BẢNG GIÁ GỐC; ",""))&amp;IF(N($I153)&lt;=0,"Thiếu số lượng; ","")&amp;IF(N($K153)&lt;=0,"Thiếu giá bán; ","")&amp;IF(AND($N153&gt;0,$F153=""),"Khách lấy VAT thiếu mã số thuế; ","")&amp;IF(N($Q153)&gt;$P153,"Đã thu vượt tổng phải thu; ","")&amp;IF(AND($L153&gt;0,$U153&lt;&gt;"",$U153&lt;0),"CẢNH BÁO: ĐƠN NÀY ĐANG LỖ; ","")))</f>
        <v/>
      </c>
    </row>
    <row r="154" customFormat="false" ht="15" hidden="false" customHeight="false" outlineLevel="0" collapsed="false">
      <c r="A154" s="21" t="str">
        <f aca="false">IF($C154="","",COUNTA($C$10:$C154))</f>
        <v/>
      </c>
      <c r="B154" s="18"/>
      <c r="C154" s="11"/>
      <c r="D154" s="11"/>
      <c r="E154" s="11"/>
      <c r="F154" s="11"/>
      <c r="G154" s="11"/>
      <c r="H154" s="11"/>
      <c r="I154" s="12"/>
      <c r="J154" s="13" t="str">
        <f aca="false">IF($H154="","",IFERROR(VLOOKUP($H154,'BẢNG GIÁ GỐC'!$A$5:$D$254,3,FALSE()),""))</f>
        <v/>
      </c>
      <c r="K154" s="12"/>
      <c r="L154" s="13" t="str">
        <f aca="false">IF($C154="","",N($I154)*N($K154))</f>
        <v/>
      </c>
      <c r="M154" s="11"/>
      <c r="N154" s="14" t="str">
        <f aca="false">IF($C154="","",IF($M154="VAT 5%",0.05,IF($M154="VAT 8%",0.08,IF($M154="VAT 10%",0.1,0))))</f>
        <v/>
      </c>
      <c r="O154" s="13" t="str">
        <f aca="false">IF($C154="","",$L154*$N154)</f>
        <v/>
      </c>
      <c r="P154" s="13" t="str">
        <f aca="false">IF($C154="","",$L154+$O154)</f>
        <v/>
      </c>
      <c r="Q154" s="12"/>
      <c r="R154" s="13" t="str">
        <f aca="false">IF($C154="","",MAX(0,$P154-N($Q154)))</f>
        <v/>
      </c>
      <c r="S154" s="23" t="str">
        <f aca="false">IF(OR($C154="",$P154=0),"",IF(N($Q154)&lt;=0,"Chưa thanh toán",IF(N($Q154)&lt;$P154,"Thanh toán một phần","Đã thanh toán")))</f>
        <v/>
      </c>
      <c r="T154" s="13" t="str">
        <f aca="false">IF(OR($C154="",$J154=""),"",N($I154)*$J154)</f>
        <v/>
      </c>
      <c r="U154" s="13" t="str">
        <f aca="false">IF(OR($C154="",$T154=""),"",$L154-$T154)</f>
        <v/>
      </c>
      <c r="V154" s="14" t="str">
        <f aca="false">IF(OR($U154="",$L154=0),"",$U154/$L154)</f>
        <v/>
      </c>
      <c r="W154" s="11"/>
      <c r="X154" s="23" t="str">
        <f aca="false">IF($C154="","",IF(AND($H154="",N($I154)=0,N($K154)=0),"Dòng chỉ lưu thông tin khách (chưa có đơn); ",IF($B154="","Thiếu ngày đặt; ","")&amp;IF($H154="","Thiếu tên sản phẩm; ",IF($J154="","Chưa khai GIÁ GỐC ở BẢNG GIÁ GỐC; ",""))&amp;IF(N($I154)&lt;=0,"Thiếu số lượng; ","")&amp;IF(N($K154)&lt;=0,"Thiếu giá bán; ","")&amp;IF(AND($N154&gt;0,$F154=""),"Khách lấy VAT thiếu mã số thuế; ","")&amp;IF(N($Q154)&gt;$P154,"Đã thu vượt tổng phải thu; ","")&amp;IF(AND($L154&gt;0,$U154&lt;&gt;"",$U154&lt;0),"CẢNH BÁO: ĐƠN NÀY ĐANG LỖ; ","")))</f>
        <v/>
      </c>
    </row>
    <row r="155" customFormat="false" ht="15" hidden="false" customHeight="false" outlineLevel="0" collapsed="false">
      <c r="A155" s="21" t="str">
        <f aca="false">IF($C155="","",COUNTA($C$10:$C155))</f>
        <v/>
      </c>
      <c r="B155" s="18"/>
      <c r="C155" s="11"/>
      <c r="D155" s="11"/>
      <c r="E155" s="11"/>
      <c r="F155" s="11"/>
      <c r="G155" s="11"/>
      <c r="H155" s="11"/>
      <c r="I155" s="12"/>
      <c r="J155" s="13" t="str">
        <f aca="false">IF($H155="","",IFERROR(VLOOKUP($H155,'BẢNG GIÁ GỐC'!$A$5:$D$254,3,FALSE()),""))</f>
        <v/>
      </c>
      <c r="K155" s="12"/>
      <c r="L155" s="13" t="str">
        <f aca="false">IF($C155="","",N($I155)*N($K155))</f>
        <v/>
      </c>
      <c r="M155" s="11"/>
      <c r="N155" s="14" t="str">
        <f aca="false">IF($C155="","",IF($M155="VAT 5%",0.05,IF($M155="VAT 8%",0.08,IF($M155="VAT 10%",0.1,0))))</f>
        <v/>
      </c>
      <c r="O155" s="13" t="str">
        <f aca="false">IF($C155="","",$L155*$N155)</f>
        <v/>
      </c>
      <c r="P155" s="13" t="str">
        <f aca="false">IF($C155="","",$L155+$O155)</f>
        <v/>
      </c>
      <c r="Q155" s="12"/>
      <c r="R155" s="13" t="str">
        <f aca="false">IF($C155="","",MAX(0,$P155-N($Q155)))</f>
        <v/>
      </c>
      <c r="S155" s="23" t="str">
        <f aca="false">IF(OR($C155="",$P155=0),"",IF(N($Q155)&lt;=0,"Chưa thanh toán",IF(N($Q155)&lt;$P155,"Thanh toán một phần","Đã thanh toán")))</f>
        <v/>
      </c>
      <c r="T155" s="13" t="str">
        <f aca="false">IF(OR($C155="",$J155=""),"",N($I155)*$J155)</f>
        <v/>
      </c>
      <c r="U155" s="13" t="str">
        <f aca="false">IF(OR($C155="",$T155=""),"",$L155-$T155)</f>
        <v/>
      </c>
      <c r="V155" s="14" t="str">
        <f aca="false">IF(OR($U155="",$L155=0),"",$U155/$L155)</f>
        <v/>
      </c>
      <c r="W155" s="11"/>
      <c r="X155" s="23" t="str">
        <f aca="false">IF($C155="","",IF(AND($H155="",N($I155)=0,N($K155)=0),"Dòng chỉ lưu thông tin khách (chưa có đơn); ",IF($B155="","Thiếu ngày đặt; ","")&amp;IF($H155="","Thiếu tên sản phẩm; ",IF($J155="","Chưa khai GIÁ GỐC ở BẢNG GIÁ GỐC; ",""))&amp;IF(N($I155)&lt;=0,"Thiếu số lượng; ","")&amp;IF(N($K155)&lt;=0,"Thiếu giá bán; ","")&amp;IF(AND($N155&gt;0,$F155=""),"Khách lấy VAT thiếu mã số thuế; ","")&amp;IF(N($Q155)&gt;$P155,"Đã thu vượt tổng phải thu; ","")&amp;IF(AND($L155&gt;0,$U155&lt;&gt;"",$U155&lt;0),"CẢNH BÁO: ĐƠN NÀY ĐANG LỖ; ","")))</f>
        <v/>
      </c>
    </row>
    <row r="156" customFormat="false" ht="15" hidden="false" customHeight="false" outlineLevel="0" collapsed="false">
      <c r="A156" s="21" t="str">
        <f aca="false">IF($C156="","",COUNTA($C$10:$C156))</f>
        <v/>
      </c>
      <c r="B156" s="18"/>
      <c r="C156" s="11"/>
      <c r="D156" s="11"/>
      <c r="E156" s="11"/>
      <c r="F156" s="11"/>
      <c r="G156" s="11"/>
      <c r="H156" s="11"/>
      <c r="I156" s="12"/>
      <c r="J156" s="13" t="str">
        <f aca="false">IF($H156="","",IFERROR(VLOOKUP($H156,'BẢNG GIÁ GỐC'!$A$5:$D$254,3,FALSE()),""))</f>
        <v/>
      </c>
      <c r="K156" s="12"/>
      <c r="L156" s="13" t="str">
        <f aca="false">IF($C156="","",N($I156)*N($K156))</f>
        <v/>
      </c>
      <c r="M156" s="11"/>
      <c r="N156" s="14" t="str">
        <f aca="false">IF($C156="","",IF($M156="VAT 5%",0.05,IF($M156="VAT 8%",0.08,IF($M156="VAT 10%",0.1,0))))</f>
        <v/>
      </c>
      <c r="O156" s="13" t="str">
        <f aca="false">IF($C156="","",$L156*$N156)</f>
        <v/>
      </c>
      <c r="P156" s="13" t="str">
        <f aca="false">IF($C156="","",$L156+$O156)</f>
        <v/>
      </c>
      <c r="Q156" s="12"/>
      <c r="R156" s="13" t="str">
        <f aca="false">IF($C156="","",MAX(0,$P156-N($Q156)))</f>
        <v/>
      </c>
      <c r="S156" s="23" t="str">
        <f aca="false">IF(OR($C156="",$P156=0),"",IF(N($Q156)&lt;=0,"Chưa thanh toán",IF(N($Q156)&lt;$P156,"Thanh toán một phần","Đã thanh toán")))</f>
        <v/>
      </c>
      <c r="T156" s="13" t="str">
        <f aca="false">IF(OR($C156="",$J156=""),"",N($I156)*$J156)</f>
        <v/>
      </c>
      <c r="U156" s="13" t="str">
        <f aca="false">IF(OR($C156="",$T156=""),"",$L156-$T156)</f>
        <v/>
      </c>
      <c r="V156" s="14" t="str">
        <f aca="false">IF(OR($U156="",$L156=0),"",$U156/$L156)</f>
        <v/>
      </c>
      <c r="W156" s="11"/>
      <c r="X156" s="23" t="str">
        <f aca="false">IF($C156="","",IF(AND($H156="",N($I156)=0,N($K156)=0),"Dòng chỉ lưu thông tin khách (chưa có đơn); ",IF($B156="","Thiếu ngày đặt; ","")&amp;IF($H156="","Thiếu tên sản phẩm; ",IF($J156="","Chưa khai GIÁ GỐC ở BẢNG GIÁ GỐC; ",""))&amp;IF(N($I156)&lt;=0,"Thiếu số lượng; ","")&amp;IF(N($K156)&lt;=0,"Thiếu giá bán; ","")&amp;IF(AND($N156&gt;0,$F156=""),"Khách lấy VAT thiếu mã số thuế; ","")&amp;IF(N($Q156)&gt;$P156,"Đã thu vượt tổng phải thu; ","")&amp;IF(AND($L156&gt;0,$U156&lt;&gt;"",$U156&lt;0),"CẢNH BÁO: ĐƠN NÀY ĐANG LỖ; ","")))</f>
        <v/>
      </c>
    </row>
    <row r="157" customFormat="false" ht="15" hidden="false" customHeight="false" outlineLevel="0" collapsed="false">
      <c r="A157" s="21" t="str">
        <f aca="false">IF($C157="","",COUNTA($C$10:$C157))</f>
        <v/>
      </c>
      <c r="B157" s="18"/>
      <c r="C157" s="11"/>
      <c r="D157" s="11"/>
      <c r="E157" s="11"/>
      <c r="F157" s="11"/>
      <c r="G157" s="11"/>
      <c r="H157" s="11"/>
      <c r="I157" s="12"/>
      <c r="J157" s="13" t="str">
        <f aca="false">IF($H157="","",IFERROR(VLOOKUP($H157,'BẢNG GIÁ GỐC'!$A$5:$D$254,3,FALSE()),""))</f>
        <v/>
      </c>
      <c r="K157" s="12"/>
      <c r="L157" s="13" t="str">
        <f aca="false">IF($C157="","",N($I157)*N($K157))</f>
        <v/>
      </c>
      <c r="M157" s="11"/>
      <c r="N157" s="14" t="str">
        <f aca="false">IF($C157="","",IF($M157="VAT 5%",0.05,IF($M157="VAT 8%",0.08,IF($M157="VAT 10%",0.1,0))))</f>
        <v/>
      </c>
      <c r="O157" s="13" t="str">
        <f aca="false">IF($C157="","",$L157*$N157)</f>
        <v/>
      </c>
      <c r="P157" s="13" t="str">
        <f aca="false">IF($C157="","",$L157+$O157)</f>
        <v/>
      </c>
      <c r="Q157" s="12"/>
      <c r="R157" s="13" t="str">
        <f aca="false">IF($C157="","",MAX(0,$P157-N($Q157)))</f>
        <v/>
      </c>
      <c r="S157" s="23" t="str">
        <f aca="false">IF(OR($C157="",$P157=0),"",IF(N($Q157)&lt;=0,"Chưa thanh toán",IF(N($Q157)&lt;$P157,"Thanh toán một phần","Đã thanh toán")))</f>
        <v/>
      </c>
      <c r="T157" s="13" t="str">
        <f aca="false">IF(OR($C157="",$J157=""),"",N($I157)*$J157)</f>
        <v/>
      </c>
      <c r="U157" s="13" t="str">
        <f aca="false">IF(OR($C157="",$T157=""),"",$L157-$T157)</f>
        <v/>
      </c>
      <c r="V157" s="14" t="str">
        <f aca="false">IF(OR($U157="",$L157=0),"",$U157/$L157)</f>
        <v/>
      </c>
      <c r="W157" s="11"/>
      <c r="X157" s="23" t="str">
        <f aca="false">IF($C157="","",IF(AND($H157="",N($I157)=0,N($K157)=0),"Dòng chỉ lưu thông tin khách (chưa có đơn); ",IF($B157="","Thiếu ngày đặt; ","")&amp;IF($H157="","Thiếu tên sản phẩm; ",IF($J157="","Chưa khai GIÁ GỐC ở BẢNG GIÁ GỐC; ",""))&amp;IF(N($I157)&lt;=0,"Thiếu số lượng; ","")&amp;IF(N($K157)&lt;=0,"Thiếu giá bán; ","")&amp;IF(AND($N157&gt;0,$F157=""),"Khách lấy VAT thiếu mã số thuế; ","")&amp;IF(N($Q157)&gt;$P157,"Đã thu vượt tổng phải thu; ","")&amp;IF(AND($L157&gt;0,$U157&lt;&gt;"",$U157&lt;0),"CẢNH BÁO: ĐƠN NÀY ĐANG LỖ; ","")))</f>
        <v/>
      </c>
    </row>
    <row r="158" customFormat="false" ht="15" hidden="false" customHeight="false" outlineLevel="0" collapsed="false">
      <c r="A158" s="21" t="str">
        <f aca="false">IF($C158="","",COUNTA($C$10:$C158))</f>
        <v/>
      </c>
      <c r="B158" s="18"/>
      <c r="C158" s="11"/>
      <c r="D158" s="11"/>
      <c r="E158" s="11"/>
      <c r="F158" s="11"/>
      <c r="G158" s="11"/>
      <c r="H158" s="11"/>
      <c r="I158" s="12"/>
      <c r="J158" s="13" t="str">
        <f aca="false">IF($H158="","",IFERROR(VLOOKUP($H158,'BẢNG GIÁ GỐC'!$A$5:$D$254,3,FALSE()),""))</f>
        <v/>
      </c>
      <c r="K158" s="12"/>
      <c r="L158" s="13" t="str">
        <f aca="false">IF($C158="","",N($I158)*N($K158))</f>
        <v/>
      </c>
      <c r="M158" s="11"/>
      <c r="N158" s="14" t="str">
        <f aca="false">IF($C158="","",IF($M158="VAT 5%",0.05,IF($M158="VAT 8%",0.08,IF($M158="VAT 10%",0.1,0))))</f>
        <v/>
      </c>
      <c r="O158" s="13" t="str">
        <f aca="false">IF($C158="","",$L158*$N158)</f>
        <v/>
      </c>
      <c r="P158" s="13" t="str">
        <f aca="false">IF($C158="","",$L158+$O158)</f>
        <v/>
      </c>
      <c r="Q158" s="12"/>
      <c r="R158" s="13" t="str">
        <f aca="false">IF($C158="","",MAX(0,$P158-N($Q158)))</f>
        <v/>
      </c>
      <c r="S158" s="23" t="str">
        <f aca="false">IF(OR($C158="",$P158=0),"",IF(N($Q158)&lt;=0,"Chưa thanh toán",IF(N($Q158)&lt;$P158,"Thanh toán một phần","Đã thanh toán")))</f>
        <v/>
      </c>
      <c r="T158" s="13" t="str">
        <f aca="false">IF(OR($C158="",$J158=""),"",N($I158)*$J158)</f>
        <v/>
      </c>
      <c r="U158" s="13" t="str">
        <f aca="false">IF(OR($C158="",$T158=""),"",$L158-$T158)</f>
        <v/>
      </c>
      <c r="V158" s="14" t="str">
        <f aca="false">IF(OR($U158="",$L158=0),"",$U158/$L158)</f>
        <v/>
      </c>
      <c r="W158" s="11"/>
      <c r="X158" s="23" t="str">
        <f aca="false">IF($C158="","",IF(AND($H158="",N($I158)=0,N($K158)=0),"Dòng chỉ lưu thông tin khách (chưa có đơn); ",IF($B158="","Thiếu ngày đặt; ","")&amp;IF($H158="","Thiếu tên sản phẩm; ",IF($J158="","Chưa khai GIÁ GỐC ở BẢNG GIÁ GỐC; ",""))&amp;IF(N($I158)&lt;=0,"Thiếu số lượng; ","")&amp;IF(N($K158)&lt;=0,"Thiếu giá bán; ","")&amp;IF(AND($N158&gt;0,$F158=""),"Khách lấy VAT thiếu mã số thuế; ","")&amp;IF(N($Q158)&gt;$P158,"Đã thu vượt tổng phải thu; ","")&amp;IF(AND($L158&gt;0,$U158&lt;&gt;"",$U158&lt;0),"CẢNH BÁO: ĐƠN NÀY ĐANG LỖ; ","")))</f>
        <v/>
      </c>
    </row>
    <row r="159" customFormat="false" ht="15" hidden="false" customHeight="false" outlineLevel="0" collapsed="false">
      <c r="A159" s="21" t="str">
        <f aca="false">IF($C159="","",COUNTA($C$10:$C159))</f>
        <v/>
      </c>
      <c r="B159" s="18"/>
      <c r="C159" s="11"/>
      <c r="D159" s="11"/>
      <c r="E159" s="11"/>
      <c r="F159" s="11"/>
      <c r="G159" s="11"/>
      <c r="H159" s="11"/>
      <c r="I159" s="12"/>
      <c r="J159" s="13" t="str">
        <f aca="false">IF($H159="","",IFERROR(VLOOKUP($H159,'BẢNG GIÁ GỐC'!$A$5:$D$254,3,FALSE()),""))</f>
        <v/>
      </c>
      <c r="K159" s="12"/>
      <c r="L159" s="13" t="str">
        <f aca="false">IF($C159="","",N($I159)*N($K159))</f>
        <v/>
      </c>
      <c r="M159" s="11"/>
      <c r="N159" s="14" t="str">
        <f aca="false">IF($C159="","",IF($M159="VAT 5%",0.05,IF($M159="VAT 8%",0.08,IF($M159="VAT 10%",0.1,0))))</f>
        <v/>
      </c>
      <c r="O159" s="13" t="str">
        <f aca="false">IF($C159="","",$L159*$N159)</f>
        <v/>
      </c>
      <c r="P159" s="13" t="str">
        <f aca="false">IF($C159="","",$L159+$O159)</f>
        <v/>
      </c>
      <c r="Q159" s="12"/>
      <c r="R159" s="13" t="str">
        <f aca="false">IF($C159="","",MAX(0,$P159-N($Q159)))</f>
        <v/>
      </c>
      <c r="S159" s="23" t="str">
        <f aca="false">IF(OR($C159="",$P159=0),"",IF(N($Q159)&lt;=0,"Chưa thanh toán",IF(N($Q159)&lt;$P159,"Thanh toán một phần","Đã thanh toán")))</f>
        <v/>
      </c>
      <c r="T159" s="13" t="str">
        <f aca="false">IF(OR($C159="",$J159=""),"",N($I159)*$J159)</f>
        <v/>
      </c>
      <c r="U159" s="13" t="str">
        <f aca="false">IF(OR($C159="",$T159=""),"",$L159-$T159)</f>
        <v/>
      </c>
      <c r="V159" s="14" t="str">
        <f aca="false">IF(OR($U159="",$L159=0),"",$U159/$L159)</f>
        <v/>
      </c>
      <c r="W159" s="11"/>
      <c r="X159" s="23" t="str">
        <f aca="false">IF($C159="","",IF(AND($H159="",N($I159)=0,N($K159)=0),"Dòng chỉ lưu thông tin khách (chưa có đơn); ",IF($B159="","Thiếu ngày đặt; ","")&amp;IF($H159="","Thiếu tên sản phẩm; ",IF($J159="","Chưa khai GIÁ GỐC ở BẢNG GIÁ GỐC; ",""))&amp;IF(N($I159)&lt;=0,"Thiếu số lượng; ","")&amp;IF(N($K159)&lt;=0,"Thiếu giá bán; ","")&amp;IF(AND($N159&gt;0,$F159=""),"Khách lấy VAT thiếu mã số thuế; ","")&amp;IF(N($Q159)&gt;$P159,"Đã thu vượt tổng phải thu; ","")&amp;IF(AND($L159&gt;0,$U159&lt;&gt;"",$U159&lt;0),"CẢNH BÁO: ĐƠN NÀY ĐANG LỖ; ","")))</f>
        <v/>
      </c>
    </row>
  </sheetData>
  <autoFilter ref="A9:X159"/>
  <mergeCells count="35">
    <mergeCell ref="A1:X1"/>
    <mergeCell ref="A2:X2"/>
    <mergeCell ref="A3:C3"/>
    <mergeCell ref="D3:E3"/>
    <mergeCell ref="F3:H3"/>
    <mergeCell ref="I3:K3"/>
    <mergeCell ref="L3:O3"/>
    <mergeCell ref="P3:R3"/>
    <mergeCell ref="Z3:AD3"/>
    <mergeCell ref="A4:C4"/>
    <mergeCell ref="D4:E4"/>
    <mergeCell ref="F4:H4"/>
    <mergeCell ref="I4:K4"/>
    <mergeCell ref="L4:O4"/>
    <mergeCell ref="P4:R4"/>
    <mergeCell ref="A5:C5"/>
    <mergeCell ref="D5:E5"/>
    <mergeCell ref="F5:H5"/>
    <mergeCell ref="I5:K5"/>
    <mergeCell ref="L5:O5"/>
    <mergeCell ref="P5:R5"/>
    <mergeCell ref="A6:C6"/>
    <mergeCell ref="D6:E6"/>
    <mergeCell ref="F6:H6"/>
    <mergeCell ref="I6:K6"/>
    <mergeCell ref="L6:O6"/>
    <mergeCell ref="P6:R6"/>
    <mergeCell ref="A7:C7"/>
    <mergeCell ref="D7:E7"/>
    <mergeCell ref="F7:H7"/>
    <mergeCell ref="I7:K7"/>
    <mergeCell ref="L7:O7"/>
    <mergeCell ref="P7:R7"/>
    <mergeCell ref="A8:X8"/>
    <mergeCell ref="Z25:AB25"/>
  </mergeCells>
  <conditionalFormatting sqref="R10:R159">
    <cfRule type="cellIs" priority="2" operator="greaterThan" aboveAverage="0" equalAverage="0" bottom="0" percent="0" rank="0" text="" dxfId="8">
      <formula>0</formula>
    </cfRule>
  </conditionalFormatting>
  <conditionalFormatting sqref="U10:U159">
    <cfRule type="cellIs" priority="3" operator="lessThan" aboveAverage="0" equalAverage="0" bottom="0" percent="0" rank="0" text="" dxfId="8">
      <formula>0</formula>
    </cfRule>
  </conditionalFormatting>
  <conditionalFormatting sqref="X10:X159">
    <cfRule type="expression" priority="4" aboveAverage="0" equalAverage="0" bottom="0" percent="0" rank="0" text="" dxfId="13">
      <formula>LEN($X10)&gt;0</formula>
    </cfRule>
  </conditionalFormatting>
  <conditionalFormatting sqref="S10:S159">
    <cfRule type="expression" priority="5" aboveAverage="0" equalAverage="0" bottom="0" percent="0" rank="0" text="" dxfId="14">
      <formula>$S10="Đã thanh toán"</formula>
    </cfRule>
  </conditionalFormatting>
  <dataValidations count="5">
    <dataValidation allowBlank="true" error="Chỉ nhập số, không nhập chữ và không nhập số âm." errorStyle="stop" errorTitle="Số không hợp lệ" operator="greaterThanOrEqual" showDropDown="false" showErrorMessage="false" showInputMessage="false" sqref="AC5:AC24 I10:I159 K10:K159 Q10:Q159" type="decimal">
      <formula1>0</formula1>
      <formula2>0</formula2>
    </dataValidation>
    <dataValidation allowBlank="true" error="Hãy chọn sản phẩm có trong sheet BẢNG GIÁ GỐC, hoặc thêm sản phẩm đó vào BẢNG GIÁ GỐC trước." errorStyle="stop" errorTitle="Sản phẩm chưa có trong bảng giá" operator="between" showDropDown="false" showErrorMessage="false" showInputMessage="false" sqref="H10:H159" type="list">
      <formula1>DS_SANPHAM</formula1>
      <formula2>0</formula2>
    </dataValidation>
    <dataValidation allowBlank="true" errorStyle="stop" operator="between" showDropDown="false" showErrorMessage="false" showInputMessage="false" sqref="M10:M159" type="list">
      <formula1>"Không lấy VAT,VAT 5%,VAT 8%,VAT 10%"</formula1>
      <formula2>0</formula2>
    </dataValidation>
    <dataValidation allowBlank="true" errorStyle="stop" operator="between" showDropDown="false" showErrorMessage="false" showInputMessage="false" sqref="AA5:AA24" type="list">
      <formula1>"Tiền ship,Nguyên vật liệu,Nhân công,Quảng cáo,Thuê kho bãi,Điện nước,Đổi trả - bồi thường,Chi phí khác"</formula1>
      <formula2>0</formula2>
    </dataValidation>
    <dataValidation allowBlank="true" errorStyle="stop" operator="between" showDropDown="false" showErrorMessage="false" showInputMessage="false" sqref="Z5:Z24 B10:B159" type="date">
      <formula1>DATE(2020,1,1)</formula1>
      <formula2>DATE(2100,12,31)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D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0"/>
    <col collapsed="false" customWidth="true" hidden="false" outlineLevel="0" max="4" min="4" style="0" width="14"/>
    <col collapsed="false" customWidth="true" hidden="false" outlineLevel="0" max="5" min="5" style="0" width="30"/>
    <col collapsed="false" customWidth="true" hidden="false" outlineLevel="0" max="6" min="6" style="0" width="16"/>
    <col collapsed="false" customWidth="true" hidden="false" outlineLevel="0" max="8" min="7" style="0" width="34"/>
    <col collapsed="false" customWidth="true" hidden="false" outlineLevel="0" max="9" min="9" style="0" width="10"/>
    <col collapsed="false" customWidth="true" hidden="false" outlineLevel="0" max="10" min="10" style="0" width="14"/>
    <col collapsed="false" customWidth="true" hidden="false" outlineLevel="0" max="13" min="11" style="0" width="15"/>
    <col collapsed="false" customWidth="true" hidden="false" outlineLevel="0" max="14" min="14" style="0" width="10"/>
    <col collapsed="false" customWidth="true" hidden="false" outlineLevel="0" max="15" min="15" style="0" width="13"/>
    <col collapsed="false" customWidth="true" hidden="false" outlineLevel="0" max="17" min="16" style="0" width="16"/>
    <col collapsed="false" customWidth="true" hidden="false" outlineLevel="0" max="18" min="18" style="0" width="14"/>
    <col collapsed="false" customWidth="true" hidden="false" outlineLevel="0" max="19" min="19" style="0" width="18"/>
    <col collapsed="false" customWidth="true" hidden="false" outlineLevel="0" max="21" min="20" style="0" width="14"/>
    <col collapsed="false" customWidth="true" hidden="false" outlineLevel="0" max="22" min="22" style="0" width="9"/>
    <col collapsed="false" customWidth="true" hidden="false" outlineLevel="0" max="23" min="23" style="0" width="28"/>
    <col collapsed="false" customWidth="true" hidden="false" outlineLevel="0" max="24" min="24" style="0" width="38"/>
    <col collapsed="false" customWidth="true" hidden="false" outlineLevel="0" max="26" min="26" style="0" width="12"/>
    <col collapsed="false" customWidth="true" hidden="false" outlineLevel="0" max="27" min="27" style="0" width="22"/>
    <col collapsed="false" customWidth="true" hidden="false" outlineLevel="0" max="28" min="28" style="0" width="34"/>
    <col collapsed="false" customWidth="true" hidden="false" outlineLevel="0" max="29" min="29" style="0" width="16"/>
    <col collapsed="false" customWidth="true" hidden="false" outlineLevel="0" max="30" min="30" style="0" width="28"/>
  </cols>
  <sheetData>
    <row r="1" customFormat="false" ht="27.75" hidden="false" customHeight="true" outlineLevel="0" collapsed="false">
      <c r="A1" s="1" t="s">
        <v>414</v>
      </c>
      <c r="B1" s="1"/>
      <c r="C1" s="1"/>
      <c r="D1" s="1"/>
      <c r="E1" s="1"/>
      <c r="F1" s="1"/>
      <c r="G1" s="1"/>
      <c r="H1" s="1"/>
      <c r="I1" s="1"/>
      <c r="J1" s="1"/>
      <c r="K1" s="1"/>
      <c r="L1" s="1"/>
      <c r="M1" s="1"/>
      <c r="N1" s="1"/>
      <c r="O1" s="1"/>
      <c r="P1" s="1"/>
      <c r="Q1" s="1"/>
      <c r="R1" s="1"/>
      <c r="S1" s="1"/>
      <c r="T1" s="1"/>
      <c r="U1" s="1"/>
      <c r="V1" s="1"/>
      <c r="W1" s="1"/>
      <c r="X1" s="1"/>
    </row>
    <row r="2" customFormat="false" ht="18.75" hidden="false" customHeight="true" outlineLevel="0" collapsed="false">
      <c r="A2" s="2" t="s">
        <v>117</v>
      </c>
      <c r="B2" s="2"/>
      <c r="C2" s="2"/>
      <c r="D2" s="2"/>
      <c r="E2" s="2"/>
      <c r="F2" s="2"/>
      <c r="G2" s="2"/>
      <c r="H2" s="2"/>
      <c r="I2" s="2"/>
      <c r="J2" s="2"/>
      <c r="K2" s="2"/>
      <c r="L2" s="2"/>
      <c r="M2" s="2"/>
      <c r="N2" s="2"/>
      <c r="O2" s="2"/>
      <c r="P2" s="2"/>
      <c r="Q2" s="2"/>
      <c r="R2" s="2"/>
      <c r="S2" s="2"/>
      <c r="T2" s="2"/>
      <c r="U2" s="2"/>
      <c r="V2" s="2"/>
      <c r="W2" s="2"/>
      <c r="X2" s="2"/>
    </row>
    <row r="3" customFormat="false" ht="19.5" hidden="false" customHeight="true" outlineLevel="0" collapsed="false">
      <c r="A3" s="15" t="s">
        <v>118</v>
      </c>
      <c r="B3" s="15"/>
      <c r="C3" s="15"/>
      <c r="D3" s="16" t="n">
        <f aca="false">COUNTIFS($C$10:$C$159,"?*",$L$10:$L$159,"&gt;0")</f>
        <v>0</v>
      </c>
      <c r="E3" s="16"/>
      <c r="F3" s="15" t="s">
        <v>119</v>
      </c>
      <c r="G3" s="15"/>
      <c r="H3" s="15"/>
      <c r="I3" s="16" t="n">
        <f aca="false">SUM($L$10:$L$159)</f>
        <v>0</v>
      </c>
      <c r="J3" s="16"/>
      <c r="K3" s="16"/>
      <c r="L3" s="15" t="s">
        <v>120</v>
      </c>
      <c r="M3" s="15"/>
      <c r="N3" s="15"/>
      <c r="O3" s="15"/>
      <c r="P3" s="16" t="n">
        <f aca="false">SUM($T$10:$T$159)</f>
        <v>0</v>
      </c>
      <c r="Q3" s="16"/>
      <c r="R3" s="16"/>
      <c r="Z3" s="17" t="s">
        <v>415</v>
      </c>
      <c r="AA3" s="17"/>
      <c r="AB3" s="17"/>
      <c r="AC3" s="17"/>
      <c r="AD3" s="17"/>
    </row>
    <row r="4" customFormat="false" ht="19.5" hidden="false" customHeight="true" outlineLevel="0" collapsed="false">
      <c r="A4" s="15" t="s">
        <v>122</v>
      </c>
      <c r="B4" s="15"/>
      <c r="C4" s="15"/>
      <c r="D4" s="16" t="n">
        <f aca="false">IF(COUNTA($C$10:$C$159)=0,0,SUMPRODUCT(($C$10:$C$159&lt;&gt;"")/COUNTIF($C$10:$C$159,$C$10:$C$159&amp;"")))</f>
        <v>0</v>
      </c>
      <c r="E4" s="16"/>
      <c r="F4" s="15" t="s">
        <v>123</v>
      </c>
      <c r="G4" s="15"/>
      <c r="H4" s="15"/>
      <c r="I4" s="16" t="n">
        <f aca="false">SUM($O$10:$O$159)</f>
        <v>0</v>
      </c>
      <c r="J4" s="16"/>
      <c r="K4" s="16"/>
      <c r="L4" s="15" t="s">
        <v>124</v>
      </c>
      <c r="M4" s="15"/>
      <c r="N4" s="15"/>
      <c r="O4" s="15"/>
      <c r="P4" s="16" t="n">
        <f aca="false">SUM($AC$5:$AC$24)</f>
        <v>0</v>
      </c>
      <c r="Q4" s="16"/>
      <c r="R4" s="16"/>
      <c r="Z4" s="9" t="s">
        <v>125</v>
      </c>
      <c r="AA4" s="9" t="s">
        <v>126</v>
      </c>
      <c r="AB4" s="9" t="s">
        <v>127</v>
      </c>
      <c r="AC4" s="9" t="s">
        <v>128</v>
      </c>
      <c r="AD4" s="9" t="s">
        <v>65</v>
      </c>
    </row>
    <row r="5" customFormat="false" ht="19.5" hidden="false" customHeight="true" outlineLevel="0" collapsed="false">
      <c r="A5" s="15" t="s">
        <v>129</v>
      </c>
      <c r="B5" s="15"/>
      <c r="C5" s="15"/>
      <c r="D5" s="16" t="n">
        <f aca="false">COUNTIFS($P$10:$P$159,"&gt;0",$R$10:$R$159,"&lt;=0")</f>
        <v>0</v>
      </c>
      <c r="E5" s="16"/>
      <c r="F5" s="15" t="s">
        <v>130</v>
      </c>
      <c r="G5" s="15"/>
      <c r="H5" s="15"/>
      <c r="I5" s="16" t="n">
        <f aca="false">SUM($P$10:$P$159)</f>
        <v>0</v>
      </c>
      <c r="J5" s="16"/>
      <c r="K5" s="16"/>
      <c r="L5" s="15" t="s">
        <v>131</v>
      </c>
      <c r="M5" s="15"/>
      <c r="N5" s="15"/>
      <c r="O5" s="15"/>
      <c r="P5" s="16" t="n">
        <f aca="false">$P3+$P4</f>
        <v>0</v>
      </c>
      <c r="Q5" s="16"/>
      <c r="R5" s="16"/>
      <c r="Z5" s="18"/>
      <c r="AA5" s="11"/>
      <c r="AB5" s="11"/>
      <c r="AC5" s="12"/>
      <c r="AD5" s="11"/>
    </row>
    <row r="6" customFormat="false" ht="19.5" hidden="false" customHeight="true" outlineLevel="0" collapsed="false">
      <c r="A6" s="15" t="s">
        <v>132</v>
      </c>
      <c r="B6" s="15"/>
      <c r="C6" s="15"/>
      <c r="D6" s="16" t="n">
        <f aca="false">COUNTIF($R$10:$R$159,"&gt;0")</f>
        <v>0</v>
      </c>
      <c r="E6" s="16"/>
      <c r="F6" s="15" t="s">
        <v>133</v>
      </c>
      <c r="G6" s="15"/>
      <c r="H6" s="15"/>
      <c r="I6" s="16" t="n">
        <f aca="false">SUM($Q$10:$Q$159)</f>
        <v>0</v>
      </c>
      <c r="J6" s="16"/>
      <c r="K6" s="16"/>
      <c r="L6" s="15" t="s">
        <v>134</v>
      </c>
      <c r="M6" s="15"/>
      <c r="N6" s="15"/>
      <c r="O6" s="15"/>
      <c r="P6" s="16" t="n">
        <f aca="false">$I3-$P5</f>
        <v>0</v>
      </c>
      <c r="Q6" s="16"/>
      <c r="R6" s="16"/>
      <c r="Z6" s="18"/>
      <c r="AA6" s="11"/>
      <c r="AB6" s="11"/>
      <c r="AC6" s="12"/>
      <c r="AD6" s="11"/>
    </row>
    <row r="7" customFormat="false" ht="19.5" hidden="false" customHeight="true" outlineLevel="0" collapsed="false">
      <c r="A7" s="15" t="s">
        <v>135</v>
      </c>
      <c r="B7" s="15"/>
      <c r="C7" s="15"/>
      <c r="D7" s="19" t="str">
        <f aca="false">IF($I5=0,"",$I6/$I5)</f>
        <v/>
      </c>
      <c r="E7" s="19"/>
      <c r="F7" s="15" t="s">
        <v>136</v>
      </c>
      <c r="G7" s="15"/>
      <c r="H7" s="15"/>
      <c r="I7" s="16" t="n">
        <f aca="false">SUM($R$10:$R$159)</f>
        <v>0</v>
      </c>
      <c r="J7" s="16"/>
      <c r="K7" s="16"/>
      <c r="L7" s="15" t="s">
        <v>137</v>
      </c>
      <c r="M7" s="15"/>
      <c r="N7" s="15"/>
      <c r="O7" s="15"/>
      <c r="P7" s="19" t="str">
        <f aca="false">IF($I3=0,"",$P6/$I3)</f>
        <v/>
      </c>
      <c r="Q7" s="19"/>
      <c r="R7" s="19"/>
      <c r="Z7" s="18"/>
      <c r="AA7" s="11"/>
      <c r="AB7" s="11"/>
      <c r="AC7" s="12"/>
      <c r="AD7" s="11"/>
    </row>
    <row r="8" customFormat="false" ht="21.75" hidden="false" customHeight="true" outlineLevel="0" collapsed="false">
      <c r="A8" s="20" t="str">
        <f aca="false">IF(SUMPRODUCT(($H$10:$H$159&lt;&gt;"")*($J$10:$J$159=""))=0,"✔ Mọi đơn trong tháng đã có GIÁ GỐC – số liệu lãi lỗ đầy đủ.","⚠ CÓ "&amp;SUMPRODUCT(($H$10:$H$159&lt;&gt;"")*($J$10:$J$159=""))&amp;" ĐƠN CHƯA KHAI GIÁ GỐC → GIÁ VỐN và LÃI/LỖ của tháng CHƯA ĐỦ. Vào sheet BẢNG GIÁ GỐC điền cột GIÁ GỐC/SP.")</f>
        <v>✔ Mọi đơn trong tháng đã có GIÁ GỐC – số liệu lãi lỗ đầy đủ.</v>
      </c>
      <c r="B8" s="20"/>
      <c r="C8" s="20"/>
      <c r="D8" s="20"/>
      <c r="E8" s="20"/>
      <c r="F8" s="20"/>
      <c r="G8" s="20"/>
      <c r="H8" s="20"/>
      <c r="I8" s="20"/>
      <c r="J8" s="20"/>
      <c r="K8" s="20"/>
      <c r="L8" s="20"/>
      <c r="M8" s="20"/>
      <c r="N8" s="20"/>
      <c r="O8" s="20"/>
      <c r="P8" s="20"/>
      <c r="Q8" s="20"/>
      <c r="R8" s="20"/>
      <c r="S8" s="20"/>
      <c r="T8" s="20"/>
      <c r="U8" s="20"/>
      <c r="V8" s="20"/>
      <c r="W8" s="20"/>
      <c r="X8" s="20"/>
      <c r="Z8" s="18"/>
      <c r="AA8" s="11"/>
      <c r="AB8" s="11"/>
      <c r="AC8" s="12"/>
      <c r="AD8" s="11"/>
    </row>
    <row r="9" customFormat="false" ht="33.75" hidden="false" customHeight="true" outlineLevel="0" collapsed="false">
      <c r="A9" s="10" t="s">
        <v>138</v>
      </c>
      <c r="B9" s="9" t="s">
        <v>139</v>
      </c>
      <c r="C9" s="9" t="s">
        <v>140</v>
      </c>
      <c r="D9" s="9" t="s">
        <v>141</v>
      </c>
      <c r="E9" s="9" t="s">
        <v>142</v>
      </c>
      <c r="F9" s="9" t="s">
        <v>143</v>
      </c>
      <c r="G9" s="9" t="s">
        <v>144</v>
      </c>
      <c r="H9" s="9" t="s">
        <v>59</v>
      </c>
      <c r="I9" s="9" t="s">
        <v>145</v>
      </c>
      <c r="J9" s="10" t="s">
        <v>61</v>
      </c>
      <c r="K9" s="9" t="s">
        <v>146</v>
      </c>
      <c r="L9" s="10" t="s">
        <v>147</v>
      </c>
      <c r="M9" s="9" t="s">
        <v>148</v>
      </c>
      <c r="N9" s="10" t="s">
        <v>149</v>
      </c>
      <c r="O9" s="10" t="s">
        <v>123</v>
      </c>
      <c r="P9" s="10" t="s">
        <v>150</v>
      </c>
      <c r="Q9" s="9" t="s">
        <v>151</v>
      </c>
      <c r="R9" s="10" t="s">
        <v>152</v>
      </c>
      <c r="S9" s="10" t="s">
        <v>153</v>
      </c>
      <c r="T9" s="10" t="s">
        <v>154</v>
      </c>
      <c r="U9" s="10" t="s">
        <v>155</v>
      </c>
      <c r="V9" s="10" t="s">
        <v>156</v>
      </c>
      <c r="W9" s="9" t="s">
        <v>65</v>
      </c>
      <c r="X9" s="10" t="s">
        <v>157</v>
      </c>
      <c r="Z9" s="18"/>
      <c r="AA9" s="11"/>
      <c r="AB9" s="11"/>
      <c r="AC9" s="12"/>
      <c r="AD9" s="11"/>
    </row>
    <row r="10" customFormat="false" ht="15" hidden="false" customHeight="false" outlineLevel="0" collapsed="false">
      <c r="A10" s="21" t="str">
        <f aca="false">IF($C10="","",COUNTA($C$10:$C10))</f>
        <v/>
      </c>
      <c r="B10" s="18"/>
      <c r="C10" s="11"/>
      <c r="D10" s="11"/>
      <c r="E10" s="11"/>
      <c r="F10" s="11"/>
      <c r="G10" s="11"/>
      <c r="H10" s="11"/>
      <c r="I10" s="12"/>
      <c r="J10" s="13" t="str">
        <f aca="false">IF($H10="","",IFERROR(VLOOKUP($H10,'BẢNG GIÁ GỐC'!$A$5:$D$254,3,FALSE()),""))</f>
        <v/>
      </c>
      <c r="K10" s="12"/>
      <c r="L10" s="13" t="str">
        <f aca="false">IF($C10="","",N($I10)*N($K10))</f>
        <v/>
      </c>
      <c r="M10" s="11"/>
      <c r="N10" s="14" t="str">
        <f aca="false">IF($C10="","",IF($M10="VAT 5%",0.05,IF($M10="VAT 8%",0.08,IF($M10="VAT 10%",0.1,0))))</f>
        <v/>
      </c>
      <c r="O10" s="13" t="str">
        <f aca="false">IF($C10="","",$L10*$N10)</f>
        <v/>
      </c>
      <c r="P10" s="13" t="str">
        <f aca="false">IF($C10="","",$L10+$O10)</f>
        <v/>
      </c>
      <c r="Q10" s="12"/>
      <c r="R10" s="13" t="str">
        <f aca="false">IF($C10="","",MAX(0,$P10-N($Q10)))</f>
        <v/>
      </c>
      <c r="S10" s="23" t="str">
        <f aca="false">IF(OR($C10="",$P10=0),"",IF(N($Q10)&lt;=0,"Chưa thanh toán",IF(N($Q10)&lt;$P10,"Thanh toán một phần","Đã thanh toán")))</f>
        <v/>
      </c>
      <c r="T10" s="13" t="str">
        <f aca="false">IF(OR($C10="",$J10=""),"",N($I10)*$J10)</f>
        <v/>
      </c>
      <c r="U10" s="13" t="str">
        <f aca="false">IF(OR($C10="",$T10=""),"",$L10-$T10)</f>
        <v/>
      </c>
      <c r="V10" s="14" t="str">
        <f aca="false">IF(OR($U10="",$L10=0),"",$U10/$L10)</f>
        <v/>
      </c>
      <c r="W10" s="11"/>
      <c r="X10" s="23" t="str">
        <f aca="false">IF($C10="","",IF(AND($H10="",N($I10)=0,N($K10)=0),"Dòng chỉ lưu thông tin khách (chưa có đơn); ",IF($B10="","Thiếu ngày đặt; ","")&amp;IF($H10="","Thiếu tên sản phẩm; ",IF($J10="","Chưa khai GIÁ GỐC ở BẢNG GIÁ GỐC; ",""))&amp;IF(N($I10)&lt;=0,"Thiếu số lượng; ","")&amp;IF(N($K10)&lt;=0,"Thiếu giá bán; ","")&amp;IF(AND($N10&gt;0,$F10=""),"Khách lấy VAT thiếu mã số thuế; ","")&amp;IF(N($Q10)&gt;$P10,"Đã thu vượt tổng phải thu; ","")&amp;IF(AND($L10&gt;0,$U10&lt;&gt;"",$U10&lt;0),"CẢNH BÁO: ĐƠN NÀY ĐANG LỖ; ","")))</f>
        <v/>
      </c>
      <c r="Z10" s="18"/>
      <c r="AA10" s="11"/>
      <c r="AB10" s="11"/>
      <c r="AC10" s="12"/>
      <c r="AD10" s="11"/>
    </row>
    <row r="11" customFormat="false" ht="15" hidden="false" customHeight="false" outlineLevel="0" collapsed="false">
      <c r="A11" s="21" t="str">
        <f aca="false">IF($C11="","",COUNTA($C$10:$C11))</f>
        <v/>
      </c>
      <c r="B11" s="18"/>
      <c r="C11" s="11"/>
      <c r="D11" s="11"/>
      <c r="E11" s="11"/>
      <c r="F11" s="11"/>
      <c r="G11" s="11"/>
      <c r="H11" s="11"/>
      <c r="I11" s="12"/>
      <c r="J11" s="13" t="str">
        <f aca="false">IF($H11="","",IFERROR(VLOOKUP($H11,'BẢNG GIÁ GỐC'!$A$5:$D$254,3,FALSE()),""))</f>
        <v/>
      </c>
      <c r="K11" s="12"/>
      <c r="L11" s="13" t="str">
        <f aca="false">IF($C11="","",N($I11)*N($K11))</f>
        <v/>
      </c>
      <c r="M11" s="11"/>
      <c r="N11" s="14" t="str">
        <f aca="false">IF($C11="","",IF($M11="VAT 5%",0.05,IF($M11="VAT 8%",0.08,IF($M11="VAT 10%",0.1,0))))</f>
        <v/>
      </c>
      <c r="O11" s="13" t="str">
        <f aca="false">IF($C11="","",$L11*$N11)</f>
        <v/>
      </c>
      <c r="P11" s="13" t="str">
        <f aca="false">IF($C11="","",$L11+$O11)</f>
        <v/>
      </c>
      <c r="Q11" s="12"/>
      <c r="R11" s="13" t="str">
        <f aca="false">IF($C11="","",MAX(0,$P11-N($Q11)))</f>
        <v/>
      </c>
      <c r="S11" s="23" t="str">
        <f aca="false">IF(OR($C11="",$P11=0),"",IF(N($Q11)&lt;=0,"Chưa thanh toán",IF(N($Q11)&lt;$P11,"Thanh toán một phần","Đã thanh toán")))</f>
        <v/>
      </c>
      <c r="T11" s="13" t="str">
        <f aca="false">IF(OR($C11="",$J11=""),"",N($I11)*$J11)</f>
        <v/>
      </c>
      <c r="U11" s="13" t="str">
        <f aca="false">IF(OR($C11="",$T11=""),"",$L11-$T11)</f>
        <v/>
      </c>
      <c r="V11" s="14" t="str">
        <f aca="false">IF(OR($U11="",$L11=0),"",$U11/$L11)</f>
        <v/>
      </c>
      <c r="W11" s="11"/>
      <c r="X11" s="23" t="str">
        <f aca="false">IF($C11="","",IF(AND($H11="",N($I11)=0,N($K11)=0),"Dòng chỉ lưu thông tin khách (chưa có đơn); ",IF($B11="","Thiếu ngày đặt; ","")&amp;IF($H11="","Thiếu tên sản phẩm; ",IF($J11="","Chưa khai GIÁ GỐC ở BẢNG GIÁ GỐC; ",""))&amp;IF(N($I11)&lt;=0,"Thiếu số lượng; ","")&amp;IF(N($K11)&lt;=0,"Thiếu giá bán; ","")&amp;IF(AND($N11&gt;0,$F11=""),"Khách lấy VAT thiếu mã số thuế; ","")&amp;IF(N($Q11)&gt;$P11,"Đã thu vượt tổng phải thu; ","")&amp;IF(AND($L11&gt;0,$U11&lt;&gt;"",$U11&lt;0),"CẢNH BÁO: ĐƠN NÀY ĐANG LỖ; ","")))</f>
        <v/>
      </c>
      <c r="Z11" s="18"/>
      <c r="AA11" s="11"/>
      <c r="AB11" s="11"/>
      <c r="AC11" s="12"/>
      <c r="AD11" s="11"/>
    </row>
    <row r="12" customFormat="false" ht="15" hidden="false" customHeight="false" outlineLevel="0" collapsed="false">
      <c r="A12" s="21" t="str">
        <f aca="false">IF($C12="","",COUNTA($C$10:$C12))</f>
        <v/>
      </c>
      <c r="B12" s="18"/>
      <c r="C12" s="11"/>
      <c r="D12" s="11"/>
      <c r="E12" s="11"/>
      <c r="F12" s="11"/>
      <c r="G12" s="11"/>
      <c r="H12" s="11"/>
      <c r="I12" s="12"/>
      <c r="J12" s="13" t="str">
        <f aca="false">IF($H12="","",IFERROR(VLOOKUP($H12,'BẢNG GIÁ GỐC'!$A$5:$D$254,3,FALSE()),""))</f>
        <v/>
      </c>
      <c r="K12" s="12"/>
      <c r="L12" s="13" t="str">
        <f aca="false">IF($C12="","",N($I12)*N($K12))</f>
        <v/>
      </c>
      <c r="M12" s="11"/>
      <c r="N12" s="14" t="str">
        <f aca="false">IF($C12="","",IF($M12="VAT 5%",0.05,IF($M12="VAT 8%",0.08,IF($M12="VAT 10%",0.1,0))))</f>
        <v/>
      </c>
      <c r="O12" s="13" t="str">
        <f aca="false">IF($C12="","",$L12*$N12)</f>
        <v/>
      </c>
      <c r="P12" s="13" t="str">
        <f aca="false">IF($C12="","",$L12+$O12)</f>
        <v/>
      </c>
      <c r="Q12" s="12"/>
      <c r="R12" s="13" t="str">
        <f aca="false">IF($C12="","",MAX(0,$P12-N($Q12)))</f>
        <v/>
      </c>
      <c r="S12" s="23" t="str">
        <f aca="false">IF(OR($C12="",$P12=0),"",IF(N($Q12)&lt;=0,"Chưa thanh toán",IF(N($Q12)&lt;$P12,"Thanh toán một phần","Đã thanh toán")))</f>
        <v/>
      </c>
      <c r="T12" s="13" t="str">
        <f aca="false">IF(OR($C12="",$J12=""),"",N($I12)*$J12)</f>
        <v/>
      </c>
      <c r="U12" s="13" t="str">
        <f aca="false">IF(OR($C12="",$T12=""),"",$L12-$T12)</f>
        <v/>
      </c>
      <c r="V12" s="14" t="str">
        <f aca="false">IF(OR($U12="",$L12=0),"",$U12/$L12)</f>
        <v/>
      </c>
      <c r="W12" s="11"/>
      <c r="X12" s="23" t="str">
        <f aca="false">IF($C12="","",IF(AND($H12="",N($I12)=0,N($K12)=0),"Dòng chỉ lưu thông tin khách (chưa có đơn); ",IF($B12="","Thiếu ngày đặt; ","")&amp;IF($H12="","Thiếu tên sản phẩm; ",IF($J12="","Chưa khai GIÁ GỐC ở BẢNG GIÁ GỐC; ",""))&amp;IF(N($I12)&lt;=0,"Thiếu số lượng; ","")&amp;IF(N($K12)&lt;=0,"Thiếu giá bán; ","")&amp;IF(AND($N12&gt;0,$F12=""),"Khách lấy VAT thiếu mã số thuế; ","")&amp;IF(N($Q12)&gt;$P12,"Đã thu vượt tổng phải thu; ","")&amp;IF(AND($L12&gt;0,$U12&lt;&gt;"",$U12&lt;0),"CẢNH BÁO: ĐƠN NÀY ĐANG LỖ; ","")))</f>
        <v/>
      </c>
      <c r="Z12" s="18"/>
      <c r="AA12" s="11"/>
      <c r="AB12" s="11"/>
      <c r="AC12" s="12"/>
      <c r="AD12" s="11"/>
    </row>
    <row r="13" customFormat="false" ht="15" hidden="false" customHeight="false" outlineLevel="0" collapsed="false">
      <c r="A13" s="21" t="str">
        <f aca="false">IF($C13="","",COUNTA($C$10:$C13))</f>
        <v/>
      </c>
      <c r="B13" s="18"/>
      <c r="C13" s="11"/>
      <c r="D13" s="11"/>
      <c r="E13" s="11"/>
      <c r="F13" s="11"/>
      <c r="G13" s="11"/>
      <c r="H13" s="11"/>
      <c r="I13" s="12"/>
      <c r="J13" s="13" t="str">
        <f aca="false">IF($H13="","",IFERROR(VLOOKUP($H13,'BẢNG GIÁ GỐC'!$A$5:$D$254,3,FALSE()),""))</f>
        <v/>
      </c>
      <c r="K13" s="12"/>
      <c r="L13" s="13" t="str">
        <f aca="false">IF($C13="","",N($I13)*N($K13))</f>
        <v/>
      </c>
      <c r="M13" s="11"/>
      <c r="N13" s="14" t="str">
        <f aca="false">IF($C13="","",IF($M13="VAT 5%",0.05,IF($M13="VAT 8%",0.08,IF($M13="VAT 10%",0.1,0))))</f>
        <v/>
      </c>
      <c r="O13" s="13" t="str">
        <f aca="false">IF($C13="","",$L13*$N13)</f>
        <v/>
      </c>
      <c r="P13" s="13" t="str">
        <f aca="false">IF($C13="","",$L13+$O13)</f>
        <v/>
      </c>
      <c r="Q13" s="12"/>
      <c r="R13" s="13" t="str">
        <f aca="false">IF($C13="","",MAX(0,$P13-N($Q13)))</f>
        <v/>
      </c>
      <c r="S13" s="23" t="str">
        <f aca="false">IF(OR($C13="",$P13=0),"",IF(N($Q13)&lt;=0,"Chưa thanh toán",IF(N($Q13)&lt;$P13,"Thanh toán một phần","Đã thanh toán")))</f>
        <v/>
      </c>
      <c r="T13" s="13" t="str">
        <f aca="false">IF(OR($C13="",$J13=""),"",N($I13)*$J13)</f>
        <v/>
      </c>
      <c r="U13" s="13" t="str">
        <f aca="false">IF(OR($C13="",$T13=""),"",$L13-$T13)</f>
        <v/>
      </c>
      <c r="V13" s="14" t="str">
        <f aca="false">IF(OR($U13="",$L13=0),"",$U13/$L13)</f>
        <v/>
      </c>
      <c r="W13" s="11"/>
      <c r="X13" s="23" t="str">
        <f aca="false">IF($C13="","",IF(AND($H13="",N($I13)=0,N($K13)=0),"Dòng chỉ lưu thông tin khách (chưa có đơn); ",IF($B13="","Thiếu ngày đặt; ","")&amp;IF($H13="","Thiếu tên sản phẩm; ",IF($J13="","Chưa khai GIÁ GỐC ở BẢNG GIÁ GỐC; ",""))&amp;IF(N($I13)&lt;=0,"Thiếu số lượng; ","")&amp;IF(N($K13)&lt;=0,"Thiếu giá bán; ","")&amp;IF(AND($N13&gt;0,$F13=""),"Khách lấy VAT thiếu mã số thuế; ","")&amp;IF(N($Q13)&gt;$P13,"Đã thu vượt tổng phải thu; ","")&amp;IF(AND($L13&gt;0,$U13&lt;&gt;"",$U13&lt;0),"CẢNH BÁO: ĐƠN NÀY ĐANG LỖ; ","")))</f>
        <v/>
      </c>
      <c r="Z13" s="18"/>
      <c r="AA13" s="11"/>
      <c r="AB13" s="11"/>
      <c r="AC13" s="12"/>
      <c r="AD13" s="11"/>
    </row>
    <row r="14" customFormat="false" ht="15" hidden="false" customHeight="false" outlineLevel="0" collapsed="false">
      <c r="A14" s="21" t="str">
        <f aca="false">IF($C14="","",COUNTA($C$10:$C14))</f>
        <v/>
      </c>
      <c r="B14" s="18"/>
      <c r="C14" s="11"/>
      <c r="D14" s="11"/>
      <c r="E14" s="11"/>
      <c r="F14" s="11"/>
      <c r="G14" s="11"/>
      <c r="H14" s="11"/>
      <c r="I14" s="12"/>
      <c r="J14" s="13" t="str">
        <f aca="false">IF($H14="","",IFERROR(VLOOKUP($H14,'BẢNG GIÁ GỐC'!$A$5:$D$254,3,FALSE()),""))</f>
        <v/>
      </c>
      <c r="K14" s="12"/>
      <c r="L14" s="13" t="str">
        <f aca="false">IF($C14="","",N($I14)*N($K14))</f>
        <v/>
      </c>
      <c r="M14" s="11"/>
      <c r="N14" s="14" t="str">
        <f aca="false">IF($C14="","",IF($M14="VAT 5%",0.05,IF($M14="VAT 8%",0.08,IF($M14="VAT 10%",0.1,0))))</f>
        <v/>
      </c>
      <c r="O14" s="13" t="str">
        <f aca="false">IF($C14="","",$L14*$N14)</f>
        <v/>
      </c>
      <c r="P14" s="13" t="str">
        <f aca="false">IF($C14="","",$L14+$O14)</f>
        <v/>
      </c>
      <c r="Q14" s="12"/>
      <c r="R14" s="13" t="str">
        <f aca="false">IF($C14="","",MAX(0,$P14-N($Q14)))</f>
        <v/>
      </c>
      <c r="S14" s="23" t="str">
        <f aca="false">IF(OR($C14="",$P14=0),"",IF(N($Q14)&lt;=0,"Chưa thanh toán",IF(N($Q14)&lt;$P14,"Thanh toán một phần","Đã thanh toán")))</f>
        <v/>
      </c>
      <c r="T14" s="13" t="str">
        <f aca="false">IF(OR($C14="",$J14=""),"",N($I14)*$J14)</f>
        <v/>
      </c>
      <c r="U14" s="13" t="str">
        <f aca="false">IF(OR($C14="",$T14=""),"",$L14-$T14)</f>
        <v/>
      </c>
      <c r="V14" s="14" t="str">
        <f aca="false">IF(OR($U14="",$L14=0),"",$U14/$L14)</f>
        <v/>
      </c>
      <c r="W14" s="11"/>
      <c r="X14" s="23" t="str">
        <f aca="false">IF($C14="","",IF(AND($H14="",N($I14)=0,N($K14)=0),"Dòng chỉ lưu thông tin khách (chưa có đơn); ",IF($B14="","Thiếu ngày đặt; ","")&amp;IF($H14="","Thiếu tên sản phẩm; ",IF($J14="","Chưa khai GIÁ GỐC ở BẢNG GIÁ GỐC; ",""))&amp;IF(N($I14)&lt;=0,"Thiếu số lượng; ","")&amp;IF(N($K14)&lt;=0,"Thiếu giá bán; ","")&amp;IF(AND($N14&gt;0,$F14=""),"Khách lấy VAT thiếu mã số thuế; ","")&amp;IF(N($Q14)&gt;$P14,"Đã thu vượt tổng phải thu; ","")&amp;IF(AND($L14&gt;0,$U14&lt;&gt;"",$U14&lt;0),"CẢNH BÁO: ĐƠN NÀY ĐANG LỖ; ","")))</f>
        <v/>
      </c>
      <c r="Z14" s="18"/>
      <c r="AA14" s="11"/>
      <c r="AB14" s="11"/>
      <c r="AC14" s="12"/>
      <c r="AD14" s="11"/>
    </row>
    <row r="15" customFormat="false" ht="15" hidden="false" customHeight="false" outlineLevel="0" collapsed="false">
      <c r="A15" s="21" t="str">
        <f aca="false">IF($C15="","",COUNTA($C$10:$C15))</f>
        <v/>
      </c>
      <c r="B15" s="18"/>
      <c r="C15" s="11"/>
      <c r="D15" s="11"/>
      <c r="E15" s="11"/>
      <c r="F15" s="11"/>
      <c r="G15" s="11"/>
      <c r="H15" s="11"/>
      <c r="I15" s="12"/>
      <c r="J15" s="13" t="str">
        <f aca="false">IF($H15="","",IFERROR(VLOOKUP($H15,'BẢNG GIÁ GỐC'!$A$5:$D$254,3,FALSE()),""))</f>
        <v/>
      </c>
      <c r="K15" s="12"/>
      <c r="L15" s="13" t="str">
        <f aca="false">IF($C15="","",N($I15)*N($K15))</f>
        <v/>
      </c>
      <c r="M15" s="11"/>
      <c r="N15" s="14" t="str">
        <f aca="false">IF($C15="","",IF($M15="VAT 5%",0.05,IF($M15="VAT 8%",0.08,IF($M15="VAT 10%",0.1,0))))</f>
        <v/>
      </c>
      <c r="O15" s="13" t="str">
        <f aca="false">IF($C15="","",$L15*$N15)</f>
        <v/>
      </c>
      <c r="P15" s="13" t="str">
        <f aca="false">IF($C15="","",$L15+$O15)</f>
        <v/>
      </c>
      <c r="Q15" s="12"/>
      <c r="R15" s="13" t="str">
        <f aca="false">IF($C15="","",MAX(0,$P15-N($Q15)))</f>
        <v/>
      </c>
      <c r="S15" s="23" t="str">
        <f aca="false">IF(OR($C15="",$P15=0),"",IF(N($Q15)&lt;=0,"Chưa thanh toán",IF(N($Q15)&lt;$P15,"Thanh toán một phần","Đã thanh toán")))</f>
        <v/>
      </c>
      <c r="T15" s="13" t="str">
        <f aca="false">IF(OR($C15="",$J15=""),"",N($I15)*$J15)</f>
        <v/>
      </c>
      <c r="U15" s="13" t="str">
        <f aca="false">IF(OR($C15="",$T15=""),"",$L15-$T15)</f>
        <v/>
      </c>
      <c r="V15" s="14" t="str">
        <f aca="false">IF(OR($U15="",$L15=0),"",$U15/$L15)</f>
        <v/>
      </c>
      <c r="W15" s="11"/>
      <c r="X15" s="23" t="str">
        <f aca="false">IF($C15="","",IF(AND($H15="",N($I15)=0,N($K15)=0),"Dòng chỉ lưu thông tin khách (chưa có đơn); ",IF($B15="","Thiếu ngày đặt; ","")&amp;IF($H15="","Thiếu tên sản phẩm; ",IF($J15="","Chưa khai GIÁ GỐC ở BẢNG GIÁ GỐC; ",""))&amp;IF(N($I15)&lt;=0,"Thiếu số lượng; ","")&amp;IF(N($K15)&lt;=0,"Thiếu giá bán; ","")&amp;IF(AND($N15&gt;0,$F15=""),"Khách lấy VAT thiếu mã số thuế; ","")&amp;IF(N($Q15)&gt;$P15,"Đã thu vượt tổng phải thu; ","")&amp;IF(AND($L15&gt;0,$U15&lt;&gt;"",$U15&lt;0),"CẢNH BÁO: ĐƠN NÀY ĐANG LỖ; ","")))</f>
        <v/>
      </c>
      <c r="Z15" s="18"/>
      <c r="AA15" s="11"/>
      <c r="AB15" s="11"/>
      <c r="AC15" s="12"/>
      <c r="AD15" s="11"/>
    </row>
    <row r="16" customFormat="false" ht="15" hidden="false" customHeight="false" outlineLevel="0" collapsed="false">
      <c r="A16" s="21" t="str">
        <f aca="false">IF($C16="","",COUNTA($C$10:$C16))</f>
        <v/>
      </c>
      <c r="B16" s="18"/>
      <c r="C16" s="11"/>
      <c r="D16" s="11"/>
      <c r="E16" s="11"/>
      <c r="F16" s="11"/>
      <c r="G16" s="11"/>
      <c r="H16" s="11"/>
      <c r="I16" s="12"/>
      <c r="J16" s="13" t="str">
        <f aca="false">IF($H16="","",IFERROR(VLOOKUP($H16,'BẢNG GIÁ GỐC'!$A$5:$D$254,3,FALSE()),""))</f>
        <v/>
      </c>
      <c r="K16" s="12"/>
      <c r="L16" s="13" t="str">
        <f aca="false">IF($C16="","",N($I16)*N($K16))</f>
        <v/>
      </c>
      <c r="M16" s="11"/>
      <c r="N16" s="14" t="str">
        <f aca="false">IF($C16="","",IF($M16="VAT 5%",0.05,IF($M16="VAT 8%",0.08,IF($M16="VAT 10%",0.1,0))))</f>
        <v/>
      </c>
      <c r="O16" s="13" t="str">
        <f aca="false">IF($C16="","",$L16*$N16)</f>
        <v/>
      </c>
      <c r="P16" s="13" t="str">
        <f aca="false">IF($C16="","",$L16+$O16)</f>
        <v/>
      </c>
      <c r="Q16" s="12"/>
      <c r="R16" s="13" t="str">
        <f aca="false">IF($C16="","",MAX(0,$P16-N($Q16)))</f>
        <v/>
      </c>
      <c r="S16" s="23" t="str">
        <f aca="false">IF(OR($C16="",$P16=0),"",IF(N($Q16)&lt;=0,"Chưa thanh toán",IF(N($Q16)&lt;$P16,"Thanh toán một phần","Đã thanh toán")))</f>
        <v/>
      </c>
      <c r="T16" s="13" t="str">
        <f aca="false">IF(OR($C16="",$J16=""),"",N($I16)*$J16)</f>
        <v/>
      </c>
      <c r="U16" s="13" t="str">
        <f aca="false">IF(OR($C16="",$T16=""),"",$L16-$T16)</f>
        <v/>
      </c>
      <c r="V16" s="14" t="str">
        <f aca="false">IF(OR($U16="",$L16=0),"",$U16/$L16)</f>
        <v/>
      </c>
      <c r="W16" s="11"/>
      <c r="X16" s="23" t="str">
        <f aca="false">IF($C16="","",IF(AND($H16="",N($I16)=0,N($K16)=0),"Dòng chỉ lưu thông tin khách (chưa có đơn); ",IF($B16="","Thiếu ngày đặt; ","")&amp;IF($H16="","Thiếu tên sản phẩm; ",IF($J16="","Chưa khai GIÁ GỐC ở BẢNG GIÁ GỐC; ",""))&amp;IF(N($I16)&lt;=0,"Thiếu số lượng; ","")&amp;IF(N($K16)&lt;=0,"Thiếu giá bán; ","")&amp;IF(AND($N16&gt;0,$F16=""),"Khách lấy VAT thiếu mã số thuế; ","")&amp;IF(N($Q16)&gt;$P16,"Đã thu vượt tổng phải thu; ","")&amp;IF(AND($L16&gt;0,$U16&lt;&gt;"",$U16&lt;0),"CẢNH BÁO: ĐƠN NÀY ĐANG LỖ; ","")))</f>
        <v/>
      </c>
      <c r="Z16" s="18"/>
      <c r="AA16" s="11"/>
      <c r="AB16" s="11"/>
      <c r="AC16" s="12"/>
      <c r="AD16" s="11"/>
    </row>
    <row r="17" customFormat="false" ht="15" hidden="false" customHeight="false" outlineLevel="0" collapsed="false">
      <c r="A17" s="21" t="str">
        <f aca="false">IF($C17="","",COUNTA($C$10:$C17))</f>
        <v/>
      </c>
      <c r="B17" s="18"/>
      <c r="C17" s="11"/>
      <c r="D17" s="11"/>
      <c r="E17" s="11"/>
      <c r="F17" s="11"/>
      <c r="G17" s="11"/>
      <c r="H17" s="11"/>
      <c r="I17" s="12"/>
      <c r="J17" s="13" t="str">
        <f aca="false">IF($H17="","",IFERROR(VLOOKUP($H17,'BẢNG GIÁ GỐC'!$A$5:$D$254,3,FALSE()),""))</f>
        <v/>
      </c>
      <c r="K17" s="12"/>
      <c r="L17" s="13" t="str">
        <f aca="false">IF($C17="","",N($I17)*N($K17))</f>
        <v/>
      </c>
      <c r="M17" s="11"/>
      <c r="N17" s="14" t="str">
        <f aca="false">IF($C17="","",IF($M17="VAT 5%",0.05,IF($M17="VAT 8%",0.08,IF($M17="VAT 10%",0.1,0))))</f>
        <v/>
      </c>
      <c r="O17" s="13" t="str">
        <f aca="false">IF($C17="","",$L17*$N17)</f>
        <v/>
      </c>
      <c r="P17" s="13" t="str">
        <f aca="false">IF($C17="","",$L17+$O17)</f>
        <v/>
      </c>
      <c r="Q17" s="12"/>
      <c r="R17" s="13" t="str">
        <f aca="false">IF($C17="","",MAX(0,$P17-N($Q17)))</f>
        <v/>
      </c>
      <c r="S17" s="23" t="str">
        <f aca="false">IF(OR($C17="",$P17=0),"",IF(N($Q17)&lt;=0,"Chưa thanh toán",IF(N($Q17)&lt;$P17,"Thanh toán một phần","Đã thanh toán")))</f>
        <v/>
      </c>
      <c r="T17" s="13" t="str">
        <f aca="false">IF(OR($C17="",$J17=""),"",N($I17)*$J17)</f>
        <v/>
      </c>
      <c r="U17" s="13" t="str">
        <f aca="false">IF(OR($C17="",$T17=""),"",$L17-$T17)</f>
        <v/>
      </c>
      <c r="V17" s="14" t="str">
        <f aca="false">IF(OR($U17="",$L17=0),"",$U17/$L17)</f>
        <v/>
      </c>
      <c r="W17" s="11"/>
      <c r="X17" s="23" t="str">
        <f aca="false">IF($C17="","",IF(AND($H17="",N($I17)=0,N($K17)=0),"Dòng chỉ lưu thông tin khách (chưa có đơn); ",IF($B17="","Thiếu ngày đặt; ","")&amp;IF($H17="","Thiếu tên sản phẩm; ",IF($J17="","Chưa khai GIÁ GỐC ở BẢNG GIÁ GỐC; ",""))&amp;IF(N($I17)&lt;=0,"Thiếu số lượng; ","")&amp;IF(N($K17)&lt;=0,"Thiếu giá bán; ","")&amp;IF(AND($N17&gt;0,$F17=""),"Khách lấy VAT thiếu mã số thuế; ","")&amp;IF(N($Q17)&gt;$P17,"Đã thu vượt tổng phải thu; ","")&amp;IF(AND($L17&gt;0,$U17&lt;&gt;"",$U17&lt;0),"CẢNH BÁO: ĐƠN NÀY ĐANG LỖ; ","")))</f>
        <v/>
      </c>
      <c r="Z17" s="18"/>
      <c r="AA17" s="11"/>
      <c r="AB17" s="11"/>
      <c r="AC17" s="12"/>
      <c r="AD17" s="11"/>
    </row>
    <row r="18" customFormat="false" ht="15" hidden="false" customHeight="false" outlineLevel="0" collapsed="false">
      <c r="A18" s="21" t="str">
        <f aca="false">IF($C18="","",COUNTA($C$10:$C18))</f>
        <v/>
      </c>
      <c r="B18" s="18"/>
      <c r="C18" s="11"/>
      <c r="D18" s="11"/>
      <c r="E18" s="11"/>
      <c r="F18" s="11"/>
      <c r="G18" s="11"/>
      <c r="H18" s="11"/>
      <c r="I18" s="12"/>
      <c r="J18" s="13" t="str">
        <f aca="false">IF($H18="","",IFERROR(VLOOKUP($H18,'BẢNG GIÁ GỐC'!$A$5:$D$254,3,FALSE()),""))</f>
        <v/>
      </c>
      <c r="K18" s="12"/>
      <c r="L18" s="13" t="str">
        <f aca="false">IF($C18="","",N($I18)*N($K18))</f>
        <v/>
      </c>
      <c r="M18" s="11"/>
      <c r="N18" s="14" t="str">
        <f aca="false">IF($C18="","",IF($M18="VAT 5%",0.05,IF($M18="VAT 8%",0.08,IF($M18="VAT 10%",0.1,0))))</f>
        <v/>
      </c>
      <c r="O18" s="13" t="str">
        <f aca="false">IF($C18="","",$L18*$N18)</f>
        <v/>
      </c>
      <c r="P18" s="13" t="str">
        <f aca="false">IF($C18="","",$L18+$O18)</f>
        <v/>
      </c>
      <c r="Q18" s="12"/>
      <c r="R18" s="13" t="str">
        <f aca="false">IF($C18="","",MAX(0,$P18-N($Q18)))</f>
        <v/>
      </c>
      <c r="S18" s="23" t="str">
        <f aca="false">IF(OR($C18="",$P18=0),"",IF(N($Q18)&lt;=0,"Chưa thanh toán",IF(N($Q18)&lt;$P18,"Thanh toán một phần","Đã thanh toán")))</f>
        <v/>
      </c>
      <c r="T18" s="13" t="str">
        <f aca="false">IF(OR($C18="",$J18=""),"",N($I18)*$J18)</f>
        <v/>
      </c>
      <c r="U18" s="13" t="str">
        <f aca="false">IF(OR($C18="",$T18=""),"",$L18-$T18)</f>
        <v/>
      </c>
      <c r="V18" s="14" t="str">
        <f aca="false">IF(OR($U18="",$L18=0),"",$U18/$L18)</f>
        <v/>
      </c>
      <c r="W18" s="11"/>
      <c r="X18" s="23" t="str">
        <f aca="false">IF($C18="","",IF(AND($H18="",N($I18)=0,N($K18)=0),"Dòng chỉ lưu thông tin khách (chưa có đơn); ",IF($B18="","Thiếu ngày đặt; ","")&amp;IF($H18="","Thiếu tên sản phẩm; ",IF($J18="","Chưa khai GIÁ GỐC ở BẢNG GIÁ GỐC; ",""))&amp;IF(N($I18)&lt;=0,"Thiếu số lượng; ","")&amp;IF(N($K18)&lt;=0,"Thiếu giá bán; ","")&amp;IF(AND($N18&gt;0,$F18=""),"Khách lấy VAT thiếu mã số thuế; ","")&amp;IF(N($Q18)&gt;$P18,"Đã thu vượt tổng phải thu; ","")&amp;IF(AND($L18&gt;0,$U18&lt;&gt;"",$U18&lt;0),"CẢNH BÁO: ĐƠN NÀY ĐANG LỖ; ","")))</f>
        <v/>
      </c>
      <c r="Z18" s="18"/>
      <c r="AA18" s="11"/>
      <c r="AB18" s="11"/>
      <c r="AC18" s="12"/>
      <c r="AD18" s="11"/>
    </row>
    <row r="19" customFormat="false" ht="15" hidden="false" customHeight="false" outlineLevel="0" collapsed="false">
      <c r="A19" s="21" t="str">
        <f aca="false">IF($C19="","",COUNTA($C$10:$C19))</f>
        <v/>
      </c>
      <c r="B19" s="18"/>
      <c r="C19" s="11"/>
      <c r="D19" s="11"/>
      <c r="E19" s="11"/>
      <c r="F19" s="11"/>
      <c r="G19" s="11"/>
      <c r="H19" s="11"/>
      <c r="I19" s="12"/>
      <c r="J19" s="13" t="str">
        <f aca="false">IF($H19="","",IFERROR(VLOOKUP($H19,'BẢNG GIÁ GỐC'!$A$5:$D$254,3,FALSE()),""))</f>
        <v/>
      </c>
      <c r="K19" s="12"/>
      <c r="L19" s="13" t="str">
        <f aca="false">IF($C19="","",N($I19)*N($K19))</f>
        <v/>
      </c>
      <c r="M19" s="11"/>
      <c r="N19" s="14" t="str">
        <f aca="false">IF($C19="","",IF($M19="VAT 5%",0.05,IF($M19="VAT 8%",0.08,IF($M19="VAT 10%",0.1,0))))</f>
        <v/>
      </c>
      <c r="O19" s="13" t="str">
        <f aca="false">IF($C19="","",$L19*$N19)</f>
        <v/>
      </c>
      <c r="P19" s="13" t="str">
        <f aca="false">IF($C19="","",$L19+$O19)</f>
        <v/>
      </c>
      <c r="Q19" s="12"/>
      <c r="R19" s="13" t="str">
        <f aca="false">IF($C19="","",MAX(0,$P19-N($Q19)))</f>
        <v/>
      </c>
      <c r="S19" s="23" t="str">
        <f aca="false">IF(OR($C19="",$P19=0),"",IF(N($Q19)&lt;=0,"Chưa thanh toán",IF(N($Q19)&lt;$P19,"Thanh toán một phần","Đã thanh toán")))</f>
        <v/>
      </c>
      <c r="T19" s="13" t="str">
        <f aca="false">IF(OR($C19="",$J19=""),"",N($I19)*$J19)</f>
        <v/>
      </c>
      <c r="U19" s="13" t="str">
        <f aca="false">IF(OR($C19="",$T19=""),"",$L19-$T19)</f>
        <v/>
      </c>
      <c r="V19" s="14" t="str">
        <f aca="false">IF(OR($U19="",$L19=0),"",$U19/$L19)</f>
        <v/>
      </c>
      <c r="W19" s="11"/>
      <c r="X19" s="23" t="str">
        <f aca="false">IF($C19="","",IF(AND($H19="",N($I19)=0,N($K19)=0),"Dòng chỉ lưu thông tin khách (chưa có đơn); ",IF($B19="","Thiếu ngày đặt; ","")&amp;IF($H19="","Thiếu tên sản phẩm; ",IF($J19="","Chưa khai GIÁ GỐC ở BẢNG GIÁ GỐC; ",""))&amp;IF(N($I19)&lt;=0,"Thiếu số lượng; ","")&amp;IF(N($K19)&lt;=0,"Thiếu giá bán; ","")&amp;IF(AND($N19&gt;0,$F19=""),"Khách lấy VAT thiếu mã số thuế; ","")&amp;IF(N($Q19)&gt;$P19,"Đã thu vượt tổng phải thu; ","")&amp;IF(AND($L19&gt;0,$U19&lt;&gt;"",$U19&lt;0),"CẢNH BÁO: ĐƠN NÀY ĐANG LỖ; ","")))</f>
        <v/>
      </c>
      <c r="Z19" s="18"/>
      <c r="AA19" s="11"/>
      <c r="AB19" s="11"/>
      <c r="AC19" s="12"/>
      <c r="AD19" s="11"/>
    </row>
    <row r="20" customFormat="false" ht="15" hidden="false" customHeight="false" outlineLevel="0" collapsed="false">
      <c r="A20" s="21" t="str">
        <f aca="false">IF($C20="","",COUNTA($C$10:$C20))</f>
        <v/>
      </c>
      <c r="B20" s="18"/>
      <c r="C20" s="11"/>
      <c r="D20" s="11"/>
      <c r="E20" s="11"/>
      <c r="F20" s="11"/>
      <c r="G20" s="11"/>
      <c r="H20" s="11"/>
      <c r="I20" s="12"/>
      <c r="J20" s="13" t="str">
        <f aca="false">IF($H20="","",IFERROR(VLOOKUP($H20,'BẢNG GIÁ GỐC'!$A$5:$D$254,3,FALSE()),""))</f>
        <v/>
      </c>
      <c r="K20" s="12"/>
      <c r="L20" s="13" t="str">
        <f aca="false">IF($C20="","",N($I20)*N($K20))</f>
        <v/>
      </c>
      <c r="M20" s="11"/>
      <c r="N20" s="14" t="str">
        <f aca="false">IF($C20="","",IF($M20="VAT 5%",0.05,IF($M20="VAT 8%",0.08,IF($M20="VAT 10%",0.1,0))))</f>
        <v/>
      </c>
      <c r="O20" s="13" t="str">
        <f aca="false">IF($C20="","",$L20*$N20)</f>
        <v/>
      </c>
      <c r="P20" s="13" t="str">
        <f aca="false">IF($C20="","",$L20+$O20)</f>
        <v/>
      </c>
      <c r="Q20" s="12"/>
      <c r="R20" s="13" t="str">
        <f aca="false">IF($C20="","",MAX(0,$P20-N($Q20)))</f>
        <v/>
      </c>
      <c r="S20" s="23" t="str">
        <f aca="false">IF(OR($C20="",$P20=0),"",IF(N($Q20)&lt;=0,"Chưa thanh toán",IF(N($Q20)&lt;$P20,"Thanh toán một phần","Đã thanh toán")))</f>
        <v/>
      </c>
      <c r="T20" s="13" t="str">
        <f aca="false">IF(OR($C20="",$J20=""),"",N($I20)*$J20)</f>
        <v/>
      </c>
      <c r="U20" s="13" t="str">
        <f aca="false">IF(OR($C20="",$T20=""),"",$L20-$T20)</f>
        <v/>
      </c>
      <c r="V20" s="14" t="str">
        <f aca="false">IF(OR($U20="",$L20=0),"",$U20/$L20)</f>
        <v/>
      </c>
      <c r="W20" s="11"/>
      <c r="X20" s="23" t="str">
        <f aca="false">IF($C20="","",IF(AND($H20="",N($I20)=0,N($K20)=0),"Dòng chỉ lưu thông tin khách (chưa có đơn); ",IF($B20="","Thiếu ngày đặt; ","")&amp;IF($H20="","Thiếu tên sản phẩm; ",IF($J20="","Chưa khai GIÁ GỐC ở BẢNG GIÁ GỐC; ",""))&amp;IF(N($I20)&lt;=0,"Thiếu số lượng; ","")&amp;IF(N($K20)&lt;=0,"Thiếu giá bán; ","")&amp;IF(AND($N20&gt;0,$F20=""),"Khách lấy VAT thiếu mã số thuế; ","")&amp;IF(N($Q20)&gt;$P20,"Đã thu vượt tổng phải thu; ","")&amp;IF(AND($L20&gt;0,$U20&lt;&gt;"",$U20&lt;0),"CẢNH BÁO: ĐƠN NÀY ĐANG LỖ; ","")))</f>
        <v/>
      </c>
      <c r="Z20" s="18"/>
      <c r="AA20" s="11"/>
      <c r="AB20" s="11"/>
      <c r="AC20" s="12"/>
      <c r="AD20" s="11"/>
    </row>
    <row r="21" customFormat="false" ht="15" hidden="false" customHeight="false" outlineLevel="0" collapsed="false">
      <c r="A21" s="21" t="str">
        <f aca="false">IF($C21="","",COUNTA($C$10:$C21))</f>
        <v/>
      </c>
      <c r="B21" s="18"/>
      <c r="C21" s="11"/>
      <c r="D21" s="11"/>
      <c r="E21" s="11"/>
      <c r="F21" s="11"/>
      <c r="G21" s="11"/>
      <c r="H21" s="11"/>
      <c r="I21" s="12"/>
      <c r="J21" s="13" t="str">
        <f aca="false">IF($H21="","",IFERROR(VLOOKUP($H21,'BẢNG GIÁ GỐC'!$A$5:$D$254,3,FALSE()),""))</f>
        <v/>
      </c>
      <c r="K21" s="12"/>
      <c r="L21" s="13" t="str">
        <f aca="false">IF($C21="","",N($I21)*N($K21))</f>
        <v/>
      </c>
      <c r="M21" s="11"/>
      <c r="N21" s="14" t="str">
        <f aca="false">IF($C21="","",IF($M21="VAT 5%",0.05,IF($M21="VAT 8%",0.08,IF($M21="VAT 10%",0.1,0))))</f>
        <v/>
      </c>
      <c r="O21" s="13" t="str">
        <f aca="false">IF($C21="","",$L21*$N21)</f>
        <v/>
      </c>
      <c r="P21" s="13" t="str">
        <f aca="false">IF($C21="","",$L21+$O21)</f>
        <v/>
      </c>
      <c r="Q21" s="12"/>
      <c r="R21" s="13" t="str">
        <f aca="false">IF($C21="","",MAX(0,$P21-N($Q21)))</f>
        <v/>
      </c>
      <c r="S21" s="23" t="str">
        <f aca="false">IF(OR($C21="",$P21=0),"",IF(N($Q21)&lt;=0,"Chưa thanh toán",IF(N($Q21)&lt;$P21,"Thanh toán một phần","Đã thanh toán")))</f>
        <v/>
      </c>
      <c r="T21" s="13" t="str">
        <f aca="false">IF(OR($C21="",$J21=""),"",N($I21)*$J21)</f>
        <v/>
      </c>
      <c r="U21" s="13" t="str">
        <f aca="false">IF(OR($C21="",$T21=""),"",$L21-$T21)</f>
        <v/>
      </c>
      <c r="V21" s="14" t="str">
        <f aca="false">IF(OR($U21="",$L21=0),"",$U21/$L21)</f>
        <v/>
      </c>
      <c r="W21" s="11"/>
      <c r="X21" s="23" t="str">
        <f aca="false">IF($C21="","",IF(AND($H21="",N($I21)=0,N($K21)=0),"Dòng chỉ lưu thông tin khách (chưa có đơn); ",IF($B21="","Thiếu ngày đặt; ","")&amp;IF($H21="","Thiếu tên sản phẩm; ",IF($J21="","Chưa khai GIÁ GỐC ở BẢNG GIÁ GỐC; ",""))&amp;IF(N($I21)&lt;=0,"Thiếu số lượng; ","")&amp;IF(N($K21)&lt;=0,"Thiếu giá bán; ","")&amp;IF(AND($N21&gt;0,$F21=""),"Khách lấy VAT thiếu mã số thuế; ","")&amp;IF(N($Q21)&gt;$P21,"Đã thu vượt tổng phải thu; ","")&amp;IF(AND($L21&gt;0,$U21&lt;&gt;"",$U21&lt;0),"CẢNH BÁO: ĐƠN NÀY ĐANG LỖ; ","")))</f>
        <v/>
      </c>
      <c r="Z21" s="18"/>
      <c r="AA21" s="11"/>
      <c r="AB21" s="11"/>
      <c r="AC21" s="12"/>
      <c r="AD21" s="11"/>
    </row>
    <row r="22" customFormat="false" ht="15" hidden="false" customHeight="false" outlineLevel="0" collapsed="false">
      <c r="A22" s="21" t="str">
        <f aca="false">IF($C22="","",COUNTA($C$10:$C22))</f>
        <v/>
      </c>
      <c r="B22" s="18"/>
      <c r="C22" s="11"/>
      <c r="D22" s="11"/>
      <c r="E22" s="11"/>
      <c r="F22" s="11"/>
      <c r="G22" s="11"/>
      <c r="H22" s="11"/>
      <c r="I22" s="12"/>
      <c r="J22" s="13" t="str">
        <f aca="false">IF($H22="","",IFERROR(VLOOKUP($H22,'BẢNG GIÁ GỐC'!$A$5:$D$254,3,FALSE()),""))</f>
        <v/>
      </c>
      <c r="K22" s="12"/>
      <c r="L22" s="13" t="str">
        <f aca="false">IF($C22="","",N($I22)*N($K22))</f>
        <v/>
      </c>
      <c r="M22" s="11"/>
      <c r="N22" s="14" t="str">
        <f aca="false">IF($C22="","",IF($M22="VAT 5%",0.05,IF($M22="VAT 8%",0.08,IF($M22="VAT 10%",0.1,0))))</f>
        <v/>
      </c>
      <c r="O22" s="13" t="str">
        <f aca="false">IF($C22="","",$L22*$N22)</f>
        <v/>
      </c>
      <c r="P22" s="13" t="str">
        <f aca="false">IF($C22="","",$L22+$O22)</f>
        <v/>
      </c>
      <c r="Q22" s="12"/>
      <c r="R22" s="13" t="str">
        <f aca="false">IF($C22="","",MAX(0,$P22-N($Q22)))</f>
        <v/>
      </c>
      <c r="S22" s="23" t="str">
        <f aca="false">IF(OR($C22="",$P22=0),"",IF(N($Q22)&lt;=0,"Chưa thanh toán",IF(N($Q22)&lt;$P22,"Thanh toán một phần","Đã thanh toán")))</f>
        <v/>
      </c>
      <c r="T22" s="13" t="str">
        <f aca="false">IF(OR($C22="",$J22=""),"",N($I22)*$J22)</f>
        <v/>
      </c>
      <c r="U22" s="13" t="str">
        <f aca="false">IF(OR($C22="",$T22=""),"",$L22-$T22)</f>
        <v/>
      </c>
      <c r="V22" s="14" t="str">
        <f aca="false">IF(OR($U22="",$L22=0),"",$U22/$L22)</f>
        <v/>
      </c>
      <c r="W22" s="11"/>
      <c r="X22" s="23" t="str">
        <f aca="false">IF($C22="","",IF(AND($H22="",N($I22)=0,N($K22)=0),"Dòng chỉ lưu thông tin khách (chưa có đơn); ",IF($B22="","Thiếu ngày đặt; ","")&amp;IF($H22="","Thiếu tên sản phẩm; ",IF($J22="","Chưa khai GIÁ GỐC ở BẢNG GIÁ GỐC; ",""))&amp;IF(N($I22)&lt;=0,"Thiếu số lượng; ","")&amp;IF(N($K22)&lt;=0,"Thiếu giá bán; ","")&amp;IF(AND($N22&gt;0,$F22=""),"Khách lấy VAT thiếu mã số thuế; ","")&amp;IF(N($Q22)&gt;$P22,"Đã thu vượt tổng phải thu; ","")&amp;IF(AND($L22&gt;0,$U22&lt;&gt;"",$U22&lt;0),"CẢNH BÁO: ĐƠN NÀY ĐANG LỖ; ","")))</f>
        <v/>
      </c>
      <c r="Z22" s="18"/>
      <c r="AA22" s="11"/>
      <c r="AB22" s="11"/>
      <c r="AC22" s="12"/>
      <c r="AD22" s="11"/>
    </row>
    <row r="23" customFormat="false" ht="15" hidden="false" customHeight="false" outlineLevel="0" collapsed="false">
      <c r="A23" s="21" t="str">
        <f aca="false">IF($C23="","",COUNTA($C$10:$C23))</f>
        <v/>
      </c>
      <c r="B23" s="18"/>
      <c r="C23" s="11"/>
      <c r="D23" s="11"/>
      <c r="E23" s="11"/>
      <c r="F23" s="11"/>
      <c r="G23" s="11"/>
      <c r="H23" s="11"/>
      <c r="I23" s="12"/>
      <c r="J23" s="13" t="str">
        <f aca="false">IF($H23="","",IFERROR(VLOOKUP($H23,'BẢNG GIÁ GỐC'!$A$5:$D$254,3,FALSE()),""))</f>
        <v/>
      </c>
      <c r="K23" s="12"/>
      <c r="L23" s="13" t="str">
        <f aca="false">IF($C23="","",N($I23)*N($K23))</f>
        <v/>
      </c>
      <c r="M23" s="11"/>
      <c r="N23" s="14" t="str">
        <f aca="false">IF($C23="","",IF($M23="VAT 5%",0.05,IF($M23="VAT 8%",0.08,IF($M23="VAT 10%",0.1,0))))</f>
        <v/>
      </c>
      <c r="O23" s="13" t="str">
        <f aca="false">IF($C23="","",$L23*$N23)</f>
        <v/>
      </c>
      <c r="P23" s="13" t="str">
        <f aca="false">IF($C23="","",$L23+$O23)</f>
        <v/>
      </c>
      <c r="Q23" s="12"/>
      <c r="R23" s="13" t="str">
        <f aca="false">IF($C23="","",MAX(0,$P23-N($Q23)))</f>
        <v/>
      </c>
      <c r="S23" s="23" t="str">
        <f aca="false">IF(OR($C23="",$P23=0),"",IF(N($Q23)&lt;=0,"Chưa thanh toán",IF(N($Q23)&lt;$P23,"Thanh toán một phần","Đã thanh toán")))</f>
        <v/>
      </c>
      <c r="T23" s="13" t="str">
        <f aca="false">IF(OR($C23="",$J23=""),"",N($I23)*$J23)</f>
        <v/>
      </c>
      <c r="U23" s="13" t="str">
        <f aca="false">IF(OR($C23="",$T23=""),"",$L23-$T23)</f>
        <v/>
      </c>
      <c r="V23" s="14" t="str">
        <f aca="false">IF(OR($U23="",$L23=0),"",$U23/$L23)</f>
        <v/>
      </c>
      <c r="W23" s="11"/>
      <c r="X23" s="23" t="str">
        <f aca="false">IF($C23="","",IF(AND($H23="",N($I23)=0,N($K23)=0),"Dòng chỉ lưu thông tin khách (chưa có đơn); ",IF($B23="","Thiếu ngày đặt; ","")&amp;IF($H23="","Thiếu tên sản phẩm; ",IF($J23="","Chưa khai GIÁ GỐC ở BẢNG GIÁ GỐC; ",""))&amp;IF(N($I23)&lt;=0,"Thiếu số lượng; ","")&amp;IF(N($K23)&lt;=0,"Thiếu giá bán; ","")&amp;IF(AND($N23&gt;0,$F23=""),"Khách lấy VAT thiếu mã số thuế; ","")&amp;IF(N($Q23)&gt;$P23,"Đã thu vượt tổng phải thu; ","")&amp;IF(AND($L23&gt;0,$U23&lt;&gt;"",$U23&lt;0),"CẢNH BÁO: ĐƠN NÀY ĐANG LỖ; ","")))</f>
        <v/>
      </c>
      <c r="Z23" s="18"/>
      <c r="AA23" s="11"/>
      <c r="AB23" s="11"/>
      <c r="AC23" s="12"/>
      <c r="AD23" s="11"/>
    </row>
    <row r="24" customFormat="false" ht="15" hidden="false" customHeight="false" outlineLevel="0" collapsed="false">
      <c r="A24" s="21" t="str">
        <f aca="false">IF($C24="","",COUNTA($C$10:$C24))</f>
        <v/>
      </c>
      <c r="B24" s="18"/>
      <c r="C24" s="11"/>
      <c r="D24" s="11"/>
      <c r="E24" s="11"/>
      <c r="F24" s="11"/>
      <c r="G24" s="11"/>
      <c r="H24" s="11"/>
      <c r="I24" s="12"/>
      <c r="J24" s="13" t="str">
        <f aca="false">IF($H24="","",IFERROR(VLOOKUP($H24,'BẢNG GIÁ GỐC'!$A$5:$D$254,3,FALSE()),""))</f>
        <v/>
      </c>
      <c r="K24" s="12"/>
      <c r="L24" s="13" t="str">
        <f aca="false">IF($C24="","",N($I24)*N($K24))</f>
        <v/>
      </c>
      <c r="M24" s="11"/>
      <c r="N24" s="14" t="str">
        <f aca="false">IF($C24="","",IF($M24="VAT 5%",0.05,IF($M24="VAT 8%",0.08,IF($M24="VAT 10%",0.1,0))))</f>
        <v/>
      </c>
      <c r="O24" s="13" t="str">
        <f aca="false">IF($C24="","",$L24*$N24)</f>
        <v/>
      </c>
      <c r="P24" s="13" t="str">
        <f aca="false">IF($C24="","",$L24+$O24)</f>
        <v/>
      </c>
      <c r="Q24" s="12"/>
      <c r="R24" s="13" t="str">
        <f aca="false">IF($C24="","",MAX(0,$P24-N($Q24)))</f>
        <v/>
      </c>
      <c r="S24" s="23" t="str">
        <f aca="false">IF(OR($C24="",$P24=0),"",IF(N($Q24)&lt;=0,"Chưa thanh toán",IF(N($Q24)&lt;$P24,"Thanh toán một phần","Đã thanh toán")))</f>
        <v/>
      </c>
      <c r="T24" s="13" t="str">
        <f aca="false">IF(OR($C24="",$J24=""),"",N($I24)*$J24)</f>
        <v/>
      </c>
      <c r="U24" s="13" t="str">
        <f aca="false">IF(OR($C24="",$T24=""),"",$L24-$T24)</f>
        <v/>
      </c>
      <c r="V24" s="14" t="str">
        <f aca="false">IF(OR($U24="",$L24=0),"",$U24/$L24)</f>
        <v/>
      </c>
      <c r="W24" s="11"/>
      <c r="X24" s="23" t="str">
        <f aca="false">IF($C24="","",IF(AND($H24="",N($I24)=0,N($K24)=0),"Dòng chỉ lưu thông tin khách (chưa có đơn); ",IF($B24="","Thiếu ngày đặt; ","")&amp;IF($H24="","Thiếu tên sản phẩm; ",IF($J24="","Chưa khai GIÁ GỐC ở BẢNG GIÁ GỐC; ",""))&amp;IF(N($I24)&lt;=0,"Thiếu số lượng; ","")&amp;IF(N($K24)&lt;=0,"Thiếu giá bán; ","")&amp;IF(AND($N24&gt;0,$F24=""),"Khách lấy VAT thiếu mã số thuế; ","")&amp;IF(N($Q24)&gt;$P24,"Đã thu vượt tổng phải thu; ","")&amp;IF(AND($L24&gt;0,$U24&lt;&gt;"",$U24&lt;0),"CẢNH BÁO: ĐƠN NÀY ĐANG LỖ; ","")))</f>
        <v/>
      </c>
      <c r="Z24" s="18"/>
      <c r="AA24" s="11"/>
      <c r="AB24" s="11"/>
      <c r="AC24" s="12"/>
      <c r="AD24" s="11"/>
    </row>
    <row r="25" customFormat="false" ht="15" hidden="false" customHeight="false" outlineLevel="0" collapsed="false">
      <c r="A25" s="21" t="str">
        <f aca="false">IF($C25="","",COUNTA($C$10:$C25))</f>
        <v/>
      </c>
      <c r="B25" s="18"/>
      <c r="C25" s="11"/>
      <c r="D25" s="11"/>
      <c r="E25" s="11"/>
      <c r="F25" s="11"/>
      <c r="G25" s="11"/>
      <c r="H25" s="11"/>
      <c r="I25" s="12"/>
      <c r="J25" s="13" t="str">
        <f aca="false">IF($H25="","",IFERROR(VLOOKUP($H25,'BẢNG GIÁ GỐC'!$A$5:$D$254,3,FALSE()),""))</f>
        <v/>
      </c>
      <c r="K25" s="12"/>
      <c r="L25" s="13" t="str">
        <f aca="false">IF($C25="","",N($I25)*N($K25))</f>
        <v/>
      </c>
      <c r="M25" s="11"/>
      <c r="N25" s="14" t="str">
        <f aca="false">IF($C25="","",IF($M25="VAT 5%",0.05,IF($M25="VAT 8%",0.08,IF($M25="VAT 10%",0.1,0))))</f>
        <v/>
      </c>
      <c r="O25" s="13" t="str">
        <f aca="false">IF($C25="","",$L25*$N25)</f>
        <v/>
      </c>
      <c r="P25" s="13" t="str">
        <f aca="false">IF($C25="","",$L25+$O25)</f>
        <v/>
      </c>
      <c r="Q25" s="12"/>
      <c r="R25" s="13" t="str">
        <f aca="false">IF($C25="","",MAX(0,$P25-N($Q25)))</f>
        <v/>
      </c>
      <c r="S25" s="23" t="str">
        <f aca="false">IF(OR($C25="",$P25=0),"",IF(N($Q25)&lt;=0,"Chưa thanh toán",IF(N($Q25)&lt;$P25,"Thanh toán một phần","Đã thanh toán")))</f>
        <v/>
      </c>
      <c r="T25" s="13" t="str">
        <f aca="false">IF(OR($C25="",$J25=""),"",N($I25)*$J25)</f>
        <v/>
      </c>
      <c r="U25" s="13" t="str">
        <f aca="false">IF(OR($C25="",$T25=""),"",$L25-$T25)</f>
        <v/>
      </c>
      <c r="V25" s="14" t="str">
        <f aca="false">IF(OR($U25="",$L25=0),"",$U25/$L25)</f>
        <v/>
      </c>
      <c r="W25" s="11"/>
      <c r="X25" s="23" t="str">
        <f aca="false">IF($C25="","",IF(AND($H25="",N($I25)=0,N($K25)=0),"Dòng chỉ lưu thông tin khách (chưa có đơn); ",IF($B25="","Thiếu ngày đặt; ","")&amp;IF($H25="","Thiếu tên sản phẩm; ",IF($J25="","Chưa khai GIÁ GỐC ở BẢNG GIÁ GỐC; ",""))&amp;IF(N($I25)&lt;=0,"Thiếu số lượng; ","")&amp;IF(N($K25)&lt;=0,"Thiếu giá bán; ","")&amp;IF(AND($N25&gt;0,$F25=""),"Khách lấy VAT thiếu mã số thuế; ","")&amp;IF(N($Q25)&gt;$P25,"Đã thu vượt tổng phải thu; ","")&amp;IF(AND($L25&gt;0,$U25&lt;&gt;"",$U25&lt;0),"CẢNH BÁO: ĐƠN NÀY ĐANG LỖ; ","")))</f>
        <v/>
      </c>
      <c r="Z25" s="24" t="s">
        <v>177</v>
      </c>
      <c r="AA25" s="24"/>
      <c r="AB25" s="24"/>
      <c r="AC25" s="25" t="n">
        <f aca="false">SUM(AC5:AC24)</f>
        <v>0</v>
      </c>
      <c r="AD25" s="26"/>
    </row>
    <row r="26" customFormat="false" ht="15" hidden="false" customHeight="false" outlineLevel="0" collapsed="false">
      <c r="A26" s="21" t="str">
        <f aca="false">IF($C26="","",COUNTA($C$10:$C26))</f>
        <v/>
      </c>
      <c r="B26" s="18"/>
      <c r="C26" s="11"/>
      <c r="D26" s="11"/>
      <c r="E26" s="11"/>
      <c r="F26" s="11"/>
      <c r="G26" s="11"/>
      <c r="H26" s="11"/>
      <c r="I26" s="12"/>
      <c r="J26" s="13" t="str">
        <f aca="false">IF($H26="","",IFERROR(VLOOKUP($H26,'BẢNG GIÁ GỐC'!$A$5:$D$254,3,FALSE()),""))</f>
        <v/>
      </c>
      <c r="K26" s="12"/>
      <c r="L26" s="13" t="str">
        <f aca="false">IF($C26="","",N($I26)*N($K26))</f>
        <v/>
      </c>
      <c r="M26" s="11"/>
      <c r="N26" s="14" t="str">
        <f aca="false">IF($C26="","",IF($M26="VAT 5%",0.05,IF($M26="VAT 8%",0.08,IF($M26="VAT 10%",0.1,0))))</f>
        <v/>
      </c>
      <c r="O26" s="13" t="str">
        <f aca="false">IF($C26="","",$L26*$N26)</f>
        <v/>
      </c>
      <c r="P26" s="13" t="str">
        <f aca="false">IF($C26="","",$L26+$O26)</f>
        <v/>
      </c>
      <c r="Q26" s="12"/>
      <c r="R26" s="13" t="str">
        <f aca="false">IF($C26="","",MAX(0,$P26-N($Q26)))</f>
        <v/>
      </c>
      <c r="S26" s="23" t="str">
        <f aca="false">IF(OR($C26="",$P26=0),"",IF(N($Q26)&lt;=0,"Chưa thanh toán",IF(N($Q26)&lt;$P26,"Thanh toán một phần","Đã thanh toán")))</f>
        <v/>
      </c>
      <c r="T26" s="13" t="str">
        <f aca="false">IF(OR($C26="",$J26=""),"",N($I26)*$J26)</f>
        <v/>
      </c>
      <c r="U26" s="13" t="str">
        <f aca="false">IF(OR($C26="",$T26=""),"",$L26-$T26)</f>
        <v/>
      </c>
      <c r="V26" s="14" t="str">
        <f aca="false">IF(OR($U26="",$L26=0),"",$U26/$L26)</f>
        <v/>
      </c>
      <c r="W26" s="11"/>
      <c r="X26" s="23" t="str">
        <f aca="false">IF($C26="","",IF(AND($H26="",N($I26)=0,N($K26)=0),"Dòng chỉ lưu thông tin khách (chưa có đơn); ",IF($B26="","Thiếu ngày đặt; ","")&amp;IF($H26="","Thiếu tên sản phẩm; ",IF($J26="","Chưa khai GIÁ GỐC ở BẢNG GIÁ GỐC; ",""))&amp;IF(N($I26)&lt;=0,"Thiếu số lượng; ","")&amp;IF(N($K26)&lt;=0,"Thiếu giá bán; ","")&amp;IF(AND($N26&gt;0,$F26=""),"Khách lấy VAT thiếu mã số thuế; ","")&amp;IF(N($Q26)&gt;$P26,"Đã thu vượt tổng phải thu; ","")&amp;IF(AND($L26&gt;0,$U26&lt;&gt;"",$U26&lt;0),"CẢNH BÁO: ĐƠN NÀY ĐANG LỖ; ","")))</f>
        <v/>
      </c>
    </row>
    <row r="27" customFormat="false" ht="15" hidden="false" customHeight="false" outlineLevel="0" collapsed="false">
      <c r="A27" s="21" t="str">
        <f aca="false">IF($C27="","",COUNTA($C$10:$C27))</f>
        <v/>
      </c>
      <c r="B27" s="18"/>
      <c r="C27" s="11"/>
      <c r="D27" s="11"/>
      <c r="E27" s="11"/>
      <c r="F27" s="11"/>
      <c r="G27" s="11"/>
      <c r="H27" s="11"/>
      <c r="I27" s="12"/>
      <c r="J27" s="13" t="str">
        <f aca="false">IF($H27="","",IFERROR(VLOOKUP($H27,'BẢNG GIÁ GỐC'!$A$5:$D$254,3,FALSE()),""))</f>
        <v/>
      </c>
      <c r="K27" s="12"/>
      <c r="L27" s="13" t="str">
        <f aca="false">IF($C27="","",N($I27)*N($K27))</f>
        <v/>
      </c>
      <c r="M27" s="11"/>
      <c r="N27" s="14" t="str">
        <f aca="false">IF($C27="","",IF($M27="VAT 5%",0.05,IF($M27="VAT 8%",0.08,IF($M27="VAT 10%",0.1,0))))</f>
        <v/>
      </c>
      <c r="O27" s="13" t="str">
        <f aca="false">IF($C27="","",$L27*$N27)</f>
        <v/>
      </c>
      <c r="P27" s="13" t="str">
        <f aca="false">IF($C27="","",$L27+$O27)</f>
        <v/>
      </c>
      <c r="Q27" s="12"/>
      <c r="R27" s="13" t="str">
        <f aca="false">IF($C27="","",MAX(0,$P27-N($Q27)))</f>
        <v/>
      </c>
      <c r="S27" s="23" t="str">
        <f aca="false">IF(OR($C27="",$P27=0),"",IF(N($Q27)&lt;=0,"Chưa thanh toán",IF(N($Q27)&lt;$P27,"Thanh toán một phần","Đã thanh toán")))</f>
        <v/>
      </c>
      <c r="T27" s="13" t="str">
        <f aca="false">IF(OR($C27="",$J27=""),"",N($I27)*$J27)</f>
        <v/>
      </c>
      <c r="U27" s="13" t="str">
        <f aca="false">IF(OR($C27="",$T27=""),"",$L27-$T27)</f>
        <v/>
      </c>
      <c r="V27" s="14" t="str">
        <f aca="false">IF(OR($U27="",$L27=0),"",$U27/$L27)</f>
        <v/>
      </c>
      <c r="W27" s="11"/>
      <c r="X27" s="23" t="str">
        <f aca="false">IF($C27="","",IF(AND($H27="",N($I27)=0,N($K27)=0),"Dòng chỉ lưu thông tin khách (chưa có đơn); ",IF($B27="","Thiếu ngày đặt; ","")&amp;IF($H27="","Thiếu tên sản phẩm; ",IF($J27="","Chưa khai GIÁ GỐC ở BẢNG GIÁ GỐC; ",""))&amp;IF(N($I27)&lt;=0,"Thiếu số lượng; ","")&amp;IF(N($K27)&lt;=0,"Thiếu giá bán; ","")&amp;IF(AND($N27&gt;0,$F27=""),"Khách lấy VAT thiếu mã số thuế; ","")&amp;IF(N($Q27)&gt;$P27,"Đã thu vượt tổng phải thu; ","")&amp;IF(AND($L27&gt;0,$U27&lt;&gt;"",$U27&lt;0),"CẢNH BÁO: ĐƠN NÀY ĐANG LỖ; ","")))</f>
        <v/>
      </c>
    </row>
    <row r="28" customFormat="false" ht="15" hidden="false" customHeight="false" outlineLevel="0" collapsed="false">
      <c r="A28" s="21" t="str">
        <f aca="false">IF($C28="","",COUNTA($C$10:$C28))</f>
        <v/>
      </c>
      <c r="B28" s="18"/>
      <c r="C28" s="11"/>
      <c r="D28" s="11"/>
      <c r="E28" s="11"/>
      <c r="F28" s="11"/>
      <c r="G28" s="11"/>
      <c r="H28" s="11"/>
      <c r="I28" s="12"/>
      <c r="J28" s="13" t="str">
        <f aca="false">IF($H28="","",IFERROR(VLOOKUP($H28,'BẢNG GIÁ GỐC'!$A$5:$D$254,3,FALSE()),""))</f>
        <v/>
      </c>
      <c r="K28" s="12"/>
      <c r="L28" s="13" t="str">
        <f aca="false">IF($C28="","",N($I28)*N($K28))</f>
        <v/>
      </c>
      <c r="M28" s="11"/>
      <c r="N28" s="14" t="str">
        <f aca="false">IF($C28="","",IF($M28="VAT 5%",0.05,IF($M28="VAT 8%",0.08,IF($M28="VAT 10%",0.1,0))))</f>
        <v/>
      </c>
      <c r="O28" s="13" t="str">
        <f aca="false">IF($C28="","",$L28*$N28)</f>
        <v/>
      </c>
      <c r="P28" s="13" t="str">
        <f aca="false">IF($C28="","",$L28+$O28)</f>
        <v/>
      </c>
      <c r="Q28" s="12"/>
      <c r="R28" s="13" t="str">
        <f aca="false">IF($C28="","",MAX(0,$P28-N($Q28)))</f>
        <v/>
      </c>
      <c r="S28" s="23" t="str">
        <f aca="false">IF(OR($C28="",$P28=0),"",IF(N($Q28)&lt;=0,"Chưa thanh toán",IF(N($Q28)&lt;$P28,"Thanh toán một phần","Đã thanh toán")))</f>
        <v/>
      </c>
      <c r="T28" s="13" t="str">
        <f aca="false">IF(OR($C28="",$J28=""),"",N($I28)*$J28)</f>
        <v/>
      </c>
      <c r="U28" s="13" t="str">
        <f aca="false">IF(OR($C28="",$T28=""),"",$L28-$T28)</f>
        <v/>
      </c>
      <c r="V28" s="14" t="str">
        <f aca="false">IF(OR($U28="",$L28=0),"",$U28/$L28)</f>
        <v/>
      </c>
      <c r="W28" s="11"/>
      <c r="X28" s="23" t="str">
        <f aca="false">IF($C28="","",IF(AND($H28="",N($I28)=0,N($K28)=0),"Dòng chỉ lưu thông tin khách (chưa có đơn); ",IF($B28="","Thiếu ngày đặt; ","")&amp;IF($H28="","Thiếu tên sản phẩm; ",IF($J28="","Chưa khai GIÁ GỐC ở BẢNG GIÁ GỐC; ",""))&amp;IF(N($I28)&lt;=0,"Thiếu số lượng; ","")&amp;IF(N($K28)&lt;=0,"Thiếu giá bán; ","")&amp;IF(AND($N28&gt;0,$F28=""),"Khách lấy VAT thiếu mã số thuế; ","")&amp;IF(N($Q28)&gt;$P28,"Đã thu vượt tổng phải thu; ","")&amp;IF(AND($L28&gt;0,$U28&lt;&gt;"",$U28&lt;0),"CẢNH BÁO: ĐƠN NÀY ĐANG LỖ; ","")))</f>
        <v/>
      </c>
    </row>
    <row r="29" customFormat="false" ht="15" hidden="false" customHeight="false" outlineLevel="0" collapsed="false">
      <c r="A29" s="21" t="str">
        <f aca="false">IF($C29="","",COUNTA($C$10:$C29))</f>
        <v/>
      </c>
      <c r="B29" s="18"/>
      <c r="C29" s="11"/>
      <c r="D29" s="11"/>
      <c r="E29" s="11"/>
      <c r="F29" s="11"/>
      <c r="G29" s="11"/>
      <c r="H29" s="11"/>
      <c r="I29" s="12"/>
      <c r="J29" s="13" t="str">
        <f aca="false">IF($H29="","",IFERROR(VLOOKUP($H29,'BẢNG GIÁ GỐC'!$A$5:$D$254,3,FALSE()),""))</f>
        <v/>
      </c>
      <c r="K29" s="12"/>
      <c r="L29" s="13" t="str">
        <f aca="false">IF($C29="","",N($I29)*N($K29))</f>
        <v/>
      </c>
      <c r="M29" s="11"/>
      <c r="N29" s="14" t="str">
        <f aca="false">IF($C29="","",IF($M29="VAT 5%",0.05,IF($M29="VAT 8%",0.08,IF($M29="VAT 10%",0.1,0))))</f>
        <v/>
      </c>
      <c r="O29" s="13" t="str">
        <f aca="false">IF($C29="","",$L29*$N29)</f>
        <v/>
      </c>
      <c r="P29" s="13" t="str">
        <f aca="false">IF($C29="","",$L29+$O29)</f>
        <v/>
      </c>
      <c r="Q29" s="12"/>
      <c r="R29" s="13" t="str">
        <f aca="false">IF($C29="","",MAX(0,$P29-N($Q29)))</f>
        <v/>
      </c>
      <c r="S29" s="23" t="str">
        <f aca="false">IF(OR($C29="",$P29=0),"",IF(N($Q29)&lt;=0,"Chưa thanh toán",IF(N($Q29)&lt;$P29,"Thanh toán một phần","Đã thanh toán")))</f>
        <v/>
      </c>
      <c r="T29" s="13" t="str">
        <f aca="false">IF(OR($C29="",$J29=""),"",N($I29)*$J29)</f>
        <v/>
      </c>
      <c r="U29" s="13" t="str">
        <f aca="false">IF(OR($C29="",$T29=""),"",$L29-$T29)</f>
        <v/>
      </c>
      <c r="V29" s="14" t="str">
        <f aca="false">IF(OR($U29="",$L29=0),"",$U29/$L29)</f>
        <v/>
      </c>
      <c r="W29" s="11"/>
      <c r="X29" s="23" t="str">
        <f aca="false">IF($C29="","",IF(AND($H29="",N($I29)=0,N($K29)=0),"Dòng chỉ lưu thông tin khách (chưa có đơn); ",IF($B29="","Thiếu ngày đặt; ","")&amp;IF($H29="","Thiếu tên sản phẩm; ",IF($J29="","Chưa khai GIÁ GỐC ở BẢNG GIÁ GỐC; ",""))&amp;IF(N($I29)&lt;=0,"Thiếu số lượng; ","")&amp;IF(N($K29)&lt;=0,"Thiếu giá bán; ","")&amp;IF(AND($N29&gt;0,$F29=""),"Khách lấy VAT thiếu mã số thuế; ","")&amp;IF(N($Q29)&gt;$P29,"Đã thu vượt tổng phải thu; ","")&amp;IF(AND($L29&gt;0,$U29&lt;&gt;"",$U29&lt;0),"CẢNH BÁO: ĐƠN NÀY ĐANG LỖ; ","")))</f>
        <v/>
      </c>
    </row>
    <row r="30" customFormat="false" ht="15" hidden="false" customHeight="false" outlineLevel="0" collapsed="false">
      <c r="A30" s="21" t="str">
        <f aca="false">IF($C30="","",COUNTA($C$10:$C30))</f>
        <v/>
      </c>
      <c r="B30" s="18"/>
      <c r="C30" s="11"/>
      <c r="D30" s="11"/>
      <c r="E30" s="11"/>
      <c r="F30" s="11"/>
      <c r="G30" s="11"/>
      <c r="H30" s="11"/>
      <c r="I30" s="12"/>
      <c r="J30" s="13" t="str">
        <f aca="false">IF($H30="","",IFERROR(VLOOKUP($H30,'BẢNG GIÁ GỐC'!$A$5:$D$254,3,FALSE()),""))</f>
        <v/>
      </c>
      <c r="K30" s="12"/>
      <c r="L30" s="13" t="str">
        <f aca="false">IF($C30="","",N($I30)*N($K30))</f>
        <v/>
      </c>
      <c r="M30" s="11"/>
      <c r="N30" s="14" t="str">
        <f aca="false">IF($C30="","",IF($M30="VAT 5%",0.05,IF($M30="VAT 8%",0.08,IF($M30="VAT 10%",0.1,0))))</f>
        <v/>
      </c>
      <c r="O30" s="13" t="str">
        <f aca="false">IF($C30="","",$L30*$N30)</f>
        <v/>
      </c>
      <c r="P30" s="13" t="str">
        <f aca="false">IF($C30="","",$L30+$O30)</f>
        <v/>
      </c>
      <c r="Q30" s="12"/>
      <c r="R30" s="13" t="str">
        <f aca="false">IF($C30="","",MAX(0,$P30-N($Q30)))</f>
        <v/>
      </c>
      <c r="S30" s="23" t="str">
        <f aca="false">IF(OR($C30="",$P30=0),"",IF(N($Q30)&lt;=0,"Chưa thanh toán",IF(N($Q30)&lt;$P30,"Thanh toán một phần","Đã thanh toán")))</f>
        <v/>
      </c>
      <c r="T30" s="13" t="str">
        <f aca="false">IF(OR($C30="",$J30=""),"",N($I30)*$J30)</f>
        <v/>
      </c>
      <c r="U30" s="13" t="str">
        <f aca="false">IF(OR($C30="",$T30=""),"",$L30-$T30)</f>
        <v/>
      </c>
      <c r="V30" s="14" t="str">
        <f aca="false">IF(OR($U30="",$L30=0),"",$U30/$L30)</f>
        <v/>
      </c>
      <c r="W30" s="11"/>
      <c r="X30" s="23" t="str">
        <f aca="false">IF($C30="","",IF(AND($H30="",N($I30)=0,N($K30)=0),"Dòng chỉ lưu thông tin khách (chưa có đơn); ",IF($B30="","Thiếu ngày đặt; ","")&amp;IF($H30="","Thiếu tên sản phẩm; ",IF($J30="","Chưa khai GIÁ GỐC ở BẢNG GIÁ GỐC; ",""))&amp;IF(N($I30)&lt;=0,"Thiếu số lượng; ","")&amp;IF(N($K30)&lt;=0,"Thiếu giá bán; ","")&amp;IF(AND($N30&gt;0,$F30=""),"Khách lấy VAT thiếu mã số thuế; ","")&amp;IF(N($Q30)&gt;$P30,"Đã thu vượt tổng phải thu; ","")&amp;IF(AND($L30&gt;0,$U30&lt;&gt;"",$U30&lt;0),"CẢNH BÁO: ĐƠN NÀY ĐANG LỖ; ","")))</f>
        <v/>
      </c>
    </row>
    <row r="31" customFormat="false" ht="15" hidden="false" customHeight="false" outlineLevel="0" collapsed="false">
      <c r="A31" s="21" t="str">
        <f aca="false">IF($C31="","",COUNTA($C$10:$C31))</f>
        <v/>
      </c>
      <c r="B31" s="18"/>
      <c r="C31" s="11"/>
      <c r="D31" s="11"/>
      <c r="E31" s="11"/>
      <c r="F31" s="11"/>
      <c r="G31" s="11"/>
      <c r="H31" s="11"/>
      <c r="I31" s="12"/>
      <c r="J31" s="13" t="str">
        <f aca="false">IF($H31="","",IFERROR(VLOOKUP($H31,'BẢNG GIÁ GỐC'!$A$5:$D$254,3,FALSE()),""))</f>
        <v/>
      </c>
      <c r="K31" s="12"/>
      <c r="L31" s="13" t="str">
        <f aca="false">IF($C31="","",N($I31)*N($K31))</f>
        <v/>
      </c>
      <c r="M31" s="11"/>
      <c r="N31" s="14" t="str">
        <f aca="false">IF($C31="","",IF($M31="VAT 5%",0.05,IF($M31="VAT 8%",0.08,IF($M31="VAT 10%",0.1,0))))</f>
        <v/>
      </c>
      <c r="O31" s="13" t="str">
        <f aca="false">IF($C31="","",$L31*$N31)</f>
        <v/>
      </c>
      <c r="P31" s="13" t="str">
        <f aca="false">IF($C31="","",$L31+$O31)</f>
        <v/>
      </c>
      <c r="Q31" s="12"/>
      <c r="R31" s="13" t="str">
        <f aca="false">IF($C31="","",MAX(0,$P31-N($Q31)))</f>
        <v/>
      </c>
      <c r="S31" s="23" t="str">
        <f aca="false">IF(OR($C31="",$P31=0),"",IF(N($Q31)&lt;=0,"Chưa thanh toán",IF(N($Q31)&lt;$P31,"Thanh toán một phần","Đã thanh toán")))</f>
        <v/>
      </c>
      <c r="T31" s="13" t="str">
        <f aca="false">IF(OR($C31="",$J31=""),"",N($I31)*$J31)</f>
        <v/>
      </c>
      <c r="U31" s="13" t="str">
        <f aca="false">IF(OR($C31="",$T31=""),"",$L31-$T31)</f>
        <v/>
      </c>
      <c r="V31" s="14" t="str">
        <f aca="false">IF(OR($U31="",$L31=0),"",$U31/$L31)</f>
        <v/>
      </c>
      <c r="W31" s="11"/>
      <c r="X31" s="23" t="str">
        <f aca="false">IF($C31="","",IF(AND($H31="",N($I31)=0,N($K31)=0),"Dòng chỉ lưu thông tin khách (chưa có đơn); ",IF($B31="","Thiếu ngày đặt; ","")&amp;IF($H31="","Thiếu tên sản phẩm; ",IF($J31="","Chưa khai GIÁ GỐC ở BẢNG GIÁ GỐC; ",""))&amp;IF(N($I31)&lt;=0,"Thiếu số lượng; ","")&amp;IF(N($K31)&lt;=0,"Thiếu giá bán; ","")&amp;IF(AND($N31&gt;0,$F31=""),"Khách lấy VAT thiếu mã số thuế; ","")&amp;IF(N($Q31)&gt;$P31,"Đã thu vượt tổng phải thu; ","")&amp;IF(AND($L31&gt;0,$U31&lt;&gt;"",$U31&lt;0),"CẢNH BÁO: ĐƠN NÀY ĐANG LỖ; ","")))</f>
        <v/>
      </c>
    </row>
    <row r="32" customFormat="false" ht="15" hidden="false" customHeight="false" outlineLevel="0" collapsed="false">
      <c r="A32" s="21" t="str">
        <f aca="false">IF($C32="","",COUNTA($C$10:$C32))</f>
        <v/>
      </c>
      <c r="B32" s="18"/>
      <c r="C32" s="11"/>
      <c r="D32" s="11"/>
      <c r="E32" s="11"/>
      <c r="F32" s="11"/>
      <c r="G32" s="11"/>
      <c r="H32" s="11"/>
      <c r="I32" s="12"/>
      <c r="J32" s="13" t="str">
        <f aca="false">IF($H32="","",IFERROR(VLOOKUP($H32,'BẢNG GIÁ GỐC'!$A$5:$D$254,3,FALSE()),""))</f>
        <v/>
      </c>
      <c r="K32" s="12"/>
      <c r="L32" s="13" t="str">
        <f aca="false">IF($C32="","",N($I32)*N($K32))</f>
        <v/>
      </c>
      <c r="M32" s="11"/>
      <c r="N32" s="14" t="str">
        <f aca="false">IF($C32="","",IF($M32="VAT 5%",0.05,IF($M32="VAT 8%",0.08,IF($M32="VAT 10%",0.1,0))))</f>
        <v/>
      </c>
      <c r="O32" s="13" t="str">
        <f aca="false">IF($C32="","",$L32*$N32)</f>
        <v/>
      </c>
      <c r="P32" s="13" t="str">
        <f aca="false">IF($C32="","",$L32+$O32)</f>
        <v/>
      </c>
      <c r="Q32" s="12"/>
      <c r="R32" s="13" t="str">
        <f aca="false">IF($C32="","",MAX(0,$P32-N($Q32)))</f>
        <v/>
      </c>
      <c r="S32" s="23" t="str">
        <f aca="false">IF(OR($C32="",$P32=0),"",IF(N($Q32)&lt;=0,"Chưa thanh toán",IF(N($Q32)&lt;$P32,"Thanh toán một phần","Đã thanh toán")))</f>
        <v/>
      </c>
      <c r="T32" s="13" t="str">
        <f aca="false">IF(OR($C32="",$J32=""),"",N($I32)*$J32)</f>
        <v/>
      </c>
      <c r="U32" s="13" t="str">
        <f aca="false">IF(OR($C32="",$T32=""),"",$L32-$T32)</f>
        <v/>
      </c>
      <c r="V32" s="14" t="str">
        <f aca="false">IF(OR($U32="",$L32=0),"",$U32/$L32)</f>
        <v/>
      </c>
      <c r="W32" s="11"/>
      <c r="X32" s="23" t="str">
        <f aca="false">IF($C32="","",IF(AND($H32="",N($I32)=0,N($K32)=0),"Dòng chỉ lưu thông tin khách (chưa có đơn); ",IF($B32="","Thiếu ngày đặt; ","")&amp;IF($H32="","Thiếu tên sản phẩm; ",IF($J32="","Chưa khai GIÁ GỐC ở BẢNG GIÁ GỐC; ",""))&amp;IF(N($I32)&lt;=0,"Thiếu số lượng; ","")&amp;IF(N($K32)&lt;=0,"Thiếu giá bán; ","")&amp;IF(AND($N32&gt;0,$F32=""),"Khách lấy VAT thiếu mã số thuế; ","")&amp;IF(N($Q32)&gt;$P32,"Đã thu vượt tổng phải thu; ","")&amp;IF(AND($L32&gt;0,$U32&lt;&gt;"",$U32&lt;0),"CẢNH BÁO: ĐƠN NÀY ĐANG LỖ; ","")))</f>
        <v/>
      </c>
    </row>
    <row r="33" customFormat="false" ht="15" hidden="false" customHeight="false" outlineLevel="0" collapsed="false">
      <c r="A33" s="21" t="str">
        <f aca="false">IF($C33="","",COUNTA($C$10:$C33))</f>
        <v/>
      </c>
      <c r="B33" s="18"/>
      <c r="C33" s="11"/>
      <c r="D33" s="11"/>
      <c r="E33" s="11"/>
      <c r="F33" s="11"/>
      <c r="G33" s="11"/>
      <c r="H33" s="11"/>
      <c r="I33" s="12"/>
      <c r="J33" s="13" t="str">
        <f aca="false">IF($H33="","",IFERROR(VLOOKUP($H33,'BẢNG GIÁ GỐC'!$A$5:$D$254,3,FALSE()),""))</f>
        <v/>
      </c>
      <c r="K33" s="12"/>
      <c r="L33" s="13" t="str">
        <f aca="false">IF($C33="","",N($I33)*N($K33))</f>
        <v/>
      </c>
      <c r="M33" s="11"/>
      <c r="N33" s="14" t="str">
        <f aca="false">IF($C33="","",IF($M33="VAT 5%",0.05,IF($M33="VAT 8%",0.08,IF($M33="VAT 10%",0.1,0))))</f>
        <v/>
      </c>
      <c r="O33" s="13" t="str">
        <f aca="false">IF($C33="","",$L33*$N33)</f>
        <v/>
      </c>
      <c r="P33" s="13" t="str">
        <f aca="false">IF($C33="","",$L33+$O33)</f>
        <v/>
      </c>
      <c r="Q33" s="12"/>
      <c r="R33" s="13" t="str">
        <f aca="false">IF($C33="","",MAX(0,$P33-N($Q33)))</f>
        <v/>
      </c>
      <c r="S33" s="23" t="str">
        <f aca="false">IF(OR($C33="",$P33=0),"",IF(N($Q33)&lt;=0,"Chưa thanh toán",IF(N($Q33)&lt;$P33,"Thanh toán một phần","Đã thanh toán")))</f>
        <v/>
      </c>
      <c r="T33" s="13" t="str">
        <f aca="false">IF(OR($C33="",$J33=""),"",N($I33)*$J33)</f>
        <v/>
      </c>
      <c r="U33" s="13" t="str">
        <f aca="false">IF(OR($C33="",$T33=""),"",$L33-$T33)</f>
        <v/>
      </c>
      <c r="V33" s="14" t="str">
        <f aca="false">IF(OR($U33="",$L33=0),"",$U33/$L33)</f>
        <v/>
      </c>
      <c r="W33" s="11"/>
      <c r="X33" s="23" t="str">
        <f aca="false">IF($C33="","",IF(AND($H33="",N($I33)=0,N($K33)=0),"Dòng chỉ lưu thông tin khách (chưa có đơn); ",IF($B33="","Thiếu ngày đặt; ","")&amp;IF($H33="","Thiếu tên sản phẩm; ",IF($J33="","Chưa khai GIÁ GỐC ở BẢNG GIÁ GỐC; ",""))&amp;IF(N($I33)&lt;=0,"Thiếu số lượng; ","")&amp;IF(N($K33)&lt;=0,"Thiếu giá bán; ","")&amp;IF(AND($N33&gt;0,$F33=""),"Khách lấy VAT thiếu mã số thuế; ","")&amp;IF(N($Q33)&gt;$P33,"Đã thu vượt tổng phải thu; ","")&amp;IF(AND($L33&gt;0,$U33&lt;&gt;"",$U33&lt;0),"CẢNH BÁO: ĐƠN NÀY ĐANG LỖ; ","")))</f>
        <v/>
      </c>
    </row>
    <row r="34" customFormat="false" ht="15" hidden="false" customHeight="false" outlineLevel="0" collapsed="false">
      <c r="A34" s="21" t="str">
        <f aca="false">IF($C34="","",COUNTA($C$10:$C34))</f>
        <v/>
      </c>
      <c r="B34" s="18"/>
      <c r="C34" s="11"/>
      <c r="D34" s="11"/>
      <c r="E34" s="11"/>
      <c r="F34" s="11"/>
      <c r="G34" s="11"/>
      <c r="H34" s="11"/>
      <c r="I34" s="12"/>
      <c r="J34" s="13" t="str">
        <f aca="false">IF($H34="","",IFERROR(VLOOKUP($H34,'BẢNG GIÁ GỐC'!$A$5:$D$254,3,FALSE()),""))</f>
        <v/>
      </c>
      <c r="K34" s="12"/>
      <c r="L34" s="13" t="str">
        <f aca="false">IF($C34="","",N($I34)*N($K34))</f>
        <v/>
      </c>
      <c r="M34" s="11"/>
      <c r="N34" s="14" t="str">
        <f aca="false">IF($C34="","",IF($M34="VAT 5%",0.05,IF($M34="VAT 8%",0.08,IF($M34="VAT 10%",0.1,0))))</f>
        <v/>
      </c>
      <c r="O34" s="13" t="str">
        <f aca="false">IF($C34="","",$L34*$N34)</f>
        <v/>
      </c>
      <c r="P34" s="13" t="str">
        <f aca="false">IF($C34="","",$L34+$O34)</f>
        <v/>
      </c>
      <c r="Q34" s="12"/>
      <c r="R34" s="13" t="str">
        <f aca="false">IF($C34="","",MAX(0,$P34-N($Q34)))</f>
        <v/>
      </c>
      <c r="S34" s="23" t="str">
        <f aca="false">IF(OR($C34="",$P34=0),"",IF(N($Q34)&lt;=0,"Chưa thanh toán",IF(N($Q34)&lt;$P34,"Thanh toán một phần","Đã thanh toán")))</f>
        <v/>
      </c>
      <c r="T34" s="13" t="str">
        <f aca="false">IF(OR($C34="",$J34=""),"",N($I34)*$J34)</f>
        <v/>
      </c>
      <c r="U34" s="13" t="str">
        <f aca="false">IF(OR($C34="",$T34=""),"",$L34-$T34)</f>
        <v/>
      </c>
      <c r="V34" s="14" t="str">
        <f aca="false">IF(OR($U34="",$L34=0),"",$U34/$L34)</f>
        <v/>
      </c>
      <c r="W34" s="11"/>
      <c r="X34" s="23" t="str">
        <f aca="false">IF($C34="","",IF(AND($H34="",N($I34)=0,N($K34)=0),"Dòng chỉ lưu thông tin khách (chưa có đơn); ",IF($B34="","Thiếu ngày đặt; ","")&amp;IF($H34="","Thiếu tên sản phẩm; ",IF($J34="","Chưa khai GIÁ GỐC ở BẢNG GIÁ GỐC; ",""))&amp;IF(N($I34)&lt;=0,"Thiếu số lượng; ","")&amp;IF(N($K34)&lt;=0,"Thiếu giá bán; ","")&amp;IF(AND($N34&gt;0,$F34=""),"Khách lấy VAT thiếu mã số thuế; ","")&amp;IF(N($Q34)&gt;$P34,"Đã thu vượt tổng phải thu; ","")&amp;IF(AND($L34&gt;0,$U34&lt;&gt;"",$U34&lt;0),"CẢNH BÁO: ĐƠN NÀY ĐANG LỖ; ","")))</f>
        <v/>
      </c>
    </row>
    <row r="35" customFormat="false" ht="15" hidden="false" customHeight="false" outlineLevel="0" collapsed="false">
      <c r="A35" s="21" t="str">
        <f aca="false">IF($C35="","",COUNTA($C$10:$C35))</f>
        <v/>
      </c>
      <c r="B35" s="18"/>
      <c r="C35" s="11"/>
      <c r="D35" s="11"/>
      <c r="E35" s="11"/>
      <c r="F35" s="11"/>
      <c r="G35" s="11"/>
      <c r="H35" s="11"/>
      <c r="I35" s="12"/>
      <c r="J35" s="13" t="str">
        <f aca="false">IF($H35="","",IFERROR(VLOOKUP($H35,'BẢNG GIÁ GỐC'!$A$5:$D$254,3,FALSE()),""))</f>
        <v/>
      </c>
      <c r="K35" s="12"/>
      <c r="L35" s="13" t="str">
        <f aca="false">IF($C35="","",N($I35)*N($K35))</f>
        <v/>
      </c>
      <c r="M35" s="11"/>
      <c r="N35" s="14" t="str">
        <f aca="false">IF($C35="","",IF($M35="VAT 5%",0.05,IF($M35="VAT 8%",0.08,IF($M35="VAT 10%",0.1,0))))</f>
        <v/>
      </c>
      <c r="O35" s="13" t="str">
        <f aca="false">IF($C35="","",$L35*$N35)</f>
        <v/>
      </c>
      <c r="P35" s="13" t="str">
        <f aca="false">IF($C35="","",$L35+$O35)</f>
        <v/>
      </c>
      <c r="Q35" s="12"/>
      <c r="R35" s="13" t="str">
        <f aca="false">IF($C35="","",MAX(0,$P35-N($Q35)))</f>
        <v/>
      </c>
      <c r="S35" s="23" t="str">
        <f aca="false">IF(OR($C35="",$P35=0),"",IF(N($Q35)&lt;=0,"Chưa thanh toán",IF(N($Q35)&lt;$P35,"Thanh toán một phần","Đã thanh toán")))</f>
        <v/>
      </c>
      <c r="T35" s="13" t="str">
        <f aca="false">IF(OR($C35="",$J35=""),"",N($I35)*$J35)</f>
        <v/>
      </c>
      <c r="U35" s="13" t="str">
        <f aca="false">IF(OR($C35="",$T35=""),"",$L35-$T35)</f>
        <v/>
      </c>
      <c r="V35" s="14" t="str">
        <f aca="false">IF(OR($U35="",$L35=0),"",$U35/$L35)</f>
        <v/>
      </c>
      <c r="W35" s="11"/>
      <c r="X35" s="23" t="str">
        <f aca="false">IF($C35="","",IF(AND($H35="",N($I35)=0,N($K35)=0),"Dòng chỉ lưu thông tin khách (chưa có đơn); ",IF($B35="","Thiếu ngày đặt; ","")&amp;IF($H35="","Thiếu tên sản phẩm; ",IF($J35="","Chưa khai GIÁ GỐC ở BẢNG GIÁ GỐC; ",""))&amp;IF(N($I35)&lt;=0,"Thiếu số lượng; ","")&amp;IF(N($K35)&lt;=0,"Thiếu giá bán; ","")&amp;IF(AND($N35&gt;0,$F35=""),"Khách lấy VAT thiếu mã số thuế; ","")&amp;IF(N($Q35)&gt;$P35,"Đã thu vượt tổng phải thu; ","")&amp;IF(AND($L35&gt;0,$U35&lt;&gt;"",$U35&lt;0),"CẢNH BÁO: ĐƠN NÀY ĐANG LỖ; ","")))</f>
        <v/>
      </c>
    </row>
    <row r="36" customFormat="false" ht="15" hidden="false" customHeight="false" outlineLevel="0" collapsed="false">
      <c r="A36" s="21" t="str">
        <f aca="false">IF($C36="","",COUNTA($C$10:$C36))</f>
        <v/>
      </c>
      <c r="B36" s="18"/>
      <c r="C36" s="11"/>
      <c r="D36" s="11"/>
      <c r="E36" s="11"/>
      <c r="F36" s="11"/>
      <c r="G36" s="11"/>
      <c r="H36" s="11"/>
      <c r="I36" s="12"/>
      <c r="J36" s="13" t="str">
        <f aca="false">IF($H36="","",IFERROR(VLOOKUP($H36,'BẢNG GIÁ GỐC'!$A$5:$D$254,3,FALSE()),""))</f>
        <v/>
      </c>
      <c r="K36" s="12"/>
      <c r="L36" s="13" t="str">
        <f aca="false">IF($C36="","",N($I36)*N($K36))</f>
        <v/>
      </c>
      <c r="M36" s="11"/>
      <c r="N36" s="14" t="str">
        <f aca="false">IF($C36="","",IF($M36="VAT 5%",0.05,IF($M36="VAT 8%",0.08,IF($M36="VAT 10%",0.1,0))))</f>
        <v/>
      </c>
      <c r="O36" s="13" t="str">
        <f aca="false">IF($C36="","",$L36*$N36)</f>
        <v/>
      </c>
      <c r="P36" s="13" t="str">
        <f aca="false">IF($C36="","",$L36+$O36)</f>
        <v/>
      </c>
      <c r="Q36" s="12"/>
      <c r="R36" s="13" t="str">
        <f aca="false">IF($C36="","",MAX(0,$P36-N($Q36)))</f>
        <v/>
      </c>
      <c r="S36" s="23" t="str">
        <f aca="false">IF(OR($C36="",$P36=0),"",IF(N($Q36)&lt;=0,"Chưa thanh toán",IF(N($Q36)&lt;$P36,"Thanh toán một phần","Đã thanh toán")))</f>
        <v/>
      </c>
      <c r="T36" s="13" t="str">
        <f aca="false">IF(OR($C36="",$J36=""),"",N($I36)*$J36)</f>
        <v/>
      </c>
      <c r="U36" s="13" t="str">
        <f aca="false">IF(OR($C36="",$T36=""),"",$L36-$T36)</f>
        <v/>
      </c>
      <c r="V36" s="14" t="str">
        <f aca="false">IF(OR($U36="",$L36=0),"",$U36/$L36)</f>
        <v/>
      </c>
      <c r="W36" s="11"/>
      <c r="X36" s="23" t="str">
        <f aca="false">IF($C36="","",IF(AND($H36="",N($I36)=0,N($K36)=0),"Dòng chỉ lưu thông tin khách (chưa có đơn); ",IF($B36="","Thiếu ngày đặt; ","")&amp;IF($H36="","Thiếu tên sản phẩm; ",IF($J36="","Chưa khai GIÁ GỐC ở BẢNG GIÁ GỐC; ",""))&amp;IF(N($I36)&lt;=0,"Thiếu số lượng; ","")&amp;IF(N($K36)&lt;=0,"Thiếu giá bán; ","")&amp;IF(AND($N36&gt;0,$F36=""),"Khách lấy VAT thiếu mã số thuế; ","")&amp;IF(N($Q36)&gt;$P36,"Đã thu vượt tổng phải thu; ","")&amp;IF(AND($L36&gt;0,$U36&lt;&gt;"",$U36&lt;0),"CẢNH BÁO: ĐƠN NÀY ĐANG LỖ; ","")))</f>
        <v/>
      </c>
    </row>
    <row r="37" customFormat="false" ht="15" hidden="false" customHeight="false" outlineLevel="0" collapsed="false">
      <c r="A37" s="21" t="str">
        <f aca="false">IF($C37="","",COUNTA($C$10:$C37))</f>
        <v/>
      </c>
      <c r="B37" s="18"/>
      <c r="C37" s="11"/>
      <c r="D37" s="11"/>
      <c r="E37" s="11"/>
      <c r="F37" s="11"/>
      <c r="G37" s="11"/>
      <c r="H37" s="11"/>
      <c r="I37" s="12"/>
      <c r="J37" s="13" t="str">
        <f aca="false">IF($H37="","",IFERROR(VLOOKUP($H37,'BẢNG GIÁ GỐC'!$A$5:$D$254,3,FALSE()),""))</f>
        <v/>
      </c>
      <c r="K37" s="12"/>
      <c r="L37" s="13" t="str">
        <f aca="false">IF($C37="","",N($I37)*N($K37))</f>
        <v/>
      </c>
      <c r="M37" s="11"/>
      <c r="N37" s="14" t="str">
        <f aca="false">IF($C37="","",IF($M37="VAT 5%",0.05,IF($M37="VAT 8%",0.08,IF($M37="VAT 10%",0.1,0))))</f>
        <v/>
      </c>
      <c r="O37" s="13" t="str">
        <f aca="false">IF($C37="","",$L37*$N37)</f>
        <v/>
      </c>
      <c r="P37" s="13" t="str">
        <f aca="false">IF($C37="","",$L37+$O37)</f>
        <v/>
      </c>
      <c r="Q37" s="12"/>
      <c r="R37" s="13" t="str">
        <f aca="false">IF($C37="","",MAX(0,$P37-N($Q37)))</f>
        <v/>
      </c>
      <c r="S37" s="23" t="str">
        <f aca="false">IF(OR($C37="",$P37=0),"",IF(N($Q37)&lt;=0,"Chưa thanh toán",IF(N($Q37)&lt;$P37,"Thanh toán một phần","Đã thanh toán")))</f>
        <v/>
      </c>
      <c r="T37" s="13" t="str">
        <f aca="false">IF(OR($C37="",$J37=""),"",N($I37)*$J37)</f>
        <v/>
      </c>
      <c r="U37" s="13" t="str">
        <f aca="false">IF(OR($C37="",$T37=""),"",$L37-$T37)</f>
        <v/>
      </c>
      <c r="V37" s="14" t="str">
        <f aca="false">IF(OR($U37="",$L37=0),"",$U37/$L37)</f>
        <v/>
      </c>
      <c r="W37" s="11"/>
      <c r="X37" s="23" t="str">
        <f aca="false">IF($C37="","",IF(AND($H37="",N($I37)=0,N($K37)=0),"Dòng chỉ lưu thông tin khách (chưa có đơn); ",IF($B37="","Thiếu ngày đặt; ","")&amp;IF($H37="","Thiếu tên sản phẩm; ",IF($J37="","Chưa khai GIÁ GỐC ở BẢNG GIÁ GỐC; ",""))&amp;IF(N($I37)&lt;=0,"Thiếu số lượng; ","")&amp;IF(N($K37)&lt;=0,"Thiếu giá bán; ","")&amp;IF(AND($N37&gt;0,$F37=""),"Khách lấy VAT thiếu mã số thuế; ","")&amp;IF(N($Q37)&gt;$P37,"Đã thu vượt tổng phải thu; ","")&amp;IF(AND($L37&gt;0,$U37&lt;&gt;"",$U37&lt;0),"CẢNH BÁO: ĐƠN NÀY ĐANG LỖ; ","")))</f>
        <v/>
      </c>
    </row>
    <row r="38" customFormat="false" ht="15" hidden="false" customHeight="false" outlineLevel="0" collapsed="false">
      <c r="A38" s="21" t="str">
        <f aca="false">IF($C38="","",COUNTA($C$10:$C38))</f>
        <v/>
      </c>
      <c r="B38" s="18"/>
      <c r="C38" s="11"/>
      <c r="D38" s="11"/>
      <c r="E38" s="11"/>
      <c r="F38" s="11"/>
      <c r="G38" s="11"/>
      <c r="H38" s="11"/>
      <c r="I38" s="12"/>
      <c r="J38" s="13" t="str">
        <f aca="false">IF($H38="","",IFERROR(VLOOKUP($H38,'BẢNG GIÁ GỐC'!$A$5:$D$254,3,FALSE()),""))</f>
        <v/>
      </c>
      <c r="K38" s="12"/>
      <c r="L38" s="13" t="str">
        <f aca="false">IF($C38="","",N($I38)*N($K38))</f>
        <v/>
      </c>
      <c r="M38" s="11"/>
      <c r="N38" s="14" t="str">
        <f aca="false">IF($C38="","",IF($M38="VAT 5%",0.05,IF($M38="VAT 8%",0.08,IF($M38="VAT 10%",0.1,0))))</f>
        <v/>
      </c>
      <c r="O38" s="13" t="str">
        <f aca="false">IF($C38="","",$L38*$N38)</f>
        <v/>
      </c>
      <c r="P38" s="13" t="str">
        <f aca="false">IF($C38="","",$L38+$O38)</f>
        <v/>
      </c>
      <c r="Q38" s="12"/>
      <c r="R38" s="13" t="str">
        <f aca="false">IF($C38="","",MAX(0,$P38-N($Q38)))</f>
        <v/>
      </c>
      <c r="S38" s="23" t="str">
        <f aca="false">IF(OR($C38="",$P38=0),"",IF(N($Q38)&lt;=0,"Chưa thanh toán",IF(N($Q38)&lt;$P38,"Thanh toán một phần","Đã thanh toán")))</f>
        <v/>
      </c>
      <c r="T38" s="13" t="str">
        <f aca="false">IF(OR($C38="",$J38=""),"",N($I38)*$J38)</f>
        <v/>
      </c>
      <c r="U38" s="13" t="str">
        <f aca="false">IF(OR($C38="",$T38=""),"",$L38-$T38)</f>
        <v/>
      </c>
      <c r="V38" s="14" t="str">
        <f aca="false">IF(OR($U38="",$L38=0),"",$U38/$L38)</f>
        <v/>
      </c>
      <c r="W38" s="11"/>
      <c r="X38" s="23" t="str">
        <f aca="false">IF($C38="","",IF(AND($H38="",N($I38)=0,N($K38)=0),"Dòng chỉ lưu thông tin khách (chưa có đơn); ",IF($B38="","Thiếu ngày đặt; ","")&amp;IF($H38="","Thiếu tên sản phẩm; ",IF($J38="","Chưa khai GIÁ GỐC ở BẢNG GIÁ GỐC; ",""))&amp;IF(N($I38)&lt;=0,"Thiếu số lượng; ","")&amp;IF(N($K38)&lt;=0,"Thiếu giá bán; ","")&amp;IF(AND($N38&gt;0,$F38=""),"Khách lấy VAT thiếu mã số thuế; ","")&amp;IF(N($Q38)&gt;$P38,"Đã thu vượt tổng phải thu; ","")&amp;IF(AND($L38&gt;0,$U38&lt;&gt;"",$U38&lt;0),"CẢNH BÁO: ĐƠN NÀY ĐANG LỖ; ","")))</f>
        <v/>
      </c>
    </row>
    <row r="39" customFormat="false" ht="15" hidden="false" customHeight="false" outlineLevel="0" collapsed="false">
      <c r="A39" s="21" t="str">
        <f aca="false">IF($C39="","",COUNTA($C$10:$C39))</f>
        <v/>
      </c>
      <c r="B39" s="18"/>
      <c r="C39" s="11"/>
      <c r="D39" s="11"/>
      <c r="E39" s="11"/>
      <c r="F39" s="11"/>
      <c r="G39" s="11"/>
      <c r="H39" s="11"/>
      <c r="I39" s="12"/>
      <c r="J39" s="13" t="str">
        <f aca="false">IF($H39="","",IFERROR(VLOOKUP($H39,'BẢNG GIÁ GỐC'!$A$5:$D$254,3,FALSE()),""))</f>
        <v/>
      </c>
      <c r="K39" s="12"/>
      <c r="L39" s="13" t="str">
        <f aca="false">IF($C39="","",N($I39)*N($K39))</f>
        <v/>
      </c>
      <c r="M39" s="11"/>
      <c r="N39" s="14" t="str">
        <f aca="false">IF($C39="","",IF($M39="VAT 5%",0.05,IF($M39="VAT 8%",0.08,IF($M39="VAT 10%",0.1,0))))</f>
        <v/>
      </c>
      <c r="O39" s="13" t="str">
        <f aca="false">IF($C39="","",$L39*$N39)</f>
        <v/>
      </c>
      <c r="P39" s="13" t="str">
        <f aca="false">IF($C39="","",$L39+$O39)</f>
        <v/>
      </c>
      <c r="Q39" s="12"/>
      <c r="R39" s="13" t="str">
        <f aca="false">IF($C39="","",MAX(0,$P39-N($Q39)))</f>
        <v/>
      </c>
      <c r="S39" s="23" t="str">
        <f aca="false">IF(OR($C39="",$P39=0),"",IF(N($Q39)&lt;=0,"Chưa thanh toán",IF(N($Q39)&lt;$P39,"Thanh toán một phần","Đã thanh toán")))</f>
        <v/>
      </c>
      <c r="T39" s="13" t="str">
        <f aca="false">IF(OR($C39="",$J39=""),"",N($I39)*$J39)</f>
        <v/>
      </c>
      <c r="U39" s="13" t="str">
        <f aca="false">IF(OR($C39="",$T39=""),"",$L39-$T39)</f>
        <v/>
      </c>
      <c r="V39" s="14" t="str">
        <f aca="false">IF(OR($U39="",$L39=0),"",$U39/$L39)</f>
        <v/>
      </c>
      <c r="W39" s="11"/>
      <c r="X39" s="23" t="str">
        <f aca="false">IF($C39="","",IF(AND($H39="",N($I39)=0,N($K39)=0),"Dòng chỉ lưu thông tin khách (chưa có đơn); ",IF($B39="","Thiếu ngày đặt; ","")&amp;IF($H39="","Thiếu tên sản phẩm; ",IF($J39="","Chưa khai GIÁ GỐC ở BẢNG GIÁ GỐC; ",""))&amp;IF(N($I39)&lt;=0,"Thiếu số lượng; ","")&amp;IF(N($K39)&lt;=0,"Thiếu giá bán; ","")&amp;IF(AND($N39&gt;0,$F39=""),"Khách lấy VAT thiếu mã số thuế; ","")&amp;IF(N($Q39)&gt;$P39,"Đã thu vượt tổng phải thu; ","")&amp;IF(AND($L39&gt;0,$U39&lt;&gt;"",$U39&lt;0),"CẢNH BÁO: ĐƠN NÀY ĐANG LỖ; ","")))</f>
        <v/>
      </c>
    </row>
    <row r="40" customFormat="false" ht="15" hidden="false" customHeight="false" outlineLevel="0" collapsed="false">
      <c r="A40" s="21" t="str">
        <f aca="false">IF($C40="","",COUNTA($C$10:$C40))</f>
        <v/>
      </c>
      <c r="B40" s="18"/>
      <c r="C40" s="11"/>
      <c r="D40" s="11"/>
      <c r="E40" s="11"/>
      <c r="F40" s="11"/>
      <c r="G40" s="11"/>
      <c r="H40" s="11"/>
      <c r="I40" s="12"/>
      <c r="J40" s="13" t="str">
        <f aca="false">IF($H40="","",IFERROR(VLOOKUP($H40,'BẢNG GIÁ GỐC'!$A$5:$D$254,3,FALSE()),""))</f>
        <v/>
      </c>
      <c r="K40" s="12"/>
      <c r="L40" s="13" t="str">
        <f aca="false">IF($C40="","",N($I40)*N($K40))</f>
        <v/>
      </c>
      <c r="M40" s="11"/>
      <c r="N40" s="14" t="str">
        <f aca="false">IF($C40="","",IF($M40="VAT 5%",0.05,IF($M40="VAT 8%",0.08,IF($M40="VAT 10%",0.1,0))))</f>
        <v/>
      </c>
      <c r="O40" s="13" t="str">
        <f aca="false">IF($C40="","",$L40*$N40)</f>
        <v/>
      </c>
      <c r="P40" s="13" t="str">
        <f aca="false">IF($C40="","",$L40+$O40)</f>
        <v/>
      </c>
      <c r="Q40" s="12"/>
      <c r="R40" s="13" t="str">
        <f aca="false">IF($C40="","",MAX(0,$P40-N($Q40)))</f>
        <v/>
      </c>
      <c r="S40" s="23" t="str">
        <f aca="false">IF(OR($C40="",$P40=0),"",IF(N($Q40)&lt;=0,"Chưa thanh toán",IF(N($Q40)&lt;$P40,"Thanh toán một phần","Đã thanh toán")))</f>
        <v/>
      </c>
      <c r="T40" s="13" t="str">
        <f aca="false">IF(OR($C40="",$J40=""),"",N($I40)*$J40)</f>
        <v/>
      </c>
      <c r="U40" s="13" t="str">
        <f aca="false">IF(OR($C40="",$T40=""),"",$L40-$T40)</f>
        <v/>
      </c>
      <c r="V40" s="14" t="str">
        <f aca="false">IF(OR($U40="",$L40=0),"",$U40/$L40)</f>
        <v/>
      </c>
      <c r="W40" s="11"/>
      <c r="X40" s="23" t="str">
        <f aca="false">IF($C40="","",IF(AND($H40="",N($I40)=0,N($K40)=0),"Dòng chỉ lưu thông tin khách (chưa có đơn); ",IF($B40="","Thiếu ngày đặt; ","")&amp;IF($H40="","Thiếu tên sản phẩm; ",IF($J40="","Chưa khai GIÁ GỐC ở BẢNG GIÁ GỐC; ",""))&amp;IF(N($I40)&lt;=0,"Thiếu số lượng; ","")&amp;IF(N($K40)&lt;=0,"Thiếu giá bán; ","")&amp;IF(AND($N40&gt;0,$F40=""),"Khách lấy VAT thiếu mã số thuế; ","")&amp;IF(N($Q40)&gt;$P40,"Đã thu vượt tổng phải thu; ","")&amp;IF(AND($L40&gt;0,$U40&lt;&gt;"",$U40&lt;0),"CẢNH BÁO: ĐƠN NÀY ĐANG LỖ; ","")))</f>
        <v/>
      </c>
    </row>
    <row r="41" customFormat="false" ht="15" hidden="false" customHeight="false" outlineLevel="0" collapsed="false">
      <c r="A41" s="21" t="str">
        <f aca="false">IF($C41="","",COUNTA($C$10:$C41))</f>
        <v/>
      </c>
      <c r="B41" s="18"/>
      <c r="C41" s="11"/>
      <c r="D41" s="11"/>
      <c r="E41" s="11"/>
      <c r="F41" s="11"/>
      <c r="G41" s="11"/>
      <c r="H41" s="11"/>
      <c r="I41" s="12"/>
      <c r="J41" s="13" t="str">
        <f aca="false">IF($H41="","",IFERROR(VLOOKUP($H41,'BẢNG GIÁ GỐC'!$A$5:$D$254,3,FALSE()),""))</f>
        <v/>
      </c>
      <c r="K41" s="12"/>
      <c r="L41" s="13" t="str">
        <f aca="false">IF($C41="","",N($I41)*N($K41))</f>
        <v/>
      </c>
      <c r="M41" s="11"/>
      <c r="N41" s="14" t="str">
        <f aca="false">IF($C41="","",IF($M41="VAT 5%",0.05,IF($M41="VAT 8%",0.08,IF($M41="VAT 10%",0.1,0))))</f>
        <v/>
      </c>
      <c r="O41" s="13" t="str">
        <f aca="false">IF($C41="","",$L41*$N41)</f>
        <v/>
      </c>
      <c r="P41" s="13" t="str">
        <f aca="false">IF($C41="","",$L41+$O41)</f>
        <v/>
      </c>
      <c r="Q41" s="12"/>
      <c r="R41" s="13" t="str">
        <f aca="false">IF($C41="","",MAX(0,$P41-N($Q41)))</f>
        <v/>
      </c>
      <c r="S41" s="23" t="str">
        <f aca="false">IF(OR($C41="",$P41=0),"",IF(N($Q41)&lt;=0,"Chưa thanh toán",IF(N($Q41)&lt;$P41,"Thanh toán một phần","Đã thanh toán")))</f>
        <v/>
      </c>
      <c r="T41" s="13" t="str">
        <f aca="false">IF(OR($C41="",$J41=""),"",N($I41)*$J41)</f>
        <v/>
      </c>
      <c r="U41" s="13" t="str">
        <f aca="false">IF(OR($C41="",$T41=""),"",$L41-$T41)</f>
        <v/>
      </c>
      <c r="V41" s="14" t="str">
        <f aca="false">IF(OR($U41="",$L41=0),"",$U41/$L41)</f>
        <v/>
      </c>
      <c r="W41" s="11"/>
      <c r="X41" s="23" t="str">
        <f aca="false">IF($C41="","",IF(AND($H41="",N($I41)=0,N($K41)=0),"Dòng chỉ lưu thông tin khách (chưa có đơn); ",IF($B41="","Thiếu ngày đặt; ","")&amp;IF($H41="","Thiếu tên sản phẩm; ",IF($J41="","Chưa khai GIÁ GỐC ở BẢNG GIÁ GỐC; ",""))&amp;IF(N($I41)&lt;=0,"Thiếu số lượng; ","")&amp;IF(N($K41)&lt;=0,"Thiếu giá bán; ","")&amp;IF(AND($N41&gt;0,$F41=""),"Khách lấy VAT thiếu mã số thuế; ","")&amp;IF(N($Q41)&gt;$P41,"Đã thu vượt tổng phải thu; ","")&amp;IF(AND($L41&gt;0,$U41&lt;&gt;"",$U41&lt;0),"CẢNH BÁO: ĐƠN NÀY ĐANG LỖ; ","")))</f>
        <v/>
      </c>
    </row>
    <row r="42" customFormat="false" ht="15" hidden="false" customHeight="false" outlineLevel="0" collapsed="false">
      <c r="A42" s="21" t="str">
        <f aca="false">IF($C42="","",COUNTA($C$10:$C42))</f>
        <v/>
      </c>
      <c r="B42" s="18"/>
      <c r="C42" s="11"/>
      <c r="D42" s="11"/>
      <c r="E42" s="11"/>
      <c r="F42" s="11"/>
      <c r="G42" s="11"/>
      <c r="H42" s="11"/>
      <c r="I42" s="12"/>
      <c r="J42" s="13" t="str">
        <f aca="false">IF($H42="","",IFERROR(VLOOKUP($H42,'BẢNG GIÁ GỐC'!$A$5:$D$254,3,FALSE()),""))</f>
        <v/>
      </c>
      <c r="K42" s="12"/>
      <c r="L42" s="13" t="str">
        <f aca="false">IF($C42="","",N($I42)*N($K42))</f>
        <v/>
      </c>
      <c r="M42" s="11"/>
      <c r="N42" s="14" t="str">
        <f aca="false">IF($C42="","",IF($M42="VAT 5%",0.05,IF($M42="VAT 8%",0.08,IF($M42="VAT 10%",0.1,0))))</f>
        <v/>
      </c>
      <c r="O42" s="13" t="str">
        <f aca="false">IF($C42="","",$L42*$N42)</f>
        <v/>
      </c>
      <c r="P42" s="13" t="str">
        <f aca="false">IF($C42="","",$L42+$O42)</f>
        <v/>
      </c>
      <c r="Q42" s="12"/>
      <c r="R42" s="13" t="str">
        <f aca="false">IF($C42="","",MAX(0,$P42-N($Q42)))</f>
        <v/>
      </c>
      <c r="S42" s="23" t="str">
        <f aca="false">IF(OR($C42="",$P42=0),"",IF(N($Q42)&lt;=0,"Chưa thanh toán",IF(N($Q42)&lt;$P42,"Thanh toán một phần","Đã thanh toán")))</f>
        <v/>
      </c>
      <c r="T42" s="13" t="str">
        <f aca="false">IF(OR($C42="",$J42=""),"",N($I42)*$J42)</f>
        <v/>
      </c>
      <c r="U42" s="13" t="str">
        <f aca="false">IF(OR($C42="",$T42=""),"",$L42-$T42)</f>
        <v/>
      </c>
      <c r="V42" s="14" t="str">
        <f aca="false">IF(OR($U42="",$L42=0),"",$U42/$L42)</f>
        <v/>
      </c>
      <c r="W42" s="11"/>
      <c r="X42" s="23" t="str">
        <f aca="false">IF($C42="","",IF(AND($H42="",N($I42)=0,N($K42)=0),"Dòng chỉ lưu thông tin khách (chưa có đơn); ",IF($B42="","Thiếu ngày đặt; ","")&amp;IF($H42="","Thiếu tên sản phẩm; ",IF($J42="","Chưa khai GIÁ GỐC ở BẢNG GIÁ GỐC; ",""))&amp;IF(N($I42)&lt;=0,"Thiếu số lượng; ","")&amp;IF(N($K42)&lt;=0,"Thiếu giá bán; ","")&amp;IF(AND($N42&gt;0,$F42=""),"Khách lấy VAT thiếu mã số thuế; ","")&amp;IF(N($Q42)&gt;$P42,"Đã thu vượt tổng phải thu; ","")&amp;IF(AND($L42&gt;0,$U42&lt;&gt;"",$U42&lt;0),"CẢNH BÁO: ĐƠN NÀY ĐANG LỖ; ","")))</f>
        <v/>
      </c>
    </row>
    <row r="43" customFormat="false" ht="15" hidden="false" customHeight="false" outlineLevel="0" collapsed="false">
      <c r="A43" s="21" t="str">
        <f aca="false">IF($C43="","",COUNTA($C$10:$C43))</f>
        <v/>
      </c>
      <c r="B43" s="18"/>
      <c r="C43" s="11"/>
      <c r="D43" s="11"/>
      <c r="E43" s="11"/>
      <c r="F43" s="11"/>
      <c r="G43" s="11"/>
      <c r="H43" s="11"/>
      <c r="I43" s="12"/>
      <c r="J43" s="13" t="str">
        <f aca="false">IF($H43="","",IFERROR(VLOOKUP($H43,'BẢNG GIÁ GỐC'!$A$5:$D$254,3,FALSE()),""))</f>
        <v/>
      </c>
      <c r="K43" s="12"/>
      <c r="L43" s="13" t="str">
        <f aca="false">IF($C43="","",N($I43)*N($K43))</f>
        <v/>
      </c>
      <c r="M43" s="11"/>
      <c r="N43" s="14" t="str">
        <f aca="false">IF($C43="","",IF($M43="VAT 5%",0.05,IF($M43="VAT 8%",0.08,IF($M43="VAT 10%",0.1,0))))</f>
        <v/>
      </c>
      <c r="O43" s="13" t="str">
        <f aca="false">IF($C43="","",$L43*$N43)</f>
        <v/>
      </c>
      <c r="P43" s="13" t="str">
        <f aca="false">IF($C43="","",$L43+$O43)</f>
        <v/>
      </c>
      <c r="Q43" s="12"/>
      <c r="R43" s="13" t="str">
        <f aca="false">IF($C43="","",MAX(0,$P43-N($Q43)))</f>
        <v/>
      </c>
      <c r="S43" s="23" t="str">
        <f aca="false">IF(OR($C43="",$P43=0),"",IF(N($Q43)&lt;=0,"Chưa thanh toán",IF(N($Q43)&lt;$P43,"Thanh toán một phần","Đã thanh toán")))</f>
        <v/>
      </c>
      <c r="T43" s="13" t="str">
        <f aca="false">IF(OR($C43="",$J43=""),"",N($I43)*$J43)</f>
        <v/>
      </c>
      <c r="U43" s="13" t="str">
        <f aca="false">IF(OR($C43="",$T43=""),"",$L43-$T43)</f>
        <v/>
      </c>
      <c r="V43" s="14" t="str">
        <f aca="false">IF(OR($U43="",$L43=0),"",$U43/$L43)</f>
        <v/>
      </c>
      <c r="W43" s="11"/>
      <c r="X43" s="23" t="str">
        <f aca="false">IF($C43="","",IF(AND($H43="",N($I43)=0,N($K43)=0),"Dòng chỉ lưu thông tin khách (chưa có đơn); ",IF($B43="","Thiếu ngày đặt; ","")&amp;IF($H43="","Thiếu tên sản phẩm; ",IF($J43="","Chưa khai GIÁ GỐC ở BẢNG GIÁ GỐC; ",""))&amp;IF(N($I43)&lt;=0,"Thiếu số lượng; ","")&amp;IF(N($K43)&lt;=0,"Thiếu giá bán; ","")&amp;IF(AND($N43&gt;0,$F43=""),"Khách lấy VAT thiếu mã số thuế; ","")&amp;IF(N($Q43)&gt;$P43,"Đã thu vượt tổng phải thu; ","")&amp;IF(AND($L43&gt;0,$U43&lt;&gt;"",$U43&lt;0),"CẢNH BÁO: ĐƠN NÀY ĐANG LỖ; ","")))</f>
        <v/>
      </c>
    </row>
    <row r="44" customFormat="false" ht="15" hidden="false" customHeight="false" outlineLevel="0" collapsed="false">
      <c r="A44" s="21" t="str">
        <f aca="false">IF($C44="","",COUNTA($C$10:$C44))</f>
        <v/>
      </c>
      <c r="B44" s="18"/>
      <c r="C44" s="11"/>
      <c r="D44" s="11"/>
      <c r="E44" s="11"/>
      <c r="F44" s="11"/>
      <c r="G44" s="11"/>
      <c r="H44" s="11"/>
      <c r="I44" s="12"/>
      <c r="J44" s="13" t="str">
        <f aca="false">IF($H44="","",IFERROR(VLOOKUP($H44,'BẢNG GIÁ GỐC'!$A$5:$D$254,3,FALSE()),""))</f>
        <v/>
      </c>
      <c r="K44" s="12"/>
      <c r="L44" s="13" t="str">
        <f aca="false">IF($C44="","",N($I44)*N($K44))</f>
        <v/>
      </c>
      <c r="M44" s="11"/>
      <c r="N44" s="14" t="str">
        <f aca="false">IF($C44="","",IF($M44="VAT 5%",0.05,IF($M44="VAT 8%",0.08,IF($M44="VAT 10%",0.1,0))))</f>
        <v/>
      </c>
      <c r="O44" s="13" t="str">
        <f aca="false">IF($C44="","",$L44*$N44)</f>
        <v/>
      </c>
      <c r="P44" s="13" t="str">
        <f aca="false">IF($C44="","",$L44+$O44)</f>
        <v/>
      </c>
      <c r="Q44" s="12"/>
      <c r="R44" s="13" t="str">
        <f aca="false">IF($C44="","",MAX(0,$P44-N($Q44)))</f>
        <v/>
      </c>
      <c r="S44" s="23" t="str">
        <f aca="false">IF(OR($C44="",$P44=0),"",IF(N($Q44)&lt;=0,"Chưa thanh toán",IF(N($Q44)&lt;$P44,"Thanh toán một phần","Đã thanh toán")))</f>
        <v/>
      </c>
      <c r="T44" s="13" t="str">
        <f aca="false">IF(OR($C44="",$J44=""),"",N($I44)*$J44)</f>
        <v/>
      </c>
      <c r="U44" s="13" t="str">
        <f aca="false">IF(OR($C44="",$T44=""),"",$L44-$T44)</f>
        <v/>
      </c>
      <c r="V44" s="14" t="str">
        <f aca="false">IF(OR($U44="",$L44=0),"",$U44/$L44)</f>
        <v/>
      </c>
      <c r="W44" s="11"/>
      <c r="X44" s="23" t="str">
        <f aca="false">IF($C44="","",IF(AND($H44="",N($I44)=0,N($K44)=0),"Dòng chỉ lưu thông tin khách (chưa có đơn); ",IF($B44="","Thiếu ngày đặt; ","")&amp;IF($H44="","Thiếu tên sản phẩm; ",IF($J44="","Chưa khai GIÁ GỐC ở BẢNG GIÁ GỐC; ",""))&amp;IF(N($I44)&lt;=0,"Thiếu số lượng; ","")&amp;IF(N($K44)&lt;=0,"Thiếu giá bán; ","")&amp;IF(AND($N44&gt;0,$F44=""),"Khách lấy VAT thiếu mã số thuế; ","")&amp;IF(N($Q44)&gt;$P44,"Đã thu vượt tổng phải thu; ","")&amp;IF(AND($L44&gt;0,$U44&lt;&gt;"",$U44&lt;0),"CẢNH BÁO: ĐƠN NÀY ĐANG LỖ; ","")))</f>
        <v/>
      </c>
    </row>
    <row r="45" customFormat="false" ht="15" hidden="false" customHeight="false" outlineLevel="0" collapsed="false">
      <c r="A45" s="21" t="str">
        <f aca="false">IF($C45="","",COUNTA($C$10:$C45))</f>
        <v/>
      </c>
      <c r="B45" s="18"/>
      <c r="C45" s="11"/>
      <c r="D45" s="11"/>
      <c r="E45" s="11"/>
      <c r="F45" s="11"/>
      <c r="G45" s="11"/>
      <c r="H45" s="11"/>
      <c r="I45" s="12"/>
      <c r="J45" s="13" t="str">
        <f aca="false">IF($H45="","",IFERROR(VLOOKUP($H45,'BẢNG GIÁ GỐC'!$A$5:$D$254,3,FALSE()),""))</f>
        <v/>
      </c>
      <c r="K45" s="12"/>
      <c r="L45" s="13" t="str">
        <f aca="false">IF($C45="","",N($I45)*N($K45))</f>
        <v/>
      </c>
      <c r="M45" s="11"/>
      <c r="N45" s="14" t="str">
        <f aca="false">IF($C45="","",IF($M45="VAT 5%",0.05,IF($M45="VAT 8%",0.08,IF($M45="VAT 10%",0.1,0))))</f>
        <v/>
      </c>
      <c r="O45" s="13" t="str">
        <f aca="false">IF($C45="","",$L45*$N45)</f>
        <v/>
      </c>
      <c r="P45" s="13" t="str">
        <f aca="false">IF($C45="","",$L45+$O45)</f>
        <v/>
      </c>
      <c r="Q45" s="12"/>
      <c r="R45" s="13" t="str">
        <f aca="false">IF($C45="","",MAX(0,$P45-N($Q45)))</f>
        <v/>
      </c>
      <c r="S45" s="23" t="str">
        <f aca="false">IF(OR($C45="",$P45=0),"",IF(N($Q45)&lt;=0,"Chưa thanh toán",IF(N($Q45)&lt;$P45,"Thanh toán một phần","Đã thanh toán")))</f>
        <v/>
      </c>
      <c r="T45" s="13" t="str">
        <f aca="false">IF(OR($C45="",$J45=""),"",N($I45)*$J45)</f>
        <v/>
      </c>
      <c r="U45" s="13" t="str">
        <f aca="false">IF(OR($C45="",$T45=""),"",$L45-$T45)</f>
        <v/>
      </c>
      <c r="V45" s="14" t="str">
        <f aca="false">IF(OR($U45="",$L45=0),"",$U45/$L45)</f>
        <v/>
      </c>
      <c r="W45" s="11"/>
      <c r="X45" s="23" t="str">
        <f aca="false">IF($C45="","",IF(AND($H45="",N($I45)=0,N($K45)=0),"Dòng chỉ lưu thông tin khách (chưa có đơn); ",IF($B45="","Thiếu ngày đặt; ","")&amp;IF($H45="","Thiếu tên sản phẩm; ",IF($J45="","Chưa khai GIÁ GỐC ở BẢNG GIÁ GỐC; ",""))&amp;IF(N($I45)&lt;=0,"Thiếu số lượng; ","")&amp;IF(N($K45)&lt;=0,"Thiếu giá bán; ","")&amp;IF(AND($N45&gt;0,$F45=""),"Khách lấy VAT thiếu mã số thuế; ","")&amp;IF(N($Q45)&gt;$P45,"Đã thu vượt tổng phải thu; ","")&amp;IF(AND($L45&gt;0,$U45&lt;&gt;"",$U45&lt;0),"CẢNH BÁO: ĐƠN NÀY ĐANG LỖ; ","")))</f>
        <v/>
      </c>
    </row>
    <row r="46" customFormat="false" ht="15" hidden="false" customHeight="false" outlineLevel="0" collapsed="false">
      <c r="A46" s="21" t="str">
        <f aca="false">IF($C46="","",COUNTA($C$10:$C46))</f>
        <v/>
      </c>
      <c r="B46" s="18"/>
      <c r="C46" s="11"/>
      <c r="D46" s="11"/>
      <c r="E46" s="11"/>
      <c r="F46" s="11"/>
      <c r="G46" s="11"/>
      <c r="H46" s="11"/>
      <c r="I46" s="12"/>
      <c r="J46" s="13" t="str">
        <f aca="false">IF($H46="","",IFERROR(VLOOKUP($H46,'BẢNG GIÁ GỐC'!$A$5:$D$254,3,FALSE()),""))</f>
        <v/>
      </c>
      <c r="K46" s="12"/>
      <c r="L46" s="13" t="str">
        <f aca="false">IF($C46="","",N($I46)*N($K46))</f>
        <v/>
      </c>
      <c r="M46" s="11"/>
      <c r="N46" s="14" t="str">
        <f aca="false">IF($C46="","",IF($M46="VAT 5%",0.05,IF($M46="VAT 8%",0.08,IF($M46="VAT 10%",0.1,0))))</f>
        <v/>
      </c>
      <c r="O46" s="13" t="str">
        <f aca="false">IF($C46="","",$L46*$N46)</f>
        <v/>
      </c>
      <c r="P46" s="13" t="str">
        <f aca="false">IF($C46="","",$L46+$O46)</f>
        <v/>
      </c>
      <c r="Q46" s="12"/>
      <c r="R46" s="13" t="str">
        <f aca="false">IF($C46="","",MAX(0,$P46-N($Q46)))</f>
        <v/>
      </c>
      <c r="S46" s="23" t="str">
        <f aca="false">IF(OR($C46="",$P46=0),"",IF(N($Q46)&lt;=0,"Chưa thanh toán",IF(N($Q46)&lt;$P46,"Thanh toán một phần","Đã thanh toán")))</f>
        <v/>
      </c>
      <c r="T46" s="13" t="str">
        <f aca="false">IF(OR($C46="",$J46=""),"",N($I46)*$J46)</f>
        <v/>
      </c>
      <c r="U46" s="13" t="str">
        <f aca="false">IF(OR($C46="",$T46=""),"",$L46-$T46)</f>
        <v/>
      </c>
      <c r="V46" s="14" t="str">
        <f aca="false">IF(OR($U46="",$L46=0),"",$U46/$L46)</f>
        <v/>
      </c>
      <c r="W46" s="11"/>
      <c r="X46" s="23" t="str">
        <f aca="false">IF($C46="","",IF(AND($H46="",N($I46)=0,N($K46)=0),"Dòng chỉ lưu thông tin khách (chưa có đơn); ",IF($B46="","Thiếu ngày đặt; ","")&amp;IF($H46="","Thiếu tên sản phẩm; ",IF($J46="","Chưa khai GIÁ GỐC ở BẢNG GIÁ GỐC; ",""))&amp;IF(N($I46)&lt;=0,"Thiếu số lượng; ","")&amp;IF(N($K46)&lt;=0,"Thiếu giá bán; ","")&amp;IF(AND($N46&gt;0,$F46=""),"Khách lấy VAT thiếu mã số thuế; ","")&amp;IF(N($Q46)&gt;$P46,"Đã thu vượt tổng phải thu; ","")&amp;IF(AND($L46&gt;0,$U46&lt;&gt;"",$U46&lt;0),"CẢNH BÁO: ĐƠN NÀY ĐANG LỖ; ","")))</f>
        <v/>
      </c>
    </row>
    <row r="47" customFormat="false" ht="15" hidden="false" customHeight="false" outlineLevel="0" collapsed="false">
      <c r="A47" s="21" t="str">
        <f aca="false">IF($C47="","",COUNTA($C$10:$C47))</f>
        <v/>
      </c>
      <c r="B47" s="18"/>
      <c r="C47" s="11"/>
      <c r="D47" s="11"/>
      <c r="E47" s="11"/>
      <c r="F47" s="11"/>
      <c r="G47" s="11"/>
      <c r="H47" s="11"/>
      <c r="I47" s="12"/>
      <c r="J47" s="13" t="str">
        <f aca="false">IF($H47="","",IFERROR(VLOOKUP($H47,'BẢNG GIÁ GỐC'!$A$5:$D$254,3,FALSE()),""))</f>
        <v/>
      </c>
      <c r="K47" s="12"/>
      <c r="L47" s="13" t="str">
        <f aca="false">IF($C47="","",N($I47)*N($K47))</f>
        <v/>
      </c>
      <c r="M47" s="11"/>
      <c r="N47" s="14" t="str">
        <f aca="false">IF($C47="","",IF($M47="VAT 5%",0.05,IF($M47="VAT 8%",0.08,IF($M47="VAT 10%",0.1,0))))</f>
        <v/>
      </c>
      <c r="O47" s="13" t="str">
        <f aca="false">IF($C47="","",$L47*$N47)</f>
        <v/>
      </c>
      <c r="P47" s="13" t="str">
        <f aca="false">IF($C47="","",$L47+$O47)</f>
        <v/>
      </c>
      <c r="Q47" s="12"/>
      <c r="R47" s="13" t="str">
        <f aca="false">IF($C47="","",MAX(0,$P47-N($Q47)))</f>
        <v/>
      </c>
      <c r="S47" s="23" t="str">
        <f aca="false">IF(OR($C47="",$P47=0),"",IF(N($Q47)&lt;=0,"Chưa thanh toán",IF(N($Q47)&lt;$P47,"Thanh toán một phần","Đã thanh toán")))</f>
        <v/>
      </c>
      <c r="T47" s="13" t="str">
        <f aca="false">IF(OR($C47="",$J47=""),"",N($I47)*$J47)</f>
        <v/>
      </c>
      <c r="U47" s="13" t="str">
        <f aca="false">IF(OR($C47="",$T47=""),"",$L47-$T47)</f>
        <v/>
      </c>
      <c r="V47" s="14" t="str">
        <f aca="false">IF(OR($U47="",$L47=0),"",$U47/$L47)</f>
        <v/>
      </c>
      <c r="W47" s="11"/>
      <c r="X47" s="23" t="str">
        <f aca="false">IF($C47="","",IF(AND($H47="",N($I47)=0,N($K47)=0),"Dòng chỉ lưu thông tin khách (chưa có đơn); ",IF($B47="","Thiếu ngày đặt; ","")&amp;IF($H47="","Thiếu tên sản phẩm; ",IF($J47="","Chưa khai GIÁ GỐC ở BẢNG GIÁ GỐC; ",""))&amp;IF(N($I47)&lt;=0,"Thiếu số lượng; ","")&amp;IF(N($K47)&lt;=0,"Thiếu giá bán; ","")&amp;IF(AND($N47&gt;0,$F47=""),"Khách lấy VAT thiếu mã số thuế; ","")&amp;IF(N($Q47)&gt;$P47,"Đã thu vượt tổng phải thu; ","")&amp;IF(AND($L47&gt;0,$U47&lt;&gt;"",$U47&lt;0),"CẢNH BÁO: ĐƠN NÀY ĐANG LỖ; ","")))</f>
        <v/>
      </c>
    </row>
    <row r="48" customFormat="false" ht="15" hidden="false" customHeight="false" outlineLevel="0" collapsed="false">
      <c r="A48" s="21" t="str">
        <f aca="false">IF($C48="","",COUNTA($C$10:$C48))</f>
        <v/>
      </c>
      <c r="B48" s="18"/>
      <c r="C48" s="11"/>
      <c r="D48" s="11"/>
      <c r="E48" s="11"/>
      <c r="F48" s="11"/>
      <c r="G48" s="11"/>
      <c r="H48" s="11"/>
      <c r="I48" s="12"/>
      <c r="J48" s="13" t="str">
        <f aca="false">IF($H48="","",IFERROR(VLOOKUP($H48,'BẢNG GIÁ GỐC'!$A$5:$D$254,3,FALSE()),""))</f>
        <v/>
      </c>
      <c r="K48" s="12"/>
      <c r="L48" s="13" t="str">
        <f aca="false">IF($C48="","",N($I48)*N($K48))</f>
        <v/>
      </c>
      <c r="M48" s="11"/>
      <c r="N48" s="14" t="str">
        <f aca="false">IF($C48="","",IF($M48="VAT 5%",0.05,IF($M48="VAT 8%",0.08,IF($M48="VAT 10%",0.1,0))))</f>
        <v/>
      </c>
      <c r="O48" s="13" t="str">
        <f aca="false">IF($C48="","",$L48*$N48)</f>
        <v/>
      </c>
      <c r="P48" s="13" t="str">
        <f aca="false">IF($C48="","",$L48+$O48)</f>
        <v/>
      </c>
      <c r="Q48" s="12"/>
      <c r="R48" s="13" t="str">
        <f aca="false">IF($C48="","",MAX(0,$P48-N($Q48)))</f>
        <v/>
      </c>
      <c r="S48" s="23" t="str">
        <f aca="false">IF(OR($C48="",$P48=0),"",IF(N($Q48)&lt;=0,"Chưa thanh toán",IF(N($Q48)&lt;$P48,"Thanh toán một phần","Đã thanh toán")))</f>
        <v/>
      </c>
      <c r="T48" s="13" t="str">
        <f aca="false">IF(OR($C48="",$J48=""),"",N($I48)*$J48)</f>
        <v/>
      </c>
      <c r="U48" s="13" t="str">
        <f aca="false">IF(OR($C48="",$T48=""),"",$L48-$T48)</f>
        <v/>
      </c>
      <c r="V48" s="14" t="str">
        <f aca="false">IF(OR($U48="",$L48=0),"",$U48/$L48)</f>
        <v/>
      </c>
      <c r="W48" s="11"/>
      <c r="X48" s="23" t="str">
        <f aca="false">IF($C48="","",IF(AND($H48="",N($I48)=0,N($K48)=0),"Dòng chỉ lưu thông tin khách (chưa có đơn); ",IF($B48="","Thiếu ngày đặt; ","")&amp;IF($H48="","Thiếu tên sản phẩm; ",IF($J48="","Chưa khai GIÁ GỐC ở BẢNG GIÁ GỐC; ",""))&amp;IF(N($I48)&lt;=0,"Thiếu số lượng; ","")&amp;IF(N($K48)&lt;=0,"Thiếu giá bán; ","")&amp;IF(AND($N48&gt;0,$F48=""),"Khách lấy VAT thiếu mã số thuế; ","")&amp;IF(N($Q48)&gt;$P48,"Đã thu vượt tổng phải thu; ","")&amp;IF(AND($L48&gt;0,$U48&lt;&gt;"",$U48&lt;0),"CẢNH BÁO: ĐƠN NÀY ĐANG LỖ; ","")))</f>
        <v/>
      </c>
    </row>
    <row r="49" customFormat="false" ht="15" hidden="false" customHeight="false" outlineLevel="0" collapsed="false">
      <c r="A49" s="21" t="str">
        <f aca="false">IF($C49="","",COUNTA($C$10:$C49))</f>
        <v/>
      </c>
      <c r="B49" s="18"/>
      <c r="C49" s="11"/>
      <c r="D49" s="11"/>
      <c r="E49" s="11"/>
      <c r="F49" s="11"/>
      <c r="G49" s="11"/>
      <c r="H49" s="11"/>
      <c r="I49" s="12"/>
      <c r="J49" s="13" t="str">
        <f aca="false">IF($H49="","",IFERROR(VLOOKUP($H49,'BẢNG GIÁ GỐC'!$A$5:$D$254,3,FALSE()),""))</f>
        <v/>
      </c>
      <c r="K49" s="12"/>
      <c r="L49" s="13" t="str">
        <f aca="false">IF($C49="","",N($I49)*N($K49))</f>
        <v/>
      </c>
      <c r="M49" s="11"/>
      <c r="N49" s="14" t="str">
        <f aca="false">IF($C49="","",IF($M49="VAT 5%",0.05,IF($M49="VAT 8%",0.08,IF($M49="VAT 10%",0.1,0))))</f>
        <v/>
      </c>
      <c r="O49" s="13" t="str">
        <f aca="false">IF($C49="","",$L49*$N49)</f>
        <v/>
      </c>
      <c r="P49" s="13" t="str">
        <f aca="false">IF($C49="","",$L49+$O49)</f>
        <v/>
      </c>
      <c r="Q49" s="12"/>
      <c r="R49" s="13" t="str">
        <f aca="false">IF($C49="","",MAX(0,$P49-N($Q49)))</f>
        <v/>
      </c>
      <c r="S49" s="23" t="str">
        <f aca="false">IF(OR($C49="",$P49=0),"",IF(N($Q49)&lt;=0,"Chưa thanh toán",IF(N($Q49)&lt;$P49,"Thanh toán một phần","Đã thanh toán")))</f>
        <v/>
      </c>
      <c r="T49" s="13" t="str">
        <f aca="false">IF(OR($C49="",$J49=""),"",N($I49)*$J49)</f>
        <v/>
      </c>
      <c r="U49" s="13" t="str">
        <f aca="false">IF(OR($C49="",$T49=""),"",$L49-$T49)</f>
        <v/>
      </c>
      <c r="V49" s="14" t="str">
        <f aca="false">IF(OR($U49="",$L49=0),"",$U49/$L49)</f>
        <v/>
      </c>
      <c r="W49" s="11"/>
      <c r="X49" s="23" t="str">
        <f aca="false">IF($C49="","",IF(AND($H49="",N($I49)=0,N($K49)=0),"Dòng chỉ lưu thông tin khách (chưa có đơn); ",IF($B49="","Thiếu ngày đặt; ","")&amp;IF($H49="","Thiếu tên sản phẩm; ",IF($J49="","Chưa khai GIÁ GỐC ở BẢNG GIÁ GỐC; ",""))&amp;IF(N($I49)&lt;=0,"Thiếu số lượng; ","")&amp;IF(N($K49)&lt;=0,"Thiếu giá bán; ","")&amp;IF(AND($N49&gt;0,$F49=""),"Khách lấy VAT thiếu mã số thuế; ","")&amp;IF(N($Q49)&gt;$P49,"Đã thu vượt tổng phải thu; ","")&amp;IF(AND($L49&gt;0,$U49&lt;&gt;"",$U49&lt;0),"CẢNH BÁO: ĐƠN NÀY ĐANG LỖ; ","")))</f>
        <v/>
      </c>
    </row>
    <row r="50" customFormat="false" ht="15" hidden="false" customHeight="false" outlineLevel="0" collapsed="false">
      <c r="A50" s="21" t="str">
        <f aca="false">IF($C50="","",COUNTA($C$10:$C50))</f>
        <v/>
      </c>
      <c r="B50" s="18"/>
      <c r="C50" s="11"/>
      <c r="D50" s="11"/>
      <c r="E50" s="11"/>
      <c r="F50" s="11"/>
      <c r="G50" s="11"/>
      <c r="H50" s="11"/>
      <c r="I50" s="12"/>
      <c r="J50" s="13" t="str">
        <f aca="false">IF($H50="","",IFERROR(VLOOKUP($H50,'BẢNG GIÁ GỐC'!$A$5:$D$254,3,FALSE()),""))</f>
        <v/>
      </c>
      <c r="K50" s="12"/>
      <c r="L50" s="13" t="str">
        <f aca="false">IF($C50="","",N($I50)*N($K50))</f>
        <v/>
      </c>
      <c r="M50" s="11"/>
      <c r="N50" s="14" t="str">
        <f aca="false">IF($C50="","",IF($M50="VAT 5%",0.05,IF($M50="VAT 8%",0.08,IF($M50="VAT 10%",0.1,0))))</f>
        <v/>
      </c>
      <c r="O50" s="13" t="str">
        <f aca="false">IF($C50="","",$L50*$N50)</f>
        <v/>
      </c>
      <c r="P50" s="13" t="str">
        <f aca="false">IF($C50="","",$L50+$O50)</f>
        <v/>
      </c>
      <c r="Q50" s="12"/>
      <c r="R50" s="13" t="str">
        <f aca="false">IF($C50="","",MAX(0,$P50-N($Q50)))</f>
        <v/>
      </c>
      <c r="S50" s="23" t="str">
        <f aca="false">IF(OR($C50="",$P50=0),"",IF(N($Q50)&lt;=0,"Chưa thanh toán",IF(N($Q50)&lt;$P50,"Thanh toán một phần","Đã thanh toán")))</f>
        <v/>
      </c>
      <c r="T50" s="13" t="str">
        <f aca="false">IF(OR($C50="",$J50=""),"",N($I50)*$J50)</f>
        <v/>
      </c>
      <c r="U50" s="13" t="str">
        <f aca="false">IF(OR($C50="",$T50=""),"",$L50-$T50)</f>
        <v/>
      </c>
      <c r="V50" s="14" t="str">
        <f aca="false">IF(OR($U50="",$L50=0),"",$U50/$L50)</f>
        <v/>
      </c>
      <c r="W50" s="11"/>
      <c r="X50" s="23" t="str">
        <f aca="false">IF($C50="","",IF(AND($H50="",N($I50)=0,N($K50)=0),"Dòng chỉ lưu thông tin khách (chưa có đơn); ",IF($B50="","Thiếu ngày đặt; ","")&amp;IF($H50="","Thiếu tên sản phẩm; ",IF($J50="","Chưa khai GIÁ GỐC ở BẢNG GIÁ GỐC; ",""))&amp;IF(N($I50)&lt;=0,"Thiếu số lượng; ","")&amp;IF(N($K50)&lt;=0,"Thiếu giá bán; ","")&amp;IF(AND($N50&gt;0,$F50=""),"Khách lấy VAT thiếu mã số thuế; ","")&amp;IF(N($Q50)&gt;$P50,"Đã thu vượt tổng phải thu; ","")&amp;IF(AND($L50&gt;0,$U50&lt;&gt;"",$U50&lt;0),"CẢNH BÁO: ĐƠN NÀY ĐANG LỖ; ","")))</f>
        <v/>
      </c>
    </row>
    <row r="51" customFormat="false" ht="15" hidden="false" customHeight="false" outlineLevel="0" collapsed="false">
      <c r="A51" s="21" t="str">
        <f aca="false">IF($C51="","",COUNTA($C$10:$C51))</f>
        <v/>
      </c>
      <c r="B51" s="18"/>
      <c r="C51" s="11"/>
      <c r="D51" s="11"/>
      <c r="E51" s="11"/>
      <c r="F51" s="11"/>
      <c r="G51" s="11"/>
      <c r="H51" s="11"/>
      <c r="I51" s="12"/>
      <c r="J51" s="13" t="str">
        <f aca="false">IF($H51="","",IFERROR(VLOOKUP($H51,'BẢNG GIÁ GỐC'!$A$5:$D$254,3,FALSE()),""))</f>
        <v/>
      </c>
      <c r="K51" s="12"/>
      <c r="L51" s="13" t="str">
        <f aca="false">IF($C51="","",N($I51)*N($K51))</f>
        <v/>
      </c>
      <c r="M51" s="11"/>
      <c r="N51" s="14" t="str">
        <f aca="false">IF($C51="","",IF($M51="VAT 5%",0.05,IF($M51="VAT 8%",0.08,IF($M51="VAT 10%",0.1,0))))</f>
        <v/>
      </c>
      <c r="O51" s="13" t="str">
        <f aca="false">IF($C51="","",$L51*$N51)</f>
        <v/>
      </c>
      <c r="P51" s="13" t="str">
        <f aca="false">IF($C51="","",$L51+$O51)</f>
        <v/>
      </c>
      <c r="Q51" s="12"/>
      <c r="R51" s="13" t="str">
        <f aca="false">IF($C51="","",MAX(0,$P51-N($Q51)))</f>
        <v/>
      </c>
      <c r="S51" s="23" t="str">
        <f aca="false">IF(OR($C51="",$P51=0),"",IF(N($Q51)&lt;=0,"Chưa thanh toán",IF(N($Q51)&lt;$P51,"Thanh toán một phần","Đã thanh toán")))</f>
        <v/>
      </c>
      <c r="T51" s="13" t="str">
        <f aca="false">IF(OR($C51="",$J51=""),"",N($I51)*$J51)</f>
        <v/>
      </c>
      <c r="U51" s="13" t="str">
        <f aca="false">IF(OR($C51="",$T51=""),"",$L51-$T51)</f>
        <v/>
      </c>
      <c r="V51" s="14" t="str">
        <f aca="false">IF(OR($U51="",$L51=0),"",$U51/$L51)</f>
        <v/>
      </c>
      <c r="W51" s="11"/>
      <c r="X51" s="23" t="str">
        <f aca="false">IF($C51="","",IF(AND($H51="",N($I51)=0,N($K51)=0),"Dòng chỉ lưu thông tin khách (chưa có đơn); ",IF($B51="","Thiếu ngày đặt; ","")&amp;IF($H51="","Thiếu tên sản phẩm; ",IF($J51="","Chưa khai GIÁ GỐC ở BẢNG GIÁ GỐC; ",""))&amp;IF(N($I51)&lt;=0,"Thiếu số lượng; ","")&amp;IF(N($K51)&lt;=0,"Thiếu giá bán; ","")&amp;IF(AND($N51&gt;0,$F51=""),"Khách lấy VAT thiếu mã số thuế; ","")&amp;IF(N($Q51)&gt;$P51,"Đã thu vượt tổng phải thu; ","")&amp;IF(AND($L51&gt;0,$U51&lt;&gt;"",$U51&lt;0),"CẢNH BÁO: ĐƠN NÀY ĐANG LỖ; ","")))</f>
        <v/>
      </c>
    </row>
    <row r="52" customFormat="false" ht="15" hidden="false" customHeight="false" outlineLevel="0" collapsed="false">
      <c r="A52" s="21" t="str">
        <f aca="false">IF($C52="","",COUNTA($C$10:$C52))</f>
        <v/>
      </c>
      <c r="B52" s="18"/>
      <c r="C52" s="11"/>
      <c r="D52" s="11"/>
      <c r="E52" s="11"/>
      <c r="F52" s="11"/>
      <c r="G52" s="11"/>
      <c r="H52" s="11"/>
      <c r="I52" s="12"/>
      <c r="J52" s="13" t="str">
        <f aca="false">IF($H52="","",IFERROR(VLOOKUP($H52,'BẢNG GIÁ GỐC'!$A$5:$D$254,3,FALSE()),""))</f>
        <v/>
      </c>
      <c r="K52" s="12"/>
      <c r="L52" s="13" t="str">
        <f aca="false">IF($C52="","",N($I52)*N($K52))</f>
        <v/>
      </c>
      <c r="M52" s="11"/>
      <c r="N52" s="14" t="str">
        <f aca="false">IF($C52="","",IF($M52="VAT 5%",0.05,IF($M52="VAT 8%",0.08,IF($M52="VAT 10%",0.1,0))))</f>
        <v/>
      </c>
      <c r="O52" s="13" t="str">
        <f aca="false">IF($C52="","",$L52*$N52)</f>
        <v/>
      </c>
      <c r="P52" s="13" t="str">
        <f aca="false">IF($C52="","",$L52+$O52)</f>
        <v/>
      </c>
      <c r="Q52" s="12"/>
      <c r="R52" s="13" t="str">
        <f aca="false">IF($C52="","",MAX(0,$P52-N($Q52)))</f>
        <v/>
      </c>
      <c r="S52" s="23" t="str">
        <f aca="false">IF(OR($C52="",$P52=0),"",IF(N($Q52)&lt;=0,"Chưa thanh toán",IF(N($Q52)&lt;$P52,"Thanh toán một phần","Đã thanh toán")))</f>
        <v/>
      </c>
      <c r="T52" s="13" t="str">
        <f aca="false">IF(OR($C52="",$J52=""),"",N($I52)*$J52)</f>
        <v/>
      </c>
      <c r="U52" s="13" t="str">
        <f aca="false">IF(OR($C52="",$T52=""),"",$L52-$T52)</f>
        <v/>
      </c>
      <c r="V52" s="14" t="str">
        <f aca="false">IF(OR($U52="",$L52=0),"",$U52/$L52)</f>
        <v/>
      </c>
      <c r="W52" s="11"/>
      <c r="X52" s="23" t="str">
        <f aca="false">IF($C52="","",IF(AND($H52="",N($I52)=0,N($K52)=0),"Dòng chỉ lưu thông tin khách (chưa có đơn); ",IF($B52="","Thiếu ngày đặt; ","")&amp;IF($H52="","Thiếu tên sản phẩm; ",IF($J52="","Chưa khai GIÁ GỐC ở BẢNG GIÁ GỐC; ",""))&amp;IF(N($I52)&lt;=0,"Thiếu số lượng; ","")&amp;IF(N($K52)&lt;=0,"Thiếu giá bán; ","")&amp;IF(AND($N52&gt;0,$F52=""),"Khách lấy VAT thiếu mã số thuế; ","")&amp;IF(N($Q52)&gt;$P52,"Đã thu vượt tổng phải thu; ","")&amp;IF(AND($L52&gt;0,$U52&lt;&gt;"",$U52&lt;0),"CẢNH BÁO: ĐƠN NÀY ĐANG LỖ; ","")))</f>
        <v/>
      </c>
    </row>
    <row r="53" customFormat="false" ht="15" hidden="false" customHeight="false" outlineLevel="0" collapsed="false">
      <c r="A53" s="21" t="str">
        <f aca="false">IF($C53="","",COUNTA($C$10:$C53))</f>
        <v/>
      </c>
      <c r="B53" s="18"/>
      <c r="C53" s="11"/>
      <c r="D53" s="11"/>
      <c r="E53" s="11"/>
      <c r="F53" s="11"/>
      <c r="G53" s="11"/>
      <c r="H53" s="11"/>
      <c r="I53" s="12"/>
      <c r="J53" s="13" t="str">
        <f aca="false">IF($H53="","",IFERROR(VLOOKUP($H53,'BẢNG GIÁ GỐC'!$A$5:$D$254,3,FALSE()),""))</f>
        <v/>
      </c>
      <c r="K53" s="12"/>
      <c r="L53" s="13" t="str">
        <f aca="false">IF($C53="","",N($I53)*N($K53))</f>
        <v/>
      </c>
      <c r="M53" s="11"/>
      <c r="N53" s="14" t="str">
        <f aca="false">IF($C53="","",IF($M53="VAT 5%",0.05,IF($M53="VAT 8%",0.08,IF($M53="VAT 10%",0.1,0))))</f>
        <v/>
      </c>
      <c r="O53" s="13" t="str">
        <f aca="false">IF($C53="","",$L53*$N53)</f>
        <v/>
      </c>
      <c r="P53" s="13" t="str">
        <f aca="false">IF($C53="","",$L53+$O53)</f>
        <v/>
      </c>
      <c r="Q53" s="12"/>
      <c r="R53" s="13" t="str">
        <f aca="false">IF($C53="","",MAX(0,$P53-N($Q53)))</f>
        <v/>
      </c>
      <c r="S53" s="23" t="str">
        <f aca="false">IF(OR($C53="",$P53=0),"",IF(N($Q53)&lt;=0,"Chưa thanh toán",IF(N($Q53)&lt;$P53,"Thanh toán một phần","Đã thanh toán")))</f>
        <v/>
      </c>
      <c r="T53" s="13" t="str">
        <f aca="false">IF(OR($C53="",$J53=""),"",N($I53)*$J53)</f>
        <v/>
      </c>
      <c r="U53" s="13" t="str">
        <f aca="false">IF(OR($C53="",$T53=""),"",$L53-$T53)</f>
        <v/>
      </c>
      <c r="V53" s="14" t="str">
        <f aca="false">IF(OR($U53="",$L53=0),"",$U53/$L53)</f>
        <v/>
      </c>
      <c r="W53" s="11"/>
      <c r="X53" s="23" t="str">
        <f aca="false">IF($C53="","",IF(AND($H53="",N($I53)=0,N($K53)=0),"Dòng chỉ lưu thông tin khách (chưa có đơn); ",IF($B53="","Thiếu ngày đặt; ","")&amp;IF($H53="","Thiếu tên sản phẩm; ",IF($J53="","Chưa khai GIÁ GỐC ở BẢNG GIÁ GỐC; ",""))&amp;IF(N($I53)&lt;=0,"Thiếu số lượng; ","")&amp;IF(N($K53)&lt;=0,"Thiếu giá bán; ","")&amp;IF(AND($N53&gt;0,$F53=""),"Khách lấy VAT thiếu mã số thuế; ","")&amp;IF(N($Q53)&gt;$P53,"Đã thu vượt tổng phải thu; ","")&amp;IF(AND($L53&gt;0,$U53&lt;&gt;"",$U53&lt;0),"CẢNH BÁO: ĐƠN NÀY ĐANG LỖ; ","")))</f>
        <v/>
      </c>
    </row>
    <row r="54" customFormat="false" ht="15" hidden="false" customHeight="false" outlineLevel="0" collapsed="false">
      <c r="A54" s="21" t="str">
        <f aca="false">IF($C54="","",COUNTA($C$10:$C54))</f>
        <v/>
      </c>
      <c r="B54" s="18"/>
      <c r="C54" s="11"/>
      <c r="D54" s="11"/>
      <c r="E54" s="11"/>
      <c r="F54" s="11"/>
      <c r="G54" s="11"/>
      <c r="H54" s="11"/>
      <c r="I54" s="12"/>
      <c r="J54" s="13" t="str">
        <f aca="false">IF($H54="","",IFERROR(VLOOKUP($H54,'BẢNG GIÁ GỐC'!$A$5:$D$254,3,FALSE()),""))</f>
        <v/>
      </c>
      <c r="K54" s="12"/>
      <c r="L54" s="13" t="str">
        <f aca="false">IF($C54="","",N($I54)*N($K54))</f>
        <v/>
      </c>
      <c r="M54" s="11"/>
      <c r="N54" s="14" t="str">
        <f aca="false">IF($C54="","",IF($M54="VAT 5%",0.05,IF($M54="VAT 8%",0.08,IF($M54="VAT 10%",0.1,0))))</f>
        <v/>
      </c>
      <c r="O54" s="13" t="str">
        <f aca="false">IF($C54="","",$L54*$N54)</f>
        <v/>
      </c>
      <c r="P54" s="13" t="str">
        <f aca="false">IF($C54="","",$L54+$O54)</f>
        <v/>
      </c>
      <c r="Q54" s="12"/>
      <c r="R54" s="13" t="str">
        <f aca="false">IF($C54="","",MAX(0,$P54-N($Q54)))</f>
        <v/>
      </c>
      <c r="S54" s="23" t="str">
        <f aca="false">IF(OR($C54="",$P54=0),"",IF(N($Q54)&lt;=0,"Chưa thanh toán",IF(N($Q54)&lt;$P54,"Thanh toán một phần","Đã thanh toán")))</f>
        <v/>
      </c>
      <c r="T54" s="13" t="str">
        <f aca="false">IF(OR($C54="",$J54=""),"",N($I54)*$J54)</f>
        <v/>
      </c>
      <c r="U54" s="13" t="str">
        <f aca="false">IF(OR($C54="",$T54=""),"",$L54-$T54)</f>
        <v/>
      </c>
      <c r="V54" s="14" t="str">
        <f aca="false">IF(OR($U54="",$L54=0),"",$U54/$L54)</f>
        <v/>
      </c>
      <c r="W54" s="11"/>
      <c r="X54" s="23" t="str">
        <f aca="false">IF($C54="","",IF(AND($H54="",N($I54)=0,N($K54)=0),"Dòng chỉ lưu thông tin khách (chưa có đơn); ",IF($B54="","Thiếu ngày đặt; ","")&amp;IF($H54="","Thiếu tên sản phẩm; ",IF($J54="","Chưa khai GIÁ GỐC ở BẢNG GIÁ GỐC; ",""))&amp;IF(N($I54)&lt;=0,"Thiếu số lượng; ","")&amp;IF(N($K54)&lt;=0,"Thiếu giá bán; ","")&amp;IF(AND($N54&gt;0,$F54=""),"Khách lấy VAT thiếu mã số thuế; ","")&amp;IF(N($Q54)&gt;$P54,"Đã thu vượt tổng phải thu; ","")&amp;IF(AND($L54&gt;0,$U54&lt;&gt;"",$U54&lt;0),"CẢNH BÁO: ĐƠN NÀY ĐANG LỖ; ","")))</f>
        <v/>
      </c>
    </row>
    <row r="55" customFormat="false" ht="15" hidden="false" customHeight="false" outlineLevel="0" collapsed="false">
      <c r="A55" s="21" t="str">
        <f aca="false">IF($C55="","",COUNTA($C$10:$C55))</f>
        <v/>
      </c>
      <c r="B55" s="18"/>
      <c r="C55" s="11"/>
      <c r="D55" s="11"/>
      <c r="E55" s="11"/>
      <c r="F55" s="11"/>
      <c r="G55" s="11"/>
      <c r="H55" s="11"/>
      <c r="I55" s="12"/>
      <c r="J55" s="13" t="str">
        <f aca="false">IF($H55="","",IFERROR(VLOOKUP($H55,'BẢNG GIÁ GỐC'!$A$5:$D$254,3,FALSE()),""))</f>
        <v/>
      </c>
      <c r="K55" s="12"/>
      <c r="L55" s="13" t="str">
        <f aca="false">IF($C55="","",N($I55)*N($K55))</f>
        <v/>
      </c>
      <c r="M55" s="11"/>
      <c r="N55" s="14" t="str">
        <f aca="false">IF($C55="","",IF($M55="VAT 5%",0.05,IF($M55="VAT 8%",0.08,IF($M55="VAT 10%",0.1,0))))</f>
        <v/>
      </c>
      <c r="O55" s="13" t="str">
        <f aca="false">IF($C55="","",$L55*$N55)</f>
        <v/>
      </c>
      <c r="P55" s="13" t="str">
        <f aca="false">IF($C55="","",$L55+$O55)</f>
        <v/>
      </c>
      <c r="Q55" s="12"/>
      <c r="R55" s="13" t="str">
        <f aca="false">IF($C55="","",MAX(0,$P55-N($Q55)))</f>
        <v/>
      </c>
      <c r="S55" s="23" t="str">
        <f aca="false">IF(OR($C55="",$P55=0),"",IF(N($Q55)&lt;=0,"Chưa thanh toán",IF(N($Q55)&lt;$P55,"Thanh toán một phần","Đã thanh toán")))</f>
        <v/>
      </c>
      <c r="T55" s="13" t="str">
        <f aca="false">IF(OR($C55="",$J55=""),"",N($I55)*$J55)</f>
        <v/>
      </c>
      <c r="U55" s="13" t="str">
        <f aca="false">IF(OR($C55="",$T55=""),"",$L55-$T55)</f>
        <v/>
      </c>
      <c r="V55" s="14" t="str">
        <f aca="false">IF(OR($U55="",$L55=0),"",$U55/$L55)</f>
        <v/>
      </c>
      <c r="W55" s="11"/>
      <c r="X55" s="23" t="str">
        <f aca="false">IF($C55="","",IF(AND($H55="",N($I55)=0,N($K55)=0),"Dòng chỉ lưu thông tin khách (chưa có đơn); ",IF($B55="","Thiếu ngày đặt; ","")&amp;IF($H55="","Thiếu tên sản phẩm; ",IF($J55="","Chưa khai GIÁ GỐC ở BẢNG GIÁ GỐC; ",""))&amp;IF(N($I55)&lt;=0,"Thiếu số lượng; ","")&amp;IF(N($K55)&lt;=0,"Thiếu giá bán; ","")&amp;IF(AND($N55&gt;0,$F55=""),"Khách lấy VAT thiếu mã số thuế; ","")&amp;IF(N($Q55)&gt;$P55,"Đã thu vượt tổng phải thu; ","")&amp;IF(AND($L55&gt;0,$U55&lt;&gt;"",$U55&lt;0),"CẢNH BÁO: ĐƠN NÀY ĐANG LỖ; ","")))</f>
        <v/>
      </c>
    </row>
    <row r="56" customFormat="false" ht="15" hidden="false" customHeight="false" outlineLevel="0" collapsed="false">
      <c r="A56" s="21" t="str">
        <f aca="false">IF($C56="","",COUNTA($C$10:$C56))</f>
        <v/>
      </c>
      <c r="B56" s="18"/>
      <c r="C56" s="11"/>
      <c r="D56" s="11"/>
      <c r="E56" s="11"/>
      <c r="F56" s="11"/>
      <c r="G56" s="11"/>
      <c r="H56" s="11"/>
      <c r="I56" s="12"/>
      <c r="J56" s="13" t="str">
        <f aca="false">IF($H56="","",IFERROR(VLOOKUP($H56,'BẢNG GIÁ GỐC'!$A$5:$D$254,3,FALSE()),""))</f>
        <v/>
      </c>
      <c r="K56" s="12"/>
      <c r="L56" s="13" t="str">
        <f aca="false">IF($C56="","",N($I56)*N($K56))</f>
        <v/>
      </c>
      <c r="M56" s="11"/>
      <c r="N56" s="14" t="str">
        <f aca="false">IF($C56="","",IF($M56="VAT 5%",0.05,IF($M56="VAT 8%",0.08,IF($M56="VAT 10%",0.1,0))))</f>
        <v/>
      </c>
      <c r="O56" s="13" t="str">
        <f aca="false">IF($C56="","",$L56*$N56)</f>
        <v/>
      </c>
      <c r="P56" s="13" t="str">
        <f aca="false">IF($C56="","",$L56+$O56)</f>
        <v/>
      </c>
      <c r="Q56" s="12"/>
      <c r="R56" s="13" t="str">
        <f aca="false">IF($C56="","",MAX(0,$P56-N($Q56)))</f>
        <v/>
      </c>
      <c r="S56" s="23" t="str">
        <f aca="false">IF(OR($C56="",$P56=0),"",IF(N($Q56)&lt;=0,"Chưa thanh toán",IF(N($Q56)&lt;$P56,"Thanh toán một phần","Đã thanh toán")))</f>
        <v/>
      </c>
      <c r="T56" s="13" t="str">
        <f aca="false">IF(OR($C56="",$J56=""),"",N($I56)*$J56)</f>
        <v/>
      </c>
      <c r="U56" s="13" t="str">
        <f aca="false">IF(OR($C56="",$T56=""),"",$L56-$T56)</f>
        <v/>
      </c>
      <c r="V56" s="14" t="str">
        <f aca="false">IF(OR($U56="",$L56=0),"",$U56/$L56)</f>
        <v/>
      </c>
      <c r="W56" s="11"/>
      <c r="X56" s="23" t="str">
        <f aca="false">IF($C56="","",IF(AND($H56="",N($I56)=0,N($K56)=0),"Dòng chỉ lưu thông tin khách (chưa có đơn); ",IF($B56="","Thiếu ngày đặt; ","")&amp;IF($H56="","Thiếu tên sản phẩm; ",IF($J56="","Chưa khai GIÁ GỐC ở BẢNG GIÁ GỐC; ",""))&amp;IF(N($I56)&lt;=0,"Thiếu số lượng; ","")&amp;IF(N($K56)&lt;=0,"Thiếu giá bán; ","")&amp;IF(AND($N56&gt;0,$F56=""),"Khách lấy VAT thiếu mã số thuế; ","")&amp;IF(N($Q56)&gt;$P56,"Đã thu vượt tổng phải thu; ","")&amp;IF(AND($L56&gt;0,$U56&lt;&gt;"",$U56&lt;0),"CẢNH BÁO: ĐƠN NÀY ĐANG LỖ; ","")))</f>
        <v/>
      </c>
    </row>
    <row r="57" customFormat="false" ht="15" hidden="false" customHeight="false" outlineLevel="0" collapsed="false">
      <c r="A57" s="21" t="str">
        <f aca="false">IF($C57="","",COUNTA($C$10:$C57))</f>
        <v/>
      </c>
      <c r="B57" s="18"/>
      <c r="C57" s="11"/>
      <c r="D57" s="11"/>
      <c r="E57" s="11"/>
      <c r="F57" s="11"/>
      <c r="G57" s="11"/>
      <c r="H57" s="11"/>
      <c r="I57" s="12"/>
      <c r="J57" s="13" t="str">
        <f aca="false">IF($H57="","",IFERROR(VLOOKUP($H57,'BẢNG GIÁ GỐC'!$A$5:$D$254,3,FALSE()),""))</f>
        <v/>
      </c>
      <c r="K57" s="12"/>
      <c r="L57" s="13" t="str">
        <f aca="false">IF($C57="","",N($I57)*N($K57))</f>
        <v/>
      </c>
      <c r="M57" s="11"/>
      <c r="N57" s="14" t="str">
        <f aca="false">IF($C57="","",IF($M57="VAT 5%",0.05,IF($M57="VAT 8%",0.08,IF($M57="VAT 10%",0.1,0))))</f>
        <v/>
      </c>
      <c r="O57" s="13" t="str">
        <f aca="false">IF($C57="","",$L57*$N57)</f>
        <v/>
      </c>
      <c r="P57" s="13" t="str">
        <f aca="false">IF($C57="","",$L57+$O57)</f>
        <v/>
      </c>
      <c r="Q57" s="12"/>
      <c r="R57" s="13" t="str">
        <f aca="false">IF($C57="","",MAX(0,$P57-N($Q57)))</f>
        <v/>
      </c>
      <c r="S57" s="23" t="str">
        <f aca="false">IF(OR($C57="",$P57=0),"",IF(N($Q57)&lt;=0,"Chưa thanh toán",IF(N($Q57)&lt;$P57,"Thanh toán một phần","Đã thanh toán")))</f>
        <v/>
      </c>
      <c r="T57" s="13" t="str">
        <f aca="false">IF(OR($C57="",$J57=""),"",N($I57)*$J57)</f>
        <v/>
      </c>
      <c r="U57" s="13" t="str">
        <f aca="false">IF(OR($C57="",$T57=""),"",$L57-$T57)</f>
        <v/>
      </c>
      <c r="V57" s="14" t="str">
        <f aca="false">IF(OR($U57="",$L57=0),"",$U57/$L57)</f>
        <v/>
      </c>
      <c r="W57" s="11"/>
      <c r="X57" s="23" t="str">
        <f aca="false">IF($C57="","",IF(AND($H57="",N($I57)=0,N($K57)=0),"Dòng chỉ lưu thông tin khách (chưa có đơn); ",IF($B57="","Thiếu ngày đặt; ","")&amp;IF($H57="","Thiếu tên sản phẩm; ",IF($J57="","Chưa khai GIÁ GỐC ở BẢNG GIÁ GỐC; ",""))&amp;IF(N($I57)&lt;=0,"Thiếu số lượng; ","")&amp;IF(N($K57)&lt;=0,"Thiếu giá bán; ","")&amp;IF(AND($N57&gt;0,$F57=""),"Khách lấy VAT thiếu mã số thuế; ","")&amp;IF(N($Q57)&gt;$P57,"Đã thu vượt tổng phải thu; ","")&amp;IF(AND($L57&gt;0,$U57&lt;&gt;"",$U57&lt;0),"CẢNH BÁO: ĐƠN NÀY ĐANG LỖ; ","")))</f>
        <v/>
      </c>
    </row>
    <row r="58" customFormat="false" ht="15" hidden="false" customHeight="false" outlineLevel="0" collapsed="false">
      <c r="A58" s="21" t="str">
        <f aca="false">IF($C58="","",COUNTA($C$10:$C58))</f>
        <v/>
      </c>
      <c r="B58" s="18"/>
      <c r="C58" s="11"/>
      <c r="D58" s="11"/>
      <c r="E58" s="11"/>
      <c r="F58" s="11"/>
      <c r="G58" s="11"/>
      <c r="H58" s="11"/>
      <c r="I58" s="12"/>
      <c r="J58" s="13" t="str">
        <f aca="false">IF($H58="","",IFERROR(VLOOKUP($H58,'BẢNG GIÁ GỐC'!$A$5:$D$254,3,FALSE()),""))</f>
        <v/>
      </c>
      <c r="K58" s="12"/>
      <c r="L58" s="13" t="str">
        <f aca="false">IF($C58="","",N($I58)*N($K58))</f>
        <v/>
      </c>
      <c r="M58" s="11"/>
      <c r="N58" s="14" t="str">
        <f aca="false">IF($C58="","",IF($M58="VAT 5%",0.05,IF($M58="VAT 8%",0.08,IF($M58="VAT 10%",0.1,0))))</f>
        <v/>
      </c>
      <c r="O58" s="13" t="str">
        <f aca="false">IF($C58="","",$L58*$N58)</f>
        <v/>
      </c>
      <c r="P58" s="13" t="str">
        <f aca="false">IF($C58="","",$L58+$O58)</f>
        <v/>
      </c>
      <c r="Q58" s="12"/>
      <c r="R58" s="13" t="str">
        <f aca="false">IF($C58="","",MAX(0,$P58-N($Q58)))</f>
        <v/>
      </c>
      <c r="S58" s="23" t="str">
        <f aca="false">IF(OR($C58="",$P58=0),"",IF(N($Q58)&lt;=0,"Chưa thanh toán",IF(N($Q58)&lt;$P58,"Thanh toán một phần","Đã thanh toán")))</f>
        <v/>
      </c>
      <c r="T58" s="13" t="str">
        <f aca="false">IF(OR($C58="",$J58=""),"",N($I58)*$J58)</f>
        <v/>
      </c>
      <c r="U58" s="13" t="str">
        <f aca="false">IF(OR($C58="",$T58=""),"",$L58-$T58)</f>
        <v/>
      </c>
      <c r="V58" s="14" t="str">
        <f aca="false">IF(OR($U58="",$L58=0),"",$U58/$L58)</f>
        <v/>
      </c>
      <c r="W58" s="11"/>
      <c r="X58" s="23" t="str">
        <f aca="false">IF($C58="","",IF(AND($H58="",N($I58)=0,N($K58)=0),"Dòng chỉ lưu thông tin khách (chưa có đơn); ",IF($B58="","Thiếu ngày đặt; ","")&amp;IF($H58="","Thiếu tên sản phẩm; ",IF($J58="","Chưa khai GIÁ GỐC ở BẢNG GIÁ GỐC; ",""))&amp;IF(N($I58)&lt;=0,"Thiếu số lượng; ","")&amp;IF(N($K58)&lt;=0,"Thiếu giá bán; ","")&amp;IF(AND($N58&gt;0,$F58=""),"Khách lấy VAT thiếu mã số thuế; ","")&amp;IF(N($Q58)&gt;$P58,"Đã thu vượt tổng phải thu; ","")&amp;IF(AND($L58&gt;0,$U58&lt;&gt;"",$U58&lt;0),"CẢNH BÁO: ĐƠN NÀY ĐANG LỖ; ","")))</f>
        <v/>
      </c>
    </row>
    <row r="59" customFormat="false" ht="15" hidden="false" customHeight="false" outlineLevel="0" collapsed="false">
      <c r="A59" s="21" t="str">
        <f aca="false">IF($C59="","",COUNTA($C$10:$C59))</f>
        <v/>
      </c>
      <c r="B59" s="18"/>
      <c r="C59" s="11"/>
      <c r="D59" s="11"/>
      <c r="E59" s="11"/>
      <c r="F59" s="11"/>
      <c r="G59" s="11"/>
      <c r="H59" s="11"/>
      <c r="I59" s="12"/>
      <c r="J59" s="13" t="str">
        <f aca="false">IF($H59="","",IFERROR(VLOOKUP($H59,'BẢNG GIÁ GỐC'!$A$5:$D$254,3,FALSE()),""))</f>
        <v/>
      </c>
      <c r="K59" s="12"/>
      <c r="L59" s="13" t="str">
        <f aca="false">IF($C59="","",N($I59)*N($K59))</f>
        <v/>
      </c>
      <c r="M59" s="11"/>
      <c r="N59" s="14" t="str">
        <f aca="false">IF($C59="","",IF($M59="VAT 5%",0.05,IF($M59="VAT 8%",0.08,IF($M59="VAT 10%",0.1,0))))</f>
        <v/>
      </c>
      <c r="O59" s="13" t="str">
        <f aca="false">IF($C59="","",$L59*$N59)</f>
        <v/>
      </c>
      <c r="P59" s="13" t="str">
        <f aca="false">IF($C59="","",$L59+$O59)</f>
        <v/>
      </c>
      <c r="Q59" s="12"/>
      <c r="R59" s="13" t="str">
        <f aca="false">IF($C59="","",MAX(0,$P59-N($Q59)))</f>
        <v/>
      </c>
      <c r="S59" s="23" t="str">
        <f aca="false">IF(OR($C59="",$P59=0),"",IF(N($Q59)&lt;=0,"Chưa thanh toán",IF(N($Q59)&lt;$P59,"Thanh toán một phần","Đã thanh toán")))</f>
        <v/>
      </c>
      <c r="T59" s="13" t="str">
        <f aca="false">IF(OR($C59="",$J59=""),"",N($I59)*$J59)</f>
        <v/>
      </c>
      <c r="U59" s="13" t="str">
        <f aca="false">IF(OR($C59="",$T59=""),"",$L59-$T59)</f>
        <v/>
      </c>
      <c r="V59" s="14" t="str">
        <f aca="false">IF(OR($U59="",$L59=0),"",$U59/$L59)</f>
        <v/>
      </c>
      <c r="W59" s="11"/>
      <c r="X59" s="23" t="str">
        <f aca="false">IF($C59="","",IF(AND($H59="",N($I59)=0,N($K59)=0),"Dòng chỉ lưu thông tin khách (chưa có đơn); ",IF($B59="","Thiếu ngày đặt; ","")&amp;IF($H59="","Thiếu tên sản phẩm; ",IF($J59="","Chưa khai GIÁ GỐC ở BẢNG GIÁ GỐC; ",""))&amp;IF(N($I59)&lt;=0,"Thiếu số lượng; ","")&amp;IF(N($K59)&lt;=0,"Thiếu giá bán; ","")&amp;IF(AND($N59&gt;0,$F59=""),"Khách lấy VAT thiếu mã số thuế; ","")&amp;IF(N($Q59)&gt;$P59,"Đã thu vượt tổng phải thu; ","")&amp;IF(AND($L59&gt;0,$U59&lt;&gt;"",$U59&lt;0),"CẢNH BÁO: ĐƠN NÀY ĐANG LỖ; ","")))</f>
        <v/>
      </c>
    </row>
    <row r="60" customFormat="false" ht="15" hidden="false" customHeight="false" outlineLevel="0" collapsed="false">
      <c r="A60" s="21" t="str">
        <f aca="false">IF($C60="","",COUNTA($C$10:$C60))</f>
        <v/>
      </c>
      <c r="B60" s="18"/>
      <c r="C60" s="11"/>
      <c r="D60" s="11"/>
      <c r="E60" s="11"/>
      <c r="F60" s="11"/>
      <c r="G60" s="11"/>
      <c r="H60" s="11"/>
      <c r="I60" s="12"/>
      <c r="J60" s="13" t="str">
        <f aca="false">IF($H60="","",IFERROR(VLOOKUP($H60,'BẢNG GIÁ GỐC'!$A$5:$D$254,3,FALSE()),""))</f>
        <v/>
      </c>
      <c r="K60" s="12"/>
      <c r="L60" s="13" t="str">
        <f aca="false">IF($C60="","",N($I60)*N($K60))</f>
        <v/>
      </c>
      <c r="M60" s="11"/>
      <c r="N60" s="14" t="str">
        <f aca="false">IF($C60="","",IF($M60="VAT 5%",0.05,IF($M60="VAT 8%",0.08,IF($M60="VAT 10%",0.1,0))))</f>
        <v/>
      </c>
      <c r="O60" s="13" t="str">
        <f aca="false">IF($C60="","",$L60*$N60)</f>
        <v/>
      </c>
      <c r="P60" s="13" t="str">
        <f aca="false">IF($C60="","",$L60+$O60)</f>
        <v/>
      </c>
      <c r="Q60" s="12"/>
      <c r="R60" s="13" t="str">
        <f aca="false">IF($C60="","",MAX(0,$P60-N($Q60)))</f>
        <v/>
      </c>
      <c r="S60" s="23" t="str">
        <f aca="false">IF(OR($C60="",$P60=0),"",IF(N($Q60)&lt;=0,"Chưa thanh toán",IF(N($Q60)&lt;$P60,"Thanh toán một phần","Đã thanh toán")))</f>
        <v/>
      </c>
      <c r="T60" s="13" t="str">
        <f aca="false">IF(OR($C60="",$J60=""),"",N($I60)*$J60)</f>
        <v/>
      </c>
      <c r="U60" s="13" t="str">
        <f aca="false">IF(OR($C60="",$T60=""),"",$L60-$T60)</f>
        <v/>
      </c>
      <c r="V60" s="14" t="str">
        <f aca="false">IF(OR($U60="",$L60=0),"",$U60/$L60)</f>
        <v/>
      </c>
      <c r="W60" s="11"/>
      <c r="X60" s="23" t="str">
        <f aca="false">IF($C60="","",IF(AND($H60="",N($I60)=0,N($K60)=0),"Dòng chỉ lưu thông tin khách (chưa có đơn); ",IF($B60="","Thiếu ngày đặt; ","")&amp;IF($H60="","Thiếu tên sản phẩm; ",IF($J60="","Chưa khai GIÁ GỐC ở BẢNG GIÁ GỐC; ",""))&amp;IF(N($I60)&lt;=0,"Thiếu số lượng; ","")&amp;IF(N($K60)&lt;=0,"Thiếu giá bán; ","")&amp;IF(AND($N60&gt;0,$F60=""),"Khách lấy VAT thiếu mã số thuế; ","")&amp;IF(N($Q60)&gt;$P60,"Đã thu vượt tổng phải thu; ","")&amp;IF(AND($L60&gt;0,$U60&lt;&gt;"",$U60&lt;0),"CẢNH BÁO: ĐƠN NÀY ĐANG LỖ; ","")))</f>
        <v/>
      </c>
    </row>
    <row r="61" customFormat="false" ht="15" hidden="false" customHeight="false" outlineLevel="0" collapsed="false">
      <c r="A61" s="21" t="str">
        <f aca="false">IF($C61="","",COUNTA($C$10:$C61))</f>
        <v/>
      </c>
      <c r="B61" s="18"/>
      <c r="C61" s="11"/>
      <c r="D61" s="11"/>
      <c r="E61" s="11"/>
      <c r="F61" s="11"/>
      <c r="G61" s="11"/>
      <c r="H61" s="11"/>
      <c r="I61" s="12"/>
      <c r="J61" s="13" t="str">
        <f aca="false">IF($H61="","",IFERROR(VLOOKUP($H61,'BẢNG GIÁ GỐC'!$A$5:$D$254,3,FALSE()),""))</f>
        <v/>
      </c>
      <c r="K61" s="12"/>
      <c r="L61" s="13" t="str">
        <f aca="false">IF($C61="","",N($I61)*N($K61))</f>
        <v/>
      </c>
      <c r="M61" s="11"/>
      <c r="N61" s="14" t="str">
        <f aca="false">IF($C61="","",IF($M61="VAT 5%",0.05,IF($M61="VAT 8%",0.08,IF($M61="VAT 10%",0.1,0))))</f>
        <v/>
      </c>
      <c r="O61" s="13" t="str">
        <f aca="false">IF($C61="","",$L61*$N61)</f>
        <v/>
      </c>
      <c r="P61" s="13" t="str">
        <f aca="false">IF($C61="","",$L61+$O61)</f>
        <v/>
      </c>
      <c r="Q61" s="12"/>
      <c r="R61" s="13" t="str">
        <f aca="false">IF($C61="","",MAX(0,$P61-N($Q61)))</f>
        <v/>
      </c>
      <c r="S61" s="23" t="str">
        <f aca="false">IF(OR($C61="",$P61=0),"",IF(N($Q61)&lt;=0,"Chưa thanh toán",IF(N($Q61)&lt;$P61,"Thanh toán một phần","Đã thanh toán")))</f>
        <v/>
      </c>
      <c r="T61" s="13" t="str">
        <f aca="false">IF(OR($C61="",$J61=""),"",N($I61)*$J61)</f>
        <v/>
      </c>
      <c r="U61" s="13" t="str">
        <f aca="false">IF(OR($C61="",$T61=""),"",$L61-$T61)</f>
        <v/>
      </c>
      <c r="V61" s="14" t="str">
        <f aca="false">IF(OR($U61="",$L61=0),"",$U61/$L61)</f>
        <v/>
      </c>
      <c r="W61" s="11"/>
      <c r="X61" s="23" t="str">
        <f aca="false">IF($C61="","",IF(AND($H61="",N($I61)=0,N($K61)=0),"Dòng chỉ lưu thông tin khách (chưa có đơn); ",IF($B61="","Thiếu ngày đặt; ","")&amp;IF($H61="","Thiếu tên sản phẩm; ",IF($J61="","Chưa khai GIÁ GỐC ở BẢNG GIÁ GỐC; ",""))&amp;IF(N($I61)&lt;=0,"Thiếu số lượng; ","")&amp;IF(N($K61)&lt;=0,"Thiếu giá bán; ","")&amp;IF(AND($N61&gt;0,$F61=""),"Khách lấy VAT thiếu mã số thuế; ","")&amp;IF(N($Q61)&gt;$P61,"Đã thu vượt tổng phải thu; ","")&amp;IF(AND($L61&gt;0,$U61&lt;&gt;"",$U61&lt;0),"CẢNH BÁO: ĐƠN NÀY ĐANG LỖ; ","")))</f>
        <v/>
      </c>
    </row>
    <row r="62" customFormat="false" ht="15" hidden="false" customHeight="false" outlineLevel="0" collapsed="false">
      <c r="A62" s="21" t="str">
        <f aca="false">IF($C62="","",COUNTA($C$10:$C62))</f>
        <v/>
      </c>
      <c r="B62" s="18"/>
      <c r="C62" s="11"/>
      <c r="D62" s="11"/>
      <c r="E62" s="11"/>
      <c r="F62" s="11"/>
      <c r="G62" s="11"/>
      <c r="H62" s="11"/>
      <c r="I62" s="12"/>
      <c r="J62" s="13" t="str">
        <f aca="false">IF($H62="","",IFERROR(VLOOKUP($H62,'BẢNG GIÁ GỐC'!$A$5:$D$254,3,FALSE()),""))</f>
        <v/>
      </c>
      <c r="K62" s="12"/>
      <c r="L62" s="13" t="str">
        <f aca="false">IF($C62="","",N($I62)*N($K62))</f>
        <v/>
      </c>
      <c r="M62" s="11"/>
      <c r="N62" s="14" t="str">
        <f aca="false">IF($C62="","",IF($M62="VAT 5%",0.05,IF($M62="VAT 8%",0.08,IF($M62="VAT 10%",0.1,0))))</f>
        <v/>
      </c>
      <c r="O62" s="13" t="str">
        <f aca="false">IF($C62="","",$L62*$N62)</f>
        <v/>
      </c>
      <c r="P62" s="13" t="str">
        <f aca="false">IF($C62="","",$L62+$O62)</f>
        <v/>
      </c>
      <c r="Q62" s="12"/>
      <c r="R62" s="13" t="str">
        <f aca="false">IF($C62="","",MAX(0,$P62-N($Q62)))</f>
        <v/>
      </c>
      <c r="S62" s="23" t="str">
        <f aca="false">IF(OR($C62="",$P62=0),"",IF(N($Q62)&lt;=0,"Chưa thanh toán",IF(N($Q62)&lt;$P62,"Thanh toán một phần","Đã thanh toán")))</f>
        <v/>
      </c>
      <c r="T62" s="13" t="str">
        <f aca="false">IF(OR($C62="",$J62=""),"",N($I62)*$J62)</f>
        <v/>
      </c>
      <c r="U62" s="13" t="str">
        <f aca="false">IF(OR($C62="",$T62=""),"",$L62-$T62)</f>
        <v/>
      </c>
      <c r="V62" s="14" t="str">
        <f aca="false">IF(OR($U62="",$L62=0),"",$U62/$L62)</f>
        <v/>
      </c>
      <c r="W62" s="11"/>
      <c r="X62" s="23" t="str">
        <f aca="false">IF($C62="","",IF(AND($H62="",N($I62)=0,N($K62)=0),"Dòng chỉ lưu thông tin khách (chưa có đơn); ",IF($B62="","Thiếu ngày đặt; ","")&amp;IF($H62="","Thiếu tên sản phẩm; ",IF($J62="","Chưa khai GIÁ GỐC ở BẢNG GIÁ GỐC; ",""))&amp;IF(N($I62)&lt;=0,"Thiếu số lượng; ","")&amp;IF(N($K62)&lt;=0,"Thiếu giá bán; ","")&amp;IF(AND($N62&gt;0,$F62=""),"Khách lấy VAT thiếu mã số thuế; ","")&amp;IF(N($Q62)&gt;$P62,"Đã thu vượt tổng phải thu; ","")&amp;IF(AND($L62&gt;0,$U62&lt;&gt;"",$U62&lt;0),"CẢNH BÁO: ĐƠN NÀY ĐANG LỖ; ","")))</f>
        <v/>
      </c>
    </row>
    <row r="63" customFormat="false" ht="15" hidden="false" customHeight="false" outlineLevel="0" collapsed="false">
      <c r="A63" s="21" t="str">
        <f aca="false">IF($C63="","",COUNTA($C$10:$C63))</f>
        <v/>
      </c>
      <c r="B63" s="18"/>
      <c r="C63" s="11"/>
      <c r="D63" s="11"/>
      <c r="E63" s="11"/>
      <c r="F63" s="11"/>
      <c r="G63" s="11"/>
      <c r="H63" s="11"/>
      <c r="I63" s="12"/>
      <c r="J63" s="13" t="str">
        <f aca="false">IF($H63="","",IFERROR(VLOOKUP($H63,'BẢNG GIÁ GỐC'!$A$5:$D$254,3,FALSE()),""))</f>
        <v/>
      </c>
      <c r="K63" s="12"/>
      <c r="L63" s="13" t="str">
        <f aca="false">IF($C63="","",N($I63)*N($K63))</f>
        <v/>
      </c>
      <c r="M63" s="11"/>
      <c r="N63" s="14" t="str">
        <f aca="false">IF($C63="","",IF($M63="VAT 5%",0.05,IF($M63="VAT 8%",0.08,IF($M63="VAT 10%",0.1,0))))</f>
        <v/>
      </c>
      <c r="O63" s="13" t="str">
        <f aca="false">IF($C63="","",$L63*$N63)</f>
        <v/>
      </c>
      <c r="P63" s="13" t="str">
        <f aca="false">IF($C63="","",$L63+$O63)</f>
        <v/>
      </c>
      <c r="Q63" s="12"/>
      <c r="R63" s="13" t="str">
        <f aca="false">IF($C63="","",MAX(0,$P63-N($Q63)))</f>
        <v/>
      </c>
      <c r="S63" s="23" t="str">
        <f aca="false">IF(OR($C63="",$P63=0),"",IF(N($Q63)&lt;=0,"Chưa thanh toán",IF(N($Q63)&lt;$P63,"Thanh toán một phần","Đã thanh toán")))</f>
        <v/>
      </c>
      <c r="T63" s="13" t="str">
        <f aca="false">IF(OR($C63="",$J63=""),"",N($I63)*$J63)</f>
        <v/>
      </c>
      <c r="U63" s="13" t="str">
        <f aca="false">IF(OR($C63="",$T63=""),"",$L63-$T63)</f>
        <v/>
      </c>
      <c r="V63" s="14" t="str">
        <f aca="false">IF(OR($U63="",$L63=0),"",$U63/$L63)</f>
        <v/>
      </c>
      <c r="W63" s="11"/>
      <c r="X63" s="23" t="str">
        <f aca="false">IF($C63="","",IF(AND($H63="",N($I63)=0,N($K63)=0),"Dòng chỉ lưu thông tin khách (chưa có đơn); ",IF($B63="","Thiếu ngày đặt; ","")&amp;IF($H63="","Thiếu tên sản phẩm; ",IF($J63="","Chưa khai GIÁ GỐC ở BẢNG GIÁ GỐC; ",""))&amp;IF(N($I63)&lt;=0,"Thiếu số lượng; ","")&amp;IF(N($K63)&lt;=0,"Thiếu giá bán; ","")&amp;IF(AND($N63&gt;0,$F63=""),"Khách lấy VAT thiếu mã số thuế; ","")&amp;IF(N($Q63)&gt;$P63,"Đã thu vượt tổng phải thu; ","")&amp;IF(AND($L63&gt;0,$U63&lt;&gt;"",$U63&lt;0),"CẢNH BÁO: ĐƠN NÀY ĐANG LỖ; ","")))</f>
        <v/>
      </c>
    </row>
    <row r="64" customFormat="false" ht="15" hidden="false" customHeight="false" outlineLevel="0" collapsed="false">
      <c r="A64" s="21" t="str">
        <f aca="false">IF($C64="","",COUNTA($C$10:$C64))</f>
        <v/>
      </c>
      <c r="B64" s="18"/>
      <c r="C64" s="11"/>
      <c r="D64" s="11"/>
      <c r="E64" s="11"/>
      <c r="F64" s="11"/>
      <c r="G64" s="11"/>
      <c r="H64" s="11"/>
      <c r="I64" s="12"/>
      <c r="J64" s="13" t="str">
        <f aca="false">IF($H64="","",IFERROR(VLOOKUP($H64,'BẢNG GIÁ GỐC'!$A$5:$D$254,3,FALSE()),""))</f>
        <v/>
      </c>
      <c r="K64" s="12"/>
      <c r="L64" s="13" t="str">
        <f aca="false">IF($C64="","",N($I64)*N($K64))</f>
        <v/>
      </c>
      <c r="M64" s="11"/>
      <c r="N64" s="14" t="str">
        <f aca="false">IF($C64="","",IF($M64="VAT 5%",0.05,IF($M64="VAT 8%",0.08,IF($M64="VAT 10%",0.1,0))))</f>
        <v/>
      </c>
      <c r="O64" s="13" t="str">
        <f aca="false">IF($C64="","",$L64*$N64)</f>
        <v/>
      </c>
      <c r="P64" s="13" t="str">
        <f aca="false">IF($C64="","",$L64+$O64)</f>
        <v/>
      </c>
      <c r="Q64" s="12"/>
      <c r="R64" s="13" t="str">
        <f aca="false">IF($C64="","",MAX(0,$P64-N($Q64)))</f>
        <v/>
      </c>
      <c r="S64" s="23" t="str">
        <f aca="false">IF(OR($C64="",$P64=0),"",IF(N($Q64)&lt;=0,"Chưa thanh toán",IF(N($Q64)&lt;$P64,"Thanh toán một phần","Đã thanh toán")))</f>
        <v/>
      </c>
      <c r="T64" s="13" t="str">
        <f aca="false">IF(OR($C64="",$J64=""),"",N($I64)*$J64)</f>
        <v/>
      </c>
      <c r="U64" s="13" t="str">
        <f aca="false">IF(OR($C64="",$T64=""),"",$L64-$T64)</f>
        <v/>
      </c>
      <c r="V64" s="14" t="str">
        <f aca="false">IF(OR($U64="",$L64=0),"",$U64/$L64)</f>
        <v/>
      </c>
      <c r="W64" s="11"/>
      <c r="X64" s="23" t="str">
        <f aca="false">IF($C64="","",IF(AND($H64="",N($I64)=0,N($K64)=0),"Dòng chỉ lưu thông tin khách (chưa có đơn); ",IF($B64="","Thiếu ngày đặt; ","")&amp;IF($H64="","Thiếu tên sản phẩm; ",IF($J64="","Chưa khai GIÁ GỐC ở BẢNG GIÁ GỐC; ",""))&amp;IF(N($I64)&lt;=0,"Thiếu số lượng; ","")&amp;IF(N($K64)&lt;=0,"Thiếu giá bán; ","")&amp;IF(AND($N64&gt;0,$F64=""),"Khách lấy VAT thiếu mã số thuế; ","")&amp;IF(N($Q64)&gt;$P64,"Đã thu vượt tổng phải thu; ","")&amp;IF(AND($L64&gt;0,$U64&lt;&gt;"",$U64&lt;0),"CẢNH BÁO: ĐƠN NÀY ĐANG LỖ; ","")))</f>
        <v/>
      </c>
    </row>
    <row r="65" customFormat="false" ht="15" hidden="false" customHeight="false" outlineLevel="0" collapsed="false">
      <c r="A65" s="21" t="str">
        <f aca="false">IF($C65="","",COUNTA($C$10:$C65))</f>
        <v/>
      </c>
      <c r="B65" s="18"/>
      <c r="C65" s="11"/>
      <c r="D65" s="11"/>
      <c r="E65" s="11"/>
      <c r="F65" s="11"/>
      <c r="G65" s="11"/>
      <c r="H65" s="11"/>
      <c r="I65" s="12"/>
      <c r="J65" s="13" t="str">
        <f aca="false">IF($H65="","",IFERROR(VLOOKUP($H65,'BẢNG GIÁ GỐC'!$A$5:$D$254,3,FALSE()),""))</f>
        <v/>
      </c>
      <c r="K65" s="12"/>
      <c r="L65" s="13" t="str">
        <f aca="false">IF($C65="","",N($I65)*N($K65))</f>
        <v/>
      </c>
      <c r="M65" s="11"/>
      <c r="N65" s="14" t="str">
        <f aca="false">IF($C65="","",IF($M65="VAT 5%",0.05,IF($M65="VAT 8%",0.08,IF($M65="VAT 10%",0.1,0))))</f>
        <v/>
      </c>
      <c r="O65" s="13" t="str">
        <f aca="false">IF($C65="","",$L65*$N65)</f>
        <v/>
      </c>
      <c r="P65" s="13" t="str">
        <f aca="false">IF($C65="","",$L65+$O65)</f>
        <v/>
      </c>
      <c r="Q65" s="12"/>
      <c r="R65" s="13" t="str">
        <f aca="false">IF($C65="","",MAX(0,$P65-N($Q65)))</f>
        <v/>
      </c>
      <c r="S65" s="23" t="str">
        <f aca="false">IF(OR($C65="",$P65=0),"",IF(N($Q65)&lt;=0,"Chưa thanh toán",IF(N($Q65)&lt;$P65,"Thanh toán một phần","Đã thanh toán")))</f>
        <v/>
      </c>
      <c r="T65" s="13" t="str">
        <f aca="false">IF(OR($C65="",$J65=""),"",N($I65)*$J65)</f>
        <v/>
      </c>
      <c r="U65" s="13" t="str">
        <f aca="false">IF(OR($C65="",$T65=""),"",$L65-$T65)</f>
        <v/>
      </c>
      <c r="V65" s="14" t="str">
        <f aca="false">IF(OR($U65="",$L65=0),"",$U65/$L65)</f>
        <v/>
      </c>
      <c r="W65" s="11"/>
      <c r="X65" s="23" t="str">
        <f aca="false">IF($C65="","",IF(AND($H65="",N($I65)=0,N($K65)=0),"Dòng chỉ lưu thông tin khách (chưa có đơn); ",IF($B65="","Thiếu ngày đặt; ","")&amp;IF($H65="","Thiếu tên sản phẩm; ",IF($J65="","Chưa khai GIÁ GỐC ở BẢNG GIÁ GỐC; ",""))&amp;IF(N($I65)&lt;=0,"Thiếu số lượng; ","")&amp;IF(N($K65)&lt;=0,"Thiếu giá bán; ","")&amp;IF(AND($N65&gt;0,$F65=""),"Khách lấy VAT thiếu mã số thuế; ","")&amp;IF(N($Q65)&gt;$P65,"Đã thu vượt tổng phải thu; ","")&amp;IF(AND($L65&gt;0,$U65&lt;&gt;"",$U65&lt;0),"CẢNH BÁO: ĐƠN NÀY ĐANG LỖ; ","")))</f>
        <v/>
      </c>
    </row>
    <row r="66" customFormat="false" ht="15" hidden="false" customHeight="false" outlineLevel="0" collapsed="false">
      <c r="A66" s="21" t="str">
        <f aca="false">IF($C66="","",COUNTA($C$10:$C66))</f>
        <v/>
      </c>
      <c r="B66" s="18"/>
      <c r="C66" s="11"/>
      <c r="D66" s="11"/>
      <c r="E66" s="11"/>
      <c r="F66" s="11"/>
      <c r="G66" s="11"/>
      <c r="H66" s="11"/>
      <c r="I66" s="12"/>
      <c r="J66" s="13" t="str">
        <f aca="false">IF($H66="","",IFERROR(VLOOKUP($H66,'BẢNG GIÁ GỐC'!$A$5:$D$254,3,FALSE()),""))</f>
        <v/>
      </c>
      <c r="K66" s="12"/>
      <c r="L66" s="13" t="str">
        <f aca="false">IF($C66="","",N($I66)*N($K66))</f>
        <v/>
      </c>
      <c r="M66" s="11"/>
      <c r="N66" s="14" t="str">
        <f aca="false">IF($C66="","",IF($M66="VAT 5%",0.05,IF($M66="VAT 8%",0.08,IF($M66="VAT 10%",0.1,0))))</f>
        <v/>
      </c>
      <c r="O66" s="13" t="str">
        <f aca="false">IF($C66="","",$L66*$N66)</f>
        <v/>
      </c>
      <c r="P66" s="13" t="str">
        <f aca="false">IF($C66="","",$L66+$O66)</f>
        <v/>
      </c>
      <c r="Q66" s="12"/>
      <c r="R66" s="13" t="str">
        <f aca="false">IF($C66="","",MAX(0,$P66-N($Q66)))</f>
        <v/>
      </c>
      <c r="S66" s="23" t="str">
        <f aca="false">IF(OR($C66="",$P66=0),"",IF(N($Q66)&lt;=0,"Chưa thanh toán",IF(N($Q66)&lt;$P66,"Thanh toán một phần","Đã thanh toán")))</f>
        <v/>
      </c>
      <c r="T66" s="13" t="str">
        <f aca="false">IF(OR($C66="",$J66=""),"",N($I66)*$J66)</f>
        <v/>
      </c>
      <c r="U66" s="13" t="str">
        <f aca="false">IF(OR($C66="",$T66=""),"",$L66-$T66)</f>
        <v/>
      </c>
      <c r="V66" s="14" t="str">
        <f aca="false">IF(OR($U66="",$L66=0),"",$U66/$L66)</f>
        <v/>
      </c>
      <c r="W66" s="11"/>
      <c r="X66" s="23" t="str">
        <f aca="false">IF($C66="","",IF(AND($H66="",N($I66)=0,N($K66)=0),"Dòng chỉ lưu thông tin khách (chưa có đơn); ",IF($B66="","Thiếu ngày đặt; ","")&amp;IF($H66="","Thiếu tên sản phẩm; ",IF($J66="","Chưa khai GIÁ GỐC ở BẢNG GIÁ GỐC; ",""))&amp;IF(N($I66)&lt;=0,"Thiếu số lượng; ","")&amp;IF(N($K66)&lt;=0,"Thiếu giá bán; ","")&amp;IF(AND($N66&gt;0,$F66=""),"Khách lấy VAT thiếu mã số thuế; ","")&amp;IF(N($Q66)&gt;$P66,"Đã thu vượt tổng phải thu; ","")&amp;IF(AND($L66&gt;0,$U66&lt;&gt;"",$U66&lt;0),"CẢNH BÁO: ĐƠN NÀY ĐANG LỖ; ","")))</f>
        <v/>
      </c>
    </row>
    <row r="67" customFormat="false" ht="15" hidden="false" customHeight="false" outlineLevel="0" collapsed="false">
      <c r="A67" s="21" t="str">
        <f aca="false">IF($C67="","",COUNTA($C$10:$C67))</f>
        <v/>
      </c>
      <c r="B67" s="18"/>
      <c r="C67" s="11"/>
      <c r="D67" s="11"/>
      <c r="E67" s="11"/>
      <c r="F67" s="11"/>
      <c r="G67" s="11"/>
      <c r="H67" s="11"/>
      <c r="I67" s="12"/>
      <c r="J67" s="13" t="str">
        <f aca="false">IF($H67="","",IFERROR(VLOOKUP($H67,'BẢNG GIÁ GỐC'!$A$5:$D$254,3,FALSE()),""))</f>
        <v/>
      </c>
      <c r="K67" s="12"/>
      <c r="L67" s="13" t="str">
        <f aca="false">IF($C67="","",N($I67)*N($K67))</f>
        <v/>
      </c>
      <c r="M67" s="11"/>
      <c r="N67" s="14" t="str">
        <f aca="false">IF($C67="","",IF($M67="VAT 5%",0.05,IF($M67="VAT 8%",0.08,IF($M67="VAT 10%",0.1,0))))</f>
        <v/>
      </c>
      <c r="O67" s="13" t="str">
        <f aca="false">IF($C67="","",$L67*$N67)</f>
        <v/>
      </c>
      <c r="P67" s="13" t="str">
        <f aca="false">IF($C67="","",$L67+$O67)</f>
        <v/>
      </c>
      <c r="Q67" s="12"/>
      <c r="R67" s="13" t="str">
        <f aca="false">IF($C67="","",MAX(0,$P67-N($Q67)))</f>
        <v/>
      </c>
      <c r="S67" s="23" t="str">
        <f aca="false">IF(OR($C67="",$P67=0),"",IF(N($Q67)&lt;=0,"Chưa thanh toán",IF(N($Q67)&lt;$P67,"Thanh toán một phần","Đã thanh toán")))</f>
        <v/>
      </c>
      <c r="T67" s="13" t="str">
        <f aca="false">IF(OR($C67="",$J67=""),"",N($I67)*$J67)</f>
        <v/>
      </c>
      <c r="U67" s="13" t="str">
        <f aca="false">IF(OR($C67="",$T67=""),"",$L67-$T67)</f>
        <v/>
      </c>
      <c r="V67" s="14" t="str">
        <f aca="false">IF(OR($U67="",$L67=0),"",$U67/$L67)</f>
        <v/>
      </c>
      <c r="W67" s="11"/>
      <c r="X67" s="23" t="str">
        <f aca="false">IF($C67="","",IF(AND($H67="",N($I67)=0,N($K67)=0),"Dòng chỉ lưu thông tin khách (chưa có đơn); ",IF($B67="","Thiếu ngày đặt; ","")&amp;IF($H67="","Thiếu tên sản phẩm; ",IF($J67="","Chưa khai GIÁ GỐC ở BẢNG GIÁ GỐC; ",""))&amp;IF(N($I67)&lt;=0,"Thiếu số lượng; ","")&amp;IF(N($K67)&lt;=0,"Thiếu giá bán; ","")&amp;IF(AND($N67&gt;0,$F67=""),"Khách lấy VAT thiếu mã số thuế; ","")&amp;IF(N($Q67)&gt;$P67,"Đã thu vượt tổng phải thu; ","")&amp;IF(AND($L67&gt;0,$U67&lt;&gt;"",$U67&lt;0),"CẢNH BÁO: ĐƠN NÀY ĐANG LỖ; ","")))</f>
        <v/>
      </c>
    </row>
    <row r="68" customFormat="false" ht="15" hidden="false" customHeight="false" outlineLevel="0" collapsed="false">
      <c r="A68" s="21" t="str">
        <f aca="false">IF($C68="","",COUNTA($C$10:$C68))</f>
        <v/>
      </c>
      <c r="B68" s="18"/>
      <c r="C68" s="11"/>
      <c r="D68" s="11"/>
      <c r="E68" s="11"/>
      <c r="F68" s="11"/>
      <c r="G68" s="11"/>
      <c r="H68" s="11"/>
      <c r="I68" s="12"/>
      <c r="J68" s="13" t="str">
        <f aca="false">IF($H68="","",IFERROR(VLOOKUP($H68,'BẢNG GIÁ GỐC'!$A$5:$D$254,3,FALSE()),""))</f>
        <v/>
      </c>
      <c r="K68" s="12"/>
      <c r="L68" s="13" t="str">
        <f aca="false">IF($C68="","",N($I68)*N($K68))</f>
        <v/>
      </c>
      <c r="M68" s="11"/>
      <c r="N68" s="14" t="str">
        <f aca="false">IF($C68="","",IF($M68="VAT 5%",0.05,IF($M68="VAT 8%",0.08,IF($M68="VAT 10%",0.1,0))))</f>
        <v/>
      </c>
      <c r="O68" s="13" t="str">
        <f aca="false">IF($C68="","",$L68*$N68)</f>
        <v/>
      </c>
      <c r="P68" s="13" t="str">
        <f aca="false">IF($C68="","",$L68+$O68)</f>
        <v/>
      </c>
      <c r="Q68" s="12"/>
      <c r="R68" s="13" t="str">
        <f aca="false">IF($C68="","",MAX(0,$P68-N($Q68)))</f>
        <v/>
      </c>
      <c r="S68" s="23" t="str">
        <f aca="false">IF(OR($C68="",$P68=0),"",IF(N($Q68)&lt;=0,"Chưa thanh toán",IF(N($Q68)&lt;$P68,"Thanh toán một phần","Đã thanh toán")))</f>
        <v/>
      </c>
      <c r="T68" s="13" t="str">
        <f aca="false">IF(OR($C68="",$J68=""),"",N($I68)*$J68)</f>
        <v/>
      </c>
      <c r="U68" s="13" t="str">
        <f aca="false">IF(OR($C68="",$T68=""),"",$L68-$T68)</f>
        <v/>
      </c>
      <c r="V68" s="14" t="str">
        <f aca="false">IF(OR($U68="",$L68=0),"",$U68/$L68)</f>
        <v/>
      </c>
      <c r="W68" s="11"/>
      <c r="X68" s="23" t="str">
        <f aca="false">IF($C68="","",IF(AND($H68="",N($I68)=0,N($K68)=0),"Dòng chỉ lưu thông tin khách (chưa có đơn); ",IF($B68="","Thiếu ngày đặt; ","")&amp;IF($H68="","Thiếu tên sản phẩm; ",IF($J68="","Chưa khai GIÁ GỐC ở BẢNG GIÁ GỐC; ",""))&amp;IF(N($I68)&lt;=0,"Thiếu số lượng; ","")&amp;IF(N($K68)&lt;=0,"Thiếu giá bán; ","")&amp;IF(AND($N68&gt;0,$F68=""),"Khách lấy VAT thiếu mã số thuế; ","")&amp;IF(N($Q68)&gt;$P68,"Đã thu vượt tổng phải thu; ","")&amp;IF(AND($L68&gt;0,$U68&lt;&gt;"",$U68&lt;0),"CẢNH BÁO: ĐƠN NÀY ĐANG LỖ; ","")))</f>
        <v/>
      </c>
    </row>
    <row r="69" customFormat="false" ht="15" hidden="false" customHeight="false" outlineLevel="0" collapsed="false">
      <c r="A69" s="21" t="str">
        <f aca="false">IF($C69="","",COUNTA($C$10:$C69))</f>
        <v/>
      </c>
      <c r="B69" s="18"/>
      <c r="C69" s="11"/>
      <c r="D69" s="11"/>
      <c r="E69" s="11"/>
      <c r="F69" s="11"/>
      <c r="G69" s="11"/>
      <c r="H69" s="11"/>
      <c r="I69" s="12"/>
      <c r="J69" s="13" t="str">
        <f aca="false">IF($H69="","",IFERROR(VLOOKUP($H69,'BẢNG GIÁ GỐC'!$A$5:$D$254,3,FALSE()),""))</f>
        <v/>
      </c>
      <c r="K69" s="12"/>
      <c r="L69" s="13" t="str">
        <f aca="false">IF($C69="","",N($I69)*N($K69))</f>
        <v/>
      </c>
      <c r="M69" s="11"/>
      <c r="N69" s="14" t="str">
        <f aca="false">IF($C69="","",IF($M69="VAT 5%",0.05,IF($M69="VAT 8%",0.08,IF($M69="VAT 10%",0.1,0))))</f>
        <v/>
      </c>
      <c r="O69" s="13" t="str">
        <f aca="false">IF($C69="","",$L69*$N69)</f>
        <v/>
      </c>
      <c r="P69" s="13" t="str">
        <f aca="false">IF($C69="","",$L69+$O69)</f>
        <v/>
      </c>
      <c r="Q69" s="12"/>
      <c r="R69" s="13" t="str">
        <f aca="false">IF($C69="","",MAX(0,$P69-N($Q69)))</f>
        <v/>
      </c>
      <c r="S69" s="23" t="str">
        <f aca="false">IF(OR($C69="",$P69=0),"",IF(N($Q69)&lt;=0,"Chưa thanh toán",IF(N($Q69)&lt;$P69,"Thanh toán một phần","Đã thanh toán")))</f>
        <v/>
      </c>
      <c r="T69" s="13" t="str">
        <f aca="false">IF(OR($C69="",$J69=""),"",N($I69)*$J69)</f>
        <v/>
      </c>
      <c r="U69" s="13" t="str">
        <f aca="false">IF(OR($C69="",$T69=""),"",$L69-$T69)</f>
        <v/>
      </c>
      <c r="V69" s="14" t="str">
        <f aca="false">IF(OR($U69="",$L69=0),"",$U69/$L69)</f>
        <v/>
      </c>
      <c r="W69" s="11"/>
      <c r="X69" s="23" t="str">
        <f aca="false">IF($C69="","",IF(AND($H69="",N($I69)=0,N($K69)=0),"Dòng chỉ lưu thông tin khách (chưa có đơn); ",IF($B69="","Thiếu ngày đặt; ","")&amp;IF($H69="","Thiếu tên sản phẩm; ",IF($J69="","Chưa khai GIÁ GỐC ở BẢNG GIÁ GỐC; ",""))&amp;IF(N($I69)&lt;=0,"Thiếu số lượng; ","")&amp;IF(N($K69)&lt;=0,"Thiếu giá bán; ","")&amp;IF(AND($N69&gt;0,$F69=""),"Khách lấy VAT thiếu mã số thuế; ","")&amp;IF(N($Q69)&gt;$P69,"Đã thu vượt tổng phải thu; ","")&amp;IF(AND($L69&gt;0,$U69&lt;&gt;"",$U69&lt;0),"CẢNH BÁO: ĐƠN NÀY ĐANG LỖ; ","")))</f>
        <v/>
      </c>
    </row>
    <row r="70" customFormat="false" ht="15" hidden="false" customHeight="false" outlineLevel="0" collapsed="false">
      <c r="A70" s="21" t="str">
        <f aca="false">IF($C70="","",COUNTA($C$10:$C70))</f>
        <v/>
      </c>
      <c r="B70" s="18"/>
      <c r="C70" s="11"/>
      <c r="D70" s="11"/>
      <c r="E70" s="11"/>
      <c r="F70" s="11"/>
      <c r="G70" s="11"/>
      <c r="H70" s="11"/>
      <c r="I70" s="12"/>
      <c r="J70" s="13" t="str">
        <f aca="false">IF($H70="","",IFERROR(VLOOKUP($H70,'BẢNG GIÁ GỐC'!$A$5:$D$254,3,FALSE()),""))</f>
        <v/>
      </c>
      <c r="K70" s="12"/>
      <c r="L70" s="13" t="str">
        <f aca="false">IF($C70="","",N($I70)*N($K70))</f>
        <v/>
      </c>
      <c r="M70" s="11"/>
      <c r="N70" s="14" t="str">
        <f aca="false">IF($C70="","",IF($M70="VAT 5%",0.05,IF($M70="VAT 8%",0.08,IF($M70="VAT 10%",0.1,0))))</f>
        <v/>
      </c>
      <c r="O70" s="13" t="str">
        <f aca="false">IF($C70="","",$L70*$N70)</f>
        <v/>
      </c>
      <c r="P70" s="13" t="str">
        <f aca="false">IF($C70="","",$L70+$O70)</f>
        <v/>
      </c>
      <c r="Q70" s="12"/>
      <c r="R70" s="13" t="str">
        <f aca="false">IF($C70="","",MAX(0,$P70-N($Q70)))</f>
        <v/>
      </c>
      <c r="S70" s="23" t="str">
        <f aca="false">IF(OR($C70="",$P70=0),"",IF(N($Q70)&lt;=0,"Chưa thanh toán",IF(N($Q70)&lt;$P70,"Thanh toán một phần","Đã thanh toán")))</f>
        <v/>
      </c>
      <c r="T70" s="13" t="str">
        <f aca="false">IF(OR($C70="",$J70=""),"",N($I70)*$J70)</f>
        <v/>
      </c>
      <c r="U70" s="13" t="str">
        <f aca="false">IF(OR($C70="",$T70=""),"",$L70-$T70)</f>
        <v/>
      </c>
      <c r="V70" s="14" t="str">
        <f aca="false">IF(OR($U70="",$L70=0),"",$U70/$L70)</f>
        <v/>
      </c>
      <c r="W70" s="11"/>
      <c r="X70" s="23" t="str">
        <f aca="false">IF($C70="","",IF(AND($H70="",N($I70)=0,N($K70)=0),"Dòng chỉ lưu thông tin khách (chưa có đơn); ",IF($B70="","Thiếu ngày đặt; ","")&amp;IF($H70="","Thiếu tên sản phẩm; ",IF($J70="","Chưa khai GIÁ GỐC ở BẢNG GIÁ GỐC; ",""))&amp;IF(N($I70)&lt;=0,"Thiếu số lượng; ","")&amp;IF(N($K70)&lt;=0,"Thiếu giá bán; ","")&amp;IF(AND($N70&gt;0,$F70=""),"Khách lấy VAT thiếu mã số thuế; ","")&amp;IF(N($Q70)&gt;$P70,"Đã thu vượt tổng phải thu; ","")&amp;IF(AND($L70&gt;0,$U70&lt;&gt;"",$U70&lt;0),"CẢNH BÁO: ĐƠN NÀY ĐANG LỖ; ","")))</f>
        <v/>
      </c>
    </row>
    <row r="71" customFormat="false" ht="15" hidden="false" customHeight="false" outlineLevel="0" collapsed="false">
      <c r="A71" s="21" t="str">
        <f aca="false">IF($C71="","",COUNTA($C$10:$C71))</f>
        <v/>
      </c>
      <c r="B71" s="18"/>
      <c r="C71" s="11"/>
      <c r="D71" s="11"/>
      <c r="E71" s="11"/>
      <c r="F71" s="11"/>
      <c r="G71" s="11"/>
      <c r="H71" s="11"/>
      <c r="I71" s="12"/>
      <c r="J71" s="13" t="str">
        <f aca="false">IF($H71="","",IFERROR(VLOOKUP($H71,'BẢNG GIÁ GỐC'!$A$5:$D$254,3,FALSE()),""))</f>
        <v/>
      </c>
      <c r="K71" s="12"/>
      <c r="L71" s="13" t="str">
        <f aca="false">IF($C71="","",N($I71)*N($K71))</f>
        <v/>
      </c>
      <c r="M71" s="11"/>
      <c r="N71" s="14" t="str">
        <f aca="false">IF($C71="","",IF($M71="VAT 5%",0.05,IF($M71="VAT 8%",0.08,IF($M71="VAT 10%",0.1,0))))</f>
        <v/>
      </c>
      <c r="O71" s="13" t="str">
        <f aca="false">IF($C71="","",$L71*$N71)</f>
        <v/>
      </c>
      <c r="P71" s="13" t="str">
        <f aca="false">IF($C71="","",$L71+$O71)</f>
        <v/>
      </c>
      <c r="Q71" s="12"/>
      <c r="R71" s="13" t="str">
        <f aca="false">IF($C71="","",MAX(0,$P71-N($Q71)))</f>
        <v/>
      </c>
      <c r="S71" s="23" t="str">
        <f aca="false">IF(OR($C71="",$P71=0),"",IF(N($Q71)&lt;=0,"Chưa thanh toán",IF(N($Q71)&lt;$P71,"Thanh toán một phần","Đã thanh toán")))</f>
        <v/>
      </c>
      <c r="T71" s="13" t="str">
        <f aca="false">IF(OR($C71="",$J71=""),"",N($I71)*$J71)</f>
        <v/>
      </c>
      <c r="U71" s="13" t="str">
        <f aca="false">IF(OR($C71="",$T71=""),"",$L71-$T71)</f>
        <v/>
      </c>
      <c r="V71" s="14" t="str">
        <f aca="false">IF(OR($U71="",$L71=0),"",$U71/$L71)</f>
        <v/>
      </c>
      <c r="W71" s="11"/>
      <c r="X71" s="23" t="str">
        <f aca="false">IF($C71="","",IF(AND($H71="",N($I71)=0,N($K71)=0),"Dòng chỉ lưu thông tin khách (chưa có đơn); ",IF($B71="","Thiếu ngày đặt; ","")&amp;IF($H71="","Thiếu tên sản phẩm; ",IF($J71="","Chưa khai GIÁ GỐC ở BẢNG GIÁ GỐC; ",""))&amp;IF(N($I71)&lt;=0,"Thiếu số lượng; ","")&amp;IF(N($K71)&lt;=0,"Thiếu giá bán; ","")&amp;IF(AND($N71&gt;0,$F71=""),"Khách lấy VAT thiếu mã số thuế; ","")&amp;IF(N($Q71)&gt;$P71,"Đã thu vượt tổng phải thu; ","")&amp;IF(AND($L71&gt;0,$U71&lt;&gt;"",$U71&lt;0),"CẢNH BÁO: ĐƠN NÀY ĐANG LỖ; ","")))</f>
        <v/>
      </c>
    </row>
    <row r="72" customFormat="false" ht="15" hidden="false" customHeight="false" outlineLevel="0" collapsed="false">
      <c r="A72" s="21" t="str">
        <f aca="false">IF($C72="","",COUNTA($C$10:$C72))</f>
        <v/>
      </c>
      <c r="B72" s="18"/>
      <c r="C72" s="11"/>
      <c r="D72" s="11"/>
      <c r="E72" s="11"/>
      <c r="F72" s="11"/>
      <c r="G72" s="11"/>
      <c r="H72" s="11"/>
      <c r="I72" s="12"/>
      <c r="J72" s="13" t="str">
        <f aca="false">IF($H72="","",IFERROR(VLOOKUP($H72,'BẢNG GIÁ GỐC'!$A$5:$D$254,3,FALSE()),""))</f>
        <v/>
      </c>
      <c r="K72" s="12"/>
      <c r="L72" s="13" t="str">
        <f aca="false">IF($C72="","",N($I72)*N($K72))</f>
        <v/>
      </c>
      <c r="M72" s="11"/>
      <c r="N72" s="14" t="str">
        <f aca="false">IF($C72="","",IF($M72="VAT 5%",0.05,IF($M72="VAT 8%",0.08,IF($M72="VAT 10%",0.1,0))))</f>
        <v/>
      </c>
      <c r="O72" s="13" t="str">
        <f aca="false">IF($C72="","",$L72*$N72)</f>
        <v/>
      </c>
      <c r="P72" s="13" t="str">
        <f aca="false">IF($C72="","",$L72+$O72)</f>
        <v/>
      </c>
      <c r="Q72" s="12"/>
      <c r="R72" s="13" t="str">
        <f aca="false">IF($C72="","",MAX(0,$P72-N($Q72)))</f>
        <v/>
      </c>
      <c r="S72" s="23" t="str">
        <f aca="false">IF(OR($C72="",$P72=0),"",IF(N($Q72)&lt;=0,"Chưa thanh toán",IF(N($Q72)&lt;$P72,"Thanh toán một phần","Đã thanh toán")))</f>
        <v/>
      </c>
      <c r="T72" s="13" t="str">
        <f aca="false">IF(OR($C72="",$J72=""),"",N($I72)*$J72)</f>
        <v/>
      </c>
      <c r="U72" s="13" t="str">
        <f aca="false">IF(OR($C72="",$T72=""),"",$L72-$T72)</f>
        <v/>
      </c>
      <c r="V72" s="14" t="str">
        <f aca="false">IF(OR($U72="",$L72=0),"",$U72/$L72)</f>
        <v/>
      </c>
      <c r="W72" s="11"/>
      <c r="X72" s="23" t="str">
        <f aca="false">IF($C72="","",IF(AND($H72="",N($I72)=0,N($K72)=0),"Dòng chỉ lưu thông tin khách (chưa có đơn); ",IF($B72="","Thiếu ngày đặt; ","")&amp;IF($H72="","Thiếu tên sản phẩm; ",IF($J72="","Chưa khai GIÁ GỐC ở BẢNG GIÁ GỐC; ",""))&amp;IF(N($I72)&lt;=0,"Thiếu số lượng; ","")&amp;IF(N($K72)&lt;=0,"Thiếu giá bán; ","")&amp;IF(AND($N72&gt;0,$F72=""),"Khách lấy VAT thiếu mã số thuế; ","")&amp;IF(N($Q72)&gt;$P72,"Đã thu vượt tổng phải thu; ","")&amp;IF(AND($L72&gt;0,$U72&lt;&gt;"",$U72&lt;0),"CẢNH BÁO: ĐƠN NÀY ĐANG LỖ; ","")))</f>
        <v/>
      </c>
    </row>
    <row r="73" customFormat="false" ht="15" hidden="false" customHeight="false" outlineLevel="0" collapsed="false">
      <c r="A73" s="21" t="str">
        <f aca="false">IF($C73="","",COUNTA($C$10:$C73))</f>
        <v/>
      </c>
      <c r="B73" s="18"/>
      <c r="C73" s="11"/>
      <c r="D73" s="11"/>
      <c r="E73" s="11"/>
      <c r="F73" s="11"/>
      <c r="G73" s="11"/>
      <c r="H73" s="11"/>
      <c r="I73" s="12"/>
      <c r="J73" s="13" t="str">
        <f aca="false">IF($H73="","",IFERROR(VLOOKUP($H73,'BẢNG GIÁ GỐC'!$A$5:$D$254,3,FALSE()),""))</f>
        <v/>
      </c>
      <c r="K73" s="12"/>
      <c r="L73" s="13" t="str">
        <f aca="false">IF($C73="","",N($I73)*N($K73))</f>
        <v/>
      </c>
      <c r="M73" s="11"/>
      <c r="N73" s="14" t="str">
        <f aca="false">IF($C73="","",IF($M73="VAT 5%",0.05,IF($M73="VAT 8%",0.08,IF($M73="VAT 10%",0.1,0))))</f>
        <v/>
      </c>
      <c r="O73" s="13" t="str">
        <f aca="false">IF($C73="","",$L73*$N73)</f>
        <v/>
      </c>
      <c r="P73" s="13" t="str">
        <f aca="false">IF($C73="","",$L73+$O73)</f>
        <v/>
      </c>
      <c r="Q73" s="12"/>
      <c r="R73" s="13" t="str">
        <f aca="false">IF($C73="","",MAX(0,$P73-N($Q73)))</f>
        <v/>
      </c>
      <c r="S73" s="23" t="str">
        <f aca="false">IF(OR($C73="",$P73=0),"",IF(N($Q73)&lt;=0,"Chưa thanh toán",IF(N($Q73)&lt;$P73,"Thanh toán một phần","Đã thanh toán")))</f>
        <v/>
      </c>
      <c r="T73" s="13" t="str">
        <f aca="false">IF(OR($C73="",$J73=""),"",N($I73)*$J73)</f>
        <v/>
      </c>
      <c r="U73" s="13" t="str">
        <f aca="false">IF(OR($C73="",$T73=""),"",$L73-$T73)</f>
        <v/>
      </c>
      <c r="V73" s="14" t="str">
        <f aca="false">IF(OR($U73="",$L73=0),"",$U73/$L73)</f>
        <v/>
      </c>
      <c r="W73" s="11"/>
      <c r="X73" s="23" t="str">
        <f aca="false">IF($C73="","",IF(AND($H73="",N($I73)=0,N($K73)=0),"Dòng chỉ lưu thông tin khách (chưa có đơn); ",IF($B73="","Thiếu ngày đặt; ","")&amp;IF($H73="","Thiếu tên sản phẩm; ",IF($J73="","Chưa khai GIÁ GỐC ở BẢNG GIÁ GỐC; ",""))&amp;IF(N($I73)&lt;=0,"Thiếu số lượng; ","")&amp;IF(N($K73)&lt;=0,"Thiếu giá bán; ","")&amp;IF(AND($N73&gt;0,$F73=""),"Khách lấy VAT thiếu mã số thuế; ","")&amp;IF(N($Q73)&gt;$P73,"Đã thu vượt tổng phải thu; ","")&amp;IF(AND($L73&gt;0,$U73&lt;&gt;"",$U73&lt;0),"CẢNH BÁO: ĐƠN NÀY ĐANG LỖ; ","")))</f>
        <v/>
      </c>
    </row>
    <row r="74" customFormat="false" ht="15" hidden="false" customHeight="false" outlineLevel="0" collapsed="false">
      <c r="A74" s="21" t="str">
        <f aca="false">IF($C74="","",COUNTA($C$10:$C74))</f>
        <v/>
      </c>
      <c r="B74" s="18"/>
      <c r="C74" s="11"/>
      <c r="D74" s="11"/>
      <c r="E74" s="11"/>
      <c r="F74" s="11"/>
      <c r="G74" s="11"/>
      <c r="H74" s="11"/>
      <c r="I74" s="12"/>
      <c r="J74" s="13" t="str">
        <f aca="false">IF($H74="","",IFERROR(VLOOKUP($H74,'BẢNG GIÁ GỐC'!$A$5:$D$254,3,FALSE()),""))</f>
        <v/>
      </c>
      <c r="K74" s="12"/>
      <c r="L74" s="13" t="str">
        <f aca="false">IF($C74="","",N($I74)*N($K74))</f>
        <v/>
      </c>
      <c r="M74" s="11"/>
      <c r="N74" s="14" t="str">
        <f aca="false">IF($C74="","",IF($M74="VAT 5%",0.05,IF($M74="VAT 8%",0.08,IF($M74="VAT 10%",0.1,0))))</f>
        <v/>
      </c>
      <c r="O74" s="13" t="str">
        <f aca="false">IF($C74="","",$L74*$N74)</f>
        <v/>
      </c>
      <c r="P74" s="13" t="str">
        <f aca="false">IF($C74="","",$L74+$O74)</f>
        <v/>
      </c>
      <c r="Q74" s="12"/>
      <c r="R74" s="13" t="str">
        <f aca="false">IF($C74="","",MAX(0,$P74-N($Q74)))</f>
        <v/>
      </c>
      <c r="S74" s="23" t="str">
        <f aca="false">IF(OR($C74="",$P74=0),"",IF(N($Q74)&lt;=0,"Chưa thanh toán",IF(N($Q74)&lt;$P74,"Thanh toán một phần","Đã thanh toán")))</f>
        <v/>
      </c>
      <c r="T74" s="13" t="str">
        <f aca="false">IF(OR($C74="",$J74=""),"",N($I74)*$J74)</f>
        <v/>
      </c>
      <c r="U74" s="13" t="str">
        <f aca="false">IF(OR($C74="",$T74=""),"",$L74-$T74)</f>
        <v/>
      </c>
      <c r="V74" s="14" t="str">
        <f aca="false">IF(OR($U74="",$L74=0),"",$U74/$L74)</f>
        <v/>
      </c>
      <c r="W74" s="11"/>
      <c r="X74" s="23" t="str">
        <f aca="false">IF($C74="","",IF(AND($H74="",N($I74)=0,N($K74)=0),"Dòng chỉ lưu thông tin khách (chưa có đơn); ",IF($B74="","Thiếu ngày đặt; ","")&amp;IF($H74="","Thiếu tên sản phẩm; ",IF($J74="","Chưa khai GIÁ GỐC ở BẢNG GIÁ GỐC; ",""))&amp;IF(N($I74)&lt;=0,"Thiếu số lượng; ","")&amp;IF(N($K74)&lt;=0,"Thiếu giá bán; ","")&amp;IF(AND($N74&gt;0,$F74=""),"Khách lấy VAT thiếu mã số thuế; ","")&amp;IF(N($Q74)&gt;$P74,"Đã thu vượt tổng phải thu; ","")&amp;IF(AND($L74&gt;0,$U74&lt;&gt;"",$U74&lt;0),"CẢNH BÁO: ĐƠN NÀY ĐANG LỖ; ","")))</f>
        <v/>
      </c>
    </row>
    <row r="75" customFormat="false" ht="15" hidden="false" customHeight="false" outlineLevel="0" collapsed="false">
      <c r="A75" s="21" t="str">
        <f aca="false">IF($C75="","",COUNTA($C$10:$C75))</f>
        <v/>
      </c>
      <c r="B75" s="18"/>
      <c r="C75" s="11"/>
      <c r="D75" s="11"/>
      <c r="E75" s="11"/>
      <c r="F75" s="11"/>
      <c r="G75" s="11"/>
      <c r="H75" s="11"/>
      <c r="I75" s="12"/>
      <c r="J75" s="13" t="str">
        <f aca="false">IF($H75="","",IFERROR(VLOOKUP($H75,'BẢNG GIÁ GỐC'!$A$5:$D$254,3,FALSE()),""))</f>
        <v/>
      </c>
      <c r="K75" s="12"/>
      <c r="L75" s="13" t="str">
        <f aca="false">IF($C75="","",N($I75)*N($K75))</f>
        <v/>
      </c>
      <c r="M75" s="11"/>
      <c r="N75" s="14" t="str">
        <f aca="false">IF($C75="","",IF($M75="VAT 5%",0.05,IF($M75="VAT 8%",0.08,IF($M75="VAT 10%",0.1,0))))</f>
        <v/>
      </c>
      <c r="O75" s="13" t="str">
        <f aca="false">IF($C75="","",$L75*$N75)</f>
        <v/>
      </c>
      <c r="P75" s="13" t="str">
        <f aca="false">IF($C75="","",$L75+$O75)</f>
        <v/>
      </c>
      <c r="Q75" s="12"/>
      <c r="R75" s="13" t="str">
        <f aca="false">IF($C75="","",MAX(0,$P75-N($Q75)))</f>
        <v/>
      </c>
      <c r="S75" s="23" t="str">
        <f aca="false">IF(OR($C75="",$P75=0),"",IF(N($Q75)&lt;=0,"Chưa thanh toán",IF(N($Q75)&lt;$P75,"Thanh toán một phần","Đã thanh toán")))</f>
        <v/>
      </c>
      <c r="T75" s="13" t="str">
        <f aca="false">IF(OR($C75="",$J75=""),"",N($I75)*$J75)</f>
        <v/>
      </c>
      <c r="U75" s="13" t="str">
        <f aca="false">IF(OR($C75="",$T75=""),"",$L75-$T75)</f>
        <v/>
      </c>
      <c r="V75" s="14" t="str">
        <f aca="false">IF(OR($U75="",$L75=0),"",$U75/$L75)</f>
        <v/>
      </c>
      <c r="W75" s="11"/>
      <c r="X75" s="23" t="str">
        <f aca="false">IF($C75="","",IF(AND($H75="",N($I75)=0,N($K75)=0),"Dòng chỉ lưu thông tin khách (chưa có đơn); ",IF($B75="","Thiếu ngày đặt; ","")&amp;IF($H75="","Thiếu tên sản phẩm; ",IF($J75="","Chưa khai GIÁ GỐC ở BẢNG GIÁ GỐC; ",""))&amp;IF(N($I75)&lt;=0,"Thiếu số lượng; ","")&amp;IF(N($K75)&lt;=0,"Thiếu giá bán; ","")&amp;IF(AND($N75&gt;0,$F75=""),"Khách lấy VAT thiếu mã số thuế; ","")&amp;IF(N($Q75)&gt;$P75,"Đã thu vượt tổng phải thu; ","")&amp;IF(AND($L75&gt;0,$U75&lt;&gt;"",$U75&lt;0),"CẢNH BÁO: ĐƠN NÀY ĐANG LỖ; ","")))</f>
        <v/>
      </c>
    </row>
    <row r="76" customFormat="false" ht="15" hidden="false" customHeight="false" outlineLevel="0" collapsed="false">
      <c r="A76" s="21" t="str">
        <f aca="false">IF($C76="","",COUNTA($C$10:$C76))</f>
        <v/>
      </c>
      <c r="B76" s="18"/>
      <c r="C76" s="11"/>
      <c r="D76" s="11"/>
      <c r="E76" s="11"/>
      <c r="F76" s="11"/>
      <c r="G76" s="11"/>
      <c r="H76" s="11"/>
      <c r="I76" s="12"/>
      <c r="J76" s="13" t="str">
        <f aca="false">IF($H76="","",IFERROR(VLOOKUP($H76,'BẢNG GIÁ GỐC'!$A$5:$D$254,3,FALSE()),""))</f>
        <v/>
      </c>
      <c r="K76" s="12"/>
      <c r="L76" s="13" t="str">
        <f aca="false">IF($C76="","",N($I76)*N($K76))</f>
        <v/>
      </c>
      <c r="M76" s="11"/>
      <c r="N76" s="14" t="str">
        <f aca="false">IF($C76="","",IF($M76="VAT 5%",0.05,IF($M76="VAT 8%",0.08,IF($M76="VAT 10%",0.1,0))))</f>
        <v/>
      </c>
      <c r="O76" s="13" t="str">
        <f aca="false">IF($C76="","",$L76*$N76)</f>
        <v/>
      </c>
      <c r="P76" s="13" t="str">
        <f aca="false">IF($C76="","",$L76+$O76)</f>
        <v/>
      </c>
      <c r="Q76" s="12"/>
      <c r="R76" s="13" t="str">
        <f aca="false">IF($C76="","",MAX(0,$P76-N($Q76)))</f>
        <v/>
      </c>
      <c r="S76" s="23" t="str">
        <f aca="false">IF(OR($C76="",$P76=0),"",IF(N($Q76)&lt;=0,"Chưa thanh toán",IF(N($Q76)&lt;$P76,"Thanh toán một phần","Đã thanh toán")))</f>
        <v/>
      </c>
      <c r="T76" s="13" t="str">
        <f aca="false">IF(OR($C76="",$J76=""),"",N($I76)*$J76)</f>
        <v/>
      </c>
      <c r="U76" s="13" t="str">
        <f aca="false">IF(OR($C76="",$T76=""),"",$L76-$T76)</f>
        <v/>
      </c>
      <c r="V76" s="14" t="str">
        <f aca="false">IF(OR($U76="",$L76=0),"",$U76/$L76)</f>
        <v/>
      </c>
      <c r="W76" s="11"/>
      <c r="X76" s="23" t="str">
        <f aca="false">IF($C76="","",IF(AND($H76="",N($I76)=0,N($K76)=0),"Dòng chỉ lưu thông tin khách (chưa có đơn); ",IF($B76="","Thiếu ngày đặt; ","")&amp;IF($H76="","Thiếu tên sản phẩm; ",IF($J76="","Chưa khai GIÁ GỐC ở BẢNG GIÁ GỐC; ",""))&amp;IF(N($I76)&lt;=0,"Thiếu số lượng; ","")&amp;IF(N($K76)&lt;=0,"Thiếu giá bán; ","")&amp;IF(AND($N76&gt;0,$F76=""),"Khách lấy VAT thiếu mã số thuế; ","")&amp;IF(N($Q76)&gt;$P76,"Đã thu vượt tổng phải thu; ","")&amp;IF(AND($L76&gt;0,$U76&lt;&gt;"",$U76&lt;0),"CẢNH BÁO: ĐƠN NÀY ĐANG LỖ; ","")))</f>
        <v/>
      </c>
    </row>
    <row r="77" customFormat="false" ht="15" hidden="false" customHeight="false" outlineLevel="0" collapsed="false">
      <c r="A77" s="21" t="str">
        <f aca="false">IF($C77="","",COUNTA($C$10:$C77))</f>
        <v/>
      </c>
      <c r="B77" s="18"/>
      <c r="C77" s="11"/>
      <c r="D77" s="11"/>
      <c r="E77" s="11"/>
      <c r="F77" s="11"/>
      <c r="G77" s="11"/>
      <c r="H77" s="11"/>
      <c r="I77" s="12"/>
      <c r="J77" s="13" t="str">
        <f aca="false">IF($H77="","",IFERROR(VLOOKUP($H77,'BẢNG GIÁ GỐC'!$A$5:$D$254,3,FALSE()),""))</f>
        <v/>
      </c>
      <c r="K77" s="12"/>
      <c r="L77" s="13" t="str">
        <f aca="false">IF($C77="","",N($I77)*N($K77))</f>
        <v/>
      </c>
      <c r="M77" s="11"/>
      <c r="N77" s="14" t="str">
        <f aca="false">IF($C77="","",IF($M77="VAT 5%",0.05,IF($M77="VAT 8%",0.08,IF($M77="VAT 10%",0.1,0))))</f>
        <v/>
      </c>
      <c r="O77" s="13" t="str">
        <f aca="false">IF($C77="","",$L77*$N77)</f>
        <v/>
      </c>
      <c r="P77" s="13" t="str">
        <f aca="false">IF($C77="","",$L77+$O77)</f>
        <v/>
      </c>
      <c r="Q77" s="12"/>
      <c r="R77" s="13" t="str">
        <f aca="false">IF($C77="","",MAX(0,$P77-N($Q77)))</f>
        <v/>
      </c>
      <c r="S77" s="23" t="str">
        <f aca="false">IF(OR($C77="",$P77=0),"",IF(N($Q77)&lt;=0,"Chưa thanh toán",IF(N($Q77)&lt;$P77,"Thanh toán một phần","Đã thanh toán")))</f>
        <v/>
      </c>
      <c r="T77" s="13" t="str">
        <f aca="false">IF(OR($C77="",$J77=""),"",N($I77)*$J77)</f>
        <v/>
      </c>
      <c r="U77" s="13" t="str">
        <f aca="false">IF(OR($C77="",$T77=""),"",$L77-$T77)</f>
        <v/>
      </c>
      <c r="V77" s="14" t="str">
        <f aca="false">IF(OR($U77="",$L77=0),"",$U77/$L77)</f>
        <v/>
      </c>
      <c r="W77" s="11"/>
      <c r="X77" s="23" t="str">
        <f aca="false">IF($C77="","",IF(AND($H77="",N($I77)=0,N($K77)=0),"Dòng chỉ lưu thông tin khách (chưa có đơn); ",IF($B77="","Thiếu ngày đặt; ","")&amp;IF($H77="","Thiếu tên sản phẩm; ",IF($J77="","Chưa khai GIÁ GỐC ở BẢNG GIÁ GỐC; ",""))&amp;IF(N($I77)&lt;=0,"Thiếu số lượng; ","")&amp;IF(N($K77)&lt;=0,"Thiếu giá bán; ","")&amp;IF(AND($N77&gt;0,$F77=""),"Khách lấy VAT thiếu mã số thuế; ","")&amp;IF(N($Q77)&gt;$P77,"Đã thu vượt tổng phải thu; ","")&amp;IF(AND($L77&gt;0,$U77&lt;&gt;"",$U77&lt;0),"CẢNH BÁO: ĐƠN NÀY ĐANG LỖ; ","")))</f>
        <v/>
      </c>
    </row>
    <row r="78" customFormat="false" ht="15" hidden="false" customHeight="false" outlineLevel="0" collapsed="false">
      <c r="A78" s="21" t="str">
        <f aca="false">IF($C78="","",COUNTA($C$10:$C78))</f>
        <v/>
      </c>
      <c r="B78" s="18"/>
      <c r="C78" s="11"/>
      <c r="D78" s="11"/>
      <c r="E78" s="11"/>
      <c r="F78" s="11"/>
      <c r="G78" s="11"/>
      <c r="H78" s="11"/>
      <c r="I78" s="12"/>
      <c r="J78" s="13" t="str">
        <f aca="false">IF($H78="","",IFERROR(VLOOKUP($H78,'BẢNG GIÁ GỐC'!$A$5:$D$254,3,FALSE()),""))</f>
        <v/>
      </c>
      <c r="K78" s="12"/>
      <c r="L78" s="13" t="str">
        <f aca="false">IF($C78="","",N($I78)*N($K78))</f>
        <v/>
      </c>
      <c r="M78" s="11"/>
      <c r="N78" s="14" t="str">
        <f aca="false">IF($C78="","",IF($M78="VAT 5%",0.05,IF($M78="VAT 8%",0.08,IF($M78="VAT 10%",0.1,0))))</f>
        <v/>
      </c>
      <c r="O78" s="13" t="str">
        <f aca="false">IF($C78="","",$L78*$N78)</f>
        <v/>
      </c>
      <c r="P78" s="13" t="str">
        <f aca="false">IF($C78="","",$L78+$O78)</f>
        <v/>
      </c>
      <c r="Q78" s="12"/>
      <c r="R78" s="13" t="str">
        <f aca="false">IF($C78="","",MAX(0,$P78-N($Q78)))</f>
        <v/>
      </c>
      <c r="S78" s="23" t="str">
        <f aca="false">IF(OR($C78="",$P78=0),"",IF(N($Q78)&lt;=0,"Chưa thanh toán",IF(N($Q78)&lt;$P78,"Thanh toán một phần","Đã thanh toán")))</f>
        <v/>
      </c>
      <c r="T78" s="13" t="str">
        <f aca="false">IF(OR($C78="",$J78=""),"",N($I78)*$J78)</f>
        <v/>
      </c>
      <c r="U78" s="13" t="str">
        <f aca="false">IF(OR($C78="",$T78=""),"",$L78-$T78)</f>
        <v/>
      </c>
      <c r="V78" s="14" t="str">
        <f aca="false">IF(OR($U78="",$L78=0),"",$U78/$L78)</f>
        <v/>
      </c>
      <c r="W78" s="11"/>
      <c r="X78" s="23" t="str">
        <f aca="false">IF($C78="","",IF(AND($H78="",N($I78)=0,N($K78)=0),"Dòng chỉ lưu thông tin khách (chưa có đơn); ",IF($B78="","Thiếu ngày đặt; ","")&amp;IF($H78="","Thiếu tên sản phẩm; ",IF($J78="","Chưa khai GIÁ GỐC ở BẢNG GIÁ GỐC; ",""))&amp;IF(N($I78)&lt;=0,"Thiếu số lượng; ","")&amp;IF(N($K78)&lt;=0,"Thiếu giá bán; ","")&amp;IF(AND($N78&gt;0,$F78=""),"Khách lấy VAT thiếu mã số thuế; ","")&amp;IF(N($Q78)&gt;$P78,"Đã thu vượt tổng phải thu; ","")&amp;IF(AND($L78&gt;0,$U78&lt;&gt;"",$U78&lt;0),"CẢNH BÁO: ĐƠN NÀY ĐANG LỖ; ","")))</f>
        <v/>
      </c>
    </row>
    <row r="79" customFormat="false" ht="15" hidden="false" customHeight="false" outlineLevel="0" collapsed="false">
      <c r="A79" s="21" t="str">
        <f aca="false">IF($C79="","",COUNTA($C$10:$C79))</f>
        <v/>
      </c>
      <c r="B79" s="18"/>
      <c r="C79" s="11"/>
      <c r="D79" s="11"/>
      <c r="E79" s="11"/>
      <c r="F79" s="11"/>
      <c r="G79" s="11"/>
      <c r="H79" s="11"/>
      <c r="I79" s="12"/>
      <c r="J79" s="13" t="str">
        <f aca="false">IF($H79="","",IFERROR(VLOOKUP($H79,'BẢNG GIÁ GỐC'!$A$5:$D$254,3,FALSE()),""))</f>
        <v/>
      </c>
      <c r="K79" s="12"/>
      <c r="L79" s="13" t="str">
        <f aca="false">IF($C79="","",N($I79)*N($K79))</f>
        <v/>
      </c>
      <c r="M79" s="11"/>
      <c r="N79" s="14" t="str">
        <f aca="false">IF($C79="","",IF($M79="VAT 5%",0.05,IF($M79="VAT 8%",0.08,IF($M79="VAT 10%",0.1,0))))</f>
        <v/>
      </c>
      <c r="O79" s="13" t="str">
        <f aca="false">IF($C79="","",$L79*$N79)</f>
        <v/>
      </c>
      <c r="P79" s="13" t="str">
        <f aca="false">IF($C79="","",$L79+$O79)</f>
        <v/>
      </c>
      <c r="Q79" s="12"/>
      <c r="R79" s="13" t="str">
        <f aca="false">IF($C79="","",MAX(0,$P79-N($Q79)))</f>
        <v/>
      </c>
      <c r="S79" s="23" t="str">
        <f aca="false">IF(OR($C79="",$P79=0),"",IF(N($Q79)&lt;=0,"Chưa thanh toán",IF(N($Q79)&lt;$P79,"Thanh toán một phần","Đã thanh toán")))</f>
        <v/>
      </c>
      <c r="T79" s="13" t="str">
        <f aca="false">IF(OR($C79="",$J79=""),"",N($I79)*$J79)</f>
        <v/>
      </c>
      <c r="U79" s="13" t="str">
        <f aca="false">IF(OR($C79="",$T79=""),"",$L79-$T79)</f>
        <v/>
      </c>
      <c r="V79" s="14" t="str">
        <f aca="false">IF(OR($U79="",$L79=0),"",$U79/$L79)</f>
        <v/>
      </c>
      <c r="W79" s="11"/>
      <c r="X79" s="23" t="str">
        <f aca="false">IF($C79="","",IF(AND($H79="",N($I79)=0,N($K79)=0),"Dòng chỉ lưu thông tin khách (chưa có đơn); ",IF($B79="","Thiếu ngày đặt; ","")&amp;IF($H79="","Thiếu tên sản phẩm; ",IF($J79="","Chưa khai GIÁ GỐC ở BẢNG GIÁ GỐC; ",""))&amp;IF(N($I79)&lt;=0,"Thiếu số lượng; ","")&amp;IF(N($K79)&lt;=0,"Thiếu giá bán; ","")&amp;IF(AND($N79&gt;0,$F79=""),"Khách lấy VAT thiếu mã số thuế; ","")&amp;IF(N($Q79)&gt;$P79,"Đã thu vượt tổng phải thu; ","")&amp;IF(AND($L79&gt;0,$U79&lt;&gt;"",$U79&lt;0),"CẢNH BÁO: ĐƠN NÀY ĐANG LỖ; ","")))</f>
        <v/>
      </c>
    </row>
    <row r="80" customFormat="false" ht="15" hidden="false" customHeight="false" outlineLevel="0" collapsed="false">
      <c r="A80" s="21" t="str">
        <f aca="false">IF($C80="","",COUNTA($C$10:$C80))</f>
        <v/>
      </c>
      <c r="B80" s="18"/>
      <c r="C80" s="11"/>
      <c r="D80" s="11"/>
      <c r="E80" s="11"/>
      <c r="F80" s="11"/>
      <c r="G80" s="11"/>
      <c r="H80" s="11"/>
      <c r="I80" s="12"/>
      <c r="J80" s="13" t="str">
        <f aca="false">IF($H80="","",IFERROR(VLOOKUP($H80,'BẢNG GIÁ GỐC'!$A$5:$D$254,3,FALSE()),""))</f>
        <v/>
      </c>
      <c r="K80" s="12"/>
      <c r="L80" s="13" t="str">
        <f aca="false">IF($C80="","",N($I80)*N($K80))</f>
        <v/>
      </c>
      <c r="M80" s="11"/>
      <c r="N80" s="14" t="str">
        <f aca="false">IF($C80="","",IF($M80="VAT 5%",0.05,IF($M80="VAT 8%",0.08,IF($M80="VAT 10%",0.1,0))))</f>
        <v/>
      </c>
      <c r="O80" s="13" t="str">
        <f aca="false">IF($C80="","",$L80*$N80)</f>
        <v/>
      </c>
      <c r="P80" s="13" t="str">
        <f aca="false">IF($C80="","",$L80+$O80)</f>
        <v/>
      </c>
      <c r="Q80" s="12"/>
      <c r="R80" s="13" t="str">
        <f aca="false">IF($C80="","",MAX(0,$P80-N($Q80)))</f>
        <v/>
      </c>
      <c r="S80" s="23" t="str">
        <f aca="false">IF(OR($C80="",$P80=0),"",IF(N($Q80)&lt;=0,"Chưa thanh toán",IF(N($Q80)&lt;$P80,"Thanh toán một phần","Đã thanh toán")))</f>
        <v/>
      </c>
      <c r="T80" s="13" t="str">
        <f aca="false">IF(OR($C80="",$J80=""),"",N($I80)*$J80)</f>
        <v/>
      </c>
      <c r="U80" s="13" t="str">
        <f aca="false">IF(OR($C80="",$T80=""),"",$L80-$T80)</f>
        <v/>
      </c>
      <c r="V80" s="14" t="str">
        <f aca="false">IF(OR($U80="",$L80=0),"",$U80/$L80)</f>
        <v/>
      </c>
      <c r="W80" s="11"/>
      <c r="X80" s="23" t="str">
        <f aca="false">IF($C80="","",IF(AND($H80="",N($I80)=0,N($K80)=0),"Dòng chỉ lưu thông tin khách (chưa có đơn); ",IF($B80="","Thiếu ngày đặt; ","")&amp;IF($H80="","Thiếu tên sản phẩm; ",IF($J80="","Chưa khai GIÁ GỐC ở BẢNG GIÁ GỐC; ",""))&amp;IF(N($I80)&lt;=0,"Thiếu số lượng; ","")&amp;IF(N($K80)&lt;=0,"Thiếu giá bán; ","")&amp;IF(AND($N80&gt;0,$F80=""),"Khách lấy VAT thiếu mã số thuế; ","")&amp;IF(N($Q80)&gt;$P80,"Đã thu vượt tổng phải thu; ","")&amp;IF(AND($L80&gt;0,$U80&lt;&gt;"",$U80&lt;0),"CẢNH BÁO: ĐƠN NÀY ĐANG LỖ; ","")))</f>
        <v/>
      </c>
    </row>
    <row r="81" customFormat="false" ht="15" hidden="false" customHeight="false" outlineLevel="0" collapsed="false">
      <c r="A81" s="21" t="str">
        <f aca="false">IF($C81="","",COUNTA($C$10:$C81))</f>
        <v/>
      </c>
      <c r="B81" s="18"/>
      <c r="C81" s="11"/>
      <c r="D81" s="11"/>
      <c r="E81" s="11"/>
      <c r="F81" s="11"/>
      <c r="G81" s="11"/>
      <c r="H81" s="11"/>
      <c r="I81" s="12"/>
      <c r="J81" s="13" t="str">
        <f aca="false">IF($H81="","",IFERROR(VLOOKUP($H81,'BẢNG GIÁ GỐC'!$A$5:$D$254,3,FALSE()),""))</f>
        <v/>
      </c>
      <c r="K81" s="12"/>
      <c r="L81" s="13" t="str">
        <f aca="false">IF($C81="","",N($I81)*N($K81))</f>
        <v/>
      </c>
      <c r="M81" s="11"/>
      <c r="N81" s="14" t="str">
        <f aca="false">IF($C81="","",IF($M81="VAT 5%",0.05,IF($M81="VAT 8%",0.08,IF($M81="VAT 10%",0.1,0))))</f>
        <v/>
      </c>
      <c r="O81" s="13" t="str">
        <f aca="false">IF($C81="","",$L81*$N81)</f>
        <v/>
      </c>
      <c r="P81" s="13" t="str">
        <f aca="false">IF($C81="","",$L81+$O81)</f>
        <v/>
      </c>
      <c r="Q81" s="12"/>
      <c r="R81" s="13" t="str">
        <f aca="false">IF($C81="","",MAX(0,$P81-N($Q81)))</f>
        <v/>
      </c>
      <c r="S81" s="23" t="str">
        <f aca="false">IF(OR($C81="",$P81=0),"",IF(N($Q81)&lt;=0,"Chưa thanh toán",IF(N($Q81)&lt;$P81,"Thanh toán một phần","Đã thanh toán")))</f>
        <v/>
      </c>
      <c r="T81" s="13" t="str">
        <f aca="false">IF(OR($C81="",$J81=""),"",N($I81)*$J81)</f>
        <v/>
      </c>
      <c r="U81" s="13" t="str">
        <f aca="false">IF(OR($C81="",$T81=""),"",$L81-$T81)</f>
        <v/>
      </c>
      <c r="V81" s="14" t="str">
        <f aca="false">IF(OR($U81="",$L81=0),"",$U81/$L81)</f>
        <v/>
      </c>
      <c r="W81" s="11"/>
      <c r="X81" s="23" t="str">
        <f aca="false">IF($C81="","",IF(AND($H81="",N($I81)=0,N($K81)=0),"Dòng chỉ lưu thông tin khách (chưa có đơn); ",IF($B81="","Thiếu ngày đặt; ","")&amp;IF($H81="","Thiếu tên sản phẩm; ",IF($J81="","Chưa khai GIÁ GỐC ở BẢNG GIÁ GỐC; ",""))&amp;IF(N($I81)&lt;=0,"Thiếu số lượng; ","")&amp;IF(N($K81)&lt;=0,"Thiếu giá bán; ","")&amp;IF(AND($N81&gt;0,$F81=""),"Khách lấy VAT thiếu mã số thuế; ","")&amp;IF(N($Q81)&gt;$P81,"Đã thu vượt tổng phải thu; ","")&amp;IF(AND($L81&gt;0,$U81&lt;&gt;"",$U81&lt;0),"CẢNH BÁO: ĐƠN NÀY ĐANG LỖ; ","")))</f>
        <v/>
      </c>
    </row>
    <row r="82" customFormat="false" ht="15" hidden="false" customHeight="false" outlineLevel="0" collapsed="false">
      <c r="A82" s="21" t="str">
        <f aca="false">IF($C82="","",COUNTA($C$10:$C82))</f>
        <v/>
      </c>
      <c r="B82" s="18"/>
      <c r="C82" s="11"/>
      <c r="D82" s="11"/>
      <c r="E82" s="11"/>
      <c r="F82" s="11"/>
      <c r="G82" s="11"/>
      <c r="H82" s="11"/>
      <c r="I82" s="12"/>
      <c r="J82" s="13" t="str">
        <f aca="false">IF($H82="","",IFERROR(VLOOKUP($H82,'BẢNG GIÁ GỐC'!$A$5:$D$254,3,FALSE()),""))</f>
        <v/>
      </c>
      <c r="K82" s="12"/>
      <c r="L82" s="13" t="str">
        <f aca="false">IF($C82="","",N($I82)*N($K82))</f>
        <v/>
      </c>
      <c r="M82" s="11"/>
      <c r="N82" s="14" t="str">
        <f aca="false">IF($C82="","",IF($M82="VAT 5%",0.05,IF($M82="VAT 8%",0.08,IF($M82="VAT 10%",0.1,0))))</f>
        <v/>
      </c>
      <c r="O82" s="13" t="str">
        <f aca="false">IF($C82="","",$L82*$N82)</f>
        <v/>
      </c>
      <c r="P82" s="13" t="str">
        <f aca="false">IF($C82="","",$L82+$O82)</f>
        <v/>
      </c>
      <c r="Q82" s="12"/>
      <c r="R82" s="13" t="str">
        <f aca="false">IF($C82="","",MAX(0,$P82-N($Q82)))</f>
        <v/>
      </c>
      <c r="S82" s="23" t="str">
        <f aca="false">IF(OR($C82="",$P82=0),"",IF(N($Q82)&lt;=0,"Chưa thanh toán",IF(N($Q82)&lt;$P82,"Thanh toán một phần","Đã thanh toán")))</f>
        <v/>
      </c>
      <c r="T82" s="13" t="str">
        <f aca="false">IF(OR($C82="",$J82=""),"",N($I82)*$J82)</f>
        <v/>
      </c>
      <c r="U82" s="13" t="str">
        <f aca="false">IF(OR($C82="",$T82=""),"",$L82-$T82)</f>
        <v/>
      </c>
      <c r="V82" s="14" t="str">
        <f aca="false">IF(OR($U82="",$L82=0),"",$U82/$L82)</f>
        <v/>
      </c>
      <c r="W82" s="11"/>
      <c r="X82" s="23" t="str">
        <f aca="false">IF($C82="","",IF(AND($H82="",N($I82)=0,N($K82)=0),"Dòng chỉ lưu thông tin khách (chưa có đơn); ",IF($B82="","Thiếu ngày đặt; ","")&amp;IF($H82="","Thiếu tên sản phẩm; ",IF($J82="","Chưa khai GIÁ GỐC ở BẢNG GIÁ GỐC; ",""))&amp;IF(N($I82)&lt;=0,"Thiếu số lượng; ","")&amp;IF(N($K82)&lt;=0,"Thiếu giá bán; ","")&amp;IF(AND($N82&gt;0,$F82=""),"Khách lấy VAT thiếu mã số thuế; ","")&amp;IF(N($Q82)&gt;$P82,"Đã thu vượt tổng phải thu; ","")&amp;IF(AND($L82&gt;0,$U82&lt;&gt;"",$U82&lt;0),"CẢNH BÁO: ĐƠN NÀY ĐANG LỖ; ","")))</f>
        <v/>
      </c>
    </row>
    <row r="83" customFormat="false" ht="15" hidden="false" customHeight="false" outlineLevel="0" collapsed="false">
      <c r="A83" s="21" t="str">
        <f aca="false">IF($C83="","",COUNTA($C$10:$C83))</f>
        <v/>
      </c>
      <c r="B83" s="18"/>
      <c r="C83" s="11"/>
      <c r="D83" s="11"/>
      <c r="E83" s="11"/>
      <c r="F83" s="11"/>
      <c r="G83" s="11"/>
      <c r="H83" s="11"/>
      <c r="I83" s="12"/>
      <c r="J83" s="13" t="str">
        <f aca="false">IF($H83="","",IFERROR(VLOOKUP($H83,'BẢNG GIÁ GỐC'!$A$5:$D$254,3,FALSE()),""))</f>
        <v/>
      </c>
      <c r="K83" s="12"/>
      <c r="L83" s="13" t="str">
        <f aca="false">IF($C83="","",N($I83)*N($K83))</f>
        <v/>
      </c>
      <c r="M83" s="11"/>
      <c r="N83" s="14" t="str">
        <f aca="false">IF($C83="","",IF($M83="VAT 5%",0.05,IF($M83="VAT 8%",0.08,IF($M83="VAT 10%",0.1,0))))</f>
        <v/>
      </c>
      <c r="O83" s="13" t="str">
        <f aca="false">IF($C83="","",$L83*$N83)</f>
        <v/>
      </c>
      <c r="P83" s="13" t="str">
        <f aca="false">IF($C83="","",$L83+$O83)</f>
        <v/>
      </c>
      <c r="Q83" s="12"/>
      <c r="R83" s="13" t="str">
        <f aca="false">IF($C83="","",MAX(0,$P83-N($Q83)))</f>
        <v/>
      </c>
      <c r="S83" s="23" t="str">
        <f aca="false">IF(OR($C83="",$P83=0),"",IF(N($Q83)&lt;=0,"Chưa thanh toán",IF(N($Q83)&lt;$P83,"Thanh toán một phần","Đã thanh toán")))</f>
        <v/>
      </c>
      <c r="T83" s="13" t="str">
        <f aca="false">IF(OR($C83="",$J83=""),"",N($I83)*$J83)</f>
        <v/>
      </c>
      <c r="U83" s="13" t="str">
        <f aca="false">IF(OR($C83="",$T83=""),"",$L83-$T83)</f>
        <v/>
      </c>
      <c r="V83" s="14" t="str">
        <f aca="false">IF(OR($U83="",$L83=0),"",$U83/$L83)</f>
        <v/>
      </c>
      <c r="W83" s="11"/>
      <c r="X83" s="23" t="str">
        <f aca="false">IF($C83="","",IF(AND($H83="",N($I83)=0,N($K83)=0),"Dòng chỉ lưu thông tin khách (chưa có đơn); ",IF($B83="","Thiếu ngày đặt; ","")&amp;IF($H83="","Thiếu tên sản phẩm; ",IF($J83="","Chưa khai GIÁ GỐC ở BẢNG GIÁ GỐC; ",""))&amp;IF(N($I83)&lt;=0,"Thiếu số lượng; ","")&amp;IF(N($K83)&lt;=0,"Thiếu giá bán; ","")&amp;IF(AND($N83&gt;0,$F83=""),"Khách lấy VAT thiếu mã số thuế; ","")&amp;IF(N($Q83)&gt;$P83,"Đã thu vượt tổng phải thu; ","")&amp;IF(AND($L83&gt;0,$U83&lt;&gt;"",$U83&lt;0),"CẢNH BÁO: ĐƠN NÀY ĐANG LỖ; ","")))</f>
        <v/>
      </c>
    </row>
    <row r="84" customFormat="false" ht="15" hidden="false" customHeight="false" outlineLevel="0" collapsed="false">
      <c r="A84" s="21" t="str">
        <f aca="false">IF($C84="","",COUNTA($C$10:$C84))</f>
        <v/>
      </c>
      <c r="B84" s="18"/>
      <c r="C84" s="11"/>
      <c r="D84" s="11"/>
      <c r="E84" s="11"/>
      <c r="F84" s="11"/>
      <c r="G84" s="11"/>
      <c r="H84" s="11"/>
      <c r="I84" s="12"/>
      <c r="J84" s="13" t="str">
        <f aca="false">IF($H84="","",IFERROR(VLOOKUP($H84,'BẢNG GIÁ GỐC'!$A$5:$D$254,3,FALSE()),""))</f>
        <v/>
      </c>
      <c r="K84" s="12"/>
      <c r="L84" s="13" t="str">
        <f aca="false">IF($C84="","",N($I84)*N($K84))</f>
        <v/>
      </c>
      <c r="M84" s="11"/>
      <c r="N84" s="14" t="str">
        <f aca="false">IF($C84="","",IF($M84="VAT 5%",0.05,IF($M84="VAT 8%",0.08,IF($M84="VAT 10%",0.1,0))))</f>
        <v/>
      </c>
      <c r="O84" s="13" t="str">
        <f aca="false">IF($C84="","",$L84*$N84)</f>
        <v/>
      </c>
      <c r="P84" s="13" t="str">
        <f aca="false">IF($C84="","",$L84+$O84)</f>
        <v/>
      </c>
      <c r="Q84" s="12"/>
      <c r="R84" s="13" t="str">
        <f aca="false">IF($C84="","",MAX(0,$P84-N($Q84)))</f>
        <v/>
      </c>
      <c r="S84" s="23" t="str">
        <f aca="false">IF(OR($C84="",$P84=0),"",IF(N($Q84)&lt;=0,"Chưa thanh toán",IF(N($Q84)&lt;$P84,"Thanh toán một phần","Đã thanh toán")))</f>
        <v/>
      </c>
      <c r="T84" s="13" t="str">
        <f aca="false">IF(OR($C84="",$J84=""),"",N($I84)*$J84)</f>
        <v/>
      </c>
      <c r="U84" s="13" t="str">
        <f aca="false">IF(OR($C84="",$T84=""),"",$L84-$T84)</f>
        <v/>
      </c>
      <c r="V84" s="14" t="str">
        <f aca="false">IF(OR($U84="",$L84=0),"",$U84/$L84)</f>
        <v/>
      </c>
      <c r="W84" s="11"/>
      <c r="X84" s="23" t="str">
        <f aca="false">IF($C84="","",IF(AND($H84="",N($I84)=0,N($K84)=0),"Dòng chỉ lưu thông tin khách (chưa có đơn); ",IF($B84="","Thiếu ngày đặt; ","")&amp;IF($H84="","Thiếu tên sản phẩm; ",IF($J84="","Chưa khai GIÁ GỐC ở BẢNG GIÁ GỐC; ",""))&amp;IF(N($I84)&lt;=0,"Thiếu số lượng; ","")&amp;IF(N($K84)&lt;=0,"Thiếu giá bán; ","")&amp;IF(AND($N84&gt;0,$F84=""),"Khách lấy VAT thiếu mã số thuế; ","")&amp;IF(N($Q84)&gt;$P84,"Đã thu vượt tổng phải thu; ","")&amp;IF(AND($L84&gt;0,$U84&lt;&gt;"",$U84&lt;0),"CẢNH BÁO: ĐƠN NÀY ĐANG LỖ; ","")))</f>
        <v/>
      </c>
    </row>
    <row r="85" customFormat="false" ht="15" hidden="false" customHeight="false" outlineLevel="0" collapsed="false">
      <c r="A85" s="21" t="str">
        <f aca="false">IF($C85="","",COUNTA($C$10:$C85))</f>
        <v/>
      </c>
      <c r="B85" s="18"/>
      <c r="C85" s="11"/>
      <c r="D85" s="11"/>
      <c r="E85" s="11"/>
      <c r="F85" s="11"/>
      <c r="G85" s="11"/>
      <c r="H85" s="11"/>
      <c r="I85" s="12"/>
      <c r="J85" s="13" t="str">
        <f aca="false">IF($H85="","",IFERROR(VLOOKUP($H85,'BẢNG GIÁ GỐC'!$A$5:$D$254,3,FALSE()),""))</f>
        <v/>
      </c>
      <c r="K85" s="12"/>
      <c r="L85" s="13" t="str">
        <f aca="false">IF($C85="","",N($I85)*N($K85))</f>
        <v/>
      </c>
      <c r="M85" s="11"/>
      <c r="N85" s="14" t="str">
        <f aca="false">IF($C85="","",IF($M85="VAT 5%",0.05,IF($M85="VAT 8%",0.08,IF($M85="VAT 10%",0.1,0))))</f>
        <v/>
      </c>
      <c r="O85" s="13" t="str">
        <f aca="false">IF($C85="","",$L85*$N85)</f>
        <v/>
      </c>
      <c r="P85" s="13" t="str">
        <f aca="false">IF($C85="","",$L85+$O85)</f>
        <v/>
      </c>
      <c r="Q85" s="12"/>
      <c r="R85" s="13" t="str">
        <f aca="false">IF($C85="","",MAX(0,$P85-N($Q85)))</f>
        <v/>
      </c>
      <c r="S85" s="23" t="str">
        <f aca="false">IF(OR($C85="",$P85=0),"",IF(N($Q85)&lt;=0,"Chưa thanh toán",IF(N($Q85)&lt;$P85,"Thanh toán một phần","Đã thanh toán")))</f>
        <v/>
      </c>
      <c r="T85" s="13" t="str">
        <f aca="false">IF(OR($C85="",$J85=""),"",N($I85)*$J85)</f>
        <v/>
      </c>
      <c r="U85" s="13" t="str">
        <f aca="false">IF(OR($C85="",$T85=""),"",$L85-$T85)</f>
        <v/>
      </c>
      <c r="V85" s="14" t="str">
        <f aca="false">IF(OR($U85="",$L85=0),"",$U85/$L85)</f>
        <v/>
      </c>
      <c r="W85" s="11"/>
      <c r="X85" s="23" t="str">
        <f aca="false">IF($C85="","",IF(AND($H85="",N($I85)=0,N($K85)=0),"Dòng chỉ lưu thông tin khách (chưa có đơn); ",IF($B85="","Thiếu ngày đặt; ","")&amp;IF($H85="","Thiếu tên sản phẩm; ",IF($J85="","Chưa khai GIÁ GỐC ở BẢNG GIÁ GỐC; ",""))&amp;IF(N($I85)&lt;=0,"Thiếu số lượng; ","")&amp;IF(N($K85)&lt;=0,"Thiếu giá bán; ","")&amp;IF(AND($N85&gt;0,$F85=""),"Khách lấy VAT thiếu mã số thuế; ","")&amp;IF(N($Q85)&gt;$P85,"Đã thu vượt tổng phải thu; ","")&amp;IF(AND($L85&gt;0,$U85&lt;&gt;"",$U85&lt;0),"CẢNH BÁO: ĐƠN NÀY ĐANG LỖ; ","")))</f>
        <v/>
      </c>
    </row>
    <row r="86" customFormat="false" ht="15" hidden="false" customHeight="false" outlineLevel="0" collapsed="false">
      <c r="A86" s="21" t="str">
        <f aca="false">IF($C86="","",COUNTA($C$10:$C86))</f>
        <v/>
      </c>
      <c r="B86" s="18"/>
      <c r="C86" s="11"/>
      <c r="D86" s="11"/>
      <c r="E86" s="11"/>
      <c r="F86" s="11"/>
      <c r="G86" s="11"/>
      <c r="H86" s="11"/>
      <c r="I86" s="12"/>
      <c r="J86" s="13" t="str">
        <f aca="false">IF($H86="","",IFERROR(VLOOKUP($H86,'BẢNG GIÁ GỐC'!$A$5:$D$254,3,FALSE()),""))</f>
        <v/>
      </c>
      <c r="K86" s="12"/>
      <c r="L86" s="13" t="str">
        <f aca="false">IF($C86="","",N($I86)*N($K86))</f>
        <v/>
      </c>
      <c r="M86" s="11"/>
      <c r="N86" s="14" t="str">
        <f aca="false">IF($C86="","",IF($M86="VAT 5%",0.05,IF($M86="VAT 8%",0.08,IF($M86="VAT 10%",0.1,0))))</f>
        <v/>
      </c>
      <c r="O86" s="13" t="str">
        <f aca="false">IF($C86="","",$L86*$N86)</f>
        <v/>
      </c>
      <c r="P86" s="13" t="str">
        <f aca="false">IF($C86="","",$L86+$O86)</f>
        <v/>
      </c>
      <c r="Q86" s="12"/>
      <c r="R86" s="13" t="str">
        <f aca="false">IF($C86="","",MAX(0,$P86-N($Q86)))</f>
        <v/>
      </c>
      <c r="S86" s="23" t="str">
        <f aca="false">IF(OR($C86="",$P86=0),"",IF(N($Q86)&lt;=0,"Chưa thanh toán",IF(N($Q86)&lt;$P86,"Thanh toán một phần","Đã thanh toán")))</f>
        <v/>
      </c>
      <c r="T86" s="13" t="str">
        <f aca="false">IF(OR($C86="",$J86=""),"",N($I86)*$J86)</f>
        <v/>
      </c>
      <c r="U86" s="13" t="str">
        <f aca="false">IF(OR($C86="",$T86=""),"",$L86-$T86)</f>
        <v/>
      </c>
      <c r="V86" s="14" t="str">
        <f aca="false">IF(OR($U86="",$L86=0),"",$U86/$L86)</f>
        <v/>
      </c>
      <c r="W86" s="11"/>
      <c r="X86" s="23" t="str">
        <f aca="false">IF($C86="","",IF(AND($H86="",N($I86)=0,N($K86)=0),"Dòng chỉ lưu thông tin khách (chưa có đơn); ",IF($B86="","Thiếu ngày đặt; ","")&amp;IF($H86="","Thiếu tên sản phẩm; ",IF($J86="","Chưa khai GIÁ GỐC ở BẢNG GIÁ GỐC; ",""))&amp;IF(N($I86)&lt;=0,"Thiếu số lượng; ","")&amp;IF(N($K86)&lt;=0,"Thiếu giá bán; ","")&amp;IF(AND($N86&gt;0,$F86=""),"Khách lấy VAT thiếu mã số thuế; ","")&amp;IF(N($Q86)&gt;$P86,"Đã thu vượt tổng phải thu; ","")&amp;IF(AND($L86&gt;0,$U86&lt;&gt;"",$U86&lt;0),"CẢNH BÁO: ĐƠN NÀY ĐANG LỖ; ","")))</f>
        <v/>
      </c>
    </row>
    <row r="87" customFormat="false" ht="15" hidden="false" customHeight="false" outlineLevel="0" collapsed="false">
      <c r="A87" s="21" t="str">
        <f aca="false">IF($C87="","",COUNTA($C$10:$C87))</f>
        <v/>
      </c>
      <c r="B87" s="18"/>
      <c r="C87" s="11"/>
      <c r="D87" s="11"/>
      <c r="E87" s="11"/>
      <c r="F87" s="11"/>
      <c r="G87" s="11"/>
      <c r="H87" s="11"/>
      <c r="I87" s="12"/>
      <c r="J87" s="13" t="str">
        <f aca="false">IF($H87="","",IFERROR(VLOOKUP($H87,'BẢNG GIÁ GỐC'!$A$5:$D$254,3,FALSE()),""))</f>
        <v/>
      </c>
      <c r="K87" s="12"/>
      <c r="L87" s="13" t="str">
        <f aca="false">IF($C87="","",N($I87)*N($K87))</f>
        <v/>
      </c>
      <c r="M87" s="11"/>
      <c r="N87" s="14" t="str">
        <f aca="false">IF($C87="","",IF($M87="VAT 5%",0.05,IF($M87="VAT 8%",0.08,IF($M87="VAT 10%",0.1,0))))</f>
        <v/>
      </c>
      <c r="O87" s="13" t="str">
        <f aca="false">IF($C87="","",$L87*$N87)</f>
        <v/>
      </c>
      <c r="P87" s="13" t="str">
        <f aca="false">IF($C87="","",$L87+$O87)</f>
        <v/>
      </c>
      <c r="Q87" s="12"/>
      <c r="R87" s="13" t="str">
        <f aca="false">IF($C87="","",MAX(0,$P87-N($Q87)))</f>
        <v/>
      </c>
      <c r="S87" s="23" t="str">
        <f aca="false">IF(OR($C87="",$P87=0),"",IF(N($Q87)&lt;=0,"Chưa thanh toán",IF(N($Q87)&lt;$P87,"Thanh toán một phần","Đã thanh toán")))</f>
        <v/>
      </c>
      <c r="T87" s="13" t="str">
        <f aca="false">IF(OR($C87="",$J87=""),"",N($I87)*$J87)</f>
        <v/>
      </c>
      <c r="U87" s="13" t="str">
        <f aca="false">IF(OR($C87="",$T87=""),"",$L87-$T87)</f>
        <v/>
      </c>
      <c r="V87" s="14" t="str">
        <f aca="false">IF(OR($U87="",$L87=0),"",$U87/$L87)</f>
        <v/>
      </c>
      <c r="W87" s="11"/>
      <c r="X87" s="23" t="str">
        <f aca="false">IF($C87="","",IF(AND($H87="",N($I87)=0,N($K87)=0),"Dòng chỉ lưu thông tin khách (chưa có đơn); ",IF($B87="","Thiếu ngày đặt; ","")&amp;IF($H87="","Thiếu tên sản phẩm; ",IF($J87="","Chưa khai GIÁ GỐC ở BẢNG GIÁ GỐC; ",""))&amp;IF(N($I87)&lt;=0,"Thiếu số lượng; ","")&amp;IF(N($K87)&lt;=0,"Thiếu giá bán; ","")&amp;IF(AND($N87&gt;0,$F87=""),"Khách lấy VAT thiếu mã số thuế; ","")&amp;IF(N($Q87)&gt;$P87,"Đã thu vượt tổng phải thu; ","")&amp;IF(AND($L87&gt;0,$U87&lt;&gt;"",$U87&lt;0),"CẢNH BÁO: ĐƠN NÀY ĐANG LỖ; ","")))</f>
        <v/>
      </c>
    </row>
    <row r="88" customFormat="false" ht="15" hidden="false" customHeight="false" outlineLevel="0" collapsed="false">
      <c r="A88" s="21" t="str">
        <f aca="false">IF($C88="","",COUNTA($C$10:$C88))</f>
        <v/>
      </c>
      <c r="B88" s="18"/>
      <c r="C88" s="11"/>
      <c r="D88" s="11"/>
      <c r="E88" s="11"/>
      <c r="F88" s="11"/>
      <c r="G88" s="11"/>
      <c r="H88" s="11"/>
      <c r="I88" s="12"/>
      <c r="J88" s="13" t="str">
        <f aca="false">IF($H88="","",IFERROR(VLOOKUP($H88,'BẢNG GIÁ GỐC'!$A$5:$D$254,3,FALSE()),""))</f>
        <v/>
      </c>
      <c r="K88" s="12"/>
      <c r="L88" s="13" t="str">
        <f aca="false">IF($C88="","",N($I88)*N($K88))</f>
        <v/>
      </c>
      <c r="M88" s="11"/>
      <c r="N88" s="14" t="str">
        <f aca="false">IF($C88="","",IF($M88="VAT 5%",0.05,IF($M88="VAT 8%",0.08,IF($M88="VAT 10%",0.1,0))))</f>
        <v/>
      </c>
      <c r="O88" s="13" t="str">
        <f aca="false">IF($C88="","",$L88*$N88)</f>
        <v/>
      </c>
      <c r="P88" s="13" t="str">
        <f aca="false">IF($C88="","",$L88+$O88)</f>
        <v/>
      </c>
      <c r="Q88" s="12"/>
      <c r="R88" s="13" t="str">
        <f aca="false">IF($C88="","",MAX(0,$P88-N($Q88)))</f>
        <v/>
      </c>
      <c r="S88" s="23" t="str">
        <f aca="false">IF(OR($C88="",$P88=0),"",IF(N($Q88)&lt;=0,"Chưa thanh toán",IF(N($Q88)&lt;$P88,"Thanh toán một phần","Đã thanh toán")))</f>
        <v/>
      </c>
      <c r="T88" s="13" t="str">
        <f aca="false">IF(OR($C88="",$J88=""),"",N($I88)*$J88)</f>
        <v/>
      </c>
      <c r="U88" s="13" t="str">
        <f aca="false">IF(OR($C88="",$T88=""),"",$L88-$T88)</f>
        <v/>
      </c>
      <c r="V88" s="14" t="str">
        <f aca="false">IF(OR($U88="",$L88=0),"",$U88/$L88)</f>
        <v/>
      </c>
      <c r="W88" s="11"/>
      <c r="X88" s="23" t="str">
        <f aca="false">IF($C88="","",IF(AND($H88="",N($I88)=0,N($K88)=0),"Dòng chỉ lưu thông tin khách (chưa có đơn); ",IF($B88="","Thiếu ngày đặt; ","")&amp;IF($H88="","Thiếu tên sản phẩm; ",IF($J88="","Chưa khai GIÁ GỐC ở BẢNG GIÁ GỐC; ",""))&amp;IF(N($I88)&lt;=0,"Thiếu số lượng; ","")&amp;IF(N($K88)&lt;=0,"Thiếu giá bán; ","")&amp;IF(AND($N88&gt;0,$F88=""),"Khách lấy VAT thiếu mã số thuế; ","")&amp;IF(N($Q88)&gt;$P88,"Đã thu vượt tổng phải thu; ","")&amp;IF(AND($L88&gt;0,$U88&lt;&gt;"",$U88&lt;0),"CẢNH BÁO: ĐƠN NÀY ĐANG LỖ; ","")))</f>
        <v/>
      </c>
    </row>
    <row r="89" customFormat="false" ht="15" hidden="false" customHeight="false" outlineLevel="0" collapsed="false">
      <c r="A89" s="21" t="str">
        <f aca="false">IF($C89="","",COUNTA($C$10:$C89))</f>
        <v/>
      </c>
      <c r="B89" s="18"/>
      <c r="C89" s="11"/>
      <c r="D89" s="11"/>
      <c r="E89" s="11"/>
      <c r="F89" s="11"/>
      <c r="G89" s="11"/>
      <c r="H89" s="11"/>
      <c r="I89" s="12"/>
      <c r="J89" s="13" t="str">
        <f aca="false">IF($H89="","",IFERROR(VLOOKUP($H89,'BẢNG GIÁ GỐC'!$A$5:$D$254,3,FALSE()),""))</f>
        <v/>
      </c>
      <c r="K89" s="12"/>
      <c r="L89" s="13" t="str">
        <f aca="false">IF($C89="","",N($I89)*N($K89))</f>
        <v/>
      </c>
      <c r="M89" s="11"/>
      <c r="N89" s="14" t="str">
        <f aca="false">IF($C89="","",IF($M89="VAT 5%",0.05,IF($M89="VAT 8%",0.08,IF($M89="VAT 10%",0.1,0))))</f>
        <v/>
      </c>
      <c r="O89" s="13" t="str">
        <f aca="false">IF($C89="","",$L89*$N89)</f>
        <v/>
      </c>
      <c r="P89" s="13" t="str">
        <f aca="false">IF($C89="","",$L89+$O89)</f>
        <v/>
      </c>
      <c r="Q89" s="12"/>
      <c r="R89" s="13" t="str">
        <f aca="false">IF($C89="","",MAX(0,$P89-N($Q89)))</f>
        <v/>
      </c>
      <c r="S89" s="23" t="str">
        <f aca="false">IF(OR($C89="",$P89=0),"",IF(N($Q89)&lt;=0,"Chưa thanh toán",IF(N($Q89)&lt;$P89,"Thanh toán một phần","Đã thanh toán")))</f>
        <v/>
      </c>
      <c r="T89" s="13" t="str">
        <f aca="false">IF(OR($C89="",$J89=""),"",N($I89)*$J89)</f>
        <v/>
      </c>
      <c r="U89" s="13" t="str">
        <f aca="false">IF(OR($C89="",$T89=""),"",$L89-$T89)</f>
        <v/>
      </c>
      <c r="V89" s="14" t="str">
        <f aca="false">IF(OR($U89="",$L89=0),"",$U89/$L89)</f>
        <v/>
      </c>
      <c r="W89" s="11"/>
      <c r="X89" s="23" t="str">
        <f aca="false">IF($C89="","",IF(AND($H89="",N($I89)=0,N($K89)=0),"Dòng chỉ lưu thông tin khách (chưa có đơn); ",IF($B89="","Thiếu ngày đặt; ","")&amp;IF($H89="","Thiếu tên sản phẩm; ",IF($J89="","Chưa khai GIÁ GỐC ở BẢNG GIÁ GỐC; ",""))&amp;IF(N($I89)&lt;=0,"Thiếu số lượng; ","")&amp;IF(N($K89)&lt;=0,"Thiếu giá bán; ","")&amp;IF(AND($N89&gt;0,$F89=""),"Khách lấy VAT thiếu mã số thuế; ","")&amp;IF(N($Q89)&gt;$P89,"Đã thu vượt tổng phải thu; ","")&amp;IF(AND($L89&gt;0,$U89&lt;&gt;"",$U89&lt;0),"CẢNH BÁO: ĐƠN NÀY ĐANG LỖ; ","")))</f>
        <v/>
      </c>
    </row>
    <row r="90" customFormat="false" ht="15" hidden="false" customHeight="false" outlineLevel="0" collapsed="false">
      <c r="A90" s="21" t="str">
        <f aca="false">IF($C90="","",COUNTA($C$10:$C90))</f>
        <v/>
      </c>
      <c r="B90" s="18"/>
      <c r="C90" s="11"/>
      <c r="D90" s="11"/>
      <c r="E90" s="11"/>
      <c r="F90" s="11"/>
      <c r="G90" s="11"/>
      <c r="H90" s="11"/>
      <c r="I90" s="12"/>
      <c r="J90" s="13" t="str">
        <f aca="false">IF($H90="","",IFERROR(VLOOKUP($H90,'BẢNG GIÁ GỐC'!$A$5:$D$254,3,FALSE()),""))</f>
        <v/>
      </c>
      <c r="K90" s="12"/>
      <c r="L90" s="13" t="str">
        <f aca="false">IF($C90="","",N($I90)*N($K90))</f>
        <v/>
      </c>
      <c r="M90" s="11"/>
      <c r="N90" s="14" t="str">
        <f aca="false">IF($C90="","",IF($M90="VAT 5%",0.05,IF($M90="VAT 8%",0.08,IF($M90="VAT 10%",0.1,0))))</f>
        <v/>
      </c>
      <c r="O90" s="13" t="str">
        <f aca="false">IF($C90="","",$L90*$N90)</f>
        <v/>
      </c>
      <c r="P90" s="13" t="str">
        <f aca="false">IF($C90="","",$L90+$O90)</f>
        <v/>
      </c>
      <c r="Q90" s="12"/>
      <c r="R90" s="13" t="str">
        <f aca="false">IF($C90="","",MAX(0,$P90-N($Q90)))</f>
        <v/>
      </c>
      <c r="S90" s="23" t="str">
        <f aca="false">IF(OR($C90="",$P90=0),"",IF(N($Q90)&lt;=0,"Chưa thanh toán",IF(N($Q90)&lt;$P90,"Thanh toán một phần","Đã thanh toán")))</f>
        <v/>
      </c>
      <c r="T90" s="13" t="str">
        <f aca="false">IF(OR($C90="",$J90=""),"",N($I90)*$J90)</f>
        <v/>
      </c>
      <c r="U90" s="13" t="str">
        <f aca="false">IF(OR($C90="",$T90=""),"",$L90-$T90)</f>
        <v/>
      </c>
      <c r="V90" s="14" t="str">
        <f aca="false">IF(OR($U90="",$L90=0),"",$U90/$L90)</f>
        <v/>
      </c>
      <c r="W90" s="11"/>
      <c r="X90" s="23" t="str">
        <f aca="false">IF($C90="","",IF(AND($H90="",N($I90)=0,N($K90)=0),"Dòng chỉ lưu thông tin khách (chưa có đơn); ",IF($B90="","Thiếu ngày đặt; ","")&amp;IF($H90="","Thiếu tên sản phẩm; ",IF($J90="","Chưa khai GIÁ GỐC ở BẢNG GIÁ GỐC; ",""))&amp;IF(N($I90)&lt;=0,"Thiếu số lượng; ","")&amp;IF(N($K90)&lt;=0,"Thiếu giá bán; ","")&amp;IF(AND($N90&gt;0,$F90=""),"Khách lấy VAT thiếu mã số thuế; ","")&amp;IF(N($Q90)&gt;$P90,"Đã thu vượt tổng phải thu; ","")&amp;IF(AND($L90&gt;0,$U90&lt;&gt;"",$U90&lt;0),"CẢNH BÁO: ĐƠN NÀY ĐANG LỖ; ","")))</f>
        <v/>
      </c>
    </row>
    <row r="91" customFormat="false" ht="15" hidden="false" customHeight="false" outlineLevel="0" collapsed="false">
      <c r="A91" s="21" t="str">
        <f aca="false">IF($C91="","",COUNTA($C$10:$C91))</f>
        <v/>
      </c>
      <c r="B91" s="18"/>
      <c r="C91" s="11"/>
      <c r="D91" s="11"/>
      <c r="E91" s="11"/>
      <c r="F91" s="11"/>
      <c r="G91" s="11"/>
      <c r="H91" s="11"/>
      <c r="I91" s="12"/>
      <c r="J91" s="13" t="str">
        <f aca="false">IF($H91="","",IFERROR(VLOOKUP($H91,'BẢNG GIÁ GỐC'!$A$5:$D$254,3,FALSE()),""))</f>
        <v/>
      </c>
      <c r="K91" s="12"/>
      <c r="L91" s="13" t="str">
        <f aca="false">IF($C91="","",N($I91)*N($K91))</f>
        <v/>
      </c>
      <c r="M91" s="11"/>
      <c r="N91" s="14" t="str">
        <f aca="false">IF($C91="","",IF($M91="VAT 5%",0.05,IF($M91="VAT 8%",0.08,IF($M91="VAT 10%",0.1,0))))</f>
        <v/>
      </c>
      <c r="O91" s="13" t="str">
        <f aca="false">IF($C91="","",$L91*$N91)</f>
        <v/>
      </c>
      <c r="P91" s="13" t="str">
        <f aca="false">IF($C91="","",$L91+$O91)</f>
        <v/>
      </c>
      <c r="Q91" s="12"/>
      <c r="R91" s="13" t="str">
        <f aca="false">IF($C91="","",MAX(0,$P91-N($Q91)))</f>
        <v/>
      </c>
      <c r="S91" s="23" t="str">
        <f aca="false">IF(OR($C91="",$P91=0),"",IF(N($Q91)&lt;=0,"Chưa thanh toán",IF(N($Q91)&lt;$P91,"Thanh toán một phần","Đã thanh toán")))</f>
        <v/>
      </c>
      <c r="T91" s="13" t="str">
        <f aca="false">IF(OR($C91="",$J91=""),"",N($I91)*$J91)</f>
        <v/>
      </c>
      <c r="U91" s="13" t="str">
        <f aca="false">IF(OR($C91="",$T91=""),"",$L91-$T91)</f>
        <v/>
      </c>
      <c r="V91" s="14" t="str">
        <f aca="false">IF(OR($U91="",$L91=0),"",$U91/$L91)</f>
        <v/>
      </c>
      <c r="W91" s="11"/>
      <c r="X91" s="23" t="str">
        <f aca="false">IF($C91="","",IF(AND($H91="",N($I91)=0,N($K91)=0),"Dòng chỉ lưu thông tin khách (chưa có đơn); ",IF($B91="","Thiếu ngày đặt; ","")&amp;IF($H91="","Thiếu tên sản phẩm; ",IF($J91="","Chưa khai GIÁ GỐC ở BẢNG GIÁ GỐC; ",""))&amp;IF(N($I91)&lt;=0,"Thiếu số lượng; ","")&amp;IF(N($K91)&lt;=0,"Thiếu giá bán; ","")&amp;IF(AND($N91&gt;0,$F91=""),"Khách lấy VAT thiếu mã số thuế; ","")&amp;IF(N($Q91)&gt;$P91,"Đã thu vượt tổng phải thu; ","")&amp;IF(AND($L91&gt;0,$U91&lt;&gt;"",$U91&lt;0),"CẢNH BÁO: ĐƠN NÀY ĐANG LỖ; ","")))</f>
        <v/>
      </c>
    </row>
    <row r="92" customFormat="false" ht="15" hidden="false" customHeight="false" outlineLevel="0" collapsed="false">
      <c r="A92" s="21" t="str">
        <f aca="false">IF($C92="","",COUNTA($C$10:$C92))</f>
        <v/>
      </c>
      <c r="B92" s="18"/>
      <c r="C92" s="11"/>
      <c r="D92" s="11"/>
      <c r="E92" s="11"/>
      <c r="F92" s="11"/>
      <c r="G92" s="11"/>
      <c r="H92" s="11"/>
      <c r="I92" s="12"/>
      <c r="J92" s="13" t="str">
        <f aca="false">IF($H92="","",IFERROR(VLOOKUP($H92,'BẢNG GIÁ GỐC'!$A$5:$D$254,3,FALSE()),""))</f>
        <v/>
      </c>
      <c r="K92" s="12"/>
      <c r="L92" s="13" t="str">
        <f aca="false">IF($C92="","",N($I92)*N($K92))</f>
        <v/>
      </c>
      <c r="M92" s="11"/>
      <c r="N92" s="14" t="str">
        <f aca="false">IF($C92="","",IF($M92="VAT 5%",0.05,IF($M92="VAT 8%",0.08,IF($M92="VAT 10%",0.1,0))))</f>
        <v/>
      </c>
      <c r="O92" s="13" t="str">
        <f aca="false">IF($C92="","",$L92*$N92)</f>
        <v/>
      </c>
      <c r="P92" s="13" t="str">
        <f aca="false">IF($C92="","",$L92+$O92)</f>
        <v/>
      </c>
      <c r="Q92" s="12"/>
      <c r="R92" s="13" t="str">
        <f aca="false">IF($C92="","",MAX(0,$P92-N($Q92)))</f>
        <v/>
      </c>
      <c r="S92" s="23" t="str">
        <f aca="false">IF(OR($C92="",$P92=0),"",IF(N($Q92)&lt;=0,"Chưa thanh toán",IF(N($Q92)&lt;$P92,"Thanh toán một phần","Đã thanh toán")))</f>
        <v/>
      </c>
      <c r="T92" s="13" t="str">
        <f aca="false">IF(OR($C92="",$J92=""),"",N($I92)*$J92)</f>
        <v/>
      </c>
      <c r="U92" s="13" t="str">
        <f aca="false">IF(OR($C92="",$T92=""),"",$L92-$T92)</f>
        <v/>
      </c>
      <c r="V92" s="14" t="str">
        <f aca="false">IF(OR($U92="",$L92=0),"",$U92/$L92)</f>
        <v/>
      </c>
      <c r="W92" s="11"/>
      <c r="X92" s="23" t="str">
        <f aca="false">IF($C92="","",IF(AND($H92="",N($I92)=0,N($K92)=0),"Dòng chỉ lưu thông tin khách (chưa có đơn); ",IF($B92="","Thiếu ngày đặt; ","")&amp;IF($H92="","Thiếu tên sản phẩm; ",IF($J92="","Chưa khai GIÁ GỐC ở BẢNG GIÁ GỐC; ",""))&amp;IF(N($I92)&lt;=0,"Thiếu số lượng; ","")&amp;IF(N($K92)&lt;=0,"Thiếu giá bán; ","")&amp;IF(AND($N92&gt;0,$F92=""),"Khách lấy VAT thiếu mã số thuế; ","")&amp;IF(N($Q92)&gt;$P92,"Đã thu vượt tổng phải thu; ","")&amp;IF(AND($L92&gt;0,$U92&lt;&gt;"",$U92&lt;0),"CẢNH BÁO: ĐƠN NÀY ĐANG LỖ; ","")))</f>
        <v/>
      </c>
    </row>
    <row r="93" customFormat="false" ht="15" hidden="false" customHeight="false" outlineLevel="0" collapsed="false">
      <c r="A93" s="21" t="str">
        <f aca="false">IF($C93="","",COUNTA($C$10:$C93))</f>
        <v/>
      </c>
      <c r="B93" s="18"/>
      <c r="C93" s="11"/>
      <c r="D93" s="11"/>
      <c r="E93" s="11"/>
      <c r="F93" s="11"/>
      <c r="G93" s="11"/>
      <c r="H93" s="11"/>
      <c r="I93" s="12"/>
      <c r="J93" s="13" t="str">
        <f aca="false">IF($H93="","",IFERROR(VLOOKUP($H93,'BẢNG GIÁ GỐC'!$A$5:$D$254,3,FALSE()),""))</f>
        <v/>
      </c>
      <c r="K93" s="12"/>
      <c r="L93" s="13" t="str">
        <f aca="false">IF($C93="","",N($I93)*N($K93))</f>
        <v/>
      </c>
      <c r="M93" s="11"/>
      <c r="N93" s="14" t="str">
        <f aca="false">IF($C93="","",IF($M93="VAT 5%",0.05,IF($M93="VAT 8%",0.08,IF($M93="VAT 10%",0.1,0))))</f>
        <v/>
      </c>
      <c r="O93" s="13" t="str">
        <f aca="false">IF($C93="","",$L93*$N93)</f>
        <v/>
      </c>
      <c r="P93" s="13" t="str">
        <f aca="false">IF($C93="","",$L93+$O93)</f>
        <v/>
      </c>
      <c r="Q93" s="12"/>
      <c r="R93" s="13" t="str">
        <f aca="false">IF($C93="","",MAX(0,$P93-N($Q93)))</f>
        <v/>
      </c>
      <c r="S93" s="23" t="str">
        <f aca="false">IF(OR($C93="",$P93=0),"",IF(N($Q93)&lt;=0,"Chưa thanh toán",IF(N($Q93)&lt;$P93,"Thanh toán một phần","Đã thanh toán")))</f>
        <v/>
      </c>
      <c r="T93" s="13" t="str">
        <f aca="false">IF(OR($C93="",$J93=""),"",N($I93)*$J93)</f>
        <v/>
      </c>
      <c r="U93" s="13" t="str">
        <f aca="false">IF(OR($C93="",$T93=""),"",$L93-$T93)</f>
        <v/>
      </c>
      <c r="V93" s="14" t="str">
        <f aca="false">IF(OR($U93="",$L93=0),"",$U93/$L93)</f>
        <v/>
      </c>
      <c r="W93" s="11"/>
      <c r="X93" s="23" t="str">
        <f aca="false">IF($C93="","",IF(AND($H93="",N($I93)=0,N($K93)=0),"Dòng chỉ lưu thông tin khách (chưa có đơn); ",IF($B93="","Thiếu ngày đặt; ","")&amp;IF($H93="","Thiếu tên sản phẩm; ",IF($J93="","Chưa khai GIÁ GỐC ở BẢNG GIÁ GỐC; ",""))&amp;IF(N($I93)&lt;=0,"Thiếu số lượng; ","")&amp;IF(N($K93)&lt;=0,"Thiếu giá bán; ","")&amp;IF(AND($N93&gt;0,$F93=""),"Khách lấy VAT thiếu mã số thuế; ","")&amp;IF(N($Q93)&gt;$P93,"Đã thu vượt tổng phải thu; ","")&amp;IF(AND($L93&gt;0,$U93&lt;&gt;"",$U93&lt;0),"CẢNH BÁO: ĐƠN NÀY ĐANG LỖ; ","")))</f>
        <v/>
      </c>
    </row>
    <row r="94" customFormat="false" ht="15" hidden="false" customHeight="false" outlineLevel="0" collapsed="false">
      <c r="A94" s="21" t="str">
        <f aca="false">IF($C94="","",COUNTA($C$10:$C94))</f>
        <v/>
      </c>
      <c r="B94" s="18"/>
      <c r="C94" s="11"/>
      <c r="D94" s="11"/>
      <c r="E94" s="11"/>
      <c r="F94" s="11"/>
      <c r="G94" s="11"/>
      <c r="H94" s="11"/>
      <c r="I94" s="12"/>
      <c r="J94" s="13" t="str">
        <f aca="false">IF($H94="","",IFERROR(VLOOKUP($H94,'BẢNG GIÁ GỐC'!$A$5:$D$254,3,FALSE()),""))</f>
        <v/>
      </c>
      <c r="K94" s="12"/>
      <c r="L94" s="13" t="str">
        <f aca="false">IF($C94="","",N($I94)*N($K94))</f>
        <v/>
      </c>
      <c r="M94" s="11"/>
      <c r="N94" s="14" t="str">
        <f aca="false">IF($C94="","",IF($M94="VAT 5%",0.05,IF($M94="VAT 8%",0.08,IF($M94="VAT 10%",0.1,0))))</f>
        <v/>
      </c>
      <c r="O94" s="13" t="str">
        <f aca="false">IF($C94="","",$L94*$N94)</f>
        <v/>
      </c>
      <c r="P94" s="13" t="str">
        <f aca="false">IF($C94="","",$L94+$O94)</f>
        <v/>
      </c>
      <c r="Q94" s="12"/>
      <c r="R94" s="13" t="str">
        <f aca="false">IF($C94="","",MAX(0,$P94-N($Q94)))</f>
        <v/>
      </c>
      <c r="S94" s="23" t="str">
        <f aca="false">IF(OR($C94="",$P94=0),"",IF(N($Q94)&lt;=0,"Chưa thanh toán",IF(N($Q94)&lt;$P94,"Thanh toán một phần","Đã thanh toán")))</f>
        <v/>
      </c>
      <c r="T94" s="13" t="str">
        <f aca="false">IF(OR($C94="",$J94=""),"",N($I94)*$J94)</f>
        <v/>
      </c>
      <c r="U94" s="13" t="str">
        <f aca="false">IF(OR($C94="",$T94=""),"",$L94-$T94)</f>
        <v/>
      </c>
      <c r="V94" s="14" t="str">
        <f aca="false">IF(OR($U94="",$L94=0),"",$U94/$L94)</f>
        <v/>
      </c>
      <c r="W94" s="11"/>
      <c r="X94" s="23" t="str">
        <f aca="false">IF($C94="","",IF(AND($H94="",N($I94)=0,N($K94)=0),"Dòng chỉ lưu thông tin khách (chưa có đơn); ",IF($B94="","Thiếu ngày đặt; ","")&amp;IF($H94="","Thiếu tên sản phẩm; ",IF($J94="","Chưa khai GIÁ GỐC ở BẢNG GIÁ GỐC; ",""))&amp;IF(N($I94)&lt;=0,"Thiếu số lượng; ","")&amp;IF(N($K94)&lt;=0,"Thiếu giá bán; ","")&amp;IF(AND($N94&gt;0,$F94=""),"Khách lấy VAT thiếu mã số thuế; ","")&amp;IF(N($Q94)&gt;$P94,"Đã thu vượt tổng phải thu; ","")&amp;IF(AND($L94&gt;0,$U94&lt;&gt;"",$U94&lt;0),"CẢNH BÁO: ĐƠN NÀY ĐANG LỖ; ","")))</f>
        <v/>
      </c>
    </row>
    <row r="95" customFormat="false" ht="15" hidden="false" customHeight="false" outlineLevel="0" collapsed="false">
      <c r="A95" s="21" t="str">
        <f aca="false">IF($C95="","",COUNTA($C$10:$C95))</f>
        <v/>
      </c>
      <c r="B95" s="18"/>
      <c r="C95" s="11"/>
      <c r="D95" s="11"/>
      <c r="E95" s="11"/>
      <c r="F95" s="11"/>
      <c r="G95" s="11"/>
      <c r="H95" s="11"/>
      <c r="I95" s="12"/>
      <c r="J95" s="13" t="str">
        <f aca="false">IF($H95="","",IFERROR(VLOOKUP($H95,'BẢNG GIÁ GỐC'!$A$5:$D$254,3,FALSE()),""))</f>
        <v/>
      </c>
      <c r="K95" s="12"/>
      <c r="L95" s="13" t="str">
        <f aca="false">IF($C95="","",N($I95)*N($K95))</f>
        <v/>
      </c>
      <c r="M95" s="11"/>
      <c r="N95" s="14" t="str">
        <f aca="false">IF($C95="","",IF($M95="VAT 5%",0.05,IF($M95="VAT 8%",0.08,IF($M95="VAT 10%",0.1,0))))</f>
        <v/>
      </c>
      <c r="O95" s="13" t="str">
        <f aca="false">IF($C95="","",$L95*$N95)</f>
        <v/>
      </c>
      <c r="P95" s="13" t="str">
        <f aca="false">IF($C95="","",$L95+$O95)</f>
        <v/>
      </c>
      <c r="Q95" s="12"/>
      <c r="R95" s="13" t="str">
        <f aca="false">IF($C95="","",MAX(0,$P95-N($Q95)))</f>
        <v/>
      </c>
      <c r="S95" s="23" t="str">
        <f aca="false">IF(OR($C95="",$P95=0),"",IF(N($Q95)&lt;=0,"Chưa thanh toán",IF(N($Q95)&lt;$P95,"Thanh toán một phần","Đã thanh toán")))</f>
        <v/>
      </c>
      <c r="T95" s="13" t="str">
        <f aca="false">IF(OR($C95="",$J95=""),"",N($I95)*$J95)</f>
        <v/>
      </c>
      <c r="U95" s="13" t="str">
        <f aca="false">IF(OR($C95="",$T95=""),"",$L95-$T95)</f>
        <v/>
      </c>
      <c r="V95" s="14" t="str">
        <f aca="false">IF(OR($U95="",$L95=0),"",$U95/$L95)</f>
        <v/>
      </c>
      <c r="W95" s="11"/>
      <c r="X95" s="23" t="str">
        <f aca="false">IF($C95="","",IF(AND($H95="",N($I95)=0,N($K95)=0),"Dòng chỉ lưu thông tin khách (chưa có đơn); ",IF($B95="","Thiếu ngày đặt; ","")&amp;IF($H95="","Thiếu tên sản phẩm; ",IF($J95="","Chưa khai GIÁ GỐC ở BẢNG GIÁ GỐC; ",""))&amp;IF(N($I95)&lt;=0,"Thiếu số lượng; ","")&amp;IF(N($K95)&lt;=0,"Thiếu giá bán; ","")&amp;IF(AND($N95&gt;0,$F95=""),"Khách lấy VAT thiếu mã số thuế; ","")&amp;IF(N($Q95)&gt;$P95,"Đã thu vượt tổng phải thu; ","")&amp;IF(AND($L95&gt;0,$U95&lt;&gt;"",$U95&lt;0),"CẢNH BÁO: ĐƠN NÀY ĐANG LỖ; ","")))</f>
        <v/>
      </c>
    </row>
    <row r="96" customFormat="false" ht="15" hidden="false" customHeight="false" outlineLevel="0" collapsed="false">
      <c r="A96" s="21" t="str">
        <f aca="false">IF($C96="","",COUNTA($C$10:$C96))</f>
        <v/>
      </c>
      <c r="B96" s="18"/>
      <c r="C96" s="11"/>
      <c r="D96" s="11"/>
      <c r="E96" s="11"/>
      <c r="F96" s="11"/>
      <c r="G96" s="11"/>
      <c r="H96" s="11"/>
      <c r="I96" s="12"/>
      <c r="J96" s="13" t="str">
        <f aca="false">IF($H96="","",IFERROR(VLOOKUP($H96,'BẢNG GIÁ GỐC'!$A$5:$D$254,3,FALSE()),""))</f>
        <v/>
      </c>
      <c r="K96" s="12"/>
      <c r="L96" s="13" t="str">
        <f aca="false">IF($C96="","",N($I96)*N($K96))</f>
        <v/>
      </c>
      <c r="M96" s="11"/>
      <c r="N96" s="14" t="str">
        <f aca="false">IF($C96="","",IF($M96="VAT 5%",0.05,IF($M96="VAT 8%",0.08,IF($M96="VAT 10%",0.1,0))))</f>
        <v/>
      </c>
      <c r="O96" s="13" t="str">
        <f aca="false">IF($C96="","",$L96*$N96)</f>
        <v/>
      </c>
      <c r="P96" s="13" t="str">
        <f aca="false">IF($C96="","",$L96+$O96)</f>
        <v/>
      </c>
      <c r="Q96" s="12"/>
      <c r="R96" s="13" t="str">
        <f aca="false">IF($C96="","",MAX(0,$P96-N($Q96)))</f>
        <v/>
      </c>
      <c r="S96" s="23" t="str">
        <f aca="false">IF(OR($C96="",$P96=0),"",IF(N($Q96)&lt;=0,"Chưa thanh toán",IF(N($Q96)&lt;$P96,"Thanh toán một phần","Đã thanh toán")))</f>
        <v/>
      </c>
      <c r="T96" s="13" t="str">
        <f aca="false">IF(OR($C96="",$J96=""),"",N($I96)*$J96)</f>
        <v/>
      </c>
      <c r="U96" s="13" t="str">
        <f aca="false">IF(OR($C96="",$T96=""),"",$L96-$T96)</f>
        <v/>
      </c>
      <c r="V96" s="14" t="str">
        <f aca="false">IF(OR($U96="",$L96=0),"",$U96/$L96)</f>
        <v/>
      </c>
      <c r="W96" s="11"/>
      <c r="X96" s="23" t="str">
        <f aca="false">IF($C96="","",IF(AND($H96="",N($I96)=0,N($K96)=0),"Dòng chỉ lưu thông tin khách (chưa có đơn); ",IF($B96="","Thiếu ngày đặt; ","")&amp;IF($H96="","Thiếu tên sản phẩm; ",IF($J96="","Chưa khai GIÁ GỐC ở BẢNG GIÁ GỐC; ",""))&amp;IF(N($I96)&lt;=0,"Thiếu số lượng; ","")&amp;IF(N($K96)&lt;=0,"Thiếu giá bán; ","")&amp;IF(AND($N96&gt;0,$F96=""),"Khách lấy VAT thiếu mã số thuế; ","")&amp;IF(N($Q96)&gt;$P96,"Đã thu vượt tổng phải thu; ","")&amp;IF(AND($L96&gt;0,$U96&lt;&gt;"",$U96&lt;0),"CẢNH BÁO: ĐƠN NÀY ĐANG LỖ; ","")))</f>
        <v/>
      </c>
    </row>
    <row r="97" customFormat="false" ht="15" hidden="false" customHeight="false" outlineLevel="0" collapsed="false">
      <c r="A97" s="21" t="str">
        <f aca="false">IF($C97="","",COUNTA($C$10:$C97))</f>
        <v/>
      </c>
      <c r="B97" s="18"/>
      <c r="C97" s="11"/>
      <c r="D97" s="11"/>
      <c r="E97" s="11"/>
      <c r="F97" s="11"/>
      <c r="G97" s="11"/>
      <c r="H97" s="11"/>
      <c r="I97" s="12"/>
      <c r="J97" s="13" t="str">
        <f aca="false">IF($H97="","",IFERROR(VLOOKUP($H97,'BẢNG GIÁ GỐC'!$A$5:$D$254,3,FALSE()),""))</f>
        <v/>
      </c>
      <c r="K97" s="12"/>
      <c r="L97" s="13" t="str">
        <f aca="false">IF($C97="","",N($I97)*N($K97))</f>
        <v/>
      </c>
      <c r="M97" s="11"/>
      <c r="N97" s="14" t="str">
        <f aca="false">IF($C97="","",IF($M97="VAT 5%",0.05,IF($M97="VAT 8%",0.08,IF($M97="VAT 10%",0.1,0))))</f>
        <v/>
      </c>
      <c r="O97" s="13" t="str">
        <f aca="false">IF($C97="","",$L97*$N97)</f>
        <v/>
      </c>
      <c r="P97" s="13" t="str">
        <f aca="false">IF($C97="","",$L97+$O97)</f>
        <v/>
      </c>
      <c r="Q97" s="12"/>
      <c r="R97" s="13" t="str">
        <f aca="false">IF($C97="","",MAX(0,$P97-N($Q97)))</f>
        <v/>
      </c>
      <c r="S97" s="23" t="str">
        <f aca="false">IF(OR($C97="",$P97=0),"",IF(N($Q97)&lt;=0,"Chưa thanh toán",IF(N($Q97)&lt;$P97,"Thanh toán một phần","Đã thanh toán")))</f>
        <v/>
      </c>
      <c r="T97" s="13" t="str">
        <f aca="false">IF(OR($C97="",$J97=""),"",N($I97)*$J97)</f>
        <v/>
      </c>
      <c r="U97" s="13" t="str">
        <f aca="false">IF(OR($C97="",$T97=""),"",$L97-$T97)</f>
        <v/>
      </c>
      <c r="V97" s="14" t="str">
        <f aca="false">IF(OR($U97="",$L97=0),"",$U97/$L97)</f>
        <v/>
      </c>
      <c r="W97" s="11"/>
      <c r="X97" s="23" t="str">
        <f aca="false">IF($C97="","",IF(AND($H97="",N($I97)=0,N($K97)=0),"Dòng chỉ lưu thông tin khách (chưa có đơn); ",IF($B97="","Thiếu ngày đặt; ","")&amp;IF($H97="","Thiếu tên sản phẩm; ",IF($J97="","Chưa khai GIÁ GỐC ở BẢNG GIÁ GỐC; ",""))&amp;IF(N($I97)&lt;=0,"Thiếu số lượng; ","")&amp;IF(N($K97)&lt;=0,"Thiếu giá bán; ","")&amp;IF(AND($N97&gt;0,$F97=""),"Khách lấy VAT thiếu mã số thuế; ","")&amp;IF(N($Q97)&gt;$P97,"Đã thu vượt tổng phải thu; ","")&amp;IF(AND($L97&gt;0,$U97&lt;&gt;"",$U97&lt;0),"CẢNH BÁO: ĐƠN NÀY ĐANG LỖ; ","")))</f>
        <v/>
      </c>
    </row>
    <row r="98" customFormat="false" ht="15" hidden="false" customHeight="false" outlineLevel="0" collapsed="false">
      <c r="A98" s="21" t="str">
        <f aca="false">IF($C98="","",COUNTA($C$10:$C98))</f>
        <v/>
      </c>
      <c r="B98" s="18"/>
      <c r="C98" s="11"/>
      <c r="D98" s="11"/>
      <c r="E98" s="11"/>
      <c r="F98" s="11"/>
      <c r="G98" s="11"/>
      <c r="H98" s="11"/>
      <c r="I98" s="12"/>
      <c r="J98" s="13" t="str">
        <f aca="false">IF($H98="","",IFERROR(VLOOKUP($H98,'BẢNG GIÁ GỐC'!$A$5:$D$254,3,FALSE()),""))</f>
        <v/>
      </c>
      <c r="K98" s="12"/>
      <c r="L98" s="13" t="str">
        <f aca="false">IF($C98="","",N($I98)*N($K98))</f>
        <v/>
      </c>
      <c r="M98" s="11"/>
      <c r="N98" s="14" t="str">
        <f aca="false">IF($C98="","",IF($M98="VAT 5%",0.05,IF($M98="VAT 8%",0.08,IF($M98="VAT 10%",0.1,0))))</f>
        <v/>
      </c>
      <c r="O98" s="13" t="str">
        <f aca="false">IF($C98="","",$L98*$N98)</f>
        <v/>
      </c>
      <c r="P98" s="13" t="str">
        <f aca="false">IF($C98="","",$L98+$O98)</f>
        <v/>
      </c>
      <c r="Q98" s="12"/>
      <c r="R98" s="13" t="str">
        <f aca="false">IF($C98="","",MAX(0,$P98-N($Q98)))</f>
        <v/>
      </c>
      <c r="S98" s="23" t="str">
        <f aca="false">IF(OR($C98="",$P98=0),"",IF(N($Q98)&lt;=0,"Chưa thanh toán",IF(N($Q98)&lt;$P98,"Thanh toán một phần","Đã thanh toán")))</f>
        <v/>
      </c>
      <c r="T98" s="13" t="str">
        <f aca="false">IF(OR($C98="",$J98=""),"",N($I98)*$J98)</f>
        <v/>
      </c>
      <c r="U98" s="13" t="str">
        <f aca="false">IF(OR($C98="",$T98=""),"",$L98-$T98)</f>
        <v/>
      </c>
      <c r="V98" s="14" t="str">
        <f aca="false">IF(OR($U98="",$L98=0),"",$U98/$L98)</f>
        <v/>
      </c>
      <c r="W98" s="11"/>
      <c r="X98" s="23" t="str">
        <f aca="false">IF($C98="","",IF(AND($H98="",N($I98)=0,N($K98)=0),"Dòng chỉ lưu thông tin khách (chưa có đơn); ",IF($B98="","Thiếu ngày đặt; ","")&amp;IF($H98="","Thiếu tên sản phẩm; ",IF($J98="","Chưa khai GIÁ GỐC ở BẢNG GIÁ GỐC; ",""))&amp;IF(N($I98)&lt;=0,"Thiếu số lượng; ","")&amp;IF(N($K98)&lt;=0,"Thiếu giá bán; ","")&amp;IF(AND($N98&gt;0,$F98=""),"Khách lấy VAT thiếu mã số thuế; ","")&amp;IF(N($Q98)&gt;$P98,"Đã thu vượt tổng phải thu; ","")&amp;IF(AND($L98&gt;0,$U98&lt;&gt;"",$U98&lt;0),"CẢNH BÁO: ĐƠN NÀY ĐANG LỖ; ","")))</f>
        <v/>
      </c>
    </row>
    <row r="99" customFormat="false" ht="15" hidden="false" customHeight="false" outlineLevel="0" collapsed="false">
      <c r="A99" s="21" t="str">
        <f aca="false">IF($C99="","",COUNTA($C$10:$C99))</f>
        <v/>
      </c>
      <c r="B99" s="18"/>
      <c r="C99" s="11"/>
      <c r="D99" s="11"/>
      <c r="E99" s="11"/>
      <c r="F99" s="11"/>
      <c r="G99" s="11"/>
      <c r="H99" s="11"/>
      <c r="I99" s="12"/>
      <c r="J99" s="13" t="str">
        <f aca="false">IF($H99="","",IFERROR(VLOOKUP($H99,'BẢNG GIÁ GỐC'!$A$5:$D$254,3,FALSE()),""))</f>
        <v/>
      </c>
      <c r="K99" s="12"/>
      <c r="L99" s="13" t="str">
        <f aca="false">IF($C99="","",N($I99)*N($K99))</f>
        <v/>
      </c>
      <c r="M99" s="11"/>
      <c r="N99" s="14" t="str">
        <f aca="false">IF($C99="","",IF($M99="VAT 5%",0.05,IF($M99="VAT 8%",0.08,IF($M99="VAT 10%",0.1,0))))</f>
        <v/>
      </c>
      <c r="O99" s="13" t="str">
        <f aca="false">IF($C99="","",$L99*$N99)</f>
        <v/>
      </c>
      <c r="P99" s="13" t="str">
        <f aca="false">IF($C99="","",$L99+$O99)</f>
        <v/>
      </c>
      <c r="Q99" s="12"/>
      <c r="R99" s="13" t="str">
        <f aca="false">IF($C99="","",MAX(0,$P99-N($Q99)))</f>
        <v/>
      </c>
      <c r="S99" s="23" t="str">
        <f aca="false">IF(OR($C99="",$P99=0),"",IF(N($Q99)&lt;=0,"Chưa thanh toán",IF(N($Q99)&lt;$P99,"Thanh toán một phần","Đã thanh toán")))</f>
        <v/>
      </c>
      <c r="T99" s="13" t="str">
        <f aca="false">IF(OR($C99="",$J99=""),"",N($I99)*$J99)</f>
        <v/>
      </c>
      <c r="U99" s="13" t="str">
        <f aca="false">IF(OR($C99="",$T99=""),"",$L99-$T99)</f>
        <v/>
      </c>
      <c r="V99" s="14" t="str">
        <f aca="false">IF(OR($U99="",$L99=0),"",$U99/$L99)</f>
        <v/>
      </c>
      <c r="W99" s="11"/>
      <c r="X99" s="23" t="str">
        <f aca="false">IF($C99="","",IF(AND($H99="",N($I99)=0,N($K99)=0),"Dòng chỉ lưu thông tin khách (chưa có đơn); ",IF($B99="","Thiếu ngày đặt; ","")&amp;IF($H99="","Thiếu tên sản phẩm; ",IF($J99="","Chưa khai GIÁ GỐC ở BẢNG GIÁ GỐC; ",""))&amp;IF(N($I99)&lt;=0,"Thiếu số lượng; ","")&amp;IF(N($K99)&lt;=0,"Thiếu giá bán; ","")&amp;IF(AND($N99&gt;0,$F99=""),"Khách lấy VAT thiếu mã số thuế; ","")&amp;IF(N($Q99)&gt;$P99,"Đã thu vượt tổng phải thu; ","")&amp;IF(AND($L99&gt;0,$U99&lt;&gt;"",$U99&lt;0),"CẢNH BÁO: ĐƠN NÀY ĐANG LỖ; ","")))</f>
        <v/>
      </c>
    </row>
    <row r="100" customFormat="false" ht="15" hidden="false" customHeight="false" outlineLevel="0" collapsed="false">
      <c r="A100" s="21" t="str">
        <f aca="false">IF($C100="","",COUNTA($C$10:$C100))</f>
        <v/>
      </c>
      <c r="B100" s="18"/>
      <c r="C100" s="11"/>
      <c r="D100" s="11"/>
      <c r="E100" s="11"/>
      <c r="F100" s="11"/>
      <c r="G100" s="11"/>
      <c r="H100" s="11"/>
      <c r="I100" s="12"/>
      <c r="J100" s="13" t="str">
        <f aca="false">IF($H100="","",IFERROR(VLOOKUP($H100,'BẢNG GIÁ GỐC'!$A$5:$D$254,3,FALSE()),""))</f>
        <v/>
      </c>
      <c r="K100" s="12"/>
      <c r="L100" s="13" t="str">
        <f aca="false">IF($C100="","",N($I100)*N($K100))</f>
        <v/>
      </c>
      <c r="M100" s="11"/>
      <c r="N100" s="14" t="str">
        <f aca="false">IF($C100="","",IF($M100="VAT 5%",0.05,IF($M100="VAT 8%",0.08,IF($M100="VAT 10%",0.1,0))))</f>
        <v/>
      </c>
      <c r="O100" s="13" t="str">
        <f aca="false">IF($C100="","",$L100*$N100)</f>
        <v/>
      </c>
      <c r="P100" s="13" t="str">
        <f aca="false">IF($C100="","",$L100+$O100)</f>
        <v/>
      </c>
      <c r="Q100" s="12"/>
      <c r="R100" s="13" t="str">
        <f aca="false">IF($C100="","",MAX(0,$P100-N($Q100)))</f>
        <v/>
      </c>
      <c r="S100" s="23" t="str">
        <f aca="false">IF(OR($C100="",$P100=0),"",IF(N($Q100)&lt;=0,"Chưa thanh toán",IF(N($Q100)&lt;$P100,"Thanh toán một phần","Đã thanh toán")))</f>
        <v/>
      </c>
      <c r="T100" s="13" t="str">
        <f aca="false">IF(OR($C100="",$J100=""),"",N($I100)*$J100)</f>
        <v/>
      </c>
      <c r="U100" s="13" t="str">
        <f aca="false">IF(OR($C100="",$T100=""),"",$L100-$T100)</f>
        <v/>
      </c>
      <c r="V100" s="14" t="str">
        <f aca="false">IF(OR($U100="",$L100=0),"",$U100/$L100)</f>
        <v/>
      </c>
      <c r="W100" s="11"/>
      <c r="X100" s="23" t="str">
        <f aca="false">IF($C100="","",IF(AND($H100="",N($I100)=0,N($K100)=0),"Dòng chỉ lưu thông tin khách (chưa có đơn); ",IF($B100="","Thiếu ngày đặt; ","")&amp;IF($H100="","Thiếu tên sản phẩm; ",IF($J100="","Chưa khai GIÁ GỐC ở BẢNG GIÁ GỐC; ",""))&amp;IF(N($I100)&lt;=0,"Thiếu số lượng; ","")&amp;IF(N($K100)&lt;=0,"Thiếu giá bán; ","")&amp;IF(AND($N100&gt;0,$F100=""),"Khách lấy VAT thiếu mã số thuế; ","")&amp;IF(N($Q100)&gt;$P100,"Đã thu vượt tổng phải thu; ","")&amp;IF(AND($L100&gt;0,$U100&lt;&gt;"",$U100&lt;0),"CẢNH BÁO: ĐƠN NÀY ĐANG LỖ; ","")))</f>
        <v/>
      </c>
    </row>
    <row r="101" customFormat="false" ht="15" hidden="false" customHeight="false" outlineLevel="0" collapsed="false">
      <c r="A101" s="21" t="str">
        <f aca="false">IF($C101="","",COUNTA($C$10:$C101))</f>
        <v/>
      </c>
      <c r="B101" s="18"/>
      <c r="C101" s="11"/>
      <c r="D101" s="11"/>
      <c r="E101" s="11"/>
      <c r="F101" s="11"/>
      <c r="G101" s="11"/>
      <c r="H101" s="11"/>
      <c r="I101" s="12"/>
      <c r="J101" s="13" t="str">
        <f aca="false">IF($H101="","",IFERROR(VLOOKUP($H101,'BẢNG GIÁ GỐC'!$A$5:$D$254,3,FALSE()),""))</f>
        <v/>
      </c>
      <c r="K101" s="12"/>
      <c r="L101" s="13" t="str">
        <f aca="false">IF($C101="","",N($I101)*N($K101))</f>
        <v/>
      </c>
      <c r="M101" s="11"/>
      <c r="N101" s="14" t="str">
        <f aca="false">IF($C101="","",IF($M101="VAT 5%",0.05,IF($M101="VAT 8%",0.08,IF($M101="VAT 10%",0.1,0))))</f>
        <v/>
      </c>
      <c r="O101" s="13" t="str">
        <f aca="false">IF($C101="","",$L101*$N101)</f>
        <v/>
      </c>
      <c r="P101" s="13" t="str">
        <f aca="false">IF($C101="","",$L101+$O101)</f>
        <v/>
      </c>
      <c r="Q101" s="12"/>
      <c r="R101" s="13" t="str">
        <f aca="false">IF($C101="","",MAX(0,$P101-N($Q101)))</f>
        <v/>
      </c>
      <c r="S101" s="23" t="str">
        <f aca="false">IF(OR($C101="",$P101=0),"",IF(N($Q101)&lt;=0,"Chưa thanh toán",IF(N($Q101)&lt;$P101,"Thanh toán một phần","Đã thanh toán")))</f>
        <v/>
      </c>
      <c r="T101" s="13" t="str">
        <f aca="false">IF(OR($C101="",$J101=""),"",N($I101)*$J101)</f>
        <v/>
      </c>
      <c r="U101" s="13" t="str">
        <f aca="false">IF(OR($C101="",$T101=""),"",$L101-$T101)</f>
        <v/>
      </c>
      <c r="V101" s="14" t="str">
        <f aca="false">IF(OR($U101="",$L101=0),"",$U101/$L101)</f>
        <v/>
      </c>
      <c r="W101" s="11"/>
      <c r="X101" s="23" t="str">
        <f aca="false">IF($C101="","",IF(AND($H101="",N($I101)=0,N($K101)=0),"Dòng chỉ lưu thông tin khách (chưa có đơn); ",IF($B101="","Thiếu ngày đặt; ","")&amp;IF($H101="","Thiếu tên sản phẩm; ",IF($J101="","Chưa khai GIÁ GỐC ở BẢNG GIÁ GỐC; ",""))&amp;IF(N($I101)&lt;=0,"Thiếu số lượng; ","")&amp;IF(N($K101)&lt;=0,"Thiếu giá bán; ","")&amp;IF(AND($N101&gt;0,$F101=""),"Khách lấy VAT thiếu mã số thuế; ","")&amp;IF(N($Q101)&gt;$P101,"Đã thu vượt tổng phải thu; ","")&amp;IF(AND($L101&gt;0,$U101&lt;&gt;"",$U101&lt;0),"CẢNH BÁO: ĐƠN NÀY ĐANG LỖ; ","")))</f>
        <v/>
      </c>
    </row>
    <row r="102" customFormat="false" ht="15" hidden="false" customHeight="false" outlineLevel="0" collapsed="false">
      <c r="A102" s="21" t="str">
        <f aca="false">IF($C102="","",COUNTA($C$10:$C102))</f>
        <v/>
      </c>
      <c r="B102" s="18"/>
      <c r="C102" s="11"/>
      <c r="D102" s="11"/>
      <c r="E102" s="11"/>
      <c r="F102" s="11"/>
      <c r="G102" s="11"/>
      <c r="H102" s="11"/>
      <c r="I102" s="12"/>
      <c r="J102" s="13" t="str">
        <f aca="false">IF($H102="","",IFERROR(VLOOKUP($H102,'BẢNG GIÁ GỐC'!$A$5:$D$254,3,FALSE()),""))</f>
        <v/>
      </c>
      <c r="K102" s="12"/>
      <c r="L102" s="13" t="str">
        <f aca="false">IF($C102="","",N($I102)*N($K102))</f>
        <v/>
      </c>
      <c r="M102" s="11"/>
      <c r="N102" s="14" t="str">
        <f aca="false">IF($C102="","",IF($M102="VAT 5%",0.05,IF($M102="VAT 8%",0.08,IF($M102="VAT 10%",0.1,0))))</f>
        <v/>
      </c>
      <c r="O102" s="13" t="str">
        <f aca="false">IF($C102="","",$L102*$N102)</f>
        <v/>
      </c>
      <c r="P102" s="13" t="str">
        <f aca="false">IF($C102="","",$L102+$O102)</f>
        <v/>
      </c>
      <c r="Q102" s="12"/>
      <c r="R102" s="13" t="str">
        <f aca="false">IF($C102="","",MAX(0,$P102-N($Q102)))</f>
        <v/>
      </c>
      <c r="S102" s="23" t="str">
        <f aca="false">IF(OR($C102="",$P102=0),"",IF(N($Q102)&lt;=0,"Chưa thanh toán",IF(N($Q102)&lt;$P102,"Thanh toán một phần","Đã thanh toán")))</f>
        <v/>
      </c>
      <c r="T102" s="13" t="str">
        <f aca="false">IF(OR($C102="",$J102=""),"",N($I102)*$J102)</f>
        <v/>
      </c>
      <c r="U102" s="13" t="str">
        <f aca="false">IF(OR($C102="",$T102=""),"",$L102-$T102)</f>
        <v/>
      </c>
      <c r="V102" s="14" t="str">
        <f aca="false">IF(OR($U102="",$L102=0),"",$U102/$L102)</f>
        <v/>
      </c>
      <c r="W102" s="11"/>
      <c r="X102" s="23" t="str">
        <f aca="false">IF($C102="","",IF(AND($H102="",N($I102)=0,N($K102)=0),"Dòng chỉ lưu thông tin khách (chưa có đơn); ",IF($B102="","Thiếu ngày đặt; ","")&amp;IF($H102="","Thiếu tên sản phẩm; ",IF($J102="","Chưa khai GIÁ GỐC ở BẢNG GIÁ GỐC; ",""))&amp;IF(N($I102)&lt;=0,"Thiếu số lượng; ","")&amp;IF(N($K102)&lt;=0,"Thiếu giá bán; ","")&amp;IF(AND($N102&gt;0,$F102=""),"Khách lấy VAT thiếu mã số thuế; ","")&amp;IF(N($Q102)&gt;$P102,"Đã thu vượt tổng phải thu; ","")&amp;IF(AND($L102&gt;0,$U102&lt;&gt;"",$U102&lt;0),"CẢNH BÁO: ĐƠN NÀY ĐANG LỖ; ","")))</f>
        <v/>
      </c>
    </row>
    <row r="103" customFormat="false" ht="15" hidden="false" customHeight="false" outlineLevel="0" collapsed="false">
      <c r="A103" s="21" t="str">
        <f aca="false">IF($C103="","",COUNTA($C$10:$C103))</f>
        <v/>
      </c>
      <c r="B103" s="18"/>
      <c r="C103" s="11"/>
      <c r="D103" s="11"/>
      <c r="E103" s="11"/>
      <c r="F103" s="11"/>
      <c r="G103" s="11"/>
      <c r="H103" s="11"/>
      <c r="I103" s="12"/>
      <c r="J103" s="13" t="str">
        <f aca="false">IF($H103="","",IFERROR(VLOOKUP($H103,'BẢNG GIÁ GỐC'!$A$5:$D$254,3,FALSE()),""))</f>
        <v/>
      </c>
      <c r="K103" s="12"/>
      <c r="L103" s="13" t="str">
        <f aca="false">IF($C103="","",N($I103)*N($K103))</f>
        <v/>
      </c>
      <c r="M103" s="11"/>
      <c r="N103" s="14" t="str">
        <f aca="false">IF($C103="","",IF($M103="VAT 5%",0.05,IF($M103="VAT 8%",0.08,IF($M103="VAT 10%",0.1,0))))</f>
        <v/>
      </c>
      <c r="O103" s="13" t="str">
        <f aca="false">IF($C103="","",$L103*$N103)</f>
        <v/>
      </c>
      <c r="P103" s="13" t="str">
        <f aca="false">IF($C103="","",$L103+$O103)</f>
        <v/>
      </c>
      <c r="Q103" s="12"/>
      <c r="R103" s="13" t="str">
        <f aca="false">IF($C103="","",MAX(0,$P103-N($Q103)))</f>
        <v/>
      </c>
      <c r="S103" s="23" t="str">
        <f aca="false">IF(OR($C103="",$P103=0),"",IF(N($Q103)&lt;=0,"Chưa thanh toán",IF(N($Q103)&lt;$P103,"Thanh toán một phần","Đã thanh toán")))</f>
        <v/>
      </c>
      <c r="T103" s="13" t="str">
        <f aca="false">IF(OR($C103="",$J103=""),"",N($I103)*$J103)</f>
        <v/>
      </c>
      <c r="U103" s="13" t="str">
        <f aca="false">IF(OR($C103="",$T103=""),"",$L103-$T103)</f>
        <v/>
      </c>
      <c r="V103" s="14" t="str">
        <f aca="false">IF(OR($U103="",$L103=0),"",$U103/$L103)</f>
        <v/>
      </c>
      <c r="W103" s="11"/>
      <c r="X103" s="23" t="str">
        <f aca="false">IF($C103="","",IF(AND($H103="",N($I103)=0,N($K103)=0),"Dòng chỉ lưu thông tin khách (chưa có đơn); ",IF($B103="","Thiếu ngày đặt; ","")&amp;IF($H103="","Thiếu tên sản phẩm; ",IF($J103="","Chưa khai GIÁ GỐC ở BẢNG GIÁ GỐC; ",""))&amp;IF(N($I103)&lt;=0,"Thiếu số lượng; ","")&amp;IF(N($K103)&lt;=0,"Thiếu giá bán; ","")&amp;IF(AND($N103&gt;0,$F103=""),"Khách lấy VAT thiếu mã số thuế; ","")&amp;IF(N($Q103)&gt;$P103,"Đã thu vượt tổng phải thu; ","")&amp;IF(AND($L103&gt;0,$U103&lt;&gt;"",$U103&lt;0),"CẢNH BÁO: ĐƠN NÀY ĐANG LỖ; ","")))</f>
        <v/>
      </c>
    </row>
    <row r="104" customFormat="false" ht="15" hidden="false" customHeight="false" outlineLevel="0" collapsed="false">
      <c r="A104" s="21" t="str">
        <f aca="false">IF($C104="","",COUNTA($C$10:$C104))</f>
        <v/>
      </c>
      <c r="B104" s="18"/>
      <c r="C104" s="11"/>
      <c r="D104" s="11"/>
      <c r="E104" s="11"/>
      <c r="F104" s="11"/>
      <c r="G104" s="11"/>
      <c r="H104" s="11"/>
      <c r="I104" s="12"/>
      <c r="J104" s="13" t="str">
        <f aca="false">IF($H104="","",IFERROR(VLOOKUP($H104,'BẢNG GIÁ GỐC'!$A$5:$D$254,3,FALSE()),""))</f>
        <v/>
      </c>
      <c r="K104" s="12"/>
      <c r="L104" s="13" t="str">
        <f aca="false">IF($C104="","",N($I104)*N($K104))</f>
        <v/>
      </c>
      <c r="M104" s="11"/>
      <c r="N104" s="14" t="str">
        <f aca="false">IF($C104="","",IF($M104="VAT 5%",0.05,IF($M104="VAT 8%",0.08,IF($M104="VAT 10%",0.1,0))))</f>
        <v/>
      </c>
      <c r="O104" s="13" t="str">
        <f aca="false">IF($C104="","",$L104*$N104)</f>
        <v/>
      </c>
      <c r="P104" s="13" t="str">
        <f aca="false">IF($C104="","",$L104+$O104)</f>
        <v/>
      </c>
      <c r="Q104" s="12"/>
      <c r="R104" s="13" t="str">
        <f aca="false">IF($C104="","",MAX(0,$P104-N($Q104)))</f>
        <v/>
      </c>
      <c r="S104" s="23" t="str">
        <f aca="false">IF(OR($C104="",$P104=0),"",IF(N($Q104)&lt;=0,"Chưa thanh toán",IF(N($Q104)&lt;$P104,"Thanh toán một phần","Đã thanh toán")))</f>
        <v/>
      </c>
      <c r="T104" s="13" t="str">
        <f aca="false">IF(OR($C104="",$J104=""),"",N($I104)*$J104)</f>
        <v/>
      </c>
      <c r="U104" s="13" t="str">
        <f aca="false">IF(OR($C104="",$T104=""),"",$L104-$T104)</f>
        <v/>
      </c>
      <c r="V104" s="14" t="str">
        <f aca="false">IF(OR($U104="",$L104=0),"",$U104/$L104)</f>
        <v/>
      </c>
      <c r="W104" s="11"/>
      <c r="X104" s="23" t="str">
        <f aca="false">IF($C104="","",IF(AND($H104="",N($I104)=0,N($K104)=0),"Dòng chỉ lưu thông tin khách (chưa có đơn); ",IF($B104="","Thiếu ngày đặt; ","")&amp;IF($H104="","Thiếu tên sản phẩm; ",IF($J104="","Chưa khai GIÁ GỐC ở BẢNG GIÁ GỐC; ",""))&amp;IF(N($I104)&lt;=0,"Thiếu số lượng; ","")&amp;IF(N($K104)&lt;=0,"Thiếu giá bán; ","")&amp;IF(AND($N104&gt;0,$F104=""),"Khách lấy VAT thiếu mã số thuế; ","")&amp;IF(N($Q104)&gt;$P104,"Đã thu vượt tổng phải thu; ","")&amp;IF(AND($L104&gt;0,$U104&lt;&gt;"",$U104&lt;0),"CẢNH BÁO: ĐƠN NÀY ĐANG LỖ; ","")))</f>
        <v/>
      </c>
    </row>
    <row r="105" customFormat="false" ht="15" hidden="false" customHeight="false" outlineLevel="0" collapsed="false">
      <c r="A105" s="21" t="str">
        <f aca="false">IF($C105="","",COUNTA($C$10:$C105))</f>
        <v/>
      </c>
      <c r="B105" s="18"/>
      <c r="C105" s="11"/>
      <c r="D105" s="11"/>
      <c r="E105" s="11"/>
      <c r="F105" s="11"/>
      <c r="G105" s="11"/>
      <c r="H105" s="11"/>
      <c r="I105" s="12"/>
      <c r="J105" s="13" t="str">
        <f aca="false">IF($H105="","",IFERROR(VLOOKUP($H105,'BẢNG GIÁ GỐC'!$A$5:$D$254,3,FALSE()),""))</f>
        <v/>
      </c>
      <c r="K105" s="12"/>
      <c r="L105" s="13" t="str">
        <f aca="false">IF($C105="","",N($I105)*N($K105))</f>
        <v/>
      </c>
      <c r="M105" s="11"/>
      <c r="N105" s="14" t="str">
        <f aca="false">IF($C105="","",IF($M105="VAT 5%",0.05,IF($M105="VAT 8%",0.08,IF($M105="VAT 10%",0.1,0))))</f>
        <v/>
      </c>
      <c r="O105" s="13" t="str">
        <f aca="false">IF($C105="","",$L105*$N105)</f>
        <v/>
      </c>
      <c r="P105" s="13" t="str">
        <f aca="false">IF($C105="","",$L105+$O105)</f>
        <v/>
      </c>
      <c r="Q105" s="12"/>
      <c r="R105" s="13" t="str">
        <f aca="false">IF($C105="","",MAX(0,$P105-N($Q105)))</f>
        <v/>
      </c>
      <c r="S105" s="23" t="str">
        <f aca="false">IF(OR($C105="",$P105=0),"",IF(N($Q105)&lt;=0,"Chưa thanh toán",IF(N($Q105)&lt;$P105,"Thanh toán một phần","Đã thanh toán")))</f>
        <v/>
      </c>
      <c r="T105" s="13" t="str">
        <f aca="false">IF(OR($C105="",$J105=""),"",N($I105)*$J105)</f>
        <v/>
      </c>
      <c r="U105" s="13" t="str">
        <f aca="false">IF(OR($C105="",$T105=""),"",$L105-$T105)</f>
        <v/>
      </c>
      <c r="V105" s="14" t="str">
        <f aca="false">IF(OR($U105="",$L105=0),"",$U105/$L105)</f>
        <v/>
      </c>
      <c r="W105" s="11"/>
      <c r="X105" s="23" t="str">
        <f aca="false">IF($C105="","",IF(AND($H105="",N($I105)=0,N($K105)=0),"Dòng chỉ lưu thông tin khách (chưa có đơn); ",IF($B105="","Thiếu ngày đặt; ","")&amp;IF($H105="","Thiếu tên sản phẩm; ",IF($J105="","Chưa khai GIÁ GỐC ở BẢNG GIÁ GỐC; ",""))&amp;IF(N($I105)&lt;=0,"Thiếu số lượng; ","")&amp;IF(N($K105)&lt;=0,"Thiếu giá bán; ","")&amp;IF(AND($N105&gt;0,$F105=""),"Khách lấy VAT thiếu mã số thuế; ","")&amp;IF(N($Q105)&gt;$P105,"Đã thu vượt tổng phải thu; ","")&amp;IF(AND($L105&gt;0,$U105&lt;&gt;"",$U105&lt;0),"CẢNH BÁO: ĐƠN NÀY ĐANG LỖ; ","")))</f>
        <v/>
      </c>
    </row>
    <row r="106" customFormat="false" ht="15" hidden="false" customHeight="false" outlineLevel="0" collapsed="false">
      <c r="A106" s="21" t="str">
        <f aca="false">IF($C106="","",COUNTA($C$10:$C106))</f>
        <v/>
      </c>
      <c r="B106" s="18"/>
      <c r="C106" s="11"/>
      <c r="D106" s="11"/>
      <c r="E106" s="11"/>
      <c r="F106" s="11"/>
      <c r="G106" s="11"/>
      <c r="H106" s="11"/>
      <c r="I106" s="12"/>
      <c r="J106" s="13" t="str">
        <f aca="false">IF($H106="","",IFERROR(VLOOKUP($H106,'BẢNG GIÁ GỐC'!$A$5:$D$254,3,FALSE()),""))</f>
        <v/>
      </c>
      <c r="K106" s="12"/>
      <c r="L106" s="13" t="str">
        <f aca="false">IF($C106="","",N($I106)*N($K106))</f>
        <v/>
      </c>
      <c r="M106" s="11"/>
      <c r="N106" s="14" t="str">
        <f aca="false">IF($C106="","",IF($M106="VAT 5%",0.05,IF($M106="VAT 8%",0.08,IF($M106="VAT 10%",0.1,0))))</f>
        <v/>
      </c>
      <c r="O106" s="13" t="str">
        <f aca="false">IF($C106="","",$L106*$N106)</f>
        <v/>
      </c>
      <c r="P106" s="13" t="str">
        <f aca="false">IF($C106="","",$L106+$O106)</f>
        <v/>
      </c>
      <c r="Q106" s="12"/>
      <c r="R106" s="13" t="str">
        <f aca="false">IF($C106="","",MAX(0,$P106-N($Q106)))</f>
        <v/>
      </c>
      <c r="S106" s="23" t="str">
        <f aca="false">IF(OR($C106="",$P106=0),"",IF(N($Q106)&lt;=0,"Chưa thanh toán",IF(N($Q106)&lt;$P106,"Thanh toán một phần","Đã thanh toán")))</f>
        <v/>
      </c>
      <c r="T106" s="13" t="str">
        <f aca="false">IF(OR($C106="",$J106=""),"",N($I106)*$J106)</f>
        <v/>
      </c>
      <c r="U106" s="13" t="str">
        <f aca="false">IF(OR($C106="",$T106=""),"",$L106-$T106)</f>
        <v/>
      </c>
      <c r="V106" s="14" t="str">
        <f aca="false">IF(OR($U106="",$L106=0),"",$U106/$L106)</f>
        <v/>
      </c>
      <c r="W106" s="11"/>
      <c r="X106" s="23" t="str">
        <f aca="false">IF($C106="","",IF(AND($H106="",N($I106)=0,N($K106)=0),"Dòng chỉ lưu thông tin khách (chưa có đơn); ",IF($B106="","Thiếu ngày đặt; ","")&amp;IF($H106="","Thiếu tên sản phẩm; ",IF($J106="","Chưa khai GIÁ GỐC ở BẢNG GIÁ GỐC; ",""))&amp;IF(N($I106)&lt;=0,"Thiếu số lượng; ","")&amp;IF(N($K106)&lt;=0,"Thiếu giá bán; ","")&amp;IF(AND($N106&gt;0,$F106=""),"Khách lấy VAT thiếu mã số thuế; ","")&amp;IF(N($Q106)&gt;$P106,"Đã thu vượt tổng phải thu; ","")&amp;IF(AND($L106&gt;0,$U106&lt;&gt;"",$U106&lt;0),"CẢNH BÁO: ĐƠN NÀY ĐANG LỖ; ","")))</f>
        <v/>
      </c>
    </row>
    <row r="107" customFormat="false" ht="15" hidden="false" customHeight="false" outlineLevel="0" collapsed="false">
      <c r="A107" s="21" t="str">
        <f aca="false">IF($C107="","",COUNTA($C$10:$C107))</f>
        <v/>
      </c>
      <c r="B107" s="18"/>
      <c r="C107" s="11"/>
      <c r="D107" s="11"/>
      <c r="E107" s="11"/>
      <c r="F107" s="11"/>
      <c r="G107" s="11"/>
      <c r="H107" s="11"/>
      <c r="I107" s="12"/>
      <c r="J107" s="13" t="str">
        <f aca="false">IF($H107="","",IFERROR(VLOOKUP($H107,'BẢNG GIÁ GỐC'!$A$5:$D$254,3,FALSE()),""))</f>
        <v/>
      </c>
      <c r="K107" s="12"/>
      <c r="L107" s="13" t="str">
        <f aca="false">IF($C107="","",N($I107)*N($K107))</f>
        <v/>
      </c>
      <c r="M107" s="11"/>
      <c r="N107" s="14" t="str">
        <f aca="false">IF($C107="","",IF($M107="VAT 5%",0.05,IF($M107="VAT 8%",0.08,IF($M107="VAT 10%",0.1,0))))</f>
        <v/>
      </c>
      <c r="O107" s="13" t="str">
        <f aca="false">IF($C107="","",$L107*$N107)</f>
        <v/>
      </c>
      <c r="P107" s="13" t="str">
        <f aca="false">IF($C107="","",$L107+$O107)</f>
        <v/>
      </c>
      <c r="Q107" s="12"/>
      <c r="R107" s="13" t="str">
        <f aca="false">IF($C107="","",MAX(0,$P107-N($Q107)))</f>
        <v/>
      </c>
      <c r="S107" s="23" t="str">
        <f aca="false">IF(OR($C107="",$P107=0),"",IF(N($Q107)&lt;=0,"Chưa thanh toán",IF(N($Q107)&lt;$P107,"Thanh toán một phần","Đã thanh toán")))</f>
        <v/>
      </c>
      <c r="T107" s="13" t="str">
        <f aca="false">IF(OR($C107="",$J107=""),"",N($I107)*$J107)</f>
        <v/>
      </c>
      <c r="U107" s="13" t="str">
        <f aca="false">IF(OR($C107="",$T107=""),"",$L107-$T107)</f>
        <v/>
      </c>
      <c r="V107" s="14" t="str">
        <f aca="false">IF(OR($U107="",$L107=0),"",$U107/$L107)</f>
        <v/>
      </c>
      <c r="W107" s="11"/>
      <c r="X107" s="23" t="str">
        <f aca="false">IF($C107="","",IF(AND($H107="",N($I107)=0,N($K107)=0),"Dòng chỉ lưu thông tin khách (chưa có đơn); ",IF($B107="","Thiếu ngày đặt; ","")&amp;IF($H107="","Thiếu tên sản phẩm; ",IF($J107="","Chưa khai GIÁ GỐC ở BẢNG GIÁ GỐC; ",""))&amp;IF(N($I107)&lt;=0,"Thiếu số lượng; ","")&amp;IF(N($K107)&lt;=0,"Thiếu giá bán; ","")&amp;IF(AND($N107&gt;0,$F107=""),"Khách lấy VAT thiếu mã số thuế; ","")&amp;IF(N($Q107)&gt;$P107,"Đã thu vượt tổng phải thu; ","")&amp;IF(AND($L107&gt;0,$U107&lt;&gt;"",$U107&lt;0),"CẢNH BÁO: ĐƠN NÀY ĐANG LỖ; ","")))</f>
        <v/>
      </c>
    </row>
    <row r="108" customFormat="false" ht="15" hidden="false" customHeight="false" outlineLevel="0" collapsed="false">
      <c r="A108" s="21" t="str">
        <f aca="false">IF($C108="","",COUNTA($C$10:$C108))</f>
        <v/>
      </c>
      <c r="B108" s="18"/>
      <c r="C108" s="11"/>
      <c r="D108" s="11"/>
      <c r="E108" s="11"/>
      <c r="F108" s="11"/>
      <c r="G108" s="11"/>
      <c r="H108" s="11"/>
      <c r="I108" s="12"/>
      <c r="J108" s="13" t="str">
        <f aca="false">IF($H108="","",IFERROR(VLOOKUP($H108,'BẢNG GIÁ GỐC'!$A$5:$D$254,3,FALSE()),""))</f>
        <v/>
      </c>
      <c r="K108" s="12"/>
      <c r="L108" s="13" t="str">
        <f aca="false">IF($C108="","",N($I108)*N($K108))</f>
        <v/>
      </c>
      <c r="M108" s="11"/>
      <c r="N108" s="14" t="str">
        <f aca="false">IF($C108="","",IF($M108="VAT 5%",0.05,IF($M108="VAT 8%",0.08,IF($M108="VAT 10%",0.1,0))))</f>
        <v/>
      </c>
      <c r="O108" s="13" t="str">
        <f aca="false">IF($C108="","",$L108*$N108)</f>
        <v/>
      </c>
      <c r="P108" s="13" t="str">
        <f aca="false">IF($C108="","",$L108+$O108)</f>
        <v/>
      </c>
      <c r="Q108" s="12"/>
      <c r="R108" s="13" t="str">
        <f aca="false">IF($C108="","",MAX(0,$P108-N($Q108)))</f>
        <v/>
      </c>
      <c r="S108" s="23" t="str">
        <f aca="false">IF(OR($C108="",$P108=0),"",IF(N($Q108)&lt;=0,"Chưa thanh toán",IF(N($Q108)&lt;$P108,"Thanh toán một phần","Đã thanh toán")))</f>
        <v/>
      </c>
      <c r="T108" s="13" t="str">
        <f aca="false">IF(OR($C108="",$J108=""),"",N($I108)*$J108)</f>
        <v/>
      </c>
      <c r="U108" s="13" t="str">
        <f aca="false">IF(OR($C108="",$T108=""),"",$L108-$T108)</f>
        <v/>
      </c>
      <c r="V108" s="14" t="str">
        <f aca="false">IF(OR($U108="",$L108=0),"",$U108/$L108)</f>
        <v/>
      </c>
      <c r="W108" s="11"/>
      <c r="X108" s="23" t="str">
        <f aca="false">IF($C108="","",IF(AND($H108="",N($I108)=0,N($K108)=0),"Dòng chỉ lưu thông tin khách (chưa có đơn); ",IF($B108="","Thiếu ngày đặt; ","")&amp;IF($H108="","Thiếu tên sản phẩm; ",IF($J108="","Chưa khai GIÁ GỐC ở BẢNG GIÁ GỐC; ",""))&amp;IF(N($I108)&lt;=0,"Thiếu số lượng; ","")&amp;IF(N($K108)&lt;=0,"Thiếu giá bán; ","")&amp;IF(AND($N108&gt;0,$F108=""),"Khách lấy VAT thiếu mã số thuế; ","")&amp;IF(N($Q108)&gt;$P108,"Đã thu vượt tổng phải thu; ","")&amp;IF(AND($L108&gt;0,$U108&lt;&gt;"",$U108&lt;0),"CẢNH BÁO: ĐƠN NÀY ĐANG LỖ; ","")))</f>
        <v/>
      </c>
    </row>
    <row r="109" customFormat="false" ht="15" hidden="false" customHeight="false" outlineLevel="0" collapsed="false">
      <c r="A109" s="21" t="str">
        <f aca="false">IF($C109="","",COUNTA($C$10:$C109))</f>
        <v/>
      </c>
      <c r="B109" s="18"/>
      <c r="C109" s="11"/>
      <c r="D109" s="11"/>
      <c r="E109" s="11"/>
      <c r="F109" s="11"/>
      <c r="G109" s="11"/>
      <c r="H109" s="11"/>
      <c r="I109" s="12"/>
      <c r="J109" s="13" t="str">
        <f aca="false">IF($H109="","",IFERROR(VLOOKUP($H109,'BẢNG GIÁ GỐC'!$A$5:$D$254,3,FALSE()),""))</f>
        <v/>
      </c>
      <c r="K109" s="12"/>
      <c r="L109" s="13" t="str">
        <f aca="false">IF($C109="","",N($I109)*N($K109))</f>
        <v/>
      </c>
      <c r="M109" s="11"/>
      <c r="N109" s="14" t="str">
        <f aca="false">IF($C109="","",IF($M109="VAT 5%",0.05,IF($M109="VAT 8%",0.08,IF($M109="VAT 10%",0.1,0))))</f>
        <v/>
      </c>
      <c r="O109" s="13" t="str">
        <f aca="false">IF($C109="","",$L109*$N109)</f>
        <v/>
      </c>
      <c r="P109" s="13" t="str">
        <f aca="false">IF($C109="","",$L109+$O109)</f>
        <v/>
      </c>
      <c r="Q109" s="12"/>
      <c r="R109" s="13" t="str">
        <f aca="false">IF($C109="","",MAX(0,$P109-N($Q109)))</f>
        <v/>
      </c>
      <c r="S109" s="23" t="str">
        <f aca="false">IF(OR($C109="",$P109=0),"",IF(N($Q109)&lt;=0,"Chưa thanh toán",IF(N($Q109)&lt;$P109,"Thanh toán một phần","Đã thanh toán")))</f>
        <v/>
      </c>
      <c r="T109" s="13" t="str">
        <f aca="false">IF(OR($C109="",$J109=""),"",N($I109)*$J109)</f>
        <v/>
      </c>
      <c r="U109" s="13" t="str">
        <f aca="false">IF(OR($C109="",$T109=""),"",$L109-$T109)</f>
        <v/>
      </c>
      <c r="V109" s="14" t="str">
        <f aca="false">IF(OR($U109="",$L109=0),"",$U109/$L109)</f>
        <v/>
      </c>
      <c r="W109" s="11"/>
      <c r="X109" s="23" t="str">
        <f aca="false">IF($C109="","",IF(AND($H109="",N($I109)=0,N($K109)=0),"Dòng chỉ lưu thông tin khách (chưa có đơn); ",IF($B109="","Thiếu ngày đặt; ","")&amp;IF($H109="","Thiếu tên sản phẩm; ",IF($J109="","Chưa khai GIÁ GỐC ở BẢNG GIÁ GỐC; ",""))&amp;IF(N($I109)&lt;=0,"Thiếu số lượng; ","")&amp;IF(N($K109)&lt;=0,"Thiếu giá bán; ","")&amp;IF(AND($N109&gt;0,$F109=""),"Khách lấy VAT thiếu mã số thuế; ","")&amp;IF(N($Q109)&gt;$P109,"Đã thu vượt tổng phải thu; ","")&amp;IF(AND($L109&gt;0,$U109&lt;&gt;"",$U109&lt;0),"CẢNH BÁO: ĐƠN NÀY ĐANG LỖ; ","")))</f>
        <v/>
      </c>
    </row>
    <row r="110" customFormat="false" ht="15" hidden="false" customHeight="false" outlineLevel="0" collapsed="false">
      <c r="A110" s="21" t="str">
        <f aca="false">IF($C110="","",COUNTA($C$10:$C110))</f>
        <v/>
      </c>
      <c r="B110" s="18"/>
      <c r="C110" s="11"/>
      <c r="D110" s="11"/>
      <c r="E110" s="11"/>
      <c r="F110" s="11"/>
      <c r="G110" s="11"/>
      <c r="H110" s="11"/>
      <c r="I110" s="12"/>
      <c r="J110" s="13" t="str">
        <f aca="false">IF($H110="","",IFERROR(VLOOKUP($H110,'BẢNG GIÁ GỐC'!$A$5:$D$254,3,FALSE()),""))</f>
        <v/>
      </c>
      <c r="K110" s="12"/>
      <c r="L110" s="13" t="str">
        <f aca="false">IF($C110="","",N($I110)*N($K110))</f>
        <v/>
      </c>
      <c r="M110" s="11"/>
      <c r="N110" s="14" t="str">
        <f aca="false">IF($C110="","",IF($M110="VAT 5%",0.05,IF($M110="VAT 8%",0.08,IF($M110="VAT 10%",0.1,0))))</f>
        <v/>
      </c>
      <c r="O110" s="13" t="str">
        <f aca="false">IF($C110="","",$L110*$N110)</f>
        <v/>
      </c>
      <c r="P110" s="13" t="str">
        <f aca="false">IF($C110="","",$L110+$O110)</f>
        <v/>
      </c>
      <c r="Q110" s="12"/>
      <c r="R110" s="13" t="str">
        <f aca="false">IF($C110="","",MAX(0,$P110-N($Q110)))</f>
        <v/>
      </c>
      <c r="S110" s="23" t="str">
        <f aca="false">IF(OR($C110="",$P110=0),"",IF(N($Q110)&lt;=0,"Chưa thanh toán",IF(N($Q110)&lt;$P110,"Thanh toán một phần","Đã thanh toán")))</f>
        <v/>
      </c>
      <c r="T110" s="13" t="str">
        <f aca="false">IF(OR($C110="",$J110=""),"",N($I110)*$J110)</f>
        <v/>
      </c>
      <c r="U110" s="13" t="str">
        <f aca="false">IF(OR($C110="",$T110=""),"",$L110-$T110)</f>
        <v/>
      </c>
      <c r="V110" s="14" t="str">
        <f aca="false">IF(OR($U110="",$L110=0),"",$U110/$L110)</f>
        <v/>
      </c>
      <c r="W110" s="11"/>
      <c r="X110" s="23" t="str">
        <f aca="false">IF($C110="","",IF(AND($H110="",N($I110)=0,N($K110)=0),"Dòng chỉ lưu thông tin khách (chưa có đơn); ",IF($B110="","Thiếu ngày đặt; ","")&amp;IF($H110="","Thiếu tên sản phẩm; ",IF($J110="","Chưa khai GIÁ GỐC ở BẢNG GIÁ GỐC; ",""))&amp;IF(N($I110)&lt;=0,"Thiếu số lượng; ","")&amp;IF(N($K110)&lt;=0,"Thiếu giá bán; ","")&amp;IF(AND($N110&gt;0,$F110=""),"Khách lấy VAT thiếu mã số thuế; ","")&amp;IF(N($Q110)&gt;$P110,"Đã thu vượt tổng phải thu; ","")&amp;IF(AND($L110&gt;0,$U110&lt;&gt;"",$U110&lt;0),"CẢNH BÁO: ĐƠN NÀY ĐANG LỖ; ","")))</f>
        <v/>
      </c>
    </row>
    <row r="111" customFormat="false" ht="15" hidden="false" customHeight="false" outlineLevel="0" collapsed="false">
      <c r="A111" s="21" t="str">
        <f aca="false">IF($C111="","",COUNTA($C$10:$C111))</f>
        <v/>
      </c>
      <c r="B111" s="18"/>
      <c r="C111" s="11"/>
      <c r="D111" s="11"/>
      <c r="E111" s="11"/>
      <c r="F111" s="11"/>
      <c r="G111" s="11"/>
      <c r="H111" s="11"/>
      <c r="I111" s="12"/>
      <c r="J111" s="13" t="str">
        <f aca="false">IF($H111="","",IFERROR(VLOOKUP($H111,'BẢNG GIÁ GỐC'!$A$5:$D$254,3,FALSE()),""))</f>
        <v/>
      </c>
      <c r="K111" s="12"/>
      <c r="L111" s="13" t="str">
        <f aca="false">IF($C111="","",N($I111)*N($K111))</f>
        <v/>
      </c>
      <c r="M111" s="11"/>
      <c r="N111" s="14" t="str">
        <f aca="false">IF($C111="","",IF($M111="VAT 5%",0.05,IF($M111="VAT 8%",0.08,IF($M111="VAT 10%",0.1,0))))</f>
        <v/>
      </c>
      <c r="O111" s="13" t="str">
        <f aca="false">IF($C111="","",$L111*$N111)</f>
        <v/>
      </c>
      <c r="P111" s="13" t="str">
        <f aca="false">IF($C111="","",$L111+$O111)</f>
        <v/>
      </c>
      <c r="Q111" s="12"/>
      <c r="R111" s="13" t="str">
        <f aca="false">IF($C111="","",MAX(0,$P111-N($Q111)))</f>
        <v/>
      </c>
      <c r="S111" s="23" t="str">
        <f aca="false">IF(OR($C111="",$P111=0),"",IF(N($Q111)&lt;=0,"Chưa thanh toán",IF(N($Q111)&lt;$P111,"Thanh toán một phần","Đã thanh toán")))</f>
        <v/>
      </c>
      <c r="T111" s="13" t="str">
        <f aca="false">IF(OR($C111="",$J111=""),"",N($I111)*$J111)</f>
        <v/>
      </c>
      <c r="U111" s="13" t="str">
        <f aca="false">IF(OR($C111="",$T111=""),"",$L111-$T111)</f>
        <v/>
      </c>
      <c r="V111" s="14" t="str">
        <f aca="false">IF(OR($U111="",$L111=0),"",$U111/$L111)</f>
        <v/>
      </c>
      <c r="W111" s="11"/>
      <c r="X111" s="23" t="str">
        <f aca="false">IF($C111="","",IF(AND($H111="",N($I111)=0,N($K111)=0),"Dòng chỉ lưu thông tin khách (chưa có đơn); ",IF($B111="","Thiếu ngày đặt; ","")&amp;IF($H111="","Thiếu tên sản phẩm; ",IF($J111="","Chưa khai GIÁ GỐC ở BẢNG GIÁ GỐC; ",""))&amp;IF(N($I111)&lt;=0,"Thiếu số lượng; ","")&amp;IF(N($K111)&lt;=0,"Thiếu giá bán; ","")&amp;IF(AND($N111&gt;0,$F111=""),"Khách lấy VAT thiếu mã số thuế; ","")&amp;IF(N($Q111)&gt;$P111,"Đã thu vượt tổng phải thu; ","")&amp;IF(AND($L111&gt;0,$U111&lt;&gt;"",$U111&lt;0),"CẢNH BÁO: ĐƠN NÀY ĐANG LỖ; ","")))</f>
        <v/>
      </c>
    </row>
    <row r="112" customFormat="false" ht="15" hidden="false" customHeight="false" outlineLevel="0" collapsed="false">
      <c r="A112" s="21" t="str">
        <f aca="false">IF($C112="","",COUNTA($C$10:$C112))</f>
        <v/>
      </c>
      <c r="B112" s="18"/>
      <c r="C112" s="11"/>
      <c r="D112" s="11"/>
      <c r="E112" s="11"/>
      <c r="F112" s="11"/>
      <c r="G112" s="11"/>
      <c r="H112" s="11"/>
      <c r="I112" s="12"/>
      <c r="J112" s="13" t="str">
        <f aca="false">IF($H112="","",IFERROR(VLOOKUP($H112,'BẢNG GIÁ GỐC'!$A$5:$D$254,3,FALSE()),""))</f>
        <v/>
      </c>
      <c r="K112" s="12"/>
      <c r="L112" s="13" t="str">
        <f aca="false">IF($C112="","",N($I112)*N($K112))</f>
        <v/>
      </c>
      <c r="M112" s="11"/>
      <c r="N112" s="14" t="str">
        <f aca="false">IF($C112="","",IF($M112="VAT 5%",0.05,IF($M112="VAT 8%",0.08,IF($M112="VAT 10%",0.1,0))))</f>
        <v/>
      </c>
      <c r="O112" s="13" t="str">
        <f aca="false">IF($C112="","",$L112*$N112)</f>
        <v/>
      </c>
      <c r="P112" s="13" t="str">
        <f aca="false">IF($C112="","",$L112+$O112)</f>
        <v/>
      </c>
      <c r="Q112" s="12"/>
      <c r="R112" s="13" t="str">
        <f aca="false">IF($C112="","",MAX(0,$P112-N($Q112)))</f>
        <v/>
      </c>
      <c r="S112" s="23" t="str">
        <f aca="false">IF(OR($C112="",$P112=0),"",IF(N($Q112)&lt;=0,"Chưa thanh toán",IF(N($Q112)&lt;$P112,"Thanh toán một phần","Đã thanh toán")))</f>
        <v/>
      </c>
      <c r="T112" s="13" t="str">
        <f aca="false">IF(OR($C112="",$J112=""),"",N($I112)*$J112)</f>
        <v/>
      </c>
      <c r="U112" s="13" t="str">
        <f aca="false">IF(OR($C112="",$T112=""),"",$L112-$T112)</f>
        <v/>
      </c>
      <c r="V112" s="14" t="str">
        <f aca="false">IF(OR($U112="",$L112=0),"",$U112/$L112)</f>
        <v/>
      </c>
      <c r="W112" s="11"/>
      <c r="X112" s="23" t="str">
        <f aca="false">IF($C112="","",IF(AND($H112="",N($I112)=0,N($K112)=0),"Dòng chỉ lưu thông tin khách (chưa có đơn); ",IF($B112="","Thiếu ngày đặt; ","")&amp;IF($H112="","Thiếu tên sản phẩm; ",IF($J112="","Chưa khai GIÁ GỐC ở BẢNG GIÁ GỐC; ",""))&amp;IF(N($I112)&lt;=0,"Thiếu số lượng; ","")&amp;IF(N($K112)&lt;=0,"Thiếu giá bán; ","")&amp;IF(AND($N112&gt;0,$F112=""),"Khách lấy VAT thiếu mã số thuế; ","")&amp;IF(N($Q112)&gt;$P112,"Đã thu vượt tổng phải thu; ","")&amp;IF(AND($L112&gt;0,$U112&lt;&gt;"",$U112&lt;0),"CẢNH BÁO: ĐƠN NÀY ĐANG LỖ; ","")))</f>
        <v/>
      </c>
    </row>
    <row r="113" customFormat="false" ht="15" hidden="false" customHeight="false" outlineLevel="0" collapsed="false">
      <c r="A113" s="21" t="str">
        <f aca="false">IF($C113="","",COUNTA($C$10:$C113))</f>
        <v/>
      </c>
      <c r="B113" s="18"/>
      <c r="C113" s="11"/>
      <c r="D113" s="11"/>
      <c r="E113" s="11"/>
      <c r="F113" s="11"/>
      <c r="G113" s="11"/>
      <c r="H113" s="11"/>
      <c r="I113" s="12"/>
      <c r="J113" s="13" t="str">
        <f aca="false">IF($H113="","",IFERROR(VLOOKUP($H113,'BẢNG GIÁ GỐC'!$A$5:$D$254,3,FALSE()),""))</f>
        <v/>
      </c>
      <c r="K113" s="12"/>
      <c r="L113" s="13" t="str">
        <f aca="false">IF($C113="","",N($I113)*N($K113))</f>
        <v/>
      </c>
      <c r="M113" s="11"/>
      <c r="N113" s="14" t="str">
        <f aca="false">IF($C113="","",IF($M113="VAT 5%",0.05,IF($M113="VAT 8%",0.08,IF($M113="VAT 10%",0.1,0))))</f>
        <v/>
      </c>
      <c r="O113" s="13" t="str">
        <f aca="false">IF($C113="","",$L113*$N113)</f>
        <v/>
      </c>
      <c r="P113" s="13" t="str">
        <f aca="false">IF($C113="","",$L113+$O113)</f>
        <v/>
      </c>
      <c r="Q113" s="12"/>
      <c r="R113" s="13" t="str">
        <f aca="false">IF($C113="","",MAX(0,$P113-N($Q113)))</f>
        <v/>
      </c>
      <c r="S113" s="23" t="str">
        <f aca="false">IF(OR($C113="",$P113=0),"",IF(N($Q113)&lt;=0,"Chưa thanh toán",IF(N($Q113)&lt;$P113,"Thanh toán một phần","Đã thanh toán")))</f>
        <v/>
      </c>
      <c r="T113" s="13" t="str">
        <f aca="false">IF(OR($C113="",$J113=""),"",N($I113)*$J113)</f>
        <v/>
      </c>
      <c r="U113" s="13" t="str">
        <f aca="false">IF(OR($C113="",$T113=""),"",$L113-$T113)</f>
        <v/>
      </c>
      <c r="V113" s="14" t="str">
        <f aca="false">IF(OR($U113="",$L113=0),"",$U113/$L113)</f>
        <v/>
      </c>
      <c r="W113" s="11"/>
      <c r="X113" s="23" t="str">
        <f aca="false">IF($C113="","",IF(AND($H113="",N($I113)=0,N($K113)=0),"Dòng chỉ lưu thông tin khách (chưa có đơn); ",IF($B113="","Thiếu ngày đặt; ","")&amp;IF($H113="","Thiếu tên sản phẩm; ",IF($J113="","Chưa khai GIÁ GỐC ở BẢNG GIÁ GỐC; ",""))&amp;IF(N($I113)&lt;=0,"Thiếu số lượng; ","")&amp;IF(N($K113)&lt;=0,"Thiếu giá bán; ","")&amp;IF(AND($N113&gt;0,$F113=""),"Khách lấy VAT thiếu mã số thuế; ","")&amp;IF(N($Q113)&gt;$P113,"Đã thu vượt tổng phải thu; ","")&amp;IF(AND($L113&gt;0,$U113&lt;&gt;"",$U113&lt;0),"CẢNH BÁO: ĐƠN NÀY ĐANG LỖ; ","")))</f>
        <v/>
      </c>
    </row>
    <row r="114" customFormat="false" ht="15" hidden="false" customHeight="false" outlineLevel="0" collapsed="false">
      <c r="A114" s="21" t="str">
        <f aca="false">IF($C114="","",COUNTA($C$10:$C114))</f>
        <v/>
      </c>
      <c r="B114" s="18"/>
      <c r="C114" s="11"/>
      <c r="D114" s="11"/>
      <c r="E114" s="11"/>
      <c r="F114" s="11"/>
      <c r="G114" s="11"/>
      <c r="H114" s="11"/>
      <c r="I114" s="12"/>
      <c r="J114" s="13" t="str">
        <f aca="false">IF($H114="","",IFERROR(VLOOKUP($H114,'BẢNG GIÁ GỐC'!$A$5:$D$254,3,FALSE()),""))</f>
        <v/>
      </c>
      <c r="K114" s="12"/>
      <c r="L114" s="13" t="str">
        <f aca="false">IF($C114="","",N($I114)*N($K114))</f>
        <v/>
      </c>
      <c r="M114" s="11"/>
      <c r="N114" s="14" t="str">
        <f aca="false">IF($C114="","",IF($M114="VAT 5%",0.05,IF($M114="VAT 8%",0.08,IF($M114="VAT 10%",0.1,0))))</f>
        <v/>
      </c>
      <c r="O114" s="13" t="str">
        <f aca="false">IF($C114="","",$L114*$N114)</f>
        <v/>
      </c>
      <c r="P114" s="13" t="str">
        <f aca="false">IF($C114="","",$L114+$O114)</f>
        <v/>
      </c>
      <c r="Q114" s="12"/>
      <c r="R114" s="13" t="str">
        <f aca="false">IF($C114="","",MAX(0,$P114-N($Q114)))</f>
        <v/>
      </c>
      <c r="S114" s="23" t="str">
        <f aca="false">IF(OR($C114="",$P114=0),"",IF(N($Q114)&lt;=0,"Chưa thanh toán",IF(N($Q114)&lt;$P114,"Thanh toán một phần","Đã thanh toán")))</f>
        <v/>
      </c>
      <c r="T114" s="13" t="str">
        <f aca="false">IF(OR($C114="",$J114=""),"",N($I114)*$J114)</f>
        <v/>
      </c>
      <c r="U114" s="13" t="str">
        <f aca="false">IF(OR($C114="",$T114=""),"",$L114-$T114)</f>
        <v/>
      </c>
      <c r="V114" s="14" t="str">
        <f aca="false">IF(OR($U114="",$L114=0),"",$U114/$L114)</f>
        <v/>
      </c>
      <c r="W114" s="11"/>
      <c r="X114" s="23" t="str">
        <f aca="false">IF($C114="","",IF(AND($H114="",N($I114)=0,N($K114)=0),"Dòng chỉ lưu thông tin khách (chưa có đơn); ",IF($B114="","Thiếu ngày đặt; ","")&amp;IF($H114="","Thiếu tên sản phẩm; ",IF($J114="","Chưa khai GIÁ GỐC ở BẢNG GIÁ GỐC; ",""))&amp;IF(N($I114)&lt;=0,"Thiếu số lượng; ","")&amp;IF(N($K114)&lt;=0,"Thiếu giá bán; ","")&amp;IF(AND($N114&gt;0,$F114=""),"Khách lấy VAT thiếu mã số thuế; ","")&amp;IF(N($Q114)&gt;$P114,"Đã thu vượt tổng phải thu; ","")&amp;IF(AND($L114&gt;0,$U114&lt;&gt;"",$U114&lt;0),"CẢNH BÁO: ĐƠN NÀY ĐANG LỖ; ","")))</f>
        <v/>
      </c>
    </row>
    <row r="115" customFormat="false" ht="15" hidden="false" customHeight="false" outlineLevel="0" collapsed="false">
      <c r="A115" s="21" t="str">
        <f aca="false">IF($C115="","",COUNTA($C$10:$C115))</f>
        <v/>
      </c>
      <c r="B115" s="18"/>
      <c r="C115" s="11"/>
      <c r="D115" s="11"/>
      <c r="E115" s="11"/>
      <c r="F115" s="11"/>
      <c r="G115" s="11"/>
      <c r="H115" s="11"/>
      <c r="I115" s="12"/>
      <c r="J115" s="13" t="str">
        <f aca="false">IF($H115="","",IFERROR(VLOOKUP($H115,'BẢNG GIÁ GỐC'!$A$5:$D$254,3,FALSE()),""))</f>
        <v/>
      </c>
      <c r="K115" s="12"/>
      <c r="L115" s="13" t="str">
        <f aca="false">IF($C115="","",N($I115)*N($K115))</f>
        <v/>
      </c>
      <c r="M115" s="11"/>
      <c r="N115" s="14" t="str">
        <f aca="false">IF($C115="","",IF($M115="VAT 5%",0.05,IF($M115="VAT 8%",0.08,IF($M115="VAT 10%",0.1,0))))</f>
        <v/>
      </c>
      <c r="O115" s="13" t="str">
        <f aca="false">IF($C115="","",$L115*$N115)</f>
        <v/>
      </c>
      <c r="P115" s="13" t="str">
        <f aca="false">IF($C115="","",$L115+$O115)</f>
        <v/>
      </c>
      <c r="Q115" s="12"/>
      <c r="R115" s="13" t="str">
        <f aca="false">IF($C115="","",MAX(0,$P115-N($Q115)))</f>
        <v/>
      </c>
      <c r="S115" s="23" t="str">
        <f aca="false">IF(OR($C115="",$P115=0),"",IF(N($Q115)&lt;=0,"Chưa thanh toán",IF(N($Q115)&lt;$P115,"Thanh toán một phần","Đã thanh toán")))</f>
        <v/>
      </c>
      <c r="T115" s="13" t="str">
        <f aca="false">IF(OR($C115="",$J115=""),"",N($I115)*$J115)</f>
        <v/>
      </c>
      <c r="U115" s="13" t="str">
        <f aca="false">IF(OR($C115="",$T115=""),"",$L115-$T115)</f>
        <v/>
      </c>
      <c r="V115" s="14" t="str">
        <f aca="false">IF(OR($U115="",$L115=0),"",$U115/$L115)</f>
        <v/>
      </c>
      <c r="W115" s="11"/>
      <c r="X115" s="23" t="str">
        <f aca="false">IF($C115="","",IF(AND($H115="",N($I115)=0,N($K115)=0),"Dòng chỉ lưu thông tin khách (chưa có đơn); ",IF($B115="","Thiếu ngày đặt; ","")&amp;IF($H115="","Thiếu tên sản phẩm; ",IF($J115="","Chưa khai GIÁ GỐC ở BẢNG GIÁ GỐC; ",""))&amp;IF(N($I115)&lt;=0,"Thiếu số lượng; ","")&amp;IF(N($K115)&lt;=0,"Thiếu giá bán; ","")&amp;IF(AND($N115&gt;0,$F115=""),"Khách lấy VAT thiếu mã số thuế; ","")&amp;IF(N($Q115)&gt;$P115,"Đã thu vượt tổng phải thu; ","")&amp;IF(AND($L115&gt;0,$U115&lt;&gt;"",$U115&lt;0),"CẢNH BÁO: ĐƠN NÀY ĐANG LỖ; ","")))</f>
        <v/>
      </c>
    </row>
    <row r="116" customFormat="false" ht="15" hidden="false" customHeight="false" outlineLevel="0" collapsed="false">
      <c r="A116" s="21" t="str">
        <f aca="false">IF($C116="","",COUNTA($C$10:$C116))</f>
        <v/>
      </c>
      <c r="B116" s="18"/>
      <c r="C116" s="11"/>
      <c r="D116" s="11"/>
      <c r="E116" s="11"/>
      <c r="F116" s="11"/>
      <c r="G116" s="11"/>
      <c r="H116" s="11"/>
      <c r="I116" s="12"/>
      <c r="J116" s="13" t="str">
        <f aca="false">IF($H116="","",IFERROR(VLOOKUP($H116,'BẢNG GIÁ GỐC'!$A$5:$D$254,3,FALSE()),""))</f>
        <v/>
      </c>
      <c r="K116" s="12"/>
      <c r="L116" s="13" t="str">
        <f aca="false">IF($C116="","",N($I116)*N($K116))</f>
        <v/>
      </c>
      <c r="M116" s="11"/>
      <c r="N116" s="14" t="str">
        <f aca="false">IF($C116="","",IF($M116="VAT 5%",0.05,IF($M116="VAT 8%",0.08,IF($M116="VAT 10%",0.1,0))))</f>
        <v/>
      </c>
      <c r="O116" s="13" t="str">
        <f aca="false">IF($C116="","",$L116*$N116)</f>
        <v/>
      </c>
      <c r="P116" s="13" t="str">
        <f aca="false">IF($C116="","",$L116+$O116)</f>
        <v/>
      </c>
      <c r="Q116" s="12"/>
      <c r="R116" s="13" t="str">
        <f aca="false">IF($C116="","",MAX(0,$P116-N($Q116)))</f>
        <v/>
      </c>
      <c r="S116" s="23" t="str">
        <f aca="false">IF(OR($C116="",$P116=0),"",IF(N($Q116)&lt;=0,"Chưa thanh toán",IF(N($Q116)&lt;$P116,"Thanh toán một phần","Đã thanh toán")))</f>
        <v/>
      </c>
      <c r="T116" s="13" t="str">
        <f aca="false">IF(OR($C116="",$J116=""),"",N($I116)*$J116)</f>
        <v/>
      </c>
      <c r="U116" s="13" t="str">
        <f aca="false">IF(OR($C116="",$T116=""),"",$L116-$T116)</f>
        <v/>
      </c>
      <c r="V116" s="14" t="str">
        <f aca="false">IF(OR($U116="",$L116=0),"",$U116/$L116)</f>
        <v/>
      </c>
      <c r="W116" s="11"/>
      <c r="X116" s="23" t="str">
        <f aca="false">IF($C116="","",IF(AND($H116="",N($I116)=0,N($K116)=0),"Dòng chỉ lưu thông tin khách (chưa có đơn); ",IF($B116="","Thiếu ngày đặt; ","")&amp;IF($H116="","Thiếu tên sản phẩm; ",IF($J116="","Chưa khai GIÁ GỐC ở BẢNG GIÁ GỐC; ",""))&amp;IF(N($I116)&lt;=0,"Thiếu số lượng; ","")&amp;IF(N($K116)&lt;=0,"Thiếu giá bán; ","")&amp;IF(AND($N116&gt;0,$F116=""),"Khách lấy VAT thiếu mã số thuế; ","")&amp;IF(N($Q116)&gt;$P116,"Đã thu vượt tổng phải thu; ","")&amp;IF(AND($L116&gt;0,$U116&lt;&gt;"",$U116&lt;0),"CẢNH BÁO: ĐƠN NÀY ĐANG LỖ; ","")))</f>
        <v/>
      </c>
    </row>
    <row r="117" customFormat="false" ht="15" hidden="false" customHeight="false" outlineLevel="0" collapsed="false">
      <c r="A117" s="21" t="str">
        <f aca="false">IF($C117="","",COUNTA($C$10:$C117))</f>
        <v/>
      </c>
      <c r="B117" s="18"/>
      <c r="C117" s="11"/>
      <c r="D117" s="11"/>
      <c r="E117" s="11"/>
      <c r="F117" s="11"/>
      <c r="G117" s="11"/>
      <c r="H117" s="11"/>
      <c r="I117" s="12"/>
      <c r="J117" s="13" t="str">
        <f aca="false">IF($H117="","",IFERROR(VLOOKUP($H117,'BẢNG GIÁ GỐC'!$A$5:$D$254,3,FALSE()),""))</f>
        <v/>
      </c>
      <c r="K117" s="12"/>
      <c r="L117" s="13" t="str">
        <f aca="false">IF($C117="","",N($I117)*N($K117))</f>
        <v/>
      </c>
      <c r="M117" s="11"/>
      <c r="N117" s="14" t="str">
        <f aca="false">IF($C117="","",IF($M117="VAT 5%",0.05,IF($M117="VAT 8%",0.08,IF($M117="VAT 10%",0.1,0))))</f>
        <v/>
      </c>
      <c r="O117" s="13" t="str">
        <f aca="false">IF($C117="","",$L117*$N117)</f>
        <v/>
      </c>
      <c r="P117" s="13" t="str">
        <f aca="false">IF($C117="","",$L117+$O117)</f>
        <v/>
      </c>
      <c r="Q117" s="12"/>
      <c r="R117" s="13" t="str">
        <f aca="false">IF($C117="","",MAX(0,$P117-N($Q117)))</f>
        <v/>
      </c>
      <c r="S117" s="23" t="str">
        <f aca="false">IF(OR($C117="",$P117=0),"",IF(N($Q117)&lt;=0,"Chưa thanh toán",IF(N($Q117)&lt;$P117,"Thanh toán một phần","Đã thanh toán")))</f>
        <v/>
      </c>
      <c r="T117" s="13" t="str">
        <f aca="false">IF(OR($C117="",$J117=""),"",N($I117)*$J117)</f>
        <v/>
      </c>
      <c r="U117" s="13" t="str">
        <f aca="false">IF(OR($C117="",$T117=""),"",$L117-$T117)</f>
        <v/>
      </c>
      <c r="V117" s="14" t="str">
        <f aca="false">IF(OR($U117="",$L117=0),"",$U117/$L117)</f>
        <v/>
      </c>
      <c r="W117" s="11"/>
      <c r="X117" s="23" t="str">
        <f aca="false">IF($C117="","",IF(AND($H117="",N($I117)=0,N($K117)=0),"Dòng chỉ lưu thông tin khách (chưa có đơn); ",IF($B117="","Thiếu ngày đặt; ","")&amp;IF($H117="","Thiếu tên sản phẩm; ",IF($J117="","Chưa khai GIÁ GỐC ở BẢNG GIÁ GỐC; ",""))&amp;IF(N($I117)&lt;=0,"Thiếu số lượng; ","")&amp;IF(N($K117)&lt;=0,"Thiếu giá bán; ","")&amp;IF(AND($N117&gt;0,$F117=""),"Khách lấy VAT thiếu mã số thuế; ","")&amp;IF(N($Q117)&gt;$P117,"Đã thu vượt tổng phải thu; ","")&amp;IF(AND($L117&gt;0,$U117&lt;&gt;"",$U117&lt;0),"CẢNH BÁO: ĐƠN NÀY ĐANG LỖ; ","")))</f>
        <v/>
      </c>
    </row>
    <row r="118" customFormat="false" ht="15" hidden="false" customHeight="false" outlineLevel="0" collapsed="false">
      <c r="A118" s="21" t="str">
        <f aca="false">IF($C118="","",COUNTA($C$10:$C118))</f>
        <v/>
      </c>
      <c r="B118" s="18"/>
      <c r="C118" s="11"/>
      <c r="D118" s="11"/>
      <c r="E118" s="11"/>
      <c r="F118" s="11"/>
      <c r="G118" s="11"/>
      <c r="H118" s="11"/>
      <c r="I118" s="12"/>
      <c r="J118" s="13" t="str">
        <f aca="false">IF($H118="","",IFERROR(VLOOKUP($H118,'BẢNG GIÁ GỐC'!$A$5:$D$254,3,FALSE()),""))</f>
        <v/>
      </c>
      <c r="K118" s="12"/>
      <c r="L118" s="13" t="str">
        <f aca="false">IF($C118="","",N($I118)*N($K118))</f>
        <v/>
      </c>
      <c r="M118" s="11"/>
      <c r="N118" s="14" t="str">
        <f aca="false">IF($C118="","",IF($M118="VAT 5%",0.05,IF($M118="VAT 8%",0.08,IF($M118="VAT 10%",0.1,0))))</f>
        <v/>
      </c>
      <c r="O118" s="13" t="str">
        <f aca="false">IF($C118="","",$L118*$N118)</f>
        <v/>
      </c>
      <c r="P118" s="13" t="str">
        <f aca="false">IF($C118="","",$L118+$O118)</f>
        <v/>
      </c>
      <c r="Q118" s="12"/>
      <c r="R118" s="13" t="str">
        <f aca="false">IF($C118="","",MAX(0,$P118-N($Q118)))</f>
        <v/>
      </c>
      <c r="S118" s="23" t="str">
        <f aca="false">IF(OR($C118="",$P118=0),"",IF(N($Q118)&lt;=0,"Chưa thanh toán",IF(N($Q118)&lt;$P118,"Thanh toán một phần","Đã thanh toán")))</f>
        <v/>
      </c>
      <c r="T118" s="13" t="str">
        <f aca="false">IF(OR($C118="",$J118=""),"",N($I118)*$J118)</f>
        <v/>
      </c>
      <c r="U118" s="13" t="str">
        <f aca="false">IF(OR($C118="",$T118=""),"",$L118-$T118)</f>
        <v/>
      </c>
      <c r="V118" s="14" t="str">
        <f aca="false">IF(OR($U118="",$L118=0),"",$U118/$L118)</f>
        <v/>
      </c>
      <c r="W118" s="11"/>
      <c r="X118" s="23" t="str">
        <f aca="false">IF($C118="","",IF(AND($H118="",N($I118)=0,N($K118)=0),"Dòng chỉ lưu thông tin khách (chưa có đơn); ",IF($B118="","Thiếu ngày đặt; ","")&amp;IF($H118="","Thiếu tên sản phẩm; ",IF($J118="","Chưa khai GIÁ GỐC ở BẢNG GIÁ GỐC; ",""))&amp;IF(N($I118)&lt;=0,"Thiếu số lượng; ","")&amp;IF(N($K118)&lt;=0,"Thiếu giá bán; ","")&amp;IF(AND($N118&gt;0,$F118=""),"Khách lấy VAT thiếu mã số thuế; ","")&amp;IF(N($Q118)&gt;$P118,"Đã thu vượt tổng phải thu; ","")&amp;IF(AND($L118&gt;0,$U118&lt;&gt;"",$U118&lt;0),"CẢNH BÁO: ĐƠN NÀY ĐANG LỖ; ","")))</f>
        <v/>
      </c>
    </row>
    <row r="119" customFormat="false" ht="15" hidden="false" customHeight="false" outlineLevel="0" collapsed="false">
      <c r="A119" s="21" t="str">
        <f aca="false">IF($C119="","",COUNTA($C$10:$C119))</f>
        <v/>
      </c>
      <c r="B119" s="18"/>
      <c r="C119" s="11"/>
      <c r="D119" s="11"/>
      <c r="E119" s="11"/>
      <c r="F119" s="11"/>
      <c r="G119" s="11"/>
      <c r="H119" s="11"/>
      <c r="I119" s="12"/>
      <c r="J119" s="13" t="str">
        <f aca="false">IF($H119="","",IFERROR(VLOOKUP($H119,'BẢNG GIÁ GỐC'!$A$5:$D$254,3,FALSE()),""))</f>
        <v/>
      </c>
      <c r="K119" s="12"/>
      <c r="L119" s="13" t="str">
        <f aca="false">IF($C119="","",N($I119)*N($K119))</f>
        <v/>
      </c>
      <c r="M119" s="11"/>
      <c r="N119" s="14" t="str">
        <f aca="false">IF($C119="","",IF($M119="VAT 5%",0.05,IF($M119="VAT 8%",0.08,IF($M119="VAT 10%",0.1,0))))</f>
        <v/>
      </c>
      <c r="O119" s="13" t="str">
        <f aca="false">IF($C119="","",$L119*$N119)</f>
        <v/>
      </c>
      <c r="P119" s="13" t="str">
        <f aca="false">IF($C119="","",$L119+$O119)</f>
        <v/>
      </c>
      <c r="Q119" s="12"/>
      <c r="R119" s="13" t="str">
        <f aca="false">IF($C119="","",MAX(0,$P119-N($Q119)))</f>
        <v/>
      </c>
      <c r="S119" s="23" t="str">
        <f aca="false">IF(OR($C119="",$P119=0),"",IF(N($Q119)&lt;=0,"Chưa thanh toán",IF(N($Q119)&lt;$P119,"Thanh toán một phần","Đã thanh toán")))</f>
        <v/>
      </c>
      <c r="T119" s="13" t="str">
        <f aca="false">IF(OR($C119="",$J119=""),"",N($I119)*$J119)</f>
        <v/>
      </c>
      <c r="U119" s="13" t="str">
        <f aca="false">IF(OR($C119="",$T119=""),"",$L119-$T119)</f>
        <v/>
      </c>
      <c r="V119" s="14" t="str">
        <f aca="false">IF(OR($U119="",$L119=0),"",$U119/$L119)</f>
        <v/>
      </c>
      <c r="W119" s="11"/>
      <c r="X119" s="23" t="str">
        <f aca="false">IF($C119="","",IF(AND($H119="",N($I119)=0,N($K119)=0),"Dòng chỉ lưu thông tin khách (chưa có đơn); ",IF($B119="","Thiếu ngày đặt; ","")&amp;IF($H119="","Thiếu tên sản phẩm; ",IF($J119="","Chưa khai GIÁ GỐC ở BẢNG GIÁ GỐC; ",""))&amp;IF(N($I119)&lt;=0,"Thiếu số lượng; ","")&amp;IF(N($K119)&lt;=0,"Thiếu giá bán; ","")&amp;IF(AND($N119&gt;0,$F119=""),"Khách lấy VAT thiếu mã số thuế; ","")&amp;IF(N($Q119)&gt;$P119,"Đã thu vượt tổng phải thu; ","")&amp;IF(AND($L119&gt;0,$U119&lt;&gt;"",$U119&lt;0),"CẢNH BÁO: ĐƠN NÀY ĐANG LỖ; ","")))</f>
        <v/>
      </c>
    </row>
    <row r="120" customFormat="false" ht="15" hidden="false" customHeight="false" outlineLevel="0" collapsed="false">
      <c r="A120" s="21" t="str">
        <f aca="false">IF($C120="","",COUNTA($C$10:$C120))</f>
        <v/>
      </c>
      <c r="B120" s="18"/>
      <c r="C120" s="11"/>
      <c r="D120" s="11"/>
      <c r="E120" s="11"/>
      <c r="F120" s="11"/>
      <c r="G120" s="11"/>
      <c r="H120" s="11"/>
      <c r="I120" s="12"/>
      <c r="J120" s="13" t="str">
        <f aca="false">IF($H120="","",IFERROR(VLOOKUP($H120,'BẢNG GIÁ GỐC'!$A$5:$D$254,3,FALSE()),""))</f>
        <v/>
      </c>
      <c r="K120" s="12"/>
      <c r="L120" s="13" t="str">
        <f aca="false">IF($C120="","",N($I120)*N($K120))</f>
        <v/>
      </c>
      <c r="M120" s="11"/>
      <c r="N120" s="14" t="str">
        <f aca="false">IF($C120="","",IF($M120="VAT 5%",0.05,IF($M120="VAT 8%",0.08,IF($M120="VAT 10%",0.1,0))))</f>
        <v/>
      </c>
      <c r="O120" s="13" t="str">
        <f aca="false">IF($C120="","",$L120*$N120)</f>
        <v/>
      </c>
      <c r="P120" s="13" t="str">
        <f aca="false">IF($C120="","",$L120+$O120)</f>
        <v/>
      </c>
      <c r="Q120" s="12"/>
      <c r="R120" s="13" t="str">
        <f aca="false">IF($C120="","",MAX(0,$P120-N($Q120)))</f>
        <v/>
      </c>
      <c r="S120" s="23" t="str">
        <f aca="false">IF(OR($C120="",$P120=0),"",IF(N($Q120)&lt;=0,"Chưa thanh toán",IF(N($Q120)&lt;$P120,"Thanh toán một phần","Đã thanh toán")))</f>
        <v/>
      </c>
      <c r="T120" s="13" t="str">
        <f aca="false">IF(OR($C120="",$J120=""),"",N($I120)*$J120)</f>
        <v/>
      </c>
      <c r="U120" s="13" t="str">
        <f aca="false">IF(OR($C120="",$T120=""),"",$L120-$T120)</f>
        <v/>
      </c>
      <c r="V120" s="14" t="str">
        <f aca="false">IF(OR($U120="",$L120=0),"",$U120/$L120)</f>
        <v/>
      </c>
      <c r="W120" s="11"/>
      <c r="X120" s="23" t="str">
        <f aca="false">IF($C120="","",IF(AND($H120="",N($I120)=0,N($K120)=0),"Dòng chỉ lưu thông tin khách (chưa có đơn); ",IF($B120="","Thiếu ngày đặt; ","")&amp;IF($H120="","Thiếu tên sản phẩm; ",IF($J120="","Chưa khai GIÁ GỐC ở BẢNG GIÁ GỐC; ",""))&amp;IF(N($I120)&lt;=0,"Thiếu số lượng; ","")&amp;IF(N($K120)&lt;=0,"Thiếu giá bán; ","")&amp;IF(AND($N120&gt;0,$F120=""),"Khách lấy VAT thiếu mã số thuế; ","")&amp;IF(N($Q120)&gt;$P120,"Đã thu vượt tổng phải thu; ","")&amp;IF(AND($L120&gt;0,$U120&lt;&gt;"",$U120&lt;0),"CẢNH BÁO: ĐƠN NÀY ĐANG LỖ; ","")))</f>
        <v/>
      </c>
    </row>
    <row r="121" customFormat="false" ht="15" hidden="false" customHeight="false" outlineLevel="0" collapsed="false">
      <c r="A121" s="21" t="str">
        <f aca="false">IF($C121="","",COUNTA($C$10:$C121))</f>
        <v/>
      </c>
      <c r="B121" s="18"/>
      <c r="C121" s="11"/>
      <c r="D121" s="11"/>
      <c r="E121" s="11"/>
      <c r="F121" s="11"/>
      <c r="G121" s="11"/>
      <c r="H121" s="11"/>
      <c r="I121" s="12"/>
      <c r="J121" s="13" t="str">
        <f aca="false">IF($H121="","",IFERROR(VLOOKUP($H121,'BẢNG GIÁ GỐC'!$A$5:$D$254,3,FALSE()),""))</f>
        <v/>
      </c>
      <c r="K121" s="12"/>
      <c r="L121" s="13" t="str">
        <f aca="false">IF($C121="","",N($I121)*N($K121))</f>
        <v/>
      </c>
      <c r="M121" s="11"/>
      <c r="N121" s="14" t="str">
        <f aca="false">IF($C121="","",IF($M121="VAT 5%",0.05,IF($M121="VAT 8%",0.08,IF($M121="VAT 10%",0.1,0))))</f>
        <v/>
      </c>
      <c r="O121" s="13" t="str">
        <f aca="false">IF($C121="","",$L121*$N121)</f>
        <v/>
      </c>
      <c r="P121" s="13" t="str">
        <f aca="false">IF($C121="","",$L121+$O121)</f>
        <v/>
      </c>
      <c r="Q121" s="12"/>
      <c r="R121" s="13" t="str">
        <f aca="false">IF($C121="","",MAX(0,$P121-N($Q121)))</f>
        <v/>
      </c>
      <c r="S121" s="23" t="str">
        <f aca="false">IF(OR($C121="",$P121=0),"",IF(N($Q121)&lt;=0,"Chưa thanh toán",IF(N($Q121)&lt;$P121,"Thanh toán một phần","Đã thanh toán")))</f>
        <v/>
      </c>
      <c r="T121" s="13" t="str">
        <f aca="false">IF(OR($C121="",$J121=""),"",N($I121)*$J121)</f>
        <v/>
      </c>
      <c r="U121" s="13" t="str">
        <f aca="false">IF(OR($C121="",$T121=""),"",$L121-$T121)</f>
        <v/>
      </c>
      <c r="V121" s="14" t="str">
        <f aca="false">IF(OR($U121="",$L121=0),"",$U121/$L121)</f>
        <v/>
      </c>
      <c r="W121" s="11"/>
      <c r="X121" s="23" t="str">
        <f aca="false">IF($C121="","",IF(AND($H121="",N($I121)=0,N($K121)=0),"Dòng chỉ lưu thông tin khách (chưa có đơn); ",IF($B121="","Thiếu ngày đặt; ","")&amp;IF($H121="","Thiếu tên sản phẩm; ",IF($J121="","Chưa khai GIÁ GỐC ở BẢNG GIÁ GỐC; ",""))&amp;IF(N($I121)&lt;=0,"Thiếu số lượng; ","")&amp;IF(N($K121)&lt;=0,"Thiếu giá bán; ","")&amp;IF(AND($N121&gt;0,$F121=""),"Khách lấy VAT thiếu mã số thuế; ","")&amp;IF(N($Q121)&gt;$P121,"Đã thu vượt tổng phải thu; ","")&amp;IF(AND($L121&gt;0,$U121&lt;&gt;"",$U121&lt;0),"CẢNH BÁO: ĐƠN NÀY ĐANG LỖ; ","")))</f>
        <v/>
      </c>
    </row>
    <row r="122" customFormat="false" ht="15" hidden="false" customHeight="false" outlineLevel="0" collapsed="false">
      <c r="A122" s="21" t="str">
        <f aca="false">IF($C122="","",COUNTA($C$10:$C122))</f>
        <v/>
      </c>
      <c r="B122" s="18"/>
      <c r="C122" s="11"/>
      <c r="D122" s="11"/>
      <c r="E122" s="11"/>
      <c r="F122" s="11"/>
      <c r="G122" s="11"/>
      <c r="H122" s="11"/>
      <c r="I122" s="12"/>
      <c r="J122" s="13" t="str">
        <f aca="false">IF($H122="","",IFERROR(VLOOKUP($H122,'BẢNG GIÁ GỐC'!$A$5:$D$254,3,FALSE()),""))</f>
        <v/>
      </c>
      <c r="K122" s="12"/>
      <c r="L122" s="13" t="str">
        <f aca="false">IF($C122="","",N($I122)*N($K122))</f>
        <v/>
      </c>
      <c r="M122" s="11"/>
      <c r="N122" s="14" t="str">
        <f aca="false">IF($C122="","",IF($M122="VAT 5%",0.05,IF($M122="VAT 8%",0.08,IF($M122="VAT 10%",0.1,0))))</f>
        <v/>
      </c>
      <c r="O122" s="13" t="str">
        <f aca="false">IF($C122="","",$L122*$N122)</f>
        <v/>
      </c>
      <c r="P122" s="13" t="str">
        <f aca="false">IF($C122="","",$L122+$O122)</f>
        <v/>
      </c>
      <c r="Q122" s="12"/>
      <c r="R122" s="13" t="str">
        <f aca="false">IF($C122="","",MAX(0,$P122-N($Q122)))</f>
        <v/>
      </c>
      <c r="S122" s="23" t="str">
        <f aca="false">IF(OR($C122="",$P122=0),"",IF(N($Q122)&lt;=0,"Chưa thanh toán",IF(N($Q122)&lt;$P122,"Thanh toán một phần","Đã thanh toán")))</f>
        <v/>
      </c>
      <c r="T122" s="13" t="str">
        <f aca="false">IF(OR($C122="",$J122=""),"",N($I122)*$J122)</f>
        <v/>
      </c>
      <c r="U122" s="13" t="str">
        <f aca="false">IF(OR($C122="",$T122=""),"",$L122-$T122)</f>
        <v/>
      </c>
      <c r="V122" s="14" t="str">
        <f aca="false">IF(OR($U122="",$L122=0),"",$U122/$L122)</f>
        <v/>
      </c>
      <c r="W122" s="11"/>
      <c r="X122" s="23" t="str">
        <f aca="false">IF($C122="","",IF(AND($H122="",N($I122)=0,N($K122)=0),"Dòng chỉ lưu thông tin khách (chưa có đơn); ",IF($B122="","Thiếu ngày đặt; ","")&amp;IF($H122="","Thiếu tên sản phẩm; ",IF($J122="","Chưa khai GIÁ GỐC ở BẢNG GIÁ GỐC; ",""))&amp;IF(N($I122)&lt;=0,"Thiếu số lượng; ","")&amp;IF(N($K122)&lt;=0,"Thiếu giá bán; ","")&amp;IF(AND($N122&gt;0,$F122=""),"Khách lấy VAT thiếu mã số thuế; ","")&amp;IF(N($Q122)&gt;$P122,"Đã thu vượt tổng phải thu; ","")&amp;IF(AND($L122&gt;0,$U122&lt;&gt;"",$U122&lt;0),"CẢNH BÁO: ĐƠN NÀY ĐANG LỖ; ","")))</f>
        <v/>
      </c>
    </row>
    <row r="123" customFormat="false" ht="15" hidden="false" customHeight="false" outlineLevel="0" collapsed="false">
      <c r="A123" s="21" t="str">
        <f aca="false">IF($C123="","",COUNTA($C$10:$C123))</f>
        <v/>
      </c>
      <c r="B123" s="18"/>
      <c r="C123" s="11"/>
      <c r="D123" s="11"/>
      <c r="E123" s="11"/>
      <c r="F123" s="11"/>
      <c r="G123" s="11"/>
      <c r="H123" s="11"/>
      <c r="I123" s="12"/>
      <c r="J123" s="13" t="str">
        <f aca="false">IF($H123="","",IFERROR(VLOOKUP($H123,'BẢNG GIÁ GỐC'!$A$5:$D$254,3,FALSE()),""))</f>
        <v/>
      </c>
      <c r="K123" s="12"/>
      <c r="L123" s="13" t="str">
        <f aca="false">IF($C123="","",N($I123)*N($K123))</f>
        <v/>
      </c>
      <c r="M123" s="11"/>
      <c r="N123" s="14" t="str">
        <f aca="false">IF($C123="","",IF($M123="VAT 5%",0.05,IF($M123="VAT 8%",0.08,IF($M123="VAT 10%",0.1,0))))</f>
        <v/>
      </c>
      <c r="O123" s="13" t="str">
        <f aca="false">IF($C123="","",$L123*$N123)</f>
        <v/>
      </c>
      <c r="P123" s="13" t="str">
        <f aca="false">IF($C123="","",$L123+$O123)</f>
        <v/>
      </c>
      <c r="Q123" s="12"/>
      <c r="R123" s="13" t="str">
        <f aca="false">IF($C123="","",MAX(0,$P123-N($Q123)))</f>
        <v/>
      </c>
      <c r="S123" s="23" t="str">
        <f aca="false">IF(OR($C123="",$P123=0),"",IF(N($Q123)&lt;=0,"Chưa thanh toán",IF(N($Q123)&lt;$P123,"Thanh toán một phần","Đã thanh toán")))</f>
        <v/>
      </c>
      <c r="T123" s="13" t="str">
        <f aca="false">IF(OR($C123="",$J123=""),"",N($I123)*$J123)</f>
        <v/>
      </c>
      <c r="U123" s="13" t="str">
        <f aca="false">IF(OR($C123="",$T123=""),"",$L123-$T123)</f>
        <v/>
      </c>
      <c r="V123" s="14" t="str">
        <f aca="false">IF(OR($U123="",$L123=0),"",$U123/$L123)</f>
        <v/>
      </c>
      <c r="W123" s="11"/>
      <c r="X123" s="23" t="str">
        <f aca="false">IF($C123="","",IF(AND($H123="",N($I123)=0,N($K123)=0),"Dòng chỉ lưu thông tin khách (chưa có đơn); ",IF($B123="","Thiếu ngày đặt; ","")&amp;IF($H123="","Thiếu tên sản phẩm; ",IF($J123="","Chưa khai GIÁ GỐC ở BẢNG GIÁ GỐC; ",""))&amp;IF(N($I123)&lt;=0,"Thiếu số lượng; ","")&amp;IF(N($K123)&lt;=0,"Thiếu giá bán; ","")&amp;IF(AND($N123&gt;0,$F123=""),"Khách lấy VAT thiếu mã số thuế; ","")&amp;IF(N($Q123)&gt;$P123,"Đã thu vượt tổng phải thu; ","")&amp;IF(AND($L123&gt;0,$U123&lt;&gt;"",$U123&lt;0),"CẢNH BÁO: ĐƠN NÀY ĐANG LỖ; ","")))</f>
        <v/>
      </c>
    </row>
    <row r="124" customFormat="false" ht="15" hidden="false" customHeight="false" outlineLevel="0" collapsed="false">
      <c r="A124" s="21" t="str">
        <f aca="false">IF($C124="","",COUNTA($C$10:$C124))</f>
        <v/>
      </c>
      <c r="B124" s="18"/>
      <c r="C124" s="11"/>
      <c r="D124" s="11"/>
      <c r="E124" s="11"/>
      <c r="F124" s="11"/>
      <c r="G124" s="11"/>
      <c r="H124" s="11"/>
      <c r="I124" s="12"/>
      <c r="J124" s="13" t="str">
        <f aca="false">IF($H124="","",IFERROR(VLOOKUP($H124,'BẢNG GIÁ GỐC'!$A$5:$D$254,3,FALSE()),""))</f>
        <v/>
      </c>
      <c r="K124" s="12"/>
      <c r="L124" s="13" t="str">
        <f aca="false">IF($C124="","",N($I124)*N($K124))</f>
        <v/>
      </c>
      <c r="M124" s="11"/>
      <c r="N124" s="14" t="str">
        <f aca="false">IF($C124="","",IF($M124="VAT 5%",0.05,IF($M124="VAT 8%",0.08,IF($M124="VAT 10%",0.1,0))))</f>
        <v/>
      </c>
      <c r="O124" s="13" t="str">
        <f aca="false">IF($C124="","",$L124*$N124)</f>
        <v/>
      </c>
      <c r="P124" s="13" t="str">
        <f aca="false">IF($C124="","",$L124+$O124)</f>
        <v/>
      </c>
      <c r="Q124" s="12"/>
      <c r="R124" s="13" t="str">
        <f aca="false">IF($C124="","",MAX(0,$P124-N($Q124)))</f>
        <v/>
      </c>
      <c r="S124" s="23" t="str">
        <f aca="false">IF(OR($C124="",$P124=0),"",IF(N($Q124)&lt;=0,"Chưa thanh toán",IF(N($Q124)&lt;$P124,"Thanh toán một phần","Đã thanh toán")))</f>
        <v/>
      </c>
      <c r="T124" s="13" t="str">
        <f aca="false">IF(OR($C124="",$J124=""),"",N($I124)*$J124)</f>
        <v/>
      </c>
      <c r="U124" s="13" t="str">
        <f aca="false">IF(OR($C124="",$T124=""),"",$L124-$T124)</f>
        <v/>
      </c>
      <c r="V124" s="14" t="str">
        <f aca="false">IF(OR($U124="",$L124=0),"",$U124/$L124)</f>
        <v/>
      </c>
      <c r="W124" s="11"/>
      <c r="X124" s="23" t="str">
        <f aca="false">IF($C124="","",IF(AND($H124="",N($I124)=0,N($K124)=0),"Dòng chỉ lưu thông tin khách (chưa có đơn); ",IF($B124="","Thiếu ngày đặt; ","")&amp;IF($H124="","Thiếu tên sản phẩm; ",IF($J124="","Chưa khai GIÁ GỐC ở BẢNG GIÁ GỐC; ",""))&amp;IF(N($I124)&lt;=0,"Thiếu số lượng; ","")&amp;IF(N($K124)&lt;=0,"Thiếu giá bán; ","")&amp;IF(AND($N124&gt;0,$F124=""),"Khách lấy VAT thiếu mã số thuế; ","")&amp;IF(N($Q124)&gt;$P124,"Đã thu vượt tổng phải thu; ","")&amp;IF(AND($L124&gt;0,$U124&lt;&gt;"",$U124&lt;0),"CẢNH BÁO: ĐƠN NÀY ĐANG LỖ; ","")))</f>
        <v/>
      </c>
    </row>
    <row r="125" customFormat="false" ht="15" hidden="false" customHeight="false" outlineLevel="0" collapsed="false">
      <c r="A125" s="21" t="str">
        <f aca="false">IF($C125="","",COUNTA($C$10:$C125))</f>
        <v/>
      </c>
      <c r="B125" s="18"/>
      <c r="C125" s="11"/>
      <c r="D125" s="11"/>
      <c r="E125" s="11"/>
      <c r="F125" s="11"/>
      <c r="G125" s="11"/>
      <c r="H125" s="11"/>
      <c r="I125" s="12"/>
      <c r="J125" s="13" t="str">
        <f aca="false">IF($H125="","",IFERROR(VLOOKUP($H125,'BẢNG GIÁ GỐC'!$A$5:$D$254,3,FALSE()),""))</f>
        <v/>
      </c>
      <c r="K125" s="12"/>
      <c r="L125" s="13" t="str">
        <f aca="false">IF($C125="","",N($I125)*N($K125))</f>
        <v/>
      </c>
      <c r="M125" s="11"/>
      <c r="N125" s="14" t="str">
        <f aca="false">IF($C125="","",IF($M125="VAT 5%",0.05,IF($M125="VAT 8%",0.08,IF($M125="VAT 10%",0.1,0))))</f>
        <v/>
      </c>
      <c r="O125" s="13" t="str">
        <f aca="false">IF($C125="","",$L125*$N125)</f>
        <v/>
      </c>
      <c r="P125" s="13" t="str">
        <f aca="false">IF($C125="","",$L125+$O125)</f>
        <v/>
      </c>
      <c r="Q125" s="12"/>
      <c r="R125" s="13" t="str">
        <f aca="false">IF($C125="","",MAX(0,$P125-N($Q125)))</f>
        <v/>
      </c>
      <c r="S125" s="23" t="str">
        <f aca="false">IF(OR($C125="",$P125=0),"",IF(N($Q125)&lt;=0,"Chưa thanh toán",IF(N($Q125)&lt;$P125,"Thanh toán một phần","Đã thanh toán")))</f>
        <v/>
      </c>
      <c r="T125" s="13" t="str">
        <f aca="false">IF(OR($C125="",$J125=""),"",N($I125)*$J125)</f>
        <v/>
      </c>
      <c r="U125" s="13" t="str">
        <f aca="false">IF(OR($C125="",$T125=""),"",$L125-$T125)</f>
        <v/>
      </c>
      <c r="V125" s="14" t="str">
        <f aca="false">IF(OR($U125="",$L125=0),"",$U125/$L125)</f>
        <v/>
      </c>
      <c r="W125" s="11"/>
      <c r="X125" s="23" t="str">
        <f aca="false">IF($C125="","",IF(AND($H125="",N($I125)=0,N($K125)=0),"Dòng chỉ lưu thông tin khách (chưa có đơn); ",IF($B125="","Thiếu ngày đặt; ","")&amp;IF($H125="","Thiếu tên sản phẩm; ",IF($J125="","Chưa khai GIÁ GỐC ở BẢNG GIÁ GỐC; ",""))&amp;IF(N($I125)&lt;=0,"Thiếu số lượng; ","")&amp;IF(N($K125)&lt;=0,"Thiếu giá bán; ","")&amp;IF(AND($N125&gt;0,$F125=""),"Khách lấy VAT thiếu mã số thuế; ","")&amp;IF(N($Q125)&gt;$P125,"Đã thu vượt tổng phải thu; ","")&amp;IF(AND($L125&gt;0,$U125&lt;&gt;"",$U125&lt;0),"CẢNH BÁO: ĐƠN NÀY ĐANG LỖ; ","")))</f>
        <v/>
      </c>
    </row>
    <row r="126" customFormat="false" ht="15" hidden="false" customHeight="false" outlineLevel="0" collapsed="false">
      <c r="A126" s="21" t="str">
        <f aca="false">IF($C126="","",COUNTA($C$10:$C126))</f>
        <v/>
      </c>
      <c r="B126" s="18"/>
      <c r="C126" s="11"/>
      <c r="D126" s="11"/>
      <c r="E126" s="11"/>
      <c r="F126" s="11"/>
      <c r="G126" s="11"/>
      <c r="H126" s="11"/>
      <c r="I126" s="12"/>
      <c r="J126" s="13" t="str">
        <f aca="false">IF($H126="","",IFERROR(VLOOKUP($H126,'BẢNG GIÁ GỐC'!$A$5:$D$254,3,FALSE()),""))</f>
        <v/>
      </c>
      <c r="K126" s="12"/>
      <c r="L126" s="13" t="str">
        <f aca="false">IF($C126="","",N($I126)*N($K126))</f>
        <v/>
      </c>
      <c r="M126" s="11"/>
      <c r="N126" s="14" t="str">
        <f aca="false">IF($C126="","",IF($M126="VAT 5%",0.05,IF($M126="VAT 8%",0.08,IF($M126="VAT 10%",0.1,0))))</f>
        <v/>
      </c>
      <c r="O126" s="13" t="str">
        <f aca="false">IF($C126="","",$L126*$N126)</f>
        <v/>
      </c>
      <c r="P126" s="13" t="str">
        <f aca="false">IF($C126="","",$L126+$O126)</f>
        <v/>
      </c>
      <c r="Q126" s="12"/>
      <c r="R126" s="13" t="str">
        <f aca="false">IF($C126="","",MAX(0,$P126-N($Q126)))</f>
        <v/>
      </c>
      <c r="S126" s="23" t="str">
        <f aca="false">IF(OR($C126="",$P126=0),"",IF(N($Q126)&lt;=0,"Chưa thanh toán",IF(N($Q126)&lt;$P126,"Thanh toán một phần","Đã thanh toán")))</f>
        <v/>
      </c>
      <c r="T126" s="13" t="str">
        <f aca="false">IF(OR($C126="",$J126=""),"",N($I126)*$J126)</f>
        <v/>
      </c>
      <c r="U126" s="13" t="str">
        <f aca="false">IF(OR($C126="",$T126=""),"",$L126-$T126)</f>
        <v/>
      </c>
      <c r="V126" s="14" t="str">
        <f aca="false">IF(OR($U126="",$L126=0),"",$U126/$L126)</f>
        <v/>
      </c>
      <c r="W126" s="11"/>
      <c r="X126" s="23" t="str">
        <f aca="false">IF($C126="","",IF(AND($H126="",N($I126)=0,N($K126)=0),"Dòng chỉ lưu thông tin khách (chưa có đơn); ",IF($B126="","Thiếu ngày đặt; ","")&amp;IF($H126="","Thiếu tên sản phẩm; ",IF($J126="","Chưa khai GIÁ GỐC ở BẢNG GIÁ GỐC; ",""))&amp;IF(N($I126)&lt;=0,"Thiếu số lượng; ","")&amp;IF(N($K126)&lt;=0,"Thiếu giá bán; ","")&amp;IF(AND($N126&gt;0,$F126=""),"Khách lấy VAT thiếu mã số thuế; ","")&amp;IF(N($Q126)&gt;$P126,"Đã thu vượt tổng phải thu; ","")&amp;IF(AND($L126&gt;0,$U126&lt;&gt;"",$U126&lt;0),"CẢNH BÁO: ĐƠN NÀY ĐANG LỖ; ","")))</f>
        <v/>
      </c>
    </row>
    <row r="127" customFormat="false" ht="15" hidden="false" customHeight="false" outlineLevel="0" collapsed="false">
      <c r="A127" s="21" t="str">
        <f aca="false">IF($C127="","",COUNTA($C$10:$C127))</f>
        <v/>
      </c>
      <c r="B127" s="18"/>
      <c r="C127" s="11"/>
      <c r="D127" s="11"/>
      <c r="E127" s="11"/>
      <c r="F127" s="11"/>
      <c r="G127" s="11"/>
      <c r="H127" s="11"/>
      <c r="I127" s="12"/>
      <c r="J127" s="13" t="str">
        <f aca="false">IF($H127="","",IFERROR(VLOOKUP($H127,'BẢNG GIÁ GỐC'!$A$5:$D$254,3,FALSE()),""))</f>
        <v/>
      </c>
      <c r="K127" s="12"/>
      <c r="L127" s="13" t="str">
        <f aca="false">IF($C127="","",N($I127)*N($K127))</f>
        <v/>
      </c>
      <c r="M127" s="11"/>
      <c r="N127" s="14" t="str">
        <f aca="false">IF($C127="","",IF($M127="VAT 5%",0.05,IF($M127="VAT 8%",0.08,IF($M127="VAT 10%",0.1,0))))</f>
        <v/>
      </c>
      <c r="O127" s="13" t="str">
        <f aca="false">IF($C127="","",$L127*$N127)</f>
        <v/>
      </c>
      <c r="P127" s="13" t="str">
        <f aca="false">IF($C127="","",$L127+$O127)</f>
        <v/>
      </c>
      <c r="Q127" s="12"/>
      <c r="R127" s="13" t="str">
        <f aca="false">IF($C127="","",MAX(0,$P127-N($Q127)))</f>
        <v/>
      </c>
      <c r="S127" s="23" t="str">
        <f aca="false">IF(OR($C127="",$P127=0),"",IF(N($Q127)&lt;=0,"Chưa thanh toán",IF(N($Q127)&lt;$P127,"Thanh toán một phần","Đã thanh toán")))</f>
        <v/>
      </c>
      <c r="T127" s="13" t="str">
        <f aca="false">IF(OR($C127="",$J127=""),"",N($I127)*$J127)</f>
        <v/>
      </c>
      <c r="U127" s="13" t="str">
        <f aca="false">IF(OR($C127="",$T127=""),"",$L127-$T127)</f>
        <v/>
      </c>
      <c r="V127" s="14" t="str">
        <f aca="false">IF(OR($U127="",$L127=0),"",$U127/$L127)</f>
        <v/>
      </c>
      <c r="W127" s="11"/>
      <c r="X127" s="23" t="str">
        <f aca="false">IF($C127="","",IF(AND($H127="",N($I127)=0,N($K127)=0),"Dòng chỉ lưu thông tin khách (chưa có đơn); ",IF($B127="","Thiếu ngày đặt; ","")&amp;IF($H127="","Thiếu tên sản phẩm; ",IF($J127="","Chưa khai GIÁ GỐC ở BẢNG GIÁ GỐC; ",""))&amp;IF(N($I127)&lt;=0,"Thiếu số lượng; ","")&amp;IF(N($K127)&lt;=0,"Thiếu giá bán; ","")&amp;IF(AND($N127&gt;0,$F127=""),"Khách lấy VAT thiếu mã số thuế; ","")&amp;IF(N($Q127)&gt;$P127,"Đã thu vượt tổng phải thu; ","")&amp;IF(AND($L127&gt;0,$U127&lt;&gt;"",$U127&lt;0),"CẢNH BÁO: ĐƠN NÀY ĐANG LỖ; ","")))</f>
        <v/>
      </c>
    </row>
    <row r="128" customFormat="false" ht="15" hidden="false" customHeight="false" outlineLevel="0" collapsed="false">
      <c r="A128" s="21" t="str">
        <f aca="false">IF($C128="","",COUNTA($C$10:$C128))</f>
        <v/>
      </c>
      <c r="B128" s="18"/>
      <c r="C128" s="11"/>
      <c r="D128" s="11"/>
      <c r="E128" s="11"/>
      <c r="F128" s="11"/>
      <c r="G128" s="11"/>
      <c r="H128" s="11"/>
      <c r="I128" s="12"/>
      <c r="J128" s="13" t="str">
        <f aca="false">IF($H128="","",IFERROR(VLOOKUP($H128,'BẢNG GIÁ GỐC'!$A$5:$D$254,3,FALSE()),""))</f>
        <v/>
      </c>
      <c r="K128" s="12"/>
      <c r="L128" s="13" t="str">
        <f aca="false">IF($C128="","",N($I128)*N($K128))</f>
        <v/>
      </c>
      <c r="M128" s="11"/>
      <c r="N128" s="14" t="str">
        <f aca="false">IF($C128="","",IF($M128="VAT 5%",0.05,IF($M128="VAT 8%",0.08,IF($M128="VAT 10%",0.1,0))))</f>
        <v/>
      </c>
      <c r="O128" s="13" t="str">
        <f aca="false">IF($C128="","",$L128*$N128)</f>
        <v/>
      </c>
      <c r="P128" s="13" t="str">
        <f aca="false">IF($C128="","",$L128+$O128)</f>
        <v/>
      </c>
      <c r="Q128" s="12"/>
      <c r="R128" s="13" t="str">
        <f aca="false">IF($C128="","",MAX(0,$P128-N($Q128)))</f>
        <v/>
      </c>
      <c r="S128" s="23" t="str">
        <f aca="false">IF(OR($C128="",$P128=0),"",IF(N($Q128)&lt;=0,"Chưa thanh toán",IF(N($Q128)&lt;$P128,"Thanh toán một phần","Đã thanh toán")))</f>
        <v/>
      </c>
      <c r="T128" s="13" t="str">
        <f aca="false">IF(OR($C128="",$J128=""),"",N($I128)*$J128)</f>
        <v/>
      </c>
      <c r="U128" s="13" t="str">
        <f aca="false">IF(OR($C128="",$T128=""),"",$L128-$T128)</f>
        <v/>
      </c>
      <c r="V128" s="14" t="str">
        <f aca="false">IF(OR($U128="",$L128=0),"",$U128/$L128)</f>
        <v/>
      </c>
      <c r="W128" s="11"/>
      <c r="X128" s="23" t="str">
        <f aca="false">IF($C128="","",IF(AND($H128="",N($I128)=0,N($K128)=0),"Dòng chỉ lưu thông tin khách (chưa có đơn); ",IF($B128="","Thiếu ngày đặt; ","")&amp;IF($H128="","Thiếu tên sản phẩm; ",IF($J128="","Chưa khai GIÁ GỐC ở BẢNG GIÁ GỐC; ",""))&amp;IF(N($I128)&lt;=0,"Thiếu số lượng; ","")&amp;IF(N($K128)&lt;=0,"Thiếu giá bán; ","")&amp;IF(AND($N128&gt;0,$F128=""),"Khách lấy VAT thiếu mã số thuế; ","")&amp;IF(N($Q128)&gt;$P128,"Đã thu vượt tổng phải thu; ","")&amp;IF(AND($L128&gt;0,$U128&lt;&gt;"",$U128&lt;0),"CẢNH BÁO: ĐƠN NÀY ĐANG LỖ; ","")))</f>
        <v/>
      </c>
    </row>
    <row r="129" customFormat="false" ht="15" hidden="false" customHeight="false" outlineLevel="0" collapsed="false">
      <c r="A129" s="21" t="str">
        <f aca="false">IF($C129="","",COUNTA($C$10:$C129))</f>
        <v/>
      </c>
      <c r="B129" s="18"/>
      <c r="C129" s="11"/>
      <c r="D129" s="11"/>
      <c r="E129" s="11"/>
      <c r="F129" s="11"/>
      <c r="G129" s="11"/>
      <c r="H129" s="11"/>
      <c r="I129" s="12"/>
      <c r="J129" s="13" t="str">
        <f aca="false">IF($H129="","",IFERROR(VLOOKUP($H129,'BẢNG GIÁ GỐC'!$A$5:$D$254,3,FALSE()),""))</f>
        <v/>
      </c>
      <c r="K129" s="12"/>
      <c r="L129" s="13" t="str">
        <f aca="false">IF($C129="","",N($I129)*N($K129))</f>
        <v/>
      </c>
      <c r="M129" s="11"/>
      <c r="N129" s="14" t="str">
        <f aca="false">IF($C129="","",IF($M129="VAT 5%",0.05,IF($M129="VAT 8%",0.08,IF($M129="VAT 10%",0.1,0))))</f>
        <v/>
      </c>
      <c r="O129" s="13" t="str">
        <f aca="false">IF($C129="","",$L129*$N129)</f>
        <v/>
      </c>
      <c r="P129" s="13" t="str">
        <f aca="false">IF($C129="","",$L129+$O129)</f>
        <v/>
      </c>
      <c r="Q129" s="12"/>
      <c r="R129" s="13" t="str">
        <f aca="false">IF($C129="","",MAX(0,$P129-N($Q129)))</f>
        <v/>
      </c>
      <c r="S129" s="23" t="str">
        <f aca="false">IF(OR($C129="",$P129=0),"",IF(N($Q129)&lt;=0,"Chưa thanh toán",IF(N($Q129)&lt;$P129,"Thanh toán một phần","Đã thanh toán")))</f>
        <v/>
      </c>
      <c r="T129" s="13" t="str">
        <f aca="false">IF(OR($C129="",$J129=""),"",N($I129)*$J129)</f>
        <v/>
      </c>
      <c r="U129" s="13" t="str">
        <f aca="false">IF(OR($C129="",$T129=""),"",$L129-$T129)</f>
        <v/>
      </c>
      <c r="V129" s="14" t="str">
        <f aca="false">IF(OR($U129="",$L129=0),"",$U129/$L129)</f>
        <v/>
      </c>
      <c r="W129" s="11"/>
      <c r="X129" s="23" t="str">
        <f aca="false">IF($C129="","",IF(AND($H129="",N($I129)=0,N($K129)=0),"Dòng chỉ lưu thông tin khách (chưa có đơn); ",IF($B129="","Thiếu ngày đặt; ","")&amp;IF($H129="","Thiếu tên sản phẩm; ",IF($J129="","Chưa khai GIÁ GỐC ở BẢNG GIÁ GỐC; ",""))&amp;IF(N($I129)&lt;=0,"Thiếu số lượng; ","")&amp;IF(N($K129)&lt;=0,"Thiếu giá bán; ","")&amp;IF(AND($N129&gt;0,$F129=""),"Khách lấy VAT thiếu mã số thuế; ","")&amp;IF(N($Q129)&gt;$P129,"Đã thu vượt tổng phải thu; ","")&amp;IF(AND($L129&gt;0,$U129&lt;&gt;"",$U129&lt;0),"CẢNH BÁO: ĐƠN NÀY ĐANG LỖ; ","")))</f>
        <v/>
      </c>
    </row>
    <row r="130" customFormat="false" ht="15" hidden="false" customHeight="false" outlineLevel="0" collapsed="false">
      <c r="A130" s="21" t="str">
        <f aca="false">IF($C130="","",COUNTA($C$10:$C130))</f>
        <v/>
      </c>
      <c r="B130" s="18"/>
      <c r="C130" s="11"/>
      <c r="D130" s="11"/>
      <c r="E130" s="11"/>
      <c r="F130" s="11"/>
      <c r="G130" s="11"/>
      <c r="H130" s="11"/>
      <c r="I130" s="12"/>
      <c r="J130" s="13" t="str">
        <f aca="false">IF($H130="","",IFERROR(VLOOKUP($H130,'BẢNG GIÁ GỐC'!$A$5:$D$254,3,FALSE()),""))</f>
        <v/>
      </c>
      <c r="K130" s="12"/>
      <c r="L130" s="13" t="str">
        <f aca="false">IF($C130="","",N($I130)*N($K130))</f>
        <v/>
      </c>
      <c r="M130" s="11"/>
      <c r="N130" s="14" t="str">
        <f aca="false">IF($C130="","",IF($M130="VAT 5%",0.05,IF($M130="VAT 8%",0.08,IF($M130="VAT 10%",0.1,0))))</f>
        <v/>
      </c>
      <c r="O130" s="13" t="str">
        <f aca="false">IF($C130="","",$L130*$N130)</f>
        <v/>
      </c>
      <c r="P130" s="13" t="str">
        <f aca="false">IF($C130="","",$L130+$O130)</f>
        <v/>
      </c>
      <c r="Q130" s="12"/>
      <c r="R130" s="13" t="str">
        <f aca="false">IF($C130="","",MAX(0,$P130-N($Q130)))</f>
        <v/>
      </c>
      <c r="S130" s="23" t="str">
        <f aca="false">IF(OR($C130="",$P130=0),"",IF(N($Q130)&lt;=0,"Chưa thanh toán",IF(N($Q130)&lt;$P130,"Thanh toán một phần","Đã thanh toán")))</f>
        <v/>
      </c>
      <c r="T130" s="13" t="str">
        <f aca="false">IF(OR($C130="",$J130=""),"",N($I130)*$J130)</f>
        <v/>
      </c>
      <c r="U130" s="13" t="str">
        <f aca="false">IF(OR($C130="",$T130=""),"",$L130-$T130)</f>
        <v/>
      </c>
      <c r="V130" s="14" t="str">
        <f aca="false">IF(OR($U130="",$L130=0),"",$U130/$L130)</f>
        <v/>
      </c>
      <c r="W130" s="11"/>
      <c r="X130" s="23" t="str">
        <f aca="false">IF($C130="","",IF(AND($H130="",N($I130)=0,N($K130)=0),"Dòng chỉ lưu thông tin khách (chưa có đơn); ",IF($B130="","Thiếu ngày đặt; ","")&amp;IF($H130="","Thiếu tên sản phẩm; ",IF($J130="","Chưa khai GIÁ GỐC ở BẢNG GIÁ GỐC; ",""))&amp;IF(N($I130)&lt;=0,"Thiếu số lượng; ","")&amp;IF(N($K130)&lt;=0,"Thiếu giá bán; ","")&amp;IF(AND($N130&gt;0,$F130=""),"Khách lấy VAT thiếu mã số thuế; ","")&amp;IF(N($Q130)&gt;$P130,"Đã thu vượt tổng phải thu; ","")&amp;IF(AND($L130&gt;0,$U130&lt;&gt;"",$U130&lt;0),"CẢNH BÁO: ĐƠN NÀY ĐANG LỖ; ","")))</f>
        <v/>
      </c>
    </row>
    <row r="131" customFormat="false" ht="15" hidden="false" customHeight="false" outlineLevel="0" collapsed="false">
      <c r="A131" s="21" t="str">
        <f aca="false">IF($C131="","",COUNTA($C$10:$C131))</f>
        <v/>
      </c>
      <c r="B131" s="18"/>
      <c r="C131" s="11"/>
      <c r="D131" s="11"/>
      <c r="E131" s="11"/>
      <c r="F131" s="11"/>
      <c r="G131" s="11"/>
      <c r="H131" s="11"/>
      <c r="I131" s="12"/>
      <c r="J131" s="13" t="str">
        <f aca="false">IF($H131="","",IFERROR(VLOOKUP($H131,'BẢNG GIÁ GỐC'!$A$5:$D$254,3,FALSE()),""))</f>
        <v/>
      </c>
      <c r="K131" s="12"/>
      <c r="L131" s="13" t="str">
        <f aca="false">IF($C131="","",N($I131)*N($K131))</f>
        <v/>
      </c>
      <c r="M131" s="11"/>
      <c r="N131" s="14" t="str">
        <f aca="false">IF($C131="","",IF($M131="VAT 5%",0.05,IF($M131="VAT 8%",0.08,IF($M131="VAT 10%",0.1,0))))</f>
        <v/>
      </c>
      <c r="O131" s="13" t="str">
        <f aca="false">IF($C131="","",$L131*$N131)</f>
        <v/>
      </c>
      <c r="P131" s="13" t="str">
        <f aca="false">IF($C131="","",$L131+$O131)</f>
        <v/>
      </c>
      <c r="Q131" s="12"/>
      <c r="R131" s="13" t="str">
        <f aca="false">IF($C131="","",MAX(0,$P131-N($Q131)))</f>
        <v/>
      </c>
      <c r="S131" s="23" t="str">
        <f aca="false">IF(OR($C131="",$P131=0),"",IF(N($Q131)&lt;=0,"Chưa thanh toán",IF(N($Q131)&lt;$P131,"Thanh toán một phần","Đã thanh toán")))</f>
        <v/>
      </c>
      <c r="T131" s="13" t="str">
        <f aca="false">IF(OR($C131="",$J131=""),"",N($I131)*$J131)</f>
        <v/>
      </c>
      <c r="U131" s="13" t="str">
        <f aca="false">IF(OR($C131="",$T131=""),"",$L131-$T131)</f>
        <v/>
      </c>
      <c r="V131" s="14" t="str">
        <f aca="false">IF(OR($U131="",$L131=0),"",$U131/$L131)</f>
        <v/>
      </c>
      <c r="W131" s="11"/>
      <c r="X131" s="23" t="str">
        <f aca="false">IF($C131="","",IF(AND($H131="",N($I131)=0,N($K131)=0),"Dòng chỉ lưu thông tin khách (chưa có đơn); ",IF($B131="","Thiếu ngày đặt; ","")&amp;IF($H131="","Thiếu tên sản phẩm; ",IF($J131="","Chưa khai GIÁ GỐC ở BẢNG GIÁ GỐC; ",""))&amp;IF(N($I131)&lt;=0,"Thiếu số lượng; ","")&amp;IF(N($K131)&lt;=0,"Thiếu giá bán; ","")&amp;IF(AND($N131&gt;0,$F131=""),"Khách lấy VAT thiếu mã số thuế; ","")&amp;IF(N($Q131)&gt;$P131,"Đã thu vượt tổng phải thu; ","")&amp;IF(AND($L131&gt;0,$U131&lt;&gt;"",$U131&lt;0),"CẢNH BÁO: ĐƠN NÀY ĐANG LỖ; ","")))</f>
        <v/>
      </c>
    </row>
    <row r="132" customFormat="false" ht="15" hidden="false" customHeight="false" outlineLevel="0" collapsed="false">
      <c r="A132" s="21" t="str">
        <f aca="false">IF($C132="","",COUNTA($C$10:$C132))</f>
        <v/>
      </c>
      <c r="B132" s="18"/>
      <c r="C132" s="11"/>
      <c r="D132" s="11"/>
      <c r="E132" s="11"/>
      <c r="F132" s="11"/>
      <c r="G132" s="11"/>
      <c r="H132" s="11"/>
      <c r="I132" s="12"/>
      <c r="J132" s="13" t="str">
        <f aca="false">IF($H132="","",IFERROR(VLOOKUP($H132,'BẢNG GIÁ GỐC'!$A$5:$D$254,3,FALSE()),""))</f>
        <v/>
      </c>
      <c r="K132" s="12"/>
      <c r="L132" s="13" t="str">
        <f aca="false">IF($C132="","",N($I132)*N($K132))</f>
        <v/>
      </c>
      <c r="M132" s="11"/>
      <c r="N132" s="14" t="str">
        <f aca="false">IF($C132="","",IF($M132="VAT 5%",0.05,IF($M132="VAT 8%",0.08,IF($M132="VAT 10%",0.1,0))))</f>
        <v/>
      </c>
      <c r="O132" s="13" t="str">
        <f aca="false">IF($C132="","",$L132*$N132)</f>
        <v/>
      </c>
      <c r="P132" s="13" t="str">
        <f aca="false">IF($C132="","",$L132+$O132)</f>
        <v/>
      </c>
      <c r="Q132" s="12"/>
      <c r="R132" s="13" t="str">
        <f aca="false">IF($C132="","",MAX(0,$P132-N($Q132)))</f>
        <v/>
      </c>
      <c r="S132" s="23" t="str">
        <f aca="false">IF(OR($C132="",$P132=0),"",IF(N($Q132)&lt;=0,"Chưa thanh toán",IF(N($Q132)&lt;$P132,"Thanh toán một phần","Đã thanh toán")))</f>
        <v/>
      </c>
      <c r="T132" s="13" t="str">
        <f aca="false">IF(OR($C132="",$J132=""),"",N($I132)*$J132)</f>
        <v/>
      </c>
      <c r="U132" s="13" t="str">
        <f aca="false">IF(OR($C132="",$T132=""),"",$L132-$T132)</f>
        <v/>
      </c>
      <c r="V132" s="14" t="str">
        <f aca="false">IF(OR($U132="",$L132=0),"",$U132/$L132)</f>
        <v/>
      </c>
      <c r="W132" s="11"/>
      <c r="X132" s="23" t="str">
        <f aca="false">IF($C132="","",IF(AND($H132="",N($I132)=0,N($K132)=0),"Dòng chỉ lưu thông tin khách (chưa có đơn); ",IF($B132="","Thiếu ngày đặt; ","")&amp;IF($H132="","Thiếu tên sản phẩm; ",IF($J132="","Chưa khai GIÁ GỐC ở BẢNG GIÁ GỐC; ",""))&amp;IF(N($I132)&lt;=0,"Thiếu số lượng; ","")&amp;IF(N($K132)&lt;=0,"Thiếu giá bán; ","")&amp;IF(AND($N132&gt;0,$F132=""),"Khách lấy VAT thiếu mã số thuế; ","")&amp;IF(N($Q132)&gt;$P132,"Đã thu vượt tổng phải thu; ","")&amp;IF(AND($L132&gt;0,$U132&lt;&gt;"",$U132&lt;0),"CẢNH BÁO: ĐƠN NÀY ĐANG LỖ; ","")))</f>
        <v/>
      </c>
    </row>
    <row r="133" customFormat="false" ht="15" hidden="false" customHeight="false" outlineLevel="0" collapsed="false">
      <c r="A133" s="21" t="str">
        <f aca="false">IF($C133="","",COUNTA($C$10:$C133))</f>
        <v/>
      </c>
      <c r="B133" s="18"/>
      <c r="C133" s="11"/>
      <c r="D133" s="11"/>
      <c r="E133" s="11"/>
      <c r="F133" s="11"/>
      <c r="G133" s="11"/>
      <c r="H133" s="11"/>
      <c r="I133" s="12"/>
      <c r="J133" s="13" t="str">
        <f aca="false">IF($H133="","",IFERROR(VLOOKUP($H133,'BẢNG GIÁ GỐC'!$A$5:$D$254,3,FALSE()),""))</f>
        <v/>
      </c>
      <c r="K133" s="12"/>
      <c r="L133" s="13" t="str">
        <f aca="false">IF($C133="","",N($I133)*N($K133))</f>
        <v/>
      </c>
      <c r="M133" s="11"/>
      <c r="N133" s="14" t="str">
        <f aca="false">IF($C133="","",IF($M133="VAT 5%",0.05,IF($M133="VAT 8%",0.08,IF($M133="VAT 10%",0.1,0))))</f>
        <v/>
      </c>
      <c r="O133" s="13" t="str">
        <f aca="false">IF($C133="","",$L133*$N133)</f>
        <v/>
      </c>
      <c r="P133" s="13" t="str">
        <f aca="false">IF($C133="","",$L133+$O133)</f>
        <v/>
      </c>
      <c r="Q133" s="12"/>
      <c r="R133" s="13" t="str">
        <f aca="false">IF($C133="","",MAX(0,$P133-N($Q133)))</f>
        <v/>
      </c>
      <c r="S133" s="23" t="str">
        <f aca="false">IF(OR($C133="",$P133=0),"",IF(N($Q133)&lt;=0,"Chưa thanh toán",IF(N($Q133)&lt;$P133,"Thanh toán một phần","Đã thanh toán")))</f>
        <v/>
      </c>
      <c r="T133" s="13" t="str">
        <f aca="false">IF(OR($C133="",$J133=""),"",N($I133)*$J133)</f>
        <v/>
      </c>
      <c r="U133" s="13" t="str">
        <f aca="false">IF(OR($C133="",$T133=""),"",$L133-$T133)</f>
        <v/>
      </c>
      <c r="V133" s="14" t="str">
        <f aca="false">IF(OR($U133="",$L133=0),"",$U133/$L133)</f>
        <v/>
      </c>
      <c r="W133" s="11"/>
      <c r="X133" s="23" t="str">
        <f aca="false">IF($C133="","",IF(AND($H133="",N($I133)=0,N($K133)=0),"Dòng chỉ lưu thông tin khách (chưa có đơn); ",IF($B133="","Thiếu ngày đặt; ","")&amp;IF($H133="","Thiếu tên sản phẩm; ",IF($J133="","Chưa khai GIÁ GỐC ở BẢNG GIÁ GỐC; ",""))&amp;IF(N($I133)&lt;=0,"Thiếu số lượng; ","")&amp;IF(N($K133)&lt;=0,"Thiếu giá bán; ","")&amp;IF(AND($N133&gt;0,$F133=""),"Khách lấy VAT thiếu mã số thuế; ","")&amp;IF(N($Q133)&gt;$P133,"Đã thu vượt tổng phải thu; ","")&amp;IF(AND($L133&gt;0,$U133&lt;&gt;"",$U133&lt;0),"CẢNH BÁO: ĐƠN NÀY ĐANG LỖ; ","")))</f>
        <v/>
      </c>
    </row>
    <row r="134" customFormat="false" ht="15" hidden="false" customHeight="false" outlineLevel="0" collapsed="false">
      <c r="A134" s="21" t="str">
        <f aca="false">IF($C134="","",COUNTA($C$10:$C134))</f>
        <v/>
      </c>
      <c r="B134" s="18"/>
      <c r="C134" s="11"/>
      <c r="D134" s="11"/>
      <c r="E134" s="11"/>
      <c r="F134" s="11"/>
      <c r="G134" s="11"/>
      <c r="H134" s="11"/>
      <c r="I134" s="12"/>
      <c r="J134" s="13" t="str">
        <f aca="false">IF($H134="","",IFERROR(VLOOKUP($H134,'BẢNG GIÁ GỐC'!$A$5:$D$254,3,FALSE()),""))</f>
        <v/>
      </c>
      <c r="K134" s="12"/>
      <c r="L134" s="13" t="str">
        <f aca="false">IF($C134="","",N($I134)*N($K134))</f>
        <v/>
      </c>
      <c r="M134" s="11"/>
      <c r="N134" s="14" t="str">
        <f aca="false">IF($C134="","",IF($M134="VAT 5%",0.05,IF($M134="VAT 8%",0.08,IF($M134="VAT 10%",0.1,0))))</f>
        <v/>
      </c>
      <c r="O134" s="13" t="str">
        <f aca="false">IF($C134="","",$L134*$N134)</f>
        <v/>
      </c>
      <c r="P134" s="13" t="str">
        <f aca="false">IF($C134="","",$L134+$O134)</f>
        <v/>
      </c>
      <c r="Q134" s="12"/>
      <c r="R134" s="13" t="str">
        <f aca="false">IF($C134="","",MAX(0,$P134-N($Q134)))</f>
        <v/>
      </c>
      <c r="S134" s="23" t="str">
        <f aca="false">IF(OR($C134="",$P134=0),"",IF(N($Q134)&lt;=0,"Chưa thanh toán",IF(N($Q134)&lt;$P134,"Thanh toán một phần","Đã thanh toán")))</f>
        <v/>
      </c>
      <c r="T134" s="13" t="str">
        <f aca="false">IF(OR($C134="",$J134=""),"",N($I134)*$J134)</f>
        <v/>
      </c>
      <c r="U134" s="13" t="str">
        <f aca="false">IF(OR($C134="",$T134=""),"",$L134-$T134)</f>
        <v/>
      </c>
      <c r="V134" s="14" t="str">
        <f aca="false">IF(OR($U134="",$L134=0),"",$U134/$L134)</f>
        <v/>
      </c>
      <c r="W134" s="11"/>
      <c r="X134" s="23" t="str">
        <f aca="false">IF($C134="","",IF(AND($H134="",N($I134)=0,N($K134)=0),"Dòng chỉ lưu thông tin khách (chưa có đơn); ",IF($B134="","Thiếu ngày đặt; ","")&amp;IF($H134="","Thiếu tên sản phẩm; ",IF($J134="","Chưa khai GIÁ GỐC ở BẢNG GIÁ GỐC; ",""))&amp;IF(N($I134)&lt;=0,"Thiếu số lượng; ","")&amp;IF(N($K134)&lt;=0,"Thiếu giá bán; ","")&amp;IF(AND($N134&gt;0,$F134=""),"Khách lấy VAT thiếu mã số thuế; ","")&amp;IF(N($Q134)&gt;$P134,"Đã thu vượt tổng phải thu; ","")&amp;IF(AND($L134&gt;0,$U134&lt;&gt;"",$U134&lt;0),"CẢNH BÁO: ĐƠN NÀY ĐANG LỖ; ","")))</f>
        <v/>
      </c>
    </row>
    <row r="135" customFormat="false" ht="15" hidden="false" customHeight="false" outlineLevel="0" collapsed="false">
      <c r="A135" s="21" t="str">
        <f aca="false">IF($C135="","",COUNTA($C$10:$C135))</f>
        <v/>
      </c>
      <c r="B135" s="18"/>
      <c r="C135" s="11"/>
      <c r="D135" s="11"/>
      <c r="E135" s="11"/>
      <c r="F135" s="11"/>
      <c r="G135" s="11"/>
      <c r="H135" s="11"/>
      <c r="I135" s="12"/>
      <c r="J135" s="13" t="str">
        <f aca="false">IF($H135="","",IFERROR(VLOOKUP($H135,'BẢNG GIÁ GỐC'!$A$5:$D$254,3,FALSE()),""))</f>
        <v/>
      </c>
      <c r="K135" s="12"/>
      <c r="L135" s="13" t="str">
        <f aca="false">IF($C135="","",N($I135)*N($K135))</f>
        <v/>
      </c>
      <c r="M135" s="11"/>
      <c r="N135" s="14" t="str">
        <f aca="false">IF($C135="","",IF($M135="VAT 5%",0.05,IF($M135="VAT 8%",0.08,IF($M135="VAT 10%",0.1,0))))</f>
        <v/>
      </c>
      <c r="O135" s="13" t="str">
        <f aca="false">IF($C135="","",$L135*$N135)</f>
        <v/>
      </c>
      <c r="P135" s="13" t="str">
        <f aca="false">IF($C135="","",$L135+$O135)</f>
        <v/>
      </c>
      <c r="Q135" s="12"/>
      <c r="R135" s="13" t="str">
        <f aca="false">IF($C135="","",MAX(0,$P135-N($Q135)))</f>
        <v/>
      </c>
      <c r="S135" s="23" t="str">
        <f aca="false">IF(OR($C135="",$P135=0),"",IF(N($Q135)&lt;=0,"Chưa thanh toán",IF(N($Q135)&lt;$P135,"Thanh toán một phần","Đã thanh toán")))</f>
        <v/>
      </c>
      <c r="T135" s="13" t="str">
        <f aca="false">IF(OR($C135="",$J135=""),"",N($I135)*$J135)</f>
        <v/>
      </c>
      <c r="U135" s="13" t="str">
        <f aca="false">IF(OR($C135="",$T135=""),"",$L135-$T135)</f>
        <v/>
      </c>
      <c r="V135" s="14" t="str">
        <f aca="false">IF(OR($U135="",$L135=0),"",$U135/$L135)</f>
        <v/>
      </c>
      <c r="W135" s="11"/>
      <c r="X135" s="23" t="str">
        <f aca="false">IF($C135="","",IF(AND($H135="",N($I135)=0,N($K135)=0),"Dòng chỉ lưu thông tin khách (chưa có đơn); ",IF($B135="","Thiếu ngày đặt; ","")&amp;IF($H135="","Thiếu tên sản phẩm; ",IF($J135="","Chưa khai GIÁ GỐC ở BẢNG GIÁ GỐC; ",""))&amp;IF(N($I135)&lt;=0,"Thiếu số lượng; ","")&amp;IF(N($K135)&lt;=0,"Thiếu giá bán; ","")&amp;IF(AND($N135&gt;0,$F135=""),"Khách lấy VAT thiếu mã số thuế; ","")&amp;IF(N($Q135)&gt;$P135,"Đã thu vượt tổng phải thu; ","")&amp;IF(AND($L135&gt;0,$U135&lt;&gt;"",$U135&lt;0),"CẢNH BÁO: ĐƠN NÀY ĐANG LỖ; ","")))</f>
        <v/>
      </c>
    </row>
    <row r="136" customFormat="false" ht="15" hidden="false" customHeight="false" outlineLevel="0" collapsed="false">
      <c r="A136" s="21" t="str">
        <f aca="false">IF($C136="","",COUNTA($C$10:$C136))</f>
        <v/>
      </c>
      <c r="B136" s="18"/>
      <c r="C136" s="11"/>
      <c r="D136" s="11"/>
      <c r="E136" s="11"/>
      <c r="F136" s="11"/>
      <c r="G136" s="11"/>
      <c r="H136" s="11"/>
      <c r="I136" s="12"/>
      <c r="J136" s="13" t="str">
        <f aca="false">IF($H136="","",IFERROR(VLOOKUP($H136,'BẢNG GIÁ GỐC'!$A$5:$D$254,3,FALSE()),""))</f>
        <v/>
      </c>
      <c r="K136" s="12"/>
      <c r="L136" s="13" t="str">
        <f aca="false">IF($C136="","",N($I136)*N($K136))</f>
        <v/>
      </c>
      <c r="M136" s="11"/>
      <c r="N136" s="14" t="str">
        <f aca="false">IF($C136="","",IF($M136="VAT 5%",0.05,IF($M136="VAT 8%",0.08,IF($M136="VAT 10%",0.1,0))))</f>
        <v/>
      </c>
      <c r="O136" s="13" t="str">
        <f aca="false">IF($C136="","",$L136*$N136)</f>
        <v/>
      </c>
      <c r="P136" s="13" t="str">
        <f aca="false">IF($C136="","",$L136+$O136)</f>
        <v/>
      </c>
      <c r="Q136" s="12"/>
      <c r="R136" s="13" t="str">
        <f aca="false">IF($C136="","",MAX(0,$P136-N($Q136)))</f>
        <v/>
      </c>
      <c r="S136" s="23" t="str">
        <f aca="false">IF(OR($C136="",$P136=0),"",IF(N($Q136)&lt;=0,"Chưa thanh toán",IF(N($Q136)&lt;$P136,"Thanh toán một phần","Đã thanh toán")))</f>
        <v/>
      </c>
      <c r="T136" s="13" t="str">
        <f aca="false">IF(OR($C136="",$J136=""),"",N($I136)*$J136)</f>
        <v/>
      </c>
      <c r="U136" s="13" t="str">
        <f aca="false">IF(OR($C136="",$T136=""),"",$L136-$T136)</f>
        <v/>
      </c>
      <c r="V136" s="14" t="str">
        <f aca="false">IF(OR($U136="",$L136=0),"",$U136/$L136)</f>
        <v/>
      </c>
      <c r="W136" s="11"/>
      <c r="X136" s="23" t="str">
        <f aca="false">IF($C136="","",IF(AND($H136="",N($I136)=0,N($K136)=0),"Dòng chỉ lưu thông tin khách (chưa có đơn); ",IF($B136="","Thiếu ngày đặt; ","")&amp;IF($H136="","Thiếu tên sản phẩm; ",IF($J136="","Chưa khai GIÁ GỐC ở BẢNG GIÁ GỐC; ",""))&amp;IF(N($I136)&lt;=0,"Thiếu số lượng; ","")&amp;IF(N($K136)&lt;=0,"Thiếu giá bán; ","")&amp;IF(AND($N136&gt;0,$F136=""),"Khách lấy VAT thiếu mã số thuế; ","")&amp;IF(N($Q136)&gt;$P136,"Đã thu vượt tổng phải thu; ","")&amp;IF(AND($L136&gt;0,$U136&lt;&gt;"",$U136&lt;0),"CẢNH BÁO: ĐƠN NÀY ĐANG LỖ; ","")))</f>
        <v/>
      </c>
    </row>
    <row r="137" customFormat="false" ht="15" hidden="false" customHeight="false" outlineLevel="0" collapsed="false">
      <c r="A137" s="21" t="str">
        <f aca="false">IF($C137="","",COUNTA($C$10:$C137))</f>
        <v/>
      </c>
      <c r="B137" s="18"/>
      <c r="C137" s="11"/>
      <c r="D137" s="11"/>
      <c r="E137" s="11"/>
      <c r="F137" s="11"/>
      <c r="G137" s="11"/>
      <c r="H137" s="11"/>
      <c r="I137" s="12"/>
      <c r="J137" s="13" t="str">
        <f aca="false">IF($H137="","",IFERROR(VLOOKUP($H137,'BẢNG GIÁ GỐC'!$A$5:$D$254,3,FALSE()),""))</f>
        <v/>
      </c>
      <c r="K137" s="12"/>
      <c r="L137" s="13" t="str">
        <f aca="false">IF($C137="","",N($I137)*N($K137))</f>
        <v/>
      </c>
      <c r="M137" s="11"/>
      <c r="N137" s="14" t="str">
        <f aca="false">IF($C137="","",IF($M137="VAT 5%",0.05,IF($M137="VAT 8%",0.08,IF($M137="VAT 10%",0.1,0))))</f>
        <v/>
      </c>
      <c r="O137" s="13" t="str">
        <f aca="false">IF($C137="","",$L137*$N137)</f>
        <v/>
      </c>
      <c r="P137" s="13" t="str">
        <f aca="false">IF($C137="","",$L137+$O137)</f>
        <v/>
      </c>
      <c r="Q137" s="12"/>
      <c r="R137" s="13" t="str">
        <f aca="false">IF($C137="","",MAX(0,$P137-N($Q137)))</f>
        <v/>
      </c>
      <c r="S137" s="23" t="str">
        <f aca="false">IF(OR($C137="",$P137=0),"",IF(N($Q137)&lt;=0,"Chưa thanh toán",IF(N($Q137)&lt;$P137,"Thanh toán một phần","Đã thanh toán")))</f>
        <v/>
      </c>
      <c r="T137" s="13" t="str">
        <f aca="false">IF(OR($C137="",$J137=""),"",N($I137)*$J137)</f>
        <v/>
      </c>
      <c r="U137" s="13" t="str">
        <f aca="false">IF(OR($C137="",$T137=""),"",$L137-$T137)</f>
        <v/>
      </c>
      <c r="V137" s="14" t="str">
        <f aca="false">IF(OR($U137="",$L137=0),"",$U137/$L137)</f>
        <v/>
      </c>
      <c r="W137" s="11"/>
      <c r="X137" s="23" t="str">
        <f aca="false">IF($C137="","",IF(AND($H137="",N($I137)=0,N($K137)=0),"Dòng chỉ lưu thông tin khách (chưa có đơn); ",IF($B137="","Thiếu ngày đặt; ","")&amp;IF($H137="","Thiếu tên sản phẩm; ",IF($J137="","Chưa khai GIÁ GỐC ở BẢNG GIÁ GỐC; ",""))&amp;IF(N($I137)&lt;=0,"Thiếu số lượng; ","")&amp;IF(N($K137)&lt;=0,"Thiếu giá bán; ","")&amp;IF(AND($N137&gt;0,$F137=""),"Khách lấy VAT thiếu mã số thuế; ","")&amp;IF(N($Q137)&gt;$P137,"Đã thu vượt tổng phải thu; ","")&amp;IF(AND($L137&gt;0,$U137&lt;&gt;"",$U137&lt;0),"CẢNH BÁO: ĐƠN NÀY ĐANG LỖ; ","")))</f>
        <v/>
      </c>
    </row>
    <row r="138" customFormat="false" ht="15" hidden="false" customHeight="false" outlineLevel="0" collapsed="false">
      <c r="A138" s="21" t="str">
        <f aca="false">IF($C138="","",COUNTA($C$10:$C138))</f>
        <v/>
      </c>
      <c r="B138" s="18"/>
      <c r="C138" s="11"/>
      <c r="D138" s="11"/>
      <c r="E138" s="11"/>
      <c r="F138" s="11"/>
      <c r="G138" s="11"/>
      <c r="H138" s="11"/>
      <c r="I138" s="12"/>
      <c r="J138" s="13" t="str">
        <f aca="false">IF($H138="","",IFERROR(VLOOKUP($H138,'BẢNG GIÁ GỐC'!$A$5:$D$254,3,FALSE()),""))</f>
        <v/>
      </c>
      <c r="K138" s="12"/>
      <c r="L138" s="13" t="str">
        <f aca="false">IF($C138="","",N($I138)*N($K138))</f>
        <v/>
      </c>
      <c r="M138" s="11"/>
      <c r="N138" s="14" t="str">
        <f aca="false">IF($C138="","",IF($M138="VAT 5%",0.05,IF($M138="VAT 8%",0.08,IF($M138="VAT 10%",0.1,0))))</f>
        <v/>
      </c>
      <c r="O138" s="13" t="str">
        <f aca="false">IF($C138="","",$L138*$N138)</f>
        <v/>
      </c>
      <c r="P138" s="13" t="str">
        <f aca="false">IF($C138="","",$L138+$O138)</f>
        <v/>
      </c>
      <c r="Q138" s="12"/>
      <c r="R138" s="13" t="str">
        <f aca="false">IF($C138="","",MAX(0,$P138-N($Q138)))</f>
        <v/>
      </c>
      <c r="S138" s="23" t="str">
        <f aca="false">IF(OR($C138="",$P138=0),"",IF(N($Q138)&lt;=0,"Chưa thanh toán",IF(N($Q138)&lt;$P138,"Thanh toán một phần","Đã thanh toán")))</f>
        <v/>
      </c>
      <c r="T138" s="13" t="str">
        <f aca="false">IF(OR($C138="",$J138=""),"",N($I138)*$J138)</f>
        <v/>
      </c>
      <c r="U138" s="13" t="str">
        <f aca="false">IF(OR($C138="",$T138=""),"",$L138-$T138)</f>
        <v/>
      </c>
      <c r="V138" s="14" t="str">
        <f aca="false">IF(OR($U138="",$L138=0),"",$U138/$L138)</f>
        <v/>
      </c>
      <c r="W138" s="11"/>
      <c r="X138" s="23" t="str">
        <f aca="false">IF($C138="","",IF(AND($H138="",N($I138)=0,N($K138)=0),"Dòng chỉ lưu thông tin khách (chưa có đơn); ",IF($B138="","Thiếu ngày đặt; ","")&amp;IF($H138="","Thiếu tên sản phẩm; ",IF($J138="","Chưa khai GIÁ GỐC ở BẢNG GIÁ GỐC; ",""))&amp;IF(N($I138)&lt;=0,"Thiếu số lượng; ","")&amp;IF(N($K138)&lt;=0,"Thiếu giá bán; ","")&amp;IF(AND($N138&gt;0,$F138=""),"Khách lấy VAT thiếu mã số thuế; ","")&amp;IF(N($Q138)&gt;$P138,"Đã thu vượt tổng phải thu; ","")&amp;IF(AND($L138&gt;0,$U138&lt;&gt;"",$U138&lt;0),"CẢNH BÁO: ĐƠN NÀY ĐANG LỖ; ","")))</f>
        <v/>
      </c>
    </row>
    <row r="139" customFormat="false" ht="15" hidden="false" customHeight="false" outlineLevel="0" collapsed="false">
      <c r="A139" s="21" t="str">
        <f aca="false">IF($C139="","",COUNTA($C$10:$C139))</f>
        <v/>
      </c>
      <c r="B139" s="18"/>
      <c r="C139" s="11"/>
      <c r="D139" s="11"/>
      <c r="E139" s="11"/>
      <c r="F139" s="11"/>
      <c r="G139" s="11"/>
      <c r="H139" s="11"/>
      <c r="I139" s="12"/>
      <c r="J139" s="13" t="str">
        <f aca="false">IF($H139="","",IFERROR(VLOOKUP($H139,'BẢNG GIÁ GỐC'!$A$5:$D$254,3,FALSE()),""))</f>
        <v/>
      </c>
      <c r="K139" s="12"/>
      <c r="L139" s="13" t="str">
        <f aca="false">IF($C139="","",N($I139)*N($K139))</f>
        <v/>
      </c>
      <c r="M139" s="11"/>
      <c r="N139" s="14" t="str">
        <f aca="false">IF($C139="","",IF($M139="VAT 5%",0.05,IF($M139="VAT 8%",0.08,IF($M139="VAT 10%",0.1,0))))</f>
        <v/>
      </c>
      <c r="O139" s="13" t="str">
        <f aca="false">IF($C139="","",$L139*$N139)</f>
        <v/>
      </c>
      <c r="P139" s="13" t="str">
        <f aca="false">IF($C139="","",$L139+$O139)</f>
        <v/>
      </c>
      <c r="Q139" s="12"/>
      <c r="R139" s="13" t="str">
        <f aca="false">IF($C139="","",MAX(0,$P139-N($Q139)))</f>
        <v/>
      </c>
      <c r="S139" s="23" t="str">
        <f aca="false">IF(OR($C139="",$P139=0),"",IF(N($Q139)&lt;=0,"Chưa thanh toán",IF(N($Q139)&lt;$P139,"Thanh toán một phần","Đã thanh toán")))</f>
        <v/>
      </c>
      <c r="T139" s="13" t="str">
        <f aca="false">IF(OR($C139="",$J139=""),"",N($I139)*$J139)</f>
        <v/>
      </c>
      <c r="U139" s="13" t="str">
        <f aca="false">IF(OR($C139="",$T139=""),"",$L139-$T139)</f>
        <v/>
      </c>
      <c r="V139" s="14" t="str">
        <f aca="false">IF(OR($U139="",$L139=0),"",$U139/$L139)</f>
        <v/>
      </c>
      <c r="W139" s="11"/>
      <c r="X139" s="23" t="str">
        <f aca="false">IF($C139="","",IF(AND($H139="",N($I139)=0,N($K139)=0),"Dòng chỉ lưu thông tin khách (chưa có đơn); ",IF($B139="","Thiếu ngày đặt; ","")&amp;IF($H139="","Thiếu tên sản phẩm; ",IF($J139="","Chưa khai GIÁ GỐC ở BẢNG GIÁ GỐC; ",""))&amp;IF(N($I139)&lt;=0,"Thiếu số lượng; ","")&amp;IF(N($K139)&lt;=0,"Thiếu giá bán; ","")&amp;IF(AND($N139&gt;0,$F139=""),"Khách lấy VAT thiếu mã số thuế; ","")&amp;IF(N($Q139)&gt;$P139,"Đã thu vượt tổng phải thu; ","")&amp;IF(AND($L139&gt;0,$U139&lt;&gt;"",$U139&lt;0),"CẢNH BÁO: ĐƠN NÀY ĐANG LỖ; ","")))</f>
        <v/>
      </c>
    </row>
    <row r="140" customFormat="false" ht="15" hidden="false" customHeight="false" outlineLevel="0" collapsed="false">
      <c r="A140" s="21" t="str">
        <f aca="false">IF($C140="","",COUNTA($C$10:$C140))</f>
        <v/>
      </c>
      <c r="B140" s="18"/>
      <c r="C140" s="11"/>
      <c r="D140" s="11"/>
      <c r="E140" s="11"/>
      <c r="F140" s="11"/>
      <c r="G140" s="11"/>
      <c r="H140" s="11"/>
      <c r="I140" s="12"/>
      <c r="J140" s="13" t="str">
        <f aca="false">IF($H140="","",IFERROR(VLOOKUP($H140,'BẢNG GIÁ GỐC'!$A$5:$D$254,3,FALSE()),""))</f>
        <v/>
      </c>
      <c r="K140" s="12"/>
      <c r="L140" s="13" t="str">
        <f aca="false">IF($C140="","",N($I140)*N($K140))</f>
        <v/>
      </c>
      <c r="M140" s="11"/>
      <c r="N140" s="14" t="str">
        <f aca="false">IF($C140="","",IF($M140="VAT 5%",0.05,IF($M140="VAT 8%",0.08,IF($M140="VAT 10%",0.1,0))))</f>
        <v/>
      </c>
      <c r="O140" s="13" t="str">
        <f aca="false">IF($C140="","",$L140*$N140)</f>
        <v/>
      </c>
      <c r="P140" s="13" t="str">
        <f aca="false">IF($C140="","",$L140+$O140)</f>
        <v/>
      </c>
      <c r="Q140" s="12"/>
      <c r="R140" s="13" t="str">
        <f aca="false">IF($C140="","",MAX(0,$P140-N($Q140)))</f>
        <v/>
      </c>
      <c r="S140" s="23" t="str">
        <f aca="false">IF(OR($C140="",$P140=0),"",IF(N($Q140)&lt;=0,"Chưa thanh toán",IF(N($Q140)&lt;$P140,"Thanh toán một phần","Đã thanh toán")))</f>
        <v/>
      </c>
      <c r="T140" s="13" t="str">
        <f aca="false">IF(OR($C140="",$J140=""),"",N($I140)*$J140)</f>
        <v/>
      </c>
      <c r="U140" s="13" t="str">
        <f aca="false">IF(OR($C140="",$T140=""),"",$L140-$T140)</f>
        <v/>
      </c>
      <c r="V140" s="14" t="str">
        <f aca="false">IF(OR($U140="",$L140=0),"",$U140/$L140)</f>
        <v/>
      </c>
      <c r="W140" s="11"/>
      <c r="X140" s="23" t="str">
        <f aca="false">IF($C140="","",IF(AND($H140="",N($I140)=0,N($K140)=0),"Dòng chỉ lưu thông tin khách (chưa có đơn); ",IF($B140="","Thiếu ngày đặt; ","")&amp;IF($H140="","Thiếu tên sản phẩm; ",IF($J140="","Chưa khai GIÁ GỐC ở BẢNG GIÁ GỐC; ",""))&amp;IF(N($I140)&lt;=0,"Thiếu số lượng; ","")&amp;IF(N($K140)&lt;=0,"Thiếu giá bán; ","")&amp;IF(AND($N140&gt;0,$F140=""),"Khách lấy VAT thiếu mã số thuế; ","")&amp;IF(N($Q140)&gt;$P140,"Đã thu vượt tổng phải thu; ","")&amp;IF(AND($L140&gt;0,$U140&lt;&gt;"",$U140&lt;0),"CẢNH BÁO: ĐƠN NÀY ĐANG LỖ; ","")))</f>
        <v/>
      </c>
    </row>
    <row r="141" customFormat="false" ht="15" hidden="false" customHeight="false" outlineLevel="0" collapsed="false">
      <c r="A141" s="21" t="str">
        <f aca="false">IF($C141="","",COUNTA($C$10:$C141))</f>
        <v/>
      </c>
      <c r="B141" s="18"/>
      <c r="C141" s="11"/>
      <c r="D141" s="11"/>
      <c r="E141" s="11"/>
      <c r="F141" s="11"/>
      <c r="G141" s="11"/>
      <c r="H141" s="11"/>
      <c r="I141" s="12"/>
      <c r="J141" s="13" t="str">
        <f aca="false">IF($H141="","",IFERROR(VLOOKUP($H141,'BẢNG GIÁ GỐC'!$A$5:$D$254,3,FALSE()),""))</f>
        <v/>
      </c>
      <c r="K141" s="12"/>
      <c r="L141" s="13" t="str">
        <f aca="false">IF($C141="","",N($I141)*N($K141))</f>
        <v/>
      </c>
      <c r="M141" s="11"/>
      <c r="N141" s="14" t="str">
        <f aca="false">IF($C141="","",IF($M141="VAT 5%",0.05,IF($M141="VAT 8%",0.08,IF($M141="VAT 10%",0.1,0))))</f>
        <v/>
      </c>
      <c r="O141" s="13" t="str">
        <f aca="false">IF($C141="","",$L141*$N141)</f>
        <v/>
      </c>
      <c r="P141" s="13" t="str">
        <f aca="false">IF($C141="","",$L141+$O141)</f>
        <v/>
      </c>
      <c r="Q141" s="12"/>
      <c r="R141" s="13" t="str">
        <f aca="false">IF($C141="","",MAX(0,$P141-N($Q141)))</f>
        <v/>
      </c>
      <c r="S141" s="23" t="str">
        <f aca="false">IF(OR($C141="",$P141=0),"",IF(N($Q141)&lt;=0,"Chưa thanh toán",IF(N($Q141)&lt;$P141,"Thanh toán một phần","Đã thanh toán")))</f>
        <v/>
      </c>
      <c r="T141" s="13" t="str">
        <f aca="false">IF(OR($C141="",$J141=""),"",N($I141)*$J141)</f>
        <v/>
      </c>
      <c r="U141" s="13" t="str">
        <f aca="false">IF(OR($C141="",$T141=""),"",$L141-$T141)</f>
        <v/>
      </c>
      <c r="V141" s="14" t="str">
        <f aca="false">IF(OR($U141="",$L141=0),"",$U141/$L141)</f>
        <v/>
      </c>
      <c r="W141" s="11"/>
      <c r="X141" s="23" t="str">
        <f aca="false">IF($C141="","",IF(AND($H141="",N($I141)=0,N($K141)=0),"Dòng chỉ lưu thông tin khách (chưa có đơn); ",IF($B141="","Thiếu ngày đặt; ","")&amp;IF($H141="","Thiếu tên sản phẩm; ",IF($J141="","Chưa khai GIÁ GỐC ở BẢNG GIÁ GỐC; ",""))&amp;IF(N($I141)&lt;=0,"Thiếu số lượng; ","")&amp;IF(N($K141)&lt;=0,"Thiếu giá bán; ","")&amp;IF(AND($N141&gt;0,$F141=""),"Khách lấy VAT thiếu mã số thuế; ","")&amp;IF(N($Q141)&gt;$P141,"Đã thu vượt tổng phải thu; ","")&amp;IF(AND($L141&gt;0,$U141&lt;&gt;"",$U141&lt;0),"CẢNH BÁO: ĐƠN NÀY ĐANG LỖ; ","")))</f>
        <v/>
      </c>
    </row>
    <row r="142" customFormat="false" ht="15" hidden="false" customHeight="false" outlineLevel="0" collapsed="false">
      <c r="A142" s="21" t="str">
        <f aca="false">IF($C142="","",COUNTA($C$10:$C142))</f>
        <v/>
      </c>
      <c r="B142" s="18"/>
      <c r="C142" s="11"/>
      <c r="D142" s="11"/>
      <c r="E142" s="11"/>
      <c r="F142" s="11"/>
      <c r="G142" s="11"/>
      <c r="H142" s="11"/>
      <c r="I142" s="12"/>
      <c r="J142" s="13" t="str">
        <f aca="false">IF($H142="","",IFERROR(VLOOKUP($H142,'BẢNG GIÁ GỐC'!$A$5:$D$254,3,FALSE()),""))</f>
        <v/>
      </c>
      <c r="K142" s="12"/>
      <c r="L142" s="13" t="str">
        <f aca="false">IF($C142="","",N($I142)*N($K142))</f>
        <v/>
      </c>
      <c r="M142" s="11"/>
      <c r="N142" s="14" t="str">
        <f aca="false">IF($C142="","",IF($M142="VAT 5%",0.05,IF($M142="VAT 8%",0.08,IF($M142="VAT 10%",0.1,0))))</f>
        <v/>
      </c>
      <c r="O142" s="13" t="str">
        <f aca="false">IF($C142="","",$L142*$N142)</f>
        <v/>
      </c>
      <c r="P142" s="13" t="str">
        <f aca="false">IF($C142="","",$L142+$O142)</f>
        <v/>
      </c>
      <c r="Q142" s="12"/>
      <c r="R142" s="13" t="str">
        <f aca="false">IF($C142="","",MAX(0,$P142-N($Q142)))</f>
        <v/>
      </c>
      <c r="S142" s="23" t="str">
        <f aca="false">IF(OR($C142="",$P142=0),"",IF(N($Q142)&lt;=0,"Chưa thanh toán",IF(N($Q142)&lt;$P142,"Thanh toán một phần","Đã thanh toán")))</f>
        <v/>
      </c>
      <c r="T142" s="13" t="str">
        <f aca="false">IF(OR($C142="",$J142=""),"",N($I142)*$J142)</f>
        <v/>
      </c>
      <c r="U142" s="13" t="str">
        <f aca="false">IF(OR($C142="",$T142=""),"",$L142-$T142)</f>
        <v/>
      </c>
      <c r="V142" s="14" t="str">
        <f aca="false">IF(OR($U142="",$L142=0),"",$U142/$L142)</f>
        <v/>
      </c>
      <c r="W142" s="11"/>
      <c r="X142" s="23" t="str">
        <f aca="false">IF($C142="","",IF(AND($H142="",N($I142)=0,N($K142)=0),"Dòng chỉ lưu thông tin khách (chưa có đơn); ",IF($B142="","Thiếu ngày đặt; ","")&amp;IF($H142="","Thiếu tên sản phẩm; ",IF($J142="","Chưa khai GIÁ GỐC ở BẢNG GIÁ GỐC; ",""))&amp;IF(N($I142)&lt;=0,"Thiếu số lượng; ","")&amp;IF(N($K142)&lt;=0,"Thiếu giá bán; ","")&amp;IF(AND($N142&gt;0,$F142=""),"Khách lấy VAT thiếu mã số thuế; ","")&amp;IF(N($Q142)&gt;$P142,"Đã thu vượt tổng phải thu; ","")&amp;IF(AND($L142&gt;0,$U142&lt;&gt;"",$U142&lt;0),"CẢNH BÁO: ĐƠN NÀY ĐANG LỖ; ","")))</f>
        <v/>
      </c>
    </row>
    <row r="143" customFormat="false" ht="15" hidden="false" customHeight="false" outlineLevel="0" collapsed="false">
      <c r="A143" s="21" t="str">
        <f aca="false">IF($C143="","",COUNTA($C$10:$C143))</f>
        <v/>
      </c>
      <c r="B143" s="18"/>
      <c r="C143" s="11"/>
      <c r="D143" s="11"/>
      <c r="E143" s="11"/>
      <c r="F143" s="11"/>
      <c r="G143" s="11"/>
      <c r="H143" s="11"/>
      <c r="I143" s="12"/>
      <c r="J143" s="13" t="str">
        <f aca="false">IF($H143="","",IFERROR(VLOOKUP($H143,'BẢNG GIÁ GỐC'!$A$5:$D$254,3,FALSE()),""))</f>
        <v/>
      </c>
      <c r="K143" s="12"/>
      <c r="L143" s="13" t="str">
        <f aca="false">IF($C143="","",N($I143)*N($K143))</f>
        <v/>
      </c>
      <c r="M143" s="11"/>
      <c r="N143" s="14" t="str">
        <f aca="false">IF($C143="","",IF($M143="VAT 5%",0.05,IF($M143="VAT 8%",0.08,IF($M143="VAT 10%",0.1,0))))</f>
        <v/>
      </c>
      <c r="O143" s="13" t="str">
        <f aca="false">IF($C143="","",$L143*$N143)</f>
        <v/>
      </c>
      <c r="P143" s="13" t="str">
        <f aca="false">IF($C143="","",$L143+$O143)</f>
        <v/>
      </c>
      <c r="Q143" s="12"/>
      <c r="R143" s="13" t="str">
        <f aca="false">IF($C143="","",MAX(0,$P143-N($Q143)))</f>
        <v/>
      </c>
      <c r="S143" s="23" t="str">
        <f aca="false">IF(OR($C143="",$P143=0),"",IF(N($Q143)&lt;=0,"Chưa thanh toán",IF(N($Q143)&lt;$P143,"Thanh toán một phần","Đã thanh toán")))</f>
        <v/>
      </c>
      <c r="T143" s="13" t="str">
        <f aca="false">IF(OR($C143="",$J143=""),"",N($I143)*$J143)</f>
        <v/>
      </c>
      <c r="U143" s="13" t="str">
        <f aca="false">IF(OR($C143="",$T143=""),"",$L143-$T143)</f>
        <v/>
      </c>
      <c r="V143" s="14" t="str">
        <f aca="false">IF(OR($U143="",$L143=0),"",$U143/$L143)</f>
        <v/>
      </c>
      <c r="W143" s="11"/>
      <c r="X143" s="23" t="str">
        <f aca="false">IF($C143="","",IF(AND($H143="",N($I143)=0,N($K143)=0),"Dòng chỉ lưu thông tin khách (chưa có đơn); ",IF($B143="","Thiếu ngày đặt; ","")&amp;IF($H143="","Thiếu tên sản phẩm; ",IF($J143="","Chưa khai GIÁ GỐC ở BẢNG GIÁ GỐC; ",""))&amp;IF(N($I143)&lt;=0,"Thiếu số lượng; ","")&amp;IF(N($K143)&lt;=0,"Thiếu giá bán; ","")&amp;IF(AND($N143&gt;0,$F143=""),"Khách lấy VAT thiếu mã số thuế; ","")&amp;IF(N($Q143)&gt;$P143,"Đã thu vượt tổng phải thu; ","")&amp;IF(AND($L143&gt;0,$U143&lt;&gt;"",$U143&lt;0),"CẢNH BÁO: ĐƠN NÀY ĐANG LỖ; ","")))</f>
        <v/>
      </c>
    </row>
    <row r="144" customFormat="false" ht="15" hidden="false" customHeight="false" outlineLevel="0" collapsed="false">
      <c r="A144" s="21" t="str">
        <f aca="false">IF($C144="","",COUNTA($C$10:$C144))</f>
        <v/>
      </c>
      <c r="B144" s="18"/>
      <c r="C144" s="11"/>
      <c r="D144" s="11"/>
      <c r="E144" s="11"/>
      <c r="F144" s="11"/>
      <c r="G144" s="11"/>
      <c r="H144" s="11"/>
      <c r="I144" s="12"/>
      <c r="J144" s="13" t="str">
        <f aca="false">IF($H144="","",IFERROR(VLOOKUP($H144,'BẢNG GIÁ GỐC'!$A$5:$D$254,3,FALSE()),""))</f>
        <v/>
      </c>
      <c r="K144" s="12"/>
      <c r="L144" s="13" t="str">
        <f aca="false">IF($C144="","",N($I144)*N($K144))</f>
        <v/>
      </c>
      <c r="M144" s="11"/>
      <c r="N144" s="14" t="str">
        <f aca="false">IF($C144="","",IF($M144="VAT 5%",0.05,IF($M144="VAT 8%",0.08,IF($M144="VAT 10%",0.1,0))))</f>
        <v/>
      </c>
      <c r="O144" s="13" t="str">
        <f aca="false">IF($C144="","",$L144*$N144)</f>
        <v/>
      </c>
      <c r="P144" s="13" t="str">
        <f aca="false">IF($C144="","",$L144+$O144)</f>
        <v/>
      </c>
      <c r="Q144" s="12"/>
      <c r="R144" s="13" t="str">
        <f aca="false">IF($C144="","",MAX(0,$P144-N($Q144)))</f>
        <v/>
      </c>
      <c r="S144" s="23" t="str">
        <f aca="false">IF(OR($C144="",$P144=0),"",IF(N($Q144)&lt;=0,"Chưa thanh toán",IF(N($Q144)&lt;$P144,"Thanh toán một phần","Đã thanh toán")))</f>
        <v/>
      </c>
      <c r="T144" s="13" t="str">
        <f aca="false">IF(OR($C144="",$J144=""),"",N($I144)*$J144)</f>
        <v/>
      </c>
      <c r="U144" s="13" t="str">
        <f aca="false">IF(OR($C144="",$T144=""),"",$L144-$T144)</f>
        <v/>
      </c>
      <c r="V144" s="14" t="str">
        <f aca="false">IF(OR($U144="",$L144=0),"",$U144/$L144)</f>
        <v/>
      </c>
      <c r="W144" s="11"/>
      <c r="X144" s="23" t="str">
        <f aca="false">IF($C144="","",IF(AND($H144="",N($I144)=0,N($K144)=0),"Dòng chỉ lưu thông tin khách (chưa có đơn); ",IF($B144="","Thiếu ngày đặt; ","")&amp;IF($H144="","Thiếu tên sản phẩm; ",IF($J144="","Chưa khai GIÁ GỐC ở BẢNG GIÁ GỐC; ",""))&amp;IF(N($I144)&lt;=0,"Thiếu số lượng; ","")&amp;IF(N($K144)&lt;=0,"Thiếu giá bán; ","")&amp;IF(AND($N144&gt;0,$F144=""),"Khách lấy VAT thiếu mã số thuế; ","")&amp;IF(N($Q144)&gt;$P144,"Đã thu vượt tổng phải thu; ","")&amp;IF(AND($L144&gt;0,$U144&lt;&gt;"",$U144&lt;0),"CẢNH BÁO: ĐƠN NÀY ĐANG LỖ; ","")))</f>
        <v/>
      </c>
    </row>
    <row r="145" customFormat="false" ht="15" hidden="false" customHeight="false" outlineLevel="0" collapsed="false">
      <c r="A145" s="21" t="str">
        <f aca="false">IF($C145="","",COUNTA($C$10:$C145))</f>
        <v/>
      </c>
      <c r="B145" s="18"/>
      <c r="C145" s="11"/>
      <c r="D145" s="11"/>
      <c r="E145" s="11"/>
      <c r="F145" s="11"/>
      <c r="G145" s="11"/>
      <c r="H145" s="11"/>
      <c r="I145" s="12"/>
      <c r="J145" s="13" t="str">
        <f aca="false">IF($H145="","",IFERROR(VLOOKUP($H145,'BẢNG GIÁ GỐC'!$A$5:$D$254,3,FALSE()),""))</f>
        <v/>
      </c>
      <c r="K145" s="12"/>
      <c r="L145" s="13" t="str">
        <f aca="false">IF($C145="","",N($I145)*N($K145))</f>
        <v/>
      </c>
      <c r="M145" s="11"/>
      <c r="N145" s="14" t="str">
        <f aca="false">IF($C145="","",IF($M145="VAT 5%",0.05,IF($M145="VAT 8%",0.08,IF($M145="VAT 10%",0.1,0))))</f>
        <v/>
      </c>
      <c r="O145" s="13" t="str">
        <f aca="false">IF($C145="","",$L145*$N145)</f>
        <v/>
      </c>
      <c r="P145" s="13" t="str">
        <f aca="false">IF($C145="","",$L145+$O145)</f>
        <v/>
      </c>
      <c r="Q145" s="12"/>
      <c r="R145" s="13" t="str">
        <f aca="false">IF($C145="","",MAX(0,$P145-N($Q145)))</f>
        <v/>
      </c>
      <c r="S145" s="23" t="str">
        <f aca="false">IF(OR($C145="",$P145=0),"",IF(N($Q145)&lt;=0,"Chưa thanh toán",IF(N($Q145)&lt;$P145,"Thanh toán một phần","Đã thanh toán")))</f>
        <v/>
      </c>
      <c r="T145" s="13" t="str">
        <f aca="false">IF(OR($C145="",$J145=""),"",N($I145)*$J145)</f>
        <v/>
      </c>
      <c r="U145" s="13" t="str">
        <f aca="false">IF(OR($C145="",$T145=""),"",$L145-$T145)</f>
        <v/>
      </c>
      <c r="V145" s="14" t="str">
        <f aca="false">IF(OR($U145="",$L145=0),"",$U145/$L145)</f>
        <v/>
      </c>
      <c r="W145" s="11"/>
      <c r="X145" s="23" t="str">
        <f aca="false">IF($C145="","",IF(AND($H145="",N($I145)=0,N($K145)=0),"Dòng chỉ lưu thông tin khách (chưa có đơn); ",IF($B145="","Thiếu ngày đặt; ","")&amp;IF($H145="","Thiếu tên sản phẩm; ",IF($J145="","Chưa khai GIÁ GỐC ở BẢNG GIÁ GỐC; ",""))&amp;IF(N($I145)&lt;=0,"Thiếu số lượng; ","")&amp;IF(N($K145)&lt;=0,"Thiếu giá bán; ","")&amp;IF(AND($N145&gt;0,$F145=""),"Khách lấy VAT thiếu mã số thuế; ","")&amp;IF(N($Q145)&gt;$P145,"Đã thu vượt tổng phải thu; ","")&amp;IF(AND($L145&gt;0,$U145&lt;&gt;"",$U145&lt;0),"CẢNH BÁO: ĐƠN NÀY ĐANG LỖ; ","")))</f>
        <v/>
      </c>
    </row>
    <row r="146" customFormat="false" ht="15" hidden="false" customHeight="false" outlineLevel="0" collapsed="false">
      <c r="A146" s="21" t="str">
        <f aca="false">IF($C146="","",COUNTA($C$10:$C146))</f>
        <v/>
      </c>
      <c r="B146" s="18"/>
      <c r="C146" s="11"/>
      <c r="D146" s="11"/>
      <c r="E146" s="11"/>
      <c r="F146" s="11"/>
      <c r="G146" s="11"/>
      <c r="H146" s="11"/>
      <c r="I146" s="12"/>
      <c r="J146" s="13" t="str">
        <f aca="false">IF($H146="","",IFERROR(VLOOKUP($H146,'BẢNG GIÁ GỐC'!$A$5:$D$254,3,FALSE()),""))</f>
        <v/>
      </c>
      <c r="K146" s="12"/>
      <c r="L146" s="13" t="str">
        <f aca="false">IF($C146="","",N($I146)*N($K146))</f>
        <v/>
      </c>
      <c r="M146" s="11"/>
      <c r="N146" s="14" t="str">
        <f aca="false">IF($C146="","",IF($M146="VAT 5%",0.05,IF($M146="VAT 8%",0.08,IF($M146="VAT 10%",0.1,0))))</f>
        <v/>
      </c>
      <c r="O146" s="13" t="str">
        <f aca="false">IF($C146="","",$L146*$N146)</f>
        <v/>
      </c>
      <c r="P146" s="13" t="str">
        <f aca="false">IF($C146="","",$L146+$O146)</f>
        <v/>
      </c>
      <c r="Q146" s="12"/>
      <c r="R146" s="13" t="str">
        <f aca="false">IF($C146="","",MAX(0,$P146-N($Q146)))</f>
        <v/>
      </c>
      <c r="S146" s="23" t="str">
        <f aca="false">IF(OR($C146="",$P146=0),"",IF(N($Q146)&lt;=0,"Chưa thanh toán",IF(N($Q146)&lt;$P146,"Thanh toán một phần","Đã thanh toán")))</f>
        <v/>
      </c>
      <c r="T146" s="13" t="str">
        <f aca="false">IF(OR($C146="",$J146=""),"",N($I146)*$J146)</f>
        <v/>
      </c>
      <c r="U146" s="13" t="str">
        <f aca="false">IF(OR($C146="",$T146=""),"",$L146-$T146)</f>
        <v/>
      </c>
      <c r="V146" s="14" t="str">
        <f aca="false">IF(OR($U146="",$L146=0),"",$U146/$L146)</f>
        <v/>
      </c>
      <c r="W146" s="11"/>
      <c r="X146" s="23" t="str">
        <f aca="false">IF($C146="","",IF(AND($H146="",N($I146)=0,N($K146)=0),"Dòng chỉ lưu thông tin khách (chưa có đơn); ",IF($B146="","Thiếu ngày đặt; ","")&amp;IF($H146="","Thiếu tên sản phẩm; ",IF($J146="","Chưa khai GIÁ GỐC ở BẢNG GIÁ GỐC; ",""))&amp;IF(N($I146)&lt;=0,"Thiếu số lượng; ","")&amp;IF(N($K146)&lt;=0,"Thiếu giá bán; ","")&amp;IF(AND($N146&gt;0,$F146=""),"Khách lấy VAT thiếu mã số thuế; ","")&amp;IF(N($Q146)&gt;$P146,"Đã thu vượt tổng phải thu; ","")&amp;IF(AND($L146&gt;0,$U146&lt;&gt;"",$U146&lt;0),"CẢNH BÁO: ĐƠN NÀY ĐANG LỖ; ","")))</f>
        <v/>
      </c>
    </row>
    <row r="147" customFormat="false" ht="15" hidden="false" customHeight="false" outlineLevel="0" collapsed="false">
      <c r="A147" s="21" t="str">
        <f aca="false">IF($C147="","",COUNTA($C$10:$C147))</f>
        <v/>
      </c>
      <c r="B147" s="18"/>
      <c r="C147" s="11"/>
      <c r="D147" s="11"/>
      <c r="E147" s="11"/>
      <c r="F147" s="11"/>
      <c r="G147" s="11"/>
      <c r="H147" s="11"/>
      <c r="I147" s="12"/>
      <c r="J147" s="13" t="str">
        <f aca="false">IF($H147="","",IFERROR(VLOOKUP($H147,'BẢNG GIÁ GỐC'!$A$5:$D$254,3,FALSE()),""))</f>
        <v/>
      </c>
      <c r="K147" s="12"/>
      <c r="L147" s="13" t="str">
        <f aca="false">IF($C147="","",N($I147)*N($K147))</f>
        <v/>
      </c>
      <c r="M147" s="11"/>
      <c r="N147" s="14" t="str">
        <f aca="false">IF($C147="","",IF($M147="VAT 5%",0.05,IF($M147="VAT 8%",0.08,IF($M147="VAT 10%",0.1,0))))</f>
        <v/>
      </c>
      <c r="O147" s="13" t="str">
        <f aca="false">IF($C147="","",$L147*$N147)</f>
        <v/>
      </c>
      <c r="P147" s="13" t="str">
        <f aca="false">IF($C147="","",$L147+$O147)</f>
        <v/>
      </c>
      <c r="Q147" s="12"/>
      <c r="R147" s="13" t="str">
        <f aca="false">IF($C147="","",MAX(0,$P147-N($Q147)))</f>
        <v/>
      </c>
      <c r="S147" s="23" t="str">
        <f aca="false">IF(OR($C147="",$P147=0),"",IF(N($Q147)&lt;=0,"Chưa thanh toán",IF(N($Q147)&lt;$P147,"Thanh toán một phần","Đã thanh toán")))</f>
        <v/>
      </c>
      <c r="T147" s="13" t="str">
        <f aca="false">IF(OR($C147="",$J147=""),"",N($I147)*$J147)</f>
        <v/>
      </c>
      <c r="U147" s="13" t="str">
        <f aca="false">IF(OR($C147="",$T147=""),"",$L147-$T147)</f>
        <v/>
      </c>
      <c r="V147" s="14" t="str">
        <f aca="false">IF(OR($U147="",$L147=0),"",$U147/$L147)</f>
        <v/>
      </c>
      <c r="W147" s="11"/>
      <c r="X147" s="23" t="str">
        <f aca="false">IF($C147="","",IF(AND($H147="",N($I147)=0,N($K147)=0),"Dòng chỉ lưu thông tin khách (chưa có đơn); ",IF($B147="","Thiếu ngày đặt; ","")&amp;IF($H147="","Thiếu tên sản phẩm; ",IF($J147="","Chưa khai GIÁ GỐC ở BẢNG GIÁ GỐC; ",""))&amp;IF(N($I147)&lt;=0,"Thiếu số lượng; ","")&amp;IF(N($K147)&lt;=0,"Thiếu giá bán; ","")&amp;IF(AND($N147&gt;0,$F147=""),"Khách lấy VAT thiếu mã số thuế; ","")&amp;IF(N($Q147)&gt;$P147,"Đã thu vượt tổng phải thu; ","")&amp;IF(AND($L147&gt;0,$U147&lt;&gt;"",$U147&lt;0),"CẢNH BÁO: ĐƠN NÀY ĐANG LỖ; ","")))</f>
        <v/>
      </c>
    </row>
    <row r="148" customFormat="false" ht="15" hidden="false" customHeight="false" outlineLevel="0" collapsed="false">
      <c r="A148" s="21" t="str">
        <f aca="false">IF($C148="","",COUNTA($C$10:$C148))</f>
        <v/>
      </c>
      <c r="B148" s="18"/>
      <c r="C148" s="11"/>
      <c r="D148" s="11"/>
      <c r="E148" s="11"/>
      <c r="F148" s="11"/>
      <c r="G148" s="11"/>
      <c r="H148" s="11"/>
      <c r="I148" s="12"/>
      <c r="J148" s="13" t="str">
        <f aca="false">IF($H148="","",IFERROR(VLOOKUP($H148,'BẢNG GIÁ GỐC'!$A$5:$D$254,3,FALSE()),""))</f>
        <v/>
      </c>
      <c r="K148" s="12"/>
      <c r="L148" s="13" t="str">
        <f aca="false">IF($C148="","",N($I148)*N($K148))</f>
        <v/>
      </c>
      <c r="M148" s="11"/>
      <c r="N148" s="14" t="str">
        <f aca="false">IF($C148="","",IF($M148="VAT 5%",0.05,IF($M148="VAT 8%",0.08,IF($M148="VAT 10%",0.1,0))))</f>
        <v/>
      </c>
      <c r="O148" s="13" t="str">
        <f aca="false">IF($C148="","",$L148*$N148)</f>
        <v/>
      </c>
      <c r="P148" s="13" t="str">
        <f aca="false">IF($C148="","",$L148+$O148)</f>
        <v/>
      </c>
      <c r="Q148" s="12"/>
      <c r="R148" s="13" t="str">
        <f aca="false">IF($C148="","",MAX(0,$P148-N($Q148)))</f>
        <v/>
      </c>
      <c r="S148" s="23" t="str">
        <f aca="false">IF(OR($C148="",$P148=0),"",IF(N($Q148)&lt;=0,"Chưa thanh toán",IF(N($Q148)&lt;$P148,"Thanh toán một phần","Đã thanh toán")))</f>
        <v/>
      </c>
      <c r="T148" s="13" t="str">
        <f aca="false">IF(OR($C148="",$J148=""),"",N($I148)*$J148)</f>
        <v/>
      </c>
      <c r="U148" s="13" t="str">
        <f aca="false">IF(OR($C148="",$T148=""),"",$L148-$T148)</f>
        <v/>
      </c>
      <c r="V148" s="14" t="str">
        <f aca="false">IF(OR($U148="",$L148=0),"",$U148/$L148)</f>
        <v/>
      </c>
      <c r="W148" s="11"/>
      <c r="X148" s="23" t="str">
        <f aca="false">IF($C148="","",IF(AND($H148="",N($I148)=0,N($K148)=0),"Dòng chỉ lưu thông tin khách (chưa có đơn); ",IF($B148="","Thiếu ngày đặt; ","")&amp;IF($H148="","Thiếu tên sản phẩm; ",IF($J148="","Chưa khai GIÁ GỐC ở BẢNG GIÁ GỐC; ",""))&amp;IF(N($I148)&lt;=0,"Thiếu số lượng; ","")&amp;IF(N($K148)&lt;=0,"Thiếu giá bán; ","")&amp;IF(AND($N148&gt;0,$F148=""),"Khách lấy VAT thiếu mã số thuế; ","")&amp;IF(N($Q148)&gt;$P148,"Đã thu vượt tổng phải thu; ","")&amp;IF(AND($L148&gt;0,$U148&lt;&gt;"",$U148&lt;0),"CẢNH BÁO: ĐƠN NÀY ĐANG LỖ; ","")))</f>
        <v/>
      </c>
    </row>
    <row r="149" customFormat="false" ht="15" hidden="false" customHeight="false" outlineLevel="0" collapsed="false">
      <c r="A149" s="21" t="str">
        <f aca="false">IF($C149="","",COUNTA($C$10:$C149))</f>
        <v/>
      </c>
      <c r="B149" s="18"/>
      <c r="C149" s="11"/>
      <c r="D149" s="11"/>
      <c r="E149" s="11"/>
      <c r="F149" s="11"/>
      <c r="G149" s="11"/>
      <c r="H149" s="11"/>
      <c r="I149" s="12"/>
      <c r="J149" s="13" t="str">
        <f aca="false">IF($H149="","",IFERROR(VLOOKUP($H149,'BẢNG GIÁ GỐC'!$A$5:$D$254,3,FALSE()),""))</f>
        <v/>
      </c>
      <c r="K149" s="12"/>
      <c r="L149" s="13" t="str">
        <f aca="false">IF($C149="","",N($I149)*N($K149))</f>
        <v/>
      </c>
      <c r="M149" s="11"/>
      <c r="N149" s="14" t="str">
        <f aca="false">IF($C149="","",IF($M149="VAT 5%",0.05,IF($M149="VAT 8%",0.08,IF($M149="VAT 10%",0.1,0))))</f>
        <v/>
      </c>
      <c r="O149" s="13" t="str">
        <f aca="false">IF($C149="","",$L149*$N149)</f>
        <v/>
      </c>
      <c r="P149" s="13" t="str">
        <f aca="false">IF($C149="","",$L149+$O149)</f>
        <v/>
      </c>
      <c r="Q149" s="12"/>
      <c r="R149" s="13" t="str">
        <f aca="false">IF($C149="","",MAX(0,$P149-N($Q149)))</f>
        <v/>
      </c>
      <c r="S149" s="23" t="str">
        <f aca="false">IF(OR($C149="",$P149=0),"",IF(N($Q149)&lt;=0,"Chưa thanh toán",IF(N($Q149)&lt;$P149,"Thanh toán một phần","Đã thanh toán")))</f>
        <v/>
      </c>
      <c r="T149" s="13" t="str">
        <f aca="false">IF(OR($C149="",$J149=""),"",N($I149)*$J149)</f>
        <v/>
      </c>
      <c r="U149" s="13" t="str">
        <f aca="false">IF(OR($C149="",$T149=""),"",$L149-$T149)</f>
        <v/>
      </c>
      <c r="V149" s="14" t="str">
        <f aca="false">IF(OR($U149="",$L149=0),"",$U149/$L149)</f>
        <v/>
      </c>
      <c r="W149" s="11"/>
      <c r="X149" s="23" t="str">
        <f aca="false">IF($C149="","",IF(AND($H149="",N($I149)=0,N($K149)=0),"Dòng chỉ lưu thông tin khách (chưa có đơn); ",IF($B149="","Thiếu ngày đặt; ","")&amp;IF($H149="","Thiếu tên sản phẩm; ",IF($J149="","Chưa khai GIÁ GỐC ở BẢNG GIÁ GỐC; ",""))&amp;IF(N($I149)&lt;=0,"Thiếu số lượng; ","")&amp;IF(N($K149)&lt;=0,"Thiếu giá bán; ","")&amp;IF(AND($N149&gt;0,$F149=""),"Khách lấy VAT thiếu mã số thuế; ","")&amp;IF(N($Q149)&gt;$P149,"Đã thu vượt tổng phải thu; ","")&amp;IF(AND($L149&gt;0,$U149&lt;&gt;"",$U149&lt;0),"CẢNH BÁO: ĐƠN NÀY ĐANG LỖ; ","")))</f>
        <v/>
      </c>
    </row>
    <row r="150" customFormat="false" ht="15" hidden="false" customHeight="false" outlineLevel="0" collapsed="false">
      <c r="A150" s="21" t="str">
        <f aca="false">IF($C150="","",COUNTA($C$10:$C150))</f>
        <v/>
      </c>
      <c r="B150" s="18"/>
      <c r="C150" s="11"/>
      <c r="D150" s="11"/>
      <c r="E150" s="11"/>
      <c r="F150" s="11"/>
      <c r="G150" s="11"/>
      <c r="H150" s="11"/>
      <c r="I150" s="12"/>
      <c r="J150" s="13" t="str">
        <f aca="false">IF($H150="","",IFERROR(VLOOKUP($H150,'BẢNG GIÁ GỐC'!$A$5:$D$254,3,FALSE()),""))</f>
        <v/>
      </c>
      <c r="K150" s="12"/>
      <c r="L150" s="13" t="str">
        <f aca="false">IF($C150="","",N($I150)*N($K150))</f>
        <v/>
      </c>
      <c r="M150" s="11"/>
      <c r="N150" s="14" t="str">
        <f aca="false">IF($C150="","",IF($M150="VAT 5%",0.05,IF($M150="VAT 8%",0.08,IF($M150="VAT 10%",0.1,0))))</f>
        <v/>
      </c>
      <c r="O150" s="13" t="str">
        <f aca="false">IF($C150="","",$L150*$N150)</f>
        <v/>
      </c>
      <c r="P150" s="13" t="str">
        <f aca="false">IF($C150="","",$L150+$O150)</f>
        <v/>
      </c>
      <c r="Q150" s="12"/>
      <c r="R150" s="13" t="str">
        <f aca="false">IF($C150="","",MAX(0,$P150-N($Q150)))</f>
        <v/>
      </c>
      <c r="S150" s="23" t="str">
        <f aca="false">IF(OR($C150="",$P150=0),"",IF(N($Q150)&lt;=0,"Chưa thanh toán",IF(N($Q150)&lt;$P150,"Thanh toán một phần","Đã thanh toán")))</f>
        <v/>
      </c>
      <c r="T150" s="13" t="str">
        <f aca="false">IF(OR($C150="",$J150=""),"",N($I150)*$J150)</f>
        <v/>
      </c>
      <c r="U150" s="13" t="str">
        <f aca="false">IF(OR($C150="",$T150=""),"",$L150-$T150)</f>
        <v/>
      </c>
      <c r="V150" s="14" t="str">
        <f aca="false">IF(OR($U150="",$L150=0),"",$U150/$L150)</f>
        <v/>
      </c>
      <c r="W150" s="11"/>
      <c r="X150" s="23" t="str">
        <f aca="false">IF($C150="","",IF(AND($H150="",N($I150)=0,N($K150)=0),"Dòng chỉ lưu thông tin khách (chưa có đơn); ",IF($B150="","Thiếu ngày đặt; ","")&amp;IF($H150="","Thiếu tên sản phẩm; ",IF($J150="","Chưa khai GIÁ GỐC ở BẢNG GIÁ GỐC; ",""))&amp;IF(N($I150)&lt;=0,"Thiếu số lượng; ","")&amp;IF(N($K150)&lt;=0,"Thiếu giá bán; ","")&amp;IF(AND($N150&gt;0,$F150=""),"Khách lấy VAT thiếu mã số thuế; ","")&amp;IF(N($Q150)&gt;$P150,"Đã thu vượt tổng phải thu; ","")&amp;IF(AND($L150&gt;0,$U150&lt;&gt;"",$U150&lt;0),"CẢNH BÁO: ĐƠN NÀY ĐANG LỖ; ","")))</f>
        <v/>
      </c>
    </row>
    <row r="151" customFormat="false" ht="15" hidden="false" customHeight="false" outlineLevel="0" collapsed="false">
      <c r="A151" s="21" t="str">
        <f aca="false">IF($C151="","",COUNTA($C$10:$C151))</f>
        <v/>
      </c>
      <c r="B151" s="18"/>
      <c r="C151" s="11"/>
      <c r="D151" s="11"/>
      <c r="E151" s="11"/>
      <c r="F151" s="11"/>
      <c r="G151" s="11"/>
      <c r="H151" s="11"/>
      <c r="I151" s="12"/>
      <c r="J151" s="13" t="str">
        <f aca="false">IF($H151="","",IFERROR(VLOOKUP($H151,'BẢNG GIÁ GỐC'!$A$5:$D$254,3,FALSE()),""))</f>
        <v/>
      </c>
      <c r="K151" s="12"/>
      <c r="L151" s="13" t="str">
        <f aca="false">IF($C151="","",N($I151)*N($K151))</f>
        <v/>
      </c>
      <c r="M151" s="11"/>
      <c r="N151" s="14" t="str">
        <f aca="false">IF($C151="","",IF($M151="VAT 5%",0.05,IF($M151="VAT 8%",0.08,IF($M151="VAT 10%",0.1,0))))</f>
        <v/>
      </c>
      <c r="O151" s="13" t="str">
        <f aca="false">IF($C151="","",$L151*$N151)</f>
        <v/>
      </c>
      <c r="P151" s="13" t="str">
        <f aca="false">IF($C151="","",$L151+$O151)</f>
        <v/>
      </c>
      <c r="Q151" s="12"/>
      <c r="R151" s="13" t="str">
        <f aca="false">IF($C151="","",MAX(0,$P151-N($Q151)))</f>
        <v/>
      </c>
      <c r="S151" s="23" t="str">
        <f aca="false">IF(OR($C151="",$P151=0),"",IF(N($Q151)&lt;=0,"Chưa thanh toán",IF(N($Q151)&lt;$P151,"Thanh toán một phần","Đã thanh toán")))</f>
        <v/>
      </c>
      <c r="T151" s="13" t="str">
        <f aca="false">IF(OR($C151="",$J151=""),"",N($I151)*$J151)</f>
        <v/>
      </c>
      <c r="U151" s="13" t="str">
        <f aca="false">IF(OR($C151="",$T151=""),"",$L151-$T151)</f>
        <v/>
      </c>
      <c r="V151" s="14" t="str">
        <f aca="false">IF(OR($U151="",$L151=0),"",$U151/$L151)</f>
        <v/>
      </c>
      <c r="W151" s="11"/>
      <c r="X151" s="23" t="str">
        <f aca="false">IF($C151="","",IF(AND($H151="",N($I151)=0,N($K151)=0),"Dòng chỉ lưu thông tin khách (chưa có đơn); ",IF($B151="","Thiếu ngày đặt; ","")&amp;IF($H151="","Thiếu tên sản phẩm; ",IF($J151="","Chưa khai GIÁ GỐC ở BẢNG GIÁ GỐC; ",""))&amp;IF(N($I151)&lt;=0,"Thiếu số lượng; ","")&amp;IF(N($K151)&lt;=0,"Thiếu giá bán; ","")&amp;IF(AND($N151&gt;0,$F151=""),"Khách lấy VAT thiếu mã số thuế; ","")&amp;IF(N($Q151)&gt;$P151,"Đã thu vượt tổng phải thu; ","")&amp;IF(AND($L151&gt;0,$U151&lt;&gt;"",$U151&lt;0),"CẢNH BÁO: ĐƠN NÀY ĐANG LỖ; ","")))</f>
        <v/>
      </c>
    </row>
    <row r="152" customFormat="false" ht="15" hidden="false" customHeight="false" outlineLevel="0" collapsed="false">
      <c r="A152" s="21" t="str">
        <f aca="false">IF($C152="","",COUNTA($C$10:$C152))</f>
        <v/>
      </c>
      <c r="B152" s="18"/>
      <c r="C152" s="11"/>
      <c r="D152" s="11"/>
      <c r="E152" s="11"/>
      <c r="F152" s="11"/>
      <c r="G152" s="11"/>
      <c r="H152" s="11"/>
      <c r="I152" s="12"/>
      <c r="J152" s="13" t="str">
        <f aca="false">IF($H152="","",IFERROR(VLOOKUP($H152,'BẢNG GIÁ GỐC'!$A$5:$D$254,3,FALSE()),""))</f>
        <v/>
      </c>
      <c r="K152" s="12"/>
      <c r="L152" s="13" t="str">
        <f aca="false">IF($C152="","",N($I152)*N($K152))</f>
        <v/>
      </c>
      <c r="M152" s="11"/>
      <c r="N152" s="14" t="str">
        <f aca="false">IF($C152="","",IF($M152="VAT 5%",0.05,IF($M152="VAT 8%",0.08,IF($M152="VAT 10%",0.1,0))))</f>
        <v/>
      </c>
      <c r="O152" s="13" t="str">
        <f aca="false">IF($C152="","",$L152*$N152)</f>
        <v/>
      </c>
      <c r="P152" s="13" t="str">
        <f aca="false">IF($C152="","",$L152+$O152)</f>
        <v/>
      </c>
      <c r="Q152" s="12"/>
      <c r="R152" s="13" t="str">
        <f aca="false">IF($C152="","",MAX(0,$P152-N($Q152)))</f>
        <v/>
      </c>
      <c r="S152" s="23" t="str">
        <f aca="false">IF(OR($C152="",$P152=0),"",IF(N($Q152)&lt;=0,"Chưa thanh toán",IF(N($Q152)&lt;$P152,"Thanh toán một phần","Đã thanh toán")))</f>
        <v/>
      </c>
      <c r="T152" s="13" t="str">
        <f aca="false">IF(OR($C152="",$J152=""),"",N($I152)*$J152)</f>
        <v/>
      </c>
      <c r="U152" s="13" t="str">
        <f aca="false">IF(OR($C152="",$T152=""),"",$L152-$T152)</f>
        <v/>
      </c>
      <c r="V152" s="14" t="str">
        <f aca="false">IF(OR($U152="",$L152=0),"",$U152/$L152)</f>
        <v/>
      </c>
      <c r="W152" s="11"/>
      <c r="X152" s="23" t="str">
        <f aca="false">IF($C152="","",IF(AND($H152="",N($I152)=0,N($K152)=0),"Dòng chỉ lưu thông tin khách (chưa có đơn); ",IF($B152="","Thiếu ngày đặt; ","")&amp;IF($H152="","Thiếu tên sản phẩm; ",IF($J152="","Chưa khai GIÁ GỐC ở BẢNG GIÁ GỐC; ",""))&amp;IF(N($I152)&lt;=0,"Thiếu số lượng; ","")&amp;IF(N($K152)&lt;=0,"Thiếu giá bán; ","")&amp;IF(AND($N152&gt;0,$F152=""),"Khách lấy VAT thiếu mã số thuế; ","")&amp;IF(N($Q152)&gt;$P152,"Đã thu vượt tổng phải thu; ","")&amp;IF(AND($L152&gt;0,$U152&lt;&gt;"",$U152&lt;0),"CẢNH BÁO: ĐƠN NÀY ĐANG LỖ; ","")))</f>
        <v/>
      </c>
    </row>
    <row r="153" customFormat="false" ht="15" hidden="false" customHeight="false" outlineLevel="0" collapsed="false">
      <c r="A153" s="21" t="str">
        <f aca="false">IF($C153="","",COUNTA($C$10:$C153))</f>
        <v/>
      </c>
      <c r="B153" s="18"/>
      <c r="C153" s="11"/>
      <c r="D153" s="11"/>
      <c r="E153" s="11"/>
      <c r="F153" s="11"/>
      <c r="G153" s="11"/>
      <c r="H153" s="11"/>
      <c r="I153" s="12"/>
      <c r="J153" s="13" t="str">
        <f aca="false">IF($H153="","",IFERROR(VLOOKUP($H153,'BẢNG GIÁ GỐC'!$A$5:$D$254,3,FALSE()),""))</f>
        <v/>
      </c>
      <c r="K153" s="12"/>
      <c r="L153" s="13" t="str">
        <f aca="false">IF($C153="","",N($I153)*N($K153))</f>
        <v/>
      </c>
      <c r="M153" s="11"/>
      <c r="N153" s="14" t="str">
        <f aca="false">IF($C153="","",IF($M153="VAT 5%",0.05,IF($M153="VAT 8%",0.08,IF($M153="VAT 10%",0.1,0))))</f>
        <v/>
      </c>
      <c r="O153" s="13" t="str">
        <f aca="false">IF($C153="","",$L153*$N153)</f>
        <v/>
      </c>
      <c r="P153" s="13" t="str">
        <f aca="false">IF($C153="","",$L153+$O153)</f>
        <v/>
      </c>
      <c r="Q153" s="12"/>
      <c r="R153" s="13" t="str">
        <f aca="false">IF($C153="","",MAX(0,$P153-N($Q153)))</f>
        <v/>
      </c>
      <c r="S153" s="23" t="str">
        <f aca="false">IF(OR($C153="",$P153=0),"",IF(N($Q153)&lt;=0,"Chưa thanh toán",IF(N($Q153)&lt;$P153,"Thanh toán một phần","Đã thanh toán")))</f>
        <v/>
      </c>
      <c r="T153" s="13" t="str">
        <f aca="false">IF(OR($C153="",$J153=""),"",N($I153)*$J153)</f>
        <v/>
      </c>
      <c r="U153" s="13" t="str">
        <f aca="false">IF(OR($C153="",$T153=""),"",$L153-$T153)</f>
        <v/>
      </c>
      <c r="V153" s="14" t="str">
        <f aca="false">IF(OR($U153="",$L153=0),"",$U153/$L153)</f>
        <v/>
      </c>
      <c r="W153" s="11"/>
      <c r="X153" s="23" t="str">
        <f aca="false">IF($C153="","",IF(AND($H153="",N($I153)=0,N($K153)=0),"Dòng chỉ lưu thông tin khách (chưa có đơn); ",IF($B153="","Thiếu ngày đặt; ","")&amp;IF($H153="","Thiếu tên sản phẩm; ",IF($J153="","Chưa khai GIÁ GỐC ở BẢNG GIÁ GỐC; ",""))&amp;IF(N($I153)&lt;=0,"Thiếu số lượng; ","")&amp;IF(N($K153)&lt;=0,"Thiếu giá bán; ","")&amp;IF(AND($N153&gt;0,$F153=""),"Khách lấy VAT thiếu mã số thuế; ","")&amp;IF(N($Q153)&gt;$P153,"Đã thu vượt tổng phải thu; ","")&amp;IF(AND($L153&gt;0,$U153&lt;&gt;"",$U153&lt;0),"CẢNH BÁO: ĐƠN NÀY ĐANG LỖ; ","")))</f>
        <v/>
      </c>
    </row>
    <row r="154" customFormat="false" ht="15" hidden="false" customHeight="false" outlineLevel="0" collapsed="false">
      <c r="A154" s="21" t="str">
        <f aca="false">IF($C154="","",COUNTA($C$10:$C154))</f>
        <v/>
      </c>
      <c r="B154" s="18"/>
      <c r="C154" s="11"/>
      <c r="D154" s="11"/>
      <c r="E154" s="11"/>
      <c r="F154" s="11"/>
      <c r="G154" s="11"/>
      <c r="H154" s="11"/>
      <c r="I154" s="12"/>
      <c r="J154" s="13" t="str">
        <f aca="false">IF($H154="","",IFERROR(VLOOKUP($H154,'BẢNG GIÁ GỐC'!$A$5:$D$254,3,FALSE()),""))</f>
        <v/>
      </c>
      <c r="K154" s="12"/>
      <c r="L154" s="13" t="str">
        <f aca="false">IF($C154="","",N($I154)*N($K154))</f>
        <v/>
      </c>
      <c r="M154" s="11"/>
      <c r="N154" s="14" t="str">
        <f aca="false">IF($C154="","",IF($M154="VAT 5%",0.05,IF($M154="VAT 8%",0.08,IF($M154="VAT 10%",0.1,0))))</f>
        <v/>
      </c>
      <c r="O154" s="13" t="str">
        <f aca="false">IF($C154="","",$L154*$N154)</f>
        <v/>
      </c>
      <c r="P154" s="13" t="str">
        <f aca="false">IF($C154="","",$L154+$O154)</f>
        <v/>
      </c>
      <c r="Q154" s="12"/>
      <c r="R154" s="13" t="str">
        <f aca="false">IF($C154="","",MAX(0,$P154-N($Q154)))</f>
        <v/>
      </c>
      <c r="S154" s="23" t="str">
        <f aca="false">IF(OR($C154="",$P154=0),"",IF(N($Q154)&lt;=0,"Chưa thanh toán",IF(N($Q154)&lt;$P154,"Thanh toán một phần","Đã thanh toán")))</f>
        <v/>
      </c>
      <c r="T154" s="13" t="str">
        <f aca="false">IF(OR($C154="",$J154=""),"",N($I154)*$J154)</f>
        <v/>
      </c>
      <c r="U154" s="13" t="str">
        <f aca="false">IF(OR($C154="",$T154=""),"",$L154-$T154)</f>
        <v/>
      </c>
      <c r="V154" s="14" t="str">
        <f aca="false">IF(OR($U154="",$L154=0),"",$U154/$L154)</f>
        <v/>
      </c>
      <c r="W154" s="11"/>
      <c r="X154" s="23" t="str">
        <f aca="false">IF($C154="","",IF(AND($H154="",N($I154)=0,N($K154)=0),"Dòng chỉ lưu thông tin khách (chưa có đơn); ",IF($B154="","Thiếu ngày đặt; ","")&amp;IF($H154="","Thiếu tên sản phẩm; ",IF($J154="","Chưa khai GIÁ GỐC ở BẢNG GIÁ GỐC; ",""))&amp;IF(N($I154)&lt;=0,"Thiếu số lượng; ","")&amp;IF(N($K154)&lt;=0,"Thiếu giá bán; ","")&amp;IF(AND($N154&gt;0,$F154=""),"Khách lấy VAT thiếu mã số thuế; ","")&amp;IF(N($Q154)&gt;$P154,"Đã thu vượt tổng phải thu; ","")&amp;IF(AND($L154&gt;0,$U154&lt;&gt;"",$U154&lt;0),"CẢNH BÁO: ĐƠN NÀY ĐANG LỖ; ","")))</f>
        <v/>
      </c>
    </row>
    <row r="155" customFormat="false" ht="15" hidden="false" customHeight="false" outlineLevel="0" collapsed="false">
      <c r="A155" s="21" t="str">
        <f aca="false">IF($C155="","",COUNTA($C$10:$C155))</f>
        <v/>
      </c>
      <c r="B155" s="18"/>
      <c r="C155" s="11"/>
      <c r="D155" s="11"/>
      <c r="E155" s="11"/>
      <c r="F155" s="11"/>
      <c r="G155" s="11"/>
      <c r="H155" s="11"/>
      <c r="I155" s="12"/>
      <c r="J155" s="13" t="str">
        <f aca="false">IF($H155="","",IFERROR(VLOOKUP($H155,'BẢNG GIÁ GỐC'!$A$5:$D$254,3,FALSE()),""))</f>
        <v/>
      </c>
      <c r="K155" s="12"/>
      <c r="L155" s="13" t="str">
        <f aca="false">IF($C155="","",N($I155)*N($K155))</f>
        <v/>
      </c>
      <c r="M155" s="11"/>
      <c r="N155" s="14" t="str">
        <f aca="false">IF($C155="","",IF($M155="VAT 5%",0.05,IF($M155="VAT 8%",0.08,IF($M155="VAT 10%",0.1,0))))</f>
        <v/>
      </c>
      <c r="O155" s="13" t="str">
        <f aca="false">IF($C155="","",$L155*$N155)</f>
        <v/>
      </c>
      <c r="P155" s="13" t="str">
        <f aca="false">IF($C155="","",$L155+$O155)</f>
        <v/>
      </c>
      <c r="Q155" s="12"/>
      <c r="R155" s="13" t="str">
        <f aca="false">IF($C155="","",MAX(0,$P155-N($Q155)))</f>
        <v/>
      </c>
      <c r="S155" s="23" t="str">
        <f aca="false">IF(OR($C155="",$P155=0),"",IF(N($Q155)&lt;=0,"Chưa thanh toán",IF(N($Q155)&lt;$P155,"Thanh toán một phần","Đã thanh toán")))</f>
        <v/>
      </c>
      <c r="T155" s="13" t="str">
        <f aca="false">IF(OR($C155="",$J155=""),"",N($I155)*$J155)</f>
        <v/>
      </c>
      <c r="U155" s="13" t="str">
        <f aca="false">IF(OR($C155="",$T155=""),"",$L155-$T155)</f>
        <v/>
      </c>
      <c r="V155" s="14" t="str">
        <f aca="false">IF(OR($U155="",$L155=0),"",$U155/$L155)</f>
        <v/>
      </c>
      <c r="W155" s="11"/>
      <c r="X155" s="23" t="str">
        <f aca="false">IF($C155="","",IF(AND($H155="",N($I155)=0,N($K155)=0),"Dòng chỉ lưu thông tin khách (chưa có đơn); ",IF($B155="","Thiếu ngày đặt; ","")&amp;IF($H155="","Thiếu tên sản phẩm; ",IF($J155="","Chưa khai GIÁ GỐC ở BẢNG GIÁ GỐC; ",""))&amp;IF(N($I155)&lt;=0,"Thiếu số lượng; ","")&amp;IF(N($K155)&lt;=0,"Thiếu giá bán; ","")&amp;IF(AND($N155&gt;0,$F155=""),"Khách lấy VAT thiếu mã số thuế; ","")&amp;IF(N($Q155)&gt;$P155,"Đã thu vượt tổng phải thu; ","")&amp;IF(AND($L155&gt;0,$U155&lt;&gt;"",$U155&lt;0),"CẢNH BÁO: ĐƠN NÀY ĐANG LỖ; ","")))</f>
        <v/>
      </c>
    </row>
    <row r="156" customFormat="false" ht="15" hidden="false" customHeight="false" outlineLevel="0" collapsed="false">
      <c r="A156" s="21" t="str">
        <f aca="false">IF($C156="","",COUNTA($C$10:$C156))</f>
        <v/>
      </c>
      <c r="B156" s="18"/>
      <c r="C156" s="11"/>
      <c r="D156" s="11"/>
      <c r="E156" s="11"/>
      <c r="F156" s="11"/>
      <c r="G156" s="11"/>
      <c r="H156" s="11"/>
      <c r="I156" s="12"/>
      <c r="J156" s="13" t="str">
        <f aca="false">IF($H156="","",IFERROR(VLOOKUP($H156,'BẢNG GIÁ GỐC'!$A$5:$D$254,3,FALSE()),""))</f>
        <v/>
      </c>
      <c r="K156" s="12"/>
      <c r="L156" s="13" t="str">
        <f aca="false">IF($C156="","",N($I156)*N($K156))</f>
        <v/>
      </c>
      <c r="M156" s="11"/>
      <c r="N156" s="14" t="str">
        <f aca="false">IF($C156="","",IF($M156="VAT 5%",0.05,IF($M156="VAT 8%",0.08,IF($M156="VAT 10%",0.1,0))))</f>
        <v/>
      </c>
      <c r="O156" s="13" t="str">
        <f aca="false">IF($C156="","",$L156*$N156)</f>
        <v/>
      </c>
      <c r="P156" s="13" t="str">
        <f aca="false">IF($C156="","",$L156+$O156)</f>
        <v/>
      </c>
      <c r="Q156" s="12"/>
      <c r="R156" s="13" t="str">
        <f aca="false">IF($C156="","",MAX(0,$P156-N($Q156)))</f>
        <v/>
      </c>
      <c r="S156" s="23" t="str">
        <f aca="false">IF(OR($C156="",$P156=0),"",IF(N($Q156)&lt;=0,"Chưa thanh toán",IF(N($Q156)&lt;$P156,"Thanh toán một phần","Đã thanh toán")))</f>
        <v/>
      </c>
      <c r="T156" s="13" t="str">
        <f aca="false">IF(OR($C156="",$J156=""),"",N($I156)*$J156)</f>
        <v/>
      </c>
      <c r="U156" s="13" t="str">
        <f aca="false">IF(OR($C156="",$T156=""),"",$L156-$T156)</f>
        <v/>
      </c>
      <c r="V156" s="14" t="str">
        <f aca="false">IF(OR($U156="",$L156=0),"",$U156/$L156)</f>
        <v/>
      </c>
      <c r="W156" s="11"/>
      <c r="X156" s="23" t="str">
        <f aca="false">IF($C156="","",IF(AND($H156="",N($I156)=0,N($K156)=0),"Dòng chỉ lưu thông tin khách (chưa có đơn); ",IF($B156="","Thiếu ngày đặt; ","")&amp;IF($H156="","Thiếu tên sản phẩm; ",IF($J156="","Chưa khai GIÁ GỐC ở BẢNG GIÁ GỐC; ",""))&amp;IF(N($I156)&lt;=0,"Thiếu số lượng; ","")&amp;IF(N($K156)&lt;=0,"Thiếu giá bán; ","")&amp;IF(AND($N156&gt;0,$F156=""),"Khách lấy VAT thiếu mã số thuế; ","")&amp;IF(N($Q156)&gt;$P156,"Đã thu vượt tổng phải thu; ","")&amp;IF(AND($L156&gt;0,$U156&lt;&gt;"",$U156&lt;0),"CẢNH BÁO: ĐƠN NÀY ĐANG LỖ; ","")))</f>
        <v/>
      </c>
    </row>
    <row r="157" customFormat="false" ht="15" hidden="false" customHeight="false" outlineLevel="0" collapsed="false">
      <c r="A157" s="21" t="str">
        <f aca="false">IF($C157="","",COUNTA($C$10:$C157))</f>
        <v/>
      </c>
      <c r="B157" s="18"/>
      <c r="C157" s="11"/>
      <c r="D157" s="11"/>
      <c r="E157" s="11"/>
      <c r="F157" s="11"/>
      <c r="G157" s="11"/>
      <c r="H157" s="11"/>
      <c r="I157" s="12"/>
      <c r="J157" s="13" t="str">
        <f aca="false">IF($H157="","",IFERROR(VLOOKUP($H157,'BẢNG GIÁ GỐC'!$A$5:$D$254,3,FALSE()),""))</f>
        <v/>
      </c>
      <c r="K157" s="12"/>
      <c r="L157" s="13" t="str">
        <f aca="false">IF($C157="","",N($I157)*N($K157))</f>
        <v/>
      </c>
      <c r="M157" s="11"/>
      <c r="N157" s="14" t="str">
        <f aca="false">IF($C157="","",IF($M157="VAT 5%",0.05,IF($M157="VAT 8%",0.08,IF($M157="VAT 10%",0.1,0))))</f>
        <v/>
      </c>
      <c r="O157" s="13" t="str">
        <f aca="false">IF($C157="","",$L157*$N157)</f>
        <v/>
      </c>
      <c r="P157" s="13" t="str">
        <f aca="false">IF($C157="","",$L157+$O157)</f>
        <v/>
      </c>
      <c r="Q157" s="12"/>
      <c r="R157" s="13" t="str">
        <f aca="false">IF($C157="","",MAX(0,$P157-N($Q157)))</f>
        <v/>
      </c>
      <c r="S157" s="23" t="str">
        <f aca="false">IF(OR($C157="",$P157=0),"",IF(N($Q157)&lt;=0,"Chưa thanh toán",IF(N($Q157)&lt;$P157,"Thanh toán một phần","Đã thanh toán")))</f>
        <v/>
      </c>
      <c r="T157" s="13" t="str">
        <f aca="false">IF(OR($C157="",$J157=""),"",N($I157)*$J157)</f>
        <v/>
      </c>
      <c r="U157" s="13" t="str">
        <f aca="false">IF(OR($C157="",$T157=""),"",$L157-$T157)</f>
        <v/>
      </c>
      <c r="V157" s="14" t="str">
        <f aca="false">IF(OR($U157="",$L157=0),"",$U157/$L157)</f>
        <v/>
      </c>
      <c r="W157" s="11"/>
      <c r="X157" s="23" t="str">
        <f aca="false">IF($C157="","",IF(AND($H157="",N($I157)=0,N($K157)=0),"Dòng chỉ lưu thông tin khách (chưa có đơn); ",IF($B157="","Thiếu ngày đặt; ","")&amp;IF($H157="","Thiếu tên sản phẩm; ",IF($J157="","Chưa khai GIÁ GỐC ở BẢNG GIÁ GỐC; ",""))&amp;IF(N($I157)&lt;=0,"Thiếu số lượng; ","")&amp;IF(N($K157)&lt;=0,"Thiếu giá bán; ","")&amp;IF(AND($N157&gt;0,$F157=""),"Khách lấy VAT thiếu mã số thuế; ","")&amp;IF(N($Q157)&gt;$P157,"Đã thu vượt tổng phải thu; ","")&amp;IF(AND($L157&gt;0,$U157&lt;&gt;"",$U157&lt;0),"CẢNH BÁO: ĐƠN NÀY ĐANG LỖ; ","")))</f>
        <v/>
      </c>
    </row>
    <row r="158" customFormat="false" ht="15" hidden="false" customHeight="false" outlineLevel="0" collapsed="false">
      <c r="A158" s="21" t="str">
        <f aca="false">IF($C158="","",COUNTA($C$10:$C158))</f>
        <v/>
      </c>
      <c r="B158" s="18"/>
      <c r="C158" s="11"/>
      <c r="D158" s="11"/>
      <c r="E158" s="11"/>
      <c r="F158" s="11"/>
      <c r="G158" s="11"/>
      <c r="H158" s="11"/>
      <c r="I158" s="12"/>
      <c r="J158" s="13" t="str">
        <f aca="false">IF($H158="","",IFERROR(VLOOKUP($H158,'BẢNG GIÁ GỐC'!$A$5:$D$254,3,FALSE()),""))</f>
        <v/>
      </c>
      <c r="K158" s="12"/>
      <c r="L158" s="13" t="str">
        <f aca="false">IF($C158="","",N($I158)*N($K158))</f>
        <v/>
      </c>
      <c r="M158" s="11"/>
      <c r="N158" s="14" t="str">
        <f aca="false">IF($C158="","",IF($M158="VAT 5%",0.05,IF($M158="VAT 8%",0.08,IF($M158="VAT 10%",0.1,0))))</f>
        <v/>
      </c>
      <c r="O158" s="13" t="str">
        <f aca="false">IF($C158="","",$L158*$N158)</f>
        <v/>
      </c>
      <c r="P158" s="13" t="str">
        <f aca="false">IF($C158="","",$L158+$O158)</f>
        <v/>
      </c>
      <c r="Q158" s="12"/>
      <c r="R158" s="13" t="str">
        <f aca="false">IF($C158="","",MAX(0,$P158-N($Q158)))</f>
        <v/>
      </c>
      <c r="S158" s="23" t="str">
        <f aca="false">IF(OR($C158="",$P158=0),"",IF(N($Q158)&lt;=0,"Chưa thanh toán",IF(N($Q158)&lt;$P158,"Thanh toán một phần","Đã thanh toán")))</f>
        <v/>
      </c>
      <c r="T158" s="13" t="str">
        <f aca="false">IF(OR($C158="",$J158=""),"",N($I158)*$J158)</f>
        <v/>
      </c>
      <c r="U158" s="13" t="str">
        <f aca="false">IF(OR($C158="",$T158=""),"",$L158-$T158)</f>
        <v/>
      </c>
      <c r="V158" s="14" t="str">
        <f aca="false">IF(OR($U158="",$L158=0),"",$U158/$L158)</f>
        <v/>
      </c>
      <c r="W158" s="11"/>
      <c r="X158" s="23" t="str">
        <f aca="false">IF($C158="","",IF(AND($H158="",N($I158)=0,N($K158)=0),"Dòng chỉ lưu thông tin khách (chưa có đơn); ",IF($B158="","Thiếu ngày đặt; ","")&amp;IF($H158="","Thiếu tên sản phẩm; ",IF($J158="","Chưa khai GIÁ GỐC ở BẢNG GIÁ GỐC; ",""))&amp;IF(N($I158)&lt;=0,"Thiếu số lượng; ","")&amp;IF(N($K158)&lt;=0,"Thiếu giá bán; ","")&amp;IF(AND($N158&gt;0,$F158=""),"Khách lấy VAT thiếu mã số thuế; ","")&amp;IF(N($Q158)&gt;$P158,"Đã thu vượt tổng phải thu; ","")&amp;IF(AND($L158&gt;0,$U158&lt;&gt;"",$U158&lt;0),"CẢNH BÁO: ĐƠN NÀY ĐANG LỖ; ","")))</f>
        <v/>
      </c>
    </row>
    <row r="159" customFormat="false" ht="15" hidden="false" customHeight="false" outlineLevel="0" collapsed="false">
      <c r="A159" s="21" t="str">
        <f aca="false">IF($C159="","",COUNTA($C$10:$C159))</f>
        <v/>
      </c>
      <c r="B159" s="18"/>
      <c r="C159" s="11"/>
      <c r="D159" s="11"/>
      <c r="E159" s="11"/>
      <c r="F159" s="11"/>
      <c r="G159" s="11"/>
      <c r="H159" s="11"/>
      <c r="I159" s="12"/>
      <c r="J159" s="13" t="str">
        <f aca="false">IF($H159="","",IFERROR(VLOOKUP($H159,'BẢNG GIÁ GỐC'!$A$5:$D$254,3,FALSE()),""))</f>
        <v/>
      </c>
      <c r="K159" s="12"/>
      <c r="L159" s="13" t="str">
        <f aca="false">IF($C159="","",N($I159)*N($K159))</f>
        <v/>
      </c>
      <c r="M159" s="11"/>
      <c r="N159" s="14" t="str">
        <f aca="false">IF($C159="","",IF($M159="VAT 5%",0.05,IF($M159="VAT 8%",0.08,IF($M159="VAT 10%",0.1,0))))</f>
        <v/>
      </c>
      <c r="O159" s="13" t="str">
        <f aca="false">IF($C159="","",$L159*$N159)</f>
        <v/>
      </c>
      <c r="P159" s="13" t="str">
        <f aca="false">IF($C159="","",$L159+$O159)</f>
        <v/>
      </c>
      <c r="Q159" s="12"/>
      <c r="R159" s="13" t="str">
        <f aca="false">IF($C159="","",MAX(0,$P159-N($Q159)))</f>
        <v/>
      </c>
      <c r="S159" s="23" t="str">
        <f aca="false">IF(OR($C159="",$P159=0),"",IF(N($Q159)&lt;=0,"Chưa thanh toán",IF(N($Q159)&lt;$P159,"Thanh toán một phần","Đã thanh toán")))</f>
        <v/>
      </c>
      <c r="T159" s="13" t="str">
        <f aca="false">IF(OR($C159="",$J159=""),"",N($I159)*$J159)</f>
        <v/>
      </c>
      <c r="U159" s="13" t="str">
        <f aca="false">IF(OR($C159="",$T159=""),"",$L159-$T159)</f>
        <v/>
      </c>
      <c r="V159" s="14" t="str">
        <f aca="false">IF(OR($U159="",$L159=0),"",$U159/$L159)</f>
        <v/>
      </c>
      <c r="W159" s="11"/>
      <c r="X159" s="23" t="str">
        <f aca="false">IF($C159="","",IF(AND($H159="",N($I159)=0,N($K159)=0),"Dòng chỉ lưu thông tin khách (chưa có đơn); ",IF($B159="","Thiếu ngày đặt; ","")&amp;IF($H159="","Thiếu tên sản phẩm; ",IF($J159="","Chưa khai GIÁ GỐC ở BẢNG GIÁ GỐC; ",""))&amp;IF(N($I159)&lt;=0,"Thiếu số lượng; ","")&amp;IF(N($K159)&lt;=0,"Thiếu giá bán; ","")&amp;IF(AND($N159&gt;0,$F159=""),"Khách lấy VAT thiếu mã số thuế; ","")&amp;IF(N($Q159)&gt;$P159,"Đã thu vượt tổng phải thu; ","")&amp;IF(AND($L159&gt;0,$U159&lt;&gt;"",$U159&lt;0),"CẢNH BÁO: ĐƠN NÀY ĐANG LỖ; ","")))</f>
        <v/>
      </c>
    </row>
  </sheetData>
  <autoFilter ref="A9:X159"/>
  <mergeCells count="35">
    <mergeCell ref="A1:X1"/>
    <mergeCell ref="A2:X2"/>
    <mergeCell ref="A3:C3"/>
    <mergeCell ref="D3:E3"/>
    <mergeCell ref="F3:H3"/>
    <mergeCell ref="I3:K3"/>
    <mergeCell ref="L3:O3"/>
    <mergeCell ref="P3:R3"/>
    <mergeCell ref="Z3:AD3"/>
    <mergeCell ref="A4:C4"/>
    <mergeCell ref="D4:E4"/>
    <mergeCell ref="F4:H4"/>
    <mergeCell ref="I4:K4"/>
    <mergeCell ref="L4:O4"/>
    <mergeCell ref="P4:R4"/>
    <mergeCell ref="A5:C5"/>
    <mergeCell ref="D5:E5"/>
    <mergeCell ref="F5:H5"/>
    <mergeCell ref="I5:K5"/>
    <mergeCell ref="L5:O5"/>
    <mergeCell ref="P5:R5"/>
    <mergeCell ref="A6:C6"/>
    <mergeCell ref="D6:E6"/>
    <mergeCell ref="F6:H6"/>
    <mergeCell ref="I6:K6"/>
    <mergeCell ref="L6:O6"/>
    <mergeCell ref="P6:R6"/>
    <mergeCell ref="A7:C7"/>
    <mergeCell ref="D7:E7"/>
    <mergeCell ref="F7:H7"/>
    <mergeCell ref="I7:K7"/>
    <mergeCell ref="L7:O7"/>
    <mergeCell ref="P7:R7"/>
    <mergeCell ref="A8:X8"/>
    <mergeCell ref="Z25:AB25"/>
  </mergeCells>
  <conditionalFormatting sqref="R10:R159">
    <cfRule type="cellIs" priority="2" operator="greaterThan" aboveAverage="0" equalAverage="0" bottom="0" percent="0" rank="0" text="" dxfId="8">
      <formula>0</formula>
    </cfRule>
  </conditionalFormatting>
  <conditionalFormatting sqref="U10:U159">
    <cfRule type="cellIs" priority="3" operator="lessThan" aboveAverage="0" equalAverage="0" bottom="0" percent="0" rank="0" text="" dxfId="8">
      <formula>0</formula>
    </cfRule>
  </conditionalFormatting>
  <conditionalFormatting sqref="X10:X159">
    <cfRule type="expression" priority="4" aboveAverage="0" equalAverage="0" bottom="0" percent="0" rank="0" text="" dxfId="13">
      <formula>LEN($X10)&gt;0</formula>
    </cfRule>
  </conditionalFormatting>
  <conditionalFormatting sqref="S10:S159">
    <cfRule type="expression" priority="5" aboveAverage="0" equalAverage="0" bottom="0" percent="0" rank="0" text="" dxfId="14">
      <formula>$S10="Đã thanh toán"</formula>
    </cfRule>
  </conditionalFormatting>
  <dataValidations count="5">
    <dataValidation allowBlank="true" error="Chỉ nhập số, không nhập chữ và không nhập số âm." errorStyle="stop" errorTitle="Số không hợp lệ" operator="greaterThanOrEqual" showDropDown="false" showErrorMessage="false" showInputMessage="false" sqref="AC5:AC24 I10:I159 K10:K159 Q10:Q159" type="decimal">
      <formula1>0</formula1>
      <formula2>0</formula2>
    </dataValidation>
    <dataValidation allowBlank="true" error="Hãy chọn sản phẩm có trong sheet BẢNG GIÁ GỐC, hoặc thêm sản phẩm đó vào BẢNG GIÁ GỐC trước." errorStyle="stop" errorTitle="Sản phẩm chưa có trong bảng giá" operator="between" showDropDown="false" showErrorMessage="false" showInputMessage="false" sqref="H10:H159" type="list">
      <formula1>DS_SANPHAM</formula1>
      <formula2>0</formula2>
    </dataValidation>
    <dataValidation allowBlank="true" errorStyle="stop" operator="between" showDropDown="false" showErrorMessage="false" showInputMessage="false" sqref="M10:M159" type="list">
      <formula1>"Không lấy VAT,VAT 5%,VAT 8%,VAT 10%"</formula1>
      <formula2>0</formula2>
    </dataValidation>
    <dataValidation allowBlank="true" errorStyle="stop" operator="between" showDropDown="false" showErrorMessage="false" showInputMessage="false" sqref="AA5:AA24" type="list">
      <formula1>"Tiền ship,Nguyên vật liệu,Nhân công,Quảng cáo,Thuê kho bãi,Điện nước,Đổi trả - bồi thường,Chi phí khác"</formula1>
      <formula2>0</formula2>
    </dataValidation>
    <dataValidation allowBlank="true" errorStyle="stop" operator="between" showDropDown="false" showErrorMessage="false" showInputMessage="false" sqref="Z5:Z24 B10:B159" type="date">
      <formula1>DATE(2020,1,1)</formula1>
      <formula2>DATE(2100,12,31)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D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0"/>
    <col collapsed="false" customWidth="true" hidden="false" outlineLevel="0" max="4" min="4" style="0" width="14"/>
    <col collapsed="false" customWidth="true" hidden="false" outlineLevel="0" max="5" min="5" style="0" width="30"/>
    <col collapsed="false" customWidth="true" hidden="false" outlineLevel="0" max="6" min="6" style="0" width="16"/>
    <col collapsed="false" customWidth="true" hidden="false" outlineLevel="0" max="8" min="7" style="0" width="34"/>
    <col collapsed="false" customWidth="true" hidden="false" outlineLevel="0" max="9" min="9" style="0" width="10"/>
    <col collapsed="false" customWidth="true" hidden="false" outlineLevel="0" max="10" min="10" style="0" width="14"/>
    <col collapsed="false" customWidth="true" hidden="false" outlineLevel="0" max="13" min="11" style="0" width="15"/>
    <col collapsed="false" customWidth="true" hidden="false" outlineLevel="0" max="14" min="14" style="0" width="10"/>
    <col collapsed="false" customWidth="true" hidden="false" outlineLevel="0" max="15" min="15" style="0" width="13"/>
    <col collapsed="false" customWidth="true" hidden="false" outlineLevel="0" max="17" min="16" style="0" width="16"/>
    <col collapsed="false" customWidth="true" hidden="false" outlineLevel="0" max="18" min="18" style="0" width="14"/>
    <col collapsed="false" customWidth="true" hidden="false" outlineLevel="0" max="19" min="19" style="0" width="18"/>
    <col collapsed="false" customWidth="true" hidden="false" outlineLevel="0" max="21" min="20" style="0" width="14"/>
    <col collapsed="false" customWidth="true" hidden="false" outlineLevel="0" max="22" min="22" style="0" width="9"/>
    <col collapsed="false" customWidth="true" hidden="false" outlineLevel="0" max="23" min="23" style="0" width="28"/>
    <col collapsed="false" customWidth="true" hidden="false" outlineLevel="0" max="24" min="24" style="0" width="38"/>
    <col collapsed="false" customWidth="true" hidden="false" outlineLevel="0" max="26" min="26" style="0" width="12"/>
    <col collapsed="false" customWidth="true" hidden="false" outlineLevel="0" max="27" min="27" style="0" width="22"/>
    <col collapsed="false" customWidth="true" hidden="false" outlineLevel="0" max="28" min="28" style="0" width="34"/>
    <col collapsed="false" customWidth="true" hidden="false" outlineLevel="0" max="29" min="29" style="0" width="16"/>
    <col collapsed="false" customWidth="true" hidden="false" outlineLevel="0" max="30" min="30" style="0" width="28"/>
  </cols>
  <sheetData>
    <row r="1" customFormat="false" ht="27.75" hidden="false" customHeight="true" outlineLevel="0" collapsed="false">
      <c r="A1" s="1" t="s">
        <v>416</v>
      </c>
      <c r="B1" s="1"/>
      <c r="C1" s="1"/>
      <c r="D1" s="1"/>
      <c r="E1" s="1"/>
      <c r="F1" s="1"/>
      <c r="G1" s="1"/>
      <c r="H1" s="1"/>
      <c r="I1" s="1"/>
      <c r="J1" s="1"/>
      <c r="K1" s="1"/>
      <c r="L1" s="1"/>
      <c r="M1" s="1"/>
      <c r="N1" s="1"/>
      <c r="O1" s="1"/>
      <c r="P1" s="1"/>
      <c r="Q1" s="1"/>
      <c r="R1" s="1"/>
      <c r="S1" s="1"/>
      <c r="T1" s="1"/>
      <c r="U1" s="1"/>
      <c r="V1" s="1"/>
      <c r="W1" s="1"/>
      <c r="X1" s="1"/>
    </row>
    <row r="2" customFormat="false" ht="18.75" hidden="false" customHeight="true" outlineLevel="0" collapsed="false">
      <c r="A2" s="2" t="s">
        <v>117</v>
      </c>
      <c r="B2" s="2"/>
      <c r="C2" s="2"/>
      <c r="D2" s="2"/>
      <c r="E2" s="2"/>
      <c r="F2" s="2"/>
      <c r="G2" s="2"/>
      <c r="H2" s="2"/>
      <c r="I2" s="2"/>
      <c r="J2" s="2"/>
      <c r="K2" s="2"/>
      <c r="L2" s="2"/>
      <c r="M2" s="2"/>
      <c r="N2" s="2"/>
      <c r="O2" s="2"/>
      <c r="P2" s="2"/>
      <c r="Q2" s="2"/>
      <c r="R2" s="2"/>
      <c r="S2" s="2"/>
      <c r="T2" s="2"/>
      <c r="U2" s="2"/>
      <c r="V2" s="2"/>
      <c r="W2" s="2"/>
      <c r="X2" s="2"/>
    </row>
    <row r="3" customFormat="false" ht="19.5" hidden="false" customHeight="true" outlineLevel="0" collapsed="false">
      <c r="A3" s="15" t="s">
        <v>118</v>
      </c>
      <c r="B3" s="15"/>
      <c r="C3" s="15"/>
      <c r="D3" s="16" t="n">
        <f aca="false">COUNTIFS($C$10:$C$159,"?*",$L$10:$L$159,"&gt;0")</f>
        <v>0</v>
      </c>
      <c r="E3" s="16"/>
      <c r="F3" s="15" t="s">
        <v>119</v>
      </c>
      <c r="G3" s="15"/>
      <c r="H3" s="15"/>
      <c r="I3" s="16" t="n">
        <f aca="false">SUM($L$10:$L$159)</f>
        <v>0</v>
      </c>
      <c r="J3" s="16"/>
      <c r="K3" s="16"/>
      <c r="L3" s="15" t="s">
        <v>120</v>
      </c>
      <c r="M3" s="15"/>
      <c r="N3" s="15"/>
      <c r="O3" s="15"/>
      <c r="P3" s="16" t="n">
        <f aca="false">SUM($T$10:$T$159)</f>
        <v>0</v>
      </c>
      <c r="Q3" s="16"/>
      <c r="R3" s="16"/>
      <c r="Z3" s="17" t="s">
        <v>417</v>
      </c>
      <c r="AA3" s="17"/>
      <c r="AB3" s="17"/>
      <c r="AC3" s="17"/>
      <c r="AD3" s="17"/>
    </row>
    <row r="4" customFormat="false" ht="19.5" hidden="false" customHeight="true" outlineLevel="0" collapsed="false">
      <c r="A4" s="15" t="s">
        <v>122</v>
      </c>
      <c r="B4" s="15"/>
      <c r="C4" s="15"/>
      <c r="D4" s="16" t="n">
        <f aca="false">IF(COUNTA($C$10:$C$159)=0,0,SUMPRODUCT(($C$10:$C$159&lt;&gt;"")/COUNTIF($C$10:$C$159,$C$10:$C$159&amp;"")))</f>
        <v>0</v>
      </c>
      <c r="E4" s="16"/>
      <c r="F4" s="15" t="s">
        <v>123</v>
      </c>
      <c r="G4" s="15"/>
      <c r="H4" s="15"/>
      <c r="I4" s="16" t="n">
        <f aca="false">SUM($O$10:$O$159)</f>
        <v>0</v>
      </c>
      <c r="J4" s="16"/>
      <c r="K4" s="16"/>
      <c r="L4" s="15" t="s">
        <v>124</v>
      </c>
      <c r="M4" s="15"/>
      <c r="N4" s="15"/>
      <c r="O4" s="15"/>
      <c r="P4" s="16" t="n">
        <f aca="false">SUM($AC$5:$AC$24)</f>
        <v>0</v>
      </c>
      <c r="Q4" s="16"/>
      <c r="R4" s="16"/>
      <c r="Z4" s="9" t="s">
        <v>125</v>
      </c>
      <c r="AA4" s="9" t="s">
        <v>126</v>
      </c>
      <c r="AB4" s="9" t="s">
        <v>127</v>
      </c>
      <c r="AC4" s="9" t="s">
        <v>128</v>
      </c>
      <c r="AD4" s="9" t="s">
        <v>65</v>
      </c>
    </row>
    <row r="5" customFormat="false" ht="19.5" hidden="false" customHeight="true" outlineLevel="0" collapsed="false">
      <c r="A5" s="15" t="s">
        <v>129</v>
      </c>
      <c r="B5" s="15"/>
      <c r="C5" s="15"/>
      <c r="D5" s="16" t="n">
        <f aca="false">COUNTIFS($P$10:$P$159,"&gt;0",$R$10:$R$159,"&lt;=0")</f>
        <v>0</v>
      </c>
      <c r="E5" s="16"/>
      <c r="F5" s="15" t="s">
        <v>130</v>
      </c>
      <c r="G5" s="15"/>
      <c r="H5" s="15"/>
      <c r="I5" s="16" t="n">
        <f aca="false">SUM($P$10:$P$159)</f>
        <v>0</v>
      </c>
      <c r="J5" s="16"/>
      <c r="K5" s="16"/>
      <c r="L5" s="15" t="s">
        <v>131</v>
      </c>
      <c r="M5" s="15"/>
      <c r="N5" s="15"/>
      <c r="O5" s="15"/>
      <c r="P5" s="16" t="n">
        <f aca="false">$P3+$P4</f>
        <v>0</v>
      </c>
      <c r="Q5" s="16"/>
      <c r="R5" s="16"/>
      <c r="Z5" s="18"/>
      <c r="AA5" s="11"/>
      <c r="AB5" s="11"/>
      <c r="AC5" s="12"/>
      <c r="AD5" s="11"/>
    </row>
    <row r="6" customFormat="false" ht="19.5" hidden="false" customHeight="true" outlineLevel="0" collapsed="false">
      <c r="A6" s="15" t="s">
        <v>132</v>
      </c>
      <c r="B6" s="15"/>
      <c r="C6" s="15"/>
      <c r="D6" s="16" t="n">
        <f aca="false">COUNTIF($R$10:$R$159,"&gt;0")</f>
        <v>0</v>
      </c>
      <c r="E6" s="16"/>
      <c r="F6" s="15" t="s">
        <v>133</v>
      </c>
      <c r="G6" s="15"/>
      <c r="H6" s="15"/>
      <c r="I6" s="16" t="n">
        <f aca="false">SUM($Q$10:$Q$159)</f>
        <v>0</v>
      </c>
      <c r="J6" s="16"/>
      <c r="K6" s="16"/>
      <c r="L6" s="15" t="s">
        <v>134</v>
      </c>
      <c r="M6" s="15"/>
      <c r="N6" s="15"/>
      <c r="O6" s="15"/>
      <c r="P6" s="16" t="n">
        <f aca="false">$I3-$P5</f>
        <v>0</v>
      </c>
      <c r="Q6" s="16"/>
      <c r="R6" s="16"/>
      <c r="Z6" s="18"/>
      <c r="AA6" s="11"/>
      <c r="AB6" s="11"/>
      <c r="AC6" s="12"/>
      <c r="AD6" s="11"/>
    </row>
    <row r="7" customFormat="false" ht="19.5" hidden="false" customHeight="true" outlineLevel="0" collapsed="false">
      <c r="A7" s="15" t="s">
        <v>135</v>
      </c>
      <c r="B7" s="15"/>
      <c r="C7" s="15"/>
      <c r="D7" s="19" t="str">
        <f aca="false">IF($I5=0,"",$I6/$I5)</f>
        <v/>
      </c>
      <c r="E7" s="19"/>
      <c r="F7" s="15" t="s">
        <v>136</v>
      </c>
      <c r="G7" s="15"/>
      <c r="H7" s="15"/>
      <c r="I7" s="16" t="n">
        <f aca="false">SUM($R$10:$R$159)</f>
        <v>0</v>
      </c>
      <c r="J7" s="16"/>
      <c r="K7" s="16"/>
      <c r="L7" s="15" t="s">
        <v>137</v>
      </c>
      <c r="M7" s="15"/>
      <c r="N7" s="15"/>
      <c r="O7" s="15"/>
      <c r="P7" s="19" t="str">
        <f aca="false">IF($I3=0,"",$P6/$I3)</f>
        <v/>
      </c>
      <c r="Q7" s="19"/>
      <c r="R7" s="19"/>
      <c r="Z7" s="18"/>
      <c r="AA7" s="11"/>
      <c r="AB7" s="11"/>
      <c r="AC7" s="12"/>
      <c r="AD7" s="11"/>
    </row>
    <row r="8" customFormat="false" ht="21.75" hidden="false" customHeight="true" outlineLevel="0" collapsed="false">
      <c r="A8" s="20" t="str">
        <f aca="false">IF(SUMPRODUCT(($H$10:$H$159&lt;&gt;"")*($J$10:$J$159=""))=0,"✔ Mọi đơn trong tháng đã có GIÁ GỐC – số liệu lãi lỗ đầy đủ.","⚠ CÓ "&amp;SUMPRODUCT(($H$10:$H$159&lt;&gt;"")*($J$10:$J$159=""))&amp;" ĐƠN CHƯA KHAI GIÁ GỐC → GIÁ VỐN và LÃI/LỖ của tháng CHƯA ĐỦ. Vào sheet BẢNG GIÁ GỐC điền cột GIÁ GỐC/SP.")</f>
        <v>✔ Mọi đơn trong tháng đã có GIÁ GỐC – số liệu lãi lỗ đầy đủ.</v>
      </c>
      <c r="B8" s="20"/>
      <c r="C8" s="20"/>
      <c r="D8" s="20"/>
      <c r="E8" s="20"/>
      <c r="F8" s="20"/>
      <c r="G8" s="20"/>
      <c r="H8" s="20"/>
      <c r="I8" s="20"/>
      <c r="J8" s="20"/>
      <c r="K8" s="20"/>
      <c r="L8" s="20"/>
      <c r="M8" s="20"/>
      <c r="N8" s="20"/>
      <c r="O8" s="20"/>
      <c r="P8" s="20"/>
      <c r="Q8" s="20"/>
      <c r="R8" s="20"/>
      <c r="S8" s="20"/>
      <c r="T8" s="20"/>
      <c r="U8" s="20"/>
      <c r="V8" s="20"/>
      <c r="W8" s="20"/>
      <c r="X8" s="20"/>
      <c r="Z8" s="18"/>
      <c r="AA8" s="11"/>
      <c r="AB8" s="11"/>
      <c r="AC8" s="12"/>
      <c r="AD8" s="11"/>
    </row>
    <row r="9" customFormat="false" ht="33.75" hidden="false" customHeight="true" outlineLevel="0" collapsed="false">
      <c r="A9" s="10" t="s">
        <v>138</v>
      </c>
      <c r="B9" s="9" t="s">
        <v>139</v>
      </c>
      <c r="C9" s="9" t="s">
        <v>140</v>
      </c>
      <c r="D9" s="9" t="s">
        <v>141</v>
      </c>
      <c r="E9" s="9" t="s">
        <v>142</v>
      </c>
      <c r="F9" s="9" t="s">
        <v>143</v>
      </c>
      <c r="G9" s="9" t="s">
        <v>144</v>
      </c>
      <c r="H9" s="9" t="s">
        <v>59</v>
      </c>
      <c r="I9" s="9" t="s">
        <v>145</v>
      </c>
      <c r="J9" s="10" t="s">
        <v>61</v>
      </c>
      <c r="K9" s="9" t="s">
        <v>146</v>
      </c>
      <c r="L9" s="10" t="s">
        <v>147</v>
      </c>
      <c r="M9" s="9" t="s">
        <v>148</v>
      </c>
      <c r="N9" s="10" t="s">
        <v>149</v>
      </c>
      <c r="O9" s="10" t="s">
        <v>123</v>
      </c>
      <c r="P9" s="10" t="s">
        <v>150</v>
      </c>
      <c r="Q9" s="9" t="s">
        <v>151</v>
      </c>
      <c r="R9" s="10" t="s">
        <v>152</v>
      </c>
      <c r="S9" s="10" t="s">
        <v>153</v>
      </c>
      <c r="T9" s="10" t="s">
        <v>154</v>
      </c>
      <c r="U9" s="10" t="s">
        <v>155</v>
      </c>
      <c r="V9" s="10" t="s">
        <v>156</v>
      </c>
      <c r="W9" s="9" t="s">
        <v>65</v>
      </c>
      <c r="X9" s="10" t="s">
        <v>157</v>
      </c>
      <c r="Z9" s="18"/>
      <c r="AA9" s="11"/>
      <c r="AB9" s="11"/>
      <c r="AC9" s="12"/>
      <c r="AD9" s="11"/>
    </row>
    <row r="10" customFormat="false" ht="15" hidden="false" customHeight="false" outlineLevel="0" collapsed="false">
      <c r="A10" s="21" t="str">
        <f aca="false">IF($C10="","",COUNTA($C$10:$C10))</f>
        <v/>
      </c>
      <c r="B10" s="18"/>
      <c r="C10" s="11"/>
      <c r="D10" s="11"/>
      <c r="E10" s="11"/>
      <c r="F10" s="11"/>
      <c r="G10" s="11"/>
      <c r="H10" s="11"/>
      <c r="I10" s="12"/>
      <c r="J10" s="13" t="str">
        <f aca="false">IF($H10="","",IFERROR(VLOOKUP($H10,'BẢNG GIÁ GỐC'!$A$5:$D$254,3,FALSE()),""))</f>
        <v/>
      </c>
      <c r="K10" s="12"/>
      <c r="L10" s="13" t="str">
        <f aca="false">IF($C10="","",N($I10)*N($K10))</f>
        <v/>
      </c>
      <c r="M10" s="11"/>
      <c r="N10" s="14" t="str">
        <f aca="false">IF($C10="","",IF($M10="VAT 5%",0.05,IF($M10="VAT 8%",0.08,IF($M10="VAT 10%",0.1,0))))</f>
        <v/>
      </c>
      <c r="O10" s="13" t="str">
        <f aca="false">IF($C10="","",$L10*$N10)</f>
        <v/>
      </c>
      <c r="P10" s="13" t="str">
        <f aca="false">IF($C10="","",$L10+$O10)</f>
        <v/>
      </c>
      <c r="Q10" s="12"/>
      <c r="R10" s="13" t="str">
        <f aca="false">IF($C10="","",MAX(0,$P10-N($Q10)))</f>
        <v/>
      </c>
      <c r="S10" s="23" t="str">
        <f aca="false">IF(OR($C10="",$P10=0),"",IF(N($Q10)&lt;=0,"Chưa thanh toán",IF(N($Q10)&lt;$P10,"Thanh toán một phần","Đã thanh toán")))</f>
        <v/>
      </c>
      <c r="T10" s="13" t="str">
        <f aca="false">IF(OR($C10="",$J10=""),"",N($I10)*$J10)</f>
        <v/>
      </c>
      <c r="U10" s="13" t="str">
        <f aca="false">IF(OR($C10="",$T10=""),"",$L10-$T10)</f>
        <v/>
      </c>
      <c r="V10" s="14" t="str">
        <f aca="false">IF(OR($U10="",$L10=0),"",$U10/$L10)</f>
        <v/>
      </c>
      <c r="W10" s="11"/>
      <c r="X10" s="23" t="str">
        <f aca="false">IF($C10="","",IF(AND($H10="",N($I10)=0,N($K10)=0),"Dòng chỉ lưu thông tin khách (chưa có đơn); ",IF($B10="","Thiếu ngày đặt; ","")&amp;IF($H10="","Thiếu tên sản phẩm; ",IF($J10="","Chưa khai GIÁ GỐC ở BẢNG GIÁ GỐC; ",""))&amp;IF(N($I10)&lt;=0,"Thiếu số lượng; ","")&amp;IF(N($K10)&lt;=0,"Thiếu giá bán; ","")&amp;IF(AND($N10&gt;0,$F10=""),"Khách lấy VAT thiếu mã số thuế; ","")&amp;IF(N($Q10)&gt;$P10,"Đã thu vượt tổng phải thu; ","")&amp;IF(AND($L10&gt;0,$U10&lt;&gt;"",$U10&lt;0),"CẢNH BÁO: ĐƠN NÀY ĐANG LỖ; ","")))</f>
        <v/>
      </c>
      <c r="Z10" s="18"/>
      <c r="AA10" s="11"/>
      <c r="AB10" s="11"/>
      <c r="AC10" s="12"/>
      <c r="AD10" s="11"/>
    </row>
    <row r="11" customFormat="false" ht="15" hidden="false" customHeight="false" outlineLevel="0" collapsed="false">
      <c r="A11" s="21" t="str">
        <f aca="false">IF($C11="","",COUNTA($C$10:$C11))</f>
        <v/>
      </c>
      <c r="B11" s="18"/>
      <c r="C11" s="11"/>
      <c r="D11" s="11"/>
      <c r="E11" s="11"/>
      <c r="F11" s="11"/>
      <c r="G11" s="11"/>
      <c r="H11" s="11"/>
      <c r="I11" s="12"/>
      <c r="J11" s="13" t="str">
        <f aca="false">IF($H11="","",IFERROR(VLOOKUP($H11,'BẢNG GIÁ GỐC'!$A$5:$D$254,3,FALSE()),""))</f>
        <v/>
      </c>
      <c r="K11" s="12"/>
      <c r="L11" s="13" t="str">
        <f aca="false">IF($C11="","",N($I11)*N($K11))</f>
        <v/>
      </c>
      <c r="M11" s="11"/>
      <c r="N11" s="14" t="str">
        <f aca="false">IF($C11="","",IF($M11="VAT 5%",0.05,IF($M11="VAT 8%",0.08,IF($M11="VAT 10%",0.1,0))))</f>
        <v/>
      </c>
      <c r="O11" s="13" t="str">
        <f aca="false">IF($C11="","",$L11*$N11)</f>
        <v/>
      </c>
      <c r="P11" s="13" t="str">
        <f aca="false">IF($C11="","",$L11+$O11)</f>
        <v/>
      </c>
      <c r="Q11" s="12"/>
      <c r="R11" s="13" t="str">
        <f aca="false">IF($C11="","",MAX(0,$P11-N($Q11)))</f>
        <v/>
      </c>
      <c r="S11" s="23" t="str">
        <f aca="false">IF(OR($C11="",$P11=0),"",IF(N($Q11)&lt;=0,"Chưa thanh toán",IF(N($Q11)&lt;$P11,"Thanh toán một phần","Đã thanh toán")))</f>
        <v/>
      </c>
      <c r="T11" s="13" t="str">
        <f aca="false">IF(OR($C11="",$J11=""),"",N($I11)*$J11)</f>
        <v/>
      </c>
      <c r="U11" s="13" t="str">
        <f aca="false">IF(OR($C11="",$T11=""),"",$L11-$T11)</f>
        <v/>
      </c>
      <c r="V11" s="14" t="str">
        <f aca="false">IF(OR($U11="",$L11=0),"",$U11/$L11)</f>
        <v/>
      </c>
      <c r="W11" s="11"/>
      <c r="X11" s="23" t="str">
        <f aca="false">IF($C11="","",IF(AND($H11="",N($I11)=0,N($K11)=0),"Dòng chỉ lưu thông tin khách (chưa có đơn); ",IF($B11="","Thiếu ngày đặt; ","")&amp;IF($H11="","Thiếu tên sản phẩm; ",IF($J11="","Chưa khai GIÁ GỐC ở BẢNG GIÁ GỐC; ",""))&amp;IF(N($I11)&lt;=0,"Thiếu số lượng; ","")&amp;IF(N($K11)&lt;=0,"Thiếu giá bán; ","")&amp;IF(AND($N11&gt;0,$F11=""),"Khách lấy VAT thiếu mã số thuế; ","")&amp;IF(N($Q11)&gt;$P11,"Đã thu vượt tổng phải thu; ","")&amp;IF(AND($L11&gt;0,$U11&lt;&gt;"",$U11&lt;0),"CẢNH BÁO: ĐƠN NÀY ĐANG LỖ; ","")))</f>
        <v/>
      </c>
      <c r="Z11" s="18"/>
      <c r="AA11" s="11"/>
      <c r="AB11" s="11"/>
      <c r="AC11" s="12"/>
      <c r="AD11" s="11"/>
    </row>
    <row r="12" customFormat="false" ht="15" hidden="false" customHeight="false" outlineLevel="0" collapsed="false">
      <c r="A12" s="21" t="str">
        <f aca="false">IF($C12="","",COUNTA($C$10:$C12))</f>
        <v/>
      </c>
      <c r="B12" s="18"/>
      <c r="C12" s="11"/>
      <c r="D12" s="11"/>
      <c r="E12" s="11"/>
      <c r="F12" s="11"/>
      <c r="G12" s="11"/>
      <c r="H12" s="11"/>
      <c r="I12" s="12"/>
      <c r="J12" s="13" t="str">
        <f aca="false">IF($H12="","",IFERROR(VLOOKUP($H12,'BẢNG GIÁ GỐC'!$A$5:$D$254,3,FALSE()),""))</f>
        <v/>
      </c>
      <c r="K12" s="12"/>
      <c r="L12" s="13" t="str">
        <f aca="false">IF($C12="","",N($I12)*N($K12))</f>
        <v/>
      </c>
      <c r="M12" s="11"/>
      <c r="N12" s="14" t="str">
        <f aca="false">IF($C12="","",IF($M12="VAT 5%",0.05,IF($M12="VAT 8%",0.08,IF($M12="VAT 10%",0.1,0))))</f>
        <v/>
      </c>
      <c r="O12" s="13" t="str">
        <f aca="false">IF($C12="","",$L12*$N12)</f>
        <v/>
      </c>
      <c r="P12" s="13" t="str">
        <f aca="false">IF($C12="","",$L12+$O12)</f>
        <v/>
      </c>
      <c r="Q12" s="12"/>
      <c r="R12" s="13" t="str">
        <f aca="false">IF($C12="","",MAX(0,$P12-N($Q12)))</f>
        <v/>
      </c>
      <c r="S12" s="23" t="str">
        <f aca="false">IF(OR($C12="",$P12=0),"",IF(N($Q12)&lt;=0,"Chưa thanh toán",IF(N($Q12)&lt;$P12,"Thanh toán một phần","Đã thanh toán")))</f>
        <v/>
      </c>
      <c r="T12" s="13" t="str">
        <f aca="false">IF(OR($C12="",$J12=""),"",N($I12)*$J12)</f>
        <v/>
      </c>
      <c r="U12" s="13" t="str">
        <f aca="false">IF(OR($C12="",$T12=""),"",$L12-$T12)</f>
        <v/>
      </c>
      <c r="V12" s="14" t="str">
        <f aca="false">IF(OR($U12="",$L12=0),"",$U12/$L12)</f>
        <v/>
      </c>
      <c r="W12" s="11"/>
      <c r="X12" s="23" t="str">
        <f aca="false">IF($C12="","",IF(AND($H12="",N($I12)=0,N($K12)=0),"Dòng chỉ lưu thông tin khách (chưa có đơn); ",IF($B12="","Thiếu ngày đặt; ","")&amp;IF($H12="","Thiếu tên sản phẩm; ",IF($J12="","Chưa khai GIÁ GỐC ở BẢNG GIÁ GỐC; ",""))&amp;IF(N($I12)&lt;=0,"Thiếu số lượng; ","")&amp;IF(N($K12)&lt;=0,"Thiếu giá bán; ","")&amp;IF(AND($N12&gt;0,$F12=""),"Khách lấy VAT thiếu mã số thuế; ","")&amp;IF(N($Q12)&gt;$P12,"Đã thu vượt tổng phải thu; ","")&amp;IF(AND($L12&gt;0,$U12&lt;&gt;"",$U12&lt;0),"CẢNH BÁO: ĐƠN NÀY ĐANG LỖ; ","")))</f>
        <v/>
      </c>
      <c r="Z12" s="18"/>
      <c r="AA12" s="11"/>
      <c r="AB12" s="11"/>
      <c r="AC12" s="12"/>
      <c r="AD12" s="11"/>
    </row>
    <row r="13" customFormat="false" ht="15" hidden="false" customHeight="false" outlineLevel="0" collapsed="false">
      <c r="A13" s="21" t="str">
        <f aca="false">IF($C13="","",COUNTA($C$10:$C13))</f>
        <v/>
      </c>
      <c r="B13" s="18"/>
      <c r="C13" s="11"/>
      <c r="D13" s="11"/>
      <c r="E13" s="11"/>
      <c r="F13" s="11"/>
      <c r="G13" s="11"/>
      <c r="H13" s="11"/>
      <c r="I13" s="12"/>
      <c r="J13" s="13" t="str">
        <f aca="false">IF($H13="","",IFERROR(VLOOKUP($H13,'BẢNG GIÁ GỐC'!$A$5:$D$254,3,FALSE()),""))</f>
        <v/>
      </c>
      <c r="K13" s="12"/>
      <c r="L13" s="13" t="str">
        <f aca="false">IF($C13="","",N($I13)*N($K13))</f>
        <v/>
      </c>
      <c r="M13" s="11"/>
      <c r="N13" s="14" t="str">
        <f aca="false">IF($C13="","",IF($M13="VAT 5%",0.05,IF($M13="VAT 8%",0.08,IF($M13="VAT 10%",0.1,0))))</f>
        <v/>
      </c>
      <c r="O13" s="13" t="str">
        <f aca="false">IF($C13="","",$L13*$N13)</f>
        <v/>
      </c>
      <c r="P13" s="13" t="str">
        <f aca="false">IF($C13="","",$L13+$O13)</f>
        <v/>
      </c>
      <c r="Q13" s="12"/>
      <c r="R13" s="13" t="str">
        <f aca="false">IF($C13="","",MAX(0,$P13-N($Q13)))</f>
        <v/>
      </c>
      <c r="S13" s="23" t="str">
        <f aca="false">IF(OR($C13="",$P13=0),"",IF(N($Q13)&lt;=0,"Chưa thanh toán",IF(N($Q13)&lt;$P13,"Thanh toán một phần","Đã thanh toán")))</f>
        <v/>
      </c>
      <c r="T13" s="13" t="str">
        <f aca="false">IF(OR($C13="",$J13=""),"",N($I13)*$J13)</f>
        <v/>
      </c>
      <c r="U13" s="13" t="str">
        <f aca="false">IF(OR($C13="",$T13=""),"",$L13-$T13)</f>
        <v/>
      </c>
      <c r="V13" s="14" t="str">
        <f aca="false">IF(OR($U13="",$L13=0),"",$U13/$L13)</f>
        <v/>
      </c>
      <c r="W13" s="11"/>
      <c r="X13" s="23" t="str">
        <f aca="false">IF($C13="","",IF(AND($H13="",N($I13)=0,N($K13)=0),"Dòng chỉ lưu thông tin khách (chưa có đơn); ",IF($B13="","Thiếu ngày đặt; ","")&amp;IF($H13="","Thiếu tên sản phẩm; ",IF($J13="","Chưa khai GIÁ GỐC ở BẢNG GIÁ GỐC; ",""))&amp;IF(N($I13)&lt;=0,"Thiếu số lượng; ","")&amp;IF(N($K13)&lt;=0,"Thiếu giá bán; ","")&amp;IF(AND($N13&gt;0,$F13=""),"Khách lấy VAT thiếu mã số thuế; ","")&amp;IF(N($Q13)&gt;$P13,"Đã thu vượt tổng phải thu; ","")&amp;IF(AND($L13&gt;0,$U13&lt;&gt;"",$U13&lt;0),"CẢNH BÁO: ĐƠN NÀY ĐANG LỖ; ","")))</f>
        <v/>
      </c>
      <c r="Z13" s="18"/>
      <c r="AA13" s="11"/>
      <c r="AB13" s="11"/>
      <c r="AC13" s="12"/>
      <c r="AD13" s="11"/>
    </row>
    <row r="14" customFormat="false" ht="15" hidden="false" customHeight="false" outlineLevel="0" collapsed="false">
      <c r="A14" s="21" t="str">
        <f aca="false">IF($C14="","",COUNTA($C$10:$C14))</f>
        <v/>
      </c>
      <c r="B14" s="18"/>
      <c r="C14" s="11"/>
      <c r="D14" s="11"/>
      <c r="E14" s="11"/>
      <c r="F14" s="11"/>
      <c r="G14" s="11"/>
      <c r="H14" s="11"/>
      <c r="I14" s="12"/>
      <c r="J14" s="13" t="str">
        <f aca="false">IF($H14="","",IFERROR(VLOOKUP($H14,'BẢNG GIÁ GỐC'!$A$5:$D$254,3,FALSE()),""))</f>
        <v/>
      </c>
      <c r="K14" s="12"/>
      <c r="L14" s="13" t="str">
        <f aca="false">IF($C14="","",N($I14)*N($K14))</f>
        <v/>
      </c>
      <c r="M14" s="11"/>
      <c r="N14" s="14" t="str">
        <f aca="false">IF($C14="","",IF($M14="VAT 5%",0.05,IF($M14="VAT 8%",0.08,IF($M14="VAT 10%",0.1,0))))</f>
        <v/>
      </c>
      <c r="O14" s="13" t="str">
        <f aca="false">IF($C14="","",$L14*$N14)</f>
        <v/>
      </c>
      <c r="P14" s="13" t="str">
        <f aca="false">IF($C14="","",$L14+$O14)</f>
        <v/>
      </c>
      <c r="Q14" s="12"/>
      <c r="R14" s="13" t="str">
        <f aca="false">IF($C14="","",MAX(0,$P14-N($Q14)))</f>
        <v/>
      </c>
      <c r="S14" s="23" t="str">
        <f aca="false">IF(OR($C14="",$P14=0),"",IF(N($Q14)&lt;=0,"Chưa thanh toán",IF(N($Q14)&lt;$P14,"Thanh toán một phần","Đã thanh toán")))</f>
        <v/>
      </c>
      <c r="T14" s="13" t="str">
        <f aca="false">IF(OR($C14="",$J14=""),"",N($I14)*$J14)</f>
        <v/>
      </c>
      <c r="U14" s="13" t="str">
        <f aca="false">IF(OR($C14="",$T14=""),"",$L14-$T14)</f>
        <v/>
      </c>
      <c r="V14" s="14" t="str">
        <f aca="false">IF(OR($U14="",$L14=0),"",$U14/$L14)</f>
        <v/>
      </c>
      <c r="W14" s="11"/>
      <c r="X14" s="23" t="str">
        <f aca="false">IF($C14="","",IF(AND($H14="",N($I14)=0,N($K14)=0),"Dòng chỉ lưu thông tin khách (chưa có đơn); ",IF($B14="","Thiếu ngày đặt; ","")&amp;IF($H14="","Thiếu tên sản phẩm; ",IF($J14="","Chưa khai GIÁ GỐC ở BẢNG GIÁ GỐC; ",""))&amp;IF(N($I14)&lt;=0,"Thiếu số lượng; ","")&amp;IF(N($K14)&lt;=0,"Thiếu giá bán; ","")&amp;IF(AND($N14&gt;0,$F14=""),"Khách lấy VAT thiếu mã số thuế; ","")&amp;IF(N($Q14)&gt;$P14,"Đã thu vượt tổng phải thu; ","")&amp;IF(AND($L14&gt;0,$U14&lt;&gt;"",$U14&lt;0),"CẢNH BÁO: ĐƠN NÀY ĐANG LỖ; ","")))</f>
        <v/>
      </c>
      <c r="Z14" s="18"/>
      <c r="AA14" s="11"/>
      <c r="AB14" s="11"/>
      <c r="AC14" s="12"/>
      <c r="AD14" s="11"/>
    </row>
    <row r="15" customFormat="false" ht="15" hidden="false" customHeight="false" outlineLevel="0" collapsed="false">
      <c r="A15" s="21" t="str">
        <f aca="false">IF($C15="","",COUNTA($C$10:$C15))</f>
        <v/>
      </c>
      <c r="B15" s="18"/>
      <c r="C15" s="11"/>
      <c r="D15" s="11"/>
      <c r="E15" s="11"/>
      <c r="F15" s="11"/>
      <c r="G15" s="11"/>
      <c r="H15" s="11"/>
      <c r="I15" s="12"/>
      <c r="J15" s="13" t="str">
        <f aca="false">IF($H15="","",IFERROR(VLOOKUP($H15,'BẢNG GIÁ GỐC'!$A$5:$D$254,3,FALSE()),""))</f>
        <v/>
      </c>
      <c r="K15" s="12"/>
      <c r="L15" s="13" t="str">
        <f aca="false">IF($C15="","",N($I15)*N($K15))</f>
        <v/>
      </c>
      <c r="M15" s="11"/>
      <c r="N15" s="14" t="str">
        <f aca="false">IF($C15="","",IF($M15="VAT 5%",0.05,IF($M15="VAT 8%",0.08,IF($M15="VAT 10%",0.1,0))))</f>
        <v/>
      </c>
      <c r="O15" s="13" t="str">
        <f aca="false">IF($C15="","",$L15*$N15)</f>
        <v/>
      </c>
      <c r="P15" s="13" t="str">
        <f aca="false">IF($C15="","",$L15+$O15)</f>
        <v/>
      </c>
      <c r="Q15" s="12"/>
      <c r="R15" s="13" t="str">
        <f aca="false">IF($C15="","",MAX(0,$P15-N($Q15)))</f>
        <v/>
      </c>
      <c r="S15" s="23" t="str">
        <f aca="false">IF(OR($C15="",$P15=0),"",IF(N($Q15)&lt;=0,"Chưa thanh toán",IF(N($Q15)&lt;$P15,"Thanh toán một phần","Đã thanh toán")))</f>
        <v/>
      </c>
      <c r="T15" s="13" t="str">
        <f aca="false">IF(OR($C15="",$J15=""),"",N($I15)*$J15)</f>
        <v/>
      </c>
      <c r="U15" s="13" t="str">
        <f aca="false">IF(OR($C15="",$T15=""),"",$L15-$T15)</f>
        <v/>
      </c>
      <c r="V15" s="14" t="str">
        <f aca="false">IF(OR($U15="",$L15=0),"",$U15/$L15)</f>
        <v/>
      </c>
      <c r="W15" s="11"/>
      <c r="X15" s="23" t="str">
        <f aca="false">IF($C15="","",IF(AND($H15="",N($I15)=0,N($K15)=0),"Dòng chỉ lưu thông tin khách (chưa có đơn); ",IF($B15="","Thiếu ngày đặt; ","")&amp;IF($H15="","Thiếu tên sản phẩm; ",IF($J15="","Chưa khai GIÁ GỐC ở BẢNG GIÁ GỐC; ",""))&amp;IF(N($I15)&lt;=0,"Thiếu số lượng; ","")&amp;IF(N($K15)&lt;=0,"Thiếu giá bán; ","")&amp;IF(AND($N15&gt;0,$F15=""),"Khách lấy VAT thiếu mã số thuế; ","")&amp;IF(N($Q15)&gt;$P15,"Đã thu vượt tổng phải thu; ","")&amp;IF(AND($L15&gt;0,$U15&lt;&gt;"",$U15&lt;0),"CẢNH BÁO: ĐƠN NÀY ĐANG LỖ; ","")))</f>
        <v/>
      </c>
      <c r="Z15" s="18"/>
      <c r="AA15" s="11"/>
      <c r="AB15" s="11"/>
      <c r="AC15" s="12"/>
      <c r="AD15" s="11"/>
    </row>
    <row r="16" customFormat="false" ht="15" hidden="false" customHeight="false" outlineLevel="0" collapsed="false">
      <c r="A16" s="21" t="str">
        <f aca="false">IF($C16="","",COUNTA($C$10:$C16))</f>
        <v/>
      </c>
      <c r="B16" s="18"/>
      <c r="C16" s="11"/>
      <c r="D16" s="11"/>
      <c r="E16" s="11"/>
      <c r="F16" s="11"/>
      <c r="G16" s="11"/>
      <c r="H16" s="11"/>
      <c r="I16" s="12"/>
      <c r="J16" s="13" t="str">
        <f aca="false">IF($H16="","",IFERROR(VLOOKUP($H16,'BẢNG GIÁ GỐC'!$A$5:$D$254,3,FALSE()),""))</f>
        <v/>
      </c>
      <c r="K16" s="12"/>
      <c r="L16" s="13" t="str">
        <f aca="false">IF($C16="","",N($I16)*N($K16))</f>
        <v/>
      </c>
      <c r="M16" s="11"/>
      <c r="N16" s="14" t="str">
        <f aca="false">IF($C16="","",IF($M16="VAT 5%",0.05,IF($M16="VAT 8%",0.08,IF($M16="VAT 10%",0.1,0))))</f>
        <v/>
      </c>
      <c r="O16" s="13" t="str">
        <f aca="false">IF($C16="","",$L16*$N16)</f>
        <v/>
      </c>
      <c r="P16" s="13" t="str">
        <f aca="false">IF($C16="","",$L16+$O16)</f>
        <v/>
      </c>
      <c r="Q16" s="12"/>
      <c r="R16" s="13" t="str">
        <f aca="false">IF($C16="","",MAX(0,$P16-N($Q16)))</f>
        <v/>
      </c>
      <c r="S16" s="23" t="str">
        <f aca="false">IF(OR($C16="",$P16=0),"",IF(N($Q16)&lt;=0,"Chưa thanh toán",IF(N($Q16)&lt;$P16,"Thanh toán một phần","Đã thanh toán")))</f>
        <v/>
      </c>
      <c r="T16" s="13" t="str">
        <f aca="false">IF(OR($C16="",$J16=""),"",N($I16)*$J16)</f>
        <v/>
      </c>
      <c r="U16" s="13" t="str">
        <f aca="false">IF(OR($C16="",$T16=""),"",$L16-$T16)</f>
        <v/>
      </c>
      <c r="V16" s="14" t="str">
        <f aca="false">IF(OR($U16="",$L16=0),"",$U16/$L16)</f>
        <v/>
      </c>
      <c r="W16" s="11"/>
      <c r="X16" s="23" t="str">
        <f aca="false">IF($C16="","",IF(AND($H16="",N($I16)=0,N($K16)=0),"Dòng chỉ lưu thông tin khách (chưa có đơn); ",IF($B16="","Thiếu ngày đặt; ","")&amp;IF($H16="","Thiếu tên sản phẩm; ",IF($J16="","Chưa khai GIÁ GỐC ở BẢNG GIÁ GỐC; ",""))&amp;IF(N($I16)&lt;=0,"Thiếu số lượng; ","")&amp;IF(N($K16)&lt;=0,"Thiếu giá bán; ","")&amp;IF(AND($N16&gt;0,$F16=""),"Khách lấy VAT thiếu mã số thuế; ","")&amp;IF(N($Q16)&gt;$P16,"Đã thu vượt tổng phải thu; ","")&amp;IF(AND($L16&gt;0,$U16&lt;&gt;"",$U16&lt;0),"CẢNH BÁO: ĐƠN NÀY ĐANG LỖ; ","")))</f>
        <v/>
      </c>
      <c r="Z16" s="18"/>
      <c r="AA16" s="11"/>
      <c r="AB16" s="11"/>
      <c r="AC16" s="12"/>
      <c r="AD16" s="11"/>
    </row>
    <row r="17" customFormat="false" ht="15" hidden="false" customHeight="false" outlineLevel="0" collapsed="false">
      <c r="A17" s="21" t="str">
        <f aca="false">IF($C17="","",COUNTA($C$10:$C17))</f>
        <v/>
      </c>
      <c r="B17" s="18"/>
      <c r="C17" s="11"/>
      <c r="D17" s="11"/>
      <c r="E17" s="11"/>
      <c r="F17" s="11"/>
      <c r="G17" s="11"/>
      <c r="H17" s="11"/>
      <c r="I17" s="12"/>
      <c r="J17" s="13" t="str">
        <f aca="false">IF($H17="","",IFERROR(VLOOKUP($H17,'BẢNG GIÁ GỐC'!$A$5:$D$254,3,FALSE()),""))</f>
        <v/>
      </c>
      <c r="K17" s="12"/>
      <c r="L17" s="13" t="str">
        <f aca="false">IF($C17="","",N($I17)*N($K17))</f>
        <v/>
      </c>
      <c r="M17" s="11"/>
      <c r="N17" s="14" t="str">
        <f aca="false">IF($C17="","",IF($M17="VAT 5%",0.05,IF($M17="VAT 8%",0.08,IF($M17="VAT 10%",0.1,0))))</f>
        <v/>
      </c>
      <c r="O17" s="13" t="str">
        <f aca="false">IF($C17="","",$L17*$N17)</f>
        <v/>
      </c>
      <c r="P17" s="13" t="str">
        <f aca="false">IF($C17="","",$L17+$O17)</f>
        <v/>
      </c>
      <c r="Q17" s="12"/>
      <c r="R17" s="13" t="str">
        <f aca="false">IF($C17="","",MAX(0,$P17-N($Q17)))</f>
        <v/>
      </c>
      <c r="S17" s="23" t="str">
        <f aca="false">IF(OR($C17="",$P17=0),"",IF(N($Q17)&lt;=0,"Chưa thanh toán",IF(N($Q17)&lt;$P17,"Thanh toán một phần","Đã thanh toán")))</f>
        <v/>
      </c>
      <c r="T17" s="13" t="str">
        <f aca="false">IF(OR($C17="",$J17=""),"",N($I17)*$J17)</f>
        <v/>
      </c>
      <c r="U17" s="13" t="str">
        <f aca="false">IF(OR($C17="",$T17=""),"",$L17-$T17)</f>
        <v/>
      </c>
      <c r="V17" s="14" t="str">
        <f aca="false">IF(OR($U17="",$L17=0),"",$U17/$L17)</f>
        <v/>
      </c>
      <c r="W17" s="11"/>
      <c r="X17" s="23" t="str">
        <f aca="false">IF($C17="","",IF(AND($H17="",N($I17)=0,N($K17)=0),"Dòng chỉ lưu thông tin khách (chưa có đơn); ",IF($B17="","Thiếu ngày đặt; ","")&amp;IF($H17="","Thiếu tên sản phẩm; ",IF($J17="","Chưa khai GIÁ GỐC ở BẢNG GIÁ GỐC; ",""))&amp;IF(N($I17)&lt;=0,"Thiếu số lượng; ","")&amp;IF(N($K17)&lt;=0,"Thiếu giá bán; ","")&amp;IF(AND($N17&gt;0,$F17=""),"Khách lấy VAT thiếu mã số thuế; ","")&amp;IF(N($Q17)&gt;$P17,"Đã thu vượt tổng phải thu; ","")&amp;IF(AND($L17&gt;0,$U17&lt;&gt;"",$U17&lt;0),"CẢNH BÁO: ĐƠN NÀY ĐANG LỖ; ","")))</f>
        <v/>
      </c>
      <c r="Z17" s="18"/>
      <c r="AA17" s="11"/>
      <c r="AB17" s="11"/>
      <c r="AC17" s="12"/>
      <c r="AD17" s="11"/>
    </row>
    <row r="18" customFormat="false" ht="15" hidden="false" customHeight="false" outlineLevel="0" collapsed="false">
      <c r="A18" s="21" t="str">
        <f aca="false">IF($C18="","",COUNTA($C$10:$C18))</f>
        <v/>
      </c>
      <c r="B18" s="18"/>
      <c r="C18" s="11"/>
      <c r="D18" s="11"/>
      <c r="E18" s="11"/>
      <c r="F18" s="11"/>
      <c r="G18" s="11"/>
      <c r="H18" s="11"/>
      <c r="I18" s="12"/>
      <c r="J18" s="13" t="str">
        <f aca="false">IF($H18="","",IFERROR(VLOOKUP($H18,'BẢNG GIÁ GỐC'!$A$5:$D$254,3,FALSE()),""))</f>
        <v/>
      </c>
      <c r="K18" s="12"/>
      <c r="L18" s="13" t="str">
        <f aca="false">IF($C18="","",N($I18)*N($K18))</f>
        <v/>
      </c>
      <c r="M18" s="11"/>
      <c r="N18" s="14" t="str">
        <f aca="false">IF($C18="","",IF($M18="VAT 5%",0.05,IF($M18="VAT 8%",0.08,IF($M18="VAT 10%",0.1,0))))</f>
        <v/>
      </c>
      <c r="O18" s="13" t="str">
        <f aca="false">IF($C18="","",$L18*$N18)</f>
        <v/>
      </c>
      <c r="P18" s="13" t="str">
        <f aca="false">IF($C18="","",$L18+$O18)</f>
        <v/>
      </c>
      <c r="Q18" s="12"/>
      <c r="R18" s="13" t="str">
        <f aca="false">IF($C18="","",MAX(0,$P18-N($Q18)))</f>
        <v/>
      </c>
      <c r="S18" s="23" t="str">
        <f aca="false">IF(OR($C18="",$P18=0),"",IF(N($Q18)&lt;=0,"Chưa thanh toán",IF(N($Q18)&lt;$P18,"Thanh toán một phần","Đã thanh toán")))</f>
        <v/>
      </c>
      <c r="T18" s="13" t="str">
        <f aca="false">IF(OR($C18="",$J18=""),"",N($I18)*$J18)</f>
        <v/>
      </c>
      <c r="U18" s="13" t="str">
        <f aca="false">IF(OR($C18="",$T18=""),"",$L18-$T18)</f>
        <v/>
      </c>
      <c r="V18" s="14" t="str">
        <f aca="false">IF(OR($U18="",$L18=0),"",$U18/$L18)</f>
        <v/>
      </c>
      <c r="W18" s="11"/>
      <c r="X18" s="23" t="str">
        <f aca="false">IF($C18="","",IF(AND($H18="",N($I18)=0,N($K18)=0),"Dòng chỉ lưu thông tin khách (chưa có đơn); ",IF($B18="","Thiếu ngày đặt; ","")&amp;IF($H18="","Thiếu tên sản phẩm; ",IF($J18="","Chưa khai GIÁ GỐC ở BẢNG GIÁ GỐC; ",""))&amp;IF(N($I18)&lt;=0,"Thiếu số lượng; ","")&amp;IF(N($K18)&lt;=0,"Thiếu giá bán; ","")&amp;IF(AND($N18&gt;0,$F18=""),"Khách lấy VAT thiếu mã số thuế; ","")&amp;IF(N($Q18)&gt;$P18,"Đã thu vượt tổng phải thu; ","")&amp;IF(AND($L18&gt;0,$U18&lt;&gt;"",$U18&lt;0),"CẢNH BÁO: ĐƠN NÀY ĐANG LỖ; ","")))</f>
        <v/>
      </c>
      <c r="Z18" s="18"/>
      <c r="AA18" s="11"/>
      <c r="AB18" s="11"/>
      <c r="AC18" s="12"/>
      <c r="AD18" s="11"/>
    </row>
    <row r="19" customFormat="false" ht="15" hidden="false" customHeight="false" outlineLevel="0" collapsed="false">
      <c r="A19" s="21" t="str">
        <f aca="false">IF($C19="","",COUNTA($C$10:$C19))</f>
        <v/>
      </c>
      <c r="B19" s="18"/>
      <c r="C19" s="11"/>
      <c r="D19" s="11"/>
      <c r="E19" s="11"/>
      <c r="F19" s="11"/>
      <c r="G19" s="11"/>
      <c r="H19" s="11"/>
      <c r="I19" s="12"/>
      <c r="J19" s="13" t="str">
        <f aca="false">IF($H19="","",IFERROR(VLOOKUP($H19,'BẢNG GIÁ GỐC'!$A$5:$D$254,3,FALSE()),""))</f>
        <v/>
      </c>
      <c r="K19" s="12"/>
      <c r="L19" s="13" t="str">
        <f aca="false">IF($C19="","",N($I19)*N($K19))</f>
        <v/>
      </c>
      <c r="M19" s="11"/>
      <c r="N19" s="14" t="str">
        <f aca="false">IF($C19="","",IF($M19="VAT 5%",0.05,IF($M19="VAT 8%",0.08,IF($M19="VAT 10%",0.1,0))))</f>
        <v/>
      </c>
      <c r="O19" s="13" t="str">
        <f aca="false">IF($C19="","",$L19*$N19)</f>
        <v/>
      </c>
      <c r="P19" s="13" t="str">
        <f aca="false">IF($C19="","",$L19+$O19)</f>
        <v/>
      </c>
      <c r="Q19" s="12"/>
      <c r="R19" s="13" t="str">
        <f aca="false">IF($C19="","",MAX(0,$P19-N($Q19)))</f>
        <v/>
      </c>
      <c r="S19" s="23" t="str">
        <f aca="false">IF(OR($C19="",$P19=0),"",IF(N($Q19)&lt;=0,"Chưa thanh toán",IF(N($Q19)&lt;$P19,"Thanh toán một phần","Đã thanh toán")))</f>
        <v/>
      </c>
      <c r="T19" s="13" t="str">
        <f aca="false">IF(OR($C19="",$J19=""),"",N($I19)*$J19)</f>
        <v/>
      </c>
      <c r="U19" s="13" t="str">
        <f aca="false">IF(OR($C19="",$T19=""),"",$L19-$T19)</f>
        <v/>
      </c>
      <c r="V19" s="14" t="str">
        <f aca="false">IF(OR($U19="",$L19=0),"",$U19/$L19)</f>
        <v/>
      </c>
      <c r="W19" s="11"/>
      <c r="X19" s="23" t="str">
        <f aca="false">IF($C19="","",IF(AND($H19="",N($I19)=0,N($K19)=0),"Dòng chỉ lưu thông tin khách (chưa có đơn); ",IF($B19="","Thiếu ngày đặt; ","")&amp;IF($H19="","Thiếu tên sản phẩm; ",IF($J19="","Chưa khai GIÁ GỐC ở BẢNG GIÁ GỐC; ",""))&amp;IF(N($I19)&lt;=0,"Thiếu số lượng; ","")&amp;IF(N($K19)&lt;=0,"Thiếu giá bán; ","")&amp;IF(AND($N19&gt;0,$F19=""),"Khách lấy VAT thiếu mã số thuế; ","")&amp;IF(N($Q19)&gt;$P19,"Đã thu vượt tổng phải thu; ","")&amp;IF(AND($L19&gt;0,$U19&lt;&gt;"",$U19&lt;0),"CẢNH BÁO: ĐƠN NÀY ĐANG LỖ; ","")))</f>
        <v/>
      </c>
      <c r="Z19" s="18"/>
      <c r="AA19" s="11"/>
      <c r="AB19" s="11"/>
      <c r="AC19" s="12"/>
      <c r="AD19" s="11"/>
    </row>
    <row r="20" customFormat="false" ht="15" hidden="false" customHeight="false" outlineLevel="0" collapsed="false">
      <c r="A20" s="21" t="str">
        <f aca="false">IF($C20="","",COUNTA($C$10:$C20))</f>
        <v/>
      </c>
      <c r="B20" s="18"/>
      <c r="C20" s="11"/>
      <c r="D20" s="11"/>
      <c r="E20" s="11"/>
      <c r="F20" s="11"/>
      <c r="G20" s="11"/>
      <c r="H20" s="11"/>
      <c r="I20" s="12"/>
      <c r="J20" s="13" t="str">
        <f aca="false">IF($H20="","",IFERROR(VLOOKUP($H20,'BẢNG GIÁ GỐC'!$A$5:$D$254,3,FALSE()),""))</f>
        <v/>
      </c>
      <c r="K20" s="12"/>
      <c r="L20" s="13" t="str">
        <f aca="false">IF($C20="","",N($I20)*N($K20))</f>
        <v/>
      </c>
      <c r="M20" s="11"/>
      <c r="N20" s="14" t="str">
        <f aca="false">IF($C20="","",IF($M20="VAT 5%",0.05,IF($M20="VAT 8%",0.08,IF($M20="VAT 10%",0.1,0))))</f>
        <v/>
      </c>
      <c r="O20" s="13" t="str">
        <f aca="false">IF($C20="","",$L20*$N20)</f>
        <v/>
      </c>
      <c r="P20" s="13" t="str">
        <f aca="false">IF($C20="","",$L20+$O20)</f>
        <v/>
      </c>
      <c r="Q20" s="12"/>
      <c r="R20" s="13" t="str">
        <f aca="false">IF($C20="","",MAX(0,$P20-N($Q20)))</f>
        <v/>
      </c>
      <c r="S20" s="23" t="str">
        <f aca="false">IF(OR($C20="",$P20=0),"",IF(N($Q20)&lt;=0,"Chưa thanh toán",IF(N($Q20)&lt;$P20,"Thanh toán một phần","Đã thanh toán")))</f>
        <v/>
      </c>
      <c r="T20" s="13" t="str">
        <f aca="false">IF(OR($C20="",$J20=""),"",N($I20)*$J20)</f>
        <v/>
      </c>
      <c r="U20" s="13" t="str">
        <f aca="false">IF(OR($C20="",$T20=""),"",$L20-$T20)</f>
        <v/>
      </c>
      <c r="V20" s="14" t="str">
        <f aca="false">IF(OR($U20="",$L20=0),"",$U20/$L20)</f>
        <v/>
      </c>
      <c r="W20" s="11"/>
      <c r="X20" s="23" t="str">
        <f aca="false">IF($C20="","",IF(AND($H20="",N($I20)=0,N($K20)=0),"Dòng chỉ lưu thông tin khách (chưa có đơn); ",IF($B20="","Thiếu ngày đặt; ","")&amp;IF($H20="","Thiếu tên sản phẩm; ",IF($J20="","Chưa khai GIÁ GỐC ở BẢNG GIÁ GỐC; ",""))&amp;IF(N($I20)&lt;=0,"Thiếu số lượng; ","")&amp;IF(N($K20)&lt;=0,"Thiếu giá bán; ","")&amp;IF(AND($N20&gt;0,$F20=""),"Khách lấy VAT thiếu mã số thuế; ","")&amp;IF(N($Q20)&gt;$P20,"Đã thu vượt tổng phải thu; ","")&amp;IF(AND($L20&gt;0,$U20&lt;&gt;"",$U20&lt;0),"CẢNH BÁO: ĐƠN NÀY ĐANG LỖ; ","")))</f>
        <v/>
      </c>
      <c r="Z20" s="18"/>
      <c r="AA20" s="11"/>
      <c r="AB20" s="11"/>
      <c r="AC20" s="12"/>
      <c r="AD20" s="11"/>
    </row>
    <row r="21" customFormat="false" ht="15" hidden="false" customHeight="false" outlineLevel="0" collapsed="false">
      <c r="A21" s="21" t="str">
        <f aca="false">IF($C21="","",COUNTA($C$10:$C21))</f>
        <v/>
      </c>
      <c r="B21" s="18"/>
      <c r="C21" s="11"/>
      <c r="D21" s="11"/>
      <c r="E21" s="11"/>
      <c r="F21" s="11"/>
      <c r="G21" s="11"/>
      <c r="H21" s="11"/>
      <c r="I21" s="12"/>
      <c r="J21" s="13" t="str">
        <f aca="false">IF($H21="","",IFERROR(VLOOKUP($H21,'BẢNG GIÁ GỐC'!$A$5:$D$254,3,FALSE()),""))</f>
        <v/>
      </c>
      <c r="K21" s="12"/>
      <c r="L21" s="13" t="str">
        <f aca="false">IF($C21="","",N($I21)*N($K21))</f>
        <v/>
      </c>
      <c r="M21" s="11"/>
      <c r="N21" s="14" t="str">
        <f aca="false">IF($C21="","",IF($M21="VAT 5%",0.05,IF($M21="VAT 8%",0.08,IF($M21="VAT 10%",0.1,0))))</f>
        <v/>
      </c>
      <c r="O21" s="13" t="str">
        <f aca="false">IF($C21="","",$L21*$N21)</f>
        <v/>
      </c>
      <c r="P21" s="13" t="str">
        <f aca="false">IF($C21="","",$L21+$O21)</f>
        <v/>
      </c>
      <c r="Q21" s="12"/>
      <c r="R21" s="13" t="str">
        <f aca="false">IF($C21="","",MAX(0,$P21-N($Q21)))</f>
        <v/>
      </c>
      <c r="S21" s="23" t="str">
        <f aca="false">IF(OR($C21="",$P21=0),"",IF(N($Q21)&lt;=0,"Chưa thanh toán",IF(N($Q21)&lt;$P21,"Thanh toán một phần","Đã thanh toán")))</f>
        <v/>
      </c>
      <c r="T21" s="13" t="str">
        <f aca="false">IF(OR($C21="",$J21=""),"",N($I21)*$J21)</f>
        <v/>
      </c>
      <c r="U21" s="13" t="str">
        <f aca="false">IF(OR($C21="",$T21=""),"",$L21-$T21)</f>
        <v/>
      </c>
      <c r="V21" s="14" t="str">
        <f aca="false">IF(OR($U21="",$L21=0),"",$U21/$L21)</f>
        <v/>
      </c>
      <c r="W21" s="11"/>
      <c r="X21" s="23" t="str">
        <f aca="false">IF($C21="","",IF(AND($H21="",N($I21)=0,N($K21)=0),"Dòng chỉ lưu thông tin khách (chưa có đơn); ",IF($B21="","Thiếu ngày đặt; ","")&amp;IF($H21="","Thiếu tên sản phẩm; ",IF($J21="","Chưa khai GIÁ GỐC ở BẢNG GIÁ GỐC; ",""))&amp;IF(N($I21)&lt;=0,"Thiếu số lượng; ","")&amp;IF(N($K21)&lt;=0,"Thiếu giá bán; ","")&amp;IF(AND($N21&gt;0,$F21=""),"Khách lấy VAT thiếu mã số thuế; ","")&amp;IF(N($Q21)&gt;$P21,"Đã thu vượt tổng phải thu; ","")&amp;IF(AND($L21&gt;0,$U21&lt;&gt;"",$U21&lt;0),"CẢNH BÁO: ĐƠN NÀY ĐANG LỖ; ","")))</f>
        <v/>
      </c>
      <c r="Z21" s="18"/>
      <c r="AA21" s="11"/>
      <c r="AB21" s="11"/>
      <c r="AC21" s="12"/>
      <c r="AD21" s="11"/>
    </row>
    <row r="22" customFormat="false" ht="15" hidden="false" customHeight="false" outlineLevel="0" collapsed="false">
      <c r="A22" s="21" t="str">
        <f aca="false">IF($C22="","",COUNTA($C$10:$C22))</f>
        <v/>
      </c>
      <c r="B22" s="18"/>
      <c r="C22" s="11"/>
      <c r="D22" s="11"/>
      <c r="E22" s="11"/>
      <c r="F22" s="11"/>
      <c r="G22" s="11"/>
      <c r="H22" s="11"/>
      <c r="I22" s="12"/>
      <c r="J22" s="13" t="str">
        <f aca="false">IF($H22="","",IFERROR(VLOOKUP($H22,'BẢNG GIÁ GỐC'!$A$5:$D$254,3,FALSE()),""))</f>
        <v/>
      </c>
      <c r="K22" s="12"/>
      <c r="L22" s="13" t="str">
        <f aca="false">IF($C22="","",N($I22)*N($K22))</f>
        <v/>
      </c>
      <c r="M22" s="11"/>
      <c r="N22" s="14" t="str">
        <f aca="false">IF($C22="","",IF($M22="VAT 5%",0.05,IF($M22="VAT 8%",0.08,IF($M22="VAT 10%",0.1,0))))</f>
        <v/>
      </c>
      <c r="O22" s="13" t="str">
        <f aca="false">IF($C22="","",$L22*$N22)</f>
        <v/>
      </c>
      <c r="P22" s="13" t="str">
        <f aca="false">IF($C22="","",$L22+$O22)</f>
        <v/>
      </c>
      <c r="Q22" s="12"/>
      <c r="R22" s="13" t="str">
        <f aca="false">IF($C22="","",MAX(0,$P22-N($Q22)))</f>
        <v/>
      </c>
      <c r="S22" s="23" t="str">
        <f aca="false">IF(OR($C22="",$P22=0),"",IF(N($Q22)&lt;=0,"Chưa thanh toán",IF(N($Q22)&lt;$P22,"Thanh toán một phần","Đã thanh toán")))</f>
        <v/>
      </c>
      <c r="T22" s="13" t="str">
        <f aca="false">IF(OR($C22="",$J22=""),"",N($I22)*$J22)</f>
        <v/>
      </c>
      <c r="U22" s="13" t="str">
        <f aca="false">IF(OR($C22="",$T22=""),"",$L22-$T22)</f>
        <v/>
      </c>
      <c r="V22" s="14" t="str">
        <f aca="false">IF(OR($U22="",$L22=0),"",$U22/$L22)</f>
        <v/>
      </c>
      <c r="W22" s="11"/>
      <c r="X22" s="23" t="str">
        <f aca="false">IF($C22="","",IF(AND($H22="",N($I22)=0,N($K22)=0),"Dòng chỉ lưu thông tin khách (chưa có đơn); ",IF($B22="","Thiếu ngày đặt; ","")&amp;IF($H22="","Thiếu tên sản phẩm; ",IF($J22="","Chưa khai GIÁ GỐC ở BẢNG GIÁ GỐC; ",""))&amp;IF(N($I22)&lt;=0,"Thiếu số lượng; ","")&amp;IF(N($K22)&lt;=0,"Thiếu giá bán; ","")&amp;IF(AND($N22&gt;0,$F22=""),"Khách lấy VAT thiếu mã số thuế; ","")&amp;IF(N($Q22)&gt;$P22,"Đã thu vượt tổng phải thu; ","")&amp;IF(AND($L22&gt;0,$U22&lt;&gt;"",$U22&lt;0),"CẢNH BÁO: ĐƠN NÀY ĐANG LỖ; ","")))</f>
        <v/>
      </c>
      <c r="Z22" s="18"/>
      <c r="AA22" s="11"/>
      <c r="AB22" s="11"/>
      <c r="AC22" s="12"/>
      <c r="AD22" s="11"/>
    </row>
    <row r="23" customFormat="false" ht="15" hidden="false" customHeight="false" outlineLevel="0" collapsed="false">
      <c r="A23" s="21" t="str">
        <f aca="false">IF($C23="","",COUNTA($C$10:$C23))</f>
        <v/>
      </c>
      <c r="B23" s="18"/>
      <c r="C23" s="11"/>
      <c r="D23" s="11"/>
      <c r="E23" s="11"/>
      <c r="F23" s="11"/>
      <c r="G23" s="11"/>
      <c r="H23" s="11"/>
      <c r="I23" s="12"/>
      <c r="J23" s="13" t="str">
        <f aca="false">IF($H23="","",IFERROR(VLOOKUP($H23,'BẢNG GIÁ GỐC'!$A$5:$D$254,3,FALSE()),""))</f>
        <v/>
      </c>
      <c r="K23" s="12"/>
      <c r="L23" s="13" t="str">
        <f aca="false">IF($C23="","",N($I23)*N($K23))</f>
        <v/>
      </c>
      <c r="M23" s="11"/>
      <c r="N23" s="14" t="str">
        <f aca="false">IF($C23="","",IF($M23="VAT 5%",0.05,IF($M23="VAT 8%",0.08,IF($M23="VAT 10%",0.1,0))))</f>
        <v/>
      </c>
      <c r="O23" s="13" t="str">
        <f aca="false">IF($C23="","",$L23*$N23)</f>
        <v/>
      </c>
      <c r="P23" s="13" t="str">
        <f aca="false">IF($C23="","",$L23+$O23)</f>
        <v/>
      </c>
      <c r="Q23" s="12"/>
      <c r="R23" s="13" t="str">
        <f aca="false">IF($C23="","",MAX(0,$P23-N($Q23)))</f>
        <v/>
      </c>
      <c r="S23" s="23" t="str">
        <f aca="false">IF(OR($C23="",$P23=0),"",IF(N($Q23)&lt;=0,"Chưa thanh toán",IF(N($Q23)&lt;$P23,"Thanh toán một phần","Đã thanh toán")))</f>
        <v/>
      </c>
      <c r="T23" s="13" t="str">
        <f aca="false">IF(OR($C23="",$J23=""),"",N($I23)*$J23)</f>
        <v/>
      </c>
      <c r="U23" s="13" t="str">
        <f aca="false">IF(OR($C23="",$T23=""),"",$L23-$T23)</f>
        <v/>
      </c>
      <c r="V23" s="14" t="str">
        <f aca="false">IF(OR($U23="",$L23=0),"",$U23/$L23)</f>
        <v/>
      </c>
      <c r="W23" s="11"/>
      <c r="X23" s="23" t="str">
        <f aca="false">IF($C23="","",IF(AND($H23="",N($I23)=0,N($K23)=0),"Dòng chỉ lưu thông tin khách (chưa có đơn); ",IF($B23="","Thiếu ngày đặt; ","")&amp;IF($H23="","Thiếu tên sản phẩm; ",IF($J23="","Chưa khai GIÁ GỐC ở BẢNG GIÁ GỐC; ",""))&amp;IF(N($I23)&lt;=0,"Thiếu số lượng; ","")&amp;IF(N($K23)&lt;=0,"Thiếu giá bán; ","")&amp;IF(AND($N23&gt;0,$F23=""),"Khách lấy VAT thiếu mã số thuế; ","")&amp;IF(N($Q23)&gt;$P23,"Đã thu vượt tổng phải thu; ","")&amp;IF(AND($L23&gt;0,$U23&lt;&gt;"",$U23&lt;0),"CẢNH BÁO: ĐƠN NÀY ĐANG LỖ; ","")))</f>
        <v/>
      </c>
      <c r="Z23" s="18"/>
      <c r="AA23" s="11"/>
      <c r="AB23" s="11"/>
      <c r="AC23" s="12"/>
      <c r="AD23" s="11"/>
    </row>
    <row r="24" customFormat="false" ht="15" hidden="false" customHeight="false" outlineLevel="0" collapsed="false">
      <c r="A24" s="21" t="str">
        <f aca="false">IF($C24="","",COUNTA($C$10:$C24))</f>
        <v/>
      </c>
      <c r="B24" s="18"/>
      <c r="C24" s="11"/>
      <c r="D24" s="11"/>
      <c r="E24" s="11"/>
      <c r="F24" s="11"/>
      <c r="G24" s="11"/>
      <c r="H24" s="11"/>
      <c r="I24" s="12"/>
      <c r="J24" s="13" t="str">
        <f aca="false">IF($H24="","",IFERROR(VLOOKUP($H24,'BẢNG GIÁ GỐC'!$A$5:$D$254,3,FALSE()),""))</f>
        <v/>
      </c>
      <c r="K24" s="12"/>
      <c r="L24" s="13" t="str">
        <f aca="false">IF($C24="","",N($I24)*N($K24))</f>
        <v/>
      </c>
      <c r="M24" s="11"/>
      <c r="N24" s="14" t="str">
        <f aca="false">IF($C24="","",IF($M24="VAT 5%",0.05,IF($M24="VAT 8%",0.08,IF($M24="VAT 10%",0.1,0))))</f>
        <v/>
      </c>
      <c r="O24" s="13" t="str">
        <f aca="false">IF($C24="","",$L24*$N24)</f>
        <v/>
      </c>
      <c r="P24" s="13" t="str">
        <f aca="false">IF($C24="","",$L24+$O24)</f>
        <v/>
      </c>
      <c r="Q24" s="12"/>
      <c r="R24" s="13" t="str">
        <f aca="false">IF($C24="","",MAX(0,$P24-N($Q24)))</f>
        <v/>
      </c>
      <c r="S24" s="23" t="str">
        <f aca="false">IF(OR($C24="",$P24=0),"",IF(N($Q24)&lt;=0,"Chưa thanh toán",IF(N($Q24)&lt;$P24,"Thanh toán một phần","Đã thanh toán")))</f>
        <v/>
      </c>
      <c r="T24" s="13" t="str">
        <f aca="false">IF(OR($C24="",$J24=""),"",N($I24)*$J24)</f>
        <v/>
      </c>
      <c r="U24" s="13" t="str">
        <f aca="false">IF(OR($C24="",$T24=""),"",$L24-$T24)</f>
        <v/>
      </c>
      <c r="V24" s="14" t="str">
        <f aca="false">IF(OR($U24="",$L24=0),"",$U24/$L24)</f>
        <v/>
      </c>
      <c r="W24" s="11"/>
      <c r="X24" s="23" t="str">
        <f aca="false">IF($C24="","",IF(AND($H24="",N($I24)=0,N($K24)=0),"Dòng chỉ lưu thông tin khách (chưa có đơn); ",IF($B24="","Thiếu ngày đặt; ","")&amp;IF($H24="","Thiếu tên sản phẩm; ",IF($J24="","Chưa khai GIÁ GỐC ở BẢNG GIÁ GỐC; ",""))&amp;IF(N($I24)&lt;=0,"Thiếu số lượng; ","")&amp;IF(N($K24)&lt;=0,"Thiếu giá bán; ","")&amp;IF(AND($N24&gt;0,$F24=""),"Khách lấy VAT thiếu mã số thuế; ","")&amp;IF(N($Q24)&gt;$P24,"Đã thu vượt tổng phải thu; ","")&amp;IF(AND($L24&gt;0,$U24&lt;&gt;"",$U24&lt;0),"CẢNH BÁO: ĐƠN NÀY ĐANG LỖ; ","")))</f>
        <v/>
      </c>
      <c r="Z24" s="18"/>
      <c r="AA24" s="11"/>
      <c r="AB24" s="11"/>
      <c r="AC24" s="12"/>
      <c r="AD24" s="11"/>
    </row>
    <row r="25" customFormat="false" ht="15" hidden="false" customHeight="false" outlineLevel="0" collapsed="false">
      <c r="A25" s="21" t="str">
        <f aca="false">IF($C25="","",COUNTA($C$10:$C25))</f>
        <v/>
      </c>
      <c r="B25" s="18"/>
      <c r="C25" s="11"/>
      <c r="D25" s="11"/>
      <c r="E25" s="11"/>
      <c r="F25" s="11"/>
      <c r="G25" s="11"/>
      <c r="H25" s="11"/>
      <c r="I25" s="12"/>
      <c r="J25" s="13" t="str">
        <f aca="false">IF($H25="","",IFERROR(VLOOKUP($H25,'BẢNG GIÁ GỐC'!$A$5:$D$254,3,FALSE()),""))</f>
        <v/>
      </c>
      <c r="K25" s="12"/>
      <c r="L25" s="13" t="str">
        <f aca="false">IF($C25="","",N($I25)*N($K25))</f>
        <v/>
      </c>
      <c r="M25" s="11"/>
      <c r="N25" s="14" t="str">
        <f aca="false">IF($C25="","",IF($M25="VAT 5%",0.05,IF($M25="VAT 8%",0.08,IF($M25="VAT 10%",0.1,0))))</f>
        <v/>
      </c>
      <c r="O25" s="13" t="str">
        <f aca="false">IF($C25="","",$L25*$N25)</f>
        <v/>
      </c>
      <c r="P25" s="13" t="str">
        <f aca="false">IF($C25="","",$L25+$O25)</f>
        <v/>
      </c>
      <c r="Q25" s="12"/>
      <c r="R25" s="13" t="str">
        <f aca="false">IF($C25="","",MAX(0,$P25-N($Q25)))</f>
        <v/>
      </c>
      <c r="S25" s="23" t="str">
        <f aca="false">IF(OR($C25="",$P25=0),"",IF(N($Q25)&lt;=0,"Chưa thanh toán",IF(N($Q25)&lt;$P25,"Thanh toán một phần","Đã thanh toán")))</f>
        <v/>
      </c>
      <c r="T25" s="13" t="str">
        <f aca="false">IF(OR($C25="",$J25=""),"",N($I25)*$J25)</f>
        <v/>
      </c>
      <c r="U25" s="13" t="str">
        <f aca="false">IF(OR($C25="",$T25=""),"",$L25-$T25)</f>
        <v/>
      </c>
      <c r="V25" s="14" t="str">
        <f aca="false">IF(OR($U25="",$L25=0),"",$U25/$L25)</f>
        <v/>
      </c>
      <c r="W25" s="11"/>
      <c r="X25" s="23" t="str">
        <f aca="false">IF($C25="","",IF(AND($H25="",N($I25)=0,N($K25)=0),"Dòng chỉ lưu thông tin khách (chưa có đơn); ",IF($B25="","Thiếu ngày đặt; ","")&amp;IF($H25="","Thiếu tên sản phẩm; ",IF($J25="","Chưa khai GIÁ GỐC ở BẢNG GIÁ GỐC; ",""))&amp;IF(N($I25)&lt;=0,"Thiếu số lượng; ","")&amp;IF(N($K25)&lt;=0,"Thiếu giá bán; ","")&amp;IF(AND($N25&gt;0,$F25=""),"Khách lấy VAT thiếu mã số thuế; ","")&amp;IF(N($Q25)&gt;$P25,"Đã thu vượt tổng phải thu; ","")&amp;IF(AND($L25&gt;0,$U25&lt;&gt;"",$U25&lt;0),"CẢNH BÁO: ĐƠN NÀY ĐANG LỖ; ","")))</f>
        <v/>
      </c>
      <c r="Z25" s="24" t="s">
        <v>177</v>
      </c>
      <c r="AA25" s="24"/>
      <c r="AB25" s="24"/>
      <c r="AC25" s="25" t="n">
        <f aca="false">SUM(AC5:AC24)</f>
        <v>0</v>
      </c>
      <c r="AD25" s="26"/>
    </row>
    <row r="26" customFormat="false" ht="15" hidden="false" customHeight="false" outlineLevel="0" collapsed="false">
      <c r="A26" s="21" t="str">
        <f aca="false">IF($C26="","",COUNTA($C$10:$C26))</f>
        <v/>
      </c>
      <c r="B26" s="18"/>
      <c r="C26" s="11"/>
      <c r="D26" s="11"/>
      <c r="E26" s="11"/>
      <c r="F26" s="11"/>
      <c r="G26" s="11"/>
      <c r="H26" s="11"/>
      <c r="I26" s="12"/>
      <c r="J26" s="13" t="str">
        <f aca="false">IF($H26="","",IFERROR(VLOOKUP($H26,'BẢNG GIÁ GỐC'!$A$5:$D$254,3,FALSE()),""))</f>
        <v/>
      </c>
      <c r="K26" s="12"/>
      <c r="L26" s="13" t="str">
        <f aca="false">IF($C26="","",N($I26)*N($K26))</f>
        <v/>
      </c>
      <c r="M26" s="11"/>
      <c r="N26" s="14" t="str">
        <f aca="false">IF($C26="","",IF($M26="VAT 5%",0.05,IF($M26="VAT 8%",0.08,IF($M26="VAT 10%",0.1,0))))</f>
        <v/>
      </c>
      <c r="O26" s="13" t="str">
        <f aca="false">IF($C26="","",$L26*$N26)</f>
        <v/>
      </c>
      <c r="P26" s="13" t="str">
        <f aca="false">IF($C26="","",$L26+$O26)</f>
        <v/>
      </c>
      <c r="Q26" s="12"/>
      <c r="R26" s="13" t="str">
        <f aca="false">IF($C26="","",MAX(0,$P26-N($Q26)))</f>
        <v/>
      </c>
      <c r="S26" s="23" t="str">
        <f aca="false">IF(OR($C26="",$P26=0),"",IF(N($Q26)&lt;=0,"Chưa thanh toán",IF(N($Q26)&lt;$P26,"Thanh toán một phần","Đã thanh toán")))</f>
        <v/>
      </c>
      <c r="T26" s="13" t="str">
        <f aca="false">IF(OR($C26="",$J26=""),"",N($I26)*$J26)</f>
        <v/>
      </c>
      <c r="U26" s="13" t="str">
        <f aca="false">IF(OR($C26="",$T26=""),"",$L26-$T26)</f>
        <v/>
      </c>
      <c r="V26" s="14" t="str">
        <f aca="false">IF(OR($U26="",$L26=0),"",$U26/$L26)</f>
        <v/>
      </c>
      <c r="W26" s="11"/>
      <c r="X26" s="23" t="str">
        <f aca="false">IF($C26="","",IF(AND($H26="",N($I26)=0,N($K26)=0),"Dòng chỉ lưu thông tin khách (chưa có đơn); ",IF($B26="","Thiếu ngày đặt; ","")&amp;IF($H26="","Thiếu tên sản phẩm; ",IF($J26="","Chưa khai GIÁ GỐC ở BẢNG GIÁ GỐC; ",""))&amp;IF(N($I26)&lt;=0,"Thiếu số lượng; ","")&amp;IF(N($K26)&lt;=0,"Thiếu giá bán; ","")&amp;IF(AND($N26&gt;0,$F26=""),"Khách lấy VAT thiếu mã số thuế; ","")&amp;IF(N($Q26)&gt;$P26,"Đã thu vượt tổng phải thu; ","")&amp;IF(AND($L26&gt;0,$U26&lt;&gt;"",$U26&lt;0),"CẢNH BÁO: ĐƠN NÀY ĐANG LỖ; ","")))</f>
        <v/>
      </c>
    </row>
    <row r="27" customFormat="false" ht="15" hidden="false" customHeight="false" outlineLevel="0" collapsed="false">
      <c r="A27" s="21" t="str">
        <f aca="false">IF($C27="","",COUNTA($C$10:$C27))</f>
        <v/>
      </c>
      <c r="B27" s="18"/>
      <c r="C27" s="11"/>
      <c r="D27" s="11"/>
      <c r="E27" s="11"/>
      <c r="F27" s="11"/>
      <c r="G27" s="11"/>
      <c r="H27" s="11"/>
      <c r="I27" s="12"/>
      <c r="J27" s="13" t="str">
        <f aca="false">IF($H27="","",IFERROR(VLOOKUP($H27,'BẢNG GIÁ GỐC'!$A$5:$D$254,3,FALSE()),""))</f>
        <v/>
      </c>
      <c r="K27" s="12"/>
      <c r="L27" s="13" t="str">
        <f aca="false">IF($C27="","",N($I27)*N($K27))</f>
        <v/>
      </c>
      <c r="M27" s="11"/>
      <c r="N27" s="14" t="str">
        <f aca="false">IF($C27="","",IF($M27="VAT 5%",0.05,IF($M27="VAT 8%",0.08,IF($M27="VAT 10%",0.1,0))))</f>
        <v/>
      </c>
      <c r="O27" s="13" t="str">
        <f aca="false">IF($C27="","",$L27*$N27)</f>
        <v/>
      </c>
      <c r="P27" s="13" t="str">
        <f aca="false">IF($C27="","",$L27+$O27)</f>
        <v/>
      </c>
      <c r="Q27" s="12"/>
      <c r="R27" s="13" t="str">
        <f aca="false">IF($C27="","",MAX(0,$P27-N($Q27)))</f>
        <v/>
      </c>
      <c r="S27" s="23" t="str">
        <f aca="false">IF(OR($C27="",$P27=0),"",IF(N($Q27)&lt;=0,"Chưa thanh toán",IF(N($Q27)&lt;$P27,"Thanh toán một phần","Đã thanh toán")))</f>
        <v/>
      </c>
      <c r="T27" s="13" t="str">
        <f aca="false">IF(OR($C27="",$J27=""),"",N($I27)*$J27)</f>
        <v/>
      </c>
      <c r="U27" s="13" t="str">
        <f aca="false">IF(OR($C27="",$T27=""),"",$L27-$T27)</f>
        <v/>
      </c>
      <c r="V27" s="14" t="str">
        <f aca="false">IF(OR($U27="",$L27=0),"",$U27/$L27)</f>
        <v/>
      </c>
      <c r="W27" s="11"/>
      <c r="X27" s="23" t="str">
        <f aca="false">IF($C27="","",IF(AND($H27="",N($I27)=0,N($K27)=0),"Dòng chỉ lưu thông tin khách (chưa có đơn); ",IF($B27="","Thiếu ngày đặt; ","")&amp;IF($H27="","Thiếu tên sản phẩm; ",IF($J27="","Chưa khai GIÁ GỐC ở BẢNG GIÁ GỐC; ",""))&amp;IF(N($I27)&lt;=0,"Thiếu số lượng; ","")&amp;IF(N($K27)&lt;=0,"Thiếu giá bán; ","")&amp;IF(AND($N27&gt;0,$F27=""),"Khách lấy VAT thiếu mã số thuế; ","")&amp;IF(N($Q27)&gt;$P27,"Đã thu vượt tổng phải thu; ","")&amp;IF(AND($L27&gt;0,$U27&lt;&gt;"",$U27&lt;0),"CẢNH BÁO: ĐƠN NÀY ĐANG LỖ; ","")))</f>
        <v/>
      </c>
    </row>
    <row r="28" customFormat="false" ht="15" hidden="false" customHeight="false" outlineLevel="0" collapsed="false">
      <c r="A28" s="21" t="str">
        <f aca="false">IF($C28="","",COUNTA($C$10:$C28))</f>
        <v/>
      </c>
      <c r="B28" s="18"/>
      <c r="C28" s="11"/>
      <c r="D28" s="11"/>
      <c r="E28" s="11"/>
      <c r="F28" s="11"/>
      <c r="G28" s="11"/>
      <c r="H28" s="11"/>
      <c r="I28" s="12"/>
      <c r="J28" s="13" t="str">
        <f aca="false">IF($H28="","",IFERROR(VLOOKUP($H28,'BẢNG GIÁ GỐC'!$A$5:$D$254,3,FALSE()),""))</f>
        <v/>
      </c>
      <c r="K28" s="12"/>
      <c r="L28" s="13" t="str">
        <f aca="false">IF($C28="","",N($I28)*N($K28))</f>
        <v/>
      </c>
      <c r="M28" s="11"/>
      <c r="N28" s="14" t="str">
        <f aca="false">IF($C28="","",IF($M28="VAT 5%",0.05,IF($M28="VAT 8%",0.08,IF($M28="VAT 10%",0.1,0))))</f>
        <v/>
      </c>
      <c r="O28" s="13" t="str">
        <f aca="false">IF($C28="","",$L28*$N28)</f>
        <v/>
      </c>
      <c r="P28" s="13" t="str">
        <f aca="false">IF($C28="","",$L28+$O28)</f>
        <v/>
      </c>
      <c r="Q28" s="12"/>
      <c r="R28" s="13" t="str">
        <f aca="false">IF($C28="","",MAX(0,$P28-N($Q28)))</f>
        <v/>
      </c>
      <c r="S28" s="23" t="str">
        <f aca="false">IF(OR($C28="",$P28=0),"",IF(N($Q28)&lt;=0,"Chưa thanh toán",IF(N($Q28)&lt;$P28,"Thanh toán một phần","Đã thanh toán")))</f>
        <v/>
      </c>
      <c r="T28" s="13" t="str">
        <f aca="false">IF(OR($C28="",$J28=""),"",N($I28)*$J28)</f>
        <v/>
      </c>
      <c r="U28" s="13" t="str">
        <f aca="false">IF(OR($C28="",$T28=""),"",$L28-$T28)</f>
        <v/>
      </c>
      <c r="V28" s="14" t="str">
        <f aca="false">IF(OR($U28="",$L28=0),"",$U28/$L28)</f>
        <v/>
      </c>
      <c r="W28" s="11"/>
      <c r="X28" s="23" t="str">
        <f aca="false">IF($C28="","",IF(AND($H28="",N($I28)=0,N($K28)=0),"Dòng chỉ lưu thông tin khách (chưa có đơn); ",IF($B28="","Thiếu ngày đặt; ","")&amp;IF($H28="","Thiếu tên sản phẩm; ",IF($J28="","Chưa khai GIÁ GỐC ở BẢNG GIÁ GỐC; ",""))&amp;IF(N($I28)&lt;=0,"Thiếu số lượng; ","")&amp;IF(N($K28)&lt;=0,"Thiếu giá bán; ","")&amp;IF(AND($N28&gt;0,$F28=""),"Khách lấy VAT thiếu mã số thuế; ","")&amp;IF(N($Q28)&gt;$P28,"Đã thu vượt tổng phải thu; ","")&amp;IF(AND($L28&gt;0,$U28&lt;&gt;"",$U28&lt;0),"CẢNH BÁO: ĐƠN NÀY ĐANG LỖ; ","")))</f>
        <v/>
      </c>
    </row>
    <row r="29" customFormat="false" ht="15" hidden="false" customHeight="false" outlineLevel="0" collapsed="false">
      <c r="A29" s="21" t="str">
        <f aca="false">IF($C29="","",COUNTA($C$10:$C29))</f>
        <v/>
      </c>
      <c r="B29" s="18"/>
      <c r="C29" s="11"/>
      <c r="D29" s="11"/>
      <c r="E29" s="11"/>
      <c r="F29" s="11"/>
      <c r="G29" s="11"/>
      <c r="H29" s="11"/>
      <c r="I29" s="12"/>
      <c r="J29" s="13" t="str">
        <f aca="false">IF($H29="","",IFERROR(VLOOKUP($H29,'BẢNG GIÁ GỐC'!$A$5:$D$254,3,FALSE()),""))</f>
        <v/>
      </c>
      <c r="K29" s="12"/>
      <c r="L29" s="13" t="str">
        <f aca="false">IF($C29="","",N($I29)*N($K29))</f>
        <v/>
      </c>
      <c r="M29" s="11"/>
      <c r="N29" s="14" t="str">
        <f aca="false">IF($C29="","",IF($M29="VAT 5%",0.05,IF($M29="VAT 8%",0.08,IF($M29="VAT 10%",0.1,0))))</f>
        <v/>
      </c>
      <c r="O29" s="13" t="str">
        <f aca="false">IF($C29="","",$L29*$N29)</f>
        <v/>
      </c>
      <c r="P29" s="13" t="str">
        <f aca="false">IF($C29="","",$L29+$O29)</f>
        <v/>
      </c>
      <c r="Q29" s="12"/>
      <c r="R29" s="13" t="str">
        <f aca="false">IF($C29="","",MAX(0,$P29-N($Q29)))</f>
        <v/>
      </c>
      <c r="S29" s="23" t="str">
        <f aca="false">IF(OR($C29="",$P29=0),"",IF(N($Q29)&lt;=0,"Chưa thanh toán",IF(N($Q29)&lt;$P29,"Thanh toán một phần","Đã thanh toán")))</f>
        <v/>
      </c>
      <c r="T29" s="13" t="str">
        <f aca="false">IF(OR($C29="",$J29=""),"",N($I29)*$J29)</f>
        <v/>
      </c>
      <c r="U29" s="13" t="str">
        <f aca="false">IF(OR($C29="",$T29=""),"",$L29-$T29)</f>
        <v/>
      </c>
      <c r="V29" s="14" t="str">
        <f aca="false">IF(OR($U29="",$L29=0),"",$U29/$L29)</f>
        <v/>
      </c>
      <c r="W29" s="11"/>
      <c r="X29" s="23" t="str">
        <f aca="false">IF($C29="","",IF(AND($H29="",N($I29)=0,N($K29)=0),"Dòng chỉ lưu thông tin khách (chưa có đơn); ",IF($B29="","Thiếu ngày đặt; ","")&amp;IF($H29="","Thiếu tên sản phẩm; ",IF($J29="","Chưa khai GIÁ GỐC ở BẢNG GIÁ GỐC; ",""))&amp;IF(N($I29)&lt;=0,"Thiếu số lượng; ","")&amp;IF(N($K29)&lt;=0,"Thiếu giá bán; ","")&amp;IF(AND($N29&gt;0,$F29=""),"Khách lấy VAT thiếu mã số thuế; ","")&amp;IF(N($Q29)&gt;$P29,"Đã thu vượt tổng phải thu; ","")&amp;IF(AND($L29&gt;0,$U29&lt;&gt;"",$U29&lt;0),"CẢNH BÁO: ĐƠN NÀY ĐANG LỖ; ","")))</f>
        <v/>
      </c>
    </row>
    <row r="30" customFormat="false" ht="15" hidden="false" customHeight="false" outlineLevel="0" collapsed="false">
      <c r="A30" s="21" t="str">
        <f aca="false">IF($C30="","",COUNTA($C$10:$C30))</f>
        <v/>
      </c>
      <c r="B30" s="18"/>
      <c r="C30" s="11"/>
      <c r="D30" s="11"/>
      <c r="E30" s="11"/>
      <c r="F30" s="11"/>
      <c r="G30" s="11"/>
      <c r="H30" s="11"/>
      <c r="I30" s="12"/>
      <c r="J30" s="13" t="str">
        <f aca="false">IF($H30="","",IFERROR(VLOOKUP($H30,'BẢNG GIÁ GỐC'!$A$5:$D$254,3,FALSE()),""))</f>
        <v/>
      </c>
      <c r="K30" s="12"/>
      <c r="L30" s="13" t="str">
        <f aca="false">IF($C30="","",N($I30)*N($K30))</f>
        <v/>
      </c>
      <c r="M30" s="11"/>
      <c r="N30" s="14" t="str">
        <f aca="false">IF($C30="","",IF($M30="VAT 5%",0.05,IF($M30="VAT 8%",0.08,IF($M30="VAT 10%",0.1,0))))</f>
        <v/>
      </c>
      <c r="O30" s="13" t="str">
        <f aca="false">IF($C30="","",$L30*$N30)</f>
        <v/>
      </c>
      <c r="P30" s="13" t="str">
        <f aca="false">IF($C30="","",$L30+$O30)</f>
        <v/>
      </c>
      <c r="Q30" s="12"/>
      <c r="R30" s="13" t="str">
        <f aca="false">IF($C30="","",MAX(0,$P30-N($Q30)))</f>
        <v/>
      </c>
      <c r="S30" s="23" t="str">
        <f aca="false">IF(OR($C30="",$P30=0),"",IF(N($Q30)&lt;=0,"Chưa thanh toán",IF(N($Q30)&lt;$P30,"Thanh toán một phần","Đã thanh toán")))</f>
        <v/>
      </c>
      <c r="T30" s="13" t="str">
        <f aca="false">IF(OR($C30="",$J30=""),"",N($I30)*$J30)</f>
        <v/>
      </c>
      <c r="U30" s="13" t="str">
        <f aca="false">IF(OR($C30="",$T30=""),"",$L30-$T30)</f>
        <v/>
      </c>
      <c r="V30" s="14" t="str">
        <f aca="false">IF(OR($U30="",$L30=0),"",$U30/$L30)</f>
        <v/>
      </c>
      <c r="W30" s="11"/>
      <c r="X30" s="23" t="str">
        <f aca="false">IF($C30="","",IF(AND($H30="",N($I30)=0,N($K30)=0),"Dòng chỉ lưu thông tin khách (chưa có đơn); ",IF($B30="","Thiếu ngày đặt; ","")&amp;IF($H30="","Thiếu tên sản phẩm; ",IF($J30="","Chưa khai GIÁ GỐC ở BẢNG GIÁ GỐC; ",""))&amp;IF(N($I30)&lt;=0,"Thiếu số lượng; ","")&amp;IF(N($K30)&lt;=0,"Thiếu giá bán; ","")&amp;IF(AND($N30&gt;0,$F30=""),"Khách lấy VAT thiếu mã số thuế; ","")&amp;IF(N($Q30)&gt;$P30,"Đã thu vượt tổng phải thu; ","")&amp;IF(AND($L30&gt;0,$U30&lt;&gt;"",$U30&lt;0),"CẢNH BÁO: ĐƠN NÀY ĐANG LỖ; ","")))</f>
        <v/>
      </c>
    </row>
    <row r="31" customFormat="false" ht="15" hidden="false" customHeight="false" outlineLevel="0" collapsed="false">
      <c r="A31" s="21" t="str">
        <f aca="false">IF($C31="","",COUNTA($C$10:$C31))</f>
        <v/>
      </c>
      <c r="B31" s="18"/>
      <c r="C31" s="11"/>
      <c r="D31" s="11"/>
      <c r="E31" s="11"/>
      <c r="F31" s="11"/>
      <c r="G31" s="11"/>
      <c r="H31" s="11"/>
      <c r="I31" s="12"/>
      <c r="J31" s="13" t="str">
        <f aca="false">IF($H31="","",IFERROR(VLOOKUP($H31,'BẢNG GIÁ GỐC'!$A$5:$D$254,3,FALSE()),""))</f>
        <v/>
      </c>
      <c r="K31" s="12"/>
      <c r="L31" s="13" t="str">
        <f aca="false">IF($C31="","",N($I31)*N($K31))</f>
        <v/>
      </c>
      <c r="M31" s="11"/>
      <c r="N31" s="14" t="str">
        <f aca="false">IF($C31="","",IF($M31="VAT 5%",0.05,IF($M31="VAT 8%",0.08,IF($M31="VAT 10%",0.1,0))))</f>
        <v/>
      </c>
      <c r="O31" s="13" t="str">
        <f aca="false">IF($C31="","",$L31*$N31)</f>
        <v/>
      </c>
      <c r="P31" s="13" t="str">
        <f aca="false">IF($C31="","",$L31+$O31)</f>
        <v/>
      </c>
      <c r="Q31" s="12"/>
      <c r="R31" s="13" t="str">
        <f aca="false">IF($C31="","",MAX(0,$P31-N($Q31)))</f>
        <v/>
      </c>
      <c r="S31" s="23" t="str">
        <f aca="false">IF(OR($C31="",$P31=0),"",IF(N($Q31)&lt;=0,"Chưa thanh toán",IF(N($Q31)&lt;$P31,"Thanh toán một phần","Đã thanh toán")))</f>
        <v/>
      </c>
      <c r="T31" s="13" t="str">
        <f aca="false">IF(OR($C31="",$J31=""),"",N($I31)*$J31)</f>
        <v/>
      </c>
      <c r="U31" s="13" t="str">
        <f aca="false">IF(OR($C31="",$T31=""),"",$L31-$T31)</f>
        <v/>
      </c>
      <c r="V31" s="14" t="str">
        <f aca="false">IF(OR($U31="",$L31=0),"",$U31/$L31)</f>
        <v/>
      </c>
      <c r="W31" s="11"/>
      <c r="X31" s="23" t="str">
        <f aca="false">IF($C31="","",IF(AND($H31="",N($I31)=0,N($K31)=0),"Dòng chỉ lưu thông tin khách (chưa có đơn); ",IF($B31="","Thiếu ngày đặt; ","")&amp;IF($H31="","Thiếu tên sản phẩm; ",IF($J31="","Chưa khai GIÁ GỐC ở BẢNG GIÁ GỐC; ",""))&amp;IF(N($I31)&lt;=0,"Thiếu số lượng; ","")&amp;IF(N($K31)&lt;=0,"Thiếu giá bán; ","")&amp;IF(AND($N31&gt;0,$F31=""),"Khách lấy VAT thiếu mã số thuế; ","")&amp;IF(N($Q31)&gt;$P31,"Đã thu vượt tổng phải thu; ","")&amp;IF(AND($L31&gt;0,$U31&lt;&gt;"",$U31&lt;0),"CẢNH BÁO: ĐƠN NÀY ĐANG LỖ; ","")))</f>
        <v/>
      </c>
    </row>
    <row r="32" customFormat="false" ht="15" hidden="false" customHeight="false" outlineLevel="0" collapsed="false">
      <c r="A32" s="21" t="str">
        <f aca="false">IF($C32="","",COUNTA($C$10:$C32))</f>
        <v/>
      </c>
      <c r="B32" s="18"/>
      <c r="C32" s="11"/>
      <c r="D32" s="11"/>
      <c r="E32" s="11"/>
      <c r="F32" s="11"/>
      <c r="G32" s="11"/>
      <c r="H32" s="11"/>
      <c r="I32" s="12"/>
      <c r="J32" s="13" t="str">
        <f aca="false">IF($H32="","",IFERROR(VLOOKUP($H32,'BẢNG GIÁ GỐC'!$A$5:$D$254,3,FALSE()),""))</f>
        <v/>
      </c>
      <c r="K32" s="12"/>
      <c r="L32" s="13" t="str">
        <f aca="false">IF($C32="","",N($I32)*N($K32))</f>
        <v/>
      </c>
      <c r="M32" s="11"/>
      <c r="N32" s="14" t="str">
        <f aca="false">IF($C32="","",IF($M32="VAT 5%",0.05,IF($M32="VAT 8%",0.08,IF($M32="VAT 10%",0.1,0))))</f>
        <v/>
      </c>
      <c r="O32" s="13" t="str">
        <f aca="false">IF($C32="","",$L32*$N32)</f>
        <v/>
      </c>
      <c r="P32" s="13" t="str">
        <f aca="false">IF($C32="","",$L32+$O32)</f>
        <v/>
      </c>
      <c r="Q32" s="12"/>
      <c r="R32" s="13" t="str">
        <f aca="false">IF($C32="","",MAX(0,$P32-N($Q32)))</f>
        <v/>
      </c>
      <c r="S32" s="23" t="str">
        <f aca="false">IF(OR($C32="",$P32=0),"",IF(N($Q32)&lt;=0,"Chưa thanh toán",IF(N($Q32)&lt;$P32,"Thanh toán một phần","Đã thanh toán")))</f>
        <v/>
      </c>
      <c r="T32" s="13" t="str">
        <f aca="false">IF(OR($C32="",$J32=""),"",N($I32)*$J32)</f>
        <v/>
      </c>
      <c r="U32" s="13" t="str">
        <f aca="false">IF(OR($C32="",$T32=""),"",$L32-$T32)</f>
        <v/>
      </c>
      <c r="V32" s="14" t="str">
        <f aca="false">IF(OR($U32="",$L32=0),"",$U32/$L32)</f>
        <v/>
      </c>
      <c r="W32" s="11"/>
      <c r="X32" s="23" t="str">
        <f aca="false">IF($C32="","",IF(AND($H32="",N($I32)=0,N($K32)=0),"Dòng chỉ lưu thông tin khách (chưa có đơn); ",IF($B32="","Thiếu ngày đặt; ","")&amp;IF($H32="","Thiếu tên sản phẩm; ",IF($J32="","Chưa khai GIÁ GỐC ở BẢNG GIÁ GỐC; ",""))&amp;IF(N($I32)&lt;=0,"Thiếu số lượng; ","")&amp;IF(N($K32)&lt;=0,"Thiếu giá bán; ","")&amp;IF(AND($N32&gt;0,$F32=""),"Khách lấy VAT thiếu mã số thuế; ","")&amp;IF(N($Q32)&gt;$P32,"Đã thu vượt tổng phải thu; ","")&amp;IF(AND($L32&gt;0,$U32&lt;&gt;"",$U32&lt;0),"CẢNH BÁO: ĐƠN NÀY ĐANG LỖ; ","")))</f>
        <v/>
      </c>
    </row>
    <row r="33" customFormat="false" ht="15" hidden="false" customHeight="false" outlineLevel="0" collapsed="false">
      <c r="A33" s="21" t="str">
        <f aca="false">IF($C33="","",COUNTA($C$10:$C33))</f>
        <v/>
      </c>
      <c r="B33" s="18"/>
      <c r="C33" s="11"/>
      <c r="D33" s="11"/>
      <c r="E33" s="11"/>
      <c r="F33" s="11"/>
      <c r="G33" s="11"/>
      <c r="H33" s="11"/>
      <c r="I33" s="12"/>
      <c r="J33" s="13" t="str">
        <f aca="false">IF($H33="","",IFERROR(VLOOKUP($H33,'BẢNG GIÁ GỐC'!$A$5:$D$254,3,FALSE()),""))</f>
        <v/>
      </c>
      <c r="K33" s="12"/>
      <c r="L33" s="13" t="str">
        <f aca="false">IF($C33="","",N($I33)*N($K33))</f>
        <v/>
      </c>
      <c r="M33" s="11"/>
      <c r="N33" s="14" t="str">
        <f aca="false">IF($C33="","",IF($M33="VAT 5%",0.05,IF($M33="VAT 8%",0.08,IF($M33="VAT 10%",0.1,0))))</f>
        <v/>
      </c>
      <c r="O33" s="13" t="str">
        <f aca="false">IF($C33="","",$L33*$N33)</f>
        <v/>
      </c>
      <c r="P33" s="13" t="str">
        <f aca="false">IF($C33="","",$L33+$O33)</f>
        <v/>
      </c>
      <c r="Q33" s="12"/>
      <c r="R33" s="13" t="str">
        <f aca="false">IF($C33="","",MAX(0,$P33-N($Q33)))</f>
        <v/>
      </c>
      <c r="S33" s="23" t="str">
        <f aca="false">IF(OR($C33="",$P33=0),"",IF(N($Q33)&lt;=0,"Chưa thanh toán",IF(N($Q33)&lt;$P33,"Thanh toán một phần","Đã thanh toán")))</f>
        <v/>
      </c>
      <c r="T33" s="13" t="str">
        <f aca="false">IF(OR($C33="",$J33=""),"",N($I33)*$J33)</f>
        <v/>
      </c>
      <c r="U33" s="13" t="str">
        <f aca="false">IF(OR($C33="",$T33=""),"",$L33-$T33)</f>
        <v/>
      </c>
      <c r="V33" s="14" t="str">
        <f aca="false">IF(OR($U33="",$L33=0),"",$U33/$L33)</f>
        <v/>
      </c>
      <c r="W33" s="11"/>
      <c r="X33" s="23" t="str">
        <f aca="false">IF($C33="","",IF(AND($H33="",N($I33)=0,N($K33)=0),"Dòng chỉ lưu thông tin khách (chưa có đơn); ",IF($B33="","Thiếu ngày đặt; ","")&amp;IF($H33="","Thiếu tên sản phẩm; ",IF($J33="","Chưa khai GIÁ GỐC ở BẢNG GIÁ GỐC; ",""))&amp;IF(N($I33)&lt;=0,"Thiếu số lượng; ","")&amp;IF(N($K33)&lt;=0,"Thiếu giá bán; ","")&amp;IF(AND($N33&gt;0,$F33=""),"Khách lấy VAT thiếu mã số thuế; ","")&amp;IF(N($Q33)&gt;$P33,"Đã thu vượt tổng phải thu; ","")&amp;IF(AND($L33&gt;0,$U33&lt;&gt;"",$U33&lt;0),"CẢNH BÁO: ĐƠN NÀY ĐANG LỖ; ","")))</f>
        <v/>
      </c>
    </row>
    <row r="34" customFormat="false" ht="15" hidden="false" customHeight="false" outlineLevel="0" collapsed="false">
      <c r="A34" s="21" t="str">
        <f aca="false">IF($C34="","",COUNTA($C$10:$C34))</f>
        <v/>
      </c>
      <c r="B34" s="18"/>
      <c r="C34" s="11"/>
      <c r="D34" s="11"/>
      <c r="E34" s="11"/>
      <c r="F34" s="11"/>
      <c r="G34" s="11"/>
      <c r="H34" s="11"/>
      <c r="I34" s="12"/>
      <c r="J34" s="13" t="str">
        <f aca="false">IF($H34="","",IFERROR(VLOOKUP($H34,'BẢNG GIÁ GỐC'!$A$5:$D$254,3,FALSE()),""))</f>
        <v/>
      </c>
      <c r="K34" s="12"/>
      <c r="L34" s="13" t="str">
        <f aca="false">IF($C34="","",N($I34)*N($K34))</f>
        <v/>
      </c>
      <c r="M34" s="11"/>
      <c r="N34" s="14" t="str">
        <f aca="false">IF($C34="","",IF($M34="VAT 5%",0.05,IF($M34="VAT 8%",0.08,IF($M34="VAT 10%",0.1,0))))</f>
        <v/>
      </c>
      <c r="O34" s="13" t="str">
        <f aca="false">IF($C34="","",$L34*$N34)</f>
        <v/>
      </c>
      <c r="P34" s="13" t="str">
        <f aca="false">IF($C34="","",$L34+$O34)</f>
        <v/>
      </c>
      <c r="Q34" s="12"/>
      <c r="R34" s="13" t="str">
        <f aca="false">IF($C34="","",MAX(0,$P34-N($Q34)))</f>
        <v/>
      </c>
      <c r="S34" s="23" t="str">
        <f aca="false">IF(OR($C34="",$P34=0),"",IF(N($Q34)&lt;=0,"Chưa thanh toán",IF(N($Q34)&lt;$P34,"Thanh toán một phần","Đã thanh toán")))</f>
        <v/>
      </c>
      <c r="T34" s="13" t="str">
        <f aca="false">IF(OR($C34="",$J34=""),"",N($I34)*$J34)</f>
        <v/>
      </c>
      <c r="U34" s="13" t="str">
        <f aca="false">IF(OR($C34="",$T34=""),"",$L34-$T34)</f>
        <v/>
      </c>
      <c r="V34" s="14" t="str">
        <f aca="false">IF(OR($U34="",$L34=0),"",$U34/$L34)</f>
        <v/>
      </c>
      <c r="W34" s="11"/>
      <c r="X34" s="23" t="str">
        <f aca="false">IF($C34="","",IF(AND($H34="",N($I34)=0,N($K34)=0),"Dòng chỉ lưu thông tin khách (chưa có đơn); ",IF($B34="","Thiếu ngày đặt; ","")&amp;IF($H34="","Thiếu tên sản phẩm; ",IF($J34="","Chưa khai GIÁ GỐC ở BẢNG GIÁ GỐC; ",""))&amp;IF(N($I34)&lt;=0,"Thiếu số lượng; ","")&amp;IF(N($K34)&lt;=0,"Thiếu giá bán; ","")&amp;IF(AND($N34&gt;0,$F34=""),"Khách lấy VAT thiếu mã số thuế; ","")&amp;IF(N($Q34)&gt;$P34,"Đã thu vượt tổng phải thu; ","")&amp;IF(AND($L34&gt;0,$U34&lt;&gt;"",$U34&lt;0),"CẢNH BÁO: ĐƠN NÀY ĐANG LỖ; ","")))</f>
        <v/>
      </c>
    </row>
    <row r="35" customFormat="false" ht="15" hidden="false" customHeight="false" outlineLevel="0" collapsed="false">
      <c r="A35" s="21" t="str">
        <f aca="false">IF($C35="","",COUNTA($C$10:$C35))</f>
        <v/>
      </c>
      <c r="B35" s="18"/>
      <c r="C35" s="11"/>
      <c r="D35" s="11"/>
      <c r="E35" s="11"/>
      <c r="F35" s="11"/>
      <c r="G35" s="11"/>
      <c r="H35" s="11"/>
      <c r="I35" s="12"/>
      <c r="J35" s="13" t="str">
        <f aca="false">IF($H35="","",IFERROR(VLOOKUP($H35,'BẢNG GIÁ GỐC'!$A$5:$D$254,3,FALSE()),""))</f>
        <v/>
      </c>
      <c r="K35" s="12"/>
      <c r="L35" s="13" t="str">
        <f aca="false">IF($C35="","",N($I35)*N($K35))</f>
        <v/>
      </c>
      <c r="M35" s="11"/>
      <c r="N35" s="14" t="str">
        <f aca="false">IF($C35="","",IF($M35="VAT 5%",0.05,IF($M35="VAT 8%",0.08,IF($M35="VAT 10%",0.1,0))))</f>
        <v/>
      </c>
      <c r="O35" s="13" t="str">
        <f aca="false">IF($C35="","",$L35*$N35)</f>
        <v/>
      </c>
      <c r="P35" s="13" t="str">
        <f aca="false">IF($C35="","",$L35+$O35)</f>
        <v/>
      </c>
      <c r="Q35" s="12"/>
      <c r="R35" s="13" t="str">
        <f aca="false">IF($C35="","",MAX(0,$P35-N($Q35)))</f>
        <v/>
      </c>
      <c r="S35" s="23" t="str">
        <f aca="false">IF(OR($C35="",$P35=0),"",IF(N($Q35)&lt;=0,"Chưa thanh toán",IF(N($Q35)&lt;$P35,"Thanh toán một phần","Đã thanh toán")))</f>
        <v/>
      </c>
      <c r="T35" s="13" t="str">
        <f aca="false">IF(OR($C35="",$J35=""),"",N($I35)*$J35)</f>
        <v/>
      </c>
      <c r="U35" s="13" t="str">
        <f aca="false">IF(OR($C35="",$T35=""),"",$L35-$T35)</f>
        <v/>
      </c>
      <c r="V35" s="14" t="str">
        <f aca="false">IF(OR($U35="",$L35=0),"",$U35/$L35)</f>
        <v/>
      </c>
      <c r="W35" s="11"/>
      <c r="X35" s="23" t="str">
        <f aca="false">IF($C35="","",IF(AND($H35="",N($I35)=0,N($K35)=0),"Dòng chỉ lưu thông tin khách (chưa có đơn); ",IF($B35="","Thiếu ngày đặt; ","")&amp;IF($H35="","Thiếu tên sản phẩm; ",IF($J35="","Chưa khai GIÁ GỐC ở BẢNG GIÁ GỐC; ",""))&amp;IF(N($I35)&lt;=0,"Thiếu số lượng; ","")&amp;IF(N($K35)&lt;=0,"Thiếu giá bán; ","")&amp;IF(AND($N35&gt;0,$F35=""),"Khách lấy VAT thiếu mã số thuế; ","")&amp;IF(N($Q35)&gt;$P35,"Đã thu vượt tổng phải thu; ","")&amp;IF(AND($L35&gt;0,$U35&lt;&gt;"",$U35&lt;0),"CẢNH BÁO: ĐƠN NÀY ĐANG LỖ; ","")))</f>
        <v/>
      </c>
    </row>
    <row r="36" customFormat="false" ht="15" hidden="false" customHeight="false" outlineLevel="0" collapsed="false">
      <c r="A36" s="21" t="str">
        <f aca="false">IF($C36="","",COUNTA($C$10:$C36))</f>
        <v/>
      </c>
      <c r="B36" s="18"/>
      <c r="C36" s="11"/>
      <c r="D36" s="11"/>
      <c r="E36" s="11"/>
      <c r="F36" s="11"/>
      <c r="G36" s="11"/>
      <c r="H36" s="11"/>
      <c r="I36" s="12"/>
      <c r="J36" s="13" t="str">
        <f aca="false">IF($H36="","",IFERROR(VLOOKUP($H36,'BẢNG GIÁ GỐC'!$A$5:$D$254,3,FALSE()),""))</f>
        <v/>
      </c>
      <c r="K36" s="12"/>
      <c r="L36" s="13" t="str">
        <f aca="false">IF($C36="","",N($I36)*N($K36))</f>
        <v/>
      </c>
      <c r="M36" s="11"/>
      <c r="N36" s="14" t="str">
        <f aca="false">IF($C36="","",IF($M36="VAT 5%",0.05,IF($M36="VAT 8%",0.08,IF($M36="VAT 10%",0.1,0))))</f>
        <v/>
      </c>
      <c r="O36" s="13" t="str">
        <f aca="false">IF($C36="","",$L36*$N36)</f>
        <v/>
      </c>
      <c r="P36" s="13" t="str">
        <f aca="false">IF($C36="","",$L36+$O36)</f>
        <v/>
      </c>
      <c r="Q36" s="12"/>
      <c r="R36" s="13" t="str">
        <f aca="false">IF($C36="","",MAX(0,$P36-N($Q36)))</f>
        <v/>
      </c>
      <c r="S36" s="23" t="str">
        <f aca="false">IF(OR($C36="",$P36=0),"",IF(N($Q36)&lt;=0,"Chưa thanh toán",IF(N($Q36)&lt;$P36,"Thanh toán một phần","Đã thanh toán")))</f>
        <v/>
      </c>
      <c r="T36" s="13" t="str">
        <f aca="false">IF(OR($C36="",$J36=""),"",N($I36)*$J36)</f>
        <v/>
      </c>
      <c r="U36" s="13" t="str">
        <f aca="false">IF(OR($C36="",$T36=""),"",$L36-$T36)</f>
        <v/>
      </c>
      <c r="V36" s="14" t="str">
        <f aca="false">IF(OR($U36="",$L36=0),"",$U36/$L36)</f>
        <v/>
      </c>
      <c r="W36" s="11"/>
      <c r="X36" s="23" t="str">
        <f aca="false">IF($C36="","",IF(AND($H36="",N($I36)=0,N($K36)=0),"Dòng chỉ lưu thông tin khách (chưa có đơn); ",IF($B36="","Thiếu ngày đặt; ","")&amp;IF($H36="","Thiếu tên sản phẩm; ",IF($J36="","Chưa khai GIÁ GỐC ở BẢNG GIÁ GỐC; ",""))&amp;IF(N($I36)&lt;=0,"Thiếu số lượng; ","")&amp;IF(N($K36)&lt;=0,"Thiếu giá bán; ","")&amp;IF(AND($N36&gt;0,$F36=""),"Khách lấy VAT thiếu mã số thuế; ","")&amp;IF(N($Q36)&gt;$P36,"Đã thu vượt tổng phải thu; ","")&amp;IF(AND($L36&gt;0,$U36&lt;&gt;"",$U36&lt;0),"CẢNH BÁO: ĐƠN NÀY ĐANG LỖ; ","")))</f>
        <v/>
      </c>
    </row>
    <row r="37" customFormat="false" ht="15" hidden="false" customHeight="false" outlineLevel="0" collapsed="false">
      <c r="A37" s="21" t="str">
        <f aca="false">IF($C37="","",COUNTA($C$10:$C37))</f>
        <v/>
      </c>
      <c r="B37" s="18"/>
      <c r="C37" s="11"/>
      <c r="D37" s="11"/>
      <c r="E37" s="11"/>
      <c r="F37" s="11"/>
      <c r="G37" s="11"/>
      <c r="H37" s="11"/>
      <c r="I37" s="12"/>
      <c r="J37" s="13" t="str">
        <f aca="false">IF($H37="","",IFERROR(VLOOKUP($H37,'BẢNG GIÁ GỐC'!$A$5:$D$254,3,FALSE()),""))</f>
        <v/>
      </c>
      <c r="K37" s="12"/>
      <c r="L37" s="13" t="str">
        <f aca="false">IF($C37="","",N($I37)*N($K37))</f>
        <v/>
      </c>
      <c r="M37" s="11"/>
      <c r="N37" s="14" t="str">
        <f aca="false">IF($C37="","",IF($M37="VAT 5%",0.05,IF($M37="VAT 8%",0.08,IF($M37="VAT 10%",0.1,0))))</f>
        <v/>
      </c>
      <c r="O37" s="13" t="str">
        <f aca="false">IF($C37="","",$L37*$N37)</f>
        <v/>
      </c>
      <c r="P37" s="13" t="str">
        <f aca="false">IF($C37="","",$L37+$O37)</f>
        <v/>
      </c>
      <c r="Q37" s="12"/>
      <c r="R37" s="13" t="str">
        <f aca="false">IF($C37="","",MAX(0,$P37-N($Q37)))</f>
        <v/>
      </c>
      <c r="S37" s="23" t="str">
        <f aca="false">IF(OR($C37="",$P37=0),"",IF(N($Q37)&lt;=0,"Chưa thanh toán",IF(N($Q37)&lt;$P37,"Thanh toán một phần","Đã thanh toán")))</f>
        <v/>
      </c>
      <c r="T37" s="13" t="str">
        <f aca="false">IF(OR($C37="",$J37=""),"",N($I37)*$J37)</f>
        <v/>
      </c>
      <c r="U37" s="13" t="str">
        <f aca="false">IF(OR($C37="",$T37=""),"",$L37-$T37)</f>
        <v/>
      </c>
      <c r="V37" s="14" t="str">
        <f aca="false">IF(OR($U37="",$L37=0),"",$U37/$L37)</f>
        <v/>
      </c>
      <c r="W37" s="11"/>
      <c r="X37" s="23" t="str">
        <f aca="false">IF($C37="","",IF(AND($H37="",N($I37)=0,N($K37)=0),"Dòng chỉ lưu thông tin khách (chưa có đơn); ",IF($B37="","Thiếu ngày đặt; ","")&amp;IF($H37="","Thiếu tên sản phẩm; ",IF($J37="","Chưa khai GIÁ GỐC ở BẢNG GIÁ GỐC; ",""))&amp;IF(N($I37)&lt;=0,"Thiếu số lượng; ","")&amp;IF(N($K37)&lt;=0,"Thiếu giá bán; ","")&amp;IF(AND($N37&gt;0,$F37=""),"Khách lấy VAT thiếu mã số thuế; ","")&amp;IF(N($Q37)&gt;$P37,"Đã thu vượt tổng phải thu; ","")&amp;IF(AND($L37&gt;0,$U37&lt;&gt;"",$U37&lt;0),"CẢNH BÁO: ĐƠN NÀY ĐANG LỖ; ","")))</f>
        <v/>
      </c>
    </row>
    <row r="38" customFormat="false" ht="15" hidden="false" customHeight="false" outlineLevel="0" collapsed="false">
      <c r="A38" s="21" t="str">
        <f aca="false">IF($C38="","",COUNTA($C$10:$C38))</f>
        <v/>
      </c>
      <c r="B38" s="18"/>
      <c r="C38" s="11"/>
      <c r="D38" s="11"/>
      <c r="E38" s="11"/>
      <c r="F38" s="11"/>
      <c r="G38" s="11"/>
      <c r="H38" s="11"/>
      <c r="I38" s="12"/>
      <c r="J38" s="13" t="str">
        <f aca="false">IF($H38="","",IFERROR(VLOOKUP($H38,'BẢNG GIÁ GỐC'!$A$5:$D$254,3,FALSE()),""))</f>
        <v/>
      </c>
      <c r="K38" s="12"/>
      <c r="L38" s="13" t="str">
        <f aca="false">IF($C38="","",N($I38)*N($K38))</f>
        <v/>
      </c>
      <c r="M38" s="11"/>
      <c r="N38" s="14" t="str">
        <f aca="false">IF($C38="","",IF($M38="VAT 5%",0.05,IF($M38="VAT 8%",0.08,IF($M38="VAT 10%",0.1,0))))</f>
        <v/>
      </c>
      <c r="O38" s="13" t="str">
        <f aca="false">IF($C38="","",$L38*$N38)</f>
        <v/>
      </c>
      <c r="P38" s="13" t="str">
        <f aca="false">IF($C38="","",$L38+$O38)</f>
        <v/>
      </c>
      <c r="Q38" s="12"/>
      <c r="R38" s="13" t="str">
        <f aca="false">IF($C38="","",MAX(0,$P38-N($Q38)))</f>
        <v/>
      </c>
      <c r="S38" s="23" t="str">
        <f aca="false">IF(OR($C38="",$P38=0),"",IF(N($Q38)&lt;=0,"Chưa thanh toán",IF(N($Q38)&lt;$P38,"Thanh toán một phần","Đã thanh toán")))</f>
        <v/>
      </c>
      <c r="T38" s="13" t="str">
        <f aca="false">IF(OR($C38="",$J38=""),"",N($I38)*$J38)</f>
        <v/>
      </c>
      <c r="U38" s="13" t="str">
        <f aca="false">IF(OR($C38="",$T38=""),"",$L38-$T38)</f>
        <v/>
      </c>
      <c r="V38" s="14" t="str">
        <f aca="false">IF(OR($U38="",$L38=0),"",$U38/$L38)</f>
        <v/>
      </c>
      <c r="W38" s="11"/>
      <c r="X38" s="23" t="str">
        <f aca="false">IF($C38="","",IF(AND($H38="",N($I38)=0,N($K38)=0),"Dòng chỉ lưu thông tin khách (chưa có đơn); ",IF($B38="","Thiếu ngày đặt; ","")&amp;IF($H38="","Thiếu tên sản phẩm; ",IF($J38="","Chưa khai GIÁ GỐC ở BẢNG GIÁ GỐC; ",""))&amp;IF(N($I38)&lt;=0,"Thiếu số lượng; ","")&amp;IF(N($K38)&lt;=0,"Thiếu giá bán; ","")&amp;IF(AND($N38&gt;0,$F38=""),"Khách lấy VAT thiếu mã số thuế; ","")&amp;IF(N($Q38)&gt;$P38,"Đã thu vượt tổng phải thu; ","")&amp;IF(AND($L38&gt;0,$U38&lt;&gt;"",$U38&lt;0),"CẢNH BÁO: ĐƠN NÀY ĐANG LỖ; ","")))</f>
        <v/>
      </c>
    </row>
    <row r="39" customFormat="false" ht="15" hidden="false" customHeight="false" outlineLevel="0" collapsed="false">
      <c r="A39" s="21" t="str">
        <f aca="false">IF($C39="","",COUNTA($C$10:$C39))</f>
        <v/>
      </c>
      <c r="B39" s="18"/>
      <c r="C39" s="11"/>
      <c r="D39" s="11"/>
      <c r="E39" s="11"/>
      <c r="F39" s="11"/>
      <c r="G39" s="11"/>
      <c r="H39" s="11"/>
      <c r="I39" s="12"/>
      <c r="J39" s="13" t="str">
        <f aca="false">IF($H39="","",IFERROR(VLOOKUP($H39,'BẢNG GIÁ GỐC'!$A$5:$D$254,3,FALSE()),""))</f>
        <v/>
      </c>
      <c r="K39" s="12"/>
      <c r="L39" s="13" t="str">
        <f aca="false">IF($C39="","",N($I39)*N($K39))</f>
        <v/>
      </c>
      <c r="M39" s="11"/>
      <c r="N39" s="14" t="str">
        <f aca="false">IF($C39="","",IF($M39="VAT 5%",0.05,IF($M39="VAT 8%",0.08,IF($M39="VAT 10%",0.1,0))))</f>
        <v/>
      </c>
      <c r="O39" s="13" t="str">
        <f aca="false">IF($C39="","",$L39*$N39)</f>
        <v/>
      </c>
      <c r="P39" s="13" t="str">
        <f aca="false">IF($C39="","",$L39+$O39)</f>
        <v/>
      </c>
      <c r="Q39" s="12"/>
      <c r="R39" s="13" t="str">
        <f aca="false">IF($C39="","",MAX(0,$P39-N($Q39)))</f>
        <v/>
      </c>
      <c r="S39" s="23" t="str">
        <f aca="false">IF(OR($C39="",$P39=0),"",IF(N($Q39)&lt;=0,"Chưa thanh toán",IF(N($Q39)&lt;$P39,"Thanh toán một phần","Đã thanh toán")))</f>
        <v/>
      </c>
      <c r="T39" s="13" t="str">
        <f aca="false">IF(OR($C39="",$J39=""),"",N($I39)*$J39)</f>
        <v/>
      </c>
      <c r="U39" s="13" t="str">
        <f aca="false">IF(OR($C39="",$T39=""),"",$L39-$T39)</f>
        <v/>
      </c>
      <c r="V39" s="14" t="str">
        <f aca="false">IF(OR($U39="",$L39=0),"",$U39/$L39)</f>
        <v/>
      </c>
      <c r="W39" s="11"/>
      <c r="X39" s="23" t="str">
        <f aca="false">IF($C39="","",IF(AND($H39="",N($I39)=0,N($K39)=0),"Dòng chỉ lưu thông tin khách (chưa có đơn); ",IF($B39="","Thiếu ngày đặt; ","")&amp;IF($H39="","Thiếu tên sản phẩm; ",IF($J39="","Chưa khai GIÁ GỐC ở BẢNG GIÁ GỐC; ",""))&amp;IF(N($I39)&lt;=0,"Thiếu số lượng; ","")&amp;IF(N($K39)&lt;=0,"Thiếu giá bán; ","")&amp;IF(AND($N39&gt;0,$F39=""),"Khách lấy VAT thiếu mã số thuế; ","")&amp;IF(N($Q39)&gt;$P39,"Đã thu vượt tổng phải thu; ","")&amp;IF(AND($L39&gt;0,$U39&lt;&gt;"",$U39&lt;0),"CẢNH BÁO: ĐƠN NÀY ĐANG LỖ; ","")))</f>
        <v/>
      </c>
    </row>
    <row r="40" customFormat="false" ht="15" hidden="false" customHeight="false" outlineLevel="0" collapsed="false">
      <c r="A40" s="21" t="str">
        <f aca="false">IF($C40="","",COUNTA($C$10:$C40))</f>
        <v/>
      </c>
      <c r="B40" s="18"/>
      <c r="C40" s="11"/>
      <c r="D40" s="11"/>
      <c r="E40" s="11"/>
      <c r="F40" s="11"/>
      <c r="G40" s="11"/>
      <c r="H40" s="11"/>
      <c r="I40" s="12"/>
      <c r="J40" s="13" t="str">
        <f aca="false">IF($H40="","",IFERROR(VLOOKUP($H40,'BẢNG GIÁ GỐC'!$A$5:$D$254,3,FALSE()),""))</f>
        <v/>
      </c>
      <c r="K40" s="12"/>
      <c r="L40" s="13" t="str">
        <f aca="false">IF($C40="","",N($I40)*N($K40))</f>
        <v/>
      </c>
      <c r="M40" s="11"/>
      <c r="N40" s="14" t="str">
        <f aca="false">IF($C40="","",IF($M40="VAT 5%",0.05,IF($M40="VAT 8%",0.08,IF($M40="VAT 10%",0.1,0))))</f>
        <v/>
      </c>
      <c r="O40" s="13" t="str">
        <f aca="false">IF($C40="","",$L40*$N40)</f>
        <v/>
      </c>
      <c r="P40" s="13" t="str">
        <f aca="false">IF($C40="","",$L40+$O40)</f>
        <v/>
      </c>
      <c r="Q40" s="12"/>
      <c r="R40" s="13" t="str">
        <f aca="false">IF($C40="","",MAX(0,$P40-N($Q40)))</f>
        <v/>
      </c>
      <c r="S40" s="23" t="str">
        <f aca="false">IF(OR($C40="",$P40=0),"",IF(N($Q40)&lt;=0,"Chưa thanh toán",IF(N($Q40)&lt;$P40,"Thanh toán một phần","Đã thanh toán")))</f>
        <v/>
      </c>
      <c r="T40" s="13" t="str">
        <f aca="false">IF(OR($C40="",$J40=""),"",N($I40)*$J40)</f>
        <v/>
      </c>
      <c r="U40" s="13" t="str">
        <f aca="false">IF(OR($C40="",$T40=""),"",$L40-$T40)</f>
        <v/>
      </c>
      <c r="V40" s="14" t="str">
        <f aca="false">IF(OR($U40="",$L40=0),"",$U40/$L40)</f>
        <v/>
      </c>
      <c r="W40" s="11"/>
      <c r="X40" s="23" t="str">
        <f aca="false">IF($C40="","",IF(AND($H40="",N($I40)=0,N($K40)=0),"Dòng chỉ lưu thông tin khách (chưa có đơn); ",IF($B40="","Thiếu ngày đặt; ","")&amp;IF($H40="","Thiếu tên sản phẩm; ",IF($J40="","Chưa khai GIÁ GỐC ở BẢNG GIÁ GỐC; ",""))&amp;IF(N($I40)&lt;=0,"Thiếu số lượng; ","")&amp;IF(N($K40)&lt;=0,"Thiếu giá bán; ","")&amp;IF(AND($N40&gt;0,$F40=""),"Khách lấy VAT thiếu mã số thuế; ","")&amp;IF(N($Q40)&gt;$P40,"Đã thu vượt tổng phải thu; ","")&amp;IF(AND($L40&gt;0,$U40&lt;&gt;"",$U40&lt;0),"CẢNH BÁO: ĐƠN NÀY ĐANG LỖ; ","")))</f>
        <v/>
      </c>
    </row>
    <row r="41" customFormat="false" ht="15" hidden="false" customHeight="false" outlineLevel="0" collapsed="false">
      <c r="A41" s="21" t="str">
        <f aca="false">IF($C41="","",COUNTA($C$10:$C41))</f>
        <v/>
      </c>
      <c r="B41" s="18"/>
      <c r="C41" s="11"/>
      <c r="D41" s="11"/>
      <c r="E41" s="11"/>
      <c r="F41" s="11"/>
      <c r="G41" s="11"/>
      <c r="H41" s="11"/>
      <c r="I41" s="12"/>
      <c r="J41" s="13" t="str">
        <f aca="false">IF($H41="","",IFERROR(VLOOKUP($H41,'BẢNG GIÁ GỐC'!$A$5:$D$254,3,FALSE()),""))</f>
        <v/>
      </c>
      <c r="K41" s="12"/>
      <c r="L41" s="13" t="str">
        <f aca="false">IF($C41="","",N($I41)*N($K41))</f>
        <v/>
      </c>
      <c r="M41" s="11"/>
      <c r="N41" s="14" t="str">
        <f aca="false">IF($C41="","",IF($M41="VAT 5%",0.05,IF($M41="VAT 8%",0.08,IF($M41="VAT 10%",0.1,0))))</f>
        <v/>
      </c>
      <c r="O41" s="13" t="str">
        <f aca="false">IF($C41="","",$L41*$N41)</f>
        <v/>
      </c>
      <c r="P41" s="13" t="str">
        <f aca="false">IF($C41="","",$L41+$O41)</f>
        <v/>
      </c>
      <c r="Q41" s="12"/>
      <c r="R41" s="13" t="str">
        <f aca="false">IF($C41="","",MAX(0,$P41-N($Q41)))</f>
        <v/>
      </c>
      <c r="S41" s="23" t="str">
        <f aca="false">IF(OR($C41="",$P41=0),"",IF(N($Q41)&lt;=0,"Chưa thanh toán",IF(N($Q41)&lt;$P41,"Thanh toán một phần","Đã thanh toán")))</f>
        <v/>
      </c>
      <c r="T41" s="13" t="str">
        <f aca="false">IF(OR($C41="",$J41=""),"",N($I41)*$J41)</f>
        <v/>
      </c>
      <c r="U41" s="13" t="str">
        <f aca="false">IF(OR($C41="",$T41=""),"",$L41-$T41)</f>
        <v/>
      </c>
      <c r="V41" s="14" t="str">
        <f aca="false">IF(OR($U41="",$L41=0),"",$U41/$L41)</f>
        <v/>
      </c>
      <c r="W41" s="11"/>
      <c r="X41" s="23" t="str">
        <f aca="false">IF($C41="","",IF(AND($H41="",N($I41)=0,N($K41)=0),"Dòng chỉ lưu thông tin khách (chưa có đơn); ",IF($B41="","Thiếu ngày đặt; ","")&amp;IF($H41="","Thiếu tên sản phẩm; ",IF($J41="","Chưa khai GIÁ GỐC ở BẢNG GIÁ GỐC; ",""))&amp;IF(N($I41)&lt;=0,"Thiếu số lượng; ","")&amp;IF(N($K41)&lt;=0,"Thiếu giá bán; ","")&amp;IF(AND($N41&gt;0,$F41=""),"Khách lấy VAT thiếu mã số thuế; ","")&amp;IF(N($Q41)&gt;$P41,"Đã thu vượt tổng phải thu; ","")&amp;IF(AND($L41&gt;0,$U41&lt;&gt;"",$U41&lt;0),"CẢNH BÁO: ĐƠN NÀY ĐANG LỖ; ","")))</f>
        <v/>
      </c>
    </row>
    <row r="42" customFormat="false" ht="15" hidden="false" customHeight="false" outlineLevel="0" collapsed="false">
      <c r="A42" s="21" t="str">
        <f aca="false">IF($C42="","",COUNTA($C$10:$C42))</f>
        <v/>
      </c>
      <c r="B42" s="18"/>
      <c r="C42" s="11"/>
      <c r="D42" s="11"/>
      <c r="E42" s="11"/>
      <c r="F42" s="11"/>
      <c r="G42" s="11"/>
      <c r="H42" s="11"/>
      <c r="I42" s="12"/>
      <c r="J42" s="13" t="str">
        <f aca="false">IF($H42="","",IFERROR(VLOOKUP($H42,'BẢNG GIÁ GỐC'!$A$5:$D$254,3,FALSE()),""))</f>
        <v/>
      </c>
      <c r="K42" s="12"/>
      <c r="L42" s="13" t="str">
        <f aca="false">IF($C42="","",N($I42)*N($K42))</f>
        <v/>
      </c>
      <c r="M42" s="11"/>
      <c r="N42" s="14" t="str">
        <f aca="false">IF($C42="","",IF($M42="VAT 5%",0.05,IF($M42="VAT 8%",0.08,IF($M42="VAT 10%",0.1,0))))</f>
        <v/>
      </c>
      <c r="O42" s="13" t="str">
        <f aca="false">IF($C42="","",$L42*$N42)</f>
        <v/>
      </c>
      <c r="P42" s="13" t="str">
        <f aca="false">IF($C42="","",$L42+$O42)</f>
        <v/>
      </c>
      <c r="Q42" s="12"/>
      <c r="R42" s="13" t="str">
        <f aca="false">IF($C42="","",MAX(0,$P42-N($Q42)))</f>
        <v/>
      </c>
      <c r="S42" s="23" t="str">
        <f aca="false">IF(OR($C42="",$P42=0),"",IF(N($Q42)&lt;=0,"Chưa thanh toán",IF(N($Q42)&lt;$P42,"Thanh toán một phần","Đã thanh toán")))</f>
        <v/>
      </c>
      <c r="T42" s="13" t="str">
        <f aca="false">IF(OR($C42="",$J42=""),"",N($I42)*$J42)</f>
        <v/>
      </c>
      <c r="U42" s="13" t="str">
        <f aca="false">IF(OR($C42="",$T42=""),"",$L42-$T42)</f>
        <v/>
      </c>
      <c r="V42" s="14" t="str">
        <f aca="false">IF(OR($U42="",$L42=0),"",$U42/$L42)</f>
        <v/>
      </c>
      <c r="W42" s="11"/>
      <c r="X42" s="23" t="str">
        <f aca="false">IF($C42="","",IF(AND($H42="",N($I42)=0,N($K42)=0),"Dòng chỉ lưu thông tin khách (chưa có đơn); ",IF($B42="","Thiếu ngày đặt; ","")&amp;IF($H42="","Thiếu tên sản phẩm; ",IF($J42="","Chưa khai GIÁ GỐC ở BẢNG GIÁ GỐC; ",""))&amp;IF(N($I42)&lt;=0,"Thiếu số lượng; ","")&amp;IF(N($K42)&lt;=0,"Thiếu giá bán; ","")&amp;IF(AND($N42&gt;0,$F42=""),"Khách lấy VAT thiếu mã số thuế; ","")&amp;IF(N($Q42)&gt;$P42,"Đã thu vượt tổng phải thu; ","")&amp;IF(AND($L42&gt;0,$U42&lt;&gt;"",$U42&lt;0),"CẢNH BÁO: ĐƠN NÀY ĐANG LỖ; ","")))</f>
        <v/>
      </c>
    </row>
    <row r="43" customFormat="false" ht="15" hidden="false" customHeight="false" outlineLevel="0" collapsed="false">
      <c r="A43" s="21" t="str">
        <f aca="false">IF($C43="","",COUNTA($C$10:$C43))</f>
        <v/>
      </c>
      <c r="B43" s="18"/>
      <c r="C43" s="11"/>
      <c r="D43" s="11"/>
      <c r="E43" s="11"/>
      <c r="F43" s="11"/>
      <c r="G43" s="11"/>
      <c r="H43" s="11"/>
      <c r="I43" s="12"/>
      <c r="J43" s="13" t="str">
        <f aca="false">IF($H43="","",IFERROR(VLOOKUP($H43,'BẢNG GIÁ GỐC'!$A$5:$D$254,3,FALSE()),""))</f>
        <v/>
      </c>
      <c r="K43" s="12"/>
      <c r="L43" s="13" t="str">
        <f aca="false">IF($C43="","",N($I43)*N($K43))</f>
        <v/>
      </c>
      <c r="M43" s="11"/>
      <c r="N43" s="14" t="str">
        <f aca="false">IF($C43="","",IF($M43="VAT 5%",0.05,IF($M43="VAT 8%",0.08,IF($M43="VAT 10%",0.1,0))))</f>
        <v/>
      </c>
      <c r="O43" s="13" t="str">
        <f aca="false">IF($C43="","",$L43*$N43)</f>
        <v/>
      </c>
      <c r="P43" s="13" t="str">
        <f aca="false">IF($C43="","",$L43+$O43)</f>
        <v/>
      </c>
      <c r="Q43" s="12"/>
      <c r="R43" s="13" t="str">
        <f aca="false">IF($C43="","",MAX(0,$P43-N($Q43)))</f>
        <v/>
      </c>
      <c r="S43" s="23" t="str">
        <f aca="false">IF(OR($C43="",$P43=0),"",IF(N($Q43)&lt;=0,"Chưa thanh toán",IF(N($Q43)&lt;$P43,"Thanh toán một phần","Đã thanh toán")))</f>
        <v/>
      </c>
      <c r="T43" s="13" t="str">
        <f aca="false">IF(OR($C43="",$J43=""),"",N($I43)*$J43)</f>
        <v/>
      </c>
      <c r="U43" s="13" t="str">
        <f aca="false">IF(OR($C43="",$T43=""),"",$L43-$T43)</f>
        <v/>
      </c>
      <c r="V43" s="14" t="str">
        <f aca="false">IF(OR($U43="",$L43=0),"",$U43/$L43)</f>
        <v/>
      </c>
      <c r="W43" s="11"/>
      <c r="X43" s="23" t="str">
        <f aca="false">IF($C43="","",IF(AND($H43="",N($I43)=0,N($K43)=0),"Dòng chỉ lưu thông tin khách (chưa có đơn); ",IF($B43="","Thiếu ngày đặt; ","")&amp;IF($H43="","Thiếu tên sản phẩm; ",IF($J43="","Chưa khai GIÁ GỐC ở BẢNG GIÁ GỐC; ",""))&amp;IF(N($I43)&lt;=0,"Thiếu số lượng; ","")&amp;IF(N($K43)&lt;=0,"Thiếu giá bán; ","")&amp;IF(AND($N43&gt;0,$F43=""),"Khách lấy VAT thiếu mã số thuế; ","")&amp;IF(N($Q43)&gt;$P43,"Đã thu vượt tổng phải thu; ","")&amp;IF(AND($L43&gt;0,$U43&lt;&gt;"",$U43&lt;0),"CẢNH BÁO: ĐƠN NÀY ĐANG LỖ; ","")))</f>
        <v/>
      </c>
    </row>
    <row r="44" customFormat="false" ht="15" hidden="false" customHeight="false" outlineLevel="0" collapsed="false">
      <c r="A44" s="21" t="str">
        <f aca="false">IF($C44="","",COUNTA($C$10:$C44))</f>
        <v/>
      </c>
      <c r="B44" s="18"/>
      <c r="C44" s="11"/>
      <c r="D44" s="11"/>
      <c r="E44" s="11"/>
      <c r="F44" s="11"/>
      <c r="G44" s="11"/>
      <c r="H44" s="11"/>
      <c r="I44" s="12"/>
      <c r="J44" s="13" t="str">
        <f aca="false">IF($H44="","",IFERROR(VLOOKUP($H44,'BẢNG GIÁ GỐC'!$A$5:$D$254,3,FALSE()),""))</f>
        <v/>
      </c>
      <c r="K44" s="12"/>
      <c r="L44" s="13" t="str">
        <f aca="false">IF($C44="","",N($I44)*N($K44))</f>
        <v/>
      </c>
      <c r="M44" s="11"/>
      <c r="N44" s="14" t="str">
        <f aca="false">IF($C44="","",IF($M44="VAT 5%",0.05,IF($M44="VAT 8%",0.08,IF($M44="VAT 10%",0.1,0))))</f>
        <v/>
      </c>
      <c r="O44" s="13" t="str">
        <f aca="false">IF($C44="","",$L44*$N44)</f>
        <v/>
      </c>
      <c r="P44" s="13" t="str">
        <f aca="false">IF($C44="","",$L44+$O44)</f>
        <v/>
      </c>
      <c r="Q44" s="12"/>
      <c r="R44" s="13" t="str">
        <f aca="false">IF($C44="","",MAX(0,$P44-N($Q44)))</f>
        <v/>
      </c>
      <c r="S44" s="23" t="str">
        <f aca="false">IF(OR($C44="",$P44=0),"",IF(N($Q44)&lt;=0,"Chưa thanh toán",IF(N($Q44)&lt;$P44,"Thanh toán một phần","Đã thanh toán")))</f>
        <v/>
      </c>
      <c r="T44" s="13" t="str">
        <f aca="false">IF(OR($C44="",$J44=""),"",N($I44)*$J44)</f>
        <v/>
      </c>
      <c r="U44" s="13" t="str">
        <f aca="false">IF(OR($C44="",$T44=""),"",$L44-$T44)</f>
        <v/>
      </c>
      <c r="V44" s="14" t="str">
        <f aca="false">IF(OR($U44="",$L44=0),"",$U44/$L44)</f>
        <v/>
      </c>
      <c r="W44" s="11"/>
      <c r="X44" s="23" t="str">
        <f aca="false">IF($C44="","",IF(AND($H44="",N($I44)=0,N($K44)=0),"Dòng chỉ lưu thông tin khách (chưa có đơn); ",IF($B44="","Thiếu ngày đặt; ","")&amp;IF($H44="","Thiếu tên sản phẩm; ",IF($J44="","Chưa khai GIÁ GỐC ở BẢNG GIÁ GỐC; ",""))&amp;IF(N($I44)&lt;=0,"Thiếu số lượng; ","")&amp;IF(N($K44)&lt;=0,"Thiếu giá bán; ","")&amp;IF(AND($N44&gt;0,$F44=""),"Khách lấy VAT thiếu mã số thuế; ","")&amp;IF(N($Q44)&gt;$P44,"Đã thu vượt tổng phải thu; ","")&amp;IF(AND($L44&gt;0,$U44&lt;&gt;"",$U44&lt;0),"CẢNH BÁO: ĐƠN NÀY ĐANG LỖ; ","")))</f>
        <v/>
      </c>
    </row>
    <row r="45" customFormat="false" ht="15" hidden="false" customHeight="false" outlineLevel="0" collapsed="false">
      <c r="A45" s="21" t="str">
        <f aca="false">IF($C45="","",COUNTA($C$10:$C45))</f>
        <v/>
      </c>
      <c r="B45" s="18"/>
      <c r="C45" s="11"/>
      <c r="D45" s="11"/>
      <c r="E45" s="11"/>
      <c r="F45" s="11"/>
      <c r="G45" s="11"/>
      <c r="H45" s="11"/>
      <c r="I45" s="12"/>
      <c r="J45" s="13" t="str">
        <f aca="false">IF($H45="","",IFERROR(VLOOKUP($H45,'BẢNG GIÁ GỐC'!$A$5:$D$254,3,FALSE()),""))</f>
        <v/>
      </c>
      <c r="K45" s="12"/>
      <c r="L45" s="13" t="str">
        <f aca="false">IF($C45="","",N($I45)*N($K45))</f>
        <v/>
      </c>
      <c r="M45" s="11"/>
      <c r="N45" s="14" t="str">
        <f aca="false">IF($C45="","",IF($M45="VAT 5%",0.05,IF($M45="VAT 8%",0.08,IF($M45="VAT 10%",0.1,0))))</f>
        <v/>
      </c>
      <c r="O45" s="13" t="str">
        <f aca="false">IF($C45="","",$L45*$N45)</f>
        <v/>
      </c>
      <c r="P45" s="13" t="str">
        <f aca="false">IF($C45="","",$L45+$O45)</f>
        <v/>
      </c>
      <c r="Q45" s="12"/>
      <c r="R45" s="13" t="str">
        <f aca="false">IF($C45="","",MAX(0,$P45-N($Q45)))</f>
        <v/>
      </c>
      <c r="S45" s="23" t="str">
        <f aca="false">IF(OR($C45="",$P45=0),"",IF(N($Q45)&lt;=0,"Chưa thanh toán",IF(N($Q45)&lt;$P45,"Thanh toán một phần","Đã thanh toán")))</f>
        <v/>
      </c>
      <c r="T45" s="13" t="str">
        <f aca="false">IF(OR($C45="",$J45=""),"",N($I45)*$J45)</f>
        <v/>
      </c>
      <c r="U45" s="13" t="str">
        <f aca="false">IF(OR($C45="",$T45=""),"",$L45-$T45)</f>
        <v/>
      </c>
      <c r="V45" s="14" t="str">
        <f aca="false">IF(OR($U45="",$L45=0),"",$U45/$L45)</f>
        <v/>
      </c>
      <c r="W45" s="11"/>
      <c r="X45" s="23" t="str">
        <f aca="false">IF($C45="","",IF(AND($H45="",N($I45)=0,N($K45)=0),"Dòng chỉ lưu thông tin khách (chưa có đơn); ",IF($B45="","Thiếu ngày đặt; ","")&amp;IF($H45="","Thiếu tên sản phẩm; ",IF($J45="","Chưa khai GIÁ GỐC ở BẢNG GIÁ GỐC; ",""))&amp;IF(N($I45)&lt;=0,"Thiếu số lượng; ","")&amp;IF(N($K45)&lt;=0,"Thiếu giá bán; ","")&amp;IF(AND($N45&gt;0,$F45=""),"Khách lấy VAT thiếu mã số thuế; ","")&amp;IF(N($Q45)&gt;$P45,"Đã thu vượt tổng phải thu; ","")&amp;IF(AND($L45&gt;0,$U45&lt;&gt;"",$U45&lt;0),"CẢNH BÁO: ĐƠN NÀY ĐANG LỖ; ","")))</f>
        <v/>
      </c>
    </row>
    <row r="46" customFormat="false" ht="15" hidden="false" customHeight="false" outlineLevel="0" collapsed="false">
      <c r="A46" s="21" t="str">
        <f aca="false">IF($C46="","",COUNTA($C$10:$C46))</f>
        <v/>
      </c>
      <c r="B46" s="18"/>
      <c r="C46" s="11"/>
      <c r="D46" s="11"/>
      <c r="E46" s="11"/>
      <c r="F46" s="11"/>
      <c r="G46" s="11"/>
      <c r="H46" s="11"/>
      <c r="I46" s="12"/>
      <c r="J46" s="13" t="str">
        <f aca="false">IF($H46="","",IFERROR(VLOOKUP($H46,'BẢNG GIÁ GỐC'!$A$5:$D$254,3,FALSE()),""))</f>
        <v/>
      </c>
      <c r="K46" s="12"/>
      <c r="L46" s="13" t="str">
        <f aca="false">IF($C46="","",N($I46)*N($K46))</f>
        <v/>
      </c>
      <c r="M46" s="11"/>
      <c r="N46" s="14" t="str">
        <f aca="false">IF($C46="","",IF($M46="VAT 5%",0.05,IF($M46="VAT 8%",0.08,IF($M46="VAT 10%",0.1,0))))</f>
        <v/>
      </c>
      <c r="O46" s="13" t="str">
        <f aca="false">IF($C46="","",$L46*$N46)</f>
        <v/>
      </c>
      <c r="P46" s="13" t="str">
        <f aca="false">IF($C46="","",$L46+$O46)</f>
        <v/>
      </c>
      <c r="Q46" s="12"/>
      <c r="R46" s="13" t="str">
        <f aca="false">IF($C46="","",MAX(0,$P46-N($Q46)))</f>
        <v/>
      </c>
      <c r="S46" s="23" t="str">
        <f aca="false">IF(OR($C46="",$P46=0),"",IF(N($Q46)&lt;=0,"Chưa thanh toán",IF(N($Q46)&lt;$P46,"Thanh toán một phần","Đã thanh toán")))</f>
        <v/>
      </c>
      <c r="T46" s="13" t="str">
        <f aca="false">IF(OR($C46="",$J46=""),"",N($I46)*$J46)</f>
        <v/>
      </c>
      <c r="U46" s="13" t="str">
        <f aca="false">IF(OR($C46="",$T46=""),"",$L46-$T46)</f>
        <v/>
      </c>
      <c r="V46" s="14" t="str">
        <f aca="false">IF(OR($U46="",$L46=0),"",$U46/$L46)</f>
        <v/>
      </c>
      <c r="W46" s="11"/>
      <c r="X46" s="23" t="str">
        <f aca="false">IF($C46="","",IF(AND($H46="",N($I46)=0,N($K46)=0),"Dòng chỉ lưu thông tin khách (chưa có đơn); ",IF($B46="","Thiếu ngày đặt; ","")&amp;IF($H46="","Thiếu tên sản phẩm; ",IF($J46="","Chưa khai GIÁ GỐC ở BẢNG GIÁ GỐC; ",""))&amp;IF(N($I46)&lt;=0,"Thiếu số lượng; ","")&amp;IF(N($K46)&lt;=0,"Thiếu giá bán; ","")&amp;IF(AND($N46&gt;0,$F46=""),"Khách lấy VAT thiếu mã số thuế; ","")&amp;IF(N($Q46)&gt;$P46,"Đã thu vượt tổng phải thu; ","")&amp;IF(AND($L46&gt;0,$U46&lt;&gt;"",$U46&lt;0),"CẢNH BÁO: ĐƠN NÀY ĐANG LỖ; ","")))</f>
        <v/>
      </c>
    </row>
    <row r="47" customFormat="false" ht="15" hidden="false" customHeight="false" outlineLevel="0" collapsed="false">
      <c r="A47" s="21" t="str">
        <f aca="false">IF($C47="","",COUNTA($C$10:$C47))</f>
        <v/>
      </c>
      <c r="B47" s="18"/>
      <c r="C47" s="11"/>
      <c r="D47" s="11"/>
      <c r="E47" s="11"/>
      <c r="F47" s="11"/>
      <c r="G47" s="11"/>
      <c r="H47" s="11"/>
      <c r="I47" s="12"/>
      <c r="J47" s="13" t="str">
        <f aca="false">IF($H47="","",IFERROR(VLOOKUP($H47,'BẢNG GIÁ GỐC'!$A$5:$D$254,3,FALSE()),""))</f>
        <v/>
      </c>
      <c r="K47" s="12"/>
      <c r="L47" s="13" t="str">
        <f aca="false">IF($C47="","",N($I47)*N($K47))</f>
        <v/>
      </c>
      <c r="M47" s="11"/>
      <c r="N47" s="14" t="str">
        <f aca="false">IF($C47="","",IF($M47="VAT 5%",0.05,IF($M47="VAT 8%",0.08,IF($M47="VAT 10%",0.1,0))))</f>
        <v/>
      </c>
      <c r="O47" s="13" t="str">
        <f aca="false">IF($C47="","",$L47*$N47)</f>
        <v/>
      </c>
      <c r="P47" s="13" t="str">
        <f aca="false">IF($C47="","",$L47+$O47)</f>
        <v/>
      </c>
      <c r="Q47" s="12"/>
      <c r="R47" s="13" t="str">
        <f aca="false">IF($C47="","",MAX(0,$P47-N($Q47)))</f>
        <v/>
      </c>
      <c r="S47" s="23" t="str">
        <f aca="false">IF(OR($C47="",$P47=0),"",IF(N($Q47)&lt;=0,"Chưa thanh toán",IF(N($Q47)&lt;$P47,"Thanh toán một phần","Đã thanh toán")))</f>
        <v/>
      </c>
      <c r="T47" s="13" t="str">
        <f aca="false">IF(OR($C47="",$J47=""),"",N($I47)*$J47)</f>
        <v/>
      </c>
      <c r="U47" s="13" t="str">
        <f aca="false">IF(OR($C47="",$T47=""),"",$L47-$T47)</f>
        <v/>
      </c>
      <c r="V47" s="14" t="str">
        <f aca="false">IF(OR($U47="",$L47=0),"",$U47/$L47)</f>
        <v/>
      </c>
      <c r="W47" s="11"/>
      <c r="X47" s="23" t="str">
        <f aca="false">IF($C47="","",IF(AND($H47="",N($I47)=0,N($K47)=0),"Dòng chỉ lưu thông tin khách (chưa có đơn); ",IF($B47="","Thiếu ngày đặt; ","")&amp;IF($H47="","Thiếu tên sản phẩm; ",IF($J47="","Chưa khai GIÁ GỐC ở BẢNG GIÁ GỐC; ",""))&amp;IF(N($I47)&lt;=0,"Thiếu số lượng; ","")&amp;IF(N($K47)&lt;=0,"Thiếu giá bán; ","")&amp;IF(AND($N47&gt;0,$F47=""),"Khách lấy VAT thiếu mã số thuế; ","")&amp;IF(N($Q47)&gt;$P47,"Đã thu vượt tổng phải thu; ","")&amp;IF(AND($L47&gt;0,$U47&lt;&gt;"",$U47&lt;0),"CẢNH BÁO: ĐƠN NÀY ĐANG LỖ; ","")))</f>
        <v/>
      </c>
    </row>
    <row r="48" customFormat="false" ht="15" hidden="false" customHeight="false" outlineLevel="0" collapsed="false">
      <c r="A48" s="21" t="str">
        <f aca="false">IF($C48="","",COUNTA($C$10:$C48))</f>
        <v/>
      </c>
      <c r="B48" s="18"/>
      <c r="C48" s="11"/>
      <c r="D48" s="11"/>
      <c r="E48" s="11"/>
      <c r="F48" s="11"/>
      <c r="G48" s="11"/>
      <c r="H48" s="11"/>
      <c r="I48" s="12"/>
      <c r="J48" s="13" t="str">
        <f aca="false">IF($H48="","",IFERROR(VLOOKUP($H48,'BẢNG GIÁ GỐC'!$A$5:$D$254,3,FALSE()),""))</f>
        <v/>
      </c>
      <c r="K48" s="12"/>
      <c r="L48" s="13" t="str">
        <f aca="false">IF($C48="","",N($I48)*N($K48))</f>
        <v/>
      </c>
      <c r="M48" s="11"/>
      <c r="N48" s="14" t="str">
        <f aca="false">IF($C48="","",IF($M48="VAT 5%",0.05,IF($M48="VAT 8%",0.08,IF($M48="VAT 10%",0.1,0))))</f>
        <v/>
      </c>
      <c r="O48" s="13" t="str">
        <f aca="false">IF($C48="","",$L48*$N48)</f>
        <v/>
      </c>
      <c r="P48" s="13" t="str">
        <f aca="false">IF($C48="","",$L48+$O48)</f>
        <v/>
      </c>
      <c r="Q48" s="12"/>
      <c r="R48" s="13" t="str">
        <f aca="false">IF($C48="","",MAX(0,$P48-N($Q48)))</f>
        <v/>
      </c>
      <c r="S48" s="23" t="str">
        <f aca="false">IF(OR($C48="",$P48=0),"",IF(N($Q48)&lt;=0,"Chưa thanh toán",IF(N($Q48)&lt;$P48,"Thanh toán một phần","Đã thanh toán")))</f>
        <v/>
      </c>
      <c r="T48" s="13" t="str">
        <f aca="false">IF(OR($C48="",$J48=""),"",N($I48)*$J48)</f>
        <v/>
      </c>
      <c r="U48" s="13" t="str">
        <f aca="false">IF(OR($C48="",$T48=""),"",$L48-$T48)</f>
        <v/>
      </c>
      <c r="V48" s="14" t="str">
        <f aca="false">IF(OR($U48="",$L48=0),"",$U48/$L48)</f>
        <v/>
      </c>
      <c r="W48" s="11"/>
      <c r="X48" s="23" t="str">
        <f aca="false">IF($C48="","",IF(AND($H48="",N($I48)=0,N($K48)=0),"Dòng chỉ lưu thông tin khách (chưa có đơn); ",IF($B48="","Thiếu ngày đặt; ","")&amp;IF($H48="","Thiếu tên sản phẩm; ",IF($J48="","Chưa khai GIÁ GỐC ở BẢNG GIÁ GỐC; ",""))&amp;IF(N($I48)&lt;=0,"Thiếu số lượng; ","")&amp;IF(N($K48)&lt;=0,"Thiếu giá bán; ","")&amp;IF(AND($N48&gt;0,$F48=""),"Khách lấy VAT thiếu mã số thuế; ","")&amp;IF(N($Q48)&gt;$P48,"Đã thu vượt tổng phải thu; ","")&amp;IF(AND($L48&gt;0,$U48&lt;&gt;"",$U48&lt;0),"CẢNH BÁO: ĐƠN NÀY ĐANG LỖ; ","")))</f>
        <v/>
      </c>
    </row>
    <row r="49" customFormat="false" ht="15" hidden="false" customHeight="false" outlineLevel="0" collapsed="false">
      <c r="A49" s="21" t="str">
        <f aca="false">IF($C49="","",COUNTA($C$10:$C49))</f>
        <v/>
      </c>
      <c r="B49" s="18"/>
      <c r="C49" s="11"/>
      <c r="D49" s="11"/>
      <c r="E49" s="11"/>
      <c r="F49" s="11"/>
      <c r="G49" s="11"/>
      <c r="H49" s="11"/>
      <c r="I49" s="12"/>
      <c r="J49" s="13" t="str">
        <f aca="false">IF($H49="","",IFERROR(VLOOKUP($H49,'BẢNG GIÁ GỐC'!$A$5:$D$254,3,FALSE()),""))</f>
        <v/>
      </c>
      <c r="K49" s="12"/>
      <c r="L49" s="13" t="str">
        <f aca="false">IF($C49="","",N($I49)*N($K49))</f>
        <v/>
      </c>
      <c r="M49" s="11"/>
      <c r="N49" s="14" t="str">
        <f aca="false">IF($C49="","",IF($M49="VAT 5%",0.05,IF($M49="VAT 8%",0.08,IF($M49="VAT 10%",0.1,0))))</f>
        <v/>
      </c>
      <c r="O49" s="13" t="str">
        <f aca="false">IF($C49="","",$L49*$N49)</f>
        <v/>
      </c>
      <c r="P49" s="13" t="str">
        <f aca="false">IF($C49="","",$L49+$O49)</f>
        <v/>
      </c>
      <c r="Q49" s="12"/>
      <c r="R49" s="13" t="str">
        <f aca="false">IF($C49="","",MAX(0,$P49-N($Q49)))</f>
        <v/>
      </c>
      <c r="S49" s="23" t="str">
        <f aca="false">IF(OR($C49="",$P49=0),"",IF(N($Q49)&lt;=0,"Chưa thanh toán",IF(N($Q49)&lt;$P49,"Thanh toán một phần","Đã thanh toán")))</f>
        <v/>
      </c>
      <c r="T49" s="13" t="str">
        <f aca="false">IF(OR($C49="",$J49=""),"",N($I49)*$J49)</f>
        <v/>
      </c>
      <c r="U49" s="13" t="str">
        <f aca="false">IF(OR($C49="",$T49=""),"",$L49-$T49)</f>
        <v/>
      </c>
      <c r="V49" s="14" t="str">
        <f aca="false">IF(OR($U49="",$L49=0),"",$U49/$L49)</f>
        <v/>
      </c>
      <c r="W49" s="11"/>
      <c r="X49" s="23" t="str">
        <f aca="false">IF($C49="","",IF(AND($H49="",N($I49)=0,N($K49)=0),"Dòng chỉ lưu thông tin khách (chưa có đơn); ",IF($B49="","Thiếu ngày đặt; ","")&amp;IF($H49="","Thiếu tên sản phẩm; ",IF($J49="","Chưa khai GIÁ GỐC ở BẢNG GIÁ GỐC; ",""))&amp;IF(N($I49)&lt;=0,"Thiếu số lượng; ","")&amp;IF(N($K49)&lt;=0,"Thiếu giá bán; ","")&amp;IF(AND($N49&gt;0,$F49=""),"Khách lấy VAT thiếu mã số thuế; ","")&amp;IF(N($Q49)&gt;$P49,"Đã thu vượt tổng phải thu; ","")&amp;IF(AND($L49&gt;0,$U49&lt;&gt;"",$U49&lt;0),"CẢNH BÁO: ĐƠN NÀY ĐANG LỖ; ","")))</f>
        <v/>
      </c>
    </row>
    <row r="50" customFormat="false" ht="15" hidden="false" customHeight="false" outlineLevel="0" collapsed="false">
      <c r="A50" s="21" t="str">
        <f aca="false">IF($C50="","",COUNTA($C$10:$C50))</f>
        <v/>
      </c>
      <c r="B50" s="18"/>
      <c r="C50" s="11"/>
      <c r="D50" s="11"/>
      <c r="E50" s="11"/>
      <c r="F50" s="11"/>
      <c r="G50" s="11"/>
      <c r="H50" s="11"/>
      <c r="I50" s="12"/>
      <c r="J50" s="13" t="str">
        <f aca="false">IF($H50="","",IFERROR(VLOOKUP($H50,'BẢNG GIÁ GỐC'!$A$5:$D$254,3,FALSE()),""))</f>
        <v/>
      </c>
      <c r="K50" s="12"/>
      <c r="L50" s="13" t="str">
        <f aca="false">IF($C50="","",N($I50)*N($K50))</f>
        <v/>
      </c>
      <c r="M50" s="11"/>
      <c r="N50" s="14" t="str">
        <f aca="false">IF($C50="","",IF($M50="VAT 5%",0.05,IF($M50="VAT 8%",0.08,IF($M50="VAT 10%",0.1,0))))</f>
        <v/>
      </c>
      <c r="O50" s="13" t="str">
        <f aca="false">IF($C50="","",$L50*$N50)</f>
        <v/>
      </c>
      <c r="P50" s="13" t="str">
        <f aca="false">IF($C50="","",$L50+$O50)</f>
        <v/>
      </c>
      <c r="Q50" s="12"/>
      <c r="R50" s="13" t="str">
        <f aca="false">IF($C50="","",MAX(0,$P50-N($Q50)))</f>
        <v/>
      </c>
      <c r="S50" s="23" t="str">
        <f aca="false">IF(OR($C50="",$P50=0),"",IF(N($Q50)&lt;=0,"Chưa thanh toán",IF(N($Q50)&lt;$P50,"Thanh toán một phần","Đã thanh toán")))</f>
        <v/>
      </c>
      <c r="T50" s="13" t="str">
        <f aca="false">IF(OR($C50="",$J50=""),"",N($I50)*$J50)</f>
        <v/>
      </c>
      <c r="U50" s="13" t="str">
        <f aca="false">IF(OR($C50="",$T50=""),"",$L50-$T50)</f>
        <v/>
      </c>
      <c r="V50" s="14" t="str">
        <f aca="false">IF(OR($U50="",$L50=0),"",$U50/$L50)</f>
        <v/>
      </c>
      <c r="W50" s="11"/>
      <c r="X50" s="23" t="str">
        <f aca="false">IF($C50="","",IF(AND($H50="",N($I50)=0,N($K50)=0),"Dòng chỉ lưu thông tin khách (chưa có đơn); ",IF($B50="","Thiếu ngày đặt; ","")&amp;IF($H50="","Thiếu tên sản phẩm; ",IF($J50="","Chưa khai GIÁ GỐC ở BẢNG GIÁ GỐC; ",""))&amp;IF(N($I50)&lt;=0,"Thiếu số lượng; ","")&amp;IF(N($K50)&lt;=0,"Thiếu giá bán; ","")&amp;IF(AND($N50&gt;0,$F50=""),"Khách lấy VAT thiếu mã số thuế; ","")&amp;IF(N($Q50)&gt;$P50,"Đã thu vượt tổng phải thu; ","")&amp;IF(AND($L50&gt;0,$U50&lt;&gt;"",$U50&lt;0),"CẢNH BÁO: ĐƠN NÀY ĐANG LỖ; ","")))</f>
        <v/>
      </c>
    </row>
    <row r="51" customFormat="false" ht="15" hidden="false" customHeight="false" outlineLevel="0" collapsed="false">
      <c r="A51" s="21" t="str">
        <f aca="false">IF($C51="","",COUNTA($C$10:$C51))</f>
        <v/>
      </c>
      <c r="B51" s="18"/>
      <c r="C51" s="11"/>
      <c r="D51" s="11"/>
      <c r="E51" s="11"/>
      <c r="F51" s="11"/>
      <c r="G51" s="11"/>
      <c r="H51" s="11"/>
      <c r="I51" s="12"/>
      <c r="J51" s="13" t="str">
        <f aca="false">IF($H51="","",IFERROR(VLOOKUP($H51,'BẢNG GIÁ GỐC'!$A$5:$D$254,3,FALSE()),""))</f>
        <v/>
      </c>
      <c r="K51" s="12"/>
      <c r="L51" s="13" t="str">
        <f aca="false">IF($C51="","",N($I51)*N($K51))</f>
        <v/>
      </c>
      <c r="M51" s="11"/>
      <c r="N51" s="14" t="str">
        <f aca="false">IF($C51="","",IF($M51="VAT 5%",0.05,IF($M51="VAT 8%",0.08,IF($M51="VAT 10%",0.1,0))))</f>
        <v/>
      </c>
      <c r="O51" s="13" t="str">
        <f aca="false">IF($C51="","",$L51*$N51)</f>
        <v/>
      </c>
      <c r="P51" s="13" t="str">
        <f aca="false">IF($C51="","",$L51+$O51)</f>
        <v/>
      </c>
      <c r="Q51" s="12"/>
      <c r="R51" s="13" t="str">
        <f aca="false">IF($C51="","",MAX(0,$P51-N($Q51)))</f>
        <v/>
      </c>
      <c r="S51" s="23" t="str">
        <f aca="false">IF(OR($C51="",$P51=0),"",IF(N($Q51)&lt;=0,"Chưa thanh toán",IF(N($Q51)&lt;$P51,"Thanh toán một phần","Đã thanh toán")))</f>
        <v/>
      </c>
      <c r="T51" s="13" t="str">
        <f aca="false">IF(OR($C51="",$J51=""),"",N($I51)*$J51)</f>
        <v/>
      </c>
      <c r="U51" s="13" t="str">
        <f aca="false">IF(OR($C51="",$T51=""),"",$L51-$T51)</f>
        <v/>
      </c>
      <c r="V51" s="14" t="str">
        <f aca="false">IF(OR($U51="",$L51=0),"",$U51/$L51)</f>
        <v/>
      </c>
      <c r="W51" s="11"/>
      <c r="X51" s="23" t="str">
        <f aca="false">IF($C51="","",IF(AND($H51="",N($I51)=0,N($K51)=0),"Dòng chỉ lưu thông tin khách (chưa có đơn); ",IF($B51="","Thiếu ngày đặt; ","")&amp;IF($H51="","Thiếu tên sản phẩm; ",IF($J51="","Chưa khai GIÁ GỐC ở BẢNG GIÁ GỐC; ",""))&amp;IF(N($I51)&lt;=0,"Thiếu số lượng; ","")&amp;IF(N($K51)&lt;=0,"Thiếu giá bán; ","")&amp;IF(AND($N51&gt;0,$F51=""),"Khách lấy VAT thiếu mã số thuế; ","")&amp;IF(N($Q51)&gt;$P51,"Đã thu vượt tổng phải thu; ","")&amp;IF(AND($L51&gt;0,$U51&lt;&gt;"",$U51&lt;0),"CẢNH BÁO: ĐƠN NÀY ĐANG LỖ; ","")))</f>
        <v/>
      </c>
    </row>
    <row r="52" customFormat="false" ht="15" hidden="false" customHeight="false" outlineLevel="0" collapsed="false">
      <c r="A52" s="21" t="str">
        <f aca="false">IF($C52="","",COUNTA($C$10:$C52))</f>
        <v/>
      </c>
      <c r="B52" s="18"/>
      <c r="C52" s="11"/>
      <c r="D52" s="11"/>
      <c r="E52" s="11"/>
      <c r="F52" s="11"/>
      <c r="G52" s="11"/>
      <c r="H52" s="11"/>
      <c r="I52" s="12"/>
      <c r="J52" s="13" t="str">
        <f aca="false">IF($H52="","",IFERROR(VLOOKUP($H52,'BẢNG GIÁ GỐC'!$A$5:$D$254,3,FALSE()),""))</f>
        <v/>
      </c>
      <c r="K52" s="12"/>
      <c r="L52" s="13" t="str">
        <f aca="false">IF($C52="","",N($I52)*N($K52))</f>
        <v/>
      </c>
      <c r="M52" s="11"/>
      <c r="N52" s="14" t="str">
        <f aca="false">IF($C52="","",IF($M52="VAT 5%",0.05,IF($M52="VAT 8%",0.08,IF($M52="VAT 10%",0.1,0))))</f>
        <v/>
      </c>
      <c r="O52" s="13" t="str">
        <f aca="false">IF($C52="","",$L52*$N52)</f>
        <v/>
      </c>
      <c r="P52" s="13" t="str">
        <f aca="false">IF($C52="","",$L52+$O52)</f>
        <v/>
      </c>
      <c r="Q52" s="12"/>
      <c r="R52" s="13" t="str">
        <f aca="false">IF($C52="","",MAX(0,$P52-N($Q52)))</f>
        <v/>
      </c>
      <c r="S52" s="23" t="str">
        <f aca="false">IF(OR($C52="",$P52=0),"",IF(N($Q52)&lt;=0,"Chưa thanh toán",IF(N($Q52)&lt;$P52,"Thanh toán một phần","Đã thanh toán")))</f>
        <v/>
      </c>
      <c r="T52" s="13" t="str">
        <f aca="false">IF(OR($C52="",$J52=""),"",N($I52)*$J52)</f>
        <v/>
      </c>
      <c r="U52" s="13" t="str">
        <f aca="false">IF(OR($C52="",$T52=""),"",$L52-$T52)</f>
        <v/>
      </c>
      <c r="V52" s="14" t="str">
        <f aca="false">IF(OR($U52="",$L52=0),"",$U52/$L52)</f>
        <v/>
      </c>
      <c r="W52" s="11"/>
      <c r="X52" s="23" t="str">
        <f aca="false">IF($C52="","",IF(AND($H52="",N($I52)=0,N($K52)=0),"Dòng chỉ lưu thông tin khách (chưa có đơn); ",IF($B52="","Thiếu ngày đặt; ","")&amp;IF($H52="","Thiếu tên sản phẩm; ",IF($J52="","Chưa khai GIÁ GỐC ở BẢNG GIÁ GỐC; ",""))&amp;IF(N($I52)&lt;=0,"Thiếu số lượng; ","")&amp;IF(N($K52)&lt;=0,"Thiếu giá bán; ","")&amp;IF(AND($N52&gt;0,$F52=""),"Khách lấy VAT thiếu mã số thuế; ","")&amp;IF(N($Q52)&gt;$P52,"Đã thu vượt tổng phải thu; ","")&amp;IF(AND($L52&gt;0,$U52&lt;&gt;"",$U52&lt;0),"CẢNH BÁO: ĐƠN NÀY ĐANG LỖ; ","")))</f>
        <v/>
      </c>
    </row>
    <row r="53" customFormat="false" ht="15" hidden="false" customHeight="false" outlineLevel="0" collapsed="false">
      <c r="A53" s="21" t="str">
        <f aca="false">IF($C53="","",COUNTA($C$10:$C53))</f>
        <v/>
      </c>
      <c r="B53" s="18"/>
      <c r="C53" s="11"/>
      <c r="D53" s="11"/>
      <c r="E53" s="11"/>
      <c r="F53" s="11"/>
      <c r="G53" s="11"/>
      <c r="H53" s="11"/>
      <c r="I53" s="12"/>
      <c r="J53" s="13" t="str">
        <f aca="false">IF($H53="","",IFERROR(VLOOKUP($H53,'BẢNG GIÁ GỐC'!$A$5:$D$254,3,FALSE()),""))</f>
        <v/>
      </c>
      <c r="K53" s="12"/>
      <c r="L53" s="13" t="str">
        <f aca="false">IF($C53="","",N($I53)*N($K53))</f>
        <v/>
      </c>
      <c r="M53" s="11"/>
      <c r="N53" s="14" t="str">
        <f aca="false">IF($C53="","",IF($M53="VAT 5%",0.05,IF($M53="VAT 8%",0.08,IF($M53="VAT 10%",0.1,0))))</f>
        <v/>
      </c>
      <c r="O53" s="13" t="str">
        <f aca="false">IF($C53="","",$L53*$N53)</f>
        <v/>
      </c>
      <c r="P53" s="13" t="str">
        <f aca="false">IF($C53="","",$L53+$O53)</f>
        <v/>
      </c>
      <c r="Q53" s="12"/>
      <c r="R53" s="13" t="str">
        <f aca="false">IF($C53="","",MAX(0,$P53-N($Q53)))</f>
        <v/>
      </c>
      <c r="S53" s="23" t="str">
        <f aca="false">IF(OR($C53="",$P53=0),"",IF(N($Q53)&lt;=0,"Chưa thanh toán",IF(N($Q53)&lt;$P53,"Thanh toán một phần","Đã thanh toán")))</f>
        <v/>
      </c>
      <c r="T53" s="13" t="str">
        <f aca="false">IF(OR($C53="",$J53=""),"",N($I53)*$J53)</f>
        <v/>
      </c>
      <c r="U53" s="13" t="str">
        <f aca="false">IF(OR($C53="",$T53=""),"",$L53-$T53)</f>
        <v/>
      </c>
      <c r="V53" s="14" t="str">
        <f aca="false">IF(OR($U53="",$L53=0),"",$U53/$L53)</f>
        <v/>
      </c>
      <c r="W53" s="11"/>
      <c r="X53" s="23" t="str">
        <f aca="false">IF($C53="","",IF(AND($H53="",N($I53)=0,N($K53)=0),"Dòng chỉ lưu thông tin khách (chưa có đơn); ",IF($B53="","Thiếu ngày đặt; ","")&amp;IF($H53="","Thiếu tên sản phẩm; ",IF($J53="","Chưa khai GIÁ GỐC ở BẢNG GIÁ GỐC; ",""))&amp;IF(N($I53)&lt;=0,"Thiếu số lượng; ","")&amp;IF(N($K53)&lt;=0,"Thiếu giá bán; ","")&amp;IF(AND($N53&gt;0,$F53=""),"Khách lấy VAT thiếu mã số thuế; ","")&amp;IF(N($Q53)&gt;$P53,"Đã thu vượt tổng phải thu; ","")&amp;IF(AND($L53&gt;0,$U53&lt;&gt;"",$U53&lt;0),"CẢNH BÁO: ĐƠN NÀY ĐANG LỖ; ","")))</f>
        <v/>
      </c>
    </row>
    <row r="54" customFormat="false" ht="15" hidden="false" customHeight="false" outlineLevel="0" collapsed="false">
      <c r="A54" s="21" t="str">
        <f aca="false">IF($C54="","",COUNTA($C$10:$C54))</f>
        <v/>
      </c>
      <c r="B54" s="18"/>
      <c r="C54" s="11"/>
      <c r="D54" s="11"/>
      <c r="E54" s="11"/>
      <c r="F54" s="11"/>
      <c r="G54" s="11"/>
      <c r="H54" s="11"/>
      <c r="I54" s="12"/>
      <c r="J54" s="13" t="str">
        <f aca="false">IF($H54="","",IFERROR(VLOOKUP($H54,'BẢNG GIÁ GỐC'!$A$5:$D$254,3,FALSE()),""))</f>
        <v/>
      </c>
      <c r="K54" s="12"/>
      <c r="L54" s="13" t="str">
        <f aca="false">IF($C54="","",N($I54)*N($K54))</f>
        <v/>
      </c>
      <c r="M54" s="11"/>
      <c r="N54" s="14" t="str">
        <f aca="false">IF($C54="","",IF($M54="VAT 5%",0.05,IF($M54="VAT 8%",0.08,IF($M54="VAT 10%",0.1,0))))</f>
        <v/>
      </c>
      <c r="O54" s="13" t="str">
        <f aca="false">IF($C54="","",$L54*$N54)</f>
        <v/>
      </c>
      <c r="P54" s="13" t="str">
        <f aca="false">IF($C54="","",$L54+$O54)</f>
        <v/>
      </c>
      <c r="Q54" s="12"/>
      <c r="R54" s="13" t="str">
        <f aca="false">IF($C54="","",MAX(0,$P54-N($Q54)))</f>
        <v/>
      </c>
      <c r="S54" s="23" t="str">
        <f aca="false">IF(OR($C54="",$P54=0),"",IF(N($Q54)&lt;=0,"Chưa thanh toán",IF(N($Q54)&lt;$P54,"Thanh toán một phần","Đã thanh toán")))</f>
        <v/>
      </c>
      <c r="T54" s="13" t="str">
        <f aca="false">IF(OR($C54="",$J54=""),"",N($I54)*$J54)</f>
        <v/>
      </c>
      <c r="U54" s="13" t="str">
        <f aca="false">IF(OR($C54="",$T54=""),"",$L54-$T54)</f>
        <v/>
      </c>
      <c r="V54" s="14" t="str">
        <f aca="false">IF(OR($U54="",$L54=0),"",$U54/$L54)</f>
        <v/>
      </c>
      <c r="W54" s="11"/>
      <c r="X54" s="23" t="str">
        <f aca="false">IF($C54="","",IF(AND($H54="",N($I54)=0,N($K54)=0),"Dòng chỉ lưu thông tin khách (chưa có đơn); ",IF($B54="","Thiếu ngày đặt; ","")&amp;IF($H54="","Thiếu tên sản phẩm; ",IF($J54="","Chưa khai GIÁ GỐC ở BẢNG GIÁ GỐC; ",""))&amp;IF(N($I54)&lt;=0,"Thiếu số lượng; ","")&amp;IF(N($K54)&lt;=0,"Thiếu giá bán; ","")&amp;IF(AND($N54&gt;0,$F54=""),"Khách lấy VAT thiếu mã số thuế; ","")&amp;IF(N($Q54)&gt;$P54,"Đã thu vượt tổng phải thu; ","")&amp;IF(AND($L54&gt;0,$U54&lt;&gt;"",$U54&lt;0),"CẢNH BÁO: ĐƠN NÀY ĐANG LỖ; ","")))</f>
        <v/>
      </c>
    </row>
    <row r="55" customFormat="false" ht="15" hidden="false" customHeight="false" outlineLevel="0" collapsed="false">
      <c r="A55" s="21" t="str">
        <f aca="false">IF($C55="","",COUNTA($C$10:$C55))</f>
        <v/>
      </c>
      <c r="B55" s="18"/>
      <c r="C55" s="11"/>
      <c r="D55" s="11"/>
      <c r="E55" s="11"/>
      <c r="F55" s="11"/>
      <c r="G55" s="11"/>
      <c r="H55" s="11"/>
      <c r="I55" s="12"/>
      <c r="J55" s="13" t="str">
        <f aca="false">IF($H55="","",IFERROR(VLOOKUP($H55,'BẢNG GIÁ GỐC'!$A$5:$D$254,3,FALSE()),""))</f>
        <v/>
      </c>
      <c r="K55" s="12"/>
      <c r="L55" s="13" t="str">
        <f aca="false">IF($C55="","",N($I55)*N($K55))</f>
        <v/>
      </c>
      <c r="M55" s="11"/>
      <c r="N55" s="14" t="str">
        <f aca="false">IF($C55="","",IF($M55="VAT 5%",0.05,IF($M55="VAT 8%",0.08,IF($M55="VAT 10%",0.1,0))))</f>
        <v/>
      </c>
      <c r="O55" s="13" t="str">
        <f aca="false">IF($C55="","",$L55*$N55)</f>
        <v/>
      </c>
      <c r="P55" s="13" t="str">
        <f aca="false">IF($C55="","",$L55+$O55)</f>
        <v/>
      </c>
      <c r="Q55" s="12"/>
      <c r="R55" s="13" t="str">
        <f aca="false">IF($C55="","",MAX(0,$P55-N($Q55)))</f>
        <v/>
      </c>
      <c r="S55" s="23" t="str">
        <f aca="false">IF(OR($C55="",$P55=0),"",IF(N($Q55)&lt;=0,"Chưa thanh toán",IF(N($Q55)&lt;$P55,"Thanh toán một phần","Đã thanh toán")))</f>
        <v/>
      </c>
      <c r="T55" s="13" t="str">
        <f aca="false">IF(OR($C55="",$J55=""),"",N($I55)*$J55)</f>
        <v/>
      </c>
      <c r="U55" s="13" t="str">
        <f aca="false">IF(OR($C55="",$T55=""),"",$L55-$T55)</f>
        <v/>
      </c>
      <c r="V55" s="14" t="str">
        <f aca="false">IF(OR($U55="",$L55=0),"",$U55/$L55)</f>
        <v/>
      </c>
      <c r="W55" s="11"/>
      <c r="X55" s="23" t="str">
        <f aca="false">IF($C55="","",IF(AND($H55="",N($I55)=0,N($K55)=0),"Dòng chỉ lưu thông tin khách (chưa có đơn); ",IF($B55="","Thiếu ngày đặt; ","")&amp;IF($H55="","Thiếu tên sản phẩm; ",IF($J55="","Chưa khai GIÁ GỐC ở BẢNG GIÁ GỐC; ",""))&amp;IF(N($I55)&lt;=0,"Thiếu số lượng; ","")&amp;IF(N($K55)&lt;=0,"Thiếu giá bán; ","")&amp;IF(AND($N55&gt;0,$F55=""),"Khách lấy VAT thiếu mã số thuế; ","")&amp;IF(N($Q55)&gt;$P55,"Đã thu vượt tổng phải thu; ","")&amp;IF(AND($L55&gt;0,$U55&lt;&gt;"",$U55&lt;0),"CẢNH BÁO: ĐƠN NÀY ĐANG LỖ; ","")))</f>
        <v/>
      </c>
    </row>
    <row r="56" customFormat="false" ht="15" hidden="false" customHeight="false" outlineLevel="0" collapsed="false">
      <c r="A56" s="21" t="str">
        <f aca="false">IF($C56="","",COUNTA($C$10:$C56))</f>
        <v/>
      </c>
      <c r="B56" s="18"/>
      <c r="C56" s="11"/>
      <c r="D56" s="11"/>
      <c r="E56" s="11"/>
      <c r="F56" s="11"/>
      <c r="G56" s="11"/>
      <c r="H56" s="11"/>
      <c r="I56" s="12"/>
      <c r="J56" s="13" t="str">
        <f aca="false">IF($H56="","",IFERROR(VLOOKUP($H56,'BẢNG GIÁ GỐC'!$A$5:$D$254,3,FALSE()),""))</f>
        <v/>
      </c>
      <c r="K56" s="12"/>
      <c r="L56" s="13" t="str">
        <f aca="false">IF($C56="","",N($I56)*N($K56))</f>
        <v/>
      </c>
      <c r="M56" s="11"/>
      <c r="N56" s="14" t="str">
        <f aca="false">IF($C56="","",IF($M56="VAT 5%",0.05,IF($M56="VAT 8%",0.08,IF($M56="VAT 10%",0.1,0))))</f>
        <v/>
      </c>
      <c r="O56" s="13" t="str">
        <f aca="false">IF($C56="","",$L56*$N56)</f>
        <v/>
      </c>
      <c r="P56" s="13" t="str">
        <f aca="false">IF($C56="","",$L56+$O56)</f>
        <v/>
      </c>
      <c r="Q56" s="12"/>
      <c r="R56" s="13" t="str">
        <f aca="false">IF($C56="","",MAX(0,$P56-N($Q56)))</f>
        <v/>
      </c>
      <c r="S56" s="23" t="str">
        <f aca="false">IF(OR($C56="",$P56=0),"",IF(N($Q56)&lt;=0,"Chưa thanh toán",IF(N($Q56)&lt;$P56,"Thanh toán một phần","Đã thanh toán")))</f>
        <v/>
      </c>
      <c r="T56" s="13" t="str">
        <f aca="false">IF(OR($C56="",$J56=""),"",N($I56)*$J56)</f>
        <v/>
      </c>
      <c r="U56" s="13" t="str">
        <f aca="false">IF(OR($C56="",$T56=""),"",$L56-$T56)</f>
        <v/>
      </c>
      <c r="V56" s="14" t="str">
        <f aca="false">IF(OR($U56="",$L56=0),"",$U56/$L56)</f>
        <v/>
      </c>
      <c r="W56" s="11"/>
      <c r="X56" s="23" t="str">
        <f aca="false">IF($C56="","",IF(AND($H56="",N($I56)=0,N($K56)=0),"Dòng chỉ lưu thông tin khách (chưa có đơn); ",IF($B56="","Thiếu ngày đặt; ","")&amp;IF($H56="","Thiếu tên sản phẩm; ",IF($J56="","Chưa khai GIÁ GỐC ở BẢNG GIÁ GỐC; ",""))&amp;IF(N($I56)&lt;=0,"Thiếu số lượng; ","")&amp;IF(N($K56)&lt;=0,"Thiếu giá bán; ","")&amp;IF(AND($N56&gt;0,$F56=""),"Khách lấy VAT thiếu mã số thuế; ","")&amp;IF(N($Q56)&gt;$P56,"Đã thu vượt tổng phải thu; ","")&amp;IF(AND($L56&gt;0,$U56&lt;&gt;"",$U56&lt;0),"CẢNH BÁO: ĐƠN NÀY ĐANG LỖ; ","")))</f>
        <v/>
      </c>
    </row>
    <row r="57" customFormat="false" ht="15" hidden="false" customHeight="false" outlineLevel="0" collapsed="false">
      <c r="A57" s="21" t="str">
        <f aca="false">IF($C57="","",COUNTA($C$10:$C57))</f>
        <v/>
      </c>
      <c r="B57" s="18"/>
      <c r="C57" s="11"/>
      <c r="D57" s="11"/>
      <c r="E57" s="11"/>
      <c r="F57" s="11"/>
      <c r="G57" s="11"/>
      <c r="H57" s="11"/>
      <c r="I57" s="12"/>
      <c r="J57" s="13" t="str">
        <f aca="false">IF($H57="","",IFERROR(VLOOKUP($H57,'BẢNG GIÁ GỐC'!$A$5:$D$254,3,FALSE()),""))</f>
        <v/>
      </c>
      <c r="K57" s="12"/>
      <c r="L57" s="13" t="str">
        <f aca="false">IF($C57="","",N($I57)*N($K57))</f>
        <v/>
      </c>
      <c r="M57" s="11"/>
      <c r="N57" s="14" t="str">
        <f aca="false">IF($C57="","",IF($M57="VAT 5%",0.05,IF($M57="VAT 8%",0.08,IF($M57="VAT 10%",0.1,0))))</f>
        <v/>
      </c>
      <c r="O57" s="13" t="str">
        <f aca="false">IF($C57="","",$L57*$N57)</f>
        <v/>
      </c>
      <c r="P57" s="13" t="str">
        <f aca="false">IF($C57="","",$L57+$O57)</f>
        <v/>
      </c>
      <c r="Q57" s="12"/>
      <c r="R57" s="13" t="str">
        <f aca="false">IF($C57="","",MAX(0,$P57-N($Q57)))</f>
        <v/>
      </c>
      <c r="S57" s="23" t="str">
        <f aca="false">IF(OR($C57="",$P57=0),"",IF(N($Q57)&lt;=0,"Chưa thanh toán",IF(N($Q57)&lt;$P57,"Thanh toán một phần","Đã thanh toán")))</f>
        <v/>
      </c>
      <c r="T57" s="13" t="str">
        <f aca="false">IF(OR($C57="",$J57=""),"",N($I57)*$J57)</f>
        <v/>
      </c>
      <c r="U57" s="13" t="str">
        <f aca="false">IF(OR($C57="",$T57=""),"",$L57-$T57)</f>
        <v/>
      </c>
      <c r="V57" s="14" t="str">
        <f aca="false">IF(OR($U57="",$L57=0),"",$U57/$L57)</f>
        <v/>
      </c>
      <c r="W57" s="11"/>
      <c r="X57" s="23" t="str">
        <f aca="false">IF($C57="","",IF(AND($H57="",N($I57)=0,N($K57)=0),"Dòng chỉ lưu thông tin khách (chưa có đơn); ",IF($B57="","Thiếu ngày đặt; ","")&amp;IF($H57="","Thiếu tên sản phẩm; ",IF($J57="","Chưa khai GIÁ GỐC ở BẢNG GIÁ GỐC; ",""))&amp;IF(N($I57)&lt;=0,"Thiếu số lượng; ","")&amp;IF(N($K57)&lt;=0,"Thiếu giá bán; ","")&amp;IF(AND($N57&gt;0,$F57=""),"Khách lấy VAT thiếu mã số thuế; ","")&amp;IF(N($Q57)&gt;$P57,"Đã thu vượt tổng phải thu; ","")&amp;IF(AND($L57&gt;0,$U57&lt;&gt;"",$U57&lt;0),"CẢNH BÁO: ĐƠN NÀY ĐANG LỖ; ","")))</f>
        <v/>
      </c>
    </row>
    <row r="58" customFormat="false" ht="15" hidden="false" customHeight="false" outlineLevel="0" collapsed="false">
      <c r="A58" s="21" t="str">
        <f aca="false">IF($C58="","",COUNTA($C$10:$C58))</f>
        <v/>
      </c>
      <c r="B58" s="18"/>
      <c r="C58" s="11"/>
      <c r="D58" s="11"/>
      <c r="E58" s="11"/>
      <c r="F58" s="11"/>
      <c r="G58" s="11"/>
      <c r="H58" s="11"/>
      <c r="I58" s="12"/>
      <c r="J58" s="13" t="str">
        <f aca="false">IF($H58="","",IFERROR(VLOOKUP($H58,'BẢNG GIÁ GỐC'!$A$5:$D$254,3,FALSE()),""))</f>
        <v/>
      </c>
      <c r="K58" s="12"/>
      <c r="L58" s="13" t="str">
        <f aca="false">IF($C58="","",N($I58)*N($K58))</f>
        <v/>
      </c>
      <c r="M58" s="11"/>
      <c r="N58" s="14" t="str">
        <f aca="false">IF($C58="","",IF($M58="VAT 5%",0.05,IF($M58="VAT 8%",0.08,IF($M58="VAT 10%",0.1,0))))</f>
        <v/>
      </c>
      <c r="O58" s="13" t="str">
        <f aca="false">IF($C58="","",$L58*$N58)</f>
        <v/>
      </c>
      <c r="P58" s="13" t="str">
        <f aca="false">IF($C58="","",$L58+$O58)</f>
        <v/>
      </c>
      <c r="Q58" s="12"/>
      <c r="R58" s="13" t="str">
        <f aca="false">IF($C58="","",MAX(0,$P58-N($Q58)))</f>
        <v/>
      </c>
      <c r="S58" s="23" t="str">
        <f aca="false">IF(OR($C58="",$P58=0),"",IF(N($Q58)&lt;=0,"Chưa thanh toán",IF(N($Q58)&lt;$P58,"Thanh toán một phần","Đã thanh toán")))</f>
        <v/>
      </c>
      <c r="T58" s="13" t="str">
        <f aca="false">IF(OR($C58="",$J58=""),"",N($I58)*$J58)</f>
        <v/>
      </c>
      <c r="U58" s="13" t="str">
        <f aca="false">IF(OR($C58="",$T58=""),"",$L58-$T58)</f>
        <v/>
      </c>
      <c r="V58" s="14" t="str">
        <f aca="false">IF(OR($U58="",$L58=0),"",$U58/$L58)</f>
        <v/>
      </c>
      <c r="W58" s="11"/>
      <c r="X58" s="23" t="str">
        <f aca="false">IF($C58="","",IF(AND($H58="",N($I58)=0,N($K58)=0),"Dòng chỉ lưu thông tin khách (chưa có đơn); ",IF($B58="","Thiếu ngày đặt; ","")&amp;IF($H58="","Thiếu tên sản phẩm; ",IF($J58="","Chưa khai GIÁ GỐC ở BẢNG GIÁ GỐC; ",""))&amp;IF(N($I58)&lt;=0,"Thiếu số lượng; ","")&amp;IF(N($K58)&lt;=0,"Thiếu giá bán; ","")&amp;IF(AND($N58&gt;0,$F58=""),"Khách lấy VAT thiếu mã số thuế; ","")&amp;IF(N($Q58)&gt;$P58,"Đã thu vượt tổng phải thu; ","")&amp;IF(AND($L58&gt;0,$U58&lt;&gt;"",$U58&lt;0),"CẢNH BÁO: ĐƠN NÀY ĐANG LỖ; ","")))</f>
        <v/>
      </c>
    </row>
    <row r="59" customFormat="false" ht="15" hidden="false" customHeight="false" outlineLevel="0" collapsed="false">
      <c r="A59" s="21" t="str">
        <f aca="false">IF($C59="","",COUNTA($C$10:$C59))</f>
        <v/>
      </c>
      <c r="B59" s="18"/>
      <c r="C59" s="11"/>
      <c r="D59" s="11"/>
      <c r="E59" s="11"/>
      <c r="F59" s="11"/>
      <c r="G59" s="11"/>
      <c r="H59" s="11"/>
      <c r="I59" s="12"/>
      <c r="J59" s="13" t="str">
        <f aca="false">IF($H59="","",IFERROR(VLOOKUP($H59,'BẢNG GIÁ GỐC'!$A$5:$D$254,3,FALSE()),""))</f>
        <v/>
      </c>
      <c r="K59" s="12"/>
      <c r="L59" s="13" t="str">
        <f aca="false">IF($C59="","",N($I59)*N($K59))</f>
        <v/>
      </c>
      <c r="M59" s="11"/>
      <c r="N59" s="14" t="str">
        <f aca="false">IF($C59="","",IF($M59="VAT 5%",0.05,IF($M59="VAT 8%",0.08,IF($M59="VAT 10%",0.1,0))))</f>
        <v/>
      </c>
      <c r="O59" s="13" t="str">
        <f aca="false">IF($C59="","",$L59*$N59)</f>
        <v/>
      </c>
      <c r="P59" s="13" t="str">
        <f aca="false">IF($C59="","",$L59+$O59)</f>
        <v/>
      </c>
      <c r="Q59" s="12"/>
      <c r="R59" s="13" t="str">
        <f aca="false">IF($C59="","",MAX(0,$P59-N($Q59)))</f>
        <v/>
      </c>
      <c r="S59" s="23" t="str">
        <f aca="false">IF(OR($C59="",$P59=0),"",IF(N($Q59)&lt;=0,"Chưa thanh toán",IF(N($Q59)&lt;$P59,"Thanh toán một phần","Đã thanh toán")))</f>
        <v/>
      </c>
      <c r="T59" s="13" t="str">
        <f aca="false">IF(OR($C59="",$J59=""),"",N($I59)*$J59)</f>
        <v/>
      </c>
      <c r="U59" s="13" t="str">
        <f aca="false">IF(OR($C59="",$T59=""),"",$L59-$T59)</f>
        <v/>
      </c>
      <c r="V59" s="14" t="str">
        <f aca="false">IF(OR($U59="",$L59=0),"",$U59/$L59)</f>
        <v/>
      </c>
      <c r="W59" s="11"/>
      <c r="X59" s="23" t="str">
        <f aca="false">IF($C59="","",IF(AND($H59="",N($I59)=0,N($K59)=0),"Dòng chỉ lưu thông tin khách (chưa có đơn); ",IF($B59="","Thiếu ngày đặt; ","")&amp;IF($H59="","Thiếu tên sản phẩm; ",IF($J59="","Chưa khai GIÁ GỐC ở BẢNG GIÁ GỐC; ",""))&amp;IF(N($I59)&lt;=0,"Thiếu số lượng; ","")&amp;IF(N($K59)&lt;=0,"Thiếu giá bán; ","")&amp;IF(AND($N59&gt;0,$F59=""),"Khách lấy VAT thiếu mã số thuế; ","")&amp;IF(N($Q59)&gt;$P59,"Đã thu vượt tổng phải thu; ","")&amp;IF(AND($L59&gt;0,$U59&lt;&gt;"",$U59&lt;0),"CẢNH BÁO: ĐƠN NÀY ĐANG LỖ; ","")))</f>
        <v/>
      </c>
    </row>
    <row r="60" customFormat="false" ht="15" hidden="false" customHeight="false" outlineLevel="0" collapsed="false">
      <c r="A60" s="21" t="str">
        <f aca="false">IF($C60="","",COUNTA($C$10:$C60))</f>
        <v/>
      </c>
      <c r="B60" s="18"/>
      <c r="C60" s="11"/>
      <c r="D60" s="11"/>
      <c r="E60" s="11"/>
      <c r="F60" s="11"/>
      <c r="G60" s="11"/>
      <c r="H60" s="11"/>
      <c r="I60" s="12"/>
      <c r="J60" s="13" t="str">
        <f aca="false">IF($H60="","",IFERROR(VLOOKUP($H60,'BẢNG GIÁ GỐC'!$A$5:$D$254,3,FALSE()),""))</f>
        <v/>
      </c>
      <c r="K60" s="12"/>
      <c r="L60" s="13" t="str">
        <f aca="false">IF($C60="","",N($I60)*N($K60))</f>
        <v/>
      </c>
      <c r="M60" s="11"/>
      <c r="N60" s="14" t="str">
        <f aca="false">IF($C60="","",IF($M60="VAT 5%",0.05,IF($M60="VAT 8%",0.08,IF($M60="VAT 10%",0.1,0))))</f>
        <v/>
      </c>
      <c r="O60" s="13" t="str">
        <f aca="false">IF($C60="","",$L60*$N60)</f>
        <v/>
      </c>
      <c r="P60" s="13" t="str">
        <f aca="false">IF($C60="","",$L60+$O60)</f>
        <v/>
      </c>
      <c r="Q60" s="12"/>
      <c r="R60" s="13" t="str">
        <f aca="false">IF($C60="","",MAX(0,$P60-N($Q60)))</f>
        <v/>
      </c>
      <c r="S60" s="23" t="str">
        <f aca="false">IF(OR($C60="",$P60=0),"",IF(N($Q60)&lt;=0,"Chưa thanh toán",IF(N($Q60)&lt;$P60,"Thanh toán một phần","Đã thanh toán")))</f>
        <v/>
      </c>
      <c r="T60" s="13" t="str">
        <f aca="false">IF(OR($C60="",$J60=""),"",N($I60)*$J60)</f>
        <v/>
      </c>
      <c r="U60" s="13" t="str">
        <f aca="false">IF(OR($C60="",$T60=""),"",$L60-$T60)</f>
        <v/>
      </c>
      <c r="V60" s="14" t="str">
        <f aca="false">IF(OR($U60="",$L60=0),"",$U60/$L60)</f>
        <v/>
      </c>
      <c r="W60" s="11"/>
      <c r="X60" s="23" t="str">
        <f aca="false">IF($C60="","",IF(AND($H60="",N($I60)=0,N($K60)=0),"Dòng chỉ lưu thông tin khách (chưa có đơn); ",IF($B60="","Thiếu ngày đặt; ","")&amp;IF($H60="","Thiếu tên sản phẩm; ",IF($J60="","Chưa khai GIÁ GỐC ở BẢNG GIÁ GỐC; ",""))&amp;IF(N($I60)&lt;=0,"Thiếu số lượng; ","")&amp;IF(N($K60)&lt;=0,"Thiếu giá bán; ","")&amp;IF(AND($N60&gt;0,$F60=""),"Khách lấy VAT thiếu mã số thuế; ","")&amp;IF(N($Q60)&gt;$P60,"Đã thu vượt tổng phải thu; ","")&amp;IF(AND($L60&gt;0,$U60&lt;&gt;"",$U60&lt;0),"CẢNH BÁO: ĐƠN NÀY ĐANG LỖ; ","")))</f>
        <v/>
      </c>
    </row>
    <row r="61" customFormat="false" ht="15" hidden="false" customHeight="false" outlineLevel="0" collapsed="false">
      <c r="A61" s="21" t="str">
        <f aca="false">IF($C61="","",COUNTA($C$10:$C61))</f>
        <v/>
      </c>
      <c r="B61" s="18"/>
      <c r="C61" s="11"/>
      <c r="D61" s="11"/>
      <c r="E61" s="11"/>
      <c r="F61" s="11"/>
      <c r="G61" s="11"/>
      <c r="H61" s="11"/>
      <c r="I61" s="12"/>
      <c r="J61" s="13" t="str">
        <f aca="false">IF($H61="","",IFERROR(VLOOKUP($H61,'BẢNG GIÁ GỐC'!$A$5:$D$254,3,FALSE()),""))</f>
        <v/>
      </c>
      <c r="K61" s="12"/>
      <c r="L61" s="13" t="str">
        <f aca="false">IF($C61="","",N($I61)*N($K61))</f>
        <v/>
      </c>
      <c r="M61" s="11"/>
      <c r="N61" s="14" t="str">
        <f aca="false">IF($C61="","",IF($M61="VAT 5%",0.05,IF($M61="VAT 8%",0.08,IF($M61="VAT 10%",0.1,0))))</f>
        <v/>
      </c>
      <c r="O61" s="13" t="str">
        <f aca="false">IF($C61="","",$L61*$N61)</f>
        <v/>
      </c>
      <c r="P61" s="13" t="str">
        <f aca="false">IF($C61="","",$L61+$O61)</f>
        <v/>
      </c>
      <c r="Q61" s="12"/>
      <c r="R61" s="13" t="str">
        <f aca="false">IF($C61="","",MAX(0,$P61-N($Q61)))</f>
        <v/>
      </c>
      <c r="S61" s="23" t="str">
        <f aca="false">IF(OR($C61="",$P61=0),"",IF(N($Q61)&lt;=0,"Chưa thanh toán",IF(N($Q61)&lt;$P61,"Thanh toán một phần","Đã thanh toán")))</f>
        <v/>
      </c>
      <c r="T61" s="13" t="str">
        <f aca="false">IF(OR($C61="",$J61=""),"",N($I61)*$J61)</f>
        <v/>
      </c>
      <c r="U61" s="13" t="str">
        <f aca="false">IF(OR($C61="",$T61=""),"",$L61-$T61)</f>
        <v/>
      </c>
      <c r="V61" s="14" t="str">
        <f aca="false">IF(OR($U61="",$L61=0),"",$U61/$L61)</f>
        <v/>
      </c>
      <c r="W61" s="11"/>
      <c r="X61" s="23" t="str">
        <f aca="false">IF($C61="","",IF(AND($H61="",N($I61)=0,N($K61)=0),"Dòng chỉ lưu thông tin khách (chưa có đơn); ",IF($B61="","Thiếu ngày đặt; ","")&amp;IF($H61="","Thiếu tên sản phẩm; ",IF($J61="","Chưa khai GIÁ GỐC ở BẢNG GIÁ GỐC; ",""))&amp;IF(N($I61)&lt;=0,"Thiếu số lượng; ","")&amp;IF(N($K61)&lt;=0,"Thiếu giá bán; ","")&amp;IF(AND($N61&gt;0,$F61=""),"Khách lấy VAT thiếu mã số thuế; ","")&amp;IF(N($Q61)&gt;$P61,"Đã thu vượt tổng phải thu; ","")&amp;IF(AND($L61&gt;0,$U61&lt;&gt;"",$U61&lt;0),"CẢNH BÁO: ĐƠN NÀY ĐANG LỖ; ","")))</f>
        <v/>
      </c>
    </row>
    <row r="62" customFormat="false" ht="15" hidden="false" customHeight="false" outlineLevel="0" collapsed="false">
      <c r="A62" s="21" t="str">
        <f aca="false">IF($C62="","",COUNTA($C$10:$C62))</f>
        <v/>
      </c>
      <c r="B62" s="18"/>
      <c r="C62" s="11"/>
      <c r="D62" s="11"/>
      <c r="E62" s="11"/>
      <c r="F62" s="11"/>
      <c r="G62" s="11"/>
      <c r="H62" s="11"/>
      <c r="I62" s="12"/>
      <c r="J62" s="13" t="str">
        <f aca="false">IF($H62="","",IFERROR(VLOOKUP($H62,'BẢNG GIÁ GỐC'!$A$5:$D$254,3,FALSE()),""))</f>
        <v/>
      </c>
      <c r="K62" s="12"/>
      <c r="L62" s="13" t="str">
        <f aca="false">IF($C62="","",N($I62)*N($K62))</f>
        <v/>
      </c>
      <c r="M62" s="11"/>
      <c r="N62" s="14" t="str">
        <f aca="false">IF($C62="","",IF($M62="VAT 5%",0.05,IF($M62="VAT 8%",0.08,IF($M62="VAT 10%",0.1,0))))</f>
        <v/>
      </c>
      <c r="O62" s="13" t="str">
        <f aca="false">IF($C62="","",$L62*$N62)</f>
        <v/>
      </c>
      <c r="P62" s="13" t="str">
        <f aca="false">IF($C62="","",$L62+$O62)</f>
        <v/>
      </c>
      <c r="Q62" s="12"/>
      <c r="R62" s="13" t="str">
        <f aca="false">IF($C62="","",MAX(0,$P62-N($Q62)))</f>
        <v/>
      </c>
      <c r="S62" s="23" t="str">
        <f aca="false">IF(OR($C62="",$P62=0),"",IF(N($Q62)&lt;=0,"Chưa thanh toán",IF(N($Q62)&lt;$P62,"Thanh toán một phần","Đã thanh toán")))</f>
        <v/>
      </c>
      <c r="T62" s="13" t="str">
        <f aca="false">IF(OR($C62="",$J62=""),"",N($I62)*$J62)</f>
        <v/>
      </c>
      <c r="U62" s="13" t="str">
        <f aca="false">IF(OR($C62="",$T62=""),"",$L62-$T62)</f>
        <v/>
      </c>
      <c r="V62" s="14" t="str">
        <f aca="false">IF(OR($U62="",$L62=0),"",$U62/$L62)</f>
        <v/>
      </c>
      <c r="W62" s="11"/>
      <c r="X62" s="23" t="str">
        <f aca="false">IF($C62="","",IF(AND($H62="",N($I62)=0,N($K62)=0),"Dòng chỉ lưu thông tin khách (chưa có đơn); ",IF($B62="","Thiếu ngày đặt; ","")&amp;IF($H62="","Thiếu tên sản phẩm; ",IF($J62="","Chưa khai GIÁ GỐC ở BẢNG GIÁ GỐC; ",""))&amp;IF(N($I62)&lt;=0,"Thiếu số lượng; ","")&amp;IF(N($K62)&lt;=0,"Thiếu giá bán; ","")&amp;IF(AND($N62&gt;0,$F62=""),"Khách lấy VAT thiếu mã số thuế; ","")&amp;IF(N($Q62)&gt;$P62,"Đã thu vượt tổng phải thu; ","")&amp;IF(AND($L62&gt;0,$U62&lt;&gt;"",$U62&lt;0),"CẢNH BÁO: ĐƠN NÀY ĐANG LỖ; ","")))</f>
        <v/>
      </c>
    </row>
    <row r="63" customFormat="false" ht="15" hidden="false" customHeight="false" outlineLevel="0" collapsed="false">
      <c r="A63" s="21" t="str">
        <f aca="false">IF($C63="","",COUNTA($C$10:$C63))</f>
        <v/>
      </c>
      <c r="B63" s="18"/>
      <c r="C63" s="11"/>
      <c r="D63" s="11"/>
      <c r="E63" s="11"/>
      <c r="F63" s="11"/>
      <c r="G63" s="11"/>
      <c r="H63" s="11"/>
      <c r="I63" s="12"/>
      <c r="J63" s="13" t="str">
        <f aca="false">IF($H63="","",IFERROR(VLOOKUP($H63,'BẢNG GIÁ GỐC'!$A$5:$D$254,3,FALSE()),""))</f>
        <v/>
      </c>
      <c r="K63" s="12"/>
      <c r="L63" s="13" t="str">
        <f aca="false">IF($C63="","",N($I63)*N($K63))</f>
        <v/>
      </c>
      <c r="M63" s="11"/>
      <c r="N63" s="14" t="str">
        <f aca="false">IF($C63="","",IF($M63="VAT 5%",0.05,IF($M63="VAT 8%",0.08,IF($M63="VAT 10%",0.1,0))))</f>
        <v/>
      </c>
      <c r="O63" s="13" t="str">
        <f aca="false">IF($C63="","",$L63*$N63)</f>
        <v/>
      </c>
      <c r="P63" s="13" t="str">
        <f aca="false">IF($C63="","",$L63+$O63)</f>
        <v/>
      </c>
      <c r="Q63" s="12"/>
      <c r="R63" s="13" t="str">
        <f aca="false">IF($C63="","",MAX(0,$P63-N($Q63)))</f>
        <v/>
      </c>
      <c r="S63" s="23" t="str">
        <f aca="false">IF(OR($C63="",$P63=0),"",IF(N($Q63)&lt;=0,"Chưa thanh toán",IF(N($Q63)&lt;$P63,"Thanh toán một phần","Đã thanh toán")))</f>
        <v/>
      </c>
      <c r="T63" s="13" t="str">
        <f aca="false">IF(OR($C63="",$J63=""),"",N($I63)*$J63)</f>
        <v/>
      </c>
      <c r="U63" s="13" t="str">
        <f aca="false">IF(OR($C63="",$T63=""),"",$L63-$T63)</f>
        <v/>
      </c>
      <c r="V63" s="14" t="str">
        <f aca="false">IF(OR($U63="",$L63=0),"",$U63/$L63)</f>
        <v/>
      </c>
      <c r="W63" s="11"/>
      <c r="X63" s="23" t="str">
        <f aca="false">IF($C63="","",IF(AND($H63="",N($I63)=0,N($K63)=0),"Dòng chỉ lưu thông tin khách (chưa có đơn); ",IF($B63="","Thiếu ngày đặt; ","")&amp;IF($H63="","Thiếu tên sản phẩm; ",IF($J63="","Chưa khai GIÁ GỐC ở BẢNG GIÁ GỐC; ",""))&amp;IF(N($I63)&lt;=0,"Thiếu số lượng; ","")&amp;IF(N($K63)&lt;=0,"Thiếu giá bán; ","")&amp;IF(AND($N63&gt;0,$F63=""),"Khách lấy VAT thiếu mã số thuế; ","")&amp;IF(N($Q63)&gt;$P63,"Đã thu vượt tổng phải thu; ","")&amp;IF(AND($L63&gt;0,$U63&lt;&gt;"",$U63&lt;0),"CẢNH BÁO: ĐƠN NÀY ĐANG LỖ; ","")))</f>
        <v/>
      </c>
    </row>
    <row r="64" customFormat="false" ht="15" hidden="false" customHeight="false" outlineLevel="0" collapsed="false">
      <c r="A64" s="21" t="str">
        <f aca="false">IF($C64="","",COUNTA($C$10:$C64))</f>
        <v/>
      </c>
      <c r="B64" s="18"/>
      <c r="C64" s="11"/>
      <c r="D64" s="11"/>
      <c r="E64" s="11"/>
      <c r="F64" s="11"/>
      <c r="G64" s="11"/>
      <c r="H64" s="11"/>
      <c r="I64" s="12"/>
      <c r="J64" s="13" t="str">
        <f aca="false">IF($H64="","",IFERROR(VLOOKUP($H64,'BẢNG GIÁ GỐC'!$A$5:$D$254,3,FALSE()),""))</f>
        <v/>
      </c>
      <c r="K64" s="12"/>
      <c r="L64" s="13" t="str">
        <f aca="false">IF($C64="","",N($I64)*N($K64))</f>
        <v/>
      </c>
      <c r="M64" s="11"/>
      <c r="N64" s="14" t="str">
        <f aca="false">IF($C64="","",IF($M64="VAT 5%",0.05,IF($M64="VAT 8%",0.08,IF($M64="VAT 10%",0.1,0))))</f>
        <v/>
      </c>
      <c r="O64" s="13" t="str">
        <f aca="false">IF($C64="","",$L64*$N64)</f>
        <v/>
      </c>
      <c r="P64" s="13" t="str">
        <f aca="false">IF($C64="","",$L64+$O64)</f>
        <v/>
      </c>
      <c r="Q64" s="12"/>
      <c r="R64" s="13" t="str">
        <f aca="false">IF($C64="","",MAX(0,$P64-N($Q64)))</f>
        <v/>
      </c>
      <c r="S64" s="23" t="str">
        <f aca="false">IF(OR($C64="",$P64=0),"",IF(N($Q64)&lt;=0,"Chưa thanh toán",IF(N($Q64)&lt;$P64,"Thanh toán một phần","Đã thanh toán")))</f>
        <v/>
      </c>
      <c r="T64" s="13" t="str">
        <f aca="false">IF(OR($C64="",$J64=""),"",N($I64)*$J64)</f>
        <v/>
      </c>
      <c r="U64" s="13" t="str">
        <f aca="false">IF(OR($C64="",$T64=""),"",$L64-$T64)</f>
        <v/>
      </c>
      <c r="V64" s="14" t="str">
        <f aca="false">IF(OR($U64="",$L64=0),"",$U64/$L64)</f>
        <v/>
      </c>
      <c r="W64" s="11"/>
      <c r="X64" s="23" t="str">
        <f aca="false">IF($C64="","",IF(AND($H64="",N($I64)=0,N($K64)=0),"Dòng chỉ lưu thông tin khách (chưa có đơn); ",IF($B64="","Thiếu ngày đặt; ","")&amp;IF($H64="","Thiếu tên sản phẩm; ",IF($J64="","Chưa khai GIÁ GỐC ở BẢNG GIÁ GỐC; ",""))&amp;IF(N($I64)&lt;=0,"Thiếu số lượng; ","")&amp;IF(N($K64)&lt;=0,"Thiếu giá bán; ","")&amp;IF(AND($N64&gt;0,$F64=""),"Khách lấy VAT thiếu mã số thuế; ","")&amp;IF(N($Q64)&gt;$P64,"Đã thu vượt tổng phải thu; ","")&amp;IF(AND($L64&gt;0,$U64&lt;&gt;"",$U64&lt;0),"CẢNH BÁO: ĐƠN NÀY ĐANG LỖ; ","")))</f>
        <v/>
      </c>
    </row>
    <row r="65" customFormat="false" ht="15" hidden="false" customHeight="false" outlineLevel="0" collapsed="false">
      <c r="A65" s="21" t="str">
        <f aca="false">IF($C65="","",COUNTA($C$10:$C65))</f>
        <v/>
      </c>
      <c r="B65" s="18"/>
      <c r="C65" s="11"/>
      <c r="D65" s="11"/>
      <c r="E65" s="11"/>
      <c r="F65" s="11"/>
      <c r="G65" s="11"/>
      <c r="H65" s="11"/>
      <c r="I65" s="12"/>
      <c r="J65" s="13" t="str">
        <f aca="false">IF($H65="","",IFERROR(VLOOKUP($H65,'BẢNG GIÁ GỐC'!$A$5:$D$254,3,FALSE()),""))</f>
        <v/>
      </c>
      <c r="K65" s="12"/>
      <c r="L65" s="13" t="str">
        <f aca="false">IF($C65="","",N($I65)*N($K65))</f>
        <v/>
      </c>
      <c r="M65" s="11"/>
      <c r="N65" s="14" t="str">
        <f aca="false">IF($C65="","",IF($M65="VAT 5%",0.05,IF($M65="VAT 8%",0.08,IF($M65="VAT 10%",0.1,0))))</f>
        <v/>
      </c>
      <c r="O65" s="13" t="str">
        <f aca="false">IF($C65="","",$L65*$N65)</f>
        <v/>
      </c>
      <c r="P65" s="13" t="str">
        <f aca="false">IF($C65="","",$L65+$O65)</f>
        <v/>
      </c>
      <c r="Q65" s="12"/>
      <c r="R65" s="13" t="str">
        <f aca="false">IF($C65="","",MAX(0,$P65-N($Q65)))</f>
        <v/>
      </c>
      <c r="S65" s="23" t="str">
        <f aca="false">IF(OR($C65="",$P65=0),"",IF(N($Q65)&lt;=0,"Chưa thanh toán",IF(N($Q65)&lt;$P65,"Thanh toán một phần","Đã thanh toán")))</f>
        <v/>
      </c>
      <c r="T65" s="13" t="str">
        <f aca="false">IF(OR($C65="",$J65=""),"",N($I65)*$J65)</f>
        <v/>
      </c>
      <c r="U65" s="13" t="str">
        <f aca="false">IF(OR($C65="",$T65=""),"",$L65-$T65)</f>
        <v/>
      </c>
      <c r="V65" s="14" t="str">
        <f aca="false">IF(OR($U65="",$L65=0),"",$U65/$L65)</f>
        <v/>
      </c>
      <c r="W65" s="11"/>
      <c r="X65" s="23" t="str">
        <f aca="false">IF($C65="","",IF(AND($H65="",N($I65)=0,N($K65)=0),"Dòng chỉ lưu thông tin khách (chưa có đơn); ",IF($B65="","Thiếu ngày đặt; ","")&amp;IF($H65="","Thiếu tên sản phẩm; ",IF($J65="","Chưa khai GIÁ GỐC ở BẢNG GIÁ GỐC; ",""))&amp;IF(N($I65)&lt;=0,"Thiếu số lượng; ","")&amp;IF(N($K65)&lt;=0,"Thiếu giá bán; ","")&amp;IF(AND($N65&gt;0,$F65=""),"Khách lấy VAT thiếu mã số thuế; ","")&amp;IF(N($Q65)&gt;$P65,"Đã thu vượt tổng phải thu; ","")&amp;IF(AND($L65&gt;0,$U65&lt;&gt;"",$U65&lt;0),"CẢNH BÁO: ĐƠN NÀY ĐANG LỖ; ","")))</f>
        <v/>
      </c>
    </row>
    <row r="66" customFormat="false" ht="15" hidden="false" customHeight="false" outlineLevel="0" collapsed="false">
      <c r="A66" s="21" t="str">
        <f aca="false">IF($C66="","",COUNTA($C$10:$C66))</f>
        <v/>
      </c>
      <c r="B66" s="18"/>
      <c r="C66" s="11"/>
      <c r="D66" s="11"/>
      <c r="E66" s="11"/>
      <c r="F66" s="11"/>
      <c r="G66" s="11"/>
      <c r="H66" s="11"/>
      <c r="I66" s="12"/>
      <c r="J66" s="13" t="str">
        <f aca="false">IF($H66="","",IFERROR(VLOOKUP($H66,'BẢNG GIÁ GỐC'!$A$5:$D$254,3,FALSE()),""))</f>
        <v/>
      </c>
      <c r="K66" s="12"/>
      <c r="L66" s="13" t="str">
        <f aca="false">IF($C66="","",N($I66)*N($K66))</f>
        <v/>
      </c>
      <c r="M66" s="11"/>
      <c r="N66" s="14" t="str">
        <f aca="false">IF($C66="","",IF($M66="VAT 5%",0.05,IF($M66="VAT 8%",0.08,IF($M66="VAT 10%",0.1,0))))</f>
        <v/>
      </c>
      <c r="O66" s="13" t="str">
        <f aca="false">IF($C66="","",$L66*$N66)</f>
        <v/>
      </c>
      <c r="P66" s="13" t="str">
        <f aca="false">IF($C66="","",$L66+$O66)</f>
        <v/>
      </c>
      <c r="Q66" s="12"/>
      <c r="R66" s="13" t="str">
        <f aca="false">IF($C66="","",MAX(0,$P66-N($Q66)))</f>
        <v/>
      </c>
      <c r="S66" s="23" t="str">
        <f aca="false">IF(OR($C66="",$P66=0),"",IF(N($Q66)&lt;=0,"Chưa thanh toán",IF(N($Q66)&lt;$P66,"Thanh toán một phần","Đã thanh toán")))</f>
        <v/>
      </c>
      <c r="T66" s="13" t="str">
        <f aca="false">IF(OR($C66="",$J66=""),"",N($I66)*$J66)</f>
        <v/>
      </c>
      <c r="U66" s="13" t="str">
        <f aca="false">IF(OR($C66="",$T66=""),"",$L66-$T66)</f>
        <v/>
      </c>
      <c r="V66" s="14" t="str">
        <f aca="false">IF(OR($U66="",$L66=0),"",$U66/$L66)</f>
        <v/>
      </c>
      <c r="W66" s="11"/>
      <c r="X66" s="23" t="str">
        <f aca="false">IF($C66="","",IF(AND($H66="",N($I66)=0,N($K66)=0),"Dòng chỉ lưu thông tin khách (chưa có đơn); ",IF($B66="","Thiếu ngày đặt; ","")&amp;IF($H66="","Thiếu tên sản phẩm; ",IF($J66="","Chưa khai GIÁ GỐC ở BẢNG GIÁ GỐC; ",""))&amp;IF(N($I66)&lt;=0,"Thiếu số lượng; ","")&amp;IF(N($K66)&lt;=0,"Thiếu giá bán; ","")&amp;IF(AND($N66&gt;0,$F66=""),"Khách lấy VAT thiếu mã số thuế; ","")&amp;IF(N($Q66)&gt;$P66,"Đã thu vượt tổng phải thu; ","")&amp;IF(AND($L66&gt;0,$U66&lt;&gt;"",$U66&lt;0),"CẢNH BÁO: ĐƠN NÀY ĐANG LỖ; ","")))</f>
        <v/>
      </c>
    </row>
    <row r="67" customFormat="false" ht="15" hidden="false" customHeight="false" outlineLevel="0" collapsed="false">
      <c r="A67" s="21" t="str">
        <f aca="false">IF($C67="","",COUNTA($C$10:$C67))</f>
        <v/>
      </c>
      <c r="B67" s="18"/>
      <c r="C67" s="11"/>
      <c r="D67" s="11"/>
      <c r="E67" s="11"/>
      <c r="F67" s="11"/>
      <c r="G67" s="11"/>
      <c r="H67" s="11"/>
      <c r="I67" s="12"/>
      <c r="J67" s="13" t="str">
        <f aca="false">IF($H67="","",IFERROR(VLOOKUP($H67,'BẢNG GIÁ GỐC'!$A$5:$D$254,3,FALSE()),""))</f>
        <v/>
      </c>
      <c r="K67" s="12"/>
      <c r="L67" s="13" t="str">
        <f aca="false">IF($C67="","",N($I67)*N($K67))</f>
        <v/>
      </c>
      <c r="M67" s="11"/>
      <c r="N67" s="14" t="str">
        <f aca="false">IF($C67="","",IF($M67="VAT 5%",0.05,IF($M67="VAT 8%",0.08,IF($M67="VAT 10%",0.1,0))))</f>
        <v/>
      </c>
      <c r="O67" s="13" t="str">
        <f aca="false">IF($C67="","",$L67*$N67)</f>
        <v/>
      </c>
      <c r="P67" s="13" t="str">
        <f aca="false">IF($C67="","",$L67+$O67)</f>
        <v/>
      </c>
      <c r="Q67" s="12"/>
      <c r="R67" s="13" t="str">
        <f aca="false">IF($C67="","",MAX(0,$P67-N($Q67)))</f>
        <v/>
      </c>
      <c r="S67" s="23" t="str">
        <f aca="false">IF(OR($C67="",$P67=0),"",IF(N($Q67)&lt;=0,"Chưa thanh toán",IF(N($Q67)&lt;$P67,"Thanh toán một phần","Đã thanh toán")))</f>
        <v/>
      </c>
      <c r="T67" s="13" t="str">
        <f aca="false">IF(OR($C67="",$J67=""),"",N($I67)*$J67)</f>
        <v/>
      </c>
      <c r="U67" s="13" t="str">
        <f aca="false">IF(OR($C67="",$T67=""),"",$L67-$T67)</f>
        <v/>
      </c>
      <c r="V67" s="14" t="str">
        <f aca="false">IF(OR($U67="",$L67=0),"",$U67/$L67)</f>
        <v/>
      </c>
      <c r="W67" s="11"/>
      <c r="X67" s="23" t="str">
        <f aca="false">IF($C67="","",IF(AND($H67="",N($I67)=0,N($K67)=0),"Dòng chỉ lưu thông tin khách (chưa có đơn); ",IF($B67="","Thiếu ngày đặt; ","")&amp;IF($H67="","Thiếu tên sản phẩm; ",IF($J67="","Chưa khai GIÁ GỐC ở BẢNG GIÁ GỐC; ",""))&amp;IF(N($I67)&lt;=0,"Thiếu số lượng; ","")&amp;IF(N($K67)&lt;=0,"Thiếu giá bán; ","")&amp;IF(AND($N67&gt;0,$F67=""),"Khách lấy VAT thiếu mã số thuế; ","")&amp;IF(N($Q67)&gt;$P67,"Đã thu vượt tổng phải thu; ","")&amp;IF(AND($L67&gt;0,$U67&lt;&gt;"",$U67&lt;0),"CẢNH BÁO: ĐƠN NÀY ĐANG LỖ; ","")))</f>
        <v/>
      </c>
    </row>
    <row r="68" customFormat="false" ht="15" hidden="false" customHeight="false" outlineLevel="0" collapsed="false">
      <c r="A68" s="21" t="str">
        <f aca="false">IF($C68="","",COUNTA($C$10:$C68))</f>
        <v/>
      </c>
      <c r="B68" s="18"/>
      <c r="C68" s="11"/>
      <c r="D68" s="11"/>
      <c r="E68" s="11"/>
      <c r="F68" s="11"/>
      <c r="G68" s="11"/>
      <c r="H68" s="11"/>
      <c r="I68" s="12"/>
      <c r="J68" s="13" t="str">
        <f aca="false">IF($H68="","",IFERROR(VLOOKUP($H68,'BẢNG GIÁ GỐC'!$A$5:$D$254,3,FALSE()),""))</f>
        <v/>
      </c>
      <c r="K68" s="12"/>
      <c r="L68" s="13" t="str">
        <f aca="false">IF($C68="","",N($I68)*N($K68))</f>
        <v/>
      </c>
      <c r="M68" s="11"/>
      <c r="N68" s="14" t="str">
        <f aca="false">IF($C68="","",IF($M68="VAT 5%",0.05,IF($M68="VAT 8%",0.08,IF($M68="VAT 10%",0.1,0))))</f>
        <v/>
      </c>
      <c r="O68" s="13" t="str">
        <f aca="false">IF($C68="","",$L68*$N68)</f>
        <v/>
      </c>
      <c r="P68" s="13" t="str">
        <f aca="false">IF($C68="","",$L68+$O68)</f>
        <v/>
      </c>
      <c r="Q68" s="12"/>
      <c r="R68" s="13" t="str">
        <f aca="false">IF($C68="","",MAX(0,$P68-N($Q68)))</f>
        <v/>
      </c>
      <c r="S68" s="23" t="str">
        <f aca="false">IF(OR($C68="",$P68=0),"",IF(N($Q68)&lt;=0,"Chưa thanh toán",IF(N($Q68)&lt;$P68,"Thanh toán một phần","Đã thanh toán")))</f>
        <v/>
      </c>
      <c r="T68" s="13" t="str">
        <f aca="false">IF(OR($C68="",$J68=""),"",N($I68)*$J68)</f>
        <v/>
      </c>
      <c r="U68" s="13" t="str">
        <f aca="false">IF(OR($C68="",$T68=""),"",$L68-$T68)</f>
        <v/>
      </c>
      <c r="V68" s="14" t="str">
        <f aca="false">IF(OR($U68="",$L68=0),"",$U68/$L68)</f>
        <v/>
      </c>
      <c r="W68" s="11"/>
      <c r="X68" s="23" t="str">
        <f aca="false">IF($C68="","",IF(AND($H68="",N($I68)=0,N($K68)=0),"Dòng chỉ lưu thông tin khách (chưa có đơn); ",IF($B68="","Thiếu ngày đặt; ","")&amp;IF($H68="","Thiếu tên sản phẩm; ",IF($J68="","Chưa khai GIÁ GỐC ở BẢNG GIÁ GỐC; ",""))&amp;IF(N($I68)&lt;=0,"Thiếu số lượng; ","")&amp;IF(N($K68)&lt;=0,"Thiếu giá bán; ","")&amp;IF(AND($N68&gt;0,$F68=""),"Khách lấy VAT thiếu mã số thuế; ","")&amp;IF(N($Q68)&gt;$P68,"Đã thu vượt tổng phải thu; ","")&amp;IF(AND($L68&gt;0,$U68&lt;&gt;"",$U68&lt;0),"CẢNH BÁO: ĐƠN NÀY ĐANG LỖ; ","")))</f>
        <v/>
      </c>
    </row>
    <row r="69" customFormat="false" ht="15" hidden="false" customHeight="false" outlineLevel="0" collapsed="false">
      <c r="A69" s="21" t="str">
        <f aca="false">IF($C69="","",COUNTA($C$10:$C69))</f>
        <v/>
      </c>
      <c r="B69" s="18"/>
      <c r="C69" s="11"/>
      <c r="D69" s="11"/>
      <c r="E69" s="11"/>
      <c r="F69" s="11"/>
      <c r="G69" s="11"/>
      <c r="H69" s="11"/>
      <c r="I69" s="12"/>
      <c r="J69" s="13" t="str">
        <f aca="false">IF($H69="","",IFERROR(VLOOKUP($H69,'BẢNG GIÁ GỐC'!$A$5:$D$254,3,FALSE()),""))</f>
        <v/>
      </c>
      <c r="K69" s="12"/>
      <c r="L69" s="13" t="str">
        <f aca="false">IF($C69="","",N($I69)*N($K69))</f>
        <v/>
      </c>
      <c r="M69" s="11"/>
      <c r="N69" s="14" t="str">
        <f aca="false">IF($C69="","",IF($M69="VAT 5%",0.05,IF($M69="VAT 8%",0.08,IF($M69="VAT 10%",0.1,0))))</f>
        <v/>
      </c>
      <c r="O69" s="13" t="str">
        <f aca="false">IF($C69="","",$L69*$N69)</f>
        <v/>
      </c>
      <c r="P69" s="13" t="str">
        <f aca="false">IF($C69="","",$L69+$O69)</f>
        <v/>
      </c>
      <c r="Q69" s="12"/>
      <c r="R69" s="13" t="str">
        <f aca="false">IF($C69="","",MAX(0,$P69-N($Q69)))</f>
        <v/>
      </c>
      <c r="S69" s="23" t="str">
        <f aca="false">IF(OR($C69="",$P69=0),"",IF(N($Q69)&lt;=0,"Chưa thanh toán",IF(N($Q69)&lt;$P69,"Thanh toán một phần","Đã thanh toán")))</f>
        <v/>
      </c>
      <c r="T69" s="13" t="str">
        <f aca="false">IF(OR($C69="",$J69=""),"",N($I69)*$J69)</f>
        <v/>
      </c>
      <c r="U69" s="13" t="str">
        <f aca="false">IF(OR($C69="",$T69=""),"",$L69-$T69)</f>
        <v/>
      </c>
      <c r="V69" s="14" t="str">
        <f aca="false">IF(OR($U69="",$L69=0),"",$U69/$L69)</f>
        <v/>
      </c>
      <c r="W69" s="11"/>
      <c r="X69" s="23" t="str">
        <f aca="false">IF($C69="","",IF(AND($H69="",N($I69)=0,N($K69)=0),"Dòng chỉ lưu thông tin khách (chưa có đơn); ",IF($B69="","Thiếu ngày đặt; ","")&amp;IF($H69="","Thiếu tên sản phẩm; ",IF($J69="","Chưa khai GIÁ GỐC ở BẢNG GIÁ GỐC; ",""))&amp;IF(N($I69)&lt;=0,"Thiếu số lượng; ","")&amp;IF(N($K69)&lt;=0,"Thiếu giá bán; ","")&amp;IF(AND($N69&gt;0,$F69=""),"Khách lấy VAT thiếu mã số thuế; ","")&amp;IF(N($Q69)&gt;$P69,"Đã thu vượt tổng phải thu; ","")&amp;IF(AND($L69&gt;0,$U69&lt;&gt;"",$U69&lt;0),"CẢNH BÁO: ĐƠN NÀY ĐANG LỖ; ","")))</f>
        <v/>
      </c>
    </row>
    <row r="70" customFormat="false" ht="15" hidden="false" customHeight="false" outlineLevel="0" collapsed="false">
      <c r="A70" s="21" t="str">
        <f aca="false">IF($C70="","",COUNTA($C$10:$C70))</f>
        <v/>
      </c>
      <c r="B70" s="18"/>
      <c r="C70" s="11"/>
      <c r="D70" s="11"/>
      <c r="E70" s="11"/>
      <c r="F70" s="11"/>
      <c r="G70" s="11"/>
      <c r="H70" s="11"/>
      <c r="I70" s="12"/>
      <c r="J70" s="13" t="str">
        <f aca="false">IF($H70="","",IFERROR(VLOOKUP($H70,'BẢNG GIÁ GỐC'!$A$5:$D$254,3,FALSE()),""))</f>
        <v/>
      </c>
      <c r="K70" s="12"/>
      <c r="L70" s="13" t="str">
        <f aca="false">IF($C70="","",N($I70)*N($K70))</f>
        <v/>
      </c>
      <c r="M70" s="11"/>
      <c r="N70" s="14" t="str">
        <f aca="false">IF($C70="","",IF($M70="VAT 5%",0.05,IF($M70="VAT 8%",0.08,IF($M70="VAT 10%",0.1,0))))</f>
        <v/>
      </c>
      <c r="O70" s="13" t="str">
        <f aca="false">IF($C70="","",$L70*$N70)</f>
        <v/>
      </c>
      <c r="P70" s="13" t="str">
        <f aca="false">IF($C70="","",$L70+$O70)</f>
        <v/>
      </c>
      <c r="Q70" s="12"/>
      <c r="R70" s="13" t="str">
        <f aca="false">IF($C70="","",MAX(0,$P70-N($Q70)))</f>
        <v/>
      </c>
      <c r="S70" s="23" t="str">
        <f aca="false">IF(OR($C70="",$P70=0),"",IF(N($Q70)&lt;=0,"Chưa thanh toán",IF(N($Q70)&lt;$P70,"Thanh toán một phần","Đã thanh toán")))</f>
        <v/>
      </c>
      <c r="T70" s="13" t="str">
        <f aca="false">IF(OR($C70="",$J70=""),"",N($I70)*$J70)</f>
        <v/>
      </c>
      <c r="U70" s="13" t="str">
        <f aca="false">IF(OR($C70="",$T70=""),"",$L70-$T70)</f>
        <v/>
      </c>
      <c r="V70" s="14" t="str">
        <f aca="false">IF(OR($U70="",$L70=0),"",$U70/$L70)</f>
        <v/>
      </c>
      <c r="W70" s="11"/>
      <c r="X70" s="23" t="str">
        <f aca="false">IF($C70="","",IF(AND($H70="",N($I70)=0,N($K70)=0),"Dòng chỉ lưu thông tin khách (chưa có đơn); ",IF($B70="","Thiếu ngày đặt; ","")&amp;IF($H70="","Thiếu tên sản phẩm; ",IF($J70="","Chưa khai GIÁ GỐC ở BẢNG GIÁ GỐC; ",""))&amp;IF(N($I70)&lt;=0,"Thiếu số lượng; ","")&amp;IF(N($K70)&lt;=0,"Thiếu giá bán; ","")&amp;IF(AND($N70&gt;0,$F70=""),"Khách lấy VAT thiếu mã số thuế; ","")&amp;IF(N($Q70)&gt;$P70,"Đã thu vượt tổng phải thu; ","")&amp;IF(AND($L70&gt;0,$U70&lt;&gt;"",$U70&lt;0),"CẢNH BÁO: ĐƠN NÀY ĐANG LỖ; ","")))</f>
        <v/>
      </c>
    </row>
    <row r="71" customFormat="false" ht="15" hidden="false" customHeight="false" outlineLevel="0" collapsed="false">
      <c r="A71" s="21" t="str">
        <f aca="false">IF($C71="","",COUNTA($C$10:$C71))</f>
        <v/>
      </c>
      <c r="B71" s="18"/>
      <c r="C71" s="11"/>
      <c r="D71" s="11"/>
      <c r="E71" s="11"/>
      <c r="F71" s="11"/>
      <c r="G71" s="11"/>
      <c r="H71" s="11"/>
      <c r="I71" s="12"/>
      <c r="J71" s="13" t="str">
        <f aca="false">IF($H71="","",IFERROR(VLOOKUP($H71,'BẢNG GIÁ GỐC'!$A$5:$D$254,3,FALSE()),""))</f>
        <v/>
      </c>
      <c r="K71" s="12"/>
      <c r="L71" s="13" t="str">
        <f aca="false">IF($C71="","",N($I71)*N($K71))</f>
        <v/>
      </c>
      <c r="M71" s="11"/>
      <c r="N71" s="14" t="str">
        <f aca="false">IF($C71="","",IF($M71="VAT 5%",0.05,IF($M71="VAT 8%",0.08,IF($M71="VAT 10%",0.1,0))))</f>
        <v/>
      </c>
      <c r="O71" s="13" t="str">
        <f aca="false">IF($C71="","",$L71*$N71)</f>
        <v/>
      </c>
      <c r="P71" s="13" t="str">
        <f aca="false">IF($C71="","",$L71+$O71)</f>
        <v/>
      </c>
      <c r="Q71" s="12"/>
      <c r="R71" s="13" t="str">
        <f aca="false">IF($C71="","",MAX(0,$P71-N($Q71)))</f>
        <v/>
      </c>
      <c r="S71" s="23" t="str">
        <f aca="false">IF(OR($C71="",$P71=0),"",IF(N($Q71)&lt;=0,"Chưa thanh toán",IF(N($Q71)&lt;$P71,"Thanh toán một phần","Đã thanh toán")))</f>
        <v/>
      </c>
      <c r="T71" s="13" t="str">
        <f aca="false">IF(OR($C71="",$J71=""),"",N($I71)*$J71)</f>
        <v/>
      </c>
      <c r="U71" s="13" t="str">
        <f aca="false">IF(OR($C71="",$T71=""),"",$L71-$T71)</f>
        <v/>
      </c>
      <c r="V71" s="14" t="str">
        <f aca="false">IF(OR($U71="",$L71=0),"",$U71/$L71)</f>
        <v/>
      </c>
      <c r="W71" s="11"/>
      <c r="X71" s="23" t="str">
        <f aca="false">IF($C71="","",IF(AND($H71="",N($I71)=0,N($K71)=0),"Dòng chỉ lưu thông tin khách (chưa có đơn); ",IF($B71="","Thiếu ngày đặt; ","")&amp;IF($H71="","Thiếu tên sản phẩm; ",IF($J71="","Chưa khai GIÁ GỐC ở BẢNG GIÁ GỐC; ",""))&amp;IF(N($I71)&lt;=0,"Thiếu số lượng; ","")&amp;IF(N($K71)&lt;=0,"Thiếu giá bán; ","")&amp;IF(AND($N71&gt;0,$F71=""),"Khách lấy VAT thiếu mã số thuế; ","")&amp;IF(N($Q71)&gt;$P71,"Đã thu vượt tổng phải thu; ","")&amp;IF(AND($L71&gt;0,$U71&lt;&gt;"",$U71&lt;0),"CẢNH BÁO: ĐƠN NÀY ĐANG LỖ; ","")))</f>
        <v/>
      </c>
    </row>
    <row r="72" customFormat="false" ht="15" hidden="false" customHeight="false" outlineLevel="0" collapsed="false">
      <c r="A72" s="21" t="str">
        <f aca="false">IF($C72="","",COUNTA($C$10:$C72))</f>
        <v/>
      </c>
      <c r="B72" s="18"/>
      <c r="C72" s="11"/>
      <c r="D72" s="11"/>
      <c r="E72" s="11"/>
      <c r="F72" s="11"/>
      <c r="G72" s="11"/>
      <c r="H72" s="11"/>
      <c r="I72" s="12"/>
      <c r="J72" s="13" t="str">
        <f aca="false">IF($H72="","",IFERROR(VLOOKUP($H72,'BẢNG GIÁ GỐC'!$A$5:$D$254,3,FALSE()),""))</f>
        <v/>
      </c>
      <c r="K72" s="12"/>
      <c r="L72" s="13" t="str">
        <f aca="false">IF($C72="","",N($I72)*N($K72))</f>
        <v/>
      </c>
      <c r="M72" s="11"/>
      <c r="N72" s="14" t="str">
        <f aca="false">IF($C72="","",IF($M72="VAT 5%",0.05,IF($M72="VAT 8%",0.08,IF($M72="VAT 10%",0.1,0))))</f>
        <v/>
      </c>
      <c r="O72" s="13" t="str">
        <f aca="false">IF($C72="","",$L72*$N72)</f>
        <v/>
      </c>
      <c r="P72" s="13" t="str">
        <f aca="false">IF($C72="","",$L72+$O72)</f>
        <v/>
      </c>
      <c r="Q72" s="12"/>
      <c r="R72" s="13" t="str">
        <f aca="false">IF($C72="","",MAX(0,$P72-N($Q72)))</f>
        <v/>
      </c>
      <c r="S72" s="23" t="str">
        <f aca="false">IF(OR($C72="",$P72=0),"",IF(N($Q72)&lt;=0,"Chưa thanh toán",IF(N($Q72)&lt;$P72,"Thanh toán một phần","Đã thanh toán")))</f>
        <v/>
      </c>
      <c r="T72" s="13" t="str">
        <f aca="false">IF(OR($C72="",$J72=""),"",N($I72)*$J72)</f>
        <v/>
      </c>
      <c r="U72" s="13" t="str">
        <f aca="false">IF(OR($C72="",$T72=""),"",$L72-$T72)</f>
        <v/>
      </c>
      <c r="V72" s="14" t="str">
        <f aca="false">IF(OR($U72="",$L72=0),"",$U72/$L72)</f>
        <v/>
      </c>
      <c r="W72" s="11"/>
      <c r="X72" s="23" t="str">
        <f aca="false">IF($C72="","",IF(AND($H72="",N($I72)=0,N($K72)=0),"Dòng chỉ lưu thông tin khách (chưa có đơn); ",IF($B72="","Thiếu ngày đặt; ","")&amp;IF($H72="","Thiếu tên sản phẩm; ",IF($J72="","Chưa khai GIÁ GỐC ở BẢNG GIÁ GỐC; ",""))&amp;IF(N($I72)&lt;=0,"Thiếu số lượng; ","")&amp;IF(N($K72)&lt;=0,"Thiếu giá bán; ","")&amp;IF(AND($N72&gt;0,$F72=""),"Khách lấy VAT thiếu mã số thuế; ","")&amp;IF(N($Q72)&gt;$P72,"Đã thu vượt tổng phải thu; ","")&amp;IF(AND($L72&gt;0,$U72&lt;&gt;"",$U72&lt;0),"CẢNH BÁO: ĐƠN NÀY ĐANG LỖ; ","")))</f>
        <v/>
      </c>
    </row>
    <row r="73" customFormat="false" ht="15" hidden="false" customHeight="false" outlineLevel="0" collapsed="false">
      <c r="A73" s="21" t="str">
        <f aca="false">IF($C73="","",COUNTA($C$10:$C73))</f>
        <v/>
      </c>
      <c r="B73" s="18"/>
      <c r="C73" s="11"/>
      <c r="D73" s="11"/>
      <c r="E73" s="11"/>
      <c r="F73" s="11"/>
      <c r="G73" s="11"/>
      <c r="H73" s="11"/>
      <c r="I73" s="12"/>
      <c r="J73" s="13" t="str">
        <f aca="false">IF($H73="","",IFERROR(VLOOKUP($H73,'BẢNG GIÁ GỐC'!$A$5:$D$254,3,FALSE()),""))</f>
        <v/>
      </c>
      <c r="K73" s="12"/>
      <c r="L73" s="13" t="str">
        <f aca="false">IF($C73="","",N($I73)*N($K73))</f>
        <v/>
      </c>
      <c r="M73" s="11"/>
      <c r="N73" s="14" t="str">
        <f aca="false">IF($C73="","",IF($M73="VAT 5%",0.05,IF($M73="VAT 8%",0.08,IF($M73="VAT 10%",0.1,0))))</f>
        <v/>
      </c>
      <c r="O73" s="13" t="str">
        <f aca="false">IF($C73="","",$L73*$N73)</f>
        <v/>
      </c>
      <c r="P73" s="13" t="str">
        <f aca="false">IF($C73="","",$L73+$O73)</f>
        <v/>
      </c>
      <c r="Q73" s="12"/>
      <c r="R73" s="13" t="str">
        <f aca="false">IF($C73="","",MAX(0,$P73-N($Q73)))</f>
        <v/>
      </c>
      <c r="S73" s="23" t="str">
        <f aca="false">IF(OR($C73="",$P73=0),"",IF(N($Q73)&lt;=0,"Chưa thanh toán",IF(N($Q73)&lt;$P73,"Thanh toán một phần","Đã thanh toán")))</f>
        <v/>
      </c>
      <c r="T73" s="13" t="str">
        <f aca="false">IF(OR($C73="",$J73=""),"",N($I73)*$J73)</f>
        <v/>
      </c>
      <c r="U73" s="13" t="str">
        <f aca="false">IF(OR($C73="",$T73=""),"",$L73-$T73)</f>
        <v/>
      </c>
      <c r="V73" s="14" t="str">
        <f aca="false">IF(OR($U73="",$L73=0),"",$U73/$L73)</f>
        <v/>
      </c>
      <c r="W73" s="11"/>
      <c r="X73" s="23" t="str">
        <f aca="false">IF($C73="","",IF(AND($H73="",N($I73)=0,N($K73)=0),"Dòng chỉ lưu thông tin khách (chưa có đơn); ",IF($B73="","Thiếu ngày đặt; ","")&amp;IF($H73="","Thiếu tên sản phẩm; ",IF($J73="","Chưa khai GIÁ GỐC ở BẢNG GIÁ GỐC; ",""))&amp;IF(N($I73)&lt;=0,"Thiếu số lượng; ","")&amp;IF(N($K73)&lt;=0,"Thiếu giá bán; ","")&amp;IF(AND($N73&gt;0,$F73=""),"Khách lấy VAT thiếu mã số thuế; ","")&amp;IF(N($Q73)&gt;$P73,"Đã thu vượt tổng phải thu; ","")&amp;IF(AND($L73&gt;0,$U73&lt;&gt;"",$U73&lt;0),"CẢNH BÁO: ĐƠN NÀY ĐANG LỖ; ","")))</f>
        <v/>
      </c>
    </row>
    <row r="74" customFormat="false" ht="15" hidden="false" customHeight="false" outlineLevel="0" collapsed="false">
      <c r="A74" s="21" t="str">
        <f aca="false">IF($C74="","",COUNTA($C$10:$C74))</f>
        <v/>
      </c>
      <c r="B74" s="18"/>
      <c r="C74" s="11"/>
      <c r="D74" s="11"/>
      <c r="E74" s="11"/>
      <c r="F74" s="11"/>
      <c r="G74" s="11"/>
      <c r="H74" s="11"/>
      <c r="I74" s="12"/>
      <c r="J74" s="13" t="str">
        <f aca="false">IF($H74="","",IFERROR(VLOOKUP($H74,'BẢNG GIÁ GỐC'!$A$5:$D$254,3,FALSE()),""))</f>
        <v/>
      </c>
      <c r="K74" s="12"/>
      <c r="L74" s="13" t="str">
        <f aca="false">IF($C74="","",N($I74)*N($K74))</f>
        <v/>
      </c>
      <c r="M74" s="11"/>
      <c r="N74" s="14" t="str">
        <f aca="false">IF($C74="","",IF($M74="VAT 5%",0.05,IF($M74="VAT 8%",0.08,IF($M74="VAT 10%",0.1,0))))</f>
        <v/>
      </c>
      <c r="O74" s="13" t="str">
        <f aca="false">IF($C74="","",$L74*$N74)</f>
        <v/>
      </c>
      <c r="P74" s="13" t="str">
        <f aca="false">IF($C74="","",$L74+$O74)</f>
        <v/>
      </c>
      <c r="Q74" s="12"/>
      <c r="R74" s="13" t="str">
        <f aca="false">IF($C74="","",MAX(0,$P74-N($Q74)))</f>
        <v/>
      </c>
      <c r="S74" s="23" t="str">
        <f aca="false">IF(OR($C74="",$P74=0),"",IF(N($Q74)&lt;=0,"Chưa thanh toán",IF(N($Q74)&lt;$P74,"Thanh toán một phần","Đã thanh toán")))</f>
        <v/>
      </c>
      <c r="T74" s="13" t="str">
        <f aca="false">IF(OR($C74="",$J74=""),"",N($I74)*$J74)</f>
        <v/>
      </c>
      <c r="U74" s="13" t="str">
        <f aca="false">IF(OR($C74="",$T74=""),"",$L74-$T74)</f>
        <v/>
      </c>
      <c r="V74" s="14" t="str">
        <f aca="false">IF(OR($U74="",$L74=0),"",$U74/$L74)</f>
        <v/>
      </c>
      <c r="W74" s="11"/>
      <c r="X74" s="23" t="str">
        <f aca="false">IF($C74="","",IF(AND($H74="",N($I74)=0,N($K74)=0),"Dòng chỉ lưu thông tin khách (chưa có đơn); ",IF($B74="","Thiếu ngày đặt; ","")&amp;IF($H74="","Thiếu tên sản phẩm; ",IF($J74="","Chưa khai GIÁ GỐC ở BẢNG GIÁ GỐC; ",""))&amp;IF(N($I74)&lt;=0,"Thiếu số lượng; ","")&amp;IF(N($K74)&lt;=0,"Thiếu giá bán; ","")&amp;IF(AND($N74&gt;0,$F74=""),"Khách lấy VAT thiếu mã số thuế; ","")&amp;IF(N($Q74)&gt;$P74,"Đã thu vượt tổng phải thu; ","")&amp;IF(AND($L74&gt;0,$U74&lt;&gt;"",$U74&lt;0),"CẢNH BÁO: ĐƠN NÀY ĐANG LỖ; ","")))</f>
        <v/>
      </c>
    </row>
    <row r="75" customFormat="false" ht="15" hidden="false" customHeight="false" outlineLevel="0" collapsed="false">
      <c r="A75" s="21" t="str">
        <f aca="false">IF($C75="","",COUNTA($C$10:$C75))</f>
        <v/>
      </c>
      <c r="B75" s="18"/>
      <c r="C75" s="11"/>
      <c r="D75" s="11"/>
      <c r="E75" s="11"/>
      <c r="F75" s="11"/>
      <c r="G75" s="11"/>
      <c r="H75" s="11"/>
      <c r="I75" s="12"/>
      <c r="J75" s="13" t="str">
        <f aca="false">IF($H75="","",IFERROR(VLOOKUP($H75,'BẢNG GIÁ GỐC'!$A$5:$D$254,3,FALSE()),""))</f>
        <v/>
      </c>
      <c r="K75" s="12"/>
      <c r="L75" s="13" t="str">
        <f aca="false">IF($C75="","",N($I75)*N($K75))</f>
        <v/>
      </c>
      <c r="M75" s="11"/>
      <c r="N75" s="14" t="str">
        <f aca="false">IF($C75="","",IF($M75="VAT 5%",0.05,IF($M75="VAT 8%",0.08,IF($M75="VAT 10%",0.1,0))))</f>
        <v/>
      </c>
      <c r="O75" s="13" t="str">
        <f aca="false">IF($C75="","",$L75*$N75)</f>
        <v/>
      </c>
      <c r="P75" s="13" t="str">
        <f aca="false">IF($C75="","",$L75+$O75)</f>
        <v/>
      </c>
      <c r="Q75" s="12"/>
      <c r="R75" s="13" t="str">
        <f aca="false">IF($C75="","",MAX(0,$P75-N($Q75)))</f>
        <v/>
      </c>
      <c r="S75" s="23" t="str">
        <f aca="false">IF(OR($C75="",$P75=0),"",IF(N($Q75)&lt;=0,"Chưa thanh toán",IF(N($Q75)&lt;$P75,"Thanh toán một phần","Đã thanh toán")))</f>
        <v/>
      </c>
      <c r="T75" s="13" t="str">
        <f aca="false">IF(OR($C75="",$J75=""),"",N($I75)*$J75)</f>
        <v/>
      </c>
      <c r="U75" s="13" t="str">
        <f aca="false">IF(OR($C75="",$T75=""),"",$L75-$T75)</f>
        <v/>
      </c>
      <c r="V75" s="14" t="str">
        <f aca="false">IF(OR($U75="",$L75=0),"",$U75/$L75)</f>
        <v/>
      </c>
      <c r="W75" s="11"/>
      <c r="X75" s="23" t="str">
        <f aca="false">IF($C75="","",IF(AND($H75="",N($I75)=0,N($K75)=0),"Dòng chỉ lưu thông tin khách (chưa có đơn); ",IF($B75="","Thiếu ngày đặt; ","")&amp;IF($H75="","Thiếu tên sản phẩm; ",IF($J75="","Chưa khai GIÁ GỐC ở BẢNG GIÁ GỐC; ",""))&amp;IF(N($I75)&lt;=0,"Thiếu số lượng; ","")&amp;IF(N($K75)&lt;=0,"Thiếu giá bán; ","")&amp;IF(AND($N75&gt;0,$F75=""),"Khách lấy VAT thiếu mã số thuế; ","")&amp;IF(N($Q75)&gt;$P75,"Đã thu vượt tổng phải thu; ","")&amp;IF(AND($L75&gt;0,$U75&lt;&gt;"",$U75&lt;0),"CẢNH BÁO: ĐƠN NÀY ĐANG LỖ; ","")))</f>
        <v/>
      </c>
    </row>
    <row r="76" customFormat="false" ht="15" hidden="false" customHeight="false" outlineLevel="0" collapsed="false">
      <c r="A76" s="21" t="str">
        <f aca="false">IF($C76="","",COUNTA($C$10:$C76))</f>
        <v/>
      </c>
      <c r="B76" s="18"/>
      <c r="C76" s="11"/>
      <c r="D76" s="11"/>
      <c r="E76" s="11"/>
      <c r="F76" s="11"/>
      <c r="G76" s="11"/>
      <c r="H76" s="11"/>
      <c r="I76" s="12"/>
      <c r="J76" s="13" t="str">
        <f aca="false">IF($H76="","",IFERROR(VLOOKUP($H76,'BẢNG GIÁ GỐC'!$A$5:$D$254,3,FALSE()),""))</f>
        <v/>
      </c>
      <c r="K76" s="12"/>
      <c r="L76" s="13" t="str">
        <f aca="false">IF($C76="","",N($I76)*N($K76))</f>
        <v/>
      </c>
      <c r="M76" s="11"/>
      <c r="N76" s="14" t="str">
        <f aca="false">IF($C76="","",IF($M76="VAT 5%",0.05,IF($M76="VAT 8%",0.08,IF($M76="VAT 10%",0.1,0))))</f>
        <v/>
      </c>
      <c r="O76" s="13" t="str">
        <f aca="false">IF($C76="","",$L76*$N76)</f>
        <v/>
      </c>
      <c r="P76" s="13" t="str">
        <f aca="false">IF($C76="","",$L76+$O76)</f>
        <v/>
      </c>
      <c r="Q76" s="12"/>
      <c r="R76" s="13" t="str">
        <f aca="false">IF($C76="","",MAX(0,$P76-N($Q76)))</f>
        <v/>
      </c>
      <c r="S76" s="23" t="str">
        <f aca="false">IF(OR($C76="",$P76=0),"",IF(N($Q76)&lt;=0,"Chưa thanh toán",IF(N($Q76)&lt;$P76,"Thanh toán một phần","Đã thanh toán")))</f>
        <v/>
      </c>
      <c r="T76" s="13" t="str">
        <f aca="false">IF(OR($C76="",$J76=""),"",N($I76)*$J76)</f>
        <v/>
      </c>
      <c r="U76" s="13" t="str">
        <f aca="false">IF(OR($C76="",$T76=""),"",$L76-$T76)</f>
        <v/>
      </c>
      <c r="V76" s="14" t="str">
        <f aca="false">IF(OR($U76="",$L76=0),"",$U76/$L76)</f>
        <v/>
      </c>
      <c r="W76" s="11"/>
      <c r="X76" s="23" t="str">
        <f aca="false">IF($C76="","",IF(AND($H76="",N($I76)=0,N($K76)=0),"Dòng chỉ lưu thông tin khách (chưa có đơn); ",IF($B76="","Thiếu ngày đặt; ","")&amp;IF($H76="","Thiếu tên sản phẩm; ",IF($J76="","Chưa khai GIÁ GỐC ở BẢNG GIÁ GỐC; ",""))&amp;IF(N($I76)&lt;=0,"Thiếu số lượng; ","")&amp;IF(N($K76)&lt;=0,"Thiếu giá bán; ","")&amp;IF(AND($N76&gt;0,$F76=""),"Khách lấy VAT thiếu mã số thuế; ","")&amp;IF(N($Q76)&gt;$P76,"Đã thu vượt tổng phải thu; ","")&amp;IF(AND($L76&gt;0,$U76&lt;&gt;"",$U76&lt;0),"CẢNH BÁO: ĐƠN NÀY ĐANG LỖ; ","")))</f>
        <v/>
      </c>
    </row>
    <row r="77" customFormat="false" ht="15" hidden="false" customHeight="false" outlineLevel="0" collapsed="false">
      <c r="A77" s="21" t="str">
        <f aca="false">IF($C77="","",COUNTA($C$10:$C77))</f>
        <v/>
      </c>
      <c r="B77" s="18"/>
      <c r="C77" s="11"/>
      <c r="D77" s="11"/>
      <c r="E77" s="11"/>
      <c r="F77" s="11"/>
      <c r="G77" s="11"/>
      <c r="H77" s="11"/>
      <c r="I77" s="12"/>
      <c r="J77" s="13" t="str">
        <f aca="false">IF($H77="","",IFERROR(VLOOKUP($H77,'BẢNG GIÁ GỐC'!$A$5:$D$254,3,FALSE()),""))</f>
        <v/>
      </c>
      <c r="K77" s="12"/>
      <c r="L77" s="13" t="str">
        <f aca="false">IF($C77="","",N($I77)*N($K77))</f>
        <v/>
      </c>
      <c r="M77" s="11"/>
      <c r="N77" s="14" t="str">
        <f aca="false">IF($C77="","",IF($M77="VAT 5%",0.05,IF($M77="VAT 8%",0.08,IF($M77="VAT 10%",0.1,0))))</f>
        <v/>
      </c>
      <c r="O77" s="13" t="str">
        <f aca="false">IF($C77="","",$L77*$N77)</f>
        <v/>
      </c>
      <c r="P77" s="13" t="str">
        <f aca="false">IF($C77="","",$L77+$O77)</f>
        <v/>
      </c>
      <c r="Q77" s="12"/>
      <c r="R77" s="13" t="str">
        <f aca="false">IF($C77="","",MAX(0,$P77-N($Q77)))</f>
        <v/>
      </c>
      <c r="S77" s="23" t="str">
        <f aca="false">IF(OR($C77="",$P77=0),"",IF(N($Q77)&lt;=0,"Chưa thanh toán",IF(N($Q77)&lt;$P77,"Thanh toán một phần","Đã thanh toán")))</f>
        <v/>
      </c>
      <c r="T77" s="13" t="str">
        <f aca="false">IF(OR($C77="",$J77=""),"",N($I77)*$J77)</f>
        <v/>
      </c>
      <c r="U77" s="13" t="str">
        <f aca="false">IF(OR($C77="",$T77=""),"",$L77-$T77)</f>
        <v/>
      </c>
      <c r="V77" s="14" t="str">
        <f aca="false">IF(OR($U77="",$L77=0),"",$U77/$L77)</f>
        <v/>
      </c>
      <c r="W77" s="11"/>
      <c r="X77" s="23" t="str">
        <f aca="false">IF($C77="","",IF(AND($H77="",N($I77)=0,N($K77)=0),"Dòng chỉ lưu thông tin khách (chưa có đơn); ",IF($B77="","Thiếu ngày đặt; ","")&amp;IF($H77="","Thiếu tên sản phẩm; ",IF($J77="","Chưa khai GIÁ GỐC ở BẢNG GIÁ GỐC; ",""))&amp;IF(N($I77)&lt;=0,"Thiếu số lượng; ","")&amp;IF(N($K77)&lt;=0,"Thiếu giá bán; ","")&amp;IF(AND($N77&gt;0,$F77=""),"Khách lấy VAT thiếu mã số thuế; ","")&amp;IF(N($Q77)&gt;$P77,"Đã thu vượt tổng phải thu; ","")&amp;IF(AND($L77&gt;0,$U77&lt;&gt;"",$U77&lt;0),"CẢNH BÁO: ĐƠN NÀY ĐANG LỖ; ","")))</f>
        <v/>
      </c>
    </row>
    <row r="78" customFormat="false" ht="15" hidden="false" customHeight="false" outlineLevel="0" collapsed="false">
      <c r="A78" s="21" t="str">
        <f aca="false">IF($C78="","",COUNTA($C$10:$C78))</f>
        <v/>
      </c>
      <c r="B78" s="18"/>
      <c r="C78" s="11"/>
      <c r="D78" s="11"/>
      <c r="E78" s="11"/>
      <c r="F78" s="11"/>
      <c r="G78" s="11"/>
      <c r="H78" s="11"/>
      <c r="I78" s="12"/>
      <c r="J78" s="13" t="str">
        <f aca="false">IF($H78="","",IFERROR(VLOOKUP($H78,'BẢNG GIÁ GỐC'!$A$5:$D$254,3,FALSE()),""))</f>
        <v/>
      </c>
      <c r="K78" s="12"/>
      <c r="L78" s="13" t="str">
        <f aca="false">IF($C78="","",N($I78)*N($K78))</f>
        <v/>
      </c>
      <c r="M78" s="11"/>
      <c r="N78" s="14" t="str">
        <f aca="false">IF($C78="","",IF($M78="VAT 5%",0.05,IF($M78="VAT 8%",0.08,IF($M78="VAT 10%",0.1,0))))</f>
        <v/>
      </c>
      <c r="O78" s="13" t="str">
        <f aca="false">IF($C78="","",$L78*$N78)</f>
        <v/>
      </c>
      <c r="P78" s="13" t="str">
        <f aca="false">IF($C78="","",$L78+$O78)</f>
        <v/>
      </c>
      <c r="Q78" s="12"/>
      <c r="R78" s="13" t="str">
        <f aca="false">IF($C78="","",MAX(0,$P78-N($Q78)))</f>
        <v/>
      </c>
      <c r="S78" s="23" t="str">
        <f aca="false">IF(OR($C78="",$P78=0),"",IF(N($Q78)&lt;=0,"Chưa thanh toán",IF(N($Q78)&lt;$P78,"Thanh toán một phần","Đã thanh toán")))</f>
        <v/>
      </c>
      <c r="T78" s="13" t="str">
        <f aca="false">IF(OR($C78="",$J78=""),"",N($I78)*$J78)</f>
        <v/>
      </c>
      <c r="U78" s="13" t="str">
        <f aca="false">IF(OR($C78="",$T78=""),"",$L78-$T78)</f>
        <v/>
      </c>
      <c r="V78" s="14" t="str">
        <f aca="false">IF(OR($U78="",$L78=0),"",$U78/$L78)</f>
        <v/>
      </c>
      <c r="W78" s="11"/>
      <c r="X78" s="23" t="str">
        <f aca="false">IF($C78="","",IF(AND($H78="",N($I78)=0,N($K78)=0),"Dòng chỉ lưu thông tin khách (chưa có đơn); ",IF($B78="","Thiếu ngày đặt; ","")&amp;IF($H78="","Thiếu tên sản phẩm; ",IF($J78="","Chưa khai GIÁ GỐC ở BẢNG GIÁ GỐC; ",""))&amp;IF(N($I78)&lt;=0,"Thiếu số lượng; ","")&amp;IF(N($K78)&lt;=0,"Thiếu giá bán; ","")&amp;IF(AND($N78&gt;0,$F78=""),"Khách lấy VAT thiếu mã số thuế; ","")&amp;IF(N($Q78)&gt;$P78,"Đã thu vượt tổng phải thu; ","")&amp;IF(AND($L78&gt;0,$U78&lt;&gt;"",$U78&lt;0),"CẢNH BÁO: ĐƠN NÀY ĐANG LỖ; ","")))</f>
        <v/>
      </c>
    </row>
    <row r="79" customFormat="false" ht="15" hidden="false" customHeight="false" outlineLevel="0" collapsed="false">
      <c r="A79" s="21" t="str">
        <f aca="false">IF($C79="","",COUNTA($C$10:$C79))</f>
        <v/>
      </c>
      <c r="B79" s="18"/>
      <c r="C79" s="11"/>
      <c r="D79" s="11"/>
      <c r="E79" s="11"/>
      <c r="F79" s="11"/>
      <c r="G79" s="11"/>
      <c r="H79" s="11"/>
      <c r="I79" s="12"/>
      <c r="J79" s="13" t="str">
        <f aca="false">IF($H79="","",IFERROR(VLOOKUP($H79,'BẢNG GIÁ GỐC'!$A$5:$D$254,3,FALSE()),""))</f>
        <v/>
      </c>
      <c r="K79" s="12"/>
      <c r="L79" s="13" t="str">
        <f aca="false">IF($C79="","",N($I79)*N($K79))</f>
        <v/>
      </c>
      <c r="M79" s="11"/>
      <c r="N79" s="14" t="str">
        <f aca="false">IF($C79="","",IF($M79="VAT 5%",0.05,IF($M79="VAT 8%",0.08,IF($M79="VAT 10%",0.1,0))))</f>
        <v/>
      </c>
      <c r="O79" s="13" t="str">
        <f aca="false">IF($C79="","",$L79*$N79)</f>
        <v/>
      </c>
      <c r="P79" s="13" t="str">
        <f aca="false">IF($C79="","",$L79+$O79)</f>
        <v/>
      </c>
      <c r="Q79" s="12"/>
      <c r="R79" s="13" t="str">
        <f aca="false">IF($C79="","",MAX(0,$P79-N($Q79)))</f>
        <v/>
      </c>
      <c r="S79" s="23" t="str">
        <f aca="false">IF(OR($C79="",$P79=0),"",IF(N($Q79)&lt;=0,"Chưa thanh toán",IF(N($Q79)&lt;$P79,"Thanh toán một phần","Đã thanh toán")))</f>
        <v/>
      </c>
      <c r="T79" s="13" t="str">
        <f aca="false">IF(OR($C79="",$J79=""),"",N($I79)*$J79)</f>
        <v/>
      </c>
      <c r="U79" s="13" t="str">
        <f aca="false">IF(OR($C79="",$T79=""),"",$L79-$T79)</f>
        <v/>
      </c>
      <c r="V79" s="14" t="str">
        <f aca="false">IF(OR($U79="",$L79=0),"",$U79/$L79)</f>
        <v/>
      </c>
      <c r="W79" s="11"/>
      <c r="X79" s="23" t="str">
        <f aca="false">IF($C79="","",IF(AND($H79="",N($I79)=0,N($K79)=0),"Dòng chỉ lưu thông tin khách (chưa có đơn); ",IF($B79="","Thiếu ngày đặt; ","")&amp;IF($H79="","Thiếu tên sản phẩm; ",IF($J79="","Chưa khai GIÁ GỐC ở BẢNG GIÁ GỐC; ",""))&amp;IF(N($I79)&lt;=0,"Thiếu số lượng; ","")&amp;IF(N($K79)&lt;=0,"Thiếu giá bán; ","")&amp;IF(AND($N79&gt;0,$F79=""),"Khách lấy VAT thiếu mã số thuế; ","")&amp;IF(N($Q79)&gt;$P79,"Đã thu vượt tổng phải thu; ","")&amp;IF(AND($L79&gt;0,$U79&lt;&gt;"",$U79&lt;0),"CẢNH BÁO: ĐƠN NÀY ĐANG LỖ; ","")))</f>
        <v/>
      </c>
    </row>
    <row r="80" customFormat="false" ht="15" hidden="false" customHeight="false" outlineLevel="0" collapsed="false">
      <c r="A80" s="21" t="str">
        <f aca="false">IF($C80="","",COUNTA($C$10:$C80))</f>
        <v/>
      </c>
      <c r="B80" s="18"/>
      <c r="C80" s="11"/>
      <c r="D80" s="11"/>
      <c r="E80" s="11"/>
      <c r="F80" s="11"/>
      <c r="G80" s="11"/>
      <c r="H80" s="11"/>
      <c r="I80" s="12"/>
      <c r="J80" s="13" t="str">
        <f aca="false">IF($H80="","",IFERROR(VLOOKUP($H80,'BẢNG GIÁ GỐC'!$A$5:$D$254,3,FALSE()),""))</f>
        <v/>
      </c>
      <c r="K80" s="12"/>
      <c r="L80" s="13" t="str">
        <f aca="false">IF($C80="","",N($I80)*N($K80))</f>
        <v/>
      </c>
      <c r="M80" s="11"/>
      <c r="N80" s="14" t="str">
        <f aca="false">IF($C80="","",IF($M80="VAT 5%",0.05,IF($M80="VAT 8%",0.08,IF($M80="VAT 10%",0.1,0))))</f>
        <v/>
      </c>
      <c r="O80" s="13" t="str">
        <f aca="false">IF($C80="","",$L80*$N80)</f>
        <v/>
      </c>
      <c r="P80" s="13" t="str">
        <f aca="false">IF($C80="","",$L80+$O80)</f>
        <v/>
      </c>
      <c r="Q80" s="12"/>
      <c r="R80" s="13" t="str">
        <f aca="false">IF($C80="","",MAX(0,$P80-N($Q80)))</f>
        <v/>
      </c>
      <c r="S80" s="23" t="str">
        <f aca="false">IF(OR($C80="",$P80=0),"",IF(N($Q80)&lt;=0,"Chưa thanh toán",IF(N($Q80)&lt;$P80,"Thanh toán một phần","Đã thanh toán")))</f>
        <v/>
      </c>
      <c r="T80" s="13" t="str">
        <f aca="false">IF(OR($C80="",$J80=""),"",N($I80)*$J80)</f>
        <v/>
      </c>
      <c r="U80" s="13" t="str">
        <f aca="false">IF(OR($C80="",$T80=""),"",$L80-$T80)</f>
        <v/>
      </c>
      <c r="V80" s="14" t="str">
        <f aca="false">IF(OR($U80="",$L80=0),"",$U80/$L80)</f>
        <v/>
      </c>
      <c r="W80" s="11"/>
      <c r="X80" s="23" t="str">
        <f aca="false">IF($C80="","",IF(AND($H80="",N($I80)=0,N($K80)=0),"Dòng chỉ lưu thông tin khách (chưa có đơn); ",IF($B80="","Thiếu ngày đặt; ","")&amp;IF($H80="","Thiếu tên sản phẩm; ",IF($J80="","Chưa khai GIÁ GỐC ở BẢNG GIÁ GỐC; ",""))&amp;IF(N($I80)&lt;=0,"Thiếu số lượng; ","")&amp;IF(N($K80)&lt;=0,"Thiếu giá bán; ","")&amp;IF(AND($N80&gt;0,$F80=""),"Khách lấy VAT thiếu mã số thuế; ","")&amp;IF(N($Q80)&gt;$P80,"Đã thu vượt tổng phải thu; ","")&amp;IF(AND($L80&gt;0,$U80&lt;&gt;"",$U80&lt;0),"CẢNH BÁO: ĐƠN NÀY ĐANG LỖ; ","")))</f>
        <v/>
      </c>
    </row>
    <row r="81" customFormat="false" ht="15" hidden="false" customHeight="false" outlineLevel="0" collapsed="false">
      <c r="A81" s="21" t="str">
        <f aca="false">IF($C81="","",COUNTA($C$10:$C81))</f>
        <v/>
      </c>
      <c r="B81" s="18"/>
      <c r="C81" s="11"/>
      <c r="D81" s="11"/>
      <c r="E81" s="11"/>
      <c r="F81" s="11"/>
      <c r="G81" s="11"/>
      <c r="H81" s="11"/>
      <c r="I81" s="12"/>
      <c r="J81" s="13" t="str">
        <f aca="false">IF($H81="","",IFERROR(VLOOKUP($H81,'BẢNG GIÁ GỐC'!$A$5:$D$254,3,FALSE()),""))</f>
        <v/>
      </c>
      <c r="K81" s="12"/>
      <c r="L81" s="13" t="str">
        <f aca="false">IF($C81="","",N($I81)*N($K81))</f>
        <v/>
      </c>
      <c r="M81" s="11"/>
      <c r="N81" s="14" t="str">
        <f aca="false">IF($C81="","",IF($M81="VAT 5%",0.05,IF($M81="VAT 8%",0.08,IF($M81="VAT 10%",0.1,0))))</f>
        <v/>
      </c>
      <c r="O81" s="13" t="str">
        <f aca="false">IF($C81="","",$L81*$N81)</f>
        <v/>
      </c>
      <c r="P81" s="13" t="str">
        <f aca="false">IF($C81="","",$L81+$O81)</f>
        <v/>
      </c>
      <c r="Q81" s="12"/>
      <c r="R81" s="13" t="str">
        <f aca="false">IF($C81="","",MAX(0,$P81-N($Q81)))</f>
        <v/>
      </c>
      <c r="S81" s="23" t="str">
        <f aca="false">IF(OR($C81="",$P81=0),"",IF(N($Q81)&lt;=0,"Chưa thanh toán",IF(N($Q81)&lt;$P81,"Thanh toán một phần","Đã thanh toán")))</f>
        <v/>
      </c>
      <c r="T81" s="13" t="str">
        <f aca="false">IF(OR($C81="",$J81=""),"",N($I81)*$J81)</f>
        <v/>
      </c>
      <c r="U81" s="13" t="str">
        <f aca="false">IF(OR($C81="",$T81=""),"",$L81-$T81)</f>
        <v/>
      </c>
      <c r="V81" s="14" t="str">
        <f aca="false">IF(OR($U81="",$L81=0),"",$U81/$L81)</f>
        <v/>
      </c>
      <c r="W81" s="11"/>
      <c r="X81" s="23" t="str">
        <f aca="false">IF($C81="","",IF(AND($H81="",N($I81)=0,N($K81)=0),"Dòng chỉ lưu thông tin khách (chưa có đơn); ",IF($B81="","Thiếu ngày đặt; ","")&amp;IF($H81="","Thiếu tên sản phẩm; ",IF($J81="","Chưa khai GIÁ GỐC ở BẢNG GIÁ GỐC; ",""))&amp;IF(N($I81)&lt;=0,"Thiếu số lượng; ","")&amp;IF(N($K81)&lt;=0,"Thiếu giá bán; ","")&amp;IF(AND($N81&gt;0,$F81=""),"Khách lấy VAT thiếu mã số thuế; ","")&amp;IF(N($Q81)&gt;$P81,"Đã thu vượt tổng phải thu; ","")&amp;IF(AND($L81&gt;0,$U81&lt;&gt;"",$U81&lt;0),"CẢNH BÁO: ĐƠN NÀY ĐANG LỖ; ","")))</f>
        <v/>
      </c>
    </row>
    <row r="82" customFormat="false" ht="15" hidden="false" customHeight="false" outlineLevel="0" collapsed="false">
      <c r="A82" s="21" t="str">
        <f aca="false">IF($C82="","",COUNTA($C$10:$C82))</f>
        <v/>
      </c>
      <c r="B82" s="18"/>
      <c r="C82" s="11"/>
      <c r="D82" s="11"/>
      <c r="E82" s="11"/>
      <c r="F82" s="11"/>
      <c r="G82" s="11"/>
      <c r="H82" s="11"/>
      <c r="I82" s="12"/>
      <c r="J82" s="13" t="str">
        <f aca="false">IF($H82="","",IFERROR(VLOOKUP($H82,'BẢNG GIÁ GỐC'!$A$5:$D$254,3,FALSE()),""))</f>
        <v/>
      </c>
      <c r="K82" s="12"/>
      <c r="L82" s="13" t="str">
        <f aca="false">IF($C82="","",N($I82)*N($K82))</f>
        <v/>
      </c>
      <c r="M82" s="11"/>
      <c r="N82" s="14" t="str">
        <f aca="false">IF($C82="","",IF($M82="VAT 5%",0.05,IF($M82="VAT 8%",0.08,IF($M82="VAT 10%",0.1,0))))</f>
        <v/>
      </c>
      <c r="O82" s="13" t="str">
        <f aca="false">IF($C82="","",$L82*$N82)</f>
        <v/>
      </c>
      <c r="P82" s="13" t="str">
        <f aca="false">IF($C82="","",$L82+$O82)</f>
        <v/>
      </c>
      <c r="Q82" s="12"/>
      <c r="R82" s="13" t="str">
        <f aca="false">IF($C82="","",MAX(0,$P82-N($Q82)))</f>
        <v/>
      </c>
      <c r="S82" s="23" t="str">
        <f aca="false">IF(OR($C82="",$P82=0),"",IF(N($Q82)&lt;=0,"Chưa thanh toán",IF(N($Q82)&lt;$P82,"Thanh toán một phần","Đã thanh toán")))</f>
        <v/>
      </c>
      <c r="T82" s="13" t="str">
        <f aca="false">IF(OR($C82="",$J82=""),"",N($I82)*$J82)</f>
        <v/>
      </c>
      <c r="U82" s="13" t="str">
        <f aca="false">IF(OR($C82="",$T82=""),"",$L82-$T82)</f>
        <v/>
      </c>
      <c r="V82" s="14" t="str">
        <f aca="false">IF(OR($U82="",$L82=0),"",$U82/$L82)</f>
        <v/>
      </c>
      <c r="W82" s="11"/>
      <c r="X82" s="23" t="str">
        <f aca="false">IF($C82="","",IF(AND($H82="",N($I82)=0,N($K82)=0),"Dòng chỉ lưu thông tin khách (chưa có đơn); ",IF($B82="","Thiếu ngày đặt; ","")&amp;IF($H82="","Thiếu tên sản phẩm; ",IF($J82="","Chưa khai GIÁ GỐC ở BẢNG GIÁ GỐC; ",""))&amp;IF(N($I82)&lt;=0,"Thiếu số lượng; ","")&amp;IF(N($K82)&lt;=0,"Thiếu giá bán; ","")&amp;IF(AND($N82&gt;0,$F82=""),"Khách lấy VAT thiếu mã số thuế; ","")&amp;IF(N($Q82)&gt;$P82,"Đã thu vượt tổng phải thu; ","")&amp;IF(AND($L82&gt;0,$U82&lt;&gt;"",$U82&lt;0),"CẢNH BÁO: ĐƠN NÀY ĐANG LỖ; ","")))</f>
        <v/>
      </c>
    </row>
    <row r="83" customFormat="false" ht="15" hidden="false" customHeight="false" outlineLevel="0" collapsed="false">
      <c r="A83" s="21" t="str">
        <f aca="false">IF($C83="","",COUNTA($C$10:$C83))</f>
        <v/>
      </c>
      <c r="B83" s="18"/>
      <c r="C83" s="11"/>
      <c r="D83" s="11"/>
      <c r="E83" s="11"/>
      <c r="F83" s="11"/>
      <c r="G83" s="11"/>
      <c r="H83" s="11"/>
      <c r="I83" s="12"/>
      <c r="J83" s="13" t="str">
        <f aca="false">IF($H83="","",IFERROR(VLOOKUP($H83,'BẢNG GIÁ GỐC'!$A$5:$D$254,3,FALSE()),""))</f>
        <v/>
      </c>
      <c r="K83" s="12"/>
      <c r="L83" s="13" t="str">
        <f aca="false">IF($C83="","",N($I83)*N($K83))</f>
        <v/>
      </c>
      <c r="M83" s="11"/>
      <c r="N83" s="14" t="str">
        <f aca="false">IF($C83="","",IF($M83="VAT 5%",0.05,IF($M83="VAT 8%",0.08,IF($M83="VAT 10%",0.1,0))))</f>
        <v/>
      </c>
      <c r="O83" s="13" t="str">
        <f aca="false">IF($C83="","",$L83*$N83)</f>
        <v/>
      </c>
      <c r="P83" s="13" t="str">
        <f aca="false">IF($C83="","",$L83+$O83)</f>
        <v/>
      </c>
      <c r="Q83" s="12"/>
      <c r="R83" s="13" t="str">
        <f aca="false">IF($C83="","",MAX(0,$P83-N($Q83)))</f>
        <v/>
      </c>
      <c r="S83" s="23" t="str">
        <f aca="false">IF(OR($C83="",$P83=0),"",IF(N($Q83)&lt;=0,"Chưa thanh toán",IF(N($Q83)&lt;$P83,"Thanh toán một phần","Đã thanh toán")))</f>
        <v/>
      </c>
      <c r="T83" s="13" t="str">
        <f aca="false">IF(OR($C83="",$J83=""),"",N($I83)*$J83)</f>
        <v/>
      </c>
      <c r="U83" s="13" t="str">
        <f aca="false">IF(OR($C83="",$T83=""),"",$L83-$T83)</f>
        <v/>
      </c>
      <c r="V83" s="14" t="str">
        <f aca="false">IF(OR($U83="",$L83=0),"",$U83/$L83)</f>
        <v/>
      </c>
      <c r="W83" s="11"/>
      <c r="X83" s="23" t="str">
        <f aca="false">IF($C83="","",IF(AND($H83="",N($I83)=0,N($K83)=0),"Dòng chỉ lưu thông tin khách (chưa có đơn); ",IF($B83="","Thiếu ngày đặt; ","")&amp;IF($H83="","Thiếu tên sản phẩm; ",IF($J83="","Chưa khai GIÁ GỐC ở BẢNG GIÁ GỐC; ",""))&amp;IF(N($I83)&lt;=0,"Thiếu số lượng; ","")&amp;IF(N($K83)&lt;=0,"Thiếu giá bán; ","")&amp;IF(AND($N83&gt;0,$F83=""),"Khách lấy VAT thiếu mã số thuế; ","")&amp;IF(N($Q83)&gt;$P83,"Đã thu vượt tổng phải thu; ","")&amp;IF(AND($L83&gt;0,$U83&lt;&gt;"",$U83&lt;0),"CẢNH BÁO: ĐƠN NÀY ĐANG LỖ; ","")))</f>
        <v/>
      </c>
    </row>
    <row r="84" customFormat="false" ht="15" hidden="false" customHeight="false" outlineLevel="0" collapsed="false">
      <c r="A84" s="21" t="str">
        <f aca="false">IF($C84="","",COUNTA($C$10:$C84))</f>
        <v/>
      </c>
      <c r="B84" s="18"/>
      <c r="C84" s="11"/>
      <c r="D84" s="11"/>
      <c r="E84" s="11"/>
      <c r="F84" s="11"/>
      <c r="G84" s="11"/>
      <c r="H84" s="11"/>
      <c r="I84" s="12"/>
      <c r="J84" s="13" t="str">
        <f aca="false">IF($H84="","",IFERROR(VLOOKUP($H84,'BẢNG GIÁ GỐC'!$A$5:$D$254,3,FALSE()),""))</f>
        <v/>
      </c>
      <c r="K84" s="12"/>
      <c r="L84" s="13" t="str">
        <f aca="false">IF($C84="","",N($I84)*N($K84))</f>
        <v/>
      </c>
      <c r="M84" s="11"/>
      <c r="N84" s="14" t="str">
        <f aca="false">IF($C84="","",IF($M84="VAT 5%",0.05,IF($M84="VAT 8%",0.08,IF($M84="VAT 10%",0.1,0))))</f>
        <v/>
      </c>
      <c r="O84" s="13" t="str">
        <f aca="false">IF($C84="","",$L84*$N84)</f>
        <v/>
      </c>
      <c r="P84" s="13" t="str">
        <f aca="false">IF($C84="","",$L84+$O84)</f>
        <v/>
      </c>
      <c r="Q84" s="12"/>
      <c r="R84" s="13" t="str">
        <f aca="false">IF($C84="","",MAX(0,$P84-N($Q84)))</f>
        <v/>
      </c>
      <c r="S84" s="23" t="str">
        <f aca="false">IF(OR($C84="",$P84=0),"",IF(N($Q84)&lt;=0,"Chưa thanh toán",IF(N($Q84)&lt;$P84,"Thanh toán một phần","Đã thanh toán")))</f>
        <v/>
      </c>
      <c r="T84" s="13" t="str">
        <f aca="false">IF(OR($C84="",$J84=""),"",N($I84)*$J84)</f>
        <v/>
      </c>
      <c r="U84" s="13" t="str">
        <f aca="false">IF(OR($C84="",$T84=""),"",$L84-$T84)</f>
        <v/>
      </c>
      <c r="V84" s="14" t="str">
        <f aca="false">IF(OR($U84="",$L84=0),"",$U84/$L84)</f>
        <v/>
      </c>
      <c r="W84" s="11"/>
      <c r="X84" s="23" t="str">
        <f aca="false">IF($C84="","",IF(AND($H84="",N($I84)=0,N($K84)=0),"Dòng chỉ lưu thông tin khách (chưa có đơn); ",IF($B84="","Thiếu ngày đặt; ","")&amp;IF($H84="","Thiếu tên sản phẩm; ",IF($J84="","Chưa khai GIÁ GỐC ở BẢNG GIÁ GỐC; ",""))&amp;IF(N($I84)&lt;=0,"Thiếu số lượng; ","")&amp;IF(N($K84)&lt;=0,"Thiếu giá bán; ","")&amp;IF(AND($N84&gt;0,$F84=""),"Khách lấy VAT thiếu mã số thuế; ","")&amp;IF(N($Q84)&gt;$P84,"Đã thu vượt tổng phải thu; ","")&amp;IF(AND($L84&gt;0,$U84&lt;&gt;"",$U84&lt;0),"CẢNH BÁO: ĐƠN NÀY ĐANG LỖ; ","")))</f>
        <v/>
      </c>
    </row>
    <row r="85" customFormat="false" ht="15" hidden="false" customHeight="false" outlineLevel="0" collapsed="false">
      <c r="A85" s="21" t="str">
        <f aca="false">IF($C85="","",COUNTA($C$10:$C85))</f>
        <v/>
      </c>
      <c r="B85" s="18"/>
      <c r="C85" s="11"/>
      <c r="D85" s="11"/>
      <c r="E85" s="11"/>
      <c r="F85" s="11"/>
      <c r="G85" s="11"/>
      <c r="H85" s="11"/>
      <c r="I85" s="12"/>
      <c r="J85" s="13" t="str">
        <f aca="false">IF($H85="","",IFERROR(VLOOKUP($H85,'BẢNG GIÁ GỐC'!$A$5:$D$254,3,FALSE()),""))</f>
        <v/>
      </c>
      <c r="K85" s="12"/>
      <c r="L85" s="13" t="str">
        <f aca="false">IF($C85="","",N($I85)*N($K85))</f>
        <v/>
      </c>
      <c r="M85" s="11"/>
      <c r="N85" s="14" t="str">
        <f aca="false">IF($C85="","",IF($M85="VAT 5%",0.05,IF($M85="VAT 8%",0.08,IF($M85="VAT 10%",0.1,0))))</f>
        <v/>
      </c>
      <c r="O85" s="13" t="str">
        <f aca="false">IF($C85="","",$L85*$N85)</f>
        <v/>
      </c>
      <c r="P85" s="13" t="str">
        <f aca="false">IF($C85="","",$L85+$O85)</f>
        <v/>
      </c>
      <c r="Q85" s="12"/>
      <c r="R85" s="13" t="str">
        <f aca="false">IF($C85="","",MAX(0,$P85-N($Q85)))</f>
        <v/>
      </c>
      <c r="S85" s="23" t="str">
        <f aca="false">IF(OR($C85="",$P85=0),"",IF(N($Q85)&lt;=0,"Chưa thanh toán",IF(N($Q85)&lt;$P85,"Thanh toán một phần","Đã thanh toán")))</f>
        <v/>
      </c>
      <c r="T85" s="13" t="str">
        <f aca="false">IF(OR($C85="",$J85=""),"",N($I85)*$J85)</f>
        <v/>
      </c>
      <c r="U85" s="13" t="str">
        <f aca="false">IF(OR($C85="",$T85=""),"",$L85-$T85)</f>
        <v/>
      </c>
      <c r="V85" s="14" t="str">
        <f aca="false">IF(OR($U85="",$L85=0),"",$U85/$L85)</f>
        <v/>
      </c>
      <c r="W85" s="11"/>
      <c r="X85" s="23" t="str">
        <f aca="false">IF($C85="","",IF(AND($H85="",N($I85)=0,N($K85)=0),"Dòng chỉ lưu thông tin khách (chưa có đơn); ",IF($B85="","Thiếu ngày đặt; ","")&amp;IF($H85="","Thiếu tên sản phẩm; ",IF($J85="","Chưa khai GIÁ GỐC ở BẢNG GIÁ GỐC; ",""))&amp;IF(N($I85)&lt;=0,"Thiếu số lượng; ","")&amp;IF(N($K85)&lt;=0,"Thiếu giá bán; ","")&amp;IF(AND($N85&gt;0,$F85=""),"Khách lấy VAT thiếu mã số thuế; ","")&amp;IF(N($Q85)&gt;$P85,"Đã thu vượt tổng phải thu; ","")&amp;IF(AND($L85&gt;0,$U85&lt;&gt;"",$U85&lt;0),"CẢNH BÁO: ĐƠN NÀY ĐANG LỖ; ","")))</f>
        <v/>
      </c>
    </row>
    <row r="86" customFormat="false" ht="15" hidden="false" customHeight="false" outlineLevel="0" collapsed="false">
      <c r="A86" s="21" t="str">
        <f aca="false">IF($C86="","",COUNTA($C$10:$C86))</f>
        <v/>
      </c>
      <c r="B86" s="18"/>
      <c r="C86" s="11"/>
      <c r="D86" s="11"/>
      <c r="E86" s="11"/>
      <c r="F86" s="11"/>
      <c r="G86" s="11"/>
      <c r="H86" s="11"/>
      <c r="I86" s="12"/>
      <c r="J86" s="13" t="str">
        <f aca="false">IF($H86="","",IFERROR(VLOOKUP($H86,'BẢNG GIÁ GỐC'!$A$5:$D$254,3,FALSE()),""))</f>
        <v/>
      </c>
      <c r="K86" s="12"/>
      <c r="L86" s="13" t="str">
        <f aca="false">IF($C86="","",N($I86)*N($K86))</f>
        <v/>
      </c>
      <c r="M86" s="11"/>
      <c r="N86" s="14" t="str">
        <f aca="false">IF($C86="","",IF($M86="VAT 5%",0.05,IF($M86="VAT 8%",0.08,IF($M86="VAT 10%",0.1,0))))</f>
        <v/>
      </c>
      <c r="O86" s="13" t="str">
        <f aca="false">IF($C86="","",$L86*$N86)</f>
        <v/>
      </c>
      <c r="P86" s="13" t="str">
        <f aca="false">IF($C86="","",$L86+$O86)</f>
        <v/>
      </c>
      <c r="Q86" s="12"/>
      <c r="R86" s="13" t="str">
        <f aca="false">IF($C86="","",MAX(0,$P86-N($Q86)))</f>
        <v/>
      </c>
      <c r="S86" s="23" t="str">
        <f aca="false">IF(OR($C86="",$P86=0),"",IF(N($Q86)&lt;=0,"Chưa thanh toán",IF(N($Q86)&lt;$P86,"Thanh toán một phần","Đã thanh toán")))</f>
        <v/>
      </c>
      <c r="T86" s="13" t="str">
        <f aca="false">IF(OR($C86="",$J86=""),"",N($I86)*$J86)</f>
        <v/>
      </c>
      <c r="U86" s="13" t="str">
        <f aca="false">IF(OR($C86="",$T86=""),"",$L86-$T86)</f>
        <v/>
      </c>
      <c r="V86" s="14" t="str">
        <f aca="false">IF(OR($U86="",$L86=0),"",$U86/$L86)</f>
        <v/>
      </c>
      <c r="W86" s="11"/>
      <c r="X86" s="23" t="str">
        <f aca="false">IF($C86="","",IF(AND($H86="",N($I86)=0,N($K86)=0),"Dòng chỉ lưu thông tin khách (chưa có đơn); ",IF($B86="","Thiếu ngày đặt; ","")&amp;IF($H86="","Thiếu tên sản phẩm; ",IF($J86="","Chưa khai GIÁ GỐC ở BẢNG GIÁ GỐC; ",""))&amp;IF(N($I86)&lt;=0,"Thiếu số lượng; ","")&amp;IF(N($K86)&lt;=0,"Thiếu giá bán; ","")&amp;IF(AND($N86&gt;0,$F86=""),"Khách lấy VAT thiếu mã số thuế; ","")&amp;IF(N($Q86)&gt;$P86,"Đã thu vượt tổng phải thu; ","")&amp;IF(AND($L86&gt;0,$U86&lt;&gt;"",$U86&lt;0),"CẢNH BÁO: ĐƠN NÀY ĐANG LỖ; ","")))</f>
        <v/>
      </c>
    </row>
    <row r="87" customFormat="false" ht="15" hidden="false" customHeight="false" outlineLevel="0" collapsed="false">
      <c r="A87" s="21" t="str">
        <f aca="false">IF($C87="","",COUNTA($C$10:$C87))</f>
        <v/>
      </c>
      <c r="B87" s="18"/>
      <c r="C87" s="11"/>
      <c r="D87" s="11"/>
      <c r="E87" s="11"/>
      <c r="F87" s="11"/>
      <c r="G87" s="11"/>
      <c r="H87" s="11"/>
      <c r="I87" s="12"/>
      <c r="J87" s="13" t="str">
        <f aca="false">IF($H87="","",IFERROR(VLOOKUP($H87,'BẢNG GIÁ GỐC'!$A$5:$D$254,3,FALSE()),""))</f>
        <v/>
      </c>
      <c r="K87" s="12"/>
      <c r="L87" s="13" t="str">
        <f aca="false">IF($C87="","",N($I87)*N($K87))</f>
        <v/>
      </c>
      <c r="M87" s="11"/>
      <c r="N87" s="14" t="str">
        <f aca="false">IF($C87="","",IF($M87="VAT 5%",0.05,IF($M87="VAT 8%",0.08,IF($M87="VAT 10%",0.1,0))))</f>
        <v/>
      </c>
      <c r="O87" s="13" t="str">
        <f aca="false">IF($C87="","",$L87*$N87)</f>
        <v/>
      </c>
      <c r="P87" s="13" t="str">
        <f aca="false">IF($C87="","",$L87+$O87)</f>
        <v/>
      </c>
      <c r="Q87" s="12"/>
      <c r="R87" s="13" t="str">
        <f aca="false">IF($C87="","",MAX(0,$P87-N($Q87)))</f>
        <v/>
      </c>
      <c r="S87" s="23" t="str">
        <f aca="false">IF(OR($C87="",$P87=0),"",IF(N($Q87)&lt;=0,"Chưa thanh toán",IF(N($Q87)&lt;$P87,"Thanh toán một phần","Đã thanh toán")))</f>
        <v/>
      </c>
      <c r="T87" s="13" t="str">
        <f aca="false">IF(OR($C87="",$J87=""),"",N($I87)*$J87)</f>
        <v/>
      </c>
      <c r="U87" s="13" t="str">
        <f aca="false">IF(OR($C87="",$T87=""),"",$L87-$T87)</f>
        <v/>
      </c>
      <c r="V87" s="14" t="str">
        <f aca="false">IF(OR($U87="",$L87=0),"",$U87/$L87)</f>
        <v/>
      </c>
      <c r="W87" s="11"/>
      <c r="X87" s="23" t="str">
        <f aca="false">IF($C87="","",IF(AND($H87="",N($I87)=0,N($K87)=0),"Dòng chỉ lưu thông tin khách (chưa có đơn); ",IF($B87="","Thiếu ngày đặt; ","")&amp;IF($H87="","Thiếu tên sản phẩm; ",IF($J87="","Chưa khai GIÁ GỐC ở BẢNG GIÁ GỐC; ",""))&amp;IF(N($I87)&lt;=0,"Thiếu số lượng; ","")&amp;IF(N($K87)&lt;=0,"Thiếu giá bán; ","")&amp;IF(AND($N87&gt;0,$F87=""),"Khách lấy VAT thiếu mã số thuế; ","")&amp;IF(N($Q87)&gt;$P87,"Đã thu vượt tổng phải thu; ","")&amp;IF(AND($L87&gt;0,$U87&lt;&gt;"",$U87&lt;0),"CẢNH BÁO: ĐƠN NÀY ĐANG LỖ; ","")))</f>
        <v/>
      </c>
    </row>
    <row r="88" customFormat="false" ht="15" hidden="false" customHeight="false" outlineLevel="0" collapsed="false">
      <c r="A88" s="21" t="str">
        <f aca="false">IF($C88="","",COUNTA($C$10:$C88))</f>
        <v/>
      </c>
      <c r="B88" s="18"/>
      <c r="C88" s="11"/>
      <c r="D88" s="11"/>
      <c r="E88" s="11"/>
      <c r="F88" s="11"/>
      <c r="G88" s="11"/>
      <c r="H88" s="11"/>
      <c r="I88" s="12"/>
      <c r="J88" s="13" t="str">
        <f aca="false">IF($H88="","",IFERROR(VLOOKUP($H88,'BẢNG GIÁ GỐC'!$A$5:$D$254,3,FALSE()),""))</f>
        <v/>
      </c>
      <c r="K88" s="12"/>
      <c r="L88" s="13" t="str">
        <f aca="false">IF($C88="","",N($I88)*N($K88))</f>
        <v/>
      </c>
      <c r="M88" s="11"/>
      <c r="N88" s="14" t="str">
        <f aca="false">IF($C88="","",IF($M88="VAT 5%",0.05,IF($M88="VAT 8%",0.08,IF($M88="VAT 10%",0.1,0))))</f>
        <v/>
      </c>
      <c r="O88" s="13" t="str">
        <f aca="false">IF($C88="","",$L88*$N88)</f>
        <v/>
      </c>
      <c r="P88" s="13" t="str">
        <f aca="false">IF($C88="","",$L88+$O88)</f>
        <v/>
      </c>
      <c r="Q88" s="12"/>
      <c r="R88" s="13" t="str">
        <f aca="false">IF($C88="","",MAX(0,$P88-N($Q88)))</f>
        <v/>
      </c>
      <c r="S88" s="23" t="str">
        <f aca="false">IF(OR($C88="",$P88=0),"",IF(N($Q88)&lt;=0,"Chưa thanh toán",IF(N($Q88)&lt;$P88,"Thanh toán một phần","Đã thanh toán")))</f>
        <v/>
      </c>
      <c r="T88" s="13" t="str">
        <f aca="false">IF(OR($C88="",$J88=""),"",N($I88)*$J88)</f>
        <v/>
      </c>
      <c r="U88" s="13" t="str">
        <f aca="false">IF(OR($C88="",$T88=""),"",$L88-$T88)</f>
        <v/>
      </c>
      <c r="V88" s="14" t="str">
        <f aca="false">IF(OR($U88="",$L88=0),"",$U88/$L88)</f>
        <v/>
      </c>
      <c r="W88" s="11"/>
      <c r="X88" s="23" t="str">
        <f aca="false">IF($C88="","",IF(AND($H88="",N($I88)=0,N($K88)=0),"Dòng chỉ lưu thông tin khách (chưa có đơn); ",IF($B88="","Thiếu ngày đặt; ","")&amp;IF($H88="","Thiếu tên sản phẩm; ",IF($J88="","Chưa khai GIÁ GỐC ở BẢNG GIÁ GỐC; ",""))&amp;IF(N($I88)&lt;=0,"Thiếu số lượng; ","")&amp;IF(N($K88)&lt;=0,"Thiếu giá bán; ","")&amp;IF(AND($N88&gt;0,$F88=""),"Khách lấy VAT thiếu mã số thuế; ","")&amp;IF(N($Q88)&gt;$P88,"Đã thu vượt tổng phải thu; ","")&amp;IF(AND($L88&gt;0,$U88&lt;&gt;"",$U88&lt;0),"CẢNH BÁO: ĐƠN NÀY ĐANG LỖ; ","")))</f>
        <v/>
      </c>
    </row>
    <row r="89" customFormat="false" ht="15" hidden="false" customHeight="false" outlineLevel="0" collapsed="false">
      <c r="A89" s="21" t="str">
        <f aca="false">IF($C89="","",COUNTA($C$10:$C89))</f>
        <v/>
      </c>
      <c r="B89" s="18"/>
      <c r="C89" s="11"/>
      <c r="D89" s="11"/>
      <c r="E89" s="11"/>
      <c r="F89" s="11"/>
      <c r="G89" s="11"/>
      <c r="H89" s="11"/>
      <c r="I89" s="12"/>
      <c r="J89" s="13" t="str">
        <f aca="false">IF($H89="","",IFERROR(VLOOKUP($H89,'BẢNG GIÁ GỐC'!$A$5:$D$254,3,FALSE()),""))</f>
        <v/>
      </c>
      <c r="K89" s="12"/>
      <c r="L89" s="13" t="str">
        <f aca="false">IF($C89="","",N($I89)*N($K89))</f>
        <v/>
      </c>
      <c r="M89" s="11"/>
      <c r="N89" s="14" t="str">
        <f aca="false">IF($C89="","",IF($M89="VAT 5%",0.05,IF($M89="VAT 8%",0.08,IF($M89="VAT 10%",0.1,0))))</f>
        <v/>
      </c>
      <c r="O89" s="13" t="str">
        <f aca="false">IF($C89="","",$L89*$N89)</f>
        <v/>
      </c>
      <c r="P89" s="13" t="str">
        <f aca="false">IF($C89="","",$L89+$O89)</f>
        <v/>
      </c>
      <c r="Q89" s="12"/>
      <c r="R89" s="13" t="str">
        <f aca="false">IF($C89="","",MAX(0,$P89-N($Q89)))</f>
        <v/>
      </c>
      <c r="S89" s="23" t="str">
        <f aca="false">IF(OR($C89="",$P89=0),"",IF(N($Q89)&lt;=0,"Chưa thanh toán",IF(N($Q89)&lt;$P89,"Thanh toán một phần","Đã thanh toán")))</f>
        <v/>
      </c>
      <c r="T89" s="13" t="str">
        <f aca="false">IF(OR($C89="",$J89=""),"",N($I89)*$J89)</f>
        <v/>
      </c>
      <c r="U89" s="13" t="str">
        <f aca="false">IF(OR($C89="",$T89=""),"",$L89-$T89)</f>
        <v/>
      </c>
      <c r="V89" s="14" t="str">
        <f aca="false">IF(OR($U89="",$L89=0),"",$U89/$L89)</f>
        <v/>
      </c>
      <c r="W89" s="11"/>
      <c r="X89" s="23" t="str">
        <f aca="false">IF($C89="","",IF(AND($H89="",N($I89)=0,N($K89)=0),"Dòng chỉ lưu thông tin khách (chưa có đơn); ",IF($B89="","Thiếu ngày đặt; ","")&amp;IF($H89="","Thiếu tên sản phẩm; ",IF($J89="","Chưa khai GIÁ GỐC ở BẢNG GIÁ GỐC; ",""))&amp;IF(N($I89)&lt;=0,"Thiếu số lượng; ","")&amp;IF(N($K89)&lt;=0,"Thiếu giá bán; ","")&amp;IF(AND($N89&gt;0,$F89=""),"Khách lấy VAT thiếu mã số thuế; ","")&amp;IF(N($Q89)&gt;$P89,"Đã thu vượt tổng phải thu; ","")&amp;IF(AND($L89&gt;0,$U89&lt;&gt;"",$U89&lt;0),"CẢNH BÁO: ĐƠN NÀY ĐANG LỖ; ","")))</f>
        <v/>
      </c>
    </row>
    <row r="90" customFormat="false" ht="15" hidden="false" customHeight="false" outlineLevel="0" collapsed="false">
      <c r="A90" s="21" t="str">
        <f aca="false">IF($C90="","",COUNTA($C$10:$C90))</f>
        <v/>
      </c>
      <c r="B90" s="18"/>
      <c r="C90" s="11"/>
      <c r="D90" s="11"/>
      <c r="E90" s="11"/>
      <c r="F90" s="11"/>
      <c r="G90" s="11"/>
      <c r="H90" s="11"/>
      <c r="I90" s="12"/>
      <c r="J90" s="13" t="str">
        <f aca="false">IF($H90="","",IFERROR(VLOOKUP($H90,'BẢNG GIÁ GỐC'!$A$5:$D$254,3,FALSE()),""))</f>
        <v/>
      </c>
      <c r="K90" s="12"/>
      <c r="L90" s="13" t="str">
        <f aca="false">IF($C90="","",N($I90)*N($K90))</f>
        <v/>
      </c>
      <c r="M90" s="11"/>
      <c r="N90" s="14" t="str">
        <f aca="false">IF($C90="","",IF($M90="VAT 5%",0.05,IF($M90="VAT 8%",0.08,IF($M90="VAT 10%",0.1,0))))</f>
        <v/>
      </c>
      <c r="O90" s="13" t="str">
        <f aca="false">IF($C90="","",$L90*$N90)</f>
        <v/>
      </c>
      <c r="P90" s="13" t="str">
        <f aca="false">IF($C90="","",$L90+$O90)</f>
        <v/>
      </c>
      <c r="Q90" s="12"/>
      <c r="R90" s="13" t="str">
        <f aca="false">IF($C90="","",MAX(0,$P90-N($Q90)))</f>
        <v/>
      </c>
      <c r="S90" s="23" t="str">
        <f aca="false">IF(OR($C90="",$P90=0),"",IF(N($Q90)&lt;=0,"Chưa thanh toán",IF(N($Q90)&lt;$P90,"Thanh toán một phần","Đã thanh toán")))</f>
        <v/>
      </c>
      <c r="T90" s="13" t="str">
        <f aca="false">IF(OR($C90="",$J90=""),"",N($I90)*$J90)</f>
        <v/>
      </c>
      <c r="U90" s="13" t="str">
        <f aca="false">IF(OR($C90="",$T90=""),"",$L90-$T90)</f>
        <v/>
      </c>
      <c r="V90" s="14" t="str">
        <f aca="false">IF(OR($U90="",$L90=0),"",$U90/$L90)</f>
        <v/>
      </c>
      <c r="W90" s="11"/>
      <c r="X90" s="23" t="str">
        <f aca="false">IF($C90="","",IF(AND($H90="",N($I90)=0,N($K90)=0),"Dòng chỉ lưu thông tin khách (chưa có đơn); ",IF($B90="","Thiếu ngày đặt; ","")&amp;IF($H90="","Thiếu tên sản phẩm; ",IF($J90="","Chưa khai GIÁ GỐC ở BẢNG GIÁ GỐC; ",""))&amp;IF(N($I90)&lt;=0,"Thiếu số lượng; ","")&amp;IF(N($K90)&lt;=0,"Thiếu giá bán; ","")&amp;IF(AND($N90&gt;0,$F90=""),"Khách lấy VAT thiếu mã số thuế; ","")&amp;IF(N($Q90)&gt;$P90,"Đã thu vượt tổng phải thu; ","")&amp;IF(AND($L90&gt;0,$U90&lt;&gt;"",$U90&lt;0),"CẢNH BÁO: ĐƠN NÀY ĐANG LỖ; ","")))</f>
        <v/>
      </c>
    </row>
    <row r="91" customFormat="false" ht="15" hidden="false" customHeight="false" outlineLevel="0" collapsed="false">
      <c r="A91" s="21" t="str">
        <f aca="false">IF($C91="","",COUNTA($C$10:$C91))</f>
        <v/>
      </c>
      <c r="B91" s="18"/>
      <c r="C91" s="11"/>
      <c r="D91" s="11"/>
      <c r="E91" s="11"/>
      <c r="F91" s="11"/>
      <c r="G91" s="11"/>
      <c r="H91" s="11"/>
      <c r="I91" s="12"/>
      <c r="J91" s="13" t="str">
        <f aca="false">IF($H91="","",IFERROR(VLOOKUP($H91,'BẢNG GIÁ GỐC'!$A$5:$D$254,3,FALSE()),""))</f>
        <v/>
      </c>
      <c r="K91" s="12"/>
      <c r="L91" s="13" t="str">
        <f aca="false">IF($C91="","",N($I91)*N($K91))</f>
        <v/>
      </c>
      <c r="M91" s="11"/>
      <c r="N91" s="14" t="str">
        <f aca="false">IF($C91="","",IF($M91="VAT 5%",0.05,IF($M91="VAT 8%",0.08,IF($M91="VAT 10%",0.1,0))))</f>
        <v/>
      </c>
      <c r="O91" s="13" t="str">
        <f aca="false">IF($C91="","",$L91*$N91)</f>
        <v/>
      </c>
      <c r="P91" s="13" t="str">
        <f aca="false">IF($C91="","",$L91+$O91)</f>
        <v/>
      </c>
      <c r="Q91" s="12"/>
      <c r="R91" s="13" t="str">
        <f aca="false">IF($C91="","",MAX(0,$P91-N($Q91)))</f>
        <v/>
      </c>
      <c r="S91" s="23" t="str">
        <f aca="false">IF(OR($C91="",$P91=0),"",IF(N($Q91)&lt;=0,"Chưa thanh toán",IF(N($Q91)&lt;$P91,"Thanh toán một phần","Đã thanh toán")))</f>
        <v/>
      </c>
      <c r="T91" s="13" t="str">
        <f aca="false">IF(OR($C91="",$J91=""),"",N($I91)*$J91)</f>
        <v/>
      </c>
      <c r="U91" s="13" t="str">
        <f aca="false">IF(OR($C91="",$T91=""),"",$L91-$T91)</f>
        <v/>
      </c>
      <c r="V91" s="14" t="str">
        <f aca="false">IF(OR($U91="",$L91=0),"",$U91/$L91)</f>
        <v/>
      </c>
      <c r="W91" s="11"/>
      <c r="X91" s="23" t="str">
        <f aca="false">IF($C91="","",IF(AND($H91="",N($I91)=0,N($K91)=0),"Dòng chỉ lưu thông tin khách (chưa có đơn); ",IF($B91="","Thiếu ngày đặt; ","")&amp;IF($H91="","Thiếu tên sản phẩm; ",IF($J91="","Chưa khai GIÁ GỐC ở BẢNG GIÁ GỐC; ",""))&amp;IF(N($I91)&lt;=0,"Thiếu số lượng; ","")&amp;IF(N($K91)&lt;=0,"Thiếu giá bán; ","")&amp;IF(AND($N91&gt;0,$F91=""),"Khách lấy VAT thiếu mã số thuế; ","")&amp;IF(N($Q91)&gt;$P91,"Đã thu vượt tổng phải thu; ","")&amp;IF(AND($L91&gt;0,$U91&lt;&gt;"",$U91&lt;0),"CẢNH BÁO: ĐƠN NÀY ĐANG LỖ; ","")))</f>
        <v/>
      </c>
    </row>
    <row r="92" customFormat="false" ht="15" hidden="false" customHeight="false" outlineLevel="0" collapsed="false">
      <c r="A92" s="21" t="str">
        <f aca="false">IF($C92="","",COUNTA($C$10:$C92))</f>
        <v/>
      </c>
      <c r="B92" s="18"/>
      <c r="C92" s="11"/>
      <c r="D92" s="11"/>
      <c r="E92" s="11"/>
      <c r="F92" s="11"/>
      <c r="G92" s="11"/>
      <c r="H92" s="11"/>
      <c r="I92" s="12"/>
      <c r="J92" s="13" t="str">
        <f aca="false">IF($H92="","",IFERROR(VLOOKUP($H92,'BẢNG GIÁ GỐC'!$A$5:$D$254,3,FALSE()),""))</f>
        <v/>
      </c>
      <c r="K92" s="12"/>
      <c r="L92" s="13" t="str">
        <f aca="false">IF($C92="","",N($I92)*N($K92))</f>
        <v/>
      </c>
      <c r="M92" s="11"/>
      <c r="N92" s="14" t="str">
        <f aca="false">IF($C92="","",IF($M92="VAT 5%",0.05,IF($M92="VAT 8%",0.08,IF($M92="VAT 10%",0.1,0))))</f>
        <v/>
      </c>
      <c r="O92" s="13" t="str">
        <f aca="false">IF($C92="","",$L92*$N92)</f>
        <v/>
      </c>
      <c r="P92" s="13" t="str">
        <f aca="false">IF($C92="","",$L92+$O92)</f>
        <v/>
      </c>
      <c r="Q92" s="12"/>
      <c r="R92" s="13" t="str">
        <f aca="false">IF($C92="","",MAX(0,$P92-N($Q92)))</f>
        <v/>
      </c>
      <c r="S92" s="23" t="str">
        <f aca="false">IF(OR($C92="",$P92=0),"",IF(N($Q92)&lt;=0,"Chưa thanh toán",IF(N($Q92)&lt;$P92,"Thanh toán một phần","Đã thanh toán")))</f>
        <v/>
      </c>
      <c r="T92" s="13" t="str">
        <f aca="false">IF(OR($C92="",$J92=""),"",N($I92)*$J92)</f>
        <v/>
      </c>
      <c r="U92" s="13" t="str">
        <f aca="false">IF(OR($C92="",$T92=""),"",$L92-$T92)</f>
        <v/>
      </c>
      <c r="V92" s="14" t="str">
        <f aca="false">IF(OR($U92="",$L92=0),"",$U92/$L92)</f>
        <v/>
      </c>
      <c r="W92" s="11"/>
      <c r="X92" s="23" t="str">
        <f aca="false">IF($C92="","",IF(AND($H92="",N($I92)=0,N($K92)=0),"Dòng chỉ lưu thông tin khách (chưa có đơn); ",IF($B92="","Thiếu ngày đặt; ","")&amp;IF($H92="","Thiếu tên sản phẩm; ",IF($J92="","Chưa khai GIÁ GỐC ở BẢNG GIÁ GỐC; ",""))&amp;IF(N($I92)&lt;=0,"Thiếu số lượng; ","")&amp;IF(N($K92)&lt;=0,"Thiếu giá bán; ","")&amp;IF(AND($N92&gt;0,$F92=""),"Khách lấy VAT thiếu mã số thuế; ","")&amp;IF(N($Q92)&gt;$P92,"Đã thu vượt tổng phải thu; ","")&amp;IF(AND($L92&gt;0,$U92&lt;&gt;"",$U92&lt;0),"CẢNH BÁO: ĐƠN NÀY ĐANG LỖ; ","")))</f>
        <v/>
      </c>
    </row>
    <row r="93" customFormat="false" ht="15" hidden="false" customHeight="false" outlineLevel="0" collapsed="false">
      <c r="A93" s="21" t="str">
        <f aca="false">IF($C93="","",COUNTA($C$10:$C93))</f>
        <v/>
      </c>
      <c r="B93" s="18"/>
      <c r="C93" s="11"/>
      <c r="D93" s="11"/>
      <c r="E93" s="11"/>
      <c r="F93" s="11"/>
      <c r="G93" s="11"/>
      <c r="H93" s="11"/>
      <c r="I93" s="12"/>
      <c r="J93" s="13" t="str">
        <f aca="false">IF($H93="","",IFERROR(VLOOKUP($H93,'BẢNG GIÁ GỐC'!$A$5:$D$254,3,FALSE()),""))</f>
        <v/>
      </c>
      <c r="K93" s="12"/>
      <c r="L93" s="13" t="str">
        <f aca="false">IF($C93="","",N($I93)*N($K93))</f>
        <v/>
      </c>
      <c r="M93" s="11"/>
      <c r="N93" s="14" t="str">
        <f aca="false">IF($C93="","",IF($M93="VAT 5%",0.05,IF($M93="VAT 8%",0.08,IF($M93="VAT 10%",0.1,0))))</f>
        <v/>
      </c>
      <c r="O93" s="13" t="str">
        <f aca="false">IF($C93="","",$L93*$N93)</f>
        <v/>
      </c>
      <c r="P93" s="13" t="str">
        <f aca="false">IF($C93="","",$L93+$O93)</f>
        <v/>
      </c>
      <c r="Q93" s="12"/>
      <c r="R93" s="13" t="str">
        <f aca="false">IF($C93="","",MAX(0,$P93-N($Q93)))</f>
        <v/>
      </c>
      <c r="S93" s="23" t="str">
        <f aca="false">IF(OR($C93="",$P93=0),"",IF(N($Q93)&lt;=0,"Chưa thanh toán",IF(N($Q93)&lt;$P93,"Thanh toán một phần","Đã thanh toán")))</f>
        <v/>
      </c>
      <c r="T93" s="13" t="str">
        <f aca="false">IF(OR($C93="",$J93=""),"",N($I93)*$J93)</f>
        <v/>
      </c>
      <c r="U93" s="13" t="str">
        <f aca="false">IF(OR($C93="",$T93=""),"",$L93-$T93)</f>
        <v/>
      </c>
      <c r="V93" s="14" t="str">
        <f aca="false">IF(OR($U93="",$L93=0),"",$U93/$L93)</f>
        <v/>
      </c>
      <c r="W93" s="11"/>
      <c r="X93" s="23" t="str">
        <f aca="false">IF($C93="","",IF(AND($H93="",N($I93)=0,N($K93)=0),"Dòng chỉ lưu thông tin khách (chưa có đơn); ",IF($B93="","Thiếu ngày đặt; ","")&amp;IF($H93="","Thiếu tên sản phẩm; ",IF($J93="","Chưa khai GIÁ GỐC ở BẢNG GIÁ GỐC; ",""))&amp;IF(N($I93)&lt;=0,"Thiếu số lượng; ","")&amp;IF(N($K93)&lt;=0,"Thiếu giá bán; ","")&amp;IF(AND($N93&gt;0,$F93=""),"Khách lấy VAT thiếu mã số thuế; ","")&amp;IF(N($Q93)&gt;$P93,"Đã thu vượt tổng phải thu; ","")&amp;IF(AND($L93&gt;0,$U93&lt;&gt;"",$U93&lt;0),"CẢNH BÁO: ĐƠN NÀY ĐANG LỖ; ","")))</f>
        <v/>
      </c>
    </row>
    <row r="94" customFormat="false" ht="15" hidden="false" customHeight="false" outlineLevel="0" collapsed="false">
      <c r="A94" s="21" t="str">
        <f aca="false">IF($C94="","",COUNTA($C$10:$C94))</f>
        <v/>
      </c>
      <c r="B94" s="18"/>
      <c r="C94" s="11"/>
      <c r="D94" s="11"/>
      <c r="E94" s="11"/>
      <c r="F94" s="11"/>
      <c r="G94" s="11"/>
      <c r="H94" s="11"/>
      <c r="I94" s="12"/>
      <c r="J94" s="13" t="str">
        <f aca="false">IF($H94="","",IFERROR(VLOOKUP($H94,'BẢNG GIÁ GỐC'!$A$5:$D$254,3,FALSE()),""))</f>
        <v/>
      </c>
      <c r="K94" s="12"/>
      <c r="L94" s="13" t="str">
        <f aca="false">IF($C94="","",N($I94)*N($K94))</f>
        <v/>
      </c>
      <c r="M94" s="11"/>
      <c r="N94" s="14" t="str">
        <f aca="false">IF($C94="","",IF($M94="VAT 5%",0.05,IF($M94="VAT 8%",0.08,IF($M94="VAT 10%",0.1,0))))</f>
        <v/>
      </c>
      <c r="O94" s="13" t="str">
        <f aca="false">IF($C94="","",$L94*$N94)</f>
        <v/>
      </c>
      <c r="P94" s="13" t="str">
        <f aca="false">IF($C94="","",$L94+$O94)</f>
        <v/>
      </c>
      <c r="Q94" s="12"/>
      <c r="R94" s="13" t="str">
        <f aca="false">IF($C94="","",MAX(0,$P94-N($Q94)))</f>
        <v/>
      </c>
      <c r="S94" s="23" t="str">
        <f aca="false">IF(OR($C94="",$P94=0),"",IF(N($Q94)&lt;=0,"Chưa thanh toán",IF(N($Q94)&lt;$P94,"Thanh toán một phần","Đã thanh toán")))</f>
        <v/>
      </c>
      <c r="T94" s="13" t="str">
        <f aca="false">IF(OR($C94="",$J94=""),"",N($I94)*$J94)</f>
        <v/>
      </c>
      <c r="U94" s="13" t="str">
        <f aca="false">IF(OR($C94="",$T94=""),"",$L94-$T94)</f>
        <v/>
      </c>
      <c r="V94" s="14" t="str">
        <f aca="false">IF(OR($U94="",$L94=0),"",$U94/$L94)</f>
        <v/>
      </c>
      <c r="W94" s="11"/>
      <c r="X94" s="23" t="str">
        <f aca="false">IF($C94="","",IF(AND($H94="",N($I94)=0,N($K94)=0),"Dòng chỉ lưu thông tin khách (chưa có đơn); ",IF($B94="","Thiếu ngày đặt; ","")&amp;IF($H94="","Thiếu tên sản phẩm; ",IF($J94="","Chưa khai GIÁ GỐC ở BẢNG GIÁ GỐC; ",""))&amp;IF(N($I94)&lt;=0,"Thiếu số lượng; ","")&amp;IF(N($K94)&lt;=0,"Thiếu giá bán; ","")&amp;IF(AND($N94&gt;0,$F94=""),"Khách lấy VAT thiếu mã số thuế; ","")&amp;IF(N($Q94)&gt;$P94,"Đã thu vượt tổng phải thu; ","")&amp;IF(AND($L94&gt;0,$U94&lt;&gt;"",$U94&lt;0),"CẢNH BÁO: ĐƠN NÀY ĐANG LỖ; ","")))</f>
        <v/>
      </c>
    </row>
    <row r="95" customFormat="false" ht="15" hidden="false" customHeight="false" outlineLevel="0" collapsed="false">
      <c r="A95" s="21" t="str">
        <f aca="false">IF($C95="","",COUNTA($C$10:$C95))</f>
        <v/>
      </c>
      <c r="B95" s="18"/>
      <c r="C95" s="11"/>
      <c r="D95" s="11"/>
      <c r="E95" s="11"/>
      <c r="F95" s="11"/>
      <c r="G95" s="11"/>
      <c r="H95" s="11"/>
      <c r="I95" s="12"/>
      <c r="J95" s="13" t="str">
        <f aca="false">IF($H95="","",IFERROR(VLOOKUP($H95,'BẢNG GIÁ GỐC'!$A$5:$D$254,3,FALSE()),""))</f>
        <v/>
      </c>
      <c r="K95" s="12"/>
      <c r="L95" s="13" t="str">
        <f aca="false">IF($C95="","",N($I95)*N($K95))</f>
        <v/>
      </c>
      <c r="M95" s="11"/>
      <c r="N95" s="14" t="str">
        <f aca="false">IF($C95="","",IF($M95="VAT 5%",0.05,IF($M95="VAT 8%",0.08,IF($M95="VAT 10%",0.1,0))))</f>
        <v/>
      </c>
      <c r="O95" s="13" t="str">
        <f aca="false">IF($C95="","",$L95*$N95)</f>
        <v/>
      </c>
      <c r="P95" s="13" t="str">
        <f aca="false">IF($C95="","",$L95+$O95)</f>
        <v/>
      </c>
      <c r="Q95" s="12"/>
      <c r="R95" s="13" t="str">
        <f aca="false">IF($C95="","",MAX(0,$P95-N($Q95)))</f>
        <v/>
      </c>
      <c r="S95" s="23" t="str">
        <f aca="false">IF(OR($C95="",$P95=0),"",IF(N($Q95)&lt;=0,"Chưa thanh toán",IF(N($Q95)&lt;$P95,"Thanh toán một phần","Đã thanh toán")))</f>
        <v/>
      </c>
      <c r="T95" s="13" t="str">
        <f aca="false">IF(OR($C95="",$J95=""),"",N($I95)*$J95)</f>
        <v/>
      </c>
      <c r="U95" s="13" t="str">
        <f aca="false">IF(OR($C95="",$T95=""),"",$L95-$T95)</f>
        <v/>
      </c>
      <c r="V95" s="14" t="str">
        <f aca="false">IF(OR($U95="",$L95=0),"",$U95/$L95)</f>
        <v/>
      </c>
      <c r="W95" s="11"/>
      <c r="X95" s="23" t="str">
        <f aca="false">IF($C95="","",IF(AND($H95="",N($I95)=0,N($K95)=0),"Dòng chỉ lưu thông tin khách (chưa có đơn); ",IF($B95="","Thiếu ngày đặt; ","")&amp;IF($H95="","Thiếu tên sản phẩm; ",IF($J95="","Chưa khai GIÁ GỐC ở BẢNG GIÁ GỐC; ",""))&amp;IF(N($I95)&lt;=0,"Thiếu số lượng; ","")&amp;IF(N($K95)&lt;=0,"Thiếu giá bán; ","")&amp;IF(AND($N95&gt;0,$F95=""),"Khách lấy VAT thiếu mã số thuế; ","")&amp;IF(N($Q95)&gt;$P95,"Đã thu vượt tổng phải thu; ","")&amp;IF(AND($L95&gt;0,$U95&lt;&gt;"",$U95&lt;0),"CẢNH BÁO: ĐƠN NÀY ĐANG LỖ; ","")))</f>
        <v/>
      </c>
    </row>
    <row r="96" customFormat="false" ht="15" hidden="false" customHeight="false" outlineLevel="0" collapsed="false">
      <c r="A96" s="21" t="str">
        <f aca="false">IF($C96="","",COUNTA($C$10:$C96))</f>
        <v/>
      </c>
      <c r="B96" s="18"/>
      <c r="C96" s="11"/>
      <c r="D96" s="11"/>
      <c r="E96" s="11"/>
      <c r="F96" s="11"/>
      <c r="G96" s="11"/>
      <c r="H96" s="11"/>
      <c r="I96" s="12"/>
      <c r="J96" s="13" t="str">
        <f aca="false">IF($H96="","",IFERROR(VLOOKUP($H96,'BẢNG GIÁ GỐC'!$A$5:$D$254,3,FALSE()),""))</f>
        <v/>
      </c>
      <c r="K96" s="12"/>
      <c r="L96" s="13" t="str">
        <f aca="false">IF($C96="","",N($I96)*N($K96))</f>
        <v/>
      </c>
      <c r="M96" s="11"/>
      <c r="N96" s="14" t="str">
        <f aca="false">IF($C96="","",IF($M96="VAT 5%",0.05,IF($M96="VAT 8%",0.08,IF($M96="VAT 10%",0.1,0))))</f>
        <v/>
      </c>
      <c r="O96" s="13" t="str">
        <f aca="false">IF($C96="","",$L96*$N96)</f>
        <v/>
      </c>
      <c r="P96" s="13" t="str">
        <f aca="false">IF($C96="","",$L96+$O96)</f>
        <v/>
      </c>
      <c r="Q96" s="12"/>
      <c r="R96" s="13" t="str">
        <f aca="false">IF($C96="","",MAX(0,$P96-N($Q96)))</f>
        <v/>
      </c>
      <c r="S96" s="23" t="str">
        <f aca="false">IF(OR($C96="",$P96=0),"",IF(N($Q96)&lt;=0,"Chưa thanh toán",IF(N($Q96)&lt;$P96,"Thanh toán một phần","Đã thanh toán")))</f>
        <v/>
      </c>
      <c r="T96" s="13" t="str">
        <f aca="false">IF(OR($C96="",$J96=""),"",N($I96)*$J96)</f>
        <v/>
      </c>
      <c r="U96" s="13" t="str">
        <f aca="false">IF(OR($C96="",$T96=""),"",$L96-$T96)</f>
        <v/>
      </c>
      <c r="V96" s="14" t="str">
        <f aca="false">IF(OR($U96="",$L96=0),"",$U96/$L96)</f>
        <v/>
      </c>
      <c r="W96" s="11"/>
      <c r="X96" s="23" t="str">
        <f aca="false">IF($C96="","",IF(AND($H96="",N($I96)=0,N($K96)=0),"Dòng chỉ lưu thông tin khách (chưa có đơn); ",IF($B96="","Thiếu ngày đặt; ","")&amp;IF($H96="","Thiếu tên sản phẩm; ",IF($J96="","Chưa khai GIÁ GỐC ở BẢNG GIÁ GỐC; ",""))&amp;IF(N($I96)&lt;=0,"Thiếu số lượng; ","")&amp;IF(N($K96)&lt;=0,"Thiếu giá bán; ","")&amp;IF(AND($N96&gt;0,$F96=""),"Khách lấy VAT thiếu mã số thuế; ","")&amp;IF(N($Q96)&gt;$P96,"Đã thu vượt tổng phải thu; ","")&amp;IF(AND($L96&gt;0,$U96&lt;&gt;"",$U96&lt;0),"CẢNH BÁO: ĐƠN NÀY ĐANG LỖ; ","")))</f>
        <v/>
      </c>
    </row>
    <row r="97" customFormat="false" ht="15" hidden="false" customHeight="false" outlineLevel="0" collapsed="false">
      <c r="A97" s="21" t="str">
        <f aca="false">IF($C97="","",COUNTA($C$10:$C97))</f>
        <v/>
      </c>
      <c r="B97" s="18"/>
      <c r="C97" s="11"/>
      <c r="D97" s="11"/>
      <c r="E97" s="11"/>
      <c r="F97" s="11"/>
      <c r="G97" s="11"/>
      <c r="H97" s="11"/>
      <c r="I97" s="12"/>
      <c r="J97" s="13" t="str">
        <f aca="false">IF($H97="","",IFERROR(VLOOKUP($H97,'BẢNG GIÁ GỐC'!$A$5:$D$254,3,FALSE()),""))</f>
        <v/>
      </c>
      <c r="K97" s="12"/>
      <c r="L97" s="13" t="str">
        <f aca="false">IF($C97="","",N($I97)*N($K97))</f>
        <v/>
      </c>
      <c r="M97" s="11"/>
      <c r="N97" s="14" t="str">
        <f aca="false">IF($C97="","",IF($M97="VAT 5%",0.05,IF($M97="VAT 8%",0.08,IF($M97="VAT 10%",0.1,0))))</f>
        <v/>
      </c>
      <c r="O97" s="13" t="str">
        <f aca="false">IF($C97="","",$L97*$N97)</f>
        <v/>
      </c>
      <c r="P97" s="13" t="str">
        <f aca="false">IF($C97="","",$L97+$O97)</f>
        <v/>
      </c>
      <c r="Q97" s="12"/>
      <c r="R97" s="13" t="str">
        <f aca="false">IF($C97="","",MAX(0,$P97-N($Q97)))</f>
        <v/>
      </c>
      <c r="S97" s="23" t="str">
        <f aca="false">IF(OR($C97="",$P97=0),"",IF(N($Q97)&lt;=0,"Chưa thanh toán",IF(N($Q97)&lt;$P97,"Thanh toán một phần","Đã thanh toán")))</f>
        <v/>
      </c>
      <c r="T97" s="13" t="str">
        <f aca="false">IF(OR($C97="",$J97=""),"",N($I97)*$J97)</f>
        <v/>
      </c>
      <c r="U97" s="13" t="str">
        <f aca="false">IF(OR($C97="",$T97=""),"",$L97-$T97)</f>
        <v/>
      </c>
      <c r="V97" s="14" t="str">
        <f aca="false">IF(OR($U97="",$L97=0),"",$U97/$L97)</f>
        <v/>
      </c>
      <c r="W97" s="11"/>
      <c r="X97" s="23" t="str">
        <f aca="false">IF($C97="","",IF(AND($H97="",N($I97)=0,N($K97)=0),"Dòng chỉ lưu thông tin khách (chưa có đơn); ",IF($B97="","Thiếu ngày đặt; ","")&amp;IF($H97="","Thiếu tên sản phẩm; ",IF($J97="","Chưa khai GIÁ GỐC ở BẢNG GIÁ GỐC; ",""))&amp;IF(N($I97)&lt;=0,"Thiếu số lượng; ","")&amp;IF(N($K97)&lt;=0,"Thiếu giá bán; ","")&amp;IF(AND($N97&gt;0,$F97=""),"Khách lấy VAT thiếu mã số thuế; ","")&amp;IF(N($Q97)&gt;$P97,"Đã thu vượt tổng phải thu; ","")&amp;IF(AND($L97&gt;0,$U97&lt;&gt;"",$U97&lt;0),"CẢNH BÁO: ĐƠN NÀY ĐANG LỖ; ","")))</f>
        <v/>
      </c>
    </row>
    <row r="98" customFormat="false" ht="15" hidden="false" customHeight="false" outlineLevel="0" collapsed="false">
      <c r="A98" s="21" t="str">
        <f aca="false">IF($C98="","",COUNTA($C$10:$C98))</f>
        <v/>
      </c>
      <c r="B98" s="18"/>
      <c r="C98" s="11"/>
      <c r="D98" s="11"/>
      <c r="E98" s="11"/>
      <c r="F98" s="11"/>
      <c r="G98" s="11"/>
      <c r="H98" s="11"/>
      <c r="I98" s="12"/>
      <c r="J98" s="13" t="str">
        <f aca="false">IF($H98="","",IFERROR(VLOOKUP($H98,'BẢNG GIÁ GỐC'!$A$5:$D$254,3,FALSE()),""))</f>
        <v/>
      </c>
      <c r="K98" s="12"/>
      <c r="L98" s="13" t="str">
        <f aca="false">IF($C98="","",N($I98)*N($K98))</f>
        <v/>
      </c>
      <c r="M98" s="11"/>
      <c r="N98" s="14" t="str">
        <f aca="false">IF($C98="","",IF($M98="VAT 5%",0.05,IF($M98="VAT 8%",0.08,IF($M98="VAT 10%",0.1,0))))</f>
        <v/>
      </c>
      <c r="O98" s="13" t="str">
        <f aca="false">IF($C98="","",$L98*$N98)</f>
        <v/>
      </c>
      <c r="P98" s="13" t="str">
        <f aca="false">IF($C98="","",$L98+$O98)</f>
        <v/>
      </c>
      <c r="Q98" s="12"/>
      <c r="R98" s="13" t="str">
        <f aca="false">IF($C98="","",MAX(0,$P98-N($Q98)))</f>
        <v/>
      </c>
      <c r="S98" s="23" t="str">
        <f aca="false">IF(OR($C98="",$P98=0),"",IF(N($Q98)&lt;=0,"Chưa thanh toán",IF(N($Q98)&lt;$P98,"Thanh toán một phần","Đã thanh toán")))</f>
        <v/>
      </c>
      <c r="T98" s="13" t="str">
        <f aca="false">IF(OR($C98="",$J98=""),"",N($I98)*$J98)</f>
        <v/>
      </c>
      <c r="U98" s="13" t="str">
        <f aca="false">IF(OR($C98="",$T98=""),"",$L98-$T98)</f>
        <v/>
      </c>
      <c r="V98" s="14" t="str">
        <f aca="false">IF(OR($U98="",$L98=0),"",$U98/$L98)</f>
        <v/>
      </c>
      <c r="W98" s="11"/>
      <c r="X98" s="23" t="str">
        <f aca="false">IF($C98="","",IF(AND($H98="",N($I98)=0,N($K98)=0),"Dòng chỉ lưu thông tin khách (chưa có đơn); ",IF($B98="","Thiếu ngày đặt; ","")&amp;IF($H98="","Thiếu tên sản phẩm; ",IF($J98="","Chưa khai GIÁ GỐC ở BẢNG GIÁ GỐC; ",""))&amp;IF(N($I98)&lt;=0,"Thiếu số lượng; ","")&amp;IF(N($K98)&lt;=0,"Thiếu giá bán; ","")&amp;IF(AND($N98&gt;0,$F98=""),"Khách lấy VAT thiếu mã số thuế; ","")&amp;IF(N($Q98)&gt;$P98,"Đã thu vượt tổng phải thu; ","")&amp;IF(AND($L98&gt;0,$U98&lt;&gt;"",$U98&lt;0),"CẢNH BÁO: ĐƠN NÀY ĐANG LỖ; ","")))</f>
        <v/>
      </c>
    </row>
    <row r="99" customFormat="false" ht="15" hidden="false" customHeight="false" outlineLevel="0" collapsed="false">
      <c r="A99" s="21" t="str">
        <f aca="false">IF($C99="","",COUNTA($C$10:$C99))</f>
        <v/>
      </c>
      <c r="B99" s="18"/>
      <c r="C99" s="11"/>
      <c r="D99" s="11"/>
      <c r="E99" s="11"/>
      <c r="F99" s="11"/>
      <c r="G99" s="11"/>
      <c r="H99" s="11"/>
      <c r="I99" s="12"/>
      <c r="J99" s="13" t="str">
        <f aca="false">IF($H99="","",IFERROR(VLOOKUP($H99,'BẢNG GIÁ GỐC'!$A$5:$D$254,3,FALSE()),""))</f>
        <v/>
      </c>
      <c r="K99" s="12"/>
      <c r="L99" s="13" t="str">
        <f aca="false">IF($C99="","",N($I99)*N($K99))</f>
        <v/>
      </c>
      <c r="M99" s="11"/>
      <c r="N99" s="14" t="str">
        <f aca="false">IF($C99="","",IF($M99="VAT 5%",0.05,IF($M99="VAT 8%",0.08,IF($M99="VAT 10%",0.1,0))))</f>
        <v/>
      </c>
      <c r="O99" s="13" t="str">
        <f aca="false">IF($C99="","",$L99*$N99)</f>
        <v/>
      </c>
      <c r="P99" s="13" t="str">
        <f aca="false">IF($C99="","",$L99+$O99)</f>
        <v/>
      </c>
      <c r="Q99" s="12"/>
      <c r="R99" s="13" t="str">
        <f aca="false">IF($C99="","",MAX(0,$P99-N($Q99)))</f>
        <v/>
      </c>
      <c r="S99" s="23" t="str">
        <f aca="false">IF(OR($C99="",$P99=0),"",IF(N($Q99)&lt;=0,"Chưa thanh toán",IF(N($Q99)&lt;$P99,"Thanh toán một phần","Đã thanh toán")))</f>
        <v/>
      </c>
      <c r="T99" s="13" t="str">
        <f aca="false">IF(OR($C99="",$J99=""),"",N($I99)*$J99)</f>
        <v/>
      </c>
      <c r="U99" s="13" t="str">
        <f aca="false">IF(OR($C99="",$T99=""),"",$L99-$T99)</f>
        <v/>
      </c>
      <c r="V99" s="14" t="str">
        <f aca="false">IF(OR($U99="",$L99=0),"",$U99/$L99)</f>
        <v/>
      </c>
      <c r="W99" s="11"/>
      <c r="X99" s="23" t="str">
        <f aca="false">IF($C99="","",IF(AND($H99="",N($I99)=0,N($K99)=0),"Dòng chỉ lưu thông tin khách (chưa có đơn); ",IF($B99="","Thiếu ngày đặt; ","")&amp;IF($H99="","Thiếu tên sản phẩm; ",IF($J99="","Chưa khai GIÁ GỐC ở BẢNG GIÁ GỐC; ",""))&amp;IF(N($I99)&lt;=0,"Thiếu số lượng; ","")&amp;IF(N($K99)&lt;=0,"Thiếu giá bán; ","")&amp;IF(AND($N99&gt;0,$F99=""),"Khách lấy VAT thiếu mã số thuế; ","")&amp;IF(N($Q99)&gt;$P99,"Đã thu vượt tổng phải thu; ","")&amp;IF(AND($L99&gt;0,$U99&lt;&gt;"",$U99&lt;0),"CẢNH BÁO: ĐƠN NÀY ĐANG LỖ; ","")))</f>
        <v/>
      </c>
    </row>
    <row r="100" customFormat="false" ht="15" hidden="false" customHeight="false" outlineLevel="0" collapsed="false">
      <c r="A100" s="21" t="str">
        <f aca="false">IF($C100="","",COUNTA($C$10:$C100))</f>
        <v/>
      </c>
      <c r="B100" s="18"/>
      <c r="C100" s="11"/>
      <c r="D100" s="11"/>
      <c r="E100" s="11"/>
      <c r="F100" s="11"/>
      <c r="G100" s="11"/>
      <c r="H100" s="11"/>
      <c r="I100" s="12"/>
      <c r="J100" s="13" t="str">
        <f aca="false">IF($H100="","",IFERROR(VLOOKUP($H100,'BẢNG GIÁ GỐC'!$A$5:$D$254,3,FALSE()),""))</f>
        <v/>
      </c>
      <c r="K100" s="12"/>
      <c r="L100" s="13" t="str">
        <f aca="false">IF($C100="","",N($I100)*N($K100))</f>
        <v/>
      </c>
      <c r="M100" s="11"/>
      <c r="N100" s="14" t="str">
        <f aca="false">IF($C100="","",IF($M100="VAT 5%",0.05,IF($M100="VAT 8%",0.08,IF($M100="VAT 10%",0.1,0))))</f>
        <v/>
      </c>
      <c r="O100" s="13" t="str">
        <f aca="false">IF($C100="","",$L100*$N100)</f>
        <v/>
      </c>
      <c r="P100" s="13" t="str">
        <f aca="false">IF($C100="","",$L100+$O100)</f>
        <v/>
      </c>
      <c r="Q100" s="12"/>
      <c r="R100" s="13" t="str">
        <f aca="false">IF($C100="","",MAX(0,$P100-N($Q100)))</f>
        <v/>
      </c>
      <c r="S100" s="23" t="str">
        <f aca="false">IF(OR($C100="",$P100=0),"",IF(N($Q100)&lt;=0,"Chưa thanh toán",IF(N($Q100)&lt;$P100,"Thanh toán một phần","Đã thanh toán")))</f>
        <v/>
      </c>
      <c r="T100" s="13" t="str">
        <f aca="false">IF(OR($C100="",$J100=""),"",N($I100)*$J100)</f>
        <v/>
      </c>
      <c r="U100" s="13" t="str">
        <f aca="false">IF(OR($C100="",$T100=""),"",$L100-$T100)</f>
        <v/>
      </c>
      <c r="V100" s="14" t="str">
        <f aca="false">IF(OR($U100="",$L100=0),"",$U100/$L100)</f>
        <v/>
      </c>
      <c r="W100" s="11"/>
      <c r="X100" s="23" t="str">
        <f aca="false">IF($C100="","",IF(AND($H100="",N($I100)=0,N($K100)=0),"Dòng chỉ lưu thông tin khách (chưa có đơn); ",IF($B100="","Thiếu ngày đặt; ","")&amp;IF($H100="","Thiếu tên sản phẩm; ",IF($J100="","Chưa khai GIÁ GỐC ở BẢNG GIÁ GỐC; ",""))&amp;IF(N($I100)&lt;=0,"Thiếu số lượng; ","")&amp;IF(N($K100)&lt;=0,"Thiếu giá bán; ","")&amp;IF(AND($N100&gt;0,$F100=""),"Khách lấy VAT thiếu mã số thuế; ","")&amp;IF(N($Q100)&gt;$P100,"Đã thu vượt tổng phải thu; ","")&amp;IF(AND($L100&gt;0,$U100&lt;&gt;"",$U100&lt;0),"CẢNH BÁO: ĐƠN NÀY ĐANG LỖ; ","")))</f>
        <v/>
      </c>
    </row>
    <row r="101" customFormat="false" ht="15" hidden="false" customHeight="false" outlineLevel="0" collapsed="false">
      <c r="A101" s="21" t="str">
        <f aca="false">IF($C101="","",COUNTA($C$10:$C101))</f>
        <v/>
      </c>
      <c r="B101" s="18"/>
      <c r="C101" s="11"/>
      <c r="D101" s="11"/>
      <c r="E101" s="11"/>
      <c r="F101" s="11"/>
      <c r="G101" s="11"/>
      <c r="H101" s="11"/>
      <c r="I101" s="12"/>
      <c r="J101" s="13" t="str">
        <f aca="false">IF($H101="","",IFERROR(VLOOKUP($H101,'BẢNG GIÁ GỐC'!$A$5:$D$254,3,FALSE()),""))</f>
        <v/>
      </c>
      <c r="K101" s="12"/>
      <c r="L101" s="13" t="str">
        <f aca="false">IF($C101="","",N($I101)*N($K101))</f>
        <v/>
      </c>
      <c r="M101" s="11"/>
      <c r="N101" s="14" t="str">
        <f aca="false">IF($C101="","",IF($M101="VAT 5%",0.05,IF($M101="VAT 8%",0.08,IF($M101="VAT 10%",0.1,0))))</f>
        <v/>
      </c>
      <c r="O101" s="13" t="str">
        <f aca="false">IF($C101="","",$L101*$N101)</f>
        <v/>
      </c>
      <c r="P101" s="13" t="str">
        <f aca="false">IF($C101="","",$L101+$O101)</f>
        <v/>
      </c>
      <c r="Q101" s="12"/>
      <c r="R101" s="13" t="str">
        <f aca="false">IF($C101="","",MAX(0,$P101-N($Q101)))</f>
        <v/>
      </c>
      <c r="S101" s="23" t="str">
        <f aca="false">IF(OR($C101="",$P101=0),"",IF(N($Q101)&lt;=0,"Chưa thanh toán",IF(N($Q101)&lt;$P101,"Thanh toán một phần","Đã thanh toán")))</f>
        <v/>
      </c>
      <c r="T101" s="13" t="str">
        <f aca="false">IF(OR($C101="",$J101=""),"",N($I101)*$J101)</f>
        <v/>
      </c>
      <c r="U101" s="13" t="str">
        <f aca="false">IF(OR($C101="",$T101=""),"",$L101-$T101)</f>
        <v/>
      </c>
      <c r="V101" s="14" t="str">
        <f aca="false">IF(OR($U101="",$L101=0),"",$U101/$L101)</f>
        <v/>
      </c>
      <c r="W101" s="11"/>
      <c r="X101" s="23" t="str">
        <f aca="false">IF($C101="","",IF(AND($H101="",N($I101)=0,N($K101)=0),"Dòng chỉ lưu thông tin khách (chưa có đơn); ",IF($B101="","Thiếu ngày đặt; ","")&amp;IF($H101="","Thiếu tên sản phẩm; ",IF($J101="","Chưa khai GIÁ GỐC ở BẢNG GIÁ GỐC; ",""))&amp;IF(N($I101)&lt;=0,"Thiếu số lượng; ","")&amp;IF(N($K101)&lt;=0,"Thiếu giá bán; ","")&amp;IF(AND($N101&gt;0,$F101=""),"Khách lấy VAT thiếu mã số thuế; ","")&amp;IF(N($Q101)&gt;$P101,"Đã thu vượt tổng phải thu; ","")&amp;IF(AND($L101&gt;0,$U101&lt;&gt;"",$U101&lt;0),"CẢNH BÁO: ĐƠN NÀY ĐANG LỖ; ","")))</f>
        <v/>
      </c>
    </row>
    <row r="102" customFormat="false" ht="15" hidden="false" customHeight="false" outlineLevel="0" collapsed="false">
      <c r="A102" s="21" t="str">
        <f aca="false">IF($C102="","",COUNTA($C$10:$C102))</f>
        <v/>
      </c>
      <c r="B102" s="18"/>
      <c r="C102" s="11"/>
      <c r="D102" s="11"/>
      <c r="E102" s="11"/>
      <c r="F102" s="11"/>
      <c r="G102" s="11"/>
      <c r="H102" s="11"/>
      <c r="I102" s="12"/>
      <c r="J102" s="13" t="str">
        <f aca="false">IF($H102="","",IFERROR(VLOOKUP($H102,'BẢNG GIÁ GỐC'!$A$5:$D$254,3,FALSE()),""))</f>
        <v/>
      </c>
      <c r="K102" s="12"/>
      <c r="L102" s="13" t="str">
        <f aca="false">IF($C102="","",N($I102)*N($K102))</f>
        <v/>
      </c>
      <c r="M102" s="11"/>
      <c r="N102" s="14" t="str">
        <f aca="false">IF($C102="","",IF($M102="VAT 5%",0.05,IF($M102="VAT 8%",0.08,IF($M102="VAT 10%",0.1,0))))</f>
        <v/>
      </c>
      <c r="O102" s="13" t="str">
        <f aca="false">IF($C102="","",$L102*$N102)</f>
        <v/>
      </c>
      <c r="P102" s="13" t="str">
        <f aca="false">IF($C102="","",$L102+$O102)</f>
        <v/>
      </c>
      <c r="Q102" s="12"/>
      <c r="R102" s="13" t="str">
        <f aca="false">IF($C102="","",MAX(0,$P102-N($Q102)))</f>
        <v/>
      </c>
      <c r="S102" s="23" t="str">
        <f aca="false">IF(OR($C102="",$P102=0),"",IF(N($Q102)&lt;=0,"Chưa thanh toán",IF(N($Q102)&lt;$P102,"Thanh toán một phần","Đã thanh toán")))</f>
        <v/>
      </c>
      <c r="T102" s="13" t="str">
        <f aca="false">IF(OR($C102="",$J102=""),"",N($I102)*$J102)</f>
        <v/>
      </c>
      <c r="U102" s="13" t="str">
        <f aca="false">IF(OR($C102="",$T102=""),"",$L102-$T102)</f>
        <v/>
      </c>
      <c r="V102" s="14" t="str">
        <f aca="false">IF(OR($U102="",$L102=0),"",$U102/$L102)</f>
        <v/>
      </c>
      <c r="W102" s="11"/>
      <c r="X102" s="23" t="str">
        <f aca="false">IF($C102="","",IF(AND($H102="",N($I102)=0,N($K102)=0),"Dòng chỉ lưu thông tin khách (chưa có đơn); ",IF($B102="","Thiếu ngày đặt; ","")&amp;IF($H102="","Thiếu tên sản phẩm; ",IF($J102="","Chưa khai GIÁ GỐC ở BẢNG GIÁ GỐC; ",""))&amp;IF(N($I102)&lt;=0,"Thiếu số lượng; ","")&amp;IF(N($K102)&lt;=0,"Thiếu giá bán; ","")&amp;IF(AND($N102&gt;0,$F102=""),"Khách lấy VAT thiếu mã số thuế; ","")&amp;IF(N($Q102)&gt;$P102,"Đã thu vượt tổng phải thu; ","")&amp;IF(AND($L102&gt;0,$U102&lt;&gt;"",$U102&lt;0),"CẢNH BÁO: ĐƠN NÀY ĐANG LỖ; ","")))</f>
        <v/>
      </c>
    </row>
    <row r="103" customFormat="false" ht="15" hidden="false" customHeight="false" outlineLevel="0" collapsed="false">
      <c r="A103" s="21" t="str">
        <f aca="false">IF($C103="","",COUNTA($C$10:$C103))</f>
        <v/>
      </c>
      <c r="B103" s="18"/>
      <c r="C103" s="11"/>
      <c r="D103" s="11"/>
      <c r="E103" s="11"/>
      <c r="F103" s="11"/>
      <c r="G103" s="11"/>
      <c r="H103" s="11"/>
      <c r="I103" s="12"/>
      <c r="J103" s="13" t="str">
        <f aca="false">IF($H103="","",IFERROR(VLOOKUP($H103,'BẢNG GIÁ GỐC'!$A$5:$D$254,3,FALSE()),""))</f>
        <v/>
      </c>
      <c r="K103" s="12"/>
      <c r="L103" s="13" t="str">
        <f aca="false">IF($C103="","",N($I103)*N($K103))</f>
        <v/>
      </c>
      <c r="M103" s="11"/>
      <c r="N103" s="14" t="str">
        <f aca="false">IF($C103="","",IF($M103="VAT 5%",0.05,IF($M103="VAT 8%",0.08,IF($M103="VAT 10%",0.1,0))))</f>
        <v/>
      </c>
      <c r="O103" s="13" t="str">
        <f aca="false">IF($C103="","",$L103*$N103)</f>
        <v/>
      </c>
      <c r="P103" s="13" t="str">
        <f aca="false">IF($C103="","",$L103+$O103)</f>
        <v/>
      </c>
      <c r="Q103" s="12"/>
      <c r="R103" s="13" t="str">
        <f aca="false">IF($C103="","",MAX(0,$P103-N($Q103)))</f>
        <v/>
      </c>
      <c r="S103" s="23" t="str">
        <f aca="false">IF(OR($C103="",$P103=0),"",IF(N($Q103)&lt;=0,"Chưa thanh toán",IF(N($Q103)&lt;$P103,"Thanh toán một phần","Đã thanh toán")))</f>
        <v/>
      </c>
      <c r="T103" s="13" t="str">
        <f aca="false">IF(OR($C103="",$J103=""),"",N($I103)*$J103)</f>
        <v/>
      </c>
      <c r="U103" s="13" t="str">
        <f aca="false">IF(OR($C103="",$T103=""),"",$L103-$T103)</f>
        <v/>
      </c>
      <c r="V103" s="14" t="str">
        <f aca="false">IF(OR($U103="",$L103=0),"",$U103/$L103)</f>
        <v/>
      </c>
      <c r="W103" s="11"/>
      <c r="X103" s="23" t="str">
        <f aca="false">IF($C103="","",IF(AND($H103="",N($I103)=0,N($K103)=0),"Dòng chỉ lưu thông tin khách (chưa có đơn); ",IF($B103="","Thiếu ngày đặt; ","")&amp;IF($H103="","Thiếu tên sản phẩm; ",IF($J103="","Chưa khai GIÁ GỐC ở BẢNG GIÁ GỐC; ",""))&amp;IF(N($I103)&lt;=0,"Thiếu số lượng; ","")&amp;IF(N($K103)&lt;=0,"Thiếu giá bán; ","")&amp;IF(AND($N103&gt;0,$F103=""),"Khách lấy VAT thiếu mã số thuế; ","")&amp;IF(N($Q103)&gt;$P103,"Đã thu vượt tổng phải thu; ","")&amp;IF(AND($L103&gt;0,$U103&lt;&gt;"",$U103&lt;0),"CẢNH BÁO: ĐƠN NÀY ĐANG LỖ; ","")))</f>
        <v/>
      </c>
    </row>
    <row r="104" customFormat="false" ht="15" hidden="false" customHeight="false" outlineLevel="0" collapsed="false">
      <c r="A104" s="21" t="str">
        <f aca="false">IF($C104="","",COUNTA($C$10:$C104))</f>
        <v/>
      </c>
      <c r="B104" s="18"/>
      <c r="C104" s="11"/>
      <c r="D104" s="11"/>
      <c r="E104" s="11"/>
      <c r="F104" s="11"/>
      <c r="G104" s="11"/>
      <c r="H104" s="11"/>
      <c r="I104" s="12"/>
      <c r="J104" s="13" t="str">
        <f aca="false">IF($H104="","",IFERROR(VLOOKUP($H104,'BẢNG GIÁ GỐC'!$A$5:$D$254,3,FALSE()),""))</f>
        <v/>
      </c>
      <c r="K104" s="12"/>
      <c r="L104" s="13" t="str">
        <f aca="false">IF($C104="","",N($I104)*N($K104))</f>
        <v/>
      </c>
      <c r="M104" s="11"/>
      <c r="N104" s="14" t="str">
        <f aca="false">IF($C104="","",IF($M104="VAT 5%",0.05,IF($M104="VAT 8%",0.08,IF($M104="VAT 10%",0.1,0))))</f>
        <v/>
      </c>
      <c r="O104" s="13" t="str">
        <f aca="false">IF($C104="","",$L104*$N104)</f>
        <v/>
      </c>
      <c r="P104" s="13" t="str">
        <f aca="false">IF($C104="","",$L104+$O104)</f>
        <v/>
      </c>
      <c r="Q104" s="12"/>
      <c r="R104" s="13" t="str">
        <f aca="false">IF($C104="","",MAX(0,$P104-N($Q104)))</f>
        <v/>
      </c>
      <c r="S104" s="23" t="str">
        <f aca="false">IF(OR($C104="",$P104=0),"",IF(N($Q104)&lt;=0,"Chưa thanh toán",IF(N($Q104)&lt;$P104,"Thanh toán một phần","Đã thanh toán")))</f>
        <v/>
      </c>
      <c r="T104" s="13" t="str">
        <f aca="false">IF(OR($C104="",$J104=""),"",N($I104)*$J104)</f>
        <v/>
      </c>
      <c r="U104" s="13" t="str">
        <f aca="false">IF(OR($C104="",$T104=""),"",$L104-$T104)</f>
        <v/>
      </c>
      <c r="V104" s="14" t="str">
        <f aca="false">IF(OR($U104="",$L104=0),"",$U104/$L104)</f>
        <v/>
      </c>
      <c r="W104" s="11"/>
      <c r="X104" s="23" t="str">
        <f aca="false">IF($C104="","",IF(AND($H104="",N($I104)=0,N($K104)=0),"Dòng chỉ lưu thông tin khách (chưa có đơn); ",IF($B104="","Thiếu ngày đặt; ","")&amp;IF($H104="","Thiếu tên sản phẩm; ",IF($J104="","Chưa khai GIÁ GỐC ở BẢNG GIÁ GỐC; ",""))&amp;IF(N($I104)&lt;=0,"Thiếu số lượng; ","")&amp;IF(N($K104)&lt;=0,"Thiếu giá bán; ","")&amp;IF(AND($N104&gt;0,$F104=""),"Khách lấy VAT thiếu mã số thuế; ","")&amp;IF(N($Q104)&gt;$P104,"Đã thu vượt tổng phải thu; ","")&amp;IF(AND($L104&gt;0,$U104&lt;&gt;"",$U104&lt;0),"CẢNH BÁO: ĐƠN NÀY ĐANG LỖ; ","")))</f>
        <v/>
      </c>
    </row>
    <row r="105" customFormat="false" ht="15" hidden="false" customHeight="false" outlineLevel="0" collapsed="false">
      <c r="A105" s="21" t="str">
        <f aca="false">IF($C105="","",COUNTA($C$10:$C105))</f>
        <v/>
      </c>
      <c r="B105" s="18"/>
      <c r="C105" s="11"/>
      <c r="D105" s="11"/>
      <c r="E105" s="11"/>
      <c r="F105" s="11"/>
      <c r="G105" s="11"/>
      <c r="H105" s="11"/>
      <c r="I105" s="12"/>
      <c r="J105" s="13" t="str">
        <f aca="false">IF($H105="","",IFERROR(VLOOKUP($H105,'BẢNG GIÁ GỐC'!$A$5:$D$254,3,FALSE()),""))</f>
        <v/>
      </c>
      <c r="K105" s="12"/>
      <c r="L105" s="13" t="str">
        <f aca="false">IF($C105="","",N($I105)*N($K105))</f>
        <v/>
      </c>
      <c r="M105" s="11"/>
      <c r="N105" s="14" t="str">
        <f aca="false">IF($C105="","",IF($M105="VAT 5%",0.05,IF($M105="VAT 8%",0.08,IF($M105="VAT 10%",0.1,0))))</f>
        <v/>
      </c>
      <c r="O105" s="13" t="str">
        <f aca="false">IF($C105="","",$L105*$N105)</f>
        <v/>
      </c>
      <c r="P105" s="13" t="str">
        <f aca="false">IF($C105="","",$L105+$O105)</f>
        <v/>
      </c>
      <c r="Q105" s="12"/>
      <c r="R105" s="13" t="str">
        <f aca="false">IF($C105="","",MAX(0,$P105-N($Q105)))</f>
        <v/>
      </c>
      <c r="S105" s="23" t="str">
        <f aca="false">IF(OR($C105="",$P105=0),"",IF(N($Q105)&lt;=0,"Chưa thanh toán",IF(N($Q105)&lt;$P105,"Thanh toán một phần","Đã thanh toán")))</f>
        <v/>
      </c>
      <c r="T105" s="13" t="str">
        <f aca="false">IF(OR($C105="",$J105=""),"",N($I105)*$J105)</f>
        <v/>
      </c>
      <c r="U105" s="13" t="str">
        <f aca="false">IF(OR($C105="",$T105=""),"",$L105-$T105)</f>
        <v/>
      </c>
      <c r="V105" s="14" t="str">
        <f aca="false">IF(OR($U105="",$L105=0),"",$U105/$L105)</f>
        <v/>
      </c>
      <c r="W105" s="11"/>
      <c r="X105" s="23" t="str">
        <f aca="false">IF($C105="","",IF(AND($H105="",N($I105)=0,N($K105)=0),"Dòng chỉ lưu thông tin khách (chưa có đơn); ",IF($B105="","Thiếu ngày đặt; ","")&amp;IF($H105="","Thiếu tên sản phẩm; ",IF($J105="","Chưa khai GIÁ GỐC ở BẢNG GIÁ GỐC; ",""))&amp;IF(N($I105)&lt;=0,"Thiếu số lượng; ","")&amp;IF(N($K105)&lt;=0,"Thiếu giá bán; ","")&amp;IF(AND($N105&gt;0,$F105=""),"Khách lấy VAT thiếu mã số thuế; ","")&amp;IF(N($Q105)&gt;$P105,"Đã thu vượt tổng phải thu; ","")&amp;IF(AND($L105&gt;0,$U105&lt;&gt;"",$U105&lt;0),"CẢNH BÁO: ĐƠN NÀY ĐANG LỖ; ","")))</f>
        <v/>
      </c>
    </row>
    <row r="106" customFormat="false" ht="15" hidden="false" customHeight="false" outlineLevel="0" collapsed="false">
      <c r="A106" s="21" t="str">
        <f aca="false">IF($C106="","",COUNTA($C$10:$C106))</f>
        <v/>
      </c>
      <c r="B106" s="18"/>
      <c r="C106" s="11"/>
      <c r="D106" s="11"/>
      <c r="E106" s="11"/>
      <c r="F106" s="11"/>
      <c r="G106" s="11"/>
      <c r="H106" s="11"/>
      <c r="I106" s="12"/>
      <c r="J106" s="13" t="str">
        <f aca="false">IF($H106="","",IFERROR(VLOOKUP($H106,'BẢNG GIÁ GỐC'!$A$5:$D$254,3,FALSE()),""))</f>
        <v/>
      </c>
      <c r="K106" s="12"/>
      <c r="L106" s="13" t="str">
        <f aca="false">IF($C106="","",N($I106)*N($K106))</f>
        <v/>
      </c>
      <c r="M106" s="11"/>
      <c r="N106" s="14" t="str">
        <f aca="false">IF($C106="","",IF($M106="VAT 5%",0.05,IF($M106="VAT 8%",0.08,IF($M106="VAT 10%",0.1,0))))</f>
        <v/>
      </c>
      <c r="O106" s="13" t="str">
        <f aca="false">IF($C106="","",$L106*$N106)</f>
        <v/>
      </c>
      <c r="P106" s="13" t="str">
        <f aca="false">IF($C106="","",$L106+$O106)</f>
        <v/>
      </c>
      <c r="Q106" s="12"/>
      <c r="R106" s="13" t="str">
        <f aca="false">IF($C106="","",MAX(0,$P106-N($Q106)))</f>
        <v/>
      </c>
      <c r="S106" s="23" t="str">
        <f aca="false">IF(OR($C106="",$P106=0),"",IF(N($Q106)&lt;=0,"Chưa thanh toán",IF(N($Q106)&lt;$P106,"Thanh toán một phần","Đã thanh toán")))</f>
        <v/>
      </c>
      <c r="T106" s="13" t="str">
        <f aca="false">IF(OR($C106="",$J106=""),"",N($I106)*$J106)</f>
        <v/>
      </c>
      <c r="U106" s="13" t="str">
        <f aca="false">IF(OR($C106="",$T106=""),"",$L106-$T106)</f>
        <v/>
      </c>
      <c r="V106" s="14" t="str">
        <f aca="false">IF(OR($U106="",$L106=0),"",$U106/$L106)</f>
        <v/>
      </c>
      <c r="W106" s="11"/>
      <c r="X106" s="23" t="str">
        <f aca="false">IF($C106="","",IF(AND($H106="",N($I106)=0,N($K106)=0),"Dòng chỉ lưu thông tin khách (chưa có đơn); ",IF($B106="","Thiếu ngày đặt; ","")&amp;IF($H106="","Thiếu tên sản phẩm; ",IF($J106="","Chưa khai GIÁ GỐC ở BẢNG GIÁ GỐC; ",""))&amp;IF(N($I106)&lt;=0,"Thiếu số lượng; ","")&amp;IF(N($K106)&lt;=0,"Thiếu giá bán; ","")&amp;IF(AND($N106&gt;0,$F106=""),"Khách lấy VAT thiếu mã số thuế; ","")&amp;IF(N($Q106)&gt;$P106,"Đã thu vượt tổng phải thu; ","")&amp;IF(AND($L106&gt;0,$U106&lt;&gt;"",$U106&lt;0),"CẢNH BÁO: ĐƠN NÀY ĐANG LỖ; ","")))</f>
        <v/>
      </c>
    </row>
    <row r="107" customFormat="false" ht="15" hidden="false" customHeight="false" outlineLevel="0" collapsed="false">
      <c r="A107" s="21" t="str">
        <f aca="false">IF($C107="","",COUNTA($C$10:$C107))</f>
        <v/>
      </c>
      <c r="B107" s="18"/>
      <c r="C107" s="11"/>
      <c r="D107" s="11"/>
      <c r="E107" s="11"/>
      <c r="F107" s="11"/>
      <c r="G107" s="11"/>
      <c r="H107" s="11"/>
      <c r="I107" s="12"/>
      <c r="J107" s="13" t="str">
        <f aca="false">IF($H107="","",IFERROR(VLOOKUP($H107,'BẢNG GIÁ GỐC'!$A$5:$D$254,3,FALSE()),""))</f>
        <v/>
      </c>
      <c r="K107" s="12"/>
      <c r="L107" s="13" t="str">
        <f aca="false">IF($C107="","",N($I107)*N($K107))</f>
        <v/>
      </c>
      <c r="M107" s="11"/>
      <c r="N107" s="14" t="str">
        <f aca="false">IF($C107="","",IF($M107="VAT 5%",0.05,IF($M107="VAT 8%",0.08,IF($M107="VAT 10%",0.1,0))))</f>
        <v/>
      </c>
      <c r="O107" s="13" t="str">
        <f aca="false">IF($C107="","",$L107*$N107)</f>
        <v/>
      </c>
      <c r="P107" s="13" t="str">
        <f aca="false">IF($C107="","",$L107+$O107)</f>
        <v/>
      </c>
      <c r="Q107" s="12"/>
      <c r="R107" s="13" t="str">
        <f aca="false">IF($C107="","",MAX(0,$P107-N($Q107)))</f>
        <v/>
      </c>
      <c r="S107" s="23" t="str">
        <f aca="false">IF(OR($C107="",$P107=0),"",IF(N($Q107)&lt;=0,"Chưa thanh toán",IF(N($Q107)&lt;$P107,"Thanh toán một phần","Đã thanh toán")))</f>
        <v/>
      </c>
      <c r="T107" s="13" t="str">
        <f aca="false">IF(OR($C107="",$J107=""),"",N($I107)*$J107)</f>
        <v/>
      </c>
      <c r="U107" s="13" t="str">
        <f aca="false">IF(OR($C107="",$T107=""),"",$L107-$T107)</f>
        <v/>
      </c>
      <c r="V107" s="14" t="str">
        <f aca="false">IF(OR($U107="",$L107=0),"",$U107/$L107)</f>
        <v/>
      </c>
      <c r="W107" s="11"/>
      <c r="X107" s="23" t="str">
        <f aca="false">IF($C107="","",IF(AND($H107="",N($I107)=0,N($K107)=0),"Dòng chỉ lưu thông tin khách (chưa có đơn); ",IF($B107="","Thiếu ngày đặt; ","")&amp;IF($H107="","Thiếu tên sản phẩm; ",IF($J107="","Chưa khai GIÁ GỐC ở BẢNG GIÁ GỐC; ",""))&amp;IF(N($I107)&lt;=0,"Thiếu số lượng; ","")&amp;IF(N($K107)&lt;=0,"Thiếu giá bán; ","")&amp;IF(AND($N107&gt;0,$F107=""),"Khách lấy VAT thiếu mã số thuế; ","")&amp;IF(N($Q107)&gt;$P107,"Đã thu vượt tổng phải thu; ","")&amp;IF(AND($L107&gt;0,$U107&lt;&gt;"",$U107&lt;0),"CẢNH BÁO: ĐƠN NÀY ĐANG LỖ; ","")))</f>
        <v/>
      </c>
    </row>
    <row r="108" customFormat="false" ht="15" hidden="false" customHeight="false" outlineLevel="0" collapsed="false">
      <c r="A108" s="21" t="str">
        <f aca="false">IF($C108="","",COUNTA($C$10:$C108))</f>
        <v/>
      </c>
      <c r="B108" s="18"/>
      <c r="C108" s="11"/>
      <c r="D108" s="11"/>
      <c r="E108" s="11"/>
      <c r="F108" s="11"/>
      <c r="G108" s="11"/>
      <c r="H108" s="11"/>
      <c r="I108" s="12"/>
      <c r="J108" s="13" t="str">
        <f aca="false">IF($H108="","",IFERROR(VLOOKUP($H108,'BẢNG GIÁ GỐC'!$A$5:$D$254,3,FALSE()),""))</f>
        <v/>
      </c>
      <c r="K108" s="12"/>
      <c r="L108" s="13" t="str">
        <f aca="false">IF($C108="","",N($I108)*N($K108))</f>
        <v/>
      </c>
      <c r="M108" s="11"/>
      <c r="N108" s="14" t="str">
        <f aca="false">IF($C108="","",IF($M108="VAT 5%",0.05,IF($M108="VAT 8%",0.08,IF($M108="VAT 10%",0.1,0))))</f>
        <v/>
      </c>
      <c r="O108" s="13" t="str">
        <f aca="false">IF($C108="","",$L108*$N108)</f>
        <v/>
      </c>
      <c r="P108" s="13" t="str">
        <f aca="false">IF($C108="","",$L108+$O108)</f>
        <v/>
      </c>
      <c r="Q108" s="12"/>
      <c r="R108" s="13" t="str">
        <f aca="false">IF($C108="","",MAX(0,$P108-N($Q108)))</f>
        <v/>
      </c>
      <c r="S108" s="23" t="str">
        <f aca="false">IF(OR($C108="",$P108=0),"",IF(N($Q108)&lt;=0,"Chưa thanh toán",IF(N($Q108)&lt;$P108,"Thanh toán một phần","Đã thanh toán")))</f>
        <v/>
      </c>
      <c r="T108" s="13" t="str">
        <f aca="false">IF(OR($C108="",$J108=""),"",N($I108)*$J108)</f>
        <v/>
      </c>
      <c r="U108" s="13" t="str">
        <f aca="false">IF(OR($C108="",$T108=""),"",$L108-$T108)</f>
        <v/>
      </c>
      <c r="V108" s="14" t="str">
        <f aca="false">IF(OR($U108="",$L108=0),"",$U108/$L108)</f>
        <v/>
      </c>
      <c r="W108" s="11"/>
      <c r="X108" s="23" t="str">
        <f aca="false">IF($C108="","",IF(AND($H108="",N($I108)=0,N($K108)=0),"Dòng chỉ lưu thông tin khách (chưa có đơn); ",IF($B108="","Thiếu ngày đặt; ","")&amp;IF($H108="","Thiếu tên sản phẩm; ",IF($J108="","Chưa khai GIÁ GỐC ở BẢNG GIÁ GỐC; ",""))&amp;IF(N($I108)&lt;=0,"Thiếu số lượng; ","")&amp;IF(N($K108)&lt;=0,"Thiếu giá bán; ","")&amp;IF(AND($N108&gt;0,$F108=""),"Khách lấy VAT thiếu mã số thuế; ","")&amp;IF(N($Q108)&gt;$P108,"Đã thu vượt tổng phải thu; ","")&amp;IF(AND($L108&gt;0,$U108&lt;&gt;"",$U108&lt;0),"CẢNH BÁO: ĐƠN NÀY ĐANG LỖ; ","")))</f>
        <v/>
      </c>
    </row>
    <row r="109" customFormat="false" ht="15" hidden="false" customHeight="false" outlineLevel="0" collapsed="false">
      <c r="A109" s="21" t="str">
        <f aca="false">IF($C109="","",COUNTA($C$10:$C109))</f>
        <v/>
      </c>
      <c r="B109" s="18"/>
      <c r="C109" s="11"/>
      <c r="D109" s="11"/>
      <c r="E109" s="11"/>
      <c r="F109" s="11"/>
      <c r="G109" s="11"/>
      <c r="H109" s="11"/>
      <c r="I109" s="12"/>
      <c r="J109" s="13" t="str">
        <f aca="false">IF($H109="","",IFERROR(VLOOKUP($H109,'BẢNG GIÁ GỐC'!$A$5:$D$254,3,FALSE()),""))</f>
        <v/>
      </c>
      <c r="K109" s="12"/>
      <c r="L109" s="13" t="str">
        <f aca="false">IF($C109="","",N($I109)*N($K109))</f>
        <v/>
      </c>
      <c r="M109" s="11"/>
      <c r="N109" s="14" t="str">
        <f aca="false">IF($C109="","",IF($M109="VAT 5%",0.05,IF($M109="VAT 8%",0.08,IF($M109="VAT 10%",0.1,0))))</f>
        <v/>
      </c>
      <c r="O109" s="13" t="str">
        <f aca="false">IF($C109="","",$L109*$N109)</f>
        <v/>
      </c>
      <c r="P109" s="13" t="str">
        <f aca="false">IF($C109="","",$L109+$O109)</f>
        <v/>
      </c>
      <c r="Q109" s="12"/>
      <c r="R109" s="13" t="str">
        <f aca="false">IF($C109="","",MAX(0,$P109-N($Q109)))</f>
        <v/>
      </c>
      <c r="S109" s="23" t="str">
        <f aca="false">IF(OR($C109="",$P109=0),"",IF(N($Q109)&lt;=0,"Chưa thanh toán",IF(N($Q109)&lt;$P109,"Thanh toán một phần","Đã thanh toán")))</f>
        <v/>
      </c>
      <c r="T109" s="13" t="str">
        <f aca="false">IF(OR($C109="",$J109=""),"",N($I109)*$J109)</f>
        <v/>
      </c>
      <c r="U109" s="13" t="str">
        <f aca="false">IF(OR($C109="",$T109=""),"",$L109-$T109)</f>
        <v/>
      </c>
      <c r="V109" s="14" t="str">
        <f aca="false">IF(OR($U109="",$L109=0),"",$U109/$L109)</f>
        <v/>
      </c>
      <c r="W109" s="11"/>
      <c r="X109" s="23" t="str">
        <f aca="false">IF($C109="","",IF(AND($H109="",N($I109)=0,N($K109)=0),"Dòng chỉ lưu thông tin khách (chưa có đơn); ",IF($B109="","Thiếu ngày đặt; ","")&amp;IF($H109="","Thiếu tên sản phẩm; ",IF($J109="","Chưa khai GIÁ GỐC ở BẢNG GIÁ GỐC; ",""))&amp;IF(N($I109)&lt;=0,"Thiếu số lượng; ","")&amp;IF(N($K109)&lt;=0,"Thiếu giá bán; ","")&amp;IF(AND($N109&gt;0,$F109=""),"Khách lấy VAT thiếu mã số thuế; ","")&amp;IF(N($Q109)&gt;$P109,"Đã thu vượt tổng phải thu; ","")&amp;IF(AND($L109&gt;0,$U109&lt;&gt;"",$U109&lt;0),"CẢNH BÁO: ĐƠN NÀY ĐANG LỖ; ","")))</f>
        <v/>
      </c>
    </row>
    <row r="110" customFormat="false" ht="15" hidden="false" customHeight="false" outlineLevel="0" collapsed="false">
      <c r="A110" s="21" t="str">
        <f aca="false">IF($C110="","",COUNTA($C$10:$C110))</f>
        <v/>
      </c>
      <c r="B110" s="18"/>
      <c r="C110" s="11"/>
      <c r="D110" s="11"/>
      <c r="E110" s="11"/>
      <c r="F110" s="11"/>
      <c r="G110" s="11"/>
      <c r="H110" s="11"/>
      <c r="I110" s="12"/>
      <c r="J110" s="13" t="str">
        <f aca="false">IF($H110="","",IFERROR(VLOOKUP($H110,'BẢNG GIÁ GỐC'!$A$5:$D$254,3,FALSE()),""))</f>
        <v/>
      </c>
      <c r="K110" s="12"/>
      <c r="L110" s="13" t="str">
        <f aca="false">IF($C110="","",N($I110)*N($K110))</f>
        <v/>
      </c>
      <c r="M110" s="11"/>
      <c r="N110" s="14" t="str">
        <f aca="false">IF($C110="","",IF($M110="VAT 5%",0.05,IF($M110="VAT 8%",0.08,IF($M110="VAT 10%",0.1,0))))</f>
        <v/>
      </c>
      <c r="O110" s="13" t="str">
        <f aca="false">IF($C110="","",$L110*$N110)</f>
        <v/>
      </c>
      <c r="P110" s="13" t="str">
        <f aca="false">IF($C110="","",$L110+$O110)</f>
        <v/>
      </c>
      <c r="Q110" s="12"/>
      <c r="R110" s="13" t="str">
        <f aca="false">IF($C110="","",MAX(0,$P110-N($Q110)))</f>
        <v/>
      </c>
      <c r="S110" s="23" t="str">
        <f aca="false">IF(OR($C110="",$P110=0),"",IF(N($Q110)&lt;=0,"Chưa thanh toán",IF(N($Q110)&lt;$P110,"Thanh toán một phần","Đã thanh toán")))</f>
        <v/>
      </c>
      <c r="T110" s="13" t="str">
        <f aca="false">IF(OR($C110="",$J110=""),"",N($I110)*$J110)</f>
        <v/>
      </c>
      <c r="U110" s="13" t="str">
        <f aca="false">IF(OR($C110="",$T110=""),"",$L110-$T110)</f>
        <v/>
      </c>
      <c r="V110" s="14" t="str">
        <f aca="false">IF(OR($U110="",$L110=0),"",$U110/$L110)</f>
        <v/>
      </c>
      <c r="W110" s="11"/>
      <c r="X110" s="23" t="str">
        <f aca="false">IF($C110="","",IF(AND($H110="",N($I110)=0,N($K110)=0),"Dòng chỉ lưu thông tin khách (chưa có đơn); ",IF($B110="","Thiếu ngày đặt; ","")&amp;IF($H110="","Thiếu tên sản phẩm; ",IF($J110="","Chưa khai GIÁ GỐC ở BẢNG GIÁ GỐC; ",""))&amp;IF(N($I110)&lt;=0,"Thiếu số lượng; ","")&amp;IF(N($K110)&lt;=0,"Thiếu giá bán; ","")&amp;IF(AND($N110&gt;0,$F110=""),"Khách lấy VAT thiếu mã số thuế; ","")&amp;IF(N($Q110)&gt;$P110,"Đã thu vượt tổng phải thu; ","")&amp;IF(AND($L110&gt;0,$U110&lt;&gt;"",$U110&lt;0),"CẢNH BÁO: ĐƠN NÀY ĐANG LỖ; ","")))</f>
        <v/>
      </c>
    </row>
    <row r="111" customFormat="false" ht="15" hidden="false" customHeight="false" outlineLevel="0" collapsed="false">
      <c r="A111" s="21" t="str">
        <f aca="false">IF($C111="","",COUNTA($C$10:$C111))</f>
        <v/>
      </c>
      <c r="B111" s="18"/>
      <c r="C111" s="11"/>
      <c r="D111" s="11"/>
      <c r="E111" s="11"/>
      <c r="F111" s="11"/>
      <c r="G111" s="11"/>
      <c r="H111" s="11"/>
      <c r="I111" s="12"/>
      <c r="J111" s="13" t="str">
        <f aca="false">IF($H111="","",IFERROR(VLOOKUP($H111,'BẢNG GIÁ GỐC'!$A$5:$D$254,3,FALSE()),""))</f>
        <v/>
      </c>
      <c r="K111" s="12"/>
      <c r="L111" s="13" t="str">
        <f aca="false">IF($C111="","",N($I111)*N($K111))</f>
        <v/>
      </c>
      <c r="M111" s="11"/>
      <c r="N111" s="14" t="str">
        <f aca="false">IF($C111="","",IF($M111="VAT 5%",0.05,IF($M111="VAT 8%",0.08,IF($M111="VAT 10%",0.1,0))))</f>
        <v/>
      </c>
      <c r="O111" s="13" t="str">
        <f aca="false">IF($C111="","",$L111*$N111)</f>
        <v/>
      </c>
      <c r="P111" s="13" t="str">
        <f aca="false">IF($C111="","",$L111+$O111)</f>
        <v/>
      </c>
      <c r="Q111" s="12"/>
      <c r="R111" s="13" t="str">
        <f aca="false">IF($C111="","",MAX(0,$P111-N($Q111)))</f>
        <v/>
      </c>
      <c r="S111" s="23" t="str">
        <f aca="false">IF(OR($C111="",$P111=0),"",IF(N($Q111)&lt;=0,"Chưa thanh toán",IF(N($Q111)&lt;$P111,"Thanh toán một phần","Đã thanh toán")))</f>
        <v/>
      </c>
      <c r="T111" s="13" t="str">
        <f aca="false">IF(OR($C111="",$J111=""),"",N($I111)*$J111)</f>
        <v/>
      </c>
      <c r="U111" s="13" t="str">
        <f aca="false">IF(OR($C111="",$T111=""),"",$L111-$T111)</f>
        <v/>
      </c>
      <c r="V111" s="14" t="str">
        <f aca="false">IF(OR($U111="",$L111=0),"",$U111/$L111)</f>
        <v/>
      </c>
      <c r="W111" s="11"/>
      <c r="X111" s="23" t="str">
        <f aca="false">IF($C111="","",IF(AND($H111="",N($I111)=0,N($K111)=0),"Dòng chỉ lưu thông tin khách (chưa có đơn); ",IF($B111="","Thiếu ngày đặt; ","")&amp;IF($H111="","Thiếu tên sản phẩm; ",IF($J111="","Chưa khai GIÁ GỐC ở BẢNG GIÁ GỐC; ",""))&amp;IF(N($I111)&lt;=0,"Thiếu số lượng; ","")&amp;IF(N($K111)&lt;=0,"Thiếu giá bán; ","")&amp;IF(AND($N111&gt;0,$F111=""),"Khách lấy VAT thiếu mã số thuế; ","")&amp;IF(N($Q111)&gt;$P111,"Đã thu vượt tổng phải thu; ","")&amp;IF(AND($L111&gt;0,$U111&lt;&gt;"",$U111&lt;0),"CẢNH BÁO: ĐƠN NÀY ĐANG LỖ; ","")))</f>
        <v/>
      </c>
    </row>
    <row r="112" customFormat="false" ht="15" hidden="false" customHeight="false" outlineLevel="0" collapsed="false">
      <c r="A112" s="21" t="str">
        <f aca="false">IF($C112="","",COUNTA($C$10:$C112))</f>
        <v/>
      </c>
      <c r="B112" s="18"/>
      <c r="C112" s="11"/>
      <c r="D112" s="11"/>
      <c r="E112" s="11"/>
      <c r="F112" s="11"/>
      <c r="G112" s="11"/>
      <c r="H112" s="11"/>
      <c r="I112" s="12"/>
      <c r="J112" s="13" t="str">
        <f aca="false">IF($H112="","",IFERROR(VLOOKUP($H112,'BẢNG GIÁ GỐC'!$A$5:$D$254,3,FALSE()),""))</f>
        <v/>
      </c>
      <c r="K112" s="12"/>
      <c r="L112" s="13" t="str">
        <f aca="false">IF($C112="","",N($I112)*N($K112))</f>
        <v/>
      </c>
      <c r="M112" s="11"/>
      <c r="N112" s="14" t="str">
        <f aca="false">IF($C112="","",IF($M112="VAT 5%",0.05,IF($M112="VAT 8%",0.08,IF($M112="VAT 10%",0.1,0))))</f>
        <v/>
      </c>
      <c r="O112" s="13" t="str">
        <f aca="false">IF($C112="","",$L112*$N112)</f>
        <v/>
      </c>
      <c r="P112" s="13" t="str">
        <f aca="false">IF($C112="","",$L112+$O112)</f>
        <v/>
      </c>
      <c r="Q112" s="12"/>
      <c r="R112" s="13" t="str">
        <f aca="false">IF($C112="","",MAX(0,$P112-N($Q112)))</f>
        <v/>
      </c>
      <c r="S112" s="23" t="str">
        <f aca="false">IF(OR($C112="",$P112=0),"",IF(N($Q112)&lt;=0,"Chưa thanh toán",IF(N($Q112)&lt;$P112,"Thanh toán một phần","Đã thanh toán")))</f>
        <v/>
      </c>
      <c r="T112" s="13" t="str">
        <f aca="false">IF(OR($C112="",$J112=""),"",N($I112)*$J112)</f>
        <v/>
      </c>
      <c r="U112" s="13" t="str">
        <f aca="false">IF(OR($C112="",$T112=""),"",$L112-$T112)</f>
        <v/>
      </c>
      <c r="V112" s="14" t="str">
        <f aca="false">IF(OR($U112="",$L112=0),"",$U112/$L112)</f>
        <v/>
      </c>
      <c r="W112" s="11"/>
      <c r="X112" s="23" t="str">
        <f aca="false">IF($C112="","",IF(AND($H112="",N($I112)=0,N($K112)=0),"Dòng chỉ lưu thông tin khách (chưa có đơn); ",IF($B112="","Thiếu ngày đặt; ","")&amp;IF($H112="","Thiếu tên sản phẩm; ",IF($J112="","Chưa khai GIÁ GỐC ở BẢNG GIÁ GỐC; ",""))&amp;IF(N($I112)&lt;=0,"Thiếu số lượng; ","")&amp;IF(N($K112)&lt;=0,"Thiếu giá bán; ","")&amp;IF(AND($N112&gt;0,$F112=""),"Khách lấy VAT thiếu mã số thuế; ","")&amp;IF(N($Q112)&gt;$P112,"Đã thu vượt tổng phải thu; ","")&amp;IF(AND($L112&gt;0,$U112&lt;&gt;"",$U112&lt;0),"CẢNH BÁO: ĐƠN NÀY ĐANG LỖ; ","")))</f>
        <v/>
      </c>
    </row>
    <row r="113" customFormat="false" ht="15" hidden="false" customHeight="false" outlineLevel="0" collapsed="false">
      <c r="A113" s="21" t="str">
        <f aca="false">IF($C113="","",COUNTA($C$10:$C113))</f>
        <v/>
      </c>
      <c r="B113" s="18"/>
      <c r="C113" s="11"/>
      <c r="D113" s="11"/>
      <c r="E113" s="11"/>
      <c r="F113" s="11"/>
      <c r="G113" s="11"/>
      <c r="H113" s="11"/>
      <c r="I113" s="12"/>
      <c r="J113" s="13" t="str">
        <f aca="false">IF($H113="","",IFERROR(VLOOKUP($H113,'BẢNG GIÁ GỐC'!$A$5:$D$254,3,FALSE()),""))</f>
        <v/>
      </c>
      <c r="K113" s="12"/>
      <c r="L113" s="13" t="str">
        <f aca="false">IF($C113="","",N($I113)*N($K113))</f>
        <v/>
      </c>
      <c r="M113" s="11"/>
      <c r="N113" s="14" t="str">
        <f aca="false">IF($C113="","",IF($M113="VAT 5%",0.05,IF($M113="VAT 8%",0.08,IF($M113="VAT 10%",0.1,0))))</f>
        <v/>
      </c>
      <c r="O113" s="13" t="str">
        <f aca="false">IF($C113="","",$L113*$N113)</f>
        <v/>
      </c>
      <c r="P113" s="13" t="str">
        <f aca="false">IF($C113="","",$L113+$O113)</f>
        <v/>
      </c>
      <c r="Q113" s="12"/>
      <c r="R113" s="13" t="str">
        <f aca="false">IF($C113="","",MAX(0,$P113-N($Q113)))</f>
        <v/>
      </c>
      <c r="S113" s="23" t="str">
        <f aca="false">IF(OR($C113="",$P113=0),"",IF(N($Q113)&lt;=0,"Chưa thanh toán",IF(N($Q113)&lt;$P113,"Thanh toán một phần","Đã thanh toán")))</f>
        <v/>
      </c>
      <c r="T113" s="13" t="str">
        <f aca="false">IF(OR($C113="",$J113=""),"",N($I113)*$J113)</f>
        <v/>
      </c>
      <c r="U113" s="13" t="str">
        <f aca="false">IF(OR($C113="",$T113=""),"",$L113-$T113)</f>
        <v/>
      </c>
      <c r="V113" s="14" t="str">
        <f aca="false">IF(OR($U113="",$L113=0),"",$U113/$L113)</f>
        <v/>
      </c>
      <c r="W113" s="11"/>
      <c r="X113" s="23" t="str">
        <f aca="false">IF($C113="","",IF(AND($H113="",N($I113)=0,N($K113)=0),"Dòng chỉ lưu thông tin khách (chưa có đơn); ",IF($B113="","Thiếu ngày đặt; ","")&amp;IF($H113="","Thiếu tên sản phẩm; ",IF($J113="","Chưa khai GIÁ GỐC ở BẢNG GIÁ GỐC; ",""))&amp;IF(N($I113)&lt;=0,"Thiếu số lượng; ","")&amp;IF(N($K113)&lt;=0,"Thiếu giá bán; ","")&amp;IF(AND($N113&gt;0,$F113=""),"Khách lấy VAT thiếu mã số thuế; ","")&amp;IF(N($Q113)&gt;$P113,"Đã thu vượt tổng phải thu; ","")&amp;IF(AND($L113&gt;0,$U113&lt;&gt;"",$U113&lt;0),"CẢNH BÁO: ĐƠN NÀY ĐANG LỖ; ","")))</f>
        <v/>
      </c>
    </row>
    <row r="114" customFormat="false" ht="15" hidden="false" customHeight="false" outlineLevel="0" collapsed="false">
      <c r="A114" s="21" t="str">
        <f aca="false">IF($C114="","",COUNTA($C$10:$C114))</f>
        <v/>
      </c>
      <c r="B114" s="18"/>
      <c r="C114" s="11"/>
      <c r="D114" s="11"/>
      <c r="E114" s="11"/>
      <c r="F114" s="11"/>
      <c r="G114" s="11"/>
      <c r="H114" s="11"/>
      <c r="I114" s="12"/>
      <c r="J114" s="13" t="str">
        <f aca="false">IF($H114="","",IFERROR(VLOOKUP($H114,'BẢNG GIÁ GỐC'!$A$5:$D$254,3,FALSE()),""))</f>
        <v/>
      </c>
      <c r="K114" s="12"/>
      <c r="L114" s="13" t="str">
        <f aca="false">IF($C114="","",N($I114)*N($K114))</f>
        <v/>
      </c>
      <c r="M114" s="11"/>
      <c r="N114" s="14" t="str">
        <f aca="false">IF($C114="","",IF($M114="VAT 5%",0.05,IF($M114="VAT 8%",0.08,IF($M114="VAT 10%",0.1,0))))</f>
        <v/>
      </c>
      <c r="O114" s="13" t="str">
        <f aca="false">IF($C114="","",$L114*$N114)</f>
        <v/>
      </c>
      <c r="P114" s="13" t="str">
        <f aca="false">IF($C114="","",$L114+$O114)</f>
        <v/>
      </c>
      <c r="Q114" s="12"/>
      <c r="R114" s="13" t="str">
        <f aca="false">IF($C114="","",MAX(0,$P114-N($Q114)))</f>
        <v/>
      </c>
      <c r="S114" s="23" t="str">
        <f aca="false">IF(OR($C114="",$P114=0),"",IF(N($Q114)&lt;=0,"Chưa thanh toán",IF(N($Q114)&lt;$P114,"Thanh toán một phần","Đã thanh toán")))</f>
        <v/>
      </c>
      <c r="T114" s="13" t="str">
        <f aca="false">IF(OR($C114="",$J114=""),"",N($I114)*$J114)</f>
        <v/>
      </c>
      <c r="U114" s="13" t="str">
        <f aca="false">IF(OR($C114="",$T114=""),"",$L114-$T114)</f>
        <v/>
      </c>
      <c r="V114" s="14" t="str">
        <f aca="false">IF(OR($U114="",$L114=0),"",$U114/$L114)</f>
        <v/>
      </c>
      <c r="W114" s="11"/>
      <c r="X114" s="23" t="str">
        <f aca="false">IF($C114="","",IF(AND($H114="",N($I114)=0,N($K114)=0),"Dòng chỉ lưu thông tin khách (chưa có đơn); ",IF($B114="","Thiếu ngày đặt; ","")&amp;IF($H114="","Thiếu tên sản phẩm; ",IF($J114="","Chưa khai GIÁ GỐC ở BẢNG GIÁ GỐC; ",""))&amp;IF(N($I114)&lt;=0,"Thiếu số lượng; ","")&amp;IF(N($K114)&lt;=0,"Thiếu giá bán; ","")&amp;IF(AND($N114&gt;0,$F114=""),"Khách lấy VAT thiếu mã số thuế; ","")&amp;IF(N($Q114)&gt;$P114,"Đã thu vượt tổng phải thu; ","")&amp;IF(AND($L114&gt;0,$U114&lt;&gt;"",$U114&lt;0),"CẢNH BÁO: ĐƠN NÀY ĐANG LỖ; ","")))</f>
        <v/>
      </c>
    </row>
    <row r="115" customFormat="false" ht="15" hidden="false" customHeight="false" outlineLevel="0" collapsed="false">
      <c r="A115" s="21" t="str">
        <f aca="false">IF($C115="","",COUNTA($C$10:$C115))</f>
        <v/>
      </c>
      <c r="B115" s="18"/>
      <c r="C115" s="11"/>
      <c r="D115" s="11"/>
      <c r="E115" s="11"/>
      <c r="F115" s="11"/>
      <c r="G115" s="11"/>
      <c r="H115" s="11"/>
      <c r="I115" s="12"/>
      <c r="J115" s="13" t="str">
        <f aca="false">IF($H115="","",IFERROR(VLOOKUP($H115,'BẢNG GIÁ GỐC'!$A$5:$D$254,3,FALSE()),""))</f>
        <v/>
      </c>
      <c r="K115" s="12"/>
      <c r="L115" s="13" t="str">
        <f aca="false">IF($C115="","",N($I115)*N($K115))</f>
        <v/>
      </c>
      <c r="M115" s="11"/>
      <c r="N115" s="14" t="str">
        <f aca="false">IF($C115="","",IF($M115="VAT 5%",0.05,IF($M115="VAT 8%",0.08,IF($M115="VAT 10%",0.1,0))))</f>
        <v/>
      </c>
      <c r="O115" s="13" t="str">
        <f aca="false">IF($C115="","",$L115*$N115)</f>
        <v/>
      </c>
      <c r="P115" s="13" t="str">
        <f aca="false">IF($C115="","",$L115+$O115)</f>
        <v/>
      </c>
      <c r="Q115" s="12"/>
      <c r="R115" s="13" t="str">
        <f aca="false">IF($C115="","",MAX(0,$P115-N($Q115)))</f>
        <v/>
      </c>
      <c r="S115" s="23" t="str">
        <f aca="false">IF(OR($C115="",$P115=0),"",IF(N($Q115)&lt;=0,"Chưa thanh toán",IF(N($Q115)&lt;$P115,"Thanh toán một phần","Đã thanh toán")))</f>
        <v/>
      </c>
      <c r="T115" s="13" t="str">
        <f aca="false">IF(OR($C115="",$J115=""),"",N($I115)*$J115)</f>
        <v/>
      </c>
      <c r="U115" s="13" t="str">
        <f aca="false">IF(OR($C115="",$T115=""),"",$L115-$T115)</f>
        <v/>
      </c>
      <c r="V115" s="14" t="str">
        <f aca="false">IF(OR($U115="",$L115=0),"",$U115/$L115)</f>
        <v/>
      </c>
      <c r="W115" s="11"/>
      <c r="X115" s="23" t="str">
        <f aca="false">IF($C115="","",IF(AND($H115="",N($I115)=0,N($K115)=0),"Dòng chỉ lưu thông tin khách (chưa có đơn); ",IF($B115="","Thiếu ngày đặt; ","")&amp;IF($H115="","Thiếu tên sản phẩm; ",IF($J115="","Chưa khai GIÁ GỐC ở BẢNG GIÁ GỐC; ",""))&amp;IF(N($I115)&lt;=0,"Thiếu số lượng; ","")&amp;IF(N($K115)&lt;=0,"Thiếu giá bán; ","")&amp;IF(AND($N115&gt;0,$F115=""),"Khách lấy VAT thiếu mã số thuế; ","")&amp;IF(N($Q115)&gt;$P115,"Đã thu vượt tổng phải thu; ","")&amp;IF(AND($L115&gt;0,$U115&lt;&gt;"",$U115&lt;0),"CẢNH BÁO: ĐƠN NÀY ĐANG LỖ; ","")))</f>
        <v/>
      </c>
    </row>
    <row r="116" customFormat="false" ht="15" hidden="false" customHeight="false" outlineLevel="0" collapsed="false">
      <c r="A116" s="21" t="str">
        <f aca="false">IF($C116="","",COUNTA($C$10:$C116))</f>
        <v/>
      </c>
      <c r="B116" s="18"/>
      <c r="C116" s="11"/>
      <c r="D116" s="11"/>
      <c r="E116" s="11"/>
      <c r="F116" s="11"/>
      <c r="G116" s="11"/>
      <c r="H116" s="11"/>
      <c r="I116" s="12"/>
      <c r="J116" s="13" t="str">
        <f aca="false">IF($H116="","",IFERROR(VLOOKUP($H116,'BẢNG GIÁ GỐC'!$A$5:$D$254,3,FALSE()),""))</f>
        <v/>
      </c>
      <c r="K116" s="12"/>
      <c r="L116" s="13" t="str">
        <f aca="false">IF($C116="","",N($I116)*N($K116))</f>
        <v/>
      </c>
      <c r="M116" s="11"/>
      <c r="N116" s="14" t="str">
        <f aca="false">IF($C116="","",IF($M116="VAT 5%",0.05,IF($M116="VAT 8%",0.08,IF($M116="VAT 10%",0.1,0))))</f>
        <v/>
      </c>
      <c r="O116" s="13" t="str">
        <f aca="false">IF($C116="","",$L116*$N116)</f>
        <v/>
      </c>
      <c r="P116" s="13" t="str">
        <f aca="false">IF($C116="","",$L116+$O116)</f>
        <v/>
      </c>
      <c r="Q116" s="12"/>
      <c r="R116" s="13" t="str">
        <f aca="false">IF($C116="","",MAX(0,$P116-N($Q116)))</f>
        <v/>
      </c>
      <c r="S116" s="23" t="str">
        <f aca="false">IF(OR($C116="",$P116=0),"",IF(N($Q116)&lt;=0,"Chưa thanh toán",IF(N($Q116)&lt;$P116,"Thanh toán một phần","Đã thanh toán")))</f>
        <v/>
      </c>
      <c r="T116" s="13" t="str">
        <f aca="false">IF(OR($C116="",$J116=""),"",N($I116)*$J116)</f>
        <v/>
      </c>
      <c r="U116" s="13" t="str">
        <f aca="false">IF(OR($C116="",$T116=""),"",$L116-$T116)</f>
        <v/>
      </c>
      <c r="V116" s="14" t="str">
        <f aca="false">IF(OR($U116="",$L116=0),"",$U116/$L116)</f>
        <v/>
      </c>
      <c r="W116" s="11"/>
      <c r="X116" s="23" t="str">
        <f aca="false">IF($C116="","",IF(AND($H116="",N($I116)=0,N($K116)=0),"Dòng chỉ lưu thông tin khách (chưa có đơn); ",IF($B116="","Thiếu ngày đặt; ","")&amp;IF($H116="","Thiếu tên sản phẩm; ",IF($J116="","Chưa khai GIÁ GỐC ở BẢNG GIÁ GỐC; ",""))&amp;IF(N($I116)&lt;=0,"Thiếu số lượng; ","")&amp;IF(N($K116)&lt;=0,"Thiếu giá bán; ","")&amp;IF(AND($N116&gt;0,$F116=""),"Khách lấy VAT thiếu mã số thuế; ","")&amp;IF(N($Q116)&gt;$P116,"Đã thu vượt tổng phải thu; ","")&amp;IF(AND($L116&gt;0,$U116&lt;&gt;"",$U116&lt;0),"CẢNH BÁO: ĐƠN NÀY ĐANG LỖ; ","")))</f>
        <v/>
      </c>
    </row>
    <row r="117" customFormat="false" ht="15" hidden="false" customHeight="false" outlineLevel="0" collapsed="false">
      <c r="A117" s="21" t="str">
        <f aca="false">IF($C117="","",COUNTA($C$10:$C117))</f>
        <v/>
      </c>
      <c r="B117" s="18"/>
      <c r="C117" s="11"/>
      <c r="D117" s="11"/>
      <c r="E117" s="11"/>
      <c r="F117" s="11"/>
      <c r="G117" s="11"/>
      <c r="H117" s="11"/>
      <c r="I117" s="12"/>
      <c r="J117" s="13" t="str">
        <f aca="false">IF($H117="","",IFERROR(VLOOKUP($H117,'BẢNG GIÁ GỐC'!$A$5:$D$254,3,FALSE()),""))</f>
        <v/>
      </c>
      <c r="K117" s="12"/>
      <c r="L117" s="13" t="str">
        <f aca="false">IF($C117="","",N($I117)*N($K117))</f>
        <v/>
      </c>
      <c r="M117" s="11"/>
      <c r="N117" s="14" t="str">
        <f aca="false">IF($C117="","",IF($M117="VAT 5%",0.05,IF($M117="VAT 8%",0.08,IF($M117="VAT 10%",0.1,0))))</f>
        <v/>
      </c>
      <c r="O117" s="13" t="str">
        <f aca="false">IF($C117="","",$L117*$N117)</f>
        <v/>
      </c>
      <c r="P117" s="13" t="str">
        <f aca="false">IF($C117="","",$L117+$O117)</f>
        <v/>
      </c>
      <c r="Q117" s="12"/>
      <c r="R117" s="13" t="str">
        <f aca="false">IF($C117="","",MAX(0,$P117-N($Q117)))</f>
        <v/>
      </c>
      <c r="S117" s="23" t="str">
        <f aca="false">IF(OR($C117="",$P117=0),"",IF(N($Q117)&lt;=0,"Chưa thanh toán",IF(N($Q117)&lt;$P117,"Thanh toán một phần","Đã thanh toán")))</f>
        <v/>
      </c>
      <c r="T117" s="13" t="str">
        <f aca="false">IF(OR($C117="",$J117=""),"",N($I117)*$J117)</f>
        <v/>
      </c>
      <c r="U117" s="13" t="str">
        <f aca="false">IF(OR($C117="",$T117=""),"",$L117-$T117)</f>
        <v/>
      </c>
      <c r="V117" s="14" t="str">
        <f aca="false">IF(OR($U117="",$L117=0),"",$U117/$L117)</f>
        <v/>
      </c>
      <c r="W117" s="11"/>
      <c r="X117" s="23" t="str">
        <f aca="false">IF($C117="","",IF(AND($H117="",N($I117)=0,N($K117)=0),"Dòng chỉ lưu thông tin khách (chưa có đơn); ",IF($B117="","Thiếu ngày đặt; ","")&amp;IF($H117="","Thiếu tên sản phẩm; ",IF($J117="","Chưa khai GIÁ GỐC ở BẢNG GIÁ GỐC; ",""))&amp;IF(N($I117)&lt;=0,"Thiếu số lượng; ","")&amp;IF(N($K117)&lt;=0,"Thiếu giá bán; ","")&amp;IF(AND($N117&gt;0,$F117=""),"Khách lấy VAT thiếu mã số thuế; ","")&amp;IF(N($Q117)&gt;$P117,"Đã thu vượt tổng phải thu; ","")&amp;IF(AND($L117&gt;0,$U117&lt;&gt;"",$U117&lt;0),"CẢNH BÁO: ĐƠN NÀY ĐANG LỖ; ","")))</f>
        <v/>
      </c>
    </row>
    <row r="118" customFormat="false" ht="15" hidden="false" customHeight="false" outlineLevel="0" collapsed="false">
      <c r="A118" s="21" t="str">
        <f aca="false">IF($C118="","",COUNTA($C$10:$C118))</f>
        <v/>
      </c>
      <c r="B118" s="18"/>
      <c r="C118" s="11"/>
      <c r="D118" s="11"/>
      <c r="E118" s="11"/>
      <c r="F118" s="11"/>
      <c r="G118" s="11"/>
      <c r="H118" s="11"/>
      <c r="I118" s="12"/>
      <c r="J118" s="13" t="str">
        <f aca="false">IF($H118="","",IFERROR(VLOOKUP($H118,'BẢNG GIÁ GỐC'!$A$5:$D$254,3,FALSE()),""))</f>
        <v/>
      </c>
      <c r="K118" s="12"/>
      <c r="L118" s="13" t="str">
        <f aca="false">IF($C118="","",N($I118)*N($K118))</f>
        <v/>
      </c>
      <c r="M118" s="11"/>
      <c r="N118" s="14" t="str">
        <f aca="false">IF($C118="","",IF($M118="VAT 5%",0.05,IF($M118="VAT 8%",0.08,IF($M118="VAT 10%",0.1,0))))</f>
        <v/>
      </c>
      <c r="O118" s="13" t="str">
        <f aca="false">IF($C118="","",$L118*$N118)</f>
        <v/>
      </c>
      <c r="P118" s="13" t="str">
        <f aca="false">IF($C118="","",$L118+$O118)</f>
        <v/>
      </c>
      <c r="Q118" s="12"/>
      <c r="R118" s="13" t="str">
        <f aca="false">IF($C118="","",MAX(0,$P118-N($Q118)))</f>
        <v/>
      </c>
      <c r="S118" s="23" t="str">
        <f aca="false">IF(OR($C118="",$P118=0),"",IF(N($Q118)&lt;=0,"Chưa thanh toán",IF(N($Q118)&lt;$P118,"Thanh toán một phần","Đã thanh toán")))</f>
        <v/>
      </c>
      <c r="T118" s="13" t="str">
        <f aca="false">IF(OR($C118="",$J118=""),"",N($I118)*$J118)</f>
        <v/>
      </c>
      <c r="U118" s="13" t="str">
        <f aca="false">IF(OR($C118="",$T118=""),"",$L118-$T118)</f>
        <v/>
      </c>
      <c r="V118" s="14" t="str">
        <f aca="false">IF(OR($U118="",$L118=0),"",$U118/$L118)</f>
        <v/>
      </c>
      <c r="W118" s="11"/>
      <c r="X118" s="23" t="str">
        <f aca="false">IF($C118="","",IF(AND($H118="",N($I118)=0,N($K118)=0),"Dòng chỉ lưu thông tin khách (chưa có đơn); ",IF($B118="","Thiếu ngày đặt; ","")&amp;IF($H118="","Thiếu tên sản phẩm; ",IF($J118="","Chưa khai GIÁ GỐC ở BẢNG GIÁ GỐC; ",""))&amp;IF(N($I118)&lt;=0,"Thiếu số lượng; ","")&amp;IF(N($K118)&lt;=0,"Thiếu giá bán; ","")&amp;IF(AND($N118&gt;0,$F118=""),"Khách lấy VAT thiếu mã số thuế; ","")&amp;IF(N($Q118)&gt;$P118,"Đã thu vượt tổng phải thu; ","")&amp;IF(AND($L118&gt;0,$U118&lt;&gt;"",$U118&lt;0),"CẢNH BÁO: ĐƠN NÀY ĐANG LỖ; ","")))</f>
        <v/>
      </c>
    </row>
    <row r="119" customFormat="false" ht="15" hidden="false" customHeight="false" outlineLevel="0" collapsed="false">
      <c r="A119" s="21" t="str">
        <f aca="false">IF($C119="","",COUNTA($C$10:$C119))</f>
        <v/>
      </c>
      <c r="B119" s="18"/>
      <c r="C119" s="11"/>
      <c r="D119" s="11"/>
      <c r="E119" s="11"/>
      <c r="F119" s="11"/>
      <c r="G119" s="11"/>
      <c r="H119" s="11"/>
      <c r="I119" s="12"/>
      <c r="J119" s="13" t="str">
        <f aca="false">IF($H119="","",IFERROR(VLOOKUP($H119,'BẢNG GIÁ GỐC'!$A$5:$D$254,3,FALSE()),""))</f>
        <v/>
      </c>
      <c r="K119" s="12"/>
      <c r="L119" s="13" t="str">
        <f aca="false">IF($C119="","",N($I119)*N($K119))</f>
        <v/>
      </c>
      <c r="M119" s="11"/>
      <c r="N119" s="14" t="str">
        <f aca="false">IF($C119="","",IF($M119="VAT 5%",0.05,IF($M119="VAT 8%",0.08,IF($M119="VAT 10%",0.1,0))))</f>
        <v/>
      </c>
      <c r="O119" s="13" t="str">
        <f aca="false">IF($C119="","",$L119*$N119)</f>
        <v/>
      </c>
      <c r="P119" s="13" t="str">
        <f aca="false">IF($C119="","",$L119+$O119)</f>
        <v/>
      </c>
      <c r="Q119" s="12"/>
      <c r="R119" s="13" t="str">
        <f aca="false">IF($C119="","",MAX(0,$P119-N($Q119)))</f>
        <v/>
      </c>
      <c r="S119" s="23" t="str">
        <f aca="false">IF(OR($C119="",$P119=0),"",IF(N($Q119)&lt;=0,"Chưa thanh toán",IF(N($Q119)&lt;$P119,"Thanh toán một phần","Đã thanh toán")))</f>
        <v/>
      </c>
      <c r="T119" s="13" t="str">
        <f aca="false">IF(OR($C119="",$J119=""),"",N($I119)*$J119)</f>
        <v/>
      </c>
      <c r="U119" s="13" t="str">
        <f aca="false">IF(OR($C119="",$T119=""),"",$L119-$T119)</f>
        <v/>
      </c>
      <c r="V119" s="14" t="str">
        <f aca="false">IF(OR($U119="",$L119=0),"",$U119/$L119)</f>
        <v/>
      </c>
      <c r="W119" s="11"/>
      <c r="X119" s="23" t="str">
        <f aca="false">IF($C119="","",IF(AND($H119="",N($I119)=0,N($K119)=0),"Dòng chỉ lưu thông tin khách (chưa có đơn); ",IF($B119="","Thiếu ngày đặt; ","")&amp;IF($H119="","Thiếu tên sản phẩm; ",IF($J119="","Chưa khai GIÁ GỐC ở BẢNG GIÁ GỐC; ",""))&amp;IF(N($I119)&lt;=0,"Thiếu số lượng; ","")&amp;IF(N($K119)&lt;=0,"Thiếu giá bán; ","")&amp;IF(AND($N119&gt;0,$F119=""),"Khách lấy VAT thiếu mã số thuế; ","")&amp;IF(N($Q119)&gt;$P119,"Đã thu vượt tổng phải thu; ","")&amp;IF(AND($L119&gt;0,$U119&lt;&gt;"",$U119&lt;0),"CẢNH BÁO: ĐƠN NÀY ĐANG LỖ; ","")))</f>
        <v/>
      </c>
    </row>
    <row r="120" customFormat="false" ht="15" hidden="false" customHeight="false" outlineLevel="0" collapsed="false">
      <c r="A120" s="21" t="str">
        <f aca="false">IF($C120="","",COUNTA($C$10:$C120))</f>
        <v/>
      </c>
      <c r="B120" s="18"/>
      <c r="C120" s="11"/>
      <c r="D120" s="11"/>
      <c r="E120" s="11"/>
      <c r="F120" s="11"/>
      <c r="G120" s="11"/>
      <c r="H120" s="11"/>
      <c r="I120" s="12"/>
      <c r="J120" s="13" t="str">
        <f aca="false">IF($H120="","",IFERROR(VLOOKUP($H120,'BẢNG GIÁ GỐC'!$A$5:$D$254,3,FALSE()),""))</f>
        <v/>
      </c>
      <c r="K120" s="12"/>
      <c r="L120" s="13" t="str">
        <f aca="false">IF($C120="","",N($I120)*N($K120))</f>
        <v/>
      </c>
      <c r="M120" s="11"/>
      <c r="N120" s="14" t="str">
        <f aca="false">IF($C120="","",IF($M120="VAT 5%",0.05,IF($M120="VAT 8%",0.08,IF($M120="VAT 10%",0.1,0))))</f>
        <v/>
      </c>
      <c r="O120" s="13" t="str">
        <f aca="false">IF($C120="","",$L120*$N120)</f>
        <v/>
      </c>
      <c r="P120" s="13" t="str">
        <f aca="false">IF($C120="","",$L120+$O120)</f>
        <v/>
      </c>
      <c r="Q120" s="12"/>
      <c r="R120" s="13" t="str">
        <f aca="false">IF($C120="","",MAX(0,$P120-N($Q120)))</f>
        <v/>
      </c>
      <c r="S120" s="23" t="str">
        <f aca="false">IF(OR($C120="",$P120=0),"",IF(N($Q120)&lt;=0,"Chưa thanh toán",IF(N($Q120)&lt;$P120,"Thanh toán một phần","Đã thanh toán")))</f>
        <v/>
      </c>
      <c r="T120" s="13" t="str">
        <f aca="false">IF(OR($C120="",$J120=""),"",N($I120)*$J120)</f>
        <v/>
      </c>
      <c r="U120" s="13" t="str">
        <f aca="false">IF(OR($C120="",$T120=""),"",$L120-$T120)</f>
        <v/>
      </c>
      <c r="V120" s="14" t="str">
        <f aca="false">IF(OR($U120="",$L120=0),"",$U120/$L120)</f>
        <v/>
      </c>
      <c r="W120" s="11"/>
      <c r="X120" s="23" t="str">
        <f aca="false">IF($C120="","",IF(AND($H120="",N($I120)=0,N($K120)=0),"Dòng chỉ lưu thông tin khách (chưa có đơn); ",IF($B120="","Thiếu ngày đặt; ","")&amp;IF($H120="","Thiếu tên sản phẩm; ",IF($J120="","Chưa khai GIÁ GỐC ở BẢNG GIÁ GỐC; ",""))&amp;IF(N($I120)&lt;=0,"Thiếu số lượng; ","")&amp;IF(N($K120)&lt;=0,"Thiếu giá bán; ","")&amp;IF(AND($N120&gt;0,$F120=""),"Khách lấy VAT thiếu mã số thuế; ","")&amp;IF(N($Q120)&gt;$P120,"Đã thu vượt tổng phải thu; ","")&amp;IF(AND($L120&gt;0,$U120&lt;&gt;"",$U120&lt;0),"CẢNH BÁO: ĐƠN NÀY ĐANG LỖ; ","")))</f>
        <v/>
      </c>
    </row>
    <row r="121" customFormat="false" ht="15" hidden="false" customHeight="false" outlineLevel="0" collapsed="false">
      <c r="A121" s="21" t="str">
        <f aca="false">IF($C121="","",COUNTA($C$10:$C121))</f>
        <v/>
      </c>
      <c r="B121" s="18"/>
      <c r="C121" s="11"/>
      <c r="D121" s="11"/>
      <c r="E121" s="11"/>
      <c r="F121" s="11"/>
      <c r="G121" s="11"/>
      <c r="H121" s="11"/>
      <c r="I121" s="12"/>
      <c r="J121" s="13" t="str">
        <f aca="false">IF($H121="","",IFERROR(VLOOKUP($H121,'BẢNG GIÁ GỐC'!$A$5:$D$254,3,FALSE()),""))</f>
        <v/>
      </c>
      <c r="K121" s="12"/>
      <c r="L121" s="13" t="str">
        <f aca="false">IF($C121="","",N($I121)*N($K121))</f>
        <v/>
      </c>
      <c r="M121" s="11"/>
      <c r="N121" s="14" t="str">
        <f aca="false">IF($C121="","",IF($M121="VAT 5%",0.05,IF($M121="VAT 8%",0.08,IF($M121="VAT 10%",0.1,0))))</f>
        <v/>
      </c>
      <c r="O121" s="13" t="str">
        <f aca="false">IF($C121="","",$L121*$N121)</f>
        <v/>
      </c>
      <c r="P121" s="13" t="str">
        <f aca="false">IF($C121="","",$L121+$O121)</f>
        <v/>
      </c>
      <c r="Q121" s="12"/>
      <c r="R121" s="13" t="str">
        <f aca="false">IF($C121="","",MAX(0,$P121-N($Q121)))</f>
        <v/>
      </c>
      <c r="S121" s="23" t="str">
        <f aca="false">IF(OR($C121="",$P121=0),"",IF(N($Q121)&lt;=0,"Chưa thanh toán",IF(N($Q121)&lt;$P121,"Thanh toán một phần","Đã thanh toán")))</f>
        <v/>
      </c>
      <c r="T121" s="13" t="str">
        <f aca="false">IF(OR($C121="",$J121=""),"",N($I121)*$J121)</f>
        <v/>
      </c>
      <c r="U121" s="13" t="str">
        <f aca="false">IF(OR($C121="",$T121=""),"",$L121-$T121)</f>
        <v/>
      </c>
      <c r="V121" s="14" t="str">
        <f aca="false">IF(OR($U121="",$L121=0),"",$U121/$L121)</f>
        <v/>
      </c>
      <c r="W121" s="11"/>
      <c r="X121" s="23" t="str">
        <f aca="false">IF($C121="","",IF(AND($H121="",N($I121)=0,N($K121)=0),"Dòng chỉ lưu thông tin khách (chưa có đơn); ",IF($B121="","Thiếu ngày đặt; ","")&amp;IF($H121="","Thiếu tên sản phẩm; ",IF($J121="","Chưa khai GIÁ GỐC ở BẢNG GIÁ GỐC; ",""))&amp;IF(N($I121)&lt;=0,"Thiếu số lượng; ","")&amp;IF(N($K121)&lt;=0,"Thiếu giá bán; ","")&amp;IF(AND($N121&gt;0,$F121=""),"Khách lấy VAT thiếu mã số thuế; ","")&amp;IF(N($Q121)&gt;$P121,"Đã thu vượt tổng phải thu; ","")&amp;IF(AND($L121&gt;0,$U121&lt;&gt;"",$U121&lt;0),"CẢNH BÁO: ĐƠN NÀY ĐANG LỖ; ","")))</f>
        <v/>
      </c>
    </row>
    <row r="122" customFormat="false" ht="15" hidden="false" customHeight="false" outlineLevel="0" collapsed="false">
      <c r="A122" s="21" t="str">
        <f aca="false">IF($C122="","",COUNTA($C$10:$C122))</f>
        <v/>
      </c>
      <c r="B122" s="18"/>
      <c r="C122" s="11"/>
      <c r="D122" s="11"/>
      <c r="E122" s="11"/>
      <c r="F122" s="11"/>
      <c r="G122" s="11"/>
      <c r="H122" s="11"/>
      <c r="I122" s="12"/>
      <c r="J122" s="13" t="str">
        <f aca="false">IF($H122="","",IFERROR(VLOOKUP($H122,'BẢNG GIÁ GỐC'!$A$5:$D$254,3,FALSE()),""))</f>
        <v/>
      </c>
      <c r="K122" s="12"/>
      <c r="L122" s="13" t="str">
        <f aca="false">IF($C122="","",N($I122)*N($K122))</f>
        <v/>
      </c>
      <c r="M122" s="11"/>
      <c r="N122" s="14" t="str">
        <f aca="false">IF($C122="","",IF($M122="VAT 5%",0.05,IF($M122="VAT 8%",0.08,IF($M122="VAT 10%",0.1,0))))</f>
        <v/>
      </c>
      <c r="O122" s="13" t="str">
        <f aca="false">IF($C122="","",$L122*$N122)</f>
        <v/>
      </c>
      <c r="P122" s="13" t="str">
        <f aca="false">IF($C122="","",$L122+$O122)</f>
        <v/>
      </c>
      <c r="Q122" s="12"/>
      <c r="R122" s="13" t="str">
        <f aca="false">IF($C122="","",MAX(0,$P122-N($Q122)))</f>
        <v/>
      </c>
      <c r="S122" s="23" t="str">
        <f aca="false">IF(OR($C122="",$P122=0),"",IF(N($Q122)&lt;=0,"Chưa thanh toán",IF(N($Q122)&lt;$P122,"Thanh toán một phần","Đã thanh toán")))</f>
        <v/>
      </c>
      <c r="T122" s="13" t="str">
        <f aca="false">IF(OR($C122="",$J122=""),"",N($I122)*$J122)</f>
        <v/>
      </c>
      <c r="U122" s="13" t="str">
        <f aca="false">IF(OR($C122="",$T122=""),"",$L122-$T122)</f>
        <v/>
      </c>
      <c r="V122" s="14" t="str">
        <f aca="false">IF(OR($U122="",$L122=0),"",$U122/$L122)</f>
        <v/>
      </c>
      <c r="W122" s="11"/>
      <c r="X122" s="23" t="str">
        <f aca="false">IF($C122="","",IF(AND($H122="",N($I122)=0,N($K122)=0),"Dòng chỉ lưu thông tin khách (chưa có đơn); ",IF($B122="","Thiếu ngày đặt; ","")&amp;IF($H122="","Thiếu tên sản phẩm; ",IF($J122="","Chưa khai GIÁ GỐC ở BẢNG GIÁ GỐC; ",""))&amp;IF(N($I122)&lt;=0,"Thiếu số lượng; ","")&amp;IF(N($K122)&lt;=0,"Thiếu giá bán; ","")&amp;IF(AND($N122&gt;0,$F122=""),"Khách lấy VAT thiếu mã số thuế; ","")&amp;IF(N($Q122)&gt;$P122,"Đã thu vượt tổng phải thu; ","")&amp;IF(AND($L122&gt;0,$U122&lt;&gt;"",$U122&lt;0),"CẢNH BÁO: ĐƠN NÀY ĐANG LỖ; ","")))</f>
        <v/>
      </c>
    </row>
    <row r="123" customFormat="false" ht="15" hidden="false" customHeight="false" outlineLevel="0" collapsed="false">
      <c r="A123" s="21" t="str">
        <f aca="false">IF($C123="","",COUNTA($C$10:$C123))</f>
        <v/>
      </c>
      <c r="B123" s="18"/>
      <c r="C123" s="11"/>
      <c r="D123" s="11"/>
      <c r="E123" s="11"/>
      <c r="F123" s="11"/>
      <c r="G123" s="11"/>
      <c r="H123" s="11"/>
      <c r="I123" s="12"/>
      <c r="J123" s="13" t="str">
        <f aca="false">IF($H123="","",IFERROR(VLOOKUP($H123,'BẢNG GIÁ GỐC'!$A$5:$D$254,3,FALSE()),""))</f>
        <v/>
      </c>
      <c r="K123" s="12"/>
      <c r="L123" s="13" t="str">
        <f aca="false">IF($C123="","",N($I123)*N($K123))</f>
        <v/>
      </c>
      <c r="M123" s="11"/>
      <c r="N123" s="14" t="str">
        <f aca="false">IF($C123="","",IF($M123="VAT 5%",0.05,IF($M123="VAT 8%",0.08,IF($M123="VAT 10%",0.1,0))))</f>
        <v/>
      </c>
      <c r="O123" s="13" t="str">
        <f aca="false">IF($C123="","",$L123*$N123)</f>
        <v/>
      </c>
      <c r="P123" s="13" t="str">
        <f aca="false">IF($C123="","",$L123+$O123)</f>
        <v/>
      </c>
      <c r="Q123" s="12"/>
      <c r="R123" s="13" t="str">
        <f aca="false">IF($C123="","",MAX(0,$P123-N($Q123)))</f>
        <v/>
      </c>
      <c r="S123" s="23" t="str">
        <f aca="false">IF(OR($C123="",$P123=0),"",IF(N($Q123)&lt;=0,"Chưa thanh toán",IF(N($Q123)&lt;$P123,"Thanh toán một phần","Đã thanh toán")))</f>
        <v/>
      </c>
      <c r="T123" s="13" t="str">
        <f aca="false">IF(OR($C123="",$J123=""),"",N($I123)*$J123)</f>
        <v/>
      </c>
      <c r="U123" s="13" t="str">
        <f aca="false">IF(OR($C123="",$T123=""),"",$L123-$T123)</f>
        <v/>
      </c>
      <c r="V123" s="14" t="str">
        <f aca="false">IF(OR($U123="",$L123=0),"",$U123/$L123)</f>
        <v/>
      </c>
      <c r="W123" s="11"/>
      <c r="X123" s="23" t="str">
        <f aca="false">IF($C123="","",IF(AND($H123="",N($I123)=0,N($K123)=0),"Dòng chỉ lưu thông tin khách (chưa có đơn); ",IF($B123="","Thiếu ngày đặt; ","")&amp;IF($H123="","Thiếu tên sản phẩm; ",IF($J123="","Chưa khai GIÁ GỐC ở BẢNG GIÁ GỐC; ",""))&amp;IF(N($I123)&lt;=0,"Thiếu số lượng; ","")&amp;IF(N($K123)&lt;=0,"Thiếu giá bán; ","")&amp;IF(AND($N123&gt;0,$F123=""),"Khách lấy VAT thiếu mã số thuế; ","")&amp;IF(N($Q123)&gt;$P123,"Đã thu vượt tổng phải thu; ","")&amp;IF(AND($L123&gt;0,$U123&lt;&gt;"",$U123&lt;0),"CẢNH BÁO: ĐƠN NÀY ĐANG LỖ; ","")))</f>
        <v/>
      </c>
    </row>
    <row r="124" customFormat="false" ht="15" hidden="false" customHeight="false" outlineLevel="0" collapsed="false">
      <c r="A124" s="21" t="str">
        <f aca="false">IF($C124="","",COUNTA($C$10:$C124))</f>
        <v/>
      </c>
      <c r="B124" s="18"/>
      <c r="C124" s="11"/>
      <c r="D124" s="11"/>
      <c r="E124" s="11"/>
      <c r="F124" s="11"/>
      <c r="G124" s="11"/>
      <c r="H124" s="11"/>
      <c r="I124" s="12"/>
      <c r="J124" s="13" t="str">
        <f aca="false">IF($H124="","",IFERROR(VLOOKUP($H124,'BẢNG GIÁ GỐC'!$A$5:$D$254,3,FALSE()),""))</f>
        <v/>
      </c>
      <c r="K124" s="12"/>
      <c r="L124" s="13" t="str">
        <f aca="false">IF($C124="","",N($I124)*N($K124))</f>
        <v/>
      </c>
      <c r="M124" s="11"/>
      <c r="N124" s="14" t="str">
        <f aca="false">IF($C124="","",IF($M124="VAT 5%",0.05,IF($M124="VAT 8%",0.08,IF($M124="VAT 10%",0.1,0))))</f>
        <v/>
      </c>
      <c r="O124" s="13" t="str">
        <f aca="false">IF($C124="","",$L124*$N124)</f>
        <v/>
      </c>
      <c r="P124" s="13" t="str">
        <f aca="false">IF($C124="","",$L124+$O124)</f>
        <v/>
      </c>
      <c r="Q124" s="12"/>
      <c r="R124" s="13" t="str">
        <f aca="false">IF($C124="","",MAX(0,$P124-N($Q124)))</f>
        <v/>
      </c>
      <c r="S124" s="23" t="str">
        <f aca="false">IF(OR($C124="",$P124=0),"",IF(N($Q124)&lt;=0,"Chưa thanh toán",IF(N($Q124)&lt;$P124,"Thanh toán một phần","Đã thanh toán")))</f>
        <v/>
      </c>
      <c r="T124" s="13" t="str">
        <f aca="false">IF(OR($C124="",$J124=""),"",N($I124)*$J124)</f>
        <v/>
      </c>
      <c r="U124" s="13" t="str">
        <f aca="false">IF(OR($C124="",$T124=""),"",$L124-$T124)</f>
        <v/>
      </c>
      <c r="V124" s="14" t="str">
        <f aca="false">IF(OR($U124="",$L124=0),"",$U124/$L124)</f>
        <v/>
      </c>
      <c r="W124" s="11"/>
      <c r="X124" s="23" t="str">
        <f aca="false">IF($C124="","",IF(AND($H124="",N($I124)=0,N($K124)=0),"Dòng chỉ lưu thông tin khách (chưa có đơn); ",IF($B124="","Thiếu ngày đặt; ","")&amp;IF($H124="","Thiếu tên sản phẩm; ",IF($J124="","Chưa khai GIÁ GỐC ở BẢNG GIÁ GỐC; ",""))&amp;IF(N($I124)&lt;=0,"Thiếu số lượng; ","")&amp;IF(N($K124)&lt;=0,"Thiếu giá bán; ","")&amp;IF(AND($N124&gt;0,$F124=""),"Khách lấy VAT thiếu mã số thuế; ","")&amp;IF(N($Q124)&gt;$P124,"Đã thu vượt tổng phải thu; ","")&amp;IF(AND($L124&gt;0,$U124&lt;&gt;"",$U124&lt;0),"CẢNH BÁO: ĐƠN NÀY ĐANG LỖ; ","")))</f>
        <v/>
      </c>
    </row>
    <row r="125" customFormat="false" ht="15" hidden="false" customHeight="false" outlineLevel="0" collapsed="false">
      <c r="A125" s="21" t="str">
        <f aca="false">IF($C125="","",COUNTA($C$10:$C125))</f>
        <v/>
      </c>
      <c r="B125" s="18"/>
      <c r="C125" s="11"/>
      <c r="D125" s="11"/>
      <c r="E125" s="11"/>
      <c r="F125" s="11"/>
      <c r="G125" s="11"/>
      <c r="H125" s="11"/>
      <c r="I125" s="12"/>
      <c r="J125" s="13" t="str">
        <f aca="false">IF($H125="","",IFERROR(VLOOKUP($H125,'BẢNG GIÁ GỐC'!$A$5:$D$254,3,FALSE()),""))</f>
        <v/>
      </c>
      <c r="K125" s="12"/>
      <c r="L125" s="13" t="str">
        <f aca="false">IF($C125="","",N($I125)*N($K125))</f>
        <v/>
      </c>
      <c r="M125" s="11"/>
      <c r="N125" s="14" t="str">
        <f aca="false">IF($C125="","",IF($M125="VAT 5%",0.05,IF($M125="VAT 8%",0.08,IF($M125="VAT 10%",0.1,0))))</f>
        <v/>
      </c>
      <c r="O125" s="13" t="str">
        <f aca="false">IF($C125="","",$L125*$N125)</f>
        <v/>
      </c>
      <c r="P125" s="13" t="str">
        <f aca="false">IF($C125="","",$L125+$O125)</f>
        <v/>
      </c>
      <c r="Q125" s="12"/>
      <c r="R125" s="13" t="str">
        <f aca="false">IF($C125="","",MAX(0,$P125-N($Q125)))</f>
        <v/>
      </c>
      <c r="S125" s="23" t="str">
        <f aca="false">IF(OR($C125="",$P125=0),"",IF(N($Q125)&lt;=0,"Chưa thanh toán",IF(N($Q125)&lt;$P125,"Thanh toán một phần","Đã thanh toán")))</f>
        <v/>
      </c>
      <c r="T125" s="13" t="str">
        <f aca="false">IF(OR($C125="",$J125=""),"",N($I125)*$J125)</f>
        <v/>
      </c>
      <c r="U125" s="13" t="str">
        <f aca="false">IF(OR($C125="",$T125=""),"",$L125-$T125)</f>
        <v/>
      </c>
      <c r="V125" s="14" t="str">
        <f aca="false">IF(OR($U125="",$L125=0),"",$U125/$L125)</f>
        <v/>
      </c>
      <c r="W125" s="11"/>
      <c r="X125" s="23" t="str">
        <f aca="false">IF($C125="","",IF(AND($H125="",N($I125)=0,N($K125)=0),"Dòng chỉ lưu thông tin khách (chưa có đơn); ",IF($B125="","Thiếu ngày đặt; ","")&amp;IF($H125="","Thiếu tên sản phẩm; ",IF($J125="","Chưa khai GIÁ GỐC ở BẢNG GIÁ GỐC; ",""))&amp;IF(N($I125)&lt;=0,"Thiếu số lượng; ","")&amp;IF(N($K125)&lt;=0,"Thiếu giá bán; ","")&amp;IF(AND($N125&gt;0,$F125=""),"Khách lấy VAT thiếu mã số thuế; ","")&amp;IF(N($Q125)&gt;$P125,"Đã thu vượt tổng phải thu; ","")&amp;IF(AND($L125&gt;0,$U125&lt;&gt;"",$U125&lt;0),"CẢNH BÁO: ĐƠN NÀY ĐANG LỖ; ","")))</f>
        <v/>
      </c>
    </row>
    <row r="126" customFormat="false" ht="15" hidden="false" customHeight="false" outlineLevel="0" collapsed="false">
      <c r="A126" s="21" t="str">
        <f aca="false">IF($C126="","",COUNTA($C$10:$C126))</f>
        <v/>
      </c>
      <c r="B126" s="18"/>
      <c r="C126" s="11"/>
      <c r="D126" s="11"/>
      <c r="E126" s="11"/>
      <c r="F126" s="11"/>
      <c r="G126" s="11"/>
      <c r="H126" s="11"/>
      <c r="I126" s="12"/>
      <c r="J126" s="13" t="str">
        <f aca="false">IF($H126="","",IFERROR(VLOOKUP($H126,'BẢNG GIÁ GỐC'!$A$5:$D$254,3,FALSE()),""))</f>
        <v/>
      </c>
      <c r="K126" s="12"/>
      <c r="L126" s="13" t="str">
        <f aca="false">IF($C126="","",N($I126)*N($K126))</f>
        <v/>
      </c>
      <c r="M126" s="11"/>
      <c r="N126" s="14" t="str">
        <f aca="false">IF($C126="","",IF($M126="VAT 5%",0.05,IF($M126="VAT 8%",0.08,IF($M126="VAT 10%",0.1,0))))</f>
        <v/>
      </c>
      <c r="O126" s="13" t="str">
        <f aca="false">IF($C126="","",$L126*$N126)</f>
        <v/>
      </c>
      <c r="P126" s="13" t="str">
        <f aca="false">IF($C126="","",$L126+$O126)</f>
        <v/>
      </c>
      <c r="Q126" s="12"/>
      <c r="R126" s="13" t="str">
        <f aca="false">IF($C126="","",MAX(0,$P126-N($Q126)))</f>
        <v/>
      </c>
      <c r="S126" s="23" t="str">
        <f aca="false">IF(OR($C126="",$P126=0),"",IF(N($Q126)&lt;=0,"Chưa thanh toán",IF(N($Q126)&lt;$P126,"Thanh toán một phần","Đã thanh toán")))</f>
        <v/>
      </c>
      <c r="T126" s="13" t="str">
        <f aca="false">IF(OR($C126="",$J126=""),"",N($I126)*$J126)</f>
        <v/>
      </c>
      <c r="U126" s="13" t="str">
        <f aca="false">IF(OR($C126="",$T126=""),"",$L126-$T126)</f>
        <v/>
      </c>
      <c r="V126" s="14" t="str">
        <f aca="false">IF(OR($U126="",$L126=0),"",$U126/$L126)</f>
        <v/>
      </c>
      <c r="W126" s="11"/>
      <c r="X126" s="23" t="str">
        <f aca="false">IF($C126="","",IF(AND($H126="",N($I126)=0,N($K126)=0),"Dòng chỉ lưu thông tin khách (chưa có đơn); ",IF($B126="","Thiếu ngày đặt; ","")&amp;IF($H126="","Thiếu tên sản phẩm; ",IF($J126="","Chưa khai GIÁ GỐC ở BẢNG GIÁ GỐC; ",""))&amp;IF(N($I126)&lt;=0,"Thiếu số lượng; ","")&amp;IF(N($K126)&lt;=0,"Thiếu giá bán; ","")&amp;IF(AND($N126&gt;0,$F126=""),"Khách lấy VAT thiếu mã số thuế; ","")&amp;IF(N($Q126)&gt;$P126,"Đã thu vượt tổng phải thu; ","")&amp;IF(AND($L126&gt;0,$U126&lt;&gt;"",$U126&lt;0),"CẢNH BÁO: ĐƠN NÀY ĐANG LỖ; ","")))</f>
        <v/>
      </c>
    </row>
    <row r="127" customFormat="false" ht="15" hidden="false" customHeight="false" outlineLevel="0" collapsed="false">
      <c r="A127" s="21" t="str">
        <f aca="false">IF($C127="","",COUNTA($C$10:$C127))</f>
        <v/>
      </c>
      <c r="B127" s="18"/>
      <c r="C127" s="11"/>
      <c r="D127" s="11"/>
      <c r="E127" s="11"/>
      <c r="F127" s="11"/>
      <c r="G127" s="11"/>
      <c r="H127" s="11"/>
      <c r="I127" s="12"/>
      <c r="J127" s="13" t="str">
        <f aca="false">IF($H127="","",IFERROR(VLOOKUP($H127,'BẢNG GIÁ GỐC'!$A$5:$D$254,3,FALSE()),""))</f>
        <v/>
      </c>
      <c r="K127" s="12"/>
      <c r="L127" s="13" t="str">
        <f aca="false">IF($C127="","",N($I127)*N($K127))</f>
        <v/>
      </c>
      <c r="M127" s="11"/>
      <c r="N127" s="14" t="str">
        <f aca="false">IF($C127="","",IF($M127="VAT 5%",0.05,IF($M127="VAT 8%",0.08,IF($M127="VAT 10%",0.1,0))))</f>
        <v/>
      </c>
      <c r="O127" s="13" t="str">
        <f aca="false">IF($C127="","",$L127*$N127)</f>
        <v/>
      </c>
      <c r="P127" s="13" t="str">
        <f aca="false">IF($C127="","",$L127+$O127)</f>
        <v/>
      </c>
      <c r="Q127" s="12"/>
      <c r="R127" s="13" t="str">
        <f aca="false">IF($C127="","",MAX(0,$P127-N($Q127)))</f>
        <v/>
      </c>
      <c r="S127" s="23" t="str">
        <f aca="false">IF(OR($C127="",$P127=0),"",IF(N($Q127)&lt;=0,"Chưa thanh toán",IF(N($Q127)&lt;$P127,"Thanh toán một phần","Đã thanh toán")))</f>
        <v/>
      </c>
      <c r="T127" s="13" t="str">
        <f aca="false">IF(OR($C127="",$J127=""),"",N($I127)*$J127)</f>
        <v/>
      </c>
      <c r="U127" s="13" t="str">
        <f aca="false">IF(OR($C127="",$T127=""),"",$L127-$T127)</f>
        <v/>
      </c>
      <c r="V127" s="14" t="str">
        <f aca="false">IF(OR($U127="",$L127=0),"",$U127/$L127)</f>
        <v/>
      </c>
      <c r="W127" s="11"/>
      <c r="X127" s="23" t="str">
        <f aca="false">IF($C127="","",IF(AND($H127="",N($I127)=0,N($K127)=0),"Dòng chỉ lưu thông tin khách (chưa có đơn); ",IF($B127="","Thiếu ngày đặt; ","")&amp;IF($H127="","Thiếu tên sản phẩm; ",IF($J127="","Chưa khai GIÁ GỐC ở BẢNG GIÁ GỐC; ",""))&amp;IF(N($I127)&lt;=0,"Thiếu số lượng; ","")&amp;IF(N($K127)&lt;=0,"Thiếu giá bán; ","")&amp;IF(AND($N127&gt;0,$F127=""),"Khách lấy VAT thiếu mã số thuế; ","")&amp;IF(N($Q127)&gt;$P127,"Đã thu vượt tổng phải thu; ","")&amp;IF(AND($L127&gt;0,$U127&lt;&gt;"",$U127&lt;0),"CẢNH BÁO: ĐƠN NÀY ĐANG LỖ; ","")))</f>
        <v/>
      </c>
    </row>
    <row r="128" customFormat="false" ht="15" hidden="false" customHeight="false" outlineLevel="0" collapsed="false">
      <c r="A128" s="21" t="str">
        <f aca="false">IF($C128="","",COUNTA($C$10:$C128))</f>
        <v/>
      </c>
      <c r="B128" s="18"/>
      <c r="C128" s="11"/>
      <c r="D128" s="11"/>
      <c r="E128" s="11"/>
      <c r="F128" s="11"/>
      <c r="G128" s="11"/>
      <c r="H128" s="11"/>
      <c r="I128" s="12"/>
      <c r="J128" s="13" t="str">
        <f aca="false">IF($H128="","",IFERROR(VLOOKUP($H128,'BẢNG GIÁ GỐC'!$A$5:$D$254,3,FALSE()),""))</f>
        <v/>
      </c>
      <c r="K128" s="12"/>
      <c r="L128" s="13" t="str">
        <f aca="false">IF($C128="","",N($I128)*N($K128))</f>
        <v/>
      </c>
      <c r="M128" s="11"/>
      <c r="N128" s="14" t="str">
        <f aca="false">IF($C128="","",IF($M128="VAT 5%",0.05,IF($M128="VAT 8%",0.08,IF($M128="VAT 10%",0.1,0))))</f>
        <v/>
      </c>
      <c r="O128" s="13" t="str">
        <f aca="false">IF($C128="","",$L128*$N128)</f>
        <v/>
      </c>
      <c r="P128" s="13" t="str">
        <f aca="false">IF($C128="","",$L128+$O128)</f>
        <v/>
      </c>
      <c r="Q128" s="12"/>
      <c r="R128" s="13" t="str">
        <f aca="false">IF($C128="","",MAX(0,$P128-N($Q128)))</f>
        <v/>
      </c>
      <c r="S128" s="23" t="str">
        <f aca="false">IF(OR($C128="",$P128=0),"",IF(N($Q128)&lt;=0,"Chưa thanh toán",IF(N($Q128)&lt;$P128,"Thanh toán một phần","Đã thanh toán")))</f>
        <v/>
      </c>
      <c r="T128" s="13" t="str">
        <f aca="false">IF(OR($C128="",$J128=""),"",N($I128)*$J128)</f>
        <v/>
      </c>
      <c r="U128" s="13" t="str">
        <f aca="false">IF(OR($C128="",$T128=""),"",$L128-$T128)</f>
        <v/>
      </c>
      <c r="V128" s="14" t="str">
        <f aca="false">IF(OR($U128="",$L128=0),"",$U128/$L128)</f>
        <v/>
      </c>
      <c r="W128" s="11"/>
      <c r="X128" s="23" t="str">
        <f aca="false">IF($C128="","",IF(AND($H128="",N($I128)=0,N($K128)=0),"Dòng chỉ lưu thông tin khách (chưa có đơn); ",IF($B128="","Thiếu ngày đặt; ","")&amp;IF($H128="","Thiếu tên sản phẩm; ",IF($J128="","Chưa khai GIÁ GỐC ở BẢNG GIÁ GỐC; ",""))&amp;IF(N($I128)&lt;=0,"Thiếu số lượng; ","")&amp;IF(N($K128)&lt;=0,"Thiếu giá bán; ","")&amp;IF(AND($N128&gt;0,$F128=""),"Khách lấy VAT thiếu mã số thuế; ","")&amp;IF(N($Q128)&gt;$P128,"Đã thu vượt tổng phải thu; ","")&amp;IF(AND($L128&gt;0,$U128&lt;&gt;"",$U128&lt;0),"CẢNH BÁO: ĐƠN NÀY ĐANG LỖ; ","")))</f>
        <v/>
      </c>
    </row>
    <row r="129" customFormat="false" ht="15" hidden="false" customHeight="false" outlineLevel="0" collapsed="false">
      <c r="A129" s="21" t="str">
        <f aca="false">IF($C129="","",COUNTA($C$10:$C129))</f>
        <v/>
      </c>
      <c r="B129" s="18"/>
      <c r="C129" s="11"/>
      <c r="D129" s="11"/>
      <c r="E129" s="11"/>
      <c r="F129" s="11"/>
      <c r="G129" s="11"/>
      <c r="H129" s="11"/>
      <c r="I129" s="12"/>
      <c r="J129" s="13" t="str">
        <f aca="false">IF($H129="","",IFERROR(VLOOKUP($H129,'BẢNG GIÁ GỐC'!$A$5:$D$254,3,FALSE()),""))</f>
        <v/>
      </c>
      <c r="K129" s="12"/>
      <c r="L129" s="13" t="str">
        <f aca="false">IF($C129="","",N($I129)*N($K129))</f>
        <v/>
      </c>
      <c r="M129" s="11"/>
      <c r="N129" s="14" t="str">
        <f aca="false">IF($C129="","",IF($M129="VAT 5%",0.05,IF($M129="VAT 8%",0.08,IF($M129="VAT 10%",0.1,0))))</f>
        <v/>
      </c>
      <c r="O129" s="13" t="str">
        <f aca="false">IF($C129="","",$L129*$N129)</f>
        <v/>
      </c>
      <c r="P129" s="13" t="str">
        <f aca="false">IF($C129="","",$L129+$O129)</f>
        <v/>
      </c>
      <c r="Q129" s="12"/>
      <c r="R129" s="13" t="str">
        <f aca="false">IF($C129="","",MAX(0,$P129-N($Q129)))</f>
        <v/>
      </c>
      <c r="S129" s="23" t="str">
        <f aca="false">IF(OR($C129="",$P129=0),"",IF(N($Q129)&lt;=0,"Chưa thanh toán",IF(N($Q129)&lt;$P129,"Thanh toán một phần","Đã thanh toán")))</f>
        <v/>
      </c>
      <c r="T129" s="13" t="str">
        <f aca="false">IF(OR($C129="",$J129=""),"",N($I129)*$J129)</f>
        <v/>
      </c>
      <c r="U129" s="13" t="str">
        <f aca="false">IF(OR($C129="",$T129=""),"",$L129-$T129)</f>
        <v/>
      </c>
      <c r="V129" s="14" t="str">
        <f aca="false">IF(OR($U129="",$L129=0),"",$U129/$L129)</f>
        <v/>
      </c>
      <c r="W129" s="11"/>
      <c r="X129" s="23" t="str">
        <f aca="false">IF($C129="","",IF(AND($H129="",N($I129)=0,N($K129)=0),"Dòng chỉ lưu thông tin khách (chưa có đơn); ",IF($B129="","Thiếu ngày đặt; ","")&amp;IF($H129="","Thiếu tên sản phẩm; ",IF($J129="","Chưa khai GIÁ GỐC ở BẢNG GIÁ GỐC; ",""))&amp;IF(N($I129)&lt;=0,"Thiếu số lượng; ","")&amp;IF(N($K129)&lt;=0,"Thiếu giá bán; ","")&amp;IF(AND($N129&gt;0,$F129=""),"Khách lấy VAT thiếu mã số thuế; ","")&amp;IF(N($Q129)&gt;$P129,"Đã thu vượt tổng phải thu; ","")&amp;IF(AND($L129&gt;0,$U129&lt;&gt;"",$U129&lt;0),"CẢNH BÁO: ĐƠN NÀY ĐANG LỖ; ","")))</f>
        <v/>
      </c>
    </row>
    <row r="130" customFormat="false" ht="15" hidden="false" customHeight="false" outlineLevel="0" collapsed="false">
      <c r="A130" s="21" t="str">
        <f aca="false">IF($C130="","",COUNTA($C$10:$C130))</f>
        <v/>
      </c>
      <c r="B130" s="18"/>
      <c r="C130" s="11"/>
      <c r="D130" s="11"/>
      <c r="E130" s="11"/>
      <c r="F130" s="11"/>
      <c r="G130" s="11"/>
      <c r="H130" s="11"/>
      <c r="I130" s="12"/>
      <c r="J130" s="13" t="str">
        <f aca="false">IF($H130="","",IFERROR(VLOOKUP($H130,'BẢNG GIÁ GỐC'!$A$5:$D$254,3,FALSE()),""))</f>
        <v/>
      </c>
      <c r="K130" s="12"/>
      <c r="L130" s="13" t="str">
        <f aca="false">IF($C130="","",N($I130)*N($K130))</f>
        <v/>
      </c>
      <c r="M130" s="11"/>
      <c r="N130" s="14" t="str">
        <f aca="false">IF($C130="","",IF($M130="VAT 5%",0.05,IF($M130="VAT 8%",0.08,IF($M130="VAT 10%",0.1,0))))</f>
        <v/>
      </c>
      <c r="O130" s="13" t="str">
        <f aca="false">IF($C130="","",$L130*$N130)</f>
        <v/>
      </c>
      <c r="P130" s="13" t="str">
        <f aca="false">IF($C130="","",$L130+$O130)</f>
        <v/>
      </c>
      <c r="Q130" s="12"/>
      <c r="R130" s="13" t="str">
        <f aca="false">IF($C130="","",MAX(0,$P130-N($Q130)))</f>
        <v/>
      </c>
      <c r="S130" s="23" t="str">
        <f aca="false">IF(OR($C130="",$P130=0),"",IF(N($Q130)&lt;=0,"Chưa thanh toán",IF(N($Q130)&lt;$P130,"Thanh toán một phần","Đã thanh toán")))</f>
        <v/>
      </c>
      <c r="T130" s="13" t="str">
        <f aca="false">IF(OR($C130="",$J130=""),"",N($I130)*$J130)</f>
        <v/>
      </c>
      <c r="U130" s="13" t="str">
        <f aca="false">IF(OR($C130="",$T130=""),"",$L130-$T130)</f>
        <v/>
      </c>
      <c r="V130" s="14" t="str">
        <f aca="false">IF(OR($U130="",$L130=0),"",$U130/$L130)</f>
        <v/>
      </c>
      <c r="W130" s="11"/>
      <c r="X130" s="23" t="str">
        <f aca="false">IF($C130="","",IF(AND($H130="",N($I130)=0,N($K130)=0),"Dòng chỉ lưu thông tin khách (chưa có đơn); ",IF($B130="","Thiếu ngày đặt; ","")&amp;IF($H130="","Thiếu tên sản phẩm; ",IF($J130="","Chưa khai GIÁ GỐC ở BẢNG GIÁ GỐC; ",""))&amp;IF(N($I130)&lt;=0,"Thiếu số lượng; ","")&amp;IF(N($K130)&lt;=0,"Thiếu giá bán; ","")&amp;IF(AND($N130&gt;0,$F130=""),"Khách lấy VAT thiếu mã số thuế; ","")&amp;IF(N($Q130)&gt;$P130,"Đã thu vượt tổng phải thu; ","")&amp;IF(AND($L130&gt;0,$U130&lt;&gt;"",$U130&lt;0),"CẢNH BÁO: ĐƠN NÀY ĐANG LỖ; ","")))</f>
        <v/>
      </c>
    </row>
    <row r="131" customFormat="false" ht="15" hidden="false" customHeight="false" outlineLevel="0" collapsed="false">
      <c r="A131" s="21" t="str">
        <f aca="false">IF($C131="","",COUNTA($C$10:$C131))</f>
        <v/>
      </c>
      <c r="B131" s="18"/>
      <c r="C131" s="11"/>
      <c r="D131" s="11"/>
      <c r="E131" s="11"/>
      <c r="F131" s="11"/>
      <c r="G131" s="11"/>
      <c r="H131" s="11"/>
      <c r="I131" s="12"/>
      <c r="J131" s="13" t="str">
        <f aca="false">IF($H131="","",IFERROR(VLOOKUP($H131,'BẢNG GIÁ GỐC'!$A$5:$D$254,3,FALSE()),""))</f>
        <v/>
      </c>
      <c r="K131" s="12"/>
      <c r="L131" s="13" t="str">
        <f aca="false">IF($C131="","",N($I131)*N($K131))</f>
        <v/>
      </c>
      <c r="M131" s="11"/>
      <c r="N131" s="14" t="str">
        <f aca="false">IF($C131="","",IF($M131="VAT 5%",0.05,IF($M131="VAT 8%",0.08,IF($M131="VAT 10%",0.1,0))))</f>
        <v/>
      </c>
      <c r="O131" s="13" t="str">
        <f aca="false">IF($C131="","",$L131*$N131)</f>
        <v/>
      </c>
      <c r="P131" s="13" t="str">
        <f aca="false">IF($C131="","",$L131+$O131)</f>
        <v/>
      </c>
      <c r="Q131" s="12"/>
      <c r="R131" s="13" t="str">
        <f aca="false">IF($C131="","",MAX(0,$P131-N($Q131)))</f>
        <v/>
      </c>
      <c r="S131" s="23" t="str">
        <f aca="false">IF(OR($C131="",$P131=0),"",IF(N($Q131)&lt;=0,"Chưa thanh toán",IF(N($Q131)&lt;$P131,"Thanh toán một phần","Đã thanh toán")))</f>
        <v/>
      </c>
      <c r="T131" s="13" t="str">
        <f aca="false">IF(OR($C131="",$J131=""),"",N($I131)*$J131)</f>
        <v/>
      </c>
      <c r="U131" s="13" t="str">
        <f aca="false">IF(OR($C131="",$T131=""),"",$L131-$T131)</f>
        <v/>
      </c>
      <c r="V131" s="14" t="str">
        <f aca="false">IF(OR($U131="",$L131=0),"",$U131/$L131)</f>
        <v/>
      </c>
      <c r="W131" s="11"/>
      <c r="X131" s="23" t="str">
        <f aca="false">IF($C131="","",IF(AND($H131="",N($I131)=0,N($K131)=0),"Dòng chỉ lưu thông tin khách (chưa có đơn); ",IF($B131="","Thiếu ngày đặt; ","")&amp;IF($H131="","Thiếu tên sản phẩm; ",IF($J131="","Chưa khai GIÁ GỐC ở BẢNG GIÁ GỐC; ",""))&amp;IF(N($I131)&lt;=0,"Thiếu số lượng; ","")&amp;IF(N($K131)&lt;=0,"Thiếu giá bán; ","")&amp;IF(AND($N131&gt;0,$F131=""),"Khách lấy VAT thiếu mã số thuế; ","")&amp;IF(N($Q131)&gt;$P131,"Đã thu vượt tổng phải thu; ","")&amp;IF(AND($L131&gt;0,$U131&lt;&gt;"",$U131&lt;0),"CẢNH BÁO: ĐƠN NÀY ĐANG LỖ; ","")))</f>
        <v/>
      </c>
    </row>
    <row r="132" customFormat="false" ht="15" hidden="false" customHeight="false" outlineLevel="0" collapsed="false">
      <c r="A132" s="21" t="str">
        <f aca="false">IF($C132="","",COUNTA($C$10:$C132))</f>
        <v/>
      </c>
      <c r="B132" s="18"/>
      <c r="C132" s="11"/>
      <c r="D132" s="11"/>
      <c r="E132" s="11"/>
      <c r="F132" s="11"/>
      <c r="G132" s="11"/>
      <c r="H132" s="11"/>
      <c r="I132" s="12"/>
      <c r="J132" s="13" t="str">
        <f aca="false">IF($H132="","",IFERROR(VLOOKUP($H132,'BẢNG GIÁ GỐC'!$A$5:$D$254,3,FALSE()),""))</f>
        <v/>
      </c>
      <c r="K132" s="12"/>
      <c r="L132" s="13" t="str">
        <f aca="false">IF($C132="","",N($I132)*N($K132))</f>
        <v/>
      </c>
      <c r="M132" s="11"/>
      <c r="N132" s="14" t="str">
        <f aca="false">IF($C132="","",IF($M132="VAT 5%",0.05,IF($M132="VAT 8%",0.08,IF($M132="VAT 10%",0.1,0))))</f>
        <v/>
      </c>
      <c r="O132" s="13" t="str">
        <f aca="false">IF($C132="","",$L132*$N132)</f>
        <v/>
      </c>
      <c r="P132" s="13" t="str">
        <f aca="false">IF($C132="","",$L132+$O132)</f>
        <v/>
      </c>
      <c r="Q132" s="12"/>
      <c r="R132" s="13" t="str">
        <f aca="false">IF($C132="","",MAX(0,$P132-N($Q132)))</f>
        <v/>
      </c>
      <c r="S132" s="23" t="str">
        <f aca="false">IF(OR($C132="",$P132=0),"",IF(N($Q132)&lt;=0,"Chưa thanh toán",IF(N($Q132)&lt;$P132,"Thanh toán một phần","Đã thanh toán")))</f>
        <v/>
      </c>
      <c r="T132" s="13" t="str">
        <f aca="false">IF(OR($C132="",$J132=""),"",N($I132)*$J132)</f>
        <v/>
      </c>
      <c r="U132" s="13" t="str">
        <f aca="false">IF(OR($C132="",$T132=""),"",$L132-$T132)</f>
        <v/>
      </c>
      <c r="V132" s="14" t="str">
        <f aca="false">IF(OR($U132="",$L132=0),"",$U132/$L132)</f>
        <v/>
      </c>
      <c r="W132" s="11"/>
      <c r="X132" s="23" t="str">
        <f aca="false">IF($C132="","",IF(AND($H132="",N($I132)=0,N($K132)=0),"Dòng chỉ lưu thông tin khách (chưa có đơn); ",IF($B132="","Thiếu ngày đặt; ","")&amp;IF($H132="","Thiếu tên sản phẩm; ",IF($J132="","Chưa khai GIÁ GỐC ở BẢNG GIÁ GỐC; ",""))&amp;IF(N($I132)&lt;=0,"Thiếu số lượng; ","")&amp;IF(N($K132)&lt;=0,"Thiếu giá bán; ","")&amp;IF(AND($N132&gt;0,$F132=""),"Khách lấy VAT thiếu mã số thuế; ","")&amp;IF(N($Q132)&gt;$P132,"Đã thu vượt tổng phải thu; ","")&amp;IF(AND($L132&gt;0,$U132&lt;&gt;"",$U132&lt;0),"CẢNH BÁO: ĐƠN NÀY ĐANG LỖ; ","")))</f>
        <v/>
      </c>
    </row>
    <row r="133" customFormat="false" ht="15" hidden="false" customHeight="false" outlineLevel="0" collapsed="false">
      <c r="A133" s="21" t="str">
        <f aca="false">IF($C133="","",COUNTA($C$10:$C133))</f>
        <v/>
      </c>
      <c r="B133" s="18"/>
      <c r="C133" s="11"/>
      <c r="D133" s="11"/>
      <c r="E133" s="11"/>
      <c r="F133" s="11"/>
      <c r="G133" s="11"/>
      <c r="H133" s="11"/>
      <c r="I133" s="12"/>
      <c r="J133" s="13" t="str">
        <f aca="false">IF($H133="","",IFERROR(VLOOKUP($H133,'BẢNG GIÁ GỐC'!$A$5:$D$254,3,FALSE()),""))</f>
        <v/>
      </c>
      <c r="K133" s="12"/>
      <c r="L133" s="13" t="str">
        <f aca="false">IF($C133="","",N($I133)*N($K133))</f>
        <v/>
      </c>
      <c r="M133" s="11"/>
      <c r="N133" s="14" t="str">
        <f aca="false">IF($C133="","",IF($M133="VAT 5%",0.05,IF($M133="VAT 8%",0.08,IF($M133="VAT 10%",0.1,0))))</f>
        <v/>
      </c>
      <c r="O133" s="13" t="str">
        <f aca="false">IF($C133="","",$L133*$N133)</f>
        <v/>
      </c>
      <c r="P133" s="13" t="str">
        <f aca="false">IF($C133="","",$L133+$O133)</f>
        <v/>
      </c>
      <c r="Q133" s="12"/>
      <c r="R133" s="13" t="str">
        <f aca="false">IF($C133="","",MAX(0,$P133-N($Q133)))</f>
        <v/>
      </c>
      <c r="S133" s="23" t="str">
        <f aca="false">IF(OR($C133="",$P133=0),"",IF(N($Q133)&lt;=0,"Chưa thanh toán",IF(N($Q133)&lt;$P133,"Thanh toán một phần","Đã thanh toán")))</f>
        <v/>
      </c>
      <c r="T133" s="13" t="str">
        <f aca="false">IF(OR($C133="",$J133=""),"",N($I133)*$J133)</f>
        <v/>
      </c>
      <c r="U133" s="13" t="str">
        <f aca="false">IF(OR($C133="",$T133=""),"",$L133-$T133)</f>
        <v/>
      </c>
      <c r="V133" s="14" t="str">
        <f aca="false">IF(OR($U133="",$L133=0),"",$U133/$L133)</f>
        <v/>
      </c>
      <c r="W133" s="11"/>
      <c r="X133" s="23" t="str">
        <f aca="false">IF($C133="","",IF(AND($H133="",N($I133)=0,N($K133)=0),"Dòng chỉ lưu thông tin khách (chưa có đơn); ",IF($B133="","Thiếu ngày đặt; ","")&amp;IF($H133="","Thiếu tên sản phẩm; ",IF($J133="","Chưa khai GIÁ GỐC ở BẢNG GIÁ GỐC; ",""))&amp;IF(N($I133)&lt;=0,"Thiếu số lượng; ","")&amp;IF(N($K133)&lt;=0,"Thiếu giá bán; ","")&amp;IF(AND($N133&gt;0,$F133=""),"Khách lấy VAT thiếu mã số thuế; ","")&amp;IF(N($Q133)&gt;$P133,"Đã thu vượt tổng phải thu; ","")&amp;IF(AND($L133&gt;0,$U133&lt;&gt;"",$U133&lt;0),"CẢNH BÁO: ĐƠN NÀY ĐANG LỖ; ","")))</f>
        <v/>
      </c>
    </row>
    <row r="134" customFormat="false" ht="15" hidden="false" customHeight="false" outlineLevel="0" collapsed="false">
      <c r="A134" s="21" t="str">
        <f aca="false">IF($C134="","",COUNTA($C$10:$C134))</f>
        <v/>
      </c>
      <c r="B134" s="18"/>
      <c r="C134" s="11"/>
      <c r="D134" s="11"/>
      <c r="E134" s="11"/>
      <c r="F134" s="11"/>
      <c r="G134" s="11"/>
      <c r="H134" s="11"/>
      <c r="I134" s="12"/>
      <c r="J134" s="13" t="str">
        <f aca="false">IF($H134="","",IFERROR(VLOOKUP($H134,'BẢNG GIÁ GỐC'!$A$5:$D$254,3,FALSE()),""))</f>
        <v/>
      </c>
      <c r="K134" s="12"/>
      <c r="L134" s="13" t="str">
        <f aca="false">IF($C134="","",N($I134)*N($K134))</f>
        <v/>
      </c>
      <c r="M134" s="11"/>
      <c r="N134" s="14" t="str">
        <f aca="false">IF($C134="","",IF($M134="VAT 5%",0.05,IF($M134="VAT 8%",0.08,IF($M134="VAT 10%",0.1,0))))</f>
        <v/>
      </c>
      <c r="O134" s="13" t="str">
        <f aca="false">IF($C134="","",$L134*$N134)</f>
        <v/>
      </c>
      <c r="P134" s="13" t="str">
        <f aca="false">IF($C134="","",$L134+$O134)</f>
        <v/>
      </c>
      <c r="Q134" s="12"/>
      <c r="R134" s="13" t="str">
        <f aca="false">IF($C134="","",MAX(0,$P134-N($Q134)))</f>
        <v/>
      </c>
      <c r="S134" s="23" t="str">
        <f aca="false">IF(OR($C134="",$P134=0),"",IF(N($Q134)&lt;=0,"Chưa thanh toán",IF(N($Q134)&lt;$P134,"Thanh toán một phần","Đã thanh toán")))</f>
        <v/>
      </c>
      <c r="T134" s="13" t="str">
        <f aca="false">IF(OR($C134="",$J134=""),"",N($I134)*$J134)</f>
        <v/>
      </c>
      <c r="U134" s="13" t="str">
        <f aca="false">IF(OR($C134="",$T134=""),"",$L134-$T134)</f>
        <v/>
      </c>
      <c r="V134" s="14" t="str">
        <f aca="false">IF(OR($U134="",$L134=0),"",$U134/$L134)</f>
        <v/>
      </c>
      <c r="W134" s="11"/>
      <c r="X134" s="23" t="str">
        <f aca="false">IF($C134="","",IF(AND($H134="",N($I134)=0,N($K134)=0),"Dòng chỉ lưu thông tin khách (chưa có đơn); ",IF($B134="","Thiếu ngày đặt; ","")&amp;IF($H134="","Thiếu tên sản phẩm; ",IF($J134="","Chưa khai GIÁ GỐC ở BẢNG GIÁ GỐC; ",""))&amp;IF(N($I134)&lt;=0,"Thiếu số lượng; ","")&amp;IF(N($K134)&lt;=0,"Thiếu giá bán; ","")&amp;IF(AND($N134&gt;0,$F134=""),"Khách lấy VAT thiếu mã số thuế; ","")&amp;IF(N($Q134)&gt;$P134,"Đã thu vượt tổng phải thu; ","")&amp;IF(AND($L134&gt;0,$U134&lt;&gt;"",$U134&lt;0),"CẢNH BÁO: ĐƠN NÀY ĐANG LỖ; ","")))</f>
        <v/>
      </c>
    </row>
    <row r="135" customFormat="false" ht="15" hidden="false" customHeight="false" outlineLevel="0" collapsed="false">
      <c r="A135" s="21" t="str">
        <f aca="false">IF($C135="","",COUNTA($C$10:$C135))</f>
        <v/>
      </c>
      <c r="B135" s="18"/>
      <c r="C135" s="11"/>
      <c r="D135" s="11"/>
      <c r="E135" s="11"/>
      <c r="F135" s="11"/>
      <c r="G135" s="11"/>
      <c r="H135" s="11"/>
      <c r="I135" s="12"/>
      <c r="J135" s="13" t="str">
        <f aca="false">IF($H135="","",IFERROR(VLOOKUP($H135,'BẢNG GIÁ GỐC'!$A$5:$D$254,3,FALSE()),""))</f>
        <v/>
      </c>
      <c r="K135" s="12"/>
      <c r="L135" s="13" t="str">
        <f aca="false">IF($C135="","",N($I135)*N($K135))</f>
        <v/>
      </c>
      <c r="M135" s="11"/>
      <c r="N135" s="14" t="str">
        <f aca="false">IF($C135="","",IF($M135="VAT 5%",0.05,IF($M135="VAT 8%",0.08,IF($M135="VAT 10%",0.1,0))))</f>
        <v/>
      </c>
      <c r="O135" s="13" t="str">
        <f aca="false">IF($C135="","",$L135*$N135)</f>
        <v/>
      </c>
      <c r="P135" s="13" t="str">
        <f aca="false">IF($C135="","",$L135+$O135)</f>
        <v/>
      </c>
      <c r="Q135" s="12"/>
      <c r="R135" s="13" t="str">
        <f aca="false">IF($C135="","",MAX(0,$P135-N($Q135)))</f>
        <v/>
      </c>
      <c r="S135" s="23" t="str">
        <f aca="false">IF(OR($C135="",$P135=0),"",IF(N($Q135)&lt;=0,"Chưa thanh toán",IF(N($Q135)&lt;$P135,"Thanh toán một phần","Đã thanh toán")))</f>
        <v/>
      </c>
      <c r="T135" s="13" t="str">
        <f aca="false">IF(OR($C135="",$J135=""),"",N($I135)*$J135)</f>
        <v/>
      </c>
      <c r="U135" s="13" t="str">
        <f aca="false">IF(OR($C135="",$T135=""),"",$L135-$T135)</f>
        <v/>
      </c>
      <c r="V135" s="14" t="str">
        <f aca="false">IF(OR($U135="",$L135=0),"",$U135/$L135)</f>
        <v/>
      </c>
      <c r="W135" s="11"/>
      <c r="X135" s="23" t="str">
        <f aca="false">IF($C135="","",IF(AND($H135="",N($I135)=0,N($K135)=0),"Dòng chỉ lưu thông tin khách (chưa có đơn); ",IF($B135="","Thiếu ngày đặt; ","")&amp;IF($H135="","Thiếu tên sản phẩm; ",IF($J135="","Chưa khai GIÁ GỐC ở BẢNG GIÁ GỐC; ",""))&amp;IF(N($I135)&lt;=0,"Thiếu số lượng; ","")&amp;IF(N($K135)&lt;=0,"Thiếu giá bán; ","")&amp;IF(AND($N135&gt;0,$F135=""),"Khách lấy VAT thiếu mã số thuế; ","")&amp;IF(N($Q135)&gt;$P135,"Đã thu vượt tổng phải thu; ","")&amp;IF(AND($L135&gt;0,$U135&lt;&gt;"",$U135&lt;0),"CẢNH BÁO: ĐƠN NÀY ĐANG LỖ; ","")))</f>
        <v/>
      </c>
    </row>
    <row r="136" customFormat="false" ht="15" hidden="false" customHeight="false" outlineLevel="0" collapsed="false">
      <c r="A136" s="21" t="str">
        <f aca="false">IF($C136="","",COUNTA($C$10:$C136))</f>
        <v/>
      </c>
      <c r="B136" s="18"/>
      <c r="C136" s="11"/>
      <c r="D136" s="11"/>
      <c r="E136" s="11"/>
      <c r="F136" s="11"/>
      <c r="G136" s="11"/>
      <c r="H136" s="11"/>
      <c r="I136" s="12"/>
      <c r="J136" s="13" t="str">
        <f aca="false">IF($H136="","",IFERROR(VLOOKUP($H136,'BẢNG GIÁ GỐC'!$A$5:$D$254,3,FALSE()),""))</f>
        <v/>
      </c>
      <c r="K136" s="12"/>
      <c r="L136" s="13" t="str">
        <f aca="false">IF($C136="","",N($I136)*N($K136))</f>
        <v/>
      </c>
      <c r="M136" s="11"/>
      <c r="N136" s="14" t="str">
        <f aca="false">IF($C136="","",IF($M136="VAT 5%",0.05,IF($M136="VAT 8%",0.08,IF($M136="VAT 10%",0.1,0))))</f>
        <v/>
      </c>
      <c r="O136" s="13" t="str">
        <f aca="false">IF($C136="","",$L136*$N136)</f>
        <v/>
      </c>
      <c r="P136" s="13" t="str">
        <f aca="false">IF($C136="","",$L136+$O136)</f>
        <v/>
      </c>
      <c r="Q136" s="12"/>
      <c r="R136" s="13" t="str">
        <f aca="false">IF($C136="","",MAX(0,$P136-N($Q136)))</f>
        <v/>
      </c>
      <c r="S136" s="23" t="str">
        <f aca="false">IF(OR($C136="",$P136=0),"",IF(N($Q136)&lt;=0,"Chưa thanh toán",IF(N($Q136)&lt;$P136,"Thanh toán một phần","Đã thanh toán")))</f>
        <v/>
      </c>
      <c r="T136" s="13" t="str">
        <f aca="false">IF(OR($C136="",$J136=""),"",N($I136)*$J136)</f>
        <v/>
      </c>
      <c r="U136" s="13" t="str">
        <f aca="false">IF(OR($C136="",$T136=""),"",$L136-$T136)</f>
        <v/>
      </c>
      <c r="V136" s="14" t="str">
        <f aca="false">IF(OR($U136="",$L136=0),"",$U136/$L136)</f>
        <v/>
      </c>
      <c r="W136" s="11"/>
      <c r="X136" s="23" t="str">
        <f aca="false">IF($C136="","",IF(AND($H136="",N($I136)=0,N($K136)=0),"Dòng chỉ lưu thông tin khách (chưa có đơn); ",IF($B136="","Thiếu ngày đặt; ","")&amp;IF($H136="","Thiếu tên sản phẩm; ",IF($J136="","Chưa khai GIÁ GỐC ở BẢNG GIÁ GỐC; ",""))&amp;IF(N($I136)&lt;=0,"Thiếu số lượng; ","")&amp;IF(N($K136)&lt;=0,"Thiếu giá bán; ","")&amp;IF(AND($N136&gt;0,$F136=""),"Khách lấy VAT thiếu mã số thuế; ","")&amp;IF(N($Q136)&gt;$P136,"Đã thu vượt tổng phải thu; ","")&amp;IF(AND($L136&gt;0,$U136&lt;&gt;"",$U136&lt;0),"CẢNH BÁO: ĐƠN NÀY ĐANG LỖ; ","")))</f>
        <v/>
      </c>
    </row>
    <row r="137" customFormat="false" ht="15" hidden="false" customHeight="false" outlineLevel="0" collapsed="false">
      <c r="A137" s="21" t="str">
        <f aca="false">IF($C137="","",COUNTA($C$10:$C137))</f>
        <v/>
      </c>
      <c r="B137" s="18"/>
      <c r="C137" s="11"/>
      <c r="D137" s="11"/>
      <c r="E137" s="11"/>
      <c r="F137" s="11"/>
      <c r="G137" s="11"/>
      <c r="H137" s="11"/>
      <c r="I137" s="12"/>
      <c r="J137" s="13" t="str">
        <f aca="false">IF($H137="","",IFERROR(VLOOKUP($H137,'BẢNG GIÁ GỐC'!$A$5:$D$254,3,FALSE()),""))</f>
        <v/>
      </c>
      <c r="K137" s="12"/>
      <c r="L137" s="13" t="str">
        <f aca="false">IF($C137="","",N($I137)*N($K137))</f>
        <v/>
      </c>
      <c r="M137" s="11"/>
      <c r="N137" s="14" t="str">
        <f aca="false">IF($C137="","",IF($M137="VAT 5%",0.05,IF($M137="VAT 8%",0.08,IF($M137="VAT 10%",0.1,0))))</f>
        <v/>
      </c>
      <c r="O137" s="13" t="str">
        <f aca="false">IF($C137="","",$L137*$N137)</f>
        <v/>
      </c>
      <c r="P137" s="13" t="str">
        <f aca="false">IF($C137="","",$L137+$O137)</f>
        <v/>
      </c>
      <c r="Q137" s="12"/>
      <c r="R137" s="13" t="str">
        <f aca="false">IF($C137="","",MAX(0,$P137-N($Q137)))</f>
        <v/>
      </c>
      <c r="S137" s="23" t="str">
        <f aca="false">IF(OR($C137="",$P137=0),"",IF(N($Q137)&lt;=0,"Chưa thanh toán",IF(N($Q137)&lt;$P137,"Thanh toán một phần","Đã thanh toán")))</f>
        <v/>
      </c>
      <c r="T137" s="13" t="str">
        <f aca="false">IF(OR($C137="",$J137=""),"",N($I137)*$J137)</f>
        <v/>
      </c>
      <c r="U137" s="13" t="str">
        <f aca="false">IF(OR($C137="",$T137=""),"",$L137-$T137)</f>
        <v/>
      </c>
      <c r="V137" s="14" t="str">
        <f aca="false">IF(OR($U137="",$L137=0),"",$U137/$L137)</f>
        <v/>
      </c>
      <c r="W137" s="11"/>
      <c r="X137" s="23" t="str">
        <f aca="false">IF($C137="","",IF(AND($H137="",N($I137)=0,N($K137)=0),"Dòng chỉ lưu thông tin khách (chưa có đơn); ",IF($B137="","Thiếu ngày đặt; ","")&amp;IF($H137="","Thiếu tên sản phẩm; ",IF($J137="","Chưa khai GIÁ GỐC ở BẢNG GIÁ GỐC; ",""))&amp;IF(N($I137)&lt;=0,"Thiếu số lượng; ","")&amp;IF(N($K137)&lt;=0,"Thiếu giá bán; ","")&amp;IF(AND($N137&gt;0,$F137=""),"Khách lấy VAT thiếu mã số thuế; ","")&amp;IF(N($Q137)&gt;$P137,"Đã thu vượt tổng phải thu; ","")&amp;IF(AND($L137&gt;0,$U137&lt;&gt;"",$U137&lt;0),"CẢNH BÁO: ĐƠN NÀY ĐANG LỖ; ","")))</f>
        <v/>
      </c>
    </row>
    <row r="138" customFormat="false" ht="15" hidden="false" customHeight="false" outlineLevel="0" collapsed="false">
      <c r="A138" s="21" t="str">
        <f aca="false">IF($C138="","",COUNTA($C$10:$C138))</f>
        <v/>
      </c>
      <c r="B138" s="18"/>
      <c r="C138" s="11"/>
      <c r="D138" s="11"/>
      <c r="E138" s="11"/>
      <c r="F138" s="11"/>
      <c r="G138" s="11"/>
      <c r="H138" s="11"/>
      <c r="I138" s="12"/>
      <c r="J138" s="13" t="str">
        <f aca="false">IF($H138="","",IFERROR(VLOOKUP($H138,'BẢNG GIÁ GỐC'!$A$5:$D$254,3,FALSE()),""))</f>
        <v/>
      </c>
      <c r="K138" s="12"/>
      <c r="L138" s="13" t="str">
        <f aca="false">IF($C138="","",N($I138)*N($K138))</f>
        <v/>
      </c>
      <c r="M138" s="11"/>
      <c r="N138" s="14" t="str">
        <f aca="false">IF($C138="","",IF($M138="VAT 5%",0.05,IF($M138="VAT 8%",0.08,IF($M138="VAT 10%",0.1,0))))</f>
        <v/>
      </c>
      <c r="O138" s="13" t="str">
        <f aca="false">IF($C138="","",$L138*$N138)</f>
        <v/>
      </c>
      <c r="P138" s="13" t="str">
        <f aca="false">IF($C138="","",$L138+$O138)</f>
        <v/>
      </c>
      <c r="Q138" s="12"/>
      <c r="R138" s="13" t="str">
        <f aca="false">IF($C138="","",MAX(0,$P138-N($Q138)))</f>
        <v/>
      </c>
      <c r="S138" s="23" t="str">
        <f aca="false">IF(OR($C138="",$P138=0),"",IF(N($Q138)&lt;=0,"Chưa thanh toán",IF(N($Q138)&lt;$P138,"Thanh toán một phần","Đã thanh toán")))</f>
        <v/>
      </c>
      <c r="T138" s="13" t="str">
        <f aca="false">IF(OR($C138="",$J138=""),"",N($I138)*$J138)</f>
        <v/>
      </c>
      <c r="U138" s="13" t="str">
        <f aca="false">IF(OR($C138="",$T138=""),"",$L138-$T138)</f>
        <v/>
      </c>
      <c r="V138" s="14" t="str">
        <f aca="false">IF(OR($U138="",$L138=0),"",$U138/$L138)</f>
        <v/>
      </c>
      <c r="W138" s="11"/>
      <c r="X138" s="23" t="str">
        <f aca="false">IF($C138="","",IF(AND($H138="",N($I138)=0,N($K138)=0),"Dòng chỉ lưu thông tin khách (chưa có đơn); ",IF($B138="","Thiếu ngày đặt; ","")&amp;IF($H138="","Thiếu tên sản phẩm; ",IF($J138="","Chưa khai GIÁ GỐC ở BẢNG GIÁ GỐC; ",""))&amp;IF(N($I138)&lt;=0,"Thiếu số lượng; ","")&amp;IF(N($K138)&lt;=0,"Thiếu giá bán; ","")&amp;IF(AND($N138&gt;0,$F138=""),"Khách lấy VAT thiếu mã số thuế; ","")&amp;IF(N($Q138)&gt;$P138,"Đã thu vượt tổng phải thu; ","")&amp;IF(AND($L138&gt;0,$U138&lt;&gt;"",$U138&lt;0),"CẢNH BÁO: ĐƠN NÀY ĐANG LỖ; ","")))</f>
        <v/>
      </c>
    </row>
    <row r="139" customFormat="false" ht="15" hidden="false" customHeight="false" outlineLevel="0" collapsed="false">
      <c r="A139" s="21" t="str">
        <f aca="false">IF($C139="","",COUNTA($C$10:$C139))</f>
        <v/>
      </c>
      <c r="B139" s="18"/>
      <c r="C139" s="11"/>
      <c r="D139" s="11"/>
      <c r="E139" s="11"/>
      <c r="F139" s="11"/>
      <c r="G139" s="11"/>
      <c r="H139" s="11"/>
      <c r="I139" s="12"/>
      <c r="J139" s="13" t="str">
        <f aca="false">IF($H139="","",IFERROR(VLOOKUP($H139,'BẢNG GIÁ GỐC'!$A$5:$D$254,3,FALSE()),""))</f>
        <v/>
      </c>
      <c r="K139" s="12"/>
      <c r="L139" s="13" t="str">
        <f aca="false">IF($C139="","",N($I139)*N($K139))</f>
        <v/>
      </c>
      <c r="M139" s="11"/>
      <c r="N139" s="14" t="str">
        <f aca="false">IF($C139="","",IF($M139="VAT 5%",0.05,IF($M139="VAT 8%",0.08,IF($M139="VAT 10%",0.1,0))))</f>
        <v/>
      </c>
      <c r="O139" s="13" t="str">
        <f aca="false">IF($C139="","",$L139*$N139)</f>
        <v/>
      </c>
      <c r="P139" s="13" t="str">
        <f aca="false">IF($C139="","",$L139+$O139)</f>
        <v/>
      </c>
      <c r="Q139" s="12"/>
      <c r="R139" s="13" t="str">
        <f aca="false">IF($C139="","",MAX(0,$P139-N($Q139)))</f>
        <v/>
      </c>
      <c r="S139" s="23" t="str">
        <f aca="false">IF(OR($C139="",$P139=0),"",IF(N($Q139)&lt;=0,"Chưa thanh toán",IF(N($Q139)&lt;$P139,"Thanh toán một phần","Đã thanh toán")))</f>
        <v/>
      </c>
      <c r="T139" s="13" t="str">
        <f aca="false">IF(OR($C139="",$J139=""),"",N($I139)*$J139)</f>
        <v/>
      </c>
      <c r="U139" s="13" t="str">
        <f aca="false">IF(OR($C139="",$T139=""),"",$L139-$T139)</f>
        <v/>
      </c>
      <c r="V139" s="14" t="str">
        <f aca="false">IF(OR($U139="",$L139=0),"",$U139/$L139)</f>
        <v/>
      </c>
      <c r="W139" s="11"/>
      <c r="X139" s="23" t="str">
        <f aca="false">IF($C139="","",IF(AND($H139="",N($I139)=0,N($K139)=0),"Dòng chỉ lưu thông tin khách (chưa có đơn); ",IF($B139="","Thiếu ngày đặt; ","")&amp;IF($H139="","Thiếu tên sản phẩm; ",IF($J139="","Chưa khai GIÁ GỐC ở BẢNG GIÁ GỐC; ",""))&amp;IF(N($I139)&lt;=0,"Thiếu số lượng; ","")&amp;IF(N($K139)&lt;=0,"Thiếu giá bán; ","")&amp;IF(AND($N139&gt;0,$F139=""),"Khách lấy VAT thiếu mã số thuế; ","")&amp;IF(N($Q139)&gt;$P139,"Đã thu vượt tổng phải thu; ","")&amp;IF(AND($L139&gt;0,$U139&lt;&gt;"",$U139&lt;0),"CẢNH BÁO: ĐƠN NÀY ĐANG LỖ; ","")))</f>
        <v/>
      </c>
    </row>
    <row r="140" customFormat="false" ht="15" hidden="false" customHeight="false" outlineLevel="0" collapsed="false">
      <c r="A140" s="21" t="str">
        <f aca="false">IF($C140="","",COUNTA($C$10:$C140))</f>
        <v/>
      </c>
      <c r="B140" s="18"/>
      <c r="C140" s="11"/>
      <c r="D140" s="11"/>
      <c r="E140" s="11"/>
      <c r="F140" s="11"/>
      <c r="G140" s="11"/>
      <c r="H140" s="11"/>
      <c r="I140" s="12"/>
      <c r="J140" s="13" t="str">
        <f aca="false">IF($H140="","",IFERROR(VLOOKUP($H140,'BẢNG GIÁ GỐC'!$A$5:$D$254,3,FALSE()),""))</f>
        <v/>
      </c>
      <c r="K140" s="12"/>
      <c r="L140" s="13" t="str">
        <f aca="false">IF($C140="","",N($I140)*N($K140))</f>
        <v/>
      </c>
      <c r="M140" s="11"/>
      <c r="N140" s="14" t="str">
        <f aca="false">IF($C140="","",IF($M140="VAT 5%",0.05,IF($M140="VAT 8%",0.08,IF($M140="VAT 10%",0.1,0))))</f>
        <v/>
      </c>
      <c r="O140" s="13" t="str">
        <f aca="false">IF($C140="","",$L140*$N140)</f>
        <v/>
      </c>
      <c r="P140" s="13" t="str">
        <f aca="false">IF($C140="","",$L140+$O140)</f>
        <v/>
      </c>
      <c r="Q140" s="12"/>
      <c r="R140" s="13" t="str">
        <f aca="false">IF($C140="","",MAX(0,$P140-N($Q140)))</f>
        <v/>
      </c>
      <c r="S140" s="23" t="str">
        <f aca="false">IF(OR($C140="",$P140=0),"",IF(N($Q140)&lt;=0,"Chưa thanh toán",IF(N($Q140)&lt;$P140,"Thanh toán một phần","Đã thanh toán")))</f>
        <v/>
      </c>
      <c r="T140" s="13" t="str">
        <f aca="false">IF(OR($C140="",$J140=""),"",N($I140)*$J140)</f>
        <v/>
      </c>
      <c r="U140" s="13" t="str">
        <f aca="false">IF(OR($C140="",$T140=""),"",$L140-$T140)</f>
        <v/>
      </c>
      <c r="V140" s="14" t="str">
        <f aca="false">IF(OR($U140="",$L140=0),"",$U140/$L140)</f>
        <v/>
      </c>
      <c r="W140" s="11"/>
      <c r="X140" s="23" t="str">
        <f aca="false">IF($C140="","",IF(AND($H140="",N($I140)=0,N($K140)=0),"Dòng chỉ lưu thông tin khách (chưa có đơn); ",IF($B140="","Thiếu ngày đặt; ","")&amp;IF($H140="","Thiếu tên sản phẩm; ",IF($J140="","Chưa khai GIÁ GỐC ở BẢNG GIÁ GỐC; ",""))&amp;IF(N($I140)&lt;=0,"Thiếu số lượng; ","")&amp;IF(N($K140)&lt;=0,"Thiếu giá bán; ","")&amp;IF(AND($N140&gt;0,$F140=""),"Khách lấy VAT thiếu mã số thuế; ","")&amp;IF(N($Q140)&gt;$P140,"Đã thu vượt tổng phải thu; ","")&amp;IF(AND($L140&gt;0,$U140&lt;&gt;"",$U140&lt;0),"CẢNH BÁO: ĐƠN NÀY ĐANG LỖ; ","")))</f>
        <v/>
      </c>
    </row>
    <row r="141" customFormat="false" ht="15" hidden="false" customHeight="false" outlineLevel="0" collapsed="false">
      <c r="A141" s="21" t="str">
        <f aca="false">IF($C141="","",COUNTA($C$10:$C141))</f>
        <v/>
      </c>
      <c r="B141" s="18"/>
      <c r="C141" s="11"/>
      <c r="D141" s="11"/>
      <c r="E141" s="11"/>
      <c r="F141" s="11"/>
      <c r="G141" s="11"/>
      <c r="H141" s="11"/>
      <c r="I141" s="12"/>
      <c r="J141" s="13" t="str">
        <f aca="false">IF($H141="","",IFERROR(VLOOKUP($H141,'BẢNG GIÁ GỐC'!$A$5:$D$254,3,FALSE()),""))</f>
        <v/>
      </c>
      <c r="K141" s="12"/>
      <c r="L141" s="13" t="str">
        <f aca="false">IF($C141="","",N($I141)*N($K141))</f>
        <v/>
      </c>
      <c r="M141" s="11"/>
      <c r="N141" s="14" t="str">
        <f aca="false">IF($C141="","",IF($M141="VAT 5%",0.05,IF($M141="VAT 8%",0.08,IF($M141="VAT 10%",0.1,0))))</f>
        <v/>
      </c>
      <c r="O141" s="13" t="str">
        <f aca="false">IF($C141="","",$L141*$N141)</f>
        <v/>
      </c>
      <c r="P141" s="13" t="str">
        <f aca="false">IF($C141="","",$L141+$O141)</f>
        <v/>
      </c>
      <c r="Q141" s="12"/>
      <c r="R141" s="13" t="str">
        <f aca="false">IF($C141="","",MAX(0,$P141-N($Q141)))</f>
        <v/>
      </c>
      <c r="S141" s="23" t="str">
        <f aca="false">IF(OR($C141="",$P141=0),"",IF(N($Q141)&lt;=0,"Chưa thanh toán",IF(N($Q141)&lt;$P141,"Thanh toán một phần","Đã thanh toán")))</f>
        <v/>
      </c>
      <c r="T141" s="13" t="str">
        <f aca="false">IF(OR($C141="",$J141=""),"",N($I141)*$J141)</f>
        <v/>
      </c>
      <c r="U141" s="13" t="str">
        <f aca="false">IF(OR($C141="",$T141=""),"",$L141-$T141)</f>
        <v/>
      </c>
      <c r="V141" s="14" t="str">
        <f aca="false">IF(OR($U141="",$L141=0),"",$U141/$L141)</f>
        <v/>
      </c>
      <c r="W141" s="11"/>
      <c r="X141" s="23" t="str">
        <f aca="false">IF($C141="","",IF(AND($H141="",N($I141)=0,N($K141)=0),"Dòng chỉ lưu thông tin khách (chưa có đơn); ",IF($B141="","Thiếu ngày đặt; ","")&amp;IF($H141="","Thiếu tên sản phẩm; ",IF($J141="","Chưa khai GIÁ GỐC ở BẢNG GIÁ GỐC; ",""))&amp;IF(N($I141)&lt;=0,"Thiếu số lượng; ","")&amp;IF(N($K141)&lt;=0,"Thiếu giá bán; ","")&amp;IF(AND($N141&gt;0,$F141=""),"Khách lấy VAT thiếu mã số thuế; ","")&amp;IF(N($Q141)&gt;$P141,"Đã thu vượt tổng phải thu; ","")&amp;IF(AND($L141&gt;0,$U141&lt;&gt;"",$U141&lt;0),"CẢNH BÁO: ĐƠN NÀY ĐANG LỖ; ","")))</f>
        <v/>
      </c>
    </row>
    <row r="142" customFormat="false" ht="15" hidden="false" customHeight="false" outlineLevel="0" collapsed="false">
      <c r="A142" s="21" t="str">
        <f aca="false">IF($C142="","",COUNTA($C$10:$C142))</f>
        <v/>
      </c>
      <c r="B142" s="18"/>
      <c r="C142" s="11"/>
      <c r="D142" s="11"/>
      <c r="E142" s="11"/>
      <c r="F142" s="11"/>
      <c r="G142" s="11"/>
      <c r="H142" s="11"/>
      <c r="I142" s="12"/>
      <c r="J142" s="13" t="str">
        <f aca="false">IF($H142="","",IFERROR(VLOOKUP($H142,'BẢNG GIÁ GỐC'!$A$5:$D$254,3,FALSE()),""))</f>
        <v/>
      </c>
      <c r="K142" s="12"/>
      <c r="L142" s="13" t="str">
        <f aca="false">IF($C142="","",N($I142)*N($K142))</f>
        <v/>
      </c>
      <c r="M142" s="11"/>
      <c r="N142" s="14" t="str">
        <f aca="false">IF($C142="","",IF($M142="VAT 5%",0.05,IF($M142="VAT 8%",0.08,IF($M142="VAT 10%",0.1,0))))</f>
        <v/>
      </c>
      <c r="O142" s="13" t="str">
        <f aca="false">IF($C142="","",$L142*$N142)</f>
        <v/>
      </c>
      <c r="P142" s="13" t="str">
        <f aca="false">IF($C142="","",$L142+$O142)</f>
        <v/>
      </c>
      <c r="Q142" s="12"/>
      <c r="R142" s="13" t="str">
        <f aca="false">IF($C142="","",MAX(0,$P142-N($Q142)))</f>
        <v/>
      </c>
      <c r="S142" s="23" t="str">
        <f aca="false">IF(OR($C142="",$P142=0),"",IF(N($Q142)&lt;=0,"Chưa thanh toán",IF(N($Q142)&lt;$P142,"Thanh toán một phần","Đã thanh toán")))</f>
        <v/>
      </c>
      <c r="T142" s="13" t="str">
        <f aca="false">IF(OR($C142="",$J142=""),"",N($I142)*$J142)</f>
        <v/>
      </c>
      <c r="U142" s="13" t="str">
        <f aca="false">IF(OR($C142="",$T142=""),"",$L142-$T142)</f>
        <v/>
      </c>
      <c r="V142" s="14" t="str">
        <f aca="false">IF(OR($U142="",$L142=0),"",$U142/$L142)</f>
        <v/>
      </c>
      <c r="W142" s="11"/>
      <c r="X142" s="23" t="str">
        <f aca="false">IF($C142="","",IF(AND($H142="",N($I142)=0,N($K142)=0),"Dòng chỉ lưu thông tin khách (chưa có đơn); ",IF($B142="","Thiếu ngày đặt; ","")&amp;IF($H142="","Thiếu tên sản phẩm; ",IF($J142="","Chưa khai GIÁ GỐC ở BẢNG GIÁ GỐC; ",""))&amp;IF(N($I142)&lt;=0,"Thiếu số lượng; ","")&amp;IF(N($K142)&lt;=0,"Thiếu giá bán; ","")&amp;IF(AND($N142&gt;0,$F142=""),"Khách lấy VAT thiếu mã số thuế; ","")&amp;IF(N($Q142)&gt;$P142,"Đã thu vượt tổng phải thu; ","")&amp;IF(AND($L142&gt;0,$U142&lt;&gt;"",$U142&lt;0),"CẢNH BÁO: ĐƠN NÀY ĐANG LỖ; ","")))</f>
        <v/>
      </c>
    </row>
    <row r="143" customFormat="false" ht="15" hidden="false" customHeight="false" outlineLevel="0" collapsed="false">
      <c r="A143" s="21" t="str">
        <f aca="false">IF($C143="","",COUNTA($C$10:$C143))</f>
        <v/>
      </c>
      <c r="B143" s="18"/>
      <c r="C143" s="11"/>
      <c r="D143" s="11"/>
      <c r="E143" s="11"/>
      <c r="F143" s="11"/>
      <c r="G143" s="11"/>
      <c r="H143" s="11"/>
      <c r="I143" s="12"/>
      <c r="J143" s="13" t="str">
        <f aca="false">IF($H143="","",IFERROR(VLOOKUP($H143,'BẢNG GIÁ GỐC'!$A$5:$D$254,3,FALSE()),""))</f>
        <v/>
      </c>
      <c r="K143" s="12"/>
      <c r="L143" s="13" t="str">
        <f aca="false">IF($C143="","",N($I143)*N($K143))</f>
        <v/>
      </c>
      <c r="M143" s="11"/>
      <c r="N143" s="14" t="str">
        <f aca="false">IF($C143="","",IF($M143="VAT 5%",0.05,IF($M143="VAT 8%",0.08,IF($M143="VAT 10%",0.1,0))))</f>
        <v/>
      </c>
      <c r="O143" s="13" t="str">
        <f aca="false">IF($C143="","",$L143*$N143)</f>
        <v/>
      </c>
      <c r="P143" s="13" t="str">
        <f aca="false">IF($C143="","",$L143+$O143)</f>
        <v/>
      </c>
      <c r="Q143" s="12"/>
      <c r="R143" s="13" t="str">
        <f aca="false">IF($C143="","",MAX(0,$P143-N($Q143)))</f>
        <v/>
      </c>
      <c r="S143" s="23" t="str">
        <f aca="false">IF(OR($C143="",$P143=0),"",IF(N($Q143)&lt;=0,"Chưa thanh toán",IF(N($Q143)&lt;$P143,"Thanh toán một phần","Đã thanh toán")))</f>
        <v/>
      </c>
      <c r="T143" s="13" t="str">
        <f aca="false">IF(OR($C143="",$J143=""),"",N($I143)*$J143)</f>
        <v/>
      </c>
      <c r="U143" s="13" t="str">
        <f aca="false">IF(OR($C143="",$T143=""),"",$L143-$T143)</f>
        <v/>
      </c>
      <c r="V143" s="14" t="str">
        <f aca="false">IF(OR($U143="",$L143=0),"",$U143/$L143)</f>
        <v/>
      </c>
      <c r="W143" s="11"/>
      <c r="X143" s="23" t="str">
        <f aca="false">IF($C143="","",IF(AND($H143="",N($I143)=0,N($K143)=0),"Dòng chỉ lưu thông tin khách (chưa có đơn); ",IF($B143="","Thiếu ngày đặt; ","")&amp;IF($H143="","Thiếu tên sản phẩm; ",IF($J143="","Chưa khai GIÁ GỐC ở BẢNG GIÁ GỐC; ",""))&amp;IF(N($I143)&lt;=0,"Thiếu số lượng; ","")&amp;IF(N($K143)&lt;=0,"Thiếu giá bán; ","")&amp;IF(AND($N143&gt;0,$F143=""),"Khách lấy VAT thiếu mã số thuế; ","")&amp;IF(N($Q143)&gt;$P143,"Đã thu vượt tổng phải thu; ","")&amp;IF(AND($L143&gt;0,$U143&lt;&gt;"",$U143&lt;0),"CẢNH BÁO: ĐƠN NÀY ĐANG LỖ; ","")))</f>
        <v/>
      </c>
    </row>
    <row r="144" customFormat="false" ht="15" hidden="false" customHeight="false" outlineLevel="0" collapsed="false">
      <c r="A144" s="21" t="str">
        <f aca="false">IF($C144="","",COUNTA($C$10:$C144))</f>
        <v/>
      </c>
      <c r="B144" s="18"/>
      <c r="C144" s="11"/>
      <c r="D144" s="11"/>
      <c r="E144" s="11"/>
      <c r="F144" s="11"/>
      <c r="G144" s="11"/>
      <c r="H144" s="11"/>
      <c r="I144" s="12"/>
      <c r="J144" s="13" t="str">
        <f aca="false">IF($H144="","",IFERROR(VLOOKUP($H144,'BẢNG GIÁ GỐC'!$A$5:$D$254,3,FALSE()),""))</f>
        <v/>
      </c>
      <c r="K144" s="12"/>
      <c r="L144" s="13" t="str">
        <f aca="false">IF($C144="","",N($I144)*N($K144))</f>
        <v/>
      </c>
      <c r="M144" s="11"/>
      <c r="N144" s="14" t="str">
        <f aca="false">IF($C144="","",IF($M144="VAT 5%",0.05,IF($M144="VAT 8%",0.08,IF($M144="VAT 10%",0.1,0))))</f>
        <v/>
      </c>
      <c r="O144" s="13" t="str">
        <f aca="false">IF($C144="","",$L144*$N144)</f>
        <v/>
      </c>
      <c r="P144" s="13" t="str">
        <f aca="false">IF($C144="","",$L144+$O144)</f>
        <v/>
      </c>
      <c r="Q144" s="12"/>
      <c r="R144" s="13" t="str">
        <f aca="false">IF($C144="","",MAX(0,$P144-N($Q144)))</f>
        <v/>
      </c>
      <c r="S144" s="23" t="str">
        <f aca="false">IF(OR($C144="",$P144=0),"",IF(N($Q144)&lt;=0,"Chưa thanh toán",IF(N($Q144)&lt;$P144,"Thanh toán một phần","Đã thanh toán")))</f>
        <v/>
      </c>
      <c r="T144" s="13" t="str">
        <f aca="false">IF(OR($C144="",$J144=""),"",N($I144)*$J144)</f>
        <v/>
      </c>
      <c r="U144" s="13" t="str">
        <f aca="false">IF(OR($C144="",$T144=""),"",$L144-$T144)</f>
        <v/>
      </c>
      <c r="V144" s="14" t="str">
        <f aca="false">IF(OR($U144="",$L144=0),"",$U144/$L144)</f>
        <v/>
      </c>
      <c r="W144" s="11"/>
      <c r="X144" s="23" t="str">
        <f aca="false">IF($C144="","",IF(AND($H144="",N($I144)=0,N($K144)=0),"Dòng chỉ lưu thông tin khách (chưa có đơn); ",IF($B144="","Thiếu ngày đặt; ","")&amp;IF($H144="","Thiếu tên sản phẩm; ",IF($J144="","Chưa khai GIÁ GỐC ở BẢNG GIÁ GỐC; ",""))&amp;IF(N($I144)&lt;=0,"Thiếu số lượng; ","")&amp;IF(N($K144)&lt;=0,"Thiếu giá bán; ","")&amp;IF(AND($N144&gt;0,$F144=""),"Khách lấy VAT thiếu mã số thuế; ","")&amp;IF(N($Q144)&gt;$P144,"Đã thu vượt tổng phải thu; ","")&amp;IF(AND($L144&gt;0,$U144&lt;&gt;"",$U144&lt;0),"CẢNH BÁO: ĐƠN NÀY ĐANG LỖ; ","")))</f>
        <v/>
      </c>
    </row>
    <row r="145" customFormat="false" ht="15" hidden="false" customHeight="false" outlineLevel="0" collapsed="false">
      <c r="A145" s="21" t="str">
        <f aca="false">IF($C145="","",COUNTA($C$10:$C145))</f>
        <v/>
      </c>
      <c r="B145" s="18"/>
      <c r="C145" s="11"/>
      <c r="D145" s="11"/>
      <c r="E145" s="11"/>
      <c r="F145" s="11"/>
      <c r="G145" s="11"/>
      <c r="H145" s="11"/>
      <c r="I145" s="12"/>
      <c r="J145" s="13" t="str">
        <f aca="false">IF($H145="","",IFERROR(VLOOKUP($H145,'BẢNG GIÁ GỐC'!$A$5:$D$254,3,FALSE()),""))</f>
        <v/>
      </c>
      <c r="K145" s="12"/>
      <c r="L145" s="13" t="str">
        <f aca="false">IF($C145="","",N($I145)*N($K145))</f>
        <v/>
      </c>
      <c r="M145" s="11"/>
      <c r="N145" s="14" t="str">
        <f aca="false">IF($C145="","",IF($M145="VAT 5%",0.05,IF($M145="VAT 8%",0.08,IF($M145="VAT 10%",0.1,0))))</f>
        <v/>
      </c>
      <c r="O145" s="13" t="str">
        <f aca="false">IF($C145="","",$L145*$N145)</f>
        <v/>
      </c>
      <c r="P145" s="13" t="str">
        <f aca="false">IF($C145="","",$L145+$O145)</f>
        <v/>
      </c>
      <c r="Q145" s="12"/>
      <c r="R145" s="13" t="str">
        <f aca="false">IF($C145="","",MAX(0,$P145-N($Q145)))</f>
        <v/>
      </c>
      <c r="S145" s="23" t="str">
        <f aca="false">IF(OR($C145="",$P145=0),"",IF(N($Q145)&lt;=0,"Chưa thanh toán",IF(N($Q145)&lt;$P145,"Thanh toán một phần","Đã thanh toán")))</f>
        <v/>
      </c>
      <c r="T145" s="13" t="str">
        <f aca="false">IF(OR($C145="",$J145=""),"",N($I145)*$J145)</f>
        <v/>
      </c>
      <c r="U145" s="13" t="str">
        <f aca="false">IF(OR($C145="",$T145=""),"",$L145-$T145)</f>
        <v/>
      </c>
      <c r="V145" s="14" t="str">
        <f aca="false">IF(OR($U145="",$L145=0),"",$U145/$L145)</f>
        <v/>
      </c>
      <c r="W145" s="11"/>
      <c r="X145" s="23" t="str">
        <f aca="false">IF($C145="","",IF(AND($H145="",N($I145)=0,N($K145)=0),"Dòng chỉ lưu thông tin khách (chưa có đơn); ",IF($B145="","Thiếu ngày đặt; ","")&amp;IF($H145="","Thiếu tên sản phẩm; ",IF($J145="","Chưa khai GIÁ GỐC ở BẢNG GIÁ GỐC; ",""))&amp;IF(N($I145)&lt;=0,"Thiếu số lượng; ","")&amp;IF(N($K145)&lt;=0,"Thiếu giá bán; ","")&amp;IF(AND($N145&gt;0,$F145=""),"Khách lấy VAT thiếu mã số thuế; ","")&amp;IF(N($Q145)&gt;$P145,"Đã thu vượt tổng phải thu; ","")&amp;IF(AND($L145&gt;0,$U145&lt;&gt;"",$U145&lt;0),"CẢNH BÁO: ĐƠN NÀY ĐANG LỖ; ","")))</f>
        <v/>
      </c>
    </row>
    <row r="146" customFormat="false" ht="15" hidden="false" customHeight="false" outlineLevel="0" collapsed="false">
      <c r="A146" s="21" t="str">
        <f aca="false">IF($C146="","",COUNTA($C$10:$C146))</f>
        <v/>
      </c>
      <c r="B146" s="18"/>
      <c r="C146" s="11"/>
      <c r="D146" s="11"/>
      <c r="E146" s="11"/>
      <c r="F146" s="11"/>
      <c r="G146" s="11"/>
      <c r="H146" s="11"/>
      <c r="I146" s="12"/>
      <c r="J146" s="13" t="str">
        <f aca="false">IF($H146="","",IFERROR(VLOOKUP($H146,'BẢNG GIÁ GỐC'!$A$5:$D$254,3,FALSE()),""))</f>
        <v/>
      </c>
      <c r="K146" s="12"/>
      <c r="L146" s="13" t="str">
        <f aca="false">IF($C146="","",N($I146)*N($K146))</f>
        <v/>
      </c>
      <c r="M146" s="11"/>
      <c r="N146" s="14" t="str">
        <f aca="false">IF($C146="","",IF($M146="VAT 5%",0.05,IF($M146="VAT 8%",0.08,IF($M146="VAT 10%",0.1,0))))</f>
        <v/>
      </c>
      <c r="O146" s="13" t="str">
        <f aca="false">IF($C146="","",$L146*$N146)</f>
        <v/>
      </c>
      <c r="P146" s="13" t="str">
        <f aca="false">IF($C146="","",$L146+$O146)</f>
        <v/>
      </c>
      <c r="Q146" s="12"/>
      <c r="R146" s="13" t="str">
        <f aca="false">IF($C146="","",MAX(0,$P146-N($Q146)))</f>
        <v/>
      </c>
      <c r="S146" s="23" t="str">
        <f aca="false">IF(OR($C146="",$P146=0),"",IF(N($Q146)&lt;=0,"Chưa thanh toán",IF(N($Q146)&lt;$P146,"Thanh toán một phần","Đã thanh toán")))</f>
        <v/>
      </c>
      <c r="T146" s="13" t="str">
        <f aca="false">IF(OR($C146="",$J146=""),"",N($I146)*$J146)</f>
        <v/>
      </c>
      <c r="U146" s="13" t="str">
        <f aca="false">IF(OR($C146="",$T146=""),"",$L146-$T146)</f>
        <v/>
      </c>
      <c r="V146" s="14" t="str">
        <f aca="false">IF(OR($U146="",$L146=0),"",$U146/$L146)</f>
        <v/>
      </c>
      <c r="W146" s="11"/>
      <c r="X146" s="23" t="str">
        <f aca="false">IF($C146="","",IF(AND($H146="",N($I146)=0,N($K146)=0),"Dòng chỉ lưu thông tin khách (chưa có đơn); ",IF($B146="","Thiếu ngày đặt; ","")&amp;IF($H146="","Thiếu tên sản phẩm; ",IF($J146="","Chưa khai GIÁ GỐC ở BẢNG GIÁ GỐC; ",""))&amp;IF(N($I146)&lt;=0,"Thiếu số lượng; ","")&amp;IF(N($K146)&lt;=0,"Thiếu giá bán; ","")&amp;IF(AND($N146&gt;0,$F146=""),"Khách lấy VAT thiếu mã số thuế; ","")&amp;IF(N($Q146)&gt;$P146,"Đã thu vượt tổng phải thu; ","")&amp;IF(AND($L146&gt;0,$U146&lt;&gt;"",$U146&lt;0),"CẢNH BÁO: ĐƠN NÀY ĐANG LỖ; ","")))</f>
        <v/>
      </c>
    </row>
    <row r="147" customFormat="false" ht="15" hidden="false" customHeight="false" outlineLevel="0" collapsed="false">
      <c r="A147" s="21" t="str">
        <f aca="false">IF($C147="","",COUNTA($C$10:$C147))</f>
        <v/>
      </c>
      <c r="B147" s="18"/>
      <c r="C147" s="11"/>
      <c r="D147" s="11"/>
      <c r="E147" s="11"/>
      <c r="F147" s="11"/>
      <c r="G147" s="11"/>
      <c r="H147" s="11"/>
      <c r="I147" s="12"/>
      <c r="J147" s="13" t="str">
        <f aca="false">IF($H147="","",IFERROR(VLOOKUP($H147,'BẢNG GIÁ GỐC'!$A$5:$D$254,3,FALSE()),""))</f>
        <v/>
      </c>
      <c r="K147" s="12"/>
      <c r="L147" s="13" t="str">
        <f aca="false">IF($C147="","",N($I147)*N($K147))</f>
        <v/>
      </c>
      <c r="M147" s="11"/>
      <c r="N147" s="14" t="str">
        <f aca="false">IF($C147="","",IF($M147="VAT 5%",0.05,IF($M147="VAT 8%",0.08,IF($M147="VAT 10%",0.1,0))))</f>
        <v/>
      </c>
      <c r="O147" s="13" t="str">
        <f aca="false">IF($C147="","",$L147*$N147)</f>
        <v/>
      </c>
      <c r="P147" s="13" t="str">
        <f aca="false">IF($C147="","",$L147+$O147)</f>
        <v/>
      </c>
      <c r="Q147" s="12"/>
      <c r="R147" s="13" t="str">
        <f aca="false">IF($C147="","",MAX(0,$P147-N($Q147)))</f>
        <v/>
      </c>
      <c r="S147" s="23" t="str">
        <f aca="false">IF(OR($C147="",$P147=0),"",IF(N($Q147)&lt;=0,"Chưa thanh toán",IF(N($Q147)&lt;$P147,"Thanh toán một phần","Đã thanh toán")))</f>
        <v/>
      </c>
      <c r="T147" s="13" t="str">
        <f aca="false">IF(OR($C147="",$J147=""),"",N($I147)*$J147)</f>
        <v/>
      </c>
      <c r="U147" s="13" t="str">
        <f aca="false">IF(OR($C147="",$T147=""),"",$L147-$T147)</f>
        <v/>
      </c>
      <c r="V147" s="14" t="str">
        <f aca="false">IF(OR($U147="",$L147=0),"",$U147/$L147)</f>
        <v/>
      </c>
      <c r="W147" s="11"/>
      <c r="X147" s="23" t="str">
        <f aca="false">IF($C147="","",IF(AND($H147="",N($I147)=0,N($K147)=0),"Dòng chỉ lưu thông tin khách (chưa có đơn); ",IF($B147="","Thiếu ngày đặt; ","")&amp;IF($H147="","Thiếu tên sản phẩm; ",IF($J147="","Chưa khai GIÁ GỐC ở BẢNG GIÁ GỐC; ",""))&amp;IF(N($I147)&lt;=0,"Thiếu số lượng; ","")&amp;IF(N($K147)&lt;=0,"Thiếu giá bán; ","")&amp;IF(AND($N147&gt;0,$F147=""),"Khách lấy VAT thiếu mã số thuế; ","")&amp;IF(N($Q147)&gt;$P147,"Đã thu vượt tổng phải thu; ","")&amp;IF(AND($L147&gt;0,$U147&lt;&gt;"",$U147&lt;0),"CẢNH BÁO: ĐƠN NÀY ĐANG LỖ; ","")))</f>
        <v/>
      </c>
    </row>
    <row r="148" customFormat="false" ht="15" hidden="false" customHeight="false" outlineLevel="0" collapsed="false">
      <c r="A148" s="21" t="str">
        <f aca="false">IF($C148="","",COUNTA($C$10:$C148))</f>
        <v/>
      </c>
      <c r="B148" s="18"/>
      <c r="C148" s="11"/>
      <c r="D148" s="11"/>
      <c r="E148" s="11"/>
      <c r="F148" s="11"/>
      <c r="G148" s="11"/>
      <c r="H148" s="11"/>
      <c r="I148" s="12"/>
      <c r="J148" s="13" t="str">
        <f aca="false">IF($H148="","",IFERROR(VLOOKUP($H148,'BẢNG GIÁ GỐC'!$A$5:$D$254,3,FALSE()),""))</f>
        <v/>
      </c>
      <c r="K148" s="12"/>
      <c r="L148" s="13" t="str">
        <f aca="false">IF($C148="","",N($I148)*N($K148))</f>
        <v/>
      </c>
      <c r="M148" s="11"/>
      <c r="N148" s="14" t="str">
        <f aca="false">IF($C148="","",IF($M148="VAT 5%",0.05,IF($M148="VAT 8%",0.08,IF($M148="VAT 10%",0.1,0))))</f>
        <v/>
      </c>
      <c r="O148" s="13" t="str">
        <f aca="false">IF($C148="","",$L148*$N148)</f>
        <v/>
      </c>
      <c r="P148" s="13" t="str">
        <f aca="false">IF($C148="","",$L148+$O148)</f>
        <v/>
      </c>
      <c r="Q148" s="12"/>
      <c r="R148" s="13" t="str">
        <f aca="false">IF($C148="","",MAX(0,$P148-N($Q148)))</f>
        <v/>
      </c>
      <c r="S148" s="23" t="str">
        <f aca="false">IF(OR($C148="",$P148=0),"",IF(N($Q148)&lt;=0,"Chưa thanh toán",IF(N($Q148)&lt;$P148,"Thanh toán một phần","Đã thanh toán")))</f>
        <v/>
      </c>
      <c r="T148" s="13" t="str">
        <f aca="false">IF(OR($C148="",$J148=""),"",N($I148)*$J148)</f>
        <v/>
      </c>
      <c r="U148" s="13" t="str">
        <f aca="false">IF(OR($C148="",$T148=""),"",$L148-$T148)</f>
        <v/>
      </c>
      <c r="V148" s="14" t="str">
        <f aca="false">IF(OR($U148="",$L148=0),"",$U148/$L148)</f>
        <v/>
      </c>
      <c r="W148" s="11"/>
      <c r="X148" s="23" t="str">
        <f aca="false">IF($C148="","",IF(AND($H148="",N($I148)=0,N($K148)=0),"Dòng chỉ lưu thông tin khách (chưa có đơn); ",IF($B148="","Thiếu ngày đặt; ","")&amp;IF($H148="","Thiếu tên sản phẩm; ",IF($J148="","Chưa khai GIÁ GỐC ở BẢNG GIÁ GỐC; ",""))&amp;IF(N($I148)&lt;=0,"Thiếu số lượng; ","")&amp;IF(N($K148)&lt;=0,"Thiếu giá bán; ","")&amp;IF(AND($N148&gt;0,$F148=""),"Khách lấy VAT thiếu mã số thuế; ","")&amp;IF(N($Q148)&gt;$P148,"Đã thu vượt tổng phải thu; ","")&amp;IF(AND($L148&gt;0,$U148&lt;&gt;"",$U148&lt;0),"CẢNH BÁO: ĐƠN NÀY ĐANG LỖ; ","")))</f>
        <v/>
      </c>
    </row>
    <row r="149" customFormat="false" ht="15" hidden="false" customHeight="false" outlineLevel="0" collapsed="false">
      <c r="A149" s="21" t="str">
        <f aca="false">IF($C149="","",COUNTA($C$10:$C149))</f>
        <v/>
      </c>
      <c r="B149" s="18"/>
      <c r="C149" s="11"/>
      <c r="D149" s="11"/>
      <c r="E149" s="11"/>
      <c r="F149" s="11"/>
      <c r="G149" s="11"/>
      <c r="H149" s="11"/>
      <c r="I149" s="12"/>
      <c r="J149" s="13" t="str">
        <f aca="false">IF($H149="","",IFERROR(VLOOKUP($H149,'BẢNG GIÁ GỐC'!$A$5:$D$254,3,FALSE()),""))</f>
        <v/>
      </c>
      <c r="K149" s="12"/>
      <c r="L149" s="13" t="str">
        <f aca="false">IF($C149="","",N($I149)*N($K149))</f>
        <v/>
      </c>
      <c r="M149" s="11"/>
      <c r="N149" s="14" t="str">
        <f aca="false">IF($C149="","",IF($M149="VAT 5%",0.05,IF($M149="VAT 8%",0.08,IF($M149="VAT 10%",0.1,0))))</f>
        <v/>
      </c>
      <c r="O149" s="13" t="str">
        <f aca="false">IF($C149="","",$L149*$N149)</f>
        <v/>
      </c>
      <c r="P149" s="13" t="str">
        <f aca="false">IF($C149="","",$L149+$O149)</f>
        <v/>
      </c>
      <c r="Q149" s="12"/>
      <c r="R149" s="13" t="str">
        <f aca="false">IF($C149="","",MAX(0,$P149-N($Q149)))</f>
        <v/>
      </c>
      <c r="S149" s="23" t="str">
        <f aca="false">IF(OR($C149="",$P149=0),"",IF(N($Q149)&lt;=0,"Chưa thanh toán",IF(N($Q149)&lt;$P149,"Thanh toán một phần","Đã thanh toán")))</f>
        <v/>
      </c>
      <c r="T149" s="13" t="str">
        <f aca="false">IF(OR($C149="",$J149=""),"",N($I149)*$J149)</f>
        <v/>
      </c>
      <c r="U149" s="13" t="str">
        <f aca="false">IF(OR($C149="",$T149=""),"",$L149-$T149)</f>
        <v/>
      </c>
      <c r="V149" s="14" t="str">
        <f aca="false">IF(OR($U149="",$L149=0),"",$U149/$L149)</f>
        <v/>
      </c>
      <c r="W149" s="11"/>
      <c r="X149" s="23" t="str">
        <f aca="false">IF($C149="","",IF(AND($H149="",N($I149)=0,N($K149)=0),"Dòng chỉ lưu thông tin khách (chưa có đơn); ",IF($B149="","Thiếu ngày đặt; ","")&amp;IF($H149="","Thiếu tên sản phẩm; ",IF($J149="","Chưa khai GIÁ GỐC ở BẢNG GIÁ GỐC; ",""))&amp;IF(N($I149)&lt;=0,"Thiếu số lượng; ","")&amp;IF(N($K149)&lt;=0,"Thiếu giá bán; ","")&amp;IF(AND($N149&gt;0,$F149=""),"Khách lấy VAT thiếu mã số thuế; ","")&amp;IF(N($Q149)&gt;$P149,"Đã thu vượt tổng phải thu; ","")&amp;IF(AND($L149&gt;0,$U149&lt;&gt;"",$U149&lt;0),"CẢNH BÁO: ĐƠN NÀY ĐANG LỖ; ","")))</f>
        <v/>
      </c>
    </row>
    <row r="150" customFormat="false" ht="15" hidden="false" customHeight="false" outlineLevel="0" collapsed="false">
      <c r="A150" s="21" t="str">
        <f aca="false">IF($C150="","",COUNTA($C$10:$C150))</f>
        <v/>
      </c>
      <c r="B150" s="18"/>
      <c r="C150" s="11"/>
      <c r="D150" s="11"/>
      <c r="E150" s="11"/>
      <c r="F150" s="11"/>
      <c r="G150" s="11"/>
      <c r="H150" s="11"/>
      <c r="I150" s="12"/>
      <c r="J150" s="13" t="str">
        <f aca="false">IF($H150="","",IFERROR(VLOOKUP($H150,'BẢNG GIÁ GỐC'!$A$5:$D$254,3,FALSE()),""))</f>
        <v/>
      </c>
      <c r="K150" s="12"/>
      <c r="L150" s="13" t="str">
        <f aca="false">IF($C150="","",N($I150)*N($K150))</f>
        <v/>
      </c>
      <c r="M150" s="11"/>
      <c r="N150" s="14" t="str">
        <f aca="false">IF($C150="","",IF($M150="VAT 5%",0.05,IF($M150="VAT 8%",0.08,IF($M150="VAT 10%",0.1,0))))</f>
        <v/>
      </c>
      <c r="O150" s="13" t="str">
        <f aca="false">IF($C150="","",$L150*$N150)</f>
        <v/>
      </c>
      <c r="P150" s="13" t="str">
        <f aca="false">IF($C150="","",$L150+$O150)</f>
        <v/>
      </c>
      <c r="Q150" s="12"/>
      <c r="R150" s="13" t="str">
        <f aca="false">IF($C150="","",MAX(0,$P150-N($Q150)))</f>
        <v/>
      </c>
      <c r="S150" s="23" t="str">
        <f aca="false">IF(OR($C150="",$P150=0),"",IF(N($Q150)&lt;=0,"Chưa thanh toán",IF(N($Q150)&lt;$P150,"Thanh toán một phần","Đã thanh toán")))</f>
        <v/>
      </c>
      <c r="T150" s="13" t="str">
        <f aca="false">IF(OR($C150="",$J150=""),"",N($I150)*$J150)</f>
        <v/>
      </c>
      <c r="U150" s="13" t="str">
        <f aca="false">IF(OR($C150="",$T150=""),"",$L150-$T150)</f>
        <v/>
      </c>
      <c r="V150" s="14" t="str">
        <f aca="false">IF(OR($U150="",$L150=0),"",$U150/$L150)</f>
        <v/>
      </c>
      <c r="W150" s="11"/>
      <c r="X150" s="23" t="str">
        <f aca="false">IF($C150="","",IF(AND($H150="",N($I150)=0,N($K150)=0),"Dòng chỉ lưu thông tin khách (chưa có đơn); ",IF($B150="","Thiếu ngày đặt; ","")&amp;IF($H150="","Thiếu tên sản phẩm; ",IF($J150="","Chưa khai GIÁ GỐC ở BẢNG GIÁ GỐC; ",""))&amp;IF(N($I150)&lt;=0,"Thiếu số lượng; ","")&amp;IF(N($K150)&lt;=0,"Thiếu giá bán; ","")&amp;IF(AND($N150&gt;0,$F150=""),"Khách lấy VAT thiếu mã số thuế; ","")&amp;IF(N($Q150)&gt;$P150,"Đã thu vượt tổng phải thu; ","")&amp;IF(AND($L150&gt;0,$U150&lt;&gt;"",$U150&lt;0),"CẢNH BÁO: ĐƠN NÀY ĐANG LỖ; ","")))</f>
        <v/>
      </c>
    </row>
    <row r="151" customFormat="false" ht="15" hidden="false" customHeight="false" outlineLevel="0" collapsed="false">
      <c r="A151" s="21" t="str">
        <f aca="false">IF($C151="","",COUNTA($C$10:$C151))</f>
        <v/>
      </c>
      <c r="B151" s="18"/>
      <c r="C151" s="11"/>
      <c r="D151" s="11"/>
      <c r="E151" s="11"/>
      <c r="F151" s="11"/>
      <c r="G151" s="11"/>
      <c r="H151" s="11"/>
      <c r="I151" s="12"/>
      <c r="J151" s="13" t="str">
        <f aca="false">IF($H151="","",IFERROR(VLOOKUP($H151,'BẢNG GIÁ GỐC'!$A$5:$D$254,3,FALSE()),""))</f>
        <v/>
      </c>
      <c r="K151" s="12"/>
      <c r="L151" s="13" t="str">
        <f aca="false">IF($C151="","",N($I151)*N($K151))</f>
        <v/>
      </c>
      <c r="M151" s="11"/>
      <c r="N151" s="14" t="str">
        <f aca="false">IF($C151="","",IF($M151="VAT 5%",0.05,IF($M151="VAT 8%",0.08,IF($M151="VAT 10%",0.1,0))))</f>
        <v/>
      </c>
      <c r="O151" s="13" t="str">
        <f aca="false">IF($C151="","",$L151*$N151)</f>
        <v/>
      </c>
      <c r="P151" s="13" t="str">
        <f aca="false">IF($C151="","",$L151+$O151)</f>
        <v/>
      </c>
      <c r="Q151" s="12"/>
      <c r="R151" s="13" t="str">
        <f aca="false">IF($C151="","",MAX(0,$P151-N($Q151)))</f>
        <v/>
      </c>
      <c r="S151" s="23" t="str">
        <f aca="false">IF(OR($C151="",$P151=0),"",IF(N($Q151)&lt;=0,"Chưa thanh toán",IF(N($Q151)&lt;$P151,"Thanh toán một phần","Đã thanh toán")))</f>
        <v/>
      </c>
      <c r="T151" s="13" t="str">
        <f aca="false">IF(OR($C151="",$J151=""),"",N($I151)*$J151)</f>
        <v/>
      </c>
      <c r="U151" s="13" t="str">
        <f aca="false">IF(OR($C151="",$T151=""),"",$L151-$T151)</f>
        <v/>
      </c>
      <c r="V151" s="14" t="str">
        <f aca="false">IF(OR($U151="",$L151=0),"",$U151/$L151)</f>
        <v/>
      </c>
      <c r="W151" s="11"/>
      <c r="X151" s="23" t="str">
        <f aca="false">IF($C151="","",IF(AND($H151="",N($I151)=0,N($K151)=0),"Dòng chỉ lưu thông tin khách (chưa có đơn); ",IF($B151="","Thiếu ngày đặt; ","")&amp;IF($H151="","Thiếu tên sản phẩm; ",IF($J151="","Chưa khai GIÁ GỐC ở BẢNG GIÁ GỐC; ",""))&amp;IF(N($I151)&lt;=0,"Thiếu số lượng; ","")&amp;IF(N($K151)&lt;=0,"Thiếu giá bán; ","")&amp;IF(AND($N151&gt;0,$F151=""),"Khách lấy VAT thiếu mã số thuế; ","")&amp;IF(N($Q151)&gt;$P151,"Đã thu vượt tổng phải thu; ","")&amp;IF(AND($L151&gt;0,$U151&lt;&gt;"",$U151&lt;0),"CẢNH BÁO: ĐƠN NÀY ĐANG LỖ; ","")))</f>
        <v/>
      </c>
    </row>
    <row r="152" customFormat="false" ht="15" hidden="false" customHeight="false" outlineLevel="0" collapsed="false">
      <c r="A152" s="21" t="str">
        <f aca="false">IF($C152="","",COUNTA($C$10:$C152))</f>
        <v/>
      </c>
      <c r="B152" s="18"/>
      <c r="C152" s="11"/>
      <c r="D152" s="11"/>
      <c r="E152" s="11"/>
      <c r="F152" s="11"/>
      <c r="G152" s="11"/>
      <c r="H152" s="11"/>
      <c r="I152" s="12"/>
      <c r="J152" s="13" t="str">
        <f aca="false">IF($H152="","",IFERROR(VLOOKUP($H152,'BẢNG GIÁ GỐC'!$A$5:$D$254,3,FALSE()),""))</f>
        <v/>
      </c>
      <c r="K152" s="12"/>
      <c r="L152" s="13" t="str">
        <f aca="false">IF($C152="","",N($I152)*N($K152))</f>
        <v/>
      </c>
      <c r="M152" s="11"/>
      <c r="N152" s="14" t="str">
        <f aca="false">IF($C152="","",IF($M152="VAT 5%",0.05,IF($M152="VAT 8%",0.08,IF($M152="VAT 10%",0.1,0))))</f>
        <v/>
      </c>
      <c r="O152" s="13" t="str">
        <f aca="false">IF($C152="","",$L152*$N152)</f>
        <v/>
      </c>
      <c r="P152" s="13" t="str">
        <f aca="false">IF($C152="","",$L152+$O152)</f>
        <v/>
      </c>
      <c r="Q152" s="12"/>
      <c r="R152" s="13" t="str">
        <f aca="false">IF($C152="","",MAX(0,$P152-N($Q152)))</f>
        <v/>
      </c>
      <c r="S152" s="23" t="str">
        <f aca="false">IF(OR($C152="",$P152=0),"",IF(N($Q152)&lt;=0,"Chưa thanh toán",IF(N($Q152)&lt;$P152,"Thanh toán một phần","Đã thanh toán")))</f>
        <v/>
      </c>
      <c r="T152" s="13" t="str">
        <f aca="false">IF(OR($C152="",$J152=""),"",N($I152)*$J152)</f>
        <v/>
      </c>
      <c r="U152" s="13" t="str">
        <f aca="false">IF(OR($C152="",$T152=""),"",$L152-$T152)</f>
        <v/>
      </c>
      <c r="V152" s="14" t="str">
        <f aca="false">IF(OR($U152="",$L152=0),"",$U152/$L152)</f>
        <v/>
      </c>
      <c r="W152" s="11"/>
      <c r="X152" s="23" t="str">
        <f aca="false">IF($C152="","",IF(AND($H152="",N($I152)=0,N($K152)=0),"Dòng chỉ lưu thông tin khách (chưa có đơn); ",IF($B152="","Thiếu ngày đặt; ","")&amp;IF($H152="","Thiếu tên sản phẩm; ",IF($J152="","Chưa khai GIÁ GỐC ở BẢNG GIÁ GỐC; ",""))&amp;IF(N($I152)&lt;=0,"Thiếu số lượng; ","")&amp;IF(N($K152)&lt;=0,"Thiếu giá bán; ","")&amp;IF(AND($N152&gt;0,$F152=""),"Khách lấy VAT thiếu mã số thuế; ","")&amp;IF(N($Q152)&gt;$P152,"Đã thu vượt tổng phải thu; ","")&amp;IF(AND($L152&gt;0,$U152&lt;&gt;"",$U152&lt;0),"CẢNH BÁO: ĐƠN NÀY ĐANG LỖ; ","")))</f>
        <v/>
      </c>
    </row>
    <row r="153" customFormat="false" ht="15" hidden="false" customHeight="false" outlineLevel="0" collapsed="false">
      <c r="A153" s="21" t="str">
        <f aca="false">IF($C153="","",COUNTA($C$10:$C153))</f>
        <v/>
      </c>
      <c r="B153" s="18"/>
      <c r="C153" s="11"/>
      <c r="D153" s="11"/>
      <c r="E153" s="11"/>
      <c r="F153" s="11"/>
      <c r="G153" s="11"/>
      <c r="H153" s="11"/>
      <c r="I153" s="12"/>
      <c r="J153" s="13" t="str">
        <f aca="false">IF($H153="","",IFERROR(VLOOKUP($H153,'BẢNG GIÁ GỐC'!$A$5:$D$254,3,FALSE()),""))</f>
        <v/>
      </c>
      <c r="K153" s="12"/>
      <c r="L153" s="13" t="str">
        <f aca="false">IF($C153="","",N($I153)*N($K153))</f>
        <v/>
      </c>
      <c r="M153" s="11"/>
      <c r="N153" s="14" t="str">
        <f aca="false">IF($C153="","",IF($M153="VAT 5%",0.05,IF($M153="VAT 8%",0.08,IF($M153="VAT 10%",0.1,0))))</f>
        <v/>
      </c>
      <c r="O153" s="13" t="str">
        <f aca="false">IF($C153="","",$L153*$N153)</f>
        <v/>
      </c>
      <c r="P153" s="13" t="str">
        <f aca="false">IF($C153="","",$L153+$O153)</f>
        <v/>
      </c>
      <c r="Q153" s="12"/>
      <c r="R153" s="13" t="str">
        <f aca="false">IF($C153="","",MAX(0,$P153-N($Q153)))</f>
        <v/>
      </c>
      <c r="S153" s="23" t="str">
        <f aca="false">IF(OR($C153="",$P153=0),"",IF(N($Q153)&lt;=0,"Chưa thanh toán",IF(N($Q153)&lt;$P153,"Thanh toán một phần","Đã thanh toán")))</f>
        <v/>
      </c>
      <c r="T153" s="13" t="str">
        <f aca="false">IF(OR($C153="",$J153=""),"",N($I153)*$J153)</f>
        <v/>
      </c>
      <c r="U153" s="13" t="str">
        <f aca="false">IF(OR($C153="",$T153=""),"",$L153-$T153)</f>
        <v/>
      </c>
      <c r="V153" s="14" t="str">
        <f aca="false">IF(OR($U153="",$L153=0),"",$U153/$L153)</f>
        <v/>
      </c>
      <c r="W153" s="11"/>
      <c r="X153" s="23" t="str">
        <f aca="false">IF($C153="","",IF(AND($H153="",N($I153)=0,N($K153)=0),"Dòng chỉ lưu thông tin khách (chưa có đơn); ",IF($B153="","Thiếu ngày đặt; ","")&amp;IF($H153="","Thiếu tên sản phẩm; ",IF($J153="","Chưa khai GIÁ GỐC ở BẢNG GIÁ GỐC; ",""))&amp;IF(N($I153)&lt;=0,"Thiếu số lượng; ","")&amp;IF(N($K153)&lt;=0,"Thiếu giá bán; ","")&amp;IF(AND($N153&gt;0,$F153=""),"Khách lấy VAT thiếu mã số thuế; ","")&amp;IF(N($Q153)&gt;$P153,"Đã thu vượt tổng phải thu; ","")&amp;IF(AND($L153&gt;0,$U153&lt;&gt;"",$U153&lt;0),"CẢNH BÁO: ĐƠN NÀY ĐANG LỖ; ","")))</f>
        <v/>
      </c>
    </row>
    <row r="154" customFormat="false" ht="15" hidden="false" customHeight="false" outlineLevel="0" collapsed="false">
      <c r="A154" s="21" t="str">
        <f aca="false">IF($C154="","",COUNTA($C$10:$C154))</f>
        <v/>
      </c>
      <c r="B154" s="18"/>
      <c r="C154" s="11"/>
      <c r="D154" s="11"/>
      <c r="E154" s="11"/>
      <c r="F154" s="11"/>
      <c r="G154" s="11"/>
      <c r="H154" s="11"/>
      <c r="I154" s="12"/>
      <c r="J154" s="13" t="str">
        <f aca="false">IF($H154="","",IFERROR(VLOOKUP($H154,'BẢNG GIÁ GỐC'!$A$5:$D$254,3,FALSE()),""))</f>
        <v/>
      </c>
      <c r="K154" s="12"/>
      <c r="L154" s="13" t="str">
        <f aca="false">IF($C154="","",N($I154)*N($K154))</f>
        <v/>
      </c>
      <c r="M154" s="11"/>
      <c r="N154" s="14" t="str">
        <f aca="false">IF($C154="","",IF($M154="VAT 5%",0.05,IF($M154="VAT 8%",0.08,IF($M154="VAT 10%",0.1,0))))</f>
        <v/>
      </c>
      <c r="O154" s="13" t="str">
        <f aca="false">IF($C154="","",$L154*$N154)</f>
        <v/>
      </c>
      <c r="P154" s="13" t="str">
        <f aca="false">IF($C154="","",$L154+$O154)</f>
        <v/>
      </c>
      <c r="Q154" s="12"/>
      <c r="R154" s="13" t="str">
        <f aca="false">IF($C154="","",MAX(0,$P154-N($Q154)))</f>
        <v/>
      </c>
      <c r="S154" s="23" t="str">
        <f aca="false">IF(OR($C154="",$P154=0),"",IF(N($Q154)&lt;=0,"Chưa thanh toán",IF(N($Q154)&lt;$P154,"Thanh toán một phần","Đã thanh toán")))</f>
        <v/>
      </c>
      <c r="T154" s="13" t="str">
        <f aca="false">IF(OR($C154="",$J154=""),"",N($I154)*$J154)</f>
        <v/>
      </c>
      <c r="U154" s="13" t="str">
        <f aca="false">IF(OR($C154="",$T154=""),"",$L154-$T154)</f>
        <v/>
      </c>
      <c r="V154" s="14" t="str">
        <f aca="false">IF(OR($U154="",$L154=0),"",$U154/$L154)</f>
        <v/>
      </c>
      <c r="W154" s="11"/>
      <c r="X154" s="23" t="str">
        <f aca="false">IF($C154="","",IF(AND($H154="",N($I154)=0,N($K154)=0),"Dòng chỉ lưu thông tin khách (chưa có đơn); ",IF($B154="","Thiếu ngày đặt; ","")&amp;IF($H154="","Thiếu tên sản phẩm; ",IF($J154="","Chưa khai GIÁ GỐC ở BẢNG GIÁ GỐC; ",""))&amp;IF(N($I154)&lt;=0,"Thiếu số lượng; ","")&amp;IF(N($K154)&lt;=0,"Thiếu giá bán; ","")&amp;IF(AND($N154&gt;0,$F154=""),"Khách lấy VAT thiếu mã số thuế; ","")&amp;IF(N($Q154)&gt;$P154,"Đã thu vượt tổng phải thu; ","")&amp;IF(AND($L154&gt;0,$U154&lt;&gt;"",$U154&lt;0),"CẢNH BÁO: ĐƠN NÀY ĐANG LỖ; ","")))</f>
        <v/>
      </c>
    </row>
    <row r="155" customFormat="false" ht="15" hidden="false" customHeight="false" outlineLevel="0" collapsed="false">
      <c r="A155" s="21" t="str">
        <f aca="false">IF($C155="","",COUNTA($C$10:$C155))</f>
        <v/>
      </c>
      <c r="B155" s="18"/>
      <c r="C155" s="11"/>
      <c r="D155" s="11"/>
      <c r="E155" s="11"/>
      <c r="F155" s="11"/>
      <c r="G155" s="11"/>
      <c r="H155" s="11"/>
      <c r="I155" s="12"/>
      <c r="J155" s="13" t="str">
        <f aca="false">IF($H155="","",IFERROR(VLOOKUP($H155,'BẢNG GIÁ GỐC'!$A$5:$D$254,3,FALSE()),""))</f>
        <v/>
      </c>
      <c r="K155" s="12"/>
      <c r="L155" s="13" t="str">
        <f aca="false">IF($C155="","",N($I155)*N($K155))</f>
        <v/>
      </c>
      <c r="M155" s="11"/>
      <c r="N155" s="14" t="str">
        <f aca="false">IF($C155="","",IF($M155="VAT 5%",0.05,IF($M155="VAT 8%",0.08,IF($M155="VAT 10%",0.1,0))))</f>
        <v/>
      </c>
      <c r="O155" s="13" t="str">
        <f aca="false">IF($C155="","",$L155*$N155)</f>
        <v/>
      </c>
      <c r="P155" s="13" t="str">
        <f aca="false">IF($C155="","",$L155+$O155)</f>
        <v/>
      </c>
      <c r="Q155" s="12"/>
      <c r="R155" s="13" t="str">
        <f aca="false">IF($C155="","",MAX(0,$P155-N($Q155)))</f>
        <v/>
      </c>
      <c r="S155" s="23" t="str">
        <f aca="false">IF(OR($C155="",$P155=0),"",IF(N($Q155)&lt;=0,"Chưa thanh toán",IF(N($Q155)&lt;$P155,"Thanh toán một phần","Đã thanh toán")))</f>
        <v/>
      </c>
      <c r="T155" s="13" t="str">
        <f aca="false">IF(OR($C155="",$J155=""),"",N($I155)*$J155)</f>
        <v/>
      </c>
      <c r="U155" s="13" t="str">
        <f aca="false">IF(OR($C155="",$T155=""),"",$L155-$T155)</f>
        <v/>
      </c>
      <c r="V155" s="14" t="str">
        <f aca="false">IF(OR($U155="",$L155=0),"",$U155/$L155)</f>
        <v/>
      </c>
      <c r="W155" s="11"/>
      <c r="X155" s="23" t="str">
        <f aca="false">IF($C155="","",IF(AND($H155="",N($I155)=0,N($K155)=0),"Dòng chỉ lưu thông tin khách (chưa có đơn); ",IF($B155="","Thiếu ngày đặt; ","")&amp;IF($H155="","Thiếu tên sản phẩm; ",IF($J155="","Chưa khai GIÁ GỐC ở BẢNG GIÁ GỐC; ",""))&amp;IF(N($I155)&lt;=0,"Thiếu số lượng; ","")&amp;IF(N($K155)&lt;=0,"Thiếu giá bán; ","")&amp;IF(AND($N155&gt;0,$F155=""),"Khách lấy VAT thiếu mã số thuế; ","")&amp;IF(N($Q155)&gt;$P155,"Đã thu vượt tổng phải thu; ","")&amp;IF(AND($L155&gt;0,$U155&lt;&gt;"",$U155&lt;0),"CẢNH BÁO: ĐƠN NÀY ĐANG LỖ; ","")))</f>
        <v/>
      </c>
    </row>
    <row r="156" customFormat="false" ht="15" hidden="false" customHeight="false" outlineLevel="0" collapsed="false">
      <c r="A156" s="21" t="str">
        <f aca="false">IF($C156="","",COUNTA($C$10:$C156))</f>
        <v/>
      </c>
      <c r="B156" s="18"/>
      <c r="C156" s="11"/>
      <c r="D156" s="11"/>
      <c r="E156" s="11"/>
      <c r="F156" s="11"/>
      <c r="G156" s="11"/>
      <c r="H156" s="11"/>
      <c r="I156" s="12"/>
      <c r="J156" s="13" t="str">
        <f aca="false">IF($H156="","",IFERROR(VLOOKUP($H156,'BẢNG GIÁ GỐC'!$A$5:$D$254,3,FALSE()),""))</f>
        <v/>
      </c>
      <c r="K156" s="12"/>
      <c r="L156" s="13" t="str">
        <f aca="false">IF($C156="","",N($I156)*N($K156))</f>
        <v/>
      </c>
      <c r="M156" s="11"/>
      <c r="N156" s="14" t="str">
        <f aca="false">IF($C156="","",IF($M156="VAT 5%",0.05,IF($M156="VAT 8%",0.08,IF($M156="VAT 10%",0.1,0))))</f>
        <v/>
      </c>
      <c r="O156" s="13" t="str">
        <f aca="false">IF($C156="","",$L156*$N156)</f>
        <v/>
      </c>
      <c r="P156" s="13" t="str">
        <f aca="false">IF($C156="","",$L156+$O156)</f>
        <v/>
      </c>
      <c r="Q156" s="12"/>
      <c r="R156" s="13" t="str">
        <f aca="false">IF($C156="","",MAX(0,$P156-N($Q156)))</f>
        <v/>
      </c>
      <c r="S156" s="23" t="str">
        <f aca="false">IF(OR($C156="",$P156=0),"",IF(N($Q156)&lt;=0,"Chưa thanh toán",IF(N($Q156)&lt;$P156,"Thanh toán một phần","Đã thanh toán")))</f>
        <v/>
      </c>
      <c r="T156" s="13" t="str">
        <f aca="false">IF(OR($C156="",$J156=""),"",N($I156)*$J156)</f>
        <v/>
      </c>
      <c r="U156" s="13" t="str">
        <f aca="false">IF(OR($C156="",$T156=""),"",$L156-$T156)</f>
        <v/>
      </c>
      <c r="V156" s="14" t="str">
        <f aca="false">IF(OR($U156="",$L156=0),"",$U156/$L156)</f>
        <v/>
      </c>
      <c r="W156" s="11"/>
      <c r="X156" s="23" t="str">
        <f aca="false">IF($C156="","",IF(AND($H156="",N($I156)=0,N($K156)=0),"Dòng chỉ lưu thông tin khách (chưa có đơn); ",IF($B156="","Thiếu ngày đặt; ","")&amp;IF($H156="","Thiếu tên sản phẩm; ",IF($J156="","Chưa khai GIÁ GỐC ở BẢNG GIÁ GỐC; ",""))&amp;IF(N($I156)&lt;=0,"Thiếu số lượng; ","")&amp;IF(N($K156)&lt;=0,"Thiếu giá bán; ","")&amp;IF(AND($N156&gt;0,$F156=""),"Khách lấy VAT thiếu mã số thuế; ","")&amp;IF(N($Q156)&gt;$P156,"Đã thu vượt tổng phải thu; ","")&amp;IF(AND($L156&gt;0,$U156&lt;&gt;"",$U156&lt;0),"CẢNH BÁO: ĐƠN NÀY ĐANG LỖ; ","")))</f>
        <v/>
      </c>
    </row>
    <row r="157" customFormat="false" ht="15" hidden="false" customHeight="false" outlineLevel="0" collapsed="false">
      <c r="A157" s="21" t="str">
        <f aca="false">IF($C157="","",COUNTA($C$10:$C157))</f>
        <v/>
      </c>
      <c r="B157" s="18"/>
      <c r="C157" s="11"/>
      <c r="D157" s="11"/>
      <c r="E157" s="11"/>
      <c r="F157" s="11"/>
      <c r="G157" s="11"/>
      <c r="H157" s="11"/>
      <c r="I157" s="12"/>
      <c r="J157" s="13" t="str">
        <f aca="false">IF($H157="","",IFERROR(VLOOKUP($H157,'BẢNG GIÁ GỐC'!$A$5:$D$254,3,FALSE()),""))</f>
        <v/>
      </c>
      <c r="K157" s="12"/>
      <c r="L157" s="13" t="str">
        <f aca="false">IF($C157="","",N($I157)*N($K157))</f>
        <v/>
      </c>
      <c r="M157" s="11"/>
      <c r="N157" s="14" t="str">
        <f aca="false">IF($C157="","",IF($M157="VAT 5%",0.05,IF($M157="VAT 8%",0.08,IF($M157="VAT 10%",0.1,0))))</f>
        <v/>
      </c>
      <c r="O157" s="13" t="str">
        <f aca="false">IF($C157="","",$L157*$N157)</f>
        <v/>
      </c>
      <c r="P157" s="13" t="str">
        <f aca="false">IF($C157="","",$L157+$O157)</f>
        <v/>
      </c>
      <c r="Q157" s="12"/>
      <c r="R157" s="13" t="str">
        <f aca="false">IF($C157="","",MAX(0,$P157-N($Q157)))</f>
        <v/>
      </c>
      <c r="S157" s="23" t="str">
        <f aca="false">IF(OR($C157="",$P157=0),"",IF(N($Q157)&lt;=0,"Chưa thanh toán",IF(N($Q157)&lt;$P157,"Thanh toán một phần","Đã thanh toán")))</f>
        <v/>
      </c>
      <c r="T157" s="13" t="str">
        <f aca="false">IF(OR($C157="",$J157=""),"",N($I157)*$J157)</f>
        <v/>
      </c>
      <c r="U157" s="13" t="str">
        <f aca="false">IF(OR($C157="",$T157=""),"",$L157-$T157)</f>
        <v/>
      </c>
      <c r="V157" s="14" t="str">
        <f aca="false">IF(OR($U157="",$L157=0),"",$U157/$L157)</f>
        <v/>
      </c>
      <c r="W157" s="11"/>
      <c r="X157" s="23" t="str">
        <f aca="false">IF($C157="","",IF(AND($H157="",N($I157)=0,N($K157)=0),"Dòng chỉ lưu thông tin khách (chưa có đơn); ",IF($B157="","Thiếu ngày đặt; ","")&amp;IF($H157="","Thiếu tên sản phẩm; ",IF($J157="","Chưa khai GIÁ GỐC ở BẢNG GIÁ GỐC; ",""))&amp;IF(N($I157)&lt;=0,"Thiếu số lượng; ","")&amp;IF(N($K157)&lt;=0,"Thiếu giá bán; ","")&amp;IF(AND($N157&gt;0,$F157=""),"Khách lấy VAT thiếu mã số thuế; ","")&amp;IF(N($Q157)&gt;$P157,"Đã thu vượt tổng phải thu; ","")&amp;IF(AND($L157&gt;0,$U157&lt;&gt;"",$U157&lt;0),"CẢNH BÁO: ĐƠN NÀY ĐANG LỖ; ","")))</f>
        <v/>
      </c>
    </row>
    <row r="158" customFormat="false" ht="15" hidden="false" customHeight="false" outlineLevel="0" collapsed="false">
      <c r="A158" s="21" t="str">
        <f aca="false">IF($C158="","",COUNTA($C$10:$C158))</f>
        <v/>
      </c>
      <c r="B158" s="18"/>
      <c r="C158" s="11"/>
      <c r="D158" s="11"/>
      <c r="E158" s="11"/>
      <c r="F158" s="11"/>
      <c r="G158" s="11"/>
      <c r="H158" s="11"/>
      <c r="I158" s="12"/>
      <c r="J158" s="13" t="str">
        <f aca="false">IF($H158="","",IFERROR(VLOOKUP($H158,'BẢNG GIÁ GỐC'!$A$5:$D$254,3,FALSE()),""))</f>
        <v/>
      </c>
      <c r="K158" s="12"/>
      <c r="L158" s="13" t="str">
        <f aca="false">IF($C158="","",N($I158)*N($K158))</f>
        <v/>
      </c>
      <c r="M158" s="11"/>
      <c r="N158" s="14" t="str">
        <f aca="false">IF($C158="","",IF($M158="VAT 5%",0.05,IF($M158="VAT 8%",0.08,IF($M158="VAT 10%",0.1,0))))</f>
        <v/>
      </c>
      <c r="O158" s="13" t="str">
        <f aca="false">IF($C158="","",$L158*$N158)</f>
        <v/>
      </c>
      <c r="P158" s="13" t="str">
        <f aca="false">IF($C158="","",$L158+$O158)</f>
        <v/>
      </c>
      <c r="Q158" s="12"/>
      <c r="R158" s="13" t="str">
        <f aca="false">IF($C158="","",MAX(0,$P158-N($Q158)))</f>
        <v/>
      </c>
      <c r="S158" s="23" t="str">
        <f aca="false">IF(OR($C158="",$P158=0),"",IF(N($Q158)&lt;=0,"Chưa thanh toán",IF(N($Q158)&lt;$P158,"Thanh toán một phần","Đã thanh toán")))</f>
        <v/>
      </c>
      <c r="T158" s="13" t="str">
        <f aca="false">IF(OR($C158="",$J158=""),"",N($I158)*$J158)</f>
        <v/>
      </c>
      <c r="U158" s="13" t="str">
        <f aca="false">IF(OR($C158="",$T158=""),"",$L158-$T158)</f>
        <v/>
      </c>
      <c r="V158" s="14" t="str">
        <f aca="false">IF(OR($U158="",$L158=0),"",$U158/$L158)</f>
        <v/>
      </c>
      <c r="W158" s="11"/>
      <c r="X158" s="23" t="str">
        <f aca="false">IF($C158="","",IF(AND($H158="",N($I158)=0,N($K158)=0),"Dòng chỉ lưu thông tin khách (chưa có đơn); ",IF($B158="","Thiếu ngày đặt; ","")&amp;IF($H158="","Thiếu tên sản phẩm; ",IF($J158="","Chưa khai GIÁ GỐC ở BẢNG GIÁ GỐC; ",""))&amp;IF(N($I158)&lt;=0,"Thiếu số lượng; ","")&amp;IF(N($K158)&lt;=0,"Thiếu giá bán; ","")&amp;IF(AND($N158&gt;0,$F158=""),"Khách lấy VAT thiếu mã số thuế; ","")&amp;IF(N($Q158)&gt;$P158,"Đã thu vượt tổng phải thu; ","")&amp;IF(AND($L158&gt;0,$U158&lt;&gt;"",$U158&lt;0),"CẢNH BÁO: ĐƠN NÀY ĐANG LỖ; ","")))</f>
        <v/>
      </c>
    </row>
    <row r="159" customFormat="false" ht="15" hidden="false" customHeight="false" outlineLevel="0" collapsed="false">
      <c r="A159" s="21" t="str">
        <f aca="false">IF($C159="","",COUNTA($C$10:$C159))</f>
        <v/>
      </c>
      <c r="B159" s="18"/>
      <c r="C159" s="11"/>
      <c r="D159" s="11"/>
      <c r="E159" s="11"/>
      <c r="F159" s="11"/>
      <c r="G159" s="11"/>
      <c r="H159" s="11"/>
      <c r="I159" s="12"/>
      <c r="J159" s="13" t="str">
        <f aca="false">IF($H159="","",IFERROR(VLOOKUP($H159,'BẢNG GIÁ GỐC'!$A$5:$D$254,3,FALSE()),""))</f>
        <v/>
      </c>
      <c r="K159" s="12"/>
      <c r="L159" s="13" t="str">
        <f aca="false">IF($C159="","",N($I159)*N($K159))</f>
        <v/>
      </c>
      <c r="M159" s="11"/>
      <c r="N159" s="14" t="str">
        <f aca="false">IF($C159="","",IF($M159="VAT 5%",0.05,IF($M159="VAT 8%",0.08,IF($M159="VAT 10%",0.1,0))))</f>
        <v/>
      </c>
      <c r="O159" s="13" t="str">
        <f aca="false">IF($C159="","",$L159*$N159)</f>
        <v/>
      </c>
      <c r="P159" s="13" t="str">
        <f aca="false">IF($C159="","",$L159+$O159)</f>
        <v/>
      </c>
      <c r="Q159" s="12"/>
      <c r="R159" s="13" t="str">
        <f aca="false">IF($C159="","",MAX(0,$P159-N($Q159)))</f>
        <v/>
      </c>
      <c r="S159" s="23" t="str">
        <f aca="false">IF(OR($C159="",$P159=0),"",IF(N($Q159)&lt;=0,"Chưa thanh toán",IF(N($Q159)&lt;$P159,"Thanh toán một phần","Đã thanh toán")))</f>
        <v/>
      </c>
      <c r="T159" s="13" t="str">
        <f aca="false">IF(OR($C159="",$J159=""),"",N($I159)*$J159)</f>
        <v/>
      </c>
      <c r="U159" s="13" t="str">
        <f aca="false">IF(OR($C159="",$T159=""),"",$L159-$T159)</f>
        <v/>
      </c>
      <c r="V159" s="14" t="str">
        <f aca="false">IF(OR($U159="",$L159=0),"",$U159/$L159)</f>
        <v/>
      </c>
      <c r="W159" s="11"/>
      <c r="X159" s="23" t="str">
        <f aca="false">IF($C159="","",IF(AND($H159="",N($I159)=0,N($K159)=0),"Dòng chỉ lưu thông tin khách (chưa có đơn); ",IF($B159="","Thiếu ngày đặt; ","")&amp;IF($H159="","Thiếu tên sản phẩm; ",IF($J159="","Chưa khai GIÁ GỐC ở BẢNG GIÁ GỐC; ",""))&amp;IF(N($I159)&lt;=0,"Thiếu số lượng; ","")&amp;IF(N($K159)&lt;=0,"Thiếu giá bán; ","")&amp;IF(AND($N159&gt;0,$F159=""),"Khách lấy VAT thiếu mã số thuế; ","")&amp;IF(N($Q159)&gt;$P159,"Đã thu vượt tổng phải thu; ","")&amp;IF(AND($L159&gt;0,$U159&lt;&gt;"",$U159&lt;0),"CẢNH BÁO: ĐƠN NÀY ĐANG LỖ; ","")))</f>
        <v/>
      </c>
    </row>
  </sheetData>
  <autoFilter ref="A9:X159"/>
  <mergeCells count="35">
    <mergeCell ref="A1:X1"/>
    <mergeCell ref="A2:X2"/>
    <mergeCell ref="A3:C3"/>
    <mergeCell ref="D3:E3"/>
    <mergeCell ref="F3:H3"/>
    <mergeCell ref="I3:K3"/>
    <mergeCell ref="L3:O3"/>
    <mergeCell ref="P3:R3"/>
    <mergeCell ref="Z3:AD3"/>
    <mergeCell ref="A4:C4"/>
    <mergeCell ref="D4:E4"/>
    <mergeCell ref="F4:H4"/>
    <mergeCell ref="I4:K4"/>
    <mergeCell ref="L4:O4"/>
    <mergeCell ref="P4:R4"/>
    <mergeCell ref="A5:C5"/>
    <mergeCell ref="D5:E5"/>
    <mergeCell ref="F5:H5"/>
    <mergeCell ref="I5:K5"/>
    <mergeCell ref="L5:O5"/>
    <mergeCell ref="P5:R5"/>
    <mergeCell ref="A6:C6"/>
    <mergeCell ref="D6:E6"/>
    <mergeCell ref="F6:H6"/>
    <mergeCell ref="I6:K6"/>
    <mergeCell ref="L6:O6"/>
    <mergeCell ref="P6:R6"/>
    <mergeCell ref="A7:C7"/>
    <mergeCell ref="D7:E7"/>
    <mergeCell ref="F7:H7"/>
    <mergeCell ref="I7:K7"/>
    <mergeCell ref="L7:O7"/>
    <mergeCell ref="P7:R7"/>
    <mergeCell ref="A8:X8"/>
    <mergeCell ref="Z25:AB25"/>
  </mergeCells>
  <conditionalFormatting sqref="R10:R159">
    <cfRule type="cellIs" priority="2" operator="greaterThan" aboveAverage="0" equalAverage="0" bottom="0" percent="0" rank="0" text="" dxfId="8">
      <formula>0</formula>
    </cfRule>
  </conditionalFormatting>
  <conditionalFormatting sqref="U10:U159">
    <cfRule type="cellIs" priority="3" operator="lessThan" aboveAverage="0" equalAverage="0" bottom="0" percent="0" rank="0" text="" dxfId="8">
      <formula>0</formula>
    </cfRule>
  </conditionalFormatting>
  <conditionalFormatting sqref="X10:X159">
    <cfRule type="expression" priority="4" aboveAverage="0" equalAverage="0" bottom="0" percent="0" rank="0" text="" dxfId="13">
      <formula>LEN($X10)&gt;0</formula>
    </cfRule>
  </conditionalFormatting>
  <conditionalFormatting sqref="S10:S159">
    <cfRule type="expression" priority="5" aboveAverage="0" equalAverage="0" bottom="0" percent="0" rank="0" text="" dxfId="14">
      <formula>$S10="Đã thanh toán"</formula>
    </cfRule>
  </conditionalFormatting>
  <dataValidations count="5">
    <dataValidation allowBlank="true" error="Chỉ nhập số, không nhập chữ và không nhập số âm." errorStyle="stop" errorTitle="Số không hợp lệ" operator="greaterThanOrEqual" showDropDown="false" showErrorMessage="false" showInputMessage="false" sqref="AC5:AC24 I10:I159 K10:K159 Q10:Q159" type="decimal">
      <formula1>0</formula1>
      <formula2>0</formula2>
    </dataValidation>
    <dataValidation allowBlank="true" error="Hãy chọn sản phẩm có trong sheet BẢNG GIÁ GỐC, hoặc thêm sản phẩm đó vào BẢNG GIÁ GỐC trước." errorStyle="stop" errorTitle="Sản phẩm chưa có trong bảng giá" operator="between" showDropDown="false" showErrorMessage="false" showInputMessage="false" sqref="H10:H159" type="list">
      <formula1>DS_SANPHAM</formula1>
      <formula2>0</formula2>
    </dataValidation>
    <dataValidation allowBlank="true" errorStyle="stop" operator="between" showDropDown="false" showErrorMessage="false" showInputMessage="false" sqref="M10:M159" type="list">
      <formula1>"Không lấy VAT,VAT 5%,VAT 8%,VAT 10%"</formula1>
      <formula2>0</formula2>
    </dataValidation>
    <dataValidation allowBlank="true" errorStyle="stop" operator="between" showDropDown="false" showErrorMessage="false" showInputMessage="false" sqref="AA5:AA24" type="list">
      <formula1>"Tiền ship,Nguyên vật liệu,Nhân công,Quảng cáo,Thuê kho bãi,Điện nước,Đổi trả - bồi thường,Chi phí khác"</formula1>
      <formula2>0</formula2>
    </dataValidation>
    <dataValidation allowBlank="true" errorStyle="stop" operator="between" showDropDown="false" showErrorMessage="false" showInputMessage="false" sqref="Z5:Z24 B10:B159" type="date">
      <formula1>DATE(2020,1,1)</formula1>
      <formula2>DATE(2100,12,31)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D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0"/>
    <col collapsed="false" customWidth="true" hidden="false" outlineLevel="0" max="4" min="4" style="0" width="14"/>
    <col collapsed="false" customWidth="true" hidden="false" outlineLevel="0" max="5" min="5" style="0" width="30"/>
    <col collapsed="false" customWidth="true" hidden="false" outlineLevel="0" max="6" min="6" style="0" width="16"/>
    <col collapsed="false" customWidth="true" hidden="false" outlineLevel="0" max="8" min="7" style="0" width="34"/>
    <col collapsed="false" customWidth="true" hidden="false" outlineLevel="0" max="9" min="9" style="0" width="10"/>
    <col collapsed="false" customWidth="true" hidden="false" outlineLevel="0" max="10" min="10" style="0" width="14"/>
    <col collapsed="false" customWidth="true" hidden="false" outlineLevel="0" max="13" min="11" style="0" width="15"/>
    <col collapsed="false" customWidth="true" hidden="false" outlineLevel="0" max="14" min="14" style="0" width="10"/>
    <col collapsed="false" customWidth="true" hidden="false" outlineLevel="0" max="15" min="15" style="0" width="13"/>
    <col collapsed="false" customWidth="true" hidden="false" outlineLevel="0" max="17" min="16" style="0" width="16"/>
    <col collapsed="false" customWidth="true" hidden="false" outlineLevel="0" max="18" min="18" style="0" width="14"/>
    <col collapsed="false" customWidth="true" hidden="false" outlineLevel="0" max="19" min="19" style="0" width="18"/>
    <col collapsed="false" customWidth="true" hidden="false" outlineLevel="0" max="21" min="20" style="0" width="14"/>
    <col collapsed="false" customWidth="true" hidden="false" outlineLevel="0" max="22" min="22" style="0" width="9"/>
    <col collapsed="false" customWidth="true" hidden="false" outlineLevel="0" max="23" min="23" style="0" width="28"/>
    <col collapsed="false" customWidth="true" hidden="false" outlineLevel="0" max="24" min="24" style="0" width="38"/>
    <col collapsed="false" customWidth="true" hidden="false" outlineLevel="0" max="26" min="26" style="0" width="12"/>
    <col collapsed="false" customWidth="true" hidden="false" outlineLevel="0" max="27" min="27" style="0" width="22"/>
    <col collapsed="false" customWidth="true" hidden="false" outlineLevel="0" max="28" min="28" style="0" width="34"/>
    <col collapsed="false" customWidth="true" hidden="false" outlineLevel="0" max="29" min="29" style="0" width="16"/>
    <col collapsed="false" customWidth="true" hidden="false" outlineLevel="0" max="30" min="30" style="0" width="28"/>
  </cols>
  <sheetData>
    <row r="1" customFormat="false" ht="27.75" hidden="false" customHeight="true" outlineLevel="0" collapsed="false">
      <c r="A1" s="1" t="s">
        <v>418</v>
      </c>
      <c r="B1" s="1"/>
      <c r="C1" s="1"/>
      <c r="D1" s="1"/>
      <c r="E1" s="1"/>
      <c r="F1" s="1"/>
      <c r="G1" s="1"/>
      <c r="H1" s="1"/>
      <c r="I1" s="1"/>
      <c r="J1" s="1"/>
      <c r="K1" s="1"/>
      <c r="L1" s="1"/>
      <c r="M1" s="1"/>
      <c r="N1" s="1"/>
      <c r="O1" s="1"/>
      <c r="P1" s="1"/>
      <c r="Q1" s="1"/>
      <c r="R1" s="1"/>
      <c r="S1" s="1"/>
      <c r="T1" s="1"/>
      <c r="U1" s="1"/>
      <c r="V1" s="1"/>
      <c r="W1" s="1"/>
      <c r="X1" s="1"/>
    </row>
    <row r="2" customFormat="false" ht="18.75" hidden="false" customHeight="true" outlineLevel="0" collapsed="false">
      <c r="A2" s="2" t="s">
        <v>117</v>
      </c>
      <c r="B2" s="2"/>
      <c r="C2" s="2"/>
      <c r="D2" s="2"/>
      <c r="E2" s="2"/>
      <c r="F2" s="2"/>
      <c r="G2" s="2"/>
      <c r="H2" s="2"/>
      <c r="I2" s="2"/>
      <c r="J2" s="2"/>
      <c r="K2" s="2"/>
      <c r="L2" s="2"/>
      <c r="M2" s="2"/>
      <c r="N2" s="2"/>
      <c r="O2" s="2"/>
      <c r="P2" s="2"/>
      <c r="Q2" s="2"/>
      <c r="R2" s="2"/>
      <c r="S2" s="2"/>
      <c r="T2" s="2"/>
      <c r="U2" s="2"/>
      <c r="V2" s="2"/>
      <c r="W2" s="2"/>
      <c r="X2" s="2"/>
    </row>
    <row r="3" customFormat="false" ht="19.5" hidden="false" customHeight="true" outlineLevel="0" collapsed="false">
      <c r="A3" s="15" t="s">
        <v>118</v>
      </c>
      <c r="B3" s="15"/>
      <c r="C3" s="15"/>
      <c r="D3" s="16" t="n">
        <f aca="false">COUNTIFS($C$10:$C$159,"?*",$L$10:$L$159,"&gt;0")</f>
        <v>0</v>
      </c>
      <c r="E3" s="16"/>
      <c r="F3" s="15" t="s">
        <v>119</v>
      </c>
      <c r="G3" s="15"/>
      <c r="H3" s="15"/>
      <c r="I3" s="16" t="n">
        <f aca="false">SUM($L$10:$L$159)</f>
        <v>0</v>
      </c>
      <c r="J3" s="16"/>
      <c r="K3" s="16"/>
      <c r="L3" s="15" t="s">
        <v>120</v>
      </c>
      <c r="M3" s="15"/>
      <c r="N3" s="15"/>
      <c r="O3" s="15"/>
      <c r="P3" s="16" t="n">
        <f aca="false">SUM($T$10:$T$159)</f>
        <v>0</v>
      </c>
      <c r="Q3" s="16"/>
      <c r="R3" s="16"/>
      <c r="Z3" s="17" t="s">
        <v>419</v>
      </c>
      <c r="AA3" s="17"/>
      <c r="AB3" s="17"/>
      <c r="AC3" s="17"/>
      <c r="AD3" s="17"/>
    </row>
    <row r="4" customFormat="false" ht="19.5" hidden="false" customHeight="true" outlineLevel="0" collapsed="false">
      <c r="A4" s="15" t="s">
        <v>122</v>
      </c>
      <c r="B4" s="15"/>
      <c r="C4" s="15"/>
      <c r="D4" s="16" t="n">
        <f aca="false">IF(COUNTA($C$10:$C$159)=0,0,SUMPRODUCT(($C$10:$C$159&lt;&gt;"")/COUNTIF($C$10:$C$159,$C$10:$C$159&amp;"")))</f>
        <v>0</v>
      </c>
      <c r="E4" s="16"/>
      <c r="F4" s="15" t="s">
        <v>123</v>
      </c>
      <c r="G4" s="15"/>
      <c r="H4" s="15"/>
      <c r="I4" s="16" t="n">
        <f aca="false">SUM($O$10:$O$159)</f>
        <v>0</v>
      </c>
      <c r="J4" s="16"/>
      <c r="K4" s="16"/>
      <c r="L4" s="15" t="s">
        <v>124</v>
      </c>
      <c r="M4" s="15"/>
      <c r="N4" s="15"/>
      <c r="O4" s="15"/>
      <c r="P4" s="16" t="n">
        <f aca="false">SUM($AC$5:$AC$24)</f>
        <v>0</v>
      </c>
      <c r="Q4" s="16"/>
      <c r="R4" s="16"/>
      <c r="Z4" s="9" t="s">
        <v>125</v>
      </c>
      <c r="AA4" s="9" t="s">
        <v>126</v>
      </c>
      <c r="AB4" s="9" t="s">
        <v>127</v>
      </c>
      <c r="AC4" s="9" t="s">
        <v>128</v>
      </c>
      <c r="AD4" s="9" t="s">
        <v>65</v>
      </c>
    </row>
    <row r="5" customFormat="false" ht="19.5" hidden="false" customHeight="true" outlineLevel="0" collapsed="false">
      <c r="A5" s="15" t="s">
        <v>129</v>
      </c>
      <c r="B5" s="15"/>
      <c r="C5" s="15"/>
      <c r="D5" s="16" t="n">
        <f aca="false">COUNTIFS($P$10:$P$159,"&gt;0",$R$10:$R$159,"&lt;=0")</f>
        <v>0</v>
      </c>
      <c r="E5" s="16"/>
      <c r="F5" s="15" t="s">
        <v>130</v>
      </c>
      <c r="G5" s="15"/>
      <c r="H5" s="15"/>
      <c r="I5" s="16" t="n">
        <f aca="false">SUM($P$10:$P$159)</f>
        <v>0</v>
      </c>
      <c r="J5" s="16"/>
      <c r="K5" s="16"/>
      <c r="L5" s="15" t="s">
        <v>131</v>
      </c>
      <c r="M5" s="15"/>
      <c r="N5" s="15"/>
      <c r="O5" s="15"/>
      <c r="P5" s="16" t="n">
        <f aca="false">$P3+$P4</f>
        <v>0</v>
      </c>
      <c r="Q5" s="16"/>
      <c r="R5" s="16"/>
      <c r="Z5" s="18"/>
      <c r="AA5" s="11"/>
      <c r="AB5" s="11"/>
      <c r="AC5" s="12"/>
      <c r="AD5" s="11"/>
    </row>
    <row r="6" customFormat="false" ht="19.5" hidden="false" customHeight="true" outlineLevel="0" collapsed="false">
      <c r="A6" s="15" t="s">
        <v>132</v>
      </c>
      <c r="B6" s="15"/>
      <c r="C6" s="15"/>
      <c r="D6" s="16" t="n">
        <f aca="false">COUNTIF($R$10:$R$159,"&gt;0")</f>
        <v>0</v>
      </c>
      <c r="E6" s="16"/>
      <c r="F6" s="15" t="s">
        <v>133</v>
      </c>
      <c r="G6" s="15"/>
      <c r="H6" s="15"/>
      <c r="I6" s="16" t="n">
        <f aca="false">SUM($Q$10:$Q$159)</f>
        <v>0</v>
      </c>
      <c r="J6" s="16"/>
      <c r="K6" s="16"/>
      <c r="L6" s="15" t="s">
        <v>134</v>
      </c>
      <c r="M6" s="15"/>
      <c r="N6" s="15"/>
      <c r="O6" s="15"/>
      <c r="P6" s="16" t="n">
        <f aca="false">$I3-$P5</f>
        <v>0</v>
      </c>
      <c r="Q6" s="16"/>
      <c r="R6" s="16"/>
      <c r="Z6" s="18"/>
      <c r="AA6" s="11"/>
      <c r="AB6" s="11"/>
      <c r="AC6" s="12"/>
      <c r="AD6" s="11"/>
    </row>
    <row r="7" customFormat="false" ht="19.5" hidden="false" customHeight="true" outlineLevel="0" collapsed="false">
      <c r="A7" s="15" t="s">
        <v>135</v>
      </c>
      <c r="B7" s="15"/>
      <c r="C7" s="15"/>
      <c r="D7" s="19" t="str">
        <f aca="false">IF($I5=0,"",$I6/$I5)</f>
        <v/>
      </c>
      <c r="E7" s="19"/>
      <c r="F7" s="15" t="s">
        <v>136</v>
      </c>
      <c r="G7" s="15"/>
      <c r="H7" s="15"/>
      <c r="I7" s="16" t="n">
        <f aca="false">SUM($R$10:$R$159)</f>
        <v>0</v>
      </c>
      <c r="J7" s="16"/>
      <c r="K7" s="16"/>
      <c r="L7" s="15" t="s">
        <v>137</v>
      </c>
      <c r="M7" s="15"/>
      <c r="N7" s="15"/>
      <c r="O7" s="15"/>
      <c r="P7" s="19" t="str">
        <f aca="false">IF($I3=0,"",$P6/$I3)</f>
        <v/>
      </c>
      <c r="Q7" s="19"/>
      <c r="R7" s="19"/>
      <c r="Z7" s="18"/>
      <c r="AA7" s="11"/>
      <c r="AB7" s="11"/>
      <c r="AC7" s="12"/>
      <c r="AD7" s="11"/>
    </row>
    <row r="8" customFormat="false" ht="21.75" hidden="false" customHeight="true" outlineLevel="0" collapsed="false">
      <c r="A8" s="20" t="str">
        <f aca="false">IF(SUMPRODUCT(($H$10:$H$159&lt;&gt;"")*($J$10:$J$159=""))=0,"✔ Mọi đơn trong tháng đã có GIÁ GỐC – số liệu lãi lỗ đầy đủ.","⚠ CÓ "&amp;SUMPRODUCT(($H$10:$H$159&lt;&gt;"")*($J$10:$J$159=""))&amp;" ĐƠN CHƯA KHAI GIÁ GỐC → GIÁ VỐN và LÃI/LỖ của tháng CHƯA ĐỦ. Vào sheet BẢNG GIÁ GỐC điền cột GIÁ GỐC/SP.")</f>
        <v>✔ Mọi đơn trong tháng đã có GIÁ GỐC – số liệu lãi lỗ đầy đủ.</v>
      </c>
      <c r="B8" s="20"/>
      <c r="C8" s="20"/>
      <c r="D8" s="20"/>
      <c r="E8" s="20"/>
      <c r="F8" s="20"/>
      <c r="G8" s="20"/>
      <c r="H8" s="20"/>
      <c r="I8" s="20"/>
      <c r="J8" s="20"/>
      <c r="K8" s="20"/>
      <c r="L8" s="20"/>
      <c r="M8" s="20"/>
      <c r="N8" s="20"/>
      <c r="O8" s="20"/>
      <c r="P8" s="20"/>
      <c r="Q8" s="20"/>
      <c r="R8" s="20"/>
      <c r="S8" s="20"/>
      <c r="T8" s="20"/>
      <c r="U8" s="20"/>
      <c r="V8" s="20"/>
      <c r="W8" s="20"/>
      <c r="X8" s="20"/>
      <c r="Z8" s="18"/>
      <c r="AA8" s="11"/>
      <c r="AB8" s="11"/>
      <c r="AC8" s="12"/>
      <c r="AD8" s="11"/>
    </row>
    <row r="9" customFormat="false" ht="33.75" hidden="false" customHeight="true" outlineLevel="0" collapsed="false">
      <c r="A9" s="10" t="s">
        <v>138</v>
      </c>
      <c r="B9" s="9" t="s">
        <v>139</v>
      </c>
      <c r="C9" s="9" t="s">
        <v>140</v>
      </c>
      <c r="D9" s="9" t="s">
        <v>141</v>
      </c>
      <c r="E9" s="9" t="s">
        <v>142</v>
      </c>
      <c r="F9" s="9" t="s">
        <v>143</v>
      </c>
      <c r="G9" s="9" t="s">
        <v>144</v>
      </c>
      <c r="H9" s="9" t="s">
        <v>59</v>
      </c>
      <c r="I9" s="9" t="s">
        <v>145</v>
      </c>
      <c r="J9" s="10" t="s">
        <v>61</v>
      </c>
      <c r="K9" s="9" t="s">
        <v>146</v>
      </c>
      <c r="L9" s="10" t="s">
        <v>147</v>
      </c>
      <c r="M9" s="9" t="s">
        <v>148</v>
      </c>
      <c r="N9" s="10" t="s">
        <v>149</v>
      </c>
      <c r="O9" s="10" t="s">
        <v>123</v>
      </c>
      <c r="P9" s="10" t="s">
        <v>150</v>
      </c>
      <c r="Q9" s="9" t="s">
        <v>151</v>
      </c>
      <c r="R9" s="10" t="s">
        <v>152</v>
      </c>
      <c r="S9" s="10" t="s">
        <v>153</v>
      </c>
      <c r="T9" s="10" t="s">
        <v>154</v>
      </c>
      <c r="U9" s="10" t="s">
        <v>155</v>
      </c>
      <c r="V9" s="10" t="s">
        <v>156</v>
      </c>
      <c r="W9" s="9" t="s">
        <v>65</v>
      </c>
      <c r="X9" s="10" t="s">
        <v>157</v>
      </c>
      <c r="Z9" s="18"/>
      <c r="AA9" s="11"/>
      <c r="AB9" s="11"/>
      <c r="AC9" s="12"/>
      <c r="AD9" s="11"/>
    </row>
    <row r="10" customFormat="false" ht="15" hidden="false" customHeight="false" outlineLevel="0" collapsed="false">
      <c r="A10" s="21" t="str">
        <f aca="false">IF($C10="","",COUNTA($C$10:$C10))</f>
        <v/>
      </c>
      <c r="B10" s="18"/>
      <c r="C10" s="11"/>
      <c r="D10" s="11"/>
      <c r="E10" s="11"/>
      <c r="F10" s="11"/>
      <c r="G10" s="11"/>
      <c r="H10" s="11"/>
      <c r="I10" s="12"/>
      <c r="J10" s="13" t="str">
        <f aca="false">IF($H10="","",IFERROR(VLOOKUP($H10,'BẢNG GIÁ GỐC'!$A$5:$D$254,3,FALSE()),""))</f>
        <v/>
      </c>
      <c r="K10" s="12"/>
      <c r="L10" s="13" t="str">
        <f aca="false">IF($C10="","",N($I10)*N($K10))</f>
        <v/>
      </c>
      <c r="M10" s="11"/>
      <c r="N10" s="14" t="str">
        <f aca="false">IF($C10="","",IF($M10="VAT 5%",0.05,IF($M10="VAT 8%",0.08,IF($M10="VAT 10%",0.1,0))))</f>
        <v/>
      </c>
      <c r="O10" s="13" t="str">
        <f aca="false">IF($C10="","",$L10*$N10)</f>
        <v/>
      </c>
      <c r="P10" s="13" t="str">
        <f aca="false">IF($C10="","",$L10+$O10)</f>
        <v/>
      </c>
      <c r="Q10" s="12"/>
      <c r="R10" s="13" t="str">
        <f aca="false">IF($C10="","",MAX(0,$P10-N($Q10)))</f>
        <v/>
      </c>
      <c r="S10" s="23" t="str">
        <f aca="false">IF(OR($C10="",$P10=0),"",IF(N($Q10)&lt;=0,"Chưa thanh toán",IF(N($Q10)&lt;$P10,"Thanh toán một phần","Đã thanh toán")))</f>
        <v/>
      </c>
      <c r="T10" s="13" t="str">
        <f aca="false">IF(OR($C10="",$J10=""),"",N($I10)*$J10)</f>
        <v/>
      </c>
      <c r="U10" s="13" t="str">
        <f aca="false">IF(OR($C10="",$T10=""),"",$L10-$T10)</f>
        <v/>
      </c>
      <c r="V10" s="14" t="str">
        <f aca="false">IF(OR($U10="",$L10=0),"",$U10/$L10)</f>
        <v/>
      </c>
      <c r="W10" s="11"/>
      <c r="X10" s="23" t="str">
        <f aca="false">IF($C10="","",IF(AND($H10="",N($I10)=0,N($K10)=0),"Dòng chỉ lưu thông tin khách (chưa có đơn); ",IF($B10="","Thiếu ngày đặt; ","")&amp;IF($H10="","Thiếu tên sản phẩm; ",IF($J10="","Chưa khai GIÁ GỐC ở BẢNG GIÁ GỐC; ",""))&amp;IF(N($I10)&lt;=0,"Thiếu số lượng; ","")&amp;IF(N($K10)&lt;=0,"Thiếu giá bán; ","")&amp;IF(AND($N10&gt;0,$F10=""),"Khách lấy VAT thiếu mã số thuế; ","")&amp;IF(N($Q10)&gt;$P10,"Đã thu vượt tổng phải thu; ","")&amp;IF(AND($L10&gt;0,$U10&lt;&gt;"",$U10&lt;0),"CẢNH BÁO: ĐƠN NÀY ĐANG LỖ; ","")))</f>
        <v/>
      </c>
      <c r="Z10" s="18"/>
      <c r="AA10" s="11"/>
      <c r="AB10" s="11"/>
      <c r="AC10" s="12"/>
      <c r="AD10" s="11"/>
    </row>
    <row r="11" customFormat="false" ht="15" hidden="false" customHeight="false" outlineLevel="0" collapsed="false">
      <c r="A11" s="21" t="str">
        <f aca="false">IF($C11="","",COUNTA($C$10:$C11))</f>
        <v/>
      </c>
      <c r="B11" s="18"/>
      <c r="C11" s="11"/>
      <c r="D11" s="11"/>
      <c r="E11" s="11"/>
      <c r="F11" s="11"/>
      <c r="G11" s="11"/>
      <c r="H11" s="11"/>
      <c r="I11" s="12"/>
      <c r="J11" s="13" t="str">
        <f aca="false">IF($H11="","",IFERROR(VLOOKUP($H11,'BẢNG GIÁ GỐC'!$A$5:$D$254,3,FALSE()),""))</f>
        <v/>
      </c>
      <c r="K11" s="12"/>
      <c r="L11" s="13" t="str">
        <f aca="false">IF($C11="","",N($I11)*N($K11))</f>
        <v/>
      </c>
      <c r="M11" s="11"/>
      <c r="N11" s="14" t="str">
        <f aca="false">IF($C11="","",IF($M11="VAT 5%",0.05,IF($M11="VAT 8%",0.08,IF($M11="VAT 10%",0.1,0))))</f>
        <v/>
      </c>
      <c r="O11" s="13" t="str">
        <f aca="false">IF($C11="","",$L11*$N11)</f>
        <v/>
      </c>
      <c r="P11" s="13" t="str">
        <f aca="false">IF($C11="","",$L11+$O11)</f>
        <v/>
      </c>
      <c r="Q11" s="12"/>
      <c r="R11" s="13" t="str">
        <f aca="false">IF($C11="","",MAX(0,$P11-N($Q11)))</f>
        <v/>
      </c>
      <c r="S11" s="23" t="str">
        <f aca="false">IF(OR($C11="",$P11=0),"",IF(N($Q11)&lt;=0,"Chưa thanh toán",IF(N($Q11)&lt;$P11,"Thanh toán một phần","Đã thanh toán")))</f>
        <v/>
      </c>
      <c r="T11" s="13" t="str">
        <f aca="false">IF(OR($C11="",$J11=""),"",N($I11)*$J11)</f>
        <v/>
      </c>
      <c r="U11" s="13" t="str">
        <f aca="false">IF(OR($C11="",$T11=""),"",$L11-$T11)</f>
        <v/>
      </c>
      <c r="V11" s="14" t="str">
        <f aca="false">IF(OR($U11="",$L11=0),"",$U11/$L11)</f>
        <v/>
      </c>
      <c r="W11" s="11"/>
      <c r="X11" s="23" t="str">
        <f aca="false">IF($C11="","",IF(AND($H11="",N($I11)=0,N($K11)=0),"Dòng chỉ lưu thông tin khách (chưa có đơn); ",IF($B11="","Thiếu ngày đặt; ","")&amp;IF($H11="","Thiếu tên sản phẩm; ",IF($J11="","Chưa khai GIÁ GỐC ở BẢNG GIÁ GỐC; ",""))&amp;IF(N($I11)&lt;=0,"Thiếu số lượng; ","")&amp;IF(N($K11)&lt;=0,"Thiếu giá bán; ","")&amp;IF(AND($N11&gt;0,$F11=""),"Khách lấy VAT thiếu mã số thuế; ","")&amp;IF(N($Q11)&gt;$P11,"Đã thu vượt tổng phải thu; ","")&amp;IF(AND($L11&gt;0,$U11&lt;&gt;"",$U11&lt;0),"CẢNH BÁO: ĐƠN NÀY ĐANG LỖ; ","")))</f>
        <v/>
      </c>
      <c r="Z11" s="18"/>
      <c r="AA11" s="11"/>
      <c r="AB11" s="11"/>
      <c r="AC11" s="12"/>
      <c r="AD11" s="11"/>
    </row>
    <row r="12" customFormat="false" ht="15" hidden="false" customHeight="false" outlineLevel="0" collapsed="false">
      <c r="A12" s="21" t="str">
        <f aca="false">IF($C12="","",COUNTA($C$10:$C12))</f>
        <v/>
      </c>
      <c r="B12" s="18"/>
      <c r="C12" s="11"/>
      <c r="D12" s="11"/>
      <c r="E12" s="11"/>
      <c r="F12" s="11"/>
      <c r="G12" s="11"/>
      <c r="H12" s="11"/>
      <c r="I12" s="12"/>
      <c r="J12" s="13" t="str">
        <f aca="false">IF($H12="","",IFERROR(VLOOKUP($H12,'BẢNG GIÁ GỐC'!$A$5:$D$254,3,FALSE()),""))</f>
        <v/>
      </c>
      <c r="K12" s="12"/>
      <c r="L12" s="13" t="str">
        <f aca="false">IF($C12="","",N($I12)*N($K12))</f>
        <v/>
      </c>
      <c r="M12" s="11"/>
      <c r="N12" s="14" t="str">
        <f aca="false">IF($C12="","",IF($M12="VAT 5%",0.05,IF($M12="VAT 8%",0.08,IF($M12="VAT 10%",0.1,0))))</f>
        <v/>
      </c>
      <c r="O12" s="13" t="str">
        <f aca="false">IF($C12="","",$L12*$N12)</f>
        <v/>
      </c>
      <c r="P12" s="13" t="str">
        <f aca="false">IF($C12="","",$L12+$O12)</f>
        <v/>
      </c>
      <c r="Q12" s="12"/>
      <c r="R12" s="13" t="str">
        <f aca="false">IF($C12="","",MAX(0,$P12-N($Q12)))</f>
        <v/>
      </c>
      <c r="S12" s="23" t="str">
        <f aca="false">IF(OR($C12="",$P12=0),"",IF(N($Q12)&lt;=0,"Chưa thanh toán",IF(N($Q12)&lt;$P12,"Thanh toán một phần","Đã thanh toán")))</f>
        <v/>
      </c>
      <c r="T12" s="13" t="str">
        <f aca="false">IF(OR($C12="",$J12=""),"",N($I12)*$J12)</f>
        <v/>
      </c>
      <c r="U12" s="13" t="str">
        <f aca="false">IF(OR($C12="",$T12=""),"",$L12-$T12)</f>
        <v/>
      </c>
      <c r="V12" s="14" t="str">
        <f aca="false">IF(OR($U12="",$L12=0),"",$U12/$L12)</f>
        <v/>
      </c>
      <c r="W12" s="11"/>
      <c r="X12" s="23" t="str">
        <f aca="false">IF($C12="","",IF(AND($H12="",N($I12)=0,N($K12)=0),"Dòng chỉ lưu thông tin khách (chưa có đơn); ",IF($B12="","Thiếu ngày đặt; ","")&amp;IF($H12="","Thiếu tên sản phẩm; ",IF($J12="","Chưa khai GIÁ GỐC ở BẢNG GIÁ GỐC; ",""))&amp;IF(N($I12)&lt;=0,"Thiếu số lượng; ","")&amp;IF(N($K12)&lt;=0,"Thiếu giá bán; ","")&amp;IF(AND($N12&gt;0,$F12=""),"Khách lấy VAT thiếu mã số thuế; ","")&amp;IF(N($Q12)&gt;$P12,"Đã thu vượt tổng phải thu; ","")&amp;IF(AND($L12&gt;0,$U12&lt;&gt;"",$U12&lt;0),"CẢNH BÁO: ĐƠN NÀY ĐANG LỖ; ","")))</f>
        <v/>
      </c>
      <c r="Z12" s="18"/>
      <c r="AA12" s="11"/>
      <c r="AB12" s="11"/>
      <c r="AC12" s="12"/>
      <c r="AD12" s="11"/>
    </row>
    <row r="13" customFormat="false" ht="15" hidden="false" customHeight="false" outlineLevel="0" collapsed="false">
      <c r="A13" s="21" t="str">
        <f aca="false">IF($C13="","",COUNTA($C$10:$C13))</f>
        <v/>
      </c>
      <c r="B13" s="18"/>
      <c r="C13" s="11"/>
      <c r="D13" s="11"/>
      <c r="E13" s="11"/>
      <c r="F13" s="11"/>
      <c r="G13" s="11"/>
      <c r="H13" s="11"/>
      <c r="I13" s="12"/>
      <c r="J13" s="13" t="str">
        <f aca="false">IF($H13="","",IFERROR(VLOOKUP($H13,'BẢNG GIÁ GỐC'!$A$5:$D$254,3,FALSE()),""))</f>
        <v/>
      </c>
      <c r="K13" s="12"/>
      <c r="L13" s="13" t="str">
        <f aca="false">IF($C13="","",N($I13)*N($K13))</f>
        <v/>
      </c>
      <c r="M13" s="11"/>
      <c r="N13" s="14" t="str">
        <f aca="false">IF($C13="","",IF($M13="VAT 5%",0.05,IF($M13="VAT 8%",0.08,IF($M13="VAT 10%",0.1,0))))</f>
        <v/>
      </c>
      <c r="O13" s="13" t="str">
        <f aca="false">IF($C13="","",$L13*$N13)</f>
        <v/>
      </c>
      <c r="P13" s="13" t="str">
        <f aca="false">IF($C13="","",$L13+$O13)</f>
        <v/>
      </c>
      <c r="Q13" s="12"/>
      <c r="R13" s="13" t="str">
        <f aca="false">IF($C13="","",MAX(0,$P13-N($Q13)))</f>
        <v/>
      </c>
      <c r="S13" s="23" t="str">
        <f aca="false">IF(OR($C13="",$P13=0),"",IF(N($Q13)&lt;=0,"Chưa thanh toán",IF(N($Q13)&lt;$P13,"Thanh toán một phần","Đã thanh toán")))</f>
        <v/>
      </c>
      <c r="T13" s="13" t="str">
        <f aca="false">IF(OR($C13="",$J13=""),"",N($I13)*$J13)</f>
        <v/>
      </c>
      <c r="U13" s="13" t="str">
        <f aca="false">IF(OR($C13="",$T13=""),"",$L13-$T13)</f>
        <v/>
      </c>
      <c r="V13" s="14" t="str">
        <f aca="false">IF(OR($U13="",$L13=0),"",$U13/$L13)</f>
        <v/>
      </c>
      <c r="W13" s="11"/>
      <c r="X13" s="23" t="str">
        <f aca="false">IF($C13="","",IF(AND($H13="",N($I13)=0,N($K13)=0),"Dòng chỉ lưu thông tin khách (chưa có đơn); ",IF($B13="","Thiếu ngày đặt; ","")&amp;IF($H13="","Thiếu tên sản phẩm; ",IF($J13="","Chưa khai GIÁ GỐC ở BẢNG GIÁ GỐC; ",""))&amp;IF(N($I13)&lt;=0,"Thiếu số lượng; ","")&amp;IF(N($K13)&lt;=0,"Thiếu giá bán; ","")&amp;IF(AND($N13&gt;0,$F13=""),"Khách lấy VAT thiếu mã số thuế; ","")&amp;IF(N($Q13)&gt;$P13,"Đã thu vượt tổng phải thu; ","")&amp;IF(AND($L13&gt;0,$U13&lt;&gt;"",$U13&lt;0),"CẢNH BÁO: ĐƠN NÀY ĐANG LỖ; ","")))</f>
        <v/>
      </c>
      <c r="Z13" s="18"/>
      <c r="AA13" s="11"/>
      <c r="AB13" s="11"/>
      <c r="AC13" s="12"/>
      <c r="AD13" s="11"/>
    </row>
    <row r="14" customFormat="false" ht="15" hidden="false" customHeight="false" outlineLevel="0" collapsed="false">
      <c r="A14" s="21" t="str">
        <f aca="false">IF($C14="","",COUNTA($C$10:$C14))</f>
        <v/>
      </c>
      <c r="B14" s="18"/>
      <c r="C14" s="11"/>
      <c r="D14" s="11"/>
      <c r="E14" s="11"/>
      <c r="F14" s="11"/>
      <c r="G14" s="11"/>
      <c r="H14" s="11"/>
      <c r="I14" s="12"/>
      <c r="J14" s="13" t="str">
        <f aca="false">IF($H14="","",IFERROR(VLOOKUP($H14,'BẢNG GIÁ GỐC'!$A$5:$D$254,3,FALSE()),""))</f>
        <v/>
      </c>
      <c r="K14" s="12"/>
      <c r="L14" s="13" t="str">
        <f aca="false">IF($C14="","",N($I14)*N($K14))</f>
        <v/>
      </c>
      <c r="M14" s="11"/>
      <c r="N14" s="14" t="str">
        <f aca="false">IF($C14="","",IF($M14="VAT 5%",0.05,IF($M14="VAT 8%",0.08,IF($M14="VAT 10%",0.1,0))))</f>
        <v/>
      </c>
      <c r="O14" s="13" t="str">
        <f aca="false">IF($C14="","",$L14*$N14)</f>
        <v/>
      </c>
      <c r="P14" s="13" t="str">
        <f aca="false">IF($C14="","",$L14+$O14)</f>
        <v/>
      </c>
      <c r="Q14" s="12"/>
      <c r="R14" s="13" t="str">
        <f aca="false">IF($C14="","",MAX(0,$P14-N($Q14)))</f>
        <v/>
      </c>
      <c r="S14" s="23" t="str">
        <f aca="false">IF(OR($C14="",$P14=0),"",IF(N($Q14)&lt;=0,"Chưa thanh toán",IF(N($Q14)&lt;$P14,"Thanh toán một phần","Đã thanh toán")))</f>
        <v/>
      </c>
      <c r="T14" s="13" t="str">
        <f aca="false">IF(OR($C14="",$J14=""),"",N($I14)*$J14)</f>
        <v/>
      </c>
      <c r="U14" s="13" t="str">
        <f aca="false">IF(OR($C14="",$T14=""),"",$L14-$T14)</f>
        <v/>
      </c>
      <c r="V14" s="14" t="str">
        <f aca="false">IF(OR($U14="",$L14=0),"",$U14/$L14)</f>
        <v/>
      </c>
      <c r="W14" s="11"/>
      <c r="X14" s="23" t="str">
        <f aca="false">IF($C14="","",IF(AND($H14="",N($I14)=0,N($K14)=0),"Dòng chỉ lưu thông tin khách (chưa có đơn); ",IF($B14="","Thiếu ngày đặt; ","")&amp;IF($H14="","Thiếu tên sản phẩm; ",IF($J14="","Chưa khai GIÁ GỐC ở BẢNG GIÁ GỐC; ",""))&amp;IF(N($I14)&lt;=0,"Thiếu số lượng; ","")&amp;IF(N($K14)&lt;=0,"Thiếu giá bán; ","")&amp;IF(AND($N14&gt;0,$F14=""),"Khách lấy VAT thiếu mã số thuế; ","")&amp;IF(N($Q14)&gt;$P14,"Đã thu vượt tổng phải thu; ","")&amp;IF(AND($L14&gt;0,$U14&lt;&gt;"",$U14&lt;0),"CẢNH BÁO: ĐƠN NÀY ĐANG LỖ; ","")))</f>
        <v/>
      </c>
      <c r="Z14" s="18"/>
      <c r="AA14" s="11"/>
      <c r="AB14" s="11"/>
      <c r="AC14" s="12"/>
      <c r="AD14" s="11"/>
    </row>
    <row r="15" customFormat="false" ht="15" hidden="false" customHeight="false" outlineLevel="0" collapsed="false">
      <c r="A15" s="21" t="str">
        <f aca="false">IF($C15="","",COUNTA($C$10:$C15))</f>
        <v/>
      </c>
      <c r="B15" s="18"/>
      <c r="C15" s="11"/>
      <c r="D15" s="11"/>
      <c r="E15" s="11"/>
      <c r="F15" s="11"/>
      <c r="G15" s="11"/>
      <c r="H15" s="11"/>
      <c r="I15" s="12"/>
      <c r="J15" s="13" t="str">
        <f aca="false">IF($H15="","",IFERROR(VLOOKUP($H15,'BẢNG GIÁ GỐC'!$A$5:$D$254,3,FALSE()),""))</f>
        <v/>
      </c>
      <c r="K15" s="12"/>
      <c r="L15" s="13" t="str">
        <f aca="false">IF($C15="","",N($I15)*N($K15))</f>
        <v/>
      </c>
      <c r="M15" s="11"/>
      <c r="N15" s="14" t="str">
        <f aca="false">IF($C15="","",IF($M15="VAT 5%",0.05,IF($M15="VAT 8%",0.08,IF($M15="VAT 10%",0.1,0))))</f>
        <v/>
      </c>
      <c r="O15" s="13" t="str">
        <f aca="false">IF($C15="","",$L15*$N15)</f>
        <v/>
      </c>
      <c r="P15" s="13" t="str">
        <f aca="false">IF($C15="","",$L15+$O15)</f>
        <v/>
      </c>
      <c r="Q15" s="12"/>
      <c r="R15" s="13" t="str">
        <f aca="false">IF($C15="","",MAX(0,$P15-N($Q15)))</f>
        <v/>
      </c>
      <c r="S15" s="23" t="str">
        <f aca="false">IF(OR($C15="",$P15=0),"",IF(N($Q15)&lt;=0,"Chưa thanh toán",IF(N($Q15)&lt;$P15,"Thanh toán một phần","Đã thanh toán")))</f>
        <v/>
      </c>
      <c r="T15" s="13" t="str">
        <f aca="false">IF(OR($C15="",$J15=""),"",N($I15)*$J15)</f>
        <v/>
      </c>
      <c r="U15" s="13" t="str">
        <f aca="false">IF(OR($C15="",$T15=""),"",$L15-$T15)</f>
        <v/>
      </c>
      <c r="V15" s="14" t="str">
        <f aca="false">IF(OR($U15="",$L15=0),"",$U15/$L15)</f>
        <v/>
      </c>
      <c r="W15" s="11"/>
      <c r="X15" s="23" t="str">
        <f aca="false">IF($C15="","",IF(AND($H15="",N($I15)=0,N($K15)=0),"Dòng chỉ lưu thông tin khách (chưa có đơn); ",IF($B15="","Thiếu ngày đặt; ","")&amp;IF($H15="","Thiếu tên sản phẩm; ",IF($J15="","Chưa khai GIÁ GỐC ở BẢNG GIÁ GỐC; ",""))&amp;IF(N($I15)&lt;=0,"Thiếu số lượng; ","")&amp;IF(N($K15)&lt;=0,"Thiếu giá bán; ","")&amp;IF(AND($N15&gt;0,$F15=""),"Khách lấy VAT thiếu mã số thuế; ","")&amp;IF(N($Q15)&gt;$P15,"Đã thu vượt tổng phải thu; ","")&amp;IF(AND($L15&gt;0,$U15&lt;&gt;"",$U15&lt;0),"CẢNH BÁO: ĐƠN NÀY ĐANG LỖ; ","")))</f>
        <v/>
      </c>
      <c r="Z15" s="18"/>
      <c r="AA15" s="11"/>
      <c r="AB15" s="11"/>
      <c r="AC15" s="12"/>
      <c r="AD15" s="11"/>
    </row>
    <row r="16" customFormat="false" ht="15" hidden="false" customHeight="false" outlineLevel="0" collapsed="false">
      <c r="A16" s="21" t="str">
        <f aca="false">IF($C16="","",COUNTA($C$10:$C16))</f>
        <v/>
      </c>
      <c r="B16" s="18"/>
      <c r="C16" s="11"/>
      <c r="D16" s="11"/>
      <c r="E16" s="11"/>
      <c r="F16" s="11"/>
      <c r="G16" s="11"/>
      <c r="H16" s="11"/>
      <c r="I16" s="12"/>
      <c r="J16" s="13" t="str">
        <f aca="false">IF($H16="","",IFERROR(VLOOKUP($H16,'BẢNG GIÁ GỐC'!$A$5:$D$254,3,FALSE()),""))</f>
        <v/>
      </c>
      <c r="K16" s="12"/>
      <c r="L16" s="13" t="str">
        <f aca="false">IF($C16="","",N($I16)*N($K16))</f>
        <v/>
      </c>
      <c r="M16" s="11"/>
      <c r="N16" s="14" t="str">
        <f aca="false">IF($C16="","",IF($M16="VAT 5%",0.05,IF($M16="VAT 8%",0.08,IF($M16="VAT 10%",0.1,0))))</f>
        <v/>
      </c>
      <c r="O16" s="13" t="str">
        <f aca="false">IF($C16="","",$L16*$N16)</f>
        <v/>
      </c>
      <c r="P16" s="13" t="str">
        <f aca="false">IF($C16="","",$L16+$O16)</f>
        <v/>
      </c>
      <c r="Q16" s="12"/>
      <c r="R16" s="13" t="str">
        <f aca="false">IF($C16="","",MAX(0,$P16-N($Q16)))</f>
        <v/>
      </c>
      <c r="S16" s="23" t="str">
        <f aca="false">IF(OR($C16="",$P16=0),"",IF(N($Q16)&lt;=0,"Chưa thanh toán",IF(N($Q16)&lt;$P16,"Thanh toán một phần","Đã thanh toán")))</f>
        <v/>
      </c>
      <c r="T16" s="13" t="str">
        <f aca="false">IF(OR($C16="",$J16=""),"",N($I16)*$J16)</f>
        <v/>
      </c>
      <c r="U16" s="13" t="str">
        <f aca="false">IF(OR($C16="",$T16=""),"",$L16-$T16)</f>
        <v/>
      </c>
      <c r="V16" s="14" t="str">
        <f aca="false">IF(OR($U16="",$L16=0),"",$U16/$L16)</f>
        <v/>
      </c>
      <c r="W16" s="11"/>
      <c r="X16" s="23" t="str">
        <f aca="false">IF($C16="","",IF(AND($H16="",N($I16)=0,N($K16)=0),"Dòng chỉ lưu thông tin khách (chưa có đơn); ",IF($B16="","Thiếu ngày đặt; ","")&amp;IF($H16="","Thiếu tên sản phẩm; ",IF($J16="","Chưa khai GIÁ GỐC ở BẢNG GIÁ GỐC; ",""))&amp;IF(N($I16)&lt;=0,"Thiếu số lượng; ","")&amp;IF(N($K16)&lt;=0,"Thiếu giá bán; ","")&amp;IF(AND($N16&gt;0,$F16=""),"Khách lấy VAT thiếu mã số thuế; ","")&amp;IF(N($Q16)&gt;$P16,"Đã thu vượt tổng phải thu; ","")&amp;IF(AND($L16&gt;0,$U16&lt;&gt;"",$U16&lt;0),"CẢNH BÁO: ĐƠN NÀY ĐANG LỖ; ","")))</f>
        <v/>
      </c>
      <c r="Z16" s="18"/>
      <c r="AA16" s="11"/>
      <c r="AB16" s="11"/>
      <c r="AC16" s="12"/>
      <c r="AD16" s="11"/>
    </row>
    <row r="17" customFormat="false" ht="15" hidden="false" customHeight="false" outlineLevel="0" collapsed="false">
      <c r="A17" s="21" t="str">
        <f aca="false">IF($C17="","",COUNTA($C$10:$C17))</f>
        <v/>
      </c>
      <c r="B17" s="18"/>
      <c r="C17" s="11"/>
      <c r="D17" s="11"/>
      <c r="E17" s="11"/>
      <c r="F17" s="11"/>
      <c r="G17" s="11"/>
      <c r="H17" s="11"/>
      <c r="I17" s="12"/>
      <c r="J17" s="13" t="str">
        <f aca="false">IF($H17="","",IFERROR(VLOOKUP($H17,'BẢNG GIÁ GỐC'!$A$5:$D$254,3,FALSE()),""))</f>
        <v/>
      </c>
      <c r="K17" s="12"/>
      <c r="L17" s="13" t="str">
        <f aca="false">IF($C17="","",N($I17)*N($K17))</f>
        <v/>
      </c>
      <c r="M17" s="11"/>
      <c r="N17" s="14" t="str">
        <f aca="false">IF($C17="","",IF($M17="VAT 5%",0.05,IF($M17="VAT 8%",0.08,IF($M17="VAT 10%",0.1,0))))</f>
        <v/>
      </c>
      <c r="O17" s="13" t="str">
        <f aca="false">IF($C17="","",$L17*$N17)</f>
        <v/>
      </c>
      <c r="P17" s="13" t="str">
        <f aca="false">IF($C17="","",$L17+$O17)</f>
        <v/>
      </c>
      <c r="Q17" s="12"/>
      <c r="R17" s="13" t="str">
        <f aca="false">IF($C17="","",MAX(0,$P17-N($Q17)))</f>
        <v/>
      </c>
      <c r="S17" s="23" t="str">
        <f aca="false">IF(OR($C17="",$P17=0),"",IF(N($Q17)&lt;=0,"Chưa thanh toán",IF(N($Q17)&lt;$P17,"Thanh toán một phần","Đã thanh toán")))</f>
        <v/>
      </c>
      <c r="T17" s="13" t="str">
        <f aca="false">IF(OR($C17="",$J17=""),"",N($I17)*$J17)</f>
        <v/>
      </c>
      <c r="U17" s="13" t="str">
        <f aca="false">IF(OR($C17="",$T17=""),"",$L17-$T17)</f>
        <v/>
      </c>
      <c r="V17" s="14" t="str">
        <f aca="false">IF(OR($U17="",$L17=0),"",$U17/$L17)</f>
        <v/>
      </c>
      <c r="W17" s="11"/>
      <c r="X17" s="23" t="str">
        <f aca="false">IF($C17="","",IF(AND($H17="",N($I17)=0,N($K17)=0),"Dòng chỉ lưu thông tin khách (chưa có đơn); ",IF($B17="","Thiếu ngày đặt; ","")&amp;IF($H17="","Thiếu tên sản phẩm; ",IF($J17="","Chưa khai GIÁ GỐC ở BẢNG GIÁ GỐC; ",""))&amp;IF(N($I17)&lt;=0,"Thiếu số lượng; ","")&amp;IF(N($K17)&lt;=0,"Thiếu giá bán; ","")&amp;IF(AND($N17&gt;0,$F17=""),"Khách lấy VAT thiếu mã số thuế; ","")&amp;IF(N($Q17)&gt;$P17,"Đã thu vượt tổng phải thu; ","")&amp;IF(AND($L17&gt;0,$U17&lt;&gt;"",$U17&lt;0),"CẢNH BÁO: ĐƠN NÀY ĐANG LỖ; ","")))</f>
        <v/>
      </c>
      <c r="Z17" s="18"/>
      <c r="AA17" s="11"/>
      <c r="AB17" s="11"/>
      <c r="AC17" s="12"/>
      <c r="AD17" s="11"/>
    </row>
    <row r="18" customFormat="false" ht="15" hidden="false" customHeight="false" outlineLevel="0" collapsed="false">
      <c r="A18" s="21" t="str">
        <f aca="false">IF($C18="","",COUNTA($C$10:$C18))</f>
        <v/>
      </c>
      <c r="B18" s="18"/>
      <c r="C18" s="11"/>
      <c r="D18" s="11"/>
      <c r="E18" s="11"/>
      <c r="F18" s="11"/>
      <c r="G18" s="11"/>
      <c r="H18" s="11"/>
      <c r="I18" s="12"/>
      <c r="J18" s="13" t="str">
        <f aca="false">IF($H18="","",IFERROR(VLOOKUP($H18,'BẢNG GIÁ GỐC'!$A$5:$D$254,3,FALSE()),""))</f>
        <v/>
      </c>
      <c r="K18" s="12"/>
      <c r="L18" s="13" t="str">
        <f aca="false">IF($C18="","",N($I18)*N($K18))</f>
        <v/>
      </c>
      <c r="M18" s="11"/>
      <c r="N18" s="14" t="str">
        <f aca="false">IF($C18="","",IF($M18="VAT 5%",0.05,IF($M18="VAT 8%",0.08,IF($M18="VAT 10%",0.1,0))))</f>
        <v/>
      </c>
      <c r="O18" s="13" t="str">
        <f aca="false">IF($C18="","",$L18*$N18)</f>
        <v/>
      </c>
      <c r="P18" s="13" t="str">
        <f aca="false">IF($C18="","",$L18+$O18)</f>
        <v/>
      </c>
      <c r="Q18" s="12"/>
      <c r="R18" s="13" t="str">
        <f aca="false">IF($C18="","",MAX(0,$P18-N($Q18)))</f>
        <v/>
      </c>
      <c r="S18" s="23" t="str">
        <f aca="false">IF(OR($C18="",$P18=0),"",IF(N($Q18)&lt;=0,"Chưa thanh toán",IF(N($Q18)&lt;$P18,"Thanh toán một phần","Đã thanh toán")))</f>
        <v/>
      </c>
      <c r="T18" s="13" t="str">
        <f aca="false">IF(OR($C18="",$J18=""),"",N($I18)*$J18)</f>
        <v/>
      </c>
      <c r="U18" s="13" t="str">
        <f aca="false">IF(OR($C18="",$T18=""),"",$L18-$T18)</f>
        <v/>
      </c>
      <c r="V18" s="14" t="str">
        <f aca="false">IF(OR($U18="",$L18=0),"",$U18/$L18)</f>
        <v/>
      </c>
      <c r="W18" s="11"/>
      <c r="X18" s="23" t="str">
        <f aca="false">IF($C18="","",IF(AND($H18="",N($I18)=0,N($K18)=0),"Dòng chỉ lưu thông tin khách (chưa có đơn); ",IF($B18="","Thiếu ngày đặt; ","")&amp;IF($H18="","Thiếu tên sản phẩm; ",IF($J18="","Chưa khai GIÁ GỐC ở BẢNG GIÁ GỐC; ",""))&amp;IF(N($I18)&lt;=0,"Thiếu số lượng; ","")&amp;IF(N($K18)&lt;=0,"Thiếu giá bán; ","")&amp;IF(AND($N18&gt;0,$F18=""),"Khách lấy VAT thiếu mã số thuế; ","")&amp;IF(N($Q18)&gt;$P18,"Đã thu vượt tổng phải thu; ","")&amp;IF(AND($L18&gt;0,$U18&lt;&gt;"",$U18&lt;0),"CẢNH BÁO: ĐƠN NÀY ĐANG LỖ; ","")))</f>
        <v/>
      </c>
      <c r="Z18" s="18"/>
      <c r="AA18" s="11"/>
      <c r="AB18" s="11"/>
      <c r="AC18" s="12"/>
      <c r="AD18" s="11"/>
    </row>
    <row r="19" customFormat="false" ht="15" hidden="false" customHeight="false" outlineLevel="0" collapsed="false">
      <c r="A19" s="21" t="str">
        <f aca="false">IF($C19="","",COUNTA($C$10:$C19))</f>
        <v/>
      </c>
      <c r="B19" s="18"/>
      <c r="C19" s="11"/>
      <c r="D19" s="11"/>
      <c r="E19" s="11"/>
      <c r="F19" s="11"/>
      <c r="G19" s="11"/>
      <c r="H19" s="11"/>
      <c r="I19" s="12"/>
      <c r="J19" s="13" t="str">
        <f aca="false">IF($H19="","",IFERROR(VLOOKUP($H19,'BẢNG GIÁ GỐC'!$A$5:$D$254,3,FALSE()),""))</f>
        <v/>
      </c>
      <c r="K19" s="12"/>
      <c r="L19" s="13" t="str">
        <f aca="false">IF($C19="","",N($I19)*N($K19))</f>
        <v/>
      </c>
      <c r="M19" s="11"/>
      <c r="N19" s="14" t="str">
        <f aca="false">IF($C19="","",IF($M19="VAT 5%",0.05,IF($M19="VAT 8%",0.08,IF($M19="VAT 10%",0.1,0))))</f>
        <v/>
      </c>
      <c r="O19" s="13" t="str">
        <f aca="false">IF($C19="","",$L19*$N19)</f>
        <v/>
      </c>
      <c r="P19" s="13" t="str">
        <f aca="false">IF($C19="","",$L19+$O19)</f>
        <v/>
      </c>
      <c r="Q19" s="12"/>
      <c r="R19" s="13" t="str">
        <f aca="false">IF($C19="","",MAX(0,$P19-N($Q19)))</f>
        <v/>
      </c>
      <c r="S19" s="23" t="str">
        <f aca="false">IF(OR($C19="",$P19=0),"",IF(N($Q19)&lt;=0,"Chưa thanh toán",IF(N($Q19)&lt;$P19,"Thanh toán một phần","Đã thanh toán")))</f>
        <v/>
      </c>
      <c r="T19" s="13" t="str">
        <f aca="false">IF(OR($C19="",$J19=""),"",N($I19)*$J19)</f>
        <v/>
      </c>
      <c r="U19" s="13" t="str">
        <f aca="false">IF(OR($C19="",$T19=""),"",$L19-$T19)</f>
        <v/>
      </c>
      <c r="V19" s="14" t="str">
        <f aca="false">IF(OR($U19="",$L19=0),"",$U19/$L19)</f>
        <v/>
      </c>
      <c r="W19" s="11"/>
      <c r="X19" s="23" t="str">
        <f aca="false">IF($C19="","",IF(AND($H19="",N($I19)=0,N($K19)=0),"Dòng chỉ lưu thông tin khách (chưa có đơn); ",IF($B19="","Thiếu ngày đặt; ","")&amp;IF($H19="","Thiếu tên sản phẩm; ",IF($J19="","Chưa khai GIÁ GỐC ở BẢNG GIÁ GỐC; ",""))&amp;IF(N($I19)&lt;=0,"Thiếu số lượng; ","")&amp;IF(N($K19)&lt;=0,"Thiếu giá bán; ","")&amp;IF(AND($N19&gt;0,$F19=""),"Khách lấy VAT thiếu mã số thuế; ","")&amp;IF(N($Q19)&gt;$P19,"Đã thu vượt tổng phải thu; ","")&amp;IF(AND($L19&gt;0,$U19&lt;&gt;"",$U19&lt;0),"CẢNH BÁO: ĐƠN NÀY ĐANG LỖ; ","")))</f>
        <v/>
      </c>
      <c r="Z19" s="18"/>
      <c r="AA19" s="11"/>
      <c r="AB19" s="11"/>
      <c r="AC19" s="12"/>
      <c r="AD19" s="11"/>
    </row>
    <row r="20" customFormat="false" ht="15" hidden="false" customHeight="false" outlineLevel="0" collapsed="false">
      <c r="A20" s="21" t="str">
        <f aca="false">IF($C20="","",COUNTA($C$10:$C20))</f>
        <v/>
      </c>
      <c r="B20" s="18"/>
      <c r="C20" s="11"/>
      <c r="D20" s="11"/>
      <c r="E20" s="11"/>
      <c r="F20" s="11"/>
      <c r="G20" s="11"/>
      <c r="H20" s="11"/>
      <c r="I20" s="12"/>
      <c r="J20" s="13" t="str">
        <f aca="false">IF($H20="","",IFERROR(VLOOKUP($H20,'BẢNG GIÁ GỐC'!$A$5:$D$254,3,FALSE()),""))</f>
        <v/>
      </c>
      <c r="K20" s="12"/>
      <c r="L20" s="13" t="str">
        <f aca="false">IF($C20="","",N($I20)*N($K20))</f>
        <v/>
      </c>
      <c r="M20" s="11"/>
      <c r="N20" s="14" t="str">
        <f aca="false">IF($C20="","",IF($M20="VAT 5%",0.05,IF($M20="VAT 8%",0.08,IF($M20="VAT 10%",0.1,0))))</f>
        <v/>
      </c>
      <c r="O20" s="13" t="str">
        <f aca="false">IF($C20="","",$L20*$N20)</f>
        <v/>
      </c>
      <c r="P20" s="13" t="str">
        <f aca="false">IF($C20="","",$L20+$O20)</f>
        <v/>
      </c>
      <c r="Q20" s="12"/>
      <c r="R20" s="13" t="str">
        <f aca="false">IF($C20="","",MAX(0,$P20-N($Q20)))</f>
        <v/>
      </c>
      <c r="S20" s="23" t="str">
        <f aca="false">IF(OR($C20="",$P20=0),"",IF(N($Q20)&lt;=0,"Chưa thanh toán",IF(N($Q20)&lt;$P20,"Thanh toán một phần","Đã thanh toán")))</f>
        <v/>
      </c>
      <c r="T20" s="13" t="str">
        <f aca="false">IF(OR($C20="",$J20=""),"",N($I20)*$J20)</f>
        <v/>
      </c>
      <c r="U20" s="13" t="str">
        <f aca="false">IF(OR($C20="",$T20=""),"",$L20-$T20)</f>
        <v/>
      </c>
      <c r="V20" s="14" t="str">
        <f aca="false">IF(OR($U20="",$L20=0),"",$U20/$L20)</f>
        <v/>
      </c>
      <c r="W20" s="11"/>
      <c r="X20" s="23" t="str">
        <f aca="false">IF($C20="","",IF(AND($H20="",N($I20)=0,N($K20)=0),"Dòng chỉ lưu thông tin khách (chưa có đơn); ",IF($B20="","Thiếu ngày đặt; ","")&amp;IF($H20="","Thiếu tên sản phẩm; ",IF($J20="","Chưa khai GIÁ GỐC ở BẢNG GIÁ GỐC; ",""))&amp;IF(N($I20)&lt;=0,"Thiếu số lượng; ","")&amp;IF(N($K20)&lt;=0,"Thiếu giá bán; ","")&amp;IF(AND($N20&gt;0,$F20=""),"Khách lấy VAT thiếu mã số thuế; ","")&amp;IF(N($Q20)&gt;$P20,"Đã thu vượt tổng phải thu; ","")&amp;IF(AND($L20&gt;0,$U20&lt;&gt;"",$U20&lt;0),"CẢNH BÁO: ĐƠN NÀY ĐANG LỖ; ","")))</f>
        <v/>
      </c>
      <c r="Z20" s="18"/>
      <c r="AA20" s="11"/>
      <c r="AB20" s="11"/>
      <c r="AC20" s="12"/>
      <c r="AD20" s="11"/>
    </row>
    <row r="21" customFormat="false" ht="15" hidden="false" customHeight="false" outlineLevel="0" collapsed="false">
      <c r="A21" s="21" t="str">
        <f aca="false">IF($C21="","",COUNTA($C$10:$C21))</f>
        <v/>
      </c>
      <c r="B21" s="18"/>
      <c r="C21" s="11"/>
      <c r="D21" s="11"/>
      <c r="E21" s="11"/>
      <c r="F21" s="11"/>
      <c r="G21" s="11"/>
      <c r="H21" s="11"/>
      <c r="I21" s="12"/>
      <c r="J21" s="13" t="str">
        <f aca="false">IF($H21="","",IFERROR(VLOOKUP($H21,'BẢNG GIÁ GỐC'!$A$5:$D$254,3,FALSE()),""))</f>
        <v/>
      </c>
      <c r="K21" s="12"/>
      <c r="L21" s="13" t="str">
        <f aca="false">IF($C21="","",N($I21)*N($K21))</f>
        <v/>
      </c>
      <c r="M21" s="11"/>
      <c r="N21" s="14" t="str">
        <f aca="false">IF($C21="","",IF($M21="VAT 5%",0.05,IF($M21="VAT 8%",0.08,IF($M21="VAT 10%",0.1,0))))</f>
        <v/>
      </c>
      <c r="O21" s="13" t="str">
        <f aca="false">IF($C21="","",$L21*$N21)</f>
        <v/>
      </c>
      <c r="P21" s="13" t="str">
        <f aca="false">IF($C21="","",$L21+$O21)</f>
        <v/>
      </c>
      <c r="Q21" s="12"/>
      <c r="R21" s="13" t="str">
        <f aca="false">IF($C21="","",MAX(0,$P21-N($Q21)))</f>
        <v/>
      </c>
      <c r="S21" s="23" t="str">
        <f aca="false">IF(OR($C21="",$P21=0),"",IF(N($Q21)&lt;=0,"Chưa thanh toán",IF(N($Q21)&lt;$P21,"Thanh toán một phần","Đã thanh toán")))</f>
        <v/>
      </c>
      <c r="T21" s="13" t="str">
        <f aca="false">IF(OR($C21="",$J21=""),"",N($I21)*$J21)</f>
        <v/>
      </c>
      <c r="U21" s="13" t="str">
        <f aca="false">IF(OR($C21="",$T21=""),"",$L21-$T21)</f>
        <v/>
      </c>
      <c r="V21" s="14" t="str">
        <f aca="false">IF(OR($U21="",$L21=0),"",$U21/$L21)</f>
        <v/>
      </c>
      <c r="W21" s="11"/>
      <c r="X21" s="23" t="str">
        <f aca="false">IF($C21="","",IF(AND($H21="",N($I21)=0,N($K21)=0),"Dòng chỉ lưu thông tin khách (chưa có đơn); ",IF($B21="","Thiếu ngày đặt; ","")&amp;IF($H21="","Thiếu tên sản phẩm; ",IF($J21="","Chưa khai GIÁ GỐC ở BẢNG GIÁ GỐC; ",""))&amp;IF(N($I21)&lt;=0,"Thiếu số lượng; ","")&amp;IF(N($K21)&lt;=0,"Thiếu giá bán; ","")&amp;IF(AND($N21&gt;0,$F21=""),"Khách lấy VAT thiếu mã số thuế; ","")&amp;IF(N($Q21)&gt;$P21,"Đã thu vượt tổng phải thu; ","")&amp;IF(AND($L21&gt;0,$U21&lt;&gt;"",$U21&lt;0),"CẢNH BÁO: ĐƠN NÀY ĐANG LỖ; ","")))</f>
        <v/>
      </c>
      <c r="Z21" s="18"/>
      <c r="AA21" s="11"/>
      <c r="AB21" s="11"/>
      <c r="AC21" s="12"/>
      <c r="AD21" s="11"/>
    </row>
    <row r="22" customFormat="false" ht="15" hidden="false" customHeight="false" outlineLevel="0" collapsed="false">
      <c r="A22" s="21" t="str">
        <f aca="false">IF($C22="","",COUNTA($C$10:$C22))</f>
        <v/>
      </c>
      <c r="B22" s="18"/>
      <c r="C22" s="11"/>
      <c r="D22" s="11"/>
      <c r="E22" s="11"/>
      <c r="F22" s="11"/>
      <c r="G22" s="11"/>
      <c r="H22" s="11"/>
      <c r="I22" s="12"/>
      <c r="J22" s="13" t="str">
        <f aca="false">IF($H22="","",IFERROR(VLOOKUP($H22,'BẢNG GIÁ GỐC'!$A$5:$D$254,3,FALSE()),""))</f>
        <v/>
      </c>
      <c r="K22" s="12"/>
      <c r="L22" s="13" t="str">
        <f aca="false">IF($C22="","",N($I22)*N($K22))</f>
        <v/>
      </c>
      <c r="M22" s="11"/>
      <c r="N22" s="14" t="str">
        <f aca="false">IF($C22="","",IF($M22="VAT 5%",0.05,IF($M22="VAT 8%",0.08,IF($M22="VAT 10%",0.1,0))))</f>
        <v/>
      </c>
      <c r="O22" s="13" t="str">
        <f aca="false">IF($C22="","",$L22*$N22)</f>
        <v/>
      </c>
      <c r="P22" s="13" t="str">
        <f aca="false">IF($C22="","",$L22+$O22)</f>
        <v/>
      </c>
      <c r="Q22" s="12"/>
      <c r="R22" s="13" t="str">
        <f aca="false">IF($C22="","",MAX(0,$P22-N($Q22)))</f>
        <v/>
      </c>
      <c r="S22" s="23" t="str">
        <f aca="false">IF(OR($C22="",$P22=0),"",IF(N($Q22)&lt;=0,"Chưa thanh toán",IF(N($Q22)&lt;$P22,"Thanh toán một phần","Đã thanh toán")))</f>
        <v/>
      </c>
      <c r="T22" s="13" t="str">
        <f aca="false">IF(OR($C22="",$J22=""),"",N($I22)*$J22)</f>
        <v/>
      </c>
      <c r="U22" s="13" t="str">
        <f aca="false">IF(OR($C22="",$T22=""),"",$L22-$T22)</f>
        <v/>
      </c>
      <c r="V22" s="14" t="str">
        <f aca="false">IF(OR($U22="",$L22=0),"",$U22/$L22)</f>
        <v/>
      </c>
      <c r="W22" s="11"/>
      <c r="X22" s="23" t="str">
        <f aca="false">IF($C22="","",IF(AND($H22="",N($I22)=0,N($K22)=0),"Dòng chỉ lưu thông tin khách (chưa có đơn); ",IF($B22="","Thiếu ngày đặt; ","")&amp;IF($H22="","Thiếu tên sản phẩm; ",IF($J22="","Chưa khai GIÁ GỐC ở BẢNG GIÁ GỐC; ",""))&amp;IF(N($I22)&lt;=0,"Thiếu số lượng; ","")&amp;IF(N($K22)&lt;=0,"Thiếu giá bán; ","")&amp;IF(AND($N22&gt;0,$F22=""),"Khách lấy VAT thiếu mã số thuế; ","")&amp;IF(N($Q22)&gt;$P22,"Đã thu vượt tổng phải thu; ","")&amp;IF(AND($L22&gt;0,$U22&lt;&gt;"",$U22&lt;0),"CẢNH BÁO: ĐƠN NÀY ĐANG LỖ; ","")))</f>
        <v/>
      </c>
      <c r="Z22" s="18"/>
      <c r="AA22" s="11"/>
      <c r="AB22" s="11"/>
      <c r="AC22" s="12"/>
      <c r="AD22" s="11"/>
    </row>
    <row r="23" customFormat="false" ht="15" hidden="false" customHeight="false" outlineLevel="0" collapsed="false">
      <c r="A23" s="21" t="str">
        <f aca="false">IF($C23="","",COUNTA($C$10:$C23))</f>
        <v/>
      </c>
      <c r="B23" s="18"/>
      <c r="C23" s="11"/>
      <c r="D23" s="11"/>
      <c r="E23" s="11"/>
      <c r="F23" s="11"/>
      <c r="G23" s="11"/>
      <c r="H23" s="11"/>
      <c r="I23" s="12"/>
      <c r="J23" s="13" t="str">
        <f aca="false">IF($H23="","",IFERROR(VLOOKUP($H23,'BẢNG GIÁ GỐC'!$A$5:$D$254,3,FALSE()),""))</f>
        <v/>
      </c>
      <c r="K23" s="12"/>
      <c r="L23" s="13" t="str">
        <f aca="false">IF($C23="","",N($I23)*N($K23))</f>
        <v/>
      </c>
      <c r="M23" s="11"/>
      <c r="N23" s="14" t="str">
        <f aca="false">IF($C23="","",IF($M23="VAT 5%",0.05,IF($M23="VAT 8%",0.08,IF($M23="VAT 10%",0.1,0))))</f>
        <v/>
      </c>
      <c r="O23" s="13" t="str">
        <f aca="false">IF($C23="","",$L23*$N23)</f>
        <v/>
      </c>
      <c r="P23" s="13" t="str">
        <f aca="false">IF($C23="","",$L23+$O23)</f>
        <v/>
      </c>
      <c r="Q23" s="12"/>
      <c r="R23" s="13" t="str">
        <f aca="false">IF($C23="","",MAX(0,$P23-N($Q23)))</f>
        <v/>
      </c>
      <c r="S23" s="23" t="str">
        <f aca="false">IF(OR($C23="",$P23=0),"",IF(N($Q23)&lt;=0,"Chưa thanh toán",IF(N($Q23)&lt;$P23,"Thanh toán một phần","Đã thanh toán")))</f>
        <v/>
      </c>
      <c r="T23" s="13" t="str">
        <f aca="false">IF(OR($C23="",$J23=""),"",N($I23)*$J23)</f>
        <v/>
      </c>
      <c r="U23" s="13" t="str">
        <f aca="false">IF(OR($C23="",$T23=""),"",$L23-$T23)</f>
        <v/>
      </c>
      <c r="V23" s="14" t="str">
        <f aca="false">IF(OR($U23="",$L23=0),"",$U23/$L23)</f>
        <v/>
      </c>
      <c r="W23" s="11"/>
      <c r="X23" s="23" t="str">
        <f aca="false">IF($C23="","",IF(AND($H23="",N($I23)=0,N($K23)=0),"Dòng chỉ lưu thông tin khách (chưa có đơn); ",IF($B23="","Thiếu ngày đặt; ","")&amp;IF($H23="","Thiếu tên sản phẩm; ",IF($J23="","Chưa khai GIÁ GỐC ở BẢNG GIÁ GỐC; ",""))&amp;IF(N($I23)&lt;=0,"Thiếu số lượng; ","")&amp;IF(N($K23)&lt;=0,"Thiếu giá bán; ","")&amp;IF(AND($N23&gt;0,$F23=""),"Khách lấy VAT thiếu mã số thuế; ","")&amp;IF(N($Q23)&gt;$P23,"Đã thu vượt tổng phải thu; ","")&amp;IF(AND($L23&gt;0,$U23&lt;&gt;"",$U23&lt;0),"CẢNH BÁO: ĐƠN NÀY ĐANG LỖ; ","")))</f>
        <v/>
      </c>
      <c r="Z23" s="18"/>
      <c r="AA23" s="11"/>
      <c r="AB23" s="11"/>
      <c r="AC23" s="12"/>
      <c r="AD23" s="11"/>
    </row>
    <row r="24" customFormat="false" ht="15" hidden="false" customHeight="false" outlineLevel="0" collapsed="false">
      <c r="A24" s="21" t="str">
        <f aca="false">IF($C24="","",COUNTA($C$10:$C24))</f>
        <v/>
      </c>
      <c r="B24" s="18"/>
      <c r="C24" s="11"/>
      <c r="D24" s="11"/>
      <c r="E24" s="11"/>
      <c r="F24" s="11"/>
      <c r="G24" s="11"/>
      <c r="H24" s="11"/>
      <c r="I24" s="12"/>
      <c r="J24" s="13" t="str">
        <f aca="false">IF($H24="","",IFERROR(VLOOKUP($H24,'BẢNG GIÁ GỐC'!$A$5:$D$254,3,FALSE()),""))</f>
        <v/>
      </c>
      <c r="K24" s="12"/>
      <c r="L24" s="13" t="str">
        <f aca="false">IF($C24="","",N($I24)*N($K24))</f>
        <v/>
      </c>
      <c r="M24" s="11"/>
      <c r="N24" s="14" t="str">
        <f aca="false">IF($C24="","",IF($M24="VAT 5%",0.05,IF($M24="VAT 8%",0.08,IF($M24="VAT 10%",0.1,0))))</f>
        <v/>
      </c>
      <c r="O24" s="13" t="str">
        <f aca="false">IF($C24="","",$L24*$N24)</f>
        <v/>
      </c>
      <c r="P24" s="13" t="str">
        <f aca="false">IF($C24="","",$L24+$O24)</f>
        <v/>
      </c>
      <c r="Q24" s="12"/>
      <c r="R24" s="13" t="str">
        <f aca="false">IF($C24="","",MAX(0,$P24-N($Q24)))</f>
        <v/>
      </c>
      <c r="S24" s="23" t="str">
        <f aca="false">IF(OR($C24="",$P24=0),"",IF(N($Q24)&lt;=0,"Chưa thanh toán",IF(N($Q24)&lt;$P24,"Thanh toán một phần","Đã thanh toán")))</f>
        <v/>
      </c>
      <c r="T24" s="13" t="str">
        <f aca="false">IF(OR($C24="",$J24=""),"",N($I24)*$J24)</f>
        <v/>
      </c>
      <c r="U24" s="13" t="str">
        <f aca="false">IF(OR($C24="",$T24=""),"",$L24-$T24)</f>
        <v/>
      </c>
      <c r="V24" s="14" t="str">
        <f aca="false">IF(OR($U24="",$L24=0),"",$U24/$L24)</f>
        <v/>
      </c>
      <c r="W24" s="11"/>
      <c r="X24" s="23" t="str">
        <f aca="false">IF($C24="","",IF(AND($H24="",N($I24)=0,N($K24)=0),"Dòng chỉ lưu thông tin khách (chưa có đơn); ",IF($B24="","Thiếu ngày đặt; ","")&amp;IF($H24="","Thiếu tên sản phẩm; ",IF($J24="","Chưa khai GIÁ GỐC ở BẢNG GIÁ GỐC; ",""))&amp;IF(N($I24)&lt;=0,"Thiếu số lượng; ","")&amp;IF(N($K24)&lt;=0,"Thiếu giá bán; ","")&amp;IF(AND($N24&gt;0,$F24=""),"Khách lấy VAT thiếu mã số thuế; ","")&amp;IF(N($Q24)&gt;$P24,"Đã thu vượt tổng phải thu; ","")&amp;IF(AND($L24&gt;0,$U24&lt;&gt;"",$U24&lt;0),"CẢNH BÁO: ĐƠN NÀY ĐANG LỖ; ","")))</f>
        <v/>
      </c>
      <c r="Z24" s="18"/>
      <c r="AA24" s="11"/>
      <c r="AB24" s="11"/>
      <c r="AC24" s="12"/>
      <c r="AD24" s="11"/>
    </row>
    <row r="25" customFormat="false" ht="15" hidden="false" customHeight="false" outlineLevel="0" collapsed="false">
      <c r="A25" s="21" t="str">
        <f aca="false">IF($C25="","",COUNTA($C$10:$C25))</f>
        <v/>
      </c>
      <c r="B25" s="18"/>
      <c r="C25" s="11"/>
      <c r="D25" s="11"/>
      <c r="E25" s="11"/>
      <c r="F25" s="11"/>
      <c r="G25" s="11"/>
      <c r="H25" s="11"/>
      <c r="I25" s="12"/>
      <c r="J25" s="13" t="str">
        <f aca="false">IF($H25="","",IFERROR(VLOOKUP($H25,'BẢNG GIÁ GỐC'!$A$5:$D$254,3,FALSE()),""))</f>
        <v/>
      </c>
      <c r="K25" s="12"/>
      <c r="L25" s="13" t="str">
        <f aca="false">IF($C25="","",N($I25)*N($K25))</f>
        <v/>
      </c>
      <c r="M25" s="11"/>
      <c r="N25" s="14" t="str">
        <f aca="false">IF($C25="","",IF($M25="VAT 5%",0.05,IF($M25="VAT 8%",0.08,IF($M25="VAT 10%",0.1,0))))</f>
        <v/>
      </c>
      <c r="O25" s="13" t="str">
        <f aca="false">IF($C25="","",$L25*$N25)</f>
        <v/>
      </c>
      <c r="P25" s="13" t="str">
        <f aca="false">IF($C25="","",$L25+$O25)</f>
        <v/>
      </c>
      <c r="Q25" s="12"/>
      <c r="R25" s="13" t="str">
        <f aca="false">IF($C25="","",MAX(0,$P25-N($Q25)))</f>
        <v/>
      </c>
      <c r="S25" s="23" t="str">
        <f aca="false">IF(OR($C25="",$P25=0),"",IF(N($Q25)&lt;=0,"Chưa thanh toán",IF(N($Q25)&lt;$P25,"Thanh toán một phần","Đã thanh toán")))</f>
        <v/>
      </c>
      <c r="T25" s="13" t="str">
        <f aca="false">IF(OR($C25="",$J25=""),"",N($I25)*$J25)</f>
        <v/>
      </c>
      <c r="U25" s="13" t="str">
        <f aca="false">IF(OR($C25="",$T25=""),"",$L25-$T25)</f>
        <v/>
      </c>
      <c r="V25" s="14" t="str">
        <f aca="false">IF(OR($U25="",$L25=0),"",$U25/$L25)</f>
        <v/>
      </c>
      <c r="W25" s="11"/>
      <c r="X25" s="23" t="str">
        <f aca="false">IF($C25="","",IF(AND($H25="",N($I25)=0,N($K25)=0),"Dòng chỉ lưu thông tin khách (chưa có đơn); ",IF($B25="","Thiếu ngày đặt; ","")&amp;IF($H25="","Thiếu tên sản phẩm; ",IF($J25="","Chưa khai GIÁ GỐC ở BẢNG GIÁ GỐC; ",""))&amp;IF(N($I25)&lt;=0,"Thiếu số lượng; ","")&amp;IF(N($K25)&lt;=0,"Thiếu giá bán; ","")&amp;IF(AND($N25&gt;0,$F25=""),"Khách lấy VAT thiếu mã số thuế; ","")&amp;IF(N($Q25)&gt;$P25,"Đã thu vượt tổng phải thu; ","")&amp;IF(AND($L25&gt;0,$U25&lt;&gt;"",$U25&lt;0),"CẢNH BÁO: ĐƠN NÀY ĐANG LỖ; ","")))</f>
        <v/>
      </c>
      <c r="Z25" s="24" t="s">
        <v>177</v>
      </c>
      <c r="AA25" s="24"/>
      <c r="AB25" s="24"/>
      <c r="AC25" s="25" t="n">
        <f aca="false">SUM(AC5:AC24)</f>
        <v>0</v>
      </c>
      <c r="AD25" s="26"/>
    </row>
    <row r="26" customFormat="false" ht="15" hidden="false" customHeight="false" outlineLevel="0" collapsed="false">
      <c r="A26" s="21" t="str">
        <f aca="false">IF($C26="","",COUNTA($C$10:$C26))</f>
        <v/>
      </c>
      <c r="B26" s="18"/>
      <c r="C26" s="11"/>
      <c r="D26" s="11"/>
      <c r="E26" s="11"/>
      <c r="F26" s="11"/>
      <c r="G26" s="11"/>
      <c r="H26" s="11"/>
      <c r="I26" s="12"/>
      <c r="J26" s="13" t="str">
        <f aca="false">IF($H26="","",IFERROR(VLOOKUP($H26,'BẢNG GIÁ GỐC'!$A$5:$D$254,3,FALSE()),""))</f>
        <v/>
      </c>
      <c r="K26" s="12"/>
      <c r="L26" s="13" t="str">
        <f aca="false">IF($C26="","",N($I26)*N($K26))</f>
        <v/>
      </c>
      <c r="M26" s="11"/>
      <c r="N26" s="14" t="str">
        <f aca="false">IF($C26="","",IF($M26="VAT 5%",0.05,IF($M26="VAT 8%",0.08,IF($M26="VAT 10%",0.1,0))))</f>
        <v/>
      </c>
      <c r="O26" s="13" t="str">
        <f aca="false">IF($C26="","",$L26*$N26)</f>
        <v/>
      </c>
      <c r="P26" s="13" t="str">
        <f aca="false">IF($C26="","",$L26+$O26)</f>
        <v/>
      </c>
      <c r="Q26" s="12"/>
      <c r="R26" s="13" t="str">
        <f aca="false">IF($C26="","",MAX(0,$P26-N($Q26)))</f>
        <v/>
      </c>
      <c r="S26" s="23" t="str">
        <f aca="false">IF(OR($C26="",$P26=0),"",IF(N($Q26)&lt;=0,"Chưa thanh toán",IF(N($Q26)&lt;$P26,"Thanh toán một phần","Đã thanh toán")))</f>
        <v/>
      </c>
      <c r="T26" s="13" t="str">
        <f aca="false">IF(OR($C26="",$J26=""),"",N($I26)*$J26)</f>
        <v/>
      </c>
      <c r="U26" s="13" t="str">
        <f aca="false">IF(OR($C26="",$T26=""),"",$L26-$T26)</f>
        <v/>
      </c>
      <c r="V26" s="14" t="str">
        <f aca="false">IF(OR($U26="",$L26=0),"",$U26/$L26)</f>
        <v/>
      </c>
      <c r="W26" s="11"/>
      <c r="X26" s="23" t="str">
        <f aca="false">IF($C26="","",IF(AND($H26="",N($I26)=0,N($K26)=0),"Dòng chỉ lưu thông tin khách (chưa có đơn); ",IF($B26="","Thiếu ngày đặt; ","")&amp;IF($H26="","Thiếu tên sản phẩm; ",IF($J26="","Chưa khai GIÁ GỐC ở BẢNG GIÁ GỐC; ",""))&amp;IF(N($I26)&lt;=0,"Thiếu số lượng; ","")&amp;IF(N($K26)&lt;=0,"Thiếu giá bán; ","")&amp;IF(AND($N26&gt;0,$F26=""),"Khách lấy VAT thiếu mã số thuế; ","")&amp;IF(N($Q26)&gt;$P26,"Đã thu vượt tổng phải thu; ","")&amp;IF(AND($L26&gt;0,$U26&lt;&gt;"",$U26&lt;0),"CẢNH BÁO: ĐƠN NÀY ĐANG LỖ; ","")))</f>
        <v/>
      </c>
    </row>
    <row r="27" customFormat="false" ht="15" hidden="false" customHeight="false" outlineLevel="0" collapsed="false">
      <c r="A27" s="21" t="str">
        <f aca="false">IF($C27="","",COUNTA($C$10:$C27))</f>
        <v/>
      </c>
      <c r="B27" s="18"/>
      <c r="C27" s="11"/>
      <c r="D27" s="11"/>
      <c r="E27" s="11"/>
      <c r="F27" s="11"/>
      <c r="G27" s="11"/>
      <c r="H27" s="11"/>
      <c r="I27" s="12"/>
      <c r="J27" s="13" t="str">
        <f aca="false">IF($H27="","",IFERROR(VLOOKUP($H27,'BẢNG GIÁ GỐC'!$A$5:$D$254,3,FALSE()),""))</f>
        <v/>
      </c>
      <c r="K27" s="12"/>
      <c r="L27" s="13" t="str">
        <f aca="false">IF($C27="","",N($I27)*N($K27))</f>
        <v/>
      </c>
      <c r="M27" s="11"/>
      <c r="N27" s="14" t="str">
        <f aca="false">IF($C27="","",IF($M27="VAT 5%",0.05,IF($M27="VAT 8%",0.08,IF($M27="VAT 10%",0.1,0))))</f>
        <v/>
      </c>
      <c r="O27" s="13" t="str">
        <f aca="false">IF($C27="","",$L27*$N27)</f>
        <v/>
      </c>
      <c r="P27" s="13" t="str">
        <f aca="false">IF($C27="","",$L27+$O27)</f>
        <v/>
      </c>
      <c r="Q27" s="12"/>
      <c r="R27" s="13" t="str">
        <f aca="false">IF($C27="","",MAX(0,$P27-N($Q27)))</f>
        <v/>
      </c>
      <c r="S27" s="23" t="str">
        <f aca="false">IF(OR($C27="",$P27=0),"",IF(N($Q27)&lt;=0,"Chưa thanh toán",IF(N($Q27)&lt;$P27,"Thanh toán một phần","Đã thanh toán")))</f>
        <v/>
      </c>
      <c r="T27" s="13" t="str">
        <f aca="false">IF(OR($C27="",$J27=""),"",N($I27)*$J27)</f>
        <v/>
      </c>
      <c r="U27" s="13" t="str">
        <f aca="false">IF(OR($C27="",$T27=""),"",$L27-$T27)</f>
        <v/>
      </c>
      <c r="V27" s="14" t="str">
        <f aca="false">IF(OR($U27="",$L27=0),"",$U27/$L27)</f>
        <v/>
      </c>
      <c r="W27" s="11"/>
      <c r="X27" s="23" t="str">
        <f aca="false">IF($C27="","",IF(AND($H27="",N($I27)=0,N($K27)=0),"Dòng chỉ lưu thông tin khách (chưa có đơn); ",IF($B27="","Thiếu ngày đặt; ","")&amp;IF($H27="","Thiếu tên sản phẩm; ",IF($J27="","Chưa khai GIÁ GỐC ở BẢNG GIÁ GỐC; ",""))&amp;IF(N($I27)&lt;=0,"Thiếu số lượng; ","")&amp;IF(N($K27)&lt;=0,"Thiếu giá bán; ","")&amp;IF(AND($N27&gt;0,$F27=""),"Khách lấy VAT thiếu mã số thuế; ","")&amp;IF(N($Q27)&gt;$P27,"Đã thu vượt tổng phải thu; ","")&amp;IF(AND($L27&gt;0,$U27&lt;&gt;"",$U27&lt;0),"CẢNH BÁO: ĐƠN NÀY ĐANG LỖ; ","")))</f>
        <v/>
      </c>
    </row>
    <row r="28" customFormat="false" ht="15" hidden="false" customHeight="false" outlineLevel="0" collapsed="false">
      <c r="A28" s="21" t="str">
        <f aca="false">IF($C28="","",COUNTA($C$10:$C28))</f>
        <v/>
      </c>
      <c r="B28" s="18"/>
      <c r="C28" s="11"/>
      <c r="D28" s="11"/>
      <c r="E28" s="11"/>
      <c r="F28" s="11"/>
      <c r="G28" s="11"/>
      <c r="H28" s="11"/>
      <c r="I28" s="12"/>
      <c r="J28" s="13" t="str">
        <f aca="false">IF($H28="","",IFERROR(VLOOKUP($H28,'BẢNG GIÁ GỐC'!$A$5:$D$254,3,FALSE()),""))</f>
        <v/>
      </c>
      <c r="K28" s="12"/>
      <c r="L28" s="13" t="str">
        <f aca="false">IF($C28="","",N($I28)*N($K28))</f>
        <v/>
      </c>
      <c r="M28" s="11"/>
      <c r="N28" s="14" t="str">
        <f aca="false">IF($C28="","",IF($M28="VAT 5%",0.05,IF($M28="VAT 8%",0.08,IF($M28="VAT 10%",0.1,0))))</f>
        <v/>
      </c>
      <c r="O28" s="13" t="str">
        <f aca="false">IF($C28="","",$L28*$N28)</f>
        <v/>
      </c>
      <c r="P28" s="13" t="str">
        <f aca="false">IF($C28="","",$L28+$O28)</f>
        <v/>
      </c>
      <c r="Q28" s="12"/>
      <c r="R28" s="13" t="str">
        <f aca="false">IF($C28="","",MAX(0,$P28-N($Q28)))</f>
        <v/>
      </c>
      <c r="S28" s="23" t="str">
        <f aca="false">IF(OR($C28="",$P28=0),"",IF(N($Q28)&lt;=0,"Chưa thanh toán",IF(N($Q28)&lt;$P28,"Thanh toán một phần","Đã thanh toán")))</f>
        <v/>
      </c>
      <c r="T28" s="13" t="str">
        <f aca="false">IF(OR($C28="",$J28=""),"",N($I28)*$J28)</f>
        <v/>
      </c>
      <c r="U28" s="13" t="str">
        <f aca="false">IF(OR($C28="",$T28=""),"",$L28-$T28)</f>
        <v/>
      </c>
      <c r="V28" s="14" t="str">
        <f aca="false">IF(OR($U28="",$L28=0),"",$U28/$L28)</f>
        <v/>
      </c>
      <c r="W28" s="11"/>
      <c r="X28" s="23" t="str">
        <f aca="false">IF($C28="","",IF(AND($H28="",N($I28)=0,N($K28)=0),"Dòng chỉ lưu thông tin khách (chưa có đơn); ",IF($B28="","Thiếu ngày đặt; ","")&amp;IF($H28="","Thiếu tên sản phẩm; ",IF($J28="","Chưa khai GIÁ GỐC ở BẢNG GIÁ GỐC; ",""))&amp;IF(N($I28)&lt;=0,"Thiếu số lượng; ","")&amp;IF(N($K28)&lt;=0,"Thiếu giá bán; ","")&amp;IF(AND($N28&gt;0,$F28=""),"Khách lấy VAT thiếu mã số thuế; ","")&amp;IF(N($Q28)&gt;$P28,"Đã thu vượt tổng phải thu; ","")&amp;IF(AND($L28&gt;0,$U28&lt;&gt;"",$U28&lt;0),"CẢNH BÁO: ĐƠN NÀY ĐANG LỖ; ","")))</f>
        <v/>
      </c>
    </row>
    <row r="29" customFormat="false" ht="15" hidden="false" customHeight="false" outlineLevel="0" collapsed="false">
      <c r="A29" s="21" t="str">
        <f aca="false">IF($C29="","",COUNTA($C$10:$C29))</f>
        <v/>
      </c>
      <c r="B29" s="18"/>
      <c r="C29" s="11"/>
      <c r="D29" s="11"/>
      <c r="E29" s="11"/>
      <c r="F29" s="11"/>
      <c r="G29" s="11"/>
      <c r="H29" s="11"/>
      <c r="I29" s="12"/>
      <c r="J29" s="13" t="str">
        <f aca="false">IF($H29="","",IFERROR(VLOOKUP($H29,'BẢNG GIÁ GỐC'!$A$5:$D$254,3,FALSE()),""))</f>
        <v/>
      </c>
      <c r="K29" s="12"/>
      <c r="L29" s="13" t="str">
        <f aca="false">IF($C29="","",N($I29)*N($K29))</f>
        <v/>
      </c>
      <c r="M29" s="11"/>
      <c r="N29" s="14" t="str">
        <f aca="false">IF($C29="","",IF($M29="VAT 5%",0.05,IF($M29="VAT 8%",0.08,IF($M29="VAT 10%",0.1,0))))</f>
        <v/>
      </c>
      <c r="O29" s="13" t="str">
        <f aca="false">IF($C29="","",$L29*$N29)</f>
        <v/>
      </c>
      <c r="P29" s="13" t="str">
        <f aca="false">IF($C29="","",$L29+$O29)</f>
        <v/>
      </c>
      <c r="Q29" s="12"/>
      <c r="R29" s="13" t="str">
        <f aca="false">IF($C29="","",MAX(0,$P29-N($Q29)))</f>
        <v/>
      </c>
      <c r="S29" s="23" t="str">
        <f aca="false">IF(OR($C29="",$P29=0),"",IF(N($Q29)&lt;=0,"Chưa thanh toán",IF(N($Q29)&lt;$P29,"Thanh toán một phần","Đã thanh toán")))</f>
        <v/>
      </c>
      <c r="T29" s="13" t="str">
        <f aca="false">IF(OR($C29="",$J29=""),"",N($I29)*$J29)</f>
        <v/>
      </c>
      <c r="U29" s="13" t="str">
        <f aca="false">IF(OR($C29="",$T29=""),"",$L29-$T29)</f>
        <v/>
      </c>
      <c r="V29" s="14" t="str">
        <f aca="false">IF(OR($U29="",$L29=0),"",$U29/$L29)</f>
        <v/>
      </c>
      <c r="W29" s="11"/>
      <c r="X29" s="23" t="str">
        <f aca="false">IF($C29="","",IF(AND($H29="",N($I29)=0,N($K29)=0),"Dòng chỉ lưu thông tin khách (chưa có đơn); ",IF($B29="","Thiếu ngày đặt; ","")&amp;IF($H29="","Thiếu tên sản phẩm; ",IF($J29="","Chưa khai GIÁ GỐC ở BẢNG GIÁ GỐC; ",""))&amp;IF(N($I29)&lt;=0,"Thiếu số lượng; ","")&amp;IF(N($K29)&lt;=0,"Thiếu giá bán; ","")&amp;IF(AND($N29&gt;0,$F29=""),"Khách lấy VAT thiếu mã số thuế; ","")&amp;IF(N($Q29)&gt;$P29,"Đã thu vượt tổng phải thu; ","")&amp;IF(AND($L29&gt;0,$U29&lt;&gt;"",$U29&lt;0),"CẢNH BÁO: ĐƠN NÀY ĐANG LỖ; ","")))</f>
        <v/>
      </c>
    </row>
    <row r="30" customFormat="false" ht="15" hidden="false" customHeight="false" outlineLevel="0" collapsed="false">
      <c r="A30" s="21" t="str">
        <f aca="false">IF($C30="","",COUNTA($C$10:$C30))</f>
        <v/>
      </c>
      <c r="B30" s="18"/>
      <c r="C30" s="11"/>
      <c r="D30" s="11"/>
      <c r="E30" s="11"/>
      <c r="F30" s="11"/>
      <c r="G30" s="11"/>
      <c r="H30" s="11"/>
      <c r="I30" s="12"/>
      <c r="J30" s="13" t="str">
        <f aca="false">IF($H30="","",IFERROR(VLOOKUP($H30,'BẢNG GIÁ GỐC'!$A$5:$D$254,3,FALSE()),""))</f>
        <v/>
      </c>
      <c r="K30" s="12"/>
      <c r="L30" s="13" t="str">
        <f aca="false">IF($C30="","",N($I30)*N($K30))</f>
        <v/>
      </c>
      <c r="M30" s="11"/>
      <c r="N30" s="14" t="str">
        <f aca="false">IF($C30="","",IF($M30="VAT 5%",0.05,IF($M30="VAT 8%",0.08,IF($M30="VAT 10%",0.1,0))))</f>
        <v/>
      </c>
      <c r="O30" s="13" t="str">
        <f aca="false">IF($C30="","",$L30*$N30)</f>
        <v/>
      </c>
      <c r="P30" s="13" t="str">
        <f aca="false">IF($C30="","",$L30+$O30)</f>
        <v/>
      </c>
      <c r="Q30" s="12"/>
      <c r="R30" s="13" t="str">
        <f aca="false">IF($C30="","",MAX(0,$P30-N($Q30)))</f>
        <v/>
      </c>
      <c r="S30" s="23" t="str">
        <f aca="false">IF(OR($C30="",$P30=0),"",IF(N($Q30)&lt;=0,"Chưa thanh toán",IF(N($Q30)&lt;$P30,"Thanh toán một phần","Đã thanh toán")))</f>
        <v/>
      </c>
      <c r="T30" s="13" t="str">
        <f aca="false">IF(OR($C30="",$J30=""),"",N($I30)*$J30)</f>
        <v/>
      </c>
      <c r="U30" s="13" t="str">
        <f aca="false">IF(OR($C30="",$T30=""),"",$L30-$T30)</f>
        <v/>
      </c>
      <c r="V30" s="14" t="str">
        <f aca="false">IF(OR($U30="",$L30=0),"",$U30/$L30)</f>
        <v/>
      </c>
      <c r="W30" s="11"/>
      <c r="X30" s="23" t="str">
        <f aca="false">IF($C30="","",IF(AND($H30="",N($I30)=0,N($K30)=0),"Dòng chỉ lưu thông tin khách (chưa có đơn); ",IF($B30="","Thiếu ngày đặt; ","")&amp;IF($H30="","Thiếu tên sản phẩm; ",IF($J30="","Chưa khai GIÁ GỐC ở BẢNG GIÁ GỐC; ",""))&amp;IF(N($I30)&lt;=0,"Thiếu số lượng; ","")&amp;IF(N($K30)&lt;=0,"Thiếu giá bán; ","")&amp;IF(AND($N30&gt;0,$F30=""),"Khách lấy VAT thiếu mã số thuế; ","")&amp;IF(N($Q30)&gt;$P30,"Đã thu vượt tổng phải thu; ","")&amp;IF(AND($L30&gt;0,$U30&lt;&gt;"",$U30&lt;0),"CẢNH BÁO: ĐƠN NÀY ĐANG LỖ; ","")))</f>
        <v/>
      </c>
    </row>
    <row r="31" customFormat="false" ht="15" hidden="false" customHeight="false" outlineLevel="0" collapsed="false">
      <c r="A31" s="21" t="str">
        <f aca="false">IF($C31="","",COUNTA($C$10:$C31))</f>
        <v/>
      </c>
      <c r="B31" s="18"/>
      <c r="C31" s="11"/>
      <c r="D31" s="11"/>
      <c r="E31" s="11"/>
      <c r="F31" s="11"/>
      <c r="G31" s="11"/>
      <c r="H31" s="11"/>
      <c r="I31" s="12"/>
      <c r="J31" s="13" t="str">
        <f aca="false">IF($H31="","",IFERROR(VLOOKUP($H31,'BẢNG GIÁ GỐC'!$A$5:$D$254,3,FALSE()),""))</f>
        <v/>
      </c>
      <c r="K31" s="12"/>
      <c r="L31" s="13" t="str">
        <f aca="false">IF($C31="","",N($I31)*N($K31))</f>
        <v/>
      </c>
      <c r="M31" s="11"/>
      <c r="N31" s="14" t="str">
        <f aca="false">IF($C31="","",IF($M31="VAT 5%",0.05,IF($M31="VAT 8%",0.08,IF($M31="VAT 10%",0.1,0))))</f>
        <v/>
      </c>
      <c r="O31" s="13" t="str">
        <f aca="false">IF($C31="","",$L31*$N31)</f>
        <v/>
      </c>
      <c r="P31" s="13" t="str">
        <f aca="false">IF($C31="","",$L31+$O31)</f>
        <v/>
      </c>
      <c r="Q31" s="12"/>
      <c r="R31" s="13" t="str">
        <f aca="false">IF($C31="","",MAX(0,$P31-N($Q31)))</f>
        <v/>
      </c>
      <c r="S31" s="23" t="str">
        <f aca="false">IF(OR($C31="",$P31=0),"",IF(N($Q31)&lt;=0,"Chưa thanh toán",IF(N($Q31)&lt;$P31,"Thanh toán một phần","Đã thanh toán")))</f>
        <v/>
      </c>
      <c r="T31" s="13" t="str">
        <f aca="false">IF(OR($C31="",$J31=""),"",N($I31)*$J31)</f>
        <v/>
      </c>
      <c r="U31" s="13" t="str">
        <f aca="false">IF(OR($C31="",$T31=""),"",$L31-$T31)</f>
        <v/>
      </c>
      <c r="V31" s="14" t="str">
        <f aca="false">IF(OR($U31="",$L31=0),"",$U31/$L31)</f>
        <v/>
      </c>
      <c r="W31" s="11"/>
      <c r="X31" s="23" t="str">
        <f aca="false">IF($C31="","",IF(AND($H31="",N($I31)=0,N($K31)=0),"Dòng chỉ lưu thông tin khách (chưa có đơn); ",IF($B31="","Thiếu ngày đặt; ","")&amp;IF($H31="","Thiếu tên sản phẩm; ",IF($J31="","Chưa khai GIÁ GỐC ở BẢNG GIÁ GỐC; ",""))&amp;IF(N($I31)&lt;=0,"Thiếu số lượng; ","")&amp;IF(N($K31)&lt;=0,"Thiếu giá bán; ","")&amp;IF(AND($N31&gt;0,$F31=""),"Khách lấy VAT thiếu mã số thuế; ","")&amp;IF(N($Q31)&gt;$P31,"Đã thu vượt tổng phải thu; ","")&amp;IF(AND($L31&gt;0,$U31&lt;&gt;"",$U31&lt;0),"CẢNH BÁO: ĐƠN NÀY ĐANG LỖ; ","")))</f>
        <v/>
      </c>
    </row>
    <row r="32" customFormat="false" ht="15" hidden="false" customHeight="false" outlineLevel="0" collapsed="false">
      <c r="A32" s="21" t="str">
        <f aca="false">IF($C32="","",COUNTA($C$10:$C32))</f>
        <v/>
      </c>
      <c r="B32" s="18"/>
      <c r="C32" s="11"/>
      <c r="D32" s="11"/>
      <c r="E32" s="11"/>
      <c r="F32" s="11"/>
      <c r="G32" s="11"/>
      <c r="H32" s="11"/>
      <c r="I32" s="12"/>
      <c r="J32" s="13" t="str">
        <f aca="false">IF($H32="","",IFERROR(VLOOKUP($H32,'BẢNG GIÁ GỐC'!$A$5:$D$254,3,FALSE()),""))</f>
        <v/>
      </c>
      <c r="K32" s="12"/>
      <c r="L32" s="13" t="str">
        <f aca="false">IF($C32="","",N($I32)*N($K32))</f>
        <v/>
      </c>
      <c r="M32" s="11"/>
      <c r="N32" s="14" t="str">
        <f aca="false">IF($C32="","",IF($M32="VAT 5%",0.05,IF($M32="VAT 8%",0.08,IF($M32="VAT 10%",0.1,0))))</f>
        <v/>
      </c>
      <c r="O32" s="13" t="str">
        <f aca="false">IF($C32="","",$L32*$N32)</f>
        <v/>
      </c>
      <c r="P32" s="13" t="str">
        <f aca="false">IF($C32="","",$L32+$O32)</f>
        <v/>
      </c>
      <c r="Q32" s="12"/>
      <c r="R32" s="13" t="str">
        <f aca="false">IF($C32="","",MAX(0,$P32-N($Q32)))</f>
        <v/>
      </c>
      <c r="S32" s="23" t="str">
        <f aca="false">IF(OR($C32="",$P32=0),"",IF(N($Q32)&lt;=0,"Chưa thanh toán",IF(N($Q32)&lt;$P32,"Thanh toán một phần","Đã thanh toán")))</f>
        <v/>
      </c>
      <c r="T32" s="13" t="str">
        <f aca="false">IF(OR($C32="",$J32=""),"",N($I32)*$J32)</f>
        <v/>
      </c>
      <c r="U32" s="13" t="str">
        <f aca="false">IF(OR($C32="",$T32=""),"",$L32-$T32)</f>
        <v/>
      </c>
      <c r="V32" s="14" t="str">
        <f aca="false">IF(OR($U32="",$L32=0),"",$U32/$L32)</f>
        <v/>
      </c>
      <c r="W32" s="11"/>
      <c r="X32" s="23" t="str">
        <f aca="false">IF($C32="","",IF(AND($H32="",N($I32)=0,N($K32)=0),"Dòng chỉ lưu thông tin khách (chưa có đơn); ",IF($B32="","Thiếu ngày đặt; ","")&amp;IF($H32="","Thiếu tên sản phẩm; ",IF($J32="","Chưa khai GIÁ GỐC ở BẢNG GIÁ GỐC; ",""))&amp;IF(N($I32)&lt;=0,"Thiếu số lượng; ","")&amp;IF(N($K32)&lt;=0,"Thiếu giá bán; ","")&amp;IF(AND($N32&gt;0,$F32=""),"Khách lấy VAT thiếu mã số thuế; ","")&amp;IF(N($Q32)&gt;$P32,"Đã thu vượt tổng phải thu; ","")&amp;IF(AND($L32&gt;0,$U32&lt;&gt;"",$U32&lt;0),"CẢNH BÁO: ĐƠN NÀY ĐANG LỖ; ","")))</f>
        <v/>
      </c>
    </row>
    <row r="33" customFormat="false" ht="15" hidden="false" customHeight="false" outlineLevel="0" collapsed="false">
      <c r="A33" s="21" t="str">
        <f aca="false">IF($C33="","",COUNTA($C$10:$C33))</f>
        <v/>
      </c>
      <c r="B33" s="18"/>
      <c r="C33" s="11"/>
      <c r="D33" s="11"/>
      <c r="E33" s="11"/>
      <c r="F33" s="11"/>
      <c r="G33" s="11"/>
      <c r="H33" s="11"/>
      <c r="I33" s="12"/>
      <c r="J33" s="13" t="str">
        <f aca="false">IF($H33="","",IFERROR(VLOOKUP($H33,'BẢNG GIÁ GỐC'!$A$5:$D$254,3,FALSE()),""))</f>
        <v/>
      </c>
      <c r="K33" s="12"/>
      <c r="L33" s="13" t="str">
        <f aca="false">IF($C33="","",N($I33)*N($K33))</f>
        <v/>
      </c>
      <c r="M33" s="11"/>
      <c r="N33" s="14" t="str">
        <f aca="false">IF($C33="","",IF($M33="VAT 5%",0.05,IF($M33="VAT 8%",0.08,IF($M33="VAT 10%",0.1,0))))</f>
        <v/>
      </c>
      <c r="O33" s="13" t="str">
        <f aca="false">IF($C33="","",$L33*$N33)</f>
        <v/>
      </c>
      <c r="P33" s="13" t="str">
        <f aca="false">IF($C33="","",$L33+$O33)</f>
        <v/>
      </c>
      <c r="Q33" s="12"/>
      <c r="R33" s="13" t="str">
        <f aca="false">IF($C33="","",MAX(0,$P33-N($Q33)))</f>
        <v/>
      </c>
      <c r="S33" s="23" t="str">
        <f aca="false">IF(OR($C33="",$P33=0),"",IF(N($Q33)&lt;=0,"Chưa thanh toán",IF(N($Q33)&lt;$P33,"Thanh toán một phần","Đã thanh toán")))</f>
        <v/>
      </c>
      <c r="T33" s="13" t="str">
        <f aca="false">IF(OR($C33="",$J33=""),"",N($I33)*$J33)</f>
        <v/>
      </c>
      <c r="U33" s="13" t="str">
        <f aca="false">IF(OR($C33="",$T33=""),"",$L33-$T33)</f>
        <v/>
      </c>
      <c r="V33" s="14" t="str">
        <f aca="false">IF(OR($U33="",$L33=0),"",$U33/$L33)</f>
        <v/>
      </c>
      <c r="W33" s="11"/>
      <c r="X33" s="23" t="str">
        <f aca="false">IF($C33="","",IF(AND($H33="",N($I33)=0,N($K33)=0),"Dòng chỉ lưu thông tin khách (chưa có đơn); ",IF($B33="","Thiếu ngày đặt; ","")&amp;IF($H33="","Thiếu tên sản phẩm; ",IF($J33="","Chưa khai GIÁ GỐC ở BẢNG GIÁ GỐC; ",""))&amp;IF(N($I33)&lt;=0,"Thiếu số lượng; ","")&amp;IF(N($K33)&lt;=0,"Thiếu giá bán; ","")&amp;IF(AND($N33&gt;0,$F33=""),"Khách lấy VAT thiếu mã số thuế; ","")&amp;IF(N($Q33)&gt;$P33,"Đã thu vượt tổng phải thu; ","")&amp;IF(AND($L33&gt;0,$U33&lt;&gt;"",$U33&lt;0),"CẢNH BÁO: ĐƠN NÀY ĐANG LỖ; ","")))</f>
        <v/>
      </c>
    </row>
    <row r="34" customFormat="false" ht="15" hidden="false" customHeight="false" outlineLevel="0" collapsed="false">
      <c r="A34" s="21" t="str">
        <f aca="false">IF($C34="","",COUNTA($C$10:$C34))</f>
        <v/>
      </c>
      <c r="B34" s="18"/>
      <c r="C34" s="11"/>
      <c r="D34" s="11"/>
      <c r="E34" s="11"/>
      <c r="F34" s="11"/>
      <c r="G34" s="11"/>
      <c r="H34" s="11"/>
      <c r="I34" s="12"/>
      <c r="J34" s="13" t="str">
        <f aca="false">IF($H34="","",IFERROR(VLOOKUP($H34,'BẢNG GIÁ GỐC'!$A$5:$D$254,3,FALSE()),""))</f>
        <v/>
      </c>
      <c r="K34" s="12"/>
      <c r="L34" s="13" t="str">
        <f aca="false">IF($C34="","",N($I34)*N($K34))</f>
        <v/>
      </c>
      <c r="M34" s="11"/>
      <c r="N34" s="14" t="str">
        <f aca="false">IF($C34="","",IF($M34="VAT 5%",0.05,IF($M34="VAT 8%",0.08,IF($M34="VAT 10%",0.1,0))))</f>
        <v/>
      </c>
      <c r="O34" s="13" t="str">
        <f aca="false">IF($C34="","",$L34*$N34)</f>
        <v/>
      </c>
      <c r="P34" s="13" t="str">
        <f aca="false">IF($C34="","",$L34+$O34)</f>
        <v/>
      </c>
      <c r="Q34" s="12"/>
      <c r="R34" s="13" t="str">
        <f aca="false">IF($C34="","",MAX(0,$P34-N($Q34)))</f>
        <v/>
      </c>
      <c r="S34" s="23" t="str">
        <f aca="false">IF(OR($C34="",$P34=0),"",IF(N($Q34)&lt;=0,"Chưa thanh toán",IF(N($Q34)&lt;$P34,"Thanh toán một phần","Đã thanh toán")))</f>
        <v/>
      </c>
      <c r="T34" s="13" t="str">
        <f aca="false">IF(OR($C34="",$J34=""),"",N($I34)*$J34)</f>
        <v/>
      </c>
      <c r="U34" s="13" t="str">
        <f aca="false">IF(OR($C34="",$T34=""),"",$L34-$T34)</f>
        <v/>
      </c>
      <c r="V34" s="14" t="str">
        <f aca="false">IF(OR($U34="",$L34=0),"",$U34/$L34)</f>
        <v/>
      </c>
      <c r="W34" s="11"/>
      <c r="X34" s="23" t="str">
        <f aca="false">IF($C34="","",IF(AND($H34="",N($I34)=0,N($K34)=0),"Dòng chỉ lưu thông tin khách (chưa có đơn); ",IF($B34="","Thiếu ngày đặt; ","")&amp;IF($H34="","Thiếu tên sản phẩm; ",IF($J34="","Chưa khai GIÁ GỐC ở BẢNG GIÁ GỐC; ",""))&amp;IF(N($I34)&lt;=0,"Thiếu số lượng; ","")&amp;IF(N($K34)&lt;=0,"Thiếu giá bán; ","")&amp;IF(AND($N34&gt;0,$F34=""),"Khách lấy VAT thiếu mã số thuế; ","")&amp;IF(N($Q34)&gt;$P34,"Đã thu vượt tổng phải thu; ","")&amp;IF(AND($L34&gt;0,$U34&lt;&gt;"",$U34&lt;0),"CẢNH BÁO: ĐƠN NÀY ĐANG LỖ; ","")))</f>
        <v/>
      </c>
    </row>
    <row r="35" customFormat="false" ht="15" hidden="false" customHeight="false" outlineLevel="0" collapsed="false">
      <c r="A35" s="21" t="str">
        <f aca="false">IF($C35="","",COUNTA($C$10:$C35))</f>
        <v/>
      </c>
      <c r="B35" s="18"/>
      <c r="C35" s="11"/>
      <c r="D35" s="11"/>
      <c r="E35" s="11"/>
      <c r="F35" s="11"/>
      <c r="G35" s="11"/>
      <c r="H35" s="11"/>
      <c r="I35" s="12"/>
      <c r="J35" s="13" t="str">
        <f aca="false">IF($H35="","",IFERROR(VLOOKUP($H35,'BẢNG GIÁ GỐC'!$A$5:$D$254,3,FALSE()),""))</f>
        <v/>
      </c>
      <c r="K35" s="12"/>
      <c r="L35" s="13" t="str">
        <f aca="false">IF($C35="","",N($I35)*N($K35))</f>
        <v/>
      </c>
      <c r="M35" s="11"/>
      <c r="N35" s="14" t="str">
        <f aca="false">IF($C35="","",IF($M35="VAT 5%",0.05,IF($M35="VAT 8%",0.08,IF($M35="VAT 10%",0.1,0))))</f>
        <v/>
      </c>
      <c r="O35" s="13" t="str">
        <f aca="false">IF($C35="","",$L35*$N35)</f>
        <v/>
      </c>
      <c r="P35" s="13" t="str">
        <f aca="false">IF($C35="","",$L35+$O35)</f>
        <v/>
      </c>
      <c r="Q35" s="12"/>
      <c r="R35" s="13" t="str">
        <f aca="false">IF($C35="","",MAX(0,$P35-N($Q35)))</f>
        <v/>
      </c>
      <c r="S35" s="23" t="str">
        <f aca="false">IF(OR($C35="",$P35=0),"",IF(N($Q35)&lt;=0,"Chưa thanh toán",IF(N($Q35)&lt;$P35,"Thanh toán một phần","Đã thanh toán")))</f>
        <v/>
      </c>
      <c r="T35" s="13" t="str">
        <f aca="false">IF(OR($C35="",$J35=""),"",N($I35)*$J35)</f>
        <v/>
      </c>
      <c r="U35" s="13" t="str">
        <f aca="false">IF(OR($C35="",$T35=""),"",$L35-$T35)</f>
        <v/>
      </c>
      <c r="V35" s="14" t="str">
        <f aca="false">IF(OR($U35="",$L35=0),"",$U35/$L35)</f>
        <v/>
      </c>
      <c r="W35" s="11"/>
      <c r="X35" s="23" t="str">
        <f aca="false">IF($C35="","",IF(AND($H35="",N($I35)=0,N($K35)=0),"Dòng chỉ lưu thông tin khách (chưa có đơn); ",IF($B35="","Thiếu ngày đặt; ","")&amp;IF($H35="","Thiếu tên sản phẩm; ",IF($J35="","Chưa khai GIÁ GỐC ở BẢNG GIÁ GỐC; ",""))&amp;IF(N($I35)&lt;=0,"Thiếu số lượng; ","")&amp;IF(N($K35)&lt;=0,"Thiếu giá bán; ","")&amp;IF(AND($N35&gt;0,$F35=""),"Khách lấy VAT thiếu mã số thuế; ","")&amp;IF(N($Q35)&gt;$P35,"Đã thu vượt tổng phải thu; ","")&amp;IF(AND($L35&gt;0,$U35&lt;&gt;"",$U35&lt;0),"CẢNH BÁO: ĐƠN NÀY ĐANG LỖ; ","")))</f>
        <v/>
      </c>
    </row>
    <row r="36" customFormat="false" ht="15" hidden="false" customHeight="false" outlineLevel="0" collapsed="false">
      <c r="A36" s="21" t="str">
        <f aca="false">IF($C36="","",COUNTA($C$10:$C36))</f>
        <v/>
      </c>
      <c r="B36" s="18"/>
      <c r="C36" s="11"/>
      <c r="D36" s="11"/>
      <c r="E36" s="11"/>
      <c r="F36" s="11"/>
      <c r="G36" s="11"/>
      <c r="H36" s="11"/>
      <c r="I36" s="12"/>
      <c r="J36" s="13" t="str">
        <f aca="false">IF($H36="","",IFERROR(VLOOKUP($H36,'BẢNG GIÁ GỐC'!$A$5:$D$254,3,FALSE()),""))</f>
        <v/>
      </c>
      <c r="K36" s="12"/>
      <c r="L36" s="13" t="str">
        <f aca="false">IF($C36="","",N($I36)*N($K36))</f>
        <v/>
      </c>
      <c r="M36" s="11"/>
      <c r="N36" s="14" t="str">
        <f aca="false">IF($C36="","",IF($M36="VAT 5%",0.05,IF($M36="VAT 8%",0.08,IF($M36="VAT 10%",0.1,0))))</f>
        <v/>
      </c>
      <c r="O36" s="13" t="str">
        <f aca="false">IF($C36="","",$L36*$N36)</f>
        <v/>
      </c>
      <c r="P36" s="13" t="str">
        <f aca="false">IF($C36="","",$L36+$O36)</f>
        <v/>
      </c>
      <c r="Q36" s="12"/>
      <c r="R36" s="13" t="str">
        <f aca="false">IF($C36="","",MAX(0,$P36-N($Q36)))</f>
        <v/>
      </c>
      <c r="S36" s="23" t="str">
        <f aca="false">IF(OR($C36="",$P36=0),"",IF(N($Q36)&lt;=0,"Chưa thanh toán",IF(N($Q36)&lt;$P36,"Thanh toán một phần","Đã thanh toán")))</f>
        <v/>
      </c>
      <c r="T36" s="13" t="str">
        <f aca="false">IF(OR($C36="",$J36=""),"",N($I36)*$J36)</f>
        <v/>
      </c>
      <c r="U36" s="13" t="str">
        <f aca="false">IF(OR($C36="",$T36=""),"",$L36-$T36)</f>
        <v/>
      </c>
      <c r="V36" s="14" t="str">
        <f aca="false">IF(OR($U36="",$L36=0),"",$U36/$L36)</f>
        <v/>
      </c>
      <c r="W36" s="11"/>
      <c r="X36" s="23" t="str">
        <f aca="false">IF($C36="","",IF(AND($H36="",N($I36)=0,N($K36)=0),"Dòng chỉ lưu thông tin khách (chưa có đơn); ",IF($B36="","Thiếu ngày đặt; ","")&amp;IF($H36="","Thiếu tên sản phẩm; ",IF($J36="","Chưa khai GIÁ GỐC ở BẢNG GIÁ GỐC; ",""))&amp;IF(N($I36)&lt;=0,"Thiếu số lượng; ","")&amp;IF(N($K36)&lt;=0,"Thiếu giá bán; ","")&amp;IF(AND($N36&gt;0,$F36=""),"Khách lấy VAT thiếu mã số thuế; ","")&amp;IF(N($Q36)&gt;$P36,"Đã thu vượt tổng phải thu; ","")&amp;IF(AND($L36&gt;0,$U36&lt;&gt;"",$U36&lt;0),"CẢNH BÁO: ĐƠN NÀY ĐANG LỖ; ","")))</f>
        <v/>
      </c>
    </row>
    <row r="37" customFormat="false" ht="15" hidden="false" customHeight="false" outlineLevel="0" collapsed="false">
      <c r="A37" s="21" t="str">
        <f aca="false">IF($C37="","",COUNTA($C$10:$C37))</f>
        <v/>
      </c>
      <c r="B37" s="18"/>
      <c r="C37" s="11"/>
      <c r="D37" s="11"/>
      <c r="E37" s="11"/>
      <c r="F37" s="11"/>
      <c r="G37" s="11"/>
      <c r="H37" s="11"/>
      <c r="I37" s="12"/>
      <c r="J37" s="13" t="str">
        <f aca="false">IF($H37="","",IFERROR(VLOOKUP($H37,'BẢNG GIÁ GỐC'!$A$5:$D$254,3,FALSE()),""))</f>
        <v/>
      </c>
      <c r="K37" s="12"/>
      <c r="L37" s="13" t="str">
        <f aca="false">IF($C37="","",N($I37)*N($K37))</f>
        <v/>
      </c>
      <c r="M37" s="11"/>
      <c r="N37" s="14" t="str">
        <f aca="false">IF($C37="","",IF($M37="VAT 5%",0.05,IF($M37="VAT 8%",0.08,IF($M37="VAT 10%",0.1,0))))</f>
        <v/>
      </c>
      <c r="O37" s="13" t="str">
        <f aca="false">IF($C37="","",$L37*$N37)</f>
        <v/>
      </c>
      <c r="P37" s="13" t="str">
        <f aca="false">IF($C37="","",$L37+$O37)</f>
        <v/>
      </c>
      <c r="Q37" s="12"/>
      <c r="R37" s="13" t="str">
        <f aca="false">IF($C37="","",MAX(0,$P37-N($Q37)))</f>
        <v/>
      </c>
      <c r="S37" s="23" t="str">
        <f aca="false">IF(OR($C37="",$P37=0),"",IF(N($Q37)&lt;=0,"Chưa thanh toán",IF(N($Q37)&lt;$P37,"Thanh toán một phần","Đã thanh toán")))</f>
        <v/>
      </c>
      <c r="T37" s="13" t="str">
        <f aca="false">IF(OR($C37="",$J37=""),"",N($I37)*$J37)</f>
        <v/>
      </c>
      <c r="U37" s="13" t="str">
        <f aca="false">IF(OR($C37="",$T37=""),"",$L37-$T37)</f>
        <v/>
      </c>
      <c r="V37" s="14" t="str">
        <f aca="false">IF(OR($U37="",$L37=0),"",$U37/$L37)</f>
        <v/>
      </c>
      <c r="W37" s="11"/>
      <c r="X37" s="23" t="str">
        <f aca="false">IF($C37="","",IF(AND($H37="",N($I37)=0,N($K37)=0),"Dòng chỉ lưu thông tin khách (chưa có đơn); ",IF($B37="","Thiếu ngày đặt; ","")&amp;IF($H37="","Thiếu tên sản phẩm; ",IF($J37="","Chưa khai GIÁ GỐC ở BẢNG GIÁ GỐC; ",""))&amp;IF(N($I37)&lt;=0,"Thiếu số lượng; ","")&amp;IF(N($K37)&lt;=0,"Thiếu giá bán; ","")&amp;IF(AND($N37&gt;0,$F37=""),"Khách lấy VAT thiếu mã số thuế; ","")&amp;IF(N($Q37)&gt;$P37,"Đã thu vượt tổng phải thu; ","")&amp;IF(AND($L37&gt;0,$U37&lt;&gt;"",$U37&lt;0),"CẢNH BÁO: ĐƠN NÀY ĐANG LỖ; ","")))</f>
        <v/>
      </c>
    </row>
    <row r="38" customFormat="false" ht="15" hidden="false" customHeight="false" outlineLevel="0" collapsed="false">
      <c r="A38" s="21" t="str">
        <f aca="false">IF($C38="","",COUNTA($C$10:$C38))</f>
        <v/>
      </c>
      <c r="B38" s="18"/>
      <c r="C38" s="11"/>
      <c r="D38" s="11"/>
      <c r="E38" s="11"/>
      <c r="F38" s="11"/>
      <c r="G38" s="11"/>
      <c r="H38" s="11"/>
      <c r="I38" s="12"/>
      <c r="J38" s="13" t="str">
        <f aca="false">IF($H38="","",IFERROR(VLOOKUP($H38,'BẢNG GIÁ GỐC'!$A$5:$D$254,3,FALSE()),""))</f>
        <v/>
      </c>
      <c r="K38" s="12"/>
      <c r="L38" s="13" t="str">
        <f aca="false">IF($C38="","",N($I38)*N($K38))</f>
        <v/>
      </c>
      <c r="M38" s="11"/>
      <c r="N38" s="14" t="str">
        <f aca="false">IF($C38="","",IF($M38="VAT 5%",0.05,IF($M38="VAT 8%",0.08,IF($M38="VAT 10%",0.1,0))))</f>
        <v/>
      </c>
      <c r="O38" s="13" t="str">
        <f aca="false">IF($C38="","",$L38*$N38)</f>
        <v/>
      </c>
      <c r="P38" s="13" t="str">
        <f aca="false">IF($C38="","",$L38+$O38)</f>
        <v/>
      </c>
      <c r="Q38" s="12"/>
      <c r="R38" s="13" t="str">
        <f aca="false">IF($C38="","",MAX(0,$P38-N($Q38)))</f>
        <v/>
      </c>
      <c r="S38" s="23" t="str">
        <f aca="false">IF(OR($C38="",$P38=0),"",IF(N($Q38)&lt;=0,"Chưa thanh toán",IF(N($Q38)&lt;$P38,"Thanh toán một phần","Đã thanh toán")))</f>
        <v/>
      </c>
      <c r="T38" s="13" t="str">
        <f aca="false">IF(OR($C38="",$J38=""),"",N($I38)*$J38)</f>
        <v/>
      </c>
      <c r="U38" s="13" t="str">
        <f aca="false">IF(OR($C38="",$T38=""),"",$L38-$T38)</f>
        <v/>
      </c>
      <c r="V38" s="14" t="str">
        <f aca="false">IF(OR($U38="",$L38=0),"",$U38/$L38)</f>
        <v/>
      </c>
      <c r="W38" s="11"/>
      <c r="X38" s="23" t="str">
        <f aca="false">IF($C38="","",IF(AND($H38="",N($I38)=0,N($K38)=0),"Dòng chỉ lưu thông tin khách (chưa có đơn); ",IF($B38="","Thiếu ngày đặt; ","")&amp;IF($H38="","Thiếu tên sản phẩm; ",IF($J38="","Chưa khai GIÁ GỐC ở BẢNG GIÁ GỐC; ",""))&amp;IF(N($I38)&lt;=0,"Thiếu số lượng; ","")&amp;IF(N($K38)&lt;=0,"Thiếu giá bán; ","")&amp;IF(AND($N38&gt;0,$F38=""),"Khách lấy VAT thiếu mã số thuế; ","")&amp;IF(N($Q38)&gt;$P38,"Đã thu vượt tổng phải thu; ","")&amp;IF(AND($L38&gt;0,$U38&lt;&gt;"",$U38&lt;0),"CẢNH BÁO: ĐƠN NÀY ĐANG LỖ; ","")))</f>
        <v/>
      </c>
    </row>
    <row r="39" customFormat="false" ht="15" hidden="false" customHeight="false" outlineLevel="0" collapsed="false">
      <c r="A39" s="21" t="str">
        <f aca="false">IF($C39="","",COUNTA($C$10:$C39))</f>
        <v/>
      </c>
      <c r="B39" s="18"/>
      <c r="C39" s="11"/>
      <c r="D39" s="11"/>
      <c r="E39" s="11"/>
      <c r="F39" s="11"/>
      <c r="G39" s="11"/>
      <c r="H39" s="11"/>
      <c r="I39" s="12"/>
      <c r="J39" s="13" t="str">
        <f aca="false">IF($H39="","",IFERROR(VLOOKUP($H39,'BẢNG GIÁ GỐC'!$A$5:$D$254,3,FALSE()),""))</f>
        <v/>
      </c>
      <c r="K39" s="12"/>
      <c r="L39" s="13" t="str">
        <f aca="false">IF($C39="","",N($I39)*N($K39))</f>
        <v/>
      </c>
      <c r="M39" s="11"/>
      <c r="N39" s="14" t="str">
        <f aca="false">IF($C39="","",IF($M39="VAT 5%",0.05,IF($M39="VAT 8%",0.08,IF($M39="VAT 10%",0.1,0))))</f>
        <v/>
      </c>
      <c r="O39" s="13" t="str">
        <f aca="false">IF($C39="","",$L39*$N39)</f>
        <v/>
      </c>
      <c r="P39" s="13" t="str">
        <f aca="false">IF($C39="","",$L39+$O39)</f>
        <v/>
      </c>
      <c r="Q39" s="12"/>
      <c r="R39" s="13" t="str">
        <f aca="false">IF($C39="","",MAX(0,$P39-N($Q39)))</f>
        <v/>
      </c>
      <c r="S39" s="23" t="str">
        <f aca="false">IF(OR($C39="",$P39=0),"",IF(N($Q39)&lt;=0,"Chưa thanh toán",IF(N($Q39)&lt;$P39,"Thanh toán một phần","Đã thanh toán")))</f>
        <v/>
      </c>
      <c r="T39" s="13" t="str">
        <f aca="false">IF(OR($C39="",$J39=""),"",N($I39)*$J39)</f>
        <v/>
      </c>
      <c r="U39" s="13" t="str">
        <f aca="false">IF(OR($C39="",$T39=""),"",$L39-$T39)</f>
        <v/>
      </c>
      <c r="V39" s="14" t="str">
        <f aca="false">IF(OR($U39="",$L39=0),"",$U39/$L39)</f>
        <v/>
      </c>
      <c r="W39" s="11"/>
      <c r="X39" s="23" t="str">
        <f aca="false">IF($C39="","",IF(AND($H39="",N($I39)=0,N($K39)=0),"Dòng chỉ lưu thông tin khách (chưa có đơn); ",IF($B39="","Thiếu ngày đặt; ","")&amp;IF($H39="","Thiếu tên sản phẩm; ",IF($J39="","Chưa khai GIÁ GỐC ở BẢNG GIÁ GỐC; ",""))&amp;IF(N($I39)&lt;=0,"Thiếu số lượng; ","")&amp;IF(N($K39)&lt;=0,"Thiếu giá bán; ","")&amp;IF(AND($N39&gt;0,$F39=""),"Khách lấy VAT thiếu mã số thuế; ","")&amp;IF(N($Q39)&gt;$P39,"Đã thu vượt tổng phải thu; ","")&amp;IF(AND($L39&gt;0,$U39&lt;&gt;"",$U39&lt;0),"CẢNH BÁO: ĐƠN NÀY ĐANG LỖ; ","")))</f>
        <v/>
      </c>
    </row>
    <row r="40" customFormat="false" ht="15" hidden="false" customHeight="false" outlineLevel="0" collapsed="false">
      <c r="A40" s="21" t="str">
        <f aca="false">IF($C40="","",COUNTA($C$10:$C40))</f>
        <v/>
      </c>
      <c r="B40" s="18"/>
      <c r="C40" s="11"/>
      <c r="D40" s="11"/>
      <c r="E40" s="11"/>
      <c r="F40" s="11"/>
      <c r="G40" s="11"/>
      <c r="H40" s="11"/>
      <c r="I40" s="12"/>
      <c r="J40" s="13" t="str">
        <f aca="false">IF($H40="","",IFERROR(VLOOKUP($H40,'BẢNG GIÁ GỐC'!$A$5:$D$254,3,FALSE()),""))</f>
        <v/>
      </c>
      <c r="K40" s="12"/>
      <c r="L40" s="13" t="str">
        <f aca="false">IF($C40="","",N($I40)*N($K40))</f>
        <v/>
      </c>
      <c r="M40" s="11"/>
      <c r="N40" s="14" t="str">
        <f aca="false">IF($C40="","",IF($M40="VAT 5%",0.05,IF($M40="VAT 8%",0.08,IF($M40="VAT 10%",0.1,0))))</f>
        <v/>
      </c>
      <c r="O40" s="13" t="str">
        <f aca="false">IF($C40="","",$L40*$N40)</f>
        <v/>
      </c>
      <c r="P40" s="13" t="str">
        <f aca="false">IF($C40="","",$L40+$O40)</f>
        <v/>
      </c>
      <c r="Q40" s="12"/>
      <c r="R40" s="13" t="str">
        <f aca="false">IF($C40="","",MAX(0,$P40-N($Q40)))</f>
        <v/>
      </c>
      <c r="S40" s="23" t="str">
        <f aca="false">IF(OR($C40="",$P40=0),"",IF(N($Q40)&lt;=0,"Chưa thanh toán",IF(N($Q40)&lt;$P40,"Thanh toán một phần","Đã thanh toán")))</f>
        <v/>
      </c>
      <c r="T40" s="13" t="str">
        <f aca="false">IF(OR($C40="",$J40=""),"",N($I40)*$J40)</f>
        <v/>
      </c>
      <c r="U40" s="13" t="str">
        <f aca="false">IF(OR($C40="",$T40=""),"",$L40-$T40)</f>
        <v/>
      </c>
      <c r="V40" s="14" t="str">
        <f aca="false">IF(OR($U40="",$L40=0),"",$U40/$L40)</f>
        <v/>
      </c>
      <c r="W40" s="11"/>
      <c r="X40" s="23" t="str">
        <f aca="false">IF($C40="","",IF(AND($H40="",N($I40)=0,N($K40)=0),"Dòng chỉ lưu thông tin khách (chưa có đơn); ",IF($B40="","Thiếu ngày đặt; ","")&amp;IF($H40="","Thiếu tên sản phẩm; ",IF($J40="","Chưa khai GIÁ GỐC ở BẢNG GIÁ GỐC; ",""))&amp;IF(N($I40)&lt;=0,"Thiếu số lượng; ","")&amp;IF(N($K40)&lt;=0,"Thiếu giá bán; ","")&amp;IF(AND($N40&gt;0,$F40=""),"Khách lấy VAT thiếu mã số thuế; ","")&amp;IF(N($Q40)&gt;$P40,"Đã thu vượt tổng phải thu; ","")&amp;IF(AND($L40&gt;0,$U40&lt;&gt;"",$U40&lt;0),"CẢNH BÁO: ĐƠN NÀY ĐANG LỖ; ","")))</f>
        <v/>
      </c>
    </row>
    <row r="41" customFormat="false" ht="15" hidden="false" customHeight="false" outlineLevel="0" collapsed="false">
      <c r="A41" s="21" t="str">
        <f aca="false">IF($C41="","",COUNTA($C$10:$C41))</f>
        <v/>
      </c>
      <c r="B41" s="18"/>
      <c r="C41" s="11"/>
      <c r="D41" s="11"/>
      <c r="E41" s="11"/>
      <c r="F41" s="11"/>
      <c r="G41" s="11"/>
      <c r="H41" s="11"/>
      <c r="I41" s="12"/>
      <c r="J41" s="13" t="str">
        <f aca="false">IF($H41="","",IFERROR(VLOOKUP($H41,'BẢNG GIÁ GỐC'!$A$5:$D$254,3,FALSE()),""))</f>
        <v/>
      </c>
      <c r="K41" s="12"/>
      <c r="L41" s="13" t="str">
        <f aca="false">IF($C41="","",N($I41)*N($K41))</f>
        <v/>
      </c>
      <c r="M41" s="11"/>
      <c r="N41" s="14" t="str">
        <f aca="false">IF($C41="","",IF($M41="VAT 5%",0.05,IF($M41="VAT 8%",0.08,IF($M41="VAT 10%",0.1,0))))</f>
        <v/>
      </c>
      <c r="O41" s="13" t="str">
        <f aca="false">IF($C41="","",$L41*$N41)</f>
        <v/>
      </c>
      <c r="P41" s="13" t="str">
        <f aca="false">IF($C41="","",$L41+$O41)</f>
        <v/>
      </c>
      <c r="Q41" s="12"/>
      <c r="R41" s="13" t="str">
        <f aca="false">IF($C41="","",MAX(0,$P41-N($Q41)))</f>
        <v/>
      </c>
      <c r="S41" s="23" t="str">
        <f aca="false">IF(OR($C41="",$P41=0),"",IF(N($Q41)&lt;=0,"Chưa thanh toán",IF(N($Q41)&lt;$P41,"Thanh toán một phần","Đã thanh toán")))</f>
        <v/>
      </c>
      <c r="T41" s="13" t="str">
        <f aca="false">IF(OR($C41="",$J41=""),"",N($I41)*$J41)</f>
        <v/>
      </c>
      <c r="U41" s="13" t="str">
        <f aca="false">IF(OR($C41="",$T41=""),"",$L41-$T41)</f>
        <v/>
      </c>
      <c r="V41" s="14" t="str">
        <f aca="false">IF(OR($U41="",$L41=0),"",$U41/$L41)</f>
        <v/>
      </c>
      <c r="W41" s="11"/>
      <c r="X41" s="23" t="str">
        <f aca="false">IF($C41="","",IF(AND($H41="",N($I41)=0,N($K41)=0),"Dòng chỉ lưu thông tin khách (chưa có đơn); ",IF($B41="","Thiếu ngày đặt; ","")&amp;IF($H41="","Thiếu tên sản phẩm; ",IF($J41="","Chưa khai GIÁ GỐC ở BẢNG GIÁ GỐC; ",""))&amp;IF(N($I41)&lt;=0,"Thiếu số lượng; ","")&amp;IF(N($K41)&lt;=0,"Thiếu giá bán; ","")&amp;IF(AND($N41&gt;0,$F41=""),"Khách lấy VAT thiếu mã số thuế; ","")&amp;IF(N($Q41)&gt;$P41,"Đã thu vượt tổng phải thu; ","")&amp;IF(AND($L41&gt;0,$U41&lt;&gt;"",$U41&lt;0),"CẢNH BÁO: ĐƠN NÀY ĐANG LỖ; ","")))</f>
        <v/>
      </c>
    </row>
    <row r="42" customFormat="false" ht="15" hidden="false" customHeight="false" outlineLevel="0" collapsed="false">
      <c r="A42" s="21" t="str">
        <f aca="false">IF($C42="","",COUNTA($C$10:$C42))</f>
        <v/>
      </c>
      <c r="B42" s="18"/>
      <c r="C42" s="11"/>
      <c r="D42" s="11"/>
      <c r="E42" s="11"/>
      <c r="F42" s="11"/>
      <c r="G42" s="11"/>
      <c r="H42" s="11"/>
      <c r="I42" s="12"/>
      <c r="J42" s="13" t="str">
        <f aca="false">IF($H42="","",IFERROR(VLOOKUP($H42,'BẢNG GIÁ GỐC'!$A$5:$D$254,3,FALSE()),""))</f>
        <v/>
      </c>
      <c r="K42" s="12"/>
      <c r="L42" s="13" t="str">
        <f aca="false">IF($C42="","",N($I42)*N($K42))</f>
        <v/>
      </c>
      <c r="M42" s="11"/>
      <c r="N42" s="14" t="str">
        <f aca="false">IF($C42="","",IF($M42="VAT 5%",0.05,IF($M42="VAT 8%",0.08,IF($M42="VAT 10%",0.1,0))))</f>
        <v/>
      </c>
      <c r="O42" s="13" t="str">
        <f aca="false">IF($C42="","",$L42*$N42)</f>
        <v/>
      </c>
      <c r="P42" s="13" t="str">
        <f aca="false">IF($C42="","",$L42+$O42)</f>
        <v/>
      </c>
      <c r="Q42" s="12"/>
      <c r="R42" s="13" t="str">
        <f aca="false">IF($C42="","",MAX(0,$P42-N($Q42)))</f>
        <v/>
      </c>
      <c r="S42" s="23" t="str">
        <f aca="false">IF(OR($C42="",$P42=0),"",IF(N($Q42)&lt;=0,"Chưa thanh toán",IF(N($Q42)&lt;$P42,"Thanh toán một phần","Đã thanh toán")))</f>
        <v/>
      </c>
      <c r="T42" s="13" t="str">
        <f aca="false">IF(OR($C42="",$J42=""),"",N($I42)*$J42)</f>
        <v/>
      </c>
      <c r="U42" s="13" t="str">
        <f aca="false">IF(OR($C42="",$T42=""),"",$L42-$T42)</f>
        <v/>
      </c>
      <c r="V42" s="14" t="str">
        <f aca="false">IF(OR($U42="",$L42=0),"",$U42/$L42)</f>
        <v/>
      </c>
      <c r="W42" s="11"/>
      <c r="X42" s="23" t="str">
        <f aca="false">IF($C42="","",IF(AND($H42="",N($I42)=0,N($K42)=0),"Dòng chỉ lưu thông tin khách (chưa có đơn); ",IF($B42="","Thiếu ngày đặt; ","")&amp;IF($H42="","Thiếu tên sản phẩm; ",IF($J42="","Chưa khai GIÁ GỐC ở BẢNG GIÁ GỐC; ",""))&amp;IF(N($I42)&lt;=0,"Thiếu số lượng; ","")&amp;IF(N($K42)&lt;=0,"Thiếu giá bán; ","")&amp;IF(AND($N42&gt;0,$F42=""),"Khách lấy VAT thiếu mã số thuế; ","")&amp;IF(N($Q42)&gt;$P42,"Đã thu vượt tổng phải thu; ","")&amp;IF(AND($L42&gt;0,$U42&lt;&gt;"",$U42&lt;0),"CẢNH BÁO: ĐƠN NÀY ĐANG LỖ; ","")))</f>
        <v/>
      </c>
    </row>
    <row r="43" customFormat="false" ht="15" hidden="false" customHeight="false" outlineLevel="0" collapsed="false">
      <c r="A43" s="21" t="str">
        <f aca="false">IF($C43="","",COUNTA($C$10:$C43))</f>
        <v/>
      </c>
      <c r="B43" s="18"/>
      <c r="C43" s="11"/>
      <c r="D43" s="11"/>
      <c r="E43" s="11"/>
      <c r="F43" s="11"/>
      <c r="G43" s="11"/>
      <c r="H43" s="11"/>
      <c r="I43" s="12"/>
      <c r="J43" s="13" t="str">
        <f aca="false">IF($H43="","",IFERROR(VLOOKUP($H43,'BẢNG GIÁ GỐC'!$A$5:$D$254,3,FALSE()),""))</f>
        <v/>
      </c>
      <c r="K43" s="12"/>
      <c r="L43" s="13" t="str">
        <f aca="false">IF($C43="","",N($I43)*N($K43))</f>
        <v/>
      </c>
      <c r="M43" s="11"/>
      <c r="N43" s="14" t="str">
        <f aca="false">IF($C43="","",IF($M43="VAT 5%",0.05,IF($M43="VAT 8%",0.08,IF($M43="VAT 10%",0.1,0))))</f>
        <v/>
      </c>
      <c r="O43" s="13" t="str">
        <f aca="false">IF($C43="","",$L43*$N43)</f>
        <v/>
      </c>
      <c r="P43" s="13" t="str">
        <f aca="false">IF($C43="","",$L43+$O43)</f>
        <v/>
      </c>
      <c r="Q43" s="12"/>
      <c r="R43" s="13" t="str">
        <f aca="false">IF($C43="","",MAX(0,$P43-N($Q43)))</f>
        <v/>
      </c>
      <c r="S43" s="23" t="str">
        <f aca="false">IF(OR($C43="",$P43=0),"",IF(N($Q43)&lt;=0,"Chưa thanh toán",IF(N($Q43)&lt;$P43,"Thanh toán một phần","Đã thanh toán")))</f>
        <v/>
      </c>
      <c r="T43" s="13" t="str">
        <f aca="false">IF(OR($C43="",$J43=""),"",N($I43)*$J43)</f>
        <v/>
      </c>
      <c r="U43" s="13" t="str">
        <f aca="false">IF(OR($C43="",$T43=""),"",$L43-$T43)</f>
        <v/>
      </c>
      <c r="V43" s="14" t="str">
        <f aca="false">IF(OR($U43="",$L43=0),"",$U43/$L43)</f>
        <v/>
      </c>
      <c r="W43" s="11"/>
      <c r="X43" s="23" t="str">
        <f aca="false">IF($C43="","",IF(AND($H43="",N($I43)=0,N($K43)=0),"Dòng chỉ lưu thông tin khách (chưa có đơn); ",IF($B43="","Thiếu ngày đặt; ","")&amp;IF($H43="","Thiếu tên sản phẩm; ",IF($J43="","Chưa khai GIÁ GỐC ở BẢNG GIÁ GỐC; ",""))&amp;IF(N($I43)&lt;=0,"Thiếu số lượng; ","")&amp;IF(N($K43)&lt;=0,"Thiếu giá bán; ","")&amp;IF(AND($N43&gt;0,$F43=""),"Khách lấy VAT thiếu mã số thuế; ","")&amp;IF(N($Q43)&gt;$P43,"Đã thu vượt tổng phải thu; ","")&amp;IF(AND($L43&gt;0,$U43&lt;&gt;"",$U43&lt;0),"CẢNH BÁO: ĐƠN NÀY ĐANG LỖ; ","")))</f>
        <v/>
      </c>
    </row>
    <row r="44" customFormat="false" ht="15" hidden="false" customHeight="false" outlineLevel="0" collapsed="false">
      <c r="A44" s="21" t="str">
        <f aca="false">IF($C44="","",COUNTA($C$10:$C44))</f>
        <v/>
      </c>
      <c r="B44" s="18"/>
      <c r="C44" s="11"/>
      <c r="D44" s="11"/>
      <c r="E44" s="11"/>
      <c r="F44" s="11"/>
      <c r="G44" s="11"/>
      <c r="H44" s="11"/>
      <c r="I44" s="12"/>
      <c r="J44" s="13" t="str">
        <f aca="false">IF($H44="","",IFERROR(VLOOKUP($H44,'BẢNG GIÁ GỐC'!$A$5:$D$254,3,FALSE()),""))</f>
        <v/>
      </c>
      <c r="K44" s="12"/>
      <c r="L44" s="13" t="str">
        <f aca="false">IF($C44="","",N($I44)*N($K44))</f>
        <v/>
      </c>
      <c r="M44" s="11"/>
      <c r="N44" s="14" t="str">
        <f aca="false">IF($C44="","",IF($M44="VAT 5%",0.05,IF($M44="VAT 8%",0.08,IF($M44="VAT 10%",0.1,0))))</f>
        <v/>
      </c>
      <c r="O44" s="13" t="str">
        <f aca="false">IF($C44="","",$L44*$N44)</f>
        <v/>
      </c>
      <c r="P44" s="13" t="str">
        <f aca="false">IF($C44="","",$L44+$O44)</f>
        <v/>
      </c>
      <c r="Q44" s="12"/>
      <c r="R44" s="13" t="str">
        <f aca="false">IF($C44="","",MAX(0,$P44-N($Q44)))</f>
        <v/>
      </c>
      <c r="S44" s="23" t="str">
        <f aca="false">IF(OR($C44="",$P44=0),"",IF(N($Q44)&lt;=0,"Chưa thanh toán",IF(N($Q44)&lt;$P44,"Thanh toán một phần","Đã thanh toán")))</f>
        <v/>
      </c>
      <c r="T44" s="13" t="str">
        <f aca="false">IF(OR($C44="",$J44=""),"",N($I44)*$J44)</f>
        <v/>
      </c>
      <c r="U44" s="13" t="str">
        <f aca="false">IF(OR($C44="",$T44=""),"",$L44-$T44)</f>
        <v/>
      </c>
      <c r="V44" s="14" t="str">
        <f aca="false">IF(OR($U44="",$L44=0),"",$U44/$L44)</f>
        <v/>
      </c>
      <c r="W44" s="11"/>
      <c r="X44" s="23" t="str">
        <f aca="false">IF($C44="","",IF(AND($H44="",N($I44)=0,N($K44)=0),"Dòng chỉ lưu thông tin khách (chưa có đơn); ",IF($B44="","Thiếu ngày đặt; ","")&amp;IF($H44="","Thiếu tên sản phẩm; ",IF($J44="","Chưa khai GIÁ GỐC ở BẢNG GIÁ GỐC; ",""))&amp;IF(N($I44)&lt;=0,"Thiếu số lượng; ","")&amp;IF(N($K44)&lt;=0,"Thiếu giá bán; ","")&amp;IF(AND($N44&gt;0,$F44=""),"Khách lấy VAT thiếu mã số thuế; ","")&amp;IF(N($Q44)&gt;$P44,"Đã thu vượt tổng phải thu; ","")&amp;IF(AND($L44&gt;0,$U44&lt;&gt;"",$U44&lt;0),"CẢNH BÁO: ĐƠN NÀY ĐANG LỖ; ","")))</f>
        <v/>
      </c>
    </row>
    <row r="45" customFormat="false" ht="15" hidden="false" customHeight="false" outlineLevel="0" collapsed="false">
      <c r="A45" s="21" t="str">
        <f aca="false">IF($C45="","",COUNTA($C$10:$C45))</f>
        <v/>
      </c>
      <c r="B45" s="18"/>
      <c r="C45" s="11"/>
      <c r="D45" s="11"/>
      <c r="E45" s="11"/>
      <c r="F45" s="11"/>
      <c r="G45" s="11"/>
      <c r="H45" s="11"/>
      <c r="I45" s="12"/>
      <c r="J45" s="13" t="str">
        <f aca="false">IF($H45="","",IFERROR(VLOOKUP($H45,'BẢNG GIÁ GỐC'!$A$5:$D$254,3,FALSE()),""))</f>
        <v/>
      </c>
      <c r="K45" s="12"/>
      <c r="L45" s="13" t="str">
        <f aca="false">IF($C45="","",N($I45)*N($K45))</f>
        <v/>
      </c>
      <c r="M45" s="11"/>
      <c r="N45" s="14" t="str">
        <f aca="false">IF($C45="","",IF($M45="VAT 5%",0.05,IF($M45="VAT 8%",0.08,IF($M45="VAT 10%",0.1,0))))</f>
        <v/>
      </c>
      <c r="O45" s="13" t="str">
        <f aca="false">IF($C45="","",$L45*$N45)</f>
        <v/>
      </c>
      <c r="P45" s="13" t="str">
        <f aca="false">IF($C45="","",$L45+$O45)</f>
        <v/>
      </c>
      <c r="Q45" s="12"/>
      <c r="R45" s="13" t="str">
        <f aca="false">IF($C45="","",MAX(0,$P45-N($Q45)))</f>
        <v/>
      </c>
      <c r="S45" s="23" t="str">
        <f aca="false">IF(OR($C45="",$P45=0),"",IF(N($Q45)&lt;=0,"Chưa thanh toán",IF(N($Q45)&lt;$P45,"Thanh toán một phần","Đã thanh toán")))</f>
        <v/>
      </c>
      <c r="T45" s="13" t="str">
        <f aca="false">IF(OR($C45="",$J45=""),"",N($I45)*$J45)</f>
        <v/>
      </c>
      <c r="U45" s="13" t="str">
        <f aca="false">IF(OR($C45="",$T45=""),"",$L45-$T45)</f>
        <v/>
      </c>
      <c r="V45" s="14" t="str">
        <f aca="false">IF(OR($U45="",$L45=0),"",$U45/$L45)</f>
        <v/>
      </c>
      <c r="W45" s="11"/>
      <c r="X45" s="23" t="str">
        <f aca="false">IF($C45="","",IF(AND($H45="",N($I45)=0,N($K45)=0),"Dòng chỉ lưu thông tin khách (chưa có đơn); ",IF($B45="","Thiếu ngày đặt; ","")&amp;IF($H45="","Thiếu tên sản phẩm; ",IF($J45="","Chưa khai GIÁ GỐC ở BẢNG GIÁ GỐC; ",""))&amp;IF(N($I45)&lt;=0,"Thiếu số lượng; ","")&amp;IF(N($K45)&lt;=0,"Thiếu giá bán; ","")&amp;IF(AND($N45&gt;0,$F45=""),"Khách lấy VAT thiếu mã số thuế; ","")&amp;IF(N($Q45)&gt;$P45,"Đã thu vượt tổng phải thu; ","")&amp;IF(AND($L45&gt;0,$U45&lt;&gt;"",$U45&lt;0),"CẢNH BÁO: ĐƠN NÀY ĐANG LỖ; ","")))</f>
        <v/>
      </c>
    </row>
    <row r="46" customFormat="false" ht="15" hidden="false" customHeight="false" outlineLevel="0" collapsed="false">
      <c r="A46" s="21" t="str">
        <f aca="false">IF($C46="","",COUNTA($C$10:$C46))</f>
        <v/>
      </c>
      <c r="B46" s="18"/>
      <c r="C46" s="11"/>
      <c r="D46" s="11"/>
      <c r="E46" s="11"/>
      <c r="F46" s="11"/>
      <c r="G46" s="11"/>
      <c r="H46" s="11"/>
      <c r="I46" s="12"/>
      <c r="J46" s="13" t="str">
        <f aca="false">IF($H46="","",IFERROR(VLOOKUP($H46,'BẢNG GIÁ GỐC'!$A$5:$D$254,3,FALSE()),""))</f>
        <v/>
      </c>
      <c r="K46" s="12"/>
      <c r="L46" s="13" t="str">
        <f aca="false">IF($C46="","",N($I46)*N($K46))</f>
        <v/>
      </c>
      <c r="M46" s="11"/>
      <c r="N46" s="14" t="str">
        <f aca="false">IF($C46="","",IF($M46="VAT 5%",0.05,IF($M46="VAT 8%",0.08,IF($M46="VAT 10%",0.1,0))))</f>
        <v/>
      </c>
      <c r="O46" s="13" t="str">
        <f aca="false">IF($C46="","",$L46*$N46)</f>
        <v/>
      </c>
      <c r="P46" s="13" t="str">
        <f aca="false">IF($C46="","",$L46+$O46)</f>
        <v/>
      </c>
      <c r="Q46" s="12"/>
      <c r="R46" s="13" t="str">
        <f aca="false">IF($C46="","",MAX(0,$P46-N($Q46)))</f>
        <v/>
      </c>
      <c r="S46" s="23" t="str">
        <f aca="false">IF(OR($C46="",$P46=0),"",IF(N($Q46)&lt;=0,"Chưa thanh toán",IF(N($Q46)&lt;$P46,"Thanh toán một phần","Đã thanh toán")))</f>
        <v/>
      </c>
      <c r="T46" s="13" t="str">
        <f aca="false">IF(OR($C46="",$J46=""),"",N($I46)*$J46)</f>
        <v/>
      </c>
      <c r="U46" s="13" t="str">
        <f aca="false">IF(OR($C46="",$T46=""),"",$L46-$T46)</f>
        <v/>
      </c>
      <c r="V46" s="14" t="str">
        <f aca="false">IF(OR($U46="",$L46=0),"",$U46/$L46)</f>
        <v/>
      </c>
      <c r="W46" s="11"/>
      <c r="X46" s="23" t="str">
        <f aca="false">IF($C46="","",IF(AND($H46="",N($I46)=0,N($K46)=0),"Dòng chỉ lưu thông tin khách (chưa có đơn); ",IF($B46="","Thiếu ngày đặt; ","")&amp;IF($H46="","Thiếu tên sản phẩm; ",IF($J46="","Chưa khai GIÁ GỐC ở BẢNG GIÁ GỐC; ",""))&amp;IF(N($I46)&lt;=0,"Thiếu số lượng; ","")&amp;IF(N($K46)&lt;=0,"Thiếu giá bán; ","")&amp;IF(AND($N46&gt;0,$F46=""),"Khách lấy VAT thiếu mã số thuế; ","")&amp;IF(N($Q46)&gt;$P46,"Đã thu vượt tổng phải thu; ","")&amp;IF(AND($L46&gt;0,$U46&lt;&gt;"",$U46&lt;0),"CẢNH BÁO: ĐƠN NÀY ĐANG LỖ; ","")))</f>
        <v/>
      </c>
    </row>
    <row r="47" customFormat="false" ht="15" hidden="false" customHeight="false" outlineLevel="0" collapsed="false">
      <c r="A47" s="21" t="str">
        <f aca="false">IF($C47="","",COUNTA($C$10:$C47))</f>
        <v/>
      </c>
      <c r="B47" s="18"/>
      <c r="C47" s="11"/>
      <c r="D47" s="11"/>
      <c r="E47" s="11"/>
      <c r="F47" s="11"/>
      <c r="G47" s="11"/>
      <c r="H47" s="11"/>
      <c r="I47" s="12"/>
      <c r="J47" s="13" t="str">
        <f aca="false">IF($H47="","",IFERROR(VLOOKUP($H47,'BẢNG GIÁ GỐC'!$A$5:$D$254,3,FALSE()),""))</f>
        <v/>
      </c>
      <c r="K47" s="12"/>
      <c r="L47" s="13" t="str">
        <f aca="false">IF($C47="","",N($I47)*N($K47))</f>
        <v/>
      </c>
      <c r="M47" s="11"/>
      <c r="N47" s="14" t="str">
        <f aca="false">IF($C47="","",IF($M47="VAT 5%",0.05,IF($M47="VAT 8%",0.08,IF($M47="VAT 10%",0.1,0))))</f>
        <v/>
      </c>
      <c r="O47" s="13" t="str">
        <f aca="false">IF($C47="","",$L47*$N47)</f>
        <v/>
      </c>
      <c r="P47" s="13" t="str">
        <f aca="false">IF($C47="","",$L47+$O47)</f>
        <v/>
      </c>
      <c r="Q47" s="12"/>
      <c r="R47" s="13" t="str">
        <f aca="false">IF($C47="","",MAX(0,$P47-N($Q47)))</f>
        <v/>
      </c>
      <c r="S47" s="23" t="str">
        <f aca="false">IF(OR($C47="",$P47=0),"",IF(N($Q47)&lt;=0,"Chưa thanh toán",IF(N($Q47)&lt;$P47,"Thanh toán một phần","Đã thanh toán")))</f>
        <v/>
      </c>
      <c r="T47" s="13" t="str">
        <f aca="false">IF(OR($C47="",$J47=""),"",N($I47)*$J47)</f>
        <v/>
      </c>
      <c r="U47" s="13" t="str">
        <f aca="false">IF(OR($C47="",$T47=""),"",$L47-$T47)</f>
        <v/>
      </c>
      <c r="V47" s="14" t="str">
        <f aca="false">IF(OR($U47="",$L47=0),"",$U47/$L47)</f>
        <v/>
      </c>
      <c r="W47" s="11"/>
      <c r="X47" s="23" t="str">
        <f aca="false">IF($C47="","",IF(AND($H47="",N($I47)=0,N($K47)=0),"Dòng chỉ lưu thông tin khách (chưa có đơn); ",IF($B47="","Thiếu ngày đặt; ","")&amp;IF($H47="","Thiếu tên sản phẩm; ",IF($J47="","Chưa khai GIÁ GỐC ở BẢNG GIÁ GỐC; ",""))&amp;IF(N($I47)&lt;=0,"Thiếu số lượng; ","")&amp;IF(N($K47)&lt;=0,"Thiếu giá bán; ","")&amp;IF(AND($N47&gt;0,$F47=""),"Khách lấy VAT thiếu mã số thuế; ","")&amp;IF(N($Q47)&gt;$P47,"Đã thu vượt tổng phải thu; ","")&amp;IF(AND($L47&gt;0,$U47&lt;&gt;"",$U47&lt;0),"CẢNH BÁO: ĐƠN NÀY ĐANG LỖ; ","")))</f>
        <v/>
      </c>
    </row>
    <row r="48" customFormat="false" ht="15" hidden="false" customHeight="false" outlineLevel="0" collapsed="false">
      <c r="A48" s="21" t="str">
        <f aca="false">IF($C48="","",COUNTA($C$10:$C48))</f>
        <v/>
      </c>
      <c r="B48" s="18"/>
      <c r="C48" s="11"/>
      <c r="D48" s="11"/>
      <c r="E48" s="11"/>
      <c r="F48" s="11"/>
      <c r="G48" s="11"/>
      <c r="H48" s="11"/>
      <c r="I48" s="12"/>
      <c r="J48" s="13" t="str">
        <f aca="false">IF($H48="","",IFERROR(VLOOKUP($H48,'BẢNG GIÁ GỐC'!$A$5:$D$254,3,FALSE()),""))</f>
        <v/>
      </c>
      <c r="K48" s="12"/>
      <c r="L48" s="13" t="str">
        <f aca="false">IF($C48="","",N($I48)*N($K48))</f>
        <v/>
      </c>
      <c r="M48" s="11"/>
      <c r="N48" s="14" t="str">
        <f aca="false">IF($C48="","",IF($M48="VAT 5%",0.05,IF($M48="VAT 8%",0.08,IF($M48="VAT 10%",0.1,0))))</f>
        <v/>
      </c>
      <c r="O48" s="13" t="str">
        <f aca="false">IF($C48="","",$L48*$N48)</f>
        <v/>
      </c>
      <c r="P48" s="13" t="str">
        <f aca="false">IF($C48="","",$L48+$O48)</f>
        <v/>
      </c>
      <c r="Q48" s="12"/>
      <c r="R48" s="13" t="str">
        <f aca="false">IF($C48="","",MAX(0,$P48-N($Q48)))</f>
        <v/>
      </c>
      <c r="S48" s="23" t="str">
        <f aca="false">IF(OR($C48="",$P48=0),"",IF(N($Q48)&lt;=0,"Chưa thanh toán",IF(N($Q48)&lt;$P48,"Thanh toán một phần","Đã thanh toán")))</f>
        <v/>
      </c>
      <c r="T48" s="13" t="str">
        <f aca="false">IF(OR($C48="",$J48=""),"",N($I48)*$J48)</f>
        <v/>
      </c>
      <c r="U48" s="13" t="str">
        <f aca="false">IF(OR($C48="",$T48=""),"",$L48-$T48)</f>
        <v/>
      </c>
      <c r="V48" s="14" t="str">
        <f aca="false">IF(OR($U48="",$L48=0),"",$U48/$L48)</f>
        <v/>
      </c>
      <c r="W48" s="11"/>
      <c r="X48" s="23" t="str">
        <f aca="false">IF($C48="","",IF(AND($H48="",N($I48)=0,N($K48)=0),"Dòng chỉ lưu thông tin khách (chưa có đơn); ",IF($B48="","Thiếu ngày đặt; ","")&amp;IF($H48="","Thiếu tên sản phẩm; ",IF($J48="","Chưa khai GIÁ GỐC ở BẢNG GIÁ GỐC; ",""))&amp;IF(N($I48)&lt;=0,"Thiếu số lượng; ","")&amp;IF(N($K48)&lt;=0,"Thiếu giá bán; ","")&amp;IF(AND($N48&gt;0,$F48=""),"Khách lấy VAT thiếu mã số thuế; ","")&amp;IF(N($Q48)&gt;$P48,"Đã thu vượt tổng phải thu; ","")&amp;IF(AND($L48&gt;0,$U48&lt;&gt;"",$U48&lt;0),"CẢNH BÁO: ĐƠN NÀY ĐANG LỖ; ","")))</f>
        <v/>
      </c>
    </row>
    <row r="49" customFormat="false" ht="15" hidden="false" customHeight="false" outlineLevel="0" collapsed="false">
      <c r="A49" s="21" t="str">
        <f aca="false">IF($C49="","",COUNTA($C$10:$C49))</f>
        <v/>
      </c>
      <c r="B49" s="18"/>
      <c r="C49" s="11"/>
      <c r="D49" s="11"/>
      <c r="E49" s="11"/>
      <c r="F49" s="11"/>
      <c r="G49" s="11"/>
      <c r="H49" s="11"/>
      <c r="I49" s="12"/>
      <c r="J49" s="13" t="str">
        <f aca="false">IF($H49="","",IFERROR(VLOOKUP($H49,'BẢNG GIÁ GỐC'!$A$5:$D$254,3,FALSE()),""))</f>
        <v/>
      </c>
      <c r="K49" s="12"/>
      <c r="L49" s="13" t="str">
        <f aca="false">IF($C49="","",N($I49)*N($K49))</f>
        <v/>
      </c>
      <c r="M49" s="11"/>
      <c r="N49" s="14" t="str">
        <f aca="false">IF($C49="","",IF($M49="VAT 5%",0.05,IF($M49="VAT 8%",0.08,IF($M49="VAT 10%",0.1,0))))</f>
        <v/>
      </c>
      <c r="O49" s="13" t="str">
        <f aca="false">IF($C49="","",$L49*$N49)</f>
        <v/>
      </c>
      <c r="P49" s="13" t="str">
        <f aca="false">IF($C49="","",$L49+$O49)</f>
        <v/>
      </c>
      <c r="Q49" s="12"/>
      <c r="R49" s="13" t="str">
        <f aca="false">IF($C49="","",MAX(0,$P49-N($Q49)))</f>
        <v/>
      </c>
      <c r="S49" s="23" t="str">
        <f aca="false">IF(OR($C49="",$P49=0),"",IF(N($Q49)&lt;=0,"Chưa thanh toán",IF(N($Q49)&lt;$P49,"Thanh toán một phần","Đã thanh toán")))</f>
        <v/>
      </c>
      <c r="T49" s="13" t="str">
        <f aca="false">IF(OR($C49="",$J49=""),"",N($I49)*$J49)</f>
        <v/>
      </c>
      <c r="U49" s="13" t="str">
        <f aca="false">IF(OR($C49="",$T49=""),"",$L49-$T49)</f>
        <v/>
      </c>
      <c r="V49" s="14" t="str">
        <f aca="false">IF(OR($U49="",$L49=0),"",$U49/$L49)</f>
        <v/>
      </c>
      <c r="W49" s="11"/>
      <c r="X49" s="23" t="str">
        <f aca="false">IF($C49="","",IF(AND($H49="",N($I49)=0,N($K49)=0),"Dòng chỉ lưu thông tin khách (chưa có đơn); ",IF($B49="","Thiếu ngày đặt; ","")&amp;IF($H49="","Thiếu tên sản phẩm; ",IF($J49="","Chưa khai GIÁ GỐC ở BẢNG GIÁ GỐC; ",""))&amp;IF(N($I49)&lt;=0,"Thiếu số lượng; ","")&amp;IF(N($K49)&lt;=0,"Thiếu giá bán; ","")&amp;IF(AND($N49&gt;0,$F49=""),"Khách lấy VAT thiếu mã số thuế; ","")&amp;IF(N($Q49)&gt;$P49,"Đã thu vượt tổng phải thu; ","")&amp;IF(AND($L49&gt;0,$U49&lt;&gt;"",$U49&lt;0),"CẢNH BÁO: ĐƠN NÀY ĐANG LỖ; ","")))</f>
        <v/>
      </c>
    </row>
    <row r="50" customFormat="false" ht="15" hidden="false" customHeight="false" outlineLevel="0" collapsed="false">
      <c r="A50" s="21" t="str">
        <f aca="false">IF($C50="","",COUNTA($C$10:$C50))</f>
        <v/>
      </c>
      <c r="B50" s="18"/>
      <c r="C50" s="11"/>
      <c r="D50" s="11"/>
      <c r="E50" s="11"/>
      <c r="F50" s="11"/>
      <c r="G50" s="11"/>
      <c r="H50" s="11"/>
      <c r="I50" s="12"/>
      <c r="J50" s="13" t="str">
        <f aca="false">IF($H50="","",IFERROR(VLOOKUP($H50,'BẢNG GIÁ GỐC'!$A$5:$D$254,3,FALSE()),""))</f>
        <v/>
      </c>
      <c r="K50" s="12"/>
      <c r="L50" s="13" t="str">
        <f aca="false">IF($C50="","",N($I50)*N($K50))</f>
        <v/>
      </c>
      <c r="M50" s="11"/>
      <c r="N50" s="14" t="str">
        <f aca="false">IF($C50="","",IF($M50="VAT 5%",0.05,IF($M50="VAT 8%",0.08,IF($M50="VAT 10%",0.1,0))))</f>
        <v/>
      </c>
      <c r="O50" s="13" t="str">
        <f aca="false">IF($C50="","",$L50*$N50)</f>
        <v/>
      </c>
      <c r="P50" s="13" t="str">
        <f aca="false">IF($C50="","",$L50+$O50)</f>
        <v/>
      </c>
      <c r="Q50" s="12"/>
      <c r="R50" s="13" t="str">
        <f aca="false">IF($C50="","",MAX(0,$P50-N($Q50)))</f>
        <v/>
      </c>
      <c r="S50" s="23" t="str">
        <f aca="false">IF(OR($C50="",$P50=0),"",IF(N($Q50)&lt;=0,"Chưa thanh toán",IF(N($Q50)&lt;$P50,"Thanh toán một phần","Đã thanh toán")))</f>
        <v/>
      </c>
      <c r="T50" s="13" t="str">
        <f aca="false">IF(OR($C50="",$J50=""),"",N($I50)*$J50)</f>
        <v/>
      </c>
      <c r="U50" s="13" t="str">
        <f aca="false">IF(OR($C50="",$T50=""),"",$L50-$T50)</f>
        <v/>
      </c>
      <c r="V50" s="14" t="str">
        <f aca="false">IF(OR($U50="",$L50=0),"",$U50/$L50)</f>
        <v/>
      </c>
      <c r="W50" s="11"/>
      <c r="X50" s="23" t="str">
        <f aca="false">IF($C50="","",IF(AND($H50="",N($I50)=0,N($K50)=0),"Dòng chỉ lưu thông tin khách (chưa có đơn); ",IF($B50="","Thiếu ngày đặt; ","")&amp;IF($H50="","Thiếu tên sản phẩm; ",IF($J50="","Chưa khai GIÁ GỐC ở BẢNG GIÁ GỐC; ",""))&amp;IF(N($I50)&lt;=0,"Thiếu số lượng; ","")&amp;IF(N($K50)&lt;=0,"Thiếu giá bán; ","")&amp;IF(AND($N50&gt;0,$F50=""),"Khách lấy VAT thiếu mã số thuế; ","")&amp;IF(N($Q50)&gt;$P50,"Đã thu vượt tổng phải thu; ","")&amp;IF(AND($L50&gt;0,$U50&lt;&gt;"",$U50&lt;0),"CẢNH BÁO: ĐƠN NÀY ĐANG LỖ; ","")))</f>
        <v/>
      </c>
    </row>
    <row r="51" customFormat="false" ht="15" hidden="false" customHeight="false" outlineLevel="0" collapsed="false">
      <c r="A51" s="21" t="str">
        <f aca="false">IF($C51="","",COUNTA($C$10:$C51))</f>
        <v/>
      </c>
      <c r="B51" s="18"/>
      <c r="C51" s="11"/>
      <c r="D51" s="11"/>
      <c r="E51" s="11"/>
      <c r="F51" s="11"/>
      <c r="G51" s="11"/>
      <c r="H51" s="11"/>
      <c r="I51" s="12"/>
      <c r="J51" s="13" t="str">
        <f aca="false">IF($H51="","",IFERROR(VLOOKUP($H51,'BẢNG GIÁ GỐC'!$A$5:$D$254,3,FALSE()),""))</f>
        <v/>
      </c>
      <c r="K51" s="12"/>
      <c r="L51" s="13" t="str">
        <f aca="false">IF($C51="","",N($I51)*N($K51))</f>
        <v/>
      </c>
      <c r="M51" s="11"/>
      <c r="N51" s="14" t="str">
        <f aca="false">IF($C51="","",IF($M51="VAT 5%",0.05,IF($M51="VAT 8%",0.08,IF($M51="VAT 10%",0.1,0))))</f>
        <v/>
      </c>
      <c r="O51" s="13" t="str">
        <f aca="false">IF($C51="","",$L51*$N51)</f>
        <v/>
      </c>
      <c r="P51" s="13" t="str">
        <f aca="false">IF($C51="","",$L51+$O51)</f>
        <v/>
      </c>
      <c r="Q51" s="12"/>
      <c r="R51" s="13" t="str">
        <f aca="false">IF($C51="","",MAX(0,$P51-N($Q51)))</f>
        <v/>
      </c>
      <c r="S51" s="23" t="str">
        <f aca="false">IF(OR($C51="",$P51=0),"",IF(N($Q51)&lt;=0,"Chưa thanh toán",IF(N($Q51)&lt;$P51,"Thanh toán một phần","Đã thanh toán")))</f>
        <v/>
      </c>
      <c r="T51" s="13" t="str">
        <f aca="false">IF(OR($C51="",$J51=""),"",N($I51)*$J51)</f>
        <v/>
      </c>
      <c r="U51" s="13" t="str">
        <f aca="false">IF(OR($C51="",$T51=""),"",$L51-$T51)</f>
        <v/>
      </c>
      <c r="V51" s="14" t="str">
        <f aca="false">IF(OR($U51="",$L51=0),"",$U51/$L51)</f>
        <v/>
      </c>
      <c r="W51" s="11"/>
      <c r="X51" s="23" t="str">
        <f aca="false">IF($C51="","",IF(AND($H51="",N($I51)=0,N($K51)=0),"Dòng chỉ lưu thông tin khách (chưa có đơn); ",IF($B51="","Thiếu ngày đặt; ","")&amp;IF($H51="","Thiếu tên sản phẩm; ",IF($J51="","Chưa khai GIÁ GỐC ở BẢNG GIÁ GỐC; ",""))&amp;IF(N($I51)&lt;=0,"Thiếu số lượng; ","")&amp;IF(N($K51)&lt;=0,"Thiếu giá bán; ","")&amp;IF(AND($N51&gt;0,$F51=""),"Khách lấy VAT thiếu mã số thuế; ","")&amp;IF(N($Q51)&gt;$P51,"Đã thu vượt tổng phải thu; ","")&amp;IF(AND($L51&gt;0,$U51&lt;&gt;"",$U51&lt;0),"CẢNH BÁO: ĐƠN NÀY ĐANG LỖ; ","")))</f>
        <v/>
      </c>
    </row>
    <row r="52" customFormat="false" ht="15" hidden="false" customHeight="false" outlineLevel="0" collapsed="false">
      <c r="A52" s="21" t="str">
        <f aca="false">IF($C52="","",COUNTA($C$10:$C52))</f>
        <v/>
      </c>
      <c r="B52" s="18"/>
      <c r="C52" s="11"/>
      <c r="D52" s="11"/>
      <c r="E52" s="11"/>
      <c r="F52" s="11"/>
      <c r="G52" s="11"/>
      <c r="H52" s="11"/>
      <c r="I52" s="12"/>
      <c r="J52" s="13" t="str">
        <f aca="false">IF($H52="","",IFERROR(VLOOKUP($H52,'BẢNG GIÁ GỐC'!$A$5:$D$254,3,FALSE()),""))</f>
        <v/>
      </c>
      <c r="K52" s="12"/>
      <c r="L52" s="13" t="str">
        <f aca="false">IF($C52="","",N($I52)*N($K52))</f>
        <v/>
      </c>
      <c r="M52" s="11"/>
      <c r="N52" s="14" t="str">
        <f aca="false">IF($C52="","",IF($M52="VAT 5%",0.05,IF($M52="VAT 8%",0.08,IF($M52="VAT 10%",0.1,0))))</f>
        <v/>
      </c>
      <c r="O52" s="13" t="str">
        <f aca="false">IF($C52="","",$L52*$N52)</f>
        <v/>
      </c>
      <c r="P52" s="13" t="str">
        <f aca="false">IF($C52="","",$L52+$O52)</f>
        <v/>
      </c>
      <c r="Q52" s="12"/>
      <c r="R52" s="13" t="str">
        <f aca="false">IF($C52="","",MAX(0,$P52-N($Q52)))</f>
        <v/>
      </c>
      <c r="S52" s="23" t="str">
        <f aca="false">IF(OR($C52="",$P52=0),"",IF(N($Q52)&lt;=0,"Chưa thanh toán",IF(N($Q52)&lt;$P52,"Thanh toán một phần","Đã thanh toán")))</f>
        <v/>
      </c>
      <c r="T52" s="13" t="str">
        <f aca="false">IF(OR($C52="",$J52=""),"",N($I52)*$J52)</f>
        <v/>
      </c>
      <c r="U52" s="13" t="str">
        <f aca="false">IF(OR($C52="",$T52=""),"",$L52-$T52)</f>
        <v/>
      </c>
      <c r="V52" s="14" t="str">
        <f aca="false">IF(OR($U52="",$L52=0),"",$U52/$L52)</f>
        <v/>
      </c>
      <c r="W52" s="11"/>
      <c r="X52" s="23" t="str">
        <f aca="false">IF($C52="","",IF(AND($H52="",N($I52)=0,N($K52)=0),"Dòng chỉ lưu thông tin khách (chưa có đơn); ",IF($B52="","Thiếu ngày đặt; ","")&amp;IF($H52="","Thiếu tên sản phẩm; ",IF($J52="","Chưa khai GIÁ GỐC ở BẢNG GIÁ GỐC; ",""))&amp;IF(N($I52)&lt;=0,"Thiếu số lượng; ","")&amp;IF(N($K52)&lt;=0,"Thiếu giá bán; ","")&amp;IF(AND($N52&gt;0,$F52=""),"Khách lấy VAT thiếu mã số thuế; ","")&amp;IF(N($Q52)&gt;$P52,"Đã thu vượt tổng phải thu; ","")&amp;IF(AND($L52&gt;0,$U52&lt;&gt;"",$U52&lt;0),"CẢNH BÁO: ĐƠN NÀY ĐANG LỖ; ","")))</f>
        <v/>
      </c>
    </row>
    <row r="53" customFormat="false" ht="15" hidden="false" customHeight="false" outlineLevel="0" collapsed="false">
      <c r="A53" s="21" t="str">
        <f aca="false">IF($C53="","",COUNTA($C$10:$C53))</f>
        <v/>
      </c>
      <c r="B53" s="18"/>
      <c r="C53" s="11"/>
      <c r="D53" s="11"/>
      <c r="E53" s="11"/>
      <c r="F53" s="11"/>
      <c r="G53" s="11"/>
      <c r="H53" s="11"/>
      <c r="I53" s="12"/>
      <c r="J53" s="13" t="str">
        <f aca="false">IF($H53="","",IFERROR(VLOOKUP($H53,'BẢNG GIÁ GỐC'!$A$5:$D$254,3,FALSE()),""))</f>
        <v/>
      </c>
      <c r="K53" s="12"/>
      <c r="L53" s="13" t="str">
        <f aca="false">IF($C53="","",N($I53)*N($K53))</f>
        <v/>
      </c>
      <c r="M53" s="11"/>
      <c r="N53" s="14" t="str">
        <f aca="false">IF($C53="","",IF($M53="VAT 5%",0.05,IF($M53="VAT 8%",0.08,IF($M53="VAT 10%",0.1,0))))</f>
        <v/>
      </c>
      <c r="O53" s="13" t="str">
        <f aca="false">IF($C53="","",$L53*$N53)</f>
        <v/>
      </c>
      <c r="P53" s="13" t="str">
        <f aca="false">IF($C53="","",$L53+$O53)</f>
        <v/>
      </c>
      <c r="Q53" s="12"/>
      <c r="R53" s="13" t="str">
        <f aca="false">IF($C53="","",MAX(0,$P53-N($Q53)))</f>
        <v/>
      </c>
      <c r="S53" s="23" t="str">
        <f aca="false">IF(OR($C53="",$P53=0),"",IF(N($Q53)&lt;=0,"Chưa thanh toán",IF(N($Q53)&lt;$P53,"Thanh toán một phần","Đã thanh toán")))</f>
        <v/>
      </c>
      <c r="T53" s="13" t="str">
        <f aca="false">IF(OR($C53="",$J53=""),"",N($I53)*$J53)</f>
        <v/>
      </c>
      <c r="U53" s="13" t="str">
        <f aca="false">IF(OR($C53="",$T53=""),"",$L53-$T53)</f>
        <v/>
      </c>
      <c r="V53" s="14" t="str">
        <f aca="false">IF(OR($U53="",$L53=0),"",$U53/$L53)</f>
        <v/>
      </c>
      <c r="W53" s="11"/>
      <c r="X53" s="23" t="str">
        <f aca="false">IF($C53="","",IF(AND($H53="",N($I53)=0,N($K53)=0),"Dòng chỉ lưu thông tin khách (chưa có đơn); ",IF($B53="","Thiếu ngày đặt; ","")&amp;IF($H53="","Thiếu tên sản phẩm; ",IF($J53="","Chưa khai GIÁ GỐC ở BẢNG GIÁ GỐC; ",""))&amp;IF(N($I53)&lt;=0,"Thiếu số lượng; ","")&amp;IF(N($K53)&lt;=0,"Thiếu giá bán; ","")&amp;IF(AND($N53&gt;0,$F53=""),"Khách lấy VAT thiếu mã số thuế; ","")&amp;IF(N($Q53)&gt;$P53,"Đã thu vượt tổng phải thu; ","")&amp;IF(AND($L53&gt;0,$U53&lt;&gt;"",$U53&lt;0),"CẢNH BÁO: ĐƠN NÀY ĐANG LỖ; ","")))</f>
        <v/>
      </c>
    </row>
    <row r="54" customFormat="false" ht="15" hidden="false" customHeight="false" outlineLevel="0" collapsed="false">
      <c r="A54" s="21" t="str">
        <f aca="false">IF($C54="","",COUNTA($C$10:$C54))</f>
        <v/>
      </c>
      <c r="B54" s="18"/>
      <c r="C54" s="11"/>
      <c r="D54" s="11"/>
      <c r="E54" s="11"/>
      <c r="F54" s="11"/>
      <c r="G54" s="11"/>
      <c r="H54" s="11"/>
      <c r="I54" s="12"/>
      <c r="J54" s="13" t="str">
        <f aca="false">IF($H54="","",IFERROR(VLOOKUP($H54,'BẢNG GIÁ GỐC'!$A$5:$D$254,3,FALSE()),""))</f>
        <v/>
      </c>
      <c r="K54" s="12"/>
      <c r="L54" s="13" t="str">
        <f aca="false">IF($C54="","",N($I54)*N($K54))</f>
        <v/>
      </c>
      <c r="M54" s="11"/>
      <c r="N54" s="14" t="str">
        <f aca="false">IF($C54="","",IF($M54="VAT 5%",0.05,IF($M54="VAT 8%",0.08,IF($M54="VAT 10%",0.1,0))))</f>
        <v/>
      </c>
      <c r="O54" s="13" t="str">
        <f aca="false">IF($C54="","",$L54*$N54)</f>
        <v/>
      </c>
      <c r="P54" s="13" t="str">
        <f aca="false">IF($C54="","",$L54+$O54)</f>
        <v/>
      </c>
      <c r="Q54" s="12"/>
      <c r="R54" s="13" t="str">
        <f aca="false">IF($C54="","",MAX(0,$P54-N($Q54)))</f>
        <v/>
      </c>
      <c r="S54" s="23" t="str">
        <f aca="false">IF(OR($C54="",$P54=0),"",IF(N($Q54)&lt;=0,"Chưa thanh toán",IF(N($Q54)&lt;$P54,"Thanh toán một phần","Đã thanh toán")))</f>
        <v/>
      </c>
      <c r="T54" s="13" t="str">
        <f aca="false">IF(OR($C54="",$J54=""),"",N($I54)*$J54)</f>
        <v/>
      </c>
      <c r="U54" s="13" t="str">
        <f aca="false">IF(OR($C54="",$T54=""),"",$L54-$T54)</f>
        <v/>
      </c>
      <c r="V54" s="14" t="str">
        <f aca="false">IF(OR($U54="",$L54=0),"",$U54/$L54)</f>
        <v/>
      </c>
      <c r="W54" s="11"/>
      <c r="X54" s="23" t="str">
        <f aca="false">IF($C54="","",IF(AND($H54="",N($I54)=0,N($K54)=0),"Dòng chỉ lưu thông tin khách (chưa có đơn); ",IF($B54="","Thiếu ngày đặt; ","")&amp;IF($H54="","Thiếu tên sản phẩm; ",IF($J54="","Chưa khai GIÁ GỐC ở BẢNG GIÁ GỐC; ",""))&amp;IF(N($I54)&lt;=0,"Thiếu số lượng; ","")&amp;IF(N($K54)&lt;=0,"Thiếu giá bán; ","")&amp;IF(AND($N54&gt;0,$F54=""),"Khách lấy VAT thiếu mã số thuế; ","")&amp;IF(N($Q54)&gt;$P54,"Đã thu vượt tổng phải thu; ","")&amp;IF(AND($L54&gt;0,$U54&lt;&gt;"",$U54&lt;0),"CẢNH BÁO: ĐƠN NÀY ĐANG LỖ; ","")))</f>
        <v/>
      </c>
    </row>
    <row r="55" customFormat="false" ht="15" hidden="false" customHeight="false" outlineLevel="0" collapsed="false">
      <c r="A55" s="21" t="str">
        <f aca="false">IF($C55="","",COUNTA($C$10:$C55))</f>
        <v/>
      </c>
      <c r="B55" s="18"/>
      <c r="C55" s="11"/>
      <c r="D55" s="11"/>
      <c r="E55" s="11"/>
      <c r="F55" s="11"/>
      <c r="G55" s="11"/>
      <c r="H55" s="11"/>
      <c r="I55" s="12"/>
      <c r="J55" s="13" t="str">
        <f aca="false">IF($H55="","",IFERROR(VLOOKUP($H55,'BẢNG GIÁ GỐC'!$A$5:$D$254,3,FALSE()),""))</f>
        <v/>
      </c>
      <c r="K55" s="12"/>
      <c r="L55" s="13" t="str">
        <f aca="false">IF($C55="","",N($I55)*N($K55))</f>
        <v/>
      </c>
      <c r="M55" s="11"/>
      <c r="N55" s="14" t="str">
        <f aca="false">IF($C55="","",IF($M55="VAT 5%",0.05,IF($M55="VAT 8%",0.08,IF($M55="VAT 10%",0.1,0))))</f>
        <v/>
      </c>
      <c r="O55" s="13" t="str">
        <f aca="false">IF($C55="","",$L55*$N55)</f>
        <v/>
      </c>
      <c r="P55" s="13" t="str">
        <f aca="false">IF($C55="","",$L55+$O55)</f>
        <v/>
      </c>
      <c r="Q55" s="12"/>
      <c r="R55" s="13" t="str">
        <f aca="false">IF($C55="","",MAX(0,$P55-N($Q55)))</f>
        <v/>
      </c>
      <c r="S55" s="23" t="str">
        <f aca="false">IF(OR($C55="",$P55=0),"",IF(N($Q55)&lt;=0,"Chưa thanh toán",IF(N($Q55)&lt;$P55,"Thanh toán một phần","Đã thanh toán")))</f>
        <v/>
      </c>
      <c r="T55" s="13" t="str">
        <f aca="false">IF(OR($C55="",$J55=""),"",N($I55)*$J55)</f>
        <v/>
      </c>
      <c r="U55" s="13" t="str">
        <f aca="false">IF(OR($C55="",$T55=""),"",$L55-$T55)</f>
        <v/>
      </c>
      <c r="V55" s="14" t="str">
        <f aca="false">IF(OR($U55="",$L55=0),"",$U55/$L55)</f>
        <v/>
      </c>
      <c r="W55" s="11"/>
      <c r="X55" s="23" t="str">
        <f aca="false">IF($C55="","",IF(AND($H55="",N($I55)=0,N($K55)=0),"Dòng chỉ lưu thông tin khách (chưa có đơn); ",IF($B55="","Thiếu ngày đặt; ","")&amp;IF($H55="","Thiếu tên sản phẩm; ",IF($J55="","Chưa khai GIÁ GỐC ở BẢNG GIÁ GỐC; ",""))&amp;IF(N($I55)&lt;=0,"Thiếu số lượng; ","")&amp;IF(N($K55)&lt;=0,"Thiếu giá bán; ","")&amp;IF(AND($N55&gt;0,$F55=""),"Khách lấy VAT thiếu mã số thuế; ","")&amp;IF(N($Q55)&gt;$P55,"Đã thu vượt tổng phải thu; ","")&amp;IF(AND($L55&gt;0,$U55&lt;&gt;"",$U55&lt;0),"CẢNH BÁO: ĐƠN NÀY ĐANG LỖ; ","")))</f>
        <v/>
      </c>
    </row>
    <row r="56" customFormat="false" ht="15" hidden="false" customHeight="false" outlineLevel="0" collapsed="false">
      <c r="A56" s="21" t="str">
        <f aca="false">IF($C56="","",COUNTA($C$10:$C56))</f>
        <v/>
      </c>
      <c r="B56" s="18"/>
      <c r="C56" s="11"/>
      <c r="D56" s="11"/>
      <c r="E56" s="11"/>
      <c r="F56" s="11"/>
      <c r="G56" s="11"/>
      <c r="H56" s="11"/>
      <c r="I56" s="12"/>
      <c r="J56" s="13" t="str">
        <f aca="false">IF($H56="","",IFERROR(VLOOKUP($H56,'BẢNG GIÁ GỐC'!$A$5:$D$254,3,FALSE()),""))</f>
        <v/>
      </c>
      <c r="K56" s="12"/>
      <c r="L56" s="13" t="str">
        <f aca="false">IF($C56="","",N($I56)*N($K56))</f>
        <v/>
      </c>
      <c r="M56" s="11"/>
      <c r="N56" s="14" t="str">
        <f aca="false">IF($C56="","",IF($M56="VAT 5%",0.05,IF($M56="VAT 8%",0.08,IF($M56="VAT 10%",0.1,0))))</f>
        <v/>
      </c>
      <c r="O56" s="13" t="str">
        <f aca="false">IF($C56="","",$L56*$N56)</f>
        <v/>
      </c>
      <c r="P56" s="13" t="str">
        <f aca="false">IF($C56="","",$L56+$O56)</f>
        <v/>
      </c>
      <c r="Q56" s="12"/>
      <c r="R56" s="13" t="str">
        <f aca="false">IF($C56="","",MAX(0,$P56-N($Q56)))</f>
        <v/>
      </c>
      <c r="S56" s="23" t="str">
        <f aca="false">IF(OR($C56="",$P56=0),"",IF(N($Q56)&lt;=0,"Chưa thanh toán",IF(N($Q56)&lt;$P56,"Thanh toán một phần","Đã thanh toán")))</f>
        <v/>
      </c>
      <c r="T56" s="13" t="str">
        <f aca="false">IF(OR($C56="",$J56=""),"",N($I56)*$J56)</f>
        <v/>
      </c>
      <c r="U56" s="13" t="str">
        <f aca="false">IF(OR($C56="",$T56=""),"",$L56-$T56)</f>
        <v/>
      </c>
      <c r="V56" s="14" t="str">
        <f aca="false">IF(OR($U56="",$L56=0),"",$U56/$L56)</f>
        <v/>
      </c>
      <c r="W56" s="11"/>
      <c r="X56" s="23" t="str">
        <f aca="false">IF($C56="","",IF(AND($H56="",N($I56)=0,N($K56)=0),"Dòng chỉ lưu thông tin khách (chưa có đơn); ",IF($B56="","Thiếu ngày đặt; ","")&amp;IF($H56="","Thiếu tên sản phẩm; ",IF($J56="","Chưa khai GIÁ GỐC ở BẢNG GIÁ GỐC; ",""))&amp;IF(N($I56)&lt;=0,"Thiếu số lượng; ","")&amp;IF(N($K56)&lt;=0,"Thiếu giá bán; ","")&amp;IF(AND($N56&gt;0,$F56=""),"Khách lấy VAT thiếu mã số thuế; ","")&amp;IF(N($Q56)&gt;$P56,"Đã thu vượt tổng phải thu; ","")&amp;IF(AND($L56&gt;0,$U56&lt;&gt;"",$U56&lt;0),"CẢNH BÁO: ĐƠN NÀY ĐANG LỖ; ","")))</f>
        <v/>
      </c>
    </row>
    <row r="57" customFormat="false" ht="15" hidden="false" customHeight="false" outlineLevel="0" collapsed="false">
      <c r="A57" s="21" t="str">
        <f aca="false">IF($C57="","",COUNTA($C$10:$C57))</f>
        <v/>
      </c>
      <c r="B57" s="18"/>
      <c r="C57" s="11"/>
      <c r="D57" s="11"/>
      <c r="E57" s="11"/>
      <c r="F57" s="11"/>
      <c r="G57" s="11"/>
      <c r="H57" s="11"/>
      <c r="I57" s="12"/>
      <c r="J57" s="13" t="str">
        <f aca="false">IF($H57="","",IFERROR(VLOOKUP($H57,'BẢNG GIÁ GỐC'!$A$5:$D$254,3,FALSE()),""))</f>
        <v/>
      </c>
      <c r="K57" s="12"/>
      <c r="L57" s="13" t="str">
        <f aca="false">IF($C57="","",N($I57)*N($K57))</f>
        <v/>
      </c>
      <c r="M57" s="11"/>
      <c r="N57" s="14" t="str">
        <f aca="false">IF($C57="","",IF($M57="VAT 5%",0.05,IF($M57="VAT 8%",0.08,IF($M57="VAT 10%",0.1,0))))</f>
        <v/>
      </c>
      <c r="O57" s="13" t="str">
        <f aca="false">IF($C57="","",$L57*$N57)</f>
        <v/>
      </c>
      <c r="P57" s="13" t="str">
        <f aca="false">IF($C57="","",$L57+$O57)</f>
        <v/>
      </c>
      <c r="Q57" s="12"/>
      <c r="R57" s="13" t="str">
        <f aca="false">IF($C57="","",MAX(0,$P57-N($Q57)))</f>
        <v/>
      </c>
      <c r="S57" s="23" t="str">
        <f aca="false">IF(OR($C57="",$P57=0),"",IF(N($Q57)&lt;=0,"Chưa thanh toán",IF(N($Q57)&lt;$P57,"Thanh toán một phần","Đã thanh toán")))</f>
        <v/>
      </c>
      <c r="T57" s="13" t="str">
        <f aca="false">IF(OR($C57="",$J57=""),"",N($I57)*$J57)</f>
        <v/>
      </c>
      <c r="U57" s="13" t="str">
        <f aca="false">IF(OR($C57="",$T57=""),"",$L57-$T57)</f>
        <v/>
      </c>
      <c r="V57" s="14" t="str">
        <f aca="false">IF(OR($U57="",$L57=0),"",$U57/$L57)</f>
        <v/>
      </c>
      <c r="W57" s="11"/>
      <c r="X57" s="23" t="str">
        <f aca="false">IF($C57="","",IF(AND($H57="",N($I57)=0,N($K57)=0),"Dòng chỉ lưu thông tin khách (chưa có đơn); ",IF($B57="","Thiếu ngày đặt; ","")&amp;IF($H57="","Thiếu tên sản phẩm; ",IF($J57="","Chưa khai GIÁ GỐC ở BẢNG GIÁ GỐC; ",""))&amp;IF(N($I57)&lt;=0,"Thiếu số lượng; ","")&amp;IF(N($K57)&lt;=0,"Thiếu giá bán; ","")&amp;IF(AND($N57&gt;0,$F57=""),"Khách lấy VAT thiếu mã số thuế; ","")&amp;IF(N($Q57)&gt;$P57,"Đã thu vượt tổng phải thu; ","")&amp;IF(AND($L57&gt;0,$U57&lt;&gt;"",$U57&lt;0),"CẢNH BÁO: ĐƠN NÀY ĐANG LỖ; ","")))</f>
        <v/>
      </c>
    </row>
    <row r="58" customFormat="false" ht="15" hidden="false" customHeight="false" outlineLevel="0" collapsed="false">
      <c r="A58" s="21" t="str">
        <f aca="false">IF($C58="","",COUNTA($C$10:$C58))</f>
        <v/>
      </c>
      <c r="B58" s="18"/>
      <c r="C58" s="11"/>
      <c r="D58" s="11"/>
      <c r="E58" s="11"/>
      <c r="F58" s="11"/>
      <c r="G58" s="11"/>
      <c r="H58" s="11"/>
      <c r="I58" s="12"/>
      <c r="J58" s="13" t="str">
        <f aca="false">IF($H58="","",IFERROR(VLOOKUP($H58,'BẢNG GIÁ GỐC'!$A$5:$D$254,3,FALSE()),""))</f>
        <v/>
      </c>
      <c r="K58" s="12"/>
      <c r="L58" s="13" t="str">
        <f aca="false">IF($C58="","",N($I58)*N($K58))</f>
        <v/>
      </c>
      <c r="M58" s="11"/>
      <c r="N58" s="14" t="str">
        <f aca="false">IF($C58="","",IF($M58="VAT 5%",0.05,IF($M58="VAT 8%",0.08,IF($M58="VAT 10%",0.1,0))))</f>
        <v/>
      </c>
      <c r="O58" s="13" t="str">
        <f aca="false">IF($C58="","",$L58*$N58)</f>
        <v/>
      </c>
      <c r="P58" s="13" t="str">
        <f aca="false">IF($C58="","",$L58+$O58)</f>
        <v/>
      </c>
      <c r="Q58" s="12"/>
      <c r="R58" s="13" t="str">
        <f aca="false">IF($C58="","",MAX(0,$P58-N($Q58)))</f>
        <v/>
      </c>
      <c r="S58" s="23" t="str">
        <f aca="false">IF(OR($C58="",$P58=0),"",IF(N($Q58)&lt;=0,"Chưa thanh toán",IF(N($Q58)&lt;$P58,"Thanh toán một phần","Đã thanh toán")))</f>
        <v/>
      </c>
      <c r="T58" s="13" t="str">
        <f aca="false">IF(OR($C58="",$J58=""),"",N($I58)*$J58)</f>
        <v/>
      </c>
      <c r="U58" s="13" t="str">
        <f aca="false">IF(OR($C58="",$T58=""),"",$L58-$T58)</f>
        <v/>
      </c>
      <c r="V58" s="14" t="str">
        <f aca="false">IF(OR($U58="",$L58=0),"",$U58/$L58)</f>
        <v/>
      </c>
      <c r="W58" s="11"/>
      <c r="X58" s="23" t="str">
        <f aca="false">IF($C58="","",IF(AND($H58="",N($I58)=0,N($K58)=0),"Dòng chỉ lưu thông tin khách (chưa có đơn); ",IF($B58="","Thiếu ngày đặt; ","")&amp;IF($H58="","Thiếu tên sản phẩm; ",IF($J58="","Chưa khai GIÁ GỐC ở BẢNG GIÁ GỐC; ",""))&amp;IF(N($I58)&lt;=0,"Thiếu số lượng; ","")&amp;IF(N($K58)&lt;=0,"Thiếu giá bán; ","")&amp;IF(AND($N58&gt;0,$F58=""),"Khách lấy VAT thiếu mã số thuế; ","")&amp;IF(N($Q58)&gt;$P58,"Đã thu vượt tổng phải thu; ","")&amp;IF(AND($L58&gt;0,$U58&lt;&gt;"",$U58&lt;0),"CẢNH BÁO: ĐƠN NÀY ĐANG LỖ; ","")))</f>
        <v/>
      </c>
    </row>
    <row r="59" customFormat="false" ht="15" hidden="false" customHeight="false" outlineLevel="0" collapsed="false">
      <c r="A59" s="21" t="str">
        <f aca="false">IF($C59="","",COUNTA($C$10:$C59))</f>
        <v/>
      </c>
      <c r="B59" s="18"/>
      <c r="C59" s="11"/>
      <c r="D59" s="11"/>
      <c r="E59" s="11"/>
      <c r="F59" s="11"/>
      <c r="G59" s="11"/>
      <c r="H59" s="11"/>
      <c r="I59" s="12"/>
      <c r="J59" s="13" t="str">
        <f aca="false">IF($H59="","",IFERROR(VLOOKUP($H59,'BẢNG GIÁ GỐC'!$A$5:$D$254,3,FALSE()),""))</f>
        <v/>
      </c>
      <c r="K59" s="12"/>
      <c r="L59" s="13" t="str">
        <f aca="false">IF($C59="","",N($I59)*N($K59))</f>
        <v/>
      </c>
      <c r="M59" s="11"/>
      <c r="N59" s="14" t="str">
        <f aca="false">IF($C59="","",IF($M59="VAT 5%",0.05,IF($M59="VAT 8%",0.08,IF($M59="VAT 10%",0.1,0))))</f>
        <v/>
      </c>
      <c r="O59" s="13" t="str">
        <f aca="false">IF($C59="","",$L59*$N59)</f>
        <v/>
      </c>
      <c r="P59" s="13" t="str">
        <f aca="false">IF($C59="","",$L59+$O59)</f>
        <v/>
      </c>
      <c r="Q59" s="12"/>
      <c r="R59" s="13" t="str">
        <f aca="false">IF($C59="","",MAX(0,$P59-N($Q59)))</f>
        <v/>
      </c>
      <c r="S59" s="23" t="str">
        <f aca="false">IF(OR($C59="",$P59=0),"",IF(N($Q59)&lt;=0,"Chưa thanh toán",IF(N($Q59)&lt;$P59,"Thanh toán một phần","Đã thanh toán")))</f>
        <v/>
      </c>
      <c r="T59" s="13" t="str">
        <f aca="false">IF(OR($C59="",$J59=""),"",N($I59)*$J59)</f>
        <v/>
      </c>
      <c r="U59" s="13" t="str">
        <f aca="false">IF(OR($C59="",$T59=""),"",$L59-$T59)</f>
        <v/>
      </c>
      <c r="V59" s="14" t="str">
        <f aca="false">IF(OR($U59="",$L59=0),"",$U59/$L59)</f>
        <v/>
      </c>
      <c r="W59" s="11"/>
      <c r="X59" s="23" t="str">
        <f aca="false">IF($C59="","",IF(AND($H59="",N($I59)=0,N($K59)=0),"Dòng chỉ lưu thông tin khách (chưa có đơn); ",IF($B59="","Thiếu ngày đặt; ","")&amp;IF($H59="","Thiếu tên sản phẩm; ",IF($J59="","Chưa khai GIÁ GỐC ở BẢNG GIÁ GỐC; ",""))&amp;IF(N($I59)&lt;=0,"Thiếu số lượng; ","")&amp;IF(N($K59)&lt;=0,"Thiếu giá bán; ","")&amp;IF(AND($N59&gt;0,$F59=""),"Khách lấy VAT thiếu mã số thuế; ","")&amp;IF(N($Q59)&gt;$P59,"Đã thu vượt tổng phải thu; ","")&amp;IF(AND($L59&gt;0,$U59&lt;&gt;"",$U59&lt;0),"CẢNH BÁO: ĐƠN NÀY ĐANG LỖ; ","")))</f>
        <v/>
      </c>
    </row>
    <row r="60" customFormat="false" ht="15" hidden="false" customHeight="false" outlineLevel="0" collapsed="false">
      <c r="A60" s="21" t="str">
        <f aca="false">IF($C60="","",COUNTA($C$10:$C60))</f>
        <v/>
      </c>
      <c r="B60" s="18"/>
      <c r="C60" s="11"/>
      <c r="D60" s="11"/>
      <c r="E60" s="11"/>
      <c r="F60" s="11"/>
      <c r="G60" s="11"/>
      <c r="H60" s="11"/>
      <c r="I60" s="12"/>
      <c r="J60" s="13" t="str">
        <f aca="false">IF($H60="","",IFERROR(VLOOKUP($H60,'BẢNG GIÁ GỐC'!$A$5:$D$254,3,FALSE()),""))</f>
        <v/>
      </c>
      <c r="K60" s="12"/>
      <c r="L60" s="13" t="str">
        <f aca="false">IF($C60="","",N($I60)*N($K60))</f>
        <v/>
      </c>
      <c r="M60" s="11"/>
      <c r="N60" s="14" t="str">
        <f aca="false">IF($C60="","",IF($M60="VAT 5%",0.05,IF($M60="VAT 8%",0.08,IF($M60="VAT 10%",0.1,0))))</f>
        <v/>
      </c>
      <c r="O60" s="13" t="str">
        <f aca="false">IF($C60="","",$L60*$N60)</f>
        <v/>
      </c>
      <c r="P60" s="13" t="str">
        <f aca="false">IF($C60="","",$L60+$O60)</f>
        <v/>
      </c>
      <c r="Q60" s="12"/>
      <c r="R60" s="13" t="str">
        <f aca="false">IF($C60="","",MAX(0,$P60-N($Q60)))</f>
        <v/>
      </c>
      <c r="S60" s="23" t="str">
        <f aca="false">IF(OR($C60="",$P60=0),"",IF(N($Q60)&lt;=0,"Chưa thanh toán",IF(N($Q60)&lt;$P60,"Thanh toán một phần","Đã thanh toán")))</f>
        <v/>
      </c>
      <c r="T60" s="13" t="str">
        <f aca="false">IF(OR($C60="",$J60=""),"",N($I60)*$J60)</f>
        <v/>
      </c>
      <c r="U60" s="13" t="str">
        <f aca="false">IF(OR($C60="",$T60=""),"",$L60-$T60)</f>
        <v/>
      </c>
      <c r="V60" s="14" t="str">
        <f aca="false">IF(OR($U60="",$L60=0),"",$U60/$L60)</f>
        <v/>
      </c>
      <c r="W60" s="11"/>
      <c r="X60" s="23" t="str">
        <f aca="false">IF($C60="","",IF(AND($H60="",N($I60)=0,N($K60)=0),"Dòng chỉ lưu thông tin khách (chưa có đơn); ",IF($B60="","Thiếu ngày đặt; ","")&amp;IF($H60="","Thiếu tên sản phẩm; ",IF($J60="","Chưa khai GIÁ GỐC ở BẢNG GIÁ GỐC; ",""))&amp;IF(N($I60)&lt;=0,"Thiếu số lượng; ","")&amp;IF(N($K60)&lt;=0,"Thiếu giá bán; ","")&amp;IF(AND($N60&gt;0,$F60=""),"Khách lấy VAT thiếu mã số thuế; ","")&amp;IF(N($Q60)&gt;$P60,"Đã thu vượt tổng phải thu; ","")&amp;IF(AND($L60&gt;0,$U60&lt;&gt;"",$U60&lt;0),"CẢNH BÁO: ĐƠN NÀY ĐANG LỖ; ","")))</f>
        <v/>
      </c>
    </row>
    <row r="61" customFormat="false" ht="15" hidden="false" customHeight="false" outlineLevel="0" collapsed="false">
      <c r="A61" s="21" t="str">
        <f aca="false">IF($C61="","",COUNTA($C$10:$C61))</f>
        <v/>
      </c>
      <c r="B61" s="18"/>
      <c r="C61" s="11"/>
      <c r="D61" s="11"/>
      <c r="E61" s="11"/>
      <c r="F61" s="11"/>
      <c r="G61" s="11"/>
      <c r="H61" s="11"/>
      <c r="I61" s="12"/>
      <c r="J61" s="13" t="str">
        <f aca="false">IF($H61="","",IFERROR(VLOOKUP($H61,'BẢNG GIÁ GỐC'!$A$5:$D$254,3,FALSE()),""))</f>
        <v/>
      </c>
      <c r="K61" s="12"/>
      <c r="L61" s="13" t="str">
        <f aca="false">IF($C61="","",N($I61)*N($K61))</f>
        <v/>
      </c>
      <c r="M61" s="11"/>
      <c r="N61" s="14" t="str">
        <f aca="false">IF($C61="","",IF($M61="VAT 5%",0.05,IF($M61="VAT 8%",0.08,IF($M61="VAT 10%",0.1,0))))</f>
        <v/>
      </c>
      <c r="O61" s="13" t="str">
        <f aca="false">IF($C61="","",$L61*$N61)</f>
        <v/>
      </c>
      <c r="P61" s="13" t="str">
        <f aca="false">IF($C61="","",$L61+$O61)</f>
        <v/>
      </c>
      <c r="Q61" s="12"/>
      <c r="R61" s="13" t="str">
        <f aca="false">IF($C61="","",MAX(0,$P61-N($Q61)))</f>
        <v/>
      </c>
      <c r="S61" s="23" t="str">
        <f aca="false">IF(OR($C61="",$P61=0),"",IF(N($Q61)&lt;=0,"Chưa thanh toán",IF(N($Q61)&lt;$P61,"Thanh toán một phần","Đã thanh toán")))</f>
        <v/>
      </c>
      <c r="T61" s="13" t="str">
        <f aca="false">IF(OR($C61="",$J61=""),"",N($I61)*$J61)</f>
        <v/>
      </c>
      <c r="U61" s="13" t="str">
        <f aca="false">IF(OR($C61="",$T61=""),"",$L61-$T61)</f>
        <v/>
      </c>
      <c r="V61" s="14" t="str">
        <f aca="false">IF(OR($U61="",$L61=0),"",$U61/$L61)</f>
        <v/>
      </c>
      <c r="W61" s="11"/>
      <c r="X61" s="23" t="str">
        <f aca="false">IF($C61="","",IF(AND($H61="",N($I61)=0,N($K61)=0),"Dòng chỉ lưu thông tin khách (chưa có đơn); ",IF($B61="","Thiếu ngày đặt; ","")&amp;IF($H61="","Thiếu tên sản phẩm; ",IF($J61="","Chưa khai GIÁ GỐC ở BẢNG GIÁ GỐC; ",""))&amp;IF(N($I61)&lt;=0,"Thiếu số lượng; ","")&amp;IF(N($K61)&lt;=0,"Thiếu giá bán; ","")&amp;IF(AND($N61&gt;0,$F61=""),"Khách lấy VAT thiếu mã số thuế; ","")&amp;IF(N($Q61)&gt;$P61,"Đã thu vượt tổng phải thu; ","")&amp;IF(AND($L61&gt;0,$U61&lt;&gt;"",$U61&lt;0),"CẢNH BÁO: ĐƠN NÀY ĐANG LỖ; ","")))</f>
        <v/>
      </c>
    </row>
    <row r="62" customFormat="false" ht="15" hidden="false" customHeight="false" outlineLevel="0" collapsed="false">
      <c r="A62" s="21" t="str">
        <f aca="false">IF($C62="","",COUNTA($C$10:$C62))</f>
        <v/>
      </c>
      <c r="B62" s="18"/>
      <c r="C62" s="11"/>
      <c r="D62" s="11"/>
      <c r="E62" s="11"/>
      <c r="F62" s="11"/>
      <c r="G62" s="11"/>
      <c r="H62" s="11"/>
      <c r="I62" s="12"/>
      <c r="J62" s="13" t="str">
        <f aca="false">IF($H62="","",IFERROR(VLOOKUP($H62,'BẢNG GIÁ GỐC'!$A$5:$D$254,3,FALSE()),""))</f>
        <v/>
      </c>
      <c r="K62" s="12"/>
      <c r="L62" s="13" t="str">
        <f aca="false">IF($C62="","",N($I62)*N($K62))</f>
        <v/>
      </c>
      <c r="M62" s="11"/>
      <c r="N62" s="14" t="str">
        <f aca="false">IF($C62="","",IF($M62="VAT 5%",0.05,IF($M62="VAT 8%",0.08,IF($M62="VAT 10%",0.1,0))))</f>
        <v/>
      </c>
      <c r="O62" s="13" t="str">
        <f aca="false">IF($C62="","",$L62*$N62)</f>
        <v/>
      </c>
      <c r="P62" s="13" t="str">
        <f aca="false">IF($C62="","",$L62+$O62)</f>
        <v/>
      </c>
      <c r="Q62" s="12"/>
      <c r="R62" s="13" t="str">
        <f aca="false">IF($C62="","",MAX(0,$P62-N($Q62)))</f>
        <v/>
      </c>
      <c r="S62" s="23" t="str">
        <f aca="false">IF(OR($C62="",$P62=0),"",IF(N($Q62)&lt;=0,"Chưa thanh toán",IF(N($Q62)&lt;$P62,"Thanh toán một phần","Đã thanh toán")))</f>
        <v/>
      </c>
      <c r="T62" s="13" t="str">
        <f aca="false">IF(OR($C62="",$J62=""),"",N($I62)*$J62)</f>
        <v/>
      </c>
      <c r="U62" s="13" t="str">
        <f aca="false">IF(OR($C62="",$T62=""),"",$L62-$T62)</f>
        <v/>
      </c>
      <c r="V62" s="14" t="str">
        <f aca="false">IF(OR($U62="",$L62=0),"",$U62/$L62)</f>
        <v/>
      </c>
      <c r="W62" s="11"/>
      <c r="X62" s="23" t="str">
        <f aca="false">IF($C62="","",IF(AND($H62="",N($I62)=0,N($K62)=0),"Dòng chỉ lưu thông tin khách (chưa có đơn); ",IF($B62="","Thiếu ngày đặt; ","")&amp;IF($H62="","Thiếu tên sản phẩm; ",IF($J62="","Chưa khai GIÁ GỐC ở BẢNG GIÁ GỐC; ",""))&amp;IF(N($I62)&lt;=0,"Thiếu số lượng; ","")&amp;IF(N($K62)&lt;=0,"Thiếu giá bán; ","")&amp;IF(AND($N62&gt;0,$F62=""),"Khách lấy VAT thiếu mã số thuế; ","")&amp;IF(N($Q62)&gt;$P62,"Đã thu vượt tổng phải thu; ","")&amp;IF(AND($L62&gt;0,$U62&lt;&gt;"",$U62&lt;0),"CẢNH BÁO: ĐƠN NÀY ĐANG LỖ; ","")))</f>
        <v/>
      </c>
    </row>
    <row r="63" customFormat="false" ht="15" hidden="false" customHeight="false" outlineLevel="0" collapsed="false">
      <c r="A63" s="21" t="str">
        <f aca="false">IF($C63="","",COUNTA($C$10:$C63))</f>
        <v/>
      </c>
      <c r="B63" s="18"/>
      <c r="C63" s="11"/>
      <c r="D63" s="11"/>
      <c r="E63" s="11"/>
      <c r="F63" s="11"/>
      <c r="G63" s="11"/>
      <c r="H63" s="11"/>
      <c r="I63" s="12"/>
      <c r="J63" s="13" t="str">
        <f aca="false">IF($H63="","",IFERROR(VLOOKUP($H63,'BẢNG GIÁ GỐC'!$A$5:$D$254,3,FALSE()),""))</f>
        <v/>
      </c>
      <c r="K63" s="12"/>
      <c r="L63" s="13" t="str">
        <f aca="false">IF($C63="","",N($I63)*N($K63))</f>
        <v/>
      </c>
      <c r="M63" s="11"/>
      <c r="N63" s="14" t="str">
        <f aca="false">IF($C63="","",IF($M63="VAT 5%",0.05,IF($M63="VAT 8%",0.08,IF($M63="VAT 10%",0.1,0))))</f>
        <v/>
      </c>
      <c r="O63" s="13" t="str">
        <f aca="false">IF($C63="","",$L63*$N63)</f>
        <v/>
      </c>
      <c r="P63" s="13" t="str">
        <f aca="false">IF($C63="","",$L63+$O63)</f>
        <v/>
      </c>
      <c r="Q63" s="12"/>
      <c r="R63" s="13" t="str">
        <f aca="false">IF($C63="","",MAX(0,$P63-N($Q63)))</f>
        <v/>
      </c>
      <c r="S63" s="23" t="str">
        <f aca="false">IF(OR($C63="",$P63=0),"",IF(N($Q63)&lt;=0,"Chưa thanh toán",IF(N($Q63)&lt;$P63,"Thanh toán một phần","Đã thanh toán")))</f>
        <v/>
      </c>
      <c r="T63" s="13" t="str">
        <f aca="false">IF(OR($C63="",$J63=""),"",N($I63)*$J63)</f>
        <v/>
      </c>
      <c r="U63" s="13" t="str">
        <f aca="false">IF(OR($C63="",$T63=""),"",$L63-$T63)</f>
        <v/>
      </c>
      <c r="V63" s="14" t="str">
        <f aca="false">IF(OR($U63="",$L63=0),"",$U63/$L63)</f>
        <v/>
      </c>
      <c r="W63" s="11"/>
      <c r="X63" s="23" t="str">
        <f aca="false">IF($C63="","",IF(AND($H63="",N($I63)=0,N($K63)=0),"Dòng chỉ lưu thông tin khách (chưa có đơn); ",IF($B63="","Thiếu ngày đặt; ","")&amp;IF($H63="","Thiếu tên sản phẩm; ",IF($J63="","Chưa khai GIÁ GỐC ở BẢNG GIÁ GỐC; ",""))&amp;IF(N($I63)&lt;=0,"Thiếu số lượng; ","")&amp;IF(N($K63)&lt;=0,"Thiếu giá bán; ","")&amp;IF(AND($N63&gt;0,$F63=""),"Khách lấy VAT thiếu mã số thuế; ","")&amp;IF(N($Q63)&gt;$P63,"Đã thu vượt tổng phải thu; ","")&amp;IF(AND($L63&gt;0,$U63&lt;&gt;"",$U63&lt;0),"CẢNH BÁO: ĐƠN NÀY ĐANG LỖ; ","")))</f>
        <v/>
      </c>
    </row>
    <row r="64" customFormat="false" ht="15" hidden="false" customHeight="false" outlineLevel="0" collapsed="false">
      <c r="A64" s="21" t="str">
        <f aca="false">IF($C64="","",COUNTA($C$10:$C64))</f>
        <v/>
      </c>
      <c r="B64" s="18"/>
      <c r="C64" s="11"/>
      <c r="D64" s="11"/>
      <c r="E64" s="11"/>
      <c r="F64" s="11"/>
      <c r="G64" s="11"/>
      <c r="H64" s="11"/>
      <c r="I64" s="12"/>
      <c r="J64" s="13" t="str">
        <f aca="false">IF($H64="","",IFERROR(VLOOKUP($H64,'BẢNG GIÁ GỐC'!$A$5:$D$254,3,FALSE()),""))</f>
        <v/>
      </c>
      <c r="K64" s="12"/>
      <c r="L64" s="13" t="str">
        <f aca="false">IF($C64="","",N($I64)*N($K64))</f>
        <v/>
      </c>
      <c r="M64" s="11"/>
      <c r="N64" s="14" t="str">
        <f aca="false">IF($C64="","",IF($M64="VAT 5%",0.05,IF($M64="VAT 8%",0.08,IF($M64="VAT 10%",0.1,0))))</f>
        <v/>
      </c>
      <c r="O64" s="13" t="str">
        <f aca="false">IF($C64="","",$L64*$N64)</f>
        <v/>
      </c>
      <c r="P64" s="13" t="str">
        <f aca="false">IF($C64="","",$L64+$O64)</f>
        <v/>
      </c>
      <c r="Q64" s="12"/>
      <c r="R64" s="13" t="str">
        <f aca="false">IF($C64="","",MAX(0,$P64-N($Q64)))</f>
        <v/>
      </c>
      <c r="S64" s="23" t="str">
        <f aca="false">IF(OR($C64="",$P64=0),"",IF(N($Q64)&lt;=0,"Chưa thanh toán",IF(N($Q64)&lt;$P64,"Thanh toán một phần","Đã thanh toán")))</f>
        <v/>
      </c>
      <c r="T64" s="13" t="str">
        <f aca="false">IF(OR($C64="",$J64=""),"",N($I64)*$J64)</f>
        <v/>
      </c>
      <c r="U64" s="13" t="str">
        <f aca="false">IF(OR($C64="",$T64=""),"",$L64-$T64)</f>
        <v/>
      </c>
      <c r="V64" s="14" t="str">
        <f aca="false">IF(OR($U64="",$L64=0),"",$U64/$L64)</f>
        <v/>
      </c>
      <c r="W64" s="11"/>
      <c r="X64" s="23" t="str">
        <f aca="false">IF($C64="","",IF(AND($H64="",N($I64)=0,N($K64)=0),"Dòng chỉ lưu thông tin khách (chưa có đơn); ",IF($B64="","Thiếu ngày đặt; ","")&amp;IF($H64="","Thiếu tên sản phẩm; ",IF($J64="","Chưa khai GIÁ GỐC ở BẢNG GIÁ GỐC; ",""))&amp;IF(N($I64)&lt;=0,"Thiếu số lượng; ","")&amp;IF(N($K64)&lt;=0,"Thiếu giá bán; ","")&amp;IF(AND($N64&gt;0,$F64=""),"Khách lấy VAT thiếu mã số thuế; ","")&amp;IF(N($Q64)&gt;$P64,"Đã thu vượt tổng phải thu; ","")&amp;IF(AND($L64&gt;0,$U64&lt;&gt;"",$U64&lt;0),"CẢNH BÁO: ĐƠN NÀY ĐANG LỖ; ","")))</f>
        <v/>
      </c>
    </row>
    <row r="65" customFormat="false" ht="15" hidden="false" customHeight="false" outlineLevel="0" collapsed="false">
      <c r="A65" s="21" t="str">
        <f aca="false">IF($C65="","",COUNTA($C$10:$C65))</f>
        <v/>
      </c>
      <c r="B65" s="18"/>
      <c r="C65" s="11"/>
      <c r="D65" s="11"/>
      <c r="E65" s="11"/>
      <c r="F65" s="11"/>
      <c r="G65" s="11"/>
      <c r="H65" s="11"/>
      <c r="I65" s="12"/>
      <c r="J65" s="13" t="str">
        <f aca="false">IF($H65="","",IFERROR(VLOOKUP($H65,'BẢNG GIÁ GỐC'!$A$5:$D$254,3,FALSE()),""))</f>
        <v/>
      </c>
      <c r="K65" s="12"/>
      <c r="L65" s="13" t="str">
        <f aca="false">IF($C65="","",N($I65)*N($K65))</f>
        <v/>
      </c>
      <c r="M65" s="11"/>
      <c r="N65" s="14" t="str">
        <f aca="false">IF($C65="","",IF($M65="VAT 5%",0.05,IF($M65="VAT 8%",0.08,IF($M65="VAT 10%",0.1,0))))</f>
        <v/>
      </c>
      <c r="O65" s="13" t="str">
        <f aca="false">IF($C65="","",$L65*$N65)</f>
        <v/>
      </c>
      <c r="P65" s="13" t="str">
        <f aca="false">IF($C65="","",$L65+$O65)</f>
        <v/>
      </c>
      <c r="Q65" s="12"/>
      <c r="R65" s="13" t="str">
        <f aca="false">IF($C65="","",MAX(0,$P65-N($Q65)))</f>
        <v/>
      </c>
      <c r="S65" s="23" t="str">
        <f aca="false">IF(OR($C65="",$P65=0),"",IF(N($Q65)&lt;=0,"Chưa thanh toán",IF(N($Q65)&lt;$P65,"Thanh toán một phần","Đã thanh toán")))</f>
        <v/>
      </c>
      <c r="T65" s="13" t="str">
        <f aca="false">IF(OR($C65="",$J65=""),"",N($I65)*$J65)</f>
        <v/>
      </c>
      <c r="U65" s="13" t="str">
        <f aca="false">IF(OR($C65="",$T65=""),"",$L65-$T65)</f>
        <v/>
      </c>
      <c r="V65" s="14" t="str">
        <f aca="false">IF(OR($U65="",$L65=0),"",$U65/$L65)</f>
        <v/>
      </c>
      <c r="W65" s="11"/>
      <c r="X65" s="23" t="str">
        <f aca="false">IF($C65="","",IF(AND($H65="",N($I65)=0,N($K65)=0),"Dòng chỉ lưu thông tin khách (chưa có đơn); ",IF($B65="","Thiếu ngày đặt; ","")&amp;IF($H65="","Thiếu tên sản phẩm; ",IF($J65="","Chưa khai GIÁ GỐC ở BẢNG GIÁ GỐC; ",""))&amp;IF(N($I65)&lt;=0,"Thiếu số lượng; ","")&amp;IF(N($K65)&lt;=0,"Thiếu giá bán; ","")&amp;IF(AND($N65&gt;0,$F65=""),"Khách lấy VAT thiếu mã số thuế; ","")&amp;IF(N($Q65)&gt;$P65,"Đã thu vượt tổng phải thu; ","")&amp;IF(AND($L65&gt;0,$U65&lt;&gt;"",$U65&lt;0),"CẢNH BÁO: ĐƠN NÀY ĐANG LỖ; ","")))</f>
        <v/>
      </c>
    </row>
    <row r="66" customFormat="false" ht="15" hidden="false" customHeight="false" outlineLevel="0" collapsed="false">
      <c r="A66" s="21" t="str">
        <f aca="false">IF($C66="","",COUNTA($C$10:$C66))</f>
        <v/>
      </c>
      <c r="B66" s="18"/>
      <c r="C66" s="11"/>
      <c r="D66" s="11"/>
      <c r="E66" s="11"/>
      <c r="F66" s="11"/>
      <c r="G66" s="11"/>
      <c r="H66" s="11"/>
      <c r="I66" s="12"/>
      <c r="J66" s="13" t="str">
        <f aca="false">IF($H66="","",IFERROR(VLOOKUP($H66,'BẢNG GIÁ GỐC'!$A$5:$D$254,3,FALSE()),""))</f>
        <v/>
      </c>
      <c r="K66" s="12"/>
      <c r="L66" s="13" t="str">
        <f aca="false">IF($C66="","",N($I66)*N($K66))</f>
        <v/>
      </c>
      <c r="M66" s="11"/>
      <c r="N66" s="14" t="str">
        <f aca="false">IF($C66="","",IF($M66="VAT 5%",0.05,IF($M66="VAT 8%",0.08,IF($M66="VAT 10%",0.1,0))))</f>
        <v/>
      </c>
      <c r="O66" s="13" t="str">
        <f aca="false">IF($C66="","",$L66*$N66)</f>
        <v/>
      </c>
      <c r="P66" s="13" t="str">
        <f aca="false">IF($C66="","",$L66+$O66)</f>
        <v/>
      </c>
      <c r="Q66" s="12"/>
      <c r="R66" s="13" t="str">
        <f aca="false">IF($C66="","",MAX(0,$P66-N($Q66)))</f>
        <v/>
      </c>
      <c r="S66" s="23" t="str">
        <f aca="false">IF(OR($C66="",$P66=0),"",IF(N($Q66)&lt;=0,"Chưa thanh toán",IF(N($Q66)&lt;$P66,"Thanh toán một phần","Đã thanh toán")))</f>
        <v/>
      </c>
      <c r="T66" s="13" t="str">
        <f aca="false">IF(OR($C66="",$J66=""),"",N($I66)*$J66)</f>
        <v/>
      </c>
      <c r="U66" s="13" t="str">
        <f aca="false">IF(OR($C66="",$T66=""),"",$L66-$T66)</f>
        <v/>
      </c>
      <c r="V66" s="14" t="str">
        <f aca="false">IF(OR($U66="",$L66=0),"",$U66/$L66)</f>
        <v/>
      </c>
      <c r="W66" s="11"/>
      <c r="X66" s="23" t="str">
        <f aca="false">IF($C66="","",IF(AND($H66="",N($I66)=0,N($K66)=0),"Dòng chỉ lưu thông tin khách (chưa có đơn); ",IF($B66="","Thiếu ngày đặt; ","")&amp;IF($H66="","Thiếu tên sản phẩm; ",IF($J66="","Chưa khai GIÁ GỐC ở BẢNG GIÁ GỐC; ",""))&amp;IF(N($I66)&lt;=0,"Thiếu số lượng; ","")&amp;IF(N($K66)&lt;=0,"Thiếu giá bán; ","")&amp;IF(AND($N66&gt;0,$F66=""),"Khách lấy VAT thiếu mã số thuế; ","")&amp;IF(N($Q66)&gt;$P66,"Đã thu vượt tổng phải thu; ","")&amp;IF(AND($L66&gt;0,$U66&lt;&gt;"",$U66&lt;0),"CẢNH BÁO: ĐƠN NÀY ĐANG LỖ; ","")))</f>
        <v/>
      </c>
    </row>
    <row r="67" customFormat="false" ht="15" hidden="false" customHeight="false" outlineLevel="0" collapsed="false">
      <c r="A67" s="21" t="str">
        <f aca="false">IF($C67="","",COUNTA($C$10:$C67))</f>
        <v/>
      </c>
      <c r="B67" s="18"/>
      <c r="C67" s="11"/>
      <c r="D67" s="11"/>
      <c r="E67" s="11"/>
      <c r="F67" s="11"/>
      <c r="G67" s="11"/>
      <c r="H67" s="11"/>
      <c r="I67" s="12"/>
      <c r="J67" s="13" t="str">
        <f aca="false">IF($H67="","",IFERROR(VLOOKUP($H67,'BẢNG GIÁ GỐC'!$A$5:$D$254,3,FALSE()),""))</f>
        <v/>
      </c>
      <c r="K67" s="12"/>
      <c r="L67" s="13" t="str">
        <f aca="false">IF($C67="","",N($I67)*N($K67))</f>
        <v/>
      </c>
      <c r="M67" s="11"/>
      <c r="N67" s="14" t="str">
        <f aca="false">IF($C67="","",IF($M67="VAT 5%",0.05,IF($M67="VAT 8%",0.08,IF($M67="VAT 10%",0.1,0))))</f>
        <v/>
      </c>
      <c r="O67" s="13" t="str">
        <f aca="false">IF($C67="","",$L67*$N67)</f>
        <v/>
      </c>
      <c r="P67" s="13" t="str">
        <f aca="false">IF($C67="","",$L67+$O67)</f>
        <v/>
      </c>
      <c r="Q67" s="12"/>
      <c r="R67" s="13" t="str">
        <f aca="false">IF($C67="","",MAX(0,$P67-N($Q67)))</f>
        <v/>
      </c>
      <c r="S67" s="23" t="str">
        <f aca="false">IF(OR($C67="",$P67=0),"",IF(N($Q67)&lt;=0,"Chưa thanh toán",IF(N($Q67)&lt;$P67,"Thanh toán một phần","Đã thanh toán")))</f>
        <v/>
      </c>
      <c r="T67" s="13" t="str">
        <f aca="false">IF(OR($C67="",$J67=""),"",N($I67)*$J67)</f>
        <v/>
      </c>
      <c r="U67" s="13" t="str">
        <f aca="false">IF(OR($C67="",$T67=""),"",$L67-$T67)</f>
        <v/>
      </c>
      <c r="V67" s="14" t="str">
        <f aca="false">IF(OR($U67="",$L67=0),"",$U67/$L67)</f>
        <v/>
      </c>
      <c r="W67" s="11"/>
      <c r="X67" s="23" t="str">
        <f aca="false">IF($C67="","",IF(AND($H67="",N($I67)=0,N($K67)=0),"Dòng chỉ lưu thông tin khách (chưa có đơn); ",IF($B67="","Thiếu ngày đặt; ","")&amp;IF($H67="","Thiếu tên sản phẩm; ",IF($J67="","Chưa khai GIÁ GỐC ở BẢNG GIÁ GỐC; ",""))&amp;IF(N($I67)&lt;=0,"Thiếu số lượng; ","")&amp;IF(N($K67)&lt;=0,"Thiếu giá bán; ","")&amp;IF(AND($N67&gt;0,$F67=""),"Khách lấy VAT thiếu mã số thuế; ","")&amp;IF(N($Q67)&gt;$P67,"Đã thu vượt tổng phải thu; ","")&amp;IF(AND($L67&gt;0,$U67&lt;&gt;"",$U67&lt;0),"CẢNH BÁO: ĐƠN NÀY ĐANG LỖ; ","")))</f>
        <v/>
      </c>
    </row>
    <row r="68" customFormat="false" ht="15" hidden="false" customHeight="false" outlineLevel="0" collapsed="false">
      <c r="A68" s="21" t="str">
        <f aca="false">IF($C68="","",COUNTA($C$10:$C68))</f>
        <v/>
      </c>
      <c r="B68" s="18"/>
      <c r="C68" s="11"/>
      <c r="D68" s="11"/>
      <c r="E68" s="11"/>
      <c r="F68" s="11"/>
      <c r="G68" s="11"/>
      <c r="H68" s="11"/>
      <c r="I68" s="12"/>
      <c r="J68" s="13" t="str">
        <f aca="false">IF($H68="","",IFERROR(VLOOKUP($H68,'BẢNG GIÁ GỐC'!$A$5:$D$254,3,FALSE()),""))</f>
        <v/>
      </c>
      <c r="K68" s="12"/>
      <c r="L68" s="13" t="str">
        <f aca="false">IF($C68="","",N($I68)*N($K68))</f>
        <v/>
      </c>
      <c r="M68" s="11"/>
      <c r="N68" s="14" t="str">
        <f aca="false">IF($C68="","",IF($M68="VAT 5%",0.05,IF($M68="VAT 8%",0.08,IF($M68="VAT 10%",0.1,0))))</f>
        <v/>
      </c>
      <c r="O68" s="13" t="str">
        <f aca="false">IF($C68="","",$L68*$N68)</f>
        <v/>
      </c>
      <c r="P68" s="13" t="str">
        <f aca="false">IF($C68="","",$L68+$O68)</f>
        <v/>
      </c>
      <c r="Q68" s="12"/>
      <c r="R68" s="13" t="str">
        <f aca="false">IF($C68="","",MAX(0,$P68-N($Q68)))</f>
        <v/>
      </c>
      <c r="S68" s="23" t="str">
        <f aca="false">IF(OR($C68="",$P68=0),"",IF(N($Q68)&lt;=0,"Chưa thanh toán",IF(N($Q68)&lt;$P68,"Thanh toán một phần","Đã thanh toán")))</f>
        <v/>
      </c>
      <c r="T68" s="13" t="str">
        <f aca="false">IF(OR($C68="",$J68=""),"",N($I68)*$J68)</f>
        <v/>
      </c>
      <c r="U68" s="13" t="str">
        <f aca="false">IF(OR($C68="",$T68=""),"",$L68-$T68)</f>
        <v/>
      </c>
      <c r="V68" s="14" t="str">
        <f aca="false">IF(OR($U68="",$L68=0),"",$U68/$L68)</f>
        <v/>
      </c>
      <c r="W68" s="11"/>
      <c r="X68" s="23" t="str">
        <f aca="false">IF($C68="","",IF(AND($H68="",N($I68)=0,N($K68)=0),"Dòng chỉ lưu thông tin khách (chưa có đơn); ",IF($B68="","Thiếu ngày đặt; ","")&amp;IF($H68="","Thiếu tên sản phẩm; ",IF($J68="","Chưa khai GIÁ GỐC ở BẢNG GIÁ GỐC; ",""))&amp;IF(N($I68)&lt;=0,"Thiếu số lượng; ","")&amp;IF(N($K68)&lt;=0,"Thiếu giá bán; ","")&amp;IF(AND($N68&gt;0,$F68=""),"Khách lấy VAT thiếu mã số thuế; ","")&amp;IF(N($Q68)&gt;$P68,"Đã thu vượt tổng phải thu; ","")&amp;IF(AND($L68&gt;0,$U68&lt;&gt;"",$U68&lt;0),"CẢNH BÁO: ĐƠN NÀY ĐANG LỖ; ","")))</f>
        <v/>
      </c>
    </row>
    <row r="69" customFormat="false" ht="15" hidden="false" customHeight="false" outlineLevel="0" collapsed="false">
      <c r="A69" s="21" t="str">
        <f aca="false">IF($C69="","",COUNTA($C$10:$C69))</f>
        <v/>
      </c>
      <c r="B69" s="18"/>
      <c r="C69" s="11"/>
      <c r="D69" s="11"/>
      <c r="E69" s="11"/>
      <c r="F69" s="11"/>
      <c r="G69" s="11"/>
      <c r="H69" s="11"/>
      <c r="I69" s="12"/>
      <c r="J69" s="13" t="str">
        <f aca="false">IF($H69="","",IFERROR(VLOOKUP($H69,'BẢNG GIÁ GỐC'!$A$5:$D$254,3,FALSE()),""))</f>
        <v/>
      </c>
      <c r="K69" s="12"/>
      <c r="L69" s="13" t="str">
        <f aca="false">IF($C69="","",N($I69)*N($K69))</f>
        <v/>
      </c>
      <c r="M69" s="11"/>
      <c r="N69" s="14" t="str">
        <f aca="false">IF($C69="","",IF($M69="VAT 5%",0.05,IF($M69="VAT 8%",0.08,IF($M69="VAT 10%",0.1,0))))</f>
        <v/>
      </c>
      <c r="O69" s="13" t="str">
        <f aca="false">IF($C69="","",$L69*$N69)</f>
        <v/>
      </c>
      <c r="P69" s="13" t="str">
        <f aca="false">IF($C69="","",$L69+$O69)</f>
        <v/>
      </c>
      <c r="Q69" s="12"/>
      <c r="R69" s="13" t="str">
        <f aca="false">IF($C69="","",MAX(0,$P69-N($Q69)))</f>
        <v/>
      </c>
      <c r="S69" s="23" t="str">
        <f aca="false">IF(OR($C69="",$P69=0),"",IF(N($Q69)&lt;=0,"Chưa thanh toán",IF(N($Q69)&lt;$P69,"Thanh toán một phần","Đã thanh toán")))</f>
        <v/>
      </c>
      <c r="T69" s="13" t="str">
        <f aca="false">IF(OR($C69="",$J69=""),"",N($I69)*$J69)</f>
        <v/>
      </c>
      <c r="U69" s="13" t="str">
        <f aca="false">IF(OR($C69="",$T69=""),"",$L69-$T69)</f>
        <v/>
      </c>
      <c r="V69" s="14" t="str">
        <f aca="false">IF(OR($U69="",$L69=0),"",$U69/$L69)</f>
        <v/>
      </c>
      <c r="W69" s="11"/>
      <c r="X69" s="23" t="str">
        <f aca="false">IF($C69="","",IF(AND($H69="",N($I69)=0,N($K69)=0),"Dòng chỉ lưu thông tin khách (chưa có đơn); ",IF($B69="","Thiếu ngày đặt; ","")&amp;IF($H69="","Thiếu tên sản phẩm; ",IF($J69="","Chưa khai GIÁ GỐC ở BẢNG GIÁ GỐC; ",""))&amp;IF(N($I69)&lt;=0,"Thiếu số lượng; ","")&amp;IF(N($K69)&lt;=0,"Thiếu giá bán; ","")&amp;IF(AND($N69&gt;0,$F69=""),"Khách lấy VAT thiếu mã số thuế; ","")&amp;IF(N($Q69)&gt;$P69,"Đã thu vượt tổng phải thu; ","")&amp;IF(AND($L69&gt;0,$U69&lt;&gt;"",$U69&lt;0),"CẢNH BÁO: ĐƠN NÀY ĐANG LỖ; ","")))</f>
        <v/>
      </c>
    </row>
    <row r="70" customFormat="false" ht="15" hidden="false" customHeight="false" outlineLevel="0" collapsed="false">
      <c r="A70" s="21" t="str">
        <f aca="false">IF($C70="","",COUNTA($C$10:$C70))</f>
        <v/>
      </c>
      <c r="B70" s="18"/>
      <c r="C70" s="11"/>
      <c r="D70" s="11"/>
      <c r="E70" s="11"/>
      <c r="F70" s="11"/>
      <c r="G70" s="11"/>
      <c r="H70" s="11"/>
      <c r="I70" s="12"/>
      <c r="J70" s="13" t="str">
        <f aca="false">IF($H70="","",IFERROR(VLOOKUP($H70,'BẢNG GIÁ GỐC'!$A$5:$D$254,3,FALSE()),""))</f>
        <v/>
      </c>
      <c r="K70" s="12"/>
      <c r="L70" s="13" t="str">
        <f aca="false">IF($C70="","",N($I70)*N($K70))</f>
        <v/>
      </c>
      <c r="M70" s="11"/>
      <c r="N70" s="14" t="str">
        <f aca="false">IF($C70="","",IF($M70="VAT 5%",0.05,IF($M70="VAT 8%",0.08,IF($M70="VAT 10%",0.1,0))))</f>
        <v/>
      </c>
      <c r="O70" s="13" t="str">
        <f aca="false">IF($C70="","",$L70*$N70)</f>
        <v/>
      </c>
      <c r="P70" s="13" t="str">
        <f aca="false">IF($C70="","",$L70+$O70)</f>
        <v/>
      </c>
      <c r="Q70" s="12"/>
      <c r="R70" s="13" t="str">
        <f aca="false">IF($C70="","",MAX(0,$P70-N($Q70)))</f>
        <v/>
      </c>
      <c r="S70" s="23" t="str">
        <f aca="false">IF(OR($C70="",$P70=0),"",IF(N($Q70)&lt;=0,"Chưa thanh toán",IF(N($Q70)&lt;$P70,"Thanh toán một phần","Đã thanh toán")))</f>
        <v/>
      </c>
      <c r="T70" s="13" t="str">
        <f aca="false">IF(OR($C70="",$J70=""),"",N($I70)*$J70)</f>
        <v/>
      </c>
      <c r="U70" s="13" t="str">
        <f aca="false">IF(OR($C70="",$T70=""),"",$L70-$T70)</f>
        <v/>
      </c>
      <c r="V70" s="14" t="str">
        <f aca="false">IF(OR($U70="",$L70=0),"",$U70/$L70)</f>
        <v/>
      </c>
      <c r="W70" s="11"/>
      <c r="X70" s="23" t="str">
        <f aca="false">IF($C70="","",IF(AND($H70="",N($I70)=0,N($K70)=0),"Dòng chỉ lưu thông tin khách (chưa có đơn); ",IF($B70="","Thiếu ngày đặt; ","")&amp;IF($H70="","Thiếu tên sản phẩm; ",IF($J70="","Chưa khai GIÁ GỐC ở BẢNG GIÁ GỐC; ",""))&amp;IF(N($I70)&lt;=0,"Thiếu số lượng; ","")&amp;IF(N($K70)&lt;=0,"Thiếu giá bán; ","")&amp;IF(AND($N70&gt;0,$F70=""),"Khách lấy VAT thiếu mã số thuế; ","")&amp;IF(N($Q70)&gt;$P70,"Đã thu vượt tổng phải thu; ","")&amp;IF(AND($L70&gt;0,$U70&lt;&gt;"",$U70&lt;0),"CẢNH BÁO: ĐƠN NÀY ĐANG LỖ; ","")))</f>
        <v/>
      </c>
    </row>
    <row r="71" customFormat="false" ht="15" hidden="false" customHeight="false" outlineLevel="0" collapsed="false">
      <c r="A71" s="21" t="str">
        <f aca="false">IF($C71="","",COUNTA($C$10:$C71))</f>
        <v/>
      </c>
      <c r="B71" s="18"/>
      <c r="C71" s="11"/>
      <c r="D71" s="11"/>
      <c r="E71" s="11"/>
      <c r="F71" s="11"/>
      <c r="G71" s="11"/>
      <c r="H71" s="11"/>
      <c r="I71" s="12"/>
      <c r="J71" s="13" t="str">
        <f aca="false">IF($H71="","",IFERROR(VLOOKUP($H71,'BẢNG GIÁ GỐC'!$A$5:$D$254,3,FALSE()),""))</f>
        <v/>
      </c>
      <c r="K71" s="12"/>
      <c r="L71" s="13" t="str">
        <f aca="false">IF($C71="","",N($I71)*N($K71))</f>
        <v/>
      </c>
      <c r="M71" s="11"/>
      <c r="N71" s="14" t="str">
        <f aca="false">IF($C71="","",IF($M71="VAT 5%",0.05,IF($M71="VAT 8%",0.08,IF($M71="VAT 10%",0.1,0))))</f>
        <v/>
      </c>
      <c r="O71" s="13" t="str">
        <f aca="false">IF($C71="","",$L71*$N71)</f>
        <v/>
      </c>
      <c r="P71" s="13" t="str">
        <f aca="false">IF($C71="","",$L71+$O71)</f>
        <v/>
      </c>
      <c r="Q71" s="12"/>
      <c r="R71" s="13" t="str">
        <f aca="false">IF($C71="","",MAX(0,$P71-N($Q71)))</f>
        <v/>
      </c>
      <c r="S71" s="23" t="str">
        <f aca="false">IF(OR($C71="",$P71=0),"",IF(N($Q71)&lt;=0,"Chưa thanh toán",IF(N($Q71)&lt;$P71,"Thanh toán một phần","Đã thanh toán")))</f>
        <v/>
      </c>
      <c r="T71" s="13" t="str">
        <f aca="false">IF(OR($C71="",$J71=""),"",N($I71)*$J71)</f>
        <v/>
      </c>
      <c r="U71" s="13" t="str">
        <f aca="false">IF(OR($C71="",$T71=""),"",$L71-$T71)</f>
        <v/>
      </c>
      <c r="V71" s="14" t="str">
        <f aca="false">IF(OR($U71="",$L71=0),"",$U71/$L71)</f>
        <v/>
      </c>
      <c r="W71" s="11"/>
      <c r="X71" s="23" t="str">
        <f aca="false">IF($C71="","",IF(AND($H71="",N($I71)=0,N($K71)=0),"Dòng chỉ lưu thông tin khách (chưa có đơn); ",IF($B71="","Thiếu ngày đặt; ","")&amp;IF($H71="","Thiếu tên sản phẩm; ",IF($J71="","Chưa khai GIÁ GỐC ở BẢNG GIÁ GỐC; ",""))&amp;IF(N($I71)&lt;=0,"Thiếu số lượng; ","")&amp;IF(N($K71)&lt;=0,"Thiếu giá bán; ","")&amp;IF(AND($N71&gt;0,$F71=""),"Khách lấy VAT thiếu mã số thuế; ","")&amp;IF(N($Q71)&gt;$P71,"Đã thu vượt tổng phải thu; ","")&amp;IF(AND($L71&gt;0,$U71&lt;&gt;"",$U71&lt;0),"CẢNH BÁO: ĐƠN NÀY ĐANG LỖ; ","")))</f>
        <v/>
      </c>
    </row>
    <row r="72" customFormat="false" ht="15" hidden="false" customHeight="false" outlineLevel="0" collapsed="false">
      <c r="A72" s="21" t="str">
        <f aca="false">IF($C72="","",COUNTA($C$10:$C72))</f>
        <v/>
      </c>
      <c r="B72" s="18"/>
      <c r="C72" s="11"/>
      <c r="D72" s="11"/>
      <c r="E72" s="11"/>
      <c r="F72" s="11"/>
      <c r="G72" s="11"/>
      <c r="H72" s="11"/>
      <c r="I72" s="12"/>
      <c r="J72" s="13" t="str">
        <f aca="false">IF($H72="","",IFERROR(VLOOKUP($H72,'BẢNG GIÁ GỐC'!$A$5:$D$254,3,FALSE()),""))</f>
        <v/>
      </c>
      <c r="K72" s="12"/>
      <c r="L72" s="13" t="str">
        <f aca="false">IF($C72="","",N($I72)*N($K72))</f>
        <v/>
      </c>
      <c r="M72" s="11"/>
      <c r="N72" s="14" t="str">
        <f aca="false">IF($C72="","",IF($M72="VAT 5%",0.05,IF($M72="VAT 8%",0.08,IF($M72="VAT 10%",0.1,0))))</f>
        <v/>
      </c>
      <c r="O72" s="13" t="str">
        <f aca="false">IF($C72="","",$L72*$N72)</f>
        <v/>
      </c>
      <c r="P72" s="13" t="str">
        <f aca="false">IF($C72="","",$L72+$O72)</f>
        <v/>
      </c>
      <c r="Q72" s="12"/>
      <c r="R72" s="13" t="str">
        <f aca="false">IF($C72="","",MAX(0,$P72-N($Q72)))</f>
        <v/>
      </c>
      <c r="S72" s="23" t="str">
        <f aca="false">IF(OR($C72="",$P72=0),"",IF(N($Q72)&lt;=0,"Chưa thanh toán",IF(N($Q72)&lt;$P72,"Thanh toán một phần","Đã thanh toán")))</f>
        <v/>
      </c>
      <c r="T72" s="13" t="str">
        <f aca="false">IF(OR($C72="",$J72=""),"",N($I72)*$J72)</f>
        <v/>
      </c>
      <c r="U72" s="13" t="str">
        <f aca="false">IF(OR($C72="",$T72=""),"",$L72-$T72)</f>
        <v/>
      </c>
      <c r="V72" s="14" t="str">
        <f aca="false">IF(OR($U72="",$L72=0),"",$U72/$L72)</f>
        <v/>
      </c>
      <c r="W72" s="11"/>
      <c r="X72" s="23" t="str">
        <f aca="false">IF($C72="","",IF(AND($H72="",N($I72)=0,N($K72)=0),"Dòng chỉ lưu thông tin khách (chưa có đơn); ",IF($B72="","Thiếu ngày đặt; ","")&amp;IF($H72="","Thiếu tên sản phẩm; ",IF($J72="","Chưa khai GIÁ GỐC ở BẢNG GIÁ GỐC; ",""))&amp;IF(N($I72)&lt;=0,"Thiếu số lượng; ","")&amp;IF(N($K72)&lt;=0,"Thiếu giá bán; ","")&amp;IF(AND($N72&gt;0,$F72=""),"Khách lấy VAT thiếu mã số thuế; ","")&amp;IF(N($Q72)&gt;$P72,"Đã thu vượt tổng phải thu; ","")&amp;IF(AND($L72&gt;0,$U72&lt;&gt;"",$U72&lt;0),"CẢNH BÁO: ĐƠN NÀY ĐANG LỖ; ","")))</f>
        <v/>
      </c>
    </row>
    <row r="73" customFormat="false" ht="15" hidden="false" customHeight="false" outlineLevel="0" collapsed="false">
      <c r="A73" s="21" t="str">
        <f aca="false">IF($C73="","",COUNTA($C$10:$C73))</f>
        <v/>
      </c>
      <c r="B73" s="18"/>
      <c r="C73" s="11"/>
      <c r="D73" s="11"/>
      <c r="E73" s="11"/>
      <c r="F73" s="11"/>
      <c r="G73" s="11"/>
      <c r="H73" s="11"/>
      <c r="I73" s="12"/>
      <c r="J73" s="13" t="str">
        <f aca="false">IF($H73="","",IFERROR(VLOOKUP($H73,'BẢNG GIÁ GỐC'!$A$5:$D$254,3,FALSE()),""))</f>
        <v/>
      </c>
      <c r="K73" s="12"/>
      <c r="L73" s="13" t="str">
        <f aca="false">IF($C73="","",N($I73)*N($K73))</f>
        <v/>
      </c>
      <c r="M73" s="11"/>
      <c r="N73" s="14" t="str">
        <f aca="false">IF($C73="","",IF($M73="VAT 5%",0.05,IF($M73="VAT 8%",0.08,IF($M73="VAT 10%",0.1,0))))</f>
        <v/>
      </c>
      <c r="O73" s="13" t="str">
        <f aca="false">IF($C73="","",$L73*$N73)</f>
        <v/>
      </c>
      <c r="P73" s="13" t="str">
        <f aca="false">IF($C73="","",$L73+$O73)</f>
        <v/>
      </c>
      <c r="Q73" s="12"/>
      <c r="R73" s="13" t="str">
        <f aca="false">IF($C73="","",MAX(0,$P73-N($Q73)))</f>
        <v/>
      </c>
      <c r="S73" s="23" t="str">
        <f aca="false">IF(OR($C73="",$P73=0),"",IF(N($Q73)&lt;=0,"Chưa thanh toán",IF(N($Q73)&lt;$P73,"Thanh toán một phần","Đã thanh toán")))</f>
        <v/>
      </c>
      <c r="T73" s="13" t="str">
        <f aca="false">IF(OR($C73="",$J73=""),"",N($I73)*$J73)</f>
        <v/>
      </c>
      <c r="U73" s="13" t="str">
        <f aca="false">IF(OR($C73="",$T73=""),"",$L73-$T73)</f>
        <v/>
      </c>
      <c r="V73" s="14" t="str">
        <f aca="false">IF(OR($U73="",$L73=0),"",$U73/$L73)</f>
        <v/>
      </c>
      <c r="W73" s="11"/>
      <c r="X73" s="23" t="str">
        <f aca="false">IF($C73="","",IF(AND($H73="",N($I73)=0,N($K73)=0),"Dòng chỉ lưu thông tin khách (chưa có đơn); ",IF($B73="","Thiếu ngày đặt; ","")&amp;IF($H73="","Thiếu tên sản phẩm; ",IF($J73="","Chưa khai GIÁ GỐC ở BẢNG GIÁ GỐC; ",""))&amp;IF(N($I73)&lt;=0,"Thiếu số lượng; ","")&amp;IF(N($K73)&lt;=0,"Thiếu giá bán; ","")&amp;IF(AND($N73&gt;0,$F73=""),"Khách lấy VAT thiếu mã số thuế; ","")&amp;IF(N($Q73)&gt;$P73,"Đã thu vượt tổng phải thu; ","")&amp;IF(AND($L73&gt;0,$U73&lt;&gt;"",$U73&lt;0),"CẢNH BÁO: ĐƠN NÀY ĐANG LỖ; ","")))</f>
        <v/>
      </c>
    </row>
    <row r="74" customFormat="false" ht="15" hidden="false" customHeight="false" outlineLevel="0" collapsed="false">
      <c r="A74" s="21" t="str">
        <f aca="false">IF($C74="","",COUNTA($C$10:$C74))</f>
        <v/>
      </c>
      <c r="B74" s="18"/>
      <c r="C74" s="11"/>
      <c r="D74" s="11"/>
      <c r="E74" s="11"/>
      <c r="F74" s="11"/>
      <c r="G74" s="11"/>
      <c r="H74" s="11"/>
      <c r="I74" s="12"/>
      <c r="J74" s="13" t="str">
        <f aca="false">IF($H74="","",IFERROR(VLOOKUP($H74,'BẢNG GIÁ GỐC'!$A$5:$D$254,3,FALSE()),""))</f>
        <v/>
      </c>
      <c r="K74" s="12"/>
      <c r="L74" s="13" t="str">
        <f aca="false">IF($C74="","",N($I74)*N($K74))</f>
        <v/>
      </c>
      <c r="M74" s="11"/>
      <c r="N74" s="14" t="str">
        <f aca="false">IF($C74="","",IF($M74="VAT 5%",0.05,IF($M74="VAT 8%",0.08,IF($M74="VAT 10%",0.1,0))))</f>
        <v/>
      </c>
      <c r="O74" s="13" t="str">
        <f aca="false">IF($C74="","",$L74*$N74)</f>
        <v/>
      </c>
      <c r="P74" s="13" t="str">
        <f aca="false">IF($C74="","",$L74+$O74)</f>
        <v/>
      </c>
      <c r="Q74" s="12"/>
      <c r="R74" s="13" t="str">
        <f aca="false">IF($C74="","",MAX(0,$P74-N($Q74)))</f>
        <v/>
      </c>
      <c r="S74" s="23" t="str">
        <f aca="false">IF(OR($C74="",$P74=0),"",IF(N($Q74)&lt;=0,"Chưa thanh toán",IF(N($Q74)&lt;$P74,"Thanh toán một phần","Đã thanh toán")))</f>
        <v/>
      </c>
      <c r="T74" s="13" t="str">
        <f aca="false">IF(OR($C74="",$J74=""),"",N($I74)*$J74)</f>
        <v/>
      </c>
      <c r="U74" s="13" t="str">
        <f aca="false">IF(OR($C74="",$T74=""),"",$L74-$T74)</f>
        <v/>
      </c>
      <c r="V74" s="14" t="str">
        <f aca="false">IF(OR($U74="",$L74=0),"",$U74/$L74)</f>
        <v/>
      </c>
      <c r="W74" s="11"/>
      <c r="X74" s="23" t="str">
        <f aca="false">IF($C74="","",IF(AND($H74="",N($I74)=0,N($K74)=0),"Dòng chỉ lưu thông tin khách (chưa có đơn); ",IF($B74="","Thiếu ngày đặt; ","")&amp;IF($H74="","Thiếu tên sản phẩm; ",IF($J74="","Chưa khai GIÁ GỐC ở BẢNG GIÁ GỐC; ",""))&amp;IF(N($I74)&lt;=0,"Thiếu số lượng; ","")&amp;IF(N($K74)&lt;=0,"Thiếu giá bán; ","")&amp;IF(AND($N74&gt;0,$F74=""),"Khách lấy VAT thiếu mã số thuế; ","")&amp;IF(N($Q74)&gt;$P74,"Đã thu vượt tổng phải thu; ","")&amp;IF(AND($L74&gt;0,$U74&lt;&gt;"",$U74&lt;0),"CẢNH BÁO: ĐƠN NÀY ĐANG LỖ; ","")))</f>
        <v/>
      </c>
    </row>
    <row r="75" customFormat="false" ht="15" hidden="false" customHeight="false" outlineLevel="0" collapsed="false">
      <c r="A75" s="21" t="str">
        <f aca="false">IF($C75="","",COUNTA($C$10:$C75))</f>
        <v/>
      </c>
      <c r="B75" s="18"/>
      <c r="C75" s="11"/>
      <c r="D75" s="11"/>
      <c r="E75" s="11"/>
      <c r="F75" s="11"/>
      <c r="G75" s="11"/>
      <c r="H75" s="11"/>
      <c r="I75" s="12"/>
      <c r="J75" s="13" t="str">
        <f aca="false">IF($H75="","",IFERROR(VLOOKUP($H75,'BẢNG GIÁ GỐC'!$A$5:$D$254,3,FALSE()),""))</f>
        <v/>
      </c>
      <c r="K75" s="12"/>
      <c r="L75" s="13" t="str">
        <f aca="false">IF($C75="","",N($I75)*N($K75))</f>
        <v/>
      </c>
      <c r="M75" s="11"/>
      <c r="N75" s="14" t="str">
        <f aca="false">IF($C75="","",IF($M75="VAT 5%",0.05,IF($M75="VAT 8%",0.08,IF($M75="VAT 10%",0.1,0))))</f>
        <v/>
      </c>
      <c r="O75" s="13" t="str">
        <f aca="false">IF($C75="","",$L75*$N75)</f>
        <v/>
      </c>
      <c r="P75" s="13" t="str">
        <f aca="false">IF($C75="","",$L75+$O75)</f>
        <v/>
      </c>
      <c r="Q75" s="12"/>
      <c r="R75" s="13" t="str">
        <f aca="false">IF($C75="","",MAX(0,$P75-N($Q75)))</f>
        <v/>
      </c>
      <c r="S75" s="23" t="str">
        <f aca="false">IF(OR($C75="",$P75=0),"",IF(N($Q75)&lt;=0,"Chưa thanh toán",IF(N($Q75)&lt;$P75,"Thanh toán một phần","Đã thanh toán")))</f>
        <v/>
      </c>
      <c r="T75" s="13" t="str">
        <f aca="false">IF(OR($C75="",$J75=""),"",N($I75)*$J75)</f>
        <v/>
      </c>
      <c r="U75" s="13" t="str">
        <f aca="false">IF(OR($C75="",$T75=""),"",$L75-$T75)</f>
        <v/>
      </c>
      <c r="V75" s="14" t="str">
        <f aca="false">IF(OR($U75="",$L75=0),"",$U75/$L75)</f>
        <v/>
      </c>
      <c r="W75" s="11"/>
      <c r="X75" s="23" t="str">
        <f aca="false">IF($C75="","",IF(AND($H75="",N($I75)=0,N($K75)=0),"Dòng chỉ lưu thông tin khách (chưa có đơn); ",IF($B75="","Thiếu ngày đặt; ","")&amp;IF($H75="","Thiếu tên sản phẩm; ",IF($J75="","Chưa khai GIÁ GỐC ở BẢNG GIÁ GỐC; ",""))&amp;IF(N($I75)&lt;=0,"Thiếu số lượng; ","")&amp;IF(N($K75)&lt;=0,"Thiếu giá bán; ","")&amp;IF(AND($N75&gt;0,$F75=""),"Khách lấy VAT thiếu mã số thuế; ","")&amp;IF(N($Q75)&gt;$P75,"Đã thu vượt tổng phải thu; ","")&amp;IF(AND($L75&gt;0,$U75&lt;&gt;"",$U75&lt;0),"CẢNH BÁO: ĐƠN NÀY ĐANG LỖ; ","")))</f>
        <v/>
      </c>
    </row>
    <row r="76" customFormat="false" ht="15" hidden="false" customHeight="false" outlineLevel="0" collapsed="false">
      <c r="A76" s="21" t="str">
        <f aca="false">IF($C76="","",COUNTA($C$10:$C76))</f>
        <v/>
      </c>
      <c r="B76" s="18"/>
      <c r="C76" s="11"/>
      <c r="D76" s="11"/>
      <c r="E76" s="11"/>
      <c r="F76" s="11"/>
      <c r="G76" s="11"/>
      <c r="H76" s="11"/>
      <c r="I76" s="12"/>
      <c r="J76" s="13" t="str">
        <f aca="false">IF($H76="","",IFERROR(VLOOKUP($H76,'BẢNG GIÁ GỐC'!$A$5:$D$254,3,FALSE()),""))</f>
        <v/>
      </c>
      <c r="K76" s="12"/>
      <c r="L76" s="13" t="str">
        <f aca="false">IF($C76="","",N($I76)*N($K76))</f>
        <v/>
      </c>
      <c r="M76" s="11"/>
      <c r="N76" s="14" t="str">
        <f aca="false">IF($C76="","",IF($M76="VAT 5%",0.05,IF($M76="VAT 8%",0.08,IF($M76="VAT 10%",0.1,0))))</f>
        <v/>
      </c>
      <c r="O76" s="13" t="str">
        <f aca="false">IF($C76="","",$L76*$N76)</f>
        <v/>
      </c>
      <c r="P76" s="13" t="str">
        <f aca="false">IF($C76="","",$L76+$O76)</f>
        <v/>
      </c>
      <c r="Q76" s="12"/>
      <c r="R76" s="13" t="str">
        <f aca="false">IF($C76="","",MAX(0,$P76-N($Q76)))</f>
        <v/>
      </c>
      <c r="S76" s="23" t="str">
        <f aca="false">IF(OR($C76="",$P76=0),"",IF(N($Q76)&lt;=0,"Chưa thanh toán",IF(N($Q76)&lt;$P76,"Thanh toán một phần","Đã thanh toán")))</f>
        <v/>
      </c>
      <c r="T76" s="13" t="str">
        <f aca="false">IF(OR($C76="",$J76=""),"",N($I76)*$J76)</f>
        <v/>
      </c>
      <c r="U76" s="13" t="str">
        <f aca="false">IF(OR($C76="",$T76=""),"",$L76-$T76)</f>
        <v/>
      </c>
      <c r="V76" s="14" t="str">
        <f aca="false">IF(OR($U76="",$L76=0),"",$U76/$L76)</f>
        <v/>
      </c>
      <c r="W76" s="11"/>
      <c r="X76" s="23" t="str">
        <f aca="false">IF($C76="","",IF(AND($H76="",N($I76)=0,N($K76)=0),"Dòng chỉ lưu thông tin khách (chưa có đơn); ",IF($B76="","Thiếu ngày đặt; ","")&amp;IF($H76="","Thiếu tên sản phẩm; ",IF($J76="","Chưa khai GIÁ GỐC ở BẢNG GIÁ GỐC; ",""))&amp;IF(N($I76)&lt;=0,"Thiếu số lượng; ","")&amp;IF(N($K76)&lt;=0,"Thiếu giá bán; ","")&amp;IF(AND($N76&gt;0,$F76=""),"Khách lấy VAT thiếu mã số thuế; ","")&amp;IF(N($Q76)&gt;$P76,"Đã thu vượt tổng phải thu; ","")&amp;IF(AND($L76&gt;0,$U76&lt;&gt;"",$U76&lt;0),"CẢNH BÁO: ĐƠN NÀY ĐANG LỖ; ","")))</f>
        <v/>
      </c>
    </row>
    <row r="77" customFormat="false" ht="15" hidden="false" customHeight="false" outlineLevel="0" collapsed="false">
      <c r="A77" s="21" t="str">
        <f aca="false">IF($C77="","",COUNTA($C$10:$C77))</f>
        <v/>
      </c>
      <c r="B77" s="18"/>
      <c r="C77" s="11"/>
      <c r="D77" s="11"/>
      <c r="E77" s="11"/>
      <c r="F77" s="11"/>
      <c r="G77" s="11"/>
      <c r="H77" s="11"/>
      <c r="I77" s="12"/>
      <c r="J77" s="13" t="str">
        <f aca="false">IF($H77="","",IFERROR(VLOOKUP($H77,'BẢNG GIÁ GỐC'!$A$5:$D$254,3,FALSE()),""))</f>
        <v/>
      </c>
      <c r="K77" s="12"/>
      <c r="L77" s="13" t="str">
        <f aca="false">IF($C77="","",N($I77)*N($K77))</f>
        <v/>
      </c>
      <c r="M77" s="11"/>
      <c r="N77" s="14" t="str">
        <f aca="false">IF($C77="","",IF($M77="VAT 5%",0.05,IF($M77="VAT 8%",0.08,IF($M77="VAT 10%",0.1,0))))</f>
        <v/>
      </c>
      <c r="O77" s="13" t="str">
        <f aca="false">IF($C77="","",$L77*$N77)</f>
        <v/>
      </c>
      <c r="P77" s="13" t="str">
        <f aca="false">IF($C77="","",$L77+$O77)</f>
        <v/>
      </c>
      <c r="Q77" s="12"/>
      <c r="R77" s="13" t="str">
        <f aca="false">IF($C77="","",MAX(0,$P77-N($Q77)))</f>
        <v/>
      </c>
      <c r="S77" s="23" t="str">
        <f aca="false">IF(OR($C77="",$P77=0),"",IF(N($Q77)&lt;=0,"Chưa thanh toán",IF(N($Q77)&lt;$P77,"Thanh toán một phần","Đã thanh toán")))</f>
        <v/>
      </c>
      <c r="T77" s="13" t="str">
        <f aca="false">IF(OR($C77="",$J77=""),"",N($I77)*$J77)</f>
        <v/>
      </c>
      <c r="U77" s="13" t="str">
        <f aca="false">IF(OR($C77="",$T77=""),"",$L77-$T77)</f>
        <v/>
      </c>
      <c r="V77" s="14" t="str">
        <f aca="false">IF(OR($U77="",$L77=0),"",$U77/$L77)</f>
        <v/>
      </c>
      <c r="W77" s="11"/>
      <c r="X77" s="23" t="str">
        <f aca="false">IF($C77="","",IF(AND($H77="",N($I77)=0,N($K77)=0),"Dòng chỉ lưu thông tin khách (chưa có đơn); ",IF($B77="","Thiếu ngày đặt; ","")&amp;IF($H77="","Thiếu tên sản phẩm; ",IF($J77="","Chưa khai GIÁ GỐC ở BẢNG GIÁ GỐC; ",""))&amp;IF(N($I77)&lt;=0,"Thiếu số lượng; ","")&amp;IF(N($K77)&lt;=0,"Thiếu giá bán; ","")&amp;IF(AND($N77&gt;0,$F77=""),"Khách lấy VAT thiếu mã số thuế; ","")&amp;IF(N($Q77)&gt;$P77,"Đã thu vượt tổng phải thu; ","")&amp;IF(AND($L77&gt;0,$U77&lt;&gt;"",$U77&lt;0),"CẢNH BÁO: ĐƠN NÀY ĐANG LỖ; ","")))</f>
        <v/>
      </c>
    </row>
    <row r="78" customFormat="false" ht="15" hidden="false" customHeight="false" outlineLevel="0" collapsed="false">
      <c r="A78" s="21" t="str">
        <f aca="false">IF($C78="","",COUNTA($C$10:$C78))</f>
        <v/>
      </c>
      <c r="B78" s="18"/>
      <c r="C78" s="11"/>
      <c r="D78" s="11"/>
      <c r="E78" s="11"/>
      <c r="F78" s="11"/>
      <c r="G78" s="11"/>
      <c r="H78" s="11"/>
      <c r="I78" s="12"/>
      <c r="J78" s="13" t="str">
        <f aca="false">IF($H78="","",IFERROR(VLOOKUP($H78,'BẢNG GIÁ GỐC'!$A$5:$D$254,3,FALSE()),""))</f>
        <v/>
      </c>
      <c r="K78" s="12"/>
      <c r="L78" s="13" t="str">
        <f aca="false">IF($C78="","",N($I78)*N($K78))</f>
        <v/>
      </c>
      <c r="M78" s="11"/>
      <c r="N78" s="14" t="str">
        <f aca="false">IF($C78="","",IF($M78="VAT 5%",0.05,IF($M78="VAT 8%",0.08,IF($M78="VAT 10%",0.1,0))))</f>
        <v/>
      </c>
      <c r="O78" s="13" t="str">
        <f aca="false">IF($C78="","",$L78*$N78)</f>
        <v/>
      </c>
      <c r="P78" s="13" t="str">
        <f aca="false">IF($C78="","",$L78+$O78)</f>
        <v/>
      </c>
      <c r="Q78" s="12"/>
      <c r="R78" s="13" t="str">
        <f aca="false">IF($C78="","",MAX(0,$P78-N($Q78)))</f>
        <v/>
      </c>
      <c r="S78" s="23" t="str">
        <f aca="false">IF(OR($C78="",$P78=0),"",IF(N($Q78)&lt;=0,"Chưa thanh toán",IF(N($Q78)&lt;$P78,"Thanh toán một phần","Đã thanh toán")))</f>
        <v/>
      </c>
      <c r="T78" s="13" t="str">
        <f aca="false">IF(OR($C78="",$J78=""),"",N($I78)*$J78)</f>
        <v/>
      </c>
      <c r="U78" s="13" t="str">
        <f aca="false">IF(OR($C78="",$T78=""),"",$L78-$T78)</f>
        <v/>
      </c>
      <c r="V78" s="14" t="str">
        <f aca="false">IF(OR($U78="",$L78=0),"",$U78/$L78)</f>
        <v/>
      </c>
      <c r="W78" s="11"/>
      <c r="X78" s="23" t="str">
        <f aca="false">IF($C78="","",IF(AND($H78="",N($I78)=0,N($K78)=0),"Dòng chỉ lưu thông tin khách (chưa có đơn); ",IF($B78="","Thiếu ngày đặt; ","")&amp;IF($H78="","Thiếu tên sản phẩm; ",IF($J78="","Chưa khai GIÁ GỐC ở BẢNG GIÁ GỐC; ",""))&amp;IF(N($I78)&lt;=0,"Thiếu số lượng; ","")&amp;IF(N($K78)&lt;=0,"Thiếu giá bán; ","")&amp;IF(AND($N78&gt;0,$F78=""),"Khách lấy VAT thiếu mã số thuế; ","")&amp;IF(N($Q78)&gt;$P78,"Đã thu vượt tổng phải thu; ","")&amp;IF(AND($L78&gt;0,$U78&lt;&gt;"",$U78&lt;0),"CẢNH BÁO: ĐƠN NÀY ĐANG LỖ; ","")))</f>
        <v/>
      </c>
    </row>
    <row r="79" customFormat="false" ht="15" hidden="false" customHeight="false" outlineLevel="0" collapsed="false">
      <c r="A79" s="21" t="str">
        <f aca="false">IF($C79="","",COUNTA($C$10:$C79))</f>
        <v/>
      </c>
      <c r="B79" s="18"/>
      <c r="C79" s="11"/>
      <c r="D79" s="11"/>
      <c r="E79" s="11"/>
      <c r="F79" s="11"/>
      <c r="G79" s="11"/>
      <c r="H79" s="11"/>
      <c r="I79" s="12"/>
      <c r="J79" s="13" t="str">
        <f aca="false">IF($H79="","",IFERROR(VLOOKUP($H79,'BẢNG GIÁ GỐC'!$A$5:$D$254,3,FALSE()),""))</f>
        <v/>
      </c>
      <c r="K79" s="12"/>
      <c r="L79" s="13" t="str">
        <f aca="false">IF($C79="","",N($I79)*N($K79))</f>
        <v/>
      </c>
      <c r="M79" s="11"/>
      <c r="N79" s="14" t="str">
        <f aca="false">IF($C79="","",IF($M79="VAT 5%",0.05,IF($M79="VAT 8%",0.08,IF($M79="VAT 10%",0.1,0))))</f>
        <v/>
      </c>
      <c r="O79" s="13" t="str">
        <f aca="false">IF($C79="","",$L79*$N79)</f>
        <v/>
      </c>
      <c r="P79" s="13" t="str">
        <f aca="false">IF($C79="","",$L79+$O79)</f>
        <v/>
      </c>
      <c r="Q79" s="12"/>
      <c r="R79" s="13" t="str">
        <f aca="false">IF($C79="","",MAX(0,$P79-N($Q79)))</f>
        <v/>
      </c>
      <c r="S79" s="23" t="str">
        <f aca="false">IF(OR($C79="",$P79=0),"",IF(N($Q79)&lt;=0,"Chưa thanh toán",IF(N($Q79)&lt;$P79,"Thanh toán một phần","Đã thanh toán")))</f>
        <v/>
      </c>
      <c r="T79" s="13" t="str">
        <f aca="false">IF(OR($C79="",$J79=""),"",N($I79)*$J79)</f>
        <v/>
      </c>
      <c r="U79" s="13" t="str">
        <f aca="false">IF(OR($C79="",$T79=""),"",$L79-$T79)</f>
        <v/>
      </c>
      <c r="V79" s="14" t="str">
        <f aca="false">IF(OR($U79="",$L79=0),"",$U79/$L79)</f>
        <v/>
      </c>
      <c r="W79" s="11"/>
      <c r="X79" s="23" t="str">
        <f aca="false">IF($C79="","",IF(AND($H79="",N($I79)=0,N($K79)=0),"Dòng chỉ lưu thông tin khách (chưa có đơn); ",IF($B79="","Thiếu ngày đặt; ","")&amp;IF($H79="","Thiếu tên sản phẩm; ",IF($J79="","Chưa khai GIÁ GỐC ở BẢNG GIÁ GỐC; ",""))&amp;IF(N($I79)&lt;=0,"Thiếu số lượng; ","")&amp;IF(N($K79)&lt;=0,"Thiếu giá bán; ","")&amp;IF(AND($N79&gt;0,$F79=""),"Khách lấy VAT thiếu mã số thuế; ","")&amp;IF(N($Q79)&gt;$P79,"Đã thu vượt tổng phải thu; ","")&amp;IF(AND($L79&gt;0,$U79&lt;&gt;"",$U79&lt;0),"CẢNH BÁO: ĐƠN NÀY ĐANG LỖ; ","")))</f>
        <v/>
      </c>
    </row>
    <row r="80" customFormat="false" ht="15" hidden="false" customHeight="false" outlineLevel="0" collapsed="false">
      <c r="A80" s="21" t="str">
        <f aca="false">IF($C80="","",COUNTA($C$10:$C80))</f>
        <v/>
      </c>
      <c r="B80" s="18"/>
      <c r="C80" s="11"/>
      <c r="D80" s="11"/>
      <c r="E80" s="11"/>
      <c r="F80" s="11"/>
      <c r="G80" s="11"/>
      <c r="H80" s="11"/>
      <c r="I80" s="12"/>
      <c r="J80" s="13" t="str">
        <f aca="false">IF($H80="","",IFERROR(VLOOKUP($H80,'BẢNG GIÁ GỐC'!$A$5:$D$254,3,FALSE()),""))</f>
        <v/>
      </c>
      <c r="K80" s="12"/>
      <c r="L80" s="13" t="str">
        <f aca="false">IF($C80="","",N($I80)*N($K80))</f>
        <v/>
      </c>
      <c r="M80" s="11"/>
      <c r="N80" s="14" t="str">
        <f aca="false">IF($C80="","",IF($M80="VAT 5%",0.05,IF($M80="VAT 8%",0.08,IF($M80="VAT 10%",0.1,0))))</f>
        <v/>
      </c>
      <c r="O80" s="13" t="str">
        <f aca="false">IF($C80="","",$L80*$N80)</f>
        <v/>
      </c>
      <c r="P80" s="13" t="str">
        <f aca="false">IF($C80="","",$L80+$O80)</f>
        <v/>
      </c>
      <c r="Q80" s="12"/>
      <c r="R80" s="13" t="str">
        <f aca="false">IF($C80="","",MAX(0,$P80-N($Q80)))</f>
        <v/>
      </c>
      <c r="S80" s="23" t="str">
        <f aca="false">IF(OR($C80="",$P80=0),"",IF(N($Q80)&lt;=0,"Chưa thanh toán",IF(N($Q80)&lt;$P80,"Thanh toán một phần","Đã thanh toán")))</f>
        <v/>
      </c>
      <c r="T80" s="13" t="str">
        <f aca="false">IF(OR($C80="",$J80=""),"",N($I80)*$J80)</f>
        <v/>
      </c>
      <c r="U80" s="13" t="str">
        <f aca="false">IF(OR($C80="",$T80=""),"",$L80-$T80)</f>
        <v/>
      </c>
      <c r="V80" s="14" t="str">
        <f aca="false">IF(OR($U80="",$L80=0),"",$U80/$L80)</f>
        <v/>
      </c>
      <c r="W80" s="11"/>
      <c r="X80" s="23" t="str">
        <f aca="false">IF($C80="","",IF(AND($H80="",N($I80)=0,N($K80)=0),"Dòng chỉ lưu thông tin khách (chưa có đơn); ",IF($B80="","Thiếu ngày đặt; ","")&amp;IF($H80="","Thiếu tên sản phẩm; ",IF($J80="","Chưa khai GIÁ GỐC ở BẢNG GIÁ GỐC; ",""))&amp;IF(N($I80)&lt;=0,"Thiếu số lượng; ","")&amp;IF(N($K80)&lt;=0,"Thiếu giá bán; ","")&amp;IF(AND($N80&gt;0,$F80=""),"Khách lấy VAT thiếu mã số thuế; ","")&amp;IF(N($Q80)&gt;$P80,"Đã thu vượt tổng phải thu; ","")&amp;IF(AND($L80&gt;0,$U80&lt;&gt;"",$U80&lt;0),"CẢNH BÁO: ĐƠN NÀY ĐANG LỖ; ","")))</f>
        <v/>
      </c>
    </row>
    <row r="81" customFormat="false" ht="15" hidden="false" customHeight="false" outlineLevel="0" collapsed="false">
      <c r="A81" s="21" t="str">
        <f aca="false">IF($C81="","",COUNTA($C$10:$C81))</f>
        <v/>
      </c>
      <c r="B81" s="18"/>
      <c r="C81" s="11"/>
      <c r="D81" s="11"/>
      <c r="E81" s="11"/>
      <c r="F81" s="11"/>
      <c r="G81" s="11"/>
      <c r="H81" s="11"/>
      <c r="I81" s="12"/>
      <c r="J81" s="13" t="str">
        <f aca="false">IF($H81="","",IFERROR(VLOOKUP($H81,'BẢNG GIÁ GỐC'!$A$5:$D$254,3,FALSE()),""))</f>
        <v/>
      </c>
      <c r="K81" s="12"/>
      <c r="L81" s="13" t="str">
        <f aca="false">IF($C81="","",N($I81)*N($K81))</f>
        <v/>
      </c>
      <c r="M81" s="11"/>
      <c r="N81" s="14" t="str">
        <f aca="false">IF($C81="","",IF($M81="VAT 5%",0.05,IF($M81="VAT 8%",0.08,IF($M81="VAT 10%",0.1,0))))</f>
        <v/>
      </c>
      <c r="O81" s="13" t="str">
        <f aca="false">IF($C81="","",$L81*$N81)</f>
        <v/>
      </c>
      <c r="P81" s="13" t="str">
        <f aca="false">IF($C81="","",$L81+$O81)</f>
        <v/>
      </c>
      <c r="Q81" s="12"/>
      <c r="R81" s="13" t="str">
        <f aca="false">IF($C81="","",MAX(0,$P81-N($Q81)))</f>
        <v/>
      </c>
      <c r="S81" s="23" t="str">
        <f aca="false">IF(OR($C81="",$P81=0),"",IF(N($Q81)&lt;=0,"Chưa thanh toán",IF(N($Q81)&lt;$P81,"Thanh toán một phần","Đã thanh toán")))</f>
        <v/>
      </c>
      <c r="T81" s="13" t="str">
        <f aca="false">IF(OR($C81="",$J81=""),"",N($I81)*$J81)</f>
        <v/>
      </c>
      <c r="U81" s="13" t="str">
        <f aca="false">IF(OR($C81="",$T81=""),"",$L81-$T81)</f>
        <v/>
      </c>
      <c r="V81" s="14" t="str">
        <f aca="false">IF(OR($U81="",$L81=0),"",$U81/$L81)</f>
        <v/>
      </c>
      <c r="W81" s="11"/>
      <c r="X81" s="23" t="str">
        <f aca="false">IF($C81="","",IF(AND($H81="",N($I81)=0,N($K81)=0),"Dòng chỉ lưu thông tin khách (chưa có đơn); ",IF($B81="","Thiếu ngày đặt; ","")&amp;IF($H81="","Thiếu tên sản phẩm; ",IF($J81="","Chưa khai GIÁ GỐC ở BẢNG GIÁ GỐC; ",""))&amp;IF(N($I81)&lt;=0,"Thiếu số lượng; ","")&amp;IF(N($K81)&lt;=0,"Thiếu giá bán; ","")&amp;IF(AND($N81&gt;0,$F81=""),"Khách lấy VAT thiếu mã số thuế; ","")&amp;IF(N($Q81)&gt;$P81,"Đã thu vượt tổng phải thu; ","")&amp;IF(AND($L81&gt;0,$U81&lt;&gt;"",$U81&lt;0),"CẢNH BÁO: ĐƠN NÀY ĐANG LỖ; ","")))</f>
        <v/>
      </c>
    </row>
    <row r="82" customFormat="false" ht="15" hidden="false" customHeight="false" outlineLevel="0" collapsed="false">
      <c r="A82" s="21" t="str">
        <f aca="false">IF($C82="","",COUNTA($C$10:$C82))</f>
        <v/>
      </c>
      <c r="B82" s="18"/>
      <c r="C82" s="11"/>
      <c r="D82" s="11"/>
      <c r="E82" s="11"/>
      <c r="F82" s="11"/>
      <c r="G82" s="11"/>
      <c r="H82" s="11"/>
      <c r="I82" s="12"/>
      <c r="J82" s="13" t="str">
        <f aca="false">IF($H82="","",IFERROR(VLOOKUP($H82,'BẢNG GIÁ GỐC'!$A$5:$D$254,3,FALSE()),""))</f>
        <v/>
      </c>
      <c r="K82" s="12"/>
      <c r="L82" s="13" t="str">
        <f aca="false">IF($C82="","",N($I82)*N($K82))</f>
        <v/>
      </c>
      <c r="M82" s="11"/>
      <c r="N82" s="14" t="str">
        <f aca="false">IF($C82="","",IF($M82="VAT 5%",0.05,IF($M82="VAT 8%",0.08,IF($M82="VAT 10%",0.1,0))))</f>
        <v/>
      </c>
      <c r="O82" s="13" t="str">
        <f aca="false">IF($C82="","",$L82*$N82)</f>
        <v/>
      </c>
      <c r="P82" s="13" t="str">
        <f aca="false">IF($C82="","",$L82+$O82)</f>
        <v/>
      </c>
      <c r="Q82" s="12"/>
      <c r="R82" s="13" t="str">
        <f aca="false">IF($C82="","",MAX(0,$P82-N($Q82)))</f>
        <v/>
      </c>
      <c r="S82" s="23" t="str">
        <f aca="false">IF(OR($C82="",$P82=0),"",IF(N($Q82)&lt;=0,"Chưa thanh toán",IF(N($Q82)&lt;$P82,"Thanh toán một phần","Đã thanh toán")))</f>
        <v/>
      </c>
      <c r="T82" s="13" t="str">
        <f aca="false">IF(OR($C82="",$J82=""),"",N($I82)*$J82)</f>
        <v/>
      </c>
      <c r="U82" s="13" t="str">
        <f aca="false">IF(OR($C82="",$T82=""),"",$L82-$T82)</f>
        <v/>
      </c>
      <c r="V82" s="14" t="str">
        <f aca="false">IF(OR($U82="",$L82=0),"",$U82/$L82)</f>
        <v/>
      </c>
      <c r="W82" s="11"/>
      <c r="X82" s="23" t="str">
        <f aca="false">IF($C82="","",IF(AND($H82="",N($I82)=0,N($K82)=0),"Dòng chỉ lưu thông tin khách (chưa có đơn); ",IF($B82="","Thiếu ngày đặt; ","")&amp;IF($H82="","Thiếu tên sản phẩm; ",IF($J82="","Chưa khai GIÁ GỐC ở BẢNG GIÁ GỐC; ",""))&amp;IF(N($I82)&lt;=0,"Thiếu số lượng; ","")&amp;IF(N($K82)&lt;=0,"Thiếu giá bán; ","")&amp;IF(AND($N82&gt;0,$F82=""),"Khách lấy VAT thiếu mã số thuế; ","")&amp;IF(N($Q82)&gt;$P82,"Đã thu vượt tổng phải thu; ","")&amp;IF(AND($L82&gt;0,$U82&lt;&gt;"",$U82&lt;0),"CẢNH BÁO: ĐƠN NÀY ĐANG LỖ; ","")))</f>
        <v/>
      </c>
    </row>
    <row r="83" customFormat="false" ht="15" hidden="false" customHeight="false" outlineLevel="0" collapsed="false">
      <c r="A83" s="21" t="str">
        <f aca="false">IF($C83="","",COUNTA($C$10:$C83))</f>
        <v/>
      </c>
      <c r="B83" s="18"/>
      <c r="C83" s="11"/>
      <c r="D83" s="11"/>
      <c r="E83" s="11"/>
      <c r="F83" s="11"/>
      <c r="G83" s="11"/>
      <c r="H83" s="11"/>
      <c r="I83" s="12"/>
      <c r="J83" s="13" t="str">
        <f aca="false">IF($H83="","",IFERROR(VLOOKUP($H83,'BẢNG GIÁ GỐC'!$A$5:$D$254,3,FALSE()),""))</f>
        <v/>
      </c>
      <c r="K83" s="12"/>
      <c r="L83" s="13" t="str">
        <f aca="false">IF($C83="","",N($I83)*N($K83))</f>
        <v/>
      </c>
      <c r="M83" s="11"/>
      <c r="N83" s="14" t="str">
        <f aca="false">IF($C83="","",IF($M83="VAT 5%",0.05,IF($M83="VAT 8%",0.08,IF($M83="VAT 10%",0.1,0))))</f>
        <v/>
      </c>
      <c r="O83" s="13" t="str">
        <f aca="false">IF($C83="","",$L83*$N83)</f>
        <v/>
      </c>
      <c r="P83" s="13" t="str">
        <f aca="false">IF($C83="","",$L83+$O83)</f>
        <v/>
      </c>
      <c r="Q83" s="12"/>
      <c r="R83" s="13" t="str">
        <f aca="false">IF($C83="","",MAX(0,$P83-N($Q83)))</f>
        <v/>
      </c>
      <c r="S83" s="23" t="str">
        <f aca="false">IF(OR($C83="",$P83=0),"",IF(N($Q83)&lt;=0,"Chưa thanh toán",IF(N($Q83)&lt;$P83,"Thanh toán một phần","Đã thanh toán")))</f>
        <v/>
      </c>
      <c r="T83" s="13" t="str">
        <f aca="false">IF(OR($C83="",$J83=""),"",N($I83)*$J83)</f>
        <v/>
      </c>
      <c r="U83" s="13" t="str">
        <f aca="false">IF(OR($C83="",$T83=""),"",$L83-$T83)</f>
        <v/>
      </c>
      <c r="V83" s="14" t="str">
        <f aca="false">IF(OR($U83="",$L83=0),"",$U83/$L83)</f>
        <v/>
      </c>
      <c r="W83" s="11"/>
      <c r="X83" s="23" t="str">
        <f aca="false">IF($C83="","",IF(AND($H83="",N($I83)=0,N($K83)=0),"Dòng chỉ lưu thông tin khách (chưa có đơn); ",IF($B83="","Thiếu ngày đặt; ","")&amp;IF($H83="","Thiếu tên sản phẩm; ",IF($J83="","Chưa khai GIÁ GỐC ở BẢNG GIÁ GỐC; ",""))&amp;IF(N($I83)&lt;=0,"Thiếu số lượng; ","")&amp;IF(N($K83)&lt;=0,"Thiếu giá bán; ","")&amp;IF(AND($N83&gt;0,$F83=""),"Khách lấy VAT thiếu mã số thuế; ","")&amp;IF(N($Q83)&gt;$P83,"Đã thu vượt tổng phải thu; ","")&amp;IF(AND($L83&gt;0,$U83&lt;&gt;"",$U83&lt;0),"CẢNH BÁO: ĐƠN NÀY ĐANG LỖ; ","")))</f>
        <v/>
      </c>
    </row>
    <row r="84" customFormat="false" ht="15" hidden="false" customHeight="false" outlineLevel="0" collapsed="false">
      <c r="A84" s="21" t="str">
        <f aca="false">IF($C84="","",COUNTA($C$10:$C84))</f>
        <v/>
      </c>
      <c r="B84" s="18"/>
      <c r="C84" s="11"/>
      <c r="D84" s="11"/>
      <c r="E84" s="11"/>
      <c r="F84" s="11"/>
      <c r="G84" s="11"/>
      <c r="H84" s="11"/>
      <c r="I84" s="12"/>
      <c r="J84" s="13" t="str">
        <f aca="false">IF($H84="","",IFERROR(VLOOKUP($H84,'BẢNG GIÁ GỐC'!$A$5:$D$254,3,FALSE()),""))</f>
        <v/>
      </c>
      <c r="K84" s="12"/>
      <c r="L84" s="13" t="str">
        <f aca="false">IF($C84="","",N($I84)*N($K84))</f>
        <v/>
      </c>
      <c r="M84" s="11"/>
      <c r="N84" s="14" t="str">
        <f aca="false">IF($C84="","",IF($M84="VAT 5%",0.05,IF($M84="VAT 8%",0.08,IF($M84="VAT 10%",0.1,0))))</f>
        <v/>
      </c>
      <c r="O84" s="13" t="str">
        <f aca="false">IF($C84="","",$L84*$N84)</f>
        <v/>
      </c>
      <c r="P84" s="13" t="str">
        <f aca="false">IF($C84="","",$L84+$O84)</f>
        <v/>
      </c>
      <c r="Q84" s="12"/>
      <c r="R84" s="13" t="str">
        <f aca="false">IF($C84="","",MAX(0,$P84-N($Q84)))</f>
        <v/>
      </c>
      <c r="S84" s="23" t="str">
        <f aca="false">IF(OR($C84="",$P84=0),"",IF(N($Q84)&lt;=0,"Chưa thanh toán",IF(N($Q84)&lt;$P84,"Thanh toán một phần","Đã thanh toán")))</f>
        <v/>
      </c>
      <c r="T84" s="13" t="str">
        <f aca="false">IF(OR($C84="",$J84=""),"",N($I84)*$J84)</f>
        <v/>
      </c>
      <c r="U84" s="13" t="str">
        <f aca="false">IF(OR($C84="",$T84=""),"",$L84-$T84)</f>
        <v/>
      </c>
      <c r="V84" s="14" t="str">
        <f aca="false">IF(OR($U84="",$L84=0),"",$U84/$L84)</f>
        <v/>
      </c>
      <c r="W84" s="11"/>
      <c r="X84" s="23" t="str">
        <f aca="false">IF($C84="","",IF(AND($H84="",N($I84)=0,N($K84)=0),"Dòng chỉ lưu thông tin khách (chưa có đơn); ",IF($B84="","Thiếu ngày đặt; ","")&amp;IF($H84="","Thiếu tên sản phẩm; ",IF($J84="","Chưa khai GIÁ GỐC ở BẢNG GIÁ GỐC; ",""))&amp;IF(N($I84)&lt;=0,"Thiếu số lượng; ","")&amp;IF(N($K84)&lt;=0,"Thiếu giá bán; ","")&amp;IF(AND($N84&gt;0,$F84=""),"Khách lấy VAT thiếu mã số thuế; ","")&amp;IF(N($Q84)&gt;$P84,"Đã thu vượt tổng phải thu; ","")&amp;IF(AND($L84&gt;0,$U84&lt;&gt;"",$U84&lt;0),"CẢNH BÁO: ĐƠN NÀY ĐANG LỖ; ","")))</f>
        <v/>
      </c>
    </row>
    <row r="85" customFormat="false" ht="15" hidden="false" customHeight="false" outlineLevel="0" collapsed="false">
      <c r="A85" s="21" t="str">
        <f aca="false">IF($C85="","",COUNTA($C$10:$C85))</f>
        <v/>
      </c>
      <c r="B85" s="18"/>
      <c r="C85" s="11"/>
      <c r="D85" s="11"/>
      <c r="E85" s="11"/>
      <c r="F85" s="11"/>
      <c r="G85" s="11"/>
      <c r="H85" s="11"/>
      <c r="I85" s="12"/>
      <c r="J85" s="13" t="str">
        <f aca="false">IF($H85="","",IFERROR(VLOOKUP($H85,'BẢNG GIÁ GỐC'!$A$5:$D$254,3,FALSE()),""))</f>
        <v/>
      </c>
      <c r="K85" s="12"/>
      <c r="L85" s="13" t="str">
        <f aca="false">IF($C85="","",N($I85)*N($K85))</f>
        <v/>
      </c>
      <c r="M85" s="11"/>
      <c r="N85" s="14" t="str">
        <f aca="false">IF($C85="","",IF($M85="VAT 5%",0.05,IF($M85="VAT 8%",0.08,IF($M85="VAT 10%",0.1,0))))</f>
        <v/>
      </c>
      <c r="O85" s="13" t="str">
        <f aca="false">IF($C85="","",$L85*$N85)</f>
        <v/>
      </c>
      <c r="P85" s="13" t="str">
        <f aca="false">IF($C85="","",$L85+$O85)</f>
        <v/>
      </c>
      <c r="Q85" s="12"/>
      <c r="R85" s="13" t="str">
        <f aca="false">IF($C85="","",MAX(0,$P85-N($Q85)))</f>
        <v/>
      </c>
      <c r="S85" s="23" t="str">
        <f aca="false">IF(OR($C85="",$P85=0),"",IF(N($Q85)&lt;=0,"Chưa thanh toán",IF(N($Q85)&lt;$P85,"Thanh toán một phần","Đã thanh toán")))</f>
        <v/>
      </c>
      <c r="T85" s="13" t="str">
        <f aca="false">IF(OR($C85="",$J85=""),"",N($I85)*$J85)</f>
        <v/>
      </c>
      <c r="U85" s="13" t="str">
        <f aca="false">IF(OR($C85="",$T85=""),"",$L85-$T85)</f>
        <v/>
      </c>
      <c r="V85" s="14" t="str">
        <f aca="false">IF(OR($U85="",$L85=0),"",$U85/$L85)</f>
        <v/>
      </c>
      <c r="W85" s="11"/>
      <c r="X85" s="23" t="str">
        <f aca="false">IF($C85="","",IF(AND($H85="",N($I85)=0,N($K85)=0),"Dòng chỉ lưu thông tin khách (chưa có đơn); ",IF($B85="","Thiếu ngày đặt; ","")&amp;IF($H85="","Thiếu tên sản phẩm; ",IF($J85="","Chưa khai GIÁ GỐC ở BẢNG GIÁ GỐC; ",""))&amp;IF(N($I85)&lt;=0,"Thiếu số lượng; ","")&amp;IF(N($K85)&lt;=0,"Thiếu giá bán; ","")&amp;IF(AND($N85&gt;0,$F85=""),"Khách lấy VAT thiếu mã số thuế; ","")&amp;IF(N($Q85)&gt;$P85,"Đã thu vượt tổng phải thu; ","")&amp;IF(AND($L85&gt;0,$U85&lt;&gt;"",$U85&lt;0),"CẢNH BÁO: ĐƠN NÀY ĐANG LỖ; ","")))</f>
        <v/>
      </c>
    </row>
    <row r="86" customFormat="false" ht="15" hidden="false" customHeight="false" outlineLevel="0" collapsed="false">
      <c r="A86" s="21" t="str">
        <f aca="false">IF($C86="","",COUNTA($C$10:$C86))</f>
        <v/>
      </c>
      <c r="B86" s="18"/>
      <c r="C86" s="11"/>
      <c r="D86" s="11"/>
      <c r="E86" s="11"/>
      <c r="F86" s="11"/>
      <c r="G86" s="11"/>
      <c r="H86" s="11"/>
      <c r="I86" s="12"/>
      <c r="J86" s="13" t="str">
        <f aca="false">IF($H86="","",IFERROR(VLOOKUP($H86,'BẢNG GIÁ GỐC'!$A$5:$D$254,3,FALSE()),""))</f>
        <v/>
      </c>
      <c r="K86" s="12"/>
      <c r="L86" s="13" t="str">
        <f aca="false">IF($C86="","",N($I86)*N($K86))</f>
        <v/>
      </c>
      <c r="M86" s="11"/>
      <c r="N86" s="14" t="str">
        <f aca="false">IF($C86="","",IF($M86="VAT 5%",0.05,IF($M86="VAT 8%",0.08,IF($M86="VAT 10%",0.1,0))))</f>
        <v/>
      </c>
      <c r="O86" s="13" t="str">
        <f aca="false">IF($C86="","",$L86*$N86)</f>
        <v/>
      </c>
      <c r="P86" s="13" t="str">
        <f aca="false">IF($C86="","",$L86+$O86)</f>
        <v/>
      </c>
      <c r="Q86" s="12"/>
      <c r="R86" s="13" t="str">
        <f aca="false">IF($C86="","",MAX(0,$P86-N($Q86)))</f>
        <v/>
      </c>
      <c r="S86" s="23" t="str">
        <f aca="false">IF(OR($C86="",$P86=0),"",IF(N($Q86)&lt;=0,"Chưa thanh toán",IF(N($Q86)&lt;$P86,"Thanh toán một phần","Đã thanh toán")))</f>
        <v/>
      </c>
      <c r="T86" s="13" t="str">
        <f aca="false">IF(OR($C86="",$J86=""),"",N($I86)*$J86)</f>
        <v/>
      </c>
      <c r="U86" s="13" t="str">
        <f aca="false">IF(OR($C86="",$T86=""),"",$L86-$T86)</f>
        <v/>
      </c>
      <c r="V86" s="14" t="str">
        <f aca="false">IF(OR($U86="",$L86=0),"",$U86/$L86)</f>
        <v/>
      </c>
      <c r="W86" s="11"/>
      <c r="X86" s="23" t="str">
        <f aca="false">IF($C86="","",IF(AND($H86="",N($I86)=0,N($K86)=0),"Dòng chỉ lưu thông tin khách (chưa có đơn); ",IF($B86="","Thiếu ngày đặt; ","")&amp;IF($H86="","Thiếu tên sản phẩm; ",IF($J86="","Chưa khai GIÁ GỐC ở BẢNG GIÁ GỐC; ",""))&amp;IF(N($I86)&lt;=0,"Thiếu số lượng; ","")&amp;IF(N($K86)&lt;=0,"Thiếu giá bán; ","")&amp;IF(AND($N86&gt;0,$F86=""),"Khách lấy VAT thiếu mã số thuế; ","")&amp;IF(N($Q86)&gt;$P86,"Đã thu vượt tổng phải thu; ","")&amp;IF(AND($L86&gt;0,$U86&lt;&gt;"",$U86&lt;0),"CẢNH BÁO: ĐƠN NÀY ĐANG LỖ; ","")))</f>
        <v/>
      </c>
    </row>
    <row r="87" customFormat="false" ht="15" hidden="false" customHeight="false" outlineLevel="0" collapsed="false">
      <c r="A87" s="21" t="str">
        <f aca="false">IF($C87="","",COUNTA($C$10:$C87))</f>
        <v/>
      </c>
      <c r="B87" s="18"/>
      <c r="C87" s="11"/>
      <c r="D87" s="11"/>
      <c r="E87" s="11"/>
      <c r="F87" s="11"/>
      <c r="G87" s="11"/>
      <c r="H87" s="11"/>
      <c r="I87" s="12"/>
      <c r="J87" s="13" t="str">
        <f aca="false">IF($H87="","",IFERROR(VLOOKUP($H87,'BẢNG GIÁ GỐC'!$A$5:$D$254,3,FALSE()),""))</f>
        <v/>
      </c>
      <c r="K87" s="12"/>
      <c r="L87" s="13" t="str">
        <f aca="false">IF($C87="","",N($I87)*N($K87))</f>
        <v/>
      </c>
      <c r="M87" s="11"/>
      <c r="N87" s="14" t="str">
        <f aca="false">IF($C87="","",IF($M87="VAT 5%",0.05,IF($M87="VAT 8%",0.08,IF($M87="VAT 10%",0.1,0))))</f>
        <v/>
      </c>
      <c r="O87" s="13" t="str">
        <f aca="false">IF($C87="","",$L87*$N87)</f>
        <v/>
      </c>
      <c r="P87" s="13" t="str">
        <f aca="false">IF($C87="","",$L87+$O87)</f>
        <v/>
      </c>
      <c r="Q87" s="12"/>
      <c r="R87" s="13" t="str">
        <f aca="false">IF($C87="","",MAX(0,$P87-N($Q87)))</f>
        <v/>
      </c>
      <c r="S87" s="23" t="str">
        <f aca="false">IF(OR($C87="",$P87=0),"",IF(N($Q87)&lt;=0,"Chưa thanh toán",IF(N($Q87)&lt;$P87,"Thanh toán một phần","Đã thanh toán")))</f>
        <v/>
      </c>
      <c r="T87" s="13" t="str">
        <f aca="false">IF(OR($C87="",$J87=""),"",N($I87)*$J87)</f>
        <v/>
      </c>
      <c r="U87" s="13" t="str">
        <f aca="false">IF(OR($C87="",$T87=""),"",$L87-$T87)</f>
        <v/>
      </c>
      <c r="V87" s="14" t="str">
        <f aca="false">IF(OR($U87="",$L87=0),"",$U87/$L87)</f>
        <v/>
      </c>
      <c r="W87" s="11"/>
      <c r="X87" s="23" t="str">
        <f aca="false">IF($C87="","",IF(AND($H87="",N($I87)=0,N($K87)=0),"Dòng chỉ lưu thông tin khách (chưa có đơn); ",IF($B87="","Thiếu ngày đặt; ","")&amp;IF($H87="","Thiếu tên sản phẩm; ",IF($J87="","Chưa khai GIÁ GỐC ở BẢNG GIÁ GỐC; ",""))&amp;IF(N($I87)&lt;=0,"Thiếu số lượng; ","")&amp;IF(N($K87)&lt;=0,"Thiếu giá bán; ","")&amp;IF(AND($N87&gt;0,$F87=""),"Khách lấy VAT thiếu mã số thuế; ","")&amp;IF(N($Q87)&gt;$P87,"Đã thu vượt tổng phải thu; ","")&amp;IF(AND($L87&gt;0,$U87&lt;&gt;"",$U87&lt;0),"CẢNH BÁO: ĐƠN NÀY ĐANG LỖ; ","")))</f>
        <v/>
      </c>
    </row>
    <row r="88" customFormat="false" ht="15" hidden="false" customHeight="false" outlineLevel="0" collapsed="false">
      <c r="A88" s="21" t="str">
        <f aca="false">IF($C88="","",COUNTA($C$10:$C88))</f>
        <v/>
      </c>
      <c r="B88" s="18"/>
      <c r="C88" s="11"/>
      <c r="D88" s="11"/>
      <c r="E88" s="11"/>
      <c r="F88" s="11"/>
      <c r="G88" s="11"/>
      <c r="H88" s="11"/>
      <c r="I88" s="12"/>
      <c r="J88" s="13" t="str">
        <f aca="false">IF($H88="","",IFERROR(VLOOKUP($H88,'BẢNG GIÁ GỐC'!$A$5:$D$254,3,FALSE()),""))</f>
        <v/>
      </c>
      <c r="K88" s="12"/>
      <c r="L88" s="13" t="str">
        <f aca="false">IF($C88="","",N($I88)*N($K88))</f>
        <v/>
      </c>
      <c r="M88" s="11"/>
      <c r="N88" s="14" t="str">
        <f aca="false">IF($C88="","",IF($M88="VAT 5%",0.05,IF($M88="VAT 8%",0.08,IF($M88="VAT 10%",0.1,0))))</f>
        <v/>
      </c>
      <c r="O88" s="13" t="str">
        <f aca="false">IF($C88="","",$L88*$N88)</f>
        <v/>
      </c>
      <c r="P88" s="13" t="str">
        <f aca="false">IF($C88="","",$L88+$O88)</f>
        <v/>
      </c>
      <c r="Q88" s="12"/>
      <c r="R88" s="13" t="str">
        <f aca="false">IF($C88="","",MAX(0,$P88-N($Q88)))</f>
        <v/>
      </c>
      <c r="S88" s="23" t="str">
        <f aca="false">IF(OR($C88="",$P88=0),"",IF(N($Q88)&lt;=0,"Chưa thanh toán",IF(N($Q88)&lt;$P88,"Thanh toán một phần","Đã thanh toán")))</f>
        <v/>
      </c>
      <c r="T88" s="13" t="str">
        <f aca="false">IF(OR($C88="",$J88=""),"",N($I88)*$J88)</f>
        <v/>
      </c>
      <c r="U88" s="13" t="str">
        <f aca="false">IF(OR($C88="",$T88=""),"",$L88-$T88)</f>
        <v/>
      </c>
      <c r="V88" s="14" t="str">
        <f aca="false">IF(OR($U88="",$L88=0),"",$U88/$L88)</f>
        <v/>
      </c>
      <c r="W88" s="11"/>
      <c r="X88" s="23" t="str">
        <f aca="false">IF($C88="","",IF(AND($H88="",N($I88)=0,N($K88)=0),"Dòng chỉ lưu thông tin khách (chưa có đơn); ",IF($B88="","Thiếu ngày đặt; ","")&amp;IF($H88="","Thiếu tên sản phẩm; ",IF($J88="","Chưa khai GIÁ GỐC ở BẢNG GIÁ GỐC; ",""))&amp;IF(N($I88)&lt;=0,"Thiếu số lượng; ","")&amp;IF(N($K88)&lt;=0,"Thiếu giá bán; ","")&amp;IF(AND($N88&gt;0,$F88=""),"Khách lấy VAT thiếu mã số thuế; ","")&amp;IF(N($Q88)&gt;$P88,"Đã thu vượt tổng phải thu; ","")&amp;IF(AND($L88&gt;0,$U88&lt;&gt;"",$U88&lt;0),"CẢNH BÁO: ĐƠN NÀY ĐANG LỖ; ","")))</f>
        <v/>
      </c>
    </row>
    <row r="89" customFormat="false" ht="15" hidden="false" customHeight="false" outlineLevel="0" collapsed="false">
      <c r="A89" s="21" t="str">
        <f aca="false">IF($C89="","",COUNTA($C$10:$C89))</f>
        <v/>
      </c>
      <c r="B89" s="18"/>
      <c r="C89" s="11"/>
      <c r="D89" s="11"/>
      <c r="E89" s="11"/>
      <c r="F89" s="11"/>
      <c r="G89" s="11"/>
      <c r="H89" s="11"/>
      <c r="I89" s="12"/>
      <c r="J89" s="13" t="str">
        <f aca="false">IF($H89="","",IFERROR(VLOOKUP($H89,'BẢNG GIÁ GỐC'!$A$5:$D$254,3,FALSE()),""))</f>
        <v/>
      </c>
      <c r="K89" s="12"/>
      <c r="L89" s="13" t="str">
        <f aca="false">IF($C89="","",N($I89)*N($K89))</f>
        <v/>
      </c>
      <c r="M89" s="11"/>
      <c r="N89" s="14" t="str">
        <f aca="false">IF($C89="","",IF($M89="VAT 5%",0.05,IF($M89="VAT 8%",0.08,IF($M89="VAT 10%",0.1,0))))</f>
        <v/>
      </c>
      <c r="O89" s="13" t="str">
        <f aca="false">IF($C89="","",$L89*$N89)</f>
        <v/>
      </c>
      <c r="P89" s="13" t="str">
        <f aca="false">IF($C89="","",$L89+$O89)</f>
        <v/>
      </c>
      <c r="Q89" s="12"/>
      <c r="R89" s="13" t="str">
        <f aca="false">IF($C89="","",MAX(0,$P89-N($Q89)))</f>
        <v/>
      </c>
      <c r="S89" s="23" t="str">
        <f aca="false">IF(OR($C89="",$P89=0),"",IF(N($Q89)&lt;=0,"Chưa thanh toán",IF(N($Q89)&lt;$P89,"Thanh toán một phần","Đã thanh toán")))</f>
        <v/>
      </c>
      <c r="T89" s="13" t="str">
        <f aca="false">IF(OR($C89="",$J89=""),"",N($I89)*$J89)</f>
        <v/>
      </c>
      <c r="U89" s="13" t="str">
        <f aca="false">IF(OR($C89="",$T89=""),"",$L89-$T89)</f>
        <v/>
      </c>
      <c r="V89" s="14" t="str">
        <f aca="false">IF(OR($U89="",$L89=0),"",$U89/$L89)</f>
        <v/>
      </c>
      <c r="W89" s="11"/>
      <c r="X89" s="23" t="str">
        <f aca="false">IF($C89="","",IF(AND($H89="",N($I89)=0,N($K89)=0),"Dòng chỉ lưu thông tin khách (chưa có đơn); ",IF($B89="","Thiếu ngày đặt; ","")&amp;IF($H89="","Thiếu tên sản phẩm; ",IF($J89="","Chưa khai GIÁ GỐC ở BẢNG GIÁ GỐC; ",""))&amp;IF(N($I89)&lt;=0,"Thiếu số lượng; ","")&amp;IF(N($K89)&lt;=0,"Thiếu giá bán; ","")&amp;IF(AND($N89&gt;0,$F89=""),"Khách lấy VAT thiếu mã số thuế; ","")&amp;IF(N($Q89)&gt;$P89,"Đã thu vượt tổng phải thu; ","")&amp;IF(AND($L89&gt;0,$U89&lt;&gt;"",$U89&lt;0),"CẢNH BÁO: ĐƠN NÀY ĐANG LỖ; ","")))</f>
        <v/>
      </c>
    </row>
    <row r="90" customFormat="false" ht="15" hidden="false" customHeight="false" outlineLevel="0" collapsed="false">
      <c r="A90" s="21" t="str">
        <f aca="false">IF($C90="","",COUNTA($C$10:$C90))</f>
        <v/>
      </c>
      <c r="B90" s="18"/>
      <c r="C90" s="11"/>
      <c r="D90" s="11"/>
      <c r="E90" s="11"/>
      <c r="F90" s="11"/>
      <c r="G90" s="11"/>
      <c r="H90" s="11"/>
      <c r="I90" s="12"/>
      <c r="J90" s="13" t="str">
        <f aca="false">IF($H90="","",IFERROR(VLOOKUP($H90,'BẢNG GIÁ GỐC'!$A$5:$D$254,3,FALSE()),""))</f>
        <v/>
      </c>
      <c r="K90" s="12"/>
      <c r="L90" s="13" t="str">
        <f aca="false">IF($C90="","",N($I90)*N($K90))</f>
        <v/>
      </c>
      <c r="M90" s="11"/>
      <c r="N90" s="14" t="str">
        <f aca="false">IF($C90="","",IF($M90="VAT 5%",0.05,IF($M90="VAT 8%",0.08,IF($M90="VAT 10%",0.1,0))))</f>
        <v/>
      </c>
      <c r="O90" s="13" t="str">
        <f aca="false">IF($C90="","",$L90*$N90)</f>
        <v/>
      </c>
      <c r="P90" s="13" t="str">
        <f aca="false">IF($C90="","",$L90+$O90)</f>
        <v/>
      </c>
      <c r="Q90" s="12"/>
      <c r="R90" s="13" t="str">
        <f aca="false">IF($C90="","",MAX(0,$P90-N($Q90)))</f>
        <v/>
      </c>
      <c r="S90" s="23" t="str">
        <f aca="false">IF(OR($C90="",$P90=0),"",IF(N($Q90)&lt;=0,"Chưa thanh toán",IF(N($Q90)&lt;$P90,"Thanh toán một phần","Đã thanh toán")))</f>
        <v/>
      </c>
      <c r="T90" s="13" t="str">
        <f aca="false">IF(OR($C90="",$J90=""),"",N($I90)*$J90)</f>
        <v/>
      </c>
      <c r="U90" s="13" t="str">
        <f aca="false">IF(OR($C90="",$T90=""),"",$L90-$T90)</f>
        <v/>
      </c>
      <c r="V90" s="14" t="str">
        <f aca="false">IF(OR($U90="",$L90=0),"",$U90/$L90)</f>
        <v/>
      </c>
      <c r="W90" s="11"/>
      <c r="X90" s="23" t="str">
        <f aca="false">IF($C90="","",IF(AND($H90="",N($I90)=0,N($K90)=0),"Dòng chỉ lưu thông tin khách (chưa có đơn); ",IF($B90="","Thiếu ngày đặt; ","")&amp;IF($H90="","Thiếu tên sản phẩm; ",IF($J90="","Chưa khai GIÁ GỐC ở BẢNG GIÁ GỐC; ",""))&amp;IF(N($I90)&lt;=0,"Thiếu số lượng; ","")&amp;IF(N($K90)&lt;=0,"Thiếu giá bán; ","")&amp;IF(AND($N90&gt;0,$F90=""),"Khách lấy VAT thiếu mã số thuế; ","")&amp;IF(N($Q90)&gt;$P90,"Đã thu vượt tổng phải thu; ","")&amp;IF(AND($L90&gt;0,$U90&lt;&gt;"",$U90&lt;0),"CẢNH BÁO: ĐƠN NÀY ĐANG LỖ; ","")))</f>
        <v/>
      </c>
    </row>
    <row r="91" customFormat="false" ht="15" hidden="false" customHeight="false" outlineLevel="0" collapsed="false">
      <c r="A91" s="21" t="str">
        <f aca="false">IF($C91="","",COUNTA($C$10:$C91))</f>
        <v/>
      </c>
      <c r="B91" s="18"/>
      <c r="C91" s="11"/>
      <c r="D91" s="11"/>
      <c r="E91" s="11"/>
      <c r="F91" s="11"/>
      <c r="G91" s="11"/>
      <c r="H91" s="11"/>
      <c r="I91" s="12"/>
      <c r="J91" s="13" t="str">
        <f aca="false">IF($H91="","",IFERROR(VLOOKUP($H91,'BẢNG GIÁ GỐC'!$A$5:$D$254,3,FALSE()),""))</f>
        <v/>
      </c>
      <c r="K91" s="12"/>
      <c r="L91" s="13" t="str">
        <f aca="false">IF($C91="","",N($I91)*N($K91))</f>
        <v/>
      </c>
      <c r="M91" s="11"/>
      <c r="N91" s="14" t="str">
        <f aca="false">IF($C91="","",IF($M91="VAT 5%",0.05,IF($M91="VAT 8%",0.08,IF($M91="VAT 10%",0.1,0))))</f>
        <v/>
      </c>
      <c r="O91" s="13" t="str">
        <f aca="false">IF($C91="","",$L91*$N91)</f>
        <v/>
      </c>
      <c r="P91" s="13" t="str">
        <f aca="false">IF($C91="","",$L91+$O91)</f>
        <v/>
      </c>
      <c r="Q91" s="12"/>
      <c r="R91" s="13" t="str">
        <f aca="false">IF($C91="","",MAX(0,$P91-N($Q91)))</f>
        <v/>
      </c>
      <c r="S91" s="23" t="str">
        <f aca="false">IF(OR($C91="",$P91=0),"",IF(N($Q91)&lt;=0,"Chưa thanh toán",IF(N($Q91)&lt;$P91,"Thanh toán một phần","Đã thanh toán")))</f>
        <v/>
      </c>
      <c r="T91" s="13" t="str">
        <f aca="false">IF(OR($C91="",$J91=""),"",N($I91)*$J91)</f>
        <v/>
      </c>
      <c r="U91" s="13" t="str">
        <f aca="false">IF(OR($C91="",$T91=""),"",$L91-$T91)</f>
        <v/>
      </c>
      <c r="V91" s="14" t="str">
        <f aca="false">IF(OR($U91="",$L91=0),"",$U91/$L91)</f>
        <v/>
      </c>
      <c r="W91" s="11"/>
      <c r="X91" s="23" t="str">
        <f aca="false">IF($C91="","",IF(AND($H91="",N($I91)=0,N($K91)=0),"Dòng chỉ lưu thông tin khách (chưa có đơn); ",IF($B91="","Thiếu ngày đặt; ","")&amp;IF($H91="","Thiếu tên sản phẩm; ",IF($J91="","Chưa khai GIÁ GỐC ở BẢNG GIÁ GỐC; ",""))&amp;IF(N($I91)&lt;=0,"Thiếu số lượng; ","")&amp;IF(N($K91)&lt;=0,"Thiếu giá bán; ","")&amp;IF(AND($N91&gt;0,$F91=""),"Khách lấy VAT thiếu mã số thuế; ","")&amp;IF(N($Q91)&gt;$P91,"Đã thu vượt tổng phải thu; ","")&amp;IF(AND($L91&gt;0,$U91&lt;&gt;"",$U91&lt;0),"CẢNH BÁO: ĐƠN NÀY ĐANG LỖ; ","")))</f>
        <v/>
      </c>
    </row>
    <row r="92" customFormat="false" ht="15" hidden="false" customHeight="false" outlineLevel="0" collapsed="false">
      <c r="A92" s="21" t="str">
        <f aca="false">IF($C92="","",COUNTA($C$10:$C92))</f>
        <v/>
      </c>
      <c r="B92" s="18"/>
      <c r="C92" s="11"/>
      <c r="D92" s="11"/>
      <c r="E92" s="11"/>
      <c r="F92" s="11"/>
      <c r="G92" s="11"/>
      <c r="H92" s="11"/>
      <c r="I92" s="12"/>
      <c r="J92" s="13" t="str">
        <f aca="false">IF($H92="","",IFERROR(VLOOKUP($H92,'BẢNG GIÁ GỐC'!$A$5:$D$254,3,FALSE()),""))</f>
        <v/>
      </c>
      <c r="K92" s="12"/>
      <c r="L92" s="13" t="str">
        <f aca="false">IF($C92="","",N($I92)*N($K92))</f>
        <v/>
      </c>
      <c r="M92" s="11"/>
      <c r="N92" s="14" t="str">
        <f aca="false">IF($C92="","",IF($M92="VAT 5%",0.05,IF($M92="VAT 8%",0.08,IF($M92="VAT 10%",0.1,0))))</f>
        <v/>
      </c>
      <c r="O92" s="13" t="str">
        <f aca="false">IF($C92="","",$L92*$N92)</f>
        <v/>
      </c>
      <c r="P92" s="13" t="str">
        <f aca="false">IF($C92="","",$L92+$O92)</f>
        <v/>
      </c>
      <c r="Q92" s="12"/>
      <c r="R92" s="13" t="str">
        <f aca="false">IF($C92="","",MAX(0,$P92-N($Q92)))</f>
        <v/>
      </c>
      <c r="S92" s="23" t="str">
        <f aca="false">IF(OR($C92="",$P92=0),"",IF(N($Q92)&lt;=0,"Chưa thanh toán",IF(N($Q92)&lt;$P92,"Thanh toán một phần","Đã thanh toán")))</f>
        <v/>
      </c>
      <c r="T92" s="13" t="str">
        <f aca="false">IF(OR($C92="",$J92=""),"",N($I92)*$J92)</f>
        <v/>
      </c>
      <c r="U92" s="13" t="str">
        <f aca="false">IF(OR($C92="",$T92=""),"",$L92-$T92)</f>
        <v/>
      </c>
      <c r="V92" s="14" t="str">
        <f aca="false">IF(OR($U92="",$L92=0),"",$U92/$L92)</f>
        <v/>
      </c>
      <c r="W92" s="11"/>
      <c r="X92" s="23" t="str">
        <f aca="false">IF($C92="","",IF(AND($H92="",N($I92)=0,N($K92)=0),"Dòng chỉ lưu thông tin khách (chưa có đơn); ",IF($B92="","Thiếu ngày đặt; ","")&amp;IF($H92="","Thiếu tên sản phẩm; ",IF($J92="","Chưa khai GIÁ GỐC ở BẢNG GIÁ GỐC; ",""))&amp;IF(N($I92)&lt;=0,"Thiếu số lượng; ","")&amp;IF(N($K92)&lt;=0,"Thiếu giá bán; ","")&amp;IF(AND($N92&gt;0,$F92=""),"Khách lấy VAT thiếu mã số thuế; ","")&amp;IF(N($Q92)&gt;$P92,"Đã thu vượt tổng phải thu; ","")&amp;IF(AND($L92&gt;0,$U92&lt;&gt;"",$U92&lt;0),"CẢNH BÁO: ĐƠN NÀY ĐANG LỖ; ","")))</f>
        <v/>
      </c>
    </row>
    <row r="93" customFormat="false" ht="15" hidden="false" customHeight="false" outlineLevel="0" collapsed="false">
      <c r="A93" s="21" t="str">
        <f aca="false">IF($C93="","",COUNTA($C$10:$C93))</f>
        <v/>
      </c>
      <c r="B93" s="18"/>
      <c r="C93" s="11"/>
      <c r="D93" s="11"/>
      <c r="E93" s="11"/>
      <c r="F93" s="11"/>
      <c r="G93" s="11"/>
      <c r="H93" s="11"/>
      <c r="I93" s="12"/>
      <c r="J93" s="13" t="str">
        <f aca="false">IF($H93="","",IFERROR(VLOOKUP($H93,'BẢNG GIÁ GỐC'!$A$5:$D$254,3,FALSE()),""))</f>
        <v/>
      </c>
      <c r="K93" s="12"/>
      <c r="L93" s="13" t="str">
        <f aca="false">IF($C93="","",N($I93)*N($K93))</f>
        <v/>
      </c>
      <c r="M93" s="11"/>
      <c r="N93" s="14" t="str">
        <f aca="false">IF($C93="","",IF($M93="VAT 5%",0.05,IF($M93="VAT 8%",0.08,IF($M93="VAT 10%",0.1,0))))</f>
        <v/>
      </c>
      <c r="O93" s="13" t="str">
        <f aca="false">IF($C93="","",$L93*$N93)</f>
        <v/>
      </c>
      <c r="P93" s="13" t="str">
        <f aca="false">IF($C93="","",$L93+$O93)</f>
        <v/>
      </c>
      <c r="Q93" s="12"/>
      <c r="R93" s="13" t="str">
        <f aca="false">IF($C93="","",MAX(0,$P93-N($Q93)))</f>
        <v/>
      </c>
      <c r="S93" s="23" t="str">
        <f aca="false">IF(OR($C93="",$P93=0),"",IF(N($Q93)&lt;=0,"Chưa thanh toán",IF(N($Q93)&lt;$P93,"Thanh toán một phần","Đã thanh toán")))</f>
        <v/>
      </c>
      <c r="T93" s="13" t="str">
        <f aca="false">IF(OR($C93="",$J93=""),"",N($I93)*$J93)</f>
        <v/>
      </c>
      <c r="U93" s="13" t="str">
        <f aca="false">IF(OR($C93="",$T93=""),"",$L93-$T93)</f>
        <v/>
      </c>
      <c r="V93" s="14" t="str">
        <f aca="false">IF(OR($U93="",$L93=0),"",$U93/$L93)</f>
        <v/>
      </c>
      <c r="W93" s="11"/>
      <c r="X93" s="23" t="str">
        <f aca="false">IF($C93="","",IF(AND($H93="",N($I93)=0,N($K93)=0),"Dòng chỉ lưu thông tin khách (chưa có đơn); ",IF($B93="","Thiếu ngày đặt; ","")&amp;IF($H93="","Thiếu tên sản phẩm; ",IF($J93="","Chưa khai GIÁ GỐC ở BẢNG GIÁ GỐC; ",""))&amp;IF(N($I93)&lt;=0,"Thiếu số lượng; ","")&amp;IF(N($K93)&lt;=0,"Thiếu giá bán; ","")&amp;IF(AND($N93&gt;0,$F93=""),"Khách lấy VAT thiếu mã số thuế; ","")&amp;IF(N($Q93)&gt;$P93,"Đã thu vượt tổng phải thu; ","")&amp;IF(AND($L93&gt;0,$U93&lt;&gt;"",$U93&lt;0),"CẢNH BÁO: ĐƠN NÀY ĐANG LỖ; ","")))</f>
        <v/>
      </c>
    </row>
    <row r="94" customFormat="false" ht="15" hidden="false" customHeight="false" outlineLevel="0" collapsed="false">
      <c r="A94" s="21" t="str">
        <f aca="false">IF($C94="","",COUNTA($C$10:$C94))</f>
        <v/>
      </c>
      <c r="B94" s="18"/>
      <c r="C94" s="11"/>
      <c r="D94" s="11"/>
      <c r="E94" s="11"/>
      <c r="F94" s="11"/>
      <c r="G94" s="11"/>
      <c r="H94" s="11"/>
      <c r="I94" s="12"/>
      <c r="J94" s="13" t="str">
        <f aca="false">IF($H94="","",IFERROR(VLOOKUP($H94,'BẢNG GIÁ GỐC'!$A$5:$D$254,3,FALSE()),""))</f>
        <v/>
      </c>
      <c r="K94" s="12"/>
      <c r="L94" s="13" t="str">
        <f aca="false">IF($C94="","",N($I94)*N($K94))</f>
        <v/>
      </c>
      <c r="M94" s="11"/>
      <c r="N94" s="14" t="str">
        <f aca="false">IF($C94="","",IF($M94="VAT 5%",0.05,IF($M94="VAT 8%",0.08,IF($M94="VAT 10%",0.1,0))))</f>
        <v/>
      </c>
      <c r="O94" s="13" t="str">
        <f aca="false">IF($C94="","",$L94*$N94)</f>
        <v/>
      </c>
      <c r="P94" s="13" t="str">
        <f aca="false">IF($C94="","",$L94+$O94)</f>
        <v/>
      </c>
      <c r="Q94" s="12"/>
      <c r="R94" s="13" t="str">
        <f aca="false">IF($C94="","",MAX(0,$P94-N($Q94)))</f>
        <v/>
      </c>
      <c r="S94" s="23" t="str">
        <f aca="false">IF(OR($C94="",$P94=0),"",IF(N($Q94)&lt;=0,"Chưa thanh toán",IF(N($Q94)&lt;$P94,"Thanh toán một phần","Đã thanh toán")))</f>
        <v/>
      </c>
      <c r="T94" s="13" t="str">
        <f aca="false">IF(OR($C94="",$J94=""),"",N($I94)*$J94)</f>
        <v/>
      </c>
      <c r="U94" s="13" t="str">
        <f aca="false">IF(OR($C94="",$T94=""),"",$L94-$T94)</f>
        <v/>
      </c>
      <c r="V94" s="14" t="str">
        <f aca="false">IF(OR($U94="",$L94=0),"",$U94/$L94)</f>
        <v/>
      </c>
      <c r="W94" s="11"/>
      <c r="X94" s="23" t="str">
        <f aca="false">IF($C94="","",IF(AND($H94="",N($I94)=0,N($K94)=0),"Dòng chỉ lưu thông tin khách (chưa có đơn); ",IF($B94="","Thiếu ngày đặt; ","")&amp;IF($H94="","Thiếu tên sản phẩm; ",IF($J94="","Chưa khai GIÁ GỐC ở BẢNG GIÁ GỐC; ",""))&amp;IF(N($I94)&lt;=0,"Thiếu số lượng; ","")&amp;IF(N($K94)&lt;=0,"Thiếu giá bán; ","")&amp;IF(AND($N94&gt;0,$F94=""),"Khách lấy VAT thiếu mã số thuế; ","")&amp;IF(N($Q94)&gt;$P94,"Đã thu vượt tổng phải thu; ","")&amp;IF(AND($L94&gt;0,$U94&lt;&gt;"",$U94&lt;0),"CẢNH BÁO: ĐƠN NÀY ĐANG LỖ; ","")))</f>
        <v/>
      </c>
    </row>
    <row r="95" customFormat="false" ht="15" hidden="false" customHeight="false" outlineLevel="0" collapsed="false">
      <c r="A95" s="21" t="str">
        <f aca="false">IF($C95="","",COUNTA($C$10:$C95))</f>
        <v/>
      </c>
      <c r="B95" s="18"/>
      <c r="C95" s="11"/>
      <c r="D95" s="11"/>
      <c r="E95" s="11"/>
      <c r="F95" s="11"/>
      <c r="G95" s="11"/>
      <c r="H95" s="11"/>
      <c r="I95" s="12"/>
      <c r="J95" s="13" t="str">
        <f aca="false">IF($H95="","",IFERROR(VLOOKUP($H95,'BẢNG GIÁ GỐC'!$A$5:$D$254,3,FALSE()),""))</f>
        <v/>
      </c>
      <c r="K95" s="12"/>
      <c r="L95" s="13" t="str">
        <f aca="false">IF($C95="","",N($I95)*N($K95))</f>
        <v/>
      </c>
      <c r="M95" s="11"/>
      <c r="N95" s="14" t="str">
        <f aca="false">IF($C95="","",IF($M95="VAT 5%",0.05,IF($M95="VAT 8%",0.08,IF($M95="VAT 10%",0.1,0))))</f>
        <v/>
      </c>
      <c r="O95" s="13" t="str">
        <f aca="false">IF($C95="","",$L95*$N95)</f>
        <v/>
      </c>
      <c r="P95" s="13" t="str">
        <f aca="false">IF($C95="","",$L95+$O95)</f>
        <v/>
      </c>
      <c r="Q95" s="12"/>
      <c r="R95" s="13" t="str">
        <f aca="false">IF($C95="","",MAX(0,$P95-N($Q95)))</f>
        <v/>
      </c>
      <c r="S95" s="23" t="str">
        <f aca="false">IF(OR($C95="",$P95=0),"",IF(N($Q95)&lt;=0,"Chưa thanh toán",IF(N($Q95)&lt;$P95,"Thanh toán một phần","Đã thanh toán")))</f>
        <v/>
      </c>
      <c r="T95" s="13" t="str">
        <f aca="false">IF(OR($C95="",$J95=""),"",N($I95)*$J95)</f>
        <v/>
      </c>
      <c r="U95" s="13" t="str">
        <f aca="false">IF(OR($C95="",$T95=""),"",$L95-$T95)</f>
        <v/>
      </c>
      <c r="V95" s="14" t="str">
        <f aca="false">IF(OR($U95="",$L95=0),"",$U95/$L95)</f>
        <v/>
      </c>
      <c r="W95" s="11"/>
      <c r="X95" s="23" t="str">
        <f aca="false">IF($C95="","",IF(AND($H95="",N($I95)=0,N($K95)=0),"Dòng chỉ lưu thông tin khách (chưa có đơn); ",IF($B95="","Thiếu ngày đặt; ","")&amp;IF($H95="","Thiếu tên sản phẩm; ",IF($J95="","Chưa khai GIÁ GỐC ở BẢNG GIÁ GỐC; ",""))&amp;IF(N($I95)&lt;=0,"Thiếu số lượng; ","")&amp;IF(N($K95)&lt;=0,"Thiếu giá bán; ","")&amp;IF(AND($N95&gt;0,$F95=""),"Khách lấy VAT thiếu mã số thuế; ","")&amp;IF(N($Q95)&gt;$P95,"Đã thu vượt tổng phải thu; ","")&amp;IF(AND($L95&gt;0,$U95&lt;&gt;"",$U95&lt;0),"CẢNH BÁO: ĐƠN NÀY ĐANG LỖ; ","")))</f>
        <v/>
      </c>
    </row>
    <row r="96" customFormat="false" ht="15" hidden="false" customHeight="false" outlineLevel="0" collapsed="false">
      <c r="A96" s="21" t="str">
        <f aca="false">IF($C96="","",COUNTA($C$10:$C96))</f>
        <v/>
      </c>
      <c r="B96" s="18"/>
      <c r="C96" s="11"/>
      <c r="D96" s="11"/>
      <c r="E96" s="11"/>
      <c r="F96" s="11"/>
      <c r="G96" s="11"/>
      <c r="H96" s="11"/>
      <c r="I96" s="12"/>
      <c r="J96" s="13" t="str">
        <f aca="false">IF($H96="","",IFERROR(VLOOKUP($H96,'BẢNG GIÁ GỐC'!$A$5:$D$254,3,FALSE()),""))</f>
        <v/>
      </c>
      <c r="K96" s="12"/>
      <c r="L96" s="13" t="str">
        <f aca="false">IF($C96="","",N($I96)*N($K96))</f>
        <v/>
      </c>
      <c r="M96" s="11"/>
      <c r="N96" s="14" t="str">
        <f aca="false">IF($C96="","",IF($M96="VAT 5%",0.05,IF($M96="VAT 8%",0.08,IF($M96="VAT 10%",0.1,0))))</f>
        <v/>
      </c>
      <c r="O96" s="13" t="str">
        <f aca="false">IF($C96="","",$L96*$N96)</f>
        <v/>
      </c>
      <c r="P96" s="13" t="str">
        <f aca="false">IF($C96="","",$L96+$O96)</f>
        <v/>
      </c>
      <c r="Q96" s="12"/>
      <c r="R96" s="13" t="str">
        <f aca="false">IF($C96="","",MAX(0,$P96-N($Q96)))</f>
        <v/>
      </c>
      <c r="S96" s="23" t="str">
        <f aca="false">IF(OR($C96="",$P96=0),"",IF(N($Q96)&lt;=0,"Chưa thanh toán",IF(N($Q96)&lt;$P96,"Thanh toán một phần","Đã thanh toán")))</f>
        <v/>
      </c>
      <c r="T96" s="13" t="str">
        <f aca="false">IF(OR($C96="",$J96=""),"",N($I96)*$J96)</f>
        <v/>
      </c>
      <c r="U96" s="13" t="str">
        <f aca="false">IF(OR($C96="",$T96=""),"",$L96-$T96)</f>
        <v/>
      </c>
      <c r="V96" s="14" t="str">
        <f aca="false">IF(OR($U96="",$L96=0),"",$U96/$L96)</f>
        <v/>
      </c>
      <c r="W96" s="11"/>
      <c r="X96" s="23" t="str">
        <f aca="false">IF($C96="","",IF(AND($H96="",N($I96)=0,N($K96)=0),"Dòng chỉ lưu thông tin khách (chưa có đơn); ",IF($B96="","Thiếu ngày đặt; ","")&amp;IF($H96="","Thiếu tên sản phẩm; ",IF($J96="","Chưa khai GIÁ GỐC ở BẢNG GIÁ GỐC; ",""))&amp;IF(N($I96)&lt;=0,"Thiếu số lượng; ","")&amp;IF(N($K96)&lt;=0,"Thiếu giá bán; ","")&amp;IF(AND($N96&gt;0,$F96=""),"Khách lấy VAT thiếu mã số thuế; ","")&amp;IF(N($Q96)&gt;$P96,"Đã thu vượt tổng phải thu; ","")&amp;IF(AND($L96&gt;0,$U96&lt;&gt;"",$U96&lt;0),"CẢNH BÁO: ĐƠN NÀY ĐANG LỖ; ","")))</f>
        <v/>
      </c>
    </row>
    <row r="97" customFormat="false" ht="15" hidden="false" customHeight="false" outlineLevel="0" collapsed="false">
      <c r="A97" s="21" t="str">
        <f aca="false">IF($C97="","",COUNTA($C$10:$C97))</f>
        <v/>
      </c>
      <c r="B97" s="18"/>
      <c r="C97" s="11"/>
      <c r="D97" s="11"/>
      <c r="E97" s="11"/>
      <c r="F97" s="11"/>
      <c r="G97" s="11"/>
      <c r="H97" s="11"/>
      <c r="I97" s="12"/>
      <c r="J97" s="13" t="str">
        <f aca="false">IF($H97="","",IFERROR(VLOOKUP($H97,'BẢNG GIÁ GỐC'!$A$5:$D$254,3,FALSE()),""))</f>
        <v/>
      </c>
      <c r="K97" s="12"/>
      <c r="L97" s="13" t="str">
        <f aca="false">IF($C97="","",N($I97)*N($K97))</f>
        <v/>
      </c>
      <c r="M97" s="11"/>
      <c r="N97" s="14" t="str">
        <f aca="false">IF($C97="","",IF($M97="VAT 5%",0.05,IF($M97="VAT 8%",0.08,IF($M97="VAT 10%",0.1,0))))</f>
        <v/>
      </c>
      <c r="O97" s="13" t="str">
        <f aca="false">IF($C97="","",$L97*$N97)</f>
        <v/>
      </c>
      <c r="P97" s="13" t="str">
        <f aca="false">IF($C97="","",$L97+$O97)</f>
        <v/>
      </c>
      <c r="Q97" s="12"/>
      <c r="R97" s="13" t="str">
        <f aca="false">IF($C97="","",MAX(0,$P97-N($Q97)))</f>
        <v/>
      </c>
      <c r="S97" s="23" t="str">
        <f aca="false">IF(OR($C97="",$P97=0),"",IF(N($Q97)&lt;=0,"Chưa thanh toán",IF(N($Q97)&lt;$P97,"Thanh toán một phần","Đã thanh toán")))</f>
        <v/>
      </c>
      <c r="T97" s="13" t="str">
        <f aca="false">IF(OR($C97="",$J97=""),"",N($I97)*$J97)</f>
        <v/>
      </c>
      <c r="U97" s="13" t="str">
        <f aca="false">IF(OR($C97="",$T97=""),"",$L97-$T97)</f>
        <v/>
      </c>
      <c r="V97" s="14" t="str">
        <f aca="false">IF(OR($U97="",$L97=0),"",$U97/$L97)</f>
        <v/>
      </c>
      <c r="W97" s="11"/>
      <c r="X97" s="23" t="str">
        <f aca="false">IF($C97="","",IF(AND($H97="",N($I97)=0,N($K97)=0),"Dòng chỉ lưu thông tin khách (chưa có đơn); ",IF($B97="","Thiếu ngày đặt; ","")&amp;IF($H97="","Thiếu tên sản phẩm; ",IF($J97="","Chưa khai GIÁ GỐC ở BẢNG GIÁ GỐC; ",""))&amp;IF(N($I97)&lt;=0,"Thiếu số lượng; ","")&amp;IF(N($K97)&lt;=0,"Thiếu giá bán; ","")&amp;IF(AND($N97&gt;0,$F97=""),"Khách lấy VAT thiếu mã số thuế; ","")&amp;IF(N($Q97)&gt;$P97,"Đã thu vượt tổng phải thu; ","")&amp;IF(AND($L97&gt;0,$U97&lt;&gt;"",$U97&lt;0),"CẢNH BÁO: ĐƠN NÀY ĐANG LỖ; ","")))</f>
        <v/>
      </c>
    </row>
    <row r="98" customFormat="false" ht="15" hidden="false" customHeight="false" outlineLevel="0" collapsed="false">
      <c r="A98" s="21" t="str">
        <f aca="false">IF($C98="","",COUNTA($C$10:$C98))</f>
        <v/>
      </c>
      <c r="B98" s="18"/>
      <c r="C98" s="11"/>
      <c r="D98" s="11"/>
      <c r="E98" s="11"/>
      <c r="F98" s="11"/>
      <c r="G98" s="11"/>
      <c r="H98" s="11"/>
      <c r="I98" s="12"/>
      <c r="J98" s="13" t="str">
        <f aca="false">IF($H98="","",IFERROR(VLOOKUP($H98,'BẢNG GIÁ GỐC'!$A$5:$D$254,3,FALSE()),""))</f>
        <v/>
      </c>
      <c r="K98" s="12"/>
      <c r="L98" s="13" t="str">
        <f aca="false">IF($C98="","",N($I98)*N($K98))</f>
        <v/>
      </c>
      <c r="M98" s="11"/>
      <c r="N98" s="14" t="str">
        <f aca="false">IF($C98="","",IF($M98="VAT 5%",0.05,IF($M98="VAT 8%",0.08,IF($M98="VAT 10%",0.1,0))))</f>
        <v/>
      </c>
      <c r="O98" s="13" t="str">
        <f aca="false">IF($C98="","",$L98*$N98)</f>
        <v/>
      </c>
      <c r="P98" s="13" t="str">
        <f aca="false">IF($C98="","",$L98+$O98)</f>
        <v/>
      </c>
      <c r="Q98" s="12"/>
      <c r="R98" s="13" t="str">
        <f aca="false">IF($C98="","",MAX(0,$P98-N($Q98)))</f>
        <v/>
      </c>
      <c r="S98" s="23" t="str">
        <f aca="false">IF(OR($C98="",$P98=0),"",IF(N($Q98)&lt;=0,"Chưa thanh toán",IF(N($Q98)&lt;$P98,"Thanh toán một phần","Đã thanh toán")))</f>
        <v/>
      </c>
      <c r="T98" s="13" t="str">
        <f aca="false">IF(OR($C98="",$J98=""),"",N($I98)*$J98)</f>
        <v/>
      </c>
      <c r="U98" s="13" t="str">
        <f aca="false">IF(OR($C98="",$T98=""),"",$L98-$T98)</f>
        <v/>
      </c>
      <c r="V98" s="14" t="str">
        <f aca="false">IF(OR($U98="",$L98=0),"",$U98/$L98)</f>
        <v/>
      </c>
      <c r="W98" s="11"/>
      <c r="X98" s="23" t="str">
        <f aca="false">IF($C98="","",IF(AND($H98="",N($I98)=0,N($K98)=0),"Dòng chỉ lưu thông tin khách (chưa có đơn); ",IF($B98="","Thiếu ngày đặt; ","")&amp;IF($H98="","Thiếu tên sản phẩm; ",IF($J98="","Chưa khai GIÁ GỐC ở BẢNG GIÁ GỐC; ",""))&amp;IF(N($I98)&lt;=0,"Thiếu số lượng; ","")&amp;IF(N($K98)&lt;=0,"Thiếu giá bán; ","")&amp;IF(AND($N98&gt;0,$F98=""),"Khách lấy VAT thiếu mã số thuế; ","")&amp;IF(N($Q98)&gt;$P98,"Đã thu vượt tổng phải thu; ","")&amp;IF(AND($L98&gt;0,$U98&lt;&gt;"",$U98&lt;0),"CẢNH BÁO: ĐƠN NÀY ĐANG LỖ; ","")))</f>
        <v/>
      </c>
    </row>
    <row r="99" customFormat="false" ht="15" hidden="false" customHeight="false" outlineLevel="0" collapsed="false">
      <c r="A99" s="21" t="str">
        <f aca="false">IF($C99="","",COUNTA($C$10:$C99))</f>
        <v/>
      </c>
      <c r="B99" s="18"/>
      <c r="C99" s="11"/>
      <c r="D99" s="11"/>
      <c r="E99" s="11"/>
      <c r="F99" s="11"/>
      <c r="G99" s="11"/>
      <c r="H99" s="11"/>
      <c r="I99" s="12"/>
      <c r="J99" s="13" t="str">
        <f aca="false">IF($H99="","",IFERROR(VLOOKUP($H99,'BẢNG GIÁ GỐC'!$A$5:$D$254,3,FALSE()),""))</f>
        <v/>
      </c>
      <c r="K99" s="12"/>
      <c r="L99" s="13" t="str">
        <f aca="false">IF($C99="","",N($I99)*N($K99))</f>
        <v/>
      </c>
      <c r="M99" s="11"/>
      <c r="N99" s="14" t="str">
        <f aca="false">IF($C99="","",IF($M99="VAT 5%",0.05,IF($M99="VAT 8%",0.08,IF($M99="VAT 10%",0.1,0))))</f>
        <v/>
      </c>
      <c r="O99" s="13" t="str">
        <f aca="false">IF($C99="","",$L99*$N99)</f>
        <v/>
      </c>
      <c r="P99" s="13" t="str">
        <f aca="false">IF($C99="","",$L99+$O99)</f>
        <v/>
      </c>
      <c r="Q99" s="12"/>
      <c r="R99" s="13" t="str">
        <f aca="false">IF($C99="","",MAX(0,$P99-N($Q99)))</f>
        <v/>
      </c>
      <c r="S99" s="23" t="str">
        <f aca="false">IF(OR($C99="",$P99=0),"",IF(N($Q99)&lt;=0,"Chưa thanh toán",IF(N($Q99)&lt;$P99,"Thanh toán một phần","Đã thanh toán")))</f>
        <v/>
      </c>
      <c r="T99" s="13" t="str">
        <f aca="false">IF(OR($C99="",$J99=""),"",N($I99)*$J99)</f>
        <v/>
      </c>
      <c r="U99" s="13" t="str">
        <f aca="false">IF(OR($C99="",$T99=""),"",$L99-$T99)</f>
        <v/>
      </c>
      <c r="V99" s="14" t="str">
        <f aca="false">IF(OR($U99="",$L99=0),"",$U99/$L99)</f>
        <v/>
      </c>
      <c r="W99" s="11"/>
      <c r="X99" s="23" t="str">
        <f aca="false">IF($C99="","",IF(AND($H99="",N($I99)=0,N($K99)=0),"Dòng chỉ lưu thông tin khách (chưa có đơn); ",IF($B99="","Thiếu ngày đặt; ","")&amp;IF($H99="","Thiếu tên sản phẩm; ",IF($J99="","Chưa khai GIÁ GỐC ở BẢNG GIÁ GỐC; ",""))&amp;IF(N($I99)&lt;=0,"Thiếu số lượng; ","")&amp;IF(N($K99)&lt;=0,"Thiếu giá bán; ","")&amp;IF(AND($N99&gt;0,$F99=""),"Khách lấy VAT thiếu mã số thuế; ","")&amp;IF(N($Q99)&gt;$P99,"Đã thu vượt tổng phải thu; ","")&amp;IF(AND($L99&gt;0,$U99&lt;&gt;"",$U99&lt;0),"CẢNH BÁO: ĐƠN NÀY ĐANG LỖ; ","")))</f>
        <v/>
      </c>
    </row>
    <row r="100" customFormat="false" ht="15" hidden="false" customHeight="false" outlineLevel="0" collapsed="false">
      <c r="A100" s="21" t="str">
        <f aca="false">IF($C100="","",COUNTA($C$10:$C100))</f>
        <v/>
      </c>
      <c r="B100" s="18"/>
      <c r="C100" s="11"/>
      <c r="D100" s="11"/>
      <c r="E100" s="11"/>
      <c r="F100" s="11"/>
      <c r="G100" s="11"/>
      <c r="H100" s="11"/>
      <c r="I100" s="12"/>
      <c r="J100" s="13" t="str">
        <f aca="false">IF($H100="","",IFERROR(VLOOKUP($H100,'BẢNG GIÁ GỐC'!$A$5:$D$254,3,FALSE()),""))</f>
        <v/>
      </c>
      <c r="K100" s="12"/>
      <c r="L100" s="13" t="str">
        <f aca="false">IF($C100="","",N($I100)*N($K100))</f>
        <v/>
      </c>
      <c r="M100" s="11"/>
      <c r="N100" s="14" t="str">
        <f aca="false">IF($C100="","",IF($M100="VAT 5%",0.05,IF($M100="VAT 8%",0.08,IF($M100="VAT 10%",0.1,0))))</f>
        <v/>
      </c>
      <c r="O100" s="13" t="str">
        <f aca="false">IF($C100="","",$L100*$N100)</f>
        <v/>
      </c>
      <c r="P100" s="13" t="str">
        <f aca="false">IF($C100="","",$L100+$O100)</f>
        <v/>
      </c>
      <c r="Q100" s="12"/>
      <c r="R100" s="13" t="str">
        <f aca="false">IF($C100="","",MAX(0,$P100-N($Q100)))</f>
        <v/>
      </c>
      <c r="S100" s="23" t="str">
        <f aca="false">IF(OR($C100="",$P100=0),"",IF(N($Q100)&lt;=0,"Chưa thanh toán",IF(N($Q100)&lt;$P100,"Thanh toán một phần","Đã thanh toán")))</f>
        <v/>
      </c>
      <c r="T100" s="13" t="str">
        <f aca="false">IF(OR($C100="",$J100=""),"",N($I100)*$J100)</f>
        <v/>
      </c>
      <c r="U100" s="13" t="str">
        <f aca="false">IF(OR($C100="",$T100=""),"",$L100-$T100)</f>
        <v/>
      </c>
      <c r="V100" s="14" t="str">
        <f aca="false">IF(OR($U100="",$L100=0),"",$U100/$L100)</f>
        <v/>
      </c>
      <c r="W100" s="11"/>
      <c r="X100" s="23" t="str">
        <f aca="false">IF($C100="","",IF(AND($H100="",N($I100)=0,N($K100)=0),"Dòng chỉ lưu thông tin khách (chưa có đơn); ",IF($B100="","Thiếu ngày đặt; ","")&amp;IF($H100="","Thiếu tên sản phẩm; ",IF($J100="","Chưa khai GIÁ GỐC ở BẢNG GIÁ GỐC; ",""))&amp;IF(N($I100)&lt;=0,"Thiếu số lượng; ","")&amp;IF(N($K100)&lt;=0,"Thiếu giá bán; ","")&amp;IF(AND($N100&gt;0,$F100=""),"Khách lấy VAT thiếu mã số thuế; ","")&amp;IF(N($Q100)&gt;$P100,"Đã thu vượt tổng phải thu; ","")&amp;IF(AND($L100&gt;0,$U100&lt;&gt;"",$U100&lt;0),"CẢNH BÁO: ĐƠN NÀY ĐANG LỖ; ","")))</f>
        <v/>
      </c>
    </row>
    <row r="101" customFormat="false" ht="15" hidden="false" customHeight="false" outlineLevel="0" collapsed="false">
      <c r="A101" s="21" t="str">
        <f aca="false">IF($C101="","",COUNTA($C$10:$C101))</f>
        <v/>
      </c>
      <c r="B101" s="18"/>
      <c r="C101" s="11"/>
      <c r="D101" s="11"/>
      <c r="E101" s="11"/>
      <c r="F101" s="11"/>
      <c r="G101" s="11"/>
      <c r="H101" s="11"/>
      <c r="I101" s="12"/>
      <c r="J101" s="13" t="str">
        <f aca="false">IF($H101="","",IFERROR(VLOOKUP($H101,'BẢNG GIÁ GỐC'!$A$5:$D$254,3,FALSE()),""))</f>
        <v/>
      </c>
      <c r="K101" s="12"/>
      <c r="L101" s="13" t="str">
        <f aca="false">IF($C101="","",N($I101)*N($K101))</f>
        <v/>
      </c>
      <c r="M101" s="11"/>
      <c r="N101" s="14" t="str">
        <f aca="false">IF($C101="","",IF($M101="VAT 5%",0.05,IF($M101="VAT 8%",0.08,IF($M101="VAT 10%",0.1,0))))</f>
        <v/>
      </c>
      <c r="O101" s="13" t="str">
        <f aca="false">IF($C101="","",$L101*$N101)</f>
        <v/>
      </c>
      <c r="P101" s="13" t="str">
        <f aca="false">IF($C101="","",$L101+$O101)</f>
        <v/>
      </c>
      <c r="Q101" s="12"/>
      <c r="R101" s="13" t="str">
        <f aca="false">IF($C101="","",MAX(0,$P101-N($Q101)))</f>
        <v/>
      </c>
      <c r="S101" s="23" t="str">
        <f aca="false">IF(OR($C101="",$P101=0),"",IF(N($Q101)&lt;=0,"Chưa thanh toán",IF(N($Q101)&lt;$P101,"Thanh toán một phần","Đã thanh toán")))</f>
        <v/>
      </c>
      <c r="T101" s="13" t="str">
        <f aca="false">IF(OR($C101="",$J101=""),"",N($I101)*$J101)</f>
        <v/>
      </c>
      <c r="U101" s="13" t="str">
        <f aca="false">IF(OR($C101="",$T101=""),"",$L101-$T101)</f>
        <v/>
      </c>
      <c r="V101" s="14" t="str">
        <f aca="false">IF(OR($U101="",$L101=0),"",$U101/$L101)</f>
        <v/>
      </c>
      <c r="W101" s="11"/>
      <c r="X101" s="23" t="str">
        <f aca="false">IF($C101="","",IF(AND($H101="",N($I101)=0,N($K101)=0),"Dòng chỉ lưu thông tin khách (chưa có đơn); ",IF($B101="","Thiếu ngày đặt; ","")&amp;IF($H101="","Thiếu tên sản phẩm; ",IF($J101="","Chưa khai GIÁ GỐC ở BẢNG GIÁ GỐC; ",""))&amp;IF(N($I101)&lt;=0,"Thiếu số lượng; ","")&amp;IF(N($K101)&lt;=0,"Thiếu giá bán; ","")&amp;IF(AND($N101&gt;0,$F101=""),"Khách lấy VAT thiếu mã số thuế; ","")&amp;IF(N($Q101)&gt;$P101,"Đã thu vượt tổng phải thu; ","")&amp;IF(AND($L101&gt;0,$U101&lt;&gt;"",$U101&lt;0),"CẢNH BÁO: ĐƠN NÀY ĐANG LỖ; ","")))</f>
        <v/>
      </c>
    </row>
    <row r="102" customFormat="false" ht="15" hidden="false" customHeight="false" outlineLevel="0" collapsed="false">
      <c r="A102" s="21" t="str">
        <f aca="false">IF($C102="","",COUNTA($C$10:$C102))</f>
        <v/>
      </c>
      <c r="B102" s="18"/>
      <c r="C102" s="11"/>
      <c r="D102" s="11"/>
      <c r="E102" s="11"/>
      <c r="F102" s="11"/>
      <c r="G102" s="11"/>
      <c r="H102" s="11"/>
      <c r="I102" s="12"/>
      <c r="J102" s="13" t="str">
        <f aca="false">IF($H102="","",IFERROR(VLOOKUP($H102,'BẢNG GIÁ GỐC'!$A$5:$D$254,3,FALSE()),""))</f>
        <v/>
      </c>
      <c r="K102" s="12"/>
      <c r="L102" s="13" t="str">
        <f aca="false">IF($C102="","",N($I102)*N($K102))</f>
        <v/>
      </c>
      <c r="M102" s="11"/>
      <c r="N102" s="14" t="str">
        <f aca="false">IF($C102="","",IF($M102="VAT 5%",0.05,IF($M102="VAT 8%",0.08,IF($M102="VAT 10%",0.1,0))))</f>
        <v/>
      </c>
      <c r="O102" s="13" t="str">
        <f aca="false">IF($C102="","",$L102*$N102)</f>
        <v/>
      </c>
      <c r="P102" s="13" t="str">
        <f aca="false">IF($C102="","",$L102+$O102)</f>
        <v/>
      </c>
      <c r="Q102" s="12"/>
      <c r="R102" s="13" t="str">
        <f aca="false">IF($C102="","",MAX(0,$P102-N($Q102)))</f>
        <v/>
      </c>
      <c r="S102" s="23" t="str">
        <f aca="false">IF(OR($C102="",$P102=0),"",IF(N($Q102)&lt;=0,"Chưa thanh toán",IF(N($Q102)&lt;$P102,"Thanh toán một phần","Đã thanh toán")))</f>
        <v/>
      </c>
      <c r="T102" s="13" t="str">
        <f aca="false">IF(OR($C102="",$J102=""),"",N($I102)*$J102)</f>
        <v/>
      </c>
      <c r="U102" s="13" t="str">
        <f aca="false">IF(OR($C102="",$T102=""),"",$L102-$T102)</f>
        <v/>
      </c>
      <c r="V102" s="14" t="str">
        <f aca="false">IF(OR($U102="",$L102=0),"",$U102/$L102)</f>
        <v/>
      </c>
      <c r="W102" s="11"/>
      <c r="X102" s="23" t="str">
        <f aca="false">IF($C102="","",IF(AND($H102="",N($I102)=0,N($K102)=0),"Dòng chỉ lưu thông tin khách (chưa có đơn); ",IF($B102="","Thiếu ngày đặt; ","")&amp;IF($H102="","Thiếu tên sản phẩm; ",IF($J102="","Chưa khai GIÁ GỐC ở BẢNG GIÁ GỐC; ",""))&amp;IF(N($I102)&lt;=0,"Thiếu số lượng; ","")&amp;IF(N($K102)&lt;=0,"Thiếu giá bán; ","")&amp;IF(AND($N102&gt;0,$F102=""),"Khách lấy VAT thiếu mã số thuế; ","")&amp;IF(N($Q102)&gt;$P102,"Đã thu vượt tổng phải thu; ","")&amp;IF(AND($L102&gt;0,$U102&lt;&gt;"",$U102&lt;0),"CẢNH BÁO: ĐƠN NÀY ĐANG LỖ; ","")))</f>
        <v/>
      </c>
    </row>
    <row r="103" customFormat="false" ht="15" hidden="false" customHeight="false" outlineLevel="0" collapsed="false">
      <c r="A103" s="21" t="str">
        <f aca="false">IF($C103="","",COUNTA($C$10:$C103))</f>
        <v/>
      </c>
      <c r="B103" s="18"/>
      <c r="C103" s="11"/>
      <c r="D103" s="11"/>
      <c r="E103" s="11"/>
      <c r="F103" s="11"/>
      <c r="G103" s="11"/>
      <c r="H103" s="11"/>
      <c r="I103" s="12"/>
      <c r="J103" s="13" t="str">
        <f aca="false">IF($H103="","",IFERROR(VLOOKUP($H103,'BẢNG GIÁ GỐC'!$A$5:$D$254,3,FALSE()),""))</f>
        <v/>
      </c>
      <c r="K103" s="12"/>
      <c r="L103" s="13" t="str">
        <f aca="false">IF($C103="","",N($I103)*N($K103))</f>
        <v/>
      </c>
      <c r="M103" s="11"/>
      <c r="N103" s="14" t="str">
        <f aca="false">IF($C103="","",IF($M103="VAT 5%",0.05,IF($M103="VAT 8%",0.08,IF($M103="VAT 10%",0.1,0))))</f>
        <v/>
      </c>
      <c r="O103" s="13" t="str">
        <f aca="false">IF($C103="","",$L103*$N103)</f>
        <v/>
      </c>
      <c r="P103" s="13" t="str">
        <f aca="false">IF($C103="","",$L103+$O103)</f>
        <v/>
      </c>
      <c r="Q103" s="12"/>
      <c r="R103" s="13" t="str">
        <f aca="false">IF($C103="","",MAX(0,$P103-N($Q103)))</f>
        <v/>
      </c>
      <c r="S103" s="23" t="str">
        <f aca="false">IF(OR($C103="",$P103=0),"",IF(N($Q103)&lt;=0,"Chưa thanh toán",IF(N($Q103)&lt;$P103,"Thanh toán một phần","Đã thanh toán")))</f>
        <v/>
      </c>
      <c r="T103" s="13" t="str">
        <f aca="false">IF(OR($C103="",$J103=""),"",N($I103)*$J103)</f>
        <v/>
      </c>
      <c r="U103" s="13" t="str">
        <f aca="false">IF(OR($C103="",$T103=""),"",$L103-$T103)</f>
        <v/>
      </c>
      <c r="V103" s="14" t="str">
        <f aca="false">IF(OR($U103="",$L103=0),"",$U103/$L103)</f>
        <v/>
      </c>
      <c r="W103" s="11"/>
      <c r="X103" s="23" t="str">
        <f aca="false">IF($C103="","",IF(AND($H103="",N($I103)=0,N($K103)=0),"Dòng chỉ lưu thông tin khách (chưa có đơn); ",IF($B103="","Thiếu ngày đặt; ","")&amp;IF($H103="","Thiếu tên sản phẩm; ",IF($J103="","Chưa khai GIÁ GỐC ở BẢNG GIÁ GỐC; ",""))&amp;IF(N($I103)&lt;=0,"Thiếu số lượng; ","")&amp;IF(N($K103)&lt;=0,"Thiếu giá bán; ","")&amp;IF(AND($N103&gt;0,$F103=""),"Khách lấy VAT thiếu mã số thuế; ","")&amp;IF(N($Q103)&gt;$P103,"Đã thu vượt tổng phải thu; ","")&amp;IF(AND($L103&gt;0,$U103&lt;&gt;"",$U103&lt;0),"CẢNH BÁO: ĐƠN NÀY ĐANG LỖ; ","")))</f>
        <v/>
      </c>
    </row>
    <row r="104" customFormat="false" ht="15" hidden="false" customHeight="false" outlineLevel="0" collapsed="false">
      <c r="A104" s="21" t="str">
        <f aca="false">IF($C104="","",COUNTA($C$10:$C104))</f>
        <v/>
      </c>
      <c r="B104" s="18"/>
      <c r="C104" s="11"/>
      <c r="D104" s="11"/>
      <c r="E104" s="11"/>
      <c r="F104" s="11"/>
      <c r="G104" s="11"/>
      <c r="H104" s="11"/>
      <c r="I104" s="12"/>
      <c r="J104" s="13" t="str">
        <f aca="false">IF($H104="","",IFERROR(VLOOKUP($H104,'BẢNG GIÁ GỐC'!$A$5:$D$254,3,FALSE()),""))</f>
        <v/>
      </c>
      <c r="K104" s="12"/>
      <c r="L104" s="13" t="str">
        <f aca="false">IF($C104="","",N($I104)*N($K104))</f>
        <v/>
      </c>
      <c r="M104" s="11"/>
      <c r="N104" s="14" t="str">
        <f aca="false">IF($C104="","",IF($M104="VAT 5%",0.05,IF($M104="VAT 8%",0.08,IF($M104="VAT 10%",0.1,0))))</f>
        <v/>
      </c>
      <c r="O104" s="13" t="str">
        <f aca="false">IF($C104="","",$L104*$N104)</f>
        <v/>
      </c>
      <c r="P104" s="13" t="str">
        <f aca="false">IF($C104="","",$L104+$O104)</f>
        <v/>
      </c>
      <c r="Q104" s="12"/>
      <c r="R104" s="13" t="str">
        <f aca="false">IF($C104="","",MAX(0,$P104-N($Q104)))</f>
        <v/>
      </c>
      <c r="S104" s="23" t="str">
        <f aca="false">IF(OR($C104="",$P104=0),"",IF(N($Q104)&lt;=0,"Chưa thanh toán",IF(N($Q104)&lt;$P104,"Thanh toán một phần","Đã thanh toán")))</f>
        <v/>
      </c>
      <c r="T104" s="13" t="str">
        <f aca="false">IF(OR($C104="",$J104=""),"",N($I104)*$J104)</f>
        <v/>
      </c>
      <c r="U104" s="13" t="str">
        <f aca="false">IF(OR($C104="",$T104=""),"",$L104-$T104)</f>
        <v/>
      </c>
      <c r="V104" s="14" t="str">
        <f aca="false">IF(OR($U104="",$L104=0),"",$U104/$L104)</f>
        <v/>
      </c>
      <c r="W104" s="11"/>
      <c r="X104" s="23" t="str">
        <f aca="false">IF($C104="","",IF(AND($H104="",N($I104)=0,N($K104)=0),"Dòng chỉ lưu thông tin khách (chưa có đơn); ",IF($B104="","Thiếu ngày đặt; ","")&amp;IF($H104="","Thiếu tên sản phẩm; ",IF($J104="","Chưa khai GIÁ GỐC ở BẢNG GIÁ GỐC; ",""))&amp;IF(N($I104)&lt;=0,"Thiếu số lượng; ","")&amp;IF(N($K104)&lt;=0,"Thiếu giá bán; ","")&amp;IF(AND($N104&gt;0,$F104=""),"Khách lấy VAT thiếu mã số thuế; ","")&amp;IF(N($Q104)&gt;$P104,"Đã thu vượt tổng phải thu; ","")&amp;IF(AND($L104&gt;0,$U104&lt;&gt;"",$U104&lt;0),"CẢNH BÁO: ĐƠN NÀY ĐANG LỖ; ","")))</f>
        <v/>
      </c>
    </row>
    <row r="105" customFormat="false" ht="15" hidden="false" customHeight="false" outlineLevel="0" collapsed="false">
      <c r="A105" s="21" t="str">
        <f aca="false">IF($C105="","",COUNTA($C$10:$C105))</f>
        <v/>
      </c>
      <c r="B105" s="18"/>
      <c r="C105" s="11"/>
      <c r="D105" s="11"/>
      <c r="E105" s="11"/>
      <c r="F105" s="11"/>
      <c r="G105" s="11"/>
      <c r="H105" s="11"/>
      <c r="I105" s="12"/>
      <c r="J105" s="13" t="str">
        <f aca="false">IF($H105="","",IFERROR(VLOOKUP($H105,'BẢNG GIÁ GỐC'!$A$5:$D$254,3,FALSE()),""))</f>
        <v/>
      </c>
      <c r="K105" s="12"/>
      <c r="L105" s="13" t="str">
        <f aca="false">IF($C105="","",N($I105)*N($K105))</f>
        <v/>
      </c>
      <c r="M105" s="11"/>
      <c r="N105" s="14" t="str">
        <f aca="false">IF($C105="","",IF($M105="VAT 5%",0.05,IF($M105="VAT 8%",0.08,IF($M105="VAT 10%",0.1,0))))</f>
        <v/>
      </c>
      <c r="O105" s="13" t="str">
        <f aca="false">IF($C105="","",$L105*$N105)</f>
        <v/>
      </c>
      <c r="P105" s="13" t="str">
        <f aca="false">IF($C105="","",$L105+$O105)</f>
        <v/>
      </c>
      <c r="Q105" s="12"/>
      <c r="R105" s="13" t="str">
        <f aca="false">IF($C105="","",MAX(0,$P105-N($Q105)))</f>
        <v/>
      </c>
      <c r="S105" s="23" t="str">
        <f aca="false">IF(OR($C105="",$P105=0),"",IF(N($Q105)&lt;=0,"Chưa thanh toán",IF(N($Q105)&lt;$P105,"Thanh toán một phần","Đã thanh toán")))</f>
        <v/>
      </c>
      <c r="T105" s="13" t="str">
        <f aca="false">IF(OR($C105="",$J105=""),"",N($I105)*$J105)</f>
        <v/>
      </c>
      <c r="U105" s="13" t="str">
        <f aca="false">IF(OR($C105="",$T105=""),"",$L105-$T105)</f>
        <v/>
      </c>
      <c r="V105" s="14" t="str">
        <f aca="false">IF(OR($U105="",$L105=0),"",$U105/$L105)</f>
        <v/>
      </c>
      <c r="W105" s="11"/>
      <c r="X105" s="23" t="str">
        <f aca="false">IF($C105="","",IF(AND($H105="",N($I105)=0,N($K105)=0),"Dòng chỉ lưu thông tin khách (chưa có đơn); ",IF($B105="","Thiếu ngày đặt; ","")&amp;IF($H105="","Thiếu tên sản phẩm; ",IF($J105="","Chưa khai GIÁ GỐC ở BẢNG GIÁ GỐC; ",""))&amp;IF(N($I105)&lt;=0,"Thiếu số lượng; ","")&amp;IF(N($K105)&lt;=0,"Thiếu giá bán; ","")&amp;IF(AND($N105&gt;0,$F105=""),"Khách lấy VAT thiếu mã số thuế; ","")&amp;IF(N($Q105)&gt;$P105,"Đã thu vượt tổng phải thu; ","")&amp;IF(AND($L105&gt;0,$U105&lt;&gt;"",$U105&lt;0),"CẢNH BÁO: ĐƠN NÀY ĐANG LỖ; ","")))</f>
        <v/>
      </c>
    </row>
    <row r="106" customFormat="false" ht="15" hidden="false" customHeight="false" outlineLevel="0" collapsed="false">
      <c r="A106" s="21" t="str">
        <f aca="false">IF($C106="","",COUNTA($C$10:$C106))</f>
        <v/>
      </c>
      <c r="B106" s="18"/>
      <c r="C106" s="11"/>
      <c r="D106" s="11"/>
      <c r="E106" s="11"/>
      <c r="F106" s="11"/>
      <c r="G106" s="11"/>
      <c r="H106" s="11"/>
      <c r="I106" s="12"/>
      <c r="J106" s="13" t="str">
        <f aca="false">IF($H106="","",IFERROR(VLOOKUP($H106,'BẢNG GIÁ GỐC'!$A$5:$D$254,3,FALSE()),""))</f>
        <v/>
      </c>
      <c r="K106" s="12"/>
      <c r="L106" s="13" t="str">
        <f aca="false">IF($C106="","",N($I106)*N($K106))</f>
        <v/>
      </c>
      <c r="M106" s="11"/>
      <c r="N106" s="14" t="str">
        <f aca="false">IF($C106="","",IF($M106="VAT 5%",0.05,IF($M106="VAT 8%",0.08,IF($M106="VAT 10%",0.1,0))))</f>
        <v/>
      </c>
      <c r="O106" s="13" t="str">
        <f aca="false">IF($C106="","",$L106*$N106)</f>
        <v/>
      </c>
      <c r="P106" s="13" t="str">
        <f aca="false">IF($C106="","",$L106+$O106)</f>
        <v/>
      </c>
      <c r="Q106" s="12"/>
      <c r="R106" s="13" t="str">
        <f aca="false">IF($C106="","",MAX(0,$P106-N($Q106)))</f>
        <v/>
      </c>
      <c r="S106" s="23" t="str">
        <f aca="false">IF(OR($C106="",$P106=0),"",IF(N($Q106)&lt;=0,"Chưa thanh toán",IF(N($Q106)&lt;$P106,"Thanh toán một phần","Đã thanh toán")))</f>
        <v/>
      </c>
      <c r="T106" s="13" t="str">
        <f aca="false">IF(OR($C106="",$J106=""),"",N($I106)*$J106)</f>
        <v/>
      </c>
      <c r="U106" s="13" t="str">
        <f aca="false">IF(OR($C106="",$T106=""),"",$L106-$T106)</f>
        <v/>
      </c>
      <c r="V106" s="14" t="str">
        <f aca="false">IF(OR($U106="",$L106=0),"",$U106/$L106)</f>
        <v/>
      </c>
      <c r="W106" s="11"/>
      <c r="X106" s="23" t="str">
        <f aca="false">IF($C106="","",IF(AND($H106="",N($I106)=0,N($K106)=0),"Dòng chỉ lưu thông tin khách (chưa có đơn); ",IF($B106="","Thiếu ngày đặt; ","")&amp;IF($H106="","Thiếu tên sản phẩm; ",IF($J106="","Chưa khai GIÁ GỐC ở BẢNG GIÁ GỐC; ",""))&amp;IF(N($I106)&lt;=0,"Thiếu số lượng; ","")&amp;IF(N($K106)&lt;=0,"Thiếu giá bán; ","")&amp;IF(AND($N106&gt;0,$F106=""),"Khách lấy VAT thiếu mã số thuế; ","")&amp;IF(N($Q106)&gt;$P106,"Đã thu vượt tổng phải thu; ","")&amp;IF(AND($L106&gt;0,$U106&lt;&gt;"",$U106&lt;0),"CẢNH BÁO: ĐƠN NÀY ĐANG LỖ; ","")))</f>
        <v/>
      </c>
    </row>
    <row r="107" customFormat="false" ht="15" hidden="false" customHeight="false" outlineLevel="0" collapsed="false">
      <c r="A107" s="21" t="str">
        <f aca="false">IF($C107="","",COUNTA($C$10:$C107))</f>
        <v/>
      </c>
      <c r="B107" s="18"/>
      <c r="C107" s="11"/>
      <c r="D107" s="11"/>
      <c r="E107" s="11"/>
      <c r="F107" s="11"/>
      <c r="G107" s="11"/>
      <c r="H107" s="11"/>
      <c r="I107" s="12"/>
      <c r="J107" s="13" t="str">
        <f aca="false">IF($H107="","",IFERROR(VLOOKUP($H107,'BẢNG GIÁ GỐC'!$A$5:$D$254,3,FALSE()),""))</f>
        <v/>
      </c>
      <c r="K107" s="12"/>
      <c r="L107" s="13" t="str">
        <f aca="false">IF($C107="","",N($I107)*N($K107))</f>
        <v/>
      </c>
      <c r="M107" s="11"/>
      <c r="N107" s="14" t="str">
        <f aca="false">IF($C107="","",IF($M107="VAT 5%",0.05,IF($M107="VAT 8%",0.08,IF($M107="VAT 10%",0.1,0))))</f>
        <v/>
      </c>
      <c r="O107" s="13" t="str">
        <f aca="false">IF($C107="","",$L107*$N107)</f>
        <v/>
      </c>
      <c r="P107" s="13" t="str">
        <f aca="false">IF($C107="","",$L107+$O107)</f>
        <v/>
      </c>
      <c r="Q107" s="12"/>
      <c r="R107" s="13" t="str">
        <f aca="false">IF($C107="","",MAX(0,$P107-N($Q107)))</f>
        <v/>
      </c>
      <c r="S107" s="23" t="str">
        <f aca="false">IF(OR($C107="",$P107=0),"",IF(N($Q107)&lt;=0,"Chưa thanh toán",IF(N($Q107)&lt;$P107,"Thanh toán một phần","Đã thanh toán")))</f>
        <v/>
      </c>
      <c r="T107" s="13" t="str">
        <f aca="false">IF(OR($C107="",$J107=""),"",N($I107)*$J107)</f>
        <v/>
      </c>
      <c r="U107" s="13" t="str">
        <f aca="false">IF(OR($C107="",$T107=""),"",$L107-$T107)</f>
        <v/>
      </c>
      <c r="V107" s="14" t="str">
        <f aca="false">IF(OR($U107="",$L107=0),"",$U107/$L107)</f>
        <v/>
      </c>
      <c r="W107" s="11"/>
      <c r="X107" s="23" t="str">
        <f aca="false">IF($C107="","",IF(AND($H107="",N($I107)=0,N($K107)=0),"Dòng chỉ lưu thông tin khách (chưa có đơn); ",IF($B107="","Thiếu ngày đặt; ","")&amp;IF($H107="","Thiếu tên sản phẩm; ",IF($J107="","Chưa khai GIÁ GỐC ở BẢNG GIÁ GỐC; ",""))&amp;IF(N($I107)&lt;=0,"Thiếu số lượng; ","")&amp;IF(N($K107)&lt;=0,"Thiếu giá bán; ","")&amp;IF(AND($N107&gt;0,$F107=""),"Khách lấy VAT thiếu mã số thuế; ","")&amp;IF(N($Q107)&gt;$P107,"Đã thu vượt tổng phải thu; ","")&amp;IF(AND($L107&gt;0,$U107&lt;&gt;"",$U107&lt;0),"CẢNH BÁO: ĐƠN NÀY ĐANG LỖ; ","")))</f>
        <v/>
      </c>
    </row>
    <row r="108" customFormat="false" ht="15" hidden="false" customHeight="false" outlineLevel="0" collapsed="false">
      <c r="A108" s="21" t="str">
        <f aca="false">IF($C108="","",COUNTA($C$10:$C108))</f>
        <v/>
      </c>
      <c r="B108" s="18"/>
      <c r="C108" s="11"/>
      <c r="D108" s="11"/>
      <c r="E108" s="11"/>
      <c r="F108" s="11"/>
      <c r="G108" s="11"/>
      <c r="H108" s="11"/>
      <c r="I108" s="12"/>
      <c r="J108" s="13" t="str">
        <f aca="false">IF($H108="","",IFERROR(VLOOKUP($H108,'BẢNG GIÁ GỐC'!$A$5:$D$254,3,FALSE()),""))</f>
        <v/>
      </c>
      <c r="K108" s="12"/>
      <c r="L108" s="13" t="str">
        <f aca="false">IF($C108="","",N($I108)*N($K108))</f>
        <v/>
      </c>
      <c r="M108" s="11"/>
      <c r="N108" s="14" t="str">
        <f aca="false">IF($C108="","",IF($M108="VAT 5%",0.05,IF($M108="VAT 8%",0.08,IF($M108="VAT 10%",0.1,0))))</f>
        <v/>
      </c>
      <c r="O108" s="13" t="str">
        <f aca="false">IF($C108="","",$L108*$N108)</f>
        <v/>
      </c>
      <c r="P108" s="13" t="str">
        <f aca="false">IF($C108="","",$L108+$O108)</f>
        <v/>
      </c>
      <c r="Q108" s="12"/>
      <c r="R108" s="13" t="str">
        <f aca="false">IF($C108="","",MAX(0,$P108-N($Q108)))</f>
        <v/>
      </c>
      <c r="S108" s="23" t="str">
        <f aca="false">IF(OR($C108="",$P108=0),"",IF(N($Q108)&lt;=0,"Chưa thanh toán",IF(N($Q108)&lt;$P108,"Thanh toán một phần","Đã thanh toán")))</f>
        <v/>
      </c>
      <c r="T108" s="13" t="str">
        <f aca="false">IF(OR($C108="",$J108=""),"",N($I108)*$J108)</f>
        <v/>
      </c>
      <c r="U108" s="13" t="str">
        <f aca="false">IF(OR($C108="",$T108=""),"",$L108-$T108)</f>
        <v/>
      </c>
      <c r="V108" s="14" t="str">
        <f aca="false">IF(OR($U108="",$L108=0),"",$U108/$L108)</f>
        <v/>
      </c>
      <c r="W108" s="11"/>
      <c r="X108" s="23" t="str">
        <f aca="false">IF($C108="","",IF(AND($H108="",N($I108)=0,N($K108)=0),"Dòng chỉ lưu thông tin khách (chưa có đơn); ",IF($B108="","Thiếu ngày đặt; ","")&amp;IF($H108="","Thiếu tên sản phẩm; ",IF($J108="","Chưa khai GIÁ GỐC ở BẢNG GIÁ GỐC; ",""))&amp;IF(N($I108)&lt;=0,"Thiếu số lượng; ","")&amp;IF(N($K108)&lt;=0,"Thiếu giá bán; ","")&amp;IF(AND($N108&gt;0,$F108=""),"Khách lấy VAT thiếu mã số thuế; ","")&amp;IF(N($Q108)&gt;$P108,"Đã thu vượt tổng phải thu; ","")&amp;IF(AND($L108&gt;0,$U108&lt;&gt;"",$U108&lt;0),"CẢNH BÁO: ĐƠN NÀY ĐANG LỖ; ","")))</f>
        <v/>
      </c>
    </row>
    <row r="109" customFormat="false" ht="15" hidden="false" customHeight="false" outlineLevel="0" collapsed="false">
      <c r="A109" s="21" t="str">
        <f aca="false">IF($C109="","",COUNTA($C$10:$C109))</f>
        <v/>
      </c>
      <c r="B109" s="18"/>
      <c r="C109" s="11"/>
      <c r="D109" s="11"/>
      <c r="E109" s="11"/>
      <c r="F109" s="11"/>
      <c r="G109" s="11"/>
      <c r="H109" s="11"/>
      <c r="I109" s="12"/>
      <c r="J109" s="13" t="str">
        <f aca="false">IF($H109="","",IFERROR(VLOOKUP($H109,'BẢNG GIÁ GỐC'!$A$5:$D$254,3,FALSE()),""))</f>
        <v/>
      </c>
      <c r="K109" s="12"/>
      <c r="L109" s="13" t="str">
        <f aca="false">IF($C109="","",N($I109)*N($K109))</f>
        <v/>
      </c>
      <c r="M109" s="11"/>
      <c r="N109" s="14" t="str">
        <f aca="false">IF($C109="","",IF($M109="VAT 5%",0.05,IF($M109="VAT 8%",0.08,IF($M109="VAT 10%",0.1,0))))</f>
        <v/>
      </c>
      <c r="O109" s="13" t="str">
        <f aca="false">IF($C109="","",$L109*$N109)</f>
        <v/>
      </c>
      <c r="P109" s="13" t="str">
        <f aca="false">IF($C109="","",$L109+$O109)</f>
        <v/>
      </c>
      <c r="Q109" s="12"/>
      <c r="R109" s="13" t="str">
        <f aca="false">IF($C109="","",MAX(0,$P109-N($Q109)))</f>
        <v/>
      </c>
      <c r="S109" s="23" t="str">
        <f aca="false">IF(OR($C109="",$P109=0),"",IF(N($Q109)&lt;=0,"Chưa thanh toán",IF(N($Q109)&lt;$P109,"Thanh toán một phần","Đã thanh toán")))</f>
        <v/>
      </c>
      <c r="T109" s="13" t="str">
        <f aca="false">IF(OR($C109="",$J109=""),"",N($I109)*$J109)</f>
        <v/>
      </c>
      <c r="U109" s="13" t="str">
        <f aca="false">IF(OR($C109="",$T109=""),"",$L109-$T109)</f>
        <v/>
      </c>
      <c r="V109" s="14" t="str">
        <f aca="false">IF(OR($U109="",$L109=0),"",$U109/$L109)</f>
        <v/>
      </c>
      <c r="W109" s="11"/>
      <c r="X109" s="23" t="str">
        <f aca="false">IF($C109="","",IF(AND($H109="",N($I109)=0,N($K109)=0),"Dòng chỉ lưu thông tin khách (chưa có đơn); ",IF($B109="","Thiếu ngày đặt; ","")&amp;IF($H109="","Thiếu tên sản phẩm; ",IF($J109="","Chưa khai GIÁ GỐC ở BẢNG GIÁ GỐC; ",""))&amp;IF(N($I109)&lt;=0,"Thiếu số lượng; ","")&amp;IF(N($K109)&lt;=0,"Thiếu giá bán; ","")&amp;IF(AND($N109&gt;0,$F109=""),"Khách lấy VAT thiếu mã số thuế; ","")&amp;IF(N($Q109)&gt;$P109,"Đã thu vượt tổng phải thu; ","")&amp;IF(AND($L109&gt;0,$U109&lt;&gt;"",$U109&lt;0),"CẢNH BÁO: ĐƠN NÀY ĐANG LỖ; ","")))</f>
        <v/>
      </c>
    </row>
    <row r="110" customFormat="false" ht="15" hidden="false" customHeight="false" outlineLevel="0" collapsed="false">
      <c r="A110" s="21" t="str">
        <f aca="false">IF($C110="","",COUNTA($C$10:$C110))</f>
        <v/>
      </c>
      <c r="B110" s="18"/>
      <c r="C110" s="11"/>
      <c r="D110" s="11"/>
      <c r="E110" s="11"/>
      <c r="F110" s="11"/>
      <c r="G110" s="11"/>
      <c r="H110" s="11"/>
      <c r="I110" s="12"/>
      <c r="J110" s="13" t="str">
        <f aca="false">IF($H110="","",IFERROR(VLOOKUP($H110,'BẢNG GIÁ GỐC'!$A$5:$D$254,3,FALSE()),""))</f>
        <v/>
      </c>
      <c r="K110" s="12"/>
      <c r="L110" s="13" t="str">
        <f aca="false">IF($C110="","",N($I110)*N($K110))</f>
        <v/>
      </c>
      <c r="M110" s="11"/>
      <c r="N110" s="14" t="str">
        <f aca="false">IF($C110="","",IF($M110="VAT 5%",0.05,IF($M110="VAT 8%",0.08,IF($M110="VAT 10%",0.1,0))))</f>
        <v/>
      </c>
      <c r="O110" s="13" t="str">
        <f aca="false">IF($C110="","",$L110*$N110)</f>
        <v/>
      </c>
      <c r="P110" s="13" t="str">
        <f aca="false">IF($C110="","",$L110+$O110)</f>
        <v/>
      </c>
      <c r="Q110" s="12"/>
      <c r="R110" s="13" t="str">
        <f aca="false">IF($C110="","",MAX(0,$P110-N($Q110)))</f>
        <v/>
      </c>
      <c r="S110" s="23" t="str">
        <f aca="false">IF(OR($C110="",$P110=0),"",IF(N($Q110)&lt;=0,"Chưa thanh toán",IF(N($Q110)&lt;$P110,"Thanh toán một phần","Đã thanh toán")))</f>
        <v/>
      </c>
      <c r="T110" s="13" t="str">
        <f aca="false">IF(OR($C110="",$J110=""),"",N($I110)*$J110)</f>
        <v/>
      </c>
      <c r="U110" s="13" t="str">
        <f aca="false">IF(OR($C110="",$T110=""),"",$L110-$T110)</f>
        <v/>
      </c>
      <c r="V110" s="14" t="str">
        <f aca="false">IF(OR($U110="",$L110=0),"",$U110/$L110)</f>
        <v/>
      </c>
      <c r="W110" s="11"/>
      <c r="X110" s="23" t="str">
        <f aca="false">IF($C110="","",IF(AND($H110="",N($I110)=0,N($K110)=0),"Dòng chỉ lưu thông tin khách (chưa có đơn); ",IF($B110="","Thiếu ngày đặt; ","")&amp;IF($H110="","Thiếu tên sản phẩm; ",IF($J110="","Chưa khai GIÁ GỐC ở BẢNG GIÁ GỐC; ",""))&amp;IF(N($I110)&lt;=0,"Thiếu số lượng; ","")&amp;IF(N($K110)&lt;=0,"Thiếu giá bán; ","")&amp;IF(AND($N110&gt;0,$F110=""),"Khách lấy VAT thiếu mã số thuế; ","")&amp;IF(N($Q110)&gt;$P110,"Đã thu vượt tổng phải thu; ","")&amp;IF(AND($L110&gt;0,$U110&lt;&gt;"",$U110&lt;0),"CẢNH BÁO: ĐƠN NÀY ĐANG LỖ; ","")))</f>
        <v/>
      </c>
    </row>
    <row r="111" customFormat="false" ht="15" hidden="false" customHeight="false" outlineLevel="0" collapsed="false">
      <c r="A111" s="21" t="str">
        <f aca="false">IF($C111="","",COUNTA($C$10:$C111))</f>
        <v/>
      </c>
      <c r="B111" s="18"/>
      <c r="C111" s="11"/>
      <c r="D111" s="11"/>
      <c r="E111" s="11"/>
      <c r="F111" s="11"/>
      <c r="G111" s="11"/>
      <c r="H111" s="11"/>
      <c r="I111" s="12"/>
      <c r="J111" s="13" t="str">
        <f aca="false">IF($H111="","",IFERROR(VLOOKUP($H111,'BẢNG GIÁ GỐC'!$A$5:$D$254,3,FALSE()),""))</f>
        <v/>
      </c>
      <c r="K111" s="12"/>
      <c r="L111" s="13" t="str">
        <f aca="false">IF($C111="","",N($I111)*N($K111))</f>
        <v/>
      </c>
      <c r="M111" s="11"/>
      <c r="N111" s="14" t="str">
        <f aca="false">IF($C111="","",IF($M111="VAT 5%",0.05,IF($M111="VAT 8%",0.08,IF($M111="VAT 10%",0.1,0))))</f>
        <v/>
      </c>
      <c r="O111" s="13" t="str">
        <f aca="false">IF($C111="","",$L111*$N111)</f>
        <v/>
      </c>
      <c r="P111" s="13" t="str">
        <f aca="false">IF($C111="","",$L111+$O111)</f>
        <v/>
      </c>
      <c r="Q111" s="12"/>
      <c r="R111" s="13" t="str">
        <f aca="false">IF($C111="","",MAX(0,$P111-N($Q111)))</f>
        <v/>
      </c>
      <c r="S111" s="23" t="str">
        <f aca="false">IF(OR($C111="",$P111=0),"",IF(N($Q111)&lt;=0,"Chưa thanh toán",IF(N($Q111)&lt;$P111,"Thanh toán một phần","Đã thanh toán")))</f>
        <v/>
      </c>
      <c r="T111" s="13" t="str">
        <f aca="false">IF(OR($C111="",$J111=""),"",N($I111)*$J111)</f>
        <v/>
      </c>
      <c r="U111" s="13" t="str">
        <f aca="false">IF(OR($C111="",$T111=""),"",$L111-$T111)</f>
        <v/>
      </c>
      <c r="V111" s="14" t="str">
        <f aca="false">IF(OR($U111="",$L111=0),"",$U111/$L111)</f>
        <v/>
      </c>
      <c r="W111" s="11"/>
      <c r="X111" s="23" t="str">
        <f aca="false">IF($C111="","",IF(AND($H111="",N($I111)=0,N($K111)=0),"Dòng chỉ lưu thông tin khách (chưa có đơn); ",IF($B111="","Thiếu ngày đặt; ","")&amp;IF($H111="","Thiếu tên sản phẩm; ",IF($J111="","Chưa khai GIÁ GỐC ở BẢNG GIÁ GỐC; ",""))&amp;IF(N($I111)&lt;=0,"Thiếu số lượng; ","")&amp;IF(N($K111)&lt;=0,"Thiếu giá bán; ","")&amp;IF(AND($N111&gt;0,$F111=""),"Khách lấy VAT thiếu mã số thuế; ","")&amp;IF(N($Q111)&gt;$P111,"Đã thu vượt tổng phải thu; ","")&amp;IF(AND($L111&gt;0,$U111&lt;&gt;"",$U111&lt;0),"CẢNH BÁO: ĐƠN NÀY ĐANG LỖ; ","")))</f>
        <v/>
      </c>
    </row>
    <row r="112" customFormat="false" ht="15" hidden="false" customHeight="false" outlineLevel="0" collapsed="false">
      <c r="A112" s="21" t="str">
        <f aca="false">IF($C112="","",COUNTA($C$10:$C112))</f>
        <v/>
      </c>
      <c r="B112" s="18"/>
      <c r="C112" s="11"/>
      <c r="D112" s="11"/>
      <c r="E112" s="11"/>
      <c r="F112" s="11"/>
      <c r="G112" s="11"/>
      <c r="H112" s="11"/>
      <c r="I112" s="12"/>
      <c r="J112" s="13" t="str">
        <f aca="false">IF($H112="","",IFERROR(VLOOKUP($H112,'BẢNG GIÁ GỐC'!$A$5:$D$254,3,FALSE()),""))</f>
        <v/>
      </c>
      <c r="K112" s="12"/>
      <c r="L112" s="13" t="str">
        <f aca="false">IF($C112="","",N($I112)*N($K112))</f>
        <v/>
      </c>
      <c r="M112" s="11"/>
      <c r="N112" s="14" t="str">
        <f aca="false">IF($C112="","",IF($M112="VAT 5%",0.05,IF($M112="VAT 8%",0.08,IF($M112="VAT 10%",0.1,0))))</f>
        <v/>
      </c>
      <c r="O112" s="13" t="str">
        <f aca="false">IF($C112="","",$L112*$N112)</f>
        <v/>
      </c>
      <c r="P112" s="13" t="str">
        <f aca="false">IF($C112="","",$L112+$O112)</f>
        <v/>
      </c>
      <c r="Q112" s="12"/>
      <c r="R112" s="13" t="str">
        <f aca="false">IF($C112="","",MAX(0,$P112-N($Q112)))</f>
        <v/>
      </c>
      <c r="S112" s="23" t="str">
        <f aca="false">IF(OR($C112="",$P112=0),"",IF(N($Q112)&lt;=0,"Chưa thanh toán",IF(N($Q112)&lt;$P112,"Thanh toán một phần","Đã thanh toán")))</f>
        <v/>
      </c>
      <c r="T112" s="13" t="str">
        <f aca="false">IF(OR($C112="",$J112=""),"",N($I112)*$J112)</f>
        <v/>
      </c>
      <c r="U112" s="13" t="str">
        <f aca="false">IF(OR($C112="",$T112=""),"",$L112-$T112)</f>
        <v/>
      </c>
      <c r="V112" s="14" t="str">
        <f aca="false">IF(OR($U112="",$L112=0),"",$U112/$L112)</f>
        <v/>
      </c>
      <c r="W112" s="11"/>
      <c r="X112" s="23" t="str">
        <f aca="false">IF($C112="","",IF(AND($H112="",N($I112)=0,N($K112)=0),"Dòng chỉ lưu thông tin khách (chưa có đơn); ",IF($B112="","Thiếu ngày đặt; ","")&amp;IF($H112="","Thiếu tên sản phẩm; ",IF($J112="","Chưa khai GIÁ GỐC ở BẢNG GIÁ GỐC; ",""))&amp;IF(N($I112)&lt;=0,"Thiếu số lượng; ","")&amp;IF(N($K112)&lt;=0,"Thiếu giá bán; ","")&amp;IF(AND($N112&gt;0,$F112=""),"Khách lấy VAT thiếu mã số thuế; ","")&amp;IF(N($Q112)&gt;$P112,"Đã thu vượt tổng phải thu; ","")&amp;IF(AND($L112&gt;0,$U112&lt;&gt;"",$U112&lt;0),"CẢNH BÁO: ĐƠN NÀY ĐANG LỖ; ","")))</f>
        <v/>
      </c>
    </row>
    <row r="113" customFormat="false" ht="15" hidden="false" customHeight="false" outlineLevel="0" collapsed="false">
      <c r="A113" s="21" t="str">
        <f aca="false">IF($C113="","",COUNTA($C$10:$C113))</f>
        <v/>
      </c>
      <c r="B113" s="18"/>
      <c r="C113" s="11"/>
      <c r="D113" s="11"/>
      <c r="E113" s="11"/>
      <c r="F113" s="11"/>
      <c r="G113" s="11"/>
      <c r="H113" s="11"/>
      <c r="I113" s="12"/>
      <c r="J113" s="13" t="str">
        <f aca="false">IF($H113="","",IFERROR(VLOOKUP($H113,'BẢNG GIÁ GỐC'!$A$5:$D$254,3,FALSE()),""))</f>
        <v/>
      </c>
      <c r="K113" s="12"/>
      <c r="L113" s="13" t="str">
        <f aca="false">IF($C113="","",N($I113)*N($K113))</f>
        <v/>
      </c>
      <c r="M113" s="11"/>
      <c r="N113" s="14" t="str">
        <f aca="false">IF($C113="","",IF($M113="VAT 5%",0.05,IF($M113="VAT 8%",0.08,IF($M113="VAT 10%",0.1,0))))</f>
        <v/>
      </c>
      <c r="O113" s="13" t="str">
        <f aca="false">IF($C113="","",$L113*$N113)</f>
        <v/>
      </c>
      <c r="P113" s="13" t="str">
        <f aca="false">IF($C113="","",$L113+$O113)</f>
        <v/>
      </c>
      <c r="Q113" s="12"/>
      <c r="R113" s="13" t="str">
        <f aca="false">IF($C113="","",MAX(0,$P113-N($Q113)))</f>
        <v/>
      </c>
      <c r="S113" s="23" t="str">
        <f aca="false">IF(OR($C113="",$P113=0),"",IF(N($Q113)&lt;=0,"Chưa thanh toán",IF(N($Q113)&lt;$P113,"Thanh toán một phần","Đã thanh toán")))</f>
        <v/>
      </c>
      <c r="T113" s="13" t="str">
        <f aca="false">IF(OR($C113="",$J113=""),"",N($I113)*$J113)</f>
        <v/>
      </c>
      <c r="U113" s="13" t="str">
        <f aca="false">IF(OR($C113="",$T113=""),"",$L113-$T113)</f>
        <v/>
      </c>
      <c r="V113" s="14" t="str">
        <f aca="false">IF(OR($U113="",$L113=0),"",$U113/$L113)</f>
        <v/>
      </c>
      <c r="W113" s="11"/>
      <c r="X113" s="23" t="str">
        <f aca="false">IF($C113="","",IF(AND($H113="",N($I113)=0,N($K113)=0),"Dòng chỉ lưu thông tin khách (chưa có đơn); ",IF($B113="","Thiếu ngày đặt; ","")&amp;IF($H113="","Thiếu tên sản phẩm; ",IF($J113="","Chưa khai GIÁ GỐC ở BẢNG GIÁ GỐC; ",""))&amp;IF(N($I113)&lt;=0,"Thiếu số lượng; ","")&amp;IF(N($K113)&lt;=0,"Thiếu giá bán; ","")&amp;IF(AND($N113&gt;0,$F113=""),"Khách lấy VAT thiếu mã số thuế; ","")&amp;IF(N($Q113)&gt;$P113,"Đã thu vượt tổng phải thu; ","")&amp;IF(AND($L113&gt;0,$U113&lt;&gt;"",$U113&lt;0),"CẢNH BÁO: ĐƠN NÀY ĐANG LỖ; ","")))</f>
        <v/>
      </c>
    </row>
    <row r="114" customFormat="false" ht="15" hidden="false" customHeight="false" outlineLevel="0" collapsed="false">
      <c r="A114" s="21" t="str">
        <f aca="false">IF($C114="","",COUNTA($C$10:$C114))</f>
        <v/>
      </c>
      <c r="B114" s="18"/>
      <c r="C114" s="11"/>
      <c r="D114" s="11"/>
      <c r="E114" s="11"/>
      <c r="F114" s="11"/>
      <c r="G114" s="11"/>
      <c r="H114" s="11"/>
      <c r="I114" s="12"/>
      <c r="J114" s="13" t="str">
        <f aca="false">IF($H114="","",IFERROR(VLOOKUP($H114,'BẢNG GIÁ GỐC'!$A$5:$D$254,3,FALSE()),""))</f>
        <v/>
      </c>
      <c r="K114" s="12"/>
      <c r="L114" s="13" t="str">
        <f aca="false">IF($C114="","",N($I114)*N($K114))</f>
        <v/>
      </c>
      <c r="M114" s="11"/>
      <c r="N114" s="14" t="str">
        <f aca="false">IF($C114="","",IF($M114="VAT 5%",0.05,IF($M114="VAT 8%",0.08,IF($M114="VAT 10%",0.1,0))))</f>
        <v/>
      </c>
      <c r="O114" s="13" t="str">
        <f aca="false">IF($C114="","",$L114*$N114)</f>
        <v/>
      </c>
      <c r="P114" s="13" t="str">
        <f aca="false">IF($C114="","",$L114+$O114)</f>
        <v/>
      </c>
      <c r="Q114" s="12"/>
      <c r="R114" s="13" t="str">
        <f aca="false">IF($C114="","",MAX(0,$P114-N($Q114)))</f>
        <v/>
      </c>
      <c r="S114" s="23" t="str">
        <f aca="false">IF(OR($C114="",$P114=0),"",IF(N($Q114)&lt;=0,"Chưa thanh toán",IF(N($Q114)&lt;$P114,"Thanh toán một phần","Đã thanh toán")))</f>
        <v/>
      </c>
      <c r="T114" s="13" t="str">
        <f aca="false">IF(OR($C114="",$J114=""),"",N($I114)*$J114)</f>
        <v/>
      </c>
      <c r="U114" s="13" t="str">
        <f aca="false">IF(OR($C114="",$T114=""),"",$L114-$T114)</f>
        <v/>
      </c>
      <c r="V114" s="14" t="str">
        <f aca="false">IF(OR($U114="",$L114=0),"",$U114/$L114)</f>
        <v/>
      </c>
      <c r="W114" s="11"/>
      <c r="X114" s="23" t="str">
        <f aca="false">IF($C114="","",IF(AND($H114="",N($I114)=0,N($K114)=0),"Dòng chỉ lưu thông tin khách (chưa có đơn); ",IF($B114="","Thiếu ngày đặt; ","")&amp;IF($H114="","Thiếu tên sản phẩm; ",IF($J114="","Chưa khai GIÁ GỐC ở BẢNG GIÁ GỐC; ",""))&amp;IF(N($I114)&lt;=0,"Thiếu số lượng; ","")&amp;IF(N($K114)&lt;=0,"Thiếu giá bán; ","")&amp;IF(AND($N114&gt;0,$F114=""),"Khách lấy VAT thiếu mã số thuế; ","")&amp;IF(N($Q114)&gt;$P114,"Đã thu vượt tổng phải thu; ","")&amp;IF(AND($L114&gt;0,$U114&lt;&gt;"",$U114&lt;0),"CẢNH BÁO: ĐƠN NÀY ĐANG LỖ; ","")))</f>
        <v/>
      </c>
    </row>
    <row r="115" customFormat="false" ht="15" hidden="false" customHeight="false" outlineLevel="0" collapsed="false">
      <c r="A115" s="21" t="str">
        <f aca="false">IF($C115="","",COUNTA($C$10:$C115))</f>
        <v/>
      </c>
      <c r="B115" s="18"/>
      <c r="C115" s="11"/>
      <c r="D115" s="11"/>
      <c r="E115" s="11"/>
      <c r="F115" s="11"/>
      <c r="G115" s="11"/>
      <c r="H115" s="11"/>
      <c r="I115" s="12"/>
      <c r="J115" s="13" t="str">
        <f aca="false">IF($H115="","",IFERROR(VLOOKUP($H115,'BẢNG GIÁ GỐC'!$A$5:$D$254,3,FALSE()),""))</f>
        <v/>
      </c>
      <c r="K115" s="12"/>
      <c r="L115" s="13" t="str">
        <f aca="false">IF($C115="","",N($I115)*N($K115))</f>
        <v/>
      </c>
      <c r="M115" s="11"/>
      <c r="N115" s="14" t="str">
        <f aca="false">IF($C115="","",IF($M115="VAT 5%",0.05,IF($M115="VAT 8%",0.08,IF($M115="VAT 10%",0.1,0))))</f>
        <v/>
      </c>
      <c r="O115" s="13" t="str">
        <f aca="false">IF($C115="","",$L115*$N115)</f>
        <v/>
      </c>
      <c r="P115" s="13" t="str">
        <f aca="false">IF($C115="","",$L115+$O115)</f>
        <v/>
      </c>
      <c r="Q115" s="12"/>
      <c r="R115" s="13" t="str">
        <f aca="false">IF($C115="","",MAX(0,$P115-N($Q115)))</f>
        <v/>
      </c>
      <c r="S115" s="23" t="str">
        <f aca="false">IF(OR($C115="",$P115=0),"",IF(N($Q115)&lt;=0,"Chưa thanh toán",IF(N($Q115)&lt;$P115,"Thanh toán một phần","Đã thanh toán")))</f>
        <v/>
      </c>
      <c r="T115" s="13" t="str">
        <f aca="false">IF(OR($C115="",$J115=""),"",N($I115)*$J115)</f>
        <v/>
      </c>
      <c r="U115" s="13" t="str">
        <f aca="false">IF(OR($C115="",$T115=""),"",$L115-$T115)</f>
        <v/>
      </c>
      <c r="V115" s="14" t="str">
        <f aca="false">IF(OR($U115="",$L115=0),"",$U115/$L115)</f>
        <v/>
      </c>
      <c r="W115" s="11"/>
      <c r="X115" s="23" t="str">
        <f aca="false">IF($C115="","",IF(AND($H115="",N($I115)=0,N($K115)=0),"Dòng chỉ lưu thông tin khách (chưa có đơn); ",IF($B115="","Thiếu ngày đặt; ","")&amp;IF($H115="","Thiếu tên sản phẩm; ",IF($J115="","Chưa khai GIÁ GỐC ở BẢNG GIÁ GỐC; ",""))&amp;IF(N($I115)&lt;=0,"Thiếu số lượng; ","")&amp;IF(N($K115)&lt;=0,"Thiếu giá bán; ","")&amp;IF(AND($N115&gt;0,$F115=""),"Khách lấy VAT thiếu mã số thuế; ","")&amp;IF(N($Q115)&gt;$P115,"Đã thu vượt tổng phải thu; ","")&amp;IF(AND($L115&gt;0,$U115&lt;&gt;"",$U115&lt;0),"CẢNH BÁO: ĐƠN NÀY ĐANG LỖ; ","")))</f>
        <v/>
      </c>
    </row>
    <row r="116" customFormat="false" ht="15" hidden="false" customHeight="false" outlineLevel="0" collapsed="false">
      <c r="A116" s="21" t="str">
        <f aca="false">IF($C116="","",COUNTA($C$10:$C116))</f>
        <v/>
      </c>
      <c r="B116" s="18"/>
      <c r="C116" s="11"/>
      <c r="D116" s="11"/>
      <c r="E116" s="11"/>
      <c r="F116" s="11"/>
      <c r="G116" s="11"/>
      <c r="H116" s="11"/>
      <c r="I116" s="12"/>
      <c r="J116" s="13" t="str">
        <f aca="false">IF($H116="","",IFERROR(VLOOKUP($H116,'BẢNG GIÁ GỐC'!$A$5:$D$254,3,FALSE()),""))</f>
        <v/>
      </c>
      <c r="K116" s="12"/>
      <c r="L116" s="13" t="str">
        <f aca="false">IF($C116="","",N($I116)*N($K116))</f>
        <v/>
      </c>
      <c r="M116" s="11"/>
      <c r="N116" s="14" t="str">
        <f aca="false">IF($C116="","",IF($M116="VAT 5%",0.05,IF($M116="VAT 8%",0.08,IF($M116="VAT 10%",0.1,0))))</f>
        <v/>
      </c>
      <c r="O116" s="13" t="str">
        <f aca="false">IF($C116="","",$L116*$N116)</f>
        <v/>
      </c>
      <c r="P116" s="13" t="str">
        <f aca="false">IF($C116="","",$L116+$O116)</f>
        <v/>
      </c>
      <c r="Q116" s="12"/>
      <c r="R116" s="13" t="str">
        <f aca="false">IF($C116="","",MAX(0,$P116-N($Q116)))</f>
        <v/>
      </c>
      <c r="S116" s="23" t="str">
        <f aca="false">IF(OR($C116="",$P116=0),"",IF(N($Q116)&lt;=0,"Chưa thanh toán",IF(N($Q116)&lt;$P116,"Thanh toán một phần","Đã thanh toán")))</f>
        <v/>
      </c>
      <c r="T116" s="13" t="str">
        <f aca="false">IF(OR($C116="",$J116=""),"",N($I116)*$J116)</f>
        <v/>
      </c>
      <c r="U116" s="13" t="str">
        <f aca="false">IF(OR($C116="",$T116=""),"",$L116-$T116)</f>
        <v/>
      </c>
      <c r="V116" s="14" t="str">
        <f aca="false">IF(OR($U116="",$L116=0),"",$U116/$L116)</f>
        <v/>
      </c>
      <c r="W116" s="11"/>
      <c r="X116" s="23" t="str">
        <f aca="false">IF($C116="","",IF(AND($H116="",N($I116)=0,N($K116)=0),"Dòng chỉ lưu thông tin khách (chưa có đơn); ",IF($B116="","Thiếu ngày đặt; ","")&amp;IF($H116="","Thiếu tên sản phẩm; ",IF($J116="","Chưa khai GIÁ GỐC ở BẢNG GIÁ GỐC; ",""))&amp;IF(N($I116)&lt;=0,"Thiếu số lượng; ","")&amp;IF(N($K116)&lt;=0,"Thiếu giá bán; ","")&amp;IF(AND($N116&gt;0,$F116=""),"Khách lấy VAT thiếu mã số thuế; ","")&amp;IF(N($Q116)&gt;$P116,"Đã thu vượt tổng phải thu; ","")&amp;IF(AND($L116&gt;0,$U116&lt;&gt;"",$U116&lt;0),"CẢNH BÁO: ĐƠN NÀY ĐANG LỖ; ","")))</f>
        <v/>
      </c>
    </row>
    <row r="117" customFormat="false" ht="15" hidden="false" customHeight="false" outlineLevel="0" collapsed="false">
      <c r="A117" s="21" t="str">
        <f aca="false">IF($C117="","",COUNTA($C$10:$C117))</f>
        <v/>
      </c>
      <c r="B117" s="18"/>
      <c r="C117" s="11"/>
      <c r="D117" s="11"/>
      <c r="E117" s="11"/>
      <c r="F117" s="11"/>
      <c r="G117" s="11"/>
      <c r="H117" s="11"/>
      <c r="I117" s="12"/>
      <c r="J117" s="13" t="str">
        <f aca="false">IF($H117="","",IFERROR(VLOOKUP($H117,'BẢNG GIÁ GỐC'!$A$5:$D$254,3,FALSE()),""))</f>
        <v/>
      </c>
      <c r="K117" s="12"/>
      <c r="L117" s="13" t="str">
        <f aca="false">IF($C117="","",N($I117)*N($K117))</f>
        <v/>
      </c>
      <c r="M117" s="11"/>
      <c r="N117" s="14" t="str">
        <f aca="false">IF($C117="","",IF($M117="VAT 5%",0.05,IF($M117="VAT 8%",0.08,IF($M117="VAT 10%",0.1,0))))</f>
        <v/>
      </c>
      <c r="O117" s="13" t="str">
        <f aca="false">IF($C117="","",$L117*$N117)</f>
        <v/>
      </c>
      <c r="P117" s="13" t="str">
        <f aca="false">IF($C117="","",$L117+$O117)</f>
        <v/>
      </c>
      <c r="Q117" s="12"/>
      <c r="R117" s="13" t="str">
        <f aca="false">IF($C117="","",MAX(0,$P117-N($Q117)))</f>
        <v/>
      </c>
      <c r="S117" s="23" t="str">
        <f aca="false">IF(OR($C117="",$P117=0),"",IF(N($Q117)&lt;=0,"Chưa thanh toán",IF(N($Q117)&lt;$P117,"Thanh toán một phần","Đã thanh toán")))</f>
        <v/>
      </c>
      <c r="T117" s="13" t="str">
        <f aca="false">IF(OR($C117="",$J117=""),"",N($I117)*$J117)</f>
        <v/>
      </c>
      <c r="U117" s="13" t="str">
        <f aca="false">IF(OR($C117="",$T117=""),"",$L117-$T117)</f>
        <v/>
      </c>
      <c r="V117" s="14" t="str">
        <f aca="false">IF(OR($U117="",$L117=0),"",$U117/$L117)</f>
        <v/>
      </c>
      <c r="W117" s="11"/>
      <c r="X117" s="23" t="str">
        <f aca="false">IF($C117="","",IF(AND($H117="",N($I117)=0,N($K117)=0),"Dòng chỉ lưu thông tin khách (chưa có đơn); ",IF($B117="","Thiếu ngày đặt; ","")&amp;IF($H117="","Thiếu tên sản phẩm; ",IF($J117="","Chưa khai GIÁ GỐC ở BẢNG GIÁ GỐC; ",""))&amp;IF(N($I117)&lt;=0,"Thiếu số lượng; ","")&amp;IF(N($K117)&lt;=0,"Thiếu giá bán; ","")&amp;IF(AND($N117&gt;0,$F117=""),"Khách lấy VAT thiếu mã số thuế; ","")&amp;IF(N($Q117)&gt;$P117,"Đã thu vượt tổng phải thu; ","")&amp;IF(AND($L117&gt;0,$U117&lt;&gt;"",$U117&lt;0),"CẢNH BÁO: ĐƠN NÀY ĐANG LỖ; ","")))</f>
        <v/>
      </c>
    </row>
    <row r="118" customFormat="false" ht="15" hidden="false" customHeight="false" outlineLevel="0" collapsed="false">
      <c r="A118" s="21" t="str">
        <f aca="false">IF($C118="","",COUNTA($C$10:$C118))</f>
        <v/>
      </c>
      <c r="B118" s="18"/>
      <c r="C118" s="11"/>
      <c r="D118" s="11"/>
      <c r="E118" s="11"/>
      <c r="F118" s="11"/>
      <c r="G118" s="11"/>
      <c r="H118" s="11"/>
      <c r="I118" s="12"/>
      <c r="J118" s="13" t="str">
        <f aca="false">IF($H118="","",IFERROR(VLOOKUP($H118,'BẢNG GIÁ GỐC'!$A$5:$D$254,3,FALSE()),""))</f>
        <v/>
      </c>
      <c r="K118" s="12"/>
      <c r="L118" s="13" t="str">
        <f aca="false">IF($C118="","",N($I118)*N($K118))</f>
        <v/>
      </c>
      <c r="M118" s="11"/>
      <c r="N118" s="14" t="str">
        <f aca="false">IF($C118="","",IF($M118="VAT 5%",0.05,IF($M118="VAT 8%",0.08,IF($M118="VAT 10%",0.1,0))))</f>
        <v/>
      </c>
      <c r="O118" s="13" t="str">
        <f aca="false">IF($C118="","",$L118*$N118)</f>
        <v/>
      </c>
      <c r="P118" s="13" t="str">
        <f aca="false">IF($C118="","",$L118+$O118)</f>
        <v/>
      </c>
      <c r="Q118" s="12"/>
      <c r="R118" s="13" t="str">
        <f aca="false">IF($C118="","",MAX(0,$P118-N($Q118)))</f>
        <v/>
      </c>
      <c r="S118" s="23" t="str">
        <f aca="false">IF(OR($C118="",$P118=0),"",IF(N($Q118)&lt;=0,"Chưa thanh toán",IF(N($Q118)&lt;$P118,"Thanh toán một phần","Đã thanh toán")))</f>
        <v/>
      </c>
      <c r="T118" s="13" t="str">
        <f aca="false">IF(OR($C118="",$J118=""),"",N($I118)*$J118)</f>
        <v/>
      </c>
      <c r="U118" s="13" t="str">
        <f aca="false">IF(OR($C118="",$T118=""),"",$L118-$T118)</f>
        <v/>
      </c>
      <c r="V118" s="14" t="str">
        <f aca="false">IF(OR($U118="",$L118=0),"",$U118/$L118)</f>
        <v/>
      </c>
      <c r="W118" s="11"/>
      <c r="X118" s="23" t="str">
        <f aca="false">IF($C118="","",IF(AND($H118="",N($I118)=0,N($K118)=0),"Dòng chỉ lưu thông tin khách (chưa có đơn); ",IF($B118="","Thiếu ngày đặt; ","")&amp;IF($H118="","Thiếu tên sản phẩm; ",IF($J118="","Chưa khai GIÁ GỐC ở BẢNG GIÁ GỐC; ",""))&amp;IF(N($I118)&lt;=0,"Thiếu số lượng; ","")&amp;IF(N($K118)&lt;=0,"Thiếu giá bán; ","")&amp;IF(AND($N118&gt;0,$F118=""),"Khách lấy VAT thiếu mã số thuế; ","")&amp;IF(N($Q118)&gt;$P118,"Đã thu vượt tổng phải thu; ","")&amp;IF(AND($L118&gt;0,$U118&lt;&gt;"",$U118&lt;0),"CẢNH BÁO: ĐƠN NÀY ĐANG LỖ; ","")))</f>
        <v/>
      </c>
    </row>
    <row r="119" customFormat="false" ht="15" hidden="false" customHeight="false" outlineLevel="0" collapsed="false">
      <c r="A119" s="21" t="str">
        <f aca="false">IF($C119="","",COUNTA($C$10:$C119))</f>
        <v/>
      </c>
      <c r="B119" s="18"/>
      <c r="C119" s="11"/>
      <c r="D119" s="11"/>
      <c r="E119" s="11"/>
      <c r="F119" s="11"/>
      <c r="G119" s="11"/>
      <c r="H119" s="11"/>
      <c r="I119" s="12"/>
      <c r="J119" s="13" t="str">
        <f aca="false">IF($H119="","",IFERROR(VLOOKUP($H119,'BẢNG GIÁ GỐC'!$A$5:$D$254,3,FALSE()),""))</f>
        <v/>
      </c>
      <c r="K119" s="12"/>
      <c r="L119" s="13" t="str">
        <f aca="false">IF($C119="","",N($I119)*N($K119))</f>
        <v/>
      </c>
      <c r="M119" s="11"/>
      <c r="N119" s="14" t="str">
        <f aca="false">IF($C119="","",IF($M119="VAT 5%",0.05,IF($M119="VAT 8%",0.08,IF($M119="VAT 10%",0.1,0))))</f>
        <v/>
      </c>
      <c r="O119" s="13" t="str">
        <f aca="false">IF($C119="","",$L119*$N119)</f>
        <v/>
      </c>
      <c r="P119" s="13" t="str">
        <f aca="false">IF($C119="","",$L119+$O119)</f>
        <v/>
      </c>
      <c r="Q119" s="12"/>
      <c r="R119" s="13" t="str">
        <f aca="false">IF($C119="","",MAX(0,$P119-N($Q119)))</f>
        <v/>
      </c>
      <c r="S119" s="23" t="str">
        <f aca="false">IF(OR($C119="",$P119=0),"",IF(N($Q119)&lt;=0,"Chưa thanh toán",IF(N($Q119)&lt;$P119,"Thanh toán một phần","Đã thanh toán")))</f>
        <v/>
      </c>
      <c r="T119" s="13" t="str">
        <f aca="false">IF(OR($C119="",$J119=""),"",N($I119)*$J119)</f>
        <v/>
      </c>
      <c r="U119" s="13" t="str">
        <f aca="false">IF(OR($C119="",$T119=""),"",$L119-$T119)</f>
        <v/>
      </c>
      <c r="V119" s="14" t="str">
        <f aca="false">IF(OR($U119="",$L119=0),"",$U119/$L119)</f>
        <v/>
      </c>
      <c r="W119" s="11"/>
      <c r="X119" s="23" t="str">
        <f aca="false">IF($C119="","",IF(AND($H119="",N($I119)=0,N($K119)=0),"Dòng chỉ lưu thông tin khách (chưa có đơn); ",IF($B119="","Thiếu ngày đặt; ","")&amp;IF($H119="","Thiếu tên sản phẩm; ",IF($J119="","Chưa khai GIÁ GỐC ở BẢNG GIÁ GỐC; ",""))&amp;IF(N($I119)&lt;=0,"Thiếu số lượng; ","")&amp;IF(N($K119)&lt;=0,"Thiếu giá bán; ","")&amp;IF(AND($N119&gt;0,$F119=""),"Khách lấy VAT thiếu mã số thuế; ","")&amp;IF(N($Q119)&gt;$P119,"Đã thu vượt tổng phải thu; ","")&amp;IF(AND($L119&gt;0,$U119&lt;&gt;"",$U119&lt;0),"CẢNH BÁO: ĐƠN NÀY ĐANG LỖ; ","")))</f>
        <v/>
      </c>
    </row>
    <row r="120" customFormat="false" ht="15" hidden="false" customHeight="false" outlineLevel="0" collapsed="false">
      <c r="A120" s="21" t="str">
        <f aca="false">IF($C120="","",COUNTA($C$10:$C120))</f>
        <v/>
      </c>
      <c r="B120" s="18"/>
      <c r="C120" s="11"/>
      <c r="D120" s="11"/>
      <c r="E120" s="11"/>
      <c r="F120" s="11"/>
      <c r="G120" s="11"/>
      <c r="H120" s="11"/>
      <c r="I120" s="12"/>
      <c r="J120" s="13" t="str">
        <f aca="false">IF($H120="","",IFERROR(VLOOKUP($H120,'BẢNG GIÁ GỐC'!$A$5:$D$254,3,FALSE()),""))</f>
        <v/>
      </c>
      <c r="K120" s="12"/>
      <c r="L120" s="13" t="str">
        <f aca="false">IF($C120="","",N($I120)*N($K120))</f>
        <v/>
      </c>
      <c r="M120" s="11"/>
      <c r="N120" s="14" t="str">
        <f aca="false">IF($C120="","",IF($M120="VAT 5%",0.05,IF($M120="VAT 8%",0.08,IF($M120="VAT 10%",0.1,0))))</f>
        <v/>
      </c>
      <c r="O120" s="13" t="str">
        <f aca="false">IF($C120="","",$L120*$N120)</f>
        <v/>
      </c>
      <c r="P120" s="13" t="str">
        <f aca="false">IF($C120="","",$L120+$O120)</f>
        <v/>
      </c>
      <c r="Q120" s="12"/>
      <c r="R120" s="13" t="str">
        <f aca="false">IF($C120="","",MAX(0,$P120-N($Q120)))</f>
        <v/>
      </c>
      <c r="S120" s="23" t="str">
        <f aca="false">IF(OR($C120="",$P120=0),"",IF(N($Q120)&lt;=0,"Chưa thanh toán",IF(N($Q120)&lt;$P120,"Thanh toán một phần","Đã thanh toán")))</f>
        <v/>
      </c>
      <c r="T120" s="13" t="str">
        <f aca="false">IF(OR($C120="",$J120=""),"",N($I120)*$J120)</f>
        <v/>
      </c>
      <c r="U120" s="13" t="str">
        <f aca="false">IF(OR($C120="",$T120=""),"",$L120-$T120)</f>
        <v/>
      </c>
      <c r="V120" s="14" t="str">
        <f aca="false">IF(OR($U120="",$L120=0),"",$U120/$L120)</f>
        <v/>
      </c>
      <c r="W120" s="11"/>
      <c r="X120" s="23" t="str">
        <f aca="false">IF($C120="","",IF(AND($H120="",N($I120)=0,N($K120)=0),"Dòng chỉ lưu thông tin khách (chưa có đơn); ",IF($B120="","Thiếu ngày đặt; ","")&amp;IF($H120="","Thiếu tên sản phẩm; ",IF($J120="","Chưa khai GIÁ GỐC ở BẢNG GIÁ GỐC; ",""))&amp;IF(N($I120)&lt;=0,"Thiếu số lượng; ","")&amp;IF(N($K120)&lt;=0,"Thiếu giá bán; ","")&amp;IF(AND($N120&gt;0,$F120=""),"Khách lấy VAT thiếu mã số thuế; ","")&amp;IF(N($Q120)&gt;$P120,"Đã thu vượt tổng phải thu; ","")&amp;IF(AND($L120&gt;0,$U120&lt;&gt;"",$U120&lt;0),"CẢNH BÁO: ĐƠN NÀY ĐANG LỖ; ","")))</f>
        <v/>
      </c>
    </row>
    <row r="121" customFormat="false" ht="15" hidden="false" customHeight="false" outlineLevel="0" collapsed="false">
      <c r="A121" s="21" t="str">
        <f aca="false">IF($C121="","",COUNTA($C$10:$C121))</f>
        <v/>
      </c>
      <c r="B121" s="18"/>
      <c r="C121" s="11"/>
      <c r="D121" s="11"/>
      <c r="E121" s="11"/>
      <c r="F121" s="11"/>
      <c r="G121" s="11"/>
      <c r="H121" s="11"/>
      <c r="I121" s="12"/>
      <c r="J121" s="13" t="str">
        <f aca="false">IF($H121="","",IFERROR(VLOOKUP($H121,'BẢNG GIÁ GỐC'!$A$5:$D$254,3,FALSE()),""))</f>
        <v/>
      </c>
      <c r="K121" s="12"/>
      <c r="L121" s="13" t="str">
        <f aca="false">IF($C121="","",N($I121)*N($K121))</f>
        <v/>
      </c>
      <c r="M121" s="11"/>
      <c r="N121" s="14" t="str">
        <f aca="false">IF($C121="","",IF($M121="VAT 5%",0.05,IF($M121="VAT 8%",0.08,IF($M121="VAT 10%",0.1,0))))</f>
        <v/>
      </c>
      <c r="O121" s="13" t="str">
        <f aca="false">IF($C121="","",$L121*$N121)</f>
        <v/>
      </c>
      <c r="P121" s="13" t="str">
        <f aca="false">IF($C121="","",$L121+$O121)</f>
        <v/>
      </c>
      <c r="Q121" s="12"/>
      <c r="R121" s="13" t="str">
        <f aca="false">IF($C121="","",MAX(0,$P121-N($Q121)))</f>
        <v/>
      </c>
      <c r="S121" s="23" t="str">
        <f aca="false">IF(OR($C121="",$P121=0),"",IF(N($Q121)&lt;=0,"Chưa thanh toán",IF(N($Q121)&lt;$P121,"Thanh toán một phần","Đã thanh toán")))</f>
        <v/>
      </c>
      <c r="T121" s="13" t="str">
        <f aca="false">IF(OR($C121="",$J121=""),"",N($I121)*$J121)</f>
        <v/>
      </c>
      <c r="U121" s="13" t="str">
        <f aca="false">IF(OR($C121="",$T121=""),"",$L121-$T121)</f>
        <v/>
      </c>
      <c r="V121" s="14" t="str">
        <f aca="false">IF(OR($U121="",$L121=0),"",$U121/$L121)</f>
        <v/>
      </c>
      <c r="W121" s="11"/>
      <c r="X121" s="23" t="str">
        <f aca="false">IF($C121="","",IF(AND($H121="",N($I121)=0,N($K121)=0),"Dòng chỉ lưu thông tin khách (chưa có đơn); ",IF($B121="","Thiếu ngày đặt; ","")&amp;IF($H121="","Thiếu tên sản phẩm; ",IF($J121="","Chưa khai GIÁ GỐC ở BẢNG GIÁ GỐC; ",""))&amp;IF(N($I121)&lt;=0,"Thiếu số lượng; ","")&amp;IF(N($K121)&lt;=0,"Thiếu giá bán; ","")&amp;IF(AND($N121&gt;0,$F121=""),"Khách lấy VAT thiếu mã số thuế; ","")&amp;IF(N($Q121)&gt;$P121,"Đã thu vượt tổng phải thu; ","")&amp;IF(AND($L121&gt;0,$U121&lt;&gt;"",$U121&lt;0),"CẢNH BÁO: ĐƠN NÀY ĐANG LỖ; ","")))</f>
        <v/>
      </c>
    </row>
    <row r="122" customFormat="false" ht="15" hidden="false" customHeight="false" outlineLevel="0" collapsed="false">
      <c r="A122" s="21" t="str">
        <f aca="false">IF($C122="","",COUNTA($C$10:$C122))</f>
        <v/>
      </c>
      <c r="B122" s="18"/>
      <c r="C122" s="11"/>
      <c r="D122" s="11"/>
      <c r="E122" s="11"/>
      <c r="F122" s="11"/>
      <c r="G122" s="11"/>
      <c r="H122" s="11"/>
      <c r="I122" s="12"/>
      <c r="J122" s="13" t="str">
        <f aca="false">IF($H122="","",IFERROR(VLOOKUP($H122,'BẢNG GIÁ GỐC'!$A$5:$D$254,3,FALSE()),""))</f>
        <v/>
      </c>
      <c r="K122" s="12"/>
      <c r="L122" s="13" t="str">
        <f aca="false">IF($C122="","",N($I122)*N($K122))</f>
        <v/>
      </c>
      <c r="M122" s="11"/>
      <c r="N122" s="14" t="str">
        <f aca="false">IF($C122="","",IF($M122="VAT 5%",0.05,IF($M122="VAT 8%",0.08,IF($M122="VAT 10%",0.1,0))))</f>
        <v/>
      </c>
      <c r="O122" s="13" t="str">
        <f aca="false">IF($C122="","",$L122*$N122)</f>
        <v/>
      </c>
      <c r="P122" s="13" t="str">
        <f aca="false">IF($C122="","",$L122+$O122)</f>
        <v/>
      </c>
      <c r="Q122" s="12"/>
      <c r="R122" s="13" t="str">
        <f aca="false">IF($C122="","",MAX(0,$P122-N($Q122)))</f>
        <v/>
      </c>
      <c r="S122" s="23" t="str">
        <f aca="false">IF(OR($C122="",$P122=0),"",IF(N($Q122)&lt;=0,"Chưa thanh toán",IF(N($Q122)&lt;$P122,"Thanh toán một phần","Đã thanh toán")))</f>
        <v/>
      </c>
      <c r="T122" s="13" t="str">
        <f aca="false">IF(OR($C122="",$J122=""),"",N($I122)*$J122)</f>
        <v/>
      </c>
      <c r="U122" s="13" t="str">
        <f aca="false">IF(OR($C122="",$T122=""),"",$L122-$T122)</f>
        <v/>
      </c>
      <c r="V122" s="14" t="str">
        <f aca="false">IF(OR($U122="",$L122=0),"",$U122/$L122)</f>
        <v/>
      </c>
      <c r="W122" s="11"/>
      <c r="X122" s="23" t="str">
        <f aca="false">IF($C122="","",IF(AND($H122="",N($I122)=0,N($K122)=0),"Dòng chỉ lưu thông tin khách (chưa có đơn); ",IF($B122="","Thiếu ngày đặt; ","")&amp;IF($H122="","Thiếu tên sản phẩm; ",IF($J122="","Chưa khai GIÁ GỐC ở BẢNG GIÁ GỐC; ",""))&amp;IF(N($I122)&lt;=0,"Thiếu số lượng; ","")&amp;IF(N($K122)&lt;=0,"Thiếu giá bán; ","")&amp;IF(AND($N122&gt;0,$F122=""),"Khách lấy VAT thiếu mã số thuế; ","")&amp;IF(N($Q122)&gt;$P122,"Đã thu vượt tổng phải thu; ","")&amp;IF(AND($L122&gt;0,$U122&lt;&gt;"",$U122&lt;0),"CẢNH BÁO: ĐƠN NÀY ĐANG LỖ; ","")))</f>
        <v/>
      </c>
    </row>
    <row r="123" customFormat="false" ht="15" hidden="false" customHeight="false" outlineLevel="0" collapsed="false">
      <c r="A123" s="21" t="str">
        <f aca="false">IF($C123="","",COUNTA($C$10:$C123))</f>
        <v/>
      </c>
      <c r="B123" s="18"/>
      <c r="C123" s="11"/>
      <c r="D123" s="11"/>
      <c r="E123" s="11"/>
      <c r="F123" s="11"/>
      <c r="G123" s="11"/>
      <c r="H123" s="11"/>
      <c r="I123" s="12"/>
      <c r="J123" s="13" t="str">
        <f aca="false">IF($H123="","",IFERROR(VLOOKUP($H123,'BẢNG GIÁ GỐC'!$A$5:$D$254,3,FALSE()),""))</f>
        <v/>
      </c>
      <c r="K123" s="12"/>
      <c r="L123" s="13" t="str">
        <f aca="false">IF($C123="","",N($I123)*N($K123))</f>
        <v/>
      </c>
      <c r="M123" s="11"/>
      <c r="N123" s="14" t="str">
        <f aca="false">IF($C123="","",IF($M123="VAT 5%",0.05,IF($M123="VAT 8%",0.08,IF($M123="VAT 10%",0.1,0))))</f>
        <v/>
      </c>
      <c r="O123" s="13" t="str">
        <f aca="false">IF($C123="","",$L123*$N123)</f>
        <v/>
      </c>
      <c r="P123" s="13" t="str">
        <f aca="false">IF($C123="","",$L123+$O123)</f>
        <v/>
      </c>
      <c r="Q123" s="12"/>
      <c r="R123" s="13" t="str">
        <f aca="false">IF($C123="","",MAX(0,$P123-N($Q123)))</f>
        <v/>
      </c>
      <c r="S123" s="23" t="str">
        <f aca="false">IF(OR($C123="",$P123=0),"",IF(N($Q123)&lt;=0,"Chưa thanh toán",IF(N($Q123)&lt;$P123,"Thanh toán một phần","Đã thanh toán")))</f>
        <v/>
      </c>
      <c r="T123" s="13" t="str">
        <f aca="false">IF(OR($C123="",$J123=""),"",N($I123)*$J123)</f>
        <v/>
      </c>
      <c r="U123" s="13" t="str">
        <f aca="false">IF(OR($C123="",$T123=""),"",$L123-$T123)</f>
        <v/>
      </c>
      <c r="V123" s="14" t="str">
        <f aca="false">IF(OR($U123="",$L123=0),"",$U123/$L123)</f>
        <v/>
      </c>
      <c r="W123" s="11"/>
      <c r="X123" s="23" t="str">
        <f aca="false">IF($C123="","",IF(AND($H123="",N($I123)=0,N($K123)=0),"Dòng chỉ lưu thông tin khách (chưa có đơn); ",IF($B123="","Thiếu ngày đặt; ","")&amp;IF($H123="","Thiếu tên sản phẩm; ",IF($J123="","Chưa khai GIÁ GỐC ở BẢNG GIÁ GỐC; ",""))&amp;IF(N($I123)&lt;=0,"Thiếu số lượng; ","")&amp;IF(N($K123)&lt;=0,"Thiếu giá bán; ","")&amp;IF(AND($N123&gt;0,$F123=""),"Khách lấy VAT thiếu mã số thuế; ","")&amp;IF(N($Q123)&gt;$P123,"Đã thu vượt tổng phải thu; ","")&amp;IF(AND($L123&gt;0,$U123&lt;&gt;"",$U123&lt;0),"CẢNH BÁO: ĐƠN NÀY ĐANG LỖ; ","")))</f>
        <v/>
      </c>
    </row>
    <row r="124" customFormat="false" ht="15" hidden="false" customHeight="false" outlineLevel="0" collapsed="false">
      <c r="A124" s="21" t="str">
        <f aca="false">IF($C124="","",COUNTA($C$10:$C124))</f>
        <v/>
      </c>
      <c r="B124" s="18"/>
      <c r="C124" s="11"/>
      <c r="D124" s="11"/>
      <c r="E124" s="11"/>
      <c r="F124" s="11"/>
      <c r="G124" s="11"/>
      <c r="H124" s="11"/>
      <c r="I124" s="12"/>
      <c r="J124" s="13" t="str">
        <f aca="false">IF($H124="","",IFERROR(VLOOKUP($H124,'BẢNG GIÁ GỐC'!$A$5:$D$254,3,FALSE()),""))</f>
        <v/>
      </c>
      <c r="K124" s="12"/>
      <c r="L124" s="13" t="str">
        <f aca="false">IF($C124="","",N($I124)*N($K124))</f>
        <v/>
      </c>
      <c r="M124" s="11"/>
      <c r="N124" s="14" t="str">
        <f aca="false">IF($C124="","",IF($M124="VAT 5%",0.05,IF($M124="VAT 8%",0.08,IF($M124="VAT 10%",0.1,0))))</f>
        <v/>
      </c>
      <c r="O124" s="13" t="str">
        <f aca="false">IF($C124="","",$L124*$N124)</f>
        <v/>
      </c>
      <c r="P124" s="13" t="str">
        <f aca="false">IF($C124="","",$L124+$O124)</f>
        <v/>
      </c>
      <c r="Q124" s="12"/>
      <c r="R124" s="13" t="str">
        <f aca="false">IF($C124="","",MAX(0,$P124-N($Q124)))</f>
        <v/>
      </c>
      <c r="S124" s="23" t="str">
        <f aca="false">IF(OR($C124="",$P124=0),"",IF(N($Q124)&lt;=0,"Chưa thanh toán",IF(N($Q124)&lt;$P124,"Thanh toán một phần","Đã thanh toán")))</f>
        <v/>
      </c>
      <c r="T124" s="13" t="str">
        <f aca="false">IF(OR($C124="",$J124=""),"",N($I124)*$J124)</f>
        <v/>
      </c>
      <c r="U124" s="13" t="str">
        <f aca="false">IF(OR($C124="",$T124=""),"",$L124-$T124)</f>
        <v/>
      </c>
      <c r="V124" s="14" t="str">
        <f aca="false">IF(OR($U124="",$L124=0),"",$U124/$L124)</f>
        <v/>
      </c>
      <c r="W124" s="11"/>
      <c r="X124" s="23" t="str">
        <f aca="false">IF($C124="","",IF(AND($H124="",N($I124)=0,N($K124)=0),"Dòng chỉ lưu thông tin khách (chưa có đơn); ",IF($B124="","Thiếu ngày đặt; ","")&amp;IF($H124="","Thiếu tên sản phẩm; ",IF($J124="","Chưa khai GIÁ GỐC ở BẢNG GIÁ GỐC; ",""))&amp;IF(N($I124)&lt;=0,"Thiếu số lượng; ","")&amp;IF(N($K124)&lt;=0,"Thiếu giá bán; ","")&amp;IF(AND($N124&gt;0,$F124=""),"Khách lấy VAT thiếu mã số thuế; ","")&amp;IF(N($Q124)&gt;$P124,"Đã thu vượt tổng phải thu; ","")&amp;IF(AND($L124&gt;0,$U124&lt;&gt;"",$U124&lt;0),"CẢNH BÁO: ĐƠN NÀY ĐANG LỖ; ","")))</f>
        <v/>
      </c>
    </row>
    <row r="125" customFormat="false" ht="15" hidden="false" customHeight="false" outlineLevel="0" collapsed="false">
      <c r="A125" s="21" t="str">
        <f aca="false">IF($C125="","",COUNTA($C$10:$C125))</f>
        <v/>
      </c>
      <c r="B125" s="18"/>
      <c r="C125" s="11"/>
      <c r="D125" s="11"/>
      <c r="E125" s="11"/>
      <c r="F125" s="11"/>
      <c r="G125" s="11"/>
      <c r="H125" s="11"/>
      <c r="I125" s="12"/>
      <c r="J125" s="13" t="str">
        <f aca="false">IF($H125="","",IFERROR(VLOOKUP($H125,'BẢNG GIÁ GỐC'!$A$5:$D$254,3,FALSE()),""))</f>
        <v/>
      </c>
      <c r="K125" s="12"/>
      <c r="L125" s="13" t="str">
        <f aca="false">IF($C125="","",N($I125)*N($K125))</f>
        <v/>
      </c>
      <c r="M125" s="11"/>
      <c r="N125" s="14" t="str">
        <f aca="false">IF($C125="","",IF($M125="VAT 5%",0.05,IF($M125="VAT 8%",0.08,IF($M125="VAT 10%",0.1,0))))</f>
        <v/>
      </c>
      <c r="O125" s="13" t="str">
        <f aca="false">IF($C125="","",$L125*$N125)</f>
        <v/>
      </c>
      <c r="P125" s="13" t="str">
        <f aca="false">IF($C125="","",$L125+$O125)</f>
        <v/>
      </c>
      <c r="Q125" s="12"/>
      <c r="R125" s="13" t="str">
        <f aca="false">IF($C125="","",MAX(0,$P125-N($Q125)))</f>
        <v/>
      </c>
      <c r="S125" s="23" t="str">
        <f aca="false">IF(OR($C125="",$P125=0),"",IF(N($Q125)&lt;=0,"Chưa thanh toán",IF(N($Q125)&lt;$P125,"Thanh toán một phần","Đã thanh toán")))</f>
        <v/>
      </c>
      <c r="T125" s="13" t="str">
        <f aca="false">IF(OR($C125="",$J125=""),"",N($I125)*$J125)</f>
        <v/>
      </c>
      <c r="U125" s="13" t="str">
        <f aca="false">IF(OR($C125="",$T125=""),"",$L125-$T125)</f>
        <v/>
      </c>
      <c r="V125" s="14" t="str">
        <f aca="false">IF(OR($U125="",$L125=0),"",$U125/$L125)</f>
        <v/>
      </c>
      <c r="W125" s="11"/>
      <c r="X125" s="23" t="str">
        <f aca="false">IF($C125="","",IF(AND($H125="",N($I125)=0,N($K125)=0),"Dòng chỉ lưu thông tin khách (chưa có đơn); ",IF($B125="","Thiếu ngày đặt; ","")&amp;IF($H125="","Thiếu tên sản phẩm; ",IF($J125="","Chưa khai GIÁ GỐC ở BẢNG GIÁ GỐC; ",""))&amp;IF(N($I125)&lt;=0,"Thiếu số lượng; ","")&amp;IF(N($K125)&lt;=0,"Thiếu giá bán; ","")&amp;IF(AND($N125&gt;0,$F125=""),"Khách lấy VAT thiếu mã số thuế; ","")&amp;IF(N($Q125)&gt;$P125,"Đã thu vượt tổng phải thu; ","")&amp;IF(AND($L125&gt;0,$U125&lt;&gt;"",$U125&lt;0),"CẢNH BÁO: ĐƠN NÀY ĐANG LỖ; ","")))</f>
        <v/>
      </c>
    </row>
    <row r="126" customFormat="false" ht="15" hidden="false" customHeight="false" outlineLevel="0" collapsed="false">
      <c r="A126" s="21" t="str">
        <f aca="false">IF($C126="","",COUNTA($C$10:$C126))</f>
        <v/>
      </c>
      <c r="B126" s="18"/>
      <c r="C126" s="11"/>
      <c r="D126" s="11"/>
      <c r="E126" s="11"/>
      <c r="F126" s="11"/>
      <c r="G126" s="11"/>
      <c r="H126" s="11"/>
      <c r="I126" s="12"/>
      <c r="J126" s="13" t="str">
        <f aca="false">IF($H126="","",IFERROR(VLOOKUP($H126,'BẢNG GIÁ GỐC'!$A$5:$D$254,3,FALSE()),""))</f>
        <v/>
      </c>
      <c r="K126" s="12"/>
      <c r="L126" s="13" t="str">
        <f aca="false">IF($C126="","",N($I126)*N($K126))</f>
        <v/>
      </c>
      <c r="M126" s="11"/>
      <c r="N126" s="14" t="str">
        <f aca="false">IF($C126="","",IF($M126="VAT 5%",0.05,IF($M126="VAT 8%",0.08,IF($M126="VAT 10%",0.1,0))))</f>
        <v/>
      </c>
      <c r="O126" s="13" t="str">
        <f aca="false">IF($C126="","",$L126*$N126)</f>
        <v/>
      </c>
      <c r="P126" s="13" t="str">
        <f aca="false">IF($C126="","",$L126+$O126)</f>
        <v/>
      </c>
      <c r="Q126" s="12"/>
      <c r="R126" s="13" t="str">
        <f aca="false">IF($C126="","",MAX(0,$P126-N($Q126)))</f>
        <v/>
      </c>
      <c r="S126" s="23" t="str">
        <f aca="false">IF(OR($C126="",$P126=0),"",IF(N($Q126)&lt;=0,"Chưa thanh toán",IF(N($Q126)&lt;$P126,"Thanh toán một phần","Đã thanh toán")))</f>
        <v/>
      </c>
      <c r="T126" s="13" t="str">
        <f aca="false">IF(OR($C126="",$J126=""),"",N($I126)*$J126)</f>
        <v/>
      </c>
      <c r="U126" s="13" t="str">
        <f aca="false">IF(OR($C126="",$T126=""),"",$L126-$T126)</f>
        <v/>
      </c>
      <c r="V126" s="14" t="str">
        <f aca="false">IF(OR($U126="",$L126=0),"",$U126/$L126)</f>
        <v/>
      </c>
      <c r="W126" s="11"/>
      <c r="X126" s="23" t="str">
        <f aca="false">IF($C126="","",IF(AND($H126="",N($I126)=0,N($K126)=0),"Dòng chỉ lưu thông tin khách (chưa có đơn); ",IF($B126="","Thiếu ngày đặt; ","")&amp;IF($H126="","Thiếu tên sản phẩm; ",IF($J126="","Chưa khai GIÁ GỐC ở BẢNG GIÁ GỐC; ",""))&amp;IF(N($I126)&lt;=0,"Thiếu số lượng; ","")&amp;IF(N($K126)&lt;=0,"Thiếu giá bán; ","")&amp;IF(AND($N126&gt;0,$F126=""),"Khách lấy VAT thiếu mã số thuế; ","")&amp;IF(N($Q126)&gt;$P126,"Đã thu vượt tổng phải thu; ","")&amp;IF(AND($L126&gt;0,$U126&lt;&gt;"",$U126&lt;0),"CẢNH BÁO: ĐƠN NÀY ĐANG LỖ; ","")))</f>
        <v/>
      </c>
    </row>
    <row r="127" customFormat="false" ht="15" hidden="false" customHeight="false" outlineLevel="0" collapsed="false">
      <c r="A127" s="21" t="str">
        <f aca="false">IF($C127="","",COUNTA($C$10:$C127))</f>
        <v/>
      </c>
      <c r="B127" s="18"/>
      <c r="C127" s="11"/>
      <c r="D127" s="11"/>
      <c r="E127" s="11"/>
      <c r="F127" s="11"/>
      <c r="G127" s="11"/>
      <c r="H127" s="11"/>
      <c r="I127" s="12"/>
      <c r="J127" s="13" t="str">
        <f aca="false">IF($H127="","",IFERROR(VLOOKUP($H127,'BẢNG GIÁ GỐC'!$A$5:$D$254,3,FALSE()),""))</f>
        <v/>
      </c>
      <c r="K127" s="12"/>
      <c r="L127" s="13" t="str">
        <f aca="false">IF($C127="","",N($I127)*N($K127))</f>
        <v/>
      </c>
      <c r="M127" s="11"/>
      <c r="N127" s="14" t="str">
        <f aca="false">IF($C127="","",IF($M127="VAT 5%",0.05,IF($M127="VAT 8%",0.08,IF($M127="VAT 10%",0.1,0))))</f>
        <v/>
      </c>
      <c r="O127" s="13" t="str">
        <f aca="false">IF($C127="","",$L127*$N127)</f>
        <v/>
      </c>
      <c r="P127" s="13" t="str">
        <f aca="false">IF($C127="","",$L127+$O127)</f>
        <v/>
      </c>
      <c r="Q127" s="12"/>
      <c r="R127" s="13" t="str">
        <f aca="false">IF($C127="","",MAX(0,$P127-N($Q127)))</f>
        <v/>
      </c>
      <c r="S127" s="23" t="str">
        <f aca="false">IF(OR($C127="",$P127=0),"",IF(N($Q127)&lt;=0,"Chưa thanh toán",IF(N($Q127)&lt;$P127,"Thanh toán một phần","Đã thanh toán")))</f>
        <v/>
      </c>
      <c r="T127" s="13" t="str">
        <f aca="false">IF(OR($C127="",$J127=""),"",N($I127)*$J127)</f>
        <v/>
      </c>
      <c r="U127" s="13" t="str">
        <f aca="false">IF(OR($C127="",$T127=""),"",$L127-$T127)</f>
        <v/>
      </c>
      <c r="V127" s="14" t="str">
        <f aca="false">IF(OR($U127="",$L127=0),"",$U127/$L127)</f>
        <v/>
      </c>
      <c r="W127" s="11"/>
      <c r="X127" s="23" t="str">
        <f aca="false">IF($C127="","",IF(AND($H127="",N($I127)=0,N($K127)=0),"Dòng chỉ lưu thông tin khách (chưa có đơn); ",IF($B127="","Thiếu ngày đặt; ","")&amp;IF($H127="","Thiếu tên sản phẩm; ",IF($J127="","Chưa khai GIÁ GỐC ở BẢNG GIÁ GỐC; ",""))&amp;IF(N($I127)&lt;=0,"Thiếu số lượng; ","")&amp;IF(N($K127)&lt;=0,"Thiếu giá bán; ","")&amp;IF(AND($N127&gt;0,$F127=""),"Khách lấy VAT thiếu mã số thuế; ","")&amp;IF(N($Q127)&gt;$P127,"Đã thu vượt tổng phải thu; ","")&amp;IF(AND($L127&gt;0,$U127&lt;&gt;"",$U127&lt;0),"CẢNH BÁO: ĐƠN NÀY ĐANG LỖ; ","")))</f>
        <v/>
      </c>
    </row>
    <row r="128" customFormat="false" ht="15" hidden="false" customHeight="false" outlineLevel="0" collapsed="false">
      <c r="A128" s="21" t="str">
        <f aca="false">IF($C128="","",COUNTA($C$10:$C128))</f>
        <v/>
      </c>
      <c r="B128" s="18"/>
      <c r="C128" s="11"/>
      <c r="D128" s="11"/>
      <c r="E128" s="11"/>
      <c r="F128" s="11"/>
      <c r="G128" s="11"/>
      <c r="H128" s="11"/>
      <c r="I128" s="12"/>
      <c r="J128" s="13" t="str">
        <f aca="false">IF($H128="","",IFERROR(VLOOKUP($H128,'BẢNG GIÁ GỐC'!$A$5:$D$254,3,FALSE()),""))</f>
        <v/>
      </c>
      <c r="K128" s="12"/>
      <c r="L128" s="13" t="str">
        <f aca="false">IF($C128="","",N($I128)*N($K128))</f>
        <v/>
      </c>
      <c r="M128" s="11"/>
      <c r="N128" s="14" t="str">
        <f aca="false">IF($C128="","",IF($M128="VAT 5%",0.05,IF($M128="VAT 8%",0.08,IF($M128="VAT 10%",0.1,0))))</f>
        <v/>
      </c>
      <c r="O128" s="13" t="str">
        <f aca="false">IF($C128="","",$L128*$N128)</f>
        <v/>
      </c>
      <c r="P128" s="13" t="str">
        <f aca="false">IF($C128="","",$L128+$O128)</f>
        <v/>
      </c>
      <c r="Q128" s="12"/>
      <c r="R128" s="13" t="str">
        <f aca="false">IF($C128="","",MAX(0,$P128-N($Q128)))</f>
        <v/>
      </c>
      <c r="S128" s="23" t="str">
        <f aca="false">IF(OR($C128="",$P128=0),"",IF(N($Q128)&lt;=0,"Chưa thanh toán",IF(N($Q128)&lt;$P128,"Thanh toán một phần","Đã thanh toán")))</f>
        <v/>
      </c>
      <c r="T128" s="13" t="str">
        <f aca="false">IF(OR($C128="",$J128=""),"",N($I128)*$J128)</f>
        <v/>
      </c>
      <c r="U128" s="13" t="str">
        <f aca="false">IF(OR($C128="",$T128=""),"",$L128-$T128)</f>
        <v/>
      </c>
      <c r="V128" s="14" t="str">
        <f aca="false">IF(OR($U128="",$L128=0),"",$U128/$L128)</f>
        <v/>
      </c>
      <c r="W128" s="11"/>
      <c r="X128" s="23" t="str">
        <f aca="false">IF($C128="","",IF(AND($H128="",N($I128)=0,N($K128)=0),"Dòng chỉ lưu thông tin khách (chưa có đơn); ",IF($B128="","Thiếu ngày đặt; ","")&amp;IF($H128="","Thiếu tên sản phẩm; ",IF($J128="","Chưa khai GIÁ GỐC ở BẢNG GIÁ GỐC; ",""))&amp;IF(N($I128)&lt;=0,"Thiếu số lượng; ","")&amp;IF(N($K128)&lt;=0,"Thiếu giá bán; ","")&amp;IF(AND($N128&gt;0,$F128=""),"Khách lấy VAT thiếu mã số thuế; ","")&amp;IF(N($Q128)&gt;$P128,"Đã thu vượt tổng phải thu; ","")&amp;IF(AND($L128&gt;0,$U128&lt;&gt;"",$U128&lt;0),"CẢNH BÁO: ĐƠN NÀY ĐANG LỖ; ","")))</f>
        <v/>
      </c>
    </row>
    <row r="129" customFormat="false" ht="15" hidden="false" customHeight="false" outlineLevel="0" collapsed="false">
      <c r="A129" s="21" t="str">
        <f aca="false">IF($C129="","",COUNTA($C$10:$C129))</f>
        <v/>
      </c>
      <c r="B129" s="18"/>
      <c r="C129" s="11"/>
      <c r="D129" s="11"/>
      <c r="E129" s="11"/>
      <c r="F129" s="11"/>
      <c r="G129" s="11"/>
      <c r="H129" s="11"/>
      <c r="I129" s="12"/>
      <c r="J129" s="13" t="str">
        <f aca="false">IF($H129="","",IFERROR(VLOOKUP($H129,'BẢNG GIÁ GỐC'!$A$5:$D$254,3,FALSE()),""))</f>
        <v/>
      </c>
      <c r="K129" s="12"/>
      <c r="L129" s="13" t="str">
        <f aca="false">IF($C129="","",N($I129)*N($K129))</f>
        <v/>
      </c>
      <c r="M129" s="11"/>
      <c r="N129" s="14" t="str">
        <f aca="false">IF($C129="","",IF($M129="VAT 5%",0.05,IF($M129="VAT 8%",0.08,IF($M129="VAT 10%",0.1,0))))</f>
        <v/>
      </c>
      <c r="O129" s="13" t="str">
        <f aca="false">IF($C129="","",$L129*$N129)</f>
        <v/>
      </c>
      <c r="P129" s="13" t="str">
        <f aca="false">IF($C129="","",$L129+$O129)</f>
        <v/>
      </c>
      <c r="Q129" s="12"/>
      <c r="R129" s="13" t="str">
        <f aca="false">IF($C129="","",MAX(0,$P129-N($Q129)))</f>
        <v/>
      </c>
      <c r="S129" s="23" t="str">
        <f aca="false">IF(OR($C129="",$P129=0),"",IF(N($Q129)&lt;=0,"Chưa thanh toán",IF(N($Q129)&lt;$P129,"Thanh toán một phần","Đã thanh toán")))</f>
        <v/>
      </c>
      <c r="T129" s="13" t="str">
        <f aca="false">IF(OR($C129="",$J129=""),"",N($I129)*$J129)</f>
        <v/>
      </c>
      <c r="U129" s="13" t="str">
        <f aca="false">IF(OR($C129="",$T129=""),"",$L129-$T129)</f>
        <v/>
      </c>
      <c r="V129" s="14" t="str">
        <f aca="false">IF(OR($U129="",$L129=0),"",$U129/$L129)</f>
        <v/>
      </c>
      <c r="W129" s="11"/>
      <c r="X129" s="23" t="str">
        <f aca="false">IF($C129="","",IF(AND($H129="",N($I129)=0,N($K129)=0),"Dòng chỉ lưu thông tin khách (chưa có đơn); ",IF($B129="","Thiếu ngày đặt; ","")&amp;IF($H129="","Thiếu tên sản phẩm; ",IF($J129="","Chưa khai GIÁ GỐC ở BẢNG GIÁ GỐC; ",""))&amp;IF(N($I129)&lt;=0,"Thiếu số lượng; ","")&amp;IF(N($K129)&lt;=0,"Thiếu giá bán; ","")&amp;IF(AND($N129&gt;0,$F129=""),"Khách lấy VAT thiếu mã số thuế; ","")&amp;IF(N($Q129)&gt;$P129,"Đã thu vượt tổng phải thu; ","")&amp;IF(AND($L129&gt;0,$U129&lt;&gt;"",$U129&lt;0),"CẢNH BÁO: ĐƠN NÀY ĐANG LỖ; ","")))</f>
        <v/>
      </c>
    </row>
    <row r="130" customFormat="false" ht="15" hidden="false" customHeight="false" outlineLevel="0" collapsed="false">
      <c r="A130" s="21" t="str">
        <f aca="false">IF($C130="","",COUNTA($C$10:$C130))</f>
        <v/>
      </c>
      <c r="B130" s="18"/>
      <c r="C130" s="11"/>
      <c r="D130" s="11"/>
      <c r="E130" s="11"/>
      <c r="F130" s="11"/>
      <c r="G130" s="11"/>
      <c r="H130" s="11"/>
      <c r="I130" s="12"/>
      <c r="J130" s="13" t="str">
        <f aca="false">IF($H130="","",IFERROR(VLOOKUP($H130,'BẢNG GIÁ GỐC'!$A$5:$D$254,3,FALSE()),""))</f>
        <v/>
      </c>
      <c r="K130" s="12"/>
      <c r="L130" s="13" t="str">
        <f aca="false">IF($C130="","",N($I130)*N($K130))</f>
        <v/>
      </c>
      <c r="M130" s="11"/>
      <c r="N130" s="14" t="str">
        <f aca="false">IF($C130="","",IF($M130="VAT 5%",0.05,IF($M130="VAT 8%",0.08,IF($M130="VAT 10%",0.1,0))))</f>
        <v/>
      </c>
      <c r="O130" s="13" t="str">
        <f aca="false">IF($C130="","",$L130*$N130)</f>
        <v/>
      </c>
      <c r="P130" s="13" t="str">
        <f aca="false">IF($C130="","",$L130+$O130)</f>
        <v/>
      </c>
      <c r="Q130" s="12"/>
      <c r="R130" s="13" t="str">
        <f aca="false">IF($C130="","",MAX(0,$P130-N($Q130)))</f>
        <v/>
      </c>
      <c r="S130" s="23" t="str">
        <f aca="false">IF(OR($C130="",$P130=0),"",IF(N($Q130)&lt;=0,"Chưa thanh toán",IF(N($Q130)&lt;$P130,"Thanh toán một phần","Đã thanh toán")))</f>
        <v/>
      </c>
      <c r="T130" s="13" t="str">
        <f aca="false">IF(OR($C130="",$J130=""),"",N($I130)*$J130)</f>
        <v/>
      </c>
      <c r="U130" s="13" t="str">
        <f aca="false">IF(OR($C130="",$T130=""),"",$L130-$T130)</f>
        <v/>
      </c>
      <c r="V130" s="14" t="str">
        <f aca="false">IF(OR($U130="",$L130=0),"",$U130/$L130)</f>
        <v/>
      </c>
      <c r="W130" s="11"/>
      <c r="X130" s="23" t="str">
        <f aca="false">IF($C130="","",IF(AND($H130="",N($I130)=0,N($K130)=0),"Dòng chỉ lưu thông tin khách (chưa có đơn); ",IF($B130="","Thiếu ngày đặt; ","")&amp;IF($H130="","Thiếu tên sản phẩm; ",IF($J130="","Chưa khai GIÁ GỐC ở BẢNG GIÁ GỐC; ",""))&amp;IF(N($I130)&lt;=0,"Thiếu số lượng; ","")&amp;IF(N($K130)&lt;=0,"Thiếu giá bán; ","")&amp;IF(AND($N130&gt;0,$F130=""),"Khách lấy VAT thiếu mã số thuế; ","")&amp;IF(N($Q130)&gt;$P130,"Đã thu vượt tổng phải thu; ","")&amp;IF(AND($L130&gt;0,$U130&lt;&gt;"",$U130&lt;0),"CẢNH BÁO: ĐƠN NÀY ĐANG LỖ; ","")))</f>
        <v/>
      </c>
    </row>
    <row r="131" customFormat="false" ht="15" hidden="false" customHeight="false" outlineLevel="0" collapsed="false">
      <c r="A131" s="21" t="str">
        <f aca="false">IF($C131="","",COUNTA($C$10:$C131))</f>
        <v/>
      </c>
      <c r="B131" s="18"/>
      <c r="C131" s="11"/>
      <c r="D131" s="11"/>
      <c r="E131" s="11"/>
      <c r="F131" s="11"/>
      <c r="G131" s="11"/>
      <c r="H131" s="11"/>
      <c r="I131" s="12"/>
      <c r="J131" s="13" t="str">
        <f aca="false">IF($H131="","",IFERROR(VLOOKUP($H131,'BẢNG GIÁ GỐC'!$A$5:$D$254,3,FALSE()),""))</f>
        <v/>
      </c>
      <c r="K131" s="12"/>
      <c r="L131" s="13" t="str">
        <f aca="false">IF($C131="","",N($I131)*N($K131))</f>
        <v/>
      </c>
      <c r="M131" s="11"/>
      <c r="N131" s="14" t="str">
        <f aca="false">IF($C131="","",IF($M131="VAT 5%",0.05,IF($M131="VAT 8%",0.08,IF($M131="VAT 10%",0.1,0))))</f>
        <v/>
      </c>
      <c r="O131" s="13" t="str">
        <f aca="false">IF($C131="","",$L131*$N131)</f>
        <v/>
      </c>
      <c r="P131" s="13" t="str">
        <f aca="false">IF($C131="","",$L131+$O131)</f>
        <v/>
      </c>
      <c r="Q131" s="12"/>
      <c r="R131" s="13" t="str">
        <f aca="false">IF($C131="","",MAX(0,$P131-N($Q131)))</f>
        <v/>
      </c>
      <c r="S131" s="23" t="str">
        <f aca="false">IF(OR($C131="",$P131=0),"",IF(N($Q131)&lt;=0,"Chưa thanh toán",IF(N($Q131)&lt;$P131,"Thanh toán một phần","Đã thanh toán")))</f>
        <v/>
      </c>
      <c r="T131" s="13" t="str">
        <f aca="false">IF(OR($C131="",$J131=""),"",N($I131)*$J131)</f>
        <v/>
      </c>
      <c r="U131" s="13" t="str">
        <f aca="false">IF(OR($C131="",$T131=""),"",$L131-$T131)</f>
        <v/>
      </c>
      <c r="V131" s="14" t="str">
        <f aca="false">IF(OR($U131="",$L131=0),"",$U131/$L131)</f>
        <v/>
      </c>
      <c r="W131" s="11"/>
      <c r="X131" s="23" t="str">
        <f aca="false">IF($C131="","",IF(AND($H131="",N($I131)=0,N($K131)=0),"Dòng chỉ lưu thông tin khách (chưa có đơn); ",IF($B131="","Thiếu ngày đặt; ","")&amp;IF($H131="","Thiếu tên sản phẩm; ",IF($J131="","Chưa khai GIÁ GỐC ở BẢNG GIÁ GỐC; ",""))&amp;IF(N($I131)&lt;=0,"Thiếu số lượng; ","")&amp;IF(N($K131)&lt;=0,"Thiếu giá bán; ","")&amp;IF(AND($N131&gt;0,$F131=""),"Khách lấy VAT thiếu mã số thuế; ","")&amp;IF(N($Q131)&gt;$P131,"Đã thu vượt tổng phải thu; ","")&amp;IF(AND($L131&gt;0,$U131&lt;&gt;"",$U131&lt;0),"CẢNH BÁO: ĐƠN NÀY ĐANG LỖ; ","")))</f>
        <v/>
      </c>
    </row>
    <row r="132" customFormat="false" ht="15" hidden="false" customHeight="false" outlineLevel="0" collapsed="false">
      <c r="A132" s="21" t="str">
        <f aca="false">IF($C132="","",COUNTA($C$10:$C132))</f>
        <v/>
      </c>
      <c r="B132" s="18"/>
      <c r="C132" s="11"/>
      <c r="D132" s="11"/>
      <c r="E132" s="11"/>
      <c r="F132" s="11"/>
      <c r="G132" s="11"/>
      <c r="H132" s="11"/>
      <c r="I132" s="12"/>
      <c r="J132" s="13" t="str">
        <f aca="false">IF($H132="","",IFERROR(VLOOKUP($H132,'BẢNG GIÁ GỐC'!$A$5:$D$254,3,FALSE()),""))</f>
        <v/>
      </c>
      <c r="K132" s="12"/>
      <c r="L132" s="13" t="str">
        <f aca="false">IF($C132="","",N($I132)*N($K132))</f>
        <v/>
      </c>
      <c r="M132" s="11"/>
      <c r="N132" s="14" t="str">
        <f aca="false">IF($C132="","",IF($M132="VAT 5%",0.05,IF($M132="VAT 8%",0.08,IF($M132="VAT 10%",0.1,0))))</f>
        <v/>
      </c>
      <c r="O132" s="13" t="str">
        <f aca="false">IF($C132="","",$L132*$N132)</f>
        <v/>
      </c>
      <c r="P132" s="13" t="str">
        <f aca="false">IF($C132="","",$L132+$O132)</f>
        <v/>
      </c>
      <c r="Q132" s="12"/>
      <c r="R132" s="13" t="str">
        <f aca="false">IF($C132="","",MAX(0,$P132-N($Q132)))</f>
        <v/>
      </c>
      <c r="S132" s="23" t="str">
        <f aca="false">IF(OR($C132="",$P132=0),"",IF(N($Q132)&lt;=0,"Chưa thanh toán",IF(N($Q132)&lt;$P132,"Thanh toán một phần","Đã thanh toán")))</f>
        <v/>
      </c>
      <c r="T132" s="13" t="str">
        <f aca="false">IF(OR($C132="",$J132=""),"",N($I132)*$J132)</f>
        <v/>
      </c>
      <c r="U132" s="13" t="str">
        <f aca="false">IF(OR($C132="",$T132=""),"",$L132-$T132)</f>
        <v/>
      </c>
      <c r="V132" s="14" t="str">
        <f aca="false">IF(OR($U132="",$L132=0),"",$U132/$L132)</f>
        <v/>
      </c>
      <c r="W132" s="11"/>
      <c r="X132" s="23" t="str">
        <f aca="false">IF($C132="","",IF(AND($H132="",N($I132)=0,N($K132)=0),"Dòng chỉ lưu thông tin khách (chưa có đơn); ",IF($B132="","Thiếu ngày đặt; ","")&amp;IF($H132="","Thiếu tên sản phẩm; ",IF($J132="","Chưa khai GIÁ GỐC ở BẢNG GIÁ GỐC; ",""))&amp;IF(N($I132)&lt;=0,"Thiếu số lượng; ","")&amp;IF(N($K132)&lt;=0,"Thiếu giá bán; ","")&amp;IF(AND($N132&gt;0,$F132=""),"Khách lấy VAT thiếu mã số thuế; ","")&amp;IF(N($Q132)&gt;$P132,"Đã thu vượt tổng phải thu; ","")&amp;IF(AND($L132&gt;0,$U132&lt;&gt;"",$U132&lt;0),"CẢNH BÁO: ĐƠN NÀY ĐANG LỖ; ","")))</f>
        <v/>
      </c>
    </row>
    <row r="133" customFormat="false" ht="15" hidden="false" customHeight="false" outlineLevel="0" collapsed="false">
      <c r="A133" s="21" t="str">
        <f aca="false">IF($C133="","",COUNTA($C$10:$C133))</f>
        <v/>
      </c>
      <c r="B133" s="18"/>
      <c r="C133" s="11"/>
      <c r="D133" s="11"/>
      <c r="E133" s="11"/>
      <c r="F133" s="11"/>
      <c r="G133" s="11"/>
      <c r="H133" s="11"/>
      <c r="I133" s="12"/>
      <c r="J133" s="13" t="str">
        <f aca="false">IF($H133="","",IFERROR(VLOOKUP($H133,'BẢNG GIÁ GỐC'!$A$5:$D$254,3,FALSE()),""))</f>
        <v/>
      </c>
      <c r="K133" s="12"/>
      <c r="L133" s="13" t="str">
        <f aca="false">IF($C133="","",N($I133)*N($K133))</f>
        <v/>
      </c>
      <c r="M133" s="11"/>
      <c r="N133" s="14" t="str">
        <f aca="false">IF($C133="","",IF($M133="VAT 5%",0.05,IF($M133="VAT 8%",0.08,IF($M133="VAT 10%",0.1,0))))</f>
        <v/>
      </c>
      <c r="O133" s="13" t="str">
        <f aca="false">IF($C133="","",$L133*$N133)</f>
        <v/>
      </c>
      <c r="P133" s="13" t="str">
        <f aca="false">IF($C133="","",$L133+$O133)</f>
        <v/>
      </c>
      <c r="Q133" s="12"/>
      <c r="R133" s="13" t="str">
        <f aca="false">IF($C133="","",MAX(0,$P133-N($Q133)))</f>
        <v/>
      </c>
      <c r="S133" s="23" t="str">
        <f aca="false">IF(OR($C133="",$P133=0),"",IF(N($Q133)&lt;=0,"Chưa thanh toán",IF(N($Q133)&lt;$P133,"Thanh toán một phần","Đã thanh toán")))</f>
        <v/>
      </c>
      <c r="T133" s="13" t="str">
        <f aca="false">IF(OR($C133="",$J133=""),"",N($I133)*$J133)</f>
        <v/>
      </c>
      <c r="U133" s="13" t="str">
        <f aca="false">IF(OR($C133="",$T133=""),"",$L133-$T133)</f>
        <v/>
      </c>
      <c r="V133" s="14" t="str">
        <f aca="false">IF(OR($U133="",$L133=0),"",$U133/$L133)</f>
        <v/>
      </c>
      <c r="W133" s="11"/>
      <c r="X133" s="23" t="str">
        <f aca="false">IF($C133="","",IF(AND($H133="",N($I133)=0,N($K133)=0),"Dòng chỉ lưu thông tin khách (chưa có đơn); ",IF($B133="","Thiếu ngày đặt; ","")&amp;IF($H133="","Thiếu tên sản phẩm; ",IF($J133="","Chưa khai GIÁ GỐC ở BẢNG GIÁ GỐC; ",""))&amp;IF(N($I133)&lt;=0,"Thiếu số lượng; ","")&amp;IF(N($K133)&lt;=0,"Thiếu giá bán; ","")&amp;IF(AND($N133&gt;0,$F133=""),"Khách lấy VAT thiếu mã số thuế; ","")&amp;IF(N($Q133)&gt;$P133,"Đã thu vượt tổng phải thu; ","")&amp;IF(AND($L133&gt;0,$U133&lt;&gt;"",$U133&lt;0),"CẢNH BÁO: ĐƠN NÀY ĐANG LỖ; ","")))</f>
        <v/>
      </c>
    </row>
    <row r="134" customFormat="false" ht="15" hidden="false" customHeight="false" outlineLevel="0" collapsed="false">
      <c r="A134" s="21" t="str">
        <f aca="false">IF($C134="","",COUNTA($C$10:$C134))</f>
        <v/>
      </c>
      <c r="B134" s="18"/>
      <c r="C134" s="11"/>
      <c r="D134" s="11"/>
      <c r="E134" s="11"/>
      <c r="F134" s="11"/>
      <c r="G134" s="11"/>
      <c r="H134" s="11"/>
      <c r="I134" s="12"/>
      <c r="J134" s="13" t="str">
        <f aca="false">IF($H134="","",IFERROR(VLOOKUP($H134,'BẢNG GIÁ GỐC'!$A$5:$D$254,3,FALSE()),""))</f>
        <v/>
      </c>
      <c r="K134" s="12"/>
      <c r="L134" s="13" t="str">
        <f aca="false">IF($C134="","",N($I134)*N($K134))</f>
        <v/>
      </c>
      <c r="M134" s="11"/>
      <c r="N134" s="14" t="str">
        <f aca="false">IF($C134="","",IF($M134="VAT 5%",0.05,IF($M134="VAT 8%",0.08,IF($M134="VAT 10%",0.1,0))))</f>
        <v/>
      </c>
      <c r="O134" s="13" t="str">
        <f aca="false">IF($C134="","",$L134*$N134)</f>
        <v/>
      </c>
      <c r="P134" s="13" t="str">
        <f aca="false">IF($C134="","",$L134+$O134)</f>
        <v/>
      </c>
      <c r="Q134" s="12"/>
      <c r="R134" s="13" t="str">
        <f aca="false">IF($C134="","",MAX(0,$P134-N($Q134)))</f>
        <v/>
      </c>
      <c r="S134" s="23" t="str">
        <f aca="false">IF(OR($C134="",$P134=0),"",IF(N($Q134)&lt;=0,"Chưa thanh toán",IF(N($Q134)&lt;$P134,"Thanh toán một phần","Đã thanh toán")))</f>
        <v/>
      </c>
      <c r="T134" s="13" t="str">
        <f aca="false">IF(OR($C134="",$J134=""),"",N($I134)*$J134)</f>
        <v/>
      </c>
      <c r="U134" s="13" t="str">
        <f aca="false">IF(OR($C134="",$T134=""),"",$L134-$T134)</f>
        <v/>
      </c>
      <c r="V134" s="14" t="str">
        <f aca="false">IF(OR($U134="",$L134=0),"",$U134/$L134)</f>
        <v/>
      </c>
      <c r="W134" s="11"/>
      <c r="X134" s="23" t="str">
        <f aca="false">IF($C134="","",IF(AND($H134="",N($I134)=0,N($K134)=0),"Dòng chỉ lưu thông tin khách (chưa có đơn); ",IF($B134="","Thiếu ngày đặt; ","")&amp;IF($H134="","Thiếu tên sản phẩm; ",IF($J134="","Chưa khai GIÁ GỐC ở BẢNG GIÁ GỐC; ",""))&amp;IF(N($I134)&lt;=0,"Thiếu số lượng; ","")&amp;IF(N($K134)&lt;=0,"Thiếu giá bán; ","")&amp;IF(AND($N134&gt;0,$F134=""),"Khách lấy VAT thiếu mã số thuế; ","")&amp;IF(N($Q134)&gt;$P134,"Đã thu vượt tổng phải thu; ","")&amp;IF(AND($L134&gt;0,$U134&lt;&gt;"",$U134&lt;0),"CẢNH BÁO: ĐƠN NÀY ĐANG LỖ; ","")))</f>
        <v/>
      </c>
    </row>
    <row r="135" customFormat="false" ht="15" hidden="false" customHeight="false" outlineLevel="0" collapsed="false">
      <c r="A135" s="21" t="str">
        <f aca="false">IF($C135="","",COUNTA($C$10:$C135))</f>
        <v/>
      </c>
      <c r="B135" s="18"/>
      <c r="C135" s="11"/>
      <c r="D135" s="11"/>
      <c r="E135" s="11"/>
      <c r="F135" s="11"/>
      <c r="G135" s="11"/>
      <c r="H135" s="11"/>
      <c r="I135" s="12"/>
      <c r="J135" s="13" t="str">
        <f aca="false">IF($H135="","",IFERROR(VLOOKUP($H135,'BẢNG GIÁ GỐC'!$A$5:$D$254,3,FALSE()),""))</f>
        <v/>
      </c>
      <c r="K135" s="12"/>
      <c r="L135" s="13" t="str">
        <f aca="false">IF($C135="","",N($I135)*N($K135))</f>
        <v/>
      </c>
      <c r="M135" s="11"/>
      <c r="N135" s="14" t="str">
        <f aca="false">IF($C135="","",IF($M135="VAT 5%",0.05,IF($M135="VAT 8%",0.08,IF($M135="VAT 10%",0.1,0))))</f>
        <v/>
      </c>
      <c r="O135" s="13" t="str">
        <f aca="false">IF($C135="","",$L135*$N135)</f>
        <v/>
      </c>
      <c r="P135" s="13" t="str">
        <f aca="false">IF($C135="","",$L135+$O135)</f>
        <v/>
      </c>
      <c r="Q135" s="12"/>
      <c r="R135" s="13" t="str">
        <f aca="false">IF($C135="","",MAX(0,$P135-N($Q135)))</f>
        <v/>
      </c>
      <c r="S135" s="23" t="str">
        <f aca="false">IF(OR($C135="",$P135=0),"",IF(N($Q135)&lt;=0,"Chưa thanh toán",IF(N($Q135)&lt;$P135,"Thanh toán một phần","Đã thanh toán")))</f>
        <v/>
      </c>
      <c r="T135" s="13" t="str">
        <f aca="false">IF(OR($C135="",$J135=""),"",N($I135)*$J135)</f>
        <v/>
      </c>
      <c r="U135" s="13" t="str">
        <f aca="false">IF(OR($C135="",$T135=""),"",$L135-$T135)</f>
        <v/>
      </c>
      <c r="V135" s="14" t="str">
        <f aca="false">IF(OR($U135="",$L135=0),"",$U135/$L135)</f>
        <v/>
      </c>
      <c r="W135" s="11"/>
      <c r="X135" s="23" t="str">
        <f aca="false">IF($C135="","",IF(AND($H135="",N($I135)=0,N($K135)=0),"Dòng chỉ lưu thông tin khách (chưa có đơn); ",IF($B135="","Thiếu ngày đặt; ","")&amp;IF($H135="","Thiếu tên sản phẩm; ",IF($J135="","Chưa khai GIÁ GỐC ở BẢNG GIÁ GỐC; ",""))&amp;IF(N($I135)&lt;=0,"Thiếu số lượng; ","")&amp;IF(N($K135)&lt;=0,"Thiếu giá bán; ","")&amp;IF(AND($N135&gt;0,$F135=""),"Khách lấy VAT thiếu mã số thuế; ","")&amp;IF(N($Q135)&gt;$P135,"Đã thu vượt tổng phải thu; ","")&amp;IF(AND($L135&gt;0,$U135&lt;&gt;"",$U135&lt;0),"CẢNH BÁO: ĐƠN NÀY ĐANG LỖ; ","")))</f>
        <v/>
      </c>
    </row>
    <row r="136" customFormat="false" ht="15" hidden="false" customHeight="false" outlineLevel="0" collapsed="false">
      <c r="A136" s="21" t="str">
        <f aca="false">IF($C136="","",COUNTA($C$10:$C136))</f>
        <v/>
      </c>
      <c r="B136" s="18"/>
      <c r="C136" s="11"/>
      <c r="D136" s="11"/>
      <c r="E136" s="11"/>
      <c r="F136" s="11"/>
      <c r="G136" s="11"/>
      <c r="H136" s="11"/>
      <c r="I136" s="12"/>
      <c r="J136" s="13" t="str">
        <f aca="false">IF($H136="","",IFERROR(VLOOKUP($H136,'BẢNG GIÁ GỐC'!$A$5:$D$254,3,FALSE()),""))</f>
        <v/>
      </c>
      <c r="K136" s="12"/>
      <c r="L136" s="13" t="str">
        <f aca="false">IF($C136="","",N($I136)*N($K136))</f>
        <v/>
      </c>
      <c r="M136" s="11"/>
      <c r="N136" s="14" t="str">
        <f aca="false">IF($C136="","",IF($M136="VAT 5%",0.05,IF($M136="VAT 8%",0.08,IF($M136="VAT 10%",0.1,0))))</f>
        <v/>
      </c>
      <c r="O136" s="13" t="str">
        <f aca="false">IF($C136="","",$L136*$N136)</f>
        <v/>
      </c>
      <c r="P136" s="13" t="str">
        <f aca="false">IF($C136="","",$L136+$O136)</f>
        <v/>
      </c>
      <c r="Q136" s="12"/>
      <c r="R136" s="13" t="str">
        <f aca="false">IF($C136="","",MAX(0,$P136-N($Q136)))</f>
        <v/>
      </c>
      <c r="S136" s="23" t="str">
        <f aca="false">IF(OR($C136="",$P136=0),"",IF(N($Q136)&lt;=0,"Chưa thanh toán",IF(N($Q136)&lt;$P136,"Thanh toán một phần","Đã thanh toán")))</f>
        <v/>
      </c>
      <c r="T136" s="13" t="str">
        <f aca="false">IF(OR($C136="",$J136=""),"",N($I136)*$J136)</f>
        <v/>
      </c>
      <c r="U136" s="13" t="str">
        <f aca="false">IF(OR($C136="",$T136=""),"",$L136-$T136)</f>
        <v/>
      </c>
      <c r="V136" s="14" t="str">
        <f aca="false">IF(OR($U136="",$L136=0),"",$U136/$L136)</f>
        <v/>
      </c>
      <c r="W136" s="11"/>
      <c r="X136" s="23" t="str">
        <f aca="false">IF($C136="","",IF(AND($H136="",N($I136)=0,N($K136)=0),"Dòng chỉ lưu thông tin khách (chưa có đơn); ",IF($B136="","Thiếu ngày đặt; ","")&amp;IF($H136="","Thiếu tên sản phẩm; ",IF($J136="","Chưa khai GIÁ GỐC ở BẢNG GIÁ GỐC; ",""))&amp;IF(N($I136)&lt;=0,"Thiếu số lượng; ","")&amp;IF(N($K136)&lt;=0,"Thiếu giá bán; ","")&amp;IF(AND($N136&gt;0,$F136=""),"Khách lấy VAT thiếu mã số thuế; ","")&amp;IF(N($Q136)&gt;$P136,"Đã thu vượt tổng phải thu; ","")&amp;IF(AND($L136&gt;0,$U136&lt;&gt;"",$U136&lt;0),"CẢNH BÁO: ĐƠN NÀY ĐANG LỖ; ","")))</f>
        <v/>
      </c>
    </row>
    <row r="137" customFormat="false" ht="15" hidden="false" customHeight="false" outlineLevel="0" collapsed="false">
      <c r="A137" s="21" t="str">
        <f aca="false">IF($C137="","",COUNTA($C$10:$C137))</f>
        <v/>
      </c>
      <c r="B137" s="18"/>
      <c r="C137" s="11"/>
      <c r="D137" s="11"/>
      <c r="E137" s="11"/>
      <c r="F137" s="11"/>
      <c r="G137" s="11"/>
      <c r="H137" s="11"/>
      <c r="I137" s="12"/>
      <c r="J137" s="13" t="str">
        <f aca="false">IF($H137="","",IFERROR(VLOOKUP($H137,'BẢNG GIÁ GỐC'!$A$5:$D$254,3,FALSE()),""))</f>
        <v/>
      </c>
      <c r="K137" s="12"/>
      <c r="L137" s="13" t="str">
        <f aca="false">IF($C137="","",N($I137)*N($K137))</f>
        <v/>
      </c>
      <c r="M137" s="11"/>
      <c r="N137" s="14" t="str">
        <f aca="false">IF($C137="","",IF($M137="VAT 5%",0.05,IF($M137="VAT 8%",0.08,IF($M137="VAT 10%",0.1,0))))</f>
        <v/>
      </c>
      <c r="O137" s="13" t="str">
        <f aca="false">IF($C137="","",$L137*$N137)</f>
        <v/>
      </c>
      <c r="P137" s="13" t="str">
        <f aca="false">IF($C137="","",$L137+$O137)</f>
        <v/>
      </c>
      <c r="Q137" s="12"/>
      <c r="R137" s="13" t="str">
        <f aca="false">IF($C137="","",MAX(0,$P137-N($Q137)))</f>
        <v/>
      </c>
      <c r="S137" s="23" t="str">
        <f aca="false">IF(OR($C137="",$P137=0),"",IF(N($Q137)&lt;=0,"Chưa thanh toán",IF(N($Q137)&lt;$P137,"Thanh toán một phần","Đã thanh toán")))</f>
        <v/>
      </c>
      <c r="T137" s="13" t="str">
        <f aca="false">IF(OR($C137="",$J137=""),"",N($I137)*$J137)</f>
        <v/>
      </c>
      <c r="U137" s="13" t="str">
        <f aca="false">IF(OR($C137="",$T137=""),"",$L137-$T137)</f>
        <v/>
      </c>
      <c r="V137" s="14" t="str">
        <f aca="false">IF(OR($U137="",$L137=0),"",$U137/$L137)</f>
        <v/>
      </c>
      <c r="W137" s="11"/>
      <c r="X137" s="23" t="str">
        <f aca="false">IF($C137="","",IF(AND($H137="",N($I137)=0,N($K137)=0),"Dòng chỉ lưu thông tin khách (chưa có đơn); ",IF($B137="","Thiếu ngày đặt; ","")&amp;IF($H137="","Thiếu tên sản phẩm; ",IF($J137="","Chưa khai GIÁ GỐC ở BẢNG GIÁ GỐC; ",""))&amp;IF(N($I137)&lt;=0,"Thiếu số lượng; ","")&amp;IF(N($K137)&lt;=0,"Thiếu giá bán; ","")&amp;IF(AND($N137&gt;0,$F137=""),"Khách lấy VAT thiếu mã số thuế; ","")&amp;IF(N($Q137)&gt;$P137,"Đã thu vượt tổng phải thu; ","")&amp;IF(AND($L137&gt;0,$U137&lt;&gt;"",$U137&lt;0),"CẢNH BÁO: ĐƠN NÀY ĐANG LỖ; ","")))</f>
        <v/>
      </c>
    </row>
    <row r="138" customFormat="false" ht="15" hidden="false" customHeight="false" outlineLevel="0" collapsed="false">
      <c r="A138" s="21" t="str">
        <f aca="false">IF($C138="","",COUNTA($C$10:$C138))</f>
        <v/>
      </c>
      <c r="B138" s="18"/>
      <c r="C138" s="11"/>
      <c r="D138" s="11"/>
      <c r="E138" s="11"/>
      <c r="F138" s="11"/>
      <c r="G138" s="11"/>
      <c r="H138" s="11"/>
      <c r="I138" s="12"/>
      <c r="J138" s="13" t="str">
        <f aca="false">IF($H138="","",IFERROR(VLOOKUP($H138,'BẢNG GIÁ GỐC'!$A$5:$D$254,3,FALSE()),""))</f>
        <v/>
      </c>
      <c r="K138" s="12"/>
      <c r="L138" s="13" t="str">
        <f aca="false">IF($C138="","",N($I138)*N($K138))</f>
        <v/>
      </c>
      <c r="M138" s="11"/>
      <c r="N138" s="14" t="str">
        <f aca="false">IF($C138="","",IF($M138="VAT 5%",0.05,IF($M138="VAT 8%",0.08,IF($M138="VAT 10%",0.1,0))))</f>
        <v/>
      </c>
      <c r="O138" s="13" t="str">
        <f aca="false">IF($C138="","",$L138*$N138)</f>
        <v/>
      </c>
      <c r="P138" s="13" t="str">
        <f aca="false">IF($C138="","",$L138+$O138)</f>
        <v/>
      </c>
      <c r="Q138" s="12"/>
      <c r="R138" s="13" t="str">
        <f aca="false">IF($C138="","",MAX(0,$P138-N($Q138)))</f>
        <v/>
      </c>
      <c r="S138" s="23" t="str">
        <f aca="false">IF(OR($C138="",$P138=0),"",IF(N($Q138)&lt;=0,"Chưa thanh toán",IF(N($Q138)&lt;$P138,"Thanh toán một phần","Đã thanh toán")))</f>
        <v/>
      </c>
      <c r="T138" s="13" t="str">
        <f aca="false">IF(OR($C138="",$J138=""),"",N($I138)*$J138)</f>
        <v/>
      </c>
      <c r="U138" s="13" t="str">
        <f aca="false">IF(OR($C138="",$T138=""),"",$L138-$T138)</f>
        <v/>
      </c>
      <c r="V138" s="14" t="str">
        <f aca="false">IF(OR($U138="",$L138=0),"",$U138/$L138)</f>
        <v/>
      </c>
      <c r="W138" s="11"/>
      <c r="X138" s="23" t="str">
        <f aca="false">IF($C138="","",IF(AND($H138="",N($I138)=0,N($K138)=0),"Dòng chỉ lưu thông tin khách (chưa có đơn); ",IF($B138="","Thiếu ngày đặt; ","")&amp;IF($H138="","Thiếu tên sản phẩm; ",IF($J138="","Chưa khai GIÁ GỐC ở BẢNG GIÁ GỐC; ",""))&amp;IF(N($I138)&lt;=0,"Thiếu số lượng; ","")&amp;IF(N($K138)&lt;=0,"Thiếu giá bán; ","")&amp;IF(AND($N138&gt;0,$F138=""),"Khách lấy VAT thiếu mã số thuế; ","")&amp;IF(N($Q138)&gt;$P138,"Đã thu vượt tổng phải thu; ","")&amp;IF(AND($L138&gt;0,$U138&lt;&gt;"",$U138&lt;0),"CẢNH BÁO: ĐƠN NÀY ĐANG LỖ; ","")))</f>
        <v/>
      </c>
    </row>
    <row r="139" customFormat="false" ht="15" hidden="false" customHeight="false" outlineLevel="0" collapsed="false">
      <c r="A139" s="21" t="str">
        <f aca="false">IF($C139="","",COUNTA($C$10:$C139))</f>
        <v/>
      </c>
      <c r="B139" s="18"/>
      <c r="C139" s="11"/>
      <c r="D139" s="11"/>
      <c r="E139" s="11"/>
      <c r="F139" s="11"/>
      <c r="G139" s="11"/>
      <c r="H139" s="11"/>
      <c r="I139" s="12"/>
      <c r="J139" s="13" t="str">
        <f aca="false">IF($H139="","",IFERROR(VLOOKUP($H139,'BẢNG GIÁ GỐC'!$A$5:$D$254,3,FALSE()),""))</f>
        <v/>
      </c>
      <c r="K139" s="12"/>
      <c r="L139" s="13" t="str">
        <f aca="false">IF($C139="","",N($I139)*N($K139))</f>
        <v/>
      </c>
      <c r="M139" s="11"/>
      <c r="N139" s="14" t="str">
        <f aca="false">IF($C139="","",IF($M139="VAT 5%",0.05,IF($M139="VAT 8%",0.08,IF($M139="VAT 10%",0.1,0))))</f>
        <v/>
      </c>
      <c r="O139" s="13" t="str">
        <f aca="false">IF($C139="","",$L139*$N139)</f>
        <v/>
      </c>
      <c r="P139" s="13" t="str">
        <f aca="false">IF($C139="","",$L139+$O139)</f>
        <v/>
      </c>
      <c r="Q139" s="12"/>
      <c r="R139" s="13" t="str">
        <f aca="false">IF($C139="","",MAX(0,$P139-N($Q139)))</f>
        <v/>
      </c>
      <c r="S139" s="23" t="str">
        <f aca="false">IF(OR($C139="",$P139=0),"",IF(N($Q139)&lt;=0,"Chưa thanh toán",IF(N($Q139)&lt;$P139,"Thanh toán một phần","Đã thanh toán")))</f>
        <v/>
      </c>
      <c r="T139" s="13" t="str">
        <f aca="false">IF(OR($C139="",$J139=""),"",N($I139)*$J139)</f>
        <v/>
      </c>
      <c r="U139" s="13" t="str">
        <f aca="false">IF(OR($C139="",$T139=""),"",$L139-$T139)</f>
        <v/>
      </c>
      <c r="V139" s="14" t="str">
        <f aca="false">IF(OR($U139="",$L139=0),"",$U139/$L139)</f>
        <v/>
      </c>
      <c r="W139" s="11"/>
      <c r="X139" s="23" t="str">
        <f aca="false">IF($C139="","",IF(AND($H139="",N($I139)=0,N($K139)=0),"Dòng chỉ lưu thông tin khách (chưa có đơn); ",IF($B139="","Thiếu ngày đặt; ","")&amp;IF($H139="","Thiếu tên sản phẩm; ",IF($J139="","Chưa khai GIÁ GỐC ở BẢNG GIÁ GỐC; ",""))&amp;IF(N($I139)&lt;=0,"Thiếu số lượng; ","")&amp;IF(N($K139)&lt;=0,"Thiếu giá bán; ","")&amp;IF(AND($N139&gt;0,$F139=""),"Khách lấy VAT thiếu mã số thuế; ","")&amp;IF(N($Q139)&gt;$P139,"Đã thu vượt tổng phải thu; ","")&amp;IF(AND($L139&gt;0,$U139&lt;&gt;"",$U139&lt;0),"CẢNH BÁO: ĐƠN NÀY ĐANG LỖ; ","")))</f>
        <v/>
      </c>
    </row>
    <row r="140" customFormat="false" ht="15" hidden="false" customHeight="false" outlineLevel="0" collapsed="false">
      <c r="A140" s="21" t="str">
        <f aca="false">IF($C140="","",COUNTA($C$10:$C140))</f>
        <v/>
      </c>
      <c r="B140" s="18"/>
      <c r="C140" s="11"/>
      <c r="D140" s="11"/>
      <c r="E140" s="11"/>
      <c r="F140" s="11"/>
      <c r="G140" s="11"/>
      <c r="H140" s="11"/>
      <c r="I140" s="12"/>
      <c r="J140" s="13" t="str">
        <f aca="false">IF($H140="","",IFERROR(VLOOKUP($H140,'BẢNG GIÁ GỐC'!$A$5:$D$254,3,FALSE()),""))</f>
        <v/>
      </c>
      <c r="K140" s="12"/>
      <c r="L140" s="13" t="str">
        <f aca="false">IF($C140="","",N($I140)*N($K140))</f>
        <v/>
      </c>
      <c r="M140" s="11"/>
      <c r="N140" s="14" t="str">
        <f aca="false">IF($C140="","",IF($M140="VAT 5%",0.05,IF($M140="VAT 8%",0.08,IF($M140="VAT 10%",0.1,0))))</f>
        <v/>
      </c>
      <c r="O140" s="13" t="str">
        <f aca="false">IF($C140="","",$L140*$N140)</f>
        <v/>
      </c>
      <c r="P140" s="13" t="str">
        <f aca="false">IF($C140="","",$L140+$O140)</f>
        <v/>
      </c>
      <c r="Q140" s="12"/>
      <c r="R140" s="13" t="str">
        <f aca="false">IF($C140="","",MAX(0,$P140-N($Q140)))</f>
        <v/>
      </c>
      <c r="S140" s="23" t="str">
        <f aca="false">IF(OR($C140="",$P140=0),"",IF(N($Q140)&lt;=0,"Chưa thanh toán",IF(N($Q140)&lt;$P140,"Thanh toán một phần","Đã thanh toán")))</f>
        <v/>
      </c>
      <c r="T140" s="13" t="str">
        <f aca="false">IF(OR($C140="",$J140=""),"",N($I140)*$J140)</f>
        <v/>
      </c>
      <c r="U140" s="13" t="str">
        <f aca="false">IF(OR($C140="",$T140=""),"",$L140-$T140)</f>
        <v/>
      </c>
      <c r="V140" s="14" t="str">
        <f aca="false">IF(OR($U140="",$L140=0),"",$U140/$L140)</f>
        <v/>
      </c>
      <c r="W140" s="11"/>
      <c r="X140" s="23" t="str">
        <f aca="false">IF($C140="","",IF(AND($H140="",N($I140)=0,N($K140)=0),"Dòng chỉ lưu thông tin khách (chưa có đơn); ",IF($B140="","Thiếu ngày đặt; ","")&amp;IF($H140="","Thiếu tên sản phẩm; ",IF($J140="","Chưa khai GIÁ GỐC ở BẢNG GIÁ GỐC; ",""))&amp;IF(N($I140)&lt;=0,"Thiếu số lượng; ","")&amp;IF(N($K140)&lt;=0,"Thiếu giá bán; ","")&amp;IF(AND($N140&gt;0,$F140=""),"Khách lấy VAT thiếu mã số thuế; ","")&amp;IF(N($Q140)&gt;$P140,"Đã thu vượt tổng phải thu; ","")&amp;IF(AND($L140&gt;0,$U140&lt;&gt;"",$U140&lt;0),"CẢNH BÁO: ĐƠN NÀY ĐANG LỖ; ","")))</f>
        <v/>
      </c>
    </row>
    <row r="141" customFormat="false" ht="15" hidden="false" customHeight="false" outlineLevel="0" collapsed="false">
      <c r="A141" s="21" t="str">
        <f aca="false">IF($C141="","",COUNTA($C$10:$C141))</f>
        <v/>
      </c>
      <c r="B141" s="18"/>
      <c r="C141" s="11"/>
      <c r="D141" s="11"/>
      <c r="E141" s="11"/>
      <c r="F141" s="11"/>
      <c r="G141" s="11"/>
      <c r="H141" s="11"/>
      <c r="I141" s="12"/>
      <c r="J141" s="13" t="str">
        <f aca="false">IF($H141="","",IFERROR(VLOOKUP($H141,'BẢNG GIÁ GỐC'!$A$5:$D$254,3,FALSE()),""))</f>
        <v/>
      </c>
      <c r="K141" s="12"/>
      <c r="L141" s="13" t="str">
        <f aca="false">IF($C141="","",N($I141)*N($K141))</f>
        <v/>
      </c>
      <c r="M141" s="11"/>
      <c r="N141" s="14" t="str">
        <f aca="false">IF($C141="","",IF($M141="VAT 5%",0.05,IF($M141="VAT 8%",0.08,IF($M141="VAT 10%",0.1,0))))</f>
        <v/>
      </c>
      <c r="O141" s="13" t="str">
        <f aca="false">IF($C141="","",$L141*$N141)</f>
        <v/>
      </c>
      <c r="P141" s="13" t="str">
        <f aca="false">IF($C141="","",$L141+$O141)</f>
        <v/>
      </c>
      <c r="Q141" s="12"/>
      <c r="R141" s="13" t="str">
        <f aca="false">IF($C141="","",MAX(0,$P141-N($Q141)))</f>
        <v/>
      </c>
      <c r="S141" s="23" t="str">
        <f aca="false">IF(OR($C141="",$P141=0),"",IF(N($Q141)&lt;=0,"Chưa thanh toán",IF(N($Q141)&lt;$P141,"Thanh toán một phần","Đã thanh toán")))</f>
        <v/>
      </c>
      <c r="T141" s="13" t="str">
        <f aca="false">IF(OR($C141="",$J141=""),"",N($I141)*$J141)</f>
        <v/>
      </c>
      <c r="U141" s="13" t="str">
        <f aca="false">IF(OR($C141="",$T141=""),"",$L141-$T141)</f>
        <v/>
      </c>
      <c r="V141" s="14" t="str">
        <f aca="false">IF(OR($U141="",$L141=0),"",$U141/$L141)</f>
        <v/>
      </c>
      <c r="W141" s="11"/>
      <c r="X141" s="23" t="str">
        <f aca="false">IF($C141="","",IF(AND($H141="",N($I141)=0,N($K141)=0),"Dòng chỉ lưu thông tin khách (chưa có đơn); ",IF($B141="","Thiếu ngày đặt; ","")&amp;IF($H141="","Thiếu tên sản phẩm; ",IF($J141="","Chưa khai GIÁ GỐC ở BẢNG GIÁ GỐC; ",""))&amp;IF(N($I141)&lt;=0,"Thiếu số lượng; ","")&amp;IF(N($K141)&lt;=0,"Thiếu giá bán; ","")&amp;IF(AND($N141&gt;0,$F141=""),"Khách lấy VAT thiếu mã số thuế; ","")&amp;IF(N($Q141)&gt;$P141,"Đã thu vượt tổng phải thu; ","")&amp;IF(AND($L141&gt;0,$U141&lt;&gt;"",$U141&lt;0),"CẢNH BÁO: ĐƠN NÀY ĐANG LỖ; ","")))</f>
        <v/>
      </c>
    </row>
    <row r="142" customFormat="false" ht="15" hidden="false" customHeight="false" outlineLevel="0" collapsed="false">
      <c r="A142" s="21" t="str">
        <f aca="false">IF($C142="","",COUNTA($C$10:$C142))</f>
        <v/>
      </c>
      <c r="B142" s="18"/>
      <c r="C142" s="11"/>
      <c r="D142" s="11"/>
      <c r="E142" s="11"/>
      <c r="F142" s="11"/>
      <c r="G142" s="11"/>
      <c r="H142" s="11"/>
      <c r="I142" s="12"/>
      <c r="J142" s="13" t="str">
        <f aca="false">IF($H142="","",IFERROR(VLOOKUP($H142,'BẢNG GIÁ GỐC'!$A$5:$D$254,3,FALSE()),""))</f>
        <v/>
      </c>
      <c r="K142" s="12"/>
      <c r="L142" s="13" t="str">
        <f aca="false">IF($C142="","",N($I142)*N($K142))</f>
        <v/>
      </c>
      <c r="M142" s="11"/>
      <c r="N142" s="14" t="str">
        <f aca="false">IF($C142="","",IF($M142="VAT 5%",0.05,IF($M142="VAT 8%",0.08,IF($M142="VAT 10%",0.1,0))))</f>
        <v/>
      </c>
      <c r="O142" s="13" t="str">
        <f aca="false">IF($C142="","",$L142*$N142)</f>
        <v/>
      </c>
      <c r="P142" s="13" t="str">
        <f aca="false">IF($C142="","",$L142+$O142)</f>
        <v/>
      </c>
      <c r="Q142" s="12"/>
      <c r="R142" s="13" t="str">
        <f aca="false">IF($C142="","",MAX(0,$P142-N($Q142)))</f>
        <v/>
      </c>
      <c r="S142" s="23" t="str">
        <f aca="false">IF(OR($C142="",$P142=0),"",IF(N($Q142)&lt;=0,"Chưa thanh toán",IF(N($Q142)&lt;$P142,"Thanh toán một phần","Đã thanh toán")))</f>
        <v/>
      </c>
      <c r="T142" s="13" t="str">
        <f aca="false">IF(OR($C142="",$J142=""),"",N($I142)*$J142)</f>
        <v/>
      </c>
      <c r="U142" s="13" t="str">
        <f aca="false">IF(OR($C142="",$T142=""),"",$L142-$T142)</f>
        <v/>
      </c>
      <c r="V142" s="14" t="str">
        <f aca="false">IF(OR($U142="",$L142=0),"",$U142/$L142)</f>
        <v/>
      </c>
      <c r="W142" s="11"/>
      <c r="X142" s="23" t="str">
        <f aca="false">IF($C142="","",IF(AND($H142="",N($I142)=0,N($K142)=0),"Dòng chỉ lưu thông tin khách (chưa có đơn); ",IF($B142="","Thiếu ngày đặt; ","")&amp;IF($H142="","Thiếu tên sản phẩm; ",IF($J142="","Chưa khai GIÁ GỐC ở BẢNG GIÁ GỐC; ",""))&amp;IF(N($I142)&lt;=0,"Thiếu số lượng; ","")&amp;IF(N($K142)&lt;=0,"Thiếu giá bán; ","")&amp;IF(AND($N142&gt;0,$F142=""),"Khách lấy VAT thiếu mã số thuế; ","")&amp;IF(N($Q142)&gt;$P142,"Đã thu vượt tổng phải thu; ","")&amp;IF(AND($L142&gt;0,$U142&lt;&gt;"",$U142&lt;0),"CẢNH BÁO: ĐƠN NÀY ĐANG LỖ; ","")))</f>
        <v/>
      </c>
    </row>
    <row r="143" customFormat="false" ht="15" hidden="false" customHeight="false" outlineLevel="0" collapsed="false">
      <c r="A143" s="21" t="str">
        <f aca="false">IF($C143="","",COUNTA($C$10:$C143))</f>
        <v/>
      </c>
      <c r="B143" s="18"/>
      <c r="C143" s="11"/>
      <c r="D143" s="11"/>
      <c r="E143" s="11"/>
      <c r="F143" s="11"/>
      <c r="G143" s="11"/>
      <c r="H143" s="11"/>
      <c r="I143" s="12"/>
      <c r="J143" s="13" t="str">
        <f aca="false">IF($H143="","",IFERROR(VLOOKUP($H143,'BẢNG GIÁ GỐC'!$A$5:$D$254,3,FALSE()),""))</f>
        <v/>
      </c>
      <c r="K143" s="12"/>
      <c r="L143" s="13" t="str">
        <f aca="false">IF($C143="","",N($I143)*N($K143))</f>
        <v/>
      </c>
      <c r="M143" s="11"/>
      <c r="N143" s="14" t="str">
        <f aca="false">IF($C143="","",IF($M143="VAT 5%",0.05,IF($M143="VAT 8%",0.08,IF($M143="VAT 10%",0.1,0))))</f>
        <v/>
      </c>
      <c r="O143" s="13" t="str">
        <f aca="false">IF($C143="","",$L143*$N143)</f>
        <v/>
      </c>
      <c r="P143" s="13" t="str">
        <f aca="false">IF($C143="","",$L143+$O143)</f>
        <v/>
      </c>
      <c r="Q143" s="12"/>
      <c r="R143" s="13" t="str">
        <f aca="false">IF($C143="","",MAX(0,$P143-N($Q143)))</f>
        <v/>
      </c>
      <c r="S143" s="23" t="str">
        <f aca="false">IF(OR($C143="",$P143=0),"",IF(N($Q143)&lt;=0,"Chưa thanh toán",IF(N($Q143)&lt;$P143,"Thanh toán một phần","Đã thanh toán")))</f>
        <v/>
      </c>
      <c r="T143" s="13" t="str">
        <f aca="false">IF(OR($C143="",$J143=""),"",N($I143)*$J143)</f>
        <v/>
      </c>
      <c r="U143" s="13" t="str">
        <f aca="false">IF(OR($C143="",$T143=""),"",$L143-$T143)</f>
        <v/>
      </c>
      <c r="V143" s="14" t="str">
        <f aca="false">IF(OR($U143="",$L143=0),"",$U143/$L143)</f>
        <v/>
      </c>
      <c r="W143" s="11"/>
      <c r="X143" s="23" t="str">
        <f aca="false">IF($C143="","",IF(AND($H143="",N($I143)=0,N($K143)=0),"Dòng chỉ lưu thông tin khách (chưa có đơn); ",IF($B143="","Thiếu ngày đặt; ","")&amp;IF($H143="","Thiếu tên sản phẩm; ",IF($J143="","Chưa khai GIÁ GỐC ở BẢNG GIÁ GỐC; ",""))&amp;IF(N($I143)&lt;=0,"Thiếu số lượng; ","")&amp;IF(N($K143)&lt;=0,"Thiếu giá bán; ","")&amp;IF(AND($N143&gt;0,$F143=""),"Khách lấy VAT thiếu mã số thuế; ","")&amp;IF(N($Q143)&gt;$P143,"Đã thu vượt tổng phải thu; ","")&amp;IF(AND($L143&gt;0,$U143&lt;&gt;"",$U143&lt;0),"CẢNH BÁO: ĐƠN NÀY ĐANG LỖ; ","")))</f>
        <v/>
      </c>
    </row>
    <row r="144" customFormat="false" ht="15" hidden="false" customHeight="false" outlineLevel="0" collapsed="false">
      <c r="A144" s="21" t="str">
        <f aca="false">IF($C144="","",COUNTA($C$10:$C144))</f>
        <v/>
      </c>
      <c r="B144" s="18"/>
      <c r="C144" s="11"/>
      <c r="D144" s="11"/>
      <c r="E144" s="11"/>
      <c r="F144" s="11"/>
      <c r="G144" s="11"/>
      <c r="H144" s="11"/>
      <c r="I144" s="12"/>
      <c r="J144" s="13" t="str">
        <f aca="false">IF($H144="","",IFERROR(VLOOKUP($H144,'BẢNG GIÁ GỐC'!$A$5:$D$254,3,FALSE()),""))</f>
        <v/>
      </c>
      <c r="K144" s="12"/>
      <c r="L144" s="13" t="str">
        <f aca="false">IF($C144="","",N($I144)*N($K144))</f>
        <v/>
      </c>
      <c r="M144" s="11"/>
      <c r="N144" s="14" t="str">
        <f aca="false">IF($C144="","",IF($M144="VAT 5%",0.05,IF($M144="VAT 8%",0.08,IF($M144="VAT 10%",0.1,0))))</f>
        <v/>
      </c>
      <c r="O144" s="13" t="str">
        <f aca="false">IF($C144="","",$L144*$N144)</f>
        <v/>
      </c>
      <c r="P144" s="13" t="str">
        <f aca="false">IF($C144="","",$L144+$O144)</f>
        <v/>
      </c>
      <c r="Q144" s="12"/>
      <c r="R144" s="13" t="str">
        <f aca="false">IF($C144="","",MAX(0,$P144-N($Q144)))</f>
        <v/>
      </c>
      <c r="S144" s="23" t="str">
        <f aca="false">IF(OR($C144="",$P144=0),"",IF(N($Q144)&lt;=0,"Chưa thanh toán",IF(N($Q144)&lt;$P144,"Thanh toán một phần","Đã thanh toán")))</f>
        <v/>
      </c>
      <c r="T144" s="13" t="str">
        <f aca="false">IF(OR($C144="",$J144=""),"",N($I144)*$J144)</f>
        <v/>
      </c>
      <c r="U144" s="13" t="str">
        <f aca="false">IF(OR($C144="",$T144=""),"",$L144-$T144)</f>
        <v/>
      </c>
      <c r="V144" s="14" t="str">
        <f aca="false">IF(OR($U144="",$L144=0),"",$U144/$L144)</f>
        <v/>
      </c>
      <c r="W144" s="11"/>
      <c r="X144" s="23" t="str">
        <f aca="false">IF($C144="","",IF(AND($H144="",N($I144)=0,N($K144)=0),"Dòng chỉ lưu thông tin khách (chưa có đơn); ",IF($B144="","Thiếu ngày đặt; ","")&amp;IF($H144="","Thiếu tên sản phẩm; ",IF($J144="","Chưa khai GIÁ GỐC ở BẢNG GIÁ GỐC; ",""))&amp;IF(N($I144)&lt;=0,"Thiếu số lượng; ","")&amp;IF(N($K144)&lt;=0,"Thiếu giá bán; ","")&amp;IF(AND($N144&gt;0,$F144=""),"Khách lấy VAT thiếu mã số thuế; ","")&amp;IF(N($Q144)&gt;$P144,"Đã thu vượt tổng phải thu; ","")&amp;IF(AND($L144&gt;0,$U144&lt;&gt;"",$U144&lt;0),"CẢNH BÁO: ĐƠN NÀY ĐANG LỖ; ","")))</f>
        <v/>
      </c>
    </row>
    <row r="145" customFormat="false" ht="15" hidden="false" customHeight="false" outlineLevel="0" collapsed="false">
      <c r="A145" s="21" t="str">
        <f aca="false">IF($C145="","",COUNTA($C$10:$C145))</f>
        <v/>
      </c>
      <c r="B145" s="18"/>
      <c r="C145" s="11"/>
      <c r="D145" s="11"/>
      <c r="E145" s="11"/>
      <c r="F145" s="11"/>
      <c r="G145" s="11"/>
      <c r="H145" s="11"/>
      <c r="I145" s="12"/>
      <c r="J145" s="13" t="str">
        <f aca="false">IF($H145="","",IFERROR(VLOOKUP($H145,'BẢNG GIÁ GỐC'!$A$5:$D$254,3,FALSE()),""))</f>
        <v/>
      </c>
      <c r="K145" s="12"/>
      <c r="L145" s="13" t="str">
        <f aca="false">IF($C145="","",N($I145)*N($K145))</f>
        <v/>
      </c>
      <c r="M145" s="11"/>
      <c r="N145" s="14" t="str">
        <f aca="false">IF($C145="","",IF($M145="VAT 5%",0.05,IF($M145="VAT 8%",0.08,IF($M145="VAT 10%",0.1,0))))</f>
        <v/>
      </c>
      <c r="O145" s="13" t="str">
        <f aca="false">IF($C145="","",$L145*$N145)</f>
        <v/>
      </c>
      <c r="P145" s="13" t="str">
        <f aca="false">IF($C145="","",$L145+$O145)</f>
        <v/>
      </c>
      <c r="Q145" s="12"/>
      <c r="R145" s="13" t="str">
        <f aca="false">IF($C145="","",MAX(0,$P145-N($Q145)))</f>
        <v/>
      </c>
      <c r="S145" s="23" t="str">
        <f aca="false">IF(OR($C145="",$P145=0),"",IF(N($Q145)&lt;=0,"Chưa thanh toán",IF(N($Q145)&lt;$P145,"Thanh toán một phần","Đã thanh toán")))</f>
        <v/>
      </c>
      <c r="T145" s="13" t="str">
        <f aca="false">IF(OR($C145="",$J145=""),"",N($I145)*$J145)</f>
        <v/>
      </c>
      <c r="U145" s="13" t="str">
        <f aca="false">IF(OR($C145="",$T145=""),"",$L145-$T145)</f>
        <v/>
      </c>
      <c r="V145" s="14" t="str">
        <f aca="false">IF(OR($U145="",$L145=0),"",$U145/$L145)</f>
        <v/>
      </c>
      <c r="W145" s="11"/>
      <c r="X145" s="23" t="str">
        <f aca="false">IF($C145="","",IF(AND($H145="",N($I145)=0,N($K145)=0),"Dòng chỉ lưu thông tin khách (chưa có đơn); ",IF($B145="","Thiếu ngày đặt; ","")&amp;IF($H145="","Thiếu tên sản phẩm; ",IF($J145="","Chưa khai GIÁ GỐC ở BẢNG GIÁ GỐC; ",""))&amp;IF(N($I145)&lt;=0,"Thiếu số lượng; ","")&amp;IF(N($K145)&lt;=0,"Thiếu giá bán; ","")&amp;IF(AND($N145&gt;0,$F145=""),"Khách lấy VAT thiếu mã số thuế; ","")&amp;IF(N($Q145)&gt;$P145,"Đã thu vượt tổng phải thu; ","")&amp;IF(AND($L145&gt;0,$U145&lt;&gt;"",$U145&lt;0),"CẢNH BÁO: ĐƠN NÀY ĐANG LỖ; ","")))</f>
        <v/>
      </c>
    </row>
    <row r="146" customFormat="false" ht="15" hidden="false" customHeight="false" outlineLevel="0" collapsed="false">
      <c r="A146" s="21" t="str">
        <f aca="false">IF($C146="","",COUNTA($C$10:$C146))</f>
        <v/>
      </c>
      <c r="B146" s="18"/>
      <c r="C146" s="11"/>
      <c r="D146" s="11"/>
      <c r="E146" s="11"/>
      <c r="F146" s="11"/>
      <c r="G146" s="11"/>
      <c r="H146" s="11"/>
      <c r="I146" s="12"/>
      <c r="J146" s="13" t="str">
        <f aca="false">IF($H146="","",IFERROR(VLOOKUP($H146,'BẢNG GIÁ GỐC'!$A$5:$D$254,3,FALSE()),""))</f>
        <v/>
      </c>
      <c r="K146" s="12"/>
      <c r="L146" s="13" t="str">
        <f aca="false">IF($C146="","",N($I146)*N($K146))</f>
        <v/>
      </c>
      <c r="M146" s="11"/>
      <c r="N146" s="14" t="str">
        <f aca="false">IF($C146="","",IF($M146="VAT 5%",0.05,IF($M146="VAT 8%",0.08,IF($M146="VAT 10%",0.1,0))))</f>
        <v/>
      </c>
      <c r="O146" s="13" t="str">
        <f aca="false">IF($C146="","",$L146*$N146)</f>
        <v/>
      </c>
      <c r="P146" s="13" t="str">
        <f aca="false">IF($C146="","",$L146+$O146)</f>
        <v/>
      </c>
      <c r="Q146" s="12"/>
      <c r="R146" s="13" t="str">
        <f aca="false">IF($C146="","",MAX(0,$P146-N($Q146)))</f>
        <v/>
      </c>
      <c r="S146" s="23" t="str">
        <f aca="false">IF(OR($C146="",$P146=0),"",IF(N($Q146)&lt;=0,"Chưa thanh toán",IF(N($Q146)&lt;$P146,"Thanh toán một phần","Đã thanh toán")))</f>
        <v/>
      </c>
      <c r="T146" s="13" t="str">
        <f aca="false">IF(OR($C146="",$J146=""),"",N($I146)*$J146)</f>
        <v/>
      </c>
      <c r="U146" s="13" t="str">
        <f aca="false">IF(OR($C146="",$T146=""),"",$L146-$T146)</f>
        <v/>
      </c>
      <c r="V146" s="14" t="str">
        <f aca="false">IF(OR($U146="",$L146=0),"",$U146/$L146)</f>
        <v/>
      </c>
      <c r="W146" s="11"/>
      <c r="X146" s="23" t="str">
        <f aca="false">IF($C146="","",IF(AND($H146="",N($I146)=0,N($K146)=0),"Dòng chỉ lưu thông tin khách (chưa có đơn); ",IF($B146="","Thiếu ngày đặt; ","")&amp;IF($H146="","Thiếu tên sản phẩm; ",IF($J146="","Chưa khai GIÁ GỐC ở BẢNG GIÁ GỐC; ",""))&amp;IF(N($I146)&lt;=0,"Thiếu số lượng; ","")&amp;IF(N($K146)&lt;=0,"Thiếu giá bán; ","")&amp;IF(AND($N146&gt;0,$F146=""),"Khách lấy VAT thiếu mã số thuế; ","")&amp;IF(N($Q146)&gt;$P146,"Đã thu vượt tổng phải thu; ","")&amp;IF(AND($L146&gt;0,$U146&lt;&gt;"",$U146&lt;0),"CẢNH BÁO: ĐƠN NÀY ĐANG LỖ; ","")))</f>
        <v/>
      </c>
    </row>
    <row r="147" customFormat="false" ht="15" hidden="false" customHeight="false" outlineLevel="0" collapsed="false">
      <c r="A147" s="21" t="str">
        <f aca="false">IF($C147="","",COUNTA($C$10:$C147))</f>
        <v/>
      </c>
      <c r="B147" s="18"/>
      <c r="C147" s="11"/>
      <c r="D147" s="11"/>
      <c r="E147" s="11"/>
      <c r="F147" s="11"/>
      <c r="G147" s="11"/>
      <c r="H147" s="11"/>
      <c r="I147" s="12"/>
      <c r="J147" s="13" t="str">
        <f aca="false">IF($H147="","",IFERROR(VLOOKUP($H147,'BẢNG GIÁ GỐC'!$A$5:$D$254,3,FALSE()),""))</f>
        <v/>
      </c>
      <c r="K147" s="12"/>
      <c r="L147" s="13" t="str">
        <f aca="false">IF($C147="","",N($I147)*N($K147))</f>
        <v/>
      </c>
      <c r="M147" s="11"/>
      <c r="N147" s="14" t="str">
        <f aca="false">IF($C147="","",IF($M147="VAT 5%",0.05,IF($M147="VAT 8%",0.08,IF($M147="VAT 10%",0.1,0))))</f>
        <v/>
      </c>
      <c r="O147" s="13" t="str">
        <f aca="false">IF($C147="","",$L147*$N147)</f>
        <v/>
      </c>
      <c r="P147" s="13" t="str">
        <f aca="false">IF($C147="","",$L147+$O147)</f>
        <v/>
      </c>
      <c r="Q147" s="12"/>
      <c r="R147" s="13" t="str">
        <f aca="false">IF($C147="","",MAX(0,$P147-N($Q147)))</f>
        <v/>
      </c>
      <c r="S147" s="23" t="str">
        <f aca="false">IF(OR($C147="",$P147=0),"",IF(N($Q147)&lt;=0,"Chưa thanh toán",IF(N($Q147)&lt;$P147,"Thanh toán một phần","Đã thanh toán")))</f>
        <v/>
      </c>
      <c r="T147" s="13" t="str">
        <f aca="false">IF(OR($C147="",$J147=""),"",N($I147)*$J147)</f>
        <v/>
      </c>
      <c r="U147" s="13" t="str">
        <f aca="false">IF(OR($C147="",$T147=""),"",$L147-$T147)</f>
        <v/>
      </c>
      <c r="V147" s="14" t="str">
        <f aca="false">IF(OR($U147="",$L147=0),"",$U147/$L147)</f>
        <v/>
      </c>
      <c r="W147" s="11"/>
      <c r="X147" s="23" t="str">
        <f aca="false">IF($C147="","",IF(AND($H147="",N($I147)=0,N($K147)=0),"Dòng chỉ lưu thông tin khách (chưa có đơn); ",IF($B147="","Thiếu ngày đặt; ","")&amp;IF($H147="","Thiếu tên sản phẩm; ",IF($J147="","Chưa khai GIÁ GỐC ở BẢNG GIÁ GỐC; ",""))&amp;IF(N($I147)&lt;=0,"Thiếu số lượng; ","")&amp;IF(N($K147)&lt;=0,"Thiếu giá bán; ","")&amp;IF(AND($N147&gt;0,$F147=""),"Khách lấy VAT thiếu mã số thuế; ","")&amp;IF(N($Q147)&gt;$P147,"Đã thu vượt tổng phải thu; ","")&amp;IF(AND($L147&gt;0,$U147&lt;&gt;"",$U147&lt;0),"CẢNH BÁO: ĐƠN NÀY ĐANG LỖ; ","")))</f>
        <v/>
      </c>
    </row>
    <row r="148" customFormat="false" ht="15" hidden="false" customHeight="false" outlineLevel="0" collapsed="false">
      <c r="A148" s="21" t="str">
        <f aca="false">IF($C148="","",COUNTA($C$10:$C148))</f>
        <v/>
      </c>
      <c r="B148" s="18"/>
      <c r="C148" s="11"/>
      <c r="D148" s="11"/>
      <c r="E148" s="11"/>
      <c r="F148" s="11"/>
      <c r="G148" s="11"/>
      <c r="H148" s="11"/>
      <c r="I148" s="12"/>
      <c r="J148" s="13" t="str">
        <f aca="false">IF($H148="","",IFERROR(VLOOKUP($H148,'BẢNG GIÁ GỐC'!$A$5:$D$254,3,FALSE()),""))</f>
        <v/>
      </c>
      <c r="K148" s="12"/>
      <c r="L148" s="13" t="str">
        <f aca="false">IF($C148="","",N($I148)*N($K148))</f>
        <v/>
      </c>
      <c r="M148" s="11"/>
      <c r="N148" s="14" t="str">
        <f aca="false">IF($C148="","",IF($M148="VAT 5%",0.05,IF($M148="VAT 8%",0.08,IF($M148="VAT 10%",0.1,0))))</f>
        <v/>
      </c>
      <c r="O148" s="13" t="str">
        <f aca="false">IF($C148="","",$L148*$N148)</f>
        <v/>
      </c>
      <c r="P148" s="13" t="str">
        <f aca="false">IF($C148="","",$L148+$O148)</f>
        <v/>
      </c>
      <c r="Q148" s="12"/>
      <c r="R148" s="13" t="str">
        <f aca="false">IF($C148="","",MAX(0,$P148-N($Q148)))</f>
        <v/>
      </c>
      <c r="S148" s="23" t="str">
        <f aca="false">IF(OR($C148="",$P148=0),"",IF(N($Q148)&lt;=0,"Chưa thanh toán",IF(N($Q148)&lt;$P148,"Thanh toán một phần","Đã thanh toán")))</f>
        <v/>
      </c>
      <c r="T148" s="13" t="str">
        <f aca="false">IF(OR($C148="",$J148=""),"",N($I148)*$J148)</f>
        <v/>
      </c>
      <c r="U148" s="13" t="str">
        <f aca="false">IF(OR($C148="",$T148=""),"",$L148-$T148)</f>
        <v/>
      </c>
      <c r="V148" s="14" t="str">
        <f aca="false">IF(OR($U148="",$L148=0),"",$U148/$L148)</f>
        <v/>
      </c>
      <c r="W148" s="11"/>
      <c r="X148" s="23" t="str">
        <f aca="false">IF($C148="","",IF(AND($H148="",N($I148)=0,N($K148)=0),"Dòng chỉ lưu thông tin khách (chưa có đơn); ",IF($B148="","Thiếu ngày đặt; ","")&amp;IF($H148="","Thiếu tên sản phẩm; ",IF($J148="","Chưa khai GIÁ GỐC ở BẢNG GIÁ GỐC; ",""))&amp;IF(N($I148)&lt;=0,"Thiếu số lượng; ","")&amp;IF(N($K148)&lt;=0,"Thiếu giá bán; ","")&amp;IF(AND($N148&gt;0,$F148=""),"Khách lấy VAT thiếu mã số thuế; ","")&amp;IF(N($Q148)&gt;$P148,"Đã thu vượt tổng phải thu; ","")&amp;IF(AND($L148&gt;0,$U148&lt;&gt;"",$U148&lt;0),"CẢNH BÁO: ĐƠN NÀY ĐANG LỖ; ","")))</f>
        <v/>
      </c>
    </row>
    <row r="149" customFormat="false" ht="15" hidden="false" customHeight="false" outlineLevel="0" collapsed="false">
      <c r="A149" s="21" t="str">
        <f aca="false">IF($C149="","",COUNTA($C$10:$C149))</f>
        <v/>
      </c>
      <c r="B149" s="18"/>
      <c r="C149" s="11"/>
      <c r="D149" s="11"/>
      <c r="E149" s="11"/>
      <c r="F149" s="11"/>
      <c r="G149" s="11"/>
      <c r="H149" s="11"/>
      <c r="I149" s="12"/>
      <c r="J149" s="13" t="str">
        <f aca="false">IF($H149="","",IFERROR(VLOOKUP($H149,'BẢNG GIÁ GỐC'!$A$5:$D$254,3,FALSE()),""))</f>
        <v/>
      </c>
      <c r="K149" s="12"/>
      <c r="L149" s="13" t="str">
        <f aca="false">IF($C149="","",N($I149)*N($K149))</f>
        <v/>
      </c>
      <c r="M149" s="11"/>
      <c r="N149" s="14" t="str">
        <f aca="false">IF($C149="","",IF($M149="VAT 5%",0.05,IF($M149="VAT 8%",0.08,IF($M149="VAT 10%",0.1,0))))</f>
        <v/>
      </c>
      <c r="O149" s="13" t="str">
        <f aca="false">IF($C149="","",$L149*$N149)</f>
        <v/>
      </c>
      <c r="P149" s="13" t="str">
        <f aca="false">IF($C149="","",$L149+$O149)</f>
        <v/>
      </c>
      <c r="Q149" s="12"/>
      <c r="R149" s="13" t="str">
        <f aca="false">IF($C149="","",MAX(0,$P149-N($Q149)))</f>
        <v/>
      </c>
      <c r="S149" s="23" t="str">
        <f aca="false">IF(OR($C149="",$P149=0),"",IF(N($Q149)&lt;=0,"Chưa thanh toán",IF(N($Q149)&lt;$P149,"Thanh toán một phần","Đã thanh toán")))</f>
        <v/>
      </c>
      <c r="T149" s="13" t="str">
        <f aca="false">IF(OR($C149="",$J149=""),"",N($I149)*$J149)</f>
        <v/>
      </c>
      <c r="U149" s="13" t="str">
        <f aca="false">IF(OR($C149="",$T149=""),"",$L149-$T149)</f>
        <v/>
      </c>
      <c r="V149" s="14" t="str">
        <f aca="false">IF(OR($U149="",$L149=0),"",$U149/$L149)</f>
        <v/>
      </c>
      <c r="W149" s="11"/>
      <c r="X149" s="23" t="str">
        <f aca="false">IF($C149="","",IF(AND($H149="",N($I149)=0,N($K149)=0),"Dòng chỉ lưu thông tin khách (chưa có đơn); ",IF($B149="","Thiếu ngày đặt; ","")&amp;IF($H149="","Thiếu tên sản phẩm; ",IF($J149="","Chưa khai GIÁ GỐC ở BẢNG GIÁ GỐC; ",""))&amp;IF(N($I149)&lt;=0,"Thiếu số lượng; ","")&amp;IF(N($K149)&lt;=0,"Thiếu giá bán; ","")&amp;IF(AND($N149&gt;0,$F149=""),"Khách lấy VAT thiếu mã số thuế; ","")&amp;IF(N($Q149)&gt;$P149,"Đã thu vượt tổng phải thu; ","")&amp;IF(AND($L149&gt;0,$U149&lt;&gt;"",$U149&lt;0),"CẢNH BÁO: ĐƠN NÀY ĐANG LỖ; ","")))</f>
        <v/>
      </c>
    </row>
    <row r="150" customFormat="false" ht="15" hidden="false" customHeight="false" outlineLevel="0" collapsed="false">
      <c r="A150" s="21" t="str">
        <f aca="false">IF($C150="","",COUNTA($C$10:$C150))</f>
        <v/>
      </c>
      <c r="B150" s="18"/>
      <c r="C150" s="11"/>
      <c r="D150" s="11"/>
      <c r="E150" s="11"/>
      <c r="F150" s="11"/>
      <c r="G150" s="11"/>
      <c r="H150" s="11"/>
      <c r="I150" s="12"/>
      <c r="J150" s="13" t="str">
        <f aca="false">IF($H150="","",IFERROR(VLOOKUP($H150,'BẢNG GIÁ GỐC'!$A$5:$D$254,3,FALSE()),""))</f>
        <v/>
      </c>
      <c r="K150" s="12"/>
      <c r="L150" s="13" t="str">
        <f aca="false">IF($C150="","",N($I150)*N($K150))</f>
        <v/>
      </c>
      <c r="M150" s="11"/>
      <c r="N150" s="14" t="str">
        <f aca="false">IF($C150="","",IF($M150="VAT 5%",0.05,IF($M150="VAT 8%",0.08,IF($M150="VAT 10%",0.1,0))))</f>
        <v/>
      </c>
      <c r="O150" s="13" t="str">
        <f aca="false">IF($C150="","",$L150*$N150)</f>
        <v/>
      </c>
      <c r="P150" s="13" t="str">
        <f aca="false">IF($C150="","",$L150+$O150)</f>
        <v/>
      </c>
      <c r="Q150" s="12"/>
      <c r="R150" s="13" t="str">
        <f aca="false">IF($C150="","",MAX(0,$P150-N($Q150)))</f>
        <v/>
      </c>
      <c r="S150" s="23" t="str">
        <f aca="false">IF(OR($C150="",$P150=0),"",IF(N($Q150)&lt;=0,"Chưa thanh toán",IF(N($Q150)&lt;$P150,"Thanh toán một phần","Đã thanh toán")))</f>
        <v/>
      </c>
      <c r="T150" s="13" t="str">
        <f aca="false">IF(OR($C150="",$J150=""),"",N($I150)*$J150)</f>
        <v/>
      </c>
      <c r="U150" s="13" t="str">
        <f aca="false">IF(OR($C150="",$T150=""),"",$L150-$T150)</f>
        <v/>
      </c>
      <c r="V150" s="14" t="str">
        <f aca="false">IF(OR($U150="",$L150=0),"",$U150/$L150)</f>
        <v/>
      </c>
      <c r="W150" s="11"/>
      <c r="X150" s="23" t="str">
        <f aca="false">IF($C150="","",IF(AND($H150="",N($I150)=0,N($K150)=0),"Dòng chỉ lưu thông tin khách (chưa có đơn); ",IF($B150="","Thiếu ngày đặt; ","")&amp;IF($H150="","Thiếu tên sản phẩm; ",IF($J150="","Chưa khai GIÁ GỐC ở BẢNG GIÁ GỐC; ",""))&amp;IF(N($I150)&lt;=0,"Thiếu số lượng; ","")&amp;IF(N($K150)&lt;=0,"Thiếu giá bán; ","")&amp;IF(AND($N150&gt;0,$F150=""),"Khách lấy VAT thiếu mã số thuế; ","")&amp;IF(N($Q150)&gt;$P150,"Đã thu vượt tổng phải thu; ","")&amp;IF(AND($L150&gt;0,$U150&lt;&gt;"",$U150&lt;0),"CẢNH BÁO: ĐƠN NÀY ĐANG LỖ; ","")))</f>
        <v/>
      </c>
    </row>
    <row r="151" customFormat="false" ht="15" hidden="false" customHeight="false" outlineLevel="0" collapsed="false">
      <c r="A151" s="21" t="str">
        <f aca="false">IF($C151="","",COUNTA($C$10:$C151))</f>
        <v/>
      </c>
      <c r="B151" s="18"/>
      <c r="C151" s="11"/>
      <c r="D151" s="11"/>
      <c r="E151" s="11"/>
      <c r="F151" s="11"/>
      <c r="G151" s="11"/>
      <c r="H151" s="11"/>
      <c r="I151" s="12"/>
      <c r="J151" s="13" t="str">
        <f aca="false">IF($H151="","",IFERROR(VLOOKUP($H151,'BẢNG GIÁ GỐC'!$A$5:$D$254,3,FALSE()),""))</f>
        <v/>
      </c>
      <c r="K151" s="12"/>
      <c r="L151" s="13" t="str">
        <f aca="false">IF($C151="","",N($I151)*N($K151))</f>
        <v/>
      </c>
      <c r="M151" s="11"/>
      <c r="N151" s="14" t="str">
        <f aca="false">IF($C151="","",IF($M151="VAT 5%",0.05,IF($M151="VAT 8%",0.08,IF($M151="VAT 10%",0.1,0))))</f>
        <v/>
      </c>
      <c r="O151" s="13" t="str">
        <f aca="false">IF($C151="","",$L151*$N151)</f>
        <v/>
      </c>
      <c r="P151" s="13" t="str">
        <f aca="false">IF($C151="","",$L151+$O151)</f>
        <v/>
      </c>
      <c r="Q151" s="12"/>
      <c r="R151" s="13" t="str">
        <f aca="false">IF($C151="","",MAX(0,$P151-N($Q151)))</f>
        <v/>
      </c>
      <c r="S151" s="23" t="str">
        <f aca="false">IF(OR($C151="",$P151=0),"",IF(N($Q151)&lt;=0,"Chưa thanh toán",IF(N($Q151)&lt;$P151,"Thanh toán một phần","Đã thanh toán")))</f>
        <v/>
      </c>
      <c r="T151" s="13" t="str">
        <f aca="false">IF(OR($C151="",$J151=""),"",N($I151)*$J151)</f>
        <v/>
      </c>
      <c r="U151" s="13" t="str">
        <f aca="false">IF(OR($C151="",$T151=""),"",$L151-$T151)</f>
        <v/>
      </c>
      <c r="V151" s="14" t="str">
        <f aca="false">IF(OR($U151="",$L151=0),"",$U151/$L151)</f>
        <v/>
      </c>
      <c r="W151" s="11"/>
      <c r="X151" s="23" t="str">
        <f aca="false">IF($C151="","",IF(AND($H151="",N($I151)=0,N($K151)=0),"Dòng chỉ lưu thông tin khách (chưa có đơn); ",IF($B151="","Thiếu ngày đặt; ","")&amp;IF($H151="","Thiếu tên sản phẩm; ",IF($J151="","Chưa khai GIÁ GỐC ở BẢNG GIÁ GỐC; ",""))&amp;IF(N($I151)&lt;=0,"Thiếu số lượng; ","")&amp;IF(N($K151)&lt;=0,"Thiếu giá bán; ","")&amp;IF(AND($N151&gt;0,$F151=""),"Khách lấy VAT thiếu mã số thuế; ","")&amp;IF(N($Q151)&gt;$P151,"Đã thu vượt tổng phải thu; ","")&amp;IF(AND($L151&gt;0,$U151&lt;&gt;"",$U151&lt;0),"CẢNH BÁO: ĐƠN NÀY ĐANG LỖ; ","")))</f>
        <v/>
      </c>
    </row>
    <row r="152" customFormat="false" ht="15" hidden="false" customHeight="false" outlineLevel="0" collapsed="false">
      <c r="A152" s="21" t="str">
        <f aca="false">IF($C152="","",COUNTA($C$10:$C152))</f>
        <v/>
      </c>
      <c r="B152" s="18"/>
      <c r="C152" s="11"/>
      <c r="D152" s="11"/>
      <c r="E152" s="11"/>
      <c r="F152" s="11"/>
      <c r="G152" s="11"/>
      <c r="H152" s="11"/>
      <c r="I152" s="12"/>
      <c r="J152" s="13" t="str">
        <f aca="false">IF($H152="","",IFERROR(VLOOKUP($H152,'BẢNG GIÁ GỐC'!$A$5:$D$254,3,FALSE()),""))</f>
        <v/>
      </c>
      <c r="K152" s="12"/>
      <c r="L152" s="13" t="str">
        <f aca="false">IF($C152="","",N($I152)*N($K152))</f>
        <v/>
      </c>
      <c r="M152" s="11"/>
      <c r="N152" s="14" t="str">
        <f aca="false">IF($C152="","",IF($M152="VAT 5%",0.05,IF($M152="VAT 8%",0.08,IF($M152="VAT 10%",0.1,0))))</f>
        <v/>
      </c>
      <c r="O152" s="13" t="str">
        <f aca="false">IF($C152="","",$L152*$N152)</f>
        <v/>
      </c>
      <c r="P152" s="13" t="str">
        <f aca="false">IF($C152="","",$L152+$O152)</f>
        <v/>
      </c>
      <c r="Q152" s="12"/>
      <c r="R152" s="13" t="str">
        <f aca="false">IF($C152="","",MAX(0,$P152-N($Q152)))</f>
        <v/>
      </c>
      <c r="S152" s="23" t="str">
        <f aca="false">IF(OR($C152="",$P152=0),"",IF(N($Q152)&lt;=0,"Chưa thanh toán",IF(N($Q152)&lt;$P152,"Thanh toán một phần","Đã thanh toán")))</f>
        <v/>
      </c>
      <c r="T152" s="13" t="str">
        <f aca="false">IF(OR($C152="",$J152=""),"",N($I152)*$J152)</f>
        <v/>
      </c>
      <c r="U152" s="13" t="str">
        <f aca="false">IF(OR($C152="",$T152=""),"",$L152-$T152)</f>
        <v/>
      </c>
      <c r="V152" s="14" t="str">
        <f aca="false">IF(OR($U152="",$L152=0),"",$U152/$L152)</f>
        <v/>
      </c>
      <c r="W152" s="11"/>
      <c r="X152" s="23" t="str">
        <f aca="false">IF($C152="","",IF(AND($H152="",N($I152)=0,N($K152)=0),"Dòng chỉ lưu thông tin khách (chưa có đơn); ",IF($B152="","Thiếu ngày đặt; ","")&amp;IF($H152="","Thiếu tên sản phẩm; ",IF($J152="","Chưa khai GIÁ GỐC ở BẢNG GIÁ GỐC; ",""))&amp;IF(N($I152)&lt;=0,"Thiếu số lượng; ","")&amp;IF(N($K152)&lt;=0,"Thiếu giá bán; ","")&amp;IF(AND($N152&gt;0,$F152=""),"Khách lấy VAT thiếu mã số thuế; ","")&amp;IF(N($Q152)&gt;$P152,"Đã thu vượt tổng phải thu; ","")&amp;IF(AND($L152&gt;0,$U152&lt;&gt;"",$U152&lt;0),"CẢNH BÁO: ĐƠN NÀY ĐANG LỖ; ","")))</f>
        <v/>
      </c>
    </row>
    <row r="153" customFormat="false" ht="15" hidden="false" customHeight="false" outlineLevel="0" collapsed="false">
      <c r="A153" s="21" t="str">
        <f aca="false">IF($C153="","",COUNTA($C$10:$C153))</f>
        <v/>
      </c>
      <c r="B153" s="18"/>
      <c r="C153" s="11"/>
      <c r="D153" s="11"/>
      <c r="E153" s="11"/>
      <c r="F153" s="11"/>
      <c r="G153" s="11"/>
      <c r="H153" s="11"/>
      <c r="I153" s="12"/>
      <c r="J153" s="13" t="str">
        <f aca="false">IF($H153="","",IFERROR(VLOOKUP($H153,'BẢNG GIÁ GỐC'!$A$5:$D$254,3,FALSE()),""))</f>
        <v/>
      </c>
      <c r="K153" s="12"/>
      <c r="L153" s="13" t="str">
        <f aca="false">IF($C153="","",N($I153)*N($K153))</f>
        <v/>
      </c>
      <c r="M153" s="11"/>
      <c r="N153" s="14" t="str">
        <f aca="false">IF($C153="","",IF($M153="VAT 5%",0.05,IF($M153="VAT 8%",0.08,IF($M153="VAT 10%",0.1,0))))</f>
        <v/>
      </c>
      <c r="O153" s="13" t="str">
        <f aca="false">IF($C153="","",$L153*$N153)</f>
        <v/>
      </c>
      <c r="P153" s="13" t="str">
        <f aca="false">IF($C153="","",$L153+$O153)</f>
        <v/>
      </c>
      <c r="Q153" s="12"/>
      <c r="R153" s="13" t="str">
        <f aca="false">IF($C153="","",MAX(0,$P153-N($Q153)))</f>
        <v/>
      </c>
      <c r="S153" s="23" t="str">
        <f aca="false">IF(OR($C153="",$P153=0),"",IF(N($Q153)&lt;=0,"Chưa thanh toán",IF(N($Q153)&lt;$P153,"Thanh toán một phần","Đã thanh toán")))</f>
        <v/>
      </c>
      <c r="T153" s="13" t="str">
        <f aca="false">IF(OR($C153="",$J153=""),"",N($I153)*$J153)</f>
        <v/>
      </c>
      <c r="U153" s="13" t="str">
        <f aca="false">IF(OR($C153="",$T153=""),"",$L153-$T153)</f>
        <v/>
      </c>
      <c r="V153" s="14" t="str">
        <f aca="false">IF(OR($U153="",$L153=0),"",$U153/$L153)</f>
        <v/>
      </c>
      <c r="W153" s="11"/>
      <c r="X153" s="23" t="str">
        <f aca="false">IF($C153="","",IF(AND($H153="",N($I153)=0,N($K153)=0),"Dòng chỉ lưu thông tin khách (chưa có đơn); ",IF($B153="","Thiếu ngày đặt; ","")&amp;IF($H153="","Thiếu tên sản phẩm; ",IF($J153="","Chưa khai GIÁ GỐC ở BẢNG GIÁ GỐC; ",""))&amp;IF(N($I153)&lt;=0,"Thiếu số lượng; ","")&amp;IF(N($K153)&lt;=0,"Thiếu giá bán; ","")&amp;IF(AND($N153&gt;0,$F153=""),"Khách lấy VAT thiếu mã số thuế; ","")&amp;IF(N($Q153)&gt;$P153,"Đã thu vượt tổng phải thu; ","")&amp;IF(AND($L153&gt;0,$U153&lt;&gt;"",$U153&lt;0),"CẢNH BÁO: ĐƠN NÀY ĐANG LỖ; ","")))</f>
        <v/>
      </c>
    </row>
    <row r="154" customFormat="false" ht="15" hidden="false" customHeight="false" outlineLevel="0" collapsed="false">
      <c r="A154" s="21" t="str">
        <f aca="false">IF($C154="","",COUNTA($C$10:$C154))</f>
        <v/>
      </c>
      <c r="B154" s="18"/>
      <c r="C154" s="11"/>
      <c r="D154" s="11"/>
      <c r="E154" s="11"/>
      <c r="F154" s="11"/>
      <c r="G154" s="11"/>
      <c r="H154" s="11"/>
      <c r="I154" s="12"/>
      <c r="J154" s="13" t="str">
        <f aca="false">IF($H154="","",IFERROR(VLOOKUP($H154,'BẢNG GIÁ GỐC'!$A$5:$D$254,3,FALSE()),""))</f>
        <v/>
      </c>
      <c r="K154" s="12"/>
      <c r="L154" s="13" t="str">
        <f aca="false">IF($C154="","",N($I154)*N($K154))</f>
        <v/>
      </c>
      <c r="M154" s="11"/>
      <c r="N154" s="14" t="str">
        <f aca="false">IF($C154="","",IF($M154="VAT 5%",0.05,IF($M154="VAT 8%",0.08,IF($M154="VAT 10%",0.1,0))))</f>
        <v/>
      </c>
      <c r="O154" s="13" t="str">
        <f aca="false">IF($C154="","",$L154*$N154)</f>
        <v/>
      </c>
      <c r="P154" s="13" t="str">
        <f aca="false">IF($C154="","",$L154+$O154)</f>
        <v/>
      </c>
      <c r="Q154" s="12"/>
      <c r="R154" s="13" t="str">
        <f aca="false">IF($C154="","",MAX(0,$P154-N($Q154)))</f>
        <v/>
      </c>
      <c r="S154" s="23" t="str">
        <f aca="false">IF(OR($C154="",$P154=0),"",IF(N($Q154)&lt;=0,"Chưa thanh toán",IF(N($Q154)&lt;$P154,"Thanh toán một phần","Đã thanh toán")))</f>
        <v/>
      </c>
      <c r="T154" s="13" t="str">
        <f aca="false">IF(OR($C154="",$J154=""),"",N($I154)*$J154)</f>
        <v/>
      </c>
      <c r="U154" s="13" t="str">
        <f aca="false">IF(OR($C154="",$T154=""),"",$L154-$T154)</f>
        <v/>
      </c>
      <c r="V154" s="14" t="str">
        <f aca="false">IF(OR($U154="",$L154=0),"",$U154/$L154)</f>
        <v/>
      </c>
      <c r="W154" s="11"/>
      <c r="X154" s="23" t="str">
        <f aca="false">IF($C154="","",IF(AND($H154="",N($I154)=0,N($K154)=0),"Dòng chỉ lưu thông tin khách (chưa có đơn); ",IF($B154="","Thiếu ngày đặt; ","")&amp;IF($H154="","Thiếu tên sản phẩm; ",IF($J154="","Chưa khai GIÁ GỐC ở BẢNG GIÁ GỐC; ",""))&amp;IF(N($I154)&lt;=0,"Thiếu số lượng; ","")&amp;IF(N($K154)&lt;=0,"Thiếu giá bán; ","")&amp;IF(AND($N154&gt;0,$F154=""),"Khách lấy VAT thiếu mã số thuế; ","")&amp;IF(N($Q154)&gt;$P154,"Đã thu vượt tổng phải thu; ","")&amp;IF(AND($L154&gt;0,$U154&lt;&gt;"",$U154&lt;0),"CẢNH BÁO: ĐƠN NÀY ĐANG LỖ; ","")))</f>
        <v/>
      </c>
    </row>
    <row r="155" customFormat="false" ht="15" hidden="false" customHeight="false" outlineLevel="0" collapsed="false">
      <c r="A155" s="21" t="str">
        <f aca="false">IF($C155="","",COUNTA($C$10:$C155))</f>
        <v/>
      </c>
      <c r="B155" s="18"/>
      <c r="C155" s="11"/>
      <c r="D155" s="11"/>
      <c r="E155" s="11"/>
      <c r="F155" s="11"/>
      <c r="G155" s="11"/>
      <c r="H155" s="11"/>
      <c r="I155" s="12"/>
      <c r="J155" s="13" t="str">
        <f aca="false">IF($H155="","",IFERROR(VLOOKUP($H155,'BẢNG GIÁ GỐC'!$A$5:$D$254,3,FALSE()),""))</f>
        <v/>
      </c>
      <c r="K155" s="12"/>
      <c r="L155" s="13" t="str">
        <f aca="false">IF($C155="","",N($I155)*N($K155))</f>
        <v/>
      </c>
      <c r="M155" s="11"/>
      <c r="N155" s="14" t="str">
        <f aca="false">IF($C155="","",IF($M155="VAT 5%",0.05,IF($M155="VAT 8%",0.08,IF($M155="VAT 10%",0.1,0))))</f>
        <v/>
      </c>
      <c r="O155" s="13" t="str">
        <f aca="false">IF($C155="","",$L155*$N155)</f>
        <v/>
      </c>
      <c r="P155" s="13" t="str">
        <f aca="false">IF($C155="","",$L155+$O155)</f>
        <v/>
      </c>
      <c r="Q155" s="12"/>
      <c r="R155" s="13" t="str">
        <f aca="false">IF($C155="","",MAX(0,$P155-N($Q155)))</f>
        <v/>
      </c>
      <c r="S155" s="23" t="str">
        <f aca="false">IF(OR($C155="",$P155=0),"",IF(N($Q155)&lt;=0,"Chưa thanh toán",IF(N($Q155)&lt;$P155,"Thanh toán một phần","Đã thanh toán")))</f>
        <v/>
      </c>
      <c r="T155" s="13" t="str">
        <f aca="false">IF(OR($C155="",$J155=""),"",N($I155)*$J155)</f>
        <v/>
      </c>
      <c r="U155" s="13" t="str">
        <f aca="false">IF(OR($C155="",$T155=""),"",$L155-$T155)</f>
        <v/>
      </c>
      <c r="V155" s="14" t="str">
        <f aca="false">IF(OR($U155="",$L155=0),"",$U155/$L155)</f>
        <v/>
      </c>
      <c r="W155" s="11"/>
      <c r="X155" s="23" t="str">
        <f aca="false">IF($C155="","",IF(AND($H155="",N($I155)=0,N($K155)=0),"Dòng chỉ lưu thông tin khách (chưa có đơn); ",IF($B155="","Thiếu ngày đặt; ","")&amp;IF($H155="","Thiếu tên sản phẩm; ",IF($J155="","Chưa khai GIÁ GỐC ở BẢNG GIÁ GỐC; ",""))&amp;IF(N($I155)&lt;=0,"Thiếu số lượng; ","")&amp;IF(N($K155)&lt;=0,"Thiếu giá bán; ","")&amp;IF(AND($N155&gt;0,$F155=""),"Khách lấy VAT thiếu mã số thuế; ","")&amp;IF(N($Q155)&gt;$P155,"Đã thu vượt tổng phải thu; ","")&amp;IF(AND($L155&gt;0,$U155&lt;&gt;"",$U155&lt;0),"CẢNH BÁO: ĐƠN NÀY ĐANG LỖ; ","")))</f>
        <v/>
      </c>
    </row>
    <row r="156" customFormat="false" ht="15" hidden="false" customHeight="false" outlineLevel="0" collapsed="false">
      <c r="A156" s="21" t="str">
        <f aca="false">IF($C156="","",COUNTA($C$10:$C156))</f>
        <v/>
      </c>
      <c r="B156" s="18"/>
      <c r="C156" s="11"/>
      <c r="D156" s="11"/>
      <c r="E156" s="11"/>
      <c r="F156" s="11"/>
      <c r="G156" s="11"/>
      <c r="H156" s="11"/>
      <c r="I156" s="12"/>
      <c r="J156" s="13" t="str">
        <f aca="false">IF($H156="","",IFERROR(VLOOKUP($H156,'BẢNG GIÁ GỐC'!$A$5:$D$254,3,FALSE()),""))</f>
        <v/>
      </c>
      <c r="K156" s="12"/>
      <c r="L156" s="13" t="str">
        <f aca="false">IF($C156="","",N($I156)*N($K156))</f>
        <v/>
      </c>
      <c r="M156" s="11"/>
      <c r="N156" s="14" t="str">
        <f aca="false">IF($C156="","",IF($M156="VAT 5%",0.05,IF($M156="VAT 8%",0.08,IF($M156="VAT 10%",0.1,0))))</f>
        <v/>
      </c>
      <c r="O156" s="13" t="str">
        <f aca="false">IF($C156="","",$L156*$N156)</f>
        <v/>
      </c>
      <c r="P156" s="13" t="str">
        <f aca="false">IF($C156="","",$L156+$O156)</f>
        <v/>
      </c>
      <c r="Q156" s="12"/>
      <c r="R156" s="13" t="str">
        <f aca="false">IF($C156="","",MAX(0,$P156-N($Q156)))</f>
        <v/>
      </c>
      <c r="S156" s="23" t="str">
        <f aca="false">IF(OR($C156="",$P156=0),"",IF(N($Q156)&lt;=0,"Chưa thanh toán",IF(N($Q156)&lt;$P156,"Thanh toán một phần","Đã thanh toán")))</f>
        <v/>
      </c>
      <c r="T156" s="13" t="str">
        <f aca="false">IF(OR($C156="",$J156=""),"",N($I156)*$J156)</f>
        <v/>
      </c>
      <c r="U156" s="13" t="str">
        <f aca="false">IF(OR($C156="",$T156=""),"",$L156-$T156)</f>
        <v/>
      </c>
      <c r="V156" s="14" t="str">
        <f aca="false">IF(OR($U156="",$L156=0),"",$U156/$L156)</f>
        <v/>
      </c>
      <c r="W156" s="11"/>
      <c r="X156" s="23" t="str">
        <f aca="false">IF($C156="","",IF(AND($H156="",N($I156)=0,N($K156)=0),"Dòng chỉ lưu thông tin khách (chưa có đơn); ",IF($B156="","Thiếu ngày đặt; ","")&amp;IF($H156="","Thiếu tên sản phẩm; ",IF($J156="","Chưa khai GIÁ GỐC ở BẢNG GIÁ GỐC; ",""))&amp;IF(N($I156)&lt;=0,"Thiếu số lượng; ","")&amp;IF(N($K156)&lt;=0,"Thiếu giá bán; ","")&amp;IF(AND($N156&gt;0,$F156=""),"Khách lấy VAT thiếu mã số thuế; ","")&amp;IF(N($Q156)&gt;$P156,"Đã thu vượt tổng phải thu; ","")&amp;IF(AND($L156&gt;0,$U156&lt;&gt;"",$U156&lt;0),"CẢNH BÁO: ĐƠN NÀY ĐANG LỖ; ","")))</f>
        <v/>
      </c>
    </row>
    <row r="157" customFormat="false" ht="15" hidden="false" customHeight="false" outlineLevel="0" collapsed="false">
      <c r="A157" s="21" t="str">
        <f aca="false">IF($C157="","",COUNTA($C$10:$C157))</f>
        <v/>
      </c>
      <c r="B157" s="18"/>
      <c r="C157" s="11"/>
      <c r="D157" s="11"/>
      <c r="E157" s="11"/>
      <c r="F157" s="11"/>
      <c r="G157" s="11"/>
      <c r="H157" s="11"/>
      <c r="I157" s="12"/>
      <c r="J157" s="13" t="str">
        <f aca="false">IF($H157="","",IFERROR(VLOOKUP($H157,'BẢNG GIÁ GỐC'!$A$5:$D$254,3,FALSE()),""))</f>
        <v/>
      </c>
      <c r="K157" s="12"/>
      <c r="L157" s="13" t="str">
        <f aca="false">IF($C157="","",N($I157)*N($K157))</f>
        <v/>
      </c>
      <c r="M157" s="11"/>
      <c r="N157" s="14" t="str">
        <f aca="false">IF($C157="","",IF($M157="VAT 5%",0.05,IF($M157="VAT 8%",0.08,IF($M157="VAT 10%",0.1,0))))</f>
        <v/>
      </c>
      <c r="O157" s="13" t="str">
        <f aca="false">IF($C157="","",$L157*$N157)</f>
        <v/>
      </c>
      <c r="P157" s="13" t="str">
        <f aca="false">IF($C157="","",$L157+$O157)</f>
        <v/>
      </c>
      <c r="Q157" s="12"/>
      <c r="R157" s="13" t="str">
        <f aca="false">IF($C157="","",MAX(0,$P157-N($Q157)))</f>
        <v/>
      </c>
      <c r="S157" s="23" t="str">
        <f aca="false">IF(OR($C157="",$P157=0),"",IF(N($Q157)&lt;=0,"Chưa thanh toán",IF(N($Q157)&lt;$P157,"Thanh toán một phần","Đã thanh toán")))</f>
        <v/>
      </c>
      <c r="T157" s="13" t="str">
        <f aca="false">IF(OR($C157="",$J157=""),"",N($I157)*$J157)</f>
        <v/>
      </c>
      <c r="U157" s="13" t="str">
        <f aca="false">IF(OR($C157="",$T157=""),"",$L157-$T157)</f>
        <v/>
      </c>
      <c r="V157" s="14" t="str">
        <f aca="false">IF(OR($U157="",$L157=0),"",$U157/$L157)</f>
        <v/>
      </c>
      <c r="W157" s="11"/>
      <c r="X157" s="23" t="str">
        <f aca="false">IF($C157="","",IF(AND($H157="",N($I157)=0,N($K157)=0),"Dòng chỉ lưu thông tin khách (chưa có đơn); ",IF($B157="","Thiếu ngày đặt; ","")&amp;IF($H157="","Thiếu tên sản phẩm; ",IF($J157="","Chưa khai GIÁ GỐC ở BẢNG GIÁ GỐC; ",""))&amp;IF(N($I157)&lt;=0,"Thiếu số lượng; ","")&amp;IF(N($K157)&lt;=0,"Thiếu giá bán; ","")&amp;IF(AND($N157&gt;0,$F157=""),"Khách lấy VAT thiếu mã số thuế; ","")&amp;IF(N($Q157)&gt;$P157,"Đã thu vượt tổng phải thu; ","")&amp;IF(AND($L157&gt;0,$U157&lt;&gt;"",$U157&lt;0),"CẢNH BÁO: ĐƠN NÀY ĐANG LỖ; ","")))</f>
        <v/>
      </c>
    </row>
    <row r="158" customFormat="false" ht="15" hidden="false" customHeight="false" outlineLevel="0" collapsed="false">
      <c r="A158" s="21" t="str">
        <f aca="false">IF($C158="","",COUNTA($C$10:$C158))</f>
        <v/>
      </c>
      <c r="B158" s="18"/>
      <c r="C158" s="11"/>
      <c r="D158" s="11"/>
      <c r="E158" s="11"/>
      <c r="F158" s="11"/>
      <c r="G158" s="11"/>
      <c r="H158" s="11"/>
      <c r="I158" s="12"/>
      <c r="J158" s="13" t="str">
        <f aca="false">IF($H158="","",IFERROR(VLOOKUP($H158,'BẢNG GIÁ GỐC'!$A$5:$D$254,3,FALSE()),""))</f>
        <v/>
      </c>
      <c r="K158" s="12"/>
      <c r="L158" s="13" t="str">
        <f aca="false">IF($C158="","",N($I158)*N($K158))</f>
        <v/>
      </c>
      <c r="M158" s="11"/>
      <c r="N158" s="14" t="str">
        <f aca="false">IF($C158="","",IF($M158="VAT 5%",0.05,IF($M158="VAT 8%",0.08,IF($M158="VAT 10%",0.1,0))))</f>
        <v/>
      </c>
      <c r="O158" s="13" t="str">
        <f aca="false">IF($C158="","",$L158*$N158)</f>
        <v/>
      </c>
      <c r="P158" s="13" t="str">
        <f aca="false">IF($C158="","",$L158+$O158)</f>
        <v/>
      </c>
      <c r="Q158" s="12"/>
      <c r="R158" s="13" t="str">
        <f aca="false">IF($C158="","",MAX(0,$P158-N($Q158)))</f>
        <v/>
      </c>
      <c r="S158" s="23" t="str">
        <f aca="false">IF(OR($C158="",$P158=0),"",IF(N($Q158)&lt;=0,"Chưa thanh toán",IF(N($Q158)&lt;$P158,"Thanh toán một phần","Đã thanh toán")))</f>
        <v/>
      </c>
      <c r="T158" s="13" t="str">
        <f aca="false">IF(OR($C158="",$J158=""),"",N($I158)*$J158)</f>
        <v/>
      </c>
      <c r="U158" s="13" t="str">
        <f aca="false">IF(OR($C158="",$T158=""),"",$L158-$T158)</f>
        <v/>
      </c>
      <c r="V158" s="14" t="str">
        <f aca="false">IF(OR($U158="",$L158=0),"",$U158/$L158)</f>
        <v/>
      </c>
      <c r="W158" s="11"/>
      <c r="X158" s="23" t="str">
        <f aca="false">IF($C158="","",IF(AND($H158="",N($I158)=0,N($K158)=0),"Dòng chỉ lưu thông tin khách (chưa có đơn); ",IF($B158="","Thiếu ngày đặt; ","")&amp;IF($H158="","Thiếu tên sản phẩm; ",IF($J158="","Chưa khai GIÁ GỐC ở BẢNG GIÁ GỐC; ",""))&amp;IF(N($I158)&lt;=0,"Thiếu số lượng; ","")&amp;IF(N($K158)&lt;=0,"Thiếu giá bán; ","")&amp;IF(AND($N158&gt;0,$F158=""),"Khách lấy VAT thiếu mã số thuế; ","")&amp;IF(N($Q158)&gt;$P158,"Đã thu vượt tổng phải thu; ","")&amp;IF(AND($L158&gt;0,$U158&lt;&gt;"",$U158&lt;0),"CẢNH BÁO: ĐƠN NÀY ĐANG LỖ; ","")))</f>
        <v/>
      </c>
    </row>
    <row r="159" customFormat="false" ht="15" hidden="false" customHeight="false" outlineLevel="0" collapsed="false">
      <c r="A159" s="21" t="str">
        <f aca="false">IF($C159="","",COUNTA($C$10:$C159))</f>
        <v/>
      </c>
      <c r="B159" s="18"/>
      <c r="C159" s="11"/>
      <c r="D159" s="11"/>
      <c r="E159" s="11"/>
      <c r="F159" s="11"/>
      <c r="G159" s="11"/>
      <c r="H159" s="11"/>
      <c r="I159" s="12"/>
      <c r="J159" s="13" t="str">
        <f aca="false">IF($H159="","",IFERROR(VLOOKUP($H159,'BẢNG GIÁ GỐC'!$A$5:$D$254,3,FALSE()),""))</f>
        <v/>
      </c>
      <c r="K159" s="12"/>
      <c r="L159" s="13" t="str">
        <f aca="false">IF($C159="","",N($I159)*N($K159))</f>
        <v/>
      </c>
      <c r="M159" s="11"/>
      <c r="N159" s="14" t="str">
        <f aca="false">IF($C159="","",IF($M159="VAT 5%",0.05,IF($M159="VAT 8%",0.08,IF($M159="VAT 10%",0.1,0))))</f>
        <v/>
      </c>
      <c r="O159" s="13" t="str">
        <f aca="false">IF($C159="","",$L159*$N159)</f>
        <v/>
      </c>
      <c r="P159" s="13" t="str">
        <f aca="false">IF($C159="","",$L159+$O159)</f>
        <v/>
      </c>
      <c r="Q159" s="12"/>
      <c r="R159" s="13" t="str">
        <f aca="false">IF($C159="","",MAX(0,$P159-N($Q159)))</f>
        <v/>
      </c>
      <c r="S159" s="23" t="str">
        <f aca="false">IF(OR($C159="",$P159=0),"",IF(N($Q159)&lt;=0,"Chưa thanh toán",IF(N($Q159)&lt;$P159,"Thanh toán một phần","Đã thanh toán")))</f>
        <v/>
      </c>
      <c r="T159" s="13" t="str">
        <f aca="false">IF(OR($C159="",$J159=""),"",N($I159)*$J159)</f>
        <v/>
      </c>
      <c r="U159" s="13" t="str">
        <f aca="false">IF(OR($C159="",$T159=""),"",$L159-$T159)</f>
        <v/>
      </c>
      <c r="V159" s="14" t="str">
        <f aca="false">IF(OR($U159="",$L159=0),"",$U159/$L159)</f>
        <v/>
      </c>
      <c r="W159" s="11"/>
      <c r="X159" s="23" t="str">
        <f aca="false">IF($C159="","",IF(AND($H159="",N($I159)=0,N($K159)=0),"Dòng chỉ lưu thông tin khách (chưa có đơn); ",IF($B159="","Thiếu ngày đặt; ","")&amp;IF($H159="","Thiếu tên sản phẩm; ",IF($J159="","Chưa khai GIÁ GỐC ở BẢNG GIÁ GỐC; ",""))&amp;IF(N($I159)&lt;=0,"Thiếu số lượng; ","")&amp;IF(N($K159)&lt;=0,"Thiếu giá bán; ","")&amp;IF(AND($N159&gt;0,$F159=""),"Khách lấy VAT thiếu mã số thuế; ","")&amp;IF(N($Q159)&gt;$P159,"Đã thu vượt tổng phải thu; ","")&amp;IF(AND($L159&gt;0,$U159&lt;&gt;"",$U159&lt;0),"CẢNH BÁO: ĐƠN NÀY ĐANG LỖ; ","")))</f>
        <v/>
      </c>
    </row>
  </sheetData>
  <autoFilter ref="A9:X159"/>
  <mergeCells count="35">
    <mergeCell ref="A1:X1"/>
    <mergeCell ref="A2:X2"/>
    <mergeCell ref="A3:C3"/>
    <mergeCell ref="D3:E3"/>
    <mergeCell ref="F3:H3"/>
    <mergeCell ref="I3:K3"/>
    <mergeCell ref="L3:O3"/>
    <mergeCell ref="P3:R3"/>
    <mergeCell ref="Z3:AD3"/>
    <mergeCell ref="A4:C4"/>
    <mergeCell ref="D4:E4"/>
    <mergeCell ref="F4:H4"/>
    <mergeCell ref="I4:K4"/>
    <mergeCell ref="L4:O4"/>
    <mergeCell ref="P4:R4"/>
    <mergeCell ref="A5:C5"/>
    <mergeCell ref="D5:E5"/>
    <mergeCell ref="F5:H5"/>
    <mergeCell ref="I5:K5"/>
    <mergeCell ref="L5:O5"/>
    <mergeCell ref="P5:R5"/>
    <mergeCell ref="A6:C6"/>
    <mergeCell ref="D6:E6"/>
    <mergeCell ref="F6:H6"/>
    <mergeCell ref="I6:K6"/>
    <mergeCell ref="L6:O6"/>
    <mergeCell ref="P6:R6"/>
    <mergeCell ref="A7:C7"/>
    <mergeCell ref="D7:E7"/>
    <mergeCell ref="F7:H7"/>
    <mergeCell ref="I7:K7"/>
    <mergeCell ref="L7:O7"/>
    <mergeCell ref="P7:R7"/>
    <mergeCell ref="A8:X8"/>
    <mergeCell ref="Z25:AB25"/>
  </mergeCells>
  <conditionalFormatting sqref="R10:R159">
    <cfRule type="cellIs" priority="2" operator="greaterThan" aboveAverage="0" equalAverage="0" bottom="0" percent="0" rank="0" text="" dxfId="8">
      <formula>0</formula>
    </cfRule>
  </conditionalFormatting>
  <conditionalFormatting sqref="U10:U159">
    <cfRule type="cellIs" priority="3" operator="lessThan" aboveAverage="0" equalAverage="0" bottom="0" percent="0" rank="0" text="" dxfId="8">
      <formula>0</formula>
    </cfRule>
  </conditionalFormatting>
  <conditionalFormatting sqref="X10:X159">
    <cfRule type="expression" priority="4" aboveAverage="0" equalAverage="0" bottom="0" percent="0" rank="0" text="" dxfId="13">
      <formula>LEN($X10)&gt;0</formula>
    </cfRule>
  </conditionalFormatting>
  <conditionalFormatting sqref="S10:S159">
    <cfRule type="expression" priority="5" aboveAverage="0" equalAverage="0" bottom="0" percent="0" rank="0" text="" dxfId="14">
      <formula>$S10="Đã thanh toán"</formula>
    </cfRule>
  </conditionalFormatting>
  <dataValidations count="5">
    <dataValidation allowBlank="true" error="Chỉ nhập số, không nhập chữ và không nhập số âm." errorStyle="stop" errorTitle="Số không hợp lệ" operator="greaterThanOrEqual" showDropDown="false" showErrorMessage="false" showInputMessage="false" sqref="AC5:AC24 I10:I159 K10:K159 Q10:Q159" type="decimal">
      <formula1>0</formula1>
      <formula2>0</formula2>
    </dataValidation>
    <dataValidation allowBlank="true" error="Hãy chọn sản phẩm có trong sheet BẢNG GIÁ GỐC, hoặc thêm sản phẩm đó vào BẢNG GIÁ GỐC trước." errorStyle="stop" errorTitle="Sản phẩm chưa có trong bảng giá" operator="between" showDropDown="false" showErrorMessage="false" showInputMessage="false" sqref="H10:H159" type="list">
      <formula1>DS_SANPHAM</formula1>
      <formula2>0</formula2>
    </dataValidation>
    <dataValidation allowBlank="true" errorStyle="stop" operator="between" showDropDown="false" showErrorMessage="false" showInputMessage="false" sqref="M10:M159" type="list">
      <formula1>"Không lấy VAT,VAT 5%,VAT 8%,VAT 10%"</formula1>
      <formula2>0</formula2>
    </dataValidation>
    <dataValidation allowBlank="true" errorStyle="stop" operator="between" showDropDown="false" showErrorMessage="false" showInputMessage="false" sqref="AA5:AA24" type="list">
      <formula1>"Tiền ship,Nguyên vật liệu,Nhân công,Quảng cáo,Thuê kho bãi,Điện nước,Đổi trả - bồi thường,Chi phí khác"</formula1>
      <formula2>0</formula2>
    </dataValidation>
    <dataValidation allowBlank="true" errorStyle="stop" operator="between" showDropDown="false" showErrorMessage="false" showInputMessage="false" sqref="Z5:Z24 B10:B159" type="date">
      <formula1>DATE(2020,1,1)</formula1>
      <formula2>DATE(2100,12,31)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Z10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27" t="s">
        <v>420</v>
      </c>
    </row>
    <row r="2" customFormat="false" ht="15" hidden="false" customHeight="false" outlineLevel="0" collapsed="false">
      <c r="A2" s="28" t="s">
        <v>421</v>
      </c>
      <c r="B2" s="28" t="s">
        <v>139</v>
      </c>
      <c r="C2" s="28" t="s">
        <v>140</v>
      </c>
      <c r="D2" s="28" t="s">
        <v>141</v>
      </c>
      <c r="E2" s="28" t="s">
        <v>422</v>
      </c>
      <c r="F2" s="28" t="s">
        <v>143</v>
      </c>
      <c r="G2" s="28" t="s">
        <v>423</v>
      </c>
      <c r="H2" s="28" t="s">
        <v>59</v>
      </c>
      <c r="I2" s="28" t="s">
        <v>145</v>
      </c>
      <c r="J2" s="28" t="s">
        <v>32</v>
      </c>
      <c r="K2" s="28" t="s">
        <v>149</v>
      </c>
      <c r="L2" s="28" t="s">
        <v>34</v>
      </c>
      <c r="M2" s="28" t="s">
        <v>36</v>
      </c>
      <c r="N2" s="28" t="s">
        <v>424</v>
      </c>
      <c r="O2" s="28" t="s">
        <v>38</v>
      </c>
      <c r="P2" s="28" t="s">
        <v>425</v>
      </c>
      <c r="Q2" s="28" t="s">
        <v>426</v>
      </c>
      <c r="R2" s="28" t="s">
        <v>65</v>
      </c>
      <c r="S2" s="28" t="s">
        <v>153</v>
      </c>
      <c r="T2" s="28" t="s">
        <v>427</v>
      </c>
      <c r="U2" s="28" t="s">
        <v>428</v>
      </c>
      <c r="V2" s="28" t="s">
        <v>429</v>
      </c>
      <c r="W2" s="28" t="s">
        <v>430</v>
      </c>
      <c r="X2" s="28" t="s">
        <v>431</v>
      </c>
      <c r="Y2" s="28" t="s">
        <v>432</v>
      </c>
      <c r="Z2" s="28" t="s">
        <v>433</v>
      </c>
    </row>
    <row r="3" customFormat="false" ht="15" hidden="false" customHeight="false" outlineLevel="0" collapsed="false">
      <c r="A3" s="0" t="n">
        <v>6</v>
      </c>
      <c r="B3" s="29" t="n">
        <f aca="false">IF(OR('THÁNG 6'!$C10="",'THÁNG 6'!$B10=""),"",'THÁNG 6'!$B10)</f>
        <v>46176</v>
      </c>
      <c r="C3" s="0" t="str">
        <f aca="false">IF('THÁNG 6'!$C10="","",'THÁNG 6'!$C10)</f>
        <v>Nguyễn Văn An</v>
      </c>
      <c r="D3" s="0" t="str">
        <f aca="false">IF('THÁNG 6'!$C10="","",'THÁNG 6'!$D10&amp;"")</f>
        <v>0901234567</v>
      </c>
      <c r="E3" s="0" t="str">
        <f aca="false">IF('THÁNG 6'!$C10="","",'THÁNG 6'!$E10&amp;"")</f>
        <v>Công ty TNHH Thương Mại ABC</v>
      </c>
      <c r="F3" s="0" t="str">
        <f aca="false">IF('THÁNG 6'!$C10="","",'THÁNG 6'!$F10&amp;"")</f>
        <v>0312345678</v>
      </c>
      <c r="G3" s="0" t="str">
        <f aca="false">IF('THÁNG 6'!$C10="","",'THÁNG 6'!$G10&amp;"")</f>
        <v>12 Nguyễn Trãi, Thanh Xuân, Hà Nội</v>
      </c>
      <c r="H3" s="0" t="str">
        <f aca="false">IF('THÁNG 6'!$C10="","",'THÁNG 6'!$H10&amp;"")</f>
        <v>Bình giữ nhiệt in logo</v>
      </c>
      <c r="I3" s="30" t="n">
        <f aca="false">IF('THÁNG 6'!$C10="","",N('THÁNG 6'!$I10))</f>
        <v>100</v>
      </c>
      <c r="J3" s="30" t="n">
        <f aca="false">IF('THÁNG 6'!$C10="","",N('THÁNG 6'!$L10))</f>
        <v>8500000</v>
      </c>
      <c r="K3" s="30" t="n">
        <f aca="false">IF('THÁNG 6'!$C10="","",N('THÁNG 6'!$N10))</f>
        <v>0</v>
      </c>
      <c r="L3" s="30" t="n">
        <f aca="false">IF('THÁNG 6'!$C10="","",N('THÁNG 6'!$O10))</f>
        <v>0</v>
      </c>
      <c r="M3" s="30" t="n">
        <f aca="false">IF('THÁNG 6'!$C10="","",N('THÁNG 6'!$P10))</f>
        <v>8500000</v>
      </c>
      <c r="N3" s="30" t="n">
        <f aca="false">IF('THÁNG 6'!$C10="","",N('THÁNG 6'!$Q10))</f>
        <v>8500000</v>
      </c>
      <c r="O3" s="30" t="n">
        <f aca="false">IF('THÁNG 6'!$C10="","",N('THÁNG 6'!$R10))</f>
        <v>0</v>
      </c>
      <c r="P3" s="0" t="str">
        <f aca="false">IF(OR('THÁNG 6'!$C10="",'THÁNG 6'!$T10=""),"",'THÁNG 6'!$T10)</f>
        <v/>
      </c>
      <c r="Q3" s="0" t="str">
        <f aca="false">IF(OR('THÁNG 6'!$C10="",'THÁNG 6'!$U10=""),"",'THÁNG 6'!$U10)</f>
        <v/>
      </c>
      <c r="R3" s="0" t="str">
        <f aca="false">IF('THÁNG 6'!$C10="","",'THÁNG 6'!$W10&amp;"")</f>
        <v>Giao đợt 1 (VÍ DỤ MẪU) | chuyển từ Tháng 6 dòng 10</v>
      </c>
      <c r="S3" s="0" t="str">
        <f aca="false">IF('THÁNG 6'!$C10="","",'THÁNG 6'!$S10&amp;"")</f>
        <v>Đã thanh toán</v>
      </c>
      <c r="T3" s="0" t="str">
        <f aca="false">IF(N($O3)&gt;0,COUNTIF($O$3:$O3,"&gt;0"),"")</f>
        <v/>
      </c>
      <c r="U3" s="0" t="str">
        <f aca="false">IF(AND(N($J3)&gt;0,N($K3)&gt;0),COUNTIFS($J$3:$J3,"&gt;0",$K$3:$K3,"&gt;0"),"")</f>
        <v/>
      </c>
      <c r="V3" s="30" t="n">
        <f aca="false">IF(AND(N($J3)&gt;0,N($K3)=0),COUNTIFS($J$3:$J3,"&gt;0",$K$3:$K3,"&lt;=0"),"")</f>
        <v>1</v>
      </c>
      <c r="W3" s="30" t="n">
        <f aca="false">IF($C3="","",IF(COUNTIF($C$3:$C3,$C3)&gt;1,"",MAX($W$2:W2)+1))</f>
        <v>1</v>
      </c>
      <c r="X3" s="30" t="n">
        <f aca="false">IF($H3="","",IF(COUNTIF($H$3:$H3,$H3)&gt;1,"",MAX($X$2:X2)+1))</f>
        <v>1</v>
      </c>
      <c r="Y3" s="30" t="n">
        <f aca="false">IF(AND(N($M3)&gt;0,N($O3)&lt;=0),COUNTIFS($M$3:$M3,"&gt;0",$O$3:$O3,"&lt;=0"),"")</f>
        <v>1</v>
      </c>
      <c r="Z3" s="29" t="n">
        <f aca="false">IF(OR('THÁNG 6'!$C10="",'THÁNG 6'!$B10=""),0,'THÁNG 6'!$B10)</f>
        <v>46176</v>
      </c>
    </row>
    <row r="4" customFormat="false" ht="15" hidden="false" customHeight="false" outlineLevel="0" collapsed="false">
      <c r="A4" s="0" t="n">
        <v>6</v>
      </c>
      <c r="B4" s="29" t="n">
        <f aca="false">IF(OR('THÁNG 6'!$C11="",'THÁNG 6'!$B11=""),"",'THÁNG 6'!$B11)</f>
        <v>46183</v>
      </c>
      <c r="C4" s="0" t="str">
        <f aca="false">IF('THÁNG 6'!$C11="","",'THÁNG 6'!$C11)</f>
        <v>Trần Thị Bích</v>
      </c>
      <c r="D4" s="0" t="str">
        <f aca="false">IF('THÁNG 6'!$C11="","",'THÁNG 6'!$D11&amp;"")</f>
        <v>0987654321</v>
      </c>
      <c r="E4" s="0" t="str">
        <f aca="false">IF('THÁNG 6'!$C11="","",'THÁNG 6'!$E11&amp;"")</f>
        <v>Công ty CP Đầu Tư XYZ</v>
      </c>
      <c r="F4" s="0" t="str">
        <f aca="false">IF('THÁNG 6'!$C11="","",'THÁNG 6'!$F11&amp;"")</f>
        <v>0109876543</v>
      </c>
      <c r="G4" s="0" t="str">
        <f aca="false">IF('THÁNG 6'!$C11="","",'THÁNG 6'!$G11&amp;"")</f>
        <v>45 Lê Lợi, Quận 1, TP.HCM</v>
      </c>
      <c r="H4" s="0" t="str">
        <f aca="false">IF('THÁNG 6'!$C11="","",'THÁNG 6'!$H11&amp;"")</f>
        <v>Sổ tay da in logo</v>
      </c>
      <c r="I4" s="30" t="n">
        <f aca="false">IF('THÁNG 6'!$C11="","",N('THÁNG 6'!$I11))</f>
        <v>50</v>
      </c>
      <c r="J4" s="30" t="n">
        <f aca="false">IF('THÁNG 6'!$C11="","",N('THÁNG 6'!$L11))</f>
        <v>6000000</v>
      </c>
      <c r="K4" s="30" t="n">
        <f aca="false">IF('THÁNG 6'!$C11="","",N('THÁNG 6'!$N11))</f>
        <v>0</v>
      </c>
      <c r="L4" s="30" t="n">
        <f aca="false">IF('THÁNG 6'!$C11="","",N('THÁNG 6'!$O11))</f>
        <v>0</v>
      </c>
      <c r="M4" s="30" t="n">
        <f aca="false">IF('THÁNG 6'!$C11="","",N('THÁNG 6'!$P11))</f>
        <v>6000000</v>
      </c>
      <c r="N4" s="30" t="n">
        <f aca="false">IF('THÁNG 6'!$C11="","",N('THÁNG 6'!$Q11))</f>
        <v>0</v>
      </c>
      <c r="O4" s="30" t="n">
        <f aca="false">IF('THÁNG 6'!$C11="","",N('THÁNG 6'!$R11))</f>
        <v>6000000</v>
      </c>
      <c r="P4" s="0" t="str">
        <f aca="false">IF(OR('THÁNG 6'!$C11="",'THÁNG 6'!$T11=""),"",'THÁNG 6'!$T11)</f>
        <v/>
      </c>
      <c r="Q4" s="0" t="str">
        <f aca="false">IF(OR('THÁNG 6'!$C11="",'THÁNG 6'!$U11=""),"",'THÁNG 6'!$U11)</f>
        <v/>
      </c>
      <c r="R4" s="0" t="str">
        <f aca="false">IF('THÁNG 6'!$C11="","",'THÁNG 6'!$W11&amp;"")</f>
        <v>(VÍ DỤ MẪU) | chuyển từ Tháng 6 dòng 92</v>
      </c>
      <c r="S4" s="0" t="str">
        <f aca="false">IF('THÁNG 6'!$C11="","",'THÁNG 6'!$S11&amp;"")</f>
        <v>Chưa thanh toán</v>
      </c>
      <c r="T4" s="30" t="n">
        <f aca="false">IF(N($O4)&gt;0,COUNTIF($O$3:$O4,"&gt;0"),"")</f>
        <v>1</v>
      </c>
      <c r="U4" s="0" t="str">
        <f aca="false">IF(AND(N($J4)&gt;0,N($K4)&gt;0),COUNTIFS($J$3:$J4,"&gt;0",$K$3:$K4,"&gt;0"),"")</f>
        <v/>
      </c>
      <c r="V4" s="30" t="n">
        <f aca="false">IF(AND(N($J4)&gt;0,N($K4)=0),COUNTIFS($J$3:$J4,"&gt;0",$K$3:$K4,"&lt;=0"),"")</f>
        <v>2</v>
      </c>
      <c r="W4" s="30" t="n">
        <f aca="false">IF($C4="","",IF(COUNTIF($C$3:$C4,$C4)&gt;1,"",MAX($W$2:W3)+1))</f>
        <v>2</v>
      </c>
      <c r="X4" s="30" t="n">
        <f aca="false">IF($H4="","",IF(COUNTIF($H$3:$H4,$H4)&gt;1,"",MAX($X$2:X3)+1))</f>
        <v>2</v>
      </c>
      <c r="Y4" s="0" t="str">
        <f aca="false">IF(AND(N($M4)&gt;0,N($O4)&lt;=0),COUNTIFS($M$3:$M4,"&gt;0",$O$3:$O4,"&lt;=0"),"")</f>
        <v/>
      </c>
      <c r="Z4" s="29" t="n">
        <f aca="false">IF(OR('THÁNG 6'!$C11="",'THÁNG 6'!$B11=""),0,'THÁNG 6'!$B11)</f>
        <v>46183</v>
      </c>
    </row>
    <row r="5" customFormat="false" ht="15" hidden="false" customHeight="false" outlineLevel="0" collapsed="false">
      <c r="A5" s="0" t="n">
        <v>6</v>
      </c>
      <c r="B5" s="29" t="n">
        <f aca="false">IF(OR('THÁNG 6'!$C12="",'THÁNG 6'!$B12=""),"",'THÁNG 6'!$B12)</f>
        <v>46188</v>
      </c>
      <c r="C5" s="0" t="str">
        <f aca="false">IF('THÁNG 6'!$C12="","",'THÁNG 6'!$C12)</f>
        <v>Lê Minh Cường</v>
      </c>
      <c r="D5" s="0" t="str">
        <f aca="false">IF('THÁNG 6'!$C12="","",'THÁNG 6'!$D12&amp;"")</f>
        <v>0912345678</v>
      </c>
      <c r="E5" s="0" t="str">
        <f aca="false">IF('THÁNG 6'!$C12="","",'THÁNG 6'!$E12&amp;"")</f>
        <v>Công ty TNHH DEF</v>
      </c>
      <c r="F5" s="0" t="str">
        <f aca="false">IF('THÁNG 6'!$C12="","",'THÁNG 6'!$F12&amp;"")</f>
        <v>0301122334</v>
      </c>
      <c r="G5" s="0" t="str">
        <f aca="false">IF('THÁNG 6'!$C12="","",'THÁNG 6'!$G12&amp;"")</f>
        <v>88 Trần Phú, Hải Châu, Đà Nẵng</v>
      </c>
      <c r="H5" s="0" t="str">
        <f aca="false">IF('THÁNG 6'!$C12="","",'THÁNG 6'!$H12&amp;"")</f>
        <v>Bút ký khắc tên</v>
      </c>
      <c r="I5" s="30" t="n">
        <f aca="false">IF('THÁNG 6'!$C12="","",N('THÁNG 6'!$I12))</f>
        <v>200</v>
      </c>
      <c r="J5" s="30" t="n">
        <f aca="false">IF('THÁNG 6'!$C12="","",N('THÁNG 6'!$L12))</f>
        <v>7000000</v>
      </c>
      <c r="K5" s="30" t="n">
        <f aca="false">IF('THÁNG 6'!$C12="","",N('THÁNG 6'!$N12))</f>
        <v>0</v>
      </c>
      <c r="L5" s="30" t="n">
        <f aca="false">IF('THÁNG 6'!$C12="","",N('THÁNG 6'!$O12))</f>
        <v>0</v>
      </c>
      <c r="M5" s="30" t="n">
        <f aca="false">IF('THÁNG 6'!$C12="","",N('THÁNG 6'!$P12))</f>
        <v>7000000</v>
      </c>
      <c r="N5" s="30" t="n">
        <f aca="false">IF('THÁNG 6'!$C12="","",N('THÁNG 6'!$Q12))</f>
        <v>7000000</v>
      </c>
      <c r="O5" s="30" t="n">
        <f aca="false">IF('THÁNG 6'!$C12="","",N('THÁNG 6'!$R12))</f>
        <v>0</v>
      </c>
      <c r="P5" s="0" t="str">
        <f aca="false">IF(OR('THÁNG 6'!$C12="",'THÁNG 6'!$T12=""),"",'THÁNG 6'!$T12)</f>
        <v/>
      </c>
      <c r="Q5" s="0" t="str">
        <f aca="false">IF(OR('THÁNG 6'!$C12="",'THÁNG 6'!$U12=""),"",'THÁNG 6'!$U12)</f>
        <v/>
      </c>
      <c r="R5" s="0" t="str">
        <f aca="false">IF('THÁNG 6'!$C12="","",'THÁNG 6'!$W12&amp;"")</f>
        <v>Khách quen (VÍ DỤ MẪU) | chuyển từ Tháng 6 dòng 174</v>
      </c>
      <c r="S5" s="0" t="str">
        <f aca="false">IF('THÁNG 6'!$C12="","",'THÁNG 6'!$S12&amp;"")</f>
        <v>Đã thanh toán</v>
      </c>
      <c r="T5" s="0" t="str">
        <f aca="false">IF(N($O5)&gt;0,COUNTIF($O$3:$O5,"&gt;0"),"")</f>
        <v/>
      </c>
      <c r="U5" s="0" t="str">
        <f aca="false">IF(AND(N($J5)&gt;0,N($K5)&gt;0),COUNTIFS($J$3:$J5,"&gt;0",$K$3:$K5,"&gt;0"),"")</f>
        <v/>
      </c>
      <c r="V5" s="30" t="n">
        <f aca="false">IF(AND(N($J5)&gt;0,N($K5)=0),COUNTIFS($J$3:$J5,"&gt;0",$K$3:$K5,"&lt;=0"),"")</f>
        <v>3</v>
      </c>
      <c r="W5" s="30" t="n">
        <f aca="false">IF($C5="","",IF(COUNTIF($C$3:$C5,$C5)&gt;1,"",MAX($W$2:W4)+1))</f>
        <v>3</v>
      </c>
      <c r="X5" s="30" t="n">
        <f aca="false">IF($H5="","",IF(COUNTIF($H$3:$H5,$H5)&gt;1,"",MAX($X$2:X4)+1))</f>
        <v>3</v>
      </c>
      <c r="Y5" s="30" t="n">
        <f aca="false">IF(AND(N($M5)&gt;0,N($O5)&lt;=0),COUNTIFS($M$3:$M5,"&gt;0",$O$3:$O5,"&lt;=0"),"")</f>
        <v>2</v>
      </c>
      <c r="Z5" s="29" t="n">
        <f aca="false">IF(OR('THÁNG 6'!$C12="",'THÁNG 6'!$B12=""),0,'THÁNG 6'!$B12)</f>
        <v>46188</v>
      </c>
    </row>
    <row r="6" customFormat="false" ht="15" hidden="false" customHeight="false" outlineLevel="0" collapsed="false">
      <c r="A6" s="0" t="n">
        <v>6</v>
      </c>
      <c r="B6" s="29" t="str">
        <f aca="false">IF(OR('THÁNG 6'!$C13="",'THÁNG 6'!$B13=""),"",'THÁNG 6'!$B13)</f>
        <v/>
      </c>
      <c r="C6" s="0" t="str">
        <f aca="false">IF('THÁNG 6'!$C13="","",'THÁNG 6'!$C13)</f>
        <v/>
      </c>
      <c r="D6" s="0" t="str">
        <f aca="false">IF('THÁNG 6'!$C13="","",'THÁNG 6'!$D13&amp;"")</f>
        <v/>
      </c>
      <c r="E6" s="0" t="str">
        <f aca="false">IF('THÁNG 6'!$C13="","",'THÁNG 6'!$E13&amp;"")</f>
        <v/>
      </c>
      <c r="F6" s="0" t="str">
        <f aca="false">IF('THÁNG 6'!$C13="","",'THÁNG 6'!$F13&amp;"")</f>
        <v/>
      </c>
      <c r="G6" s="0" t="str">
        <f aca="false">IF('THÁNG 6'!$C13="","",'THÁNG 6'!$G13&amp;"")</f>
        <v/>
      </c>
      <c r="H6" s="0" t="str">
        <f aca="false">IF('THÁNG 6'!$C13="","",'THÁNG 6'!$H13&amp;"")</f>
        <v/>
      </c>
      <c r="I6" s="0" t="str">
        <f aca="false">IF('THÁNG 6'!$C13="","",N('THÁNG 6'!$I13))</f>
        <v/>
      </c>
      <c r="J6" s="0" t="str">
        <f aca="false">IF('THÁNG 6'!$C13="","",N('THÁNG 6'!$L13))</f>
        <v/>
      </c>
      <c r="K6" s="0" t="str">
        <f aca="false">IF('THÁNG 6'!$C13="","",N('THÁNG 6'!$N13))</f>
        <v/>
      </c>
      <c r="L6" s="0" t="str">
        <f aca="false">IF('THÁNG 6'!$C13="","",N('THÁNG 6'!$O13))</f>
        <v/>
      </c>
      <c r="M6" s="0" t="str">
        <f aca="false">IF('THÁNG 6'!$C13="","",N('THÁNG 6'!$P13))</f>
        <v/>
      </c>
      <c r="N6" s="0" t="str">
        <f aca="false">IF('THÁNG 6'!$C13="","",N('THÁNG 6'!$Q13))</f>
        <v/>
      </c>
      <c r="O6" s="0" t="str">
        <f aca="false">IF('THÁNG 6'!$C13="","",N('THÁNG 6'!$R13))</f>
        <v/>
      </c>
      <c r="P6" s="0" t="str">
        <f aca="false">IF(OR('THÁNG 6'!$C13="",'THÁNG 6'!$T13=""),"",'THÁNG 6'!$T13)</f>
        <v/>
      </c>
      <c r="Q6" s="0" t="str">
        <f aca="false">IF(OR('THÁNG 6'!$C13="",'THÁNG 6'!$U13=""),"",'THÁNG 6'!$U13)</f>
        <v/>
      </c>
      <c r="R6" s="0" t="str">
        <f aca="false">IF('THÁNG 6'!$C13="","",'THÁNG 6'!$W13&amp;"")</f>
        <v/>
      </c>
      <c r="S6" s="0" t="str">
        <f aca="false">IF('THÁNG 6'!$C13="","",'THÁNG 6'!$S13&amp;"")</f>
        <v/>
      </c>
      <c r="T6" s="0" t="str">
        <f aca="false">IF(N($O6)&gt;0,COUNTIF($O$3:$O6,"&gt;0"),"")</f>
        <v/>
      </c>
      <c r="U6" s="0" t="str">
        <f aca="false">IF(AND(N($J6)&gt;0,N($K6)&gt;0),COUNTIFS($J$3:$J6,"&gt;0",$K$3:$K6,"&gt;0"),"")</f>
        <v/>
      </c>
      <c r="V6" s="0" t="str">
        <f aca="false">IF(AND(N($J6)&gt;0,N($K6)=0),COUNTIFS($J$3:$J6,"&gt;0",$K$3:$K6,"&lt;=0"),"")</f>
        <v/>
      </c>
      <c r="W6" s="0" t="str">
        <f aca="false">IF($C6="","",IF(COUNTIF($C$3:$C6,$C6)&gt;1,"",MAX($W$2:W5)+1))</f>
        <v/>
      </c>
      <c r="X6" s="0" t="str">
        <f aca="false">IF($H6="","",IF(COUNTIF($H$3:$H6,$H6)&gt;1,"",MAX($X$2:X5)+1))</f>
        <v/>
      </c>
      <c r="Y6" s="0" t="str">
        <f aca="false">IF(AND(N($M6)&gt;0,N($O6)&lt;=0),COUNTIFS($M$3:$M6,"&gt;0",$O$3:$O6,"&lt;=0"),"")</f>
        <v/>
      </c>
      <c r="Z6" s="30" t="n">
        <f aca="false">IF(OR('THÁNG 6'!$C13="",'THÁNG 6'!$B13=""),0,'THÁNG 6'!$B13)</f>
        <v>0</v>
      </c>
    </row>
    <row r="7" customFormat="false" ht="15" hidden="false" customHeight="false" outlineLevel="0" collapsed="false">
      <c r="A7" s="0" t="n">
        <v>6</v>
      </c>
      <c r="B7" s="29" t="str">
        <f aca="false">IF(OR('THÁNG 6'!$C14="",'THÁNG 6'!$B14=""),"",'THÁNG 6'!$B14)</f>
        <v/>
      </c>
      <c r="C7" s="0" t="str">
        <f aca="false">IF('THÁNG 6'!$C14="","",'THÁNG 6'!$C14)</f>
        <v/>
      </c>
      <c r="D7" s="0" t="str">
        <f aca="false">IF('THÁNG 6'!$C14="","",'THÁNG 6'!$D14&amp;"")</f>
        <v/>
      </c>
      <c r="E7" s="0" t="str">
        <f aca="false">IF('THÁNG 6'!$C14="","",'THÁNG 6'!$E14&amp;"")</f>
        <v/>
      </c>
      <c r="F7" s="0" t="str">
        <f aca="false">IF('THÁNG 6'!$C14="","",'THÁNG 6'!$F14&amp;"")</f>
        <v/>
      </c>
      <c r="G7" s="0" t="str">
        <f aca="false">IF('THÁNG 6'!$C14="","",'THÁNG 6'!$G14&amp;"")</f>
        <v/>
      </c>
      <c r="H7" s="0" t="str">
        <f aca="false">IF('THÁNG 6'!$C14="","",'THÁNG 6'!$H14&amp;"")</f>
        <v/>
      </c>
      <c r="I7" s="0" t="str">
        <f aca="false">IF('THÁNG 6'!$C14="","",N('THÁNG 6'!$I14))</f>
        <v/>
      </c>
      <c r="J7" s="0" t="str">
        <f aca="false">IF('THÁNG 6'!$C14="","",N('THÁNG 6'!$L14))</f>
        <v/>
      </c>
      <c r="K7" s="0" t="str">
        <f aca="false">IF('THÁNG 6'!$C14="","",N('THÁNG 6'!$N14))</f>
        <v/>
      </c>
      <c r="L7" s="0" t="str">
        <f aca="false">IF('THÁNG 6'!$C14="","",N('THÁNG 6'!$O14))</f>
        <v/>
      </c>
      <c r="M7" s="0" t="str">
        <f aca="false">IF('THÁNG 6'!$C14="","",N('THÁNG 6'!$P14))</f>
        <v/>
      </c>
      <c r="N7" s="0" t="str">
        <f aca="false">IF('THÁNG 6'!$C14="","",N('THÁNG 6'!$Q14))</f>
        <v/>
      </c>
      <c r="O7" s="0" t="str">
        <f aca="false">IF('THÁNG 6'!$C14="","",N('THÁNG 6'!$R14))</f>
        <v/>
      </c>
      <c r="P7" s="0" t="str">
        <f aca="false">IF(OR('THÁNG 6'!$C14="",'THÁNG 6'!$T14=""),"",'THÁNG 6'!$T14)</f>
        <v/>
      </c>
      <c r="Q7" s="0" t="str">
        <f aca="false">IF(OR('THÁNG 6'!$C14="",'THÁNG 6'!$U14=""),"",'THÁNG 6'!$U14)</f>
        <v/>
      </c>
      <c r="R7" s="0" t="str">
        <f aca="false">IF('THÁNG 6'!$C14="","",'THÁNG 6'!$W14&amp;"")</f>
        <v/>
      </c>
      <c r="S7" s="0" t="str">
        <f aca="false">IF('THÁNG 6'!$C14="","",'THÁNG 6'!$S14&amp;"")</f>
        <v/>
      </c>
      <c r="T7" s="0" t="str">
        <f aca="false">IF(N($O7)&gt;0,COUNTIF($O$3:$O7,"&gt;0"),"")</f>
        <v/>
      </c>
      <c r="U7" s="0" t="str">
        <f aca="false">IF(AND(N($J7)&gt;0,N($K7)&gt;0),COUNTIFS($J$3:$J7,"&gt;0",$K$3:$K7,"&gt;0"),"")</f>
        <v/>
      </c>
      <c r="V7" s="0" t="str">
        <f aca="false">IF(AND(N($J7)&gt;0,N($K7)=0),COUNTIFS($J$3:$J7,"&gt;0",$K$3:$K7,"&lt;=0"),"")</f>
        <v/>
      </c>
      <c r="W7" s="0" t="str">
        <f aca="false">IF($C7="","",IF(COUNTIF($C$3:$C7,$C7)&gt;1,"",MAX($W$2:W6)+1))</f>
        <v/>
      </c>
      <c r="X7" s="0" t="str">
        <f aca="false">IF($H7="","",IF(COUNTIF($H$3:$H7,$H7)&gt;1,"",MAX($X$2:X6)+1))</f>
        <v/>
      </c>
      <c r="Y7" s="0" t="str">
        <f aca="false">IF(AND(N($M7)&gt;0,N($O7)&lt;=0),COUNTIFS($M$3:$M7,"&gt;0",$O$3:$O7,"&lt;=0"),"")</f>
        <v/>
      </c>
      <c r="Z7" s="30" t="n">
        <f aca="false">IF(OR('THÁNG 6'!$C14="",'THÁNG 6'!$B14=""),0,'THÁNG 6'!$B14)</f>
        <v>0</v>
      </c>
    </row>
    <row r="8" customFormat="false" ht="15" hidden="false" customHeight="false" outlineLevel="0" collapsed="false">
      <c r="A8" s="0" t="n">
        <v>6</v>
      </c>
      <c r="B8" s="29" t="str">
        <f aca="false">IF(OR('THÁNG 6'!$C15="",'THÁNG 6'!$B15=""),"",'THÁNG 6'!$B15)</f>
        <v/>
      </c>
      <c r="C8" s="0" t="str">
        <f aca="false">IF('THÁNG 6'!$C15="","",'THÁNG 6'!$C15)</f>
        <v/>
      </c>
      <c r="D8" s="0" t="str">
        <f aca="false">IF('THÁNG 6'!$C15="","",'THÁNG 6'!$D15&amp;"")</f>
        <v/>
      </c>
      <c r="E8" s="0" t="str">
        <f aca="false">IF('THÁNG 6'!$C15="","",'THÁNG 6'!$E15&amp;"")</f>
        <v/>
      </c>
      <c r="F8" s="0" t="str">
        <f aca="false">IF('THÁNG 6'!$C15="","",'THÁNG 6'!$F15&amp;"")</f>
        <v/>
      </c>
      <c r="G8" s="0" t="str">
        <f aca="false">IF('THÁNG 6'!$C15="","",'THÁNG 6'!$G15&amp;"")</f>
        <v/>
      </c>
      <c r="H8" s="0" t="str">
        <f aca="false">IF('THÁNG 6'!$C15="","",'THÁNG 6'!$H15&amp;"")</f>
        <v/>
      </c>
      <c r="I8" s="0" t="str">
        <f aca="false">IF('THÁNG 6'!$C15="","",N('THÁNG 6'!$I15))</f>
        <v/>
      </c>
      <c r="J8" s="0" t="str">
        <f aca="false">IF('THÁNG 6'!$C15="","",N('THÁNG 6'!$L15))</f>
        <v/>
      </c>
      <c r="K8" s="0" t="str">
        <f aca="false">IF('THÁNG 6'!$C15="","",N('THÁNG 6'!$N15))</f>
        <v/>
      </c>
      <c r="L8" s="0" t="str">
        <f aca="false">IF('THÁNG 6'!$C15="","",N('THÁNG 6'!$O15))</f>
        <v/>
      </c>
      <c r="M8" s="0" t="str">
        <f aca="false">IF('THÁNG 6'!$C15="","",N('THÁNG 6'!$P15))</f>
        <v/>
      </c>
      <c r="N8" s="0" t="str">
        <f aca="false">IF('THÁNG 6'!$C15="","",N('THÁNG 6'!$Q15))</f>
        <v/>
      </c>
      <c r="O8" s="0" t="str">
        <f aca="false">IF('THÁNG 6'!$C15="","",N('THÁNG 6'!$R15))</f>
        <v/>
      </c>
      <c r="P8" s="0" t="str">
        <f aca="false">IF(OR('THÁNG 6'!$C15="",'THÁNG 6'!$T15=""),"",'THÁNG 6'!$T15)</f>
        <v/>
      </c>
      <c r="Q8" s="0" t="str">
        <f aca="false">IF(OR('THÁNG 6'!$C15="",'THÁNG 6'!$U15=""),"",'THÁNG 6'!$U15)</f>
        <v/>
      </c>
      <c r="R8" s="0" t="str">
        <f aca="false">IF('THÁNG 6'!$C15="","",'THÁNG 6'!$W15&amp;"")</f>
        <v/>
      </c>
      <c r="S8" s="0" t="str">
        <f aca="false">IF('THÁNG 6'!$C15="","",'THÁNG 6'!$S15&amp;"")</f>
        <v/>
      </c>
      <c r="T8" s="0" t="str">
        <f aca="false">IF(N($O8)&gt;0,COUNTIF($O$3:$O8,"&gt;0"),"")</f>
        <v/>
      </c>
      <c r="U8" s="0" t="str">
        <f aca="false">IF(AND(N($J8)&gt;0,N($K8)&gt;0),COUNTIFS($J$3:$J8,"&gt;0",$K$3:$K8,"&gt;0"),"")</f>
        <v/>
      </c>
      <c r="V8" s="0" t="str">
        <f aca="false">IF(AND(N($J8)&gt;0,N($K8)=0),COUNTIFS($J$3:$J8,"&gt;0",$K$3:$K8,"&lt;=0"),"")</f>
        <v/>
      </c>
      <c r="W8" s="0" t="str">
        <f aca="false">IF($C8="","",IF(COUNTIF($C$3:$C8,$C8)&gt;1,"",MAX($W$2:W7)+1))</f>
        <v/>
      </c>
      <c r="X8" s="0" t="str">
        <f aca="false">IF($H8="","",IF(COUNTIF($H$3:$H8,$H8)&gt;1,"",MAX($X$2:X7)+1))</f>
        <v/>
      </c>
      <c r="Y8" s="0" t="str">
        <f aca="false">IF(AND(N($M8)&gt;0,N($O8)&lt;=0),COUNTIFS($M$3:$M8,"&gt;0",$O$3:$O8,"&lt;=0"),"")</f>
        <v/>
      </c>
      <c r="Z8" s="30" t="n">
        <f aca="false">IF(OR('THÁNG 6'!$C15="",'THÁNG 6'!$B15=""),0,'THÁNG 6'!$B15)</f>
        <v>0</v>
      </c>
    </row>
    <row r="9" customFormat="false" ht="15" hidden="false" customHeight="false" outlineLevel="0" collapsed="false">
      <c r="A9" s="0" t="n">
        <v>6</v>
      </c>
      <c r="B9" s="29" t="str">
        <f aca="false">IF(OR('THÁNG 6'!$C16="",'THÁNG 6'!$B16=""),"",'THÁNG 6'!$B16)</f>
        <v/>
      </c>
      <c r="C9" s="0" t="str">
        <f aca="false">IF('THÁNG 6'!$C16="","",'THÁNG 6'!$C16)</f>
        <v/>
      </c>
      <c r="D9" s="0" t="str">
        <f aca="false">IF('THÁNG 6'!$C16="","",'THÁNG 6'!$D16&amp;"")</f>
        <v/>
      </c>
      <c r="E9" s="0" t="str">
        <f aca="false">IF('THÁNG 6'!$C16="","",'THÁNG 6'!$E16&amp;"")</f>
        <v/>
      </c>
      <c r="F9" s="0" t="str">
        <f aca="false">IF('THÁNG 6'!$C16="","",'THÁNG 6'!$F16&amp;"")</f>
        <v/>
      </c>
      <c r="G9" s="0" t="str">
        <f aca="false">IF('THÁNG 6'!$C16="","",'THÁNG 6'!$G16&amp;"")</f>
        <v/>
      </c>
      <c r="H9" s="0" t="str">
        <f aca="false">IF('THÁNG 6'!$C16="","",'THÁNG 6'!$H16&amp;"")</f>
        <v/>
      </c>
      <c r="I9" s="0" t="str">
        <f aca="false">IF('THÁNG 6'!$C16="","",N('THÁNG 6'!$I16))</f>
        <v/>
      </c>
      <c r="J9" s="0" t="str">
        <f aca="false">IF('THÁNG 6'!$C16="","",N('THÁNG 6'!$L16))</f>
        <v/>
      </c>
      <c r="K9" s="0" t="str">
        <f aca="false">IF('THÁNG 6'!$C16="","",N('THÁNG 6'!$N16))</f>
        <v/>
      </c>
      <c r="L9" s="0" t="str">
        <f aca="false">IF('THÁNG 6'!$C16="","",N('THÁNG 6'!$O16))</f>
        <v/>
      </c>
      <c r="M9" s="0" t="str">
        <f aca="false">IF('THÁNG 6'!$C16="","",N('THÁNG 6'!$P16))</f>
        <v/>
      </c>
      <c r="N9" s="0" t="str">
        <f aca="false">IF('THÁNG 6'!$C16="","",N('THÁNG 6'!$Q16))</f>
        <v/>
      </c>
      <c r="O9" s="0" t="str">
        <f aca="false">IF('THÁNG 6'!$C16="","",N('THÁNG 6'!$R16))</f>
        <v/>
      </c>
      <c r="P9" s="0" t="str">
        <f aca="false">IF(OR('THÁNG 6'!$C16="",'THÁNG 6'!$T16=""),"",'THÁNG 6'!$T16)</f>
        <v/>
      </c>
      <c r="Q9" s="0" t="str">
        <f aca="false">IF(OR('THÁNG 6'!$C16="",'THÁNG 6'!$U16=""),"",'THÁNG 6'!$U16)</f>
        <v/>
      </c>
      <c r="R9" s="0" t="str">
        <f aca="false">IF('THÁNG 6'!$C16="","",'THÁNG 6'!$W16&amp;"")</f>
        <v/>
      </c>
      <c r="S9" s="0" t="str">
        <f aca="false">IF('THÁNG 6'!$C16="","",'THÁNG 6'!$S16&amp;"")</f>
        <v/>
      </c>
      <c r="T9" s="0" t="str">
        <f aca="false">IF(N($O9)&gt;0,COUNTIF($O$3:$O9,"&gt;0"),"")</f>
        <v/>
      </c>
      <c r="U9" s="0" t="str">
        <f aca="false">IF(AND(N($J9)&gt;0,N($K9)&gt;0),COUNTIFS($J$3:$J9,"&gt;0",$K$3:$K9,"&gt;0"),"")</f>
        <v/>
      </c>
      <c r="V9" s="0" t="str">
        <f aca="false">IF(AND(N($J9)&gt;0,N($K9)=0),COUNTIFS($J$3:$J9,"&gt;0",$K$3:$K9,"&lt;=0"),"")</f>
        <v/>
      </c>
      <c r="W9" s="0" t="str">
        <f aca="false">IF($C9="","",IF(COUNTIF($C$3:$C9,$C9)&gt;1,"",MAX($W$2:W8)+1))</f>
        <v/>
      </c>
      <c r="X9" s="0" t="str">
        <f aca="false">IF($H9="","",IF(COUNTIF($H$3:$H9,$H9)&gt;1,"",MAX($X$2:X8)+1))</f>
        <v/>
      </c>
      <c r="Y9" s="0" t="str">
        <f aca="false">IF(AND(N($M9)&gt;0,N($O9)&lt;=0),COUNTIFS($M$3:$M9,"&gt;0",$O$3:$O9,"&lt;=0"),"")</f>
        <v/>
      </c>
      <c r="Z9" s="30" t="n">
        <f aca="false">IF(OR('THÁNG 6'!$C16="",'THÁNG 6'!$B16=""),0,'THÁNG 6'!$B16)</f>
        <v>0</v>
      </c>
    </row>
    <row r="10" customFormat="false" ht="15" hidden="false" customHeight="false" outlineLevel="0" collapsed="false">
      <c r="A10" s="0" t="n">
        <v>6</v>
      </c>
      <c r="B10" s="29" t="str">
        <f aca="false">IF(OR('THÁNG 6'!$C17="",'THÁNG 6'!$B17=""),"",'THÁNG 6'!$B17)</f>
        <v/>
      </c>
      <c r="C10" s="0" t="str">
        <f aca="false">IF('THÁNG 6'!$C17="","",'THÁNG 6'!$C17)</f>
        <v/>
      </c>
      <c r="D10" s="0" t="str">
        <f aca="false">IF('THÁNG 6'!$C17="","",'THÁNG 6'!$D17&amp;"")</f>
        <v/>
      </c>
      <c r="E10" s="0" t="str">
        <f aca="false">IF('THÁNG 6'!$C17="","",'THÁNG 6'!$E17&amp;"")</f>
        <v/>
      </c>
      <c r="F10" s="0" t="str">
        <f aca="false">IF('THÁNG 6'!$C17="","",'THÁNG 6'!$F17&amp;"")</f>
        <v/>
      </c>
      <c r="G10" s="0" t="str">
        <f aca="false">IF('THÁNG 6'!$C17="","",'THÁNG 6'!$G17&amp;"")</f>
        <v/>
      </c>
      <c r="H10" s="0" t="str">
        <f aca="false">IF('THÁNG 6'!$C17="","",'THÁNG 6'!$H17&amp;"")</f>
        <v/>
      </c>
      <c r="I10" s="0" t="str">
        <f aca="false">IF('THÁNG 6'!$C17="","",N('THÁNG 6'!$I17))</f>
        <v/>
      </c>
      <c r="J10" s="0" t="str">
        <f aca="false">IF('THÁNG 6'!$C17="","",N('THÁNG 6'!$L17))</f>
        <v/>
      </c>
      <c r="K10" s="0" t="str">
        <f aca="false">IF('THÁNG 6'!$C17="","",N('THÁNG 6'!$N17))</f>
        <v/>
      </c>
      <c r="L10" s="0" t="str">
        <f aca="false">IF('THÁNG 6'!$C17="","",N('THÁNG 6'!$O17))</f>
        <v/>
      </c>
      <c r="M10" s="0" t="str">
        <f aca="false">IF('THÁNG 6'!$C17="","",N('THÁNG 6'!$P17))</f>
        <v/>
      </c>
      <c r="N10" s="0" t="str">
        <f aca="false">IF('THÁNG 6'!$C17="","",N('THÁNG 6'!$Q17))</f>
        <v/>
      </c>
      <c r="O10" s="0" t="str">
        <f aca="false">IF('THÁNG 6'!$C17="","",N('THÁNG 6'!$R17))</f>
        <v/>
      </c>
      <c r="P10" s="0" t="str">
        <f aca="false">IF(OR('THÁNG 6'!$C17="",'THÁNG 6'!$T17=""),"",'THÁNG 6'!$T17)</f>
        <v/>
      </c>
      <c r="Q10" s="0" t="str">
        <f aca="false">IF(OR('THÁNG 6'!$C17="",'THÁNG 6'!$U17=""),"",'THÁNG 6'!$U17)</f>
        <v/>
      </c>
      <c r="R10" s="0" t="str">
        <f aca="false">IF('THÁNG 6'!$C17="","",'THÁNG 6'!$W17&amp;"")</f>
        <v/>
      </c>
      <c r="S10" s="0" t="str">
        <f aca="false">IF('THÁNG 6'!$C17="","",'THÁNG 6'!$S17&amp;"")</f>
        <v/>
      </c>
      <c r="T10" s="0" t="str">
        <f aca="false">IF(N($O10)&gt;0,COUNTIF($O$3:$O10,"&gt;0"),"")</f>
        <v/>
      </c>
      <c r="U10" s="0" t="str">
        <f aca="false">IF(AND(N($J10)&gt;0,N($K10)&gt;0),COUNTIFS($J$3:$J10,"&gt;0",$K$3:$K10,"&gt;0"),"")</f>
        <v/>
      </c>
      <c r="V10" s="0" t="str">
        <f aca="false">IF(AND(N($J10)&gt;0,N($K10)=0),COUNTIFS($J$3:$J10,"&gt;0",$K$3:$K10,"&lt;=0"),"")</f>
        <v/>
      </c>
      <c r="W10" s="0" t="str">
        <f aca="false">IF($C10="","",IF(COUNTIF($C$3:$C10,$C10)&gt;1,"",MAX($W$2:W9)+1))</f>
        <v/>
      </c>
      <c r="X10" s="0" t="str">
        <f aca="false">IF($H10="","",IF(COUNTIF($H$3:$H10,$H10)&gt;1,"",MAX($X$2:X9)+1))</f>
        <v/>
      </c>
      <c r="Y10" s="0" t="str">
        <f aca="false">IF(AND(N($M10)&gt;0,N($O10)&lt;=0),COUNTIFS($M$3:$M10,"&gt;0",$O$3:$O10,"&lt;=0"),"")</f>
        <v/>
      </c>
      <c r="Z10" s="30" t="n">
        <f aca="false">IF(OR('THÁNG 6'!$C17="",'THÁNG 6'!$B17=""),0,'THÁNG 6'!$B17)</f>
        <v>0</v>
      </c>
    </row>
    <row r="11" customFormat="false" ht="15" hidden="false" customHeight="false" outlineLevel="0" collapsed="false">
      <c r="A11" s="0" t="n">
        <v>6</v>
      </c>
      <c r="B11" s="29" t="str">
        <f aca="false">IF(OR('THÁNG 6'!$C18="",'THÁNG 6'!$B18=""),"",'THÁNG 6'!$B18)</f>
        <v/>
      </c>
      <c r="C11" s="0" t="str">
        <f aca="false">IF('THÁNG 6'!$C18="","",'THÁNG 6'!$C18)</f>
        <v/>
      </c>
      <c r="D11" s="0" t="str">
        <f aca="false">IF('THÁNG 6'!$C18="","",'THÁNG 6'!$D18&amp;"")</f>
        <v/>
      </c>
      <c r="E11" s="0" t="str">
        <f aca="false">IF('THÁNG 6'!$C18="","",'THÁNG 6'!$E18&amp;"")</f>
        <v/>
      </c>
      <c r="F11" s="0" t="str">
        <f aca="false">IF('THÁNG 6'!$C18="","",'THÁNG 6'!$F18&amp;"")</f>
        <v/>
      </c>
      <c r="G11" s="0" t="str">
        <f aca="false">IF('THÁNG 6'!$C18="","",'THÁNG 6'!$G18&amp;"")</f>
        <v/>
      </c>
      <c r="H11" s="0" t="str">
        <f aca="false">IF('THÁNG 6'!$C18="","",'THÁNG 6'!$H18&amp;"")</f>
        <v/>
      </c>
      <c r="I11" s="0" t="str">
        <f aca="false">IF('THÁNG 6'!$C18="","",N('THÁNG 6'!$I18))</f>
        <v/>
      </c>
      <c r="J11" s="0" t="str">
        <f aca="false">IF('THÁNG 6'!$C18="","",N('THÁNG 6'!$L18))</f>
        <v/>
      </c>
      <c r="K11" s="0" t="str">
        <f aca="false">IF('THÁNG 6'!$C18="","",N('THÁNG 6'!$N18))</f>
        <v/>
      </c>
      <c r="L11" s="0" t="str">
        <f aca="false">IF('THÁNG 6'!$C18="","",N('THÁNG 6'!$O18))</f>
        <v/>
      </c>
      <c r="M11" s="0" t="str">
        <f aca="false">IF('THÁNG 6'!$C18="","",N('THÁNG 6'!$P18))</f>
        <v/>
      </c>
      <c r="N11" s="0" t="str">
        <f aca="false">IF('THÁNG 6'!$C18="","",N('THÁNG 6'!$Q18))</f>
        <v/>
      </c>
      <c r="O11" s="0" t="str">
        <f aca="false">IF('THÁNG 6'!$C18="","",N('THÁNG 6'!$R18))</f>
        <v/>
      </c>
      <c r="P11" s="0" t="str">
        <f aca="false">IF(OR('THÁNG 6'!$C18="",'THÁNG 6'!$T18=""),"",'THÁNG 6'!$T18)</f>
        <v/>
      </c>
      <c r="Q11" s="0" t="str">
        <f aca="false">IF(OR('THÁNG 6'!$C18="",'THÁNG 6'!$U18=""),"",'THÁNG 6'!$U18)</f>
        <v/>
      </c>
      <c r="R11" s="0" t="str">
        <f aca="false">IF('THÁNG 6'!$C18="","",'THÁNG 6'!$W18&amp;"")</f>
        <v/>
      </c>
      <c r="S11" s="0" t="str">
        <f aca="false">IF('THÁNG 6'!$C18="","",'THÁNG 6'!$S18&amp;"")</f>
        <v/>
      </c>
      <c r="T11" s="0" t="str">
        <f aca="false">IF(N($O11)&gt;0,COUNTIF($O$3:$O11,"&gt;0"),"")</f>
        <v/>
      </c>
      <c r="U11" s="0" t="str">
        <f aca="false">IF(AND(N($J11)&gt;0,N($K11)&gt;0),COUNTIFS($J$3:$J11,"&gt;0",$K$3:$K11,"&gt;0"),"")</f>
        <v/>
      </c>
      <c r="V11" s="0" t="str">
        <f aca="false">IF(AND(N($J11)&gt;0,N($K11)=0),COUNTIFS($J$3:$J11,"&gt;0",$K$3:$K11,"&lt;=0"),"")</f>
        <v/>
      </c>
      <c r="W11" s="0" t="str">
        <f aca="false">IF($C11="","",IF(COUNTIF($C$3:$C11,$C11)&gt;1,"",MAX($W$2:W10)+1))</f>
        <v/>
      </c>
      <c r="X11" s="0" t="str">
        <f aca="false">IF($H11="","",IF(COUNTIF($H$3:$H11,$H11)&gt;1,"",MAX($X$2:X10)+1))</f>
        <v/>
      </c>
      <c r="Y11" s="0" t="str">
        <f aca="false">IF(AND(N($M11)&gt;0,N($O11)&lt;=0),COUNTIFS($M$3:$M11,"&gt;0",$O$3:$O11,"&lt;=0"),"")</f>
        <v/>
      </c>
      <c r="Z11" s="30" t="n">
        <f aca="false">IF(OR('THÁNG 6'!$C18="",'THÁNG 6'!$B18=""),0,'THÁNG 6'!$B18)</f>
        <v>0</v>
      </c>
    </row>
    <row r="12" customFormat="false" ht="15" hidden="false" customHeight="false" outlineLevel="0" collapsed="false">
      <c r="A12" s="0" t="n">
        <v>6</v>
      </c>
      <c r="B12" s="29" t="str">
        <f aca="false">IF(OR('THÁNG 6'!$C19="",'THÁNG 6'!$B19=""),"",'THÁNG 6'!$B19)</f>
        <v/>
      </c>
      <c r="C12" s="0" t="str">
        <f aca="false">IF('THÁNG 6'!$C19="","",'THÁNG 6'!$C19)</f>
        <v/>
      </c>
      <c r="D12" s="0" t="str">
        <f aca="false">IF('THÁNG 6'!$C19="","",'THÁNG 6'!$D19&amp;"")</f>
        <v/>
      </c>
      <c r="E12" s="0" t="str">
        <f aca="false">IF('THÁNG 6'!$C19="","",'THÁNG 6'!$E19&amp;"")</f>
        <v/>
      </c>
      <c r="F12" s="0" t="str">
        <f aca="false">IF('THÁNG 6'!$C19="","",'THÁNG 6'!$F19&amp;"")</f>
        <v/>
      </c>
      <c r="G12" s="0" t="str">
        <f aca="false">IF('THÁNG 6'!$C19="","",'THÁNG 6'!$G19&amp;"")</f>
        <v/>
      </c>
      <c r="H12" s="0" t="str">
        <f aca="false">IF('THÁNG 6'!$C19="","",'THÁNG 6'!$H19&amp;"")</f>
        <v/>
      </c>
      <c r="I12" s="0" t="str">
        <f aca="false">IF('THÁNG 6'!$C19="","",N('THÁNG 6'!$I19))</f>
        <v/>
      </c>
      <c r="J12" s="0" t="str">
        <f aca="false">IF('THÁNG 6'!$C19="","",N('THÁNG 6'!$L19))</f>
        <v/>
      </c>
      <c r="K12" s="0" t="str">
        <f aca="false">IF('THÁNG 6'!$C19="","",N('THÁNG 6'!$N19))</f>
        <v/>
      </c>
      <c r="L12" s="0" t="str">
        <f aca="false">IF('THÁNG 6'!$C19="","",N('THÁNG 6'!$O19))</f>
        <v/>
      </c>
      <c r="M12" s="0" t="str">
        <f aca="false">IF('THÁNG 6'!$C19="","",N('THÁNG 6'!$P19))</f>
        <v/>
      </c>
      <c r="N12" s="0" t="str">
        <f aca="false">IF('THÁNG 6'!$C19="","",N('THÁNG 6'!$Q19))</f>
        <v/>
      </c>
      <c r="O12" s="0" t="str">
        <f aca="false">IF('THÁNG 6'!$C19="","",N('THÁNG 6'!$R19))</f>
        <v/>
      </c>
      <c r="P12" s="0" t="str">
        <f aca="false">IF(OR('THÁNG 6'!$C19="",'THÁNG 6'!$T19=""),"",'THÁNG 6'!$T19)</f>
        <v/>
      </c>
      <c r="Q12" s="0" t="str">
        <f aca="false">IF(OR('THÁNG 6'!$C19="",'THÁNG 6'!$U19=""),"",'THÁNG 6'!$U19)</f>
        <v/>
      </c>
      <c r="R12" s="0" t="str">
        <f aca="false">IF('THÁNG 6'!$C19="","",'THÁNG 6'!$W19&amp;"")</f>
        <v/>
      </c>
      <c r="S12" s="0" t="str">
        <f aca="false">IF('THÁNG 6'!$C19="","",'THÁNG 6'!$S19&amp;"")</f>
        <v/>
      </c>
      <c r="T12" s="0" t="str">
        <f aca="false">IF(N($O12)&gt;0,COUNTIF($O$3:$O12,"&gt;0"),"")</f>
        <v/>
      </c>
      <c r="U12" s="0" t="str">
        <f aca="false">IF(AND(N($J12)&gt;0,N($K12)&gt;0),COUNTIFS($J$3:$J12,"&gt;0",$K$3:$K12,"&gt;0"),"")</f>
        <v/>
      </c>
      <c r="V12" s="0" t="str">
        <f aca="false">IF(AND(N($J12)&gt;0,N($K12)=0),COUNTIFS($J$3:$J12,"&gt;0",$K$3:$K12,"&lt;=0"),"")</f>
        <v/>
      </c>
      <c r="W12" s="0" t="str">
        <f aca="false">IF($C12="","",IF(COUNTIF($C$3:$C12,$C12)&gt;1,"",MAX($W$2:W11)+1))</f>
        <v/>
      </c>
      <c r="X12" s="0" t="str">
        <f aca="false">IF($H12="","",IF(COUNTIF($H$3:$H12,$H12)&gt;1,"",MAX($X$2:X11)+1))</f>
        <v/>
      </c>
      <c r="Y12" s="0" t="str">
        <f aca="false">IF(AND(N($M12)&gt;0,N($O12)&lt;=0),COUNTIFS($M$3:$M12,"&gt;0",$O$3:$O12,"&lt;=0"),"")</f>
        <v/>
      </c>
      <c r="Z12" s="30" t="n">
        <f aca="false">IF(OR('THÁNG 6'!$C19="",'THÁNG 6'!$B19=""),0,'THÁNG 6'!$B19)</f>
        <v>0</v>
      </c>
    </row>
    <row r="13" customFormat="false" ht="15" hidden="false" customHeight="false" outlineLevel="0" collapsed="false">
      <c r="A13" s="0" t="n">
        <v>6</v>
      </c>
      <c r="B13" s="29" t="str">
        <f aca="false">IF(OR('THÁNG 6'!$C20="",'THÁNG 6'!$B20=""),"",'THÁNG 6'!$B20)</f>
        <v/>
      </c>
      <c r="C13" s="0" t="str">
        <f aca="false">IF('THÁNG 6'!$C20="","",'THÁNG 6'!$C20)</f>
        <v/>
      </c>
      <c r="D13" s="0" t="str">
        <f aca="false">IF('THÁNG 6'!$C20="","",'THÁNG 6'!$D20&amp;"")</f>
        <v/>
      </c>
      <c r="E13" s="0" t="str">
        <f aca="false">IF('THÁNG 6'!$C20="","",'THÁNG 6'!$E20&amp;"")</f>
        <v/>
      </c>
      <c r="F13" s="0" t="str">
        <f aca="false">IF('THÁNG 6'!$C20="","",'THÁNG 6'!$F20&amp;"")</f>
        <v/>
      </c>
      <c r="G13" s="0" t="str">
        <f aca="false">IF('THÁNG 6'!$C20="","",'THÁNG 6'!$G20&amp;"")</f>
        <v/>
      </c>
      <c r="H13" s="0" t="str">
        <f aca="false">IF('THÁNG 6'!$C20="","",'THÁNG 6'!$H20&amp;"")</f>
        <v/>
      </c>
      <c r="I13" s="0" t="str">
        <f aca="false">IF('THÁNG 6'!$C20="","",N('THÁNG 6'!$I20))</f>
        <v/>
      </c>
      <c r="J13" s="0" t="str">
        <f aca="false">IF('THÁNG 6'!$C20="","",N('THÁNG 6'!$L20))</f>
        <v/>
      </c>
      <c r="K13" s="0" t="str">
        <f aca="false">IF('THÁNG 6'!$C20="","",N('THÁNG 6'!$N20))</f>
        <v/>
      </c>
      <c r="L13" s="0" t="str">
        <f aca="false">IF('THÁNG 6'!$C20="","",N('THÁNG 6'!$O20))</f>
        <v/>
      </c>
      <c r="M13" s="0" t="str">
        <f aca="false">IF('THÁNG 6'!$C20="","",N('THÁNG 6'!$P20))</f>
        <v/>
      </c>
      <c r="N13" s="0" t="str">
        <f aca="false">IF('THÁNG 6'!$C20="","",N('THÁNG 6'!$Q20))</f>
        <v/>
      </c>
      <c r="O13" s="0" t="str">
        <f aca="false">IF('THÁNG 6'!$C20="","",N('THÁNG 6'!$R20))</f>
        <v/>
      </c>
      <c r="P13" s="0" t="str">
        <f aca="false">IF(OR('THÁNG 6'!$C20="",'THÁNG 6'!$T20=""),"",'THÁNG 6'!$T20)</f>
        <v/>
      </c>
      <c r="Q13" s="0" t="str">
        <f aca="false">IF(OR('THÁNG 6'!$C20="",'THÁNG 6'!$U20=""),"",'THÁNG 6'!$U20)</f>
        <v/>
      </c>
      <c r="R13" s="0" t="str">
        <f aca="false">IF('THÁNG 6'!$C20="","",'THÁNG 6'!$W20&amp;"")</f>
        <v/>
      </c>
      <c r="S13" s="0" t="str">
        <f aca="false">IF('THÁNG 6'!$C20="","",'THÁNG 6'!$S20&amp;"")</f>
        <v/>
      </c>
      <c r="T13" s="0" t="str">
        <f aca="false">IF(N($O13)&gt;0,COUNTIF($O$3:$O13,"&gt;0"),"")</f>
        <v/>
      </c>
      <c r="U13" s="0" t="str">
        <f aca="false">IF(AND(N($J13)&gt;0,N($K13)&gt;0),COUNTIFS($J$3:$J13,"&gt;0",$K$3:$K13,"&gt;0"),"")</f>
        <v/>
      </c>
      <c r="V13" s="0" t="str">
        <f aca="false">IF(AND(N($J13)&gt;0,N($K13)=0),COUNTIFS($J$3:$J13,"&gt;0",$K$3:$K13,"&lt;=0"),"")</f>
        <v/>
      </c>
      <c r="W13" s="0" t="str">
        <f aca="false">IF($C13="","",IF(COUNTIF($C$3:$C13,$C13)&gt;1,"",MAX($W$2:W12)+1))</f>
        <v/>
      </c>
      <c r="X13" s="0" t="str">
        <f aca="false">IF($H13="","",IF(COUNTIF($H$3:$H13,$H13)&gt;1,"",MAX($X$2:X12)+1))</f>
        <v/>
      </c>
      <c r="Y13" s="0" t="str">
        <f aca="false">IF(AND(N($M13)&gt;0,N($O13)&lt;=0),COUNTIFS($M$3:$M13,"&gt;0",$O$3:$O13,"&lt;=0"),"")</f>
        <v/>
      </c>
      <c r="Z13" s="30" t="n">
        <f aca="false">IF(OR('THÁNG 6'!$C20="",'THÁNG 6'!$B20=""),0,'THÁNG 6'!$B20)</f>
        <v>0</v>
      </c>
    </row>
    <row r="14" customFormat="false" ht="15" hidden="false" customHeight="false" outlineLevel="0" collapsed="false">
      <c r="A14" s="0" t="n">
        <v>6</v>
      </c>
      <c r="B14" s="29" t="str">
        <f aca="false">IF(OR('THÁNG 6'!$C21="",'THÁNG 6'!$B21=""),"",'THÁNG 6'!$B21)</f>
        <v/>
      </c>
      <c r="C14" s="0" t="str">
        <f aca="false">IF('THÁNG 6'!$C21="","",'THÁNG 6'!$C21)</f>
        <v/>
      </c>
      <c r="D14" s="0" t="str">
        <f aca="false">IF('THÁNG 6'!$C21="","",'THÁNG 6'!$D21&amp;"")</f>
        <v/>
      </c>
      <c r="E14" s="0" t="str">
        <f aca="false">IF('THÁNG 6'!$C21="","",'THÁNG 6'!$E21&amp;"")</f>
        <v/>
      </c>
      <c r="F14" s="0" t="str">
        <f aca="false">IF('THÁNG 6'!$C21="","",'THÁNG 6'!$F21&amp;"")</f>
        <v/>
      </c>
      <c r="G14" s="0" t="str">
        <f aca="false">IF('THÁNG 6'!$C21="","",'THÁNG 6'!$G21&amp;"")</f>
        <v/>
      </c>
      <c r="H14" s="0" t="str">
        <f aca="false">IF('THÁNG 6'!$C21="","",'THÁNG 6'!$H21&amp;"")</f>
        <v/>
      </c>
      <c r="I14" s="0" t="str">
        <f aca="false">IF('THÁNG 6'!$C21="","",N('THÁNG 6'!$I21))</f>
        <v/>
      </c>
      <c r="J14" s="0" t="str">
        <f aca="false">IF('THÁNG 6'!$C21="","",N('THÁNG 6'!$L21))</f>
        <v/>
      </c>
      <c r="K14" s="0" t="str">
        <f aca="false">IF('THÁNG 6'!$C21="","",N('THÁNG 6'!$N21))</f>
        <v/>
      </c>
      <c r="L14" s="0" t="str">
        <f aca="false">IF('THÁNG 6'!$C21="","",N('THÁNG 6'!$O21))</f>
        <v/>
      </c>
      <c r="M14" s="0" t="str">
        <f aca="false">IF('THÁNG 6'!$C21="","",N('THÁNG 6'!$P21))</f>
        <v/>
      </c>
      <c r="N14" s="0" t="str">
        <f aca="false">IF('THÁNG 6'!$C21="","",N('THÁNG 6'!$Q21))</f>
        <v/>
      </c>
      <c r="O14" s="0" t="str">
        <f aca="false">IF('THÁNG 6'!$C21="","",N('THÁNG 6'!$R21))</f>
        <v/>
      </c>
      <c r="P14" s="0" t="str">
        <f aca="false">IF(OR('THÁNG 6'!$C21="",'THÁNG 6'!$T21=""),"",'THÁNG 6'!$T21)</f>
        <v/>
      </c>
      <c r="Q14" s="0" t="str">
        <f aca="false">IF(OR('THÁNG 6'!$C21="",'THÁNG 6'!$U21=""),"",'THÁNG 6'!$U21)</f>
        <v/>
      </c>
      <c r="R14" s="0" t="str">
        <f aca="false">IF('THÁNG 6'!$C21="","",'THÁNG 6'!$W21&amp;"")</f>
        <v/>
      </c>
      <c r="S14" s="0" t="str">
        <f aca="false">IF('THÁNG 6'!$C21="","",'THÁNG 6'!$S21&amp;"")</f>
        <v/>
      </c>
      <c r="T14" s="0" t="str">
        <f aca="false">IF(N($O14)&gt;0,COUNTIF($O$3:$O14,"&gt;0"),"")</f>
        <v/>
      </c>
      <c r="U14" s="0" t="str">
        <f aca="false">IF(AND(N($J14)&gt;0,N($K14)&gt;0),COUNTIFS($J$3:$J14,"&gt;0",$K$3:$K14,"&gt;0"),"")</f>
        <v/>
      </c>
      <c r="V14" s="0" t="str">
        <f aca="false">IF(AND(N($J14)&gt;0,N($K14)=0),COUNTIFS($J$3:$J14,"&gt;0",$K$3:$K14,"&lt;=0"),"")</f>
        <v/>
      </c>
      <c r="W14" s="0" t="str">
        <f aca="false">IF($C14="","",IF(COUNTIF($C$3:$C14,$C14)&gt;1,"",MAX($W$2:W13)+1))</f>
        <v/>
      </c>
      <c r="X14" s="0" t="str">
        <f aca="false">IF($H14="","",IF(COUNTIF($H$3:$H14,$H14)&gt;1,"",MAX($X$2:X13)+1))</f>
        <v/>
      </c>
      <c r="Y14" s="0" t="str">
        <f aca="false">IF(AND(N($M14)&gt;0,N($O14)&lt;=0),COUNTIFS($M$3:$M14,"&gt;0",$O$3:$O14,"&lt;=0"),"")</f>
        <v/>
      </c>
      <c r="Z14" s="30" t="n">
        <f aca="false">IF(OR('THÁNG 6'!$C21="",'THÁNG 6'!$B21=""),0,'THÁNG 6'!$B21)</f>
        <v>0</v>
      </c>
    </row>
    <row r="15" customFormat="false" ht="15" hidden="false" customHeight="false" outlineLevel="0" collapsed="false">
      <c r="A15" s="0" t="n">
        <v>6</v>
      </c>
      <c r="B15" s="29" t="str">
        <f aca="false">IF(OR('THÁNG 6'!$C22="",'THÁNG 6'!$B22=""),"",'THÁNG 6'!$B22)</f>
        <v/>
      </c>
      <c r="C15" s="0" t="str">
        <f aca="false">IF('THÁNG 6'!$C22="","",'THÁNG 6'!$C22)</f>
        <v/>
      </c>
      <c r="D15" s="0" t="str">
        <f aca="false">IF('THÁNG 6'!$C22="","",'THÁNG 6'!$D22&amp;"")</f>
        <v/>
      </c>
      <c r="E15" s="0" t="str">
        <f aca="false">IF('THÁNG 6'!$C22="","",'THÁNG 6'!$E22&amp;"")</f>
        <v/>
      </c>
      <c r="F15" s="0" t="str">
        <f aca="false">IF('THÁNG 6'!$C22="","",'THÁNG 6'!$F22&amp;"")</f>
        <v/>
      </c>
      <c r="G15" s="0" t="str">
        <f aca="false">IF('THÁNG 6'!$C22="","",'THÁNG 6'!$G22&amp;"")</f>
        <v/>
      </c>
      <c r="H15" s="0" t="str">
        <f aca="false">IF('THÁNG 6'!$C22="","",'THÁNG 6'!$H22&amp;"")</f>
        <v/>
      </c>
      <c r="I15" s="0" t="str">
        <f aca="false">IF('THÁNG 6'!$C22="","",N('THÁNG 6'!$I22))</f>
        <v/>
      </c>
      <c r="J15" s="0" t="str">
        <f aca="false">IF('THÁNG 6'!$C22="","",N('THÁNG 6'!$L22))</f>
        <v/>
      </c>
      <c r="K15" s="0" t="str">
        <f aca="false">IF('THÁNG 6'!$C22="","",N('THÁNG 6'!$N22))</f>
        <v/>
      </c>
      <c r="L15" s="0" t="str">
        <f aca="false">IF('THÁNG 6'!$C22="","",N('THÁNG 6'!$O22))</f>
        <v/>
      </c>
      <c r="M15" s="0" t="str">
        <f aca="false">IF('THÁNG 6'!$C22="","",N('THÁNG 6'!$P22))</f>
        <v/>
      </c>
      <c r="N15" s="0" t="str">
        <f aca="false">IF('THÁNG 6'!$C22="","",N('THÁNG 6'!$Q22))</f>
        <v/>
      </c>
      <c r="O15" s="0" t="str">
        <f aca="false">IF('THÁNG 6'!$C22="","",N('THÁNG 6'!$R22))</f>
        <v/>
      </c>
      <c r="P15" s="0" t="str">
        <f aca="false">IF(OR('THÁNG 6'!$C22="",'THÁNG 6'!$T22=""),"",'THÁNG 6'!$T22)</f>
        <v/>
      </c>
      <c r="Q15" s="0" t="str">
        <f aca="false">IF(OR('THÁNG 6'!$C22="",'THÁNG 6'!$U22=""),"",'THÁNG 6'!$U22)</f>
        <v/>
      </c>
      <c r="R15" s="0" t="str">
        <f aca="false">IF('THÁNG 6'!$C22="","",'THÁNG 6'!$W22&amp;"")</f>
        <v/>
      </c>
      <c r="S15" s="0" t="str">
        <f aca="false">IF('THÁNG 6'!$C22="","",'THÁNG 6'!$S22&amp;"")</f>
        <v/>
      </c>
      <c r="T15" s="0" t="str">
        <f aca="false">IF(N($O15)&gt;0,COUNTIF($O$3:$O15,"&gt;0"),"")</f>
        <v/>
      </c>
      <c r="U15" s="0" t="str">
        <f aca="false">IF(AND(N($J15)&gt;0,N($K15)&gt;0),COUNTIFS($J$3:$J15,"&gt;0",$K$3:$K15,"&gt;0"),"")</f>
        <v/>
      </c>
      <c r="V15" s="0" t="str">
        <f aca="false">IF(AND(N($J15)&gt;0,N($K15)=0),COUNTIFS($J$3:$J15,"&gt;0",$K$3:$K15,"&lt;=0"),"")</f>
        <v/>
      </c>
      <c r="W15" s="0" t="str">
        <f aca="false">IF($C15="","",IF(COUNTIF($C$3:$C15,$C15)&gt;1,"",MAX($W$2:W14)+1))</f>
        <v/>
      </c>
      <c r="X15" s="0" t="str">
        <f aca="false">IF($H15="","",IF(COUNTIF($H$3:$H15,$H15)&gt;1,"",MAX($X$2:X14)+1))</f>
        <v/>
      </c>
      <c r="Y15" s="0" t="str">
        <f aca="false">IF(AND(N($M15)&gt;0,N($O15)&lt;=0),COUNTIFS($M$3:$M15,"&gt;0",$O$3:$O15,"&lt;=0"),"")</f>
        <v/>
      </c>
      <c r="Z15" s="30" t="n">
        <f aca="false">IF(OR('THÁNG 6'!$C22="",'THÁNG 6'!$B22=""),0,'THÁNG 6'!$B22)</f>
        <v>0</v>
      </c>
    </row>
    <row r="16" customFormat="false" ht="15" hidden="false" customHeight="false" outlineLevel="0" collapsed="false">
      <c r="A16" s="0" t="n">
        <v>6</v>
      </c>
      <c r="B16" s="29" t="str">
        <f aca="false">IF(OR('THÁNG 6'!$C23="",'THÁNG 6'!$B23=""),"",'THÁNG 6'!$B23)</f>
        <v/>
      </c>
      <c r="C16" s="0" t="str">
        <f aca="false">IF('THÁNG 6'!$C23="","",'THÁNG 6'!$C23)</f>
        <v/>
      </c>
      <c r="D16" s="0" t="str">
        <f aca="false">IF('THÁNG 6'!$C23="","",'THÁNG 6'!$D23&amp;"")</f>
        <v/>
      </c>
      <c r="E16" s="0" t="str">
        <f aca="false">IF('THÁNG 6'!$C23="","",'THÁNG 6'!$E23&amp;"")</f>
        <v/>
      </c>
      <c r="F16" s="0" t="str">
        <f aca="false">IF('THÁNG 6'!$C23="","",'THÁNG 6'!$F23&amp;"")</f>
        <v/>
      </c>
      <c r="G16" s="0" t="str">
        <f aca="false">IF('THÁNG 6'!$C23="","",'THÁNG 6'!$G23&amp;"")</f>
        <v/>
      </c>
      <c r="H16" s="0" t="str">
        <f aca="false">IF('THÁNG 6'!$C23="","",'THÁNG 6'!$H23&amp;"")</f>
        <v/>
      </c>
      <c r="I16" s="0" t="str">
        <f aca="false">IF('THÁNG 6'!$C23="","",N('THÁNG 6'!$I23))</f>
        <v/>
      </c>
      <c r="J16" s="0" t="str">
        <f aca="false">IF('THÁNG 6'!$C23="","",N('THÁNG 6'!$L23))</f>
        <v/>
      </c>
      <c r="K16" s="0" t="str">
        <f aca="false">IF('THÁNG 6'!$C23="","",N('THÁNG 6'!$N23))</f>
        <v/>
      </c>
      <c r="L16" s="0" t="str">
        <f aca="false">IF('THÁNG 6'!$C23="","",N('THÁNG 6'!$O23))</f>
        <v/>
      </c>
      <c r="M16" s="0" t="str">
        <f aca="false">IF('THÁNG 6'!$C23="","",N('THÁNG 6'!$P23))</f>
        <v/>
      </c>
      <c r="N16" s="0" t="str">
        <f aca="false">IF('THÁNG 6'!$C23="","",N('THÁNG 6'!$Q23))</f>
        <v/>
      </c>
      <c r="O16" s="0" t="str">
        <f aca="false">IF('THÁNG 6'!$C23="","",N('THÁNG 6'!$R23))</f>
        <v/>
      </c>
      <c r="P16" s="0" t="str">
        <f aca="false">IF(OR('THÁNG 6'!$C23="",'THÁNG 6'!$T23=""),"",'THÁNG 6'!$T23)</f>
        <v/>
      </c>
      <c r="Q16" s="0" t="str">
        <f aca="false">IF(OR('THÁNG 6'!$C23="",'THÁNG 6'!$U23=""),"",'THÁNG 6'!$U23)</f>
        <v/>
      </c>
      <c r="R16" s="0" t="str">
        <f aca="false">IF('THÁNG 6'!$C23="","",'THÁNG 6'!$W23&amp;"")</f>
        <v/>
      </c>
      <c r="S16" s="0" t="str">
        <f aca="false">IF('THÁNG 6'!$C23="","",'THÁNG 6'!$S23&amp;"")</f>
        <v/>
      </c>
      <c r="T16" s="0" t="str">
        <f aca="false">IF(N($O16)&gt;0,COUNTIF($O$3:$O16,"&gt;0"),"")</f>
        <v/>
      </c>
      <c r="U16" s="0" t="str">
        <f aca="false">IF(AND(N($J16)&gt;0,N($K16)&gt;0),COUNTIFS($J$3:$J16,"&gt;0",$K$3:$K16,"&gt;0"),"")</f>
        <v/>
      </c>
      <c r="V16" s="0" t="str">
        <f aca="false">IF(AND(N($J16)&gt;0,N($K16)=0),COUNTIFS($J$3:$J16,"&gt;0",$K$3:$K16,"&lt;=0"),"")</f>
        <v/>
      </c>
      <c r="W16" s="0" t="str">
        <f aca="false">IF($C16="","",IF(COUNTIF($C$3:$C16,$C16)&gt;1,"",MAX($W$2:W15)+1))</f>
        <v/>
      </c>
      <c r="X16" s="0" t="str">
        <f aca="false">IF($H16="","",IF(COUNTIF($H$3:$H16,$H16)&gt;1,"",MAX($X$2:X15)+1))</f>
        <v/>
      </c>
      <c r="Y16" s="0" t="str">
        <f aca="false">IF(AND(N($M16)&gt;0,N($O16)&lt;=0),COUNTIFS($M$3:$M16,"&gt;0",$O$3:$O16,"&lt;=0"),"")</f>
        <v/>
      </c>
      <c r="Z16" s="30" t="n">
        <f aca="false">IF(OR('THÁNG 6'!$C23="",'THÁNG 6'!$B23=""),0,'THÁNG 6'!$B23)</f>
        <v>0</v>
      </c>
    </row>
    <row r="17" customFormat="false" ht="15" hidden="false" customHeight="false" outlineLevel="0" collapsed="false">
      <c r="A17" s="0" t="n">
        <v>6</v>
      </c>
      <c r="B17" s="29" t="str">
        <f aca="false">IF(OR('THÁNG 6'!$C24="",'THÁNG 6'!$B24=""),"",'THÁNG 6'!$B24)</f>
        <v/>
      </c>
      <c r="C17" s="0" t="str">
        <f aca="false">IF('THÁNG 6'!$C24="","",'THÁNG 6'!$C24)</f>
        <v/>
      </c>
      <c r="D17" s="0" t="str">
        <f aca="false">IF('THÁNG 6'!$C24="","",'THÁNG 6'!$D24&amp;"")</f>
        <v/>
      </c>
      <c r="E17" s="0" t="str">
        <f aca="false">IF('THÁNG 6'!$C24="","",'THÁNG 6'!$E24&amp;"")</f>
        <v/>
      </c>
      <c r="F17" s="0" t="str">
        <f aca="false">IF('THÁNG 6'!$C24="","",'THÁNG 6'!$F24&amp;"")</f>
        <v/>
      </c>
      <c r="G17" s="0" t="str">
        <f aca="false">IF('THÁNG 6'!$C24="","",'THÁNG 6'!$G24&amp;"")</f>
        <v/>
      </c>
      <c r="H17" s="0" t="str">
        <f aca="false">IF('THÁNG 6'!$C24="","",'THÁNG 6'!$H24&amp;"")</f>
        <v/>
      </c>
      <c r="I17" s="0" t="str">
        <f aca="false">IF('THÁNG 6'!$C24="","",N('THÁNG 6'!$I24))</f>
        <v/>
      </c>
      <c r="J17" s="0" t="str">
        <f aca="false">IF('THÁNG 6'!$C24="","",N('THÁNG 6'!$L24))</f>
        <v/>
      </c>
      <c r="K17" s="0" t="str">
        <f aca="false">IF('THÁNG 6'!$C24="","",N('THÁNG 6'!$N24))</f>
        <v/>
      </c>
      <c r="L17" s="0" t="str">
        <f aca="false">IF('THÁNG 6'!$C24="","",N('THÁNG 6'!$O24))</f>
        <v/>
      </c>
      <c r="M17" s="0" t="str">
        <f aca="false">IF('THÁNG 6'!$C24="","",N('THÁNG 6'!$P24))</f>
        <v/>
      </c>
      <c r="N17" s="0" t="str">
        <f aca="false">IF('THÁNG 6'!$C24="","",N('THÁNG 6'!$Q24))</f>
        <v/>
      </c>
      <c r="O17" s="0" t="str">
        <f aca="false">IF('THÁNG 6'!$C24="","",N('THÁNG 6'!$R24))</f>
        <v/>
      </c>
      <c r="P17" s="0" t="str">
        <f aca="false">IF(OR('THÁNG 6'!$C24="",'THÁNG 6'!$T24=""),"",'THÁNG 6'!$T24)</f>
        <v/>
      </c>
      <c r="Q17" s="0" t="str">
        <f aca="false">IF(OR('THÁNG 6'!$C24="",'THÁNG 6'!$U24=""),"",'THÁNG 6'!$U24)</f>
        <v/>
      </c>
      <c r="R17" s="0" t="str">
        <f aca="false">IF('THÁNG 6'!$C24="","",'THÁNG 6'!$W24&amp;"")</f>
        <v/>
      </c>
      <c r="S17" s="0" t="str">
        <f aca="false">IF('THÁNG 6'!$C24="","",'THÁNG 6'!$S24&amp;"")</f>
        <v/>
      </c>
      <c r="T17" s="0" t="str">
        <f aca="false">IF(N($O17)&gt;0,COUNTIF($O$3:$O17,"&gt;0"),"")</f>
        <v/>
      </c>
      <c r="U17" s="0" t="str">
        <f aca="false">IF(AND(N($J17)&gt;0,N($K17)&gt;0),COUNTIFS($J$3:$J17,"&gt;0",$K$3:$K17,"&gt;0"),"")</f>
        <v/>
      </c>
      <c r="V17" s="0" t="str">
        <f aca="false">IF(AND(N($J17)&gt;0,N($K17)=0),COUNTIFS($J$3:$J17,"&gt;0",$K$3:$K17,"&lt;=0"),"")</f>
        <v/>
      </c>
      <c r="W17" s="0" t="str">
        <f aca="false">IF($C17="","",IF(COUNTIF($C$3:$C17,$C17)&gt;1,"",MAX($W$2:W16)+1))</f>
        <v/>
      </c>
      <c r="X17" s="0" t="str">
        <f aca="false">IF($H17="","",IF(COUNTIF($H$3:$H17,$H17)&gt;1,"",MAX($X$2:X16)+1))</f>
        <v/>
      </c>
      <c r="Y17" s="0" t="str">
        <f aca="false">IF(AND(N($M17)&gt;0,N($O17)&lt;=0),COUNTIFS($M$3:$M17,"&gt;0",$O$3:$O17,"&lt;=0"),"")</f>
        <v/>
      </c>
      <c r="Z17" s="30" t="n">
        <f aca="false">IF(OR('THÁNG 6'!$C24="",'THÁNG 6'!$B24=""),0,'THÁNG 6'!$B24)</f>
        <v>0</v>
      </c>
    </row>
    <row r="18" customFormat="false" ht="15" hidden="false" customHeight="false" outlineLevel="0" collapsed="false">
      <c r="A18" s="0" t="n">
        <v>6</v>
      </c>
      <c r="B18" s="29" t="str">
        <f aca="false">IF(OR('THÁNG 6'!$C25="",'THÁNG 6'!$B25=""),"",'THÁNG 6'!$B25)</f>
        <v/>
      </c>
      <c r="C18" s="0" t="str">
        <f aca="false">IF('THÁNG 6'!$C25="","",'THÁNG 6'!$C25)</f>
        <v/>
      </c>
      <c r="D18" s="0" t="str">
        <f aca="false">IF('THÁNG 6'!$C25="","",'THÁNG 6'!$D25&amp;"")</f>
        <v/>
      </c>
      <c r="E18" s="0" t="str">
        <f aca="false">IF('THÁNG 6'!$C25="","",'THÁNG 6'!$E25&amp;"")</f>
        <v/>
      </c>
      <c r="F18" s="0" t="str">
        <f aca="false">IF('THÁNG 6'!$C25="","",'THÁNG 6'!$F25&amp;"")</f>
        <v/>
      </c>
      <c r="G18" s="0" t="str">
        <f aca="false">IF('THÁNG 6'!$C25="","",'THÁNG 6'!$G25&amp;"")</f>
        <v/>
      </c>
      <c r="H18" s="0" t="str">
        <f aca="false">IF('THÁNG 6'!$C25="","",'THÁNG 6'!$H25&amp;"")</f>
        <v/>
      </c>
      <c r="I18" s="0" t="str">
        <f aca="false">IF('THÁNG 6'!$C25="","",N('THÁNG 6'!$I25))</f>
        <v/>
      </c>
      <c r="J18" s="0" t="str">
        <f aca="false">IF('THÁNG 6'!$C25="","",N('THÁNG 6'!$L25))</f>
        <v/>
      </c>
      <c r="K18" s="0" t="str">
        <f aca="false">IF('THÁNG 6'!$C25="","",N('THÁNG 6'!$N25))</f>
        <v/>
      </c>
      <c r="L18" s="0" t="str">
        <f aca="false">IF('THÁNG 6'!$C25="","",N('THÁNG 6'!$O25))</f>
        <v/>
      </c>
      <c r="M18" s="0" t="str">
        <f aca="false">IF('THÁNG 6'!$C25="","",N('THÁNG 6'!$P25))</f>
        <v/>
      </c>
      <c r="N18" s="0" t="str">
        <f aca="false">IF('THÁNG 6'!$C25="","",N('THÁNG 6'!$Q25))</f>
        <v/>
      </c>
      <c r="O18" s="0" t="str">
        <f aca="false">IF('THÁNG 6'!$C25="","",N('THÁNG 6'!$R25))</f>
        <v/>
      </c>
      <c r="P18" s="0" t="str">
        <f aca="false">IF(OR('THÁNG 6'!$C25="",'THÁNG 6'!$T25=""),"",'THÁNG 6'!$T25)</f>
        <v/>
      </c>
      <c r="Q18" s="0" t="str">
        <f aca="false">IF(OR('THÁNG 6'!$C25="",'THÁNG 6'!$U25=""),"",'THÁNG 6'!$U25)</f>
        <v/>
      </c>
      <c r="R18" s="0" t="str">
        <f aca="false">IF('THÁNG 6'!$C25="","",'THÁNG 6'!$W25&amp;"")</f>
        <v/>
      </c>
      <c r="S18" s="0" t="str">
        <f aca="false">IF('THÁNG 6'!$C25="","",'THÁNG 6'!$S25&amp;"")</f>
        <v/>
      </c>
      <c r="T18" s="0" t="str">
        <f aca="false">IF(N($O18)&gt;0,COUNTIF($O$3:$O18,"&gt;0"),"")</f>
        <v/>
      </c>
      <c r="U18" s="0" t="str">
        <f aca="false">IF(AND(N($J18)&gt;0,N($K18)&gt;0),COUNTIFS($J$3:$J18,"&gt;0",$K$3:$K18,"&gt;0"),"")</f>
        <v/>
      </c>
      <c r="V18" s="0" t="str">
        <f aca="false">IF(AND(N($J18)&gt;0,N($K18)=0),COUNTIFS($J$3:$J18,"&gt;0",$K$3:$K18,"&lt;=0"),"")</f>
        <v/>
      </c>
      <c r="W18" s="0" t="str">
        <f aca="false">IF($C18="","",IF(COUNTIF($C$3:$C18,$C18)&gt;1,"",MAX($W$2:W17)+1))</f>
        <v/>
      </c>
      <c r="X18" s="0" t="str">
        <f aca="false">IF($H18="","",IF(COUNTIF($H$3:$H18,$H18)&gt;1,"",MAX($X$2:X17)+1))</f>
        <v/>
      </c>
      <c r="Y18" s="0" t="str">
        <f aca="false">IF(AND(N($M18)&gt;0,N($O18)&lt;=0),COUNTIFS($M$3:$M18,"&gt;0",$O$3:$O18,"&lt;=0"),"")</f>
        <v/>
      </c>
      <c r="Z18" s="30" t="n">
        <f aca="false">IF(OR('THÁNG 6'!$C25="",'THÁNG 6'!$B25=""),0,'THÁNG 6'!$B25)</f>
        <v>0</v>
      </c>
    </row>
    <row r="19" customFormat="false" ht="15" hidden="false" customHeight="false" outlineLevel="0" collapsed="false">
      <c r="A19" s="0" t="n">
        <v>6</v>
      </c>
      <c r="B19" s="29" t="str">
        <f aca="false">IF(OR('THÁNG 6'!$C26="",'THÁNG 6'!$B26=""),"",'THÁNG 6'!$B26)</f>
        <v/>
      </c>
      <c r="C19" s="0" t="str">
        <f aca="false">IF('THÁNG 6'!$C26="","",'THÁNG 6'!$C26)</f>
        <v/>
      </c>
      <c r="D19" s="0" t="str">
        <f aca="false">IF('THÁNG 6'!$C26="","",'THÁNG 6'!$D26&amp;"")</f>
        <v/>
      </c>
      <c r="E19" s="0" t="str">
        <f aca="false">IF('THÁNG 6'!$C26="","",'THÁNG 6'!$E26&amp;"")</f>
        <v/>
      </c>
      <c r="F19" s="0" t="str">
        <f aca="false">IF('THÁNG 6'!$C26="","",'THÁNG 6'!$F26&amp;"")</f>
        <v/>
      </c>
      <c r="G19" s="0" t="str">
        <f aca="false">IF('THÁNG 6'!$C26="","",'THÁNG 6'!$G26&amp;"")</f>
        <v/>
      </c>
      <c r="H19" s="0" t="str">
        <f aca="false">IF('THÁNG 6'!$C26="","",'THÁNG 6'!$H26&amp;"")</f>
        <v/>
      </c>
      <c r="I19" s="0" t="str">
        <f aca="false">IF('THÁNG 6'!$C26="","",N('THÁNG 6'!$I26))</f>
        <v/>
      </c>
      <c r="J19" s="0" t="str">
        <f aca="false">IF('THÁNG 6'!$C26="","",N('THÁNG 6'!$L26))</f>
        <v/>
      </c>
      <c r="K19" s="0" t="str">
        <f aca="false">IF('THÁNG 6'!$C26="","",N('THÁNG 6'!$N26))</f>
        <v/>
      </c>
      <c r="L19" s="0" t="str">
        <f aca="false">IF('THÁNG 6'!$C26="","",N('THÁNG 6'!$O26))</f>
        <v/>
      </c>
      <c r="M19" s="0" t="str">
        <f aca="false">IF('THÁNG 6'!$C26="","",N('THÁNG 6'!$P26))</f>
        <v/>
      </c>
      <c r="N19" s="0" t="str">
        <f aca="false">IF('THÁNG 6'!$C26="","",N('THÁNG 6'!$Q26))</f>
        <v/>
      </c>
      <c r="O19" s="0" t="str">
        <f aca="false">IF('THÁNG 6'!$C26="","",N('THÁNG 6'!$R26))</f>
        <v/>
      </c>
      <c r="P19" s="0" t="str">
        <f aca="false">IF(OR('THÁNG 6'!$C26="",'THÁNG 6'!$T26=""),"",'THÁNG 6'!$T26)</f>
        <v/>
      </c>
      <c r="Q19" s="0" t="str">
        <f aca="false">IF(OR('THÁNG 6'!$C26="",'THÁNG 6'!$U26=""),"",'THÁNG 6'!$U26)</f>
        <v/>
      </c>
      <c r="R19" s="0" t="str">
        <f aca="false">IF('THÁNG 6'!$C26="","",'THÁNG 6'!$W26&amp;"")</f>
        <v/>
      </c>
      <c r="S19" s="0" t="str">
        <f aca="false">IF('THÁNG 6'!$C26="","",'THÁNG 6'!$S26&amp;"")</f>
        <v/>
      </c>
      <c r="T19" s="0" t="str">
        <f aca="false">IF(N($O19)&gt;0,COUNTIF($O$3:$O19,"&gt;0"),"")</f>
        <v/>
      </c>
      <c r="U19" s="0" t="str">
        <f aca="false">IF(AND(N($J19)&gt;0,N($K19)&gt;0),COUNTIFS($J$3:$J19,"&gt;0",$K$3:$K19,"&gt;0"),"")</f>
        <v/>
      </c>
      <c r="V19" s="0" t="str">
        <f aca="false">IF(AND(N($J19)&gt;0,N($K19)=0),COUNTIFS($J$3:$J19,"&gt;0",$K$3:$K19,"&lt;=0"),"")</f>
        <v/>
      </c>
      <c r="W19" s="0" t="str">
        <f aca="false">IF($C19="","",IF(COUNTIF($C$3:$C19,$C19)&gt;1,"",MAX($W$2:W18)+1))</f>
        <v/>
      </c>
      <c r="X19" s="0" t="str">
        <f aca="false">IF($H19="","",IF(COUNTIF($H$3:$H19,$H19)&gt;1,"",MAX($X$2:X18)+1))</f>
        <v/>
      </c>
      <c r="Y19" s="0" t="str">
        <f aca="false">IF(AND(N($M19)&gt;0,N($O19)&lt;=0),COUNTIFS($M$3:$M19,"&gt;0",$O$3:$O19,"&lt;=0"),"")</f>
        <v/>
      </c>
      <c r="Z19" s="30" t="n">
        <f aca="false">IF(OR('THÁNG 6'!$C26="",'THÁNG 6'!$B26=""),0,'THÁNG 6'!$B26)</f>
        <v>0</v>
      </c>
    </row>
    <row r="20" customFormat="false" ht="15" hidden="false" customHeight="false" outlineLevel="0" collapsed="false">
      <c r="A20" s="0" t="n">
        <v>6</v>
      </c>
      <c r="B20" s="29" t="str">
        <f aca="false">IF(OR('THÁNG 6'!$C27="",'THÁNG 6'!$B27=""),"",'THÁNG 6'!$B27)</f>
        <v/>
      </c>
      <c r="C20" s="0" t="str">
        <f aca="false">IF('THÁNG 6'!$C27="","",'THÁNG 6'!$C27)</f>
        <v/>
      </c>
      <c r="D20" s="0" t="str">
        <f aca="false">IF('THÁNG 6'!$C27="","",'THÁNG 6'!$D27&amp;"")</f>
        <v/>
      </c>
      <c r="E20" s="0" t="str">
        <f aca="false">IF('THÁNG 6'!$C27="","",'THÁNG 6'!$E27&amp;"")</f>
        <v/>
      </c>
      <c r="F20" s="0" t="str">
        <f aca="false">IF('THÁNG 6'!$C27="","",'THÁNG 6'!$F27&amp;"")</f>
        <v/>
      </c>
      <c r="G20" s="0" t="str">
        <f aca="false">IF('THÁNG 6'!$C27="","",'THÁNG 6'!$G27&amp;"")</f>
        <v/>
      </c>
      <c r="H20" s="0" t="str">
        <f aca="false">IF('THÁNG 6'!$C27="","",'THÁNG 6'!$H27&amp;"")</f>
        <v/>
      </c>
      <c r="I20" s="0" t="str">
        <f aca="false">IF('THÁNG 6'!$C27="","",N('THÁNG 6'!$I27))</f>
        <v/>
      </c>
      <c r="J20" s="0" t="str">
        <f aca="false">IF('THÁNG 6'!$C27="","",N('THÁNG 6'!$L27))</f>
        <v/>
      </c>
      <c r="K20" s="0" t="str">
        <f aca="false">IF('THÁNG 6'!$C27="","",N('THÁNG 6'!$N27))</f>
        <v/>
      </c>
      <c r="L20" s="0" t="str">
        <f aca="false">IF('THÁNG 6'!$C27="","",N('THÁNG 6'!$O27))</f>
        <v/>
      </c>
      <c r="M20" s="0" t="str">
        <f aca="false">IF('THÁNG 6'!$C27="","",N('THÁNG 6'!$P27))</f>
        <v/>
      </c>
      <c r="N20" s="0" t="str">
        <f aca="false">IF('THÁNG 6'!$C27="","",N('THÁNG 6'!$Q27))</f>
        <v/>
      </c>
      <c r="O20" s="0" t="str">
        <f aca="false">IF('THÁNG 6'!$C27="","",N('THÁNG 6'!$R27))</f>
        <v/>
      </c>
      <c r="P20" s="0" t="str">
        <f aca="false">IF(OR('THÁNG 6'!$C27="",'THÁNG 6'!$T27=""),"",'THÁNG 6'!$T27)</f>
        <v/>
      </c>
      <c r="Q20" s="0" t="str">
        <f aca="false">IF(OR('THÁNG 6'!$C27="",'THÁNG 6'!$U27=""),"",'THÁNG 6'!$U27)</f>
        <v/>
      </c>
      <c r="R20" s="0" t="str">
        <f aca="false">IF('THÁNG 6'!$C27="","",'THÁNG 6'!$W27&amp;"")</f>
        <v/>
      </c>
      <c r="S20" s="0" t="str">
        <f aca="false">IF('THÁNG 6'!$C27="","",'THÁNG 6'!$S27&amp;"")</f>
        <v/>
      </c>
      <c r="T20" s="0" t="str">
        <f aca="false">IF(N($O20)&gt;0,COUNTIF($O$3:$O20,"&gt;0"),"")</f>
        <v/>
      </c>
      <c r="U20" s="0" t="str">
        <f aca="false">IF(AND(N($J20)&gt;0,N($K20)&gt;0),COUNTIFS($J$3:$J20,"&gt;0",$K$3:$K20,"&gt;0"),"")</f>
        <v/>
      </c>
      <c r="V20" s="0" t="str">
        <f aca="false">IF(AND(N($J20)&gt;0,N($K20)=0),COUNTIFS($J$3:$J20,"&gt;0",$K$3:$K20,"&lt;=0"),"")</f>
        <v/>
      </c>
      <c r="W20" s="0" t="str">
        <f aca="false">IF($C20="","",IF(COUNTIF($C$3:$C20,$C20)&gt;1,"",MAX($W$2:W19)+1))</f>
        <v/>
      </c>
      <c r="X20" s="0" t="str">
        <f aca="false">IF($H20="","",IF(COUNTIF($H$3:$H20,$H20)&gt;1,"",MAX($X$2:X19)+1))</f>
        <v/>
      </c>
      <c r="Y20" s="0" t="str">
        <f aca="false">IF(AND(N($M20)&gt;0,N($O20)&lt;=0),COUNTIFS($M$3:$M20,"&gt;0",$O$3:$O20,"&lt;=0"),"")</f>
        <v/>
      </c>
      <c r="Z20" s="30" t="n">
        <f aca="false">IF(OR('THÁNG 6'!$C27="",'THÁNG 6'!$B27=""),0,'THÁNG 6'!$B27)</f>
        <v>0</v>
      </c>
    </row>
    <row r="21" customFormat="false" ht="15" hidden="false" customHeight="false" outlineLevel="0" collapsed="false">
      <c r="A21" s="0" t="n">
        <v>6</v>
      </c>
      <c r="B21" s="29" t="str">
        <f aca="false">IF(OR('THÁNG 6'!$C28="",'THÁNG 6'!$B28=""),"",'THÁNG 6'!$B28)</f>
        <v/>
      </c>
      <c r="C21" s="0" t="str">
        <f aca="false">IF('THÁNG 6'!$C28="","",'THÁNG 6'!$C28)</f>
        <v/>
      </c>
      <c r="D21" s="0" t="str">
        <f aca="false">IF('THÁNG 6'!$C28="","",'THÁNG 6'!$D28&amp;"")</f>
        <v/>
      </c>
      <c r="E21" s="0" t="str">
        <f aca="false">IF('THÁNG 6'!$C28="","",'THÁNG 6'!$E28&amp;"")</f>
        <v/>
      </c>
      <c r="F21" s="0" t="str">
        <f aca="false">IF('THÁNG 6'!$C28="","",'THÁNG 6'!$F28&amp;"")</f>
        <v/>
      </c>
      <c r="G21" s="0" t="str">
        <f aca="false">IF('THÁNG 6'!$C28="","",'THÁNG 6'!$G28&amp;"")</f>
        <v/>
      </c>
      <c r="H21" s="0" t="str">
        <f aca="false">IF('THÁNG 6'!$C28="","",'THÁNG 6'!$H28&amp;"")</f>
        <v/>
      </c>
      <c r="I21" s="0" t="str">
        <f aca="false">IF('THÁNG 6'!$C28="","",N('THÁNG 6'!$I28))</f>
        <v/>
      </c>
      <c r="J21" s="0" t="str">
        <f aca="false">IF('THÁNG 6'!$C28="","",N('THÁNG 6'!$L28))</f>
        <v/>
      </c>
      <c r="K21" s="0" t="str">
        <f aca="false">IF('THÁNG 6'!$C28="","",N('THÁNG 6'!$N28))</f>
        <v/>
      </c>
      <c r="L21" s="0" t="str">
        <f aca="false">IF('THÁNG 6'!$C28="","",N('THÁNG 6'!$O28))</f>
        <v/>
      </c>
      <c r="M21" s="0" t="str">
        <f aca="false">IF('THÁNG 6'!$C28="","",N('THÁNG 6'!$P28))</f>
        <v/>
      </c>
      <c r="N21" s="0" t="str">
        <f aca="false">IF('THÁNG 6'!$C28="","",N('THÁNG 6'!$Q28))</f>
        <v/>
      </c>
      <c r="O21" s="0" t="str">
        <f aca="false">IF('THÁNG 6'!$C28="","",N('THÁNG 6'!$R28))</f>
        <v/>
      </c>
      <c r="P21" s="0" t="str">
        <f aca="false">IF(OR('THÁNG 6'!$C28="",'THÁNG 6'!$T28=""),"",'THÁNG 6'!$T28)</f>
        <v/>
      </c>
      <c r="Q21" s="0" t="str">
        <f aca="false">IF(OR('THÁNG 6'!$C28="",'THÁNG 6'!$U28=""),"",'THÁNG 6'!$U28)</f>
        <v/>
      </c>
      <c r="R21" s="0" t="str">
        <f aca="false">IF('THÁNG 6'!$C28="","",'THÁNG 6'!$W28&amp;"")</f>
        <v/>
      </c>
      <c r="S21" s="0" t="str">
        <f aca="false">IF('THÁNG 6'!$C28="","",'THÁNG 6'!$S28&amp;"")</f>
        <v/>
      </c>
      <c r="T21" s="0" t="str">
        <f aca="false">IF(N($O21)&gt;0,COUNTIF($O$3:$O21,"&gt;0"),"")</f>
        <v/>
      </c>
      <c r="U21" s="0" t="str">
        <f aca="false">IF(AND(N($J21)&gt;0,N($K21)&gt;0),COUNTIFS($J$3:$J21,"&gt;0",$K$3:$K21,"&gt;0"),"")</f>
        <v/>
      </c>
      <c r="V21" s="0" t="str">
        <f aca="false">IF(AND(N($J21)&gt;0,N($K21)=0),COUNTIFS($J$3:$J21,"&gt;0",$K$3:$K21,"&lt;=0"),"")</f>
        <v/>
      </c>
      <c r="W21" s="0" t="str">
        <f aca="false">IF($C21="","",IF(COUNTIF($C$3:$C21,$C21)&gt;1,"",MAX($W$2:W20)+1))</f>
        <v/>
      </c>
      <c r="X21" s="0" t="str">
        <f aca="false">IF($H21="","",IF(COUNTIF($H$3:$H21,$H21)&gt;1,"",MAX($X$2:X20)+1))</f>
        <v/>
      </c>
      <c r="Y21" s="0" t="str">
        <f aca="false">IF(AND(N($M21)&gt;0,N($O21)&lt;=0),COUNTIFS($M$3:$M21,"&gt;0",$O$3:$O21,"&lt;=0"),"")</f>
        <v/>
      </c>
      <c r="Z21" s="30" t="n">
        <f aca="false">IF(OR('THÁNG 6'!$C28="",'THÁNG 6'!$B28=""),0,'THÁNG 6'!$B28)</f>
        <v>0</v>
      </c>
    </row>
    <row r="22" customFormat="false" ht="15" hidden="false" customHeight="false" outlineLevel="0" collapsed="false">
      <c r="A22" s="0" t="n">
        <v>6</v>
      </c>
      <c r="B22" s="29" t="str">
        <f aca="false">IF(OR('THÁNG 6'!$C29="",'THÁNG 6'!$B29=""),"",'THÁNG 6'!$B29)</f>
        <v/>
      </c>
      <c r="C22" s="0" t="str">
        <f aca="false">IF('THÁNG 6'!$C29="","",'THÁNG 6'!$C29)</f>
        <v/>
      </c>
      <c r="D22" s="0" t="str">
        <f aca="false">IF('THÁNG 6'!$C29="","",'THÁNG 6'!$D29&amp;"")</f>
        <v/>
      </c>
      <c r="E22" s="0" t="str">
        <f aca="false">IF('THÁNG 6'!$C29="","",'THÁNG 6'!$E29&amp;"")</f>
        <v/>
      </c>
      <c r="F22" s="0" t="str">
        <f aca="false">IF('THÁNG 6'!$C29="","",'THÁNG 6'!$F29&amp;"")</f>
        <v/>
      </c>
      <c r="G22" s="0" t="str">
        <f aca="false">IF('THÁNG 6'!$C29="","",'THÁNG 6'!$G29&amp;"")</f>
        <v/>
      </c>
      <c r="H22" s="0" t="str">
        <f aca="false">IF('THÁNG 6'!$C29="","",'THÁNG 6'!$H29&amp;"")</f>
        <v/>
      </c>
      <c r="I22" s="0" t="str">
        <f aca="false">IF('THÁNG 6'!$C29="","",N('THÁNG 6'!$I29))</f>
        <v/>
      </c>
      <c r="J22" s="0" t="str">
        <f aca="false">IF('THÁNG 6'!$C29="","",N('THÁNG 6'!$L29))</f>
        <v/>
      </c>
      <c r="K22" s="0" t="str">
        <f aca="false">IF('THÁNG 6'!$C29="","",N('THÁNG 6'!$N29))</f>
        <v/>
      </c>
      <c r="L22" s="0" t="str">
        <f aca="false">IF('THÁNG 6'!$C29="","",N('THÁNG 6'!$O29))</f>
        <v/>
      </c>
      <c r="M22" s="0" t="str">
        <f aca="false">IF('THÁNG 6'!$C29="","",N('THÁNG 6'!$P29))</f>
        <v/>
      </c>
      <c r="N22" s="0" t="str">
        <f aca="false">IF('THÁNG 6'!$C29="","",N('THÁNG 6'!$Q29))</f>
        <v/>
      </c>
      <c r="O22" s="0" t="str">
        <f aca="false">IF('THÁNG 6'!$C29="","",N('THÁNG 6'!$R29))</f>
        <v/>
      </c>
      <c r="P22" s="0" t="str">
        <f aca="false">IF(OR('THÁNG 6'!$C29="",'THÁNG 6'!$T29=""),"",'THÁNG 6'!$T29)</f>
        <v/>
      </c>
      <c r="Q22" s="0" t="str">
        <f aca="false">IF(OR('THÁNG 6'!$C29="",'THÁNG 6'!$U29=""),"",'THÁNG 6'!$U29)</f>
        <v/>
      </c>
      <c r="R22" s="0" t="str">
        <f aca="false">IF('THÁNG 6'!$C29="","",'THÁNG 6'!$W29&amp;"")</f>
        <v/>
      </c>
      <c r="S22" s="0" t="str">
        <f aca="false">IF('THÁNG 6'!$C29="","",'THÁNG 6'!$S29&amp;"")</f>
        <v/>
      </c>
      <c r="T22" s="0" t="str">
        <f aca="false">IF(N($O22)&gt;0,COUNTIF($O$3:$O22,"&gt;0"),"")</f>
        <v/>
      </c>
      <c r="U22" s="0" t="str">
        <f aca="false">IF(AND(N($J22)&gt;0,N($K22)&gt;0),COUNTIFS($J$3:$J22,"&gt;0",$K$3:$K22,"&gt;0"),"")</f>
        <v/>
      </c>
      <c r="V22" s="0" t="str">
        <f aca="false">IF(AND(N($J22)&gt;0,N($K22)=0),COUNTIFS($J$3:$J22,"&gt;0",$K$3:$K22,"&lt;=0"),"")</f>
        <v/>
      </c>
      <c r="W22" s="0" t="str">
        <f aca="false">IF($C22="","",IF(COUNTIF($C$3:$C22,$C22)&gt;1,"",MAX($W$2:W21)+1))</f>
        <v/>
      </c>
      <c r="X22" s="0" t="str">
        <f aca="false">IF($H22="","",IF(COUNTIF($H$3:$H22,$H22)&gt;1,"",MAX($X$2:X21)+1))</f>
        <v/>
      </c>
      <c r="Y22" s="0" t="str">
        <f aca="false">IF(AND(N($M22)&gt;0,N($O22)&lt;=0),COUNTIFS($M$3:$M22,"&gt;0",$O$3:$O22,"&lt;=0"),"")</f>
        <v/>
      </c>
      <c r="Z22" s="30" t="n">
        <f aca="false">IF(OR('THÁNG 6'!$C29="",'THÁNG 6'!$B29=""),0,'THÁNG 6'!$B29)</f>
        <v>0</v>
      </c>
    </row>
    <row r="23" customFormat="false" ht="15" hidden="false" customHeight="false" outlineLevel="0" collapsed="false">
      <c r="A23" s="0" t="n">
        <v>6</v>
      </c>
      <c r="B23" s="29" t="str">
        <f aca="false">IF(OR('THÁNG 6'!$C30="",'THÁNG 6'!$B30=""),"",'THÁNG 6'!$B30)</f>
        <v/>
      </c>
      <c r="C23" s="0" t="str">
        <f aca="false">IF('THÁNG 6'!$C30="","",'THÁNG 6'!$C30)</f>
        <v/>
      </c>
      <c r="D23" s="0" t="str">
        <f aca="false">IF('THÁNG 6'!$C30="","",'THÁNG 6'!$D30&amp;"")</f>
        <v/>
      </c>
      <c r="E23" s="0" t="str">
        <f aca="false">IF('THÁNG 6'!$C30="","",'THÁNG 6'!$E30&amp;"")</f>
        <v/>
      </c>
      <c r="F23" s="0" t="str">
        <f aca="false">IF('THÁNG 6'!$C30="","",'THÁNG 6'!$F30&amp;"")</f>
        <v/>
      </c>
      <c r="G23" s="0" t="str">
        <f aca="false">IF('THÁNG 6'!$C30="","",'THÁNG 6'!$G30&amp;"")</f>
        <v/>
      </c>
      <c r="H23" s="0" t="str">
        <f aca="false">IF('THÁNG 6'!$C30="","",'THÁNG 6'!$H30&amp;"")</f>
        <v/>
      </c>
      <c r="I23" s="0" t="str">
        <f aca="false">IF('THÁNG 6'!$C30="","",N('THÁNG 6'!$I30))</f>
        <v/>
      </c>
      <c r="J23" s="0" t="str">
        <f aca="false">IF('THÁNG 6'!$C30="","",N('THÁNG 6'!$L30))</f>
        <v/>
      </c>
      <c r="K23" s="0" t="str">
        <f aca="false">IF('THÁNG 6'!$C30="","",N('THÁNG 6'!$N30))</f>
        <v/>
      </c>
      <c r="L23" s="0" t="str">
        <f aca="false">IF('THÁNG 6'!$C30="","",N('THÁNG 6'!$O30))</f>
        <v/>
      </c>
      <c r="M23" s="0" t="str">
        <f aca="false">IF('THÁNG 6'!$C30="","",N('THÁNG 6'!$P30))</f>
        <v/>
      </c>
      <c r="N23" s="0" t="str">
        <f aca="false">IF('THÁNG 6'!$C30="","",N('THÁNG 6'!$Q30))</f>
        <v/>
      </c>
      <c r="O23" s="0" t="str">
        <f aca="false">IF('THÁNG 6'!$C30="","",N('THÁNG 6'!$R30))</f>
        <v/>
      </c>
      <c r="P23" s="0" t="str">
        <f aca="false">IF(OR('THÁNG 6'!$C30="",'THÁNG 6'!$T30=""),"",'THÁNG 6'!$T30)</f>
        <v/>
      </c>
      <c r="Q23" s="0" t="str">
        <f aca="false">IF(OR('THÁNG 6'!$C30="",'THÁNG 6'!$U30=""),"",'THÁNG 6'!$U30)</f>
        <v/>
      </c>
      <c r="R23" s="0" t="str">
        <f aca="false">IF('THÁNG 6'!$C30="","",'THÁNG 6'!$W30&amp;"")</f>
        <v/>
      </c>
      <c r="S23" s="0" t="str">
        <f aca="false">IF('THÁNG 6'!$C30="","",'THÁNG 6'!$S30&amp;"")</f>
        <v/>
      </c>
      <c r="T23" s="0" t="str">
        <f aca="false">IF(N($O23)&gt;0,COUNTIF($O$3:$O23,"&gt;0"),"")</f>
        <v/>
      </c>
      <c r="U23" s="0" t="str">
        <f aca="false">IF(AND(N($J23)&gt;0,N($K23)&gt;0),COUNTIFS($J$3:$J23,"&gt;0",$K$3:$K23,"&gt;0"),"")</f>
        <v/>
      </c>
      <c r="V23" s="0" t="str">
        <f aca="false">IF(AND(N($J23)&gt;0,N($K23)=0),COUNTIFS($J$3:$J23,"&gt;0",$K$3:$K23,"&lt;=0"),"")</f>
        <v/>
      </c>
      <c r="W23" s="0" t="str">
        <f aca="false">IF($C23="","",IF(COUNTIF($C$3:$C23,$C23)&gt;1,"",MAX($W$2:W22)+1))</f>
        <v/>
      </c>
      <c r="X23" s="0" t="str">
        <f aca="false">IF($H23="","",IF(COUNTIF($H$3:$H23,$H23)&gt;1,"",MAX($X$2:X22)+1))</f>
        <v/>
      </c>
      <c r="Y23" s="0" t="str">
        <f aca="false">IF(AND(N($M23)&gt;0,N($O23)&lt;=0),COUNTIFS($M$3:$M23,"&gt;0",$O$3:$O23,"&lt;=0"),"")</f>
        <v/>
      </c>
      <c r="Z23" s="30" t="n">
        <f aca="false">IF(OR('THÁNG 6'!$C30="",'THÁNG 6'!$B30=""),0,'THÁNG 6'!$B30)</f>
        <v>0</v>
      </c>
    </row>
    <row r="24" customFormat="false" ht="15" hidden="false" customHeight="false" outlineLevel="0" collapsed="false">
      <c r="A24" s="0" t="n">
        <v>6</v>
      </c>
      <c r="B24" s="29" t="str">
        <f aca="false">IF(OR('THÁNG 6'!$C31="",'THÁNG 6'!$B31=""),"",'THÁNG 6'!$B31)</f>
        <v/>
      </c>
      <c r="C24" s="0" t="str">
        <f aca="false">IF('THÁNG 6'!$C31="","",'THÁNG 6'!$C31)</f>
        <v/>
      </c>
      <c r="D24" s="0" t="str">
        <f aca="false">IF('THÁNG 6'!$C31="","",'THÁNG 6'!$D31&amp;"")</f>
        <v/>
      </c>
      <c r="E24" s="0" t="str">
        <f aca="false">IF('THÁNG 6'!$C31="","",'THÁNG 6'!$E31&amp;"")</f>
        <v/>
      </c>
      <c r="F24" s="0" t="str">
        <f aca="false">IF('THÁNG 6'!$C31="","",'THÁNG 6'!$F31&amp;"")</f>
        <v/>
      </c>
      <c r="G24" s="0" t="str">
        <f aca="false">IF('THÁNG 6'!$C31="","",'THÁNG 6'!$G31&amp;"")</f>
        <v/>
      </c>
      <c r="H24" s="0" t="str">
        <f aca="false">IF('THÁNG 6'!$C31="","",'THÁNG 6'!$H31&amp;"")</f>
        <v/>
      </c>
      <c r="I24" s="0" t="str">
        <f aca="false">IF('THÁNG 6'!$C31="","",N('THÁNG 6'!$I31))</f>
        <v/>
      </c>
      <c r="J24" s="0" t="str">
        <f aca="false">IF('THÁNG 6'!$C31="","",N('THÁNG 6'!$L31))</f>
        <v/>
      </c>
      <c r="K24" s="0" t="str">
        <f aca="false">IF('THÁNG 6'!$C31="","",N('THÁNG 6'!$N31))</f>
        <v/>
      </c>
      <c r="L24" s="0" t="str">
        <f aca="false">IF('THÁNG 6'!$C31="","",N('THÁNG 6'!$O31))</f>
        <v/>
      </c>
      <c r="M24" s="0" t="str">
        <f aca="false">IF('THÁNG 6'!$C31="","",N('THÁNG 6'!$P31))</f>
        <v/>
      </c>
      <c r="N24" s="0" t="str">
        <f aca="false">IF('THÁNG 6'!$C31="","",N('THÁNG 6'!$Q31))</f>
        <v/>
      </c>
      <c r="O24" s="0" t="str">
        <f aca="false">IF('THÁNG 6'!$C31="","",N('THÁNG 6'!$R31))</f>
        <v/>
      </c>
      <c r="P24" s="0" t="str">
        <f aca="false">IF(OR('THÁNG 6'!$C31="",'THÁNG 6'!$T31=""),"",'THÁNG 6'!$T31)</f>
        <v/>
      </c>
      <c r="Q24" s="0" t="str">
        <f aca="false">IF(OR('THÁNG 6'!$C31="",'THÁNG 6'!$U31=""),"",'THÁNG 6'!$U31)</f>
        <v/>
      </c>
      <c r="R24" s="0" t="str">
        <f aca="false">IF('THÁNG 6'!$C31="","",'THÁNG 6'!$W31&amp;"")</f>
        <v/>
      </c>
      <c r="S24" s="0" t="str">
        <f aca="false">IF('THÁNG 6'!$C31="","",'THÁNG 6'!$S31&amp;"")</f>
        <v/>
      </c>
      <c r="T24" s="0" t="str">
        <f aca="false">IF(N($O24)&gt;0,COUNTIF($O$3:$O24,"&gt;0"),"")</f>
        <v/>
      </c>
      <c r="U24" s="0" t="str">
        <f aca="false">IF(AND(N($J24)&gt;0,N($K24)&gt;0),COUNTIFS($J$3:$J24,"&gt;0",$K$3:$K24,"&gt;0"),"")</f>
        <v/>
      </c>
      <c r="V24" s="0" t="str">
        <f aca="false">IF(AND(N($J24)&gt;0,N($K24)=0),COUNTIFS($J$3:$J24,"&gt;0",$K$3:$K24,"&lt;=0"),"")</f>
        <v/>
      </c>
      <c r="W24" s="0" t="str">
        <f aca="false">IF($C24="","",IF(COUNTIF($C$3:$C24,$C24)&gt;1,"",MAX($W$2:W23)+1))</f>
        <v/>
      </c>
      <c r="X24" s="0" t="str">
        <f aca="false">IF($H24="","",IF(COUNTIF($H$3:$H24,$H24)&gt;1,"",MAX($X$2:X23)+1))</f>
        <v/>
      </c>
      <c r="Y24" s="0" t="str">
        <f aca="false">IF(AND(N($M24)&gt;0,N($O24)&lt;=0),COUNTIFS($M$3:$M24,"&gt;0",$O$3:$O24,"&lt;=0"),"")</f>
        <v/>
      </c>
      <c r="Z24" s="30" t="n">
        <f aca="false">IF(OR('THÁNG 6'!$C31="",'THÁNG 6'!$B31=""),0,'THÁNG 6'!$B31)</f>
        <v>0</v>
      </c>
    </row>
    <row r="25" customFormat="false" ht="15" hidden="false" customHeight="false" outlineLevel="0" collapsed="false">
      <c r="A25" s="0" t="n">
        <v>6</v>
      </c>
      <c r="B25" s="29" t="str">
        <f aca="false">IF(OR('THÁNG 6'!$C32="",'THÁNG 6'!$B32=""),"",'THÁNG 6'!$B32)</f>
        <v/>
      </c>
      <c r="C25" s="0" t="str">
        <f aca="false">IF('THÁNG 6'!$C32="","",'THÁNG 6'!$C32)</f>
        <v/>
      </c>
      <c r="D25" s="0" t="str">
        <f aca="false">IF('THÁNG 6'!$C32="","",'THÁNG 6'!$D32&amp;"")</f>
        <v/>
      </c>
      <c r="E25" s="0" t="str">
        <f aca="false">IF('THÁNG 6'!$C32="","",'THÁNG 6'!$E32&amp;"")</f>
        <v/>
      </c>
      <c r="F25" s="0" t="str">
        <f aca="false">IF('THÁNG 6'!$C32="","",'THÁNG 6'!$F32&amp;"")</f>
        <v/>
      </c>
      <c r="G25" s="0" t="str">
        <f aca="false">IF('THÁNG 6'!$C32="","",'THÁNG 6'!$G32&amp;"")</f>
        <v/>
      </c>
      <c r="H25" s="0" t="str">
        <f aca="false">IF('THÁNG 6'!$C32="","",'THÁNG 6'!$H32&amp;"")</f>
        <v/>
      </c>
      <c r="I25" s="0" t="str">
        <f aca="false">IF('THÁNG 6'!$C32="","",N('THÁNG 6'!$I32))</f>
        <v/>
      </c>
      <c r="J25" s="0" t="str">
        <f aca="false">IF('THÁNG 6'!$C32="","",N('THÁNG 6'!$L32))</f>
        <v/>
      </c>
      <c r="K25" s="0" t="str">
        <f aca="false">IF('THÁNG 6'!$C32="","",N('THÁNG 6'!$N32))</f>
        <v/>
      </c>
      <c r="L25" s="0" t="str">
        <f aca="false">IF('THÁNG 6'!$C32="","",N('THÁNG 6'!$O32))</f>
        <v/>
      </c>
      <c r="M25" s="0" t="str">
        <f aca="false">IF('THÁNG 6'!$C32="","",N('THÁNG 6'!$P32))</f>
        <v/>
      </c>
      <c r="N25" s="0" t="str">
        <f aca="false">IF('THÁNG 6'!$C32="","",N('THÁNG 6'!$Q32))</f>
        <v/>
      </c>
      <c r="O25" s="0" t="str">
        <f aca="false">IF('THÁNG 6'!$C32="","",N('THÁNG 6'!$R32))</f>
        <v/>
      </c>
      <c r="P25" s="0" t="str">
        <f aca="false">IF(OR('THÁNG 6'!$C32="",'THÁNG 6'!$T32=""),"",'THÁNG 6'!$T32)</f>
        <v/>
      </c>
      <c r="Q25" s="0" t="str">
        <f aca="false">IF(OR('THÁNG 6'!$C32="",'THÁNG 6'!$U32=""),"",'THÁNG 6'!$U32)</f>
        <v/>
      </c>
      <c r="R25" s="0" t="str">
        <f aca="false">IF('THÁNG 6'!$C32="","",'THÁNG 6'!$W32&amp;"")</f>
        <v/>
      </c>
      <c r="S25" s="0" t="str">
        <f aca="false">IF('THÁNG 6'!$C32="","",'THÁNG 6'!$S32&amp;"")</f>
        <v/>
      </c>
      <c r="T25" s="0" t="str">
        <f aca="false">IF(N($O25)&gt;0,COUNTIF($O$3:$O25,"&gt;0"),"")</f>
        <v/>
      </c>
      <c r="U25" s="0" t="str">
        <f aca="false">IF(AND(N($J25)&gt;0,N($K25)&gt;0),COUNTIFS($J$3:$J25,"&gt;0",$K$3:$K25,"&gt;0"),"")</f>
        <v/>
      </c>
      <c r="V25" s="0" t="str">
        <f aca="false">IF(AND(N($J25)&gt;0,N($K25)=0),COUNTIFS($J$3:$J25,"&gt;0",$K$3:$K25,"&lt;=0"),"")</f>
        <v/>
      </c>
      <c r="W25" s="0" t="str">
        <f aca="false">IF($C25="","",IF(COUNTIF($C$3:$C25,$C25)&gt;1,"",MAX($W$2:W24)+1))</f>
        <v/>
      </c>
      <c r="X25" s="0" t="str">
        <f aca="false">IF($H25="","",IF(COUNTIF($H$3:$H25,$H25)&gt;1,"",MAX($X$2:X24)+1))</f>
        <v/>
      </c>
      <c r="Y25" s="0" t="str">
        <f aca="false">IF(AND(N($M25)&gt;0,N($O25)&lt;=0),COUNTIFS($M$3:$M25,"&gt;0",$O$3:$O25,"&lt;=0"),"")</f>
        <v/>
      </c>
      <c r="Z25" s="30" t="n">
        <f aca="false">IF(OR('THÁNG 6'!$C32="",'THÁNG 6'!$B32=""),0,'THÁNG 6'!$B32)</f>
        <v>0</v>
      </c>
    </row>
    <row r="26" customFormat="false" ht="15" hidden="false" customHeight="false" outlineLevel="0" collapsed="false">
      <c r="A26" s="0" t="n">
        <v>6</v>
      </c>
      <c r="B26" s="29" t="str">
        <f aca="false">IF(OR('THÁNG 6'!$C33="",'THÁNG 6'!$B33=""),"",'THÁNG 6'!$B33)</f>
        <v/>
      </c>
      <c r="C26" s="0" t="str">
        <f aca="false">IF('THÁNG 6'!$C33="","",'THÁNG 6'!$C33)</f>
        <v/>
      </c>
      <c r="D26" s="0" t="str">
        <f aca="false">IF('THÁNG 6'!$C33="","",'THÁNG 6'!$D33&amp;"")</f>
        <v/>
      </c>
      <c r="E26" s="0" t="str">
        <f aca="false">IF('THÁNG 6'!$C33="","",'THÁNG 6'!$E33&amp;"")</f>
        <v/>
      </c>
      <c r="F26" s="0" t="str">
        <f aca="false">IF('THÁNG 6'!$C33="","",'THÁNG 6'!$F33&amp;"")</f>
        <v/>
      </c>
      <c r="G26" s="0" t="str">
        <f aca="false">IF('THÁNG 6'!$C33="","",'THÁNG 6'!$G33&amp;"")</f>
        <v/>
      </c>
      <c r="H26" s="0" t="str">
        <f aca="false">IF('THÁNG 6'!$C33="","",'THÁNG 6'!$H33&amp;"")</f>
        <v/>
      </c>
      <c r="I26" s="0" t="str">
        <f aca="false">IF('THÁNG 6'!$C33="","",N('THÁNG 6'!$I33))</f>
        <v/>
      </c>
      <c r="J26" s="0" t="str">
        <f aca="false">IF('THÁNG 6'!$C33="","",N('THÁNG 6'!$L33))</f>
        <v/>
      </c>
      <c r="K26" s="0" t="str">
        <f aca="false">IF('THÁNG 6'!$C33="","",N('THÁNG 6'!$N33))</f>
        <v/>
      </c>
      <c r="L26" s="0" t="str">
        <f aca="false">IF('THÁNG 6'!$C33="","",N('THÁNG 6'!$O33))</f>
        <v/>
      </c>
      <c r="M26" s="0" t="str">
        <f aca="false">IF('THÁNG 6'!$C33="","",N('THÁNG 6'!$P33))</f>
        <v/>
      </c>
      <c r="N26" s="0" t="str">
        <f aca="false">IF('THÁNG 6'!$C33="","",N('THÁNG 6'!$Q33))</f>
        <v/>
      </c>
      <c r="O26" s="0" t="str">
        <f aca="false">IF('THÁNG 6'!$C33="","",N('THÁNG 6'!$R33))</f>
        <v/>
      </c>
      <c r="P26" s="0" t="str">
        <f aca="false">IF(OR('THÁNG 6'!$C33="",'THÁNG 6'!$T33=""),"",'THÁNG 6'!$T33)</f>
        <v/>
      </c>
      <c r="Q26" s="0" t="str">
        <f aca="false">IF(OR('THÁNG 6'!$C33="",'THÁNG 6'!$U33=""),"",'THÁNG 6'!$U33)</f>
        <v/>
      </c>
      <c r="R26" s="0" t="str">
        <f aca="false">IF('THÁNG 6'!$C33="","",'THÁNG 6'!$W33&amp;"")</f>
        <v/>
      </c>
      <c r="S26" s="0" t="str">
        <f aca="false">IF('THÁNG 6'!$C33="","",'THÁNG 6'!$S33&amp;"")</f>
        <v/>
      </c>
      <c r="T26" s="0" t="str">
        <f aca="false">IF(N($O26)&gt;0,COUNTIF($O$3:$O26,"&gt;0"),"")</f>
        <v/>
      </c>
      <c r="U26" s="0" t="str">
        <f aca="false">IF(AND(N($J26)&gt;0,N($K26)&gt;0),COUNTIFS($J$3:$J26,"&gt;0",$K$3:$K26,"&gt;0"),"")</f>
        <v/>
      </c>
      <c r="V26" s="0" t="str">
        <f aca="false">IF(AND(N($J26)&gt;0,N($K26)=0),COUNTIFS($J$3:$J26,"&gt;0",$K$3:$K26,"&lt;=0"),"")</f>
        <v/>
      </c>
      <c r="W26" s="0" t="str">
        <f aca="false">IF($C26="","",IF(COUNTIF($C$3:$C26,$C26)&gt;1,"",MAX($W$2:W25)+1))</f>
        <v/>
      </c>
      <c r="X26" s="0" t="str">
        <f aca="false">IF($H26="","",IF(COUNTIF($H$3:$H26,$H26)&gt;1,"",MAX($X$2:X25)+1))</f>
        <v/>
      </c>
      <c r="Y26" s="0" t="str">
        <f aca="false">IF(AND(N($M26)&gt;0,N($O26)&lt;=0),COUNTIFS($M$3:$M26,"&gt;0",$O$3:$O26,"&lt;=0"),"")</f>
        <v/>
      </c>
      <c r="Z26" s="30" t="n">
        <f aca="false">IF(OR('THÁNG 6'!$C33="",'THÁNG 6'!$B33=""),0,'THÁNG 6'!$B33)</f>
        <v>0</v>
      </c>
    </row>
    <row r="27" customFormat="false" ht="15" hidden="false" customHeight="false" outlineLevel="0" collapsed="false">
      <c r="A27" s="0" t="n">
        <v>6</v>
      </c>
      <c r="B27" s="29" t="str">
        <f aca="false">IF(OR('THÁNG 6'!$C34="",'THÁNG 6'!$B34=""),"",'THÁNG 6'!$B34)</f>
        <v/>
      </c>
      <c r="C27" s="0" t="str">
        <f aca="false">IF('THÁNG 6'!$C34="","",'THÁNG 6'!$C34)</f>
        <v/>
      </c>
      <c r="D27" s="0" t="str">
        <f aca="false">IF('THÁNG 6'!$C34="","",'THÁNG 6'!$D34&amp;"")</f>
        <v/>
      </c>
      <c r="E27" s="0" t="str">
        <f aca="false">IF('THÁNG 6'!$C34="","",'THÁNG 6'!$E34&amp;"")</f>
        <v/>
      </c>
      <c r="F27" s="0" t="str">
        <f aca="false">IF('THÁNG 6'!$C34="","",'THÁNG 6'!$F34&amp;"")</f>
        <v/>
      </c>
      <c r="G27" s="0" t="str">
        <f aca="false">IF('THÁNG 6'!$C34="","",'THÁNG 6'!$G34&amp;"")</f>
        <v/>
      </c>
      <c r="H27" s="0" t="str">
        <f aca="false">IF('THÁNG 6'!$C34="","",'THÁNG 6'!$H34&amp;"")</f>
        <v/>
      </c>
      <c r="I27" s="0" t="str">
        <f aca="false">IF('THÁNG 6'!$C34="","",N('THÁNG 6'!$I34))</f>
        <v/>
      </c>
      <c r="J27" s="0" t="str">
        <f aca="false">IF('THÁNG 6'!$C34="","",N('THÁNG 6'!$L34))</f>
        <v/>
      </c>
      <c r="K27" s="0" t="str">
        <f aca="false">IF('THÁNG 6'!$C34="","",N('THÁNG 6'!$N34))</f>
        <v/>
      </c>
      <c r="L27" s="0" t="str">
        <f aca="false">IF('THÁNG 6'!$C34="","",N('THÁNG 6'!$O34))</f>
        <v/>
      </c>
      <c r="M27" s="0" t="str">
        <f aca="false">IF('THÁNG 6'!$C34="","",N('THÁNG 6'!$P34))</f>
        <v/>
      </c>
      <c r="N27" s="0" t="str">
        <f aca="false">IF('THÁNG 6'!$C34="","",N('THÁNG 6'!$Q34))</f>
        <v/>
      </c>
      <c r="O27" s="0" t="str">
        <f aca="false">IF('THÁNG 6'!$C34="","",N('THÁNG 6'!$R34))</f>
        <v/>
      </c>
      <c r="P27" s="0" t="str">
        <f aca="false">IF(OR('THÁNG 6'!$C34="",'THÁNG 6'!$T34=""),"",'THÁNG 6'!$T34)</f>
        <v/>
      </c>
      <c r="Q27" s="0" t="str">
        <f aca="false">IF(OR('THÁNG 6'!$C34="",'THÁNG 6'!$U34=""),"",'THÁNG 6'!$U34)</f>
        <v/>
      </c>
      <c r="R27" s="0" t="str">
        <f aca="false">IF('THÁNG 6'!$C34="","",'THÁNG 6'!$W34&amp;"")</f>
        <v/>
      </c>
      <c r="S27" s="0" t="str">
        <f aca="false">IF('THÁNG 6'!$C34="","",'THÁNG 6'!$S34&amp;"")</f>
        <v/>
      </c>
      <c r="T27" s="0" t="str">
        <f aca="false">IF(N($O27)&gt;0,COUNTIF($O$3:$O27,"&gt;0"),"")</f>
        <v/>
      </c>
      <c r="U27" s="0" t="str">
        <f aca="false">IF(AND(N($J27)&gt;0,N($K27)&gt;0),COUNTIFS($J$3:$J27,"&gt;0",$K$3:$K27,"&gt;0"),"")</f>
        <v/>
      </c>
      <c r="V27" s="0" t="str">
        <f aca="false">IF(AND(N($J27)&gt;0,N($K27)=0),COUNTIFS($J$3:$J27,"&gt;0",$K$3:$K27,"&lt;=0"),"")</f>
        <v/>
      </c>
      <c r="W27" s="0" t="str">
        <f aca="false">IF($C27="","",IF(COUNTIF($C$3:$C27,$C27)&gt;1,"",MAX($W$2:W26)+1))</f>
        <v/>
      </c>
      <c r="X27" s="0" t="str">
        <f aca="false">IF($H27="","",IF(COUNTIF($H$3:$H27,$H27)&gt;1,"",MAX($X$2:X26)+1))</f>
        <v/>
      </c>
      <c r="Y27" s="0" t="str">
        <f aca="false">IF(AND(N($M27)&gt;0,N($O27)&lt;=0),COUNTIFS($M$3:$M27,"&gt;0",$O$3:$O27,"&lt;=0"),"")</f>
        <v/>
      </c>
      <c r="Z27" s="30" t="n">
        <f aca="false">IF(OR('THÁNG 6'!$C34="",'THÁNG 6'!$B34=""),0,'THÁNG 6'!$B34)</f>
        <v>0</v>
      </c>
    </row>
    <row r="28" customFormat="false" ht="15" hidden="false" customHeight="false" outlineLevel="0" collapsed="false">
      <c r="A28" s="0" t="n">
        <v>6</v>
      </c>
      <c r="B28" s="29" t="str">
        <f aca="false">IF(OR('THÁNG 6'!$C35="",'THÁNG 6'!$B35=""),"",'THÁNG 6'!$B35)</f>
        <v/>
      </c>
      <c r="C28" s="0" t="str">
        <f aca="false">IF('THÁNG 6'!$C35="","",'THÁNG 6'!$C35)</f>
        <v/>
      </c>
      <c r="D28" s="0" t="str">
        <f aca="false">IF('THÁNG 6'!$C35="","",'THÁNG 6'!$D35&amp;"")</f>
        <v/>
      </c>
      <c r="E28" s="0" t="str">
        <f aca="false">IF('THÁNG 6'!$C35="","",'THÁNG 6'!$E35&amp;"")</f>
        <v/>
      </c>
      <c r="F28" s="0" t="str">
        <f aca="false">IF('THÁNG 6'!$C35="","",'THÁNG 6'!$F35&amp;"")</f>
        <v/>
      </c>
      <c r="G28" s="0" t="str">
        <f aca="false">IF('THÁNG 6'!$C35="","",'THÁNG 6'!$G35&amp;"")</f>
        <v/>
      </c>
      <c r="H28" s="0" t="str">
        <f aca="false">IF('THÁNG 6'!$C35="","",'THÁNG 6'!$H35&amp;"")</f>
        <v/>
      </c>
      <c r="I28" s="0" t="str">
        <f aca="false">IF('THÁNG 6'!$C35="","",N('THÁNG 6'!$I35))</f>
        <v/>
      </c>
      <c r="J28" s="0" t="str">
        <f aca="false">IF('THÁNG 6'!$C35="","",N('THÁNG 6'!$L35))</f>
        <v/>
      </c>
      <c r="K28" s="0" t="str">
        <f aca="false">IF('THÁNG 6'!$C35="","",N('THÁNG 6'!$N35))</f>
        <v/>
      </c>
      <c r="L28" s="0" t="str">
        <f aca="false">IF('THÁNG 6'!$C35="","",N('THÁNG 6'!$O35))</f>
        <v/>
      </c>
      <c r="M28" s="0" t="str">
        <f aca="false">IF('THÁNG 6'!$C35="","",N('THÁNG 6'!$P35))</f>
        <v/>
      </c>
      <c r="N28" s="0" t="str">
        <f aca="false">IF('THÁNG 6'!$C35="","",N('THÁNG 6'!$Q35))</f>
        <v/>
      </c>
      <c r="O28" s="0" t="str">
        <f aca="false">IF('THÁNG 6'!$C35="","",N('THÁNG 6'!$R35))</f>
        <v/>
      </c>
      <c r="P28" s="0" t="str">
        <f aca="false">IF(OR('THÁNG 6'!$C35="",'THÁNG 6'!$T35=""),"",'THÁNG 6'!$T35)</f>
        <v/>
      </c>
      <c r="Q28" s="0" t="str">
        <f aca="false">IF(OR('THÁNG 6'!$C35="",'THÁNG 6'!$U35=""),"",'THÁNG 6'!$U35)</f>
        <v/>
      </c>
      <c r="R28" s="0" t="str">
        <f aca="false">IF('THÁNG 6'!$C35="","",'THÁNG 6'!$W35&amp;"")</f>
        <v/>
      </c>
      <c r="S28" s="0" t="str">
        <f aca="false">IF('THÁNG 6'!$C35="","",'THÁNG 6'!$S35&amp;"")</f>
        <v/>
      </c>
      <c r="T28" s="0" t="str">
        <f aca="false">IF(N($O28)&gt;0,COUNTIF($O$3:$O28,"&gt;0"),"")</f>
        <v/>
      </c>
      <c r="U28" s="0" t="str">
        <f aca="false">IF(AND(N($J28)&gt;0,N($K28)&gt;0),COUNTIFS($J$3:$J28,"&gt;0",$K$3:$K28,"&gt;0"),"")</f>
        <v/>
      </c>
      <c r="V28" s="0" t="str">
        <f aca="false">IF(AND(N($J28)&gt;0,N($K28)=0),COUNTIFS($J$3:$J28,"&gt;0",$K$3:$K28,"&lt;=0"),"")</f>
        <v/>
      </c>
      <c r="W28" s="0" t="str">
        <f aca="false">IF($C28="","",IF(COUNTIF($C$3:$C28,$C28)&gt;1,"",MAX($W$2:W27)+1))</f>
        <v/>
      </c>
      <c r="X28" s="0" t="str">
        <f aca="false">IF($H28="","",IF(COUNTIF($H$3:$H28,$H28)&gt;1,"",MAX($X$2:X27)+1))</f>
        <v/>
      </c>
      <c r="Y28" s="0" t="str">
        <f aca="false">IF(AND(N($M28)&gt;0,N($O28)&lt;=0),COUNTIFS($M$3:$M28,"&gt;0",$O$3:$O28,"&lt;=0"),"")</f>
        <v/>
      </c>
      <c r="Z28" s="30" t="n">
        <f aca="false">IF(OR('THÁNG 6'!$C35="",'THÁNG 6'!$B35=""),0,'THÁNG 6'!$B35)</f>
        <v>0</v>
      </c>
    </row>
    <row r="29" customFormat="false" ht="15" hidden="false" customHeight="false" outlineLevel="0" collapsed="false">
      <c r="A29" s="0" t="n">
        <v>6</v>
      </c>
      <c r="B29" s="29" t="str">
        <f aca="false">IF(OR('THÁNG 6'!$C36="",'THÁNG 6'!$B36=""),"",'THÁNG 6'!$B36)</f>
        <v/>
      </c>
      <c r="C29" s="0" t="str">
        <f aca="false">IF('THÁNG 6'!$C36="","",'THÁNG 6'!$C36)</f>
        <v/>
      </c>
      <c r="D29" s="0" t="str">
        <f aca="false">IF('THÁNG 6'!$C36="","",'THÁNG 6'!$D36&amp;"")</f>
        <v/>
      </c>
      <c r="E29" s="0" t="str">
        <f aca="false">IF('THÁNG 6'!$C36="","",'THÁNG 6'!$E36&amp;"")</f>
        <v/>
      </c>
      <c r="F29" s="0" t="str">
        <f aca="false">IF('THÁNG 6'!$C36="","",'THÁNG 6'!$F36&amp;"")</f>
        <v/>
      </c>
      <c r="G29" s="0" t="str">
        <f aca="false">IF('THÁNG 6'!$C36="","",'THÁNG 6'!$G36&amp;"")</f>
        <v/>
      </c>
      <c r="H29" s="0" t="str">
        <f aca="false">IF('THÁNG 6'!$C36="","",'THÁNG 6'!$H36&amp;"")</f>
        <v/>
      </c>
      <c r="I29" s="0" t="str">
        <f aca="false">IF('THÁNG 6'!$C36="","",N('THÁNG 6'!$I36))</f>
        <v/>
      </c>
      <c r="J29" s="0" t="str">
        <f aca="false">IF('THÁNG 6'!$C36="","",N('THÁNG 6'!$L36))</f>
        <v/>
      </c>
      <c r="K29" s="0" t="str">
        <f aca="false">IF('THÁNG 6'!$C36="","",N('THÁNG 6'!$N36))</f>
        <v/>
      </c>
      <c r="L29" s="0" t="str">
        <f aca="false">IF('THÁNG 6'!$C36="","",N('THÁNG 6'!$O36))</f>
        <v/>
      </c>
      <c r="M29" s="0" t="str">
        <f aca="false">IF('THÁNG 6'!$C36="","",N('THÁNG 6'!$P36))</f>
        <v/>
      </c>
      <c r="N29" s="0" t="str">
        <f aca="false">IF('THÁNG 6'!$C36="","",N('THÁNG 6'!$Q36))</f>
        <v/>
      </c>
      <c r="O29" s="0" t="str">
        <f aca="false">IF('THÁNG 6'!$C36="","",N('THÁNG 6'!$R36))</f>
        <v/>
      </c>
      <c r="P29" s="0" t="str">
        <f aca="false">IF(OR('THÁNG 6'!$C36="",'THÁNG 6'!$T36=""),"",'THÁNG 6'!$T36)</f>
        <v/>
      </c>
      <c r="Q29" s="0" t="str">
        <f aca="false">IF(OR('THÁNG 6'!$C36="",'THÁNG 6'!$U36=""),"",'THÁNG 6'!$U36)</f>
        <v/>
      </c>
      <c r="R29" s="0" t="str">
        <f aca="false">IF('THÁNG 6'!$C36="","",'THÁNG 6'!$W36&amp;"")</f>
        <v/>
      </c>
      <c r="S29" s="0" t="str">
        <f aca="false">IF('THÁNG 6'!$C36="","",'THÁNG 6'!$S36&amp;"")</f>
        <v/>
      </c>
      <c r="T29" s="0" t="str">
        <f aca="false">IF(N($O29)&gt;0,COUNTIF($O$3:$O29,"&gt;0"),"")</f>
        <v/>
      </c>
      <c r="U29" s="0" t="str">
        <f aca="false">IF(AND(N($J29)&gt;0,N($K29)&gt;0),COUNTIFS($J$3:$J29,"&gt;0",$K$3:$K29,"&gt;0"),"")</f>
        <v/>
      </c>
      <c r="V29" s="0" t="str">
        <f aca="false">IF(AND(N($J29)&gt;0,N($K29)=0),COUNTIFS($J$3:$J29,"&gt;0",$K$3:$K29,"&lt;=0"),"")</f>
        <v/>
      </c>
      <c r="W29" s="0" t="str">
        <f aca="false">IF($C29="","",IF(COUNTIF($C$3:$C29,$C29)&gt;1,"",MAX($W$2:W28)+1))</f>
        <v/>
      </c>
      <c r="X29" s="0" t="str">
        <f aca="false">IF($H29="","",IF(COUNTIF($H$3:$H29,$H29)&gt;1,"",MAX($X$2:X28)+1))</f>
        <v/>
      </c>
      <c r="Y29" s="0" t="str">
        <f aca="false">IF(AND(N($M29)&gt;0,N($O29)&lt;=0),COUNTIFS($M$3:$M29,"&gt;0",$O$3:$O29,"&lt;=0"),"")</f>
        <v/>
      </c>
      <c r="Z29" s="30" t="n">
        <f aca="false">IF(OR('THÁNG 6'!$C36="",'THÁNG 6'!$B36=""),0,'THÁNG 6'!$B36)</f>
        <v>0</v>
      </c>
    </row>
    <row r="30" customFormat="false" ht="15" hidden="false" customHeight="false" outlineLevel="0" collapsed="false">
      <c r="A30" s="0" t="n">
        <v>6</v>
      </c>
      <c r="B30" s="29" t="str">
        <f aca="false">IF(OR('THÁNG 6'!$C37="",'THÁNG 6'!$B37=""),"",'THÁNG 6'!$B37)</f>
        <v/>
      </c>
      <c r="C30" s="0" t="str">
        <f aca="false">IF('THÁNG 6'!$C37="","",'THÁNG 6'!$C37)</f>
        <v/>
      </c>
      <c r="D30" s="0" t="str">
        <f aca="false">IF('THÁNG 6'!$C37="","",'THÁNG 6'!$D37&amp;"")</f>
        <v/>
      </c>
      <c r="E30" s="0" t="str">
        <f aca="false">IF('THÁNG 6'!$C37="","",'THÁNG 6'!$E37&amp;"")</f>
        <v/>
      </c>
      <c r="F30" s="0" t="str">
        <f aca="false">IF('THÁNG 6'!$C37="","",'THÁNG 6'!$F37&amp;"")</f>
        <v/>
      </c>
      <c r="G30" s="0" t="str">
        <f aca="false">IF('THÁNG 6'!$C37="","",'THÁNG 6'!$G37&amp;"")</f>
        <v/>
      </c>
      <c r="H30" s="0" t="str">
        <f aca="false">IF('THÁNG 6'!$C37="","",'THÁNG 6'!$H37&amp;"")</f>
        <v/>
      </c>
      <c r="I30" s="0" t="str">
        <f aca="false">IF('THÁNG 6'!$C37="","",N('THÁNG 6'!$I37))</f>
        <v/>
      </c>
      <c r="J30" s="0" t="str">
        <f aca="false">IF('THÁNG 6'!$C37="","",N('THÁNG 6'!$L37))</f>
        <v/>
      </c>
      <c r="K30" s="0" t="str">
        <f aca="false">IF('THÁNG 6'!$C37="","",N('THÁNG 6'!$N37))</f>
        <v/>
      </c>
      <c r="L30" s="0" t="str">
        <f aca="false">IF('THÁNG 6'!$C37="","",N('THÁNG 6'!$O37))</f>
        <v/>
      </c>
      <c r="M30" s="0" t="str">
        <f aca="false">IF('THÁNG 6'!$C37="","",N('THÁNG 6'!$P37))</f>
        <v/>
      </c>
      <c r="N30" s="0" t="str">
        <f aca="false">IF('THÁNG 6'!$C37="","",N('THÁNG 6'!$Q37))</f>
        <v/>
      </c>
      <c r="O30" s="0" t="str">
        <f aca="false">IF('THÁNG 6'!$C37="","",N('THÁNG 6'!$R37))</f>
        <v/>
      </c>
      <c r="P30" s="0" t="str">
        <f aca="false">IF(OR('THÁNG 6'!$C37="",'THÁNG 6'!$T37=""),"",'THÁNG 6'!$T37)</f>
        <v/>
      </c>
      <c r="Q30" s="0" t="str">
        <f aca="false">IF(OR('THÁNG 6'!$C37="",'THÁNG 6'!$U37=""),"",'THÁNG 6'!$U37)</f>
        <v/>
      </c>
      <c r="R30" s="0" t="str">
        <f aca="false">IF('THÁNG 6'!$C37="","",'THÁNG 6'!$W37&amp;"")</f>
        <v/>
      </c>
      <c r="S30" s="0" t="str">
        <f aca="false">IF('THÁNG 6'!$C37="","",'THÁNG 6'!$S37&amp;"")</f>
        <v/>
      </c>
      <c r="T30" s="0" t="str">
        <f aca="false">IF(N($O30)&gt;0,COUNTIF($O$3:$O30,"&gt;0"),"")</f>
        <v/>
      </c>
      <c r="U30" s="0" t="str">
        <f aca="false">IF(AND(N($J30)&gt;0,N($K30)&gt;0),COUNTIFS($J$3:$J30,"&gt;0",$K$3:$K30,"&gt;0"),"")</f>
        <v/>
      </c>
      <c r="V30" s="0" t="str">
        <f aca="false">IF(AND(N($J30)&gt;0,N($K30)=0),COUNTIFS($J$3:$J30,"&gt;0",$K$3:$K30,"&lt;=0"),"")</f>
        <v/>
      </c>
      <c r="W30" s="0" t="str">
        <f aca="false">IF($C30="","",IF(COUNTIF($C$3:$C30,$C30)&gt;1,"",MAX($W$2:W29)+1))</f>
        <v/>
      </c>
      <c r="X30" s="0" t="str">
        <f aca="false">IF($H30="","",IF(COUNTIF($H$3:$H30,$H30)&gt;1,"",MAX($X$2:X29)+1))</f>
        <v/>
      </c>
      <c r="Y30" s="0" t="str">
        <f aca="false">IF(AND(N($M30)&gt;0,N($O30)&lt;=0),COUNTIFS($M$3:$M30,"&gt;0",$O$3:$O30,"&lt;=0"),"")</f>
        <v/>
      </c>
      <c r="Z30" s="30" t="n">
        <f aca="false">IF(OR('THÁNG 6'!$C37="",'THÁNG 6'!$B37=""),0,'THÁNG 6'!$B37)</f>
        <v>0</v>
      </c>
    </row>
    <row r="31" customFormat="false" ht="15" hidden="false" customHeight="false" outlineLevel="0" collapsed="false">
      <c r="A31" s="0" t="n">
        <v>6</v>
      </c>
      <c r="B31" s="29" t="str">
        <f aca="false">IF(OR('THÁNG 6'!$C38="",'THÁNG 6'!$B38=""),"",'THÁNG 6'!$B38)</f>
        <v/>
      </c>
      <c r="C31" s="0" t="str">
        <f aca="false">IF('THÁNG 6'!$C38="","",'THÁNG 6'!$C38)</f>
        <v/>
      </c>
      <c r="D31" s="0" t="str">
        <f aca="false">IF('THÁNG 6'!$C38="","",'THÁNG 6'!$D38&amp;"")</f>
        <v/>
      </c>
      <c r="E31" s="0" t="str">
        <f aca="false">IF('THÁNG 6'!$C38="","",'THÁNG 6'!$E38&amp;"")</f>
        <v/>
      </c>
      <c r="F31" s="0" t="str">
        <f aca="false">IF('THÁNG 6'!$C38="","",'THÁNG 6'!$F38&amp;"")</f>
        <v/>
      </c>
      <c r="G31" s="0" t="str">
        <f aca="false">IF('THÁNG 6'!$C38="","",'THÁNG 6'!$G38&amp;"")</f>
        <v/>
      </c>
      <c r="H31" s="0" t="str">
        <f aca="false">IF('THÁNG 6'!$C38="","",'THÁNG 6'!$H38&amp;"")</f>
        <v/>
      </c>
      <c r="I31" s="0" t="str">
        <f aca="false">IF('THÁNG 6'!$C38="","",N('THÁNG 6'!$I38))</f>
        <v/>
      </c>
      <c r="J31" s="0" t="str">
        <f aca="false">IF('THÁNG 6'!$C38="","",N('THÁNG 6'!$L38))</f>
        <v/>
      </c>
      <c r="K31" s="0" t="str">
        <f aca="false">IF('THÁNG 6'!$C38="","",N('THÁNG 6'!$N38))</f>
        <v/>
      </c>
      <c r="L31" s="0" t="str">
        <f aca="false">IF('THÁNG 6'!$C38="","",N('THÁNG 6'!$O38))</f>
        <v/>
      </c>
      <c r="M31" s="0" t="str">
        <f aca="false">IF('THÁNG 6'!$C38="","",N('THÁNG 6'!$P38))</f>
        <v/>
      </c>
      <c r="N31" s="0" t="str">
        <f aca="false">IF('THÁNG 6'!$C38="","",N('THÁNG 6'!$Q38))</f>
        <v/>
      </c>
      <c r="O31" s="0" t="str">
        <f aca="false">IF('THÁNG 6'!$C38="","",N('THÁNG 6'!$R38))</f>
        <v/>
      </c>
      <c r="P31" s="0" t="str">
        <f aca="false">IF(OR('THÁNG 6'!$C38="",'THÁNG 6'!$T38=""),"",'THÁNG 6'!$T38)</f>
        <v/>
      </c>
      <c r="Q31" s="0" t="str">
        <f aca="false">IF(OR('THÁNG 6'!$C38="",'THÁNG 6'!$U38=""),"",'THÁNG 6'!$U38)</f>
        <v/>
      </c>
      <c r="R31" s="0" t="str">
        <f aca="false">IF('THÁNG 6'!$C38="","",'THÁNG 6'!$W38&amp;"")</f>
        <v/>
      </c>
      <c r="S31" s="0" t="str">
        <f aca="false">IF('THÁNG 6'!$C38="","",'THÁNG 6'!$S38&amp;"")</f>
        <v/>
      </c>
      <c r="T31" s="0" t="str">
        <f aca="false">IF(N($O31)&gt;0,COUNTIF($O$3:$O31,"&gt;0"),"")</f>
        <v/>
      </c>
      <c r="U31" s="0" t="str">
        <f aca="false">IF(AND(N($J31)&gt;0,N($K31)&gt;0),COUNTIFS($J$3:$J31,"&gt;0",$K$3:$K31,"&gt;0"),"")</f>
        <v/>
      </c>
      <c r="V31" s="0" t="str">
        <f aca="false">IF(AND(N($J31)&gt;0,N($K31)=0),COUNTIFS($J$3:$J31,"&gt;0",$K$3:$K31,"&lt;=0"),"")</f>
        <v/>
      </c>
      <c r="W31" s="0" t="str">
        <f aca="false">IF($C31="","",IF(COUNTIF($C$3:$C31,$C31)&gt;1,"",MAX($W$2:W30)+1))</f>
        <v/>
      </c>
      <c r="X31" s="0" t="str">
        <f aca="false">IF($H31="","",IF(COUNTIF($H$3:$H31,$H31)&gt;1,"",MAX($X$2:X30)+1))</f>
        <v/>
      </c>
      <c r="Y31" s="0" t="str">
        <f aca="false">IF(AND(N($M31)&gt;0,N($O31)&lt;=0),COUNTIFS($M$3:$M31,"&gt;0",$O$3:$O31,"&lt;=0"),"")</f>
        <v/>
      </c>
      <c r="Z31" s="30" t="n">
        <f aca="false">IF(OR('THÁNG 6'!$C38="",'THÁNG 6'!$B38=""),0,'THÁNG 6'!$B38)</f>
        <v>0</v>
      </c>
    </row>
    <row r="32" customFormat="false" ht="15" hidden="false" customHeight="false" outlineLevel="0" collapsed="false">
      <c r="A32" s="0" t="n">
        <v>6</v>
      </c>
      <c r="B32" s="29" t="str">
        <f aca="false">IF(OR('THÁNG 6'!$C39="",'THÁNG 6'!$B39=""),"",'THÁNG 6'!$B39)</f>
        <v/>
      </c>
      <c r="C32" s="0" t="str">
        <f aca="false">IF('THÁNG 6'!$C39="","",'THÁNG 6'!$C39)</f>
        <v/>
      </c>
      <c r="D32" s="0" t="str">
        <f aca="false">IF('THÁNG 6'!$C39="","",'THÁNG 6'!$D39&amp;"")</f>
        <v/>
      </c>
      <c r="E32" s="0" t="str">
        <f aca="false">IF('THÁNG 6'!$C39="","",'THÁNG 6'!$E39&amp;"")</f>
        <v/>
      </c>
      <c r="F32" s="0" t="str">
        <f aca="false">IF('THÁNG 6'!$C39="","",'THÁNG 6'!$F39&amp;"")</f>
        <v/>
      </c>
      <c r="G32" s="0" t="str">
        <f aca="false">IF('THÁNG 6'!$C39="","",'THÁNG 6'!$G39&amp;"")</f>
        <v/>
      </c>
      <c r="H32" s="0" t="str">
        <f aca="false">IF('THÁNG 6'!$C39="","",'THÁNG 6'!$H39&amp;"")</f>
        <v/>
      </c>
      <c r="I32" s="0" t="str">
        <f aca="false">IF('THÁNG 6'!$C39="","",N('THÁNG 6'!$I39))</f>
        <v/>
      </c>
      <c r="J32" s="0" t="str">
        <f aca="false">IF('THÁNG 6'!$C39="","",N('THÁNG 6'!$L39))</f>
        <v/>
      </c>
      <c r="K32" s="0" t="str">
        <f aca="false">IF('THÁNG 6'!$C39="","",N('THÁNG 6'!$N39))</f>
        <v/>
      </c>
      <c r="L32" s="0" t="str">
        <f aca="false">IF('THÁNG 6'!$C39="","",N('THÁNG 6'!$O39))</f>
        <v/>
      </c>
      <c r="M32" s="0" t="str">
        <f aca="false">IF('THÁNG 6'!$C39="","",N('THÁNG 6'!$P39))</f>
        <v/>
      </c>
      <c r="N32" s="0" t="str">
        <f aca="false">IF('THÁNG 6'!$C39="","",N('THÁNG 6'!$Q39))</f>
        <v/>
      </c>
      <c r="O32" s="0" t="str">
        <f aca="false">IF('THÁNG 6'!$C39="","",N('THÁNG 6'!$R39))</f>
        <v/>
      </c>
      <c r="P32" s="0" t="str">
        <f aca="false">IF(OR('THÁNG 6'!$C39="",'THÁNG 6'!$T39=""),"",'THÁNG 6'!$T39)</f>
        <v/>
      </c>
      <c r="Q32" s="0" t="str">
        <f aca="false">IF(OR('THÁNG 6'!$C39="",'THÁNG 6'!$U39=""),"",'THÁNG 6'!$U39)</f>
        <v/>
      </c>
      <c r="R32" s="0" t="str">
        <f aca="false">IF('THÁNG 6'!$C39="","",'THÁNG 6'!$W39&amp;"")</f>
        <v/>
      </c>
      <c r="S32" s="0" t="str">
        <f aca="false">IF('THÁNG 6'!$C39="","",'THÁNG 6'!$S39&amp;"")</f>
        <v/>
      </c>
      <c r="T32" s="0" t="str">
        <f aca="false">IF(N($O32)&gt;0,COUNTIF($O$3:$O32,"&gt;0"),"")</f>
        <v/>
      </c>
      <c r="U32" s="0" t="str">
        <f aca="false">IF(AND(N($J32)&gt;0,N($K32)&gt;0),COUNTIFS($J$3:$J32,"&gt;0",$K$3:$K32,"&gt;0"),"")</f>
        <v/>
      </c>
      <c r="V32" s="0" t="str">
        <f aca="false">IF(AND(N($J32)&gt;0,N($K32)=0),COUNTIFS($J$3:$J32,"&gt;0",$K$3:$K32,"&lt;=0"),"")</f>
        <v/>
      </c>
      <c r="W32" s="0" t="str">
        <f aca="false">IF($C32="","",IF(COUNTIF($C$3:$C32,$C32)&gt;1,"",MAX($W$2:W31)+1))</f>
        <v/>
      </c>
      <c r="X32" s="0" t="str">
        <f aca="false">IF($H32="","",IF(COUNTIF($H$3:$H32,$H32)&gt;1,"",MAX($X$2:X31)+1))</f>
        <v/>
      </c>
      <c r="Y32" s="0" t="str">
        <f aca="false">IF(AND(N($M32)&gt;0,N($O32)&lt;=0),COUNTIFS($M$3:$M32,"&gt;0",$O$3:$O32,"&lt;=0"),"")</f>
        <v/>
      </c>
      <c r="Z32" s="30" t="n">
        <f aca="false">IF(OR('THÁNG 6'!$C39="",'THÁNG 6'!$B39=""),0,'THÁNG 6'!$B39)</f>
        <v>0</v>
      </c>
    </row>
    <row r="33" customFormat="false" ht="15" hidden="false" customHeight="false" outlineLevel="0" collapsed="false">
      <c r="A33" s="0" t="n">
        <v>6</v>
      </c>
      <c r="B33" s="29" t="str">
        <f aca="false">IF(OR('THÁNG 6'!$C40="",'THÁNG 6'!$B40=""),"",'THÁNG 6'!$B40)</f>
        <v/>
      </c>
      <c r="C33" s="0" t="str">
        <f aca="false">IF('THÁNG 6'!$C40="","",'THÁNG 6'!$C40)</f>
        <v/>
      </c>
      <c r="D33" s="0" t="str">
        <f aca="false">IF('THÁNG 6'!$C40="","",'THÁNG 6'!$D40&amp;"")</f>
        <v/>
      </c>
      <c r="E33" s="0" t="str">
        <f aca="false">IF('THÁNG 6'!$C40="","",'THÁNG 6'!$E40&amp;"")</f>
        <v/>
      </c>
      <c r="F33" s="0" t="str">
        <f aca="false">IF('THÁNG 6'!$C40="","",'THÁNG 6'!$F40&amp;"")</f>
        <v/>
      </c>
      <c r="G33" s="0" t="str">
        <f aca="false">IF('THÁNG 6'!$C40="","",'THÁNG 6'!$G40&amp;"")</f>
        <v/>
      </c>
      <c r="H33" s="0" t="str">
        <f aca="false">IF('THÁNG 6'!$C40="","",'THÁNG 6'!$H40&amp;"")</f>
        <v/>
      </c>
      <c r="I33" s="0" t="str">
        <f aca="false">IF('THÁNG 6'!$C40="","",N('THÁNG 6'!$I40))</f>
        <v/>
      </c>
      <c r="J33" s="0" t="str">
        <f aca="false">IF('THÁNG 6'!$C40="","",N('THÁNG 6'!$L40))</f>
        <v/>
      </c>
      <c r="K33" s="0" t="str">
        <f aca="false">IF('THÁNG 6'!$C40="","",N('THÁNG 6'!$N40))</f>
        <v/>
      </c>
      <c r="L33" s="0" t="str">
        <f aca="false">IF('THÁNG 6'!$C40="","",N('THÁNG 6'!$O40))</f>
        <v/>
      </c>
      <c r="M33" s="0" t="str">
        <f aca="false">IF('THÁNG 6'!$C40="","",N('THÁNG 6'!$P40))</f>
        <v/>
      </c>
      <c r="N33" s="0" t="str">
        <f aca="false">IF('THÁNG 6'!$C40="","",N('THÁNG 6'!$Q40))</f>
        <v/>
      </c>
      <c r="O33" s="0" t="str">
        <f aca="false">IF('THÁNG 6'!$C40="","",N('THÁNG 6'!$R40))</f>
        <v/>
      </c>
      <c r="P33" s="0" t="str">
        <f aca="false">IF(OR('THÁNG 6'!$C40="",'THÁNG 6'!$T40=""),"",'THÁNG 6'!$T40)</f>
        <v/>
      </c>
      <c r="Q33" s="0" t="str">
        <f aca="false">IF(OR('THÁNG 6'!$C40="",'THÁNG 6'!$U40=""),"",'THÁNG 6'!$U40)</f>
        <v/>
      </c>
      <c r="R33" s="0" t="str">
        <f aca="false">IF('THÁNG 6'!$C40="","",'THÁNG 6'!$W40&amp;"")</f>
        <v/>
      </c>
      <c r="S33" s="0" t="str">
        <f aca="false">IF('THÁNG 6'!$C40="","",'THÁNG 6'!$S40&amp;"")</f>
        <v/>
      </c>
      <c r="T33" s="0" t="str">
        <f aca="false">IF(N($O33)&gt;0,COUNTIF($O$3:$O33,"&gt;0"),"")</f>
        <v/>
      </c>
      <c r="U33" s="0" t="str">
        <f aca="false">IF(AND(N($J33)&gt;0,N($K33)&gt;0),COUNTIFS($J$3:$J33,"&gt;0",$K$3:$K33,"&gt;0"),"")</f>
        <v/>
      </c>
      <c r="V33" s="0" t="str">
        <f aca="false">IF(AND(N($J33)&gt;0,N($K33)=0),COUNTIFS($J$3:$J33,"&gt;0",$K$3:$K33,"&lt;=0"),"")</f>
        <v/>
      </c>
      <c r="W33" s="0" t="str">
        <f aca="false">IF($C33="","",IF(COUNTIF($C$3:$C33,$C33)&gt;1,"",MAX($W$2:W32)+1))</f>
        <v/>
      </c>
      <c r="X33" s="0" t="str">
        <f aca="false">IF($H33="","",IF(COUNTIF($H$3:$H33,$H33)&gt;1,"",MAX($X$2:X32)+1))</f>
        <v/>
      </c>
      <c r="Y33" s="0" t="str">
        <f aca="false">IF(AND(N($M33)&gt;0,N($O33)&lt;=0),COUNTIFS($M$3:$M33,"&gt;0",$O$3:$O33,"&lt;=0"),"")</f>
        <v/>
      </c>
      <c r="Z33" s="30" t="n">
        <f aca="false">IF(OR('THÁNG 6'!$C40="",'THÁNG 6'!$B40=""),0,'THÁNG 6'!$B40)</f>
        <v>0</v>
      </c>
    </row>
    <row r="34" customFormat="false" ht="15" hidden="false" customHeight="false" outlineLevel="0" collapsed="false">
      <c r="A34" s="0" t="n">
        <v>6</v>
      </c>
      <c r="B34" s="29" t="str">
        <f aca="false">IF(OR('THÁNG 6'!$C41="",'THÁNG 6'!$B41=""),"",'THÁNG 6'!$B41)</f>
        <v/>
      </c>
      <c r="C34" s="0" t="str">
        <f aca="false">IF('THÁNG 6'!$C41="","",'THÁNG 6'!$C41)</f>
        <v/>
      </c>
      <c r="D34" s="0" t="str">
        <f aca="false">IF('THÁNG 6'!$C41="","",'THÁNG 6'!$D41&amp;"")</f>
        <v/>
      </c>
      <c r="E34" s="0" t="str">
        <f aca="false">IF('THÁNG 6'!$C41="","",'THÁNG 6'!$E41&amp;"")</f>
        <v/>
      </c>
      <c r="F34" s="0" t="str">
        <f aca="false">IF('THÁNG 6'!$C41="","",'THÁNG 6'!$F41&amp;"")</f>
        <v/>
      </c>
      <c r="G34" s="0" t="str">
        <f aca="false">IF('THÁNG 6'!$C41="","",'THÁNG 6'!$G41&amp;"")</f>
        <v/>
      </c>
      <c r="H34" s="0" t="str">
        <f aca="false">IF('THÁNG 6'!$C41="","",'THÁNG 6'!$H41&amp;"")</f>
        <v/>
      </c>
      <c r="I34" s="0" t="str">
        <f aca="false">IF('THÁNG 6'!$C41="","",N('THÁNG 6'!$I41))</f>
        <v/>
      </c>
      <c r="J34" s="0" t="str">
        <f aca="false">IF('THÁNG 6'!$C41="","",N('THÁNG 6'!$L41))</f>
        <v/>
      </c>
      <c r="K34" s="0" t="str">
        <f aca="false">IF('THÁNG 6'!$C41="","",N('THÁNG 6'!$N41))</f>
        <v/>
      </c>
      <c r="L34" s="0" t="str">
        <f aca="false">IF('THÁNG 6'!$C41="","",N('THÁNG 6'!$O41))</f>
        <v/>
      </c>
      <c r="M34" s="0" t="str">
        <f aca="false">IF('THÁNG 6'!$C41="","",N('THÁNG 6'!$P41))</f>
        <v/>
      </c>
      <c r="N34" s="0" t="str">
        <f aca="false">IF('THÁNG 6'!$C41="","",N('THÁNG 6'!$Q41))</f>
        <v/>
      </c>
      <c r="O34" s="0" t="str">
        <f aca="false">IF('THÁNG 6'!$C41="","",N('THÁNG 6'!$R41))</f>
        <v/>
      </c>
      <c r="P34" s="0" t="str">
        <f aca="false">IF(OR('THÁNG 6'!$C41="",'THÁNG 6'!$T41=""),"",'THÁNG 6'!$T41)</f>
        <v/>
      </c>
      <c r="Q34" s="0" t="str">
        <f aca="false">IF(OR('THÁNG 6'!$C41="",'THÁNG 6'!$U41=""),"",'THÁNG 6'!$U41)</f>
        <v/>
      </c>
      <c r="R34" s="0" t="str">
        <f aca="false">IF('THÁNG 6'!$C41="","",'THÁNG 6'!$W41&amp;"")</f>
        <v/>
      </c>
      <c r="S34" s="0" t="str">
        <f aca="false">IF('THÁNG 6'!$C41="","",'THÁNG 6'!$S41&amp;"")</f>
        <v/>
      </c>
      <c r="T34" s="0" t="str">
        <f aca="false">IF(N($O34)&gt;0,COUNTIF($O$3:$O34,"&gt;0"),"")</f>
        <v/>
      </c>
      <c r="U34" s="0" t="str">
        <f aca="false">IF(AND(N($J34)&gt;0,N($K34)&gt;0),COUNTIFS($J$3:$J34,"&gt;0",$K$3:$K34,"&gt;0"),"")</f>
        <v/>
      </c>
      <c r="V34" s="0" t="str">
        <f aca="false">IF(AND(N($J34)&gt;0,N($K34)=0),COUNTIFS($J$3:$J34,"&gt;0",$K$3:$K34,"&lt;=0"),"")</f>
        <v/>
      </c>
      <c r="W34" s="0" t="str">
        <f aca="false">IF($C34="","",IF(COUNTIF($C$3:$C34,$C34)&gt;1,"",MAX($W$2:W33)+1))</f>
        <v/>
      </c>
      <c r="X34" s="0" t="str">
        <f aca="false">IF($H34="","",IF(COUNTIF($H$3:$H34,$H34)&gt;1,"",MAX($X$2:X33)+1))</f>
        <v/>
      </c>
      <c r="Y34" s="0" t="str">
        <f aca="false">IF(AND(N($M34)&gt;0,N($O34)&lt;=0),COUNTIFS($M$3:$M34,"&gt;0",$O$3:$O34,"&lt;=0"),"")</f>
        <v/>
      </c>
      <c r="Z34" s="30" t="n">
        <f aca="false">IF(OR('THÁNG 6'!$C41="",'THÁNG 6'!$B41=""),0,'THÁNG 6'!$B41)</f>
        <v>0</v>
      </c>
    </row>
    <row r="35" customFormat="false" ht="15" hidden="false" customHeight="false" outlineLevel="0" collapsed="false">
      <c r="A35" s="0" t="n">
        <v>6</v>
      </c>
      <c r="B35" s="29" t="str">
        <f aca="false">IF(OR('THÁNG 6'!$C42="",'THÁNG 6'!$B42=""),"",'THÁNG 6'!$B42)</f>
        <v/>
      </c>
      <c r="C35" s="0" t="str">
        <f aca="false">IF('THÁNG 6'!$C42="","",'THÁNG 6'!$C42)</f>
        <v/>
      </c>
      <c r="D35" s="0" t="str">
        <f aca="false">IF('THÁNG 6'!$C42="","",'THÁNG 6'!$D42&amp;"")</f>
        <v/>
      </c>
      <c r="E35" s="0" t="str">
        <f aca="false">IF('THÁNG 6'!$C42="","",'THÁNG 6'!$E42&amp;"")</f>
        <v/>
      </c>
      <c r="F35" s="0" t="str">
        <f aca="false">IF('THÁNG 6'!$C42="","",'THÁNG 6'!$F42&amp;"")</f>
        <v/>
      </c>
      <c r="G35" s="0" t="str">
        <f aca="false">IF('THÁNG 6'!$C42="","",'THÁNG 6'!$G42&amp;"")</f>
        <v/>
      </c>
      <c r="H35" s="0" t="str">
        <f aca="false">IF('THÁNG 6'!$C42="","",'THÁNG 6'!$H42&amp;"")</f>
        <v/>
      </c>
      <c r="I35" s="0" t="str">
        <f aca="false">IF('THÁNG 6'!$C42="","",N('THÁNG 6'!$I42))</f>
        <v/>
      </c>
      <c r="J35" s="0" t="str">
        <f aca="false">IF('THÁNG 6'!$C42="","",N('THÁNG 6'!$L42))</f>
        <v/>
      </c>
      <c r="K35" s="0" t="str">
        <f aca="false">IF('THÁNG 6'!$C42="","",N('THÁNG 6'!$N42))</f>
        <v/>
      </c>
      <c r="L35" s="0" t="str">
        <f aca="false">IF('THÁNG 6'!$C42="","",N('THÁNG 6'!$O42))</f>
        <v/>
      </c>
      <c r="M35" s="0" t="str">
        <f aca="false">IF('THÁNG 6'!$C42="","",N('THÁNG 6'!$P42))</f>
        <v/>
      </c>
      <c r="N35" s="0" t="str">
        <f aca="false">IF('THÁNG 6'!$C42="","",N('THÁNG 6'!$Q42))</f>
        <v/>
      </c>
      <c r="O35" s="0" t="str">
        <f aca="false">IF('THÁNG 6'!$C42="","",N('THÁNG 6'!$R42))</f>
        <v/>
      </c>
      <c r="P35" s="0" t="str">
        <f aca="false">IF(OR('THÁNG 6'!$C42="",'THÁNG 6'!$T42=""),"",'THÁNG 6'!$T42)</f>
        <v/>
      </c>
      <c r="Q35" s="0" t="str">
        <f aca="false">IF(OR('THÁNG 6'!$C42="",'THÁNG 6'!$U42=""),"",'THÁNG 6'!$U42)</f>
        <v/>
      </c>
      <c r="R35" s="0" t="str">
        <f aca="false">IF('THÁNG 6'!$C42="","",'THÁNG 6'!$W42&amp;"")</f>
        <v/>
      </c>
      <c r="S35" s="0" t="str">
        <f aca="false">IF('THÁNG 6'!$C42="","",'THÁNG 6'!$S42&amp;"")</f>
        <v/>
      </c>
      <c r="T35" s="0" t="str">
        <f aca="false">IF(N($O35)&gt;0,COUNTIF($O$3:$O35,"&gt;0"),"")</f>
        <v/>
      </c>
      <c r="U35" s="0" t="str">
        <f aca="false">IF(AND(N($J35)&gt;0,N($K35)&gt;0),COUNTIFS($J$3:$J35,"&gt;0",$K$3:$K35,"&gt;0"),"")</f>
        <v/>
      </c>
      <c r="V35" s="0" t="str">
        <f aca="false">IF(AND(N($J35)&gt;0,N($K35)=0),COUNTIFS($J$3:$J35,"&gt;0",$K$3:$K35,"&lt;=0"),"")</f>
        <v/>
      </c>
      <c r="W35" s="0" t="str">
        <f aca="false">IF($C35="","",IF(COUNTIF($C$3:$C35,$C35)&gt;1,"",MAX($W$2:W34)+1))</f>
        <v/>
      </c>
      <c r="X35" s="0" t="str">
        <f aca="false">IF($H35="","",IF(COUNTIF($H$3:$H35,$H35)&gt;1,"",MAX($X$2:X34)+1))</f>
        <v/>
      </c>
      <c r="Y35" s="0" t="str">
        <f aca="false">IF(AND(N($M35)&gt;0,N($O35)&lt;=0),COUNTIFS($M$3:$M35,"&gt;0",$O$3:$O35,"&lt;=0"),"")</f>
        <v/>
      </c>
      <c r="Z35" s="30" t="n">
        <f aca="false">IF(OR('THÁNG 6'!$C42="",'THÁNG 6'!$B42=""),0,'THÁNG 6'!$B42)</f>
        <v>0</v>
      </c>
    </row>
    <row r="36" customFormat="false" ht="15" hidden="false" customHeight="false" outlineLevel="0" collapsed="false">
      <c r="A36" s="0" t="n">
        <v>6</v>
      </c>
      <c r="B36" s="29" t="str">
        <f aca="false">IF(OR('THÁNG 6'!$C43="",'THÁNG 6'!$B43=""),"",'THÁNG 6'!$B43)</f>
        <v/>
      </c>
      <c r="C36" s="0" t="str">
        <f aca="false">IF('THÁNG 6'!$C43="","",'THÁNG 6'!$C43)</f>
        <v/>
      </c>
      <c r="D36" s="0" t="str">
        <f aca="false">IF('THÁNG 6'!$C43="","",'THÁNG 6'!$D43&amp;"")</f>
        <v/>
      </c>
      <c r="E36" s="0" t="str">
        <f aca="false">IF('THÁNG 6'!$C43="","",'THÁNG 6'!$E43&amp;"")</f>
        <v/>
      </c>
      <c r="F36" s="0" t="str">
        <f aca="false">IF('THÁNG 6'!$C43="","",'THÁNG 6'!$F43&amp;"")</f>
        <v/>
      </c>
      <c r="G36" s="0" t="str">
        <f aca="false">IF('THÁNG 6'!$C43="","",'THÁNG 6'!$G43&amp;"")</f>
        <v/>
      </c>
      <c r="H36" s="0" t="str">
        <f aca="false">IF('THÁNG 6'!$C43="","",'THÁNG 6'!$H43&amp;"")</f>
        <v/>
      </c>
      <c r="I36" s="0" t="str">
        <f aca="false">IF('THÁNG 6'!$C43="","",N('THÁNG 6'!$I43))</f>
        <v/>
      </c>
      <c r="J36" s="0" t="str">
        <f aca="false">IF('THÁNG 6'!$C43="","",N('THÁNG 6'!$L43))</f>
        <v/>
      </c>
      <c r="K36" s="0" t="str">
        <f aca="false">IF('THÁNG 6'!$C43="","",N('THÁNG 6'!$N43))</f>
        <v/>
      </c>
      <c r="L36" s="0" t="str">
        <f aca="false">IF('THÁNG 6'!$C43="","",N('THÁNG 6'!$O43))</f>
        <v/>
      </c>
      <c r="M36" s="0" t="str">
        <f aca="false">IF('THÁNG 6'!$C43="","",N('THÁNG 6'!$P43))</f>
        <v/>
      </c>
      <c r="N36" s="0" t="str">
        <f aca="false">IF('THÁNG 6'!$C43="","",N('THÁNG 6'!$Q43))</f>
        <v/>
      </c>
      <c r="O36" s="0" t="str">
        <f aca="false">IF('THÁNG 6'!$C43="","",N('THÁNG 6'!$R43))</f>
        <v/>
      </c>
      <c r="P36" s="0" t="str">
        <f aca="false">IF(OR('THÁNG 6'!$C43="",'THÁNG 6'!$T43=""),"",'THÁNG 6'!$T43)</f>
        <v/>
      </c>
      <c r="Q36" s="0" t="str">
        <f aca="false">IF(OR('THÁNG 6'!$C43="",'THÁNG 6'!$U43=""),"",'THÁNG 6'!$U43)</f>
        <v/>
      </c>
      <c r="R36" s="0" t="str">
        <f aca="false">IF('THÁNG 6'!$C43="","",'THÁNG 6'!$W43&amp;"")</f>
        <v/>
      </c>
      <c r="S36" s="0" t="str">
        <f aca="false">IF('THÁNG 6'!$C43="","",'THÁNG 6'!$S43&amp;"")</f>
        <v/>
      </c>
      <c r="T36" s="0" t="str">
        <f aca="false">IF(N($O36)&gt;0,COUNTIF($O$3:$O36,"&gt;0"),"")</f>
        <v/>
      </c>
      <c r="U36" s="0" t="str">
        <f aca="false">IF(AND(N($J36)&gt;0,N($K36)&gt;0),COUNTIFS($J$3:$J36,"&gt;0",$K$3:$K36,"&gt;0"),"")</f>
        <v/>
      </c>
      <c r="V36" s="0" t="str">
        <f aca="false">IF(AND(N($J36)&gt;0,N($K36)=0),COUNTIFS($J$3:$J36,"&gt;0",$K$3:$K36,"&lt;=0"),"")</f>
        <v/>
      </c>
      <c r="W36" s="0" t="str">
        <f aca="false">IF($C36="","",IF(COUNTIF($C$3:$C36,$C36)&gt;1,"",MAX($W$2:W35)+1))</f>
        <v/>
      </c>
      <c r="X36" s="0" t="str">
        <f aca="false">IF($H36="","",IF(COUNTIF($H$3:$H36,$H36)&gt;1,"",MAX($X$2:X35)+1))</f>
        <v/>
      </c>
      <c r="Y36" s="0" t="str">
        <f aca="false">IF(AND(N($M36)&gt;0,N($O36)&lt;=0),COUNTIFS($M$3:$M36,"&gt;0",$O$3:$O36,"&lt;=0"),"")</f>
        <v/>
      </c>
      <c r="Z36" s="30" t="n">
        <f aca="false">IF(OR('THÁNG 6'!$C43="",'THÁNG 6'!$B43=""),0,'THÁNG 6'!$B43)</f>
        <v>0</v>
      </c>
    </row>
    <row r="37" customFormat="false" ht="15" hidden="false" customHeight="false" outlineLevel="0" collapsed="false">
      <c r="A37" s="0" t="n">
        <v>6</v>
      </c>
      <c r="B37" s="29" t="str">
        <f aca="false">IF(OR('THÁNG 6'!$C44="",'THÁNG 6'!$B44=""),"",'THÁNG 6'!$B44)</f>
        <v/>
      </c>
      <c r="C37" s="0" t="str">
        <f aca="false">IF('THÁNG 6'!$C44="","",'THÁNG 6'!$C44)</f>
        <v/>
      </c>
      <c r="D37" s="0" t="str">
        <f aca="false">IF('THÁNG 6'!$C44="","",'THÁNG 6'!$D44&amp;"")</f>
        <v/>
      </c>
      <c r="E37" s="0" t="str">
        <f aca="false">IF('THÁNG 6'!$C44="","",'THÁNG 6'!$E44&amp;"")</f>
        <v/>
      </c>
      <c r="F37" s="0" t="str">
        <f aca="false">IF('THÁNG 6'!$C44="","",'THÁNG 6'!$F44&amp;"")</f>
        <v/>
      </c>
      <c r="G37" s="0" t="str">
        <f aca="false">IF('THÁNG 6'!$C44="","",'THÁNG 6'!$G44&amp;"")</f>
        <v/>
      </c>
      <c r="H37" s="0" t="str">
        <f aca="false">IF('THÁNG 6'!$C44="","",'THÁNG 6'!$H44&amp;"")</f>
        <v/>
      </c>
      <c r="I37" s="0" t="str">
        <f aca="false">IF('THÁNG 6'!$C44="","",N('THÁNG 6'!$I44))</f>
        <v/>
      </c>
      <c r="J37" s="0" t="str">
        <f aca="false">IF('THÁNG 6'!$C44="","",N('THÁNG 6'!$L44))</f>
        <v/>
      </c>
      <c r="K37" s="0" t="str">
        <f aca="false">IF('THÁNG 6'!$C44="","",N('THÁNG 6'!$N44))</f>
        <v/>
      </c>
      <c r="L37" s="0" t="str">
        <f aca="false">IF('THÁNG 6'!$C44="","",N('THÁNG 6'!$O44))</f>
        <v/>
      </c>
      <c r="M37" s="0" t="str">
        <f aca="false">IF('THÁNG 6'!$C44="","",N('THÁNG 6'!$P44))</f>
        <v/>
      </c>
      <c r="N37" s="0" t="str">
        <f aca="false">IF('THÁNG 6'!$C44="","",N('THÁNG 6'!$Q44))</f>
        <v/>
      </c>
      <c r="O37" s="0" t="str">
        <f aca="false">IF('THÁNG 6'!$C44="","",N('THÁNG 6'!$R44))</f>
        <v/>
      </c>
      <c r="P37" s="0" t="str">
        <f aca="false">IF(OR('THÁNG 6'!$C44="",'THÁNG 6'!$T44=""),"",'THÁNG 6'!$T44)</f>
        <v/>
      </c>
      <c r="Q37" s="0" t="str">
        <f aca="false">IF(OR('THÁNG 6'!$C44="",'THÁNG 6'!$U44=""),"",'THÁNG 6'!$U44)</f>
        <v/>
      </c>
      <c r="R37" s="0" t="str">
        <f aca="false">IF('THÁNG 6'!$C44="","",'THÁNG 6'!$W44&amp;"")</f>
        <v/>
      </c>
      <c r="S37" s="0" t="str">
        <f aca="false">IF('THÁNG 6'!$C44="","",'THÁNG 6'!$S44&amp;"")</f>
        <v/>
      </c>
      <c r="T37" s="0" t="str">
        <f aca="false">IF(N($O37)&gt;0,COUNTIF($O$3:$O37,"&gt;0"),"")</f>
        <v/>
      </c>
      <c r="U37" s="0" t="str">
        <f aca="false">IF(AND(N($J37)&gt;0,N($K37)&gt;0),COUNTIFS($J$3:$J37,"&gt;0",$K$3:$K37,"&gt;0"),"")</f>
        <v/>
      </c>
      <c r="V37" s="0" t="str">
        <f aca="false">IF(AND(N($J37)&gt;0,N($K37)=0),COUNTIFS($J$3:$J37,"&gt;0",$K$3:$K37,"&lt;=0"),"")</f>
        <v/>
      </c>
      <c r="W37" s="0" t="str">
        <f aca="false">IF($C37="","",IF(COUNTIF($C$3:$C37,$C37)&gt;1,"",MAX($W$2:W36)+1))</f>
        <v/>
      </c>
      <c r="X37" s="0" t="str">
        <f aca="false">IF($H37="","",IF(COUNTIF($H$3:$H37,$H37)&gt;1,"",MAX($X$2:X36)+1))</f>
        <v/>
      </c>
      <c r="Y37" s="0" t="str">
        <f aca="false">IF(AND(N($M37)&gt;0,N($O37)&lt;=0),COUNTIFS($M$3:$M37,"&gt;0",$O$3:$O37,"&lt;=0"),"")</f>
        <v/>
      </c>
      <c r="Z37" s="30" t="n">
        <f aca="false">IF(OR('THÁNG 6'!$C44="",'THÁNG 6'!$B44=""),0,'THÁNG 6'!$B44)</f>
        <v>0</v>
      </c>
    </row>
    <row r="38" customFormat="false" ht="15" hidden="false" customHeight="false" outlineLevel="0" collapsed="false">
      <c r="A38" s="0" t="n">
        <v>6</v>
      </c>
      <c r="B38" s="29" t="str">
        <f aca="false">IF(OR('THÁNG 6'!$C45="",'THÁNG 6'!$B45=""),"",'THÁNG 6'!$B45)</f>
        <v/>
      </c>
      <c r="C38" s="0" t="str">
        <f aca="false">IF('THÁNG 6'!$C45="","",'THÁNG 6'!$C45)</f>
        <v/>
      </c>
      <c r="D38" s="0" t="str">
        <f aca="false">IF('THÁNG 6'!$C45="","",'THÁNG 6'!$D45&amp;"")</f>
        <v/>
      </c>
      <c r="E38" s="0" t="str">
        <f aca="false">IF('THÁNG 6'!$C45="","",'THÁNG 6'!$E45&amp;"")</f>
        <v/>
      </c>
      <c r="F38" s="0" t="str">
        <f aca="false">IF('THÁNG 6'!$C45="","",'THÁNG 6'!$F45&amp;"")</f>
        <v/>
      </c>
      <c r="G38" s="0" t="str">
        <f aca="false">IF('THÁNG 6'!$C45="","",'THÁNG 6'!$G45&amp;"")</f>
        <v/>
      </c>
      <c r="H38" s="0" t="str">
        <f aca="false">IF('THÁNG 6'!$C45="","",'THÁNG 6'!$H45&amp;"")</f>
        <v/>
      </c>
      <c r="I38" s="0" t="str">
        <f aca="false">IF('THÁNG 6'!$C45="","",N('THÁNG 6'!$I45))</f>
        <v/>
      </c>
      <c r="J38" s="0" t="str">
        <f aca="false">IF('THÁNG 6'!$C45="","",N('THÁNG 6'!$L45))</f>
        <v/>
      </c>
      <c r="K38" s="0" t="str">
        <f aca="false">IF('THÁNG 6'!$C45="","",N('THÁNG 6'!$N45))</f>
        <v/>
      </c>
      <c r="L38" s="0" t="str">
        <f aca="false">IF('THÁNG 6'!$C45="","",N('THÁNG 6'!$O45))</f>
        <v/>
      </c>
      <c r="M38" s="0" t="str">
        <f aca="false">IF('THÁNG 6'!$C45="","",N('THÁNG 6'!$P45))</f>
        <v/>
      </c>
      <c r="N38" s="0" t="str">
        <f aca="false">IF('THÁNG 6'!$C45="","",N('THÁNG 6'!$Q45))</f>
        <v/>
      </c>
      <c r="O38" s="0" t="str">
        <f aca="false">IF('THÁNG 6'!$C45="","",N('THÁNG 6'!$R45))</f>
        <v/>
      </c>
      <c r="P38" s="0" t="str">
        <f aca="false">IF(OR('THÁNG 6'!$C45="",'THÁNG 6'!$T45=""),"",'THÁNG 6'!$T45)</f>
        <v/>
      </c>
      <c r="Q38" s="0" t="str">
        <f aca="false">IF(OR('THÁNG 6'!$C45="",'THÁNG 6'!$U45=""),"",'THÁNG 6'!$U45)</f>
        <v/>
      </c>
      <c r="R38" s="0" t="str">
        <f aca="false">IF('THÁNG 6'!$C45="","",'THÁNG 6'!$W45&amp;"")</f>
        <v/>
      </c>
      <c r="S38" s="0" t="str">
        <f aca="false">IF('THÁNG 6'!$C45="","",'THÁNG 6'!$S45&amp;"")</f>
        <v/>
      </c>
      <c r="T38" s="0" t="str">
        <f aca="false">IF(N($O38)&gt;0,COUNTIF($O$3:$O38,"&gt;0"),"")</f>
        <v/>
      </c>
      <c r="U38" s="0" t="str">
        <f aca="false">IF(AND(N($J38)&gt;0,N($K38)&gt;0),COUNTIFS($J$3:$J38,"&gt;0",$K$3:$K38,"&gt;0"),"")</f>
        <v/>
      </c>
      <c r="V38" s="0" t="str">
        <f aca="false">IF(AND(N($J38)&gt;0,N($K38)=0),COUNTIFS($J$3:$J38,"&gt;0",$K$3:$K38,"&lt;=0"),"")</f>
        <v/>
      </c>
      <c r="W38" s="0" t="str">
        <f aca="false">IF($C38="","",IF(COUNTIF($C$3:$C38,$C38)&gt;1,"",MAX($W$2:W37)+1))</f>
        <v/>
      </c>
      <c r="X38" s="0" t="str">
        <f aca="false">IF($H38="","",IF(COUNTIF($H$3:$H38,$H38)&gt;1,"",MAX($X$2:X37)+1))</f>
        <v/>
      </c>
      <c r="Y38" s="0" t="str">
        <f aca="false">IF(AND(N($M38)&gt;0,N($O38)&lt;=0),COUNTIFS($M$3:$M38,"&gt;0",$O$3:$O38,"&lt;=0"),"")</f>
        <v/>
      </c>
      <c r="Z38" s="30" t="n">
        <f aca="false">IF(OR('THÁNG 6'!$C45="",'THÁNG 6'!$B45=""),0,'THÁNG 6'!$B45)</f>
        <v>0</v>
      </c>
    </row>
    <row r="39" customFormat="false" ht="15" hidden="false" customHeight="false" outlineLevel="0" collapsed="false">
      <c r="A39" s="0" t="n">
        <v>6</v>
      </c>
      <c r="B39" s="29" t="str">
        <f aca="false">IF(OR('THÁNG 6'!$C46="",'THÁNG 6'!$B46=""),"",'THÁNG 6'!$B46)</f>
        <v/>
      </c>
      <c r="C39" s="0" t="str">
        <f aca="false">IF('THÁNG 6'!$C46="","",'THÁNG 6'!$C46)</f>
        <v/>
      </c>
      <c r="D39" s="0" t="str">
        <f aca="false">IF('THÁNG 6'!$C46="","",'THÁNG 6'!$D46&amp;"")</f>
        <v/>
      </c>
      <c r="E39" s="0" t="str">
        <f aca="false">IF('THÁNG 6'!$C46="","",'THÁNG 6'!$E46&amp;"")</f>
        <v/>
      </c>
      <c r="F39" s="0" t="str">
        <f aca="false">IF('THÁNG 6'!$C46="","",'THÁNG 6'!$F46&amp;"")</f>
        <v/>
      </c>
      <c r="G39" s="0" t="str">
        <f aca="false">IF('THÁNG 6'!$C46="","",'THÁNG 6'!$G46&amp;"")</f>
        <v/>
      </c>
      <c r="H39" s="0" t="str">
        <f aca="false">IF('THÁNG 6'!$C46="","",'THÁNG 6'!$H46&amp;"")</f>
        <v/>
      </c>
      <c r="I39" s="0" t="str">
        <f aca="false">IF('THÁNG 6'!$C46="","",N('THÁNG 6'!$I46))</f>
        <v/>
      </c>
      <c r="J39" s="0" t="str">
        <f aca="false">IF('THÁNG 6'!$C46="","",N('THÁNG 6'!$L46))</f>
        <v/>
      </c>
      <c r="K39" s="0" t="str">
        <f aca="false">IF('THÁNG 6'!$C46="","",N('THÁNG 6'!$N46))</f>
        <v/>
      </c>
      <c r="L39" s="0" t="str">
        <f aca="false">IF('THÁNG 6'!$C46="","",N('THÁNG 6'!$O46))</f>
        <v/>
      </c>
      <c r="M39" s="0" t="str">
        <f aca="false">IF('THÁNG 6'!$C46="","",N('THÁNG 6'!$P46))</f>
        <v/>
      </c>
      <c r="N39" s="0" t="str">
        <f aca="false">IF('THÁNG 6'!$C46="","",N('THÁNG 6'!$Q46))</f>
        <v/>
      </c>
      <c r="O39" s="0" t="str">
        <f aca="false">IF('THÁNG 6'!$C46="","",N('THÁNG 6'!$R46))</f>
        <v/>
      </c>
      <c r="P39" s="0" t="str">
        <f aca="false">IF(OR('THÁNG 6'!$C46="",'THÁNG 6'!$T46=""),"",'THÁNG 6'!$T46)</f>
        <v/>
      </c>
      <c r="Q39" s="0" t="str">
        <f aca="false">IF(OR('THÁNG 6'!$C46="",'THÁNG 6'!$U46=""),"",'THÁNG 6'!$U46)</f>
        <v/>
      </c>
      <c r="R39" s="0" t="str">
        <f aca="false">IF('THÁNG 6'!$C46="","",'THÁNG 6'!$W46&amp;"")</f>
        <v/>
      </c>
      <c r="S39" s="0" t="str">
        <f aca="false">IF('THÁNG 6'!$C46="","",'THÁNG 6'!$S46&amp;"")</f>
        <v/>
      </c>
      <c r="T39" s="0" t="str">
        <f aca="false">IF(N($O39)&gt;0,COUNTIF($O$3:$O39,"&gt;0"),"")</f>
        <v/>
      </c>
      <c r="U39" s="0" t="str">
        <f aca="false">IF(AND(N($J39)&gt;0,N($K39)&gt;0),COUNTIFS($J$3:$J39,"&gt;0",$K$3:$K39,"&gt;0"),"")</f>
        <v/>
      </c>
      <c r="V39" s="0" t="str">
        <f aca="false">IF(AND(N($J39)&gt;0,N($K39)=0),COUNTIFS($J$3:$J39,"&gt;0",$K$3:$K39,"&lt;=0"),"")</f>
        <v/>
      </c>
      <c r="W39" s="0" t="str">
        <f aca="false">IF($C39="","",IF(COUNTIF($C$3:$C39,$C39)&gt;1,"",MAX($W$2:W38)+1))</f>
        <v/>
      </c>
      <c r="X39" s="0" t="str">
        <f aca="false">IF($H39="","",IF(COUNTIF($H$3:$H39,$H39)&gt;1,"",MAX($X$2:X38)+1))</f>
        <v/>
      </c>
      <c r="Y39" s="0" t="str">
        <f aca="false">IF(AND(N($M39)&gt;0,N($O39)&lt;=0),COUNTIFS($M$3:$M39,"&gt;0",$O$3:$O39,"&lt;=0"),"")</f>
        <v/>
      </c>
      <c r="Z39" s="30" t="n">
        <f aca="false">IF(OR('THÁNG 6'!$C46="",'THÁNG 6'!$B46=""),0,'THÁNG 6'!$B46)</f>
        <v>0</v>
      </c>
    </row>
    <row r="40" customFormat="false" ht="15" hidden="false" customHeight="false" outlineLevel="0" collapsed="false">
      <c r="A40" s="0" t="n">
        <v>6</v>
      </c>
      <c r="B40" s="29" t="str">
        <f aca="false">IF(OR('THÁNG 6'!$C47="",'THÁNG 6'!$B47=""),"",'THÁNG 6'!$B47)</f>
        <v/>
      </c>
      <c r="C40" s="0" t="str">
        <f aca="false">IF('THÁNG 6'!$C47="","",'THÁNG 6'!$C47)</f>
        <v/>
      </c>
      <c r="D40" s="0" t="str">
        <f aca="false">IF('THÁNG 6'!$C47="","",'THÁNG 6'!$D47&amp;"")</f>
        <v/>
      </c>
      <c r="E40" s="0" t="str">
        <f aca="false">IF('THÁNG 6'!$C47="","",'THÁNG 6'!$E47&amp;"")</f>
        <v/>
      </c>
      <c r="F40" s="0" t="str">
        <f aca="false">IF('THÁNG 6'!$C47="","",'THÁNG 6'!$F47&amp;"")</f>
        <v/>
      </c>
      <c r="G40" s="0" t="str">
        <f aca="false">IF('THÁNG 6'!$C47="","",'THÁNG 6'!$G47&amp;"")</f>
        <v/>
      </c>
      <c r="H40" s="0" t="str">
        <f aca="false">IF('THÁNG 6'!$C47="","",'THÁNG 6'!$H47&amp;"")</f>
        <v/>
      </c>
      <c r="I40" s="0" t="str">
        <f aca="false">IF('THÁNG 6'!$C47="","",N('THÁNG 6'!$I47))</f>
        <v/>
      </c>
      <c r="J40" s="0" t="str">
        <f aca="false">IF('THÁNG 6'!$C47="","",N('THÁNG 6'!$L47))</f>
        <v/>
      </c>
      <c r="K40" s="0" t="str">
        <f aca="false">IF('THÁNG 6'!$C47="","",N('THÁNG 6'!$N47))</f>
        <v/>
      </c>
      <c r="L40" s="0" t="str">
        <f aca="false">IF('THÁNG 6'!$C47="","",N('THÁNG 6'!$O47))</f>
        <v/>
      </c>
      <c r="M40" s="0" t="str">
        <f aca="false">IF('THÁNG 6'!$C47="","",N('THÁNG 6'!$P47))</f>
        <v/>
      </c>
      <c r="N40" s="0" t="str">
        <f aca="false">IF('THÁNG 6'!$C47="","",N('THÁNG 6'!$Q47))</f>
        <v/>
      </c>
      <c r="O40" s="0" t="str">
        <f aca="false">IF('THÁNG 6'!$C47="","",N('THÁNG 6'!$R47))</f>
        <v/>
      </c>
      <c r="P40" s="0" t="str">
        <f aca="false">IF(OR('THÁNG 6'!$C47="",'THÁNG 6'!$T47=""),"",'THÁNG 6'!$T47)</f>
        <v/>
      </c>
      <c r="Q40" s="0" t="str">
        <f aca="false">IF(OR('THÁNG 6'!$C47="",'THÁNG 6'!$U47=""),"",'THÁNG 6'!$U47)</f>
        <v/>
      </c>
      <c r="R40" s="0" t="str">
        <f aca="false">IF('THÁNG 6'!$C47="","",'THÁNG 6'!$W47&amp;"")</f>
        <v/>
      </c>
      <c r="S40" s="0" t="str">
        <f aca="false">IF('THÁNG 6'!$C47="","",'THÁNG 6'!$S47&amp;"")</f>
        <v/>
      </c>
      <c r="T40" s="0" t="str">
        <f aca="false">IF(N($O40)&gt;0,COUNTIF($O$3:$O40,"&gt;0"),"")</f>
        <v/>
      </c>
      <c r="U40" s="0" t="str">
        <f aca="false">IF(AND(N($J40)&gt;0,N($K40)&gt;0),COUNTIFS($J$3:$J40,"&gt;0",$K$3:$K40,"&gt;0"),"")</f>
        <v/>
      </c>
      <c r="V40" s="0" t="str">
        <f aca="false">IF(AND(N($J40)&gt;0,N($K40)=0),COUNTIFS($J$3:$J40,"&gt;0",$K$3:$K40,"&lt;=0"),"")</f>
        <v/>
      </c>
      <c r="W40" s="0" t="str">
        <f aca="false">IF($C40="","",IF(COUNTIF($C$3:$C40,$C40)&gt;1,"",MAX($W$2:W39)+1))</f>
        <v/>
      </c>
      <c r="X40" s="0" t="str">
        <f aca="false">IF($H40="","",IF(COUNTIF($H$3:$H40,$H40)&gt;1,"",MAX($X$2:X39)+1))</f>
        <v/>
      </c>
      <c r="Y40" s="0" t="str">
        <f aca="false">IF(AND(N($M40)&gt;0,N($O40)&lt;=0),COUNTIFS($M$3:$M40,"&gt;0",$O$3:$O40,"&lt;=0"),"")</f>
        <v/>
      </c>
      <c r="Z40" s="30" t="n">
        <f aca="false">IF(OR('THÁNG 6'!$C47="",'THÁNG 6'!$B47=""),0,'THÁNG 6'!$B47)</f>
        <v>0</v>
      </c>
    </row>
    <row r="41" customFormat="false" ht="15" hidden="false" customHeight="false" outlineLevel="0" collapsed="false">
      <c r="A41" s="0" t="n">
        <v>6</v>
      </c>
      <c r="B41" s="29" t="str">
        <f aca="false">IF(OR('THÁNG 6'!$C48="",'THÁNG 6'!$B48=""),"",'THÁNG 6'!$B48)</f>
        <v/>
      </c>
      <c r="C41" s="0" t="str">
        <f aca="false">IF('THÁNG 6'!$C48="","",'THÁNG 6'!$C48)</f>
        <v/>
      </c>
      <c r="D41" s="0" t="str">
        <f aca="false">IF('THÁNG 6'!$C48="","",'THÁNG 6'!$D48&amp;"")</f>
        <v/>
      </c>
      <c r="E41" s="0" t="str">
        <f aca="false">IF('THÁNG 6'!$C48="","",'THÁNG 6'!$E48&amp;"")</f>
        <v/>
      </c>
      <c r="F41" s="0" t="str">
        <f aca="false">IF('THÁNG 6'!$C48="","",'THÁNG 6'!$F48&amp;"")</f>
        <v/>
      </c>
      <c r="G41" s="0" t="str">
        <f aca="false">IF('THÁNG 6'!$C48="","",'THÁNG 6'!$G48&amp;"")</f>
        <v/>
      </c>
      <c r="H41" s="0" t="str">
        <f aca="false">IF('THÁNG 6'!$C48="","",'THÁNG 6'!$H48&amp;"")</f>
        <v/>
      </c>
      <c r="I41" s="0" t="str">
        <f aca="false">IF('THÁNG 6'!$C48="","",N('THÁNG 6'!$I48))</f>
        <v/>
      </c>
      <c r="J41" s="0" t="str">
        <f aca="false">IF('THÁNG 6'!$C48="","",N('THÁNG 6'!$L48))</f>
        <v/>
      </c>
      <c r="K41" s="0" t="str">
        <f aca="false">IF('THÁNG 6'!$C48="","",N('THÁNG 6'!$N48))</f>
        <v/>
      </c>
      <c r="L41" s="0" t="str">
        <f aca="false">IF('THÁNG 6'!$C48="","",N('THÁNG 6'!$O48))</f>
        <v/>
      </c>
      <c r="M41" s="0" t="str">
        <f aca="false">IF('THÁNG 6'!$C48="","",N('THÁNG 6'!$P48))</f>
        <v/>
      </c>
      <c r="N41" s="0" t="str">
        <f aca="false">IF('THÁNG 6'!$C48="","",N('THÁNG 6'!$Q48))</f>
        <v/>
      </c>
      <c r="O41" s="0" t="str">
        <f aca="false">IF('THÁNG 6'!$C48="","",N('THÁNG 6'!$R48))</f>
        <v/>
      </c>
      <c r="P41" s="0" t="str">
        <f aca="false">IF(OR('THÁNG 6'!$C48="",'THÁNG 6'!$T48=""),"",'THÁNG 6'!$T48)</f>
        <v/>
      </c>
      <c r="Q41" s="0" t="str">
        <f aca="false">IF(OR('THÁNG 6'!$C48="",'THÁNG 6'!$U48=""),"",'THÁNG 6'!$U48)</f>
        <v/>
      </c>
      <c r="R41" s="0" t="str">
        <f aca="false">IF('THÁNG 6'!$C48="","",'THÁNG 6'!$W48&amp;"")</f>
        <v/>
      </c>
      <c r="S41" s="0" t="str">
        <f aca="false">IF('THÁNG 6'!$C48="","",'THÁNG 6'!$S48&amp;"")</f>
        <v/>
      </c>
      <c r="T41" s="0" t="str">
        <f aca="false">IF(N($O41)&gt;0,COUNTIF($O$3:$O41,"&gt;0"),"")</f>
        <v/>
      </c>
      <c r="U41" s="0" t="str">
        <f aca="false">IF(AND(N($J41)&gt;0,N($K41)&gt;0),COUNTIFS($J$3:$J41,"&gt;0",$K$3:$K41,"&gt;0"),"")</f>
        <v/>
      </c>
      <c r="V41" s="0" t="str">
        <f aca="false">IF(AND(N($J41)&gt;0,N($K41)=0),COUNTIFS($J$3:$J41,"&gt;0",$K$3:$K41,"&lt;=0"),"")</f>
        <v/>
      </c>
      <c r="W41" s="0" t="str">
        <f aca="false">IF($C41="","",IF(COUNTIF($C$3:$C41,$C41)&gt;1,"",MAX($W$2:W40)+1))</f>
        <v/>
      </c>
      <c r="X41" s="0" t="str">
        <f aca="false">IF($H41="","",IF(COUNTIF($H$3:$H41,$H41)&gt;1,"",MAX($X$2:X40)+1))</f>
        <v/>
      </c>
      <c r="Y41" s="0" t="str">
        <f aca="false">IF(AND(N($M41)&gt;0,N($O41)&lt;=0),COUNTIFS($M$3:$M41,"&gt;0",$O$3:$O41,"&lt;=0"),"")</f>
        <v/>
      </c>
      <c r="Z41" s="30" t="n">
        <f aca="false">IF(OR('THÁNG 6'!$C48="",'THÁNG 6'!$B48=""),0,'THÁNG 6'!$B48)</f>
        <v>0</v>
      </c>
    </row>
    <row r="42" customFormat="false" ht="15" hidden="false" customHeight="false" outlineLevel="0" collapsed="false">
      <c r="A42" s="0" t="n">
        <v>6</v>
      </c>
      <c r="B42" s="29" t="str">
        <f aca="false">IF(OR('THÁNG 6'!$C49="",'THÁNG 6'!$B49=""),"",'THÁNG 6'!$B49)</f>
        <v/>
      </c>
      <c r="C42" s="0" t="str">
        <f aca="false">IF('THÁNG 6'!$C49="","",'THÁNG 6'!$C49)</f>
        <v/>
      </c>
      <c r="D42" s="0" t="str">
        <f aca="false">IF('THÁNG 6'!$C49="","",'THÁNG 6'!$D49&amp;"")</f>
        <v/>
      </c>
      <c r="E42" s="0" t="str">
        <f aca="false">IF('THÁNG 6'!$C49="","",'THÁNG 6'!$E49&amp;"")</f>
        <v/>
      </c>
      <c r="F42" s="0" t="str">
        <f aca="false">IF('THÁNG 6'!$C49="","",'THÁNG 6'!$F49&amp;"")</f>
        <v/>
      </c>
      <c r="G42" s="0" t="str">
        <f aca="false">IF('THÁNG 6'!$C49="","",'THÁNG 6'!$G49&amp;"")</f>
        <v/>
      </c>
      <c r="H42" s="0" t="str">
        <f aca="false">IF('THÁNG 6'!$C49="","",'THÁNG 6'!$H49&amp;"")</f>
        <v/>
      </c>
      <c r="I42" s="0" t="str">
        <f aca="false">IF('THÁNG 6'!$C49="","",N('THÁNG 6'!$I49))</f>
        <v/>
      </c>
      <c r="J42" s="0" t="str">
        <f aca="false">IF('THÁNG 6'!$C49="","",N('THÁNG 6'!$L49))</f>
        <v/>
      </c>
      <c r="K42" s="0" t="str">
        <f aca="false">IF('THÁNG 6'!$C49="","",N('THÁNG 6'!$N49))</f>
        <v/>
      </c>
      <c r="L42" s="0" t="str">
        <f aca="false">IF('THÁNG 6'!$C49="","",N('THÁNG 6'!$O49))</f>
        <v/>
      </c>
      <c r="M42" s="0" t="str">
        <f aca="false">IF('THÁNG 6'!$C49="","",N('THÁNG 6'!$P49))</f>
        <v/>
      </c>
      <c r="N42" s="0" t="str">
        <f aca="false">IF('THÁNG 6'!$C49="","",N('THÁNG 6'!$Q49))</f>
        <v/>
      </c>
      <c r="O42" s="0" t="str">
        <f aca="false">IF('THÁNG 6'!$C49="","",N('THÁNG 6'!$R49))</f>
        <v/>
      </c>
      <c r="P42" s="0" t="str">
        <f aca="false">IF(OR('THÁNG 6'!$C49="",'THÁNG 6'!$T49=""),"",'THÁNG 6'!$T49)</f>
        <v/>
      </c>
      <c r="Q42" s="0" t="str">
        <f aca="false">IF(OR('THÁNG 6'!$C49="",'THÁNG 6'!$U49=""),"",'THÁNG 6'!$U49)</f>
        <v/>
      </c>
      <c r="R42" s="0" t="str">
        <f aca="false">IF('THÁNG 6'!$C49="","",'THÁNG 6'!$W49&amp;"")</f>
        <v/>
      </c>
      <c r="S42" s="0" t="str">
        <f aca="false">IF('THÁNG 6'!$C49="","",'THÁNG 6'!$S49&amp;"")</f>
        <v/>
      </c>
      <c r="T42" s="0" t="str">
        <f aca="false">IF(N($O42)&gt;0,COUNTIF($O$3:$O42,"&gt;0"),"")</f>
        <v/>
      </c>
      <c r="U42" s="0" t="str">
        <f aca="false">IF(AND(N($J42)&gt;0,N($K42)&gt;0),COUNTIFS($J$3:$J42,"&gt;0",$K$3:$K42,"&gt;0"),"")</f>
        <v/>
      </c>
      <c r="V42" s="0" t="str">
        <f aca="false">IF(AND(N($J42)&gt;0,N($K42)=0),COUNTIFS($J$3:$J42,"&gt;0",$K$3:$K42,"&lt;=0"),"")</f>
        <v/>
      </c>
      <c r="W42" s="0" t="str">
        <f aca="false">IF($C42="","",IF(COUNTIF($C$3:$C42,$C42)&gt;1,"",MAX($W$2:W41)+1))</f>
        <v/>
      </c>
      <c r="X42" s="0" t="str">
        <f aca="false">IF($H42="","",IF(COUNTIF($H$3:$H42,$H42)&gt;1,"",MAX($X$2:X41)+1))</f>
        <v/>
      </c>
      <c r="Y42" s="0" t="str">
        <f aca="false">IF(AND(N($M42)&gt;0,N($O42)&lt;=0),COUNTIFS($M$3:$M42,"&gt;0",$O$3:$O42,"&lt;=0"),"")</f>
        <v/>
      </c>
      <c r="Z42" s="30" t="n">
        <f aca="false">IF(OR('THÁNG 6'!$C49="",'THÁNG 6'!$B49=""),0,'THÁNG 6'!$B49)</f>
        <v>0</v>
      </c>
    </row>
    <row r="43" customFormat="false" ht="15" hidden="false" customHeight="false" outlineLevel="0" collapsed="false">
      <c r="A43" s="0" t="n">
        <v>6</v>
      </c>
      <c r="B43" s="29" t="str">
        <f aca="false">IF(OR('THÁNG 6'!$C50="",'THÁNG 6'!$B50=""),"",'THÁNG 6'!$B50)</f>
        <v/>
      </c>
      <c r="C43" s="0" t="str">
        <f aca="false">IF('THÁNG 6'!$C50="","",'THÁNG 6'!$C50)</f>
        <v/>
      </c>
      <c r="D43" s="0" t="str">
        <f aca="false">IF('THÁNG 6'!$C50="","",'THÁNG 6'!$D50&amp;"")</f>
        <v/>
      </c>
      <c r="E43" s="0" t="str">
        <f aca="false">IF('THÁNG 6'!$C50="","",'THÁNG 6'!$E50&amp;"")</f>
        <v/>
      </c>
      <c r="F43" s="0" t="str">
        <f aca="false">IF('THÁNG 6'!$C50="","",'THÁNG 6'!$F50&amp;"")</f>
        <v/>
      </c>
      <c r="G43" s="0" t="str">
        <f aca="false">IF('THÁNG 6'!$C50="","",'THÁNG 6'!$G50&amp;"")</f>
        <v/>
      </c>
      <c r="H43" s="0" t="str">
        <f aca="false">IF('THÁNG 6'!$C50="","",'THÁNG 6'!$H50&amp;"")</f>
        <v/>
      </c>
      <c r="I43" s="0" t="str">
        <f aca="false">IF('THÁNG 6'!$C50="","",N('THÁNG 6'!$I50))</f>
        <v/>
      </c>
      <c r="J43" s="0" t="str">
        <f aca="false">IF('THÁNG 6'!$C50="","",N('THÁNG 6'!$L50))</f>
        <v/>
      </c>
      <c r="K43" s="0" t="str">
        <f aca="false">IF('THÁNG 6'!$C50="","",N('THÁNG 6'!$N50))</f>
        <v/>
      </c>
      <c r="L43" s="0" t="str">
        <f aca="false">IF('THÁNG 6'!$C50="","",N('THÁNG 6'!$O50))</f>
        <v/>
      </c>
      <c r="M43" s="0" t="str">
        <f aca="false">IF('THÁNG 6'!$C50="","",N('THÁNG 6'!$P50))</f>
        <v/>
      </c>
      <c r="N43" s="0" t="str">
        <f aca="false">IF('THÁNG 6'!$C50="","",N('THÁNG 6'!$Q50))</f>
        <v/>
      </c>
      <c r="O43" s="0" t="str">
        <f aca="false">IF('THÁNG 6'!$C50="","",N('THÁNG 6'!$R50))</f>
        <v/>
      </c>
      <c r="P43" s="0" t="str">
        <f aca="false">IF(OR('THÁNG 6'!$C50="",'THÁNG 6'!$T50=""),"",'THÁNG 6'!$T50)</f>
        <v/>
      </c>
      <c r="Q43" s="0" t="str">
        <f aca="false">IF(OR('THÁNG 6'!$C50="",'THÁNG 6'!$U50=""),"",'THÁNG 6'!$U50)</f>
        <v/>
      </c>
      <c r="R43" s="0" t="str">
        <f aca="false">IF('THÁNG 6'!$C50="","",'THÁNG 6'!$W50&amp;"")</f>
        <v/>
      </c>
      <c r="S43" s="0" t="str">
        <f aca="false">IF('THÁNG 6'!$C50="","",'THÁNG 6'!$S50&amp;"")</f>
        <v/>
      </c>
      <c r="T43" s="0" t="str">
        <f aca="false">IF(N($O43)&gt;0,COUNTIF($O$3:$O43,"&gt;0"),"")</f>
        <v/>
      </c>
      <c r="U43" s="0" t="str">
        <f aca="false">IF(AND(N($J43)&gt;0,N($K43)&gt;0),COUNTIFS($J$3:$J43,"&gt;0",$K$3:$K43,"&gt;0"),"")</f>
        <v/>
      </c>
      <c r="V43" s="0" t="str">
        <f aca="false">IF(AND(N($J43)&gt;0,N($K43)=0),COUNTIFS($J$3:$J43,"&gt;0",$K$3:$K43,"&lt;=0"),"")</f>
        <v/>
      </c>
      <c r="W43" s="0" t="str">
        <f aca="false">IF($C43="","",IF(COUNTIF($C$3:$C43,$C43)&gt;1,"",MAX($W$2:W42)+1))</f>
        <v/>
      </c>
      <c r="X43" s="0" t="str">
        <f aca="false">IF($H43="","",IF(COUNTIF($H$3:$H43,$H43)&gt;1,"",MAX($X$2:X42)+1))</f>
        <v/>
      </c>
      <c r="Y43" s="0" t="str">
        <f aca="false">IF(AND(N($M43)&gt;0,N($O43)&lt;=0),COUNTIFS($M$3:$M43,"&gt;0",$O$3:$O43,"&lt;=0"),"")</f>
        <v/>
      </c>
      <c r="Z43" s="30" t="n">
        <f aca="false">IF(OR('THÁNG 6'!$C50="",'THÁNG 6'!$B50=""),0,'THÁNG 6'!$B50)</f>
        <v>0</v>
      </c>
    </row>
    <row r="44" customFormat="false" ht="15" hidden="false" customHeight="false" outlineLevel="0" collapsed="false">
      <c r="A44" s="0" t="n">
        <v>6</v>
      </c>
      <c r="B44" s="29" t="str">
        <f aca="false">IF(OR('THÁNG 6'!$C51="",'THÁNG 6'!$B51=""),"",'THÁNG 6'!$B51)</f>
        <v/>
      </c>
      <c r="C44" s="0" t="str">
        <f aca="false">IF('THÁNG 6'!$C51="","",'THÁNG 6'!$C51)</f>
        <v/>
      </c>
      <c r="D44" s="0" t="str">
        <f aca="false">IF('THÁNG 6'!$C51="","",'THÁNG 6'!$D51&amp;"")</f>
        <v/>
      </c>
      <c r="E44" s="0" t="str">
        <f aca="false">IF('THÁNG 6'!$C51="","",'THÁNG 6'!$E51&amp;"")</f>
        <v/>
      </c>
      <c r="F44" s="0" t="str">
        <f aca="false">IF('THÁNG 6'!$C51="","",'THÁNG 6'!$F51&amp;"")</f>
        <v/>
      </c>
      <c r="G44" s="0" t="str">
        <f aca="false">IF('THÁNG 6'!$C51="","",'THÁNG 6'!$G51&amp;"")</f>
        <v/>
      </c>
      <c r="H44" s="0" t="str">
        <f aca="false">IF('THÁNG 6'!$C51="","",'THÁNG 6'!$H51&amp;"")</f>
        <v/>
      </c>
      <c r="I44" s="0" t="str">
        <f aca="false">IF('THÁNG 6'!$C51="","",N('THÁNG 6'!$I51))</f>
        <v/>
      </c>
      <c r="J44" s="0" t="str">
        <f aca="false">IF('THÁNG 6'!$C51="","",N('THÁNG 6'!$L51))</f>
        <v/>
      </c>
      <c r="K44" s="0" t="str">
        <f aca="false">IF('THÁNG 6'!$C51="","",N('THÁNG 6'!$N51))</f>
        <v/>
      </c>
      <c r="L44" s="0" t="str">
        <f aca="false">IF('THÁNG 6'!$C51="","",N('THÁNG 6'!$O51))</f>
        <v/>
      </c>
      <c r="M44" s="0" t="str">
        <f aca="false">IF('THÁNG 6'!$C51="","",N('THÁNG 6'!$P51))</f>
        <v/>
      </c>
      <c r="N44" s="0" t="str">
        <f aca="false">IF('THÁNG 6'!$C51="","",N('THÁNG 6'!$Q51))</f>
        <v/>
      </c>
      <c r="O44" s="0" t="str">
        <f aca="false">IF('THÁNG 6'!$C51="","",N('THÁNG 6'!$R51))</f>
        <v/>
      </c>
      <c r="P44" s="0" t="str">
        <f aca="false">IF(OR('THÁNG 6'!$C51="",'THÁNG 6'!$T51=""),"",'THÁNG 6'!$T51)</f>
        <v/>
      </c>
      <c r="Q44" s="0" t="str">
        <f aca="false">IF(OR('THÁNG 6'!$C51="",'THÁNG 6'!$U51=""),"",'THÁNG 6'!$U51)</f>
        <v/>
      </c>
      <c r="R44" s="0" t="str">
        <f aca="false">IF('THÁNG 6'!$C51="","",'THÁNG 6'!$W51&amp;"")</f>
        <v/>
      </c>
      <c r="S44" s="0" t="str">
        <f aca="false">IF('THÁNG 6'!$C51="","",'THÁNG 6'!$S51&amp;"")</f>
        <v/>
      </c>
      <c r="T44" s="0" t="str">
        <f aca="false">IF(N($O44)&gt;0,COUNTIF($O$3:$O44,"&gt;0"),"")</f>
        <v/>
      </c>
      <c r="U44" s="0" t="str">
        <f aca="false">IF(AND(N($J44)&gt;0,N($K44)&gt;0),COUNTIFS($J$3:$J44,"&gt;0",$K$3:$K44,"&gt;0"),"")</f>
        <v/>
      </c>
      <c r="V44" s="0" t="str">
        <f aca="false">IF(AND(N($J44)&gt;0,N($K44)=0),COUNTIFS($J$3:$J44,"&gt;0",$K$3:$K44,"&lt;=0"),"")</f>
        <v/>
      </c>
      <c r="W44" s="0" t="str">
        <f aca="false">IF($C44="","",IF(COUNTIF($C$3:$C44,$C44)&gt;1,"",MAX($W$2:W43)+1))</f>
        <v/>
      </c>
      <c r="X44" s="0" t="str">
        <f aca="false">IF($H44="","",IF(COUNTIF($H$3:$H44,$H44)&gt;1,"",MAX($X$2:X43)+1))</f>
        <v/>
      </c>
      <c r="Y44" s="0" t="str">
        <f aca="false">IF(AND(N($M44)&gt;0,N($O44)&lt;=0),COUNTIFS($M$3:$M44,"&gt;0",$O$3:$O44,"&lt;=0"),"")</f>
        <v/>
      </c>
      <c r="Z44" s="30" t="n">
        <f aca="false">IF(OR('THÁNG 6'!$C51="",'THÁNG 6'!$B51=""),0,'THÁNG 6'!$B51)</f>
        <v>0</v>
      </c>
    </row>
    <row r="45" customFormat="false" ht="15" hidden="false" customHeight="false" outlineLevel="0" collapsed="false">
      <c r="A45" s="0" t="n">
        <v>6</v>
      </c>
      <c r="B45" s="29" t="str">
        <f aca="false">IF(OR('THÁNG 6'!$C52="",'THÁNG 6'!$B52=""),"",'THÁNG 6'!$B52)</f>
        <v/>
      </c>
      <c r="C45" s="0" t="str">
        <f aca="false">IF('THÁNG 6'!$C52="","",'THÁNG 6'!$C52)</f>
        <v/>
      </c>
      <c r="D45" s="0" t="str">
        <f aca="false">IF('THÁNG 6'!$C52="","",'THÁNG 6'!$D52&amp;"")</f>
        <v/>
      </c>
      <c r="E45" s="0" t="str">
        <f aca="false">IF('THÁNG 6'!$C52="","",'THÁNG 6'!$E52&amp;"")</f>
        <v/>
      </c>
      <c r="F45" s="0" t="str">
        <f aca="false">IF('THÁNG 6'!$C52="","",'THÁNG 6'!$F52&amp;"")</f>
        <v/>
      </c>
      <c r="G45" s="0" t="str">
        <f aca="false">IF('THÁNG 6'!$C52="","",'THÁNG 6'!$G52&amp;"")</f>
        <v/>
      </c>
      <c r="H45" s="0" t="str">
        <f aca="false">IF('THÁNG 6'!$C52="","",'THÁNG 6'!$H52&amp;"")</f>
        <v/>
      </c>
      <c r="I45" s="0" t="str">
        <f aca="false">IF('THÁNG 6'!$C52="","",N('THÁNG 6'!$I52))</f>
        <v/>
      </c>
      <c r="J45" s="0" t="str">
        <f aca="false">IF('THÁNG 6'!$C52="","",N('THÁNG 6'!$L52))</f>
        <v/>
      </c>
      <c r="K45" s="0" t="str">
        <f aca="false">IF('THÁNG 6'!$C52="","",N('THÁNG 6'!$N52))</f>
        <v/>
      </c>
      <c r="L45" s="0" t="str">
        <f aca="false">IF('THÁNG 6'!$C52="","",N('THÁNG 6'!$O52))</f>
        <v/>
      </c>
      <c r="M45" s="0" t="str">
        <f aca="false">IF('THÁNG 6'!$C52="","",N('THÁNG 6'!$P52))</f>
        <v/>
      </c>
      <c r="N45" s="0" t="str">
        <f aca="false">IF('THÁNG 6'!$C52="","",N('THÁNG 6'!$Q52))</f>
        <v/>
      </c>
      <c r="O45" s="0" t="str">
        <f aca="false">IF('THÁNG 6'!$C52="","",N('THÁNG 6'!$R52))</f>
        <v/>
      </c>
      <c r="P45" s="0" t="str">
        <f aca="false">IF(OR('THÁNG 6'!$C52="",'THÁNG 6'!$T52=""),"",'THÁNG 6'!$T52)</f>
        <v/>
      </c>
      <c r="Q45" s="0" t="str">
        <f aca="false">IF(OR('THÁNG 6'!$C52="",'THÁNG 6'!$U52=""),"",'THÁNG 6'!$U52)</f>
        <v/>
      </c>
      <c r="R45" s="0" t="str">
        <f aca="false">IF('THÁNG 6'!$C52="","",'THÁNG 6'!$W52&amp;"")</f>
        <v/>
      </c>
      <c r="S45" s="0" t="str">
        <f aca="false">IF('THÁNG 6'!$C52="","",'THÁNG 6'!$S52&amp;"")</f>
        <v/>
      </c>
      <c r="T45" s="0" t="str">
        <f aca="false">IF(N($O45)&gt;0,COUNTIF($O$3:$O45,"&gt;0"),"")</f>
        <v/>
      </c>
      <c r="U45" s="0" t="str">
        <f aca="false">IF(AND(N($J45)&gt;0,N($K45)&gt;0),COUNTIFS($J$3:$J45,"&gt;0",$K$3:$K45,"&gt;0"),"")</f>
        <v/>
      </c>
      <c r="V45" s="0" t="str">
        <f aca="false">IF(AND(N($J45)&gt;0,N($K45)=0),COUNTIFS($J$3:$J45,"&gt;0",$K$3:$K45,"&lt;=0"),"")</f>
        <v/>
      </c>
      <c r="W45" s="0" t="str">
        <f aca="false">IF($C45="","",IF(COUNTIF($C$3:$C45,$C45)&gt;1,"",MAX($W$2:W44)+1))</f>
        <v/>
      </c>
      <c r="X45" s="0" t="str">
        <f aca="false">IF($H45="","",IF(COUNTIF($H$3:$H45,$H45)&gt;1,"",MAX($X$2:X44)+1))</f>
        <v/>
      </c>
      <c r="Y45" s="0" t="str">
        <f aca="false">IF(AND(N($M45)&gt;0,N($O45)&lt;=0),COUNTIFS($M$3:$M45,"&gt;0",$O$3:$O45,"&lt;=0"),"")</f>
        <v/>
      </c>
      <c r="Z45" s="30" t="n">
        <f aca="false">IF(OR('THÁNG 6'!$C52="",'THÁNG 6'!$B52=""),0,'THÁNG 6'!$B52)</f>
        <v>0</v>
      </c>
    </row>
    <row r="46" customFormat="false" ht="15" hidden="false" customHeight="false" outlineLevel="0" collapsed="false">
      <c r="A46" s="0" t="n">
        <v>6</v>
      </c>
      <c r="B46" s="29" t="str">
        <f aca="false">IF(OR('THÁNG 6'!$C53="",'THÁNG 6'!$B53=""),"",'THÁNG 6'!$B53)</f>
        <v/>
      </c>
      <c r="C46" s="0" t="str">
        <f aca="false">IF('THÁNG 6'!$C53="","",'THÁNG 6'!$C53)</f>
        <v/>
      </c>
      <c r="D46" s="0" t="str">
        <f aca="false">IF('THÁNG 6'!$C53="","",'THÁNG 6'!$D53&amp;"")</f>
        <v/>
      </c>
      <c r="E46" s="0" t="str">
        <f aca="false">IF('THÁNG 6'!$C53="","",'THÁNG 6'!$E53&amp;"")</f>
        <v/>
      </c>
      <c r="F46" s="0" t="str">
        <f aca="false">IF('THÁNG 6'!$C53="","",'THÁNG 6'!$F53&amp;"")</f>
        <v/>
      </c>
      <c r="G46" s="0" t="str">
        <f aca="false">IF('THÁNG 6'!$C53="","",'THÁNG 6'!$G53&amp;"")</f>
        <v/>
      </c>
      <c r="H46" s="0" t="str">
        <f aca="false">IF('THÁNG 6'!$C53="","",'THÁNG 6'!$H53&amp;"")</f>
        <v/>
      </c>
      <c r="I46" s="0" t="str">
        <f aca="false">IF('THÁNG 6'!$C53="","",N('THÁNG 6'!$I53))</f>
        <v/>
      </c>
      <c r="J46" s="0" t="str">
        <f aca="false">IF('THÁNG 6'!$C53="","",N('THÁNG 6'!$L53))</f>
        <v/>
      </c>
      <c r="K46" s="0" t="str">
        <f aca="false">IF('THÁNG 6'!$C53="","",N('THÁNG 6'!$N53))</f>
        <v/>
      </c>
      <c r="L46" s="0" t="str">
        <f aca="false">IF('THÁNG 6'!$C53="","",N('THÁNG 6'!$O53))</f>
        <v/>
      </c>
      <c r="M46" s="0" t="str">
        <f aca="false">IF('THÁNG 6'!$C53="","",N('THÁNG 6'!$P53))</f>
        <v/>
      </c>
      <c r="N46" s="0" t="str">
        <f aca="false">IF('THÁNG 6'!$C53="","",N('THÁNG 6'!$Q53))</f>
        <v/>
      </c>
      <c r="O46" s="0" t="str">
        <f aca="false">IF('THÁNG 6'!$C53="","",N('THÁNG 6'!$R53))</f>
        <v/>
      </c>
      <c r="P46" s="0" t="str">
        <f aca="false">IF(OR('THÁNG 6'!$C53="",'THÁNG 6'!$T53=""),"",'THÁNG 6'!$T53)</f>
        <v/>
      </c>
      <c r="Q46" s="0" t="str">
        <f aca="false">IF(OR('THÁNG 6'!$C53="",'THÁNG 6'!$U53=""),"",'THÁNG 6'!$U53)</f>
        <v/>
      </c>
      <c r="R46" s="0" t="str">
        <f aca="false">IF('THÁNG 6'!$C53="","",'THÁNG 6'!$W53&amp;"")</f>
        <v/>
      </c>
      <c r="S46" s="0" t="str">
        <f aca="false">IF('THÁNG 6'!$C53="","",'THÁNG 6'!$S53&amp;"")</f>
        <v/>
      </c>
      <c r="T46" s="0" t="str">
        <f aca="false">IF(N($O46)&gt;0,COUNTIF($O$3:$O46,"&gt;0"),"")</f>
        <v/>
      </c>
      <c r="U46" s="0" t="str">
        <f aca="false">IF(AND(N($J46)&gt;0,N($K46)&gt;0),COUNTIFS($J$3:$J46,"&gt;0",$K$3:$K46,"&gt;0"),"")</f>
        <v/>
      </c>
      <c r="V46" s="0" t="str">
        <f aca="false">IF(AND(N($J46)&gt;0,N($K46)=0),COUNTIFS($J$3:$J46,"&gt;0",$K$3:$K46,"&lt;=0"),"")</f>
        <v/>
      </c>
      <c r="W46" s="0" t="str">
        <f aca="false">IF($C46="","",IF(COUNTIF($C$3:$C46,$C46)&gt;1,"",MAX($W$2:W45)+1))</f>
        <v/>
      </c>
      <c r="X46" s="0" t="str">
        <f aca="false">IF($H46="","",IF(COUNTIF($H$3:$H46,$H46)&gt;1,"",MAX($X$2:X45)+1))</f>
        <v/>
      </c>
      <c r="Y46" s="0" t="str">
        <f aca="false">IF(AND(N($M46)&gt;0,N($O46)&lt;=0),COUNTIFS($M$3:$M46,"&gt;0",$O$3:$O46,"&lt;=0"),"")</f>
        <v/>
      </c>
      <c r="Z46" s="30" t="n">
        <f aca="false">IF(OR('THÁNG 6'!$C53="",'THÁNG 6'!$B53=""),0,'THÁNG 6'!$B53)</f>
        <v>0</v>
      </c>
    </row>
    <row r="47" customFormat="false" ht="15" hidden="false" customHeight="false" outlineLevel="0" collapsed="false">
      <c r="A47" s="0" t="n">
        <v>6</v>
      </c>
      <c r="B47" s="29" t="str">
        <f aca="false">IF(OR('THÁNG 6'!$C54="",'THÁNG 6'!$B54=""),"",'THÁNG 6'!$B54)</f>
        <v/>
      </c>
      <c r="C47" s="0" t="str">
        <f aca="false">IF('THÁNG 6'!$C54="","",'THÁNG 6'!$C54)</f>
        <v/>
      </c>
      <c r="D47" s="0" t="str">
        <f aca="false">IF('THÁNG 6'!$C54="","",'THÁNG 6'!$D54&amp;"")</f>
        <v/>
      </c>
      <c r="E47" s="0" t="str">
        <f aca="false">IF('THÁNG 6'!$C54="","",'THÁNG 6'!$E54&amp;"")</f>
        <v/>
      </c>
      <c r="F47" s="0" t="str">
        <f aca="false">IF('THÁNG 6'!$C54="","",'THÁNG 6'!$F54&amp;"")</f>
        <v/>
      </c>
      <c r="G47" s="0" t="str">
        <f aca="false">IF('THÁNG 6'!$C54="","",'THÁNG 6'!$G54&amp;"")</f>
        <v/>
      </c>
      <c r="H47" s="0" t="str">
        <f aca="false">IF('THÁNG 6'!$C54="","",'THÁNG 6'!$H54&amp;"")</f>
        <v/>
      </c>
      <c r="I47" s="0" t="str">
        <f aca="false">IF('THÁNG 6'!$C54="","",N('THÁNG 6'!$I54))</f>
        <v/>
      </c>
      <c r="J47" s="0" t="str">
        <f aca="false">IF('THÁNG 6'!$C54="","",N('THÁNG 6'!$L54))</f>
        <v/>
      </c>
      <c r="K47" s="0" t="str">
        <f aca="false">IF('THÁNG 6'!$C54="","",N('THÁNG 6'!$N54))</f>
        <v/>
      </c>
      <c r="L47" s="0" t="str">
        <f aca="false">IF('THÁNG 6'!$C54="","",N('THÁNG 6'!$O54))</f>
        <v/>
      </c>
      <c r="M47" s="0" t="str">
        <f aca="false">IF('THÁNG 6'!$C54="","",N('THÁNG 6'!$P54))</f>
        <v/>
      </c>
      <c r="N47" s="0" t="str">
        <f aca="false">IF('THÁNG 6'!$C54="","",N('THÁNG 6'!$Q54))</f>
        <v/>
      </c>
      <c r="O47" s="0" t="str">
        <f aca="false">IF('THÁNG 6'!$C54="","",N('THÁNG 6'!$R54))</f>
        <v/>
      </c>
      <c r="P47" s="0" t="str">
        <f aca="false">IF(OR('THÁNG 6'!$C54="",'THÁNG 6'!$T54=""),"",'THÁNG 6'!$T54)</f>
        <v/>
      </c>
      <c r="Q47" s="0" t="str">
        <f aca="false">IF(OR('THÁNG 6'!$C54="",'THÁNG 6'!$U54=""),"",'THÁNG 6'!$U54)</f>
        <v/>
      </c>
      <c r="R47" s="0" t="str">
        <f aca="false">IF('THÁNG 6'!$C54="","",'THÁNG 6'!$W54&amp;"")</f>
        <v/>
      </c>
      <c r="S47" s="0" t="str">
        <f aca="false">IF('THÁNG 6'!$C54="","",'THÁNG 6'!$S54&amp;"")</f>
        <v/>
      </c>
      <c r="T47" s="0" t="str">
        <f aca="false">IF(N($O47)&gt;0,COUNTIF($O$3:$O47,"&gt;0"),"")</f>
        <v/>
      </c>
      <c r="U47" s="0" t="str">
        <f aca="false">IF(AND(N($J47)&gt;0,N($K47)&gt;0),COUNTIFS($J$3:$J47,"&gt;0",$K$3:$K47,"&gt;0"),"")</f>
        <v/>
      </c>
      <c r="V47" s="0" t="str">
        <f aca="false">IF(AND(N($J47)&gt;0,N($K47)=0),COUNTIFS($J$3:$J47,"&gt;0",$K$3:$K47,"&lt;=0"),"")</f>
        <v/>
      </c>
      <c r="W47" s="0" t="str">
        <f aca="false">IF($C47="","",IF(COUNTIF($C$3:$C47,$C47)&gt;1,"",MAX($W$2:W46)+1))</f>
        <v/>
      </c>
      <c r="X47" s="0" t="str">
        <f aca="false">IF($H47="","",IF(COUNTIF($H$3:$H47,$H47)&gt;1,"",MAX($X$2:X46)+1))</f>
        <v/>
      </c>
      <c r="Y47" s="0" t="str">
        <f aca="false">IF(AND(N($M47)&gt;0,N($O47)&lt;=0),COUNTIFS($M$3:$M47,"&gt;0",$O$3:$O47,"&lt;=0"),"")</f>
        <v/>
      </c>
      <c r="Z47" s="30" t="n">
        <f aca="false">IF(OR('THÁNG 6'!$C54="",'THÁNG 6'!$B54=""),0,'THÁNG 6'!$B54)</f>
        <v>0</v>
      </c>
    </row>
    <row r="48" customFormat="false" ht="15" hidden="false" customHeight="false" outlineLevel="0" collapsed="false">
      <c r="A48" s="0" t="n">
        <v>6</v>
      </c>
      <c r="B48" s="29" t="str">
        <f aca="false">IF(OR('THÁNG 6'!$C55="",'THÁNG 6'!$B55=""),"",'THÁNG 6'!$B55)</f>
        <v/>
      </c>
      <c r="C48" s="0" t="str">
        <f aca="false">IF('THÁNG 6'!$C55="","",'THÁNG 6'!$C55)</f>
        <v/>
      </c>
      <c r="D48" s="0" t="str">
        <f aca="false">IF('THÁNG 6'!$C55="","",'THÁNG 6'!$D55&amp;"")</f>
        <v/>
      </c>
      <c r="E48" s="0" t="str">
        <f aca="false">IF('THÁNG 6'!$C55="","",'THÁNG 6'!$E55&amp;"")</f>
        <v/>
      </c>
      <c r="F48" s="0" t="str">
        <f aca="false">IF('THÁNG 6'!$C55="","",'THÁNG 6'!$F55&amp;"")</f>
        <v/>
      </c>
      <c r="G48" s="0" t="str">
        <f aca="false">IF('THÁNG 6'!$C55="","",'THÁNG 6'!$G55&amp;"")</f>
        <v/>
      </c>
      <c r="H48" s="0" t="str">
        <f aca="false">IF('THÁNG 6'!$C55="","",'THÁNG 6'!$H55&amp;"")</f>
        <v/>
      </c>
      <c r="I48" s="0" t="str">
        <f aca="false">IF('THÁNG 6'!$C55="","",N('THÁNG 6'!$I55))</f>
        <v/>
      </c>
      <c r="J48" s="0" t="str">
        <f aca="false">IF('THÁNG 6'!$C55="","",N('THÁNG 6'!$L55))</f>
        <v/>
      </c>
      <c r="K48" s="0" t="str">
        <f aca="false">IF('THÁNG 6'!$C55="","",N('THÁNG 6'!$N55))</f>
        <v/>
      </c>
      <c r="L48" s="0" t="str">
        <f aca="false">IF('THÁNG 6'!$C55="","",N('THÁNG 6'!$O55))</f>
        <v/>
      </c>
      <c r="M48" s="0" t="str">
        <f aca="false">IF('THÁNG 6'!$C55="","",N('THÁNG 6'!$P55))</f>
        <v/>
      </c>
      <c r="N48" s="0" t="str">
        <f aca="false">IF('THÁNG 6'!$C55="","",N('THÁNG 6'!$Q55))</f>
        <v/>
      </c>
      <c r="O48" s="0" t="str">
        <f aca="false">IF('THÁNG 6'!$C55="","",N('THÁNG 6'!$R55))</f>
        <v/>
      </c>
      <c r="P48" s="0" t="str">
        <f aca="false">IF(OR('THÁNG 6'!$C55="",'THÁNG 6'!$T55=""),"",'THÁNG 6'!$T55)</f>
        <v/>
      </c>
      <c r="Q48" s="0" t="str">
        <f aca="false">IF(OR('THÁNG 6'!$C55="",'THÁNG 6'!$U55=""),"",'THÁNG 6'!$U55)</f>
        <v/>
      </c>
      <c r="R48" s="0" t="str">
        <f aca="false">IF('THÁNG 6'!$C55="","",'THÁNG 6'!$W55&amp;"")</f>
        <v/>
      </c>
      <c r="S48" s="0" t="str">
        <f aca="false">IF('THÁNG 6'!$C55="","",'THÁNG 6'!$S55&amp;"")</f>
        <v/>
      </c>
      <c r="T48" s="0" t="str">
        <f aca="false">IF(N($O48)&gt;0,COUNTIF($O$3:$O48,"&gt;0"),"")</f>
        <v/>
      </c>
      <c r="U48" s="0" t="str">
        <f aca="false">IF(AND(N($J48)&gt;0,N($K48)&gt;0),COUNTIFS($J$3:$J48,"&gt;0",$K$3:$K48,"&gt;0"),"")</f>
        <v/>
      </c>
      <c r="V48" s="0" t="str">
        <f aca="false">IF(AND(N($J48)&gt;0,N($K48)=0),COUNTIFS($J$3:$J48,"&gt;0",$K$3:$K48,"&lt;=0"),"")</f>
        <v/>
      </c>
      <c r="W48" s="0" t="str">
        <f aca="false">IF($C48="","",IF(COUNTIF($C$3:$C48,$C48)&gt;1,"",MAX($W$2:W47)+1))</f>
        <v/>
      </c>
      <c r="X48" s="0" t="str">
        <f aca="false">IF($H48="","",IF(COUNTIF($H$3:$H48,$H48)&gt;1,"",MAX($X$2:X47)+1))</f>
        <v/>
      </c>
      <c r="Y48" s="0" t="str">
        <f aca="false">IF(AND(N($M48)&gt;0,N($O48)&lt;=0),COUNTIFS($M$3:$M48,"&gt;0",$O$3:$O48,"&lt;=0"),"")</f>
        <v/>
      </c>
      <c r="Z48" s="30" t="n">
        <f aca="false">IF(OR('THÁNG 6'!$C55="",'THÁNG 6'!$B55=""),0,'THÁNG 6'!$B55)</f>
        <v>0</v>
      </c>
    </row>
    <row r="49" customFormat="false" ht="15" hidden="false" customHeight="false" outlineLevel="0" collapsed="false">
      <c r="A49" s="0" t="n">
        <v>6</v>
      </c>
      <c r="B49" s="29" t="str">
        <f aca="false">IF(OR('THÁNG 6'!$C56="",'THÁNG 6'!$B56=""),"",'THÁNG 6'!$B56)</f>
        <v/>
      </c>
      <c r="C49" s="0" t="str">
        <f aca="false">IF('THÁNG 6'!$C56="","",'THÁNG 6'!$C56)</f>
        <v/>
      </c>
      <c r="D49" s="0" t="str">
        <f aca="false">IF('THÁNG 6'!$C56="","",'THÁNG 6'!$D56&amp;"")</f>
        <v/>
      </c>
      <c r="E49" s="0" t="str">
        <f aca="false">IF('THÁNG 6'!$C56="","",'THÁNG 6'!$E56&amp;"")</f>
        <v/>
      </c>
      <c r="F49" s="0" t="str">
        <f aca="false">IF('THÁNG 6'!$C56="","",'THÁNG 6'!$F56&amp;"")</f>
        <v/>
      </c>
      <c r="G49" s="0" t="str">
        <f aca="false">IF('THÁNG 6'!$C56="","",'THÁNG 6'!$G56&amp;"")</f>
        <v/>
      </c>
      <c r="H49" s="0" t="str">
        <f aca="false">IF('THÁNG 6'!$C56="","",'THÁNG 6'!$H56&amp;"")</f>
        <v/>
      </c>
      <c r="I49" s="0" t="str">
        <f aca="false">IF('THÁNG 6'!$C56="","",N('THÁNG 6'!$I56))</f>
        <v/>
      </c>
      <c r="J49" s="0" t="str">
        <f aca="false">IF('THÁNG 6'!$C56="","",N('THÁNG 6'!$L56))</f>
        <v/>
      </c>
      <c r="K49" s="0" t="str">
        <f aca="false">IF('THÁNG 6'!$C56="","",N('THÁNG 6'!$N56))</f>
        <v/>
      </c>
      <c r="L49" s="0" t="str">
        <f aca="false">IF('THÁNG 6'!$C56="","",N('THÁNG 6'!$O56))</f>
        <v/>
      </c>
      <c r="M49" s="0" t="str">
        <f aca="false">IF('THÁNG 6'!$C56="","",N('THÁNG 6'!$P56))</f>
        <v/>
      </c>
      <c r="N49" s="0" t="str">
        <f aca="false">IF('THÁNG 6'!$C56="","",N('THÁNG 6'!$Q56))</f>
        <v/>
      </c>
      <c r="O49" s="0" t="str">
        <f aca="false">IF('THÁNG 6'!$C56="","",N('THÁNG 6'!$R56))</f>
        <v/>
      </c>
      <c r="P49" s="0" t="str">
        <f aca="false">IF(OR('THÁNG 6'!$C56="",'THÁNG 6'!$T56=""),"",'THÁNG 6'!$T56)</f>
        <v/>
      </c>
      <c r="Q49" s="0" t="str">
        <f aca="false">IF(OR('THÁNG 6'!$C56="",'THÁNG 6'!$U56=""),"",'THÁNG 6'!$U56)</f>
        <v/>
      </c>
      <c r="R49" s="0" t="str">
        <f aca="false">IF('THÁNG 6'!$C56="","",'THÁNG 6'!$W56&amp;"")</f>
        <v/>
      </c>
      <c r="S49" s="0" t="str">
        <f aca="false">IF('THÁNG 6'!$C56="","",'THÁNG 6'!$S56&amp;"")</f>
        <v/>
      </c>
      <c r="T49" s="0" t="str">
        <f aca="false">IF(N($O49)&gt;0,COUNTIF($O$3:$O49,"&gt;0"),"")</f>
        <v/>
      </c>
      <c r="U49" s="0" t="str">
        <f aca="false">IF(AND(N($J49)&gt;0,N($K49)&gt;0),COUNTIFS($J$3:$J49,"&gt;0",$K$3:$K49,"&gt;0"),"")</f>
        <v/>
      </c>
      <c r="V49" s="0" t="str">
        <f aca="false">IF(AND(N($J49)&gt;0,N($K49)=0),COUNTIFS($J$3:$J49,"&gt;0",$K$3:$K49,"&lt;=0"),"")</f>
        <v/>
      </c>
      <c r="W49" s="0" t="str">
        <f aca="false">IF($C49="","",IF(COUNTIF($C$3:$C49,$C49)&gt;1,"",MAX($W$2:W48)+1))</f>
        <v/>
      </c>
      <c r="X49" s="0" t="str">
        <f aca="false">IF($H49="","",IF(COUNTIF($H$3:$H49,$H49)&gt;1,"",MAX($X$2:X48)+1))</f>
        <v/>
      </c>
      <c r="Y49" s="0" t="str">
        <f aca="false">IF(AND(N($M49)&gt;0,N($O49)&lt;=0),COUNTIFS($M$3:$M49,"&gt;0",$O$3:$O49,"&lt;=0"),"")</f>
        <v/>
      </c>
      <c r="Z49" s="30" t="n">
        <f aca="false">IF(OR('THÁNG 6'!$C56="",'THÁNG 6'!$B56=""),0,'THÁNG 6'!$B56)</f>
        <v>0</v>
      </c>
    </row>
    <row r="50" customFormat="false" ht="15" hidden="false" customHeight="false" outlineLevel="0" collapsed="false">
      <c r="A50" s="0" t="n">
        <v>6</v>
      </c>
      <c r="B50" s="29" t="str">
        <f aca="false">IF(OR('THÁNG 6'!$C57="",'THÁNG 6'!$B57=""),"",'THÁNG 6'!$B57)</f>
        <v/>
      </c>
      <c r="C50" s="0" t="str">
        <f aca="false">IF('THÁNG 6'!$C57="","",'THÁNG 6'!$C57)</f>
        <v/>
      </c>
      <c r="D50" s="0" t="str">
        <f aca="false">IF('THÁNG 6'!$C57="","",'THÁNG 6'!$D57&amp;"")</f>
        <v/>
      </c>
      <c r="E50" s="0" t="str">
        <f aca="false">IF('THÁNG 6'!$C57="","",'THÁNG 6'!$E57&amp;"")</f>
        <v/>
      </c>
      <c r="F50" s="0" t="str">
        <f aca="false">IF('THÁNG 6'!$C57="","",'THÁNG 6'!$F57&amp;"")</f>
        <v/>
      </c>
      <c r="G50" s="0" t="str">
        <f aca="false">IF('THÁNG 6'!$C57="","",'THÁNG 6'!$G57&amp;"")</f>
        <v/>
      </c>
      <c r="H50" s="0" t="str">
        <f aca="false">IF('THÁNG 6'!$C57="","",'THÁNG 6'!$H57&amp;"")</f>
        <v/>
      </c>
      <c r="I50" s="0" t="str">
        <f aca="false">IF('THÁNG 6'!$C57="","",N('THÁNG 6'!$I57))</f>
        <v/>
      </c>
      <c r="J50" s="0" t="str">
        <f aca="false">IF('THÁNG 6'!$C57="","",N('THÁNG 6'!$L57))</f>
        <v/>
      </c>
      <c r="K50" s="0" t="str">
        <f aca="false">IF('THÁNG 6'!$C57="","",N('THÁNG 6'!$N57))</f>
        <v/>
      </c>
      <c r="L50" s="0" t="str">
        <f aca="false">IF('THÁNG 6'!$C57="","",N('THÁNG 6'!$O57))</f>
        <v/>
      </c>
      <c r="M50" s="0" t="str">
        <f aca="false">IF('THÁNG 6'!$C57="","",N('THÁNG 6'!$P57))</f>
        <v/>
      </c>
      <c r="N50" s="0" t="str">
        <f aca="false">IF('THÁNG 6'!$C57="","",N('THÁNG 6'!$Q57))</f>
        <v/>
      </c>
      <c r="O50" s="0" t="str">
        <f aca="false">IF('THÁNG 6'!$C57="","",N('THÁNG 6'!$R57))</f>
        <v/>
      </c>
      <c r="P50" s="0" t="str">
        <f aca="false">IF(OR('THÁNG 6'!$C57="",'THÁNG 6'!$T57=""),"",'THÁNG 6'!$T57)</f>
        <v/>
      </c>
      <c r="Q50" s="0" t="str">
        <f aca="false">IF(OR('THÁNG 6'!$C57="",'THÁNG 6'!$U57=""),"",'THÁNG 6'!$U57)</f>
        <v/>
      </c>
      <c r="R50" s="0" t="str">
        <f aca="false">IF('THÁNG 6'!$C57="","",'THÁNG 6'!$W57&amp;"")</f>
        <v/>
      </c>
      <c r="S50" s="0" t="str">
        <f aca="false">IF('THÁNG 6'!$C57="","",'THÁNG 6'!$S57&amp;"")</f>
        <v/>
      </c>
      <c r="T50" s="0" t="str">
        <f aca="false">IF(N($O50)&gt;0,COUNTIF($O$3:$O50,"&gt;0"),"")</f>
        <v/>
      </c>
      <c r="U50" s="0" t="str">
        <f aca="false">IF(AND(N($J50)&gt;0,N($K50)&gt;0),COUNTIFS($J$3:$J50,"&gt;0",$K$3:$K50,"&gt;0"),"")</f>
        <v/>
      </c>
      <c r="V50" s="0" t="str">
        <f aca="false">IF(AND(N($J50)&gt;0,N($K50)=0),COUNTIFS($J$3:$J50,"&gt;0",$K$3:$K50,"&lt;=0"),"")</f>
        <v/>
      </c>
      <c r="W50" s="0" t="str">
        <f aca="false">IF($C50="","",IF(COUNTIF($C$3:$C50,$C50)&gt;1,"",MAX($W$2:W49)+1))</f>
        <v/>
      </c>
      <c r="X50" s="0" t="str">
        <f aca="false">IF($H50="","",IF(COUNTIF($H$3:$H50,$H50)&gt;1,"",MAX($X$2:X49)+1))</f>
        <v/>
      </c>
      <c r="Y50" s="0" t="str">
        <f aca="false">IF(AND(N($M50)&gt;0,N($O50)&lt;=0),COUNTIFS($M$3:$M50,"&gt;0",$O$3:$O50,"&lt;=0"),"")</f>
        <v/>
      </c>
      <c r="Z50" s="30" t="n">
        <f aca="false">IF(OR('THÁNG 6'!$C57="",'THÁNG 6'!$B57=""),0,'THÁNG 6'!$B57)</f>
        <v>0</v>
      </c>
    </row>
    <row r="51" customFormat="false" ht="15" hidden="false" customHeight="false" outlineLevel="0" collapsed="false">
      <c r="A51" s="0" t="n">
        <v>6</v>
      </c>
      <c r="B51" s="29" t="str">
        <f aca="false">IF(OR('THÁNG 6'!$C58="",'THÁNG 6'!$B58=""),"",'THÁNG 6'!$B58)</f>
        <v/>
      </c>
      <c r="C51" s="0" t="str">
        <f aca="false">IF('THÁNG 6'!$C58="","",'THÁNG 6'!$C58)</f>
        <v/>
      </c>
      <c r="D51" s="0" t="str">
        <f aca="false">IF('THÁNG 6'!$C58="","",'THÁNG 6'!$D58&amp;"")</f>
        <v/>
      </c>
      <c r="E51" s="0" t="str">
        <f aca="false">IF('THÁNG 6'!$C58="","",'THÁNG 6'!$E58&amp;"")</f>
        <v/>
      </c>
      <c r="F51" s="0" t="str">
        <f aca="false">IF('THÁNG 6'!$C58="","",'THÁNG 6'!$F58&amp;"")</f>
        <v/>
      </c>
      <c r="G51" s="0" t="str">
        <f aca="false">IF('THÁNG 6'!$C58="","",'THÁNG 6'!$G58&amp;"")</f>
        <v/>
      </c>
      <c r="H51" s="0" t="str">
        <f aca="false">IF('THÁNG 6'!$C58="","",'THÁNG 6'!$H58&amp;"")</f>
        <v/>
      </c>
      <c r="I51" s="0" t="str">
        <f aca="false">IF('THÁNG 6'!$C58="","",N('THÁNG 6'!$I58))</f>
        <v/>
      </c>
      <c r="J51" s="0" t="str">
        <f aca="false">IF('THÁNG 6'!$C58="","",N('THÁNG 6'!$L58))</f>
        <v/>
      </c>
      <c r="K51" s="0" t="str">
        <f aca="false">IF('THÁNG 6'!$C58="","",N('THÁNG 6'!$N58))</f>
        <v/>
      </c>
      <c r="L51" s="0" t="str">
        <f aca="false">IF('THÁNG 6'!$C58="","",N('THÁNG 6'!$O58))</f>
        <v/>
      </c>
      <c r="M51" s="0" t="str">
        <f aca="false">IF('THÁNG 6'!$C58="","",N('THÁNG 6'!$P58))</f>
        <v/>
      </c>
      <c r="N51" s="0" t="str">
        <f aca="false">IF('THÁNG 6'!$C58="","",N('THÁNG 6'!$Q58))</f>
        <v/>
      </c>
      <c r="O51" s="0" t="str">
        <f aca="false">IF('THÁNG 6'!$C58="","",N('THÁNG 6'!$R58))</f>
        <v/>
      </c>
      <c r="P51" s="0" t="str">
        <f aca="false">IF(OR('THÁNG 6'!$C58="",'THÁNG 6'!$T58=""),"",'THÁNG 6'!$T58)</f>
        <v/>
      </c>
      <c r="Q51" s="0" t="str">
        <f aca="false">IF(OR('THÁNG 6'!$C58="",'THÁNG 6'!$U58=""),"",'THÁNG 6'!$U58)</f>
        <v/>
      </c>
      <c r="R51" s="0" t="str">
        <f aca="false">IF('THÁNG 6'!$C58="","",'THÁNG 6'!$W58&amp;"")</f>
        <v/>
      </c>
      <c r="S51" s="0" t="str">
        <f aca="false">IF('THÁNG 6'!$C58="","",'THÁNG 6'!$S58&amp;"")</f>
        <v/>
      </c>
      <c r="T51" s="0" t="str">
        <f aca="false">IF(N($O51)&gt;0,COUNTIF($O$3:$O51,"&gt;0"),"")</f>
        <v/>
      </c>
      <c r="U51" s="0" t="str">
        <f aca="false">IF(AND(N($J51)&gt;0,N($K51)&gt;0),COUNTIFS($J$3:$J51,"&gt;0",$K$3:$K51,"&gt;0"),"")</f>
        <v/>
      </c>
      <c r="V51" s="0" t="str">
        <f aca="false">IF(AND(N($J51)&gt;0,N($K51)=0),COUNTIFS($J$3:$J51,"&gt;0",$K$3:$K51,"&lt;=0"),"")</f>
        <v/>
      </c>
      <c r="W51" s="0" t="str">
        <f aca="false">IF($C51="","",IF(COUNTIF($C$3:$C51,$C51)&gt;1,"",MAX($W$2:W50)+1))</f>
        <v/>
      </c>
      <c r="X51" s="0" t="str">
        <f aca="false">IF($H51="","",IF(COUNTIF($H$3:$H51,$H51)&gt;1,"",MAX($X$2:X50)+1))</f>
        <v/>
      </c>
      <c r="Y51" s="0" t="str">
        <f aca="false">IF(AND(N($M51)&gt;0,N($O51)&lt;=0),COUNTIFS($M$3:$M51,"&gt;0",$O$3:$O51,"&lt;=0"),"")</f>
        <v/>
      </c>
      <c r="Z51" s="30" t="n">
        <f aca="false">IF(OR('THÁNG 6'!$C58="",'THÁNG 6'!$B58=""),0,'THÁNG 6'!$B58)</f>
        <v>0</v>
      </c>
    </row>
    <row r="52" customFormat="false" ht="15" hidden="false" customHeight="false" outlineLevel="0" collapsed="false">
      <c r="A52" s="0" t="n">
        <v>6</v>
      </c>
      <c r="B52" s="29" t="str">
        <f aca="false">IF(OR('THÁNG 6'!$C59="",'THÁNG 6'!$B59=""),"",'THÁNG 6'!$B59)</f>
        <v/>
      </c>
      <c r="C52" s="0" t="str">
        <f aca="false">IF('THÁNG 6'!$C59="","",'THÁNG 6'!$C59)</f>
        <v/>
      </c>
      <c r="D52" s="0" t="str">
        <f aca="false">IF('THÁNG 6'!$C59="","",'THÁNG 6'!$D59&amp;"")</f>
        <v/>
      </c>
      <c r="E52" s="0" t="str">
        <f aca="false">IF('THÁNG 6'!$C59="","",'THÁNG 6'!$E59&amp;"")</f>
        <v/>
      </c>
      <c r="F52" s="0" t="str">
        <f aca="false">IF('THÁNG 6'!$C59="","",'THÁNG 6'!$F59&amp;"")</f>
        <v/>
      </c>
      <c r="G52" s="0" t="str">
        <f aca="false">IF('THÁNG 6'!$C59="","",'THÁNG 6'!$G59&amp;"")</f>
        <v/>
      </c>
      <c r="H52" s="0" t="str">
        <f aca="false">IF('THÁNG 6'!$C59="","",'THÁNG 6'!$H59&amp;"")</f>
        <v/>
      </c>
      <c r="I52" s="0" t="str">
        <f aca="false">IF('THÁNG 6'!$C59="","",N('THÁNG 6'!$I59))</f>
        <v/>
      </c>
      <c r="J52" s="0" t="str">
        <f aca="false">IF('THÁNG 6'!$C59="","",N('THÁNG 6'!$L59))</f>
        <v/>
      </c>
      <c r="K52" s="0" t="str">
        <f aca="false">IF('THÁNG 6'!$C59="","",N('THÁNG 6'!$N59))</f>
        <v/>
      </c>
      <c r="L52" s="0" t="str">
        <f aca="false">IF('THÁNG 6'!$C59="","",N('THÁNG 6'!$O59))</f>
        <v/>
      </c>
      <c r="M52" s="0" t="str">
        <f aca="false">IF('THÁNG 6'!$C59="","",N('THÁNG 6'!$P59))</f>
        <v/>
      </c>
      <c r="N52" s="0" t="str">
        <f aca="false">IF('THÁNG 6'!$C59="","",N('THÁNG 6'!$Q59))</f>
        <v/>
      </c>
      <c r="O52" s="0" t="str">
        <f aca="false">IF('THÁNG 6'!$C59="","",N('THÁNG 6'!$R59))</f>
        <v/>
      </c>
      <c r="P52" s="0" t="str">
        <f aca="false">IF(OR('THÁNG 6'!$C59="",'THÁNG 6'!$T59=""),"",'THÁNG 6'!$T59)</f>
        <v/>
      </c>
      <c r="Q52" s="0" t="str">
        <f aca="false">IF(OR('THÁNG 6'!$C59="",'THÁNG 6'!$U59=""),"",'THÁNG 6'!$U59)</f>
        <v/>
      </c>
      <c r="R52" s="0" t="str">
        <f aca="false">IF('THÁNG 6'!$C59="","",'THÁNG 6'!$W59&amp;"")</f>
        <v/>
      </c>
      <c r="S52" s="0" t="str">
        <f aca="false">IF('THÁNG 6'!$C59="","",'THÁNG 6'!$S59&amp;"")</f>
        <v/>
      </c>
      <c r="T52" s="0" t="str">
        <f aca="false">IF(N($O52)&gt;0,COUNTIF($O$3:$O52,"&gt;0"),"")</f>
        <v/>
      </c>
      <c r="U52" s="0" t="str">
        <f aca="false">IF(AND(N($J52)&gt;0,N($K52)&gt;0),COUNTIFS($J$3:$J52,"&gt;0",$K$3:$K52,"&gt;0"),"")</f>
        <v/>
      </c>
      <c r="V52" s="0" t="str">
        <f aca="false">IF(AND(N($J52)&gt;0,N($K52)=0),COUNTIFS($J$3:$J52,"&gt;0",$K$3:$K52,"&lt;=0"),"")</f>
        <v/>
      </c>
      <c r="W52" s="0" t="str">
        <f aca="false">IF($C52="","",IF(COUNTIF($C$3:$C52,$C52)&gt;1,"",MAX($W$2:W51)+1))</f>
        <v/>
      </c>
      <c r="X52" s="0" t="str">
        <f aca="false">IF($H52="","",IF(COUNTIF($H$3:$H52,$H52)&gt;1,"",MAX($X$2:X51)+1))</f>
        <v/>
      </c>
      <c r="Y52" s="0" t="str">
        <f aca="false">IF(AND(N($M52)&gt;0,N($O52)&lt;=0),COUNTIFS($M$3:$M52,"&gt;0",$O$3:$O52,"&lt;=0"),"")</f>
        <v/>
      </c>
      <c r="Z52" s="30" t="n">
        <f aca="false">IF(OR('THÁNG 6'!$C59="",'THÁNG 6'!$B59=""),0,'THÁNG 6'!$B59)</f>
        <v>0</v>
      </c>
    </row>
    <row r="53" customFormat="false" ht="15" hidden="false" customHeight="false" outlineLevel="0" collapsed="false">
      <c r="A53" s="0" t="n">
        <v>6</v>
      </c>
      <c r="B53" s="29" t="str">
        <f aca="false">IF(OR('THÁNG 6'!$C60="",'THÁNG 6'!$B60=""),"",'THÁNG 6'!$B60)</f>
        <v/>
      </c>
      <c r="C53" s="0" t="str">
        <f aca="false">IF('THÁNG 6'!$C60="","",'THÁNG 6'!$C60)</f>
        <v/>
      </c>
      <c r="D53" s="0" t="str">
        <f aca="false">IF('THÁNG 6'!$C60="","",'THÁNG 6'!$D60&amp;"")</f>
        <v/>
      </c>
      <c r="E53" s="0" t="str">
        <f aca="false">IF('THÁNG 6'!$C60="","",'THÁNG 6'!$E60&amp;"")</f>
        <v/>
      </c>
      <c r="F53" s="0" t="str">
        <f aca="false">IF('THÁNG 6'!$C60="","",'THÁNG 6'!$F60&amp;"")</f>
        <v/>
      </c>
      <c r="G53" s="0" t="str">
        <f aca="false">IF('THÁNG 6'!$C60="","",'THÁNG 6'!$G60&amp;"")</f>
        <v/>
      </c>
      <c r="H53" s="0" t="str">
        <f aca="false">IF('THÁNG 6'!$C60="","",'THÁNG 6'!$H60&amp;"")</f>
        <v/>
      </c>
      <c r="I53" s="0" t="str">
        <f aca="false">IF('THÁNG 6'!$C60="","",N('THÁNG 6'!$I60))</f>
        <v/>
      </c>
      <c r="J53" s="0" t="str">
        <f aca="false">IF('THÁNG 6'!$C60="","",N('THÁNG 6'!$L60))</f>
        <v/>
      </c>
      <c r="K53" s="0" t="str">
        <f aca="false">IF('THÁNG 6'!$C60="","",N('THÁNG 6'!$N60))</f>
        <v/>
      </c>
      <c r="L53" s="0" t="str">
        <f aca="false">IF('THÁNG 6'!$C60="","",N('THÁNG 6'!$O60))</f>
        <v/>
      </c>
      <c r="M53" s="0" t="str">
        <f aca="false">IF('THÁNG 6'!$C60="","",N('THÁNG 6'!$P60))</f>
        <v/>
      </c>
      <c r="N53" s="0" t="str">
        <f aca="false">IF('THÁNG 6'!$C60="","",N('THÁNG 6'!$Q60))</f>
        <v/>
      </c>
      <c r="O53" s="0" t="str">
        <f aca="false">IF('THÁNG 6'!$C60="","",N('THÁNG 6'!$R60))</f>
        <v/>
      </c>
      <c r="P53" s="0" t="str">
        <f aca="false">IF(OR('THÁNG 6'!$C60="",'THÁNG 6'!$T60=""),"",'THÁNG 6'!$T60)</f>
        <v/>
      </c>
      <c r="Q53" s="0" t="str">
        <f aca="false">IF(OR('THÁNG 6'!$C60="",'THÁNG 6'!$U60=""),"",'THÁNG 6'!$U60)</f>
        <v/>
      </c>
      <c r="R53" s="0" t="str">
        <f aca="false">IF('THÁNG 6'!$C60="","",'THÁNG 6'!$W60&amp;"")</f>
        <v/>
      </c>
      <c r="S53" s="0" t="str">
        <f aca="false">IF('THÁNG 6'!$C60="","",'THÁNG 6'!$S60&amp;"")</f>
        <v/>
      </c>
      <c r="T53" s="0" t="str">
        <f aca="false">IF(N($O53)&gt;0,COUNTIF($O$3:$O53,"&gt;0"),"")</f>
        <v/>
      </c>
      <c r="U53" s="0" t="str">
        <f aca="false">IF(AND(N($J53)&gt;0,N($K53)&gt;0),COUNTIFS($J$3:$J53,"&gt;0",$K$3:$K53,"&gt;0"),"")</f>
        <v/>
      </c>
      <c r="V53" s="0" t="str">
        <f aca="false">IF(AND(N($J53)&gt;0,N($K53)=0),COUNTIFS($J$3:$J53,"&gt;0",$K$3:$K53,"&lt;=0"),"")</f>
        <v/>
      </c>
      <c r="W53" s="0" t="str">
        <f aca="false">IF($C53="","",IF(COUNTIF($C$3:$C53,$C53)&gt;1,"",MAX($W$2:W52)+1))</f>
        <v/>
      </c>
      <c r="X53" s="0" t="str">
        <f aca="false">IF($H53="","",IF(COUNTIF($H$3:$H53,$H53)&gt;1,"",MAX($X$2:X52)+1))</f>
        <v/>
      </c>
      <c r="Y53" s="0" t="str">
        <f aca="false">IF(AND(N($M53)&gt;0,N($O53)&lt;=0),COUNTIFS($M$3:$M53,"&gt;0",$O$3:$O53,"&lt;=0"),"")</f>
        <v/>
      </c>
      <c r="Z53" s="30" t="n">
        <f aca="false">IF(OR('THÁNG 6'!$C60="",'THÁNG 6'!$B60=""),0,'THÁNG 6'!$B60)</f>
        <v>0</v>
      </c>
    </row>
    <row r="54" customFormat="false" ht="15" hidden="false" customHeight="false" outlineLevel="0" collapsed="false">
      <c r="A54" s="0" t="n">
        <v>6</v>
      </c>
      <c r="B54" s="29" t="str">
        <f aca="false">IF(OR('THÁNG 6'!$C61="",'THÁNG 6'!$B61=""),"",'THÁNG 6'!$B61)</f>
        <v/>
      </c>
      <c r="C54" s="0" t="str">
        <f aca="false">IF('THÁNG 6'!$C61="","",'THÁNG 6'!$C61)</f>
        <v/>
      </c>
      <c r="D54" s="0" t="str">
        <f aca="false">IF('THÁNG 6'!$C61="","",'THÁNG 6'!$D61&amp;"")</f>
        <v/>
      </c>
      <c r="E54" s="0" t="str">
        <f aca="false">IF('THÁNG 6'!$C61="","",'THÁNG 6'!$E61&amp;"")</f>
        <v/>
      </c>
      <c r="F54" s="0" t="str">
        <f aca="false">IF('THÁNG 6'!$C61="","",'THÁNG 6'!$F61&amp;"")</f>
        <v/>
      </c>
      <c r="G54" s="0" t="str">
        <f aca="false">IF('THÁNG 6'!$C61="","",'THÁNG 6'!$G61&amp;"")</f>
        <v/>
      </c>
      <c r="H54" s="0" t="str">
        <f aca="false">IF('THÁNG 6'!$C61="","",'THÁNG 6'!$H61&amp;"")</f>
        <v/>
      </c>
      <c r="I54" s="0" t="str">
        <f aca="false">IF('THÁNG 6'!$C61="","",N('THÁNG 6'!$I61))</f>
        <v/>
      </c>
      <c r="J54" s="0" t="str">
        <f aca="false">IF('THÁNG 6'!$C61="","",N('THÁNG 6'!$L61))</f>
        <v/>
      </c>
      <c r="K54" s="0" t="str">
        <f aca="false">IF('THÁNG 6'!$C61="","",N('THÁNG 6'!$N61))</f>
        <v/>
      </c>
      <c r="L54" s="0" t="str">
        <f aca="false">IF('THÁNG 6'!$C61="","",N('THÁNG 6'!$O61))</f>
        <v/>
      </c>
      <c r="M54" s="0" t="str">
        <f aca="false">IF('THÁNG 6'!$C61="","",N('THÁNG 6'!$P61))</f>
        <v/>
      </c>
      <c r="N54" s="0" t="str">
        <f aca="false">IF('THÁNG 6'!$C61="","",N('THÁNG 6'!$Q61))</f>
        <v/>
      </c>
      <c r="O54" s="0" t="str">
        <f aca="false">IF('THÁNG 6'!$C61="","",N('THÁNG 6'!$R61))</f>
        <v/>
      </c>
      <c r="P54" s="0" t="str">
        <f aca="false">IF(OR('THÁNG 6'!$C61="",'THÁNG 6'!$T61=""),"",'THÁNG 6'!$T61)</f>
        <v/>
      </c>
      <c r="Q54" s="0" t="str">
        <f aca="false">IF(OR('THÁNG 6'!$C61="",'THÁNG 6'!$U61=""),"",'THÁNG 6'!$U61)</f>
        <v/>
      </c>
      <c r="R54" s="0" t="str">
        <f aca="false">IF('THÁNG 6'!$C61="","",'THÁNG 6'!$W61&amp;"")</f>
        <v/>
      </c>
      <c r="S54" s="0" t="str">
        <f aca="false">IF('THÁNG 6'!$C61="","",'THÁNG 6'!$S61&amp;"")</f>
        <v/>
      </c>
      <c r="T54" s="0" t="str">
        <f aca="false">IF(N($O54)&gt;0,COUNTIF($O$3:$O54,"&gt;0"),"")</f>
        <v/>
      </c>
      <c r="U54" s="0" t="str">
        <f aca="false">IF(AND(N($J54)&gt;0,N($K54)&gt;0),COUNTIFS($J$3:$J54,"&gt;0",$K$3:$K54,"&gt;0"),"")</f>
        <v/>
      </c>
      <c r="V54" s="0" t="str">
        <f aca="false">IF(AND(N($J54)&gt;0,N($K54)=0),COUNTIFS($J$3:$J54,"&gt;0",$K$3:$K54,"&lt;=0"),"")</f>
        <v/>
      </c>
      <c r="W54" s="0" t="str">
        <f aca="false">IF($C54="","",IF(COUNTIF($C$3:$C54,$C54)&gt;1,"",MAX($W$2:W53)+1))</f>
        <v/>
      </c>
      <c r="X54" s="0" t="str">
        <f aca="false">IF($H54="","",IF(COUNTIF($H$3:$H54,$H54)&gt;1,"",MAX($X$2:X53)+1))</f>
        <v/>
      </c>
      <c r="Y54" s="0" t="str">
        <f aca="false">IF(AND(N($M54)&gt;0,N($O54)&lt;=0),COUNTIFS($M$3:$M54,"&gt;0",$O$3:$O54,"&lt;=0"),"")</f>
        <v/>
      </c>
      <c r="Z54" s="30" t="n">
        <f aca="false">IF(OR('THÁNG 6'!$C61="",'THÁNG 6'!$B61=""),0,'THÁNG 6'!$B61)</f>
        <v>0</v>
      </c>
    </row>
    <row r="55" customFormat="false" ht="15" hidden="false" customHeight="false" outlineLevel="0" collapsed="false">
      <c r="A55" s="0" t="n">
        <v>6</v>
      </c>
      <c r="B55" s="29" t="str">
        <f aca="false">IF(OR('THÁNG 6'!$C62="",'THÁNG 6'!$B62=""),"",'THÁNG 6'!$B62)</f>
        <v/>
      </c>
      <c r="C55" s="0" t="str">
        <f aca="false">IF('THÁNG 6'!$C62="","",'THÁNG 6'!$C62)</f>
        <v/>
      </c>
      <c r="D55" s="0" t="str">
        <f aca="false">IF('THÁNG 6'!$C62="","",'THÁNG 6'!$D62&amp;"")</f>
        <v/>
      </c>
      <c r="E55" s="0" t="str">
        <f aca="false">IF('THÁNG 6'!$C62="","",'THÁNG 6'!$E62&amp;"")</f>
        <v/>
      </c>
      <c r="F55" s="0" t="str">
        <f aca="false">IF('THÁNG 6'!$C62="","",'THÁNG 6'!$F62&amp;"")</f>
        <v/>
      </c>
      <c r="G55" s="0" t="str">
        <f aca="false">IF('THÁNG 6'!$C62="","",'THÁNG 6'!$G62&amp;"")</f>
        <v/>
      </c>
      <c r="H55" s="0" t="str">
        <f aca="false">IF('THÁNG 6'!$C62="","",'THÁNG 6'!$H62&amp;"")</f>
        <v/>
      </c>
      <c r="I55" s="0" t="str">
        <f aca="false">IF('THÁNG 6'!$C62="","",N('THÁNG 6'!$I62))</f>
        <v/>
      </c>
      <c r="J55" s="0" t="str">
        <f aca="false">IF('THÁNG 6'!$C62="","",N('THÁNG 6'!$L62))</f>
        <v/>
      </c>
      <c r="K55" s="0" t="str">
        <f aca="false">IF('THÁNG 6'!$C62="","",N('THÁNG 6'!$N62))</f>
        <v/>
      </c>
      <c r="L55" s="0" t="str">
        <f aca="false">IF('THÁNG 6'!$C62="","",N('THÁNG 6'!$O62))</f>
        <v/>
      </c>
      <c r="M55" s="0" t="str">
        <f aca="false">IF('THÁNG 6'!$C62="","",N('THÁNG 6'!$P62))</f>
        <v/>
      </c>
      <c r="N55" s="0" t="str">
        <f aca="false">IF('THÁNG 6'!$C62="","",N('THÁNG 6'!$Q62))</f>
        <v/>
      </c>
      <c r="O55" s="0" t="str">
        <f aca="false">IF('THÁNG 6'!$C62="","",N('THÁNG 6'!$R62))</f>
        <v/>
      </c>
      <c r="P55" s="0" t="str">
        <f aca="false">IF(OR('THÁNG 6'!$C62="",'THÁNG 6'!$T62=""),"",'THÁNG 6'!$T62)</f>
        <v/>
      </c>
      <c r="Q55" s="0" t="str">
        <f aca="false">IF(OR('THÁNG 6'!$C62="",'THÁNG 6'!$U62=""),"",'THÁNG 6'!$U62)</f>
        <v/>
      </c>
      <c r="R55" s="0" t="str">
        <f aca="false">IF('THÁNG 6'!$C62="","",'THÁNG 6'!$W62&amp;"")</f>
        <v/>
      </c>
      <c r="S55" s="0" t="str">
        <f aca="false">IF('THÁNG 6'!$C62="","",'THÁNG 6'!$S62&amp;"")</f>
        <v/>
      </c>
      <c r="T55" s="0" t="str">
        <f aca="false">IF(N($O55)&gt;0,COUNTIF($O$3:$O55,"&gt;0"),"")</f>
        <v/>
      </c>
      <c r="U55" s="0" t="str">
        <f aca="false">IF(AND(N($J55)&gt;0,N($K55)&gt;0),COUNTIFS($J$3:$J55,"&gt;0",$K$3:$K55,"&gt;0"),"")</f>
        <v/>
      </c>
      <c r="V55" s="0" t="str">
        <f aca="false">IF(AND(N($J55)&gt;0,N($K55)=0),COUNTIFS($J$3:$J55,"&gt;0",$K$3:$K55,"&lt;=0"),"")</f>
        <v/>
      </c>
      <c r="W55" s="0" t="str">
        <f aca="false">IF($C55="","",IF(COUNTIF($C$3:$C55,$C55)&gt;1,"",MAX($W$2:W54)+1))</f>
        <v/>
      </c>
      <c r="X55" s="0" t="str">
        <f aca="false">IF($H55="","",IF(COUNTIF($H$3:$H55,$H55)&gt;1,"",MAX($X$2:X54)+1))</f>
        <v/>
      </c>
      <c r="Y55" s="0" t="str">
        <f aca="false">IF(AND(N($M55)&gt;0,N($O55)&lt;=0),COUNTIFS($M$3:$M55,"&gt;0",$O$3:$O55,"&lt;=0"),"")</f>
        <v/>
      </c>
      <c r="Z55" s="30" t="n">
        <f aca="false">IF(OR('THÁNG 6'!$C62="",'THÁNG 6'!$B62=""),0,'THÁNG 6'!$B62)</f>
        <v>0</v>
      </c>
    </row>
    <row r="56" customFormat="false" ht="15" hidden="false" customHeight="false" outlineLevel="0" collapsed="false">
      <c r="A56" s="0" t="n">
        <v>6</v>
      </c>
      <c r="B56" s="29" t="str">
        <f aca="false">IF(OR('THÁNG 6'!$C63="",'THÁNG 6'!$B63=""),"",'THÁNG 6'!$B63)</f>
        <v/>
      </c>
      <c r="C56" s="0" t="str">
        <f aca="false">IF('THÁNG 6'!$C63="","",'THÁNG 6'!$C63)</f>
        <v/>
      </c>
      <c r="D56" s="0" t="str">
        <f aca="false">IF('THÁNG 6'!$C63="","",'THÁNG 6'!$D63&amp;"")</f>
        <v/>
      </c>
      <c r="E56" s="0" t="str">
        <f aca="false">IF('THÁNG 6'!$C63="","",'THÁNG 6'!$E63&amp;"")</f>
        <v/>
      </c>
      <c r="F56" s="0" t="str">
        <f aca="false">IF('THÁNG 6'!$C63="","",'THÁNG 6'!$F63&amp;"")</f>
        <v/>
      </c>
      <c r="G56" s="0" t="str">
        <f aca="false">IF('THÁNG 6'!$C63="","",'THÁNG 6'!$G63&amp;"")</f>
        <v/>
      </c>
      <c r="H56" s="0" t="str">
        <f aca="false">IF('THÁNG 6'!$C63="","",'THÁNG 6'!$H63&amp;"")</f>
        <v/>
      </c>
      <c r="I56" s="0" t="str">
        <f aca="false">IF('THÁNG 6'!$C63="","",N('THÁNG 6'!$I63))</f>
        <v/>
      </c>
      <c r="J56" s="0" t="str">
        <f aca="false">IF('THÁNG 6'!$C63="","",N('THÁNG 6'!$L63))</f>
        <v/>
      </c>
      <c r="K56" s="0" t="str">
        <f aca="false">IF('THÁNG 6'!$C63="","",N('THÁNG 6'!$N63))</f>
        <v/>
      </c>
      <c r="L56" s="0" t="str">
        <f aca="false">IF('THÁNG 6'!$C63="","",N('THÁNG 6'!$O63))</f>
        <v/>
      </c>
      <c r="M56" s="0" t="str">
        <f aca="false">IF('THÁNG 6'!$C63="","",N('THÁNG 6'!$P63))</f>
        <v/>
      </c>
      <c r="N56" s="0" t="str">
        <f aca="false">IF('THÁNG 6'!$C63="","",N('THÁNG 6'!$Q63))</f>
        <v/>
      </c>
      <c r="O56" s="0" t="str">
        <f aca="false">IF('THÁNG 6'!$C63="","",N('THÁNG 6'!$R63))</f>
        <v/>
      </c>
      <c r="P56" s="0" t="str">
        <f aca="false">IF(OR('THÁNG 6'!$C63="",'THÁNG 6'!$T63=""),"",'THÁNG 6'!$T63)</f>
        <v/>
      </c>
      <c r="Q56" s="0" t="str">
        <f aca="false">IF(OR('THÁNG 6'!$C63="",'THÁNG 6'!$U63=""),"",'THÁNG 6'!$U63)</f>
        <v/>
      </c>
      <c r="R56" s="0" t="str">
        <f aca="false">IF('THÁNG 6'!$C63="","",'THÁNG 6'!$W63&amp;"")</f>
        <v/>
      </c>
      <c r="S56" s="0" t="str">
        <f aca="false">IF('THÁNG 6'!$C63="","",'THÁNG 6'!$S63&amp;"")</f>
        <v/>
      </c>
      <c r="T56" s="0" t="str">
        <f aca="false">IF(N($O56)&gt;0,COUNTIF($O$3:$O56,"&gt;0"),"")</f>
        <v/>
      </c>
      <c r="U56" s="0" t="str">
        <f aca="false">IF(AND(N($J56)&gt;0,N($K56)&gt;0),COUNTIFS($J$3:$J56,"&gt;0",$K$3:$K56,"&gt;0"),"")</f>
        <v/>
      </c>
      <c r="V56" s="0" t="str">
        <f aca="false">IF(AND(N($J56)&gt;0,N($K56)=0),COUNTIFS($J$3:$J56,"&gt;0",$K$3:$K56,"&lt;=0"),"")</f>
        <v/>
      </c>
      <c r="W56" s="0" t="str">
        <f aca="false">IF($C56="","",IF(COUNTIF($C$3:$C56,$C56)&gt;1,"",MAX($W$2:W55)+1))</f>
        <v/>
      </c>
      <c r="X56" s="0" t="str">
        <f aca="false">IF($H56="","",IF(COUNTIF($H$3:$H56,$H56)&gt;1,"",MAX($X$2:X55)+1))</f>
        <v/>
      </c>
      <c r="Y56" s="0" t="str">
        <f aca="false">IF(AND(N($M56)&gt;0,N($O56)&lt;=0),COUNTIFS($M$3:$M56,"&gt;0",$O$3:$O56,"&lt;=0"),"")</f>
        <v/>
      </c>
      <c r="Z56" s="30" t="n">
        <f aca="false">IF(OR('THÁNG 6'!$C63="",'THÁNG 6'!$B63=""),0,'THÁNG 6'!$B63)</f>
        <v>0</v>
      </c>
    </row>
    <row r="57" customFormat="false" ht="15" hidden="false" customHeight="false" outlineLevel="0" collapsed="false">
      <c r="A57" s="0" t="n">
        <v>6</v>
      </c>
      <c r="B57" s="29" t="str">
        <f aca="false">IF(OR('THÁNG 6'!$C64="",'THÁNG 6'!$B64=""),"",'THÁNG 6'!$B64)</f>
        <v/>
      </c>
      <c r="C57" s="0" t="str">
        <f aca="false">IF('THÁNG 6'!$C64="","",'THÁNG 6'!$C64)</f>
        <v/>
      </c>
      <c r="D57" s="0" t="str">
        <f aca="false">IF('THÁNG 6'!$C64="","",'THÁNG 6'!$D64&amp;"")</f>
        <v/>
      </c>
      <c r="E57" s="0" t="str">
        <f aca="false">IF('THÁNG 6'!$C64="","",'THÁNG 6'!$E64&amp;"")</f>
        <v/>
      </c>
      <c r="F57" s="0" t="str">
        <f aca="false">IF('THÁNG 6'!$C64="","",'THÁNG 6'!$F64&amp;"")</f>
        <v/>
      </c>
      <c r="G57" s="0" t="str">
        <f aca="false">IF('THÁNG 6'!$C64="","",'THÁNG 6'!$G64&amp;"")</f>
        <v/>
      </c>
      <c r="H57" s="0" t="str">
        <f aca="false">IF('THÁNG 6'!$C64="","",'THÁNG 6'!$H64&amp;"")</f>
        <v/>
      </c>
      <c r="I57" s="0" t="str">
        <f aca="false">IF('THÁNG 6'!$C64="","",N('THÁNG 6'!$I64))</f>
        <v/>
      </c>
      <c r="J57" s="0" t="str">
        <f aca="false">IF('THÁNG 6'!$C64="","",N('THÁNG 6'!$L64))</f>
        <v/>
      </c>
      <c r="K57" s="0" t="str">
        <f aca="false">IF('THÁNG 6'!$C64="","",N('THÁNG 6'!$N64))</f>
        <v/>
      </c>
      <c r="L57" s="0" t="str">
        <f aca="false">IF('THÁNG 6'!$C64="","",N('THÁNG 6'!$O64))</f>
        <v/>
      </c>
      <c r="M57" s="0" t="str">
        <f aca="false">IF('THÁNG 6'!$C64="","",N('THÁNG 6'!$P64))</f>
        <v/>
      </c>
      <c r="N57" s="0" t="str">
        <f aca="false">IF('THÁNG 6'!$C64="","",N('THÁNG 6'!$Q64))</f>
        <v/>
      </c>
      <c r="O57" s="0" t="str">
        <f aca="false">IF('THÁNG 6'!$C64="","",N('THÁNG 6'!$R64))</f>
        <v/>
      </c>
      <c r="P57" s="0" t="str">
        <f aca="false">IF(OR('THÁNG 6'!$C64="",'THÁNG 6'!$T64=""),"",'THÁNG 6'!$T64)</f>
        <v/>
      </c>
      <c r="Q57" s="0" t="str">
        <f aca="false">IF(OR('THÁNG 6'!$C64="",'THÁNG 6'!$U64=""),"",'THÁNG 6'!$U64)</f>
        <v/>
      </c>
      <c r="R57" s="0" t="str">
        <f aca="false">IF('THÁNG 6'!$C64="","",'THÁNG 6'!$W64&amp;"")</f>
        <v/>
      </c>
      <c r="S57" s="0" t="str">
        <f aca="false">IF('THÁNG 6'!$C64="","",'THÁNG 6'!$S64&amp;"")</f>
        <v/>
      </c>
      <c r="T57" s="0" t="str">
        <f aca="false">IF(N($O57)&gt;0,COUNTIF($O$3:$O57,"&gt;0"),"")</f>
        <v/>
      </c>
      <c r="U57" s="0" t="str">
        <f aca="false">IF(AND(N($J57)&gt;0,N($K57)&gt;0),COUNTIFS($J$3:$J57,"&gt;0",$K$3:$K57,"&gt;0"),"")</f>
        <v/>
      </c>
      <c r="V57" s="0" t="str">
        <f aca="false">IF(AND(N($J57)&gt;0,N($K57)=0),COUNTIFS($J$3:$J57,"&gt;0",$K$3:$K57,"&lt;=0"),"")</f>
        <v/>
      </c>
      <c r="W57" s="0" t="str">
        <f aca="false">IF($C57="","",IF(COUNTIF($C$3:$C57,$C57)&gt;1,"",MAX($W$2:W56)+1))</f>
        <v/>
      </c>
      <c r="X57" s="0" t="str">
        <f aca="false">IF($H57="","",IF(COUNTIF($H$3:$H57,$H57)&gt;1,"",MAX($X$2:X56)+1))</f>
        <v/>
      </c>
      <c r="Y57" s="0" t="str">
        <f aca="false">IF(AND(N($M57)&gt;0,N($O57)&lt;=0),COUNTIFS($M$3:$M57,"&gt;0",$O$3:$O57,"&lt;=0"),"")</f>
        <v/>
      </c>
      <c r="Z57" s="30" t="n">
        <f aca="false">IF(OR('THÁNG 6'!$C64="",'THÁNG 6'!$B64=""),0,'THÁNG 6'!$B64)</f>
        <v>0</v>
      </c>
    </row>
    <row r="58" customFormat="false" ht="15" hidden="false" customHeight="false" outlineLevel="0" collapsed="false">
      <c r="A58" s="0" t="n">
        <v>6</v>
      </c>
      <c r="B58" s="29" t="str">
        <f aca="false">IF(OR('THÁNG 6'!$C65="",'THÁNG 6'!$B65=""),"",'THÁNG 6'!$B65)</f>
        <v/>
      </c>
      <c r="C58" s="0" t="str">
        <f aca="false">IF('THÁNG 6'!$C65="","",'THÁNG 6'!$C65)</f>
        <v/>
      </c>
      <c r="D58" s="0" t="str">
        <f aca="false">IF('THÁNG 6'!$C65="","",'THÁNG 6'!$D65&amp;"")</f>
        <v/>
      </c>
      <c r="E58" s="0" t="str">
        <f aca="false">IF('THÁNG 6'!$C65="","",'THÁNG 6'!$E65&amp;"")</f>
        <v/>
      </c>
      <c r="F58" s="0" t="str">
        <f aca="false">IF('THÁNG 6'!$C65="","",'THÁNG 6'!$F65&amp;"")</f>
        <v/>
      </c>
      <c r="G58" s="0" t="str">
        <f aca="false">IF('THÁNG 6'!$C65="","",'THÁNG 6'!$G65&amp;"")</f>
        <v/>
      </c>
      <c r="H58" s="0" t="str">
        <f aca="false">IF('THÁNG 6'!$C65="","",'THÁNG 6'!$H65&amp;"")</f>
        <v/>
      </c>
      <c r="I58" s="0" t="str">
        <f aca="false">IF('THÁNG 6'!$C65="","",N('THÁNG 6'!$I65))</f>
        <v/>
      </c>
      <c r="J58" s="0" t="str">
        <f aca="false">IF('THÁNG 6'!$C65="","",N('THÁNG 6'!$L65))</f>
        <v/>
      </c>
      <c r="K58" s="0" t="str">
        <f aca="false">IF('THÁNG 6'!$C65="","",N('THÁNG 6'!$N65))</f>
        <v/>
      </c>
      <c r="L58" s="0" t="str">
        <f aca="false">IF('THÁNG 6'!$C65="","",N('THÁNG 6'!$O65))</f>
        <v/>
      </c>
      <c r="M58" s="0" t="str">
        <f aca="false">IF('THÁNG 6'!$C65="","",N('THÁNG 6'!$P65))</f>
        <v/>
      </c>
      <c r="N58" s="0" t="str">
        <f aca="false">IF('THÁNG 6'!$C65="","",N('THÁNG 6'!$Q65))</f>
        <v/>
      </c>
      <c r="O58" s="0" t="str">
        <f aca="false">IF('THÁNG 6'!$C65="","",N('THÁNG 6'!$R65))</f>
        <v/>
      </c>
      <c r="P58" s="0" t="str">
        <f aca="false">IF(OR('THÁNG 6'!$C65="",'THÁNG 6'!$T65=""),"",'THÁNG 6'!$T65)</f>
        <v/>
      </c>
      <c r="Q58" s="0" t="str">
        <f aca="false">IF(OR('THÁNG 6'!$C65="",'THÁNG 6'!$U65=""),"",'THÁNG 6'!$U65)</f>
        <v/>
      </c>
      <c r="R58" s="0" t="str">
        <f aca="false">IF('THÁNG 6'!$C65="","",'THÁNG 6'!$W65&amp;"")</f>
        <v/>
      </c>
      <c r="S58" s="0" t="str">
        <f aca="false">IF('THÁNG 6'!$C65="","",'THÁNG 6'!$S65&amp;"")</f>
        <v/>
      </c>
      <c r="T58" s="0" t="str">
        <f aca="false">IF(N($O58)&gt;0,COUNTIF($O$3:$O58,"&gt;0"),"")</f>
        <v/>
      </c>
      <c r="U58" s="0" t="str">
        <f aca="false">IF(AND(N($J58)&gt;0,N($K58)&gt;0),COUNTIFS($J$3:$J58,"&gt;0",$K$3:$K58,"&gt;0"),"")</f>
        <v/>
      </c>
      <c r="V58" s="0" t="str">
        <f aca="false">IF(AND(N($J58)&gt;0,N($K58)=0),COUNTIFS($J$3:$J58,"&gt;0",$K$3:$K58,"&lt;=0"),"")</f>
        <v/>
      </c>
      <c r="W58" s="0" t="str">
        <f aca="false">IF($C58="","",IF(COUNTIF($C$3:$C58,$C58)&gt;1,"",MAX($W$2:W57)+1))</f>
        <v/>
      </c>
      <c r="X58" s="0" t="str">
        <f aca="false">IF($H58="","",IF(COUNTIF($H$3:$H58,$H58)&gt;1,"",MAX($X$2:X57)+1))</f>
        <v/>
      </c>
      <c r="Y58" s="0" t="str">
        <f aca="false">IF(AND(N($M58)&gt;0,N($O58)&lt;=0),COUNTIFS($M$3:$M58,"&gt;0",$O$3:$O58,"&lt;=0"),"")</f>
        <v/>
      </c>
      <c r="Z58" s="30" t="n">
        <f aca="false">IF(OR('THÁNG 6'!$C65="",'THÁNG 6'!$B65=""),0,'THÁNG 6'!$B65)</f>
        <v>0</v>
      </c>
    </row>
    <row r="59" customFormat="false" ht="15" hidden="false" customHeight="false" outlineLevel="0" collapsed="false">
      <c r="A59" s="0" t="n">
        <v>6</v>
      </c>
      <c r="B59" s="29" t="str">
        <f aca="false">IF(OR('THÁNG 6'!$C66="",'THÁNG 6'!$B66=""),"",'THÁNG 6'!$B66)</f>
        <v/>
      </c>
      <c r="C59" s="0" t="str">
        <f aca="false">IF('THÁNG 6'!$C66="","",'THÁNG 6'!$C66)</f>
        <v/>
      </c>
      <c r="D59" s="0" t="str">
        <f aca="false">IF('THÁNG 6'!$C66="","",'THÁNG 6'!$D66&amp;"")</f>
        <v/>
      </c>
      <c r="E59" s="0" t="str">
        <f aca="false">IF('THÁNG 6'!$C66="","",'THÁNG 6'!$E66&amp;"")</f>
        <v/>
      </c>
      <c r="F59" s="0" t="str">
        <f aca="false">IF('THÁNG 6'!$C66="","",'THÁNG 6'!$F66&amp;"")</f>
        <v/>
      </c>
      <c r="G59" s="0" t="str">
        <f aca="false">IF('THÁNG 6'!$C66="","",'THÁNG 6'!$G66&amp;"")</f>
        <v/>
      </c>
      <c r="H59" s="0" t="str">
        <f aca="false">IF('THÁNG 6'!$C66="","",'THÁNG 6'!$H66&amp;"")</f>
        <v/>
      </c>
      <c r="I59" s="0" t="str">
        <f aca="false">IF('THÁNG 6'!$C66="","",N('THÁNG 6'!$I66))</f>
        <v/>
      </c>
      <c r="J59" s="0" t="str">
        <f aca="false">IF('THÁNG 6'!$C66="","",N('THÁNG 6'!$L66))</f>
        <v/>
      </c>
      <c r="K59" s="0" t="str">
        <f aca="false">IF('THÁNG 6'!$C66="","",N('THÁNG 6'!$N66))</f>
        <v/>
      </c>
      <c r="L59" s="0" t="str">
        <f aca="false">IF('THÁNG 6'!$C66="","",N('THÁNG 6'!$O66))</f>
        <v/>
      </c>
      <c r="M59" s="0" t="str">
        <f aca="false">IF('THÁNG 6'!$C66="","",N('THÁNG 6'!$P66))</f>
        <v/>
      </c>
      <c r="N59" s="0" t="str">
        <f aca="false">IF('THÁNG 6'!$C66="","",N('THÁNG 6'!$Q66))</f>
        <v/>
      </c>
      <c r="O59" s="0" t="str">
        <f aca="false">IF('THÁNG 6'!$C66="","",N('THÁNG 6'!$R66))</f>
        <v/>
      </c>
      <c r="P59" s="0" t="str">
        <f aca="false">IF(OR('THÁNG 6'!$C66="",'THÁNG 6'!$T66=""),"",'THÁNG 6'!$T66)</f>
        <v/>
      </c>
      <c r="Q59" s="0" t="str">
        <f aca="false">IF(OR('THÁNG 6'!$C66="",'THÁNG 6'!$U66=""),"",'THÁNG 6'!$U66)</f>
        <v/>
      </c>
      <c r="R59" s="0" t="str">
        <f aca="false">IF('THÁNG 6'!$C66="","",'THÁNG 6'!$W66&amp;"")</f>
        <v/>
      </c>
      <c r="S59" s="0" t="str">
        <f aca="false">IF('THÁNG 6'!$C66="","",'THÁNG 6'!$S66&amp;"")</f>
        <v/>
      </c>
      <c r="T59" s="0" t="str">
        <f aca="false">IF(N($O59)&gt;0,COUNTIF($O$3:$O59,"&gt;0"),"")</f>
        <v/>
      </c>
      <c r="U59" s="0" t="str">
        <f aca="false">IF(AND(N($J59)&gt;0,N($K59)&gt;0),COUNTIFS($J$3:$J59,"&gt;0",$K$3:$K59,"&gt;0"),"")</f>
        <v/>
      </c>
      <c r="V59" s="0" t="str">
        <f aca="false">IF(AND(N($J59)&gt;0,N($K59)=0),COUNTIFS($J$3:$J59,"&gt;0",$K$3:$K59,"&lt;=0"),"")</f>
        <v/>
      </c>
      <c r="W59" s="0" t="str">
        <f aca="false">IF($C59="","",IF(COUNTIF($C$3:$C59,$C59)&gt;1,"",MAX($W$2:W58)+1))</f>
        <v/>
      </c>
      <c r="X59" s="0" t="str">
        <f aca="false">IF($H59="","",IF(COUNTIF($H$3:$H59,$H59)&gt;1,"",MAX($X$2:X58)+1))</f>
        <v/>
      </c>
      <c r="Y59" s="0" t="str">
        <f aca="false">IF(AND(N($M59)&gt;0,N($O59)&lt;=0),COUNTIFS($M$3:$M59,"&gt;0",$O$3:$O59,"&lt;=0"),"")</f>
        <v/>
      </c>
      <c r="Z59" s="30" t="n">
        <f aca="false">IF(OR('THÁNG 6'!$C66="",'THÁNG 6'!$B66=""),0,'THÁNG 6'!$B66)</f>
        <v>0</v>
      </c>
    </row>
    <row r="60" customFormat="false" ht="15" hidden="false" customHeight="false" outlineLevel="0" collapsed="false">
      <c r="A60" s="0" t="n">
        <v>6</v>
      </c>
      <c r="B60" s="29" t="str">
        <f aca="false">IF(OR('THÁNG 6'!$C67="",'THÁNG 6'!$B67=""),"",'THÁNG 6'!$B67)</f>
        <v/>
      </c>
      <c r="C60" s="0" t="str">
        <f aca="false">IF('THÁNG 6'!$C67="","",'THÁNG 6'!$C67)</f>
        <v/>
      </c>
      <c r="D60" s="0" t="str">
        <f aca="false">IF('THÁNG 6'!$C67="","",'THÁNG 6'!$D67&amp;"")</f>
        <v/>
      </c>
      <c r="E60" s="0" t="str">
        <f aca="false">IF('THÁNG 6'!$C67="","",'THÁNG 6'!$E67&amp;"")</f>
        <v/>
      </c>
      <c r="F60" s="0" t="str">
        <f aca="false">IF('THÁNG 6'!$C67="","",'THÁNG 6'!$F67&amp;"")</f>
        <v/>
      </c>
      <c r="G60" s="0" t="str">
        <f aca="false">IF('THÁNG 6'!$C67="","",'THÁNG 6'!$G67&amp;"")</f>
        <v/>
      </c>
      <c r="H60" s="0" t="str">
        <f aca="false">IF('THÁNG 6'!$C67="","",'THÁNG 6'!$H67&amp;"")</f>
        <v/>
      </c>
      <c r="I60" s="0" t="str">
        <f aca="false">IF('THÁNG 6'!$C67="","",N('THÁNG 6'!$I67))</f>
        <v/>
      </c>
      <c r="J60" s="0" t="str">
        <f aca="false">IF('THÁNG 6'!$C67="","",N('THÁNG 6'!$L67))</f>
        <v/>
      </c>
      <c r="K60" s="0" t="str">
        <f aca="false">IF('THÁNG 6'!$C67="","",N('THÁNG 6'!$N67))</f>
        <v/>
      </c>
      <c r="L60" s="0" t="str">
        <f aca="false">IF('THÁNG 6'!$C67="","",N('THÁNG 6'!$O67))</f>
        <v/>
      </c>
      <c r="M60" s="0" t="str">
        <f aca="false">IF('THÁNG 6'!$C67="","",N('THÁNG 6'!$P67))</f>
        <v/>
      </c>
      <c r="N60" s="0" t="str">
        <f aca="false">IF('THÁNG 6'!$C67="","",N('THÁNG 6'!$Q67))</f>
        <v/>
      </c>
      <c r="O60" s="0" t="str">
        <f aca="false">IF('THÁNG 6'!$C67="","",N('THÁNG 6'!$R67))</f>
        <v/>
      </c>
      <c r="P60" s="0" t="str">
        <f aca="false">IF(OR('THÁNG 6'!$C67="",'THÁNG 6'!$T67=""),"",'THÁNG 6'!$T67)</f>
        <v/>
      </c>
      <c r="Q60" s="0" t="str">
        <f aca="false">IF(OR('THÁNG 6'!$C67="",'THÁNG 6'!$U67=""),"",'THÁNG 6'!$U67)</f>
        <v/>
      </c>
      <c r="R60" s="0" t="str">
        <f aca="false">IF('THÁNG 6'!$C67="","",'THÁNG 6'!$W67&amp;"")</f>
        <v/>
      </c>
      <c r="S60" s="0" t="str">
        <f aca="false">IF('THÁNG 6'!$C67="","",'THÁNG 6'!$S67&amp;"")</f>
        <v/>
      </c>
      <c r="T60" s="0" t="str">
        <f aca="false">IF(N($O60)&gt;0,COUNTIF($O$3:$O60,"&gt;0"),"")</f>
        <v/>
      </c>
      <c r="U60" s="0" t="str">
        <f aca="false">IF(AND(N($J60)&gt;0,N($K60)&gt;0),COUNTIFS($J$3:$J60,"&gt;0",$K$3:$K60,"&gt;0"),"")</f>
        <v/>
      </c>
      <c r="V60" s="0" t="str">
        <f aca="false">IF(AND(N($J60)&gt;0,N($K60)=0),COUNTIFS($J$3:$J60,"&gt;0",$K$3:$K60,"&lt;=0"),"")</f>
        <v/>
      </c>
      <c r="W60" s="0" t="str">
        <f aca="false">IF($C60="","",IF(COUNTIF($C$3:$C60,$C60)&gt;1,"",MAX($W$2:W59)+1))</f>
        <v/>
      </c>
      <c r="X60" s="0" t="str">
        <f aca="false">IF($H60="","",IF(COUNTIF($H$3:$H60,$H60)&gt;1,"",MAX($X$2:X59)+1))</f>
        <v/>
      </c>
      <c r="Y60" s="0" t="str">
        <f aca="false">IF(AND(N($M60)&gt;0,N($O60)&lt;=0),COUNTIFS($M$3:$M60,"&gt;0",$O$3:$O60,"&lt;=0"),"")</f>
        <v/>
      </c>
      <c r="Z60" s="30" t="n">
        <f aca="false">IF(OR('THÁNG 6'!$C67="",'THÁNG 6'!$B67=""),0,'THÁNG 6'!$B67)</f>
        <v>0</v>
      </c>
    </row>
    <row r="61" customFormat="false" ht="15" hidden="false" customHeight="false" outlineLevel="0" collapsed="false">
      <c r="A61" s="0" t="n">
        <v>6</v>
      </c>
      <c r="B61" s="29" t="str">
        <f aca="false">IF(OR('THÁNG 6'!$C68="",'THÁNG 6'!$B68=""),"",'THÁNG 6'!$B68)</f>
        <v/>
      </c>
      <c r="C61" s="0" t="str">
        <f aca="false">IF('THÁNG 6'!$C68="","",'THÁNG 6'!$C68)</f>
        <v/>
      </c>
      <c r="D61" s="0" t="str">
        <f aca="false">IF('THÁNG 6'!$C68="","",'THÁNG 6'!$D68&amp;"")</f>
        <v/>
      </c>
      <c r="E61" s="0" t="str">
        <f aca="false">IF('THÁNG 6'!$C68="","",'THÁNG 6'!$E68&amp;"")</f>
        <v/>
      </c>
      <c r="F61" s="0" t="str">
        <f aca="false">IF('THÁNG 6'!$C68="","",'THÁNG 6'!$F68&amp;"")</f>
        <v/>
      </c>
      <c r="G61" s="0" t="str">
        <f aca="false">IF('THÁNG 6'!$C68="","",'THÁNG 6'!$G68&amp;"")</f>
        <v/>
      </c>
      <c r="H61" s="0" t="str">
        <f aca="false">IF('THÁNG 6'!$C68="","",'THÁNG 6'!$H68&amp;"")</f>
        <v/>
      </c>
      <c r="I61" s="0" t="str">
        <f aca="false">IF('THÁNG 6'!$C68="","",N('THÁNG 6'!$I68))</f>
        <v/>
      </c>
      <c r="J61" s="0" t="str">
        <f aca="false">IF('THÁNG 6'!$C68="","",N('THÁNG 6'!$L68))</f>
        <v/>
      </c>
      <c r="K61" s="0" t="str">
        <f aca="false">IF('THÁNG 6'!$C68="","",N('THÁNG 6'!$N68))</f>
        <v/>
      </c>
      <c r="L61" s="0" t="str">
        <f aca="false">IF('THÁNG 6'!$C68="","",N('THÁNG 6'!$O68))</f>
        <v/>
      </c>
      <c r="M61" s="0" t="str">
        <f aca="false">IF('THÁNG 6'!$C68="","",N('THÁNG 6'!$P68))</f>
        <v/>
      </c>
      <c r="N61" s="0" t="str">
        <f aca="false">IF('THÁNG 6'!$C68="","",N('THÁNG 6'!$Q68))</f>
        <v/>
      </c>
      <c r="O61" s="0" t="str">
        <f aca="false">IF('THÁNG 6'!$C68="","",N('THÁNG 6'!$R68))</f>
        <v/>
      </c>
      <c r="P61" s="0" t="str">
        <f aca="false">IF(OR('THÁNG 6'!$C68="",'THÁNG 6'!$T68=""),"",'THÁNG 6'!$T68)</f>
        <v/>
      </c>
      <c r="Q61" s="0" t="str">
        <f aca="false">IF(OR('THÁNG 6'!$C68="",'THÁNG 6'!$U68=""),"",'THÁNG 6'!$U68)</f>
        <v/>
      </c>
      <c r="R61" s="0" t="str">
        <f aca="false">IF('THÁNG 6'!$C68="","",'THÁNG 6'!$W68&amp;"")</f>
        <v/>
      </c>
      <c r="S61" s="0" t="str">
        <f aca="false">IF('THÁNG 6'!$C68="","",'THÁNG 6'!$S68&amp;"")</f>
        <v/>
      </c>
      <c r="T61" s="0" t="str">
        <f aca="false">IF(N($O61)&gt;0,COUNTIF($O$3:$O61,"&gt;0"),"")</f>
        <v/>
      </c>
      <c r="U61" s="0" t="str">
        <f aca="false">IF(AND(N($J61)&gt;0,N($K61)&gt;0),COUNTIFS($J$3:$J61,"&gt;0",$K$3:$K61,"&gt;0"),"")</f>
        <v/>
      </c>
      <c r="V61" s="0" t="str">
        <f aca="false">IF(AND(N($J61)&gt;0,N($K61)=0),COUNTIFS($J$3:$J61,"&gt;0",$K$3:$K61,"&lt;=0"),"")</f>
        <v/>
      </c>
      <c r="W61" s="0" t="str">
        <f aca="false">IF($C61="","",IF(COUNTIF($C$3:$C61,$C61)&gt;1,"",MAX($W$2:W60)+1))</f>
        <v/>
      </c>
      <c r="X61" s="0" t="str">
        <f aca="false">IF($H61="","",IF(COUNTIF($H$3:$H61,$H61)&gt;1,"",MAX($X$2:X60)+1))</f>
        <v/>
      </c>
      <c r="Y61" s="0" t="str">
        <f aca="false">IF(AND(N($M61)&gt;0,N($O61)&lt;=0),COUNTIFS($M$3:$M61,"&gt;0",$O$3:$O61,"&lt;=0"),"")</f>
        <v/>
      </c>
      <c r="Z61" s="30" t="n">
        <f aca="false">IF(OR('THÁNG 6'!$C68="",'THÁNG 6'!$B68=""),0,'THÁNG 6'!$B68)</f>
        <v>0</v>
      </c>
    </row>
    <row r="62" customFormat="false" ht="15" hidden="false" customHeight="false" outlineLevel="0" collapsed="false">
      <c r="A62" s="0" t="n">
        <v>6</v>
      </c>
      <c r="B62" s="29" t="str">
        <f aca="false">IF(OR('THÁNG 6'!$C69="",'THÁNG 6'!$B69=""),"",'THÁNG 6'!$B69)</f>
        <v/>
      </c>
      <c r="C62" s="0" t="str">
        <f aca="false">IF('THÁNG 6'!$C69="","",'THÁNG 6'!$C69)</f>
        <v/>
      </c>
      <c r="D62" s="0" t="str">
        <f aca="false">IF('THÁNG 6'!$C69="","",'THÁNG 6'!$D69&amp;"")</f>
        <v/>
      </c>
      <c r="E62" s="0" t="str">
        <f aca="false">IF('THÁNG 6'!$C69="","",'THÁNG 6'!$E69&amp;"")</f>
        <v/>
      </c>
      <c r="F62" s="0" t="str">
        <f aca="false">IF('THÁNG 6'!$C69="","",'THÁNG 6'!$F69&amp;"")</f>
        <v/>
      </c>
      <c r="G62" s="0" t="str">
        <f aca="false">IF('THÁNG 6'!$C69="","",'THÁNG 6'!$G69&amp;"")</f>
        <v/>
      </c>
      <c r="H62" s="0" t="str">
        <f aca="false">IF('THÁNG 6'!$C69="","",'THÁNG 6'!$H69&amp;"")</f>
        <v/>
      </c>
      <c r="I62" s="0" t="str">
        <f aca="false">IF('THÁNG 6'!$C69="","",N('THÁNG 6'!$I69))</f>
        <v/>
      </c>
      <c r="J62" s="0" t="str">
        <f aca="false">IF('THÁNG 6'!$C69="","",N('THÁNG 6'!$L69))</f>
        <v/>
      </c>
      <c r="K62" s="0" t="str">
        <f aca="false">IF('THÁNG 6'!$C69="","",N('THÁNG 6'!$N69))</f>
        <v/>
      </c>
      <c r="L62" s="0" t="str">
        <f aca="false">IF('THÁNG 6'!$C69="","",N('THÁNG 6'!$O69))</f>
        <v/>
      </c>
      <c r="M62" s="0" t="str">
        <f aca="false">IF('THÁNG 6'!$C69="","",N('THÁNG 6'!$P69))</f>
        <v/>
      </c>
      <c r="N62" s="0" t="str">
        <f aca="false">IF('THÁNG 6'!$C69="","",N('THÁNG 6'!$Q69))</f>
        <v/>
      </c>
      <c r="O62" s="0" t="str">
        <f aca="false">IF('THÁNG 6'!$C69="","",N('THÁNG 6'!$R69))</f>
        <v/>
      </c>
      <c r="P62" s="0" t="str">
        <f aca="false">IF(OR('THÁNG 6'!$C69="",'THÁNG 6'!$T69=""),"",'THÁNG 6'!$T69)</f>
        <v/>
      </c>
      <c r="Q62" s="0" t="str">
        <f aca="false">IF(OR('THÁNG 6'!$C69="",'THÁNG 6'!$U69=""),"",'THÁNG 6'!$U69)</f>
        <v/>
      </c>
      <c r="R62" s="0" t="str">
        <f aca="false">IF('THÁNG 6'!$C69="","",'THÁNG 6'!$W69&amp;"")</f>
        <v/>
      </c>
      <c r="S62" s="0" t="str">
        <f aca="false">IF('THÁNG 6'!$C69="","",'THÁNG 6'!$S69&amp;"")</f>
        <v/>
      </c>
      <c r="T62" s="0" t="str">
        <f aca="false">IF(N($O62)&gt;0,COUNTIF($O$3:$O62,"&gt;0"),"")</f>
        <v/>
      </c>
      <c r="U62" s="0" t="str">
        <f aca="false">IF(AND(N($J62)&gt;0,N($K62)&gt;0),COUNTIFS($J$3:$J62,"&gt;0",$K$3:$K62,"&gt;0"),"")</f>
        <v/>
      </c>
      <c r="V62" s="0" t="str">
        <f aca="false">IF(AND(N($J62)&gt;0,N($K62)=0),COUNTIFS($J$3:$J62,"&gt;0",$K$3:$K62,"&lt;=0"),"")</f>
        <v/>
      </c>
      <c r="W62" s="0" t="str">
        <f aca="false">IF($C62="","",IF(COUNTIF($C$3:$C62,$C62)&gt;1,"",MAX($W$2:W61)+1))</f>
        <v/>
      </c>
      <c r="X62" s="0" t="str">
        <f aca="false">IF($H62="","",IF(COUNTIF($H$3:$H62,$H62)&gt;1,"",MAX($X$2:X61)+1))</f>
        <v/>
      </c>
      <c r="Y62" s="0" t="str">
        <f aca="false">IF(AND(N($M62)&gt;0,N($O62)&lt;=0),COUNTIFS($M$3:$M62,"&gt;0",$O$3:$O62,"&lt;=0"),"")</f>
        <v/>
      </c>
      <c r="Z62" s="30" t="n">
        <f aca="false">IF(OR('THÁNG 6'!$C69="",'THÁNG 6'!$B69=""),0,'THÁNG 6'!$B69)</f>
        <v>0</v>
      </c>
    </row>
    <row r="63" customFormat="false" ht="15" hidden="false" customHeight="false" outlineLevel="0" collapsed="false">
      <c r="A63" s="0" t="n">
        <v>6</v>
      </c>
      <c r="B63" s="29" t="str">
        <f aca="false">IF(OR('THÁNG 6'!$C70="",'THÁNG 6'!$B70=""),"",'THÁNG 6'!$B70)</f>
        <v/>
      </c>
      <c r="C63" s="0" t="str">
        <f aca="false">IF('THÁNG 6'!$C70="","",'THÁNG 6'!$C70)</f>
        <v/>
      </c>
      <c r="D63" s="0" t="str">
        <f aca="false">IF('THÁNG 6'!$C70="","",'THÁNG 6'!$D70&amp;"")</f>
        <v/>
      </c>
      <c r="E63" s="0" t="str">
        <f aca="false">IF('THÁNG 6'!$C70="","",'THÁNG 6'!$E70&amp;"")</f>
        <v/>
      </c>
      <c r="F63" s="0" t="str">
        <f aca="false">IF('THÁNG 6'!$C70="","",'THÁNG 6'!$F70&amp;"")</f>
        <v/>
      </c>
      <c r="G63" s="0" t="str">
        <f aca="false">IF('THÁNG 6'!$C70="","",'THÁNG 6'!$G70&amp;"")</f>
        <v/>
      </c>
      <c r="H63" s="0" t="str">
        <f aca="false">IF('THÁNG 6'!$C70="","",'THÁNG 6'!$H70&amp;"")</f>
        <v/>
      </c>
      <c r="I63" s="0" t="str">
        <f aca="false">IF('THÁNG 6'!$C70="","",N('THÁNG 6'!$I70))</f>
        <v/>
      </c>
      <c r="J63" s="0" t="str">
        <f aca="false">IF('THÁNG 6'!$C70="","",N('THÁNG 6'!$L70))</f>
        <v/>
      </c>
      <c r="K63" s="0" t="str">
        <f aca="false">IF('THÁNG 6'!$C70="","",N('THÁNG 6'!$N70))</f>
        <v/>
      </c>
      <c r="L63" s="0" t="str">
        <f aca="false">IF('THÁNG 6'!$C70="","",N('THÁNG 6'!$O70))</f>
        <v/>
      </c>
      <c r="M63" s="0" t="str">
        <f aca="false">IF('THÁNG 6'!$C70="","",N('THÁNG 6'!$P70))</f>
        <v/>
      </c>
      <c r="N63" s="0" t="str">
        <f aca="false">IF('THÁNG 6'!$C70="","",N('THÁNG 6'!$Q70))</f>
        <v/>
      </c>
      <c r="O63" s="0" t="str">
        <f aca="false">IF('THÁNG 6'!$C70="","",N('THÁNG 6'!$R70))</f>
        <v/>
      </c>
      <c r="P63" s="0" t="str">
        <f aca="false">IF(OR('THÁNG 6'!$C70="",'THÁNG 6'!$T70=""),"",'THÁNG 6'!$T70)</f>
        <v/>
      </c>
      <c r="Q63" s="0" t="str">
        <f aca="false">IF(OR('THÁNG 6'!$C70="",'THÁNG 6'!$U70=""),"",'THÁNG 6'!$U70)</f>
        <v/>
      </c>
      <c r="R63" s="0" t="str">
        <f aca="false">IF('THÁNG 6'!$C70="","",'THÁNG 6'!$W70&amp;"")</f>
        <v/>
      </c>
      <c r="S63" s="0" t="str">
        <f aca="false">IF('THÁNG 6'!$C70="","",'THÁNG 6'!$S70&amp;"")</f>
        <v/>
      </c>
      <c r="T63" s="0" t="str">
        <f aca="false">IF(N($O63)&gt;0,COUNTIF($O$3:$O63,"&gt;0"),"")</f>
        <v/>
      </c>
      <c r="U63" s="0" t="str">
        <f aca="false">IF(AND(N($J63)&gt;0,N($K63)&gt;0),COUNTIFS($J$3:$J63,"&gt;0",$K$3:$K63,"&gt;0"),"")</f>
        <v/>
      </c>
      <c r="V63" s="0" t="str">
        <f aca="false">IF(AND(N($J63)&gt;0,N($K63)=0),COUNTIFS($J$3:$J63,"&gt;0",$K$3:$K63,"&lt;=0"),"")</f>
        <v/>
      </c>
      <c r="W63" s="0" t="str">
        <f aca="false">IF($C63="","",IF(COUNTIF($C$3:$C63,$C63)&gt;1,"",MAX($W$2:W62)+1))</f>
        <v/>
      </c>
      <c r="X63" s="0" t="str">
        <f aca="false">IF($H63="","",IF(COUNTIF($H$3:$H63,$H63)&gt;1,"",MAX($X$2:X62)+1))</f>
        <v/>
      </c>
      <c r="Y63" s="0" t="str">
        <f aca="false">IF(AND(N($M63)&gt;0,N($O63)&lt;=0),COUNTIFS($M$3:$M63,"&gt;0",$O$3:$O63,"&lt;=0"),"")</f>
        <v/>
      </c>
      <c r="Z63" s="30" t="n">
        <f aca="false">IF(OR('THÁNG 6'!$C70="",'THÁNG 6'!$B70=""),0,'THÁNG 6'!$B70)</f>
        <v>0</v>
      </c>
    </row>
    <row r="64" customFormat="false" ht="15" hidden="false" customHeight="false" outlineLevel="0" collapsed="false">
      <c r="A64" s="0" t="n">
        <v>6</v>
      </c>
      <c r="B64" s="29" t="str">
        <f aca="false">IF(OR('THÁNG 6'!$C71="",'THÁNG 6'!$B71=""),"",'THÁNG 6'!$B71)</f>
        <v/>
      </c>
      <c r="C64" s="0" t="str">
        <f aca="false">IF('THÁNG 6'!$C71="","",'THÁNG 6'!$C71)</f>
        <v/>
      </c>
      <c r="D64" s="0" t="str">
        <f aca="false">IF('THÁNG 6'!$C71="","",'THÁNG 6'!$D71&amp;"")</f>
        <v/>
      </c>
      <c r="E64" s="0" t="str">
        <f aca="false">IF('THÁNG 6'!$C71="","",'THÁNG 6'!$E71&amp;"")</f>
        <v/>
      </c>
      <c r="F64" s="0" t="str">
        <f aca="false">IF('THÁNG 6'!$C71="","",'THÁNG 6'!$F71&amp;"")</f>
        <v/>
      </c>
      <c r="G64" s="0" t="str">
        <f aca="false">IF('THÁNG 6'!$C71="","",'THÁNG 6'!$G71&amp;"")</f>
        <v/>
      </c>
      <c r="H64" s="0" t="str">
        <f aca="false">IF('THÁNG 6'!$C71="","",'THÁNG 6'!$H71&amp;"")</f>
        <v/>
      </c>
      <c r="I64" s="0" t="str">
        <f aca="false">IF('THÁNG 6'!$C71="","",N('THÁNG 6'!$I71))</f>
        <v/>
      </c>
      <c r="J64" s="0" t="str">
        <f aca="false">IF('THÁNG 6'!$C71="","",N('THÁNG 6'!$L71))</f>
        <v/>
      </c>
      <c r="K64" s="0" t="str">
        <f aca="false">IF('THÁNG 6'!$C71="","",N('THÁNG 6'!$N71))</f>
        <v/>
      </c>
      <c r="L64" s="0" t="str">
        <f aca="false">IF('THÁNG 6'!$C71="","",N('THÁNG 6'!$O71))</f>
        <v/>
      </c>
      <c r="M64" s="0" t="str">
        <f aca="false">IF('THÁNG 6'!$C71="","",N('THÁNG 6'!$P71))</f>
        <v/>
      </c>
      <c r="N64" s="0" t="str">
        <f aca="false">IF('THÁNG 6'!$C71="","",N('THÁNG 6'!$Q71))</f>
        <v/>
      </c>
      <c r="O64" s="0" t="str">
        <f aca="false">IF('THÁNG 6'!$C71="","",N('THÁNG 6'!$R71))</f>
        <v/>
      </c>
      <c r="P64" s="0" t="str">
        <f aca="false">IF(OR('THÁNG 6'!$C71="",'THÁNG 6'!$T71=""),"",'THÁNG 6'!$T71)</f>
        <v/>
      </c>
      <c r="Q64" s="0" t="str">
        <f aca="false">IF(OR('THÁNG 6'!$C71="",'THÁNG 6'!$U71=""),"",'THÁNG 6'!$U71)</f>
        <v/>
      </c>
      <c r="R64" s="0" t="str">
        <f aca="false">IF('THÁNG 6'!$C71="","",'THÁNG 6'!$W71&amp;"")</f>
        <v/>
      </c>
      <c r="S64" s="0" t="str">
        <f aca="false">IF('THÁNG 6'!$C71="","",'THÁNG 6'!$S71&amp;"")</f>
        <v/>
      </c>
      <c r="T64" s="0" t="str">
        <f aca="false">IF(N($O64)&gt;0,COUNTIF($O$3:$O64,"&gt;0"),"")</f>
        <v/>
      </c>
      <c r="U64" s="0" t="str">
        <f aca="false">IF(AND(N($J64)&gt;0,N($K64)&gt;0),COUNTIFS($J$3:$J64,"&gt;0",$K$3:$K64,"&gt;0"),"")</f>
        <v/>
      </c>
      <c r="V64" s="0" t="str">
        <f aca="false">IF(AND(N($J64)&gt;0,N($K64)=0),COUNTIFS($J$3:$J64,"&gt;0",$K$3:$K64,"&lt;=0"),"")</f>
        <v/>
      </c>
      <c r="W64" s="0" t="str">
        <f aca="false">IF($C64="","",IF(COUNTIF($C$3:$C64,$C64)&gt;1,"",MAX($W$2:W63)+1))</f>
        <v/>
      </c>
      <c r="X64" s="0" t="str">
        <f aca="false">IF($H64="","",IF(COUNTIF($H$3:$H64,$H64)&gt;1,"",MAX($X$2:X63)+1))</f>
        <v/>
      </c>
      <c r="Y64" s="0" t="str">
        <f aca="false">IF(AND(N($M64)&gt;0,N($O64)&lt;=0),COUNTIFS($M$3:$M64,"&gt;0",$O$3:$O64,"&lt;=0"),"")</f>
        <v/>
      </c>
      <c r="Z64" s="30" t="n">
        <f aca="false">IF(OR('THÁNG 6'!$C71="",'THÁNG 6'!$B71=""),0,'THÁNG 6'!$B71)</f>
        <v>0</v>
      </c>
    </row>
    <row r="65" customFormat="false" ht="15" hidden="false" customHeight="false" outlineLevel="0" collapsed="false">
      <c r="A65" s="0" t="n">
        <v>6</v>
      </c>
      <c r="B65" s="29" t="str">
        <f aca="false">IF(OR('THÁNG 6'!$C72="",'THÁNG 6'!$B72=""),"",'THÁNG 6'!$B72)</f>
        <v/>
      </c>
      <c r="C65" s="0" t="str">
        <f aca="false">IF('THÁNG 6'!$C72="","",'THÁNG 6'!$C72)</f>
        <v/>
      </c>
      <c r="D65" s="0" t="str">
        <f aca="false">IF('THÁNG 6'!$C72="","",'THÁNG 6'!$D72&amp;"")</f>
        <v/>
      </c>
      <c r="E65" s="0" t="str">
        <f aca="false">IF('THÁNG 6'!$C72="","",'THÁNG 6'!$E72&amp;"")</f>
        <v/>
      </c>
      <c r="F65" s="0" t="str">
        <f aca="false">IF('THÁNG 6'!$C72="","",'THÁNG 6'!$F72&amp;"")</f>
        <v/>
      </c>
      <c r="G65" s="0" t="str">
        <f aca="false">IF('THÁNG 6'!$C72="","",'THÁNG 6'!$G72&amp;"")</f>
        <v/>
      </c>
      <c r="H65" s="0" t="str">
        <f aca="false">IF('THÁNG 6'!$C72="","",'THÁNG 6'!$H72&amp;"")</f>
        <v/>
      </c>
      <c r="I65" s="0" t="str">
        <f aca="false">IF('THÁNG 6'!$C72="","",N('THÁNG 6'!$I72))</f>
        <v/>
      </c>
      <c r="J65" s="0" t="str">
        <f aca="false">IF('THÁNG 6'!$C72="","",N('THÁNG 6'!$L72))</f>
        <v/>
      </c>
      <c r="K65" s="0" t="str">
        <f aca="false">IF('THÁNG 6'!$C72="","",N('THÁNG 6'!$N72))</f>
        <v/>
      </c>
      <c r="L65" s="0" t="str">
        <f aca="false">IF('THÁNG 6'!$C72="","",N('THÁNG 6'!$O72))</f>
        <v/>
      </c>
      <c r="M65" s="0" t="str">
        <f aca="false">IF('THÁNG 6'!$C72="","",N('THÁNG 6'!$P72))</f>
        <v/>
      </c>
      <c r="N65" s="0" t="str">
        <f aca="false">IF('THÁNG 6'!$C72="","",N('THÁNG 6'!$Q72))</f>
        <v/>
      </c>
      <c r="O65" s="0" t="str">
        <f aca="false">IF('THÁNG 6'!$C72="","",N('THÁNG 6'!$R72))</f>
        <v/>
      </c>
      <c r="P65" s="0" t="str">
        <f aca="false">IF(OR('THÁNG 6'!$C72="",'THÁNG 6'!$T72=""),"",'THÁNG 6'!$T72)</f>
        <v/>
      </c>
      <c r="Q65" s="0" t="str">
        <f aca="false">IF(OR('THÁNG 6'!$C72="",'THÁNG 6'!$U72=""),"",'THÁNG 6'!$U72)</f>
        <v/>
      </c>
      <c r="R65" s="0" t="str">
        <f aca="false">IF('THÁNG 6'!$C72="","",'THÁNG 6'!$W72&amp;"")</f>
        <v/>
      </c>
      <c r="S65" s="0" t="str">
        <f aca="false">IF('THÁNG 6'!$C72="","",'THÁNG 6'!$S72&amp;"")</f>
        <v/>
      </c>
      <c r="T65" s="0" t="str">
        <f aca="false">IF(N($O65)&gt;0,COUNTIF($O$3:$O65,"&gt;0"),"")</f>
        <v/>
      </c>
      <c r="U65" s="0" t="str">
        <f aca="false">IF(AND(N($J65)&gt;0,N($K65)&gt;0),COUNTIFS($J$3:$J65,"&gt;0",$K$3:$K65,"&gt;0"),"")</f>
        <v/>
      </c>
      <c r="V65" s="0" t="str">
        <f aca="false">IF(AND(N($J65)&gt;0,N($K65)=0),COUNTIFS($J$3:$J65,"&gt;0",$K$3:$K65,"&lt;=0"),"")</f>
        <v/>
      </c>
      <c r="W65" s="0" t="str">
        <f aca="false">IF($C65="","",IF(COUNTIF($C$3:$C65,$C65)&gt;1,"",MAX($W$2:W64)+1))</f>
        <v/>
      </c>
      <c r="X65" s="0" t="str">
        <f aca="false">IF($H65="","",IF(COUNTIF($H$3:$H65,$H65)&gt;1,"",MAX($X$2:X64)+1))</f>
        <v/>
      </c>
      <c r="Y65" s="0" t="str">
        <f aca="false">IF(AND(N($M65)&gt;0,N($O65)&lt;=0),COUNTIFS($M$3:$M65,"&gt;0",$O$3:$O65,"&lt;=0"),"")</f>
        <v/>
      </c>
      <c r="Z65" s="30" t="n">
        <f aca="false">IF(OR('THÁNG 6'!$C72="",'THÁNG 6'!$B72=""),0,'THÁNG 6'!$B72)</f>
        <v>0</v>
      </c>
    </row>
    <row r="66" customFormat="false" ht="15" hidden="false" customHeight="false" outlineLevel="0" collapsed="false">
      <c r="A66" s="0" t="n">
        <v>6</v>
      </c>
      <c r="B66" s="29" t="str">
        <f aca="false">IF(OR('THÁNG 6'!$C73="",'THÁNG 6'!$B73=""),"",'THÁNG 6'!$B73)</f>
        <v/>
      </c>
      <c r="C66" s="0" t="str">
        <f aca="false">IF('THÁNG 6'!$C73="","",'THÁNG 6'!$C73)</f>
        <v/>
      </c>
      <c r="D66" s="0" t="str">
        <f aca="false">IF('THÁNG 6'!$C73="","",'THÁNG 6'!$D73&amp;"")</f>
        <v/>
      </c>
      <c r="E66" s="0" t="str">
        <f aca="false">IF('THÁNG 6'!$C73="","",'THÁNG 6'!$E73&amp;"")</f>
        <v/>
      </c>
      <c r="F66" s="0" t="str">
        <f aca="false">IF('THÁNG 6'!$C73="","",'THÁNG 6'!$F73&amp;"")</f>
        <v/>
      </c>
      <c r="G66" s="0" t="str">
        <f aca="false">IF('THÁNG 6'!$C73="","",'THÁNG 6'!$G73&amp;"")</f>
        <v/>
      </c>
      <c r="H66" s="0" t="str">
        <f aca="false">IF('THÁNG 6'!$C73="","",'THÁNG 6'!$H73&amp;"")</f>
        <v/>
      </c>
      <c r="I66" s="0" t="str">
        <f aca="false">IF('THÁNG 6'!$C73="","",N('THÁNG 6'!$I73))</f>
        <v/>
      </c>
      <c r="J66" s="0" t="str">
        <f aca="false">IF('THÁNG 6'!$C73="","",N('THÁNG 6'!$L73))</f>
        <v/>
      </c>
      <c r="K66" s="0" t="str">
        <f aca="false">IF('THÁNG 6'!$C73="","",N('THÁNG 6'!$N73))</f>
        <v/>
      </c>
      <c r="L66" s="0" t="str">
        <f aca="false">IF('THÁNG 6'!$C73="","",N('THÁNG 6'!$O73))</f>
        <v/>
      </c>
      <c r="M66" s="0" t="str">
        <f aca="false">IF('THÁNG 6'!$C73="","",N('THÁNG 6'!$P73))</f>
        <v/>
      </c>
      <c r="N66" s="0" t="str">
        <f aca="false">IF('THÁNG 6'!$C73="","",N('THÁNG 6'!$Q73))</f>
        <v/>
      </c>
      <c r="O66" s="0" t="str">
        <f aca="false">IF('THÁNG 6'!$C73="","",N('THÁNG 6'!$R73))</f>
        <v/>
      </c>
      <c r="P66" s="0" t="str">
        <f aca="false">IF(OR('THÁNG 6'!$C73="",'THÁNG 6'!$T73=""),"",'THÁNG 6'!$T73)</f>
        <v/>
      </c>
      <c r="Q66" s="0" t="str">
        <f aca="false">IF(OR('THÁNG 6'!$C73="",'THÁNG 6'!$U73=""),"",'THÁNG 6'!$U73)</f>
        <v/>
      </c>
      <c r="R66" s="0" t="str">
        <f aca="false">IF('THÁNG 6'!$C73="","",'THÁNG 6'!$W73&amp;"")</f>
        <v/>
      </c>
      <c r="S66" s="0" t="str">
        <f aca="false">IF('THÁNG 6'!$C73="","",'THÁNG 6'!$S73&amp;"")</f>
        <v/>
      </c>
      <c r="T66" s="0" t="str">
        <f aca="false">IF(N($O66)&gt;0,COUNTIF($O$3:$O66,"&gt;0"),"")</f>
        <v/>
      </c>
      <c r="U66" s="0" t="str">
        <f aca="false">IF(AND(N($J66)&gt;0,N($K66)&gt;0),COUNTIFS($J$3:$J66,"&gt;0",$K$3:$K66,"&gt;0"),"")</f>
        <v/>
      </c>
      <c r="V66" s="0" t="str">
        <f aca="false">IF(AND(N($J66)&gt;0,N($K66)=0),COUNTIFS($J$3:$J66,"&gt;0",$K$3:$K66,"&lt;=0"),"")</f>
        <v/>
      </c>
      <c r="W66" s="0" t="str">
        <f aca="false">IF($C66="","",IF(COUNTIF($C$3:$C66,$C66)&gt;1,"",MAX($W$2:W65)+1))</f>
        <v/>
      </c>
      <c r="X66" s="0" t="str">
        <f aca="false">IF($H66="","",IF(COUNTIF($H$3:$H66,$H66)&gt;1,"",MAX($X$2:X65)+1))</f>
        <v/>
      </c>
      <c r="Y66" s="0" t="str">
        <f aca="false">IF(AND(N($M66)&gt;0,N($O66)&lt;=0),COUNTIFS($M$3:$M66,"&gt;0",$O$3:$O66,"&lt;=0"),"")</f>
        <v/>
      </c>
      <c r="Z66" s="30" t="n">
        <f aca="false">IF(OR('THÁNG 6'!$C73="",'THÁNG 6'!$B73=""),0,'THÁNG 6'!$B73)</f>
        <v>0</v>
      </c>
    </row>
    <row r="67" customFormat="false" ht="15" hidden="false" customHeight="false" outlineLevel="0" collapsed="false">
      <c r="A67" s="0" t="n">
        <v>6</v>
      </c>
      <c r="B67" s="29" t="str">
        <f aca="false">IF(OR('THÁNG 6'!$C74="",'THÁNG 6'!$B74=""),"",'THÁNG 6'!$B74)</f>
        <v/>
      </c>
      <c r="C67" s="0" t="str">
        <f aca="false">IF('THÁNG 6'!$C74="","",'THÁNG 6'!$C74)</f>
        <v/>
      </c>
      <c r="D67" s="0" t="str">
        <f aca="false">IF('THÁNG 6'!$C74="","",'THÁNG 6'!$D74&amp;"")</f>
        <v/>
      </c>
      <c r="E67" s="0" t="str">
        <f aca="false">IF('THÁNG 6'!$C74="","",'THÁNG 6'!$E74&amp;"")</f>
        <v/>
      </c>
      <c r="F67" s="0" t="str">
        <f aca="false">IF('THÁNG 6'!$C74="","",'THÁNG 6'!$F74&amp;"")</f>
        <v/>
      </c>
      <c r="G67" s="0" t="str">
        <f aca="false">IF('THÁNG 6'!$C74="","",'THÁNG 6'!$G74&amp;"")</f>
        <v/>
      </c>
      <c r="H67" s="0" t="str">
        <f aca="false">IF('THÁNG 6'!$C74="","",'THÁNG 6'!$H74&amp;"")</f>
        <v/>
      </c>
      <c r="I67" s="0" t="str">
        <f aca="false">IF('THÁNG 6'!$C74="","",N('THÁNG 6'!$I74))</f>
        <v/>
      </c>
      <c r="J67" s="0" t="str">
        <f aca="false">IF('THÁNG 6'!$C74="","",N('THÁNG 6'!$L74))</f>
        <v/>
      </c>
      <c r="K67" s="0" t="str">
        <f aca="false">IF('THÁNG 6'!$C74="","",N('THÁNG 6'!$N74))</f>
        <v/>
      </c>
      <c r="L67" s="0" t="str">
        <f aca="false">IF('THÁNG 6'!$C74="","",N('THÁNG 6'!$O74))</f>
        <v/>
      </c>
      <c r="M67" s="0" t="str">
        <f aca="false">IF('THÁNG 6'!$C74="","",N('THÁNG 6'!$P74))</f>
        <v/>
      </c>
      <c r="N67" s="0" t="str">
        <f aca="false">IF('THÁNG 6'!$C74="","",N('THÁNG 6'!$Q74))</f>
        <v/>
      </c>
      <c r="O67" s="0" t="str">
        <f aca="false">IF('THÁNG 6'!$C74="","",N('THÁNG 6'!$R74))</f>
        <v/>
      </c>
      <c r="P67" s="0" t="str">
        <f aca="false">IF(OR('THÁNG 6'!$C74="",'THÁNG 6'!$T74=""),"",'THÁNG 6'!$T74)</f>
        <v/>
      </c>
      <c r="Q67" s="0" t="str">
        <f aca="false">IF(OR('THÁNG 6'!$C74="",'THÁNG 6'!$U74=""),"",'THÁNG 6'!$U74)</f>
        <v/>
      </c>
      <c r="R67" s="0" t="str">
        <f aca="false">IF('THÁNG 6'!$C74="","",'THÁNG 6'!$W74&amp;"")</f>
        <v/>
      </c>
      <c r="S67" s="0" t="str">
        <f aca="false">IF('THÁNG 6'!$C74="","",'THÁNG 6'!$S74&amp;"")</f>
        <v/>
      </c>
      <c r="T67" s="0" t="str">
        <f aca="false">IF(N($O67)&gt;0,COUNTIF($O$3:$O67,"&gt;0"),"")</f>
        <v/>
      </c>
      <c r="U67" s="0" t="str">
        <f aca="false">IF(AND(N($J67)&gt;0,N($K67)&gt;0),COUNTIFS($J$3:$J67,"&gt;0",$K$3:$K67,"&gt;0"),"")</f>
        <v/>
      </c>
      <c r="V67" s="0" t="str">
        <f aca="false">IF(AND(N($J67)&gt;0,N($K67)=0),COUNTIFS($J$3:$J67,"&gt;0",$K$3:$K67,"&lt;=0"),"")</f>
        <v/>
      </c>
      <c r="W67" s="0" t="str">
        <f aca="false">IF($C67="","",IF(COUNTIF($C$3:$C67,$C67)&gt;1,"",MAX($W$2:W66)+1))</f>
        <v/>
      </c>
      <c r="X67" s="0" t="str">
        <f aca="false">IF($H67="","",IF(COUNTIF($H$3:$H67,$H67)&gt;1,"",MAX($X$2:X66)+1))</f>
        <v/>
      </c>
      <c r="Y67" s="0" t="str">
        <f aca="false">IF(AND(N($M67)&gt;0,N($O67)&lt;=0),COUNTIFS($M$3:$M67,"&gt;0",$O$3:$O67,"&lt;=0"),"")</f>
        <v/>
      </c>
      <c r="Z67" s="30" t="n">
        <f aca="false">IF(OR('THÁNG 6'!$C74="",'THÁNG 6'!$B74=""),0,'THÁNG 6'!$B74)</f>
        <v>0</v>
      </c>
    </row>
    <row r="68" customFormat="false" ht="15" hidden="false" customHeight="false" outlineLevel="0" collapsed="false">
      <c r="A68" s="0" t="n">
        <v>6</v>
      </c>
      <c r="B68" s="29" t="str">
        <f aca="false">IF(OR('THÁNG 6'!$C75="",'THÁNG 6'!$B75=""),"",'THÁNG 6'!$B75)</f>
        <v/>
      </c>
      <c r="C68" s="0" t="str">
        <f aca="false">IF('THÁNG 6'!$C75="","",'THÁNG 6'!$C75)</f>
        <v/>
      </c>
      <c r="D68" s="0" t="str">
        <f aca="false">IF('THÁNG 6'!$C75="","",'THÁNG 6'!$D75&amp;"")</f>
        <v/>
      </c>
      <c r="E68" s="0" t="str">
        <f aca="false">IF('THÁNG 6'!$C75="","",'THÁNG 6'!$E75&amp;"")</f>
        <v/>
      </c>
      <c r="F68" s="0" t="str">
        <f aca="false">IF('THÁNG 6'!$C75="","",'THÁNG 6'!$F75&amp;"")</f>
        <v/>
      </c>
      <c r="G68" s="0" t="str">
        <f aca="false">IF('THÁNG 6'!$C75="","",'THÁNG 6'!$G75&amp;"")</f>
        <v/>
      </c>
      <c r="H68" s="0" t="str">
        <f aca="false">IF('THÁNG 6'!$C75="","",'THÁNG 6'!$H75&amp;"")</f>
        <v/>
      </c>
      <c r="I68" s="0" t="str">
        <f aca="false">IF('THÁNG 6'!$C75="","",N('THÁNG 6'!$I75))</f>
        <v/>
      </c>
      <c r="J68" s="0" t="str">
        <f aca="false">IF('THÁNG 6'!$C75="","",N('THÁNG 6'!$L75))</f>
        <v/>
      </c>
      <c r="K68" s="0" t="str">
        <f aca="false">IF('THÁNG 6'!$C75="","",N('THÁNG 6'!$N75))</f>
        <v/>
      </c>
      <c r="L68" s="0" t="str">
        <f aca="false">IF('THÁNG 6'!$C75="","",N('THÁNG 6'!$O75))</f>
        <v/>
      </c>
      <c r="M68" s="0" t="str">
        <f aca="false">IF('THÁNG 6'!$C75="","",N('THÁNG 6'!$P75))</f>
        <v/>
      </c>
      <c r="N68" s="0" t="str">
        <f aca="false">IF('THÁNG 6'!$C75="","",N('THÁNG 6'!$Q75))</f>
        <v/>
      </c>
      <c r="O68" s="0" t="str">
        <f aca="false">IF('THÁNG 6'!$C75="","",N('THÁNG 6'!$R75))</f>
        <v/>
      </c>
      <c r="P68" s="0" t="str">
        <f aca="false">IF(OR('THÁNG 6'!$C75="",'THÁNG 6'!$T75=""),"",'THÁNG 6'!$T75)</f>
        <v/>
      </c>
      <c r="Q68" s="0" t="str">
        <f aca="false">IF(OR('THÁNG 6'!$C75="",'THÁNG 6'!$U75=""),"",'THÁNG 6'!$U75)</f>
        <v/>
      </c>
      <c r="R68" s="0" t="str">
        <f aca="false">IF('THÁNG 6'!$C75="","",'THÁNG 6'!$W75&amp;"")</f>
        <v/>
      </c>
      <c r="S68" s="0" t="str">
        <f aca="false">IF('THÁNG 6'!$C75="","",'THÁNG 6'!$S75&amp;"")</f>
        <v/>
      </c>
      <c r="T68" s="0" t="str">
        <f aca="false">IF(N($O68)&gt;0,COUNTIF($O$3:$O68,"&gt;0"),"")</f>
        <v/>
      </c>
      <c r="U68" s="0" t="str">
        <f aca="false">IF(AND(N($J68)&gt;0,N($K68)&gt;0),COUNTIFS($J$3:$J68,"&gt;0",$K$3:$K68,"&gt;0"),"")</f>
        <v/>
      </c>
      <c r="V68" s="0" t="str">
        <f aca="false">IF(AND(N($J68)&gt;0,N($K68)=0),COUNTIFS($J$3:$J68,"&gt;0",$K$3:$K68,"&lt;=0"),"")</f>
        <v/>
      </c>
      <c r="W68" s="0" t="str">
        <f aca="false">IF($C68="","",IF(COUNTIF($C$3:$C68,$C68)&gt;1,"",MAX($W$2:W67)+1))</f>
        <v/>
      </c>
      <c r="X68" s="0" t="str">
        <f aca="false">IF($H68="","",IF(COUNTIF($H$3:$H68,$H68)&gt;1,"",MAX($X$2:X67)+1))</f>
        <v/>
      </c>
      <c r="Y68" s="0" t="str">
        <f aca="false">IF(AND(N($M68)&gt;0,N($O68)&lt;=0),COUNTIFS($M$3:$M68,"&gt;0",$O$3:$O68,"&lt;=0"),"")</f>
        <v/>
      </c>
      <c r="Z68" s="30" t="n">
        <f aca="false">IF(OR('THÁNG 6'!$C75="",'THÁNG 6'!$B75=""),0,'THÁNG 6'!$B75)</f>
        <v>0</v>
      </c>
    </row>
    <row r="69" customFormat="false" ht="15" hidden="false" customHeight="false" outlineLevel="0" collapsed="false">
      <c r="A69" s="0" t="n">
        <v>6</v>
      </c>
      <c r="B69" s="29" t="str">
        <f aca="false">IF(OR('THÁNG 6'!$C76="",'THÁNG 6'!$B76=""),"",'THÁNG 6'!$B76)</f>
        <v/>
      </c>
      <c r="C69" s="0" t="str">
        <f aca="false">IF('THÁNG 6'!$C76="","",'THÁNG 6'!$C76)</f>
        <v/>
      </c>
      <c r="D69" s="0" t="str">
        <f aca="false">IF('THÁNG 6'!$C76="","",'THÁNG 6'!$D76&amp;"")</f>
        <v/>
      </c>
      <c r="E69" s="0" t="str">
        <f aca="false">IF('THÁNG 6'!$C76="","",'THÁNG 6'!$E76&amp;"")</f>
        <v/>
      </c>
      <c r="F69" s="0" t="str">
        <f aca="false">IF('THÁNG 6'!$C76="","",'THÁNG 6'!$F76&amp;"")</f>
        <v/>
      </c>
      <c r="G69" s="0" t="str">
        <f aca="false">IF('THÁNG 6'!$C76="","",'THÁNG 6'!$G76&amp;"")</f>
        <v/>
      </c>
      <c r="H69" s="0" t="str">
        <f aca="false">IF('THÁNG 6'!$C76="","",'THÁNG 6'!$H76&amp;"")</f>
        <v/>
      </c>
      <c r="I69" s="0" t="str">
        <f aca="false">IF('THÁNG 6'!$C76="","",N('THÁNG 6'!$I76))</f>
        <v/>
      </c>
      <c r="J69" s="0" t="str">
        <f aca="false">IF('THÁNG 6'!$C76="","",N('THÁNG 6'!$L76))</f>
        <v/>
      </c>
      <c r="K69" s="0" t="str">
        <f aca="false">IF('THÁNG 6'!$C76="","",N('THÁNG 6'!$N76))</f>
        <v/>
      </c>
      <c r="L69" s="0" t="str">
        <f aca="false">IF('THÁNG 6'!$C76="","",N('THÁNG 6'!$O76))</f>
        <v/>
      </c>
      <c r="M69" s="0" t="str">
        <f aca="false">IF('THÁNG 6'!$C76="","",N('THÁNG 6'!$P76))</f>
        <v/>
      </c>
      <c r="N69" s="0" t="str">
        <f aca="false">IF('THÁNG 6'!$C76="","",N('THÁNG 6'!$Q76))</f>
        <v/>
      </c>
      <c r="O69" s="0" t="str">
        <f aca="false">IF('THÁNG 6'!$C76="","",N('THÁNG 6'!$R76))</f>
        <v/>
      </c>
      <c r="P69" s="0" t="str">
        <f aca="false">IF(OR('THÁNG 6'!$C76="",'THÁNG 6'!$T76=""),"",'THÁNG 6'!$T76)</f>
        <v/>
      </c>
      <c r="Q69" s="0" t="str">
        <f aca="false">IF(OR('THÁNG 6'!$C76="",'THÁNG 6'!$U76=""),"",'THÁNG 6'!$U76)</f>
        <v/>
      </c>
      <c r="R69" s="0" t="str">
        <f aca="false">IF('THÁNG 6'!$C76="","",'THÁNG 6'!$W76&amp;"")</f>
        <v/>
      </c>
      <c r="S69" s="0" t="str">
        <f aca="false">IF('THÁNG 6'!$C76="","",'THÁNG 6'!$S76&amp;"")</f>
        <v/>
      </c>
      <c r="T69" s="0" t="str">
        <f aca="false">IF(N($O69)&gt;0,COUNTIF($O$3:$O69,"&gt;0"),"")</f>
        <v/>
      </c>
      <c r="U69" s="0" t="str">
        <f aca="false">IF(AND(N($J69)&gt;0,N($K69)&gt;0),COUNTIFS($J$3:$J69,"&gt;0",$K$3:$K69,"&gt;0"),"")</f>
        <v/>
      </c>
      <c r="V69" s="0" t="str">
        <f aca="false">IF(AND(N($J69)&gt;0,N($K69)=0),COUNTIFS($J$3:$J69,"&gt;0",$K$3:$K69,"&lt;=0"),"")</f>
        <v/>
      </c>
      <c r="W69" s="0" t="str">
        <f aca="false">IF($C69="","",IF(COUNTIF($C$3:$C69,$C69)&gt;1,"",MAX($W$2:W68)+1))</f>
        <v/>
      </c>
      <c r="X69" s="0" t="str">
        <f aca="false">IF($H69="","",IF(COUNTIF($H$3:$H69,$H69)&gt;1,"",MAX($X$2:X68)+1))</f>
        <v/>
      </c>
      <c r="Y69" s="0" t="str">
        <f aca="false">IF(AND(N($M69)&gt;0,N($O69)&lt;=0),COUNTIFS($M$3:$M69,"&gt;0",$O$3:$O69,"&lt;=0"),"")</f>
        <v/>
      </c>
      <c r="Z69" s="30" t="n">
        <f aca="false">IF(OR('THÁNG 6'!$C76="",'THÁNG 6'!$B76=""),0,'THÁNG 6'!$B76)</f>
        <v>0</v>
      </c>
    </row>
    <row r="70" customFormat="false" ht="15" hidden="false" customHeight="false" outlineLevel="0" collapsed="false">
      <c r="A70" s="0" t="n">
        <v>6</v>
      </c>
      <c r="B70" s="29" t="str">
        <f aca="false">IF(OR('THÁNG 6'!$C77="",'THÁNG 6'!$B77=""),"",'THÁNG 6'!$B77)</f>
        <v/>
      </c>
      <c r="C70" s="0" t="str">
        <f aca="false">IF('THÁNG 6'!$C77="","",'THÁNG 6'!$C77)</f>
        <v/>
      </c>
      <c r="D70" s="0" t="str">
        <f aca="false">IF('THÁNG 6'!$C77="","",'THÁNG 6'!$D77&amp;"")</f>
        <v/>
      </c>
      <c r="E70" s="0" t="str">
        <f aca="false">IF('THÁNG 6'!$C77="","",'THÁNG 6'!$E77&amp;"")</f>
        <v/>
      </c>
      <c r="F70" s="0" t="str">
        <f aca="false">IF('THÁNG 6'!$C77="","",'THÁNG 6'!$F77&amp;"")</f>
        <v/>
      </c>
      <c r="G70" s="0" t="str">
        <f aca="false">IF('THÁNG 6'!$C77="","",'THÁNG 6'!$G77&amp;"")</f>
        <v/>
      </c>
      <c r="H70" s="0" t="str">
        <f aca="false">IF('THÁNG 6'!$C77="","",'THÁNG 6'!$H77&amp;"")</f>
        <v/>
      </c>
      <c r="I70" s="0" t="str">
        <f aca="false">IF('THÁNG 6'!$C77="","",N('THÁNG 6'!$I77))</f>
        <v/>
      </c>
      <c r="J70" s="0" t="str">
        <f aca="false">IF('THÁNG 6'!$C77="","",N('THÁNG 6'!$L77))</f>
        <v/>
      </c>
      <c r="K70" s="0" t="str">
        <f aca="false">IF('THÁNG 6'!$C77="","",N('THÁNG 6'!$N77))</f>
        <v/>
      </c>
      <c r="L70" s="0" t="str">
        <f aca="false">IF('THÁNG 6'!$C77="","",N('THÁNG 6'!$O77))</f>
        <v/>
      </c>
      <c r="M70" s="0" t="str">
        <f aca="false">IF('THÁNG 6'!$C77="","",N('THÁNG 6'!$P77))</f>
        <v/>
      </c>
      <c r="N70" s="0" t="str">
        <f aca="false">IF('THÁNG 6'!$C77="","",N('THÁNG 6'!$Q77))</f>
        <v/>
      </c>
      <c r="O70" s="0" t="str">
        <f aca="false">IF('THÁNG 6'!$C77="","",N('THÁNG 6'!$R77))</f>
        <v/>
      </c>
      <c r="P70" s="0" t="str">
        <f aca="false">IF(OR('THÁNG 6'!$C77="",'THÁNG 6'!$T77=""),"",'THÁNG 6'!$T77)</f>
        <v/>
      </c>
      <c r="Q70" s="0" t="str">
        <f aca="false">IF(OR('THÁNG 6'!$C77="",'THÁNG 6'!$U77=""),"",'THÁNG 6'!$U77)</f>
        <v/>
      </c>
      <c r="R70" s="0" t="str">
        <f aca="false">IF('THÁNG 6'!$C77="","",'THÁNG 6'!$W77&amp;"")</f>
        <v/>
      </c>
      <c r="S70" s="0" t="str">
        <f aca="false">IF('THÁNG 6'!$C77="","",'THÁNG 6'!$S77&amp;"")</f>
        <v/>
      </c>
      <c r="T70" s="0" t="str">
        <f aca="false">IF(N($O70)&gt;0,COUNTIF($O$3:$O70,"&gt;0"),"")</f>
        <v/>
      </c>
      <c r="U70" s="0" t="str">
        <f aca="false">IF(AND(N($J70)&gt;0,N($K70)&gt;0),COUNTIFS($J$3:$J70,"&gt;0",$K$3:$K70,"&gt;0"),"")</f>
        <v/>
      </c>
      <c r="V70" s="0" t="str">
        <f aca="false">IF(AND(N($J70)&gt;0,N($K70)=0),COUNTIFS($J$3:$J70,"&gt;0",$K$3:$K70,"&lt;=0"),"")</f>
        <v/>
      </c>
      <c r="W70" s="0" t="str">
        <f aca="false">IF($C70="","",IF(COUNTIF($C$3:$C70,$C70)&gt;1,"",MAX($W$2:W69)+1))</f>
        <v/>
      </c>
      <c r="X70" s="0" t="str">
        <f aca="false">IF($H70="","",IF(COUNTIF($H$3:$H70,$H70)&gt;1,"",MAX($X$2:X69)+1))</f>
        <v/>
      </c>
      <c r="Y70" s="0" t="str">
        <f aca="false">IF(AND(N($M70)&gt;0,N($O70)&lt;=0),COUNTIFS($M$3:$M70,"&gt;0",$O$3:$O70,"&lt;=0"),"")</f>
        <v/>
      </c>
      <c r="Z70" s="30" t="n">
        <f aca="false">IF(OR('THÁNG 6'!$C77="",'THÁNG 6'!$B77=""),0,'THÁNG 6'!$B77)</f>
        <v>0</v>
      </c>
    </row>
    <row r="71" customFormat="false" ht="15" hidden="false" customHeight="false" outlineLevel="0" collapsed="false">
      <c r="A71" s="0" t="n">
        <v>6</v>
      </c>
      <c r="B71" s="29" t="str">
        <f aca="false">IF(OR('THÁNG 6'!$C78="",'THÁNG 6'!$B78=""),"",'THÁNG 6'!$B78)</f>
        <v/>
      </c>
      <c r="C71" s="0" t="str">
        <f aca="false">IF('THÁNG 6'!$C78="","",'THÁNG 6'!$C78)</f>
        <v/>
      </c>
      <c r="D71" s="0" t="str">
        <f aca="false">IF('THÁNG 6'!$C78="","",'THÁNG 6'!$D78&amp;"")</f>
        <v/>
      </c>
      <c r="E71" s="0" t="str">
        <f aca="false">IF('THÁNG 6'!$C78="","",'THÁNG 6'!$E78&amp;"")</f>
        <v/>
      </c>
      <c r="F71" s="0" t="str">
        <f aca="false">IF('THÁNG 6'!$C78="","",'THÁNG 6'!$F78&amp;"")</f>
        <v/>
      </c>
      <c r="G71" s="0" t="str">
        <f aca="false">IF('THÁNG 6'!$C78="","",'THÁNG 6'!$G78&amp;"")</f>
        <v/>
      </c>
      <c r="H71" s="0" t="str">
        <f aca="false">IF('THÁNG 6'!$C78="","",'THÁNG 6'!$H78&amp;"")</f>
        <v/>
      </c>
      <c r="I71" s="0" t="str">
        <f aca="false">IF('THÁNG 6'!$C78="","",N('THÁNG 6'!$I78))</f>
        <v/>
      </c>
      <c r="J71" s="0" t="str">
        <f aca="false">IF('THÁNG 6'!$C78="","",N('THÁNG 6'!$L78))</f>
        <v/>
      </c>
      <c r="K71" s="0" t="str">
        <f aca="false">IF('THÁNG 6'!$C78="","",N('THÁNG 6'!$N78))</f>
        <v/>
      </c>
      <c r="L71" s="0" t="str">
        <f aca="false">IF('THÁNG 6'!$C78="","",N('THÁNG 6'!$O78))</f>
        <v/>
      </c>
      <c r="M71" s="0" t="str">
        <f aca="false">IF('THÁNG 6'!$C78="","",N('THÁNG 6'!$P78))</f>
        <v/>
      </c>
      <c r="N71" s="0" t="str">
        <f aca="false">IF('THÁNG 6'!$C78="","",N('THÁNG 6'!$Q78))</f>
        <v/>
      </c>
      <c r="O71" s="0" t="str">
        <f aca="false">IF('THÁNG 6'!$C78="","",N('THÁNG 6'!$R78))</f>
        <v/>
      </c>
      <c r="P71" s="0" t="str">
        <f aca="false">IF(OR('THÁNG 6'!$C78="",'THÁNG 6'!$T78=""),"",'THÁNG 6'!$T78)</f>
        <v/>
      </c>
      <c r="Q71" s="0" t="str">
        <f aca="false">IF(OR('THÁNG 6'!$C78="",'THÁNG 6'!$U78=""),"",'THÁNG 6'!$U78)</f>
        <v/>
      </c>
      <c r="R71" s="0" t="str">
        <f aca="false">IF('THÁNG 6'!$C78="","",'THÁNG 6'!$W78&amp;"")</f>
        <v/>
      </c>
      <c r="S71" s="0" t="str">
        <f aca="false">IF('THÁNG 6'!$C78="","",'THÁNG 6'!$S78&amp;"")</f>
        <v/>
      </c>
      <c r="T71" s="0" t="str">
        <f aca="false">IF(N($O71)&gt;0,COUNTIF($O$3:$O71,"&gt;0"),"")</f>
        <v/>
      </c>
      <c r="U71" s="0" t="str">
        <f aca="false">IF(AND(N($J71)&gt;0,N($K71)&gt;0),COUNTIFS($J$3:$J71,"&gt;0",$K$3:$K71,"&gt;0"),"")</f>
        <v/>
      </c>
      <c r="V71" s="0" t="str">
        <f aca="false">IF(AND(N($J71)&gt;0,N($K71)=0),COUNTIFS($J$3:$J71,"&gt;0",$K$3:$K71,"&lt;=0"),"")</f>
        <v/>
      </c>
      <c r="W71" s="0" t="str">
        <f aca="false">IF($C71="","",IF(COUNTIF($C$3:$C71,$C71)&gt;1,"",MAX($W$2:W70)+1))</f>
        <v/>
      </c>
      <c r="X71" s="0" t="str">
        <f aca="false">IF($H71="","",IF(COUNTIF($H$3:$H71,$H71)&gt;1,"",MAX($X$2:X70)+1))</f>
        <v/>
      </c>
      <c r="Y71" s="0" t="str">
        <f aca="false">IF(AND(N($M71)&gt;0,N($O71)&lt;=0),COUNTIFS($M$3:$M71,"&gt;0",$O$3:$O71,"&lt;=0"),"")</f>
        <v/>
      </c>
      <c r="Z71" s="30" t="n">
        <f aca="false">IF(OR('THÁNG 6'!$C78="",'THÁNG 6'!$B78=""),0,'THÁNG 6'!$B78)</f>
        <v>0</v>
      </c>
    </row>
    <row r="72" customFormat="false" ht="15" hidden="false" customHeight="false" outlineLevel="0" collapsed="false">
      <c r="A72" s="0" t="n">
        <v>6</v>
      </c>
      <c r="B72" s="29" t="str">
        <f aca="false">IF(OR('THÁNG 6'!$C79="",'THÁNG 6'!$B79=""),"",'THÁNG 6'!$B79)</f>
        <v/>
      </c>
      <c r="C72" s="0" t="str">
        <f aca="false">IF('THÁNG 6'!$C79="","",'THÁNG 6'!$C79)</f>
        <v/>
      </c>
      <c r="D72" s="0" t="str">
        <f aca="false">IF('THÁNG 6'!$C79="","",'THÁNG 6'!$D79&amp;"")</f>
        <v/>
      </c>
      <c r="E72" s="0" t="str">
        <f aca="false">IF('THÁNG 6'!$C79="","",'THÁNG 6'!$E79&amp;"")</f>
        <v/>
      </c>
      <c r="F72" s="0" t="str">
        <f aca="false">IF('THÁNG 6'!$C79="","",'THÁNG 6'!$F79&amp;"")</f>
        <v/>
      </c>
      <c r="G72" s="0" t="str">
        <f aca="false">IF('THÁNG 6'!$C79="","",'THÁNG 6'!$G79&amp;"")</f>
        <v/>
      </c>
      <c r="H72" s="0" t="str">
        <f aca="false">IF('THÁNG 6'!$C79="","",'THÁNG 6'!$H79&amp;"")</f>
        <v/>
      </c>
      <c r="I72" s="0" t="str">
        <f aca="false">IF('THÁNG 6'!$C79="","",N('THÁNG 6'!$I79))</f>
        <v/>
      </c>
      <c r="J72" s="0" t="str">
        <f aca="false">IF('THÁNG 6'!$C79="","",N('THÁNG 6'!$L79))</f>
        <v/>
      </c>
      <c r="K72" s="0" t="str">
        <f aca="false">IF('THÁNG 6'!$C79="","",N('THÁNG 6'!$N79))</f>
        <v/>
      </c>
      <c r="L72" s="0" t="str">
        <f aca="false">IF('THÁNG 6'!$C79="","",N('THÁNG 6'!$O79))</f>
        <v/>
      </c>
      <c r="M72" s="0" t="str">
        <f aca="false">IF('THÁNG 6'!$C79="","",N('THÁNG 6'!$P79))</f>
        <v/>
      </c>
      <c r="N72" s="0" t="str">
        <f aca="false">IF('THÁNG 6'!$C79="","",N('THÁNG 6'!$Q79))</f>
        <v/>
      </c>
      <c r="O72" s="0" t="str">
        <f aca="false">IF('THÁNG 6'!$C79="","",N('THÁNG 6'!$R79))</f>
        <v/>
      </c>
      <c r="P72" s="0" t="str">
        <f aca="false">IF(OR('THÁNG 6'!$C79="",'THÁNG 6'!$T79=""),"",'THÁNG 6'!$T79)</f>
        <v/>
      </c>
      <c r="Q72" s="0" t="str">
        <f aca="false">IF(OR('THÁNG 6'!$C79="",'THÁNG 6'!$U79=""),"",'THÁNG 6'!$U79)</f>
        <v/>
      </c>
      <c r="R72" s="0" t="str">
        <f aca="false">IF('THÁNG 6'!$C79="","",'THÁNG 6'!$W79&amp;"")</f>
        <v/>
      </c>
      <c r="S72" s="0" t="str">
        <f aca="false">IF('THÁNG 6'!$C79="","",'THÁNG 6'!$S79&amp;"")</f>
        <v/>
      </c>
      <c r="T72" s="0" t="str">
        <f aca="false">IF(N($O72)&gt;0,COUNTIF($O$3:$O72,"&gt;0"),"")</f>
        <v/>
      </c>
      <c r="U72" s="0" t="str">
        <f aca="false">IF(AND(N($J72)&gt;0,N($K72)&gt;0),COUNTIFS($J$3:$J72,"&gt;0",$K$3:$K72,"&gt;0"),"")</f>
        <v/>
      </c>
      <c r="V72" s="0" t="str">
        <f aca="false">IF(AND(N($J72)&gt;0,N($K72)=0),COUNTIFS($J$3:$J72,"&gt;0",$K$3:$K72,"&lt;=0"),"")</f>
        <v/>
      </c>
      <c r="W72" s="0" t="str">
        <f aca="false">IF($C72="","",IF(COUNTIF($C$3:$C72,$C72)&gt;1,"",MAX($W$2:W71)+1))</f>
        <v/>
      </c>
      <c r="X72" s="0" t="str">
        <f aca="false">IF($H72="","",IF(COUNTIF($H$3:$H72,$H72)&gt;1,"",MAX($X$2:X71)+1))</f>
        <v/>
      </c>
      <c r="Y72" s="0" t="str">
        <f aca="false">IF(AND(N($M72)&gt;0,N($O72)&lt;=0),COUNTIFS($M$3:$M72,"&gt;0",$O$3:$O72,"&lt;=0"),"")</f>
        <v/>
      </c>
      <c r="Z72" s="30" t="n">
        <f aca="false">IF(OR('THÁNG 6'!$C79="",'THÁNG 6'!$B79=""),0,'THÁNG 6'!$B79)</f>
        <v>0</v>
      </c>
    </row>
    <row r="73" customFormat="false" ht="15" hidden="false" customHeight="false" outlineLevel="0" collapsed="false">
      <c r="A73" s="0" t="n">
        <v>6</v>
      </c>
      <c r="B73" s="29" t="str">
        <f aca="false">IF(OR('THÁNG 6'!$C80="",'THÁNG 6'!$B80=""),"",'THÁNG 6'!$B80)</f>
        <v/>
      </c>
      <c r="C73" s="0" t="str">
        <f aca="false">IF('THÁNG 6'!$C80="","",'THÁNG 6'!$C80)</f>
        <v/>
      </c>
      <c r="D73" s="0" t="str">
        <f aca="false">IF('THÁNG 6'!$C80="","",'THÁNG 6'!$D80&amp;"")</f>
        <v/>
      </c>
      <c r="E73" s="0" t="str">
        <f aca="false">IF('THÁNG 6'!$C80="","",'THÁNG 6'!$E80&amp;"")</f>
        <v/>
      </c>
      <c r="F73" s="0" t="str">
        <f aca="false">IF('THÁNG 6'!$C80="","",'THÁNG 6'!$F80&amp;"")</f>
        <v/>
      </c>
      <c r="G73" s="0" t="str">
        <f aca="false">IF('THÁNG 6'!$C80="","",'THÁNG 6'!$G80&amp;"")</f>
        <v/>
      </c>
      <c r="H73" s="0" t="str">
        <f aca="false">IF('THÁNG 6'!$C80="","",'THÁNG 6'!$H80&amp;"")</f>
        <v/>
      </c>
      <c r="I73" s="0" t="str">
        <f aca="false">IF('THÁNG 6'!$C80="","",N('THÁNG 6'!$I80))</f>
        <v/>
      </c>
      <c r="J73" s="0" t="str">
        <f aca="false">IF('THÁNG 6'!$C80="","",N('THÁNG 6'!$L80))</f>
        <v/>
      </c>
      <c r="K73" s="0" t="str">
        <f aca="false">IF('THÁNG 6'!$C80="","",N('THÁNG 6'!$N80))</f>
        <v/>
      </c>
      <c r="L73" s="0" t="str">
        <f aca="false">IF('THÁNG 6'!$C80="","",N('THÁNG 6'!$O80))</f>
        <v/>
      </c>
      <c r="M73" s="0" t="str">
        <f aca="false">IF('THÁNG 6'!$C80="","",N('THÁNG 6'!$P80))</f>
        <v/>
      </c>
      <c r="N73" s="0" t="str">
        <f aca="false">IF('THÁNG 6'!$C80="","",N('THÁNG 6'!$Q80))</f>
        <v/>
      </c>
      <c r="O73" s="0" t="str">
        <f aca="false">IF('THÁNG 6'!$C80="","",N('THÁNG 6'!$R80))</f>
        <v/>
      </c>
      <c r="P73" s="0" t="str">
        <f aca="false">IF(OR('THÁNG 6'!$C80="",'THÁNG 6'!$T80=""),"",'THÁNG 6'!$T80)</f>
        <v/>
      </c>
      <c r="Q73" s="0" t="str">
        <f aca="false">IF(OR('THÁNG 6'!$C80="",'THÁNG 6'!$U80=""),"",'THÁNG 6'!$U80)</f>
        <v/>
      </c>
      <c r="R73" s="0" t="str">
        <f aca="false">IF('THÁNG 6'!$C80="","",'THÁNG 6'!$W80&amp;"")</f>
        <v/>
      </c>
      <c r="S73" s="0" t="str">
        <f aca="false">IF('THÁNG 6'!$C80="","",'THÁNG 6'!$S80&amp;"")</f>
        <v/>
      </c>
      <c r="T73" s="0" t="str">
        <f aca="false">IF(N($O73)&gt;0,COUNTIF($O$3:$O73,"&gt;0"),"")</f>
        <v/>
      </c>
      <c r="U73" s="0" t="str">
        <f aca="false">IF(AND(N($J73)&gt;0,N($K73)&gt;0),COUNTIFS($J$3:$J73,"&gt;0",$K$3:$K73,"&gt;0"),"")</f>
        <v/>
      </c>
      <c r="V73" s="0" t="str">
        <f aca="false">IF(AND(N($J73)&gt;0,N($K73)=0),COUNTIFS($J$3:$J73,"&gt;0",$K$3:$K73,"&lt;=0"),"")</f>
        <v/>
      </c>
      <c r="W73" s="0" t="str">
        <f aca="false">IF($C73="","",IF(COUNTIF($C$3:$C73,$C73)&gt;1,"",MAX($W$2:W72)+1))</f>
        <v/>
      </c>
      <c r="X73" s="0" t="str">
        <f aca="false">IF($H73="","",IF(COUNTIF($H$3:$H73,$H73)&gt;1,"",MAX($X$2:X72)+1))</f>
        <v/>
      </c>
      <c r="Y73" s="0" t="str">
        <f aca="false">IF(AND(N($M73)&gt;0,N($O73)&lt;=0),COUNTIFS($M$3:$M73,"&gt;0",$O$3:$O73,"&lt;=0"),"")</f>
        <v/>
      </c>
      <c r="Z73" s="30" t="n">
        <f aca="false">IF(OR('THÁNG 6'!$C80="",'THÁNG 6'!$B80=""),0,'THÁNG 6'!$B80)</f>
        <v>0</v>
      </c>
    </row>
    <row r="74" customFormat="false" ht="15" hidden="false" customHeight="false" outlineLevel="0" collapsed="false">
      <c r="A74" s="0" t="n">
        <v>6</v>
      </c>
      <c r="B74" s="29" t="str">
        <f aca="false">IF(OR('THÁNG 6'!$C81="",'THÁNG 6'!$B81=""),"",'THÁNG 6'!$B81)</f>
        <v/>
      </c>
      <c r="C74" s="0" t="str">
        <f aca="false">IF('THÁNG 6'!$C81="","",'THÁNG 6'!$C81)</f>
        <v/>
      </c>
      <c r="D74" s="0" t="str">
        <f aca="false">IF('THÁNG 6'!$C81="","",'THÁNG 6'!$D81&amp;"")</f>
        <v/>
      </c>
      <c r="E74" s="0" t="str">
        <f aca="false">IF('THÁNG 6'!$C81="","",'THÁNG 6'!$E81&amp;"")</f>
        <v/>
      </c>
      <c r="F74" s="0" t="str">
        <f aca="false">IF('THÁNG 6'!$C81="","",'THÁNG 6'!$F81&amp;"")</f>
        <v/>
      </c>
      <c r="G74" s="0" t="str">
        <f aca="false">IF('THÁNG 6'!$C81="","",'THÁNG 6'!$G81&amp;"")</f>
        <v/>
      </c>
      <c r="H74" s="0" t="str">
        <f aca="false">IF('THÁNG 6'!$C81="","",'THÁNG 6'!$H81&amp;"")</f>
        <v/>
      </c>
      <c r="I74" s="0" t="str">
        <f aca="false">IF('THÁNG 6'!$C81="","",N('THÁNG 6'!$I81))</f>
        <v/>
      </c>
      <c r="J74" s="0" t="str">
        <f aca="false">IF('THÁNG 6'!$C81="","",N('THÁNG 6'!$L81))</f>
        <v/>
      </c>
      <c r="K74" s="0" t="str">
        <f aca="false">IF('THÁNG 6'!$C81="","",N('THÁNG 6'!$N81))</f>
        <v/>
      </c>
      <c r="L74" s="0" t="str">
        <f aca="false">IF('THÁNG 6'!$C81="","",N('THÁNG 6'!$O81))</f>
        <v/>
      </c>
      <c r="M74" s="0" t="str">
        <f aca="false">IF('THÁNG 6'!$C81="","",N('THÁNG 6'!$P81))</f>
        <v/>
      </c>
      <c r="N74" s="0" t="str">
        <f aca="false">IF('THÁNG 6'!$C81="","",N('THÁNG 6'!$Q81))</f>
        <v/>
      </c>
      <c r="O74" s="0" t="str">
        <f aca="false">IF('THÁNG 6'!$C81="","",N('THÁNG 6'!$R81))</f>
        <v/>
      </c>
      <c r="P74" s="0" t="str">
        <f aca="false">IF(OR('THÁNG 6'!$C81="",'THÁNG 6'!$T81=""),"",'THÁNG 6'!$T81)</f>
        <v/>
      </c>
      <c r="Q74" s="0" t="str">
        <f aca="false">IF(OR('THÁNG 6'!$C81="",'THÁNG 6'!$U81=""),"",'THÁNG 6'!$U81)</f>
        <v/>
      </c>
      <c r="R74" s="0" t="str">
        <f aca="false">IF('THÁNG 6'!$C81="","",'THÁNG 6'!$W81&amp;"")</f>
        <v/>
      </c>
      <c r="S74" s="0" t="str">
        <f aca="false">IF('THÁNG 6'!$C81="","",'THÁNG 6'!$S81&amp;"")</f>
        <v/>
      </c>
      <c r="T74" s="0" t="str">
        <f aca="false">IF(N($O74)&gt;0,COUNTIF($O$3:$O74,"&gt;0"),"")</f>
        <v/>
      </c>
      <c r="U74" s="0" t="str">
        <f aca="false">IF(AND(N($J74)&gt;0,N($K74)&gt;0),COUNTIFS($J$3:$J74,"&gt;0",$K$3:$K74,"&gt;0"),"")</f>
        <v/>
      </c>
      <c r="V74" s="0" t="str">
        <f aca="false">IF(AND(N($J74)&gt;0,N($K74)=0),COUNTIFS($J$3:$J74,"&gt;0",$K$3:$K74,"&lt;=0"),"")</f>
        <v/>
      </c>
      <c r="W74" s="0" t="str">
        <f aca="false">IF($C74="","",IF(COUNTIF($C$3:$C74,$C74)&gt;1,"",MAX($W$2:W73)+1))</f>
        <v/>
      </c>
      <c r="X74" s="0" t="str">
        <f aca="false">IF($H74="","",IF(COUNTIF($H$3:$H74,$H74)&gt;1,"",MAX($X$2:X73)+1))</f>
        <v/>
      </c>
      <c r="Y74" s="0" t="str">
        <f aca="false">IF(AND(N($M74)&gt;0,N($O74)&lt;=0),COUNTIFS($M$3:$M74,"&gt;0",$O$3:$O74,"&lt;=0"),"")</f>
        <v/>
      </c>
      <c r="Z74" s="30" t="n">
        <f aca="false">IF(OR('THÁNG 6'!$C81="",'THÁNG 6'!$B81=""),0,'THÁNG 6'!$B81)</f>
        <v>0</v>
      </c>
    </row>
    <row r="75" customFormat="false" ht="15" hidden="false" customHeight="false" outlineLevel="0" collapsed="false">
      <c r="A75" s="0" t="n">
        <v>6</v>
      </c>
      <c r="B75" s="29" t="str">
        <f aca="false">IF(OR('THÁNG 6'!$C82="",'THÁNG 6'!$B82=""),"",'THÁNG 6'!$B82)</f>
        <v/>
      </c>
      <c r="C75" s="0" t="str">
        <f aca="false">IF('THÁNG 6'!$C82="","",'THÁNG 6'!$C82)</f>
        <v/>
      </c>
      <c r="D75" s="0" t="str">
        <f aca="false">IF('THÁNG 6'!$C82="","",'THÁNG 6'!$D82&amp;"")</f>
        <v/>
      </c>
      <c r="E75" s="0" t="str">
        <f aca="false">IF('THÁNG 6'!$C82="","",'THÁNG 6'!$E82&amp;"")</f>
        <v/>
      </c>
      <c r="F75" s="0" t="str">
        <f aca="false">IF('THÁNG 6'!$C82="","",'THÁNG 6'!$F82&amp;"")</f>
        <v/>
      </c>
      <c r="G75" s="0" t="str">
        <f aca="false">IF('THÁNG 6'!$C82="","",'THÁNG 6'!$G82&amp;"")</f>
        <v/>
      </c>
      <c r="H75" s="0" t="str">
        <f aca="false">IF('THÁNG 6'!$C82="","",'THÁNG 6'!$H82&amp;"")</f>
        <v/>
      </c>
      <c r="I75" s="0" t="str">
        <f aca="false">IF('THÁNG 6'!$C82="","",N('THÁNG 6'!$I82))</f>
        <v/>
      </c>
      <c r="J75" s="0" t="str">
        <f aca="false">IF('THÁNG 6'!$C82="","",N('THÁNG 6'!$L82))</f>
        <v/>
      </c>
      <c r="K75" s="0" t="str">
        <f aca="false">IF('THÁNG 6'!$C82="","",N('THÁNG 6'!$N82))</f>
        <v/>
      </c>
      <c r="L75" s="0" t="str">
        <f aca="false">IF('THÁNG 6'!$C82="","",N('THÁNG 6'!$O82))</f>
        <v/>
      </c>
      <c r="M75" s="0" t="str">
        <f aca="false">IF('THÁNG 6'!$C82="","",N('THÁNG 6'!$P82))</f>
        <v/>
      </c>
      <c r="N75" s="0" t="str">
        <f aca="false">IF('THÁNG 6'!$C82="","",N('THÁNG 6'!$Q82))</f>
        <v/>
      </c>
      <c r="O75" s="0" t="str">
        <f aca="false">IF('THÁNG 6'!$C82="","",N('THÁNG 6'!$R82))</f>
        <v/>
      </c>
      <c r="P75" s="0" t="str">
        <f aca="false">IF(OR('THÁNG 6'!$C82="",'THÁNG 6'!$T82=""),"",'THÁNG 6'!$T82)</f>
        <v/>
      </c>
      <c r="Q75" s="0" t="str">
        <f aca="false">IF(OR('THÁNG 6'!$C82="",'THÁNG 6'!$U82=""),"",'THÁNG 6'!$U82)</f>
        <v/>
      </c>
      <c r="R75" s="0" t="str">
        <f aca="false">IF('THÁNG 6'!$C82="","",'THÁNG 6'!$W82&amp;"")</f>
        <v/>
      </c>
      <c r="S75" s="0" t="str">
        <f aca="false">IF('THÁNG 6'!$C82="","",'THÁNG 6'!$S82&amp;"")</f>
        <v/>
      </c>
      <c r="T75" s="0" t="str">
        <f aca="false">IF(N($O75)&gt;0,COUNTIF($O$3:$O75,"&gt;0"),"")</f>
        <v/>
      </c>
      <c r="U75" s="0" t="str">
        <f aca="false">IF(AND(N($J75)&gt;0,N($K75)&gt;0),COUNTIFS($J$3:$J75,"&gt;0",$K$3:$K75,"&gt;0"),"")</f>
        <v/>
      </c>
      <c r="V75" s="0" t="str">
        <f aca="false">IF(AND(N($J75)&gt;0,N($K75)=0),COUNTIFS($J$3:$J75,"&gt;0",$K$3:$K75,"&lt;=0"),"")</f>
        <v/>
      </c>
      <c r="W75" s="0" t="str">
        <f aca="false">IF($C75="","",IF(COUNTIF($C$3:$C75,$C75)&gt;1,"",MAX($W$2:W74)+1))</f>
        <v/>
      </c>
      <c r="X75" s="0" t="str">
        <f aca="false">IF($H75="","",IF(COUNTIF($H$3:$H75,$H75)&gt;1,"",MAX($X$2:X74)+1))</f>
        <v/>
      </c>
      <c r="Y75" s="0" t="str">
        <f aca="false">IF(AND(N($M75)&gt;0,N($O75)&lt;=0),COUNTIFS($M$3:$M75,"&gt;0",$O$3:$O75,"&lt;=0"),"")</f>
        <v/>
      </c>
      <c r="Z75" s="30" t="n">
        <f aca="false">IF(OR('THÁNG 6'!$C82="",'THÁNG 6'!$B82=""),0,'THÁNG 6'!$B82)</f>
        <v>0</v>
      </c>
    </row>
    <row r="76" customFormat="false" ht="15" hidden="false" customHeight="false" outlineLevel="0" collapsed="false">
      <c r="A76" s="0" t="n">
        <v>6</v>
      </c>
      <c r="B76" s="29" t="str">
        <f aca="false">IF(OR('THÁNG 6'!$C83="",'THÁNG 6'!$B83=""),"",'THÁNG 6'!$B83)</f>
        <v/>
      </c>
      <c r="C76" s="0" t="str">
        <f aca="false">IF('THÁNG 6'!$C83="","",'THÁNG 6'!$C83)</f>
        <v/>
      </c>
      <c r="D76" s="0" t="str">
        <f aca="false">IF('THÁNG 6'!$C83="","",'THÁNG 6'!$D83&amp;"")</f>
        <v/>
      </c>
      <c r="E76" s="0" t="str">
        <f aca="false">IF('THÁNG 6'!$C83="","",'THÁNG 6'!$E83&amp;"")</f>
        <v/>
      </c>
      <c r="F76" s="0" t="str">
        <f aca="false">IF('THÁNG 6'!$C83="","",'THÁNG 6'!$F83&amp;"")</f>
        <v/>
      </c>
      <c r="G76" s="0" t="str">
        <f aca="false">IF('THÁNG 6'!$C83="","",'THÁNG 6'!$G83&amp;"")</f>
        <v/>
      </c>
      <c r="H76" s="0" t="str">
        <f aca="false">IF('THÁNG 6'!$C83="","",'THÁNG 6'!$H83&amp;"")</f>
        <v/>
      </c>
      <c r="I76" s="0" t="str">
        <f aca="false">IF('THÁNG 6'!$C83="","",N('THÁNG 6'!$I83))</f>
        <v/>
      </c>
      <c r="J76" s="0" t="str">
        <f aca="false">IF('THÁNG 6'!$C83="","",N('THÁNG 6'!$L83))</f>
        <v/>
      </c>
      <c r="K76" s="0" t="str">
        <f aca="false">IF('THÁNG 6'!$C83="","",N('THÁNG 6'!$N83))</f>
        <v/>
      </c>
      <c r="L76" s="0" t="str">
        <f aca="false">IF('THÁNG 6'!$C83="","",N('THÁNG 6'!$O83))</f>
        <v/>
      </c>
      <c r="M76" s="0" t="str">
        <f aca="false">IF('THÁNG 6'!$C83="","",N('THÁNG 6'!$P83))</f>
        <v/>
      </c>
      <c r="N76" s="0" t="str">
        <f aca="false">IF('THÁNG 6'!$C83="","",N('THÁNG 6'!$Q83))</f>
        <v/>
      </c>
      <c r="O76" s="0" t="str">
        <f aca="false">IF('THÁNG 6'!$C83="","",N('THÁNG 6'!$R83))</f>
        <v/>
      </c>
      <c r="P76" s="0" t="str">
        <f aca="false">IF(OR('THÁNG 6'!$C83="",'THÁNG 6'!$T83=""),"",'THÁNG 6'!$T83)</f>
        <v/>
      </c>
      <c r="Q76" s="0" t="str">
        <f aca="false">IF(OR('THÁNG 6'!$C83="",'THÁNG 6'!$U83=""),"",'THÁNG 6'!$U83)</f>
        <v/>
      </c>
      <c r="R76" s="0" t="str">
        <f aca="false">IF('THÁNG 6'!$C83="","",'THÁNG 6'!$W83&amp;"")</f>
        <v/>
      </c>
      <c r="S76" s="0" t="str">
        <f aca="false">IF('THÁNG 6'!$C83="","",'THÁNG 6'!$S83&amp;"")</f>
        <v/>
      </c>
      <c r="T76" s="0" t="str">
        <f aca="false">IF(N($O76)&gt;0,COUNTIF($O$3:$O76,"&gt;0"),"")</f>
        <v/>
      </c>
      <c r="U76" s="0" t="str">
        <f aca="false">IF(AND(N($J76)&gt;0,N($K76)&gt;0),COUNTIFS($J$3:$J76,"&gt;0",$K$3:$K76,"&gt;0"),"")</f>
        <v/>
      </c>
      <c r="V76" s="0" t="str">
        <f aca="false">IF(AND(N($J76)&gt;0,N($K76)=0),COUNTIFS($J$3:$J76,"&gt;0",$K$3:$K76,"&lt;=0"),"")</f>
        <v/>
      </c>
      <c r="W76" s="0" t="str">
        <f aca="false">IF($C76="","",IF(COUNTIF($C$3:$C76,$C76)&gt;1,"",MAX($W$2:W75)+1))</f>
        <v/>
      </c>
      <c r="X76" s="0" t="str">
        <f aca="false">IF($H76="","",IF(COUNTIF($H$3:$H76,$H76)&gt;1,"",MAX($X$2:X75)+1))</f>
        <v/>
      </c>
      <c r="Y76" s="0" t="str">
        <f aca="false">IF(AND(N($M76)&gt;0,N($O76)&lt;=0),COUNTIFS($M$3:$M76,"&gt;0",$O$3:$O76,"&lt;=0"),"")</f>
        <v/>
      </c>
      <c r="Z76" s="30" t="n">
        <f aca="false">IF(OR('THÁNG 6'!$C83="",'THÁNG 6'!$B83=""),0,'THÁNG 6'!$B83)</f>
        <v>0</v>
      </c>
    </row>
    <row r="77" customFormat="false" ht="15" hidden="false" customHeight="false" outlineLevel="0" collapsed="false">
      <c r="A77" s="0" t="n">
        <v>6</v>
      </c>
      <c r="B77" s="29" t="str">
        <f aca="false">IF(OR('THÁNG 6'!$C84="",'THÁNG 6'!$B84=""),"",'THÁNG 6'!$B84)</f>
        <v/>
      </c>
      <c r="C77" s="0" t="str">
        <f aca="false">IF('THÁNG 6'!$C84="","",'THÁNG 6'!$C84)</f>
        <v/>
      </c>
      <c r="D77" s="0" t="str">
        <f aca="false">IF('THÁNG 6'!$C84="","",'THÁNG 6'!$D84&amp;"")</f>
        <v/>
      </c>
      <c r="E77" s="0" t="str">
        <f aca="false">IF('THÁNG 6'!$C84="","",'THÁNG 6'!$E84&amp;"")</f>
        <v/>
      </c>
      <c r="F77" s="0" t="str">
        <f aca="false">IF('THÁNG 6'!$C84="","",'THÁNG 6'!$F84&amp;"")</f>
        <v/>
      </c>
      <c r="G77" s="0" t="str">
        <f aca="false">IF('THÁNG 6'!$C84="","",'THÁNG 6'!$G84&amp;"")</f>
        <v/>
      </c>
      <c r="H77" s="0" t="str">
        <f aca="false">IF('THÁNG 6'!$C84="","",'THÁNG 6'!$H84&amp;"")</f>
        <v/>
      </c>
      <c r="I77" s="0" t="str">
        <f aca="false">IF('THÁNG 6'!$C84="","",N('THÁNG 6'!$I84))</f>
        <v/>
      </c>
      <c r="J77" s="0" t="str">
        <f aca="false">IF('THÁNG 6'!$C84="","",N('THÁNG 6'!$L84))</f>
        <v/>
      </c>
      <c r="K77" s="0" t="str">
        <f aca="false">IF('THÁNG 6'!$C84="","",N('THÁNG 6'!$N84))</f>
        <v/>
      </c>
      <c r="L77" s="0" t="str">
        <f aca="false">IF('THÁNG 6'!$C84="","",N('THÁNG 6'!$O84))</f>
        <v/>
      </c>
      <c r="M77" s="0" t="str">
        <f aca="false">IF('THÁNG 6'!$C84="","",N('THÁNG 6'!$P84))</f>
        <v/>
      </c>
      <c r="N77" s="0" t="str">
        <f aca="false">IF('THÁNG 6'!$C84="","",N('THÁNG 6'!$Q84))</f>
        <v/>
      </c>
      <c r="O77" s="0" t="str">
        <f aca="false">IF('THÁNG 6'!$C84="","",N('THÁNG 6'!$R84))</f>
        <v/>
      </c>
      <c r="P77" s="0" t="str">
        <f aca="false">IF(OR('THÁNG 6'!$C84="",'THÁNG 6'!$T84=""),"",'THÁNG 6'!$T84)</f>
        <v/>
      </c>
      <c r="Q77" s="0" t="str">
        <f aca="false">IF(OR('THÁNG 6'!$C84="",'THÁNG 6'!$U84=""),"",'THÁNG 6'!$U84)</f>
        <v/>
      </c>
      <c r="R77" s="0" t="str">
        <f aca="false">IF('THÁNG 6'!$C84="","",'THÁNG 6'!$W84&amp;"")</f>
        <v/>
      </c>
      <c r="S77" s="0" t="str">
        <f aca="false">IF('THÁNG 6'!$C84="","",'THÁNG 6'!$S84&amp;"")</f>
        <v/>
      </c>
      <c r="T77" s="0" t="str">
        <f aca="false">IF(N($O77)&gt;0,COUNTIF($O$3:$O77,"&gt;0"),"")</f>
        <v/>
      </c>
      <c r="U77" s="0" t="str">
        <f aca="false">IF(AND(N($J77)&gt;0,N($K77)&gt;0),COUNTIFS($J$3:$J77,"&gt;0",$K$3:$K77,"&gt;0"),"")</f>
        <v/>
      </c>
      <c r="V77" s="0" t="str">
        <f aca="false">IF(AND(N($J77)&gt;0,N($K77)=0),COUNTIFS($J$3:$J77,"&gt;0",$K$3:$K77,"&lt;=0"),"")</f>
        <v/>
      </c>
      <c r="W77" s="0" t="str">
        <f aca="false">IF($C77="","",IF(COUNTIF($C$3:$C77,$C77)&gt;1,"",MAX($W$2:W76)+1))</f>
        <v/>
      </c>
      <c r="X77" s="0" t="str">
        <f aca="false">IF($H77="","",IF(COUNTIF($H$3:$H77,$H77)&gt;1,"",MAX($X$2:X76)+1))</f>
        <v/>
      </c>
      <c r="Y77" s="0" t="str">
        <f aca="false">IF(AND(N($M77)&gt;0,N($O77)&lt;=0),COUNTIFS($M$3:$M77,"&gt;0",$O$3:$O77,"&lt;=0"),"")</f>
        <v/>
      </c>
      <c r="Z77" s="30" t="n">
        <f aca="false">IF(OR('THÁNG 6'!$C84="",'THÁNG 6'!$B84=""),0,'THÁNG 6'!$B84)</f>
        <v>0</v>
      </c>
    </row>
    <row r="78" customFormat="false" ht="15" hidden="false" customHeight="false" outlineLevel="0" collapsed="false">
      <c r="A78" s="0" t="n">
        <v>6</v>
      </c>
      <c r="B78" s="29" t="str">
        <f aca="false">IF(OR('THÁNG 6'!$C85="",'THÁNG 6'!$B85=""),"",'THÁNG 6'!$B85)</f>
        <v/>
      </c>
      <c r="C78" s="0" t="str">
        <f aca="false">IF('THÁNG 6'!$C85="","",'THÁNG 6'!$C85)</f>
        <v/>
      </c>
      <c r="D78" s="0" t="str">
        <f aca="false">IF('THÁNG 6'!$C85="","",'THÁNG 6'!$D85&amp;"")</f>
        <v/>
      </c>
      <c r="E78" s="0" t="str">
        <f aca="false">IF('THÁNG 6'!$C85="","",'THÁNG 6'!$E85&amp;"")</f>
        <v/>
      </c>
      <c r="F78" s="0" t="str">
        <f aca="false">IF('THÁNG 6'!$C85="","",'THÁNG 6'!$F85&amp;"")</f>
        <v/>
      </c>
      <c r="G78" s="0" t="str">
        <f aca="false">IF('THÁNG 6'!$C85="","",'THÁNG 6'!$G85&amp;"")</f>
        <v/>
      </c>
      <c r="H78" s="0" t="str">
        <f aca="false">IF('THÁNG 6'!$C85="","",'THÁNG 6'!$H85&amp;"")</f>
        <v/>
      </c>
      <c r="I78" s="0" t="str">
        <f aca="false">IF('THÁNG 6'!$C85="","",N('THÁNG 6'!$I85))</f>
        <v/>
      </c>
      <c r="J78" s="0" t="str">
        <f aca="false">IF('THÁNG 6'!$C85="","",N('THÁNG 6'!$L85))</f>
        <v/>
      </c>
      <c r="K78" s="0" t="str">
        <f aca="false">IF('THÁNG 6'!$C85="","",N('THÁNG 6'!$N85))</f>
        <v/>
      </c>
      <c r="L78" s="0" t="str">
        <f aca="false">IF('THÁNG 6'!$C85="","",N('THÁNG 6'!$O85))</f>
        <v/>
      </c>
      <c r="M78" s="0" t="str">
        <f aca="false">IF('THÁNG 6'!$C85="","",N('THÁNG 6'!$P85))</f>
        <v/>
      </c>
      <c r="N78" s="0" t="str">
        <f aca="false">IF('THÁNG 6'!$C85="","",N('THÁNG 6'!$Q85))</f>
        <v/>
      </c>
      <c r="O78" s="0" t="str">
        <f aca="false">IF('THÁNG 6'!$C85="","",N('THÁNG 6'!$R85))</f>
        <v/>
      </c>
      <c r="P78" s="0" t="str">
        <f aca="false">IF(OR('THÁNG 6'!$C85="",'THÁNG 6'!$T85=""),"",'THÁNG 6'!$T85)</f>
        <v/>
      </c>
      <c r="Q78" s="0" t="str">
        <f aca="false">IF(OR('THÁNG 6'!$C85="",'THÁNG 6'!$U85=""),"",'THÁNG 6'!$U85)</f>
        <v/>
      </c>
      <c r="R78" s="0" t="str">
        <f aca="false">IF('THÁNG 6'!$C85="","",'THÁNG 6'!$W85&amp;"")</f>
        <v/>
      </c>
      <c r="S78" s="0" t="str">
        <f aca="false">IF('THÁNG 6'!$C85="","",'THÁNG 6'!$S85&amp;"")</f>
        <v/>
      </c>
      <c r="T78" s="0" t="str">
        <f aca="false">IF(N($O78)&gt;0,COUNTIF($O$3:$O78,"&gt;0"),"")</f>
        <v/>
      </c>
      <c r="U78" s="0" t="str">
        <f aca="false">IF(AND(N($J78)&gt;0,N($K78)&gt;0),COUNTIFS($J$3:$J78,"&gt;0",$K$3:$K78,"&gt;0"),"")</f>
        <v/>
      </c>
      <c r="V78" s="0" t="str">
        <f aca="false">IF(AND(N($J78)&gt;0,N($K78)=0),COUNTIFS($J$3:$J78,"&gt;0",$K$3:$K78,"&lt;=0"),"")</f>
        <v/>
      </c>
      <c r="W78" s="0" t="str">
        <f aca="false">IF($C78="","",IF(COUNTIF($C$3:$C78,$C78)&gt;1,"",MAX($W$2:W77)+1))</f>
        <v/>
      </c>
      <c r="X78" s="0" t="str">
        <f aca="false">IF($H78="","",IF(COUNTIF($H$3:$H78,$H78)&gt;1,"",MAX($X$2:X77)+1))</f>
        <v/>
      </c>
      <c r="Y78" s="0" t="str">
        <f aca="false">IF(AND(N($M78)&gt;0,N($O78)&lt;=0),COUNTIFS($M$3:$M78,"&gt;0",$O$3:$O78,"&lt;=0"),"")</f>
        <v/>
      </c>
      <c r="Z78" s="30" t="n">
        <f aca="false">IF(OR('THÁNG 6'!$C85="",'THÁNG 6'!$B85=""),0,'THÁNG 6'!$B85)</f>
        <v>0</v>
      </c>
    </row>
    <row r="79" customFormat="false" ht="15" hidden="false" customHeight="false" outlineLevel="0" collapsed="false">
      <c r="A79" s="0" t="n">
        <v>6</v>
      </c>
      <c r="B79" s="29" t="str">
        <f aca="false">IF(OR('THÁNG 6'!$C86="",'THÁNG 6'!$B86=""),"",'THÁNG 6'!$B86)</f>
        <v/>
      </c>
      <c r="C79" s="0" t="str">
        <f aca="false">IF('THÁNG 6'!$C86="","",'THÁNG 6'!$C86)</f>
        <v/>
      </c>
      <c r="D79" s="0" t="str">
        <f aca="false">IF('THÁNG 6'!$C86="","",'THÁNG 6'!$D86&amp;"")</f>
        <v/>
      </c>
      <c r="E79" s="0" t="str">
        <f aca="false">IF('THÁNG 6'!$C86="","",'THÁNG 6'!$E86&amp;"")</f>
        <v/>
      </c>
      <c r="F79" s="0" t="str">
        <f aca="false">IF('THÁNG 6'!$C86="","",'THÁNG 6'!$F86&amp;"")</f>
        <v/>
      </c>
      <c r="G79" s="0" t="str">
        <f aca="false">IF('THÁNG 6'!$C86="","",'THÁNG 6'!$G86&amp;"")</f>
        <v/>
      </c>
      <c r="H79" s="0" t="str">
        <f aca="false">IF('THÁNG 6'!$C86="","",'THÁNG 6'!$H86&amp;"")</f>
        <v/>
      </c>
      <c r="I79" s="0" t="str">
        <f aca="false">IF('THÁNG 6'!$C86="","",N('THÁNG 6'!$I86))</f>
        <v/>
      </c>
      <c r="J79" s="0" t="str">
        <f aca="false">IF('THÁNG 6'!$C86="","",N('THÁNG 6'!$L86))</f>
        <v/>
      </c>
      <c r="K79" s="0" t="str">
        <f aca="false">IF('THÁNG 6'!$C86="","",N('THÁNG 6'!$N86))</f>
        <v/>
      </c>
      <c r="L79" s="0" t="str">
        <f aca="false">IF('THÁNG 6'!$C86="","",N('THÁNG 6'!$O86))</f>
        <v/>
      </c>
      <c r="M79" s="0" t="str">
        <f aca="false">IF('THÁNG 6'!$C86="","",N('THÁNG 6'!$P86))</f>
        <v/>
      </c>
      <c r="N79" s="0" t="str">
        <f aca="false">IF('THÁNG 6'!$C86="","",N('THÁNG 6'!$Q86))</f>
        <v/>
      </c>
      <c r="O79" s="0" t="str">
        <f aca="false">IF('THÁNG 6'!$C86="","",N('THÁNG 6'!$R86))</f>
        <v/>
      </c>
      <c r="P79" s="0" t="str">
        <f aca="false">IF(OR('THÁNG 6'!$C86="",'THÁNG 6'!$T86=""),"",'THÁNG 6'!$T86)</f>
        <v/>
      </c>
      <c r="Q79" s="0" t="str">
        <f aca="false">IF(OR('THÁNG 6'!$C86="",'THÁNG 6'!$U86=""),"",'THÁNG 6'!$U86)</f>
        <v/>
      </c>
      <c r="R79" s="0" t="str">
        <f aca="false">IF('THÁNG 6'!$C86="","",'THÁNG 6'!$W86&amp;"")</f>
        <v/>
      </c>
      <c r="S79" s="0" t="str">
        <f aca="false">IF('THÁNG 6'!$C86="","",'THÁNG 6'!$S86&amp;"")</f>
        <v/>
      </c>
      <c r="T79" s="0" t="str">
        <f aca="false">IF(N($O79)&gt;0,COUNTIF($O$3:$O79,"&gt;0"),"")</f>
        <v/>
      </c>
      <c r="U79" s="0" t="str">
        <f aca="false">IF(AND(N($J79)&gt;0,N($K79)&gt;0),COUNTIFS($J$3:$J79,"&gt;0",$K$3:$K79,"&gt;0"),"")</f>
        <v/>
      </c>
      <c r="V79" s="0" t="str">
        <f aca="false">IF(AND(N($J79)&gt;0,N($K79)=0),COUNTIFS($J$3:$J79,"&gt;0",$K$3:$K79,"&lt;=0"),"")</f>
        <v/>
      </c>
      <c r="W79" s="0" t="str">
        <f aca="false">IF($C79="","",IF(COUNTIF($C$3:$C79,$C79)&gt;1,"",MAX($W$2:W78)+1))</f>
        <v/>
      </c>
      <c r="X79" s="0" t="str">
        <f aca="false">IF($H79="","",IF(COUNTIF($H$3:$H79,$H79)&gt;1,"",MAX($X$2:X78)+1))</f>
        <v/>
      </c>
      <c r="Y79" s="0" t="str">
        <f aca="false">IF(AND(N($M79)&gt;0,N($O79)&lt;=0),COUNTIFS($M$3:$M79,"&gt;0",$O$3:$O79,"&lt;=0"),"")</f>
        <v/>
      </c>
      <c r="Z79" s="30" t="n">
        <f aca="false">IF(OR('THÁNG 6'!$C86="",'THÁNG 6'!$B86=""),0,'THÁNG 6'!$B86)</f>
        <v>0</v>
      </c>
    </row>
    <row r="80" customFormat="false" ht="15" hidden="false" customHeight="false" outlineLevel="0" collapsed="false">
      <c r="A80" s="0" t="n">
        <v>6</v>
      </c>
      <c r="B80" s="29" t="str">
        <f aca="false">IF(OR('THÁNG 6'!$C87="",'THÁNG 6'!$B87=""),"",'THÁNG 6'!$B87)</f>
        <v/>
      </c>
      <c r="C80" s="0" t="str">
        <f aca="false">IF('THÁNG 6'!$C87="","",'THÁNG 6'!$C87)</f>
        <v/>
      </c>
      <c r="D80" s="0" t="str">
        <f aca="false">IF('THÁNG 6'!$C87="","",'THÁNG 6'!$D87&amp;"")</f>
        <v/>
      </c>
      <c r="E80" s="0" t="str">
        <f aca="false">IF('THÁNG 6'!$C87="","",'THÁNG 6'!$E87&amp;"")</f>
        <v/>
      </c>
      <c r="F80" s="0" t="str">
        <f aca="false">IF('THÁNG 6'!$C87="","",'THÁNG 6'!$F87&amp;"")</f>
        <v/>
      </c>
      <c r="G80" s="0" t="str">
        <f aca="false">IF('THÁNG 6'!$C87="","",'THÁNG 6'!$G87&amp;"")</f>
        <v/>
      </c>
      <c r="H80" s="0" t="str">
        <f aca="false">IF('THÁNG 6'!$C87="","",'THÁNG 6'!$H87&amp;"")</f>
        <v/>
      </c>
      <c r="I80" s="0" t="str">
        <f aca="false">IF('THÁNG 6'!$C87="","",N('THÁNG 6'!$I87))</f>
        <v/>
      </c>
      <c r="J80" s="0" t="str">
        <f aca="false">IF('THÁNG 6'!$C87="","",N('THÁNG 6'!$L87))</f>
        <v/>
      </c>
      <c r="K80" s="0" t="str">
        <f aca="false">IF('THÁNG 6'!$C87="","",N('THÁNG 6'!$N87))</f>
        <v/>
      </c>
      <c r="L80" s="0" t="str">
        <f aca="false">IF('THÁNG 6'!$C87="","",N('THÁNG 6'!$O87))</f>
        <v/>
      </c>
      <c r="M80" s="0" t="str">
        <f aca="false">IF('THÁNG 6'!$C87="","",N('THÁNG 6'!$P87))</f>
        <v/>
      </c>
      <c r="N80" s="0" t="str">
        <f aca="false">IF('THÁNG 6'!$C87="","",N('THÁNG 6'!$Q87))</f>
        <v/>
      </c>
      <c r="O80" s="0" t="str">
        <f aca="false">IF('THÁNG 6'!$C87="","",N('THÁNG 6'!$R87))</f>
        <v/>
      </c>
      <c r="P80" s="0" t="str">
        <f aca="false">IF(OR('THÁNG 6'!$C87="",'THÁNG 6'!$T87=""),"",'THÁNG 6'!$T87)</f>
        <v/>
      </c>
      <c r="Q80" s="0" t="str">
        <f aca="false">IF(OR('THÁNG 6'!$C87="",'THÁNG 6'!$U87=""),"",'THÁNG 6'!$U87)</f>
        <v/>
      </c>
      <c r="R80" s="0" t="str">
        <f aca="false">IF('THÁNG 6'!$C87="","",'THÁNG 6'!$W87&amp;"")</f>
        <v/>
      </c>
      <c r="S80" s="0" t="str">
        <f aca="false">IF('THÁNG 6'!$C87="","",'THÁNG 6'!$S87&amp;"")</f>
        <v/>
      </c>
      <c r="T80" s="0" t="str">
        <f aca="false">IF(N($O80)&gt;0,COUNTIF($O$3:$O80,"&gt;0"),"")</f>
        <v/>
      </c>
      <c r="U80" s="0" t="str">
        <f aca="false">IF(AND(N($J80)&gt;0,N($K80)&gt;0),COUNTIFS($J$3:$J80,"&gt;0",$K$3:$K80,"&gt;0"),"")</f>
        <v/>
      </c>
      <c r="V80" s="0" t="str">
        <f aca="false">IF(AND(N($J80)&gt;0,N($K80)=0),COUNTIFS($J$3:$J80,"&gt;0",$K$3:$K80,"&lt;=0"),"")</f>
        <v/>
      </c>
      <c r="W80" s="0" t="str">
        <f aca="false">IF($C80="","",IF(COUNTIF($C$3:$C80,$C80)&gt;1,"",MAX($W$2:W79)+1))</f>
        <v/>
      </c>
      <c r="X80" s="0" t="str">
        <f aca="false">IF($H80="","",IF(COUNTIF($H$3:$H80,$H80)&gt;1,"",MAX($X$2:X79)+1))</f>
        <v/>
      </c>
      <c r="Y80" s="0" t="str">
        <f aca="false">IF(AND(N($M80)&gt;0,N($O80)&lt;=0),COUNTIFS($M$3:$M80,"&gt;0",$O$3:$O80,"&lt;=0"),"")</f>
        <v/>
      </c>
      <c r="Z80" s="30" t="n">
        <f aca="false">IF(OR('THÁNG 6'!$C87="",'THÁNG 6'!$B87=""),0,'THÁNG 6'!$B87)</f>
        <v>0</v>
      </c>
    </row>
    <row r="81" customFormat="false" ht="15" hidden="false" customHeight="false" outlineLevel="0" collapsed="false">
      <c r="A81" s="0" t="n">
        <v>6</v>
      </c>
      <c r="B81" s="29" t="str">
        <f aca="false">IF(OR('THÁNG 6'!$C88="",'THÁNG 6'!$B88=""),"",'THÁNG 6'!$B88)</f>
        <v/>
      </c>
      <c r="C81" s="0" t="str">
        <f aca="false">IF('THÁNG 6'!$C88="","",'THÁNG 6'!$C88)</f>
        <v/>
      </c>
      <c r="D81" s="0" t="str">
        <f aca="false">IF('THÁNG 6'!$C88="","",'THÁNG 6'!$D88&amp;"")</f>
        <v/>
      </c>
      <c r="E81" s="0" t="str">
        <f aca="false">IF('THÁNG 6'!$C88="","",'THÁNG 6'!$E88&amp;"")</f>
        <v/>
      </c>
      <c r="F81" s="0" t="str">
        <f aca="false">IF('THÁNG 6'!$C88="","",'THÁNG 6'!$F88&amp;"")</f>
        <v/>
      </c>
      <c r="G81" s="0" t="str">
        <f aca="false">IF('THÁNG 6'!$C88="","",'THÁNG 6'!$G88&amp;"")</f>
        <v/>
      </c>
      <c r="H81" s="0" t="str">
        <f aca="false">IF('THÁNG 6'!$C88="","",'THÁNG 6'!$H88&amp;"")</f>
        <v/>
      </c>
      <c r="I81" s="0" t="str">
        <f aca="false">IF('THÁNG 6'!$C88="","",N('THÁNG 6'!$I88))</f>
        <v/>
      </c>
      <c r="J81" s="0" t="str">
        <f aca="false">IF('THÁNG 6'!$C88="","",N('THÁNG 6'!$L88))</f>
        <v/>
      </c>
      <c r="K81" s="0" t="str">
        <f aca="false">IF('THÁNG 6'!$C88="","",N('THÁNG 6'!$N88))</f>
        <v/>
      </c>
      <c r="L81" s="0" t="str">
        <f aca="false">IF('THÁNG 6'!$C88="","",N('THÁNG 6'!$O88))</f>
        <v/>
      </c>
      <c r="M81" s="0" t="str">
        <f aca="false">IF('THÁNG 6'!$C88="","",N('THÁNG 6'!$P88))</f>
        <v/>
      </c>
      <c r="N81" s="0" t="str">
        <f aca="false">IF('THÁNG 6'!$C88="","",N('THÁNG 6'!$Q88))</f>
        <v/>
      </c>
      <c r="O81" s="0" t="str">
        <f aca="false">IF('THÁNG 6'!$C88="","",N('THÁNG 6'!$R88))</f>
        <v/>
      </c>
      <c r="P81" s="0" t="str">
        <f aca="false">IF(OR('THÁNG 6'!$C88="",'THÁNG 6'!$T88=""),"",'THÁNG 6'!$T88)</f>
        <v/>
      </c>
      <c r="Q81" s="0" t="str">
        <f aca="false">IF(OR('THÁNG 6'!$C88="",'THÁNG 6'!$U88=""),"",'THÁNG 6'!$U88)</f>
        <v/>
      </c>
      <c r="R81" s="0" t="str">
        <f aca="false">IF('THÁNG 6'!$C88="","",'THÁNG 6'!$W88&amp;"")</f>
        <v/>
      </c>
      <c r="S81" s="0" t="str">
        <f aca="false">IF('THÁNG 6'!$C88="","",'THÁNG 6'!$S88&amp;"")</f>
        <v/>
      </c>
      <c r="T81" s="0" t="str">
        <f aca="false">IF(N($O81)&gt;0,COUNTIF($O$3:$O81,"&gt;0"),"")</f>
        <v/>
      </c>
      <c r="U81" s="0" t="str">
        <f aca="false">IF(AND(N($J81)&gt;0,N($K81)&gt;0),COUNTIFS($J$3:$J81,"&gt;0",$K$3:$K81,"&gt;0"),"")</f>
        <v/>
      </c>
      <c r="V81" s="0" t="str">
        <f aca="false">IF(AND(N($J81)&gt;0,N($K81)=0),COUNTIFS($J$3:$J81,"&gt;0",$K$3:$K81,"&lt;=0"),"")</f>
        <v/>
      </c>
      <c r="W81" s="0" t="str">
        <f aca="false">IF($C81="","",IF(COUNTIF($C$3:$C81,$C81)&gt;1,"",MAX($W$2:W80)+1))</f>
        <v/>
      </c>
      <c r="X81" s="0" t="str">
        <f aca="false">IF($H81="","",IF(COUNTIF($H$3:$H81,$H81)&gt;1,"",MAX($X$2:X80)+1))</f>
        <v/>
      </c>
      <c r="Y81" s="0" t="str">
        <f aca="false">IF(AND(N($M81)&gt;0,N($O81)&lt;=0),COUNTIFS($M$3:$M81,"&gt;0",$O$3:$O81,"&lt;=0"),"")</f>
        <v/>
      </c>
      <c r="Z81" s="30" t="n">
        <f aca="false">IF(OR('THÁNG 6'!$C88="",'THÁNG 6'!$B88=""),0,'THÁNG 6'!$B88)</f>
        <v>0</v>
      </c>
    </row>
    <row r="82" customFormat="false" ht="15" hidden="false" customHeight="false" outlineLevel="0" collapsed="false">
      <c r="A82" s="0" t="n">
        <v>6</v>
      </c>
      <c r="B82" s="29" t="str">
        <f aca="false">IF(OR('THÁNG 6'!$C89="",'THÁNG 6'!$B89=""),"",'THÁNG 6'!$B89)</f>
        <v/>
      </c>
      <c r="C82" s="0" t="str">
        <f aca="false">IF('THÁNG 6'!$C89="","",'THÁNG 6'!$C89)</f>
        <v/>
      </c>
      <c r="D82" s="0" t="str">
        <f aca="false">IF('THÁNG 6'!$C89="","",'THÁNG 6'!$D89&amp;"")</f>
        <v/>
      </c>
      <c r="E82" s="0" t="str">
        <f aca="false">IF('THÁNG 6'!$C89="","",'THÁNG 6'!$E89&amp;"")</f>
        <v/>
      </c>
      <c r="F82" s="0" t="str">
        <f aca="false">IF('THÁNG 6'!$C89="","",'THÁNG 6'!$F89&amp;"")</f>
        <v/>
      </c>
      <c r="G82" s="0" t="str">
        <f aca="false">IF('THÁNG 6'!$C89="","",'THÁNG 6'!$G89&amp;"")</f>
        <v/>
      </c>
      <c r="H82" s="0" t="str">
        <f aca="false">IF('THÁNG 6'!$C89="","",'THÁNG 6'!$H89&amp;"")</f>
        <v/>
      </c>
      <c r="I82" s="0" t="str">
        <f aca="false">IF('THÁNG 6'!$C89="","",N('THÁNG 6'!$I89))</f>
        <v/>
      </c>
      <c r="J82" s="0" t="str">
        <f aca="false">IF('THÁNG 6'!$C89="","",N('THÁNG 6'!$L89))</f>
        <v/>
      </c>
      <c r="K82" s="0" t="str">
        <f aca="false">IF('THÁNG 6'!$C89="","",N('THÁNG 6'!$N89))</f>
        <v/>
      </c>
      <c r="L82" s="0" t="str">
        <f aca="false">IF('THÁNG 6'!$C89="","",N('THÁNG 6'!$O89))</f>
        <v/>
      </c>
      <c r="M82" s="0" t="str">
        <f aca="false">IF('THÁNG 6'!$C89="","",N('THÁNG 6'!$P89))</f>
        <v/>
      </c>
      <c r="N82" s="0" t="str">
        <f aca="false">IF('THÁNG 6'!$C89="","",N('THÁNG 6'!$Q89))</f>
        <v/>
      </c>
      <c r="O82" s="0" t="str">
        <f aca="false">IF('THÁNG 6'!$C89="","",N('THÁNG 6'!$R89))</f>
        <v/>
      </c>
      <c r="P82" s="0" t="str">
        <f aca="false">IF(OR('THÁNG 6'!$C89="",'THÁNG 6'!$T89=""),"",'THÁNG 6'!$T89)</f>
        <v/>
      </c>
      <c r="Q82" s="0" t="str">
        <f aca="false">IF(OR('THÁNG 6'!$C89="",'THÁNG 6'!$U89=""),"",'THÁNG 6'!$U89)</f>
        <v/>
      </c>
      <c r="R82" s="0" t="str">
        <f aca="false">IF('THÁNG 6'!$C89="","",'THÁNG 6'!$W89&amp;"")</f>
        <v/>
      </c>
      <c r="S82" s="0" t="str">
        <f aca="false">IF('THÁNG 6'!$C89="","",'THÁNG 6'!$S89&amp;"")</f>
        <v/>
      </c>
      <c r="T82" s="0" t="str">
        <f aca="false">IF(N($O82)&gt;0,COUNTIF($O$3:$O82,"&gt;0"),"")</f>
        <v/>
      </c>
      <c r="U82" s="0" t="str">
        <f aca="false">IF(AND(N($J82)&gt;0,N($K82)&gt;0),COUNTIFS($J$3:$J82,"&gt;0",$K$3:$K82,"&gt;0"),"")</f>
        <v/>
      </c>
      <c r="V82" s="0" t="str">
        <f aca="false">IF(AND(N($J82)&gt;0,N($K82)=0),COUNTIFS($J$3:$J82,"&gt;0",$K$3:$K82,"&lt;=0"),"")</f>
        <v/>
      </c>
      <c r="W82" s="0" t="str">
        <f aca="false">IF($C82="","",IF(COUNTIF($C$3:$C82,$C82)&gt;1,"",MAX($W$2:W81)+1))</f>
        <v/>
      </c>
      <c r="X82" s="0" t="str">
        <f aca="false">IF($H82="","",IF(COUNTIF($H$3:$H82,$H82)&gt;1,"",MAX($X$2:X81)+1))</f>
        <v/>
      </c>
      <c r="Y82" s="0" t="str">
        <f aca="false">IF(AND(N($M82)&gt;0,N($O82)&lt;=0),COUNTIFS($M$3:$M82,"&gt;0",$O$3:$O82,"&lt;=0"),"")</f>
        <v/>
      </c>
      <c r="Z82" s="30" t="n">
        <f aca="false">IF(OR('THÁNG 6'!$C89="",'THÁNG 6'!$B89=""),0,'THÁNG 6'!$B89)</f>
        <v>0</v>
      </c>
    </row>
    <row r="83" customFormat="false" ht="15" hidden="false" customHeight="false" outlineLevel="0" collapsed="false">
      <c r="A83" s="0" t="n">
        <v>6</v>
      </c>
      <c r="B83" s="29" t="str">
        <f aca="false">IF(OR('THÁNG 6'!$C90="",'THÁNG 6'!$B90=""),"",'THÁNG 6'!$B90)</f>
        <v/>
      </c>
      <c r="C83" s="0" t="str">
        <f aca="false">IF('THÁNG 6'!$C90="","",'THÁNG 6'!$C90)</f>
        <v/>
      </c>
      <c r="D83" s="0" t="str">
        <f aca="false">IF('THÁNG 6'!$C90="","",'THÁNG 6'!$D90&amp;"")</f>
        <v/>
      </c>
      <c r="E83" s="0" t="str">
        <f aca="false">IF('THÁNG 6'!$C90="","",'THÁNG 6'!$E90&amp;"")</f>
        <v/>
      </c>
      <c r="F83" s="0" t="str">
        <f aca="false">IF('THÁNG 6'!$C90="","",'THÁNG 6'!$F90&amp;"")</f>
        <v/>
      </c>
      <c r="G83" s="0" t="str">
        <f aca="false">IF('THÁNG 6'!$C90="","",'THÁNG 6'!$G90&amp;"")</f>
        <v/>
      </c>
      <c r="H83" s="0" t="str">
        <f aca="false">IF('THÁNG 6'!$C90="","",'THÁNG 6'!$H90&amp;"")</f>
        <v/>
      </c>
      <c r="I83" s="0" t="str">
        <f aca="false">IF('THÁNG 6'!$C90="","",N('THÁNG 6'!$I90))</f>
        <v/>
      </c>
      <c r="J83" s="0" t="str">
        <f aca="false">IF('THÁNG 6'!$C90="","",N('THÁNG 6'!$L90))</f>
        <v/>
      </c>
      <c r="K83" s="0" t="str">
        <f aca="false">IF('THÁNG 6'!$C90="","",N('THÁNG 6'!$N90))</f>
        <v/>
      </c>
      <c r="L83" s="0" t="str">
        <f aca="false">IF('THÁNG 6'!$C90="","",N('THÁNG 6'!$O90))</f>
        <v/>
      </c>
      <c r="M83" s="0" t="str">
        <f aca="false">IF('THÁNG 6'!$C90="","",N('THÁNG 6'!$P90))</f>
        <v/>
      </c>
      <c r="N83" s="0" t="str">
        <f aca="false">IF('THÁNG 6'!$C90="","",N('THÁNG 6'!$Q90))</f>
        <v/>
      </c>
      <c r="O83" s="0" t="str">
        <f aca="false">IF('THÁNG 6'!$C90="","",N('THÁNG 6'!$R90))</f>
        <v/>
      </c>
      <c r="P83" s="0" t="str">
        <f aca="false">IF(OR('THÁNG 6'!$C90="",'THÁNG 6'!$T90=""),"",'THÁNG 6'!$T90)</f>
        <v/>
      </c>
      <c r="Q83" s="0" t="str">
        <f aca="false">IF(OR('THÁNG 6'!$C90="",'THÁNG 6'!$U90=""),"",'THÁNG 6'!$U90)</f>
        <v/>
      </c>
      <c r="R83" s="0" t="str">
        <f aca="false">IF('THÁNG 6'!$C90="","",'THÁNG 6'!$W90&amp;"")</f>
        <v/>
      </c>
      <c r="S83" s="0" t="str">
        <f aca="false">IF('THÁNG 6'!$C90="","",'THÁNG 6'!$S90&amp;"")</f>
        <v/>
      </c>
      <c r="T83" s="0" t="str">
        <f aca="false">IF(N($O83)&gt;0,COUNTIF($O$3:$O83,"&gt;0"),"")</f>
        <v/>
      </c>
      <c r="U83" s="0" t="str">
        <f aca="false">IF(AND(N($J83)&gt;0,N($K83)&gt;0),COUNTIFS($J$3:$J83,"&gt;0",$K$3:$K83,"&gt;0"),"")</f>
        <v/>
      </c>
      <c r="V83" s="0" t="str">
        <f aca="false">IF(AND(N($J83)&gt;0,N($K83)=0),COUNTIFS($J$3:$J83,"&gt;0",$K$3:$K83,"&lt;=0"),"")</f>
        <v/>
      </c>
      <c r="W83" s="0" t="str">
        <f aca="false">IF($C83="","",IF(COUNTIF($C$3:$C83,$C83)&gt;1,"",MAX($W$2:W82)+1))</f>
        <v/>
      </c>
      <c r="X83" s="0" t="str">
        <f aca="false">IF($H83="","",IF(COUNTIF($H$3:$H83,$H83)&gt;1,"",MAX($X$2:X82)+1))</f>
        <v/>
      </c>
      <c r="Y83" s="0" t="str">
        <f aca="false">IF(AND(N($M83)&gt;0,N($O83)&lt;=0),COUNTIFS($M$3:$M83,"&gt;0",$O$3:$O83,"&lt;=0"),"")</f>
        <v/>
      </c>
      <c r="Z83" s="30" t="n">
        <f aca="false">IF(OR('THÁNG 6'!$C90="",'THÁNG 6'!$B90=""),0,'THÁNG 6'!$B90)</f>
        <v>0</v>
      </c>
    </row>
    <row r="84" customFormat="false" ht="15" hidden="false" customHeight="false" outlineLevel="0" collapsed="false">
      <c r="A84" s="0" t="n">
        <v>6</v>
      </c>
      <c r="B84" s="29" t="str">
        <f aca="false">IF(OR('THÁNG 6'!$C91="",'THÁNG 6'!$B91=""),"",'THÁNG 6'!$B91)</f>
        <v/>
      </c>
      <c r="C84" s="0" t="str">
        <f aca="false">IF('THÁNG 6'!$C91="","",'THÁNG 6'!$C91)</f>
        <v/>
      </c>
      <c r="D84" s="0" t="str">
        <f aca="false">IF('THÁNG 6'!$C91="","",'THÁNG 6'!$D91&amp;"")</f>
        <v/>
      </c>
      <c r="E84" s="0" t="str">
        <f aca="false">IF('THÁNG 6'!$C91="","",'THÁNG 6'!$E91&amp;"")</f>
        <v/>
      </c>
      <c r="F84" s="0" t="str">
        <f aca="false">IF('THÁNG 6'!$C91="","",'THÁNG 6'!$F91&amp;"")</f>
        <v/>
      </c>
      <c r="G84" s="0" t="str">
        <f aca="false">IF('THÁNG 6'!$C91="","",'THÁNG 6'!$G91&amp;"")</f>
        <v/>
      </c>
      <c r="H84" s="0" t="str">
        <f aca="false">IF('THÁNG 6'!$C91="","",'THÁNG 6'!$H91&amp;"")</f>
        <v/>
      </c>
      <c r="I84" s="0" t="str">
        <f aca="false">IF('THÁNG 6'!$C91="","",N('THÁNG 6'!$I91))</f>
        <v/>
      </c>
      <c r="J84" s="0" t="str">
        <f aca="false">IF('THÁNG 6'!$C91="","",N('THÁNG 6'!$L91))</f>
        <v/>
      </c>
      <c r="K84" s="0" t="str">
        <f aca="false">IF('THÁNG 6'!$C91="","",N('THÁNG 6'!$N91))</f>
        <v/>
      </c>
      <c r="L84" s="0" t="str">
        <f aca="false">IF('THÁNG 6'!$C91="","",N('THÁNG 6'!$O91))</f>
        <v/>
      </c>
      <c r="M84" s="0" t="str">
        <f aca="false">IF('THÁNG 6'!$C91="","",N('THÁNG 6'!$P91))</f>
        <v/>
      </c>
      <c r="N84" s="0" t="str">
        <f aca="false">IF('THÁNG 6'!$C91="","",N('THÁNG 6'!$Q91))</f>
        <v/>
      </c>
      <c r="O84" s="0" t="str">
        <f aca="false">IF('THÁNG 6'!$C91="","",N('THÁNG 6'!$R91))</f>
        <v/>
      </c>
      <c r="P84" s="0" t="str">
        <f aca="false">IF(OR('THÁNG 6'!$C91="",'THÁNG 6'!$T91=""),"",'THÁNG 6'!$T91)</f>
        <v/>
      </c>
      <c r="Q84" s="0" t="str">
        <f aca="false">IF(OR('THÁNG 6'!$C91="",'THÁNG 6'!$U91=""),"",'THÁNG 6'!$U91)</f>
        <v/>
      </c>
      <c r="R84" s="0" t="str">
        <f aca="false">IF('THÁNG 6'!$C91="","",'THÁNG 6'!$W91&amp;"")</f>
        <v/>
      </c>
      <c r="S84" s="0" t="str">
        <f aca="false">IF('THÁNG 6'!$C91="","",'THÁNG 6'!$S91&amp;"")</f>
        <v/>
      </c>
      <c r="T84" s="0" t="str">
        <f aca="false">IF(N($O84)&gt;0,COUNTIF($O$3:$O84,"&gt;0"),"")</f>
        <v/>
      </c>
      <c r="U84" s="0" t="str">
        <f aca="false">IF(AND(N($J84)&gt;0,N($K84)&gt;0),COUNTIFS($J$3:$J84,"&gt;0",$K$3:$K84,"&gt;0"),"")</f>
        <v/>
      </c>
      <c r="V84" s="0" t="str">
        <f aca="false">IF(AND(N($J84)&gt;0,N($K84)=0),COUNTIFS($J$3:$J84,"&gt;0",$K$3:$K84,"&lt;=0"),"")</f>
        <v/>
      </c>
      <c r="W84" s="0" t="str">
        <f aca="false">IF($C84="","",IF(COUNTIF($C$3:$C84,$C84)&gt;1,"",MAX($W$2:W83)+1))</f>
        <v/>
      </c>
      <c r="X84" s="0" t="str">
        <f aca="false">IF($H84="","",IF(COUNTIF($H$3:$H84,$H84)&gt;1,"",MAX($X$2:X83)+1))</f>
        <v/>
      </c>
      <c r="Y84" s="0" t="str">
        <f aca="false">IF(AND(N($M84)&gt;0,N($O84)&lt;=0),COUNTIFS($M$3:$M84,"&gt;0",$O$3:$O84,"&lt;=0"),"")</f>
        <v/>
      </c>
      <c r="Z84" s="30" t="n">
        <f aca="false">IF(OR('THÁNG 6'!$C91="",'THÁNG 6'!$B91=""),0,'THÁNG 6'!$B91)</f>
        <v>0</v>
      </c>
    </row>
    <row r="85" customFormat="false" ht="15" hidden="false" customHeight="false" outlineLevel="0" collapsed="false">
      <c r="A85" s="0" t="n">
        <v>6</v>
      </c>
      <c r="B85" s="29" t="str">
        <f aca="false">IF(OR('THÁNG 6'!$C92="",'THÁNG 6'!$B92=""),"",'THÁNG 6'!$B92)</f>
        <v/>
      </c>
      <c r="C85" s="0" t="str">
        <f aca="false">IF('THÁNG 6'!$C92="","",'THÁNG 6'!$C92)</f>
        <v/>
      </c>
      <c r="D85" s="0" t="str">
        <f aca="false">IF('THÁNG 6'!$C92="","",'THÁNG 6'!$D92&amp;"")</f>
        <v/>
      </c>
      <c r="E85" s="0" t="str">
        <f aca="false">IF('THÁNG 6'!$C92="","",'THÁNG 6'!$E92&amp;"")</f>
        <v/>
      </c>
      <c r="F85" s="0" t="str">
        <f aca="false">IF('THÁNG 6'!$C92="","",'THÁNG 6'!$F92&amp;"")</f>
        <v/>
      </c>
      <c r="G85" s="0" t="str">
        <f aca="false">IF('THÁNG 6'!$C92="","",'THÁNG 6'!$G92&amp;"")</f>
        <v/>
      </c>
      <c r="H85" s="0" t="str">
        <f aca="false">IF('THÁNG 6'!$C92="","",'THÁNG 6'!$H92&amp;"")</f>
        <v/>
      </c>
      <c r="I85" s="0" t="str">
        <f aca="false">IF('THÁNG 6'!$C92="","",N('THÁNG 6'!$I92))</f>
        <v/>
      </c>
      <c r="J85" s="0" t="str">
        <f aca="false">IF('THÁNG 6'!$C92="","",N('THÁNG 6'!$L92))</f>
        <v/>
      </c>
      <c r="K85" s="0" t="str">
        <f aca="false">IF('THÁNG 6'!$C92="","",N('THÁNG 6'!$N92))</f>
        <v/>
      </c>
      <c r="L85" s="0" t="str">
        <f aca="false">IF('THÁNG 6'!$C92="","",N('THÁNG 6'!$O92))</f>
        <v/>
      </c>
      <c r="M85" s="0" t="str">
        <f aca="false">IF('THÁNG 6'!$C92="","",N('THÁNG 6'!$P92))</f>
        <v/>
      </c>
      <c r="N85" s="0" t="str">
        <f aca="false">IF('THÁNG 6'!$C92="","",N('THÁNG 6'!$Q92))</f>
        <v/>
      </c>
      <c r="O85" s="0" t="str">
        <f aca="false">IF('THÁNG 6'!$C92="","",N('THÁNG 6'!$R92))</f>
        <v/>
      </c>
      <c r="P85" s="0" t="str">
        <f aca="false">IF(OR('THÁNG 6'!$C92="",'THÁNG 6'!$T92=""),"",'THÁNG 6'!$T92)</f>
        <v/>
      </c>
      <c r="Q85" s="0" t="str">
        <f aca="false">IF(OR('THÁNG 6'!$C92="",'THÁNG 6'!$U92=""),"",'THÁNG 6'!$U92)</f>
        <v/>
      </c>
      <c r="R85" s="0" t="str">
        <f aca="false">IF('THÁNG 6'!$C92="","",'THÁNG 6'!$W92&amp;"")</f>
        <v/>
      </c>
      <c r="S85" s="0" t="str">
        <f aca="false">IF('THÁNG 6'!$C92="","",'THÁNG 6'!$S92&amp;"")</f>
        <v/>
      </c>
      <c r="T85" s="0" t="str">
        <f aca="false">IF(N($O85)&gt;0,COUNTIF($O$3:$O85,"&gt;0"),"")</f>
        <v/>
      </c>
      <c r="U85" s="0" t="str">
        <f aca="false">IF(AND(N($J85)&gt;0,N($K85)&gt;0),COUNTIFS($J$3:$J85,"&gt;0",$K$3:$K85,"&gt;0"),"")</f>
        <v/>
      </c>
      <c r="V85" s="0" t="str">
        <f aca="false">IF(AND(N($J85)&gt;0,N($K85)=0),COUNTIFS($J$3:$J85,"&gt;0",$K$3:$K85,"&lt;=0"),"")</f>
        <v/>
      </c>
      <c r="W85" s="0" t="str">
        <f aca="false">IF($C85="","",IF(COUNTIF($C$3:$C85,$C85)&gt;1,"",MAX($W$2:W84)+1))</f>
        <v/>
      </c>
      <c r="X85" s="0" t="str">
        <f aca="false">IF($H85="","",IF(COUNTIF($H$3:$H85,$H85)&gt;1,"",MAX($X$2:X84)+1))</f>
        <v/>
      </c>
      <c r="Y85" s="0" t="str">
        <f aca="false">IF(AND(N($M85)&gt;0,N($O85)&lt;=0),COUNTIFS($M$3:$M85,"&gt;0",$O$3:$O85,"&lt;=0"),"")</f>
        <v/>
      </c>
      <c r="Z85" s="30" t="n">
        <f aca="false">IF(OR('THÁNG 6'!$C92="",'THÁNG 6'!$B92=""),0,'THÁNG 6'!$B92)</f>
        <v>0</v>
      </c>
    </row>
    <row r="86" customFormat="false" ht="15" hidden="false" customHeight="false" outlineLevel="0" collapsed="false">
      <c r="A86" s="0" t="n">
        <v>6</v>
      </c>
      <c r="B86" s="29" t="str">
        <f aca="false">IF(OR('THÁNG 6'!$C93="",'THÁNG 6'!$B93=""),"",'THÁNG 6'!$B93)</f>
        <v/>
      </c>
      <c r="C86" s="0" t="str">
        <f aca="false">IF('THÁNG 6'!$C93="","",'THÁNG 6'!$C93)</f>
        <v/>
      </c>
      <c r="D86" s="0" t="str">
        <f aca="false">IF('THÁNG 6'!$C93="","",'THÁNG 6'!$D93&amp;"")</f>
        <v/>
      </c>
      <c r="E86" s="0" t="str">
        <f aca="false">IF('THÁNG 6'!$C93="","",'THÁNG 6'!$E93&amp;"")</f>
        <v/>
      </c>
      <c r="F86" s="0" t="str">
        <f aca="false">IF('THÁNG 6'!$C93="","",'THÁNG 6'!$F93&amp;"")</f>
        <v/>
      </c>
      <c r="G86" s="0" t="str">
        <f aca="false">IF('THÁNG 6'!$C93="","",'THÁNG 6'!$G93&amp;"")</f>
        <v/>
      </c>
      <c r="H86" s="0" t="str">
        <f aca="false">IF('THÁNG 6'!$C93="","",'THÁNG 6'!$H93&amp;"")</f>
        <v/>
      </c>
      <c r="I86" s="0" t="str">
        <f aca="false">IF('THÁNG 6'!$C93="","",N('THÁNG 6'!$I93))</f>
        <v/>
      </c>
      <c r="J86" s="0" t="str">
        <f aca="false">IF('THÁNG 6'!$C93="","",N('THÁNG 6'!$L93))</f>
        <v/>
      </c>
      <c r="K86" s="0" t="str">
        <f aca="false">IF('THÁNG 6'!$C93="","",N('THÁNG 6'!$N93))</f>
        <v/>
      </c>
      <c r="L86" s="0" t="str">
        <f aca="false">IF('THÁNG 6'!$C93="","",N('THÁNG 6'!$O93))</f>
        <v/>
      </c>
      <c r="M86" s="0" t="str">
        <f aca="false">IF('THÁNG 6'!$C93="","",N('THÁNG 6'!$P93))</f>
        <v/>
      </c>
      <c r="N86" s="0" t="str">
        <f aca="false">IF('THÁNG 6'!$C93="","",N('THÁNG 6'!$Q93))</f>
        <v/>
      </c>
      <c r="O86" s="0" t="str">
        <f aca="false">IF('THÁNG 6'!$C93="","",N('THÁNG 6'!$R93))</f>
        <v/>
      </c>
      <c r="P86" s="0" t="str">
        <f aca="false">IF(OR('THÁNG 6'!$C93="",'THÁNG 6'!$T93=""),"",'THÁNG 6'!$T93)</f>
        <v/>
      </c>
      <c r="Q86" s="0" t="str">
        <f aca="false">IF(OR('THÁNG 6'!$C93="",'THÁNG 6'!$U93=""),"",'THÁNG 6'!$U93)</f>
        <v/>
      </c>
      <c r="R86" s="0" t="str">
        <f aca="false">IF('THÁNG 6'!$C93="","",'THÁNG 6'!$W93&amp;"")</f>
        <v/>
      </c>
      <c r="S86" s="0" t="str">
        <f aca="false">IF('THÁNG 6'!$C93="","",'THÁNG 6'!$S93&amp;"")</f>
        <v/>
      </c>
      <c r="T86" s="0" t="str">
        <f aca="false">IF(N($O86)&gt;0,COUNTIF($O$3:$O86,"&gt;0"),"")</f>
        <v/>
      </c>
      <c r="U86" s="0" t="str">
        <f aca="false">IF(AND(N($J86)&gt;0,N($K86)&gt;0),COUNTIFS($J$3:$J86,"&gt;0",$K$3:$K86,"&gt;0"),"")</f>
        <v/>
      </c>
      <c r="V86" s="0" t="str">
        <f aca="false">IF(AND(N($J86)&gt;0,N($K86)=0),COUNTIFS($J$3:$J86,"&gt;0",$K$3:$K86,"&lt;=0"),"")</f>
        <v/>
      </c>
      <c r="W86" s="0" t="str">
        <f aca="false">IF($C86="","",IF(COUNTIF($C$3:$C86,$C86)&gt;1,"",MAX($W$2:W85)+1))</f>
        <v/>
      </c>
      <c r="X86" s="0" t="str">
        <f aca="false">IF($H86="","",IF(COUNTIF($H$3:$H86,$H86)&gt;1,"",MAX($X$2:X85)+1))</f>
        <v/>
      </c>
      <c r="Y86" s="0" t="str">
        <f aca="false">IF(AND(N($M86)&gt;0,N($O86)&lt;=0),COUNTIFS($M$3:$M86,"&gt;0",$O$3:$O86,"&lt;=0"),"")</f>
        <v/>
      </c>
      <c r="Z86" s="30" t="n">
        <f aca="false">IF(OR('THÁNG 6'!$C93="",'THÁNG 6'!$B93=""),0,'THÁNG 6'!$B93)</f>
        <v>0</v>
      </c>
    </row>
    <row r="87" customFormat="false" ht="15" hidden="false" customHeight="false" outlineLevel="0" collapsed="false">
      <c r="A87" s="0" t="n">
        <v>6</v>
      </c>
      <c r="B87" s="29" t="str">
        <f aca="false">IF(OR('THÁNG 6'!$C94="",'THÁNG 6'!$B94=""),"",'THÁNG 6'!$B94)</f>
        <v/>
      </c>
      <c r="C87" s="0" t="str">
        <f aca="false">IF('THÁNG 6'!$C94="","",'THÁNG 6'!$C94)</f>
        <v/>
      </c>
      <c r="D87" s="0" t="str">
        <f aca="false">IF('THÁNG 6'!$C94="","",'THÁNG 6'!$D94&amp;"")</f>
        <v/>
      </c>
      <c r="E87" s="0" t="str">
        <f aca="false">IF('THÁNG 6'!$C94="","",'THÁNG 6'!$E94&amp;"")</f>
        <v/>
      </c>
      <c r="F87" s="0" t="str">
        <f aca="false">IF('THÁNG 6'!$C94="","",'THÁNG 6'!$F94&amp;"")</f>
        <v/>
      </c>
      <c r="G87" s="0" t="str">
        <f aca="false">IF('THÁNG 6'!$C94="","",'THÁNG 6'!$G94&amp;"")</f>
        <v/>
      </c>
      <c r="H87" s="0" t="str">
        <f aca="false">IF('THÁNG 6'!$C94="","",'THÁNG 6'!$H94&amp;"")</f>
        <v/>
      </c>
      <c r="I87" s="0" t="str">
        <f aca="false">IF('THÁNG 6'!$C94="","",N('THÁNG 6'!$I94))</f>
        <v/>
      </c>
      <c r="J87" s="0" t="str">
        <f aca="false">IF('THÁNG 6'!$C94="","",N('THÁNG 6'!$L94))</f>
        <v/>
      </c>
      <c r="K87" s="0" t="str">
        <f aca="false">IF('THÁNG 6'!$C94="","",N('THÁNG 6'!$N94))</f>
        <v/>
      </c>
      <c r="L87" s="0" t="str">
        <f aca="false">IF('THÁNG 6'!$C94="","",N('THÁNG 6'!$O94))</f>
        <v/>
      </c>
      <c r="M87" s="0" t="str">
        <f aca="false">IF('THÁNG 6'!$C94="","",N('THÁNG 6'!$P94))</f>
        <v/>
      </c>
      <c r="N87" s="0" t="str">
        <f aca="false">IF('THÁNG 6'!$C94="","",N('THÁNG 6'!$Q94))</f>
        <v/>
      </c>
      <c r="O87" s="0" t="str">
        <f aca="false">IF('THÁNG 6'!$C94="","",N('THÁNG 6'!$R94))</f>
        <v/>
      </c>
      <c r="P87" s="0" t="str">
        <f aca="false">IF(OR('THÁNG 6'!$C94="",'THÁNG 6'!$T94=""),"",'THÁNG 6'!$T94)</f>
        <v/>
      </c>
      <c r="Q87" s="0" t="str">
        <f aca="false">IF(OR('THÁNG 6'!$C94="",'THÁNG 6'!$U94=""),"",'THÁNG 6'!$U94)</f>
        <v/>
      </c>
      <c r="R87" s="0" t="str">
        <f aca="false">IF('THÁNG 6'!$C94="","",'THÁNG 6'!$W94&amp;"")</f>
        <v/>
      </c>
      <c r="S87" s="0" t="str">
        <f aca="false">IF('THÁNG 6'!$C94="","",'THÁNG 6'!$S94&amp;"")</f>
        <v/>
      </c>
      <c r="T87" s="0" t="str">
        <f aca="false">IF(N($O87)&gt;0,COUNTIF($O$3:$O87,"&gt;0"),"")</f>
        <v/>
      </c>
      <c r="U87" s="0" t="str">
        <f aca="false">IF(AND(N($J87)&gt;0,N($K87)&gt;0),COUNTIFS($J$3:$J87,"&gt;0",$K$3:$K87,"&gt;0"),"")</f>
        <v/>
      </c>
      <c r="V87" s="0" t="str">
        <f aca="false">IF(AND(N($J87)&gt;0,N($K87)=0),COUNTIFS($J$3:$J87,"&gt;0",$K$3:$K87,"&lt;=0"),"")</f>
        <v/>
      </c>
      <c r="W87" s="0" t="str">
        <f aca="false">IF($C87="","",IF(COUNTIF($C$3:$C87,$C87)&gt;1,"",MAX($W$2:W86)+1))</f>
        <v/>
      </c>
      <c r="X87" s="0" t="str">
        <f aca="false">IF($H87="","",IF(COUNTIF($H$3:$H87,$H87)&gt;1,"",MAX($X$2:X86)+1))</f>
        <v/>
      </c>
      <c r="Y87" s="0" t="str">
        <f aca="false">IF(AND(N($M87)&gt;0,N($O87)&lt;=0),COUNTIFS($M$3:$M87,"&gt;0",$O$3:$O87,"&lt;=0"),"")</f>
        <v/>
      </c>
      <c r="Z87" s="30" t="n">
        <f aca="false">IF(OR('THÁNG 6'!$C94="",'THÁNG 6'!$B94=""),0,'THÁNG 6'!$B94)</f>
        <v>0</v>
      </c>
    </row>
    <row r="88" customFormat="false" ht="15" hidden="false" customHeight="false" outlineLevel="0" collapsed="false">
      <c r="A88" s="0" t="n">
        <v>6</v>
      </c>
      <c r="B88" s="29" t="str">
        <f aca="false">IF(OR('THÁNG 6'!$C95="",'THÁNG 6'!$B95=""),"",'THÁNG 6'!$B95)</f>
        <v/>
      </c>
      <c r="C88" s="0" t="str">
        <f aca="false">IF('THÁNG 6'!$C95="","",'THÁNG 6'!$C95)</f>
        <v/>
      </c>
      <c r="D88" s="0" t="str">
        <f aca="false">IF('THÁNG 6'!$C95="","",'THÁNG 6'!$D95&amp;"")</f>
        <v/>
      </c>
      <c r="E88" s="0" t="str">
        <f aca="false">IF('THÁNG 6'!$C95="","",'THÁNG 6'!$E95&amp;"")</f>
        <v/>
      </c>
      <c r="F88" s="0" t="str">
        <f aca="false">IF('THÁNG 6'!$C95="","",'THÁNG 6'!$F95&amp;"")</f>
        <v/>
      </c>
      <c r="G88" s="0" t="str">
        <f aca="false">IF('THÁNG 6'!$C95="","",'THÁNG 6'!$G95&amp;"")</f>
        <v/>
      </c>
      <c r="H88" s="0" t="str">
        <f aca="false">IF('THÁNG 6'!$C95="","",'THÁNG 6'!$H95&amp;"")</f>
        <v/>
      </c>
      <c r="I88" s="0" t="str">
        <f aca="false">IF('THÁNG 6'!$C95="","",N('THÁNG 6'!$I95))</f>
        <v/>
      </c>
      <c r="J88" s="0" t="str">
        <f aca="false">IF('THÁNG 6'!$C95="","",N('THÁNG 6'!$L95))</f>
        <v/>
      </c>
      <c r="K88" s="0" t="str">
        <f aca="false">IF('THÁNG 6'!$C95="","",N('THÁNG 6'!$N95))</f>
        <v/>
      </c>
      <c r="L88" s="0" t="str">
        <f aca="false">IF('THÁNG 6'!$C95="","",N('THÁNG 6'!$O95))</f>
        <v/>
      </c>
      <c r="M88" s="0" t="str">
        <f aca="false">IF('THÁNG 6'!$C95="","",N('THÁNG 6'!$P95))</f>
        <v/>
      </c>
      <c r="N88" s="0" t="str">
        <f aca="false">IF('THÁNG 6'!$C95="","",N('THÁNG 6'!$Q95))</f>
        <v/>
      </c>
      <c r="O88" s="0" t="str">
        <f aca="false">IF('THÁNG 6'!$C95="","",N('THÁNG 6'!$R95))</f>
        <v/>
      </c>
      <c r="P88" s="0" t="str">
        <f aca="false">IF(OR('THÁNG 6'!$C95="",'THÁNG 6'!$T95=""),"",'THÁNG 6'!$T95)</f>
        <v/>
      </c>
      <c r="Q88" s="0" t="str">
        <f aca="false">IF(OR('THÁNG 6'!$C95="",'THÁNG 6'!$U95=""),"",'THÁNG 6'!$U95)</f>
        <v/>
      </c>
      <c r="R88" s="0" t="str">
        <f aca="false">IF('THÁNG 6'!$C95="","",'THÁNG 6'!$W95&amp;"")</f>
        <v/>
      </c>
      <c r="S88" s="0" t="str">
        <f aca="false">IF('THÁNG 6'!$C95="","",'THÁNG 6'!$S95&amp;"")</f>
        <v/>
      </c>
      <c r="T88" s="0" t="str">
        <f aca="false">IF(N($O88)&gt;0,COUNTIF($O$3:$O88,"&gt;0"),"")</f>
        <v/>
      </c>
      <c r="U88" s="0" t="str">
        <f aca="false">IF(AND(N($J88)&gt;0,N($K88)&gt;0),COUNTIFS($J$3:$J88,"&gt;0",$K$3:$K88,"&gt;0"),"")</f>
        <v/>
      </c>
      <c r="V88" s="0" t="str">
        <f aca="false">IF(AND(N($J88)&gt;0,N($K88)=0),COUNTIFS($J$3:$J88,"&gt;0",$K$3:$K88,"&lt;=0"),"")</f>
        <v/>
      </c>
      <c r="W88" s="0" t="str">
        <f aca="false">IF($C88="","",IF(COUNTIF($C$3:$C88,$C88)&gt;1,"",MAX($W$2:W87)+1))</f>
        <v/>
      </c>
      <c r="X88" s="0" t="str">
        <f aca="false">IF($H88="","",IF(COUNTIF($H$3:$H88,$H88)&gt;1,"",MAX($X$2:X87)+1))</f>
        <v/>
      </c>
      <c r="Y88" s="0" t="str">
        <f aca="false">IF(AND(N($M88)&gt;0,N($O88)&lt;=0),COUNTIFS($M$3:$M88,"&gt;0",$O$3:$O88,"&lt;=0"),"")</f>
        <v/>
      </c>
      <c r="Z88" s="30" t="n">
        <f aca="false">IF(OR('THÁNG 6'!$C95="",'THÁNG 6'!$B95=""),0,'THÁNG 6'!$B95)</f>
        <v>0</v>
      </c>
    </row>
    <row r="89" customFormat="false" ht="15" hidden="false" customHeight="false" outlineLevel="0" collapsed="false">
      <c r="A89" s="0" t="n">
        <v>6</v>
      </c>
      <c r="B89" s="29" t="str">
        <f aca="false">IF(OR('THÁNG 6'!$C96="",'THÁNG 6'!$B96=""),"",'THÁNG 6'!$B96)</f>
        <v/>
      </c>
      <c r="C89" s="0" t="str">
        <f aca="false">IF('THÁNG 6'!$C96="","",'THÁNG 6'!$C96)</f>
        <v/>
      </c>
      <c r="D89" s="0" t="str">
        <f aca="false">IF('THÁNG 6'!$C96="","",'THÁNG 6'!$D96&amp;"")</f>
        <v/>
      </c>
      <c r="E89" s="0" t="str">
        <f aca="false">IF('THÁNG 6'!$C96="","",'THÁNG 6'!$E96&amp;"")</f>
        <v/>
      </c>
      <c r="F89" s="0" t="str">
        <f aca="false">IF('THÁNG 6'!$C96="","",'THÁNG 6'!$F96&amp;"")</f>
        <v/>
      </c>
      <c r="G89" s="0" t="str">
        <f aca="false">IF('THÁNG 6'!$C96="","",'THÁNG 6'!$G96&amp;"")</f>
        <v/>
      </c>
      <c r="H89" s="0" t="str">
        <f aca="false">IF('THÁNG 6'!$C96="","",'THÁNG 6'!$H96&amp;"")</f>
        <v/>
      </c>
      <c r="I89" s="0" t="str">
        <f aca="false">IF('THÁNG 6'!$C96="","",N('THÁNG 6'!$I96))</f>
        <v/>
      </c>
      <c r="J89" s="0" t="str">
        <f aca="false">IF('THÁNG 6'!$C96="","",N('THÁNG 6'!$L96))</f>
        <v/>
      </c>
      <c r="K89" s="0" t="str">
        <f aca="false">IF('THÁNG 6'!$C96="","",N('THÁNG 6'!$N96))</f>
        <v/>
      </c>
      <c r="L89" s="0" t="str">
        <f aca="false">IF('THÁNG 6'!$C96="","",N('THÁNG 6'!$O96))</f>
        <v/>
      </c>
      <c r="M89" s="0" t="str">
        <f aca="false">IF('THÁNG 6'!$C96="","",N('THÁNG 6'!$P96))</f>
        <v/>
      </c>
      <c r="N89" s="0" t="str">
        <f aca="false">IF('THÁNG 6'!$C96="","",N('THÁNG 6'!$Q96))</f>
        <v/>
      </c>
      <c r="O89" s="0" t="str">
        <f aca="false">IF('THÁNG 6'!$C96="","",N('THÁNG 6'!$R96))</f>
        <v/>
      </c>
      <c r="P89" s="0" t="str">
        <f aca="false">IF(OR('THÁNG 6'!$C96="",'THÁNG 6'!$T96=""),"",'THÁNG 6'!$T96)</f>
        <v/>
      </c>
      <c r="Q89" s="0" t="str">
        <f aca="false">IF(OR('THÁNG 6'!$C96="",'THÁNG 6'!$U96=""),"",'THÁNG 6'!$U96)</f>
        <v/>
      </c>
      <c r="R89" s="0" t="str">
        <f aca="false">IF('THÁNG 6'!$C96="","",'THÁNG 6'!$W96&amp;"")</f>
        <v/>
      </c>
      <c r="S89" s="0" t="str">
        <f aca="false">IF('THÁNG 6'!$C96="","",'THÁNG 6'!$S96&amp;"")</f>
        <v/>
      </c>
      <c r="T89" s="0" t="str">
        <f aca="false">IF(N($O89)&gt;0,COUNTIF($O$3:$O89,"&gt;0"),"")</f>
        <v/>
      </c>
      <c r="U89" s="0" t="str">
        <f aca="false">IF(AND(N($J89)&gt;0,N($K89)&gt;0),COUNTIFS($J$3:$J89,"&gt;0",$K$3:$K89,"&gt;0"),"")</f>
        <v/>
      </c>
      <c r="V89" s="0" t="str">
        <f aca="false">IF(AND(N($J89)&gt;0,N($K89)=0),COUNTIFS($J$3:$J89,"&gt;0",$K$3:$K89,"&lt;=0"),"")</f>
        <v/>
      </c>
      <c r="W89" s="0" t="str">
        <f aca="false">IF($C89="","",IF(COUNTIF($C$3:$C89,$C89)&gt;1,"",MAX($W$2:W88)+1))</f>
        <v/>
      </c>
      <c r="X89" s="0" t="str">
        <f aca="false">IF($H89="","",IF(COUNTIF($H$3:$H89,$H89)&gt;1,"",MAX($X$2:X88)+1))</f>
        <v/>
      </c>
      <c r="Y89" s="0" t="str">
        <f aca="false">IF(AND(N($M89)&gt;0,N($O89)&lt;=0),COUNTIFS($M$3:$M89,"&gt;0",$O$3:$O89,"&lt;=0"),"")</f>
        <v/>
      </c>
      <c r="Z89" s="30" t="n">
        <f aca="false">IF(OR('THÁNG 6'!$C96="",'THÁNG 6'!$B96=""),0,'THÁNG 6'!$B96)</f>
        <v>0</v>
      </c>
    </row>
    <row r="90" customFormat="false" ht="15" hidden="false" customHeight="false" outlineLevel="0" collapsed="false">
      <c r="A90" s="0" t="n">
        <v>6</v>
      </c>
      <c r="B90" s="29" t="str">
        <f aca="false">IF(OR('THÁNG 6'!$C97="",'THÁNG 6'!$B97=""),"",'THÁNG 6'!$B97)</f>
        <v/>
      </c>
      <c r="C90" s="0" t="str">
        <f aca="false">IF('THÁNG 6'!$C97="","",'THÁNG 6'!$C97)</f>
        <v/>
      </c>
      <c r="D90" s="0" t="str">
        <f aca="false">IF('THÁNG 6'!$C97="","",'THÁNG 6'!$D97&amp;"")</f>
        <v/>
      </c>
      <c r="E90" s="0" t="str">
        <f aca="false">IF('THÁNG 6'!$C97="","",'THÁNG 6'!$E97&amp;"")</f>
        <v/>
      </c>
      <c r="F90" s="0" t="str">
        <f aca="false">IF('THÁNG 6'!$C97="","",'THÁNG 6'!$F97&amp;"")</f>
        <v/>
      </c>
      <c r="G90" s="0" t="str">
        <f aca="false">IF('THÁNG 6'!$C97="","",'THÁNG 6'!$G97&amp;"")</f>
        <v/>
      </c>
      <c r="H90" s="0" t="str">
        <f aca="false">IF('THÁNG 6'!$C97="","",'THÁNG 6'!$H97&amp;"")</f>
        <v/>
      </c>
      <c r="I90" s="0" t="str">
        <f aca="false">IF('THÁNG 6'!$C97="","",N('THÁNG 6'!$I97))</f>
        <v/>
      </c>
      <c r="J90" s="0" t="str">
        <f aca="false">IF('THÁNG 6'!$C97="","",N('THÁNG 6'!$L97))</f>
        <v/>
      </c>
      <c r="K90" s="0" t="str">
        <f aca="false">IF('THÁNG 6'!$C97="","",N('THÁNG 6'!$N97))</f>
        <v/>
      </c>
      <c r="L90" s="0" t="str">
        <f aca="false">IF('THÁNG 6'!$C97="","",N('THÁNG 6'!$O97))</f>
        <v/>
      </c>
      <c r="M90" s="0" t="str">
        <f aca="false">IF('THÁNG 6'!$C97="","",N('THÁNG 6'!$P97))</f>
        <v/>
      </c>
      <c r="N90" s="0" t="str">
        <f aca="false">IF('THÁNG 6'!$C97="","",N('THÁNG 6'!$Q97))</f>
        <v/>
      </c>
      <c r="O90" s="0" t="str">
        <f aca="false">IF('THÁNG 6'!$C97="","",N('THÁNG 6'!$R97))</f>
        <v/>
      </c>
      <c r="P90" s="0" t="str">
        <f aca="false">IF(OR('THÁNG 6'!$C97="",'THÁNG 6'!$T97=""),"",'THÁNG 6'!$T97)</f>
        <v/>
      </c>
      <c r="Q90" s="0" t="str">
        <f aca="false">IF(OR('THÁNG 6'!$C97="",'THÁNG 6'!$U97=""),"",'THÁNG 6'!$U97)</f>
        <v/>
      </c>
      <c r="R90" s="0" t="str">
        <f aca="false">IF('THÁNG 6'!$C97="","",'THÁNG 6'!$W97&amp;"")</f>
        <v/>
      </c>
      <c r="S90" s="0" t="str">
        <f aca="false">IF('THÁNG 6'!$C97="","",'THÁNG 6'!$S97&amp;"")</f>
        <v/>
      </c>
      <c r="T90" s="0" t="str">
        <f aca="false">IF(N($O90)&gt;0,COUNTIF($O$3:$O90,"&gt;0"),"")</f>
        <v/>
      </c>
      <c r="U90" s="0" t="str">
        <f aca="false">IF(AND(N($J90)&gt;0,N($K90)&gt;0),COUNTIFS($J$3:$J90,"&gt;0",$K$3:$K90,"&gt;0"),"")</f>
        <v/>
      </c>
      <c r="V90" s="0" t="str">
        <f aca="false">IF(AND(N($J90)&gt;0,N($K90)=0),COUNTIFS($J$3:$J90,"&gt;0",$K$3:$K90,"&lt;=0"),"")</f>
        <v/>
      </c>
      <c r="W90" s="0" t="str">
        <f aca="false">IF($C90="","",IF(COUNTIF($C$3:$C90,$C90)&gt;1,"",MAX($W$2:W89)+1))</f>
        <v/>
      </c>
      <c r="X90" s="0" t="str">
        <f aca="false">IF($H90="","",IF(COUNTIF($H$3:$H90,$H90)&gt;1,"",MAX($X$2:X89)+1))</f>
        <v/>
      </c>
      <c r="Y90" s="0" t="str">
        <f aca="false">IF(AND(N($M90)&gt;0,N($O90)&lt;=0),COUNTIFS($M$3:$M90,"&gt;0",$O$3:$O90,"&lt;=0"),"")</f>
        <v/>
      </c>
      <c r="Z90" s="30" t="n">
        <f aca="false">IF(OR('THÁNG 6'!$C97="",'THÁNG 6'!$B97=""),0,'THÁNG 6'!$B97)</f>
        <v>0</v>
      </c>
    </row>
    <row r="91" customFormat="false" ht="15" hidden="false" customHeight="false" outlineLevel="0" collapsed="false">
      <c r="A91" s="0" t="n">
        <v>6</v>
      </c>
      <c r="B91" s="29" t="str">
        <f aca="false">IF(OR('THÁNG 6'!$C98="",'THÁNG 6'!$B98=""),"",'THÁNG 6'!$B98)</f>
        <v/>
      </c>
      <c r="C91" s="0" t="str">
        <f aca="false">IF('THÁNG 6'!$C98="","",'THÁNG 6'!$C98)</f>
        <v/>
      </c>
      <c r="D91" s="0" t="str">
        <f aca="false">IF('THÁNG 6'!$C98="","",'THÁNG 6'!$D98&amp;"")</f>
        <v/>
      </c>
      <c r="E91" s="0" t="str">
        <f aca="false">IF('THÁNG 6'!$C98="","",'THÁNG 6'!$E98&amp;"")</f>
        <v/>
      </c>
      <c r="F91" s="0" t="str">
        <f aca="false">IF('THÁNG 6'!$C98="","",'THÁNG 6'!$F98&amp;"")</f>
        <v/>
      </c>
      <c r="G91" s="0" t="str">
        <f aca="false">IF('THÁNG 6'!$C98="","",'THÁNG 6'!$G98&amp;"")</f>
        <v/>
      </c>
      <c r="H91" s="0" t="str">
        <f aca="false">IF('THÁNG 6'!$C98="","",'THÁNG 6'!$H98&amp;"")</f>
        <v/>
      </c>
      <c r="I91" s="0" t="str">
        <f aca="false">IF('THÁNG 6'!$C98="","",N('THÁNG 6'!$I98))</f>
        <v/>
      </c>
      <c r="J91" s="0" t="str">
        <f aca="false">IF('THÁNG 6'!$C98="","",N('THÁNG 6'!$L98))</f>
        <v/>
      </c>
      <c r="K91" s="0" t="str">
        <f aca="false">IF('THÁNG 6'!$C98="","",N('THÁNG 6'!$N98))</f>
        <v/>
      </c>
      <c r="L91" s="0" t="str">
        <f aca="false">IF('THÁNG 6'!$C98="","",N('THÁNG 6'!$O98))</f>
        <v/>
      </c>
      <c r="M91" s="0" t="str">
        <f aca="false">IF('THÁNG 6'!$C98="","",N('THÁNG 6'!$P98))</f>
        <v/>
      </c>
      <c r="N91" s="0" t="str">
        <f aca="false">IF('THÁNG 6'!$C98="","",N('THÁNG 6'!$Q98))</f>
        <v/>
      </c>
      <c r="O91" s="0" t="str">
        <f aca="false">IF('THÁNG 6'!$C98="","",N('THÁNG 6'!$R98))</f>
        <v/>
      </c>
      <c r="P91" s="0" t="str">
        <f aca="false">IF(OR('THÁNG 6'!$C98="",'THÁNG 6'!$T98=""),"",'THÁNG 6'!$T98)</f>
        <v/>
      </c>
      <c r="Q91" s="0" t="str">
        <f aca="false">IF(OR('THÁNG 6'!$C98="",'THÁNG 6'!$U98=""),"",'THÁNG 6'!$U98)</f>
        <v/>
      </c>
      <c r="R91" s="0" t="str">
        <f aca="false">IF('THÁNG 6'!$C98="","",'THÁNG 6'!$W98&amp;"")</f>
        <v/>
      </c>
      <c r="S91" s="0" t="str">
        <f aca="false">IF('THÁNG 6'!$C98="","",'THÁNG 6'!$S98&amp;"")</f>
        <v/>
      </c>
      <c r="T91" s="0" t="str">
        <f aca="false">IF(N($O91)&gt;0,COUNTIF($O$3:$O91,"&gt;0"),"")</f>
        <v/>
      </c>
      <c r="U91" s="0" t="str">
        <f aca="false">IF(AND(N($J91)&gt;0,N($K91)&gt;0),COUNTIFS($J$3:$J91,"&gt;0",$K$3:$K91,"&gt;0"),"")</f>
        <v/>
      </c>
      <c r="V91" s="0" t="str">
        <f aca="false">IF(AND(N($J91)&gt;0,N($K91)=0),COUNTIFS($J$3:$J91,"&gt;0",$K$3:$K91,"&lt;=0"),"")</f>
        <v/>
      </c>
      <c r="W91" s="0" t="str">
        <f aca="false">IF($C91="","",IF(COUNTIF($C$3:$C91,$C91)&gt;1,"",MAX($W$2:W90)+1))</f>
        <v/>
      </c>
      <c r="X91" s="0" t="str">
        <f aca="false">IF($H91="","",IF(COUNTIF($H$3:$H91,$H91)&gt;1,"",MAX($X$2:X90)+1))</f>
        <v/>
      </c>
      <c r="Y91" s="0" t="str">
        <f aca="false">IF(AND(N($M91)&gt;0,N($O91)&lt;=0),COUNTIFS($M$3:$M91,"&gt;0",$O$3:$O91,"&lt;=0"),"")</f>
        <v/>
      </c>
      <c r="Z91" s="30" t="n">
        <f aca="false">IF(OR('THÁNG 6'!$C98="",'THÁNG 6'!$B98=""),0,'THÁNG 6'!$B98)</f>
        <v>0</v>
      </c>
    </row>
    <row r="92" customFormat="false" ht="15" hidden="false" customHeight="false" outlineLevel="0" collapsed="false">
      <c r="A92" s="0" t="n">
        <v>6</v>
      </c>
      <c r="B92" s="29" t="str">
        <f aca="false">IF(OR('THÁNG 6'!$C99="",'THÁNG 6'!$B99=""),"",'THÁNG 6'!$B99)</f>
        <v/>
      </c>
      <c r="C92" s="0" t="str">
        <f aca="false">IF('THÁNG 6'!$C99="","",'THÁNG 6'!$C99)</f>
        <v/>
      </c>
      <c r="D92" s="0" t="str">
        <f aca="false">IF('THÁNG 6'!$C99="","",'THÁNG 6'!$D99&amp;"")</f>
        <v/>
      </c>
      <c r="E92" s="0" t="str">
        <f aca="false">IF('THÁNG 6'!$C99="","",'THÁNG 6'!$E99&amp;"")</f>
        <v/>
      </c>
      <c r="F92" s="0" t="str">
        <f aca="false">IF('THÁNG 6'!$C99="","",'THÁNG 6'!$F99&amp;"")</f>
        <v/>
      </c>
      <c r="G92" s="0" t="str">
        <f aca="false">IF('THÁNG 6'!$C99="","",'THÁNG 6'!$G99&amp;"")</f>
        <v/>
      </c>
      <c r="H92" s="0" t="str">
        <f aca="false">IF('THÁNG 6'!$C99="","",'THÁNG 6'!$H99&amp;"")</f>
        <v/>
      </c>
      <c r="I92" s="0" t="str">
        <f aca="false">IF('THÁNG 6'!$C99="","",N('THÁNG 6'!$I99))</f>
        <v/>
      </c>
      <c r="J92" s="0" t="str">
        <f aca="false">IF('THÁNG 6'!$C99="","",N('THÁNG 6'!$L99))</f>
        <v/>
      </c>
      <c r="K92" s="0" t="str">
        <f aca="false">IF('THÁNG 6'!$C99="","",N('THÁNG 6'!$N99))</f>
        <v/>
      </c>
      <c r="L92" s="0" t="str">
        <f aca="false">IF('THÁNG 6'!$C99="","",N('THÁNG 6'!$O99))</f>
        <v/>
      </c>
      <c r="M92" s="0" t="str">
        <f aca="false">IF('THÁNG 6'!$C99="","",N('THÁNG 6'!$P99))</f>
        <v/>
      </c>
      <c r="N92" s="0" t="str">
        <f aca="false">IF('THÁNG 6'!$C99="","",N('THÁNG 6'!$Q99))</f>
        <v/>
      </c>
      <c r="O92" s="0" t="str">
        <f aca="false">IF('THÁNG 6'!$C99="","",N('THÁNG 6'!$R99))</f>
        <v/>
      </c>
      <c r="P92" s="0" t="str">
        <f aca="false">IF(OR('THÁNG 6'!$C99="",'THÁNG 6'!$T99=""),"",'THÁNG 6'!$T99)</f>
        <v/>
      </c>
      <c r="Q92" s="0" t="str">
        <f aca="false">IF(OR('THÁNG 6'!$C99="",'THÁNG 6'!$U99=""),"",'THÁNG 6'!$U99)</f>
        <v/>
      </c>
      <c r="R92" s="0" t="str">
        <f aca="false">IF('THÁNG 6'!$C99="","",'THÁNG 6'!$W99&amp;"")</f>
        <v/>
      </c>
      <c r="S92" s="0" t="str">
        <f aca="false">IF('THÁNG 6'!$C99="","",'THÁNG 6'!$S99&amp;"")</f>
        <v/>
      </c>
      <c r="T92" s="0" t="str">
        <f aca="false">IF(N($O92)&gt;0,COUNTIF($O$3:$O92,"&gt;0"),"")</f>
        <v/>
      </c>
      <c r="U92" s="0" t="str">
        <f aca="false">IF(AND(N($J92)&gt;0,N($K92)&gt;0),COUNTIFS($J$3:$J92,"&gt;0",$K$3:$K92,"&gt;0"),"")</f>
        <v/>
      </c>
      <c r="V92" s="0" t="str">
        <f aca="false">IF(AND(N($J92)&gt;0,N($K92)=0),COUNTIFS($J$3:$J92,"&gt;0",$K$3:$K92,"&lt;=0"),"")</f>
        <v/>
      </c>
      <c r="W92" s="0" t="str">
        <f aca="false">IF($C92="","",IF(COUNTIF($C$3:$C92,$C92)&gt;1,"",MAX($W$2:W91)+1))</f>
        <v/>
      </c>
      <c r="X92" s="0" t="str">
        <f aca="false">IF($H92="","",IF(COUNTIF($H$3:$H92,$H92)&gt;1,"",MAX($X$2:X91)+1))</f>
        <v/>
      </c>
      <c r="Y92" s="0" t="str">
        <f aca="false">IF(AND(N($M92)&gt;0,N($O92)&lt;=0),COUNTIFS($M$3:$M92,"&gt;0",$O$3:$O92,"&lt;=0"),"")</f>
        <v/>
      </c>
      <c r="Z92" s="30" t="n">
        <f aca="false">IF(OR('THÁNG 6'!$C99="",'THÁNG 6'!$B99=""),0,'THÁNG 6'!$B99)</f>
        <v>0</v>
      </c>
    </row>
    <row r="93" customFormat="false" ht="15" hidden="false" customHeight="false" outlineLevel="0" collapsed="false">
      <c r="A93" s="0" t="n">
        <v>6</v>
      </c>
      <c r="B93" s="29" t="str">
        <f aca="false">IF(OR('THÁNG 6'!$C100="",'THÁNG 6'!$B100=""),"",'THÁNG 6'!$B100)</f>
        <v/>
      </c>
      <c r="C93" s="0" t="str">
        <f aca="false">IF('THÁNG 6'!$C100="","",'THÁNG 6'!$C100)</f>
        <v/>
      </c>
      <c r="D93" s="0" t="str">
        <f aca="false">IF('THÁNG 6'!$C100="","",'THÁNG 6'!$D100&amp;"")</f>
        <v/>
      </c>
      <c r="E93" s="0" t="str">
        <f aca="false">IF('THÁNG 6'!$C100="","",'THÁNG 6'!$E100&amp;"")</f>
        <v/>
      </c>
      <c r="F93" s="0" t="str">
        <f aca="false">IF('THÁNG 6'!$C100="","",'THÁNG 6'!$F100&amp;"")</f>
        <v/>
      </c>
      <c r="G93" s="0" t="str">
        <f aca="false">IF('THÁNG 6'!$C100="","",'THÁNG 6'!$G100&amp;"")</f>
        <v/>
      </c>
      <c r="H93" s="0" t="str">
        <f aca="false">IF('THÁNG 6'!$C100="","",'THÁNG 6'!$H100&amp;"")</f>
        <v/>
      </c>
      <c r="I93" s="0" t="str">
        <f aca="false">IF('THÁNG 6'!$C100="","",N('THÁNG 6'!$I100))</f>
        <v/>
      </c>
      <c r="J93" s="0" t="str">
        <f aca="false">IF('THÁNG 6'!$C100="","",N('THÁNG 6'!$L100))</f>
        <v/>
      </c>
      <c r="K93" s="0" t="str">
        <f aca="false">IF('THÁNG 6'!$C100="","",N('THÁNG 6'!$N100))</f>
        <v/>
      </c>
      <c r="L93" s="0" t="str">
        <f aca="false">IF('THÁNG 6'!$C100="","",N('THÁNG 6'!$O100))</f>
        <v/>
      </c>
      <c r="M93" s="0" t="str">
        <f aca="false">IF('THÁNG 6'!$C100="","",N('THÁNG 6'!$P100))</f>
        <v/>
      </c>
      <c r="N93" s="0" t="str">
        <f aca="false">IF('THÁNG 6'!$C100="","",N('THÁNG 6'!$Q100))</f>
        <v/>
      </c>
      <c r="O93" s="0" t="str">
        <f aca="false">IF('THÁNG 6'!$C100="","",N('THÁNG 6'!$R100))</f>
        <v/>
      </c>
      <c r="P93" s="0" t="str">
        <f aca="false">IF(OR('THÁNG 6'!$C100="",'THÁNG 6'!$T100=""),"",'THÁNG 6'!$T100)</f>
        <v/>
      </c>
      <c r="Q93" s="0" t="str">
        <f aca="false">IF(OR('THÁNG 6'!$C100="",'THÁNG 6'!$U100=""),"",'THÁNG 6'!$U100)</f>
        <v/>
      </c>
      <c r="R93" s="0" t="str">
        <f aca="false">IF('THÁNG 6'!$C100="","",'THÁNG 6'!$W100&amp;"")</f>
        <v/>
      </c>
      <c r="S93" s="0" t="str">
        <f aca="false">IF('THÁNG 6'!$C100="","",'THÁNG 6'!$S100&amp;"")</f>
        <v/>
      </c>
      <c r="T93" s="0" t="str">
        <f aca="false">IF(N($O93)&gt;0,COUNTIF($O$3:$O93,"&gt;0"),"")</f>
        <v/>
      </c>
      <c r="U93" s="0" t="str">
        <f aca="false">IF(AND(N($J93)&gt;0,N($K93)&gt;0),COUNTIFS($J$3:$J93,"&gt;0",$K$3:$K93,"&gt;0"),"")</f>
        <v/>
      </c>
      <c r="V93" s="0" t="str">
        <f aca="false">IF(AND(N($J93)&gt;0,N($K93)=0),COUNTIFS($J$3:$J93,"&gt;0",$K$3:$K93,"&lt;=0"),"")</f>
        <v/>
      </c>
      <c r="W93" s="0" t="str">
        <f aca="false">IF($C93="","",IF(COUNTIF($C$3:$C93,$C93)&gt;1,"",MAX($W$2:W92)+1))</f>
        <v/>
      </c>
      <c r="X93" s="0" t="str">
        <f aca="false">IF($H93="","",IF(COUNTIF($H$3:$H93,$H93)&gt;1,"",MAX($X$2:X92)+1))</f>
        <v/>
      </c>
      <c r="Y93" s="0" t="str">
        <f aca="false">IF(AND(N($M93)&gt;0,N($O93)&lt;=0),COUNTIFS($M$3:$M93,"&gt;0",$O$3:$O93,"&lt;=0"),"")</f>
        <v/>
      </c>
      <c r="Z93" s="30" t="n">
        <f aca="false">IF(OR('THÁNG 6'!$C100="",'THÁNG 6'!$B100=""),0,'THÁNG 6'!$B100)</f>
        <v>0</v>
      </c>
    </row>
    <row r="94" customFormat="false" ht="15" hidden="false" customHeight="false" outlineLevel="0" collapsed="false">
      <c r="A94" s="0" t="n">
        <v>6</v>
      </c>
      <c r="B94" s="29" t="str">
        <f aca="false">IF(OR('THÁNG 6'!$C101="",'THÁNG 6'!$B101=""),"",'THÁNG 6'!$B101)</f>
        <v/>
      </c>
      <c r="C94" s="0" t="str">
        <f aca="false">IF('THÁNG 6'!$C101="","",'THÁNG 6'!$C101)</f>
        <v/>
      </c>
      <c r="D94" s="0" t="str">
        <f aca="false">IF('THÁNG 6'!$C101="","",'THÁNG 6'!$D101&amp;"")</f>
        <v/>
      </c>
      <c r="E94" s="0" t="str">
        <f aca="false">IF('THÁNG 6'!$C101="","",'THÁNG 6'!$E101&amp;"")</f>
        <v/>
      </c>
      <c r="F94" s="0" t="str">
        <f aca="false">IF('THÁNG 6'!$C101="","",'THÁNG 6'!$F101&amp;"")</f>
        <v/>
      </c>
      <c r="G94" s="0" t="str">
        <f aca="false">IF('THÁNG 6'!$C101="","",'THÁNG 6'!$G101&amp;"")</f>
        <v/>
      </c>
      <c r="H94" s="0" t="str">
        <f aca="false">IF('THÁNG 6'!$C101="","",'THÁNG 6'!$H101&amp;"")</f>
        <v/>
      </c>
      <c r="I94" s="0" t="str">
        <f aca="false">IF('THÁNG 6'!$C101="","",N('THÁNG 6'!$I101))</f>
        <v/>
      </c>
      <c r="J94" s="0" t="str">
        <f aca="false">IF('THÁNG 6'!$C101="","",N('THÁNG 6'!$L101))</f>
        <v/>
      </c>
      <c r="K94" s="0" t="str">
        <f aca="false">IF('THÁNG 6'!$C101="","",N('THÁNG 6'!$N101))</f>
        <v/>
      </c>
      <c r="L94" s="0" t="str">
        <f aca="false">IF('THÁNG 6'!$C101="","",N('THÁNG 6'!$O101))</f>
        <v/>
      </c>
      <c r="M94" s="0" t="str">
        <f aca="false">IF('THÁNG 6'!$C101="","",N('THÁNG 6'!$P101))</f>
        <v/>
      </c>
      <c r="N94" s="0" t="str">
        <f aca="false">IF('THÁNG 6'!$C101="","",N('THÁNG 6'!$Q101))</f>
        <v/>
      </c>
      <c r="O94" s="0" t="str">
        <f aca="false">IF('THÁNG 6'!$C101="","",N('THÁNG 6'!$R101))</f>
        <v/>
      </c>
      <c r="P94" s="0" t="str">
        <f aca="false">IF(OR('THÁNG 6'!$C101="",'THÁNG 6'!$T101=""),"",'THÁNG 6'!$T101)</f>
        <v/>
      </c>
      <c r="Q94" s="0" t="str">
        <f aca="false">IF(OR('THÁNG 6'!$C101="",'THÁNG 6'!$U101=""),"",'THÁNG 6'!$U101)</f>
        <v/>
      </c>
      <c r="R94" s="0" t="str">
        <f aca="false">IF('THÁNG 6'!$C101="","",'THÁNG 6'!$W101&amp;"")</f>
        <v/>
      </c>
      <c r="S94" s="0" t="str">
        <f aca="false">IF('THÁNG 6'!$C101="","",'THÁNG 6'!$S101&amp;"")</f>
        <v/>
      </c>
      <c r="T94" s="0" t="str">
        <f aca="false">IF(N($O94)&gt;0,COUNTIF($O$3:$O94,"&gt;0"),"")</f>
        <v/>
      </c>
      <c r="U94" s="0" t="str">
        <f aca="false">IF(AND(N($J94)&gt;0,N($K94)&gt;0),COUNTIFS($J$3:$J94,"&gt;0",$K$3:$K94,"&gt;0"),"")</f>
        <v/>
      </c>
      <c r="V94" s="0" t="str">
        <f aca="false">IF(AND(N($J94)&gt;0,N($K94)=0),COUNTIFS($J$3:$J94,"&gt;0",$K$3:$K94,"&lt;=0"),"")</f>
        <v/>
      </c>
      <c r="W94" s="0" t="str">
        <f aca="false">IF($C94="","",IF(COUNTIF($C$3:$C94,$C94)&gt;1,"",MAX($W$2:W93)+1))</f>
        <v/>
      </c>
      <c r="X94" s="0" t="str">
        <f aca="false">IF($H94="","",IF(COUNTIF($H$3:$H94,$H94)&gt;1,"",MAX($X$2:X93)+1))</f>
        <v/>
      </c>
      <c r="Y94" s="0" t="str">
        <f aca="false">IF(AND(N($M94)&gt;0,N($O94)&lt;=0),COUNTIFS($M$3:$M94,"&gt;0",$O$3:$O94,"&lt;=0"),"")</f>
        <v/>
      </c>
      <c r="Z94" s="30" t="n">
        <f aca="false">IF(OR('THÁNG 6'!$C101="",'THÁNG 6'!$B101=""),0,'THÁNG 6'!$B101)</f>
        <v>0</v>
      </c>
    </row>
    <row r="95" customFormat="false" ht="15" hidden="false" customHeight="false" outlineLevel="0" collapsed="false">
      <c r="A95" s="0" t="n">
        <v>6</v>
      </c>
      <c r="B95" s="29" t="str">
        <f aca="false">IF(OR('THÁNG 6'!$C102="",'THÁNG 6'!$B102=""),"",'THÁNG 6'!$B102)</f>
        <v/>
      </c>
      <c r="C95" s="0" t="str">
        <f aca="false">IF('THÁNG 6'!$C102="","",'THÁNG 6'!$C102)</f>
        <v/>
      </c>
      <c r="D95" s="0" t="str">
        <f aca="false">IF('THÁNG 6'!$C102="","",'THÁNG 6'!$D102&amp;"")</f>
        <v/>
      </c>
      <c r="E95" s="0" t="str">
        <f aca="false">IF('THÁNG 6'!$C102="","",'THÁNG 6'!$E102&amp;"")</f>
        <v/>
      </c>
      <c r="F95" s="0" t="str">
        <f aca="false">IF('THÁNG 6'!$C102="","",'THÁNG 6'!$F102&amp;"")</f>
        <v/>
      </c>
      <c r="G95" s="0" t="str">
        <f aca="false">IF('THÁNG 6'!$C102="","",'THÁNG 6'!$G102&amp;"")</f>
        <v/>
      </c>
      <c r="H95" s="0" t="str">
        <f aca="false">IF('THÁNG 6'!$C102="","",'THÁNG 6'!$H102&amp;"")</f>
        <v/>
      </c>
      <c r="I95" s="0" t="str">
        <f aca="false">IF('THÁNG 6'!$C102="","",N('THÁNG 6'!$I102))</f>
        <v/>
      </c>
      <c r="J95" s="0" t="str">
        <f aca="false">IF('THÁNG 6'!$C102="","",N('THÁNG 6'!$L102))</f>
        <v/>
      </c>
      <c r="K95" s="0" t="str">
        <f aca="false">IF('THÁNG 6'!$C102="","",N('THÁNG 6'!$N102))</f>
        <v/>
      </c>
      <c r="L95" s="0" t="str">
        <f aca="false">IF('THÁNG 6'!$C102="","",N('THÁNG 6'!$O102))</f>
        <v/>
      </c>
      <c r="M95" s="0" t="str">
        <f aca="false">IF('THÁNG 6'!$C102="","",N('THÁNG 6'!$P102))</f>
        <v/>
      </c>
      <c r="N95" s="0" t="str">
        <f aca="false">IF('THÁNG 6'!$C102="","",N('THÁNG 6'!$Q102))</f>
        <v/>
      </c>
      <c r="O95" s="0" t="str">
        <f aca="false">IF('THÁNG 6'!$C102="","",N('THÁNG 6'!$R102))</f>
        <v/>
      </c>
      <c r="P95" s="0" t="str">
        <f aca="false">IF(OR('THÁNG 6'!$C102="",'THÁNG 6'!$T102=""),"",'THÁNG 6'!$T102)</f>
        <v/>
      </c>
      <c r="Q95" s="0" t="str">
        <f aca="false">IF(OR('THÁNG 6'!$C102="",'THÁNG 6'!$U102=""),"",'THÁNG 6'!$U102)</f>
        <v/>
      </c>
      <c r="R95" s="0" t="str">
        <f aca="false">IF('THÁNG 6'!$C102="","",'THÁNG 6'!$W102&amp;"")</f>
        <v/>
      </c>
      <c r="S95" s="0" t="str">
        <f aca="false">IF('THÁNG 6'!$C102="","",'THÁNG 6'!$S102&amp;"")</f>
        <v/>
      </c>
      <c r="T95" s="0" t="str">
        <f aca="false">IF(N($O95)&gt;0,COUNTIF($O$3:$O95,"&gt;0"),"")</f>
        <v/>
      </c>
      <c r="U95" s="0" t="str">
        <f aca="false">IF(AND(N($J95)&gt;0,N($K95)&gt;0),COUNTIFS($J$3:$J95,"&gt;0",$K$3:$K95,"&gt;0"),"")</f>
        <v/>
      </c>
      <c r="V95" s="0" t="str">
        <f aca="false">IF(AND(N($J95)&gt;0,N($K95)=0),COUNTIFS($J$3:$J95,"&gt;0",$K$3:$K95,"&lt;=0"),"")</f>
        <v/>
      </c>
      <c r="W95" s="0" t="str">
        <f aca="false">IF($C95="","",IF(COUNTIF($C$3:$C95,$C95)&gt;1,"",MAX($W$2:W94)+1))</f>
        <v/>
      </c>
      <c r="X95" s="0" t="str">
        <f aca="false">IF($H95="","",IF(COUNTIF($H$3:$H95,$H95)&gt;1,"",MAX($X$2:X94)+1))</f>
        <v/>
      </c>
      <c r="Y95" s="0" t="str">
        <f aca="false">IF(AND(N($M95)&gt;0,N($O95)&lt;=0),COUNTIFS($M$3:$M95,"&gt;0",$O$3:$O95,"&lt;=0"),"")</f>
        <v/>
      </c>
      <c r="Z95" s="30" t="n">
        <f aca="false">IF(OR('THÁNG 6'!$C102="",'THÁNG 6'!$B102=""),0,'THÁNG 6'!$B102)</f>
        <v>0</v>
      </c>
    </row>
    <row r="96" customFormat="false" ht="15" hidden="false" customHeight="false" outlineLevel="0" collapsed="false">
      <c r="A96" s="0" t="n">
        <v>6</v>
      </c>
      <c r="B96" s="29" t="str">
        <f aca="false">IF(OR('THÁNG 6'!$C103="",'THÁNG 6'!$B103=""),"",'THÁNG 6'!$B103)</f>
        <v/>
      </c>
      <c r="C96" s="0" t="str">
        <f aca="false">IF('THÁNG 6'!$C103="","",'THÁNG 6'!$C103)</f>
        <v/>
      </c>
      <c r="D96" s="0" t="str">
        <f aca="false">IF('THÁNG 6'!$C103="","",'THÁNG 6'!$D103&amp;"")</f>
        <v/>
      </c>
      <c r="E96" s="0" t="str">
        <f aca="false">IF('THÁNG 6'!$C103="","",'THÁNG 6'!$E103&amp;"")</f>
        <v/>
      </c>
      <c r="F96" s="0" t="str">
        <f aca="false">IF('THÁNG 6'!$C103="","",'THÁNG 6'!$F103&amp;"")</f>
        <v/>
      </c>
      <c r="G96" s="0" t="str">
        <f aca="false">IF('THÁNG 6'!$C103="","",'THÁNG 6'!$G103&amp;"")</f>
        <v/>
      </c>
      <c r="H96" s="0" t="str">
        <f aca="false">IF('THÁNG 6'!$C103="","",'THÁNG 6'!$H103&amp;"")</f>
        <v/>
      </c>
      <c r="I96" s="0" t="str">
        <f aca="false">IF('THÁNG 6'!$C103="","",N('THÁNG 6'!$I103))</f>
        <v/>
      </c>
      <c r="J96" s="0" t="str">
        <f aca="false">IF('THÁNG 6'!$C103="","",N('THÁNG 6'!$L103))</f>
        <v/>
      </c>
      <c r="K96" s="0" t="str">
        <f aca="false">IF('THÁNG 6'!$C103="","",N('THÁNG 6'!$N103))</f>
        <v/>
      </c>
      <c r="L96" s="0" t="str">
        <f aca="false">IF('THÁNG 6'!$C103="","",N('THÁNG 6'!$O103))</f>
        <v/>
      </c>
      <c r="M96" s="0" t="str">
        <f aca="false">IF('THÁNG 6'!$C103="","",N('THÁNG 6'!$P103))</f>
        <v/>
      </c>
      <c r="N96" s="0" t="str">
        <f aca="false">IF('THÁNG 6'!$C103="","",N('THÁNG 6'!$Q103))</f>
        <v/>
      </c>
      <c r="O96" s="0" t="str">
        <f aca="false">IF('THÁNG 6'!$C103="","",N('THÁNG 6'!$R103))</f>
        <v/>
      </c>
      <c r="P96" s="0" t="str">
        <f aca="false">IF(OR('THÁNG 6'!$C103="",'THÁNG 6'!$T103=""),"",'THÁNG 6'!$T103)</f>
        <v/>
      </c>
      <c r="Q96" s="0" t="str">
        <f aca="false">IF(OR('THÁNG 6'!$C103="",'THÁNG 6'!$U103=""),"",'THÁNG 6'!$U103)</f>
        <v/>
      </c>
      <c r="R96" s="0" t="str">
        <f aca="false">IF('THÁNG 6'!$C103="","",'THÁNG 6'!$W103&amp;"")</f>
        <v/>
      </c>
      <c r="S96" s="0" t="str">
        <f aca="false">IF('THÁNG 6'!$C103="","",'THÁNG 6'!$S103&amp;"")</f>
        <v/>
      </c>
      <c r="T96" s="0" t="str">
        <f aca="false">IF(N($O96)&gt;0,COUNTIF($O$3:$O96,"&gt;0"),"")</f>
        <v/>
      </c>
      <c r="U96" s="0" t="str">
        <f aca="false">IF(AND(N($J96)&gt;0,N($K96)&gt;0),COUNTIFS($J$3:$J96,"&gt;0",$K$3:$K96,"&gt;0"),"")</f>
        <v/>
      </c>
      <c r="V96" s="0" t="str">
        <f aca="false">IF(AND(N($J96)&gt;0,N($K96)=0),COUNTIFS($J$3:$J96,"&gt;0",$K$3:$K96,"&lt;=0"),"")</f>
        <v/>
      </c>
      <c r="W96" s="0" t="str">
        <f aca="false">IF($C96="","",IF(COUNTIF($C$3:$C96,$C96)&gt;1,"",MAX($W$2:W95)+1))</f>
        <v/>
      </c>
      <c r="X96" s="0" t="str">
        <f aca="false">IF($H96="","",IF(COUNTIF($H$3:$H96,$H96)&gt;1,"",MAX($X$2:X95)+1))</f>
        <v/>
      </c>
      <c r="Y96" s="0" t="str">
        <f aca="false">IF(AND(N($M96)&gt;0,N($O96)&lt;=0),COUNTIFS($M$3:$M96,"&gt;0",$O$3:$O96,"&lt;=0"),"")</f>
        <v/>
      </c>
      <c r="Z96" s="30" t="n">
        <f aca="false">IF(OR('THÁNG 6'!$C103="",'THÁNG 6'!$B103=""),0,'THÁNG 6'!$B103)</f>
        <v>0</v>
      </c>
    </row>
    <row r="97" customFormat="false" ht="15" hidden="false" customHeight="false" outlineLevel="0" collapsed="false">
      <c r="A97" s="0" t="n">
        <v>6</v>
      </c>
      <c r="B97" s="29" t="str">
        <f aca="false">IF(OR('THÁNG 6'!$C104="",'THÁNG 6'!$B104=""),"",'THÁNG 6'!$B104)</f>
        <v/>
      </c>
      <c r="C97" s="0" t="str">
        <f aca="false">IF('THÁNG 6'!$C104="","",'THÁNG 6'!$C104)</f>
        <v/>
      </c>
      <c r="D97" s="0" t="str">
        <f aca="false">IF('THÁNG 6'!$C104="","",'THÁNG 6'!$D104&amp;"")</f>
        <v/>
      </c>
      <c r="E97" s="0" t="str">
        <f aca="false">IF('THÁNG 6'!$C104="","",'THÁNG 6'!$E104&amp;"")</f>
        <v/>
      </c>
      <c r="F97" s="0" t="str">
        <f aca="false">IF('THÁNG 6'!$C104="","",'THÁNG 6'!$F104&amp;"")</f>
        <v/>
      </c>
      <c r="G97" s="0" t="str">
        <f aca="false">IF('THÁNG 6'!$C104="","",'THÁNG 6'!$G104&amp;"")</f>
        <v/>
      </c>
      <c r="H97" s="0" t="str">
        <f aca="false">IF('THÁNG 6'!$C104="","",'THÁNG 6'!$H104&amp;"")</f>
        <v/>
      </c>
      <c r="I97" s="0" t="str">
        <f aca="false">IF('THÁNG 6'!$C104="","",N('THÁNG 6'!$I104))</f>
        <v/>
      </c>
      <c r="J97" s="0" t="str">
        <f aca="false">IF('THÁNG 6'!$C104="","",N('THÁNG 6'!$L104))</f>
        <v/>
      </c>
      <c r="K97" s="0" t="str">
        <f aca="false">IF('THÁNG 6'!$C104="","",N('THÁNG 6'!$N104))</f>
        <v/>
      </c>
      <c r="L97" s="0" t="str">
        <f aca="false">IF('THÁNG 6'!$C104="","",N('THÁNG 6'!$O104))</f>
        <v/>
      </c>
      <c r="M97" s="0" t="str">
        <f aca="false">IF('THÁNG 6'!$C104="","",N('THÁNG 6'!$P104))</f>
        <v/>
      </c>
      <c r="N97" s="0" t="str">
        <f aca="false">IF('THÁNG 6'!$C104="","",N('THÁNG 6'!$Q104))</f>
        <v/>
      </c>
      <c r="O97" s="0" t="str">
        <f aca="false">IF('THÁNG 6'!$C104="","",N('THÁNG 6'!$R104))</f>
        <v/>
      </c>
      <c r="P97" s="0" t="str">
        <f aca="false">IF(OR('THÁNG 6'!$C104="",'THÁNG 6'!$T104=""),"",'THÁNG 6'!$T104)</f>
        <v/>
      </c>
      <c r="Q97" s="0" t="str">
        <f aca="false">IF(OR('THÁNG 6'!$C104="",'THÁNG 6'!$U104=""),"",'THÁNG 6'!$U104)</f>
        <v/>
      </c>
      <c r="R97" s="0" t="str">
        <f aca="false">IF('THÁNG 6'!$C104="","",'THÁNG 6'!$W104&amp;"")</f>
        <v/>
      </c>
      <c r="S97" s="0" t="str">
        <f aca="false">IF('THÁNG 6'!$C104="","",'THÁNG 6'!$S104&amp;"")</f>
        <v/>
      </c>
      <c r="T97" s="0" t="str">
        <f aca="false">IF(N($O97)&gt;0,COUNTIF($O$3:$O97,"&gt;0"),"")</f>
        <v/>
      </c>
      <c r="U97" s="0" t="str">
        <f aca="false">IF(AND(N($J97)&gt;0,N($K97)&gt;0),COUNTIFS($J$3:$J97,"&gt;0",$K$3:$K97,"&gt;0"),"")</f>
        <v/>
      </c>
      <c r="V97" s="0" t="str">
        <f aca="false">IF(AND(N($J97)&gt;0,N($K97)=0),COUNTIFS($J$3:$J97,"&gt;0",$K$3:$K97,"&lt;=0"),"")</f>
        <v/>
      </c>
      <c r="W97" s="0" t="str">
        <f aca="false">IF($C97="","",IF(COUNTIF($C$3:$C97,$C97)&gt;1,"",MAX($W$2:W96)+1))</f>
        <v/>
      </c>
      <c r="X97" s="0" t="str">
        <f aca="false">IF($H97="","",IF(COUNTIF($H$3:$H97,$H97)&gt;1,"",MAX($X$2:X96)+1))</f>
        <v/>
      </c>
      <c r="Y97" s="0" t="str">
        <f aca="false">IF(AND(N($M97)&gt;0,N($O97)&lt;=0),COUNTIFS($M$3:$M97,"&gt;0",$O$3:$O97,"&lt;=0"),"")</f>
        <v/>
      </c>
      <c r="Z97" s="30" t="n">
        <f aca="false">IF(OR('THÁNG 6'!$C104="",'THÁNG 6'!$B104=""),0,'THÁNG 6'!$B104)</f>
        <v>0</v>
      </c>
    </row>
    <row r="98" customFormat="false" ht="15" hidden="false" customHeight="false" outlineLevel="0" collapsed="false">
      <c r="A98" s="0" t="n">
        <v>6</v>
      </c>
      <c r="B98" s="29" t="str">
        <f aca="false">IF(OR('THÁNG 6'!$C105="",'THÁNG 6'!$B105=""),"",'THÁNG 6'!$B105)</f>
        <v/>
      </c>
      <c r="C98" s="0" t="str">
        <f aca="false">IF('THÁNG 6'!$C105="","",'THÁNG 6'!$C105)</f>
        <v/>
      </c>
      <c r="D98" s="0" t="str">
        <f aca="false">IF('THÁNG 6'!$C105="","",'THÁNG 6'!$D105&amp;"")</f>
        <v/>
      </c>
      <c r="E98" s="0" t="str">
        <f aca="false">IF('THÁNG 6'!$C105="","",'THÁNG 6'!$E105&amp;"")</f>
        <v/>
      </c>
      <c r="F98" s="0" t="str">
        <f aca="false">IF('THÁNG 6'!$C105="","",'THÁNG 6'!$F105&amp;"")</f>
        <v/>
      </c>
      <c r="G98" s="0" t="str">
        <f aca="false">IF('THÁNG 6'!$C105="","",'THÁNG 6'!$G105&amp;"")</f>
        <v/>
      </c>
      <c r="H98" s="0" t="str">
        <f aca="false">IF('THÁNG 6'!$C105="","",'THÁNG 6'!$H105&amp;"")</f>
        <v/>
      </c>
      <c r="I98" s="0" t="str">
        <f aca="false">IF('THÁNG 6'!$C105="","",N('THÁNG 6'!$I105))</f>
        <v/>
      </c>
      <c r="J98" s="0" t="str">
        <f aca="false">IF('THÁNG 6'!$C105="","",N('THÁNG 6'!$L105))</f>
        <v/>
      </c>
      <c r="K98" s="0" t="str">
        <f aca="false">IF('THÁNG 6'!$C105="","",N('THÁNG 6'!$N105))</f>
        <v/>
      </c>
      <c r="L98" s="0" t="str">
        <f aca="false">IF('THÁNG 6'!$C105="","",N('THÁNG 6'!$O105))</f>
        <v/>
      </c>
      <c r="M98" s="0" t="str">
        <f aca="false">IF('THÁNG 6'!$C105="","",N('THÁNG 6'!$P105))</f>
        <v/>
      </c>
      <c r="N98" s="0" t="str">
        <f aca="false">IF('THÁNG 6'!$C105="","",N('THÁNG 6'!$Q105))</f>
        <v/>
      </c>
      <c r="O98" s="0" t="str">
        <f aca="false">IF('THÁNG 6'!$C105="","",N('THÁNG 6'!$R105))</f>
        <v/>
      </c>
      <c r="P98" s="0" t="str">
        <f aca="false">IF(OR('THÁNG 6'!$C105="",'THÁNG 6'!$T105=""),"",'THÁNG 6'!$T105)</f>
        <v/>
      </c>
      <c r="Q98" s="0" t="str">
        <f aca="false">IF(OR('THÁNG 6'!$C105="",'THÁNG 6'!$U105=""),"",'THÁNG 6'!$U105)</f>
        <v/>
      </c>
      <c r="R98" s="0" t="str">
        <f aca="false">IF('THÁNG 6'!$C105="","",'THÁNG 6'!$W105&amp;"")</f>
        <v/>
      </c>
      <c r="S98" s="0" t="str">
        <f aca="false">IF('THÁNG 6'!$C105="","",'THÁNG 6'!$S105&amp;"")</f>
        <v/>
      </c>
      <c r="T98" s="0" t="str">
        <f aca="false">IF(N($O98)&gt;0,COUNTIF($O$3:$O98,"&gt;0"),"")</f>
        <v/>
      </c>
      <c r="U98" s="0" t="str">
        <f aca="false">IF(AND(N($J98)&gt;0,N($K98)&gt;0),COUNTIFS($J$3:$J98,"&gt;0",$K$3:$K98,"&gt;0"),"")</f>
        <v/>
      </c>
      <c r="V98" s="0" t="str">
        <f aca="false">IF(AND(N($J98)&gt;0,N($K98)=0),COUNTIFS($J$3:$J98,"&gt;0",$K$3:$K98,"&lt;=0"),"")</f>
        <v/>
      </c>
      <c r="W98" s="0" t="str">
        <f aca="false">IF($C98="","",IF(COUNTIF($C$3:$C98,$C98)&gt;1,"",MAX($W$2:W97)+1))</f>
        <v/>
      </c>
      <c r="X98" s="0" t="str">
        <f aca="false">IF($H98="","",IF(COUNTIF($H$3:$H98,$H98)&gt;1,"",MAX($X$2:X97)+1))</f>
        <v/>
      </c>
      <c r="Y98" s="0" t="str">
        <f aca="false">IF(AND(N($M98)&gt;0,N($O98)&lt;=0),COUNTIFS($M$3:$M98,"&gt;0",$O$3:$O98,"&lt;=0"),"")</f>
        <v/>
      </c>
      <c r="Z98" s="30" t="n">
        <f aca="false">IF(OR('THÁNG 6'!$C105="",'THÁNG 6'!$B105=""),0,'THÁNG 6'!$B105)</f>
        <v>0</v>
      </c>
    </row>
    <row r="99" customFormat="false" ht="15" hidden="false" customHeight="false" outlineLevel="0" collapsed="false">
      <c r="A99" s="0" t="n">
        <v>6</v>
      </c>
      <c r="B99" s="29" t="str">
        <f aca="false">IF(OR('THÁNG 6'!$C106="",'THÁNG 6'!$B106=""),"",'THÁNG 6'!$B106)</f>
        <v/>
      </c>
      <c r="C99" s="0" t="str">
        <f aca="false">IF('THÁNG 6'!$C106="","",'THÁNG 6'!$C106)</f>
        <v/>
      </c>
      <c r="D99" s="0" t="str">
        <f aca="false">IF('THÁNG 6'!$C106="","",'THÁNG 6'!$D106&amp;"")</f>
        <v/>
      </c>
      <c r="E99" s="0" t="str">
        <f aca="false">IF('THÁNG 6'!$C106="","",'THÁNG 6'!$E106&amp;"")</f>
        <v/>
      </c>
      <c r="F99" s="0" t="str">
        <f aca="false">IF('THÁNG 6'!$C106="","",'THÁNG 6'!$F106&amp;"")</f>
        <v/>
      </c>
      <c r="G99" s="0" t="str">
        <f aca="false">IF('THÁNG 6'!$C106="","",'THÁNG 6'!$G106&amp;"")</f>
        <v/>
      </c>
      <c r="H99" s="0" t="str">
        <f aca="false">IF('THÁNG 6'!$C106="","",'THÁNG 6'!$H106&amp;"")</f>
        <v/>
      </c>
      <c r="I99" s="0" t="str">
        <f aca="false">IF('THÁNG 6'!$C106="","",N('THÁNG 6'!$I106))</f>
        <v/>
      </c>
      <c r="J99" s="0" t="str">
        <f aca="false">IF('THÁNG 6'!$C106="","",N('THÁNG 6'!$L106))</f>
        <v/>
      </c>
      <c r="K99" s="0" t="str">
        <f aca="false">IF('THÁNG 6'!$C106="","",N('THÁNG 6'!$N106))</f>
        <v/>
      </c>
      <c r="L99" s="0" t="str">
        <f aca="false">IF('THÁNG 6'!$C106="","",N('THÁNG 6'!$O106))</f>
        <v/>
      </c>
      <c r="M99" s="0" t="str">
        <f aca="false">IF('THÁNG 6'!$C106="","",N('THÁNG 6'!$P106))</f>
        <v/>
      </c>
      <c r="N99" s="0" t="str">
        <f aca="false">IF('THÁNG 6'!$C106="","",N('THÁNG 6'!$Q106))</f>
        <v/>
      </c>
      <c r="O99" s="0" t="str">
        <f aca="false">IF('THÁNG 6'!$C106="","",N('THÁNG 6'!$R106))</f>
        <v/>
      </c>
      <c r="P99" s="0" t="str">
        <f aca="false">IF(OR('THÁNG 6'!$C106="",'THÁNG 6'!$T106=""),"",'THÁNG 6'!$T106)</f>
        <v/>
      </c>
      <c r="Q99" s="0" t="str">
        <f aca="false">IF(OR('THÁNG 6'!$C106="",'THÁNG 6'!$U106=""),"",'THÁNG 6'!$U106)</f>
        <v/>
      </c>
      <c r="R99" s="0" t="str">
        <f aca="false">IF('THÁNG 6'!$C106="","",'THÁNG 6'!$W106&amp;"")</f>
        <v/>
      </c>
      <c r="S99" s="0" t="str">
        <f aca="false">IF('THÁNG 6'!$C106="","",'THÁNG 6'!$S106&amp;"")</f>
        <v/>
      </c>
      <c r="T99" s="0" t="str">
        <f aca="false">IF(N($O99)&gt;0,COUNTIF($O$3:$O99,"&gt;0"),"")</f>
        <v/>
      </c>
      <c r="U99" s="0" t="str">
        <f aca="false">IF(AND(N($J99)&gt;0,N($K99)&gt;0),COUNTIFS($J$3:$J99,"&gt;0",$K$3:$K99,"&gt;0"),"")</f>
        <v/>
      </c>
      <c r="V99" s="0" t="str">
        <f aca="false">IF(AND(N($J99)&gt;0,N($K99)=0),COUNTIFS($J$3:$J99,"&gt;0",$K$3:$K99,"&lt;=0"),"")</f>
        <v/>
      </c>
      <c r="W99" s="0" t="str">
        <f aca="false">IF($C99="","",IF(COUNTIF($C$3:$C99,$C99)&gt;1,"",MAX($W$2:W98)+1))</f>
        <v/>
      </c>
      <c r="X99" s="0" t="str">
        <f aca="false">IF($H99="","",IF(COUNTIF($H$3:$H99,$H99)&gt;1,"",MAX($X$2:X98)+1))</f>
        <v/>
      </c>
      <c r="Y99" s="0" t="str">
        <f aca="false">IF(AND(N($M99)&gt;0,N($O99)&lt;=0),COUNTIFS($M$3:$M99,"&gt;0",$O$3:$O99,"&lt;=0"),"")</f>
        <v/>
      </c>
      <c r="Z99" s="30" t="n">
        <f aca="false">IF(OR('THÁNG 6'!$C106="",'THÁNG 6'!$B106=""),0,'THÁNG 6'!$B106)</f>
        <v>0</v>
      </c>
    </row>
    <row r="100" customFormat="false" ht="15" hidden="false" customHeight="false" outlineLevel="0" collapsed="false">
      <c r="A100" s="0" t="n">
        <v>6</v>
      </c>
      <c r="B100" s="29" t="str">
        <f aca="false">IF(OR('THÁNG 6'!$C107="",'THÁNG 6'!$B107=""),"",'THÁNG 6'!$B107)</f>
        <v/>
      </c>
      <c r="C100" s="0" t="str">
        <f aca="false">IF('THÁNG 6'!$C107="","",'THÁNG 6'!$C107)</f>
        <v/>
      </c>
      <c r="D100" s="0" t="str">
        <f aca="false">IF('THÁNG 6'!$C107="","",'THÁNG 6'!$D107&amp;"")</f>
        <v/>
      </c>
      <c r="E100" s="0" t="str">
        <f aca="false">IF('THÁNG 6'!$C107="","",'THÁNG 6'!$E107&amp;"")</f>
        <v/>
      </c>
      <c r="F100" s="0" t="str">
        <f aca="false">IF('THÁNG 6'!$C107="","",'THÁNG 6'!$F107&amp;"")</f>
        <v/>
      </c>
      <c r="G100" s="0" t="str">
        <f aca="false">IF('THÁNG 6'!$C107="","",'THÁNG 6'!$G107&amp;"")</f>
        <v/>
      </c>
      <c r="H100" s="0" t="str">
        <f aca="false">IF('THÁNG 6'!$C107="","",'THÁNG 6'!$H107&amp;"")</f>
        <v/>
      </c>
      <c r="I100" s="0" t="str">
        <f aca="false">IF('THÁNG 6'!$C107="","",N('THÁNG 6'!$I107))</f>
        <v/>
      </c>
      <c r="J100" s="0" t="str">
        <f aca="false">IF('THÁNG 6'!$C107="","",N('THÁNG 6'!$L107))</f>
        <v/>
      </c>
      <c r="K100" s="0" t="str">
        <f aca="false">IF('THÁNG 6'!$C107="","",N('THÁNG 6'!$N107))</f>
        <v/>
      </c>
      <c r="L100" s="0" t="str">
        <f aca="false">IF('THÁNG 6'!$C107="","",N('THÁNG 6'!$O107))</f>
        <v/>
      </c>
      <c r="M100" s="0" t="str">
        <f aca="false">IF('THÁNG 6'!$C107="","",N('THÁNG 6'!$P107))</f>
        <v/>
      </c>
      <c r="N100" s="0" t="str">
        <f aca="false">IF('THÁNG 6'!$C107="","",N('THÁNG 6'!$Q107))</f>
        <v/>
      </c>
      <c r="O100" s="0" t="str">
        <f aca="false">IF('THÁNG 6'!$C107="","",N('THÁNG 6'!$R107))</f>
        <v/>
      </c>
      <c r="P100" s="0" t="str">
        <f aca="false">IF(OR('THÁNG 6'!$C107="",'THÁNG 6'!$T107=""),"",'THÁNG 6'!$T107)</f>
        <v/>
      </c>
      <c r="Q100" s="0" t="str">
        <f aca="false">IF(OR('THÁNG 6'!$C107="",'THÁNG 6'!$U107=""),"",'THÁNG 6'!$U107)</f>
        <v/>
      </c>
      <c r="R100" s="0" t="str">
        <f aca="false">IF('THÁNG 6'!$C107="","",'THÁNG 6'!$W107&amp;"")</f>
        <v/>
      </c>
      <c r="S100" s="0" t="str">
        <f aca="false">IF('THÁNG 6'!$C107="","",'THÁNG 6'!$S107&amp;"")</f>
        <v/>
      </c>
      <c r="T100" s="0" t="str">
        <f aca="false">IF(N($O100)&gt;0,COUNTIF($O$3:$O100,"&gt;0"),"")</f>
        <v/>
      </c>
      <c r="U100" s="0" t="str">
        <f aca="false">IF(AND(N($J100)&gt;0,N($K100)&gt;0),COUNTIFS($J$3:$J100,"&gt;0",$K$3:$K100,"&gt;0"),"")</f>
        <v/>
      </c>
      <c r="V100" s="0" t="str">
        <f aca="false">IF(AND(N($J100)&gt;0,N($K100)=0),COUNTIFS($J$3:$J100,"&gt;0",$K$3:$K100,"&lt;=0"),"")</f>
        <v/>
      </c>
      <c r="W100" s="0" t="str">
        <f aca="false">IF($C100="","",IF(COUNTIF($C$3:$C100,$C100)&gt;1,"",MAX($W$2:W99)+1))</f>
        <v/>
      </c>
      <c r="X100" s="0" t="str">
        <f aca="false">IF($H100="","",IF(COUNTIF($H$3:$H100,$H100)&gt;1,"",MAX($X$2:X99)+1))</f>
        <v/>
      </c>
      <c r="Y100" s="0" t="str">
        <f aca="false">IF(AND(N($M100)&gt;0,N($O100)&lt;=0),COUNTIFS($M$3:$M100,"&gt;0",$O$3:$O100,"&lt;=0"),"")</f>
        <v/>
      </c>
      <c r="Z100" s="30" t="n">
        <f aca="false">IF(OR('THÁNG 6'!$C107="",'THÁNG 6'!$B107=""),0,'THÁNG 6'!$B107)</f>
        <v>0</v>
      </c>
    </row>
    <row r="101" customFormat="false" ht="15" hidden="false" customHeight="false" outlineLevel="0" collapsed="false">
      <c r="A101" s="0" t="n">
        <v>6</v>
      </c>
      <c r="B101" s="29" t="str">
        <f aca="false">IF(OR('THÁNG 6'!$C108="",'THÁNG 6'!$B108=""),"",'THÁNG 6'!$B108)</f>
        <v/>
      </c>
      <c r="C101" s="0" t="str">
        <f aca="false">IF('THÁNG 6'!$C108="","",'THÁNG 6'!$C108)</f>
        <v/>
      </c>
      <c r="D101" s="0" t="str">
        <f aca="false">IF('THÁNG 6'!$C108="","",'THÁNG 6'!$D108&amp;"")</f>
        <v/>
      </c>
      <c r="E101" s="0" t="str">
        <f aca="false">IF('THÁNG 6'!$C108="","",'THÁNG 6'!$E108&amp;"")</f>
        <v/>
      </c>
      <c r="F101" s="0" t="str">
        <f aca="false">IF('THÁNG 6'!$C108="","",'THÁNG 6'!$F108&amp;"")</f>
        <v/>
      </c>
      <c r="G101" s="0" t="str">
        <f aca="false">IF('THÁNG 6'!$C108="","",'THÁNG 6'!$G108&amp;"")</f>
        <v/>
      </c>
      <c r="H101" s="0" t="str">
        <f aca="false">IF('THÁNG 6'!$C108="","",'THÁNG 6'!$H108&amp;"")</f>
        <v/>
      </c>
      <c r="I101" s="0" t="str">
        <f aca="false">IF('THÁNG 6'!$C108="","",N('THÁNG 6'!$I108))</f>
        <v/>
      </c>
      <c r="J101" s="0" t="str">
        <f aca="false">IF('THÁNG 6'!$C108="","",N('THÁNG 6'!$L108))</f>
        <v/>
      </c>
      <c r="K101" s="0" t="str">
        <f aca="false">IF('THÁNG 6'!$C108="","",N('THÁNG 6'!$N108))</f>
        <v/>
      </c>
      <c r="L101" s="0" t="str">
        <f aca="false">IF('THÁNG 6'!$C108="","",N('THÁNG 6'!$O108))</f>
        <v/>
      </c>
      <c r="M101" s="0" t="str">
        <f aca="false">IF('THÁNG 6'!$C108="","",N('THÁNG 6'!$P108))</f>
        <v/>
      </c>
      <c r="N101" s="0" t="str">
        <f aca="false">IF('THÁNG 6'!$C108="","",N('THÁNG 6'!$Q108))</f>
        <v/>
      </c>
      <c r="O101" s="0" t="str">
        <f aca="false">IF('THÁNG 6'!$C108="","",N('THÁNG 6'!$R108))</f>
        <v/>
      </c>
      <c r="P101" s="0" t="str">
        <f aca="false">IF(OR('THÁNG 6'!$C108="",'THÁNG 6'!$T108=""),"",'THÁNG 6'!$T108)</f>
        <v/>
      </c>
      <c r="Q101" s="0" t="str">
        <f aca="false">IF(OR('THÁNG 6'!$C108="",'THÁNG 6'!$U108=""),"",'THÁNG 6'!$U108)</f>
        <v/>
      </c>
      <c r="R101" s="0" t="str">
        <f aca="false">IF('THÁNG 6'!$C108="","",'THÁNG 6'!$W108&amp;"")</f>
        <v/>
      </c>
      <c r="S101" s="0" t="str">
        <f aca="false">IF('THÁNG 6'!$C108="","",'THÁNG 6'!$S108&amp;"")</f>
        <v/>
      </c>
      <c r="T101" s="0" t="str">
        <f aca="false">IF(N($O101)&gt;0,COUNTIF($O$3:$O101,"&gt;0"),"")</f>
        <v/>
      </c>
      <c r="U101" s="0" t="str">
        <f aca="false">IF(AND(N($J101)&gt;0,N($K101)&gt;0),COUNTIFS($J$3:$J101,"&gt;0",$K$3:$K101,"&gt;0"),"")</f>
        <v/>
      </c>
      <c r="V101" s="0" t="str">
        <f aca="false">IF(AND(N($J101)&gt;0,N($K101)=0),COUNTIFS($J$3:$J101,"&gt;0",$K$3:$K101,"&lt;=0"),"")</f>
        <v/>
      </c>
      <c r="W101" s="0" t="str">
        <f aca="false">IF($C101="","",IF(COUNTIF($C$3:$C101,$C101)&gt;1,"",MAX($W$2:W100)+1))</f>
        <v/>
      </c>
      <c r="X101" s="0" t="str">
        <f aca="false">IF($H101="","",IF(COUNTIF($H$3:$H101,$H101)&gt;1,"",MAX($X$2:X100)+1))</f>
        <v/>
      </c>
      <c r="Y101" s="0" t="str">
        <f aca="false">IF(AND(N($M101)&gt;0,N($O101)&lt;=0),COUNTIFS($M$3:$M101,"&gt;0",$O$3:$O101,"&lt;=0"),"")</f>
        <v/>
      </c>
      <c r="Z101" s="30" t="n">
        <f aca="false">IF(OR('THÁNG 6'!$C108="",'THÁNG 6'!$B108=""),0,'THÁNG 6'!$B108)</f>
        <v>0</v>
      </c>
    </row>
    <row r="102" customFormat="false" ht="15" hidden="false" customHeight="false" outlineLevel="0" collapsed="false">
      <c r="A102" s="0" t="n">
        <v>6</v>
      </c>
      <c r="B102" s="29" t="str">
        <f aca="false">IF(OR('THÁNG 6'!$C109="",'THÁNG 6'!$B109=""),"",'THÁNG 6'!$B109)</f>
        <v/>
      </c>
      <c r="C102" s="0" t="str">
        <f aca="false">IF('THÁNG 6'!$C109="","",'THÁNG 6'!$C109)</f>
        <v/>
      </c>
      <c r="D102" s="0" t="str">
        <f aca="false">IF('THÁNG 6'!$C109="","",'THÁNG 6'!$D109&amp;"")</f>
        <v/>
      </c>
      <c r="E102" s="0" t="str">
        <f aca="false">IF('THÁNG 6'!$C109="","",'THÁNG 6'!$E109&amp;"")</f>
        <v/>
      </c>
      <c r="F102" s="0" t="str">
        <f aca="false">IF('THÁNG 6'!$C109="","",'THÁNG 6'!$F109&amp;"")</f>
        <v/>
      </c>
      <c r="G102" s="0" t="str">
        <f aca="false">IF('THÁNG 6'!$C109="","",'THÁNG 6'!$G109&amp;"")</f>
        <v/>
      </c>
      <c r="H102" s="0" t="str">
        <f aca="false">IF('THÁNG 6'!$C109="","",'THÁNG 6'!$H109&amp;"")</f>
        <v/>
      </c>
      <c r="I102" s="0" t="str">
        <f aca="false">IF('THÁNG 6'!$C109="","",N('THÁNG 6'!$I109))</f>
        <v/>
      </c>
      <c r="J102" s="0" t="str">
        <f aca="false">IF('THÁNG 6'!$C109="","",N('THÁNG 6'!$L109))</f>
        <v/>
      </c>
      <c r="K102" s="0" t="str">
        <f aca="false">IF('THÁNG 6'!$C109="","",N('THÁNG 6'!$N109))</f>
        <v/>
      </c>
      <c r="L102" s="0" t="str">
        <f aca="false">IF('THÁNG 6'!$C109="","",N('THÁNG 6'!$O109))</f>
        <v/>
      </c>
      <c r="M102" s="0" t="str">
        <f aca="false">IF('THÁNG 6'!$C109="","",N('THÁNG 6'!$P109))</f>
        <v/>
      </c>
      <c r="N102" s="0" t="str">
        <f aca="false">IF('THÁNG 6'!$C109="","",N('THÁNG 6'!$Q109))</f>
        <v/>
      </c>
      <c r="O102" s="0" t="str">
        <f aca="false">IF('THÁNG 6'!$C109="","",N('THÁNG 6'!$R109))</f>
        <v/>
      </c>
      <c r="P102" s="0" t="str">
        <f aca="false">IF(OR('THÁNG 6'!$C109="",'THÁNG 6'!$T109=""),"",'THÁNG 6'!$T109)</f>
        <v/>
      </c>
      <c r="Q102" s="0" t="str">
        <f aca="false">IF(OR('THÁNG 6'!$C109="",'THÁNG 6'!$U109=""),"",'THÁNG 6'!$U109)</f>
        <v/>
      </c>
      <c r="R102" s="0" t="str">
        <f aca="false">IF('THÁNG 6'!$C109="","",'THÁNG 6'!$W109&amp;"")</f>
        <v/>
      </c>
      <c r="S102" s="0" t="str">
        <f aca="false">IF('THÁNG 6'!$C109="","",'THÁNG 6'!$S109&amp;"")</f>
        <v/>
      </c>
      <c r="T102" s="0" t="str">
        <f aca="false">IF(N($O102)&gt;0,COUNTIF($O$3:$O102,"&gt;0"),"")</f>
        <v/>
      </c>
      <c r="U102" s="0" t="str">
        <f aca="false">IF(AND(N($J102)&gt;0,N($K102)&gt;0),COUNTIFS($J$3:$J102,"&gt;0",$K$3:$K102,"&gt;0"),"")</f>
        <v/>
      </c>
      <c r="V102" s="0" t="str">
        <f aca="false">IF(AND(N($J102)&gt;0,N($K102)=0),COUNTIFS($J$3:$J102,"&gt;0",$K$3:$K102,"&lt;=0"),"")</f>
        <v/>
      </c>
      <c r="W102" s="0" t="str">
        <f aca="false">IF($C102="","",IF(COUNTIF($C$3:$C102,$C102)&gt;1,"",MAX($W$2:W101)+1))</f>
        <v/>
      </c>
      <c r="X102" s="0" t="str">
        <f aca="false">IF($H102="","",IF(COUNTIF($H$3:$H102,$H102)&gt;1,"",MAX($X$2:X101)+1))</f>
        <v/>
      </c>
      <c r="Y102" s="0" t="str">
        <f aca="false">IF(AND(N($M102)&gt;0,N($O102)&lt;=0),COUNTIFS($M$3:$M102,"&gt;0",$O$3:$O102,"&lt;=0"),"")</f>
        <v/>
      </c>
      <c r="Z102" s="30" t="n">
        <f aca="false">IF(OR('THÁNG 6'!$C109="",'THÁNG 6'!$B109=""),0,'THÁNG 6'!$B109)</f>
        <v>0</v>
      </c>
    </row>
    <row r="103" customFormat="false" ht="15" hidden="false" customHeight="false" outlineLevel="0" collapsed="false">
      <c r="A103" s="0" t="n">
        <v>6</v>
      </c>
      <c r="B103" s="29" t="str">
        <f aca="false">IF(OR('THÁNG 6'!$C110="",'THÁNG 6'!$B110=""),"",'THÁNG 6'!$B110)</f>
        <v/>
      </c>
      <c r="C103" s="0" t="str">
        <f aca="false">IF('THÁNG 6'!$C110="","",'THÁNG 6'!$C110)</f>
        <v/>
      </c>
      <c r="D103" s="0" t="str">
        <f aca="false">IF('THÁNG 6'!$C110="","",'THÁNG 6'!$D110&amp;"")</f>
        <v/>
      </c>
      <c r="E103" s="0" t="str">
        <f aca="false">IF('THÁNG 6'!$C110="","",'THÁNG 6'!$E110&amp;"")</f>
        <v/>
      </c>
      <c r="F103" s="0" t="str">
        <f aca="false">IF('THÁNG 6'!$C110="","",'THÁNG 6'!$F110&amp;"")</f>
        <v/>
      </c>
      <c r="G103" s="0" t="str">
        <f aca="false">IF('THÁNG 6'!$C110="","",'THÁNG 6'!$G110&amp;"")</f>
        <v/>
      </c>
      <c r="H103" s="0" t="str">
        <f aca="false">IF('THÁNG 6'!$C110="","",'THÁNG 6'!$H110&amp;"")</f>
        <v/>
      </c>
      <c r="I103" s="0" t="str">
        <f aca="false">IF('THÁNG 6'!$C110="","",N('THÁNG 6'!$I110))</f>
        <v/>
      </c>
      <c r="J103" s="0" t="str">
        <f aca="false">IF('THÁNG 6'!$C110="","",N('THÁNG 6'!$L110))</f>
        <v/>
      </c>
      <c r="K103" s="0" t="str">
        <f aca="false">IF('THÁNG 6'!$C110="","",N('THÁNG 6'!$N110))</f>
        <v/>
      </c>
      <c r="L103" s="0" t="str">
        <f aca="false">IF('THÁNG 6'!$C110="","",N('THÁNG 6'!$O110))</f>
        <v/>
      </c>
      <c r="M103" s="0" t="str">
        <f aca="false">IF('THÁNG 6'!$C110="","",N('THÁNG 6'!$P110))</f>
        <v/>
      </c>
      <c r="N103" s="0" t="str">
        <f aca="false">IF('THÁNG 6'!$C110="","",N('THÁNG 6'!$Q110))</f>
        <v/>
      </c>
      <c r="O103" s="0" t="str">
        <f aca="false">IF('THÁNG 6'!$C110="","",N('THÁNG 6'!$R110))</f>
        <v/>
      </c>
      <c r="P103" s="0" t="str">
        <f aca="false">IF(OR('THÁNG 6'!$C110="",'THÁNG 6'!$T110=""),"",'THÁNG 6'!$T110)</f>
        <v/>
      </c>
      <c r="Q103" s="0" t="str">
        <f aca="false">IF(OR('THÁNG 6'!$C110="",'THÁNG 6'!$U110=""),"",'THÁNG 6'!$U110)</f>
        <v/>
      </c>
      <c r="R103" s="0" t="str">
        <f aca="false">IF('THÁNG 6'!$C110="","",'THÁNG 6'!$W110&amp;"")</f>
        <v/>
      </c>
      <c r="S103" s="0" t="str">
        <f aca="false">IF('THÁNG 6'!$C110="","",'THÁNG 6'!$S110&amp;"")</f>
        <v/>
      </c>
      <c r="T103" s="0" t="str">
        <f aca="false">IF(N($O103)&gt;0,COUNTIF($O$3:$O103,"&gt;0"),"")</f>
        <v/>
      </c>
      <c r="U103" s="0" t="str">
        <f aca="false">IF(AND(N($J103)&gt;0,N($K103)&gt;0),COUNTIFS($J$3:$J103,"&gt;0",$K$3:$K103,"&gt;0"),"")</f>
        <v/>
      </c>
      <c r="V103" s="0" t="str">
        <f aca="false">IF(AND(N($J103)&gt;0,N($K103)=0),COUNTIFS($J$3:$J103,"&gt;0",$K$3:$K103,"&lt;=0"),"")</f>
        <v/>
      </c>
      <c r="W103" s="0" t="str">
        <f aca="false">IF($C103="","",IF(COUNTIF($C$3:$C103,$C103)&gt;1,"",MAX($W$2:W102)+1))</f>
        <v/>
      </c>
      <c r="X103" s="0" t="str">
        <f aca="false">IF($H103="","",IF(COUNTIF($H$3:$H103,$H103)&gt;1,"",MAX($X$2:X102)+1))</f>
        <v/>
      </c>
      <c r="Y103" s="0" t="str">
        <f aca="false">IF(AND(N($M103)&gt;0,N($O103)&lt;=0),COUNTIFS($M$3:$M103,"&gt;0",$O$3:$O103,"&lt;=0"),"")</f>
        <v/>
      </c>
      <c r="Z103" s="30" t="n">
        <f aca="false">IF(OR('THÁNG 6'!$C110="",'THÁNG 6'!$B110=""),0,'THÁNG 6'!$B110)</f>
        <v>0</v>
      </c>
    </row>
    <row r="104" customFormat="false" ht="15" hidden="false" customHeight="false" outlineLevel="0" collapsed="false">
      <c r="A104" s="0" t="n">
        <v>6</v>
      </c>
      <c r="B104" s="29" t="str">
        <f aca="false">IF(OR('THÁNG 6'!$C111="",'THÁNG 6'!$B111=""),"",'THÁNG 6'!$B111)</f>
        <v/>
      </c>
      <c r="C104" s="0" t="str">
        <f aca="false">IF('THÁNG 6'!$C111="","",'THÁNG 6'!$C111)</f>
        <v/>
      </c>
      <c r="D104" s="0" t="str">
        <f aca="false">IF('THÁNG 6'!$C111="","",'THÁNG 6'!$D111&amp;"")</f>
        <v/>
      </c>
      <c r="E104" s="0" t="str">
        <f aca="false">IF('THÁNG 6'!$C111="","",'THÁNG 6'!$E111&amp;"")</f>
        <v/>
      </c>
      <c r="F104" s="0" t="str">
        <f aca="false">IF('THÁNG 6'!$C111="","",'THÁNG 6'!$F111&amp;"")</f>
        <v/>
      </c>
      <c r="G104" s="0" t="str">
        <f aca="false">IF('THÁNG 6'!$C111="","",'THÁNG 6'!$G111&amp;"")</f>
        <v/>
      </c>
      <c r="H104" s="0" t="str">
        <f aca="false">IF('THÁNG 6'!$C111="","",'THÁNG 6'!$H111&amp;"")</f>
        <v/>
      </c>
      <c r="I104" s="0" t="str">
        <f aca="false">IF('THÁNG 6'!$C111="","",N('THÁNG 6'!$I111))</f>
        <v/>
      </c>
      <c r="J104" s="0" t="str">
        <f aca="false">IF('THÁNG 6'!$C111="","",N('THÁNG 6'!$L111))</f>
        <v/>
      </c>
      <c r="K104" s="0" t="str">
        <f aca="false">IF('THÁNG 6'!$C111="","",N('THÁNG 6'!$N111))</f>
        <v/>
      </c>
      <c r="L104" s="0" t="str">
        <f aca="false">IF('THÁNG 6'!$C111="","",N('THÁNG 6'!$O111))</f>
        <v/>
      </c>
      <c r="M104" s="0" t="str">
        <f aca="false">IF('THÁNG 6'!$C111="","",N('THÁNG 6'!$P111))</f>
        <v/>
      </c>
      <c r="N104" s="0" t="str">
        <f aca="false">IF('THÁNG 6'!$C111="","",N('THÁNG 6'!$Q111))</f>
        <v/>
      </c>
      <c r="O104" s="0" t="str">
        <f aca="false">IF('THÁNG 6'!$C111="","",N('THÁNG 6'!$R111))</f>
        <v/>
      </c>
      <c r="P104" s="0" t="str">
        <f aca="false">IF(OR('THÁNG 6'!$C111="",'THÁNG 6'!$T111=""),"",'THÁNG 6'!$T111)</f>
        <v/>
      </c>
      <c r="Q104" s="0" t="str">
        <f aca="false">IF(OR('THÁNG 6'!$C111="",'THÁNG 6'!$U111=""),"",'THÁNG 6'!$U111)</f>
        <v/>
      </c>
      <c r="R104" s="0" t="str">
        <f aca="false">IF('THÁNG 6'!$C111="","",'THÁNG 6'!$W111&amp;"")</f>
        <v/>
      </c>
      <c r="S104" s="0" t="str">
        <f aca="false">IF('THÁNG 6'!$C111="","",'THÁNG 6'!$S111&amp;"")</f>
        <v/>
      </c>
      <c r="T104" s="0" t="str">
        <f aca="false">IF(N($O104)&gt;0,COUNTIF($O$3:$O104,"&gt;0"),"")</f>
        <v/>
      </c>
      <c r="U104" s="0" t="str">
        <f aca="false">IF(AND(N($J104)&gt;0,N($K104)&gt;0),COUNTIFS($J$3:$J104,"&gt;0",$K$3:$K104,"&gt;0"),"")</f>
        <v/>
      </c>
      <c r="V104" s="0" t="str">
        <f aca="false">IF(AND(N($J104)&gt;0,N($K104)=0),COUNTIFS($J$3:$J104,"&gt;0",$K$3:$K104,"&lt;=0"),"")</f>
        <v/>
      </c>
      <c r="W104" s="0" t="str">
        <f aca="false">IF($C104="","",IF(COUNTIF($C$3:$C104,$C104)&gt;1,"",MAX($W$2:W103)+1))</f>
        <v/>
      </c>
      <c r="X104" s="0" t="str">
        <f aca="false">IF($H104="","",IF(COUNTIF($H$3:$H104,$H104)&gt;1,"",MAX($X$2:X103)+1))</f>
        <v/>
      </c>
      <c r="Y104" s="0" t="str">
        <f aca="false">IF(AND(N($M104)&gt;0,N($O104)&lt;=0),COUNTIFS($M$3:$M104,"&gt;0",$O$3:$O104,"&lt;=0"),"")</f>
        <v/>
      </c>
      <c r="Z104" s="30" t="n">
        <f aca="false">IF(OR('THÁNG 6'!$C111="",'THÁNG 6'!$B111=""),0,'THÁNG 6'!$B111)</f>
        <v>0</v>
      </c>
    </row>
    <row r="105" customFormat="false" ht="15" hidden="false" customHeight="false" outlineLevel="0" collapsed="false">
      <c r="A105" s="0" t="n">
        <v>6</v>
      </c>
      <c r="B105" s="29" t="str">
        <f aca="false">IF(OR('THÁNG 6'!$C112="",'THÁNG 6'!$B112=""),"",'THÁNG 6'!$B112)</f>
        <v/>
      </c>
      <c r="C105" s="0" t="str">
        <f aca="false">IF('THÁNG 6'!$C112="","",'THÁNG 6'!$C112)</f>
        <v/>
      </c>
      <c r="D105" s="0" t="str">
        <f aca="false">IF('THÁNG 6'!$C112="","",'THÁNG 6'!$D112&amp;"")</f>
        <v/>
      </c>
      <c r="E105" s="0" t="str">
        <f aca="false">IF('THÁNG 6'!$C112="","",'THÁNG 6'!$E112&amp;"")</f>
        <v/>
      </c>
      <c r="F105" s="0" t="str">
        <f aca="false">IF('THÁNG 6'!$C112="","",'THÁNG 6'!$F112&amp;"")</f>
        <v/>
      </c>
      <c r="G105" s="0" t="str">
        <f aca="false">IF('THÁNG 6'!$C112="","",'THÁNG 6'!$G112&amp;"")</f>
        <v/>
      </c>
      <c r="H105" s="0" t="str">
        <f aca="false">IF('THÁNG 6'!$C112="","",'THÁNG 6'!$H112&amp;"")</f>
        <v/>
      </c>
      <c r="I105" s="0" t="str">
        <f aca="false">IF('THÁNG 6'!$C112="","",N('THÁNG 6'!$I112))</f>
        <v/>
      </c>
      <c r="J105" s="0" t="str">
        <f aca="false">IF('THÁNG 6'!$C112="","",N('THÁNG 6'!$L112))</f>
        <v/>
      </c>
      <c r="K105" s="0" t="str">
        <f aca="false">IF('THÁNG 6'!$C112="","",N('THÁNG 6'!$N112))</f>
        <v/>
      </c>
      <c r="L105" s="0" t="str">
        <f aca="false">IF('THÁNG 6'!$C112="","",N('THÁNG 6'!$O112))</f>
        <v/>
      </c>
      <c r="M105" s="0" t="str">
        <f aca="false">IF('THÁNG 6'!$C112="","",N('THÁNG 6'!$P112))</f>
        <v/>
      </c>
      <c r="N105" s="0" t="str">
        <f aca="false">IF('THÁNG 6'!$C112="","",N('THÁNG 6'!$Q112))</f>
        <v/>
      </c>
      <c r="O105" s="0" t="str">
        <f aca="false">IF('THÁNG 6'!$C112="","",N('THÁNG 6'!$R112))</f>
        <v/>
      </c>
      <c r="P105" s="0" t="str">
        <f aca="false">IF(OR('THÁNG 6'!$C112="",'THÁNG 6'!$T112=""),"",'THÁNG 6'!$T112)</f>
        <v/>
      </c>
      <c r="Q105" s="0" t="str">
        <f aca="false">IF(OR('THÁNG 6'!$C112="",'THÁNG 6'!$U112=""),"",'THÁNG 6'!$U112)</f>
        <v/>
      </c>
      <c r="R105" s="0" t="str">
        <f aca="false">IF('THÁNG 6'!$C112="","",'THÁNG 6'!$W112&amp;"")</f>
        <v/>
      </c>
      <c r="S105" s="0" t="str">
        <f aca="false">IF('THÁNG 6'!$C112="","",'THÁNG 6'!$S112&amp;"")</f>
        <v/>
      </c>
      <c r="T105" s="0" t="str">
        <f aca="false">IF(N($O105)&gt;0,COUNTIF($O$3:$O105,"&gt;0"),"")</f>
        <v/>
      </c>
      <c r="U105" s="0" t="str">
        <f aca="false">IF(AND(N($J105)&gt;0,N($K105)&gt;0),COUNTIFS($J$3:$J105,"&gt;0",$K$3:$K105,"&gt;0"),"")</f>
        <v/>
      </c>
      <c r="V105" s="0" t="str">
        <f aca="false">IF(AND(N($J105)&gt;0,N($K105)=0),COUNTIFS($J$3:$J105,"&gt;0",$K$3:$K105,"&lt;=0"),"")</f>
        <v/>
      </c>
      <c r="W105" s="0" t="str">
        <f aca="false">IF($C105="","",IF(COUNTIF($C$3:$C105,$C105)&gt;1,"",MAX($W$2:W104)+1))</f>
        <v/>
      </c>
      <c r="X105" s="0" t="str">
        <f aca="false">IF($H105="","",IF(COUNTIF($H$3:$H105,$H105)&gt;1,"",MAX($X$2:X104)+1))</f>
        <v/>
      </c>
      <c r="Y105" s="0" t="str">
        <f aca="false">IF(AND(N($M105)&gt;0,N($O105)&lt;=0),COUNTIFS($M$3:$M105,"&gt;0",$O$3:$O105,"&lt;=0"),"")</f>
        <v/>
      </c>
      <c r="Z105" s="30" t="n">
        <f aca="false">IF(OR('THÁNG 6'!$C112="",'THÁNG 6'!$B112=""),0,'THÁNG 6'!$B112)</f>
        <v>0</v>
      </c>
    </row>
    <row r="106" customFormat="false" ht="15" hidden="false" customHeight="false" outlineLevel="0" collapsed="false">
      <c r="A106" s="0" t="n">
        <v>6</v>
      </c>
      <c r="B106" s="29" t="str">
        <f aca="false">IF(OR('THÁNG 6'!$C113="",'THÁNG 6'!$B113=""),"",'THÁNG 6'!$B113)</f>
        <v/>
      </c>
      <c r="C106" s="0" t="str">
        <f aca="false">IF('THÁNG 6'!$C113="","",'THÁNG 6'!$C113)</f>
        <v/>
      </c>
      <c r="D106" s="0" t="str">
        <f aca="false">IF('THÁNG 6'!$C113="","",'THÁNG 6'!$D113&amp;"")</f>
        <v/>
      </c>
      <c r="E106" s="0" t="str">
        <f aca="false">IF('THÁNG 6'!$C113="","",'THÁNG 6'!$E113&amp;"")</f>
        <v/>
      </c>
      <c r="F106" s="0" t="str">
        <f aca="false">IF('THÁNG 6'!$C113="","",'THÁNG 6'!$F113&amp;"")</f>
        <v/>
      </c>
      <c r="G106" s="0" t="str">
        <f aca="false">IF('THÁNG 6'!$C113="","",'THÁNG 6'!$G113&amp;"")</f>
        <v/>
      </c>
      <c r="H106" s="0" t="str">
        <f aca="false">IF('THÁNG 6'!$C113="","",'THÁNG 6'!$H113&amp;"")</f>
        <v/>
      </c>
      <c r="I106" s="0" t="str">
        <f aca="false">IF('THÁNG 6'!$C113="","",N('THÁNG 6'!$I113))</f>
        <v/>
      </c>
      <c r="J106" s="0" t="str">
        <f aca="false">IF('THÁNG 6'!$C113="","",N('THÁNG 6'!$L113))</f>
        <v/>
      </c>
      <c r="K106" s="0" t="str">
        <f aca="false">IF('THÁNG 6'!$C113="","",N('THÁNG 6'!$N113))</f>
        <v/>
      </c>
      <c r="L106" s="0" t="str">
        <f aca="false">IF('THÁNG 6'!$C113="","",N('THÁNG 6'!$O113))</f>
        <v/>
      </c>
      <c r="M106" s="0" t="str">
        <f aca="false">IF('THÁNG 6'!$C113="","",N('THÁNG 6'!$P113))</f>
        <v/>
      </c>
      <c r="N106" s="0" t="str">
        <f aca="false">IF('THÁNG 6'!$C113="","",N('THÁNG 6'!$Q113))</f>
        <v/>
      </c>
      <c r="O106" s="0" t="str">
        <f aca="false">IF('THÁNG 6'!$C113="","",N('THÁNG 6'!$R113))</f>
        <v/>
      </c>
      <c r="P106" s="0" t="str">
        <f aca="false">IF(OR('THÁNG 6'!$C113="",'THÁNG 6'!$T113=""),"",'THÁNG 6'!$T113)</f>
        <v/>
      </c>
      <c r="Q106" s="0" t="str">
        <f aca="false">IF(OR('THÁNG 6'!$C113="",'THÁNG 6'!$U113=""),"",'THÁNG 6'!$U113)</f>
        <v/>
      </c>
      <c r="R106" s="0" t="str">
        <f aca="false">IF('THÁNG 6'!$C113="","",'THÁNG 6'!$W113&amp;"")</f>
        <v/>
      </c>
      <c r="S106" s="0" t="str">
        <f aca="false">IF('THÁNG 6'!$C113="","",'THÁNG 6'!$S113&amp;"")</f>
        <v/>
      </c>
      <c r="T106" s="0" t="str">
        <f aca="false">IF(N($O106)&gt;0,COUNTIF($O$3:$O106,"&gt;0"),"")</f>
        <v/>
      </c>
      <c r="U106" s="0" t="str">
        <f aca="false">IF(AND(N($J106)&gt;0,N($K106)&gt;0),COUNTIFS($J$3:$J106,"&gt;0",$K$3:$K106,"&gt;0"),"")</f>
        <v/>
      </c>
      <c r="V106" s="0" t="str">
        <f aca="false">IF(AND(N($J106)&gt;0,N($K106)=0),COUNTIFS($J$3:$J106,"&gt;0",$K$3:$K106,"&lt;=0"),"")</f>
        <v/>
      </c>
      <c r="W106" s="0" t="str">
        <f aca="false">IF($C106="","",IF(COUNTIF($C$3:$C106,$C106)&gt;1,"",MAX($W$2:W105)+1))</f>
        <v/>
      </c>
      <c r="X106" s="0" t="str">
        <f aca="false">IF($H106="","",IF(COUNTIF($H$3:$H106,$H106)&gt;1,"",MAX($X$2:X105)+1))</f>
        <v/>
      </c>
      <c r="Y106" s="0" t="str">
        <f aca="false">IF(AND(N($M106)&gt;0,N($O106)&lt;=0),COUNTIFS($M$3:$M106,"&gt;0",$O$3:$O106,"&lt;=0"),"")</f>
        <v/>
      </c>
      <c r="Z106" s="30" t="n">
        <f aca="false">IF(OR('THÁNG 6'!$C113="",'THÁNG 6'!$B113=""),0,'THÁNG 6'!$B113)</f>
        <v>0</v>
      </c>
    </row>
    <row r="107" customFormat="false" ht="15" hidden="false" customHeight="false" outlineLevel="0" collapsed="false">
      <c r="A107" s="0" t="n">
        <v>6</v>
      </c>
      <c r="B107" s="29" t="str">
        <f aca="false">IF(OR('THÁNG 6'!$C114="",'THÁNG 6'!$B114=""),"",'THÁNG 6'!$B114)</f>
        <v/>
      </c>
      <c r="C107" s="0" t="str">
        <f aca="false">IF('THÁNG 6'!$C114="","",'THÁNG 6'!$C114)</f>
        <v/>
      </c>
      <c r="D107" s="0" t="str">
        <f aca="false">IF('THÁNG 6'!$C114="","",'THÁNG 6'!$D114&amp;"")</f>
        <v/>
      </c>
      <c r="E107" s="0" t="str">
        <f aca="false">IF('THÁNG 6'!$C114="","",'THÁNG 6'!$E114&amp;"")</f>
        <v/>
      </c>
      <c r="F107" s="0" t="str">
        <f aca="false">IF('THÁNG 6'!$C114="","",'THÁNG 6'!$F114&amp;"")</f>
        <v/>
      </c>
      <c r="G107" s="0" t="str">
        <f aca="false">IF('THÁNG 6'!$C114="","",'THÁNG 6'!$G114&amp;"")</f>
        <v/>
      </c>
      <c r="H107" s="0" t="str">
        <f aca="false">IF('THÁNG 6'!$C114="","",'THÁNG 6'!$H114&amp;"")</f>
        <v/>
      </c>
      <c r="I107" s="0" t="str">
        <f aca="false">IF('THÁNG 6'!$C114="","",N('THÁNG 6'!$I114))</f>
        <v/>
      </c>
      <c r="J107" s="0" t="str">
        <f aca="false">IF('THÁNG 6'!$C114="","",N('THÁNG 6'!$L114))</f>
        <v/>
      </c>
      <c r="K107" s="0" t="str">
        <f aca="false">IF('THÁNG 6'!$C114="","",N('THÁNG 6'!$N114))</f>
        <v/>
      </c>
      <c r="L107" s="0" t="str">
        <f aca="false">IF('THÁNG 6'!$C114="","",N('THÁNG 6'!$O114))</f>
        <v/>
      </c>
      <c r="M107" s="0" t="str">
        <f aca="false">IF('THÁNG 6'!$C114="","",N('THÁNG 6'!$P114))</f>
        <v/>
      </c>
      <c r="N107" s="0" t="str">
        <f aca="false">IF('THÁNG 6'!$C114="","",N('THÁNG 6'!$Q114))</f>
        <v/>
      </c>
      <c r="O107" s="0" t="str">
        <f aca="false">IF('THÁNG 6'!$C114="","",N('THÁNG 6'!$R114))</f>
        <v/>
      </c>
      <c r="P107" s="0" t="str">
        <f aca="false">IF(OR('THÁNG 6'!$C114="",'THÁNG 6'!$T114=""),"",'THÁNG 6'!$T114)</f>
        <v/>
      </c>
      <c r="Q107" s="0" t="str">
        <f aca="false">IF(OR('THÁNG 6'!$C114="",'THÁNG 6'!$U114=""),"",'THÁNG 6'!$U114)</f>
        <v/>
      </c>
      <c r="R107" s="0" t="str">
        <f aca="false">IF('THÁNG 6'!$C114="","",'THÁNG 6'!$W114&amp;"")</f>
        <v/>
      </c>
      <c r="S107" s="0" t="str">
        <f aca="false">IF('THÁNG 6'!$C114="","",'THÁNG 6'!$S114&amp;"")</f>
        <v/>
      </c>
      <c r="T107" s="0" t="str">
        <f aca="false">IF(N($O107)&gt;0,COUNTIF($O$3:$O107,"&gt;0"),"")</f>
        <v/>
      </c>
      <c r="U107" s="0" t="str">
        <f aca="false">IF(AND(N($J107)&gt;0,N($K107)&gt;0),COUNTIFS($J$3:$J107,"&gt;0",$K$3:$K107,"&gt;0"),"")</f>
        <v/>
      </c>
      <c r="V107" s="0" t="str">
        <f aca="false">IF(AND(N($J107)&gt;0,N($K107)=0),COUNTIFS($J$3:$J107,"&gt;0",$K$3:$K107,"&lt;=0"),"")</f>
        <v/>
      </c>
      <c r="W107" s="0" t="str">
        <f aca="false">IF($C107="","",IF(COUNTIF($C$3:$C107,$C107)&gt;1,"",MAX($W$2:W106)+1))</f>
        <v/>
      </c>
      <c r="X107" s="0" t="str">
        <f aca="false">IF($H107="","",IF(COUNTIF($H$3:$H107,$H107)&gt;1,"",MAX($X$2:X106)+1))</f>
        <v/>
      </c>
      <c r="Y107" s="0" t="str">
        <f aca="false">IF(AND(N($M107)&gt;0,N($O107)&lt;=0),COUNTIFS($M$3:$M107,"&gt;0",$O$3:$O107,"&lt;=0"),"")</f>
        <v/>
      </c>
      <c r="Z107" s="30" t="n">
        <f aca="false">IF(OR('THÁNG 6'!$C114="",'THÁNG 6'!$B114=""),0,'THÁNG 6'!$B114)</f>
        <v>0</v>
      </c>
    </row>
    <row r="108" customFormat="false" ht="15" hidden="false" customHeight="false" outlineLevel="0" collapsed="false">
      <c r="A108" s="0" t="n">
        <v>6</v>
      </c>
      <c r="B108" s="29" t="str">
        <f aca="false">IF(OR('THÁNG 6'!$C115="",'THÁNG 6'!$B115=""),"",'THÁNG 6'!$B115)</f>
        <v/>
      </c>
      <c r="C108" s="0" t="str">
        <f aca="false">IF('THÁNG 6'!$C115="","",'THÁNG 6'!$C115)</f>
        <v/>
      </c>
      <c r="D108" s="0" t="str">
        <f aca="false">IF('THÁNG 6'!$C115="","",'THÁNG 6'!$D115&amp;"")</f>
        <v/>
      </c>
      <c r="E108" s="0" t="str">
        <f aca="false">IF('THÁNG 6'!$C115="","",'THÁNG 6'!$E115&amp;"")</f>
        <v/>
      </c>
      <c r="F108" s="0" t="str">
        <f aca="false">IF('THÁNG 6'!$C115="","",'THÁNG 6'!$F115&amp;"")</f>
        <v/>
      </c>
      <c r="G108" s="0" t="str">
        <f aca="false">IF('THÁNG 6'!$C115="","",'THÁNG 6'!$G115&amp;"")</f>
        <v/>
      </c>
      <c r="H108" s="0" t="str">
        <f aca="false">IF('THÁNG 6'!$C115="","",'THÁNG 6'!$H115&amp;"")</f>
        <v/>
      </c>
      <c r="I108" s="0" t="str">
        <f aca="false">IF('THÁNG 6'!$C115="","",N('THÁNG 6'!$I115))</f>
        <v/>
      </c>
      <c r="J108" s="0" t="str">
        <f aca="false">IF('THÁNG 6'!$C115="","",N('THÁNG 6'!$L115))</f>
        <v/>
      </c>
      <c r="K108" s="0" t="str">
        <f aca="false">IF('THÁNG 6'!$C115="","",N('THÁNG 6'!$N115))</f>
        <v/>
      </c>
      <c r="L108" s="0" t="str">
        <f aca="false">IF('THÁNG 6'!$C115="","",N('THÁNG 6'!$O115))</f>
        <v/>
      </c>
      <c r="M108" s="0" t="str">
        <f aca="false">IF('THÁNG 6'!$C115="","",N('THÁNG 6'!$P115))</f>
        <v/>
      </c>
      <c r="N108" s="0" t="str">
        <f aca="false">IF('THÁNG 6'!$C115="","",N('THÁNG 6'!$Q115))</f>
        <v/>
      </c>
      <c r="O108" s="0" t="str">
        <f aca="false">IF('THÁNG 6'!$C115="","",N('THÁNG 6'!$R115))</f>
        <v/>
      </c>
      <c r="P108" s="0" t="str">
        <f aca="false">IF(OR('THÁNG 6'!$C115="",'THÁNG 6'!$T115=""),"",'THÁNG 6'!$T115)</f>
        <v/>
      </c>
      <c r="Q108" s="0" t="str">
        <f aca="false">IF(OR('THÁNG 6'!$C115="",'THÁNG 6'!$U115=""),"",'THÁNG 6'!$U115)</f>
        <v/>
      </c>
      <c r="R108" s="0" t="str">
        <f aca="false">IF('THÁNG 6'!$C115="","",'THÁNG 6'!$W115&amp;"")</f>
        <v/>
      </c>
      <c r="S108" s="0" t="str">
        <f aca="false">IF('THÁNG 6'!$C115="","",'THÁNG 6'!$S115&amp;"")</f>
        <v/>
      </c>
      <c r="T108" s="0" t="str">
        <f aca="false">IF(N($O108)&gt;0,COUNTIF($O$3:$O108,"&gt;0"),"")</f>
        <v/>
      </c>
      <c r="U108" s="0" t="str">
        <f aca="false">IF(AND(N($J108)&gt;0,N($K108)&gt;0),COUNTIFS($J$3:$J108,"&gt;0",$K$3:$K108,"&gt;0"),"")</f>
        <v/>
      </c>
      <c r="V108" s="0" t="str">
        <f aca="false">IF(AND(N($J108)&gt;0,N($K108)=0),COUNTIFS($J$3:$J108,"&gt;0",$K$3:$K108,"&lt;=0"),"")</f>
        <v/>
      </c>
      <c r="W108" s="0" t="str">
        <f aca="false">IF($C108="","",IF(COUNTIF($C$3:$C108,$C108)&gt;1,"",MAX($W$2:W107)+1))</f>
        <v/>
      </c>
      <c r="X108" s="0" t="str">
        <f aca="false">IF($H108="","",IF(COUNTIF($H$3:$H108,$H108)&gt;1,"",MAX($X$2:X107)+1))</f>
        <v/>
      </c>
      <c r="Y108" s="0" t="str">
        <f aca="false">IF(AND(N($M108)&gt;0,N($O108)&lt;=0),COUNTIFS($M$3:$M108,"&gt;0",$O$3:$O108,"&lt;=0"),"")</f>
        <v/>
      </c>
      <c r="Z108" s="30" t="n">
        <f aca="false">IF(OR('THÁNG 6'!$C115="",'THÁNG 6'!$B115=""),0,'THÁNG 6'!$B115)</f>
        <v>0</v>
      </c>
    </row>
    <row r="109" customFormat="false" ht="15" hidden="false" customHeight="false" outlineLevel="0" collapsed="false">
      <c r="A109" s="0" t="n">
        <v>6</v>
      </c>
      <c r="B109" s="29" t="str">
        <f aca="false">IF(OR('THÁNG 6'!$C116="",'THÁNG 6'!$B116=""),"",'THÁNG 6'!$B116)</f>
        <v/>
      </c>
      <c r="C109" s="0" t="str">
        <f aca="false">IF('THÁNG 6'!$C116="","",'THÁNG 6'!$C116)</f>
        <v/>
      </c>
      <c r="D109" s="0" t="str">
        <f aca="false">IF('THÁNG 6'!$C116="","",'THÁNG 6'!$D116&amp;"")</f>
        <v/>
      </c>
      <c r="E109" s="0" t="str">
        <f aca="false">IF('THÁNG 6'!$C116="","",'THÁNG 6'!$E116&amp;"")</f>
        <v/>
      </c>
      <c r="F109" s="0" t="str">
        <f aca="false">IF('THÁNG 6'!$C116="","",'THÁNG 6'!$F116&amp;"")</f>
        <v/>
      </c>
      <c r="G109" s="0" t="str">
        <f aca="false">IF('THÁNG 6'!$C116="","",'THÁNG 6'!$G116&amp;"")</f>
        <v/>
      </c>
      <c r="H109" s="0" t="str">
        <f aca="false">IF('THÁNG 6'!$C116="","",'THÁNG 6'!$H116&amp;"")</f>
        <v/>
      </c>
      <c r="I109" s="0" t="str">
        <f aca="false">IF('THÁNG 6'!$C116="","",N('THÁNG 6'!$I116))</f>
        <v/>
      </c>
      <c r="J109" s="0" t="str">
        <f aca="false">IF('THÁNG 6'!$C116="","",N('THÁNG 6'!$L116))</f>
        <v/>
      </c>
      <c r="K109" s="0" t="str">
        <f aca="false">IF('THÁNG 6'!$C116="","",N('THÁNG 6'!$N116))</f>
        <v/>
      </c>
      <c r="L109" s="0" t="str">
        <f aca="false">IF('THÁNG 6'!$C116="","",N('THÁNG 6'!$O116))</f>
        <v/>
      </c>
      <c r="M109" s="0" t="str">
        <f aca="false">IF('THÁNG 6'!$C116="","",N('THÁNG 6'!$P116))</f>
        <v/>
      </c>
      <c r="N109" s="0" t="str">
        <f aca="false">IF('THÁNG 6'!$C116="","",N('THÁNG 6'!$Q116))</f>
        <v/>
      </c>
      <c r="O109" s="0" t="str">
        <f aca="false">IF('THÁNG 6'!$C116="","",N('THÁNG 6'!$R116))</f>
        <v/>
      </c>
      <c r="P109" s="0" t="str">
        <f aca="false">IF(OR('THÁNG 6'!$C116="",'THÁNG 6'!$T116=""),"",'THÁNG 6'!$T116)</f>
        <v/>
      </c>
      <c r="Q109" s="0" t="str">
        <f aca="false">IF(OR('THÁNG 6'!$C116="",'THÁNG 6'!$U116=""),"",'THÁNG 6'!$U116)</f>
        <v/>
      </c>
      <c r="R109" s="0" t="str">
        <f aca="false">IF('THÁNG 6'!$C116="","",'THÁNG 6'!$W116&amp;"")</f>
        <v/>
      </c>
      <c r="S109" s="0" t="str">
        <f aca="false">IF('THÁNG 6'!$C116="","",'THÁNG 6'!$S116&amp;"")</f>
        <v/>
      </c>
      <c r="T109" s="0" t="str">
        <f aca="false">IF(N($O109)&gt;0,COUNTIF($O$3:$O109,"&gt;0"),"")</f>
        <v/>
      </c>
      <c r="U109" s="0" t="str">
        <f aca="false">IF(AND(N($J109)&gt;0,N($K109)&gt;0),COUNTIFS($J$3:$J109,"&gt;0",$K$3:$K109,"&gt;0"),"")</f>
        <v/>
      </c>
      <c r="V109" s="0" t="str">
        <f aca="false">IF(AND(N($J109)&gt;0,N($K109)=0),COUNTIFS($J$3:$J109,"&gt;0",$K$3:$K109,"&lt;=0"),"")</f>
        <v/>
      </c>
      <c r="W109" s="0" t="str">
        <f aca="false">IF($C109="","",IF(COUNTIF($C$3:$C109,$C109)&gt;1,"",MAX($W$2:W108)+1))</f>
        <v/>
      </c>
      <c r="X109" s="0" t="str">
        <f aca="false">IF($H109="","",IF(COUNTIF($H$3:$H109,$H109)&gt;1,"",MAX($X$2:X108)+1))</f>
        <v/>
      </c>
      <c r="Y109" s="0" t="str">
        <f aca="false">IF(AND(N($M109)&gt;0,N($O109)&lt;=0),COUNTIFS($M$3:$M109,"&gt;0",$O$3:$O109,"&lt;=0"),"")</f>
        <v/>
      </c>
      <c r="Z109" s="30" t="n">
        <f aca="false">IF(OR('THÁNG 6'!$C116="",'THÁNG 6'!$B116=""),0,'THÁNG 6'!$B116)</f>
        <v>0</v>
      </c>
    </row>
    <row r="110" customFormat="false" ht="15" hidden="false" customHeight="false" outlineLevel="0" collapsed="false">
      <c r="A110" s="0" t="n">
        <v>6</v>
      </c>
      <c r="B110" s="29" t="str">
        <f aca="false">IF(OR('THÁNG 6'!$C117="",'THÁNG 6'!$B117=""),"",'THÁNG 6'!$B117)</f>
        <v/>
      </c>
      <c r="C110" s="0" t="str">
        <f aca="false">IF('THÁNG 6'!$C117="","",'THÁNG 6'!$C117)</f>
        <v/>
      </c>
      <c r="D110" s="0" t="str">
        <f aca="false">IF('THÁNG 6'!$C117="","",'THÁNG 6'!$D117&amp;"")</f>
        <v/>
      </c>
      <c r="E110" s="0" t="str">
        <f aca="false">IF('THÁNG 6'!$C117="","",'THÁNG 6'!$E117&amp;"")</f>
        <v/>
      </c>
      <c r="F110" s="0" t="str">
        <f aca="false">IF('THÁNG 6'!$C117="","",'THÁNG 6'!$F117&amp;"")</f>
        <v/>
      </c>
      <c r="G110" s="0" t="str">
        <f aca="false">IF('THÁNG 6'!$C117="","",'THÁNG 6'!$G117&amp;"")</f>
        <v/>
      </c>
      <c r="H110" s="0" t="str">
        <f aca="false">IF('THÁNG 6'!$C117="","",'THÁNG 6'!$H117&amp;"")</f>
        <v/>
      </c>
      <c r="I110" s="0" t="str">
        <f aca="false">IF('THÁNG 6'!$C117="","",N('THÁNG 6'!$I117))</f>
        <v/>
      </c>
      <c r="J110" s="0" t="str">
        <f aca="false">IF('THÁNG 6'!$C117="","",N('THÁNG 6'!$L117))</f>
        <v/>
      </c>
      <c r="K110" s="0" t="str">
        <f aca="false">IF('THÁNG 6'!$C117="","",N('THÁNG 6'!$N117))</f>
        <v/>
      </c>
      <c r="L110" s="0" t="str">
        <f aca="false">IF('THÁNG 6'!$C117="","",N('THÁNG 6'!$O117))</f>
        <v/>
      </c>
      <c r="M110" s="0" t="str">
        <f aca="false">IF('THÁNG 6'!$C117="","",N('THÁNG 6'!$P117))</f>
        <v/>
      </c>
      <c r="N110" s="0" t="str">
        <f aca="false">IF('THÁNG 6'!$C117="","",N('THÁNG 6'!$Q117))</f>
        <v/>
      </c>
      <c r="O110" s="0" t="str">
        <f aca="false">IF('THÁNG 6'!$C117="","",N('THÁNG 6'!$R117))</f>
        <v/>
      </c>
      <c r="P110" s="0" t="str">
        <f aca="false">IF(OR('THÁNG 6'!$C117="",'THÁNG 6'!$T117=""),"",'THÁNG 6'!$T117)</f>
        <v/>
      </c>
      <c r="Q110" s="0" t="str">
        <f aca="false">IF(OR('THÁNG 6'!$C117="",'THÁNG 6'!$U117=""),"",'THÁNG 6'!$U117)</f>
        <v/>
      </c>
      <c r="R110" s="0" t="str">
        <f aca="false">IF('THÁNG 6'!$C117="","",'THÁNG 6'!$W117&amp;"")</f>
        <v/>
      </c>
      <c r="S110" s="0" t="str">
        <f aca="false">IF('THÁNG 6'!$C117="","",'THÁNG 6'!$S117&amp;"")</f>
        <v/>
      </c>
      <c r="T110" s="0" t="str">
        <f aca="false">IF(N($O110)&gt;0,COUNTIF($O$3:$O110,"&gt;0"),"")</f>
        <v/>
      </c>
      <c r="U110" s="0" t="str">
        <f aca="false">IF(AND(N($J110)&gt;0,N($K110)&gt;0),COUNTIFS($J$3:$J110,"&gt;0",$K$3:$K110,"&gt;0"),"")</f>
        <v/>
      </c>
      <c r="V110" s="0" t="str">
        <f aca="false">IF(AND(N($J110)&gt;0,N($K110)=0),COUNTIFS($J$3:$J110,"&gt;0",$K$3:$K110,"&lt;=0"),"")</f>
        <v/>
      </c>
      <c r="W110" s="0" t="str">
        <f aca="false">IF($C110="","",IF(COUNTIF($C$3:$C110,$C110)&gt;1,"",MAX($W$2:W109)+1))</f>
        <v/>
      </c>
      <c r="X110" s="0" t="str">
        <f aca="false">IF($H110="","",IF(COUNTIF($H$3:$H110,$H110)&gt;1,"",MAX($X$2:X109)+1))</f>
        <v/>
      </c>
      <c r="Y110" s="0" t="str">
        <f aca="false">IF(AND(N($M110)&gt;0,N($O110)&lt;=0),COUNTIFS($M$3:$M110,"&gt;0",$O$3:$O110,"&lt;=0"),"")</f>
        <v/>
      </c>
      <c r="Z110" s="30" t="n">
        <f aca="false">IF(OR('THÁNG 6'!$C117="",'THÁNG 6'!$B117=""),0,'THÁNG 6'!$B117)</f>
        <v>0</v>
      </c>
    </row>
    <row r="111" customFormat="false" ht="15" hidden="false" customHeight="false" outlineLevel="0" collapsed="false">
      <c r="A111" s="0" t="n">
        <v>6</v>
      </c>
      <c r="B111" s="29" t="str">
        <f aca="false">IF(OR('THÁNG 6'!$C118="",'THÁNG 6'!$B118=""),"",'THÁNG 6'!$B118)</f>
        <v/>
      </c>
      <c r="C111" s="0" t="str">
        <f aca="false">IF('THÁNG 6'!$C118="","",'THÁNG 6'!$C118)</f>
        <v/>
      </c>
      <c r="D111" s="0" t="str">
        <f aca="false">IF('THÁNG 6'!$C118="","",'THÁNG 6'!$D118&amp;"")</f>
        <v/>
      </c>
      <c r="E111" s="0" t="str">
        <f aca="false">IF('THÁNG 6'!$C118="","",'THÁNG 6'!$E118&amp;"")</f>
        <v/>
      </c>
      <c r="F111" s="0" t="str">
        <f aca="false">IF('THÁNG 6'!$C118="","",'THÁNG 6'!$F118&amp;"")</f>
        <v/>
      </c>
      <c r="G111" s="0" t="str">
        <f aca="false">IF('THÁNG 6'!$C118="","",'THÁNG 6'!$G118&amp;"")</f>
        <v/>
      </c>
      <c r="H111" s="0" t="str">
        <f aca="false">IF('THÁNG 6'!$C118="","",'THÁNG 6'!$H118&amp;"")</f>
        <v/>
      </c>
      <c r="I111" s="0" t="str">
        <f aca="false">IF('THÁNG 6'!$C118="","",N('THÁNG 6'!$I118))</f>
        <v/>
      </c>
      <c r="J111" s="0" t="str">
        <f aca="false">IF('THÁNG 6'!$C118="","",N('THÁNG 6'!$L118))</f>
        <v/>
      </c>
      <c r="K111" s="0" t="str">
        <f aca="false">IF('THÁNG 6'!$C118="","",N('THÁNG 6'!$N118))</f>
        <v/>
      </c>
      <c r="L111" s="0" t="str">
        <f aca="false">IF('THÁNG 6'!$C118="","",N('THÁNG 6'!$O118))</f>
        <v/>
      </c>
      <c r="M111" s="0" t="str">
        <f aca="false">IF('THÁNG 6'!$C118="","",N('THÁNG 6'!$P118))</f>
        <v/>
      </c>
      <c r="N111" s="0" t="str">
        <f aca="false">IF('THÁNG 6'!$C118="","",N('THÁNG 6'!$Q118))</f>
        <v/>
      </c>
      <c r="O111" s="0" t="str">
        <f aca="false">IF('THÁNG 6'!$C118="","",N('THÁNG 6'!$R118))</f>
        <v/>
      </c>
      <c r="P111" s="0" t="str">
        <f aca="false">IF(OR('THÁNG 6'!$C118="",'THÁNG 6'!$T118=""),"",'THÁNG 6'!$T118)</f>
        <v/>
      </c>
      <c r="Q111" s="0" t="str">
        <f aca="false">IF(OR('THÁNG 6'!$C118="",'THÁNG 6'!$U118=""),"",'THÁNG 6'!$U118)</f>
        <v/>
      </c>
      <c r="R111" s="0" t="str">
        <f aca="false">IF('THÁNG 6'!$C118="","",'THÁNG 6'!$W118&amp;"")</f>
        <v/>
      </c>
      <c r="S111" s="0" t="str">
        <f aca="false">IF('THÁNG 6'!$C118="","",'THÁNG 6'!$S118&amp;"")</f>
        <v/>
      </c>
      <c r="T111" s="0" t="str">
        <f aca="false">IF(N($O111)&gt;0,COUNTIF($O$3:$O111,"&gt;0"),"")</f>
        <v/>
      </c>
      <c r="U111" s="0" t="str">
        <f aca="false">IF(AND(N($J111)&gt;0,N($K111)&gt;0),COUNTIFS($J$3:$J111,"&gt;0",$K$3:$K111,"&gt;0"),"")</f>
        <v/>
      </c>
      <c r="V111" s="0" t="str">
        <f aca="false">IF(AND(N($J111)&gt;0,N($K111)=0),COUNTIFS($J$3:$J111,"&gt;0",$K$3:$K111,"&lt;=0"),"")</f>
        <v/>
      </c>
      <c r="W111" s="0" t="str">
        <f aca="false">IF($C111="","",IF(COUNTIF($C$3:$C111,$C111)&gt;1,"",MAX($W$2:W110)+1))</f>
        <v/>
      </c>
      <c r="X111" s="0" t="str">
        <f aca="false">IF($H111="","",IF(COUNTIF($H$3:$H111,$H111)&gt;1,"",MAX($X$2:X110)+1))</f>
        <v/>
      </c>
      <c r="Y111" s="0" t="str">
        <f aca="false">IF(AND(N($M111)&gt;0,N($O111)&lt;=0),COUNTIFS($M$3:$M111,"&gt;0",$O$3:$O111,"&lt;=0"),"")</f>
        <v/>
      </c>
      <c r="Z111" s="30" t="n">
        <f aca="false">IF(OR('THÁNG 6'!$C118="",'THÁNG 6'!$B118=""),0,'THÁNG 6'!$B118)</f>
        <v>0</v>
      </c>
    </row>
    <row r="112" customFormat="false" ht="15" hidden="false" customHeight="false" outlineLevel="0" collapsed="false">
      <c r="A112" s="0" t="n">
        <v>6</v>
      </c>
      <c r="B112" s="29" t="str">
        <f aca="false">IF(OR('THÁNG 6'!$C119="",'THÁNG 6'!$B119=""),"",'THÁNG 6'!$B119)</f>
        <v/>
      </c>
      <c r="C112" s="0" t="str">
        <f aca="false">IF('THÁNG 6'!$C119="","",'THÁNG 6'!$C119)</f>
        <v/>
      </c>
      <c r="D112" s="0" t="str">
        <f aca="false">IF('THÁNG 6'!$C119="","",'THÁNG 6'!$D119&amp;"")</f>
        <v/>
      </c>
      <c r="E112" s="0" t="str">
        <f aca="false">IF('THÁNG 6'!$C119="","",'THÁNG 6'!$E119&amp;"")</f>
        <v/>
      </c>
      <c r="F112" s="0" t="str">
        <f aca="false">IF('THÁNG 6'!$C119="","",'THÁNG 6'!$F119&amp;"")</f>
        <v/>
      </c>
      <c r="G112" s="0" t="str">
        <f aca="false">IF('THÁNG 6'!$C119="","",'THÁNG 6'!$G119&amp;"")</f>
        <v/>
      </c>
      <c r="H112" s="0" t="str">
        <f aca="false">IF('THÁNG 6'!$C119="","",'THÁNG 6'!$H119&amp;"")</f>
        <v/>
      </c>
      <c r="I112" s="0" t="str">
        <f aca="false">IF('THÁNG 6'!$C119="","",N('THÁNG 6'!$I119))</f>
        <v/>
      </c>
      <c r="J112" s="0" t="str">
        <f aca="false">IF('THÁNG 6'!$C119="","",N('THÁNG 6'!$L119))</f>
        <v/>
      </c>
      <c r="K112" s="0" t="str">
        <f aca="false">IF('THÁNG 6'!$C119="","",N('THÁNG 6'!$N119))</f>
        <v/>
      </c>
      <c r="L112" s="0" t="str">
        <f aca="false">IF('THÁNG 6'!$C119="","",N('THÁNG 6'!$O119))</f>
        <v/>
      </c>
      <c r="M112" s="0" t="str">
        <f aca="false">IF('THÁNG 6'!$C119="","",N('THÁNG 6'!$P119))</f>
        <v/>
      </c>
      <c r="N112" s="0" t="str">
        <f aca="false">IF('THÁNG 6'!$C119="","",N('THÁNG 6'!$Q119))</f>
        <v/>
      </c>
      <c r="O112" s="0" t="str">
        <f aca="false">IF('THÁNG 6'!$C119="","",N('THÁNG 6'!$R119))</f>
        <v/>
      </c>
      <c r="P112" s="0" t="str">
        <f aca="false">IF(OR('THÁNG 6'!$C119="",'THÁNG 6'!$T119=""),"",'THÁNG 6'!$T119)</f>
        <v/>
      </c>
      <c r="Q112" s="0" t="str">
        <f aca="false">IF(OR('THÁNG 6'!$C119="",'THÁNG 6'!$U119=""),"",'THÁNG 6'!$U119)</f>
        <v/>
      </c>
      <c r="R112" s="0" t="str">
        <f aca="false">IF('THÁNG 6'!$C119="","",'THÁNG 6'!$W119&amp;"")</f>
        <v/>
      </c>
      <c r="S112" s="0" t="str">
        <f aca="false">IF('THÁNG 6'!$C119="","",'THÁNG 6'!$S119&amp;"")</f>
        <v/>
      </c>
      <c r="T112" s="0" t="str">
        <f aca="false">IF(N($O112)&gt;0,COUNTIF($O$3:$O112,"&gt;0"),"")</f>
        <v/>
      </c>
      <c r="U112" s="0" t="str">
        <f aca="false">IF(AND(N($J112)&gt;0,N($K112)&gt;0),COUNTIFS($J$3:$J112,"&gt;0",$K$3:$K112,"&gt;0"),"")</f>
        <v/>
      </c>
      <c r="V112" s="0" t="str">
        <f aca="false">IF(AND(N($J112)&gt;0,N($K112)=0),COUNTIFS($J$3:$J112,"&gt;0",$K$3:$K112,"&lt;=0"),"")</f>
        <v/>
      </c>
      <c r="W112" s="0" t="str">
        <f aca="false">IF($C112="","",IF(COUNTIF($C$3:$C112,$C112)&gt;1,"",MAX($W$2:W111)+1))</f>
        <v/>
      </c>
      <c r="X112" s="0" t="str">
        <f aca="false">IF($H112="","",IF(COUNTIF($H$3:$H112,$H112)&gt;1,"",MAX($X$2:X111)+1))</f>
        <v/>
      </c>
      <c r="Y112" s="0" t="str">
        <f aca="false">IF(AND(N($M112)&gt;0,N($O112)&lt;=0),COUNTIFS($M$3:$M112,"&gt;0",$O$3:$O112,"&lt;=0"),"")</f>
        <v/>
      </c>
      <c r="Z112" s="30" t="n">
        <f aca="false">IF(OR('THÁNG 6'!$C119="",'THÁNG 6'!$B119=""),0,'THÁNG 6'!$B119)</f>
        <v>0</v>
      </c>
    </row>
    <row r="113" customFormat="false" ht="15" hidden="false" customHeight="false" outlineLevel="0" collapsed="false">
      <c r="A113" s="0" t="n">
        <v>6</v>
      </c>
      <c r="B113" s="29" t="str">
        <f aca="false">IF(OR('THÁNG 6'!$C120="",'THÁNG 6'!$B120=""),"",'THÁNG 6'!$B120)</f>
        <v/>
      </c>
      <c r="C113" s="0" t="str">
        <f aca="false">IF('THÁNG 6'!$C120="","",'THÁNG 6'!$C120)</f>
        <v/>
      </c>
      <c r="D113" s="0" t="str">
        <f aca="false">IF('THÁNG 6'!$C120="","",'THÁNG 6'!$D120&amp;"")</f>
        <v/>
      </c>
      <c r="E113" s="0" t="str">
        <f aca="false">IF('THÁNG 6'!$C120="","",'THÁNG 6'!$E120&amp;"")</f>
        <v/>
      </c>
      <c r="F113" s="0" t="str">
        <f aca="false">IF('THÁNG 6'!$C120="","",'THÁNG 6'!$F120&amp;"")</f>
        <v/>
      </c>
      <c r="G113" s="0" t="str">
        <f aca="false">IF('THÁNG 6'!$C120="","",'THÁNG 6'!$G120&amp;"")</f>
        <v/>
      </c>
      <c r="H113" s="0" t="str">
        <f aca="false">IF('THÁNG 6'!$C120="","",'THÁNG 6'!$H120&amp;"")</f>
        <v/>
      </c>
      <c r="I113" s="0" t="str">
        <f aca="false">IF('THÁNG 6'!$C120="","",N('THÁNG 6'!$I120))</f>
        <v/>
      </c>
      <c r="J113" s="0" t="str">
        <f aca="false">IF('THÁNG 6'!$C120="","",N('THÁNG 6'!$L120))</f>
        <v/>
      </c>
      <c r="K113" s="0" t="str">
        <f aca="false">IF('THÁNG 6'!$C120="","",N('THÁNG 6'!$N120))</f>
        <v/>
      </c>
      <c r="L113" s="0" t="str">
        <f aca="false">IF('THÁNG 6'!$C120="","",N('THÁNG 6'!$O120))</f>
        <v/>
      </c>
      <c r="M113" s="0" t="str">
        <f aca="false">IF('THÁNG 6'!$C120="","",N('THÁNG 6'!$P120))</f>
        <v/>
      </c>
      <c r="N113" s="0" t="str">
        <f aca="false">IF('THÁNG 6'!$C120="","",N('THÁNG 6'!$Q120))</f>
        <v/>
      </c>
      <c r="O113" s="0" t="str">
        <f aca="false">IF('THÁNG 6'!$C120="","",N('THÁNG 6'!$R120))</f>
        <v/>
      </c>
      <c r="P113" s="0" t="str">
        <f aca="false">IF(OR('THÁNG 6'!$C120="",'THÁNG 6'!$T120=""),"",'THÁNG 6'!$T120)</f>
        <v/>
      </c>
      <c r="Q113" s="0" t="str">
        <f aca="false">IF(OR('THÁNG 6'!$C120="",'THÁNG 6'!$U120=""),"",'THÁNG 6'!$U120)</f>
        <v/>
      </c>
      <c r="R113" s="0" t="str">
        <f aca="false">IF('THÁNG 6'!$C120="","",'THÁNG 6'!$W120&amp;"")</f>
        <v/>
      </c>
      <c r="S113" s="0" t="str">
        <f aca="false">IF('THÁNG 6'!$C120="","",'THÁNG 6'!$S120&amp;"")</f>
        <v/>
      </c>
      <c r="T113" s="0" t="str">
        <f aca="false">IF(N($O113)&gt;0,COUNTIF($O$3:$O113,"&gt;0"),"")</f>
        <v/>
      </c>
      <c r="U113" s="0" t="str">
        <f aca="false">IF(AND(N($J113)&gt;0,N($K113)&gt;0),COUNTIFS($J$3:$J113,"&gt;0",$K$3:$K113,"&gt;0"),"")</f>
        <v/>
      </c>
      <c r="V113" s="0" t="str">
        <f aca="false">IF(AND(N($J113)&gt;0,N($K113)=0),COUNTIFS($J$3:$J113,"&gt;0",$K$3:$K113,"&lt;=0"),"")</f>
        <v/>
      </c>
      <c r="W113" s="0" t="str">
        <f aca="false">IF($C113="","",IF(COUNTIF($C$3:$C113,$C113)&gt;1,"",MAX($W$2:W112)+1))</f>
        <v/>
      </c>
      <c r="X113" s="0" t="str">
        <f aca="false">IF($H113="","",IF(COUNTIF($H$3:$H113,$H113)&gt;1,"",MAX($X$2:X112)+1))</f>
        <v/>
      </c>
      <c r="Y113" s="0" t="str">
        <f aca="false">IF(AND(N($M113)&gt;0,N($O113)&lt;=0),COUNTIFS($M$3:$M113,"&gt;0",$O$3:$O113,"&lt;=0"),"")</f>
        <v/>
      </c>
      <c r="Z113" s="30" t="n">
        <f aca="false">IF(OR('THÁNG 6'!$C120="",'THÁNG 6'!$B120=""),0,'THÁNG 6'!$B120)</f>
        <v>0</v>
      </c>
    </row>
    <row r="114" customFormat="false" ht="15" hidden="false" customHeight="false" outlineLevel="0" collapsed="false">
      <c r="A114" s="0" t="n">
        <v>6</v>
      </c>
      <c r="B114" s="29" t="str">
        <f aca="false">IF(OR('THÁNG 6'!$C121="",'THÁNG 6'!$B121=""),"",'THÁNG 6'!$B121)</f>
        <v/>
      </c>
      <c r="C114" s="0" t="str">
        <f aca="false">IF('THÁNG 6'!$C121="","",'THÁNG 6'!$C121)</f>
        <v/>
      </c>
      <c r="D114" s="0" t="str">
        <f aca="false">IF('THÁNG 6'!$C121="","",'THÁNG 6'!$D121&amp;"")</f>
        <v/>
      </c>
      <c r="E114" s="0" t="str">
        <f aca="false">IF('THÁNG 6'!$C121="","",'THÁNG 6'!$E121&amp;"")</f>
        <v/>
      </c>
      <c r="F114" s="0" t="str">
        <f aca="false">IF('THÁNG 6'!$C121="","",'THÁNG 6'!$F121&amp;"")</f>
        <v/>
      </c>
      <c r="G114" s="0" t="str">
        <f aca="false">IF('THÁNG 6'!$C121="","",'THÁNG 6'!$G121&amp;"")</f>
        <v/>
      </c>
      <c r="H114" s="0" t="str">
        <f aca="false">IF('THÁNG 6'!$C121="","",'THÁNG 6'!$H121&amp;"")</f>
        <v/>
      </c>
      <c r="I114" s="0" t="str">
        <f aca="false">IF('THÁNG 6'!$C121="","",N('THÁNG 6'!$I121))</f>
        <v/>
      </c>
      <c r="J114" s="0" t="str">
        <f aca="false">IF('THÁNG 6'!$C121="","",N('THÁNG 6'!$L121))</f>
        <v/>
      </c>
      <c r="K114" s="0" t="str">
        <f aca="false">IF('THÁNG 6'!$C121="","",N('THÁNG 6'!$N121))</f>
        <v/>
      </c>
      <c r="L114" s="0" t="str">
        <f aca="false">IF('THÁNG 6'!$C121="","",N('THÁNG 6'!$O121))</f>
        <v/>
      </c>
      <c r="M114" s="0" t="str">
        <f aca="false">IF('THÁNG 6'!$C121="","",N('THÁNG 6'!$P121))</f>
        <v/>
      </c>
      <c r="N114" s="0" t="str">
        <f aca="false">IF('THÁNG 6'!$C121="","",N('THÁNG 6'!$Q121))</f>
        <v/>
      </c>
      <c r="O114" s="0" t="str">
        <f aca="false">IF('THÁNG 6'!$C121="","",N('THÁNG 6'!$R121))</f>
        <v/>
      </c>
      <c r="P114" s="0" t="str">
        <f aca="false">IF(OR('THÁNG 6'!$C121="",'THÁNG 6'!$T121=""),"",'THÁNG 6'!$T121)</f>
        <v/>
      </c>
      <c r="Q114" s="0" t="str">
        <f aca="false">IF(OR('THÁNG 6'!$C121="",'THÁNG 6'!$U121=""),"",'THÁNG 6'!$U121)</f>
        <v/>
      </c>
      <c r="R114" s="0" t="str">
        <f aca="false">IF('THÁNG 6'!$C121="","",'THÁNG 6'!$W121&amp;"")</f>
        <v/>
      </c>
      <c r="S114" s="0" t="str">
        <f aca="false">IF('THÁNG 6'!$C121="","",'THÁNG 6'!$S121&amp;"")</f>
        <v/>
      </c>
      <c r="T114" s="0" t="str">
        <f aca="false">IF(N($O114)&gt;0,COUNTIF($O$3:$O114,"&gt;0"),"")</f>
        <v/>
      </c>
      <c r="U114" s="0" t="str">
        <f aca="false">IF(AND(N($J114)&gt;0,N($K114)&gt;0),COUNTIFS($J$3:$J114,"&gt;0",$K$3:$K114,"&gt;0"),"")</f>
        <v/>
      </c>
      <c r="V114" s="0" t="str">
        <f aca="false">IF(AND(N($J114)&gt;0,N($K114)=0),COUNTIFS($J$3:$J114,"&gt;0",$K$3:$K114,"&lt;=0"),"")</f>
        <v/>
      </c>
      <c r="W114" s="0" t="str">
        <f aca="false">IF($C114="","",IF(COUNTIF($C$3:$C114,$C114)&gt;1,"",MAX($W$2:W113)+1))</f>
        <v/>
      </c>
      <c r="X114" s="0" t="str">
        <f aca="false">IF($H114="","",IF(COUNTIF($H$3:$H114,$H114)&gt;1,"",MAX($X$2:X113)+1))</f>
        <v/>
      </c>
      <c r="Y114" s="0" t="str">
        <f aca="false">IF(AND(N($M114)&gt;0,N($O114)&lt;=0),COUNTIFS($M$3:$M114,"&gt;0",$O$3:$O114,"&lt;=0"),"")</f>
        <v/>
      </c>
      <c r="Z114" s="30" t="n">
        <f aca="false">IF(OR('THÁNG 6'!$C121="",'THÁNG 6'!$B121=""),0,'THÁNG 6'!$B121)</f>
        <v>0</v>
      </c>
    </row>
    <row r="115" customFormat="false" ht="15" hidden="false" customHeight="false" outlineLevel="0" collapsed="false">
      <c r="A115" s="0" t="n">
        <v>6</v>
      </c>
      <c r="B115" s="29" t="str">
        <f aca="false">IF(OR('THÁNG 6'!$C122="",'THÁNG 6'!$B122=""),"",'THÁNG 6'!$B122)</f>
        <v/>
      </c>
      <c r="C115" s="0" t="str">
        <f aca="false">IF('THÁNG 6'!$C122="","",'THÁNG 6'!$C122)</f>
        <v/>
      </c>
      <c r="D115" s="0" t="str">
        <f aca="false">IF('THÁNG 6'!$C122="","",'THÁNG 6'!$D122&amp;"")</f>
        <v/>
      </c>
      <c r="E115" s="0" t="str">
        <f aca="false">IF('THÁNG 6'!$C122="","",'THÁNG 6'!$E122&amp;"")</f>
        <v/>
      </c>
      <c r="F115" s="0" t="str">
        <f aca="false">IF('THÁNG 6'!$C122="","",'THÁNG 6'!$F122&amp;"")</f>
        <v/>
      </c>
      <c r="G115" s="0" t="str">
        <f aca="false">IF('THÁNG 6'!$C122="","",'THÁNG 6'!$G122&amp;"")</f>
        <v/>
      </c>
      <c r="H115" s="0" t="str">
        <f aca="false">IF('THÁNG 6'!$C122="","",'THÁNG 6'!$H122&amp;"")</f>
        <v/>
      </c>
      <c r="I115" s="0" t="str">
        <f aca="false">IF('THÁNG 6'!$C122="","",N('THÁNG 6'!$I122))</f>
        <v/>
      </c>
      <c r="J115" s="0" t="str">
        <f aca="false">IF('THÁNG 6'!$C122="","",N('THÁNG 6'!$L122))</f>
        <v/>
      </c>
      <c r="K115" s="0" t="str">
        <f aca="false">IF('THÁNG 6'!$C122="","",N('THÁNG 6'!$N122))</f>
        <v/>
      </c>
      <c r="L115" s="0" t="str">
        <f aca="false">IF('THÁNG 6'!$C122="","",N('THÁNG 6'!$O122))</f>
        <v/>
      </c>
      <c r="M115" s="0" t="str">
        <f aca="false">IF('THÁNG 6'!$C122="","",N('THÁNG 6'!$P122))</f>
        <v/>
      </c>
      <c r="N115" s="0" t="str">
        <f aca="false">IF('THÁNG 6'!$C122="","",N('THÁNG 6'!$Q122))</f>
        <v/>
      </c>
      <c r="O115" s="0" t="str">
        <f aca="false">IF('THÁNG 6'!$C122="","",N('THÁNG 6'!$R122))</f>
        <v/>
      </c>
      <c r="P115" s="0" t="str">
        <f aca="false">IF(OR('THÁNG 6'!$C122="",'THÁNG 6'!$T122=""),"",'THÁNG 6'!$T122)</f>
        <v/>
      </c>
      <c r="Q115" s="0" t="str">
        <f aca="false">IF(OR('THÁNG 6'!$C122="",'THÁNG 6'!$U122=""),"",'THÁNG 6'!$U122)</f>
        <v/>
      </c>
      <c r="R115" s="0" t="str">
        <f aca="false">IF('THÁNG 6'!$C122="","",'THÁNG 6'!$W122&amp;"")</f>
        <v/>
      </c>
      <c r="S115" s="0" t="str">
        <f aca="false">IF('THÁNG 6'!$C122="","",'THÁNG 6'!$S122&amp;"")</f>
        <v/>
      </c>
      <c r="T115" s="0" t="str">
        <f aca="false">IF(N($O115)&gt;0,COUNTIF($O$3:$O115,"&gt;0"),"")</f>
        <v/>
      </c>
      <c r="U115" s="0" t="str">
        <f aca="false">IF(AND(N($J115)&gt;0,N($K115)&gt;0),COUNTIFS($J$3:$J115,"&gt;0",$K$3:$K115,"&gt;0"),"")</f>
        <v/>
      </c>
      <c r="V115" s="0" t="str">
        <f aca="false">IF(AND(N($J115)&gt;0,N($K115)=0),COUNTIFS($J$3:$J115,"&gt;0",$K$3:$K115,"&lt;=0"),"")</f>
        <v/>
      </c>
      <c r="W115" s="0" t="str">
        <f aca="false">IF($C115="","",IF(COUNTIF($C$3:$C115,$C115)&gt;1,"",MAX($W$2:W114)+1))</f>
        <v/>
      </c>
      <c r="X115" s="0" t="str">
        <f aca="false">IF($H115="","",IF(COUNTIF($H$3:$H115,$H115)&gt;1,"",MAX($X$2:X114)+1))</f>
        <v/>
      </c>
      <c r="Y115" s="0" t="str">
        <f aca="false">IF(AND(N($M115)&gt;0,N($O115)&lt;=0),COUNTIFS($M$3:$M115,"&gt;0",$O$3:$O115,"&lt;=0"),"")</f>
        <v/>
      </c>
      <c r="Z115" s="30" t="n">
        <f aca="false">IF(OR('THÁNG 6'!$C122="",'THÁNG 6'!$B122=""),0,'THÁNG 6'!$B122)</f>
        <v>0</v>
      </c>
    </row>
    <row r="116" customFormat="false" ht="15" hidden="false" customHeight="false" outlineLevel="0" collapsed="false">
      <c r="A116" s="0" t="n">
        <v>6</v>
      </c>
      <c r="B116" s="29" t="str">
        <f aca="false">IF(OR('THÁNG 6'!$C123="",'THÁNG 6'!$B123=""),"",'THÁNG 6'!$B123)</f>
        <v/>
      </c>
      <c r="C116" s="0" t="str">
        <f aca="false">IF('THÁNG 6'!$C123="","",'THÁNG 6'!$C123)</f>
        <v/>
      </c>
      <c r="D116" s="0" t="str">
        <f aca="false">IF('THÁNG 6'!$C123="","",'THÁNG 6'!$D123&amp;"")</f>
        <v/>
      </c>
      <c r="E116" s="0" t="str">
        <f aca="false">IF('THÁNG 6'!$C123="","",'THÁNG 6'!$E123&amp;"")</f>
        <v/>
      </c>
      <c r="F116" s="0" t="str">
        <f aca="false">IF('THÁNG 6'!$C123="","",'THÁNG 6'!$F123&amp;"")</f>
        <v/>
      </c>
      <c r="G116" s="0" t="str">
        <f aca="false">IF('THÁNG 6'!$C123="","",'THÁNG 6'!$G123&amp;"")</f>
        <v/>
      </c>
      <c r="H116" s="0" t="str">
        <f aca="false">IF('THÁNG 6'!$C123="","",'THÁNG 6'!$H123&amp;"")</f>
        <v/>
      </c>
      <c r="I116" s="0" t="str">
        <f aca="false">IF('THÁNG 6'!$C123="","",N('THÁNG 6'!$I123))</f>
        <v/>
      </c>
      <c r="J116" s="0" t="str">
        <f aca="false">IF('THÁNG 6'!$C123="","",N('THÁNG 6'!$L123))</f>
        <v/>
      </c>
      <c r="K116" s="0" t="str">
        <f aca="false">IF('THÁNG 6'!$C123="","",N('THÁNG 6'!$N123))</f>
        <v/>
      </c>
      <c r="L116" s="0" t="str">
        <f aca="false">IF('THÁNG 6'!$C123="","",N('THÁNG 6'!$O123))</f>
        <v/>
      </c>
      <c r="M116" s="0" t="str">
        <f aca="false">IF('THÁNG 6'!$C123="","",N('THÁNG 6'!$P123))</f>
        <v/>
      </c>
      <c r="N116" s="0" t="str">
        <f aca="false">IF('THÁNG 6'!$C123="","",N('THÁNG 6'!$Q123))</f>
        <v/>
      </c>
      <c r="O116" s="0" t="str">
        <f aca="false">IF('THÁNG 6'!$C123="","",N('THÁNG 6'!$R123))</f>
        <v/>
      </c>
      <c r="P116" s="0" t="str">
        <f aca="false">IF(OR('THÁNG 6'!$C123="",'THÁNG 6'!$T123=""),"",'THÁNG 6'!$T123)</f>
        <v/>
      </c>
      <c r="Q116" s="0" t="str">
        <f aca="false">IF(OR('THÁNG 6'!$C123="",'THÁNG 6'!$U123=""),"",'THÁNG 6'!$U123)</f>
        <v/>
      </c>
      <c r="R116" s="0" t="str">
        <f aca="false">IF('THÁNG 6'!$C123="","",'THÁNG 6'!$W123&amp;"")</f>
        <v/>
      </c>
      <c r="S116" s="0" t="str">
        <f aca="false">IF('THÁNG 6'!$C123="","",'THÁNG 6'!$S123&amp;"")</f>
        <v/>
      </c>
      <c r="T116" s="0" t="str">
        <f aca="false">IF(N($O116)&gt;0,COUNTIF($O$3:$O116,"&gt;0"),"")</f>
        <v/>
      </c>
      <c r="U116" s="0" t="str">
        <f aca="false">IF(AND(N($J116)&gt;0,N($K116)&gt;0),COUNTIFS($J$3:$J116,"&gt;0",$K$3:$K116,"&gt;0"),"")</f>
        <v/>
      </c>
      <c r="V116" s="0" t="str">
        <f aca="false">IF(AND(N($J116)&gt;0,N($K116)=0),COUNTIFS($J$3:$J116,"&gt;0",$K$3:$K116,"&lt;=0"),"")</f>
        <v/>
      </c>
      <c r="W116" s="0" t="str">
        <f aca="false">IF($C116="","",IF(COUNTIF($C$3:$C116,$C116)&gt;1,"",MAX($W$2:W115)+1))</f>
        <v/>
      </c>
      <c r="X116" s="0" t="str">
        <f aca="false">IF($H116="","",IF(COUNTIF($H$3:$H116,$H116)&gt;1,"",MAX($X$2:X115)+1))</f>
        <v/>
      </c>
      <c r="Y116" s="0" t="str">
        <f aca="false">IF(AND(N($M116)&gt;0,N($O116)&lt;=0),COUNTIFS($M$3:$M116,"&gt;0",$O$3:$O116,"&lt;=0"),"")</f>
        <v/>
      </c>
      <c r="Z116" s="30" t="n">
        <f aca="false">IF(OR('THÁNG 6'!$C123="",'THÁNG 6'!$B123=""),0,'THÁNG 6'!$B123)</f>
        <v>0</v>
      </c>
    </row>
    <row r="117" customFormat="false" ht="15" hidden="false" customHeight="false" outlineLevel="0" collapsed="false">
      <c r="A117" s="0" t="n">
        <v>6</v>
      </c>
      <c r="B117" s="29" t="str">
        <f aca="false">IF(OR('THÁNG 6'!$C124="",'THÁNG 6'!$B124=""),"",'THÁNG 6'!$B124)</f>
        <v/>
      </c>
      <c r="C117" s="0" t="str">
        <f aca="false">IF('THÁNG 6'!$C124="","",'THÁNG 6'!$C124)</f>
        <v/>
      </c>
      <c r="D117" s="0" t="str">
        <f aca="false">IF('THÁNG 6'!$C124="","",'THÁNG 6'!$D124&amp;"")</f>
        <v/>
      </c>
      <c r="E117" s="0" t="str">
        <f aca="false">IF('THÁNG 6'!$C124="","",'THÁNG 6'!$E124&amp;"")</f>
        <v/>
      </c>
      <c r="F117" s="0" t="str">
        <f aca="false">IF('THÁNG 6'!$C124="","",'THÁNG 6'!$F124&amp;"")</f>
        <v/>
      </c>
      <c r="G117" s="0" t="str">
        <f aca="false">IF('THÁNG 6'!$C124="","",'THÁNG 6'!$G124&amp;"")</f>
        <v/>
      </c>
      <c r="H117" s="0" t="str">
        <f aca="false">IF('THÁNG 6'!$C124="","",'THÁNG 6'!$H124&amp;"")</f>
        <v/>
      </c>
      <c r="I117" s="0" t="str">
        <f aca="false">IF('THÁNG 6'!$C124="","",N('THÁNG 6'!$I124))</f>
        <v/>
      </c>
      <c r="J117" s="0" t="str">
        <f aca="false">IF('THÁNG 6'!$C124="","",N('THÁNG 6'!$L124))</f>
        <v/>
      </c>
      <c r="K117" s="0" t="str">
        <f aca="false">IF('THÁNG 6'!$C124="","",N('THÁNG 6'!$N124))</f>
        <v/>
      </c>
      <c r="L117" s="0" t="str">
        <f aca="false">IF('THÁNG 6'!$C124="","",N('THÁNG 6'!$O124))</f>
        <v/>
      </c>
      <c r="M117" s="0" t="str">
        <f aca="false">IF('THÁNG 6'!$C124="","",N('THÁNG 6'!$P124))</f>
        <v/>
      </c>
      <c r="N117" s="0" t="str">
        <f aca="false">IF('THÁNG 6'!$C124="","",N('THÁNG 6'!$Q124))</f>
        <v/>
      </c>
      <c r="O117" s="0" t="str">
        <f aca="false">IF('THÁNG 6'!$C124="","",N('THÁNG 6'!$R124))</f>
        <v/>
      </c>
      <c r="P117" s="0" t="str">
        <f aca="false">IF(OR('THÁNG 6'!$C124="",'THÁNG 6'!$T124=""),"",'THÁNG 6'!$T124)</f>
        <v/>
      </c>
      <c r="Q117" s="0" t="str">
        <f aca="false">IF(OR('THÁNG 6'!$C124="",'THÁNG 6'!$U124=""),"",'THÁNG 6'!$U124)</f>
        <v/>
      </c>
      <c r="R117" s="0" t="str">
        <f aca="false">IF('THÁNG 6'!$C124="","",'THÁNG 6'!$W124&amp;"")</f>
        <v/>
      </c>
      <c r="S117" s="0" t="str">
        <f aca="false">IF('THÁNG 6'!$C124="","",'THÁNG 6'!$S124&amp;"")</f>
        <v/>
      </c>
      <c r="T117" s="0" t="str">
        <f aca="false">IF(N($O117)&gt;0,COUNTIF($O$3:$O117,"&gt;0"),"")</f>
        <v/>
      </c>
      <c r="U117" s="0" t="str">
        <f aca="false">IF(AND(N($J117)&gt;0,N($K117)&gt;0),COUNTIFS($J$3:$J117,"&gt;0",$K$3:$K117,"&gt;0"),"")</f>
        <v/>
      </c>
      <c r="V117" s="0" t="str">
        <f aca="false">IF(AND(N($J117)&gt;0,N($K117)=0),COUNTIFS($J$3:$J117,"&gt;0",$K$3:$K117,"&lt;=0"),"")</f>
        <v/>
      </c>
      <c r="W117" s="0" t="str">
        <f aca="false">IF($C117="","",IF(COUNTIF($C$3:$C117,$C117)&gt;1,"",MAX($W$2:W116)+1))</f>
        <v/>
      </c>
      <c r="X117" s="0" t="str">
        <f aca="false">IF($H117="","",IF(COUNTIF($H$3:$H117,$H117)&gt;1,"",MAX($X$2:X116)+1))</f>
        <v/>
      </c>
      <c r="Y117" s="0" t="str">
        <f aca="false">IF(AND(N($M117)&gt;0,N($O117)&lt;=0),COUNTIFS($M$3:$M117,"&gt;0",$O$3:$O117,"&lt;=0"),"")</f>
        <v/>
      </c>
      <c r="Z117" s="30" t="n">
        <f aca="false">IF(OR('THÁNG 6'!$C124="",'THÁNG 6'!$B124=""),0,'THÁNG 6'!$B124)</f>
        <v>0</v>
      </c>
    </row>
    <row r="118" customFormat="false" ht="15" hidden="false" customHeight="false" outlineLevel="0" collapsed="false">
      <c r="A118" s="0" t="n">
        <v>6</v>
      </c>
      <c r="B118" s="29" t="str">
        <f aca="false">IF(OR('THÁNG 6'!$C125="",'THÁNG 6'!$B125=""),"",'THÁNG 6'!$B125)</f>
        <v/>
      </c>
      <c r="C118" s="0" t="str">
        <f aca="false">IF('THÁNG 6'!$C125="","",'THÁNG 6'!$C125)</f>
        <v/>
      </c>
      <c r="D118" s="0" t="str">
        <f aca="false">IF('THÁNG 6'!$C125="","",'THÁNG 6'!$D125&amp;"")</f>
        <v/>
      </c>
      <c r="E118" s="0" t="str">
        <f aca="false">IF('THÁNG 6'!$C125="","",'THÁNG 6'!$E125&amp;"")</f>
        <v/>
      </c>
      <c r="F118" s="0" t="str">
        <f aca="false">IF('THÁNG 6'!$C125="","",'THÁNG 6'!$F125&amp;"")</f>
        <v/>
      </c>
      <c r="G118" s="0" t="str">
        <f aca="false">IF('THÁNG 6'!$C125="","",'THÁNG 6'!$G125&amp;"")</f>
        <v/>
      </c>
      <c r="H118" s="0" t="str">
        <f aca="false">IF('THÁNG 6'!$C125="","",'THÁNG 6'!$H125&amp;"")</f>
        <v/>
      </c>
      <c r="I118" s="0" t="str">
        <f aca="false">IF('THÁNG 6'!$C125="","",N('THÁNG 6'!$I125))</f>
        <v/>
      </c>
      <c r="J118" s="0" t="str">
        <f aca="false">IF('THÁNG 6'!$C125="","",N('THÁNG 6'!$L125))</f>
        <v/>
      </c>
      <c r="K118" s="0" t="str">
        <f aca="false">IF('THÁNG 6'!$C125="","",N('THÁNG 6'!$N125))</f>
        <v/>
      </c>
      <c r="L118" s="0" t="str">
        <f aca="false">IF('THÁNG 6'!$C125="","",N('THÁNG 6'!$O125))</f>
        <v/>
      </c>
      <c r="M118" s="0" t="str">
        <f aca="false">IF('THÁNG 6'!$C125="","",N('THÁNG 6'!$P125))</f>
        <v/>
      </c>
      <c r="N118" s="0" t="str">
        <f aca="false">IF('THÁNG 6'!$C125="","",N('THÁNG 6'!$Q125))</f>
        <v/>
      </c>
      <c r="O118" s="0" t="str">
        <f aca="false">IF('THÁNG 6'!$C125="","",N('THÁNG 6'!$R125))</f>
        <v/>
      </c>
      <c r="P118" s="0" t="str">
        <f aca="false">IF(OR('THÁNG 6'!$C125="",'THÁNG 6'!$T125=""),"",'THÁNG 6'!$T125)</f>
        <v/>
      </c>
      <c r="Q118" s="0" t="str">
        <f aca="false">IF(OR('THÁNG 6'!$C125="",'THÁNG 6'!$U125=""),"",'THÁNG 6'!$U125)</f>
        <v/>
      </c>
      <c r="R118" s="0" t="str">
        <f aca="false">IF('THÁNG 6'!$C125="","",'THÁNG 6'!$W125&amp;"")</f>
        <v/>
      </c>
      <c r="S118" s="0" t="str">
        <f aca="false">IF('THÁNG 6'!$C125="","",'THÁNG 6'!$S125&amp;"")</f>
        <v/>
      </c>
      <c r="T118" s="0" t="str">
        <f aca="false">IF(N($O118)&gt;0,COUNTIF($O$3:$O118,"&gt;0"),"")</f>
        <v/>
      </c>
      <c r="U118" s="0" t="str">
        <f aca="false">IF(AND(N($J118)&gt;0,N($K118)&gt;0),COUNTIFS($J$3:$J118,"&gt;0",$K$3:$K118,"&gt;0"),"")</f>
        <v/>
      </c>
      <c r="V118" s="0" t="str">
        <f aca="false">IF(AND(N($J118)&gt;0,N($K118)=0),COUNTIFS($J$3:$J118,"&gt;0",$K$3:$K118,"&lt;=0"),"")</f>
        <v/>
      </c>
      <c r="W118" s="0" t="str">
        <f aca="false">IF($C118="","",IF(COUNTIF($C$3:$C118,$C118)&gt;1,"",MAX($W$2:W117)+1))</f>
        <v/>
      </c>
      <c r="X118" s="0" t="str">
        <f aca="false">IF($H118="","",IF(COUNTIF($H$3:$H118,$H118)&gt;1,"",MAX($X$2:X117)+1))</f>
        <v/>
      </c>
      <c r="Y118" s="0" t="str">
        <f aca="false">IF(AND(N($M118)&gt;0,N($O118)&lt;=0),COUNTIFS($M$3:$M118,"&gt;0",$O$3:$O118,"&lt;=0"),"")</f>
        <v/>
      </c>
      <c r="Z118" s="30" t="n">
        <f aca="false">IF(OR('THÁNG 6'!$C125="",'THÁNG 6'!$B125=""),0,'THÁNG 6'!$B125)</f>
        <v>0</v>
      </c>
    </row>
    <row r="119" customFormat="false" ht="15" hidden="false" customHeight="false" outlineLevel="0" collapsed="false">
      <c r="A119" s="0" t="n">
        <v>6</v>
      </c>
      <c r="B119" s="29" t="str">
        <f aca="false">IF(OR('THÁNG 6'!$C126="",'THÁNG 6'!$B126=""),"",'THÁNG 6'!$B126)</f>
        <v/>
      </c>
      <c r="C119" s="0" t="str">
        <f aca="false">IF('THÁNG 6'!$C126="","",'THÁNG 6'!$C126)</f>
        <v/>
      </c>
      <c r="D119" s="0" t="str">
        <f aca="false">IF('THÁNG 6'!$C126="","",'THÁNG 6'!$D126&amp;"")</f>
        <v/>
      </c>
      <c r="E119" s="0" t="str">
        <f aca="false">IF('THÁNG 6'!$C126="","",'THÁNG 6'!$E126&amp;"")</f>
        <v/>
      </c>
      <c r="F119" s="0" t="str">
        <f aca="false">IF('THÁNG 6'!$C126="","",'THÁNG 6'!$F126&amp;"")</f>
        <v/>
      </c>
      <c r="G119" s="0" t="str">
        <f aca="false">IF('THÁNG 6'!$C126="","",'THÁNG 6'!$G126&amp;"")</f>
        <v/>
      </c>
      <c r="H119" s="0" t="str">
        <f aca="false">IF('THÁNG 6'!$C126="","",'THÁNG 6'!$H126&amp;"")</f>
        <v/>
      </c>
      <c r="I119" s="0" t="str">
        <f aca="false">IF('THÁNG 6'!$C126="","",N('THÁNG 6'!$I126))</f>
        <v/>
      </c>
      <c r="J119" s="0" t="str">
        <f aca="false">IF('THÁNG 6'!$C126="","",N('THÁNG 6'!$L126))</f>
        <v/>
      </c>
      <c r="K119" s="0" t="str">
        <f aca="false">IF('THÁNG 6'!$C126="","",N('THÁNG 6'!$N126))</f>
        <v/>
      </c>
      <c r="L119" s="0" t="str">
        <f aca="false">IF('THÁNG 6'!$C126="","",N('THÁNG 6'!$O126))</f>
        <v/>
      </c>
      <c r="M119" s="0" t="str">
        <f aca="false">IF('THÁNG 6'!$C126="","",N('THÁNG 6'!$P126))</f>
        <v/>
      </c>
      <c r="N119" s="0" t="str">
        <f aca="false">IF('THÁNG 6'!$C126="","",N('THÁNG 6'!$Q126))</f>
        <v/>
      </c>
      <c r="O119" s="0" t="str">
        <f aca="false">IF('THÁNG 6'!$C126="","",N('THÁNG 6'!$R126))</f>
        <v/>
      </c>
      <c r="P119" s="0" t="str">
        <f aca="false">IF(OR('THÁNG 6'!$C126="",'THÁNG 6'!$T126=""),"",'THÁNG 6'!$T126)</f>
        <v/>
      </c>
      <c r="Q119" s="0" t="str">
        <f aca="false">IF(OR('THÁNG 6'!$C126="",'THÁNG 6'!$U126=""),"",'THÁNG 6'!$U126)</f>
        <v/>
      </c>
      <c r="R119" s="0" t="str">
        <f aca="false">IF('THÁNG 6'!$C126="","",'THÁNG 6'!$W126&amp;"")</f>
        <v/>
      </c>
      <c r="S119" s="0" t="str">
        <f aca="false">IF('THÁNG 6'!$C126="","",'THÁNG 6'!$S126&amp;"")</f>
        <v/>
      </c>
      <c r="T119" s="0" t="str">
        <f aca="false">IF(N($O119)&gt;0,COUNTIF($O$3:$O119,"&gt;0"),"")</f>
        <v/>
      </c>
      <c r="U119" s="0" t="str">
        <f aca="false">IF(AND(N($J119)&gt;0,N($K119)&gt;0),COUNTIFS($J$3:$J119,"&gt;0",$K$3:$K119,"&gt;0"),"")</f>
        <v/>
      </c>
      <c r="V119" s="0" t="str">
        <f aca="false">IF(AND(N($J119)&gt;0,N($K119)=0),COUNTIFS($J$3:$J119,"&gt;0",$K$3:$K119,"&lt;=0"),"")</f>
        <v/>
      </c>
      <c r="W119" s="0" t="str">
        <f aca="false">IF($C119="","",IF(COUNTIF($C$3:$C119,$C119)&gt;1,"",MAX($W$2:W118)+1))</f>
        <v/>
      </c>
      <c r="X119" s="0" t="str">
        <f aca="false">IF($H119="","",IF(COUNTIF($H$3:$H119,$H119)&gt;1,"",MAX($X$2:X118)+1))</f>
        <v/>
      </c>
      <c r="Y119" s="0" t="str">
        <f aca="false">IF(AND(N($M119)&gt;0,N($O119)&lt;=0),COUNTIFS($M$3:$M119,"&gt;0",$O$3:$O119,"&lt;=0"),"")</f>
        <v/>
      </c>
      <c r="Z119" s="30" t="n">
        <f aca="false">IF(OR('THÁNG 6'!$C126="",'THÁNG 6'!$B126=""),0,'THÁNG 6'!$B126)</f>
        <v>0</v>
      </c>
    </row>
    <row r="120" customFormat="false" ht="15" hidden="false" customHeight="false" outlineLevel="0" collapsed="false">
      <c r="A120" s="0" t="n">
        <v>6</v>
      </c>
      <c r="B120" s="29" t="str">
        <f aca="false">IF(OR('THÁNG 6'!$C127="",'THÁNG 6'!$B127=""),"",'THÁNG 6'!$B127)</f>
        <v/>
      </c>
      <c r="C120" s="0" t="str">
        <f aca="false">IF('THÁNG 6'!$C127="","",'THÁNG 6'!$C127)</f>
        <v/>
      </c>
      <c r="D120" s="0" t="str">
        <f aca="false">IF('THÁNG 6'!$C127="","",'THÁNG 6'!$D127&amp;"")</f>
        <v/>
      </c>
      <c r="E120" s="0" t="str">
        <f aca="false">IF('THÁNG 6'!$C127="","",'THÁNG 6'!$E127&amp;"")</f>
        <v/>
      </c>
      <c r="F120" s="0" t="str">
        <f aca="false">IF('THÁNG 6'!$C127="","",'THÁNG 6'!$F127&amp;"")</f>
        <v/>
      </c>
      <c r="G120" s="0" t="str">
        <f aca="false">IF('THÁNG 6'!$C127="","",'THÁNG 6'!$G127&amp;"")</f>
        <v/>
      </c>
      <c r="H120" s="0" t="str">
        <f aca="false">IF('THÁNG 6'!$C127="","",'THÁNG 6'!$H127&amp;"")</f>
        <v/>
      </c>
      <c r="I120" s="0" t="str">
        <f aca="false">IF('THÁNG 6'!$C127="","",N('THÁNG 6'!$I127))</f>
        <v/>
      </c>
      <c r="J120" s="0" t="str">
        <f aca="false">IF('THÁNG 6'!$C127="","",N('THÁNG 6'!$L127))</f>
        <v/>
      </c>
      <c r="K120" s="0" t="str">
        <f aca="false">IF('THÁNG 6'!$C127="","",N('THÁNG 6'!$N127))</f>
        <v/>
      </c>
      <c r="L120" s="0" t="str">
        <f aca="false">IF('THÁNG 6'!$C127="","",N('THÁNG 6'!$O127))</f>
        <v/>
      </c>
      <c r="M120" s="0" t="str">
        <f aca="false">IF('THÁNG 6'!$C127="","",N('THÁNG 6'!$P127))</f>
        <v/>
      </c>
      <c r="N120" s="0" t="str">
        <f aca="false">IF('THÁNG 6'!$C127="","",N('THÁNG 6'!$Q127))</f>
        <v/>
      </c>
      <c r="O120" s="0" t="str">
        <f aca="false">IF('THÁNG 6'!$C127="","",N('THÁNG 6'!$R127))</f>
        <v/>
      </c>
      <c r="P120" s="0" t="str">
        <f aca="false">IF(OR('THÁNG 6'!$C127="",'THÁNG 6'!$T127=""),"",'THÁNG 6'!$T127)</f>
        <v/>
      </c>
      <c r="Q120" s="0" t="str">
        <f aca="false">IF(OR('THÁNG 6'!$C127="",'THÁNG 6'!$U127=""),"",'THÁNG 6'!$U127)</f>
        <v/>
      </c>
      <c r="R120" s="0" t="str">
        <f aca="false">IF('THÁNG 6'!$C127="","",'THÁNG 6'!$W127&amp;"")</f>
        <v/>
      </c>
      <c r="S120" s="0" t="str">
        <f aca="false">IF('THÁNG 6'!$C127="","",'THÁNG 6'!$S127&amp;"")</f>
        <v/>
      </c>
      <c r="T120" s="0" t="str">
        <f aca="false">IF(N($O120)&gt;0,COUNTIF($O$3:$O120,"&gt;0"),"")</f>
        <v/>
      </c>
      <c r="U120" s="0" t="str">
        <f aca="false">IF(AND(N($J120)&gt;0,N($K120)&gt;0),COUNTIFS($J$3:$J120,"&gt;0",$K$3:$K120,"&gt;0"),"")</f>
        <v/>
      </c>
      <c r="V120" s="0" t="str">
        <f aca="false">IF(AND(N($J120)&gt;0,N($K120)=0),COUNTIFS($J$3:$J120,"&gt;0",$K$3:$K120,"&lt;=0"),"")</f>
        <v/>
      </c>
      <c r="W120" s="0" t="str">
        <f aca="false">IF($C120="","",IF(COUNTIF($C$3:$C120,$C120)&gt;1,"",MAX($W$2:W119)+1))</f>
        <v/>
      </c>
      <c r="X120" s="0" t="str">
        <f aca="false">IF($H120="","",IF(COUNTIF($H$3:$H120,$H120)&gt;1,"",MAX($X$2:X119)+1))</f>
        <v/>
      </c>
      <c r="Y120" s="0" t="str">
        <f aca="false">IF(AND(N($M120)&gt;0,N($O120)&lt;=0),COUNTIFS($M$3:$M120,"&gt;0",$O$3:$O120,"&lt;=0"),"")</f>
        <v/>
      </c>
      <c r="Z120" s="30" t="n">
        <f aca="false">IF(OR('THÁNG 6'!$C127="",'THÁNG 6'!$B127=""),0,'THÁNG 6'!$B127)</f>
        <v>0</v>
      </c>
    </row>
    <row r="121" customFormat="false" ht="15" hidden="false" customHeight="false" outlineLevel="0" collapsed="false">
      <c r="A121" s="0" t="n">
        <v>6</v>
      </c>
      <c r="B121" s="29" t="str">
        <f aca="false">IF(OR('THÁNG 6'!$C128="",'THÁNG 6'!$B128=""),"",'THÁNG 6'!$B128)</f>
        <v/>
      </c>
      <c r="C121" s="0" t="str">
        <f aca="false">IF('THÁNG 6'!$C128="","",'THÁNG 6'!$C128)</f>
        <v/>
      </c>
      <c r="D121" s="0" t="str">
        <f aca="false">IF('THÁNG 6'!$C128="","",'THÁNG 6'!$D128&amp;"")</f>
        <v/>
      </c>
      <c r="E121" s="0" t="str">
        <f aca="false">IF('THÁNG 6'!$C128="","",'THÁNG 6'!$E128&amp;"")</f>
        <v/>
      </c>
      <c r="F121" s="0" t="str">
        <f aca="false">IF('THÁNG 6'!$C128="","",'THÁNG 6'!$F128&amp;"")</f>
        <v/>
      </c>
      <c r="G121" s="0" t="str">
        <f aca="false">IF('THÁNG 6'!$C128="","",'THÁNG 6'!$G128&amp;"")</f>
        <v/>
      </c>
      <c r="H121" s="0" t="str">
        <f aca="false">IF('THÁNG 6'!$C128="","",'THÁNG 6'!$H128&amp;"")</f>
        <v/>
      </c>
      <c r="I121" s="0" t="str">
        <f aca="false">IF('THÁNG 6'!$C128="","",N('THÁNG 6'!$I128))</f>
        <v/>
      </c>
      <c r="J121" s="0" t="str">
        <f aca="false">IF('THÁNG 6'!$C128="","",N('THÁNG 6'!$L128))</f>
        <v/>
      </c>
      <c r="K121" s="0" t="str">
        <f aca="false">IF('THÁNG 6'!$C128="","",N('THÁNG 6'!$N128))</f>
        <v/>
      </c>
      <c r="L121" s="0" t="str">
        <f aca="false">IF('THÁNG 6'!$C128="","",N('THÁNG 6'!$O128))</f>
        <v/>
      </c>
      <c r="M121" s="0" t="str">
        <f aca="false">IF('THÁNG 6'!$C128="","",N('THÁNG 6'!$P128))</f>
        <v/>
      </c>
      <c r="N121" s="0" t="str">
        <f aca="false">IF('THÁNG 6'!$C128="","",N('THÁNG 6'!$Q128))</f>
        <v/>
      </c>
      <c r="O121" s="0" t="str">
        <f aca="false">IF('THÁNG 6'!$C128="","",N('THÁNG 6'!$R128))</f>
        <v/>
      </c>
      <c r="P121" s="0" t="str">
        <f aca="false">IF(OR('THÁNG 6'!$C128="",'THÁNG 6'!$T128=""),"",'THÁNG 6'!$T128)</f>
        <v/>
      </c>
      <c r="Q121" s="0" t="str">
        <f aca="false">IF(OR('THÁNG 6'!$C128="",'THÁNG 6'!$U128=""),"",'THÁNG 6'!$U128)</f>
        <v/>
      </c>
      <c r="R121" s="0" t="str">
        <f aca="false">IF('THÁNG 6'!$C128="","",'THÁNG 6'!$W128&amp;"")</f>
        <v/>
      </c>
      <c r="S121" s="0" t="str">
        <f aca="false">IF('THÁNG 6'!$C128="","",'THÁNG 6'!$S128&amp;"")</f>
        <v/>
      </c>
      <c r="T121" s="0" t="str">
        <f aca="false">IF(N($O121)&gt;0,COUNTIF($O$3:$O121,"&gt;0"),"")</f>
        <v/>
      </c>
      <c r="U121" s="0" t="str">
        <f aca="false">IF(AND(N($J121)&gt;0,N($K121)&gt;0),COUNTIFS($J$3:$J121,"&gt;0",$K$3:$K121,"&gt;0"),"")</f>
        <v/>
      </c>
      <c r="V121" s="0" t="str">
        <f aca="false">IF(AND(N($J121)&gt;0,N($K121)=0),COUNTIFS($J$3:$J121,"&gt;0",$K$3:$K121,"&lt;=0"),"")</f>
        <v/>
      </c>
      <c r="W121" s="0" t="str">
        <f aca="false">IF($C121="","",IF(COUNTIF($C$3:$C121,$C121)&gt;1,"",MAX($W$2:W120)+1))</f>
        <v/>
      </c>
      <c r="X121" s="0" t="str">
        <f aca="false">IF($H121="","",IF(COUNTIF($H$3:$H121,$H121)&gt;1,"",MAX($X$2:X120)+1))</f>
        <v/>
      </c>
      <c r="Y121" s="0" t="str">
        <f aca="false">IF(AND(N($M121)&gt;0,N($O121)&lt;=0),COUNTIFS($M$3:$M121,"&gt;0",$O$3:$O121,"&lt;=0"),"")</f>
        <v/>
      </c>
      <c r="Z121" s="30" t="n">
        <f aca="false">IF(OR('THÁNG 6'!$C128="",'THÁNG 6'!$B128=""),0,'THÁNG 6'!$B128)</f>
        <v>0</v>
      </c>
    </row>
    <row r="122" customFormat="false" ht="15" hidden="false" customHeight="false" outlineLevel="0" collapsed="false">
      <c r="A122" s="0" t="n">
        <v>6</v>
      </c>
      <c r="B122" s="29" t="str">
        <f aca="false">IF(OR('THÁNG 6'!$C129="",'THÁNG 6'!$B129=""),"",'THÁNG 6'!$B129)</f>
        <v/>
      </c>
      <c r="C122" s="0" t="str">
        <f aca="false">IF('THÁNG 6'!$C129="","",'THÁNG 6'!$C129)</f>
        <v/>
      </c>
      <c r="D122" s="0" t="str">
        <f aca="false">IF('THÁNG 6'!$C129="","",'THÁNG 6'!$D129&amp;"")</f>
        <v/>
      </c>
      <c r="E122" s="0" t="str">
        <f aca="false">IF('THÁNG 6'!$C129="","",'THÁNG 6'!$E129&amp;"")</f>
        <v/>
      </c>
      <c r="F122" s="0" t="str">
        <f aca="false">IF('THÁNG 6'!$C129="","",'THÁNG 6'!$F129&amp;"")</f>
        <v/>
      </c>
      <c r="G122" s="0" t="str">
        <f aca="false">IF('THÁNG 6'!$C129="","",'THÁNG 6'!$G129&amp;"")</f>
        <v/>
      </c>
      <c r="H122" s="0" t="str">
        <f aca="false">IF('THÁNG 6'!$C129="","",'THÁNG 6'!$H129&amp;"")</f>
        <v/>
      </c>
      <c r="I122" s="0" t="str">
        <f aca="false">IF('THÁNG 6'!$C129="","",N('THÁNG 6'!$I129))</f>
        <v/>
      </c>
      <c r="J122" s="0" t="str">
        <f aca="false">IF('THÁNG 6'!$C129="","",N('THÁNG 6'!$L129))</f>
        <v/>
      </c>
      <c r="K122" s="0" t="str">
        <f aca="false">IF('THÁNG 6'!$C129="","",N('THÁNG 6'!$N129))</f>
        <v/>
      </c>
      <c r="L122" s="0" t="str">
        <f aca="false">IF('THÁNG 6'!$C129="","",N('THÁNG 6'!$O129))</f>
        <v/>
      </c>
      <c r="M122" s="0" t="str">
        <f aca="false">IF('THÁNG 6'!$C129="","",N('THÁNG 6'!$P129))</f>
        <v/>
      </c>
      <c r="N122" s="0" t="str">
        <f aca="false">IF('THÁNG 6'!$C129="","",N('THÁNG 6'!$Q129))</f>
        <v/>
      </c>
      <c r="O122" s="0" t="str">
        <f aca="false">IF('THÁNG 6'!$C129="","",N('THÁNG 6'!$R129))</f>
        <v/>
      </c>
      <c r="P122" s="0" t="str">
        <f aca="false">IF(OR('THÁNG 6'!$C129="",'THÁNG 6'!$T129=""),"",'THÁNG 6'!$T129)</f>
        <v/>
      </c>
      <c r="Q122" s="0" t="str">
        <f aca="false">IF(OR('THÁNG 6'!$C129="",'THÁNG 6'!$U129=""),"",'THÁNG 6'!$U129)</f>
        <v/>
      </c>
      <c r="R122" s="0" t="str">
        <f aca="false">IF('THÁNG 6'!$C129="","",'THÁNG 6'!$W129&amp;"")</f>
        <v/>
      </c>
      <c r="S122" s="0" t="str">
        <f aca="false">IF('THÁNG 6'!$C129="","",'THÁNG 6'!$S129&amp;"")</f>
        <v/>
      </c>
      <c r="T122" s="0" t="str">
        <f aca="false">IF(N($O122)&gt;0,COUNTIF($O$3:$O122,"&gt;0"),"")</f>
        <v/>
      </c>
      <c r="U122" s="0" t="str">
        <f aca="false">IF(AND(N($J122)&gt;0,N($K122)&gt;0),COUNTIFS($J$3:$J122,"&gt;0",$K$3:$K122,"&gt;0"),"")</f>
        <v/>
      </c>
      <c r="V122" s="0" t="str">
        <f aca="false">IF(AND(N($J122)&gt;0,N($K122)=0),COUNTIFS($J$3:$J122,"&gt;0",$K$3:$K122,"&lt;=0"),"")</f>
        <v/>
      </c>
      <c r="W122" s="0" t="str">
        <f aca="false">IF($C122="","",IF(COUNTIF($C$3:$C122,$C122)&gt;1,"",MAX($W$2:W121)+1))</f>
        <v/>
      </c>
      <c r="X122" s="0" t="str">
        <f aca="false">IF($H122="","",IF(COUNTIF($H$3:$H122,$H122)&gt;1,"",MAX($X$2:X121)+1))</f>
        <v/>
      </c>
      <c r="Y122" s="0" t="str">
        <f aca="false">IF(AND(N($M122)&gt;0,N($O122)&lt;=0),COUNTIFS($M$3:$M122,"&gt;0",$O$3:$O122,"&lt;=0"),"")</f>
        <v/>
      </c>
      <c r="Z122" s="30" t="n">
        <f aca="false">IF(OR('THÁNG 6'!$C129="",'THÁNG 6'!$B129=""),0,'THÁNG 6'!$B129)</f>
        <v>0</v>
      </c>
    </row>
    <row r="123" customFormat="false" ht="15" hidden="false" customHeight="false" outlineLevel="0" collapsed="false">
      <c r="A123" s="0" t="n">
        <v>6</v>
      </c>
      <c r="B123" s="29" t="str">
        <f aca="false">IF(OR('THÁNG 6'!$C130="",'THÁNG 6'!$B130=""),"",'THÁNG 6'!$B130)</f>
        <v/>
      </c>
      <c r="C123" s="0" t="str">
        <f aca="false">IF('THÁNG 6'!$C130="","",'THÁNG 6'!$C130)</f>
        <v/>
      </c>
      <c r="D123" s="0" t="str">
        <f aca="false">IF('THÁNG 6'!$C130="","",'THÁNG 6'!$D130&amp;"")</f>
        <v/>
      </c>
      <c r="E123" s="0" t="str">
        <f aca="false">IF('THÁNG 6'!$C130="","",'THÁNG 6'!$E130&amp;"")</f>
        <v/>
      </c>
      <c r="F123" s="0" t="str">
        <f aca="false">IF('THÁNG 6'!$C130="","",'THÁNG 6'!$F130&amp;"")</f>
        <v/>
      </c>
      <c r="G123" s="0" t="str">
        <f aca="false">IF('THÁNG 6'!$C130="","",'THÁNG 6'!$G130&amp;"")</f>
        <v/>
      </c>
      <c r="H123" s="0" t="str">
        <f aca="false">IF('THÁNG 6'!$C130="","",'THÁNG 6'!$H130&amp;"")</f>
        <v/>
      </c>
      <c r="I123" s="0" t="str">
        <f aca="false">IF('THÁNG 6'!$C130="","",N('THÁNG 6'!$I130))</f>
        <v/>
      </c>
      <c r="J123" s="0" t="str">
        <f aca="false">IF('THÁNG 6'!$C130="","",N('THÁNG 6'!$L130))</f>
        <v/>
      </c>
      <c r="K123" s="0" t="str">
        <f aca="false">IF('THÁNG 6'!$C130="","",N('THÁNG 6'!$N130))</f>
        <v/>
      </c>
      <c r="L123" s="0" t="str">
        <f aca="false">IF('THÁNG 6'!$C130="","",N('THÁNG 6'!$O130))</f>
        <v/>
      </c>
      <c r="M123" s="0" t="str">
        <f aca="false">IF('THÁNG 6'!$C130="","",N('THÁNG 6'!$P130))</f>
        <v/>
      </c>
      <c r="N123" s="0" t="str">
        <f aca="false">IF('THÁNG 6'!$C130="","",N('THÁNG 6'!$Q130))</f>
        <v/>
      </c>
      <c r="O123" s="0" t="str">
        <f aca="false">IF('THÁNG 6'!$C130="","",N('THÁNG 6'!$R130))</f>
        <v/>
      </c>
      <c r="P123" s="0" t="str">
        <f aca="false">IF(OR('THÁNG 6'!$C130="",'THÁNG 6'!$T130=""),"",'THÁNG 6'!$T130)</f>
        <v/>
      </c>
      <c r="Q123" s="0" t="str">
        <f aca="false">IF(OR('THÁNG 6'!$C130="",'THÁNG 6'!$U130=""),"",'THÁNG 6'!$U130)</f>
        <v/>
      </c>
      <c r="R123" s="0" t="str">
        <f aca="false">IF('THÁNG 6'!$C130="","",'THÁNG 6'!$W130&amp;"")</f>
        <v/>
      </c>
      <c r="S123" s="0" t="str">
        <f aca="false">IF('THÁNG 6'!$C130="","",'THÁNG 6'!$S130&amp;"")</f>
        <v/>
      </c>
      <c r="T123" s="0" t="str">
        <f aca="false">IF(N($O123)&gt;0,COUNTIF($O$3:$O123,"&gt;0"),"")</f>
        <v/>
      </c>
      <c r="U123" s="0" t="str">
        <f aca="false">IF(AND(N($J123)&gt;0,N($K123)&gt;0),COUNTIFS($J$3:$J123,"&gt;0",$K$3:$K123,"&gt;0"),"")</f>
        <v/>
      </c>
      <c r="V123" s="0" t="str">
        <f aca="false">IF(AND(N($J123)&gt;0,N($K123)=0),COUNTIFS($J$3:$J123,"&gt;0",$K$3:$K123,"&lt;=0"),"")</f>
        <v/>
      </c>
      <c r="W123" s="0" t="str">
        <f aca="false">IF($C123="","",IF(COUNTIF($C$3:$C123,$C123)&gt;1,"",MAX($W$2:W122)+1))</f>
        <v/>
      </c>
      <c r="X123" s="0" t="str">
        <f aca="false">IF($H123="","",IF(COUNTIF($H$3:$H123,$H123)&gt;1,"",MAX($X$2:X122)+1))</f>
        <v/>
      </c>
      <c r="Y123" s="0" t="str">
        <f aca="false">IF(AND(N($M123)&gt;0,N($O123)&lt;=0),COUNTIFS($M$3:$M123,"&gt;0",$O$3:$O123,"&lt;=0"),"")</f>
        <v/>
      </c>
      <c r="Z123" s="30" t="n">
        <f aca="false">IF(OR('THÁNG 6'!$C130="",'THÁNG 6'!$B130=""),0,'THÁNG 6'!$B130)</f>
        <v>0</v>
      </c>
    </row>
    <row r="124" customFormat="false" ht="15" hidden="false" customHeight="false" outlineLevel="0" collapsed="false">
      <c r="A124" s="0" t="n">
        <v>6</v>
      </c>
      <c r="B124" s="29" t="str">
        <f aca="false">IF(OR('THÁNG 6'!$C131="",'THÁNG 6'!$B131=""),"",'THÁNG 6'!$B131)</f>
        <v/>
      </c>
      <c r="C124" s="0" t="str">
        <f aca="false">IF('THÁNG 6'!$C131="","",'THÁNG 6'!$C131)</f>
        <v/>
      </c>
      <c r="D124" s="0" t="str">
        <f aca="false">IF('THÁNG 6'!$C131="","",'THÁNG 6'!$D131&amp;"")</f>
        <v/>
      </c>
      <c r="E124" s="0" t="str">
        <f aca="false">IF('THÁNG 6'!$C131="","",'THÁNG 6'!$E131&amp;"")</f>
        <v/>
      </c>
      <c r="F124" s="0" t="str">
        <f aca="false">IF('THÁNG 6'!$C131="","",'THÁNG 6'!$F131&amp;"")</f>
        <v/>
      </c>
      <c r="G124" s="0" t="str">
        <f aca="false">IF('THÁNG 6'!$C131="","",'THÁNG 6'!$G131&amp;"")</f>
        <v/>
      </c>
      <c r="H124" s="0" t="str">
        <f aca="false">IF('THÁNG 6'!$C131="","",'THÁNG 6'!$H131&amp;"")</f>
        <v/>
      </c>
      <c r="I124" s="0" t="str">
        <f aca="false">IF('THÁNG 6'!$C131="","",N('THÁNG 6'!$I131))</f>
        <v/>
      </c>
      <c r="J124" s="0" t="str">
        <f aca="false">IF('THÁNG 6'!$C131="","",N('THÁNG 6'!$L131))</f>
        <v/>
      </c>
      <c r="K124" s="0" t="str">
        <f aca="false">IF('THÁNG 6'!$C131="","",N('THÁNG 6'!$N131))</f>
        <v/>
      </c>
      <c r="L124" s="0" t="str">
        <f aca="false">IF('THÁNG 6'!$C131="","",N('THÁNG 6'!$O131))</f>
        <v/>
      </c>
      <c r="M124" s="0" t="str">
        <f aca="false">IF('THÁNG 6'!$C131="","",N('THÁNG 6'!$P131))</f>
        <v/>
      </c>
      <c r="N124" s="0" t="str">
        <f aca="false">IF('THÁNG 6'!$C131="","",N('THÁNG 6'!$Q131))</f>
        <v/>
      </c>
      <c r="O124" s="0" t="str">
        <f aca="false">IF('THÁNG 6'!$C131="","",N('THÁNG 6'!$R131))</f>
        <v/>
      </c>
      <c r="P124" s="0" t="str">
        <f aca="false">IF(OR('THÁNG 6'!$C131="",'THÁNG 6'!$T131=""),"",'THÁNG 6'!$T131)</f>
        <v/>
      </c>
      <c r="Q124" s="0" t="str">
        <f aca="false">IF(OR('THÁNG 6'!$C131="",'THÁNG 6'!$U131=""),"",'THÁNG 6'!$U131)</f>
        <v/>
      </c>
      <c r="R124" s="0" t="str">
        <f aca="false">IF('THÁNG 6'!$C131="","",'THÁNG 6'!$W131&amp;"")</f>
        <v/>
      </c>
      <c r="S124" s="0" t="str">
        <f aca="false">IF('THÁNG 6'!$C131="","",'THÁNG 6'!$S131&amp;"")</f>
        <v/>
      </c>
      <c r="T124" s="0" t="str">
        <f aca="false">IF(N($O124)&gt;0,COUNTIF($O$3:$O124,"&gt;0"),"")</f>
        <v/>
      </c>
      <c r="U124" s="0" t="str">
        <f aca="false">IF(AND(N($J124)&gt;0,N($K124)&gt;0),COUNTIFS($J$3:$J124,"&gt;0",$K$3:$K124,"&gt;0"),"")</f>
        <v/>
      </c>
      <c r="V124" s="0" t="str">
        <f aca="false">IF(AND(N($J124)&gt;0,N($K124)=0),COUNTIFS($J$3:$J124,"&gt;0",$K$3:$K124,"&lt;=0"),"")</f>
        <v/>
      </c>
      <c r="W124" s="0" t="str">
        <f aca="false">IF($C124="","",IF(COUNTIF($C$3:$C124,$C124)&gt;1,"",MAX($W$2:W123)+1))</f>
        <v/>
      </c>
      <c r="X124" s="0" t="str">
        <f aca="false">IF($H124="","",IF(COUNTIF($H$3:$H124,$H124)&gt;1,"",MAX($X$2:X123)+1))</f>
        <v/>
      </c>
      <c r="Y124" s="0" t="str">
        <f aca="false">IF(AND(N($M124)&gt;0,N($O124)&lt;=0),COUNTIFS($M$3:$M124,"&gt;0",$O$3:$O124,"&lt;=0"),"")</f>
        <v/>
      </c>
      <c r="Z124" s="30" t="n">
        <f aca="false">IF(OR('THÁNG 6'!$C131="",'THÁNG 6'!$B131=""),0,'THÁNG 6'!$B131)</f>
        <v>0</v>
      </c>
    </row>
    <row r="125" customFormat="false" ht="15" hidden="false" customHeight="false" outlineLevel="0" collapsed="false">
      <c r="A125" s="0" t="n">
        <v>6</v>
      </c>
      <c r="B125" s="29" t="str">
        <f aca="false">IF(OR('THÁNG 6'!$C132="",'THÁNG 6'!$B132=""),"",'THÁNG 6'!$B132)</f>
        <v/>
      </c>
      <c r="C125" s="0" t="str">
        <f aca="false">IF('THÁNG 6'!$C132="","",'THÁNG 6'!$C132)</f>
        <v/>
      </c>
      <c r="D125" s="0" t="str">
        <f aca="false">IF('THÁNG 6'!$C132="","",'THÁNG 6'!$D132&amp;"")</f>
        <v/>
      </c>
      <c r="E125" s="0" t="str">
        <f aca="false">IF('THÁNG 6'!$C132="","",'THÁNG 6'!$E132&amp;"")</f>
        <v/>
      </c>
      <c r="F125" s="0" t="str">
        <f aca="false">IF('THÁNG 6'!$C132="","",'THÁNG 6'!$F132&amp;"")</f>
        <v/>
      </c>
      <c r="G125" s="0" t="str">
        <f aca="false">IF('THÁNG 6'!$C132="","",'THÁNG 6'!$G132&amp;"")</f>
        <v/>
      </c>
      <c r="H125" s="0" t="str">
        <f aca="false">IF('THÁNG 6'!$C132="","",'THÁNG 6'!$H132&amp;"")</f>
        <v/>
      </c>
      <c r="I125" s="0" t="str">
        <f aca="false">IF('THÁNG 6'!$C132="","",N('THÁNG 6'!$I132))</f>
        <v/>
      </c>
      <c r="J125" s="0" t="str">
        <f aca="false">IF('THÁNG 6'!$C132="","",N('THÁNG 6'!$L132))</f>
        <v/>
      </c>
      <c r="K125" s="0" t="str">
        <f aca="false">IF('THÁNG 6'!$C132="","",N('THÁNG 6'!$N132))</f>
        <v/>
      </c>
      <c r="L125" s="0" t="str">
        <f aca="false">IF('THÁNG 6'!$C132="","",N('THÁNG 6'!$O132))</f>
        <v/>
      </c>
      <c r="M125" s="0" t="str">
        <f aca="false">IF('THÁNG 6'!$C132="","",N('THÁNG 6'!$P132))</f>
        <v/>
      </c>
      <c r="N125" s="0" t="str">
        <f aca="false">IF('THÁNG 6'!$C132="","",N('THÁNG 6'!$Q132))</f>
        <v/>
      </c>
      <c r="O125" s="0" t="str">
        <f aca="false">IF('THÁNG 6'!$C132="","",N('THÁNG 6'!$R132))</f>
        <v/>
      </c>
      <c r="P125" s="0" t="str">
        <f aca="false">IF(OR('THÁNG 6'!$C132="",'THÁNG 6'!$T132=""),"",'THÁNG 6'!$T132)</f>
        <v/>
      </c>
      <c r="Q125" s="0" t="str">
        <f aca="false">IF(OR('THÁNG 6'!$C132="",'THÁNG 6'!$U132=""),"",'THÁNG 6'!$U132)</f>
        <v/>
      </c>
      <c r="R125" s="0" t="str">
        <f aca="false">IF('THÁNG 6'!$C132="","",'THÁNG 6'!$W132&amp;"")</f>
        <v/>
      </c>
      <c r="S125" s="0" t="str">
        <f aca="false">IF('THÁNG 6'!$C132="","",'THÁNG 6'!$S132&amp;"")</f>
        <v/>
      </c>
      <c r="T125" s="0" t="str">
        <f aca="false">IF(N($O125)&gt;0,COUNTIF($O$3:$O125,"&gt;0"),"")</f>
        <v/>
      </c>
      <c r="U125" s="0" t="str">
        <f aca="false">IF(AND(N($J125)&gt;0,N($K125)&gt;0),COUNTIFS($J$3:$J125,"&gt;0",$K$3:$K125,"&gt;0"),"")</f>
        <v/>
      </c>
      <c r="V125" s="0" t="str">
        <f aca="false">IF(AND(N($J125)&gt;0,N($K125)=0),COUNTIFS($J$3:$J125,"&gt;0",$K$3:$K125,"&lt;=0"),"")</f>
        <v/>
      </c>
      <c r="W125" s="0" t="str">
        <f aca="false">IF($C125="","",IF(COUNTIF($C$3:$C125,$C125)&gt;1,"",MAX($W$2:W124)+1))</f>
        <v/>
      </c>
      <c r="X125" s="0" t="str">
        <f aca="false">IF($H125="","",IF(COUNTIF($H$3:$H125,$H125)&gt;1,"",MAX($X$2:X124)+1))</f>
        <v/>
      </c>
      <c r="Y125" s="0" t="str">
        <f aca="false">IF(AND(N($M125)&gt;0,N($O125)&lt;=0),COUNTIFS($M$3:$M125,"&gt;0",$O$3:$O125,"&lt;=0"),"")</f>
        <v/>
      </c>
      <c r="Z125" s="30" t="n">
        <f aca="false">IF(OR('THÁNG 6'!$C132="",'THÁNG 6'!$B132=""),0,'THÁNG 6'!$B132)</f>
        <v>0</v>
      </c>
    </row>
    <row r="126" customFormat="false" ht="15" hidden="false" customHeight="false" outlineLevel="0" collapsed="false">
      <c r="A126" s="0" t="n">
        <v>6</v>
      </c>
      <c r="B126" s="29" t="str">
        <f aca="false">IF(OR('THÁNG 6'!$C133="",'THÁNG 6'!$B133=""),"",'THÁNG 6'!$B133)</f>
        <v/>
      </c>
      <c r="C126" s="0" t="str">
        <f aca="false">IF('THÁNG 6'!$C133="","",'THÁNG 6'!$C133)</f>
        <v/>
      </c>
      <c r="D126" s="0" t="str">
        <f aca="false">IF('THÁNG 6'!$C133="","",'THÁNG 6'!$D133&amp;"")</f>
        <v/>
      </c>
      <c r="E126" s="0" t="str">
        <f aca="false">IF('THÁNG 6'!$C133="","",'THÁNG 6'!$E133&amp;"")</f>
        <v/>
      </c>
      <c r="F126" s="0" t="str">
        <f aca="false">IF('THÁNG 6'!$C133="","",'THÁNG 6'!$F133&amp;"")</f>
        <v/>
      </c>
      <c r="G126" s="0" t="str">
        <f aca="false">IF('THÁNG 6'!$C133="","",'THÁNG 6'!$G133&amp;"")</f>
        <v/>
      </c>
      <c r="H126" s="0" t="str">
        <f aca="false">IF('THÁNG 6'!$C133="","",'THÁNG 6'!$H133&amp;"")</f>
        <v/>
      </c>
      <c r="I126" s="0" t="str">
        <f aca="false">IF('THÁNG 6'!$C133="","",N('THÁNG 6'!$I133))</f>
        <v/>
      </c>
      <c r="J126" s="0" t="str">
        <f aca="false">IF('THÁNG 6'!$C133="","",N('THÁNG 6'!$L133))</f>
        <v/>
      </c>
      <c r="K126" s="0" t="str">
        <f aca="false">IF('THÁNG 6'!$C133="","",N('THÁNG 6'!$N133))</f>
        <v/>
      </c>
      <c r="L126" s="0" t="str">
        <f aca="false">IF('THÁNG 6'!$C133="","",N('THÁNG 6'!$O133))</f>
        <v/>
      </c>
      <c r="M126" s="0" t="str">
        <f aca="false">IF('THÁNG 6'!$C133="","",N('THÁNG 6'!$P133))</f>
        <v/>
      </c>
      <c r="N126" s="0" t="str">
        <f aca="false">IF('THÁNG 6'!$C133="","",N('THÁNG 6'!$Q133))</f>
        <v/>
      </c>
      <c r="O126" s="0" t="str">
        <f aca="false">IF('THÁNG 6'!$C133="","",N('THÁNG 6'!$R133))</f>
        <v/>
      </c>
      <c r="P126" s="0" t="str">
        <f aca="false">IF(OR('THÁNG 6'!$C133="",'THÁNG 6'!$T133=""),"",'THÁNG 6'!$T133)</f>
        <v/>
      </c>
      <c r="Q126" s="0" t="str">
        <f aca="false">IF(OR('THÁNG 6'!$C133="",'THÁNG 6'!$U133=""),"",'THÁNG 6'!$U133)</f>
        <v/>
      </c>
      <c r="R126" s="0" t="str">
        <f aca="false">IF('THÁNG 6'!$C133="","",'THÁNG 6'!$W133&amp;"")</f>
        <v/>
      </c>
      <c r="S126" s="0" t="str">
        <f aca="false">IF('THÁNG 6'!$C133="","",'THÁNG 6'!$S133&amp;"")</f>
        <v/>
      </c>
      <c r="T126" s="0" t="str">
        <f aca="false">IF(N($O126)&gt;0,COUNTIF($O$3:$O126,"&gt;0"),"")</f>
        <v/>
      </c>
      <c r="U126" s="0" t="str">
        <f aca="false">IF(AND(N($J126)&gt;0,N($K126)&gt;0),COUNTIFS($J$3:$J126,"&gt;0",$K$3:$K126,"&gt;0"),"")</f>
        <v/>
      </c>
      <c r="V126" s="0" t="str">
        <f aca="false">IF(AND(N($J126)&gt;0,N($K126)=0),COUNTIFS($J$3:$J126,"&gt;0",$K$3:$K126,"&lt;=0"),"")</f>
        <v/>
      </c>
      <c r="W126" s="0" t="str">
        <f aca="false">IF($C126="","",IF(COUNTIF($C$3:$C126,$C126)&gt;1,"",MAX($W$2:W125)+1))</f>
        <v/>
      </c>
      <c r="X126" s="0" t="str">
        <f aca="false">IF($H126="","",IF(COUNTIF($H$3:$H126,$H126)&gt;1,"",MAX($X$2:X125)+1))</f>
        <v/>
      </c>
      <c r="Y126" s="0" t="str">
        <f aca="false">IF(AND(N($M126)&gt;0,N($O126)&lt;=0),COUNTIFS($M$3:$M126,"&gt;0",$O$3:$O126,"&lt;=0"),"")</f>
        <v/>
      </c>
      <c r="Z126" s="30" t="n">
        <f aca="false">IF(OR('THÁNG 6'!$C133="",'THÁNG 6'!$B133=""),0,'THÁNG 6'!$B133)</f>
        <v>0</v>
      </c>
    </row>
    <row r="127" customFormat="false" ht="15" hidden="false" customHeight="false" outlineLevel="0" collapsed="false">
      <c r="A127" s="0" t="n">
        <v>6</v>
      </c>
      <c r="B127" s="29" t="str">
        <f aca="false">IF(OR('THÁNG 6'!$C134="",'THÁNG 6'!$B134=""),"",'THÁNG 6'!$B134)</f>
        <v/>
      </c>
      <c r="C127" s="0" t="str">
        <f aca="false">IF('THÁNG 6'!$C134="","",'THÁNG 6'!$C134)</f>
        <v/>
      </c>
      <c r="D127" s="0" t="str">
        <f aca="false">IF('THÁNG 6'!$C134="","",'THÁNG 6'!$D134&amp;"")</f>
        <v/>
      </c>
      <c r="E127" s="0" t="str">
        <f aca="false">IF('THÁNG 6'!$C134="","",'THÁNG 6'!$E134&amp;"")</f>
        <v/>
      </c>
      <c r="F127" s="0" t="str">
        <f aca="false">IF('THÁNG 6'!$C134="","",'THÁNG 6'!$F134&amp;"")</f>
        <v/>
      </c>
      <c r="G127" s="0" t="str">
        <f aca="false">IF('THÁNG 6'!$C134="","",'THÁNG 6'!$G134&amp;"")</f>
        <v/>
      </c>
      <c r="H127" s="0" t="str">
        <f aca="false">IF('THÁNG 6'!$C134="","",'THÁNG 6'!$H134&amp;"")</f>
        <v/>
      </c>
      <c r="I127" s="0" t="str">
        <f aca="false">IF('THÁNG 6'!$C134="","",N('THÁNG 6'!$I134))</f>
        <v/>
      </c>
      <c r="J127" s="0" t="str">
        <f aca="false">IF('THÁNG 6'!$C134="","",N('THÁNG 6'!$L134))</f>
        <v/>
      </c>
      <c r="K127" s="0" t="str">
        <f aca="false">IF('THÁNG 6'!$C134="","",N('THÁNG 6'!$N134))</f>
        <v/>
      </c>
      <c r="L127" s="0" t="str">
        <f aca="false">IF('THÁNG 6'!$C134="","",N('THÁNG 6'!$O134))</f>
        <v/>
      </c>
      <c r="M127" s="0" t="str">
        <f aca="false">IF('THÁNG 6'!$C134="","",N('THÁNG 6'!$P134))</f>
        <v/>
      </c>
      <c r="N127" s="0" t="str">
        <f aca="false">IF('THÁNG 6'!$C134="","",N('THÁNG 6'!$Q134))</f>
        <v/>
      </c>
      <c r="O127" s="0" t="str">
        <f aca="false">IF('THÁNG 6'!$C134="","",N('THÁNG 6'!$R134))</f>
        <v/>
      </c>
      <c r="P127" s="0" t="str">
        <f aca="false">IF(OR('THÁNG 6'!$C134="",'THÁNG 6'!$T134=""),"",'THÁNG 6'!$T134)</f>
        <v/>
      </c>
      <c r="Q127" s="0" t="str">
        <f aca="false">IF(OR('THÁNG 6'!$C134="",'THÁNG 6'!$U134=""),"",'THÁNG 6'!$U134)</f>
        <v/>
      </c>
      <c r="R127" s="0" t="str">
        <f aca="false">IF('THÁNG 6'!$C134="","",'THÁNG 6'!$W134&amp;"")</f>
        <v/>
      </c>
      <c r="S127" s="0" t="str">
        <f aca="false">IF('THÁNG 6'!$C134="","",'THÁNG 6'!$S134&amp;"")</f>
        <v/>
      </c>
      <c r="T127" s="0" t="str">
        <f aca="false">IF(N($O127)&gt;0,COUNTIF($O$3:$O127,"&gt;0"),"")</f>
        <v/>
      </c>
      <c r="U127" s="0" t="str">
        <f aca="false">IF(AND(N($J127)&gt;0,N($K127)&gt;0),COUNTIFS($J$3:$J127,"&gt;0",$K$3:$K127,"&gt;0"),"")</f>
        <v/>
      </c>
      <c r="V127" s="0" t="str">
        <f aca="false">IF(AND(N($J127)&gt;0,N($K127)=0),COUNTIFS($J$3:$J127,"&gt;0",$K$3:$K127,"&lt;=0"),"")</f>
        <v/>
      </c>
      <c r="W127" s="0" t="str">
        <f aca="false">IF($C127="","",IF(COUNTIF($C$3:$C127,$C127)&gt;1,"",MAX($W$2:W126)+1))</f>
        <v/>
      </c>
      <c r="X127" s="0" t="str">
        <f aca="false">IF($H127="","",IF(COUNTIF($H$3:$H127,$H127)&gt;1,"",MAX($X$2:X126)+1))</f>
        <v/>
      </c>
      <c r="Y127" s="0" t="str">
        <f aca="false">IF(AND(N($M127)&gt;0,N($O127)&lt;=0),COUNTIFS($M$3:$M127,"&gt;0",$O$3:$O127,"&lt;=0"),"")</f>
        <v/>
      </c>
      <c r="Z127" s="30" t="n">
        <f aca="false">IF(OR('THÁNG 6'!$C134="",'THÁNG 6'!$B134=""),0,'THÁNG 6'!$B134)</f>
        <v>0</v>
      </c>
    </row>
    <row r="128" customFormat="false" ht="15" hidden="false" customHeight="false" outlineLevel="0" collapsed="false">
      <c r="A128" s="0" t="n">
        <v>6</v>
      </c>
      <c r="B128" s="29" t="str">
        <f aca="false">IF(OR('THÁNG 6'!$C135="",'THÁNG 6'!$B135=""),"",'THÁNG 6'!$B135)</f>
        <v/>
      </c>
      <c r="C128" s="0" t="str">
        <f aca="false">IF('THÁNG 6'!$C135="","",'THÁNG 6'!$C135)</f>
        <v/>
      </c>
      <c r="D128" s="0" t="str">
        <f aca="false">IF('THÁNG 6'!$C135="","",'THÁNG 6'!$D135&amp;"")</f>
        <v/>
      </c>
      <c r="E128" s="0" t="str">
        <f aca="false">IF('THÁNG 6'!$C135="","",'THÁNG 6'!$E135&amp;"")</f>
        <v/>
      </c>
      <c r="F128" s="0" t="str">
        <f aca="false">IF('THÁNG 6'!$C135="","",'THÁNG 6'!$F135&amp;"")</f>
        <v/>
      </c>
      <c r="G128" s="0" t="str">
        <f aca="false">IF('THÁNG 6'!$C135="","",'THÁNG 6'!$G135&amp;"")</f>
        <v/>
      </c>
      <c r="H128" s="0" t="str">
        <f aca="false">IF('THÁNG 6'!$C135="","",'THÁNG 6'!$H135&amp;"")</f>
        <v/>
      </c>
      <c r="I128" s="0" t="str">
        <f aca="false">IF('THÁNG 6'!$C135="","",N('THÁNG 6'!$I135))</f>
        <v/>
      </c>
      <c r="J128" s="0" t="str">
        <f aca="false">IF('THÁNG 6'!$C135="","",N('THÁNG 6'!$L135))</f>
        <v/>
      </c>
      <c r="K128" s="0" t="str">
        <f aca="false">IF('THÁNG 6'!$C135="","",N('THÁNG 6'!$N135))</f>
        <v/>
      </c>
      <c r="L128" s="0" t="str">
        <f aca="false">IF('THÁNG 6'!$C135="","",N('THÁNG 6'!$O135))</f>
        <v/>
      </c>
      <c r="M128" s="0" t="str">
        <f aca="false">IF('THÁNG 6'!$C135="","",N('THÁNG 6'!$P135))</f>
        <v/>
      </c>
      <c r="N128" s="0" t="str">
        <f aca="false">IF('THÁNG 6'!$C135="","",N('THÁNG 6'!$Q135))</f>
        <v/>
      </c>
      <c r="O128" s="0" t="str">
        <f aca="false">IF('THÁNG 6'!$C135="","",N('THÁNG 6'!$R135))</f>
        <v/>
      </c>
      <c r="P128" s="0" t="str">
        <f aca="false">IF(OR('THÁNG 6'!$C135="",'THÁNG 6'!$T135=""),"",'THÁNG 6'!$T135)</f>
        <v/>
      </c>
      <c r="Q128" s="0" t="str">
        <f aca="false">IF(OR('THÁNG 6'!$C135="",'THÁNG 6'!$U135=""),"",'THÁNG 6'!$U135)</f>
        <v/>
      </c>
      <c r="R128" s="0" t="str">
        <f aca="false">IF('THÁNG 6'!$C135="","",'THÁNG 6'!$W135&amp;"")</f>
        <v/>
      </c>
      <c r="S128" s="0" t="str">
        <f aca="false">IF('THÁNG 6'!$C135="","",'THÁNG 6'!$S135&amp;"")</f>
        <v/>
      </c>
      <c r="T128" s="0" t="str">
        <f aca="false">IF(N($O128)&gt;0,COUNTIF($O$3:$O128,"&gt;0"),"")</f>
        <v/>
      </c>
      <c r="U128" s="0" t="str">
        <f aca="false">IF(AND(N($J128)&gt;0,N($K128)&gt;0),COUNTIFS($J$3:$J128,"&gt;0",$K$3:$K128,"&gt;0"),"")</f>
        <v/>
      </c>
      <c r="V128" s="0" t="str">
        <f aca="false">IF(AND(N($J128)&gt;0,N($K128)=0),COUNTIFS($J$3:$J128,"&gt;0",$K$3:$K128,"&lt;=0"),"")</f>
        <v/>
      </c>
      <c r="W128" s="0" t="str">
        <f aca="false">IF($C128="","",IF(COUNTIF($C$3:$C128,$C128)&gt;1,"",MAX($W$2:W127)+1))</f>
        <v/>
      </c>
      <c r="X128" s="0" t="str">
        <f aca="false">IF($H128="","",IF(COUNTIF($H$3:$H128,$H128)&gt;1,"",MAX($X$2:X127)+1))</f>
        <v/>
      </c>
      <c r="Y128" s="0" t="str">
        <f aca="false">IF(AND(N($M128)&gt;0,N($O128)&lt;=0),COUNTIFS($M$3:$M128,"&gt;0",$O$3:$O128,"&lt;=0"),"")</f>
        <v/>
      </c>
      <c r="Z128" s="30" t="n">
        <f aca="false">IF(OR('THÁNG 6'!$C135="",'THÁNG 6'!$B135=""),0,'THÁNG 6'!$B135)</f>
        <v>0</v>
      </c>
    </row>
    <row r="129" customFormat="false" ht="15" hidden="false" customHeight="false" outlineLevel="0" collapsed="false">
      <c r="A129" s="0" t="n">
        <v>6</v>
      </c>
      <c r="B129" s="29" t="str">
        <f aca="false">IF(OR('THÁNG 6'!$C136="",'THÁNG 6'!$B136=""),"",'THÁNG 6'!$B136)</f>
        <v/>
      </c>
      <c r="C129" s="0" t="str">
        <f aca="false">IF('THÁNG 6'!$C136="","",'THÁNG 6'!$C136)</f>
        <v/>
      </c>
      <c r="D129" s="0" t="str">
        <f aca="false">IF('THÁNG 6'!$C136="","",'THÁNG 6'!$D136&amp;"")</f>
        <v/>
      </c>
      <c r="E129" s="0" t="str">
        <f aca="false">IF('THÁNG 6'!$C136="","",'THÁNG 6'!$E136&amp;"")</f>
        <v/>
      </c>
      <c r="F129" s="0" t="str">
        <f aca="false">IF('THÁNG 6'!$C136="","",'THÁNG 6'!$F136&amp;"")</f>
        <v/>
      </c>
      <c r="G129" s="0" t="str">
        <f aca="false">IF('THÁNG 6'!$C136="","",'THÁNG 6'!$G136&amp;"")</f>
        <v/>
      </c>
      <c r="H129" s="0" t="str">
        <f aca="false">IF('THÁNG 6'!$C136="","",'THÁNG 6'!$H136&amp;"")</f>
        <v/>
      </c>
      <c r="I129" s="0" t="str">
        <f aca="false">IF('THÁNG 6'!$C136="","",N('THÁNG 6'!$I136))</f>
        <v/>
      </c>
      <c r="J129" s="0" t="str">
        <f aca="false">IF('THÁNG 6'!$C136="","",N('THÁNG 6'!$L136))</f>
        <v/>
      </c>
      <c r="K129" s="0" t="str">
        <f aca="false">IF('THÁNG 6'!$C136="","",N('THÁNG 6'!$N136))</f>
        <v/>
      </c>
      <c r="L129" s="0" t="str">
        <f aca="false">IF('THÁNG 6'!$C136="","",N('THÁNG 6'!$O136))</f>
        <v/>
      </c>
      <c r="M129" s="0" t="str">
        <f aca="false">IF('THÁNG 6'!$C136="","",N('THÁNG 6'!$P136))</f>
        <v/>
      </c>
      <c r="N129" s="0" t="str">
        <f aca="false">IF('THÁNG 6'!$C136="","",N('THÁNG 6'!$Q136))</f>
        <v/>
      </c>
      <c r="O129" s="0" t="str">
        <f aca="false">IF('THÁNG 6'!$C136="","",N('THÁNG 6'!$R136))</f>
        <v/>
      </c>
      <c r="P129" s="0" t="str">
        <f aca="false">IF(OR('THÁNG 6'!$C136="",'THÁNG 6'!$T136=""),"",'THÁNG 6'!$T136)</f>
        <v/>
      </c>
      <c r="Q129" s="0" t="str">
        <f aca="false">IF(OR('THÁNG 6'!$C136="",'THÁNG 6'!$U136=""),"",'THÁNG 6'!$U136)</f>
        <v/>
      </c>
      <c r="R129" s="0" t="str">
        <f aca="false">IF('THÁNG 6'!$C136="","",'THÁNG 6'!$W136&amp;"")</f>
        <v/>
      </c>
      <c r="S129" s="0" t="str">
        <f aca="false">IF('THÁNG 6'!$C136="","",'THÁNG 6'!$S136&amp;"")</f>
        <v/>
      </c>
      <c r="T129" s="0" t="str">
        <f aca="false">IF(N($O129)&gt;0,COUNTIF($O$3:$O129,"&gt;0"),"")</f>
        <v/>
      </c>
      <c r="U129" s="0" t="str">
        <f aca="false">IF(AND(N($J129)&gt;0,N($K129)&gt;0),COUNTIFS($J$3:$J129,"&gt;0",$K$3:$K129,"&gt;0"),"")</f>
        <v/>
      </c>
      <c r="V129" s="0" t="str">
        <f aca="false">IF(AND(N($J129)&gt;0,N($K129)=0),COUNTIFS($J$3:$J129,"&gt;0",$K$3:$K129,"&lt;=0"),"")</f>
        <v/>
      </c>
      <c r="W129" s="0" t="str">
        <f aca="false">IF($C129="","",IF(COUNTIF($C$3:$C129,$C129)&gt;1,"",MAX($W$2:W128)+1))</f>
        <v/>
      </c>
      <c r="X129" s="0" t="str">
        <f aca="false">IF($H129="","",IF(COUNTIF($H$3:$H129,$H129)&gt;1,"",MAX($X$2:X128)+1))</f>
        <v/>
      </c>
      <c r="Y129" s="0" t="str">
        <f aca="false">IF(AND(N($M129)&gt;0,N($O129)&lt;=0),COUNTIFS($M$3:$M129,"&gt;0",$O$3:$O129,"&lt;=0"),"")</f>
        <v/>
      </c>
      <c r="Z129" s="30" t="n">
        <f aca="false">IF(OR('THÁNG 6'!$C136="",'THÁNG 6'!$B136=""),0,'THÁNG 6'!$B136)</f>
        <v>0</v>
      </c>
    </row>
    <row r="130" customFormat="false" ht="15" hidden="false" customHeight="false" outlineLevel="0" collapsed="false">
      <c r="A130" s="0" t="n">
        <v>6</v>
      </c>
      <c r="B130" s="29" t="str">
        <f aca="false">IF(OR('THÁNG 6'!$C137="",'THÁNG 6'!$B137=""),"",'THÁNG 6'!$B137)</f>
        <v/>
      </c>
      <c r="C130" s="0" t="str">
        <f aca="false">IF('THÁNG 6'!$C137="","",'THÁNG 6'!$C137)</f>
        <v/>
      </c>
      <c r="D130" s="0" t="str">
        <f aca="false">IF('THÁNG 6'!$C137="","",'THÁNG 6'!$D137&amp;"")</f>
        <v/>
      </c>
      <c r="E130" s="0" t="str">
        <f aca="false">IF('THÁNG 6'!$C137="","",'THÁNG 6'!$E137&amp;"")</f>
        <v/>
      </c>
      <c r="F130" s="0" t="str">
        <f aca="false">IF('THÁNG 6'!$C137="","",'THÁNG 6'!$F137&amp;"")</f>
        <v/>
      </c>
      <c r="G130" s="0" t="str">
        <f aca="false">IF('THÁNG 6'!$C137="","",'THÁNG 6'!$G137&amp;"")</f>
        <v/>
      </c>
      <c r="H130" s="0" t="str">
        <f aca="false">IF('THÁNG 6'!$C137="","",'THÁNG 6'!$H137&amp;"")</f>
        <v/>
      </c>
      <c r="I130" s="0" t="str">
        <f aca="false">IF('THÁNG 6'!$C137="","",N('THÁNG 6'!$I137))</f>
        <v/>
      </c>
      <c r="J130" s="0" t="str">
        <f aca="false">IF('THÁNG 6'!$C137="","",N('THÁNG 6'!$L137))</f>
        <v/>
      </c>
      <c r="K130" s="0" t="str">
        <f aca="false">IF('THÁNG 6'!$C137="","",N('THÁNG 6'!$N137))</f>
        <v/>
      </c>
      <c r="L130" s="0" t="str">
        <f aca="false">IF('THÁNG 6'!$C137="","",N('THÁNG 6'!$O137))</f>
        <v/>
      </c>
      <c r="M130" s="0" t="str">
        <f aca="false">IF('THÁNG 6'!$C137="","",N('THÁNG 6'!$P137))</f>
        <v/>
      </c>
      <c r="N130" s="0" t="str">
        <f aca="false">IF('THÁNG 6'!$C137="","",N('THÁNG 6'!$Q137))</f>
        <v/>
      </c>
      <c r="O130" s="0" t="str">
        <f aca="false">IF('THÁNG 6'!$C137="","",N('THÁNG 6'!$R137))</f>
        <v/>
      </c>
      <c r="P130" s="0" t="str">
        <f aca="false">IF(OR('THÁNG 6'!$C137="",'THÁNG 6'!$T137=""),"",'THÁNG 6'!$T137)</f>
        <v/>
      </c>
      <c r="Q130" s="0" t="str">
        <f aca="false">IF(OR('THÁNG 6'!$C137="",'THÁNG 6'!$U137=""),"",'THÁNG 6'!$U137)</f>
        <v/>
      </c>
      <c r="R130" s="0" t="str">
        <f aca="false">IF('THÁNG 6'!$C137="","",'THÁNG 6'!$W137&amp;"")</f>
        <v/>
      </c>
      <c r="S130" s="0" t="str">
        <f aca="false">IF('THÁNG 6'!$C137="","",'THÁNG 6'!$S137&amp;"")</f>
        <v/>
      </c>
      <c r="T130" s="0" t="str">
        <f aca="false">IF(N($O130)&gt;0,COUNTIF($O$3:$O130,"&gt;0"),"")</f>
        <v/>
      </c>
      <c r="U130" s="0" t="str">
        <f aca="false">IF(AND(N($J130)&gt;0,N($K130)&gt;0),COUNTIFS($J$3:$J130,"&gt;0",$K$3:$K130,"&gt;0"),"")</f>
        <v/>
      </c>
      <c r="V130" s="0" t="str">
        <f aca="false">IF(AND(N($J130)&gt;0,N($K130)=0),COUNTIFS($J$3:$J130,"&gt;0",$K$3:$K130,"&lt;=0"),"")</f>
        <v/>
      </c>
      <c r="W130" s="0" t="str">
        <f aca="false">IF($C130="","",IF(COUNTIF($C$3:$C130,$C130)&gt;1,"",MAX($W$2:W129)+1))</f>
        <v/>
      </c>
      <c r="X130" s="0" t="str">
        <f aca="false">IF($H130="","",IF(COUNTIF($H$3:$H130,$H130)&gt;1,"",MAX($X$2:X129)+1))</f>
        <v/>
      </c>
      <c r="Y130" s="0" t="str">
        <f aca="false">IF(AND(N($M130)&gt;0,N($O130)&lt;=0),COUNTIFS($M$3:$M130,"&gt;0",$O$3:$O130,"&lt;=0"),"")</f>
        <v/>
      </c>
      <c r="Z130" s="30" t="n">
        <f aca="false">IF(OR('THÁNG 6'!$C137="",'THÁNG 6'!$B137=""),0,'THÁNG 6'!$B137)</f>
        <v>0</v>
      </c>
    </row>
    <row r="131" customFormat="false" ht="15" hidden="false" customHeight="false" outlineLevel="0" collapsed="false">
      <c r="A131" s="0" t="n">
        <v>6</v>
      </c>
      <c r="B131" s="29" t="str">
        <f aca="false">IF(OR('THÁNG 6'!$C138="",'THÁNG 6'!$B138=""),"",'THÁNG 6'!$B138)</f>
        <v/>
      </c>
      <c r="C131" s="0" t="str">
        <f aca="false">IF('THÁNG 6'!$C138="","",'THÁNG 6'!$C138)</f>
        <v/>
      </c>
      <c r="D131" s="0" t="str">
        <f aca="false">IF('THÁNG 6'!$C138="","",'THÁNG 6'!$D138&amp;"")</f>
        <v/>
      </c>
      <c r="E131" s="0" t="str">
        <f aca="false">IF('THÁNG 6'!$C138="","",'THÁNG 6'!$E138&amp;"")</f>
        <v/>
      </c>
      <c r="F131" s="0" t="str">
        <f aca="false">IF('THÁNG 6'!$C138="","",'THÁNG 6'!$F138&amp;"")</f>
        <v/>
      </c>
      <c r="G131" s="0" t="str">
        <f aca="false">IF('THÁNG 6'!$C138="","",'THÁNG 6'!$G138&amp;"")</f>
        <v/>
      </c>
      <c r="H131" s="0" t="str">
        <f aca="false">IF('THÁNG 6'!$C138="","",'THÁNG 6'!$H138&amp;"")</f>
        <v/>
      </c>
      <c r="I131" s="0" t="str">
        <f aca="false">IF('THÁNG 6'!$C138="","",N('THÁNG 6'!$I138))</f>
        <v/>
      </c>
      <c r="J131" s="0" t="str">
        <f aca="false">IF('THÁNG 6'!$C138="","",N('THÁNG 6'!$L138))</f>
        <v/>
      </c>
      <c r="K131" s="0" t="str">
        <f aca="false">IF('THÁNG 6'!$C138="","",N('THÁNG 6'!$N138))</f>
        <v/>
      </c>
      <c r="L131" s="0" t="str">
        <f aca="false">IF('THÁNG 6'!$C138="","",N('THÁNG 6'!$O138))</f>
        <v/>
      </c>
      <c r="M131" s="0" t="str">
        <f aca="false">IF('THÁNG 6'!$C138="","",N('THÁNG 6'!$P138))</f>
        <v/>
      </c>
      <c r="N131" s="0" t="str">
        <f aca="false">IF('THÁNG 6'!$C138="","",N('THÁNG 6'!$Q138))</f>
        <v/>
      </c>
      <c r="O131" s="0" t="str">
        <f aca="false">IF('THÁNG 6'!$C138="","",N('THÁNG 6'!$R138))</f>
        <v/>
      </c>
      <c r="P131" s="0" t="str">
        <f aca="false">IF(OR('THÁNG 6'!$C138="",'THÁNG 6'!$T138=""),"",'THÁNG 6'!$T138)</f>
        <v/>
      </c>
      <c r="Q131" s="0" t="str">
        <f aca="false">IF(OR('THÁNG 6'!$C138="",'THÁNG 6'!$U138=""),"",'THÁNG 6'!$U138)</f>
        <v/>
      </c>
      <c r="R131" s="0" t="str">
        <f aca="false">IF('THÁNG 6'!$C138="","",'THÁNG 6'!$W138&amp;"")</f>
        <v/>
      </c>
      <c r="S131" s="0" t="str">
        <f aca="false">IF('THÁNG 6'!$C138="","",'THÁNG 6'!$S138&amp;"")</f>
        <v/>
      </c>
      <c r="T131" s="0" t="str">
        <f aca="false">IF(N($O131)&gt;0,COUNTIF($O$3:$O131,"&gt;0"),"")</f>
        <v/>
      </c>
      <c r="U131" s="0" t="str">
        <f aca="false">IF(AND(N($J131)&gt;0,N($K131)&gt;0),COUNTIFS($J$3:$J131,"&gt;0",$K$3:$K131,"&gt;0"),"")</f>
        <v/>
      </c>
      <c r="V131" s="0" t="str">
        <f aca="false">IF(AND(N($J131)&gt;0,N($K131)=0),COUNTIFS($J$3:$J131,"&gt;0",$K$3:$K131,"&lt;=0"),"")</f>
        <v/>
      </c>
      <c r="W131" s="0" t="str">
        <f aca="false">IF($C131="","",IF(COUNTIF($C$3:$C131,$C131)&gt;1,"",MAX($W$2:W130)+1))</f>
        <v/>
      </c>
      <c r="X131" s="0" t="str">
        <f aca="false">IF($H131="","",IF(COUNTIF($H$3:$H131,$H131)&gt;1,"",MAX($X$2:X130)+1))</f>
        <v/>
      </c>
      <c r="Y131" s="0" t="str">
        <f aca="false">IF(AND(N($M131)&gt;0,N($O131)&lt;=0),COUNTIFS($M$3:$M131,"&gt;0",$O$3:$O131,"&lt;=0"),"")</f>
        <v/>
      </c>
      <c r="Z131" s="30" t="n">
        <f aca="false">IF(OR('THÁNG 6'!$C138="",'THÁNG 6'!$B138=""),0,'THÁNG 6'!$B138)</f>
        <v>0</v>
      </c>
    </row>
    <row r="132" customFormat="false" ht="15" hidden="false" customHeight="false" outlineLevel="0" collapsed="false">
      <c r="A132" s="0" t="n">
        <v>6</v>
      </c>
      <c r="B132" s="29" t="str">
        <f aca="false">IF(OR('THÁNG 6'!$C139="",'THÁNG 6'!$B139=""),"",'THÁNG 6'!$B139)</f>
        <v/>
      </c>
      <c r="C132" s="0" t="str">
        <f aca="false">IF('THÁNG 6'!$C139="","",'THÁNG 6'!$C139)</f>
        <v/>
      </c>
      <c r="D132" s="0" t="str">
        <f aca="false">IF('THÁNG 6'!$C139="","",'THÁNG 6'!$D139&amp;"")</f>
        <v/>
      </c>
      <c r="E132" s="0" t="str">
        <f aca="false">IF('THÁNG 6'!$C139="","",'THÁNG 6'!$E139&amp;"")</f>
        <v/>
      </c>
      <c r="F132" s="0" t="str">
        <f aca="false">IF('THÁNG 6'!$C139="","",'THÁNG 6'!$F139&amp;"")</f>
        <v/>
      </c>
      <c r="G132" s="0" t="str">
        <f aca="false">IF('THÁNG 6'!$C139="","",'THÁNG 6'!$G139&amp;"")</f>
        <v/>
      </c>
      <c r="H132" s="0" t="str">
        <f aca="false">IF('THÁNG 6'!$C139="","",'THÁNG 6'!$H139&amp;"")</f>
        <v/>
      </c>
      <c r="I132" s="0" t="str">
        <f aca="false">IF('THÁNG 6'!$C139="","",N('THÁNG 6'!$I139))</f>
        <v/>
      </c>
      <c r="J132" s="0" t="str">
        <f aca="false">IF('THÁNG 6'!$C139="","",N('THÁNG 6'!$L139))</f>
        <v/>
      </c>
      <c r="K132" s="0" t="str">
        <f aca="false">IF('THÁNG 6'!$C139="","",N('THÁNG 6'!$N139))</f>
        <v/>
      </c>
      <c r="L132" s="0" t="str">
        <f aca="false">IF('THÁNG 6'!$C139="","",N('THÁNG 6'!$O139))</f>
        <v/>
      </c>
      <c r="M132" s="0" t="str">
        <f aca="false">IF('THÁNG 6'!$C139="","",N('THÁNG 6'!$P139))</f>
        <v/>
      </c>
      <c r="N132" s="0" t="str">
        <f aca="false">IF('THÁNG 6'!$C139="","",N('THÁNG 6'!$Q139))</f>
        <v/>
      </c>
      <c r="O132" s="0" t="str">
        <f aca="false">IF('THÁNG 6'!$C139="","",N('THÁNG 6'!$R139))</f>
        <v/>
      </c>
      <c r="P132" s="0" t="str">
        <f aca="false">IF(OR('THÁNG 6'!$C139="",'THÁNG 6'!$T139=""),"",'THÁNG 6'!$T139)</f>
        <v/>
      </c>
      <c r="Q132" s="0" t="str">
        <f aca="false">IF(OR('THÁNG 6'!$C139="",'THÁNG 6'!$U139=""),"",'THÁNG 6'!$U139)</f>
        <v/>
      </c>
      <c r="R132" s="0" t="str">
        <f aca="false">IF('THÁNG 6'!$C139="","",'THÁNG 6'!$W139&amp;"")</f>
        <v/>
      </c>
      <c r="S132" s="0" t="str">
        <f aca="false">IF('THÁNG 6'!$C139="","",'THÁNG 6'!$S139&amp;"")</f>
        <v/>
      </c>
      <c r="T132" s="0" t="str">
        <f aca="false">IF(N($O132)&gt;0,COUNTIF($O$3:$O132,"&gt;0"),"")</f>
        <v/>
      </c>
      <c r="U132" s="0" t="str">
        <f aca="false">IF(AND(N($J132)&gt;0,N($K132)&gt;0),COUNTIFS($J$3:$J132,"&gt;0",$K$3:$K132,"&gt;0"),"")</f>
        <v/>
      </c>
      <c r="V132" s="0" t="str">
        <f aca="false">IF(AND(N($J132)&gt;0,N($K132)=0),COUNTIFS($J$3:$J132,"&gt;0",$K$3:$K132,"&lt;=0"),"")</f>
        <v/>
      </c>
      <c r="W132" s="0" t="str">
        <f aca="false">IF($C132="","",IF(COUNTIF($C$3:$C132,$C132)&gt;1,"",MAX($W$2:W131)+1))</f>
        <v/>
      </c>
      <c r="X132" s="0" t="str">
        <f aca="false">IF($H132="","",IF(COUNTIF($H$3:$H132,$H132)&gt;1,"",MAX($X$2:X131)+1))</f>
        <v/>
      </c>
      <c r="Y132" s="0" t="str">
        <f aca="false">IF(AND(N($M132)&gt;0,N($O132)&lt;=0),COUNTIFS($M$3:$M132,"&gt;0",$O$3:$O132,"&lt;=0"),"")</f>
        <v/>
      </c>
      <c r="Z132" s="30" t="n">
        <f aca="false">IF(OR('THÁNG 6'!$C139="",'THÁNG 6'!$B139=""),0,'THÁNG 6'!$B139)</f>
        <v>0</v>
      </c>
    </row>
    <row r="133" customFormat="false" ht="15" hidden="false" customHeight="false" outlineLevel="0" collapsed="false">
      <c r="A133" s="0" t="n">
        <v>6</v>
      </c>
      <c r="B133" s="29" t="str">
        <f aca="false">IF(OR('THÁNG 6'!$C140="",'THÁNG 6'!$B140=""),"",'THÁNG 6'!$B140)</f>
        <v/>
      </c>
      <c r="C133" s="0" t="str">
        <f aca="false">IF('THÁNG 6'!$C140="","",'THÁNG 6'!$C140)</f>
        <v/>
      </c>
      <c r="D133" s="0" t="str">
        <f aca="false">IF('THÁNG 6'!$C140="","",'THÁNG 6'!$D140&amp;"")</f>
        <v/>
      </c>
      <c r="E133" s="0" t="str">
        <f aca="false">IF('THÁNG 6'!$C140="","",'THÁNG 6'!$E140&amp;"")</f>
        <v/>
      </c>
      <c r="F133" s="0" t="str">
        <f aca="false">IF('THÁNG 6'!$C140="","",'THÁNG 6'!$F140&amp;"")</f>
        <v/>
      </c>
      <c r="G133" s="0" t="str">
        <f aca="false">IF('THÁNG 6'!$C140="","",'THÁNG 6'!$G140&amp;"")</f>
        <v/>
      </c>
      <c r="H133" s="0" t="str">
        <f aca="false">IF('THÁNG 6'!$C140="","",'THÁNG 6'!$H140&amp;"")</f>
        <v/>
      </c>
      <c r="I133" s="0" t="str">
        <f aca="false">IF('THÁNG 6'!$C140="","",N('THÁNG 6'!$I140))</f>
        <v/>
      </c>
      <c r="J133" s="0" t="str">
        <f aca="false">IF('THÁNG 6'!$C140="","",N('THÁNG 6'!$L140))</f>
        <v/>
      </c>
      <c r="K133" s="0" t="str">
        <f aca="false">IF('THÁNG 6'!$C140="","",N('THÁNG 6'!$N140))</f>
        <v/>
      </c>
      <c r="L133" s="0" t="str">
        <f aca="false">IF('THÁNG 6'!$C140="","",N('THÁNG 6'!$O140))</f>
        <v/>
      </c>
      <c r="M133" s="0" t="str">
        <f aca="false">IF('THÁNG 6'!$C140="","",N('THÁNG 6'!$P140))</f>
        <v/>
      </c>
      <c r="N133" s="0" t="str">
        <f aca="false">IF('THÁNG 6'!$C140="","",N('THÁNG 6'!$Q140))</f>
        <v/>
      </c>
      <c r="O133" s="0" t="str">
        <f aca="false">IF('THÁNG 6'!$C140="","",N('THÁNG 6'!$R140))</f>
        <v/>
      </c>
      <c r="P133" s="0" t="str">
        <f aca="false">IF(OR('THÁNG 6'!$C140="",'THÁNG 6'!$T140=""),"",'THÁNG 6'!$T140)</f>
        <v/>
      </c>
      <c r="Q133" s="0" t="str">
        <f aca="false">IF(OR('THÁNG 6'!$C140="",'THÁNG 6'!$U140=""),"",'THÁNG 6'!$U140)</f>
        <v/>
      </c>
      <c r="R133" s="0" t="str">
        <f aca="false">IF('THÁNG 6'!$C140="","",'THÁNG 6'!$W140&amp;"")</f>
        <v/>
      </c>
      <c r="S133" s="0" t="str">
        <f aca="false">IF('THÁNG 6'!$C140="","",'THÁNG 6'!$S140&amp;"")</f>
        <v/>
      </c>
      <c r="T133" s="0" t="str">
        <f aca="false">IF(N($O133)&gt;0,COUNTIF($O$3:$O133,"&gt;0"),"")</f>
        <v/>
      </c>
      <c r="U133" s="0" t="str">
        <f aca="false">IF(AND(N($J133)&gt;0,N($K133)&gt;0),COUNTIFS($J$3:$J133,"&gt;0",$K$3:$K133,"&gt;0"),"")</f>
        <v/>
      </c>
      <c r="V133" s="0" t="str">
        <f aca="false">IF(AND(N($J133)&gt;0,N($K133)=0),COUNTIFS($J$3:$J133,"&gt;0",$K$3:$K133,"&lt;=0"),"")</f>
        <v/>
      </c>
      <c r="W133" s="0" t="str">
        <f aca="false">IF($C133="","",IF(COUNTIF($C$3:$C133,$C133)&gt;1,"",MAX($W$2:W132)+1))</f>
        <v/>
      </c>
      <c r="X133" s="0" t="str">
        <f aca="false">IF($H133="","",IF(COUNTIF($H$3:$H133,$H133)&gt;1,"",MAX($X$2:X132)+1))</f>
        <v/>
      </c>
      <c r="Y133" s="0" t="str">
        <f aca="false">IF(AND(N($M133)&gt;0,N($O133)&lt;=0),COUNTIFS($M$3:$M133,"&gt;0",$O$3:$O133,"&lt;=0"),"")</f>
        <v/>
      </c>
      <c r="Z133" s="30" t="n">
        <f aca="false">IF(OR('THÁNG 6'!$C140="",'THÁNG 6'!$B140=""),0,'THÁNG 6'!$B140)</f>
        <v>0</v>
      </c>
    </row>
    <row r="134" customFormat="false" ht="15" hidden="false" customHeight="false" outlineLevel="0" collapsed="false">
      <c r="A134" s="0" t="n">
        <v>6</v>
      </c>
      <c r="B134" s="29" t="str">
        <f aca="false">IF(OR('THÁNG 6'!$C141="",'THÁNG 6'!$B141=""),"",'THÁNG 6'!$B141)</f>
        <v/>
      </c>
      <c r="C134" s="0" t="str">
        <f aca="false">IF('THÁNG 6'!$C141="","",'THÁNG 6'!$C141)</f>
        <v/>
      </c>
      <c r="D134" s="0" t="str">
        <f aca="false">IF('THÁNG 6'!$C141="","",'THÁNG 6'!$D141&amp;"")</f>
        <v/>
      </c>
      <c r="E134" s="0" t="str">
        <f aca="false">IF('THÁNG 6'!$C141="","",'THÁNG 6'!$E141&amp;"")</f>
        <v/>
      </c>
      <c r="F134" s="0" t="str">
        <f aca="false">IF('THÁNG 6'!$C141="","",'THÁNG 6'!$F141&amp;"")</f>
        <v/>
      </c>
      <c r="G134" s="0" t="str">
        <f aca="false">IF('THÁNG 6'!$C141="","",'THÁNG 6'!$G141&amp;"")</f>
        <v/>
      </c>
      <c r="H134" s="0" t="str">
        <f aca="false">IF('THÁNG 6'!$C141="","",'THÁNG 6'!$H141&amp;"")</f>
        <v/>
      </c>
      <c r="I134" s="0" t="str">
        <f aca="false">IF('THÁNG 6'!$C141="","",N('THÁNG 6'!$I141))</f>
        <v/>
      </c>
      <c r="J134" s="0" t="str">
        <f aca="false">IF('THÁNG 6'!$C141="","",N('THÁNG 6'!$L141))</f>
        <v/>
      </c>
      <c r="K134" s="0" t="str">
        <f aca="false">IF('THÁNG 6'!$C141="","",N('THÁNG 6'!$N141))</f>
        <v/>
      </c>
      <c r="L134" s="0" t="str">
        <f aca="false">IF('THÁNG 6'!$C141="","",N('THÁNG 6'!$O141))</f>
        <v/>
      </c>
      <c r="M134" s="0" t="str">
        <f aca="false">IF('THÁNG 6'!$C141="","",N('THÁNG 6'!$P141))</f>
        <v/>
      </c>
      <c r="N134" s="0" t="str">
        <f aca="false">IF('THÁNG 6'!$C141="","",N('THÁNG 6'!$Q141))</f>
        <v/>
      </c>
      <c r="O134" s="0" t="str">
        <f aca="false">IF('THÁNG 6'!$C141="","",N('THÁNG 6'!$R141))</f>
        <v/>
      </c>
      <c r="P134" s="0" t="str">
        <f aca="false">IF(OR('THÁNG 6'!$C141="",'THÁNG 6'!$T141=""),"",'THÁNG 6'!$T141)</f>
        <v/>
      </c>
      <c r="Q134" s="0" t="str">
        <f aca="false">IF(OR('THÁNG 6'!$C141="",'THÁNG 6'!$U141=""),"",'THÁNG 6'!$U141)</f>
        <v/>
      </c>
      <c r="R134" s="0" t="str">
        <f aca="false">IF('THÁNG 6'!$C141="","",'THÁNG 6'!$W141&amp;"")</f>
        <v/>
      </c>
      <c r="S134" s="0" t="str">
        <f aca="false">IF('THÁNG 6'!$C141="","",'THÁNG 6'!$S141&amp;"")</f>
        <v/>
      </c>
      <c r="T134" s="0" t="str">
        <f aca="false">IF(N($O134)&gt;0,COUNTIF($O$3:$O134,"&gt;0"),"")</f>
        <v/>
      </c>
      <c r="U134" s="0" t="str">
        <f aca="false">IF(AND(N($J134)&gt;0,N($K134)&gt;0),COUNTIFS($J$3:$J134,"&gt;0",$K$3:$K134,"&gt;0"),"")</f>
        <v/>
      </c>
      <c r="V134" s="0" t="str">
        <f aca="false">IF(AND(N($J134)&gt;0,N($K134)=0),COUNTIFS($J$3:$J134,"&gt;0",$K$3:$K134,"&lt;=0"),"")</f>
        <v/>
      </c>
      <c r="W134" s="0" t="str">
        <f aca="false">IF($C134="","",IF(COUNTIF($C$3:$C134,$C134)&gt;1,"",MAX($W$2:W133)+1))</f>
        <v/>
      </c>
      <c r="X134" s="0" t="str">
        <f aca="false">IF($H134="","",IF(COUNTIF($H$3:$H134,$H134)&gt;1,"",MAX($X$2:X133)+1))</f>
        <v/>
      </c>
      <c r="Y134" s="0" t="str">
        <f aca="false">IF(AND(N($M134)&gt;0,N($O134)&lt;=0),COUNTIFS($M$3:$M134,"&gt;0",$O$3:$O134,"&lt;=0"),"")</f>
        <v/>
      </c>
      <c r="Z134" s="30" t="n">
        <f aca="false">IF(OR('THÁNG 6'!$C141="",'THÁNG 6'!$B141=""),0,'THÁNG 6'!$B141)</f>
        <v>0</v>
      </c>
    </row>
    <row r="135" customFormat="false" ht="15" hidden="false" customHeight="false" outlineLevel="0" collapsed="false">
      <c r="A135" s="0" t="n">
        <v>6</v>
      </c>
      <c r="B135" s="29" t="str">
        <f aca="false">IF(OR('THÁNG 6'!$C142="",'THÁNG 6'!$B142=""),"",'THÁNG 6'!$B142)</f>
        <v/>
      </c>
      <c r="C135" s="0" t="str">
        <f aca="false">IF('THÁNG 6'!$C142="","",'THÁNG 6'!$C142)</f>
        <v/>
      </c>
      <c r="D135" s="0" t="str">
        <f aca="false">IF('THÁNG 6'!$C142="","",'THÁNG 6'!$D142&amp;"")</f>
        <v/>
      </c>
      <c r="E135" s="0" t="str">
        <f aca="false">IF('THÁNG 6'!$C142="","",'THÁNG 6'!$E142&amp;"")</f>
        <v/>
      </c>
      <c r="F135" s="0" t="str">
        <f aca="false">IF('THÁNG 6'!$C142="","",'THÁNG 6'!$F142&amp;"")</f>
        <v/>
      </c>
      <c r="G135" s="0" t="str">
        <f aca="false">IF('THÁNG 6'!$C142="","",'THÁNG 6'!$G142&amp;"")</f>
        <v/>
      </c>
      <c r="H135" s="0" t="str">
        <f aca="false">IF('THÁNG 6'!$C142="","",'THÁNG 6'!$H142&amp;"")</f>
        <v/>
      </c>
      <c r="I135" s="0" t="str">
        <f aca="false">IF('THÁNG 6'!$C142="","",N('THÁNG 6'!$I142))</f>
        <v/>
      </c>
      <c r="J135" s="0" t="str">
        <f aca="false">IF('THÁNG 6'!$C142="","",N('THÁNG 6'!$L142))</f>
        <v/>
      </c>
      <c r="K135" s="0" t="str">
        <f aca="false">IF('THÁNG 6'!$C142="","",N('THÁNG 6'!$N142))</f>
        <v/>
      </c>
      <c r="L135" s="0" t="str">
        <f aca="false">IF('THÁNG 6'!$C142="","",N('THÁNG 6'!$O142))</f>
        <v/>
      </c>
      <c r="M135" s="0" t="str">
        <f aca="false">IF('THÁNG 6'!$C142="","",N('THÁNG 6'!$P142))</f>
        <v/>
      </c>
      <c r="N135" s="0" t="str">
        <f aca="false">IF('THÁNG 6'!$C142="","",N('THÁNG 6'!$Q142))</f>
        <v/>
      </c>
      <c r="O135" s="0" t="str">
        <f aca="false">IF('THÁNG 6'!$C142="","",N('THÁNG 6'!$R142))</f>
        <v/>
      </c>
      <c r="P135" s="0" t="str">
        <f aca="false">IF(OR('THÁNG 6'!$C142="",'THÁNG 6'!$T142=""),"",'THÁNG 6'!$T142)</f>
        <v/>
      </c>
      <c r="Q135" s="0" t="str">
        <f aca="false">IF(OR('THÁNG 6'!$C142="",'THÁNG 6'!$U142=""),"",'THÁNG 6'!$U142)</f>
        <v/>
      </c>
      <c r="R135" s="0" t="str">
        <f aca="false">IF('THÁNG 6'!$C142="","",'THÁNG 6'!$W142&amp;"")</f>
        <v/>
      </c>
      <c r="S135" s="0" t="str">
        <f aca="false">IF('THÁNG 6'!$C142="","",'THÁNG 6'!$S142&amp;"")</f>
        <v/>
      </c>
      <c r="T135" s="0" t="str">
        <f aca="false">IF(N($O135)&gt;0,COUNTIF($O$3:$O135,"&gt;0"),"")</f>
        <v/>
      </c>
      <c r="U135" s="0" t="str">
        <f aca="false">IF(AND(N($J135)&gt;0,N($K135)&gt;0),COUNTIFS($J$3:$J135,"&gt;0",$K$3:$K135,"&gt;0"),"")</f>
        <v/>
      </c>
      <c r="V135" s="0" t="str">
        <f aca="false">IF(AND(N($J135)&gt;0,N($K135)=0),COUNTIFS($J$3:$J135,"&gt;0",$K$3:$K135,"&lt;=0"),"")</f>
        <v/>
      </c>
      <c r="W135" s="0" t="str">
        <f aca="false">IF($C135="","",IF(COUNTIF($C$3:$C135,$C135)&gt;1,"",MAX($W$2:W134)+1))</f>
        <v/>
      </c>
      <c r="X135" s="0" t="str">
        <f aca="false">IF($H135="","",IF(COUNTIF($H$3:$H135,$H135)&gt;1,"",MAX($X$2:X134)+1))</f>
        <v/>
      </c>
      <c r="Y135" s="0" t="str">
        <f aca="false">IF(AND(N($M135)&gt;0,N($O135)&lt;=0),COUNTIFS($M$3:$M135,"&gt;0",$O$3:$O135,"&lt;=0"),"")</f>
        <v/>
      </c>
      <c r="Z135" s="30" t="n">
        <f aca="false">IF(OR('THÁNG 6'!$C142="",'THÁNG 6'!$B142=""),0,'THÁNG 6'!$B142)</f>
        <v>0</v>
      </c>
    </row>
    <row r="136" customFormat="false" ht="15" hidden="false" customHeight="false" outlineLevel="0" collapsed="false">
      <c r="A136" s="0" t="n">
        <v>6</v>
      </c>
      <c r="B136" s="29" t="str">
        <f aca="false">IF(OR('THÁNG 6'!$C143="",'THÁNG 6'!$B143=""),"",'THÁNG 6'!$B143)</f>
        <v/>
      </c>
      <c r="C136" s="0" t="str">
        <f aca="false">IF('THÁNG 6'!$C143="","",'THÁNG 6'!$C143)</f>
        <v/>
      </c>
      <c r="D136" s="0" t="str">
        <f aca="false">IF('THÁNG 6'!$C143="","",'THÁNG 6'!$D143&amp;"")</f>
        <v/>
      </c>
      <c r="E136" s="0" t="str">
        <f aca="false">IF('THÁNG 6'!$C143="","",'THÁNG 6'!$E143&amp;"")</f>
        <v/>
      </c>
      <c r="F136" s="0" t="str">
        <f aca="false">IF('THÁNG 6'!$C143="","",'THÁNG 6'!$F143&amp;"")</f>
        <v/>
      </c>
      <c r="G136" s="0" t="str">
        <f aca="false">IF('THÁNG 6'!$C143="","",'THÁNG 6'!$G143&amp;"")</f>
        <v/>
      </c>
      <c r="H136" s="0" t="str">
        <f aca="false">IF('THÁNG 6'!$C143="","",'THÁNG 6'!$H143&amp;"")</f>
        <v/>
      </c>
      <c r="I136" s="0" t="str">
        <f aca="false">IF('THÁNG 6'!$C143="","",N('THÁNG 6'!$I143))</f>
        <v/>
      </c>
      <c r="J136" s="0" t="str">
        <f aca="false">IF('THÁNG 6'!$C143="","",N('THÁNG 6'!$L143))</f>
        <v/>
      </c>
      <c r="K136" s="0" t="str">
        <f aca="false">IF('THÁNG 6'!$C143="","",N('THÁNG 6'!$N143))</f>
        <v/>
      </c>
      <c r="L136" s="0" t="str">
        <f aca="false">IF('THÁNG 6'!$C143="","",N('THÁNG 6'!$O143))</f>
        <v/>
      </c>
      <c r="M136" s="0" t="str">
        <f aca="false">IF('THÁNG 6'!$C143="","",N('THÁNG 6'!$P143))</f>
        <v/>
      </c>
      <c r="N136" s="0" t="str">
        <f aca="false">IF('THÁNG 6'!$C143="","",N('THÁNG 6'!$Q143))</f>
        <v/>
      </c>
      <c r="O136" s="0" t="str">
        <f aca="false">IF('THÁNG 6'!$C143="","",N('THÁNG 6'!$R143))</f>
        <v/>
      </c>
      <c r="P136" s="0" t="str">
        <f aca="false">IF(OR('THÁNG 6'!$C143="",'THÁNG 6'!$T143=""),"",'THÁNG 6'!$T143)</f>
        <v/>
      </c>
      <c r="Q136" s="0" t="str">
        <f aca="false">IF(OR('THÁNG 6'!$C143="",'THÁNG 6'!$U143=""),"",'THÁNG 6'!$U143)</f>
        <v/>
      </c>
      <c r="R136" s="0" t="str">
        <f aca="false">IF('THÁNG 6'!$C143="","",'THÁNG 6'!$W143&amp;"")</f>
        <v/>
      </c>
      <c r="S136" s="0" t="str">
        <f aca="false">IF('THÁNG 6'!$C143="","",'THÁNG 6'!$S143&amp;"")</f>
        <v/>
      </c>
      <c r="T136" s="0" t="str">
        <f aca="false">IF(N($O136)&gt;0,COUNTIF($O$3:$O136,"&gt;0"),"")</f>
        <v/>
      </c>
      <c r="U136" s="0" t="str">
        <f aca="false">IF(AND(N($J136)&gt;0,N($K136)&gt;0),COUNTIFS($J$3:$J136,"&gt;0",$K$3:$K136,"&gt;0"),"")</f>
        <v/>
      </c>
      <c r="V136" s="0" t="str">
        <f aca="false">IF(AND(N($J136)&gt;0,N($K136)=0),COUNTIFS($J$3:$J136,"&gt;0",$K$3:$K136,"&lt;=0"),"")</f>
        <v/>
      </c>
      <c r="W136" s="0" t="str">
        <f aca="false">IF($C136="","",IF(COUNTIF($C$3:$C136,$C136)&gt;1,"",MAX($W$2:W135)+1))</f>
        <v/>
      </c>
      <c r="X136" s="0" t="str">
        <f aca="false">IF($H136="","",IF(COUNTIF($H$3:$H136,$H136)&gt;1,"",MAX($X$2:X135)+1))</f>
        <v/>
      </c>
      <c r="Y136" s="0" t="str">
        <f aca="false">IF(AND(N($M136)&gt;0,N($O136)&lt;=0),COUNTIFS($M$3:$M136,"&gt;0",$O$3:$O136,"&lt;=0"),"")</f>
        <v/>
      </c>
      <c r="Z136" s="30" t="n">
        <f aca="false">IF(OR('THÁNG 6'!$C143="",'THÁNG 6'!$B143=""),0,'THÁNG 6'!$B143)</f>
        <v>0</v>
      </c>
    </row>
    <row r="137" customFormat="false" ht="15" hidden="false" customHeight="false" outlineLevel="0" collapsed="false">
      <c r="A137" s="0" t="n">
        <v>6</v>
      </c>
      <c r="B137" s="29" t="str">
        <f aca="false">IF(OR('THÁNG 6'!$C144="",'THÁNG 6'!$B144=""),"",'THÁNG 6'!$B144)</f>
        <v/>
      </c>
      <c r="C137" s="0" t="str">
        <f aca="false">IF('THÁNG 6'!$C144="","",'THÁNG 6'!$C144)</f>
        <v/>
      </c>
      <c r="D137" s="0" t="str">
        <f aca="false">IF('THÁNG 6'!$C144="","",'THÁNG 6'!$D144&amp;"")</f>
        <v/>
      </c>
      <c r="E137" s="0" t="str">
        <f aca="false">IF('THÁNG 6'!$C144="","",'THÁNG 6'!$E144&amp;"")</f>
        <v/>
      </c>
      <c r="F137" s="0" t="str">
        <f aca="false">IF('THÁNG 6'!$C144="","",'THÁNG 6'!$F144&amp;"")</f>
        <v/>
      </c>
      <c r="G137" s="0" t="str">
        <f aca="false">IF('THÁNG 6'!$C144="","",'THÁNG 6'!$G144&amp;"")</f>
        <v/>
      </c>
      <c r="H137" s="0" t="str">
        <f aca="false">IF('THÁNG 6'!$C144="","",'THÁNG 6'!$H144&amp;"")</f>
        <v/>
      </c>
      <c r="I137" s="0" t="str">
        <f aca="false">IF('THÁNG 6'!$C144="","",N('THÁNG 6'!$I144))</f>
        <v/>
      </c>
      <c r="J137" s="0" t="str">
        <f aca="false">IF('THÁNG 6'!$C144="","",N('THÁNG 6'!$L144))</f>
        <v/>
      </c>
      <c r="K137" s="0" t="str">
        <f aca="false">IF('THÁNG 6'!$C144="","",N('THÁNG 6'!$N144))</f>
        <v/>
      </c>
      <c r="L137" s="0" t="str">
        <f aca="false">IF('THÁNG 6'!$C144="","",N('THÁNG 6'!$O144))</f>
        <v/>
      </c>
      <c r="M137" s="0" t="str">
        <f aca="false">IF('THÁNG 6'!$C144="","",N('THÁNG 6'!$P144))</f>
        <v/>
      </c>
      <c r="N137" s="0" t="str">
        <f aca="false">IF('THÁNG 6'!$C144="","",N('THÁNG 6'!$Q144))</f>
        <v/>
      </c>
      <c r="O137" s="0" t="str">
        <f aca="false">IF('THÁNG 6'!$C144="","",N('THÁNG 6'!$R144))</f>
        <v/>
      </c>
      <c r="P137" s="0" t="str">
        <f aca="false">IF(OR('THÁNG 6'!$C144="",'THÁNG 6'!$T144=""),"",'THÁNG 6'!$T144)</f>
        <v/>
      </c>
      <c r="Q137" s="0" t="str">
        <f aca="false">IF(OR('THÁNG 6'!$C144="",'THÁNG 6'!$U144=""),"",'THÁNG 6'!$U144)</f>
        <v/>
      </c>
      <c r="R137" s="0" t="str">
        <f aca="false">IF('THÁNG 6'!$C144="","",'THÁNG 6'!$W144&amp;"")</f>
        <v/>
      </c>
      <c r="S137" s="0" t="str">
        <f aca="false">IF('THÁNG 6'!$C144="","",'THÁNG 6'!$S144&amp;"")</f>
        <v/>
      </c>
      <c r="T137" s="0" t="str">
        <f aca="false">IF(N($O137)&gt;0,COUNTIF($O$3:$O137,"&gt;0"),"")</f>
        <v/>
      </c>
      <c r="U137" s="0" t="str">
        <f aca="false">IF(AND(N($J137)&gt;0,N($K137)&gt;0),COUNTIFS($J$3:$J137,"&gt;0",$K$3:$K137,"&gt;0"),"")</f>
        <v/>
      </c>
      <c r="V137" s="0" t="str">
        <f aca="false">IF(AND(N($J137)&gt;0,N($K137)=0),COUNTIFS($J$3:$J137,"&gt;0",$K$3:$K137,"&lt;=0"),"")</f>
        <v/>
      </c>
      <c r="W137" s="0" t="str">
        <f aca="false">IF($C137="","",IF(COUNTIF($C$3:$C137,$C137)&gt;1,"",MAX($W$2:W136)+1))</f>
        <v/>
      </c>
      <c r="X137" s="0" t="str">
        <f aca="false">IF($H137="","",IF(COUNTIF($H$3:$H137,$H137)&gt;1,"",MAX($X$2:X136)+1))</f>
        <v/>
      </c>
      <c r="Y137" s="0" t="str">
        <f aca="false">IF(AND(N($M137)&gt;0,N($O137)&lt;=0),COUNTIFS($M$3:$M137,"&gt;0",$O$3:$O137,"&lt;=0"),"")</f>
        <v/>
      </c>
      <c r="Z137" s="30" t="n">
        <f aca="false">IF(OR('THÁNG 6'!$C144="",'THÁNG 6'!$B144=""),0,'THÁNG 6'!$B144)</f>
        <v>0</v>
      </c>
    </row>
    <row r="138" customFormat="false" ht="15" hidden="false" customHeight="false" outlineLevel="0" collapsed="false">
      <c r="A138" s="0" t="n">
        <v>6</v>
      </c>
      <c r="B138" s="29" t="str">
        <f aca="false">IF(OR('THÁNG 6'!$C145="",'THÁNG 6'!$B145=""),"",'THÁNG 6'!$B145)</f>
        <v/>
      </c>
      <c r="C138" s="0" t="str">
        <f aca="false">IF('THÁNG 6'!$C145="","",'THÁNG 6'!$C145)</f>
        <v/>
      </c>
      <c r="D138" s="0" t="str">
        <f aca="false">IF('THÁNG 6'!$C145="","",'THÁNG 6'!$D145&amp;"")</f>
        <v/>
      </c>
      <c r="E138" s="0" t="str">
        <f aca="false">IF('THÁNG 6'!$C145="","",'THÁNG 6'!$E145&amp;"")</f>
        <v/>
      </c>
      <c r="F138" s="0" t="str">
        <f aca="false">IF('THÁNG 6'!$C145="","",'THÁNG 6'!$F145&amp;"")</f>
        <v/>
      </c>
      <c r="G138" s="0" t="str">
        <f aca="false">IF('THÁNG 6'!$C145="","",'THÁNG 6'!$G145&amp;"")</f>
        <v/>
      </c>
      <c r="H138" s="0" t="str">
        <f aca="false">IF('THÁNG 6'!$C145="","",'THÁNG 6'!$H145&amp;"")</f>
        <v/>
      </c>
      <c r="I138" s="0" t="str">
        <f aca="false">IF('THÁNG 6'!$C145="","",N('THÁNG 6'!$I145))</f>
        <v/>
      </c>
      <c r="J138" s="0" t="str">
        <f aca="false">IF('THÁNG 6'!$C145="","",N('THÁNG 6'!$L145))</f>
        <v/>
      </c>
      <c r="K138" s="0" t="str">
        <f aca="false">IF('THÁNG 6'!$C145="","",N('THÁNG 6'!$N145))</f>
        <v/>
      </c>
      <c r="L138" s="0" t="str">
        <f aca="false">IF('THÁNG 6'!$C145="","",N('THÁNG 6'!$O145))</f>
        <v/>
      </c>
      <c r="M138" s="0" t="str">
        <f aca="false">IF('THÁNG 6'!$C145="","",N('THÁNG 6'!$P145))</f>
        <v/>
      </c>
      <c r="N138" s="0" t="str">
        <f aca="false">IF('THÁNG 6'!$C145="","",N('THÁNG 6'!$Q145))</f>
        <v/>
      </c>
      <c r="O138" s="0" t="str">
        <f aca="false">IF('THÁNG 6'!$C145="","",N('THÁNG 6'!$R145))</f>
        <v/>
      </c>
      <c r="P138" s="0" t="str">
        <f aca="false">IF(OR('THÁNG 6'!$C145="",'THÁNG 6'!$T145=""),"",'THÁNG 6'!$T145)</f>
        <v/>
      </c>
      <c r="Q138" s="0" t="str">
        <f aca="false">IF(OR('THÁNG 6'!$C145="",'THÁNG 6'!$U145=""),"",'THÁNG 6'!$U145)</f>
        <v/>
      </c>
      <c r="R138" s="0" t="str">
        <f aca="false">IF('THÁNG 6'!$C145="","",'THÁNG 6'!$W145&amp;"")</f>
        <v/>
      </c>
      <c r="S138" s="0" t="str">
        <f aca="false">IF('THÁNG 6'!$C145="","",'THÁNG 6'!$S145&amp;"")</f>
        <v/>
      </c>
      <c r="T138" s="0" t="str">
        <f aca="false">IF(N($O138)&gt;0,COUNTIF($O$3:$O138,"&gt;0"),"")</f>
        <v/>
      </c>
      <c r="U138" s="0" t="str">
        <f aca="false">IF(AND(N($J138)&gt;0,N($K138)&gt;0),COUNTIFS($J$3:$J138,"&gt;0",$K$3:$K138,"&gt;0"),"")</f>
        <v/>
      </c>
      <c r="V138" s="0" t="str">
        <f aca="false">IF(AND(N($J138)&gt;0,N($K138)=0),COUNTIFS($J$3:$J138,"&gt;0",$K$3:$K138,"&lt;=0"),"")</f>
        <v/>
      </c>
      <c r="W138" s="0" t="str">
        <f aca="false">IF($C138="","",IF(COUNTIF($C$3:$C138,$C138)&gt;1,"",MAX($W$2:W137)+1))</f>
        <v/>
      </c>
      <c r="X138" s="0" t="str">
        <f aca="false">IF($H138="","",IF(COUNTIF($H$3:$H138,$H138)&gt;1,"",MAX($X$2:X137)+1))</f>
        <v/>
      </c>
      <c r="Y138" s="0" t="str">
        <f aca="false">IF(AND(N($M138)&gt;0,N($O138)&lt;=0),COUNTIFS($M$3:$M138,"&gt;0",$O$3:$O138,"&lt;=0"),"")</f>
        <v/>
      </c>
      <c r="Z138" s="30" t="n">
        <f aca="false">IF(OR('THÁNG 6'!$C145="",'THÁNG 6'!$B145=""),0,'THÁNG 6'!$B145)</f>
        <v>0</v>
      </c>
    </row>
    <row r="139" customFormat="false" ht="15" hidden="false" customHeight="false" outlineLevel="0" collapsed="false">
      <c r="A139" s="0" t="n">
        <v>6</v>
      </c>
      <c r="B139" s="29" t="str">
        <f aca="false">IF(OR('THÁNG 6'!$C146="",'THÁNG 6'!$B146=""),"",'THÁNG 6'!$B146)</f>
        <v/>
      </c>
      <c r="C139" s="0" t="str">
        <f aca="false">IF('THÁNG 6'!$C146="","",'THÁNG 6'!$C146)</f>
        <v/>
      </c>
      <c r="D139" s="0" t="str">
        <f aca="false">IF('THÁNG 6'!$C146="","",'THÁNG 6'!$D146&amp;"")</f>
        <v/>
      </c>
      <c r="E139" s="0" t="str">
        <f aca="false">IF('THÁNG 6'!$C146="","",'THÁNG 6'!$E146&amp;"")</f>
        <v/>
      </c>
      <c r="F139" s="0" t="str">
        <f aca="false">IF('THÁNG 6'!$C146="","",'THÁNG 6'!$F146&amp;"")</f>
        <v/>
      </c>
      <c r="G139" s="0" t="str">
        <f aca="false">IF('THÁNG 6'!$C146="","",'THÁNG 6'!$G146&amp;"")</f>
        <v/>
      </c>
      <c r="H139" s="0" t="str">
        <f aca="false">IF('THÁNG 6'!$C146="","",'THÁNG 6'!$H146&amp;"")</f>
        <v/>
      </c>
      <c r="I139" s="0" t="str">
        <f aca="false">IF('THÁNG 6'!$C146="","",N('THÁNG 6'!$I146))</f>
        <v/>
      </c>
      <c r="J139" s="0" t="str">
        <f aca="false">IF('THÁNG 6'!$C146="","",N('THÁNG 6'!$L146))</f>
        <v/>
      </c>
      <c r="K139" s="0" t="str">
        <f aca="false">IF('THÁNG 6'!$C146="","",N('THÁNG 6'!$N146))</f>
        <v/>
      </c>
      <c r="L139" s="0" t="str">
        <f aca="false">IF('THÁNG 6'!$C146="","",N('THÁNG 6'!$O146))</f>
        <v/>
      </c>
      <c r="M139" s="0" t="str">
        <f aca="false">IF('THÁNG 6'!$C146="","",N('THÁNG 6'!$P146))</f>
        <v/>
      </c>
      <c r="N139" s="0" t="str">
        <f aca="false">IF('THÁNG 6'!$C146="","",N('THÁNG 6'!$Q146))</f>
        <v/>
      </c>
      <c r="O139" s="0" t="str">
        <f aca="false">IF('THÁNG 6'!$C146="","",N('THÁNG 6'!$R146))</f>
        <v/>
      </c>
      <c r="P139" s="0" t="str">
        <f aca="false">IF(OR('THÁNG 6'!$C146="",'THÁNG 6'!$T146=""),"",'THÁNG 6'!$T146)</f>
        <v/>
      </c>
      <c r="Q139" s="0" t="str">
        <f aca="false">IF(OR('THÁNG 6'!$C146="",'THÁNG 6'!$U146=""),"",'THÁNG 6'!$U146)</f>
        <v/>
      </c>
      <c r="R139" s="0" t="str">
        <f aca="false">IF('THÁNG 6'!$C146="","",'THÁNG 6'!$W146&amp;"")</f>
        <v/>
      </c>
      <c r="S139" s="0" t="str">
        <f aca="false">IF('THÁNG 6'!$C146="","",'THÁNG 6'!$S146&amp;"")</f>
        <v/>
      </c>
      <c r="T139" s="0" t="str">
        <f aca="false">IF(N($O139)&gt;0,COUNTIF($O$3:$O139,"&gt;0"),"")</f>
        <v/>
      </c>
      <c r="U139" s="0" t="str">
        <f aca="false">IF(AND(N($J139)&gt;0,N($K139)&gt;0),COUNTIFS($J$3:$J139,"&gt;0",$K$3:$K139,"&gt;0"),"")</f>
        <v/>
      </c>
      <c r="V139" s="0" t="str">
        <f aca="false">IF(AND(N($J139)&gt;0,N($K139)=0),COUNTIFS($J$3:$J139,"&gt;0",$K$3:$K139,"&lt;=0"),"")</f>
        <v/>
      </c>
      <c r="W139" s="0" t="str">
        <f aca="false">IF($C139="","",IF(COUNTIF($C$3:$C139,$C139)&gt;1,"",MAX($W$2:W138)+1))</f>
        <v/>
      </c>
      <c r="X139" s="0" t="str">
        <f aca="false">IF($H139="","",IF(COUNTIF($H$3:$H139,$H139)&gt;1,"",MAX($X$2:X138)+1))</f>
        <v/>
      </c>
      <c r="Y139" s="0" t="str">
        <f aca="false">IF(AND(N($M139)&gt;0,N($O139)&lt;=0),COUNTIFS($M$3:$M139,"&gt;0",$O$3:$O139,"&lt;=0"),"")</f>
        <v/>
      </c>
      <c r="Z139" s="30" t="n">
        <f aca="false">IF(OR('THÁNG 6'!$C146="",'THÁNG 6'!$B146=""),0,'THÁNG 6'!$B146)</f>
        <v>0</v>
      </c>
    </row>
    <row r="140" customFormat="false" ht="15" hidden="false" customHeight="false" outlineLevel="0" collapsed="false">
      <c r="A140" s="0" t="n">
        <v>6</v>
      </c>
      <c r="B140" s="29" t="str">
        <f aca="false">IF(OR('THÁNG 6'!$C147="",'THÁNG 6'!$B147=""),"",'THÁNG 6'!$B147)</f>
        <v/>
      </c>
      <c r="C140" s="0" t="str">
        <f aca="false">IF('THÁNG 6'!$C147="","",'THÁNG 6'!$C147)</f>
        <v/>
      </c>
      <c r="D140" s="0" t="str">
        <f aca="false">IF('THÁNG 6'!$C147="","",'THÁNG 6'!$D147&amp;"")</f>
        <v/>
      </c>
      <c r="E140" s="0" t="str">
        <f aca="false">IF('THÁNG 6'!$C147="","",'THÁNG 6'!$E147&amp;"")</f>
        <v/>
      </c>
      <c r="F140" s="0" t="str">
        <f aca="false">IF('THÁNG 6'!$C147="","",'THÁNG 6'!$F147&amp;"")</f>
        <v/>
      </c>
      <c r="G140" s="0" t="str">
        <f aca="false">IF('THÁNG 6'!$C147="","",'THÁNG 6'!$G147&amp;"")</f>
        <v/>
      </c>
      <c r="H140" s="0" t="str">
        <f aca="false">IF('THÁNG 6'!$C147="","",'THÁNG 6'!$H147&amp;"")</f>
        <v/>
      </c>
      <c r="I140" s="0" t="str">
        <f aca="false">IF('THÁNG 6'!$C147="","",N('THÁNG 6'!$I147))</f>
        <v/>
      </c>
      <c r="J140" s="0" t="str">
        <f aca="false">IF('THÁNG 6'!$C147="","",N('THÁNG 6'!$L147))</f>
        <v/>
      </c>
      <c r="K140" s="0" t="str">
        <f aca="false">IF('THÁNG 6'!$C147="","",N('THÁNG 6'!$N147))</f>
        <v/>
      </c>
      <c r="L140" s="0" t="str">
        <f aca="false">IF('THÁNG 6'!$C147="","",N('THÁNG 6'!$O147))</f>
        <v/>
      </c>
      <c r="M140" s="0" t="str">
        <f aca="false">IF('THÁNG 6'!$C147="","",N('THÁNG 6'!$P147))</f>
        <v/>
      </c>
      <c r="N140" s="0" t="str">
        <f aca="false">IF('THÁNG 6'!$C147="","",N('THÁNG 6'!$Q147))</f>
        <v/>
      </c>
      <c r="O140" s="0" t="str">
        <f aca="false">IF('THÁNG 6'!$C147="","",N('THÁNG 6'!$R147))</f>
        <v/>
      </c>
      <c r="P140" s="0" t="str">
        <f aca="false">IF(OR('THÁNG 6'!$C147="",'THÁNG 6'!$T147=""),"",'THÁNG 6'!$T147)</f>
        <v/>
      </c>
      <c r="Q140" s="0" t="str">
        <f aca="false">IF(OR('THÁNG 6'!$C147="",'THÁNG 6'!$U147=""),"",'THÁNG 6'!$U147)</f>
        <v/>
      </c>
      <c r="R140" s="0" t="str">
        <f aca="false">IF('THÁNG 6'!$C147="","",'THÁNG 6'!$W147&amp;"")</f>
        <v/>
      </c>
      <c r="S140" s="0" t="str">
        <f aca="false">IF('THÁNG 6'!$C147="","",'THÁNG 6'!$S147&amp;"")</f>
        <v/>
      </c>
      <c r="T140" s="0" t="str">
        <f aca="false">IF(N($O140)&gt;0,COUNTIF($O$3:$O140,"&gt;0"),"")</f>
        <v/>
      </c>
      <c r="U140" s="0" t="str">
        <f aca="false">IF(AND(N($J140)&gt;0,N($K140)&gt;0),COUNTIFS($J$3:$J140,"&gt;0",$K$3:$K140,"&gt;0"),"")</f>
        <v/>
      </c>
      <c r="V140" s="0" t="str">
        <f aca="false">IF(AND(N($J140)&gt;0,N($K140)=0),COUNTIFS($J$3:$J140,"&gt;0",$K$3:$K140,"&lt;=0"),"")</f>
        <v/>
      </c>
      <c r="W140" s="0" t="str">
        <f aca="false">IF($C140="","",IF(COUNTIF($C$3:$C140,$C140)&gt;1,"",MAX($W$2:W139)+1))</f>
        <v/>
      </c>
      <c r="X140" s="0" t="str">
        <f aca="false">IF($H140="","",IF(COUNTIF($H$3:$H140,$H140)&gt;1,"",MAX($X$2:X139)+1))</f>
        <v/>
      </c>
      <c r="Y140" s="0" t="str">
        <f aca="false">IF(AND(N($M140)&gt;0,N($O140)&lt;=0),COUNTIFS($M$3:$M140,"&gt;0",$O$3:$O140,"&lt;=0"),"")</f>
        <v/>
      </c>
      <c r="Z140" s="30" t="n">
        <f aca="false">IF(OR('THÁNG 6'!$C147="",'THÁNG 6'!$B147=""),0,'THÁNG 6'!$B147)</f>
        <v>0</v>
      </c>
    </row>
    <row r="141" customFormat="false" ht="15" hidden="false" customHeight="false" outlineLevel="0" collapsed="false">
      <c r="A141" s="0" t="n">
        <v>6</v>
      </c>
      <c r="B141" s="29" t="str">
        <f aca="false">IF(OR('THÁNG 6'!$C148="",'THÁNG 6'!$B148=""),"",'THÁNG 6'!$B148)</f>
        <v/>
      </c>
      <c r="C141" s="0" t="str">
        <f aca="false">IF('THÁNG 6'!$C148="","",'THÁNG 6'!$C148)</f>
        <v/>
      </c>
      <c r="D141" s="0" t="str">
        <f aca="false">IF('THÁNG 6'!$C148="","",'THÁNG 6'!$D148&amp;"")</f>
        <v/>
      </c>
      <c r="E141" s="0" t="str">
        <f aca="false">IF('THÁNG 6'!$C148="","",'THÁNG 6'!$E148&amp;"")</f>
        <v/>
      </c>
      <c r="F141" s="0" t="str">
        <f aca="false">IF('THÁNG 6'!$C148="","",'THÁNG 6'!$F148&amp;"")</f>
        <v/>
      </c>
      <c r="G141" s="0" t="str">
        <f aca="false">IF('THÁNG 6'!$C148="","",'THÁNG 6'!$G148&amp;"")</f>
        <v/>
      </c>
      <c r="H141" s="0" t="str">
        <f aca="false">IF('THÁNG 6'!$C148="","",'THÁNG 6'!$H148&amp;"")</f>
        <v/>
      </c>
      <c r="I141" s="0" t="str">
        <f aca="false">IF('THÁNG 6'!$C148="","",N('THÁNG 6'!$I148))</f>
        <v/>
      </c>
      <c r="J141" s="0" t="str">
        <f aca="false">IF('THÁNG 6'!$C148="","",N('THÁNG 6'!$L148))</f>
        <v/>
      </c>
      <c r="K141" s="0" t="str">
        <f aca="false">IF('THÁNG 6'!$C148="","",N('THÁNG 6'!$N148))</f>
        <v/>
      </c>
      <c r="L141" s="0" t="str">
        <f aca="false">IF('THÁNG 6'!$C148="","",N('THÁNG 6'!$O148))</f>
        <v/>
      </c>
      <c r="M141" s="0" t="str">
        <f aca="false">IF('THÁNG 6'!$C148="","",N('THÁNG 6'!$P148))</f>
        <v/>
      </c>
      <c r="N141" s="0" t="str">
        <f aca="false">IF('THÁNG 6'!$C148="","",N('THÁNG 6'!$Q148))</f>
        <v/>
      </c>
      <c r="O141" s="0" t="str">
        <f aca="false">IF('THÁNG 6'!$C148="","",N('THÁNG 6'!$R148))</f>
        <v/>
      </c>
      <c r="P141" s="0" t="str">
        <f aca="false">IF(OR('THÁNG 6'!$C148="",'THÁNG 6'!$T148=""),"",'THÁNG 6'!$T148)</f>
        <v/>
      </c>
      <c r="Q141" s="0" t="str">
        <f aca="false">IF(OR('THÁNG 6'!$C148="",'THÁNG 6'!$U148=""),"",'THÁNG 6'!$U148)</f>
        <v/>
      </c>
      <c r="R141" s="0" t="str">
        <f aca="false">IF('THÁNG 6'!$C148="","",'THÁNG 6'!$W148&amp;"")</f>
        <v/>
      </c>
      <c r="S141" s="0" t="str">
        <f aca="false">IF('THÁNG 6'!$C148="","",'THÁNG 6'!$S148&amp;"")</f>
        <v/>
      </c>
      <c r="T141" s="0" t="str">
        <f aca="false">IF(N($O141)&gt;0,COUNTIF($O$3:$O141,"&gt;0"),"")</f>
        <v/>
      </c>
      <c r="U141" s="0" t="str">
        <f aca="false">IF(AND(N($J141)&gt;0,N($K141)&gt;0),COUNTIFS($J$3:$J141,"&gt;0",$K$3:$K141,"&gt;0"),"")</f>
        <v/>
      </c>
      <c r="V141" s="0" t="str">
        <f aca="false">IF(AND(N($J141)&gt;0,N($K141)=0),COUNTIFS($J$3:$J141,"&gt;0",$K$3:$K141,"&lt;=0"),"")</f>
        <v/>
      </c>
      <c r="W141" s="0" t="str">
        <f aca="false">IF($C141="","",IF(COUNTIF($C$3:$C141,$C141)&gt;1,"",MAX($W$2:W140)+1))</f>
        <v/>
      </c>
      <c r="X141" s="0" t="str">
        <f aca="false">IF($H141="","",IF(COUNTIF($H$3:$H141,$H141)&gt;1,"",MAX($X$2:X140)+1))</f>
        <v/>
      </c>
      <c r="Y141" s="0" t="str">
        <f aca="false">IF(AND(N($M141)&gt;0,N($O141)&lt;=0),COUNTIFS($M$3:$M141,"&gt;0",$O$3:$O141,"&lt;=0"),"")</f>
        <v/>
      </c>
      <c r="Z141" s="30" t="n">
        <f aca="false">IF(OR('THÁNG 6'!$C148="",'THÁNG 6'!$B148=""),0,'THÁNG 6'!$B148)</f>
        <v>0</v>
      </c>
    </row>
    <row r="142" customFormat="false" ht="15" hidden="false" customHeight="false" outlineLevel="0" collapsed="false">
      <c r="A142" s="0" t="n">
        <v>6</v>
      </c>
      <c r="B142" s="29" t="str">
        <f aca="false">IF(OR('THÁNG 6'!$C149="",'THÁNG 6'!$B149=""),"",'THÁNG 6'!$B149)</f>
        <v/>
      </c>
      <c r="C142" s="0" t="str">
        <f aca="false">IF('THÁNG 6'!$C149="","",'THÁNG 6'!$C149)</f>
        <v/>
      </c>
      <c r="D142" s="0" t="str">
        <f aca="false">IF('THÁNG 6'!$C149="","",'THÁNG 6'!$D149&amp;"")</f>
        <v/>
      </c>
      <c r="E142" s="0" t="str">
        <f aca="false">IF('THÁNG 6'!$C149="","",'THÁNG 6'!$E149&amp;"")</f>
        <v/>
      </c>
      <c r="F142" s="0" t="str">
        <f aca="false">IF('THÁNG 6'!$C149="","",'THÁNG 6'!$F149&amp;"")</f>
        <v/>
      </c>
      <c r="G142" s="0" t="str">
        <f aca="false">IF('THÁNG 6'!$C149="","",'THÁNG 6'!$G149&amp;"")</f>
        <v/>
      </c>
      <c r="H142" s="0" t="str">
        <f aca="false">IF('THÁNG 6'!$C149="","",'THÁNG 6'!$H149&amp;"")</f>
        <v/>
      </c>
      <c r="I142" s="0" t="str">
        <f aca="false">IF('THÁNG 6'!$C149="","",N('THÁNG 6'!$I149))</f>
        <v/>
      </c>
      <c r="J142" s="0" t="str">
        <f aca="false">IF('THÁNG 6'!$C149="","",N('THÁNG 6'!$L149))</f>
        <v/>
      </c>
      <c r="K142" s="0" t="str">
        <f aca="false">IF('THÁNG 6'!$C149="","",N('THÁNG 6'!$N149))</f>
        <v/>
      </c>
      <c r="L142" s="0" t="str">
        <f aca="false">IF('THÁNG 6'!$C149="","",N('THÁNG 6'!$O149))</f>
        <v/>
      </c>
      <c r="M142" s="0" t="str">
        <f aca="false">IF('THÁNG 6'!$C149="","",N('THÁNG 6'!$P149))</f>
        <v/>
      </c>
      <c r="N142" s="0" t="str">
        <f aca="false">IF('THÁNG 6'!$C149="","",N('THÁNG 6'!$Q149))</f>
        <v/>
      </c>
      <c r="O142" s="0" t="str">
        <f aca="false">IF('THÁNG 6'!$C149="","",N('THÁNG 6'!$R149))</f>
        <v/>
      </c>
      <c r="P142" s="0" t="str">
        <f aca="false">IF(OR('THÁNG 6'!$C149="",'THÁNG 6'!$T149=""),"",'THÁNG 6'!$T149)</f>
        <v/>
      </c>
      <c r="Q142" s="0" t="str">
        <f aca="false">IF(OR('THÁNG 6'!$C149="",'THÁNG 6'!$U149=""),"",'THÁNG 6'!$U149)</f>
        <v/>
      </c>
      <c r="R142" s="0" t="str">
        <f aca="false">IF('THÁNG 6'!$C149="","",'THÁNG 6'!$W149&amp;"")</f>
        <v/>
      </c>
      <c r="S142" s="0" t="str">
        <f aca="false">IF('THÁNG 6'!$C149="","",'THÁNG 6'!$S149&amp;"")</f>
        <v/>
      </c>
      <c r="T142" s="0" t="str">
        <f aca="false">IF(N($O142)&gt;0,COUNTIF($O$3:$O142,"&gt;0"),"")</f>
        <v/>
      </c>
      <c r="U142" s="0" t="str">
        <f aca="false">IF(AND(N($J142)&gt;0,N($K142)&gt;0),COUNTIFS($J$3:$J142,"&gt;0",$K$3:$K142,"&gt;0"),"")</f>
        <v/>
      </c>
      <c r="V142" s="0" t="str">
        <f aca="false">IF(AND(N($J142)&gt;0,N($K142)=0),COUNTIFS($J$3:$J142,"&gt;0",$K$3:$K142,"&lt;=0"),"")</f>
        <v/>
      </c>
      <c r="W142" s="0" t="str">
        <f aca="false">IF($C142="","",IF(COUNTIF($C$3:$C142,$C142)&gt;1,"",MAX($W$2:W141)+1))</f>
        <v/>
      </c>
      <c r="X142" s="0" t="str">
        <f aca="false">IF($H142="","",IF(COUNTIF($H$3:$H142,$H142)&gt;1,"",MAX($X$2:X141)+1))</f>
        <v/>
      </c>
      <c r="Y142" s="0" t="str">
        <f aca="false">IF(AND(N($M142)&gt;0,N($O142)&lt;=0),COUNTIFS($M$3:$M142,"&gt;0",$O$3:$O142,"&lt;=0"),"")</f>
        <v/>
      </c>
      <c r="Z142" s="30" t="n">
        <f aca="false">IF(OR('THÁNG 6'!$C149="",'THÁNG 6'!$B149=""),0,'THÁNG 6'!$B149)</f>
        <v>0</v>
      </c>
    </row>
    <row r="143" customFormat="false" ht="15" hidden="false" customHeight="false" outlineLevel="0" collapsed="false">
      <c r="A143" s="0" t="n">
        <v>6</v>
      </c>
      <c r="B143" s="29" t="str">
        <f aca="false">IF(OR('THÁNG 6'!$C150="",'THÁNG 6'!$B150=""),"",'THÁNG 6'!$B150)</f>
        <v/>
      </c>
      <c r="C143" s="0" t="str">
        <f aca="false">IF('THÁNG 6'!$C150="","",'THÁNG 6'!$C150)</f>
        <v/>
      </c>
      <c r="D143" s="0" t="str">
        <f aca="false">IF('THÁNG 6'!$C150="","",'THÁNG 6'!$D150&amp;"")</f>
        <v/>
      </c>
      <c r="E143" s="0" t="str">
        <f aca="false">IF('THÁNG 6'!$C150="","",'THÁNG 6'!$E150&amp;"")</f>
        <v/>
      </c>
      <c r="F143" s="0" t="str">
        <f aca="false">IF('THÁNG 6'!$C150="","",'THÁNG 6'!$F150&amp;"")</f>
        <v/>
      </c>
      <c r="G143" s="0" t="str">
        <f aca="false">IF('THÁNG 6'!$C150="","",'THÁNG 6'!$G150&amp;"")</f>
        <v/>
      </c>
      <c r="H143" s="0" t="str">
        <f aca="false">IF('THÁNG 6'!$C150="","",'THÁNG 6'!$H150&amp;"")</f>
        <v/>
      </c>
      <c r="I143" s="0" t="str">
        <f aca="false">IF('THÁNG 6'!$C150="","",N('THÁNG 6'!$I150))</f>
        <v/>
      </c>
      <c r="J143" s="0" t="str">
        <f aca="false">IF('THÁNG 6'!$C150="","",N('THÁNG 6'!$L150))</f>
        <v/>
      </c>
      <c r="K143" s="0" t="str">
        <f aca="false">IF('THÁNG 6'!$C150="","",N('THÁNG 6'!$N150))</f>
        <v/>
      </c>
      <c r="L143" s="0" t="str">
        <f aca="false">IF('THÁNG 6'!$C150="","",N('THÁNG 6'!$O150))</f>
        <v/>
      </c>
      <c r="M143" s="0" t="str">
        <f aca="false">IF('THÁNG 6'!$C150="","",N('THÁNG 6'!$P150))</f>
        <v/>
      </c>
      <c r="N143" s="0" t="str">
        <f aca="false">IF('THÁNG 6'!$C150="","",N('THÁNG 6'!$Q150))</f>
        <v/>
      </c>
      <c r="O143" s="0" t="str">
        <f aca="false">IF('THÁNG 6'!$C150="","",N('THÁNG 6'!$R150))</f>
        <v/>
      </c>
      <c r="P143" s="0" t="str">
        <f aca="false">IF(OR('THÁNG 6'!$C150="",'THÁNG 6'!$T150=""),"",'THÁNG 6'!$T150)</f>
        <v/>
      </c>
      <c r="Q143" s="0" t="str">
        <f aca="false">IF(OR('THÁNG 6'!$C150="",'THÁNG 6'!$U150=""),"",'THÁNG 6'!$U150)</f>
        <v/>
      </c>
      <c r="R143" s="0" t="str">
        <f aca="false">IF('THÁNG 6'!$C150="","",'THÁNG 6'!$W150&amp;"")</f>
        <v/>
      </c>
      <c r="S143" s="0" t="str">
        <f aca="false">IF('THÁNG 6'!$C150="","",'THÁNG 6'!$S150&amp;"")</f>
        <v/>
      </c>
      <c r="T143" s="0" t="str">
        <f aca="false">IF(N($O143)&gt;0,COUNTIF($O$3:$O143,"&gt;0"),"")</f>
        <v/>
      </c>
      <c r="U143" s="0" t="str">
        <f aca="false">IF(AND(N($J143)&gt;0,N($K143)&gt;0),COUNTIFS($J$3:$J143,"&gt;0",$K$3:$K143,"&gt;0"),"")</f>
        <v/>
      </c>
      <c r="V143" s="0" t="str">
        <f aca="false">IF(AND(N($J143)&gt;0,N($K143)=0),COUNTIFS($J$3:$J143,"&gt;0",$K$3:$K143,"&lt;=0"),"")</f>
        <v/>
      </c>
      <c r="W143" s="0" t="str">
        <f aca="false">IF($C143="","",IF(COUNTIF($C$3:$C143,$C143)&gt;1,"",MAX($W$2:W142)+1))</f>
        <v/>
      </c>
      <c r="X143" s="0" t="str">
        <f aca="false">IF($H143="","",IF(COUNTIF($H$3:$H143,$H143)&gt;1,"",MAX($X$2:X142)+1))</f>
        <v/>
      </c>
      <c r="Y143" s="0" t="str">
        <f aca="false">IF(AND(N($M143)&gt;0,N($O143)&lt;=0),COUNTIFS($M$3:$M143,"&gt;0",$O$3:$O143,"&lt;=0"),"")</f>
        <v/>
      </c>
      <c r="Z143" s="30" t="n">
        <f aca="false">IF(OR('THÁNG 6'!$C150="",'THÁNG 6'!$B150=""),0,'THÁNG 6'!$B150)</f>
        <v>0</v>
      </c>
    </row>
    <row r="144" customFormat="false" ht="15" hidden="false" customHeight="false" outlineLevel="0" collapsed="false">
      <c r="A144" s="0" t="n">
        <v>6</v>
      </c>
      <c r="B144" s="29" t="str">
        <f aca="false">IF(OR('THÁNG 6'!$C151="",'THÁNG 6'!$B151=""),"",'THÁNG 6'!$B151)</f>
        <v/>
      </c>
      <c r="C144" s="0" t="str">
        <f aca="false">IF('THÁNG 6'!$C151="","",'THÁNG 6'!$C151)</f>
        <v/>
      </c>
      <c r="D144" s="0" t="str">
        <f aca="false">IF('THÁNG 6'!$C151="","",'THÁNG 6'!$D151&amp;"")</f>
        <v/>
      </c>
      <c r="E144" s="0" t="str">
        <f aca="false">IF('THÁNG 6'!$C151="","",'THÁNG 6'!$E151&amp;"")</f>
        <v/>
      </c>
      <c r="F144" s="0" t="str">
        <f aca="false">IF('THÁNG 6'!$C151="","",'THÁNG 6'!$F151&amp;"")</f>
        <v/>
      </c>
      <c r="G144" s="0" t="str">
        <f aca="false">IF('THÁNG 6'!$C151="","",'THÁNG 6'!$G151&amp;"")</f>
        <v/>
      </c>
      <c r="H144" s="0" t="str">
        <f aca="false">IF('THÁNG 6'!$C151="","",'THÁNG 6'!$H151&amp;"")</f>
        <v/>
      </c>
      <c r="I144" s="0" t="str">
        <f aca="false">IF('THÁNG 6'!$C151="","",N('THÁNG 6'!$I151))</f>
        <v/>
      </c>
      <c r="J144" s="0" t="str">
        <f aca="false">IF('THÁNG 6'!$C151="","",N('THÁNG 6'!$L151))</f>
        <v/>
      </c>
      <c r="K144" s="0" t="str">
        <f aca="false">IF('THÁNG 6'!$C151="","",N('THÁNG 6'!$N151))</f>
        <v/>
      </c>
      <c r="L144" s="0" t="str">
        <f aca="false">IF('THÁNG 6'!$C151="","",N('THÁNG 6'!$O151))</f>
        <v/>
      </c>
      <c r="M144" s="0" t="str">
        <f aca="false">IF('THÁNG 6'!$C151="","",N('THÁNG 6'!$P151))</f>
        <v/>
      </c>
      <c r="N144" s="0" t="str">
        <f aca="false">IF('THÁNG 6'!$C151="","",N('THÁNG 6'!$Q151))</f>
        <v/>
      </c>
      <c r="O144" s="0" t="str">
        <f aca="false">IF('THÁNG 6'!$C151="","",N('THÁNG 6'!$R151))</f>
        <v/>
      </c>
      <c r="P144" s="0" t="str">
        <f aca="false">IF(OR('THÁNG 6'!$C151="",'THÁNG 6'!$T151=""),"",'THÁNG 6'!$T151)</f>
        <v/>
      </c>
      <c r="Q144" s="0" t="str">
        <f aca="false">IF(OR('THÁNG 6'!$C151="",'THÁNG 6'!$U151=""),"",'THÁNG 6'!$U151)</f>
        <v/>
      </c>
      <c r="R144" s="0" t="str">
        <f aca="false">IF('THÁNG 6'!$C151="","",'THÁNG 6'!$W151&amp;"")</f>
        <v/>
      </c>
      <c r="S144" s="0" t="str">
        <f aca="false">IF('THÁNG 6'!$C151="","",'THÁNG 6'!$S151&amp;"")</f>
        <v/>
      </c>
      <c r="T144" s="0" t="str">
        <f aca="false">IF(N($O144)&gt;0,COUNTIF($O$3:$O144,"&gt;0"),"")</f>
        <v/>
      </c>
      <c r="U144" s="0" t="str">
        <f aca="false">IF(AND(N($J144)&gt;0,N($K144)&gt;0),COUNTIFS($J$3:$J144,"&gt;0",$K$3:$K144,"&gt;0"),"")</f>
        <v/>
      </c>
      <c r="V144" s="0" t="str">
        <f aca="false">IF(AND(N($J144)&gt;0,N($K144)=0),COUNTIFS($J$3:$J144,"&gt;0",$K$3:$K144,"&lt;=0"),"")</f>
        <v/>
      </c>
      <c r="W144" s="0" t="str">
        <f aca="false">IF($C144="","",IF(COUNTIF($C$3:$C144,$C144)&gt;1,"",MAX($W$2:W143)+1))</f>
        <v/>
      </c>
      <c r="X144" s="0" t="str">
        <f aca="false">IF($H144="","",IF(COUNTIF($H$3:$H144,$H144)&gt;1,"",MAX($X$2:X143)+1))</f>
        <v/>
      </c>
      <c r="Y144" s="0" t="str">
        <f aca="false">IF(AND(N($M144)&gt;0,N($O144)&lt;=0),COUNTIFS($M$3:$M144,"&gt;0",$O$3:$O144,"&lt;=0"),"")</f>
        <v/>
      </c>
      <c r="Z144" s="30" t="n">
        <f aca="false">IF(OR('THÁNG 6'!$C151="",'THÁNG 6'!$B151=""),0,'THÁNG 6'!$B151)</f>
        <v>0</v>
      </c>
    </row>
    <row r="145" customFormat="false" ht="15" hidden="false" customHeight="false" outlineLevel="0" collapsed="false">
      <c r="A145" s="0" t="n">
        <v>6</v>
      </c>
      <c r="B145" s="29" t="str">
        <f aca="false">IF(OR('THÁNG 6'!$C152="",'THÁNG 6'!$B152=""),"",'THÁNG 6'!$B152)</f>
        <v/>
      </c>
      <c r="C145" s="0" t="str">
        <f aca="false">IF('THÁNG 6'!$C152="","",'THÁNG 6'!$C152)</f>
        <v/>
      </c>
      <c r="D145" s="0" t="str">
        <f aca="false">IF('THÁNG 6'!$C152="","",'THÁNG 6'!$D152&amp;"")</f>
        <v/>
      </c>
      <c r="E145" s="0" t="str">
        <f aca="false">IF('THÁNG 6'!$C152="","",'THÁNG 6'!$E152&amp;"")</f>
        <v/>
      </c>
      <c r="F145" s="0" t="str">
        <f aca="false">IF('THÁNG 6'!$C152="","",'THÁNG 6'!$F152&amp;"")</f>
        <v/>
      </c>
      <c r="G145" s="0" t="str">
        <f aca="false">IF('THÁNG 6'!$C152="","",'THÁNG 6'!$G152&amp;"")</f>
        <v/>
      </c>
      <c r="H145" s="0" t="str">
        <f aca="false">IF('THÁNG 6'!$C152="","",'THÁNG 6'!$H152&amp;"")</f>
        <v/>
      </c>
      <c r="I145" s="0" t="str">
        <f aca="false">IF('THÁNG 6'!$C152="","",N('THÁNG 6'!$I152))</f>
        <v/>
      </c>
      <c r="J145" s="0" t="str">
        <f aca="false">IF('THÁNG 6'!$C152="","",N('THÁNG 6'!$L152))</f>
        <v/>
      </c>
      <c r="K145" s="0" t="str">
        <f aca="false">IF('THÁNG 6'!$C152="","",N('THÁNG 6'!$N152))</f>
        <v/>
      </c>
      <c r="L145" s="0" t="str">
        <f aca="false">IF('THÁNG 6'!$C152="","",N('THÁNG 6'!$O152))</f>
        <v/>
      </c>
      <c r="M145" s="0" t="str">
        <f aca="false">IF('THÁNG 6'!$C152="","",N('THÁNG 6'!$P152))</f>
        <v/>
      </c>
      <c r="N145" s="0" t="str">
        <f aca="false">IF('THÁNG 6'!$C152="","",N('THÁNG 6'!$Q152))</f>
        <v/>
      </c>
      <c r="O145" s="0" t="str">
        <f aca="false">IF('THÁNG 6'!$C152="","",N('THÁNG 6'!$R152))</f>
        <v/>
      </c>
      <c r="P145" s="0" t="str">
        <f aca="false">IF(OR('THÁNG 6'!$C152="",'THÁNG 6'!$T152=""),"",'THÁNG 6'!$T152)</f>
        <v/>
      </c>
      <c r="Q145" s="0" t="str">
        <f aca="false">IF(OR('THÁNG 6'!$C152="",'THÁNG 6'!$U152=""),"",'THÁNG 6'!$U152)</f>
        <v/>
      </c>
      <c r="R145" s="0" t="str">
        <f aca="false">IF('THÁNG 6'!$C152="","",'THÁNG 6'!$W152&amp;"")</f>
        <v/>
      </c>
      <c r="S145" s="0" t="str">
        <f aca="false">IF('THÁNG 6'!$C152="","",'THÁNG 6'!$S152&amp;"")</f>
        <v/>
      </c>
      <c r="T145" s="0" t="str">
        <f aca="false">IF(N($O145)&gt;0,COUNTIF($O$3:$O145,"&gt;0"),"")</f>
        <v/>
      </c>
      <c r="U145" s="0" t="str">
        <f aca="false">IF(AND(N($J145)&gt;0,N($K145)&gt;0),COUNTIFS($J$3:$J145,"&gt;0",$K$3:$K145,"&gt;0"),"")</f>
        <v/>
      </c>
      <c r="V145" s="0" t="str">
        <f aca="false">IF(AND(N($J145)&gt;0,N($K145)=0),COUNTIFS($J$3:$J145,"&gt;0",$K$3:$K145,"&lt;=0"),"")</f>
        <v/>
      </c>
      <c r="W145" s="0" t="str">
        <f aca="false">IF($C145="","",IF(COUNTIF($C$3:$C145,$C145)&gt;1,"",MAX($W$2:W144)+1))</f>
        <v/>
      </c>
      <c r="X145" s="0" t="str">
        <f aca="false">IF($H145="","",IF(COUNTIF($H$3:$H145,$H145)&gt;1,"",MAX($X$2:X144)+1))</f>
        <v/>
      </c>
      <c r="Y145" s="0" t="str">
        <f aca="false">IF(AND(N($M145)&gt;0,N($O145)&lt;=0),COUNTIFS($M$3:$M145,"&gt;0",$O$3:$O145,"&lt;=0"),"")</f>
        <v/>
      </c>
      <c r="Z145" s="30" t="n">
        <f aca="false">IF(OR('THÁNG 6'!$C152="",'THÁNG 6'!$B152=""),0,'THÁNG 6'!$B152)</f>
        <v>0</v>
      </c>
    </row>
    <row r="146" customFormat="false" ht="15" hidden="false" customHeight="false" outlineLevel="0" collapsed="false">
      <c r="A146" s="0" t="n">
        <v>6</v>
      </c>
      <c r="B146" s="29" t="str">
        <f aca="false">IF(OR('THÁNG 6'!$C153="",'THÁNG 6'!$B153=""),"",'THÁNG 6'!$B153)</f>
        <v/>
      </c>
      <c r="C146" s="0" t="str">
        <f aca="false">IF('THÁNG 6'!$C153="","",'THÁNG 6'!$C153)</f>
        <v/>
      </c>
      <c r="D146" s="0" t="str">
        <f aca="false">IF('THÁNG 6'!$C153="","",'THÁNG 6'!$D153&amp;"")</f>
        <v/>
      </c>
      <c r="E146" s="0" t="str">
        <f aca="false">IF('THÁNG 6'!$C153="","",'THÁNG 6'!$E153&amp;"")</f>
        <v/>
      </c>
      <c r="F146" s="0" t="str">
        <f aca="false">IF('THÁNG 6'!$C153="","",'THÁNG 6'!$F153&amp;"")</f>
        <v/>
      </c>
      <c r="G146" s="0" t="str">
        <f aca="false">IF('THÁNG 6'!$C153="","",'THÁNG 6'!$G153&amp;"")</f>
        <v/>
      </c>
      <c r="H146" s="0" t="str">
        <f aca="false">IF('THÁNG 6'!$C153="","",'THÁNG 6'!$H153&amp;"")</f>
        <v/>
      </c>
      <c r="I146" s="0" t="str">
        <f aca="false">IF('THÁNG 6'!$C153="","",N('THÁNG 6'!$I153))</f>
        <v/>
      </c>
      <c r="J146" s="0" t="str">
        <f aca="false">IF('THÁNG 6'!$C153="","",N('THÁNG 6'!$L153))</f>
        <v/>
      </c>
      <c r="K146" s="0" t="str">
        <f aca="false">IF('THÁNG 6'!$C153="","",N('THÁNG 6'!$N153))</f>
        <v/>
      </c>
      <c r="L146" s="0" t="str">
        <f aca="false">IF('THÁNG 6'!$C153="","",N('THÁNG 6'!$O153))</f>
        <v/>
      </c>
      <c r="M146" s="0" t="str">
        <f aca="false">IF('THÁNG 6'!$C153="","",N('THÁNG 6'!$P153))</f>
        <v/>
      </c>
      <c r="N146" s="0" t="str">
        <f aca="false">IF('THÁNG 6'!$C153="","",N('THÁNG 6'!$Q153))</f>
        <v/>
      </c>
      <c r="O146" s="0" t="str">
        <f aca="false">IF('THÁNG 6'!$C153="","",N('THÁNG 6'!$R153))</f>
        <v/>
      </c>
      <c r="P146" s="0" t="str">
        <f aca="false">IF(OR('THÁNG 6'!$C153="",'THÁNG 6'!$T153=""),"",'THÁNG 6'!$T153)</f>
        <v/>
      </c>
      <c r="Q146" s="0" t="str">
        <f aca="false">IF(OR('THÁNG 6'!$C153="",'THÁNG 6'!$U153=""),"",'THÁNG 6'!$U153)</f>
        <v/>
      </c>
      <c r="R146" s="0" t="str">
        <f aca="false">IF('THÁNG 6'!$C153="","",'THÁNG 6'!$W153&amp;"")</f>
        <v/>
      </c>
      <c r="S146" s="0" t="str">
        <f aca="false">IF('THÁNG 6'!$C153="","",'THÁNG 6'!$S153&amp;"")</f>
        <v/>
      </c>
      <c r="T146" s="0" t="str">
        <f aca="false">IF(N($O146)&gt;0,COUNTIF($O$3:$O146,"&gt;0"),"")</f>
        <v/>
      </c>
      <c r="U146" s="0" t="str">
        <f aca="false">IF(AND(N($J146)&gt;0,N($K146)&gt;0),COUNTIFS($J$3:$J146,"&gt;0",$K$3:$K146,"&gt;0"),"")</f>
        <v/>
      </c>
      <c r="V146" s="0" t="str">
        <f aca="false">IF(AND(N($J146)&gt;0,N($K146)=0),COUNTIFS($J$3:$J146,"&gt;0",$K$3:$K146,"&lt;=0"),"")</f>
        <v/>
      </c>
      <c r="W146" s="0" t="str">
        <f aca="false">IF($C146="","",IF(COUNTIF($C$3:$C146,$C146)&gt;1,"",MAX($W$2:W145)+1))</f>
        <v/>
      </c>
      <c r="X146" s="0" t="str">
        <f aca="false">IF($H146="","",IF(COUNTIF($H$3:$H146,$H146)&gt;1,"",MAX($X$2:X145)+1))</f>
        <v/>
      </c>
      <c r="Y146" s="0" t="str">
        <f aca="false">IF(AND(N($M146)&gt;0,N($O146)&lt;=0),COUNTIFS($M$3:$M146,"&gt;0",$O$3:$O146,"&lt;=0"),"")</f>
        <v/>
      </c>
      <c r="Z146" s="30" t="n">
        <f aca="false">IF(OR('THÁNG 6'!$C153="",'THÁNG 6'!$B153=""),0,'THÁNG 6'!$B153)</f>
        <v>0</v>
      </c>
    </row>
    <row r="147" customFormat="false" ht="15" hidden="false" customHeight="false" outlineLevel="0" collapsed="false">
      <c r="A147" s="0" t="n">
        <v>6</v>
      </c>
      <c r="B147" s="29" t="str">
        <f aca="false">IF(OR('THÁNG 6'!$C154="",'THÁNG 6'!$B154=""),"",'THÁNG 6'!$B154)</f>
        <v/>
      </c>
      <c r="C147" s="0" t="str">
        <f aca="false">IF('THÁNG 6'!$C154="","",'THÁNG 6'!$C154)</f>
        <v/>
      </c>
      <c r="D147" s="0" t="str">
        <f aca="false">IF('THÁNG 6'!$C154="","",'THÁNG 6'!$D154&amp;"")</f>
        <v/>
      </c>
      <c r="E147" s="0" t="str">
        <f aca="false">IF('THÁNG 6'!$C154="","",'THÁNG 6'!$E154&amp;"")</f>
        <v/>
      </c>
      <c r="F147" s="0" t="str">
        <f aca="false">IF('THÁNG 6'!$C154="","",'THÁNG 6'!$F154&amp;"")</f>
        <v/>
      </c>
      <c r="G147" s="0" t="str">
        <f aca="false">IF('THÁNG 6'!$C154="","",'THÁNG 6'!$G154&amp;"")</f>
        <v/>
      </c>
      <c r="H147" s="0" t="str">
        <f aca="false">IF('THÁNG 6'!$C154="","",'THÁNG 6'!$H154&amp;"")</f>
        <v/>
      </c>
      <c r="I147" s="0" t="str">
        <f aca="false">IF('THÁNG 6'!$C154="","",N('THÁNG 6'!$I154))</f>
        <v/>
      </c>
      <c r="J147" s="0" t="str">
        <f aca="false">IF('THÁNG 6'!$C154="","",N('THÁNG 6'!$L154))</f>
        <v/>
      </c>
      <c r="K147" s="0" t="str">
        <f aca="false">IF('THÁNG 6'!$C154="","",N('THÁNG 6'!$N154))</f>
        <v/>
      </c>
      <c r="L147" s="0" t="str">
        <f aca="false">IF('THÁNG 6'!$C154="","",N('THÁNG 6'!$O154))</f>
        <v/>
      </c>
      <c r="M147" s="0" t="str">
        <f aca="false">IF('THÁNG 6'!$C154="","",N('THÁNG 6'!$P154))</f>
        <v/>
      </c>
      <c r="N147" s="0" t="str">
        <f aca="false">IF('THÁNG 6'!$C154="","",N('THÁNG 6'!$Q154))</f>
        <v/>
      </c>
      <c r="O147" s="0" t="str">
        <f aca="false">IF('THÁNG 6'!$C154="","",N('THÁNG 6'!$R154))</f>
        <v/>
      </c>
      <c r="P147" s="0" t="str">
        <f aca="false">IF(OR('THÁNG 6'!$C154="",'THÁNG 6'!$T154=""),"",'THÁNG 6'!$T154)</f>
        <v/>
      </c>
      <c r="Q147" s="0" t="str">
        <f aca="false">IF(OR('THÁNG 6'!$C154="",'THÁNG 6'!$U154=""),"",'THÁNG 6'!$U154)</f>
        <v/>
      </c>
      <c r="R147" s="0" t="str">
        <f aca="false">IF('THÁNG 6'!$C154="","",'THÁNG 6'!$W154&amp;"")</f>
        <v/>
      </c>
      <c r="S147" s="0" t="str">
        <f aca="false">IF('THÁNG 6'!$C154="","",'THÁNG 6'!$S154&amp;"")</f>
        <v/>
      </c>
      <c r="T147" s="0" t="str">
        <f aca="false">IF(N($O147)&gt;0,COUNTIF($O$3:$O147,"&gt;0"),"")</f>
        <v/>
      </c>
      <c r="U147" s="0" t="str">
        <f aca="false">IF(AND(N($J147)&gt;0,N($K147)&gt;0),COUNTIFS($J$3:$J147,"&gt;0",$K$3:$K147,"&gt;0"),"")</f>
        <v/>
      </c>
      <c r="V147" s="0" t="str">
        <f aca="false">IF(AND(N($J147)&gt;0,N($K147)=0),COUNTIFS($J$3:$J147,"&gt;0",$K$3:$K147,"&lt;=0"),"")</f>
        <v/>
      </c>
      <c r="W147" s="0" t="str">
        <f aca="false">IF($C147="","",IF(COUNTIF($C$3:$C147,$C147)&gt;1,"",MAX($W$2:W146)+1))</f>
        <v/>
      </c>
      <c r="X147" s="0" t="str">
        <f aca="false">IF($H147="","",IF(COUNTIF($H$3:$H147,$H147)&gt;1,"",MAX($X$2:X146)+1))</f>
        <v/>
      </c>
      <c r="Y147" s="0" t="str">
        <f aca="false">IF(AND(N($M147)&gt;0,N($O147)&lt;=0),COUNTIFS($M$3:$M147,"&gt;0",$O$3:$O147,"&lt;=0"),"")</f>
        <v/>
      </c>
      <c r="Z147" s="30" t="n">
        <f aca="false">IF(OR('THÁNG 6'!$C154="",'THÁNG 6'!$B154=""),0,'THÁNG 6'!$B154)</f>
        <v>0</v>
      </c>
    </row>
    <row r="148" customFormat="false" ht="15" hidden="false" customHeight="false" outlineLevel="0" collapsed="false">
      <c r="A148" s="0" t="n">
        <v>6</v>
      </c>
      <c r="B148" s="29" t="str">
        <f aca="false">IF(OR('THÁNG 6'!$C155="",'THÁNG 6'!$B155=""),"",'THÁNG 6'!$B155)</f>
        <v/>
      </c>
      <c r="C148" s="0" t="str">
        <f aca="false">IF('THÁNG 6'!$C155="","",'THÁNG 6'!$C155)</f>
        <v/>
      </c>
      <c r="D148" s="0" t="str">
        <f aca="false">IF('THÁNG 6'!$C155="","",'THÁNG 6'!$D155&amp;"")</f>
        <v/>
      </c>
      <c r="E148" s="0" t="str">
        <f aca="false">IF('THÁNG 6'!$C155="","",'THÁNG 6'!$E155&amp;"")</f>
        <v/>
      </c>
      <c r="F148" s="0" t="str">
        <f aca="false">IF('THÁNG 6'!$C155="","",'THÁNG 6'!$F155&amp;"")</f>
        <v/>
      </c>
      <c r="G148" s="0" t="str">
        <f aca="false">IF('THÁNG 6'!$C155="","",'THÁNG 6'!$G155&amp;"")</f>
        <v/>
      </c>
      <c r="H148" s="0" t="str">
        <f aca="false">IF('THÁNG 6'!$C155="","",'THÁNG 6'!$H155&amp;"")</f>
        <v/>
      </c>
      <c r="I148" s="0" t="str">
        <f aca="false">IF('THÁNG 6'!$C155="","",N('THÁNG 6'!$I155))</f>
        <v/>
      </c>
      <c r="J148" s="0" t="str">
        <f aca="false">IF('THÁNG 6'!$C155="","",N('THÁNG 6'!$L155))</f>
        <v/>
      </c>
      <c r="K148" s="0" t="str">
        <f aca="false">IF('THÁNG 6'!$C155="","",N('THÁNG 6'!$N155))</f>
        <v/>
      </c>
      <c r="L148" s="0" t="str">
        <f aca="false">IF('THÁNG 6'!$C155="","",N('THÁNG 6'!$O155))</f>
        <v/>
      </c>
      <c r="M148" s="0" t="str">
        <f aca="false">IF('THÁNG 6'!$C155="","",N('THÁNG 6'!$P155))</f>
        <v/>
      </c>
      <c r="N148" s="0" t="str">
        <f aca="false">IF('THÁNG 6'!$C155="","",N('THÁNG 6'!$Q155))</f>
        <v/>
      </c>
      <c r="O148" s="0" t="str">
        <f aca="false">IF('THÁNG 6'!$C155="","",N('THÁNG 6'!$R155))</f>
        <v/>
      </c>
      <c r="P148" s="0" t="str">
        <f aca="false">IF(OR('THÁNG 6'!$C155="",'THÁNG 6'!$T155=""),"",'THÁNG 6'!$T155)</f>
        <v/>
      </c>
      <c r="Q148" s="0" t="str">
        <f aca="false">IF(OR('THÁNG 6'!$C155="",'THÁNG 6'!$U155=""),"",'THÁNG 6'!$U155)</f>
        <v/>
      </c>
      <c r="R148" s="0" t="str">
        <f aca="false">IF('THÁNG 6'!$C155="","",'THÁNG 6'!$W155&amp;"")</f>
        <v/>
      </c>
      <c r="S148" s="0" t="str">
        <f aca="false">IF('THÁNG 6'!$C155="","",'THÁNG 6'!$S155&amp;"")</f>
        <v/>
      </c>
      <c r="T148" s="0" t="str">
        <f aca="false">IF(N($O148)&gt;0,COUNTIF($O$3:$O148,"&gt;0"),"")</f>
        <v/>
      </c>
      <c r="U148" s="0" t="str">
        <f aca="false">IF(AND(N($J148)&gt;0,N($K148)&gt;0),COUNTIFS($J$3:$J148,"&gt;0",$K$3:$K148,"&gt;0"),"")</f>
        <v/>
      </c>
      <c r="V148" s="0" t="str">
        <f aca="false">IF(AND(N($J148)&gt;0,N($K148)=0),COUNTIFS($J$3:$J148,"&gt;0",$K$3:$K148,"&lt;=0"),"")</f>
        <v/>
      </c>
      <c r="W148" s="0" t="str">
        <f aca="false">IF($C148="","",IF(COUNTIF($C$3:$C148,$C148)&gt;1,"",MAX($W$2:W147)+1))</f>
        <v/>
      </c>
      <c r="X148" s="0" t="str">
        <f aca="false">IF($H148="","",IF(COUNTIF($H$3:$H148,$H148)&gt;1,"",MAX($X$2:X147)+1))</f>
        <v/>
      </c>
      <c r="Y148" s="0" t="str">
        <f aca="false">IF(AND(N($M148)&gt;0,N($O148)&lt;=0),COUNTIFS($M$3:$M148,"&gt;0",$O$3:$O148,"&lt;=0"),"")</f>
        <v/>
      </c>
      <c r="Z148" s="30" t="n">
        <f aca="false">IF(OR('THÁNG 6'!$C155="",'THÁNG 6'!$B155=""),0,'THÁNG 6'!$B155)</f>
        <v>0</v>
      </c>
    </row>
    <row r="149" customFormat="false" ht="15" hidden="false" customHeight="false" outlineLevel="0" collapsed="false">
      <c r="A149" s="0" t="n">
        <v>6</v>
      </c>
      <c r="B149" s="29" t="str">
        <f aca="false">IF(OR('THÁNG 6'!$C156="",'THÁNG 6'!$B156=""),"",'THÁNG 6'!$B156)</f>
        <v/>
      </c>
      <c r="C149" s="0" t="str">
        <f aca="false">IF('THÁNG 6'!$C156="","",'THÁNG 6'!$C156)</f>
        <v/>
      </c>
      <c r="D149" s="0" t="str">
        <f aca="false">IF('THÁNG 6'!$C156="","",'THÁNG 6'!$D156&amp;"")</f>
        <v/>
      </c>
      <c r="E149" s="0" t="str">
        <f aca="false">IF('THÁNG 6'!$C156="","",'THÁNG 6'!$E156&amp;"")</f>
        <v/>
      </c>
      <c r="F149" s="0" t="str">
        <f aca="false">IF('THÁNG 6'!$C156="","",'THÁNG 6'!$F156&amp;"")</f>
        <v/>
      </c>
      <c r="G149" s="0" t="str">
        <f aca="false">IF('THÁNG 6'!$C156="","",'THÁNG 6'!$G156&amp;"")</f>
        <v/>
      </c>
      <c r="H149" s="0" t="str">
        <f aca="false">IF('THÁNG 6'!$C156="","",'THÁNG 6'!$H156&amp;"")</f>
        <v/>
      </c>
      <c r="I149" s="0" t="str">
        <f aca="false">IF('THÁNG 6'!$C156="","",N('THÁNG 6'!$I156))</f>
        <v/>
      </c>
      <c r="J149" s="0" t="str">
        <f aca="false">IF('THÁNG 6'!$C156="","",N('THÁNG 6'!$L156))</f>
        <v/>
      </c>
      <c r="K149" s="0" t="str">
        <f aca="false">IF('THÁNG 6'!$C156="","",N('THÁNG 6'!$N156))</f>
        <v/>
      </c>
      <c r="L149" s="0" t="str">
        <f aca="false">IF('THÁNG 6'!$C156="","",N('THÁNG 6'!$O156))</f>
        <v/>
      </c>
      <c r="M149" s="0" t="str">
        <f aca="false">IF('THÁNG 6'!$C156="","",N('THÁNG 6'!$P156))</f>
        <v/>
      </c>
      <c r="N149" s="0" t="str">
        <f aca="false">IF('THÁNG 6'!$C156="","",N('THÁNG 6'!$Q156))</f>
        <v/>
      </c>
      <c r="O149" s="0" t="str">
        <f aca="false">IF('THÁNG 6'!$C156="","",N('THÁNG 6'!$R156))</f>
        <v/>
      </c>
      <c r="P149" s="0" t="str">
        <f aca="false">IF(OR('THÁNG 6'!$C156="",'THÁNG 6'!$T156=""),"",'THÁNG 6'!$T156)</f>
        <v/>
      </c>
      <c r="Q149" s="0" t="str">
        <f aca="false">IF(OR('THÁNG 6'!$C156="",'THÁNG 6'!$U156=""),"",'THÁNG 6'!$U156)</f>
        <v/>
      </c>
      <c r="R149" s="0" t="str">
        <f aca="false">IF('THÁNG 6'!$C156="","",'THÁNG 6'!$W156&amp;"")</f>
        <v/>
      </c>
      <c r="S149" s="0" t="str">
        <f aca="false">IF('THÁNG 6'!$C156="","",'THÁNG 6'!$S156&amp;"")</f>
        <v/>
      </c>
      <c r="T149" s="0" t="str">
        <f aca="false">IF(N($O149)&gt;0,COUNTIF($O$3:$O149,"&gt;0"),"")</f>
        <v/>
      </c>
      <c r="U149" s="0" t="str">
        <f aca="false">IF(AND(N($J149)&gt;0,N($K149)&gt;0),COUNTIFS($J$3:$J149,"&gt;0",$K$3:$K149,"&gt;0"),"")</f>
        <v/>
      </c>
      <c r="V149" s="0" t="str">
        <f aca="false">IF(AND(N($J149)&gt;0,N($K149)=0),COUNTIFS($J$3:$J149,"&gt;0",$K$3:$K149,"&lt;=0"),"")</f>
        <v/>
      </c>
      <c r="W149" s="0" t="str">
        <f aca="false">IF($C149="","",IF(COUNTIF($C$3:$C149,$C149)&gt;1,"",MAX($W$2:W148)+1))</f>
        <v/>
      </c>
      <c r="X149" s="0" t="str">
        <f aca="false">IF($H149="","",IF(COUNTIF($H$3:$H149,$H149)&gt;1,"",MAX($X$2:X148)+1))</f>
        <v/>
      </c>
      <c r="Y149" s="0" t="str">
        <f aca="false">IF(AND(N($M149)&gt;0,N($O149)&lt;=0),COUNTIFS($M$3:$M149,"&gt;0",$O$3:$O149,"&lt;=0"),"")</f>
        <v/>
      </c>
      <c r="Z149" s="30" t="n">
        <f aca="false">IF(OR('THÁNG 6'!$C156="",'THÁNG 6'!$B156=""),0,'THÁNG 6'!$B156)</f>
        <v>0</v>
      </c>
    </row>
    <row r="150" customFormat="false" ht="15" hidden="false" customHeight="false" outlineLevel="0" collapsed="false">
      <c r="A150" s="0" t="n">
        <v>6</v>
      </c>
      <c r="B150" s="29" t="str">
        <f aca="false">IF(OR('THÁNG 6'!$C157="",'THÁNG 6'!$B157=""),"",'THÁNG 6'!$B157)</f>
        <v/>
      </c>
      <c r="C150" s="0" t="str">
        <f aca="false">IF('THÁNG 6'!$C157="","",'THÁNG 6'!$C157)</f>
        <v/>
      </c>
      <c r="D150" s="0" t="str">
        <f aca="false">IF('THÁNG 6'!$C157="","",'THÁNG 6'!$D157&amp;"")</f>
        <v/>
      </c>
      <c r="E150" s="0" t="str">
        <f aca="false">IF('THÁNG 6'!$C157="","",'THÁNG 6'!$E157&amp;"")</f>
        <v/>
      </c>
      <c r="F150" s="0" t="str">
        <f aca="false">IF('THÁNG 6'!$C157="","",'THÁNG 6'!$F157&amp;"")</f>
        <v/>
      </c>
      <c r="G150" s="0" t="str">
        <f aca="false">IF('THÁNG 6'!$C157="","",'THÁNG 6'!$G157&amp;"")</f>
        <v/>
      </c>
      <c r="H150" s="0" t="str">
        <f aca="false">IF('THÁNG 6'!$C157="","",'THÁNG 6'!$H157&amp;"")</f>
        <v/>
      </c>
      <c r="I150" s="0" t="str">
        <f aca="false">IF('THÁNG 6'!$C157="","",N('THÁNG 6'!$I157))</f>
        <v/>
      </c>
      <c r="J150" s="0" t="str">
        <f aca="false">IF('THÁNG 6'!$C157="","",N('THÁNG 6'!$L157))</f>
        <v/>
      </c>
      <c r="K150" s="0" t="str">
        <f aca="false">IF('THÁNG 6'!$C157="","",N('THÁNG 6'!$N157))</f>
        <v/>
      </c>
      <c r="L150" s="0" t="str">
        <f aca="false">IF('THÁNG 6'!$C157="","",N('THÁNG 6'!$O157))</f>
        <v/>
      </c>
      <c r="M150" s="0" t="str">
        <f aca="false">IF('THÁNG 6'!$C157="","",N('THÁNG 6'!$P157))</f>
        <v/>
      </c>
      <c r="N150" s="0" t="str">
        <f aca="false">IF('THÁNG 6'!$C157="","",N('THÁNG 6'!$Q157))</f>
        <v/>
      </c>
      <c r="O150" s="0" t="str">
        <f aca="false">IF('THÁNG 6'!$C157="","",N('THÁNG 6'!$R157))</f>
        <v/>
      </c>
      <c r="P150" s="0" t="str">
        <f aca="false">IF(OR('THÁNG 6'!$C157="",'THÁNG 6'!$T157=""),"",'THÁNG 6'!$T157)</f>
        <v/>
      </c>
      <c r="Q150" s="0" t="str">
        <f aca="false">IF(OR('THÁNG 6'!$C157="",'THÁNG 6'!$U157=""),"",'THÁNG 6'!$U157)</f>
        <v/>
      </c>
      <c r="R150" s="0" t="str">
        <f aca="false">IF('THÁNG 6'!$C157="","",'THÁNG 6'!$W157&amp;"")</f>
        <v/>
      </c>
      <c r="S150" s="0" t="str">
        <f aca="false">IF('THÁNG 6'!$C157="","",'THÁNG 6'!$S157&amp;"")</f>
        <v/>
      </c>
      <c r="T150" s="0" t="str">
        <f aca="false">IF(N($O150)&gt;0,COUNTIF($O$3:$O150,"&gt;0"),"")</f>
        <v/>
      </c>
      <c r="U150" s="0" t="str">
        <f aca="false">IF(AND(N($J150)&gt;0,N($K150)&gt;0),COUNTIFS($J$3:$J150,"&gt;0",$K$3:$K150,"&gt;0"),"")</f>
        <v/>
      </c>
      <c r="V150" s="0" t="str">
        <f aca="false">IF(AND(N($J150)&gt;0,N($K150)=0),COUNTIFS($J$3:$J150,"&gt;0",$K$3:$K150,"&lt;=0"),"")</f>
        <v/>
      </c>
      <c r="W150" s="0" t="str">
        <f aca="false">IF($C150="","",IF(COUNTIF($C$3:$C150,$C150)&gt;1,"",MAX($W$2:W149)+1))</f>
        <v/>
      </c>
      <c r="X150" s="0" t="str">
        <f aca="false">IF($H150="","",IF(COUNTIF($H$3:$H150,$H150)&gt;1,"",MAX($X$2:X149)+1))</f>
        <v/>
      </c>
      <c r="Y150" s="0" t="str">
        <f aca="false">IF(AND(N($M150)&gt;0,N($O150)&lt;=0),COUNTIFS($M$3:$M150,"&gt;0",$O$3:$O150,"&lt;=0"),"")</f>
        <v/>
      </c>
      <c r="Z150" s="30" t="n">
        <f aca="false">IF(OR('THÁNG 6'!$C157="",'THÁNG 6'!$B157=""),0,'THÁNG 6'!$B157)</f>
        <v>0</v>
      </c>
    </row>
    <row r="151" customFormat="false" ht="15" hidden="false" customHeight="false" outlineLevel="0" collapsed="false">
      <c r="A151" s="0" t="n">
        <v>6</v>
      </c>
      <c r="B151" s="29" t="str">
        <f aca="false">IF(OR('THÁNG 6'!$C158="",'THÁNG 6'!$B158=""),"",'THÁNG 6'!$B158)</f>
        <v/>
      </c>
      <c r="C151" s="0" t="str">
        <f aca="false">IF('THÁNG 6'!$C158="","",'THÁNG 6'!$C158)</f>
        <v/>
      </c>
      <c r="D151" s="0" t="str">
        <f aca="false">IF('THÁNG 6'!$C158="","",'THÁNG 6'!$D158&amp;"")</f>
        <v/>
      </c>
      <c r="E151" s="0" t="str">
        <f aca="false">IF('THÁNG 6'!$C158="","",'THÁNG 6'!$E158&amp;"")</f>
        <v/>
      </c>
      <c r="F151" s="0" t="str">
        <f aca="false">IF('THÁNG 6'!$C158="","",'THÁNG 6'!$F158&amp;"")</f>
        <v/>
      </c>
      <c r="G151" s="0" t="str">
        <f aca="false">IF('THÁNG 6'!$C158="","",'THÁNG 6'!$G158&amp;"")</f>
        <v/>
      </c>
      <c r="H151" s="0" t="str">
        <f aca="false">IF('THÁNG 6'!$C158="","",'THÁNG 6'!$H158&amp;"")</f>
        <v/>
      </c>
      <c r="I151" s="0" t="str">
        <f aca="false">IF('THÁNG 6'!$C158="","",N('THÁNG 6'!$I158))</f>
        <v/>
      </c>
      <c r="J151" s="0" t="str">
        <f aca="false">IF('THÁNG 6'!$C158="","",N('THÁNG 6'!$L158))</f>
        <v/>
      </c>
      <c r="K151" s="0" t="str">
        <f aca="false">IF('THÁNG 6'!$C158="","",N('THÁNG 6'!$N158))</f>
        <v/>
      </c>
      <c r="L151" s="0" t="str">
        <f aca="false">IF('THÁNG 6'!$C158="","",N('THÁNG 6'!$O158))</f>
        <v/>
      </c>
      <c r="M151" s="0" t="str">
        <f aca="false">IF('THÁNG 6'!$C158="","",N('THÁNG 6'!$P158))</f>
        <v/>
      </c>
      <c r="N151" s="0" t="str">
        <f aca="false">IF('THÁNG 6'!$C158="","",N('THÁNG 6'!$Q158))</f>
        <v/>
      </c>
      <c r="O151" s="0" t="str">
        <f aca="false">IF('THÁNG 6'!$C158="","",N('THÁNG 6'!$R158))</f>
        <v/>
      </c>
      <c r="P151" s="0" t="str">
        <f aca="false">IF(OR('THÁNG 6'!$C158="",'THÁNG 6'!$T158=""),"",'THÁNG 6'!$T158)</f>
        <v/>
      </c>
      <c r="Q151" s="0" t="str">
        <f aca="false">IF(OR('THÁNG 6'!$C158="",'THÁNG 6'!$U158=""),"",'THÁNG 6'!$U158)</f>
        <v/>
      </c>
      <c r="R151" s="0" t="str">
        <f aca="false">IF('THÁNG 6'!$C158="","",'THÁNG 6'!$W158&amp;"")</f>
        <v/>
      </c>
      <c r="S151" s="0" t="str">
        <f aca="false">IF('THÁNG 6'!$C158="","",'THÁNG 6'!$S158&amp;"")</f>
        <v/>
      </c>
      <c r="T151" s="0" t="str">
        <f aca="false">IF(N($O151)&gt;0,COUNTIF($O$3:$O151,"&gt;0"),"")</f>
        <v/>
      </c>
      <c r="U151" s="0" t="str">
        <f aca="false">IF(AND(N($J151)&gt;0,N($K151)&gt;0),COUNTIFS($J$3:$J151,"&gt;0",$K$3:$K151,"&gt;0"),"")</f>
        <v/>
      </c>
      <c r="V151" s="0" t="str">
        <f aca="false">IF(AND(N($J151)&gt;0,N($K151)=0),COUNTIFS($J$3:$J151,"&gt;0",$K$3:$K151,"&lt;=0"),"")</f>
        <v/>
      </c>
      <c r="W151" s="0" t="str">
        <f aca="false">IF($C151="","",IF(COUNTIF($C$3:$C151,$C151)&gt;1,"",MAX($W$2:W150)+1))</f>
        <v/>
      </c>
      <c r="X151" s="0" t="str">
        <f aca="false">IF($H151="","",IF(COUNTIF($H$3:$H151,$H151)&gt;1,"",MAX($X$2:X150)+1))</f>
        <v/>
      </c>
      <c r="Y151" s="0" t="str">
        <f aca="false">IF(AND(N($M151)&gt;0,N($O151)&lt;=0),COUNTIFS($M$3:$M151,"&gt;0",$O$3:$O151,"&lt;=0"),"")</f>
        <v/>
      </c>
      <c r="Z151" s="30" t="n">
        <f aca="false">IF(OR('THÁNG 6'!$C158="",'THÁNG 6'!$B158=""),0,'THÁNG 6'!$B158)</f>
        <v>0</v>
      </c>
    </row>
    <row r="152" customFormat="false" ht="15" hidden="false" customHeight="false" outlineLevel="0" collapsed="false">
      <c r="A152" s="0" t="n">
        <v>6</v>
      </c>
      <c r="B152" s="29" t="str">
        <f aca="false">IF(OR('THÁNG 6'!$C159="",'THÁNG 6'!$B159=""),"",'THÁNG 6'!$B159)</f>
        <v/>
      </c>
      <c r="C152" s="0" t="str">
        <f aca="false">IF('THÁNG 6'!$C159="","",'THÁNG 6'!$C159)</f>
        <v/>
      </c>
      <c r="D152" s="0" t="str">
        <f aca="false">IF('THÁNG 6'!$C159="","",'THÁNG 6'!$D159&amp;"")</f>
        <v/>
      </c>
      <c r="E152" s="0" t="str">
        <f aca="false">IF('THÁNG 6'!$C159="","",'THÁNG 6'!$E159&amp;"")</f>
        <v/>
      </c>
      <c r="F152" s="0" t="str">
        <f aca="false">IF('THÁNG 6'!$C159="","",'THÁNG 6'!$F159&amp;"")</f>
        <v/>
      </c>
      <c r="G152" s="0" t="str">
        <f aca="false">IF('THÁNG 6'!$C159="","",'THÁNG 6'!$G159&amp;"")</f>
        <v/>
      </c>
      <c r="H152" s="0" t="str">
        <f aca="false">IF('THÁNG 6'!$C159="","",'THÁNG 6'!$H159&amp;"")</f>
        <v/>
      </c>
      <c r="I152" s="0" t="str">
        <f aca="false">IF('THÁNG 6'!$C159="","",N('THÁNG 6'!$I159))</f>
        <v/>
      </c>
      <c r="J152" s="0" t="str">
        <f aca="false">IF('THÁNG 6'!$C159="","",N('THÁNG 6'!$L159))</f>
        <v/>
      </c>
      <c r="K152" s="0" t="str">
        <f aca="false">IF('THÁNG 6'!$C159="","",N('THÁNG 6'!$N159))</f>
        <v/>
      </c>
      <c r="L152" s="0" t="str">
        <f aca="false">IF('THÁNG 6'!$C159="","",N('THÁNG 6'!$O159))</f>
        <v/>
      </c>
      <c r="M152" s="0" t="str">
        <f aca="false">IF('THÁNG 6'!$C159="","",N('THÁNG 6'!$P159))</f>
        <v/>
      </c>
      <c r="N152" s="0" t="str">
        <f aca="false">IF('THÁNG 6'!$C159="","",N('THÁNG 6'!$Q159))</f>
        <v/>
      </c>
      <c r="O152" s="0" t="str">
        <f aca="false">IF('THÁNG 6'!$C159="","",N('THÁNG 6'!$R159))</f>
        <v/>
      </c>
      <c r="P152" s="0" t="str">
        <f aca="false">IF(OR('THÁNG 6'!$C159="",'THÁNG 6'!$T159=""),"",'THÁNG 6'!$T159)</f>
        <v/>
      </c>
      <c r="Q152" s="0" t="str">
        <f aca="false">IF(OR('THÁNG 6'!$C159="",'THÁNG 6'!$U159=""),"",'THÁNG 6'!$U159)</f>
        <v/>
      </c>
      <c r="R152" s="0" t="str">
        <f aca="false">IF('THÁNG 6'!$C159="","",'THÁNG 6'!$W159&amp;"")</f>
        <v/>
      </c>
      <c r="S152" s="0" t="str">
        <f aca="false">IF('THÁNG 6'!$C159="","",'THÁNG 6'!$S159&amp;"")</f>
        <v/>
      </c>
      <c r="T152" s="0" t="str">
        <f aca="false">IF(N($O152)&gt;0,COUNTIF($O$3:$O152,"&gt;0"),"")</f>
        <v/>
      </c>
      <c r="U152" s="0" t="str">
        <f aca="false">IF(AND(N($J152)&gt;0,N($K152)&gt;0),COUNTIFS($J$3:$J152,"&gt;0",$K$3:$K152,"&gt;0"),"")</f>
        <v/>
      </c>
      <c r="V152" s="0" t="str">
        <f aca="false">IF(AND(N($J152)&gt;0,N($K152)=0),COUNTIFS($J$3:$J152,"&gt;0",$K$3:$K152,"&lt;=0"),"")</f>
        <v/>
      </c>
      <c r="W152" s="0" t="str">
        <f aca="false">IF($C152="","",IF(COUNTIF($C$3:$C152,$C152)&gt;1,"",MAX($W$2:W151)+1))</f>
        <v/>
      </c>
      <c r="X152" s="0" t="str">
        <f aca="false">IF($H152="","",IF(COUNTIF($H$3:$H152,$H152)&gt;1,"",MAX($X$2:X151)+1))</f>
        <v/>
      </c>
      <c r="Y152" s="0" t="str">
        <f aca="false">IF(AND(N($M152)&gt;0,N($O152)&lt;=0),COUNTIFS($M$3:$M152,"&gt;0",$O$3:$O152,"&lt;=0"),"")</f>
        <v/>
      </c>
      <c r="Z152" s="30" t="n">
        <f aca="false">IF(OR('THÁNG 6'!$C159="",'THÁNG 6'!$B159=""),0,'THÁNG 6'!$B159)</f>
        <v>0</v>
      </c>
    </row>
    <row r="153" customFormat="false" ht="15" hidden="false" customHeight="false" outlineLevel="0" collapsed="false">
      <c r="A153" s="0" t="n">
        <v>7</v>
      </c>
      <c r="B153" s="29" t="n">
        <f aca="false">IF(OR('THÁNG 7'!$C10="",'THÁNG 7'!$B10=""),"",'THÁNG 7'!$B10)</f>
        <v>46204</v>
      </c>
      <c r="C153" s="0" t="str">
        <f aca="false">IF('THÁNG 7'!$C10="","",'THÁNG 7'!$C10)</f>
        <v>A Tài - Huyndai - 20c</v>
      </c>
      <c r="D153" s="0" t="str">
        <f aca="false">IF('THÁNG 7'!$C10="","",'THÁNG 7'!$D10&amp;"")</f>
        <v>0935494005</v>
      </c>
      <c r="E153" s="0" t="str">
        <f aca="false">IF('THÁNG 7'!$C10="","",'THÁNG 7'!$E10&amp;"")</f>
        <v/>
      </c>
      <c r="F153" s="0" t="str">
        <f aca="false">IF('THÁNG 7'!$C10="","",'THÁNG 7'!$F10&amp;"")</f>
        <v/>
      </c>
      <c r="G153" s="0" t="str">
        <f aca="false">IF('THÁNG 7'!$C10="","",'THÁNG 7'!$G10&amp;"")</f>
        <v>461 Tây sơn, Quy Nhơn Nam, Gia lai</v>
      </c>
      <c r="H153" s="0" t="str">
        <f aca="false">IF('THÁNG 7'!$C10="","",'THÁNG 7'!$H10&amp;"")</f>
        <v>gấu teddy trắng</v>
      </c>
      <c r="I153" s="30" t="n">
        <f aca="false">IF('THÁNG 7'!$C10="","",N('THÁNG 7'!$I10))</f>
        <v>20</v>
      </c>
      <c r="J153" s="30" t="n">
        <f aca="false">IF('THÁNG 7'!$C10="","",N('THÁNG 7'!$L10))</f>
        <v>1000000</v>
      </c>
      <c r="K153" s="30" t="n">
        <f aca="false">IF('THÁNG 7'!$C10="","",N('THÁNG 7'!$N10))</f>
        <v>0</v>
      </c>
      <c r="L153" s="30" t="n">
        <f aca="false">IF('THÁNG 7'!$C10="","",N('THÁNG 7'!$O10))</f>
        <v>0</v>
      </c>
      <c r="M153" s="30" t="n">
        <f aca="false">IF('THÁNG 7'!$C10="","",N('THÁNG 7'!$P10))</f>
        <v>1000000</v>
      </c>
      <c r="N153" s="30" t="n">
        <f aca="false">IF('THÁNG 7'!$C10="","",N('THÁNG 7'!$Q10))</f>
        <v>1000000</v>
      </c>
      <c r="O153" s="30" t="n">
        <f aca="false">IF('THÁNG 7'!$C10="","",N('THÁNG 7'!$R10))</f>
        <v>0</v>
      </c>
      <c r="P153" s="0" t="str">
        <f aca="false">IF(OR('THÁNG 7'!$C10="",'THÁNG 7'!$T10=""),"",'THÁNG 7'!$T10)</f>
        <v/>
      </c>
      <c r="Q153" s="0" t="str">
        <f aca="false">IF(OR('THÁNG 7'!$C10="",'THÁNG 7'!$U10=""),"",'THÁNG 7'!$U10)</f>
        <v/>
      </c>
      <c r="R153" s="0" t="str">
        <f aca="false">IF('THÁNG 7'!$C10="","",'THÁNG 7'!$W10&amp;"")</f>
        <v>chuyển từ Tháng 7 dòng 10</v>
      </c>
      <c r="S153" s="0" t="str">
        <f aca="false">IF('THÁNG 7'!$C10="","",'THÁNG 7'!$S10&amp;"")</f>
        <v>Đã thanh toán</v>
      </c>
      <c r="T153" s="0" t="str">
        <f aca="false">IF(N($O153)&gt;0,COUNTIF($O$3:$O153,"&gt;0"),"")</f>
        <v/>
      </c>
      <c r="U153" s="0" t="str">
        <f aca="false">IF(AND(N($J153)&gt;0,N($K153)&gt;0),COUNTIFS($J$3:$J153,"&gt;0",$K$3:$K153,"&gt;0"),"")</f>
        <v/>
      </c>
      <c r="V153" s="30" t="n">
        <f aca="false">IF(AND(N($J153)&gt;0,N($K153)=0),COUNTIFS($J$3:$J153,"&gt;0",$K$3:$K153,"&lt;=0"),"")</f>
        <v>4</v>
      </c>
      <c r="W153" s="30" t="n">
        <f aca="false">IF($C153="","",IF(COUNTIF($C$3:$C153,$C153)&gt;1,"",MAX($W$2:W152)+1))</f>
        <v>4</v>
      </c>
      <c r="X153" s="30" t="n">
        <f aca="false">IF($H153="","",IF(COUNTIF($H$3:$H153,$H153)&gt;1,"",MAX($X$2:X152)+1))</f>
        <v>4</v>
      </c>
      <c r="Y153" s="30" t="n">
        <f aca="false">IF(AND(N($M153)&gt;0,N($O153)&lt;=0),COUNTIFS($M$3:$M153,"&gt;0",$O$3:$O153,"&lt;=0"),"")</f>
        <v>3</v>
      </c>
      <c r="Z153" s="29" t="n">
        <f aca="false">IF(OR('THÁNG 7'!$C10="",'THÁNG 7'!$B10=""),0,'THÁNG 7'!$B10)</f>
        <v>46204</v>
      </c>
    </row>
    <row r="154" customFormat="false" ht="15" hidden="false" customHeight="false" outlineLevel="0" collapsed="false">
      <c r="A154" s="0" t="n">
        <v>7</v>
      </c>
      <c r="B154" s="29" t="n">
        <f aca="false">IF(OR('THÁNG 7'!$C11="",'THÁNG 7'!$B11=""),"",'THÁNG 7'!$B11)</f>
        <v>46205</v>
      </c>
      <c r="C154" s="0" t="str">
        <f aca="false">IF('THÁNG 7'!$C11="","",'THÁNG 7'!$C11)</f>
        <v>BGB - Cô An Mến Tặng</v>
      </c>
      <c r="D154" s="0" t="str">
        <f aca="false">IF('THÁNG 7'!$C11="","",'THÁNG 7'!$D11&amp;"")</f>
        <v>0903535291</v>
      </c>
      <c r="E154" s="0" t="str">
        <f aca="false">IF('THÁNG 7'!$C11="","",'THÁNG 7'!$E11&amp;"")</f>
        <v/>
      </c>
      <c r="F154" s="0" t="str">
        <f aca="false">IF('THÁNG 7'!$C11="","",'THÁNG 7'!$F11&amp;"")</f>
        <v/>
      </c>
      <c r="G154" s="0" t="str">
        <f aca="false">IF('THÁNG 7'!$C11="","",'THÁNG 7'!$G11&amp;"")</f>
        <v>658 đường 2/9 Hải châu - Đà Nẵng</v>
      </c>
      <c r="H154" s="0" t="str">
        <f aca="false">IF('THÁNG 7'!$C11="","",'THÁNG 7'!$H11&amp;"")</f>
        <v>gấu teddy trắng</v>
      </c>
      <c r="I154" s="30" t="n">
        <f aca="false">IF('THÁNG 7'!$C11="","",N('THÁNG 7'!$I11))</f>
        <v>22</v>
      </c>
      <c r="J154" s="30" t="n">
        <f aca="false">IF('THÁNG 7'!$C11="","",N('THÁNG 7'!$L11))</f>
        <v>1100000</v>
      </c>
      <c r="K154" s="30" t="n">
        <f aca="false">IF('THÁNG 7'!$C11="","",N('THÁNG 7'!$N11))</f>
        <v>0</v>
      </c>
      <c r="L154" s="30" t="n">
        <f aca="false">IF('THÁNG 7'!$C11="","",N('THÁNG 7'!$O11))</f>
        <v>0</v>
      </c>
      <c r="M154" s="30" t="n">
        <f aca="false">IF('THÁNG 7'!$C11="","",N('THÁNG 7'!$P11))</f>
        <v>1100000</v>
      </c>
      <c r="N154" s="30" t="n">
        <f aca="false">IF('THÁNG 7'!$C11="","",N('THÁNG 7'!$Q11))</f>
        <v>1100000</v>
      </c>
      <c r="O154" s="30" t="n">
        <f aca="false">IF('THÁNG 7'!$C11="","",N('THÁNG 7'!$R11))</f>
        <v>0</v>
      </c>
      <c r="P154" s="0" t="str">
        <f aca="false">IF(OR('THÁNG 7'!$C11="",'THÁNG 7'!$T11=""),"",'THÁNG 7'!$T11)</f>
        <v/>
      </c>
      <c r="Q154" s="0" t="str">
        <f aca="false">IF(OR('THÁNG 7'!$C11="",'THÁNG 7'!$U11=""),"",'THÁNG 7'!$U11)</f>
        <v/>
      </c>
      <c r="R154" s="0" t="str">
        <f aca="false">IF('THÁNG 7'!$C11="","",'THÁNG 7'!$W11&amp;"")</f>
        <v>chuyển từ Tháng 7 dòng 11</v>
      </c>
      <c r="S154" s="0" t="str">
        <f aca="false">IF('THÁNG 7'!$C11="","",'THÁNG 7'!$S11&amp;"")</f>
        <v>Đã thanh toán</v>
      </c>
      <c r="T154" s="0" t="str">
        <f aca="false">IF(N($O154)&gt;0,COUNTIF($O$3:$O154,"&gt;0"),"")</f>
        <v/>
      </c>
      <c r="U154" s="0" t="str">
        <f aca="false">IF(AND(N($J154)&gt;0,N($K154)&gt;0),COUNTIFS($J$3:$J154,"&gt;0",$K$3:$K154,"&gt;0"),"")</f>
        <v/>
      </c>
      <c r="V154" s="30" t="n">
        <f aca="false">IF(AND(N($J154)&gt;0,N($K154)=0),COUNTIFS($J$3:$J154,"&gt;0",$K$3:$K154,"&lt;=0"),"")</f>
        <v>5</v>
      </c>
      <c r="W154" s="30" t="n">
        <f aca="false">IF($C154="","",IF(COUNTIF($C$3:$C154,$C154)&gt;1,"",MAX($W$2:W153)+1))</f>
        <v>5</v>
      </c>
      <c r="X154" s="0" t="str">
        <f aca="false">IF($H154="","",IF(COUNTIF($H$3:$H154,$H154)&gt;1,"",MAX($X$2:X153)+1))</f>
        <v/>
      </c>
      <c r="Y154" s="30" t="n">
        <f aca="false">IF(AND(N($M154)&gt;0,N($O154)&lt;=0),COUNTIFS($M$3:$M154,"&gt;0",$O$3:$O154,"&lt;=0"),"")</f>
        <v>4</v>
      </c>
      <c r="Z154" s="29" t="n">
        <f aca="false">IF(OR('THÁNG 7'!$C11="",'THÁNG 7'!$B11=""),0,'THÁNG 7'!$B11)</f>
        <v>46205</v>
      </c>
    </row>
    <row r="155" customFormat="false" ht="15" hidden="false" customHeight="false" outlineLevel="0" collapsed="false">
      <c r="A155" s="0" t="n">
        <v>7</v>
      </c>
      <c r="B155" s="29" t="n">
        <f aca="false">IF(OR('THÁNG 7'!$C12="",'THÁNG 7'!$B12=""),"",'THÁNG 7'!$B12)</f>
        <v>46206</v>
      </c>
      <c r="C155" s="0" t="str">
        <f aca="false">IF('THÁNG 7'!$C12="","",'THÁNG 7'!$C12)</f>
        <v>BGB - GẤU TỐT NGHIỆP AMES EL</v>
      </c>
      <c r="D155" s="0" t="str">
        <f aca="false">IF('THÁNG 7'!$C12="","",'THÁNG 7'!$D12&amp;"")</f>
        <v>0865895498</v>
      </c>
      <c r="E155" s="0" t="str">
        <f aca="false">IF('THÁNG 7'!$C12="","",'THÁNG 7'!$E12&amp;"")</f>
        <v/>
      </c>
      <c r="F155" s="0" t="str">
        <f aca="false">IF('THÁNG 7'!$C12="","",'THÁNG 7'!$F12&amp;"")</f>
        <v/>
      </c>
      <c r="G155" s="0" t="str">
        <f aca="false">IF('THÁNG 7'!$C12="","",'THÁNG 7'!$G12&amp;"")</f>
        <v>18 Phan Chu Trinh, Hạc Thành, Thanh Hóa</v>
      </c>
      <c r="H155" s="0" t="str">
        <f aca="false">IF('THÁNG 7'!$C12="","",'THÁNG 7'!$H12&amp;"")</f>
        <v>gấu nâu tốt nghiệp</v>
      </c>
      <c r="I155" s="30" t="n">
        <f aca="false">IF('THÁNG 7'!$C12="","",N('THÁNG 7'!$I12))</f>
        <v>20</v>
      </c>
      <c r="J155" s="30" t="n">
        <f aca="false">IF('THÁNG 7'!$C12="","",N('THÁNG 7'!$L12))</f>
        <v>1080000</v>
      </c>
      <c r="K155" s="30" t="n">
        <f aca="false">IF('THÁNG 7'!$C12="","",N('THÁNG 7'!$N12))</f>
        <v>0.08</v>
      </c>
      <c r="L155" s="30" t="n">
        <f aca="false">IF('THÁNG 7'!$C12="","",N('THÁNG 7'!$O12))</f>
        <v>86400</v>
      </c>
      <c r="M155" s="30" t="n">
        <f aca="false">IF('THÁNG 7'!$C12="","",N('THÁNG 7'!$P12))</f>
        <v>1166400</v>
      </c>
      <c r="N155" s="30" t="n">
        <f aca="false">IF('THÁNG 7'!$C12="","",N('THÁNG 7'!$Q12))</f>
        <v>1166400</v>
      </c>
      <c r="O155" s="30" t="n">
        <f aca="false">IF('THÁNG 7'!$C12="","",N('THÁNG 7'!$R12))</f>
        <v>0</v>
      </c>
      <c r="P155" s="0" t="str">
        <f aca="false">IF(OR('THÁNG 7'!$C12="",'THÁNG 7'!$T12=""),"",'THÁNG 7'!$T12)</f>
        <v/>
      </c>
      <c r="Q155" s="0" t="str">
        <f aca="false">IF(OR('THÁNG 7'!$C12="",'THÁNG 7'!$U12=""),"",'THÁNG 7'!$U12)</f>
        <v/>
      </c>
      <c r="R155" s="0" t="str">
        <f aca="false">IF('THÁNG 7'!$C12="","",'THÁNG 7'!$W12&amp;"")</f>
        <v>chuyển từ Tháng 7 dòng 12</v>
      </c>
      <c r="S155" s="0" t="str">
        <f aca="false">IF('THÁNG 7'!$C12="","",'THÁNG 7'!$S12&amp;"")</f>
        <v>Đã thanh toán</v>
      </c>
      <c r="T155" s="0" t="str">
        <f aca="false">IF(N($O155)&gt;0,COUNTIF($O$3:$O155,"&gt;0"),"")</f>
        <v/>
      </c>
      <c r="U155" s="30" t="n">
        <f aca="false">IF(AND(N($J155)&gt;0,N($K155)&gt;0),COUNTIFS($J$3:$J155,"&gt;0",$K$3:$K155,"&gt;0"),"")</f>
        <v>1</v>
      </c>
      <c r="V155" s="0" t="str">
        <f aca="false">IF(AND(N($J155)&gt;0,N($K155)=0),COUNTIFS($J$3:$J155,"&gt;0",$K$3:$K155,"&lt;=0"),"")</f>
        <v/>
      </c>
      <c r="W155" s="30" t="n">
        <f aca="false">IF($C155="","",IF(COUNTIF($C$3:$C155,$C155)&gt;1,"",MAX($W$2:W154)+1))</f>
        <v>6</v>
      </c>
      <c r="X155" s="30" t="n">
        <f aca="false">IF($H155="","",IF(COUNTIF($H$3:$H155,$H155)&gt;1,"",MAX($X$2:X154)+1))</f>
        <v>5</v>
      </c>
      <c r="Y155" s="30" t="n">
        <f aca="false">IF(AND(N($M155)&gt;0,N($O155)&lt;=0),COUNTIFS($M$3:$M155,"&gt;0",$O$3:$O155,"&lt;=0"),"")</f>
        <v>5</v>
      </c>
      <c r="Z155" s="29" t="n">
        <f aca="false">IF(OR('THÁNG 7'!$C12="",'THÁNG 7'!$B12=""),0,'THÁNG 7'!$B12)</f>
        <v>46206</v>
      </c>
    </row>
    <row r="156" customFormat="false" ht="15" hidden="false" customHeight="false" outlineLevel="0" collapsed="false">
      <c r="A156" s="0" t="n">
        <v>7</v>
      </c>
      <c r="B156" s="29" t="n">
        <f aca="false">IF(OR('THÁNG 7'!$C13="",'THÁNG 7'!$B13=""),"",'THÁNG 7'!$B13)</f>
        <v>46207</v>
      </c>
      <c r="C156" s="0" t="str">
        <f aca="false">IF('THÁNG 7'!$C13="","",'THÁNG 7'!$C13)</f>
        <v>C Trang Jade</v>
      </c>
      <c r="D156" s="0" t="str">
        <f aca="false">IF('THÁNG 7'!$C13="","",'THÁNG 7'!$D13&amp;"")</f>
        <v>0799740948</v>
      </c>
      <c r="E156" s="0" t="str">
        <f aca="false">IF('THÁNG 7'!$C13="","",'THÁNG 7'!$E13&amp;"")</f>
        <v/>
      </c>
      <c r="F156" s="0" t="str">
        <f aca="false">IF('THÁNG 7'!$C13="","",'THÁNG 7'!$F13&amp;"")</f>
        <v/>
      </c>
      <c r="G156" s="0" t="str">
        <f aca="false">IF('THÁNG 7'!$C13="","",'THÁNG 7'!$G13&amp;"")</f>
        <v>số 9 đường Trương Vĩnh Kỳ, Vùng Tàu, HCM</v>
      </c>
      <c r="H156" s="0" t="str">
        <f aca="false">IF('THÁNG 7'!$C13="","",'THÁNG 7'!$H13&amp;"")</f>
        <v>gấu trắng</v>
      </c>
      <c r="I156" s="30" t="n">
        <f aca="false">IF('THÁNG 7'!$C13="","",N('THÁNG 7'!$I13))</f>
        <v>25</v>
      </c>
      <c r="J156" s="30" t="n">
        <f aca="false">IF('THÁNG 7'!$C13="","",N('THÁNG 7'!$L13))</f>
        <v>1225000</v>
      </c>
      <c r="K156" s="30" t="n">
        <f aca="false">IF('THÁNG 7'!$C13="","",N('THÁNG 7'!$N13))</f>
        <v>0.08</v>
      </c>
      <c r="L156" s="30" t="n">
        <f aca="false">IF('THÁNG 7'!$C13="","",N('THÁNG 7'!$O13))</f>
        <v>98000</v>
      </c>
      <c r="M156" s="30" t="n">
        <f aca="false">IF('THÁNG 7'!$C13="","",N('THÁNG 7'!$P13))</f>
        <v>1323000</v>
      </c>
      <c r="N156" s="30" t="n">
        <f aca="false">IF('THÁNG 7'!$C13="","",N('THÁNG 7'!$Q13))</f>
        <v>1323000</v>
      </c>
      <c r="O156" s="30" t="n">
        <f aca="false">IF('THÁNG 7'!$C13="","",N('THÁNG 7'!$R13))</f>
        <v>0</v>
      </c>
      <c r="P156" s="0" t="str">
        <f aca="false">IF(OR('THÁNG 7'!$C13="",'THÁNG 7'!$T13=""),"",'THÁNG 7'!$T13)</f>
        <v/>
      </c>
      <c r="Q156" s="0" t="str">
        <f aca="false">IF(OR('THÁNG 7'!$C13="",'THÁNG 7'!$U13=""),"",'THÁNG 7'!$U13)</f>
        <v/>
      </c>
      <c r="R156" s="0" t="str">
        <f aca="false">IF('THÁNG 7'!$C13="","",'THÁNG 7'!$W13&amp;"")</f>
        <v>chuyển từ Tháng 7 dòng 13</v>
      </c>
      <c r="S156" s="0" t="str">
        <f aca="false">IF('THÁNG 7'!$C13="","",'THÁNG 7'!$S13&amp;"")</f>
        <v>Đã thanh toán</v>
      </c>
      <c r="T156" s="0" t="str">
        <f aca="false">IF(N($O156)&gt;0,COUNTIF($O$3:$O156,"&gt;0"),"")</f>
        <v/>
      </c>
      <c r="U156" s="30" t="n">
        <f aca="false">IF(AND(N($J156)&gt;0,N($K156)&gt;0),COUNTIFS($J$3:$J156,"&gt;0",$K$3:$K156,"&gt;0"),"")</f>
        <v>2</v>
      </c>
      <c r="V156" s="0" t="str">
        <f aca="false">IF(AND(N($J156)&gt;0,N($K156)=0),COUNTIFS($J$3:$J156,"&gt;0",$K$3:$K156,"&lt;=0"),"")</f>
        <v/>
      </c>
      <c r="W156" s="30" t="n">
        <f aca="false">IF($C156="","",IF(COUNTIF($C$3:$C156,$C156)&gt;1,"",MAX($W$2:W155)+1))</f>
        <v>7</v>
      </c>
      <c r="X156" s="30" t="n">
        <f aca="false">IF($H156="","",IF(COUNTIF($H$3:$H156,$H156)&gt;1,"",MAX($X$2:X155)+1))</f>
        <v>6</v>
      </c>
      <c r="Y156" s="30" t="n">
        <f aca="false">IF(AND(N($M156)&gt;0,N($O156)&lt;=0),COUNTIFS($M$3:$M156,"&gt;0",$O$3:$O156,"&lt;=0"),"")</f>
        <v>6</v>
      </c>
      <c r="Z156" s="29" t="n">
        <f aca="false">IF(OR('THÁNG 7'!$C13="",'THÁNG 7'!$B13=""),0,'THÁNG 7'!$B13)</f>
        <v>46207</v>
      </c>
    </row>
    <row r="157" customFormat="false" ht="15" hidden="false" customHeight="false" outlineLevel="0" collapsed="false">
      <c r="A157" s="0" t="n">
        <v>7</v>
      </c>
      <c r="B157" s="29" t="n">
        <f aca="false">IF(OR('THÁNG 7'!$C14="",'THÁNG 7'!$B14=""),"",'THÁNG 7'!$B14)</f>
        <v>46207</v>
      </c>
      <c r="C157" s="0" t="str">
        <f aca="false">IF('THÁNG 7'!$C14="","",'THÁNG 7'!$C14)</f>
        <v>Điện máy Ngọc Hiển</v>
      </c>
      <c r="D157" s="0" t="str">
        <f aca="false">IF('THÁNG 7'!$C14="","",'THÁNG 7'!$D14&amp;"")</f>
        <v>097579661</v>
      </c>
      <c r="E157" s="0" t="str">
        <f aca="false">IF('THÁNG 7'!$C14="","",'THÁNG 7'!$E14&amp;"")</f>
        <v/>
      </c>
      <c r="F157" s="0" t="str">
        <f aca="false">IF('THÁNG 7'!$C14="","",'THÁNG 7'!$F14&amp;"")</f>
        <v/>
      </c>
      <c r="G157" s="0" t="str">
        <f aca="false">IF('THÁNG 7'!$C14="","",'THÁNG 7'!$G14&amp;"")</f>
        <v>Cổng chợ Phú Cường - Xã Phú Thịnh - Tỉnh Thái Nguyên</v>
      </c>
      <c r="H157" s="0" t="str">
        <f aca="false">IF('THÁNG 7'!$C14="","",'THÁNG 7'!$H14&amp;"")</f>
        <v>gấy nâu 25cm</v>
      </c>
      <c r="I157" s="30" t="n">
        <f aca="false">IF('THÁNG 7'!$C14="","",N('THÁNG 7'!$I14))</f>
        <v>50</v>
      </c>
      <c r="J157" s="30" t="n">
        <f aca="false">IF('THÁNG 7'!$C14="","",N('THÁNG 7'!$L14))</f>
        <v>2500000</v>
      </c>
      <c r="K157" s="30" t="n">
        <f aca="false">IF('THÁNG 7'!$C14="","",N('THÁNG 7'!$N14))</f>
        <v>0</v>
      </c>
      <c r="L157" s="30" t="n">
        <f aca="false">IF('THÁNG 7'!$C14="","",N('THÁNG 7'!$O14))</f>
        <v>0</v>
      </c>
      <c r="M157" s="30" t="n">
        <f aca="false">IF('THÁNG 7'!$C14="","",N('THÁNG 7'!$P14))</f>
        <v>2500000</v>
      </c>
      <c r="N157" s="30" t="n">
        <f aca="false">IF('THÁNG 7'!$C14="","",N('THÁNG 7'!$Q14))</f>
        <v>2500000</v>
      </c>
      <c r="O157" s="30" t="n">
        <f aca="false">IF('THÁNG 7'!$C14="","",N('THÁNG 7'!$R14))</f>
        <v>0</v>
      </c>
      <c r="P157" s="0" t="str">
        <f aca="false">IF(OR('THÁNG 7'!$C14="",'THÁNG 7'!$T14=""),"",'THÁNG 7'!$T14)</f>
        <v/>
      </c>
      <c r="Q157" s="0" t="str">
        <f aca="false">IF(OR('THÁNG 7'!$C14="",'THÁNG 7'!$U14=""),"",'THÁNG 7'!$U14)</f>
        <v/>
      </c>
      <c r="R157" s="0" t="str">
        <f aca="false">IF('THÁNG 7'!$C14="","",'THÁNG 7'!$W14&amp;"")</f>
        <v>chuyển từ Tháng 7 dòng 14</v>
      </c>
      <c r="S157" s="0" t="str">
        <f aca="false">IF('THÁNG 7'!$C14="","",'THÁNG 7'!$S14&amp;"")</f>
        <v>Đã thanh toán</v>
      </c>
      <c r="T157" s="0" t="str">
        <f aca="false">IF(N($O157)&gt;0,COUNTIF($O$3:$O157,"&gt;0"),"")</f>
        <v/>
      </c>
      <c r="U157" s="0" t="str">
        <f aca="false">IF(AND(N($J157)&gt;0,N($K157)&gt;0),COUNTIFS($J$3:$J157,"&gt;0",$K$3:$K157,"&gt;0"),"")</f>
        <v/>
      </c>
      <c r="V157" s="30" t="n">
        <f aca="false">IF(AND(N($J157)&gt;0,N($K157)=0),COUNTIFS($J$3:$J157,"&gt;0",$K$3:$K157,"&lt;=0"),"")</f>
        <v>6</v>
      </c>
      <c r="W157" s="30" t="n">
        <f aca="false">IF($C157="","",IF(COUNTIF($C$3:$C157,$C157)&gt;1,"",MAX($W$2:W156)+1))</f>
        <v>8</v>
      </c>
      <c r="X157" s="30" t="n">
        <f aca="false">IF($H157="","",IF(COUNTIF($H$3:$H157,$H157)&gt;1,"",MAX($X$2:X156)+1))</f>
        <v>7</v>
      </c>
      <c r="Y157" s="30" t="n">
        <f aca="false">IF(AND(N($M157)&gt;0,N($O157)&lt;=0),COUNTIFS($M$3:$M157,"&gt;0",$O$3:$O157,"&lt;=0"),"")</f>
        <v>7</v>
      </c>
      <c r="Z157" s="29" t="n">
        <f aca="false">IF(OR('THÁNG 7'!$C14="",'THÁNG 7'!$B14=""),0,'THÁNG 7'!$B14)</f>
        <v>46207</v>
      </c>
    </row>
    <row r="158" customFormat="false" ht="15" hidden="false" customHeight="false" outlineLevel="0" collapsed="false">
      <c r="A158" s="0" t="n">
        <v>7</v>
      </c>
      <c r="B158" s="29" t="n">
        <f aca="false">IF(OR('THÁNG 7'!$C15="",'THÁNG 7'!$B15=""),"",'THÁNG 7'!$B15)</f>
        <v>46209</v>
      </c>
      <c r="C158" s="0" t="str">
        <f aca="false">IF('THÁNG 7'!$C15="","",'THÁNG 7'!$C15)</f>
        <v>Tạ Quang Bửu</v>
      </c>
      <c r="D158" s="0" t="str">
        <f aca="false">IF('THÁNG 7'!$C15="","",'THÁNG 7'!$D15&amp;"")</f>
        <v>0347713942</v>
      </c>
      <c r="E158" s="0" t="str">
        <f aca="false">IF('THÁNG 7'!$C15="","",'THÁNG 7'!$E15&amp;"")</f>
        <v>TRƯỜNG THCS-THPT TẠ QUANG BỬU</v>
      </c>
      <c r="F158" s="0" t="str">
        <f aca="false">IF('THÁNG 7'!$C15="","",'THÁNG 7'!$F15&amp;"")</f>
        <v>0106193778</v>
      </c>
      <c r="G158" s="0" t="str">
        <f aca="false">IF('THÁNG 7'!$C15="","",'THÁNG 7'!$G15&amp;"")</f>
        <v>"94A Lê Thanh Nghị, Hà Nội Đối diện sân vân động bách khoa "</v>
      </c>
      <c r="H158" s="0" t="str">
        <f aca="false">IF('THÁNG 7'!$C15="","",'THÁNG 7'!$H15&amp;"")</f>
        <v>gấu nâu 25cm</v>
      </c>
      <c r="I158" s="30" t="n">
        <f aca="false">IF('THÁNG 7'!$C15="","",N('THÁNG 7'!$I15))</f>
        <v>25</v>
      </c>
      <c r="J158" s="30" t="n">
        <f aca="false">IF('THÁNG 7'!$C15="","",N('THÁNG 7'!$L15))</f>
        <v>1350000</v>
      </c>
      <c r="K158" s="30" t="n">
        <f aca="false">IF('THÁNG 7'!$C15="","",N('THÁNG 7'!$N15))</f>
        <v>0.08</v>
      </c>
      <c r="L158" s="30" t="n">
        <f aca="false">IF('THÁNG 7'!$C15="","",N('THÁNG 7'!$O15))</f>
        <v>108000</v>
      </c>
      <c r="M158" s="30" t="n">
        <f aca="false">IF('THÁNG 7'!$C15="","",N('THÁNG 7'!$P15))</f>
        <v>1458000</v>
      </c>
      <c r="N158" s="30" t="n">
        <f aca="false">IF('THÁNG 7'!$C15="","",N('THÁNG 7'!$Q15))</f>
        <v>1458000</v>
      </c>
      <c r="O158" s="30" t="n">
        <f aca="false">IF('THÁNG 7'!$C15="","",N('THÁNG 7'!$R15))</f>
        <v>0</v>
      </c>
      <c r="P158" s="0" t="str">
        <f aca="false">IF(OR('THÁNG 7'!$C15="",'THÁNG 7'!$T15=""),"",'THÁNG 7'!$T15)</f>
        <v/>
      </c>
      <c r="Q158" s="0" t="str">
        <f aca="false">IF(OR('THÁNG 7'!$C15="",'THÁNG 7'!$U15=""),"",'THÁNG 7'!$U15)</f>
        <v/>
      </c>
      <c r="R158" s="0" t="str">
        <f aca="false">IF('THÁNG 7'!$C15="","",'THÁNG 7'!$W15&amp;"")</f>
        <v>gộp tiền ship vào gấu | chuyển từ Tháng 7 dòng 15</v>
      </c>
      <c r="S158" s="0" t="str">
        <f aca="false">IF('THÁNG 7'!$C15="","",'THÁNG 7'!$S15&amp;"")</f>
        <v>Đã thanh toán</v>
      </c>
      <c r="T158" s="0" t="str">
        <f aca="false">IF(N($O158)&gt;0,COUNTIF($O$3:$O158,"&gt;0"),"")</f>
        <v/>
      </c>
      <c r="U158" s="30" t="n">
        <f aca="false">IF(AND(N($J158)&gt;0,N($K158)&gt;0),COUNTIFS($J$3:$J158,"&gt;0",$K$3:$K158,"&gt;0"),"")</f>
        <v>3</v>
      </c>
      <c r="V158" s="0" t="str">
        <f aca="false">IF(AND(N($J158)&gt;0,N($K158)=0),COUNTIFS($J$3:$J158,"&gt;0",$K$3:$K158,"&lt;=0"),"")</f>
        <v/>
      </c>
      <c r="W158" s="30" t="n">
        <f aca="false">IF($C158="","",IF(COUNTIF($C$3:$C158,$C158)&gt;1,"",MAX($W$2:W157)+1))</f>
        <v>9</v>
      </c>
      <c r="X158" s="30" t="n">
        <f aca="false">IF($H158="","",IF(COUNTIF($H$3:$H158,$H158)&gt;1,"",MAX($X$2:X157)+1))</f>
        <v>8</v>
      </c>
      <c r="Y158" s="30" t="n">
        <f aca="false">IF(AND(N($M158)&gt;0,N($O158)&lt;=0),COUNTIFS($M$3:$M158,"&gt;0",$O$3:$O158,"&lt;=0"),"")</f>
        <v>8</v>
      </c>
      <c r="Z158" s="29" t="n">
        <f aca="false">IF(OR('THÁNG 7'!$C15="",'THÁNG 7'!$B15=""),0,'THÁNG 7'!$B15)</f>
        <v>46209</v>
      </c>
    </row>
    <row r="159" customFormat="false" ht="15" hidden="false" customHeight="false" outlineLevel="0" collapsed="false">
      <c r="A159" s="0" t="n">
        <v>7</v>
      </c>
      <c r="B159" s="29" t="n">
        <f aca="false">IF(OR('THÁNG 7'!$C16="",'THÁNG 7'!$B16=""),"",'THÁNG 7'!$B16)</f>
        <v>46210</v>
      </c>
      <c r="C159" s="0" t="str">
        <f aca="false">IF('THÁNG 7'!$C16="","",'THÁNG 7'!$C16)</f>
        <v>C Lan Anh</v>
      </c>
      <c r="D159" s="0" t="str">
        <f aca="false">IF('THÁNG 7'!$C16="","",'THÁNG 7'!$D16&amp;"")</f>
        <v>0989472201</v>
      </c>
      <c r="E159" s="0" t="str">
        <f aca="false">IF('THÁNG 7'!$C16="","",'THÁNG 7'!$E16&amp;"")</f>
        <v/>
      </c>
      <c r="F159" s="0" t="str">
        <f aca="false">IF('THÁNG 7'!$C16="","",'THÁNG 7'!$F16&amp;"")</f>
        <v/>
      </c>
      <c r="G159" s="0" t="str">
        <f aca="false">IF('THÁNG 7'!$C16="","",'THÁNG 7'!$G16&amp;"")</f>
        <v>thôn Bình Phú, xã Việt Yên, tỉnh Hưng Yên.</v>
      </c>
      <c r="H159" s="0" t="str">
        <f aca="false">IF('THÁNG 7'!$C16="","",'THÁNG 7'!$H16&amp;"")</f>
        <v>gấu ngồi lông mịn</v>
      </c>
      <c r="I159" s="30" t="n">
        <f aca="false">IF('THÁNG 7'!$C16="","",N('THÁNG 7'!$I16))</f>
        <v>20</v>
      </c>
      <c r="J159" s="30" t="n">
        <f aca="false">IF('THÁNG 7'!$C16="","",N('THÁNG 7'!$L16))</f>
        <v>1160000</v>
      </c>
      <c r="K159" s="30" t="n">
        <f aca="false">IF('THÁNG 7'!$C16="","",N('THÁNG 7'!$N16))</f>
        <v>0</v>
      </c>
      <c r="L159" s="30" t="n">
        <f aca="false">IF('THÁNG 7'!$C16="","",N('THÁNG 7'!$O16))</f>
        <v>0</v>
      </c>
      <c r="M159" s="30" t="n">
        <f aca="false">IF('THÁNG 7'!$C16="","",N('THÁNG 7'!$P16))</f>
        <v>1160000</v>
      </c>
      <c r="N159" s="30" t="n">
        <f aca="false">IF('THÁNG 7'!$C16="","",N('THÁNG 7'!$Q16))</f>
        <v>1160000</v>
      </c>
      <c r="O159" s="30" t="n">
        <f aca="false">IF('THÁNG 7'!$C16="","",N('THÁNG 7'!$R16))</f>
        <v>0</v>
      </c>
      <c r="P159" s="0" t="str">
        <f aca="false">IF(OR('THÁNG 7'!$C16="",'THÁNG 7'!$T16=""),"",'THÁNG 7'!$T16)</f>
        <v/>
      </c>
      <c r="Q159" s="0" t="str">
        <f aca="false">IF(OR('THÁNG 7'!$C16="",'THÁNG 7'!$U16=""),"",'THÁNG 7'!$U16)</f>
        <v/>
      </c>
      <c r="R159" s="0" t="str">
        <f aca="false">IF('THÁNG 7'!$C16="","",'THÁNG 7'!$W16&amp;"")</f>
        <v>chuyển từ Tháng 7 dòng 16</v>
      </c>
      <c r="S159" s="0" t="str">
        <f aca="false">IF('THÁNG 7'!$C16="","",'THÁNG 7'!$S16&amp;"")</f>
        <v>Đã thanh toán</v>
      </c>
      <c r="T159" s="0" t="str">
        <f aca="false">IF(N($O159)&gt;0,COUNTIF($O$3:$O159,"&gt;0"),"")</f>
        <v/>
      </c>
      <c r="U159" s="0" t="str">
        <f aca="false">IF(AND(N($J159)&gt;0,N($K159)&gt;0),COUNTIFS($J$3:$J159,"&gt;0",$K$3:$K159,"&gt;0"),"")</f>
        <v/>
      </c>
      <c r="V159" s="30" t="n">
        <f aca="false">IF(AND(N($J159)&gt;0,N($K159)=0),COUNTIFS($J$3:$J159,"&gt;0",$K$3:$K159,"&lt;=0"),"")</f>
        <v>7</v>
      </c>
      <c r="W159" s="30" t="n">
        <f aca="false">IF($C159="","",IF(COUNTIF($C$3:$C159,$C159)&gt;1,"",MAX($W$2:W158)+1))</f>
        <v>10</v>
      </c>
      <c r="X159" s="30" t="n">
        <f aca="false">IF($H159="","",IF(COUNTIF($H$3:$H159,$H159)&gt;1,"",MAX($X$2:X158)+1))</f>
        <v>9</v>
      </c>
      <c r="Y159" s="30" t="n">
        <f aca="false">IF(AND(N($M159)&gt;0,N($O159)&lt;=0),COUNTIFS($M$3:$M159,"&gt;0",$O$3:$O159,"&lt;=0"),"")</f>
        <v>9</v>
      </c>
      <c r="Z159" s="29" t="n">
        <f aca="false">IF(OR('THÁNG 7'!$C16="",'THÁNG 7'!$B16=""),0,'THÁNG 7'!$B16)</f>
        <v>46210</v>
      </c>
    </row>
    <row r="160" customFormat="false" ht="15" hidden="false" customHeight="false" outlineLevel="0" collapsed="false">
      <c r="A160" s="0" t="n">
        <v>7</v>
      </c>
      <c r="B160" s="29" t="n">
        <f aca="false">IF(OR('THÁNG 7'!$C17="",'THÁNG 7'!$B17=""),"",'THÁNG 7'!$B17)</f>
        <v>46210</v>
      </c>
      <c r="C160" s="0" t="str">
        <f aca="false">IF('THÁNG 7'!$C17="","",'THÁNG 7'!$C17)</f>
        <v>BGB - SPA ĐẸP TPHCM</v>
      </c>
      <c r="D160" s="0" t="str">
        <f aca="false">IF('THÁNG 7'!$C17="","",'THÁNG 7'!$D17&amp;"")</f>
        <v>0399871317</v>
      </c>
      <c r="E160" s="0" t="str">
        <f aca="false">IF('THÁNG 7'!$C17="","",'THÁNG 7'!$E17&amp;"")</f>
        <v/>
      </c>
      <c r="F160" s="0" t="str">
        <f aca="false">IF('THÁNG 7'!$C17="","",'THÁNG 7'!$F17&amp;"")</f>
        <v/>
      </c>
      <c r="G160" s="0" t="str">
        <f aca="false">IF('THÁNG 7'!$C17="","",'THÁNG 7'!$G17&amp;"")</f>
        <v>134 Liêu Bình Dương, Thị trấn Củ Chi, TPHCM</v>
      </c>
      <c r="H160" s="0" t="str">
        <f aca="false">IF('THÁNG 7'!$C17="","",'THÁNG 7'!$H17&amp;"")</f>
        <v>gấu trắng, gấu nâu</v>
      </c>
      <c r="I160" s="30" t="n">
        <f aca="false">IF('THÁNG 7'!$C17="","",N('THÁNG 7'!$I17))</f>
        <v>100</v>
      </c>
      <c r="J160" s="30" t="n">
        <f aca="false">IF('THÁNG 7'!$C17="","",N('THÁNG 7'!$L17))</f>
        <v>4500000</v>
      </c>
      <c r="K160" s="30" t="n">
        <f aca="false">IF('THÁNG 7'!$C17="","",N('THÁNG 7'!$N17))</f>
        <v>0</v>
      </c>
      <c r="L160" s="30" t="n">
        <f aca="false">IF('THÁNG 7'!$C17="","",N('THÁNG 7'!$O17))</f>
        <v>0</v>
      </c>
      <c r="M160" s="30" t="n">
        <f aca="false">IF('THÁNG 7'!$C17="","",N('THÁNG 7'!$P17))</f>
        <v>4500000</v>
      </c>
      <c r="N160" s="30" t="n">
        <f aca="false">IF('THÁNG 7'!$C17="","",N('THÁNG 7'!$Q17))</f>
        <v>4500000</v>
      </c>
      <c r="O160" s="30" t="n">
        <f aca="false">IF('THÁNG 7'!$C17="","",N('THÁNG 7'!$R17))</f>
        <v>0</v>
      </c>
      <c r="P160" s="0" t="str">
        <f aca="false">IF(OR('THÁNG 7'!$C17="",'THÁNG 7'!$T17=""),"",'THÁNG 7'!$T17)</f>
        <v/>
      </c>
      <c r="Q160" s="0" t="str">
        <f aca="false">IF(OR('THÁNG 7'!$C17="",'THÁNG 7'!$U17=""),"",'THÁNG 7'!$U17)</f>
        <v/>
      </c>
      <c r="R160" s="0" t="str">
        <f aca="false">IF('THÁNG 7'!$C17="","",'THÁNG 7'!$W17&amp;"")</f>
        <v>chuyển từ Tháng 7 dòng 17</v>
      </c>
      <c r="S160" s="0" t="str">
        <f aca="false">IF('THÁNG 7'!$C17="","",'THÁNG 7'!$S17&amp;"")</f>
        <v>Đã thanh toán</v>
      </c>
      <c r="T160" s="0" t="str">
        <f aca="false">IF(N($O160)&gt;0,COUNTIF($O$3:$O160,"&gt;0"),"")</f>
        <v/>
      </c>
      <c r="U160" s="0" t="str">
        <f aca="false">IF(AND(N($J160)&gt;0,N($K160)&gt;0),COUNTIFS($J$3:$J160,"&gt;0",$K$3:$K160,"&gt;0"),"")</f>
        <v/>
      </c>
      <c r="V160" s="30" t="n">
        <f aca="false">IF(AND(N($J160)&gt;0,N($K160)=0),COUNTIFS($J$3:$J160,"&gt;0",$K$3:$K160,"&lt;=0"),"")</f>
        <v>8</v>
      </c>
      <c r="W160" s="30" t="n">
        <f aca="false">IF($C160="","",IF(COUNTIF($C$3:$C160,$C160)&gt;1,"",MAX($W$2:W159)+1))</f>
        <v>11</v>
      </c>
      <c r="X160" s="30" t="n">
        <f aca="false">IF($H160="","",IF(COUNTIF($H$3:$H160,$H160)&gt;1,"",MAX($X$2:X159)+1))</f>
        <v>10</v>
      </c>
      <c r="Y160" s="30" t="n">
        <f aca="false">IF(AND(N($M160)&gt;0,N($O160)&lt;=0),COUNTIFS($M$3:$M160,"&gt;0",$O$3:$O160,"&lt;=0"),"")</f>
        <v>10</v>
      </c>
      <c r="Z160" s="29" t="n">
        <f aca="false">IF(OR('THÁNG 7'!$C17="",'THÁNG 7'!$B17=""),0,'THÁNG 7'!$B17)</f>
        <v>46210</v>
      </c>
    </row>
    <row r="161" customFormat="false" ht="15" hidden="false" customHeight="false" outlineLevel="0" collapsed="false">
      <c r="A161" s="0" t="n">
        <v>7</v>
      </c>
      <c r="B161" s="29" t="n">
        <f aca="false">IF(OR('THÁNG 7'!$C18="",'THÁNG 7'!$B18=""),"",'THÁNG 7'!$B18)</f>
        <v>46211</v>
      </c>
      <c r="C161" s="0" t="str">
        <f aca="false">IF('THÁNG 7'!$C18="","",'THÁNG 7'!$C18)</f>
        <v>NHA KHOA VÂN ANH</v>
      </c>
      <c r="D161" s="0" t="str">
        <f aca="false">IF('THÁNG 7'!$C18="","",'THÁNG 7'!$D18&amp;"")</f>
        <v>0943599705</v>
      </c>
      <c r="E161" s="0" t="str">
        <f aca="false">IF('THÁNG 7'!$C18="","",'THÁNG 7'!$E18&amp;"")</f>
        <v>CÔNG TY CỔ PHẦN TPA DENTAL</v>
      </c>
      <c r="F161" s="0" t="str">
        <f aca="false">IF('THÁNG 7'!$C18="","",'THÁNG 7'!$F18&amp;"")</f>
        <v>0901232239</v>
      </c>
      <c r="G161" s="0" t="str">
        <f aca="false">IF('THÁNG 7'!$C18="","",'THÁNG 7'!$G18&amp;"")</f>
        <v>nha khoa Vân Anh, 301 Minh Khai, Từ Sơn, Bắc Ninh</v>
      </c>
      <c r="H161" s="0" t="str">
        <f aca="false">IF('THÁNG 7'!$C18="","",'THÁNG 7'!$H18&amp;"")</f>
        <v>gấu nâu ngồi</v>
      </c>
      <c r="I161" s="30" t="n">
        <f aca="false">IF('THÁNG 7'!$C18="","",N('THÁNG 7'!$I18))</f>
        <v>50</v>
      </c>
      <c r="J161" s="30" t="n">
        <f aca="false">IF('THÁNG 7'!$C18="","",N('THÁNG 7'!$L18))</f>
        <v>2500000</v>
      </c>
      <c r="K161" s="30" t="n">
        <f aca="false">IF('THÁNG 7'!$C18="","",N('THÁNG 7'!$N18))</f>
        <v>0.08</v>
      </c>
      <c r="L161" s="30" t="n">
        <f aca="false">IF('THÁNG 7'!$C18="","",N('THÁNG 7'!$O18))</f>
        <v>200000</v>
      </c>
      <c r="M161" s="30" t="n">
        <f aca="false">IF('THÁNG 7'!$C18="","",N('THÁNG 7'!$P18))</f>
        <v>2700000</v>
      </c>
      <c r="N161" s="30" t="n">
        <f aca="false">IF('THÁNG 7'!$C18="","",N('THÁNG 7'!$Q18))</f>
        <v>2500000</v>
      </c>
      <c r="O161" s="30" t="n">
        <f aca="false">IF('THÁNG 7'!$C18="","",N('THÁNG 7'!$R18))</f>
        <v>200000</v>
      </c>
      <c r="P161" s="0" t="str">
        <f aca="false">IF(OR('THÁNG 7'!$C18="",'THÁNG 7'!$T18=""),"",'THÁNG 7'!$T18)</f>
        <v/>
      </c>
      <c r="Q161" s="0" t="str">
        <f aca="false">IF(OR('THÁNG 7'!$C18="",'THÁNG 7'!$U18=""),"",'THÁNG 7'!$U18)</f>
        <v/>
      </c>
      <c r="R161" s="0" t="str">
        <f aca="false">IF('THÁNG 7'!$C18="","",'THÁNG 7'!$W18&amp;"")</f>
        <v>lỗi logo trả lại cho khách 200k | chuyển từ Tháng 7 dòng 41</v>
      </c>
      <c r="S161" s="0" t="str">
        <f aca="false">IF('THÁNG 7'!$C18="","",'THÁNG 7'!$S18&amp;"")</f>
        <v>Thanh toán một phần</v>
      </c>
      <c r="T161" s="30" t="n">
        <f aca="false">IF(N($O161)&gt;0,COUNTIF($O$3:$O161,"&gt;0"),"")</f>
        <v>2</v>
      </c>
      <c r="U161" s="30" t="n">
        <f aca="false">IF(AND(N($J161)&gt;0,N($K161)&gt;0),COUNTIFS($J$3:$J161,"&gt;0",$K$3:$K161,"&gt;0"),"")</f>
        <v>4</v>
      </c>
      <c r="V161" s="0" t="str">
        <f aca="false">IF(AND(N($J161)&gt;0,N($K161)=0),COUNTIFS($J$3:$J161,"&gt;0",$K$3:$K161,"&lt;=0"),"")</f>
        <v/>
      </c>
      <c r="W161" s="30" t="n">
        <f aca="false">IF($C161="","",IF(COUNTIF($C$3:$C161,$C161)&gt;1,"",MAX($W$2:W160)+1))</f>
        <v>12</v>
      </c>
      <c r="X161" s="30" t="n">
        <f aca="false">IF($H161="","",IF(COUNTIF($H$3:$H161,$H161)&gt;1,"",MAX($X$2:X160)+1))</f>
        <v>11</v>
      </c>
      <c r="Y161" s="0" t="str">
        <f aca="false">IF(AND(N($M161)&gt;0,N($O161)&lt;=0),COUNTIFS($M$3:$M161,"&gt;0",$O$3:$O161,"&lt;=0"),"")</f>
        <v/>
      </c>
      <c r="Z161" s="29" t="n">
        <f aca="false">IF(OR('THÁNG 7'!$C18="",'THÁNG 7'!$B18=""),0,'THÁNG 7'!$B18)</f>
        <v>46211</v>
      </c>
    </row>
    <row r="162" customFormat="false" ht="15" hidden="false" customHeight="false" outlineLevel="0" collapsed="false">
      <c r="A162" s="0" t="n">
        <v>7</v>
      </c>
      <c r="B162" s="29" t="n">
        <f aca="false">IF(OR('THÁNG 7'!$C19="",'THÁNG 7'!$B19=""),"",'THÁNG 7'!$B19)</f>
        <v>46211</v>
      </c>
      <c r="C162" s="0" t="str">
        <f aca="false">IF('THÁNG 7'!$C19="","",'THÁNG 7'!$C19)</f>
        <v>SPA TUYẾT LISA</v>
      </c>
      <c r="D162" s="0" t="str">
        <f aca="false">IF('THÁNG 7'!$C19="","",'THÁNG 7'!$D19&amp;"")</f>
        <v>0975299444</v>
      </c>
      <c r="E162" s="0" t="str">
        <f aca="false">IF('THÁNG 7'!$C19="","",'THÁNG 7'!$E19&amp;"")</f>
        <v/>
      </c>
      <c r="F162" s="0" t="str">
        <f aca="false">IF('THÁNG 7'!$C19="","",'THÁNG 7'!$F19&amp;"")</f>
        <v/>
      </c>
      <c r="G162" s="0" t="str">
        <f aca="false">IF('THÁNG 7'!$C19="","",'THÁNG 7'!$G19&amp;"")</f>
        <v>53 nguyễn văn bổng phường Khuê Trung đà nẵng</v>
      </c>
      <c r="H162" s="0" t="str">
        <f aca="false">IF('THÁNG 7'!$C19="","",'THÁNG 7'!$H19&amp;"")</f>
        <v>gấu nâu 25cm</v>
      </c>
      <c r="I162" s="30" t="n">
        <f aca="false">IF('THÁNG 7'!$C19="","",N('THÁNG 7'!$I19))</f>
        <v>50</v>
      </c>
      <c r="J162" s="30" t="n">
        <f aca="false">IF('THÁNG 7'!$C19="","",N('THÁNG 7'!$L19))</f>
        <v>2500000</v>
      </c>
      <c r="K162" s="30" t="n">
        <f aca="false">IF('THÁNG 7'!$C19="","",N('THÁNG 7'!$N19))</f>
        <v>0</v>
      </c>
      <c r="L162" s="30" t="n">
        <f aca="false">IF('THÁNG 7'!$C19="","",N('THÁNG 7'!$O19))</f>
        <v>0</v>
      </c>
      <c r="M162" s="30" t="n">
        <f aca="false">IF('THÁNG 7'!$C19="","",N('THÁNG 7'!$P19))</f>
        <v>2500000</v>
      </c>
      <c r="N162" s="30" t="n">
        <f aca="false">IF('THÁNG 7'!$C19="","",N('THÁNG 7'!$Q19))</f>
        <v>2500000</v>
      </c>
      <c r="O162" s="30" t="n">
        <f aca="false">IF('THÁNG 7'!$C19="","",N('THÁNG 7'!$R19))</f>
        <v>0</v>
      </c>
      <c r="P162" s="0" t="str">
        <f aca="false">IF(OR('THÁNG 7'!$C19="",'THÁNG 7'!$T19=""),"",'THÁNG 7'!$T19)</f>
        <v/>
      </c>
      <c r="Q162" s="0" t="str">
        <f aca="false">IF(OR('THÁNG 7'!$C19="",'THÁNG 7'!$U19=""),"",'THÁNG 7'!$U19)</f>
        <v/>
      </c>
      <c r="R162" s="0" t="str">
        <f aca="false">IF('THÁNG 7'!$C19="","",'THÁNG 7'!$W19&amp;"")</f>
        <v>chuyển từ Tháng 7 dòng 42</v>
      </c>
      <c r="S162" s="0" t="str">
        <f aca="false">IF('THÁNG 7'!$C19="","",'THÁNG 7'!$S19&amp;"")</f>
        <v>Đã thanh toán</v>
      </c>
      <c r="T162" s="0" t="str">
        <f aca="false">IF(N($O162)&gt;0,COUNTIF($O$3:$O162,"&gt;0"),"")</f>
        <v/>
      </c>
      <c r="U162" s="0" t="str">
        <f aca="false">IF(AND(N($J162)&gt;0,N($K162)&gt;0),COUNTIFS($J$3:$J162,"&gt;0",$K$3:$K162,"&gt;0"),"")</f>
        <v/>
      </c>
      <c r="V162" s="30" t="n">
        <f aca="false">IF(AND(N($J162)&gt;0,N($K162)=0),COUNTIFS($J$3:$J162,"&gt;0",$K$3:$K162,"&lt;=0"),"")</f>
        <v>9</v>
      </c>
      <c r="W162" s="30" t="n">
        <f aca="false">IF($C162="","",IF(COUNTIF($C$3:$C162,$C162)&gt;1,"",MAX($W$2:W161)+1))</f>
        <v>13</v>
      </c>
      <c r="X162" s="0" t="str">
        <f aca="false">IF($H162="","",IF(COUNTIF($H$3:$H162,$H162)&gt;1,"",MAX($X$2:X161)+1))</f>
        <v/>
      </c>
      <c r="Y162" s="30" t="n">
        <f aca="false">IF(AND(N($M162)&gt;0,N($O162)&lt;=0),COUNTIFS($M$3:$M162,"&gt;0",$O$3:$O162,"&lt;=0"),"")</f>
        <v>11</v>
      </c>
      <c r="Z162" s="29" t="n">
        <f aca="false">IF(OR('THÁNG 7'!$C19="",'THÁNG 7'!$B19=""),0,'THÁNG 7'!$B19)</f>
        <v>46211</v>
      </c>
    </row>
    <row r="163" customFormat="false" ht="15" hidden="false" customHeight="false" outlineLevel="0" collapsed="false">
      <c r="A163" s="0" t="n">
        <v>7</v>
      </c>
      <c r="B163" s="29" t="n">
        <f aca="false">IF(OR('THÁNG 7'!$C20="",'THÁNG 7'!$B20=""),"",'THÁNG 7'!$B20)</f>
        <v>46211</v>
      </c>
      <c r="C163" s="0" t="str">
        <f aca="false">IF('THÁNG 7'!$C20="","",'THÁNG 7'!$C20)</f>
        <v>LÀM ĐẸP THỦY MỘC</v>
      </c>
      <c r="D163" s="0" t="str">
        <f aca="false">IF('THÁNG 7'!$C20="","",'THÁNG 7'!$D20&amp;"")</f>
        <v>0909377298</v>
      </c>
      <c r="E163" s="0" t="str">
        <f aca="false">IF('THÁNG 7'!$C20="","",'THÁNG 7'!$E20&amp;"")</f>
        <v/>
      </c>
      <c r="F163" s="0" t="str">
        <f aca="false">IF('THÁNG 7'!$C20="","",'THÁNG 7'!$F20&amp;"")</f>
        <v/>
      </c>
      <c r="G163" s="0" t="str">
        <f aca="false">IF('THÁNG 7'!$C20="","",'THÁNG 7'!$G20&amp;"")</f>
        <v>F12/21 Quách Điêu - tổ 25 - Vĩnh Lộc - tpHCM</v>
      </c>
      <c r="H163" s="0" t="str">
        <f aca="false">IF('THÁNG 7'!$C20="","",'THÁNG 7'!$H20&amp;"")</f>
        <v>gấu trắng</v>
      </c>
      <c r="I163" s="30" t="n">
        <f aca="false">IF('THÁNG 7'!$C20="","",N('THÁNG 7'!$I20))</f>
        <v>60</v>
      </c>
      <c r="J163" s="30" t="n">
        <f aca="false">IF('THÁNG 7'!$C20="","",N('THÁNG 7'!$L20))</f>
        <v>2880000</v>
      </c>
      <c r="K163" s="30" t="n">
        <f aca="false">IF('THÁNG 7'!$C20="","",N('THÁNG 7'!$N20))</f>
        <v>0</v>
      </c>
      <c r="L163" s="30" t="n">
        <f aca="false">IF('THÁNG 7'!$C20="","",N('THÁNG 7'!$O20))</f>
        <v>0</v>
      </c>
      <c r="M163" s="30" t="n">
        <f aca="false">IF('THÁNG 7'!$C20="","",N('THÁNG 7'!$P20))</f>
        <v>2880000</v>
      </c>
      <c r="N163" s="30" t="n">
        <f aca="false">IF('THÁNG 7'!$C20="","",N('THÁNG 7'!$Q20))</f>
        <v>2880000</v>
      </c>
      <c r="O163" s="30" t="n">
        <f aca="false">IF('THÁNG 7'!$C20="","",N('THÁNG 7'!$R20))</f>
        <v>0</v>
      </c>
      <c r="P163" s="0" t="str">
        <f aca="false">IF(OR('THÁNG 7'!$C20="",'THÁNG 7'!$T20=""),"",'THÁNG 7'!$T20)</f>
        <v/>
      </c>
      <c r="Q163" s="0" t="str">
        <f aca="false">IF(OR('THÁNG 7'!$C20="",'THÁNG 7'!$U20=""),"",'THÁNG 7'!$U20)</f>
        <v/>
      </c>
      <c r="R163" s="0" t="str">
        <f aca="false">IF('THÁNG 7'!$C20="","",'THÁNG 7'!$W20&amp;"")</f>
        <v>chuyển từ Tháng 7 dòng 43</v>
      </c>
      <c r="S163" s="0" t="str">
        <f aca="false">IF('THÁNG 7'!$C20="","",'THÁNG 7'!$S20&amp;"")</f>
        <v>Đã thanh toán</v>
      </c>
      <c r="T163" s="0" t="str">
        <f aca="false">IF(N($O163)&gt;0,COUNTIF($O$3:$O163,"&gt;0"),"")</f>
        <v/>
      </c>
      <c r="U163" s="0" t="str">
        <f aca="false">IF(AND(N($J163)&gt;0,N($K163)&gt;0),COUNTIFS($J$3:$J163,"&gt;0",$K$3:$K163,"&gt;0"),"")</f>
        <v/>
      </c>
      <c r="V163" s="30" t="n">
        <f aca="false">IF(AND(N($J163)&gt;0,N($K163)=0),COUNTIFS($J$3:$J163,"&gt;0",$K$3:$K163,"&lt;=0"),"")</f>
        <v>10</v>
      </c>
      <c r="W163" s="30" t="n">
        <f aca="false">IF($C163="","",IF(COUNTIF($C$3:$C163,$C163)&gt;1,"",MAX($W$2:W162)+1))</f>
        <v>14</v>
      </c>
      <c r="X163" s="0" t="str">
        <f aca="false">IF($H163="","",IF(COUNTIF($H$3:$H163,$H163)&gt;1,"",MAX($X$2:X162)+1))</f>
        <v/>
      </c>
      <c r="Y163" s="30" t="n">
        <f aca="false">IF(AND(N($M163)&gt;0,N($O163)&lt;=0),COUNTIFS($M$3:$M163,"&gt;0",$O$3:$O163,"&lt;=0"),"")</f>
        <v>12</v>
      </c>
      <c r="Z163" s="29" t="n">
        <f aca="false">IF(OR('THÁNG 7'!$C20="",'THÁNG 7'!$B20=""),0,'THÁNG 7'!$B20)</f>
        <v>46211</v>
      </c>
    </row>
    <row r="164" customFormat="false" ht="15" hidden="false" customHeight="false" outlineLevel="0" collapsed="false">
      <c r="A164" s="0" t="n">
        <v>7</v>
      </c>
      <c r="B164" s="29" t="n">
        <f aca="false">IF(OR('THÁNG 7'!$C21="",'THÁNG 7'!$B21=""),"",'THÁNG 7'!$B21)</f>
        <v>46212</v>
      </c>
      <c r="C164" s="0" t="str">
        <f aca="false">IF('THÁNG 7'!$C21="","",'THÁNG 7'!$C21)</f>
        <v>HAU - ĐHKTHN</v>
      </c>
      <c r="D164" s="0" t="str">
        <f aca="false">IF('THÁNG 7'!$C21="","",'THÁNG 7'!$D21&amp;"")</f>
        <v/>
      </c>
      <c r="E164" s="0" t="str">
        <f aca="false">IF('THÁNG 7'!$C21="","",'THÁNG 7'!$E21&amp;"")</f>
        <v/>
      </c>
      <c r="F164" s="0" t="str">
        <f aca="false">IF('THÁNG 7'!$C21="","",'THÁNG 7'!$F21&amp;"")</f>
        <v/>
      </c>
      <c r="G164" s="0" t="str">
        <f aca="false">IF('THÁNG 7'!$C21="","",'THÁNG 7'!$G21&amp;"")</f>
        <v>ĐHKTHN</v>
      </c>
      <c r="H164" s="0" t="str">
        <f aca="false">IF('THÁNG 7'!$C21="","",'THÁNG 7'!$H21&amp;"")</f>
        <v>gấu nâu</v>
      </c>
      <c r="I164" s="30" t="n">
        <f aca="false">IF('THÁNG 7'!$C21="","",N('THÁNG 7'!$I21))</f>
        <v>312</v>
      </c>
      <c r="J164" s="30" t="n">
        <f aca="false">IF('THÁNG 7'!$C21="","",N('THÁNG 7'!$L21))</f>
        <v>15600000</v>
      </c>
      <c r="K164" s="30" t="n">
        <f aca="false">IF('THÁNG 7'!$C21="","",N('THÁNG 7'!$N21))</f>
        <v>0</v>
      </c>
      <c r="L164" s="30" t="n">
        <f aca="false">IF('THÁNG 7'!$C21="","",N('THÁNG 7'!$O21))</f>
        <v>0</v>
      </c>
      <c r="M164" s="30" t="n">
        <f aca="false">IF('THÁNG 7'!$C21="","",N('THÁNG 7'!$P21))</f>
        <v>15600000</v>
      </c>
      <c r="N164" s="30" t="n">
        <f aca="false">IF('THÁNG 7'!$C21="","",N('THÁNG 7'!$Q21))</f>
        <v>15600000</v>
      </c>
      <c r="O164" s="30" t="n">
        <f aca="false">IF('THÁNG 7'!$C21="","",N('THÁNG 7'!$R21))</f>
        <v>0</v>
      </c>
      <c r="P164" s="0" t="str">
        <f aca="false">IF(OR('THÁNG 7'!$C21="",'THÁNG 7'!$T21=""),"",'THÁNG 7'!$T21)</f>
        <v/>
      </c>
      <c r="Q164" s="0" t="str">
        <f aca="false">IF(OR('THÁNG 7'!$C21="",'THÁNG 7'!$U21=""),"",'THÁNG 7'!$U21)</f>
        <v/>
      </c>
      <c r="R164" s="0" t="str">
        <f aca="false">IF('THÁNG 7'!$C21="","",'THÁNG 7'!$W21&amp;"")</f>
        <v>chuyển từ Tháng 7 dòng 44</v>
      </c>
      <c r="S164" s="0" t="str">
        <f aca="false">IF('THÁNG 7'!$C21="","",'THÁNG 7'!$S21&amp;"")</f>
        <v>Đã thanh toán</v>
      </c>
      <c r="T164" s="0" t="str">
        <f aca="false">IF(N($O164)&gt;0,COUNTIF($O$3:$O164,"&gt;0"),"")</f>
        <v/>
      </c>
      <c r="U164" s="0" t="str">
        <f aca="false">IF(AND(N($J164)&gt;0,N($K164)&gt;0),COUNTIFS($J$3:$J164,"&gt;0",$K$3:$K164,"&gt;0"),"")</f>
        <v/>
      </c>
      <c r="V164" s="30" t="n">
        <f aca="false">IF(AND(N($J164)&gt;0,N($K164)=0),COUNTIFS($J$3:$J164,"&gt;0",$K$3:$K164,"&lt;=0"),"")</f>
        <v>11</v>
      </c>
      <c r="W164" s="30" t="n">
        <f aca="false">IF($C164="","",IF(COUNTIF($C$3:$C164,$C164)&gt;1,"",MAX($W$2:W163)+1))</f>
        <v>15</v>
      </c>
      <c r="X164" s="30" t="n">
        <f aca="false">IF($H164="","",IF(COUNTIF($H$3:$H164,$H164)&gt;1,"",MAX($X$2:X163)+1))</f>
        <v>12</v>
      </c>
      <c r="Y164" s="30" t="n">
        <f aca="false">IF(AND(N($M164)&gt;0,N($O164)&lt;=0),COUNTIFS($M$3:$M164,"&gt;0",$O$3:$O164,"&lt;=0"),"")</f>
        <v>13</v>
      </c>
      <c r="Z164" s="29" t="n">
        <f aca="false">IF(OR('THÁNG 7'!$C21="",'THÁNG 7'!$B21=""),0,'THÁNG 7'!$B21)</f>
        <v>46212</v>
      </c>
    </row>
    <row r="165" customFormat="false" ht="15" hidden="false" customHeight="false" outlineLevel="0" collapsed="false">
      <c r="A165" s="0" t="n">
        <v>7</v>
      </c>
      <c r="B165" s="29" t="n">
        <f aca="false">IF(OR('THÁNG 7'!$C22="",'THÁNG 7'!$B22=""),"",'THÁNG 7'!$B22)</f>
        <v>46214</v>
      </c>
      <c r="C165" s="0" t="str">
        <f aca="false">IF('THÁNG 7'!$C22="","",'THÁNG 7'!$C22)</f>
        <v>THCS - THPT HÀ THÀNH</v>
      </c>
      <c r="D165" s="0" t="str">
        <f aca="false">IF('THÁNG 7'!$C22="","",'THÁNG 7'!$D22&amp;"")</f>
        <v>0916283845</v>
      </c>
      <c r="E165" s="0" t="str">
        <f aca="false">IF('THÁNG 7'!$C22="","",'THÁNG 7'!$E22&amp;"")</f>
        <v>Trường THCS - THPT Hà Thành</v>
      </c>
      <c r="F165" s="0" t="str">
        <f aca="false">IF('THÁNG 7'!$C22="","",'THÁNG 7'!$F22&amp;"")</f>
        <v>0104102366</v>
      </c>
      <c r="G165" s="0" t="str">
        <f aca="false">IF('THÁNG 7'!$C22="","",'THÁNG 7'!$G22&amp;"")</f>
        <v>36A Phạm Văn Đồng, Phường Nghĩa Đô, Hà Nội</v>
      </c>
      <c r="H165" s="0" t="str">
        <f aca="false">IF('THÁNG 7'!$C22="","",'THÁNG 7'!$H22&amp;"")</f>
        <v>gấu nâu ngồi</v>
      </c>
      <c r="I165" s="30" t="n">
        <f aca="false">IF('THÁNG 7'!$C22="","",N('THÁNG 7'!$I22))</f>
        <v>400</v>
      </c>
      <c r="J165" s="30" t="n">
        <f aca="false">IF('THÁNG 7'!$C22="","",N('THÁNG 7'!$L22))</f>
        <v>18000000</v>
      </c>
      <c r="K165" s="30" t="n">
        <f aca="false">IF('THÁNG 7'!$C22="","",N('THÁNG 7'!$N22))</f>
        <v>0.08</v>
      </c>
      <c r="L165" s="30" t="n">
        <f aca="false">IF('THÁNG 7'!$C22="","",N('THÁNG 7'!$O22))</f>
        <v>1440000</v>
      </c>
      <c r="M165" s="30" t="n">
        <f aca="false">IF('THÁNG 7'!$C22="","",N('THÁNG 7'!$P22))</f>
        <v>19440000</v>
      </c>
      <c r="N165" s="30" t="n">
        <f aca="false">IF('THÁNG 7'!$C22="","",N('THÁNG 7'!$Q22))</f>
        <v>19440000</v>
      </c>
      <c r="O165" s="30" t="n">
        <f aca="false">IF('THÁNG 7'!$C22="","",N('THÁNG 7'!$R22))</f>
        <v>0</v>
      </c>
      <c r="P165" s="0" t="str">
        <f aca="false">IF(OR('THÁNG 7'!$C22="",'THÁNG 7'!$T22=""),"",'THÁNG 7'!$T22)</f>
        <v/>
      </c>
      <c r="Q165" s="0" t="str">
        <f aca="false">IF(OR('THÁNG 7'!$C22="",'THÁNG 7'!$U22=""),"",'THÁNG 7'!$U22)</f>
        <v/>
      </c>
      <c r="R165" s="0" t="str">
        <f aca="false">IF('THÁNG 7'!$C22="","",'THÁNG 7'!$W22&amp;"")</f>
        <v>chuyển từ Tháng 7 dòng 45</v>
      </c>
      <c r="S165" s="0" t="str">
        <f aca="false">IF('THÁNG 7'!$C22="","",'THÁNG 7'!$S22&amp;"")</f>
        <v>Đã thanh toán</v>
      </c>
      <c r="T165" s="0" t="str">
        <f aca="false">IF(N($O165)&gt;0,COUNTIF($O$3:$O165,"&gt;0"),"")</f>
        <v/>
      </c>
      <c r="U165" s="30" t="n">
        <f aca="false">IF(AND(N($J165)&gt;0,N($K165)&gt;0),COUNTIFS($J$3:$J165,"&gt;0",$K$3:$K165,"&gt;0"),"")</f>
        <v>5</v>
      </c>
      <c r="V165" s="0" t="str">
        <f aca="false">IF(AND(N($J165)&gt;0,N($K165)=0),COUNTIFS($J$3:$J165,"&gt;0",$K$3:$K165,"&lt;=0"),"")</f>
        <v/>
      </c>
      <c r="W165" s="30" t="n">
        <f aca="false">IF($C165="","",IF(COUNTIF($C$3:$C165,$C165)&gt;1,"",MAX($W$2:W164)+1))</f>
        <v>16</v>
      </c>
      <c r="X165" s="0" t="str">
        <f aca="false">IF($H165="","",IF(COUNTIF($H$3:$H165,$H165)&gt;1,"",MAX($X$2:X164)+1))</f>
        <v/>
      </c>
      <c r="Y165" s="30" t="n">
        <f aca="false">IF(AND(N($M165)&gt;0,N($O165)&lt;=0),COUNTIFS($M$3:$M165,"&gt;0",$O$3:$O165,"&lt;=0"),"")</f>
        <v>14</v>
      </c>
      <c r="Z165" s="29" t="n">
        <f aca="false">IF(OR('THÁNG 7'!$C22="",'THÁNG 7'!$B22=""),0,'THÁNG 7'!$B22)</f>
        <v>46214</v>
      </c>
    </row>
    <row r="166" customFormat="false" ht="15" hidden="false" customHeight="false" outlineLevel="0" collapsed="false">
      <c r="A166" s="0" t="n">
        <v>7</v>
      </c>
      <c r="B166" s="29" t="n">
        <f aca="false">IF(OR('THÁNG 7'!$C23="",'THÁNG 7'!$B23=""),"",'THÁNG 7'!$B23)</f>
        <v>46214</v>
      </c>
      <c r="C166" s="0" t="str">
        <f aca="false">IF('THÁNG 7'!$C23="","",'THÁNG 7'!$C23)</f>
        <v>VTV10</v>
      </c>
      <c r="D166" s="0" t="str">
        <f aca="false">IF('THÁNG 7'!$C23="","",'THÁNG 7'!$D23&amp;"")</f>
        <v>0962866186</v>
      </c>
      <c r="E166" s="0" t="str">
        <f aca="false">IF('THÁNG 7'!$C23="","",'THÁNG 7'!$E23&amp;"")</f>
        <v/>
      </c>
      <c r="F166" s="0" t="str">
        <f aca="false">IF('THÁNG 7'!$C23="","",'THÁNG 7'!$F23&amp;"")</f>
        <v/>
      </c>
      <c r="G166" s="0" t="str">
        <f aca="false">IF('THÁNG 7'!$C23="","",'THÁNG 7'!$G23&amp;"")</f>
        <v>PGĐ VTV10 - 407 đường 30/4, Phường Tân An, TP Cần Thơ</v>
      </c>
      <c r="H166" s="0" t="str">
        <f aca="false">IF('THÁNG 7'!$C23="","",'THÁNG 7'!$H23&amp;"")</f>
        <v>gấu trắng</v>
      </c>
      <c r="I166" s="30" t="n">
        <f aca="false">IF('THÁNG 7'!$C23="","",N('THÁNG 7'!$I23))</f>
        <v>50</v>
      </c>
      <c r="J166" s="30" t="n">
        <f aca="false">IF('THÁNG 7'!$C23="","",N('THÁNG 7'!$L23))</f>
        <v>2500000</v>
      </c>
      <c r="K166" s="30" t="n">
        <f aca="false">IF('THÁNG 7'!$C23="","",N('THÁNG 7'!$N23))</f>
        <v>0</v>
      </c>
      <c r="L166" s="30" t="n">
        <f aca="false">IF('THÁNG 7'!$C23="","",N('THÁNG 7'!$O23))</f>
        <v>0</v>
      </c>
      <c r="M166" s="30" t="n">
        <f aca="false">IF('THÁNG 7'!$C23="","",N('THÁNG 7'!$P23))</f>
        <v>2500000</v>
      </c>
      <c r="N166" s="30" t="n">
        <f aca="false">IF('THÁNG 7'!$C23="","",N('THÁNG 7'!$Q23))</f>
        <v>2500000</v>
      </c>
      <c r="O166" s="30" t="n">
        <f aca="false">IF('THÁNG 7'!$C23="","",N('THÁNG 7'!$R23))</f>
        <v>0</v>
      </c>
      <c r="P166" s="0" t="str">
        <f aca="false">IF(OR('THÁNG 7'!$C23="",'THÁNG 7'!$T23=""),"",'THÁNG 7'!$T23)</f>
        <v/>
      </c>
      <c r="Q166" s="0" t="str">
        <f aca="false">IF(OR('THÁNG 7'!$C23="",'THÁNG 7'!$U23=""),"",'THÁNG 7'!$U23)</f>
        <v/>
      </c>
      <c r="R166" s="0" t="str">
        <f aca="false">IF('THÁNG 7'!$C23="","",'THÁNG 7'!$W23&amp;"")</f>
        <v>chuyển từ Tháng 7 dòng 46</v>
      </c>
      <c r="S166" s="0" t="str">
        <f aca="false">IF('THÁNG 7'!$C23="","",'THÁNG 7'!$S23&amp;"")</f>
        <v>Đã thanh toán</v>
      </c>
      <c r="T166" s="0" t="str">
        <f aca="false">IF(N($O166)&gt;0,COUNTIF($O$3:$O166,"&gt;0"),"")</f>
        <v/>
      </c>
      <c r="U166" s="0" t="str">
        <f aca="false">IF(AND(N($J166)&gt;0,N($K166)&gt;0),COUNTIFS($J$3:$J166,"&gt;0",$K$3:$K166,"&gt;0"),"")</f>
        <v/>
      </c>
      <c r="V166" s="30" t="n">
        <f aca="false">IF(AND(N($J166)&gt;0,N($K166)=0),COUNTIFS($J$3:$J166,"&gt;0",$K$3:$K166,"&lt;=0"),"")</f>
        <v>12</v>
      </c>
      <c r="W166" s="30" t="n">
        <f aca="false">IF($C166="","",IF(COUNTIF($C$3:$C166,$C166)&gt;1,"",MAX($W$2:W165)+1))</f>
        <v>17</v>
      </c>
      <c r="X166" s="0" t="str">
        <f aca="false">IF($H166="","",IF(COUNTIF($H$3:$H166,$H166)&gt;1,"",MAX($X$2:X165)+1))</f>
        <v/>
      </c>
      <c r="Y166" s="30" t="n">
        <f aca="false">IF(AND(N($M166)&gt;0,N($O166)&lt;=0),COUNTIFS($M$3:$M166,"&gt;0",$O$3:$O166,"&lt;=0"),"")</f>
        <v>15</v>
      </c>
      <c r="Z166" s="29" t="n">
        <f aca="false">IF(OR('THÁNG 7'!$C23="",'THÁNG 7'!$B23=""),0,'THÁNG 7'!$B23)</f>
        <v>46214</v>
      </c>
    </row>
    <row r="167" customFormat="false" ht="15" hidden="false" customHeight="false" outlineLevel="0" collapsed="false">
      <c r="A167" s="0" t="n">
        <v>7</v>
      </c>
      <c r="B167" s="29" t="n">
        <f aca="false">IF(OR('THÁNG 7'!$C24="",'THÁNG 7'!$B24=""),"",'THÁNG 7'!$B24)</f>
        <v>46214</v>
      </c>
      <c r="C167" s="0" t="str">
        <f aca="false">IF('THÁNG 7'!$C24="","",'THÁNG 7'!$C24)</f>
        <v>BGB - Melody</v>
      </c>
      <c r="D167" s="0" t="str">
        <f aca="false">IF('THÁNG 7'!$C24="","",'THÁNG 7'!$D24&amp;"")</f>
        <v/>
      </c>
      <c r="E167" s="0" t="str">
        <f aca="false">IF('THÁNG 7'!$C24="","",'THÁNG 7'!$E24&amp;"")</f>
        <v/>
      </c>
      <c r="F167" s="0" t="str">
        <f aca="false">IF('THÁNG 7'!$C24="","",'THÁNG 7'!$F24&amp;"")</f>
        <v/>
      </c>
      <c r="G167" s="0" t="str">
        <f aca="false">IF('THÁNG 7'!$C24="","",'THÁNG 7'!$G24&amp;"")</f>
        <v/>
      </c>
      <c r="H167" s="0" t="str">
        <f aca="false">IF('THÁNG 7'!$C24="","",'THÁNG 7'!$H24&amp;"")</f>
        <v>gấu trắng</v>
      </c>
      <c r="I167" s="30" t="n">
        <f aca="false">IF('THÁNG 7'!$C24="","",N('THÁNG 7'!$I24))</f>
        <v>250</v>
      </c>
      <c r="J167" s="30" t="n">
        <f aca="false">IF('THÁNG 7'!$C24="","",N('THÁNG 7'!$L24))</f>
        <v>10000000</v>
      </c>
      <c r="K167" s="30" t="n">
        <f aca="false">IF('THÁNG 7'!$C24="","",N('THÁNG 7'!$N24))</f>
        <v>0</v>
      </c>
      <c r="L167" s="30" t="n">
        <f aca="false">IF('THÁNG 7'!$C24="","",N('THÁNG 7'!$O24))</f>
        <v>0</v>
      </c>
      <c r="M167" s="30" t="n">
        <f aca="false">IF('THÁNG 7'!$C24="","",N('THÁNG 7'!$P24))</f>
        <v>10000000</v>
      </c>
      <c r="N167" s="30" t="n">
        <f aca="false">IF('THÁNG 7'!$C24="","",N('THÁNG 7'!$Q24))</f>
        <v>10000000</v>
      </c>
      <c r="O167" s="30" t="n">
        <f aca="false">IF('THÁNG 7'!$C24="","",N('THÁNG 7'!$R24))</f>
        <v>0</v>
      </c>
      <c r="P167" s="0" t="str">
        <f aca="false">IF(OR('THÁNG 7'!$C24="",'THÁNG 7'!$T24=""),"",'THÁNG 7'!$T24)</f>
        <v/>
      </c>
      <c r="Q167" s="0" t="str">
        <f aca="false">IF(OR('THÁNG 7'!$C24="",'THÁNG 7'!$U24=""),"",'THÁNG 7'!$U24)</f>
        <v/>
      </c>
      <c r="R167" s="0" t="str">
        <f aca="false">IF('THÁNG 7'!$C24="","",'THÁNG 7'!$W24&amp;"")</f>
        <v>đơn này ko lãi | chuyển từ Tháng 7 dòng 47</v>
      </c>
      <c r="S167" s="0" t="str">
        <f aca="false">IF('THÁNG 7'!$C24="","",'THÁNG 7'!$S24&amp;"")</f>
        <v>Đã thanh toán</v>
      </c>
      <c r="T167" s="0" t="str">
        <f aca="false">IF(N($O167)&gt;0,COUNTIF($O$3:$O167,"&gt;0"),"")</f>
        <v/>
      </c>
      <c r="U167" s="0" t="str">
        <f aca="false">IF(AND(N($J167)&gt;0,N($K167)&gt;0),COUNTIFS($J$3:$J167,"&gt;0",$K$3:$K167,"&gt;0"),"")</f>
        <v/>
      </c>
      <c r="V167" s="30" t="n">
        <f aca="false">IF(AND(N($J167)&gt;0,N($K167)=0),COUNTIFS($J$3:$J167,"&gt;0",$K$3:$K167,"&lt;=0"),"")</f>
        <v>13</v>
      </c>
      <c r="W167" s="30" t="n">
        <f aca="false">IF($C167="","",IF(COUNTIF($C$3:$C167,$C167)&gt;1,"",MAX($W$2:W166)+1))</f>
        <v>18</v>
      </c>
      <c r="X167" s="0" t="str">
        <f aca="false">IF($H167="","",IF(COUNTIF($H$3:$H167,$H167)&gt;1,"",MAX($X$2:X166)+1))</f>
        <v/>
      </c>
      <c r="Y167" s="30" t="n">
        <f aca="false">IF(AND(N($M167)&gt;0,N($O167)&lt;=0),COUNTIFS($M$3:$M167,"&gt;0",$O$3:$O167,"&lt;=0"),"")</f>
        <v>16</v>
      </c>
      <c r="Z167" s="29" t="n">
        <f aca="false">IF(OR('THÁNG 7'!$C24="",'THÁNG 7'!$B24=""),0,'THÁNG 7'!$B24)</f>
        <v>46214</v>
      </c>
    </row>
    <row r="168" customFormat="false" ht="15" hidden="false" customHeight="false" outlineLevel="0" collapsed="false">
      <c r="A168" s="0" t="n">
        <v>7</v>
      </c>
      <c r="B168" s="29" t="n">
        <f aca="false">IF(OR('THÁNG 7'!$C25="",'THÁNG 7'!$B25=""),"",'THÁNG 7'!$B25)</f>
        <v>46214</v>
      </c>
      <c r="C168" s="0" t="str">
        <f aca="false">IF('THÁNG 7'!$C25="","",'THÁNG 7'!$C25)</f>
        <v>chị Sang Phú Quốc</v>
      </c>
      <c r="D168" s="0" t="str">
        <f aca="false">IF('THÁNG 7'!$C25="","",'THÁNG 7'!$D25&amp;"")</f>
        <v>0976166217</v>
      </c>
      <c r="E168" s="0" t="str">
        <f aca="false">IF('THÁNG 7'!$C25="","",'THÁNG 7'!$E25&amp;"")</f>
        <v/>
      </c>
      <c r="F168" s="0" t="str">
        <f aca="false">IF('THÁNG 7'!$C25="","",'THÁNG 7'!$F25&amp;"")</f>
        <v/>
      </c>
      <c r="G168" s="0" t="str">
        <f aca="false">IF('THÁNG 7'!$C25="","",'THÁNG 7'!$G25&amp;"")</f>
        <v>Căn TH1-11, GrandWorld Khu Bãi Dài, X.Gành Dầu, H.Phú Quốc, T.Kiên Giang</v>
      </c>
      <c r="H168" s="0" t="str">
        <f aca="false">IF('THÁNG 7'!$C25="","",'THÁNG 7'!$H25&amp;"")</f>
        <v>gối chữ U</v>
      </c>
      <c r="I168" s="30" t="n">
        <f aca="false">IF('THÁNG 7'!$C25="","",N('THÁNG 7'!$I25))</f>
        <v>20</v>
      </c>
      <c r="J168" s="30" t="n">
        <f aca="false">IF('THÁNG 7'!$C25="","",N('THÁNG 7'!$L25))</f>
        <v>1400000</v>
      </c>
      <c r="K168" s="30" t="n">
        <f aca="false">IF('THÁNG 7'!$C25="","",N('THÁNG 7'!$N25))</f>
        <v>0</v>
      </c>
      <c r="L168" s="30" t="n">
        <f aca="false">IF('THÁNG 7'!$C25="","",N('THÁNG 7'!$O25))</f>
        <v>0</v>
      </c>
      <c r="M168" s="30" t="n">
        <f aca="false">IF('THÁNG 7'!$C25="","",N('THÁNG 7'!$P25))</f>
        <v>1400000</v>
      </c>
      <c r="N168" s="30" t="n">
        <f aca="false">IF('THÁNG 7'!$C25="","",N('THÁNG 7'!$Q25))</f>
        <v>1400000</v>
      </c>
      <c r="O168" s="30" t="n">
        <f aca="false">IF('THÁNG 7'!$C25="","",N('THÁNG 7'!$R25))</f>
        <v>0</v>
      </c>
      <c r="P168" s="0" t="str">
        <f aca="false">IF(OR('THÁNG 7'!$C25="",'THÁNG 7'!$T25=""),"",'THÁNG 7'!$T25)</f>
        <v/>
      </c>
      <c r="Q168" s="0" t="str">
        <f aca="false">IF(OR('THÁNG 7'!$C25="",'THÁNG 7'!$U25=""),"",'THÁNG 7'!$U25)</f>
        <v/>
      </c>
      <c r="R168" s="0" t="str">
        <f aca="false">IF('THÁNG 7'!$C25="","",'THÁNG 7'!$W25&amp;"")</f>
        <v>chuyển từ Tháng 7 dòng 48</v>
      </c>
      <c r="S168" s="0" t="str">
        <f aca="false">IF('THÁNG 7'!$C25="","",'THÁNG 7'!$S25&amp;"")</f>
        <v>Đã thanh toán</v>
      </c>
      <c r="T168" s="0" t="str">
        <f aca="false">IF(N($O168)&gt;0,COUNTIF($O$3:$O168,"&gt;0"),"")</f>
        <v/>
      </c>
      <c r="U168" s="0" t="str">
        <f aca="false">IF(AND(N($J168)&gt;0,N($K168)&gt;0),COUNTIFS($J$3:$J168,"&gt;0",$K$3:$K168,"&gt;0"),"")</f>
        <v/>
      </c>
      <c r="V168" s="30" t="n">
        <f aca="false">IF(AND(N($J168)&gt;0,N($K168)=0),COUNTIFS($J$3:$J168,"&gt;0",$K$3:$K168,"&lt;=0"),"")</f>
        <v>14</v>
      </c>
      <c r="W168" s="30" t="n">
        <f aca="false">IF($C168="","",IF(COUNTIF($C$3:$C168,$C168)&gt;1,"",MAX($W$2:W167)+1))</f>
        <v>19</v>
      </c>
      <c r="X168" s="30" t="n">
        <f aca="false">IF($H168="","",IF(COUNTIF($H$3:$H168,$H168)&gt;1,"",MAX($X$2:X167)+1))</f>
        <v>13</v>
      </c>
      <c r="Y168" s="30" t="n">
        <f aca="false">IF(AND(N($M168)&gt;0,N($O168)&lt;=0),COUNTIFS($M$3:$M168,"&gt;0",$O$3:$O168,"&lt;=0"),"")</f>
        <v>17</v>
      </c>
      <c r="Z168" s="29" t="n">
        <f aca="false">IF(OR('THÁNG 7'!$C25="",'THÁNG 7'!$B25=""),0,'THÁNG 7'!$B25)</f>
        <v>46214</v>
      </c>
    </row>
    <row r="169" customFormat="false" ht="15" hidden="false" customHeight="false" outlineLevel="0" collapsed="false">
      <c r="A169" s="0" t="n">
        <v>7</v>
      </c>
      <c r="B169" s="29" t="n">
        <f aca="false">IF(OR('THÁNG 7'!$C26="",'THÁNG 7'!$B26=""),"",'THÁNG 7'!$B26)</f>
        <v>46216</v>
      </c>
      <c r="C169" s="0" t="str">
        <f aca="false">IF('THÁNG 7'!$C26="","",'THÁNG 7'!$C26)</f>
        <v>Chị Thúy - Gối U</v>
      </c>
      <c r="D169" s="0" t="str">
        <f aca="false">IF('THÁNG 7'!$C26="","",'THÁNG 7'!$D26&amp;"")</f>
        <v>0978939891</v>
      </c>
      <c r="E169" s="0" t="str">
        <f aca="false">IF('THÁNG 7'!$C26="","",'THÁNG 7'!$E26&amp;"")</f>
        <v/>
      </c>
      <c r="F169" s="0" t="str">
        <f aca="false">IF('THÁNG 7'!$C26="","",'THÁNG 7'!$F26&amp;"")</f>
        <v/>
      </c>
      <c r="G169" s="0" t="str">
        <f aca="false">IF('THÁNG 7'!$C26="","",'THÁNG 7'!$G26&amp;"")</f>
        <v>Toà GS1- vinhome smart city - Tây Mỗ - Hà Nội</v>
      </c>
      <c r="H169" s="0" t="str">
        <f aca="false">IF('THÁNG 7'!$C26="","",'THÁNG 7'!$H26&amp;"")</f>
        <v>gối chữ U</v>
      </c>
      <c r="I169" s="30" t="n">
        <f aca="false">IF('THÁNG 7'!$C26="","",N('THÁNG 7'!$I26))</f>
        <v>50</v>
      </c>
      <c r="J169" s="30" t="n">
        <f aca="false">IF('THÁNG 7'!$C26="","",N('THÁNG 7'!$L26))</f>
        <v>2750000</v>
      </c>
      <c r="K169" s="30" t="n">
        <f aca="false">IF('THÁNG 7'!$C26="","",N('THÁNG 7'!$N26))</f>
        <v>0</v>
      </c>
      <c r="L169" s="30" t="n">
        <f aca="false">IF('THÁNG 7'!$C26="","",N('THÁNG 7'!$O26))</f>
        <v>0</v>
      </c>
      <c r="M169" s="30" t="n">
        <f aca="false">IF('THÁNG 7'!$C26="","",N('THÁNG 7'!$P26))</f>
        <v>2750000</v>
      </c>
      <c r="N169" s="30" t="n">
        <f aca="false">IF('THÁNG 7'!$C26="","",N('THÁNG 7'!$Q26))</f>
        <v>2750000</v>
      </c>
      <c r="O169" s="30" t="n">
        <f aca="false">IF('THÁNG 7'!$C26="","",N('THÁNG 7'!$R26))</f>
        <v>0</v>
      </c>
      <c r="P169" s="0" t="str">
        <f aca="false">IF(OR('THÁNG 7'!$C26="",'THÁNG 7'!$T26=""),"",'THÁNG 7'!$T26)</f>
        <v/>
      </c>
      <c r="Q169" s="0" t="str">
        <f aca="false">IF(OR('THÁNG 7'!$C26="",'THÁNG 7'!$U26=""),"",'THÁNG 7'!$U26)</f>
        <v/>
      </c>
      <c r="R169" s="0" t="str">
        <f aca="false">IF('THÁNG 7'!$C26="","",'THÁNG 7'!$W26&amp;"")</f>
        <v>chuyển từ Tháng 7 dòng 49</v>
      </c>
      <c r="S169" s="0" t="str">
        <f aca="false">IF('THÁNG 7'!$C26="","",'THÁNG 7'!$S26&amp;"")</f>
        <v>Đã thanh toán</v>
      </c>
      <c r="T169" s="0" t="str">
        <f aca="false">IF(N($O169)&gt;0,COUNTIF($O$3:$O169,"&gt;0"),"")</f>
        <v/>
      </c>
      <c r="U169" s="0" t="str">
        <f aca="false">IF(AND(N($J169)&gt;0,N($K169)&gt;0),COUNTIFS($J$3:$J169,"&gt;0",$K$3:$K169,"&gt;0"),"")</f>
        <v/>
      </c>
      <c r="V169" s="30" t="n">
        <f aca="false">IF(AND(N($J169)&gt;0,N($K169)=0),COUNTIFS($J$3:$J169,"&gt;0",$K$3:$K169,"&lt;=0"),"")</f>
        <v>15</v>
      </c>
      <c r="W169" s="30" t="n">
        <f aca="false">IF($C169="","",IF(COUNTIF($C$3:$C169,$C169)&gt;1,"",MAX($W$2:W168)+1))</f>
        <v>20</v>
      </c>
      <c r="X169" s="0" t="str">
        <f aca="false">IF($H169="","",IF(COUNTIF($H$3:$H169,$H169)&gt;1,"",MAX($X$2:X168)+1))</f>
        <v/>
      </c>
      <c r="Y169" s="30" t="n">
        <f aca="false">IF(AND(N($M169)&gt;0,N($O169)&lt;=0),COUNTIFS($M$3:$M169,"&gt;0",$O$3:$O169,"&lt;=0"),"")</f>
        <v>18</v>
      </c>
      <c r="Z169" s="29" t="n">
        <f aca="false">IF(OR('THÁNG 7'!$C26="",'THÁNG 7'!$B26=""),0,'THÁNG 7'!$B26)</f>
        <v>46216</v>
      </c>
    </row>
    <row r="170" customFormat="false" ht="15" hidden="false" customHeight="false" outlineLevel="0" collapsed="false">
      <c r="A170" s="0" t="n">
        <v>7</v>
      </c>
      <c r="B170" s="29" t="n">
        <f aca="false">IF(OR('THÁNG 7'!$C27="",'THÁNG 7'!$B27=""),"",'THÁNG 7'!$B27)</f>
        <v>46216</v>
      </c>
      <c r="C170" s="0" t="str">
        <f aca="false">IF('THÁNG 7'!$C27="","",'THÁNG 7'!$C27)</f>
        <v>Anh Tài - Seabank</v>
      </c>
      <c r="D170" s="0" t="str">
        <f aca="false">IF('THÁNG 7'!$C27="","",'THÁNG 7'!$D27&amp;"")</f>
        <v>0983470862</v>
      </c>
      <c r="E170" s="0" t="str">
        <f aca="false">IF('THÁNG 7'!$C27="","",'THÁNG 7'!$E27&amp;"")</f>
        <v/>
      </c>
      <c r="F170" s="0" t="str">
        <f aca="false">IF('THÁNG 7'!$C27="","",'THÁNG 7'!$F27&amp;"")</f>
        <v/>
      </c>
      <c r="G170" s="0" t="str">
        <f aca="false">IF('THÁNG 7'!$C27="","",'THÁNG 7'!$G27&amp;"")</f>
        <v>tòa BRG, 198 Đ. Trần Quang Khải, Hoàn Kiếm, Hà Nội</v>
      </c>
      <c r="H170" s="0" t="str">
        <f aca="false">IF('THÁNG 7'!$C27="","",'THÁNG 7'!$H27&amp;"")</f>
        <v>gấu ngồi lông mịn</v>
      </c>
      <c r="I170" s="30" t="n">
        <f aca="false">IF('THÁNG 7'!$C27="","",N('THÁNG 7'!$I27))</f>
        <v>25</v>
      </c>
      <c r="J170" s="30" t="n">
        <f aca="false">IF('THÁNG 7'!$C27="","",N('THÁNG 7'!$L27))</f>
        <v>1450000</v>
      </c>
      <c r="K170" s="30" t="n">
        <f aca="false">IF('THÁNG 7'!$C27="","",N('THÁNG 7'!$N27))</f>
        <v>0</v>
      </c>
      <c r="L170" s="30" t="n">
        <f aca="false">IF('THÁNG 7'!$C27="","",N('THÁNG 7'!$O27))</f>
        <v>0</v>
      </c>
      <c r="M170" s="30" t="n">
        <f aca="false">IF('THÁNG 7'!$C27="","",N('THÁNG 7'!$P27))</f>
        <v>1450000</v>
      </c>
      <c r="N170" s="30" t="n">
        <f aca="false">IF('THÁNG 7'!$C27="","",N('THÁNG 7'!$Q27))</f>
        <v>1450000</v>
      </c>
      <c r="O170" s="30" t="n">
        <f aca="false">IF('THÁNG 7'!$C27="","",N('THÁNG 7'!$R27))</f>
        <v>0</v>
      </c>
      <c r="P170" s="0" t="str">
        <f aca="false">IF(OR('THÁNG 7'!$C27="",'THÁNG 7'!$T27=""),"",'THÁNG 7'!$T27)</f>
        <v/>
      </c>
      <c r="Q170" s="0" t="str">
        <f aca="false">IF(OR('THÁNG 7'!$C27="",'THÁNG 7'!$U27=""),"",'THÁNG 7'!$U27)</f>
        <v/>
      </c>
      <c r="R170" s="0" t="str">
        <f aca="false">IF('THÁNG 7'!$C27="","",'THÁNG 7'!$W27&amp;"")</f>
        <v>chuyển từ Tháng 7 dòng 50</v>
      </c>
      <c r="S170" s="0" t="str">
        <f aca="false">IF('THÁNG 7'!$C27="","",'THÁNG 7'!$S27&amp;"")</f>
        <v>Đã thanh toán</v>
      </c>
      <c r="T170" s="0" t="str">
        <f aca="false">IF(N($O170)&gt;0,COUNTIF($O$3:$O170,"&gt;0"),"")</f>
        <v/>
      </c>
      <c r="U170" s="0" t="str">
        <f aca="false">IF(AND(N($J170)&gt;0,N($K170)&gt;0),COUNTIFS($J$3:$J170,"&gt;0",$K$3:$K170,"&gt;0"),"")</f>
        <v/>
      </c>
      <c r="V170" s="30" t="n">
        <f aca="false">IF(AND(N($J170)&gt;0,N($K170)=0),COUNTIFS($J$3:$J170,"&gt;0",$K$3:$K170,"&lt;=0"),"")</f>
        <v>16</v>
      </c>
      <c r="W170" s="30" t="n">
        <f aca="false">IF($C170="","",IF(COUNTIF($C$3:$C170,$C170)&gt;1,"",MAX($W$2:W169)+1))</f>
        <v>21</v>
      </c>
      <c r="X170" s="0" t="str">
        <f aca="false">IF($H170="","",IF(COUNTIF($H$3:$H170,$H170)&gt;1,"",MAX($X$2:X169)+1))</f>
        <v/>
      </c>
      <c r="Y170" s="30" t="n">
        <f aca="false">IF(AND(N($M170)&gt;0,N($O170)&lt;=0),COUNTIFS($M$3:$M170,"&gt;0",$O$3:$O170,"&lt;=0"),"")</f>
        <v>19</v>
      </c>
      <c r="Z170" s="29" t="n">
        <f aca="false">IF(OR('THÁNG 7'!$C27="",'THÁNG 7'!$B27=""),0,'THÁNG 7'!$B27)</f>
        <v>46216</v>
      </c>
    </row>
    <row r="171" customFormat="false" ht="15" hidden="false" customHeight="false" outlineLevel="0" collapsed="false">
      <c r="A171" s="0" t="n">
        <v>7</v>
      </c>
      <c r="B171" s="29" t="n">
        <f aca="false">IF(OR('THÁNG 7'!$C28="",'THÁNG 7'!$B28=""),"",'THÁNG 7'!$B28)</f>
        <v>46216</v>
      </c>
      <c r="C171" s="0" t="str">
        <f aca="false">IF('THÁNG 7'!$C28="","",'THÁNG 7'!$C28)</f>
        <v>Mrs Thương - Du Lịch Trọn Gói</v>
      </c>
      <c r="D171" s="0" t="str">
        <f aca="false">IF('THÁNG 7'!$C28="","",'THÁNG 7'!$D28&amp;"")</f>
        <v>094.874.1368</v>
      </c>
      <c r="E171" s="0" t="str">
        <f aca="false">IF('THÁNG 7'!$C28="","",'THÁNG 7'!$E28&amp;"")</f>
        <v/>
      </c>
      <c r="F171" s="0" t="str">
        <f aca="false">IF('THÁNG 7'!$C28="","",'THÁNG 7'!$F28&amp;"")</f>
        <v/>
      </c>
      <c r="G171" s="0" t="str">
        <f aca="false">IF('THÁNG 7'!$C28="","",'THÁNG 7'!$G28&amp;"")</f>
        <v/>
      </c>
      <c r="H171" s="0" t="str">
        <f aca="false">IF('THÁNG 7'!$C28="","",'THÁNG 7'!$H28&amp;"")</f>
        <v>gấu trắng</v>
      </c>
      <c r="I171" s="30" t="n">
        <f aca="false">IF('THÁNG 7'!$C28="","",N('THÁNG 7'!$I28))</f>
        <v>30</v>
      </c>
      <c r="J171" s="30" t="n">
        <f aca="false">IF('THÁNG 7'!$C28="","",N('THÁNG 7'!$L28))</f>
        <v>1440000</v>
      </c>
      <c r="K171" s="30" t="n">
        <f aca="false">IF('THÁNG 7'!$C28="","",N('THÁNG 7'!$N28))</f>
        <v>0</v>
      </c>
      <c r="L171" s="30" t="n">
        <f aca="false">IF('THÁNG 7'!$C28="","",N('THÁNG 7'!$O28))</f>
        <v>0</v>
      </c>
      <c r="M171" s="30" t="n">
        <f aca="false">IF('THÁNG 7'!$C28="","",N('THÁNG 7'!$P28))</f>
        <v>1440000</v>
      </c>
      <c r="N171" s="30" t="n">
        <f aca="false">IF('THÁNG 7'!$C28="","",N('THÁNG 7'!$Q28))</f>
        <v>1440000</v>
      </c>
      <c r="O171" s="30" t="n">
        <f aca="false">IF('THÁNG 7'!$C28="","",N('THÁNG 7'!$R28))</f>
        <v>0</v>
      </c>
      <c r="P171" s="0" t="str">
        <f aca="false">IF(OR('THÁNG 7'!$C28="",'THÁNG 7'!$T28=""),"",'THÁNG 7'!$T28)</f>
        <v/>
      </c>
      <c r="Q171" s="0" t="str">
        <f aca="false">IF(OR('THÁNG 7'!$C28="",'THÁNG 7'!$U28=""),"",'THÁNG 7'!$U28)</f>
        <v/>
      </c>
      <c r="R171" s="0" t="str">
        <f aca="false">IF('THÁNG 7'!$C28="","",'THÁNG 7'!$W28&amp;"")</f>
        <v>chuyển từ Tháng 7 dòng 51</v>
      </c>
      <c r="S171" s="0" t="str">
        <f aca="false">IF('THÁNG 7'!$C28="","",'THÁNG 7'!$S28&amp;"")</f>
        <v>Đã thanh toán</v>
      </c>
      <c r="T171" s="0" t="str">
        <f aca="false">IF(N($O171)&gt;0,COUNTIF($O$3:$O171,"&gt;0"),"")</f>
        <v/>
      </c>
      <c r="U171" s="0" t="str">
        <f aca="false">IF(AND(N($J171)&gt;0,N($K171)&gt;0),COUNTIFS($J$3:$J171,"&gt;0",$K$3:$K171,"&gt;0"),"")</f>
        <v/>
      </c>
      <c r="V171" s="30" t="n">
        <f aca="false">IF(AND(N($J171)&gt;0,N($K171)=0),COUNTIFS($J$3:$J171,"&gt;0",$K$3:$K171,"&lt;=0"),"")</f>
        <v>17</v>
      </c>
      <c r="W171" s="30" t="n">
        <f aca="false">IF($C171="","",IF(COUNTIF($C$3:$C171,$C171)&gt;1,"",MAX($W$2:W170)+1))</f>
        <v>22</v>
      </c>
      <c r="X171" s="0" t="str">
        <f aca="false">IF($H171="","",IF(COUNTIF($H$3:$H171,$H171)&gt;1,"",MAX($X$2:X170)+1))</f>
        <v/>
      </c>
      <c r="Y171" s="30" t="n">
        <f aca="false">IF(AND(N($M171)&gt;0,N($O171)&lt;=0),COUNTIFS($M$3:$M171,"&gt;0",$O$3:$O171,"&lt;=0"),"")</f>
        <v>20</v>
      </c>
      <c r="Z171" s="29" t="n">
        <f aca="false">IF(OR('THÁNG 7'!$C28="",'THÁNG 7'!$B28=""),0,'THÁNG 7'!$B28)</f>
        <v>46216</v>
      </c>
    </row>
    <row r="172" customFormat="false" ht="15" hidden="false" customHeight="false" outlineLevel="0" collapsed="false">
      <c r="A172" s="0" t="n">
        <v>7</v>
      </c>
      <c r="B172" s="29" t="n">
        <f aca="false">IF(OR('THÁNG 7'!$C29="",'THÁNG 7'!$B29=""),"",'THÁNG 7'!$B29)</f>
        <v>46216</v>
      </c>
      <c r="C172" s="0" t="str">
        <f aca="false">IF('THÁNG 7'!$C29="","",'THÁNG 7'!$C29)</f>
        <v>MÓC KHÓA BGB - ANH NGỮ WIN</v>
      </c>
      <c r="D172" s="0" t="str">
        <f aca="false">IF('THÁNG 7'!$C29="","",'THÁNG 7'!$D29&amp;"")</f>
        <v>0909828699</v>
      </c>
      <c r="E172" s="0" t="str">
        <f aca="false">IF('THÁNG 7'!$C29="","",'THÁNG 7'!$E29&amp;"")</f>
        <v/>
      </c>
      <c r="F172" s="0" t="str">
        <f aca="false">IF('THÁNG 7'!$C29="","",'THÁNG 7'!$F29&amp;"")</f>
        <v/>
      </c>
      <c r="G172" s="0" t="str">
        <f aca="false">IF('THÁNG 7'!$C29="","",'THÁNG 7'!$G29&amp;"")</f>
        <v>276 hùng vương, thôn 4a, xã Đạ Tẻh, Lâm Đồng.</v>
      </c>
      <c r="H172" s="0" t="str">
        <f aca="false">IF('THÁNG 7'!$C29="","",'THÁNG 7'!$H29&amp;"")</f>
        <v>móc khóa</v>
      </c>
      <c r="I172" s="30" t="n">
        <f aca="false">IF('THÁNG 7'!$C29="","",N('THÁNG 7'!$I29))</f>
        <v>50</v>
      </c>
      <c r="J172" s="30" t="n">
        <f aca="false">IF('THÁNG 7'!$C29="","",N('THÁNG 7'!$L29))</f>
        <v>1450000</v>
      </c>
      <c r="K172" s="30" t="n">
        <f aca="false">IF('THÁNG 7'!$C29="","",N('THÁNG 7'!$N29))</f>
        <v>0</v>
      </c>
      <c r="L172" s="30" t="n">
        <f aca="false">IF('THÁNG 7'!$C29="","",N('THÁNG 7'!$O29))</f>
        <v>0</v>
      </c>
      <c r="M172" s="30" t="n">
        <f aca="false">IF('THÁNG 7'!$C29="","",N('THÁNG 7'!$P29))</f>
        <v>1450000</v>
      </c>
      <c r="N172" s="30" t="n">
        <f aca="false">IF('THÁNG 7'!$C29="","",N('THÁNG 7'!$Q29))</f>
        <v>725000</v>
      </c>
      <c r="O172" s="30" t="n">
        <f aca="false">IF('THÁNG 7'!$C29="","",N('THÁNG 7'!$R29))</f>
        <v>725000</v>
      </c>
      <c r="P172" s="0" t="str">
        <f aca="false">IF(OR('THÁNG 7'!$C29="",'THÁNG 7'!$T29=""),"",'THÁNG 7'!$T29)</f>
        <v/>
      </c>
      <c r="Q172" s="0" t="str">
        <f aca="false">IF(OR('THÁNG 7'!$C29="",'THÁNG 7'!$U29=""),"",'THÁNG 7'!$U29)</f>
        <v/>
      </c>
      <c r="R172" s="0" t="str">
        <f aca="false">IF('THÁNG 7'!$C29="","",'THÁNG 7'!$W29&amp;"")</f>
        <v>chuyển từ Tháng 7 dòng 52</v>
      </c>
      <c r="S172" s="0" t="str">
        <f aca="false">IF('THÁNG 7'!$C29="","",'THÁNG 7'!$S29&amp;"")</f>
        <v>Thanh toán một phần</v>
      </c>
      <c r="T172" s="30" t="n">
        <f aca="false">IF(N($O172)&gt;0,COUNTIF($O$3:$O172,"&gt;0"),"")</f>
        <v>3</v>
      </c>
      <c r="U172" s="0" t="str">
        <f aca="false">IF(AND(N($J172)&gt;0,N($K172)&gt;0),COUNTIFS($J$3:$J172,"&gt;0",$K$3:$K172,"&gt;0"),"")</f>
        <v/>
      </c>
      <c r="V172" s="30" t="n">
        <f aca="false">IF(AND(N($J172)&gt;0,N($K172)=0),COUNTIFS($J$3:$J172,"&gt;0",$K$3:$K172,"&lt;=0"),"")</f>
        <v>18</v>
      </c>
      <c r="W172" s="30" t="n">
        <f aca="false">IF($C172="","",IF(COUNTIF($C$3:$C172,$C172)&gt;1,"",MAX($W$2:W171)+1))</f>
        <v>23</v>
      </c>
      <c r="X172" s="30" t="n">
        <f aca="false">IF($H172="","",IF(COUNTIF($H$3:$H172,$H172)&gt;1,"",MAX($X$2:X171)+1))</f>
        <v>14</v>
      </c>
      <c r="Y172" s="0" t="str">
        <f aca="false">IF(AND(N($M172)&gt;0,N($O172)&lt;=0),COUNTIFS($M$3:$M172,"&gt;0",$O$3:$O172,"&lt;=0"),"")</f>
        <v/>
      </c>
      <c r="Z172" s="29" t="n">
        <f aca="false">IF(OR('THÁNG 7'!$C29="",'THÁNG 7'!$B29=""),0,'THÁNG 7'!$B29)</f>
        <v>46216</v>
      </c>
    </row>
    <row r="173" customFormat="false" ht="15" hidden="false" customHeight="false" outlineLevel="0" collapsed="false">
      <c r="A173" s="0" t="n">
        <v>7</v>
      </c>
      <c r="B173" s="29" t="n">
        <f aca="false">IF(OR('THÁNG 7'!$C30="",'THÁNG 7'!$B30=""),"",'THÁNG 7'!$B30)</f>
        <v>46217</v>
      </c>
      <c r="C173" s="0" t="str">
        <f aca="false">IF('THÁNG 7'!$C30="","",'THÁNG 7'!$C30)</f>
        <v>BGB - CHỊ QUỲNH 35C</v>
      </c>
      <c r="D173" s="0" t="str">
        <f aca="false">IF('THÁNG 7'!$C30="","",'THÁNG 7'!$D30&amp;"")</f>
        <v>0918479558</v>
      </c>
      <c r="E173" s="0" t="str">
        <f aca="false">IF('THÁNG 7'!$C30="","",'THÁNG 7'!$E30&amp;"")</f>
        <v/>
      </c>
      <c r="F173" s="0" t="str">
        <f aca="false">IF('THÁNG 7'!$C30="","",'THÁNG 7'!$F30&amp;"")</f>
        <v/>
      </c>
      <c r="G173" s="0" t="str">
        <f aca="false">IF('THÁNG 7'!$C30="","",'THÁNG 7'!$G30&amp;"")</f>
        <v>Tòa Nhà Viễn Thông 9, Số 641 Đường Phạm Văn Đồng, Phường Nghĩa Đô, Thành Phố Hà Nội</v>
      </c>
      <c r="H173" s="0" t="str">
        <f aca="false">IF('THÁNG 7'!$C30="","",'THÁNG 7'!$H30&amp;"")</f>
        <v>gấu trắng</v>
      </c>
      <c r="I173" s="30" t="n">
        <f aca="false">IF('THÁNG 7'!$C30="","",N('THÁNG 7'!$I30))</f>
        <v>35</v>
      </c>
      <c r="J173" s="30" t="n">
        <f aca="false">IF('THÁNG 7'!$C30="","",N('THÁNG 7'!$L30))</f>
        <v>1750000</v>
      </c>
      <c r="K173" s="30" t="n">
        <f aca="false">IF('THÁNG 7'!$C30="","",N('THÁNG 7'!$N30))</f>
        <v>0</v>
      </c>
      <c r="L173" s="30" t="n">
        <f aca="false">IF('THÁNG 7'!$C30="","",N('THÁNG 7'!$O30))</f>
        <v>0</v>
      </c>
      <c r="M173" s="30" t="n">
        <f aca="false">IF('THÁNG 7'!$C30="","",N('THÁNG 7'!$P30))</f>
        <v>1750000</v>
      </c>
      <c r="N173" s="30" t="n">
        <f aca="false">IF('THÁNG 7'!$C30="","",N('THÁNG 7'!$Q30))</f>
        <v>1750000</v>
      </c>
      <c r="O173" s="30" t="n">
        <f aca="false">IF('THÁNG 7'!$C30="","",N('THÁNG 7'!$R30))</f>
        <v>0</v>
      </c>
      <c r="P173" s="0" t="str">
        <f aca="false">IF(OR('THÁNG 7'!$C30="",'THÁNG 7'!$T30=""),"",'THÁNG 7'!$T30)</f>
        <v/>
      </c>
      <c r="Q173" s="0" t="str">
        <f aca="false">IF(OR('THÁNG 7'!$C30="",'THÁNG 7'!$U30=""),"",'THÁNG 7'!$U30)</f>
        <v/>
      </c>
      <c r="R173" s="0" t="str">
        <f aca="false">IF('THÁNG 7'!$C30="","",'THÁNG 7'!$W30&amp;"")</f>
        <v>chuyển từ Tháng 7 dòng 53</v>
      </c>
      <c r="S173" s="0" t="str">
        <f aca="false">IF('THÁNG 7'!$C30="","",'THÁNG 7'!$S30&amp;"")</f>
        <v>Đã thanh toán</v>
      </c>
      <c r="T173" s="0" t="str">
        <f aca="false">IF(N($O173)&gt;0,COUNTIF($O$3:$O173,"&gt;0"),"")</f>
        <v/>
      </c>
      <c r="U173" s="0" t="str">
        <f aca="false">IF(AND(N($J173)&gt;0,N($K173)&gt;0),COUNTIFS($J$3:$J173,"&gt;0",$K$3:$K173,"&gt;0"),"")</f>
        <v/>
      </c>
      <c r="V173" s="30" t="n">
        <f aca="false">IF(AND(N($J173)&gt;0,N($K173)=0),COUNTIFS($J$3:$J173,"&gt;0",$K$3:$K173,"&lt;=0"),"")</f>
        <v>19</v>
      </c>
      <c r="W173" s="30" t="n">
        <f aca="false">IF($C173="","",IF(COUNTIF($C$3:$C173,$C173)&gt;1,"",MAX($W$2:W172)+1))</f>
        <v>24</v>
      </c>
      <c r="X173" s="0" t="str">
        <f aca="false">IF($H173="","",IF(COUNTIF($H$3:$H173,$H173)&gt;1,"",MAX($X$2:X172)+1))</f>
        <v/>
      </c>
      <c r="Y173" s="30" t="n">
        <f aca="false">IF(AND(N($M173)&gt;0,N($O173)&lt;=0),COUNTIFS($M$3:$M173,"&gt;0",$O$3:$O173,"&lt;=0"),"")</f>
        <v>21</v>
      </c>
      <c r="Z173" s="29" t="n">
        <f aca="false">IF(OR('THÁNG 7'!$C30="",'THÁNG 7'!$B30=""),0,'THÁNG 7'!$B30)</f>
        <v>46217</v>
      </c>
    </row>
    <row r="174" customFormat="false" ht="15" hidden="false" customHeight="false" outlineLevel="0" collapsed="false">
      <c r="A174" s="0" t="n">
        <v>7</v>
      </c>
      <c r="B174" s="29" t="n">
        <f aca="false">IF(OR('THÁNG 7'!$C31="",'THÁNG 7'!$B31=""),"",'THÁNG 7'!$B31)</f>
        <v>46217</v>
      </c>
      <c r="C174" s="0" t="str">
        <f aca="false">IF('THÁNG 7'!$C31="","",'THÁNG 7'!$C31)</f>
        <v>BGB - ANH HẢI 20C</v>
      </c>
      <c r="D174" s="0" t="str">
        <f aca="false">IF('THÁNG 7'!$C31="","",'THÁNG 7'!$D31&amp;"")</f>
        <v>0907 188 988</v>
      </c>
      <c r="E174" s="0" t="str">
        <f aca="false">IF('THÁNG 7'!$C31="","",'THÁNG 7'!$E31&amp;"")</f>
        <v/>
      </c>
      <c r="F174" s="0" t="str">
        <f aca="false">IF('THÁNG 7'!$C31="","",'THÁNG 7'!$F31&amp;"")</f>
        <v/>
      </c>
      <c r="G174" s="0" t="str">
        <f aca="false">IF('THÁNG 7'!$C31="","",'THÁNG 7'!$G31&amp;"")</f>
        <v>68/10/08 Hoàng Việt, Phường Đạo Thạnh, tỉnh Đồng Tháp</v>
      </c>
      <c r="H174" s="0" t="str">
        <f aca="false">IF('THÁNG 7'!$C31="","",'THÁNG 7'!$H31&amp;"")</f>
        <v>gấu nâu 30cm</v>
      </c>
      <c r="I174" s="30" t="n">
        <f aca="false">IF('THÁNG 7'!$C31="","",N('THÁNG 7'!$I31))</f>
        <v>20</v>
      </c>
      <c r="J174" s="30" t="n">
        <f aca="false">IF('THÁNG 7'!$C31="","",N('THÁNG 7'!$L31))</f>
        <v>1000000</v>
      </c>
      <c r="K174" s="30" t="n">
        <f aca="false">IF('THÁNG 7'!$C31="","",N('THÁNG 7'!$N31))</f>
        <v>0</v>
      </c>
      <c r="L174" s="30" t="n">
        <f aca="false">IF('THÁNG 7'!$C31="","",N('THÁNG 7'!$O31))</f>
        <v>0</v>
      </c>
      <c r="M174" s="30" t="n">
        <f aca="false">IF('THÁNG 7'!$C31="","",N('THÁNG 7'!$P31))</f>
        <v>1000000</v>
      </c>
      <c r="N174" s="30" t="n">
        <f aca="false">IF('THÁNG 7'!$C31="","",N('THÁNG 7'!$Q31))</f>
        <v>1000000</v>
      </c>
      <c r="O174" s="30" t="n">
        <f aca="false">IF('THÁNG 7'!$C31="","",N('THÁNG 7'!$R31))</f>
        <v>0</v>
      </c>
      <c r="P174" s="0" t="str">
        <f aca="false">IF(OR('THÁNG 7'!$C31="",'THÁNG 7'!$T31=""),"",'THÁNG 7'!$T31)</f>
        <v/>
      </c>
      <c r="Q174" s="0" t="str">
        <f aca="false">IF(OR('THÁNG 7'!$C31="",'THÁNG 7'!$U31=""),"",'THÁNG 7'!$U31)</f>
        <v/>
      </c>
      <c r="R174" s="0" t="str">
        <f aca="false">IF('THÁNG 7'!$C31="","",'THÁNG 7'!$W31&amp;"")</f>
        <v>chuyển từ Tháng 7 dòng 54</v>
      </c>
      <c r="S174" s="0" t="str">
        <f aca="false">IF('THÁNG 7'!$C31="","",'THÁNG 7'!$S31&amp;"")</f>
        <v>Đã thanh toán</v>
      </c>
      <c r="T174" s="0" t="str">
        <f aca="false">IF(N($O174)&gt;0,COUNTIF($O$3:$O174,"&gt;0"),"")</f>
        <v/>
      </c>
      <c r="U174" s="0" t="str">
        <f aca="false">IF(AND(N($J174)&gt;0,N($K174)&gt;0),COUNTIFS($J$3:$J174,"&gt;0",$K$3:$K174,"&gt;0"),"")</f>
        <v/>
      </c>
      <c r="V174" s="30" t="n">
        <f aca="false">IF(AND(N($J174)&gt;0,N($K174)=0),COUNTIFS($J$3:$J174,"&gt;0",$K$3:$K174,"&lt;=0"),"")</f>
        <v>20</v>
      </c>
      <c r="W174" s="30" t="n">
        <f aca="false">IF($C174="","",IF(COUNTIF($C$3:$C174,$C174)&gt;1,"",MAX($W$2:W173)+1))</f>
        <v>25</v>
      </c>
      <c r="X174" s="30" t="n">
        <f aca="false">IF($H174="","",IF(COUNTIF($H$3:$H174,$H174)&gt;1,"",MAX($X$2:X173)+1))</f>
        <v>15</v>
      </c>
      <c r="Y174" s="30" t="n">
        <f aca="false">IF(AND(N($M174)&gt;0,N($O174)&lt;=0),COUNTIFS($M$3:$M174,"&gt;0",$O$3:$O174,"&lt;=0"),"")</f>
        <v>22</v>
      </c>
      <c r="Z174" s="29" t="n">
        <f aca="false">IF(OR('THÁNG 7'!$C31="",'THÁNG 7'!$B31=""),0,'THÁNG 7'!$B31)</f>
        <v>46217</v>
      </c>
    </row>
    <row r="175" customFormat="false" ht="15" hidden="false" customHeight="false" outlineLevel="0" collapsed="false">
      <c r="A175" s="0" t="n">
        <v>7</v>
      </c>
      <c r="B175" s="29" t="n">
        <f aca="false">IF(OR('THÁNG 7'!$C32="",'THÁNG 7'!$B32=""),"",'THÁNG 7'!$B32)</f>
        <v>46217</v>
      </c>
      <c r="C175" s="0" t="str">
        <f aca="false">IF('THÁNG 7'!$C32="","",'THÁNG 7'!$C32)</f>
        <v>BGB - ANH KIỆT MEDIA</v>
      </c>
      <c r="D175" s="0" t="str">
        <f aca="false">IF('THÁNG 7'!$C32="","",'THÁNG 7'!$D32&amp;"")</f>
        <v>0354065678</v>
      </c>
      <c r="E175" s="0" t="str">
        <f aca="false">IF('THÁNG 7'!$C32="","",'THÁNG 7'!$E32&amp;"")</f>
        <v/>
      </c>
      <c r="F175" s="0" t="str">
        <f aca="false">IF('THÁNG 7'!$C32="","",'THÁNG 7'!$F32&amp;"")</f>
        <v/>
      </c>
      <c r="G175" s="0" t="str">
        <f aca="false">IF('THÁNG 7'!$C32="","",'THÁNG 7'!$G32&amp;"")</f>
        <v>208 nguyễn tất thành - thành phố pleiku</v>
      </c>
      <c r="H175" s="0" t="str">
        <f aca="false">IF('THÁNG 7'!$C32="","",'THÁNG 7'!$H32&amp;"")</f>
        <v>gấu ngồi lông mịn, gấu panda</v>
      </c>
      <c r="I175" s="30" t="n">
        <f aca="false">IF('THÁNG 7'!$C32="","",N('THÁNG 7'!$I32))</f>
        <v>100</v>
      </c>
      <c r="J175" s="30" t="n">
        <f aca="false">IF('THÁNG 7'!$C32="","",N('THÁNG 7'!$L32))</f>
        <v>6250000</v>
      </c>
      <c r="K175" s="30" t="n">
        <f aca="false">IF('THÁNG 7'!$C32="","",N('THÁNG 7'!$N32))</f>
        <v>0</v>
      </c>
      <c r="L175" s="30" t="n">
        <f aca="false">IF('THÁNG 7'!$C32="","",N('THÁNG 7'!$O32))</f>
        <v>0</v>
      </c>
      <c r="M175" s="30" t="n">
        <f aca="false">IF('THÁNG 7'!$C32="","",N('THÁNG 7'!$P32))</f>
        <v>6250000</v>
      </c>
      <c r="N175" s="30" t="n">
        <f aca="false">IF('THÁNG 7'!$C32="","",N('THÁNG 7'!$Q32))</f>
        <v>6250000</v>
      </c>
      <c r="O175" s="30" t="n">
        <f aca="false">IF('THÁNG 7'!$C32="","",N('THÁNG 7'!$R32))</f>
        <v>0</v>
      </c>
      <c r="P175" s="0" t="str">
        <f aca="false">IF(OR('THÁNG 7'!$C32="",'THÁNG 7'!$T32=""),"",'THÁNG 7'!$T32)</f>
        <v/>
      </c>
      <c r="Q175" s="0" t="str">
        <f aca="false">IF(OR('THÁNG 7'!$C32="",'THÁNG 7'!$U32=""),"",'THÁNG 7'!$U32)</f>
        <v/>
      </c>
      <c r="R175" s="0" t="str">
        <f aca="false">IF('THÁNG 7'!$C32="","",'THÁNG 7'!$W32&amp;"")</f>
        <v>chuyển từ Tháng 7 dòng 55 | đơn giá suy từ thành tiền</v>
      </c>
      <c r="S175" s="0" t="str">
        <f aca="false">IF('THÁNG 7'!$C32="","",'THÁNG 7'!$S32&amp;"")</f>
        <v>Đã thanh toán</v>
      </c>
      <c r="T175" s="0" t="str">
        <f aca="false">IF(N($O175)&gt;0,COUNTIF($O$3:$O175,"&gt;0"),"")</f>
        <v/>
      </c>
      <c r="U175" s="0" t="str">
        <f aca="false">IF(AND(N($J175)&gt;0,N($K175)&gt;0),COUNTIFS($J$3:$J175,"&gt;0",$K$3:$K175,"&gt;0"),"")</f>
        <v/>
      </c>
      <c r="V175" s="30" t="n">
        <f aca="false">IF(AND(N($J175)&gt;0,N($K175)=0),COUNTIFS($J$3:$J175,"&gt;0",$K$3:$K175,"&lt;=0"),"")</f>
        <v>21</v>
      </c>
      <c r="W175" s="30" t="n">
        <f aca="false">IF($C175="","",IF(COUNTIF($C$3:$C175,$C175)&gt;1,"",MAX($W$2:W174)+1))</f>
        <v>26</v>
      </c>
      <c r="X175" s="30" t="n">
        <f aca="false">IF($H175="","",IF(COUNTIF($H$3:$H175,$H175)&gt;1,"",MAX($X$2:X174)+1))</f>
        <v>16</v>
      </c>
      <c r="Y175" s="30" t="n">
        <f aca="false">IF(AND(N($M175)&gt;0,N($O175)&lt;=0),COUNTIFS($M$3:$M175,"&gt;0",$O$3:$O175,"&lt;=0"),"")</f>
        <v>23</v>
      </c>
      <c r="Z175" s="29" t="n">
        <f aca="false">IF(OR('THÁNG 7'!$C32="",'THÁNG 7'!$B32=""),0,'THÁNG 7'!$B32)</f>
        <v>46217</v>
      </c>
    </row>
    <row r="176" customFormat="false" ht="15" hidden="false" customHeight="false" outlineLevel="0" collapsed="false">
      <c r="A176" s="0" t="n">
        <v>7</v>
      </c>
      <c r="B176" s="29" t="n">
        <f aca="false">IF(OR('THÁNG 7'!$C33="",'THÁNG 7'!$B33=""),"",'THÁNG 7'!$B33)</f>
        <v>46219</v>
      </c>
      <c r="C176" s="0" t="str">
        <f aca="false">IF('THÁNG 7'!$C33="","",'THÁNG 7'!$C33)</f>
        <v>BGB - WEAUTOMATE 90C</v>
      </c>
      <c r="D176" s="0" t="str">
        <f aca="false">IF('THÁNG 7'!$C33="","",'THÁNG 7'!$D33&amp;"")</f>
        <v>0904415147</v>
      </c>
      <c r="E176" s="0" t="str">
        <f aca="false">IF('THÁNG 7'!$C33="","",'THÁNG 7'!$E33&amp;"")</f>
        <v/>
      </c>
      <c r="F176" s="0" t="str">
        <f aca="false">IF('THÁNG 7'!$C33="","",'THÁNG 7'!$F33&amp;"")</f>
        <v/>
      </c>
      <c r="G176" s="0" t="str">
        <f aca="false">IF('THÁNG 7'!$C33="","",'THÁNG 7'!$G33&amp;"")</f>
        <v/>
      </c>
      <c r="H176" s="0" t="str">
        <f aca="false">IF('THÁNG 7'!$C33="","",'THÁNG 7'!$H33&amp;"")</f>
        <v>Gấu HT 30cm</v>
      </c>
      <c r="I176" s="30" t="n">
        <f aca="false">IF('THÁNG 7'!$C33="","",N('THÁNG 7'!$I33))</f>
        <v>90</v>
      </c>
      <c r="J176" s="30" t="n">
        <f aca="false">IF('THÁNG 7'!$C33="","",N('THÁNG 7'!$L33))</f>
        <v>5850000</v>
      </c>
      <c r="K176" s="30" t="n">
        <f aca="false">IF('THÁNG 7'!$C33="","",N('THÁNG 7'!$N33))</f>
        <v>0.08</v>
      </c>
      <c r="L176" s="30" t="n">
        <f aca="false">IF('THÁNG 7'!$C33="","",N('THÁNG 7'!$O33))</f>
        <v>468000</v>
      </c>
      <c r="M176" s="30" t="n">
        <f aca="false">IF('THÁNG 7'!$C33="","",N('THÁNG 7'!$P33))</f>
        <v>6318000</v>
      </c>
      <c r="N176" s="30" t="n">
        <f aca="false">IF('THÁNG 7'!$C33="","",N('THÁNG 7'!$Q33))</f>
        <v>6318000</v>
      </c>
      <c r="O176" s="30" t="n">
        <f aca="false">IF('THÁNG 7'!$C33="","",N('THÁNG 7'!$R33))</f>
        <v>0</v>
      </c>
      <c r="P176" s="0" t="str">
        <f aca="false">IF(OR('THÁNG 7'!$C33="",'THÁNG 7'!$T33=""),"",'THÁNG 7'!$T33)</f>
        <v/>
      </c>
      <c r="Q176" s="0" t="str">
        <f aca="false">IF(OR('THÁNG 7'!$C33="",'THÁNG 7'!$U33=""),"",'THÁNG 7'!$U33)</f>
        <v/>
      </c>
      <c r="R176" s="0" t="str">
        <f aca="false">IF('THÁNG 7'!$C33="","",'THÁNG 7'!$W33&amp;"")</f>
        <v>chuyển từ Tháng 7 dòng 123</v>
      </c>
      <c r="S176" s="0" t="str">
        <f aca="false">IF('THÁNG 7'!$C33="","",'THÁNG 7'!$S33&amp;"")</f>
        <v>Đã thanh toán</v>
      </c>
      <c r="T176" s="0" t="str">
        <f aca="false">IF(N($O176)&gt;0,COUNTIF($O$3:$O176,"&gt;0"),"")</f>
        <v/>
      </c>
      <c r="U176" s="30" t="n">
        <f aca="false">IF(AND(N($J176)&gt;0,N($K176)&gt;0),COUNTIFS($J$3:$J176,"&gt;0",$K$3:$K176,"&gt;0"),"")</f>
        <v>6</v>
      </c>
      <c r="V176" s="0" t="str">
        <f aca="false">IF(AND(N($J176)&gt;0,N($K176)=0),COUNTIFS($J$3:$J176,"&gt;0",$K$3:$K176,"&lt;=0"),"")</f>
        <v/>
      </c>
      <c r="W176" s="30" t="n">
        <f aca="false">IF($C176="","",IF(COUNTIF($C$3:$C176,$C176)&gt;1,"",MAX($W$2:W175)+1))</f>
        <v>27</v>
      </c>
      <c r="X176" s="30" t="n">
        <f aca="false">IF($H176="","",IF(COUNTIF($H$3:$H176,$H176)&gt;1,"",MAX($X$2:X175)+1))</f>
        <v>17</v>
      </c>
      <c r="Y176" s="30" t="n">
        <f aca="false">IF(AND(N($M176)&gt;0,N($O176)&lt;=0),COUNTIFS($M$3:$M176,"&gt;0",$O$3:$O176,"&lt;=0"),"")</f>
        <v>24</v>
      </c>
      <c r="Z176" s="29" t="n">
        <f aca="false">IF(OR('THÁNG 7'!$C33="",'THÁNG 7'!$B33=""),0,'THÁNG 7'!$B33)</f>
        <v>46219</v>
      </c>
    </row>
    <row r="177" customFormat="false" ht="15" hidden="false" customHeight="false" outlineLevel="0" collapsed="false">
      <c r="A177" s="0" t="n">
        <v>7</v>
      </c>
      <c r="B177" s="29" t="n">
        <f aca="false">IF(OR('THÁNG 7'!$C34="",'THÁNG 7'!$B34=""),"",'THÁNG 7'!$B34)</f>
        <v>46219</v>
      </c>
      <c r="C177" s="0" t="str">
        <f aca="false">IF('THÁNG 7'!$C34="","",'THÁNG 7'!$C34)</f>
        <v>Ánh Linh music</v>
      </c>
      <c r="D177" s="0" t="str">
        <f aca="false">IF('THÁNG 7'!$C34="","",'THÁNG 7'!$D34&amp;"")</f>
        <v>097 7102094</v>
      </c>
      <c r="E177" s="0" t="str">
        <f aca="false">IF('THÁNG 7'!$C34="","",'THÁNG 7'!$E34&amp;"")</f>
        <v/>
      </c>
      <c r="F177" s="0" t="str">
        <f aca="false">IF('THÁNG 7'!$C34="","",'THÁNG 7'!$F34&amp;"")</f>
        <v/>
      </c>
      <c r="G177" s="0" t="str">
        <f aca="false">IF('THÁNG 7'!$C34="","",'THÁNG 7'!$G34&amp;"")</f>
        <v>đền thờ Hai Bà Trưng - Thôn 2 Hạ Lôi - xã Mê Linh - Tp Hà Nội</v>
      </c>
      <c r="H177" s="0" t="str">
        <f aca="false">IF('THÁNG 7'!$C34="","",'THÁNG 7'!$H34&amp;"")</f>
        <v>CÁ BABY SHARK</v>
      </c>
      <c r="I177" s="30" t="n">
        <f aca="false">IF('THÁNG 7'!$C34="","",N('THÁNG 7'!$I34))</f>
        <v>60</v>
      </c>
      <c r="J177" s="30" t="n">
        <f aca="false">IF('THÁNG 7'!$C34="","",N('THÁNG 7'!$L34))</f>
        <v>2880000</v>
      </c>
      <c r="K177" s="30" t="n">
        <f aca="false">IF('THÁNG 7'!$C34="","",N('THÁNG 7'!$N34))</f>
        <v>0</v>
      </c>
      <c r="L177" s="30" t="n">
        <f aca="false">IF('THÁNG 7'!$C34="","",N('THÁNG 7'!$O34))</f>
        <v>0</v>
      </c>
      <c r="M177" s="30" t="n">
        <f aca="false">IF('THÁNG 7'!$C34="","",N('THÁNG 7'!$P34))</f>
        <v>2880000</v>
      </c>
      <c r="N177" s="30" t="n">
        <f aca="false">IF('THÁNG 7'!$C34="","",N('THÁNG 7'!$Q34))</f>
        <v>2880000</v>
      </c>
      <c r="O177" s="30" t="n">
        <f aca="false">IF('THÁNG 7'!$C34="","",N('THÁNG 7'!$R34))</f>
        <v>0</v>
      </c>
      <c r="P177" s="0" t="str">
        <f aca="false">IF(OR('THÁNG 7'!$C34="",'THÁNG 7'!$T34=""),"",'THÁNG 7'!$T34)</f>
        <v/>
      </c>
      <c r="Q177" s="0" t="str">
        <f aca="false">IF(OR('THÁNG 7'!$C34="",'THÁNG 7'!$U34=""),"",'THÁNG 7'!$U34)</f>
        <v/>
      </c>
      <c r="R177" s="0" t="str">
        <f aca="false">IF('THÁNG 7'!$C34="","",'THÁNG 7'!$W34&amp;"")</f>
        <v>chuyển từ Tháng 7 dòng 124</v>
      </c>
      <c r="S177" s="0" t="str">
        <f aca="false">IF('THÁNG 7'!$C34="","",'THÁNG 7'!$S34&amp;"")</f>
        <v>Đã thanh toán</v>
      </c>
      <c r="T177" s="0" t="str">
        <f aca="false">IF(N($O177)&gt;0,COUNTIF($O$3:$O177,"&gt;0"),"")</f>
        <v/>
      </c>
      <c r="U177" s="0" t="str">
        <f aca="false">IF(AND(N($J177)&gt;0,N($K177)&gt;0),COUNTIFS($J$3:$J177,"&gt;0",$K$3:$K177,"&gt;0"),"")</f>
        <v/>
      </c>
      <c r="V177" s="30" t="n">
        <f aca="false">IF(AND(N($J177)&gt;0,N($K177)=0),COUNTIFS($J$3:$J177,"&gt;0",$K$3:$K177,"&lt;=0"),"")</f>
        <v>22</v>
      </c>
      <c r="W177" s="30" t="n">
        <f aca="false">IF($C177="","",IF(COUNTIF($C$3:$C177,$C177)&gt;1,"",MAX($W$2:W176)+1))</f>
        <v>28</v>
      </c>
      <c r="X177" s="30" t="n">
        <f aca="false">IF($H177="","",IF(COUNTIF($H$3:$H177,$H177)&gt;1,"",MAX($X$2:X176)+1))</f>
        <v>18</v>
      </c>
      <c r="Y177" s="30" t="n">
        <f aca="false">IF(AND(N($M177)&gt;0,N($O177)&lt;=0),COUNTIFS($M$3:$M177,"&gt;0",$O$3:$O177,"&lt;=0"),"")</f>
        <v>25</v>
      </c>
      <c r="Z177" s="29" t="n">
        <f aca="false">IF(OR('THÁNG 7'!$C34="",'THÁNG 7'!$B34=""),0,'THÁNG 7'!$B34)</f>
        <v>46219</v>
      </c>
    </row>
    <row r="178" customFormat="false" ht="15" hidden="false" customHeight="false" outlineLevel="0" collapsed="false">
      <c r="A178" s="0" t="n">
        <v>7</v>
      </c>
      <c r="B178" s="29" t="n">
        <f aca="false">IF(OR('THÁNG 7'!$C35="",'THÁNG 7'!$B35=""),"",'THÁNG 7'!$B35)</f>
        <v>46219</v>
      </c>
      <c r="C178" s="0" t="str">
        <f aca="false">IF('THÁNG 7'!$C35="","",'THÁNG 7'!$C35)</f>
        <v>BGB - Chị LINH CAO 100G</v>
      </c>
      <c r="D178" s="0" t="str">
        <f aca="false">IF('THÁNG 7'!$C35="","",'THÁNG 7'!$D35&amp;"")</f>
        <v>078 833 2168</v>
      </c>
      <c r="E178" s="0" t="str">
        <f aca="false">IF('THÁNG 7'!$C35="","",'THÁNG 7'!$E35&amp;"")</f>
        <v/>
      </c>
      <c r="F178" s="0" t="str">
        <f aca="false">IF('THÁNG 7'!$C35="","",'THÁNG 7'!$F35&amp;"")</f>
        <v/>
      </c>
      <c r="G178" s="0" t="str">
        <f aca="false">IF('THÁNG 7'!$C35="","",'THÁNG 7'!$G35&amp;"")</f>
        <v>115 Hai Bà Trưng, Lê Chân, Hải Phòng</v>
      </c>
      <c r="H178" s="0" t="str">
        <f aca="false">IF('THÁNG 7'!$C35="","",'THÁNG 7'!$H35&amp;"")</f>
        <v>Gấu nâu</v>
      </c>
      <c r="I178" s="30" t="n">
        <f aca="false">IF('THÁNG 7'!$C35="","",N('THÁNG 7'!$I35))</f>
        <v>100</v>
      </c>
      <c r="J178" s="30" t="n">
        <f aca="false">IF('THÁNG 7'!$C35="","",N('THÁNG 7'!$L35))</f>
        <v>4800000</v>
      </c>
      <c r="K178" s="30" t="n">
        <f aca="false">IF('THÁNG 7'!$C35="","",N('THÁNG 7'!$N35))</f>
        <v>0</v>
      </c>
      <c r="L178" s="30" t="n">
        <f aca="false">IF('THÁNG 7'!$C35="","",N('THÁNG 7'!$O35))</f>
        <v>0</v>
      </c>
      <c r="M178" s="30" t="n">
        <f aca="false">IF('THÁNG 7'!$C35="","",N('THÁNG 7'!$P35))</f>
        <v>4800000</v>
      </c>
      <c r="N178" s="30" t="n">
        <f aca="false">IF('THÁNG 7'!$C35="","",N('THÁNG 7'!$Q35))</f>
        <v>4800000</v>
      </c>
      <c r="O178" s="30" t="n">
        <f aca="false">IF('THÁNG 7'!$C35="","",N('THÁNG 7'!$R35))</f>
        <v>0</v>
      </c>
      <c r="P178" s="0" t="str">
        <f aca="false">IF(OR('THÁNG 7'!$C35="",'THÁNG 7'!$T35=""),"",'THÁNG 7'!$T35)</f>
        <v/>
      </c>
      <c r="Q178" s="0" t="str">
        <f aca="false">IF(OR('THÁNG 7'!$C35="",'THÁNG 7'!$U35=""),"",'THÁNG 7'!$U35)</f>
        <v/>
      </c>
      <c r="R178" s="0" t="str">
        <f aca="false">IF('THÁNG 7'!$C35="","",'THÁNG 7'!$W35&amp;"")</f>
        <v>Chưa có gấu làm cho khách | chuyển từ Tháng 7 dòng 125</v>
      </c>
      <c r="S178" s="0" t="str">
        <f aca="false">IF('THÁNG 7'!$C35="","",'THÁNG 7'!$S35&amp;"")</f>
        <v>Đã thanh toán</v>
      </c>
      <c r="T178" s="0" t="str">
        <f aca="false">IF(N($O178)&gt;0,COUNTIF($O$3:$O178,"&gt;0"),"")</f>
        <v/>
      </c>
      <c r="U178" s="0" t="str">
        <f aca="false">IF(AND(N($J178)&gt;0,N($K178)&gt;0),COUNTIFS($J$3:$J178,"&gt;0",$K$3:$K178,"&gt;0"),"")</f>
        <v/>
      </c>
      <c r="V178" s="30" t="n">
        <f aca="false">IF(AND(N($J178)&gt;0,N($K178)=0),COUNTIFS($J$3:$J178,"&gt;0",$K$3:$K178,"&lt;=0"),"")</f>
        <v>23</v>
      </c>
      <c r="W178" s="30" t="n">
        <f aca="false">IF($C178="","",IF(COUNTIF($C$3:$C178,$C178)&gt;1,"",MAX($W$2:W177)+1))</f>
        <v>29</v>
      </c>
      <c r="X178" s="0" t="str">
        <f aca="false">IF($H178="","",IF(COUNTIF($H$3:$H178,$H178)&gt;1,"",MAX($X$2:X177)+1))</f>
        <v/>
      </c>
      <c r="Y178" s="30" t="n">
        <f aca="false">IF(AND(N($M178)&gt;0,N($O178)&lt;=0),COUNTIFS($M$3:$M178,"&gt;0",$O$3:$O178,"&lt;=0"),"")</f>
        <v>26</v>
      </c>
      <c r="Z178" s="29" t="n">
        <f aca="false">IF(OR('THÁNG 7'!$C35="",'THÁNG 7'!$B35=""),0,'THÁNG 7'!$B35)</f>
        <v>46219</v>
      </c>
    </row>
    <row r="179" customFormat="false" ht="15" hidden="false" customHeight="false" outlineLevel="0" collapsed="false">
      <c r="A179" s="0" t="n">
        <v>7</v>
      </c>
      <c r="B179" s="29" t="n">
        <f aca="false">IF(OR('THÁNG 7'!$C36="",'THÁNG 7'!$B36=""),"",'THÁNG 7'!$B36)</f>
        <v>46219</v>
      </c>
      <c r="C179" s="0" t="str">
        <f aca="false">IF('THÁNG 7'!$C36="","",'THÁNG 7'!$C36)</f>
        <v>BGB - NHẬT ANH IQ 100C</v>
      </c>
      <c r="D179" s="0" t="str">
        <f aca="false">IF('THÁNG 7'!$C36="","",'THÁNG 7'!$D36&amp;"")</f>
        <v>0987999723</v>
      </c>
      <c r="E179" s="0" t="str">
        <f aca="false">IF('THÁNG 7'!$C36="","",'THÁNG 7'!$E36&amp;"")</f>
        <v/>
      </c>
      <c r="F179" s="0" t="str">
        <f aca="false">IF('THÁNG 7'!$C36="","",'THÁNG 7'!$F36&amp;"")</f>
        <v/>
      </c>
      <c r="G179" s="0" t="str">
        <f aca="false">IF('THÁNG 7'!$C36="","",'THÁNG 7'!$G36&amp;"")</f>
        <v>12 liền kề 2 số 90 Nguyễn Tuân, phường Thanh Xuân, Hà Nội</v>
      </c>
      <c r="H179" s="0" t="str">
        <f aca="false">IF('THÁNG 7'!$C36="","",'THÁNG 7'!$H36&amp;"")</f>
        <v>gấu trắng, gấu nâu</v>
      </c>
      <c r="I179" s="30" t="n">
        <f aca="false">IF('THÁNG 7'!$C36="","",N('THÁNG 7'!$I36))</f>
        <v>100</v>
      </c>
      <c r="J179" s="30" t="n">
        <f aca="false">IF('THÁNG 7'!$C36="","",N('THÁNG 7'!$L36))</f>
        <v>4500000</v>
      </c>
      <c r="K179" s="30" t="n">
        <f aca="false">IF('THÁNG 7'!$C36="","",N('THÁNG 7'!$N36))</f>
        <v>0</v>
      </c>
      <c r="L179" s="30" t="n">
        <f aca="false">IF('THÁNG 7'!$C36="","",N('THÁNG 7'!$O36))</f>
        <v>0</v>
      </c>
      <c r="M179" s="30" t="n">
        <f aca="false">IF('THÁNG 7'!$C36="","",N('THÁNG 7'!$P36))</f>
        <v>4500000</v>
      </c>
      <c r="N179" s="30" t="n">
        <f aca="false">IF('THÁNG 7'!$C36="","",N('THÁNG 7'!$Q36))</f>
        <v>4500000</v>
      </c>
      <c r="O179" s="30" t="n">
        <f aca="false">IF('THÁNG 7'!$C36="","",N('THÁNG 7'!$R36))</f>
        <v>0</v>
      </c>
      <c r="P179" s="0" t="str">
        <f aca="false">IF(OR('THÁNG 7'!$C36="",'THÁNG 7'!$T36=""),"",'THÁNG 7'!$T36)</f>
        <v/>
      </c>
      <c r="Q179" s="0" t="str">
        <f aca="false">IF(OR('THÁNG 7'!$C36="",'THÁNG 7'!$U36=""),"",'THÁNG 7'!$U36)</f>
        <v/>
      </c>
      <c r="R179" s="0" t="str">
        <f aca="false">IF('THÁNG 7'!$C36="","",'THÁNG 7'!$W36&amp;"")</f>
        <v>chuyển từ Tháng 7 dòng 126</v>
      </c>
      <c r="S179" s="0" t="str">
        <f aca="false">IF('THÁNG 7'!$C36="","",'THÁNG 7'!$S36&amp;"")</f>
        <v>Đã thanh toán</v>
      </c>
      <c r="T179" s="0" t="str">
        <f aca="false">IF(N($O179)&gt;0,COUNTIF($O$3:$O179,"&gt;0"),"")</f>
        <v/>
      </c>
      <c r="U179" s="0" t="str">
        <f aca="false">IF(AND(N($J179)&gt;0,N($K179)&gt;0),COUNTIFS($J$3:$J179,"&gt;0",$K$3:$K179,"&gt;0"),"")</f>
        <v/>
      </c>
      <c r="V179" s="30" t="n">
        <f aca="false">IF(AND(N($J179)&gt;0,N($K179)=0),COUNTIFS($J$3:$J179,"&gt;0",$K$3:$K179,"&lt;=0"),"")</f>
        <v>24</v>
      </c>
      <c r="W179" s="30" t="n">
        <f aca="false">IF($C179="","",IF(COUNTIF($C$3:$C179,$C179)&gt;1,"",MAX($W$2:W178)+1))</f>
        <v>30</v>
      </c>
      <c r="X179" s="0" t="str">
        <f aca="false">IF($H179="","",IF(COUNTIF($H$3:$H179,$H179)&gt;1,"",MAX($X$2:X178)+1))</f>
        <v/>
      </c>
      <c r="Y179" s="30" t="n">
        <f aca="false">IF(AND(N($M179)&gt;0,N($O179)&lt;=0),COUNTIFS($M$3:$M179,"&gt;0",$O$3:$O179,"&lt;=0"),"")</f>
        <v>27</v>
      </c>
      <c r="Z179" s="29" t="n">
        <f aca="false">IF(OR('THÁNG 7'!$C36="",'THÁNG 7'!$B36=""),0,'THÁNG 7'!$B36)</f>
        <v>46219</v>
      </c>
    </row>
    <row r="180" customFormat="false" ht="15" hidden="false" customHeight="false" outlineLevel="0" collapsed="false">
      <c r="A180" s="0" t="n">
        <v>7</v>
      </c>
      <c r="B180" s="29" t="n">
        <f aca="false">IF(OR('THÁNG 7'!$C37="",'THÁNG 7'!$B37=""),"",'THÁNG 7'!$B37)</f>
        <v>46220</v>
      </c>
      <c r="C180" s="0" t="str">
        <f aca="false">IF('THÁNG 7'!$C37="","",'THÁNG 7'!$C37)</f>
        <v>BGB - VIAEL 100g</v>
      </c>
      <c r="D180" s="0" t="str">
        <f aca="false">IF('THÁNG 7'!$C37="","",'THÁNG 7'!$D37&amp;"")</f>
        <v>0968747832</v>
      </c>
      <c r="E180" s="0" t="str">
        <f aca="false">IF('THÁNG 7'!$C37="","",'THÁNG 7'!$E37&amp;"")</f>
        <v/>
      </c>
      <c r="F180" s="0" t="str">
        <f aca="false">IF('THÁNG 7'!$C37="","",'THÁNG 7'!$F37&amp;"")</f>
        <v/>
      </c>
      <c r="G180" s="0" t="str">
        <f aca="false">IF('THÁNG 7'!$C37="","",'THÁNG 7'!$G37&amp;"")</f>
        <v>VIA English - GTMTT 02, K1 Khai Sơn city, Nguyễn Gia Bồng, Bồ Đề, HN em ạ</v>
      </c>
      <c r="H180" s="0" t="str">
        <f aca="false">IF('THÁNG 7'!$C37="","",'THÁNG 7'!$H37&amp;"")</f>
        <v>gấu ngồi lông mịn kèm mũ tn</v>
      </c>
      <c r="I180" s="30" t="n">
        <f aca="false">IF('THÁNG 7'!$C37="","",N('THÁNG 7'!$I37))</f>
        <v>100</v>
      </c>
      <c r="J180" s="30" t="n">
        <f aca="false">IF('THÁNG 7'!$C37="","",N('THÁNG 7'!$L37))</f>
        <v>4800000</v>
      </c>
      <c r="K180" s="30" t="n">
        <f aca="false">IF('THÁNG 7'!$C37="","",N('THÁNG 7'!$N37))</f>
        <v>0.08</v>
      </c>
      <c r="L180" s="30" t="n">
        <f aca="false">IF('THÁNG 7'!$C37="","",N('THÁNG 7'!$O37))</f>
        <v>384000</v>
      </c>
      <c r="M180" s="30" t="n">
        <f aca="false">IF('THÁNG 7'!$C37="","",N('THÁNG 7'!$P37))</f>
        <v>5184000</v>
      </c>
      <c r="N180" s="30" t="n">
        <f aca="false">IF('THÁNG 7'!$C37="","",N('THÁNG 7'!$Q37))</f>
        <v>2600000</v>
      </c>
      <c r="O180" s="30" t="n">
        <f aca="false">IF('THÁNG 7'!$C37="","",N('THÁNG 7'!$R37))</f>
        <v>2584000</v>
      </c>
      <c r="P180" s="0" t="str">
        <f aca="false">IF(OR('THÁNG 7'!$C37="",'THÁNG 7'!$T37=""),"",'THÁNG 7'!$T37)</f>
        <v/>
      </c>
      <c r="Q180" s="0" t="str">
        <f aca="false">IF(OR('THÁNG 7'!$C37="",'THÁNG 7'!$U37=""),"",'THÁNG 7'!$U37)</f>
        <v/>
      </c>
      <c r="R180" s="0" t="str">
        <f aca="false">IF('THÁNG 7'!$C37="","",'THÁNG 7'!$W37&amp;"")</f>
        <v>kh đang báo đi lại lệnh chuyển nốt tiền hàng | chuyển từ Tháng 7 dòng 127</v>
      </c>
      <c r="S180" s="0" t="str">
        <f aca="false">IF('THÁNG 7'!$C37="","",'THÁNG 7'!$S37&amp;"")</f>
        <v>Thanh toán một phần</v>
      </c>
      <c r="T180" s="30" t="n">
        <f aca="false">IF(N($O180)&gt;0,COUNTIF($O$3:$O180,"&gt;0"),"")</f>
        <v>4</v>
      </c>
      <c r="U180" s="30" t="n">
        <f aca="false">IF(AND(N($J180)&gt;0,N($K180)&gt;0),COUNTIFS($J$3:$J180,"&gt;0",$K$3:$K180,"&gt;0"),"")</f>
        <v>7</v>
      </c>
      <c r="V180" s="0" t="str">
        <f aca="false">IF(AND(N($J180)&gt;0,N($K180)=0),COUNTIFS($J$3:$J180,"&gt;0",$K$3:$K180,"&lt;=0"),"")</f>
        <v/>
      </c>
      <c r="W180" s="30" t="n">
        <f aca="false">IF($C180="","",IF(COUNTIF($C$3:$C180,$C180)&gt;1,"",MAX($W$2:W179)+1))</f>
        <v>31</v>
      </c>
      <c r="X180" s="30" t="n">
        <f aca="false">IF($H180="","",IF(COUNTIF($H$3:$H180,$H180)&gt;1,"",MAX($X$2:X179)+1))</f>
        <v>19</v>
      </c>
      <c r="Y180" s="0" t="str">
        <f aca="false">IF(AND(N($M180)&gt;0,N($O180)&lt;=0),COUNTIFS($M$3:$M180,"&gt;0",$O$3:$O180,"&lt;=0"),"")</f>
        <v/>
      </c>
      <c r="Z180" s="29" t="n">
        <f aca="false">IF(OR('THÁNG 7'!$C37="",'THÁNG 7'!$B37=""),0,'THÁNG 7'!$B37)</f>
        <v>46220</v>
      </c>
    </row>
    <row r="181" customFormat="false" ht="15" hidden="false" customHeight="false" outlineLevel="0" collapsed="false">
      <c r="A181" s="0" t="n">
        <v>7</v>
      </c>
      <c r="B181" s="29" t="n">
        <f aca="false">IF(OR('THÁNG 7'!$C38="",'THÁNG 7'!$B38=""),"",'THÁNG 7'!$B38)</f>
        <v>46220</v>
      </c>
      <c r="C181" s="0" t="str">
        <f aca="false">IF('THÁNG 7'!$C38="","",'THÁNG 7'!$C38)</f>
        <v>BGB - SOS 50C</v>
      </c>
      <c r="D181" s="0" t="str">
        <f aca="false">IF('THÁNG 7'!$C38="","",'THÁNG 7'!$D38&amp;"")</f>
        <v>0975.89.3388</v>
      </c>
      <c r="E181" s="0" t="str">
        <f aca="false">IF('THÁNG 7'!$C38="","",'THÁNG 7'!$E38&amp;"")</f>
        <v/>
      </c>
      <c r="F181" s="0" t="str">
        <f aca="false">IF('THÁNG 7'!$C38="","",'THÁNG 7'!$F38&amp;"")</f>
        <v/>
      </c>
      <c r="G181" s="0" t="str">
        <f aca="false">IF('THÁNG 7'!$C38="","",'THÁNG 7'!$G38&amp;"")</f>
        <v>49, ngõ 58A, Hoàng Đạo Thành, Kim Giang, Thanh Xuân</v>
      </c>
      <c r="H181" s="0" t="str">
        <f aca="false">IF('THÁNG 7'!$C38="","",'THÁNG 7'!$H38&amp;"")</f>
        <v>gấu ngồi lông mịn kèm mũ tn</v>
      </c>
      <c r="I181" s="30" t="n">
        <f aca="false">IF('THÁNG 7'!$C38="","",N('THÁNG 7'!$I38))</f>
        <v>50</v>
      </c>
      <c r="J181" s="30" t="n">
        <f aca="false">IF('THÁNG 7'!$C38="","",N('THÁNG 7'!$L38))</f>
        <v>2750000</v>
      </c>
      <c r="K181" s="30" t="n">
        <f aca="false">IF('THÁNG 7'!$C38="","",N('THÁNG 7'!$N38))</f>
        <v>0</v>
      </c>
      <c r="L181" s="30" t="n">
        <f aca="false">IF('THÁNG 7'!$C38="","",N('THÁNG 7'!$O38))</f>
        <v>0</v>
      </c>
      <c r="M181" s="30" t="n">
        <f aca="false">IF('THÁNG 7'!$C38="","",N('THÁNG 7'!$P38))</f>
        <v>2750000</v>
      </c>
      <c r="N181" s="30" t="n">
        <f aca="false">IF('THÁNG 7'!$C38="","",N('THÁNG 7'!$Q38))</f>
        <v>2750000</v>
      </c>
      <c r="O181" s="30" t="n">
        <f aca="false">IF('THÁNG 7'!$C38="","",N('THÁNG 7'!$R38))</f>
        <v>0</v>
      </c>
      <c r="P181" s="0" t="str">
        <f aca="false">IF(OR('THÁNG 7'!$C38="",'THÁNG 7'!$T38=""),"",'THÁNG 7'!$T38)</f>
        <v/>
      </c>
      <c r="Q181" s="0" t="str">
        <f aca="false">IF(OR('THÁNG 7'!$C38="",'THÁNG 7'!$U38=""),"",'THÁNG 7'!$U38)</f>
        <v/>
      </c>
      <c r="R181" s="0" t="str">
        <f aca="false">IF('THÁNG 7'!$C38="","",'THÁNG 7'!$W38&amp;"")</f>
        <v>chuyển từ Tháng 7 dòng 128</v>
      </c>
      <c r="S181" s="0" t="str">
        <f aca="false">IF('THÁNG 7'!$C38="","",'THÁNG 7'!$S38&amp;"")</f>
        <v>Đã thanh toán</v>
      </c>
      <c r="T181" s="0" t="str">
        <f aca="false">IF(N($O181)&gt;0,COUNTIF($O$3:$O181,"&gt;0"),"")</f>
        <v/>
      </c>
      <c r="U181" s="0" t="str">
        <f aca="false">IF(AND(N($J181)&gt;0,N($K181)&gt;0),COUNTIFS($J$3:$J181,"&gt;0",$K$3:$K181,"&gt;0"),"")</f>
        <v/>
      </c>
      <c r="V181" s="30" t="n">
        <f aca="false">IF(AND(N($J181)&gt;0,N($K181)=0),COUNTIFS($J$3:$J181,"&gt;0",$K$3:$K181,"&lt;=0"),"")</f>
        <v>25</v>
      </c>
      <c r="W181" s="30" t="n">
        <f aca="false">IF($C181="","",IF(COUNTIF($C$3:$C181,$C181)&gt;1,"",MAX($W$2:W180)+1))</f>
        <v>32</v>
      </c>
      <c r="X181" s="0" t="str">
        <f aca="false">IF($H181="","",IF(COUNTIF($H$3:$H181,$H181)&gt;1,"",MAX($X$2:X180)+1))</f>
        <v/>
      </c>
      <c r="Y181" s="30" t="n">
        <f aca="false">IF(AND(N($M181)&gt;0,N($O181)&lt;=0),COUNTIFS($M$3:$M181,"&gt;0",$O$3:$O181,"&lt;=0"),"")</f>
        <v>28</v>
      </c>
      <c r="Z181" s="29" t="n">
        <f aca="false">IF(OR('THÁNG 7'!$C38="",'THÁNG 7'!$B38=""),0,'THÁNG 7'!$B38)</f>
        <v>46220</v>
      </c>
    </row>
    <row r="182" customFormat="false" ht="15" hidden="false" customHeight="false" outlineLevel="0" collapsed="false">
      <c r="A182" s="0" t="n">
        <v>7</v>
      </c>
      <c r="B182" s="29" t="n">
        <f aca="false">IF(OR('THÁNG 7'!$C39="",'THÁNG 7'!$B39=""),"",'THÁNG 7'!$B39)</f>
        <v>46221</v>
      </c>
      <c r="C182" s="0" t="str">
        <f aca="false">IF('THÁNG 7'!$C39="","",'THÁNG 7'!$C39)</f>
        <v>BGB - GOLF 20C</v>
      </c>
      <c r="D182" s="0" t="str">
        <f aca="false">IF('THÁNG 7'!$C39="","",'THÁNG 7'!$D39&amp;"")</f>
        <v>0396457248</v>
      </c>
      <c r="E182" s="0" t="str">
        <f aca="false">IF('THÁNG 7'!$C39="","",'THÁNG 7'!$E39&amp;"")</f>
        <v/>
      </c>
      <c r="F182" s="0" t="str">
        <f aca="false">IF('THÁNG 7'!$C39="","",'THÁNG 7'!$F39&amp;"")</f>
        <v/>
      </c>
      <c r="G182" s="0" t="str">
        <f aca="false">IF('THÁNG 7'!$C39="","",'THÁNG 7'!$G39&amp;"")</f>
        <v>Sân golf Đầm Vạc, đường Đinh Tiên Hoàng, phường Vĩnh Phúc, Phú Thọ</v>
      </c>
      <c r="H182" s="0" t="str">
        <f aca="false">IF('THÁNG 7'!$C39="","",'THÁNG 7'!$H39&amp;"")</f>
        <v>gấu trắng</v>
      </c>
      <c r="I182" s="30" t="n">
        <f aca="false">IF('THÁNG 7'!$C39="","",N('THÁNG 7'!$I39))</f>
        <v>20</v>
      </c>
      <c r="J182" s="30" t="n">
        <f aca="false">IF('THÁNG 7'!$C39="","",N('THÁNG 7'!$L39))</f>
        <v>1100000</v>
      </c>
      <c r="K182" s="30" t="n">
        <f aca="false">IF('THÁNG 7'!$C39="","",N('THÁNG 7'!$N39))</f>
        <v>0.08</v>
      </c>
      <c r="L182" s="30" t="n">
        <f aca="false">IF('THÁNG 7'!$C39="","",N('THÁNG 7'!$O39))</f>
        <v>88000</v>
      </c>
      <c r="M182" s="30" t="n">
        <f aca="false">IF('THÁNG 7'!$C39="","",N('THÁNG 7'!$P39))</f>
        <v>1188000</v>
      </c>
      <c r="N182" s="30" t="n">
        <f aca="false">IF('THÁNG 7'!$C39="","",N('THÁNG 7'!$Q39))</f>
        <v>1188000</v>
      </c>
      <c r="O182" s="30" t="n">
        <f aca="false">IF('THÁNG 7'!$C39="","",N('THÁNG 7'!$R39))</f>
        <v>0</v>
      </c>
      <c r="P182" s="0" t="str">
        <f aca="false">IF(OR('THÁNG 7'!$C39="",'THÁNG 7'!$T39=""),"",'THÁNG 7'!$T39)</f>
        <v/>
      </c>
      <c r="Q182" s="0" t="str">
        <f aca="false">IF(OR('THÁNG 7'!$C39="",'THÁNG 7'!$U39=""),"",'THÁNG 7'!$U39)</f>
        <v/>
      </c>
      <c r="R182" s="0" t="str">
        <f aca="false">IF('THÁNG 7'!$C39="","",'THÁNG 7'!$W39&amp;"")</f>
        <v>chuyển từ Tháng 7 dòng 129</v>
      </c>
      <c r="S182" s="0" t="str">
        <f aca="false">IF('THÁNG 7'!$C39="","",'THÁNG 7'!$S39&amp;"")</f>
        <v>Đã thanh toán</v>
      </c>
      <c r="T182" s="0" t="str">
        <f aca="false">IF(N($O182)&gt;0,COUNTIF($O$3:$O182,"&gt;0"),"")</f>
        <v/>
      </c>
      <c r="U182" s="30" t="n">
        <f aca="false">IF(AND(N($J182)&gt;0,N($K182)&gt;0),COUNTIFS($J$3:$J182,"&gt;0",$K$3:$K182,"&gt;0"),"")</f>
        <v>8</v>
      </c>
      <c r="V182" s="0" t="str">
        <f aca="false">IF(AND(N($J182)&gt;0,N($K182)=0),COUNTIFS($J$3:$J182,"&gt;0",$K$3:$K182,"&lt;=0"),"")</f>
        <v/>
      </c>
      <c r="W182" s="30" t="n">
        <f aca="false">IF($C182="","",IF(COUNTIF($C$3:$C182,$C182)&gt;1,"",MAX($W$2:W181)+1))</f>
        <v>33</v>
      </c>
      <c r="X182" s="0" t="str">
        <f aca="false">IF($H182="","",IF(COUNTIF($H$3:$H182,$H182)&gt;1,"",MAX($X$2:X181)+1))</f>
        <v/>
      </c>
      <c r="Y182" s="30" t="n">
        <f aca="false">IF(AND(N($M182)&gt;0,N($O182)&lt;=0),COUNTIFS($M$3:$M182,"&gt;0",$O$3:$O182,"&lt;=0"),"")</f>
        <v>29</v>
      </c>
      <c r="Z182" s="29" t="n">
        <f aca="false">IF(OR('THÁNG 7'!$C39="",'THÁNG 7'!$B39=""),0,'THÁNG 7'!$B39)</f>
        <v>46221</v>
      </c>
    </row>
    <row r="183" customFormat="false" ht="15" hidden="false" customHeight="false" outlineLevel="0" collapsed="false">
      <c r="A183" s="0" t="n">
        <v>7</v>
      </c>
      <c r="B183" s="29" t="n">
        <f aca="false">IF(OR('THÁNG 7'!$C40="",'THÁNG 7'!$B40=""),"",'THÁNG 7'!$B40)</f>
        <v>46223</v>
      </c>
      <c r="C183" s="0" t="str">
        <f aca="false">IF('THÁNG 7'!$C40="","",'THÁNG 7'!$C40)</f>
        <v>BGB - GOLF 20C</v>
      </c>
      <c r="D183" s="0" t="str">
        <f aca="false">IF('THÁNG 7'!$C40="","",'THÁNG 7'!$D40&amp;"")</f>
        <v>0396457249</v>
      </c>
      <c r="E183" s="0" t="str">
        <f aca="false">IF('THÁNG 7'!$C40="","",'THÁNG 7'!$E40&amp;"")</f>
        <v/>
      </c>
      <c r="F183" s="0" t="str">
        <f aca="false">IF('THÁNG 7'!$C40="","",'THÁNG 7'!$F40&amp;"")</f>
        <v/>
      </c>
      <c r="G183" s="0" t="str">
        <f aca="false">IF('THÁNG 7'!$C40="","",'THÁNG 7'!$G40&amp;"")</f>
        <v>Sân golf Đầm Vạc, đường Đinh Tiên Hoàng, phường Vĩnh Phúc, Phú Thọ</v>
      </c>
      <c r="H183" s="0" t="str">
        <f aca="false">IF('THÁNG 7'!$C40="","",'THÁNG 7'!$H40&amp;"")</f>
        <v>gấu trắng</v>
      </c>
      <c r="I183" s="30" t="n">
        <f aca="false">IF('THÁNG 7'!$C40="","",N('THÁNG 7'!$I40))</f>
        <v>30</v>
      </c>
      <c r="J183" s="30" t="n">
        <f aca="false">IF('THÁNG 7'!$C40="","",N('THÁNG 7'!$L40))</f>
        <v>1560000</v>
      </c>
      <c r="K183" s="30" t="n">
        <f aca="false">IF('THÁNG 7'!$C40="","",N('THÁNG 7'!$N40))</f>
        <v>0.08</v>
      </c>
      <c r="L183" s="30" t="n">
        <f aca="false">IF('THÁNG 7'!$C40="","",N('THÁNG 7'!$O40))</f>
        <v>124800</v>
      </c>
      <c r="M183" s="30" t="n">
        <f aca="false">IF('THÁNG 7'!$C40="","",N('THÁNG 7'!$P40))</f>
        <v>1684800</v>
      </c>
      <c r="N183" s="30" t="n">
        <f aca="false">IF('THÁNG 7'!$C40="","",N('THÁNG 7'!$Q40))</f>
        <v>1684800</v>
      </c>
      <c r="O183" s="30" t="n">
        <f aca="false">IF('THÁNG 7'!$C40="","",N('THÁNG 7'!$R40))</f>
        <v>0</v>
      </c>
      <c r="P183" s="0" t="str">
        <f aca="false">IF(OR('THÁNG 7'!$C40="",'THÁNG 7'!$T40=""),"",'THÁNG 7'!$T40)</f>
        <v/>
      </c>
      <c r="Q183" s="0" t="str">
        <f aca="false">IF(OR('THÁNG 7'!$C40="",'THÁNG 7'!$U40=""),"",'THÁNG 7'!$U40)</f>
        <v/>
      </c>
      <c r="R183" s="0" t="str">
        <f aca="false">IF('THÁNG 7'!$C40="","",'THÁNG 7'!$W40&amp;"")</f>
        <v>chuyển từ Tháng 7 dòng 130</v>
      </c>
      <c r="S183" s="0" t="str">
        <f aca="false">IF('THÁNG 7'!$C40="","",'THÁNG 7'!$S40&amp;"")</f>
        <v>Đã thanh toán</v>
      </c>
      <c r="T183" s="0" t="str">
        <f aca="false">IF(N($O183)&gt;0,COUNTIF($O$3:$O183,"&gt;0"),"")</f>
        <v/>
      </c>
      <c r="U183" s="30" t="n">
        <f aca="false">IF(AND(N($J183)&gt;0,N($K183)&gt;0),COUNTIFS($J$3:$J183,"&gt;0",$K$3:$K183,"&gt;0"),"")</f>
        <v>9</v>
      </c>
      <c r="V183" s="0" t="str">
        <f aca="false">IF(AND(N($J183)&gt;0,N($K183)=0),COUNTIFS($J$3:$J183,"&gt;0",$K$3:$K183,"&lt;=0"),"")</f>
        <v/>
      </c>
      <c r="W183" s="0" t="str">
        <f aca="false">IF($C183="","",IF(COUNTIF($C$3:$C183,$C183)&gt;1,"",MAX($W$2:W182)+1))</f>
        <v/>
      </c>
      <c r="X183" s="0" t="str">
        <f aca="false">IF($H183="","",IF(COUNTIF($H$3:$H183,$H183)&gt;1,"",MAX($X$2:X182)+1))</f>
        <v/>
      </c>
      <c r="Y183" s="30" t="n">
        <f aca="false">IF(AND(N($M183)&gt;0,N($O183)&lt;=0),COUNTIFS($M$3:$M183,"&gt;0",$O$3:$O183,"&lt;=0"),"")</f>
        <v>30</v>
      </c>
      <c r="Z183" s="29" t="n">
        <f aca="false">IF(OR('THÁNG 7'!$C40="",'THÁNG 7'!$B40=""),0,'THÁNG 7'!$B40)</f>
        <v>46223</v>
      </c>
    </row>
    <row r="184" customFormat="false" ht="15" hidden="false" customHeight="false" outlineLevel="0" collapsed="false">
      <c r="A184" s="0" t="n">
        <v>7</v>
      </c>
      <c r="B184" s="29" t="n">
        <f aca="false">IF(OR('THÁNG 7'!$C41="",'THÁNG 7'!$B41=""),"",'THÁNG 7'!$B41)</f>
        <v>46223</v>
      </c>
      <c r="C184" s="0" t="str">
        <f aca="false">IF('THÁNG 7'!$C41="","",'THÁNG 7'!$C41)</f>
        <v>BGB - BGB - KIDS 80 GỐI, 80 GẤU</v>
      </c>
      <c r="D184" s="0" t="str">
        <f aca="false">IF('THÁNG 7'!$C41="","",'THÁNG 7'!$D41&amp;"")</f>
        <v>0986665266</v>
      </c>
      <c r="E184" s="0" t="str">
        <f aca="false">IF('THÁNG 7'!$C41="","",'THÁNG 7'!$E41&amp;"")</f>
        <v/>
      </c>
      <c r="F184" s="0" t="str">
        <f aca="false">IF('THÁNG 7'!$C41="","",'THÁNG 7'!$F41&amp;"")</f>
        <v/>
      </c>
      <c r="G184" s="0" t="str">
        <f aca="false">IF('THÁNG 7'!$C41="","",'THÁNG 7'!$G41&amp;"")</f>
        <v>số 70- cầu thang C- Chung cư Suối Hoa- Phường Suối Hoa- TP Bắc Ninh.</v>
      </c>
      <c r="H184" s="0" t="str">
        <f aca="false">IF('THÁNG 7'!$C41="","",'THÁNG 7'!$H41&amp;"")</f>
        <v>gấu nâu 30cm</v>
      </c>
      <c r="I184" s="30" t="n">
        <f aca="false">IF('THÁNG 7'!$C41="","",N('THÁNG 7'!$I41))</f>
        <v>80</v>
      </c>
      <c r="J184" s="30" t="n">
        <f aca="false">IF('THÁNG 7'!$C41="","",N('THÁNG 7'!$L41))</f>
        <v>3760000</v>
      </c>
      <c r="K184" s="30" t="n">
        <f aca="false">IF('THÁNG 7'!$C41="","",N('THÁNG 7'!$N41))</f>
        <v>0</v>
      </c>
      <c r="L184" s="30" t="n">
        <f aca="false">IF('THÁNG 7'!$C41="","",N('THÁNG 7'!$O41))</f>
        <v>0</v>
      </c>
      <c r="M184" s="30" t="n">
        <f aca="false">IF('THÁNG 7'!$C41="","",N('THÁNG 7'!$P41))</f>
        <v>3760000</v>
      </c>
      <c r="N184" s="30" t="n">
        <f aca="false">IF('THÁNG 7'!$C41="","",N('THÁNG 7'!$Q41))</f>
        <v>3760000</v>
      </c>
      <c r="O184" s="30" t="n">
        <f aca="false">IF('THÁNG 7'!$C41="","",N('THÁNG 7'!$R41))</f>
        <v>0</v>
      </c>
      <c r="P184" s="0" t="str">
        <f aca="false">IF(OR('THÁNG 7'!$C41="",'THÁNG 7'!$T41=""),"",'THÁNG 7'!$T41)</f>
        <v/>
      </c>
      <c r="Q184" s="0" t="str">
        <f aca="false">IF(OR('THÁNG 7'!$C41="",'THÁNG 7'!$U41=""),"",'THÁNG 7'!$U41)</f>
        <v/>
      </c>
      <c r="R184" s="0" t="str">
        <f aca="false">IF('THÁNG 7'!$C41="","",'THÁNG 7'!$W41&amp;"")</f>
        <v>chuyển từ Tháng 7 dòng 131</v>
      </c>
      <c r="S184" s="0" t="str">
        <f aca="false">IF('THÁNG 7'!$C41="","",'THÁNG 7'!$S41&amp;"")</f>
        <v>Đã thanh toán</v>
      </c>
      <c r="T184" s="0" t="str">
        <f aca="false">IF(N($O184)&gt;0,COUNTIF($O$3:$O184,"&gt;0"),"")</f>
        <v/>
      </c>
      <c r="U184" s="0" t="str">
        <f aca="false">IF(AND(N($J184)&gt;0,N($K184)&gt;0),COUNTIFS($J$3:$J184,"&gt;0",$K$3:$K184,"&gt;0"),"")</f>
        <v/>
      </c>
      <c r="V184" s="30" t="n">
        <f aca="false">IF(AND(N($J184)&gt;0,N($K184)=0),COUNTIFS($J$3:$J184,"&gt;0",$K$3:$K184,"&lt;=0"),"")</f>
        <v>26</v>
      </c>
      <c r="W184" s="30" t="n">
        <f aca="false">IF($C184="","",IF(COUNTIF($C$3:$C184,$C184)&gt;1,"",MAX($W$2:W183)+1))</f>
        <v>34</v>
      </c>
      <c r="X184" s="0" t="str">
        <f aca="false">IF($H184="","",IF(COUNTIF($H$3:$H184,$H184)&gt;1,"",MAX($X$2:X183)+1))</f>
        <v/>
      </c>
      <c r="Y184" s="30" t="n">
        <f aca="false">IF(AND(N($M184)&gt;0,N($O184)&lt;=0),COUNTIFS($M$3:$M184,"&gt;0",$O$3:$O184,"&lt;=0"),"")</f>
        <v>31</v>
      </c>
      <c r="Z184" s="29" t="n">
        <f aca="false">IF(OR('THÁNG 7'!$C41="",'THÁNG 7'!$B41=""),0,'THÁNG 7'!$B41)</f>
        <v>46223</v>
      </c>
    </row>
    <row r="185" customFormat="false" ht="15" hidden="false" customHeight="false" outlineLevel="0" collapsed="false">
      <c r="A185" s="0" t="n">
        <v>7</v>
      </c>
      <c r="B185" s="29" t="n">
        <f aca="false">IF(OR('THÁNG 7'!$C42="",'THÁNG 7'!$B42=""),"",'THÁNG 7'!$B42)</f>
        <v>46223</v>
      </c>
      <c r="C185" s="0" t="str">
        <f aca="false">IF('THÁNG 7'!$C42="","",'THÁNG 7'!$C42)</f>
        <v>BGB - BGB - KIDS 80 GỐI, 80 GẤU</v>
      </c>
      <c r="D185" s="0" t="str">
        <f aca="false">IF('THÁNG 7'!$C42="","",'THÁNG 7'!$D42&amp;"")</f>
        <v>0986665267</v>
      </c>
      <c r="E185" s="0" t="str">
        <f aca="false">IF('THÁNG 7'!$C42="","",'THÁNG 7'!$E42&amp;"")</f>
        <v/>
      </c>
      <c r="F185" s="0" t="str">
        <f aca="false">IF('THÁNG 7'!$C42="","",'THÁNG 7'!$F42&amp;"")</f>
        <v/>
      </c>
      <c r="G185" s="0" t="str">
        <f aca="false">IF('THÁNG 7'!$C42="","",'THÁNG 7'!$G42&amp;"")</f>
        <v>số 70- cầu thang C- Chung cư Suối Hoa- Phường Suối Hoa- TP Bắc Ninh.</v>
      </c>
      <c r="H185" s="0" t="str">
        <f aca="false">IF('THÁNG 7'!$C42="","",'THÁNG 7'!$H42&amp;"")</f>
        <v>gối chữ U</v>
      </c>
      <c r="I185" s="30" t="n">
        <f aca="false">IF('THÁNG 7'!$C42="","",N('THÁNG 7'!$I42))</f>
        <v>80</v>
      </c>
      <c r="J185" s="30" t="n">
        <f aca="false">IF('THÁNG 7'!$C42="","",N('THÁNG 7'!$L42))</f>
        <v>4160000</v>
      </c>
      <c r="K185" s="30" t="n">
        <f aca="false">IF('THÁNG 7'!$C42="","",N('THÁNG 7'!$N42))</f>
        <v>0</v>
      </c>
      <c r="L185" s="30" t="n">
        <f aca="false">IF('THÁNG 7'!$C42="","",N('THÁNG 7'!$O42))</f>
        <v>0</v>
      </c>
      <c r="M185" s="30" t="n">
        <f aca="false">IF('THÁNG 7'!$C42="","",N('THÁNG 7'!$P42))</f>
        <v>4160000</v>
      </c>
      <c r="N185" s="30" t="n">
        <f aca="false">IF('THÁNG 7'!$C42="","",N('THÁNG 7'!$Q42))</f>
        <v>4160000</v>
      </c>
      <c r="O185" s="30" t="n">
        <f aca="false">IF('THÁNG 7'!$C42="","",N('THÁNG 7'!$R42))</f>
        <v>0</v>
      </c>
      <c r="P185" s="0" t="str">
        <f aca="false">IF(OR('THÁNG 7'!$C42="",'THÁNG 7'!$T42=""),"",'THÁNG 7'!$T42)</f>
        <v/>
      </c>
      <c r="Q185" s="0" t="str">
        <f aca="false">IF(OR('THÁNG 7'!$C42="",'THÁNG 7'!$U42=""),"",'THÁNG 7'!$U42)</f>
        <v/>
      </c>
      <c r="R185" s="0" t="str">
        <f aca="false">IF('THÁNG 7'!$C42="","",'THÁNG 7'!$W42&amp;"")</f>
        <v>chuyển từ Tháng 7 dòng 132</v>
      </c>
      <c r="S185" s="0" t="str">
        <f aca="false">IF('THÁNG 7'!$C42="","",'THÁNG 7'!$S42&amp;"")</f>
        <v>Đã thanh toán</v>
      </c>
      <c r="T185" s="0" t="str">
        <f aca="false">IF(N($O185)&gt;0,COUNTIF($O$3:$O185,"&gt;0"),"")</f>
        <v/>
      </c>
      <c r="U185" s="0" t="str">
        <f aca="false">IF(AND(N($J185)&gt;0,N($K185)&gt;0),COUNTIFS($J$3:$J185,"&gt;0",$K$3:$K185,"&gt;0"),"")</f>
        <v/>
      </c>
      <c r="V185" s="30" t="n">
        <f aca="false">IF(AND(N($J185)&gt;0,N($K185)=0),COUNTIFS($J$3:$J185,"&gt;0",$K$3:$K185,"&lt;=0"),"")</f>
        <v>27</v>
      </c>
      <c r="W185" s="0" t="str">
        <f aca="false">IF($C185="","",IF(COUNTIF($C$3:$C185,$C185)&gt;1,"",MAX($W$2:W184)+1))</f>
        <v/>
      </c>
      <c r="X185" s="0" t="str">
        <f aca="false">IF($H185="","",IF(COUNTIF($H$3:$H185,$H185)&gt;1,"",MAX($X$2:X184)+1))</f>
        <v/>
      </c>
      <c r="Y185" s="30" t="n">
        <f aca="false">IF(AND(N($M185)&gt;0,N($O185)&lt;=0),COUNTIFS($M$3:$M185,"&gt;0",$O$3:$O185,"&lt;=0"),"")</f>
        <v>32</v>
      </c>
      <c r="Z185" s="29" t="n">
        <f aca="false">IF(OR('THÁNG 7'!$C42="",'THÁNG 7'!$B42=""),0,'THÁNG 7'!$B42)</f>
        <v>46223</v>
      </c>
    </row>
    <row r="186" customFormat="false" ht="15" hidden="false" customHeight="false" outlineLevel="0" collapsed="false">
      <c r="A186" s="0" t="n">
        <v>7</v>
      </c>
      <c r="B186" s="29" t="n">
        <f aca="false">IF(OR('THÁNG 7'!$C43="",'THÁNG 7'!$B43=""),"",'THÁNG 7'!$B43)</f>
        <v>46223</v>
      </c>
      <c r="C186" s="0" t="str">
        <f aca="false">IF('THÁNG 7'!$C43="","",'THÁNG 7'!$C43)</f>
        <v>BGB - K2 NBK 130C</v>
      </c>
      <c r="D186" s="0" t="str">
        <f aca="false">IF('THÁNG 7'!$C43="","",'THÁNG 7'!$D43&amp;"")</f>
        <v>0914121088</v>
      </c>
      <c r="E186" s="0" t="str">
        <f aca="false">IF('THÁNG 7'!$C43="","",'THÁNG 7'!$E43&amp;"")</f>
        <v/>
      </c>
      <c r="F186" s="0" t="str">
        <f aca="false">IF('THÁNG 7'!$C43="","",'THÁNG 7'!$F43&amp;"")</f>
        <v/>
      </c>
      <c r="G186" s="0" t="str">
        <f aca="false">IF('THÁNG 7'!$C43="","",'THÁNG 7'!$G43&amp;"")</f>
        <v>Gần Nguyễn Hoàng (đoạn đường tránh qua TP. Tam Kỳ)</v>
      </c>
      <c r="H186" s="0" t="str">
        <f aca="false">IF('THÁNG 7'!$C43="","",'THÁNG 7'!$H43&amp;"")</f>
        <v>gấu nâu 30cm</v>
      </c>
      <c r="I186" s="30" t="n">
        <f aca="false">IF('THÁNG 7'!$C43="","",N('THÁNG 7'!$I43))</f>
        <v>130</v>
      </c>
      <c r="J186" s="30" t="n">
        <f aca="false">IF('THÁNG 7'!$C43="","",N('THÁNG 7'!$L43))</f>
        <v>6110000</v>
      </c>
      <c r="K186" s="30" t="n">
        <f aca="false">IF('THÁNG 7'!$C43="","",N('THÁNG 7'!$N43))</f>
        <v>0</v>
      </c>
      <c r="L186" s="30" t="n">
        <f aca="false">IF('THÁNG 7'!$C43="","",N('THÁNG 7'!$O43))</f>
        <v>0</v>
      </c>
      <c r="M186" s="30" t="n">
        <f aca="false">IF('THÁNG 7'!$C43="","",N('THÁNG 7'!$P43))</f>
        <v>6110000</v>
      </c>
      <c r="N186" s="30" t="n">
        <f aca="false">IF('THÁNG 7'!$C43="","",N('THÁNG 7'!$Q43))</f>
        <v>6110000</v>
      </c>
      <c r="O186" s="30" t="n">
        <f aca="false">IF('THÁNG 7'!$C43="","",N('THÁNG 7'!$R43))</f>
        <v>0</v>
      </c>
      <c r="P186" s="0" t="str">
        <f aca="false">IF(OR('THÁNG 7'!$C43="",'THÁNG 7'!$T43=""),"",'THÁNG 7'!$T43)</f>
        <v/>
      </c>
      <c r="Q186" s="0" t="str">
        <f aca="false">IF(OR('THÁNG 7'!$C43="",'THÁNG 7'!$U43=""),"",'THÁNG 7'!$U43)</f>
        <v/>
      </c>
      <c r="R186" s="0" t="str">
        <f aca="false">IF('THÁNG 7'!$C43="","",'THÁNG 7'!$W43&amp;"")</f>
        <v>chuyển từ Tháng 7 dòng 133</v>
      </c>
      <c r="S186" s="0" t="str">
        <f aca="false">IF('THÁNG 7'!$C43="","",'THÁNG 7'!$S43&amp;"")</f>
        <v>Đã thanh toán</v>
      </c>
      <c r="T186" s="0" t="str">
        <f aca="false">IF(N($O186)&gt;0,COUNTIF($O$3:$O186,"&gt;0"),"")</f>
        <v/>
      </c>
      <c r="U186" s="0" t="str">
        <f aca="false">IF(AND(N($J186)&gt;0,N($K186)&gt;0),COUNTIFS($J$3:$J186,"&gt;0",$K$3:$K186,"&gt;0"),"")</f>
        <v/>
      </c>
      <c r="V186" s="30" t="n">
        <f aca="false">IF(AND(N($J186)&gt;0,N($K186)=0),COUNTIFS($J$3:$J186,"&gt;0",$K$3:$K186,"&lt;=0"),"")</f>
        <v>28</v>
      </c>
      <c r="W186" s="30" t="n">
        <f aca="false">IF($C186="","",IF(COUNTIF($C$3:$C186,$C186)&gt;1,"",MAX($W$2:W185)+1))</f>
        <v>35</v>
      </c>
      <c r="X186" s="0" t="str">
        <f aca="false">IF($H186="","",IF(COUNTIF($H$3:$H186,$H186)&gt;1,"",MAX($X$2:X185)+1))</f>
        <v/>
      </c>
      <c r="Y186" s="30" t="n">
        <f aca="false">IF(AND(N($M186)&gt;0,N($O186)&lt;=0),COUNTIFS($M$3:$M186,"&gt;0",$O$3:$O186,"&lt;=0"),"")</f>
        <v>33</v>
      </c>
      <c r="Z186" s="29" t="n">
        <f aca="false">IF(OR('THÁNG 7'!$C43="",'THÁNG 7'!$B43=""),0,'THÁNG 7'!$B43)</f>
        <v>46223</v>
      </c>
    </row>
    <row r="187" customFormat="false" ht="15" hidden="false" customHeight="false" outlineLevel="0" collapsed="false">
      <c r="A187" s="0" t="n">
        <v>7</v>
      </c>
      <c r="B187" s="29" t="n">
        <f aca="false">IF(OR('THÁNG 7'!$C44="",'THÁNG 7'!$B44=""),"",'THÁNG 7'!$B44)</f>
        <v>46223</v>
      </c>
      <c r="C187" s="0" t="str">
        <f aca="false">IF('THÁNG 7'!$C44="","",'THÁNG 7'!$C44)</f>
        <v>BGB - RAIN 50G</v>
      </c>
      <c r="D187" s="0" t="str">
        <f aca="false">IF('THÁNG 7'!$C44="","",'THÁNG 7'!$D44&amp;"")</f>
        <v>0394305093</v>
      </c>
      <c r="E187" s="0" t="str">
        <f aca="false">IF('THÁNG 7'!$C44="","",'THÁNG 7'!$E44&amp;"")</f>
        <v>babinh.ho@gmail.com</v>
      </c>
      <c r="F187" s="0" t="str">
        <f aca="false">IF('THÁNG 7'!$C44="","",'THÁNG 7'!$F44&amp;"")</f>
        <v>3801300120</v>
      </c>
      <c r="G187" s="0" t="str">
        <f aca="false">IF('THÁNG 7'!$C44="","",'THÁNG 7'!$G44&amp;"")</f>
        <v>TỔ 3 ẤP ĐỒNG NƠ 5, PHƯỜNG TÂN KHAI, TP ĐỒNG NAI</v>
      </c>
      <c r="H187" s="0" t="str">
        <f aca="false">IF('THÁNG 7'!$C44="","",'THÁNG 7'!$H44&amp;"")</f>
        <v>gấu trắng</v>
      </c>
      <c r="I187" s="30" t="n">
        <f aca="false">IF('THÁNG 7'!$C44="","",N('THÁNG 7'!$I44))</f>
        <v>50</v>
      </c>
      <c r="J187" s="30" t="n">
        <f aca="false">IF('THÁNG 7'!$C44="","",N('THÁNG 7'!$L44))</f>
        <v>2400000</v>
      </c>
      <c r="K187" s="30" t="n">
        <f aca="false">IF('THÁNG 7'!$C44="","",N('THÁNG 7'!$N44))</f>
        <v>0.08</v>
      </c>
      <c r="L187" s="30" t="n">
        <f aca="false">IF('THÁNG 7'!$C44="","",N('THÁNG 7'!$O44))</f>
        <v>192000</v>
      </c>
      <c r="M187" s="30" t="n">
        <f aca="false">IF('THÁNG 7'!$C44="","",N('THÁNG 7'!$P44))</f>
        <v>2592000</v>
      </c>
      <c r="N187" s="30" t="n">
        <f aca="false">IF('THÁNG 7'!$C44="","",N('THÁNG 7'!$Q44))</f>
        <v>2400000</v>
      </c>
      <c r="O187" s="30" t="n">
        <f aca="false">IF('THÁNG 7'!$C44="","",N('THÁNG 7'!$R44))</f>
        <v>192000</v>
      </c>
      <c r="P187" s="0" t="str">
        <f aca="false">IF(OR('THÁNG 7'!$C44="",'THÁNG 7'!$T44=""),"",'THÁNG 7'!$T44)</f>
        <v/>
      </c>
      <c r="Q187" s="0" t="str">
        <f aca="false">IF(OR('THÁNG 7'!$C44="",'THÁNG 7'!$U44=""),"",'THÁNG 7'!$U44)</f>
        <v/>
      </c>
      <c r="R187" s="0" t="str">
        <f aca="false">IF('THÁNG 7'!$C44="","",'THÁNG 7'!$W44&amp;"")</f>
        <v>chuyển từ Tháng 7 dòng 134</v>
      </c>
      <c r="S187" s="0" t="str">
        <f aca="false">IF('THÁNG 7'!$C44="","",'THÁNG 7'!$S44&amp;"")</f>
        <v>Thanh toán một phần</v>
      </c>
      <c r="T187" s="30" t="n">
        <f aca="false">IF(N($O187)&gt;0,COUNTIF($O$3:$O187,"&gt;0"),"")</f>
        <v>5</v>
      </c>
      <c r="U187" s="30" t="n">
        <f aca="false">IF(AND(N($J187)&gt;0,N($K187)&gt;0),COUNTIFS($J$3:$J187,"&gt;0",$K$3:$K187,"&gt;0"),"")</f>
        <v>10</v>
      </c>
      <c r="V187" s="0" t="str">
        <f aca="false">IF(AND(N($J187)&gt;0,N($K187)=0),COUNTIFS($J$3:$J187,"&gt;0",$K$3:$K187,"&lt;=0"),"")</f>
        <v/>
      </c>
      <c r="W187" s="30" t="n">
        <f aca="false">IF($C187="","",IF(COUNTIF($C$3:$C187,$C187)&gt;1,"",MAX($W$2:W186)+1))</f>
        <v>36</v>
      </c>
      <c r="X187" s="0" t="str">
        <f aca="false">IF($H187="","",IF(COUNTIF($H$3:$H187,$H187)&gt;1,"",MAX($X$2:X186)+1))</f>
        <v/>
      </c>
      <c r="Y187" s="0" t="str">
        <f aca="false">IF(AND(N($M187)&gt;0,N($O187)&lt;=0),COUNTIFS($M$3:$M187,"&gt;0",$O$3:$O187,"&lt;=0"),"")</f>
        <v/>
      </c>
      <c r="Z187" s="29" t="n">
        <f aca="false">IF(OR('THÁNG 7'!$C44="",'THÁNG 7'!$B44=""),0,'THÁNG 7'!$B44)</f>
        <v>46223</v>
      </c>
    </row>
    <row r="188" customFormat="false" ht="15" hidden="false" customHeight="false" outlineLevel="0" collapsed="false">
      <c r="A188" s="0" t="n">
        <v>7</v>
      </c>
      <c r="B188" s="29" t="n">
        <f aca="false">IF(OR('THÁNG 7'!$C45="",'THÁNG 7'!$B45=""),"",'THÁNG 7'!$B45)</f>
        <v>46224</v>
      </c>
      <c r="C188" s="0" t="str">
        <f aca="false">IF('THÁNG 7'!$C45="","",'THÁNG 7'!$C45)</f>
        <v>BGB - HÀO QUANG 30G</v>
      </c>
      <c r="D188" s="0" t="str">
        <f aca="false">IF('THÁNG 7'!$C45="","",'THÁNG 7'!$D45&amp;"")</f>
        <v>0941012666</v>
      </c>
      <c r="E188" s="0" t="str">
        <f aca="false">IF('THÁNG 7'!$C45="","",'THÁNG 7'!$E45&amp;"")</f>
        <v>gohaoquang@gmail.com</v>
      </c>
      <c r="F188" s="0" t="str">
        <f aca="false">IF('THÁNG 7'!$C45="","",'THÁNG 7'!$F45&amp;"")</f>
        <v>3000 380 533</v>
      </c>
      <c r="G188" s="0" t="str">
        <f aca="false">IF('THÁNG 7'!$C45="","",'THÁNG 7'!$G45&amp;"")</f>
        <v>số 5, đường 26/3, phường Thành Sen, Hà Tĩnh</v>
      </c>
      <c r="H188" s="0" t="str">
        <f aca="false">IF('THÁNG 7'!$C45="","",'THÁNG 7'!$H45&amp;"")</f>
        <v>gấu trắng</v>
      </c>
      <c r="I188" s="30" t="n">
        <f aca="false">IF('THÁNG 7'!$C45="","",N('THÁNG 7'!$I45))</f>
        <v>30</v>
      </c>
      <c r="J188" s="30" t="n">
        <f aca="false">IF('THÁNG 7'!$C45="","",N('THÁNG 7'!$L45))</f>
        <v>1500000</v>
      </c>
      <c r="K188" s="30" t="n">
        <f aca="false">IF('THÁNG 7'!$C45="","",N('THÁNG 7'!$N45))</f>
        <v>0.08</v>
      </c>
      <c r="L188" s="30" t="n">
        <f aca="false">IF('THÁNG 7'!$C45="","",N('THÁNG 7'!$O45))</f>
        <v>120000</v>
      </c>
      <c r="M188" s="30" t="n">
        <f aca="false">IF('THÁNG 7'!$C45="","",N('THÁNG 7'!$P45))</f>
        <v>1620000</v>
      </c>
      <c r="N188" s="30" t="n">
        <f aca="false">IF('THÁNG 7'!$C45="","",N('THÁNG 7'!$Q45))</f>
        <v>1620000</v>
      </c>
      <c r="O188" s="30" t="n">
        <f aca="false">IF('THÁNG 7'!$C45="","",N('THÁNG 7'!$R45))</f>
        <v>0</v>
      </c>
      <c r="P188" s="0" t="str">
        <f aca="false">IF(OR('THÁNG 7'!$C45="",'THÁNG 7'!$T45=""),"",'THÁNG 7'!$T45)</f>
        <v/>
      </c>
      <c r="Q188" s="0" t="str">
        <f aca="false">IF(OR('THÁNG 7'!$C45="",'THÁNG 7'!$U45=""),"",'THÁNG 7'!$U45)</f>
        <v/>
      </c>
      <c r="R188" s="0" t="str">
        <f aca="false">IF('THÁNG 7'!$C45="","",'THÁNG 7'!$W45&amp;"")</f>
        <v>chuyển từ Tháng 7 dòng 135</v>
      </c>
      <c r="S188" s="0" t="str">
        <f aca="false">IF('THÁNG 7'!$C45="","",'THÁNG 7'!$S45&amp;"")</f>
        <v>Đã thanh toán</v>
      </c>
      <c r="T188" s="0" t="str">
        <f aca="false">IF(N($O188)&gt;0,COUNTIF($O$3:$O188,"&gt;0"),"")</f>
        <v/>
      </c>
      <c r="U188" s="30" t="n">
        <f aca="false">IF(AND(N($J188)&gt;0,N($K188)&gt;0),COUNTIFS($J$3:$J188,"&gt;0",$K$3:$K188,"&gt;0"),"")</f>
        <v>11</v>
      </c>
      <c r="V188" s="0" t="str">
        <f aca="false">IF(AND(N($J188)&gt;0,N($K188)=0),COUNTIFS($J$3:$J188,"&gt;0",$K$3:$K188,"&lt;=0"),"")</f>
        <v/>
      </c>
      <c r="W188" s="30" t="n">
        <f aca="false">IF($C188="","",IF(COUNTIF($C$3:$C188,$C188)&gt;1,"",MAX($W$2:W187)+1))</f>
        <v>37</v>
      </c>
      <c r="X188" s="0" t="str">
        <f aca="false">IF($H188="","",IF(COUNTIF($H$3:$H188,$H188)&gt;1,"",MAX($X$2:X187)+1))</f>
        <v/>
      </c>
      <c r="Y188" s="30" t="n">
        <f aca="false">IF(AND(N($M188)&gt;0,N($O188)&lt;=0),COUNTIFS($M$3:$M188,"&gt;0",$O$3:$O188,"&lt;=0"),"")</f>
        <v>34</v>
      </c>
      <c r="Z188" s="29" t="n">
        <f aca="false">IF(OR('THÁNG 7'!$C45="",'THÁNG 7'!$B45=""),0,'THÁNG 7'!$B45)</f>
        <v>46224</v>
      </c>
    </row>
    <row r="189" customFormat="false" ht="15" hidden="false" customHeight="false" outlineLevel="0" collapsed="false">
      <c r="A189" s="0" t="n">
        <v>7</v>
      </c>
      <c r="B189" s="29" t="n">
        <f aca="false">IF(OR('THÁNG 7'!$C46="",'THÁNG 7'!$B46=""),"",'THÁNG 7'!$B46)</f>
        <v>46224</v>
      </c>
      <c r="C189" s="0" t="str">
        <f aca="false">IF('THÁNG 7'!$C46="","",'THÁNG 7'!$C46)</f>
        <v>BGB - KIOT BV 30 GỐI</v>
      </c>
      <c r="D189" s="0" t="str">
        <f aca="false">IF('THÁNG 7'!$C46="","",'THÁNG 7'!$D46&amp;"")</f>
        <v>0395.254.610</v>
      </c>
      <c r="E189" s="0" t="str">
        <f aca="false">IF('THÁNG 7'!$C46="","",'THÁNG 7'!$E46&amp;"")</f>
        <v/>
      </c>
      <c r="F189" s="0" t="str">
        <f aca="false">IF('THÁNG 7'!$C46="","",'THÁNG 7'!$F46&amp;"")</f>
        <v/>
      </c>
      <c r="G189" s="0" t="str">
        <f aca="false">IF('THÁNG 7'!$C46="","",'THÁNG 7'!$G46&amp;"")</f>
        <v>Số nhà 3/144 Trung Kính, Phường Yên Hòa, Quận Cầu Giấy, Hà Nội</v>
      </c>
      <c r="H189" s="0" t="str">
        <f aca="false">IF('THÁNG 7'!$C46="","",'THÁNG 7'!$H46&amp;"")</f>
        <v>gối chữ U</v>
      </c>
      <c r="I189" s="30" t="n">
        <f aca="false">IF('THÁNG 7'!$C46="","",N('THÁNG 7'!$I46))</f>
        <v>30</v>
      </c>
      <c r="J189" s="30" t="n">
        <f aca="false">IF('THÁNG 7'!$C46="","",N('THÁNG 7'!$L46))</f>
        <v>2100000</v>
      </c>
      <c r="K189" s="30" t="n">
        <f aca="false">IF('THÁNG 7'!$C46="","",N('THÁNG 7'!$N46))</f>
        <v>0.08</v>
      </c>
      <c r="L189" s="30" t="n">
        <f aca="false">IF('THÁNG 7'!$C46="","",N('THÁNG 7'!$O46))</f>
        <v>168000</v>
      </c>
      <c r="M189" s="30" t="n">
        <f aca="false">IF('THÁNG 7'!$C46="","",N('THÁNG 7'!$P46))</f>
        <v>2268000</v>
      </c>
      <c r="N189" s="30" t="n">
        <f aca="false">IF('THÁNG 7'!$C46="","",N('THÁNG 7'!$Q46))</f>
        <v>2268000</v>
      </c>
      <c r="O189" s="30" t="n">
        <f aca="false">IF('THÁNG 7'!$C46="","",N('THÁNG 7'!$R46))</f>
        <v>0</v>
      </c>
      <c r="P189" s="0" t="str">
        <f aca="false">IF(OR('THÁNG 7'!$C46="",'THÁNG 7'!$T46=""),"",'THÁNG 7'!$T46)</f>
        <v/>
      </c>
      <c r="Q189" s="0" t="str">
        <f aca="false">IF(OR('THÁNG 7'!$C46="",'THÁNG 7'!$U46=""),"",'THÁNG 7'!$U46)</f>
        <v/>
      </c>
      <c r="R189" s="0" t="str">
        <f aca="false">IF('THÁNG 7'!$C46="","",'THÁNG 7'!$W46&amp;"")</f>
        <v>chuyển từ Tháng 7 dòng 136</v>
      </c>
      <c r="S189" s="0" t="str">
        <f aca="false">IF('THÁNG 7'!$C46="","",'THÁNG 7'!$S46&amp;"")</f>
        <v>Đã thanh toán</v>
      </c>
      <c r="T189" s="0" t="str">
        <f aca="false">IF(N($O189)&gt;0,COUNTIF($O$3:$O189,"&gt;0"),"")</f>
        <v/>
      </c>
      <c r="U189" s="30" t="n">
        <f aca="false">IF(AND(N($J189)&gt;0,N($K189)&gt;0),COUNTIFS($J$3:$J189,"&gt;0",$K$3:$K189,"&gt;0"),"")</f>
        <v>12</v>
      </c>
      <c r="V189" s="0" t="str">
        <f aca="false">IF(AND(N($J189)&gt;0,N($K189)=0),COUNTIFS($J$3:$J189,"&gt;0",$K$3:$K189,"&lt;=0"),"")</f>
        <v/>
      </c>
      <c r="W189" s="30" t="n">
        <f aca="false">IF($C189="","",IF(COUNTIF($C$3:$C189,$C189)&gt;1,"",MAX($W$2:W188)+1))</f>
        <v>38</v>
      </c>
      <c r="X189" s="0" t="str">
        <f aca="false">IF($H189="","",IF(COUNTIF($H$3:$H189,$H189)&gt;1,"",MAX($X$2:X188)+1))</f>
        <v/>
      </c>
      <c r="Y189" s="30" t="n">
        <f aca="false">IF(AND(N($M189)&gt;0,N($O189)&lt;=0),COUNTIFS($M$3:$M189,"&gt;0",$O$3:$O189,"&lt;=0"),"")</f>
        <v>35</v>
      </c>
      <c r="Z189" s="29" t="n">
        <f aca="false">IF(OR('THÁNG 7'!$C46="",'THÁNG 7'!$B46=""),0,'THÁNG 7'!$B46)</f>
        <v>46224</v>
      </c>
    </row>
    <row r="190" customFormat="false" ht="15" hidden="false" customHeight="false" outlineLevel="0" collapsed="false">
      <c r="A190" s="0" t="n">
        <v>7</v>
      </c>
      <c r="B190" s="29" t="n">
        <f aca="false">IF(OR('THÁNG 7'!$C47="",'THÁNG 7'!$B47=""),"",'THÁNG 7'!$B47)</f>
        <v>46224</v>
      </c>
      <c r="C190" s="0" t="str">
        <f aca="false">IF('THÁNG 7'!$C47="","",'THÁNG 7'!$C47)</f>
        <v>BGB - KIOT BV 30 GỐI - chị Hien Anh</v>
      </c>
      <c r="D190" s="0" t="str">
        <f aca="false">IF('THÁNG 7'!$C47="","",'THÁNG 7'!$D47&amp;"")</f>
        <v>0395.254.611</v>
      </c>
      <c r="E190" s="0" t="str">
        <f aca="false">IF('THÁNG 7'!$C47="","",'THÁNG 7'!$E47&amp;"")</f>
        <v/>
      </c>
      <c r="F190" s="0" t="str">
        <f aca="false">IF('THÁNG 7'!$C47="","",'THÁNG 7'!$F47&amp;"")</f>
        <v/>
      </c>
      <c r="G190" s="0" t="str">
        <f aca="false">IF('THÁNG 7'!$C47="","",'THÁNG 7'!$G47&amp;"")</f>
        <v>Số nhà 3/144 Trung Kính, Phường Yên Hòa, Quận Cầu Giấy, Hà Nội</v>
      </c>
      <c r="H190" s="0" t="str">
        <f aca="false">IF('THÁNG 7'!$C47="","",'THÁNG 7'!$H47&amp;"")</f>
        <v>gối chữ U</v>
      </c>
      <c r="I190" s="30" t="n">
        <f aca="false">IF('THÁNG 7'!$C47="","",N('THÁNG 7'!$I47))</f>
        <v>10</v>
      </c>
      <c r="J190" s="30" t="n">
        <f aca="false">IF('THÁNG 7'!$C47="","",N('THÁNG 7'!$L47))</f>
        <v>700000</v>
      </c>
      <c r="K190" s="30" t="n">
        <f aca="false">IF('THÁNG 7'!$C47="","",N('THÁNG 7'!$N47))</f>
        <v>0</v>
      </c>
      <c r="L190" s="30" t="n">
        <f aca="false">IF('THÁNG 7'!$C47="","",N('THÁNG 7'!$O47))</f>
        <v>0</v>
      </c>
      <c r="M190" s="30" t="n">
        <f aca="false">IF('THÁNG 7'!$C47="","",N('THÁNG 7'!$P47))</f>
        <v>700000</v>
      </c>
      <c r="N190" s="30" t="n">
        <f aca="false">IF('THÁNG 7'!$C47="","",N('THÁNG 7'!$Q47))</f>
        <v>700000</v>
      </c>
      <c r="O190" s="30" t="n">
        <f aca="false">IF('THÁNG 7'!$C47="","",N('THÁNG 7'!$R47))</f>
        <v>0</v>
      </c>
      <c r="P190" s="0" t="str">
        <f aca="false">IF(OR('THÁNG 7'!$C47="",'THÁNG 7'!$T47=""),"",'THÁNG 7'!$T47)</f>
        <v/>
      </c>
      <c r="Q190" s="0" t="str">
        <f aca="false">IF(OR('THÁNG 7'!$C47="",'THÁNG 7'!$U47=""),"",'THÁNG 7'!$U47)</f>
        <v/>
      </c>
      <c r="R190" s="0" t="str">
        <f aca="false">IF('THÁNG 7'!$C47="","",'THÁNG 7'!$W47&amp;"")</f>
        <v>chuyển từ Tháng 7 dòng 137</v>
      </c>
      <c r="S190" s="0" t="str">
        <f aca="false">IF('THÁNG 7'!$C47="","",'THÁNG 7'!$S47&amp;"")</f>
        <v>Đã thanh toán</v>
      </c>
      <c r="T190" s="0" t="str">
        <f aca="false">IF(N($O190)&gt;0,COUNTIF($O$3:$O190,"&gt;0"),"")</f>
        <v/>
      </c>
      <c r="U190" s="0" t="str">
        <f aca="false">IF(AND(N($J190)&gt;0,N($K190)&gt;0),COUNTIFS($J$3:$J190,"&gt;0",$K$3:$K190,"&gt;0"),"")</f>
        <v/>
      </c>
      <c r="V190" s="30" t="n">
        <f aca="false">IF(AND(N($J190)&gt;0,N($K190)=0),COUNTIFS($J$3:$J190,"&gt;0",$K$3:$K190,"&lt;=0"),"")</f>
        <v>29</v>
      </c>
      <c r="W190" s="30" t="n">
        <f aca="false">IF($C190="","",IF(COUNTIF($C$3:$C190,$C190)&gt;1,"",MAX($W$2:W189)+1))</f>
        <v>39</v>
      </c>
      <c r="X190" s="0" t="str">
        <f aca="false">IF($H190="","",IF(COUNTIF($H$3:$H190,$H190)&gt;1,"",MAX($X$2:X189)+1))</f>
        <v/>
      </c>
      <c r="Y190" s="30" t="n">
        <f aca="false">IF(AND(N($M190)&gt;0,N($O190)&lt;=0),COUNTIFS($M$3:$M190,"&gt;0",$O$3:$O190,"&lt;=0"),"")</f>
        <v>36</v>
      </c>
      <c r="Z190" s="29" t="n">
        <f aca="false">IF(OR('THÁNG 7'!$C47="",'THÁNG 7'!$B47=""),0,'THÁNG 7'!$B47)</f>
        <v>46224</v>
      </c>
    </row>
    <row r="191" customFormat="false" ht="15" hidden="false" customHeight="false" outlineLevel="0" collapsed="false">
      <c r="A191" s="0" t="n">
        <v>7</v>
      </c>
      <c r="B191" s="29" t="n">
        <f aca="false">IF(OR('THÁNG 7'!$C48="",'THÁNG 7'!$B48=""),"",'THÁNG 7'!$B48)</f>
        <v>46224</v>
      </c>
      <c r="C191" s="0" t="str">
        <f aca="false">IF('THÁNG 7'!$C48="","",'THÁNG 7'!$C48)</f>
        <v>chị Hậu</v>
      </c>
      <c r="D191" s="0" t="str">
        <f aca="false">IF('THÁNG 7'!$C48="","",'THÁNG 7'!$D48&amp;"")</f>
        <v>0989403759</v>
      </c>
      <c r="E191" s="0" t="str">
        <f aca="false">IF('THÁNG 7'!$C48="","",'THÁNG 7'!$E48&amp;"")</f>
        <v/>
      </c>
      <c r="F191" s="0" t="str">
        <f aca="false">IF('THÁNG 7'!$C48="","",'THÁNG 7'!$F48&amp;"")</f>
        <v/>
      </c>
      <c r="G191" s="0" t="str">
        <f aca="false">IF('THÁNG 7'!$C48="","",'THÁNG 7'!$G48&amp;"")</f>
        <v>Phòng Công đoàn - Công Ty TNHH Sao Vàng Ngã 3 An Tràng, TT.Trường Sơn, H.An Lão, TP.Hải Phòng</v>
      </c>
      <c r="H191" s="0" t="str">
        <f aca="false">IF('THÁNG 7'!$C48="","",'THÁNG 7'!$H48&amp;"")</f>
        <v>gấu mẫu</v>
      </c>
      <c r="I191" s="30" t="n">
        <f aca="false">IF('THÁNG 7'!$C48="","",N('THÁNG 7'!$I48))</f>
        <v>1</v>
      </c>
      <c r="J191" s="30" t="n">
        <f aca="false">IF('THÁNG 7'!$C48="","",N('THÁNG 7'!$L48))</f>
        <v>250000</v>
      </c>
      <c r="K191" s="30" t="n">
        <f aca="false">IF('THÁNG 7'!$C48="","",N('THÁNG 7'!$N48))</f>
        <v>0</v>
      </c>
      <c r="L191" s="30" t="n">
        <f aca="false">IF('THÁNG 7'!$C48="","",N('THÁNG 7'!$O48))</f>
        <v>0</v>
      </c>
      <c r="M191" s="30" t="n">
        <f aca="false">IF('THÁNG 7'!$C48="","",N('THÁNG 7'!$P48))</f>
        <v>250000</v>
      </c>
      <c r="N191" s="30" t="n">
        <f aca="false">IF('THÁNG 7'!$C48="","",N('THÁNG 7'!$Q48))</f>
        <v>250000</v>
      </c>
      <c r="O191" s="30" t="n">
        <f aca="false">IF('THÁNG 7'!$C48="","",N('THÁNG 7'!$R48))</f>
        <v>0</v>
      </c>
      <c r="P191" s="0" t="str">
        <f aca="false">IF(OR('THÁNG 7'!$C48="",'THÁNG 7'!$T48=""),"",'THÁNG 7'!$T48)</f>
        <v/>
      </c>
      <c r="Q191" s="0" t="str">
        <f aca="false">IF(OR('THÁNG 7'!$C48="",'THÁNG 7'!$U48=""),"",'THÁNG 7'!$U48)</f>
        <v/>
      </c>
      <c r="R191" s="0" t="str">
        <f aca="false">IF('THÁNG 7'!$C48="","",'THÁNG 7'!$W48&amp;"")</f>
        <v>chuyển từ Tháng 7 dòng 138 | file cũ không ghi số lượng, quy về 1 x thành tiền</v>
      </c>
      <c r="S191" s="0" t="str">
        <f aca="false">IF('THÁNG 7'!$C48="","",'THÁNG 7'!$S48&amp;"")</f>
        <v>Đã thanh toán</v>
      </c>
      <c r="T191" s="0" t="str">
        <f aca="false">IF(N($O191)&gt;0,COUNTIF($O$3:$O191,"&gt;0"),"")</f>
        <v/>
      </c>
      <c r="U191" s="0" t="str">
        <f aca="false">IF(AND(N($J191)&gt;0,N($K191)&gt;0),COUNTIFS($J$3:$J191,"&gt;0",$K$3:$K191,"&gt;0"),"")</f>
        <v/>
      </c>
      <c r="V191" s="30" t="n">
        <f aca="false">IF(AND(N($J191)&gt;0,N($K191)=0),COUNTIFS($J$3:$J191,"&gt;0",$K$3:$K191,"&lt;=0"),"")</f>
        <v>30</v>
      </c>
      <c r="W191" s="30" t="n">
        <f aca="false">IF($C191="","",IF(COUNTIF($C$3:$C191,$C191)&gt;1,"",MAX($W$2:W190)+1))</f>
        <v>40</v>
      </c>
      <c r="X191" s="30" t="n">
        <f aca="false">IF($H191="","",IF(COUNTIF($H$3:$H191,$H191)&gt;1,"",MAX($X$2:X190)+1))</f>
        <v>20</v>
      </c>
      <c r="Y191" s="30" t="n">
        <f aca="false">IF(AND(N($M191)&gt;0,N($O191)&lt;=0),COUNTIFS($M$3:$M191,"&gt;0",$O$3:$O191,"&lt;=0"),"")</f>
        <v>37</v>
      </c>
      <c r="Z191" s="29" t="n">
        <f aca="false">IF(OR('THÁNG 7'!$C48="",'THÁNG 7'!$B48=""),0,'THÁNG 7'!$B48)</f>
        <v>46224</v>
      </c>
    </row>
    <row r="192" customFormat="false" ht="15" hidden="false" customHeight="false" outlineLevel="0" collapsed="false">
      <c r="A192" s="0" t="n">
        <v>7</v>
      </c>
      <c r="B192" s="29" t="n">
        <f aca="false">IF(OR('THÁNG 7'!$C49="",'THÁNG 7'!$B49=""),"",'THÁNG 7'!$B49)</f>
        <v>46225</v>
      </c>
      <c r="C192" s="0" t="str">
        <f aca="false">IF('THÁNG 7'!$C49="","",'THÁNG 7'!$C49)</f>
        <v>BGB - CLUB 16 DAKLAK 200G</v>
      </c>
      <c r="D192" s="0" t="str">
        <f aca="false">IF('THÁNG 7'!$C49="","",'THÁNG 7'!$D49&amp;"")</f>
        <v>0933115335</v>
      </c>
      <c r="E192" s="0" t="str">
        <f aca="false">IF('THÁNG 7'!$C49="","",'THÁNG 7'!$E49&amp;"")</f>
        <v/>
      </c>
      <c r="F192" s="0" t="str">
        <f aca="false">IF('THÁNG 7'!$C49="","",'THÁNG 7'!$F49&amp;"")</f>
        <v/>
      </c>
      <c r="G192" s="0" t="str">
        <f aca="false">IF('THÁNG 7'!$C49="","",'THÁNG 7'!$G49&amp;"")</f>
        <v>93 quốc lộ 14 ( trà sữa cana ) , thôn 5 , xã hoà thuận , tp bmt , daklak !</v>
      </c>
      <c r="H192" s="0" t="str">
        <f aca="false">IF('THÁNG 7'!$C49="","",'THÁNG 7'!$H49&amp;"")</f>
        <v>gấu nâu 30cm</v>
      </c>
      <c r="I192" s="30" t="n">
        <f aca="false">IF('THÁNG 7'!$C49="","",N('THÁNG 7'!$I49))</f>
        <v>200</v>
      </c>
      <c r="J192" s="30" t="n">
        <f aca="false">IF('THÁNG 7'!$C49="","",N('THÁNG 7'!$L49))</f>
        <v>9400000</v>
      </c>
      <c r="K192" s="30" t="n">
        <f aca="false">IF('THÁNG 7'!$C49="","",N('THÁNG 7'!$N49))</f>
        <v>0</v>
      </c>
      <c r="L192" s="30" t="n">
        <f aca="false">IF('THÁNG 7'!$C49="","",N('THÁNG 7'!$O49))</f>
        <v>0</v>
      </c>
      <c r="M192" s="30" t="n">
        <f aca="false">IF('THÁNG 7'!$C49="","",N('THÁNG 7'!$P49))</f>
        <v>9400000</v>
      </c>
      <c r="N192" s="30" t="n">
        <f aca="false">IF('THÁNG 7'!$C49="","",N('THÁNG 7'!$Q49))</f>
        <v>9400000</v>
      </c>
      <c r="O192" s="30" t="n">
        <f aca="false">IF('THÁNG 7'!$C49="","",N('THÁNG 7'!$R49))</f>
        <v>0</v>
      </c>
      <c r="P192" s="0" t="str">
        <f aca="false">IF(OR('THÁNG 7'!$C49="",'THÁNG 7'!$T49=""),"",'THÁNG 7'!$T49)</f>
        <v/>
      </c>
      <c r="Q192" s="0" t="str">
        <f aca="false">IF(OR('THÁNG 7'!$C49="",'THÁNG 7'!$U49=""),"",'THÁNG 7'!$U49)</f>
        <v/>
      </c>
      <c r="R192" s="0" t="str">
        <f aca="false">IF('THÁNG 7'!$C49="","",'THÁNG 7'!$W49&amp;"")</f>
        <v>chuyển từ Tháng 7 dòng 141</v>
      </c>
      <c r="S192" s="0" t="str">
        <f aca="false">IF('THÁNG 7'!$C49="","",'THÁNG 7'!$S49&amp;"")</f>
        <v>Đã thanh toán</v>
      </c>
      <c r="T192" s="0" t="str">
        <f aca="false">IF(N($O192)&gt;0,COUNTIF($O$3:$O192,"&gt;0"),"")</f>
        <v/>
      </c>
      <c r="U192" s="0" t="str">
        <f aca="false">IF(AND(N($J192)&gt;0,N($K192)&gt;0),COUNTIFS($J$3:$J192,"&gt;0",$K$3:$K192,"&gt;0"),"")</f>
        <v/>
      </c>
      <c r="V192" s="30" t="n">
        <f aca="false">IF(AND(N($J192)&gt;0,N($K192)=0),COUNTIFS($J$3:$J192,"&gt;0",$K$3:$K192,"&lt;=0"),"")</f>
        <v>31</v>
      </c>
      <c r="W192" s="30" t="n">
        <f aca="false">IF($C192="","",IF(COUNTIF($C$3:$C192,$C192)&gt;1,"",MAX($W$2:W191)+1))</f>
        <v>41</v>
      </c>
      <c r="X192" s="0" t="str">
        <f aca="false">IF($H192="","",IF(COUNTIF($H$3:$H192,$H192)&gt;1,"",MAX($X$2:X191)+1))</f>
        <v/>
      </c>
      <c r="Y192" s="30" t="n">
        <f aca="false">IF(AND(N($M192)&gt;0,N($O192)&lt;=0),COUNTIFS($M$3:$M192,"&gt;0",$O$3:$O192,"&lt;=0"),"")</f>
        <v>38</v>
      </c>
      <c r="Z192" s="29" t="n">
        <f aca="false">IF(OR('THÁNG 7'!$C49="",'THÁNG 7'!$B49=""),0,'THÁNG 7'!$B49)</f>
        <v>46225</v>
      </c>
    </row>
    <row r="193" customFormat="false" ht="15" hidden="false" customHeight="false" outlineLevel="0" collapsed="false">
      <c r="A193" s="0" t="n">
        <v>7</v>
      </c>
      <c r="B193" s="29" t="n">
        <f aca="false">IF(OR('THÁNG 7'!$C50="",'THÁNG 7'!$B50=""),"",'THÁNG 7'!$B50)</f>
        <v>46225</v>
      </c>
      <c r="C193" s="0" t="str">
        <f aca="false">IF('THÁNG 7'!$C50="","",'THÁNG 7'!$C50)</f>
        <v>BGB - MK VINFAST NGỌC CHÂU THÀNH 50C</v>
      </c>
      <c r="D193" s="0" t="str">
        <f aca="false">IF('THÁNG 7'!$C50="","",'THÁNG 7'!$D50&amp;"")</f>
        <v>0828388882</v>
      </c>
      <c r="E193" s="0" t="str">
        <f aca="false">IF('THÁNG 7'!$C50="","",'THÁNG 7'!$E50&amp;"")</f>
        <v/>
      </c>
      <c r="F193" s="0" t="str">
        <f aca="false">IF('THÁNG 7'!$C50="","",'THÁNG 7'!$F50&amp;"")</f>
        <v/>
      </c>
      <c r="G193" s="0" t="str">
        <f aca="false">IF('THÁNG 7'!$C50="","",'THÁNG 7'!$G50&amp;"")</f>
        <v>Ql 63 - An phước- Bình an - châu thành - kiên giang</v>
      </c>
      <c r="H193" s="0" t="str">
        <f aca="false">IF('THÁNG 7'!$C50="","",'THÁNG 7'!$H50&amp;"")</f>
        <v>móc khóa</v>
      </c>
      <c r="I193" s="30" t="n">
        <f aca="false">IF('THÁNG 7'!$C50="","",N('THÁNG 7'!$I50))</f>
        <v>50</v>
      </c>
      <c r="J193" s="30" t="n">
        <f aca="false">IF('THÁNG 7'!$C50="","",N('THÁNG 7'!$L50))</f>
        <v>1450000</v>
      </c>
      <c r="K193" s="30" t="n">
        <f aca="false">IF('THÁNG 7'!$C50="","",N('THÁNG 7'!$N50))</f>
        <v>0</v>
      </c>
      <c r="L193" s="30" t="n">
        <f aca="false">IF('THÁNG 7'!$C50="","",N('THÁNG 7'!$O50))</f>
        <v>0</v>
      </c>
      <c r="M193" s="30" t="n">
        <f aca="false">IF('THÁNG 7'!$C50="","",N('THÁNG 7'!$P50))</f>
        <v>1450000</v>
      </c>
      <c r="N193" s="30" t="n">
        <f aca="false">IF('THÁNG 7'!$C50="","",N('THÁNG 7'!$Q50))</f>
        <v>750000</v>
      </c>
      <c r="O193" s="30" t="n">
        <f aca="false">IF('THÁNG 7'!$C50="","",N('THÁNG 7'!$R50))</f>
        <v>700000</v>
      </c>
      <c r="P193" s="0" t="str">
        <f aca="false">IF(OR('THÁNG 7'!$C50="",'THÁNG 7'!$T50=""),"",'THÁNG 7'!$T50)</f>
        <v/>
      </c>
      <c r="Q193" s="0" t="str">
        <f aca="false">IF(OR('THÁNG 7'!$C50="",'THÁNG 7'!$U50=""),"",'THÁNG 7'!$U50)</f>
        <v/>
      </c>
      <c r="R193" s="0" t="str">
        <f aca="false">IF('THÁNG 7'!$C50="","",'THÁNG 7'!$W50&amp;"")</f>
        <v>chuyển từ Tháng 7 dòng 142</v>
      </c>
      <c r="S193" s="0" t="str">
        <f aca="false">IF('THÁNG 7'!$C50="","",'THÁNG 7'!$S50&amp;"")</f>
        <v>Thanh toán một phần</v>
      </c>
      <c r="T193" s="30" t="n">
        <f aca="false">IF(N($O193)&gt;0,COUNTIF($O$3:$O193,"&gt;0"),"")</f>
        <v>6</v>
      </c>
      <c r="U193" s="0" t="str">
        <f aca="false">IF(AND(N($J193)&gt;0,N($K193)&gt;0),COUNTIFS($J$3:$J193,"&gt;0",$K$3:$K193,"&gt;0"),"")</f>
        <v/>
      </c>
      <c r="V193" s="30" t="n">
        <f aca="false">IF(AND(N($J193)&gt;0,N($K193)=0),COUNTIFS($J$3:$J193,"&gt;0",$K$3:$K193,"&lt;=0"),"")</f>
        <v>32</v>
      </c>
      <c r="W193" s="30" t="n">
        <f aca="false">IF($C193="","",IF(COUNTIF($C$3:$C193,$C193)&gt;1,"",MAX($W$2:W192)+1))</f>
        <v>42</v>
      </c>
      <c r="X193" s="0" t="str">
        <f aca="false">IF($H193="","",IF(COUNTIF($H$3:$H193,$H193)&gt;1,"",MAX($X$2:X192)+1))</f>
        <v/>
      </c>
      <c r="Y193" s="0" t="str">
        <f aca="false">IF(AND(N($M193)&gt;0,N($O193)&lt;=0),COUNTIFS($M$3:$M193,"&gt;0",$O$3:$O193,"&lt;=0"),"")</f>
        <v/>
      </c>
      <c r="Z193" s="29" t="n">
        <f aca="false">IF(OR('THÁNG 7'!$C50="",'THÁNG 7'!$B50=""),0,'THÁNG 7'!$B50)</f>
        <v>46225</v>
      </c>
    </row>
    <row r="194" customFormat="false" ht="15" hidden="false" customHeight="false" outlineLevel="0" collapsed="false">
      <c r="A194" s="0" t="n">
        <v>7</v>
      </c>
      <c r="B194" s="29" t="n">
        <f aca="false">IF(OR('THÁNG 7'!$C51="",'THÁNG 7'!$B51=""),"",'THÁNG 7'!$B51)</f>
        <v>46225</v>
      </c>
      <c r="C194" s="0" t="str">
        <f aca="false">IF('THÁNG 7'!$C51="","",'THÁNG 7'!$C51)</f>
        <v>BGB - MK ĐÌNH KHÔI 50C</v>
      </c>
      <c r="D194" s="0" t="str">
        <f aca="false">IF('THÁNG 7'!$C51="","",'THÁNG 7'!$D51&amp;"")</f>
        <v>0869760626</v>
      </c>
      <c r="E194" s="0" t="str">
        <f aca="false">IF('THÁNG 7'!$C51="","",'THÁNG 7'!$E51&amp;"")</f>
        <v/>
      </c>
      <c r="F194" s="0" t="str">
        <f aca="false">IF('THÁNG 7'!$C51="","",'THÁNG 7'!$F51&amp;"")</f>
        <v/>
      </c>
      <c r="G194" s="0" t="str">
        <f aca="false">IF('THÁNG 7'!$C51="","",'THÁNG 7'!$G51&amp;"")</f>
        <v>B1-51 khu đô thị mới lý thường kiệt . Phường 1 bảo lộc</v>
      </c>
      <c r="H194" s="0" t="str">
        <f aca="false">IF('THÁNG 7'!$C51="","",'THÁNG 7'!$H51&amp;"")</f>
        <v>móc khóa (ko lấy nữa do lâu quá)</v>
      </c>
      <c r="I194" s="30" t="n">
        <f aca="false">IF('THÁNG 7'!$C51="","",N('THÁNG 7'!$I51))</f>
        <v>50</v>
      </c>
      <c r="J194" s="30" t="n">
        <f aca="false">IF('THÁNG 7'!$C51="","",N('THÁNG 7'!$L51))</f>
        <v>0</v>
      </c>
      <c r="K194" s="30" t="n">
        <f aca="false">IF('THÁNG 7'!$C51="","",N('THÁNG 7'!$N51))</f>
        <v>0</v>
      </c>
      <c r="L194" s="30" t="n">
        <f aca="false">IF('THÁNG 7'!$C51="","",N('THÁNG 7'!$O51))</f>
        <v>0</v>
      </c>
      <c r="M194" s="30" t="n">
        <f aca="false">IF('THÁNG 7'!$C51="","",N('THÁNG 7'!$P51))</f>
        <v>0</v>
      </c>
      <c r="N194" s="30" t="n">
        <f aca="false">IF('THÁNG 7'!$C51="","",N('THÁNG 7'!$Q51))</f>
        <v>0</v>
      </c>
      <c r="O194" s="30" t="n">
        <f aca="false">IF('THÁNG 7'!$C51="","",N('THÁNG 7'!$R51))</f>
        <v>0</v>
      </c>
      <c r="P194" s="0" t="str">
        <f aca="false">IF(OR('THÁNG 7'!$C51="",'THÁNG 7'!$T51=""),"",'THÁNG 7'!$T51)</f>
        <v/>
      </c>
      <c r="Q194" s="0" t="str">
        <f aca="false">IF(OR('THÁNG 7'!$C51="",'THÁNG 7'!$U51=""),"",'THÁNG 7'!$U51)</f>
        <v/>
      </c>
      <c r="R194" s="0" t="str">
        <f aca="false">IF('THÁNG 7'!$C51="","",'THÁNG 7'!$W51&amp;"")</f>
        <v>chuyển từ Tháng 7 dòng 143 | file cũ gõ đè thành tiền, đơn giá tính lại = thành tiền / số lượng</v>
      </c>
      <c r="S194" s="0" t="str">
        <f aca="false">IF('THÁNG 7'!$C51="","",'THÁNG 7'!$S51&amp;"")</f>
        <v/>
      </c>
      <c r="T194" s="0" t="str">
        <f aca="false">IF(N($O194)&gt;0,COUNTIF($O$3:$O194,"&gt;0"),"")</f>
        <v/>
      </c>
      <c r="U194" s="0" t="str">
        <f aca="false">IF(AND(N($J194)&gt;0,N($K194)&gt;0),COUNTIFS($J$3:$J194,"&gt;0",$K$3:$K194,"&gt;0"),"")</f>
        <v/>
      </c>
      <c r="V194" s="0" t="str">
        <f aca="false">IF(AND(N($J194)&gt;0,N($K194)=0),COUNTIFS($J$3:$J194,"&gt;0",$K$3:$K194,"&lt;=0"),"")</f>
        <v/>
      </c>
      <c r="W194" s="30" t="n">
        <f aca="false">IF($C194="","",IF(COUNTIF($C$3:$C194,$C194)&gt;1,"",MAX($W$2:W193)+1))</f>
        <v>43</v>
      </c>
      <c r="X194" s="30" t="n">
        <f aca="false">IF($H194="","",IF(COUNTIF($H$3:$H194,$H194)&gt;1,"",MAX($X$2:X193)+1))</f>
        <v>21</v>
      </c>
      <c r="Y194" s="0" t="str">
        <f aca="false">IF(AND(N($M194)&gt;0,N($O194)&lt;=0),COUNTIFS($M$3:$M194,"&gt;0",$O$3:$O194,"&lt;=0"),"")</f>
        <v/>
      </c>
      <c r="Z194" s="29" t="n">
        <f aca="false">IF(OR('THÁNG 7'!$C51="",'THÁNG 7'!$B51=""),0,'THÁNG 7'!$B51)</f>
        <v>46225</v>
      </c>
    </row>
    <row r="195" customFormat="false" ht="15" hidden="false" customHeight="false" outlineLevel="0" collapsed="false">
      <c r="A195" s="0" t="n">
        <v>7</v>
      </c>
      <c r="B195" s="29" t="n">
        <f aca="false">IF(OR('THÁNG 7'!$C52="",'THÁNG 7'!$B52=""),"",'THÁNG 7'!$B52)</f>
        <v>46226</v>
      </c>
      <c r="C195" s="0" t="str">
        <f aca="false">IF('THÁNG 7'!$C52="","",'THÁNG 7'!$C52)</f>
        <v>BGB - WULING 20C</v>
      </c>
      <c r="D195" s="0" t="str">
        <f aca="false">IF('THÁNG 7'!$C52="","",'THÁNG 7'!$D52&amp;"")</f>
        <v>0904568820</v>
      </c>
      <c r="E195" s="0" t="str">
        <f aca="false">IF('THÁNG 7'!$C52="","",'THÁNG 7'!$E52&amp;"")</f>
        <v/>
      </c>
      <c r="F195" s="0" t="str">
        <f aca="false">IF('THÁNG 7'!$C52="","",'THÁNG 7'!$F52&amp;"")</f>
        <v/>
      </c>
      <c r="G195" s="0" t="str">
        <f aca="false">IF('THÁNG 7'!$C52="","",'THÁNG 7'!$G52&amp;"")</f>
        <v>Wuling HTA Long Biên - số 3-5 Nguyen Van</v>
      </c>
      <c r="H195" s="0" t="str">
        <f aca="false">IF('THÁNG 7'!$C52="","",'THÁNG 7'!$H52&amp;"")</f>
        <v>gấu nâu 30cm</v>
      </c>
      <c r="I195" s="30" t="n">
        <f aca="false">IF('THÁNG 7'!$C52="","",N('THÁNG 7'!$I52))</f>
        <v>20</v>
      </c>
      <c r="J195" s="30" t="n">
        <f aca="false">IF('THÁNG 7'!$C52="","",N('THÁNG 7'!$L52))</f>
        <v>1000000</v>
      </c>
      <c r="K195" s="30" t="n">
        <f aca="false">IF('THÁNG 7'!$C52="","",N('THÁNG 7'!$N52))</f>
        <v>0</v>
      </c>
      <c r="L195" s="30" t="n">
        <f aca="false">IF('THÁNG 7'!$C52="","",N('THÁNG 7'!$O52))</f>
        <v>0</v>
      </c>
      <c r="M195" s="30" t="n">
        <f aca="false">IF('THÁNG 7'!$C52="","",N('THÁNG 7'!$P52))</f>
        <v>1000000</v>
      </c>
      <c r="N195" s="30" t="n">
        <f aca="false">IF('THÁNG 7'!$C52="","",N('THÁNG 7'!$Q52))</f>
        <v>1000000</v>
      </c>
      <c r="O195" s="30" t="n">
        <f aca="false">IF('THÁNG 7'!$C52="","",N('THÁNG 7'!$R52))</f>
        <v>0</v>
      </c>
      <c r="P195" s="0" t="str">
        <f aca="false">IF(OR('THÁNG 7'!$C52="",'THÁNG 7'!$T52=""),"",'THÁNG 7'!$T52)</f>
        <v/>
      </c>
      <c r="Q195" s="0" t="str">
        <f aca="false">IF(OR('THÁNG 7'!$C52="",'THÁNG 7'!$U52=""),"",'THÁNG 7'!$U52)</f>
        <v/>
      </c>
      <c r="R195" s="0" t="str">
        <f aca="false">IF('THÁNG 7'!$C52="","",'THÁNG 7'!$W52&amp;"")</f>
        <v>chuyển từ Tháng 7 dòng 144</v>
      </c>
      <c r="S195" s="0" t="str">
        <f aca="false">IF('THÁNG 7'!$C52="","",'THÁNG 7'!$S52&amp;"")</f>
        <v>Đã thanh toán</v>
      </c>
      <c r="T195" s="0" t="str">
        <f aca="false">IF(N($O195)&gt;0,COUNTIF($O$3:$O195,"&gt;0"),"")</f>
        <v/>
      </c>
      <c r="U195" s="0" t="str">
        <f aca="false">IF(AND(N($J195)&gt;0,N($K195)&gt;0),COUNTIFS($J$3:$J195,"&gt;0",$K$3:$K195,"&gt;0"),"")</f>
        <v/>
      </c>
      <c r="V195" s="30" t="n">
        <f aca="false">IF(AND(N($J195)&gt;0,N($K195)=0),COUNTIFS($J$3:$J195,"&gt;0",$K$3:$K195,"&lt;=0"),"")</f>
        <v>33</v>
      </c>
      <c r="W195" s="30" t="n">
        <f aca="false">IF($C195="","",IF(COUNTIF($C$3:$C195,$C195)&gt;1,"",MAX($W$2:W194)+1))</f>
        <v>44</v>
      </c>
      <c r="X195" s="0" t="str">
        <f aca="false">IF($H195="","",IF(COUNTIF($H$3:$H195,$H195)&gt;1,"",MAX($X$2:X194)+1))</f>
        <v/>
      </c>
      <c r="Y195" s="30" t="n">
        <f aca="false">IF(AND(N($M195)&gt;0,N($O195)&lt;=0),COUNTIFS($M$3:$M195,"&gt;0",$O$3:$O195,"&lt;=0"),"")</f>
        <v>39</v>
      </c>
      <c r="Z195" s="29" t="n">
        <f aca="false">IF(OR('THÁNG 7'!$C52="",'THÁNG 7'!$B52=""),0,'THÁNG 7'!$B52)</f>
        <v>46226</v>
      </c>
    </row>
    <row r="196" customFormat="false" ht="15" hidden="false" customHeight="false" outlineLevel="0" collapsed="false">
      <c r="A196" s="0" t="n">
        <v>7</v>
      </c>
      <c r="B196" s="29" t="n">
        <f aca="false">IF(OR('THÁNG 7'!$C53="",'THÁNG 7'!$B53=""),"",'THÁNG 7'!$B53)</f>
        <v>46228</v>
      </c>
      <c r="C196" s="0" t="str">
        <f aca="false">IF('THÁNG 7'!$C53="","",'THÁNG 7'!$C53)</f>
        <v>BGB - TRƯỜNG GIANG TOURIST GỐI U 50C</v>
      </c>
      <c r="D196" s="0" t="str">
        <f aca="false">IF('THÁNG 7'!$C53="","",'THÁNG 7'!$D53&amp;"")</f>
        <v>0353330284</v>
      </c>
      <c r="E196" s="0" t="str">
        <f aca="false">IF('THÁNG 7'!$C53="","",'THÁNG 7'!$E53&amp;"")</f>
        <v/>
      </c>
      <c r="F196" s="0" t="str">
        <f aca="false">IF('THÁNG 7'!$C53="","",'THÁNG 7'!$F53&amp;"")</f>
        <v/>
      </c>
      <c r="G196" s="0" t="str">
        <f aca="false">IF('THÁNG 7'!$C53="","",'THÁNG 7'!$G53&amp;"")</f>
        <v>Chung Cư Kim oanh Group - eastgate - 43 Tân Lập - phường Đông Hoà - Dĩ An ( Ngay L</v>
      </c>
      <c r="H196" s="0" t="str">
        <f aca="false">IF('THÁNG 7'!$C53="","",'THÁNG 7'!$H53&amp;"")</f>
        <v>gối chữ U màu nâu</v>
      </c>
      <c r="I196" s="30" t="n">
        <f aca="false">IF('THÁNG 7'!$C53="","",N('THÁNG 7'!$I53))</f>
        <v>50</v>
      </c>
      <c r="J196" s="30" t="n">
        <f aca="false">IF('THÁNG 7'!$C53="","",N('THÁNG 7'!$L53))</f>
        <v>2750000</v>
      </c>
      <c r="K196" s="30" t="n">
        <f aca="false">IF('THÁNG 7'!$C53="","",N('THÁNG 7'!$N53))</f>
        <v>0</v>
      </c>
      <c r="L196" s="30" t="n">
        <f aca="false">IF('THÁNG 7'!$C53="","",N('THÁNG 7'!$O53))</f>
        <v>0</v>
      </c>
      <c r="M196" s="30" t="n">
        <f aca="false">IF('THÁNG 7'!$C53="","",N('THÁNG 7'!$P53))</f>
        <v>2750000</v>
      </c>
      <c r="N196" s="30" t="n">
        <f aca="false">IF('THÁNG 7'!$C53="","",N('THÁNG 7'!$Q53))</f>
        <v>1500000</v>
      </c>
      <c r="O196" s="30" t="n">
        <f aca="false">IF('THÁNG 7'!$C53="","",N('THÁNG 7'!$R53))</f>
        <v>1250000</v>
      </c>
      <c r="P196" s="0" t="str">
        <f aca="false">IF(OR('THÁNG 7'!$C53="",'THÁNG 7'!$T53=""),"",'THÁNG 7'!$T53)</f>
        <v/>
      </c>
      <c r="Q196" s="0" t="str">
        <f aca="false">IF(OR('THÁNG 7'!$C53="",'THÁNG 7'!$U53=""),"",'THÁNG 7'!$U53)</f>
        <v/>
      </c>
      <c r="R196" s="0" t="str">
        <f aca="false">IF('THÁNG 7'!$C53="","",'THÁNG 7'!$W53&amp;"")</f>
        <v>chuyển từ Tháng 7 dòng 145</v>
      </c>
      <c r="S196" s="0" t="str">
        <f aca="false">IF('THÁNG 7'!$C53="","",'THÁNG 7'!$S53&amp;"")</f>
        <v>Thanh toán một phần</v>
      </c>
      <c r="T196" s="30" t="n">
        <f aca="false">IF(N($O196)&gt;0,COUNTIF($O$3:$O196,"&gt;0"),"")</f>
        <v>7</v>
      </c>
      <c r="U196" s="0" t="str">
        <f aca="false">IF(AND(N($J196)&gt;0,N($K196)&gt;0),COUNTIFS($J$3:$J196,"&gt;0",$K$3:$K196,"&gt;0"),"")</f>
        <v/>
      </c>
      <c r="V196" s="30" t="n">
        <f aca="false">IF(AND(N($J196)&gt;0,N($K196)=0),COUNTIFS($J$3:$J196,"&gt;0",$K$3:$K196,"&lt;=0"),"")</f>
        <v>34</v>
      </c>
      <c r="W196" s="30" t="n">
        <f aca="false">IF($C196="","",IF(COUNTIF($C$3:$C196,$C196)&gt;1,"",MAX($W$2:W195)+1))</f>
        <v>45</v>
      </c>
      <c r="X196" s="30" t="n">
        <f aca="false">IF($H196="","",IF(COUNTIF($H$3:$H196,$H196)&gt;1,"",MAX($X$2:X195)+1))</f>
        <v>22</v>
      </c>
      <c r="Y196" s="0" t="str">
        <f aca="false">IF(AND(N($M196)&gt;0,N($O196)&lt;=0),COUNTIFS($M$3:$M196,"&gt;0",$O$3:$O196,"&lt;=0"),"")</f>
        <v/>
      </c>
      <c r="Z196" s="29" t="n">
        <f aca="false">IF(OR('THÁNG 7'!$C53="",'THÁNG 7'!$B53=""),0,'THÁNG 7'!$B53)</f>
        <v>46228</v>
      </c>
    </row>
    <row r="197" customFormat="false" ht="15" hidden="false" customHeight="false" outlineLevel="0" collapsed="false">
      <c r="A197" s="0" t="n">
        <v>7</v>
      </c>
      <c r="B197" s="29" t="n">
        <f aca="false">IF(OR('THÁNG 7'!$C54="",'THÁNG 7'!$B54=""),"",'THÁNG 7'!$B54)</f>
        <v>46228</v>
      </c>
      <c r="C197" s="0" t="str">
        <f aca="false">IF('THÁNG 7'!$C54="","",'THÁNG 7'!$C54)</f>
        <v>BGB - ANH TÀI 100G HT</v>
      </c>
      <c r="D197" s="0" t="str">
        <f aca="false">IF('THÁNG 7'!$C54="","",'THÁNG 7'!$D54&amp;"")</f>
        <v>0368349339</v>
      </c>
      <c r="E197" s="0" t="str">
        <f aca="false">IF('THÁNG 7'!$C54="","",'THÁNG 7'!$E54&amp;"")</f>
        <v/>
      </c>
      <c r="F197" s="0" t="str">
        <f aca="false">IF('THÁNG 7'!$C54="","",'THÁNG 7'!$F54&amp;"")</f>
        <v/>
      </c>
      <c r="G197" s="0" t="str">
        <f aca="false">IF('THÁNG 7'!$C54="","",'THÁNG 7'!$G54&amp;"")</f>
        <v>B-TT9-2, KĐT Him Lam, Vạn Phúc. Hà Đông, Hà Nội.</v>
      </c>
      <c r="H197" s="0" t="str">
        <f aca="false">IF('THÁNG 7'!$C54="","",'THÁNG 7'!$H54&amp;"")</f>
        <v>gấu 30 cm nhà HT</v>
      </c>
      <c r="I197" s="30" t="n">
        <f aca="false">IF('THÁNG 7'!$C54="","",N('THÁNG 7'!$I54))</f>
        <v>100</v>
      </c>
      <c r="J197" s="30" t="n">
        <f aca="false">IF('THÁNG 7'!$C54="","",N('THÁNG 7'!$L54))</f>
        <v>5500000</v>
      </c>
      <c r="K197" s="30" t="n">
        <f aca="false">IF('THÁNG 7'!$C54="","",N('THÁNG 7'!$N54))</f>
        <v>0</v>
      </c>
      <c r="L197" s="30" t="n">
        <f aca="false">IF('THÁNG 7'!$C54="","",N('THÁNG 7'!$O54))</f>
        <v>0</v>
      </c>
      <c r="M197" s="30" t="n">
        <f aca="false">IF('THÁNG 7'!$C54="","",N('THÁNG 7'!$P54))</f>
        <v>5500000</v>
      </c>
      <c r="N197" s="30" t="n">
        <f aca="false">IF('THÁNG 7'!$C54="","",N('THÁNG 7'!$Q54))</f>
        <v>2750000</v>
      </c>
      <c r="O197" s="30" t="n">
        <f aca="false">IF('THÁNG 7'!$C54="","",N('THÁNG 7'!$R54))</f>
        <v>2750000</v>
      </c>
      <c r="P197" s="0" t="str">
        <f aca="false">IF(OR('THÁNG 7'!$C54="",'THÁNG 7'!$T54=""),"",'THÁNG 7'!$T54)</f>
        <v/>
      </c>
      <c r="Q197" s="0" t="str">
        <f aca="false">IF(OR('THÁNG 7'!$C54="",'THÁNG 7'!$U54=""),"",'THÁNG 7'!$U54)</f>
        <v/>
      </c>
      <c r="R197" s="0" t="str">
        <f aca="false">IF('THÁNG 7'!$C54="","",'THÁNG 7'!$W54&amp;"")</f>
        <v>chuyển từ Tháng 7 dòng 146</v>
      </c>
      <c r="S197" s="0" t="str">
        <f aca="false">IF('THÁNG 7'!$C54="","",'THÁNG 7'!$S54&amp;"")</f>
        <v>Thanh toán một phần</v>
      </c>
      <c r="T197" s="30" t="n">
        <f aca="false">IF(N($O197)&gt;0,COUNTIF($O$3:$O197,"&gt;0"),"")</f>
        <v>8</v>
      </c>
      <c r="U197" s="0" t="str">
        <f aca="false">IF(AND(N($J197)&gt;0,N($K197)&gt;0),COUNTIFS($J$3:$J197,"&gt;0",$K$3:$K197,"&gt;0"),"")</f>
        <v/>
      </c>
      <c r="V197" s="30" t="n">
        <f aca="false">IF(AND(N($J197)&gt;0,N($K197)=0),COUNTIFS($J$3:$J197,"&gt;0",$K$3:$K197,"&lt;=0"),"")</f>
        <v>35</v>
      </c>
      <c r="W197" s="30" t="n">
        <f aca="false">IF($C197="","",IF(COUNTIF($C$3:$C197,$C197)&gt;1,"",MAX($W$2:W196)+1))</f>
        <v>46</v>
      </c>
      <c r="X197" s="30" t="n">
        <f aca="false">IF($H197="","",IF(COUNTIF($H$3:$H197,$H197)&gt;1,"",MAX($X$2:X196)+1))</f>
        <v>23</v>
      </c>
      <c r="Y197" s="0" t="str">
        <f aca="false">IF(AND(N($M197)&gt;0,N($O197)&lt;=0),COUNTIFS($M$3:$M197,"&gt;0",$O$3:$O197,"&lt;=0"),"")</f>
        <v/>
      </c>
      <c r="Z197" s="29" t="n">
        <f aca="false">IF(OR('THÁNG 7'!$C54="",'THÁNG 7'!$B54=""),0,'THÁNG 7'!$B54)</f>
        <v>46228</v>
      </c>
    </row>
    <row r="198" customFormat="false" ht="15" hidden="false" customHeight="false" outlineLevel="0" collapsed="false">
      <c r="A198" s="0" t="n">
        <v>7</v>
      </c>
      <c r="B198" s="29" t="n">
        <f aca="false">IF(OR('THÁNG 7'!$C55="",'THÁNG 7'!$B55=""),"",'THÁNG 7'!$B55)</f>
        <v>46230</v>
      </c>
      <c r="C198" s="0" t="str">
        <f aca="false">IF('THÁNG 7'!$C55="","",'THÁNG 7'!$C55)</f>
        <v>BGB - CÔNG HIỀN TOUR 20G ĐỦ LOẠI</v>
      </c>
      <c r="D198" s="0" t="str">
        <f aca="false">IF('THÁNG 7'!$C55="","",'THÁNG 7'!$D55&amp;"")</f>
        <v>0984008644</v>
      </c>
      <c r="E198" s="0" t="str">
        <f aca="false">IF('THÁNG 7'!$C55="","",'THÁNG 7'!$E55&amp;"")</f>
        <v/>
      </c>
      <c r="F198" s="0" t="str">
        <f aca="false">IF('THÁNG 7'!$C55="","",'THÁNG 7'!$F55&amp;"")</f>
        <v/>
      </c>
      <c r="G198" s="0" t="str">
        <f aca="false">IF('THÁNG 7'!$C55="","",'THÁNG 7'!$G55&amp;"")</f>
        <v>đội xe văn phòng cty cổ phần than hà tu phường hà tu tp hạ long tỉnh quảng ninh</v>
      </c>
      <c r="H198" s="0" t="str">
        <f aca="false">IF('THÁNG 7'!$C55="","",'THÁNG 7'!$H55&amp;"")</f>
        <v>gấu 4 loại, mỗi loại 5 con</v>
      </c>
      <c r="I198" s="30" t="n">
        <f aca="false">IF('THÁNG 7'!$C55="","",N('THÁNG 7'!$I55))</f>
        <v>20</v>
      </c>
      <c r="J198" s="30" t="n">
        <f aca="false">IF('THÁNG 7'!$C55="","",N('THÁNG 7'!$L55))</f>
        <v>1100000</v>
      </c>
      <c r="K198" s="30" t="n">
        <f aca="false">IF('THÁNG 7'!$C55="","",N('THÁNG 7'!$N55))</f>
        <v>0</v>
      </c>
      <c r="L198" s="30" t="n">
        <f aca="false">IF('THÁNG 7'!$C55="","",N('THÁNG 7'!$O55))</f>
        <v>0</v>
      </c>
      <c r="M198" s="30" t="n">
        <f aca="false">IF('THÁNG 7'!$C55="","",N('THÁNG 7'!$P55))</f>
        <v>1100000</v>
      </c>
      <c r="N198" s="30" t="n">
        <f aca="false">IF('THÁNG 7'!$C55="","",N('THÁNG 7'!$Q55))</f>
        <v>1100000</v>
      </c>
      <c r="O198" s="30" t="n">
        <f aca="false">IF('THÁNG 7'!$C55="","",N('THÁNG 7'!$R55))</f>
        <v>0</v>
      </c>
      <c r="P198" s="0" t="str">
        <f aca="false">IF(OR('THÁNG 7'!$C55="",'THÁNG 7'!$T55=""),"",'THÁNG 7'!$T55)</f>
        <v/>
      </c>
      <c r="Q198" s="0" t="str">
        <f aca="false">IF(OR('THÁNG 7'!$C55="",'THÁNG 7'!$U55=""),"",'THÁNG 7'!$U55)</f>
        <v/>
      </c>
      <c r="R198" s="0" t="str">
        <f aca="false">IF('THÁNG 7'!$C55="","",'THÁNG 7'!$W55&amp;"")</f>
        <v>chuyển từ Tháng 7 dòng 147</v>
      </c>
      <c r="S198" s="0" t="str">
        <f aca="false">IF('THÁNG 7'!$C55="","",'THÁNG 7'!$S55&amp;"")</f>
        <v>Đã thanh toán</v>
      </c>
      <c r="T198" s="0" t="str">
        <f aca="false">IF(N($O198)&gt;0,COUNTIF($O$3:$O198,"&gt;0"),"")</f>
        <v/>
      </c>
      <c r="U198" s="0" t="str">
        <f aca="false">IF(AND(N($J198)&gt;0,N($K198)&gt;0),COUNTIFS($J$3:$J198,"&gt;0",$K$3:$K198,"&gt;0"),"")</f>
        <v/>
      </c>
      <c r="V198" s="30" t="n">
        <f aca="false">IF(AND(N($J198)&gt;0,N($K198)=0),COUNTIFS($J$3:$J198,"&gt;0",$K$3:$K198,"&lt;=0"),"")</f>
        <v>36</v>
      </c>
      <c r="W198" s="30" t="n">
        <f aca="false">IF($C198="","",IF(COUNTIF($C$3:$C198,$C198)&gt;1,"",MAX($W$2:W197)+1))</f>
        <v>47</v>
      </c>
      <c r="X198" s="30" t="n">
        <f aca="false">IF($H198="","",IF(COUNTIF($H$3:$H198,$H198)&gt;1,"",MAX($X$2:X197)+1))</f>
        <v>24</v>
      </c>
      <c r="Y198" s="30" t="n">
        <f aca="false">IF(AND(N($M198)&gt;0,N($O198)&lt;=0),COUNTIFS($M$3:$M198,"&gt;0",$O$3:$O198,"&lt;=0"),"")</f>
        <v>40</v>
      </c>
      <c r="Z198" s="29" t="n">
        <f aca="false">IF(OR('THÁNG 7'!$C55="",'THÁNG 7'!$B55=""),0,'THÁNG 7'!$B55)</f>
        <v>46230</v>
      </c>
    </row>
    <row r="199" customFormat="false" ht="15" hidden="false" customHeight="false" outlineLevel="0" collapsed="false">
      <c r="A199" s="0" t="n">
        <v>7</v>
      </c>
      <c r="B199" s="29" t="n">
        <f aca="false">IF(OR('THÁNG 7'!$C56="",'THÁNG 7'!$B56=""),"",'THÁNG 7'!$B56)</f>
        <v>46230</v>
      </c>
      <c r="C199" s="0" t="str">
        <f aca="false">IF('THÁNG 7'!$C56="","",'THÁNG 7'!$C56)</f>
        <v>BGB - HẠ LONG 50G</v>
      </c>
      <c r="D199" s="0" t="str">
        <f aca="false">IF('THÁNG 7'!$C56="","",'THÁNG 7'!$D56&amp;"")</f>
        <v>0376290595</v>
      </c>
      <c r="E199" s="0" t="str">
        <f aca="false">IF('THÁNG 7'!$C56="","",'THÁNG 7'!$E56&amp;"")</f>
        <v/>
      </c>
      <c r="F199" s="0" t="str">
        <f aca="false">IF('THÁNG 7'!$C56="","",'THÁNG 7'!$F56&amp;"")</f>
        <v/>
      </c>
      <c r="G199" s="0" t="str">
        <f aca="false">IF('THÁNG 7'!$C56="","",'THÁNG 7'!$G56&amp;"")</f>
        <v>lô k8. Tổ 5. Khu 7. Bãi cháy. Hạ Long . QN</v>
      </c>
      <c r="H199" s="0" t="str">
        <f aca="false">IF('THÁNG 7'!$C56="","",'THÁNG 7'!$H56&amp;"")</f>
        <v>gấu 2 loại</v>
      </c>
      <c r="I199" s="30" t="n">
        <f aca="false">IF('THÁNG 7'!$C56="","",N('THÁNG 7'!$I56))</f>
        <v>50</v>
      </c>
      <c r="J199" s="30" t="n">
        <f aca="false">IF('THÁNG 7'!$C56="","",N('THÁNG 7'!$L56))</f>
        <v>2600000</v>
      </c>
      <c r="K199" s="30" t="n">
        <f aca="false">IF('THÁNG 7'!$C56="","",N('THÁNG 7'!$N56))</f>
        <v>0</v>
      </c>
      <c r="L199" s="30" t="n">
        <f aca="false">IF('THÁNG 7'!$C56="","",N('THÁNG 7'!$O56))</f>
        <v>0</v>
      </c>
      <c r="M199" s="30" t="n">
        <f aca="false">IF('THÁNG 7'!$C56="","",N('THÁNG 7'!$P56))</f>
        <v>2600000</v>
      </c>
      <c r="N199" s="30" t="n">
        <f aca="false">IF('THÁNG 7'!$C56="","",N('THÁNG 7'!$Q56))</f>
        <v>1300000</v>
      </c>
      <c r="O199" s="30" t="n">
        <f aca="false">IF('THÁNG 7'!$C56="","",N('THÁNG 7'!$R56))</f>
        <v>1300000</v>
      </c>
      <c r="P199" s="0" t="str">
        <f aca="false">IF(OR('THÁNG 7'!$C56="",'THÁNG 7'!$T56=""),"",'THÁNG 7'!$T56)</f>
        <v/>
      </c>
      <c r="Q199" s="0" t="str">
        <f aca="false">IF(OR('THÁNG 7'!$C56="",'THÁNG 7'!$U56=""),"",'THÁNG 7'!$U56)</f>
        <v/>
      </c>
      <c r="R199" s="0" t="str">
        <f aca="false">IF('THÁNG 7'!$C56="","",'THÁNG 7'!$W56&amp;"")</f>
        <v>chuyển từ Tháng 7 dòng 148 | file cũ gõ đè thành tiền, đơn giá tính lại = thành tiền / số lượng</v>
      </c>
      <c r="S199" s="0" t="str">
        <f aca="false">IF('THÁNG 7'!$C56="","",'THÁNG 7'!$S56&amp;"")</f>
        <v>Thanh toán một phần</v>
      </c>
      <c r="T199" s="30" t="n">
        <f aca="false">IF(N($O199)&gt;0,COUNTIF($O$3:$O199,"&gt;0"),"")</f>
        <v>9</v>
      </c>
      <c r="U199" s="0" t="str">
        <f aca="false">IF(AND(N($J199)&gt;0,N($K199)&gt;0),COUNTIFS($J$3:$J199,"&gt;0",$K$3:$K199,"&gt;0"),"")</f>
        <v/>
      </c>
      <c r="V199" s="30" t="n">
        <f aca="false">IF(AND(N($J199)&gt;0,N($K199)=0),COUNTIFS($J$3:$J199,"&gt;0",$K$3:$K199,"&lt;=0"),"")</f>
        <v>37</v>
      </c>
      <c r="W199" s="30" t="n">
        <f aca="false">IF($C199="","",IF(COUNTIF($C$3:$C199,$C199)&gt;1,"",MAX($W$2:W198)+1))</f>
        <v>48</v>
      </c>
      <c r="X199" s="30" t="n">
        <f aca="false">IF($H199="","",IF(COUNTIF($H$3:$H199,$H199)&gt;1,"",MAX($X$2:X198)+1))</f>
        <v>25</v>
      </c>
      <c r="Y199" s="0" t="str">
        <f aca="false">IF(AND(N($M199)&gt;0,N($O199)&lt;=0),COUNTIFS($M$3:$M199,"&gt;0",$O$3:$O199,"&lt;=0"),"")</f>
        <v/>
      </c>
      <c r="Z199" s="29" t="n">
        <f aca="false">IF(OR('THÁNG 7'!$C56="",'THÁNG 7'!$B56=""),0,'THÁNG 7'!$B56)</f>
        <v>46230</v>
      </c>
    </row>
    <row r="200" customFormat="false" ht="15" hidden="false" customHeight="false" outlineLevel="0" collapsed="false">
      <c r="A200" s="0" t="n">
        <v>7</v>
      </c>
      <c r="B200" s="29" t="n">
        <f aca="false">IF(OR('THÁNG 7'!$C57="",'THÁNG 7'!$B57=""),"",'THÁNG 7'!$B57)</f>
        <v>46230</v>
      </c>
      <c r="C200" s="0" t="str">
        <f aca="false">IF('THÁNG 7'!$C57="","",'THÁNG 7'!$C57)</f>
        <v>BGB - GẤU BÔNG RUTA THÁI BÌNH 100G</v>
      </c>
      <c r="D200" s="0" t="str">
        <f aca="false">IF('THÁNG 7'!$C57="","",'THÁNG 7'!$D57&amp;"")</f>
        <v>0947930930</v>
      </c>
      <c r="E200" s="0" t="str">
        <f aca="false">IF('THÁNG 7'!$C57="","",'THÁNG 7'!$E57&amp;"")</f>
        <v/>
      </c>
      <c r="F200" s="0" t="str">
        <f aca="false">IF('THÁNG 7'!$C57="","",'THÁNG 7'!$F57&amp;"")</f>
        <v/>
      </c>
      <c r="G200" s="0" t="str">
        <f aca="false">IF('THÁNG 7'!$C57="","",'THÁNG 7'!$G57&amp;"")</f>
        <v>20 Chu Văn An - thành phố thái bình</v>
      </c>
      <c r="H200" s="0" t="str">
        <f aca="false">IF('THÁNG 7'!$C57="","",'THÁNG 7'!$H57&amp;"")</f>
        <v>gấu 30 cm nâu in 2 mặt</v>
      </c>
      <c r="I200" s="30" t="n">
        <f aca="false">IF('THÁNG 7'!$C57="","",N('THÁNG 7'!$I57))</f>
        <v>100</v>
      </c>
      <c r="J200" s="30" t="n">
        <f aca="false">IF('THÁNG 7'!$C57="","",N('THÁNG 7'!$L57))</f>
        <v>4700000</v>
      </c>
      <c r="K200" s="30" t="n">
        <f aca="false">IF('THÁNG 7'!$C57="","",N('THÁNG 7'!$N57))</f>
        <v>0</v>
      </c>
      <c r="L200" s="30" t="n">
        <f aca="false">IF('THÁNG 7'!$C57="","",N('THÁNG 7'!$O57))</f>
        <v>0</v>
      </c>
      <c r="M200" s="30" t="n">
        <f aca="false">IF('THÁNG 7'!$C57="","",N('THÁNG 7'!$P57))</f>
        <v>4700000</v>
      </c>
      <c r="N200" s="30" t="n">
        <f aca="false">IF('THÁNG 7'!$C57="","",N('THÁNG 7'!$Q57))</f>
        <v>4700000</v>
      </c>
      <c r="O200" s="30" t="n">
        <f aca="false">IF('THÁNG 7'!$C57="","",N('THÁNG 7'!$R57))</f>
        <v>0</v>
      </c>
      <c r="P200" s="0" t="str">
        <f aca="false">IF(OR('THÁNG 7'!$C57="",'THÁNG 7'!$T57=""),"",'THÁNG 7'!$T57)</f>
        <v/>
      </c>
      <c r="Q200" s="0" t="str">
        <f aca="false">IF(OR('THÁNG 7'!$C57="",'THÁNG 7'!$U57=""),"",'THÁNG 7'!$U57)</f>
        <v/>
      </c>
      <c r="R200" s="0" t="str">
        <f aca="false">IF('THÁNG 7'!$C57="","",'THÁNG 7'!$W57&amp;"")</f>
        <v>chuyển từ Tháng 7 dòng 149</v>
      </c>
      <c r="S200" s="0" t="str">
        <f aca="false">IF('THÁNG 7'!$C57="","",'THÁNG 7'!$S57&amp;"")</f>
        <v>Đã thanh toán</v>
      </c>
      <c r="T200" s="0" t="str">
        <f aca="false">IF(N($O200)&gt;0,COUNTIF($O$3:$O200,"&gt;0"),"")</f>
        <v/>
      </c>
      <c r="U200" s="0" t="str">
        <f aca="false">IF(AND(N($J200)&gt;0,N($K200)&gt;0),COUNTIFS($J$3:$J200,"&gt;0",$K$3:$K200,"&gt;0"),"")</f>
        <v/>
      </c>
      <c r="V200" s="30" t="n">
        <f aca="false">IF(AND(N($J200)&gt;0,N($K200)=0),COUNTIFS($J$3:$J200,"&gt;0",$K$3:$K200,"&lt;=0"),"")</f>
        <v>38</v>
      </c>
      <c r="W200" s="30" t="n">
        <f aca="false">IF($C200="","",IF(COUNTIF($C$3:$C200,$C200)&gt;1,"",MAX($W$2:W199)+1))</f>
        <v>49</v>
      </c>
      <c r="X200" s="30" t="n">
        <f aca="false">IF($H200="","",IF(COUNTIF($H$3:$H200,$H200)&gt;1,"",MAX($X$2:X199)+1))</f>
        <v>26</v>
      </c>
      <c r="Y200" s="30" t="n">
        <f aca="false">IF(AND(N($M200)&gt;0,N($O200)&lt;=0),COUNTIFS($M$3:$M200,"&gt;0",$O$3:$O200,"&lt;=0"),"")</f>
        <v>41</v>
      </c>
      <c r="Z200" s="29" t="n">
        <f aca="false">IF(OR('THÁNG 7'!$C57="",'THÁNG 7'!$B57=""),0,'THÁNG 7'!$B57)</f>
        <v>46230</v>
      </c>
    </row>
    <row r="201" customFormat="false" ht="15" hidden="false" customHeight="false" outlineLevel="0" collapsed="false">
      <c r="A201" s="0" t="n">
        <v>7</v>
      </c>
      <c r="B201" s="29" t="n">
        <f aca="false">IF(OR('THÁNG 7'!$C58="",'THÁNG 7'!$B58=""),"",'THÁNG 7'!$B58)</f>
        <v>46230</v>
      </c>
      <c r="C201" s="0" t="str">
        <f aca="false">IF('THÁNG 7'!$C58="","",'THÁNG 7'!$C58)</f>
        <v>BGB - MK DTTH 50C</v>
      </c>
      <c r="D201" s="0" t="str">
        <f aca="false">IF('THÁNG 7'!$C58="","",'THÁNG 7'!$D58&amp;"")</f>
        <v>0388376911</v>
      </c>
      <c r="E201" s="0" t="str">
        <f aca="false">IF('THÁNG 7'!$C58="","",'THÁNG 7'!$E58&amp;"")</f>
        <v/>
      </c>
      <c r="F201" s="0" t="str">
        <f aca="false">IF('THÁNG 7'!$C58="","",'THÁNG 7'!$F58&amp;"")</f>
        <v/>
      </c>
      <c r="G201" s="0" t="str">
        <f aca="false">IF('THÁNG 7'!$C58="","",'THÁNG 7'!$G58&amp;"")</f>
        <v>124/3 đường Long Thuận phường Long Phước Q9, Tp Thủ Đức</v>
      </c>
      <c r="H201" s="0" t="str">
        <f aca="false">IF('THÁNG 7'!$C58="","",'THÁNG 7'!$H58&amp;"")</f>
        <v>móc khóa</v>
      </c>
      <c r="I201" s="30" t="n">
        <f aca="false">IF('THÁNG 7'!$C58="","",N('THÁNG 7'!$I58))</f>
        <v>50</v>
      </c>
      <c r="J201" s="30" t="n">
        <f aca="false">IF('THÁNG 7'!$C58="","",N('THÁNG 7'!$L58))</f>
        <v>1500000</v>
      </c>
      <c r="K201" s="30" t="n">
        <f aca="false">IF('THÁNG 7'!$C58="","",N('THÁNG 7'!$N58))</f>
        <v>0</v>
      </c>
      <c r="L201" s="30" t="n">
        <f aca="false">IF('THÁNG 7'!$C58="","",N('THÁNG 7'!$O58))</f>
        <v>0</v>
      </c>
      <c r="M201" s="30" t="n">
        <f aca="false">IF('THÁNG 7'!$C58="","",N('THÁNG 7'!$P58))</f>
        <v>1500000</v>
      </c>
      <c r="N201" s="30" t="n">
        <f aca="false">IF('THÁNG 7'!$C58="","",N('THÁNG 7'!$Q58))</f>
        <v>750000</v>
      </c>
      <c r="O201" s="30" t="n">
        <f aca="false">IF('THÁNG 7'!$C58="","",N('THÁNG 7'!$R58))</f>
        <v>750000</v>
      </c>
      <c r="P201" s="0" t="str">
        <f aca="false">IF(OR('THÁNG 7'!$C58="",'THÁNG 7'!$T58=""),"",'THÁNG 7'!$T58)</f>
        <v/>
      </c>
      <c r="Q201" s="0" t="str">
        <f aca="false">IF(OR('THÁNG 7'!$C58="",'THÁNG 7'!$U58=""),"",'THÁNG 7'!$U58)</f>
        <v/>
      </c>
      <c r="R201" s="0" t="str">
        <f aca="false">IF('THÁNG 7'!$C58="","",'THÁNG 7'!$W58&amp;"")</f>
        <v>chuyển từ Tháng 7 dòng 150</v>
      </c>
      <c r="S201" s="0" t="str">
        <f aca="false">IF('THÁNG 7'!$C58="","",'THÁNG 7'!$S58&amp;"")</f>
        <v>Thanh toán một phần</v>
      </c>
      <c r="T201" s="30" t="n">
        <f aca="false">IF(N($O201)&gt;0,COUNTIF($O$3:$O201,"&gt;0"),"")</f>
        <v>10</v>
      </c>
      <c r="U201" s="0" t="str">
        <f aca="false">IF(AND(N($J201)&gt;0,N($K201)&gt;0),COUNTIFS($J$3:$J201,"&gt;0",$K$3:$K201,"&gt;0"),"")</f>
        <v/>
      </c>
      <c r="V201" s="30" t="n">
        <f aca="false">IF(AND(N($J201)&gt;0,N($K201)=0),COUNTIFS($J$3:$J201,"&gt;0",$K$3:$K201,"&lt;=0"),"")</f>
        <v>39</v>
      </c>
      <c r="W201" s="30" t="n">
        <f aca="false">IF($C201="","",IF(COUNTIF($C$3:$C201,$C201)&gt;1,"",MAX($W$2:W200)+1))</f>
        <v>50</v>
      </c>
      <c r="X201" s="0" t="str">
        <f aca="false">IF($H201="","",IF(COUNTIF($H$3:$H201,$H201)&gt;1,"",MAX($X$2:X200)+1))</f>
        <v/>
      </c>
      <c r="Y201" s="0" t="str">
        <f aca="false">IF(AND(N($M201)&gt;0,N($O201)&lt;=0),COUNTIFS($M$3:$M201,"&gt;0",$O$3:$O201,"&lt;=0"),"")</f>
        <v/>
      </c>
      <c r="Z201" s="29" t="n">
        <f aca="false">IF(OR('THÁNG 7'!$C58="",'THÁNG 7'!$B58=""),0,'THÁNG 7'!$B58)</f>
        <v>46230</v>
      </c>
    </row>
    <row r="202" customFormat="false" ht="15" hidden="false" customHeight="false" outlineLevel="0" collapsed="false">
      <c r="A202" s="0" t="n">
        <v>7</v>
      </c>
      <c r="B202" s="29" t="n">
        <f aca="false">IF(OR('THÁNG 7'!$C59="",'THÁNG 7'!$B59=""),"",'THÁNG 7'!$B59)</f>
        <v>46231</v>
      </c>
      <c r="C202" s="0" t="str">
        <f aca="false">IF('THÁNG 7'!$C59="","",'THÁNG 7'!$C59)</f>
        <v>BGB - THIÊN LONG BĐS 100G</v>
      </c>
      <c r="D202" s="0" t="str">
        <f aca="false">IF('THÁNG 7'!$C59="","",'THÁNG 7'!$D59&amp;"")</f>
        <v>0878202959</v>
      </c>
      <c r="E202" s="0" t="str">
        <f aca="false">IF('THÁNG 7'!$C59="","",'THÁNG 7'!$E59&amp;"")</f>
        <v/>
      </c>
      <c r="F202" s="0" t="str">
        <f aca="false">IF('THÁNG 7'!$C59="","",'THÁNG 7'!$F59&amp;"")</f>
        <v/>
      </c>
      <c r="G202" s="0" t="str">
        <f aca="false">IF('THÁNG 7'!$C59="","",'THÁNG 7'!$G59&amp;"")</f>
        <v>Nam Việt Group - Số 55 Vũ Tông Phan, Phường Bình Trưng, HCM</v>
      </c>
      <c r="H202" s="0" t="str">
        <f aca="false">IF('THÁNG 7'!$C59="","",'THÁNG 7'!$H59&amp;"")</f>
        <v>gấu nâu 30cm</v>
      </c>
      <c r="I202" s="30" t="n">
        <f aca="false">IF('THÁNG 7'!$C59="","",N('THÁNG 7'!$I59))</f>
        <v>100</v>
      </c>
      <c r="J202" s="30" t="n">
        <f aca="false">IF('THÁNG 7'!$C59="","",N('THÁNG 7'!$L59))</f>
        <v>4800000</v>
      </c>
      <c r="K202" s="30" t="n">
        <f aca="false">IF('THÁNG 7'!$C59="","",N('THÁNG 7'!$N59))</f>
        <v>0</v>
      </c>
      <c r="L202" s="30" t="n">
        <f aca="false">IF('THÁNG 7'!$C59="","",N('THÁNG 7'!$O59))</f>
        <v>0</v>
      </c>
      <c r="M202" s="30" t="n">
        <f aca="false">IF('THÁNG 7'!$C59="","",N('THÁNG 7'!$P59))</f>
        <v>4800000</v>
      </c>
      <c r="N202" s="30" t="n">
        <f aca="false">IF('THÁNG 7'!$C59="","",N('THÁNG 7'!$Q59))</f>
        <v>2400000</v>
      </c>
      <c r="O202" s="30" t="n">
        <f aca="false">IF('THÁNG 7'!$C59="","",N('THÁNG 7'!$R59))</f>
        <v>2400000</v>
      </c>
      <c r="P202" s="0" t="str">
        <f aca="false">IF(OR('THÁNG 7'!$C59="",'THÁNG 7'!$T59=""),"",'THÁNG 7'!$T59)</f>
        <v/>
      </c>
      <c r="Q202" s="0" t="str">
        <f aca="false">IF(OR('THÁNG 7'!$C59="",'THÁNG 7'!$U59=""),"",'THÁNG 7'!$U59)</f>
        <v/>
      </c>
      <c r="R202" s="0" t="str">
        <f aca="false">IF('THÁNG 7'!$C59="","",'THÁNG 7'!$W59&amp;"")</f>
        <v>chuyển từ Tháng 7 dòng 151</v>
      </c>
      <c r="S202" s="0" t="str">
        <f aca="false">IF('THÁNG 7'!$C59="","",'THÁNG 7'!$S59&amp;"")</f>
        <v>Thanh toán một phần</v>
      </c>
      <c r="T202" s="30" t="n">
        <f aca="false">IF(N($O202)&gt;0,COUNTIF($O$3:$O202,"&gt;0"),"")</f>
        <v>11</v>
      </c>
      <c r="U202" s="0" t="str">
        <f aca="false">IF(AND(N($J202)&gt;0,N($K202)&gt;0),COUNTIFS($J$3:$J202,"&gt;0",$K$3:$K202,"&gt;0"),"")</f>
        <v/>
      </c>
      <c r="V202" s="30" t="n">
        <f aca="false">IF(AND(N($J202)&gt;0,N($K202)=0),COUNTIFS($J$3:$J202,"&gt;0",$K$3:$K202,"&lt;=0"),"")</f>
        <v>40</v>
      </c>
      <c r="W202" s="30" t="n">
        <f aca="false">IF($C202="","",IF(COUNTIF($C$3:$C202,$C202)&gt;1,"",MAX($W$2:W201)+1))</f>
        <v>51</v>
      </c>
      <c r="X202" s="0" t="str">
        <f aca="false">IF($H202="","",IF(COUNTIF($H$3:$H202,$H202)&gt;1,"",MAX($X$2:X201)+1))</f>
        <v/>
      </c>
      <c r="Y202" s="0" t="str">
        <f aca="false">IF(AND(N($M202)&gt;0,N($O202)&lt;=0),COUNTIFS($M$3:$M202,"&gt;0",$O$3:$O202,"&lt;=0"),"")</f>
        <v/>
      </c>
      <c r="Z202" s="29" t="n">
        <f aca="false">IF(OR('THÁNG 7'!$C59="",'THÁNG 7'!$B59=""),0,'THÁNG 7'!$B59)</f>
        <v>46231</v>
      </c>
    </row>
    <row r="203" customFormat="false" ht="15" hidden="false" customHeight="false" outlineLevel="0" collapsed="false">
      <c r="A203" s="0" t="n">
        <v>7</v>
      </c>
      <c r="B203" s="29" t="n">
        <f aca="false">IF(OR('THÁNG 7'!$C60="",'THÁNG 7'!$B60=""),"",'THÁNG 7'!$B60)</f>
        <v>46231</v>
      </c>
      <c r="C203" s="0" t="str">
        <f aca="false">IF('THÁNG 7'!$C60="","",'THÁNG 7'!$C60)</f>
        <v>anh Tuyên</v>
      </c>
      <c r="D203" s="0" t="str">
        <f aca="false">IF('THÁNG 7'!$C60="","",'THÁNG 7'!$D60&amp;"")</f>
        <v>0987323121</v>
      </c>
      <c r="E203" s="0" t="str">
        <f aca="false">IF('THÁNG 7'!$C60="","",'THÁNG 7'!$E60&amp;"")</f>
        <v/>
      </c>
      <c r="F203" s="0" t="str">
        <f aca="false">IF('THÁNG 7'!$C60="","",'THÁNG 7'!$F60&amp;"")</f>
        <v/>
      </c>
      <c r="G203" s="0" t="str">
        <f aca="false">IF('THÁNG 7'!$C60="","",'THÁNG 7'!$G60&amp;"")</f>
        <v>Nhà văn hóa xóm Diễn , xã tân đức , phú bình , thái nguyên</v>
      </c>
      <c r="H203" s="0" t="str">
        <f aca="false">IF('THÁNG 7'!$C60="","",'THÁNG 7'!$H60&amp;"")</f>
        <v>mẫu gấu</v>
      </c>
      <c r="I203" s="30" t="n">
        <f aca="false">IF('THÁNG 7'!$C60="","",N('THÁNG 7'!$I60))</f>
        <v>1</v>
      </c>
      <c r="J203" s="30" t="n">
        <f aca="false">IF('THÁNG 7'!$C60="","",N('THÁNG 7'!$L60))</f>
        <v>140000</v>
      </c>
      <c r="K203" s="30" t="n">
        <f aca="false">IF('THÁNG 7'!$C60="","",N('THÁNG 7'!$N60))</f>
        <v>0</v>
      </c>
      <c r="L203" s="30" t="n">
        <f aca="false">IF('THÁNG 7'!$C60="","",N('THÁNG 7'!$O60))</f>
        <v>0</v>
      </c>
      <c r="M203" s="30" t="n">
        <f aca="false">IF('THÁNG 7'!$C60="","",N('THÁNG 7'!$P60))</f>
        <v>140000</v>
      </c>
      <c r="N203" s="30" t="n">
        <f aca="false">IF('THÁNG 7'!$C60="","",N('THÁNG 7'!$Q60))</f>
        <v>0</v>
      </c>
      <c r="O203" s="30" t="n">
        <f aca="false">IF('THÁNG 7'!$C60="","",N('THÁNG 7'!$R60))</f>
        <v>140000</v>
      </c>
      <c r="P203" s="0" t="str">
        <f aca="false">IF(OR('THÁNG 7'!$C60="",'THÁNG 7'!$T60=""),"",'THÁNG 7'!$T60)</f>
        <v/>
      </c>
      <c r="Q203" s="0" t="str">
        <f aca="false">IF(OR('THÁNG 7'!$C60="",'THÁNG 7'!$U60=""),"",'THÁNG 7'!$U60)</f>
        <v/>
      </c>
      <c r="R203" s="0" t="str">
        <f aca="false">IF('THÁNG 7'!$C60="","",'THÁNG 7'!$W60&amp;"")</f>
        <v>chuyển từ Tháng 7 dòng 152 | file cũ không ghi số lượng, quy về 1 x thành tiền</v>
      </c>
      <c r="S203" s="0" t="str">
        <f aca="false">IF('THÁNG 7'!$C60="","",'THÁNG 7'!$S60&amp;"")</f>
        <v>Chưa thanh toán</v>
      </c>
      <c r="T203" s="30" t="n">
        <f aca="false">IF(N($O203)&gt;0,COUNTIF($O$3:$O203,"&gt;0"),"")</f>
        <v>12</v>
      </c>
      <c r="U203" s="0" t="str">
        <f aca="false">IF(AND(N($J203)&gt;0,N($K203)&gt;0),COUNTIFS($J$3:$J203,"&gt;0",$K$3:$K203,"&gt;0"),"")</f>
        <v/>
      </c>
      <c r="V203" s="30" t="n">
        <f aca="false">IF(AND(N($J203)&gt;0,N($K203)=0),COUNTIFS($J$3:$J203,"&gt;0",$K$3:$K203,"&lt;=0"),"")</f>
        <v>41</v>
      </c>
      <c r="W203" s="30" t="n">
        <f aca="false">IF($C203="","",IF(COUNTIF($C$3:$C203,$C203)&gt;1,"",MAX($W$2:W202)+1))</f>
        <v>52</v>
      </c>
      <c r="X203" s="30" t="n">
        <f aca="false">IF($H203="","",IF(COUNTIF($H$3:$H203,$H203)&gt;1,"",MAX($X$2:X202)+1))</f>
        <v>27</v>
      </c>
      <c r="Y203" s="0" t="str">
        <f aca="false">IF(AND(N($M203)&gt;0,N($O203)&lt;=0),COUNTIFS($M$3:$M203,"&gt;0",$O$3:$O203,"&lt;=0"),"")</f>
        <v/>
      </c>
      <c r="Z203" s="29" t="n">
        <f aca="false">IF(OR('THÁNG 7'!$C60="",'THÁNG 7'!$B60=""),0,'THÁNG 7'!$B60)</f>
        <v>46231</v>
      </c>
    </row>
    <row r="204" customFormat="false" ht="15" hidden="false" customHeight="false" outlineLevel="0" collapsed="false">
      <c r="A204" s="0" t="n">
        <v>7</v>
      </c>
      <c r="B204" s="29" t="n">
        <f aca="false">IF(OR('THÁNG 7'!$C61="",'THÁNG 7'!$B61=""),"",'THÁNG 7'!$B61)</f>
        <v>46233</v>
      </c>
      <c r="C204" s="0" t="str">
        <f aca="false">IF('THÁNG 7'!$C61="","",'THÁNG 7'!$C61)</f>
        <v>anh Tomsong</v>
      </c>
      <c r="D204" s="0" t="str">
        <f aca="false">IF('THÁNG 7'!$C61="","",'THÁNG 7'!$D61&amp;"")</f>
        <v>0326397762</v>
      </c>
      <c r="E204" s="0" t="str">
        <f aca="false">IF('THÁNG 7'!$C61="","",'THÁNG 7'!$E61&amp;"")</f>
        <v/>
      </c>
      <c r="F204" s="0" t="str">
        <f aca="false">IF('THÁNG 7'!$C61="","",'THÁNG 7'!$F61&amp;"")</f>
        <v/>
      </c>
      <c r="G204" s="0" t="str">
        <f aca="false">IF('THÁNG 7'!$C61="","",'THÁNG 7'!$G61&amp;"")</f>
        <v>Giếng Hố, Lệ Thuỷ, Vạn Tường ,Quảng Ngãi</v>
      </c>
      <c r="H204" s="0" t="str">
        <f aca="false">IF('THÁNG 7'!$C61="","",'THÁNG 7'!$H61&amp;"")</f>
        <v>gối chữ U màu xám</v>
      </c>
      <c r="I204" s="30" t="n">
        <f aca="false">IF('THÁNG 7'!$C61="","",N('THÁNG 7'!$I61))</f>
        <v>50</v>
      </c>
      <c r="J204" s="30" t="n">
        <f aca="false">IF('THÁNG 7'!$C61="","",N('THÁNG 7'!$L61))</f>
        <v>2750000</v>
      </c>
      <c r="K204" s="30" t="n">
        <f aca="false">IF('THÁNG 7'!$C61="","",N('THÁNG 7'!$N61))</f>
        <v>0</v>
      </c>
      <c r="L204" s="30" t="n">
        <f aca="false">IF('THÁNG 7'!$C61="","",N('THÁNG 7'!$O61))</f>
        <v>0</v>
      </c>
      <c r="M204" s="30" t="n">
        <f aca="false">IF('THÁNG 7'!$C61="","",N('THÁNG 7'!$P61))</f>
        <v>2750000</v>
      </c>
      <c r="N204" s="30" t="n">
        <f aca="false">IF('THÁNG 7'!$C61="","",N('THÁNG 7'!$Q61))</f>
        <v>1375000</v>
      </c>
      <c r="O204" s="30" t="n">
        <f aca="false">IF('THÁNG 7'!$C61="","",N('THÁNG 7'!$R61))</f>
        <v>1375000</v>
      </c>
      <c r="P204" s="0" t="str">
        <f aca="false">IF(OR('THÁNG 7'!$C61="",'THÁNG 7'!$T61=""),"",'THÁNG 7'!$T61)</f>
        <v/>
      </c>
      <c r="Q204" s="0" t="str">
        <f aca="false">IF(OR('THÁNG 7'!$C61="",'THÁNG 7'!$U61=""),"",'THÁNG 7'!$U61)</f>
        <v/>
      </c>
      <c r="R204" s="0" t="str">
        <f aca="false">IF('THÁNG 7'!$C61="","",'THÁNG 7'!$W61&amp;"")</f>
        <v>chuyển từ Tháng 7 dòng 153</v>
      </c>
      <c r="S204" s="0" t="str">
        <f aca="false">IF('THÁNG 7'!$C61="","",'THÁNG 7'!$S61&amp;"")</f>
        <v>Thanh toán một phần</v>
      </c>
      <c r="T204" s="30" t="n">
        <f aca="false">IF(N($O204)&gt;0,COUNTIF($O$3:$O204,"&gt;0"),"")</f>
        <v>13</v>
      </c>
      <c r="U204" s="0" t="str">
        <f aca="false">IF(AND(N($J204)&gt;0,N($K204)&gt;0),COUNTIFS($J$3:$J204,"&gt;0",$K$3:$K204,"&gt;0"),"")</f>
        <v/>
      </c>
      <c r="V204" s="30" t="n">
        <f aca="false">IF(AND(N($J204)&gt;0,N($K204)=0),COUNTIFS($J$3:$J204,"&gt;0",$K$3:$K204,"&lt;=0"),"")</f>
        <v>42</v>
      </c>
      <c r="W204" s="30" t="n">
        <f aca="false">IF($C204="","",IF(COUNTIF($C$3:$C204,$C204)&gt;1,"",MAX($W$2:W203)+1))</f>
        <v>53</v>
      </c>
      <c r="X204" s="30" t="n">
        <f aca="false">IF($H204="","",IF(COUNTIF($H$3:$H204,$H204)&gt;1,"",MAX($X$2:X203)+1))</f>
        <v>28</v>
      </c>
      <c r="Y204" s="0" t="str">
        <f aca="false">IF(AND(N($M204)&gt;0,N($O204)&lt;=0),COUNTIFS($M$3:$M204,"&gt;0",$O$3:$O204,"&lt;=0"),"")</f>
        <v/>
      </c>
      <c r="Z204" s="29" t="n">
        <f aca="false">IF(OR('THÁNG 7'!$C61="",'THÁNG 7'!$B61=""),0,'THÁNG 7'!$B61)</f>
        <v>46233</v>
      </c>
    </row>
    <row r="205" customFormat="false" ht="15" hidden="false" customHeight="false" outlineLevel="0" collapsed="false">
      <c r="A205" s="0" t="n">
        <v>7</v>
      </c>
      <c r="B205" s="29" t="n">
        <f aca="false">IF(OR('THÁNG 7'!$C62="",'THÁNG 7'!$B62=""),"",'THÁNG 7'!$B62)</f>
        <v>46233</v>
      </c>
      <c r="C205" s="0" t="str">
        <f aca="false">IF('THÁNG 7'!$C62="","",'THÁNG 7'!$C62)</f>
        <v>chị Nga Vũ</v>
      </c>
      <c r="D205" s="0" t="str">
        <f aca="false">IF('THÁNG 7'!$C62="","",'THÁNG 7'!$D62&amp;"")</f>
        <v>0977597222</v>
      </c>
      <c r="E205" s="0" t="str">
        <f aca="false">IF('THÁNG 7'!$C62="","",'THÁNG 7'!$E62&amp;"")</f>
        <v/>
      </c>
      <c r="F205" s="0" t="str">
        <f aca="false">IF('THÁNG 7'!$C62="","",'THÁNG 7'!$F62&amp;"")</f>
        <v/>
      </c>
      <c r="G205" s="0" t="str">
        <f aca="false">IF('THÁNG 7'!$C62="","",'THÁNG 7'!$G62&amp;"")</f>
        <v>H34 khu đấu giá Ngô Thì Nhậm Hà Đông Hà Nội</v>
      </c>
      <c r="H205" s="0" t="str">
        <f aca="false">IF('THÁNG 7'!$C62="","",'THÁNG 7'!$H62&amp;"")</f>
        <v>gấu trắng</v>
      </c>
      <c r="I205" s="30" t="n">
        <f aca="false">IF('THÁNG 7'!$C62="","",N('THÁNG 7'!$I62))</f>
        <v>200</v>
      </c>
      <c r="J205" s="30" t="n">
        <f aca="false">IF('THÁNG 7'!$C62="","",N('THÁNG 7'!$L62))</f>
        <v>9200000</v>
      </c>
      <c r="K205" s="30" t="n">
        <f aca="false">IF('THÁNG 7'!$C62="","",N('THÁNG 7'!$N62))</f>
        <v>0.08</v>
      </c>
      <c r="L205" s="30" t="n">
        <f aca="false">IF('THÁNG 7'!$C62="","",N('THÁNG 7'!$O62))</f>
        <v>736000</v>
      </c>
      <c r="M205" s="30" t="n">
        <f aca="false">IF('THÁNG 7'!$C62="","",N('THÁNG 7'!$P62))</f>
        <v>9936000</v>
      </c>
      <c r="N205" s="30" t="n">
        <f aca="false">IF('THÁNG 7'!$C62="","",N('THÁNG 7'!$Q62))</f>
        <v>4968000</v>
      </c>
      <c r="O205" s="30" t="n">
        <f aca="false">IF('THÁNG 7'!$C62="","",N('THÁNG 7'!$R62))</f>
        <v>4968000</v>
      </c>
      <c r="P205" s="0" t="str">
        <f aca="false">IF(OR('THÁNG 7'!$C62="",'THÁNG 7'!$T62=""),"",'THÁNG 7'!$T62)</f>
        <v/>
      </c>
      <c r="Q205" s="0" t="str">
        <f aca="false">IF(OR('THÁNG 7'!$C62="",'THÁNG 7'!$U62=""),"",'THÁNG 7'!$U62)</f>
        <v/>
      </c>
      <c r="R205" s="0" t="str">
        <f aca="false">IF('THÁNG 7'!$C62="","",'THÁNG 7'!$W62&amp;"")</f>
        <v>chuyển từ Tháng 7 dòng 154</v>
      </c>
      <c r="S205" s="0" t="str">
        <f aca="false">IF('THÁNG 7'!$C62="","",'THÁNG 7'!$S62&amp;"")</f>
        <v>Thanh toán một phần</v>
      </c>
      <c r="T205" s="30" t="n">
        <f aca="false">IF(N($O205)&gt;0,COUNTIF($O$3:$O205,"&gt;0"),"")</f>
        <v>14</v>
      </c>
      <c r="U205" s="30" t="n">
        <f aca="false">IF(AND(N($J205)&gt;0,N($K205)&gt;0),COUNTIFS($J$3:$J205,"&gt;0",$K$3:$K205,"&gt;0"),"")</f>
        <v>13</v>
      </c>
      <c r="V205" s="0" t="str">
        <f aca="false">IF(AND(N($J205)&gt;0,N($K205)=0),COUNTIFS($J$3:$J205,"&gt;0",$K$3:$K205,"&lt;=0"),"")</f>
        <v/>
      </c>
      <c r="W205" s="30" t="n">
        <f aca="false">IF($C205="","",IF(COUNTIF($C$3:$C205,$C205)&gt;1,"",MAX($W$2:W204)+1))</f>
        <v>54</v>
      </c>
      <c r="X205" s="0" t="str">
        <f aca="false">IF($H205="","",IF(COUNTIF($H$3:$H205,$H205)&gt;1,"",MAX($X$2:X204)+1))</f>
        <v/>
      </c>
      <c r="Y205" s="0" t="str">
        <f aca="false">IF(AND(N($M205)&gt;0,N($O205)&lt;=0),COUNTIFS($M$3:$M205,"&gt;0",$O$3:$O205,"&lt;=0"),"")</f>
        <v/>
      </c>
      <c r="Z205" s="29" t="n">
        <f aca="false">IF(OR('THÁNG 7'!$C62="",'THÁNG 7'!$B62=""),0,'THÁNG 7'!$B62)</f>
        <v>46233</v>
      </c>
    </row>
    <row r="206" customFormat="false" ht="15" hidden="false" customHeight="false" outlineLevel="0" collapsed="false">
      <c r="A206" s="0" t="n">
        <v>7</v>
      </c>
      <c r="B206" s="29" t="n">
        <f aca="false">IF(OR('THÁNG 7'!$C63="",'THÁNG 7'!$B63=""),"",'THÁNG 7'!$B63)</f>
        <v>46234</v>
      </c>
      <c r="C206" s="0" t="str">
        <f aca="false">IF('THÁNG 7'!$C63="","",'THÁNG 7'!$C63)</f>
        <v>BGB - Dược Hậu Giang 25G TN</v>
      </c>
      <c r="D206" s="0" t="str">
        <f aca="false">IF('THÁNG 7'!$C63="","",'THÁNG 7'!$D63&amp;"")</f>
        <v>0973393695</v>
      </c>
      <c r="E206" s="0" t="str">
        <f aca="false">IF('THÁNG 7'!$C63="","",'THÁNG 7'!$E63&amp;"")</f>
        <v/>
      </c>
      <c r="F206" s="0" t="str">
        <f aca="false">IF('THÁNG 7'!$C63="","",'THÁNG 7'!$F63&amp;"")</f>
        <v/>
      </c>
      <c r="G206" s="0" t="str">
        <f aca="false">IF('THÁNG 7'!$C63="","",'THÁNG 7'!$G63&amp;"")</f>
        <v>288 Bis Nguyễn Văn Cừ, P.Cái Khế, TP Cần Thơ</v>
      </c>
      <c r="H206" s="0" t="str">
        <f aca="false">IF('THÁNG 7'!$C63="","",'THÁNG 7'!$H63&amp;"")</f>
        <v>Gấu tốt nghiệp</v>
      </c>
      <c r="I206" s="30" t="n">
        <f aca="false">IF('THÁNG 7'!$C63="","",N('THÁNG 7'!$I63))</f>
        <v>25</v>
      </c>
      <c r="J206" s="30" t="n">
        <f aca="false">IF('THÁNG 7'!$C63="","",N('THÁNG 7'!$L63))</f>
        <v>1500000</v>
      </c>
      <c r="K206" s="30" t="n">
        <f aca="false">IF('THÁNG 7'!$C63="","",N('THÁNG 7'!$N63))</f>
        <v>0.08</v>
      </c>
      <c r="L206" s="30" t="n">
        <f aca="false">IF('THÁNG 7'!$C63="","",N('THÁNG 7'!$O63))</f>
        <v>120000</v>
      </c>
      <c r="M206" s="30" t="n">
        <f aca="false">IF('THÁNG 7'!$C63="","",N('THÁNG 7'!$P63))</f>
        <v>1620000</v>
      </c>
      <c r="N206" s="30" t="n">
        <f aca="false">IF('THÁNG 7'!$C63="","",N('THÁNG 7'!$Q63))</f>
        <v>728000</v>
      </c>
      <c r="O206" s="30" t="n">
        <f aca="false">IF('THÁNG 7'!$C63="","",N('THÁNG 7'!$R63))</f>
        <v>892000</v>
      </c>
      <c r="P206" s="31" t="n">
        <f aca="false">IF(OR('THÁNG 7'!$C63="",'THÁNG 7'!$T63=""),"",'THÁNG 7'!$T63)</f>
        <v>1000000</v>
      </c>
      <c r="Q206" s="31" t="n">
        <f aca="false">IF(OR('THÁNG 7'!$C63="",'THÁNG 7'!$U63=""),"",'THÁNG 7'!$U63)</f>
        <v>500000</v>
      </c>
      <c r="R206" s="0" t="str">
        <f aca="false">IF('THÁNG 7'!$C63="","",'THÁNG 7'!$W63&amp;"")</f>
        <v>chuyển từ Tháng 7 dòng 155</v>
      </c>
      <c r="S206" s="0" t="str">
        <f aca="false">IF('THÁNG 7'!$C63="","",'THÁNG 7'!$S63&amp;"")</f>
        <v>Thanh toán một phần</v>
      </c>
      <c r="T206" s="30" t="n">
        <f aca="false">IF(N($O206)&gt;0,COUNTIF($O$3:$O206,"&gt;0"),"")</f>
        <v>15</v>
      </c>
      <c r="U206" s="30" t="n">
        <f aca="false">IF(AND(N($J206)&gt;0,N($K206)&gt;0),COUNTIFS($J$3:$J206,"&gt;0",$K$3:$K206,"&gt;0"),"")</f>
        <v>14</v>
      </c>
      <c r="V206" s="0" t="str">
        <f aca="false">IF(AND(N($J206)&gt;0,N($K206)=0),COUNTIFS($J$3:$J206,"&gt;0",$K$3:$K206,"&lt;=0"),"")</f>
        <v/>
      </c>
      <c r="W206" s="30" t="n">
        <f aca="false">IF($C206="","",IF(COUNTIF($C$3:$C206,$C206)&gt;1,"",MAX($W$2:W205)+1))</f>
        <v>55</v>
      </c>
      <c r="X206" s="30" t="n">
        <f aca="false">IF($H206="","",IF(COUNTIF($H$3:$H206,$H206)&gt;1,"",MAX($X$2:X205)+1))</f>
        <v>29</v>
      </c>
      <c r="Y206" s="0" t="str">
        <f aca="false">IF(AND(N($M206)&gt;0,N($O206)&lt;=0),COUNTIFS($M$3:$M206,"&gt;0",$O$3:$O206,"&lt;=0"),"")</f>
        <v/>
      </c>
      <c r="Z206" s="29" t="n">
        <f aca="false">IF(OR('THÁNG 7'!$C63="",'THÁNG 7'!$B63=""),0,'THÁNG 7'!$B63)</f>
        <v>46234</v>
      </c>
    </row>
    <row r="207" customFormat="false" ht="15" hidden="false" customHeight="false" outlineLevel="0" collapsed="false">
      <c r="A207" s="0" t="n">
        <v>7</v>
      </c>
      <c r="B207" s="29" t="str">
        <f aca="false">IF(OR('THÁNG 7'!$C64="",'THÁNG 7'!$B64=""),"",'THÁNG 7'!$B64)</f>
        <v/>
      </c>
      <c r="C207" s="0" t="str">
        <f aca="false">IF('THÁNG 7'!$C64="","",'THÁNG 7'!$C64)</f>
        <v/>
      </c>
      <c r="D207" s="0" t="str">
        <f aca="false">IF('THÁNG 7'!$C64="","",'THÁNG 7'!$D64&amp;"")</f>
        <v/>
      </c>
      <c r="E207" s="0" t="str">
        <f aca="false">IF('THÁNG 7'!$C64="","",'THÁNG 7'!$E64&amp;"")</f>
        <v/>
      </c>
      <c r="F207" s="0" t="str">
        <f aca="false">IF('THÁNG 7'!$C64="","",'THÁNG 7'!$F64&amp;"")</f>
        <v/>
      </c>
      <c r="G207" s="0" t="str">
        <f aca="false">IF('THÁNG 7'!$C64="","",'THÁNG 7'!$G64&amp;"")</f>
        <v/>
      </c>
      <c r="H207" s="0" t="str">
        <f aca="false">IF('THÁNG 7'!$C64="","",'THÁNG 7'!$H64&amp;"")</f>
        <v/>
      </c>
      <c r="I207" s="0" t="str">
        <f aca="false">IF('THÁNG 7'!$C64="","",N('THÁNG 7'!$I64))</f>
        <v/>
      </c>
      <c r="J207" s="0" t="str">
        <f aca="false">IF('THÁNG 7'!$C64="","",N('THÁNG 7'!$L64))</f>
        <v/>
      </c>
      <c r="K207" s="0" t="str">
        <f aca="false">IF('THÁNG 7'!$C64="","",N('THÁNG 7'!$N64))</f>
        <v/>
      </c>
      <c r="L207" s="0" t="str">
        <f aca="false">IF('THÁNG 7'!$C64="","",N('THÁNG 7'!$O64))</f>
        <v/>
      </c>
      <c r="M207" s="0" t="str">
        <f aca="false">IF('THÁNG 7'!$C64="","",N('THÁNG 7'!$P64))</f>
        <v/>
      </c>
      <c r="N207" s="0" t="str">
        <f aca="false">IF('THÁNG 7'!$C64="","",N('THÁNG 7'!$Q64))</f>
        <v/>
      </c>
      <c r="O207" s="0" t="str">
        <f aca="false">IF('THÁNG 7'!$C64="","",N('THÁNG 7'!$R64))</f>
        <v/>
      </c>
      <c r="P207" s="0" t="str">
        <f aca="false">IF(OR('THÁNG 7'!$C64="",'THÁNG 7'!$T64=""),"",'THÁNG 7'!$T64)</f>
        <v/>
      </c>
      <c r="Q207" s="0" t="str">
        <f aca="false">IF(OR('THÁNG 7'!$C64="",'THÁNG 7'!$U64=""),"",'THÁNG 7'!$U64)</f>
        <v/>
      </c>
      <c r="R207" s="0" t="str">
        <f aca="false">IF('THÁNG 7'!$C64="","",'THÁNG 7'!$W64&amp;"")</f>
        <v/>
      </c>
      <c r="S207" s="0" t="str">
        <f aca="false">IF('THÁNG 7'!$C64="","",'THÁNG 7'!$S64&amp;"")</f>
        <v/>
      </c>
      <c r="T207" s="0" t="str">
        <f aca="false">IF(N($O207)&gt;0,COUNTIF($O$3:$O207,"&gt;0"),"")</f>
        <v/>
      </c>
      <c r="U207" s="0" t="str">
        <f aca="false">IF(AND(N($J207)&gt;0,N($K207)&gt;0),COUNTIFS($J$3:$J207,"&gt;0",$K$3:$K207,"&gt;0"),"")</f>
        <v/>
      </c>
      <c r="V207" s="0" t="str">
        <f aca="false">IF(AND(N($J207)&gt;0,N($K207)=0),COUNTIFS($J$3:$J207,"&gt;0",$K$3:$K207,"&lt;=0"),"")</f>
        <v/>
      </c>
      <c r="W207" s="0" t="str">
        <f aca="false">IF($C207="","",IF(COUNTIF($C$3:$C207,$C207)&gt;1,"",MAX($W$2:W206)+1))</f>
        <v/>
      </c>
      <c r="X207" s="0" t="str">
        <f aca="false">IF($H207="","",IF(COUNTIF($H$3:$H207,$H207)&gt;1,"",MAX($X$2:X206)+1))</f>
        <v/>
      </c>
      <c r="Y207" s="0" t="str">
        <f aca="false">IF(AND(N($M207)&gt;0,N($O207)&lt;=0),COUNTIFS($M$3:$M207,"&gt;0",$O$3:$O207,"&lt;=0"),"")</f>
        <v/>
      </c>
      <c r="Z207" s="30" t="n">
        <f aca="false">IF(OR('THÁNG 7'!$C64="",'THÁNG 7'!$B64=""),0,'THÁNG 7'!$B64)</f>
        <v>0</v>
      </c>
    </row>
    <row r="208" customFormat="false" ht="15" hidden="false" customHeight="false" outlineLevel="0" collapsed="false">
      <c r="A208" s="0" t="n">
        <v>7</v>
      </c>
      <c r="B208" s="29" t="str">
        <f aca="false">IF(OR('THÁNG 7'!$C65="",'THÁNG 7'!$B65=""),"",'THÁNG 7'!$B65)</f>
        <v/>
      </c>
      <c r="C208" s="0" t="str">
        <f aca="false">IF('THÁNG 7'!$C65="","",'THÁNG 7'!$C65)</f>
        <v/>
      </c>
      <c r="D208" s="0" t="str">
        <f aca="false">IF('THÁNG 7'!$C65="","",'THÁNG 7'!$D65&amp;"")</f>
        <v/>
      </c>
      <c r="E208" s="0" t="str">
        <f aca="false">IF('THÁNG 7'!$C65="","",'THÁNG 7'!$E65&amp;"")</f>
        <v/>
      </c>
      <c r="F208" s="0" t="str">
        <f aca="false">IF('THÁNG 7'!$C65="","",'THÁNG 7'!$F65&amp;"")</f>
        <v/>
      </c>
      <c r="G208" s="0" t="str">
        <f aca="false">IF('THÁNG 7'!$C65="","",'THÁNG 7'!$G65&amp;"")</f>
        <v/>
      </c>
      <c r="H208" s="0" t="str">
        <f aca="false">IF('THÁNG 7'!$C65="","",'THÁNG 7'!$H65&amp;"")</f>
        <v/>
      </c>
      <c r="I208" s="0" t="str">
        <f aca="false">IF('THÁNG 7'!$C65="","",N('THÁNG 7'!$I65))</f>
        <v/>
      </c>
      <c r="J208" s="0" t="str">
        <f aca="false">IF('THÁNG 7'!$C65="","",N('THÁNG 7'!$L65))</f>
        <v/>
      </c>
      <c r="K208" s="0" t="str">
        <f aca="false">IF('THÁNG 7'!$C65="","",N('THÁNG 7'!$N65))</f>
        <v/>
      </c>
      <c r="L208" s="0" t="str">
        <f aca="false">IF('THÁNG 7'!$C65="","",N('THÁNG 7'!$O65))</f>
        <v/>
      </c>
      <c r="M208" s="0" t="str">
        <f aca="false">IF('THÁNG 7'!$C65="","",N('THÁNG 7'!$P65))</f>
        <v/>
      </c>
      <c r="N208" s="0" t="str">
        <f aca="false">IF('THÁNG 7'!$C65="","",N('THÁNG 7'!$Q65))</f>
        <v/>
      </c>
      <c r="O208" s="0" t="str">
        <f aca="false">IF('THÁNG 7'!$C65="","",N('THÁNG 7'!$R65))</f>
        <v/>
      </c>
      <c r="P208" s="0" t="str">
        <f aca="false">IF(OR('THÁNG 7'!$C65="",'THÁNG 7'!$T65=""),"",'THÁNG 7'!$T65)</f>
        <v/>
      </c>
      <c r="Q208" s="0" t="str">
        <f aca="false">IF(OR('THÁNG 7'!$C65="",'THÁNG 7'!$U65=""),"",'THÁNG 7'!$U65)</f>
        <v/>
      </c>
      <c r="R208" s="0" t="str">
        <f aca="false">IF('THÁNG 7'!$C65="","",'THÁNG 7'!$W65&amp;"")</f>
        <v/>
      </c>
      <c r="S208" s="0" t="str">
        <f aca="false">IF('THÁNG 7'!$C65="","",'THÁNG 7'!$S65&amp;"")</f>
        <v/>
      </c>
      <c r="T208" s="0" t="str">
        <f aca="false">IF(N($O208)&gt;0,COUNTIF($O$3:$O208,"&gt;0"),"")</f>
        <v/>
      </c>
      <c r="U208" s="0" t="str">
        <f aca="false">IF(AND(N($J208)&gt;0,N($K208)&gt;0),COUNTIFS($J$3:$J208,"&gt;0",$K$3:$K208,"&gt;0"),"")</f>
        <v/>
      </c>
      <c r="V208" s="0" t="str">
        <f aca="false">IF(AND(N($J208)&gt;0,N($K208)=0),COUNTIFS($J$3:$J208,"&gt;0",$K$3:$K208,"&lt;=0"),"")</f>
        <v/>
      </c>
      <c r="W208" s="0" t="str">
        <f aca="false">IF($C208="","",IF(COUNTIF($C$3:$C208,$C208)&gt;1,"",MAX($W$2:W207)+1))</f>
        <v/>
      </c>
      <c r="X208" s="0" t="str">
        <f aca="false">IF($H208="","",IF(COUNTIF($H$3:$H208,$H208)&gt;1,"",MAX($X$2:X207)+1))</f>
        <v/>
      </c>
      <c r="Y208" s="0" t="str">
        <f aca="false">IF(AND(N($M208)&gt;0,N($O208)&lt;=0),COUNTIFS($M$3:$M208,"&gt;0",$O$3:$O208,"&lt;=0"),"")</f>
        <v/>
      </c>
      <c r="Z208" s="30" t="n">
        <f aca="false">IF(OR('THÁNG 7'!$C65="",'THÁNG 7'!$B65=""),0,'THÁNG 7'!$B65)</f>
        <v>0</v>
      </c>
    </row>
    <row r="209" customFormat="false" ht="15" hidden="false" customHeight="false" outlineLevel="0" collapsed="false">
      <c r="A209" s="0" t="n">
        <v>7</v>
      </c>
      <c r="B209" s="29" t="str">
        <f aca="false">IF(OR('THÁNG 7'!$C66="",'THÁNG 7'!$B66=""),"",'THÁNG 7'!$B66)</f>
        <v/>
      </c>
      <c r="C209" s="0" t="str">
        <f aca="false">IF('THÁNG 7'!$C66="","",'THÁNG 7'!$C66)</f>
        <v/>
      </c>
      <c r="D209" s="0" t="str">
        <f aca="false">IF('THÁNG 7'!$C66="","",'THÁNG 7'!$D66&amp;"")</f>
        <v/>
      </c>
      <c r="E209" s="0" t="str">
        <f aca="false">IF('THÁNG 7'!$C66="","",'THÁNG 7'!$E66&amp;"")</f>
        <v/>
      </c>
      <c r="F209" s="0" t="str">
        <f aca="false">IF('THÁNG 7'!$C66="","",'THÁNG 7'!$F66&amp;"")</f>
        <v/>
      </c>
      <c r="G209" s="0" t="str">
        <f aca="false">IF('THÁNG 7'!$C66="","",'THÁNG 7'!$G66&amp;"")</f>
        <v/>
      </c>
      <c r="H209" s="0" t="str">
        <f aca="false">IF('THÁNG 7'!$C66="","",'THÁNG 7'!$H66&amp;"")</f>
        <v/>
      </c>
      <c r="I209" s="0" t="str">
        <f aca="false">IF('THÁNG 7'!$C66="","",N('THÁNG 7'!$I66))</f>
        <v/>
      </c>
      <c r="J209" s="0" t="str">
        <f aca="false">IF('THÁNG 7'!$C66="","",N('THÁNG 7'!$L66))</f>
        <v/>
      </c>
      <c r="K209" s="0" t="str">
        <f aca="false">IF('THÁNG 7'!$C66="","",N('THÁNG 7'!$N66))</f>
        <v/>
      </c>
      <c r="L209" s="0" t="str">
        <f aca="false">IF('THÁNG 7'!$C66="","",N('THÁNG 7'!$O66))</f>
        <v/>
      </c>
      <c r="M209" s="0" t="str">
        <f aca="false">IF('THÁNG 7'!$C66="","",N('THÁNG 7'!$P66))</f>
        <v/>
      </c>
      <c r="N209" s="0" t="str">
        <f aca="false">IF('THÁNG 7'!$C66="","",N('THÁNG 7'!$Q66))</f>
        <v/>
      </c>
      <c r="O209" s="0" t="str">
        <f aca="false">IF('THÁNG 7'!$C66="","",N('THÁNG 7'!$R66))</f>
        <v/>
      </c>
      <c r="P209" s="0" t="str">
        <f aca="false">IF(OR('THÁNG 7'!$C66="",'THÁNG 7'!$T66=""),"",'THÁNG 7'!$T66)</f>
        <v/>
      </c>
      <c r="Q209" s="0" t="str">
        <f aca="false">IF(OR('THÁNG 7'!$C66="",'THÁNG 7'!$U66=""),"",'THÁNG 7'!$U66)</f>
        <v/>
      </c>
      <c r="R209" s="0" t="str">
        <f aca="false">IF('THÁNG 7'!$C66="","",'THÁNG 7'!$W66&amp;"")</f>
        <v/>
      </c>
      <c r="S209" s="0" t="str">
        <f aca="false">IF('THÁNG 7'!$C66="","",'THÁNG 7'!$S66&amp;"")</f>
        <v/>
      </c>
      <c r="T209" s="0" t="str">
        <f aca="false">IF(N($O209)&gt;0,COUNTIF($O$3:$O209,"&gt;0"),"")</f>
        <v/>
      </c>
      <c r="U209" s="0" t="str">
        <f aca="false">IF(AND(N($J209)&gt;0,N($K209)&gt;0),COUNTIFS($J$3:$J209,"&gt;0",$K$3:$K209,"&gt;0"),"")</f>
        <v/>
      </c>
      <c r="V209" s="0" t="str">
        <f aca="false">IF(AND(N($J209)&gt;0,N($K209)=0),COUNTIFS($J$3:$J209,"&gt;0",$K$3:$K209,"&lt;=0"),"")</f>
        <v/>
      </c>
      <c r="W209" s="0" t="str">
        <f aca="false">IF($C209="","",IF(COUNTIF($C$3:$C209,$C209)&gt;1,"",MAX($W$2:W208)+1))</f>
        <v/>
      </c>
      <c r="X209" s="0" t="str">
        <f aca="false">IF($H209="","",IF(COUNTIF($H$3:$H209,$H209)&gt;1,"",MAX($X$2:X208)+1))</f>
        <v/>
      </c>
      <c r="Y209" s="0" t="str">
        <f aca="false">IF(AND(N($M209)&gt;0,N($O209)&lt;=0),COUNTIFS($M$3:$M209,"&gt;0",$O$3:$O209,"&lt;=0"),"")</f>
        <v/>
      </c>
      <c r="Z209" s="30" t="n">
        <f aca="false">IF(OR('THÁNG 7'!$C66="",'THÁNG 7'!$B66=""),0,'THÁNG 7'!$B66)</f>
        <v>0</v>
      </c>
    </row>
    <row r="210" customFormat="false" ht="15" hidden="false" customHeight="false" outlineLevel="0" collapsed="false">
      <c r="A210" s="0" t="n">
        <v>7</v>
      </c>
      <c r="B210" s="29" t="str">
        <f aca="false">IF(OR('THÁNG 7'!$C67="",'THÁNG 7'!$B67=""),"",'THÁNG 7'!$B67)</f>
        <v/>
      </c>
      <c r="C210" s="0" t="str">
        <f aca="false">IF('THÁNG 7'!$C67="","",'THÁNG 7'!$C67)</f>
        <v/>
      </c>
      <c r="D210" s="0" t="str">
        <f aca="false">IF('THÁNG 7'!$C67="","",'THÁNG 7'!$D67&amp;"")</f>
        <v/>
      </c>
      <c r="E210" s="0" t="str">
        <f aca="false">IF('THÁNG 7'!$C67="","",'THÁNG 7'!$E67&amp;"")</f>
        <v/>
      </c>
      <c r="F210" s="0" t="str">
        <f aca="false">IF('THÁNG 7'!$C67="","",'THÁNG 7'!$F67&amp;"")</f>
        <v/>
      </c>
      <c r="G210" s="0" t="str">
        <f aca="false">IF('THÁNG 7'!$C67="","",'THÁNG 7'!$G67&amp;"")</f>
        <v/>
      </c>
      <c r="H210" s="0" t="str">
        <f aca="false">IF('THÁNG 7'!$C67="","",'THÁNG 7'!$H67&amp;"")</f>
        <v/>
      </c>
      <c r="I210" s="0" t="str">
        <f aca="false">IF('THÁNG 7'!$C67="","",N('THÁNG 7'!$I67))</f>
        <v/>
      </c>
      <c r="J210" s="0" t="str">
        <f aca="false">IF('THÁNG 7'!$C67="","",N('THÁNG 7'!$L67))</f>
        <v/>
      </c>
      <c r="K210" s="0" t="str">
        <f aca="false">IF('THÁNG 7'!$C67="","",N('THÁNG 7'!$N67))</f>
        <v/>
      </c>
      <c r="L210" s="0" t="str">
        <f aca="false">IF('THÁNG 7'!$C67="","",N('THÁNG 7'!$O67))</f>
        <v/>
      </c>
      <c r="M210" s="0" t="str">
        <f aca="false">IF('THÁNG 7'!$C67="","",N('THÁNG 7'!$P67))</f>
        <v/>
      </c>
      <c r="N210" s="0" t="str">
        <f aca="false">IF('THÁNG 7'!$C67="","",N('THÁNG 7'!$Q67))</f>
        <v/>
      </c>
      <c r="O210" s="0" t="str">
        <f aca="false">IF('THÁNG 7'!$C67="","",N('THÁNG 7'!$R67))</f>
        <v/>
      </c>
      <c r="P210" s="0" t="str">
        <f aca="false">IF(OR('THÁNG 7'!$C67="",'THÁNG 7'!$T67=""),"",'THÁNG 7'!$T67)</f>
        <v/>
      </c>
      <c r="Q210" s="0" t="str">
        <f aca="false">IF(OR('THÁNG 7'!$C67="",'THÁNG 7'!$U67=""),"",'THÁNG 7'!$U67)</f>
        <v/>
      </c>
      <c r="R210" s="0" t="str">
        <f aca="false">IF('THÁNG 7'!$C67="","",'THÁNG 7'!$W67&amp;"")</f>
        <v/>
      </c>
      <c r="S210" s="0" t="str">
        <f aca="false">IF('THÁNG 7'!$C67="","",'THÁNG 7'!$S67&amp;"")</f>
        <v/>
      </c>
      <c r="T210" s="0" t="str">
        <f aca="false">IF(N($O210)&gt;0,COUNTIF($O$3:$O210,"&gt;0"),"")</f>
        <v/>
      </c>
      <c r="U210" s="0" t="str">
        <f aca="false">IF(AND(N($J210)&gt;0,N($K210)&gt;0),COUNTIFS($J$3:$J210,"&gt;0",$K$3:$K210,"&gt;0"),"")</f>
        <v/>
      </c>
      <c r="V210" s="0" t="str">
        <f aca="false">IF(AND(N($J210)&gt;0,N($K210)=0),COUNTIFS($J$3:$J210,"&gt;0",$K$3:$K210,"&lt;=0"),"")</f>
        <v/>
      </c>
      <c r="W210" s="0" t="str">
        <f aca="false">IF($C210="","",IF(COUNTIF($C$3:$C210,$C210)&gt;1,"",MAX($W$2:W209)+1))</f>
        <v/>
      </c>
      <c r="X210" s="0" t="str">
        <f aca="false">IF($H210="","",IF(COUNTIF($H$3:$H210,$H210)&gt;1,"",MAX($X$2:X209)+1))</f>
        <v/>
      </c>
      <c r="Y210" s="0" t="str">
        <f aca="false">IF(AND(N($M210)&gt;0,N($O210)&lt;=0),COUNTIFS($M$3:$M210,"&gt;0",$O$3:$O210,"&lt;=0"),"")</f>
        <v/>
      </c>
      <c r="Z210" s="30" t="n">
        <f aca="false">IF(OR('THÁNG 7'!$C67="",'THÁNG 7'!$B67=""),0,'THÁNG 7'!$B67)</f>
        <v>0</v>
      </c>
    </row>
    <row r="211" customFormat="false" ht="15" hidden="false" customHeight="false" outlineLevel="0" collapsed="false">
      <c r="A211" s="0" t="n">
        <v>7</v>
      </c>
      <c r="B211" s="29" t="str">
        <f aca="false">IF(OR('THÁNG 7'!$C68="",'THÁNG 7'!$B68=""),"",'THÁNG 7'!$B68)</f>
        <v/>
      </c>
      <c r="C211" s="0" t="str">
        <f aca="false">IF('THÁNG 7'!$C68="","",'THÁNG 7'!$C68)</f>
        <v/>
      </c>
      <c r="D211" s="0" t="str">
        <f aca="false">IF('THÁNG 7'!$C68="","",'THÁNG 7'!$D68&amp;"")</f>
        <v/>
      </c>
      <c r="E211" s="0" t="str">
        <f aca="false">IF('THÁNG 7'!$C68="","",'THÁNG 7'!$E68&amp;"")</f>
        <v/>
      </c>
      <c r="F211" s="0" t="str">
        <f aca="false">IF('THÁNG 7'!$C68="","",'THÁNG 7'!$F68&amp;"")</f>
        <v/>
      </c>
      <c r="G211" s="0" t="str">
        <f aca="false">IF('THÁNG 7'!$C68="","",'THÁNG 7'!$G68&amp;"")</f>
        <v/>
      </c>
      <c r="H211" s="0" t="str">
        <f aca="false">IF('THÁNG 7'!$C68="","",'THÁNG 7'!$H68&amp;"")</f>
        <v/>
      </c>
      <c r="I211" s="0" t="str">
        <f aca="false">IF('THÁNG 7'!$C68="","",N('THÁNG 7'!$I68))</f>
        <v/>
      </c>
      <c r="J211" s="0" t="str">
        <f aca="false">IF('THÁNG 7'!$C68="","",N('THÁNG 7'!$L68))</f>
        <v/>
      </c>
      <c r="K211" s="0" t="str">
        <f aca="false">IF('THÁNG 7'!$C68="","",N('THÁNG 7'!$N68))</f>
        <v/>
      </c>
      <c r="L211" s="0" t="str">
        <f aca="false">IF('THÁNG 7'!$C68="","",N('THÁNG 7'!$O68))</f>
        <v/>
      </c>
      <c r="M211" s="0" t="str">
        <f aca="false">IF('THÁNG 7'!$C68="","",N('THÁNG 7'!$P68))</f>
        <v/>
      </c>
      <c r="N211" s="0" t="str">
        <f aca="false">IF('THÁNG 7'!$C68="","",N('THÁNG 7'!$Q68))</f>
        <v/>
      </c>
      <c r="O211" s="0" t="str">
        <f aca="false">IF('THÁNG 7'!$C68="","",N('THÁNG 7'!$R68))</f>
        <v/>
      </c>
      <c r="P211" s="0" t="str">
        <f aca="false">IF(OR('THÁNG 7'!$C68="",'THÁNG 7'!$T68=""),"",'THÁNG 7'!$T68)</f>
        <v/>
      </c>
      <c r="Q211" s="0" t="str">
        <f aca="false">IF(OR('THÁNG 7'!$C68="",'THÁNG 7'!$U68=""),"",'THÁNG 7'!$U68)</f>
        <v/>
      </c>
      <c r="R211" s="0" t="str">
        <f aca="false">IF('THÁNG 7'!$C68="","",'THÁNG 7'!$W68&amp;"")</f>
        <v/>
      </c>
      <c r="S211" s="0" t="str">
        <f aca="false">IF('THÁNG 7'!$C68="","",'THÁNG 7'!$S68&amp;"")</f>
        <v/>
      </c>
      <c r="T211" s="0" t="str">
        <f aca="false">IF(N($O211)&gt;0,COUNTIF($O$3:$O211,"&gt;0"),"")</f>
        <v/>
      </c>
      <c r="U211" s="0" t="str">
        <f aca="false">IF(AND(N($J211)&gt;0,N($K211)&gt;0),COUNTIFS($J$3:$J211,"&gt;0",$K$3:$K211,"&gt;0"),"")</f>
        <v/>
      </c>
      <c r="V211" s="0" t="str">
        <f aca="false">IF(AND(N($J211)&gt;0,N($K211)=0),COUNTIFS($J$3:$J211,"&gt;0",$K$3:$K211,"&lt;=0"),"")</f>
        <v/>
      </c>
      <c r="W211" s="0" t="str">
        <f aca="false">IF($C211="","",IF(COUNTIF($C$3:$C211,$C211)&gt;1,"",MAX($W$2:W210)+1))</f>
        <v/>
      </c>
      <c r="X211" s="0" t="str">
        <f aca="false">IF($H211="","",IF(COUNTIF($H$3:$H211,$H211)&gt;1,"",MAX($X$2:X210)+1))</f>
        <v/>
      </c>
      <c r="Y211" s="0" t="str">
        <f aca="false">IF(AND(N($M211)&gt;0,N($O211)&lt;=0),COUNTIFS($M$3:$M211,"&gt;0",$O$3:$O211,"&lt;=0"),"")</f>
        <v/>
      </c>
      <c r="Z211" s="30" t="n">
        <f aca="false">IF(OR('THÁNG 7'!$C68="",'THÁNG 7'!$B68=""),0,'THÁNG 7'!$B68)</f>
        <v>0</v>
      </c>
    </row>
    <row r="212" customFormat="false" ht="15" hidden="false" customHeight="false" outlineLevel="0" collapsed="false">
      <c r="A212" s="0" t="n">
        <v>7</v>
      </c>
      <c r="B212" s="29" t="str">
        <f aca="false">IF(OR('THÁNG 7'!$C69="",'THÁNG 7'!$B69=""),"",'THÁNG 7'!$B69)</f>
        <v/>
      </c>
      <c r="C212" s="0" t="str">
        <f aca="false">IF('THÁNG 7'!$C69="","",'THÁNG 7'!$C69)</f>
        <v/>
      </c>
      <c r="D212" s="0" t="str">
        <f aca="false">IF('THÁNG 7'!$C69="","",'THÁNG 7'!$D69&amp;"")</f>
        <v/>
      </c>
      <c r="E212" s="0" t="str">
        <f aca="false">IF('THÁNG 7'!$C69="","",'THÁNG 7'!$E69&amp;"")</f>
        <v/>
      </c>
      <c r="F212" s="0" t="str">
        <f aca="false">IF('THÁNG 7'!$C69="","",'THÁNG 7'!$F69&amp;"")</f>
        <v/>
      </c>
      <c r="G212" s="0" t="str">
        <f aca="false">IF('THÁNG 7'!$C69="","",'THÁNG 7'!$G69&amp;"")</f>
        <v/>
      </c>
      <c r="H212" s="0" t="str">
        <f aca="false">IF('THÁNG 7'!$C69="","",'THÁNG 7'!$H69&amp;"")</f>
        <v/>
      </c>
      <c r="I212" s="0" t="str">
        <f aca="false">IF('THÁNG 7'!$C69="","",N('THÁNG 7'!$I69))</f>
        <v/>
      </c>
      <c r="J212" s="0" t="str">
        <f aca="false">IF('THÁNG 7'!$C69="","",N('THÁNG 7'!$L69))</f>
        <v/>
      </c>
      <c r="K212" s="0" t="str">
        <f aca="false">IF('THÁNG 7'!$C69="","",N('THÁNG 7'!$N69))</f>
        <v/>
      </c>
      <c r="L212" s="0" t="str">
        <f aca="false">IF('THÁNG 7'!$C69="","",N('THÁNG 7'!$O69))</f>
        <v/>
      </c>
      <c r="M212" s="0" t="str">
        <f aca="false">IF('THÁNG 7'!$C69="","",N('THÁNG 7'!$P69))</f>
        <v/>
      </c>
      <c r="N212" s="0" t="str">
        <f aca="false">IF('THÁNG 7'!$C69="","",N('THÁNG 7'!$Q69))</f>
        <v/>
      </c>
      <c r="O212" s="0" t="str">
        <f aca="false">IF('THÁNG 7'!$C69="","",N('THÁNG 7'!$R69))</f>
        <v/>
      </c>
      <c r="P212" s="0" t="str">
        <f aca="false">IF(OR('THÁNG 7'!$C69="",'THÁNG 7'!$T69=""),"",'THÁNG 7'!$T69)</f>
        <v/>
      </c>
      <c r="Q212" s="0" t="str">
        <f aca="false">IF(OR('THÁNG 7'!$C69="",'THÁNG 7'!$U69=""),"",'THÁNG 7'!$U69)</f>
        <v/>
      </c>
      <c r="R212" s="0" t="str">
        <f aca="false">IF('THÁNG 7'!$C69="","",'THÁNG 7'!$W69&amp;"")</f>
        <v/>
      </c>
      <c r="S212" s="0" t="str">
        <f aca="false">IF('THÁNG 7'!$C69="","",'THÁNG 7'!$S69&amp;"")</f>
        <v/>
      </c>
      <c r="T212" s="0" t="str">
        <f aca="false">IF(N($O212)&gt;0,COUNTIF($O$3:$O212,"&gt;0"),"")</f>
        <v/>
      </c>
      <c r="U212" s="0" t="str">
        <f aca="false">IF(AND(N($J212)&gt;0,N($K212)&gt;0),COUNTIFS($J$3:$J212,"&gt;0",$K$3:$K212,"&gt;0"),"")</f>
        <v/>
      </c>
      <c r="V212" s="0" t="str">
        <f aca="false">IF(AND(N($J212)&gt;0,N($K212)=0),COUNTIFS($J$3:$J212,"&gt;0",$K$3:$K212,"&lt;=0"),"")</f>
        <v/>
      </c>
      <c r="W212" s="0" t="str">
        <f aca="false">IF($C212="","",IF(COUNTIF($C$3:$C212,$C212)&gt;1,"",MAX($W$2:W211)+1))</f>
        <v/>
      </c>
      <c r="X212" s="0" t="str">
        <f aca="false">IF($H212="","",IF(COUNTIF($H$3:$H212,$H212)&gt;1,"",MAX($X$2:X211)+1))</f>
        <v/>
      </c>
      <c r="Y212" s="0" t="str">
        <f aca="false">IF(AND(N($M212)&gt;0,N($O212)&lt;=0),COUNTIFS($M$3:$M212,"&gt;0",$O$3:$O212,"&lt;=0"),"")</f>
        <v/>
      </c>
      <c r="Z212" s="30" t="n">
        <f aca="false">IF(OR('THÁNG 7'!$C69="",'THÁNG 7'!$B69=""),0,'THÁNG 7'!$B69)</f>
        <v>0</v>
      </c>
    </row>
    <row r="213" customFormat="false" ht="15" hidden="false" customHeight="false" outlineLevel="0" collapsed="false">
      <c r="A213" s="0" t="n">
        <v>7</v>
      </c>
      <c r="B213" s="29" t="str">
        <f aca="false">IF(OR('THÁNG 7'!$C70="",'THÁNG 7'!$B70=""),"",'THÁNG 7'!$B70)</f>
        <v/>
      </c>
      <c r="C213" s="0" t="str">
        <f aca="false">IF('THÁNG 7'!$C70="","",'THÁNG 7'!$C70)</f>
        <v/>
      </c>
      <c r="D213" s="0" t="str">
        <f aca="false">IF('THÁNG 7'!$C70="","",'THÁNG 7'!$D70&amp;"")</f>
        <v/>
      </c>
      <c r="E213" s="0" t="str">
        <f aca="false">IF('THÁNG 7'!$C70="","",'THÁNG 7'!$E70&amp;"")</f>
        <v/>
      </c>
      <c r="F213" s="0" t="str">
        <f aca="false">IF('THÁNG 7'!$C70="","",'THÁNG 7'!$F70&amp;"")</f>
        <v/>
      </c>
      <c r="G213" s="0" t="str">
        <f aca="false">IF('THÁNG 7'!$C70="","",'THÁNG 7'!$G70&amp;"")</f>
        <v/>
      </c>
      <c r="H213" s="0" t="str">
        <f aca="false">IF('THÁNG 7'!$C70="","",'THÁNG 7'!$H70&amp;"")</f>
        <v/>
      </c>
      <c r="I213" s="0" t="str">
        <f aca="false">IF('THÁNG 7'!$C70="","",N('THÁNG 7'!$I70))</f>
        <v/>
      </c>
      <c r="J213" s="0" t="str">
        <f aca="false">IF('THÁNG 7'!$C70="","",N('THÁNG 7'!$L70))</f>
        <v/>
      </c>
      <c r="K213" s="0" t="str">
        <f aca="false">IF('THÁNG 7'!$C70="","",N('THÁNG 7'!$N70))</f>
        <v/>
      </c>
      <c r="L213" s="0" t="str">
        <f aca="false">IF('THÁNG 7'!$C70="","",N('THÁNG 7'!$O70))</f>
        <v/>
      </c>
      <c r="M213" s="0" t="str">
        <f aca="false">IF('THÁNG 7'!$C70="","",N('THÁNG 7'!$P70))</f>
        <v/>
      </c>
      <c r="N213" s="0" t="str">
        <f aca="false">IF('THÁNG 7'!$C70="","",N('THÁNG 7'!$Q70))</f>
        <v/>
      </c>
      <c r="O213" s="0" t="str">
        <f aca="false">IF('THÁNG 7'!$C70="","",N('THÁNG 7'!$R70))</f>
        <v/>
      </c>
      <c r="P213" s="0" t="str">
        <f aca="false">IF(OR('THÁNG 7'!$C70="",'THÁNG 7'!$T70=""),"",'THÁNG 7'!$T70)</f>
        <v/>
      </c>
      <c r="Q213" s="0" t="str">
        <f aca="false">IF(OR('THÁNG 7'!$C70="",'THÁNG 7'!$U70=""),"",'THÁNG 7'!$U70)</f>
        <v/>
      </c>
      <c r="R213" s="0" t="str">
        <f aca="false">IF('THÁNG 7'!$C70="","",'THÁNG 7'!$W70&amp;"")</f>
        <v/>
      </c>
      <c r="S213" s="0" t="str">
        <f aca="false">IF('THÁNG 7'!$C70="","",'THÁNG 7'!$S70&amp;"")</f>
        <v/>
      </c>
      <c r="T213" s="0" t="str">
        <f aca="false">IF(N($O213)&gt;0,COUNTIF($O$3:$O213,"&gt;0"),"")</f>
        <v/>
      </c>
      <c r="U213" s="0" t="str">
        <f aca="false">IF(AND(N($J213)&gt;0,N($K213)&gt;0),COUNTIFS($J$3:$J213,"&gt;0",$K$3:$K213,"&gt;0"),"")</f>
        <v/>
      </c>
      <c r="V213" s="0" t="str">
        <f aca="false">IF(AND(N($J213)&gt;0,N($K213)=0),COUNTIFS($J$3:$J213,"&gt;0",$K$3:$K213,"&lt;=0"),"")</f>
        <v/>
      </c>
      <c r="W213" s="0" t="str">
        <f aca="false">IF($C213="","",IF(COUNTIF($C$3:$C213,$C213)&gt;1,"",MAX($W$2:W212)+1))</f>
        <v/>
      </c>
      <c r="X213" s="0" t="str">
        <f aca="false">IF($H213="","",IF(COUNTIF($H$3:$H213,$H213)&gt;1,"",MAX($X$2:X212)+1))</f>
        <v/>
      </c>
      <c r="Y213" s="0" t="str">
        <f aca="false">IF(AND(N($M213)&gt;0,N($O213)&lt;=0),COUNTIFS($M$3:$M213,"&gt;0",$O$3:$O213,"&lt;=0"),"")</f>
        <v/>
      </c>
      <c r="Z213" s="30" t="n">
        <f aca="false">IF(OR('THÁNG 7'!$C70="",'THÁNG 7'!$B70=""),0,'THÁNG 7'!$B70)</f>
        <v>0</v>
      </c>
    </row>
    <row r="214" customFormat="false" ht="15" hidden="false" customHeight="false" outlineLevel="0" collapsed="false">
      <c r="A214" s="0" t="n">
        <v>7</v>
      </c>
      <c r="B214" s="29" t="str">
        <f aca="false">IF(OR('THÁNG 7'!$C71="",'THÁNG 7'!$B71=""),"",'THÁNG 7'!$B71)</f>
        <v/>
      </c>
      <c r="C214" s="0" t="str">
        <f aca="false">IF('THÁNG 7'!$C71="","",'THÁNG 7'!$C71)</f>
        <v/>
      </c>
      <c r="D214" s="0" t="str">
        <f aca="false">IF('THÁNG 7'!$C71="","",'THÁNG 7'!$D71&amp;"")</f>
        <v/>
      </c>
      <c r="E214" s="0" t="str">
        <f aca="false">IF('THÁNG 7'!$C71="","",'THÁNG 7'!$E71&amp;"")</f>
        <v/>
      </c>
      <c r="F214" s="0" t="str">
        <f aca="false">IF('THÁNG 7'!$C71="","",'THÁNG 7'!$F71&amp;"")</f>
        <v/>
      </c>
      <c r="G214" s="0" t="str">
        <f aca="false">IF('THÁNG 7'!$C71="","",'THÁNG 7'!$G71&amp;"")</f>
        <v/>
      </c>
      <c r="H214" s="0" t="str">
        <f aca="false">IF('THÁNG 7'!$C71="","",'THÁNG 7'!$H71&amp;"")</f>
        <v/>
      </c>
      <c r="I214" s="0" t="str">
        <f aca="false">IF('THÁNG 7'!$C71="","",N('THÁNG 7'!$I71))</f>
        <v/>
      </c>
      <c r="J214" s="0" t="str">
        <f aca="false">IF('THÁNG 7'!$C71="","",N('THÁNG 7'!$L71))</f>
        <v/>
      </c>
      <c r="K214" s="0" t="str">
        <f aca="false">IF('THÁNG 7'!$C71="","",N('THÁNG 7'!$N71))</f>
        <v/>
      </c>
      <c r="L214" s="0" t="str">
        <f aca="false">IF('THÁNG 7'!$C71="","",N('THÁNG 7'!$O71))</f>
        <v/>
      </c>
      <c r="M214" s="0" t="str">
        <f aca="false">IF('THÁNG 7'!$C71="","",N('THÁNG 7'!$P71))</f>
        <v/>
      </c>
      <c r="N214" s="0" t="str">
        <f aca="false">IF('THÁNG 7'!$C71="","",N('THÁNG 7'!$Q71))</f>
        <v/>
      </c>
      <c r="O214" s="0" t="str">
        <f aca="false">IF('THÁNG 7'!$C71="","",N('THÁNG 7'!$R71))</f>
        <v/>
      </c>
      <c r="P214" s="0" t="str">
        <f aca="false">IF(OR('THÁNG 7'!$C71="",'THÁNG 7'!$T71=""),"",'THÁNG 7'!$T71)</f>
        <v/>
      </c>
      <c r="Q214" s="0" t="str">
        <f aca="false">IF(OR('THÁNG 7'!$C71="",'THÁNG 7'!$U71=""),"",'THÁNG 7'!$U71)</f>
        <v/>
      </c>
      <c r="R214" s="0" t="str">
        <f aca="false">IF('THÁNG 7'!$C71="","",'THÁNG 7'!$W71&amp;"")</f>
        <v/>
      </c>
      <c r="S214" s="0" t="str">
        <f aca="false">IF('THÁNG 7'!$C71="","",'THÁNG 7'!$S71&amp;"")</f>
        <v/>
      </c>
      <c r="T214" s="0" t="str">
        <f aca="false">IF(N($O214)&gt;0,COUNTIF($O$3:$O214,"&gt;0"),"")</f>
        <v/>
      </c>
      <c r="U214" s="0" t="str">
        <f aca="false">IF(AND(N($J214)&gt;0,N($K214)&gt;0),COUNTIFS($J$3:$J214,"&gt;0",$K$3:$K214,"&gt;0"),"")</f>
        <v/>
      </c>
      <c r="V214" s="0" t="str">
        <f aca="false">IF(AND(N($J214)&gt;0,N($K214)=0),COUNTIFS($J$3:$J214,"&gt;0",$K$3:$K214,"&lt;=0"),"")</f>
        <v/>
      </c>
      <c r="W214" s="0" t="str">
        <f aca="false">IF($C214="","",IF(COUNTIF($C$3:$C214,$C214)&gt;1,"",MAX($W$2:W213)+1))</f>
        <v/>
      </c>
      <c r="X214" s="0" t="str">
        <f aca="false">IF($H214="","",IF(COUNTIF($H$3:$H214,$H214)&gt;1,"",MAX($X$2:X213)+1))</f>
        <v/>
      </c>
      <c r="Y214" s="0" t="str">
        <f aca="false">IF(AND(N($M214)&gt;0,N($O214)&lt;=0),COUNTIFS($M$3:$M214,"&gt;0",$O$3:$O214,"&lt;=0"),"")</f>
        <v/>
      </c>
      <c r="Z214" s="30" t="n">
        <f aca="false">IF(OR('THÁNG 7'!$C71="",'THÁNG 7'!$B71=""),0,'THÁNG 7'!$B71)</f>
        <v>0</v>
      </c>
    </row>
    <row r="215" customFormat="false" ht="15" hidden="false" customHeight="false" outlineLevel="0" collapsed="false">
      <c r="A215" s="0" t="n">
        <v>7</v>
      </c>
      <c r="B215" s="29" t="str">
        <f aca="false">IF(OR('THÁNG 7'!$C72="",'THÁNG 7'!$B72=""),"",'THÁNG 7'!$B72)</f>
        <v/>
      </c>
      <c r="C215" s="0" t="str">
        <f aca="false">IF('THÁNG 7'!$C72="","",'THÁNG 7'!$C72)</f>
        <v/>
      </c>
      <c r="D215" s="0" t="str">
        <f aca="false">IF('THÁNG 7'!$C72="","",'THÁNG 7'!$D72&amp;"")</f>
        <v/>
      </c>
      <c r="E215" s="0" t="str">
        <f aca="false">IF('THÁNG 7'!$C72="","",'THÁNG 7'!$E72&amp;"")</f>
        <v/>
      </c>
      <c r="F215" s="0" t="str">
        <f aca="false">IF('THÁNG 7'!$C72="","",'THÁNG 7'!$F72&amp;"")</f>
        <v/>
      </c>
      <c r="G215" s="0" t="str">
        <f aca="false">IF('THÁNG 7'!$C72="","",'THÁNG 7'!$G72&amp;"")</f>
        <v/>
      </c>
      <c r="H215" s="0" t="str">
        <f aca="false">IF('THÁNG 7'!$C72="","",'THÁNG 7'!$H72&amp;"")</f>
        <v/>
      </c>
      <c r="I215" s="0" t="str">
        <f aca="false">IF('THÁNG 7'!$C72="","",N('THÁNG 7'!$I72))</f>
        <v/>
      </c>
      <c r="J215" s="0" t="str">
        <f aca="false">IF('THÁNG 7'!$C72="","",N('THÁNG 7'!$L72))</f>
        <v/>
      </c>
      <c r="K215" s="0" t="str">
        <f aca="false">IF('THÁNG 7'!$C72="","",N('THÁNG 7'!$N72))</f>
        <v/>
      </c>
      <c r="L215" s="0" t="str">
        <f aca="false">IF('THÁNG 7'!$C72="","",N('THÁNG 7'!$O72))</f>
        <v/>
      </c>
      <c r="M215" s="0" t="str">
        <f aca="false">IF('THÁNG 7'!$C72="","",N('THÁNG 7'!$P72))</f>
        <v/>
      </c>
      <c r="N215" s="0" t="str">
        <f aca="false">IF('THÁNG 7'!$C72="","",N('THÁNG 7'!$Q72))</f>
        <v/>
      </c>
      <c r="O215" s="0" t="str">
        <f aca="false">IF('THÁNG 7'!$C72="","",N('THÁNG 7'!$R72))</f>
        <v/>
      </c>
      <c r="P215" s="0" t="str">
        <f aca="false">IF(OR('THÁNG 7'!$C72="",'THÁNG 7'!$T72=""),"",'THÁNG 7'!$T72)</f>
        <v/>
      </c>
      <c r="Q215" s="0" t="str">
        <f aca="false">IF(OR('THÁNG 7'!$C72="",'THÁNG 7'!$U72=""),"",'THÁNG 7'!$U72)</f>
        <v/>
      </c>
      <c r="R215" s="0" t="str">
        <f aca="false">IF('THÁNG 7'!$C72="","",'THÁNG 7'!$W72&amp;"")</f>
        <v/>
      </c>
      <c r="S215" s="0" t="str">
        <f aca="false">IF('THÁNG 7'!$C72="","",'THÁNG 7'!$S72&amp;"")</f>
        <v/>
      </c>
      <c r="T215" s="0" t="str">
        <f aca="false">IF(N($O215)&gt;0,COUNTIF($O$3:$O215,"&gt;0"),"")</f>
        <v/>
      </c>
      <c r="U215" s="0" t="str">
        <f aca="false">IF(AND(N($J215)&gt;0,N($K215)&gt;0),COUNTIFS($J$3:$J215,"&gt;0",$K$3:$K215,"&gt;0"),"")</f>
        <v/>
      </c>
      <c r="V215" s="0" t="str">
        <f aca="false">IF(AND(N($J215)&gt;0,N($K215)=0),COUNTIFS($J$3:$J215,"&gt;0",$K$3:$K215,"&lt;=0"),"")</f>
        <v/>
      </c>
      <c r="W215" s="0" t="str">
        <f aca="false">IF($C215="","",IF(COUNTIF($C$3:$C215,$C215)&gt;1,"",MAX($W$2:W214)+1))</f>
        <v/>
      </c>
      <c r="X215" s="0" t="str">
        <f aca="false">IF($H215="","",IF(COUNTIF($H$3:$H215,$H215)&gt;1,"",MAX($X$2:X214)+1))</f>
        <v/>
      </c>
      <c r="Y215" s="0" t="str">
        <f aca="false">IF(AND(N($M215)&gt;0,N($O215)&lt;=0),COUNTIFS($M$3:$M215,"&gt;0",$O$3:$O215,"&lt;=0"),"")</f>
        <v/>
      </c>
      <c r="Z215" s="30" t="n">
        <f aca="false">IF(OR('THÁNG 7'!$C72="",'THÁNG 7'!$B72=""),0,'THÁNG 7'!$B72)</f>
        <v>0</v>
      </c>
    </row>
    <row r="216" customFormat="false" ht="15" hidden="false" customHeight="false" outlineLevel="0" collapsed="false">
      <c r="A216" s="0" t="n">
        <v>7</v>
      </c>
      <c r="B216" s="29" t="str">
        <f aca="false">IF(OR('THÁNG 7'!$C73="",'THÁNG 7'!$B73=""),"",'THÁNG 7'!$B73)</f>
        <v/>
      </c>
      <c r="C216" s="0" t="str">
        <f aca="false">IF('THÁNG 7'!$C73="","",'THÁNG 7'!$C73)</f>
        <v/>
      </c>
      <c r="D216" s="0" t="str">
        <f aca="false">IF('THÁNG 7'!$C73="","",'THÁNG 7'!$D73&amp;"")</f>
        <v/>
      </c>
      <c r="E216" s="0" t="str">
        <f aca="false">IF('THÁNG 7'!$C73="","",'THÁNG 7'!$E73&amp;"")</f>
        <v/>
      </c>
      <c r="F216" s="0" t="str">
        <f aca="false">IF('THÁNG 7'!$C73="","",'THÁNG 7'!$F73&amp;"")</f>
        <v/>
      </c>
      <c r="G216" s="0" t="str">
        <f aca="false">IF('THÁNG 7'!$C73="","",'THÁNG 7'!$G73&amp;"")</f>
        <v/>
      </c>
      <c r="H216" s="0" t="str">
        <f aca="false">IF('THÁNG 7'!$C73="","",'THÁNG 7'!$H73&amp;"")</f>
        <v/>
      </c>
      <c r="I216" s="0" t="str">
        <f aca="false">IF('THÁNG 7'!$C73="","",N('THÁNG 7'!$I73))</f>
        <v/>
      </c>
      <c r="J216" s="0" t="str">
        <f aca="false">IF('THÁNG 7'!$C73="","",N('THÁNG 7'!$L73))</f>
        <v/>
      </c>
      <c r="K216" s="0" t="str">
        <f aca="false">IF('THÁNG 7'!$C73="","",N('THÁNG 7'!$N73))</f>
        <v/>
      </c>
      <c r="L216" s="0" t="str">
        <f aca="false">IF('THÁNG 7'!$C73="","",N('THÁNG 7'!$O73))</f>
        <v/>
      </c>
      <c r="M216" s="0" t="str">
        <f aca="false">IF('THÁNG 7'!$C73="","",N('THÁNG 7'!$P73))</f>
        <v/>
      </c>
      <c r="N216" s="0" t="str">
        <f aca="false">IF('THÁNG 7'!$C73="","",N('THÁNG 7'!$Q73))</f>
        <v/>
      </c>
      <c r="O216" s="0" t="str">
        <f aca="false">IF('THÁNG 7'!$C73="","",N('THÁNG 7'!$R73))</f>
        <v/>
      </c>
      <c r="P216" s="0" t="str">
        <f aca="false">IF(OR('THÁNG 7'!$C73="",'THÁNG 7'!$T73=""),"",'THÁNG 7'!$T73)</f>
        <v/>
      </c>
      <c r="Q216" s="0" t="str">
        <f aca="false">IF(OR('THÁNG 7'!$C73="",'THÁNG 7'!$U73=""),"",'THÁNG 7'!$U73)</f>
        <v/>
      </c>
      <c r="R216" s="0" t="str">
        <f aca="false">IF('THÁNG 7'!$C73="","",'THÁNG 7'!$W73&amp;"")</f>
        <v/>
      </c>
      <c r="S216" s="0" t="str">
        <f aca="false">IF('THÁNG 7'!$C73="","",'THÁNG 7'!$S73&amp;"")</f>
        <v/>
      </c>
      <c r="T216" s="0" t="str">
        <f aca="false">IF(N($O216)&gt;0,COUNTIF($O$3:$O216,"&gt;0"),"")</f>
        <v/>
      </c>
      <c r="U216" s="0" t="str">
        <f aca="false">IF(AND(N($J216)&gt;0,N($K216)&gt;0),COUNTIFS($J$3:$J216,"&gt;0",$K$3:$K216,"&gt;0"),"")</f>
        <v/>
      </c>
      <c r="V216" s="0" t="str">
        <f aca="false">IF(AND(N($J216)&gt;0,N($K216)=0),COUNTIFS($J$3:$J216,"&gt;0",$K$3:$K216,"&lt;=0"),"")</f>
        <v/>
      </c>
      <c r="W216" s="0" t="str">
        <f aca="false">IF($C216="","",IF(COUNTIF($C$3:$C216,$C216)&gt;1,"",MAX($W$2:W215)+1))</f>
        <v/>
      </c>
      <c r="X216" s="0" t="str">
        <f aca="false">IF($H216="","",IF(COUNTIF($H$3:$H216,$H216)&gt;1,"",MAX($X$2:X215)+1))</f>
        <v/>
      </c>
      <c r="Y216" s="0" t="str">
        <f aca="false">IF(AND(N($M216)&gt;0,N($O216)&lt;=0),COUNTIFS($M$3:$M216,"&gt;0",$O$3:$O216,"&lt;=0"),"")</f>
        <v/>
      </c>
      <c r="Z216" s="30" t="n">
        <f aca="false">IF(OR('THÁNG 7'!$C73="",'THÁNG 7'!$B73=""),0,'THÁNG 7'!$B73)</f>
        <v>0</v>
      </c>
    </row>
    <row r="217" customFormat="false" ht="15" hidden="false" customHeight="false" outlineLevel="0" collapsed="false">
      <c r="A217" s="0" t="n">
        <v>7</v>
      </c>
      <c r="B217" s="29" t="str">
        <f aca="false">IF(OR('THÁNG 7'!$C74="",'THÁNG 7'!$B74=""),"",'THÁNG 7'!$B74)</f>
        <v/>
      </c>
      <c r="C217" s="0" t="str">
        <f aca="false">IF('THÁNG 7'!$C74="","",'THÁNG 7'!$C74)</f>
        <v/>
      </c>
      <c r="D217" s="0" t="str">
        <f aca="false">IF('THÁNG 7'!$C74="","",'THÁNG 7'!$D74&amp;"")</f>
        <v/>
      </c>
      <c r="E217" s="0" t="str">
        <f aca="false">IF('THÁNG 7'!$C74="","",'THÁNG 7'!$E74&amp;"")</f>
        <v/>
      </c>
      <c r="F217" s="0" t="str">
        <f aca="false">IF('THÁNG 7'!$C74="","",'THÁNG 7'!$F74&amp;"")</f>
        <v/>
      </c>
      <c r="G217" s="0" t="str">
        <f aca="false">IF('THÁNG 7'!$C74="","",'THÁNG 7'!$G74&amp;"")</f>
        <v/>
      </c>
      <c r="H217" s="0" t="str">
        <f aca="false">IF('THÁNG 7'!$C74="","",'THÁNG 7'!$H74&amp;"")</f>
        <v/>
      </c>
      <c r="I217" s="0" t="str">
        <f aca="false">IF('THÁNG 7'!$C74="","",N('THÁNG 7'!$I74))</f>
        <v/>
      </c>
      <c r="J217" s="0" t="str">
        <f aca="false">IF('THÁNG 7'!$C74="","",N('THÁNG 7'!$L74))</f>
        <v/>
      </c>
      <c r="K217" s="0" t="str">
        <f aca="false">IF('THÁNG 7'!$C74="","",N('THÁNG 7'!$N74))</f>
        <v/>
      </c>
      <c r="L217" s="0" t="str">
        <f aca="false">IF('THÁNG 7'!$C74="","",N('THÁNG 7'!$O74))</f>
        <v/>
      </c>
      <c r="M217" s="0" t="str">
        <f aca="false">IF('THÁNG 7'!$C74="","",N('THÁNG 7'!$P74))</f>
        <v/>
      </c>
      <c r="N217" s="0" t="str">
        <f aca="false">IF('THÁNG 7'!$C74="","",N('THÁNG 7'!$Q74))</f>
        <v/>
      </c>
      <c r="O217" s="0" t="str">
        <f aca="false">IF('THÁNG 7'!$C74="","",N('THÁNG 7'!$R74))</f>
        <v/>
      </c>
      <c r="P217" s="0" t="str">
        <f aca="false">IF(OR('THÁNG 7'!$C74="",'THÁNG 7'!$T74=""),"",'THÁNG 7'!$T74)</f>
        <v/>
      </c>
      <c r="Q217" s="0" t="str">
        <f aca="false">IF(OR('THÁNG 7'!$C74="",'THÁNG 7'!$U74=""),"",'THÁNG 7'!$U74)</f>
        <v/>
      </c>
      <c r="R217" s="0" t="str">
        <f aca="false">IF('THÁNG 7'!$C74="","",'THÁNG 7'!$W74&amp;"")</f>
        <v/>
      </c>
      <c r="S217" s="0" t="str">
        <f aca="false">IF('THÁNG 7'!$C74="","",'THÁNG 7'!$S74&amp;"")</f>
        <v/>
      </c>
      <c r="T217" s="0" t="str">
        <f aca="false">IF(N($O217)&gt;0,COUNTIF($O$3:$O217,"&gt;0"),"")</f>
        <v/>
      </c>
      <c r="U217" s="0" t="str">
        <f aca="false">IF(AND(N($J217)&gt;0,N($K217)&gt;0),COUNTIFS($J$3:$J217,"&gt;0",$K$3:$K217,"&gt;0"),"")</f>
        <v/>
      </c>
      <c r="V217" s="0" t="str">
        <f aca="false">IF(AND(N($J217)&gt;0,N($K217)=0),COUNTIFS($J$3:$J217,"&gt;0",$K$3:$K217,"&lt;=0"),"")</f>
        <v/>
      </c>
      <c r="W217" s="0" t="str">
        <f aca="false">IF($C217="","",IF(COUNTIF($C$3:$C217,$C217)&gt;1,"",MAX($W$2:W216)+1))</f>
        <v/>
      </c>
      <c r="X217" s="0" t="str">
        <f aca="false">IF($H217="","",IF(COUNTIF($H$3:$H217,$H217)&gt;1,"",MAX($X$2:X216)+1))</f>
        <v/>
      </c>
      <c r="Y217" s="0" t="str">
        <f aca="false">IF(AND(N($M217)&gt;0,N($O217)&lt;=0),COUNTIFS($M$3:$M217,"&gt;0",$O$3:$O217,"&lt;=0"),"")</f>
        <v/>
      </c>
      <c r="Z217" s="30" t="n">
        <f aca="false">IF(OR('THÁNG 7'!$C74="",'THÁNG 7'!$B74=""),0,'THÁNG 7'!$B74)</f>
        <v>0</v>
      </c>
    </row>
    <row r="218" customFormat="false" ht="15" hidden="false" customHeight="false" outlineLevel="0" collapsed="false">
      <c r="A218" s="0" t="n">
        <v>7</v>
      </c>
      <c r="B218" s="29" t="str">
        <f aca="false">IF(OR('THÁNG 7'!$C75="",'THÁNG 7'!$B75=""),"",'THÁNG 7'!$B75)</f>
        <v/>
      </c>
      <c r="C218" s="0" t="str">
        <f aca="false">IF('THÁNG 7'!$C75="","",'THÁNG 7'!$C75)</f>
        <v/>
      </c>
      <c r="D218" s="0" t="str">
        <f aca="false">IF('THÁNG 7'!$C75="","",'THÁNG 7'!$D75&amp;"")</f>
        <v/>
      </c>
      <c r="E218" s="0" t="str">
        <f aca="false">IF('THÁNG 7'!$C75="","",'THÁNG 7'!$E75&amp;"")</f>
        <v/>
      </c>
      <c r="F218" s="0" t="str">
        <f aca="false">IF('THÁNG 7'!$C75="","",'THÁNG 7'!$F75&amp;"")</f>
        <v/>
      </c>
      <c r="G218" s="0" t="str">
        <f aca="false">IF('THÁNG 7'!$C75="","",'THÁNG 7'!$G75&amp;"")</f>
        <v/>
      </c>
      <c r="H218" s="0" t="str">
        <f aca="false">IF('THÁNG 7'!$C75="","",'THÁNG 7'!$H75&amp;"")</f>
        <v/>
      </c>
      <c r="I218" s="0" t="str">
        <f aca="false">IF('THÁNG 7'!$C75="","",N('THÁNG 7'!$I75))</f>
        <v/>
      </c>
      <c r="J218" s="0" t="str">
        <f aca="false">IF('THÁNG 7'!$C75="","",N('THÁNG 7'!$L75))</f>
        <v/>
      </c>
      <c r="K218" s="0" t="str">
        <f aca="false">IF('THÁNG 7'!$C75="","",N('THÁNG 7'!$N75))</f>
        <v/>
      </c>
      <c r="L218" s="0" t="str">
        <f aca="false">IF('THÁNG 7'!$C75="","",N('THÁNG 7'!$O75))</f>
        <v/>
      </c>
      <c r="M218" s="0" t="str">
        <f aca="false">IF('THÁNG 7'!$C75="","",N('THÁNG 7'!$P75))</f>
        <v/>
      </c>
      <c r="N218" s="0" t="str">
        <f aca="false">IF('THÁNG 7'!$C75="","",N('THÁNG 7'!$Q75))</f>
        <v/>
      </c>
      <c r="O218" s="0" t="str">
        <f aca="false">IF('THÁNG 7'!$C75="","",N('THÁNG 7'!$R75))</f>
        <v/>
      </c>
      <c r="P218" s="0" t="str">
        <f aca="false">IF(OR('THÁNG 7'!$C75="",'THÁNG 7'!$T75=""),"",'THÁNG 7'!$T75)</f>
        <v/>
      </c>
      <c r="Q218" s="0" t="str">
        <f aca="false">IF(OR('THÁNG 7'!$C75="",'THÁNG 7'!$U75=""),"",'THÁNG 7'!$U75)</f>
        <v/>
      </c>
      <c r="R218" s="0" t="str">
        <f aca="false">IF('THÁNG 7'!$C75="","",'THÁNG 7'!$W75&amp;"")</f>
        <v/>
      </c>
      <c r="S218" s="0" t="str">
        <f aca="false">IF('THÁNG 7'!$C75="","",'THÁNG 7'!$S75&amp;"")</f>
        <v/>
      </c>
      <c r="T218" s="0" t="str">
        <f aca="false">IF(N($O218)&gt;0,COUNTIF($O$3:$O218,"&gt;0"),"")</f>
        <v/>
      </c>
      <c r="U218" s="0" t="str">
        <f aca="false">IF(AND(N($J218)&gt;0,N($K218)&gt;0),COUNTIFS($J$3:$J218,"&gt;0",$K$3:$K218,"&gt;0"),"")</f>
        <v/>
      </c>
      <c r="V218" s="0" t="str">
        <f aca="false">IF(AND(N($J218)&gt;0,N($K218)=0),COUNTIFS($J$3:$J218,"&gt;0",$K$3:$K218,"&lt;=0"),"")</f>
        <v/>
      </c>
      <c r="W218" s="0" t="str">
        <f aca="false">IF($C218="","",IF(COUNTIF($C$3:$C218,$C218)&gt;1,"",MAX($W$2:W217)+1))</f>
        <v/>
      </c>
      <c r="X218" s="0" t="str">
        <f aca="false">IF($H218="","",IF(COUNTIF($H$3:$H218,$H218)&gt;1,"",MAX($X$2:X217)+1))</f>
        <v/>
      </c>
      <c r="Y218" s="0" t="str">
        <f aca="false">IF(AND(N($M218)&gt;0,N($O218)&lt;=0),COUNTIFS($M$3:$M218,"&gt;0",$O$3:$O218,"&lt;=0"),"")</f>
        <v/>
      </c>
      <c r="Z218" s="30" t="n">
        <f aca="false">IF(OR('THÁNG 7'!$C75="",'THÁNG 7'!$B75=""),0,'THÁNG 7'!$B75)</f>
        <v>0</v>
      </c>
    </row>
    <row r="219" customFormat="false" ht="15" hidden="false" customHeight="false" outlineLevel="0" collapsed="false">
      <c r="A219" s="0" t="n">
        <v>7</v>
      </c>
      <c r="B219" s="29" t="str">
        <f aca="false">IF(OR('THÁNG 7'!$C76="",'THÁNG 7'!$B76=""),"",'THÁNG 7'!$B76)</f>
        <v/>
      </c>
      <c r="C219" s="0" t="str">
        <f aca="false">IF('THÁNG 7'!$C76="","",'THÁNG 7'!$C76)</f>
        <v/>
      </c>
      <c r="D219" s="0" t="str">
        <f aca="false">IF('THÁNG 7'!$C76="","",'THÁNG 7'!$D76&amp;"")</f>
        <v/>
      </c>
      <c r="E219" s="0" t="str">
        <f aca="false">IF('THÁNG 7'!$C76="","",'THÁNG 7'!$E76&amp;"")</f>
        <v/>
      </c>
      <c r="F219" s="0" t="str">
        <f aca="false">IF('THÁNG 7'!$C76="","",'THÁNG 7'!$F76&amp;"")</f>
        <v/>
      </c>
      <c r="G219" s="0" t="str">
        <f aca="false">IF('THÁNG 7'!$C76="","",'THÁNG 7'!$G76&amp;"")</f>
        <v/>
      </c>
      <c r="H219" s="0" t="str">
        <f aca="false">IF('THÁNG 7'!$C76="","",'THÁNG 7'!$H76&amp;"")</f>
        <v/>
      </c>
      <c r="I219" s="0" t="str">
        <f aca="false">IF('THÁNG 7'!$C76="","",N('THÁNG 7'!$I76))</f>
        <v/>
      </c>
      <c r="J219" s="0" t="str">
        <f aca="false">IF('THÁNG 7'!$C76="","",N('THÁNG 7'!$L76))</f>
        <v/>
      </c>
      <c r="K219" s="0" t="str">
        <f aca="false">IF('THÁNG 7'!$C76="","",N('THÁNG 7'!$N76))</f>
        <v/>
      </c>
      <c r="L219" s="0" t="str">
        <f aca="false">IF('THÁNG 7'!$C76="","",N('THÁNG 7'!$O76))</f>
        <v/>
      </c>
      <c r="M219" s="0" t="str">
        <f aca="false">IF('THÁNG 7'!$C76="","",N('THÁNG 7'!$P76))</f>
        <v/>
      </c>
      <c r="N219" s="0" t="str">
        <f aca="false">IF('THÁNG 7'!$C76="","",N('THÁNG 7'!$Q76))</f>
        <v/>
      </c>
      <c r="O219" s="0" t="str">
        <f aca="false">IF('THÁNG 7'!$C76="","",N('THÁNG 7'!$R76))</f>
        <v/>
      </c>
      <c r="P219" s="0" t="str">
        <f aca="false">IF(OR('THÁNG 7'!$C76="",'THÁNG 7'!$T76=""),"",'THÁNG 7'!$T76)</f>
        <v/>
      </c>
      <c r="Q219" s="0" t="str">
        <f aca="false">IF(OR('THÁNG 7'!$C76="",'THÁNG 7'!$U76=""),"",'THÁNG 7'!$U76)</f>
        <v/>
      </c>
      <c r="R219" s="0" t="str">
        <f aca="false">IF('THÁNG 7'!$C76="","",'THÁNG 7'!$W76&amp;"")</f>
        <v/>
      </c>
      <c r="S219" s="0" t="str">
        <f aca="false">IF('THÁNG 7'!$C76="","",'THÁNG 7'!$S76&amp;"")</f>
        <v/>
      </c>
      <c r="T219" s="0" t="str">
        <f aca="false">IF(N($O219)&gt;0,COUNTIF($O$3:$O219,"&gt;0"),"")</f>
        <v/>
      </c>
      <c r="U219" s="0" t="str">
        <f aca="false">IF(AND(N($J219)&gt;0,N($K219)&gt;0),COUNTIFS($J$3:$J219,"&gt;0",$K$3:$K219,"&gt;0"),"")</f>
        <v/>
      </c>
      <c r="V219" s="0" t="str">
        <f aca="false">IF(AND(N($J219)&gt;0,N($K219)=0),COUNTIFS($J$3:$J219,"&gt;0",$K$3:$K219,"&lt;=0"),"")</f>
        <v/>
      </c>
      <c r="W219" s="0" t="str">
        <f aca="false">IF($C219="","",IF(COUNTIF($C$3:$C219,$C219)&gt;1,"",MAX($W$2:W218)+1))</f>
        <v/>
      </c>
      <c r="X219" s="0" t="str">
        <f aca="false">IF($H219="","",IF(COUNTIF($H$3:$H219,$H219)&gt;1,"",MAX($X$2:X218)+1))</f>
        <v/>
      </c>
      <c r="Y219" s="0" t="str">
        <f aca="false">IF(AND(N($M219)&gt;0,N($O219)&lt;=0),COUNTIFS($M$3:$M219,"&gt;0",$O$3:$O219,"&lt;=0"),"")</f>
        <v/>
      </c>
      <c r="Z219" s="30" t="n">
        <f aca="false">IF(OR('THÁNG 7'!$C76="",'THÁNG 7'!$B76=""),0,'THÁNG 7'!$B76)</f>
        <v>0</v>
      </c>
    </row>
    <row r="220" customFormat="false" ht="15" hidden="false" customHeight="false" outlineLevel="0" collapsed="false">
      <c r="A220" s="0" t="n">
        <v>7</v>
      </c>
      <c r="B220" s="29" t="str">
        <f aca="false">IF(OR('THÁNG 7'!$C77="",'THÁNG 7'!$B77=""),"",'THÁNG 7'!$B77)</f>
        <v/>
      </c>
      <c r="C220" s="0" t="str">
        <f aca="false">IF('THÁNG 7'!$C77="","",'THÁNG 7'!$C77)</f>
        <v/>
      </c>
      <c r="D220" s="0" t="str">
        <f aca="false">IF('THÁNG 7'!$C77="","",'THÁNG 7'!$D77&amp;"")</f>
        <v/>
      </c>
      <c r="E220" s="0" t="str">
        <f aca="false">IF('THÁNG 7'!$C77="","",'THÁNG 7'!$E77&amp;"")</f>
        <v/>
      </c>
      <c r="F220" s="0" t="str">
        <f aca="false">IF('THÁNG 7'!$C77="","",'THÁNG 7'!$F77&amp;"")</f>
        <v/>
      </c>
      <c r="G220" s="0" t="str">
        <f aca="false">IF('THÁNG 7'!$C77="","",'THÁNG 7'!$G77&amp;"")</f>
        <v/>
      </c>
      <c r="H220" s="0" t="str">
        <f aca="false">IF('THÁNG 7'!$C77="","",'THÁNG 7'!$H77&amp;"")</f>
        <v/>
      </c>
      <c r="I220" s="0" t="str">
        <f aca="false">IF('THÁNG 7'!$C77="","",N('THÁNG 7'!$I77))</f>
        <v/>
      </c>
      <c r="J220" s="0" t="str">
        <f aca="false">IF('THÁNG 7'!$C77="","",N('THÁNG 7'!$L77))</f>
        <v/>
      </c>
      <c r="K220" s="0" t="str">
        <f aca="false">IF('THÁNG 7'!$C77="","",N('THÁNG 7'!$N77))</f>
        <v/>
      </c>
      <c r="L220" s="0" t="str">
        <f aca="false">IF('THÁNG 7'!$C77="","",N('THÁNG 7'!$O77))</f>
        <v/>
      </c>
      <c r="M220" s="0" t="str">
        <f aca="false">IF('THÁNG 7'!$C77="","",N('THÁNG 7'!$P77))</f>
        <v/>
      </c>
      <c r="N220" s="0" t="str">
        <f aca="false">IF('THÁNG 7'!$C77="","",N('THÁNG 7'!$Q77))</f>
        <v/>
      </c>
      <c r="O220" s="0" t="str">
        <f aca="false">IF('THÁNG 7'!$C77="","",N('THÁNG 7'!$R77))</f>
        <v/>
      </c>
      <c r="P220" s="0" t="str">
        <f aca="false">IF(OR('THÁNG 7'!$C77="",'THÁNG 7'!$T77=""),"",'THÁNG 7'!$T77)</f>
        <v/>
      </c>
      <c r="Q220" s="0" t="str">
        <f aca="false">IF(OR('THÁNG 7'!$C77="",'THÁNG 7'!$U77=""),"",'THÁNG 7'!$U77)</f>
        <v/>
      </c>
      <c r="R220" s="0" t="str">
        <f aca="false">IF('THÁNG 7'!$C77="","",'THÁNG 7'!$W77&amp;"")</f>
        <v/>
      </c>
      <c r="S220" s="0" t="str">
        <f aca="false">IF('THÁNG 7'!$C77="","",'THÁNG 7'!$S77&amp;"")</f>
        <v/>
      </c>
      <c r="T220" s="0" t="str">
        <f aca="false">IF(N($O220)&gt;0,COUNTIF($O$3:$O220,"&gt;0"),"")</f>
        <v/>
      </c>
      <c r="U220" s="0" t="str">
        <f aca="false">IF(AND(N($J220)&gt;0,N($K220)&gt;0),COUNTIFS($J$3:$J220,"&gt;0",$K$3:$K220,"&gt;0"),"")</f>
        <v/>
      </c>
      <c r="V220" s="0" t="str">
        <f aca="false">IF(AND(N($J220)&gt;0,N($K220)=0),COUNTIFS($J$3:$J220,"&gt;0",$K$3:$K220,"&lt;=0"),"")</f>
        <v/>
      </c>
      <c r="W220" s="0" t="str">
        <f aca="false">IF($C220="","",IF(COUNTIF($C$3:$C220,$C220)&gt;1,"",MAX($W$2:W219)+1))</f>
        <v/>
      </c>
      <c r="X220" s="0" t="str">
        <f aca="false">IF($H220="","",IF(COUNTIF($H$3:$H220,$H220)&gt;1,"",MAX($X$2:X219)+1))</f>
        <v/>
      </c>
      <c r="Y220" s="0" t="str">
        <f aca="false">IF(AND(N($M220)&gt;0,N($O220)&lt;=0),COUNTIFS($M$3:$M220,"&gt;0",$O$3:$O220,"&lt;=0"),"")</f>
        <v/>
      </c>
      <c r="Z220" s="30" t="n">
        <f aca="false">IF(OR('THÁNG 7'!$C77="",'THÁNG 7'!$B77=""),0,'THÁNG 7'!$B77)</f>
        <v>0</v>
      </c>
    </row>
    <row r="221" customFormat="false" ht="15" hidden="false" customHeight="false" outlineLevel="0" collapsed="false">
      <c r="A221" s="0" t="n">
        <v>7</v>
      </c>
      <c r="B221" s="29" t="str">
        <f aca="false">IF(OR('THÁNG 7'!$C78="",'THÁNG 7'!$B78=""),"",'THÁNG 7'!$B78)</f>
        <v/>
      </c>
      <c r="C221" s="0" t="str">
        <f aca="false">IF('THÁNG 7'!$C78="","",'THÁNG 7'!$C78)</f>
        <v/>
      </c>
      <c r="D221" s="0" t="str">
        <f aca="false">IF('THÁNG 7'!$C78="","",'THÁNG 7'!$D78&amp;"")</f>
        <v/>
      </c>
      <c r="E221" s="0" t="str">
        <f aca="false">IF('THÁNG 7'!$C78="","",'THÁNG 7'!$E78&amp;"")</f>
        <v/>
      </c>
      <c r="F221" s="0" t="str">
        <f aca="false">IF('THÁNG 7'!$C78="","",'THÁNG 7'!$F78&amp;"")</f>
        <v/>
      </c>
      <c r="G221" s="0" t="str">
        <f aca="false">IF('THÁNG 7'!$C78="","",'THÁNG 7'!$G78&amp;"")</f>
        <v/>
      </c>
      <c r="H221" s="0" t="str">
        <f aca="false">IF('THÁNG 7'!$C78="","",'THÁNG 7'!$H78&amp;"")</f>
        <v/>
      </c>
      <c r="I221" s="0" t="str">
        <f aca="false">IF('THÁNG 7'!$C78="","",N('THÁNG 7'!$I78))</f>
        <v/>
      </c>
      <c r="J221" s="0" t="str">
        <f aca="false">IF('THÁNG 7'!$C78="","",N('THÁNG 7'!$L78))</f>
        <v/>
      </c>
      <c r="K221" s="0" t="str">
        <f aca="false">IF('THÁNG 7'!$C78="","",N('THÁNG 7'!$N78))</f>
        <v/>
      </c>
      <c r="L221" s="0" t="str">
        <f aca="false">IF('THÁNG 7'!$C78="","",N('THÁNG 7'!$O78))</f>
        <v/>
      </c>
      <c r="M221" s="0" t="str">
        <f aca="false">IF('THÁNG 7'!$C78="","",N('THÁNG 7'!$P78))</f>
        <v/>
      </c>
      <c r="N221" s="0" t="str">
        <f aca="false">IF('THÁNG 7'!$C78="","",N('THÁNG 7'!$Q78))</f>
        <v/>
      </c>
      <c r="O221" s="0" t="str">
        <f aca="false">IF('THÁNG 7'!$C78="","",N('THÁNG 7'!$R78))</f>
        <v/>
      </c>
      <c r="P221" s="0" t="str">
        <f aca="false">IF(OR('THÁNG 7'!$C78="",'THÁNG 7'!$T78=""),"",'THÁNG 7'!$T78)</f>
        <v/>
      </c>
      <c r="Q221" s="0" t="str">
        <f aca="false">IF(OR('THÁNG 7'!$C78="",'THÁNG 7'!$U78=""),"",'THÁNG 7'!$U78)</f>
        <v/>
      </c>
      <c r="R221" s="0" t="str">
        <f aca="false">IF('THÁNG 7'!$C78="","",'THÁNG 7'!$W78&amp;"")</f>
        <v/>
      </c>
      <c r="S221" s="0" t="str">
        <f aca="false">IF('THÁNG 7'!$C78="","",'THÁNG 7'!$S78&amp;"")</f>
        <v/>
      </c>
      <c r="T221" s="0" t="str">
        <f aca="false">IF(N($O221)&gt;0,COUNTIF($O$3:$O221,"&gt;0"),"")</f>
        <v/>
      </c>
      <c r="U221" s="0" t="str">
        <f aca="false">IF(AND(N($J221)&gt;0,N($K221)&gt;0),COUNTIFS($J$3:$J221,"&gt;0",$K$3:$K221,"&gt;0"),"")</f>
        <v/>
      </c>
      <c r="V221" s="0" t="str">
        <f aca="false">IF(AND(N($J221)&gt;0,N($K221)=0),COUNTIFS($J$3:$J221,"&gt;0",$K$3:$K221,"&lt;=0"),"")</f>
        <v/>
      </c>
      <c r="W221" s="0" t="str">
        <f aca="false">IF($C221="","",IF(COUNTIF($C$3:$C221,$C221)&gt;1,"",MAX($W$2:W220)+1))</f>
        <v/>
      </c>
      <c r="X221" s="0" t="str">
        <f aca="false">IF($H221="","",IF(COUNTIF($H$3:$H221,$H221)&gt;1,"",MAX($X$2:X220)+1))</f>
        <v/>
      </c>
      <c r="Y221" s="0" t="str">
        <f aca="false">IF(AND(N($M221)&gt;0,N($O221)&lt;=0),COUNTIFS($M$3:$M221,"&gt;0",$O$3:$O221,"&lt;=0"),"")</f>
        <v/>
      </c>
      <c r="Z221" s="30" t="n">
        <f aca="false">IF(OR('THÁNG 7'!$C78="",'THÁNG 7'!$B78=""),0,'THÁNG 7'!$B78)</f>
        <v>0</v>
      </c>
    </row>
    <row r="222" customFormat="false" ht="15" hidden="false" customHeight="false" outlineLevel="0" collapsed="false">
      <c r="A222" s="0" t="n">
        <v>7</v>
      </c>
      <c r="B222" s="29" t="str">
        <f aca="false">IF(OR('THÁNG 7'!$C79="",'THÁNG 7'!$B79=""),"",'THÁNG 7'!$B79)</f>
        <v/>
      </c>
      <c r="C222" s="0" t="str">
        <f aca="false">IF('THÁNG 7'!$C79="","",'THÁNG 7'!$C79)</f>
        <v/>
      </c>
      <c r="D222" s="0" t="str">
        <f aca="false">IF('THÁNG 7'!$C79="","",'THÁNG 7'!$D79&amp;"")</f>
        <v/>
      </c>
      <c r="E222" s="0" t="str">
        <f aca="false">IF('THÁNG 7'!$C79="","",'THÁNG 7'!$E79&amp;"")</f>
        <v/>
      </c>
      <c r="F222" s="0" t="str">
        <f aca="false">IF('THÁNG 7'!$C79="","",'THÁNG 7'!$F79&amp;"")</f>
        <v/>
      </c>
      <c r="G222" s="0" t="str">
        <f aca="false">IF('THÁNG 7'!$C79="","",'THÁNG 7'!$G79&amp;"")</f>
        <v/>
      </c>
      <c r="H222" s="0" t="str">
        <f aca="false">IF('THÁNG 7'!$C79="","",'THÁNG 7'!$H79&amp;"")</f>
        <v/>
      </c>
      <c r="I222" s="0" t="str">
        <f aca="false">IF('THÁNG 7'!$C79="","",N('THÁNG 7'!$I79))</f>
        <v/>
      </c>
      <c r="J222" s="0" t="str">
        <f aca="false">IF('THÁNG 7'!$C79="","",N('THÁNG 7'!$L79))</f>
        <v/>
      </c>
      <c r="K222" s="0" t="str">
        <f aca="false">IF('THÁNG 7'!$C79="","",N('THÁNG 7'!$N79))</f>
        <v/>
      </c>
      <c r="L222" s="0" t="str">
        <f aca="false">IF('THÁNG 7'!$C79="","",N('THÁNG 7'!$O79))</f>
        <v/>
      </c>
      <c r="M222" s="0" t="str">
        <f aca="false">IF('THÁNG 7'!$C79="","",N('THÁNG 7'!$P79))</f>
        <v/>
      </c>
      <c r="N222" s="0" t="str">
        <f aca="false">IF('THÁNG 7'!$C79="","",N('THÁNG 7'!$Q79))</f>
        <v/>
      </c>
      <c r="O222" s="0" t="str">
        <f aca="false">IF('THÁNG 7'!$C79="","",N('THÁNG 7'!$R79))</f>
        <v/>
      </c>
      <c r="P222" s="0" t="str">
        <f aca="false">IF(OR('THÁNG 7'!$C79="",'THÁNG 7'!$T79=""),"",'THÁNG 7'!$T79)</f>
        <v/>
      </c>
      <c r="Q222" s="0" t="str">
        <f aca="false">IF(OR('THÁNG 7'!$C79="",'THÁNG 7'!$U79=""),"",'THÁNG 7'!$U79)</f>
        <v/>
      </c>
      <c r="R222" s="0" t="str">
        <f aca="false">IF('THÁNG 7'!$C79="","",'THÁNG 7'!$W79&amp;"")</f>
        <v/>
      </c>
      <c r="S222" s="0" t="str">
        <f aca="false">IF('THÁNG 7'!$C79="","",'THÁNG 7'!$S79&amp;"")</f>
        <v/>
      </c>
      <c r="T222" s="0" t="str">
        <f aca="false">IF(N($O222)&gt;0,COUNTIF($O$3:$O222,"&gt;0"),"")</f>
        <v/>
      </c>
      <c r="U222" s="0" t="str">
        <f aca="false">IF(AND(N($J222)&gt;0,N($K222)&gt;0),COUNTIFS($J$3:$J222,"&gt;0",$K$3:$K222,"&gt;0"),"")</f>
        <v/>
      </c>
      <c r="V222" s="0" t="str">
        <f aca="false">IF(AND(N($J222)&gt;0,N($K222)=0),COUNTIFS($J$3:$J222,"&gt;0",$K$3:$K222,"&lt;=0"),"")</f>
        <v/>
      </c>
      <c r="W222" s="0" t="str">
        <f aca="false">IF($C222="","",IF(COUNTIF($C$3:$C222,$C222)&gt;1,"",MAX($W$2:W221)+1))</f>
        <v/>
      </c>
      <c r="X222" s="0" t="str">
        <f aca="false">IF($H222="","",IF(COUNTIF($H$3:$H222,$H222)&gt;1,"",MAX($X$2:X221)+1))</f>
        <v/>
      </c>
      <c r="Y222" s="0" t="str">
        <f aca="false">IF(AND(N($M222)&gt;0,N($O222)&lt;=0),COUNTIFS($M$3:$M222,"&gt;0",$O$3:$O222,"&lt;=0"),"")</f>
        <v/>
      </c>
      <c r="Z222" s="30" t="n">
        <f aca="false">IF(OR('THÁNG 7'!$C79="",'THÁNG 7'!$B79=""),0,'THÁNG 7'!$B79)</f>
        <v>0</v>
      </c>
    </row>
    <row r="223" customFormat="false" ht="15" hidden="false" customHeight="false" outlineLevel="0" collapsed="false">
      <c r="A223" s="0" t="n">
        <v>7</v>
      </c>
      <c r="B223" s="29" t="str">
        <f aca="false">IF(OR('THÁNG 7'!$C80="",'THÁNG 7'!$B80=""),"",'THÁNG 7'!$B80)</f>
        <v/>
      </c>
      <c r="C223" s="0" t="str">
        <f aca="false">IF('THÁNG 7'!$C80="","",'THÁNG 7'!$C80)</f>
        <v/>
      </c>
      <c r="D223" s="0" t="str">
        <f aca="false">IF('THÁNG 7'!$C80="","",'THÁNG 7'!$D80&amp;"")</f>
        <v/>
      </c>
      <c r="E223" s="0" t="str">
        <f aca="false">IF('THÁNG 7'!$C80="","",'THÁNG 7'!$E80&amp;"")</f>
        <v/>
      </c>
      <c r="F223" s="0" t="str">
        <f aca="false">IF('THÁNG 7'!$C80="","",'THÁNG 7'!$F80&amp;"")</f>
        <v/>
      </c>
      <c r="G223" s="0" t="str">
        <f aca="false">IF('THÁNG 7'!$C80="","",'THÁNG 7'!$G80&amp;"")</f>
        <v/>
      </c>
      <c r="H223" s="0" t="str">
        <f aca="false">IF('THÁNG 7'!$C80="","",'THÁNG 7'!$H80&amp;"")</f>
        <v/>
      </c>
      <c r="I223" s="0" t="str">
        <f aca="false">IF('THÁNG 7'!$C80="","",N('THÁNG 7'!$I80))</f>
        <v/>
      </c>
      <c r="J223" s="0" t="str">
        <f aca="false">IF('THÁNG 7'!$C80="","",N('THÁNG 7'!$L80))</f>
        <v/>
      </c>
      <c r="K223" s="0" t="str">
        <f aca="false">IF('THÁNG 7'!$C80="","",N('THÁNG 7'!$N80))</f>
        <v/>
      </c>
      <c r="L223" s="0" t="str">
        <f aca="false">IF('THÁNG 7'!$C80="","",N('THÁNG 7'!$O80))</f>
        <v/>
      </c>
      <c r="M223" s="0" t="str">
        <f aca="false">IF('THÁNG 7'!$C80="","",N('THÁNG 7'!$P80))</f>
        <v/>
      </c>
      <c r="N223" s="0" t="str">
        <f aca="false">IF('THÁNG 7'!$C80="","",N('THÁNG 7'!$Q80))</f>
        <v/>
      </c>
      <c r="O223" s="0" t="str">
        <f aca="false">IF('THÁNG 7'!$C80="","",N('THÁNG 7'!$R80))</f>
        <v/>
      </c>
      <c r="P223" s="0" t="str">
        <f aca="false">IF(OR('THÁNG 7'!$C80="",'THÁNG 7'!$T80=""),"",'THÁNG 7'!$T80)</f>
        <v/>
      </c>
      <c r="Q223" s="0" t="str">
        <f aca="false">IF(OR('THÁNG 7'!$C80="",'THÁNG 7'!$U80=""),"",'THÁNG 7'!$U80)</f>
        <v/>
      </c>
      <c r="R223" s="0" t="str">
        <f aca="false">IF('THÁNG 7'!$C80="","",'THÁNG 7'!$W80&amp;"")</f>
        <v/>
      </c>
      <c r="S223" s="0" t="str">
        <f aca="false">IF('THÁNG 7'!$C80="","",'THÁNG 7'!$S80&amp;"")</f>
        <v/>
      </c>
      <c r="T223" s="0" t="str">
        <f aca="false">IF(N($O223)&gt;0,COUNTIF($O$3:$O223,"&gt;0"),"")</f>
        <v/>
      </c>
      <c r="U223" s="0" t="str">
        <f aca="false">IF(AND(N($J223)&gt;0,N($K223)&gt;0),COUNTIFS($J$3:$J223,"&gt;0",$K$3:$K223,"&gt;0"),"")</f>
        <v/>
      </c>
      <c r="V223" s="0" t="str">
        <f aca="false">IF(AND(N($J223)&gt;0,N($K223)=0),COUNTIFS($J$3:$J223,"&gt;0",$K$3:$K223,"&lt;=0"),"")</f>
        <v/>
      </c>
      <c r="W223" s="0" t="str">
        <f aca="false">IF($C223="","",IF(COUNTIF($C$3:$C223,$C223)&gt;1,"",MAX($W$2:W222)+1))</f>
        <v/>
      </c>
      <c r="X223" s="0" t="str">
        <f aca="false">IF($H223="","",IF(COUNTIF($H$3:$H223,$H223)&gt;1,"",MAX($X$2:X222)+1))</f>
        <v/>
      </c>
      <c r="Y223" s="0" t="str">
        <f aca="false">IF(AND(N($M223)&gt;0,N($O223)&lt;=0),COUNTIFS($M$3:$M223,"&gt;0",$O$3:$O223,"&lt;=0"),"")</f>
        <v/>
      </c>
      <c r="Z223" s="30" t="n">
        <f aca="false">IF(OR('THÁNG 7'!$C80="",'THÁNG 7'!$B80=""),0,'THÁNG 7'!$B80)</f>
        <v>0</v>
      </c>
    </row>
    <row r="224" customFormat="false" ht="15" hidden="false" customHeight="false" outlineLevel="0" collapsed="false">
      <c r="A224" s="0" t="n">
        <v>7</v>
      </c>
      <c r="B224" s="29" t="str">
        <f aca="false">IF(OR('THÁNG 7'!$C81="",'THÁNG 7'!$B81=""),"",'THÁNG 7'!$B81)</f>
        <v/>
      </c>
      <c r="C224" s="0" t="str">
        <f aca="false">IF('THÁNG 7'!$C81="","",'THÁNG 7'!$C81)</f>
        <v/>
      </c>
      <c r="D224" s="0" t="str">
        <f aca="false">IF('THÁNG 7'!$C81="","",'THÁNG 7'!$D81&amp;"")</f>
        <v/>
      </c>
      <c r="E224" s="0" t="str">
        <f aca="false">IF('THÁNG 7'!$C81="","",'THÁNG 7'!$E81&amp;"")</f>
        <v/>
      </c>
      <c r="F224" s="0" t="str">
        <f aca="false">IF('THÁNG 7'!$C81="","",'THÁNG 7'!$F81&amp;"")</f>
        <v/>
      </c>
      <c r="G224" s="0" t="str">
        <f aca="false">IF('THÁNG 7'!$C81="","",'THÁNG 7'!$G81&amp;"")</f>
        <v/>
      </c>
      <c r="H224" s="0" t="str">
        <f aca="false">IF('THÁNG 7'!$C81="","",'THÁNG 7'!$H81&amp;"")</f>
        <v/>
      </c>
      <c r="I224" s="0" t="str">
        <f aca="false">IF('THÁNG 7'!$C81="","",N('THÁNG 7'!$I81))</f>
        <v/>
      </c>
      <c r="J224" s="0" t="str">
        <f aca="false">IF('THÁNG 7'!$C81="","",N('THÁNG 7'!$L81))</f>
        <v/>
      </c>
      <c r="K224" s="0" t="str">
        <f aca="false">IF('THÁNG 7'!$C81="","",N('THÁNG 7'!$N81))</f>
        <v/>
      </c>
      <c r="L224" s="0" t="str">
        <f aca="false">IF('THÁNG 7'!$C81="","",N('THÁNG 7'!$O81))</f>
        <v/>
      </c>
      <c r="M224" s="0" t="str">
        <f aca="false">IF('THÁNG 7'!$C81="","",N('THÁNG 7'!$P81))</f>
        <v/>
      </c>
      <c r="N224" s="0" t="str">
        <f aca="false">IF('THÁNG 7'!$C81="","",N('THÁNG 7'!$Q81))</f>
        <v/>
      </c>
      <c r="O224" s="0" t="str">
        <f aca="false">IF('THÁNG 7'!$C81="","",N('THÁNG 7'!$R81))</f>
        <v/>
      </c>
      <c r="P224" s="0" t="str">
        <f aca="false">IF(OR('THÁNG 7'!$C81="",'THÁNG 7'!$T81=""),"",'THÁNG 7'!$T81)</f>
        <v/>
      </c>
      <c r="Q224" s="0" t="str">
        <f aca="false">IF(OR('THÁNG 7'!$C81="",'THÁNG 7'!$U81=""),"",'THÁNG 7'!$U81)</f>
        <v/>
      </c>
      <c r="R224" s="0" t="str">
        <f aca="false">IF('THÁNG 7'!$C81="","",'THÁNG 7'!$W81&amp;"")</f>
        <v/>
      </c>
      <c r="S224" s="0" t="str">
        <f aca="false">IF('THÁNG 7'!$C81="","",'THÁNG 7'!$S81&amp;"")</f>
        <v/>
      </c>
      <c r="T224" s="0" t="str">
        <f aca="false">IF(N($O224)&gt;0,COUNTIF($O$3:$O224,"&gt;0"),"")</f>
        <v/>
      </c>
      <c r="U224" s="0" t="str">
        <f aca="false">IF(AND(N($J224)&gt;0,N($K224)&gt;0),COUNTIFS($J$3:$J224,"&gt;0",$K$3:$K224,"&gt;0"),"")</f>
        <v/>
      </c>
      <c r="V224" s="0" t="str">
        <f aca="false">IF(AND(N($J224)&gt;0,N($K224)=0),COUNTIFS($J$3:$J224,"&gt;0",$K$3:$K224,"&lt;=0"),"")</f>
        <v/>
      </c>
      <c r="W224" s="0" t="str">
        <f aca="false">IF($C224="","",IF(COUNTIF($C$3:$C224,$C224)&gt;1,"",MAX($W$2:W223)+1))</f>
        <v/>
      </c>
      <c r="X224" s="0" t="str">
        <f aca="false">IF($H224="","",IF(COUNTIF($H$3:$H224,$H224)&gt;1,"",MAX($X$2:X223)+1))</f>
        <v/>
      </c>
      <c r="Y224" s="0" t="str">
        <f aca="false">IF(AND(N($M224)&gt;0,N($O224)&lt;=0),COUNTIFS($M$3:$M224,"&gt;0",$O$3:$O224,"&lt;=0"),"")</f>
        <v/>
      </c>
      <c r="Z224" s="30" t="n">
        <f aca="false">IF(OR('THÁNG 7'!$C81="",'THÁNG 7'!$B81=""),0,'THÁNG 7'!$B81)</f>
        <v>0</v>
      </c>
    </row>
    <row r="225" customFormat="false" ht="15" hidden="false" customHeight="false" outlineLevel="0" collapsed="false">
      <c r="A225" s="0" t="n">
        <v>7</v>
      </c>
      <c r="B225" s="29" t="str">
        <f aca="false">IF(OR('THÁNG 7'!$C82="",'THÁNG 7'!$B82=""),"",'THÁNG 7'!$B82)</f>
        <v/>
      </c>
      <c r="C225" s="0" t="str">
        <f aca="false">IF('THÁNG 7'!$C82="","",'THÁNG 7'!$C82)</f>
        <v/>
      </c>
      <c r="D225" s="0" t="str">
        <f aca="false">IF('THÁNG 7'!$C82="","",'THÁNG 7'!$D82&amp;"")</f>
        <v/>
      </c>
      <c r="E225" s="0" t="str">
        <f aca="false">IF('THÁNG 7'!$C82="","",'THÁNG 7'!$E82&amp;"")</f>
        <v/>
      </c>
      <c r="F225" s="0" t="str">
        <f aca="false">IF('THÁNG 7'!$C82="","",'THÁNG 7'!$F82&amp;"")</f>
        <v/>
      </c>
      <c r="G225" s="0" t="str">
        <f aca="false">IF('THÁNG 7'!$C82="","",'THÁNG 7'!$G82&amp;"")</f>
        <v/>
      </c>
      <c r="H225" s="0" t="str">
        <f aca="false">IF('THÁNG 7'!$C82="","",'THÁNG 7'!$H82&amp;"")</f>
        <v/>
      </c>
      <c r="I225" s="0" t="str">
        <f aca="false">IF('THÁNG 7'!$C82="","",N('THÁNG 7'!$I82))</f>
        <v/>
      </c>
      <c r="J225" s="0" t="str">
        <f aca="false">IF('THÁNG 7'!$C82="","",N('THÁNG 7'!$L82))</f>
        <v/>
      </c>
      <c r="K225" s="0" t="str">
        <f aca="false">IF('THÁNG 7'!$C82="","",N('THÁNG 7'!$N82))</f>
        <v/>
      </c>
      <c r="L225" s="0" t="str">
        <f aca="false">IF('THÁNG 7'!$C82="","",N('THÁNG 7'!$O82))</f>
        <v/>
      </c>
      <c r="M225" s="0" t="str">
        <f aca="false">IF('THÁNG 7'!$C82="","",N('THÁNG 7'!$P82))</f>
        <v/>
      </c>
      <c r="N225" s="0" t="str">
        <f aca="false">IF('THÁNG 7'!$C82="","",N('THÁNG 7'!$Q82))</f>
        <v/>
      </c>
      <c r="O225" s="0" t="str">
        <f aca="false">IF('THÁNG 7'!$C82="","",N('THÁNG 7'!$R82))</f>
        <v/>
      </c>
      <c r="P225" s="0" t="str">
        <f aca="false">IF(OR('THÁNG 7'!$C82="",'THÁNG 7'!$T82=""),"",'THÁNG 7'!$T82)</f>
        <v/>
      </c>
      <c r="Q225" s="0" t="str">
        <f aca="false">IF(OR('THÁNG 7'!$C82="",'THÁNG 7'!$U82=""),"",'THÁNG 7'!$U82)</f>
        <v/>
      </c>
      <c r="R225" s="0" t="str">
        <f aca="false">IF('THÁNG 7'!$C82="","",'THÁNG 7'!$W82&amp;"")</f>
        <v/>
      </c>
      <c r="S225" s="0" t="str">
        <f aca="false">IF('THÁNG 7'!$C82="","",'THÁNG 7'!$S82&amp;"")</f>
        <v/>
      </c>
      <c r="T225" s="0" t="str">
        <f aca="false">IF(N($O225)&gt;0,COUNTIF($O$3:$O225,"&gt;0"),"")</f>
        <v/>
      </c>
      <c r="U225" s="0" t="str">
        <f aca="false">IF(AND(N($J225)&gt;0,N($K225)&gt;0),COUNTIFS($J$3:$J225,"&gt;0",$K$3:$K225,"&gt;0"),"")</f>
        <v/>
      </c>
      <c r="V225" s="0" t="str">
        <f aca="false">IF(AND(N($J225)&gt;0,N($K225)=0),COUNTIFS($J$3:$J225,"&gt;0",$K$3:$K225,"&lt;=0"),"")</f>
        <v/>
      </c>
      <c r="W225" s="0" t="str">
        <f aca="false">IF($C225="","",IF(COUNTIF($C$3:$C225,$C225)&gt;1,"",MAX($W$2:W224)+1))</f>
        <v/>
      </c>
      <c r="X225" s="0" t="str">
        <f aca="false">IF($H225="","",IF(COUNTIF($H$3:$H225,$H225)&gt;1,"",MAX($X$2:X224)+1))</f>
        <v/>
      </c>
      <c r="Y225" s="0" t="str">
        <f aca="false">IF(AND(N($M225)&gt;0,N($O225)&lt;=0),COUNTIFS($M$3:$M225,"&gt;0",$O$3:$O225,"&lt;=0"),"")</f>
        <v/>
      </c>
      <c r="Z225" s="30" t="n">
        <f aca="false">IF(OR('THÁNG 7'!$C82="",'THÁNG 7'!$B82=""),0,'THÁNG 7'!$B82)</f>
        <v>0</v>
      </c>
    </row>
    <row r="226" customFormat="false" ht="15" hidden="false" customHeight="false" outlineLevel="0" collapsed="false">
      <c r="A226" s="0" t="n">
        <v>7</v>
      </c>
      <c r="B226" s="29" t="str">
        <f aca="false">IF(OR('THÁNG 7'!$C83="",'THÁNG 7'!$B83=""),"",'THÁNG 7'!$B83)</f>
        <v/>
      </c>
      <c r="C226" s="0" t="str">
        <f aca="false">IF('THÁNG 7'!$C83="","",'THÁNG 7'!$C83)</f>
        <v/>
      </c>
      <c r="D226" s="0" t="str">
        <f aca="false">IF('THÁNG 7'!$C83="","",'THÁNG 7'!$D83&amp;"")</f>
        <v/>
      </c>
      <c r="E226" s="0" t="str">
        <f aca="false">IF('THÁNG 7'!$C83="","",'THÁNG 7'!$E83&amp;"")</f>
        <v/>
      </c>
      <c r="F226" s="0" t="str">
        <f aca="false">IF('THÁNG 7'!$C83="","",'THÁNG 7'!$F83&amp;"")</f>
        <v/>
      </c>
      <c r="G226" s="0" t="str">
        <f aca="false">IF('THÁNG 7'!$C83="","",'THÁNG 7'!$G83&amp;"")</f>
        <v/>
      </c>
      <c r="H226" s="0" t="str">
        <f aca="false">IF('THÁNG 7'!$C83="","",'THÁNG 7'!$H83&amp;"")</f>
        <v/>
      </c>
      <c r="I226" s="0" t="str">
        <f aca="false">IF('THÁNG 7'!$C83="","",N('THÁNG 7'!$I83))</f>
        <v/>
      </c>
      <c r="J226" s="0" t="str">
        <f aca="false">IF('THÁNG 7'!$C83="","",N('THÁNG 7'!$L83))</f>
        <v/>
      </c>
      <c r="K226" s="0" t="str">
        <f aca="false">IF('THÁNG 7'!$C83="","",N('THÁNG 7'!$N83))</f>
        <v/>
      </c>
      <c r="L226" s="0" t="str">
        <f aca="false">IF('THÁNG 7'!$C83="","",N('THÁNG 7'!$O83))</f>
        <v/>
      </c>
      <c r="M226" s="0" t="str">
        <f aca="false">IF('THÁNG 7'!$C83="","",N('THÁNG 7'!$P83))</f>
        <v/>
      </c>
      <c r="N226" s="0" t="str">
        <f aca="false">IF('THÁNG 7'!$C83="","",N('THÁNG 7'!$Q83))</f>
        <v/>
      </c>
      <c r="O226" s="0" t="str">
        <f aca="false">IF('THÁNG 7'!$C83="","",N('THÁNG 7'!$R83))</f>
        <v/>
      </c>
      <c r="P226" s="0" t="str">
        <f aca="false">IF(OR('THÁNG 7'!$C83="",'THÁNG 7'!$T83=""),"",'THÁNG 7'!$T83)</f>
        <v/>
      </c>
      <c r="Q226" s="0" t="str">
        <f aca="false">IF(OR('THÁNG 7'!$C83="",'THÁNG 7'!$U83=""),"",'THÁNG 7'!$U83)</f>
        <v/>
      </c>
      <c r="R226" s="0" t="str">
        <f aca="false">IF('THÁNG 7'!$C83="","",'THÁNG 7'!$W83&amp;"")</f>
        <v/>
      </c>
      <c r="S226" s="0" t="str">
        <f aca="false">IF('THÁNG 7'!$C83="","",'THÁNG 7'!$S83&amp;"")</f>
        <v/>
      </c>
      <c r="T226" s="0" t="str">
        <f aca="false">IF(N($O226)&gt;0,COUNTIF($O$3:$O226,"&gt;0"),"")</f>
        <v/>
      </c>
      <c r="U226" s="0" t="str">
        <f aca="false">IF(AND(N($J226)&gt;0,N($K226)&gt;0),COUNTIFS($J$3:$J226,"&gt;0",$K$3:$K226,"&gt;0"),"")</f>
        <v/>
      </c>
      <c r="V226" s="0" t="str">
        <f aca="false">IF(AND(N($J226)&gt;0,N($K226)=0),COUNTIFS($J$3:$J226,"&gt;0",$K$3:$K226,"&lt;=0"),"")</f>
        <v/>
      </c>
      <c r="W226" s="0" t="str">
        <f aca="false">IF($C226="","",IF(COUNTIF($C$3:$C226,$C226)&gt;1,"",MAX($W$2:W225)+1))</f>
        <v/>
      </c>
      <c r="X226" s="0" t="str">
        <f aca="false">IF($H226="","",IF(COUNTIF($H$3:$H226,$H226)&gt;1,"",MAX($X$2:X225)+1))</f>
        <v/>
      </c>
      <c r="Y226" s="0" t="str">
        <f aca="false">IF(AND(N($M226)&gt;0,N($O226)&lt;=0),COUNTIFS($M$3:$M226,"&gt;0",$O$3:$O226,"&lt;=0"),"")</f>
        <v/>
      </c>
      <c r="Z226" s="30" t="n">
        <f aca="false">IF(OR('THÁNG 7'!$C83="",'THÁNG 7'!$B83=""),0,'THÁNG 7'!$B83)</f>
        <v>0</v>
      </c>
    </row>
    <row r="227" customFormat="false" ht="15" hidden="false" customHeight="false" outlineLevel="0" collapsed="false">
      <c r="A227" s="0" t="n">
        <v>7</v>
      </c>
      <c r="B227" s="29" t="str">
        <f aca="false">IF(OR('THÁNG 7'!$C84="",'THÁNG 7'!$B84=""),"",'THÁNG 7'!$B84)</f>
        <v/>
      </c>
      <c r="C227" s="0" t="str">
        <f aca="false">IF('THÁNG 7'!$C84="","",'THÁNG 7'!$C84)</f>
        <v/>
      </c>
      <c r="D227" s="0" t="str">
        <f aca="false">IF('THÁNG 7'!$C84="","",'THÁNG 7'!$D84&amp;"")</f>
        <v/>
      </c>
      <c r="E227" s="0" t="str">
        <f aca="false">IF('THÁNG 7'!$C84="","",'THÁNG 7'!$E84&amp;"")</f>
        <v/>
      </c>
      <c r="F227" s="0" t="str">
        <f aca="false">IF('THÁNG 7'!$C84="","",'THÁNG 7'!$F84&amp;"")</f>
        <v/>
      </c>
      <c r="G227" s="0" t="str">
        <f aca="false">IF('THÁNG 7'!$C84="","",'THÁNG 7'!$G84&amp;"")</f>
        <v/>
      </c>
      <c r="H227" s="0" t="str">
        <f aca="false">IF('THÁNG 7'!$C84="","",'THÁNG 7'!$H84&amp;"")</f>
        <v/>
      </c>
      <c r="I227" s="0" t="str">
        <f aca="false">IF('THÁNG 7'!$C84="","",N('THÁNG 7'!$I84))</f>
        <v/>
      </c>
      <c r="J227" s="0" t="str">
        <f aca="false">IF('THÁNG 7'!$C84="","",N('THÁNG 7'!$L84))</f>
        <v/>
      </c>
      <c r="K227" s="0" t="str">
        <f aca="false">IF('THÁNG 7'!$C84="","",N('THÁNG 7'!$N84))</f>
        <v/>
      </c>
      <c r="L227" s="0" t="str">
        <f aca="false">IF('THÁNG 7'!$C84="","",N('THÁNG 7'!$O84))</f>
        <v/>
      </c>
      <c r="M227" s="0" t="str">
        <f aca="false">IF('THÁNG 7'!$C84="","",N('THÁNG 7'!$P84))</f>
        <v/>
      </c>
      <c r="N227" s="0" t="str">
        <f aca="false">IF('THÁNG 7'!$C84="","",N('THÁNG 7'!$Q84))</f>
        <v/>
      </c>
      <c r="O227" s="0" t="str">
        <f aca="false">IF('THÁNG 7'!$C84="","",N('THÁNG 7'!$R84))</f>
        <v/>
      </c>
      <c r="P227" s="0" t="str">
        <f aca="false">IF(OR('THÁNG 7'!$C84="",'THÁNG 7'!$T84=""),"",'THÁNG 7'!$T84)</f>
        <v/>
      </c>
      <c r="Q227" s="0" t="str">
        <f aca="false">IF(OR('THÁNG 7'!$C84="",'THÁNG 7'!$U84=""),"",'THÁNG 7'!$U84)</f>
        <v/>
      </c>
      <c r="R227" s="0" t="str">
        <f aca="false">IF('THÁNG 7'!$C84="","",'THÁNG 7'!$W84&amp;"")</f>
        <v/>
      </c>
      <c r="S227" s="0" t="str">
        <f aca="false">IF('THÁNG 7'!$C84="","",'THÁNG 7'!$S84&amp;"")</f>
        <v/>
      </c>
      <c r="T227" s="0" t="str">
        <f aca="false">IF(N($O227)&gt;0,COUNTIF($O$3:$O227,"&gt;0"),"")</f>
        <v/>
      </c>
      <c r="U227" s="0" t="str">
        <f aca="false">IF(AND(N($J227)&gt;0,N($K227)&gt;0),COUNTIFS($J$3:$J227,"&gt;0",$K$3:$K227,"&gt;0"),"")</f>
        <v/>
      </c>
      <c r="V227" s="0" t="str">
        <f aca="false">IF(AND(N($J227)&gt;0,N($K227)=0),COUNTIFS($J$3:$J227,"&gt;0",$K$3:$K227,"&lt;=0"),"")</f>
        <v/>
      </c>
      <c r="W227" s="0" t="str">
        <f aca="false">IF($C227="","",IF(COUNTIF($C$3:$C227,$C227)&gt;1,"",MAX($W$2:W226)+1))</f>
        <v/>
      </c>
      <c r="X227" s="0" t="str">
        <f aca="false">IF($H227="","",IF(COUNTIF($H$3:$H227,$H227)&gt;1,"",MAX($X$2:X226)+1))</f>
        <v/>
      </c>
      <c r="Y227" s="0" t="str">
        <f aca="false">IF(AND(N($M227)&gt;0,N($O227)&lt;=0),COUNTIFS($M$3:$M227,"&gt;0",$O$3:$O227,"&lt;=0"),"")</f>
        <v/>
      </c>
      <c r="Z227" s="30" t="n">
        <f aca="false">IF(OR('THÁNG 7'!$C84="",'THÁNG 7'!$B84=""),0,'THÁNG 7'!$B84)</f>
        <v>0</v>
      </c>
    </row>
    <row r="228" customFormat="false" ht="15" hidden="false" customHeight="false" outlineLevel="0" collapsed="false">
      <c r="A228" s="0" t="n">
        <v>7</v>
      </c>
      <c r="B228" s="29" t="str">
        <f aca="false">IF(OR('THÁNG 7'!$C85="",'THÁNG 7'!$B85=""),"",'THÁNG 7'!$B85)</f>
        <v/>
      </c>
      <c r="C228" s="0" t="str">
        <f aca="false">IF('THÁNG 7'!$C85="","",'THÁNG 7'!$C85)</f>
        <v/>
      </c>
      <c r="D228" s="0" t="str">
        <f aca="false">IF('THÁNG 7'!$C85="","",'THÁNG 7'!$D85&amp;"")</f>
        <v/>
      </c>
      <c r="E228" s="0" t="str">
        <f aca="false">IF('THÁNG 7'!$C85="","",'THÁNG 7'!$E85&amp;"")</f>
        <v/>
      </c>
      <c r="F228" s="0" t="str">
        <f aca="false">IF('THÁNG 7'!$C85="","",'THÁNG 7'!$F85&amp;"")</f>
        <v/>
      </c>
      <c r="G228" s="0" t="str">
        <f aca="false">IF('THÁNG 7'!$C85="","",'THÁNG 7'!$G85&amp;"")</f>
        <v/>
      </c>
      <c r="H228" s="0" t="str">
        <f aca="false">IF('THÁNG 7'!$C85="","",'THÁNG 7'!$H85&amp;"")</f>
        <v/>
      </c>
      <c r="I228" s="0" t="str">
        <f aca="false">IF('THÁNG 7'!$C85="","",N('THÁNG 7'!$I85))</f>
        <v/>
      </c>
      <c r="J228" s="0" t="str">
        <f aca="false">IF('THÁNG 7'!$C85="","",N('THÁNG 7'!$L85))</f>
        <v/>
      </c>
      <c r="K228" s="0" t="str">
        <f aca="false">IF('THÁNG 7'!$C85="","",N('THÁNG 7'!$N85))</f>
        <v/>
      </c>
      <c r="L228" s="0" t="str">
        <f aca="false">IF('THÁNG 7'!$C85="","",N('THÁNG 7'!$O85))</f>
        <v/>
      </c>
      <c r="M228" s="0" t="str">
        <f aca="false">IF('THÁNG 7'!$C85="","",N('THÁNG 7'!$P85))</f>
        <v/>
      </c>
      <c r="N228" s="0" t="str">
        <f aca="false">IF('THÁNG 7'!$C85="","",N('THÁNG 7'!$Q85))</f>
        <v/>
      </c>
      <c r="O228" s="0" t="str">
        <f aca="false">IF('THÁNG 7'!$C85="","",N('THÁNG 7'!$R85))</f>
        <v/>
      </c>
      <c r="P228" s="0" t="str">
        <f aca="false">IF(OR('THÁNG 7'!$C85="",'THÁNG 7'!$T85=""),"",'THÁNG 7'!$T85)</f>
        <v/>
      </c>
      <c r="Q228" s="0" t="str">
        <f aca="false">IF(OR('THÁNG 7'!$C85="",'THÁNG 7'!$U85=""),"",'THÁNG 7'!$U85)</f>
        <v/>
      </c>
      <c r="R228" s="0" t="str">
        <f aca="false">IF('THÁNG 7'!$C85="","",'THÁNG 7'!$W85&amp;"")</f>
        <v/>
      </c>
      <c r="S228" s="0" t="str">
        <f aca="false">IF('THÁNG 7'!$C85="","",'THÁNG 7'!$S85&amp;"")</f>
        <v/>
      </c>
      <c r="T228" s="0" t="str">
        <f aca="false">IF(N($O228)&gt;0,COUNTIF($O$3:$O228,"&gt;0"),"")</f>
        <v/>
      </c>
      <c r="U228" s="0" t="str">
        <f aca="false">IF(AND(N($J228)&gt;0,N($K228)&gt;0),COUNTIFS($J$3:$J228,"&gt;0",$K$3:$K228,"&gt;0"),"")</f>
        <v/>
      </c>
      <c r="V228" s="0" t="str">
        <f aca="false">IF(AND(N($J228)&gt;0,N($K228)=0),COUNTIFS($J$3:$J228,"&gt;0",$K$3:$K228,"&lt;=0"),"")</f>
        <v/>
      </c>
      <c r="W228" s="0" t="str">
        <f aca="false">IF($C228="","",IF(COUNTIF($C$3:$C228,$C228)&gt;1,"",MAX($W$2:W227)+1))</f>
        <v/>
      </c>
      <c r="X228" s="0" t="str">
        <f aca="false">IF($H228="","",IF(COUNTIF($H$3:$H228,$H228)&gt;1,"",MAX($X$2:X227)+1))</f>
        <v/>
      </c>
      <c r="Y228" s="0" t="str">
        <f aca="false">IF(AND(N($M228)&gt;0,N($O228)&lt;=0),COUNTIFS($M$3:$M228,"&gt;0",$O$3:$O228,"&lt;=0"),"")</f>
        <v/>
      </c>
      <c r="Z228" s="30" t="n">
        <f aca="false">IF(OR('THÁNG 7'!$C85="",'THÁNG 7'!$B85=""),0,'THÁNG 7'!$B85)</f>
        <v>0</v>
      </c>
    </row>
    <row r="229" customFormat="false" ht="15" hidden="false" customHeight="false" outlineLevel="0" collapsed="false">
      <c r="A229" s="0" t="n">
        <v>7</v>
      </c>
      <c r="B229" s="29" t="str">
        <f aca="false">IF(OR('THÁNG 7'!$C86="",'THÁNG 7'!$B86=""),"",'THÁNG 7'!$B86)</f>
        <v/>
      </c>
      <c r="C229" s="0" t="str">
        <f aca="false">IF('THÁNG 7'!$C86="","",'THÁNG 7'!$C86)</f>
        <v/>
      </c>
      <c r="D229" s="0" t="str">
        <f aca="false">IF('THÁNG 7'!$C86="","",'THÁNG 7'!$D86&amp;"")</f>
        <v/>
      </c>
      <c r="E229" s="0" t="str">
        <f aca="false">IF('THÁNG 7'!$C86="","",'THÁNG 7'!$E86&amp;"")</f>
        <v/>
      </c>
      <c r="F229" s="0" t="str">
        <f aca="false">IF('THÁNG 7'!$C86="","",'THÁNG 7'!$F86&amp;"")</f>
        <v/>
      </c>
      <c r="G229" s="0" t="str">
        <f aca="false">IF('THÁNG 7'!$C86="","",'THÁNG 7'!$G86&amp;"")</f>
        <v/>
      </c>
      <c r="H229" s="0" t="str">
        <f aca="false">IF('THÁNG 7'!$C86="","",'THÁNG 7'!$H86&amp;"")</f>
        <v/>
      </c>
      <c r="I229" s="0" t="str">
        <f aca="false">IF('THÁNG 7'!$C86="","",N('THÁNG 7'!$I86))</f>
        <v/>
      </c>
      <c r="J229" s="0" t="str">
        <f aca="false">IF('THÁNG 7'!$C86="","",N('THÁNG 7'!$L86))</f>
        <v/>
      </c>
      <c r="K229" s="0" t="str">
        <f aca="false">IF('THÁNG 7'!$C86="","",N('THÁNG 7'!$N86))</f>
        <v/>
      </c>
      <c r="L229" s="0" t="str">
        <f aca="false">IF('THÁNG 7'!$C86="","",N('THÁNG 7'!$O86))</f>
        <v/>
      </c>
      <c r="M229" s="0" t="str">
        <f aca="false">IF('THÁNG 7'!$C86="","",N('THÁNG 7'!$P86))</f>
        <v/>
      </c>
      <c r="N229" s="0" t="str">
        <f aca="false">IF('THÁNG 7'!$C86="","",N('THÁNG 7'!$Q86))</f>
        <v/>
      </c>
      <c r="O229" s="0" t="str">
        <f aca="false">IF('THÁNG 7'!$C86="","",N('THÁNG 7'!$R86))</f>
        <v/>
      </c>
      <c r="P229" s="0" t="str">
        <f aca="false">IF(OR('THÁNG 7'!$C86="",'THÁNG 7'!$T86=""),"",'THÁNG 7'!$T86)</f>
        <v/>
      </c>
      <c r="Q229" s="0" t="str">
        <f aca="false">IF(OR('THÁNG 7'!$C86="",'THÁNG 7'!$U86=""),"",'THÁNG 7'!$U86)</f>
        <v/>
      </c>
      <c r="R229" s="0" t="str">
        <f aca="false">IF('THÁNG 7'!$C86="","",'THÁNG 7'!$W86&amp;"")</f>
        <v/>
      </c>
      <c r="S229" s="0" t="str">
        <f aca="false">IF('THÁNG 7'!$C86="","",'THÁNG 7'!$S86&amp;"")</f>
        <v/>
      </c>
      <c r="T229" s="0" t="str">
        <f aca="false">IF(N($O229)&gt;0,COUNTIF($O$3:$O229,"&gt;0"),"")</f>
        <v/>
      </c>
      <c r="U229" s="0" t="str">
        <f aca="false">IF(AND(N($J229)&gt;0,N($K229)&gt;0),COUNTIFS($J$3:$J229,"&gt;0",$K$3:$K229,"&gt;0"),"")</f>
        <v/>
      </c>
      <c r="V229" s="0" t="str">
        <f aca="false">IF(AND(N($J229)&gt;0,N($K229)=0),COUNTIFS($J$3:$J229,"&gt;0",$K$3:$K229,"&lt;=0"),"")</f>
        <v/>
      </c>
      <c r="W229" s="0" t="str">
        <f aca="false">IF($C229="","",IF(COUNTIF($C$3:$C229,$C229)&gt;1,"",MAX($W$2:W228)+1))</f>
        <v/>
      </c>
      <c r="X229" s="0" t="str">
        <f aca="false">IF($H229="","",IF(COUNTIF($H$3:$H229,$H229)&gt;1,"",MAX($X$2:X228)+1))</f>
        <v/>
      </c>
      <c r="Y229" s="0" t="str">
        <f aca="false">IF(AND(N($M229)&gt;0,N($O229)&lt;=0),COUNTIFS($M$3:$M229,"&gt;0",$O$3:$O229,"&lt;=0"),"")</f>
        <v/>
      </c>
      <c r="Z229" s="30" t="n">
        <f aca="false">IF(OR('THÁNG 7'!$C86="",'THÁNG 7'!$B86=""),0,'THÁNG 7'!$B86)</f>
        <v>0</v>
      </c>
    </row>
    <row r="230" customFormat="false" ht="15" hidden="false" customHeight="false" outlineLevel="0" collapsed="false">
      <c r="A230" s="0" t="n">
        <v>7</v>
      </c>
      <c r="B230" s="29" t="str">
        <f aca="false">IF(OR('THÁNG 7'!$C87="",'THÁNG 7'!$B87=""),"",'THÁNG 7'!$B87)</f>
        <v/>
      </c>
      <c r="C230" s="0" t="str">
        <f aca="false">IF('THÁNG 7'!$C87="","",'THÁNG 7'!$C87)</f>
        <v/>
      </c>
      <c r="D230" s="0" t="str">
        <f aca="false">IF('THÁNG 7'!$C87="","",'THÁNG 7'!$D87&amp;"")</f>
        <v/>
      </c>
      <c r="E230" s="0" t="str">
        <f aca="false">IF('THÁNG 7'!$C87="","",'THÁNG 7'!$E87&amp;"")</f>
        <v/>
      </c>
      <c r="F230" s="0" t="str">
        <f aca="false">IF('THÁNG 7'!$C87="","",'THÁNG 7'!$F87&amp;"")</f>
        <v/>
      </c>
      <c r="G230" s="0" t="str">
        <f aca="false">IF('THÁNG 7'!$C87="","",'THÁNG 7'!$G87&amp;"")</f>
        <v/>
      </c>
      <c r="H230" s="0" t="str">
        <f aca="false">IF('THÁNG 7'!$C87="","",'THÁNG 7'!$H87&amp;"")</f>
        <v/>
      </c>
      <c r="I230" s="0" t="str">
        <f aca="false">IF('THÁNG 7'!$C87="","",N('THÁNG 7'!$I87))</f>
        <v/>
      </c>
      <c r="J230" s="0" t="str">
        <f aca="false">IF('THÁNG 7'!$C87="","",N('THÁNG 7'!$L87))</f>
        <v/>
      </c>
      <c r="K230" s="0" t="str">
        <f aca="false">IF('THÁNG 7'!$C87="","",N('THÁNG 7'!$N87))</f>
        <v/>
      </c>
      <c r="L230" s="0" t="str">
        <f aca="false">IF('THÁNG 7'!$C87="","",N('THÁNG 7'!$O87))</f>
        <v/>
      </c>
      <c r="M230" s="0" t="str">
        <f aca="false">IF('THÁNG 7'!$C87="","",N('THÁNG 7'!$P87))</f>
        <v/>
      </c>
      <c r="N230" s="0" t="str">
        <f aca="false">IF('THÁNG 7'!$C87="","",N('THÁNG 7'!$Q87))</f>
        <v/>
      </c>
      <c r="O230" s="0" t="str">
        <f aca="false">IF('THÁNG 7'!$C87="","",N('THÁNG 7'!$R87))</f>
        <v/>
      </c>
      <c r="P230" s="0" t="str">
        <f aca="false">IF(OR('THÁNG 7'!$C87="",'THÁNG 7'!$T87=""),"",'THÁNG 7'!$T87)</f>
        <v/>
      </c>
      <c r="Q230" s="0" t="str">
        <f aca="false">IF(OR('THÁNG 7'!$C87="",'THÁNG 7'!$U87=""),"",'THÁNG 7'!$U87)</f>
        <v/>
      </c>
      <c r="R230" s="0" t="str">
        <f aca="false">IF('THÁNG 7'!$C87="","",'THÁNG 7'!$W87&amp;"")</f>
        <v/>
      </c>
      <c r="S230" s="0" t="str">
        <f aca="false">IF('THÁNG 7'!$C87="","",'THÁNG 7'!$S87&amp;"")</f>
        <v/>
      </c>
      <c r="T230" s="0" t="str">
        <f aca="false">IF(N($O230)&gt;0,COUNTIF($O$3:$O230,"&gt;0"),"")</f>
        <v/>
      </c>
      <c r="U230" s="0" t="str">
        <f aca="false">IF(AND(N($J230)&gt;0,N($K230)&gt;0),COUNTIFS($J$3:$J230,"&gt;0",$K$3:$K230,"&gt;0"),"")</f>
        <v/>
      </c>
      <c r="V230" s="0" t="str">
        <f aca="false">IF(AND(N($J230)&gt;0,N($K230)=0),COUNTIFS($J$3:$J230,"&gt;0",$K$3:$K230,"&lt;=0"),"")</f>
        <v/>
      </c>
      <c r="W230" s="0" t="str">
        <f aca="false">IF($C230="","",IF(COUNTIF($C$3:$C230,$C230)&gt;1,"",MAX($W$2:W229)+1))</f>
        <v/>
      </c>
      <c r="X230" s="0" t="str">
        <f aca="false">IF($H230="","",IF(COUNTIF($H$3:$H230,$H230)&gt;1,"",MAX($X$2:X229)+1))</f>
        <v/>
      </c>
      <c r="Y230" s="0" t="str">
        <f aca="false">IF(AND(N($M230)&gt;0,N($O230)&lt;=0),COUNTIFS($M$3:$M230,"&gt;0",$O$3:$O230,"&lt;=0"),"")</f>
        <v/>
      </c>
      <c r="Z230" s="30" t="n">
        <f aca="false">IF(OR('THÁNG 7'!$C87="",'THÁNG 7'!$B87=""),0,'THÁNG 7'!$B87)</f>
        <v>0</v>
      </c>
    </row>
    <row r="231" customFormat="false" ht="15" hidden="false" customHeight="false" outlineLevel="0" collapsed="false">
      <c r="A231" s="0" t="n">
        <v>7</v>
      </c>
      <c r="B231" s="29" t="str">
        <f aca="false">IF(OR('THÁNG 7'!$C88="",'THÁNG 7'!$B88=""),"",'THÁNG 7'!$B88)</f>
        <v/>
      </c>
      <c r="C231" s="0" t="str">
        <f aca="false">IF('THÁNG 7'!$C88="","",'THÁNG 7'!$C88)</f>
        <v/>
      </c>
      <c r="D231" s="0" t="str">
        <f aca="false">IF('THÁNG 7'!$C88="","",'THÁNG 7'!$D88&amp;"")</f>
        <v/>
      </c>
      <c r="E231" s="0" t="str">
        <f aca="false">IF('THÁNG 7'!$C88="","",'THÁNG 7'!$E88&amp;"")</f>
        <v/>
      </c>
      <c r="F231" s="0" t="str">
        <f aca="false">IF('THÁNG 7'!$C88="","",'THÁNG 7'!$F88&amp;"")</f>
        <v/>
      </c>
      <c r="G231" s="0" t="str">
        <f aca="false">IF('THÁNG 7'!$C88="","",'THÁNG 7'!$G88&amp;"")</f>
        <v/>
      </c>
      <c r="H231" s="0" t="str">
        <f aca="false">IF('THÁNG 7'!$C88="","",'THÁNG 7'!$H88&amp;"")</f>
        <v/>
      </c>
      <c r="I231" s="0" t="str">
        <f aca="false">IF('THÁNG 7'!$C88="","",N('THÁNG 7'!$I88))</f>
        <v/>
      </c>
      <c r="J231" s="0" t="str">
        <f aca="false">IF('THÁNG 7'!$C88="","",N('THÁNG 7'!$L88))</f>
        <v/>
      </c>
      <c r="K231" s="0" t="str">
        <f aca="false">IF('THÁNG 7'!$C88="","",N('THÁNG 7'!$N88))</f>
        <v/>
      </c>
      <c r="L231" s="0" t="str">
        <f aca="false">IF('THÁNG 7'!$C88="","",N('THÁNG 7'!$O88))</f>
        <v/>
      </c>
      <c r="M231" s="0" t="str">
        <f aca="false">IF('THÁNG 7'!$C88="","",N('THÁNG 7'!$P88))</f>
        <v/>
      </c>
      <c r="N231" s="0" t="str">
        <f aca="false">IF('THÁNG 7'!$C88="","",N('THÁNG 7'!$Q88))</f>
        <v/>
      </c>
      <c r="O231" s="0" t="str">
        <f aca="false">IF('THÁNG 7'!$C88="","",N('THÁNG 7'!$R88))</f>
        <v/>
      </c>
      <c r="P231" s="0" t="str">
        <f aca="false">IF(OR('THÁNG 7'!$C88="",'THÁNG 7'!$T88=""),"",'THÁNG 7'!$T88)</f>
        <v/>
      </c>
      <c r="Q231" s="0" t="str">
        <f aca="false">IF(OR('THÁNG 7'!$C88="",'THÁNG 7'!$U88=""),"",'THÁNG 7'!$U88)</f>
        <v/>
      </c>
      <c r="R231" s="0" t="str">
        <f aca="false">IF('THÁNG 7'!$C88="","",'THÁNG 7'!$W88&amp;"")</f>
        <v/>
      </c>
      <c r="S231" s="0" t="str">
        <f aca="false">IF('THÁNG 7'!$C88="","",'THÁNG 7'!$S88&amp;"")</f>
        <v/>
      </c>
      <c r="T231" s="0" t="str">
        <f aca="false">IF(N($O231)&gt;0,COUNTIF($O$3:$O231,"&gt;0"),"")</f>
        <v/>
      </c>
      <c r="U231" s="0" t="str">
        <f aca="false">IF(AND(N($J231)&gt;0,N($K231)&gt;0),COUNTIFS($J$3:$J231,"&gt;0",$K$3:$K231,"&gt;0"),"")</f>
        <v/>
      </c>
      <c r="V231" s="0" t="str">
        <f aca="false">IF(AND(N($J231)&gt;0,N($K231)=0),COUNTIFS($J$3:$J231,"&gt;0",$K$3:$K231,"&lt;=0"),"")</f>
        <v/>
      </c>
      <c r="W231" s="0" t="str">
        <f aca="false">IF($C231="","",IF(COUNTIF($C$3:$C231,$C231)&gt;1,"",MAX($W$2:W230)+1))</f>
        <v/>
      </c>
      <c r="X231" s="0" t="str">
        <f aca="false">IF($H231="","",IF(COUNTIF($H$3:$H231,$H231)&gt;1,"",MAX($X$2:X230)+1))</f>
        <v/>
      </c>
      <c r="Y231" s="0" t="str">
        <f aca="false">IF(AND(N($M231)&gt;0,N($O231)&lt;=0),COUNTIFS($M$3:$M231,"&gt;0",$O$3:$O231,"&lt;=0"),"")</f>
        <v/>
      </c>
      <c r="Z231" s="30" t="n">
        <f aca="false">IF(OR('THÁNG 7'!$C88="",'THÁNG 7'!$B88=""),0,'THÁNG 7'!$B88)</f>
        <v>0</v>
      </c>
    </row>
    <row r="232" customFormat="false" ht="15" hidden="false" customHeight="false" outlineLevel="0" collapsed="false">
      <c r="A232" s="0" t="n">
        <v>7</v>
      </c>
      <c r="B232" s="29" t="str">
        <f aca="false">IF(OR('THÁNG 7'!$C89="",'THÁNG 7'!$B89=""),"",'THÁNG 7'!$B89)</f>
        <v/>
      </c>
      <c r="C232" s="0" t="str">
        <f aca="false">IF('THÁNG 7'!$C89="","",'THÁNG 7'!$C89)</f>
        <v/>
      </c>
      <c r="D232" s="0" t="str">
        <f aca="false">IF('THÁNG 7'!$C89="","",'THÁNG 7'!$D89&amp;"")</f>
        <v/>
      </c>
      <c r="E232" s="0" t="str">
        <f aca="false">IF('THÁNG 7'!$C89="","",'THÁNG 7'!$E89&amp;"")</f>
        <v/>
      </c>
      <c r="F232" s="0" t="str">
        <f aca="false">IF('THÁNG 7'!$C89="","",'THÁNG 7'!$F89&amp;"")</f>
        <v/>
      </c>
      <c r="G232" s="0" t="str">
        <f aca="false">IF('THÁNG 7'!$C89="","",'THÁNG 7'!$G89&amp;"")</f>
        <v/>
      </c>
      <c r="H232" s="0" t="str">
        <f aca="false">IF('THÁNG 7'!$C89="","",'THÁNG 7'!$H89&amp;"")</f>
        <v/>
      </c>
      <c r="I232" s="0" t="str">
        <f aca="false">IF('THÁNG 7'!$C89="","",N('THÁNG 7'!$I89))</f>
        <v/>
      </c>
      <c r="J232" s="0" t="str">
        <f aca="false">IF('THÁNG 7'!$C89="","",N('THÁNG 7'!$L89))</f>
        <v/>
      </c>
      <c r="K232" s="0" t="str">
        <f aca="false">IF('THÁNG 7'!$C89="","",N('THÁNG 7'!$N89))</f>
        <v/>
      </c>
      <c r="L232" s="0" t="str">
        <f aca="false">IF('THÁNG 7'!$C89="","",N('THÁNG 7'!$O89))</f>
        <v/>
      </c>
      <c r="M232" s="0" t="str">
        <f aca="false">IF('THÁNG 7'!$C89="","",N('THÁNG 7'!$P89))</f>
        <v/>
      </c>
      <c r="N232" s="0" t="str">
        <f aca="false">IF('THÁNG 7'!$C89="","",N('THÁNG 7'!$Q89))</f>
        <v/>
      </c>
      <c r="O232" s="0" t="str">
        <f aca="false">IF('THÁNG 7'!$C89="","",N('THÁNG 7'!$R89))</f>
        <v/>
      </c>
      <c r="P232" s="0" t="str">
        <f aca="false">IF(OR('THÁNG 7'!$C89="",'THÁNG 7'!$T89=""),"",'THÁNG 7'!$T89)</f>
        <v/>
      </c>
      <c r="Q232" s="0" t="str">
        <f aca="false">IF(OR('THÁNG 7'!$C89="",'THÁNG 7'!$U89=""),"",'THÁNG 7'!$U89)</f>
        <v/>
      </c>
      <c r="R232" s="0" t="str">
        <f aca="false">IF('THÁNG 7'!$C89="","",'THÁNG 7'!$W89&amp;"")</f>
        <v/>
      </c>
      <c r="S232" s="0" t="str">
        <f aca="false">IF('THÁNG 7'!$C89="","",'THÁNG 7'!$S89&amp;"")</f>
        <v/>
      </c>
      <c r="T232" s="0" t="str">
        <f aca="false">IF(N($O232)&gt;0,COUNTIF($O$3:$O232,"&gt;0"),"")</f>
        <v/>
      </c>
      <c r="U232" s="0" t="str">
        <f aca="false">IF(AND(N($J232)&gt;0,N($K232)&gt;0),COUNTIFS($J$3:$J232,"&gt;0",$K$3:$K232,"&gt;0"),"")</f>
        <v/>
      </c>
      <c r="V232" s="0" t="str">
        <f aca="false">IF(AND(N($J232)&gt;0,N($K232)=0),COUNTIFS($J$3:$J232,"&gt;0",$K$3:$K232,"&lt;=0"),"")</f>
        <v/>
      </c>
      <c r="W232" s="0" t="str">
        <f aca="false">IF($C232="","",IF(COUNTIF($C$3:$C232,$C232)&gt;1,"",MAX($W$2:W231)+1))</f>
        <v/>
      </c>
      <c r="X232" s="0" t="str">
        <f aca="false">IF($H232="","",IF(COUNTIF($H$3:$H232,$H232)&gt;1,"",MAX($X$2:X231)+1))</f>
        <v/>
      </c>
      <c r="Y232" s="0" t="str">
        <f aca="false">IF(AND(N($M232)&gt;0,N($O232)&lt;=0),COUNTIFS($M$3:$M232,"&gt;0",$O$3:$O232,"&lt;=0"),"")</f>
        <v/>
      </c>
      <c r="Z232" s="30" t="n">
        <f aca="false">IF(OR('THÁNG 7'!$C89="",'THÁNG 7'!$B89=""),0,'THÁNG 7'!$B89)</f>
        <v>0</v>
      </c>
    </row>
    <row r="233" customFormat="false" ht="15" hidden="false" customHeight="false" outlineLevel="0" collapsed="false">
      <c r="A233" s="0" t="n">
        <v>7</v>
      </c>
      <c r="B233" s="29" t="str">
        <f aca="false">IF(OR('THÁNG 7'!$C90="",'THÁNG 7'!$B90=""),"",'THÁNG 7'!$B90)</f>
        <v/>
      </c>
      <c r="C233" s="0" t="str">
        <f aca="false">IF('THÁNG 7'!$C90="","",'THÁNG 7'!$C90)</f>
        <v/>
      </c>
      <c r="D233" s="0" t="str">
        <f aca="false">IF('THÁNG 7'!$C90="","",'THÁNG 7'!$D90&amp;"")</f>
        <v/>
      </c>
      <c r="E233" s="0" t="str">
        <f aca="false">IF('THÁNG 7'!$C90="","",'THÁNG 7'!$E90&amp;"")</f>
        <v/>
      </c>
      <c r="F233" s="0" t="str">
        <f aca="false">IF('THÁNG 7'!$C90="","",'THÁNG 7'!$F90&amp;"")</f>
        <v/>
      </c>
      <c r="G233" s="0" t="str">
        <f aca="false">IF('THÁNG 7'!$C90="","",'THÁNG 7'!$G90&amp;"")</f>
        <v/>
      </c>
      <c r="H233" s="0" t="str">
        <f aca="false">IF('THÁNG 7'!$C90="","",'THÁNG 7'!$H90&amp;"")</f>
        <v/>
      </c>
      <c r="I233" s="0" t="str">
        <f aca="false">IF('THÁNG 7'!$C90="","",N('THÁNG 7'!$I90))</f>
        <v/>
      </c>
      <c r="J233" s="0" t="str">
        <f aca="false">IF('THÁNG 7'!$C90="","",N('THÁNG 7'!$L90))</f>
        <v/>
      </c>
      <c r="K233" s="0" t="str">
        <f aca="false">IF('THÁNG 7'!$C90="","",N('THÁNG 7'!$N90))</f>
        <v/>
      </c>
      <c r="L233" s="0" t="str">
        <f aca="false">IF('THÁNG 7'!$C90="","",N('THÁNG 7'!$O90))</f>
        <v/>
      </c>
      <c r="M233" s="0" t="str">
        <f aca="false">IF('THÁNG 7'!$C90="","",N('THÁNG 7'!$P90))</f>
        <v/>
      </c>
      <c r="N233" s="0" t="str">
        <f aca="false">IF('THÁNG 7'!$C90="","",N('THÁNG 7'!$Q90))</f>
        <v/>
      </c>
      <c r="O233" s="0" t="str">
        <f aca="false">IF('THÁNG 7'!$C90="","",N('THÁNG 7'!$R90))</f>
        <v/>
      </c>
      <c r="P233" s="0" t="str">
        <f aca="false">IF(OR('THÁNG 7'!$C90="",'THÁNG 7'!$T90=""),"",'THÁNG 7'!$T90)</f>
        <v/>
      </c>
      <c r="Q233" s="0" t="str">
        <f aca="false">IF(OR('THÁNG 7'!$C90="",'THÁNG 7'!$U90=""),"",'THÁNG 7'!$U90)</f>
        <v/>
      </c>
      <c r="R233" s="0" t="str">
        <f aca="false">IF('THÁNG 7'!$C90="","",'THÁNG 7'!$W90&amp;"")</f>
        <v/>
      </c>
      <c r="S233" s="0" t="str">
        <f aca="false">IF('THÁNG 7'!$C90="","",'THÁNG 7'!$S90&amp;"")</f>
        <v/>
      </c>
      <c r="T233" s="0" t="str">
        <f aca="false">IF(N($O233)&gt;0,COUNTIF($O$3:$O233,"&gt;0"),"")</f>
        <v/>
      </c>
      <c r="U233" s="0" t="str">
        <f aca="false">IF(AND(N($J233)&gt;0,N($K233)&gt;0),COUNTIFS($J$3:$J233,"&gt;0",$K$3:$K233,"&gt;0"),"")</f>
        <v/>
      </c>
      <c r="V233" s="0" t="str">
        <f aca="false">IF(AND(N($J233)&gt;0,N($K233)=0),COUNTIFS($J$3:$J233,"&gt;0",$K$3:$K233,"&lt;=0"),"")</f>
        <v/>
      </c>
      <c r="W233" s="0" t="str">
        <f aca="false">IF($C233="","",IF(COUNTIF($C$3:$C233,$C233)&gt;1,"",MAX($W$2:W232)+1))</f>
        <v/>
      </c>
      <c r="X233" s="0" t="str">
        <f aca="false">IF($H233="","",IF(COUNTIF($H$3:$H233,$H233)&gt;1,"",MAX($X$2:X232)+1))</f>
        <v/>
      </c>
      <c r="Y233" s="0" t="str">
        <f aca="false">IF(AND(N($M233)&gt;0,N($O233)&lt;=0),COUNTIFS($M$3:$M233,"&gt;0",$O$3:$O233,"&lt;=0"),"")</f>
        <v/>
      </c>
      <c r="Z233" s="30" t="n">
        <f aca="false">IF(OR('THÁNG 7'!$C90="",'THÁNG 7'!$B90=""),0,'THÁNG 7'!$B90)</f>
        <v>0</v>
      </c>
    </row>
    <row r="234" customFormat="false" ht="15" hidden="false" customHeight="false" outlineLevel="0" collapsed="false">
      <c r="A234" s="0" t="n">
        <v>7</v>
      </c>
      <c r="B234" s="29" t="str">
        <f aca="false">IF(OR('THÁNG 7'!$C91="",'THÁNG 7'!$B91=""),"",'THÁNG 7'!$B91)</f>
        <v/>
      </c>
      <c r="C234" s="0" t="str">
        <f aca="false">IF('THÁNG 7'!$C91="","",'THÁNG 7'!$C91)</f>
        <v/>
      </c>
      <c r="D234" s="0" t="str">
        <f aca="false">IF('THÁNG 7'!$C91="","",'THÁNG 7'!$D91&amp;"")</f>
        <v/>
      </c>
      <c r="E234" s="0" t="str">
        <f aca="false">IF('THÁNG 7'!$C91="","",'THÁNG 7'!$E91&amp;"")</f>
        <v/>
      </c>
      <c r="F234" s="0" t="str">
        <f aca="false">IF('THÁNG 7'!$C91="","",'THÁNG 7'!$F91&amp;"")</f>
        <v/>
      </c>
      <c r="G234" s="0" t="str">
        <f aca="false">IF('THÁNG 7'!$C91="","",'THÁNG 7'!$G91&amp;"")</f>
        <v/>
      </c>
      <c r="H234" s="0" t="str">
        <f aca="false">IF('THÁNG 7'!$C91="","",'THÁNG 7'!$H91&amp;"")</f>
        <v/>
      </c>
      <c r="I234" s="0" t="str">
        <f aca="false">IF('THÁNG 7'!$C91="","",N('THÁNG 7'!$I91))</f>
        <v/>
      </c>
      <c r="J234" s="0" t="str">
        <f aca="false">IF('THÁNG 7'!$C91="","",N('THÁNG 7'!$L91))</f>
        <v/>
      </c>
      <c r="K234" s="0" t="str">
        <f aca="false">IF('THÁNG 7'!$C91="","",N('THÁNG 7'!$N91))</f>
        <v/>
      </c>
      <c r="L234" s="0" t="str">
        <f aca="false">IF('THÁNG 7'!$C91="","",N('THÁNG 7'!$O91))</f>
        <v/>
      </c>
      <c r="M234" s="0" t="str">
        <f aca="false">IF('THÁNG 7'!$C91="","",N('THÁNG 7'!$P91))</f>
        <v/>
      </c>
      <c r="N234" s="0" t="str">
        <f aca="false">IF('THÁNG 7'!$C91="","",N('THÁNG 7'!$Q91))</f>
        <v/>
      </c>
      <c r="O234" s="0" t="str">
        <f aca="false">IF('THÁNG 7'!$C91="","",N('THÁNG 7'!$R91))</f>
        <v/>
      </c>
      <c r="P234" s="0" t="str">
        <f aca="false">IF(OR('THÁNG 7'!$C91="",'THÁNG 7'!$T91=""),"",'THÁNG 7'!$T91)</f>
        <v/>
      </c>
      <c r="Q234" s="0" t="str">
        <f aca="false">IF(OR('THÁNG 7'!$C91="",'THÁNG 7'!$U91=""),"",'THÁNG 7'!$U91)</f>
        <v/>
      </c>
      <c r="R234" s="0" t="str">
        <f aca="false">IF('THÁNG 7'!$C91="","",'THÁNG 7'!$W91&amp;"")</f>
        <v/>
      </c>
      <c r="S234" s="0" t="str">
        <f aca="false">IF('THÁNG 7'!$C91="","",'THÁNG 7'!$S91&amp;"")</f>
        <v/>
      </c>
      <c r="T234" s="0" t="str">
        <f aca="false">IF(N($O234)&gt;0,COUNTIF($O$3:$O234,"&gt;0"),"")</f>
        <v/>
      </c>
      <c r="U234" s="0" t="str">
        <f aca="false">IF(AND(N($J234)&gt;0,N($K234)&gt;0),COUNTIFS($J$3:$J234,"&gt;0",$K$3:$K234,"&gt;0"),"")</f>
        <v/>
      </c>
      <c r="V234" s="0" t="str">
        <f aca="false">IF(AND(N($J234)&gt;0,N($K234)=0),COUNTIFS($J$3:$J234,"&gt;0",$K$3:$K234,"&lt;=0"),"")</f>
        <v/>
      </c>
      <c r="W234" s="0" t="str">
        <f aca="false">IF($C234="","",IF(COUNTIF($C$3:$C234,$C234)&gt;1,"",MAX($W$2:W233)+1))</f>
        <v/>
      </c>
      <c r="X234" s="0" t="str">
        <f aca="false">IF($H234="","",IF(COUNTIF($H$3:$H234,$H234)&gt;1,"",MAX($X$2:X233)+1))</f>
        <v/>
      </c>
      <c r="Y234" s="0" t="str">
        <f aca="false">IF(AND(N($M234)&gt;0,N($O234)&lt;=0),COUNTIFS($M$3:$M234,"&gt;0",$O$3:$O234,"&lt;=0"),"")</f>
        <v/>
      </c>
      <c r="Z234" s="30" t="n">
        <f aca="false">IF(OR('THÁNG 7'!$C91="",'THÁNG 7'!$B91=""),0,'THÁNG 7'!$B91)</f>
        <v>0</v>
      </c>
    </row>
    <row r="235" customFormat="false" ht="15" hidden="false" customHeight="false" outlineLevel="0" collapsed="false">
      <c r="A235" s="0" t="n">
        <v>7</v>
      </c>
      <c r="B235" s="29" t="str">
        <f aca="false">IF(OR('THÁNG 7'!$C92="",'THÁNG 7'!$B92=""),"",'THÁNG 7'!$B92)</f>
        <v/>
      </c>
      <c r="C235" s="0" t="str">
        <f aca="false">IF('THÁNG 7'!$C92="","",'THÁNG 7'!$C92)</f>
        <v/>
      </c>
      <c r="D235" s="0" t="str">
        <f aca="false">IF('THÁNG 7'!$C92="","",'THÁNG 7'!$D92&amp;"")</f>
        <v/>
      </c>
      <c r="E235" s="0" t="str">
        <f aca="false">IF('THÁNG 7'!$C92="","",'THÁNG 7'!$E92&amp;"")</f>
        <v/>
      </c>
      <c r="F235" s="0" t="str">
        <f aca="false">IF('THÁNG 7'!$C92="","",'THÁNG 7'!$F92&amp;"")</f>
        <v/>
      </c>
      <c r="G235" s="0" t="str">
        <f aca="false">IF('THÁNG 7'!$C92="","",'THÁNG 7'!$G92&amp;"")</f>
        <v/>
      </c>
      <c r="H235" s="0" t="str">
        <f aca="false">IF('THÁNG 7'!$C92="","",'THÁNG 7'!$H92&amp;"")</f>
        <v/>
      </c>
      <c r="I235" s="0" t="str">
        <f aca="false">IF('THÁNG 7'!$C92="","",N('THÁNG 7'!$I92))</f>
        <v/>
      </c>
      <c r="J235" s="0" t="str">
        <f aca="false">IF('THÁNG 7'!$C92="","",N('THÁNG 7'!$L92))</f>
        <v/>
      </c>
      <c r="K235" s="0" t="str">
        <f aca="false">IF('THÁNG 7'!$C92="","",N('THÁNG 7'!$N92))</f>
        <v/>
      </c>
      <c r="L235" s="0" t="str">
        <f aca="false">IF('THÁNG 7'!$C92="","",N('THÁNG 7'!$O92))</f>
        <v/>
      </c>
      <c r="M235" s="0" t="str">
        <f aca="false">IF('THÁNG 7'!$C92="","",N('THÁNG 7'!$P92))</f>
        <v/>
      </c>
      <c r="N235" s="0" t="str">
        <f aca="false">IF('THÁNG 7'!$C92="","",N('THÁNG 7'!$Q92))</f>
        <v/>
      </c>
      <c r="O235" s="0" t="str">
        <f aca="false">IF('THÁNG 7'!$C92="","",N('THÁNG 7'!$R92))</f>
        <v/>
      </c>
      <c r="P235" s="0" t="str">
        <f aca="false">IF(OR('THÁNG 7'!$C92="",'THÁNG 7'!$T92=""),"",'THÁNG 7'!$T92)</f>
        <v/>
      </c>
      <c r="Q235" s="0" t="str">
        <f aca="false">IF(OR('THÁNG 7'!$C92="",'THÁNG 7'!$U92=""),"",'THÁNG 7'!$U92)</f>
        <v/>
      </c>
      <c r="R235" s="0" t="str">
        <f aca="false">IF('THÁNG 7'!$C92="","",'THÁNG 7'!$W92&amp;"")</f>
        <v/>
      </c>
      <c r="S235" s="0" t="str">
        <f aca="false">IF('THÁNG 7'!$C92="","",'THÁNG 7'!$S92&amp;"")</f>
        <v/>
      </c>
      <c r="T235" s="0" t="str">
        <f aca="false">IF(N($O235)&gt;0,COUNTIF($O$3:$O235,"&gt;0"),"")</f>
        <v/>
      </c>
      <c r="U235" s="0" t="str">
        <f aca="false">IF(AND(N($J235)&gt;0,N($K235)&gt;0),COUNTIFS($J$3:$J235,"&gt;0",$K$3:$K235,"&gt;0"),"")</f>
        <v/>
      </c>
      <c r="V235" s="0" t="str">
        <f aca="false">IF(AND(N($J235)&gt;0,N($K235)=0),COUNTIFS($J$3:$J235,"&gt;0",$K$3:$K235,"&lt;=0"),"")</f>
        <v/>
      </c>
      <c r="W235" s="0" t="str">
        <f aca="false">IF($C235="","",IF(COUNTIF($C$3:$C235,$C235)&gt;1,"",MAX($W$2:W234)+1))</f>
        <v/>
      </c>
      <c r="X235" s="0" t="str">
        <f aca="false">IF($H235="","",IF(COUNTIF($H$3:$H235,$H235)&gt;1,"",MAX($X$2:X234)+1))</f>
        <v/>
      </c>
      <c r="Y235" s="0" t="str">
        <f aca="false">IF(AND(N($M235)&gt;0,N($O235)&lt;=0),COUNTIFS($M$3:$M235,"&gt;0",$O$3:$O235,"&lt;=0"),"")</f>
        <v/>
      </c>
      <c r="Z235" s="30" t="n">
        <f aca="false">IF(OR('THÁNG 7'!$C92="",'THÁNG 7'!$B92=""),0,'THÁNG 7'!$B92)</f>
        <v>0</v>
      </c>
    </row>
    <row r="236" customFormat="false" ht="15" hidden="false" customHeight="false" outlineLevel="0" collapsed="false">
      <c r="A236" s="0" t="n">
        <v>7</v>
      </c>
      <c r="B236" s="29" t="str">
        <f aca="false">IF(OR('THÁNG 7'!$C93="",'THÁNG 7'!$B93=""),"",'THÁNG 7'!$B93)</f>
        <v/>
      </c>
      <c r="C236" s="0" t="str">
        <f aca="false">IF('THÁNG 7'!$C93="","",'THÁNG 7'!$C93)</f>
        <v/>
      </c>
      <c r="D236" s="0" t="str">
        <f aca="false">IF('THÁNG 7'!$C93="","",'THÁNG 7'!$D93&amp;"")</f>
        <v/>
      </c>
      <c r="E236" s="0" t="str">
        <f aca="false">IF('THÁNG 7'!$C93="","",'THÁNG 7'!$E93&amp;"")</f>
        <v/>
      </c>
      <c r="F236" s="0" t="str">
        <f aca="false">IF('THÁNG 7'!$C93="","",'THÁNG 7'!$F93&amp;"")</f>
        <v/>
      </c>
      <c r="G236" s="0" t="str">
        <f aca="false">IF('THÁNG 7'!$C93="","",'THÁNG 7'!$G93&amp;"")</f>
        <v/>
      </c>
      <c r="H236" s="0" t="str">
        <f aca="false">IF('THÁNG 7'!$C93="","",'THÁNG 7'!$H93&amp;"")</f>
        <v/>
      </c>
      <c r="I236" s="0" t="str">
        <f aca="false">IF('THÁNG 7'!$C93="","",N('THÁNG 7'!$I93))</f>
        <v/>
      </c>
      <c r="J236" s="0" t="str">
        <f aca="false">IF('THÁNG 7'!$C93="","",N('THÁNG 7'!$L93))</f>
        <v/>
      </c>
      <c r="K236" s="0" t="str">
        <f aca="false">IF('THÁNG 7'!$C93="","",N('THÁNG 7'!$N93))</f>
        <v/>
      </c>
      <c r="L236" s="0" t="str">
        <f aca="false">IF('THÁNG 7'!$C93="","",N('THÁNG 7'!$O93))</f>
        <v/>
      </c>
      <c r="M236" s="0" t="str">
        <f aca="false">IF('THÁNG 7'!$C93="","",N('THÁNG 7'!$P93))</f>
        <v/>
      </c>
      <c r="N236" s="0" t="str">
        <f aca="false">IF('THÁNG 7'!$C93="","",N('THÁNG 7'!$Q93))</f>
        <v/>
      </c>
      <c r="O236" s="0" t="str">
        <f aca="false">IF('THÁNG 7'!$C93="","",N('THÁNG 7'!$R93))</f>
        <v/>
      </c>
      <c r="P236" s="0" t="str">
        <f aca="false">IF(OR('THÁNG 7'!$C93="",'THÁNG 7'!$T93=""),"",'THÁNG 7'!$T93)</f>
        <v/>
      </c>
      <c r="Q236" s="0" t="str">
        <f aca="false">IF(OR('THÁNG 7'!$C93="",'THÁNG 7'!$U93=""),"",'THÁNG 7'!$U93)</f>
        <v/>
      </c>
      <c r="R236" s="0" t="str">
        <f aca="false">IF('THÁNG 7'!$C93="","",'THÁNG 7'!$W93&amp;"")</f>
        <v/>
      </c>
      <c r="S236" s="0" t="str">
        <f aca="false">IF('THÁNG 7'!$C93="","",'THÁNG 7'!$S93&amp;"")</f>
        <v/>
      </c>
      <c r="T236" s="0" t="str">
        <f aca="false">IF(N($O236)&gt;0,COUNTIF($O$3:$O236,"&gt;0"),"")</f>
        <v/>
      </c>
      <c r="U236" s="0" t="str">
        <f aca="false">IF(AND(N($J236)&gt;0,N($K236)&gt;0),COUNTIFS($J$3:$J236,"&gt;0",$K$3:$K236,"&gt;0"),"")</f>
        <v/>
      </c>
      <c r="V236" s="0" t="str">
        <f aca="false">IF(AND(N($J236)&gt;0,N($K236)=0),COUNTIFS($J$3:$J236,"&gt;0",$K$3:$K236,"&lt;=0"),"")</f>
        <v/>
      </c>
      <c r="W236" s="0" t="str">
        <f aca="false">IF($C236="","",IF(COUNTIF($C$3:$C236,$C236)&gt;1,"",MAX($W$2:W235)+1))</f>
        <v/>
      </c>
      <c r="X236" s="0" t="str">
        <f aca="false">IF($H236="","",IF(COUNTIF($H$3:$H236,$H236)&gt;1,"",MAX($X$2:X235)+1))</f>
        <v/>
      </c>
      <c r="Y236" s="0" t="str">
        <f aca="false">IF(AND(N($M236)&gt;0,N($O236)&lt;=0),COUNTIFS($M$3:$M236,"&gt;0",$O$3:$O236,"&lt;=0"),"")</f>
        <v/>
      </c>
      <c r="Z236" s="30" t="n">
        <f aca="false">IF(OR('THÁNG 7'!$C93="",'THÁNG 7'!$B93=""),0,'THÁNG 7'!$B93)</f>
        <v>0</v>
      </c>
    </row>
    <row r="237" customFormat="false" ht="15" hidden="false" customHeight="false" outlineLevel="0" collapsed="false">
      <c r="A237" s="0" t="n">
        <v>7</v>
      </c>
      <c r="B237" s="29" t="str">
        <f aca="false">IF(OR('THÁNG 7'!$C94="",'THÁNG 7'!$B94=""),"",'THÁNG 7'!$B94)</f>
        <v/>
      </c>
      <c r="C237" s="0" t="str">
        <f aca="false">IF('THÁNG 7'!$C94="","",'THÁNG 7'!$C94)</f>
        <v/>
      </c>
      <c r="D237" s="0" t="str">
        <f aca="false">IF('THÁNG 7'!$C94="","",'THÁNG 7'!$D94&amp;"")</f>
        <v/>
      </c>
      <c r="E237" s="0" t="str">
        <f aca="false">IF('THÁNG 7'!$C94="","",'THÁNG 7'!$E94&amp;"")</f>
        <v/>
      </c>
      <c r="F237" s="0" t="str">
        <f aca="false">IF('THÁNG 7'!$C94="","",'THÁNG 7'!$F94&amp;"")</f>
        <v/>
      </c>
      <c r="G237" s="0" t="str">
        <f aca="false">IF('THÁNG 7'!$C94="","",'THÁNG 7'!$G94&amp;"")</f>
        <v/>
      </c>
      <c r="H237" s="0" t="str">
        <f aca="false">IF('THÁNG 7'!$C94="","",'THÁNG 7'!$H94&amp;"")</f>
        <v/>
      </c>
      <c r="I237" s="0" t="str">
        <f aca="false">IF('THÁNG 7'!$C94="","",N('THÁNG 7'!$I94))</f>
        <v/>
      </c>
      <c r="J237" s="0" t="str">
        <f aca="false">IF('THÁNG 7'!$C94="","",N('THÁNG 7'!$L94))</f>
        <v/>
      </c>
      <c r="K237" s="0" t="str">
        <f aca="false">IF('THÁNG 7'!$C94="","",N('THÁNG 7'!$N94))</f>
        <v/>
      </c>
      <c r="L237" s="0" t="str">
        <f aca="false">IF('THÁNG 7'!$C94="","",N('THÁNG 7'!$O94))</f>
        <v/>
      </c>
      <c r="M237" s="0" t="str">
        <f aca="false">IF('THÁNG 7'!$C94="","",N('THÁNG 7'!$P94))</f>
        <v/>
      </c>
      <c r="N237" s="0" t="str">
        <f aca="false">IF('THÁNG 7'!$C94="","",N('THÁNG 7'!$Q94))</f>
        <v/>
      </c>
      <c r="O237" s="0" t="str">
        <f aca="false">IF('THÁNG 7'!$C94="","",N('THÁNG 7'!$R94))</f>
        <v/>
      </c>
      <c r="P237" s="0" t="str">
        <f aca="false">IF(OR('THÁNG 7'!$C94="",'THÁNG 7'!$T94=""),"",'THÁNG 7'!$T94)</f>
        <v/>
      </c>
      <c r="Q237" s="0" t="str">
        <f aca="false">IF(OR('THÁNG 7'!$C94="",'THÁNG 7'!$U94=""),"",'THÁNG 7'!$U94)</f>
        <v/>
      </c>
      <c r="R237" s="0" t="str">
        <f aca="false">IF('THÁNG 7'!$C94="","",'THÁNG 7'!$W94&amp;"")</f>
        <v/>
      </c>
      <c r="S237" s="0" t="str">
        <f aca="false">IF('THÁNG 7'!$C94="","",'THÁNG 7'!$S94&amp;"")</f>
        <v/>
      </c>
      <c r="T237" s="0" t="str">
        <f aca="false">IF(N($O237)&gt;0,COUNTIF($O$3:$O237,"&gt;0"),"")</f>
        <v/>
      </c>
      <c r="U237" s="0" t="str">
        <f aca="false">IF(AND(N($J237)&gt;0,N($K237)&gt;0),COUNTIFS($J$3:$J237,"&gt;0",$K$3:$K237,"&gt;0"),"")</f>
        <v/>
      </c>
      <c r="V237" s="0" t="str">
        <f aca="false">IF(AND(N($J237)&gt;0,N($K237)=0),COUNTIFS($J$3:$J237,"&gt;0",$K$3:$K237,"&lt;=0"),"")</f>
        <v/>
      </c>
      <c r="W237" s="0" t="str">
        <f aca="false">IF($C237="","",IF(COUNTIF($C$3:$C237,$C237)&gt;1,"",MAX($W$2:W236)+1))</f>
        <v/>
      </c>
      <c r="X237" s="0" t="str">
        <f aca="false">IF($H237="","",IF(COUNTIF($H$3:$H237,$H237)&gt;1,"",MAX($X$2:X236)+1))</f>
        <v/>
      </c>
      <c r="Y237" s="0" t="str">
        <f aca="false">IF(AND(N($M237)&gt;0,N($O237)&lt;=0),COUNTIFS($M$3:$M237,"&gt;0",$O$3:$O237,"&lt;=0"),"")</f>
        <v/>
      </c>
      <c r="Z237" s="30" t="n">
        <f aca="false">IF(OR('THÁNG 7'!$C94="",'THÁNG 7'!$B94=""),0,'THÁNG 7'!$B94)</f>
        <v>0</v>
      </c>
    </row>
    <row r="238" customFormat="false" ht="15" hidden="false" customHeight="false" outlineLevel="0" collapsed="false">
      <c r="A238" s="0" t="n">
        <v>7</v>
      </c>
      <c r="B238" s="29" t="str">
        <f aca="false">IF(OR('THÁNG 7'!$C95="",'THÁNG 7'!$B95=""),"",'THÁNG 7'!$B95)</f>
        <v/>
      </c>
      <c r="C238" s="0" t="str">
        <f aca="false">IF('THÁNG 7'!$C95="","",'THÁNG 7'!$C95)</f>
        <v/>
      </c>
      <c r="D238" s="0" t="str">
        <f aca="false">IF('THÁNG 7'!$C95="","",'THÁNG 7'!$D95&amp;"")</f>
        <v/>
      </c>
      <c r="E238" s="0" t="str">
        <f aca="false">IF('THÁNG 7'!$C95="","",'THÁNG 7'!$E95&amp;"")</f>
        <v/>
      </c>
      <c r="F238" s="0" t="str">
        <f aca="false">IF('THÁNG 7'!$C95="","",'THÁNG 7'!$F95&amp;"")</f>
        <v/>
      </c>
      <c r="G238" s="0" t="str">
        <f aca="false">IF('THÁNG 7'!$C95="","",'THÁNG 7'!$G95&amp;"")</f>
        <v/>
      </c>
      <c r="H238" s="0" t="str">
        <f aca="false">IF('THÁNG 7'!$C95="","",'THÁNG 7'!$H95&amp;"")</f>
        <v/>
      </c>
      <c r="I238" s="0" t="str">
        <f aca="false">IF('THÁNG 7'!$C95="","",N('THÁNG 7'!$I95))</f>
        <v/>
      </c>
      <c r="J238" s="0" t="str">
        <f aca="false">IF('THÁNG 7'!$C95="","",N('THÁNG 7'!$L95))</f>
        <v/>
      </c>
      <c r="K238" s="0" t="str">
        <f aca="false">IF('THÁNG 7'!$C95="","",N('THÁNG 7'!$N95))</f>
        <v/>
      </c>
      <c r="L238" s="0" t="str">
        <f aca="false">IF('THÁNG 7'!$C95="","",N('THÁNG 7'!$O95))</f>
        <v/>
      </c>
      <c r="M238" s="0" t="str">
        <f aca="false">IF('THÁNG 7'!$C95="","",N('THÁNG 7'!$P95))</f>
        <v/>
      </c>
      <c r="N238" s="0" t="str">
        <f aca="false">IF('THÁNG 7'!$C95="","",N('THÁNG 7'!$Q95))</f>
        <v/>
      </c>
      <c r="O238" s="0" t="str">
        <f aca="false">IF('THÁNG 7'!$C95="","",N('THÁNG 7'!$R95))</f>
        <v/>
      </c>
      <c r="P238" s="0" t="str">
        <f aca="false">IF(OR('THÁNG 7'!$C95="",'THÁNG 7'!$T95=""),"",'THÁNG 7'!$T95)</f>
        <v/>
      </c>
      <c r="Q238" s="0" t="str">
        <f aca="false">IF(OR('THÁNG 7'!$C95="",'THÁNG 7'!$U95=""),"",'THÁNG 7'!$U95)</f>
        <v/>
      </c>
      <c r="R238" s="0" t="str">
        <f aca="false">IF('THÁNG 7'!$C95="","",'THÁNG 7'!$W95&amp;"")</f>
        <v/>
      </c>
      <c r="S238" s="0" t="str">
        <f aca="false">IF('THÁNG 7'!$C95="","",'THÁNG 7'!$S95&amp;"")</f>
        <v/>
      </c>
      <c r="T238" s="0" t="str">
        <f aca="false">IF(N($O238)&gt;0,COUNTIF($O$3:$O238,"&gt;0"),"")</f>
        <v/>
      </c>
      <c r="U238" s="0" t="str">
        <f aca="false">IF(AND(N($J238)&gt;0,N($K238)&gt;0),COUNTIFS($J$3:$J238,"&gt;0",$K$3:$K238,"&gt;0"),"")</f>
        <v/>
      </c>
      <c r="V238" s="0" t="str">
        <f aca="false">IF(AND(N($J238)&gt;0,N($K238)=0),COUNTIFS($J$3:$J238,"&gt;0",$K$3:$K238,"&lt;=0"),"")</f>
        <v/>
      </c>
      <c r="W238" s="0" t="str">
        <f aca="false">IF($C238="","",IF(COUNTIF($C$3:$C238,$C238)&gt;1,"",MAX($W$2:W237)+1))</f>
        <v/>
      </c>
      <c r="X238" s="0" t="str">
        <f aca="false">IF($H238="","",IF(COUNTIF($H$3:$H238,$H238)&gt;1,"",MAX($X$2:X237)+1))</f>
        <v/>
      </c>
      <c r="Y238" s="0" t="str">
        <f aca="false">IF(AND(N($M238)&gt;0,N($O238)&lt;=0),COUNTIFS($M$3:$M238,"&gt;0",$O$3:$O238,"&lt;=0"),"")</f>
        <v/>
      </c>
      <c r="Z238" s="30" t="n">
        <f aca="false">IF(OR('THÁNG 7'!$C95="",'THÁNG 7'!$B95=""),0,'THÁNG 7'!$B95)</f>
        <v>0</v>
      </c>
    </row>
    <row r="239" customFormat="false" ht="15" hidden="false" customHeight="false" outlineLevel="0" collapsed="false">
      <c r="A239" s="0" t="n">
        <v>7</v>
      </c>
      <c r="B239" s="29" t="str">
        <f aca="false">IF(OR('THÁNG 7'!$C96="",'THÁNG 7'!$B96=""),"",'THÁNG 7'!$B96)</f>
        <v/>
      </c>
      <c r="C239" s="0" t="str">
        <f aca="false">IF('THÁNG 7'!$C96="","",'THÁNG 7'!$C96)</f>
        <v/>
      </c>
      <c r="D239" s="0" t="str">
        <f aca="false">IF('THÁNG 7'!$C96="","",'THÁNG 7'!$D96&amp;"")</f>
        <v/>
      </c>
      <c r="E239" s="0" t="str">
        <f aca="false">IF('THÁNG 7'!$C96="","",'THÁNG 7'!$E96&amp;"")</f>
        <v/>
      </c>
      <c r="F239" s="0" t="str">
        <f aca="false">IF('THÁNG 7'!$C96="","",'THÁNG 7'!$F96&amp;"")</f>
        <v/>
      </c>
      <c r="G239" s="0" t="str">
        <f aca="false">IF('THÁNG 7'!$C96="","",'THÁNG 7'!$G96&amp;"")</f>
        <v/>
      </c>
      <c r="H239" s="0" t="str">
        <f aca="false">IF('THÁNG 7'!$C96="","",'THÁNG 7'!$H96&amp;"")</f>
        <v/>
      </c>
      <c r="I239" s="0" t="str">
        <f aca="false">IF('THÁNG 7'!$C96="","",N('THÁNG 7'!$I96))</f>
        <v/>
      </c>
      <c r="J239" s="0" t="str">
        <f aca="false">IF('THÁNG 7'!$C96="","",N('THÁNG 7'!$L96))</f>
        <v/>
      </c>
      <c r="K239" s="0" t="str">
        <f aca="false">IF('THÁNG 7'!$C96="","",N('THÁNG 7'!$N96))</f>
        <v/>
      </c>
      <c r="L239" s="0" t="str">
        <f aca="false">IF('THÁNG 7'!$C96="","",N('THÁNG 7'!$O96))</f>
        <v/>
      </c>
      <c r="M239" s="0" t="str">
        <f aca="false">IF('THÁNG 7'!$C96="","",N('THÁNG 7'!$P96))</f>
        <v/>
      </c>
      <c r="N239" s="0" t="str">
        <f aca="false">IF('THÁNG 7'!$C96="","",N('THÁNG 7'!$Q96))</f>
        <v/>
      </c>
      <c r="O239" s="0" t="str">
        <f aca="false">IF('THÁNG 7'!$C96="","",N('THÁNG 7'!$R96))</f>
        <v/>
      </c>
      <c r="P239" s="0" t="str">
        <f aca="false">IF(OR('THÁNG 7'!$C96="",'THÁNG 7'!$T96=""),"",'THÁNG 7'!$T96)</f>
        <v/>
      </c>
      <c r="Q239" s="0" t="str">
        <f aca="false">IF(OR('THÁNG 7'!$C96="",'THÁNG 7'!$U96=""),"",'THÁNG 7'!$U96)</f>
        <v/>
      </c>
      <c r="R239" s="0" t="str">
        <f aca="false">IF('THÁNG 7'!$C96="","",'THÁNG 7'!$W96&amp;"")</f>
        <v/>
      </c>
      <c r="S239" s="0" t="str">
        <f aca="false">IF('THÁNG 7'!$C96="","",'THÁNG 7'!$S96&amp;"")</f>
        <v/>
      </c>
      <c r="T239" s="0" t="str">
        <f aca="false">IF(N($O239)&gt;0,COUNTIF($O$3:$O239,"&gt;0"),"")</f>
        <v/>
      </c>
      <c r="U239" s="0" t="str">
        <f aca="false">IF(AND(N($J239)&gt;0,N($K239)&gt;0),COUNTIFS($J$3:$J239,"&gt;0",$K$3:$K239,"&gt;0"),"")</f>
        <v/>
      </c>
      <c r="V239" s="0" t="str">
        <f aca="false">IF(AND(N($J239)&gt;0,N($K239)=0),COUNTIFS($J$3:$J239,"&gt;0",$K$3:$K239,"&lt;=0"),"")</f>
        <v/>
      </c>
      <c r="W239" s="0" t="str">
        <f aca="false">IF($C239="","",IF(COUNTIF($C$3:$C239,$C239)&gt;1,"",MAX($W$2:W238)+1))</f>
        <v/>
      </c>
      <c r="X239" s="0" t="str">
        <f aca="false">IF($H239="","",IF(COUNTIF($H$3:$H239,$H239)&gt;1,"",MAX($X$2:X238)+1))</f>
        <v/>
      </c>
      <c r="Y239" s="0" t="str">
        <f aca="false">IF(AND(N($M239)&gt;0,N($O239)&lt;=0),COUNTIFS($M$3:$M239,"&gt;0",$O$3:$O239,"&lt;=0"),"")</f>
        <v/>
      </c>
      <c r="Z239" s="30" t="n">
        <f aca="false">IF(OR('THÁNG 7'!$C96="",'THÁNG 7'!$B96=""),0,'THÁNG 7'!$B96)</f>
        <v>0</v>
      </c>
    </row>
    <row r="240" customFormat="false" ht="15" hidden="false" customHeight="false" outlineLevel="0" collapsed="false">
      <c r="A240" s="0" t="n">
        <v>7</v>
      </c>
      <c r="B240" s="29" t="str">
        <f aca="false">IF(OR('THÁNG 7'!$C97="",'THÁNG 7'!$B97=""),"",'THÁNG 7'!$B97)</f>
        <v/>
      </c>
      <c r="C240" s="0" t="str">
        <f aca="false">IF('THÁNG 7'!$C97="","",'THÁNG 7'!$C97)</f>
        <v/>
      </c>
      <c r="D240" s="0" t="str">
        <f aca="false">IF('THÁNG 7'!$C97="","",'THÁNG 7'!$D97&amp;"")</f>
        <v/>
      </c>
      <c r="E240" s="0" t="str">
        <f aca="false">IF('THÁNG 7'!$C97="","",'THÁNG 7'!$E97&amp;"")</f>
        <v/>
      </c>
      <c r="F240" s="0" t="str">
        <f aca="false">IF('THÁNG 7'!$C97="","",'THÁNG 7'!$F97&amp;"")</f>
        <v/>
      </c>
      <c r="G240" s="0" t="str">
        <f aca="false">IF('THÁNG 7'!$C97="","",'THÁNG 7'!$G97&amp;"")</f>
        <v/>
      </c>
      <c r="H240" s="0" t="str">
        <f aca="false">IF('THÁNG 7'!$C97="","",'THÁNG 7'!$H97&amp;"")</f>
        <v/>
      </c>
      <c r="I240" s="0" t="str">
        <f aca="false">IF('THÁNG 7'!$C97="","",N('THÁNG 7'!$I97))</f>
        <v/>
      </c>
      <c r="J240" s="0" t="str">
        <f aca="false">IF('THÁNG 7'!$C97="","",N('THÁNG 7'!$L97))</f>
        <v/>
      </c>
      <c r="K240" s="0" t="str">
        <f aca="false">IF('THÁNG 7'!$C97="","",N('THÁNG 7'!$N97))</f>
        <v/>
      </c>
      <c r="L240" s="0" t="str">
        <f aca="false">IF('THÁNG 7'!$C97="","",N('THÁNG 7'!$O97))</f>
        <v/>
      </c>
      <c r="M240" s="0" t="str">
        <f aca="false">IF('THÁNG 7'!$C97="","",N('THÁNG 7'!$P97))</f>
        <v/>
      </c>
      <c r="N240" s="0" t="str">
        <f aca="false">IF('THÁNG 7'!$C97="","",N('THÁNG 7'!$Q97))</f>
        <v/>
      </c>
      <c r="O240" s="0" t="str">
        <f aca="false">IF('THÁNG 7'!$C97="","",N('THÁNG 7'!$R97))</f>
        <v/>
      </c>
      <c r="P240" s="0" t="str">
        <f aca="false">IF(OR('THÁNG 7'!$C97="",'THÁNG 7'!$T97=""),"",'THÁNG 7'!$T97)</f>
        <v/>
      </c>
      <c r="Q240" s="0" t="str">
        <f aca="false">IF(OR('THÁNG 7'!$C97="",'THÁNG 7'!$U97=""),"",'THÁNG 7'!$U97)</f>
        <v/>
      </c>
      <c r="R240" s="0" t="str">
        <f aca="false">IF('THÁNG 7'!$C97="","",'THÁNG 7'!$W97&amp;"")</f>
        <v/>
      </c>
      <c r="S240" s="0" t="str">
        <f aca="false">IF('THÁNG 7'!$C97="","",'THÁNG 7'!$S97&amp;"")</f>
        <v/>
      </c>
      <c r="T240" s="0" t="str">
        <f aca="false">IF(N($O240)&gt;0,COUNTIF($O$3:$O240,"&gt;0"),"")</f>
        <v/>
      </c>
      <c r="U240" s="0" t="str">
        <f aca="false">IF(AND(N($J240)&gt;0,N($K240)&gt;0),COUNTIFS($J$3:$J240,"&gt;0",$K$3:$K240,"&gt;0"),"")</f>
        <v/>
      </c>
      <c r="V240" s="0" t="str">
        <f aca="false">IF(AND(N($J240)&gt;0,N($K240)=0),COUNTIFS($J$3:$J240,"&gt;0",$K$3:$K240,"&lt;=0"),"")</f>
        <v/>
      </c>
      <c r="W240" s="0" t="str">
        <f aca="false">IF($C240="","",IF(COUNTIF($C$3:$C240,$C240)&gt;1,"",MAX($W$2:W239)+1))</f>
        <v/>
      </c>
      <c r="X240" s="0" t="str">
        <f aca="false">IF($H240="","",IF(COUNTIF($H$3:$H240,$H240)&gt;1,"",MAX($X$2:X239)+1))</f>
        <v/>
      </c>
      <c r="Y240" s="0" t="str">
        <f aca="false">IF(AND(N($M240)&gt;0,N($O240)&lt;=0),COUNTIFS($M$3:$M240,"&gt;0",$O$3:$O240,"&lt;=0"),"")</f>
        <v/>
      </c>
      <c r="Z240" s="30" t="n">
        <f aca="false">IF(OR('THÁNG 7'!$C97="",'THÁNG 7'!$B97=""),0,'THÁNG 7'!$B97)</f>
        <v>0</v>
      </c>
    </row>
    <row r="241" customFormat="false" ht="15" hidden="false" customHeight="false" outlineLevel="0" collapsed="false">
      <c r="A241" s="0" t="n">
        <v>7</v>
      </c>
      <c r="B241" s="29" t="str">
        <f aca="false">IF(OR('THÁNG 7'!$C98="",'THÁNG 7'!$B98=""),"",'THÁNG 7'!$B98)</f>
        <v/>
      </c>
      <c r="C241" s="0" t="str">
        <f aca="false">IF('THÁNG 7'!$C98="","",'THÁNG 7'!$C98)</f>
        <v/>
      </c>
      <c r="D241" s="0" t="str">
        <f aca="false">IF('THÁNG 7'!$C98="","",'THÁNG 7'!$D98&amp;"")</f>
        <v/>
      </c>
      <c r="E241" s="0" t="str">
        <f aca="false">IF('THÁNG 7'!$C98="","",'THÁNG 7'!$E98&amp;"")</f>
        <v/>
      </c>
      <c r="F241" s="0" t="str">
        <f aca="false">IF('THÁNG 7'!$C98="","",'THÁNG 7'!$F98&amp;"")</f>
        <v/>
      </c>
      <c r="G241" s="0" t="str">
        <f aca="false">IF('THÁNG 7'!$C98="","",'THÁNG 7'!$G98&amp;"")</f>
        <v/>
      </c>
      <c r="H241" s="0" t="str">
        <f aca="false">IF('THÁNG 7'!$C98="","",'THÁNG 7'!$H98&amp;"")</f>
        <v/>
      </c>
      <c r="I241" s="0" t="str">
        <f aca="false">IF('THÁNG 7'!$C98="","",N('THÁNG 7'!$I98))</f>
        <v/>
      </c>
      <c r="J241" s="0" t="str">
        <f aca="false">IF('THÁNG 7'!$C98="","",N('THÁNG 7'!$L98))</f>
        <v/>
      </c>
      <c r="K241" s="0" t="str">
        <f aca="false">IF('THÁNG 7'!$C98="","",N('THÁNG 7'!$N98))</f>
        <v/>
      </c>
      <c r="L241" s="0" t="str">
        <f aca="false">IF('THÁNG 7'!$C98="","",N('THÁNG 7'!$O98))</f>
        <v/>
      </c>
      <c r="M241" s="0" t="str">
        <f aca="false">IF('THÁNG 7'!$C98="","",N('THÁNG 7'!$P98))</f>
        <v/>
      </c>
      <c r="N241" s="0" t="str">
        <f aca="false">IF('THÁNG 7'!$C98="","",N('THÁNG 7'!$Q98))</f>
        <v/>
      </c>
      <c r="O241" s="0" t="str">
        <f aca="false">IF('THÁNG 7'!$C98="","",N('THÁNG 7'!$R98))</f>
        <v/>
      </c>
      <c r="P241" s="0" t="str">
        <f aca="false">IF(OR('THÁNG 7'!$C98="",'THÁNG 7'!$T98=""),"",'THÁNG 7'!$T98)</f>
        <v/>
      </c>
      <c r="Q241" s="0" t="str">
        <f aca="false">IF(OR('THÁNG 7'!$C98="",'THÁNG 7'!$U98=""),"",'THÁNG 7'!$U98)</f>
        <v/>
      </c>
      <c r="R241" s="0" t="str">
        <f aca="false">IF('THÁNG 7'!$C98="","",'THÁNG 7'!$W98&amp;"")</f>
        <v/>
      </c>
      <c r="S241" s="0" t="str">
        <f aca="false">IF('THÁNG 7'!$C98="","",'THÁNG 7'!$S98&amp;"")</f>
        <v/>
      </c>
      <c r="T241" s="0" t="str">
        <f aca="false">IF(N($O241)&gt;0,COUNTIF($O$3:$O241,"&gt;0"),"")</f>
        <v/>
      </c>
      <c r="U241" s="0" t="str">
        <f aca="false">IF(AND(N($J241)&gt;0,N($K241)&gt;0),COUNTIFS($J$3:$J241,"&gt;0",$K$3:$K241,"&gt;0"),"")</f>
        <v/>
      </c>
      <c r="V241" s="0" t="str">
        <f aca="false">IF(AND(N($J241)&gt;0,N($K241)=0),COUNTIFS($J$3:$J241,"&gt;0",$K$3:$K241,"&lt;=0"),"")</f>
        <v/>
      </c>
      <c r="W241" s="0" t="str">
        <f aca="false">IF($C241="","",IF(COUNTIF($C$3:$C241,$C241)&gt;1,"",MAX($W$2:W240)+1))</f>
        <v/>
      </c>
      <c r="X241" s="0" t="str">
        <f aca="false">IF($H241="","",IF(COUNTIF($H$3:$H241,$H241)&gt;1,"",MAX($X$2:X240)+1))</f>
        <v/>
      </c>
      <c r="Y241" s="0" t="str">
        <f aca="false">IF(AND(N($M241)&gt;0,N($O241)&lt;=0),COUNTIFS($M$3:$M241,"&gt;0",$O$3:$O241,"&lt;=0"),"")</f>
        <v/>
      </c>
      <c r="Z241" s="30" t="n">
        <f aca="false">IF(OR('THÁNG 7'!$C98="",'THÁNG 7'!$B98=""),0,'THÁNG 7'!$B98)</f>
        <v>0</v>
      </c>
    </row>
    <row r="242" customFormat="false" ht="15" hidden="false" customHeight="false" outlineLevel="0" collapsed="false">
      <c r="A242" s="0" t="n">
        <v>7</v>
      </c>
      <c r="B242" s="29" t="str">
        <f aca="false">IF(OR('THÁNG 7'!$C99="",'THÁNG 7'!$B99=""),"",'THÁNG 7'!$B99)</f>
        <v/>
      </c>
      <c r="C242" s="0" t="str">
        <f aca="false">IF('THÁNG 7'!$C99="","",'THÁNG 7'!$C99)</f>
        <v/>
      </c>
      <c r="D242" s="0" t="str">
        <f aca="false">IF('THÁNG 7'!$C99="","",'THÁNG 7'!$D99&amp;"")</f>
        <v/>
      </c>
      <c r="E242" s="0" t="str">
        <f aca="false">IF('THÁNG 7'!$C99="","",'THÁNG 7'!$E99&amp;"")</f>
        <v/>
      </c>
      <c r="F242" s="0" t="str">
        <f aca="false">IF('THÁNG 7'!$C99="","",'THÁNG 7'!$F99&amp;"")</f>
        <v/>
      </c>
      <c r="G242" s="0" t="str">
        <f aca="false">IF('THÁNG 7'!$C99="","",'THÁNG 7'!$G99&amp;"")</f>
        <v/>
      </c>
      <c r="H242" s="0" t="str">
        <f aca="false">IF('THÁNG 7'!$C99="","",'THÁNG 7'!$H99&amp;"")</f>
        <v/>
      </c>
      <c r="I242" s="0" t="str">
        <f aca="false">IF('THÁNG 7'!$C99="","",N('THÁNG 7'!$I99))</f>
        <v/>
      </c>
      <c r="J242" s="0" t="str">
        <f aca="false">IF('THÁNG 7'!$C99="","",N('THÁNG 7'!$L99))</f>
        <v/>
      </c>
      <c r="K242" s="0" t="str">
        <f aca="false">IF('THÁNG 7'!$C99="","",N('THÁNG 7'!$N99))</f>
        <v/>
      </c>
      <c r="L242" s="0" t="str">
        <f aca="false">IF('THÁNG 7'!$C99="","",N('THÁNG 7'!$O99))</f>
        <v/>
      </c>
      <c r="M242" s="0" t="str">
        <f aca="false">IF('THÁNG 7'!$C99="","",N('THÁNG 7'!$P99))</f>
        <v/>
      </c>
      <c r="N242" s="0" t="str">
        <f aca="false">IF('THÁNG 7'!$C99="","",N('THÁNG 7'!$Q99))</f>
        <v/>
      </c>
      <c r="O242" s="0" t="str">
        <f aca="false">IF('THÁNG 7'!$C99="","",N('THÁNG 7'!$R99))</f>
        <v/>
      </c>
      <c r="P242" s="0" t="str">
        <f aca="false">IF(OR('THÁNG 7'!$C99="",'THÁNG 7'!$T99=""),"",'THÁNG 7'!$T99)</f>
        <v/>
      </c>
      <c r="Q242" s="0" t="str">
        <f aca="false">IF(OR('THÁNG 7'!$C99="",'THÁNG 7'!$U99=""),"",'THÁNG 7'!$U99)</f>
        <v/>
      </c>
      <c r="R242" s="0" t="str">
        <f aca="false">IF('THÁNG 7'!$C99="","",'THÁNG 7'!$W99&amp;"")</f>
        <v/>
      </c>
      <c r="S242" s="0" t="str">
        <f aca="false">IF('THÁNG 7'!$C99="","",'THÁNG 7'!$S99&amp;"")</f>
        <v/>
      </c>
      <c r="T242" s="0" t="str">
        <f aca="false">IF(N($O242)&gt;0,COUNTIF($O$3:$O242,"&gt;0"),"")</f>
        <v/>
      </c>
      <c r="U242" s="0" t="str">
        <f aca="false">IF(AND(N($J242)&gt;0,N($K242)&gt;0),COUNTIFS($J$3:$J242,"&gt;0",$K$3:$K242,"&gt;0"),"")</f>
        <v/>
      </c>
      <c r="V242" s="0" t="str">
        <f aca="false">IF(AND(N($J242)&gt;0,N($K242)=0),COUNTIFS($J$3:$J242,"&gt;0",$K$3:$K242,"&lt;=0"),"")</f>
        <v/>
      </c>
      <c r="W242" s="0" t="str">
        <f aca="false">IF($C242="","",IF(COUNTIF($C$3:$C242,$C242)&gt;1,"",MAX($W$2:W241)+1))</f>
        <v/>
      </c>
      <c r="X242" s="0" t="str">
        <f aca="false">IF($H242="","",IF(COUNTIF($H$3:$H242,$H242)&gt;1,"",MAX($X$2:X241)+1))</f>
        <v/>
      </c>
      <c r="Y242" s="0" t="str">
        <f aca="false">IF(AND(N($M242)&gt;0,N($O242)&lt;=0),COUNTIFS($M$3:$M242,"&gt;0",$O$3:$O242,"&lt;=0"),"")</f>
        <v/>
      </c>
      <c r="Z242" s="30" t="n">
        <f aca="false">IF(OR('THÁNG 7'!$C99="",'THÁNG 7'!$B99=""),0,'THÁNG 7'!$B99)</f>
        <v>0</v>
      </c>
    </row>
    <row r="243" customFormat="false" ht="15" hidden="false" customHeight="false" outlineLevel="0" collapsed="false">
      <c r="A243" s="0" t="n">
        <v>7</v>
      </c>
      <c r="B243" s="29" t="str">
        <f aca="false">IF(OR('THÁNG 7'!$C100="",'THÁNG 7'!$B100=""),"",'THÁNG 7'!$B100)</f>
        <v/>
      </c>
      <c r="C243" s="0" t="str">
        <f aca="false">IF('THÁNG 7'!$C100="","",'THÁNG 7'!$C100)</f>
        <v/>
      </c>
      <c r="D243" s="0" t="str">
        <f aca="false">IF('THÁNG 7'!$C100="","",'THÁNG 7'!$D100&amp;"")</f>
        <v/>
      </c>
      <c r="E243" s="0" t="str">
        <f aca="false">IF('THÁNG 7'!$C100="","",'THÁNG 7'!$E100&amp;"")</f>
        <v/>
      </c>
      <c r="F243" s="0" t="str">
        <f aca="false">IF('THÁNG 7'!$C100="","",'THÁNG 7'!$F100&amp;"")</f>
        <v/>
      </c>
      <c r="G243" s="0" t="str">
        <f aca="false">IF('THÁNG 7'!$C100="","",'THÁNG 7'!$G100&amp;"")</f>
        <v/>
      </c>
      <c r="H243" s="0" t="str">
        <f aca="false">IF('THÁNG 7'!$C100="","",'THÁNG 7'!$H100&amp;"")</f>
        <v/>
      </c>
      <c r="I243" s="0" t="str">
        <f aca="false">IF('THÁNG 7'!$C100="","",N('THÁNG 7'!$I100))</f>
        <v/>
      </c>
      <c r="J243" s="0" t="str">
        <f aca="false">IF('THÁNG 7'!$C100="","",N('THÁNG 7'!$L100))</f>
        <v/>
      </c>
      <c r="K243" s="0" t="str">
        <f aca="false">IF('THÁNG 7'!$C100="","",N('THÁNG 7'!$N100))</f>
        <v/>
      </c>
      <c r="L243" s="0" t="str">
        <f aca="false">IF('THÁNG 7'!$C100="","",N('THÁNG 7'!$O100))</f>
        <v/>
      </c>
      <c r="M243" s="0" t="str">
        <f aca="false">IF('THÁNG 7'!$C100="","",N('THÁNG 7'!$P100))</f>
        <v/>
      </c>
      <c r="N243" s="0" t="str">
        <f aca="false">IF('THÁNG 7'!$C100="","",N('THÁNG 7'!$Q100))</f>
        <v/>
      </c>
      <c r="O243" s="0" t="str">
        <f aca="false">IF('THÁNG 7'!$C100="","",N('THÁNG 7'!$R100))</f>
        <v/>
      </c>
      <c r="P243" s="0" t="str">
        <f aca="false">IF(OR('THÁNG 7'!$C100="",'THÁNG 7'!$T100=""),"",'THÁNG 7'!$T100)</f>
        <v/>
      </c>
      <c r="Q243" s="0" t="str">
        <f aca="false">IF(OR('THÁNG 7'!$C100="",'THÁNG 7'!$U100=""),"",'THÁNG 7'!$U100)</f>
        <v/>
      </c>
      <c r="R243" s="0" t="str">
        <f aca="false">IF('THÁNG 7'!$C100="","",'THÁNG 7'!$W100&amp;"")</f>
        <v/>
      </c>
      <c r="S243" s="0" t="str">
        <f aca="false">IF('THÁNG 7'!$C100="","",'THÁNG 7'!$S100&amp;"")</f>
        <v/>
      </c>
      <c r="T243" s="0" t="str">
        <f aca="false">IF(N($O243)&gt;0,COUNTIF($O$3:$O243,"&gt;0"),"")</f>
        <v/>
      </c>
      <c r="U243" s="0" t="str">
        <f aca="false">IF(AND(N($J243)&gt;0,N($K243)&gt;0),COUNTIFS($J$3:$J243,"&gt;0",$K$3:$K243,"&gt;0"),"")</f>
        <v/>
      </c>
      <c r="V243" s="0" t="str">
        <f aca="false">IF(AND(N($J243)&gt;0,N($K243)=0),COUNTIFS($J$3:$J243,"&gt;0",$K$3:$K243,"&lt;=0"),"")</f>
        <v/>
      </c>
      <c r="W243" s="0" t="str">
        <f aca="false">IF($C243="","",IF(COUNTIF($C$3:$C243,$C243)&gt;1,"",MAX($W$2:W242)+1))</f>
        <v/>
      </c>
      <c r="X243" s="0" t="str">
        <f aca="false">IF($H243="","",IF(COUNTIF($H$3:$H243,$H243)&gt;1,"",MAX($X$2:X242)+1))</f>
        <v/>
      </c>
      <c r="Y243" s="0" t="str">
        <f aca="false">IF(AND(N($M243)&gt;0,N($O243)&lt;=0),COUNTIFS($M$3:$M243,"&gt;0",$O$3:$O243,"&lt;=0"),"")</f>
        <v/>
      </c>
      <c r="Z243" s="30" t="n">
        <f aca="false">IF(OR('THÁNG 7'!$C100="",'THÁNG 7'!$B100=""),0,'THÁNG 7'!$B100)</f>
        <v>0</v>
      </c>
    </row>
    <row r="244" customFormat="false" ht="15" hidden="false" customHeight="false" outlineLevel="0" collapsed="false">
      <c r="A244" s="0" t="n">
        <v>7</v>
      </c>
      <c r="B244" s="29" t="str">
        <f aca="false">IF(OR('THÁNG 7'!$C101="",'THÁNG 7'!$B101=""),"",'THÁNG 7'!$B101)</f>
        <v/>
      </c>
      <c r="C244" s="0" t="str">
        <f aca="false">IF('THÁNG 7'!$C101="","",'THÁNG 7'!$C101)</f>
        <v/>
      </c>
      <c r="D244" s="0" t="str">
        <f aca="false">IF('THÁNG 7'!$C101="","",'THÁNG 7'!$D101&amp;"")</f>
        <v/>
      </c>
      <c r="E244" s="0" t="str">
        <f aca="false">IF('THÁNG 7'!$C101="","",'THÁNG 7'!$E101&amp;"")</f>
        <v/>
      </c>
      <c r="F244" s="0" t="str">
        <f aca="false">IF('THÁNG 7'!$C101="","",'THÁNG 7'!$F101&amp;"")</f>
        <v/>
      </c>
      <c r="G244" s="0" t="str">
        <f aca="false">IF('THÁNG 7'!$C101="","",'THÁNG 7'!$G101&amp;"")</f>
        <v/>
      </c>
      <c r="H244" s="0" t="str">
        <f aca="false">IF('THÁNG 7'!$C101="","",'THÁNG 7'!$H101&amp;"")</f>
        <v/>
      </c>
      <c r="I244" s="0" t="str">
        <f aca="false">IF('THÁNG 7'!$C101="","",N('THÁNG 7'!$I101))</f>
        <v/>
      </c>
      <c r="J244" s="0" t="str">
        <f aca="false">IF('THÁNG 7'!$C101="","",N('THÁNG 7'!$L101))</f>
        <v/>
      </c>
      <c r="K244" s="0" t="str">
        <f aca="false">IF('THÁNG 7'!$C101="","",N('THÁNG 7'!$N101))</f>
        <v/>
      </c>
      <c r="L244" s="0" t="str">
        <f aca="false">IF('THÁNG 7'!$C101="","",N('THÁNG 7'!$O101))</f>
        <v/>
      </c>
      <c r="M244" s="0" t="str">
        <f aca="false">IF('THÁNG 7'!$C101="","",N('THÁNG 7'!$P101))</f>
        <v/>
      </c>
      <c r="N244" s="0" t="str">
        <f aca="false">IF('THÁNG 7'!$C101="","",N('THÁNG 7'!$Q101))</f>
        <v/>
      </c>
      <c r="O244" s="0" t="str">
        <f aca="false">IF('THÁNG 7'!$C101="","",N('THÁNG 7'!$R101))</f>
        <v/>
      </c>
      <c r="P244" s="0" t="str">
        <f aca="false">IF(OR('THÁNG 7'!$C101="",'THÁNG 7'!$T101=""),"",'THÁNG 7'!$T101)</f>
        <v/>
      </c>
      <c r="Q244" s="0" t="str">
        <f aca="false">IF(OR('THÁNG 7'!$C101="",'THÁNG 7'!$U101=""),"",'THÁNG 7'!$U101)</f>
        <v/>
      </c>
      <c r="R244" s="0" t="str">
        <f aca="false">IF('THÁNG 7'!$C101="","",'THÁNG 7'!$W101&amp;"")</f>
        <v/>
      </c>
      <c r="S244" s="0" t="str">
        <f aca="false">IF('THÁNG 7'!$C101="","",'THÁNG 7'!$S101&amp;"")</f>
        <v/>
      </c>
      <c r="T244" s="0" t="str">
        <f aca="false">IF(N($O244)&gt;0,COUNTIF($O$3:$O244,"&gt;0"),"")</f>
        <v/>
      </c>
      <c r="U244" s="0" t="str">
        <f aca="false">IF(AND(N($J244)&gt;0,N($K244)&gt;0),COUNTIFS($J$3:$J244,"&gt;0",$K$3:$K244,"&gt;0"),"")</f>
        <v/>
      </c>
      <c r="V244" s="0" t="str">
        <f aca="false">IF(AND(N($J244)&gt;0,N($K244)=0),COUNTIFS($J$3:$J244,"&gt;0",$K$3:$K244,"&lt;=0"),"")</f>
        <v/>
      </c>
      <c r="W244" s="0" t="str">
        <f aca="false">IF($C244="","",IF(COUNTIF($C$3:$C244,$C244)&gt;1,"",MAX($W$2:W243)+1))</f>
        <v/>
      </c>
      <c r="X244" s="0" t="str">
        <f aca="false">IF($H244="","",IF(COUNTIF($H$3:$H244,$H244)&gt;1,"",MAX($X$2:X243)+1))</f>
        <v/>
      </c>
      <c r="Y244" s="0" t="str">
        <f aca="false">IF(AND(N($M244)&gt;0,N($O244)&lt;=0),COUNTIFS($M$3:$M244,"&gt;0",$O$3:$O244,"&lt;=0"),"")</f>
        <v/>
      </c>
      <c r="Z244" s="30" t="n">
        <f aca="false">IF(OR('THÁNG 7'!$C101="",'THÁNG 7'!$B101=""),0,'THÁNG 7'!$B101)</f>
        <v>0</v>
      </c>
    </row>
    <row r="245" customFormat="false" ht="15" hidden="false" customHeight="false" outlineLevel="0" collapsed="false">
      <c r="A245" s="0" t="n">
        <v>7</v>
      </c>
      <c r="B245" s="29" t="str">
        <f aca="false">IF(OR('THÁNG 7'!$C102="",'THÁNG 7'!$B102=""),"",'THÁNG 7'!$B102)</f>
        <v/>
      </c>
      <c r="C245" s="0" t="str">
        <f aca="false">IF('THÁNG 7'!$C102="","",'THÁNG 7'!$C102)</f>
        <v/>
      </c>
      <c r="D245" s="0" t="str">
        <f aca="false">IF('THÁNG 7'!$C102="","",'THÁNG 7'!$D102&amp;"")</f>
        <v/>
      </c>
      <c r="E245" s="0" t="str">
        <f aca="false">IF('THÁNG 7'!$C102="","",'THÁNG 7'!$E102&amp;"")</f>
        <v/>
      </c>
      <c r="F245" s="0" t="str">
        <f aca="false">IF('THÁNG 7'!$C102="","",'THÁNG 7'!$F102&amp;"")</f>
        <v/>
      </c>
      <c r="G245" s="0" t="str">
        <f aca="false">IF('THÁNG 7'!$C102="","",'THÁNG 7'!$G102&amp;"")</f>
        <v/>
      </c>
      <c r="H245" s="0" t="str">
        <f aca="false">IF('THÁNG 7'!$C102="","",'THÁNG 7'!$H102&amp;"")</f>
        <v/>
      </c>
      <c r="I245" s="0" t="str">
        <f aca="false">IF('THÁNG 7'!$C102="","",N('THÁNG 7'!$I102))</f>
        <v/>
      </c>
      <c r="J245" s="0" t="str">
        <f aca="false">IF('THÁNG 7'!$C102="","",N('THÁNG 7'!$L102))</f>
        <v/>
      </c>
      <c r="K245" s="0" t="str">
        <f aca="false">IF('THÁNG 7'!$C102="","",N('THÁNG 7'!$N102))</f>
        <v/>
      </c>
      <c r="L245" s="0" t="str">
        <f aca="false">IF('THÁNG 7'!$C102="","",N('THÁNG 7'!$O102))</f>
        <v/>
      </c>
      <c r="M245" s="0" t="str">
        <f aca="false">IF('THÁNG 7'!$C102="","",N('THÁNG 7'!$P102))</f>
        <v/>
      </c>
      <c r="N245" s="0" t="str">
        <f aca="false">IF('THÁNG 7'!$C102="","",N('THÁNG 7'!$Q102))</f>
        <v/>
      </c>
      <c r="O245" s="0" t="str">
        <f aca="false">IF('THÁNG 7'!$C102="","",N('THÁNG 7'!$R102))</f>
        <v/>
      </c>
      <c r="P245" s="0" t="str">
        <f aca="false">IF(OR('THÁNG 7'!$C102="",'THÁNG 7'!$T102=""),"",'THÁNG 7'!$T102)</f>
        <v/>
      </c>
      <c r="Q245" s="0" t="str">
        <f aca="false">IF(OR('THÁNG 7'!$C102="",'THÁNG 7'!$U102=""),"",'THÁNG 7'!$U102)</f>
        <v/>
      </c>
      <c r="R245" s="0" t="str">
        <f aca="false">IF('THÁNG 7'!$C102="","",'THÁNG 7'!$W102&amp;"")</f>
        <v/>
      </c>
      <c r="S245" s="0" t="str">
        <f aca="false">IF('THÁNG 7'!$C102="","",'THÁNG 7'!$S102&amp;"")</f>
        <v/>
      </c>
      <c r="T245" s="0" t="str">
        <f aca="false">IF(N($O245)&gt;0,COUNTIF($O$3:$O245,"&gt;0"),"")</f>
        <v/>
      </c>
      <c r="U245" s="0" t="str">
        <f aca="false">IF(AND(N($J245)&gt;0,N($K245)&gt;0),COUNTIFS($J$3:$J245,"&gt;0",$K$3:$K245,"&gt;0"),"")</f>
        <v/>
      </c>
      <c r="V245" s="0" t="str">
        <f aca="false">IF(AND(N($J245)&gt;0,N($K245)=0),COUNTIFS($J$3:$J245,"&gt;0",$K$3:$K245,"&lt;=0"),"")</f>
        <v/>
      </c>
      <c r="W245" s="0" t="str">
        <f aca="false">IF($C245="","",IF(COUNTIF($C$3:$C245,$C245)&gt;1,"",MAX($W$2:W244)+1))</f>
        <v/>
      </c>
      <c r="X245" s="0" t="str">
        <f aca="false">IF($H245="","",IF(COUNTIF($H$3:$H245,$H245)&gt;1,"",MAX($X$2:X244)+1))</f>
        <v/>
      </c>
      <c r="Y245" s="0" t="str">
        <f aca="false">IF(AND(N($M245)&gt;0,N($O245)&lt;=0),COUNTIFS($M$3:$M245,"&gt;0",$O$3:$O245,"&lt;=0"),"")</f>
        <v/>
      </c>
      <c r="Z245" s="30" t="n">
        <f aca="false">IF(OR('THÁNG 7'!$C102="",'THÁNG 7'!$B102=""),0,'THÁNG 7'!$B102)</f>
        <v>0</v>
      </c>
    </row>
    <row r="246" customFormat="false" ht="15" hidden="false" customHeight="false" outlineLevel="0" collapsed="false">
      <c r="A246" s="0" t="n">
        <v>7</v>
      </c>
      <c r="B246" s="29" t="str">
        <f aca="false">IF(OR('THÁNG 7'!$C103="",'THÁNG 7'!$B103=""),"",'THÁNG 7'!$B103)</f>
        <v/>
      </c>
      <c r="C246" s="0" t="str">
        <f aca="false">IF('THÁNG 7'!$C103="","",'THÁNG 7'!$C103)</f>
        <v/>
      </c>
      <c r="D246" s="0" t="str">
        <f aca="false">IF('THÁNG 7'!$C103="","",'THÁNG 7'!$D103&amp;"")</f>
        <v/>
      </c>
      <c r="E246" s="0" t="str">
        <f aca="false">IF('THÁNG 7'!$C103="","",'THÁNG 7'!$E103&amp;"")</f>
        <v/>
      </c>
      <c r="F246" s="0" t="str">
        <f aca="false">IF('THÁNG 7'!$C103="","",'THÁNG 7'!$F103&amp;"")</f>
        <v/>
      </c>
      <c r="G246" s="0" t="str">
        <f aca="false">IF('THÁNG 7'!$C103="","",'THÁNG 7'!$G103&amp;"")</f>
        <v/>
      </c>
      <c r="H246" s="0" t="str">
        <f aca="false">IF('THÁNG 7'!$C103="","",'THÁNG 7'!$H103&amp;"")</f>
        <v/>
      </c>
      <c r="I246" s="0" t="str">
        <f aca="false">IF('THÁNG 7'!$C103="","",N('THÁNG 7'!$I103))</f>
        <v/>
      </c>
      <c r="J246" s="0" t="str">
        <f aca="false">IF('THÁNG 7'!$C103="","",N('THÁNG 7'!$L103))</f>
        <v/>
      </c>
      <c r="K246" s="0" t="str">
        <f aca="false">IF('THÁNG 7'!$C103="","",N('THÁNG 7'!$N103))</f>
        <v/>
      </c>
      <c r="L246" s="0" t="str">
        <f aca="false">IF('THÁNG 7'!$C103="","",N('THÁNG 7'!$O103))</f>
        <v/>
      </c>
      <c r="M246" s="0" t="str">
        <f aca="false">IF('THÁNG 7'!$C103="","",N('THÁNG 7'!$P103))</f>
        <v/>
      </c>
      <c r="N246" s="0" t="str">
        <f aca="false">IF('THÁNG 7'!$C103="","",N('THÁNG 7'!$Q103))</f>
        <v/>
      </c>
      <c r="O246" s="0" t="str">
        <f aca="false">IF('THÁNG 7'!$C103="","",N('THÁNG 7'!$R103))</f>
        <v/>
      </c>
      <c r="P246" s="0" t="str">
        <f aca="false">IF(OR('THÁNG 7'!$C103="",'THÁNG 7'!$T103=""),"",'THÁNG 7'!$T103)</f>
        <v/>
      </c>
      <c r="Q246" s="0" t="str">
        <f aca="false">IF(OR('THÁNG 7'!$C103="",'THÁNG 7'!$U103=""),"",'THÁNG 7'!$U103)</f>
        <v/>
      </c>
      <c r="R246" s="0" t="str">
        <f aca="false">IF('THÁNG 7'!$C103="","",'THÁNG 7'!$W103&amp;"")</f>
        <v/>
      </c>
      <c r="S246" s="0" t="str">
        <f aca="false">IF('THÁNG 7'!$C103="","",'THÁNG 7'!$S103&amp;"")</f>
        <v/>
      </c>
      <c r="T246" s="0" t="str">
        <f aca="false">IF(N($O246)&gt;0,COUNTIF($O$3:$O246,"&gt;0"),"")</f>
        <v/>
      </c>
      <c r="U246" s="0" t="str">
        <f aca="false">IF(AND(N($J246)&gt;0,N($K246)&gt;0),COUNTIFS($J$3:$J246,"&gt;0",$K$3:$K246,"&gt;0"),"")</f>
        <v/>
      </c>
      <c r="V246" s="0" t="str">
        <f aca="false">IF(AND(N($J246)&gt;0,N($K246)=0),COUNTIFS($J$3:$J246,"&gt;0",$K$3:$K246,"&lt;=0"),"")</f>
        <v/>
      </c>
      <c r="W246" s="0" t="str">
        <f aca="false">IF($C246="","",IF(COUNTIF($C$3:$C246,$C246)&gt;1,"",MAX($W$2:W245)+1))</f>
        <v/>
      </c>
      <c r="X246" s="0" t="str">
        <f aca="false">IF($H246="","",IF(COUNTIF($H$3:$H246,$H246)&gt;1,"",MAX($X$2:X245)+1))</f>
        <v/>
      </c>
      <c r="Y246" s="0" t="str">
        <f aca="false">IF(AND(N($M246)&gt;0,N($O246)&lt;=0),COUNTIFS($M$3:$M246,"&gt;0",$O$3:$O246,"&lt;=0"),"")</f>
        <v/>
      </c>
      <c r="Z246" s="30" t="n">
        <f aca="false">IF(OR('THÁNG 7'!$C103="",'THÁNG 7'!$B103=""),0,'THÁNG 7'!$B103)</f>
        <v>0</v>
      </c>
    </row>
    <row r="247" customFormat="false" ht="15" hidden="false" customHeight="false" outlineLevel="0" collapsed="false">
      <c r="A247" s="0" t="n">
        <v>7</v>
      </c>
      <c r="B247" s="29" t="str">
        <f aca="false">IF(OR('THÁNG 7'!$C104="",'THÁNG 7'!$B104=""),"",'THÁNG 7'!$B104)</f>
        <v/>
      </c>
      <c r="C247" s="0" t="str">
        <f aca="false">IF('THÁNG 7'!$C104="","",'THÁNG 7'!$C104)</f>
        <v/>
      </c>
      <c r="D247" s="0" t="str">
        <f aca="false">IF('THÁNG 7'!$C104="","",'THÁNG 7'!$D104&amp;"")</f>
        <v/>
      </c>
      <c r="E247" s="0" t="str">
        <f aca="false">IF('THÁNG 7'!$C104="","",'THÁNG 7'!$E104&amp;"")</f>
        <v/>
      </c>
      <c r="F247" s="0" t="str">
        <f aca="false">IF('THÁNG 7'!$C104="","",'THÁNG 7'!$F104&amp;"")</f>
        <v/>
      </c>
      <c r="G247" s="0" t="str">
        <f aca="false">IF('THÁNG 7'!$C104="","",'THÁNG 7'!$G104&amp;"")</f>
        <v/>
      </c>
      <c r="H247" s="0" t="str">
        <f aca="false">IF('THÁNG 7'!$C104="","",'THÁNG 7'!$H104&amp;"")</f>
        <v/>
      </c>
      <c r="I247" s="0" t="str">
        <f aca="false">IF('THÁNG 7'!$C104="","",N('THÁNG 7'!$I104))</f>
        <v/>
      </c>
      <c r="J247" s="0" t="str">
        <f aca="false">IF('THÁNG 7'!$C104="","",N('THÁNG 7'!$L104))</f>
        <v/>
      </c>
      <c r="K247" s="0" t="str">
        <f aca="false">IF('THÁNG 7'!$C104="","",N('THÁNG 7'!$N104))</f>
        <v/>
      </c>
      <c r="L247" s="0" t="str">
        <f aca="false">IF('THÁNG 7'!$C104="","",N('THÁNG 7'!$O104))</f>
        <v/>
      </c>
      <c r="M247" s="0" t="str">
        <f aca="false">IF('THÁNG 7'!$C104="","",N('THÁNG 7'!$P104))</f>
        <v/>
      </c>
      <c r="N247" s="0" t="str">
        <f aca="false">IF('THÁNG 7'!$C104="","",N('THÁNG 7'!$Q104))</f>
        <v/>
      </c>
      <c r="O247" s="0" t="str">
        <f aca="false">IF('THÁNG 7'!$C104="","",N('THÁNG 7'!$R104))</f>
        <v/>
      </c>
      <c r="P247" s="0" t="str">
        <f aca="false">IF(OR('THÁNG 7'!$C104="",'THÁNG 7'!$T104=""),"",'THÁNG 7'!$T104)</f>
        <v/>
      </c>
      <c r="Q247" s="0" t="str">
        <f aca="false">IF(OR('THÁNG 7'!$C104="",'THÁNG 7'!$U104=""),"",'THÁNG 7'!$U104)</f>
        <v/>
      </c>
      <c r="R247" s="0" t="str">
        <f aca="false">IF('THÁNG 7'!$C104="","",'THÁNG 7'!$W104&amp;"")</f>
        <v/>
      </c>
      <c r="S247" s="0" t="str">
        <f aca="false">IF('THÁNG 7'!$C104="","",'THÁNG 7'!$S104&amp;"")</f>
        <v/>
      </c>
      <c r="T247" s="0" t="str">
        <f aca="false">IF(N($O247)&gt;0,COUNTIF($O$3:$O247,"&gt;0"),"")</f>
        <v/>
      </c>
      <c r="U247" s="0" t="str">
        <f aca="false">IF(AND(N($J247)&gt;0,N($K247)&gt;0),COUNTIFS($J$3:$J247,"&gt;0",$K$3:$K247,"&gt;0"),"")</f>
        <v/>
      </c>
      <c r="V247" s="0" t="str">
        <f aca="false">IF(AND(N($J247)&gt;0,N($K247)=0),COUNTIFS($J$3:$J247,"&gt;0",$K$3:$K247,"&lt;=0"),"")</f>
        <v/>
      </c>
      <c r="W247" s="0" t="str">
        <f aca="false">IF($C247="","",IF(COUNTIF($C$3:$C247,$C247)&gt;1,"",MAX($W$2:W246)+1))</f>
        <v/>
      </c>
      <c r="X247" s="0" t="str">
        <f aca="false">IF($H247="","",IF(COUNTIF($H$3:$H247,$H247)&gt;1,"",MAX($X$2:X246)+1))</f>
        <v/>
      </c>
      <c r="Y247" s="0" t="str">
        <f aca="false">IF(AND(N($M247)&gt;0,N($O247)&lt;=0),COUNTIFS($M$3:$M247,"&gt;0",$O$3:$O247,"&lt;=0"),"")</f>
        <v/>
      </c>
      <c r="Z247" s="30" t="n">
        <f aca="false">IF(OR('THÁNG 7'!$C104="",'THÁNG 7'!$B104=""),0,'THÁNG 7'!$B104)</f>
        <v>0</v>
      </c>
    </row>
    <row r="248" customFormat="false" ht="15" hidden="false" customHeight="false" outlineLevel="0" collapsed="false">
      <c r="A248" s="0" t="n">
        <v>7</v>
      </c>
      <c r="B248" s="29" t="str">
        <f aca="false">IF(OR('THÁNG 7'!$C105="",'THÁNG 7'!$B105=""),"",'THÁNG 7'!$B105)</f>
        <v/>
      </c>
      <c r="C248" s="0" t="str">
        <f aca="false">IF('THÁNG 7'!$C105="","",'THÁNG 7'!$C105)</f>
        <v/>
      </c>
      <c r="D248" s="0" t="str">
        <f aca="false">IF('THÁNG 7'!$C105="","",'THÁNG 7'!$D105&amp;"")</f>
        <v/>
      </c>
      <c r="E248" s="0" t="str">
        <f aca="false">IF('THÁNG 7'!$C105="","",'THÁNG 7'!$E105&amp;"")</f>
        <v/>
      </c>
      <c r="F248" s="0" t="str">
        <f aca="false">IF('THÁNG 7'!$C105="","",'THÁNG 7'!$F105&amp;"")</f>
        <v/>
      </c>
      <c r="G248" s="0" t="str">
        <f aca="false">IF('THÁNG 7'!$C105="","",'THÁNG 7'!$G105&amp;"")</f>
        <v/>
      </c>
      <c r="H248" s="0" t="str">
        <f aca="false">IF('THÁNG 7'!$C105="","",'THÁNG 7'!$H105&amp;"")</f>
        <v/>
      </c>
      <c r="I248" s="0" t="str">
        <f aca="false">IF('THÁNG 7'!$C105="","",N('THÁNG 7'!$I105))</f>
        <v/>
      </c>
      <c r="J248" s="0" t="str">
        <f aca="false">IF('THÁNG 7'!$C105="","",N('THÁNG 7'!$L105))</f>
        <v/>
      </c>
      <c r="K248" s="0" t="str">
        <f aca="false">IF('THÁNG 7'!$C105="","",N('THÁNG 7'!$N105))</f>
        <v/>
      </c>
      <c r="L248" s="0" t="str">
        <f aca="false">IF('THÁNG 7'!$C105="","",N('THÁNG 7'!$O105))</f>
        <v/>
      </c>
      <c r="M248" s="0" t="str">
        <f aca="false">IF('THÁNG 7'!$C105="","",N('THÁNG 7'!$P105))</f>
        <v/>
      </c>
      <c r="N248" s="0" t="str">
        <f aca="false">IF('THÁNG 7'!$C105="","",N('THÁNG 7'!$Q105))</f>
        <v/>
      </c>
      <c r="O248" s="0" t="str">
        <f aca="false">IF('THÁNG 7'!$C105="","",N('THÁNG 7'!$R105))</f>
        <v/>
      </c>
      <c r="P248" s="0" t="str">
        <f aca="false">IF(OR('THÁNG 7'!$C105="",'THÁNG 7'!$T105=""),"",'THÁNG 7'!$T105)</f>
        <v/>
      </c>
      <c r="Q248" s="0" t="str">
        <f aca="false">IF(OR('THÁNG 7'!$C105="",'THÁNG 7'!$U105=""),"",'THÁNG 7'!$U105)</f>
        <v/>
      </c>
      <c r="R248" s="0" t="str">
        <f aca="false">IF('THÁNG 7'!$C105="","",'THÁNG 7'!$W105&amp;"")</f>
        <v/>
      </c>
      <c r="S248" s="0" t="str">
        <f aca="false">IF('THÁNG 7'!$C105="","",'THÁNG 7'!$S105&amp;"")</f>
        <v/>
      </c>
      <c r="T248" s="0" t="str">
        <f aca="false">IF(N($O248)&gt;0,COUNTIF($O$3:$O248,"&gt;0"),"")</f>
        <v/>
      </c>
      <c r="U248" s="0" t="str">
        <f aca="false">IF(AND(N($J248)&gt;0,N($K248)&gt;0),COUNTIFS($J$3:$J248,"&gt;0",$K$3:$K248,"&gt;0"),"")</f>
        <v/>
      </c>
      <c r="V248" s="0" t="str">
        <f aca="false">IF(AND(N($J248)&gt;0,N($K248)=0),COUNTIFS($J$3:$J248,"&gt;0",$K$3:$K248,"&lt;=0"),"")</f>
        <v/>
      </c>
      <c r="W248" s="0" t="str">
        <f aca="false">IF($C248="","",IF(COUNTIF($C$3:$C248,$C248)&gt;1,"",MAX($W$2:W247)+1))</f>
        <v/>
      </c>
      <c r="X248" s="0" t="str">
        <f aca="false">IF($H248="","",IF(COUNTIF($H$3:$H248,$H248)&gt;1,"",MAX($X$2:X247)+1))</f>
        <v/>
      </c>
      <c r="Y248" s="0" t="str">
        <f aca="false">IF(AND(N($M248)&gt;0,N($O248)&lt;=0),COUNTIFS($M$3:$M248,"&gt;0",$O$3:$O248,"&lt;=0"),"")</f>
        <v/>
      </c>
      <c r="Z248" s="30" t="n">
        <f aca="false">IF(OR('THÁNG 7'!$C105="",'THÁNG 7'!$B105=""),0,'THÁNG 7'!$B105)</f>
        <v>0</v>
      </c>
    </row>
    <row r="249" customFormat="false" ht="15" hidden="false" customHeight="false" outlineLevel="0" collapsed="false">
      <c r="A249" s="0" t="n">
        <v>7</v>
      </c>
      <c r="B249" s="29" t="str">
        <f aca="false">IF(OR('THÁNG 7'!$C106="",'THÁNG 7'!$B106=""),"",'THÁNG 7'!$B106)</f>
        <v/>
      </c>
      <c r="C249" s="0" t="str">
        <f aca="false">IF('THÁNG 7'!$C106="","",'THÁNG 7'!$C106)</f>
        <v/>
      </c>
      <c r="D249" s="0" t="str">
        <f aca="false">IF('THÁNG 7'!$C106="","",'THÁNG 7'!$D106&amp;"")</f>
        <v/>
      </c>
      <c r="E249" s="0" t="str">
        <f aca="false">IF('THÁNG 7'!$C106="","",'THÁNG 7'!$E106&amp;"")</f>
        <v/>
      </c>
      <c r="F249" s="0" t="str">
        <f aca="false">IF('THÁNG 7'!$C106="","",'THÁNG 7'!$F106&amp;"")</f>
        <v/>
      </c>
      <c r="G249" s="0" t="str">
        <f aca="false">IF('THÁNG 7'!$C106="","",'THÁNG 7'!$G106&amp;"")</f>
        <v/>
      </c>
      <c r="H249" s="0" t="str">
        <f aca="false">IF('THÁNG 7'!$C106="","",'THÁNG 7'!$H106&amp;"")</f>
        <v/>
      </c>
      <c r="I249" s="0" t="str">
        <f aca="false">IF('THÁNG 7'!$C106="","",N('THÁNG 7'!$I106))</f>
        <v/>
      </c>
      <c r="J249" s="0" t="str">
        <f aca="false">IF('THÁNG 7'!$C106="","",N('THÁNG 7'!$L106))</f>
        <v/>
      </c>
      <c r="K249" s="0" t="str">
        <f aca="false">IF('THÁNG 7'!$C106="","",N('THÁNG 7'!$N106))</f>
        <v/>
      </c>
      <c r="L249" s="0" t="str">
        <f aca="false">IF('THÁNG 7'!$C106="","",N('THÁNG 7'!$O106))</f>
        <v/>
      </c>
      <c r="M249" s="0" t="str">
        <f aca="false">IF('THÁNG 7'!$C106="","",N('THÁNG 7'!$P106))</f>
        <v/>
      </c>
      <c r="N249" s="0" t="str">
        <f aca="false">IF('THÁNG 7'!$C106="","",N('THÁNG 7'!$Q106))</f>
        <v/>
      </c>
      <c r="O249" s="0" t="str">
        <f aca="false">IF('THÁNG 7'!$C106="","",N('THÁNG 7'!$R106))</f>
        <v/>
      </c>
      <c r="P249" s="0" t="str">
        <f aca="false">IF(OR('THÁNG 7'!$C106="",'THÁNG 7'!$T106=""),"",'THÁNG 7'!$T106)</f>
        <v/>
      </c>
      <c r="Q249" s="0" t="str">
        <f aca="false">IF(OR('THÁNG 7'!$C106="",'THÁNG 7'!$U106=""),"",'THÁNG 7'!$U106)</f>
        <v/>
      </c>
      <c r="R249" s="0" t="str">
        <f aca="false">IF('THÁNG 7'!$C106="","",'THÁNG 7'!$W106&amp;"")</f>
        <v/>
      </c>
      <c r="S249" s="0" t="str">
        <f aca="false">IF('THÁNG 7'!$C106="","",'THÁNG 7'!$S106&amp;"")</f>
        <v/>
      </c>
      <c r="T249" s="0" t="str">
        <f aca="false">IF(N($O249)&gt;0,COUNTIF($O$3:$O249,"&gt;0"),"")</f>
        <v/>
      </c>
      <c r="U249" s="0" t="str">
        <f aca="false">IF(AND(N($J249)&gt;0,N($K249)&gt;0),COUNTIFS($J$3:$J249,"&gt;0",$K$3:$K249,"&gt;0"),"")</f>
        <v/>
      </c>
      <c r="V249" s="0" t="str">
        <f aca="false">IF(AND(N($J249)&gt;0,N($K249)=0),COUNTIFS($J$3:$J249,"&gt;0",$K$3:$K249,"&lt;=0"),"")</f>
        <v/>
      </c>
      <c r="W249" s="0" t="str">
        <f aca="false">IF($C249="","",IF(COUNTIF($C$3:$C249,$C249)&gt;1,"",MAX($W$2:W248)+1))</f>
        <v/>
      </c>
      <c r="X249" s="0" t="str">
        <f aca="false">IF($H249="","",IF(COUNTIF($H$3:$H249,$H249)&gt;1,"",MAX($X$2:X248)+1))</f>
        <v/>
      </c>
      <c r="Y249" s="0" t="str">
        <f aca="false">IF(AND(N($M249)&gt;0,N($O249)&lt;=0),COUNTIFS($M$3:$M249,"&gt;0",$O$3:$O249,"&lt;=0"),"")</f>
        <v/>
      </c>
      <c r="Z249" s="30" t="n">
        <f aca="false">IF(OR('THÁNG 7'!$C106="",'THÁNG 7'!$B106=""),0,'THÁNG 7'!$B106)</f>
        <v>0</v>
      </c>
    </row>
    <row r="250" customFormat="false" ht="15" hidden="false" customHeight="false" outlineLevel="0" collapsed="false">
      <c r="A250" s="0" t="n">
        <v>7</v>
      </c>
      <c r="B250" s="29" t="str">
        <f aca="false">IF(OR('THÁNG 7'!$C107="",'THÁNG 7'!$B107=""),"",'THÁNG 7'!$B107)</f>
        <v/>
      </c>
      <c r="C250" s="0" t="str">
        <f aca="false">IF('THÁNG 7'!$C107="","",'THÁNG 7'!$C107)</f>
        <v/>
      </c>
      <c r="D250" s="0" t="str">
        <f aca="false">IF('THÁNG 7'!$C107="","",'THÁNG 7'!$D107&amp;"")</f>
        <v/>
      </c>
      <c r="E250" s="0" t="str">
        <f aca="false">IF('THÁNG 7'!$C107="","",'THÁNG 7'!$E107&amp;"")</f>
        <v/>
      </c>
      <c r="F250" s="0" t="str">
        <f aca="false">IF('THÁNG 7'!$C107="","",'THÁNG 7'!$F107&amp;"")</f>
        <v/>
      </c>
      <c r="G250" s="0" t="str">
        <f aca="false">IF('THÁNG 7'!$C107="","",'THÁNG 7'!$G107&amp;"")</f>
        <v/>
      </c>
      <c r="H250" s="0" t="str">
        <f aca="false">IF('THÁNG 7'!$C107="","",'THÁNG 7'!$H107&amp;"")</f>
        <v/>
      </c>
      <c r="I250" s="0" t="str">
        <f aca="false">IF('THÁNG 7'!$C107="","",N('THÁNG 7'!$I107))</f>
        <v/>
      </c>
      <c r="J250" s="0" t="str">
        <f aca="false">IF('THÁNG 7'!$C107="","",N('THÁNG 7'!$L107))</f>
        <v/>
      </c>
      <c r="K250" s="0" t="str">
        <f aca="false">IF('THÁNG 7'!$C107="","",N('THÁNG 7'!$N107))</f>
        <v/>
      </c>
      <c r="L250" s="0" t="str">
        <f aca="false">IF('THÁNG 7'!$C107="","",N('THÁNG 7'!$O107))</f>
        <v/>
      </c>
      <c r="M250" s="0" t="str">
        <f aca="false">IF('THÁNG 7'!$C107="","",N('THÁNG 7'!$P107))</f>
        <v/>
      </c>
      <c r="N250" s="0" t="str">
        <f aca="false">IF('THÁNG 7'!$C107="","",N('THÁNG 7'!$Q107))</f>
        <v/>
      </c>
      <c r="O250" s="0" t="str">
        <f aca="false">IF('THÁNG 7'!$C107="","",N('THÁNG 7'!$R107))</f>
        <v/>
      </c>
      <c r="P250" s="0" t="str">
        <f aca="false">IF(OR('THÁNG 7'!$C107="",'THÁNG 7'!$T107=""),"",'THÁNG 7'!$T107)</f>
        <v/>
      </c>
      <c r="Q250" s="0" t="str">
        <f aca="false">IF(OR('THÁNG 7'!$C107="",'THÁNG 7'!$U107=""),"",'THÁNG 7'!$U107)</f>
        <v/>
      </c>
      <c r="R250" s="0" t="str">
        <f aca="false">IF('THÁNG 7'!$C107="","",'THÁNG 7'!$W107&amp;"")</f>
        <v/>
      </c>
      <c r="S250" s="0" t="str">
        <f aca="false">IF('THÁNG 7'!$C107="","",'THÁNG 7'!$S107&amp;"")</f>
        <v/>
      </c>
      <c r="T250" s="0" t="str">
        <f aca="false">IF(N($O250)&gt;0,COUNTIF($O$3:$O250,"&gt;0"),"")</f>
        <v/>
      </c>
      <c r="U250" s="0" t="str">
        <f aca="false">IF(AND(N($J250)&gt;0,N($K250)&gt;0),COUNTIFS($J$3:$J250,"&gt;0",$K$3:$K250,"&gt;0"),"")</f>
        <v/>
      </c>
      <c r="V250" s="0" t="str">
        <f aca="false">IF(AND(N($J250)&gt;0,N($K250)=0),COUNTIFS($J$3:$J250,"&gt;0",$K$3:$K250,"&lt;=0"),"")</f>
        <v/>
      </c>
      <c r="W250" s="0" t="str">
        <f aca="false">IF($C250="","",IF(COUNTIF($C$3:$C250,$C250)&gt;1,"",MAX($W$2:W249)+1))</f>
        <v/>
      </c>
      <c r="X250" s="0" t="str">
        <f aca="false">IF($H250="","",IF(COUNTIF($H$3:$H250,$H250)&gt;1,"",MAX($X$2:X249)+1))</f>
        <v/>
      </c>
      <c r="Y250" s="0" t="str">
        <f aca="false">IF(AND(N($M250)&gt;0,N($O250)&lt;=0),COUNTIFS($M$3:$M250,"&gt;0",$O$3:$O250,"&lt;=0"),"")</f>
        <v/>
      </c>
      <c r="Z250" s="30" t="n">
        <f aca="false">IF(OR('THÁNG 7'!$C107="",'THÁNG 7'!$B107=""),0,'THÁNG 7'!$B107)</f>
        <v>0</v>
      </c>
    </row>
    <row r="251" customFormat="false" ht="15" hidden="false" customHeight="false" outlineLevel="0" collapsed="false">
      <c r="A251" s="0" t="n">
        <v>7</v>
      </c>
      <c r="B251" s="29" t="str">
        <f aca="false">IF(OR('THÁNG 7'!$C108="",'THÁNG 7'!$B108=""),"",'THÁNG 7'!$B108)</f>
        <v/>
      </c>
      <c r="C251" s="0" t="str">
        <f aca="false">IF('THÁNG 7'!$C108="","",'THÁNG 7'!$C108)</f>
        <v/>
      </c>
      <c r="D251" s="0" t="str">
        <f aca="false">IF('THÁNG 7'!$C108="","",'THÁNG 7'!$D108&amp;"")</f>
        <v/>
      </c>
      <c r="E251" s="0" t="str">
        <f aca="false">IF('THÁNG 7'!$C108="","",'THÁNG 7'!$E108&amp;"")</f>
        <v/>
      </c>
      <c r="F251" s="0" t="str">
        <f aca="false">IF('THÁNG 7'!$C108="","",'THÁNG 7'!$F108&amp;"")</f>
        <v/>
      </c>
      <c r="G251" s="0" t="str">
        <f aca="false">IF('THÁNG 7'!$C108="","",'THÁNG 7'!$G108&amp;"")</f>
        <v/>
      </c>
      <c r="H251" s="0" t="str">
        <f aca="false">IF('THÁNG 7'!$C108="","",'THÁNG 7'!$H108&amp;"")</f>
        <v/>
      </c>
      <c r="I251" s="0" t="str">
        <f aca="false">IF('THÁNG 7'!$C108="","",N('THÁNG 7'!$I108))</f>
        <v/>
      </c>
      <c r="J251" s="0" t="str">
        <f aca="false">IF('THÁNG 7'!$C108="","",N('THÁNG 7'!$L108))</f>
        <v/>
      </c>
      <c r="K251" s="0" t="str">
        <f aca="false">IF('THÁNG 7'!$C108="","",N('THÁNG 7'!$N108))</f>
        <v/>
      </c>
      <c r="L251" s="0" t="str">
        <f aca="false">IF('THÁNG 7'!$C108="","",N('THÁNG 7'!$O108))</f>
        <v/>
      </c>
      <c r="M251" s="0" t="str">
        <f aca="false">IF('THÁNG 7'!$C108="","",N('THÁNG 7'!$P108))</f>
        <v/>
      </c>
      <c r="N251" s="0" t="str">
        <f aca="false">IF('THÁNG 7'!$C108="","",N('THÁNG 7'!$Q108))</f>
        <v/>
      </c>
      <c r="O251" s="0" t="str">
        <f aca="false">IF('THÁNG 7'!$C108="","",N('THÁNG 7'!$R108))</f>
        <v/>
      </c>
      <c r="P251" s="0" t="str">
        <f aca="false">IF(OR('THÁNG 7'!$C108="",'THÁNG 7'!$T108=""),"",'THÁNG 7'!$T108)</f>
        <v/>
      </c>
      <c r="Q251" s="0" t="str">
        <f aca="false">IF(OR('THÁNG 7'!$C108="",'THÁNG 7'!$U108=""),"",'THÁNG 7'!$U108)</f>
        <v/>
      </c>
      <c r="R251" s="0" t="str">
        <f aca="false">IF('THÁNG 7'!$C108="","",'THÁNG 7'!$W108&amp;"")</f>
        <v/>
      </c>
      <c r="S251" s="0" t="str">
        <f aca="false">IF('THÁNG 7'!$C108="","",'THÁNG 7'!$S108&amp;"")</f>
        <v/>
      </c>
      <c r="T251" s="0" t="str">
        <f aca="false">IF(N($O251)&gt;0,COUNTIF($O$3:$O251,"&gt;0"),"")</f>
        <v/>
      </c>
      <c r="U251" s="0" t="str">
        <f aca="false">IF(AND(N($J251)&gt;0,N($K251)&gt;0),COUNTIFS($J$3:$J251,"&gt;0",$K$3:$K251,"&gt;0"),"")</f>
        <v/>
      </c>
      <c r="V251" s="0" t="str">
        <f aca="false">IF(AND(N($J251)&gt;0,N($K251)=0),COUNTIFS($J$3:$J251,"&gt;0",$K$3:$K251,"&lt;=0"),"")</f>
        <v/>
      </c>
      <c r="W251" s="0" t="str">
        <f aca="false">IF($C251="","",IF(COUNTIF($C$3:$C251,$C251)&gt;1,"",MAX($W$2:W250)+1))</f>
        <v/>
      </c>
      <c r="X251" s="0" t="str">
        <f aca="false">IF($H251="","",IF(COUNTIF($H$3:$H251,$H251)&gt;1,"",MAX($X$2:X250)+1))</f>
        <v/>
      </c>
      <c r="Y251" s="0" t="str">
        <f aca="false">IF(AND(N($M251)&gt;0,N($O251)&lt;=0),COUNTIFS($M$3:$M251,"&gt;0",$O$3:$O251,"&lt;=0"),"")</f>
        <v/>
      </c>
      <c r="Z251" s="30" t="n">
        <f aca="false">IF(OR('THÁNG 7'!$C108="",'THÁNG 7'!$B108=""),0,'THÁNG 7'!$B108)</f>
        <v>0</v>
      </c>
    </row>
    <row r="252" customFormat="false" ht="15" hidden="false" customHeight="false" outlineLevel="0" collapsed="false">
      <c r="A252" s="0" t="n">
        <v>7</v>
      </c>
      <c r="B252" s="29" t="str">
        <f aca="false">IF(OR('THÁNG 7'!$C109="",'THÁNG 7'!$B109=""),"",'THÁNG 7'!$B109)</f>
        <v/>
      </c>
      <c r="C252" s="0" t="str">
        <f aca="false">IF('THÁNG 7'!$C109="","",'THÁNG 7'!$C109)</f>
        <v/>
      </c>
      <c r="D252" s="0" t="str">
        <f aca="false">IF('THÁNG 7'!$C109="","",'THÁNG 7'!$D109&amp;"")</f>
        <v/>
      </c>
      <c r="E252" s="0" t="str">
        <f aca="false">IF('THÁNG 7'!$C109="","",'THÁNG 7'!$E109&amp;"")</f>
        <v/>
      </c>
      <c r="F252" s="0" t="str">
        <f aca="false">IF('THÁNG 7'!$C109="","",'THÁNG 7'!$F109&amp;"")</f>
        <v/>
      </c>
      <c r="G252" s="0" t="str">
        <f aca="false">IF('THÁNG 7'!$C109="","",'THÁNG 7'!$G109&amp;"")</f>
        <v/>
      </c>
      <c r="H252" s="0" t="str">
        <f aca="false">IF('THÁNG 7'!$C109="","",'THÁNG 7'!$H109&amp;"")</f>
        <v/>
      </c>
      <c r="I252" s="0" t="str">
        <f aca="false">IF('THÁNG 7'!$C109="","",N('THÁNG 7'!$I109))</f>
        <v/>
      </c>
      <c r="J252" s="0" t="str">
        <f aca="false">IF('THÁNG 7'!$C109="","",N('THÁNG 7'!$L109))</f>
        <v/>
      </c>
      <c r="K252" s="0" t="str">
        <f aca="false">IF('THÁNG 7'!$C109="","",N('THÁNG 7'!$N109))</f>
        <v/>
      </c>
      <c r="L252" s="0" t="str">
        <f aca="false">IF('THÁNG 7'!$C109="","",N('THÁNG 7'!$O109))</f>
        <v/>
      </c>
      <c r="M252" s="0" t="str">
        <f aca="false">IF('THÁNG 7'!$C109="","",N('THÁNG 7'!$P109))</f>
        <v/>
      </c>
      <c r="N252" s="0" t="str">
        <f aca="false">IF('THÁNG 7'!$C109="","",N('THÁNG 7'!$Q109))</f>
        <v/>
      </c>
      <c r="O252" s="0" t="str">
        <f aca="false">IF('THÁNG 7'!$C109="","",N('THÁNG 7'!$R109))</f>
        <v/>
      </c>
      <c r="P252" s="0" t="str">
        <f aca="false">IF(OR('THÁNG 7'!$C109="",'THÁNG 7'!$T109=""),"",'THÁNG 7'!$T109)</f>
        <v/>
      </c>
      <c r="Q252" s="0" t="str">
        <f aca="false">IF(OR('THÁNG 7'!$C109="",'THÁNG 7'!$U109=""),"",'THÁNG 7'!$U109)</f>
        <v/>
      </c>
      <c r="R252" s="0" t="str">
        <f aca="false">IF('THÁNG 7'!$C109="","",'THÁNG 7'!$W109&amp;"")</f>
        <v/>
      </c>
      <c r="S252" s="0" t="str">
        <f aca="false">IF('THÁNG 7'!$C109="","",'THÁNG 7'!$S109&amp;"")</f>
        <v/>
      </c>
      <c r="T252" s="0" t="str">
        <f aca="false">IF(N($O252)&gt;0,COUNTIF($O$3:$O252,"&gt;0"),"")</f>
        <v/>
      </c>
      <c r="U252" s="0" t="str">
        <f aca="false">IF(AND(N($J252)&gt;0,N($K252)&gt;0),COUNTIFS($J$3:$J252,"&gt;0",$K$3:$K252,"&gt;0"),"")</f>
        <v/>
      </c>
      <c r="V252" s="0" t="str">
        <f aca="false">IF(AND(N($J252)&gt;0,N($K252)=0),COUNTIFS($J$3:$J252,"&gt;0",$K$3:$K252,"&lt;=0"),"")</f>
        <v/>
      </c>
      <c r="W252" s="0" t="str">
        <f aca="false">IF($C252="","",IF(COUNTIF($C$3:$C252,$C252)&gt;1,"",MAX($W$2:W251)+1))</f>
        <v/>
      </c>
      <c r="X252" s="0" t="str">
        <f aca="false">IF($H252="","",IF(COUNTIF($H$3:$H252,$H252)&gt;1,"",MAX($X$2:X251)+1))</f>
        <v/>
      </c>
      <c r="Y252" s="0" t="str">
        <f aca="false">IF(AND(N($M252)&gt;0,N($O252)&lt;=0),COUNTIFS($M$3:$M252,"&gt;0",$O$3:$O252,"&lt;=0"),"")</f>
        <v/>
      </c>
      <c r="Z252" s="30" t="n">
        <f aca="false">IF(OR('THÁNG 7'!$C109="",'THÁNG 7'!$B109=""),0,'THÁNG 7'!$B109)</f>
        <v>0</v>
      </c>
    </row>
    <row r="253" customFormat="false" ht="15" hidden="false" customHeight="false" outlineLevel="0" collapsed="false">
      <c r="A253" s="0" t="n">
        <v>7</v>
      </c>
      <c r="B253" s="29" t="str">
        <f aca="false">IF(OR('THÁNG 7'!$C110="",'THÁNG 7'!$B110=""),"",'THÁNG 7'!$B110)</f>
        <v/>
      </c>
      <c r="C253" s="0" t="str">
        <f aca="false">IF('THÁNG 7'!$C110="","",'THÁNG 7'!$C110)</f>
        <v/>
      </c>
      <c r="D253" s="0" t="str">
        <f aca="false">IF('THÁNG 7'!$C110="","",'THÁNG 7'!$D110&amp;"")</f>
        <v/>
      </c>
      <c r="E253" s="0" t="str">
        <f aca="false">IF('THÁNG 7'!$C110="","",'THÁNG 7'!$E110&amp;"")</f>
        <v/>
      </c>
      <c r="F253" s="0" t="str">
        <f aca="false">IF('THÁNG 7'!$C110="","",'THÁNG 7'!$F110&amp;"")</f>
        <v/>
      </c>
      <c r="G253" s="0" t="str">
        <f aca="false">IF('THÁNG 7'!$C110="","",'THÁNG 7'!$G110&amp;"")</f>
        <v/>
      </c>
      <c r="H253" s="0" t="str">
        <f aca="false">IF('THÁNG 7'!$C110="","",'THÁNG 7'!$H110&amp;"")</f>
        <v/>
      </c>
      <c r="I253" s="0" t="str">
        <f aca="false">IF('THÁNG 7'!$C110="","",N('THÁNG 7'!$I110))</f>
        <v/>
      </c>
      <c r="J253" s="0" t="str">
        <f aca="false">IF('THÁNG 7'!$C110="","",N('THÁNG 7'!$L110))</f>
        <v/>
      </c>
      <c r="K253" s="0" t="str">
        <f aca="false">IF('THÁNG 7'!$C110="","",N('THÁNG 7'!$N110))</f>
        <v/>
      </c>
      <c r="L253" s="0" t="str">
        <f aca="false">IF('THÁNG 7'!$C110="","",N('THÁNG 7'!$O110))</f>
        <v/>
      </c>
      <c r="M253" s="0" t="str">
        <f aca="false">IF('THÁNG 7'!$C110="","",N('THÁNG 7'!$P110))</f>
        <v/>
      </c>
      <c r="N253" s="0" t="str">
        <f aca="false">IF('THÁNG 7'!$C110="","",N('THÁNG 7'!$Q110))</f>
        <v/>
      </c>
      <c r="O253" s="0" t="str">
        <f aca="false">IF('THÁNG 7'!$C110="","",N('THÁNG 7'!$R110))</f>
        <v/>
      </c>
      <c r="P253" s="0" t="str">
        <f aca="false">IF(OR('THÁNG 7'!$C110="",'THÁNG 7'!$T110=""),"",'THÁNG 7'!$T110)</f>
        <v/>
      </c>
      <c r="Q253" s="0" t="str">
        <f aca="false">IF(OR('THÁNG 7'!$C110="",'THÁNG 7'!$U110=""),"",'THÁNG 7'!$U110)</f>
        <v/>
      </c>
      <c r="R253" s="0" t="str">
        <f aca="false">IF('THÁNG 7'!$C110="","",'THÁNG 7'!$W110&amp;"")</f>
        <v/>
      </c>
      <c r="S253" s="0" t="str">
        <f aca="false">IF('THÁNG 7'!$C110="","",'THÁNG 7'!$S110&amp;"")</f>
        <v/>
      </c>
      <c r="T253" s="0" t="str">
        <f aca="false">IF(N($O253)&gt;0,COUNTIF($O$3:$O253,"&gt;0"),"")</f>
        <v/>
      </c>
      <c r="U253" s="0" t="str">
        <f aca="false">IF(AND(N($J253)&gt;0,N($K253)&gt;0),COUNTIFS($J$3:$J253,"&gt;0",$K$3:$K253,"&gt;0"),"")</f>
        <v/>
      </c>
      <c r="V253" s="0" t="str">
        <f aca="false">IF(AND(N($J253)&gt;0,N($K253)=0),COUNTIFS($J$3:$J253,"&gt;0",$K$3:$K253,"&lt;=0"),"")</f>
        <v/>
      </c>
      <c r="W253" s="0" t="str">
        <f aca="false">IF($C253="","",IF(COUNTIF($C$3:$C253,$C253)&gt;1,"",MAX($W$2:W252)+1))</f>
        <v/>
      </c>
      <c r="X253" s="0" t="str">
        <f aca="false">IF($H253="","",IF(COUNTIF($H$3:$H253,$H253)&gt;1,"",MAX($X$2:X252)+1))</f>
        <v/>
      </c>
      <c r="Y253" s="0" t="str">
        <f aca="false">IF(AND(N($M253)&gt;0,N($O253)&lt;=0),COUNTIFS($M$3:$M253,"&gt;0",$O$3:$O253,"&lt;=0"),"")</f>
        <v/>
      </c>
      <c r="Z253" s="30" t="n">
        <f aca="false">IF(OR('THÁNG 7'!$C110="",'THÁNG 7'!$B110=""),0,'THÁNG 7'!$B110)</f>
        <v>0</v>
      </c>
    </row>
    <row r="254" customFormat="false" ht="15" hidden="false" customHeight="false" outlineLevel="0" collapsed="false">
      <c r="A254" s="0" t="n">
        <v>7</v>
      </c>
      <c r="B254" s="29" t="str">
        <f aca="false">IF(OR('THÁNG 7'!$C111="",'THÁNG 7'!$B111=""),"",'THÁNG 7'!$B111)</f>
        <v/>
      </c>
      <c r="C254" s="0" t="str">
        <f aca="false">IF('THÁNG 7'!$C111="","",'THÁNG 7'!$C111)</f>
        <v/>
      </c>
      <c r="D254" s="0" t="str">
        <f aca="false">IF('THÁNG 7'!$C111="","",'THÁNG 7'!$D111&amp;"")</f>
        <v/>
      </c>
      <c r="E254" s="0" t="str">
        <f aca="false">IF('THÁNG 7'!$C111="","",'THÁNG 7'!$E111&amp;"")</f>
        <v/>
      </c>
      <c r="F254" s="0" t="str">
        <f aca="false">IF('THÁNG 7'!$C111="","",'THÁNG 7'!$F111&amp;"")</f>
        <v/>
      </c>
      <c r="G254" s="0" t="str">
        <f aca="false">IF('THÁNG 7'!$C111="","",'THÁNG 7'!$G111&amp;"")</f>
        <v/>
      </c>
      <c r="H254" s="0" t="str">
        <f aca="false">IF('THÁNG 7'!$C111="","",'THÁNG 7'!$H111&amp;"")</f>
        <v/>
      </c>
      <c r="I254" s="0" t="str">
        <f aca="false">IF('THÁNG 7'!$C111="","",N('THÁNG 7'!$I111))</f>
        <v/>
      </c>
      <c r="J254" s="0" t="str">
        <f aca="false">IF('THÁNG 7'!$C111="","",N('THÁNG 7'!$L111))</f>
        <v/>
      </c>
      <c r="K254" s="0" t="str">
        <f aca="false">IF('THÁNG 7'!$C111="","",N('THÁNG 7'!$N111))</f>
        <v/>
      </c>
      <c r="L254" s="0" t="str">
        <f aca="false">IF('THÁNG 7'!$C111="","",N('THÁNG 7'!$O111))</f>
        <v/>
      </c>
      <c r="M254" s="0" t="str">
        <f aca="false">IF('THÁNG 7'!$C111="","",N('THÁNG 7'!$P111))</f>
        <v/>
      </c>
      <c r="N254" s="0" t="str">
        <f aca="false">IF('THÁNG 7'!$C111="","",N('THÁNG 7'!$Q111))</f>
        <v/>
      </c>
      <c r="O254" s="0" t="str">
        <f aca="false">IF('THÁNG 7'!$C111="","",N('THÁNG 7'!$R111))</f>
        <v/>
      </c>
      <c r="P254" s="0" t="str">
        <f aca="false">IF(OR('THÁNG 7'!$C111="",'THÁNG 7'!$T111=""),"",'THÁNG 7'!$T111)</f>
        <v/>
      </c>
      <c r="Q254" s="0" t="str">
        <f aca="false">IF(OR('THÁNG 7'!$C111="",'THÁNG 7'!$U111=""),"",'THÁNG 7'!$U111)</f>
        <v/>
      </c>
      <c r="R254" s="0" t="str">
        <f aca="false">IF('THÁNG 7'!$C111="","",'THÁNG 7'!$W111&amp;"")</f>
        <v/>
      </c>
      <c r="S254" s="0" t="str">
        <f aca="false">IF('THÁNG 7'!$C111="","",'THÁNG 7'!$S111&amp;"")</f>
        <v/>
      </c>
      <c r="T254" s="0" t="str">
        <f aca="false">IF(N($O254)&gt;0,COUNTIF($O$3:$O254,"&gt;0"),"")</f>
        <v/>
      </c>
      <c r="U254" s="0" t="str">
        <f aca="false">IF(AND(N($J254)&gt;0,N($K254)&gt;0),COUNTIFS($J$3:$J254,"&gt;0",$K$3:$K254,"&gt;0"),"")</f>
        <v/>
      </c>
      <c r="V254" s="0" t="str">
        <f aca="false">IF(AND(N($J254)&gt;0,N($K254)=0),COUNTIFS($J$3:$J254,"&gt;0",$K$3:$K254,"&lt;=0"),"")</f>
        <v/>
      </c>
      <c r="W254" s="0" t="str">
        <f aca="false">IF($C254="","",IF(COUNTIF($C$3:$C254,$C254)&gt;1,"",MAX($W$2:W253)+1))</f>
        <v/>
      </c>
      <c r="X254" s="0" t="str">
        <f aca="false">IF($H254="","",IF(COUNTIF($H$3:$H254,$H254)&gt;1,"",MAX($X$2:X253)+1))</f>
        <v/>
      </c>
      <c r="Y254" s="0" t="str">
        <f aca="false">IF(AND(N($M254)&gt;0,N($O254)&lt;=0),COUNTIFS($M$3:$M254,"&gt;0",$O$3:$O254,"&lt;=0"),"")</f>
        <v/>
      </c>
      <c r="Z254" s="30" t="n">
        <f aca="false">IF(OR('THÁNG 7'!$C111="",'THÁNG 7'!$B111=""),0,'THÁNG 7'!$B111)</f>
        <v>0</v>
      </c>
    </row>
    <row r="255" customFormat="false" ht="15" hidden="false" customHeight="false" outlineLevel="0" collapsed="false">
      <c r="A255" s="0" t="n">
        <v>7</v>
      </c>
      <c r="B255" s="29" t="str">
        <f aca="false">IF(OR('THÁNG 7'!$C112="",'THÁNG 7'!$B112=""),"",'THÁNG 7'!$B112)</f>
        <v/>
      </c>
      <c r="C255" s="0" t="str">
        <f aca="false">IF('THÁNG 7'!$C112="","",'THÁNG 7'!$C112)</f>
        <v/>
      </c>
      <c r="D255" s="0" t="str">
        <f aca="false">IF('THÁNG 7'!$C112="","",'THÁNG 7'!$D112&amp;"")</f>
        <v/>
      </c>
      <c r="E255" s="0" t="str">
        <f aca="false">IF('THÁNG 7'!$C112="","",'THÁNG 7'!$E112&amp;"")</f>
        <v/>
      </c>
      <c r="F255" s="0" t="str">
        <f aca="false">IF('THÁNG 7'!$C112="","",'THÁNG 7'!$F112&amp;"")</f>
        <v/>
      </c>
      <c r="G255" s="0" t="str">
        <f aca="false">IF('THÁNG 7'!$C112="","",'THÁNG 7'!$G112&amp;"")</f>
        <v/>
      </c>
      <c r="H255" s="0" t="str">
        <f aca="false">IF('THÁNG 7'!$C112="","",'THÁNG 7'!$H112&amp;"")</f>
        <v/>
      </c>
      <c r="I255" s="0" t="str">
        <f aca="false">IF('THÁNG 7'!$C112="","",N('THÁNG 7'!$I112))</f>
        <v/>
      </c>
      <c r="J255" s="0" t="str">
        <f aca="false">IF('THÁNG 7'!$C112="","",N('THÁNG 7'!$L112))</f>
        <v/>
      </c>
      <c r="K255" s="0" t="str">
        <f aca="false">IF('THÁNG 7'!$C112="","",N('THÁNG 7'!$N112))</f>
        <v/>
      </c>
      <c r="L255" s="0" t="str">
        <f aca="false">IF('THÁNG 7'!$C112="","",N('THÁNG 7'!$O112))</f>
        <v/>
      </c>
      <c r="M255" s="0" t="str">
        <f aca="false">IF('THÁNG 7'!$C112="","",N('THÁNG 7'!$P112))</f>
        <v/>
      </c>
      <c r="N255" s="0" t="str">
        <f aca="false">IF('THÁNG 7'!$C112="","",N('THÁNG 7'!$Q112))</f>
        <v/>
      </c>
      <c r="O255" s="0" t="str">
        <f aca="false">IF('THÁNG 7'!$C112="","",N('THÁNG 7'!$R112))</f>
        <v/>
      </c>
      <c r="P255" s="0" t="str">
        <f aca="false">IF(OR('THÁNG 7'!$C112="",'THÁNG 7'!$T112=""),"",'THÁNG 7'!$T112)</f>
        <v/>
      </c>
      <c r="Q255" s="0" t="str">
        <f aca="false">IF(OR('THÁNG 7'!$C112="",'THÁNG 7'!$U112=""),"",'THÁNG 7'!$U112)</f>
        <v/>
      </c>
      <c r="R255" s="0" t="str">
        <f aca="false">IF('THÁNG 7'!$C112="","",'THÁNG 7'!$W112&amp;"")</f>
        <v/>
      </c>
      <c r="S255" s="0" t="str">
        <f aca="false">IF('THÁNG 7'!$C112="","",'THÁNG 7'!$S112&amp;"")</f>
        <v/>
      </c>
      <c r="T255" s="0" t="str">
        <f aca="false">IF(N($O255)&gt;0,COUNTIF($O$3:$O255,"&gt;0"),"")</f>
        <v/>
      </c>
      <c r="U255" s="0" t="str">
        <f aca="false">IF(AND(N($J255)&gt;0,N($K255)&gt;0),COUNTIFS($J$3:$J255,"&gt;0",$K$3:$K255,"&gt;0"),"")</f>
        <v/>
      </c>
      <c r="V255" s="0" t="str">
        <f aca="false">IF(AND(N($J255)&gt;0,N($K255)=0),COUNTIFS($J$3:$J255,"&gt;0",$K$3:$K255,"&lt;=0"),"")</f>
        <v/>
      </c>
      <c r="W255" s="0" t="str">
        <f aca="false">IF($C255="","",IF(COUNTIF($C$3:$C255,$C255)&gt;1,"",MAX($W$2:W254)+1))</f>
        <v/>
      </c>
      <c r="X255" s="0" t="str">
        <f aca="false">IF($H255="","",IF(COUNTIF($H$3:$H255,$H255)&gt;1,"",MAX($X$2:X254)+1))</f>
        <v/>
      </c>
      <c r="Y255" s="0" t="str">
        <f aca="false">IF(AND(N($M255)&gt;0,N($O255)&lt;=0),COUNTIFS($M$3:$M255,"&gt;0",$O$3:$O255,"&lt;=0"),"")</f>
        <v/>
      </c>
      <c r="Z255" s="30" t="n">
        <f aca="false">IF(OR('THÁNG 7'!$C112="",'THÁNG 7'!$B112=""),0,'THÁNG 7'!$B112)</f>
        <v>0</v>
      </c>
    </row>
    <row r="256" customFormat="false" ht="15" hidden="false" customHeight="false" outlineLevel="0" collapsed="false">
      <c r="A256" s="0" t="n">
        <v>7</v>
      </c>
      <c r="B256" s="29" t="str">
        <f aca="false">IF(OR('THÁNG 7'!$C113="",'THÁNG 7'!$B113=""),"",'THÁNG 7'!$B113)</f>
        <v/>
      </c>
      <c r="C256" s="0" t="str">
        <f aca="false">IF('THÁNG 7'!$C113="","",'THÁNG 7'!$C113)</f>
        <v/>
      </c>
      <c r="D256" s="0" t="str">
        <f aca="false">IF('THÁNG 7'!$C113="","",'THÁNG 7'!$D113&amp;"")</f>
        <v/>
      </c>
      <c r="E256" s="0" t="str">
        <f aca="false">IF('THÁNG 7'!$C113="","",'THÁNG 7'!$E113&amp;"")</f>
        <v/>
      </c>
      <c r="F256" s="0" t="str">
        <f aca="false">IF('THÁNG 7'!$C113="","",'THÁNG 7'!$F113&amp;"")</f>
        <v/>
      </c>
      <c r="G256" s="0" t="str">
        <f aca="false">IF('THÁNG 7'!$C113="","",'THÁNG 7'!$G113&amp;"")</f>
        <v/>
      </c>
      <c r="H256" s="0" t="str">
        <f aca="false">IF('THÁNG 7'!$C113="","",'THÁNG 7'!$H113&amp;"")</f>
        <v/>
      </c>
      <c r="I256" s="0" t="str">
        <f aca="false">IF('THÁNG 7'!$C113="","",N('THÁNG 7'!$I113))</f>
        <v/>
      </c>
      <c r="J256" s="0" t="str">
        <f aca="false">IF('THÁNG 7'!$C113="","",N('THÁNG 7'!$L113))</f>
        <v/>
      </c>
      <c r="K256" s="0" t="str">
        <f aca="false">IF('THÁNG 7'!$C113="","",N('THÁNG 7'!$N113))</f>
        <v/>
      </c>
      <c r="L256" s="0" t="str">
        <f aca="false">IF('THÁNG 7'!$C113="","",N('THÁNG 7'!$O113))</f>
        <v/>
      </c>
      <c r="M256" s="0" t="str">
        <f aca="false">IF('THÁNG 7'!$C113="","",N('THÁNG 7'!$P113))</f>
        <v/>
      </c>
      <c r="N256" s="0" t="str">
        <f aca="false">IF('THÁNG 7'!$C113="","",N('THÁNG 7'!$Q113))</f>
        <v/>
      </c>
      <c r="O256" s="0" t="str">
        <f aca="false">IF('THÁNG 7'!$C113="","",N('THÁNG 7'!$R113))</f>
        <v/>
      </c>
      <c r="P256" s="0" t="str">
        <f aca="false">IF(OR('THÁNG 7'!$C113="",'THÁNG 7'!$T113=""),"",'THÁNG 7'!$T113)</f>
        <v/>
      </c>
      <c r="Q256" s="0" t="str">
        <f aca="false">IF(OR('THÁNG 7'!$C113="",'THÁNG 7'!$U113=""),"",'THÁNG 7'!$U113)</f>
        <v/>
      </c>
      <c r="R256" s="0" t="str">
        <f aca="false">IF('THÁNG 7'!$C113="","",'THÁNG 7'!$W113&amp;"")</f>
        <v/>
      </c>
      <c r="S256" s="0" t="str">
        <f aca="false">IF('THÁNG 7'!$C113="","",'THÁNG 7'!$S113&amp;"")</f>
        <v/>
      </c>
      <c r="T256" s="0" t="str">
        <f aca="false">IF(N($O256)&gt;0,COUNTIF($O$3:$O256,"&gt;0"),"")</f>
        <v/>
      </c>
      <c r="U256" s="0" t="str">
        <f aca="false">IF(AND(N($J256)&gt;0,N($K256)&gt;0),COUNTIFS($J$3:$J256,"&gt;0",$K$3:$K256,"&gt;0"),"")</f>
        <v/>
      </c>
      <c r="V256" s="0" t="str">
        <f aca="false">IF(AND(N($J256)&gt;0,N($K256)=0),COUNTIFS($J$3:$J256,"&gt;0",$K$3:$K256,"&lt;=0"),"")</f>
        <v/>
      </c>
      <c r="W256" s="0" t="str">
        <f aca="false">IF($C256="","",IF(COUNTIF($C$3:$C256,$C256)&gt;1,"",MAX($W$2:W255)+1))</f>
        <v/>
      </c>
      <c r="X256" s="0" t="str">
        <f aca="false">IF($H256="","",IF(COUNTIF($H$3:$H256,$H256)&gt;1,"",MAX($X$2:X255)+1))</f>
        <v/>
      </c>
      <c r="Y256" s="0" t="str">
        <f aca="false">IF(AND(N($M256)&gt;0,N($O256)&lt;=0),COUNTIFS($M$3:$M256,"&gt;0",$O$3:$O256,"&lt;=0"),"")</f>
        <v/>
      </c>
      <c r="Z256" s="30" t="n">
        <f aca="false">IF(OR('THÁNG 7'!$C113="",'THÁNG 7'!$B113=""),0,'THÁNG 7'!$B113)</f>
        <v>0</v>
      </c>
    </row>
    <row r="257" customFormat="false" ht="15" hidden="false" customHeight="false" outlineLevel="0" collapsed="false">
      <c r="A257" s="0" t="n">
        <v>7</v>
      </c>
      <c r="B257" s="29" t="str">
        <f aca="false">IF(OR('THÁNG 7'!$C114="",'THÁNG 7'!$B114=""),"",'THÁNG 7'!$B114)</f>
        <v/>
      </c>
      <c r="C257" s="0" t="str">
        <f aca="false">IF('THÁNG 7'!$C114="","",'THÁNG 7'!$C114)</f>
        <v/>
      </c>
      <c r="D257" s="0" t="str">
        <f aca="false">IF('THÁNG 7'!$C114="","",'THÁNG 7'!$D114&amp;"")</f>
        <v/>
      </c>
      <c r="E257" s="0" t="str">
        <f aca="false">IF('THÁNG 7'!$C114="","",'THÁNG 7'!$E114&amp;"")</f>
        <v/>
      </c>
      <c r="F257" s="0" t="str">
        <f aca="false">IF('THÁNG 7'!$C114="","",'THÁNG 7'!$F114&amp;"")</f>
        <v/>
      </c>
      <c r="G257" s="0" t="str">
        <f aca="false">IF('THÁNG 7'!$C114="","",'THÁNG 7'!$G114&amp;"")</f>
        <v/>
      </c>
      <c r="H257" s="0" t="str">
        <f aca="false">IF('THÁNG 7'!$C114="","",'THÁNG 7'!$H114&amp;"")</f>
        <v/>
      </c>
      <c r="I257" s="0" t="str">
        <f aca="false">IF('THÁNG 7'!$C114="","",N('THÁNG 7'!$I114))</f>
        <v/>
      </c>
      <c r="J257" s="0" t="str">
        <f aca="false">IF('THÁNG 7'!$C114="","",N('THÁNG 7'!$L114))</f>
        <v/>
      </c>
      <c r="K257" s="0" t="str">
        <f aca="false">IF('THÁNG 7'!$C114="","",N('THÁNG 7'!$N114))</f>
        <v/>
      </c>
      <c r="L257" s="0" t="str">
        <f aca="false">IF('THÁNG 7'!$C114="","",N('THÁNG 7'!$O114))</f>
        <v/>
      </c>
      <c r="M257" s="0" t="str">
        <f aca="false">IF('THÁNG 7'!$C114="","",N('THÁNG 7'!$P114))</f>
        <v/>
      </c>
      <c r="N257" s="0" t="str">
        <f aca="false">IF('THÁNG 7'!$C114="","",N('THÁNG 7'!$Q114))</f>
        <v/>
      </c>
      <c r="O257" s="0" t="str">
        <f aca="false">IF('THÁNG 7'!$C114="","",N('THÁNG 7'!$R114))</f>
        <v/>
      </c>
      <c r="P257" s="0" t="str">
        <f aca="false">IF(OR('THÁNG 7'!$C114="",'THÁNG 7'!$T114=""),"",'THÁNG 7'!$T114)</f>
        <v/>
      </c>
      <c r="Q257" s="0" t="str">
        <f aca="false">IF(OR('THÁNG 7'!$C114="",'THÁNG 7'!$U114=""),"",'THÁNG 7'!$U114)</f>
        <v/>
      </c>
      <c r="R257" s="0" t="str">
        <f aca="false">IF('THÁNG 7'!$C114="","",'THÁNG 7'!$W114&amp;"")</f>
        <v/>
      </c>
      <c r="S257" s="0" t="str">
        <f aca="false">IF('THÁNG 7'!$C114="","",'THÁNG 7'!$S114&amp;"")</f>
        <v/>
      </c>
      <c r="T257" s="0" t="str">
        <f aca="false">IF(N($O257)&gt;0,COUNTIF($O$3:$O257,"&gt;0"),"")</f>
        <v/>
      </c>
      <c r="U257" s="0" t="str">
        <f aca="false">IF(AND(N($J257)&gt;0,N($K257)&gt;0),COUNTIFS($J$3:$J257,"&gt;0",$K$3:$K257,"&gt;0"),"")</f>
        <v/>
      </c>
      <c r="V257" s="0" t="str">
        <f aca="false">IF(AND(N($J257)&gt;0,N($K257)=0),COUNTIFS($J$3:$J257,"&gt;0",$K$3:$K257,"&lt;=0"),"")</f>
        <v/>
      </c>
      <c r="W257" s="0" t="str">
        <f aca="false">IF($C257="","",IF(COUNTIF($C$3:$C257,$C257)&gt;1,"",MAX($W$2:W256)+1))</f>
        <v/>
      </c>
      <c r="X257" s="0" t="str">
        <f aca="false">IF($H257="","",IF(COUNTIF($H$3:$H257,$H257)&gt;1,"",MAX($X$2:X256)+1))</f>
        <v/>
      </c>
      <c r="Y257" s="0" t="str">
        <f aca="false">IF(AND(N($M257)&gt;0,N($O257)&lt;=0),COUNTIFS($M$3:$M257,"&gt;0",$O$3:$O257,"&lt;=0"),"")</f>
        <v/>
      </c>
      <c r="Z257" s="30" t="n">
        <f aca="false">IF(OR('THÁNG 7'!$C114="",'THÁNG 7'!$B114=""),0,'THÁNG 7'!$B114)</f>
        <v>0</v>
      </c>
    </row>
    <row r="258" customFormat="false" ht="15" hidden="false" customHeight="false" outlineLevel="0" collapsed="false">
      <c r="A258" s="0" t="n">
        <v>7</v>
      </c>
      <c r="B258" s="29" t="str">
        <f aca="false">IF(OR('THÁNG 7'!$C115="",'THÁNG 7'!$B115=""),"",'THÁNG 7'!$B115)</f>
        <v/>
      </c>
      <c r="C258" s="0" t="str">
        <f aca="false">IF('THÁNG 7'!$C115="","",'THÁNG 7'!$C115)</f>
        <v/>
      </c>
      <c r="D258" s="0" t="str">
        <f aca="false">IF('THÁNG 7'!$C115="","",'THÁNG 7'!$D115&amp;"")</f>
        <v/>
      </c>
      <c r="E258" s="0" t="str">
        <f aca="false">IF('THÁNG 7'!$C115="","",'THÁNG 7'!$E115&amp;"")</f>
        <v/>
      </c>
      <c r="F258" s="0" t="str">
        <f aca="false">IF('THÁNG 7'!$C115="","",'THÁNG 7'!$F115&amp;"")</f>
        <v/>
      </c>
      <c r="G258" s="0" t="str">
        <f aca="false">IF('THÁNG 7'!$C115="","",'THÁNG 7'!$G115&amp;"")</f>
        <v/>
      </c>
      <c r="H258" s="0" t="str">
        <f aca="false">IF('THÁNG 7'!$C115="","",'THÁNG 7'!$H115&amp;"")</f>
        <v/>
      </c>
      <c r="I258" s="0" t="str">
        <f aca="false">IF('THÁNG 7'!$C115="","",N('THÁNG 7'!$I115))</f>
        <v/>
      </c>
      <c r="J258" s="0" t="str">
        <f aca="false">IF('THÁNG 7'!$C115="","",N('THÁNG 7'!$L115))</f>
        <v/>
      </c>
      <c r="K258" s="0" t="str">
        <f aca="false">IF('THÁNG 7'!$C115="","",N('THÁNG 7'!$N115))</f>
        <v/>
      </c>
      <c r="L258" s="0" t="str">
        <f aca="false">IF('THÁNG 7'!$C115="","",N('THÁNG 7'!$O115))</f>
        <v/>
      </c>
      <c r="M258" s="0" t="str">
        <f aca="false">IF('THÁNG 7'!$C115="","",N('THÁNG 7'!$P115))</f>
        <v/>
      </c>
      <c r="N258" s="0" t="str">
        <f aca="false">IF('THÁNG 7'!$C115="","",N('THÁNG 7'!$Q115))</f>
        <v/>
      </c>
      <c r="O258" s="0" t="str">
        <f aca="false">IF('THÁNG 7'!$C115="","",N('THÁNG 7'!$R115))</f>
        <v/>
      </c>
      <c r="P258" s="0" t="str">
        <f aca="false">IF(OR('THÁNG 7'!$C115="",'THÁNG 7'!$T115=""),"",'THÁNG 7'!$T115)</f>
        <v/>
      </c>
      <c r="Q258" s="0" t="str">
        <f aca="false">IF(OR('THÁNG 7'!$C115="",'THÁNG 7'!$U115=""),"",'THÁNG 7'!$U115)</f>
        <v/>
      </c>
      <c r="R258" s="0" t="str">
        <f aca="false">IF('THÁNG 7'!$C115="","",'THÁNG 7'!$W115&amp;"")</f>
        <v/>
      </c>
      <c r="S258" s="0" t="str">
        <f aca="false">IF('THÁNG 7'!$C115="","",'THÁNG 7'!$S115&amp;"")</f>
        <v/>
      </c>
      <c r="T258" s="0" t="str">
        <f aca="false">IF(N($O258)&gt;0,COUNTIF($O$3:$O258,"&gt;0"),"")</f>
        <v/>
      </c>
      <c r="U258" s="0" t="str">
        <f aca="false">IF(AND(N($J258)&gt;0,N($K258)&gt;0),COUNTIFS($J$3:$J258,"&gt;0",$K$3:$K258,"&gt;0"),"")</f>
        <v/>
      </c>
      <c r="V258" s="0" t="str">
        <f aca="false">IF(AND(N($J258)&gt;0,N($K258)=0),COUNTIFS($J$3:$J258,"&gt;0",$K$3:$K258,"&lt;=0"),"")</f>
        <v/>
      </c>
      <c r="W258" s="0" t="str">
        <f aca="false">IF($C258="","",IF(COUNTIF($C$3:$C258,$C258)&gt;1,"",MAX($W$2:W257)+1))</f>
        <v/>
      </c>
      <c r="X258" s="0" t="str">
        <f aca="false">IF($H258="","",IF(COUNTIF($H$3:$H258,$H258)&gt;1,"",MAX($X$2:X257)+1))</f>
        <v/>
      </c>
      <c r="Y258" s="0" t="str">
        <f aca="false">IF(AND(N($M258)&gt;0,N($O258)&lt;=0),COUNTIFS($M$3:$M258,"&gt;0",$O$3:$O258,"&lt;=0"),"")</f>
        <v/>
      </c>
      <c r="Z258" s="30" t="n">
        <f aca="false">IF(OR('THÁNG 7'!$C115="",'THÁNG 7'!$B115=""),0,'THÁNG 7'!$B115)</f>
        <v>0</v>
      </c>
    </row>
    <row r="259" customFormat="false" ht="15" hidden="false" customHeight="false" outlineLevel="0" collapsed="false">
      <c r="A259" s="0" t="n">
        <v>7</v>
      </c>
      <c r="B259" s="29" t="str">
        <f aca="false">IF(OR('THÁNG 7'!$C116="",'THÁNG 7'!$B116=""),"",'THÁNG 7'!$B116)</f>
        <v/>
      </c>
      <c r="C259" s="0" t="str">
        <f aca="false">IF('THÁNG 7'!$C116="","",'THÁNG 7'!$C116)</f>
        <v/>
      </c>
      <c r="D259" s="0" t="str">
        <f aca="false">IF('THÁNG 7'!$C116="","",'THÁNG 7'!$D116&amp;"")</f>
        <v/>
      </c>
      <c r="E259" s="0" t="str">
        <f aca="false">IF('THÁNG 7'!$C116="","",'THÁNG 7'!$E116&amp;"")</f>
        <v/>
      </c>
      <c r="F259" s="0" t="str">
        <f aca="false">IF('THÁNG 7'!$C116="","",'THÁNG 7'!$F116&amp;"")</f>
        <v/>
      </c>
      <c r="G259" s="0" t="str">
        <f aca="false">IF('THÁNG 7'!$C116="","",'THÁNG 7'!$G116&amp;"")</f>
        <v/>
      </c>
      <c r="H259" s="0" t="str">
        <f aca="false">IF('THÁNG 7'!$C116="","",'THÁNG 7'!$H116&amp;"")</f>
        <v/>
      </c>
      <c r="I259" s="0" t="str">
        <f aca="false">IF('THÁNG 7'!$C116="","",N('THÁNG 7'!$I116))</f>
        <v/>
      </c>
      <c r="J259" s="0" t="str">
        <f aca="false">IF('THÁNG 7'!$C116="","",N('THÁNG 7'!$L116))</f>
        <v/>
      </c>
      <c r="K259" s="0" t="str">
        <f aca="false">IF('THÁNG 7'!$C116="","",N('THÁNG 7'!$N116))</f>
        <v/>
      </c>
      <c r="L259" s="0" t="str">
        <f aca="false">IF('THÁNG 7'!$C116="","",N('THÁNG 7'!$O116))</f>
        <v/>
      </c>
      <c r="M259" s="0" t="str">
        <f aca="false">IF('THÁNG 7'!$C116="","",N('THÁNG 7'!$P116))</f>
        <v/>
      </c>
      <c r="N259" s="0" t="str">
        <f aca="false">IF('THÁNG 7'!$C116="","",N('THÁNG 7'!$Q116))</f>
        <v/>
      </c>
      <c r="O259" s="0" t="str">
        <f aca="false">IF('THÁNG 7'!$C116="","",N('THÁNG 7'!$R116))</f>
        <v/>
      </c>
      <c r="P259" s="0" t="str">
        <f aca="false">IF(OR('THÁNG 7'!$C116="",'THÁNG 7'!$T116=""),"",'THÁNG 7'!$T116)</f>
        <v/>
      </c>
      <c r="Q259" s="0" t="str">
        <f aca="false">IF(OR('THÁNG 7'!$C116="",'THÁNG 7'!$U116=""),"",'THÁNG 7'!$U116)</f>
        <v/>
      </c>
      <c r="R259" s="0" t="str">
        <f aca="false">IF('THÁNG 7'!$C116="","",'THÁNG 7'!$W116&amp;"")</f>
        <v/>
      </c>
      <c r="S259" s="0" t="str">
        <f aca="false">IF('THÁNG 7'!$C116="","",'THÁNG 7'!$S116&amp;"")</f>
        <v/>
      </c>
      <c r="T259" s="0" t="str">
        <f aca="false">IF(N($O259)&gt;0,COUNTIF($O$3:$O259,"&gt;0"),"")</f>
        <v/>
      </c>
      <c r="U259" s="0" t="str">
        <f aca="false">IF(AND(N($J259)&gt;0,N($K259)&gt;0),COUNTIFS($J$3:$J259,"&gt;0",$K$3:$K259,"&gt;0"),"")</f>
        <v/>
      </c>
      <c r="V259" s="0" t="str">
        <f aca="false">IF(AND(N($J259)&gt;0,N($K259)=0),COUNTIFS($J$3:$J259,"&gt;0",$K$3:$K259,"&lt;=0"),"")</f>
        <v/>
      </c>
      <c r="W259" s="0" t="str">
        <f aca="false">IF($C259="","",IF(COUNTIF($C$3:$C259,$C259)&gt;1,"",MAX($W$2:W258)+1))</f>
        <v/>
      </c>
      <c r="X259" s="0" t="str">
        <f aca="false">IF($H259="","",IF(COUNTIF($H$3:$H259,$H259)&gt;1,"",MAX($X$2:X258)+1))</f>
        <v/>
      </c>
      <c r="Y259" s="0" t="str">
        <f aca="false">IF(AND(N($M259)&gt;0,N($O259)&lt;=0),COUNTIFS($M$3:$M259,"&gt;0",$O$3:$O259,"&lt;=0"),"")</f>
        <v/>
      </c>
      <c r="Z259" s="30" t="n">
        <f aca="false">IF(OR('THÁNG 7'!$C116="",'THÁNG 7'!$B116=""),0,'THÁNG 7'!$B116)</f>
        <v>0</v>
      </c>
    </row>
    <row r="260" customFormat="false" ht="15" hidden="false" customHeight="false" outlineLevel="0" collapsed="false">
      <c r="A260" s="0" t="n">
        <v>7</v>
      </c>
      <c r="B260" s="29" t="str">
        <f aca="false">IF(OR('THÁNG 7'!$C117="",'THÁNG 7'!$B117=""),"",'THÁNG 7'!$B117)</f>
        <v/>
      </c>
      <c r="C260" s="0" t="str">
        <f aca="false">IF('THÁNG 7'!$C117="","",'THÁNG 7'!$C117)</f>
        <v/>
      </c>
      <c r="D260" s="0" t="str">
        <f aca="false">IF('THÁNG 7'!$C117="","",'THÁNG 7'!$D117&amp;"")</f>
        <v/>
      </c>
      <c r="E260" s="0" t="str">
        <f aca="false">IF('THÁNG 7'!$C117="","",'THÁNG 7'!$E117&amp;"")</f>
        <v/>
      </c>
      <c r="F260" s="0" t="str">
        <f aca="false">IF('THÁNG 7'!$C117="","",'THÁNG 7'!$F117&amp;"")</f>
        <v/>
      </c>
      <c r="G260" s="0" t="str">
        <f aca="false">IF('THÁNG 7'!$C117="","",'THÁNG 7'!$G117&amp;"")</f>
        <v/>
      </c>
      <c r="H260" s="0" t="str">
        <f aca="false">IF('THÁNG 7'!$C117="","",'THÁNG 7'!$H117&amp;"")</f>
        <v/>
      </c>
      <c r="I260" s="0" t="str">
        <f aca="false">IF('THÁNG 7'!$C117="","",N('THÁNG 7'!$I117))</f>
        <v/>
      </c>
      <c r="J260" s="0" t="str">
        <f aca="false">IF('THÁNG 7'!$C117="","",N('THÁNG 7'!$L117))</f>
        <v/>
      </c>
      <c r="K260" s="0" t="str">
        <f aca="false">IF('THÁNG 7'!$C117="","",N('THÁNG 7'!$N117))</f>
        <v/>
      </c>
      <c r="L260" s="0" t="str">
        <f aca="false">IF('THÁNG 7'!$C117="","",N('THÁNG 7'!$O117))</f>
        <v/>
      </c>
      <c r="M260" s="0" t="str">
        <f aca="false">IF('THÁNG 7'!$C117="","",N('THÁNG 7'!$P117))</f>
        <v/>
      </c>
      <c r="N260" s="0" t="str">
        <f aca="false">IF('THÁNG 7'!$C117="","",N('THÁNG 7'!$Q117))</f>
        <v/>
      </c>
      <c r="O260" s="0" t="str">
        <f aca="false">IF('THÁNG 7'!$C117="","",N('THÁNG 7'!$R117))</f>
        <v/>
      </c>
      <c r="P260" s="0" t="str">
        <f aca="false">IF(OR('THÁNG 7'!$C117="",'THÁNG 7'!$T117=""),"",'THÁNG 7'!$T117)</f>
        <v/>
      </c>
      <c r="Q260" s="0" t="str">
        <f aca="false">IF(OR('THÁNG 7'!$C117="",'THÁNG 7'!$U117=""),"",'THÁNG 7'!$U117)</f>
        <v/>
      </c>
      <c r="R260" s="0" t="str">
        <f aca="false">IF('THÁNG 7'!$C117="","",'THÁNG 7'!$W117&amp;"")</f>
        <v/>
      </c>
      <c r="S260" s="0" t="str">
        <f aca="false">IF('THÁNG 7'!$C117="","",'THÁNG 7'!$S117&amp;"")</f>
        <v/>
      </c>
      <c r="T260" s="0" t="str">
        <f aca="false">IF(N($O260)&gt;0,COUNTIF($O$3:$O260,"&gt;0"),"")</f>
        <v/>
      </c>
      <c r="U260" s="0" t="str">
        <f aca="false">IF(AND(N($J260)&gt;0,N($K260)&gt;0),COUNTIFS($J$3:$J260,"&gt;0",$K$3:$K260,"&gt;0"),"")</f>
        <v/>
      </c>
      <c r="V260" s="0" t="str">
        <f aca="false">IF(AND(N($J260)&gt;0,N($K260)=0),COUNTIFS($J$3:$J260,"&gt;0",$K$3:$K260,"&lt;=0"),"")</f>
        <v/>
      </c>
      <c r="W260" s="0" t="str">
        <f aca="false">IF($C260="","",IF(COUNTIF($C$3:$C260,$C260)&gt;1,"",MAX($W$2:W259)+1))</f>
        <v/>
      </c>
      <c r="X260" s="0" t="str">
        <f aca="false">IF($H260="","",IF(COUNTIF($H$3:$H260,$H260)&gt;1,"",MAX($X$2:X259)+1))</f>
        <v/>
      </c>
      <c r="Y260" s="0" t="str">
        <f aca="false">IF(AND(N($M260)&gt;0,N($O260)&lt;=0),COUNTIFS($M$3:$M260,"&gt;0",$O$3:$O260,"&lt;=0"),"")</f>
        <v/>
      </c>
      <c r="Z260" s="30" t="n">
        <f aca="false">IF(OR('THÁNG 7'!$C117="",'THÁNG 7'!$B117=""),0,'THÁNG 7'!$B117)</f>
        <v>0</v>
      </c>
    </row>
    <row r="261" customFormat="false" ht="15" hidden="false" customHeight="false" outlineLevel="0" collapsed="false">
      <c r="A261" s="0" t="n">
        <v>7</v>
      </c>
      <c r="B261" s="29" t="str">
        <f aca="false">IF(OR('THÁNG 7'!$C118="",'THÁNG 7'!$B118=""),"",'THÁNG 7'!$B118)</f>
        <v/>
      </c>
      <c r="C261" s="0" t="str">
        <f aca="false">IF('THÁNG 7'!$C118="","",'THÁNG 7'!$C118)</f>
        <v/>
      </c>
      <c r="D261" s="0" t="str">
        <f aca="false">IF('THÁNG 7'!$C118="","",'THÁNG 7'!$D118&amp;"")</f>
        <v/>
      </c>
      <c r="E261" s="0" t="str">
        <f aca="false">IF('THÁNG 7'!$C118="","",'THÁNG 7'!$E118&amp;"")</f>
        <v/>
      </c>
      <c r="F261" s="0" t="str">
        <f aca="false">IF('THÁNG 7'!$C118="","",'THÁNG 7'!$F118&amp;"")</f>
        <v/>
      </c>
      <c r="G261" s="0" t="str">
        <f aca="false">IF('THÁNG 7'!$C118="","",'THÁNG 7'!$G118&amp;"")</f>
        <v/>
      </c>
      <c r="H261" s="0" t="str">
        <f aca="false">IF('THÁNG 7'!$C118="","",'THÁNG 7'!$H118&amp;"")</f>
        <v/>
      </c>
      <c r="I261" s="0" t="str">
        <f aca="false">IF('THÁNG 7'!$C118="","",N('THÁNG 7'!$I118))</f>
        <v/>
      </c>
      <c r="J261" s="0" t="str">
        <f aca="false">IF('THÁNG 7'!$C118="","",N('THÁNG 7'!$L118))</f>
        <v/>
      </c>
      <c r="K261" s="0" t="str">
        <f aca="false">IF('THÁNG 7'!$C118="","",N('THÁNG 7'!$N118))</f>
        <v/>
      </c>
      <c r="L261" s="0" t="str">
        <f aca="false">IF('THÁNG 7'!$C118="","",N('THÁNG 7'!$O118))</f>
        <v/>
      </c>
      <c r="M261" s="0" t="str">
        <f aca="false">IF('THÁNG 7'!$C118="","",N('THÁNG 7'!$P118))</f>
        <v/>
      </c>
      <c r="N261" s="0" t="str">
        <f aca="false">IF('THÁNG 7'!$C118="","",N('THÁNG 7'!$Q118))</f>
        <v/>
      </c>
      <c r="O261" s="0" t="str">
        <f aca="false">IF('THÁNG 7'!$C118="","",N('THÁNG 7'!$R118))</f>
        <v/>
      </c>
      <c r="P261" s="0" t="str">
        <f aca="false">IF(OR('THÁNG 7'!$C118="",'THÁNG 7'!$T118=""),"",'THÁNG 7'!$T118)</f>
        <v/>
      </c>
      <c r="Q261" s="0" t="str">
        <f aca="false">IF(OR('THÁNG 7'!$C118="",'THÁNG 7'!$U118=""),"",'THÁNG 7'!$U118)</f>
        <v/>
      </c>
      <c r="R261" s="0" t="str">
        <f aca="false">IF('THÁNG 7'!$C118="","",'THÁNG 7'!$W118&amp;"")</f>
        <v/>
      </c>
      <c r="S261" s="0" t="str">
        <f aca="false">IF('THÁNG 7'!$C118="","",'THÁNG 7'!$S118&amp;"")</f>
        <v/>
      </c>
      <c r="T261" s="0" t="str">
        <f aca="false">IF(N($O261)&gt;0,COUNTIF($O$3:$O261,"&gt;0"),"")</f>
        <v/>
      </c>
      <c r="U261" s="0" t="str">
        <f aca="false">IF(AND(N($J261)&gt;0,N($K261)&gt;0),COUNTIFS($J$3:$J261,"&gt;0",$K$3:$K261,"&gt;0"),"")</f>
        <v/>
      </c>
      <c r="V261" s="0" t="str">
        <f aca="false">IF(AND(N($J261)&gt;0,N($K261)=0),COUNTIFS($J$3:$J261,"&gt;0",$K$3:$K261,"&lt;=0"),"")</f>
        <v/>
      </c>
      <c r="W261" s="0" t="str">
        <f aca="false">IF($C261="","",IF(COUNTIF($C$3:$C261,$C261)&gt;1,"",MAX($W$2:W260)+1))</f>
        <v/>
      </c>
      <c r="X261" s="0" t="str">
        <f aca="false">IF($H261="","",IF(COUNTIF($H$3:$H261,$H261)&gt;1,"",MAX($X$2:X260)+1))</f>
        <v/>
      </c>
      <c r="Y261" s="0" t="str">
        <f aca="false">IF(AND(N($M261)&gt;0,N($O261)&lt;=0),COUNTIFS($M$3:$M261,"&gt;0",$O$3:$O261,"&lt;=0"),"")</f>
        <v/>
      </c>
      <c r="Z261" s="30" t="n">
        <f aca="false">IF(OR('THÁNG 7'!$C118="",'THÁNG 7'!$B118=""),0,'THÁNG 7'!$B118)</f>
        <v>0</v>
      </c>
    </row>
    <row r="262" customFormat="false" ht="15" hidden="false" customHeight="false" outlineLevel="0" collapsed="false">
      <c r="A262" s="0" t="n">
        <v>7</v>
      </c>
      <c r="B262" s="29" t="str">
        <f aca="false">IF(OR('THÁNG 7'!$C119="",'THÁNG 7'!$B119=""),"",'THÁNG 7'!$B119)</f>
        <v/>
      </c>
      <c r="C262" s="0" t="str">
        <f aca="false">IF('THÁNG 7'!$C119="","",'THÁNG 7'!$C119)</f>
        <v/>
      </c>
      <c r="D262" s="0" t="str">
        <f aca="false">IF('THÁNG 7'!$C119="","",'THÁNG 7'!$D119&amp;"")</f>
        <v/>
      </c>
      <c r="E262" s="0" t="str">
        <f aca="false">IF('THÁNG 7'!$C119="","",'THÁNG 7'!$E119&amp;"")</f>
        <v/>
      </c>
      <c r="F262" s="0" t="str">
        <f aca="false">IF('THÁNG 7'!$C119="","",'THÁNG 7'!$F119&amp;"")</f>
        <v/>
      </c>
      <c r="G262" s="0" t="str">
        <f aca="false">IF('THÁNG 7'!$C119="","",'THÁNG 7'!$G119&amp;"")</f>
        <v/>
      </c>
      <c r="H262" s="0" t="str">
        <f aca="false">IF('THÁNG 7'!$C119="","",'THÁNG 7'!$H119&amp;"")</f>
        <v/>
      </c>
      <c r="I262" s="0" t="str">
        <f aca="false">IF('THÁNG 7'!$C119="","",N('THÁNG 7'!$I119))</f>
        <v/>
      </c>
      <c r="J262" s="0" t="str">
        <f aca="false">IF('THÁNG 7'!$C119="","",N('THÁNG 7'!$L119))</f>
        <v/>
      </c>
      <c r="K262" s="0" t="str">
        <f aca="false">IF('THÁNG 7'!$C119="","",N('THÁNG 7'!$N119))</f>
        <v/>
      </c>
      <c r="L262" s="0" t="str">
        <f aca="false">IF('THÁNG 7'!$C119="","",N('THÁNG 7'!$O119))</f>
        <v/>
      </c>
      <c r="M262" s="0" t="str">
        <f aca="false">IF('THÁNG 7'!$C119="","",N('THÁNG 7'!$P119))</f>
        <v/>
      </c>
      <c r="N262" s="0" t="str">
        <f aca="false">IF('THÁNG 7'!$C119="","",N('THÁNG 7'!$Q119))</f>
        <v/>
      </c>
      <c r="O262" s="0" t="str">
        <f aca="false">IF('THÁNG 7'!$C119="","",N('THÁNG 7'!$R119))</f>
        <v/>
      </c>
      <c r="P262" s="0" t="str">
        <f aca="false">IF(OR('THÁNG 7'!$C119="",'THÁNG 7'!$T119=""),"",'THÁNG 7'!$T119)</f>
        <v/>
      </c>
      <c r="Q262" s="0" t="str">
        <f aca="false">IF(OR('THÁNG 7'!$C119="",'THÁNG 7'!$U119=""),"",'THÁNG 7'!$U119)</f>
        <v/>
      </c>
      <c r="R262" s="0" t="str">
        <f aca="false">IF('THÁNG 7'!$C119="","",'THÁNG 7'!$W119&amp;"")</f>
        <v/>
      </c>
      <c r="S262" s="0" t="str">
        <f aca="false">IF('THÁNG 7'!$C119="","",'THÁNG 7'!$S119&amp;"")</f>
        <v/>
      </c>
      <c r="T262" s="0" t="str">
        <f aca="false">IF(N($O262)&gt;0,COUNTIF($O$3:$O262,"&gt;0"),"")</f>
        <v/>
      </c>
      <c r="U262" s="0" t="str">
        <f aca="false">IF(AND(N($J262)&gt;0,N($K262)&gt;0),COUNTIFS($J$3:$J262,"&gt;0",$K$3:$K262,"&gt;0"),"")</f>
        <v/>
      </c>
      <c r="V262" s="0" t="str">
        <f aca="false">IF(AND(N($J262)&gt;0,N($K262)=0),COUNTIFS($J$3:$J262,"&gt;0",$K$3:$K262,"&lt;=0"),"")</f>
        <v/>
      </c>
      <c r="W262" s="0" t="str">
        <f aca="false">IF($C262="","",IF(COUNTIF($C$3:$C262,$C262)&gt;1,"",MAX($W$2:W261)+1))</f>
        <v/>
      </c>
      <c r="X262" s="0" t="str">
        <f aca="false">IF($H262="","",IF(COUNTIF($H$3:$H262,$H262)&gt;1,"",MAX($X$2:X261)+1))</f>
        <v/>
      </c>
      <c r="Y262" s="0" t="str">
        <f aca="false">IF(AND(N($M262)&gt;0,N($O262)&lt;=0),COUNTIFS($M$3:$M262,"&gt;0",$O$3:$O262,"&lt;=0"),"")</f>
        <v/>
      </c>
      <c r="Z262" s="30" t="n">
        <f aca="false">IF(OR('THÁNG 7'!$C119="",'THÁNG 7'!$B119=""),0,'THÁNG 7'!$B119)</f>
        <v>0</v>
      </c>
    </row>
    <row r="263" customFormat="false" ht="15" hidden="false" customHeight="false" outlineLevel="0" collapsed="false">
      <c r="A263" s="0" t="n">
        <v>7</v>
      </c>
      <c r="B263" s="29" t="str">
        <f aca="false">IF(OR('THÁNG 7'!$C120="",'THÁNG 7'!$B120=""),"",'THÁNG 7'!$B120)</f>
        <v/>
      </c>
      <c r="C263" s="0" t="str">
        <f aca="false">IF('THÁNG 7'!$C120="","",'THÁNG 7'!$C120)</f>
        <v/>
      </c>
      <c r="D263" s="0" t="str">
        <f aca="false">IF('THÁNG 7'!$C120="","",'THÁNG 7'!$D120&amp;"")</f>
        <v/>
      </c>
      <c r="E263" s="0" t="str">
        <f aca="false">IF('THÁNG 7'!$C120="","",'THÁNG 7'!$E120&amp;"")</f>
        <v/>
      </c>
      <c r="F263" s="0" t="str">
        <f aca="false">IF('THÁNG 7'!$C120="","",'THÁNG 7'!$F120&amp;"")</f>
        <v/>
      </c>
      <c r="G263" s="0" t="str">
        <f aca="false">IF('THÁNG 7'!$C120="","",'THÁNG 7'!$G120&amp;"")</f>
        <v/>
      </c>
      <c r="H263" s="0" t="str">
        <f aca="false">IF('THÁNG 7'!$C120="","",'THÁNG 7'!$H120&amp;"")</f>
        <v/>
      </c>
      <c r="I263" s="0" t="str">
        <f aca="false">IF('THÁNG 7'!$C120="","",N('THÁNG 7'!$I120))</f>
        <v/>
      </c>
      <c r="J263" s="0" t="str">
        <f aca="false">IF('THÁNG 7'!$C120="","",N('THÁNG 7'!$L120))</f>
        <v/>
      </c>
      <c r="K263" s="0" t="str">
        <f aca="false">IF('THÁNG 7'!$C120="","",N('THÁNG 7'!$N120))</f>
        <v/>
      </c>
      <c r="L263" s="0" t="str">
        <f aca="false">IF('THÁNG 7'!$C120="","",N('THÁNG 7'!$O120))</f>
        <v/>
      </c>
      <c r="M263" s="0" t="str">
        <f aca="false">IF('THÁNG 7'!$C120="","",N('THÁNG 7'!$P120))</f>
        <v/>
      </c>
      <c r="N263" s="0" t="str">
        <f aca="false">IF('THÁNG 7'!$C120="","",N('THÁNG 7'!$Q120))</f>
        <v/>
      </c>
      <c r="O263" s="0" t="str">
        <f aca="false">IF('THÁNG 7'!$C120="","",N('THÁNG 7'!$R120))</f>
        <v/>
      </c>
      <c r="P263" s="0" t="str">
        <f aca="false">IF(OR('THÁNG 7'!$C120="",'THÁNG 7'!$T120=""),"",'THÁNG 7'!$T120)</f>
        <v/>
      </c>
      <c r="Q263" s="0" t="str">
        <f aca="false">IF(OR('THÁNG 7'!$C120="",'THÁNG 7'!$U120=""),"",'THÁNG 7'!$U120)</f>
        <v/>
      </c>
      <c r="R263" s="0" t="str">
        <f aca="false">IF('THÁNG 7'!$C120="","",'THÁNG 7'!$W120&amp;"")</f>
        <v/>
      </c>
      <c r="S263" s="0" t="str">
        <f aca="false">IF('THÁNG 7'!$C120="","",'THÁNG 7'!$S120&amp;"")</f>
        <v/>
      </c>
      <c r="T263" s="0" t="str">
        <f aca="false">IF(N($O263)&gt;0,COUNTIF($O$3:$O263,"&gt;0"),"")</f>
        <v/>
      </c>
      <c r="U263" s="0" t="str">
        <f aca="false">IF(AND(N($J263)&gt;0,N($K263)&gt;0),COUNTIFS($J$3:$J263,"&gt;0",$K$3:$K263,"&gt;0"),"")</f>
        <v/>
      </c>
      <c r="V263" s="0" t="str">
        <f aca="false">IF(AND(N($J263)&gt;0,N($K263)=0),COUNTIFS($J$3:$J263,"&gt;0",$K$3:$K263,"&lt;=0"),"")</f>
        <v/>
      </c>
      <c r="W263" s="0" t="str">
        <f aca="false">IF($C263="","",IF(COUNTIF($C$3:$C263,$C263)&gt;1,"",MAX($W$2:W262)+1))</f>
        <v/>
      </c>
      <c r="X263" s="0" t="str">
        <f aca="false">IF($H263="","",IF(COUNTIF($H$3:$H263,$H263)&gt;1,"",MAX($X$2:X262)+1))</f>
        <v/>
      </c>
      <c r="Y263" s="0" t="str">
        <f aca="false">IF(AND(N($M263)&gt;0,N($O263)&lt;=0),COUNTIFS($M$3:$M263,"&gt;0",$O$3:$O263,"&lt;=0"),"")</f>
        <v/>
      </c>
      <c r="Z263" s="30" t="n">
        <f aca="false">IF(OR('THÁNG 7'!$C120="",'THÁNG 7'!$B120=""),0,'THÁNG 7'!$B120)</f>
        <v>0</v>
      </c>
    </row>
    <row r="264" customFormat="false" ht="15" hidden="false" customHeight="false" outlineLevel="0" collapsed="false">
      <c r="A264" s="0" t="n">
        <v>7</v>
      </c>
      <c r="B264" s="29" t="str">
        <f aca="false">IF(OR('THÁNG 7'!$C121="",'THÁNG 7'!$B121=""),"",'THÁNG 7'!$B121)</f>
        <v/>
      </c>
      <c r="C264" s="0" t="str">
        <f aca="false">IF('THÁNG 7'!$C121="","",'THÁNG 7'!$C121)</f>
        <v/>
      </c>
      <c r="D264" s="0" t="str">
        <f aca="false">IF('THÁNG 7'!$C121="","",'THÁNG 7'!$D121&amp;"")</f>
        <v/>
      </c>
      <c r="E264" s="0" t="str">
        <f aca="false">IF('THÁNG 7'!$C121="","",'THÁNG 7'!$E121&amp;"")</f>
        <v/>
      </c>
      <c r="F264" s="0" t="str">
        <f aca="false">IF('THÁNG 7'!$C121="","",'THÁNG 7'!$F121&amp;"")</f>
        <v/>
      </c>
      <c r="G264" s="0" t="str">
        <f aca="false">IF('THÁNG 7'!$C121="","",'THÁNG 7'!$G121&amp;"")</f>
        <v/>
      </c>
      <c r="H264" s="0" t="str">
        <f aca="false">IF('THÁNG 7'!$C121="","",'THÁNG 7'!$H121&amp;"")</f>
        <v/>
      </c>
      <c r="I264" s="0" t="str">
        <f aca="false">IF('THÁNG 7'!$C121="","",N('THÁNG 7'!$I121))</f>
        <v/>
      </c>
      <c r="J264" s="0" t="str">
        <f aca="false">IF('THÁNG 7'!$C121="","",N('THÁNG 7'!$L121))</f>
        <v/>
      </c>
      <c r="K264" s="0" t="str">
        <f aca="false">IF('THÁNG 7'!$C121="","",N('THÁNG 7'!$N121))</f>
        <v/>
      </c>
      <c r="L264" s="0" t="str">
        <f aca="false">IF('THÁNG 7'!$C121="","",N('THÁNG 7'!$O121))</f>
        <v/>
      </c>
      <c r="M264" s="0" t="str">
        <f aca="false">IF('THÁNG 7'!$C121="","",N('THÁNG 7'!$P121))</f>
        <v/>
      </c>
      <c r="N264" s="0" t="str">
        <f aca="false">IF('THÁNG 7'!$C121="","",N('THÁNG 7'!$Q121))</f>
        <v/>
      </c>
      <c r="O264" s="0" t="str">
        <f aca="false">IF('THÁNG 7'!$C121="","",N('THÁNG 7'!$R121))</f>
        <v/>
      </c>
      <c r="P264" s="0" t="str">
        <f aca="false">IF(OR('THÁNG 7'!$C121="",'THÁNG 7'!$T121=""),"",'THÁNG 7'!$T121)</f>
        <v/>
      </c>
      <c r="Q264" s="0" t="str">
        <f aca="false">IF(OR('THÁNG 7'!$C121="",'THÁNG 7'!$U121=""),"",'THÁNG 7'!$U121)</f>
        <v/>
      </c>
      <c r="R264" s="0" t="str">
        <f aca="false">IF('THÁNG 7'!$C121="","",'THÁNG 7'!$W121&amp;"")</f>
        <v/>
      </c>
      <c r="S264" s="0" t="str">
        <f aca="false">IF('THÁNG 7'!$C121="","",'THÁNG 7'!$S121&amp;"")</f>
        <v/>
      </c>
      <c r="T264" s="0" t="str">
        <f aca="false">IF(N($O264)&gt;0,COUNTIF($O$3:$O264,"&gt;0"),"")</f>
        <v/>
      </c>
      <c r="U264" s="0" t="str">
        <f aca="false">IF(AND(N($J264)&gt;0,N($K264)&gt;0),COUNTIFS($J$3:$J264,"&gt;0",$K$3:$K264,"&gt;0"),"")</f>
        <v/>
      </c>
      <c r="V264" s="0" t="str">
        <f aca="false">IF(AND(N($J264)&gt;0,N($K264)=0),COUNTIFS($J$3:$J264,"&gt;0",$K$3:$K264,"&lt;=0"),"")</f>
        <v/>
      </c>
      <c r="W264" s="0" t="str">
        <f aca="false">IF($C264="","",IF(COUNTIF($C$3:$C264,$C264)&gt;1,"",MAX($W$2:W263)+1))</f>
        <v/>
      </c>
      <c r="X264" s="0" t="str">
        <f aca="false">IF($H264="","",IF(COUNTIF($H$3:$H264,$H264)&gt;1,"",MAX($X$2:X263)+1))</f>
        <v/>
      </c>
      <c r="Y264" s="0" t="str">
        <f aca="false">IF(AND(N($M264)&gt;0,N($O264)&lt;=0),COUNTIFS($M$3:$M264,"&gt;0",$O$3:$O264,"&lt;=0"),"")</f>
        <v/>
      </c>
      <c r="Z264" s="30" t="n">
        <f aca="false">IF(OR('THÁNG 7'!$C121="",'THÁNG 7'!$B121=""),0,'THÁNG 7'!$B121)</f>
        <v>0</v>
      </c>
    </row>
    <row r="265" customFormat="false" ht="15" hidden="false" customHeight="false" outlineLevel="0" collapsed="false">
      <c r="A265" s="0" t="n">
        <v>7</v>
      </c>
      <c r="B265" s="29" t="str">
        <f aca="false">IF(OR('THÁNG 7'!$C122="",'THÁNG 7'!$B122=""),"",'THÁNG 7'!$B122)</f>
        <v/>
      </c>
      <c r="C265" s="0" t="str">
        <f aca="false">IF('THÁNG 7'!$C122="","",'THÁNG 7'!$C122)</f>
        <v/>
      </c>
      <c r="D265" s="0" t="str">
        <f aca="false">IF('THÁNG 7'!$C122="","",'THÁNG 7'!$D122&amp;"")</f>
        <v/>
      </c>
      <c r="E265" s="0" t="str">
        <f aca="false">IF('THÁNG 7'!$C122="","",'THÁNG 7'!$E122&amp;"")</f>
        <v/>
      </c>
      <c r="F265" s="0" t="str">
        <f aca="false">IF('THÁNG 7'!$C122="","",'THÁNG 7'!$F122&amp;"")</f>
        <v/>
      </c>
      <c r="G265" s="0" t="str">
        <f aca="false">IF('THÁNG 7'!$C122="","",'THÁNG 7'!$G122&amp;"")</f>
        <v/>
      </c>
      <c r="H265" s="0" t="str">
        <f aca="false">IF('THÁNG 7'!$C122="","",'THÁNG 7'!$H122&amp;"")</f>
        <v/>
      </c>
      <c r="I265" s="0" t="str">
        <f aca="false">IF('THÁNG 7'!$C122="","",N('THÁNG 7'!$I122))</f>
        <v/>
      </c>
      <c r="J265" s="0" t="str">
        <f aca="false">IF('THÁNG 7'!$C122="","",N('THÁNG 7'!$L122))</f>
        <v/>
      </c>
      <c r="K265" s="0" t="str">
        <f aca="false">IF('THÁNG 7'!$C122="","",N('THÁNG 7'!$N122))</f>
        <v/>
      </c>
      <c r="L265" s="0" t="str">
        <f aca="false">IF('THÁNG 7'!$C122="","",N('THÁNG 7'!$O122))</f>
        <v/>
      </c>
      <c r="M265" s="0" t="str">
        <f aca="false">IF('THÁNG 7'!$C122="","",N('THÁNG 7'!$P122))</f>
        <v/>
      </c>
      <c r="N265" s="0" t="str">
        <f aca="false">IF('THÁNG 7'!$C122="","",N('THÁNG 7'!$Q122))</f>
        <v/>
      </c>
      <c r="O265" s="0" t="str">
        <f aca="false">IF('THÁNG 7'!$C122="","",N('THÁNG 7'!$R122))</f>
        <v/>
      </c>
      <c r="P265" s="0" t="str">
        <f aca="false">IF(OR('THÁNG 7'!$C122="",'THÁNG 7'!$T122=""),"",'THÁNG 7'!$T122)</f>
        <v/>
      </c>
      <c r="Q265" s="0" t="str">
        <f aca="false">IF(OR('THÁNG 7'!$C122="",'THÁNG 7'!$U122=""),"",'THÁNG 7'!$U122)</f>
        <v/>
      </c>
      <c r="R265" s="0" t="str">
        <f aca="false">IF('THÁNG 7'!$C122="","",'THÁNG 7'!$W122&amp;"")</f>
        <v/>
      </c>
      <c r="S265" s="0" t="str">
        <f aca="false">IF('THÁNG 7'!$C122="","",'THÁNG 7'!$S122&amp;"")</f>
        <v/>
      </c>
      <c r="T265" s="0" t="str">
        <f aca="false">IF(N($O265)&gt;0,COUNTIF($O$3:$O265,"&gt;0"),"")</f>
        <v/>
      </c>
      <c r="U265" s="0" t="str">
        <f aca="false">IF(AND(N($J265)&gt;0,N($K265)&gt;0),COUNTIFS($J$3:$J265,"&gt;0",$K$3:$K265,"&gt;0"),"")</f>
        <v/>
      </c>
      <c r="V265" s="0" t="str">
        <f aca="false">IF(AND(N($J265)&gt;0,N($K265)=0),COUNTIFS($J$3:$J265,"&gt;0",$K$3:$K265,"&lt;=0"),"")</f>
        <v/>
      </c>
      <c r="W265" s="0" t="str">
        <f aca="false">IF($C265="","",IF(COUNTIF($C$3:$C265,$C265)&gt;1,"",MAX($W$2:W264)+1))</f>
        <v/>
      </c>
      <c r="X265" s="0" t="str">
        <f aca="false">IF($H265="","",IF(COUNTIF($H$3:$H265,$H265)&gt;1,"",MAX($X$2:X264)+1))</f>
        <v/>
      </c>
      <c r="Y265" s="0" t="str">
        <f aca="false">IF(AND(N($M265)&gt;0,N($O265)&lt;=0),COUNTIFS($M$3:$M265,"&gt;0",$O$3:$O265,"&lt;=0"),"")</f>
        <v/>
      </c>
      <c r="Z265" s="30" t="n">
        <f aca="false">IF(OR('THÁNG 7'!$C122="",'THÁNG 7'!$B122=""),0,'THÁNG 7'!$B122)</f>
        <v>0</v>
      </c>
    </row>
    <row r="266" customFormat="false" ht="15" hidden="false" customHeight="false" outlineLevel="0" collapsed="false">
      <c r="A266" s="0" t="n">
        <v>7</v>
      </c>
      <c r="B266" s="29" t="str">
        <f aca="false">IF(OR('THÁNG 7'!$C123="",'THÁNG 7'!$B123=""),"",'THÁNG 7'!$B123)</f>
        <v/>
      </c>
      <c r="C266" s="0" t="str">
        <f aca="false">IF('THÁNG 7'!$C123="","",'THÁNG 7'!$C123)</f>
        <v/>
      </c>
      <c r="D266" s="0" t="str">
        <f aca="false">IF('THÁNG 7'!$C123="","",'THÁNG 7'!$D123&amp;"")</f>
        <v/>
      </c>
      <c r="E266" s="0" t="str">
        <f aca="false">IF('THÁNG 7'!$C123="","",'THÁNG 7'!$E123&amp;"")</f>
        <v/>
      </c>
      <c r="F266" s="0" t="str">
        <f aca="false">IF('THÁNG 7'!$C123="","",'THÁNG 7'!$F123&amp;"")</f>
        <v/>
      </c>
      <c r="G266" s="0" t="str">
        <f aca="false">IF('THÁNG 7'!$C123="","",'THÁNG 7'!$G123&amp;"")</f>
        <v/>
      </c>
      <c r="H266" s="0" t="str">
        <f aca="false">IF('THÁNG 7'!$C123="","",'THÁNG 7'!$H123&amp;"")</f>
        <v/>
      </c>
      <c r="I266" s="0" t="str">
        <f aca="false">IF('THÁNG 7'!$C123="","",N('THÁNG 7'!$I123))</f>
        <v/>
      </c>
      <c r="J266" s="0" t="str">
        <f aca="false">IF('THÁNG 7'!$C123="","",N('THÁNG 7'!$L123))</f>
        <v/>
      </c>
      <c r="K266" s="0" t="str">
        <f aca="false">IF('THÁNG 7'!$C123="","",N('THÁNG 7'!$N123))</f>
        <v/>
      </c>
      <c r="L266" s="0" t="str">
        <f aca="false">IF('THÁNG 7'!$C123="","",N('THÁNG 7'!$O123))</f>
        <v/>
      </c>
      <c r="M266" s="0" t="str">
        <f aca="false">IF('THÁNG 7'!$C123="","",N('THÁNG 7'!$P123))</f>
        <v/>
      </c>
      <c r="N266" s="0" t="str">
        <f aca="false">IF('THÁNG 7'!$C123="","",N('THÁNG 7'!$Q123))</f>
        <v/>
      </c>
      <c r="O266" s="0" t="str">
        <f aca="false">IF('THÁNG 7'!$C123="","",N('THÁNG 7'!$R123))</f>
        <v/>
      </c>
      <c r="P266" s="0" t="str">
        <f aca="false">IF(OR('THÁNG 7'!$C123="",'THÁNG 7'!$T123=""),"",'THÁNG 7'!$T123)</f>
        <v/>
      </c>
      <c r="Q266" s="0" t="str">
        <f aca="false">IF(OR('THÁNG 7'!$C123="",'THÁNG 7'!$U123=""),"",'THÁNG 7'!$U123)</f>
        <v/>
      </c>
      <c r="R266" s="0" t="str">
        <f aca="false">IF('THÁNG 7'!$C123="","",'THÁNG 7'!$W123&amp;"")</f>
        <v/>
      </c>
      <c r="S266" s="0" t="str">
        <f aca="false">IF('THÁNG 7'!$C123="","",'THÁNG 7'!$S123&amp;"")</f>
        <v/>
      </c>
      <c r="T266" s="0" t="str">
        <f aca="false">IF(N($O266)&gt;0,COUNTIF($O$3:$O266,"&gt;0"),"")</f>
        <v/>
      </c>
      <c r="U266" s="0" t="str">
        <f aca="false">IF(AND(N($J266)&gt;0,N($K266)&gt;0),COUNTIFS($J$3:$J266,"&gt;0",$K$3:$K266,"&gt;0"),"")</f>
        <v/>
      </c>
      <c r="V266" s="0" t="str">
        <f aca="false">IF(AND(N($J266)&gt;0,N($K266)=0),COUNTIFS($J$3:$J266,"&gt;0",$K$3:$K266,"&lt;=0"),"")</f>
        <v/>
      </c>
      <c r="W266" s="0" t="str">
        <f aca="false">IF($C266="","",IF(COUNTIF($C$3:$C266,$C266)&gt;1,"",MAX($W$2:W265)+1))</f>
        <v/>
      </c>
      <c r="X266" s="0" t="str">
        <f aca="false">IF($H266="","",IF(COUNTIF($H$3:$H266,$H266)&gt;1,"",MAX($X$2:X265)+1))</f>
        <v/>
      </c>
      <c r="Y266" s="0" t="str">
        <f aca="false">IF(AND(N($M266)&gt;0,N($O266)&lt;=0),COUNTIFS($M$3:$M266,"&gt;0",$O$3:$O266,"&lt;=0"),"")</f>
        <v/>
      </c>
      <c r="Z266" s="30" t="n">
        <f aca="false">IF(OR('THÁNG 7'!$C123="",'THÁNG 7'!$B123=""),0,'THÁNG 7'!$B123)</f>
        <v>0</v>
      </c>
    </row>
    <row r="267" customFormat="false" ht="15" hidden="false" customHeight="false" outlineLevel="0" collapsed="false">
      <c r="A267" s="0" t="n">
        <v>7</v>
      </c>
      <c r="B267" s="29" t="str">
        <f aca="false">IF(OR('THÁNG 7'!$C124="",'THÁNG 7'!$B124=""),"",'THÁNG 7'!$B124)</f>
        <v/>
      </c>
      <c r="C267" s="0" t="str">
        <f aca="false">IF('THÁNG 7'!$C124="","",'THÁNG 7'!$C124)</f>
        <v/>
      </c>
      <c r="D267" s="0" t="str">
        <f aca="false">IF('THÁNG 7'!$C124="","",'THÁNG 7'!$D124&amp;"")</f>
        <v/>
      </c>
      <c r="E267" s="0" t="str">
        <f aca="false">IF('THÁNG 7'!$C124="","",'THÁNG 7'!$E124&amp;"")</f>
        <v/>
      </c>
      <c r="F267" s="0" t="str">
        <f aca="false">IF('THÁNG 7'!$C124="","",'THÁNG 7'!$F124&amp;"")</f>
        <v/>
      </c>
      <c r="G267" s="0" t="str">
        <f aca="false">IF('THÁNG 7'!$C124="","",'THÁNG 7'!$G124&amp;"")</f>
        <v/>
      </c>
      <c r="H267" s="0" t="str">
        <f aca="false">IF('THÁNG 7'!$C124="","",'THÁNG 7'!$H124&amp;"")</f>
        <v/>
      </c>
      <c r="I267" s="0" t="str">
        <f aca="false">IF('THÁNG 7'!$C124="","",N('THÁNG 7'!$I124))</f>
        <v/>
      </c>
      <c r="J267" s="0" t="str">
        <f aca="false">IF('THÁNG 7'!$C124="","",N('THÁNG 7'!$L124))</f>
        <v/>
      </c>
      <c r="K267" s="0" t="str">
        <f aca="false">IF('THÁNG 7'!$C124="","",N('THÁNG 7'!$N124))</f>
        <v/>
      </c>
      <c r="L267" s="0" t="str">
        <f aca="false">IF('THÁNG 7'!$C124="","",N('THÁNG 7'!$O124))</f>
        <v/>
      </c>
      <c r="M267" s="0" t="str">
        <f aca="false">IF('THÁNG 7'!$C124="","",N('THÁNG 7'!$P124))</f>
        <v/>
      </c>
      <c r="N267" s="0" t="str">
        <f aca="false">IF('THÁNG 7'!$C124="","",N('THÁNG 7'!$Q124))</f>
        <v/>
      </c>
      <c r="O267" s="0" t="str">
        <f aca="false">IF('THÁNG 7'!$C124="","",N('THÁNG 7'!$R124))</f>
        <v/>
      </c>
      <c r="P267" s="0" t="str">
        <f aca="false">IF(OR('THÁNG 7'!$C124="",'THÁNG 7'!$T124=""),"",'THÁNG 7'!$T124)</f>
        <v/>
      </c>
      <c r="Q267" s="0" t="str">
        <f aca="false">IF(OR('THÁNG 7'!$C124="",'THÁNG 7'!$U124=""),"",'THÁNG 7'!$U124)</f>
        <v/>
      </c>
      <c r="R267" s="0" t="str">
        <f aca="false">IF('THÁNG 7'!$C124="","",'THÁNG 7'!$W124&amp;"")</f>
        <v/>
      </c>
      <c r="S267" s="0" t="str">
        <f aca="false">IF('THÁNG 7'!$C124="","",'THÁNG 7'!$S124&amp;"")</f>
        <v/>
      </c>
      <c r="T267" s="0" t="str">
        <f aca="false">IF(N($O267)&gt;0,COUNTIF($O$3:$O267,"&gt;0"),"")</f>
        <v/>
      </c>
      <c r="U267" s="0" t="str">
        <f aca="false">IF(AND(N($J267)&gt;0,N($K267)&gt;0),COUNTIFS($J$3:$J267,"&gt;0",$K$3:$K267,"&gt;0"),"")</f>
        <v/>
      </c>
      <c r="V267" s="0" t="str">
        <f aca="false">IF(AND(N($J267)&gt;0,N($K267)=0),COUNTIFS($J$3:$J267,"&gt;0",$K$3:$K267,"&lt;=0"),"")</f>
        <v/>
      </c>
      <c r="W267" s="0" t="str">
        <f aca="false">IF($C267="","",IF(COUNTIF($C$3:$C267,$C267)&gt;1,"",MAX($W$2:W266)+1))</f>
        <v/>
      </c>
      <c r="X267" s="0" t="str">
        <f aca="false">IF($H267="","",IF(COUNTIF($H$3:$H267,$H267)&gt;1,"",MAX($X$2:X266)+1))</f>
        <v/>
      </c>
      <c r="Y267" s="0" t="str">
        <f aca="false">IF(AND(N($M267)&gt;0,N($O267)&lt;=0),COUNTIFS($M$3:$M267,"&gt;0",$O$3:$O267,"&lt;=0"),"")</f>
        <v/>
      </c>
      <c r="Z267" s="30" t="n">
        <f aca="false">IF(OR('THÁNG 7'!$C124="",'THÁNG 7'!$B124=""),0,'THÁNG 7'!$B124)</f>
        <v>0</v>
      </c>
    </row>
    <row r="268" customFormat="false" ht="15" hidden="false" customHeight="false" outlineLevel="0" collapsed="false">
      <c r="A268" s="0" t="n">
        <v>7</v>
      </c>
      <c r="B268" s="29" t="str">
        <f aca="false">IF(OR('THÁNG 7'!$C125="",'THÁNG 7'!$B125=""),"",'THÁNG 7'!$B125)</f>
        <v/>
      </c>
      <c r="C268" s="0" t="str">
        <f aca="false">IF('THÁNG 7'!$C125="","",'THÁNG 7'!$C125)</f>
        <v/>
      </c>
      <c r="D268" s="0" t="str">
        <f aca="false">IF('THÁNG 7'!$C125="","",'THÁNG 7'!$D125&amp;"")</f>
        <v/>
      </c>
      <c r="E268" s="0" t="str">
        <f aca="false">IF('THÁNG 7'!$C125="","",'THÁNG 7'!$E125&amp;"")</f>
        <v/>
      </c>
      <c r="F268" s="0" t="str">
        <f aca="false">IF('THÁNG 7'!$C125="","",'THÁNG 7'!$F125&amp;"")</f>
        <v/>
      </c>
      <c r="G268" s="0" t="str">
        <f aca="false">IF('THÁNG 7'!$C125="","",'THÁNG 7'!$G125&amp;"")</f>
        <v/>
      </c>
      <c r="H268" s="0" t="str">
        <f aca="false">IF('THÁNG 7'!$C125="","",'THÁNG 7'!$H125&amp;"")</f>
        <v/>
      </c>
      <c r="I268" s="0" t="str">
        <f aca="false">IF('THÁNG 7'!$C125="","",N('THÁNG 7'!$I125))</f>
        <v/>
      </c>
      <c r="J268" s="0" t="str">
        <f aca="false">IF('THÁNG 7'!$C125="","",N('THÁNG 7'!$L125))</f>
        <v/>
      </c>
      <c r="K268" s="0" t="str">
        <f aca="false">IF('THÁNG 7'!$C125="","",N('THÁNG 7'!$N125))</f>
        <v/>
      </c>
      <c r="L268" s="0" t="str">
        <f aca="false">IF('THÁNG 7'!$C125="","",N('THÁNG 7'!$O125))</f>
        <v/>
      </c>
      <c r="M268" s="0" t="str">
        <f aca="false">IF('THÁNG 7'!$C125="","",N('THÁNG 7'!$P125))</f>
        <v/>
      </c>
      <c r="N268" s="0" t="str">
        <f aca="false">IF('THÁNG 7'!$C125="","",N('THÁNG 7'!$Q125))</f>
        <v/>
      </c>
      <c r="O268" s="0" t="str">
        <f aca="false">IF('THÁNG 7'!$C125="","",N('THÁNG 7'!$R125))</f>
        <v/>
      </c>
      <c r="P268" s="0" t="str">
        <f aca="false">IF(OR('THÁNG 7'!$C125="",'THÁNG 7'!$T125=""),"",'THÁNG 7'!$T125)</f>
        <v/>
      </c>
      <c r="Q268" s="0" t="str">
        <f aca="false">IF(OR('THÁNG 7'!$C125="",'THÁNG 7'!$U125=""),"",'THÁNG 7'!$U125)</f>
        <v/>
      </c>
      <c r="R268" s="0" t="str">
        <f aca="false">IF('THÁNG 7'!$C125="","",'THÁNG 7'!$W125&amp;"")</f>
        <v/>
      </c>
      <c r="S268" s="0" t="str">
        <f aca="false">IF('THÁNG 7'!$C125="","",'THÁNG 7'!$S125&amp;"")</f>
        <v/>
      </c>
      <c r="T268" s="0" t="str">
        <f aca="false">IF(N($O268)&gt;0,COUNTIF($O$3:$O268,"&gt;0"),"")</f>
        <v/>
      </c>
      <c r="U268" s="0" t="str">
        <f aca="false">IF(AND(N($J268)&gt;0,N($K268)&gt;0),COUNTIFS($J$3:$J268,"&gt;0",$K$3:$K268,"&gt;0"),"")</f>
        <v/>
      </c>
      <c r="V268" s="0" t="str">
        <f aca="false">IF(AND(N($J268)&gt;0,N($K268)=0),COUNTIFS($J$3:$J268,"&gt;0",$K$3:$K268,"&lt;=0"),"")</f>
        <v/>
      </c>
      <c r="W268" s="0" t="str">
        <f aca="false">IF($C268="","",IF(COUNTIF($C$3:$C268,$C268)&gt;1,"",MAX($W$2:W267)+1))</f>
        <v/>
      </c>
      <c r="X268" s="0" t="str">
        <f aca="false">IF($H268="","",IF(COUNTIF($H$3:$H268,$H268)&gt;1,"",MAX($X$2:X267)+1))</f>
        <v/>
      </c>
      <c r="Y268" s="0" t="str">
        <f aca="false">IF(AND(N($M268)&gt;0,N($O268)&lt;=0),COUNTIFS($M$3:$M268,"&gt;0",$O$3:$O268,"&lt;=0"),"")</f>
        <v/>
      </c>
      <c r="Z268" s="30" t="n">
        <f aca="false">IF(OR('THÁNG 7'!$C125="",'THÁNG 7'!$B125=""),0,'THÁNG 7'!$B125)</f>
        <v>0</v>
      </c>
    </row>
    <row r="269" customFormat="false" ht="15" hidden="false" customHeight="false" outlineLevel="0" collapsed="false">
      <c r="A269" s="0" t="n">
        <v>7</v>
      </c>
      <c r="B269" s="29" t="str">
        <f aca="false">IF(OR('THÁNG 7'!$C126="",'THÁNG 7'!$B126=""),"",'THÁNG 7'!$B126)</f>
        <v/>
      </c>
      <c r="C269" s="0" t="str">
        <f aca="false">IF('THÁNG 7'!$C126="","",'THÁNG 7'!$C126)</f>
        <v/>
      </c>
      <c r="D269" s="0" t="str">
        <f aca="false">IF('THÁNG 7'!$C126="","",'THÁNG 7'!$D126&amp;"")</f>
        <v/>
      </c>
      <c r="E269" s="0" t="str">
        <f aca="false">IF('THÁNG 7'!$C126="","",'THÁNG 7'!$E126&amp;"")</f>
        <v/>
      </c>
      <c r="F269" s="0" t="str">
        <f aca="false">IF('THÁNG 7'!$C126="","",'THÁNG 7'!$F126&amp;"")</f>
        <v/>
      </c>
      <c r="G269" s="0" t="str">
        <f aca="false">IF('THÁNG 7'!$C126="","",'THÁNG 7'!$G126&amp;"")</f>
        <v/>
      </c>
      <c r="H269" s="0" t="str">
        <f aca="false">IF('THÁNG 7'!$C126="","",'THÁNG 7'!$H126&amp;"")</f>
        <v/>
      </c>
      <c r="I269" s="0" t="str">
        <f aca="false">IF('THÁNG 7'!$C126="","",N('THÁNG 7'!$I126))</f>
        <v/>
      </c>
      <c r="J269" s="0" t="str">
        <f aca="false">IF('THÁNG 7'!$C126="","",N('THÁNG 7'!$L126))</f>
        <v/>
      </c>
      <c r="K269" s="0" t="str">
        <f aca="false">IF('THÁNG 7'!$C126="","",N('THÁNG 7'!$N126))</f>
        <v/>
      </c>
      <c r="L269" s="0" t="str">
        <f aca="false">IF('THÁNG 7'!$C126="","",N('THÁNG 7'!$O126))</f>
        <v/>
      </c>
      <c r="M269" s="0" t="str">
        <f aca="false">IF('THÁNG 7'!$C126="","",N('THÁNG 7'!$P126))</f>
        <v/>
      </c>
      <c r="N269" s="0" t="str">
        <f aca="false">IF('THÁNG 7'!$C126="","",N('THÁNG 7'!$Q126))</f>
        <v/>
      </c>
      <c r="O269" s="0" t="str">
        <f aca="false">IF('THÁNG 7'!$C126="","",N('THÁNG 7'!$R126))</f>
        <v/>
      </c>
      <c r="P269" s="0" t="str">
        <f aca="false">IF(OR('THÁNG 7'!$C126="",'THÁNG 7'!$T126=""),"",'THÁNG 7'!$T126)</f>
        <v/>
      </c>
      <c r="Q269" s="0" t="str">
        <f aca="false">IF(OR('THÁNG 7'!$C126="",'THÁNG 7'!$U126=""),"",'THÁNG 7'!$U126)</f>
        <v/>
      </c>
      <c r="R269" s="0" t="str">
        <f aca="false">IF('THÁNG 7'!$C126="","",'THÁNG 7'!$W126&amp;"")</f>
        <v/>
      </c>
      <c r="S269" s="0" t="str">
        <f aca="false">IF('THÁNG 7'!$C126="","",'THÁNG 7'!$S126&amp;"")</f>
        <v/>
      </c>
      <c r="T269" s="0" t="str">
        <f aca="false">IF(N($O269)&gt;0,COUNTIF($O$3:$O269,"&gt;0"),"")</f>
        <v/>
      </c>
      <c r="U269" s="0" t="str">
        <f aca="false">IF(AND(N($J269)&gt;0,N($K269)&gt;0),COUNTIFS($J$3:$J269,"&gt;0",$K$3:$K269,"&gt;0"),"")</f>
        <v/>
      </c>
      <c r="V269" s="0" t="str">
        <f aca="false">IF(AND(N($J269)&gt;0,N($K269)=0),COUNTIFS($J$3:$J269,"&gt;0",$K$3:$K269,"&lt;=0"),"")</f>
        <v/>
      </c>
      <c r="W269" s="0" t="str">
        <f aca="false">IF($C269="","",IF(COUNTIF($C$3:$C269,$C269)&gt;1,"",MAX($W$2:W268)+1))</f>
        <v/>
      </c>
      <c r="X269" s="0" t="str">
        <f aca="false">IF($H269="","",IF(COUNTIF($H$3:$H269,$H269)&gt;1,"",MAX($X$2:X268)+1))</f>
        <v/>
      </c>
      <c r="Y269" s="0" t="str">
        <f aca="false">IF(AND(N($M269)&gt;0,N($O269)&lt;=0),COUNTIFS($M$3:$M269,"&gt;0",$O$3:$O269,"&lt;=0"),"")</f>
        <v/>
      </c>
      <c r="Z269" s="30" t="n">
        <f aca="false">IF(OR('THÁNG 7'!$C126="",'THÁNG 7'!$B126=""),0,'THÁNG 7'!$B126)</f>
        <v>0</v>
      </c>
    </row>
    <row r="270" customFormat="false" ht="15" hidden="false" customHeight="false" outlineLevel="0" collapsed="false">
      <c r="A270" s="0" t="n">
        <v>7</v>
      </c>
      <c r="B270" s="29" t="str">
        <f aca="false">IF(OR('THÁNG 7'!$C127="",'THÁNG 7'!$B127=""),"",'THÁNG 7'!$B127)</f>
        <v/>
      </c>
      <c r="C270" s="0" t="str">
        <f aca="false">IF('THÁNG 7'!$C127="","",'THÁNG 7'!$C127)</f>
        <v/>
      </c>
      <c r="D270" s="0" t="str">
        <f aca="false">IF('THÁNG 7'!$C127="","",'THÁNG 7'!$D127&amp;"")</f>
        <v/>
      </c>
      <c r="E270" s="0" t="str">
        <f aca="false">IF('THÁNG 7'!$C127="","",'THÁNG 7'!$E127&amp;"")</f>
        <v/>
      </c>
      <c r="F270" s="0" t="str">
        <f aca="false">IF('THÁNG 7'!$C127="","",'THÁNG 7'!$F127&amp;"")</f>
        <v/>
      </c>
      <c r="G270" s="0" t="str">
        <f aca="false">IF('THÁNG 7'!$C127="","",'THÁNG 7'!$G127&amp;"")</f>
        <v/>
      </c>
      <c r="H270" s="0" t="str">
        <f aca="false">IF('THÁNG 7'!$C127="","",'THÁNG 7'!$H127&amp;"")</f>
        <v/>
      </c>
      <c r="I270" s="0" t="str">
        <f aca="false">IF('THÁNG 7'!$C127="","",N('THÁNG 7'!$I127))</f>
        <v/>
      </c>
      <c r="J270" s="0" t="str">
        <f aca="false">IF('THÁNG 7'!$C127="","",N('THÁNG 7'!$L127))</f>
        <v/>
      </c>
      <c r="K270" s="0" t="str">
        <f aca="false">IF('THÁNG 7'!$C127="","",N('THÁNG 7'!$N127))</f>
        <v/>
      </c>
      <c r="L270" s="0" t="str">
        <f aca="false">IF('THÁNG 7'!$C127="","",N('THÁNG 7'!$O127))</f>
        <v/>
      </c>
      <c r="M270" s="0" t="str">
        <f aca="false">IF('THÁNG 7'!$C127="","",N('THÁNG 7'!$P127))</f>
        <v/>
      </c>
      <c r="N270" s="0" t="str">
        <f aca="false">IF('THÁNG 7'!$C127="","",N('THÁNG 7'!$Q127))</f>
        <v/>
      </c>
      <c r="O270" s="0" t="str">
        <f aca="false">IF('THÁNG 7'!$C127="","",N('THÁNG 7'!$R127))</f>
        <v/>
      </c>
      <c r="P270" s="0" t="str">
        <f aca="false">IF(OR('THÁNG 7'!$C127="",'THÁNG 7'!$T127=""),"",'THÁNG 7'!$T127)</f>
        <v/>
      </c>
      <c r="Q270" s="0" t="str">
        <f aca="false">IF(OR('THÁNG 7'!$C127="",'THÁNG 7'!$U127=""),"",'THÁNG 7'!$U127)</f>
        <v/>
      </c>
      <c r="R270" s="0" t="str">
        <f aca="false">IF('THÁNG 7'!$C127="","",'THÁNG 7'!$W127&amp;"")</f>
        <v/>
      </c>
      <c r="S270" s="0" t="str">
        <f aca="false">IF('THÁNG 7'!$C127="","",'THÁNG 7'!$S127&amp;"")</f>
        <v/>
      </c>
      <c r="T270" s="0" t="str">
        <f aca="false">IF(N($O270)&gt;0,COUNTIF($O$3:$O270,"&gt;0"),"")</f>
        <v/>
      </c>
      <c r="U270" s="0" t="str">
        <f aca="false">IF(AND(N($J270)&gt;0,N($K270)&gt;0),COUNTIFS($J$3:$J270,"&gt;0",$K$3:$K270,"&gt;0"),"")</f>
        <v/>
      </c>
      <c r="V270" s="0" t="str">
        <f aca="false">IF(AND(N($J270)&gt;0,N($K270)=0),COUNTIFS($J$3:$J270,"&gt;0",$K$3:$K270,"&lt;=0"),"")</f>
        <v/>
      </c>
      <c r="W270" s="0" t="str">
        <f aca="false">IF($C270="","",IF(COUNTIF($C$3:$C270,$C270)&gt;1,"",MAX($W$2:W269)+1))</f>
        <v/>
      </c>
      <c r="X270" s="0" t="str">
        <f aca="false">IF($H270="","",IF(COUNTIF($H$3:$H270,$H270)&gt;1,"",MAX($X$2:X269)+1))</f>
        <v/>
      </c>
      <c r="Y270" s="0" t="str">
        <f aca="false">IF(AND(N($M270)&gt;0,N($O270)&lt;=0),COUNTIFS($M$3:$M270,"&gt;0",$O$3:$O270,"&lt;=0"),"")</f>
        <v/>
      </c>
      <c r="Z270" s="30" t="n">
        <f aca="false">IF(OR('THÁNG 7'!$C127="",'THÁNG 7'!$B127=""),0,'THÁNG 7'!$B127)</f>
        <v>0</v>
      </c>
    </row>
    <row r="271" customFormat="false" ht="15" hidden="false" customHeight="false" outlineLevel="0" collapsed="false">
      <c r="A271" s="0" t="n">
        <v>7</v>
      </c>
      <c r="B271" s="29" t="str">
        <f aca="false">IF(OR('THÁNG 7'!$C128="",'THÁNG 7'!$B128=""),"",'THÁNG 7'!$B128)</f>
        <v/>
      </c>
      <c r="C271" s="0" t="str">
        <f aca="false">IF('THÁNG 7'!$C128="","",'THÁNG 7'!$C128)</f>
        <v/>
      </c>
      <c r="D271" s="0" t="str">
        <f aca="false">IF('THÁNG 7'!$C128="","",'THÁNG 7'!$D128&amp;"")</f>
        <v/>
      </c>
      <c r="E271" s="0" t="str">
        <f aca="false">IF('THÁNG 7'!$C128="","",'THÁNG 7'!$E128&amp;"")</f>
        <v/>
      </c>
      <c r="F271" s="0" t="str">
        <f aca="false">IF('THÁNG 7'!$C128="","",'THÁNG 7'!$F128&amp;"")</f>
        <v/>
      </c>
      <c r="G271" s="0" t="str">
        <f aca="false">IF('THÁNG 7'!$C128="","",'THÁNG 7'!$G128&amp;"")</f>
        <v/>
      </c>
      <c r="H271" s="0" t="str">
        <f aca="false">IF('THÁNG 7'!$C128="","",'THÁNG 7'!$H128&amp;"")</f>
        <v/>
      </c>
      <c r="I271" s="0" t="str">
        <f aca="false">IF('THÁNG 7'!$C128="","",N('THÁNG 7'!$I128))</f>
        <v/>
      </c>
      <c r="J271" s="0" t="str">
        <f aca="false">IF('THÁNG 7'!$C128="","",N('THÁNG 7'!$L128))</f>
        <v/>
      </c>
      <c r="K271" s="0" t="str">
        <f aca="false">IF('THÁNG 7'!$C128="","",N('THÁNG 7'!$N128))</f>
        <v/>
      </c>
      <c r="L271" s="0" t="str">
        <f aca="false">IF('THÁNG 7'!$C128="","",N('THÁNG 7'!$O128))</f>
        <v/>
      </c>
      <c r="M271" s="0" t="str">
        <f aca="false">IF('THÁNG 7'!$C128="","",N('THÁNG 7'!$P128))</f>
        <v/>
      </c>
      <c r="N271" s="0" t="str">
        <f aca="false">IF('THÁNG 7'!$C128="","",N('THÁNG 7'!$Q128))</f>
        <v/>
      </c>
      <c r="O271" s="0" t="str">
        <f aca="false">IF('THÁNG 7'!$C128="","",N('THÁNG 7'!$R128))</f>
        <v/>
      </c>
      <c r="P271" s="0" t="str">
        <f aca="false">IF(OR('THÁNG 7'!$C128="",'THÁNG 7'!$T128=""),"",'THÁNG 7'!$T128)</f>
        <v/>
      </c>
      <c r="Q271" s="0" t="str">
        <f aca="false">IF(OR('THÁNG 7'!$C128="",'THÁNG 7'!$U128=""),"",'THÁNG 7'!$U128)</f>
        <v/>
      </c>
      <c r="R271" s="0" t="str">
        <f aca="false">IF('THÁNG 7'!$C128="","",'THÁNG 7'!$W128&amp;"")</f>
        <v/>
      </c>
      <c r="S271" s="0" t="str">
        <f aca="false">IF('THÁNG 7'!$C128="","",'THÁNG 7'!$S128&amp;"")</f>
        <v/>
      </c>
      <c r="T271" s="0" t="str">
        <f aca="false">IF(N($O271)&gt;0,COUNTIF($O$3:$O271,"&gt;0"),"")</f>
        <v/>
      </c>
      <c r="U271" s="0" t="str">
        <f aca="false">IF(AND(N($J271)&gt;0,N($K271)&gt;0),COUNTIFS($J$3:$J271,"&gt;0",$K$3:$K271,"&gt;0"),"")</f>
        <v/>
      </c>
      <c r="V271" s="0" t="str">
        <f aca="false">IF(AND(N($J271)&gt;0,N($K271)=0),COUNTIFS($J$3:$J271,"&gt;0",$K$3:$K271,"&lt;=0"),"")</f>
        <v/>
      </c>
      <c r="W271" s="0" t="str">
        <f aca="false">IF($C271="","",IF(COUNTIF($C$3:$C271,$C271)&gt;1,"",MAX($W$2:W270)+1))</f>
        <v/>
      </c>
      <c r="X271" s="0" t="str">
        <f aca="false">IF($H271="","",IF(COUNTIF($H$3:$H271,$H271)&gt;1,"",MAX($X$2:X270)+1))</f>
        <v/>
      </c>
      <c r="Y271" s="0" t="str">
        <f aca="false">IF(AND(N($M271)&gt;0,N($O271)&lt;=0),COUNTIFS($M$3:$M271,"&gt;0",$O$3:$O271,"&lt;=0"),"")</f>
        <v/>
      </c>
      <c r="Z271" s="30" t="n">
        <f aca="false">IF(OR('THÁNG 7'!$C128="",'THÁNG 7'!$B128=""),0,'THÁNG 7'!$B128)</f>
        <v>0</v>
      </c>
    </row>
    <row r="272" customFormat="false" ht="15" hidden="false" customHeight="false" outlineLevel="0" collapsed="false">
      <c r="A272" s="0" t="n">
        <v>7</v>
      </c>
      <c r="B272" s="29" t="str">
        <f aca="false">IF(OR('THÁNG 7'!$C129="",'THÁNG 7'!$B129=""),"",'THÁNG 7'!$B129)</f>
        <v/>
      </c>
      <c r="C272" s="0" t="str">
        <f aca="false">IF('THÁNG 7'!$C129="","",'THÁNG 7'!$C129)</f>
        <v/>
      </c>
      <c r="D272" s="0" t="str">
        <f aca="false">IF('THÁNG 7'!$C129="","",'THÁNG 7'!$D129&amp;"")</f>
        <v/>
      </c>
      <c r="E272" s="0" t="str">
        <f aca="false">IF('THÁNG 7'!$C129="","",'THÁNG 7'!$E129&amp;"")</f>
        <v/>
      </c>
      <c r="F272" s="0" t="str">
        <f aca="false">IF('THÁNG 7'!$C129="","",'THÁNG 7'!$F129&amp;"")</f>
        <v/>
      </c>
      <c r="G272" s="0" t="str">
        <f aca="false">IF('THÁNG 7'!$C129="","",'THÁNG 7'!$G129&amp;"")</f>
        <v/>
      </c>
      <c r="H272" s="0" t="str">
        <f aca="false">IF('THÁNG 7'!$C129="","",'THÁNG 7'!$H129&amp;"")</f>
        <v/>
      </c>
      <c r="I272" s="0" t="str">
        <f aca="false">IF('THÁNG 7'!$C129="","",N('THÁNG 7'!$I129))</f>
        <v/>
      </c>
      <c r="J272" s="0" t="str">
        <f aca="false">IF('THÁNG 7'!$C129="","",N('THÁNG 7'!$L129))</f>
        <v/>
      </c>
      <c r="K272" s="0" t="str">
        <f aca="false">IF('THÁNG 7'!$C129="","",N('THÁNG 7'!$N129))</f>
        <v/>
      </c>
      <c r="L272" s="0" t="str">
        <f aca="false">IF('THÁNG 7'!$C129="","",N('THÁNG 7'!$O129))</f>
        <v/>
      </c>
      <c r="M272" s="0" t="str">
        <f aca="false">IF('THÁNG 7'!$C129="","",N('THÁNG 7'!$P129))</f>
        <v/>
      </c>
      <c r="N272" s="0" t="str">
        <f aca="false">IF('THÁNG 7'!$C129="","",N('THÁNG 7'!$Q129))</f>
        <v/>
      </c>
      <c r="O272" s="0" t="str">
        <f aca="false">IF('THÁNG 7'!$C129="","",N('THÁNG 7'!$R129))</f>
        <v/>
      </c>
      <c r="P272" s="0" t="str">
        <f aca="false">IF(OR('THÁNG 7'!$C129="",'THÁNG 7'!$T129=""),"",'THÁNG 7'!$T129)</f>
        <v/>
      </c>
      <c r="Q272" s="0" t="str">
        <f aca="false">IF(OR('THÁNG 7'!$C129="",'THÁNG 7'!$U129=""),"",'THÁNG 7'!$U129)</f>
        <v/>
      </c>
      <c r="R272" s="0" t="str">
        <f aca="false">IF('THÁNG 7'!$C129="","",'THÁNG 7'!$W129&amp;"")</f>
        <v/>
      </c>
      <c r="S272" s="0" t="str">
        <f aca="false">IF('THÁNG 7'!$C129="","",'THÁNG 7'!$S129&amp;"")</f>
        <v/>
      </c>
      <c r="T272" s="0" t="str">
        <f aca="false">IF(N($O272)&gt;0,COUNTIF($O$3:$O272,"&gt;0"),"")</f>
        <v/>
      </c>
      <c r="U272" s="0" t="str">
        <f aca="false">IF(AND(N($J272)&gt;0,N($K272)&gt;0),COUNTIFS($J$3:$J272,"&gt;0",$K$3:$K272,"&gt;0"),"")</f>
        <v/>
      </c>
      <c r="V272" s="0" t="str">
        <f aca="false">IF(AND(N($J272)&gt;0,N($K272)=0),COUNTIFS($J$3:$J272,"&gt;0",$K$3:$K272,"&lt;=0"),"")</f>
        <v/>
      </c>
      <c r="W272" s="0" t="str">
        <f aca="false">IF($C272="","",IF(COUNTIF($C$3:$C272,$C272)&gt;1,"",MAX($W$2:W271)+1))</f>
        <v/>
      </c>
      <c r="X272" s="0" t="str">
        <f aca="false">IF($H272="","",IF(COUNTIF($H$3:$H272,$H272)&gt;1,"",MAX($X$2:X271)+1))</f>
        <v/>
      </c>
      <c r="Y272" s="0" t="str">
        <f aca="false">IF(AND(N($M272)&gt;0,N($O272)&lt;=0),COUNTIFS($M$3:$M272,"&gt;0",$O$3:$O272,"&lt;=0"),"")</f>
        <v/>
      </c>
      <c r="Z272" s="30" t="n">
        <f aca="false">IF(OR('THÁNG 7'!$C129="",'THÁNG 7'!$B129=""),0,'THÁNG 7'!$B129)</f>
        <v>0</v>
      </c>
    </row>
    <row r="273" customFormat="false" ht="15" hidden="false" customHeight="false" outlineLevel="0" collapsed="false">
      <c r="A273" s="0" t="n">
        <v>7</v>
      </c>
      <c r="B273" s="29" t="str">
        <f aca="false">IF(OR('THÁNG 7'!$C130="",'THÁNG 7'!$B130=""),"",'THÁNG 7'!$B130)</f>
        <v/>
      </c>
      <c r="C273" s="0" t="str">
        <f aca="false">IF('THÁNG 7'!$C130="","",'THÁNG 7'!$C130)</f>
        <v/>
      </c>
      <c r="D273" s="0" t="str">
        <f aca="false">IF('THÁNG 7'!$C130="","",'THÁNG 7'!$D130&amp;"")</f>
        <v/>
      </c>
      <c r="E273" s="0" t="str">
        <f aca="false">IF('THÁNG 7'!$C130="","",'THÁNG 7'!$E130&amp;"")</f>
        <v/>
      </c>
      <c r="F273" s="0" t="str">
        <f aca="false">IF('THÁNG 7'!$C130="","",'THÁNG 7'!$F130&amp;"")</f>
        <v/>
      </c>
      <c r="G273" s="0" t="str">
        <f aca="false">IF('THÁNG 7'!$C130="","",'THÁNG 7'!$G130&amp;"")</f>
        <v/>
      </c>
      <c r="H273" s="0" t="str">
        <f aca="false">IF('THÁNG 7'!$C130="","",'THÁNG 7'!$H130&amp;"")</f>
        <v/>
      </c>
      <c r="I273" s="0" t="str">
        <f aca="false">IF('THÁNG 7'!$C130="","",N('THÁNG 7'!$I130))</f>
        <v/>
      </c>
      <c r="J273" s="0" t="str">
        <f aca="false">IF('THÁNG 7'!$C130="","",N('THÁNG 7'!$L130))</f>
        <v/>
      </c>
      <c r="K273" s="0" t="str">
        <f aca="false">IF('THÁNG 7'!$C130="","",N('THÁNG 7'!$N130))</f>
        <v/>
      </c>
      <c r="L273" s="0" t="str">
        <f aca="false">IF('THÁNG 7'!$C130="","",N('THÁNG 7'!$O130))</f>
        <v/>
      </c>
      <c r="M273" s="0" t="str">
        <f aca="false">IF('THÁNG 7'!$C130="","",N('THÁNG 7'!$P130))</f>
        <v/>
      </c>
      <c r="N273" s="0" t="str">
        <f aca="false">IF('THÁNG 7'!$C130="","",N('THÁNG 7'!$Q130))</f>
        <v/>
      </c>
      <c r="O273" s="0" t="str">
        <f aca="false">IF('THÁNG 7'!$C130="","",N('THÁNG 7'!$R130))</f>
        <v/>
      </c>
      <c r="P273" s="0" t="str">
        <f aca="false">IF(OR('THÁNG 7'!$C130="",'THÁNG 7'!$T130=""),"",'THÁNG 7'!$T130)</f>
        <v/>
      </c>
      <c r="Q273" s="0" t="str">
        <f aca="false">IF(OR('THÁNG 7'!$C130="",'THÁNG 7'!$U130=""),"",'THÁNG 7'!$U130)</f>
        <v/>
      </c>
      <c r="R273" s="0" t="str">
        <f aca="false">IF('THÁNG 7'!$C130="","",'THÁNG 7'!$W130&amp;"")</f>
        <v/>
      </c>
      <c r="S273" s="0" t="str">
        <f aca="false">IF('THÁNG 7'!$C130="","",'THÁNG 7'!$S130&amp;"")</f>
        <v/>
      </c>
      <c r="T273" s="0" t="str">
        <f aca="false">IF(N($O273)&gt;0,COUNTIF($O$3:$O273,"&gt;0"),"")</f>
        <v/>
      </c>
      <c r="U273" s="0" t="str">
        <f aca="false">IF(AND(N($J273)&gt;0,N($K273)&gt;0),COUNTIFS($J$3:$J273,"&gt;0",$K$3:$K273,"&gt;0"),"")</f>
        <v/>
      </c>
      <c r="V273" s="0" t="str">
        <f aca="false">IF(AND(N($J273)&gt;0,N($K273)=0),COUNTIFS($J$3:$J273,"&gt;0",$K$3:$K273,"&lt;=0"),"")</f>
        <v/>
      </c>
      <c r="W273" s="0" t="str">
        <f aca="false">IF($C273="","",IF(COUNTIF($C$3:$C273,$C273)&gt;1,"",MAX($W$2:W272)+1))</f>
        <v/>
      </c>
      <c r="X273" s="0" t="str">
        <f aca="false">IF($H273="","",IF(COUNTIF($H$3:$H273,$H273)&gt;1,"",MAX($X$2:X272)+1))</f>
        <v/>
      </c>
      <c r="Y273" s="0" t="str">
        <f aca="false">IF(AND(N($M273)&gt;0,N($O273)&lt;=0),COUNTIFS($M$3:$M273,"&gt;0",$O$3:$O273,"&lt;=0"),"")</f>
        <v/>
      </c>
      <c r="Z273" s="30" t="n">
        <f aca="false">IF(OR('THÁNG 7'!$C130="",'THÁNG 7'!$B130=""),0,'THÁNG 7'!$B130)</f>
        <v>0</v>
      </c>
    </row>
    <row r="274" customFormat="false" ht="15" hidden="false" customHeight="false" outlineLevel="0" collapsed="false">
      <c r="A274" s="0" t="n">
        <v>7</v>
      </c>
      <c r="B274" s="29" t="str">
        <f aca="false">IF(OR('THÁNG 7'!$C131="",'THÁNG 7'!$B131=""),"",'THÁNG 7'!$B131)</f>
        <v/>
      </c>
      <c r="C274" s="0" t="str">
        <f aca="false">IF('THÁNG 7'!$C131="","",'THÁNG 7'!$C131)</f>
        <v/>
      </c>
      <c r="D274" s="0" t="str">
        <f aca="false">IF('THÁNG 7'!$C131="","",'THÁNG 7'!$D131&amp;"")</f>
        <v/>
      </c>
      <c r="E274" s="0" t="str">
        <f aca="false">IF('THÁNG 7'!$C131="","",'THÁNG 7'!$E131&amp;"")</f>
        <v/>
      </c>
      <c r="F274" s="0" t="str">
        <f aca="false">IF('THÁNG 7'!$C131="","",'THÁNG 7'!$F131&amp;"")</f>
        <v/>
      </c>
      <c r="G274" s="0" t="str">
        <f aca="false">IF('THÁNG 7'!$C131="","",'THÁNG 7'!$G131&amp;"")</f>
        <v/>
      </c>
      <c r="H274" s="0" t="str">
        <f aca="false">IF('THÁNG 7'!$C131="","",'THÁNG 7'!$H131&amp;"")</f>
        <v/>
      </c>
      <c r="I274" s="0" t="str">
        <f aca="false">IF('THÁNG 7'!$C131="","",N('THÁNG 7'!$I131))</f>
        <v/>
      </c>
      <c r="J274" s="0" t="str">
        <f aca="false">IF('THÁNG 7'!$C131="","",N('THÁNG 7'!$L131))</f>
        <v/>
      </c>
      <c r="K274" s="0" t="str">
        <f aca="false">IF('THÁNG 7'!$C131="","",N('THÁNG 7'!$N131))</f>
        <v/>
      </c>
      <c r="L274" s="0" t="str">
        <f aca="false">IF('THÁNG 7'!$C131="","",N('THÁNG 7'!$O131))</f>
        <v/>
      </c>
      <c r="M274" s="0" t="str">
        <f aca="false">IF('THÁNG 7'!$C131="","",N('THÁNG 7'!$P131))</f>
        <v/>
      </c>
      <c r="N274" s="0" t="str">
        <f aca="false">IF('THÁNG 7'!$C131="","",N('THÁNG 7'!$Q131))</f>
        <v/>
      </c>
      <c r="O274" s="0" t="str">
        <f aca="false">IF('THÁNG 7'!$C131="","",N('THÁNG 7'!$R131))</f>
        <v/>
      </c>
      <c r="P274" s="0" t="str">
        <f aca="false">IF(OR('THÁNG 7'!$C131="",'THÁNG 7'!$T131=""),"",'THÁNG 7'!$T131)</f>
        <v/>
      </c>
      <c r="Q274" s="0" t="str">
        <f aca="false">IF(OR('THÁNG 7'!$C131="",'THÁNG 7'!$U131=""),"",'THÁNG 7'!$U131)</f>
        <v/>
      </c>
      <c r="R274" s="0" t="str">
        <f aca="false">IF('THÁNG 7'!$C131="","",'THÁNG 7'!$W131&amp;"")</f>
        <v/>
      </c>
      <c r="S274" s="0" t="str">
        <f aca="false">IF('THÁNG 7'!$C131="","",'THÁNG 7'!$S131&amp;"")</f>
        <v/>
      </c>
      <c r="T274" s="0" t="str">
        <f aca="false">IF(N($O274)&gt;0,COUNTIF($O$3:$O274,"&gt;0"),"")</f>
        <v/>
      </c>
      <c r="U274" s="0" t="str">
        <f aca="false">IF(AND(N($J274)&gt;0,N($K274)&gt;0),COUNTIFS($J$3:$J274,"&gt;0",$K$3:$K274,"&gt;0"),"")</f>
        <v/>
      </c>
      <c r="V274" s="0" t="str">
        <f aca="false">IF(AND(N($J274)&gt;0,N($K274)=0),COUNTIFS($J$3:$J274,"&gt;0",$K$3:$K274,"&lt;=0"),"")</f>
        <v/>
      </c>
      <c r="W274" s="0" t="str">
        <f aca="false">IF($C274="","",IF(COUNTIF($C$3:$C274,$C274)&gt;1,"",MAX($W$2:W273)+1))</f>
        <v/>
      </c>
      <c r="X274" s="0" t="str">
        <f aca="false">IF($H274="","",IF(COUNTIF($H$3:$H274,$H274)&gt;1,"",MAX($X$2:X273)+1))</f>
        <v/>
      </c>
      <c r="Y274" s="0" t="str">
        <f aca="false">IF(AND(N($M274)&gt;0,N($O274)&lt;=0),COUNTIFS($M$3:$M274,"&gt;0",$O$3:$O274,"&lt;=0"),"")</f>
        <v/>
      </c>
      <c r="Z274" s="30" t="n">
        <f aca="false">IF(OR('THÁNG 7'!$C131="",'THÁNG 7'!$B131=""),0,'THÁNG 7'!$B131)</f>
        <v>0</v>
      </c>
    </row>
    <row r="275" customFormat="false" ht="15" hidden="false" customHeight="false" outlineLevel="0" collapsed="false">
      <c r="A275" s="0" t="n">
        <v>7</v>
      </c>
      <c r="B275" s="29" t="str">
        <f aca="false">IF(OR('THÁNG 7'!$C132="",'THÁNG 7'!$B132=""),"",'THÁNG 7'!$B132)</f>
        <v/>
      </c>
      <c r="C275" s="0" t="str">
        <f aca="false">IF('THÁNG 7'!$C132="","",'THÁNG 7'!$C132)</f>
        <v/>
      </c>
      <c r="D275" s="0" t="str">
        <f aca="false">IF('THÁNG 7'!$C132="","",'THÁNG 7'!$D132&amp;"")</f>
        <v/>
      </c>
      <c r="E275" s="0" t="str">
        <f aca="false">IF('THÁNG 7'!$C132="","",'THÁNG 7'!$E132&amp;"")</f>
        <v/>
      </c>
      <c r="F275" s="0" t="str">
        <f aca="false">IF('THÁNG 7'!$C132="","",'THÁNG 7'!$F132&amp;"")</f>
        <v/>
      </c>
      <c r="G275" s="0" t="str">
        <f aca="false">IF('THÁNG 7'!$C132="","",'THÁNG 7'!$G132&amp;"")</f>
        <v/>
      </c>
      <c r="H275" s="0" t="str">
        <f aca="false">IF('THÁNG 7'!$C132="","",'THÁNG 7'!$H132&amp;"")</f>
        <v/>
      </c>
      <c r="I275" s="0" t="str">
        <f aca="false">IF('THÁNG 7'!$C132="","",N('THÁNG 7'!$I132))</f>
        <v/>
      </c>
      <c r="J275" s="0" t="str">
        <f aca="false">IF('THÁNG 7'!$C132="","",N('THÁNG 7'!$L132))</f>
        <v/>
      </c>
      <c r="K275" s="0" t="str">
        <f aca="false">IF('THÁNG 7'!$C132="","",N('THÁNG 7'!$N132))</f>
        <v/>
      </c>
      <c r="L275" s="0" t="str">
        <f aca="false">IF('THÁNG 7'!$C132="","",N('THÁNG 7'!$O132))</f>
        <v/>
      </c>
      <c r="M275" s="0" t="str">
        <f aca="false">IF('THÁNG 7'!$C132="","",N('THÁNG 7'!$P132))</f>
        <v/>
      </c>
      <c r="N275" s="0" t="str">
        <f aca="false">IF('THÁNG 7'!$C132="","",N('THÁNG 7'!$Q132))</f>
        <v/>
      </c>
      <c r="O275" s="0" t="str">
        <f aca="false">IF('THÁNG 7'!$C132="","",N('THÁNG 7'!$R132))</f>
        <v/>
      </c>
      <c r="P275" s="0" t="str">
        <f aca="false">IF(OR('THÁNG 7'!$C132="",'THÁNG 7'!$T132=""),"",'THÁNG 7'!$T132)</f>
        <v/>
      </c>
      <c r="Q275" s="0" t="str">
        <f aca="false">IF(OR('THÁNG 7'!$C132="",'THÁNG 7'!$U132=""),"",'THÁNG 7'!$U132)</f>
        <v/>
      </c>
      <c r="R275" s="0" t="str">
        <f aca="false">IF('THÁNG 7'!$C132="","",'THÁNG 7'!$W132&amp;"")</f>
        <v/>
      </c>
      <c r="S275" s="0" t="str">
        <f aca="false">IF('THÁNG 7'!$C132="","",'THÁNG 7'!$S132&amp;"")</f>
        <v/>
      </c>
      <c r="T275" s="0" t="str">
        <f aca="false">IF(N($O275)&gt;0,COUNTIF($O$3:$O275,"&gt;0"),"")</f>
        <v/>
      </c>
      <c r="U275" s="0" t="str">
        <f aca="false">IF(AND(N($J275)&gt;0,N($K275)&gt;0),COUNTIFS($J$3:$J275,"&gt;0",$K$3:$K275,"&gt;0"),"")</f>
        <v/>
      </c>
      <c r="V275" s="0" t="str">
        <f aca="false">IF(AND(N($J275)&gt;0,N($K275)=0),COUNTIFS($J$3:$J275,"&gt;0",$K$3:$K275,"&lt;=0"),"")</f>
        <v/>
      </c>
      <c r="W275" s="0" t="str">
        <f aca="false">IF($C275="","",IF(COUNTIF($C$3:$C275,$C275)&gt;1,"",MAX($W$2:W274)+1))</f>
        <v/>
      </c>
      <c r="X275" s="0" t="str">
        <f aca="false">IF($H275="","",IF(COUNTIF($H$3:$H275,$H275)&gt;1,"",MAX($X$2:X274)+1))</f>
        <v/>
      </c>
      <c r="Y275" s="0" t="str">
        <f aca="false">IF(AND(N($M275)&gt;0,N($O275)&lt;=0),COUNTIFS($M$3:$M275,"&gt;0",$O$3:$O275,"&lt;=0"),"")</f>
        <v/>
      </c>
      <c r="Z275" s="30" t="n">
        <f aca="false">IF(OR('THÁNG 7'!$C132="",'THÁNG 7'!$B132=""),0,'THÁNG 7'!$B132)</f>
        <v>0</v>
      </c>
    </row>
    <row r="276" customFormat="false" ht="15" hidden="false" customHeight="false" outlineLevel="0" collapsed="false">
      <c r="A276" s="0" t="n">
        <v>7</v>
      </c>
      <c r="B276" s="29" t="str">
        <f aca="false">IF(OR('THÁNG 7'!$C133="",'THÁNG 7'!$B133=""),"",'THÁNG 7'!$B133)</f>
        <v/>
      </c>
      <c r="C276" s="0" t="str">
        <f aca="false">IF('THÁNG 7'!$C133="","",'THÁNG 7'!$C133)</f>
        <v/>
      </c>
      <c r="D276" s="0" t="str">
        <f aca="false">IF('THÁNG 7'!$C133="","",'THÁNG 7'!$D133&amp;"")</f>
        <v/>
      </c>
      <c r="E276" s="0" t="str">
        <f aca="false">IF('THÁNG 7'!$C133="","",'THÁNG 7'!$E133&amp;"")</f>
        <v/>
      </c>
      <c r="F276" s="0" t="str">
        <f aca="false">IF('THÁNG 7'!$C133="","",'THÁNG 7'!$F133&amp;"")</f>
        <v/>
      </c>
      <c r="G276" s="0" t="str">
        <f aca="false">IF('THÁNG 7'!$C133="","",'THÁNG 7'!$G133&amp;"")</f>
        <v/>
      </c>
      <c r="H276" s="0" t="str">
        <f aca="false">IF('THÁNG 7'!$C133="","",'THÁNG 7'!$H133&amp;"")</f>
        <v/>
      </c>
      <c r="I276" s="0" t="str">
        <f aca="false">IF('THÁNG 7'!$C133="","",N('THÁNG 7'!$I133))</f>
        <v/>
      </c>
      <c r="J276" s="0" t="str">
        <f aca="false">IF('THÁNG 7'!$C133="","",N('THÁNG 7'!$L133))</f>
        <v/>
      </c>
      <c r="K276" s="0" t="str">
        <f aca="false">IF('THÁNG 7'!$C133="","",N('THÁNG 7'!$N133))</f>
        <v/>
      </c>
      <c r="L276" s="0" t="str">
        <f aca="false">IF('THÁNG 7'!$C133="","",N('THÁNG 7'!$O133))</f>
        <v/>
      </c>
      <c r="M276" s="0" t="str">
        <f aca="false">IF('THÁNG 7'!$C133="","",N('THÁNG 7'!$P133))</f>
        <v/>
      </c>
      <c r="N276" s="0" t="str">
        <f aca="false">IF('THÁNG 7'!$C133="","",N('THÁNG 7'!$Q133))</f>
        <v/>
      </c>
      <c r="O276" s="0" t="str">
        <f aca="false">IF('THÁNG 7'!$C133="","",N('THÁNG 7'!$R133))</f>
        <v/>
      </c>
      <c r="P276" s="0" t="str">
        <f aca="false">IF(OR('THÁNG 7'!$C133="",'THÁNG 7'!$T133=""),"",'THÁNG 7'!$T133)</f>
        <v/>
      </c>
      <c r="Q276" s="0" t="str">
        <f aca="false">IF(OR('THÁNG 7'!$C133="",'THÁNG 7'!$U133=""),"",'THÁNG 7'!$U133)</f>
        <v/>
      </c>
      <c r="R276" s="0" t="str">
        <f aca="false">IF('THÁNG 7'!$C133="","",'THÁNG 7'!$W133&amp;"")</f>
        <v/>
      </c>
      <c r="S276" s="0" t="str">
        <f aca="false">IF('THÁNG 7'!$C133="","",'THÁNG 7'!$S133&amp;"")</f>
        <v/>
      </c>
      <c r="T276" s="0" t="str">
        <f aca="false">IF(N($O276)&gt;0,COUNTIF($O$3:$O276,"&gt;0"),"")</f>
        <v/>
      </c>
      <c r="U276" s="0" t="str">
        <f aca="false">IF(AND(N($J276)&gt;0,N($K276)&gt;0),COUNTIFS($J$3:$J276,"&gt;0",$K$3:$K276,"&gt;0"),"")</f>
        <v/>
      </c>
      <c r="V276" s="0" t="str">
        <f aca="false">IF(AND(N($J276)&gt;0,N($K276)=0),COUNTIFS($J$3:$J276,"&gt;0",$K$3:$K276,"&lt;=0"),"")</f>
        <v/>
      </c>
      <c r="W276" s="0" t="str">
        <f aca="false">IF($C276="","",IF(COUNTIF($C$3:$C276,$C276)&gt;1,"",MAX($W$2:W275)+1))</f>
        <v/>
      </c>
      <c r="X276" s="0" t="str">
        <f aca="false">IF($H276="","",IF(COUNTIF($H$3:$H276,$H276)&gt;1,"",MAX($X$2:X275)+1))</f>
        <v/>
      </c>
      <c r="Y276" s="0" t="str">
        <f aca="false">IF(AND(N($M276)&gt;0,N($O276)&lt;=0),COUNTIFS($M$3:$M276,"&gt;0",$O$3:$O276,"&lt;=0"),"")</f>
        <v/>
      </c>
      <c r="Z276" s="30" t="n">
        <f aca="false">IF(OR('THÁNG 7'!$C133="",'THÁNG 7'!$B133=""),0,'THÁNG 7'!$B133)</f>
        <v>0</v>
      </c>
    </row>
    <row r="277" customFormat="false" ht="15" hidden="false" customHeight="false" outlineLevel="0" collapsed="false">
      <c r="A277" s="0" t="n">
        <v>7</v>
      </c>
      <c r="B277" s="29" t="str">
        <f aca="false">IF(OR('THÁNG 7'!$C134="",'THÁNG 7'!$B134=""),"",'THÁNG 7'!$B134)</f>
        <v/>
      </c>
      <c r="C277" s="0" t="str">
        <f aca="false">IF('THÁNG 7'!$C134="","",'THÁNG 7'!$C134)</f>
        <v/>
      </c>
      <c r="D277" s="0" t="str">
        <f aca="false">IF('THÁNG 7'!$C134="","",'THÁNG 7'!$D134&amp;"")</f>
        <v/>
      </c>
      <c r="E277" s="0" t="str">
        <f aca="false">IF('THÁNG 7'!$C134="","",'THÁNG 7'!$E134&amp;"")</f>
        <v/>
      </c>
      <c r="F277" s="0" t="str">
        <f aca="false">IF('THÁNG 7'!$C134="","",'THÁNG 7'!$F134&amp;"")</f>
        <v/>
      </c>
      <c r="G277" s="0" t="str">
        <f aca="false">IF('THÁNG 7'!$C134="","",'THÁNG 7'!$G134&amp;"")</f>
        <v/>
      </c>
      <c r="H277" s="0" t="str">
        <f aca="false">IF('THÁNG 7'!$C134="","",'THÁNG 7'!$H134&amp;"")</f>
        <v/>
      </c>
      <c r="I277" s="0" t="str">
        <f aca="false">IF('THÁNG 7'!$C134="","",N('THÁNG 7'!$I134))</f>
        <v/>
      </c>
      <c r="J277" s="0" t="str">
        <f aca="false">IF('THÁNG 7'!$C134="","",N('THÁNG 7'!$L134))</f>
        <v/>
      </c>
      <c r="K277" s="0" t="str">
        <f aca="false">IF('THÁNG 7'!$C134="","",N('THÁNG 7'!$N134))</f>
        <v/>
      </c>
      <c r="L277" s="0" t="str">
        <f aca="false">IF('THÁNG 7'!$C134="","",N('THÁNG 7'!$O134))</f>
        <v/>
      </c>
      <c r="M277" s="0" t="str">
        <f aca="false">IF('THÁNG 7'!$C134="","",N('THÁNG 7'!$P134))</f>
        <v/>
      </c>
      <c r="N277" s="0" t="str">
        <f aca="false">IF('THÁNG 7'!$C134="","",N('THÁNG 7'!$Q134))</f>
        <v/>
      </c>
      <c r="O277" s="0" t="str">
        <f aca="false">IF('THÁNG 7'!$C134="","",N('THÁNG 7'!$R134))</f>
        <v/>
      </c>
      <c r="P277" s="0" t="str">
        <f aca="false">IF(OR('THÁNG 7'!$C134="",'THÁNG 7'!$T134=""),"",'THÁNG 7'!$T134)</f>
        <v/>
      </c>
      <c r="Q277" s="0" t="str">
        <f aca="false">IF(OR('THÁNG 7'!$C134="",'THÁNG 7'!$U134=""),"",'THÁNG 7'!$U134)</f>
        <v/>
      </c>
      <c r="R277" s="0" t="str">
        <f aca="false">IF('THÁNG 7'!$C134="","",'THÁNG 7'!$W134&amp;"")</f>
        <v/>
      </c>
      <c r="S277" s="0" t="str">
        <f aca="false">IF('THÁNG 7'!$C134="","",'THÁNG 7'!$S134&amp;"")</f>
        <v/>
      </c>
      <c r="T277" s="0" t="str">
        <f aca="false">IF(N($O277)&gt;0,COUNTIF($O$3:$O277,"&gt;0"),"")</f>
        <v/>
      </c>
      <c r="U277" s="0" t="str">
        <f aca="false">IF(AND(N($J277)&gt;0,N($K277)&gt;0),COUNTIFS($J$3:$J277,"&gt;0",$K$3:$K277,"&gt;0"),"")</f>
        <v/>
      </c>
      <c r="V277" s="0" t="str">
        <f aca="false">IF(AND(N($J277)&gt;0,N($K277)=0),COUNTIFS($J$3:$J277,"&gt;0",$K$3:$K277,"&lt;=0"),"")</f>
        <v/>
      </c>
      <c r="W277" s="0" t="str">
        <f aca="false">IF($C277="","",IF(COUNTIF($C$3:$C277,$C277)&gt;1,"",MAX($W$2:W276)+1))</f>
        <v/>
      </c>
      <c r="X277" s="0" t="str">
        <f aca="false">IF($H277="","",IF(COUNTIF($H$3:$H277,$H277)&gt;1,"",MAX($X$2:X276)+1))</f>
        <v/>
      </c>
      <c r="Y277" s="0" t="str">
        <f aca="false">IF(AND(N($M277)&gt;0,N($O277)&lt;=0),COUNTIFS($M$3:$M277,"&gt;0",$O$3:$O277,"&lt;=0"),"")</f>
        <v/>
      </c>
      <c r="Z277" s="30" t="n">
        <f aca="false">IF(OR('THÁNG 7'!$C134="",'THÁNG 7'!$B134=""),0,'THÁNG 7'!$B134)</f>
        <v>0</v>
      </c>
    </row>
    <row r="278" customFormat="false" ht="15" hidden="false" customHeight="false" outlineLevel="0" collapsed="false">
      <c r="A278" s="0" t="n">
        <v>7</v>
      </c>
      <c r="B278" s="29" t="str">
        <f aca="false">IF(OR('THÁNG 7'!$C135="",'THÁNG 7'!$B135=""),"",'THÁNG 7'!$B135)</f>
        <v/>
      </c>
      <c r="C278" s="0" t="str">
        <f aca="false">IF('THÁNG 7'!$C135="","",'THÁNG 7'!$C135)</f>
        <v/>
      </c>
      <c r="D278" s="0" t="str">
        <f aca="false">IF('THÁNG 7'!$C135="","",'THÁNG 7'!$D135&amp;"")</f>
        <v/>
      </c>
      <c r="E278" s="0" t="str">
        <f aca="false">IF('THÁNG 7'!$C135="","",'THÁNG 7'!$E135&amp;"")</f>
        <v/>
      </c>
      <c r="F278" s="0" t="str">
        <f aca="false">IF('THÁNG 7'!$C135="","",'THÁNG 7'!$F135&amp;"")</f>
        <v/>
      </c>
      <c r="G278" s="0" t="str">
        <f aca="false">IF('THÁNG 7'!$C135="","",'THÁNG 7'!$G135&amp;"")</f>
        <v/>
      </c>
      <c r="H278" s="0" t="str">
        <f aca="false">IF('THÁNG 7'!$C135="","",'THÁNG 7'!$H135&amp;"")</f>
        <v/>
      </c>
      <c r="I278" s="0" t="str">
        <f aca="false">IF('THÁNG 7'!$C135="","",N('THÁNG 7'!$I135))</f>
        <v/>
      </c>
      <c r="J278" s="0" t="str">
        <f aca="false">IF('THÁNG 7'!$C135="","",N('THÁNG 7'!$L135))</f>
        <v/>
      </c>
      <c r="K278" s="0" t="str">
        <f aca="false">IF('THÁNG 7'!$C135="","",N('THÁNG 7'!$N135))</f>
        <v/>
      </c>
      <c r="L278" s="0" t="str">
        <f aca="false">IF('THÁNG 7'!$C135="","",N('THÁNG 7'!$O135))</f>
        <v/>
      </c>
      <c r="M278" s="0" t="str">
        <f aca="false">IF('THÁNG 7'!$C135="","",N('THÁNG 7'!$P135))</f>
        <v/>
      </c>
      <c r="N278" s="0" t="str">
        <f aca="false">IF('THÁNG 7'!$C135="","",N('THÁNG 7'!$Q135))</f>
        <v/>
      </c>
      <c r="O278" s="0" t="str">
        <f aca="false">IF('THÁNG 7'!$C135="","",N('THÁNG 7'!$R135))</f>
        <v/>
      </c>
      <c r="P278" s="0" t="str">
        <f aca="false">IF(OR('THÁNG 7'!$C135="",'THÁNG 7'!$T135=""),"",'THÁNG 7'!$T135)</f>
        <v/>
      </c>
      <c r="Q278" s="0" t="str">
        <f aca="false">IF(OR('THÁNG 7'!$C135="",'THÁNG 7'!$U135=""),"",'THÁNG 7'!$U135)</f>
        <v/>
      </c>
      <c r="R278" s="0" t="str">
        <f aca="false">IF('THÁNG 7'!$C135="","",'THÁNG 7'!$W135&amp;"")</f>
        <v/>
      </c>
      <c r="S278" s="0" t="str">
        <f aca="false">IF('THÁNG 7'!$C135="","",'THÁNG 7'!$S135&amp;"")</f>
        <v/>
      </c>
      <c r="T278" s="0" t="str">
        <f aca="false">IF(N($O278)&gt;0,COUNTIF($O$3:$O278,"&gt;0"),"")</f>
        <v/>
      </c>
      <c r="U278" s="0" t="str">
        <f aca="false">IF(AND(N($J278)&gt;0,N($K278)&gt;0),COUNTIFS($J$3:$J278,"&gt;0",$K$3:$K278,"&gt;0"),"")</f>
        <v/>
      </c>
      <c r="V278" s="0" t="str">
        <f aca="false">IF(AND(N($J278)&gt;0,N($K278)=0),COUNTIFS($J$3:$J278,"&gt;0",$K$3:$K278,"&lt;=0"),"")</f>
        <v/>
      </c>
      <c r="W278" s="0" t="str">
        <f aca="false">IF($C278="","",IF(COUNTIF($C$3:$C278,$C278)&gt;1,"",MAX($W$2:W277)+1))</f>
        <v/>
      </c>
      <c r="X278" s="0" t="str">
        <f aca="false">IF($H278="","",IF(COUNTIF($H$3:$H278,$H278)&gt;1,"",MAX($X$2:X277)+1))</f>
        <v/>
      </c>
      <c r="Y278" s="0" t="str">
        <f aca="false">IF(AND(N($M278)&gt;0,N($O278)&lt;=0),COUNTIFS($M$3:$M278,"&gt;0",$O$3:$O278,"&lt;=0"),"")</f>
        <v/>
      </c>
      <c r="Z278" s="30" t="n">
        <f aca="false">IF(OR('THÁNG 7'!$C135="",'THÁNG 7'!$B135=""),0,'THÁNG 7'!$B135)</f>
        <v>0</v>
      </c>
    </row>
    <row r="279" customFormat="false" ht="15" hidden="false" customHeight="false" outlineLevel="0" collapsed="false">
      <c r="A279" s="0" t="n">
        <v>7</v>
      </c>
      <c r="B279" s="29" t="str">
        <f aca="false">IF(OR('THÁNG 7'!$C136="",'THÁNG 7'!$B136=""),"",'THÁNG 7'!$B136)</f>
        <v/>
      </c>
      <c r="C279" s="0" t="str">
        <f aca="false">IF('THÁNG 7'!$C136="","",'THÁNG 7'!$C136)</f>
        <v/>
      </c>
      <c r="D279" s="0" t="str">
        <f aca="false">IF('THÁNG 7'!$C136="","",'THÁNG 7'!$D136&amp;"")</f>
        <v/>
      </c>
      <c r="E279" s="0" t="str">
        <f aca="false">IF('THÁNG 7'!$C136="","",'THÁNG 7'!$E136&amp;"")</f>
        <v/>
      </c>
      <c r="F279" s="0" t="str">
        <f aca="false">IF('THÁNG 7'!$C136="","",'THÁNG 7'!$F136&amp;"")</f>
        <v/>
      </c>
      <c r="G279" s="0" t="str">
        <f aca="false">IF('THÁNG 7'!$C136="","",'THÁNG 7'!$G136&amp;"")</f>
        <v/>
      </c>
      <c r="H279" s="0" t="str">
        <f aca="false">IF('THÁNG 7'!$C136="","",'THÁNG 7'!$H136&amp;"")</f>
        <v/>
      </c>
      <c r="I279" s="0" t="str">
        <f aca="false">IF('THÁNG 7'!$C136="","",N('THÁNG 7'!$I136))</f>
        <v/>
      </c>
      <c r="J279" s="0" t="str">
        <f aca="false">IF('THÁNG 7'!$C136="","",N('THÁNG 7'!$L136))</f>
        <v/>
      </c>
      <c r="K279" s="0" t="str">
        <f aca="false">IF('THÁNG 7'!$C136="","",N('THÁNG 7'!$N136))</f>
        <v/>
      </c>
      <c r="L279" s="0" t="str">
        <f aca="false">IF('THÁNG 7'!$C136="","",N('THÁNG 7'!$O136))</f>
        <v/>
      </c>
      <c r="M279" s="0" t="str">
        <f aca="false">IF('THÁNG 7'!$C136="","",N('THÁNG 7'!$P136))</f>
        <v/>
      </c>
      <c r="N279" s="0" t="str">
        <f aca="false">IF('THÁNG 7'!$C136="","",N('THÁNG 7'!$Q136))</f>
        <v/>
      </c>
      <c r="O279" s="0" t="str">
        <f aca="false">IF('THÁNG 7'!$C136="","",N('THÁNG 7'!$R136))</f>
        <v/>
      </c>
      <c r="P279" s="0" t="str">
        <f aca="false">IF(OR('THÁNG 7'!$C136="",'THÁNG 7'!$T136=""),"",'THÁNG 7'!$T136)</f>
        <v/>
      </c>
      <c r="Q279" s="0" t="str">
        <f aca="false">IF(OR('THÁNG 7'!$C136="",'THÁNG 7'!$U136=""),"",'THÁNG 7'!$U136)</f>
        <v/>
      </c>
      <c r="R279" s="0" t="str">
        <f aca="false">IF('THÁNG 7'!$C136="","",'THÁNG 7'!$W136&amp;"")</f>
        <v/>
      </c>
      <c r="S279" s="0" t="str">
        <f aca="false">IF('THÁNG 7'!$C136="","",'THÁNG 7'!$S136&amp;"")</f>
        <v/>
      </c>
      <c r="T279" s="0" t="str">
        <f aca="false">IF(N($O279)&gt;0,COUNTIF($O$3:$O279,"&gt;0"),"")</f>
        <v/>
      </c>
      <c r="U279" s="0" t="str">
        <f aca="false">IF(AND(N($J279)&gt;0,N($K279)&gt;0),COUNTIFS($J$3:$J279,"&gt;0",$K$3:$K279,"&gt;0"),"")</f>
        <v/>
      </c>
      <c r="V279" s="0" t="str">
        <f aca="false">IF(AND(N($J279)&gt;0,N($K279)=0),COUNTIFS($J$3:$J279,"&gt;0",$K$3:$K279,"&lt;=0"),"")</f>
        <v/>
      </c>
      <c r="W279" s="0" t="str">
        <f aca="false">IF($C279="","",IF(COUNTIF($C$3:$C279,$C279)&gt;1,"",MAX($W$2:W278)+1))</f>
        <v/>
      </c>
      <c r="X279" s="0" t="str">
        <f aca="false">IF($H279="","",IF(COUNTIF($H$3:$H279,$H279)&gt;1,"",MAX($X$2:X278)+1))</f>
        <v/>
      </c>
      <c r="Y279" s="0" t="str">
        <f aca="false">IF(AND(N($M279)&gt;0,N($O279)&lt;=0),COUNTIFS($M$3:$M279,"&gt;0",$O$3:$O279,"&lt;=0"),"")</f>
        <v/>
      </c>
      <c r="Z279" s="30" t="n">
        <f aca="false">IF(OR('THÁNG 7'!$C136="",'THÁNG 7'!$B136=""),0,'THÁNG 7'!$B136)</f>
        <v>0</v>
      </c>
    </row>
    <row r="280" customFormat="false" ht="15" hidden="false" customHeight="false" outlineLevel="0" collapsed="false">
      <c r="A280" s="0" t="n">
        <v>7</v>
      </c>
      <c r="B280" s="29" t="str">
        <f aca="false">IF(OR('THÁNG 7'!$C137="",'THÁNG 7'!$B137=""),"",'THÁNG 7'!$B137)</f>
        <v/>
      </c>
      <c r="C280" s="0" t="str">
        <f aca="false">IF('THÁNG 7'!$C137="","",'THÁNG 7'!$C137)</f>
        <v/>
      </c>
      <c r="D280" s="0" t="str">
        <f aca="false">IF('THÁNG 7'!$C137="","",'THÁNG 7'!$D137&amp;"")</f>
        <v/>
      </c>
      <c r="E280" s="0" t="str">
        <f aca="false">IF('THÁNG 7'!$C137="","",'THÁNG 7'!$E137&amp;"")</f>
        <v/>
      </c>
      <c r="F280" s="0" t="str">
        <f aca="false">IF('THÁNG 7'!$C137="","",'THÁNG 7'!$F137&amp;"")</f>
        <v/>
      </c>
      <c r="G280" s="0" t="str">
        <f aca="false">IF('THÁNG 7'!$C137="","",'THÁNG 7'!$G137&amp;"")</f>
        <v/>
      </c>
      <c r="H280" s="0" t="str">
        <f aca="false">IF('THÁNG 7'!$C137="","",'THÁNG 7'!$H137&amp;"")</f>
        <v/>
      </c>
      <c r="I280" s="0" t="str">
        <f aca="false">IF('THÁNG 7'!$C137="","",N('THÁNG 7'!$I137))</f>
        <v/>
      </c>
      <c r="J280" s="0" t="str">
        <f aca="false">IF('THÁNG 7'!$C137="","",N('THÁNG 7'!$L137))</f>
        <v/>
      </c>
      <c r="K280" s="0" t="str">
        <f aca="false">IF('THÁNG 7'!$C137="","",N('THÁNG 7'!$N137))</f>
        <v/>
      </c>
      <c r="L280" s="0" t="str">
        <f aca="false">IF('THÁNG 7'!$C137="","",N('THÁNG 7'!$O137))</f>
        <v/>
      </c>
      <c r="M280" s="0" t="str">
        <f aca="false">IF('THÁNG 7'!$C137="","",N('THÁNG 7'!$P137))</f>
        <v/>
      </c>
      <c r="N280" s="0" t="str">
        <f aca="false">IF('THÁNG 7'!$C137="","",N('THÁNG 7'!$Q137))</f>
        <v/>
      </c>
      <c r="O280" s="0" t="str">
        <f aca="false">IF('THÁNG 7'!$C137="","",N('THÁNG 7'!$R137))</f>
        <v/>
      </c>
      <c r="P280" s="0" t="str">
        <f aca="false">IF(OR('THÁNG 7'!$C137="",'THÁNG 7'!$T137=""),"",'THÁNG 7'!$T137)</f>
        <v/>
      </c>
      <c r="Q280" s="0" t="str">
        <f aca="false">IF(OR('THÁNG 7'!$C137="",'THÁNG 7'!$U137=""),"",'THÁNG 7'!$U137)</f>
        <v/>
      </c>
      <c r="R280" s="0" t="str">
        <f aca="false">IF('THÁNG 7'!$C137="","",'THÁNG 7'!$W137&amp;"")</f>
        <v/>
      </c>
      <c r="S280" s="0" t="str">
        <f aca="false">IF('THÁNG 7'!$C137="","",'THÁNG 7'!$S137&amp;"")</f>
        <v/>
      </c>
      <c r="T280" s="0" t="str">
        <f aca="false">IF(N($O280)&gt;0,COUNTIF($O$3:$O280,"&gt;0"),"")</f>
        <v/>
      </c>
      <c r="U280" s="0" t="str">
        <f aca="false">IF(AND(N($J280)&gt;0,N($K280)&gt;0),COUNTIFS($J$3:$J280,"&gt;0",$K$3:$K280,"&gt;0"),"")</f>
        <v/>
      </c>
      <c r="V280" s="0" t="str">
        <f aca="false">IF(AND(N($J280)&gt;0,N($K280)=0),COUNTIFS($J$3:$J280,"&gt;0",$K$3:$K280,"&lt;=0"),"")</f>
        <v/>
      </c>
      <c r="W280" s="0" t="str">
        <f aca="false">IF($C280="","",IF(COUNTIF($C$3:$C280,$C280)&gt;1,"",MAX($W$2:W279)+1))</f>
        <v/>
      </c>
      <c r="X280" s="0" t="str">
        <f aca="false">IF($H280="","",IF(COUNTIF($H$3:$H280,$H280)&gt;1,"",MAX($X$2:X279)+1))</f>
        <v/>
      </c>
      <c r="Y280" s="0" t="str">
        <f aca="false">IF(AND(N($M280)&gt;0,N($O280)&lt;=0),COUNTIFS($M$3:$M280,"&gt;0",$O$3:$O280,"&lt;=0"),"")</f>
        <v/>
      </c>
      <c r="Z280" s="30" t="n">
        <f aca="false">IF(OR('THÁNG 7'!$C137="",'THÁNG 7'!$B137=""),0,'THÁNG 7'!$B137)</f>
        <v>0</v>
      </c>
    </row>
    <row r="281" customFormat="false" ht="15" hidden="false" customHeight="false" outlineLevel="0" collapsed="false">
      <c r="A281" s="0" t="n">
        <v>7</v>
      </c>
      <c r="B281" s="29" t="str">
        <f aca="false">IF(OR('THÁNG 7'!$C138="",'THÁNG 7'!$B138=""),"",'THÁNG 7'!$B138)</f>
        <v/>
      </c>
      <c r="C281" s="0" t="str">
        <f aca="false">IF('THÁNG 7'!$C138="","",'THÁNG 7'!$C138)</f>
        <v/>
      </c>
      <c r="D281" s="0" t="str">
        <f aca="false">IF('THÁNG 7'!$C138="","",'THÁNG 7'!$D138&amp;"")</f>
        <v/>
      </c>
      <c r="E281" s="0" t="str">
        <f aca="false">IF('THÁNG 7'!$C138="","",'THÁNG 7'!$E138&amp;"")</f>
        <v/>
      </c>
      <c r="F281" s="0" t="str">
        <f aca="false">IF('THÁNG 7'!$C138="","",'THÁNG 7'!$F138&amp;"")</f>
        <v/>
      </c>
      <c r="G281" s="0" t="str">
        <f aca="false">IF('THÁNG 7'!$C138="","",'THÁNG 7'!$G138&amp;"")</f>
        <v/>
      </c>
      <c r="H281" s="0" t="str">
        <f aca="false">IF('THÁNG 7'!$C138="","",'THÁNG 7'!$H138&amp;"")</f>
        <v/>
      </c>
      <c r="I281" s="0" t="str">
        <f aca="false">IF('THÁNG 7'!$C138="","",N('THÁNG 7'!$I138))</f>
        <v/>
      </c>
      <c r="J281" s="0" t="str">
        <f aca="false">IF('THÁNG 7'!$C138="","",N('THÁNG 7'!$L138))</f>
        <v/>
      </c>
      <c r="K281" s="0" t="str">
        <f aca="false">IF('THÁNG 7'!$C138="","",N('THÁNG 7'!$N138))</f>
        <v/>
      </c>
      <c r="L281" s="0" t="str">
        <f aca="false">IF('THÁNG 7'!$C138="","",N('THÁNG 7'!$O138))</f>
        <v/>
      </c>
      <c r="M281" s="0" t="str">
        <f aca="false">IF('THÁNG 7'!$C138="","",N('THÁNG 7'!$P138))</f>
        <v/>
      </c>
      <c r="N281" s="0" t="str">
        <f aca="false">IF('THÁNG 7'!$C138="","",N('THÁNG 7'!$Q138))</f>
        <v/>
      </c>
      <c r="O281" s="0" t="str">
        <f aca="false">IF('THÁNG 7'!$C138="","",N('THÁNG 7'!$R138))</f>
        <v/>
      </c>
      <c r="P281" s="0" t="str">
        <f aca="false">IF(OR('THÁNG 7'!$C138="",'THÁNG 7'!$T138=""),"",'THÁNG 7'!$T138)</f>
        <v/>
      </c>
      <c r="Q281" s="0" t="str">
        <f aca="false">IF(OR('THÁNG 7'!$C138="",'THÁNG 7'!$U138=""),"",'THÁNG 7'!$U138)</f>
        <v/>
      </c>
      <c r="R281" s="0" t="str">
        <f aca="false">IF('THÁNG 7'!$C138="","",'THÁNG 7'!$W138&amp;"")</f>
        <v/>
      </c>
      <c r="S281" s="0" t="str">
        <f aca="false">IF('THÁNG 7'!$C138="","",'THÁNG 7'!$S138&amp;"")</f>
        <v/>
      </c>
      <c r="T281" s="0" t="str">
        <f aca="false">IF(N($O281)&gt;0,COUNTIF($O$3:$O281,"&gt;0"),"")</f>
        <v/>
      </c>
      <c r="U281" s="0" t="str">
        <f aca="false">IF(AND(N($J281)&gt;0,N($K281)&gt;0),COUNTIFS($J$3:$J281,"&gt;0",$K$3:$K281,"&gt;0"),"")</f>
        <v/>
      </c>
      <c r="V281" s="0" t="str">
        <f aca="false">IF(AND(N($J281)&gt;0,N($K281)=0),COUNTIFS($J$3:$J281,"&gt;0",$K$3:$K281,"&lt;=0"),"")</f>
        <v/>
      </c>
      <c r="W281" s="0" t="str">
        <f aca="false">IF($C281="","",IF(COUNTIF($C$3:$C281,$C281)&gt;1,"",MAX($W$2:W280)+1))</f>
        <v/>
      </c>
      <c r="X281" s="0" t="str">
        <f aca="false">IF($H281="","",IF(COUNTIF($H$3:$H281,$H281)&gt;1,"",MAX($X$2:X280)+1))</f>
        <v/>
      </c>
      <c r="Y281" s="0" t="str">
        <f aca="false">IF(AND(N($M281)&gt;0,N($O281)&lt;=0),COUNTIFS($M$3:$M281,"&gt;0",$O$3:$O281,"&lt;=0"),"")</f>
        <v/>
      </c>
      <c r="Z281" s="30" t="n">
        <f aca="false">IF(OR('THÁNG 7'!$C138="",'THÁNG 7'!$B138=""),0,'THÁNG 7'!$B138)</f>
        <v>0</v>
      </c>
    </row>
    <row r="282" customFormat="false" ht="15" hidden="false" customHeight="false" outlineLevel="0" collapsed="false">
      <c r="A282" s="0" t="n">
        <v>7</v>
      </c>
      <c r="B282" s="29" t="str">
        <f aca="false">IF(OR('THÁNG 7'!$C139="",'THÁNG 7'!$B139=""),"",'THÁNG 7'!$B139)</f>
        <v/>
      </c>
      <c r="C282" s="0" t="str">
        <f aca="false">IF('THÁNG 7'!$C139="","",'THÁNG 7'!$C139)</f>
        <v/>
      </c>
      <c r="D282" s="0" t="str">
        <f aca="false">IF('THÁNG 7'!$C139="","",'THÁNG 7'!$D139&amp;"")</f>
        <v/>
      </c>
      <c r="E282" s="0" t="str">
        <f aca="false">IF('THÁNG 7'!$C139="","",'THÁNG 7'!$E139&amp;"")</f>
        <v/>
      </c>
      <c r="F282" s="0" t="str">
        <f aca="false">IF('THÁNG 7'!$C139="","",'THÁNG 7'!$F139&amp;"")</f>
        <v/>
      </c>
      <c r="G282" s="0" t="str">
        <f aca="false">IF('THÁNG 7'!$C139="","",'THÁNG 7'!$G139&amp;"")</f>
        <v/>
      </c>
      <c r="H282" s="0" t="str">
        <f aca="false">IF('THÁNG 7'!$C139="","",'THÁNG 7'!$H139&amp;"")</f>
        <v/>
      </c>
      <c r="I282" s="0" t="str">
        <f aca="false">IF('THÁNG 7'!$C139="","",N('THÁNG 7'!$I139))</f>
        <v/>
      </c>
      <c r="J282" s="0" t="str">
        <f aca="false">IF('THÁNG 7'!$C139="","",N('THÁNG 7'!$L139))</f>
        <v/>
      </c>
      <c r="K282" s="0" t="str">
        <f aca="false">IF('THÁNG 7'!$C139="","",N('THÁNG 7'!$N139))</f>
        <v/>
      </c>
      <c r="L282" s="0" t="str">
        <f aca="false">IF('THÁNG 7'!$C139="","",N('THÁNG 7'!$O139))</f>
        <v/>
      </c>
      <c r="M282" s="0" t="str">
        <f aca="false">IF('THÁNG 7'!$C139="","",N('THÁNG 7'!$P139))</f>
        <v/>
      </c>
      <c r="N282" s="0" t="str">
        <f aca="false">IF('THÁNG 7'!$C139="","",N('THÁNG 7'!$Q139))</f>
        <v/>
      </c>
      <c r="O282" s="0" t="str">
        <f aca="false">IF('THÁNG 7'!$C139="","",N('THÁNG 7'!$R139))</f>
        <v/>
      </c>
      <c r="P282" s="0" t="str">
        <f aca="false">IF(OR('THÁNG 7'!$C139="",'THÁNG 7'!$T139=""),"",'THÁNG 7'!$T139)</f>
        <v/>
      </c>
      <c r="Q282" s="0" t="str">
        <f aca="false">IF(OR('THÁNG 7'!$C139="",'THÁNG 7'!$U139=""),"",'THÁNG 7'!$U139)</f>
        <v/>
      </c>
      <c r="R282" s="0" t="str">
        <f aca="false">IF('THÁNG 7'!$C139="","",'THÁNG 7'!$W139&amp;"")</f>
        <v/>
      </c>
      <c r="S282" s="0" t="str">
        <f aca="false">IF('THÁNG 7'!$C139="","",'THÁNG 7'!$S139&amp;"")</f>
        <v/>
      </c>
      <c r="T282" s="0" t="str">
        <f aca="false">IF(N($O282)&gt;0,COUNTIF($O$3:$O282,"&gt;0"),"")</f>
        <v/>
      </c>
      <c r="U282" s="0" t="str">
        <f aca="false">IF(AND(N($J282)&gt;0,N($K282)&gt;0),COUNTIFS($J$3:$J282,"&gt;0",$K$3:$K282,"&gt;0"),"")</f>
        <v/>
      </c>
      <c r="V282" s="0" t="str">
        <f aca="false">IF(AND(N($J282)&gt;0,N($K282)=0),COUNTIFS($J$3:$J282,"&gt;0",$K$3:$K282,"&lt;=0"),"")</f>
        <v/>
      </c>
      <c r="W282" s="0" t="str">
        <f aca="false">IF($C282="","",IF(COUNTIF($C$3:$C282,$C282)&gt;1,"",MAX($W$2:W281)+1))</f>
        <v/>
      </c>
      <c r="X282" s="0" t="str">
        <f aca="false">IF($H282="","",IF(COUNTIF($H$3:$H282,$H282)&gt;1,"",MAX($X$2:X281)+1))</f>
        <v/>
      </c>
      <c r="Y282" s="0" t="str">
        <f aca="false">IF(AND(N($M282)&gt;0,N($O282)&lt;=0),COUNTIFS($M$3:$M282,"&gt;0",$O$3:$O282,"&lt;=0"),"")</f>
        <v/>
      </c>
      <c r="Z282" s="30" t="n">
        <f aca="false">IF(OR('THÁNG 7'!$C139="",'THÁNG 7'!$B139=""),0,'THÁNG 7'!$B139)</f>
        <v>0</v>
      </c>
    </row>
    <row r="283" customFormat="false" ht="15" hidden="false" customHeight="false" outlineLevel="0" collapsed="false">
      <c r="A283" s="0" t="n">
        <v>7</v>
      </c>
      <c r="B283" s="29" t="str">
        <f aca="false">IF(OR('THÁNG 7'!$C140="",'THÁNG 7'!$B140=""),"",'THÁNG 7'!$B140)</f>
        <v/>
      </c>
      <c r="C283" s="0" t="str">
        <f aca="false">IF('THÁNG 7'!$C140="","",'THÁNG 7'!$C140)</f>
        <v/>
      </c>
      <c r="D283" s="0" t="str">
        <f aca="false">IF('THÁNG 7'!$C140="","",'THÁNG 7'!$D140&amp;"")</f>
        <v/>
      </c>
      <c r="E283" s="0" t="str">
        <f aca="false">IF('THÁNG 7'!$C140="","",'THÁNG 7'!$E140&amp;"")</f>
        <v/>
      </c>
      <c r="F283" s="0" t="str">
        <f aca="false">IF('THÁNG 7'!$C140="","",'THÁNG 7'!$F140&amp;"")</f>
        <v/>
      </c>
      <c r="G283" s="0" t="str">
        <f aca="false">IF('THÁNG 7'!$C140="","",'THÁNG 7'!$G140&amp;"")</f>
        <v/>
      </c>
      <c r="H283" s="0" t="str">
        <f aca="false">IF('THÁNG 7'!$C140="","",'THÁNG 7'!$H140&amp;"")</f>
        <v/>
      </c>
      <c r="I283" s="0" t="str">
        <f aca="false">IF('THÁNG 7'!$C140="","",N('THÁNG 7'!$I140))</f>
        <v/>
      </c>
      <c r="J283" s="0" t="str">
        <f aca="false">IF('THÁNG 7'!$C140="","",N('THÁNG 7'!$L140))</f>
        <v/>
      </c>
      <c r="K283" s="0" t="str">
        <f aca="false">IF('THÁNG 7'!$C140="","",N('THÁNG 7'!$N140))</f>
        <v/>
      </c>
      <c r="L283" s="0" t="str">
        <f aca="false">IF('THÁNG 7'!$C140="","",N('THÁNG 7'!$O140))</f>
        <v/>
      </c>
      <c r="M283" s="0" t="str">
        <f aca="false">IF('THÁNG 7'!$C140="","",N('THÁNG 7'!$P140))</f>
        <v/>
      </c>
      <c r="N283" s="0" t="str">
        <f aca="false">IF('THÁNG 7'!$C140="","",N('THÁNG 7'!$Q140))</f>
        <v/>
      </c>
      <c r="O283" s="0" t="str">
        <f aca="false">IF('THÁNG 7'!$C140="","",N('THÁNG 7'!$R140))</f>
        <v/>
      </c>
      <c r="P283" s="0" t="str">
        <f aca="false">IF(OR('THÁNG 7'!$C140="",'THÁNG 7'!$T140=""),"",'THÁNG 7'!$T140)</f>
        <v/>
      </c>
      <c r="Q283" s="0" t="str">
        <f aca="false">IF(OR('THÁNG 7'!$C140="",'THÁNG 7'!$U140=""),"",'THÁNG 7'!$U140)</f>
        <v/>
      </c>
      <c r="R283" s="0" t="str">
        <f aca="false">IF('THÁNG 7'!$C140="","",'THÁNG 7'!$W140&amp;"")</f>
        <v/>
      </c>
      <c r="S283" s="0" t="str">
        <f aca="false">IF('THÁNG 7'!$C140="","",'THÁNG 7'!$S140&amp;"")</f>
        <v/>
      </c>
      <c r="T283" s="0" t="str">
        <f aca="false">IF(N($O283)&gt;0,COUNTIF($O$3:$O283,"&gt;0"),"")</f>
        <v/>
      </c>
      <c r="U283" s="0" t="str">
        <f aca="false">IF(AND(N($J283)&gt;0,N($K283)&gt;0),COUNTIFS($J$3:$J283,"&gt;0",$K$3:$K283,"&gt;0"),"")</f>
        <v/>
      </c>
      <c r="V283" s="0" t="str">
        <f aca="false">IF(AND(N($J283)&gt;0,N($K283)=0),COUNTIFS($J$3:$J283,"&gt;0",$K$3:$K283,"&lt;=0"),"")</f>
        <v/>
      </c>
      <c r="W283" s="0" t="str">
        <f aca="false">IF($C283="","",IF(COUNTIF($C$3:$C283,$C283)&gt;1,"",MAX($W$2:W282)+1))</f>
        <v/>
      </c>
      <c r="X283" s="0" t="str">
        <f aca="false">IF($H283="","",IF(COUNTIF($H$3:$H283,$H283)&gt;1,"",MAX($X$2:X282)+1))</f>
        <v/>
      </c>
      <c r="Y283" s="0" t="str">
        <f aca="false">IF(AND(N($M283)&gt;0,N($O283)&lt;=0),COUNTIFS($M$3:$M283,"&gt;0",$O$3:$O283,"&lt;=0"),"")</f>
        <v/>
      </c>
      <c r="Z283" s="30" t="n">
        <f aca="false">IF(OR('THÁNG 7'!$C140="",'THÁNG 7'!$B140=""),0,'THÁNG 7'!$B140)</f>
        <v>0</v>
      </c>
    </row>
    <row r="284" customFormat="false" ht="15" hidden="false" customHeight="false" outlineLevel="0" collapsed="false">
      <c r="A284" s="0" t="n">
        <v>7</v>
      </c>
      <c r="B284" s="29" t="str">
        <f aca="false">IF(OR('THÁNG 7'!$C141="",'THÁNG 7'!$B141=""),"",'THÁNG 7'!$B141)</f>
        <v/>
      </c>
      <c r="C284" s="0" t="str">
        <f aca="false">IF('THÁNG 7'!$C141="","",'THÁNG 7'!$C141)</f>
        <v/>
      </c>
      <c r="D284" s="0" t="str">
        <f aca="false">IF('THÁNG 7'!$C141="","",'THÁNG 7'!$D141&amp;"")</f>
        <v/>
      </c>
      <c r="E284" s="0" t="str">
        <f aca="false">IF('THÁNG 7'!$C141="","",'THÁNG 7'!$E141&amp;"")</f>
        <v/>
      </c>
      <c r="F284" s="0" t="str">
        <f aca="false">IF('THÁNG 7'!$C141="","",'THÁNG 7'!$F141&amp;"")</f>
        <v/>
      </c>
      <c r="G284" s="0" t="str">
        <f aca="false">IF('THÁNG 7'!$C141="","",'THÁNG 7'!$G141&amp;"")</f>
        <v/>
      </c>
      <c r="H284" s="0" t="str">
        <f aca="false">IF('THÁNG 7'!$C141="","",'THÁNG 7'!$H141&amp;"")</f>
        <v/>
      </c>
      <c r="I284" s="0" t="str">
        <f aca="false">IF('THÁNG 7'!$C141="","",N('THÁNG 7'!$I141))</f>
        <v/>
      </c>
      <c r="J284" s="0" t="str">
        <f aca="false">IF('THÁNG 7'!$C141="","",N('THÁNG 7'!$L141))</f>
        <v/>
      </c>
      <c r="K284" s="0" t="str">
        <f aca="false">IF('THÁNG 7'!$C141="","",N('THÁNG 7'!$N141))</f>
        <v/>
      </c>
      <c r="L284" s="0" t="str">
        <f aca="false">IF('THÁNG 7'!$C141="","",N('THÁNG 7'!$O141))</f>
        <v/>
      </c>
      <c r="M284" s="0" t="str">
        <f aca="false">IF('THÁNG 7'!$C141="","",N('THÁNG 7'!$P141))</f>
        <v/>
      </c>
      <c r="N284" s="0" t="str">
        <f aca="false">IF('THÁNG 7'!$C141="","",N('THÁNG 7'!$Q141))</f>
        <v/>
      </c>
      <c r="O284" s="0" t="str">
        <f aca="false">IF('THÁNG 7'!$C141="","",N('THÁNG 7'!$R141))</f>
        <v/>
      </c>
      <c r="P284" s="0" t="str">
        <f aca="false">IF(OR('THÁNG 7'!$C141="",'THÁNG 7'!$T141=""),"",'THÁNG 7'!$T141)</f>
        <v/>
      </c>
      <c r="Q284" s="0" t="str">
        <f aca="false">IF(OR('THÁNG 7'!$C141="",'THÁNG 7'!$U141=""),"",'THÁNG 7'!$U141)</f>
        <v/>
      </c>
      <c r="R284" s="0" t="str">
        <f aca="false">IF('THÁNG 7'!$C141="","",'THÁNG 7'!$W141&amp;"")</f>
        <v/>
      </c>
      <c r="S284" s="0" t="str">
        <f aca="false">IF('THÁNG 7'!$C141="","",'THÁNG 7'!$S141&amp;"")</f>
        <v/>
      </c>
      <c r="T284" s="0" t="str">
        <f aca="false">IF(N($O284)&gt;0,COUNTIF($O$3:$O284,"&gt;0"),"")</f>
        <v/>
      </c>
      <c r="U284" s="0" t="str">
        <f aca="false">IF(AND(N($J284)&gt;0,N($K284)&gt;0),COUNTIFS($J$3:$J284,"&gt;0",$K$3:$K284,"&gt;0"),"")</f>
        <v/>
      </c>
      <c r="V284" s="0" t="str">
        <f aca="false">IF(AND(N($J284)&gt;0,N($K284)=0),COUNTIFS($J$3:$J284,"&gt;0",$K$3:$K284,"&lt;=0"),"")</f>
        <v/>
      </c>
      <c r="W284" s="0" t="str">
        <f aca="false">IF($C284="","",IF(COUNTIF($C$3:$C284,$C284)&gt;1,"",MAX($W$2:W283)+1))</f>
        <v/>
      </c>
      <c r="X284" s="0" t="str">
        <f aca="false">IF($H284="","",IF(COUNTIF($H$3:$H284,$H284)&gt;1,"",MAX($X$2:X283)+1))</f>
        <v/>
      </c>
      <c r="Y284" s="0" t="str">
        <f aca="false">IF(AND(N($M284)&gt;0,N($O284)&lt;=0),COUNTIFS($M$3:$M284,"&gt;0",$O$3:$O284,"&lt;=0"),"")</f>
        <v/>
      </c>
      <c r="Z284" s="30" t="n">
        <f aca="false">IF(OR('THÁNG 7'!$C141="",'THÁNG 7'!$B141=""),0,'THÁNG 7'!$B141)</f>
        <v>0</v>
      </c>
    </row>
    <row r="285" customFormat="false" ht="15" hidden="false" customHeight="false" outlineLevel="0" collapsed="false">
      <c r="A285" s="0" t="n">
        <v>7</v>
      </c>
      <c r="B285" s="29" t="str">
        <f aca="false">IF(OR('THÁNG 7'!$C142="",'THÁNG 7'!$B142=""),"",'THÁNG 7'!$B142)</f>
        <v/>
      </c>
      <c r="C285" s="0" t="str">
        <f aca="false">IF('THÁNG 7'!$C142="","",'THÁNG 7'!$C142)</f>
        <v/>
      </c>
      <c r="D285" s="0" t="str">
        <f aca="false">IF('THÁNG 7'!$C142="","",'THÁNG 7'!$D142&amp;"")</f>
        <v/>
      </c>
      <c r="E285" s="0" t="str">
        <f aca="false">IF('THÁNG 7'!$C142="","",'THÁNG 7'!$E142&amp;"")</f>
        <v/>
      </c>
      <c r="F285" s="0" t="str">
        <f aca="false">IF('THÁNG 7'!$C142="","",'THÁNG 7'!$F142&amp;"")</f>
        <v/>
      </c>
      <c r="G285" s="0" t="str">
        <f aca="false">IF('THÁNG 7'!$C142="","",'THÁNG 7'!$G142&amp;"")</f>
        <v/>
      </c>
      <c r="H285" s="0" t="str">
        <f aca="false">IF('THÁNG 7'!$C142="","",'THÁNG 7'!$H142&amp;"")</f>
        <v/>
      </c>
      <c r="I285" s="0" t="str">
        <f aca="false">IF('THÁNG 7'!$C142="","",N('THÁNG 7'!$I142))</f>
        <v/>
      </c>
      <c r="J285" s="0" t="str">
        <f aca="false">IF('THÁNG 7'!$C142="","",N('THÁNG 7'!$L142))</f>
        <v/>
      </c>
      <c r="K285" s="0" t="str">
        <f aca="false">IF('THÁNG 7'!$C142="","",N('THÁNG 7'!$N142))</f>
        <v/>
      </c>
      <c r="L285" s="0" t="str">
        <f aca="false">IF('THÁNG 7'!$C142="","",N('THÁNG 7'!$O142))</f>
        <v/>
      </c>
      <c r="M285" s="0" t="str">
        <f aca="false">IF('THÁNG 7'!$C142="","",N('THÁNG 7'!$P142))</f>
        <v/>
      </c>
      <c r="N285" s="0" t="str">
        <f aca="false">IF('THÁNG 7'!$C142="","",N('THÁNG 7'!$Q142))</f>
        <v/>
      </c>
      <c r="O285" s="0" t="str">
        <f aca="false">IF('THÁNG 7'!$C142="","",N('THÁNG 7'!$R142))</f>
        <v/>
      </c>
      <c r="P285" s="0" t="str">
        <f aca="false">IF(OR('THÁNG 7'!$C142="",'THÁNG 7'!$T142=""),"",'THÁNG 7'!$T142)</f>
        <v/>
      </c>
      <c r="Q285" s="0" t="str">
        <f aca="false">IF(OR('THÁNG 7'!$C142="",'THÁNG 7'!$U142=""),"",'THÁNG 7'!$U142)</f>
        <v/>
      </c>
      <c r="R285" s="0" t="str">
        <f aca="false">IF('THÁNG 7'!$C142="","",'THÁNG 7'!$W142&amp;"")</f>
        <v/>
      </c>
      <c r="S285" s="0" t="str">
        <f aca="false">IF('THÁNG 7'!$C142="","",'THÁNG 7'!$S142&amp;"")</f>
        <v/>
      </c>
      <c r="T285" s="0" t="str">
        <f aca="false">IF(N($O285)&gt;0,COUNTIF($O$3:$O285,"&gt;0"),"")</f>
        <v/>
      </c>
      <c r="U285" s="0" t="str">
        <f aca="false">IF(AND(N($J285)&gt;0,N($K285)&gt;0),COUNTIFS($J$3:$J285,"&gt;0",$K$3:$K285,"&gt;0"),"")</f>
        <v/>
      </c>
      <c r="V285" s="0" t="str">
        <f aca="false">IF(AND(N($J285)&gt;0,N($K285)=0),COUNTIFS($J$3:$J285,"&gt;0",$K$3:$K285,"&lt;=0"),"")</f>
        <v/>
      </c>
      <c r="W285" s="0" t="str">
        <f aca="false">IF($C285="","",IF(COUNTIF($C$3:$C285,$C285)&gt;1,"",MAX($W$2:W284)+1))</f>
        <v/>
      </c>
      <c r="X285" s="0" t="str">
        <f aca="false">IF($H285="","",IF(COUNTIF($H$3:$H285,$H285)&gt;1,"",MAX($X$2:X284)+1))</f>
        <v/>
      </c>
      <c r="Y285" s="0" t="str">
        <f aca="false">IF(AND(N($M285)&gt;0,N($O285)&lt;=0),COUNTIFS($M$3:$M285,"&gt;0",$O$3:$O285,"&lt;=0"),"")</f>
        <v/>
      </c>
      <c r="Z285" s="30" t="n">
        <f aca="false">IF(OR('THÁNG 7'!$C142="",'THÁNG 7'!$B142=""),0,'THÁNG 7'!$B142)</f>
        <v>0</v>
      </c>
    </row>
    <row r="286" customFormat="false" ht="15" hidden="false" customHeight="false" outlineLevel="0" collapsed="false">
      <c r="A286" s="0" t="n">
        <v>7</v>
      </c>
      <c r="B286" s="29" t="str">
        <f aca="false">IF(OR('THÁNG 7'!$C143="",'THÁNG 7'!$B143=""),"",'THÁNG 7'!$B143)</f>
        <v/>
      </c>
      <c r="C286" s="0" t="str">
        <f aca="false">IF('THÁNG 7'!$C143="","",'THÁNG 7'!$C143)</f>
        <v/>
      </c>
      <c r="D286" s="0" t="str">
        <f aca="false">IF('THÁNG 7'!$C143="","",'THÁNG 7'!$D143&amp;"")</f>
        <v/>
      </c>
      <c r="E286" s="0" t="str">
        <f aca="false">IF('THÁNG 7'!$C143="","",'THÁNG 7'!$E143&amp;"")</f>
        <v/>
      </c>
      <c r="F286" s="0" t="str">
        <f aca="false">IF('THÁNG 7'!$C143="","",'THÁNG 7'!$F143&amp;"")</f>
        <v/>
      </c>
      <c r="G286" s="0" t="str">
        <f aca="false">IF('THÁNG 7'!$C143="","",'THÁNG 7'!$G143&amp;"")</f>
        <v/>
      </c>
      <c r="H286" s="0" t="str">
        <f aca="false">IF('THÁNG 7'!$C143="","",'THÁNG 7'!$H143&amp;"")</f>
        <v/>
      </c>
      <c r="I286" s="0" t="str">
        <f aca="false">IF('THÁNG 7'!$C143="","",N('THÁNG 7'!$I143))</f>
        <v/>
      </c>
      <c r="J286" s="0" t="str">
        <f aca="false">IF('THÁNG 7'!$C143="","",N('THÁNG 7'!$L143))</f>
        <v/>
      </c>
      <c r="K286" s="0" t="str">
        <f aca="false">IF('THÁNG 7'!$C143="","",N('THÁNG 7'!$N143))</f>
        <v/>
      </c>
      <c r="L286" s="0" t="str">
        <f aca="false">IF('THÁNG 7'!$C143="","",N('THÁNG 7'!$O143))</f>
        <v/>
      </c>
      <c r="M286" s="0" t="str">
        <f aca="false">IF('THÁNG 7'!$C143="","",N('THÁNG 7'!$P143))</f>
        <v/>
      </c>
      <c r="N286" s="0" t="str">
        <f aca="false">IF('THÁNG 7'!$C143="","",N('THÁNG 7'!$Q143))</f>
        <v/>
      </c>
      <c r="O286" s="0" t="str">
        <f aca="false">IF('THÁNG 7'!$C143="","",N('THÁNG 7'!$R143))</f>
        <v/>
      </c>
      <c r="P286" s="0" t="str">
        <f aca="false">IF(OR('THÁNG 7'!$C143="",'THÁNG 7'!$T143=""),"",'THÁNG 7'!$T143)</f>
        <v/>
      </c>
      <c r="Q286" s="0" t="str">
        <f aca="false">IF(OR('THÁNG 7'!$C143="",'THÁNG 7'!$U143=""),"",'THÁNG 7'!$U143)</f>
        <v/>
      </c>
      <c r="R286" s="0" t="str">
        <f aca="false">IF('THÁNG 7'!$C143="","",'THÁNG 7'!$W143&amp;"")</f>
        <v/>
      </c>
      <c r="S286" s="0" t="str">
        <f aca="false">IF('THÁNG 7'!$C143="","",'THÁNG 7'!$S143&amp;"")</f>
        <v/>
      </c>
      <c r="T286" s="0" t="str">
        <f aca="false">IF(N($O286)&gt;0,COUNTIF($O$3:$O286,"&gt;0"),"")</f>
        <v/>
      </c>
      <c r="U286" s="0" t="str">
        <f aca="false">IF(AND(N($J286)&gt;0,N($K286)&gt;0),COUNTIFS($J$3:$J286,"&gt;0",$K$3:$K286,"&gt;0"),"")</f>
        <v/>
      </c>
      <c r="V286" s="0" t="str">
        <f aca="false">IF(AND(N($J286)&gt;0,N($K286)=0),COUNTIFS($J$3:$J286,"&gt;0",$K$3:$K286,"&lt;=0"),"")</f>
        <v/>
      </c>
      <c r="W286" s="0" t="str">
        <f aca="false">IF($C286="","",IF(COUNTIF($C$3:$C286,$C286)&gt;1,"",MAX($W$2:W285)+1))</f>
        <v/>
      </c>
      <c r="X286" s="0" t="str">
        <f aca="false">IF($H286="","",IF(COUNTIF($H$3:$H286,$H286)&gt;1,"",MAX($X$2:X285)+1))</f>
        <v/>
      </c>
      <c r="Y286" s="0" t="str">
        <f aca="false">IF(AND(N($M286)&gt;0,N($O286)&lt;=0),COUNTIFS($M$3:$M286,"&gt;0",$O$3:$O286,"&lt;=0"),"")</f>
        <v/>
      </c>
      <c r="Z286" s="30" t="n">
        <f aca="false">IF(OR('THÁNG 7'!$C143="",'THÁNG 7'!$B143=""),0,'THÁNG 7'!$B143)</f>
        <v>0</v>
      </c>
    </row>
    <row r="287" customFormat="false" ht="15" hidden="false" customHeight="false" outlineLevel="0" collapsed="false">
      <c r="A287" s="0" t="n">
        <v>7</v>
      </c>
      <c r="B287" s="29" t="str">
        <f aca="false">IF(OR('THÁNG 7'!$C144="",'THÁNG 7'!$B144=""),"",'THÁNG 7'!$B144)</f>
        <v/>
      </c>
      <c r="C287" s="0" t="str">
        <f aca="false">IF('THÁNG 7'!$C144="","",'THÁNG 7'!$C144)</f>
        <v/>
      </c>
      <c r="D287" s="0" t="str">
        <f aca="false">IF('THÁNG 7'!$C144="","",'THÁNG 7'!$D144&amp;"")</f>
        <v/>
      </c>
      <c r="E287" s="0" t="str">
        <f aca="false">IF('THÁNG 7'!$C144="","",'THÁNG 7'!$E144&amp;"")</f>
        <v/>
      </c>
      <c r="F287" s="0" t="str">
        <f aca="false">IF('THÁNG 7'!$C144="","",'THÁNG 7'!$F144&amp;"")</f>
        <v/>
      </c>
      <c r="G287" s="0" t="str">
        <f aca="false">IF('THÁNG 7'!$C144="","",'THÁNG 7'!$G144&amp;"")</f>
        <v/>
      </c>
      <c r="H287" s="0" t="str">
        <f aca="false">IF('THÁNG 7'!$C144="","",'THÁNG 7'!$H144&amp;"")</f>
        <v/>
      </c>
      <c r="I287" s="0" t="str">
        <f aca="false">IF('THÁNG 7'!$C144="","",N('THÁNG 7'!$I144))</f>
        <v/>
      </c>
      <c r="J287" s="0" t="str">
        <f aca="false">IF('THÁNG 7'!$C144="","",N('THÁNG 7'!$L144))</f>
        <v/>
      </c>
      <c r="K287" s="0" t="str">
        <f aca="false">IF('THÁNG 7'!$C144="","",N('THÁNG 7'!$N144))</f>
        <v/>
      </c>
      <c r="L287" s="0" t="str">
        <f aca="false">IF('THÁNG 7'!$C144="","",N('THÁNG 7'!$O144))</f>
        <v/>
      </c>
      <c r="M287" s="0" t="str">
        <f aca="false">IF('THÁNG 7'!$C144="","",N('THÁNG 7'!$P144))</f>
        <v/>
      </c>
      <c r="N287" s="0" t="str">
        <f aca="false">IF('THÁNG 7'!$C144="","",N('THÁNG 7'!$Q144))</f>
        <v/>
      </c>
      <c r="O287" s="0" t="str">
        <f aca="false">IF('THÁNG 7'!$C144="","",N('THÁNG 7'!$R144))</f>
        <v/>
      </c>
      <c r="P287" s="0" t="str">
        <f aca="false">IF(OR('THÁNG 7'!$C144="",'THÁNG 7'!$T144=""),"",'THÁNG 7'!$T144)</f>
        <v/>
      </c>
      <c r="Q287" s="0" t="str">
        <f aca="false">IF(OR('THÁNG 7'!$C144="",'THÁNG 7'!$U144=""),"",'THÁNG 7'!$U144)</f>
        <v/>
      </c>
      <c r="R287" s="0" t="str">
        <f aca="false">IF('THÁNG 7'!$C144="","",'THÁNG 7'!$W144&amp;"")</f>
        <v/>
      </c>
      <c r="S287" s="0" t="str">
        <f aca="false">IF('THÁNG 7'!$C144="","",'THÁNG 7'!$S144&amp;"")</f>
        <v/>
      </c>
      <c r="T287" s="0" t="str">
        <f aca="false">IF(N($O287)&gt;0,COUNTIF($O$3:$O287,"&gt;0"),"")</f>
        <v/>
      </c>
      <c r="U287" s="0" t="str">
        <f aca="false">IF(AND(N($J287)&gt;0,N($K287)&gt;0),COUNTIFS($J$3:$J287,"&gt;0",$K$3:$K287,"&gt;0"),"")</f>
        <v/>
      </c>
      <c r="V287" s="0" t="str">
        <f aca="false">IF(AND(N($J287)&gt;0,N($K287)=0),COUNTIFS($J$3:$J287,"&gt;0",$K$3:$K287,"&lt;=0"),"")</f>
        <v/>
      </c>
      <c r="W287" s="0" t="str">
        <f aca="false">IF($C287="","",IF(COUNTIF($C$3:$C287,$C287)&gt;1,"",MAX($W$2:W286)+1))</f>
        <v/>
      </c>
      <c r="X287" s="0" t="str">
        <f aca="false">IF($H287="","",IF(COUNTIF($H$3:$H287,$H287)&gt;1,"",MAX($X$2:X286)+1))</f>
        <v/>
      </c>
      <c r="Y287" s="0" t="str">
        <f aca="false">IF(AND(N($M287)&gt;0,N($O287)&lt;=0),COUNTIFS($M$3:$M287,"&gt;0",$O$3:$O287,"&lt;=0"),"")</f>
        <v/>
      </c>
      <c r="Z287" s="30" t="n">
        <f aca="false">IF(OR('THÁNG 7'!$C144="",'THÁNG 7'!$B144=""),0,'THÁNG 7'!$B144)</f>
        <v>0</v>
      </c>
    </row>
    <row r="288" customFormat="false" ht="15" hidden="false" customHeight="false" outlineLevel="0" collapsed="false">
      <c r="A288" s="0" t="n">
        <v>7</v>
      </c>
      <c r="B288" s="29" t="str">
        <f aca="false">IF(OR('THÁNG 7'!$C145="",'THÁNG 7'!$B145=""),"",'THÁNG 7'!$B145)</f>
        <v/>
      </c>
      <c r="C288" s="0" t="str">
        <f aca="false">IF('THÁNG 7'!$C145="","",'THÁNG 7'!$C145)</f>
        <v/>
      </c>
      <c r="D288" s="0" t="str">
        <f aca="false">IF('THÁNG 7'!$C145="","",'THÁNG 7'!$D145&amp;"")</f>
        <v/>
      </c>
      <c r="E288" s="0" t="str">
        <f aca="false">IF('THÁNG 7'!$C145="","",'THÁNG 7'!$E145&amp;"")</f>
        <v/>
      </c>
      <c r="F288" s="0" t="str">
        <f aca="false">IF('THÁNG 7'!$C145="","",'THÁNG 7'!$F145&amp;"")</f>
        <v/>
      </c>
      <c r="G288" s="0" t="str">
        <f aca="false">IF('THÁNG 7'!$C145="","",'THÁNG 7'!$G145&amp;"")</f>
        <v/>
      </c>
      <c r="H288" s="0" t="str">
        <f aca="false">IF('THÁNG 7'!$C145="","",'THÁNG 7'!$H145&amp;"")</f>
        <v/>
      </c>
      <c r="I288" s="0" t="str">
        <f aca="false">IF('THÁNG 7'!$C145="","",N('THÁNG 7'!$I145))</f>
        <v/>
      </c>
      <c r="J288" s="0" t="str">
        <f aca="false">IF('THÁNG 7'!$C145="","",N('THÁNG 7'!$L145))</f>
        <v/>
      </c>
      <c r="K288" s="0" t="str">
        <f aca="false">IF('THÁNG 7'!$C145="","",N('THÁNG 7'!$N145))</f>
        <v/>
      </c>
      <c r="L288" s="0" t="str">
        <f aca="false">IF('THÁNG 7'!$C145="","",N('THÁNG 7'!$O145))</f>
        <v/>
      </c>
      <c r="M288" s="0" t="str">
        <f aca="false">IF('THÁNG 7'!$C145="","",N('THÁNG 7'!$P145))</f>
        <v/>
      </c>
      <c r="N288" s="0" t="str">
        <f aca="false">IF('THÁNG 7'!$C145="","",N('THÁNG 7'!$Q145))</f>
        <v/>
      </c>
      <c r="O288" s="0" t="str">
        <f aca="false">IF('THÁNG 7'!$C145="","",N('THÁNG 7'!$R145))</f>
        <v/>
      </c>
      <c r="P288" s="0" t="str">
        <f aca="false">IF(OR('THÁNG 7'!$C145="",'THÁNG 7'!$T145=""),"",'THÁNG 7'!$T145)</f>
        <v/>
      </c>
      <c r="Q288" s="0" t="str">
        <f aca="false">IF(OR('THÁNG 7'!$C145="",'THÁNG 7'!$U145=""),"",'THÁNG 7'!$U145)</f>
        <v/>
      </c>
      <c r="R288" s="0" t="str">
        <f aca="false">IF('THÁNG 7'!$C145="","",'THÁNG 7'!$W145&amp;"")</f>
        <v/>
      </c>
      <c r="S288" s="0" t="str">
        <f aca="false">IF('THÁNG 7'!$C145="","",'THÁNG 7'!$S145&amp;"")</f>
        <v/>
      </c>
      <c r="T288" s="0" t="str">
        <f aca="false">IF(N($O288)&gt;0,COUNTIF($O$3:$O288,"&gt;0"),"")</f>
        <v/>
      </c>
      <c r="U288" s="0" t="str">
        <f aca="false">IF(AND(N($J288)&gt;0,N($K288)&gt;0),COUNTIFS($J$3:$J288,"&gt;0",$K$3:$K288,"&gt;0"),"")</f>
        <v/>
      </c>
      <c r="V288" s="0" t="str">
        <f aca="false">IF(AND(N($J288)&gt;0,N($K288)=0),COUNTIFS($J$3:$J288,"&gt;0",$K$3:$K288,"&lt;=0"),"")</f>
        <v/>
      </c>
      <c r="W288" s="0" t="str">
        <f aca="false">IF($C288="","",IF(COUNTIF($C$3:$C288,$C288)&gt;1,"",MAX($W$2:W287)+1))</f>
        <v/>
      </c>
      <c r="X288" s="0" t="str">
        <f aca="false">IF($H288="","",IF(COUNTIF($H$3:$H288,$H288)&gt;1,"",MAX($X$2:X287)+1))</f>
        <v/>
      </c>
      <c r="Y288" s="0" t="str">
        <f aca="false">IF(AND(N($M288)&gt;0,N($O288)&lt;=0),COUNTIFS($M$3:$M288,"&gt;0",$O$3:$O288,"&lt;=0"),"")</f>
        <v/>
      </c>
      <c r="Z288" s="30" t="n">
        <f aca="false">IF(OR('THÁNG 7'!$C145="",'THÁNG 7'!$B145=""),0,'THÁNG 7'!$B145)</f>
        <v>0</v>
      </c>
    </row>
    <row r="289" customFormat="false" ht="15" hidden="false" customHeight="false" outlineLevel="0" collapsed="false">
      <c r="A289" s="0" t="n">
        <v>7</v>
      </c>
      <c r="B289" s="29" t="str">
        <f aca="false">IF(OR('THÁNG 7'!$C146="",'THÁNG 7'!$B146=""),"",'THÁNG 7'!$B146)</f>
        <v/>
      </c>
      <c r="C289" s="0" t="str">
        <f aca="false">IF('THÁNG 7'!$C146="","",'THÁNG 7'!$C146)</f>
        <v/>
      </c>
      <c r="D289" s="0" t="str">
        <f aca="false">IF('THÁNG 7'!$C146="","",'THÁNG 7'!$D146&amp;"")</f>
        <v/>
      </c>
      <c r="E289" s="0" t="str">
        <f aca="false">IF('THÁNG 7'!$C146="","",'THÁNG 7'!$E146&amp;"")</f>
        <v/>
      </c>
      <c r="F289" s="0" t="str">
        <f aca="false">IF('THÁNG 7'!$C146="","",'THÁNG 7'!$F146&amp;"")</f>
        <v/>
      </c>
      <c r="G289" s="0" t="str">
        <f aca="false">IF('THÁNG 7'!$C146="","",'THÁNG 7'!$G146&amp;"")</f>
        <v/>
      </c>
      <c r="H289" s="0" t="str">
        <f aca="false">IF('THÁNG 7'!$C146="","",'THÁNG 7'!$H146&amp;"")</f>
        <v/>
      </c>
      <c r="I289" s="0" t="str">
        <f aca="false">IF('THÁNG 7'!$C146="","",N('THÁNG 7'!$I146))</f>
        <v/>
      </c>
      <c r="J289" s="0" t="str">
        <f aca="false">IF('THÁNG 7'!$C146="","",N('THÁNG 7'!$L146))</f>
        <v/>
      </c>
      <c r="K289" s="0" t="str">
        <f aca="false">IF('THÁNG 7'!$C146="","",N('THÁNG 7'!$N146))</f>
        <v/>
      </c>
      <c r="L289" s="0" t="str">
        <f aca="false">IF('THÁNG 7'!$C146="","",N('THÁNG 7'!$O146))</f>
        <v/>
      </c>
      <c r="M289" s="0" t="str">
        <f aca="false">IF('THÁNG 7'!$C146="","",N('THÁNG 7'!$P146))</f>
        <v/>
      </c>
      <c r="N289" s="0" t="str">
        <f aca="false">IF('THÁNG 7'!$C146="","",N('THÁNG 7'!$Q146))</f>
        <v/>
      </c>
      <c r="O289" s="0" t="str">
        <f aca="false">IF('THÁNG 7'!$C146="","",N('THÁNG 7'!$R146))</f>
        <v/>
      </c>
      <c r="P289" s="0" t="str">
        <f aca="false">IF(OR('THÁNG 7'!$C146="",'THÁNG 7'!$T146=""),"",'THÁNG 7'!$T146)</f>
        <v/>
      </c>
      <c r="Q289" s="0" t="str">
        <f aca="false">IF(OR('THÁNG 7'!$C146="",'THÁNG 7'!$U146=""),"",'THÁNG 7'!$U146)</f>
        <v/>
      </c>
      <c r="R289" s="0" t="str">
        <f aca="false">IF('THÁNG 7'!$C146="","",'THÁNG 7'!$W146&amp;"")</f>
        <v/>
      </c>
      <c r="S289" s="0" t="str">
        <f aca="false">IF('THÁNG 7'!$C146="","",'THÁNG 7'!$S146&amp;"")</f>
        <v/>
      </c>
      <c r="T289" s="0" t="str">
        <f aca="false">IF(N($O289)&gt;0,COUNTIF($O$3:$O289,"&gt;0"),"")</f>
        <v/>
      </c>
      <c r="U289" s="0" t="str">
        <f aca="false">IF(AND(N($J289)&gt;0,N($K289)&gt;0),COUNTIFS($J$3:$J289,"&gt;0",$K$3:$K289,"&gt;0"),"")</f>
        <v/>
      </c>
      <c r="V289" s="0" t="str">
        <f aca="false">IF(AND(N($J289)&gt;0,N($K289)=0),COUNTIFS($J$3:$J289,"&gt;0",$K$3:$K289,"&lt;=0"),"")</f>
        <v/>
      </c>
      <c r="W289" s="0" t="str">
        <f aca="false">IF($C289="","",IF(COUNTIF($C$3:$C289,$C289)&gt;1,"",MAX($W$2:W288)+1))</f>
        <v/>
      </c>
      <c r="X289" s="0" t="str">
        <f aca="false">IF($H289="","",IF(COUNTIF($H$3:$H289,$H289)&gt;1,"",MAX($X$2:X288)+1))</f>
        <v/>
      </c>
      <c r="Y289" s="0" t="str">
        <f aca="false">IF(AND(N($M289)&gt;0,N($O289)&lt;=0),COUNTIFS($M$3:$M289,"&gt;0",$O$3:$O289,"&lt;=0"),"")</f>
        <v/>
      </c>
      <c r="Z289" s="30" t="n">
        <f aca="false">IF(OR('THÁNG 7'!$C146="",'THÁNG 7'!$B146=""),0,'THÁNG 7'!$B146)</f>
        <v>0</v>
      </c>
    </row>
    <row r="290" customFormat="false" ht="15" hidden="false" customHeight="false" outlineLevel="0" collapsed="false">
      <c r="A290" s="0" t="n">
        <v>7</v>
      </c>
      <c r="B290" s="29" t="str">
        <f aca="false">IF(OR('THÁNG 7'!$C147="",'THÁNG 7'!$B147=""),"",'THÁNG 7'!$B147)</f>
        <v/>
      </c>
      <c r="C290" s="0" t="str">
        <f aca="false">IF('THÁNG 7'!$C147="","",'THÁNG 7'!$C147)</f>
        <v/>
      </c>
      <c r="D290" s="0" t="str">
        <f aca="false">IF('THÁNG 7'!$C147="","",'THÁNG 7'!$D147&amp;"")</f>
        <v/>
      </c>
      <c r="E290" s="0" t="str">
        <f aca="false">IF('THÁNG 7'!$C147="","",'THÁNG 7'!$E147&amp;"")</f>
        <v/>
      </c>
      <c r="F290" s="0" t="str">
        <f aca="false">IF('THÁNG 7'!$C147="","",'THÁNG 7'!$F147&amp;"")</f>
        <v/>
      </c>
      <c r="G290" s="0" t="str">
        <f aca="false">IF('THÁNG 7'!$C147="","",'THÁNG 7'!$G147&amp;"")</f>
        <v/>
      </c>
      <c r="H290" s="0" t="str">
        <f aca="false">IF('THÁNG 7'!$C147="","",'THÁNG 7'!$H147&amp;"")</f>
        <v/>
      </c>
      <c r="I290" s="0" t="str">
        <f aca="false">IF('THÁNG 7'!$C147="","",N('THÁNG 7'!$I147))</f>
        <v/>
      </c>
      <c r="J290" s="0" t="str">
        <f aca="false">IF('THÁNG 7'!$C147="","",N('THÁNG 7'!$L147))</f>
        <v/>
      </c>
      <c r="K290" s="0" t="str">
        <f aca="false">IF('THÁNG 7'!$C147="","",N('THÁNG 7'!$N147))</f>
        <v/>
      </c>
      <c r="L290" s="0" t="str">
        <f aca="false">IF('THÁNG 7'!$C147="","",N('THÁNG 7'!$O147))</f>
        <v/>
      </c>
      <c r="M290" s="0" t="str">
        <f aca="false">IF('THÁNG 7'!$C147="","",N('THÁNG 7'!$P147))</f>
        <v/>
      </c>
      <c r="N290" s="0" t="str">
        <f aca="false">IF('THÁNG 7'!$C147="","",N('THÁNG 7'!$Q147))</f>
        <v/>
      </c>
      <c r="O290" s="0" t="str">
        <f aca="false">IF('THÁNG 7'!$C147="","",N('THÁNG 7'!$R147))</f>
        <v/>
      </c>
      <c r="P290" s="0" t="str">
        <f aca="false">IF(OR('THÁNG 7'!$C147="",'THÁNG 7'!$T147=""),"",'THÁNG 7'!$T147)</f>
        <v/>
      </c>
      <c r="Q290" s="0" t="str">
        <f aca="false">IF(OR('THÁNG 7'!$C147="",'THÁNG 7'!$U147=""),"",'THÁNG 7'!$U147)</f>
        <v/>
      </c>
      <c r="R290" s="0" t="str">
        <f aca="false">IF('THÁNG 7'!$C147="","",'THÁNG 7'!$W147&amp;"")</f>
        <v/>
      </c>
      <c r="S290" s="0" t="str">
        <f aca="false">IF('THÁNG 7'!$C147="","",'THÁNG 7'!$S147&amp;"")</f>
        <v/>
      </c>
      <c r="T290" s="0" t="str">
        <f aca="false">IF(N($O290)&gt;0,COUNTIF($O$3:$O290,"&gt;0"),"")</f>
        <v/>
      </c>
      <c r="U290" s="0" t="str">
        <f aca="false">IF(AND(N($J290)&gt;0,N($K290)&gt;0),COUNTIFS($J$3:$J290,"&gt;0",$K$3:$K290,"&gt;0"),"")</f>
        <v/>
      </c>
      <c r="V290" s="0" t="str">
        <f aca="false">IF(AND(N($J290)&gt;0,N($K290)=0),COUNTIFS($J$3:$J290,"&gt;0",$K$3:$K290,"&lt;=0"),"")</f>
        <v/>
      </c>
      <c r="W290" s="0" t="str">
        <f aca="false">IF($C290="","",IF(COUNTIF($C$3:$C290,$C290)&gt;1,"",MAX($W$2:W289)+1))</f>
        <v/>
      </c>
      <c r="X290" s="0" t="str">
        <f aca="false">IF($H290="","",IF(COUNTIF($H$3:$H290,$H290)&gt;1,"",MAX($X$2:X289)+1))</f>
        <v/>
      </c>
      <c r="Y290" s="0" t="str">
        <f aca="false">IF(AND(N($M290)&gt;0,N($O290)&lt;=0),COUNTIFS($M$3:$M290,"&gt;0",$O$3:$O290,"&lt;=0"),"")</f>
        <v/>
      </c>
      <c r="Z290" s="30" t="n">
        <f aca="false">IF(OR('THÁNG 7'!$C147="",'THÁNG 7'!$B147=""),0,'THÁNG 7'!$B147)</f>
        <v>0</v>
      </c>
    </row>
    <row r="291" customFormat="false" ht="15" hidden="false" customHeight="false" outlineLevel="0" collapsed="false">
      <c r="A291" s="0" t="n">
        <v>7</v>
      </c>
      <c r="B291" s="29" t="str">
        <f aca="false">IF(OR('THÁNG 7'!$C148="",'THÁNG 7'!$B148=""),"",'THÁNG 7'!$B148)</f>
        <v/>
      </c>
      <c r="C291" s="0" t="str">
        <f aca="false">IF('THÁNG 7'!$C148="","",'THÁNG 7'!$C148)</f>
        <v/>
      </c>
      <c r="D291" s="0" t="str">
        <f aca="false">IF('THÁNG 7'!$C148="","",'THÁNG 7'!$D148&amp;"")</f>
        <v/>
      </c>
      <c r="E291" s="0" t="str">
        <f aca="false">IF('THÁNG 7'!$C148="","",'THÁNG 7'!$E148&amp;"")</f>
        <v/>
      </c>
      <c r="F291" s="0" t="str">
        <f aca="false">IF('THÁNG 7'!$C148="","",'THÁNG 7'!$F148&amp;"")</f>
        <v/>
      </c>
      <c r="G291" s="0" t="str">
        <f aca="false">IF('THÁNG 7'!$C148="","",'THÁNG 7'!$G148&amp;"")</f>
        <v/>
      </c>
      <c r="H291" s="0" t="str">
        <f aca="false">IF('THÁNG 7'!$C148="","",'THÁNG 7'!$H148&amp;"")</f>
        <v/>
      </c>
      <c r="I291" s="0" t="str">
        <f aca="false">IF('THÁNG 7'!$C148="","",N('THÁNG 7'!$I148))</f>
        <v/>
      </c>
      <c r="J291" s="0" t="str">
        <f aca="false">IF('THÁNG 7'!$C148="","",N('THÁNG 7'!$L148))</f>
        <v/>
      </c>
      <c r="K291" s="0" t="str">
        <f aca="false">IF('THÁNG 7'!$C148="","",N('THÁNG 7'!$N148))</f>
        <v/>
      </c>
      <c r="L291" s="0" t="str">
        <f aca="false">IF('THÁNG 7'!$C148="","",N('THÁNG 7'!$O148))</f>
        <v/>
      </c>
      <c r="M291" s="0" t="str">
        <f aca="false">IF('THÁNG 7'!$C148="","",N('THÁNG 7'!$P148))</f>
        <v/>
      </c>
      <c r="N291" s="0" t="str">
        <f aca="false">IF('THÁNG 7'!$C148="","",N('THÁNG 7'!$Q148))</f>
        <v/>
      </c>
      <c r="O291" s="0" t="str">
        <f aca="false">IF('THÁNG 7'!$C148="","",N('THÁNG 7'!$R148))</f>
        <v/>
      </c>
      <c r="P291" s="0" t="str">
        <f aca="false">IF(OR('THÁNG 7'!$C148="",'THÁNG 7'!$T148=""),"",'THÁNG 7'!$T148)</f>
        <v/>
      </c>
      <c r="Q291" s="0" t="str">
        <f aca="false">IF(OR('THÁNG 7'!$C148="",'THÁNG 7'!$U148=""),"",'THÁNG 7'!$U148)</f>
        <v/>
      </c>
      <c r="R291" s="0" t="str">
        <f aca="false">IF('THÁNG 7'!$C148="","",'THÁNG 7'!$W148&amp;"")</f>
        <v/>
      </c>
      <c r="S291" s="0" t="str">
        <f aca="false">IF('THÁNG 7'!$C148="","",'THÁNG 7'!$S148&amp;"")</f>
        <v/>
      </c>
      <c r="T291" s="0" t="str">
        <f aca="false">IF(N($O291)&gt;0,COUNTIF($O$3:$O291,"&gt;0"),"")</f>
        <v/>
      </c>
      <c r="U291" s="0" t="str">
        <f aca="false">IF(AND(N($J291)&gt;0,N($K291)&gt;0),COUNTIFS($J$3:$J291,"&gt;0",$K$3:$K291,"&gt;0"),"")</f>
        <v/>
      </c>
      <c r="V291" s="0" t="str">
        <f aca="false">IF(AND(N($J291)&gt;0,N($K291)=0),COUNTIFS($J$3:$J291,"&gt;0",$K$3:$K291,"&lt;=0"),"")</f>
        <v/>
      </c>
      <c r="W291" s="0" t="str">
        <f aca="false">IF($C291="","",IF(COUNTIF($C$3:$C291,$C291)&gt;1,"",MAX($W$2:W290)+1))</f>
        <v/>
      </c>
      <c r="X291" s="0" t="str">
        <f aca="false">IF($H291="","",IF(COUNTIF($H$3:$H291,$H291)&gt;1,"",MAX($X$2:X290)+1))</f>
        <v/>
      </c>
      <c r="Y291" s="0" t="str">
        <f aca="false">IF(AND(N($M291)&gt;0,N($O291)&lt;=0),COUNTIFS($M$3:$M291,"&gt;0",$O$3:$O291,"&lt;=0"),"")</f>
        <v/>
      </c>
      <c r="Z291" s="30" t="n">
        <f aca="false">IF(OR('THÁNG 7'!$C148="",'THÁNG 7'!$B148=""),0,'THÁNG 7'!$B148)</f>
        <v>0</v>
      </c>
    </row>
    <row r="292" customFormat="false" ht="15" hidden="false" customHeight="false" outlineLevel="0" collapsed="false">
      <c r="A292" s="0" t="n">
        <v>7</v>
      </c>
      <c r="B292" s="29" t="str">
        <f aca="false">IF(OR('THÁNG 7'!$C149="",'THÁNG 7'!$B149=""),"",'THÁNG 7'!$B149)</f>
        <v/>
      </c>
      <c r="C292" s="0" t="str">
        <f aca="false">IF('THÁNG 7'!$C149="","",'THÁNG 7'!$C149)</f>
        <v/>
      </c>
      <c r="D292" s="0" t="str">
        <f aca="false">IF('THÁNG 7'!$C149="","",'THÁNG 7'!$D149&amp;"")</f>
        <v/>
      </c>
      <c r="E292" s="0" t="str">
        <f aca="false">IF('THÁNG 7'!$C149="","",'THÁNG 7'!$E149&amp;"")</f>
        <v/>
      </c>
      <c r="F292" s="0" t="str">
        <f aca="false">IF('THÁNG 7'!$C149="","",'THÁNG 7'!$F149&amp;"")</f>
        <v/>
      </c>
      <c r="G292" s="0" t="str">
        <f aca="false">IF('THÁNG 7'!$C149="","",'THÁNG 7'!$G149&amp;"")</f>
        <v/>
      </c>
      <c r="H292" s="0" t="str">
        <f aca="false">IF('THÁNG 7'!$C149="","",'THÁNG 7'!$H149&amp;"")</f>
        <v/>
      </c>
      <c r="I292" s="0" t="str">
        <f aca="false">IF('THÁNG 7'!$C149="","",N('THÁNG 7'!$I149))</f>
        <v/>
      </c>
      <c r="J292" s="0" t="str">
        <f aca="false">IF('THÁNG 7'!$C149="","",N('THÁNG 7'!$L149))</f>
        <v/>
      </c>
      <c r="K292" s="0" t="str">
        <f aca="false">IF('THÁNG 7'!$C149="","",N('THÁNG 7'!$N149))</f>
        <v/>
      </c>
      <c r="L292" s="0" t="str">
        <f aca="false">IF('THÁNG 7'!$C149="","",N('THÁNG 7'!$O149))</f>
        <v/>
      </c>
      <c r="M292" s="0" t="str">
        <f aca="false">IF('THÁNG 7'!$C149="","",N('THÁNG 7'!$P149))</f>
        <v/>
      </c>
      <c r="N292" s="0" t="str">
        <f aca="false">IF('THÁNG 7'!$C149="","",N('THÁNG 7'!$Q149))</f>
        <v/>
      </c>
      <c r="O292" s="0" t="str">
        <f aca="false">IF('THÁNG 7'!$C149="","",N('THÁNG 7'!$R149))</f>
        <v/>
      </c>
      <c r="P292" s="0" t="str">
        <f aca="false">IF(OR('THÁNG 7'!$C149="",'THÁNG 7'!$T149=""),"",'THÁNG 7'!$T149)</f>
        <v/>
      </c>
      <c r="Q292" s="0" t="str">
        <f aca="false">IF(OR('THÁNG 7'!$C149="",'THÁNG 7'!$U149=""),"",'THÁNG 7'!$U149)</f>
        <v/>
      </c>
      <c r="R292" s="0" t="str">
        <f aca="false">IF('THÁNG 7'!$C149="","",'THÁNG 7'!$W149&amp;"")</f>
        <v/>
      </c>
      <c r="S292" s="0" t="str">
        <f aca="false">IF('THÁNG 7'!$C149="","",'THÁNG 7'!$S149&amp;"")</f>
        <v/>
      </c>
      <c r="T292" s="0" t="str">
        <f aca="false">IF(N($O292)&gt;0,COUNTIF($O$3:$O292,"&gt;0"),"")</f>
        <v/>
      </c>
      <c r="U292" s="0" t="str">
        <f aca="false">IF(AND(N($J292)&gt;0,N($K292)&gt;0),COUNTIFS($J$3:$J292,"&gt;0",$K$3:$K292,"&gt;0"),"")</f>
        <v/>
      </c>
      <c r="V292" s="0" t="str">
        <f aca="false">IF(AND(N($J292)&gt;0,N($K292)=0),COUNTIFS($J$3:$J292,"&gt;0",$K$3:$K292,"&lt;=0"),"")</f>
        <v/>
      </c>
      <c r="W292" s="0" t="str">
        <f aca="false">IF($C292="","",IF(COUNTIF($C$3:$C292,$C292)&gt;1,"",MAX($W$2:W291)+1))</f>
        <v/>
      </c>
      <c r="X292" s="0" t="str">
        <f aca="false">IF($H292="","",IF(COUNTIF($H$3:$H292,$H292)&gt;1,"",MAX($X$2:X291)+1))</f>
        <v/>
      </c>
      <c r="Y292" s="0" t="str">
        <f aca="false">IF(AND(N($M292)&gt;0,N($O292)&lt;=0),COUNTIFS($M$3:$M292,"&gt;0",$O$3:$O292,"&lt;=0"),"")</f>
        <v/>
      </c>
      <c r="Z292" s="30" t="n">
        <f aca="false">IF(OR('THÁNG 7'!$C149="",'THÁNG 7'!$B149=""),0,'THÁNG 7'!$B149)</f>
        <v>0</v>
      </c>
    </row>
    <row r="293" customFormat="false" ht="15" hidden="false" customHeight="false" outlineLevel="0" collapsed="false">
      <c r="A293" s="0" t="n">
        <v>7</v>
      </c>
      <c r="B293" s="29" t="str">
        <f aca="false">IF(OR('THÁNG 7'!$C150="",'THÁNG 7'!$B150=""),"",'THÁNG 7'!$B150)</f>
        <v/>
      </c>
      <c r="C293" s="0" t="str">
        <f aca="false">IF('THÁNG 7'!$C150="","",'THÁNG 7'!$C150)</f>
        <v/>
      </c>
      <c r="D293" s="0" t="str">
        <f aca="false">IF('THÁNG 7'!$C150="","",'THÁNG 7'!$D150&amp;"")</f>
        <v/>
      </c>
      <c r="E293" s="0" t="str">
        <f aca="false">IF('THÁNG 7'!$C150="","",'THÁNG 7'!$E150&amp;"")</f>
        <v/>
      </c>
      <c r="F293" s="0" t="str">
        <f aca="false">IF('THÁNG 7'!$C150="","",'THÁNG 7'!$F150&amp;"")</f>
        <v/>
      </c>
      <c r="G293" s="0" t="str">
        <f aca="false">IF('THÁNG 7'!$C150="","",'THÁNG 7'!$G150&amp;"")</f>
        <v/>
      </c>
      <c r="H293" s="0" t="str">
        <f aca="false">IF('THÁNG 7'!$C150="","",'THÁNG 7'!$H150&amp;"")</f>
        <v/>
      </c>
      <c r="I293" s="0" t="str">
        <f aca="false">IF('THÁNG 7'!$C150="","",N('THÁNG 7'!$I150))</f>
        <v/>
      </c>
      <c r="J293" s="0" t="str">
        <f aca="false">IF('THÁNG 7'!$C150="","",N('THÁNG 7'!$L150))</f>
        <v/>
      </c>
      <c r="K293" s="0" t="str">
        <f aca="false">IF('THÁNG 7'!$C150="","",N('THÁNG 7'!$N150))</f>
        <v/>
      </c>
      <c r="L293" s="0" t="str">
        <f aca="false">IF('THÁNG 7'!$C150="","",N('THÁNG 7'!$O150))</f>
        <v/>
      </c>
      <c r="M293" s="0" t="str">
        <f aca="false">IF('THÁNG 7'!$C150="","",N('THÁNG 7'!$P150))</f>
        <v/>
      </c>
      <c r="N293" s="0" t="str">
        <f aca="false">IF('THÁNG 7'!$C150="","",N('THÁNG 7'!$Q150))</f>
        <v/>
      </c>
      <c r="O293" s="0" t="str">
        <f aca="false">IF('THÁNG 7'!$C150="","",N('THÁNG 7'!$R150))</f>
        <v/>
      </c>
      <c r="P293" s="0" t="str">
        <f aca="false">IF(OR('THÁNG 7'!$C150="",'THÁNG 7'!$T150=""),"",'THÁNG 7'!$T150)</f>
        <v/>
      </c>
      <c r="Q293" s="0" t="str">
        <f aca="false">IF(OR('THÁNG 7'!$C150="",'THÁNG 7'!$U150=""),"",'THÁNG 7'!$U150)</f>
        <v/>
      </c>
      <c r="R293" s="0" t="str">
        <f aca="false">IF('THÁNG 7'!$C150="","",'THÁNG 7'!$W150&amp;"")</f>
        <v/>
      </c>
      <c r="S293" s="0" t="str">
        <f aca="false">IF('THÁNG 7'!$C150="","",'THÁNG 7'!$S150&amp;"")</f>
        <v/>
      </c>
      <c r="T293" s="0" t="str">
        <f aca="false">IF(N($O293)&gt;0,COUNTIF($O$3:$O293,"&gt;0"),"")</f>
        <v/>
      </c>
      <c r="U293" s="0" t="str">
        <f aca="false">IF(AND(N($J293)&gt;0,N($K293)&gt;0),COUNTIFS($J$3:$J293,"&gt;0",$K$3:$K293,"&gt;0"),"")</f>
        <v/>
      </c>
      <c r="V293" s="0" t="str">
        <f aca="false">IF(AND(N($J293)&gt;0,N($K293)=0),COUNTIFS($J$3:$J293,"&gt;0",$K$3:$K293,"&lt;=0"),"")</f>
        <v/>
      </c>
      <c r="W293" s="0" t="str">
        <f aca="false">IF($C293="","",IF(COUNTIF($C$3:$C293,$C293)&gt;1,"",MAX($W$2:W292)+1))</f>
        <v/>
      </c>
      <c r="X293" s="0" t="str">
        <f aca="false">IF($H293="","",IF(COUNTIF($H$3:$H293,$H293)&gt;1,"",MAX($X$2:X292)+1))</f>
        <v/>
      </c>
      <c r="Y293" s="0" t="str">
        <f aca="false">IF(AND(N($M293)&gt;0,N($O293)&lt;=0),COUNTIFS($M$3:$M293,"&gt;0",$O$3:$O293,"&lt;=0"),"")</f>
        <v/>
      </c>
      <c r="Z293" s="30" t="n">
        <f aca="false">IF(OR('THÁNG 7'!$C150="",'THÁNG 7'!$B150=""),0,'THÁNG 7'!$B150)</f>
        <v>0</v>
      </c>
    </row>
    <row r="294" customFormat="false" ht="15" hidden="false" customHeight="false" outlineLevel="0" collapsed="false">
      <c r="A294" s="0" t="n">
        <v>7</v>
      </c>
      <c r="B294" s="29" t="str">
        <f aca="false">IF(OR('THÁNG 7'!$C151="",'THÁNG 7'!$B151=""),"",'THÁNG 7'!$B151)</f>
        <v/>
      </c>
      <c r="C294" s="0" t="str">
        <f aca="false">IF('THÁNG 7'!$C151="","",'THÁNG 7'!$C151)</f>
        <v/>
      </c>
      <c r="D294" s="0" t="str">
        <f aca="false">IF('THÁNG 7'!$C151="","",'THÁNG 7'!$D151&amp;"")</f>
        <v/>
      </c>
      <c r="E294" s="0" t="str">
        <f aca="false">IF('THÁNG 7'!$C151="","",'THÁNG 7'!$E151&amp;"")</f>
        <v/>
      </c>
      <c r="F294" s="0" t="str">
        <f aca="false">IF('THÁNG 7'!$C151="","",'THÁNG 7'!$F151&amp;"")</f>
        <v/>
      </c>
      <c r="G294" s="0" t="str">
        <f aca="false">IF('THÁNG 7'!$C151="","",'THÁNG 7'!$G151&amp;"")</f>
        <v/>
      </c>
      <c r="H294" s="0" t="str">
        <f aca="false">IF('THÁNG 7'!$C151="","",'THÁNG 7'!$H151&amp;"")</f>
        <v/>
      </c>
      <c r="I294" s="0" t="str">
        <f aca="false">IF('THÁNG 7'!$C151="","",N('THÁNG 7'!$I151))</f>
        <v/>
      </c>
      <c r="J294" s="0" t="str">
        <f aca="false">IF('THÁNG 7'!$C151="","",N('THÁNG 7'!$L151))</f>
        <v/>
      </c>
      <c r="K294" s="0" t="str">
        <f aca="false">IF('THÁNG 7'!$C151="","",N('THÁNG 7'!$N151))</f>
        <v/>
      </c>
      <c r="L294" s="0" t="str">
        <f aca="false">IF('THÁNG 7'!$C151="","",N('THÁNG 7'!$O151))</f>
        <v/>
      </c>
      <c r="M294" s="0" t="str">
        <f aca="false">IF('THÁNG 7'!$C151="","",N('THÁNG 7'!$P151))</f>
        <v/>
      </c>
      <c r="N294" s="0" t="str">
        <f aca="false">IF('THÁNG 7'!$C151="","",N('THÁNG 7'!$Q151))</f>
        <v/>
      </c>
      <c r="O294" s="0" t="str">
        <f aca="false">IF('THÁNG 7'!$C151="","",N('THÁNG 7'!$R151))</f>
        <v/>
      </c>
      <c r="P294" s="0" t="str">
        <f aca="false">IF(OR('THÁNG 7'!$C151="",'THÁNG 7'!$T151=""),"",'THÁNG 7'!$T151)</f>
        <v/>
      </c>
      <c r="Q294" s="0" t="str">
        <f aca="false">IF(OR('THÁNG 7'!$C151="",'THÁNG 7'!$U151=""),"",'THÁNG 7'!$U151)</f>
        <v/>
      </c>
      <c r="R294" s="0" t="str">
        <f aca="false">IF('THÁNG 7'!$C151="","",'THÁNG 7'!$W151&amp;"")</f>
        <v/>
      </c>
      <c r="S294" s="0" t="str">
        <f aca="false">IF('THÁNG 7'!$C151="","",'THÁNG 7'!$S151&amp;"")</f>
        <v/>
      </c>
      <c r="T294" s="0" t="str">
        <f aca="false">IF(N($O294)&gt;0,COUNTIF($O$3:$O294,"&gt;0"),"")</f>
        <v/>
      </c>
      <c r="U294" s="0" t="str">
        <f aca="false">IF(AND(N($J294)&gt;0,N($K294)&gt;0),COUNTIFS($J$3:$J294,"&gt;0",$K$3:$K294,"&gt;0"),"")</f>
        <v/>
      </c>
      <c r="V294" s="0" t="str">
        <f aca="false">IF(AND(N($J294)&gt;0,N($K294)=0),COUNTIFS($J$3:$J294,"&gt;0",$K$3:$K294,"&lt;=0"),"")</f>
        <v/>
      </c>
      <c r="W294" s="0" t="str">
        <f aca="false">IF($C294="","",IF(COUNTIF($C$3:$C294,$C294)&gt;1,"",MAX($W$2:W293)+1))</f>
        <v/>
      </c>
      <c r="X294" s="0" t="str">
        <f aca="false">IF($H294="","",IF(COUNTIF($H$3:$H294,$H294)&gt;1,"",MAX($X$2:X293)+1))</f>
        <v/>
      </c>
      <c r="Y294" s="0" t="str">
        <f aca="false">IF(AND(N($M294)&gt;0,N($O294)&lt;=0),COUNTIFS($M$3:$M294,"&gt;0",$O$3:$O294,"&lt;=0"),"")</f>
        <v/>
      </c>
      <c r="Z294" s="30" t="n">
        <f aca="false">IF(OR('THÁNG 7'!$C151="",'THÁNG 7'!$B151=""),0,'THÁNG 7'!$B151)</f>
        <v>0</v>
      </c>
    </row>
    <row r="295" customFormat="false" ht="15" hidden="false" customHeight="false" outlineLevel="0" collapsed="false">
      <c r="A295" s="0" t="n">
        <v>7</v>
      </c>
      <c r="B295" s="29" t="str">
        <f aca="false">IF(OR('THÁNG 7'!$C152="",'THÁNG 7'!$B152=""),"",'THÁNG 7'!$B152)</f>
        <v/>
      </c>
      <c r="C295" s="0" t="str">
        <f aca="false">IF('THÁNG 7'!$C152="","",'THÁNG 7'!$C152)</f>
        <v/>
      </c>
      <c r="D295" s="0" t="str">
        <f aca="false">IF('THÁNG 7'!$C152="","",'THÁNG 7'!$D152&amp;"")</f>
        <v/>
      </c>
      <c r="E295" s="0" t="str">
        <f aca="false">IF('THÁNG 7'!$C152="","",'THÁNG 7'!$E152&amp;"")</f>
        <v/>
      </c>
      <c r="F295" s="0" t="str">
        <f aca="false">IF('THÁNG 7'!$C152="","",'THÁNG 7'!$F152&amp;"")</f>
        <v/>
      </c>
      <c r="G295" s="0" t="str">
        <f aca="false">IF('THÁNG 7'!$C152="","",'THÁNG 7'!$G152&amp;"")</f>
        <v/>
      </c>
      <c r="H295" s="0" t="str">
        <f aca="false">IF('THÁNG 7'!$C152="","",'THÁNG 7'!$H152&amp;"")</f>
        <v/>
      </c>
      <c r="I295" s="0" t="str">
        <f aca="false">IF('THÁNG 7'!$C152="","",N('THÁNG 7'!$I152))</f>
        <v/>
      </c>
      <c r="J295" s="0" t="str">
        <f aca="false">IF('THÁNG 7'!$C152="","",N('THÁNG 7'!$L152))</f>
        <v/>
      </c>
      <c r="K295" s="0" t="str">
        <f aca="false">IF('THÁNG 7'!$C152="","",N('THÁNG 7'!$N152))</f>
        <v/>
      </c>
      <c r="L295" s="0" t="str">
        <f aca="false">IF('THÁNG 7'!$C152="","",N('THÁNG 7'!$O152))</f>
        <v/>
      </c>
      <c r="M295" s="0" t="str">
        <f aca="false">IF('THÁNG 7'!$C152="","",N('THÁNG 7'!$P152))</f>
        <v/>
      </c>
      <c r="N295" s="0" t="str">
        <f aca="false">IF('THÁNG 7'!$C152="","",N('THÁNG 7'!$Q152))</f>
        <v/>
      </c>
      <c r="O295" s="0" t="str">
        <f aca="false">IF('THÁNG 7'!$C152="","",N('THÁNG 7'!$R152))</f>
        <v/>
      </c>
      <c r="P295" s="0" t="str">
        <f aca="false">IF(OR('THÁNG 7'!$C152="",'THÁNG 7'!$T152=""),"",'THÁNG 7'!$T152)</f>
        <v/>
      </c>
      <c r="Q295" s="0" t="str">
        <f aca="false">IF(OR('THÁNG 7'!$C152="",'THÁNG 7'!$U152=""),"",'THÁNG 7'!$U152)</f>
        <v/>
      </c>
      <c r="R295" s="0" t="str">
        <f aca="false">IF('THÁNG 7'!$C152="","",'THÁNG 7'!$W152&amp;"")</f>
        <v/>
      </c>
      <c r="S295" s="0" t="str">
        <f aca="false">IF('THÁNG 7'!$C152="","",'THÁNG 7'!$S152&amp;"")</f>
        <v/>
      </c>
      <c r="T295" s="0" t="str">
        <f aca="false">IF(N($O295)&gt;0,COUNTIF($O$3:$O295,"&gt;0"),"")</f>
        <v/>
      </c>
      <c r="U295" s="0" t="str">
        <f aca="false">IF(AND(N($J295)&gt;0,N($K295)&gt;0),COUNTIFS($J$3:$J295,"&gt;0",$K$3:$K295,"&gt;0"),"")</f>
        <v/>
      </c>
      <c r="V295" s="0" t="str">
        <f aca="false">IF(AND(N($J295)&gt;0,N($K295)=0),COUNTIFS($J$3:$J295,"&gt;0",$K$3:$K295,"&lt;=0"),"")</f>
        <v/>
      </c>
      <c r="W295" s="0" t="str">
        <f aca="false">IF($C295="","",IF(COUNTIF($C$3:$C295,$C295)&gt;1,"",MAX($W$2:W294)+1))</f>
        <v/>
      </c>
      <c r="X295" s="0" t="str">
        <f aca="false">IF($H295="","",IF(COUNTIF($H$3:$H295,$H295)&gt;1,"",MAX($X$2:X294)+1))</f>
        <v/>
      </c>
      <c r="Y295" s="0" t="str">
        <f aca="false">IF(AND(N($M295)&gt;0,N($O295)&lt;=0),COUNTIFS($M$3:$M295,"&gt;0",$O$3:$O295,"&lt;=0"),"")</f>
        <v/>
      </c>
      <c r="Z295" s="30" t="n">
        <f aca="false">IF(OR('THÁNG 7'!$C152="",'THÁNG 7'!$B152=""),0,'THÁNG 7'!$B152)</f>
        <v>0</v>
      </c>
    </row>
    <row r="296" customFormat="false" ht="15" hidden="false" customHeight="false" outlineLevel="0" collapsed="false">
      <c r="A296" s="0" t="n">
        <v>7</v>
      </c>
      <c r="B296" s="29" t="str">
        <f aca="false">IF(OR('THÁNG 7'!$C153="",'THÁNG 7'!$B153=""),"",'THÁNG 7'!$B153)</f>
        <v/>
      </c>
      <c r="C296" s="0" t="str">
        <f aca="false">IF('THÁNG 7'!$C153="","",'THÁNG 7'!$C153)</f>
        <v/>
      </c>
      <c r="D296" s="0" t="str">
        <f aca="false">IF('THÁNG 7'!$C153="","",'THÁNG 7'!$D153&amp;"")</f>
        <v/>
      </c>
      <c r="E296" s="0" t="str">
        <f aca="false">IF('THÁNG 7'!$C153="","",'THÁNG 7'!$E153&amp;"")</f>
        <v/>
      </c>
      <c r="F296" s="0" t="str">
        <f aca="false">IF('THÁNG 7'!$C153="","",'THÁNG 7'!$F153&amp;"")</f>
        <v/>
      </c>
      <c r="G296" s="0" t="str">
        <f aca="false">IF('THÁNG 7'!$C153="","",'THÁNG 7'!$G153&amp;"")</f>
        <v/>
      </c>
      <c r="H296" s="0" t="str">
        <f aca="false">IF('THÁNG 7'!$C153="","",'THÁNG 7'!$H153&amp;"")</f>
        <v/>
      </c>
      <c r="I296" s="0" t="str">
        <f aca="false">IF('THÁNG 7'!$C153="","",N('THÁNG 7'!$I153))</f>
        <v/>
      </c>
      <c r="J296" s="0" t="str">
        <f aca="false">IF('THÁNG 7'!$C153="","",N('THÁNG 7'!$L153))</f>
        <v/>
      </c>
      <c r="K296" s="0" t="str">
        <f aca="false">IF('THÁNG 7'!$C153="","",N('THÁNG 7'!$N153))</f>
        <v/>
      </c>
      <c r="L296" s="0" t="str">
        <f aca="false">IF('THÁNG 7'!$C153="","",N('THÁNG 7'!$O153))</f>
        <v/>
      </c>
      <c r="M296" s="0" t="str">
        <f aca="false">IF('THÁNG 7'!$C153="","",N('THÁNG 7'!$P153))</f>
        <v/>
      </c>
      <c r="N296" s="0" t="str">
        <f aca="false">IF('THÁNG 7'!$C153="","",N('THÁNG 7'!$Q153))</f>
        <v/>
      </c>
      <c r="O296" s="0" t="str">
        <f aca="false">IF('THÁNG 7'!$C153="","",N('THÁNG 7'!$R153))</f>
        <v/>
      </c>
      <c r="P296" s="0" t="str">
        <f aca="false">IF(OR('THÁNG 7'!$C153="",'THÁNG 7'!$T153=""),"",'THÁNG 7'!$T153)</f>
        <v/>
      </c>
      <c r="Q296" s="0" t="str">
        <f aca="false">IF(OR('THÁNG 7'!$C153="",'THÁNG 7'!$U153=""),"",'THÁNG 7'!$U153)</f>
        <v/>
      </c>
      <c r="R296" s="0" t="str">
        <f aca="false">IF('THÁNG 7'!$C153="","",'THÁNG 7'!$W153&amp;"")</f>
        <v/>
      </c>
      <c r="S296" s="0" t="str">
        <f aca="false">IF('THÁNG 7'!$C153="","",'THÁNG 7'!$S153&amp;"")</f>
        <v/>
      </c>
      <c r="T296" s="0" t="str">
        <f aca="false">IF(N($O296)&gt;0,COUNTIF($O$3:$O296,"&gt;0"),"")</f>
        <v/>
      </c>
      <c r="U296" s="0" t="str">
        <f aca="false">IF(AND(N($J296)&gt;0,N($K296)&gt;0),COUNTIFS($J$3:$J296,"&gt;0",$K$3:$K296,"&gt;0"),"")</f>
        <v/>
      </c>
      <c r="V296" s="0" t="str">
        <f aca="false">IF(AND(N($J296)&gt;0,N($K296)=0),COUNTIFS($J$3:$J296,"&gt;0",$K$3:$K296,"&lt;=0"),"")</f>
        <v/>
      </c>
      <c r="W296" s="0" t="str">
        <f aca="false">IF($C296="","",IF(COUNTIF($C$3:$C296,$C296)&gt;1,"",MAX($W$2:W295)+1))</f>
        <v/>
      </c>
      <c r="X296" s="0" t="str">
        <f aca="false">IF($H296="","",IF(COUNTIF($H$3:$H296,$H296)&gt;1,"",MAX($X$2:X295)+1))</f>
        <v/>
      </c>
      <c r="Y296" s="0" t="str">
        <f aca="false">IF(AND(N($M296)&gt;0,N($O296)&lt;=0),COUNTIFS($M$3:$M296,"&gt;0",$O$3:$O296,"&lt;=0"),"")</f>
        <v/>
      </c>
      <c r="Z296" s="30" t="n">
        <f aca="false">IF(OR('THÁNG 7'!$C153="",'THÁNG 7'!$B153=""),0,'THÁNG 7'!$B153)</f>
        <v>0</v>
      </c>
    </row>
    <row r="297" customFormat="false" ht="15" hidden="false" customHeight="false" outlineLevel="0" collapsed="false">
      <c r="A297" s="0" t="n">
        <v>7</v>
      </c>
      <c r="B297" s="29" t="str">
        <f aca="false">IF(OR('THÁNG 7'!$C154="",'THÁNG 7'!$B154=""),"",'THÁNG 7'!$B154)</f>
        <v/>
      </c>
      <c r="C297" s="0" t="str">
        <f aca="false">IF('THÁNG 7'!$C154="","",'THÁNG 7'!$C154)</f>
        <v/>
      </c>
      <c r="D297" s="0" t="str">
        <f aca="false">IF('THÁNG 7'!$C154="","",'THÁNG 7'!$D154&amp;"")</f>
        <v/>
      </c>
      <c r="E297" s="0" t="str">
        <f aca="false">IF('THÁNG 7'!$C154="","",'THÁNG 7'!$E154&amp;"")</f>
        <v/>
      </c>
      <c r="F297" s="0" t="str">
        <f aca="false">IF('THÁNG 7'!$C154="","",'THÁNG 7'!$F154&amp;"")</f>
        <v/>
      </c>
      <c r="G297" s="0" t="str">
        <f aca="false">IF('THÁNG 7'!$C154="","",'THÁNG 7'!$G154&amp;"")</f>
        <v/>
      </c>
      <c r="H297" s="0" t="str">
        <f aca="false">IF('THÁNG 7'!$C154="","",'THÁNG 7'!$H154&amp;"")</f>
        <v/>
      </c>
      <c r="I297" s="0" t="str">
        <f aca="false">IF('THÁNG 7'!$C154="","",N('THÁNG 7'!$I154))</f>
        <v/>
      </c>
      <c r="J297" s="0" t="str">
        <f aca="false">IF('THÁNG 7'!$C154="","",N('THÁNG 7'!$L154))</f>
        <v/>
      </c>
      <c r="K297" s="0" t="str">
        <f aca="false">IF('THÁNG 7'!$C154="","",N('THÁNG 7'!$N154))</f>
        <v/>
      </c>
      <c r="L297" s="0" t="str">
        <f aca="false">IF('THÁNG 7'!$C154="","",N('THÁNG 7'!$O154))</f>
        <v/>
      </c>
      <c r="M297" s="0" t="str">
        <f aca="false">IF('THÁNG 7'!$C154="","",N('THÁNG 7'!$P154))</f>
        <v/>
      </c>
      <c r="N297" s="0" t="str">
        <f aca="false">IF('THÁNG 7'!$C154="","",N('THÁNG 7'!$Q154))</f>
        <v/>
      </c>
      <c r="O297" s="0" t="str">
        <f aca="false">IF('THÁNG 7'!$C154="","",N('THÁNG 7'!$R154))</f>
        <v/>
      </c>
      <c r="P297" s="0" t="str">
        <f aca="false">IF(OR('THÁNG 7'!$C154="",'THÁNG 7'!$T154=""),"",'THÁNG 7'!$T154)</f>
        <v/>
      </c>
      <c r="Q297" s="0" t="str">
        <f aca="false">IF(OR('THÁNG 7'!$C154="",'THÁNG 7'!$U154=""),"",'THÁNG 7'!$U154)</f>
        <v/>
      </c>
      <c r="R297" s="0" t="str">
        <f aca="false">IF('THÁNG 7'!$C154="","",'THÁNG 7'!$W154&amp;"")</f>
        <v/>
      </c>
      <c r="S297" s="0" t="str">
        <f aca="false">IF('THÁNG 7'!$C154="","",'THÁNG 7'!$S154&amp;"")</f>
        <v/>
      </c>
      <c r="T297" s="0" t="str">
        <f aca="false">IF(N($O297)&gt;0,COUNTIF($O$3:$O297,"&gt;0"),"")</f>
        <v/>
      </c>
      <c r="U297" s="0" t="str">
        <f aca="false">IF(AND(N($J297)&gt;0,N($K297)&gt;0),COUNTIFS($J$3:$J297,"&gt;0",$K$3:$K297,"&gt;0"),"")</f>
        <v/>
      </c>
      <c r="V297" s="0" t="str">
        <f aca="false">IF(AND(N($J297)&gt;0,N($K297)=0),COUNTIFS($J$3:$J297,"&gt;0",$K$3:$K297,"&lt;=0"),"")</f>
        <v/>
      </c>
      <c r="W297" s="0" t="str">
        <f aca="false">IF($C297="","",IF(COUNTIF($C$3:$C297,$C297)&gt;1,"",MAX($W$2:W296)+1))</f>
        <v/>
      </c>
      <c r="X297" s="0" t="str">
        <f aca="false">IF($H297="","",IF(COUNTIF($H$3:$H297,$H297)&gt;1,"",MAX($X$2:X296)+1))</f>
        <v/>
      </c>
      <c r="Y297" s="0" t="str">
        <f aca="false">IF(AND(N($M297)&gt;0,N($O297)&lt;=0),COUNTIFS($M$3:$M297,"&gt;0",$O$3:$O297,"&lt;=0"),"")</f>
        <v/>
      </c>
      <c r="Z297" s="30" t="n">
        <f aca="false">IF(OR('THÁNG 7'!$C154="",'THÁNG 7'!$B154=""),0,'THÁNG 7'!$B154)</f>
        <v>0</v>
      </c>
    </row>
    <row r="298" customFormat="false" ht="15" hidden="false" customHeight="false" outlineLevel="0" collapsed="false">
      <c r="A298" s="0" t="n">
        <v>7</v>
      </c>
      <c r="B298" s="29" t="str">
        <f aca="false">IF(OR('THÁNG 7'!$C155="",'THÁNG 7'!$B155=""),"",'THÁNG 7'!$B155)</f>
        <v/>
      </c>
      <c r="C298" s="0" t="str">
        <f aca="false">IF('THÁNG 7'!$C155="","",'THÁNG 7'!$C155)</f>
        <v/>
      </c>
      <c r="D298" s="0" t="str">
        <f aca="false">IF('THÁNG 7'!$C155="","",'THÁNG 7'!$D155&amp;"")</f>
        <v/>
      </c>
      <c r="E298" s="0" t="str">
        <f aca="false">IF('THÁNG 7'!$C155="","",'THÁNG 7'!$E155&amp;"")</f>
        <v/>
      </c>
      <c r="F298" s="0" t="str">
        <f aca="false">IF('THÁNG 7'!$C155="","",'THÁNG 7'!$F155&amp;"")</f>
        <v/>
      </c>
      <c r="G298" s="0" t="str">
        <f aca="false">IF('THÁNG 7'!$C155="","",'THÁNG 7'!$G155&amp;"")</f>
        <v/>
      </c>
      <c r="H298" s="0" t="str">
        <f aca="false">IF('THÁNG 7'!$C155="","",'THÁNG 7'!$H155&amp;"")</f>
        <v/>
      </c>
      <c r="I298" s="0" t="str">
        <f aca="false">IF('THÁNG 7'!$C155="","",N('THÁNG 7'!$I155))</f>
        <v/>
      </c>
      <c r="J298" s="0" t="str">
        <f aca="false">IF('THÁNG 7'!$C155="","",N('THÁNG 7'!$L155))</f>
        <v/>
      </c>
      <c r="K298" s="0" t="str">
        <f aca="false">IF('THÁNG 7'!$C155="","",N('THÁNG 7'!$N155))</f>
        <v/>
      </c>
      <c r="L298" s="0" t="str">
        <f aca="false">IF('THÁNG 7'!$C155="","",N('THÁNG 7'!$O155))</f>
        <v/>
      </c>
      <c r="M298" s="0" t="str">
        <f aca="false">IF('THÁNG 7'!$C155="","",N('THÁNG 7'!$P155))</f>
        <v/>
      </c>
      <c r="N298" s="0" t="str">
        <f aca="false">IF('THÁNG 7'!$C155="","",N('THÁNG 7'!$Q155))</f>
        <v/>
      </c>
      <c r="O298" s="0" t="str">
        <f aca="false">IF('THÁNG 7'!$C155="","",N('THÁNG 7'!$R155))</f>
        <v/>
      </c>
      <c r="P298" s="0" t="str">
        <f aca="false">IF(OR('THÁNG 7'!$C155="",'THÁNG 7'!$T155=""),"",'THÁNG 7'!$T155)</f>
        <v/>
      </c>
      <c r="Q298" s="0" t="str">
        <f aca="false">IF(OR('THÁNG 7'!$C155="",'THÁNG 7'!$U155=""),"",'THÁNG 7'!$U155)</f>
        <v/>
      </c>
      <c r="R298" s="0" t="str">
        <f aca="false">IF('THÁNG 7'!$C155="","",'THÁNG 7'!$W155&amp;"")</f>
        <v/>
      </c>
      <c r="S298" s="0" t="str">
        <f aca="false">IF('THÁNG 7'!$C155="","",'THÁNG 7'!$S155&amp;"")</f>
        <v/>
      </c>
      <c r="T298" s="0" t="str">
        <f aca="false">IF(N($O298)&gt;0,COUNTIF($O$3:$O298,"&gt;0"),"")</f>
        <v/>
      </c>
      <c r="U298" s="0" t="str">
        <f aca="false">IF(AND(N($J298)&gt;0,N($K298)&gt;0),COUNTIFS($J$3:$J298,"&gt;0",$K$3:$K298,"&gt;0"),"")</f>
        <v/>
      </c>
      <c r="V298" s="0" t="str">
        <f aca="false">IF(AND(N($J298)&gt;0,N($K298)=0),COUNTIFS($J$3:$J298,"&gt;0",$K$3:$K298,"&lt;=0"),"")</f>
        <v/>
      </c>
      <c r="W298" s="0" t="str">
        <f aca="false">IF($C298="","",IF(COUNTIF($C$3:$C298,$C298)&gt;1,"",MAX($W$2:W297)+1))</f>
        <v/>
      </c>
      <c r="X298" s="0" t="str">
        <f aca="false">IF($H298="","",IF(COUNTIF($H$3:$H298,$H298)&gt;1,"",MAX($X$2:X297)+1))</f>
        <v/>
      </c>
      <c r="Y298" s="0" t="str">
        <f aca="false">IF(AND(N($M298)&gt;0,N($O298)&lt;=0),COUNTIFS($M$3:$M298,"&gt;0",$O$3:$O298,"&lt;=0"),"")</f>
        <v/>
      </c>
      <c r="Z298" s="30" t="n">
        <f aca="false">IF(OR('THÁNG 7'!$C155="",'THÁNG 7'!$B155=""),0,'THÁNG 7'!$B155)</f>
        <v>0</v>
      </c>
    </row>
    <row r="299" customFormat="false" ht="15" hidden="false" customHeight="false" outlineLevel="0" collapsed="false">
      <c r="A299" s="0" t="n">
        <v>7</v>
      </c>
      <c r="B299" s="29" t="str">
        <f aca="false">IF(OR('THÁNG 7'!$C156="",'THÁNG 7'!$B156=""),"",'THÁNG 7'!$B156)</f>
        <v/>
      </c>
      <c r="C299" s="0" t="str">
        <f aca="false">IF('THÁNG 7'!$C156="","",'THÁNG 7'!$C156)</f>
        <v/>
      </c>
      <c r="D299" s="0" t="str">
        <f aca="false">IF('THÁNG 7'!$C156="","",'THÁNG 7'!$D156&amp;"")</f>
        <v/>
      </c>
      <c r="E299" s="0" t="str">
        <f aca="false">IF('THÁNG 7'!$C156="","",'THÁNG 7'!$E156&amp;"")</f>
        <v/>
      </c>
      <c r="F299" s="0" t="str">
        <f aca="false">IF('THÁNG 7'!$C156="","",'THÁNG 7'!$F156&amp;"")</f>
        <v/>
      </c>
      <c r="G299" s="0" t="str">
        <f aca="false">IF('THÁNG 7'!$C156="","",'THÁNG 7'!$G156&amp;"")</f>
        <v/>
      </c>
      <c r="H299" s="0" t="str">
        <f aca="false">IF('THÁNG 7'!$C156="","",'THÁNG 7'!$H156&amp;"")</f>
        <v/>
      </c>
      <c r="I299" s="0" t="str">
        <f aca="false">IF('THÁNG 7'!$C156="","",N('THÁNG 7'!$I156))</f>
        <v/>
      </c>
      <c r="J299" s="0" t="str">
        <f aca="false">IF('THÁNG 7'!$C156="","",N('THÁNG 7'!$L156))</f>
        <v/>
      </c>
      <c r="K299" s="0" t="str">
        <f aca="false">IF('THÁNG 7'!$C156="","",N('THÁNG 7'!$N156))</f>
        <v/>
      </c>
      <c r="L299" s="0" t="str">
        <f aca="false">IF('THÁNG 7'!$C156="","",N('THÁNG 7'!$O156))</f>
        <v/>
      </c>
      <c r="M299" s="0" t="str">
        <f aca="false">IF('THÁNG 7'!$C156="","",N('THÁNG 7'!$P156))</f>
        <v/>
      </c>
      <c r="N299" s="0" t="str">
        <f aca="false">IF('THÁNG 7'!$C156="","",N('THÁNG 7'!$Q156))</f>
        <v/>
      </c>
      <c r="O299" s="0" t="str">
        <f aca="false">IF('THÁNG 7'!$C156="","",N('THÁNG 7'!$R156))</f>
        <v/>
      </c>
      <c r="P299" s="0" t="str">
        <f aca="false">IF(OR('THÁNG 7'!$C156="",'THÁNG 7'!$T156=""),"",'THÁNG 7'!$T156)</f>
        <v/>
      </c>
      <c r="Q299" s="0" t="str">
        <f aca="false">IF(OR('THÁNG 7'!$C156="",'THÁNG 7'!$U156=""),"",'THÁNG 7'!$U156)</f>
        <v/>
      </c>
      <c r="R299" s="0" t="str">
        <f aca="false">IF('THÁNG 7'!$C156="","",'THÁNG 7'!$W156&amp;"")</f>
        <v/>
      </c>
      <c r="S299" s="0" t="str">
        <f aca="false">IF('THÁNG 7'!$C156="","",'THÁNG 7'!$S156&amp;"")</f>
        <v/>
      </c>
      <c r="T299" s="0" t="str">
        <f aca="false">IF(N($O299)&gt;0,COUNTIF($O$3:$O299,"&gt;0"),"")</f>
        <v/>
      </c>
      <c r="U299" s="0" t="str">
        <f aca="false">IF(AND(N($J299)&gt;0,N($K299)&gt;0),COUNTIFS($J$3:$J299,"&gt;0",$K$3:$K299,"&gt;0"),"")</f>
        <v/>
      </c>
      <c r="V299" s="0" t="str">
        <f aca="false">IF(AND(N($J299)&gt;0,N($K299)=0),COUNTIFS($J$3:$J299,"&gt;0",$K$3:$K299,"&lt;=0"),"")</f>
        <v/>
      </c>
      <c r="W299" s="0" t="str">
        <f aca="false">IF($C299="","",IF(COUNTIF($C$3:$C299,$C299)&gt;1,"",MAX($W$2:W298)+1))</f>
        <v/>
      </c>
      <c r="X299" s="0" t="str">
        <f aca="false">IF($H299="","",IF(COUNTIF($H$3:$H299,$H299)&gt;1,"",MAX($X$2:X298)+1))</f>
        <v/>
      </c>
      <c r="Y299" s="0" t="str">
        <f aca="false">IF(AND(N($M299)&gt;0,N($O299)&lt;=0),COUNTIFS($M$3:$M299,"&gt;0",$O$3:$O299,"&lt;=0"),"")</f>
        <v/>
      </c>
      <c r="Z299" s="30" t="n">
        <f aca="false">IF(OR('THÁNG 7'!$C156="",'THÁNG 7'!$B156=""),0,'THÁNG 7'!$B156)</f>
        <v>0</v>
      </c>
    </row>
    <row r="300" customFormat="false" ht="15" hidden="false" customHeight="false" outlineLevel="0" collapsed="false">
      <c r="A300" s="0" t="n">
        <v>7</v>
      </c>
      <c r="B300" s="29" t="str">
        <f aca="false">IF(OR('THÁNG 7'!$C157="",'THÁNG 7'!$B157=""),"",'THÁNG 7'!$B157)</f>
        <v/>
      </c>
      <c r="C300" s="0" t="str">
        <f aca="false">IF('THÁNG 7'!$C157="","",'THÁNG 7'!$C157)</f>
        <v/>
      </c>
      <c r="D300" s="0" t="str">
        <f aca="false">IF('THÁNG 7'!$C157="","",'THÁNG 7'!$D157&amp;"")</f>
        <v/>
      </c>
      <c r="E300" s="0" t="str">
        <f aca="false">IF('THÁNG 7'!$C157="","",'THÁNG 7'!$E157&amp;"")</f>
        <v/>
      </c>
      <c r="F300" s="0" t="str">
        <f aca="false">IF('THÁNG 7'!$C157="","",'THÁNG 7'!$F157&amp;"")</f>
        <v/>
      </c>
      <c r="G300" s="0" t="str">
        <f aca="false">IF('THÁNG 7'!$C157="","",'THÁNG 7'!$G157&amp;"")</f>
        <v/>
      </c>
      <c r="H300" s="0" t="str">
        <f aca="false">IF('THÁNG 7'!$C157="","",'THÁNG 7'!$H157&amp;"")</f>
        <v/>
      </c>
      <c r="I300" s="0" t="str">
        <f aca="false">IF('THÁNG 7'!$C157="","",N('THÁNG 7'!$I157))</f>
        <v/>
      </c>
      <c r="J300" s="0" t="str">
        <f aca="false">IF('THÁNG 7'!$C157="","",N('THÁNG 7'!$L157))</f>
        <v/>
      </c>
      <c r="K300" s="0" t="str">
        <f aca="false">IF('THÁNG 7'!$C157="","",N('THÁNG 7'!$N157))</f>
        <v/>
      </c>
      <c r="L300" s="0" t="str">
        <f aca="false">IF('THÁNG 7'!$C157="","",N('THÁNG 7'!$O157))</f>
        <v/>
      </c>
      <c r="M300" s="0" t="str">
        <f aca="false">IF('THÁNG 7'!$C157="","",N('THÁNG 7'!$P157))</f>
        <v/>
      </c>
      <c r="N300" s="0" t="str">
        <f aca="false">IF('THÁNG 7'!$C157="","",N('THÁNG 7'!$Q157))</f>
        <v/>
      </c>
      <c r="O300" s="0" t="str">
        <f aca="false">IF('THÁNG 7'!$C157="","",N('THÁNG 7'!$R157))</f>
        <v/>
      </c>
      <c r="P300" s="0" t="str">
        <f aca="false">IF(OR('THÁNG 7'!$C157="",'THÁNG 7'!$T157=""),"",'THÁNG 7'!$T157)</f>
        <v/>
      </c>
      <c r="Q300" s="0" t="str">
        <f aca="false">IF(OR('THÁNG 7'!$C157="",'THÁNG 7'!$U157=""),"",'THÁNG 7'!$U157)</f>
        <v/>
      </c>
      <c r="R300" s="0" t="str">
        <f aca="false">IF('THÁNG 7'!$C157="","",'THÁNG 7'!$W157&amp;"")</f>
        <v/>
      </c>
      <c r="S300" s="0" t="str">
        <f aca="false">IF('THÁNG 7'!$C157="","",'THÁNG 7'!$S157&amp;"")</f>
        <v/>
      </c>
      <c r="T300" s="0" t="str">
        <f aca="false">IF(N($O300)&gt;0,COUNTIF($O$3:$O300,"&gt;0"),"")</f>
        <v/>
      </c>
      <c r="U300" s="0" t="str">
        <f aca="false">IF(AND(N($J300)&gt;0,N($K300)&gt;0),COUNTIFS($J$3:$J300,"&gt;0",$K$3:$K300,"&gt;0"),"")</f>
        <v/>
      </c>
      <c r="V300" s="0" t="str">
        <f aca="false">IF(AND(N($J300)&gt;0,N($K300)=0),COUNTIFS($J$3:$J300,"&gt;0",$K$3:$K300,"&lt;=0"),"")</f>
        <v/>
      </c>
      <c r="W300" s="0" t="str">
        <f aca="false">IF($C300="","",IF(COUNTIF($C$3:$C300,$C300)&gt;1,"",MAX($W$2:W299)+1))</f>
        <v/>
      </c>
      <c r="X300" s="0" t="str">
        <f aca="false">IF($H300="","",IF(COUNTIF($H$3:$H300,$H300)&gt;1,"",MAX($X$2:X299)+1))</f>
        <v/>
      </c>
      <c r="Y300" s="0" t="str">
        <f aca="false">IF(AND(N($M300)&gt;0,N($O300)&lt;=0),COUNTIFS($M$3:$M300,"&gt;0",$O$3:$O300,"&lt;=0"),"")</f>
        <v/>
      </c>
      <c r="Z300" s="30" t="n">
        <f aca="false">IF(OR('THÁNG 7'!$C157="",'THÁNG 7'!$B157=""),0,'THÁNG 7'!$B157)</f>
        <v>0</v>
      </c>
    </row>
    <row r="301" customFormat="false" ht="15" hidden="false" customHeight="false" outlineLevel="0" collapsed="false">
      <c r="A301" s="0" t="n">
        <v>7</v>
      </c>
      <c r="B301" s="29" t="str">
        <f aca="false">IF(OR('THÁNG 7'!$C158="",'THÁNG 7'!$B158=""),"",'THÁNG 7'!$B158)</f>
        <v/>
      </c>
      <c r="C301" s="0" t="str">
        <f aca="false">IF('THÁNG 7'!$C158="","",'THÁNG 7'!$C158)</f>
        <v/>
      </c>
      <c r="D301" s="0" t="str">
        <f aca="false">IF('THÁNG 7'!$C158="","",'THÁNG 7'!$D158&amp;"")</f>
        <v/>
      </c>
      <c r="E301" s="0" t="str">
        <f aca="false">IF('THÁNG 7'!$C158="","",'THÁNG 7'!$E158&amp;"")</f>
        <v/>
      </c>
      <c r="F301" s="0" t="str">
        <f aca="false">IF('THÁNG 7'!$C158="","",'THÁNG 7'!$F158&amp;"")</f>
        <v/>
      </c>
      <c r="G301" s="0" t="str">
        <f aca="false">IF('THÁNG 7'!$C158="","",'THÁNG 7'!$G158&amp;"")</f>
        <v/>
      </c>
      <c r="H301" s="0" t="str">
        <f aca="false">IF('THÁNG 7'!$C158="","",'THÁNG 7'!$H158&amp;"")</f>
        <v/>
      </c>
      <c r="I301" s="0" t="str">
        <f aca="false">IF('THÁNG 7'!$C158="","",N('THÁNG 7'!$I158))</f>
        <v/>
      </c>
      <c r="J301" s="0" t="str">
        <f aca="false">IF('THÁNG 7'!$C158="","",N('THÁNG 7'!$L158))</f>
        <v/>
      </c>
      <c r="K301" s="0" t="str">
        <f aca="false">IF('THÁNG 7'!$C158="","",N('THÁNG 7'!$N158))</f>
        <v/>
      </c>
      <c r="L301" s="0" t="str">
        <f aca="false">IF('THÁNG 7'!$C158="","",N('THÁNG 7'!$O158))</f>
        <v/>
      </c>
      <c r="M301" s="0" t="str">
        <f aca="false">IF('THÁNG 7'!$C158="","",N('THÁNG 7'!$P158))</f>
        <v/>
      </c>
      <c r="N301" s="0" t="str">
        <f aca="false">IF('THÁNG 7'!$C158="","",N('THÁNG 7'!$Q158))</f>
        <v/>
      </c>
      <c r="O301" s="0" t="str">
        <f aca="false">IF('THÁNG 7'!$C158="","",N('THÁNG 7'!$R158))</f>
        <v/>
      </c>
      <c r="P301" s="0" t="str">
        <f aca="false">IF(OR('THÁNG 7'!$C158="",'THÁNG 7'!$T158=""),"",'THÁNG 7'!$T158)</f>
        <v/>
      </c>
      <c r="Q301" s="0" t="str">
        <f aca="false">IF(OR('THÁNG 7'!$C158="",'THÁNG 7'!$U158=""),"",'THÁNG 7'!$U158)</f>
        <v/>
      </c>
      <c r="R301" s="0" t="str">
        <f aca="false">IF('THÁNG 7'!$C158="","",'THÁNG 7'!$W158&amp;"")</f>
        <v/>
      </c>
      <c r="S301" s="0" t="str">
        <f aca="false">IF('THÁNG 7'!$C158="","",'THÁNG 7'!$S158&amp;"")</f>
        <v/>
      </c>
      <c r="T301" s="0" t="str">
        <f aca="false">IF(N($O301)&gt;0,COUNTIF($O$3:$O301,"&gt;0"),"")</f>
        <v/>
      </c>
      <c r="U301" s="0" t="str">
        <f aca="false">IF(AND(N($J301)&gt;0,N($K301)&gt;0),COUNTIFS($J$3:$J301,"&gt;0",$K$3:$K301,"&gt;0"),"")</f>
        <v/>
      </c>
      <c r="V301" s="0" t="str">
        <f aca="false">IF(AND(N($J301)&gt;0,N($K301)=0),COUNTIFS($J$3:$J301,"&gt;0",$K$3:$K301,"&lt;=0"),"")</f>
        <v/>
      </c>
      <c r="W301" s="0" t="str">
        <f aca="false">IF($C301="","",IF(COUNTIF($C$3:$C301,$C301)&gt;1,"",MAX($W$2:W300)+1))</f>
        <v/>
      </c>
      <c r="X301" s="0" t="str">
        <f aca="false">IF($H301="","",IF(COUNTIF($H$3:$H301,$H301)&gt;1,"",MAX($X$2:X300)+1))</f>
        <v/>
      </c>
      <c r="Y301" s="0" t="str">
        <f aca="false">IF(AND(N($M301)&gt;0,N($O301)&lt;=0),COUNTIFS($M$3:$M301,"&gt;0",$O$3:$O301,"&lt;=0"),"")</f>
        <v/>
      </c>
      <c r="Z301" s="30" t="n">
        <f aca="false">IF(OR('THÁNG 7'!$C158="",'THÁNG 7'!$B158=""),0,'THÁNG 7'!$B158)</f>
        <v>0</v>
      </c>
    </row>
    <row r="302" customFormat="false" ht="15" hidden="false" customHeight="false" outlineLevel="0" collapsed="false">
      <c r="A302" s="0" t="n">
        <v>7</v>
      </c>
      <c r="B302" s="29" t="str">
        <f aca="false">IF(OR('THÁNG 7'!$C159="",'THÁNG 7'!$B159=""),"",'THÁNG 7'!$B159)</f>
        <v/>
      </c>
      <c r="C302" s="0" t="str">
        <f aca="false">IF('THÁNG 7'!$C159="","",'THÁNG 7'!$C159)</f>
        <v/>
      </c>
      <c r="D302" s="0" t="str">
        <f aca="false">IF('THÁNG 7'!$C159="","",'THÁNG 7'!$D159&amp;"")</f>
        <v/>
      </c>
      <c r="E302" s="0" t="str">
        <f aca="false">IF('THÁNG 7'!$C159="","",'THÁNG 7'!$E159&amp;"")</f>
        <v/>
      </c>
      <c r="F302" s="0" t="str">
        <f aca="false">IF('THÁNG 7'!$C159="","",'THÁNG 7'!$F159&amp;"")</f>
        <v/>
      </c>
      <c r="G302" s="0" t="str">
        <f aca="false">IF('THÁNG 7'!$C159="","",'THÁNG 7'!$G159&amp;"")</f>
        <v/>
      </c>
      <c r="H302" s="0" t="str">
        <f aca="false">IF('THÁNG 7'!$C159="","",'THÁNG 7'!$H159&amp;"")</f>
        <v/>
      </c>
      <c r="I302" s="0" t="str">
        <f aca="false">IF('THÁNG 7'!$C159="","",N('THÁNG 7'!$I159))</f>
        <v/>
      </c>
      <c r="J302" s="0" t="str">
        <f aca="false">IF('THÁNG 7'!$C159="","",N('THÁNG 7'!$L159))</f>
        <v/>
      </c>
      <c r="K302" s="0" t="str">
        <f aca="false">IF('THÁNG 7'!$C159="","",N('THÁNG 7'!$N159))</f>
        <v/>
      </c>
      <c r="L302" s="0" t="str">
        <f aca="false">IF('THÁNG 7'!$C159="","",N('THÁNG 7'!$O159))</f>
        <v/>
      </c>
      <c r="M302" s="0" t="str">
        <f aca="false">IF('THÁNG 7'!$C159="","",N('THÁNG 7'!$P159))</f>
        <v/>
      </c>
      <c r="N302" s="0" t="str">
        <f aca="false">IF('THÁNG 7'!$C159="","",N('THÁNG 7'!$Q159))</f>
        <v/>
      </c>
      <c r="O302" s="0" t="str">
        <f aca="false">IF('THÁNG 7'!$C159="","",N('THÁNG 7'!$R159))</f>
        <v/>
      </c>
      <c r="P302" s="0" t="str">
        <f aca="false">IF(OR('THÁNG 7'!$C159="",'THÁNG 7'!$T159=""),"",'THÁNG 7'!$T159)</f>
        <v/>
      </c>
      <c r="Q302" s="0" t="str">
        <f aca="false">IF(OR('THÁNG 7'!$C159="",'THÁNG 7'!$U159=""),"",'THÁNG 7'!$U159)</f>
        <v/>
      </c>
      <c r="R302" s="0" t="str">
        <f aca="false">IF('THÁNG 7'!$C159="","",'THÁNG 7'!$W159&amp;"")</f>
        <v/>
      </c>
      <c r="S302" s="0" t="str">
        <f aca="false">IF('THÁNG 7'!$C159="","",'THÁNG 7'!$S159&amp;"")</f>
        <v/>
      </c>
      <c r="T302" s="0" t="str">
        <f aca="false">IF(N($O302)&gt;0,COUNTIF($O$3:$O302,"&gt;0"),"")</f>
        <v/>
      </c>
      <c r="U302" s="0" t="str">
        <f aca="false">IF(AND(N($J302)&gt;0,N($K302)&gt;0),COUNTIFS($J$3:$J302,"&gt;0",$K$3:$K302,"&gt;0"),"")</f>
        <v/>
      </c>
      <c r="V302" s="0" t="str">
        <f aca="false">IF(AND(N($J302)&gt;0,N($K302)=0),COUNTIFS($J$3:$J302,"&gt;0",$K$3:$K302,"&lt;=0"),"")</f>
        <v/>
      </c>
      <c r="W302" s="0" t="str">
        <f aca="false">IF($C302="","",IF(COUNTIF($C$3:$C302,$C302)&gt;1,"",MAX($W$2:W301)+1))</f>
        <v/>
      </c>
      <c r="X302" s="0" t="str">
        <f aca="false">IF($H302="","",IF(COUNTIF($H$3:$H302,$H302)&gt;1,"",MAX($X$2:X301)+1))</f>
        <v/>
      </c>
      <c r="Y302" s="0" t="str">
        <f aca="false">IF(AND(N($M302)&gt;0,N($O302)&lt;=0),COUNTIFS($M$3:$M302,"&gt;0",$O$3:$O302,"&lt;=0"),"")</f>
        <v/>
      </c>
      <c r="Z302" s="30" t="n">
        <f aca="false">IF(OR('THÁNG 7'!$C159="",'THÁNG 7'!$B159=""),0,'THÁNG 7'!$B159)</f>
        <v>0</v>
      </c>
    </row>
    <row r="303" customFormat="false" ht="15" hidden="false" customHeight="false" outlineLevel="0" collapsed="false">
      <c r="A303" s="0" t="n">
        <v>8</v>
      </c>
      <c r="B303" s="29" t="n">
        <f aca="false">IF(OR('THÁNG 8'!$C10="",'THÁNG 8'!$B10=""),"",'THÁNG 8'!$B10)</f>
        <v>46235</v>
      </c>
      <c r="C303" s="0" t="str">
        <f aca="false">IF('THÁNG 8'!$C10="","",'THÁNG 8'!$C10)</f>
        <v>Chị Hồng Liên</v>
      </c>
      <c r="D303" s="0" t="str">
        <f aca="false">IF('THÁNG 8'!$C10="","",'THÁNG 8'!$D10&amp;"")</f>
        <v>0941379111</v>
      </c>
      <c r="E303" s="0" t="str">
        <f aca="false">IF('THÁNG 8'!$C10="","",'THÁNG 8'!$E10&amp;"")</f>
        <v/>
      </c>
      <c r="F303" s="0" t="str">
        <f aca="false">IF('THÁNG 8'!$C10="","",'THÁNG 8'!$F10&amp;"")</f>
        <v/>
      </c>
      <c r="G303" s="0" t="str">
        <f aca="false">IF('THÁNG 8'!$C10="","",'THÁNG 8'!$G10&amp;"")</f>
        <v/>
      </c>
      <c r="H303" s="0" t="str">
        <f aca="false">IF('THÁNG 8'!$C10="","",'THÁNG 8'!$H10&amp;"")</f>
        <v>gấu tốt nghiệp</v>
      </c>
      <c r="I303" s="30" t="n">
        <f aca="false">IF('THÁNG 8'!$C10="","",N('THÁNG 8'!$I10))</f>
        <v>32</v>
      </c>
      <c r="J303" s="30" t="n">
        <f aca="false">IF('THÁNG 8'!$C10="","",N('THÁNG 8'!$L10))</f>
        <v>2080000</v>
      </c>
      <c r="K303" s="30" t="n">
        <f aca="false">IF('THÁNG 8'!$C10="","",N('THÁNG 8'!$N10))</f>
        <v>0</v>
      </c>
      <c r="L303" s="30" t="n">
        <f aca="false">IF('THÁNG 8'!$C10="","",N('THÁNG 8'!$O10))</f>
        <v>0</v>
      </c>
      <c r="M303" s="30" t="n">
        <f aca="false">IF('THÁNG 8'!$C10="","",N('THÁNG 8'!$P10))</f>
        <v>2080000</v>
      </c>
      <c r="N303" s="30" t="n">
        <f aca="false">IF('THÁNG 8'!$C10="","",N('THÁNG 8'!$Q10))</f>
        <v>1050000</v>
      </c>
      <c r="O303" s="30" t="n">
        <f aca="false">IF('THÁNG 8'!$C10="","",N('THÁNG 8'!$R10))</f>
        <v>1030000</v>
      </c>
      <c r="P303" s="31" t="n">
        <f aca="false">IF(OR('THÁNG 8'!$C10="",'THÁNG 8'!$T10=""),"",'THÁNG 8'!$T10)</f>
        <v>1280000</v>
      </c>
      <c r="Q303" s="31" t="n">
        <f aca="false">IF(OR('THÁNG 8'!$C10="",'THÁNG 8'!$U10=""),"",'THÁNG 8'!$U10)</f>
        <v>800000</v>
      </c>
      <c r="R303" s="0" t="str">
        <f aca="false">IF('THÁNG 8'!$C10="","",'THÁNG 8'!$W10&amp;"")</f>
        <v>chuyển từ Tháng 8 dòng 10</v>
      </c>
      <c r="S303" s="0" t="str">
        <f aca="false">IF('THÁNG 8'!$C10="","",'THÁNG 8'!$S10&amp;"")</f>
        <v>Thanh toán một phần</v>
      </c>
      <c r="T303" s="30" t="n">
        <f aca="false">IF(N($O303)&gt;0,COUNTIF($O$3:$O303,"&gt;0"),"")</f>
        <v>16</v>
      </c>
      <c r="U303" s="0" t="str">
        <f aca="false">IF(AND(N($J303)&gt;0,N($K303)&gt;0),COUNTIFS($J$3:$J303,"&gt;0",$K$3:$K303,"&gt;0"),"")</f>
        <v/>
      </c>
      <c r="V303" s="30" t="n">
        <f aca="false">IF(AND(N($J303)&gt;0,N($K303)=0),COUNTIFS($J$3:$J303,"&gt;0",$K$3:$K303,"&lt;=0"),"")</f>
        <v>43</v>
      </c>
      <c r="W303" s="30" t="n">
        <f aca="false">IF($C303="","",IF(COUNTIF($C$3:$C303,$C303)&gt;1,"",MAX($W$2:W302)+1))</f>
        <v>56</v>
      </c>
      <c r="X303" s="0" t="str">
        <f aca="false">IF($H303="","",IF(COUNTIF($H$3:$H303,$H303)&gt;1,"",MAX($X$2:X302)+1))</f>
        <v/>
      </c>
      <c r="Y303" s="0" t="str">
        <f aca="false">IF(AND(N($M303)&gt;0,N($O303)&lt;=0),COUNTIFS($M$3:$M303,"&gt;0",$O$3:$O303,"&lt;=0"),"")</f>
        <v/>
      </c>
      <c r="Z303" s="29" t="n">
        <f aca="false">IF(OR('THÁNG 8'!$C10="",'THÁNG 8'!$B10=""),0,'THÁNG 8'!$B10)</f>
        <v>46235</v>
      </c>
    </row>
    <row r="304" customFormat="false" ht="15" hidden="false" customHeight="false" outlineLevel="0" collapsed="false">
      <c r="A304" s="0" t="n">
        <v>8</v>
      </c>
      <c r="B304" s="29" t="n">
        <f aca="false">IF(OR('THÁNG 8'!$C11="",'THÁNG 8'!$B11=""),"",'THÁNG 8'!$B11)</f>
        <v>46235</v>
      </c>
      <c r="C304" s="0" t="str">
        <f aca="false">IF('THÁNG 8'!$C11="","",'THÁNG 8'!$C11)</f>
        <v>chị Trang Jade</v>
      </c>
      <c r="D304" s="0" t="str">
        <f aca="false">IF('THÁNG 8'!$C11="","",'THÁNG 8'!$D11&amp;"")</f>
        <v>0799740948</v>
      </c>
      <c r="E304" s="0" t="str">
        <f aca="false">IF('THÁNG 8'!$C11="","",'THÁNG 8'!$E11&amp;"")</f>
        <v/>
      </c>
      <c r="F304" s="0" t="str">
        <f aca="false">IF('THÁNG 8'!$C11="","",'THÁNG 8'!$F11&amp;"")</f>
        <v>3500780970</v>
      </c>
      <c r="G304" s="0" t="str">
        <f aca="false">IF('THÁNG 8'!$C11="","",'THÁNG 8'!$G11&amp;"")</f>
        <v>số 9 đường Trương Vĩnh Kỳ, Vùng Tàu, HCM</v>
      </c>
      <c r="H304" s="0" t="str">
        <f aca="false">IF('THÁNG 8'!$C11="","",'THÁNG 8'!$H11&amp;"")</f>
        <v>gấu trắng</v>
      </c>
      <c r="I304" s="30" t="n">
        <f aca="false">IF('THÁNG 8'!$C11="","",N('THÁNG 8'!$I11))</f>
        <v>25</v>
      </c>
      <c r="J304" s="30" t="n">
        <f aca="false">IF('THÁNG 8'!$C11="","",N('THÁNG 8'!$L11))</f>
        <v>1225000</v>
      </c>
      <c r="K304" s="30" t="n">
        <f aca="false">IF('THÁNG 8'!$C11="","",N('THÁNG 8'!$N11))</f>
        <v>0.08</v>
      </c>
      <c r="L304" s="30" t="n">
        <f aca="false">IF('THÁNG 8'!$C11="","",N('THÁNG 8'!$O11))</f>
        <v>98000</v>
      </c>
      <c r="M304" s="30" t="n">
        <f aca="false">IF('THÁNG 8'!$C11="","",N('THÁNG 8'!$P11))</f>
        <v>1323000</v>
      </c>
      <c r="N304" s="30" t="n">
        <f aca="false">IF('THÁNG 8'!$C11="","",N('THÁNG 8'!$Q11))</f>
        <v>662000</v>
      </c>
      <c r="O304" s="30" t="n">
        <f aca="false">IF('THÁNG 8'!$C11="","",N('THÁNG 8'!$R11))</f>
        <v>661000</v>
      </c>
      <c r="P304" s="0" t="str">
        <f aca="false">IF(OR('THÁNG 8'!$C11="",'THÁNG 8'!$T11=""),"",'THÁNG 8'!$T11)</f>
        <v/>
      </c>
      <c r="Q304" s="0" t="str">
        <f aca="false">IF(OR('THÁNG 8'!$C11="",'THÁNG 8'!$U11=""),"",'THÁNG 8'!$U11)</f>
        <v/>
      </c>
      <c r="R304" s="0" t="str">
        <f aca="false">IF('THÁNG 8'!$C11="","",'THÁNG 8'!$W11&amp;"")</f>
        <v>chuyển từ Tháng 8 dòng 11</v>
      </c>
      <c r="S304" s="0" t="str">
        <f aca="false">IF('THÁNG 8'!$C11="","",'THÁNG 8'!$S11&amp;"")</f>
        <v>Thanh toán một phần</v>
      </c>
      <c r="T304" s="30" t="n">
        <f aca="false">IF(N($O304)&gt;0,COUNTIF($O$3:$O304,"&gt;0"),"")</f>
        <v>17</v>
      </c>
      <c r="U304" s="30" t="n">
        <f aca="false">IF(AND(N($J304)&gt;0,N($K304)&gt;0),COUNTIFS($J$3:$J304,"&gt;0",$K$3:$K304,"&gt;0"),"")</f>
        <v>15</v>
      </c>
      <c r="V304" s="0" t="str">
        <f aca="false">IF(AND(N($J304)&gt;0,N($K304)=0),COUNTIFS($J$3:$J304,"&gt;0",$K$3:$K304,"&lt;=0"),"")</f>
        <v/>
      </c>
      <c r="W304" s="30" t="n">
        <f aca="false">IF($C304="","",IF(COUNTIF($C$3:$C304,$C304)&gt;1,"",MAX($W$2:W303)+1))</f>
        <v>57</v>
      </c>
      <c r="X304" s="0" t="str">
        <f aca="false">IF($H304="","",IF(COUNTIF($H$3:$H304,$H304)&gt;1,"",MAX($X$2:X303)+1))</f>
        <v/>
      </c>
      <c r="Y304" s="0" t="str">
        <f aca="false">IF(AND(N($M304)&gt;0,N($O304)&lt;=0),COUNTIFS($M$3:$M304,"&gt;0",$O$3:$O304,"&lt;=0"),"")</f>
        <v/>
      </c>
      <c r="Z304" s="29" t="n">
        <f aca="false">IF(OR('THÁNG 8'!$C11="",'THÁNG 8'!$B11=""),0,'THÁNG 8'!$B11)</f>
        <v>46235</v>
      </c>
    </row>
    <row r="305" customFormat="false" ht="15" hidden="false" customHeight="false" outlineLevel="0" collapsed="false">
      <c r="A305" s="0" t="n">
        <v>8</v>
      </c>
      <c r="B305" s="29" t="n">
        <f aca="false">IF(OR('THÁNG 8'!$C12="",'THÁNG 8'!$B12=""),"",'THÁNG 8'!$B12)</f>
        <v>46235</v>
      </c>
      <c r="C305" s="0" t="str">
        <f aca="false">IF('THÁNG 8'!$C12="","",'THÁNG 8'!$C12)</f>
        <v>BGB - HOÀNG HẢI TRAVEL 30G</v>
      </c>
      <c r="D305" s="0" t="str">
        <f aca="false">IF('THÁNG 8'!$C12="","",'THÁNG 8'!$D12&amp;"")</f>
        <v>0967840505</v>
      </c>
      <c r="E305" s="0" t="str">
        <f aca="false">IF('THÁNG 8'!$C12="","",'THÁNG 8'!$E12&amp;"")</f>
        <v/>
      </c>
      <c r="F305" s="0" t="str">
        <f aca="false">IF('THÁNG 8'!$C12="","",'THÁNG 8'!$F12&amp;"")</f>
        <v/>
      </c>
      <c r="G305" s="0" t="str">
        <f aca="false">IF('THÁNG 8'!$C12="","",'THÁNG 8'!$G12&amp;"")</f>
        <v>Thôn thượng trì ấp Hoài thượng Thuận thành Bắc Ninh</v>
      </c>
      <c r="H305" s="0" t="str">
        <f aca="false">IF('THÁNG 8'!$C12="","",'THÁNG 8'!$H12&amp;"")</f>
        <v>gấu nâu</v>
      </c>
      <c r="I305" s="30" t="n">
        <f aca="false">IF('THÁNG 8'!$C12="","",N('THÁNG 8'!$I12))</f>
        <v>30</v>
      </c>
      <c r="J305" s="30" t="n">
        <f aca="false">IF('THÁNG 8'!$C12="","",N('THÁNG 8'!$L12))</f>
        <v>1500000</v>
      </c>
      <c r="K305" s="30" t="n">
        <f aca="false">IF('THÁNG 8'!$C12="","",N('THÁNG 8'!$N12))</f>
        <v>0</v>
      </c>
      <c r="L305" s="30" t="n">
        <f aca="false">IF('THÁNG 8'!$C12="","",N('THÁNG 8'!$O12))</f>
        <v>0</v>
      </c>
      <c r="M305" s="30" t="n">
        <f aca="false">IF('THÁNG 8'!$C12="","",N('THÁNG 8'!$P12))</f>
        <v>1500000</v>
      </c>
      <c r="N305" s="30" t="n">
        <f aca="false">IF('THÁNG 8'!$C12="","",N('THÁNG 8'!$Q12))</f>
        <v>500000</v>
      </c>
      <c r="O305" s="30" t="n">
        <f aca="false">IF('THÁNG 8'!$C12="","",N('THÁNG 8'!$R12))</f>
        <v>1000000</v>
      </c>
      <c r="P305" s="0" t="str">
        <f aca="false">IF(OR('THÁNG 8'!$C12="",'THÁNG 8'!$T12=""),"",'THÁNG 8'!$T12)</f>
        <v/>
      </c>
      <c r="Q305" s="0" t="str">
        <f aca="false">IF(OR('THÁNG 8'!$C12="",'THÁNG 8'!$U12=""),"",'THÁNG 8'!$U12)</f>
        <v/>
      </c>
      <c r="R305" s="0" t="str">
        <f aca="false">IF('THÁNG 8'!$C12="","",'THÁNG 8'!$W12&amp;"")</f>
        <v>chuyển từ Tháng 8 dòng 12</v>
      </c>
      <c r="S305" s="0" t="str">
        <f aca="false">IF('THÁNG 8'!$C12="","",'THÁNG 8'!$S12&amp;"")</f>
        <v>Thanh toán một phần</v>
      </c>
      <c r="T305" s="30" t="n">
        <f aca="false">IF(N($O305)&gt;0,COUNTIF($O$3:$O305,"&gt;0"),"")</f>
        <v>18</v>
      </c>
      <c r="U305" s="0" t="str">
        <f aca="false">IF(AND(N($J305)&gt;0,N($K305)&gt;0),COUNTIFS($J$3:$J305,"&gt;0",$K$3:$K305,"&gt;0"),"")</f>
        <v/>
      </c>
      <c r="V305" s="30" t="n">
        <f aca="false">IF(AND(N($J305)&gt;0,N($K305)=0),COUNTIFS($J$3:$J305,"&gt;0",$K$3:$K305,"&lt;=0"),"")</f>
        <v>44</v>
      </c>
      <c r="W305" s="30" t="n">
        <f aca="false">IF($C305="","",IF(COUNTIF($C$3:$C305,$C305)&gt;1,"",MAX($W$2:W304)+1))</f>
        <v>58</v>
      </c>
      <c r="X305" s="0" t="str">
        <f aca="false">IF($H305="","",IF(COUNTIF($H$3:$H305,$H305)&gt;1,"",MAX($X$2:X304)+1))</f>
        <v/>
      </c>
      <c r="Y305" s="0" t="str">
        <f aca="false">IF(AND(N($M305)&gt;0,N($O305)&lt;=0),COUNTIFS($M$3:$M305,"&gt;0",$O$3:$O305,"&lt;=0"),"")</f>
        <v/>
      </c>
      <c r="Z305" s="29" t="n">
        <f aca="false">IF(OR('THÁNG 8'!$C12="",'THÁNG 8'!$B12=""),0,'THÁNG 8'!$B12)</f>
        <v>46235</v>
      </c>
    </row>
    <row r="306" customFormat="false" ht="15" hidden="false" customHeight="false" outlineLevel="0" collapsed="false">
      <c r="A306" s="0" t="n">
        <v>8</v>
      </c>
      <c r="B306" s="29" t="str">
        <f aca="false">IF(OR('THÁNG 8'!$C13="",'THÁNG 8'!$B13=""),"",'THÁNG 8'!$B13)</f>
        <v/>
      </c>
      <c r="C306" s="0" t="str">
        <f aca="false">IF('THÁNG 8'!$C13="","",'THÁNG 8'!$C13)</f>
        <v/>
      </c>
      <c r="D306" s="0" t="str">
        <f aca="false">IF('THÁNG 8'!$C13="","",'THÁNG 8'!$D13&amp;"")</f>
        <v/>
      </c>
      <c r="E306" s="0" t="str">
        <f aca="false">IF('THÁNG 8'!$C13="","",'THÁNG 8'!$E13&amp;"")</f>
        <v/>
      </c>
      <c r="F306" s="0" t="str">
        <f aca="false">IF('THÁNG 8'!$C13="","",'THÁNG 8'!$F13&amp;"")</f>
        <v/>
      </c>
      <c r="G306" s="0" t="str">
        <f aca="false">IF('THÁNG 8'!$C13="","",'THÁNG 8'!$G13&amp;"")</f>
        <v/>
      </c>
      <c r="H306" s="0" t="str">
        <f aca="false">IF('THÁNG 8'!$C13="","",'THÁNG 8'!$H13&amp;"")</f>
        <v/>
      </c>
      <c r="I306" s="0" t="str">
        <f aca="false">IF('THÁNG 8'!$C13="","",N('THÁNG 8'!$I13))</f>
        <v/>
      </c>
      <c r="J306" s="0" t="str">
        <f aca="false">IF('THÁNG 8'!$C13="","",N('THÁNG 8'!$L13))</f>
        <v/>
      </c>
      <c r="K306" s="0" t="str">
        <f aca="false">IF('THÁNG 8'!$C13="","",N('THÁNG 8'!$N13))</f>
        <v/>
      </c>
      <c r="L306" s="0" t="str">
        <f aca="false">IF('THÁNG 8'!$C13="","",N('THÁNG 8'!$O13))</f>
        <v/>
      </c>
      <c r="M306" s="0" t="str">
        <f aca="false">IF('THÁNG 8'!$C13="","",N('THÁNG 8'!$P13))</f>
        <v/>
      </c>
      <c r="N306" s="0" t="str">
        <f aca="false">IF('THÁNG 8'!$C13="","",N('THÁNG 8'!$Q13))</f>
        <v/>
      </c>
      <c r="O306" s="0" t="str">
        <f aca="false">IF('THÁNG 8'!$C13="","",N('THÁNG 8'!$R13))</f>
        <v/>
      </c>
      <c r="P306" s="0" t="str">
        <f aca="false">IF(OR('THÁNG 8'!$C13="",'THÁNG 8'!$T13=""),"",'THÁNG 8'!$T13)</f>
        <v/>
      </c>
      <c r="Q306" s="0" t="str">
        <f aca="false">IF(OR('THÁNG 8'!$C13="",'THÁNG 8'!$U13=""),"",'THÁNG 8'!$U13)</f>
        <v/>
      </c>
      <c r="R306" s="0" t="str">
        <f aca="false">IF('THÁNG 8'!$C13="","",'THÁNG 8'!$W13&amp;"")</f>
        <v/>
      </c>
      <c r="S306" s="0" t="str">
        <f aca="false">IF('THÁNG 8'!$C13="","",'THÁNG 8'!$S13&amp;"")</f>
        <v/>
      </c>
      <c r="T306" s="0" t="str">
        <f aca="false">IF(N($O306)&gt;0,COUNTIF($O$3:$O306,"&gt;0"),"")</f>
        <v/>
      </c>
      <c r="U306" s="0" t="str">
        <f aca="false">IF(AND(N($J306)&gt;0,N($K306)&gt;0),COUNTIFS($J$3:$J306,"&gt;0",$K$3:$K306,"&gt;0"),"")</f>
        <v/>
      </c>
      <c r="V306" s="0" t="str">
        <f aca="false">IF(AND(N($J306)&gt;0,N($K306)=0),COUNTIFS($J$3:$J306,"&gt;0",$K$3:$K306,"&lt;=0"),"")</f>
        <v/>
      </c>
      <c r="W306" s="0" t="str">
        <f aca="false">IF($C306="","",IF(COUNTIF($C$3:$C306,$C306)&gt;1,"",MAX($W$2:W305)+1))</f>
        <v/>
      </c>
      <c r="X306" s="0" t="str">
        <f aca="false">IF($H306="","",IF(COUNTIF($H$3:$H306,$H306)&gt;1,"",MAX($X$2:X305)+1))</f>
        <v/>
      </c>
      <c r="Y306" s="0" t="str">
        <f aca="false">IF(AND(N($M306)&gt;0,N($O306)&lt;=0),COUNTIFS($M$3:$M306,"&gt;0",$O$3:$O306,"&lt;=0"),"")</f>
        <v/>
      </c>
      <c r="Z306" s="30" t="n">
        <f aca="false">IF(OR('THÁNG 8'!$C13="",'THÁNG 8'!$B13=""),0,'THÁNG 8'!$B13)</f>
        <v>0</v>
      </c>
    </row>
    <row r="307" customFormat="false" ht="15" hidden="false" customHeight="false" outlineLevel="0" collapsed="false">
      <c r="A307" s="0" t="n">
        <v>8</v>
      </c>
      <c r="B307" s="29" t="str">
        <f aca="false">IF(OR('THÁNG 8'!$C14="",'THÁNG 8'!$B14=""),"",'THÁNG 8'!$B14)</f>
        <v/>
      </c>
      <c r="C307" s="0" t="str">
        <f aca="false">IF('THÁNG 8'!$C14="","",'THÁNG 8'!$C14)</f>
        <v/>
      </c>
      <c r="D307" s="0" t="str">
        <f aca="false">IF('THÁNG 8'!$C14="","",'THÁNG 8'!$D14&amp;"")</f>
        <v/>
      </c>
      <c r="E307" s="0" t="str">
        <f aca="false">IF('THÁNG 8'!$C14="","",'THÁNG 8'!$E14&amp;"")</f>
        <v/>
      </c>
      <c r="F307" s="0" t="str">
        <f aca="false">IF('THÁNG 8'!$C14="","",'THÁNG 8'!$F14&amp;"")</f>
        <v/>
      </c>
      <c r="G307" s="0" t="str">
        <f aca="false">IF('THÁNG 8'!$C14="","",'THÁNG 8'!$G14&amp;"")</f>
        <v/>
      </c>
      <c r="H307" s="0" t="str">
        <f aca="false">IF('THÁNG 8'!$C14="","",'THÁNG 8'!$H14&amp;"")</f>
        <v/>
      </c>
      <c r="I307" s="0" t="str">
        <f aca="false">IF('THÁNG 8'!$C14="","",N('THÁNG 8'!$I14))</f>
        <v/>
      </c>
      <c r="J307" s="0" t="str">
        <f aca="false">IF('THÁNG 8'!$C14="","",N('THÁNG 8'!$L14))</f>
        <v/>
      </c>
      <c r="K307" s="0" t="str">
        <f aca="false">IF('THÁNG 8'!$C14="","",N('THÁNG 8'!$N14))</f>
        <v/>
      </c>
      <c r="L307" s="0" t="str">
        <f aca="false">IF('THÁNG 8'!$C14="","",N('THÁNG 8'!$O14))</f>
        <v/>
      </c>
      <c r="M307" s="0" t="str">
        <f aca="false">IF('THÁNG 8'!$C14="","",N('THÁNG 8'!$P14))</f>
        <v/>
      </c>
      <c r="N307" s="0" t="str">
        <f aca="false">IF('THÁNG 8'!$C14="","",N('THÁNG 8'!$Q14))</f>
        <v/>
      </c>
      <c r="O307" s="0" t="str">
        <f aca="false">IF('THÁNG 8'!$C14="","",N('THÁNG 8'!$R14))</f>
        <v/>
      </c>
      <c r="P307" s="0" t="str">
        <f aca="false">IF(OR('THÁNG 8'!$C14="",'THÁNG 8'!$T14=""),"",'THÁNG 8'!$T14)</f>
        <v/>
      </c>
      <c r="Q307" s="0" t="str">
        <f aca="false">IF(OR('THÁNG 8'!$C14="",'THÁNG 8'!$U14=""),"",'THÁNG 8'!$U14)</f>
        <v/>
      </c>
      <c r="R307" s="0" t="str">
        <f aca="false">IF('THÁNG 8'!$C14="","",'THÁNG 8'!$W14&amp;"")</f>
        <v/>
      </c>
      <c r="S307" s="0" t="str">
        <f aca="false">IF('THÁNG 8'!$C14="","",'THÁNG 8'!$S14&amp;"")</f>
        <v/>
      </c>
      <c r="T307" s="0" t="str">
        <f aca="false">IF(N($O307)&gt;0,COUNTIF($O$3:$O307,"&gt;0"),"")</f>
        <v/>
      </c>
      <c r="U307" s="0" t="str">
        <f aca="false">IF(AND(N($J307)&gt;0,N($K307)&gt;0),COUNTIFS($J$3:$J307,"&gt;0",$K$3:$K307,"&gt;0"),"")</f>
        <v/>
      </c>
      <c r="V307" s="0" t="str">
        <f aca="false">IF(AND(N($J307)&gt;0,N($K307)=0),COUNTIFS($J$3:$J307,"&gt;0",$K$3:$K307,"&lt;=0"),"")</f>
        <v/>
      </c>
      <c r="W307" s="0" t="str">
        <f aca="false">IF($C307="","",IF(COUNTIF($C$3:$C307,$C307)&gt;1,"",MAX($W$2:W306)+1))</f>
        <v/>
      </c>
      <c r="X307" s="0" t="str">
        <f aca="false">IF($H307="","",IF(COUNTIF($H$3:$H307,$H307)&gt;1,"",MAX($X$2:X306)+1))</f>
        <v/>
      </c>
      <c r="Y307" s="0" t="str">
        <f aca="false">IF(AND(N($M307)&gt;0,N($O307)&lt;=0),COUNTIFS($M$3:$M307,"&gt;0",$O$3:$O307,"&lt;=0"),"")</f>
        <v/>
      </c>
      <c r="Z307" s="30" t="n">
        <f aca="false">IF(OR('THÁNG 8'!$C14="",'THÁNG 8'!$B14=""),0,'THÁNG 8'!$B14)</f>
        <v>0</v>
      </c>
    </row>
    <row r="308" customFormat="false" ht="15" hidden="false" customHeight="false" outlineLevel="0" collapsed="false">
      <c r="A308" s="0" t="n">
        <v>8</v>
      </c>
      <c r="B308" s="29" t="str">
        <f aca="false">IF(OR('THÁNG 8'!$C15="",'THÁNG 8'!$B15=""),"",'THÁNG 8'!$B15)</f>
        <v/>
      </c>
      <c r="C308" s="0" t="str">
        <f aca="false">IF('THÁNG 8'!$C15="","",'THÁNG 8'!$C15)</f>
        <v/>
      </c>
      <c r="D308" s="0" t="str">
        <f aca="false">IF('THÁNG 8'!$C15="","",'THÁNG 8'!$D15&amp;"")</f>
        <v/>
      </c>
      <c r="E308" s="0" t="str">
        <f aca="false">IF('THÁNG 8'!$C15="","",'THÁNG 8'!$E15&amp;"")</f>
        <v/>
      </c>
      <c r="F308" s="0" t="str">
        <f aca="false">IF('THÁNG 8'!$C15="","",'THÁNG 8'!$F15&amp;"")</f>
        <v/>
      </c>
      <c r="G308" s="0" t="str">
        <f aca="false">IF('THÁNG 8'!$C15="","",'THÁNG 8'!$G15&amp;"")</f>
        <v/>
      </c>
      <c r="H308" s="0" t="str">
        <f aca="false">IF('THÁNG 8'!$C15="","",'THÁNG 8'!$H15&amp;"")</f>
        <v/>
      </c>
      <c r="I308" s="0" t="str">
        <f aca="false">IF('THÁNG 8'!$C15="","",N('THÁNG 8'!$I15))</f>
        <v/>
      </c>
      <c r="J308" s="0" t="str">
        <f aca="false">IF('THÁNG 8'!$C15="","",N('THÁNG 8'!$L15))</f>
        <v/>
      </c>
      <c r="K308" s="0" t="str">
        <f aca="false">IF('THÁNG 8'!$C15="","",N('THÁNG 8'!$N15))</f>
        <v/>
      </c>
      <c r="L308" s="0" t="str">
        <f aca="false">IF('THÁNG 8'!$C15="","",N('THÁNG 8'!$O15))</f>
        <v/>
      </c>
      <c r="M308" s="0" t="str">
        <f aca="false">IF('THÁNG 8'!$C15="","",N('THÁNG 8'!$P15))</f>
        <v/>
      </c>
      <c r="N308" s="0" t="str">
        <f aca="false">IF('THÁNG 8'!$C15="","",N('THÁNG 8'!$Q15))</f>
        <v/>
      </c>
      <c r="O308" s="0" t="str">
        <f aca="false">IF('THÁNG 8'!$C15="","",N('THÁNG 8'!$R15))</f>
        <v/>
      </c>
      <c r="P308" s="0" t="str">
        <f aca="false">IF(OR('THÁNG 8'!$C15="",'THÁNG 8'!$T15=""),"",'THÁNG 8'!$T15)</f>
        <v/>
      </c>
      <c r="Q308" s="0" t="str">
        <f aca="false">IF(OR('THÁNG 8'!$C15="",'THÁNG 8'!$U15=""),"",'THÁNG 8'!$U15)</f>
        <v/>
      </c>
      <c r="R308" s="0" t="str">
        <f aca="false">IF('THÁNG 8'!$C15="","",'THÁNG 8'!$W15&amp;"")</f>
        <v/>
      </c>
      <c r="S308" s="0" t="str">
        <f aca="false">IF('THÁNG 8'!$C15="","",'THÁNG 8'!$S15&amp;"")</f>
        <v/>
      </c>
      <c r="T308" s="0" t="str">
        <f aca="false">IF(N($O308)&gt;0,COUNTIF($O$3:$O308,"&gt;0"),"")</f>
        <v/>
      </c>
      <c r="U308" s="0" t="str">
        <f aca="false">IF(AND(N($J308)&gt;0,N($K308)&gt;0),COUNTIFS($J$3:$J308,"&gt;0",$K$3:$K308,"&gt;0"),"")</f>
        <v/>
      </c>
      <c r="V308" s="0" t="str">
        <f aca="false">IF(AND(N($J308)&gt;0,N($K308)=0),COUNTIFS($J$3:$J308,"&gt;0",$K$3:$K308,"&lt;=0"),"")</f>
        <v/>
      </c>
      <c r="W308" s="0" t="str">
        <f aca="false">IF($C308="","",IF(COUNTIF($C$3:$C308,$C308)&gt;1,"",MAX($W$2:W307)+1))</f>
        <v/>
      </c>
      <c r="X308" s="0" t="str">
        <f aca="false">IF($H308="","",IF(COUNTIF($H$3:$H308,$H308)&gt;1,"",MAX($X$2:X307)+1))</f>
        <v/>
      </c>
      <c r="Y308" s="0" t="str">
        <f aca="false">IF(AND(N($M308)&gt;0,N($O308)&lt;=0),COUNTIFS($M$3:$M308,"&gt;0",$O$3:$O308,"&lt;=0"),"")</f>
        <v/>
      </c>
      <c r="Z308" s="30" t="n">
        <f aca="false">IF(OR('THÁNG 8'!$C15="",'THÁNG 8'!$B15=""),0,'THÁNG 8'!$B15)</f>
        <v>0</v>
      </c>
    </row>
    <row r="309" customFormat="false" ht="15" hidden="false" customHeight="false" outlineLevel="0" collapsed="false">
      <c r="A309" s="0" t="n">
        <v>8</v>
      </c>
      <c r="B309" s="29" t="str">
        <f aca="false">IF(OR('THÁNG 8'!$C16="",'THÁNG 8'!$B16=""),"",'THÁNG 8'!$B16)</f>
        <v/>
      </c>
      <c r="C309" s="0" t="str">
        <f aca="false">IF('THÁNG 8'!$C16="","",'THÁNG 8'!$C16)</f>
        <v/>
      </c>
      <c r="D309" s="0" t="str">
        <f aca="false">IF('THÁNG 8'!$C16="","",'THÁNG 8'!$D16&amp;"")</f>
        <v/>
      </c>
      <c r="E309" s="0" t="str">
        <f aca="false">IF('THÁNG 8'!$C16="","",'THÁNG 8'!$E16&amp;"")</f>
        <v/>
      </c>
      <c r="F309" s="0" t="str">
        <f aca="false">IF('THÁNG 8'!$C16="","",'THÁNG 8'!$F16&amp;"")</f>
        <v/>
      </c>
      <c r="G309" s="0" t="str">
        <f aca="false">IF('THÁNG 8'!$C16="","",'THÁNG 8'!$G16&amp;"")</f>
        <v/>
      </c>
      <c r="H309" s="0" t="str">
        <f aca="false">IF('THÁNG 8'!$C16="","",'THÁNG 8'!$H16&amp;"")</f>
        <v/>
      </c>
      <c r="I309" s="0" t="str">
        <f aca="false">IF('THÁNG 8'!$C16="","",N('THÁNG 8'!$I16))</f>
        <v/>
      </c>
      <c r="J309" s="0" t="str">
        <f aca="false">IF('THÁNG 8'!$C16="","",N('THÁNG 8'!$L16))</f>
        <v/>
      </c>
      <c r="K309" s="0" t="str">
        <f aca="false">IF('THÁNG 8'!$C16="","",N('THÁNG 8'!$N16))</f>
        <v/>
      </c>
      <c r="L309" s="0" t="str">
        <f aca="false">IF('THÁNG 8'!$C16="","",N('THÁNG 8'!$O16))</f>
        <v/>
      </c>
      <c r="M309" s="0" t="str">
        <f aca="false">IF('THÁNG 8'!$C16="","",N('THÁNG 8'!$P16))</f>
        <v/>
      </c>
      <c r="N309" s="0" t="str">
        <f aca="false">IF('THÁNG 8'!$C16="","",N('THÁNG 8'!$Q16))</f>
        <v/>
      </c>
      <c r="O309" s="0" t="str">
        <f aca="false">IF('THÁNG 8'!$C16="","",N('THÁNG 8'!$R16))</f>
        <v/>
      </c>
      <c r="P309" s="0" t="str">
        <f aca="false">IF(OR('THÁNG 8'!$C16="",'THÁNG 8'!$T16=""),"",'THÁNG 8'!$T16)</f>
        <v/>
      </c>
      <c r="Q309" s="0" t="str">
        <f aca="false">IF(OR('THÁNG 8'!$C16="",'THÁNG 8'!$U16=""),"",'THÁNG 8'!$U16)</f>
        <v/>
      </c>
      <c r="R309" s="0" t="str">
        <f aca="false">IF('THÁNG 8'!$C16="","",'THÁNG 8'!$W16&amp;"")</f>
        <v/>
      </c>
      <c r="S309" s="0" t="str">
        <f aca="false">IF('THÁNG 8'!$C16="","",'THÁNG 8'!$S16&amp;"")</f>
        <v/>
      </c>
      <c r="T309" s="0" t="str">
        <f aca="false">IF(N($O309)&gt;0,COUNTIF($O$3:$O309,"&gt;0"),"")</f>
        <v/>
      </c>
      <c r="U309" s="0" t="str">
        <f aca="false">IF(AND(N($J309)&gt;0,N($K309)&gt;0),COUNTIFS($J$3:$J309,"&gt;0",$K$3:$K309,"&gt;0"),"")</f>
        <v/>
      </c>
      <c r="V309" s="0" t="str">
        <f aca="false">IF(AND(N($J309)&gt;0,N($K309)=0),COUNTIFS($J$3:$J309,"&gt;0",$K$3:$K309,"&lt;=0"),"")</f>
        <v/>
      </c>
      <c r="W309" s="0" t="str">
        <f aca="false">IF($C309="","",IF(COUNTIF($C$3:$C309,$C309)&gt;1,"",MAX($W$2:W308)+1))</f>
        <v/>
      </c>
      <c r="X309" s="0" t="str">
        <f aca="false">IF($H309="","",IF(COUNTIF($H$3:$H309,$H309)&gt;1,"",MAX($X$2:X308)+1))</f>
        <v/>
      </c>
      <c r="Y309" s="0" t="str">
        <f aca="false">IF(AND(N($M309)&gt;0,N($O309)&lt;=0),COUNTIFS($M$3:$M309,"&gt;0",$O$3:$O309,"&lt;=0"),"")</f>
        <v/>
      </c>
      <c r="Z309" s="30" t="n">
        <f aca="false">IF(OR('THÁNG 8'!$C16="",'THÁNG 8'!$B16=""),0,'THÁNG 8'!$B16)</f>
        <v>0</v>
      </c>
    </row>
    <row r="310" customFormat="false" ht="15" hidden="false" customHeight="false" outlineLevel="0" collapsed="false">
      <c r="A310" s="0" t="n">
        <v>8</v>
      </c>
      <c r="B310" s="29" t="str">
        <f aca="false">IF(OR('THÁNG 8'!$C17="",'THÁNG 8'!$B17=""),"",'THÁNG 8'!$B17)</f>
        <v/>
      </c>
      <c r="C310" s="0" t="str">
        <f aca="false">IF('THÁNG 8'!$C17="","",'THÁNG 8'!$C17)</f>
        <v/>
      </c>
      <c r="D310" s="0" t="str">
        <f aca="false">IF('THÁNG 8'!$C17="","",'THÁNG 8'!$D17&amp;"")</f>
        <v/>
      </c>
      <c r="E310" s="0" t="str">
        <f aca="false">IF('THÁNG 8'!$C17="","",'THÁNG 8'!$E17&amp;"")</f>
        <v/>
      </c>
      <c r="F310" s="0" t="str">
        <f aca="false">IF('THÁNG 8'!$C17="","",'THÁNG 8'!$F17&amp;"")</f>
        <v/>
      </c>
      <c r="G310" s="0" t="str">
        <f aca="false">IF('THÁNG 8'!$C17="","",'THÁNG 8'!$G17&amp;"")</f>
        <v/>
      </c>
      <c r="H310" s="0" t="str">
        <f aca="false">IF('THÁNG 8'!$C17="","",'THÁNG 8'!$H17&amp;"")</f>
        <v/>
      </c>
      <c r="I310" s="0" t="str">
        <f aca="false">IF('THÁNG 8'!$C17="","",N('THÁNG 8'!$I17))</f>
        <v/>
      </c>
      <c r="J310" s="0" t="str">
        <f aca="false">IF('THÁNG 8'!$C17="","",N('THÁNG 8'!$L17))</f>
        <v/>
      </c>
      <c r="K310" s="0" t="str">
        <f aca="false">IF('THÁNG 8'!$C17="","",N('THÁNG 8'!$N17))</f>
        <v/>
      </c>
      <c r="L310" s="0" t="str">
        <f aca="false">IF('THÁNG 8'!$C17="","",N('THÁNG 8'!$O17))</f>
        <v/>
      </c>
      <c r="M310" s="0" t="str">
        <f aca="false">IF('THÁNG 8'!$C17="","",N('THÁNG 8'!$P17))</f>
        <v/>
      </c>
      <c r="N310" s="0" t="str">
        <f aca="false">IF('THÁNG 8'!$C17="","",N('THÁNG 8'!$Q17))</f>
        <v/>
      </c>
      <c r="O310" s="0" t="str">
        <f aca="false">IF('THÁNG 8'!$C17="","",N('THÁNG 8'!$R17))</f>
        <v/>
      </c>
      <c r="P310" s="0" t="str">
        <f aca="false">IF(OR('THÁNG 8'!$C17="",'THÁNG 8'!$T17=""),"",'THÁNG 8'!$T17)</f>
        <v/>
      </c>
      <c r="Q310" s="0" t="str">
        <f aca="false">IF(OR('THÁNG 8'!$C17="",'THÁNG 8'!$U17=""),"",'THÁNG 8'!$U17)</f>
        <v/>
      </c>
      <c r="R310" s="0" t="str">
        <f aca="false">IF('THÁNG 8'!$C17="","",'THÁNG 8'!$W17&amp;"")</f>
        <v/>
      </c>
      <c r="S310" s="0" t="str">
        <f aca="false">IF('THÁNG 8'!$C17="","",'THÁNG 8'!$S17&amp;"")</f>
        <v/>
      </c>
      <c r="T310" s="0" t="str">
        <f aca="false">IF(N($O310)&gt;0,COUNTIF($O$3:$O310,"&gt;0"),"")</f>
        <v/>
      </c>
      <c r="U310" s="0" t="str">
        <f aca="false">IF(AND(N($J310)&gt;0,N($K310)&gt;0),COUNTIFS($J$3:$J310,"&gt;0",$K$3:$K310,"&gt;0"),"")</f>
        <v/>
      </c>
      <c r="V310" s="0" t="str">
        <f aca="false">IF(AND(N($J310)&gt;0,N($K310)=0),COUNTIFS($J$3:$J310,"&gt;0",$K$3:$K310,"&lt;=0"),"")</f>
        <v/>
      </c>
      <c r="W310" s="0" t="str">
        <f aca="false">IF($C310="","",IF(COUNTIF($C$3:$C310,$C310)&gt;1,"",MAX($W$2:W309)+1))</f>
        <v/>
      </c>
      <c r="X310" s="0" t="str">
        <f aca="false">IF($H310="","",IF(COUNTIF($H$3:$H310,$H310)&gt;1,"",MAX($X$2:X309)+1))</f>
        <v/>
      </c>
      <c r="Y310" s="0" t="str">
        <f aca="false">IF(AND(N($M310)&gt;0,N($O310)&lt;=0),COUNTIFS($M$3:$M310,"&gt;0",$O$3:$O310,"&lt;=0"),"")</f>
        <v/>
      </c>
      <c r="Z310" s="30" t="n">
        <f aca="false">IF(OR('THÁNG 8'!$C17="",'THÁNG 8'!$B17=""),0,'THÁNG 8'!$B17)</f>
        <v>0</v>
      </c>
    </row>
    <row r="311" customFormat="false" ht="15" hidden="false" customHeight="false" outlineLevel="0" collapsed="false">
      <c r="A311" s="0" t="n">
        <v>8</v>
      </c>
      <c r="B311" s="29" t="str">
        <f aca="false">IF(OR('THÁNG 8'!$C18="",'THÁNG 8'!$B18=""),"",'THÁNG 8'!$B18)</f>
        <v/>
      </c>
      <c r="C311" s="0" t="str">
        <f aca="false">IF('THÁNG 8'!$C18="","",'THÁNG 8'!$C18)</f>
        <v/>
      </c>
      <c r="D311" s="0" t="str">
        <f aca="false">IF('THÁNG 8'!$C18="","",'THÁNG 8'!$D18&amp;"")</f>
        <v/>
      </c>
      <c r="E311" s="0" t="str">
        <f aca="false">IF('THÁNG 8'!$C18="","",'THÁNG 8'!$E18&amp;"")</f>
        <v/>
      </c>
      <c r="F311" s="0" t="str">
        <f aca="false">IF('THÁNG 8'!$C18="","",'THÁNG 8'!$F18&amp;"")</f>
        <v/>
      </c>
      <c r="G311" s="0" t="str">
        <f aca="false">IF('THÁNG 8'!$C18="","",'THÁNG 8'!$G18&amp;"")</f>
        <v/>
      </c>
      <c r="H311" s="0" t="str">
        <f aca="false">IF('THÁNG 8'!$C18="","",'THÁNG 8'!$H18&amp;"")</f>
        <v/>
      </c>
      <c r="I311" s="0" t="str">
        <f aca="false">IF('THÁNG 8'!$C18="","",N('THÁNG 8'!$I18))</f>
        <v/>
      </c>
      <c r="J311" s="0" t="str">
        <f aca="false">IF('THÁNG 8'!$C18="","",N('THÁNG 8'!$L18))</f>
        <v/>
      </c>
      <c r="K311" s="0" t="str">
        <f aca="false">IF('THÁNG 8'!$C18="","",N('THÁNG 8'!$N18))</f>
        <v/>
      </c>
      <c r="L311" s="0" t="str">
        <f aca="false">IF('THÁNG 8'!$C18="","",N('THÁNG 8'!$O18))</f>
        <v/>
      </c>
      <c r="M311" s="0" t="str">
        <f aca="false">IF('THÁNG 8'!$C18="","",N('THÁNG 8'!$P18))</f>
        <v/>
      </c>
      <c r="N311" s="0" t="str">
        <f aca="false">IF('THÁNG 8'!$C18="","",N('THÁNG 8'!$Q18))</f>
        <v/>
      </c>
      <c r="O311" s="0" t="str">
        <f aca="false">IF('THÁNG 8'!$C18="","",N('THÁNG 8'!$R18))</f>
        <v/>
      </c>
      <c r="P311" s="0" t="str">
        <f aca="false">IF(OR('THÁNG 8'!$C18="",'THÁNG 8'!$T18=""),"",'THÁNG 8'!$T18)</f>
        <v/>
      </c>
      <c r="Q311" s="0" t="str">
        <f aca="false">IF(OR('THÁNG 8'!$C18="",'THÁNG 8'!$U18=""),"",'THÁNG 8'!$U18)</f>
        <v/>
      </c>
      <c r="R311" s="0" t="str">
        <f aca="false">IF('THÁNG 8'!$C18="","",'THÁNG 8'!$W18&amp;"")</f>
        <v/>
      </c>
      <c r="S311" s="0" t="str">
        <f aca="false">IF('THÁNG 8'!$C18="","",'THÁNG 8'!$S18&amp;"")</f>
        <v/>
      </c>
      <c r="T311" s="0" t="str">
        <f aca="false">IF(N($O311)&gt;0,COUNTIF($O$3:$O311,"&gt;0"),"")</f>
        <v/>
      </c>
      <c r="U311" s="0" t="str">
        <f aca="false">IF(AND(N($J311)&gt;0,N($K311)&gt;0),COUNTIFS($J$3:$J311,"&gt;0",$K$3:$K311,"&gt;0"),"")</f>
        <v/>
      </c>
      <c r="V311" s="0" t="str">
        <f aca="false">IF(AND(N($J311)&gt;0,N($K311)=0),COUNTIFS($J$3:$J311,"&gt;0",$K$3:$K311,"&lt;=0"),"")</f>
        <v/>
      </c>
      <c r="W311" s="0" t="str">
        <f aca="false">IF($C311="","",IF(COUNTIF($C$3:$C311,$C311)&gt;1,"",MAX($W$2:W310)+1))</f>
        <v/>
      </c>
      <c r="X311" s="0" t="str">
        <f aca="false">IF($H311="","",IF(COUNTIF($H$3:$H311,$H311)&gt;1,"",MAX($X$2:X310)+1))</f>
        <v/>
      </c>
      <c r="Y311" s="0" t="str">
        <f aca="false">IF(AND(N($M311)&gt;0,N($O311)&lt;=0),COUNTIFS($M$3:$M311,"&gt;0",$O$3:$O311,"&lt;=0"),"")</f>
        <v/>
      </c>
      <c r="Z311" s="30" t="n">
        <f aca="false">IF(OR('THÁNG 8'!$C18="",'THÁNG 8'!$B18=""),0,'THÁNG 8'!$B18)</f>
        <v>0</v>
      </c>
    </row>
    <row r="312" customFormat="false" ht="15" hidden="false" customHeight="false" outlineLevel="0" collapsed="false">
      <c r="A312" s="0" t="n">
        <v>8</v>
      </c>
      <c r="B312" s="29" t="str">
        <f aca="false">IF(OR('THÁNG 8'!$C19="",'THÁNG 8'!$B19=""),"",'THÁNG 8'!$B19)</f>
        <v/>
      </c>
      <c r="C312" s="0" t="str">
        <f aca="false">IF('THÁNG 8'!$C19="","",'THÁNG 8'!$C19)</f>
        <v/>
      </c>
      <c r="D312" s="0" t="str">
        <f aca="false">IF('THÁNG 8'!$C19="","",'THÁNG 8'!$D19&amp;"")</f>
        <v/>
      </c>
      <c r="E312" s="0" t="str">
        <f aca="false">IF('THÁNG 8'!$C19="","",'THÁNG 8'!$E19&amp;"")</f>
        <v/>
      </c>
      <c r="F312" s="0" t="str">
        <f aca="false">IF('THÁNG 8'!$C19="","",'THÁNG 8'!$F19&amp;"")</f>
        <v/>
      </c>
      <c r="G312" s="0" t="str">
        <f aca="false">IF('THÁNG 8'!$C19="","",'THÁNG 8'!$G19&amp;"")</f>
        <v/>
      </c>
      <c r="H312" s="0" t="str">
        <f aca="false">IF('THÁNG 8'!$C19="","",'THÁNG 8'!$H19&amp;"")</f>
        <v/>
      </c>
      <c r="I312" s="0" t="str">
        <f aca="false">IF('THÁNG 8'!$C19="","",N('THÁNG 8'!$I19))</f>
        <v/>
      </c>
      <c r="J312" s="0" t="str">
        <f aca="false">IF('THÁNG 8'!$C19="","",N('THÁNG 8'!$L19))</f>
        <v/>
      </c>
      <c r="K312" s="0" t="str">
        <f aca="false">IF('THÁNG 8'!$C19="","",N('THÁNG 8'!$N19))</f>
        <v/>
      </c>
      <c r="L312" s="0" t="str">
        <f aca="false">IF('THÁNG 8'!$C19="","",N('THÁNG 8'!$O19))</f>
        <v/>
      </c>
      <c r="M312" s="0" t="str">
        <f aca="false">IF('THÁNG 8'!$C19="","",N('THÁNG 8'!$P19))</f>
        <v/>
      </c>
      <c r="N312" s="0" t="str">
        <f aca="false">IF('THÁNG 8'!$C19="","",N('THÁNG 8'!$Q19))</f>
        <v/>
      </c>
      <c r="O312" s="0" t="str">
        <f aca="false">IF('THÁNG 8'!$C19="","",N('THÁNG 8'!$R19))</f>
        <v/>
      </c>
      <c r="P312" s="0" t="str">
        <f aca="false">IF(OR('THÁNG 8'!$C19="",'THÁNG 8'!$T19=""),"",'THÁNG 8'!$T19)</f>
        <v/>
      </c>
      <c r="Q312" s="0" t="str">
        <f aca="false">IF(OR('THÁNG 8'!$C19="",'THÁNG 8'!$U19=""),"",'THÁNG 8'!$U19)</f>
        <v/>
      </c>
      <c r="R312" s="0" t="str">
        <f aca="false">IF('THÁNG 8'!$C19="","",'THÁNG 8'!$W19&amp;"")</f>
        <v/>
      </c>
      <c r="S312" s="0" t="str">
        <f aca="false">IF('THÁNG 8'!$C19="","",'THÁNG 8'!$S19&amp;"")</f>
        <v/>
      </c>
      <c r="T312" s="0" t="str">
        <f aca="false">IF(N($O312)&gt;0,COUNTIF($O$3:$O312,"&gt;0"),"")</f>
        <v/>
      </c>
      <c r="U312" s="0" t="str">
        <f aca="false">IF(AND(N($J312)&gt;0,N($K312)&gt;0),COUNTIFS($J$3:$J312,"&gt;0",$K$3:$K312,"&gt;0"),"")</f>
        <v/>
      </c>
      <c r="V312" s="0" t="str">
        <f aca="false">IF(AND(N($J312)&gt;0,N($K312)=0),COUNTIFS($J$3:$J312,"&gt;0",$K$3:$K312,"&lt;=0"),"")</f>
        <v/>
      </c>
      <c r="W312" s="0" t="str">
        <f aca="false">IF($C312="","",IF(COUNTIF($C$3:$C312,$C312)&gt;1,"",MAX($W$2:W311)+1))</f>
        <v/>
      </c>
      <c r="X312" s="0" t="str">
        <f aca="false">IF($H312="","",IF(COUNTIF($H$3:$H312,$H312)&gt;1,"",MAX($X$2:X311)+1))</f>
        <v/>
      </c>
      <c r="Y312" s="0" t="str">
        <f aca="false">IF(AND(N($M312)&gt;0,N($O312)&lt;=0),COUNTIFS($M$3:$M312,"&gt;0",$O$3:$O312,"&lt;=0"),"")</f>
        <v/>
      </c>
      <c r="Z312" s="30" t="n">
        <f aca="false">IF(OR('THÁNG 8'!$C19="",'THÁNG 8'!$B19=""),0,'THÁNG 8'!$B19)</f>
        <v>0</v>
      </c>
    </row>
    <row r="313" customFormat="false" ht="15" hidden="false" customHeight="false" outlineLevel="0" collapsed="false">
      <c r="A313" s="0" t="n">
        <v>8</v>
      </c>
      <c r="B313" s="29" t="str">
        <f aca="false">IF(OR('THÁNG 8'!$C20="",'THÁNG 8'!$B20=""),"",'THÁNG 8'!$B20)</f>
        <v/>
      </c>
      <c r="C313" s="0" t="str">
        <f aca="false">IF('THÁNG 8'!$C20="","",'THÁNG 8'!$C20)</f>
        <v/>
      </c>
      <c r="D313" s="0" t="str">
        <f aca="false">IF('THÁNG 8'!$C20="","",'THÁNG 8'!$D20&amp;"")</f>
        <v/>
      </c>
      <c r="E313" s="0" t="str">
        <f aca="false">IF('THÁNG 8'!$C20="","",'THÁNG 8'!$E20&amp;"")</f>
        <v/>
      </c>
      <c r="F313" s="0" t="str">
        <f aca="false">IF('THÁNG 8'!$C20="","",'THÁNG 8'!$F20&amp;"")</f>
        <v/>
      </c>
      <c r="G313" s="0" t="str">
        <f aca="false">IF('THÁNG 8'!$C20="","",'THÁNG 8'!$G20&amp;"")</f>
        <v/>
      </c>
      <c r="H313" s="0" t="str">
        <f aca="false">IF('THÁNG 8'!$C20="","",'THÁNG 8'!$H20&amp;"")</f>
        <v/>
      </c>
      <c r="I313" s="0" t="str">
        <f aca="false">IF('THÁNG 8'!$C20="","",N('THÁNG 8'!$I20))</f>
        <v/>
      </c>
      <c r="J313" s="0" t="str">
        <f aca="false">IF('THÁNG 8'!$C20="","",N('THÁNG 8'!$L20))</f>
        <v/>
      </c>
      <c r="K313" s="0" t="str">
        <f aca="false">IF('THÁNG 8'!$C20="","",N('THÁNG 8'!$N20))</f>
        <v/>
      </c>
      <c r="L313" s="0" t="str">
        <f aca="false">IF('THÁNG 8'!$C20="","",N('THÁNG 8'!$O20))</f>
        <v/>
      </c>
      <c r="M313" s="0" t="str">
        <f aca="false">IF('THÁNG 8'!$C20="","",N('THÁNG 8'!$P20))</f>
        <v/>
      </c>
      <c r="N313" s="0" t="str">
        <f aca="false">IF('THÁNG 8'!$C20="","",N('THÁNG 8'!$Q20))</f>
        <v/>
      </c>
      <c r="O313" s="0" t="str">
        <f aca="false">IF('THÁNG 8'!$C20="","",N('THÁNG 8'!$R20))</f>
        <v/>
      </c>
      <c r="P313" s="0" t="str">
        <f aca="false">IF(OR('THÁNG 8'!$C20="",'THÁNG 8'!$T20=""),"",'THÁNG 8'!$T20)</f>
        <v/>
      </c>
      <c r="Q313" s="0" t="str">
        <f aca="false">IF(OR('THÁNG 8'!$C20="",'THÁNG 8'!$U20=""),"",'THÁNG 8'!$U20)</f>
        <v/>
      </c>
      <c r="R313" s="0" t="str">
        <f aca="false">IF('THÁNG 8'!$C20="","",'THÁNG 8'!$W20&amp;"")</f>
        <v/>
      </c>
      <c r="S313" s="0" t="str">
        <f aca="false">IF('THÁNG 8'!$C20="","",'THÁNG 8'!$S20&amp;"")</f>
        <v/>
      </c>
      <c r="T313" s="0" t="str">
        <f aca="false">IF(N($O313)&gt;0,COUNTIF($O$3:$O313,"&gt;0"),"")</f>
        <v/>
      </c>
      <c r="U313" s="0" t="str">
        <f aca="false">IF(AND(N($J313)&gt;0,N($K313)&gt;0),COUNTIFS($J$3:$J313,"&gt;0",$K$3:$K313,"&gt;0"),"")</f>
        <v/>
      </c>
      <c r="V313" s="0" t="str">
        <f aca="false">IF(AND(N($J313)&gt;0,N($K313)=0),COUNTIFS($J$3:$J313,"&gt;0",$K$3:$K313,"&lt;=0"),"")</f>
        <v/>
      </c>
      <c r="W313" s="0" t="str">
        <f aca="false">IF($C313="","",IF(COUNTIF($C$3:$C313,$C313)&gt;1,"",MAX($W$2:W312)+1))</f>
        <v/>
      </c>
      <c r="X313" s="0" t="str">
        <f aca="false">IF($H313="","",IF(COUNTIF($H$3:$H313,$H313)&gt;1,"",MAX($X$2:X312)+1))</f>
        <v/>
      </c>
      <c r="Y313" s="0" t="str">
        <f aca="false">IF(AND(N($M313)&gt;0,N($O313)&lt;=0),COUNTIFS($M$3:$M313,"&gt;0",$O$3:$O313,"&lt;=0"),"")</f>
        <v/>
      </c>
      <c r="Z313" s="30" t="n">
        <f aca="false">IF(OR('THÁNG 8'!$C20="",'THÁNG 8'!$B20=""),0,'THÁNG 8'!$B20)</f>
        <v>0</v>
      </c>
    </row>
    <row r="314" customFormat="false" ht="15" hidden="false" customHeight="false" outlineLevel="0" collapsed="false">
      <c r="A314" s="0" t="n">
        <v>8</v>
      </c>
      <c r="B314" s="29" t="str">
        <f aca="false">IF(OR('THÁNG 8'!$C21="",'THÁNG 8'!$B21=""),"",'THÁNG 8'!$B21)</f>
        <v/>
      </c>
      <c r="C314" s="0" t="str">
        <f aca="false">IF('THÁNG 8'!$C21="","",'THÁNG 8'!$C21)</f>
        <v/>
      </c>
      <c r="D314" s="0" t="str">
        <f aca="false">IF('THÁNG 8'!$C21="","",'THÁNG 8'!$D21&amp;"")</f>
        <v/>
      </c>
      <c r="E314" s="0" t="str">
        <f aca="false">IF('THÁNG 8'!$C21="","",'THÁNG 8'!$E21&amp;"")</f>
        <v/>
      </c>
      <c r="F314" s="0" t="str">
        <f aca="false">IF('THÁNG 8'!$C21="","",'THÁNG 8'!$F21&amp;"")</f>
        <v/>
      </c>
      <c r="G314" s="0" t="str">
        <f aca="false">IF('THÁNG 8'!$C21="","",'THÁNG 8'!$G21&amp;"")</f>
        <v/>
      </c>
      <c r="H314" s="0" t="str">
        <f aca="false">IF('THÁNG 8'!$C21="","",'THÁNG 8'!$H21&amp;"")</f>
        <v/>
      </c>
      <c r="I314" s="0" t="str">
        <f aca="false">IF('THÁNG 8'!$C21="","",N('THÁNG 8'!$I21))</f>
        <v/>
      </c>
      <c r="J314" s="0" t="str">
        <f aca="false">IF('THÁNG 8'!$C21="","",N('THÁNG 8'!$L21))</f>
        <v/>
      </c>
      <c r="K314" s="0" t="str">
        <f aca="false">IF('THÁNG 8'!$C21="","",N('THÁNG 8'!$N21))</f>
        <v/>
      </c>
      <c r="L314" s="0" t="str">
        <f aca="false">IF('THÁNG 8'!$C21="","",N('THÁNG 8'!$O21))</f>
        <v/>
      </c>
      <c r="M314" s="0" t="str">
        <f aca="false">IF('THÁNG 8'!$C21="","",N('THÁNG 8'!$P21))</f>
        <v/>
      </c>
      <c r="N314" s="0" t="str">
        <f aca="false">IF('THÁNG 8'!$C21="","",N('THÁNG 8'!$Q21))</f>
        <v/>
      </c>
      <c r="O314" s="0" t="str">
        <f aca="false">IF('THÁNG 8'!$C21="","",N('THÁNG 8'!$R21))</f>
        <v/>
      </c>
      <c r="P314" s="0" t="str">
        <f aca="false">IF(OR('THÁNG 8'!$C21="",'THÁNG 8'!$T21=""),"",'THÁNG 8'!$T21)</f>
        <v/>
      </c>
      <c r="Q314" s="0" t="str">
        <f aca="false">IF(OR('THÁNG 8'!$C21="",'THÁNG 8'!$U21=""),"",'THÁNG 8'!$U21)</f>
        <v/>
      </c>
      <c r="R314" s="0" t="str">
        <f aca="false">IF('THÁNG 8'!$C21="","",'THÁNG 8'!$W21&amp;"")</f>
        <v/>
      </c>
      <c r="S314" s="0" t="str">
        <f aca="false">IF('THÁNG 8'!$C21="","",'THÁNG 8'!$S21&amp;"")</f>
        <v/>
      </c>
      <c r="T314" s="0" t="str">
        <f aca="false">IF(N($O314)&gt;0,COUNTIF($O$3:$O314,"&gt;0"),"")</f>
        <v/>
      </c>
      <c r="U314" s="0" t="str">
        <f aca="false">IF(AND(N($J314)&gt;0,N($K314)&gt;0),COUNTIFS($J$3:$J314,"&gt;0",$K$3:$K314,"&gt;0"),"")</f>
        <v/>
      </c>
      <c r="V314" s="0" t="str">
        <f aca="false">IF(AND(N($J314)&gt;0,N($K314)=0),COUNTIFS($J$3:$J314,"&gt;0",$K$3:$K314,"&lt;=0"),"")</f>
        <v/>
      </c>
      <c r="W314" s="0" t="str">
        <f aca="false">IF($C314="","",IF(COUNTIF($C$3:$C314,$C314)&gt;1,"",MAX($W$2:W313)+1))</f>
        <v/>
      </c>
      <c r="X314" s="0" t="str">
        <f aca="false">IF($H314="","",IF(COUNTIF($H$3:$H314,$H314)&gt;1,"",MAX($X$2:X313)+1))</f>
        <v/>
      </c>
      <c r="Y314" s="0" t="str">
        <f aca="false">IF(AND(N($M314)&gt;0,N($O314)&lt;=0),COUNTIFS($M$3:$M314,"&gt;0",$O$3:$O314,"&lt;=0"),"")</f>
        <v/>
      </c>
      <c r="Z314" s="30" t="n">
        <f aca="false">IF(OR('THÁNG 8'!$C21="",'THÁNG 8'!$B21=""),0,'THÁNG 8'!$B21)</f>
        <v>0</v>
      </c>
    </row>
    <row r="315" customFormat="false" ht="15" hidden="false" customHeight="false" outlineLevel="0" collapsed="false">
      <c r="A315" s="0" t="n">
        <v>8</v>
      </c>
      <c r="B315" s="29" t="str">
        <f aca="false">IF(OR('THÁNG 8'!$C22="",'THÁNG 8'!$B22=""),"",'THÁNG 8'!$B22)</f>
        <v/>
      </c>
      <c r="C315" s="0" t="str">
        <f aca="false">IF('THÁNG 8'!$C22="","",'THÁNG 8'!$C22)</f>
        <v/>
      </c>
      <c r="D315" s="0" t="str">
        <f aca="false">IF('THÁNG 8'!$C22="","",'THÁNG 8'!$D22&amp;"")</f>
        <v/>
      </c>
      <c r="E315" s="0" t="str">
        <f aca="false">IF('THÁNG 8'!$C22="","",'THÁNG 8'!$E22&amp;"")</f>
        <v/>
      </c>
      <c r="F315" s="0" t="str">
        <f aca="false">IF('THÁNG 8'!$C22="","",'THÁNG 8'!$F22&amp;"")</f>
        <v/>
      </c>
      <c r="G315" s="0" t="str">
        <f aca="false">IF('THÁNG 8'!$C22="","",'THÁNG 8'!$G22&amp;"")</f>
        <v/>
      </c>
      <c r="H315" s="0" t="str">
        <f aca="false">IF('THÁNG 8'!$C22="","",'THÁNG 8'!$H22&amp;"")</f>
        <v/>
      </c>
      <c r="I315" s="0" t="str">
        <f aca="false">IF('THÁNG 8'!$C22="","",N('THÁNG 8'!$I22))</f>
        <v/>
      </c>
      <c r="J315" s="0" t="str">
        <f aca="false">IF('THÁNG 8'!$C22="","",N('THÁNG 8'!$L22))</f>
        <v/>
      </c>
      <c r="K315" s="0" t="str">
        <f aca="false">IF('THÁNG 8'!$C22="","",N('THÁNG 8'!$N22))</f>
        <v/>
      </c>
      <c r="L315" s="0" t="str">
        <f aca="false">IF('THÁNG 8'!$C22="","",N('THÁNG 8'!$O22))</f>
        <v/>
      </c>
      <c r="M315" s="0" t="str">
        <f aca="false">IF('THÁNG 8'!$C22="","",N('THÁNG 8'!$P22))</f>
        <v/>
      </c>
      <c r="N315" s="0" t="str">
        <f aca="false">IF('THÁNG 8'!$C22="","",N('THÁNG 8'!$Q22))</f>
        <v/>
      </c>
      <c r="O315" s="0" t="str">
        <f aca="false">IF('THÁNG 8'!$C22="","",N('THÁNG 8'!$R22))</f>
        <v/>
      </c>
      <c r="P315" s="0" t="str">
        <f aca="false">IF(OR('THÁNG 8'!$C22="",'THÁNG 8'!$T22=""),"",'THÁNG 8'!$T22)</f>
        <v/>
      </c>
      <c r="Q315" s="0" t="str">
        <f aca="false">IF(OR('THÁNG 8'!$C22="",'THÁNG 8'!$U22=""),"",'THÁNG 8'!$U22)</f>
        <v/>
      </c>
      <c r="R315" s="0" t="str">
        <f aca="false">IF('THÁNG 8'!$C22="","",'THÁNG 8'!$W22&amp;"")</f>
        <v/>
      </c>
      <c r="S315" s="0" t="str">
        <f aca="false">IF('THÁNG 8'!$C22="","",'THÁNG 8'!$S22&amp;"")</f>
        <v/>
      </c>
      <c r="T315" s="0" t="str">
        <f aca="false">IF(N($O315)&gt;0,COUNTIF($O$3:$O315,"&gt;0"),"")</f>
        <v/>
      </c>
      <c r="U315" s="0" t="str">
        <f aca="false">IF(AND(N($J315)&gt;0,N($K315)&gt;0),COUNTIFS($J$3:$J315,"&gt;0",$K$3:$K315,"&gt;0"),"")</f>
        <v/>
      </c>
      <c r="V315" s="0" t="str">
        <f aca="false">IF(AND(N($J315)&gt;0,N($K315)=0),COUNTIFS($J$3:$J315,"&gt;0",$K$3:$K315,"&lt;=0"),"")</f>
        <v/>
      </c>
      <c r="W315" s="0" t="str">
        <f aca="false">IF($C315="","",IF(COUNTIF($C$3:$C315,$C315)&gt;1,"",MAX($W$2:W314)+1))</f>
        <v/>
      </c>
      <c r="X315" s="0" t="str">
        <f aca="false">IF($H315="","",IF(COUNTIF($H$3:$H315,$H315)&gt;1,"",MAX($X$2:X314)+1))</f>
        <v/>
      </c>
      <c r="Y315" s="0" t="str">
        <f aca="false">IF(AND(N($M315)&gt;0,N($O315)&lt;=0),COUNTIFS($M$3:$M315,"&gt;0",$O$3:$O315,"&lt;=0"),"")</f>
        <v/>
      </c>
      <c r="Z315" s="30" t="n">
        <f aca="false">IF(OR('THÁNG 8'!$C22="",'THÁNG 8'!$B22=""),0,'THÁNG 8'!$B22)</f>
        <v>0</v>
      </c>
    </row>
    <row r="316" customFormat="false" ht="15" hidden="false" customHeight="false" outlineLevel="0" collapsed="false">
      <c r="A316" s="0" t="n">
        <v>8</v>
      </c>
      <c r="B316" s="29" t="str">
        <f aca="false">IF(OR('THÁNG 8'!$C23="",'THÁNG 8'!$B23=""),"",'THÁNG 8'!$B23)</f>
        <v/>
      </c>
      <c r="C316" s="0" t="str">
        <f aca="false">IF('THÁNG 8'!$C23="","",'THÁNG 8'!$C23)</f>
        <v/>
      </c>
      <c r="D316" s="0" t="str">
        <f aca="false">IF('THÁNG 8'!$C23="","",'THÁNG 8'!$D23&amp;"")</f>
        <v/>
      </c>
      <c r="E316" s="0" t="str">
        <f aca="false">IF('THÁNG 8'!$C23="","",'THÁNG 8'!$E23&amp;"")</f>
        <v/>
      </c>
      <c r="F316" s="0" t="str">
        <f aca="false">IF('THÁNG 8'!$C23="","",'THÁNG 8'!$F23&amp;"")</f>
        <v/>
      </c>
      <c r="G316" s="0" t="str">
        <f aca="false">IF('THÁNG 8'!$C23="","",'THÁNG 8'!$G23&amp;"")</f>
        <v/>
      </c>
      <c r="H316" s="0" t="str">
        <f aca="false">IF('THÁNG 8'!$C23="","",'THÁNG 8'!$H23&amp;"")</f>
        <v/>
      </c>
      <c r="I316" s="0" t="str">
        <f aca="false">IF('THÁNG 8'!$C23="","",N('THÁNG 8'!$I23))</f>
        <v/>
      </c>
      <c r="J316" s="0" t="str">
        <f aca="false">IF('THÁNG 8'!$C23="","",N('THÁNG 8'!$L23))</f>
        <v/>
      </c>
      <c r="K316" s="0" t="str">
        <f aca="false">IF('THÁNG 8'!$C23="","",N('THÁNG 8'!$N23))</f>
        <v/>
      </c>
      <c r="L316" s="0" t="str">
        <f aca="false">IF('THÁNG 8'!$C23="","",N('THÁNG 8'!$O23))</f>
        <v/>
      </c>
      <c r="M316" s="0" t="str">
        <f aca="false">IF('THÁNG 8'!$C23="","",N('THÁNG 8'!$P23))</f>
        <v/>
      </c>
      <c r="N316" s="0" t="str">
        <f aca="false">IF('THÁNG 8'!$C23="","",N('THÁNG 8'!$Q23))</f>
        <v/>
      </c>
      <c r="O316" s="0" t="str">
        <f aca="false">IF('THÁNG 8'!$C23="","",N('THÁNG 8'!$R23))</f>
        <v/>
      </c>
      <c r="P316" s="0" t="str">
        <f aca="false">IF(OR('THÁNG 8'!$C23="",'THÁNG 8'!$T23=""),"",'THÁNG 8'!$T23)</f>
        <v/>
      </c>
      <c r="Q316" s="0" t="str">
        <f aca="false">IF(OR('THÁNG 8'!$C23="",'THÁNG 8'!$U23=""),"",'THÁNG 8'!$U23)</f>
        <v/>
      </c>
      <c r="R316" s="0" t="str">
        <f aca="false">IF('THÁNG 8'!$C23="","",'THÁNG 8'!$W23&amp;"")</f>
        <v/>
      </c>
      <c r="S316" s="0" t="str">
        <f aca="false">IF('THÁNG 8'!$C23="","",'THÁNG 8'!$S23&amp;"")</f>
        <v/>
      </c>
      <c r="T316" s="0" t="str">
        <f aca="false">IF(N($O316)&gt;0,COUNTIF($O$3:$O316,"&gt;0"),"")</f>
        <v/>
      </c>
      <c r="U316" s="0" t="str">
        <f aca="false">IF(AND(N($J316)&gt;0,N($K316)&gt;0),COUNTIFS($J$3:$J316,"&gt;0",$K$3:$K316,"&gt;0"),"")</f>
        <v/>
      </c>
      <c r="V316" s="0" t="str">
        <f aca="false">IF(AND(N($J316)&gt;0,N($K316)=0),COUNTIFS($J$3:$J316,"&gt;0",$K$3:$K316,"&lt;=0"),"")</f>
        <v/>
      </c>
      <c r="W316" s="0" t="str">
        <f aca="false">IF($C316="","",IF(COUNTIF($C$3:$C316,$C316)&gt;1,"",MAX($W$2:W315)+1))</f>
        <v/>
      </c>
      <c r="X316" s="0" t="str">
        <f aca="false">IF($H316="","",IF(COUNTIF($H$3:$H316,$H316)&gt;1,"",MAX($X$2:X315)+1))</f>
        <v/>
      </c>
      <c r="Y316" s="0" t="str">
        <f aca="false">IF(AND(N($M316)&gt;0,N($O316)&lt;=0),COUNTIFS($M$3:$M316,"&gt;0",$O$3:$O316,"&lt;=0"),"")</f>
        <v/>
      </c>
      <c r="Z316" s="30" t="n">
        <f aca="false">IF(OR('THÁNG 8'!$C23="",'THÁNG 8'!$B23=""),0,'THÁNG 8'!$B23)</f>
        <v>0</v>
      </c>
    </row>
    <row r="317" customFormat="false" ht="15" hidden="false" customHeight="false" outlineLevel="0" collapsed="false">
      <c r="A317" s="0" t="n">
        <v>8</v>
      </c>
      <c r="B317" s="29" t="str">
        <f aca="false">IF(OR('THÁNG 8'!$C24="",'THÁNG 8'!$B24=""),"",'THÁNG 8'!$B24)</f>
        <v/>
      </c>
      <c r="C317" s="0" t="str">
        <f aca="false">IF('THÁNG 8'!$C24="","",'THÁNG 8'!$C24)</f>
        <v/>
      </c>
      <c r="D317" s="0" t="str">
        <f aca="false">IF('THÁNG 8'!$C24="","",'THÁNG 8'!$D24&amp;"")</f>
        <v/>
      </c>
      <c r="E317" s="0" t="str">
        <f aca="false">IF('THÁNG 8'!$C24="","",'THÁNG 8'!$E24&amp;"")</f>
        <v/>
      </c>
      <c r="F317" s="0" t="str">
        <f aca="false">IF('THÁNG 8'!$C24="","",'THÁNG 8'!$F24&amp;"")</f>
        <v/>
      </c>
      <c r="G317" s="0" t="str">
        <f aca="false">IF('THÁNG 8'!$C24="","",'THÁNG 8'!$G24&amp;"")</f>
        <v/>
      </c>
      <c r="H317" s="0" t="str">
        <f aca="false">IF('THÁNG 8'!$C24="","",'THÁNG 8'!$H24&amp;"")</f>
        <v/>
      </c>
      <c r="I317" s="0" t="str">
        <f aca="false">IF('THÁNG 8'!$C24="","",N('THÁNG 8'!$I24))</f>
        <v/>
      </c>
      <c r="J317" s="0" t="str">
        <f aca="false">IF('THÁNG 8'!$C24="","",N('THÁNG 8'!$L24))</f>
        <v/>
      </c>
      <c r="K317" s="0" t="str">
        <f aca="false">IF('THÁNG 8'!$C24="","",N('THÁNG 8'!$N24))</f>
        <v/>
      </c>
      <c r="L317" s="0" t="str">
        <f aca="false">IF('THÁNG 8'!$C24="","",N('THÁNG 8'!$O24))</f>
        <v/>
      </c>
      <c r="M317" s="0" t="str">
        <f aca="false">IF('THÁNG 8'!$C24="","",N('THÁNG 8'!$P24))</f>
        <v/>
      </c>
      <c r="N317" s="0" t="str">
        <f aca="false">IF('THÁNG 8'!$C24="","",N('THÁNG 8'!$Q24))</f>
        <v/>
      </c>
      <c r="O317" s="0" t="str">
        <f aca="false">IF('THÁNG 8'!$C24="","",N('THÁNG 8'!$R24))</f>
        <v/>
      </c>
      <c r="P317" s="0" t="str">
        <f aca="false">IF(OR('THÁNG 8'!$C24="",'THÁNG 8'!$T24=""),"",'THÁNG 8'!$T24)</f>
        <v/>
      </c>
      <c r="Q317" s="0" t="str">
        <f aca="false">IF(OR('THÁNG 8'!$C24="",'THÁNG 8'!$U24=""),"",'THÁNG 8'!$U24)</f>
        <v/>
      </c>
      <c r="R317" s="0" t="str">
        <f aca="false">IF('THÁNG 8'!$C24="","",'THÁNG 8'!$W24&amp;"")</f>
        <v/>
      </c>
      <c r="S317" s="0" t="str">
        <f aca="false">IF('THÁNG 8'!$C24="","",'THÁNG 8'!$S24&amp;"")</f>
        <v/>
      </c>
      <c r="T317" s="0" t="str">
        <f aca="false">IF(N($O317)&gt;0,COUNTIF($O$3:$O317,"&gt;0"),"")</f>
        <v/>
      </c>
      <c r="U317" s="0" t="str">
        <f aca="false">IF(AND(N($J317)&gt;0,N($K317)&gt;0),COUNTIFS($J$3:$J317,"&gt;0",$K$3:$K317,"&gt;0"),"")</f>
        <v/>
      </c>
      <c r="V317" s="0" t="str">
        <f aca="false">IF(AND(N($J317)&gt;0,N($K317)=0),COUNTIFS($J$3:$J317,"&gt;0",$K$3:$K317,"&lt;=0"),"")</f>
        <v/>
      </c>
      <c r="W317" s="0" t="str">
        <f aca="false">IF($C317="","",IF(COUNTIF($C$3:$C317,$C317)&gt;1,"",MAX($W$2:W316)+1))</f>
        <v/>
      </c>
      <c r="X317" s="0" t="str">
        <f aca="false">IF($H317="","",IF(COUNTIF($H$3:$H317,$H317)&gt;1,"",MAX($X$2:X316)+1))</f>
        <v/>
      </c>
      <c r="Y317" s="0" t="str">
        <f aca="false">IF(AND(N($M317)&gt;0,N($O317)&lt;=0),COUNTIFS($M$3:$M317,"&gt;0",$O$3:$O317,"&lt;=0"),"")</f>
        <v/>
      </c>
      <c r="Z317" s="30" t="n">
        <f aca="false">IF(OR('THÁNG 8'!$C24="",'THÁNG 8'!$B24=""),0,'THÁNG 8'!$B24)</f>
        <v>0</v>
      </c>
    </row>
    <row r="318" customFormat="false" ht="15" hidden="false" customHeight="false" outlineLevel="0" collapsed="false">
      <c r="A318" s="0" t="n">
        <v>8</v>
      </c>
      <c r="B318" s="29" t="str">
        <f aca="false">IF(OR('THÁNG 8'!$C25="",'THÁNG 8'!$B25=""),"",'THÁNG 8'!$B25)</f>
        <v/>
      </c>
      <c r="C318" s="0" t="str">
        <f aca="false">IF('THÁNG 8'!$C25="","",'THÁNG 8'!$C25)</f>
        <v/>
      </c>
      <c r="D318" s="0" t="str">
        <f aca="false">IF('THÁNG 8'!$C25="","",'THÁNG 8'!$D25&amp;"")</f>
        <v/>
      </c>
      <c r="E318" s="0" t="str">
        <f aca="false">IF('THÁNG 8'!$C25="","",'THÁNG 8'!$E25&amp;"")</f>
        <v/>
      </c>
      <c r="F318" s="0" t="str">
        <f aca="false">IF('THÁNG 8'!$C25="","",'THÁNG 8'!$F25&amp;"")</f>
        <v/>
      </c>
      <c r="G318" s="0" t="str">
        <f aca="false">IF('THÁNG 8'!$C25="","",'THÁNG 8'!$G25&amp;"")</f>
        <v/>
      </c>
      <c r="H318" s="0" t="str">
        <f aca="false">IF('THÁNG 8'!$C25="","",'THÁNG 8'!$H25&amp;"")</f>
        <v/>
      </c>
      <c r="I318" s="0" t="str">
        <f aca="false">IF('THÁNG 8'!$C25="","",N('THÁNG 8'!$I25))</f>
        <v/>
      </c>
      <c r="J318" s="0" t="str">
        <f aca="false">IF('THÁNG 8'!$C25="","",N('THÁNG 8'!$L25))</f>
        <v/>
      </c>
      <c r="K318" s="0" t="str">
        <f aca="false">IF('THÁNG 8'!$C25="","",N('THÁNG 8'!$N25))</f>
        <v/>
      </c>
      <c r="L318" s="0" t="str">
        <f aca="false">IF('THÁNG 8'!$C25="","",N('THÁNG 8'!$O25))</f>
        <v/>
      </c>
      <c r="M318" s="0" t="str">
        <f aca="false">IF('THÁNG 8'!$C25="","",N('THÁNG 8'!$P25))</f>
        <v/>
      </c>
      <c r="N318" s="0" t="str">
        <f aca="false">IF('THÁNG 8'!$C25="","",N('THÁNG 8'!$Q25))</f>
        <v/>
      </c>
      <c r="O318" s="0" t="str">
        <f aca="false">IF('THÁNG 8'!$C25="","",N('THÁNG 8'!$R25))</f>
        <v/>
      </c>
      <c r="P318" s="0" t="str">
        <f aca="false">IF(OR('THÁNG 8'!$C25="",'THÁNG 8'!$T25=""),"",'THÁNG 8'!$T25)</f>
        <v/>
      </c>
      <c r="Q318" s="0" t="str">
        <f aca="false">IF(OR('THÁNG 8'!$C25="",'THÁNG 8'!$U25=""),"",'THÁNG 8'!$U25)</f>
        <v/>
      </c>
      <c r="R318" s="0" t="str">
        <f aca="false">IF('THÁNG 8'!$C25="","",'THÁNG 8'!$W25&amp;"")</f>
        <v/>
      </c>
      <c r="S318" s="0" t="str">
        <f aca="false">IF('THÁNG 8'!$C25="","",'THÁNG 8'!$S25&amp;"")</f>
        <v/>
      </c>
      <c r="T318" s="0" t="str">
        <f aca="false">IF(N($O318)&gt;0,COUNTIF($O$3:$O318,"&gt;0"),"")</f>
        <v/>
      </c>
      <c r="U318" s="0" t="str">
        <f aca="false">IF(AND(N($J318)&gt;0,N($K318)&gt;0),COUNTIFS($J$3:$J318,"&gt;0",$K$3:$K318,"&gt;0"),"")</f>
        <v/>
      </c>
      <c r="V318" s="0" t="str">
        <f aca="false">IF(AND(N($J318)&gt;0,N($K318)=0),COUNTIFS($J$3:$J318,"&gt;0",$K$3:$K318,"&lt;=0"),"")</f>
        <v/>
      </c>
      <c r="W318" s="0" t="str">
        <f aca="false">IF($C318="","",IF(COUNTIF($C$3:$C318,$C318)&gt;1,"",MAX($W$2:W317)+1))</f>
        <v/>
      </c>
      <c r="X318" s="0" t="str">
        <f aca="false">IF($H318="","",IF(COUNTIF($H$3:$H318,$H318)&gt;1,"",MAX($X$2:X317)+1))</f>
        <v/>
      </c>
      <c r="Y318" s="0" t="str">
        <f aca="false">IF(AND(N($M318)&gt;0,N($O318)&lt;=0),COUNTIFS($M$3:$M318,"&gt;0",$O$3:$O318,"&lt;=0"),"")</f>
        <v/>
      </c>
      <c r="Z318" s="30" t="n">
        <f aca="false">IF(OR('THÁNG 8'!$C25="",'THÁNG 8'!$B25=""),0,'THÁNG 8'!$B25)</f>
        <v>0</v>
      </c>
    </row>
    <row r="319" customFormat="false" ht="15" hidden="false" customHeight="false" outlineLevel="0" collapsed="false">
      <c r="A319" s="0" t="n">
        <v>8</v>
      </c>
      <c r="B319" s="29" t="str">
        <f aca="false">IF(OR('THÁNG 8'!$C26="",'THÁNG 8'!$B26=""),"",'THÁNG 8'!$B26)</f>
        <v/>
      </c>
      <c r="C319" s="0" t="str">
        <f aca="false">IF('THÁNG 8'!$C26="","",'THÁNG 8'!$C26)</f>
        <v/>
      </c>
      <c r="D319" s="0" t="str">
        <f aca="false">IF('THÁNG 8'!$C26="","",'THÁNG 8'!$D26&amp;"")</f>
        <v/>
      </c>
      <c r="E319" s="0" t="str">
        <f aca="false">IF('THÁNG 8'!$C26="","",'THÁNG 8'!$E26&amp;"")</f>
        <v/>
      </c>
      <c r="F319" s="0" t="str">
        <f aca="false">IF('THÁNG 8'!$C26="","",'THÁNG 8'!$F26&amp;"")</f>
        <v/>
      </c>
      <c r="G319" s="0" t="str">
        <f aca="false">IF('THÁNG 8'!$C26="","",'THÁNG 8'!$G26&amp;"")</f>
        <v/>
      </c>
      <c r="H319" s="0" t="str">
        <f aca="false">IF('THÁNG 8'!$C26="","",'THÁNG 8'!$H26&amp;"")</f>
        <v/>
      </c>
      <c r="I319" s="0" t="str">
        <f aca="false">IF('THÁNG 8'!$C26="","",N('THÁNG 8'!$I26))</f>
        <v/>
      </c>
      <c r="J319" s="0" t="str">
        <f aca="false">IF('THÁNG 8'!$C26="","",N('THÁNG 8'!$L26))</f>
        <v/>
      </c>
      <c r="K319" s="0" t="str">
        <f aca="false">IF('THÁNG 8'!$C26="","",N('THÁNG 8'!$N26))</f>
        <v/>
      </c>
      <c r="L319" s="0" t="str">
        <f aca="false">IF('THÁNG 8'!$C26="","",N('THÁNG 8'!$O26))</f>
        <v/>
      </c>
      <c r="M319" s="0" t="str">
        <f aca="false">IF('THÁNG 8'!$C26="","",N('THÁNG 8'!$P26))</f>
        <v/>
      </c>
      <c r="N319" s="0" t="str">
        <f aca="false">IF('THÁNG 8'!$C26="","",N('THÁNG 8'!$Q26))</f>
        <v/>
      </c>
      <c r="O319" s="0" t="str">
        <f aca="false">IF('THÁNG 8'!$C26="","",N('THÁNG 8'!$R26))</f>
        <v/>
      </c>
      <c r="P319" s="0" t="str">
        <f aca="false">IF(OR('THÁNG 8'!$C26="",'THÁNG 8'!$T26=""),"",'THÁNG 8'!$T26)</f>
        <v/>
      </c>
      <c r="Q319" s="0" t="str">
        <f aca="false">IF(OR('THÁNG 8'!$C26="",'THÁNG 8'!$U26=""),"",'THÁNG 8'!$U26)</f>
        <v/>
      </c>
      <c r="R319" s="0" t="str">
        <f aca="false">IF('THÁNG 8'!$C26="","",'THÁNG 8'!$W26&amp;"")</f>
        <v/>
      </c>
      <c r="S319" s="0" t="str">
        <f aca="false">IF('THÁNG 8'!$C26="","",'THÁNG 8'!$S26&amp;"")</f>
        <v/>
      </c>
      <c r="T319" s="0" t="str">
        <f aca="false">IF(N($O319)&gt;0,COUNTIF($O$3:$O319,"&gt;0"),"")</f>
        <v/>
      </c>
      <c r="U319" s="0" t="str">
        <f aca="false">IF(AND(N($J319)&gt;0,N($K319)&gt;0),COUNTIFS($J$3:$J319,"&gt;0",$K$3:$K319,"&gt;0"),"")</f>
        <v/>
      </c>
      <c r="V319" s="0" t="str">
        <f aca="false">IF(AND(N($J319)&gt;0,N($K319)=0),COUNTIFS($J$3:$J319,"&gt;0",$K$3:$K319,"&lt;=0"),"")</f>
        <v/>
      </c>
      <c r="W319" s="0" t="str">
        <f aca="false">IF($C319="","",IF(COUNTIF($C$3:$C319,$C319)&gt;1,"",MAX($W$2:W318)+1))</f>
        <v/>
      </c>
      <c r="X319" s="0" t="str">
        <f aca="false">IF($H319="","",IF(COUNTIF($H$3:$H319,$H319)&gt;1,"",MAX($X$2:X318)+1))</f>
        <v/>
      </c>
      <c r="Y319" s="0" t="str">
        <f aca="false">IF(AND(N($M319)&gt;0,N($O319)&lt;=0),COUNTIFS($M$3:$M319,"&gt;0",$O$3:$O319,"&lt;=0"),"")</f>
        <v/>
      </c>
      <c r="Z319" s="30" t="n">
        <f aca="false">IF(OR('THÁNG 8'!$C26="",'THÁNG 8'!$B26=""),0,'THÁNG 8'!$B26)</f>
        <v>0</v>
      </c>
    </row>
    <row r="320" customFormat="false" ht="15" hidden="false" customHeight="false" outlineLevel="0" collapsed="false">
      <c r="A320" s="0" t="n">
        <v>8</v>
      </c>
      <c r="B320" s="29" t="str">
        <f aca="false">IF(OR('THÁNG 8'!$C27="",'THÁNG 8'!$B27=""),"",'THÁNG 8'!$B27)</f>
        <v/>
      </c>
      <c r="C320" s="0" t="str">
        <f aca="false">IF('THÁNG 8'!$C27="","",'THÁNG 8'!$C27)</f>
        <v/>
      </c>
      <c r="D320" s="0" t="str">
        <f aca="false">IF('THÁNG 8'!$C27="","",'THÁNG 8'!$D27&amp;"")</f>
        <v/>
      </c>
      <c r="E320" s="0" t="str">
        <f aca="false">IF('THÁNG 8'!$C27="","",'THÁNG 8'!$E27&amp;"")</f>
        <v/>
      </c>
      <c r="F320" s="0" t="str">
        <f aca="false">IF('THÁNG 8'!$C27="","",'THÁNG 8'!$F27&amp;"")</f>
        <v/>
      </c>
      <c r="G320" s="0" t="str">
        <f aca="false">IF('THÁNG 8'!$C27="","",'THÁNG 8'!$G27&amp;"")</f>
        <v/>
      </c>
      <c r="H320" s="0" t="str">
        <f aca="false">IF('THÁNG 8'!$C27="","",'THÁNG 8'!$H27&amp;"")</f>
        <v/>
      </c>
      <c r="I320" s="0" t="str">
        <f aca="false">IF('THÁNG 8'!$C27="","",N('THÁNG 8'!$I27))</f>
        <v/>
      </c>
      <c r="J320" s="0" t="str">
        <f aca="false">IF('THÁNG 8'!$C27="","",N('THÁNG 8'!$L27))</f>
        <v/>
      </c>
      <c r="K320" s="0" t="str">
        <f aca="false">IF('THÁNG 8'!$C27="","",N('THÁNG 8'!$N27))</f>
        <v/>
      </c>
      <c r="L320" s="0" t="str">
        <f aca="false">IF('THÁNG 8'!$C27="","",N('THÁNG 8'!$O27))</f>
        <v/>
      </c>
      <c r="M320" s="0" t="str">
        <f aca="false">IF('THÁNG 8'!$C27="","",N('THÁNG 8'!$P27))</f>
        <v/>
      </c>
      <c r="N320" s="0" t="str">
        <f aca="false">IF('THÁNG 8'!$C27="","",N('THÁNG 8'!$Q27))</f>
        <v/>
      </c>
      <c r="O320" s="0" t="str">
        <f aca="false">IF('THÁNG 8'!$C27="","",N('THÁNG 8'!$R27))</f>
        <v/>
      </c>
      <c r="P320" s="0" t="str">
        <f aca="false">IF(OR('THÁNG 8'!$C27="",'THÁNG 8'!$T27=""),"",'THÁNG 8'!$T27)</f>
        <v/>
      </c>
      <c r="Q320" s="0" t="str">
        <f aca="false">IF(OR('THÁNG 8'!$C27="",'THÁNG 8'!$U27=""),"",'THÁNG 8'!$U27)</f>
        <v/>
      </c>
      <c r="R320" s="0" t="str">
        <f aca="false">IF('THÁNG 8'!$C27="","",'THÁNG 8'!$W27&amp;"")</f>
        <v/>
      </c>
      <c r="S320" s="0" t="str">
        <f aca="false">IF('THÁNG 8'!$C27="","",'THÁNG 8'!$S27&amp;"")</f>
        <v/>
      </c>
      <c r="T320" s="0" t="str">
        <f aca="false">IF(N($O320)&gt;0,COUNTIF($O$3:$O320,"&gt;0"),"")</f>
        <v/>
      </c>
      <c r="U320" s="0" t="str">
        <f aca="false">IF(AND(N($J320)&gt;0,N($K320)&gt;0),COUNTIFS($J$3:$J320,"&gt;0",$K$3:$K320,"&gt;0"),"")</f>
        <v/>
      </c>
      <c r="V320" s="0" t="str">
        <f aca="false">IF(AND(N($J320)&gt;0,N($K320)=0),COUNTIFS($J$3:$J320,"&gt;0",$K$3:$K320,"&lt;=0"),"")</f>
        <v/>
      </c>
      <c r="W320" s="0" t="str">
        <f aca="false">IF($C320="","",IF(COUNTIF($C$3:$C320,$C320)&gt;1,"",MAX($W$2:W319)+1))</f>
        <v/>
      </c>
      <c r="X320" s="0" t="str">
        <f aca="false">IF($H320="","",IF(COUNTIF($H$3:$H320,$H320)&gt;1,"",MAX($X$2:X319)+1))</f>
        <v/>
      </c>
      <c r="Y320" s="0" t="str">
        <f aca="false">IF(AND(N($M320)&gt;0,N($O320)&lt;=0),COUNTIFS($M$3:$M320,"&gt;0",$O$3:$O320,"&lt;=0"),"")</f>
        <v/>
      </c>
      <c r="Z320" s="30" t="n">
        <f aca="false">IF(OR('THÁNG 8'!$C27="",'THÁNG 8'!$B27=""),0,'THÁNG 8'!$B27)</f>
        <v>0</v>
      </c>
    </row>
    <row r="321" customFormat="false" ht="15" hidden="false" customHeight="false" outlineLevel="0" collapsed="false">
      <c r="A321" s="0" t="n">
        <v>8</v>
      </c>
      <c r="B321" s="29" t="str">
        <f aca="false">IF(OR('THÁNG 8'!$C28="",'THÁNG 8'!$B28=""),"",'THÁNG 8'!$B28)</f>
        <v/>
      </c>
      <c r="C321" s="0" t="str">
        <f aca="false">IF('THÁNG 8'!$C28="","",'THÁNG 8'!$C28)</f>
        <v/>
      </c>
      <c r="D321" s="0" t="str">
        <f aca="false">IF('THÁNG 8'!$C28="","",'THÁNG 8'!$D28&amp;"")</f>
        <v/>
      </c>
      <c r="E321" s="0" t="str">
        <f aca="false">IF('THÁNG 8'!$C28="","",'THÁNG 8'!$E28&amp;"")</f>
        <v/>
      </c>
      <c r="F321" s="0" t="str">
        <f aca="false">IF('THÁNG 8'!$C28="","",'THÁNG 8'!$F28&amp;"")</f>
        <v/>
      </c>
      <c r="G321" s="0" t="str">
        <f aca="false">IF('THÁNG 8'!$C28="","",'THÁNG 8'!$G28&amp;"")</f>
        <v/>
      </c>
      <c r="H321" s="0" t="str">
        <f aca="false">IF('THÁNG 8'!$C28="","",'THÁNG 8'!$H28&amp;"")</f>
        <v/>
      </c>
      <c r="I321" s="0" t="str">
        <f aca="false">IF('THÁNG 8'!$C28="","",N('THÁNG 8'!$I28))</f>
        <v/>
      </c>
      <c r="J321" s="0" t="str">
        <f aca="false">IF('THÁNG 8'!$C28="","",N('THÁNG 8'!$L28))</f>
        <v/>
      </c>
      <c r="K321" s="0" t="str">
        <f aca="false">IF('THÁNG 8'!$C28="","",N('THÁNG 8'!$N28))</f>
        <v/>
      </c>
      <c r="L321" s="0" t="str">
        <f aca="false">IF('THÁNG 8'!$C28="","",N('THÁNG 8'!$O28))</f>
        <v/>
      </c>
      <c r="M321" s="0" t="str">
        <f aca="false">IF('THÁNG 8'!$C28="","",N('THÁNG 8'!$P28))</f>
        <v/>
      </c>
      <c r="N321" s="0" t="str">
        <f aca="false">IF('THÁNG 8'!$C28="","",N('THÁNG 8'!$Q28))</f>
        <v/>
      </c>
      <c r="O321" s="0" t="str">
        <f aca="false">IF('THÁNG 8'!$C28="","",N('THÁNG 8'!$R28))</f>
        <v/>
      </c>
      <c r="P321" s="0" t="str">
        <f aca="false">IF(OR('THÁNG 8'!$C28="",'THÁNG 8'!$T28=""),"",'THÁNG 8'!$T28)</f>
        <v/>
      </c>
      <c r="Q321" s="0" t="str">
        <f aca="false">IF(OR('THÁNG 8'!$C28="",'THÁNG 8'!$U28=""),"",'THÁNG 8'!$U28)</f>
        <v/>
      </c>
      <c r="R321" s="0" t="str">
        <f aca="false">IF('THÁNG 8'!$C28="","",'THÁNG 8'!$W28&amp;"")</f>
        <v/>
      </c>
      <c r="S321" s="0" t="str">
        <f aca="false">IF('THÁNG 8'!$C28="","",'THÁNG 8'!$S28&amp;"")</f>
        <v/>
      </c>
      <c r="T321" s="0" t="str">
        <f aca="false">IF(N($O321)&gt;0,COUNTIF($O$3:$O321,"&gt;0"),"")</f>
        <v/>
      </c>
      <c r="U321" s="0" t="str">
        <f aca="false">IF(AND(N($J321)&gt;0,N($K321)&gt;0),COUNTIFS($J$3:$J321,"&gt;0",$K$3:$K321,"&gt;0"),"")</f>
        <v/>
      </c>
      <c r="V321" s="0" t="str">
        <f aca="false">IF(AND(N($J321)&gt;0,N($K321)=0),COUNTIFS($J$3:$J321,"&gt;0",$K$3:$K321,"&lt;=0"),"")</f>
        <v/>
      </c>
      <c r="W321" s="0" t="str">
        <f aca="false">IF($C321="","",IF(COUNTIF($C$3:$C321,$C321)&gt;1,"",MAX($W$2:W320)+1))</f>
        <v/>
      </c>
      <c r="X321" s="0" t="str">
        <f aca="false">IF($H321="","",IF(COUNTIF($H$3:$H321,$H321)&gt;1,"",MAX($X$2:X320)+1))</f>
        <v/>
      </c>
      <c r="Y321" s="0" t="str">
        <f aca="false">IF(AND(N($M321)&gt;0,N($O321)&lt;=0),COUNTIFS($M$3:$M321,"&gt;0",$O$3:$O321,"&lt;=0"),"")</f>
        <v/>
      </c>
      <c r="Z321" s="30" t="n">
        <f aca="false">IF(OR('THÁNG 8'!$C28="",'THÁNG 8'!$B28=""),0,'THÁNG 8'!$B28)</f>
        <v>0</v>
      </c>
    </row>
    <row r="322" customFormat="false" ht="15" hidden="false" customHeight="false" outlineLevel="0" collapsed="false">
      <c r="A322" s="0" t="n">
        <v>8</v>
      </c>
      <c r="B322" s="29" t="str">
        <f aca="false">IF(OR('THÁNG 8'!$C29="",'THÁNG 8'!$B29=""),"",'THÁNG 8'!$B29)</f>
        <v/>
      </c>
      <c r="C322" s="0" t="str">
        <f aca="false">IF('THÁNG 8'!$C29="","",'THÁNG 8'!$C29)</f>
        <v/>
      </c>
      <c r="D322" s="0" t="str">
        <f aca="false">IF('THÁNG 8'!$C29="","",'THÁNG 8'!$D29&amp;"")</f>
        <v/>
      </c>
      <c r="E322" s="0" t="str">
        <f aca="false">IF('THÁNG 8'!$C29="","",'THÁNG 8'!$E29&amp;"")</f>
        <v/>
      </c>
      <c r="F322" s="0" t="str">
        <f aca="false">IF('THÁNG 8'!$C29="","",'THÁNG 8'!$F29&amp;"")</f>
        <v/>
      </c>
      <c r="G322" s="0" t="str">
        <f aca="false">IF('THÁNG 8'!$C29="","",'THÁNG 8'!$G29&amp;"")</f>
        <v/>
      </c>
      <c r="H322" s="0" t="str">
        <f aca="false">IF('THÁNG 8'!$C29="","",'THÁNG 8'!$H29&amp;"")</f>
        <v/>
      </c>
      <c r="I322" s="0" t="str">
        <f aca="false">IF('THÁNG 8'!$C29="","",N('THÁNG 8'!$I29))</f>
        <v/>
      </c>
      <c r="J322" s="0" t="str">
        <f aca="false">IF('THÁNG 8'!$C29="","",N('THÁNG 8'!$L29))</f>
        <v/>
      </c>
      <c r="K322" s="0" t="str">
        <f aca="false">IF('THÁNG 8'!$C29="","",N('THÁNG 8'!$N29))</f>
        <v/>
      </c>
      <c r="L322" s="0" t="str">
        <f aca="false">IF('THÁNG 8'!$C29="","",N('THÁNG 8'!$O29))</f>
        <v/>
      </c>
      <c r="M322" s="0" t="str">
        <f aca="false">IF('THÁNG 8'!$C29="","",N('THÁNG 8'!$P29))</f>
        <v/>
      </c>
      <c r="N322" s="0" t="str">
        <f aca="false">IF('THÁNG 8'!$C29="","",N('THÁNG 8'!$Q29))</f>
        <v/>
      </c>
      <c r="O322" s="0" t="str">
        <f aca="false">IF('THÁNG 8'!$C29="","",N('THÁNG 8'!$R29))</f>
        <v/>
      </c>
      <c r="P322" s="0" t="str">
        <f aca="false">IF(OR('THÁNG 8'!$C29="",'THÁNG 8'!$T29=""),"",'THÁNG 8'!$T29)</f>
        <v/>
      </c>
      <c r="Q322" s="0" t="str">
        <f aca="false">IF(OR('THÁNG 8'!$C29="",'THÁNG 8'!$U29=""),"",'THÁNG 8'!$U29)</f>
        <v/>
      </c>
      <c r="R322" s="0" t="str">
        <f aca="false">IF('THÁNG 8'!$C29="","",'THÁNG 8'!$W29&amp;"")</f>
        <v/>
      </c>
      <c r="S322" s="0" t="str">
        <f aca="false">IF('THÁNG 8'!$C29="","",'THÁNG 8'!$S29&amp;"")</f>
        <v/>
      </c>
      <c r="T322" s="0" t="str">
        <f aca="false">IF(N($O322)&gt;0,COUNTIF($O$3:$O322,"&gt;0"),"")</f>
        <v/>
      </c>
      <c r="U322" s="0" t="str">
        <f aca="false">IF(AND(N($J322)&gt;0,N($K322)&gt;0),COUNTIFS($J$3:$J322,"&gt;0",$K$3:$K322,"&gt;0"),"")</f>
        <v/>
      </c>
      <c r="V322" s="0" t="str">
        <f aca="false">IF(AND(N($J322)&gt;0,N($K322)=0),COUNTIFS($J$3:$J322,"&gt;0",$K$3:$K322,"&lt;=0"),"")</f>
        <v/>
      </c>
      <c r="W322" s="0" t="str">
        <f aca="false">IF($C322="","",IF(COUNTIF($C$3:$C322,$C322)&gt;1,"",MAX($W$2:W321)+1))</f>
        <v/>
      </c>
      <c r="X322" s="0" t="str">
        <f aca="false">IF($H322="","",IF(COUNTIF($H$3:$H322,$H322)&gt;1,"",MAX($X$2:X321)+1))</f>
        <v/>
      </c>
      <c r="Y322" s="0" t="str">
        <f aca="false">IF(AND(N($M322)&gt;0,N($O322)&lt;=0),COUNTIFS($M$3:$M322,"&gt;0",$O$3:$O322,"&lt;=0"),"")</f>
        <v/>
      </c>
      <c r="Z322" s="30" t="n">
        <f aca="false">IF(OR('THÁNG 8'!$C29="",'THÁNG 8'!$B29=""),0,'THÁNG 8'!$B29)</f>
        <v>0</v>
      </c>
    </row>
    <row r="323" customFormat="false" ht="15" hidden="false" customHeight="false" outlineLevel="0" collapsed="false">
      <c r="A323" s="0" t="n">
        <v>8</v>
      </c>
      <c r="B323" s="29" t="str">
        <f aca="false">IF(OR('THÁNG 8'!$C30="",'THÁNG 8'!$B30=""),"",'THÁNG 8'!$B30)</f>
        <v/>
      </c>
      <c r="C323" s="0" t="str">
        <f aca="false">IF('THÁNG 8'!$C30="","",'THÁNG 8'!$C30)</f>
        <v/>
      </c>
      <c r="D323" s="0" t="str">
        <f aca="false">IF('THÁNG 8'!$C30="","",'THÁNG 8'!$D30&amp;"")</f>
        <v/>
      </c>
      <c r="E323" s="0" t="str">
        <f aca="false">IF('THÁNG 8'!$C30="","",'THÁNG 8'!$E30&amp;"")</f>
        <v/>
      </c>
      <c r="F323" s="0" t="str">
        <f aca="false">IF('THÁNG 8'!$C30="","",'THÁNG 8'!$F30&amp;"")</f>
        <v/>
      </c>
      <c r="G323" s="0" t="str">
        <f aca="false">IF('THÁNG 8'!$C30="","",'THÁNG 8'!$G30&amp;"")</f>
        <v/>
      </c>
      <c r="H323" s="0" t="str">
        <f aca="false">IF('THÁNG 8'!$C30="","",'THÁNG 8'!$H30&amp;"")</f>
        <v/>
      </c>
      <c r="I323" s="0" t="str">
        <f aca="false">IF('THÁNG 8'!$C30="","",N('THÁNG 8'!$I30))</f>
        <v/>
      </c>
      <c r="J323" s="0" t="str">
        <f aca="false">IF('THÁNG 8'!$C30="","",N('THÁNG 8'!$L30))</f>
        <v/>
      </c>
      <c r="K323" s="0" t="str">
        <f aca="false">IF('THÁNG 8'!$C30="","",N('THÁNG 8'!$N30))</f>
        <v/>
      </c>
      <c r="L323" s="0" t="str">
        <f aca="false">IF('THÁNG 8'!$C30="","",N('THÁNG 8'!$O30))</f>
        <v/>
      </c>
      <c r="M323" s="0" t="str">
        <f aca="false">IF('THÁNG 8'!$C30="","",N('THÁNG 8'!$P30))</f>
        <v/>
      </c>
      <c r="N323" s="0" t="str">
        <f aca="false">IF('THÁNG 8'!$C30="","",N('THÁNG 8'!$Q30))</f>
        <v/>
      </c>
      <c r="O323" s="0" t="str">
        <f aca="false">IF('THÁNG 8'!$C30="","",N('THÁNG 8'!$R30))</f>
        <v/>
      </c>
      <c r="P323" s="0" t="str">
        <f aca="false">IF(OR('THÁNG 8'!$C30="",'THÁNG 8'!$T30=""),"",'THÁNG 8'!$T30)</f>
        <v/>
      </c>
      <c r="Q323" s="0" t="str">
        <f aca="false">IF(OR('THÁNG 8'!$C30="",'THÁNG 8'!$U30=""),"",'THÁNG 8'!$U30)</f>
        <v/>
      </c>
      <c r="R323" s="0" t="str">
        <f aca="false">IF('THÁNG 8'!$C30="","",'THÁNG 8'!$W30&amp;"")</f>
        <v/>
      </c>
      <c r="S323" s="0" t="str">
        <f aca="false">IF('THÁNG 8'!$C30="","",'THÁNG 8'!$S30&amp;"")</f>
        <v/>
      </c>
      <c r="T323" s="0" t="str">
        <f aca="false">IF(N($O323)&gt;0,COUNTIF($O$3:$O323,"&gt;0"),"")</f>
        <v/>
      </c>
      <c r="U323" s="0" t="str">
        <f aca="false">IF(AND(N($J323)&gt;0,N($K323)&gt;0),COUNTIFS($J$3:$J323,"&gt;0",$K$3:$K323,"&gt;0"),"")</f>
        <v/>
      </c>
      <c r="V323" s="0" t="str">
        <f aca="false">IF(AND(N($J323)&gt;0,N($K323)=0),COUNTIFS($J$3:$J323,"&gt;0",$K$3:$K323,"&lt;=0"),"")</f>
        <v/>
      </c>
      <c r="W323" s="0" t="str">
        <f aca="false">IF($C323="","",IF(COUNTIF($C$3:$C323,$C323)&gt;1,"",MAX($W$2:W322)+1))</f>
        <v/>
      </c>
      <c r="X323" s="0" t="str">
        <f aca="false">IF($H323="","",IF(COUNTIF($H$3:$H323,$H323)&gt;1,"",MAX($X$2:X322)+1))</f>
        <v/>
      </c>
      <c r="Y323" s="0" t="str">
        <f aca="false">IF(AND(N($M323)&gt;0,N($O323)&lt;=0),COUNTIFS($M$3:$M323,"&gt;0",$O$3:$O323,"&lt;=0"),"")</f>
        <v/>
      </c>
      <c r="Z323" s="30" t="n">
        <f aca="false">IF(OR('THÁNG 8'!$C30="",'THÁNG 8'!$B30=""),0,'THÁNG 8'!$B30)</f>
        <v>0</v>
      </c>
    </row>
    <row r="324" customFormat="false" ht="15" hidden="false" customHeight="false" outlineLevel="0" collapsed="false">
      <c r="A324" s="0" t="n">
        <v>8</v>
      </c>
      <c r="B324" s="29" t="str">
        <f aca="false">IF(OR('THÁNG 8'!$C31="",'THÁNG 8'!$B31=""),"",'THÁNG 8'!$B31)</f>
        <v/>
      </c>
      <c r="C324" s="0" t="str">
        <f aca="false">IF('THÁNG 8'!$C31="","",'THÁNG 8'!$C31)</f>
        <v/>
      </c>
      <c r="D324" s="0" t="str">
        <f aca="false">IF('THÁNG 8'!$C31="","",'THÁNG 8'!$D31&amp;"")</f>
        <v/>
      </c>
      <c r="E324" s="0" t="str">
        <f aca="false">IF('THÁNG 8'!$C31="","",'THÁNG 8'!$E31&amp;"")</f>
        <v/>
      </c>
      <c r="F324" s="0" t="str">
        <f aca="false">IF('THÁNG 8'!$C31="","",'THÁNG 8'!$F31&amp;"")</f>
        <v/>
      </c>
      <c r="G324" s="0" t="str">
        <f aca="false">IF('THÁNG 8'!$C31="","",'THÁNG 8'!$G31&amp;"")</f>
        <v/>
      </c>
      <c r="H324" s="0" t="str">
        <f aca="false">IF('THÁNG 8'!$C31="","",'THÁNG 8'!$H31&amp;"")</f>
        <v/>
      </c>
      <c r="I324" s="0" t="str">
        <f aca="false">IF('THÁNG 8'!$C31="","",N('THÁNG 8'!$I31))</f>
        <v/>
      </c>
      <c r="J324" s="0" t="str">
        <f aca="false">IF('THÁNG 8'!$C31="","",N('THÁNG 8'!$L31))</f>
        <v/>
      </c>
      <c r="K324" s="0" t="str">
        <f aca="false">IF('THÁNG 8'!$C31="","",N('THÁNG 8'!$N31))</f>
        <v/>
      </c>
      <c r="L324" s="0" t="str">
        <f aca="false">IF('THÁNG 8'!$C31="","",N('THÁNG 8'!$O31))</f>
        <v/>
      </c>
      <c r="M324" s="0" t="str">
        <f aca="false">IF('THÁNG 8'!$C31="","",N('THÁNG 8'!$P31))</f>
        <v/>
      </c>
      <c r="N324" s="0" t="str">
        <f aca="false">IF('THÁNG 8'!$C31="","",N('THÁNG 8'!$Q31))</f>
        <v/>
      </c>
      <c r="O324" s="0" t="str">
        <f aca="false">IF('THÁNG 8'!$C31="","",N('THÁNG 8'!$R31))</f>
        <v/>
      </c>
      <c r="P324" s="0" t="str">
        <f aca="false">IF(OR('THÁNG 8'!$C31="",'THÁNG 8'!$T31=""),"",'THÁNG 8'!$T31)</f>
        <v/>
      </c>
      <c r="Q324" s="0" t="str">
        <f aca="false">IF(OR('THÁNG 8'!$C31="",'THÁNG 8'!$U31=""),"",'THÁNG 8'!$U31)</f>
        <v/>
      </c>
      <c r="R324" s="0" t="str">
        <f aca="false">IF('THÁNG 8'!$C31="","",'THÁNG 8'!$W31&amp;"")</f>
        <v/>
      </c>
      <c r="S324" s="0" t="str">
        <f aca="false">IF('THÁNG 8'!$C31="","",'THÁNG 8'!$S31&amp;"")</f>
        <v/>
      </c>
      <c r="T324" s="0" t="str">
        <f aca="false">IF(N($O324)&gt;0,COUNTIF($O$3:$O324,"&gt;0"),"")</f>
        <v/>
      </c>
      <c r="U324" s="0" t="str">
        <f aca="false">IF(AND(N($J324)&gt;0,N($K324)&gt;0),COUNTIFS($J$3:$J324,"&gt;0",$K$3:$K324,"&gt;0"),"")</f>
        <v/>
      </c>
      <c r="V324" s="0" t="str">
        <f aca="false">IF(AND(N($J324)&gt;0,N($K324)=0),COUNTIFS($J$3:$J324,"&gt;0",$K$3:$K324,"&lt;=0"),"")</f>
        <v/>
      </c>
      <c r="W324" s="0" t="str">
        <f aca="false">IF($C324="","",IF(COUNTIF($C$3:$C324,$C324)&gt;1,"",MAX($W$2:W323)+1))</f>
        <v/>
      </c>
      <c r="X324" s="0" t="str">
        <f aca="false">IF($H324="","",IF(COUNTIF($H$3:$H324,$H324)&gt;1,"",MAX($X$2:X323)+1))</f>
        <v/>
      </c>
      <c r="Y324" s="0" t="str">
        <f aca="false">IF(AND(N($M324)&gt;0,N($O324)&lt;=0),COUNTIFS($M$3:$M324,"&gt;0",$O$3:$O324,"&lt;=0"),"")</f>
        <v/>
      </c>
      <c r="Z324" s="30" t="n">
        <f aca="false">IF(OR('THÁNG 8'!$C31="",'THÁNG 8'!$B31=""),0,'THÁNG 8'!$B31)</f>
        <v>0</v>
      </c>
    </row>
    <row r="325" customFormat="false" ht="15" hidden="false" customHeight="false" outlineLevel="0" collapsed="false">
      <c r="A325" s="0" t="n">
        <v>8</v>
      </c>
      <c r="B325" s="29" t="str">
        <f aca="false">IF(OR('THÁNG 8'!$C32="",'THÁNG 8'!$B32=""),"",'THÁNG 8'!$B32)</f>
        <v/>
      </c>
      <c r="C325" s="0" t="str">
        <f aca="false">IF('THÁNG 8'!$C32="","",'THÁNG 8'!$C32)</f>
        <v/>
      </c>
      <c r="D325" s="0" t="str">
        <f aca="false">IF('THÁNG 8'!$C32="","",'THÁNG 8'!$D32&amp;"")</f>
        <v/>
      </c>
      <c r="E325" s="0" t="str">
        <f aca="false">IF('THÁNG 8'!$C32="","",'THÁNG 8'!$E32&amp;"")</f>
        <v/>
      </c>
      <c r="F325" s="0" t="str">
        <f aca="false">IF('THÁNG 8'!$C32="","",'THÁNG 8'!$F32&amp;"")</f>
        <v/>
      </c>
      <c r="G325" s="0" t="str">
        <f aca="false">IF('THÁNG 8'!$C32="","",'THÁNG 8'!$G32&amp;"")</f>
        <v/>
      </c>
      <c r="H325" s="0" t="str">
        <f aca="false">IF('THÁNG 8'!$C32="","",'THÁNG 8'!$H32&amp;"")</f>
        <v/>
      </c>
      <c r="I325" s="0" t="str">
        <f aca="false">IF('THÁNG 8'!$C32="","",N('THÁNG 8'!$I32))</f>
        <v/>
      </c>
      <c r="J325" s="0" t="str">
        <f aca="false">IF('THÁNG 8'!$C32="","",N('THÁNG 8'!$L32))</f>
        <v/>
      </c>
      <c r="K325" s="0" t="str">
        <f aca="false">IF('THÁNG 8'!$C32="","",N('THÁNG 8'!$N32))</f>
        <v/>
      </c>
      <c r="L325" s="0" t="str">
        <f aca="false">IF('THÁNG 8'!$C32="","",N('THÁNG 8'!$O32))</f>
        <v/>
      </c>
      <c r="M325" s="0" t="str">
        <f aca="false">IF('THÁNG 8'!$C32="","",N('THÁNG 8'!$P32))</f>
        <v/>
      </c>
      <c r="N325" s="0" t="str">
        <f aca="false">IF('THÁNG 8'!$C32="","",N('THÁNG 8'!$Q32))</f>
        <v/>
      </c>
      <c r="O325" s="0" t="str">
        <f aca="false">IF('THÁNG 8'!$C32="","",N('THÁNG 8'!$R32))</f>
        <v/>
      </c>
      <c r="P325" s="0" t="str">
        <f aca="false">IF(OR('THÁNG 8'!$C32="",'THÁNG 8'!$T32=""),"",'THÁNG 8'!$T32)</f>
        <v/>
      </c>
      <c r="Q325" s="0" t="str">
        <f aca="false">IF(OR('THÁNG 8'!$C32="",'THÁNG 8'!$U32=""),"",'THÁNG 8'!$U32)</f>
        <v/>
      </c>
      <c r="R325" s="0" t="str">
        <f aca="false">IF('THÁNG 8'!$C32="","",'THÁNG 8'!$W32&amp;"")</f>
        <v/>
      </c>
      <c r="S325" s="0" t="str">
        <f aca="false">IF('THÁNG 8'!$C32="","",'THÁNG 8'!$S32&amp;"")</f>
        <v/>
      </c>
      <c r="T325" s="0" t="str">
        <f aca="false">IF(N($O325)&gt;0,COUNTIF($O$3:$O325,"&gt;0"),"")</f>
        <v/>
      </c>
      <c r="U325" s="0" t="str">
        <f aca="false">IF(AND(N($J325)&gt;0,N($K325)&gt;0),COUNTIFS($J$3:$J325,"&gt;0",$K$3:$K325,"&gt;0"),"")</f>
        <v/>
      </c>
      <c r="V325" s="0" t="str">
        <f aca="false">IF(AND(N($J325)&gt;0,N($K325)=0),COUNTIFS($J$3:$J325,"&gt;0",$K$3:$K325,"&lt;=0"),"")</f>
        <v/>
      </c>
      <c r="W325" s="0" t="str">
        <f aca="false">IF($C325="","",IF(COUNTIF($C$3:$C325,$C325)&gt;1,"",MAX($W$2:W324)+1))</f>
        <v/>
      </c>
      <c r="X325" s="0" t="str">
        <f aca="false">IF($H325="","",IF(COUNTIF($H$3:$H325,$H325)&gt;1,"",MAX($X$2:X324)+1))</f>
        <v/>
      </c>
      <c r="Y325" s="0" t="str">
        <f aca="false">IF(AND(N($M325)&gt;0,N($O325)&lt;=0),COUNTIFS($M$3:$M325,"&gt;0",$O$3:$O325,"&lt;=0"),"")</f>
        <v/>
      </c>
      <c r="Z325" s="30" t="n">
        <f aca="false">IF(OR('THÁNG 8'!$C32="",'THÁNG 8'!$B32=""),0,'THÁNG 8'!$B32)</f>
        <v>0</v>
      </c>
    </row>
    <row r="326" customFormat="false" ht="15" hidden="false" customHeight="false" outlineLevel="0" collapsed="false">
      <c r="A326" s="0" t="n">
        <v>8</v>
      </c>
      <c r="B326" s="29" t="str">
        <f aca="false">IF(OR('THÁNG 8'!$C33="",'THÁNG 8'!$B33=""),"",'THÁNG 8'!$B33)</f>
        <v/>
      </c>
      <c r="C326" s="0" t="str">
        <f aca="false">IF('THÁNG 8'!$C33="","",'THÁNG 8'!$C33)</f>
        <v/>
      </c>
      <c r="D326" s="0" t="str">
        <f aca="false">IF('THÁNG 8'!$C33="","",'THÁNG 8'!$D33&amp;"")</f>
        <v/>
      </c>
      <c r="E326" s="0" t="str">
        <f aca="false">IF('THÁNG 8'!$C33="","",'THÁNG 8'!$E33&amp;"")</f>
        <v/>
      </c>
      <c r="F326" s="0" t="str">
        <f aca="false">IF('THÁNG 8'!$C33="","",'THÁNG 8'!$F33&amp;"")</f>
        <v/>
      </c>
      <c r="G326" s="0" t="str">
        <f aca="false">IF('THÁNG 8'!$C33="","",'THÁNG 8'!$G33&amp;"")</f>
        <v/>
      </c>
      <c r="H326" s="0" t="str">
        <f aca="false">IF('THÁNG 8'!$C33="","",'THÁNG 8'!$H33&amp;"")</f>
        <v/>
      </c>
      <c r="I326" s="0" t="str">
        <f aca="false">IF('THÁNG 8'!$C33="","",N('THÁNG 8'!$I33))</f>
        <v/>
      </c>
      <c r="J326" s="0" t="str">
        <f aca="false">IF('THÁNG 8'!$C33="","",N('THÁNG 8'!$L33))</f>
        <v/>
      </c>
      <c r="K326" s="0" t="str">
        <f aca="false">IF('THÁNG 8'!$C33="","",N('THÁNG 8'!$N33))</f>
        <v/>
      </c>
      <c r="L326" s="0" t="str">
        <f aca="false">IF('THÁNG 8'!$C33="","",N('THÁNG 8'!$O33))</f>
        <v/>
      </c>
      <c r="M326" s="0" t="str">
        <f aca="false">IF('THÁNG 8'!$C33="","",N('THÁNG 8'!$P33))</f>
        <v/>
      </c>
      <c r="N326" s="0" t="str">
        <f aca="false">IF('THÁNG 8'!$C33="","",N('THÁNG 8'!$Q33))</f>
        <v/>
      </c>
      <c r="O326" s="0" t="str">
        <f aca="false">IF('THÁNG 8'!$C33="","",N('THÁNG 8'!$R33))</f>
        <v/>
      </c>
      <c r="P326" s="0" t="str">
        <f aca="false">IF(OR('THÁNG 8'!$C33="",'THÁNG 8'!$T33=""),"",'THÁNG 8'!$T33)</f>
        <v/>
      </c>
      <c r="Q326" s="0" t="str">
        <f aca="false">IF(OR('THÁNG 8'!$C33="",'THÁNG 8'!$U33=""),"",'THÁNG 8'!$U33)</f>
        <v/>
      </c>
      <c r="R326" s="0" t="str">
        <f aca="false">IF('THÁNG 8'!$C33="","",'THÁNG 8'!$W33&amp;"")</f>
        <v/>
      </c>
      <c r="S326" s="0" t="str">
        <f aca="false">IF('THÁNG 8'!$C33="","",'THÁNG 8'!$S33&amp;"")</f>
        <v/>
      </c>
      <c r="T326" s="0" t="str">
        <f aca="false">IF(N($O326)&gt;0,COUNTIF($O$3:$O326,"&gt;0"),"")</f>
        <v/>
      </c>
      <c r="U326" s="0" t="str">
        <f aca="false">IF(AND(N($J326)&gt;0,N($K326)&gt;0),COUNTIFS($J$3:$J326,"&gt;0",$K$3:$K326,"&gt;0"),"")</f>
        <v/>
      </c>
      <c r="V326" s="0" t="str">
        <f aca="false">IF(AND(N($J326)&gt;0,N($K326)=0),COUNTIFS($J$3:$J326,"&gt;0",$K$3:$K326,"&lt;=0"),"")</f>
        <v/>
      </c>
      <c r="W326" s="0" t="str">
        <f aca="false">IF($C326="","",IF(COUNTIF($C$3:$C326,$C326)&gt;1,"",MAX($W$2:W325)+1))</f>
        <v/>
      </c>
      <c r="X326" s="0" t="str">
        <f aca="false">IF($H326="","",IF(COUNTIF($H$3:$H326,$H326)&gt;1,"",MAX($X$2:X325)+1))</f>
        <v/>
      </c>
      <c r="Y326" s="0" t="str">
        <f aca="false">IF(AND(N($M326)&gt;0,N($O326)&lt;=0),COUNTIFS($M$3:$M326,"&gt;0",$O$3:$O326,"&lt;=0"),"")</f>
        <v/>
      </c>
      <c r="Z326" s="30" t="n">
        <f aca="false">IF(OR('THÁNG 8'!$C33="",'THÁNG 8'!$B33=""),0,'THÁNG 8'!$B33)</f>
        <v>0</v>
      </c>
    </row>
    <row r="327" customFormat="false" ht="15" hidden="false" customHeight="false" outlineLevel="0" collapsed="false">
      <c r="A327" s="0" t="n">
        <v>8</v>
      </c>
      <c r="B327" s="29" t="str">
        <f aca="false">IF(OR('THÁNG 8'!$C34="",'THÁNG 8'!$B34=""),"",'THÁNG 8'!$B34)</f>
        <v/>
      </c>
      <c r="C327" s="0" t="str">
        <f aca="false">IF('THÁNG 8'!$C34="","",'THÁNG 8'!$C34)</f>
        <v/>
      </c>
      <c r="D327" s="0" t="str">
        <f aca="false">IF('THÁNG 8'!$C34="","",'THÁNG 8'!$D34&amp;"")</f>
        <v/>
      </c>
      <c r="E327" s="0" t="str">
        <f aca="false">IF('THÁNG 8'!$C34="","",'THÁNG 8'!$E34&amp;"")</f>
        <v/>
      </c>
      <c r="F327" s="0" t="str">
        <f aca="false">IF('THÁNG 8'!$C34="","",'THÁNG 8'!$F34&amp;"")</f>
        <v/>
      </c>
      <c r="G327" s="0" t="str">
        <f aca="false">IF('THÁNG 8'!$C34="","",'THÁNG 8'!$G34&amp;"")</f>
        <v/>
      </c>
      <c r="H327" s="0" t="str">
        <f aca="false">IF('THÁNG 8'!$C34="","",'THÁNG 8'!$H34&amp;"")</f>
        <v/>
      </c>
      <c r="I327" s="0" t="str">
        <f aca="false">IF('THÁNG 8'!$C34="","",N('THÁNG 8'!$I34))</f>
        <v/>
      </c>
      <c r="J327" s="0" t="str">
        <f aca="false">IF('THÁNG 8'!$C34="","",N('THÁNG 8'!$L34))</f>
        <v/>
      </c>
      <c r="K327" s="0" t="str">
        <f aca="false">IF('THÁNG 8'!$C34="","",N('THÁNG 8'!$N34))</f>
        <v/>
      </c>
      <c r="L327" s="0" t="str">
        <f aca="false">IF('THÁNG 8'!$C34="","",N('THÁNG 8'!$O34))</f>
        <v/>
      </c>
      <c r="M327" s="0" t="str">
        <f aca="false">IF('THÁNG 8'!$C34="","",N('THÁNG 8'!$P34))</f>
        <v/>
      </c>
      <c r="N327" s="0" t="str">
        <f aca="false">IF('THÁNG 8'!$C34="","",N('THÁNG 8'!$Q34))</f>
        <v/>
      </c>
      <c r="O327" s="0" t="str">
        <f aca="false">IF('THÁNG 8'!$C34="","",N('THÁNG 8'!$R34))</f>
        <v/>
      </c>
      <c r="P327" s="0" t="str">
        <f aca="false">IF(OR('THÁNG 8'!$C34="",'THÁNG 8'!$T34=""),"",'THÁNG 8'!$T34)</f>
        <v/>
      </c>
      <c r="Q327" s="0" t="str">
        <f aca="false">IF(OR('THÁNG 8'!$C34="",'THÁNG 8'!$U34=""),"",'THÁNG 8'!$U34)</f>
        <v/>
      </c>
      <c r="R327" s="0" t="str">
        <f aca="false">IF('THÁNG 8'!$C34="","",'THÁNG 8'!$W34&amp;"")</f>
        <v/>
      </c>
      <c r="S327" s="0" t="str">
        <f aca="false">IF('THÁNG 8'!$C34="","",'THÁNG 8'!$S34&amp;"")</f>
        <v/>
      </c>
      <c r="T327" s="0" t="str">
        <f aca="false">IF(N($O327)&gt;0,COUNTIF($O$3:$O327,"&gt;0"),"")</f>
        <v/>
      </c>
      <c r="U327" s="0" t="str">
        <f aca="false">IF(AND(N($J327)&gt;0,N($K327)&gt;0),COUNTIFS($J$3:$J327,"&gt;0",$K$3:$K327,"&gt;0"),"")</f>
        <v/>
      </c>
      <c r="V327" s="0" t="str">
        <f aca="false">IF(AND(N($J327)&gt;0,N($K327)=0),COUNTIFS($J$3:$J327,"&gt;0",$K$3:$K327,"&lt;=0"),"")</f>
        <v/>
      </c>
      <c r="W327" s="0" t="str">
        <f aca="false">IF($C327="","",IF(COUNTIF($C$3:$C327,$C327)&gt;1,"",MAX($W$2:W326)+1))</f>
        <v/>
      </c>
      <c r="X327" s="0" t="str">
        <f aca="false">IF($H327="","",IF(COUNTIF($H$3:$H327,$H327)&gt;1,"",MAX($X$2:X326)+1))</f>
        <v/>
      </c>
      <c r="Y327" s="0" t="str">
        <f aca="false">IF(AND(N($M327)&gt;0,N($O327)&lt;=0),COUNTIFS($M$3:$M327,"&gt;0",$O$3:$O327,"&lt;=0"),"")</f>
        <v/>
      </c>
      <c r="Z327" s="30" t="n">
        <f aca="false">IF(OR('THÁNG 8'!$C34="",'THÁNG 8'!$B34=""),0,'THÁNG 8'!$B34)</f>
        <v>0</v>
      </c>
    </row>
    <row r="328" customFormat="false" ht="15" hidden="false" customHeight="false" outlineLevel="0" collapsed="false">
      <c r="A328" s="0" t="n">
        <v>8</v>
      </c>
      <c r="B328" s="29" t="str">
        <f aca="false">IF(OR('THÁNG 8'!$C35="",'THÁNG 8'!$B35=""),"",'THÁNG 8'!$B35)</f>
        <v/>
      </c>
      <c r="C328" s="0" t="str">
        <f aca="false">IF('THÁNG 8'!$C35="","",'THÁNG 8'!$C35)</f>
        <v/>
      </c>
      <c r="D328" s="0" t="str">
        <f aca="false">IF('THÁNG 8'!$C35="","",'THÁNG 8'!$D35&amp;"")</f>
        <v/>
      </c>
      <c r="E328" s="0" t="str">
        <f aca="false">IF('THÁNG 8'!$C35="","",'THÁNG 8'!$E35&amp;"")</f>
        <v/>
      </c>
      <c r="F328" s="0" t="str">
        <f aca="false">IF('THÁNG 8'!$C35="","",'THÁNG 8'!$F35&amp;"")</f>
        <v/>
      </c>
      <c r="G328" s="0" t="str">
        <f aca="false">IF('THÁNG 8'!$C35="","",'THÁNG 8'!$G35&amp;"")</f>
        <v/>
      </c>
      <c r="H328" s="0" t="str">
        <f aca="false">IF('THÁNG 8'!$C35="","",'THÁNG 8'!$H35&amp;"")</f>
        <v/>
      </c>
      <c r="I328" s="0" t="str">
        <f aca="false">IF('THÁNG 8'!$C35="","",N('THÁNG 8'!$I35))</f>
        <v/>
      </c>
      <c r="J328" s="0" t="str">
        <f aca="false">IF('THÁNG 8'!$C35="","",N('THÁNG 8'!$L35))</f>
        <v/>
      </c>
      <c r="K328" s="0" t="str">
        <f aca="false">IF('THÁNG 8'!$C35="","",N('THÁNG 8'!$N35))</f>
        <v/>
      </c>
      <c r="L328" s="0" t="str">
        <f aca="false">IF('THÁNG 8'!$C35="","",N('THÁNG 8'!$O35))</f>
        <v/>
      </c>
      <c r="M328" s="0" t="str">
        <f aca="false">IF('THÁNG 8'!$C35="","",N('THÁNG 8'!$P35))</f>
        <v/>
      </c>
      <c r="N328" s="0" t="str">
        <f aca="false">IF('THÁNG 8'!$C35="","",N('THÁNG 8'!$Q35))</f>
        <v/>
      </c>
      <c r="O328" s="0" t="str">
        <f aca="false">IF('THÁNG 8'!$C35="","",N('THÁNG 8'!$R35))</f>
        <v/>
      </c>
      <c r="P328" s="0" t="str">
        <f aca="false">IF(OR('THÁNG 8'!$C35="",'THÁNG 8'!$T35=""),"",'THÁNG 8'!$T35)</f>
        <v/>
      </c>
      <c r="Q328" s="0" t="str">
        <f aca="false">IF(OR('THÁNG 8'!$C35="",'THÁNG 8'!$U35=""),"",'THÁNG 8'!$U35)</f>
        <v/>
      </c>
      <c r="R328" s="0" t="str">
        <f aca="false">IF('THÁNG 8'!$C35="","",'THÁNG 8'!$W35&amp;"")</f>
        <v/>
      </c>
      <c r="S328" s="0" t="str">
        <f aca="false">IF('THÁNG 8'!$C35="","",'THÁNG 8'!$S35&amp;"")</f>
        <v/>
      </c>
      <c r="T328" s="0" t="str">
        <f aca="false">IF(N($O328)&gt;0,COUNTIF($O$3:$O328,"&gt;0"),"")</f>
        <v/>
      </c>
      <c r="U328" s="0" t="str">
        <f aca="false">IF(AND(N($J328)&gt;0,N($K328)&gt;0),COUNTIFS($J$3:$J328,"&gt;0",$K$3:$K328,"&gt;0"),"")</f>
        <v/>
      </c>
      <c r="V328" s="0" t="str">
        <f aca="false">IF(AND(N($J328)&gt;0,N($K328)=0),COUNTIFS($J$3:$J328,"&gt;0",$K$3:$K328,"&lt;=0"),"")</f>
        <v/>
      </c>
      <c r="W328" s="0" t="str">
        <f aca="false">IF($C328="","",IF(COUNTIF($C$3:$C328,$C328)&gt;1,"",MAX($W$2:W327)+1))</f>
        <v/>
      </c>
      <c r="X328" s="0" t="str">
        <f aca="false">IF($H328="","",IF(COUNTIF($H$3:$H328,$H328)&gt;1,"",MAX($X$2:X327)+1))</f>
        <v/>
      </c>
      <c r="Y328" s="0" t="str">
        <f aca="false">IF(AND(N($M328)&gt;0,N($O328)&lt;=0),COUNTIFS($M$3:$M328,"&gt;0",$O$3:$O328,"&lt;=0"),"")</f>
        <v/>
      </c>
      <c r="Z328" s="30" t="n">
        <f aca="false">IF(OR('THÁNG 8'!$C35="",'THÁNG 8'!$B35=""),0,'THÁNG 8'!$B35)</f>
        <v>0</v>
      </c>
    </row>
    <row r="329" customFormat="false" ht="15" hidden="false" customHeight="false" outlineLevel="0" collapsed="false">
      <c r="A329" s="0" t="n">
        <v>8</v>
      </c>
      <c r="B329" s="29" t="str">
        <f aca="false">IF(OR('THÁNG 8'!$C36="",'THÁNG 8'!$B36=""),"",'THÁNG 8'!$B36)</f>
        <v/>
      </c>
      <c r="C329" s="0" t="str">
        <f aca="false">IF('THÁNG 8'!$C36="","",'THÁNG 8'!$C36)</f>
        <v/>
      </c>
      <c r="D329" s="0" t="str">
        <f aca="false">IF('THÁNG 8'!$C36="","",'THÁNG 8'!$D36&amp;"")</f>
        <v/>
      </c>
      <c r="E329" s="0" t="str">
        <f aca="false">IF('THÁNG 8'!$C36="","",'THÁNG 8'!$E36&amp;"")</f>
        <v/>
      </c>
      <c r="F329" s="0" t="str">
        <f aca="false">IF('THÁNG 8'!$C36="","",'THÁNG 8'!$F36&amp;"")</f>
        <v/>
      </c>
      <c r="G329" s="0" t="str">
        <f aca="false">IF('THÁNG 8'!$C36="","",'THÁNG 8'!$G36&amp;"")</f>
        <v/>
      </c>
      <c r="H329" s="0" t="str">
        <f aca="false">IF('THÁNG 8'!$C36="","",'THÁNG 8'!$H36&amp;"")</f>
        <v/>
      </c>
      <c r="I329" s="0" t="str">
        <f aca="false">IF('THÁNG 8'!$C36="","",N('THÁNG 8'!$I36))</f>
        <v/>
      </c>
      <c r="J329" s="0" t="str">
        <f aca="false">IF('THÁNG 8'!$C36="","",N('THÁNG 8'!$L36))</f>
        <v/>
      </c>
      <c r="K329" s="0" t="str">
        <f aca="false">IF('THÁNG 8'!$C36="","",N('THÁNG 8'!$N36))</f>
        <v/>
      </c>
      <c r="L329" s="0" t="str">
        <f aca="false">IF('THÁNG 8'!$C36="","",N('THÁNG 8'!$O36))</f>
        <v/>
      </c>
      <c r="M329" s="0" t="str">
        <f aca="false">IF('THÁNG 8'!$C36="","",N('THÁNG 8'!$P36))</f>
        <v/>
      </c>
      <c r="N329" s="0" t="str">
        <f aca="false">IF('THÁNG 8'!$C36="","",N('THÁNG 8'!$Q36))</f>
        <v/>
      </c>
      <c r="O329" s="0" t="str">
        <f aca="false">IF('THÁNG 8'!$C36="","",N('THÁNG 8'!$R36))</f>
        <v/>
      </c>
      <c r="P329" s="0" t="str">
        <f aca="false">IF(OR('THÁNG 8'!$C36="",'THÁNG 8'!$T36=""),"",'THÁNG 8'!$T36)</f>
        <v/>
      </c>
      <c r="Q329" s="0" t="str">
        <f aca="false">IF(OR('THÁNG 8'!$C36="",'THÁNG 8'!$U36=""),"",'THÁNG 8'!$U36)</f>
        <v/>
      </c>
      <c r="R329" s="0" t="str">
        <f aca="false">IF('THÁNG 8'!$C36="","",'THÁNG 8'!$W36&amp;"")</f>
        <v/>
      </c>
      <c r="S329" s="0" t="str">
        <f aca="false">IF('THÁNG 8'!$C36="","",'THÁNG 8'!$S36&amp;"")</f>
        <v/>
      </c>
      <c r="T329" s="0" t="str">
        <f aca="false">IF(N($O329)&gt;0,COUNTIF($O$3:$O329,"&gt;0"),"")</f>
        <v/>
      </c>
      <c r="U329" s="0" t="str">
        <f aca="false">IF(AND(N($J329)&gt;0,N($K329)&gt;0),COUNTIFS($J$3:$J329,"&gt;0",$K$3:$K329,"&gt;0"),"")</f>
        <v/>
      </c>
      <c r="V329" s="0" t="str">
        <f aca="false">IF(AND(N($J329)&gt;0,N($K329)=0),COUNTIFS($J$3:$J329,"&gt;0",$K$3:$K329,"&lt;=0"),"")</f>
        <v/>
      </c>
      <c r="W329" s="0" t="str">
        <f aca="false">IF($C329="","",IF(COUNTIF($C$3:$C329,$C329)&gt;1,"",MAX($W$2:W328)+1))</f>
        <v/>
      </c>
      <c r="X329" s="0" t="str">
        <f aca="false">IF($H329="","",IF(COUNTIF($H$3:$H329,$H329)&gt;1,"",MAX($X$2:X328)+1))</f>
        <v/>
      </c>
      <c r="Y329" s="0" t="str">
        <f aca="false">IF(AND(N($M329)&gt;0,N($O329)&lt;=0),COUNTIFS($M$3:$M329,"&gt;0",$O$3:$O329,"&lt;=0"),"")</f>
        <v/>
      </c>
      <c r="Z329" s="30" t="n">
        <f aca="false">IF(OR('THÁNG 8'!$C36="",'THÁNG 8'!$B36=""),0,'THÁNG 8'!$B36)</f>
        <v>0</v>
      </c>
    </row>
    <row r="330" customFormat="false" ht="15" hidden="false" customHeight="false" outlineLevel="0" collapsed="false">
      <c r="A330" s="0" t="n">
        <v>8</v>
      </c>
      <c r="B330" s="29" t="str">
        <f aca="false">IF(OR('THÁNG 8'!$C37="",'THÁNG 8'!$B37=""),"",'THÁNG 8'!$B37)</f>
        <v/>
      </c>
      <c r="C330" s="0" t="str">
        <f aca="false">IF('THÁNG 8'!$C37="","",'THÁNG 8'!$C37)</f>
        <v/>
      </c>
      <c r="D330" s="0" t="str">
        <f aca="false">IF('THÁNG 8'!$C37="","",'THÁNG 8'!$D37&amp;"")</f>
        <v/>
      </c>
      <c r="E330" s="0" t="str">
        <f aca="false">IF('THÁNG 8'!$C37="","",'THÁNG 8'!$E37&amp;"")</f>
        <v/>
      </c>
      <c r="F330" s="0" t="str">
        <f aca="false">IF('THÁNG 8'!$C37="","",'THÁNG 8'!$F37&amp;"")</f>
        <v/>
      </c>
      <c r="G330" s="0" t="str">
        <f aca="false">IF('THÁNG 8'!$C37="","",'THÁNG 8'!$G37&amp;"")</f>
        <v/>
      </c>
      <c r="H330" s="0" t="str">
        <f aca="false">IF('THÁNG 8'!$C37="","",'THÁNG 8'!$H37&amp;"")</f>
        <v/>
      </c>
      <c r="I330" s="0" t="str">
        <f aca="false">IF('THÁNG 8'!$C37="","",N('THÁNG 8'!$I37))</f>
        <v/>
      </c>
      <c r="J330" s="0" t="str">
        <f aca="false">IF('THÁNG 8'!$C37="","",N('THÁNG 8'!$L37))</f>
        <v/>
      </c>
      <c r="K330" s="0" t="str">
        <f aca="false">IF('THÁNG 8'!$C37="","",N('THÁNG 8'!$N37))</f>
        <v/>
      </c>
      <c r="L330" s="0" t="str">
        <f aca="false">IF('THÁNG 8'!$C37="","",N('THÁNG 8'!$O37))</f>
        <v/>
      </c>
      <c r="M330" s="0" t="str">
        <f aca="false">IF('THÁNG 8'!$C37="","",N('THÁNG 8'!$P37))</f>
        <v/>
      </c>
      <c r="N330" s="0" t="str">
        <f aca="false">IF('THÁNG 8'!$C37="","",N('THÁNG 8'!$Q37))</f>
        <v/>
      </c>
      <c r="O330" s="0" t="str">
        <f aca="false">IF('THÁNG 8'!$C37="","",N('THÁNG 8'!$R37))</f>
        <v/>
      </c>
      <c r="P330" s="0" t="str">
        <f aca="false">IF(OR('THÁNG 8'!$C37="",'THÁNG 8'!$T37=""),"",'THÁNG 8'!$T37)</f>
        <v/>
      </c>
      <c r="Q330" s="0" t="str">
        <f aca="false">IF(OR('THÁNG 8'!$C37="",'THÁNG 8'!$U37=""),"",'THÁNG 8'!$U37)</f>
        <v/>
      </c>
      <c r="R330" s="0" t="str">
        <f aca="false">IF('THÁNG 8'!$C37="","",'THÁNG 8'!$W37&amp;"")</f>
        <v/>
      </c>
      <c r="S330" s="0" t="str">
        <f aca="false">IF('THÁNG 8'!$C37="","",'THÁNG 8'!$S37&amp;"")</f>
        <v/>
      </c>
      <c r="T330" s="0" t="str">
        <f aca="false">IF(N($O330)&gt;0,COUNTIF($O$3:$O330,"&gt;0"),"")</f>
        <v/>
      </c>
      <c r="U330" s="0" t="str">
        <f aca="false">IF(AND(N($J330)&gt;0,N($K330)&gt;0),COUNTIFS($J$3:$J330,"&gt;0",$K$3:$K330,"&gt;0"),"")</f>
        <v/>
      </c>
      <c r="V330" s="0" t="str">
        <f aca="false">IF(AND(N($J330)&gt;0,N($K330)=0),COUNTIFS($J$3:$J330,"&gt;0",$K$3:$K330,"&lt;=0"),"")</f>
        <v/>
      </c>
      <c r="W330" s="0" t="str">
        <f aca="false">IF($C330="","",IF(COUNTIF($C$3:$C330,$C330)&gt;1,"",MAX($W$2:W329)+1))</f>
        <v/>
      </c>
      <c r="X330" s="0" t="str">
        <f aca="false">IF($H330="","",IF(COUNTIF($H$3:$H330,$H330)&gt;1,"",MAX($X$2:X329)+1))</f>
        <v/>
      </c>
      <c r="Y330" s="0" t="str">
        <f aca="false">IF(AND(N($M330)&gt;0,N($O330)&lt;=0),COUNTIFS($M$3:$M330,"&gt;0",$O$3:$O330,"&lt;=0"),"")</f>
        <v/>
      </c>
      <c r="Z330" s="30" t="n">
        <f aca="false">IF(OR('THÁNG 8'!$C37="",'THÁNG 8'!$B37=""),0,'THÁNG 8'!$B37)</f>
        <v>0</v>
      </c>
    </row>
    <row r="331" customFormat="false" ht="15" hidden="false" customHeight="false" outlineLevel="0" collapsed="false">
      <c r="A331" s="0" t="n">
        <v>8</v>
      </c>
      <c r="B331" s="29" t="str">
        <f aca="false">IF(OR('THÁNG 8'!$C38="",'THÁNG 8'!$B38=""),"",'THÁNG 8'!$B38)</f>
        <v/>
      </c>
      <c r="C331" s="0" t="str">
        <f aca="false">IF('THÁNG 8'!$C38="","",'THÁNG 8'!$C38)</f>
        <v/>
      </c>
      <c r="D331" s="0" t="str">
        <f aca="false">IF('THÁNG 8'!$C38="","",'THÁNG 8'!$D38&amp;"")</f>
        <v/>
      </c>
      <c r="E331" s="0" t="str">
        <f aca="false">IF('THÁNG 8'!$C38="","",'THÁNG 8'!$E38&amp;"")</f>
        <v/>
      </c>
      <c r="F331" s="0" t="str">
        <f aca="false">IF('THÁNG 8'!$C38="","",'THÁNG 8'!$F38&amp;"")</f>
        <v/>
      </c>
      <c r="G331" s="0" t="str">
        <f aca="false">IF('THÁNG 8'!$C38="","",'THÁNG 8'!$G38&amp;"")</f>
        <v/>
      </c>
      <c r="H331" s="0" t="str">
        <f aca="false">IF('THÁNG 8'!$C38="","",'THÁNG 8'!$H38&amp;"")</f>
        <v/>
      </c>
      <c r="I331" s="0" t="str">
        <f aca="false">IF('THÁNG 8'!$C38="","",N('THÁNG 8'!$I38))</f>
        <v/>
      </c>
      <c r="J331" s="0" t="str">
        <f aca="false">IF('THÁNG 8'!$C38="","",N('THÁNG 8'!$L38))</f>
        <v/>
      </c>
      <c r="K331" s="0" t="str">
        <f aca="false">IF('THÁNG 8'!$C38="","",N('THÁNG 8'!$N38))</f>
        <v/>
      </c>
      <c r="L331" s="0" t="str">
        <f aca="false">IF('THÁNG 8'!$C38="","",N('THÁNG 8'!$O38))</f>
        <v/>
      </c>
      <c r="M331" s="0" t="str">
        <f aca="false">IF('THÁNG 8'!$C38="","",N('THÁNG 8'!$P38))</f>
        <v/>
      </c>
      <c r="N331" s="0" t="str">
        <f aca="false">IF('THÁNG 8'!$C38="","",N('THÁNG 8'!$Q38))</f>
        <v/>
      </c>
      <c r="O331" s="0" t="str">
        <f aca="false">IF('THÁNG 8'!$C38="","",N('THÁNG 8'!$R38))</f>
        <v/>
      </c>
      <c r="P331" s="0" t="str">
        <f aca="false">IF(OR('THÁNG 8'!$C38="",'THÁNG 8'!$T38=""),"",'THÁNG 8'!$T38)</f>
        <v/>
      </c>
      <c r="Q331" s="0" t="str">
        <f aca="false">IF(OR('THÁNG 8'!$C38="",'THÁNG 8'!$U38=""),"",'THÁNG 8'!$U38)</f>
        <v/>
      </c>
      <c r="R331" s="0" t="str">
        <f aca="false">IF('THÁNG 8'!$C38="","",'THÁNG 8'!$W38&amp;"")</f>
        <v/>
      </c>
      <c r="S331" s="0" t="str">
        <f aca="false">IF('THÁNG 8'!$C38="","",'THÁNG 8'!$S38&amp;"")</f>
        <v/>
      </c>
      <c r="T331" s="0" t="str">
        <f aca="false">IF(N($O331)&gt;0,COUNTIF($O$3:$O331,"&gt;0"),"")</f>
        <v/>
      </c>
      <c r="U331" s="0" t="str">
        <f aca="false">IF(AND(N($J331)&gt;0,N($K331)&gt;0),COUNTIFS($J$3:$J331,"&gt;0",$K$3:$K331,"&gt;0"),"")</f>
        <v/>
      </c>
      <c r="V331" s="0" t="str">
        <f aca="false">IF(AND(N($J331)&gt;0,N($K331)=0),COUNTIFS($J$3:$J331,"&gt;0",$K$3:$K331,"&lt;=0"),"")</f>
        <v/>
      </c>
      <c r="W331" s="0" t="str">
        <f aca="false">IF($C331="","",IF(COUNTIF($C$3:$C331,$C331)&gt;1,"",MAX($W$2:W330)+1))</f>
        <v/>
      </c>
      <c r="X331" s="0" t="str">
        <f aca="false">IF($H331="","",IF(COUNTIF($H$3:$H331,$H331)&gt;1,"",MAX($X$2:X330)+1))</f>
        <v/>
      </c>
      <c r="Y331" s="0" t="str">
        <f aca="false">IF(AND(N($M331)&gt;0,N($O331)&lt;=0),COUNTIFS($M$3:$M331,"&gt;0",$O$3:$O331,"&lt;=0"),"")</f>
        <v/>
      </c>
      <c r="Z331" s="30" t="n">
        <f aca="false">IF(OR('THÁNG 8'!$C38="",'THÁNG 8'!$B38=""),0,'THÁNG 8'!$B38)</f>
        <v>0</v>
      </c>
    </row>
    <row r="332" customFormat="false" ht="15" hidden="false" customHeight="false" outlineLevel="0" collapsed="false">
      <c r="A332" s="0" t="n">
        <v>8</v>
      </c>
      <c r="B332" s="29" t="str">
        <f aca="false">IF(OR('THÁNG 8'!$C39="",'THÁNG 8'!$B39=""),"",'THÁNG 8'!$B39)</f>
        <v/>
      </c>
      <c r="C332" s="0" t="str">
        <f aca="false">IF('THÁNG 8'!$C39="","",'THÁNG 8'!$C39)</f>
        <v/>
      </c>
      <c r="D332" s="0" t="str">
        <f aca="false">IF('THÁNG 8'!$C39="","",'THÁNG 8'!$D39&amp;"")</f>
        <v/>
      </c>
      <c r="E332" s="0" t="str">
        <f aca="false">IF('THÁNG 8'!$C39="","",'THÁNG 8'!$E39&amp;"")</f>
        <v/>
      </c>
      <c r="F332" s="0" t="str">
        <f aca="false">IF('THÁNG 8'!$C39="","",'THÁNG 8'!$F39&amp;"")</f>
        <v/>
      </c>
      <c r="G332" s="0" t="str">
        <f aca="false">IF('THÁNG 8'!$C39="","",'THÁNG 8'!$G39&amp;"")</f>
        <v/>
      </c>
      <c r="H332" s="0" t="str">
        <f aca="false">IF('THÁNG 8'!$C39="","",'THÁNG 8'!$H39&amp;"")</f>
        <v/>
      </c>
      <c r="I332" s="0" t="str">
        <f aca="false">IF('THÁNG 8'!$C39="","",N('THÁNG 8'!$I39))</f>
        <v/>
      </c>
      <c r="J332" s="0" t="str">
        <f aca="false">IF('THÁNG 8'!$C39="","",N('THÁNG 8'!$L39))</f>
        <v/>
      </c>
      <c r="K332" s="0" t="str">
        <f aca="false">IF('THÁNG 8'!$C39="","",N('THÁNG 8'!$N39))</f>
        <v/>
      </c>
      <c r="L332" s="0" t="str">
        <f aca="false">IF('THÁNG 8'!$C39="","",N('THÁNG 8'!$O39))</f>
        <v/>
      </c>
      <c r="M332" s="0" t="str">
        <f aca="false">IF('THÁNG 8'!$C39="","",N('THÁNG 8'!$P39))</f>
        <v/>
      </c>
      <c r="N332" s="0" t="str">
        <f aca="false">IF('THÁNG 8'!$C39="","",N('THÁNG 8'!$Q39))</f>
        <v/>
      </c>
      <c r="O332" s="0" t="str">
        <f aca="false">IF('THÁNG 8'!$C39="","",N('THÁNG 8'!$R39))</f>
        <v/>
      </c>
      <c r="P332" s="0" t="str">
        <f aca="false">IF(OR('THÁNG 8'!$C39="",'THÁNG 8'!$T39=""),"",'THÁNG 8'!$T39)</f>
        <v/>
      </c>
      <c r="Q332" s="0" t="str">
        <f aca="false">IF(OR('THÁNG 8'!$C39="",'THÁNG 8'!$U39=""),"",'THÁNG 8'!$U39)</f>
        <v/>
      </c>
      <c r="R332" s="0" t="str">
        <f aca="false">IF('THÁNG 8'!$C39="","",'THÁNG 8'!$W39&amp;"")</f>
        <v/>
      </c>
      <c r="S332" s="0" t="str">
        <f aca="false">IF('THÁNG 8'!$C39="","",'THÁNG 8'!$S39&amp;"")</f>
        <v/>
      </c>
      <c r="T332" s="0" t="str">
        <f aca="false">IF(N($O332)&gt;0,COUNTIF($O$3:$O332,"&gt;0"),"")</f>
        <v/>
      </c>
      <c r="U332" s="0" t="str">
        <f aca="false">IF(AND(N($J332)&gt;0,N($K332)&gt;0),COUNTIFS($J$3:$J332,"&gt;0",$K$3:$K332,"&gt;0"),"")</f>
        <v/>
      </c>
      <c r="V332" s="0" t="str">
        <f aca="false">IF(AND(N($J332)&gt;0,N($K332)=0),COUNTIFS($J$3:$J332,"&gt;0",$K$3:$K332,"&lt;=0"),"")</f>
        <v/>
      </c>
      <c r="W332" s="0" t="str">
        <f aca="false">IF($C332="","",IF(COUNTIF($C$3:$C332,$C332)&gt;1,"",MAX($W$2:W331)+1))</f>
        <v/>
      </c>
      <c r="X332" s="0" t="str">
        <f aca="false">IF($H332="","",IF(COUNTIF($H$3:$H332,$H332)&gt;1,"",MAX($X$2:X331)+1))</f>
        <v/>
      </c>
      <c r="Y332" s="0" t="str">
        <f aca="false">IF(AND(N($M332)&gt;0,N($O332)&lt;=0),COUNTIFS($M$3:$M332,"&gt;0",$O$3:$O332,"&lt;=0"),"")</f>
        <v/>
      </c>
      <c r="Z332" s="30" t="n">
        <f aca="false">IF(OR('THÁNG 8'!$C39="",'THÁNG 8'!$B39=""),0,'THÁNG 8'!$B39)</f>
        <v>0</v>
      </c>
    </row>
    <row r="333" customFormat="false" ht="15" hidden="false" customHeight="false" outlineLevel="0" collapsed="false">
      <c r="A333" s="0" t="n">
        <v>8</v>
      </c>
      <c r="B333" s="29" t="str">
        <f aca="false">IF(OR('THÁNG 8'!$C40="",'THÁNG 8'!$B40=""),"",'THÁNG 8'!$B40)</f>
        <v/>
      </c>
      <c r="C333" s="0" t="str">
        <f aca="false">IF('THÁNG 8'!$C40="","",'THÁNG 8'!$C40)</f>
        <v/>
      </c>
      <c r="D333" s="0" t="str">
        <f aca="false">IF('THÁNG 8'!$C40="","",'THÁNG 8'!$D40&amp;"")</f>
        <v/>
      </c>
      <c r="E333" s="0" t="str">
        <f aca="false">IF('THÁNG 8'!$C40="","",'THÁNG 8'!$E40&amp;"")</f>
        <v/>
      </c>
      <c r="F333" s="0" t="str">
        <f aca="false">IF('THÁNG 8'!$C40="","",'THÁNG 8'!$F40&amp;"")</f>
        <v/>
      </c>
      <c r="G333" s="0" t="str">
        <f aca="false">IF('THÁNG 8'!$C40="","",'THÁNG 8'!$G40&amp;"")</f>
        <v/>
      </c>
      <c r="H333" s="0" t="str">
        <f aca="false">IF('THÁNG 8'!$C40="","",'THÁNG 8'!$H40&amp;"")</f>
        <v/>
      </c>
      <c r="I333" s="0" t="str">
        <f aca="false">IF('THÁNG 8'!$C40="","",N('THÁNG 8'!$I40))</f>
        <v/>
      </c>
      <c r="J333" s="0" t="str">
        <f aca="false">IF('THÁNG 8'!$C40="","",N('THÁNG 8'!$L40))</f>
        <v/>
      </c>
      <c r="K333" s="0" t="str">
        <f aca="false">IF('THÁNG 8'!$C40="","",N('THÁNG 8'!$N40))</f>
        <v/>
      </c>
      <c r="L333" s="0" t="str">
        <f aca="false">IF('THÁNG 8'!$C40="","",N('THÁNG 8'!$O40))</f>
        <v/>
      </c>
      <c r="M333" s="0" t="str">
        <f aca="false">IF('THÁNG 8'!$C40="","",N('THÁNG 8'!$P40))</f>
        <v/>
      </c>
      <c r="N333" s="0" t="str">
        <f aca="false">IF('THÁNG 8'!$C40="","",N('THÁNG 8'!$Q40))</f>
        <v/>
      </c>
      <c r="O333" s="0" t="str">
        <f aca="false">IF('THÁNG 8'!$C40="","",N('THÁNG 8'!$R40))</f>
        <v/>
      </c>
      <c r="P333" s="0" t="str">
        <f aca="false">IF(OR('THÁNG 8'!$C40="",'THÁNG 8'!$T40=""),"",'THÁNG 8'!$T40)</f>
        <v/>
      </c>
      <c r="Q333" s="0" t="str">
        <f aca="false">IF(OR('THÁNG 8'!$C40="",'THÁNG 8'!$U40=""),"",'THÁNG 8'!$U40)</f>
        <v/>
      </c>
      <c r="R333" s="0" t="str">
        <f aca="false">IF('THÁNG 8'!$C40="","",'THÁNG 8'!$W40&amp;"")</f>
        <v/>
      </c>
      <c r="S333" s="0" t="str">
        <f aca="false">IF('THÁNG 8'!$C40="","",'THÁNG 8'!$S40&amp;"")</f>
        <v/>
      </c>
      <c r="T333" s="0" t="str">
        <f aca="false">IF(N($O333)&gt;0,COUNTIF($O$3:$O333,"&gt;0"),"")</f>
        <v/>
      </c>
      <c r="U333" s="0" t="str">
        <f aca="false">IF(AND(N($J333)&gt;0,N($K333)&gt;0),COUNTIFS($J$3:$J333,"&gt;0",$K$3:$K333,"&gt;0"),"")</f>
        <v/>
      </c>
      <c r="V333" s="0" t="str">
        <f aca="false">IF(AND(N($J333)&gt;0,N($K333)=0),COUNTIFS($J$3:$J333,"&gt;0",$K$3:$K333,"&lt;=0"),"")</f>
        <v/>
      </c>
      <c r="W333" s="0" t="str">
        <f aca="false">IF($C333="","",IF(COUNTIF($C$3:$C333,$C333)&gt;1,"",MAX($W$2:W332)+1))</f>
        <v/>
      </c>
      <c r="X333" s="0" t="str">
        <f aca="false">IF($H333="","",IF(COUNTIF($H$3:$H333,$H333)&gt;1,"",MAX($X$2:X332)+1))</f>
        <v/>
      </c>
      <c r="Y333" s="0" t="str">
        <f aca="false">IF(AND(N($M333)&gt;0,N($O333)&lt;=0),COUNTIFS($M$3:$M333,"&gt;0",$O$3:$O333,"&lt;=0"),"")</f>
        <v/>
      </c>
      <c r="Z333" s="30" t="n">
        <f aca="false">IF(OR('THÁNG 8'!$C40="",'THÁNG 8'!$B40=""),0,'THÁNG 8'!$B40)</f>
        <v>0</v>
      </c>
    </row>
    <row r="334" customFormat="false" ht="15" hidden="false" customHeight="false" outlineLevel="0" collapsed="false">
      <c r="A334" s="0" t="n">
        <v>8</v>
      </c>
      <c r="B334" s="29" t="str">
        <f aca="false">IF(OR('THÁNG 8'!$C41="",'THÁNG 8'!$B41=""),"",'THÁNG 8'!$B41)</f>
        <v/>
      </c>
      <c r="C334" s="0" t="str">
        <f aca="false">IF('THÁNG 8'!$C41="","",'THÁNG 8'!$C41)</f>
        <v/>
      </c>
      <c r="D334" s="0" t="str">
        <f aca="false">IF('THÁNG 8'!$C41="","",'THÁNG 8'!$D41&amp;"")</f>
        <v/>
      </c>
      <c r="E334" s="0" t="str">
        <f aca="false">IF('THÁNG 8'!$C41="","",'THÁNG 8'!$E41&amp;"")</f>
        <v/>
      </c>
      <c r="F334" s="0" t="str">
        <f aca="false">IF('THÁNG 8'!$C41="","",'THÁNG 8'!$F41&amp;"")</f>
        <v/>
      </c>
      <c r="G334" s="0" t="str">
        <f aca="false">IF('THÁNG 8'!$C41="","",'THÁNG 8'!$G41&amp;"")</f>
        <v/>
      </c>
      <c r="H334" s="0" t="str">
        <f aca="false">IF('THÁNG 8'!$C41="","",'THÁNG 8'!$H41&amp;"")</f>
        <v/>
      </c>
      <c r="I334" s="0" t="str">
        <f aca="false">IF('THÁNG 8'!$C41="","",N('THÁNG 8'!$I41))</f>
        <v/>
      </c>
      <c r="J334" s="0" t="str">
        <f aca="false">IF('THÁNG 8'!$C41="","",N('THÁNG 8'!$L41))</f>
        <v/>
      </c>
      <c r="K334" s="0" t="str">
        <f aca="false">IF('THÁNG 8'!$C41="","",N('THÁNG 8'!$N41))</f>
        <v/>
      </c>
      <c r="L334" s="0" t="str">
        <f aca="false">IF('THÁNG 8'!$C41="","",N('THÁNG 8'!$O41))</f>
        <v/>
      </c>
      <c r="M334" s="0" t="str">
        <f aca="false">IF('THÁNG 8'!$C41="","",N('THÁNG 8'!$P41))</f>
        <v/>
      </c>
      <c r="N334" s="0" t="str">
        <f aca="false">IF('THÁNG 8'!$C41="","",N('THÁNG 8'!$Q41))</f>
        <v/>
      </c>
      <c r="O334" s="0" t="str">
        <f aca="false">IF('THÁNG 8'!$C41="","",N('THÁNG 8'!$R41))</f>
        <v/>
      </c>
      <c r="P334" s="0" t="str">
        <f aca="false">IF(OR('THÁNG 8'!$C41="",'THÁNG 8'!$T41=""),"",'THÁNG 8'!$T41)</f>
        <v/>
      </c>
      <c r="Q334" s="0" t="str">
        <f aca="false">IF(OR('THÁNG 8'!$C41="",'THÁNG 8'!$U41=""),"",'THÁNG 8'!$U41)</f>
        <v/>
      </c>
      <c r="R334" s="0" t="str">
        <f aca="false">IF('THÁNG 8'!$C41="","",'THÁNG 8'!$W41&amp;"")</f>
        <v/>
      </c>
      <c r="S334" s="0" t="str">
        <f aca="false">IF('THÁNG 8'!$C41="","",'THÁNG 8'!$S41&amp;"")</f>
        <v/>
      </c>
      <c r="T334" s="0" t="str">
        <f aca="false">IF(N($O334)&gt;0,COUNTIF($O$3:$O334,"&gt;0"),"")</f>
        <v/>
      </c>
      <c r="U334" s="0" t="str">
        <f aca="false">IF(AND(N($J334)&gt;0,N($K334)&gt;0),COUNTIFS($J$3:$J334,"&gt;0",$K$3:$K334,"&gt;0"),"")</f>
        <v/>
      </c>
      <c r="V334" s="0" t="str">
        <f aca="false">IF(AND(N($J334)&gt;0,N($K334)=0),COUNTIFS($J$3:$J334,"&gt;0",$K$3:$K334,"&lt;=0"),"")</f>
        <v/>
      </c>
      <c r="W334" s="0" t="str">
        <f aca="false">IF($C334="","",IF(COUNTIF($C$3:$C334,$C334)&gt;1,"",MAX($W$2:W333)+1))</f>
        <v/>
      </c>
      <c r="X334" s="0" t="str">
        <f aca="false">IF($H334="","",IF(COUNTIF($H$3:$H334,$H334)&gt;1,"",MAX($X$2:X333)+1))</f>
        <v/>
      </c>
      <c r="Y334" s="0" t="str">
        <f aca="false">IF(AND(N($M334)&gt;0,N($O334)&lt;=0),COUNTIFS($M$3:$M334,"&gt;0",$O$3:$O334,"&lt;=0"),"")</f>
        <v/>
      </c>
      <c r="Z334" s="30" t="n">
        <f aca="false">IF(OR('THÁNG 8'!$C41="",'THÁNG 8'!$B41=""),0,'THÁNG 8'!$B41)</f>
        <v>0</v>
      </c>
    </row>
    <row r="335" customFormat="false" ht="15" hidden="false" customHeight="false" outlineLevel="0" collapsed="false">
      <c r="A335" s="0" t="n">
        <v>8</v>
      </c>
      <c r="B335" s="29" t="str">
        <f aca="false">IF(OR('THÁNG 8'!$C42="",'THÁNG 8'!$B42=""),"",'THÁNG 8'!$B42)</f>
        <v/>
      </c>
      <c r="C335" s="0" t="str">
        <f aca="false">IF('THÁNG 8'!$C42="","",'THÁNG 8'!$C42)</f>
        <v/>
      </c>
      <c r="D335" s="0" t="str">
        <f aca="false">IF('THÁNG 8'!$C42="","",'THÁNG 8'!$D42&amp;"")</f>
        <v/>
      </c>
      <c r="E335" s="0" t="str">
        <f aca="false">IF('THÁNG 8'!$C42="","",'THÁNG 8'!$E42&amp;"")</f>
        <v/>
      </c>
      <c r="F335" s="0" t="str">
        <f aca="false">IF('THÁNG 8'!$C42="","",'THÁNG 8'!$F42&amp;"")</f>
        <v/>
      </c>
      <c r="G335" s="0" t="str">
        <f aca="false">IF('THÁNG 8'!$C42="","",'THÁNG 8'!$G42&amp;"")</f>
        <v/>
      </c>
      <c r="H335" s="0" t="str">
        <f aca="false">IF('THÁNG 8'!$C42="","",'THÁNG 8'!$H42&amp;"")</f>
        <v/>
      </c>
      <c r="I335" s="0" t="str">
        <f aca="false">IF('THÁNG 8'!$C42="","",N('THÁNG 8'!$I42))</f>
        <v/>
      </c>
      <c r="J335" s="0" t="str">
        <f aca="false">IF('THÁNG 8'!$C42="","",N('THÁNG 8'!$L42))</f>
        <v/>
      </c>
      <c r="K335" s="0" t="str">
        <f aca="false">IF('THÁNG 8'!$C42="","",N('THÁNG 8'!$N42))</f>
        <v/>
      </c>
      <c r="L335" s="0" t="str">
        <f aca="false">IF('THÁNG 8'!$C42="","",N('THÁNG 8'!$O42))</f>
        <v/>
      </c>
      <c r="M335" s="0" t="str">
        <f aca="false">IF('THÁNG 8'!$C42="","",N('THÁNG 8'!$P42))</f>
        <v/>
      </c>
      <c r="N335" s="0" t="str">
        <f aca="false">IF('THÁNG 8'!$C42="","",N('THÁNG 8'!$Q42))</f>
        <v/>
      </c>
      <c r="O335" s="0" t="str">
        <f aca="false">IF('THÁNG 8'!$C42="","",N('THÁNG 8'!$R42))</f>
        <v/>
      </c>
      <c r="P335" s="0" t="str">
        <f aca="false">IF(OR('THÁNG 8'!$C42="",'THÁNG 8'!$T42=""),"",'THÁNG 8'!$T42)</f>
        <v/>
      </c>
      <c r="Q335" s="0" t="str">
        <f aca="false">IF(OR('THÁNG 8'!$C42="",'THÁNG 8'!$U42=""),"",'THÁNG 8'!$U42)</f>
        <v/>
      </c>
      <c r="R335" s="0" t="str">
        <f aca="false">IF('THÁNG 8'!$C42="","",'THÁNG 8'!$W42&amp;"")</f>
        <v/>
      </c>
      <c r="S335" s="0" t="str">
        <f aca="false">IF('THÁNG 8'!$C42="","",'THÁNG 8'!$S42&amp;"")</f>
        <v/>
      </c>
      <c r="T335" s="0" t="str">
        <f aca="false">IF(N($O335)&gt;0,COUNTIF($O$3:$O335,"&gt;0"),"")</f>
        <v/>
      </c>
      <c r="U335" s="0" t="str">
        <f aca="false">IF(AND(N($J335)&gt;0,N($K335)&gt;0),COUNTIFS($J$3:$J335,"&gt;0",$K$3:$K335,"&gt;0"),"")</f>
        <v/>
      </c>
      <c r="V335" s="0" t="str">
        <f aca="false">IF(AND(N($J335)&gt;0,N($K335)=0),COUNTIFS($J$3:$J335,"&gt;0",$K$3:$K335,"&lt;=0"),"")</f>
        <v/>
      </c>
      <c r="W335" s="0" t="str">
        <f aca="false">IF($C335="","",IF(COUNTIF($C$3:$C335,$C335)&gt;1,"",MAX($W$2:W334)+1))</f>
        <v/>
      </c>
      <c r="X335" s="0" t="str">
        <f aca="false">IF($H335="","",IF(COUNTIF($H$3:$H335,$H335)&gt;1,"",MAX($X$2:X334)+1))</f>
        <v/>
      </c>
      <c r="Y335" s="0" t="str">
        <f aca="false">IF(AND(N($M335)&gt;0,N($O335)&lt;=0),COUNTIFS($M$3:$M335,"&gt;0",$O$3:$O335,"&lt;=0"),"")</f>
        <v/>
      </c>
      <c r="Z335" s="30" t="n">
        <f aca="false">IF(OR('THÁNG 8'!$C42="",'THÁNG 8'!$B42=""),0,'THÁNG 8'!$B42)</f>
        <v>0</v>
      </c>
    </row>
    <row r="336" customFormat="false" ht="15" hidden="false" customHeight="false" outlineLevel="0" collapsed="false">
      <c r="A336" s="0" t="n">
        <v>8</v>
      </c>
      <c r="B336" s="29" t="str">
        <f aca="false">IF(OR('THÁNG 8'!$C43="",'THÁNG 8'!$B43=""),"",'THÁNG 8'!$B43)</f>
        <v/>
      </c>
      <c r="C336" s="0" t="str">
        <f aca="false">IF('THÁNG 8'!$C43="","",'THÁNG 8'!$C43)</f>
        <v/>
      </c>
      <c r="D336" s="0" t="str">
        <f aca="false">IF('THÁNG 8'!$C43="","",'THÁNG 8'!$D43&amp;"")</f>
        <v/>
      </c>
      <c r="E336" s="0" t="str">
        <f aca="false">IF('THÁNG 8'!$C43="","",'THÁNG 8'!$E43&amp;"")</f>
        <v/>
      </c>
      <c r="F336" s="0" t="str">
        <f aca="false">IF('THÁNG 8'!$C43="","",'THÁNG 8'!$F43&amp;"")</f>
        <v/>
      </c>
      <c r="G336" s="0" t="str">
        <f aca="false">IF('THÁNG 8'!$C43="","",'THÁNG 8'!$G43&amp;"")</f>
        <v/>
      </c>
      <c r="H336" s="0" t="str">
        <f aca="false">IF('THÁNG 8'!$C43="","",'THÁNG 8'!$H43&amp;"")</f>
        <v/>
      </c>
      <c r="I336" s="0" t="str">
        <f aca="false">IF('THÁNG 8'!$C43="","",N('THÁNG 8'!$I43))</f>
        <v/>
      </c>
      <c r="J336" s="0" t="str">
        <f aca="false">IF('THÁNG 8'!$C43="","",N('THÁNG 8'!$L43))</f>
        <v/>
      </c>
      <c r="K336" s="0" t="str">
        <f aca="false">IF('THÁNG 8'!$C43="","",N('THÁNG 8'!$N43))</f>
        <v/>
      </c>
      <c r="L336" s="0" t="str">
        <f aca="false">IF('THÁNG 8'!$C43="","",N('THÁNG 8'!$O43))</f>
        <v/>
      </c>
      <c r="M336" s="0" t="str">
        <f aca="false">IF('THÁNG 8'!$C43="","",N('THÁNG 8'!$P43))</f>
        <v/>
      </c>
      <c r="N336" s="0" t="str">
        <f aca="false">IF('THÁNG 8'!$C43="","",N('THÁNG 8'!$Q43))</f>
        <v/>
      </c>
      <c r="O336" s="0" t="str">
        <f aca="false">IF('THÁNG 8'!$C43="","",N('THÁNG 8'!$R43))</f>
        <v/>
      </c>
      <c r="P336" s="0" t="str">
        <f aca="false">IF(OR('THÁNG 8'!$C43="",'THÁNG 8'!$T43=""),"",'THÁNG 8'!$T43)</f>
        <v/>
      </c>
      <c r="Q336" s="0" t="str">
        <f aca="false">IF(OR('THÁNG 8'!$C43="",'THÁNG 8'!$U43=""),"",'THÁNG 8'!$U43)</f>
        <v/>
      </c>
      <c r="R336" s="0" t="str">
        <f aca="false">IF('THÁNG 8'!$C43="","",'THÁNG 8'!$W43&amp;"")</f>
        <v/>
      </c>
      <c r="S336" s="0" t="str">
        <f aca="false">IF('THÁNG 8'!$C43="","",'THÁNG 8'!$S43&amp;"")</f>
        <v/>
      </c>
      <c r="T336" s="0" t="str">
        <f aca="false">IF(N($O336)&gt;0,COUNTIF($O$3:$O336,"&gt;0"),"")</f>
        <v/>
      </c>
      <c r="U336" s="0" t="str">
        <f aca="false">IF(AND(N($J336)&gt;0,N($K336)&gt;0),COUNTIFS($J$3:$J336,"&gt;0",$K$3:$K336,"&gt;0"),"")</f>
        <v/>
      </c>
      <c r="V336" s="0" t="str">
        <f aca="false">IF(AND(N($J336)&gt;0,N($K336)=0),COUNTIFS($J$3:$J336,"&gt;0",$K$3:$K336,"&lt;=0"),"")</f>
        <v/>
      </c>
      <c r="W336" s="0" t="str">
        <f aca="false">IF($C336="","",IF(COUNTIF($C$3:$C336,$C336)&gt;1,"",MAX($W$2:W335)+1))</f>
        <v/>
      </c>
      <c r="X336" s="0" t="str">
        <f aca="false">IF($H336="","",IF(COUNTIF($H$3:$H336,$H336)&gt;1,"",MAX($X$2:X335)+1))</f>
        <v/>
      </c>
      <c r="Y336" s="0" t="str">
        <f aca="false">IF(AND(N($M336)&gt;0,N($O336)&lt;=0),COUNTIFS($M$3:$M336,"&gt;0",$O$3:$O336,"&lt;=0"),"")</f>
        <v/>
      </c>
      <c r="Z336" s="30" t="n">
        <f aca="false">IF(OR('THÁNG 8'!$C43="",'THÁNG 8'!$B43=""),0,'THÁNG 8'!$B43)</f>
        <v>0</v>
      </c>
    </row>
    <row r="337" customFormat="false" ht="15" hidden="false" customHeight="false" outlineLevel="0" collapsed="false">
      <c r="A337" s="0" t="n">
        <v>8</v>
      </c>
      <c r="B337" s="29" t="str">
        <f aca="false">IF(OR('THÁNG 8'!$C44="",'THÁNG 8'!$B44=""),"",'THÁNG 8'!$B44)</f>
        <v/>
      </c>
      <c r="C337" s="0" t="str">
        <f aca="false">IF('THÁNG 8'!$C44="","",'THÁNG 8'!$C44)</f>
        <v/>
      </c>
      <c r="D337" s="0" t="str">
        <f aca="false">IF('THÁNG 8'!$C44="","",'THÁNG 8'!$D44&amp;"")</f>
        <v/>
      </c>
      <c r="E337" s="0" t="str">
        <f aca="false">IF('THÁNG 8'!$C44="","",'THÁNG 8'!$E44&amp;"")</f>
        <v/>
      </c>
      <c r="F337" s="0" t="str">
        <f aca="false">IF('THÁNG 8'!$C44="","",'THÁNG 8'!$F44&amp;"")</f>
        <v/>
      </c>
      <c r="G337" s="0" t="str">
        <f aca="false">IF('THÁNG 8'!$C44="","",'THÁNG 8'!$G44&amp;"")</f>
        <v/>
      </c>
      <c r="H337" s="0" t="str">
        <f aca="false">IF('THÁNG 8'!$C44="","",'THÁNG 8'!$H44&amp;"")</f>
        <v/>
      </c>
      <c r="I337" s="0" t="str">
        <f aca="false">IF('THÁNG 8'!$C44="","",N('THÁNG 8'!$I44))</f>
        <v/>
      </c>
      <c r="J337" s="0" t="str">
        <f aca="false">IF('THÁNG 8'!$C44="","",N('THÁNG 8'!$L44))</f>
        <v/>
      </c>
      <c r="K337" s="0" t="str">
        <f aca="false">IF('THÁNG 8'!$C44="","",N('THÁNG 8'!$N44))</f>
        <v/>
      </c>
      <c r="L337" s="0" t="str">
        <f aca="false">IF('THÁNG 8'!$C44="","",N('THÁNG 8'!$O44))</f>
        <v/>
      </c>
      <c r="M337" s="0" t="str">
        <f aca="false">IF('THÁNG 8'!$C44="","",N('THÁNG 8'!$P44))</f>
        <v/>
      </c>
      <c r="N337" s="0" t="str">
        <f aca="false">IF('THÁNG 8'!$C44="","",N('THÁNG 8'!$Q44))</f>
        <v/>
      </c>
      <c r="O337" s="0" t="str">
        <f aca="false">IF('THÁNG 8'!$C44="","",N('THÁNG 8'!$R44))</f>
        <v/>
      </c>
      <c r="P337" s="0" t="str">
        <f aca="false">IF(OR('THÁNG 8'!$C44="",'THÁNG 8'!$T44=""),"",'THÁNG 8'!$T44)</f>
        <v/>
      </c>
      <c r="Q337" s="0" t="str">
        <f aca="false">IF(OR('THÁNG 8'!$C44="",'THÁNG 8'!$U44=""),"",'THÁNG 8'!$U44)</f>
        <v/>
      </c>
      <c r="R337" s="0" t="str">
        <f aca="false">IF('THÁNG 8'!$C44="","",'THÁNG 8'!$W44&amp;"")</f>
        <v/>
      </c>
      <c r="S337" s="0" t="str">
        <f aca="false">IF('THÁNG 8'!$C44="","",'THÁNG 8'!$S44&amp;"")</f>
        <v/>
      </c>
      <c r="T337" s="0" t="str">
        <f aca="false">IF(N($O337)&gt;0,COUNTIF($O$3:$O337,"&gt;0"),"")</f>
        <v/>
      </c>
      <c r="U337" s="0" t="str">
        <f aca="false">IF(AND(N($J337)&gt;0,N($K337)&gt;0),COUNTIFS($J$3:$J337,"&gt;0",$K$3:$K337,"&gt;0"),"")</f>
        <v/>
      </c>
      <c r="V337" s="0" t="str">
        <f aca="false">IF(AND(N($J337)&gt;0,N($K337)=0),COUNTIFS($J$3:$J337,"&gt;0",$K$3:$K337,"&lt;=0"),"")</f>
        <v/>
      </c>
      <c r="W337" s="0" t="str">
        <f aca="false">IF($C337="","",IF(COUNTIF($C$3:$C337,$C337)&gt;1,"",MAX($W$2:W336)+1))</f>
        <v/>
      </c>
      <c r="X337" s="0" t="str">
        <f aca="false">IF($H337="","",IF(COUNTIF($H$3:$H337,$H337)&gt;1,"",MAX($X$2:X336)+1))</f>
        <v/>
      </c>
      <c r="Y337" s="0" t="str">
        <f aca="false">IF(AND(N($M337)&gt;0,N($O337)&lt;=0),COUNTIFS($M$3:$M337,"&gt;0",$O$3:$O337,"&lt;=0"),"")</f>
        <v/>
      </c>
      <c r="Z337" s="30" t="n">
        <f aca="false">IF(OR('THÁNG 8'!$C44="",'THÁNG 8'!$B44=""),0,'THÁNG 8'!$B44)</f>
        <v>0</v>
      </c>
    </row>
    <row r="338" customFormat="false" ht="15" hidden="false" customHeight="false" outlineLevel="0" collapsed="false">
      <c r="A338" s="0" t="n">
        <v>8</v>
      </c>
      <c r="B338" s="29" t="str">
        <f aca="false">IF(OR('THÁNG 8'!$C45="",'THÁNG 8'!$B45=""),"",'THÁNG 8'!$B45)</f>
        <v/>
      </c>
      <c r="C338" s="0" t="str">
        <f aca="false">IF('THÁNG 8'!$C45="","",'THÁNG 8'!$C45)</f>
        <v/>
      </c>
      <c r="D338" s="0" t="str">
        <f aca="false">IF('THÁNG 8'!$C45="","",'THÁNG 8'!$D45&amp;"")</f>
        <v/>
      </c>
      <c r="E338" s="0" t="str">
        <f aca="false">IF('THÁNG 8'!$C45="","",'THÁNG 8'!$E45&amp;"")</f>
        <v/>
      </c>
      <c r="F338" s="0" t="str">
        <f aca="false">IF('THÁNG 8'!$C45="","",'THÁNG 8'!$F45&amp;"")</f>
        <v/>
      </c>
      <c r="G338" s="0" t="str">
        <f aca="false">IF('THÁNG 8'!$C45="","",'THÁNG 8'!$G45&amp;"")</f>
        <v/>
      </c>
      <c r="H338" s="0" t="str">
        <f aca="false">IF('THÁNG 8'!$C45="","",'THÁNG 8'!$H45&amp;"")</f>
        <v/>
      </c>
      <c r="I338" s="0" t="str">
        <f aca="false">IF('THÁNG 8'!$C45="","",N('THÁNG 8'!$I45))</f>
        <v/>
      </c>
      <c r="J338" s="0" t="str">
        <f aca="false">IF('THÁNG 8'!$C45="","",N('THÁNG 8'!$L45))</f>
        <v/>
      </c>
      <c r="K338" s="0" t="str">
        <f aca="false">IF('THÁNG 8'!$C45="","",N('THÁNG 8'!$N45))</f>
        <v/>
      </c>
      <c r="L338" s="0" t="str">
        <f aca="false">IF('THÁNG 8'!$C45="","",N('THÁNG 8'!$O45))</f>
        <v/>
      </c>
      <c r="M338" s="0" t="str">
        <f aca="false">IF('THÁNG 8'!$C45="","",N('THÁNG 8'!$P45))</f>
        <v/>
      </c>
      <c r="N338" s="0" t="str">
        <f aca="false">IF('THÁNG 8'!$C45="","",N('THÁNG 8'!$Q45))</f>
        <v/>
      </c>
      <c r="O338" s="0" t="str">
        <f aca="false">IF('THÁNG 8'!$C45="","",N('THÁNG 8'!$R45))</f>
        <v/>
      </c>
      <c r="P338" s="0" t="str">
        <f aca="false">IF(OR('THÁNG 8'!$C45="",'THÁNG 8'!$T45=""),"",'THÁNG 8'!$T45)</f>
        <v/>
      </c>
      <c r="Q338" s="0" t="str">
        <f aca="false">IF(OR('THÁNG 8'!$C45="",'THÁNG 8'!$U45=""),"",'THÁNG 8'!$U45)</f>
        <v/>
      </c>
      <c r="R338" s="0" t="str">
        <f aca="false">IF('THÁNG 8'!$C45="","",'THÁNG 8'!$W45&amp;"")</f>
        <v/>
      </c>
      <c r="S338" s="0" t="str">
        <f aca="false">IF('THÁNG 8'!$C45="","",'THÁNG 8'!$S45&amp;"")</f>
        <v/>
      </c>
      <c r="T338" s="0" t="str">
        <f aca="false">IF(N($O338)&gt;0,COUNTIF($O$3:$O338,"&gt;0"),"")</f>
        <v/>
      </c>
      <c r="U338" s="0" t="str">
        <f aca="false">IF(AND(N($J338)&gt;0,N($K338)&gt;0),COUNTIFS($J$3:$J338,"&gt;0",$K$3:$K338,"&gt;0"),"")</f>
        <v/>
      </c>
      <c r="V338" s="0" t="str">
        <f aca="false">IF(AND(N($J338)&gt;0,N($K338)=0),COUNTIFS($J$3:$J338,"&gt;0",$K$3:$K338,"&lt;=0"),"")</f>
        <v/>
      </c>
      <c r="W338" s="0" t="str">
        <f aca="false">IF($C338="","",IF(COUNTIF($C$3:$C338,$C338)&gt;1,"",MAX($W$2:W337)+1))</f>
        <v/>
      </c>
      <c r="X338" s="0" t="str">
        <f aca="false">IF($H338="","",IF(COUNTIF($H$3:$H338,$H338)&gt;1,"",MAX($X$2:X337)+1))</f>
        <v/>
      </c>
      <c r="Y338" s="0" t="str">
        <f aca="false">IF(AND(N($M338)&gt;0,N($O338)&lt;=0),COUNTIFS($M$3:$M338,"&gt;0",$O$3:$O338,"&lt;=0"),"")</f>
        <v/>
      </c>
      <c r="Z338" s="30" t="n">
        <f aca="false">IF(OR('THÁNG 8'!$C45="",'THÁNG 8'!$B45=""),0,'THÁNG 8'!$B45)</f>
        <v>0</v>
      </c>
    </row>
    <row r="339" customFormat="false" ht="15" hidden="false" customHeight="false" outlineLevel="0" collapsed="false">
      <c r="A339" s="0" t="n">
        <v>8</v>
      </c>
      <c r="B339" s="29" t="str">
        <f aca="false">IF(OR('THÁNG 8'!$C46="",'THÁNG 8'!$B46=""),"",'THÁNG 8'!$B46)</f>
        <v/>
      </c>
      <c r="C339" s="0" t="str">
        <f aca="false">IF('THÁNG 8'!$C46="","",'THÁNG 8'!$C46)</f>
        <v/>
      </c>
      <c r="D339" s="0" t="str">
        <f aca="false">IF('THÁNG 8'!$C46="","",'THÁNG 8'!$D46&amp;"")</f>
        <v/>
      </c>
      <c r="E339" s="0" t="str">
        <f aca="false">IF('THÁNG 8'!$C46="","",'THÁNG 8'!$E46&amp;"")</f>
        <v/>
      </c>
      <c r="F339" s="0" t="str">
        <f aca="false">IF('THÁNG 8'!$C46="","",'THÁNG 8'!$F46&amp;"")</f>
        <v/>
      </c>
      <c r="G339" s="0" t="str">
        <f aca="false">IF('THÁNG 8'!$C46="","",'THÁNG 8'!$G46&amp;"")</f>
        <v/>
      </c>
      <c r="H339" s="0" t="str">
        <f aca="false">IF('THÁNG 8'!$C46="","",'THÁNG 8'!$H46&amp;"")</f>
        <v/>
      </c>
      <c r="I339" s="0" t="str">
        <f aca="false">IF('THÁNG 8'!$C46="","",N('THÁNG 8'!$I46))</f>
        <v/>
      </c>
      <c r="J339" s="0" t="str">
        <f aca="false">IF('THÁNG 8'!$C46="","",N('THÁNG 8'!$L46))</f>
        <v/>
      </c>
      <c r="K339" s="0" t="str">
        <f aca="false">IF('THÁNG 8'!$C46="","",N('THÁNG 8'!$N46))</f>
        <v/>
      </c>
      <c r="L339" s="0" t="str">
        <f aca="false">IF('THÁNG 8'!$C46="","",N('THÁNG 8'!$O46))</f>
        <v/>
      </c>
      <c r="M339" s="0" t="str">
        <f aca="false">IF('THÁNG 8'!$C46="","",N('THÁNG 8'!$P46))</f>
        <v/>
      </c>
      <c r="N339" s="0" t="str">
        <f aca="false">IF('THÁNG 8'!$C46="","",N('THÁNG 8'!$Q46))</f>
        <v/>
      </c>
      <c r="O339" s="0" t="str">
        <f aca="false">IF('THÁNG 8'!$C46="","",N('THÁNG 8'!$R46))</f>
        <v/>
      </c>
      <c r="P339" s="0" t="str">
        <f aca="false">IF(OR('THÁNG 8'!$C46="",'THÁNG 8'!$T46=""),"",'THÁNG 8'!$T46)</f>
        <v/>
      </c>
      <c r="Q339" s="0" t="str">
        <f aca="false">IF(OR('THÁNG 8'!$C46="",'THÁNG 8'!$U46=""),"",'THÁNG 8'!$U46)</f>
        <v/>
      </c>
      <c r="R339" s="0" t="str">
        <f aca="false">IF('THÁNG 8'!$C46="","",'THÁNG 8'!$W46&amp;"")</f>
        <v/>
      </c>
      <c r="S339" s="0" t="str">
        <f aca="false">IF('THÁNG 8'!$C46="","",'THÁNG 8'!$S46&amp;"")</f>
        <v/>
      </c>
      <c r="T339" s="0" t="str">
        <f aca="false">IF(N($O339)&gt;0,COUNTIF($O$3:$O339,"&gt;0"),"")</f>
        <v/>
      </c>
      <c r="U339" s="0" t="str">
        <f aca="false">IF(AND(N($J339)&gt;0,N($K339)&gt;0),COUNTIFS($J$3:$J339,"&gt;0",$K$3:$K339,"&gt;0"),"")</f>
        <v/>
      </c>
      <c r="V339" s="0" t="str">
        <f aca="false">IF(AND(N($J339)&gt;0,N($K339)=0),COUNTIFS($J$3:$J339,"&gt;0",$K$3:$K339,"&lt;=0"),"")</f>
        <v/>
      </c>
      <c r="W339" s="0" t="str">
        <f aca="false">IF($C339="","",IF(COUNTIF($C$3:$C339,$C339)&gt;1,"",MAX($W$2:W338)+1))</f>
        <v/>
      </c>
      <c r="X339" s="0" t="str">
        <f aca="false">IF($H339="","",IF(COUNTIF($H$3:$H339,$H339)&gt;1,"",MAX($X$2:X338)+1))</f>
        <v/>
      </c>
      <c r="Y339" s="0" t="str">
        <f aca="false">IF(AND(N($M339)&gt;0,N($O339)&lt;=0),COUNTIFS($M$3:$M339,"&gt;0",$O$3:$O339,"&lt;=0"),"")</f>
        <v/>
      </c>
      <c r="Z339" s="30" t="n">
        <f aca="false">IF(OR('THÁNG 8'!$C46="",'THÁNG 8'!$B46=""),0,'THÁNG 8'!$B46)</f>
        <v>0</v>
      </c>
    </row>
    <row r="340" customFormat="false" ht="15" hidden="false" customHeight="false" outlineLevel="0" collapsed="false">
      <c r="A340" s="0" t="n">
        <v>8</v>
      </c>
      <c r="B340" s="29" t="str">
        <f aca="false">IF(OR('THÁNG 8'!$C47="",'THÁNG 8'!$B47=""),"",'THÁNG 8'!$B47)</f>
        <v/>
      </c>
      <c r="C340" s="0" t="str">
        <f aca="false">IF('THÁNG 8'!$C47="","",'THÁNG 8'!$C47)</f>
        <v/>
      </c>
      <c r="D340" s="0" t="str">
        <f aca="false">IF('THÁNG 8'!$C47="","",'THÁNG 8'!$D47&amp;"")</f>
        <v/>
      </c>
      <c r="E340" s="0" t="str">
        <f aca="false">IF('THÁNG 8'!$C47="","",'THÁNG 8'!$E47&amp;"")</f>
        <v/>
      </c>
      <c r="F340" s="0" t="str">
        <f aca="false">IF('THÁNG 8'!$C47="","",'THÁNG 8'!$F47&amp;"")</f>
        <v/>
      </c>
      <c r="G340" s="0" t="str">
        <f aca="false">IF('THÁNG 8'!$C47="","",'THÁNG 8'!$G47&amp;"")</f>
        <v/>
      </c>
      <c r="H340" s="0" t="str">
        <f aca="false">IF('THÁNG 8'!$C47="","",'THÁNG 8'!$H47&amp;"")</f>
        <v/>
      </c>
      <c r="I340" s="0" t="str">
        <f aca="false">IF('THÁNG 8'!$C47="","",N('THÁNG 8'!$I47))</f>
        <v/>
      </c>
      <c r="J340" s="0" t="str">
        <f aca="false">IF('THÁNG 8'!$C47="","",N('THÁNG 8'!$L47))</f>
        <v/>
      </c>
      <c r="K340" s="0" t="str">
        <f aca="false">IF('THÁNG 8'!$C47="","",N('THÁNG 8'!$N47))</f>
        <v/>
      </c>
      <c r="L340" s="0" t="str">
        <f aca="false">IF('THÁNG 8'!$C47="","",N('THÁNG 8'!$O47))</f>
        <v/>
      </c>
      <c r="M340" s="0" t="str">
        <f aca="false">IF('THÁNG 8'!$C47="","",N('THÁNG 8'!$P47))</f>
        <v/>
      </c>
      <c r="N340" s="0" t="str">
        <f aca="false">IF('THÁNG 8'!$C47="","",N('THÁNG 8'!$Q47))</f>
        <v/>
      </c>
      <c r="O340" s="0" t="str">
        <f aca="false">IF('THÁNG 8'!$C47="","",N('THÁNG 8'!$R47))</f>
        <v/>
      </c>
      <c r="P340" s="0" t="str">
        <f aca="false">IF(OR('THÁNG 8'!$C47="",'THÁNG 8'!$T47=""),"",'THÁNG 8'!$T47)</f>
        <v/>
      </c>
      <c r="Q340" s="0" t="str">
        <f aca="false">IF(OR('THÁNG 8'!$C47="",'THÁNG 8'!$U47=""),"",'THÁNG 8'!$U47)</f>
        <v/>
      </c>
      <c r="R340" s="0" t="str">
        <f aca="false">IF('THÁNG 8'!$C47="","",'THÁNG 8'!$W47&amp;"")</f>
        <v/>
      </c>
      <c r="S340" s="0" t="str">
        <f aca="false">IF('THÁNG 8'!$C47="","",'THÁNG 8'!$S47&amp;"")</f>
        <v/>
      </c>
      <c r="T340" s="0" t="str">
        <f aca="false">IF(N($O340)&gt;0,COUNTIF($O$3:$O340,"&gt;0"),"")</f>
        <v/>
      </c>
      <c r="U340" s="0" t="str">
        <f aca="false">IF(AND(N($J340)&gt;0,N($K340)&gt;0),COUNTIFS($J$3:$J340,"&gt;0",$K$3:$K340,"&gt;0"),"")</f>
        <v/>
      </c>
      <c r="V340" s="0" t="str">
        <f aca="false">IF(AND(N($J340)&gt;0,N($K340)=0),COUNTIFS($J$3:$J340,"&gt;0",$K$3:$K340,"&lt;=0"),"")</f>
        <v/>
      </c>
      <c r="W340" s="0" t="str">
        <f aca="false">IF($C340="","",IF(COUNTIF($C$3:$C340,$C340)&gt;1,"",MAX($W$2:W339)+1))</f>
        <v/>
      </c>
      <c r="X340" s="0" t="str">
        <f aca="false">IF($H340="","",IF(COUNTIF($H$3:$H340,$H340)&gt;1,"",MAX($X$2:X339)+1))</f>
        <v/>
      </c>
      <c r="Y340" s="0" t="str">
        <f aca="false">IF(AND(N($M340)&gt;0,N($O340)&lt;=0),COUNTIFS($M$3:$M340,"&gt;0",$O$3:$O340,"&lt;=0"),"")</f>
        <v/>
      </c>
      <c r="Z340" s="30" t="n">
        <f aca="false">IF(OR('THÁNG 8'!$C47="",'THÁNG 8'!$B47=""),0,'THÁNG 8'!$B47)</f>
        <v>0</v>
      </c>
    </row>
    <row r="341" customFormat="false" ht="15" hidden="false" customHeight="false" outlineLevel="0" collapsed="false">
      <c r="A341" s="0" t="n">
        <v>8</v>
      </c>
      <c r="B341" s="29" t="str">
        <f aca="false">IF(OR('THÁNG 8'!$C48="",'THÁNG 8'!$B48=""),"",'THÁNG 8'!$B48)</f>
        <v/>
      </c>
      <c r="C341" s="0" t="str">
        <f aca="false">IF('THÁNG 8'!$C48="","",'THÁNG 8'!$C48)</f>
        <v/>
      </c>
      <c r="D341" s="0" t="str">
        <f aca="false">IF('THÁNG 8'!$C48="","",'THÁNG 8'!$D48&amp;"")</f>
        <v/>
      </c>
      <c r="E341" s="0" t="str">
        <f aca="false">IF('THÁNG 8'!$C48="","",'THÁNG 8'!$E48&amp;"")</f>
        <v/>
      </c>
      <c r="F341" s="0" t="str">
        <f aca="false">IF('THÁNG 8'!$C48="","",'THÁNG 8'!$F48&amp;"")</f>
        <v/>
      </c>
      <c r="G341" s="0" t="str">
        <f aca="false">IF('THÁNG 8'!$C48="","",'THÁNG 8'!$G48&amp;"")</f>
        <v/>
      </c>
      <c r="H341" s="0" t="str">
        <f aca="false">IF('THÁNG 8'!$C48="","",'THÁNG 8'!$H48&amp;"")</f>
        <v/>
      </c>
      <c r="I341" s="0" t="str">
        <f aca="false">IF('THÁNG 8'!$C48="","",N('THÁNG 8'!$I48))</f>
        <v/>
      </c>
      <c r="J341" s="0" t="str">
        <f aca="false">IF('THÁNG 8'!$C48="","",N('THÁNG 8'!$L48))</f>
        <v/>
      </c>
      <c r="K341" s="0" t="str">
        <f aca="false">IF('THÁNG 8'!$C48="","",N('THÁNG 8'!$N48))</f>
        <v/>
      </c>
      <c r="L341" s="0" t="str">
        <f aca="false">IF('THÁNG 8'!$C48="","",N('THÁNG 8'!$O48))</f>
        <v/>
      </c>
      <c r="M341" s="0" t="str">
        <f aca="false">IF('THÁNG 8'!$C48="","",N('THÁNG 8'!$P48))</f>
        <v/>
      </c>
      <c r="N341" s="0" t="str">
        <f aca="false">IF('THÁNG 8'!$C48="","",N('THÁNG 8'!$Q48))</f>
        <v/>
      </c>
      <c r="O341" s="0" t="str">
        <f aca="false">IF('THÁNG 8'!$C48="","",N('THÁNG 8'!$R48))</f>
        <v/>
      </c>
      <c r="P341" s="0" t="str">
        <f aca="false">IF(OR('THÁNG 8'!$C48="",'THÁNG 8'!$T48=""),"",'THÁNG 8'!$T48)</f>
        <v/>
      </c>
      <c r="Q341" s="0" t="str">
        <f aca="false">IF(OR('THÁNG 8'!$C48="",'THÁNG 8'!$U48=""),"",'THÁNG 8'!$U48)</f>
        <v/>
      </c>
      <c r="R341" s="0" t="str">
        <f aca="false">IF('THÁNG 8'!$C48="","",'THÁNG 8'!$W48&amp;"")</f>
        <v/>
      </c>
      <c r="S341" s="0" t="str">
        <f aca="false">IF('THÁNG 8'!$C48="","",'THÁNG 8'!$S48&amp;"")</f>
        <v/>
      </c>
      <c r="T341" s="0" t="str">
        <f aca="false">IF(N($O341)&gt;0,COUNTIF($O$3:$O341,"&gt;0"),"")</f>
        <v/>
      </c>
      <c r="U341" s="0" t="str">
        <f aca="false">IF(AND(N($J341)&gt;0,N($K341)&gt;0),COUNTIFS($J$3:$J341,"&gt;0",$K$3:$K341,"&gt;0"),"")</f>
        <v/>
      </c>
      <c r="V341" s="0" t="str">
        <f aca="false">IF(AND(N($J341)&gt;0,N($K341)=0),COUNTIFS($J$3:$J341,"&gt;0",$K$3:$K341,"&lt;=0"),"")</f>
        <v/>
      </c>
      <c r="W341" s="0" t="str">
        <f aca="false">IF($C341="","",IF(COUNTIF($C$3:$C341,$C341)&gt;1,"",MAX($W$2:W340)+1))</f>
        <v/>
      </c>
      <c r="X341" s="0" t="str">
        <f aca="false">IF($H341="","",IF(COUNTIF($H$3:$H341,$H341)&gt;1,"",MAX($X$2:X340)+1))</f>
        <v/>
      </c>
      <c r="Y341" s="0" t="str">
        <f aca="false">IF(AND(N($M341)&gt;0,N($O341)&lt;=0),COUNTIFS($M$3:$M341,"&gt;0",$O$3:$O341,"&lt;=0"),"")</f>
        <v/>
      </c>
      <c r="Z341" s="30" t="n">
        <f aca="false">IF(OR('THÁNG 8'!$C48="",'THÁNG 8'!$B48=""),0,'THÁNG 8'!$B48)</f>
        <v>0</v>
      </c>
    </row>
    <row r="342" customFormat="false" ht="15" hidden="false" customHeight="false" outlineLevel="0" collapsed="false">
      <c r="A342" s="0" t="n">
        <v>8</v>
      </c>
      <c r="B342" s="29" t="str">
        <f aca="false">IF(OR('THÁNG 8'!$C49="",'THÁNG 8'!$B49=""),"",'THÁNG 8'!$B49)</f>
        <v/>
      </c>
      <c r="C342" s="0" t="str">
        <f aca="false">IF('THÁNG 8'!$C49="","",'THÁNG 8'!$C49)</f>
        <v/>
      </c>
      <c r="D342" s="0" t="str">
        <f aca="false">IF('THÁNG 8'!$C49="","",'THÁNG 8'!$D49&amp;"")</f>
        <v/>
      </c>
      <c r="E342" s="0" t="str">
        <f aca="false">IF('THÁNG 8'!$C49="","",'THÁNG 8'!$E49&amp;"")</f>
        <v/>
      </c>
      <c r="F342" s="0" t="str">
        <f aca="false">IF('THÁNG 8'!$C49="","",'THÁNG 8'!$F49&amp;"")</f>
        <v/>
      </c>
      <c r="G342" s="0" t="str">
        <f aca="false">IF('THÁNG 8'!$C49="","",'THÁNG 8'!$G49&amp;"")</f>
        <v/>
      </c>
      <c r="H342" s="0" t="str">
        <f aca="false">IF('THÁNG 8'!$C49="","",'THÁNG 8'!$H49&amp;"")</f>
        <v/>
      </c>
      <c r="I342" s="0" t="str">
        <f aca="false">IF('THÁNG 8'!$C49="","",N('THÁNG 8'!$I49))</f>
        <v/>
      </c>
      <c r="J342" s="0" t="str">
        <f aca="false">IF('THÁNG 8'!$C49="","",N('THÁNG 8'!$L49))</f>
        <v/>
      </c>
      <c r="K342" s="0" t="str">
        <f aca="false">IF('THÁNG 8'!$C49="","",N('THÁNG 8'!$N49))</f>
        <v/>
      </c>
      <c r="L342" s="0" t="str">
        <f aca="false">IF('THÁNG 8'!$C49="","",N('THÁNG 8'!$O49))</f>
        <v/>
      </c>
      <c r="M342" s="0" t="str">
        <f aca="false">IF('THÁNG 8'!$C49="","",N('THÁNG 8'!$P49))</f>
        <v/>
      </c>
      <c r="N342" s="0" t="str">
        <f aca="false">IF('THÁNG 8'!$C49="","",N('THÁNG 8'!$Q49))</f>
        <v/>
      </c>
      <c r="O342" s="0" t="str">
        <f aca="false">IF('THÁNG 8'!$C49="","",N('THÁNG 8'!$R49))</f>
        <v/>
      </c>
      <c r="P342" s="0" t="str">
        <f aca="false">IF(OR('THÁNG 8'!$C49="",'THÁNG 8'!$T49=""),"",'THÁNG 8'!$T49)</f>
        <v/>
      </c>
      <c r="Q342" s="0" t="str">
        <f aca="false">IF(OR('THÁNG 8'!$C49="",'THÁNG 8'!$U49=""),"",'THÁNG 8'!$U49)</f>
        <v/>
      </c>
      <c r="R342" s="0" t="str">
        <f aca="false">IF('THÁNG 8'!$C49="","",'THÁNG 8'!$W49&amp;"")</f>
        <v/>
      </c>
      <c r="S342" s="0" t="str">
        <f aca="false">IF('THÁNG 8'!$C49="","",'THÁNG 8'!$S49&amp;"")</f>
        <v/>
      </c>
      <c r="T342" s="0" t="str">
        <f aca="false">IF(N($O342)&gt;0,COUNTIF($O$3:$O342,"&gt;0"),"")</f>
        <v/>
      </c>
      <c r="U342" s="0" t="str">
        <f aca="false">IF(AND(N($J342)&gt;0,N($K342)&gt;0),COUNTIFS($J$3:$J342,"&gt;0",$K$3:$K342,"&gt;0"),"")</f>
        <v/>
      </c>
      <c r="V342" s="0" t="str">
        <f aca="false">IF(AND(N($J342)&gt;0,N($K342)=0),COUNTIFS($J$3:$J342,"&gt;0",$K$3:$K342,"&lt;=0"),"")</f>
        <v/>
      </c>
      <c r="W342" s="0" t="str">
        <f aca="false">IF($C342="","",IF(COUNTIF($C$3:$C342,$C342)&gt;1,"",MAX($W$2:W341)+1))</f>
        <v/>
      </c>
      <c r="X342" s="0" t="str">
        <f aca="false">IF($H342="","",IF(COUNTIF($H$3:$H342,$H342)&gt;1,"",MAX($X$2:X341)+1))</f>
        <v/>
      </c>
      <c r="Y342" s="0" t="str">
        <f aca="false">IF(AND(N($M342)&gt;0,N($O342)&lt;=0),COUNTIFS($M$3:$M342,"&gt;0",$O$3:$O342,"&lt;=0"),"")</f>
        <v/>
      </c>
      <c r="Z342" s="30" t="n">
        <f aca="false">IF(OR('THÁNG 8'!$C49="",'THÁNG 8'!$B49=""),0,'THÁNG 8'!$B49)</f>
        <v>0</v>
      </c>
    </row>
    <row r="343" customFormat="false" ht="15" hidden="false" customHeight="false" outlineLevel="0" collapsed="false">
      <c r="A343" s="0" t="n">
        <v>8</v>
      </c>
      <c r="B343" s="29" t="str">
        <f aca="false">IF(OR('THÁNG 8'!$C50="",'THÁNG 8'!$B50=""),"",'THÁNG 8'!$B50)</f>
        <v/>
      </c>
      <c r="C343" s="0" t="str">
        <f aca="false">IF('THÁNG 8'!$C50="","",'THÁNG 8'!$C50)</f>
        <v/>
      </c>
      <c r="D343" s="0" t="str">
        <f aca="false">IF('THÁNG 8'!$C50="","",'THÁNG 8'!$D50&amp;"")</f>
        <v/>
      </c>
      <c r="E343" s="0" t="str">
        <f aca="false">IF('THÁNG 8'!$C50="","",'THÁNG 8'!$E50&amp;"")</f>
        <v/>
      </c>
      <c r="F343" s="0" t="str">
        <f aca="false">IF('THÁNG 8'!$C50="","",'THÁNG 8'!$F50&amp;"")</f>
        <v/>
      </c>
      <c r="G343" s="0" t="str">
        <f aca="false">IF('THÁNG 8'!$C50="","",'THÁNG 8'!$G50&amp;"")</f>
        <v/>
      </c>
      <c r="H343" s="0" t="str">
        <f aca="false">IF('THÁNG 8'!$C50="","",'THÁNG 8'!$H50&amp;"")</f>
        <v/>
      </c>
      <c r="I343" s="0" t="str">
        <f aca="false">IF('THÁNG 8'!$C50="","",N('THÁNG 8'!$I50))</f>
        <v/>
      </c>
      <c r="J343" s="0" t="str">
        <f aca="false">IF('THÁNG 8'!$C50="","",N('THÁNG 8'!$L50))</f>
        <v/>
      </c>
      <c r="K343" s="0" t="str">
        <f aca="false">IF('THÁNG 8'!$C50="","",N('THÁNG 8'!$N50))</f>
        <v/>
      </c>
      <c r="L343" s="0" t="str">
        <f aca="false">IF('THÁNG 8'!$C50="","",N('THÁNG 8'!$O50))</f>
        <v/>
      </c>
      <c r="M343" s="0" t="str">
        <f aca="false">IF('THÁNG 8'!$C50="","",N('THÁNG 8'!$P50))</f>
        <v/>
      </c>
      <c r="N343" s="0" t="str">
        <f aca="false">IF('THÁNG 8'!$C50="","",N('THÁNG 8'!$Q50))</f>
        <v/>
      </c>
      <c r="O343" s="0" t="str">
        <f aca="false">IF('THÁNG 8'!$C50="","",N('THÁNG 8'!$R50))</f>
        <v/>
      </c>
      <c r="P343" s="0" t="str">
        <f aca="false">IF(OR('THÁNG 8'!$C50="",'THÁNG 8'!$T50=""),"",'THÁNG 8'!$T50)</f>
        <v/>
      </c>
      <c r="Q343" s="0" t="str">
        <f aca="false">IF(OR('THÁNG 8'!$C50="",'THÁNG 8'!$U50=""),"",'THÁNG 8'!$U50)</f>
        <v/>
      </c>
      <c r="R343" s="0" t="str">
        <f aca="false">IF('THÁNG 8'!$C50="","",'THÁNG 8'!$W50&amp;"")</f>
        <v/>
      </c>
      <c r="S343" s="0" t="str">
        <f aca="false">IF('THÁNG 8'!$C50="","",'THÁNG 8'!$S50&amp;"")</f>
        <v/>
      </c>
      <c r="T343" s="0" t="str">
        <f aca="false">IF(N($O343)&gt;0,COUNTIF($O$3:$O343,"&gt;0"),"")</f>
        <v/>
      </c>
      <c r="U343" s="0" t="str">
        <f aca="false">IF(AND(N($J343)&gt;0,N($K343)&gt;0),COUNTIFS($J$3:$J343,"&gt;0",$K$3:$K343,"&gt;0"),"")</f>
        <v/>
      </c>
      <c r="V343" s="0" t="str">
        <f aca="false">IF(AND(N($J343)&gt;0,N($K343)=0),COUNTIFS($J$3:$J343,"&gt;0",$K$3:$K343,"&lt;=0"),"")</f>
        <v/>
      </c>
      <c r="W343" s="0" t="str">
        <f aca="false">IF($C343="","",IF(COUNTIF($C$3:$C343,$C343)&gt;1,"",MAX($W$2:W342)+1))</f>
        <v/>
      </c>
      <c r="X343" s="0" t="str">
        <f aca="false">IF($H343="","",IF(COUNTIF($H$3:$H343,$H343)&gt;1,"",MAX($X$2:X342)+1))</f>
        <v/>
      </c>
      <c r="Y343" s="0" t="str">
        <f aca="false">IF(AND(N($M343)&gt;0,N($O343)&lt;=0),COUNTIFS($M$3:$M343,"&gt;0",$O$3:$O343,"&lt;=0"),"")</f>
        <v/>
      </c>
      <c r="Z343" s="30" t="n">
        <f aca="false">IF(OR('THÁNG 8'!$C50="",'THÁNG 8'!$B50=""),0,'THÁNG 8'!$B50)</f>
        <v>0</v>
      </c>
    </row>
    <row r="344" customFormat="false" ht="15" hidden="false" customHeight="false" outlineLevel="0" collapsed="false">
      <c r="A344" s="0" t="n">
        <v>8</v>
      </c>
      <c r="B344" s="29" t="str">
        <f aca="false">IF(OR('THÁNG 8'!$C51="",'THÁNG 8'!$B51=""),"",'THÁNG 8'!$B51)</f>
        <v/>
      </c>
      <c r="C344" s="0" t="str">
        <f aca="false">IF('THÁNG 8'!$C51="","",'THÁNG 8'!$C51)</f>
        <v/>
      </c>
      <c r="D344" s="0" t="str">
        <f aca="false">IF('THÁNG 8'!$C51="","",'THÁNG 8'!$D51&amp;"")</f>
        <v/>
      </c>
      <c r="E344" s="0" t="str">
        <f aca="false">IF('THÁNG 8'!$C51="","",'THÁNG 8'!$E51&amp;"")</f>
        <v/>
      </c>
      <c r="F344" s="0" t="str">
        <f aca="false">IF('THÁNG 8'!$C51="","",'THÁNG 8'!$F51&amp;"")</f>
        <v/>
      </c>
      <c r="G344" s="0" t="str">
        <f aca="false">IF('THÁNG 8'!$C51="","",'THÁNG 8'!$G51&amp;"")</f>
        <v/>
      </c>
      <c r="H344" s="0" t="str">
        <f aca="false">IF('THÁNG 8'!$C51="","",'THÁNG 8'!$H51&amp;"")</f>
        <v/>
      </c>
      <c r="I344" s="0" t="str">
        <f aca="false">IF('THÁNG 8'!$C51="","",N('THÁNG 8'!$I51))</f>
        <v/>
      </c>
      <c r="J344" s="0" t="str">
        <f aca="false">IF('THÁNG 8'!$C51="","",N('THÁNG 8'!$L51))</f>
        <v/>
      </c>
      <c r="K344" s="0" t="str">
        <f aca="false">IF('THÁNG 8'!$C51="","",N('THÁNG 8'!$N51))</f>
        <v/>
      </c>
      <c r="L344" s="0" t="str">
        <f aca="false">IF('THÁNG 8'!$C51="","",N('THÁNG 8'!$O51))</f>
        <v/>
      </c>
      <c r="M344" s="0" t="str">
        <f aca="false">IF('THÁNG 8'!$C51="","",N('THÁNG 8'!$P51))</f>
        <v/>
      </c>
      <c r="N344" s="0" t="str">
        <f aca="false">IF('THÁNG 8'!$C51="","",N('THÁNG 8'!$Q51))</f>
        <v/>
      </c>
      <c r="O344" s="0" t="str">
        <f aca="false">IF('THÁNG 8'!$C51="","",N('THÁNG 8'!$R51))</f>
        <v/>
      </c>
      <c r="P344" s="0" t="str">
        <f aca="false">IF(OR('THÁNG 8'!$C51="",'THÁNG 8'!$T51=""),"",'THÁNG 8'!$T51)</f>
        <v/>
      </c>
      <c r="Q344" s="0" t="str">
        <f aca="false">IF(OR('THÁNG 8'!$C51="",'THÁNG 8'!$U51=""),"",'THÁNG 8'!$U51)</f>
        <v/>
      </c>
      <c r="R344" s="0" t="str">
        <f aca="false">IF('THÁNG 8'!$C51="","",'THÁNG 8'!$W51&amp;"")</f>
        <v/>
      </c>
      <c r="S344" s="0" t="str">
        <f aca="false">IF('THÁNG 8'!$C51="","",'THÁNG 8'!$S51&amp;"")</f>
        <v/>
      </c>
      <c r="T344" s="0" t="str">
        <f aca="false">IF(N($O344)&gt;0,COUNTIF($O$3:$O344,"&gt;0"),"")</f>
        <v/>
      </c>
      <c r="U344" s="0" t="str">
        <f aca="false">IF(AND(N($J344)&gt;0,N($K344)&gt;0),COUNTIFS($J$3:$J344,"&gt;0",$K$3:$K344,"&gt;0"),"")</f>
        <v/>
      </c>
      <c r="V344" s="0" t="str">
        <f aca="false">IF(AND(N($J344)&gt;0,N($K344)=0),COUNTIFS($J$3:$J344,"&gt;0",$K$3:$K344,"&lt;=0"),"")</f>
        <v/>
      </c>
      <c r="W344" s="0" t="str">
        <f aca="false">IF($C344="","",IF(COUNTIF($C$3:$C344,$C344)&gt;1,"",MAX($W$2:W343)+1))</f>
        <v/>
      </c>
      <c r="X344" s="0" t="str">
        <f aca="false">IF($H344="","",IF(COUNTIF($H$3:$H344,$H344)&gt;1,"",MAX($X$2:X343)+1))</f>
        <v/>
      </c>
      <c r="Y344" s="0" t="str">
        <f aca="false">IF(AND(N($M344)&gt;0,N($O344)&lt;=0),COUNTIFS($M$3:$M344,"&gt;0",$O$3:$O344,"&lt;=0"),"")</f>
        <v/>
      </c>
      <c r="Z344" s="30" t="n">
        <f aca="false">IF(OR('THÁNG 8'!$C51="",'THÁNG 8'!$B51=""),0,'THÁNG 8'!$B51)</f>
        <v>0</v>
      </c>
    </row>
    <row r="345" customFormat="false" ht="15" hidden="false" customHeight="false" outlineLevel="0" collapsed="false">
      <c r="A345" s="0" t="n">
        <v>8</v>
      </c>
      <c r="B345" s="29" t="str">
        <f aca="false">IF(OR('THÁNG 8'!$C52="",'THÁNG 8'!$B52=""),"",'THÁNG 8'!$B52)</f>
        <v/>
      </c>
      <c r="C345" s="0" t="str">
        <f aca="false">IF('THÁNG 8'!$C52="","",'THÁNG 8'!$C52)</f>
        <v/>
      </c>
      <c r="D345" s="0" t="str">
        <f aca="false">IF('THÁNG 8'!$C52="","",'THÁNG 8'!$D52&amp;"")</f>
        <v/>
      </c>
      <c r="E345" s="0" t="str">
        <f aca="false">IF('THÁNG 8'!$C52="","",'THÁNG 8'!$E52&amp;"")</f>
        <v/>
      </c>
      <c r="F345" s="0" t="str">
        <f aca="false">IF('THÁNG 8'!$C52="","",'THÁNG 8'!$F52&amp;"")</f>
        <v/>
      </c>
      <c r="G345" s="0" t="str">
        <f aca="false">IF('THÁNG 8'!$C52="","",'THÁNG 8'!$G52&amp;"")</f>
        <v/>
      </c>
      <c r="H345" s="0" t="str">
        <f aca="false">IF('THÁNG 8'!$C52="","",'THÁNG 8'!$H52&amp;"")</f>
        <v/>
      </c>
      <c r="I345" s="0" t="str">
        <f aca="false">IF('THÁNG 8'!$C52="","",N('THÁNG 8'!$I52))</f>
        <v/>
      </c>
      <c r="J345" s="0" t="str">
        <f aca="false">IF('THÁNG 8'!$C52="","",N('THÁNG 8'!$L52))</f>
        <v/>
      </c>
      <c r="K345" s="0" t="str">
        <f aca="false">IF('THÁNG 8'!$C52="","",N('THÁNG 8'!$N52))</f>
        <v/>
      </c>
      <c r="L345" s="0" t="str">
        <f aca="false">IF('THÁNG 8'!$C52="","",N('THÁNG 8'!$O52))</f>
        <v/>
      </c>
      <c r="M345" s="0" t="str">
        <f aca="false">IF('THÁNG 8'!$C52="","",N('THÁNG 8'!$P52))</f>
        <v/>
      </c>
      <c r="N345" s="0" t="str">
        <f aca="false">IF('THÁNG 8'!$C52="","",N('THÁNG 8'!$Q52))</f>
        <v/>
      </c>
      <c r="O345" s="0" t="str">
        <f aca="false">IF('THÁNG 8'!$C52="","",N('THÁNG 8'!$R52))</f>
        <v/>
      </c>
      <c r="P345" s="0" t="str">
        <f aca="false">IF(OR('THÁNG 8'!$C52="",'THÁNG 8'!$T52=""),"",'THÁNG 8'!$T52)</f>
        <v/>
      </c>
      <c r="Q345" s="0" t="str">
        <f aca="false">IF(OR('THÁNG 8'!$C52="",'THÁNG 8'!$U52=""),"",'THÁNG 8'!$U52)</f>
        <v/>
      </c>
      <c r="R345" s="0" t="str">
        <f aca="false">IF('THÁNG 8'!$C52="","",'THÁNG 8'!$W52&amp;"")</f>
        <v/>
      </c>
      <c r="S345" s="0" t="str">
        <f aca="false">IF('THÁNG 8'!$C52="","",'THÁNG 8'!$S52&amp;"")</f>
        <v/>
      </c>
      <c r="T345" s="0" t="str">
        <f aca="false">IF(N($O345)&gt;0,COUNTIF($O$3:$O345,"&gt;0"),"")</f>
        <v/>
      </c>
      <c r="U345" s="0" t="str">
        <f aca="false">IF(AND(N($J345)&gt;0,N($K345)&gt;0),COUNTIFS($J$3:$J345,"&gt;0",$K$3:$K345,"&gt;0"),"")</f>
        <v/>
      </c>
      <c r="V345" s="0" t="str">
        <f aca="false">IF(AND(N($J345)&gt;0,N($K345)=0),COUNTIFS($J$3:$J345,"&gt;0",$K$3:$K345,"&lt;=0"),"")</f>
        <v/>
      </c>
      <c r="W345" s="0" t="str">
        <f aca="false">IF($C345="","",IF(COUNTIF($C$3:$C345,$C345)&gt;1,"",MAX($W$2:W344)+1))</f>
        <v/>
      </c>
      <c r="X345" s="0" t="str">
        <f aca="false">IF($H345="","",IF(COUNTIF($H$3:$H345,$H345)&gt;1,"",MAX($X$2:X344)+1))</f>
        <v/>
      </c>
      <c r="Y345" s="0" t="str">
        <f aca="false">IF(AND(N($M345)&gt;0,N($O345)&lt;=0),COUNTIFS($M$3:$M345,"&gt;0",$O$3:$O345,"&lt;=0"),"")</f>
        <v/>
      </c>
      <c r="Z345" s="30" t="n">
        <f aca="false">IF(OR('THÁNG 8'!$C52="",'THÁNG 8'!$B52=""),0,'THÁNG 8'!$B52)</f>
        <v>0</v>
      </c>
    </row>
    <row r="346" customFormat="false" ht="15" hidden="false" customHeight="false" outlineLevel="0" collapsed="false">
      <c r="A346" s="0" t="n">
        <v>8</v>
      </c>
      <c r="B346" s="29" t="str">
        <f aca="false">IF(OR('THÁNG 8'!$C53="",'THÁNG 8'!$B53=""),"",'THÁNG 8'!$B53)</f>
        <v/>
      </c>
      <c r="C346" s="0" t="str">
        <f aca="false">IF('THÁNG 8'!$C53="","",'THÁNG 8'!$C53)</f>
        <v/>
      </c>
      <c r="D346" s="0" t="str">
        <f aca="false">IF('THÁNG 8'!$C53="","",'THÁNG 8'!$D53&amp;"")</f>
        <v/>
      </c>
      <c r="E346" s="0" t="str">
        <f aca="false">IF('THÁNG 8'!$C53="","",'THÁNG 8'!$E53&amp;"")</f>
        <v/>
      </c>
      <c r="F346" s="0" t="str">
        <f aca="false">IF('THÁNG 8'!$C53="","",'THÁNG 8'!$F53&amp;"")</f>
        <v/>
      </c>
      <c r="G346" s="0" t="str">
        <f aca="false">IF('THÁNG 8'!$C53="","",'THÁNG 8'!$G53&amp;"")</f>
        <v/>
      </c>
      <c r="H346" s="0" t="str">
        <f aca="false">IF('THÁNG 8'!$C53="","",'THÁNG 8'!$H53&amp;"")</f>
        <v/>
      </c>
      <c r="I346" s="0" t="str">
        <f aca="false">IF('THÁNG 8'!$C53="","",N('THÁNG 8'!$I53))</f>
        <v/>
      </c>
      <c r="J346" s="0" t="str">
        <f aca="false">IF('THÁNG 8'!$C53="","",N('THÁNG 8'!$L53))</f>
        <v/>
      </c>
      <c r="K346" s="0" t="str">
        <f aca="false">IF('THÁNG 8'!$C53="","",N('THÁNG 8'!$N53))</f>
        <v/>
      </c>
      <c r="L346" s="0" t="str">
        <f aca="false">IF('THÁNG 8'!$C53="","",N('THÁNG 8'!$O53))</f>
        <v/>
      </c>
      <c r="M346" s="0" t="str">
        <f aca="false">IF('THÁNG 8'!$C53="","",N('THÁNG 8'!$P53))</f>
        <v/>
      </c>
      <c r="N346" s="0" t="str">
        <f aca="false">IF('THÁNG 8'!$C53="","",N('THÁNG 8'!$Q53))</f>
        <v/>
      </c>
      <c r="O346" s="0" t="str">
        <f aca="false">IF('THÁNG 8'!$C53="","",N('THÁNG 8'!$R53))</f>
        <v/>
      </c>
      <c r="P346" s="0" t="str">
        <f aca="false">IF(OR('THÁNG 8'!$C53="",'THÁNG 8'!$T53=""),"",'THÁNG 8'!$T53)</f>
        <v/>
      </c>
      <c r="Q346" s="0" t="str">
        <f aca="false">IF(OR('THÁNG 8'!$C53="",'THÁNG 8'!$U53=""),"",'THÁNG 8'!$U53)</f>
        <v/>
      </c>
      <c r="R346" s="0" t="str">
        <f aca="false">IF('THÁNG 8'!$C53="","",'THÁNG 8'!$W53&amp;"")</f>
        <v/>
      </c>
      <c r="S346" s="0" t="str">
        <f aca="false">IF('THÁNG 8'!$C53="","",'THÁNG 8'!$S53&amp;"")</f>
        <v/>
      </c>
      <c r="T346" s="0" t="str">
        <f aca="false">IF(N($O346)&gt;0,COUNTIF($O$3:$O346,"&gt;0"),"")</f>
        <v/>
      </c>
      <c r="U346" s="0" t="str">
        <f aca="false">IF(AND(N($J346)&gt;0,N($K346)&gt;0),COUNTIFS($J$3:$J346,"&gt;0",$K$3:$K346,"&gt;0"),"")</f>
        <v/>
      </c>
      <c r="V346" s="0" t="str">
        <f aca="false">IF(AND(N($J346)&gt;0,N($K346)=0),COUNTIFS($J$3:$J346,"&gt;0",$K$3:$K346,"&lt;=0"),"")</f>
        <v/>
      </c>
      <c r="W346" s="0" t="str">
        <f aca="false">IF($C346="","",IF(COUNTIF($C$3:$C346,$C346)&gt;1,"",MAX($W$2:W345)+1))</f>
        <v/>
      </c>
      <c r="X346" s="0" t="str">
        <f aca="false">IF($H346="","",IF(COUNTIF($H$3:$H346,$H346)&gt;1,"",MAX($X$2:X345)+1))</f>
        <v/>
      </c>
      <c r="Y346" s="0" t="str">
        <f aca="false">IF(AND(N($M346)&gt;0,N($O346)&lt;=0),COUNTIFS($M$3:$M346,"&gt;0",$O$3:$O346,"&lt;=0"),"")</f>
        <v/>
      </c>
      <c r="Z346" s="30" t="n">
        <f aca="false">IF(OR('THÁNG 8'!$C53="",'THÁNG 8'!$B53=""),0,'THÁNG 8'!$B53)</f>
        <v>0</v>
      </c>
    </row>
    <row r="347" customFormat="false" ht="15" hidden="false" customHeight="false" outlineLevel="0" collapsed="false">
      <c r="A347" s="0" t="n">
        <v>8</v>
      </c>
      <c r="B347" s="29" t="str">
        <f aca="false">IF(OR('THÁNG 8'!$C54="",'THÁNG 8'!$B54=""),"",'THÁNG 8'!$B54)</f>
        <v/>
      </c>
      <c r="C347" s="0" t="str">
        <f aca="false">IF('THÁNG 8'!$C54="","",'THÁNG 8'!$C54)</f>
        <v/>
      </c>
      <c r="D347" s="0" t="str">
        <f aca="false">IF('THÁNG 8'!$C54="","",'THÁNG 8'!$D54&amp;"")</f>
        <v/>
      </c>
      <c r="E347" s="0" t="str">
        <f aca="false">IF('THÁNG 8'!$C54="","",'THÁNG 8'!$E54&amp;"")</f>
        <v/>
      </c>
      <c r="F347" s="0" t="str">
        <f aca="false">IF('THÁNG 8'!$C54="","",'THÁNG 8'!$F54&amp;"")</f>
        <v/>
      </c>
      <c r="G347" s="0" t="str">
        <f aca="false">IF('THÁNG 8'!$C54="","",'THÁNG 8'!$G54&amp;"")</f>
        <v/>
      </c>
      <c r="H347" s="0" t="str">
        <f aca="false">IF('THÁNG 8'!$C54="","",'THÁNG 8'!$H54&amp;"")</f>
        <v/>
      </c>
      <c r="I347" s="0" t="str">
        <f aca="false">IF('THÁNG 8'!$C54="","",N('THÁNG 8'!$I54))</f>
        <v/>
      </c>
      <c r="J347" s="0" t="str">
        <f aca="false">IF('THÁNG 8'!$C54="","",N('THÁNG 8'!$L54))</f>
        <v/>
      </c>
      <c r="K347" s="0" t="str">
        <f aca="false">IF('THÁNG 8'!$C54="","",N('THÁNG 8'!$N54))</f>
        <v/>
      </c>
      <c r="L347" s="0" t="str">
        <f aca="false">IF('THÁNG 8'!$C54="","",N('THÁNG 8'!$O54))</f>
        <v/>
      </c>
      <c r="M347" s="0" t="str">
        <f aca="false">IF('THÁNG 8'!$C54="","",N('THÁNG 8'!$P54))</f>
        <v/>
      </c>
      <c r="N347" s="0" t="str">
        <f aca="false">IF('THÁNG 8'!$C54="","",N('THÁNG 8'!$Q54))</f>
        <v/>
      </c>
      <c r="O347" s="0" t="str">
        <f aca="false">IF('THÁNG 8'!$C54="","",N('THÁNG 8'!$R54))</f>
        <v/>
      </c>
      <c r="P347" s="0" t="str">
        <f aca="false">IF(OR('THÁNG 8'!$C54="",'THÁNG 8'!$T54=""),"",'THÁNG 8'!$T54)</f>
        <v/>
      </c>
      <c r="Q347" s="0" t="str">
        <f aca="false">IF(OR('THÁNG 8'!$C54="",'THÁNG 8'!$U54=""),"",'THÁNG 8'!$U54)</f>
        <v/>
      </c>
      <c r="R347" s="0" t="str">
        <f aca="false">IF('THÁNG 8'!$C54="","",'THÁNG 8'!$W54&amp;"")</f>
        <v/>
      </c>
      <c r="S347" s="0" t="str">
        <f aca="false">IF('THÁNG 8'!$C54="","",'THÁNG 8'!$S54&amp;"")</f>
        <v/>
      </c>
      <c r="T347" s="0" t="str">
        <f aca="false">IF(N($O347)&gt;0,COUNTIF($O$3:$O347,"&gt;0"),"")</f>
        <v/>
      </c>
      <c r="U347" s="0" t="str">
        <f aca="false">IF(AND(N($J347)&gt;0,N($K347)&gt;0),COUNTIFS($J$3:$J347,"&gt;0",$K$3:$K347,"&gt;0"),"")</f>
        <v/>
      </c>
      <c r="V347" s="0" t="str">
        <f aca="false">IF(AND(N($J347)&gt;0,N($K347)=0),COUNTIFS($J$3:$J347,"&gt;0",$K$3:$K347,"&lt;=0"),"")</f>
        <v/>
      </c>
      <c r="W347" s="0" t="str">
        <f aca="false">IF($C347="","",IF(COUNTIF($C$3:$C347,$C347)&gt;1,"",MAX($W$2:W346)+1))</f>
        <v/>
      </c>
      <c r="X347" s="0" t="str">
        <f aca="false">IF($H347="","",IF(COUNTIF($H$3:$H347,$H347)&gt;1,"",MAX($X$2:X346)+1))</f>
        <v/>
      </c>
      <c r="Y347" s="0" t="str">
        <f aca="false">IF(AND(N($M347)&gt;0,N($O347)&lt;=0),COUNTIFS($M$3:$M347,"&gt;0",$O$3:$O347,"&lt;=0"),"")</f>
        <v/>
      </c>
      <c r="Z347" s="30" t="n">
        <f aca="false">IF(OR('THÁNG 8'!$C54="",'THÁNG 8'!$B54=""),0,'THÁNG 8'!$B54)</f>
        <v>0</v>
      </c>
    </row>
    <row r="348" customFormat="false" ht="15" hidden="false" customHeight="false" outlineLevel="0" collapsed="false">
      <c r="A348" s="0" t="n">
        <v>8</v>
      </c>
      <c r="B348" s="29" t="str">
        <f aca="false">IF(OR('THÁNG 8'!$C55="",'THÁNG 8'!$B55=""),"",'THÁNG 8'!$B55)</f>
        <v/>
      </c>
      <c r="C348" s="0" t="str">
        <f aca="false">IF('THÁNG 8'!$C55="","",'THÁNG 8'!$C55)</f>
        <v/>
      </c>
      <c r="D348" s="0" t="str">
        <f aca="false">IF('THÁNG 8'!$C55="","",'THÁNG 8'!$D55&amp;"")</f>
        <v/>
      </c>
      <c r="E348" s="0" t="str">
        <f aca="false">IF('THÁNG 8'!$C55="","",'THÁNG 8'!$E55&amp;"")</f>
        <v/>
      </c>
      <c r="F348" s="0" t="str">
        <f aca="false">IF('THÁNG 8'!$C55="","",'THÁNG 8'!$F55&amp;"")</f>
        <v/>
      </c>
      <c r="G348" s="0" t="str">
        <f aca="false">IF('THÁNG 8'!$C55="","",'THÁNG 8'!$G55&amp;"")</f>
        <v/>
      </c>
      <c r="H348" s="0" t="str">
        <f aca="false">IF('THÁNG 8'!$C55="","",'THÁNG 8'!$H55&amp;"")</f>
        <v/>
      </c>
      <c r="I348" s="0" t="str">
        <f aca="false">IF('THÁNG 8'!$C55="","",N('THÁNG 8'!$I55))</f>
        <v/>
      </c>
      <c r="J348" s="0" t="str">
        <f aca="false">IF('THÁNG 8'!$C55="","",N('THÁNG 8'!$L55))</f>
        <v/>
      </c>
      <c r="K348" s="0" t="str">
        <f aca="false">IF('THÁNG 8'!$C55="","",N('THÁNG 8'!$N55))</f>
        <v/>
      </c>
      <c r="L348" s="0" t="str">
        <f aca="false">IF('THÁNG 8'!$C55="","",N('THÁNG 8'!$O55))</f>
        <v/>
      </c>
      <c r="M348" s="0" t="str">
        <f aca="false">IF('THÁNG 8'!$C55="","",N('THÁNG 8'!$P55))</f>
        <v/>
      </c>
      <c r="N348" s="0" t="str">
        <f aca="false">IF('THÁNG 8'!$C55="","",N('THÁNG 8'!$Q55))</f>
        <v/>
      </c>
      <c r="O348" s="0" t="str">
        <f aca="false">IF('THÁNG 8'!$C55="","",N('THÁNG 8'!$R55))</f>
        <v/>
      </c>
      <c r="P348" s="0" t="str">
        <f aca="false">IF(OR('THÁNG 8'!$C55="",'THÁNG 8'!$T55=""),"",'THÁNG 8'!$T55)</f>
        <v/>
      </c>
      <c r="Q348" s="0" t="str">
        <f aca="false">IF(OR('THÁNG 8'!$C55="",'THÁNG 8'!$U55=""),"",'THÁNG 8'!$U55)</f>
        <v/>
      </c>
      <c r="R348" s="0" t="str">
        <f aca="false">IF('THÁNG 8'!$C55="","",'THÁNG 8'!$W55&amp;"")</f>
        <v/>
      </c>
      <c r="S348" s="0" t="str">
        <f aca="false">IF('THÁNG 8'!$C55="","",'THÁNG 8'!$S55&amp;"")</f>
        <v/>
      </c>
      <c r="T348" s="0" t="str">
        <f aca="false">IF(N($O348)&gt;0,COUNTIF($O$3:$O348,"&gt;0"),"")</f>
        <v/>
      </c>
      <c r="U348" s="0" t="str">
        <f aca="false">IF(AND(N($J348)&gt;0,N($K348)&gt;0),COUNTIFS($J$3:$J348,"&gt;0",$K$3:$K348,"&gt;0"),"")</f>
        <v/>
      </c>
      <c r="V348" s="0" t="str">
        <f aca="false">IF(AND(N($J348)&gt;0,N($K348)=0),COUNTIFS($J$3:$J348,"&gt;0",$K$3:$K348,"&lt;=0"),"")</f>
        <v/>
      </c>
      <c r="W348" s="0" t="str">
        <f aca="false">IF($C348="","",IF(COUNTIF($C$3:$C348,$C348)&gt;1,"",MAX($W$2:W347)+1))</f>
        <v/>
      </c>
      <c r="X348" s="0" t="str">
        <f aca="false">IF($H348="","",IF(COUNTIF($H$3:$H348,$H348)&gt;1,"",MAX($X$2:X347)+1))</f>
        <v/>
      </c>
      <c r="Y348" s="0" t="str">
        <f aca="false">IF(AND(N($M348)&gt;0,N($O348)&lt;=0),COUNTIFS($M$3:$M348,"&gt;0",$O$3:$O348,"&lt;=0"),"")</f>
        <v/>
      </c>
      <c r="Z348" s="30" t="n">
        <f aca="false">IF(OR('THÁNG 8'!$C55="",'THÁNG 8'!$B55=""),0,'THÁNG 8'!$B55)</f>
        <v>0</v>
      </c>
    </row>
    <row r="349" customFormat="false" ht="15" hidden="false" customHeight="false" outlineLevel="0" collapsed="false">
      <c r="A349" s="0" t="n">
        <v>8</v>
      </c>
      <c r="B349" s="29" t="str">
        <f aca="false">IF(OR('THÁNG 8'!$C56="",'THÁNG 8'!$B56=""),"",'THÁNG 8'!$B56)</f>
        <v/>
      </c>
      <c r="C349" s="0" t="str">
        <f aca="false">IF('THÁNG 8'!$C56="","",'THÁNG 8'!$C56)</f>
        <v/>
      </c>
      <c r="D349" s="0" t="str">
        <f aca="false">IF('THÁNG 8'!$C56="","",'THÁNG 8'!$D56&amp;"")</f>
        <v/>
      </c>
      <c r="E349" s="0" t="str">
        <f aca="false">IF('THÁNG 8'!$C56="","",'THÁNG 8'!$E56&amp;"")</f>
        <v/>
      </c>
      <c r="F349" s="0" t="str">
        <f aca="false">IF('THÁNG 8'!$C56="","",'THÁNG 8'!$F56&amp;"")</f>
        <v/>
      </c>
      <c r="G349" s="0" t="str">
        <f aca="false">IF('THÁNG 8'!$C56="","",'THÁNG 8'!$G56&amp;"")</f>
        <v/>
      </c>
      <c r="H349" s="0" t="str">
        <f aca="false">IF('THÁNG 8'!$C56="","",'THÁNG 8'!$H56&amp;"")</f>
        <v/>
      </c>
      <c r="I349" s="0" t="str">
        <f aca="false">IF('THÁNG 8'!$C56="","",N('THÁNG 8'!$I56))</f>
        <v/>
      </c>
      <c r="J349" s="0" t="str">
        <f aca="false">IF('THÁNG 8'!$C56="","",N('THÁNG 8'!$L56))</f>
        <v/>
      </c>
      <c r="K349" s="0" t="str">
        <f aca="false">IF('THÁNG 8'!$C56="","",N('THÁNG 8'!$N56))</f>
        <v/>
      </c>
      <c r="L349" s="0" t="str">
        <f aca="false">IF('THÁNG 8'!$C56="","",N('THÁNG 8'!$O56))</f>
        <v/>
      </c>
      <c r="M349" s="0" t="str">
        <f aca="false">IF('THÁNG 8'!$C56="","",N('THÁNG 8'!$P56))</f>
        <v/>
      </c>
      <c r="N349" s="0" t="str">
        <f aca="false">IF('THÁNG 8'!$C56="","",N('THÁNG 8'!$Q56))</f>
        <v/>
      </c>
      <c r="O349" s="0" t="str">
        <f aca="false">IF('THÁNG 8'!$C56="","",N('THÁNG 8'!$R56))</f>
        <v/>
      </c>
      <c r="P349" s="0" t="str">
        <f aca="false">IF(OR('THÁNG 8'!$C56="",'THÁNG 8'!$T56=""),"",'THÁNG 8'!$T56)</f>
        <v/>
      </c>
      <c r="Q349" s="0" t="str">
        <f aca="false">IF(OR('THÁNG 8'!$C56="",'THÁNG 8'!$U56=""),"",'THÁNG 8'!$U56)</f>
        <v/>
      </c>
      <c r="R349" s="0" t="str">
        <f aca="false">IF('THÁNG 8'!$C56="","",'THÁNG 8'!$W56&amp;"")</f>
        <v/>
      </c>
      <c r="S349" s="0" t="str">
        <f aca="false">IF('THÁNG 8'!$C56="","",'THÁNG 8'!$S56&amp;"")</f>
        <v/>
      </c>
      <c r="T349" s="0" t="str">
        <f aca="false">IF(N($O349)&gt;0,COUNTIF($O$3:$O349,"&gt;0"),"")</f>
        <v/>
      </c>
      <c r="U349" s="0" t="str">
        <f aca="false">IF(AND(N($J349)&gt;0,N($K349)&gt;0),COUNTIFS($J$3:$J349,"&gt;0",$K$3:$K349,"&gt;0"),"")</f>
        <v/>
      </c>
      <c r="V349" s="0" t="str">
        <f aca="false">IF(AND(N($J349)&gt;0,N($K349)=0),COUNTIFS($J$3:$J349,"&gt;0",$K$3:$K349,"&lt;=0"),"")</f>
        <v/>
      </c>
      <c r="W349" s="0" t="str">
        <f aca="false">IF($C349="","",IF(COUNTIF($C$3:$C349,$C349)&gt;1,"",MAX($W$2:W348)+1))</f>
        <v/>
      </c>
      <c r="X349" s="0" t="str">
        <f aca="false">IF($H349="","",IF(COUNTIF($H$3:$H349,$H349)&gt;1,"",MAX($X$2:X348)+1))</f>
        <v/>
      </c>
      <c r="Y349" s="0" t="str">
        <f aca="false">IF(AND(N($M349)&gt;0,N($O349)&lt;=0),COUNTIFS($M$3:$M349,"&gt;0",$O$3:$O349,"&lt;=0"),"")</f>
        <v/>
      </c>
      <c r="Z349" s="30" t="n">
        <f aca="false">IF(OR('THÁNG 8'!$C56="",'THÁNG 8'!$B56=""),0,'THÁNG 8'!$B56)</f>
        <v>0</v>
      </c>
    </row>
    <row r="350" customFormat="false" ht="15" hidden="false" customHeight="false" outlineLevel="0" collapsed="false">
      <c r="A350" s="0" t="n">
        <v>8</v>
      </c>
      <c r="B350" s="29" t="str">
        <f aca="false">IF(OR('THÁNG 8'!$C57="",'THÁNG 8'!$B57=""),"",'THÁNG 8'!$B57)</f>
        <v/>
      </c>
      <c r="C350" s="0" t="str">
        <f aca="false">IF('THÁNG 8'!$C57="","",'THÁNG 8'!$C57)</f>
        <v/>
      </c>
      <c r="D350" s="0" t="str">
        <f aca="false">IF('THÁNG 8'!$C57="","",'THÁNG 8'!$D57&amp;"")</f>
        <v/>
      </c>
      <c r="E350" s="0" t="str">
        <f aca="false">IF('THÁNG 8'!$C57="","",'THÁNG 8'!$E57&amp;"")</f>
        <v/>
      </c>
      <c r="F350" s="0" t="str">
        <f aca="false">IF('THÁNG 8'!$C57="","",'THÁNG 8'!$F57&amp;"")</f>
        <v/>
      </c>
      <c r="G350" s="0" t="str">
        <f aca="false">IF('THÁNG 8'!$C57="","",'THÁNG 8'!$G57&amp;"")</f>
        <v/>
      </c>
      <c r="H350" s="0" t="str">
        <f aca="false">IF('THÁNG 8'!$C57="","",'THÁNG 8'!$H57&amp;"")</f>
        <v/>
      </c>
      <c r="I350" s="0" t="str">
        <f aca="false">IF('THÁNG 8'!$C57="","",N('THÁNG 8'!$I57))</f>
        <v/>
      </c>
      <c r="J350" s="0" t="str">
        <f aca="false">IF('THÁNG 8'!$C57="","",N('THÁNG 8'!$L57))</f>
        <v/>
      </c>
      <c r="K350" s="0" t="str">
        <f aca="false">IF('THÁNG 8'!$C57="","",N('THÁNG 8'!$N57))</f>
        <v/>
      </c>
      <c r="L350" s="0" t="str">
        <f aca="false">IF('THÁNG 8'!$C57="","",N('THÁNG 8'!$O57))</f>
        <v/>
      </c>
      <c r="M350" s="0" t="str">
        <f aca="false">IF('THÁNG 8'!$C57="","",N('THÁNG 8'!$P57))</f>
        <v/>
      </c>
      <c r="N350" s="0" t="str">
        <f aca="false">IF('THÁNG 8'!$C57="","",N('THÁNG 8'!$Q57))</f>
        <v/>
      </c>
      <c r="O350" s="0" t="str">
        <f aca="false">IF('THÁNG 8'!$C57="","",N('THÁNG 8'!$R57))</f>
        <v/>
      </c>
      <c r="P350" s="0" t="str">
        <f aca="false">IF(OR('THÁNG 8'!$C57="",'THÁNG 8'!$T57=""),"",'THÁNG 8'!$T57)</f>
        <v/>
      </c>
      <c r="Q350" s="0" t="str">
        <f aca="false">IF(OR('THÁNG 8'!$C57="",'THÁNG 8'!$U57=""),"",'THÁNG 8'!$U57)</f>
        <v/>
      </c>
      <c r="R350" s="0" t="str">
        <f aca="false">IF('THÁNG 8'!$C57="","",'THÁNG 8'!$W57&amp;"")</f>
        <v/>
      </c>
      <c r="S350" s="0" t="str">
        <f aca="false">IF('THÁNG 8'!$C57="","",'THÁNG 8'!$S57&amp;"")</f>
        <v/>
      </c>
      <c r="T350" s="0" t="str">
        <f aca="false">IF(N($O350)&gt;0,COUNTIF($O$3:$O350,"&gt;0"),"")</f>
        <v/>
      </c>
      <c r="U350" s="0" t="str">
        <f aca="false">IF(AND(N($J350)&gt;0,N($K350)&gt;0),COUNTIFS($J$3:$J350,"&gt;0",$K$3:$K350,"&gt;0"),"")</f>
        <v/>
      </c>
      <c r="V350" s="0" t="str">
        <f aca="false">IF(AND(N($J350)&gt;0,N($K350)=0),COUNTIFS($J$3:$J350,"&gt;0",$K$3:$K350,"&lt;=0"),"")</f>
        <v/>
      </c>
      <c r="W350" s="0" t="str">
        <f aca="false">IF($C350="","",IF(COUNTIF($C$3:$C350,$C350)&gt;1,"",MAX($W$2:W349)+1))</f>
        <v/>
      </c>
      <c r="X350" s="0" t="str">
        <f aca="false">IF($H350="","",IF(COUNTIF($H$3:$H350,$H350)&gt;1,"",MAX($X$2:X349)+1))</f>
        <v/>
      </c>
      <c r="Y350" s="0" t="str">
        <f aca="false">IF(AND(N($M350)&gt;0,N($O350)&lt;=0),COUNTIFS($M$3:$M350,"&gt;0",$O$3:$O350,"&lt;=0"),"")</f>
        <v/>
      </c>
      <c r="Z350" s="30" t="n">
        <f aca="false">IF(OR('THÁNG 8'!$C57="",'THÁNG 8'!$B57=""),0,'THÁNG 8'!$B57)</f>
        <v>0</v>
      </c>
    </row>
    <row r="351" customFormat="false" ht="15" hidden="false" customHeight="false" outlineLevel="0" collapsed="false">
      <c r="A351" s="0" t="n">
        <v>8</v>
      </c>
      <c r="B351" s="29" t="str">
        <f aca="false">IF(OR('THÁNG 8'!$C58="",'THÁNG 8'!$B58=""),"",'THÁNG 8'!$B58)</f>
        <v/>
      </c>
      <c r="C351" s="0" t="str">
        <f aca="false">IF('THÁNG 8'!$C58="","",'THÁNG 8'!$C58)</f>
        <v/>
      </c>
      <c r="D351" s="0" t="str">
        <f aca="false">IF('THÁNG 8'!$C58="","",'THÁNG 8'!$D58&amp;"")</f>
        <v/>
      </c>
      <c r="E351" s="0" t="str">
        <f aca="false">IF('THÁNG 8'!$C58="","",'THÁNG 8'!$E58&amp;"")</f>
        <v/>
      </c>
      <c r="F351" s="0" t="str">
        <f aca="false">IF('THÁNG 8'!$C58="","",'THÁNG 8'!$F58&amp;"")</f>
        <v/>
      </c>
      <c r="G351" s="0" t="str">
        <f aca="false">IF('THÁNG 8'!$C58="","",'THÁNG 8'!$G58&amp;"")</f>
        <v/>
      </c>
      <c r="H351" s="0" t="str">
        <f aca="false">IF('THÁNG 8'!$C58="","",'THÁNG 8'!$H58&amp;"")</f>
        <v/>
      </c>
      <c r="I351" s="0" t="str">
        <f aca="false">IF('THÁNG 8'!$C58="","",N('THÁNG 8'!$I58))</f>
        <v/>
      </c>
      <c r="J351" s="0" t="str">
        <f aca="false">IF('THÁNG 8'!$C58="","",N('THÁNG 8'!$L58))</f>
        <v/>
      </c>
      <c r="K351" s="0" t="str">
        <f aca="false">IF('THÁNG 8'!$C58="","",N('THÁNG 8'!$N58))</f>
        <v/>
      </c>
      <c r="L351" s="0" t="str">
        <f aca="false">IF('THÁNG 8'!$C58="","",N('THÁNG 8'!$O58))</f>
        <v/>
      </c>
      <c r="M351" s="0" t="str">
        <f aca="false">IF('THÁNG 8'!$C58="","",N('THÁNG 8'!$P58))</f>
        <v/>
      </c>
      <c r="N351" s="0" t="str">
        <f aca="false">IF('THÁNG 8'!$C58="","",N('THÁNG 8'!$Q58))</f>
        <v/>
      </c>
      <c r="O351" s="0" t="str">
        <f aca="false">IF('THÁNG 8'!$C58="","",N('THÁNG 8'!$R58))</f>
        <v/>
      </c>
      <c r="P351" s="0" t="str">
        <f aca="false">IF(OR('THÁNG 8'!$C58="",'THÁNG 8'!$T58=""),"",'THÁNG 8'!$T58)</f>
        <v/>
      </c>
      <c r="Q351" s="0" t="str">
        <f aca="false">IF(OR('THÁNG 8'!$C58="",'THÁNG 8'!$U58=""),"",'THÁNG 8'!$U58)</f>
        <v/>
      </c>
      <c r="R351" s="0" t="str">
        <f aca="false">IF('THÁNG 8'!$C58="","",'THÁNG 8'!$W58&amp;"")</f>
        <v/>
      </c>
      <c r="S351" s="0" t="str">
        <f aca="false">IF('THÁNG 8'!$C58="","",'THÁNG 8'!$S58&amp;"")</f>
        <v/>
      </c>
      <c r="T351" s="0" t="str">
        <f aca="false">IF(N($O351)&gt;0,COUNTIF($O$3:$O351,"&gt;0"),"")</f>
        <v/>
      </c>
      <c r="U351" s="0" t="str">
        <f aca="false">IF(AND(N($J351)&gt;0,N($K351)&gt;0),COUNTIFS($J$3:$J351,"&gt;0",$K$3:$K351,"&gt;0"),"")</f>
        <v/>
      </c>
      <c r="V351" s="0" t="str">
        <f aca="false">IF(AND(N($J351)&gt;0,N($K351)=0),COUNTIFS($J$3:$J351,"&gt;0",$K$3:$K351,"&lt;=0"),"")</f>
        <v/>
      </c>
      <c r="W351" s="0" t="str">
        <f aca="false">IF($C351="","",IF(COUNTIF($C$3:$C351,$C351)&gt;1,"",MAX($W$2:W350)+1))</f>
        <v/>
      </c>
      <c r="X351" s="0" t="str">
        <f aca="false">IF($H351="","",IF(COUNTIF($H$3:$H351,$H351)&gt;1,"",MAX($X$2:X350)+1))</f>
        <v/>
      </c>
      <c r="Y351" s="0" t="str">
        <f aca="false">IF(AND(N($M351)&gt;0,N($O351)&lt;=0),COUNTIFS($M$3:$M351,"&gt;0",$O$3:$O351,"&lt;=0"),"")</f>
        <v/>
      </c>
      <c r="Z351" s="30" t="n">
        <f aca="false">IF(OR('THÁNG 8'!$C58="",'THÁNG 8'!$B58=""),0,'THÁNG 8'!$B58)</f>
        <v>0</v>
      </c>
    </row>
    <row r="352" customFormat="false" ht="15" hidden="false" customHeight="false" outlineLevel="0" collapsed="false">
      <c r="A352" s="0" t="n">
        <v>8</v>
      </c>
      <c r="B352" s="29" t="str">
        <f aca="false">IF(OR('THÁNG 8'!$C59="",'THÁNG 8'!$B59=""),"",'THÁNG 8'!$B59)</f>
        <v/>
      </c>
      <c r="C352" s="0" t="str">
        <f aca="false">IF('THÁNG 8'!$C59="","",'THÁNG 8'!$C59)</f>
        <v/>
      </c>
      <c r="D352" s="0" t="str">
        <f aca="false">IF('THÁNG 8'!$C59="","",'THÁNG 8'!$D59&amp;"")</f>
        <v/>
      </c>
      <c r="E352" s="0" t="str">
        <f aca="false">IF('THÁNG 8'!$C59="","",'THÁNG 8'!$E59&amp;"")</f>
        <v/>
      </c>
      <c r="F352" s="0" t="str">
        <f aca="false">IF('THÁNG 8'!$C59="","",'THÁNG 8'!$F59&amp;"")</f>
        <v/>
      </c>
      <c r="G352" s="0" t="str">
        <f aca="false">IF('THÁNG 8'!$C59="","",'THÁNG 8'!$G59&amp;"")</f>
        <v/>
      </c>
      <c r="H352" s="0" t="str">
        <f aca="false">IF('THÁNG 8'!$C59="","",'THÁNG 8'!$H59&amp;"")</f>
        <v/>
      </c>
      <c r="I352" s="0" t="str">
        <f aca="false">IF('THÁNG 8'!$C59="","",N('THÁNG 8'!$I59))</f>
        <v/>
      </c>
      <c r="J352" s="0" t="str">
        <f aca="false">IF('THÁNG 8'!$C59="","",N('THÁNG 8'!$L59))</f>
        <v/>
      </c>
      <c r="K352" s="0" t="str">
        <f aca="false">IF('THÁNG 8'!$C59="","",N('THÁNG 8'!$N59))</f>
        <v/>
      </c>
      <c r="L352" s="0" t="str">
        <f aca="false">IF('THÁNG 8'!$C59="","",N('THÁNG 8'!$O59))</f>
        <v/>
      </c>
      <c r="M352" s="0" t="str">
        <f aca="false">IF('THÁNG 8'!$C59="","",N('THÁNG 8'!$P59))</f>
        <v/>
      </c>
      <c r="N352" s="0" t="str">
        <f aca="false">IF('THÁNG 8'!$C59="","",N('THÁNG 8'!$Q59))</f>
        <v/>
      </c>
      <c r="O352" s="0" t="str">
        <f aca="false">IF('THÁNG 8'!$C59="","",N('THÁNG 8'!$R59))</f>
        <v/>
      </c>
      <c r="P352" s="0" t="str">
        <f aca="false">IF(OR('THÁNG 8'!$C59="",'THÁNG 8'!$T59=""),"",'THÁNG 8'!$T59)</f>
        <v/>
      </c>
      <c r="Q352" s="0" t="str">
        <f aca="false">IF(OR('THÁNG 8'!$C59="",'THÁNG 8'!$U59=""),"",'THÁNG 8'!$U59)</f>
        <v/>
      </c>
      <c r="R352" s="0" t="str">
        <f aca="false">IF('THÁNG 8'!$C59="","",'THÁNG 8'!$W59&amp;"")</f>
        <v/>
      </c>
      <c r="S352" s="0" t="str">
        <f aca="false">IF('THÁNG 8'!$C59="","",'THÁNG 8'!$S59&amp;"")</f>
        <v/>
      </c>
      <c r="T352" s="0" t="str">
        <f aca="false">IF(N($O352)&gt;0,COUNTIF($O$3:$O352,"&gt;0"),"")</f>
        <v/>
      </c>
      <c r="U352" s="0" t="str">
        <f aca="false">IF(AND(N($J352)&gt;0,N($K352)&gt;0),COUNTIFS($J$3:$J352,"&gt;0",$K$3:$K352,"&gt;0"),"")</f>
        <v/>
      </c>
      <c r="V352" s="0" t="str">
        <f aca="false">IF(AND(N($J352)&gt;0,N($K352)=0),COUNTIFS($J$3:$J352,"&gt;0",$K$3:$K352,"&lt;=0"),"")</f>
        <v/>
      </c>
      <c r="W352" s="0" t="str">
        <f aca="false">IF($C352="","",IF(COUNTIF($C$3:$C352,$C352)&gt;1,"",MAX($W$2:W351)+1))</f>
        <v/>
      </c>
      <c r="X352" s="0" t="str">
        <f aca="false">IF($H352="","",IF(COUNTIF($H$3:$H352,$H352)&gt;1,"",MAX($X$2:X351)+1))</f>
        <v/>
      </c>
      <c r="Y352" s="0" t="str">
        <f aca="false">IF(AND(N($M352)&gt;0,N($O352)&lt;=0),COUNTIFS($M$3:$M352,"&gt;0",$O$3:$O352,"&lt;=0"),"")</f>
        <v/>
      </c>
      <c r="Z352" s="30" t="n">
        <f aca="false">IF(OR('THÁNG 8'!$C59="",'THÁNG 8'!$B59=""),0,'THÁNG 8'!$B59)</f>
        <v>0</v>
      </c>
    </row>
    <row r="353" customFormat="false" ht="15" hidden="false" customHeight="false" outlineLevel="0" collapsed="false">
      <c r="A353" s="0" t="n">
        <v>8</v>
      </c>
      <c r="B353" s="29" t="str">
        <f aca="false">IF(OR('THÁNG 8'!$C60="",'THÁNG 8'!$B60=""),"",'THÁNG 8'!$B60)</f>
        <v/>
      </c>
      <c r="C353" s="0" t="str">
        <f aca="false">IF('THÁNG 8'!$C60="","",'THÁNG 8'!$C60)</f>
        <v/>
      </c>
      <c r="D353" s="0" t="str">
        <f aca="false">IF('THÁNG 8'!$C60="","",'THÁNG 8'!$D60&amp;"")</f>
        <v/>
      </c>
      <c r="E353" s="0" t="str">
        <f aca="false">IF('THÁNG 8'!$C60="","",'THÁNG 8'!$E60&amp;"")</f>
        <v/>
      </c>
      <c r="F353" s="0" t="str">
        <f aca="false">IF('THÁNG 8'!$C60="","",'THÁNG 8'!$F60&amp;"")</f>
        <v/>
      </c>
      <c r="G353" s="0" t="str">
        <f aca="false">IF('THÁNG 8'!$C60="","",'THÁNG 8'!$G60&amp;"")</f>
        <v/>
      </c>
      <c r="H353" s="0" t="str">
        <f aca="false">IF('THÁNG 8'!$C60="","",'THÁNG 8'!$H60&amp;"")</f>
        <v/>
      </c>
      <c r="I353" s="0" t="str">
        <f aca="false">IF('THÁNG 8'!$C60="","",N('THÁNG 8'!$I60))</f>
        <v/>
      </c>
      <c r="J353" s="0" t="str">
        <f aca="false">IF('THÁNG 8'!$C60="","",N('THÁNG 8'!$L60))</f>
        <v/>
      </c>
      <c r="K353" s="0" t="str">
        <f aca="false">IF('THÁNG 8'!$C60="","",N('THÁNG 8'!$N60))</f>
        <v/>
      </c>
      <c r="L353" s="0" t="str">
        <f aca="false">IF('THÁNG 8'!$C60="","",N('THÁNG 8'!$O60))</f>
        <v/>
      </c>
      <c r="M353" s="0" t="str">
        <f aca="false">IF('THÁNG 8'!$C60="","",N('THÁNG 8'!$P60))</f>
        <v/>
      </c>
      <c r="N353" s="0" t="str">
        <f aca="false">IF('THÁNG 8'!$C60="","",N('THÁNG 8'!$Q60))</f>
        <v/>
      </c>
      <c r="O353" s="0" t="str">
        <f aca="false">IF('THÁNG 8'!$C60="","",N('THÁNG 8'!$R60))</f>
        <v/>
      </c>
      <c r="P353" s="0" t="str">
        <f aca="false">IF(OR('THÁNG 8'!$C60="",'THÁNG 8'!$T60=""),"",'THÁNG 8'!$T60)</f>
        <v/>
      </c>
      <c r="Q353" s="0" t="str">
        <f aca="false">IF(OR('THÁNG 8'!$C60="",'THÁNG 8'!$U60=""),"",'THÁNG 8'!$U60)</f>
        <v/>
      </c>
      <c r="R353" s="0" t="str">
        <f aca="false">IF('THÁNG 8'!$C60="","",'THÁNG 8'!$W60&amp;"")</f>
        <v/>
      </c>
      <c r="S353" s="0" t="str">
        <f aca="false">IF('THÁNG 8'!$C60="","",'THÁNG 8'!$S60&amp;"")</f>
        <v/>
      </c>
      <c r="T353" s="0" t="str">
        <f aca="false">IF(N($O353)&gt;0,COUNTIF($O$3:$O353,"&gt;0"),"")</f>
        <v/>
      </c>
      <c r="U353" s="0" t="str">
        <f aca="false">IF(AND(N($J353)&gt;0,N($K353)&gt;0),COUNTIFS($J$3:$J353,"&gt;0",$K$3:$K353,"&gt;0"),"")</f>
        <v/>
      </c>
      <c r="V353" s="0" t="str">
        <f aca="false">IF(AND(N($J353)&gt;0,N($K353)=0),COUNTIFS($J$3:$J353,"&gt;0",$K$3:$K353,"&lt;=0"),"")</f>
        <v/>
      </c>
      <c r="W353" s="0" t="str">
        <f aca="false">IF($C353="","",IF(COUNTIF($C$3:$C353,$C353)&gt;1,"",MAX($W$2:W352)+1))</f>
        <v/>
      </c>
      <c r="X353" s="0" t="str">
        <f aca="false">IF($H353="","",IF(COUNTIF($H$3:$H353,$H353)&gt;1,"",MAX($X$2:X352)+1))</f>
        <v/>
      </c>
      <c r="Y353" s="0" t="str">
        <f aca="false">IF(AND(N($M353)&gt;0,N($O353)&lt;=0),COUNTIFS($M$3:$M353,"&gt;0",$O$3:$O353,"&lt;=0"),"")</f>
        <v/>
      </c>
      <c r="Z353" s="30" t="n">
        <f aca="false">IF(OR('THÁNG 8'!$C60="",'THÁNG 8'!$B60=""),0,'THÁNG 8'!$B60)</f>
        <v>0</v>
      </c>
    </row>
    <row r="354" customFormat="false" ht="15" hidden="false" customHeight="false" outlineLevel="0" collapsed="false">
      <c r="A354" s="0" t="n">
        <v>8</v>
      </c>
      <c r="B354" s="29" t="str">
        <f aca="false">IF(OR('THÁNG 8'!$C61="",'THÁNG 8'!$B61=""),"",'THÁNG 8'!$B61)</f>
        <v/>
      </c>
      <c r="C354" s="0" t="str">
        <f aca="false">IF('THÁNG 8'!$C61="","",'THÁNG 8'!$C61)</f>
        <v/>
      </c>
      <c r="D354" s="0" t="str">
        <f aca="false">IF('THÁNG 8'!$C61="","",'THÁNG 8'!$D61&amp;"")</f>
        <v/>
      </c>
      <c r="E354" s="0" t="str">
        <f aca="false">IF('THÁNG 8'!$C61="","",'THÁNG 8'!$E61&amp;"")</f>
        <v/>
      </c>
      <c r="F354" s="0" t="str">
        <f aca="false">IF('THÁNG 8'!$C61="","",'THÁNG 8'!$F61&amp;"")</f>
        <v/>
      </c>
      <c r="G354" s="0" t="str">
        <f aca="false">IF('THÁNG 8'!$C61="","",'THÁNG 8'!$G61&amp;"")</f>
        <v/>
      </c>
      <c r="H354" s="0" t="str">
        <f aca="false">IF('THÁNG 8'!$C61="","",'THÁNG 8'!$H61&amp;"")</f>
        <v/>
      </c>
      <c r="I354" s="0" t="str">
        <f aca="false">IF('THÁNG 8'!$C61="","",N('THÁNG 8'!$I61))</f>
        <v/>
      </c>
      <c r="J354" s="0" t="str">
        <f aca="false">IF('THÁNG 8'!$C61="","",N('THÁNG 8'!$L61))</f>
        <v/>
      </c>
      <c r="K354" s="0" t="str">
        <f aca="false">IF('THÁNG 8'!$C61="","",N('THÁNG 8'!$N61))</f>
        <v/>
      </c>
      <c r="L354" s="0" t="str">
        <f aca="false">IF('THÁNG 8'!$C61="","",N('THÁNG 8'!$O61))</f>
        <v/>
      </c>
      <c r="M354" s="0" t="str">
        <f aca="false">IF('THÁNG 8'!$C61="","",N('THÁNG 8'!$P61))</f>
        <v/>
      </c>
      <c r="N354" s="0" t="str">
        <f aca="false">IF('THÁNG 8'!$C61="","",N('THÁNG 8'!$Q61))</f>
        <v/>
      </c>
      <c r="O354" s="0" t="str">
        <f aca="false">IF('THÁNG 8'!$C61="","",N('THÁNG 8'!$R61))</f>
        <v/>
      </c>
      <c r="P354" s="0" t="str">
        <f aca="false">IF(OR('THÁNG 8'!$C61="",'THÁNG 8'!$T61=""),"",'THÁNG 8'!$T61)</f>
        <v/>
      </c>
      <c r="Q354" s="0" t="str">
        <f aca="false">IF(OR('THÁNG 8'!$C61="",'THÁNG 8'!$U61=""),"",'THÁNG 8'!$U61)</f>
        <v/>
      </c>
      <c r="R354" s="0" t="str">
        <f aca="false">IF('THÁNG 8'!$C61="","",'THÁNG 8'!$W61&amp;"")</f>
        <v/>
      </c>
      <c r="S354" s="0" t="str">
        <f aca="false">IF('THÁNG 8'!$C61="","",'THÁNG 8'!$S61&amp;"")</f>
        <v/>
      </c>
      <c r="T354" s="0" t="str">
        <f aca="false">IF(N($O354)&gt;0,COUNTIF($O$3:$O354,"&gt;0"),"")</f>
        <v/>
      </c>
      <c r="U354" s="0" t="str">
        <f aca="false">IF(AND(N($J354)&gt;0,N($K354)&gt;0),COUNTIFS($J$3:$J354,"&gt;0",$K$3:$K354,"&gt;0"),"")</f>
        <v/>
      </c>
      <c r="V354" s="0" t="str">
        <f aca="false">IF(AND(N($J354)&gt;0,N($K354)=0),COUNTIFS($J$3:$J354,"&gt;0",$K$3:$K354,"&lt;=0"),"")</f>
        <v/>
      </c>
      <c r="W354" s="0" t="str">
        <f aca="false">IF($C354="","",IF(COUNTIF($C$3:$C354,$C354)&gt;1,"",MAX($W$2:W353)+1))</f>
        <v/>
      </c>
      <c r="X354" s="0" t="str">
        <f aca="false">IF($H354="","",IF(COUNTIF($H$3:$H354,$H354)&gt;1,"",MAX($X$2:X353)+1))</f>
        <v/>
      </c>
      <c r="Y354" s="0" t="str">
        <f aca="false">IF(AND(N($M354)&gt;0,N($O354)&lt;=0),COUNTIFS($M$3:$M354,"&gt;0",$O$3:$O354,"&lt;=0"),"")</f>
        <v/>
      </c>
      <c r="Z354" s="30" t="n">
        <f aca="false">IF(OR('THÁNG 8'!$C61="",'THÁNG 8'!$B61=""),0,'THÁNG 8'!$B61)</f>
        <v>0</v>
      </c>
    </row>
    <row r="355" customFormat="false" ht="15" hidden="false" customHeight="false" outlineLevel="0" collapsed="false">
      <c r="A355" s="0" t="n">
        <v>8</v>
      </c>
      <c r="B355" s="29" t="str">
        <f aca="false">IF(OR('THÁNG 8'!$C62="",'THÁNG 8'!$B62=""),"",'THÁNG 8'!$B62)</f>
        <v/>
      </c>
      <c r="C355" s="0" t="str">
        <f aca="false">IF('THÁNG 8'!$C62="","",'THÁNG 8'!$C62)</f>
        <v/>
      </c>
      <c r="D355" s="0" t="str">
        <f aca="false">IF('THÁNG 8'!$C62="","",'THÁNG 8'!$D62&amp;"")</f>
        <v/>
      </c>
      <c r="E355" s="0" t="str">
        <f aca="false">IF('THÁNG 8'!$C62="","",'THÁNG 8'!$E62&amp;"")</f>
        <v/>
      </c>
      <c r="F355" s="0" t="str">
        <f aca="false">IF('THÁNG 8'!$C62="","",'THÁNG 8'!$F62&amp;"")</f>
        <v/>
      </c>
      <c r="G355" s="0" t="str">
        <f aca="false">IF('THÁNG 8'!$C62="","",'THÁNG 8'!$G62&amp;"")</f>
        <v/>
      </c>
      <c r="H355" s="0" t="str">
        <f aca="false">IF('THÁNG 8'!$C62="","",'THÁNG 8'!$H62&amp;"")</f>
        <v/>
      </c>
      <c r="I355" s="0" t="str">
        <f aca="false">IF('THÁNG 8'!$C62="","",N('THÁNG 8'!$I62))</f>
        <v/>
      </c>
      <c r="J355" s="0" t="str">
        <f aca="false">IF('THÁNG 8'!$C62="","",N('THÁNG 8'!$L62))</f>
        <v/>
      </c>
      <c r="K355" s="0" t="str">
        <f aca="false">IF('THÁNG 8'!$C62="","",N('THÁNG 8'!$N62))</f>
        <v/>
      </c>
      <c r="L355" s="0" t="str">
        <f aca="false">IF('THÁNG 8'!$C62="","",N('THÁNG 8'!$O62))</f>
        <v/>
      </c>
      <c r="M355" s="0" t="str">
        <f aca="false">IF('THÁNG 8'!$C62="","",N('THÁNG 8'!$P62))</f>
        <v/>
      </c>
      <c r="N355" s="0" t="str">
        <f aca="false">IF('THÁNG 8'!$C62="","",N('THÁNG 8'!$Q62))</f>
        <v/>
      </c>
      <c r="O355" s="0" t="str">
        <f aca="false">IF('THÁNG 8'!$C62="","",N('THÁNG 8'!$R62))</f>
        <v/>
      </c>
      <c r="P355" s="0" t="str">
        <f aca="false">IF(OR('THÁNG 8'!$C62="",'THÁNG 8'!$T62=""),"",'THÁNG 8'!$T62)</f>
        <v/>
      </c>
      <c r="Q355" s="0" t="str">
        <f aca="false">IF(OR('THÁNG 8'!$C62="",'THÁNG 8'!$U62=""),"",'THÁNG 8'!$U62)</f>
        <v/>
      </c>
      <c r="R355" s="0" t="str">
        <f aca="false">IF('THÁNG 8'!$C62="","",'THÁNG 8'!$W62&amp;"")</f>
        <v/>
      </c>
      <c r="S355" s="0" t="str">
        <f aca="false">IF('THÁNG 8'!$C62="","",'THÁNG 8'!$S62&amp;"")</f>
        <v/>
      </c>
      <c r="T355" s="0" t="str">
        <f aca="false">IF(N($O355)&gt;0,COUNTIF($O$3:$O355,"&gt;0"),"")</f>
        <v/>
      </c>
      <c r="U355" s="0" t="str">
        <f aca="false">IF(AND(N($J355)&gt;0,N($K355)&gt;0),COUNTIFS($J$3:$J355,"&gt;0",$K$3:$K355,"&gt;0"),"")</f>
        <v/>
      </c>
      <c r="V355" s="0" t="str">
        <f aca="false">IF(AND(N($J355)&gt;0,N($K355)=0),COUNTIFS($J$3:$J355,"&gt;0",$K$3:$K355,"&lt;=0"),"")</f>
        <v/>
      </c>
      <c r="W355" s="0" t="str">
        <f aca="false">IF($C355="","",IF(COUNTIF($C$3:$C355,$C355)&gt;1,"",MAX($W$2:W354)+1))</f>
        <v/>
      </c>
      <c r="X355" s="0" t="str">
        <f aca="false">IF($H355="","",IF(COUNTIF($H$3:$H355,$H355)&gt;1,"",MAX($X$2:X354)+1))</f>
        <v/>
      </c>
      <c r="Y355" s="0" t="str">
        <f aca="false">IF(AND(N($M355)&gt;0,N($O355)&lt;=0),COUNTIFS($M$3:$M355,"&gt;0",$O$3:$O355,"&lt;=0"),"")</f>
        <v/>
      </c>
      <c r="Z355" s="30" t="n">
        <f aca="false">IF(OR('THÁNG 8'!$C62="",'THÁNG 8'!$B62=""),0,'THÁNG 8'!$B62)</f>
        <v>0</v>
      </c>
    </row>
    <row r="356" customFormat="false" ht="15" hidden="false" customHeight="false" outlineLevel="0" collapsed="false">
      <c r="A356" s="0" t="n">
        <v>8</v>
      </c>
      <c r="B356" s="29" t="str">
        <f aca="false">IF(OR('THÁNG 8'!$C63="",'THÁNG 8'!$B63=""),"",'THÁNG 8'!$B63)</f>
        <v/>
      </c>
      <c r="C356" s="0" t="str">
        <f aca="false">IF('THÁNG 8'!$C63="","",'THÁNG 8'!$C63)</f>
        <v/>
      </c>
      <c r="D356" s="0" t="str">
        <f aca="false">IF('THÁNG 8'!$C63="","",'THÁNG 8'!$D63&amp;"")</f>
        <v/>
      </c>
      <c r="E356" s="0" t="str">
        <f aca="false">IF('THÁNG 8'!$C63="","",'THÁNG 8'!$E63&amp;"")</f>
        <v/>
      </c>
      <c r="F356" s="0" t="str">
        <f aca="false">IF('THÁNG 8'!$C63="","",'THÁNG 8'!$F63&amp;"")</f>
        <v/>
      </c>
      <c r="G356" s="0" t="str">
        <f aca="false">IF('THÁNG 8'!$C63="","",'THÁNG 8'!$G63&amp;"")</f>
        <v/>
      </c>
      <c r="H356" s="0" t="str">
        <f aca="false">IF('THÁNG 8'!$C63="","",'THÁNG 8'!$H63&amp;"")</f>
        <v/>
      </c>
      <c r="I356" s="0" t="str">
        <f aca="false">IF('THÁNG 8'!$C63="","",N('THÁNG 8'!$I63))</f>
        <v/>
      </c>
      <c r="J356" s="0" t="str">
        <f aca="false">IF('THÁNG 8'!$C63="","",N('THÁNG 8'!$L63))</f>
        <v/>
      </c>
      <c r="K356" s="0" t="str">
        <f aca="false">IF('THÁNG 8'!$C63="","",N('THÁNG 8'!$N63))</f>
        <v/>
      </c>
      <c r="L356" s="0" t="str">
        <f aca="false">IF('THÁNG 8'!$C63="","",N('THÁNG 8'!$O63))</f>
        <v/>
      </c>
      <c r="M356" s="0" t="str">
        <f aca="false">IF('THÁNG 8'!$C63="","",N('THÁNG 8'!$P63))</f>
        <v/>
      </c>
      <c r="N356" s="0" t="str">
        <f aca="false">IF('THÁNG 8'!$C63="","",N('THÁNG 8'!$Q63))</f>
        <v/>
      </c>
      <c r="O356" s="0" t="str">
        <f aca="false">IF('THÁNG 8'!$C63="","",N('THÁNG 8'!$R63))</f>
        <v/>
      </c>
      <c r="P356" s="0" t="str">
        <f aca="false">IF(OR('THÁNG 8'!$C63="",'THÁNG 8'!$T63=""),"",'THÁNG 8'!$T63)</f>
        <v/>
      </c>
      <c r="Q356" s="0" t="str">
        <f aca="false">IF(OR('THÁNG 8'!$C63="",'THÁNG 8'!$U63=""),"",'THÁNG 8'!$U63)</f>
        <v/>
      </c>
      <c r="R356" s="0" t="str">
        <f aca="false">IF('THÁNG 8'!$C63="","",'THÁNG 8'!$W63&amp;"")</f>
        <v/>
      </c>
      <c r="S356" s="0" t="str">
        <f aca="false">IF('THÁNG 8'!$C63="","",'THÁNG 8'!$S63&amp;"")</f>
        <v/>
      </c>
      <c r="T356" s="0" t="str">
        <f aca="false">IF(N($O356)&gt;0,COUNTIF($O$3:$O356,"&gt;0"),"")</f>
        <v/>
      </c>
      <c r="U356" s="0" t="str">
        <f aca="false">IF(AND(N($J356)&gt;0,N($K356)&gt;0),COUNTIFS($J$3:$J356,"&gt;0",$K$3:$K356,"&gt;0"),"")</f>
        <v/>
      </c>
      <c r="V356" s="0" t="str">
        <f aca="false">IF(AND(N($J356)&gt;0,N($K356)=0),COUNTIFS($J$3:$J356,"&gt;0",$K$3:$K356,"&lt;=0"),"")</f>
        <v/>
      </c>
      <c r="W356" s="0" t="str">
        <f aca="false">IF($C356="","",IF(COUNTIF($C$3:$C356,$C356)&gt;1,"",MAX($W$2:W355)+1))</f>
        <v/>
      </c>
      <c r="X356" s="0" t="str">
        <f aca="false">IF($H356="","",IF(COUNTIF($H$3:$H356,$H356)&gt;1,"",MAX($X$2:X355)+1))</f>
        <v/>
      </c>
      <c r="Y356" s="0" t="str">
        <f aca="false">IF(AND(N($M356)&gt;0,N($O356)&lt;=0),COUNTIFS($M$3:$M356,"&gt;0",$O$3:$O356,"&lt;=0"),"")</f>
        <v/>
      </c>
      <c r="Z356" s="30" t="n">
        <f aca="false">IF(OR('THÁNG 8'!$C63="",'THÁNG 8'!$B63=""),0,'THÁNG 8'!$B63)</f>
        <v>0</v>
      </c>
    </row>
    <row r="357" customFormat="false" ht="15" hidden="false" customHeight="false" outlineLevel="0" collapsed="false">
      <c r="A357" s="0" t="n">
        <v>8</v>
      </c>
      <c r="B357" s="29" t="str">
        <f aca="false">IF(OR('THÁNG 8'!$C64="",'THÁNG 8'!$B64=""),"",'THÁNG 8'!$B64)</f>
        <v/>
      </c>
      <c r="C357" s="0" t="str">
        <f aca="false">IF('THÁNG 8'!$C64="","",'THÁNG 8'!$C64)</f>
        <v/>
      </c>
      <c r="D357" s="0" t="str">
        <f aca="false">IF('THÁNG 8'!$C64="","",'THÁNG 8'!$D64&amp;"")</f>
        <v/>
      </c>
      <c r="E357" s="0" t="str">
        <f aca="false">IF('THÁNG 8'!$C64="","",'THÁNG 8'!$E64&amp;"")</f>
        <v/>
      </c>
      <c r="F357" s="0" t="str">
        <f aca="false">IF('THÁNG 8'!$C64="","",'THÁNG 8'!$F64&amp;"")</f>
        <v/>
      </c>
      <c r="G357" s="0" t="str">
        <f aca="false">IF('THÁNG 8'!$C64="","",'THÁNG 8'!$G64&amp;"")</f>
        <v/>
      </c>
      <c r="H357" s="0" t="str">
        <f aca="false">IF('THÁNG 8'!$C64="","",'THÁNG 8'!$H64&amp;"")</f>
        <v/>
      </c>
      <c r="I357" s="0" t="str">
        <f aca="false">IF('THÁNG 8'!$C64="","",N('THÁNG 8'!$I64))</f>
        <v/>
      </c>
      <c r="J357" s="0" t="str">
        <f aca="false">IF('THÁNG 8'!$C64="","",N('THÁNG 8'!$L64))</f>
        <v/>
      </c>
      <c r="K357" s="0" t="str">
        <f aca="false">IF('THÁNG 8'!$C64="","",N('THÁNG 8'!$N64))</f>
        <v/>
      </c>
      <c r="L357" s="0" t="str">
        <f aca="false">IF('THÁNG 8'!$C64="","",N('THÁNG 8'!$O64))</f>
        <v/>
      </c>
      <c r="M357" s="0" t="str">
        <f aca="false">IF('THÁNG 8'!$C64="","",N('THÁNG 8'!$P64))</f>
        <v/>
      </c>
      <c r="N357" s="0" t="str">
        <f aca="false">IF('THÁNG 8'!$C64="","",N('THÁNG 8'!$Q64))</f>
        <v/>
      </c>
      <c r="O357" s="0" t="str">
        <f aca="false">IF('THÁNG 8'!$C64="","",N('THÁNG 8'!$R64))</f>
        <v/>
      </c>
      <c r="P357" s="0" t="str">
        <f aca="false">IF(OR('THÁNG 8'!$C64="",'THÁNG 8'!$T64=""),"",'THÁNG 8'!$T64)</f>
        <v/>
      </c>
      <c r="Q357" s="0" t="str">
        <f aca="false">IF(OR('THÁNG 8'!$C64="",'THÁNG 8'!$U64=""),"",'THÁNG 8'!$U64)</f>
        <v/>
      </c>
      <c r="R357" s="0" t="str">
        <f aca="false">IF('THÁNG 8'!$C64="","",'THÁNG 8'!$W64&amp;"")</f>
        <v/>
      </c>
      <c r="S357" s="0" t="str">
        <f aca="false">IF('THÁNG 8'!$C64="","",'THÁNG 8'!$S64&amp;"")</f>
        <v/>
      </c>
      <c r="T357" s="0" t="str">
        <f aca="false">IF(N($O357)&gt;0,COUNTIF($O$3:$O357,"&gt;0"),"")</f>
        <v/>
      </c>
      <c r="U357" s="0" t="str">
        <f aca="false">IF(AND(N($J357)&gt;0,N($K357)&gt;0),COUNTIFS($J$3:$J357,"&gt;0",$K$3:$K357,"&gt;0"),"")</f>
        <v/>
      </c>
      <c r="V357" s="0" t="str">
        <f aca="false">IF(AND(N($J357)&gt;0,N($K357)=0),COUNTIFS($J$3:$J357,"&gt;0",$K$3:$K357,"&lt;=0"),"")</f>
        <v/>
      </c>
      <c r="W357" s="0" t="str">
        <f aca="false">IF($C357="","",IF(COUNTIF($C$3:$C357,$C357)&gt;1,"",MAX($W$2:W356)+1))</f>
        <v/>
      </c>
      <c r="X357" s="0" t="str">
        <f aca="false">IF($H357="","",IF(COUNTIF($H$3:$H357,$H357)&gt;1,"",MAX($X$2:X356)+1))</f>
        <v/>
      </c>
      <c r="Y357" s="0" t="str">
        <f aca="false">IF(AND(N($M357)&gt;0,N($O357)&lt;=0),COUNTIFS($M$3:$M357,"&gt;0",$O$3:$O357,"&lt;=0"),"")</f>
        <v/>
      </c>
      <c r="Z357" s="30" t="n">
        <f aca="false">IF(OR('THÁNG 8'!$C64="",'THÁNG 8'!$B64=""),0,'THÁNG 8'!$B64)</f>
        <v>0</v>
      </c>
    </row>
    <row r="358" customFormat="false" ht="15" hidden="false" customHeight="false" outlineLevel="0" collapsed="false">
      <c r="A358" s="0" t="n">
        <v>8</v>
      </c>
      <c r="B358" s="29" t="str">
        <f aca="false">IF(OR('THÁNG 8'!$C65="",'THÁNG 8'!$B65=""),"",'THÁNG 8'!$B65)</f>
        <v/>
      </c>
      <c r="C358" s="0" t="str">
        <f aca="false">IF('THÁNG 8'!$C65="","",'THÁNG 8'!$C65)</f>
        <v/>
      </c>
      <c r="D358" s="0" t="str">
        <f aca="false">IF('THÁNG 8'!$C65="","",'THÁNG 8'!$D65&amp;"")</f>
        <v/>
      </c>
      <c r="E358" s="0" t="str">
        <f aca="false">IF('THÁNG 8'!$C65="","",'THÁNG 8'!$E65&amp;"")</f>
        <v/>
      </c>
      <c r="F358" s="0" t="str">
        <f aca="false">IF('THÁNG 8'!$C65="","",'THÁNG 8'!$F65&amp;"")</f>
        <v/>
      </c>
      <c r="G358" s="0" t="str">
        <f aca="false">IF('THÁNG 8'!$C65="","",'THÁNG 8'!$G65&amp;"")</f>
        <v/>
      </c>
      <c r="H358" s="0" t="str">
        <f aca="false">IF('THÁNG 8'!$C65="","",'THÁNG 8'!$H65&amp;"")</f>
        <v/>
      </c>
      <c r="I358" s="0" t="str">
        <f aca="false">IF('THÁNG 8'!$C65="","",N('THÁNG 8'!$I65))</f>
        <v/>
      </c>
      <c r="J358" s="0" t="str">
        <f aca="false">IF('THÁNG 8'!$C65="","",N('THÁNG 8'!$L65))</f>
        <v/>
      </c>
      <c r="K358" s="0" t="str">
        <f aca="false">IF('THÁNG 8'!$C65="","",N('THÁNG 8'!$N65))</f>
        <v/>
      </c>
      <c r="L358" s="0" t="str">
        <f aca="false">IF('THÁNG 8'!$C65="","",N('THÁNG 8'!$O65))</f>
        <v/>
      </c>
      <c r="M358" s="0" t="str">
        <f aca="false">IF('THÁNG 8'!$C65="","",N('THÁNG 8'!$P65))</f>
        <v/>
      </c>
      <c r="N358" s="0" t="str">
        <f aca="false">IF('THÁNG 8'!$C65="","",N('THÁNG 8'!$Q65))</f>
        <v/>
      </c>
      <c r="O358" s="0" t="str">
        <f aca="false">IF('THÁNG 8'!$C65="","",N('THÁNG 8'!$R65))</f>
        <v/>
      </c>
      <c r="P358" s="0" t="str">
        <f aca="false">IF(OR('THÁNG 8'!$C65="",'THÁNG 8'!$T65=""),"",'THÁNG 8'!$T65)</f>
        <v/>
      </c>
      <c r="Q358" s="0" t="str">
        <f aca="false">IF(OR('THÁNG 8'!$C65="",'THÁNG 8'!$U65=""),"",'THÁNG 8'!$U65)</f>
        <v/>
      </c>
      <c r="R358" s="0" t="str">
        <f aca="false">IF('THÁNG 8'!$C65="","",'THÁNG 8'!$W65&amp;"")</f>
        <v/>
      </c>
      <c r="S358" s="0" t="str">
        <f aca="false">IF('THÁNG 8'!$C65="","",'THÁNG 8'!$S65&amp;"")</f>
        <v/>
      </c>
      <c r="T358" s="0" t="str">
        <f aca="false">IF(N($O358)&gt;0,COUNTIF($O$3:$O358,"&gt;0"),"")</f>
        <v/>
      </c>
      <c r="U358" s="0" t="str">
        <f aca="false">IF(AND(N($J358)&gt;0,N($K358)&gt;0),COUNTIFS($J$3:$J358,"&gt;0",$K$3:$K358,"&gt;0"),"")</f>
        <v/>
      </c>
      <c r="V358" s="0" t="str">
        <f aca="false">IF(AND(N($J358)&gt;0,N($K358)=0),COUNTIFS($J$3:$J358,"&gt;0",$K$3:$K358,"&lt;=0"),"")</f>
        <v/>
      </c>
      <c r="W358" s="0" t="str">
        <f aca="false">IF($C358="","",IF(COUNTIF($C$3:$C358,$C358)&gt;1,"",MAX($W$2:W357)+1))</f>
        <v/>
      </c>
      <c r="X358" s="0" t="str">
        <f aca="false">IF($H358="","",IF(COUNTIF($H$3:$H358,$H358)&gt;1,"",MAX($X$2:X357)+1))</f>
        <v/>
      </c>
      <c r="Y358" s="0" t="str">
        <f aca="false">IF(AND(N($M358)&gt;0,N($O358)&lt;=0),COUNTIFS($M$3:$M358,"&gt;0",$O$3:$O358,"&lt;=0"),"")</f>
        <v/>
      </c>
      <c r="Z358" s="30" t="n">
        <f aca="false">IF(OR('THÁNG 8'!$C65="",'THÁNG 8'!$B65=""),0,'THÁNG 8'!$B65)</f>
        <v>0</v>
      </c>
    </row>
    <row r="359" customFormat="false" ht="15" hidden="false" customHeight="false" outlineLevel="0" collapsed="false">
      <c r="A359" s="0" t="n">
        <v>8</v>
      </c>
      <c r="B359" s="29" t="str">
        <f aca="false">IF(OR('THÁNG 8'!$C66="",'THÁNG 8'!$B66=""),"",'THÁNG 8'!$B66)</f>
        <v/>
      </c>
      <c r="C359" s="0" t="str">
        <f aca="false">IF('THÁNG 8'!$C66="","",'THÁNG 8'!$C66)</f>
        <v/>
      </c>
      <c r="D359" s="0" t="str">
        <f aca="false">IF('THÁNG 8'!$C66="","",'THÁNG 8'!$D66&amp;"")</f>
        <v/>
      </c>
      <c r="E359" s="0" t="str">
        <f aca="false">IF('THÁNG 8'!$C66="","",'THÁNG 8'!$E66&amp;"")</f>
        <v/>
      </c>
      <c r="F359" s="0" t="str">
        <f aca="false">IF('THÁNG 8'!$C66="","",'THÁNG 8'!$F66&amp;"")</f>
        <v/>
      </c>
      <c r="G359" s="0" t="str">
        <f aca="false">IF('THÁNG 8'!$C66="","",'THÁNG 8'!$G66&amp;"")</f>
        <v/>
      </c>
      <c r="H359" s="0" t="str">
        <f aca="false">IF('THÁNG 8'!$C66="","",'THÁNG 8'!$H66&amp;"")</f>
        <v/>
      </c>
      <c r="I359" s="0" t="str">
        <f aca="false">IF('THÁNG 8'!$C66="","",N('THÁNG 8'!$I66))</f>
        <v/>
      </c>
      <c r="J359" s="0" t="str">
        <f aca="false">IF('THÁNG 8'!$C66="","",N('THÁNG 8'!$L66))</f>
        <v/>
      </c>
      <c r="K359" s="0" t="str">
        <f aca="false">IF('THÁNG 8'!$C66="","",N('THÁNG 8'!$N66))</f>
        <v/>
      </c>
      <c r="L359" s="0" t="str">
        <f aca="false">IF('THÁNG 8'!$C66="","",N('THÁNG 8'!$O66))</f>
        <v/>
      </c>
      <c r="M359" s="0" t="str">
        <f aca="false">IF('THÁNG 8'!$C66="","",N('THÁNG 8'!$P66))</f>
        <v/>
      </c>
      <c r="N359" s="0" t="str">
        <f aca="false">IF('THÁNG 8'!$C66="","",N('THÁNG 8'!$Q66))</f>
        <v/>
      </c>
      <c r="O359" s="0" t="str">
        <f aca="false">IF('THÁNG 8'!$C66="","",N('THÁNG 8'!$R66))</f>
        <v/>
      </c>
      <c r="P359" s="0" t="str">
        <f aca="false">IF(OR('THÁNG 8'!$C66="",'THÁNG 8'!$T66=""),"",'THÁNG 8'!$T66)</f>
        <v/>
      </c>
      <c r="Q359" s="0" t="str">
        <f aca="false">IF(OR('THÁNG 8'!$C66="",'THÁNG 8'!$U66=""),"",'THÁNG 8'!$U66)</f>
        <v/>
      </c>
      <c r="R359" s="0" t="str">
        <f aca="false">IF('THÁNG 8'!$C66="","",'THÁNG 8'!$W66&amp;"")</f>
        <v/>
      </c>
      <c r="S359" s="0" t="str">
        <f aca="false">IF('THÁNG 8'!$C66="","",'THÁNG 8'!$S66&amp;"")</f>
        <v/>
      </c>
      <c r="T359" s="0" t="str">
        <f aca="false">IF(N($O359)&gt;0,COUNTIF($O$3:$O359,"&gt;0"),"")</f>
        <v/>
      </c>
      <c r="U359" s="0" t="str">
        <f aca="false">IF(AND(N($J359)&gt;0,N($K359)&gt;0),COUNTIFS($J$3:$J359,"&gt;0",$K$3:$K359,"&gt;0"),"")</f>
        <v/>
      </c>
      <c r="V359" s="0" t="str">
        <f aca="false">IF(AND(N($J359)&gt;0,N($K359)=0),COUNTIFS($J$3:$J359,"&gt;0",$K$3:$K359,"&lt;=0"),"")</f>
        <v/>
      </c>
      <c r="W359" s="0" t="str">
        <f aca="false">IF($C359="","",IF(COUNTIF($C$3:$C359,$C359)&gt;1,"",MAX($W$2:W358)+1))</f>
        <v/>
      </c>
      <c r="X359" s="0" t="str">
        <f aca="false">IF($H359="","",IF(COUNTIF($H$3:$H359,$H359)&gt;1,"",MAX($X$2:X358)+1))</f>
        <v/>
      </c>
      <c r="Y359" s="0" t="str">
        <f aca="false">IF(AND(N($M359)&gt;0,N($O359)&lt;=0),COUNTIFS($M$3:$M359,"&gt;0",$O$3:$O359,"&lt;=0"),"")</f>
        <v/>
      </c>
      <c r="Z359" s="30" t="n">
        <f aca="false">IF(OR('THÁNG 8'!$C66="",'THÁNG 8'!$B66=""),0,'THÁNG 8'!$B66)</f>
        <v>0</v>
      </c>
    </row>
    <row r="360" customFormat="false" ht="15" hidden="false" customHeight="false" outlineLevel="0" collapsed="false">
      <c r="A360" s="0" t="n">
        <v>8</v>
      </c>
      <c r="B360" s="29" t="str">
        <f aca="false">IF(OR('THÁNG 8'!$C67="",'THÁNG 8'!$B67=""),"",'THÁNG 8'!$B67)</f>
        <v/>
      </c>
      <c r="C360" s="0" t="str">
        <f aca="false">IF('THÁNG 8'!$C67="","",'THÁNG 8'!$C67)</f>
        <v/>
      </c>
      <c r="D360" s="0" t="str">
        <f aca="false">IF('THÁNG 8'!$C67="","",'THÁNG 8'!$D67&amp;"")</f>
        <v/>
      </c>
      <c r="E360" s="0" t="str">
        <f aca="false">IF('THÁNG 8'!$C67="","",'THÁNG 8'!$E67&amp;"")</f>
        <v/>
      </c>
      <c r="F360" s="0" t="str">
        <f aca="false">IF('THÁNG 8'!$C67="","",'THÁNG 8'!$F67&amp;"")</f>
        <v/>
      </c>
      <c r="G360" s="0" t="str">
        <f aca="false">IF('THÁNG 8'!$C67="","",'THÁNG 8'!$G67&amp;"")</f>
        <v/>
      </c>
      <c r="H360" s="0" t="str">
        <f aca="false">IF('THÁNG 8'!$C67="","",'THÁNG 8'!$H67&amp;"")</f>
        <v/>
      </c>
      <c r="I360" s="0" t="str">
        <f aca="false">IF('THÁNG 8'!$C67="","",N('THÁNG 8'!$I67))</f>
        <v/>
      </c>
      <c r="J360" s="0" t="str">
        <f aca="false">IF('THÁNG 8'!$C67="","",N('THÁNG 8'!$L67))</f>
        <v/>
      </c>
      <c r="K360" s="0" t="str">
        <f aca="false">IF('THÁNG 8'!$C67="","",N('THÁNG 8'!$N67))</f>
        <v/>
      </c>
      <c r="L360" s="0" t="str">
        <f aca="false">IF('THÁNG 8'!$C67="","",N('THÁNG 8'!$O67))</f>
        <v/>
      </c>
      <c r="M360" s="0" t="str">
        <f aca="false">IF('THÁNG 8'!$C67="","",N('THÁNG 8'!$P67))</f>
        <v/>
      </c>
      <c r="N360" s="0" t="str">
        <f aca="false">IF('THÁNG 8'!$C67="","",N('THÁNG 8'!$Q67))</f>
        <v/>
      </c>
      <c r="O360" s="0" t="str">
        <f aca="false">IF('THÁNG 8'!$C67="","",N('THÁNG 8'!$R67))</f>
        <v/>
      </c>
      <c r="P360" s="0" t="str">
        <f aca="false">IF(OR('THÁNG 8'!$C67="",'THÁNG 8'!$T67=""),"",'THÁNG 8'!$T67)</f>
        <v/>
      </c>
      <c r="Q360" s="0" t="str">
        <f aca="false">IF(OR('THÁNG 8'!$C67="",'THÁNG 8'!$U67=""),"",'THÁNG 8'!$U67)</f>
        <v/>
      </c>
      <c r="R360" s="0" t="str">
        <f aca="false">IF('THÁNG 8'!$C67="","",'THÁNG 8'!$W67&amp;"")</f>
        <v/>
      </c>
      <c r="S360" s="0" t="str">
        <f aca="false">IF('THÁNG 8'!$C67="","",'THÁNG 8'!$S67&amp;"")</f>
        <v/>
      </c>
      <c r="T360" s="0" t="str">
        <f aca="false">IF(N($O360)&gt;0,COUNTIF($O$3:$O360,"&gt;0"),"")</f>
        <v/>
      </c>
      <c r="U360" s="0" t="str">
        <f aca="false">IF(AND(N($J360)&gt;0,N($K360)&gt;0),COUNTIFS($J$3:$J360,"&gt;0",$K$3:$K360,"&gt;0"),"")</f>
        <v/>
      </c>
      <c r="V360" s="0" t="str">
        <f aca="false">IF(AND(N($J360)&gt;0,N($K360)=0),COUNTIFS($J$3:$J360,"&gt;0",$K$3:$K360,"&lt;=0"),"")</f>
        <v/>
      </c>
      <c r="W360" s="0" t="str">
        <f aca="false">IF($C360="","",IF(COUNTIF($C$3:$C360,$C360)&gt;1,"",MAX($W$2:W359)+1))</f>
        <v/>
      </c>
      <c r="X360" s="0" t="str">
        <f aca="false">IF($H360="","",IF(COUNTIF($H$3:$H360,$H360)&gt;1,"",MAX($X$2:X359)+1))</f>
        <v/>
      </c>
      <c r="Y360" s="0" t="str">
        <f aca="false">IF(AND(N($M360)&gt;0,N($O360)&lt;=0),COUNTIFS($M$3:$M360,"&gt;0",$O$3:$O360,"&lt;=0"),"")</f>
        <v/>
      </c>
      <c r="Z360" s="30" t="n">
        <f aca="false">IF(OR('THÁNG 8'!$C67="",'THÁNG 8'!$B67=""),0,'THÁNG 8'!$B67)</f>
        <v>0</v>
      </c>
    </row>
    <row r="361" customFormat="false" ht="15" hidden="false" customHeight="false" outlineLevel="0" collapsed="false">
      <c r="A361" s="0" t="n">
        <v>8</v>
      </c>
      <c r="B361" s="29" t="str">
        <f aca="false">IF(OR('THÁNG 8'!$C68="",'THÁNG 8'!$B68=""),"",'THÁNG 8'!$B68)</f>
        <v/>
      </c>
      <c r="C361" s="0" t="str">
        <f aca="false">IF('THÁNG 8'!$C68="","",'THÁNG 8'!$C68)</f>
        <v/>
      </c>
      <c r="D361" s="0" t="str">
        <f aca="false">IF('THÁNG 8'!$C68="","",'THÁNG 8'!$D68&amp;"")</f>
        <v/>
      </c>
      <c r="E361" s="0" t="str">
        <f aca="false">IF('THÁNG 8'!$C68="","",'THÁNG 8'!$E68&amp;"")</f>
        <v/>
      </c>
      <c r="F361" s="0" t="str">
        <f aca="false">IF('THÁNG 8'!$C68="","",'THÁNG 8'!$F68&amp;"")</f>
        <v/>
      </c>
      <c r="G361" s="0" t="str">
        <f aca="false">IF('THÁNG 8'!$C68="","",'THÁNG 8'!$G68&amp;"")</f>
        <v/>
      </c>
      <c r="H361" s="0" t="str">
        <f aca="false">IF('THÁNG 8'!$C68="","",'THÁNG 8'!$H68&amp;"")</f>
        <v/>
      </c>
      <c r="I361" s="0" t="str">
        <f aca="false">IF('THÁNG 8'!$C68="","",N('THÁNG 8'!$I68))</f>
        <v/>
      </c>
      <c r="J361" s="0" t="str">
        <f aca="false">IF('THÁNG 8'!$C68="","",N('THÁNG 8'!$L68))</f>
        <v/>
      </c>
      <c r="K361" s="0" t="str">
        <f aca="false">IF('THÁNG 8'!$C68="","",N('THÁNG 8'!$N68))</f>
        <v/>
      </c>
      <c r="L361" s="0" t="str">
        <f aca="false">IF('THÁNG 8'!$C68="","",N('THÁNG 8'!$O68))</f>
        <v/>
      </c>
      <c r="M361" s="0" t="str">
        <f aca="false">IF('THÁNG 8'!$C68="","",N('THÁNG 8'!$P68))</f>
        <v/>
      </c>
      <c r="N361" s="0" t="str">
        <f aca="false">IF('THÁNG 8'!$C68="","",N('THÁNG 8'!$Q68))</f>
        <v/>
      </c>
      <c r="O361" s="0" t="str">
        <f aca="false">IF('THÁNG 8'!$C68="","",N('THÁNG 8'!$R68))</f>
        <v/>
      </c>
      <c r="P361" s="0" t="str">
        <f aca="false">IF(OR('THÁNG 8'!$C68="",'THÁNG 8'!$T68=""),"",'THÁNG 8'!$T68)</f>
        <v/>
      </c>
      <c r="Q361" s="0" t="str">
        <f aca="false">IF(OR('THÁNG 8'!$C68="",'THÁNG 8'!$U68=""),"",'THÁNG 8'!$U68)</f>
        <v/>
      </c>
      <c r="R361" s="0" t="str">
        <f aca="false">IF('THÁNG 8'!$C68="","",'THÁNG 8'!$W68&amp;"")</f>
        <v/>
      </c>
      <c r="S361" s="0" t="str">
        <f aca="false">IF('THÁNG 8'!$C68="","",'THÁNG 8'!$S68&amp;"")</f>
        <v/>
      </c>
      <c r="T361" s="0" t="str">
        <f aca="false">IF(N($O361)&gt;0,COUNTIF($O$3:$O361,"&gt;0"),"")</f>
        <v/>
      </c>
      <c r="U361" s="0" t="str">
        <f aca="false">IF(AND(N($J361)&gt;0,N($K361)&gt;0),COUNTIFS($J$3:$J361,"&gt;0",$K$3:$K361,"&gt;0"),"")</f>
        <v/>
      </c>
      <c r="V361" s="0" t="str">
        <f aca="false">IF(AND(N($J361)&gt;0,N($K361)=0),COUNTIFS($J$3:$J361,"&gt;0",$K$3:$K361,"&lt;=0"),"")</f>
        <v/>
      </c>
      <c r="W361" s="0" t="str">
        <f aca="false">IF($C361="","",IF(COUNTIF($C$3:$C361,$C361)&gt;1,"",MAX($W$2:W360)+1))</f>
        <v/>
      </c>
      <c r="X361" s="0" t="str">
        <f aca="false">IF($H361="","",IF(COUNTIF($H$3:$H361,$H361)&gt;1,"",MAX($X$2:X360)+1))</f>
        <v/>
      </c>
      <c r="Y361" s="0" t="str">
        <f aca="false">IF(AND(N($M361)&gt;0,N($O361)&lt;=0),COUNTIFS($M$3:$M361,"&gt;0",$O$3:$O361,"&lt;=0"),"")</f>
        <v/>
      </c>
      <c r="Z361" s="30" t="n">
        <f aca="false">IF(OR('THÁNG 8'!$C68="",'THÁNG 8'!$B68=""),0,'THÁNG 8'!$B68)</f>
        <v>0</v>
      </c>
    </row>
    <row r="362" customFormat="false" ht="15" hidden="false" customHeight="false" outlineLevel="0" collapsed="false">
      <c r="A362" s="0" t="n">
        <v>8</v>
      </c>
      <c r="B362" s="29" t="str">
        <f aca="false">IF(OR('THÁNG 8'!$C69="",'THÁNG 8'!$B69=""),"",'THÁNG 8'!$B69)</f>
        <v/>
      </c>
      <c r="C362" s="0" t="str">
        <f aca="false">IF('THÁNG 8'!$C69="","",'THÁNG 8'!$C69)</f>
        <v/>
      </c>
      <c r="D362" s="0" t="str">
        <f aca="false">IF('THÁNG 8'!$C69="","",'THÁNG 8'!$D69&amp;"")</f>
        <v/>
      </c>
      <c r="E362" s="0" t="str">
        <f aca="false">IF('THÁNG 8'!$C69="","",'THÁNG 8'!$E69&amp;"")</f>
        <v/>
      </c>
      <c r="F362" s="0" t="str">
        <f aca="false">IF('THÁNG 8'!$C69="","",'THÁNG 8'!$F69&amp;"")</f>
        <v/>
      </c>
      <c r="G362" s="0" t="str">
        <f aca="false">IF('THÁNG 8'!$C69="","",'THÁNG 8'!$G69&amp;"")</f>
        <v/>
      </c>
      <c r="H362" s="0" t="str">
        <f aca="false">IF('THÁNG 8'!$C69="","",'THÁNG 8'!$H69&amp;"")</f>
        <v/>
      </c>
      <c r="I362" s="0" t="str">
        <f aca="false">IF('THÁNG 8'!$C69="","",N('THÁNG 8'!$I69))</f>
        <v/>
      </c>
      <c r="J362" s="0" t="str">
        <f aca="false">IF('THÁNG 8'!$C69="","",N('THÁNG 8'!$L69))</f>
        <v/>
      </c>
      <c r="K362" s="0" t="str">
        <f aca="false">IF('THÁNG 8'!$C69="","",N('THÁNG 8'!$N69))</f>
        <v/>
      </c>
      <c r="L362" s="0" t="str">
        <f aca="false">IF('THÁNG 8'!$C69="","",N('THÁNG 8'!$O69))</f>
        <v/>
      </c>
      <c r="M362" s="0" t="str">
        <f aca="false">IF('THÁNG 8'!$C69="","",N('THÁNG 8'!$P69))</f>
        <v/>
      </c>
      <c r="N362" s="0" t="str">
        <f aca="false">IF('THÁNG 8'!$C69="","",N('THÁNG 8'!$Q69))</f>
        <v/>
      </c>
      <c r="O362" s="0" t="str">
        <f aca="false">IF('THÁNG 8'!$C69="","",N('THÁNG 8'!$R69))</f>
        <v/>
      </c>
      <c r="P362" s="0" t="str">
        <f aca="false">IF(OR('THÁNG 8'!$C69="",'THÁNG 8'!$T69=""),"",'THÁNG 8'!$T69)</f>
        <v/>
      </c>
      <c r="Q362" s="0" t="str">
        <f aca="false">IF(OR('THÁNG 8'!$C69="",'THÁNG 8'!$U69=""),"",'THÁNG 8'!$U69)</f>
        <v/>
      </c>
      <c r="R362" s="0" t="str">
        <f aca="false">IF('THÁNG 8'!$C69="","",'THÁNG 8'!$W69&amp;"")</f>
        <v/>
      </c>
      <c r="S362" s="0" t="str">
        <f aca="false">IF('THÁNG 8'!$C69="","",'THÁNG 8'!$S69&amp;"")</f>
        <v/>
      </c>
      <c r="T362" s="0" t="str">
        <f aca="false">IF(N($O362)&gt;0,COUNTIF($O$3:$O362,"&gt;0"),"")</f>
        <v/>
      </c>
      <c r="U362" s="0" t="str">
        <f aca="false">IF(AND(N($J362)&gt;0,N($K362)&gt;0),COUNTIFS($J$3:$J362,"&gt;0",$K$3:$K362,"&gt;0"),"")</f>
        <v/>
      </c>
      <c r="V362" s="0" t="str">
        <f aca="false">IF(AND(N($J362)&gt;0,N($K362)=0),COUNTIFS($J$3:$J362,"&gt;0",$K$3:$K362,"&lt;=0"),"")</f>
        <v/>
      </c>
      <c r="W362" s="0" t="str">
        <f aca="false">IF($C362="","",IF(COUNTIF($C$3:$C362,$C362)&gt;1,"",MAX($W$2:W361)+1))</f>
        <v/>
      </c>
      <c r="X362" s="0" t="str">
        <f aca="false">IF($H362="","",IF(COUNTIF($H$3:$H362,$H362)&gt;1,"",MAX($X$2:X361)+1))</f>
        <v/>
      </c>
      <c r="Y362" s="0" t="str">
        <f aca="false">IF(AND(N($M362)&gt;0,N($O362)&lt;=0),COUNTIFS($M$3:$M362,"&gt;0",$O$3:$O362,"&lt;=0"),"")</f>
        <v/>
      </c>
      <c r="Z362" s="30" t="n">
        <f aca="false">IF(OR('THÁNG 8'!$C69="",'THÁNG 8'!$B69=""),0,'THÁNG 8'!$B69)</f>
        <v>0</v>
      </c>
    </row>
    <row r="363" customFormat="false" ht="15" hidden="false" customHeight="false" outlineLevel="0" collapsed="false">
      <c r="A363" s="0" t="n">
        <v>8</v>
      </c>
      <c r="B363" s="29" t="str">
        <f aca="false">IF(OR('THÁNG 8'!$C70="",'THÁNG 8'!$B70=""),"",'THÁNG 8'!$B70)</f>
        <v/>
      </c>
      <c r="C363" s="0" t="str">
        <f aca="false">IF('THÁNG 8'!$C70="","",'THÁNG 8'!$C70)</f>
        <v/>
      </c>
      <c r="D363" s="0" t="str">
        <f aca="false">IF('THÁNG 8'!$C70="","",'THÁNG 8'!$D70&amp;"")</f>
        <v/>
      </c>
      <c r="E363" s="0" t="str">
        <f aca="false">IF('THÁNG 8'!$C70="","",'THÁNG 8'!$E70&amp;"")</f>
        <v/>
      </c>
      <c r="F363" s="0" t="str">
        <f aca="false">IF('THÁNG 8'!$C70="","",'THÁNG 8'!$F70&amp;"")</f>
        <v/>
      </c>
      <c r="G363" s="0" t="str">
        <f aca="false">IF('THÁNG 8'!$C70="","",'THÁNG 8'!$G70&amp;"")</f>
        <v/>
      </c>
      <c r="H363" s="0" t="str">
        <f aca="false">IF('THÁNG 8'!$C70="","",'THÁNG 8'!$H70&amp;"")</f>
        <v/>
      </c>
      <c r="I363" s="0" t="str">
        <f aca="false">IF('THÁNG 8'!$C70="","",N('THÁNG 8'!$I70))</f>
        <v/>
      </c>
      <c r="J363" s="0" t="str">
        <f aca="false">IF('THÁNG 8'!$C70="","",N('THÁNG 8'!$L70))</f>
        <v/>
      </c>
      <c r="K363" s="0" t="str">
        <f aca="false">IF('THÁNG 8'!$C70="","",N('THÁNG 8'!$N70))</f>
        <v/>
      </c>
      <c r="L363" s="0" t="str">
        <f aca="false">IF('THÁNG 8'!$C70="","",N('THÁNG 8'!$O70))</f>
        <v/>
      </c>
      <c r="M363" s="0" t="str">
        <f aca="false">IF('THÁNG 8'!$C70="","",N('THÁNG 8'!$P70))</f>
        <v/>
      </c>
      <c r="N363" s="0" t="str">
        <f aca="false">IF('THÁNG 8'!$C70="","",N('THÁNG 8'!$Q70))</f>
        <v/>
      </c>
      <c r="O363" s="0" t="str">
        <f aca="false">IF('THÁNG 8'!$C70="","",N('THÁNG 8'!$R70))</f>
        <v/>
      </c>
      <c r="P363" s="0" t="str">
        <f aca="false">IF(OR('THÁNG 8'!$C70="",'THÁNG 8'!$T70=""),"",'THÁNG 8'!$T70)</f>
        <v/>
      </c>
      <c r="Q363" s="0" t="str">
        <f aca="false">IF(OR('THÁNG 8'!$C70="",'THÁNG 8'!$U70=""),"",'THÁNG 8'!$U70)</f>
        <v/>
      </c>
      <c r="R363" s="0" t="str">
        <f aca="false">IF('THÁNG 8'!$C70="","",'THÁNG 8'!$W70&amp;"")</f>
        <v/>
      </c>
      <c r="S363" s="0" t="str">
        <f aca="false">IF('THÁNG 8'!$C70="","",'THÁNG 8'!$S70&amp;"")</f>
        <v/>
      </c>
      <c r="T363" s="0" t="str">
        <f aca="false">IF(N($O363)&gt;0,COUNTIF($O$3:$O363,"&gt;0"),"")</f>
        <v/>
      </c>
      <c r="U363" s="0" t="str">
        <f aca="false">IF(AND(N($J363)&gt;0,N($K363)&gt;0),COUNTIFS($J$3:$J363,"&gt;0",$K$3:$K363,"&gt;0"),"")</f>
        <v/>
      </c>
      <c r="V363" s="0" t="str">
        <f aca="false">IF(AND(N($J363)&gt;0,N($K363)=0),COUNTIFS($J$3:$J363,"&gt;0",$K$3:$K363,"&lt;=0"),"")</f>
        <v/>
      </c>
      <c r="W363" s="0" t="str">
        <f aca="false">IF($C363="","",IF(COUNTIF($C$3:$C363,$C363)&gt;1,"",MAX($W$2:W362)+1))</f>
        <v/>
      </c>
      <c r="X363" s="0" t="str">
        <f aca="false">IF($H363="","",IF(COUNTIF($H$3:$H363,$H363)&gt;1,"",MAX($X$2:X362)+1))</f>
        <v/>
      </c>
      <c r="Y363" s="0" t="str">
        <f aca="false">IF(AND(N($M363)&gt;0,N($O363)&lt;=0),COUNTIFS($M$3:$M363,"&gt;0",$O$3:$O363,"&lt;=0"),"")</f>
        <v/>
      </c>
      <c r="Z363" s="30" t="n">
        <f aca="false">IF(OR('THÁNG 8'!$C70="",'THÁNG 8'!$B70=""),0,'THÁNG 8'!$B70)</f>
        <v>0</v>
      </c>
    </row>
    <row r="364" customFormat="false" ht="15" hidden="false" customHeight="false" outlineLevel="0" collapsed="false">
      <c r="A364" s="0" t="n">
        <v>8</v>
      </c>
      <c r="B364" s="29" t="str">
        <f aca="false">IF(OR('THÁNG 8'!$C71="",'THÁNG 8'!$B71=""),"",'THÁNG 8'!$B71)</f>
        <v/>
      </c>
      <c r="C364" s="0" t="str">
        <f aca="false">IF('THÁNG 8'!$C71="","",'THÁNG 8'!$C71)</f>
        <v/>
      </c>
      <c r="D364" s="0" t="str">
        <f aca="false">IF('THÁNG 8'!$C71="","",'THÁNG 8'!$D71&amp;"")</f>
        <v/>
      </c>
      <c r="E364" s="0" t="str">
        <f aca="false">IF('THÁNG 8'!$C71="","",'THÁNG 8'!$E71&amp;"")</f>
        <v/>
      </c>
      <c r="F364" s="0" t="str">
        <f aca="false">IF('THÁNG 8'!$C71="","",'THÁNG 8'!$F71&amp;"")</f>
        <v/>
      </c>
      <c r="G364" s="0" t="str">
        <f aca="false">IF('THÁNG 8'!$C71="","",'THÁNG 8'!$G71&amp;"")</f>
        <v/>
      </c>
      <c r="H364" s="0" t="str">
        <f aca="false">IF('THÁNG 8'!$C71="","",'THÁNG 8'!$H71&amp;"")</f>
        <v/>
      </c>
      <c r="I364" s="0" t="str">
        <f aca="false">IF('THÁNG 8'!$C71="","",N('THÁNG 8'!$I71))</f>
        <v/>
      </c>
      <c r="J364" s="0" t="str">
        <f aca="false">IF('THÁNG 8'!$C71="","",N('THÁNG 8'!$L71))</f>
        <v/>
      </c>
      <c r="K364" s="0" t="str">
        <f aca="false">IF('THÁNG 8'!$C71="","",N('THÁNG 8'!$N71))</f>
        <v/>
      </c>
      <c r="L364" s="0" t="str">
        <f aca="false">IF('THÁNG 8'!$C71="","",N('THÁNG 8'!$O71))</f>
        <v/>
      </c>
      <c r="M364" s="0" t="str">
        <f aca="false">IF('THÁNG 8'!$C71="","",N('THÁNG 8'!$P71))</f>
        <v/>
      </c>
      <c r="N364" s="0" t="str">
        <f aca="false">IF('THÁNG 8'!$C71="","",N('THÁNG 8'!$Q71))</f>
        <v/>
      </c>
      <c r="O364" s="0" t="str">
        <f aca="false">IF('THÁNG 8'!$C71="","",N('THÁNG 8'!$R71))</f>
        <v/>
      </c>
      <c r="P364" s="0" t="str">
        <f aca="false">IF(OR('THÁNG 8'!$C71="",'THÁNG 8'!$T71=""),"",'THÁNG 8'!$T71)</f>
        <v/>
      </c>
      <c r="Q364" s="0" t="str">
        <f aca="false">IF(OR('THÁNG 8'!$C71="",'THÁNG 8'!$U71=""),"",'THÁNG 8'!$U71)</f>
        <v/>
      </c>
      <c r="R364" s="0" t="str">
        <f aca="false">IF('THÁNG 8'!$C71="","",'THÁNG 8'!$W71&amp;"")</f>
        <v/>
      </c>
      <c r="S364" s="0" t="str">
        <f aca="false">IF('THÁNG 8'!$C71="","",'THÁNG 8'!$S71&amp;"")</f>
        <v/>
      </c>
      <c r="T364" s="0" t="str">
        <f aca="false">IF(N($O364)&gt;0,COUNTIF($O$3:$O364,"&gt;0"),"")</f>
        <v/>
      </c>
      <c r="U364" s="0" t="str">
        <f aca="false">IF(AND(N($J364)&gt;0,N($K364)&gt;0),COUNTIFS($J$3:$J364,"&gt;0",$K$3:$K364,"&gt;0"),"")</f>
        <v/>
      </c>
      <c r="V364" s="0" t="str">
        <f aca="false">IF(AND(N($J364)&gt;0,N($K364)=0),COUNTIFS($J$3:$J364,"&gt;0",$K$3:$K364,"&lt;=0"),"")</f>
        <v/>
      </c>
      <c r="W364" s="0" t="str">
        <f aca="false">IF($C364="","",IF(COUNTIF($C$3:$C364,$C364)&gt;1,"",MAX($W$2:W363)+1))</f>
        <v/>
      </c>
      <c r="X364" s="0" t="str">
        <f aca="false">IF($H364="","",IF(COUNTIF($H$3:$H364,$H364)&gt;1,"",MAX($X$2:X363)+1))</f>
        <v/>
      </c>
      <c r="Y364" s="0" t="str">
        <f aca="false">IF(AND(N($M364)&gt;0,N($O364)&lt;=0),COUNTIFS($M$3:$M364,"&gt;0",$O$3:$O364,"&lt;=0"),"")</f>
        <v/>
      </c>
      <c r="Z364" s="30" t="n">
        <f aca="false">IF(OR('THÁNG 8'!$C71="",'THÁNG 8'!$B71=""),0,'THÁNG 8'!$B71)</f>
        <v>0</v>
      </c>
    </row>
    <row r="365" customFormat="false" ht="15" hidden="false" customHeight="false" outlineLevel="0" collapsed="false">
      <c r="A365" s="0" t="n">
        <v>8</v>
      </c>
      <c r="B365" s="29" t="str">
        <f aca="false">IF(OR('THÁNG 8'!$C72="",'THÁNG 8'!$B72=""),"",'THÁNG 8'!$B72)</f>
        <v/>
      </c>
      <c r="C365" s="0" t="str">
        <f aca="false">IF('THÁNG 8'!$C72="","",'THÁNG 8'!$C72)</f>
        <v/>
      </c>
      <c r="D365" s="0" t="str">
        <f aca="false">IF('THÁNG 8'!$C72="","",'THÁNG 8'!$D72&amp;"")</f>
        <v/>
      </c>
      <c r="E365" s="0" t="str">
        <f aca="false">IF('THÁNG 8'!$C72="","",'THÁNG 8'!$E72&amp;"")</f>
        <v/>
      </c>
      <c r="F365" s="0" t="str">
        <f aca="false">IF('THÁNG 8'!$C72="","",'THÁNG 8'!$F72&amp;"")</f>
        <v/>
      </c>
      <c r="G365" s="0" t="str">
        <f aca="false">IF('THÁNG 8'!$C72="","",'THÁNG 8'!$G72&amp;"")</f>
        <v/>
      </c>
      <c r="H365" s="0" t="str">
        <f aca="false">IF('THÁNG 8'!$C72="","",'THÁNG 8'!$H72&amp;"")</f>
        <v/>
      </c>
      <c r="I365" s="0" t="str">
        <f aca="false">IF('THÁNG 8'!$C72="","",N('THÁNG 8'!$I72))</f>
        <v/>
      </c>
      <c r="J365" s="0" t="str">
        <f aca="false">IF('THÁNG 8'!$C72="","",N('THÁNG 8'!$L72))</f>
        <v/>
      </c>
      <c r="K365" s="0" t="str">
        <f aca="false">IF('THÁNG 8'!$C72="","",N('THÁNG 8'!$N72))</f>
        <v/>
      </c>
      <c r="L365" s="0" t="str">
        <f aca="false">IF('THÁNG 8'!$C72="","",N('THÁNG 8'!$O72))</f>
        <v/>
      </c>
      <c r="M365" s="0" t="str">
        <f aca="false">IF('THÁNG 8'!$C72="","",N('THÁNG 8'!$P72))</f>
        <v/>
      </c>
      <c r="N365" s="0" t="str">
        <f aca="false">IF('THÁNG 8'!$C72="","",N('THÁNG 8'!$Q72))</f>
        <v/>
      </c>
      <c r="O365" s="0" t="str">
        <f aca="false">IF('THÁNG 8'!$C72="","",N('THÁNG 8'!$R72))</f>
        <v/>
      </c>
      <c r="P365" s="0" t="str">
        <f aca="false">IF(OR('THÁNG 8'!$C72="",'THÁNG 8'!$T72=""),"",'THÁNG 8'!$T72)</f>
        <v/>
      </c>
      <c r="Q365" s="0" t="str">
        <f aca="false">IF(OR('THÁNG 8'!$C72="",'THÁNG 8'!$U72=""),"",'THÁNG 8'!$U72)</f>
        <v/>
      </c>
      <c r="R365" s="0" t="str">
        <f aca="false">IF('THÁNG 8'!$C72="","",'THÁNG 8'!$W72&amp;"")</f>
        <v/>
      </c>
      <c r="S365" s="0" t="str">
        <f aca="false">IF('THÁNG 8'!$C72="","",'THÁNG 8'!$S72&amp;"")</f>
        <v/>
      </c>
      <c r="T365" s="0" t="str">
        <f aca="false">IF(N($O365)&gt;0,COUNTIF($O$3:$O365,"&gt;0"),"")</f>
        <v/>
      </c>
      <c r="U365" s="0" t="str">
        <f aca="false">IF(AND(N($J365)&gt;0,N($K365)&gt;0),COUNTIFS($J$3:$J365,"&gt;0",$K$3:$K365,"&gt;0"),"")</f>
        <v/>
      </c>
      <c r="V365" s="0" t="str">
        <f aca="false">IF(AND(N($J365)&gt;0,N($K365)=0),COUNTIFS($J$3:$J365,"&gt;0",$K$3:$K365,"&lt;=0"),"")</f>
        <v/>
      </c>
      <c r="W365" s="0" t="str">
        <f aca="false">IF($C365="","",IF(COUNTIF($C$3:$C365,$C365)&gt;1,"",MAX($W$2:W364)+1))</f>
        <v/>
      </c>
      <c r="X365" s="0" t="str">
        <f aca="false">IF($H365="","",IF(COUNTIF($H$3:$H365,$H365)&gt;1,"",MAX($X$2:X364)+1))</f>
        <v/>
      </c>
      <c r="Y365" s="0" t="str">
        <f aca="false">IF(AND(N($M365)&gt;0,N($O365)&lt;=0),COUNTIFS($M$3:$M365,"&gt;0",$O$3:$O365,"&lt;=0"),"")</f>
        <v/>
      </c>
      <c r="Z365" s="30" t="n">
        <f aca="false">IF(OR('THÁNG 8'!$C72="",'THÁNG 8'!$B72=""),0,'THÁNG 8'!$B72)</f>
        <v>0</v>
      </c>
    </row>
    <row r="366" customFormat="false" ht="15" hidden="false" customHeight="false" outlineLevel="0" collapsed="false">
      <c r="A366" s="0" t="n">
        <v>8</v>
      </c>
      <c r="B366" s="29" t="str">
        <f aca="false">IF(OR('THÁNG 8'!$C73="",'THÁNG 8'!$B73=""),"",'THÁNG 8'!$B73)</f>
        <v/>
      </c>
      <c r="C366" s="0" t="str">
        <f aca="false">IF('THÁNG 8'!$C73="","",'THÁNG 8'!$C73)</f>
        <v/>
      </c>
      <c r="D366" s="0" t="str">
        <f aca="false">IF('THÁNG 8'!$C73="","",'THÁNG 8'!$D73&amp;"")</f>
        <v/>
      </c>
      <c r="E366" s="0" t="str">
        <f aca="false">IF('THÁNG 8'!$C73="","",'THÁNG 8'!$E73&amp;"")</f>
        <v/>
      </c>
      <c r="F366" s="0" t="str">
        <f aca="false">IF('THÁNG 8'!$C73="","",'THÁNG 8'!$F73&amp;"")</f>
        <v/>
      </c>
      <c r="G366" s="0" t="str">
        <f aca="false">IF('THÁNG 8'!$C73="","",'THÁNG 8'!$G73&amp;"")</f>
        <v/>
      </c>
      <c r="H366" s="0" t="str">
        <f aca="false">IF('THÁNG 8'!$C73="","",'THÁNG 8'!$H73&amp;"")</f>
        <v/>
      </c>
      <c r="I366" s="0" t="str">
        <f aca="false">IF('THÁNG 8'!$C73="","",N('THÁNG 8'!$I73))</f>
        <v/>
      </c>
      <c r="J366" s="0" t="str">
        <f aca="false">IF('THÁNG 8'!$C73="","",N('THÁNG 8'!$L73))</f>
        <v/>
      </c>
      <c r="K366" s="0" t="str">
        <f aca="false">IF('THÁNG 8'!$C73="","",N('THÁNG 8'!$N73))</f>
        <v/>
      </c>
      <c r="L366" s="0" t="str">
        <f aca="false">IF('THÁNG 8'!$C73="","",N('THÁNG 8'!$O73))</f>
        <v/>
      </c>
      <c r="M366" s="0" t="str">
        <f aca="false">IF('THÁNG 8'!$C73="","",N('THÁNG 8'!$P73))</f>
        <v/>
      </c>
      <c r="N366" s="0" t="str">
        <f aca="false">IF('THÁNG 8'!$C73="","",N('THÁNG 8'!$Q73))</f>
        <v/>
      </c>
      <c r="O366" s="0" t="str">
        <f aca="false">IF('THÁNG 8'!$C73="","",N('THÁNG 8'!$R73))</f>
        <v/>
      </c>
      <c r="P366" s="0" t="str">
        <f aca="false">IF(OR('THÁNG 8'!$C73="",'THÁNG 8'!$T73=""),"",'THÁNG 8'!$T73)</f>
        <v/>
      </c>
      <c r="Q366" s="0" t="str">
        <f aca="false">IF(OR('THÁNG 8'!$C73="",'THÁNG 8'!$U73=""),"",'THÁNG 8'!$U73)</f>
        <v/>
      </c>
      <c r="R366" s="0" t="str">
        <f aca="false">IF('THÁNG 8'!$C73="","",'THÁNG 8'!$W73&amp;"")</f>
        <v/>
      </c>
      <c r="S366" s="0" t="str">
        <f aca="false">IF('THÁNG 8'!$C73="","",'THÁNG 8'!$S73&amp;"")</f>
        <v/>
      </c>
      <c r="T366" s="0" t="str">
        <f aca="false">IF(N($O366)&gt;0,COUNTIF($O$3:$O366,"&gt;0"),"")</f>
        <v/>
      </c>
      <c r="U366" s="0" t="str">
        <f aca="false">IF(AND(N($J366)&gt;0,N($K366)&gt;0),COUNTIFS($J$3:$J366,"&gt;0",$K$3:$K366,"&gt;0"),"")</f>
        <v/>
      </c>
      <c r="V366" s="0" t="str">
        <f aca="false">IF(AND(N($J366)&gt;0,N($K366)=0),COUNTIFS($J$3:$J366,"&gt;0",$K$3:$K366,"&lt;=0"),"")</f>
        <v/>
      </c>
      <c r="W366" s="0" t="str">
        <f aca="false">IF($C366="","",IF(COUNTIF($C$3:$C366,$C366)&gt;1,"",MAX($W$2:W365)+1))</f>
        <v/>
      </c>
      <c r="X366" s="0" t="str">
        <f aca="false">IF($H366="","",IF(COUNTIF($H$3:$H366,$H366)&gt;1,"",MAX($X$2:X365)+1))</f>
        <v/>
      </c>
      <c r="Y366" s="0" t="str">
        <f aca="false">IF(AND(N($M366)&gt;0,N($O366)&lt;=0),COUNTIFS($M$3:$M366,"&gt;0",$O$3:$O366,"&lt;=0"),"")</f>
        <v/>
      </c>
      <c r="Z366" s="30" t="n">
        <f aca="false">IF(OR('THÁNG 8'!$C73="",'THÁNG 8'!$B73=""),0,'THÁNG 8'!$B73)</f>
        <v>0</v>
      </c>
    </row>
    <row r="367" customFormat="false" ht="15" hidden="false" customHeight="false" outlineLevel="0" collapsed="false">
      <c r="A367" s="0" t="n">
        <v>8</v>
      </c>
      <c r="B367" s="29" t="str">
        <f aca="false">IF(OR('THÁNG 8'!$C74="",'THÁNG 8'!$B74=""),"",'THÁNG 8'!$B74)</f>
        <v/>
      </c>
      <c r="C367" s="0" t="str">
        <f aca="false">IF('THÁNG 8'!$C74="","",'THÁNG 8'!$C74)</f>
        <v/>
      </c>
      <c r="D367" s="0" t="str">
        <f aca="false">IF('THÁNG 8'!$C74="","",'THÁNG 8'!$D74&amp;"")</f>
        <v/>
      </c>
      <c r="E367" s="0" t="str">
        <f aca="false">IF('THÁNG 8'!$C74="","",'THÁNG 8'!$E74&amp;"")</f>
        <v/>
      </c>
      <c r="F367" s="0" t="str">
        <f aca="false">IF('THÁNG 8'!$C74="","",'THÁNG 8'!$F74&amp;"")</f>
        <v/>
      </c>
      <c r="G367" s="0" t="str">
        <f aca="false">IF('THÁNG 8'!$C74="","",'THÁNG 8'!$G74&amp;"")</f>
        <v/>
      </c>
      <c r="H367" s="0" t="str">
        <f aca="false">IF('THÁNG 8'!$C74="","",'THÁNG 8'!$H74&amp;"")</f>
        <v/>
      </c>
      <c r="I367" s="0" t="str">
        <f aca="false">IF('THÁNG 8'!$C74="","",N('THÁNG 8'!$I74))</f>
        <v/>
      </c>
      <c r="J367" s="0" t="str">
        <f aca="false">IF('THÁNG 8'!$C74="","",N('THÁNG 8'!$L74))</f>
        <v/>
      </c>
      <c r="K367" s="0" t="str">
        <f aca="false">IF('THÁNG 8'!$C74="","",N('THÁNG 8'!$N74))</f>
        <v/>
      </c>
      <c r="L367" s="0" t="str">
        <f aca="false">IF('THÁNG 8'!$C74="","",N('THÁNG 8'!$O74))</f>
        <v/>
      </c>
      <c r="M367" s="0" t="str">
        <f aca="false">IF('THÁNG 8'!$C74="","",N('THÁNG 8'!$P74))</f>
        <v/>
      </c>
      <c r="N367" s="0" t="str">
        <f aca="false">IF('THÁNG 8'!$C74="","",N('THÁNG 8'!$Q74))</f>
        <v/>
      </c>
      <c r="O367" s="0" t="str">
        <f aca="false">IF('THÁNG 8'!$C74="","",N('THÁNG 8'!$R74))</f>
        <v/>
      </c>
      <c r="P367" s="0" t="str">
        <f aca="false">IF(OR('THÁNG 8'!$C74="",'THÁNG 8'!$T74=""),"",'THÁNG 8'!$T74)</f>
        <v/>
      </c>
      <c r="Q367" s="0" t="str">
        <f aca="false">IF(OR('THÁNG 8'!$C74="",'THÁNG 8'!$U74=""),"",'THÁNG 8'!$U74)</f>
        <v/>
      </c>
      <c r="R367" s="0" t="str">
        <f aca="false">IF('THÁNG 8'!$C74="","",'THÁNG 8'!$W74&amp;"")</f>
        <v/>
      </c>
      <c r="S367" s="0" t="str">
        <f aca="false">IF('THÁNG 8'!$C74="","",'THÁNG 8'!$S74&amp;"")</f>
        <v/>
      </c>
      <c r="T367" s="0" t="str">
        <f aca="false">IF(N($O367)&gt;0,COUNTIF($O$3:$O367,"&gt;0"),"")</f>
        <v/>
      </c>
      <c r="U367" s="0" t="str">
        <f aca="false">IF(AND(N($J367)&gt;0,N($K367)&gt;0),COUNTIFS($J$3:$J367,"&gt;0",$K$3:$K367,"&gt;0"),"")</f>
        <v/>
      </c>
      <c r="V367" s="0" t="str">
        <f aca="false">IF(AND(N($J367)&gt;0,N($K367)=0),COUNTIFS($J$3:$J367,"&gt;0",$K$3:$K367,"&lt;=0"),"")</f>
        <v/>
      </c>
      <c r="W367" s="0" t="str">
        <f aca="false">IF($C367="","",IF(COUNTIF($C$3:$C367,$C367)&gt;1,"",MAX($W$2:W366)+1))</f>
        <v/>
      </c>
      <c r="X367" s="0" t="str">
        <f aca="false">IF($H367="","",IF(COUNTIF($H$3:$H367,$H367)&gt;1,"",MAX($X$2:X366)+1))</f>
        <v/>
      </c>
      <c r="Y367" s="0" t="str">
        <f aca="false">IF(AND(N($M367)&gt;0,N($O367)&lt;=0),COUNTIFS($M$3:$M367,"&gt;0",$O$3:$O367,"&lt;=0"),"")</f>
        <v/>
      </c>
      <c r="Z367" s="30" t="n">
        <f aca="false">IF(OR('THÁNG 8'!$C74="",'THÁNG 8'!$B74=""),0,'THÁNG 8'!$B74)</f>
        <v>0</v>
      </c>
    </row>
    <row r="368" customFormat="false" ht="15" hidden="false" customHeight="false" outlineLevel="0" collapsed="false">
      <c r="A368" s="0" t="n">
        <v>8</v>
      </c>
      <c r="B368" s="29" t="str">
        <f aca="false">IF(OR('THÁNG 8'!$C75="",'THÁNG 8'!$B75=""),"",'THÁNG 8'!$B75)</f>
        <v/>
      </c>
      <c r="C368" s="0" t="str">
        <f aca="false">IF('THÁNG 8'!$C75="","",'THÁNG 8'!$C75)</f>
        <v/>
      </c>
      <c r="D368" s="0" t="str">
        <f aca="false">IF('THÁNG 8'!$C75="","",'THÁNG 8'!$D75&amp;"")</f>
        <v/>
      </c>
      <c r="E368" s="0" t="str">
        <f aca="false">IF('THÁNG 8'!$C75="","",'THÁNG 8'!$E75&amp;"")</f>
        <v/>
      </c>
      <c r="F368" s="0" t="str">
        <f aca="false">IF('THÁNG 8'!$C75="","",'THÁNG 8'!$F75&amp;"")</f>
        <v/>
      </c>
      <c r="G368" s="0" t="str">
        <f aca="false">IF('THÁNG 8'!$C75="","",'THÁNG 8'!$G75&amp;"")</f>
        <v/>
      </c>
      <c r="H368" s="0" t="str">
        <f aca="false">IF('THÁNG 8'!$C75="","",'THÁNG 8'!$H75&amp;"")</f>
        <v/>
      </c>
      <c r="I368" s="0" t="str">
        <f aca="false">IF('THÁNG 8'!$C75="","",N('THÁNG 8'!$I75))</f>
        <v/>
      </c>
      <c r="J368" s="0" t="str">
        <f aca="false">IF('THÁNG 8'!$C75="","",N('THÁNG 8'!$L75))</f>
        <v/>
      </c>
      <c r="K368" s="0" t="str">
        <f aca="false">IF('THÁNG 8'!$C75="","",N('THÁNG 8'!$N75))</f>
        <v/>
      </c>
      <c r="L368" s="0" t="str">
        <f aca="false">IF('THÁNG 8'!$C75="","",N('THÁNG 8'!$O75))</f>
        <v/>
      </c>
      <c r="M368" s="0" t="str">
        <f aca="false">IF('THÁNG 8'!$C75="","",N('THÁNG 8'!$P75))</f>
        <v/>
      </c>
      <c r="N368" s="0" t="str">
        <f aca="false">IF('THÁNG 8'!$C75="","",N('THÁNG 8'!$Q75))</f>
        <v/>
      </c>
      <c r="O368" s="0" t="str">
        <f aca="false">IF('THÁNG 8'!$C75="","",N('THÁNG 8'!$R75))</f>
        <v/>
      </c>
      <c r="P368" s="0" t="str">
        <f aca="false">IF(OR('THÁNG 8'!$C75="",'THÁNG 8'!$T75=""),"",'THÁNG 8'!$T75)</f>
        <v/>
      </c>
      <c r="Q368" s="0" t="str">
        <f aca="false">IF(OR('THÁNG 8'!$C75="",'THÁNG 8'!$U75=""),"",'THÁNG 8'!$U75)</f>
        <v/>
      </c>
      <c r="R368" s="0" t="str">
        <f aca="false">IF('THÁNG 8'!$C75="","",'THÁNG 8'!$W75&amp;"")</f>
        <v/>
      </c>
      <c r="S368" s="0" t="str">
        <f aca="false">IF('THÁNG 8'!$C75="","",'THÁNG 8'!$S75&amp;"")</f>
        <v/>
      </c>
      <c r="T368" s="0" t="str">
        <f aca="false">IF(N($O368)&gt;0,COUNTIF($O$3:$O368,"&gt;0"),"")</f>
        <v/>
      </c>
      <c r="U368" s="0" t="str">
        <f aca="false">IF(AND(N($J368)&gt;0,N($K368)&gt;0),COUNTIFS($J$3:$J368,"&gt;0",$K$3:$K368,"&gt;0"),"")</f>
        <v/>
      </c>
      <c r="V368" s="0" t="str">
        <f aca="false">IF(AND(N($J368)&gt;0,N($K368)=0),COUNTIFS($J$3:$J368,"&gt;0",$K$3:$K368,"&lt;=0"),"")</f>
        <v/>
      </c>
      <c r="W368" s="0" t="str">
        <f aca="false">IF($C368="","",IF(COUNTIF($C$3:$C368,$C368)&gt;1,"",MAX($W$2:W367)+1))</f>
        <v/>
      </c>
      <c r="X368" s="0" t="str">
        <f aca="false">IF($H368="","",IF(COUNTIF($H$3:$H368,$H368)&gt;1,"",MAX($X$2:X367)+1))</f>
        <v/>
      </c>
      <c r="Y368" s="0" t="str">
        <f aca="false">IF(AND(N($M368)&gt;0,N($O368)&lt;=0),COUNTIFS($M$3:$M368,"&gt;0",$O$3:$O368,"&lt;=0"),"")</f>
        <v/>
      </c>
      <c r="Z368" s="30" t="n">
        <f aca="false">IF(OR('THÁNG 8'!$C75="",'THÁNG 8'!$B75=""),0,'THÁNG 8'!$B75)</f>
        <v>0</v>
      </c>
    </row>
    <row r="369" customFormat="false" ht="15" hidden="false" customHeight="false" outlineLevel="0" collapsed="false">
      <c r="A369" s="0" t="n">
        <v>8</v>
      </c>
      <c r="B369" s="29" t="str">
        <f aca="false">IF(OR('THÁNG 8'!$C76="",'THÁNG 8'!$B76=""),"",'THÁNG 8'!$B76)</f>
        <v/>
      </c>
      <c r="C369" s="0" t="str">
        <f aca="false">IF('THÁNG 8'!$C76="","",'THÁNG 8'!$C76)</f>
        <v/>
      </c>
      <c r="D369" s="0" t="str">
        <f aca="false">IF('THÁNG 8'!$C76="","",'THÁNG 8'!$D76&amp;"")</f>
        <v/>
      </c>
      <c r="E369" s="0" t="str">
        <f aca="false">IF('THÁNG 8'!$C76="","",'THÁNG 8'!$E76&amp;"")</f>
        <v/>
      </c>
      <c r="F369" s="0" t="str">
        <f aca="false">IF('THÁNG 8'!$C76="","",'THÁNG 8'!$F76&amp;"")</f>
        <v/>
      </c>
      <c r="G369" s="0" t="str">
        <f aca="false">IF('THÁNG 8'!$C76="","",'THÁNG 8'!$G76&amp;"")</f>
        <v/>
      </c>
      <c r="H369" s="0" t="str">
        <f aca="false">IF('THÁNG 8'!$C76="","",'THÁNG 8'!$H76&amp;"")</f>
        <v/>
      </c>
      <c r="I369" s="0" t="str">
        <f aca="false">IF('THÁNG 8'!$C76="","",N('THÁNG 8'!$I76))</f>
        <v/>
      </c>
      <c r="J369" s="0" t="str">
        <f aca="false">IF('THÁNG 8'!$C76="","",N('THÁNG 8'!$L76))</f>
        <v/>
      </c>
      <c r="K369" s="0" t="str">
        <f aca="false">IF('THÁNG 8'!$C76="","",N('THÁNG 8'!$N76))</f>
        <v/>
      </c>
      <c r="L369" s="0" t="str">
        <f aca="false">IF('THÁNG 8'!$C76="","",N('THÁNG 8'!$O76))</f>
        <v/>
      </c>
      <c r="M369" s="0" t="str">
        <f aca="false">IF('THÁNG 8'!$C76="","",N('THÁNG 8'!$P76))</f>
        <v/>
      </c>
      <c r="N369" s="0" t="str">
        <f aca="false">IF('THÁNG 8'!$C76="","",N('THÁNG 8'!$Q76))</f>
        <v/>
      </c>
      <c r="O369" s="0" t="str">
        <f aca="false">IF('THÁNG 8'!$C76="","",N('THÁNG 8'!$R76))</f>
        <v/>
      </c>
      <c r="P369" s="0" t="str">
        <f aca="false">IF(OR('THÁNG 8'!$C76="",'THÁNG 8'!$T76=""),"",'THÁNG 8'!$T76)</f>
        <v/>
      </c>
      <c r="Q369" s="0" t="str">
        <f aca="false">IF(OR('THÁNG 8'!$C76="",'THÁNG 8'!$U76=""),"",'THÁNG 8'!$U76)</f>
        <v/>
      </c>
      <c r="R369" s="0" t="str">
        <f aca="false">IF('THÁNG 8'!$C76="","",'THÁNG 8'!$W76&amp;"")</f>
        <v/>
      </c>
      <c r="S369" s="0" t="str">
        <f aca="false">IF('THÁNG 8'!$C76="","",'THÁNG 8'!$S76&amp;"")</f>
        <v/>
      </c>
      <c r="T369" s="0" t="str">
        <f aca="false">IF(N($O369)&gt;0,COUNTIF($O$3:$O369,"&gt;0"),"")</f>
        <v/>
      </c>
      <c r="U369" s="0" t="str">
        <f aca="false">IF(AND(N($J369)&gt;0,N($K369)&gt;0),COUNTIFS($J$3:$J369,"&gt;0",$K$3:$K369,"&gt;0"),"")</f>
        <v/>
      </c>
      <c r="V369" s="0" t="str">
        <f aca="false">IF(AND(N($J369)&gt;0,N($K369)=0),COUNTIFS($J$3:$J369,"&gt;0",$K$3:$K369,"&lt;=0"),"")</f>
        <v/>
      </c>
      <c r="W369" s="0" t="str">
        <f aca="false">IF($C369="","",IF(COUNTIF($C$3:$C369,$C369)&gt;1,"",MAX($W$2:W368)+1))</f>
        <v/>
      </c>
      <c r="X369" s="0" t="str">
        <f aca="false">IF($H369="","",IF(COUNTIF($H$3:$H369,$H369)&gt;1,"",MAX($X$2:X368)+1))</f>
        <v/>
      </c>
      <c r="Y369" s="0" t="str">
        <f aca="false">IF(AND(N($M369)&gt;0,N($O369)&lt;=0),COUNTIFS($M$3:$M369,"&gt;0",$O$3:$O369,"&lt;=0"),"")</f>
        <v/>
      </c>
      <c r="Z369" s="30" t="n">
        <f aca="false">IF(OR('THÁNG 8'!$C76="",'THÁNG 8'!$B76=""),0,'THÁNG 8'!$B76)</f>
        <v>0</v>
      </c>
    </row>
    <row r="370" customFormat="false" ht="15" hidden="false" customHeight="false" outlineLevel="0" collapsed="false">
      <c r="A370" s="0" t="n">
        <v>8</v>
      </c>
      <c r="B370" s="29" t="str">
        <f aca="false">IF(OR('THÁNG 8'!$C77="",'THÁNG 8'!$B77=""),"",'THÁNG 8'!$B77)</f>
        <v/>
      </c>
      <c r="C370" s="0" t="str">
        <f aca="false">IF('THÁNG 8'!$C77="","",'THÁNG 8'!$C77)</f>
        <v/>
      </c>
      <c r="D370" s="0" t="str">
        <f aca="false">IF('THÁNG 8'!$C77="","",'THÁNG 8'!$D77&amp;"")</f>
        <v/>
      </c>
      <c r="E370" s="0" t="str">
        <f aca="false">IF('THÁNG 8'!$C77="","",'THÁNG 8'!$E77&amp;"")</f>
        <v/>
      </c>
      <c r="F370" s="0" t="str">
        <f aca="false">IF('THÁNG 8'!$C77="","",'THÁNG 8'!$F77&amp;"")</f>
        <v/>
      </c>
      <c r="G370" s="0" t="str">
        <f aca="false">IF('THÁNG 8'!$C77="","",'THÁNG 8'!$G77&amp;"")</f>
        <v/>
      </c>
      <c r="H370" s="0" t="str">
        <f aca="false">IF('THÁNG 8'!$C77="","",'THÁNG 8'!$H77&amp;"")</f>
        <v/>
      </c>
      <c r="I370" s="0" t="str">
        <f aca="false">IF('THÁNG 8'!$C77="","",N('THÁNG 8'!$I77))</f>
        <v/>
      </c>
      <c r="J370" s="0" t="str">
        <f aca="false">IF('THÁNG 8'!$C77="","",N('THÁNG 8'!$L77))</f>
        <v/>
      </c>
      <c r="K370" s="0" t="str">
        <f aca="false">IF('THÁNG 8'!$C77="","",N('THÁNG 8'!$N77))</f>
        <v/>
      </c>
      <c r="L370" s="0" t="str">
        <f aca="false">IF('THÁNG 8'!$C77="","",N('THÁNG 8'!$O77))</f>
        <v/>
      </c>
      <c r="M370" s="0" t="str">
        <f aca="false">IF('THÁNG 8'!$C77="","",N('THÁNG 8'!$P77))</f>
        <v/>
      </c>
      <c r="N370" s="0" t="str">
        <f aca="false">IF('THÁNG 8'!$C77="","",N('THÁNG 8'!$Q77))</f>
        <v/>
      </c>
      <c r="O370" s="0" t="str">
        <f aca="false">IF('THÁNG 8'!$C77="","",N('THÁNG 8'!$R77))</f>
        <v/>
      </c>
      <c r="P370" s="0" t="str">
        <f aca="false">IF(OR('THÁNG 8'!$C77="",'THÁNG 8'!$T77=""),"",'THÁNG 8'!$T77)</f>
        <v/>
      </c>
      <c r="Q370" s="0" t="str">
        <f aca="false">IF(OR('THÁNG 8'!$C77="",'THÁNG 8'!$U77=""),"",'THÁNG 8'!$U77)</f>
        <v/>
      </c>
      <c r="R370" s="0" t="str">
        <f aca="false">IF('THÁNG 8'!$C77="","",'THÁNG 8'!$W77&amp;"")</f>
        <v/>
      </c>
      <c r="S370" s="0" t="str">
        <f aca="false">IF('THÁNG 8'!$C77="","",'THÁNG 8'!$S77&amp;"")</f>
        <v/>
      </c>
      <c r="T370" s="0" t="str">
        <f aca="false">IF(N($O370)&gt;0,COUNTIF($O$3:$O370,"&gt;0"),"")</f>
        <v/>
      </c>
      <c r="U370" s="0" t="str">
        <f aca="false">IF(AND(N($J370)&gt;0,N($K370)&gt;0),COUNTIFS($J$3:$J370,"&gt;0",$K$3:$K370,"&gt;0"),"")</f>
        <v/>
      </c>
      <c r="V370" s="0" t="str">
        <f aca="false">IF(AND(N($J370)&gt;0,N($K370)=0),COUNTIFS($J$3:$J370,"&gt;0",$K$3:$K370,"&lt;=0"),"")</f>
        <v/>
      </c>
      <c r="W370" s="0" t="str">
        <f aca="false">IF($C370="","",IF(COUNTIF($C$3:$C370,$C370)&gt;1,"",MAX($W$2:W369)+1))</f>
        <v/>
      </c>
      <c r="X370" s="0" t="str">
        <f aca="false">IF($H370="","",IF(COUNTIF($H$3:$H370,$H370)&gt;1,"",MAX($X$2:X369)+1))</f>
        <v/>
      </c>
      <c r="Y370" s="0" t="str">
        <f aca="false">IF(AND(N($M370)&gt;0,N($O370)&lt;=0),COUNTIFS($M$3:$M370,"&gt;0",$O$3:$O370,"&lt;=0"),"")</f>
        <v/>
      </c>
      <c r="Z370" s="30" t="n">
        <f aca="false">IF(OR('THÁNG 8'!$C77="",'THÁNG 8'!$B77=""),0,'THÁNG 8'!$B77)</f>
        <v>0</v>
      </c>
    </row>
    <row r="371" customFormat="false" ht="15" hidden="false" customHeight="false" outlineLevel="0" collapsed="false">
      <c r="A371" s="0" t="n">
        <v>8</v>
      </c>
      <c r="B371" s="29" t="str">
        <f aca="false">IF(OR('THÁNG 8'!$C78="",'THÁNG 8'!$B78=""),"",'THÁNG 8'!$B78)</f>
        <v/>
      </c>
      <c r="C371" s="0" t="str">
        <f aca="false">IF('THÁNG 8'!$C78="","",'THÁNG 8'!$C78)</f>
        <v/>
      </c>
      <c r="D371" s="0" t="str">
        <f aca="false">IF('THÁNG 8'!$C78="","",'THÁNG 8'!$D78&amp;"")</f>
        <v/>
      </c>
      <c r="E371" s="0" t="str">
        <f aca="false">IF('THÁNG 8'!$C78="","",'THÁNG 8'!$E78&amp;"")</f>
        <v/>
      </c>
      <c r="F371" s="0" t="str">
        <f aca="false">IF('THÁNG 8'!$C78="","",'THÁNG 8'!$F78&amp;"")</f>
        <v/>
      </c>
      <c r="G371" s="0" t="str">
        <f aca="false">IF('THÁNG 8'!$C78="","",'THÁNG 8'!$G78&amp;"")</f>
        <v/>
      </c>
      <c r="H371" s="0" t="str">
        <f aca="false">IF('THÁNG 8'!$C78="","",'THÁNG 8'!$H78&amp;"")</f>
        <v/>
      </c>
      <c r="I371" s="0" t="str">
        <f aca="false">IF('THÁNG 8'!$C78="","",N('THÁNG 8'!$I78))</f>
        <v/>
      </c>
      <c r="J371" s="0" t="str">
        <f aca="false">IF('THÁNG 8'!$C78="","",N('THÁNG 8'!$L78))</f>
        <v/>
      </c>
      <c r="K371" s="0" t="str">
        <f aca="false">IF('THÁNG 8'!$C78="","",N('THÁNG 8'!$N78))</f>
        <v/>
      </c>
      <c r="L371" s="0" t="str">
        <f aca="false">IF('THÁNG 8'!$C78="","",N('THÁNG 8'!$O78))</f>
        <v/>
      </c>
      <c r="M371" s="0" t="str">
        <f aca="false">IF('THÁNG 8'!$C78="","",N('THÁNG 8'!$P78))</f>
        <v/>
      </c>
      <c r="N371" s="0" t="str">
        <f aca="false">IF('THÁNG 8'!$C78="","",N('THÁNG 8'!$Q78))</f>
        <v/>
      </c>
      <c r="O371" s="0" t="str">
        <f aca="false">IF('THÁNG 8'!$C78="","",N('THÁNG 8'!$R78))</f>
        <v/>
      </c>
      <c r="P371" s="0" t="str">
        <f aca="false">IF(OR('THÁNG 8'!$C78="",'THÁNG 8'!$T78=""),"",'THÁNG 8'!$T78)</f>
        <v/>
      </c>
      <c r="Q371" s="0" t="str">
        <f aca="false">IF(OR('THÁNG 8'!$C78="",'THÁNG 8'!$U78=""),"",'THÁNG 8'!$U78)</f>
        <v/>
      </c>
      <c r="R371" s="0" t="str">
        <f aca="false">IF('THÁNG 8'!$C78="","",'THÁNG 8'!$W78&amp;"")</f>
        <v/>
      </c>
      <c r="S371" s="0" t="str">
        <f aca="false">IF('THÁNG 8'!$C78="","",'THÁNG 8'!$S78&amp;"")</f>
        <v/>
      </c>
      <c r="T371" s="0" t="str">
        <f aca="false">IF(N($O371)&gt;0,COUNTIF($O$3:$O371,"&gt;0"),"")</f>
        <v/>
      </c>
      <c r="U371" s="0" t="str">
        <f aca="false">IF(AND(N($J371)&gt;0,N($K371)&gt;0),COUNTIFS($J$3:$J371,"&gt;0",$K$3:$K371,"&gt;0"),"")</f>
        <v/>
      </c>
      <c r="V371" s="0" t="str">
        <f aca="false">IF(AND(N($J371)&gt;0,N($K371)=0),COUNTIFS($J$3:$J371,"&gt;0",$K$3:$K371,"&lt;=0"),"")</f>
        <v/>
      </c>
      <c r="W371" s="0" t="str">
        <f aca="false">IF($C371="","",IF(COUNTIF($C$3:$C371,$C371)&gt;1,"",MAX($W$2:W370)+1))</f>
        <v/>
      </c>
      <c r="X371" s="0" t="str">
        <f aca="false">IF($H371="","",IF(COUNTIF($H$3:$H371,$H371)&gt;1,"",MAX($X$2:X370)+1))</f>
        <v/>
      </c>
      <c r="Y371" s="0" t="str">
        <f aca="false">IF(AND(N($M371)&gt;0,N($O371)&lt;=0),COUNTIFS($M$3:$M371,"&gt;0",$O$3:$O371,"&lt;=0"),"")</f>
        <v/>
      </c>
      <c r="Z371" s="30" t="n">
        <f aca="false">IF(OR('THÁNG 8'!$C78="",'THÁNG 8'!$B78=""),0,'THÁNG 8'!$B78)</f>
        <v>0</v>
      </c>
    </row>
    <row r="372" customFormat="false" ht="15" hidden="false" customHeight="false" outlineLevel="0" collapsed="false">
      <c r="A372" s="0" t="n">
        <v>8</v>
      </c>
      <c r="B372" s="29" t="str">
        <f aca="false">IF(OR('THÁNG 8'!$C79="",'THÁNG 8'!$B79=""),"",'THÁNG 8'!$B79)</f>
        <v/>
      </c>
      <c r="C372" s="0" t="str">
        <f aca="false">IF('THÁNG 8'!$C79="","",'THÁNG 8'!$C79)</f>
        <v/>
      </c>
      <c r="D372" s="0" t="str">
        <f aca="false">IF('THÁNG 8'!$C79="","",'THÁNG 8'!$D79&amp;"")</f>
        <v/>
      </c>
      <c r="E372" s="0" t="str">
        <f aca="false">IF('THÁNG 8'!$C79="","",'THÁNG 8'!$E79&amp;"")</f>
        <v/>
      </c>
      <c r="F372" s="0" t="str">
        <f aca="false">IF('THÁNG 8'!$C79="","",'THÁNG 8'!$F79&amp;"")</f>
        <v/>
      </c>
      <c r="G372" s="0" t="str">
        <f aca="false">IF('THÁNG 8'!$C79="","",'THÁNG 8'!$G79&amp;"")</f>
        <v/>
      </c>
      <c r="H372" s="0" t="str">
        <f aca="false">IF('THÁNG 8'!$C79="","",'THÁNG 8'!$H79&amp;"")</f>
        <v/>
      </c>
      <c r="I372" s="0" t="str">
        <f aca="false">IF('THÁNG 8'!$C79="","",N('THÁNG 8'!$I79))</f>
        <v/>
      </c>
      <c r="J372" s="0" t="str">
        <f aca="false">IF('THÁNG 8'!$C79="","",N('THÁNG 8'!$L79))</f>
        <v/>
      </c>
      <c r="K372" s="0" t="str">
        <f aca="false">IF('THÁNG 8'!$C79="","",N('THÁNG 8'!$N79))</f>
        <v/>
      </c>
      <c r="L372" s="0" t="str">
        <f aca="false">IF('THÁNG 8'!$C79="","",N('THÁNG 8'!$O79))</f>
        <v/>
      </c>
      <c r="M372" s="0" t="str">
        <f aca="false">IF('THÁNG 8'!$C79="","",N('THÁNG 8'!$P79))</f>
        <v/>
      </c>
      <c r="N372" s="0" t="str">
        <f aca="false">IF('THÁNG 8'!$C79="","",N('THÁNG 8'!$Q79))</f>
        <v/>
      </c>
      <c r="O372" s="0" t="str">
        <f aca="false">IF('THÁNG 8'!$C79="","",N('THÁNG 8'!$R79))</f>
        <v/>
      </c>
      <c r="P372" s="0" t="str">
        <f aca="false">IF(OR('THÁNG 8'!$C79="",'THÁNG 8'!$T79=""),"",'THÁNG 8'!$T79)</f>
        <v/>
      </c>
      <c r="Q372" s="0" t="str">
        <f aca="false">IF(OR('THÁNG 8'!$C79="",'THÁNG 8'!$U79=""),"",'THÁNG 8'!$U79)</f>
        <v/>
      </c>
      <c r="R372" s="0" t="str">
        <f aca="false">IF('THÁNG 8'!$C79="","",'THÁNG 8'!$W79&amp;"")</f>
        <v/>
      </c>
      <c r="S372" s="0" t="str">
        <f aca="false">IF('THÁNG 8'!$C79="","",'THÁNG 8'!$S79&amp;"")</f>
        <v/>
      </c>
      <c r="T372" s="0" t="str">
        <f aca="false">IF(N($O372)&gt;0,COUNTIF($O$3:$O372,"&gt;0"),"")</f>
        <v/>
      </c>
      <c r="U372" s="0" t="str">
        <f aca="false">IF(AND(N($J372)&gt;0,N($K372)&gt;0),COUNTIFS($J$3:$J372,"&gt;0",$K$3:$K372,"&gt;0"),"")</f>
        <v/>
      </c>
      <c r="V372" s="0" t="str">
        <f aca="false">IF(AND(N($J372)&gt;0,N($K372)=0),COUNTIFS($J$3:$J372,"&gt;0",$K$3:$K372,"&lt;=0"),"")</f>
        <v/>
      </c>
      <c r="W372" s="0" t="str">
        <f aca="false">IF($C372="","",IF(COUNTIF($C$3:$C372,$C372)&gt;1,"",MAX($W$2:W371)+1))</f>
        <v/>
      </c>
      <c r="X372" s="0" t="str">
        <f aca="false">IF($H372="","",IF(COUNTIF($H$3:$H372,$H372)&gt;1,"",MAX($X$2:X371)+1))</f>
        <v/>
      </c>
      <c r="Y372" s="0" t="str">
        <f aca="false">IF(AND(N($M372)&gt;0,N($O372)&lt;=0),COUNTIFS($M$3:$M372,"&gt;0",$O$3:$O372,"&lt;=0"),"")</f>
        <v/>
      </c>
      <c r="Z372" s="30" t="n">
        <f aca="false">IF(OR('THÁNG 8'!$C79="",'THÁNG 8'!$B79=""),0,'THÁNG 8'!$B79)</f>
        <v>0</v>
      </c>
    </row>
    <row r="373" customFormat="false" ht="15" hidden="false" customHeight="false" outlineLevel="0" collapsed="false">
      <c r="A373" s="0" t="n">
        <v>8</v>
      </c>
      <c r="B373" s="29" t="str">
        <f aca="false">IF(OR('THÁNG 8'!$C80="",'THÁNG 8'!$B80=""),"",'THÁNG 8'!$B80)</f>
        <v/>
      </c>
      <c r="C373" s="0" t="str">
        <f aca="false">IF('THÁNG 8'!$C80="","",'THÁNG 8'!$C80)</f>
        <v/>
      </c>
      <c r="D373" s="0" t="str">
        <f aca="false">IF('THÁNG 8'!$C80="","",'THÁNG 8'!$D80&amp;"")</f>
        <v/>
      </c>
      <c r="E373" s="0" t="str">
        <f aca="false">IF('THÁNG 8'!$C80="","",'THÁNG 8'!$E80&amp;"")</f>
        <v/>
      </c>
      <c r="F373" s="0" t="str">
        <f aca="false">IF('THÁNG 8'!$C80="","",'THÁNG 8'!$F80&amp;"")</f>
        <v/>
      </c>
      <c r="G373" s="0" t="str">
        <f aca="false">IF('THÁNG 8'!$C80="","",'THÁNG 8'!$G80&amp;"")</f>
        <v/>
      </c>
      <c r="H373" s="0" t="str">
        <f aca="false">IF('THÁNG 8'!$C80="","",'THÁNG 8'!$H80&amp;"")</f>
        <v/>
      </c>
      <c r="I373" s="0" t="str">
        <f aca="false">IF('THÁNG 8'!$C80="","",N('THÁNG 8'!$I80))</f>
        <v/>
      </c>
      <c r="J373" s="0" t="str">
        <f aca="false">IF('THÁNG 8'!$C80="","",N('THÁNG 8'!$L80))</f>
        <v/>
      </c>
      <c r="K373" s="0" t="str">
        <f aca="false">IF('THÁNG 8'!$C80="","",N('THÁNG 8'!$N80))</f>
        <v/>
      </c>
      <c r="L373" s="0" t="str">
        <f aca="false">IF('THÁNG 8'!$C80="","",N('THÁNG 8'!$O80))</f>
        <v/>
      </c>
      <c r="M373" s="0" t="str">
        <f aca="false">IF('THÁNG 8'!$C80="","",N('THÁNG 8'!$P80))</f>
        <v/>
      </c>
      <c r="N373" s="0" t="str">
        <f aca="false">IF('THÁNG 8'!$C80="","",N('THÁNG 8'!$Q80))</f>
        <v/>
      </c>
      <c r="O373" s="0" t="str">
        <f aca="false">IF('THÁNG 8'!$C80="","",N('THÁNG 8'!$R80))</f>
        <v/>
      </c>
      <c r="P373" s="0" t="str">
        <f aca="false">IF(OR('THÁNG 8'!$C80="",'THÁNG 8'!$T80=""),"",'THÁNG 8'!$T80)</f>
        <v/>
      </c>
      <c r="Q373" s="0" t="str">
        <f aca="false">IF(OR('THÁNG 8'!$C80="",'THÁNG 8'!$U80=""),"",'THÁNG 8'!$U80)</f>
        <v/>
      </c>
      <c r="R373" s="0" t="str">
        <f aca="false">IF('THÁNG 8'!$C80="","",'THÁNG 8'!$W80&amp;"")</f>
        <v/>
      </c>
      <c r="S373" s="0" t="str">
        <f aca="false">IF('THÁNG 8'!$C80="","",'THÁNG 8'!$S80&amp;"")</f>
        <v/>
      </c>
      <c r="T373" s="0" t="str">
        <f aca="false">IF(N($O373)&gt;0,COUNTIF($O$3:$O373,"&gt;0"),"")</f>
        <v/>
      </c>
      <c r="U373" s="0" t="str">
        <f aca="false">IF(AND(N($J373)&gt;0,N($K373)&gt;0),COUNTIFS($J$3:$J373,"&gt;0",$K$3:$K373,"&gt;0"),"")</f>
        <v/>
      </c>
      <c r="V373" s="0" t="str">
        <f aca="false">IF(AND(N($J373)&gt;0,N($K373)=0),COUNTIFS($J$3:$J373,"&gt;0",$K$3:$K373,"&lt;=0"),"")</f>
        <v/>
      </c>
      <c r="W373" s="0" t="str">
        <f aca="false">IF($C373="","",IF(COUNTIF($C$3:$C373,$C373)&gt;1,"",MAX($W$2:W372)+1))</f>
        <v/>
      </c>
      <c r="X373" s="0" t="str">
        <f aca="false">IF($H373="","",IF(COUNTIF($H$3:$H373,$H373)&gt;1,"",MAX($X$2:X372)+1))</f>
        <v/>
      </c>
      <c r="Y373" s="0" t="str">
        <f aca="false">IF(AND(N($M373)&gt;0,N($O373)&lt;=0),COUNTIFS($M$3:$M373,"&gt;0",$O$3:$O373,"&lt;=0"),"")</f>
        <v/>
      </c>
      <c r="Z373" s="30" t="n">
        <f aca="false">IF(OR('THÁNG 8'!$C80="",'THÁNG 8'!$B80=""),0,'THÁNG 8'!$B80)</f>
        <v>0</v>
      </c>
    </row>
    <row r="374" customFormat="false" ht="15" hidden="false" customHeight="false" outlineLevel="0" collapsed="false">
      <c r="A374" s="0" t="n">
        <v>8</v>
      </c>
      <c r="B374" s="29" t="str">
        <f aca="false">IF(OR('THÁNG 8'!$C81="",'THÁNG 8'!$B81=""),"",'THÁNG 8'!$B81)</f>
        <v/>
      </c>
      <c r="C374" s="0" t="str">
        <f aca="false">IF('THÁNG 8'!$C81="","",'THÁNG 8'!$C81)</f>
        <v/>
      </c>
      <c r="D374" s="0" t="str">
        <f aca="false">IF('THÁNG 8'!$C81="","",'THÁNG 8'!$D81&amp;"")</f>
        <v/>
      </c>
      <c r="E374" s="0" t="str">
        <f aca="false">IF('THÁNG 8'!$C81="","",'THÁNG 8'!$E81&amp;"")</f>
        <v/>
      </c>
      <c r="F374" s="0" t="str">
        <f aca="false">IF('THÁNG 8'!$C81="","",'THÁNG 8'!$F81&amp;"")</f>
        <v/>
      </c>
      <c r="G374" s="0" t="str">
        <f aca="false">IF('THÁNG 8'!$C81="","",'THÁNG 8'!$G81&amp;"")</f>
        <v/>
      </c>
      <c r="H374" s="0" t="str">
        <f aca="false">IF('THÁNG 8'!$C81="","",'THÁNG 8'!$H81&amp;"")</f>
        <v/>
      </c>
      <c r="I374" s="0" t="str">
        <f aca="false">IF('THÁNG 8'!$C81="","",N('THÁNG 8'!$I81))</f>
        <v/>
      </c>
      <c r="J374" s="0" t="str">
        <f aca="false">IF('THÁNG 8'!$C81="","",N('THÁNG 8'!$L81))</f>
        <v/>
      </c>
      <c r="K374" s="0" t="str">
        <f aca="false">IF('THÁNG 8'!$C81="","",N('THÁNG 8'!$N81))</f>
        <v/>
      </c>
      <c r="L374" s="0" t="str">
        <f aca="false">IF('THÁNG 8'!$C81="","",N('THÁNG 8'!$O81))</f>
        <v/>
      </c>
      <c r="M374" s="0" t="str">
        <f aca="false">IF('THÁNG 8'!$C81="","",N('THÁNG 8'!$P81))</f>
        <v/>
      </c>
      <c r="N374" s="0" t="str">
        <f aca="false">IF('THÁNG 8'!$C81="","",N('THÁNG 8'!$Q81))</f>
        <v/>
      </c>
      <c r="O374" s="0" t="str">
        <f aca="false">IF('THÁNG 8'!$C81="","",N('THÁNG 8'!$R81))</f>
        <v/>
      </c>
      <c r="P374" s="0" t="str">
        <f aca="false">IF(OR('THÁNG 8'!$C81="",'THÁNG 8'!$T81=""),"",'THÁNG 8'!$T81)</f>
        <v/>
      </c>
      <c r="Q374" s="0" t="str">
        <f aca="false">IF(OR('THÁNG 8'!$C81="",'THÁNG 8'!$U81=""),"",'THÁNG 8'!$U81)</f>
        <v/>
      </c>
      <c r="R374" s="0" t="str">
        <f aca="false">IF('THÁNG 8'!$C81="","",'THÁNG 8'!$W81&amp;"")</f>
        <v/>
      </c>
      <c r="S374" s="0" t="str">
        <f aca="false">IF('THÁNG 8'!$C81="","",'THÁNG 8'!$S81&amp;"")</f>
        <v/>
      </c>
      <c r="T374" s="0" t="str">
        <f aca="false">IF(N($O374)&gt;0,COUNTIF($O$3:$O374,"&gt;0"),"")</f>
        <v/>
      </c>
      <c r="U374" s="0" t="str">
        <f aca="false">IF(AND(N($J374)&gt;0,N($K374)&gt;0),COUNTIFS($J$3:$J374,"&gt;0",$K$3:$K374,"&gt;0"),"")</f>
        <v/>
      </c>
      <c r="V374" s="0" t="str">
        <f aca="false">IF(AND(N($J374)&gt;0,N($K374)=0),COUNTIFS($J$3:$J374,"&gt;0",$K$3:$K374,"&lt;=0"),"")</f>
        <v/>
      </c>
      <c r="W374" s="0" t="str">
        <f aca="false">IF($C374="","",IF(COUNTIF($C$3:$C374,$C374)&gt;1,"",MAX($W$2:W373)+1))</f>
        <v/>
      </c>
      <c r="X374" s="0" t="str">
        <f aca="false">IF($H374="","",IF(COUNTIF($H$3:$H374,$H374)&gt;1,"",MAX($X$2:X373)+1))</f>
        <v/>
      </c>
      <c r="Y374" s="0" t="str">
        <f aca="false">IF(AND(N($M374)&gt;0,N($O374)&lt;=0),COUNTIFS($M$3:$M374,"&gt;0",$O$3:$O374,"&lt;=0"),"")</f>
        <v/>
      </c>
      <c r="Z374" s="30" t="n">
        <f aca="false">IF(OR('THÁNG 8'!$C81="",'THÁNG 8'!$B81=""),0,'THÁNG 8'!$B81)</f>
        <v>0</v>
      </c>
    </row>
    <row r="375" customFormat="false" ht="15" hidden="false" customHeight="false" outlineLevel="0" collapsed="false">
      <c r="A375" s="0" t="n">
        <v>8</v>
      </c>
      <c r="B375" s="29" t="str">
        <f aca="false">IF(OR('THÁNG 8'!$C82="",'THÁNG 8'!$B82=""),"",'THÁNG 8'!$B82)</f>
        <v/>
      </c>
      <c r="C375" s="0" t="str">
        <f aca="false">IF('THÁNG 8'!$C82="","",'THÁNG 8'!$C82)</f>
        <v/>
      </c>
      <c r="D375" s="0" t="str">
        <f aca="false">IF('THÁNG 8'!$C82="","",'THÁNG 8'!$D82&amp;"")</f>
        <v/>
      </c>
      <c r="E375" s="0" t="str">
        <f aca="false">IF('THÁNG 8'!$C82="","",'THÁNG 8'!$E82&amp;"")</f>
        <v/>
      </c>
      <c r="F375" s="0" t="str">
        <f aca="false">IF('THÁNG 8'!$C82="","",'THÁNG 8'!$F82&amp;"")</f>
        <v/>
      </c>
      <c r="G375" s="0" t="str">
        <f aca="false">IF('THÁNG 8'!$C82="","",'THÁNG 8'!$G82&amp;"")</f>
        <v/>
      </c>
      <c r="H375" s="0" t="str">
        <f aca="false">IF('THÁNG 8'!$C82="","",'THÁNG 8'!$H82&amp;"")</f>
        <v/>
      </c>
      <c r="I375" s="0" t="str">
        <f aca="false">IF('THÁNG 8'!$C82="","",N('THÁNG 8'!$I82))</f>
        <v/>
      </c>
      <c r="J375" s="0" t="str">
        <f aca="false">IF('THÁNG 8'!$C82="","",N('THÁNG 8'!$L82))</f>
        <v/>
      </c>
      <c r="K375" s="0" t="str">
        <f aca="false">IF('THÁNG 8'!$C82="","",N('THÁNG 8'!$N82))</f>
        <v/>
      </c>
      <c r="L375" s="0" t="str">
        <f aca="false">IF('THÁNG 8'!$C82="","",N('THÁNG 8'!$O82))</f>
        <v/>
      </c>
      <c r="M375" s="0" t="str">
        <f aca="false">IF('THÁNG 8'!$C82="","",N('THÁNG 8'!$P82))</f>
        <v/>
      </c>
      <c r="N375" s="0" t="str">
        <f aca="false">IF('THÁNG 8'!$C82="","",N('THÁNG 8'!$Q82))</f>
        <v/>
      </c>
      <c r="O375" s="0" t="str">
        <f aca="false">IF('THÁNG 8'!$C82="","",N('THÁNG 8'!$R82))</f>
        <v/>
      </c>
      <c r="P375" s="0" t="str">
        <f aca="false">IF(OR('THÁNG 8'!$C82="",'THÁNG 8'!$T82=""),"",'THÁNG 8'!$T82)</f>
        <v/>
      </c>
      <c r="Q375" s="0" t="str">
        <f aca="false">IF(OR('THÁNG 8'!$C82="",'THÁNG 8'!$U82=""),"",'THÁNG 8'!$U82)</f>
        <v/>
      </c>
      <c r="R375" s="0" t="str">
        <f aca="false">IF('THÁNG 8'!$C82="","",'THÁNG 8'!$W82&amp;"")</f>
        <v/>
      </c>
      <c r="S375" s="0" t="str">
        <f aca="false">IF('THÁNG 8'!$C82="","",'THÁNG 8'!$S82&amp;"")</f>
        <v/>
      </c>
      <c r="T375" s="0" t="str">
        <f aca="false">IF(N($O375)&gt;0,COUNTIF($O$3:$O375,"&gt;0"),"")</f>
        <v/>
      </c>
      <c r="U375" s="0" t="str">
        <f aca="false">IF(AND(N($J375)&gt;0,N($K375)&gt;0),COUNTIFS($J$3:$J375,"&gt;0",$K$3:$K375,"&gt;0"),"")</f>
        <v/>
      </c>
      <c r="V375" s="0" t="str">
        <f aca="false">IF(AND(N($J375)&gt;0,N($K375)=0),COUNTIFS($J$3:$J375,"&gt;0",$K$3:$K375,"&lt;=0"),"")</f>
        <v/>
      </c>
      <c r="W375" s="0" t="str">
        <f aca="false">IF($C375="","",IF(COUNTIF($C$3:$C375,$C375)&gt;1,"",MAX($W$2:W374)+1))</f>
        <v/>
      </c>
      <c r="X375" s="0" t="str">
        <f aca="false">IF($H375="","",IF(COUNTIF($H$3:$H375,$H375)&gt;1,"",MAX($X$2:X374)+1))</f>
        <v/>
      </c>
      <c r="Y375" s="0" t="str">
        <f aca="false">IF(AND(N($M375)&gt;0,N($O375)&lt;=0),COUNTIFS($M$3:$M375,"&gt;0",$O$3:$O375,"&lt;=0"),"")</f>
        <v/>
      </c>
      <c r="Z375" s="30" t="n">
        <f aca="false">IF(OR('THÁNG 8'!$C82="",'THÁNG 8'!$B82=""),0,'THÁNG 8'!$B82)</f>
        <v>0</v>
      </c>
    </row>
    <row r="376" customFormat="false" ht="15" hidden="false" customHeight="false" outlineLevel="0" collapsed="false">
      <c r="A376" s="0" t="n">
        <v>8</v>
      </c>
      <c r="B376" s="29" t="str">
        <f aca="false">IF(OR('THÁNG 8'!$C83="",'THÁNG 8'!$B83=""),"",'THÁNG 8'!$B83)</f>
        <v/>
      </c>
      <c r="C376" s="0" t="str">
        <f aca="false">IF('THÁNG 8'!$C83="","",'THÁNG 8'!$C83)</f>
        <v/>
      </c>
      <c r="D376" s="0" t="str">
        <f aca="false">IF('THÁNG 8'!$C83="","",'THÁNG 8'!$D83&amp;"")</f>
        <v/>
      </c>
      <c r="E376" s="0" t="str">
        <f aca="false">IF('THÁNG 8'!$C83="","",'THÁNG 8'!$E83&amp;"")</f>
        <v/>
      </c>
      <c r="F376" s="0" t="str">
        <f aca="false">IF('THÁNG 8'!$C83="","",'THÁNG 8'!$F83&amp;"")</f>
        <v/>
      </c>
      <c r="G376" s="0" t="str">
        <f aca="false">IF('THÁNG 8'!$C83="","",'THÁNG 8'!$G83&amp;"")</f>
        <v/>
      </c>
      <c r="H376" s="0" t="str">
        <f aca="false">IF('THÁNG 8'!$C83="","",'THÁNG 8'!$H83&amp;"")</f>
        <v/>
      </c>
      <c r="I376" s="0" t="str">
        <f aca="false">IF('THÁNG 8'!$C83="","",N('THÁNG 8'!$I83))</f>
        <v/>
      </c>
      <c r="J376" s="0" t="str">
        <f aca="false">IF('THÁNG 8'!$C83="","",N('THÁNG 8'!$L83))</f>
        <v/>
      </c>
      <c r="K376" s="0" t="str">
        <f aca="false">IF('THÁNG 8'!$C83="","",N('THÁNG 8'!$N83))</f>
        <v/>
      </c>
      <c r="L376" s="0" t="str">
        <f aca="false">IF('THÁNG 8'!$C83="","",N('THÁNG 8'!$O83))</f>
        <v/>
      </c>
      <c r="M376" s="0" t="str">
        <f aca="false">IF('THÁNG 8'!$C83="","",N('THÁNG 8'!$P83))</f>
        <v/>
      </c>
      <c r="N376" s="0" t="str">
        <f aca="false">IF('THÁNG 8'!$C83="","",N('THÁNG 8'!$Q83))</f>
        <v/>
      </c>
      <c r="O376" s="0" t="str">
        <f aca="false">IF('THÁNG 8'!$C83="","",N('THÁNG 8'!$R83))</f>
        <v/>
      </c>
      <c r="P376" s="0" t="str">
        <f aca="false">IF(OR('THÁNG 8'!$C83="",'THÁNG 8'!$T83=""),"",'THÁNG 8'!$T83)</f>
        <v/>
      </c>
      <c r="Q376" s="0" t="str">
        <f aca="false">IF(OR('THÁNG 8'!$C83="",'THÁNG 8'!$U83=""),"",'THÁNG 8'!$U83)</f>
        <v/>
      </c>
      <c r="R376" s="0" t="str">
        <f aca="false">IF('THÁNG 8'!$C83="","",'THÁNG 8'!$W83&amp;"")</f>
        <v/>
      </c>
      <c r="S376" s="0" t="str">
        <f aca="false">IF('THÁNG 8'!$C83="","",'THÁNG 8'!$S83&amp;"")</f>
        <v/>
      </c>
      <c r="T376" s="0" t="str">
        <f aca="false">IF(N($O376)&gt;0,COUNTIF($O$3:$O376,"&gt;0"),"")</f>
        <v/>
      </c>
      <c r="U376" s="0" t="str">
        <f aca="false">IF(AND(N($J376)&gt;0,N($K376)&gt;0),COUNTIFS($J$3:$J376,"&gt;0",$K$3:$K376,"&gt;0"),"")</f>
        <v/>
      </c>
      <c r="V376" s="0" t="str">
        <f aca="false">IF(AND(N($J376)&gt;0,N($K376)=0),COUNTIFS($J$3:$J376,"&gt;0",$K$3:$K376,"&lt;=0"),"")</f>
        <v/>
      </c>
      <c r="W376" s="0" t="str">
        <f aca="false">IF($C376="","",IF(COUNTIF($C$3:$C376,$C376)&gt;1,"",MAX($W$2:W375)+1))</f>
        <v/>
      </c>
      <c r="X376" s="0" t="str">
        <f aca="false">IF($H376="","",IF(COUNTIF($H$3:$H376,$H376)&gt;1,"",MAX($X$2:X375)+1))</f>
        <v/>
      </c>
      <c r="Y376" s="0" t="str">
        <f aca="false">IF(AND(N($M376)&gt;0,N($O376)&lt;=0),COUNTIFS($M$3:$M376,"&gt;0",$O$3:$O376,"&lt;=0"),"")</f>
        <v/>
      </c>
      <c r="Z376" s="30" t="n">
        <f aca="false">IF(OR('THÁNG 8'!$C83="",'THÁNG 8'!$B83=""),0,'THÁNG 8'!$B83)</f>
        <v>0</v>
      </c>
    </row>
    <row r="377" customFormat="false" ht="15" hidden="false" customHeight="false" outlineLevel="0" collapsed="false">
      <c r="A377" s="0" t="n">
        <v>8</v>
      </c>
      <c r="B377" s="29" t="str">
        <f aca="false">IF(OR('THÁNG 8'!$C84="",'THÁNG 8'!$B84=""),"",'THÁNG 8'!$B84)</f>
        <v/>
      </c>
      <c r="C377" s="0" t="str">
        <f aca="false">IF('THÁNG 8'!$C84="","",'THÁNG 8'!$C84)</f>
        <v/>
      </c>
      <c r="D377" s="0" t="str">
        <f aca="false">IF('THÁNG 8'!$C84="","",'THÁNG 8'!$D84&amp;"")</f>
        <v/>
      </c>
      <c r="E377" s="0" t="str">
        <f aca="false">IF('THÁNG 8'!$C84="","",'THÁNG 8'!$E84&amp;"")</f>
        <v/>
      </c>
      <c r="F377" s="0" t="str">
        <f aca="false">IF('THÁNG 8'!$C84="","",'THÁNG 8'!$F84&amp;"")</f>
        <v/>
      </c>
      <c r="G377" s="0" t="str">
        <f aca="false">IF('THÁNG 8'!$C84="","",'THÁNG 8'!$G84&amp;"")</f>
        <v/>
      </c>
      <c r="H377" s="0" t="str">
        <f aca="false">IF('THÁNG 8'!$C84="","",'THÁNG 8'!$H84&amp;"")</f>
        <v/>
      </c>
      <c r="I377" s="0" t="str">
        <f aca="false">IF('THÁNG 8'!$C84="","",N('THÁNG 8'!$I84))</f>
        <v/>
      </c>
      <c r="J377" s="0" t="str">
        <f aca="false">IF('THÁNG 8'!$C84="","",N('THÁNG 8'!$L84))</f>
        <v/>
      </c>
      <c r="K377" s="0" t="str">
        <f aca="false">IF('THÁNG 8'!$C84="","",N('THÁNG 8'!$N84))</f>
        <v/>
      </c>
      <c r="L377" s="0" t="str">
        <f aca="false">IF('THÁNG 8'!$C84="","",N('THÁNG 8'!$O84))</f>
        <v/>
      </c>
      <c r="M377" s="0" t="str">
        <f aca="false">IF('THÁNG 8'!$C84="","",N('THÁNG 8'!$P84))</f>
        <v/>
      </c>
      <c r="N377" s="0" t="str">
        <f aca="false">IF('THÁNG 8'!$C84="","",N('THÁNG 8'!$Q84))</f>
        <v/>
      </c>
      <c r="O377" s="0" t="str">
        <f aca="false">IF('THÁNG 8'!$C84="","",N('THÁNG 8'!$R84))</f>
        <v/>
      </c>
      <c r="P377" s="0" t="str">
        <f aca="false">IF(OR('THÁNG 8'!$C84="",'THÁNG 8'!$T84=""),"",'THÁNG 8'!$T84)</f>
        <v/>
      </c>
      <c r="Q377" s="0" t="str">
        <f aca="false">IF(OR('THÁNG 8'!$C84="",'THÁNG 8'!$U84=""),"",'THÁNG 8'!$U84)</f>
        <v/>
      </c>
      <c r="R377" s="0" t="str">
        <f aca="false">IF('THÁNG 8'!$C84="","",'THÁNG 8'!$W84&amp;"")</f>
        <v/>
      </c>
      <c r="S377" s="0" t="str">
        <f aca="false">IF('THÁNG 8'!$C84="","",'THÁNG 8'!$S84&amp;"")</f>
        <v/>
      </c>
      <c r="T377" s="0" t="str">
        <f aca="false">IF(N($O377)&gt;0,COUNTIF($O$3:$O377,"&gt;0"),"")</f>
        <v/>
      </c>
      <c r="U377" s="0" t="str">
        <f aca="false">IF(AND(N($J377)&gt;0,N($K377)&gt;0),COUNTIFS($J$3:$J377,"&gt;0",$K$3:$K377,"&gt;0"),"")</f>
        <v/>
      </c>
      <c r="V377" s="0" t="str">
        <f aca="false">IF(AND(N($J377)&gt;0,N($K377)=0),COUNTIFS($J$3:$J377,"&gt;0",$K$3:$K377,"&lt;=0"),"")</f>
        <v/>
      </c>
      <c r="W377" s="0" t="str">
        <f aca="false">IF($C377="","",IF(COUNTIF($C$3:$C377,$C377)&gt;1,"",MAX($W$2:W376)+1))</f>
        <v/>
      </c>
      <c r="X377" s="0" t="str">
        <f aca="false">IF($H377="","",IF(COUNTIF($H$3:$H377,$H377)&gt;1,"",MAX($X$2:X376)+1))</f>
        <v/>
      </c>
      <c r="Y377" s="0" t="str">
        <f aca="false">IF(AND(N($M377)&gt;0,N($O377)&lt;=0),COUNTIFS($M$3:$M377,"&gt;0",$O$3:$O377,"&lt;=0"),"")</f>
        <v/>
      </c>
      <c r="Z377" s="30" t="n">
        <f aca="false">IF(OR('THÁNG 8'!$C84="",'THÁNG 8'!$B84=""),0,'THÁNG 8'!$B84)</f>
        <v>0</v>
      </c>
    </row>
    <row r="378" customFormat="false" ht="15" hidden="false" customHeight="false" outlineLevel="0" collapsed="false">
      <c r="A378" s="0" t="n">
        <v>8</v>
      </c>
      <c r="B378" s="29" t="str">
        <f aca="false">IF(OR('THÁNG 8'!$C85="",'THÁNG 8'!$B85=""),"",'THÁNG 8'!$B85)</f>
        <v/>
      </c>
      <c r="C378" s="0" t="str">
        <f aca="false">IF('THÁNG 8'!$C85="","",'THÁNG 8'!$C85)</f>
        <v/>
      </c>
      <c r="D378" s="0" t="str">
        <f aca="false">IF('THÁNG 8'!$C85="","",'THÁNG 8'!$D85&amp;"")</f>
        <v/>
      </c>
      <c r="E378" s="0" t="str">
        <f aca="false">IF('THÁNG 8'!$C85="","",'THÁNG 8'!$E85&amp;"")</f>
        <v/>
      </c>
      <c r="F378" s="0" t="str">
        <f aca="false">IF('THÁNG 8'!$C85="","",'THÁNG 8'!$F85&amp;"")</f>
        <v/>
      </c>
      <c r="G378" s="0" t="str">
        <f aca="false">IF('THÁNG 8'!$C85="","",'THÁNG 8'!$G85&amp;"")</f>
        <v/>
      </c>
      <c r="H378" s="0" t="str">
        <f aca="false">IF('THÁNG 8'!$C85="","",'THÁNG 8'!$H85&amp;"")</f>
        <v/>
      </c>
      <c r="I378" s="0" t="str">
        <f aca="false">IF('THÁNG 8'!$C85="","",N('THÁNG 8'!$I85))</f>
        <v/>
      </c>
      <c r="J378" s="0" t="str">
        <f aca="false">IF('THÁNG 8'!$C85="","",N('THÁNG 8'!$L85))</f>
        <v/>
      </c>
      <c r="K378" s="0" t="str">
        <f aca="false">IF('THÁNG 8'!$C85="","",N('THÁNG 8'!$N85))</f>
        <v/>
      </c>
      <c r="L378" s="0" t="str">
        <f aca="false">IF('THÁNG 8'!$C85="","",N('THÁNG 8'!$O85))</f>
        <v/>
      </c>
      <c r="M378" s="0" t="str">
        <f aca="false">IF('THÁNG 8'!$C85="","",N('THÁNG 8'!$P85))</f>
        <v/>
      </c>
      <c r="N378" s="0" t="str">
        <f aca="false">IF('THÁNG 8'!$C85="","",N('THÁNG 8'!$Q85))</f>
        <v/>
      </c>
      <c r="O378" s="0" t="str">
        <f aca="false">IF('THÁNG 8'!$C85="","",N('THÁNG 8'!$R85))</f>
        <v/>
      </c>
      <c r="P378" s="0" t="str">
        <f aca="false">IF(OR('THÁNG 8'!$C85="",'THÁNG 8'!$T85=""),"",'THÁNG 8'!$T85)</f>
        <v/>
      </c>
      <c r="Q378" s="0" t="str">
        <f aca="false">IF(OR('THÁNG 8'!$C85="",'THÁNG 8'!$U85=""),"",'THÁNG 8'!$U85)</f>
        <v/>
      </c>
      <c r="R378" s="0" t="str">
        <f aca="false">IF('THÁNG 8'!$C85="","",'THÁNG 8'!$W85&amp;"")</f>
        <v/>
      </c>
      <c r="S378" s="0" t="str">
        <f aca="false">IF('THÁNG 8'!$C85="","",'THÁNG 8'!$S85&amp;"")</f>
        <v/>
      </c>
      <c r="T378" s="0" t="str">
        <f aca="false">IF(N($O378)&gt;0,COUNTIF($O$3:$O378,"&gt;0"),"")</f>
        <v/>
      </c>
      <c r="U378" s="0" t="str">
        <f aca="false">IF(AND(N($J378)&gt;0,N($K378)&gt;0),COUNTIFS($J$3:$J378,"&gt;0",$K$3:$K378,"&gt;0"),"")</f>
        <v/>
      </c>
      <c r="V378" s="0" t="str">
        <f aca="false">IF(AND(N($J378)&gt;0,N($K378)=0),COUNTIFS($J$3:$J378,"&gt;0",$K$3:$K378,"&lt;=0"),"")</f>
        <v/>
      </c>
      <c r="W378" s="0" t="str">
        <f aca="false">IF($C378="","",IF(COUNTIF($C$3:$C378,$C378)&gt;1,"",MAX($W$2:W377)+1))</f>
        <v/>
      </c>
      <c r="X378" s="0" t="str">
        <f aca="false">IF($H378="","",IF(COUNTIF($H$3:$H378,$H378)&gt;1,"",MAX($X$2:X377)+1))</f>
        <v/>
      </c>
      <c r="Y378" s="0" t="str">
        <f aca="false">IF(AND(N($M378)&gt;0,N($O378)&lt;=0),COUNTIFS($M$3:$M378,"&gt;0",$O$3:$O378,"&lt;=0"),"")</f>
        <v/>
      </c>
      <c r="Z378" s="30" t="n">
        <f aca="false">IF(OR('THÁNG 8'!$C85="",'THÁNG 8'!$B85=""),0,'THÁNG 8'!$B85)</f>
        <v>0</v>
      </c>
    </row>
    <row r="379" customFormat="false" ht="15" hidden="false" customHeight="false" outlineLevel="0" collapsed="false">
      <c r="A379" s="0" t="n">
        <v>8</v>
      </c>
      <c r="B379" s="29" t="str">
        <f aca="false">IF(OR('THÁNG 8'!$C86="",'THÁNG 8'!$B86=""),"",'THÁNG 8'!$B86)</f>
        <v/>
      </c>
      <c r="C379" s="0" t="str">
        <f aca="false">IF('THÁNG 8'!$C86="","",'THÁNG 8'!$C86)</f>
        <v/>
      </c>
      <c r="D379" s="0" t="str">
        <f aca="false">IF('THÁNG 8'!$C86="","",'THÁNG 8'!$D86&amp;"")</f>
        <v/>
      </c>
      <c r="E379" s="0" t="str">
        <f aca="false">IF('THÁNG 8'!$C86="","",'THÁNG 8'!$E86&amp;"")</f>
        <v/>
      </c>
      <c r="F379" s="0" t="str">
        <f aca="false">IF('THÁNG 8'!$C86="","",'THÁNG 8'!$F86&amp;"")</f>
        <v/>
      </c>
      <c r="G379" s="0" t="str">
        <f aca="false">IF('THÁNG 8'!$C86="","",'THÁNG 8'!$G86&amp;"")</f>
        <v/>
      </c>
      <c r="H379" s="0" t="str">
        <f aca="false">IF('THÁNG 8'!$C86="","",'THÁNG 8'!$H86&amp;"")</f>
        <v/>
      </c>
      <c r="I379" s="0" t="str">
        <f aca="false">IF('THÁNG 8'!$C86="","",N('THÁNG 8'!$I86))</f>
        <v/>
      </c>
      <c r="J379" s="0" t="str">
        <f aca="false">IF('THÁNG 8'!$C86="","",N('THÁNG 8'!$L86))</f>
        <v/>
      </c>
      <c r="K379" s="0" t="str">
        <f aca="false">IF('THÁNG 8'!$C86="","",N('THÁNG 8'!$N86))</f>
        <v/>
      </c>
      <c r="L379" s="0" t="str">
        <f aca="false">IF('THÁNG 8'!$C86="","",N('THÁNG 8'!$O86))</f>
        <v/>
      </c>
      <c r="M379" s="0" t="str">
        <f aca="false">IF('THÁNG 8'!$C86="","",N('THÁNG 8'!$P86))</f>
        <v/>
      </c>
      <c r="N379" s="0" t="str">
        <f aca="false">IF('THÁNG 8'!$C86="","",N('THÁNG 8'!$Q86))</f>
        <v/>
      </c>
      <c r="O379" s="0" t="str">
        <f aca="false">IF('THÁNG 8'!$C86="","",N('THÁNG 8'!$R86))</f>
        <v/>
      </c>
      <c r="P379" s="0" t="str">
        <f aca="false">IF(OR('THÁNG 8'!$C86="",'THÁNG 8'!$T86=""),"",'THÁNG 8'!$T86)</f>
        <v/>
      </c>
      <c r="Q379" s="0" t="str">
        <f aca="false">IF(OR('THÁNG 8'!$C86="",'THÁNG 8'!$U86=""),"",'THÁNG 8'!$U86)</f>
        <v/>
      </c>
      <c r="R379" s="0" t="str">
        <f aca="false">IF('THÁNG 8'!$C86="","",'THÁNG 8'!$W86&amp;"")</f>
        <v/>
      </c>
      <c r="S379" s="0" t="str">
        <f aca="false">IF('THÁNG 8'!$C86="","",'THÁNG 8'!$S86&amp;"")</f>
        <v/>
      </c>
      <c r="T379" s="0" t="str">
        <f aca="false">IF(N($O379)&gt;0,COUNTIF($O$3:$O379,"&gt;0"),"")</f>
        <v/>
      </c>
      <c r="U379" s="0" t="str">
        <f aca="false">IF(AND(N($J379)&gt;0,N($K379)&gt;0),COUNTIFS($J$3:$J379,"&gt;0",$K$3:$K379,"&gt;0"),"")</f>
        <v/>
      </c>
      <c r="V379" s="0" t="str">
        <f aca="false">IF(AND(N($J379)&gt;0,N($K379)=0),COUNTIFS($J$3:$J379,"&gt;0",$K$3:$K379,"&lt;=0"),"")</f>
        <v/>
      </c>
      <c r="W379" s="0" t="str">
        <f aca="false">IF($C379="","",IF(COUNTIF($C$3:$C379,$C379)&gt;1,"",MAX($W$2:W378)+1))</f>
        <v/>
      </c>
      <c r="X379" s="0" t="str">
        <f aca="false">IF($H379="","",IF(COUNTIF($H$3:$H379,$H379)&gt;1,"",MAX($X$2:X378)+1))</f>
        <v/>
      </c>
      <c r="Y379" s="0" t="str">
        <f aca="false">IF(AND(N($M379)&gt;0,N($O379)&lt;=0),COUNTIFS($M$3:$M379,"&gt;0",$O$3:$O379,"&lt;=0"),"")</f>
        <v/>
      </c>
      <c r="Z379" s="30" t="n">
        <f aca="false">IF(OR('THÁNG 8'!$C86="",'THÁNG 8'!$B86=""),0,'THÁNG 8'!$B86)</f>
        <v>0</v>
      </c>
    </row>
    <row r="380" customFormat="false" ht="15" hidden="false" customHeight="false" outlineLevel="0" collapsed="false">
      <c r="A380" s="0" t="n">
        <v>8</v>
      </c>
      <c r="B380" s="29" t="str">
        <f aca="false">IF(OR('THÁNG 8'!$C87="",'THÁNG 8'!$B87=""),"",'THÁNG 8'!$B87)</f>
        <v/>
      </c>
      <c r="C380" s="0" t="str">
        <f aca="false">IF('THÁNG 8'!$C87="","",'THÁNG 8'!$C87)</f>
        <v/>
      </c>
      <c r="D380" s="0" t="str">
        <f aca="false">IF('THÁNG 8'!$C87="","",'THÁNG 8'!$D87&amp;"")</f>
        <v/>
      </c>
      <c r="E380" s="0" t="str">
        <f aca="false">IF('THÁNG 8'!$C87="","",'THÁNG 8'!$E87&amp;"")</f>
        <v/>
      </c>
      <c r="F380" s="0" t="str">
        <f aca="false">IF('THÁNG 8'!$C87="","",'THÁNG 8'!$F87&amp;"")</f>
        <v/>
      </c>
      <c r="G380" s="0" t="str">
        <f aca="false">IF('THÁNG 8'!$C87="","",'THÁNG 8'!$G87&amp;"")</f>
        <v/>
      </c>
      <c r="H380" s="0" t="str">
        <f aca="false">IF('THÁNG 8'!$C87="","",'THÁNG 8'!$H87&amp;"")</f>
        <v/>
      </c>
      <c r="I380" s="0" t="str">
        <f aca="false">IF('THÁNG 8'!$C87="","",N('THÁNG 8'!$I87))</f>
        <v/>
      </c>
      <c r="J380" s="0" t="str">
        <f aca="false">IF('THÁNG 8'!$C87="","",N('THÁNG 8'!$L87))</f>
        <v/>
      </c>
      <c r="K380" s="0" t="str">
        <f aca="false">IF('THÁNG 8'!$C87="","",N('THÁNG 8'!$N87))</f>
        <v/>
      </c>
      <c r="L380" s="0" t="str">
        <f aca="false">IF('THÁNG 8'!$C87="","",N('THÁNG 8'!$O87))</f>
        <v/>
      </c>
      <c r="M380" s="0" t="str">
        <f aca="false">IF('THÁNG 8'!$C87="","",N('THÁNG 8'!$P87))</f>
        <v/>
      </c>
      <c r="N380" s="0" t="str">
        <f aca="false">IF('THÁNG 8'!$C87="","",N('THÁNG 8'!$Q87))</f>
        <v/>
      </c>
      <c r="O380" s="0" t="str">
        <f aca="false">IF('THÁNG 8'!$C87="","",N('THÁNG 8'!$R87))</f>
        <v/>
      </c>
      <c r="P380" s="0" t="str">
        <f aca="false">IF(OR('THÁNG 8'!$C87="",'THÁNG 8'!$T87=""),"",'THÁNG 8'!$T87)</f>
        <v/>
      </c>
      <c r="Q380" s="0" t="str">
        <f aca="false">IF(OR('THÁNG 8'!$C87="",'THÁNG 8'!$U87=""),"",'THÁNG 8'!$U87)</f>
        <v/>
      </c>
      <c r="R380" s="0" t="str">
        <f aca="false">IF('THÁNG 8'!$C87="","",'THÁNG 8'!$W87&amp;"")</f>
        <v/>
      </c>
      <c r="S380" s="0" t="str">
        <f aca="false">IF('THÁNG 8'!$C87="","",'THÁNG 8'!$S87&amp;"")</f>
        <v/>
      </c>
      <c r="T380" s="0" t="str">
        <f aca="false">IF(N($O380)&gt;0,COUNTIF($O$3:$O380,"&gt;0"),"")</f>
        <v/>
      </c>
      <c r="U380" s="0" t="str">
        <f aca="false">IF(AND(N($J380)&gt;0,N($K380)&gt;0),COUNTIFS($J$3:$J380,"&gt;0",$K$3:$K380,"&gt;0"),"")</f>
        <v/>
      </c>
      <c r="V380" s="0" t="str">
        <f aca="false">IF(AND(N($J380)&gt;0,N($K380)=0),COUNTIFS($J$3:$J380,"&gt;0",$K$3:$K380,"&lt;=0"),"")</f>
        <v/>
      </c>
      <c r="W380" s="0" t="str">
        <f aca="false">IF($C380="","",IF(COUNTIF($C$3:$C380,$C380)&gt;1,"",MAX($W$2:W379)+1))</f>
        <v/>
      </c>
      <c r="X380" s="0" t="str">
        <f aca="false">IF($H380="","",IF(COUNTIF($H$3:$H380,$H380)&gt;1,"",MAX($X$2:X379)+1))</f>
        <v/>
      </c>
      <c r="Y380" s="0" t="str">
        <f aca="false">IF(AND(N($M380)&gt;0,N($O380)&lt;=0),COUNTIFS($M$3:$M380,"&gt;0",$O$3:$O380,"&lt;=0"),"")</f>
        <v/>
      </c>
      <c r="Z380" s="30" t="n">
        <f aca="false">IF(OR('THÁNG 8'!$C87="",'THÁNG 8'!$B87=""),0,'THÁNG 8'!$B87)</f>
        <v>0</v>
      </c>
    </row>
    <row r="381" customFormat="false" ht="15" hidden="false" customHeight="false" outlineLevel="0" collapsed="false">
      <c r="A381" s="0" t="n">
        <v>8</v>
      </c>
      <c r="B381" s="29" t="str">
        <f aca="false">IF(OR('THÁNG 8'!$C88="",'THÁNG 8'!$B88=""),"",'THÁNG 8'!$B88)</f>
        <v/>
      </c>
      <c r="C381" s="0" t="str">
        <f aca="false">IF('THÁNG 8'!$C88="","",'THÁNG 8'!$C88)</f>
        <v/>
      </c>
      <c r="D381" s="0" t="str">
        <f aca="false">IF('THÁNG 8'!$C88="","",'THÁNG 8'!$D88&amp;"")</f>
        <v/>
      </c>
      <c r="E381" s="0" t="str">
        <f aca="false">IF('THÁNG 8'!$C88="","",'THÁNG 8'!$E88&amp;"")</f>
        <v/>
      </c>
      <c r="F381" s="0" t="str">
        <f aca="false">IF('THÁNG 8'!$C88="","",'THÁNG 8'!$F88&amp;"")</f>
        <v/>
      </c>
      <c r="G381" s="0" t="str">
        <f aca="false">IF('THÁNG 8'!$C88="","",'THÁNG 8'!$G88&amp;"")</f>
        <v/>
      </c>
      <c r="H381" s="0" t="str">
        <f aca="false">IF('THÁNG 8'!$C88="","",'THÁNG 8'!$H88&amp;"")</f>
        <v/>
      </c>
      <c r="I381" s="0" t="str">
        <f aca="false">IF('THÁNG 8'!$C88="","",N('THÁNG 8'!$I88))</f>
        <v/>
      </c>
      <c r="J381" s="0" t="str">
        <f aca="false">IF('THÁNG 8'!$C88="","",N('THÁNG 8'!$L88))</f>
        <v/>
      </c>
      <c r="K381" s="0" t="str">
        <f aca="false">IF('THÁNG 8'!$C88="","",N('THÁNG 8'!$N88))</f>
        <v/>
      </c>
      <c r="L381" s="0" t="str">
        <f aca="false">IF('THÁNG 8'!$C88="","",N('THÁNG 8'!$O88))</f>
        <v/>
      </c>
      <c r="M381" s="0" t="str">
        <f aca="false">IF('THÁNG 8'!$C88="","",N('THÁNG 8'!$P88))</f>
        <v/>
      </c>
      <c r="N381" s="0" t="str">
        <f aca="false">IF('THÁNG 8'!$C88="","",N('THÁNG 8'!$Q88))</f>
        <v/>
      </c>
      <c r="O381" s="0" t="str">
        <f aca="false">IF('THÁNG 8'!$C88="","",N('THÁNG 8'!$R88))</f>
        <v/>
      </c>
      <c r="P381" s="0" t="str">
        <f aca="false">IF(OR('THÁNG 8'!$C88="",'THÁNG 8'!$T88=""),"",'THÁNG 8'!$T88)</f>
        <v/>
      </c>
      <c r="Q381" s="0" t="str">
        <f aca="false">IF(OR('THÁNG 8'!$C88="",'THÁNG 8'!$U88=""),"",'THÁNG 8'!$U88)</f>
        <v/>
      </c>
      <c r="R381" s="0" t="str">
        <f aca="false">IF('THÁNG 8'!$C88="","",'THÁNG 8'!$W88&amp;"")</f>
        <v/>
      </c>
      <c r="S381" s="0" t="str">
        <f aca="false">IF('THÁNG 8'!$C88="","",'THÁNG 8'!$S88&amp;"")</f>
        <v/>
      </c>
      <c r="T381" s="0" t="str">
        <f aca="false">IF(N($O381)&gt;0,COUNTIF($O$3:$O381,"&gt;0"),"")</f>
        <v/>
      </c>
      <c r="U381" s="0" t="str">
        <f aca="false">IF(AND(N($J381)&gt;0,N($K381)&gt;0),COUNTIFS($J$3:$J381,"&gt;0",$K$3:$K381,"&gt;0"),"")</f>
        <v/>
      </c>
      <c r="V381" s="0" t="str">
        <f aca="false">IF(AND(N($J381)&gt;0,N($K381)=0),COUNTIFS($J$3:$J381,"&gt;0",$K$3:$K381,"&lt;=0"),"")</f>
        <v/>
      </c>
      <c r="W381" s="0" t="str">
        <f aca="false">IF($C381="","",IF(COUNTIF($C$3:$C381,$C381)&gt;1,"",MAX($W$2:W380)+1))</f>
        <v/>
      </c>
      <c r="X381" s="0" t="str">
        <f aca="false">IF($H381="","",IF(COUNTIF($H$3:$H381,$H381)&gt;1,"",MAX($X$2:X380)+1))</f>
        <v/>
      </c>
      <c r="Y381" s="0" t="str">
        <f aca="false">IF(AND(N($M381)&gt;0,N($O381)&lt;=0),COUNTIFS($M$3:$M381,"&gt;0",$O$3:$O381,"&lt;=0"),"")</f>
        <v/>
      </c>
      <c r="Z381" s="30" t="n">
        <f aca="false">IF(OR('THÁNG 8'!$C88="",'THÁNG 8'!$B88=""),0,'THÁNG 8'!$B88)</f>
        <v>0</v>
      </c>
    </row>
    <row r="382" customFormat="false" ht="15" hidden="false" customHeight="false" outlineLevel="0" collapsed="false">
      <c r="A382" s="0" t="n">
        <v>8</v>
      </c>
      <c r="B382" s="29" t="str">
        <f aca="false">IF(OR('THÁNG 8'!$C89="",'THÁNG 8'!$B89=""),"",'THÁNG 8'!$B89)</f>
        <v/>
      </c>
      <c r="C382" s="0" t="str">
        <f aca="false">IF('THÁNG 8'!$C89="","",'THÁNG 8'!$C89)</f>
        <v/>
      </c>
      <c r="D382" s="0" t="str">
        <f aca="false">IF('THÁNG 8'!$C89="","",'THÁNG 8'!$D89&amp;"")</f>
        <v/>
      </c>
      <c r="E382" s="0" t="str">
        <f aca="false">IF('THÁNG 8'!$C89="","",'THÁNG 8'!$E89&amp;"")</f>
        <v/>
      </c>
      <c r="F382" s="0" t="str">
        <f aca="false">IF('THÁNG 8'!$C89="","",'THÁNG 8'!$F89&amp;"")</f>
        <v/>
      </c>
      <c r="G382" s="0" t="str">
        <f aca="false">IF('THÁNG 8'!$C89="","",'THÁNG 8'!$G89&amp;"")</f>
        <v/>
      </c>
      <c r="H382" s="0" t="str">
        <f aca="false">IF('THÁNG 8'!$C89="","",'THÁNG 8'!$H89&amp;"")</f>
        <v/>
      </c>
      <c r="I382" s="0" t="str">
        <f aca="false">IF('THÁNG 8'!$C89="","",N('THÁNG 8'!$I89))</f>
        <v/>
      </c>
      <c r="J382" s="0" t="str">
        <f aca="false">IF('THÁNG 8'!$C89="","",N('THÁNG 8'!$L89))</f>
        <v/>
      </c>
      <c r="K382" s="0" t="str">
        <f aca="false">IF('THÁNG 8'!$C89="","",N('THÁNG 8'!$N89))</f>
        <v/>
      </c>
      <c r="L382" s="0" t="str">
        <f aca="false">IF('THÁNG 8'!$C89="","",N('THÁNG 8'!$O89))</f>
        <v/>
      </c>
      <c r="M382" s="0" t="str">
        <f aca="false">IF('THÁNG 8'!$C89="","",N('THÁNG 8'!$P89))</f>
        <v/>
      </c>
      <c r="N382" s="0" t="str">
        <f aca="false">IF('THÁNG 8'!$C89="","",N('THÁNG 8'!$Q89))</f>
        <v/>
      </c>
      <c r="O382" s="0" t="str">
        <f aca="false">IF('THÁNG 8'!$C89="","",N('THÁNG 8'!$R89))</f>
        <v/>
      </c>
      <c r="P382" s="0" t="str">
        <f aca="false">IF(OR('THÁNG 8'!$C89="",'THÁNG 8'!$T89=""),"",'THÁNG 8'!$T89)</f>
        <v/>
      </c>
      <c r="Q382" s="0" t="str">
        <f aca="false">IF(OR('THÁNG 8'!$C89="",'THÁNG 8'!$U89=""),"",'THÁNG 8'!$U89)</f>
        <v/>
      </c>
      <c r="R382" s="0" t="str">
        <f aca="false">IF('THÁNG 8'!$C89="","",'THÁNG 8'!$W89&amp;"")</f>
        <v/>
      </c>
      <c r="S382" s="0" t="str">
        <f aca="false">IF('THÁNG 8'!$C89="","",'THÁNG 8'!$S89&amp;"")</f>
        <v/>
      </c>
      <c r="T382" s="0" t="str">
        <f aca="false">IF(N($O382)&gt;0,COUNTIF($O$3:$O382,"&gt;0"),"")</f>
        <v/>
      </c>
      <c r="U382" s="0" t="str">
        <f aca="false">IF(AND(N($J382)&gt;0,N($K382)&gt;0),COUNTIFS($J$3:$J382,"&gt;0",$K$3:$K382,"&gt;0"),"")</f>
        <v/>
      </c>
      <c r="V382" s="0" t="str">
        <f aca="false">IF(AND(N($J382)&gt;0,N($K382)=0),COUNTIFS($J$3:$J382,"&gt;0",$K$3:$K382,"&lt;=0"),"")</f>
        <v/>
      </c>
      <c r="W382" s="0" t="str">
        <f aca="false">IF($C382="","",IF(COUNTIF($C$3:$C382,$C382)&gt;1,"",MAX($W$2:W381)+1))</f>
        <v/>
      </c>
      <c r="X382" s="0" t="str">
        <f aca="false">IF($H382="","",IF(COUNTIF($H$3:$H382,$H382)&gt;1,"",MAX($X$2:X381)+1))</f>
        <v/>
      </c>
      <c r="Y382" s="0" t="str">
        <f aca="false">IF(AND(N($M382)&gt;0,N($O382)&lt;=0),COUNTIFS($M$3:$M382,"&gt;0",$O$3:$O382,"&lt;=0"),"")</f>
        <v/>
      </c>
      <c r="Z382" s="30" t="n">
        <f aca="false">IF(OR('THÁNG 8'!$C89="",'THÁNG 8'!$B89=""),0,'THÁNG 8'!$B89)</f>
        <v>0</v>
      </c>
    </row>
    <row r="383" customFormat="false" ht="15" hidden="false" customHeight="false" outlineLevel="0" collapsed="false">
      <c r="A383" s="0" t="n">
        <v>8</v>
      </c>
      <c r="B383" s="29" t="str">
        <f aca="false">IF(OR('THÁNG 8'!$C90="",'THÁNG 8'!$B90=""),"",'THÁNG 8'!$B90)</f>
        <v/>
      </c>
      <c r="C383" s="0" t="str">
        <f aca="false">IF('THÁNG 8'!$C90="","",'THÁNG 8'!$C90)</f>
        <v/>
      </c>
      <c r="D383" s="0" t="str">
        <f aca="false">IF('THÁNG 8'!$C90="","",'THÁNG 8'!$D90&amp;"")</f>
        <v/>
      </c>
      <c r="E383" s="0" t="str">
        <f aca="false">IF('THÁNG 8'!$C90="","",'THÁNG 8'!$E90&amp;"")</f>
        <v/>
      </c>
      <c r="F383" s="0" t="str">
        <f aca="false">IF('THÁNG 8'!$C90="","",'THÁNG 8'!$F90&amp;"")</f>
        <v/>
      </c>
      <c r="G383" s="0" t="str">
        <f aca="false">IF('THÁNG 8'!$C90="","",'THÁNG 8'!$G90&amp;"")</f>
        <v/>
      </c>
      <c r="H383" s="0" t="str">
        <f aca="false">IF('THÁNG 8'!$C90="","",'THÁNG 8'!$H90&amp;"")</f>
        <v/>
      </c>
      <c r="I383" s="0" t="str">
        <f aca="false">IF('THÁNG 8'!$C90="","",N('THÁNG 8'!$I90))</f>
        <v/>
      </c>
      <c r="J383" s="0" t="str">
        <f aca="false">IF('THÁNG 8'!$C90="","",N('THÁNG 8'!$L90))</f>
        <v/>
      </c>
      <c r="K383" s="0" t="str">
        <f aca="false">IF('THÁNG 8'!$C90="","",N('THÁNG 8'!$N90))</f>
        <v/>
      </c>
      <c r="L383" s="0" t="str">
        <f aca="false">IF('THÁNG 8'!$C90="","",N('THÁNG 8'!$O90))</f>
        <v/>
      </c>
      <c r="M383" s="0" t="str">
        <f aca="false">IF('THÁNG 8'!$C90="","",N('THÁNG 8'!$P90))</f>
        <v/>
      </c>
      <c r="N383" s="0" t="str">
        <f aca="false">IF('THÁNG 8'!$C90="","",N('THÁNG 8'!$Q90))</f>
        <v/>
      </c>
      <c r="O383" s="0" t="str">
        <f aca="false">IF('THÁNG 8'!$C90="","",N('THÁNG 8'!$R90))</f>
        <v/>
      </c>
      <c r="P383" s="0" t="str">
        <f aca="false">IF(OR('THÁNG 8'!$C90="",'THÁNG 8'!$T90=""),"",'THÁNG 8'!$T90)</f>
        <v/>
      </c>
      <c r="Q383" s="0" t="str">
        <f aca="false">IF(OR('THÁNG 8'!$C90="",'THÁNG 8'!$U90=""),"",'THÁNG 8'!$U90)</f>
        <v/>
      </c>
      <c r="R383" s="0" t="str">
        <f aca="false">IF('THÁNG 8'!$C90="","",'THÁNG 8'!$W90&amp;"")</f>
        <v/>
      </c>
      <c r="S383" s="0" t="str">
        <f aca="false">IF('THÁNG 8'!$C90="","",'THÁNG 8'!$S90&amp;"")</f>
        <v/>
      </c>
      <c r="T383" s="0" t="str">
        <f aca="false">IF(N($O383)&gt;0,COUNTIF($O$3:$O383,"&gt;0"),"")</f>
        <v/>
      </c>
      <c r="U383" s="0" t="str">
        <f aca="false">IF(AND(N($J383)&gt;0,N($K383)&gt;0),COUNTIFS($J$3:$J383,"&gt;0",$K$3:$K383,"&gt;0"),"")</f>
        <v/>
      </c>
      <c r="V383" s="0" t="str">
        <f aca="false">IF(AND(N($J383)&gt;0,N($K383)=0),COUNTIFS($J$3:$J383,"&gt;0",$K$3:$K383,"&lt;=0"),"")</f>
        <v/>
      </c>
      <c r="W383" s="0" t="str">
        <f aca="false">IF($C383="","",IF(COUNTIF($C$3:$C383,$C383)&gt;1,"",MAX($W$2:W382)+1))</f>
        <v/>
      </c>
      <c r="X383" s="0" t="str">
        <f aca="false">IF($H383="","",IF(COUNTIF($H$3:$H383,$H383)&gt;1,"",MAX($X$2:X382)+1))</f>
        <v/>
      </c>
      <c r="Y383" s="0" t="str">
        <f aca="false">IF(AND(N($M383)&gt;0,N($O383)&lt;=0),COUNTIFS($M$3:$M383,"&gt;0",$O$3:$O383,"&lt;=0"),"")</f>
        <v/>
      </c>
      <c r="Z383" s="30" t="n">
        <f aca="false">IF(OR('THÁNG 8'!$C90="",'THÁNG 8'!$B90=""),0,'THÁNG 8'!$B90)</f>
        <v>0</v>
      </c>
    </row>
    <row r="384" customFormat="false" ht="15" hidden="false" customHeight="false" outlineLevel="0" collapsed="false">
      <c r="A384" s="0" t="n">
        <v>8</v>
      </c>
      <c r="B384" s="29" t="str">
        <f aca="false">IF(OR('THÁNG 8'!$C91="",'THÁNG 8'!$B91=""),"",'THÁNG 8'!$B91)</f>
        <v/>
      </c>
      <c r="C384" s="0" t="str">
        <f aca="false">IF('THÁNG 8'!$C91="","",'THÁNG 8'!$C91)</f>
        <v/>
      </c>
      <c r="D384" s="0" t="str">
        <f aca="false">IF('THÁNG 8'!$C91="","",'THÁNG 8'!$D91&amp;"")</f>
        <v/>
      </c>
      <c r="E384" s="0" t="str">
        <f aca="false">IF('THÁNG 8'!$C91="","",'THÁNG 8'!$E91&amp;"")</f>
        <v/>
      </c>
      <c r="F384" s="0" t="str">
        <f aca="false">IF('THÁNG 8'!$C91="","",'THÁNG 8'!$F91&amp;"")</f>
        <v/>
      </c>
      <c r="G384" s="0" t="str">
        <f aca="false">IF('THÁNG 8'!$C91="","",'THÁNG 8'!$G91&amp;"")</f>
        <v/>
      </c>
      <c r="H384" s="0" t="str">
        <f aca="false">IF('THÁNG 8'!$C91="","",'THÁNG 8'!$H91&amp;"")</f>
        <v/>
      </c>
      <c r="I384" s="0" t="str">
        <f aca="false">IF('THÁNG 8'!$C91="","",N('THÁNG 8'!$I91))</f>
        <v/>
      </c>
      <c r="J384" s="0" t="str">
        <f aca="false">IF('THÁNG 8'!$C91="","",N('THÁNG 8'!$L91))</f>
        <v/>
      </c>
      <c r="K384" s="0" t="str">
        <f aca="false">IF('THÁNG 8'!$C91="","",N('THÁNG 8'!$N91))</f>
        <v/>
      </c>
      <c r="L384" s="0" t="str">
        <f aca="false">IF('THÁNG 8'!$C91="","",N('THÁNG 8'!$O91))</f>
        <v/>
      </c>
      <c r="M384" s="0" t="str">
        <f aca="false">IF('THÁNG 8'!$C91="","",N('THÁNG 8'!$P91))</f>
        <v/>
      </c>
      <c r="N384" s="0" t="str">
        <f aca="false">IF('THÁNG 8'!$C91="","",N('THÁNG 8'!$Q91))</f>
        <v/>
      </c>
      <c r="O384" s="0" t="str">
        <f aca="false">IF('THÁNG 8'!$C91="","",N('THÁNG 8'!$R91))</f>
        <v/>
      </c>
      <c r="P384" s="0" t="str">
        <f aca="false">IF(OR('THÁNG 8'!$C91="",'THÁNG 8'!$T91=""),"",'THÁNG 8'!$T91)</f>
        <v/>
      </c>
      <c r="Q384" s="0" t="str">
        <f aca="false">IF(OR('THÁNG 8'!$C91="",'THÁNG 8'!$U91=""),"",'THÁNG 8'!$U91)</f>
        <v/>
      </c>
      <c r="R384" s="0" t="str">
        <f aca="false">IF('THÁNG 8'!$C91="","",'THÁNG 8'!$W91&amp;"")</f>
        <v/>
      </c>
      <c r="S384" s="0" t="str">
        <f aca="false">IF('THÁNG 8'!$C91="","",'THÁNG 8'!$S91&amp;"")</f>
        <v/>
      </c>
      <c r="T384" s="0" t="str">
        <f aca="false">IF(N($O384)&gt;0,COUNTIF($O$3:$O384,"&gt;0"),"")</f>
        <v/>
      </c>
      <c r="U384" s="0" t="str">
        <f aca="false">IF(AND(N($J384)&gt;0,N($K384)&gt;0),COUNTIFS($J$3:$J384,"&gt;0",$K$3:$K384,"&gt;0"),"")</f>
        <v/>
      </c>
      <c r="V384" s="0" t="str">
        <f aca="false">IF(AND(N($J384)&gt;0,N($K384)=0),COUNTIFS($J$3:$J384,"&gt;0",$K$3:$K384,"&lt;=0"),"")</f>
        <v/>
      </c>
      <c r="W384" s="0" t="str">
        <f aca="false">IF($C384="","",IF(COUNTIF($C$3:$C384,$C384)&gt;1,"",MAX($W$2:W383)+1))</f>
        <v/>
      </c>
      <c r="X384" s="0" t="str">
        <f aca="false">IF($H384="","",IF(COUNTIF($H$3:$H384,$H384)&gt;1,"",MAX($X$2:X383)+1))</f>
        <v/>
      </c>
      <c r="Y384" s="0" t="str">
        <f aca="false">IF(AND(N($M384)&gt;0,N($O384)&lt;=0),COUNTIFS($M$3:$M384,"&gt;0",$O$3:$O384,"&lt;=0"),"")</f>
        <v/>
      </c>
      <c r="Z384" s="30" t="n">
        <f aca="false">IF(OR('THÁNG 8'!$C91="",'THÁNG 8'!$B91=""),0,'THÁNG 8'!$B91)</f>
        <v>0</v>
      </c>
    </row>
    <row r="385" customFormat="false" ht="15" hidden="false" customHeight="false" outlineLevel="0" collapsed="false">
      <c r="A385" s="0" t="n">
        <v>8</v>
      </c>
      <c r="B385" s="29" t="str">
        <f aca="false">IF(OR('THÁNG 8'!$C92="",'THÁNG 8'!$B92=""),"",'THÁNG 8'!$B92)</f>
        <v/>
      </c>
      <c r="C385" s="0" t="str">
        <f aca="false">IF('THÁNG 8'!$C92="","",'THÁNG 8'!$C92)</f>
        <v/>
      </c>
      <c r="D385" s="0" t="str">
        <f aca="false">IF('THÁNG 8'!$C92="","",'THÁNG 8'!$D92&amp;"")</f>
        <v/>
      </c>
      <c r="E385" s="0" t="str">
        <f aca="false">IF('THÁNG 8'!$C92="","",'THÁNG 8'!$E92&amp;"")</f>
        <v/>
      </c>
      <c r="F385" s="0" t="str">
        <f aca="false">IF('THÁNG 8'!$C92="","",'THÁNG 8'!$F92&amp;"")</f>
        <v/>
      </c>
      <c r="G385" s="0" t="str">
        <f aca="false">IF('THÁNG 8'!$C92="","",'THÁNG 8'!$G92&amp;"")</f>
        <v/>
      </c>
      <c r="H385" s="0" t="str">
        <f aca="false">IF('THÁNG 8'!$C92="","",'THÁNG 8'!$H92&amp;"")</f>
        <v/>
      </c>
      <c r="I385" s="0" t="str">
        <f aca="false">IF('THÁNG 8'!$C92="","",N('THÁNG 8'!$I92))</f>
        <v/>
      </c>
      <c r="J385" s="0" t="str">
        <f aca="false">IF('THÁNG 8'!$C92="","",N('THÁNG 8'!$L92))</f>
        <v/>
      </c>
      <c r="K385" s="0" t="str">
        <f aca="false">IF('THÁNG 8'!$C92="","",N('THÁNG 8'!$N92))</f>
        <v/>
      </c>
      <c r="L385" s="0" t="str">
        <f aca="false">IF('THÁNG 8'!$C92="","",N('THÁNG 8'!$O92))</f>
        <v/>
      </c>
      <c r="M385" s="0" t="str">
        <f aca="false">IF('THÁNG 8'!$C92="","",N('THÁNG 8'!$P92))</f>
        <v/>
      </c>
      <c r="N385" s="0" t="str">
        <f aca="false">IF('THÁNG 8'!$C92="","",N('THÁNG 8'!$Q92))</f>
        <v/>
      </c>
      <c r="O385" s="0" t="str">
        <f aca="false">IF('THÁNG 8'!$C92="","",N('THÁNG 8'!$R92))</f>
        <v/>
      </c>
      <c r="P385" s="0" t="str">
        <f aca="false">IF(OR('THÁNG 8'!$C92="",'THÁNG 8'!$T92=""),"",'THÁNG 8'!$T92)</f>
        <v/>
      </c>
      <c r="Q385" s="0" t="str">
        <f aca="false">IF(OR('THÁNG 8'!$C92="",'THÁNG 8'!$U92=""),"",'THÁNG 8'!$U92)</f>
        <v/>
      </c>
      <c r="R385" s="0" t="str">
        <f aca="false">IF('THÁNG 8'!$C92="","",'THÁNG 8'!$W92&amp;"")</f>
        <v/>
      </c>
      <c r="S385" s="0" t="str">
        <f aca="false">IF('THÁNG 8'!$C92="","",'THÁNG 8'!$S92&amp;"")</f>
        <v/>
      </c>
      <c r="T385" s="0" t="str">
        <f aca="false">IF(N($O385)&gt;0,COUNTIF($O$3:$O385,"&gt;0"),"")</f>
        <v/>
      </c>
      <c r="U385" s="0" t="str">
        <f aca="false">IF(AND(N($J385)&gt;0,N($K385)&gt;0),COUNTIFS($J$3:$J385,"&gt;0",$K$3:$K385,"&gt;0"),"")</f>
        <v/>
      </c>
      <c r="V385" s="0" t="str">
        <f aca="false">IF(AND(N($J385)&gt;0,N($K385)=0),COUNTIFS($J$3:$J385,"&gt;0",$K$3:$K385,"&lt;=0"),"")</f>
        <v/>
      </c>
      <c r="W385" s="0" t="str">
        <f aca="false">IF($C385="","",IF(COUNTIF($C$3:$C385,$C385)&gt;1,"",MAX($W$2:W384)+1))</f>
        <v/>
      </c>
      <c r="X385" s="0" t="str">
        <f aca="false">IF($H385="","",IF(COUNTIF($H$3:$H385,$H385)&gt;1,"",MAX($X$2:X384)+1))</f>
        <v/>
      </c>
      <c r="Y385" s="0" t="str">
        <f aca="false">IF(AND(N($M385)&gt;0,N($O385)&lt;=0),COUNTIFS($M$3:$M385,"&gt;0",$O$3:$O385,"&lt;=0"),"")</f>
        <v/>
      </c>
      <c r="Z385" s="30" t="n">
        <f aca="false">IF(OR('THÁNG 8'!$C92="",'THÁNG 8'!$B92=""),0,'THÁNG 8'!$B92)</f>
        <v>0</v>
      </c>
    </row>
    <row r="386" customFormat="false" ht="15" hidden="false" customHeight="false" outlineLevel="0" collapsed="false">
      <c r="A386" s="0" t="n">
        <v>8</v>
      </c>
      <c r="B386" s="29" t="str">
        <f aca="false">IF(OR('THÁNG 8'!$C93="",'THÁNG 8'!$B93=""),"",'THÁNG 8'!$B93)</f>
        <v/>
      </c>
      <c r="C386" s="0" t="str">
        <f aca="false">IF('THÁNG 8'!$C93="","",'THÁNG 8'!$C93)</f>
        <v/>
      </c>
      <c r="D386" s="0" t="str">
        <f aca="false">IF('THÁNG 8'!$C93="","",'THÁNG 8'!$D93&amp;"")</f>
        <v/>
      </c>
      <c r="E386" s="0" t="str">
        <f aca="false">IF('THÁNG 8'!$C93="","",'THÁNG 8'!$E93&amp;"")</f>
        <v/>
      </c>
      <c r="F386" s="0" t="str">
        <f aca="false">IF('THÁNG 8'!$C93="","",'THÁNG 8'!$F93&amp;"")</f>
        <v/>
      </c>
      <c r="G386" s="0" t="str">
        <f aca="false">IF('THÁNG 8'!$C93="","",'THÁNG 8'!$G93&amp;"")</f>
        <v/>
      </c>
      <c r="H386" s="0" t="str">
        <f aca="false">IF('THÁNG 8'!$C93="","",'THÁNG 8'!$H93&amp;"")</f>
        <v/>
      </c>
      <c r="I386" s="0" t="str">
        <f aca="false">IF('THÁNG 8'!$C93="","",N('THÁNG 8'!$I93))</f>
        <v/>
      </c>
      <c r="J386" s="0" t="str">
        <f aca="false">IF('THÁNG 8'!$C93="","",N('THÁNG 8'!$L93))</f>
        <v/>
      </c>
      <c r="K386" s="0" t="str">
        <f aca="false">IF('THÁNG 8'!$C93="","",N('THÁNG 8'!$N93))</f>
        <v/>
      </c>
      <c r="L386" s="0" t="str">
        <f aca="false">IF('THÁNG 8'!$C93="","",N('THÁNG 8'!$O93))</f>
        <v/>
      </c>
      <c r="M386" s="0" t="str">
        <f aca="false">IF('THÁNG 8'!$C93="","",N('THÁNG 8'!$P93))</f>
        <v/>
      </c>
      <c r="N386" s="0" t="str">
        <f aca="false">IF('THÁNG 8'!$C93="","",N('THÁNG 8'!$Q93))</f>
        <v/>
      </c>
      <c r="O386" s="0" t="str">
        <f aca="false">IF('THÁNG 8'!$C93="","",N('THÁNG 8'!$R93))</f>
        <v/>
      </c>
      <c r="P386" s="0" t="str">
        <f aca="false">IF(OR('THÁNG 8'!$C93="",'THÁNG 8'!$T93=""),"",'THÁNG 8'!$T93)</f>
        <v/>
      </c>
      <c r="Q386" s="0" t="str">
        <f aca="false">IF(OR('THÁNG 8'!$C93="",'THÁNG 8'!$U93=""),"",'THÁNG 8'!$U93)</f>
        <v/>
      </c>
      <c r="R386" s="0" t="str">
        <f aca="false">IF('THÁNG 8'!$C93="","",'THÁNG 8'!$W93&amp;"")</f>
        <v/>
      </c>
      <c r="S386" s="0" t="str">
        <f aca="false">IF('THÁNG 8'!$C93="","",'THÁNG 8'!$S93&amp;"")</f>
        <v/>
      </c>
      <c r="T386" s="0" t="str">
        <f aca="false">IF(N($O386)&gt;0,COUNTIF($O$3:$O386,"&gt;0"),"")</f>
        <v/>
      </c>
      <c r="U386" s="0" t="str">
        <f aca="false">IF(AND(N($J386)&gt;0,N($K386)&gt;0),COUNTIFS($J$3:$J386,"&gt;0",$K$3:$K386,"&gt;0"),"")</f>
        <v/>
      </c>
      <c r="V386" s="0" t="str">
        <f aca="false">IF(AND(N($J386)&gt;0,N($K386)=0),COUNTIFS($J$3:$J386,"&gt;0",$K$3:$K386,"&lt;=0"),"")</f>
        <v/>
      </c>
      <c r="W386" s="0" t="str">
        <f aca="false">IF($C386="","",IF(COUNTIF($C$3:$C386,$C386)&gt;1,"",MAX($W$2:W385)+1))</f>
        <v/>
      </c>
      <c r="X386" s="0" t="str">
        <f aca="false">IF($H386="","",IF(COUNTIF($H$3:$H386,$H386)&gt;1,"",MAX($X$2:X385)+1))</f>
        <v/>
      </c>
      <c r="Y386" s="0" t="str">
        <f aca="false">IF(AND(N($M386)&gt;0,N($O386)&lt;=0),COUNTIFS($M$3:$M386,"&gt;0",$O$3:$O386,"&lt;=0"),"")</f>
        <v/>
      </c>
      <c r="Z386" s="30" t="n">
        <f aca="false">IF(OR('THÁNG 8'!$C93="",'THÁNG 8'!$B93=""),0,'THÁNG 8'!$B93)</f>
        <v>0</v>
      </c>
    </row>
    <row r="387" customFormat="false" ht="15" hidden="false" customHeight="false" outlineLevel="0" collapsed="false">
      <c r="A387" s="0" t="n">
        <v>8</v>
      </c>
      <c r="B387" s="29" t="str">
        <f aca="false">IF(OR('THÁNG 8'!$C94="",'THÁNG 8'!$B94=""),"",'THÁNG 8'!$B94)</f>
        <v/>
      </c>
      <c r="C387" s="0" t="str">
        <f aca="false">IF('THÁNG 8'!$C94="","",'THÁNG 8'!$C94)</f>
        <v/>
      </c>
      <c r="D387" s="0" t="str">
        <f aca="false">IF('THÁNG 8'!$C94="","",'THÁNG 8'!$D94&amp;"")</f>
        <v/>
      </c>
      <c r="E387" s="0" t="str">
        <f aca="false">IF('THÁNG 8'!$C94="","",'THÁNG 8'!$E94&amp;"")</f>
        <v/>
      </c>
      <c r="F387" s="0" t="str">
        <f aca="false">IF('THÁNG 8'!$C94="","",'THÁNG 8'!$F94&amp;"")</f>
        <v/>
      </c>
      <c r="G387" s="0" t="str">
        <f aca="false">IF('THÁNG 8'!$C94="","",'THÁNG 8'!$G94&amp;"")</f>
        <v/>
      </c>
      <c r="H387" s="0" t="str">
        <f aca="false">IF('THÁNG 8'!$C94="","",'THÁNG 8'!$H94&amp;"")</f>
        <v/>
      </c>
      <c r="I387" s="0" t="str">
        <f aca="false">IF('THÁNG 8'!$C94="","",N('THÁNG 8'!$I94))</f>
        <v/>
      </c>
      <c r="J387" s="0" t="str">
        <f aca="false">IF('THÁNG 8'!$C94="","",N('THÁNG 8'!$L94))</f>
        <v/>
      </c>
      <c r="K387" s="0" t="str">
        <f aca="false">IF('THÁNG 8'!$C94="","",N('THÁNG 8'!$N94))</f>
        <v/>
      </c>
      <c r="L387" s="0" t="str">
        <f aca="false">IF('THÁNG 8'!$C94="","",N('THÁNG 8'!$O94))</f>
        <v/>
      </c>
      <c r="M387" s="0" t="str">
        <f aca="false">IF('THÁNG 8'!$C94="","",N('THÁNG 8'!$P94))</f>
        <v/>
      </c>
      <c r="N387" s="0" t="str">
        <f aca="false">IF('THÁNG 8'!$C94="","",N('THÁNG 8'!$Q94))</f>
        <v/>
      </c>
      <c r="O387" s="0" t="str">
        <f aca="false">IF('THÁNG 8'!$C94="","",N('THÁNG 8'!$R94))</f>
        <v/>
      </c>
      <c r="P387" s="0" t="str">
        <f aca="false">IF(OR('THÁNG 8'!$C94="",'THÁNG 8'!$T94=""),"",'THÁNG 8'!$T94)</f>
        <v/>
      </c>
      <c r="Q387" s="0" t="str">
        <f aca="false">IF(OR('THÁNG 8'!$C94="",'THÁNG 8'!$U94=""),"",'THÁNG 8'!$U94)</f>
        <v/>
      </c>
      <c r="R387" s="0" t="str">
        <f aca="false">IF('THÁNG 8'!$C94="","",'THÁNG 8'!$W94&amp;"")</f>
        <v/>
      </c>
      <c r="S387" s="0" t="str">
        <f aca="false">IF('THÁNG 8'!$C94="","",'THÁNG 8'!$S94&amp;"")</f>
        <v/>
      </c>
      <c r="T387" s="0" t="str">
        <f aca="false">IF(N($O387)&gt;0,COUNTIF($O$3:$O387,"&gt;0"),"")</f>
        <v/>
      </c>
      <c r="U387" s="0" t="str">
        <f aca="false">IF(AND(N($J387)&gt;0,N($K387)&gt;0),COUNTIFS($J$3:$J387,"&gt;0",$K$3:$K387,"&gt;0"),"")</f>
        <v/>
      </c>
      <c r="V387" s="0" t="str">
        <f aca="false">IF(AND(N($J387)&gt;0,N($K387)=0),COUNTIFS($J$3:$J387,"&gt;0",$K$3:$K387,"&lt;=0"),"")</f>
        <v/>
      </c>
      <c r="W387" s="0" t="str">
        <f aca="false">IF($C387="","",IF(COUNTIF($C$3:$C387,$C387)&gt;1,"",MAX($W$2:W386)+1))</f>
        <v/>
      </c>
      <c r="X387" s="0" t="str">
        <f aca="false">IF($H387="","",IF(COUNTIF($H$3:$H387,$H387)&gt;1,"",MAX($X$2:X386)+1))</f>
        <v/>
      </c>
      <c r="Y387" s="0" t="str">
        <f aca="false">IF(AND(N($M387)&gt;0,N($O387)&lt;=0),COUNTIFS($M$3:$M387,"&gt;0",$O$3:$O387,"&lt;=0"),"")</f>
        <v/>
      </c>
      <c r="Z387" s="30" t="n">
        <f aca="false">IF(OR('THÁNG 8'!$C94="",'THÁNG 8'!$B94=""),0,'THÁNG 8'!$B94)</f>
        <v>0</v>
      </c>
    </row>
    <row r="388" customFormat="false" ht="15" hidden="false" customHeight="false" outlineLevel="0" collapsed="false">
      <c r="A388" s="0" t="n">
        <v>8</v>
      </c>
      <c r="B388" s="29" t="str">
        <f aca="false">IF(OR('THÁNG 8'!$C95="",'THÁNG 8'!$B95=""),"",'THÁNG 8'!$B95)</f>
        <v/>
      </c>
      <c r="C388" s="0" t="str">
        <f aca="false">IF('THÁNG 8'!$C95="","",'THÁNG 8'!$C95)</f>
        <v/>
      </c>
      <c r="D388" s="0" t="str">
        <f aca="false">IF('THÁNG 8'!$C95="","",'THÁNG 8'!$D95&amp;"")</f>
        <v/>
      </c>
      <c r="E388" s="0" t="str">
        <f aca="false">IF('THÁNG 8'!$C95="","",'THÁNG 8'!$E95&amp;"")</f>
        <v/>
      </c>
      <c r="F388" s="0" t="str">
        <f aca="false">IF('THÁNG 8'!$C95="","",'THÁNG 8'!$F95&amp;"")</f>
        <v/>
      </c>
      <c r="G388" s="0" t="str">
        <f aca="false">IF('THÁNG 8'!$C95="","",'THÁNG 8'!$G95&amp;"")</f>
        <v/>
      </c>
      <c r="H388" s="0" t="str">
        <f aca="false">IF('THÁNG 8'!$C95="","",'THÁNG 8'!$H95&amp;"")</f>
        <v/>
      </c>
      <c r="I388" s="0" t="str">
        <f aca="false">IF('THÁNG 8'!$C95="","",N('THÁNG 8'!$I95))</f>
        <v/>
      </c>
      <c r="J388" s="0" t="str">
        <f aca="false">IF('THÁNG 8'!$C95="","",N('THÁNG 8'!$L95))</f>
        <v/>
      </c>
      <c r="K388" s="0" t="str">
        <f aca="false">IF('THÁNG 8'!$C95="","",N('THÁNG 8'!$N95))</f>
        <v/>
      </c>
      <c r="L388" s="0" t="str">
        <f aca="false">IF('THÁNG 8'!$C95="","",N('THÁNG 8'!$O95))</f>
        <v/>
      </c>
      <c r="M388" s="0" t="str">
        <f aca="false">IF('THÁNG 8'!$C95="","",N('THÁNG 8'!$P95))</f>
        <v/>
      </c>
      <c r="N388" s="0" t="str">
        <f aca="false">IF('THÁNG 8'!$C95="","",N('THÁNG 8'!$Q95))</f>
        <v/>
      </c>
      <c r="O388" s="0" t="str">
        <f aca="false">IF('THÁNG 8'!$C95="","",N('THÁNG 8'!$R95))</f>
        <v/>
      </c>
      <c r="P388" s="0" t="str">
        <f aca="false">IF(OR('THÁNG 8'!$C95="",'THÁNG 8'!$T95=""),"",'THÁNG 8'!$T95)</f>
        <v/>
      </c>
      <c r="Q388" s="0" t="str">
        <f aca="false">IF(OR('THÁNG 8'!$C95="",'THÁNG 8'!$U95=""),"",'THÁNG 8'!$U95)</f>
        <v/>
      </c>
      <c r="R388" s="0" t="str">
        <f aca="false">IF('THÁNG 8'!$C95="","",'THÁNG 8'!$W95&amp;"")</f>
        <v/>
      </c>
      <c r="S388" s="0" t="str">
        <f aca="false">IF('THÁNG 8'!$C95="","",'THÁNG 8'!$S95&amp;"")</f>
        <v/>
      </c>
      <c r="T388" s="0" t="str">
        <f aca="false">IF(N($O388)&gt;0,COUNTIF($O$3:$O388,"&gt;0"),"")</f>
        <v/>
      </c>
      <c r="U388" s="0" t="str">
        <f aca="false">IF(AND(N($J388)&gt;0,N($K388)&gt;0),COUNTIFS($J$3:$J388,"&gt;0",$K$3:$K388,"&gt;0"),"")</f>
        <v/>
      </c>
      <c r="V388" s="0" t="str">
        <f aca="false">IF(AND(N($J388)&gt;0,N($K388)=0),COUNTIFS($J$3:$J388,"&gt;0",$K$3:$K388,"&lt;=0"),"")</f>
        <v/>
      </c>
      <c r="W388" s="0" t="str">
        <f aca="false">IF($C388="","",IF(COUNTIF($C$3:$C388,$C388)&gt;1,"",MAX($W$2:W387)+1))</f>
        <v/>
      </c>
      <c r="X388" s="0" t="str">
        <f aca="false">IF($H388="","",IF(COUNTIF($H$3:$H388,$H388)&gt;1,"",MAX($X$2:X387)+1))</f>
        <v/>
      </c>
      <c r="Y388" s="0" t="str">
        <f aca="false">IF(AND(N($M388)&gt;0,N($O388)&lt;=0),COUNTIFS($M$3:$M388,"&gt;0",$O$3:$O388,"&lt;=0"),"")</f>
        <v/>
      </c>
      <c r="Z388" s="30" t="n">
        <f aca="false">IF(OR('THÁNG 8'!$C95="",'THÁNG 8'!$B95=""),0,'THÁNG 8'!$B95)</f>
        <v>0</v>
      </c>
    </row>
    <row r="389" customFormat="false" ht="15" hidden="false" customHeight="false" outlineLevel="0" collapsed="false">
      <c r="A389" s="0" t="n">
        <v>8</v>
      </c>
      <c r="B389" s="29" t="str">
        <f aca="false">IF(OR('THÁNG 8'!$C96="",'THÁNG 8'!$B96=""),"",'THÁNG 8'!$B96)</f>
        <v/>
      </c>
      <c r="C389" s="0" t="str">
        <f aca="false">IF('THÁNG 8'!$C96="","",'THÁNG 8'!$C96)</f>
        <v/>
      </c>
      <c r="D389" s="0" t="str">
        <f aca="false">IF('THÁNG 8'!$C96="","",'THÁNG 8'!$D96&amp;"")</f>
        <v/>
      </c>
      <c r="E389" s="0" t="str">
        <f aca="false">IF('THÁNG 8'!$C96="","",'THÁNG 8'!$E96&amp;"")</f>
        <v/>
      </c>
      <c r="F389" s="0" t="str">
        <f aca="false">IF('THÁNG 8'!$C96="","",'THÁNG 8'!$F96&amp;"")</f>
        <v/>
      </c>
      <c r="G389" s="0" t="str">
        <f aca="false">IF('THÁNG 8'!$C96="","",'THÁNG 8'!$G96&amp;"")</f>
        <v/>
      </c>
      <c r="H389" s="0" t="str">
        <f aca="false">IF('THÁNG 8'!$C96="","",'THÁNG 8'!$H96&amp;"")</f>
        <v/>
      </c>
      <c r="I389" s="0" t="str">
        <f aca="false">IF('THÁNG 8'!$C96="","",N('THÁNG 8'!$I96))</f>
        <v/>
      </c>
      <c r="J389" s="0" t="str">
        <f aca="false">IF('THÁNG 8'!$C96="","",N('THÁNG 8'!$L96))</f>
        <v/>
      </c>
      <c r="K389" s="0" t="str">
        <f aca="false">IF('THÁNG 8'!$C96="","",N('THÁNG 8'!$N96))</f>
        <v/>
      </c>
      <c r="L389" s="0" t="str">
        <f aca="false">IF('THÁNG 8'!$C96="","",N('THÁNG 8'!$O96))</f>
        <v/>
      </c>
      <c r="M389" s="0" t="str">
        <f aca="false">IF('THÁNG 8'!$C96="","",N('THÁNG 8'!$P96))</f>
        <v/>
      </c>
      <c r="N389" s="0" t="str">
        <f aca="false">IF('THÁNG 8'!$C96="","",N('THÁNG 8'!$Q96))</f>
        <v/>
      </c>
      <c r="O389" s="0" t="str">
        <f aca="false">IF('THÁNG 8'!$C96="","",N('THÁNG 8'!$R96))</f>
        <v/>
      </c>
      <c r="P389" s="0" t="str">
        <f aca="false">IF(OR('THÁNG 8'!$C96="",'THÁNG 8'!$T96=""),"",'THÁNG 8'!$T96)</f>
        <v/>
      </c>
      <c r="Q389" s="0" t="str">
        <f aca="false">IF(OR('THÁNG 8'!$C96="",'THÁNG 8'!$U96=""),"",'THÁNG 8'!$U96)</f>
        <v/>
      </c>
      <c r="R389" s="0" t="str">
        <f aca="false">IF('THÁNG 8'!$C96="","",'THÁNG 8'!$W96&amp;"")</f>
        <v/>
      </c>
      <c r="S389" s="0" t="str">
        <f aca="false">IF('THÁNG 8'!$C96="","",'THÁNG 8'!$S96&amp;"")</f>
        <v/>
      </c>
      <c r="T389" s="0" t="str">
        <f aca="false">IF(N($O389)&gt;0,COUNTIF($O$3:$O389,"&gt;0"),"")</f>
        <v/>
      </c>
      <c r="U389" s="0" t="str">
        <f aca="false">IF(AND(N($J389)&gt;0,N($K389)&gt;0),COUNTIFS($J$3:$J389,"&gt;0",$K$3:$K389,"&gt;0"),"")</f>
        <v/>
      </c>
      <c r="V389" s="0" t="str">
        <f aca="false">IF(AND(N($J389)&gt;0,N($K389)=0),COUNTIFS($J$3:$J389,"&gt;0",$K$3:$K389,"&lt;=0"),"")</f>
        <v/>
      </c>
      <c r="W389" s="0" t="str">
        <f aca="false">IF($C389="","",IF(COUNTIF($C$3:$C389,$C389)&gt;1,"",MAX($W$2:W388)+1))</f>
        <v/>
      </c>
      <c r="X389" s="0" t="str">
        <f aca="false">IF($H389="","",IF(COUNTIF($H$3:$H389,$H389)&gt;1,"",MAX($X$2:X388)+1))</f>
        <v/>
      </c>
      <c r="Y389" s="0" t="str">
        <f aca="false">IF(AND(N($M389)&gt;0,N($O389)&lt;=0),COUNTIFS($M$3:$M389,"&gt;0",$O$3:$O389,"&lt;=0"),"")</f>
        <v/>
      </c>
      <c r="Z389" s="30" t="n">
        <f aca="false">IF(OR('THÁNG 8'!$C96="",'THÁNG 8'!$B96=""),0,'THÁNG 8'!$B96)</f>
        <v>0</v>
      </c>
    </row>
    <row r="390" customFormat="false" ht="15" hidden="false" customHeight="false" outlineLevel="0" collapsed="false">
      <c r="A390" s="0" t="n">
        <v>8</v>
      </c>
      <c r="B390" s="29" t="str">
        <f aca="false">IF(OR('THÁNG 8'!$C97="",'THÁNG 8'!$B97=""),"",'THÁNG 8'!$B97)</f>
        <v/>
      </c>
      <c r="C390" s="0" t="str">
        <f aca="false">IF('THÁNG 8'!$C97="","",'THÁNG 8'!$C97)</f>
        <v/>
      </c>
      <c r="D390" s="0" t="str">
        <f aca="false">IF('THÁNG 8'!$C97="","",'THÁNG 8'!$D97&amp;"")</f>
        <v/>
      </c>
      <c r="E390" s="0" t="str">
        <f aca="false">IF('THÁNG 8'!$C97="","",'THÁNG 8'!$E97&amp;"")</f>
        <v/>
      </c>
      <c r="F390" s="0" t="str">
        <f aca="false">IF('THÁNG 8'!$C97="","",'THÁNG 8'!$F97&amp;"")</f>
        <v/>
      </c>
      <c r="G390" s="0" t="str">
        <f aca="false">IF('THÁNG 8'!$C97="","",'THÁNG 8'!$G97&amp;"")</f>
        <v/>
      </c>
      <c r="H390" s="0" t="str">
        <f aca="false">IF('THÁNG 8'!$C97="","",'THÁNG 8'!$H97&amp;"")</f>
        <v/>
      </c>
      <c r="I390" s="0" t="str">
        <f aca="false">IF('THÁNG 8'!$C97="","",N('THÁNG 8'!$I97))</f>
        <v/>
      </c>
      <c r="J390" s="0" t="str">
        <f aca="false">IF('THÁNG 8'!$C97="","",N('THÁNG 8'!$L97))</f>
        <v/>
      </c>
      <c r="K390" s="0" t="str">
        <f aca="false">IF('THÁNG 8'!$C97="","",N('THÁNG 8'!$N97))</f>
        <v/>
      </c>
      <c r="L390" s="0" t="str">
        <f aca="false">IF('THÁNG 8'!$C97="","",N('THÁNG 8'!$O97))</f>
        <v/>
      </c>
      <c r="M390" s="0" t="str">
        <f aca="false">IF('THÁNG 8'!$C97="","",N('THÁNG 8'!$P97))</f>
        <v/>
      </c>
      <c r="N390" s="0" t="str">
        <f aca="false">IF('THÁNG 8'!$C97="","",N('THÁNG 8'!$Q97))</f>
        <v/>
      </c>
      <c r="O390" s="0" t="str">
        <f aca="false">IF('THÁNG 8'!$C97="","",N('THÁNG 8'!$R97))</f>
        <v/>
      </c>
      <c r="P390" s="0" t="str">
        <f aca="false">IF(OR('THÁNG 8'!$C97="",'THÁNG 8'!$T97=""),"",'THÁNG 8'!$T97)</f>
        <v/>
      </c>
      <c r="Q390" s="0" t="str">
        <f aca="false">IF(OR('THÁNG 8'!$C97="",'THÁNG 8'!$U97=""),"",'THÁNG 8'!$U97)</f>
        <v/>
      </c>
      <c r="R390" s="0" t="str">
        <f aca="false">IF('THÁNG 8'!$C97="","",'THÁNG 8'!$W97&amp;"")</f>
        <v/>
      </c>
      <c r="S390" s="0" t="str">
        <f aca="false">IF('THÁNG 8'!$C97="","",'THÁNG 8'!$S97&amp;"")</f>
        <v/>
      </c>
      <c r="T390" s="0" t="str">
        <f aca="false">IF(N($O390)&gt;0,COUNTIF($O$3:$O390,"&gt;0"),"")</f>
        <v/>
      </c>
      <c r="U390" s="0" t="str">
        <f aca="false">IF(AND(N($J390)&gt;0,N($K390)&gt;0),COUNTIFS($J$3:$J390,"&gt;0",$K$3:$K390,"&gt;0"),"")</f>
        <v/>
      </c>
      <c r="V390" s="0" t="str">
        <f aca="false">IF(AND(N($J390)&gt;0,N($K390)=0),COUNTIFS($J$3:$J390,"&gt;0",$K$3:$K390,"&lt;=0"),"")</f>
        <v/>
      </c>
      <c r="W390" s="0" t="str">
        <f aca="false">IF($C390="","",IF(COUNTIF($C$3:$C390,$C390)&gt;1,"",MAX($W$2:W389)+1))</f>
        <v/>
      </c>
      <c r="X390" s="0" t="str">
        <f aca="false">IF($H390="","",IF(COUNTIF($H$3:$H390,$H390)&gt;1,"",MAX($X$2:X389)+1))</f>
        <v/>
      </c>
      <c r="Y390" s="0" t="str">
        <f aca="false">IF(AND(N($M390)&gt;0,N($O390)&lt;=0),COUNTIFS($M$3:$M390,"&gt;0",$O$3:$O390,"&lt;=0"),"")</f>
        <v/>
      </c>
      <c r="Z390" s="30" t="n">
        <f aca="false">IF(OR('THÁNG 8'!$C97="",'THÁNG 8'!$B97=""),0,'THÁNG 8'!$B97)</f>
        <v>0</v>
      </c>
    </row>
    <row r="391" customFormat="false" ht="15" hidden="false" customHeight="false" outlineLevel="0" collapsed="false">
      <c r="A391" s="0" t="n">
        <v>8</v>
      </c>
      <c r="B391" s="29" t="str">
        <f aca="false">IF(OR('THÁNG 8'!$C98="",'THÁNG 8'!$B98=""),"",'THÁNG 8'!$B98)</f>
        <v/>
      </c>
      <c r="C391" s="0" t="str">
        <f aca="false">IF('THÁNG 8'!$C98="","",'THÁNG 8'!$C98)</f>
        <v/>
      </c>
      <c r="D391" s="0" t="str">
        <f aca="false">IF('THÁNG 8'!$C98="","",'THÁNG 8'!$D98&amp;"")</f>
        <v/>
      </c>
      <c r="E391" s="0" t="str">
        <f aca="false">IF('THÁNG 8'!$C98="","",'THÁNG 8'!$E98&amp;"")</f>
        <v/>
      </c>
      <c r="F391" s="0" t="str">
        <f aca="false">IF('THÁNG 8'!$C98="","",'THÁNG 8'!$F98&amp;"")</f>
        <v/>
      </c>
      <c r="G391" s="0" t="str">
        <f aca="false">IF('THÁNG 8'!$C98="","",'THÁNG 8'!$G98&amp;"")</f>
        <v/>
      </c>
      <c r="H391" s="0" t="str">
        <f aca="false">IF('THÁNG 8'!$C98="","",'THÁNG 8'!$H98&amp;"")</f>
        <v/>
      </c>
      <c r="I391" s="0" t="str">
        <f aca="false">IF('THÁNG 8'!$C98="","",N('THÁNG 8'!$I98))</f>
        <v/>
      </c>
      <c r="J391" s="0" t="str">
        <f aca="false">IF('THÁNG 8'!$C98="","",N('THÁNG 8'!$L98))</f>
        <v/>
      </c>
      <c r="K391" s="0" t="str">
        <f aca="false">IF('THÁNG 8'!$C98="","",N('THÁNG 8'!$N98))</f>
        <v/>
      </c>
      <c r="L391" s="0" t="str">
        <f aca="false">IF('THÁNG 8'!$C98="","",N('THÁNG 8'!$O98))</f>
        <v/>
      </c>
      <c r="M391" s="0" t="str">
        <f aca="false">IF('THÁNG 8'!$C98="","",N('THÁNG 8'!$P98))</f>
        <v/>
      </c>
      <c r="N391" s="0" t="str">
        <f aca="false">IF('THÁNG 8'!$C98="","",N('THÁNG 8'!$Q98))</f>
        <v/>
      </c>
      <c r="O391" s="0" t="str">
        <f aca="false">IF('THÁNG 8'!$C98="","",N('THÁNG 8'!$R98))</f>
        <v/>
      </c>
      <c r="P391" s="0" t="str">
        <f aca="false">IF(OR('THÁNG 8'!$C98="",'THÁNG 8'!$T98=""),"",'THÁNG 8'!$T98)</f>
        <v/>
      </c>
      <c r="Q391" s="0" t="str">
        <f aca="false">IF(OR('THÁNG 8'!$C98="",'THÁNG 8'!$U98=""),"",'THÁNG 8'!$U98)</f>
        <v/>
      </c>
      <c r="R391" s="0" t="str">
        <f aca="false">IF('THÁNG 8'!$C98="","",'THÁNG 8'!$W98&amp;"")</f>
        <v/>
      </c>
      <c r="S391" s="0" t="str">
        <f aca="false">IF('THÁNG 8'!$C98="","",'THÁNG 8'!$S98&amp;"")</f>
        <v/>
      </c>
      <c r="T391" s="0" t="str">
        <f aca="false">IF(N($O391)&gt;0,COUNTIF($O$3:$O391,"&gt;0"),"")</f>
        <v/>
      </c>
      <c r="U391" s="0" t="str">
        <f aca="false">IF(AND(N($J391)&gt;0,N($K391)&gt;0),COUNTIFS($J$3:$J391,"&gt;0",$K$3:$K391,"&gt;0"),"")</f>
        <v/>
      </c>
      <c r="V391" s="0" t="str">
        <f aca="false">IF(AND(N($J391)&gt;0,N($K391)=0),COUNTIFS($J$3:$J391,"&gt;0",$K$3:$K391,"&lt;=0"),"")</f>
        <v/>
      </c>
      <c r="W391" s="0" t="str">
        <f aca="false">IF($C391="","",IF(COUNTIF($C$3:$C391,$C391)&gt;1,"",MAX($W$2:W390)+1))</f>
        <v/>
      </c>
      <c r="X391" s="0" t="str">
        <f aca="false">IF($H391="","",IF(COUNTIF($H$3:$H391,$H391)&gt;1,"",MAX($X$2:X390)+1))</f>
        <v/>
      </c>
      <c r="Y391" s="0" t="str">
        <f aca="false">IF(AND(N($M391)&gt;0,N($O391)&lt;=0),COUNTIFS($M$3:$M391,"&gt;0",$O$3:$O391,"&lt;=0"),"")</f>
        <v/>
      </c>
      <c r="Z391" s="30" t="n">
        <f aca="false">IF(OR('THÁNG 8'!$C98="",'THÁNG 8'!$B98=""),0,'THÁNG 8'!$B98)</f>
        <v>0</v>
      </c>
    </row>
    <row r="392" customFormat="false" ht="15" hidden="false" customHeight="false" outlineLevel="0" collapsed="false">
      <c r="A392" s="0" t="n">
        <v>8</v>
      </c>
      <c r="B392" s="29" t="str">
        <f aca="false">IF(OR('THÁNG 8'!$C99="",'THÁNG 8'!$B99=""),"",'THÁNG 8'!$B99)</f>
        <v/>
      </c>
      <c r="C392" s="0" t="str">
        <f aca="false">IF('THÁNG 8'!$C99="","",'THÁNG 8'!$C99)</f>
        <v/>
      </c>
      <c r="D392" s="0" t="str">
        <f aca="false">IF('THÁNG 8'!$C99="","",'THÁNG 8'!$D99&amp;"")</f>
        <v/>
      </c>
      <c r="E392" s="0" t="str">
        <f aca="false">IF('THÁNG 8'!$C99="","",'THÁNG 8'!$E99&amp;"")</f>
        <v/>
      </c>
      <c r="F392" s="0" t="str">
        <f aca="false">IF('THÁNG 8'!$C99="","",'THÁNG 8'!$F99&amp;"")</f>
        <v/>
      </c>
      <c r="G392" s="0" t="str">
        <f aca="false">IF('THÁNG 8'!$C99="","",'THÁNG 8'!$G99&amp;"")</f>
        <v/>
      </c>
      <c r="H392" s="0" t="str">
        <f aca="false">IF('THÁNG 8'!$C99="","",'THÁNG 8'!$H99&amp;"")</f>
        <v/>
      </c>
      <c r="I392" s="0" t="str">
        <f aca="false">IF('THÁNG 8'!$C99="","",N('THÁNG 8'!$I99))</f>
        <v/>
      </c>
      <c r="J392" s="0" t="str">
        <f aca="false">IF('THÁNG 8'!$C99="","",N('THÁNG 8'!$L99))</f>
        <v/>
      </c>
      <c r="K392" s="0" t="str">
        <f aca="false">IF('THÁNG 8'!$C99="","",N('THÁNG 8'!$N99))</f>
        <v/>
      </c>
      <c r="L392" s="0" t="str">
        <f aca="false">IF('THÁNG 8'!$C99="","",N('THÁNG 8'!$O99))</f>
        <v/>
      </c>
      <c r="M392" s="0" t="str">
        <f aca="false">IF('THÁNG 8'!$C99="","",N('THÁNG 8'!$P99))</f>
        <v/>
      </c>
      <c r="N392" s="0" t="str">
        <f aca="false">IF('THÁNG 8'!$C99="","",N('THÁNG 8'!$Q99))</f>
        <v/>
      </c>
      <c r="O392" s="0" t="str">
        <f aca="false">IF('THÁNG 8'!$C99="","",N('THÁNG 8'!$R99))</f>
        <v/>
      </c>
      <c r="P392" s="0" t="str">
        <f aca="false">IF(OR('THÁNG 8'!$C99="",'THÁNG 8'!$T99=""),"",'THÁNG 8'!$T99)</f>
        <v/>
      </c>
      <c r="Q392" s="0" t="str">
        <f aca="false">IF(OR('THÁNG 8'!$C99="",'THÁNG 8'!$U99=""),"",'THÁNG 8'!$U99)</f>
        <v/>
      </c>
      <c r="R392" s="0" t="str">
        <f aca="false">IF('THÁNG 8'!$C99="","",'THÁNG 8'!$W99&amp;"")</f>
        <v/>
      </c>
      <c r="S392" s="0" t="str">
        <f aca="false">IF('THÁNG 8'!$C99="","",'THÁNG 8'!$S99&amp;"")</f>
        <v/>
      </c>
      <c r="T392" s="0" t="str">
        <f aca="false">IF(N($O392)&gt;0,COUNTIF($O$3:$O392,"&gt;0"),"")</f>
        <v/>
      </c>
      <c r="U392" s="0" t="str">
        <f aca="false">IF(AND(N($J392)&gt;0,N($K392)&gt;0),COUNTIFS($J$3:$J392,"&gt;0",$K$3:$K392,"&gt;0"),"")</f>
        <v/>
      </c>
      <c r="V392" s="0" t="str">
        <f aca="false">IF(AND(N($J392)&gt;0,N($K392)=0),COUNTIFS($J$3:$J392,"&gt;0",$K$3:$K392,"&lt;=0"),"")</f>
        <v/>
      </c>
      <c r="W392" s="0" t="str">
        <f aca="false">IF($C392="","",IF(COUNTIF($C$3:$C392,$C392)&gt;1,"",MAX($W$2:W391)+1))</f>
        <v/>
      </c>
      <c r="X392" s="0" t="str">
        <f aca="false">IF($H392="","",IF(COUNTIF($H$3:$H392,$H392)&gt;1,"",MAX($X$2:X391)+1))</f>
        <v/>
      </c>
      <c r="Y392" s="0" t="str">
        <f aca="false">IF(AND(N($M392)&gt;0,N($O392)&lt;=0),COUNTIFS($M$3:$M392,"&gt;0",$O$3:$O392,"&lt;=0"),"")</f>
        <v/>
      </c>
      <c r="Z392" s="30" t="n">
        <f aca="false">IF(OR('THÁNG 8'!$C99="",'THÁNG 8'!$B99=""),0,'THÁNG 8'!$B99)</f>
        <v>0</v>
      </c>
    </row>
    <row r="393" customFormat="false" ht="15" hidden="false" customHeight="false" outlineLevel="0" collapsed="false">
      <c r="A393" s="0" t="n">
        <v>8</v>
      </c>
      <c r="B393" s="29" t="str">
        <f aca="false">IF(OR('THÁNG 8'!$C100="",'THÁNG 8'!$B100=""),"",'THÁNG 8'!$B100)</f>
        <v/>
      </c>
      <c r="C393" s="0" t="str">
        <f aca="false">IF('THÁNG 8'!$C100="","",'THÁNG 8'!$C100)</f>
        <v/>
      </c>
      <c r="D393" s="0" t="str">
        <f aca="false">IF('THÁNG 8'!$C100="","",'THÁNG 8'!$D100&amp;"")</f>
        <v/>
      </c>
      <c r="E393" s="0" t="str">
        <f aca="false">IF('THÁNG 8'!$C100="","",'THÁNG 8'!$E100&amp;"")</f>
        <v/>
      </c>
      <c r="F393" s="0" t="str">
        <f aca="false">IF('THÁNG 8'!$C100="","",'THÁNG 8'!$F100&amp;"")</f>
        <v/>
      </c>
      <c r="G393" s="0" t="str">
        <f aca="false">IF('THÁNG 8'!$C100="","",'THÁNG 8'!$G100&amp;"")</f>
        <v/>
      </c>
      <c r="H393" s="0" t="str">
        <f aca="false">IF('THÁNG 8'!$C100="","",'THÁNG 8'!$H100&amp;"")</f>
        <v/>
      </c>
      <c r="I393" s="0" t="str">
        <f aca="false">IF('THÁNG 8'!$C100="","",N('THÁNG 8'!$I100))</f>
        <v/>
      </c>
      <c r="J393" s="0" t="str">
        <f aca="false">IF('THÁNG 8'!$C100="","",N('THÁNG 8'!$L100))</f>
        <v/>
      </c>
      <c r="K393" s="0" t="str">
        <f aca="false">IF('THÁNG 8'!$C100="","",N('THÁNG 8'!$N100))</f>
        <v/>
      </c>
      <c r="L393" s="0" t="str">
        <f aca="false">IF('THÁNG 8'!$C100="","",N('THÁNG 8'!$O100))</f>
        <v/>
      </c>
      <c r="M393" s="0" t="str">
        <f aca="false">IF('THÁNG 8'!$C100="","",N('THÁNG 8'!$P100))</f>
        <v/>
      </c>
      <c r="N393" s="0" t="str">
        <f aca="false">IF('THÁNG 8'!$C100="","",N('THÁNG 8'!$Q100))</f>
        <v/>
      </c>
      <c r="O393" s="0" t="str">
        <f aca="false">IF('THÁNG 8'!$C100="","",N('THÁNG 8'!$R100))</f>
        <v/>
      </c>
      <c r="P393" s="0" t="str">
        <f aca="false">IF(OR('THÁNG 8'!$C100="",'THÁNG 8'!$T100=""),"",'THÁNG 8'!$T100)</f>
        <v/>
      </c>
      <c r="Q393" s="0" t="str">
        <f aca="false">IF(OR('THÁNG 8'!$C100="",'THÁNG 8'!$U100=""),"",'THÁNG 8'!$U100)</f>
        <v/>
      </c>
      <c r="R393" s="0" t="str">
        <f aca="false">IF('THÁNG 8'!$C100="","",'THÁNG 8'!$W100&amp;"")</f>
        <v/>
      </c>
      <c r="S393" s="0" t="str">
        <f aca="false">IF('THÁNG 8'!$C100="","",'THÁNG 8'!$S100&amp;"")</f>
        <v/>
      </c>
      <c r="T393" s="0" t="str">
        <f aca="false">IF(N($O393)&gt;0,COUNTIF($O$3:$O393,"&gt;0"),"")</f>
        <v/>
      </c>
      <c r="U393" s="0" t="str">
        <f aca="false">IF(AND(N($J393)&gt;0,N($K393)&gt;0),COUNTIFS($J$3:$J393,"&gt;0",$K$3:$K393,"&gt;0"),"")</f>
        <v/>
      </c>
      <c r="V393" s="0" t="str">
        <f aca="false">IF(AND(N($J393)&gt;0,N($K393)=0),COUNTIFS($J$3:$J393,"&gt;0",$K$3:$K393,"&lt;=0"),"")</f>
        <v/>
      </c>
      <c r="W393" s="0" t="str">
        <f aca="false">IF($C393="","",IF(COUNTIF($C$3:$C393,$C393)&gt;1,"",MAX($W$2:W392)+1))</f>
        <v/>
      </c>
      <c r="X393" s="0" t="str">
        <f aca="false">IF($H393="","",IF(COUNTIF($H$3:$H393,$H393)&gt;1,"",MAX($X$2:X392)+1))</f>
        <v/>
      </c>
      <c r="Y393" s="0" t="str">
        <f aca="false">IF(AND(N($M393)&gt;0,N($O393)&lt;=0),COUNTIFS($M$3:$M393,"&gt;0",$O$3:$O393,"&lt;=0"),"")</f>
        <v/>
      </c>
      <c r="Z393" s="30" t="n">
        <f aca="false">IF(OR('THÁNG 8'!$C100="",'THÁNG 8'!$B100=""),0,'THÁNG 8'!$B100)</f>
        <v>0</v>
      </c>
    </row>
    <row r="394" customFormat="false" ht="15" hidden="false" customHeight="false" outlineLevel="0" collapsed="false">
      <c r="A394" s="0" t="n">
        <v>8</v>
      </c>
      <c r="B394" s="29" t="str">
        <f aca="false">IF(OR('THÁNG 8'!$C101="",'THÁNG 8'!$B101=""),"",'THÁNG 8'!$B101)</f>
        <v/>
      </c>
      <c r="C394" s="0" t="str">
        <f aca="false">IF('THÁNG 8'!$C101="","",'THÁNG 8'!$C101)</f>
        <v/>
      </c>
      <c r="D394" s="0" t="str">
        <f aca="false">IF('THÁNG 8'!$C101="","",'THÁNG 8'!$D101&amp;"")</f>
        <v/>
      </c>
      <c r="E394" s="0" t="str">
        <f aca="false">IF('THÁNG 8'!$C101="","",'THÁNG 8'!$E101&amp;"")</f>
        <v/>
      </c>
      <c r="F394" s="0" t="str">
        <f aca="false">IF('THÁNG 8'!$C101="","",'THÁNG 8'!$F101&amp;"")</f>
        <v/>
      </c>
      <c r="G394" s="0" t="str">
        <f aca="false">IF('THÁNG 8'!$C101="","",'THÁNG 8'!$G101&amp;"")</f>
        <v/>
      </c>
      <c r="H394" s="0" t="str">
        <f aca="false">IF('THÁNG 8'!$C101="","",'THÁNG 8'!$H101&amp;"")</f>
        <v/>
      </c>
      <c r="I394" s="0" t="str">
        <f aca="false">IF('THÁNG 8'!$C101="","",N('THÁNG 8'!$I101))</f>
        <v/>
      </c>
      <c r="J394" s="0" t="str">
        <f aca="false">IF('THÁNG 8'!$C101="","",N('THÁNG 8'!$L101))</f>
        <v/>
      </c>
      <c r="K394" s="0" t="str">
        <f aca="false">IF('THÁNG 8'!$C101="","",N('THÁNG 8'!$N101))</f>
        <v/>
      </c>
      <c r="L394" s="0" t="str">
        <f aca="false">IF('THÁNG 8'!$C101="","",N('THÁNG 8'!$O101))</f>
        <v/>
      </c>
      <c r="M394" s="0" t="str">
        <f aca="false">IF('THÁNG 8'!$C101="","",N('THÁNG 8'!$P101))</f>
        <v/>
      </c>
      <c r="N394" s="0" t="str">
        <f aca="false">IF('THÁNG 8'!$C101="","",N('THÁNG 8'!$Q101))</f>
        <v/>
      </c>
      <c r="O394" s="0" t="str">
        <f aca="false">IF('THÁNG 8'!$C101="","",N('THÁNG 8'!$R101))</f>
        <v/>
      </c>
      <c r="P394" s="0" t="str">
        <f aca="false">IF(OR('THÁNG 8'!$C101="",'THÁNG 8'!$T101=""),"",'THÁNG 8'!$T101)</f>
        <v/>
      </c>
      <c r="Q394" s="0" t="str">
        <f aca="false">IF(OR('THÁNG 8'!$C101="",'THÁNG 8'!$U101=""),"",'THÁNG 8'!$U101)</f>
        <v/>
      </c>
      <c r="R394" s="0" t="str">
        <f aca="false">IF('THÁNG 8'!$C101="","",'THÁNG 8'!$W101&amp;"")</f>
        <v/>
      </c>
      <c r="S394" s="0" t="str">
        <f aca="false">IF('THÁNG 8'!$C101="","",'THÁNG 8'!$S101&amp;"")</f>
        <v/>
      </c>
      <c r="T394" s="0" t="str">
        <f aca="false">IF(N($O394)&gt;0,COUNTIF($O$3:$O394,"&gt;0"),"")</f>
        <v/>
      </c>
      <c r="U394" s="0" t="str">
        <f aca="false">IF(AND(N($J394)&gt;0,N($K394)&gt;0),COUNTIFS($J$3:$J394,"&gt;0",$K$3:$K394,"&gt;0"),"")</f>
        <v/>
      </c>
      <c r="V394" s="0" t="str">
        <f aca="false">IF(AND(N($J394)&gt;0,N($K394)=0),COUNTIFS($J$3:$J394,"&gt;0",$K$3:$K394,"&lt;=0"),"")</f>
        <v/>
      </c>
      <c r="W394" s="0" t="str">
        <f aca="false">IF($C394="","",IF(COUNTIF($C$3:$C394,$C394)&gt;1,"",MAX($W$2:W393)+1))</f>
        <v/>
      </c>
      <c r="X394" s="0" t="str">
        <f aca="false">IF($H394="","",IF(COUNTIF($H$3:$H394,$H394)&gt;1,"",MAX($X$2:X393)+1))</f>
        <v/>
      </c>
      <c r="Y394" s="0" t="str">
        <f aca="false">IF(AND(N($M394)&gt;0,N($O394)&lt;=0),COUNTIFS($M$3:$M394,"&gt;0",$O$3:$O394,"&lt;=0"),"")</f>
        <v/>
      </c>
      <c r="Z394" s="30" t="n">
        <f aca="false">IF(OR('THÁNG 8'!$C101="",'THÁNG 8'!$B101=""),0,'THÁNG 8'!$B101)</f>
        <v>0</v>
      </c>
    </row>
    <row r="395" customFormat="false" ht="15" hidden="false" customHeight="false" outlineLevel="0" collapsed="false">
      <c r="A395" s="0" t="n">
        <v>8</v>
      </c>
      <c r="B395" s="29" t="str">
        <f aca="false">IF(OR('THÁNG 8'!$C102="",'THÁNG 8'!$B102=""),"",'THÁNG 8'!$B102)</f>
        <v/>
      </c>
      <c r="C395" s="0" t="str">
        <f aca="false">IF('THÁNG 8'!$C102="","",'THÁNG 8'!$C102)</f>
        <v/>
      </c>
      <c r="D395" s="0" t="str">
        <f aca="false">IF('THÁNG 8'!$C102="","",'THÁNG 8'!$D102&amp;"")</f>
        <v/>
      </c>
      <c r="E395" s="0" t="str">
        <f aca="false">IF('THÁNG 8'!$C102="","",'THÁNG 8'!$E102&amp;"")</f>
        <v/>
      </c>
      <c r="F395" s="0" t="str">
        <f aca="false">IF('THÁNG 8'!$C102="","",'THÁNG 8'!$F102&amp;"")</f>
        <v/>
      </c>
      <c r="G395" s="0" t="str">
        <f aca="false">IF('THÁNG 8'!$C102="","",'THÁNG 8'!$G102&amp;"")</f>
        <v/>
      </c>
      <c r="H395" s="0" t="str">
        <f aca="false">IF('THÁNG 8'!$C102="","",'THÁNG 8'!$H102&amp;"")</f>
        <v/>
      </c>
      <c r="I395" s="0" t="str">
        <f aca="false">IF('THÁNG 8'!$C102="","",N('THÁNG 8'!$I102))</f>
        <v/>
      </c>
      <c r="J395" s="0" t="str">
        <f aca="false">IF('THÁNG 8'!$C102="","",N('THÁNG 8'!$L102))</f>
        <v/>
      </c>
      <c r="K395" s="0" t="str">
        <f aca="false">IF('THÁNG 8'!$C102="","",N('THÁNG 8'!$N102))</f>
        <v/>
      </c>
      <c r="L395" s="0" t="str">
        <f aca="false">IF('THÁNG 8'!$C102="","",N('THÁNG 8'!$O102))</f>
        <v/>
      </c>
      <c r="M395" s="0" t="str">
        <f aca="false">IF('THÁNG 8'!$C102="","",N('THÁNG 8'!$P102))</f>
        <v/>
      </c>
      <c r="N395" s="0" t="str">
        <f aca="false">IF('THÁNG 8'!$C102="","",N('THÁNG 8'!$Q102))</f>
        <v/>
      </c>
      <c r="O395" s="0" t="str">
        <f aca="false">IF('THÁNG 8'!$C102="","",N('THÁNG 8'!$R102))</f>
        <v/>
      </c>
      <c r="P395" s="0" t="str">
        <f aca="false">IF(OR('THÁNG 8'!$C102="",'THÁNG 8'!$T102=""),"",'THÁNG 8'!$T102)</f>
        <v/>
      </c>
      <c r="Q395" s="0" t="str">
        <f aca="false">IF(OR('THÁNG 8'!$C102="",'THÁNG 8'!$U102=""),"",'THÁNG 8'!$U102)</f>
        <v/>
      </c>
      <c r="R395" s="0" t="str">
        <f aca="false">IF('THÁNG 8'!$C102="","",'THÁNG 8'!$W102&amp;"")</f>
        <v/>
      </c>
      <c r="S395" s="0" t="str">
        <f aca="false">IF('THÁNG 8'!$C102="","",'THÁNG 8'!$S102&amp;"")</f>
        <v/>
      </c>
      <c r="T395" s="0" t="str">
        <f aca="false">IF(N($O395)&gt;0,COUNTIF($O$3:$O395,"&gt;0"),"")</f>
        <v/>
      </c>
      <c r="U395" s="0" t="str">
        <f aca="false">IF(AND(N($J395)&gt;0,N($K395)&gt;0),COUNTIFS($J$3:$J395,"&gt;0",$K$3:$K395,"&gt;0"),"")</f>
        <v/>
      </c>
      <c r="V395" s="0" t="str">
        <f aca="false">IF(AND(N($J395)&gt;0,N($K395)=0),COUNTIFS($J$3:$J395,"&gt;0",$K$3:$K395,"&lt;=0"),"")</f>
        <v/>
      </c>
      <c r="W395" s="0" t="str">
        <f aca="false">IF($C395="","",IF(COUNTIF($C$3:$C395,$C395)&gt;1,"",MAX($W$2:W394)+1))</f>
        <v/>
      </c>
      <c r="X395" s="0" t="str">
        <f aca="false">IF($H395="","",IF(COUNTIF($H$3:$H395,$H395)&gt;1,"",MAX($X$2:X394)+1))</f>
        <v/>
      </c>
      <c r="Y395" s="0" t="str">
        <f aca="false">IF(AND(N($M395)&gt;0,N($O395)&lt;=0),COUNTIFS($M$3:$M395,"&gt;0",$O$3:$O395,"&lt;=0"),"")</f>
        <v/>
      </c>
      <c r="Z395" s="30" t="n">
        <f aca="false">IF(OR('THÁNG 8'!$C102="",'THÁNG 8'!$B102=""),0,'THÁNG 8'!$B102)</f>
        <v>0</v>
      </c>
    </row>
    <row r="396" customFormat="false" ht="15" hidden="false" customHeight="false" outlineLevel="0" collapsed="false">
      <c r="A396" s="0" t="n">
        <v>8</v>
      </c>
      <c r="B396" s="29" t="str">
        <f aca="false">IF(OR('THÁNG 8'!$C103="",'THÁNG 8'!$B103=""),"",'THÁNG 8'!$B103)</f>
        <v/>
      </c>
      <c r="C396" s="0" t="str">
        <f aca="false">IF('THÁNG 8'!$C103="","",'THÁNG 8'!$C103)</f>
        <v/>
      </c>
      <c r="D396" s="0" t="str">
        <f aca="false">IF('THÁNG 8'!$C103="","",'THÁNG 8'!$D103&amp;"")</f>
        <v/>
      </c>
      <c r="E396" s="0" t="str">
        <f aca="false">IF('THÁNG 8'!$C103="","",'THÁNG 8'!$E103&amp;"")</f>
        <v/>
      </c>
      <c r="F396" s="0" t="str">
        <f aca="false">IF('THÁNG 8'!$C103="","",'THÁNG 8'!$F103&amp;"")</f>
        <v/>
      </c>
      <c r="G396" s="0" t="str">
        <f aca="false">IF('THÁNG 8'!$C103="","",'THÁNG 8'!$G103&amp;"")</f>
        <v/>
      </c>
      <c r="H396" s="0" t="str">
        <f aca="false">IF('THÁNG 8'!$C103="","",'THÁNG 8'!$H103&amp;"")</f>
        <v/>
      </c>
      <c r="I396" s="0" t="str">
        <f aca="false">IF('THÁNG 8'!$C103="","",N('THÁNG 8'!$I103))</f>
        <v/>
      </c>
      <c r="J396" s="0" t="str">
        <f aca="false">IF('THÁNG 8'!$C103="","",N('THÁNG 8'!$L103))</f>
        <v/>
      </c>
      <c r="K396" s="0" t="str">
        <f aca="false">IF('THÁNG 8'!$C103="","",N('THÁNG 8'!$N103))</f>
        <v/>
      </c>
      <c r="L396" s="0" t="str">
        <f aca="false">IF('THÁNG 8'!$C103="","",N('THÁNG 8'!$O103))</f>
        <v/>
      </c>
      <c r="M396" s="0" t="str">
        <f aca="false">IF('THÁNG 8'!$C103="","",N('THÁNG 8'!$P103))</f>
        <v/>
      </c>
      <c r="N396" s="0" t="str">
        <f aca="false">IF('THÁNG 8'!$C103="","",N('THÁNG 8'!$Q103))</f>
        <v/>
      </c>
      <c r="O396" s="0" t="str">
        <f aca="false">IF('THÁNG 8'!$C103="","",N('THÁNG 8'!$R103))</f>
        <v/>
      </c>
      <c r="P396" s="0" t="str">
        <f aca="false">IF(OR('THÁNG 8'!$C103="",'THÁNG 8'!$T103=""),"",'THÁNG 8'!$T103)</f>
        <v/>
      </c>
      <c r="Q396" s="0" t="str">
        <f aca="false">IF(OR('THÁNG 8'!$C103="",'THÁNG 8'!$U103=""),"",'THÁNG 8'!$U103)</f>
        <v/>
      </c>
      <c r="R396" s="0" t="str">
        <f aca="false">IF('THÁNG 8'!$C103="","",'THÁNG 8'!$W103&amp;"")</f>
        <v/>
      </c>
      <c r="S396" s="0" t="str">
        <f aca="false">IF('THÁNG 8'!$C103="","",'THÁNG 8'!$S103&amp;"")</f>
        <v/>
      </c>
      <c r="T396" s="0" t="str">
        <f aca="false">IF(N($O396)&gt;0,COUNTIF($O$3:$O396,"&gt;0"),"")</f>
        <v/>
      </c>
      <c r="U396" s="0" t="str">
        <f aca="false">IF(AND(N($J396)&gt;0,N($K396)&gt;0),COUNTIFS($J$3:$J396,"&gt;0",$K$3:$K396,"&gt;0"),"")</f>
        <v/>
      </c>
      <c r="V396" s="0" t="str">
        <f aca="false">IF(AND(N($J396)&gt;0,N($K396)=0),COUNTIFS($J$3:$J396,"&gt;0",$K$3:$K396,"&lt;=0"),"")</f>
        <v/>
      </c>
      <c r="W396" s="0" t="str">
        <f aca="false">IF($C396="","",IF(COUNTIF($C$3:$C396,$C396)&gt;1,"",MAX($W$2:W395)+1))</f>
        <v/>
      </c>
      <c r="X396" s="0" t="str">
        <f aca="false">IF($H396="","",IF(COUNTIF($H$3:$H396,$H396)&gt;1,"",MAX($X$2:X395)+1))</f>
        <v/>
      </c>
      <c r="Y396" s="0" t="str">
        <f aca="false">IF(AND(N($M396)&gt;0,N($O396)&lt;=0),COUNTIFS($M$3:$M396,"&gt;0",$O$3:$O396,"&lt;=0"),"")</f>
        <v/>
      </c>
      <c r="Z396" s="30" t="n">
        <f aca="false">IF(OR('THÁNG 8'!$C103="",'THÁNG 8'!$B103=""),0,'THÁNG 8'!$B103)</f>
        <v>0</v>
      </c>
    </row>
    <row r="397" customFormat="false" ht="15" hidden="false" customHeight="false" outlineLevel="0" collapsed="false">
      <c r="A397" s="0" t="n">
        <v>8</v>
      </c>
      <c r="B397" s="29" t="str">
        <f aca="false">IF(OR('THÁNG 8'!$C104="",'THÁNG 8'!$B104=""),"",'THÁNG 8'!$B104)</f>
        <v/>
      </c>
      <c r="C397" s="0" t="str">
        <f aca="false">IF('THÁNG 8'!$C104="","",'THÁNG 8'!$C104)</f>
        <v/>
      </c>
      <c r="D397" s="0" t="str">
        <f aca="false">IF('THÁNG 8'!$C104="","",'THÁNG 8'!$D104&amp;"")</f>
        <v/>
      </c>
      <c r="E397" s="0" t="str">
        <f aca="false">IF('THÁNG 8'!$C104="","",'THÁNG 8'!$E104&amp;"")</f>
        <v/>
      </c>
      <c r="F397" s="0" t="str">
        <f aca="false">IF('THÁNG 8'!$C104="","",'THÁNG 8'!$F104&amp;"")</f>
        <v/>
      </c>
      <c r="G397" s="0" t="str">
        <f aca="false">IF('THÁNG 8'!$C104="","",'THÁNG 8'!$G104&amp;"")</f>
        <v/>
      </c>
      <c r="H397" s="0" t="str">
        <f aca="false">IF('THÁNG 8'!$C104="","",'THÁNG 8'!$H104&amp;"")</f>
        <v/>
      </c>
      <c r="I397" s="0" t="str">
        <f aca="false">IF('THÁNG 8'!$C104="","",N('THÁNG 8'!$I104))</f>
        <v/>
      </c>
      <c r="J397" s="0" t="str">
        <f aca="false">IF('THÁNG 8'!$C104="","",N('THÁNG 8'!$L104))</f>
        <v/>
      </c>
      <c r="K397" s="0" t="str">
        <f aca="false">IF('THÁNG 8'!$C104="","",N('THÁNG 8'!$N104))</f>
        <v/>
      </c>
      <c r="L397" s="0" t="str">
        <f aca="false">IF('THÁNG 8'!$C104="","",N('THÁNG 8'!$O104))</f>
        <v/>
      </c>
      <c r="M397" s="0" t="str">
        <f aca="false">IF('THÁNG 8'!$C104="","",N('THÁNG 8'!$P104))</f>
        <v/>
      </c>
      <c r="N397" s="0" t="str">
        <f aca="false">IF('THÁNG 8'!$C104="","",N('THÁNG 8'!$Q104))</f>
        <v/>
      </c>
      <c r="O397" s="0" t="str">
        <f aca="false">IF('THÁNG 8'!$C104="","",N('THÁNG 8'!$R104))</f>
        <v/>
      </c>
      <c r="P397" s="0" t="str">
        <f aca="false">IF(OR('THÁNG 8'!$C104="",'THÁNG 8'!$T104=""),"",'THÁNG 8'!$T104)</f>
        <v/>
      </c>
      <c r="Q397" s="0" t="str">
        <f aca="false">IF(OR('THÁNG 8'!$C104="",'THÁNG 8'!$U104=""),"",'THÁNG 8'!$U104)</f>
        <v/>
      </c>
      <c r="R397" s="0" t="str">
        <f aca="false">IF('THÁNG 8'!$C104="","",'THÁNG 8'!$W104&amp;"")</f>
        <v/>
      </c>
      <c r="S397" s="0" t="str">
        <f aca="false">IF('THÁNG 8'!$C104="","",'THÁNG 8'!$S104&amp;"")</f>
        <v/>
      </c>
      <c r="T397" s="0" t="str">
        <f aca="false">IF(N($O397)&gt;0,COUNTIF($O$3:$O397,"&gt;0"),"")</f>
        <v/>
      </c>
      <c r="U397" s="0" t="str">
        <f aca="false">IF(AND(N($J397)&gt;0,N($K397)&gt;0),COUNTIFS($J$3:$J397,"&gt;0",$K$3:$K397,"&gt;0"),"")</f>
        <v/>
      </c>
      <c r="V397" s="0" t="str">
        <f aca="false">IF(AND(N($J397)&gt;0,N($K397)=0),COUNTIFS($J$3:$J397,"&gt;0",$K$3:$K397,"&lt;=0"),"")</f>
        <v/>
      </c>
      <c r="W397" s="0" t="str">
        <f aca="false">IF($C397="","",IF(COUNTIF($C$3:$C397,$C397)&gt;1,"",MAX($W$2:W396)+1))</f>
        <v/>
      </c>
      <c r="X397" s="0" t="str">
        <f aca="false">IF($H397="","",IF(COUNTIF($H$3:$H397,$H397)&gt;1,"",MAX($X$2:X396)+1))</f>
        <v/>
      </c>
      <c r="Y397" s="0" t="str">
        <f aca="false">IF(AND(N($M397)&gt;0,N($O397)&lt;=0),COUNTIFS($M$3:$M397,"&gt;0",$O$3:$O397,"&lt;=0"),"")</f>
        <v/>
      </c>
      <c r="Z397" s="30" t="n">
        <f aca="false">IF(OR('THÁNG 8'!$C104="",'THÁNG 8'!$B104=""),0,'THÁNG 8'!$B104)</f>
        <v>0</v>
      </c>
    </row>
    <row r="398" customFormat="false" ht="15" hidden="false" customHeight="false" outlineLevel="0" collapsed="false">
      <c r="A398" s="0" t="n">
        <v>8</v>
      </c>
      <c r="B398" s="29" t="str">
        <f aca="false">IF(OR('THÁNG 8'!$C105="",'THÁNG 8'!$B105=""),"",'THÁNG 8'!$B105)</f>
        <v/>
      </c>
      <c r="C398" s="0" t="str">
        <f aca="false">IF('THÁNG 8'!$C105="","",'THÁNG 8'!$C105)</f>
        <v/>
      </c>
      <c r="D398" s="0" t="str">
        <f aca="false">IF('THÁNG 8'!$C105="","",'THÁNG 8'!$D105&amp;"")</f>
        <v/>
      </c>
      <c r="E398" s="0" t="str">
        <f aca="false">IF('THÁNG 8'!$C105="","",'THÁNG 8'!$E105&amp;"")</f>
        <v/>
      </c>
      <c r="F398" s="0" t="str">
        <f aca="false">IF('THÁNG 8'!$C105="","",'THÁNG 8'!$F105&amp;"")</f>
        <v/>
      </c>
      <c r="G398" s="0" t="str">
        <f aca="false">IF('THÁNG 8'!$C105="","",'THÁNG 8'!$G105&amp;"")</f>
        <v/>
      </c>
      <c r="H398" s="0" t="str">
        <f aca="false">IF('THÁNG 8'!$C105="","",'THÁNG 8'!$H105&amp;"")</f>
        <v/>
      </c>
      <c r="I398" s="0" t="str">
        <f aca="false">IF('THÁNG 8'!$C105="","",N('THÁNG 8'!$I105))</f>
        <v/>
      </c>
      <c r="J398" s="0" t="str">
        <f aca="false">IF('THÁNG 8'!$C105="","",N('THÁNG 8'!$L105))</f>
        <v/>
      </c>
      <c r="K398" s="0" t="str">
        <f aca="false">IF('THÁNG 8'!$C105="","",N('THÁNG 8'!$N105))</f>
        <v/>
      </c>
      <c r="L398" s="0" t="str">
        <f aca="false">IF('THÁNG 8'!$C105="","",N('THÁNG 8'!$O105))</f>
        <v/>
      </c>
      <c r="M398" s="0" t="str">
        <f aca="false">IF('THÁNG 8'!$C105="","",N('THÁNG 8'!$P105))</f>
        <v/>
      </c>
      <c r="N398" s="0" t="str">
        <f aca="false">IF('THÁNG 8'!$C105="","",N('THÁNG 8'!$Q105))</f>
        <v/>
      </c>
      <c r="O398" s="0" t="str">
        <f aca="false">IF('THÁNG 8'!$C105="","",N('THÁNG 8'!$R105))</f>
        <v/>
      </c>
      <c r="P398" s="0" t="str">
        <f aca="false">IF(OR('THÁNG 8'!$C105="",'THÁNG 8'!$T105=""),"",'THÁNG 8'!$T105)</f>
        <v/>
      </c>
      <c r="Q398" s="0" t="str">
        <f aca="false">IF(OR('THÁNG 8'!$C105="",'THÁNG 8'!$U105=""),"",'THÁNG 8'!$U105)</f>
        <v/>
      </c>
      <c r="R398" s="0" t="str">
        <f aca="false">IF('THÁNG 8'!$C105="","",'THÁNG 8'!$W105&amp;"")</f>
        <v/>
      </c>
      <c r="S398" s="0" t="str">
        <f aca="false">IF('THÁNG 8'!$C105="","",'THÁNG 8'!$S105&amp;"")</f>
        <v/>
      </c>
      <c r="T398" s="0" t="str">
        <f aca="false">IF(N($O398)&gt;0,COUNTIF($O$3:$O398,"&gt;0"),"")</f>
        <v/>
      </c>
      <c r="U398" s="0" t="str">
        <f aca="false">IF(AND(N($J398)&gt;0,N($K398)&gt;0),COUNTIFS($J$3:$J398,"&gt;0",$K$3:$K398,"&gt;0"),"")</f>
        <v/>
      </c>
      <c r="V398" s="0" t="str">
        <f aca="false">IF(AND(N($J398)&gt;0,N($K398)=0),COUNTIFS($J$3:$J398,"&gt;0",$K$3:$K398,"&lt;=0"),"")</f>
        <v/>
      </c>
      <c r="W398" s="0" t="str">
        <f aca="false">IF($C398="","",IF(COUNTIF($C$3:$C398,$C398)&gt;1,"",MAX($W$2:W397)+1))</f>
        <v/>
      </c>
      <c r="X398" s="0" t="str">
        <f aca="false">IF($H398="","",IF(COUNTIF($H$3:$H398,$H398)&gt;1,"",MAX($X$2:X397)+1))</f>
        <v/>
      </c>
      <c r="Y398" s="0" t="str">
        <f aca="false">IF(AND(N($M398)&gt;0,N($O398)&lt;=0),COUNTIFS($M$3:$M398,"&gt;0",$O$3:$O398,"&lt;=0"),"")</f>
        <v/>
      </c>
      <c r="Z398" s="30" t="n">
        <f aca="false">IF(OR('THÁNG 8'!$C105="",'THÁNG 8'!$B105=""),0,'THÁNG 8'!$B105)</f>
        <v>0</v>
      </c>
    </row>
    <row r="399" customFormat="false" ht="15" hidden="false" customHeight="false" outlineLevel="0" collapsed="false">
      <c r="A399" s="0" t="n">
        <v>8</v>
      </c>
      <c r="B399" s="29" t="str">
        <f aca="false">IF(OR('THÁNG 8'!$C106="",'THÁNG 8'!$B106=""),"",'THÁNG 8'!$B106)</f>
        <v/>
      </c>
      <c r="C399" s="0" t="str">
        <f aca="false">IF('THÁNG 8'!$C106="","",'THÁNG 8'!$C106)</f>
        <v/>
      </c>
      <c r="D399" s="0" t="str">
        <f aca="false">IF('THÁNG 8'!$C106="","",'THÁNG 8'!$D106&amp;"")</f>
        <v/>
      </c>
      <c r="E399" s="0" t="str">
        <f aca="false">IF('THÁNG 8'!$C106="","",'THÁNG 8'!$E106&amp;"")</f>
        <v/>
      </c>
      <c r="F399" s="0" t="str">
        <f aca="false">IF('THÁNG 8'!$C106="","",'THÁNG 8'!$F106&amp;"")</f>
        <v/>
      </c>
      <c r="G399" s="0" t="str">
        <f aca="false">IF('THÁNG 8'!$C106="","",'THÁNG 8'!$G106&amp;"")</f>
        <v/>
      </c>
      <c r="H399" s="0" t="str">
        <f aca="false">IF('THÁNG 8'!$C106="","",'THÁNG 8'!$H106&amp;"")</f>
        <v/>
      </c>
      <c r="I399" s="0" t="str">
        <f aca="false">IF('THÁNG 8'!$C106="","",N('THÁNG 8'!$I106))</f>
        <v/>
      </c>
      <c r="J399" s="0" t="str">
        <f aca="false">IF('THÁNG 8'!$C106="","",N('THÁNG 8'!$L106))</f>
        <v/>
      </c>
      <c r="K399" s="0" t="str">
        <f aca="false">IF('THÁNG 8'!$C106="","",N('THÁNG 8'!$N106))</f>
        <v/>
      </c>
      <c r="L399" s="0" t="str">
        <f aca="false">IF('THÁNG 8'!$C106="","",N('THÁNG 8'!$O106))</f>
        <v/>
      </c>
      <c r="M399" s="0" t="str">
        <f aca="false">IF('THÁNG 8'!$C106="","",N('THÁNG 8'!$P106))</f>
        <v/>
      </c>
      <c r="N399" s="0" t="str">
        <f aca="false">IF('THÁNG 8'!$C106="","",N('THÁNG 8'!$Q106))</f>
        <v/>
      </c>
      <c r="O399" s="0" t="str">
        <f aca="false">IF('THÁNG 8'!$C106="","",N('THÁNG 8'!$R106))</f>
        <v/>
      </c>
      <c r="P399" s="0" t="str">
        <f aca="false">IF(OR('THÁNG 8'!$C106="",'THÁNG 8'!$T106=""),"",'THÁNG 8'!$T106)</f>
        <v/>
      </c>
      <c r="Q399" s="0" t="str">
        <f aca="false">IF(OR('THÁNG 8'!$C106="",'THÁNG 8'!$U106=""),"",'THÁNG 8'!$U106)</f>
        <v/>
      </c>
      <c r="R399" s="0" t="str">
        <f aca="false">IF('THÁNG 8'!$C106="","",'THÁNG 8'!$W106&amp;"")</f>
        <v/>
      </c>
      <c r="S399" s="0" t="str">
        <f aca="false">IF('THÁNG 8'!$C106="","",'THÁNG 8'!$S106&amp;"")</f>
        <v/>
      </c>
      <c r="T399" s="0" t="str">
        <f aca="false">IF(N($O399)&gt;0,COUNTIF($O$3:$O399,"&gt;0"),"")</f>
        <v/>
      </c>
      <c r="U399" s="0" t="str">
        <f aca="false">IF(AND(N($J399)&gt;0,N($K399)&gt;0),COUNTIFS($J$3:$J399,"&gt;0",$K$3:$K399,"&gt;0"),"")</f>
        <v/>
      </c>
      <c r="V399" s="0" t="str">
        <f aca="false">IF(AND(N($J399)&gt;0,N($K399)=0),COUNTIFS($J$3:$J399,"&gt;0",$K$3:$K399,"&lt;=0"),"")</f>
        <v/>
      </c>
      <c r="W399" s="0" t="str">
        <f aca="false">IF($C399="","",IF(COUNTIF($C$3:$C399,$C399)&gt;1,"",MAX($W$2:W398)+1))</f>
        <v/>
      </c>
      <c r="X399" s="0" t="str">
        <f aca="false">IF($H399="","",IF(COUNTIF($H$3:$H399,$H399)&gt;1,"",MAX($X$2:X398)+1))</f>
        <v/>
      </c>
      <c r="Y399" s="0" t="str">
        <f aca="false">IF(AND(N($M399)&gt;0,N($O399)&lt;=0),COUNTIFS($M$3:$M399,"&gt;0",$O$3:$O399,"&lt;=0"),"")</f>
        <v/>
      </c>
      <c r="Z399" s="30" t="n">
        <f aca="false">IF(OR('THÁNG 8'!$C106="",'THÁNG 8'!$B106=""),0,'THÁNG 8'!$B106)</f>
        <v>0</v>
      </c>
    </row>
    <row r="400" customFormat="false" ht="15" hidden="false" customHeight="false" outlineLevel="0" collapsed="false">
      <c r="A400" s="0" t="n">
        <v>8</v>
      </c>
      <c r="B400" s="29" t="str">
        <f aca="false">IF(OR('THÁNG 8'!$C107="",'THÁNG 8'!$B107=""),"",'THÁNG 8'!$B107)</f>
        <v/>
      </c>
      <c r="C400" s="0" t="str">
        <f aca="false">IF('THÁNG 8'!$C107="","",'THÁNG 8'!$C107)</f>
        <v/>
      </c>
      <c r="D400" s="0" t="str">
        <f aca="false">IF('THÁNG 8'!$C107="","",'THÁNG 8'!$D107&amp;"")</f>
        <v/>
      </c>
      <c r="E400" s="0" t="str">
        <f aca="false">IF('THÁNG 8'!$C107="","",'THÁNG 8'!$E107&amp;"")</f>
        <v/>
      </c>
      <c r="F400" s="0" t="str">
        <f aca="false">IF('THÁNG 8'!$C107="","",'THÁNG 8'!$F107&amp;"")</f>
        <v/>
      </c>
      <c r="G400" s="0" t="str">
        <f aca="false">IF('THÁNG 8'!$C107="","",'THÁNG 8'!$G107&amp;"")</f>
        <v/>
      </c>
      <c r="H400" s="0" t="str">
        <f aca="false">IF('THÁNG 8'!$C107="","",'THÁNG 8'!$H107&amp;"")</f>
        <v/>
      </c>
      <c r="I400" s="0" t="str">
        <f aca="false">IF('THÁNG 8'!$C107="","",N('THÁNG 8'!$I107))</f>
        <v/>
      </c>
      <c r="J400" s="0" t="str">
        <f aca="false">IF('THÁNG 8'!$C107="","",N('THÁNG 8'!$L107))</f>
        <v/>
      </c>
      <c r="K400" s="0" t="str">
        <f aca="false">IF('THÁNG 8'!$C107="","",N('THÁNG 8'!$N107))</f>
        <v/>
      </c>
      <c r="L400" s="0" t="str">
        <f aca="false">IF('THÁNG 8'!$C107="","",N('THÁNG 8'!$O107))</f>
        <v/>
      </c>
      <c r="M400" s="0" t="str">
        <f aca="false">IF('THÁNG 8'!$C107="","",N('THÁNG 8'!$P107))</f>
        <v/>
      </c>
      <c r="N400" s="0" t="str">
        <f aca="false">IF('THÁNG 8'!$C107="","",N('THÁNG 8'!$Q107))</f>
        <v/>
      </c>
      <c r="O400" s="0" t="str">
        <f aca="false">IF('THÁNG 8'!$C107="","",N('THÁNG 8'!$R107))</f>
        <v/>
      </c>
      <c r="P400" s="0" t="str">
        <f aca="false">IF(OR('THÁNG 8'!$C107="",'THÁNG 8'!$T107=""),"",'THÁNG 8'!$T107)</f>
        <v/>
      </c>
      <c r="Q400" s="0" t="str">
        <f aca="false">IF(OR('THÁNG 8'!$C107="",'THÁNG 8'!$U107=""),"",'THÁNG 8'!$U107)</f>
        <v/>
      </c>
      <c r="R400" s="0" t="str">
        <f aca="false">IF('THÁNG 8'!$C107="","",'THÁNG 8'!$W107&amp;"")</f>
        <v/>
      </c>
      <c r="S400" s="0" t="str">
        <f aca="false">IF('THÁNG 8'!$C107="","",'THÁNG 8'!$S107&amp;"")</f>
        <v/>
      </c>
      <c r="T400" s="0" t="str">
        <f aca="false">IF(N($O400)&gt;0,COUNTIF($O$3:$O400,"&gt;0"),"")</f>
        <v/>
      </c>
      <c r="U400" s="0" t="str">
        <f aca="false">IF(AND(N($J400)&gt;0,N($K400)&gt;0),COUNTIFS($J$3:$J400,"&gt;0",$K$3:$K400,"&gt;0"),"")</f>
        <v/>
      </c>
      <c r="V400" s="0" t="str">
        <f aca="false">IF(AND(N($J400)&gt;0,N($K400)=0),COUNTIFS($J$3:$J400,"&gt;0",$K$3:$K400,"&lt;=0"),"")</f>
        <v/>
      </c>
      <c r="W400" s="0" t="str">
        <f aca="false">IF($C400="","",IF(COUNTIF($C$3:$C400,$C400)&gt;1,"",MAX($W$2:W399)+1))</f>
        <v/>
      </c>
      <c r="X400" s="0" t="str">
        <f aca="false">IF($H400="","",IF(COUNTIF($H$3:$H400,$H400)&gt;1,"",MAX($X$2:X399)+1))</f>
        <v/>
      </c>
      <c r="Y400" s="0" t="str">
        <f aca="false">IF(AND(N($M400)&gt;0,N($O400)&lt;=0),COUNTIFS($M$3:$M400,"&gt;0",$O$3:$O400,"&lt;=0"),"")</f>
        <v/>
      </c>
      <c r="Z400" s="30" t="n">
        <f aca="false">IF(OR('THÁNG 8'!$C107="",'THÁNG 8'!$B107=""),0,'THÁNG 8'!$B107)</f>
        <v>0</v>
      </c>
    </row>
    <row r="401" customFormat="false" ht="15" hidden="false" customHeight="false" outlineLevel="0" collapsed="false">
      <c r="A401" s="0" t="n">
        <v>8</v>
      </c>
      <c r="B401" s="29" t="str">
        <f aca="false">IF(OR('THÁNG 8'!$C108="",'THÁNG 8'!$B108=""),"",'THÁNG 8'!$B108)</f>
        <v/>
      </c>
      <c r="C401" s="0" t="str">
        <f aca="false">IF('THÁNG 8'!$C108="","",'THÁNG 8'!$C108)</f>
        <v/>
      </c>
      <c r="D401" s="0" t="str">
        <f aca="false">IF('THÁNG 8'!$C108="","",'THÁNG 8'!$D108&amp;"")</f>
        <v/>
      </c>
      <c r="E401" s="0" t="str">
        <f aca="false">IF('THÁNG 8'!$C108="","",'THÁNG 8'!$E108&amp;"")</f>
        <v/>
      </c>
      <c r="F401" s="0" t="str">
        <f aca="false">IF('THÁNG 8'!$C108="","",'THÁNG 8'!$F108&amp;"")</f>
        <v/>
      </c>
      <c r="G401" s="0" t="str">
        <f aca="false">IF('THÁNG 8'!$C108="","",'THÁNG 8'!$G108&amp;"")</f>
        <v/>
      </c>
      <c r="H401" s="0" t="str">
        <f aca="false">IF('THÁNG 8'!$C108="","",'THÁNG 8'!$H108&amp;"")</f>
        <v/>
      </c>
      <c r="I401" s="0" t="str">
        <f aca="false">IF('THÁNG 8'!$C108="","",N('THÁNG 8'!$I108))</f>
        <v/>
      </c>
      <c r="J401" s="0" t="str">
        <f aca="false">IF('THÁNG 8'!$C108="","",N('THÁNG 8'!$L108))</f>
        <v/>
      </c>
      <c r="K401" s="0" t="str">
        <f aca="false">IF('THÁNG 8'!$C108="","",N('THÁNG 8'!$N108))</f>
        <v/>
      </c>
      <c r="L401" s="0" t="str">
        <f aca="false">IF('THÁNG 8'!$C108="","",N('THÁNG 8'!$O108))</f>
        <v/>
      </c>
      <c r="M401" s="0" t="str">
        <f aca="false">IF('THÁNG 8'!$C108="","",N('THÁNG 8'!$P108))</f>
        <v/>
      </c>
      <c r="N401" s="0" t="str">
        <f aca="false">IF('THÁNG 8'!$C108="","",N('THÁNG 8'!$Q108))</f>
        <v/>
      </c>
      <c r="O401" s="0" t="str">
        <f aca="false">IF('THÁNG 8'!$C108="","",N('THÁNG 8'!$R108))</f>
        <v/>
      </c>
      <c r="P401" s="0" t="str">
        <f aca="false">IF(OR('THÁNG 8'!$C108="",'THÁNG 8'!$T108=""),"",'THÁNG 8'!$T108)</f>
        <v/>
      </c>
      <c r="Q401" s="0" t="str">
        <f aca="false">IF(OR('THÁNG 8'!$C108="",'THÁNG 8'!$U108=""),"",'THÁNG 8'!$U108)</f>
        <v/>
      </c>
      <c r="R401" s="0" t="str">
        <f aca="false">IF('THÁNG 8'!$C108="","",'THÁNG 8'!$W108&amp;"")</f>
        <v/>
      </c>
      <c r="S401" s="0" t="str">
        <f aca="false">IF('THÁNG 8'!$C108="","",'THÁNG 8'!$S108&amp;"")</f>
        <v/>
      </c>
      <c r="T401" s="0" t="str">
        <f aca="false">IF(N($O401)&gt;0,COUNTIF($O$3:$O401,"&gt;0"),"")</f>
        <v/>
      </c>
      <c r="U401" s="0" t="str">
        <f aca="false">IF(AND(N($J401)&gt;0,N($K401)&gt;0),COUNTIFS($J$3:$J401,"&gt;0",$K$3:$K401,"&gt;0"),"")</f>
        <v/>
      </c>
      <c r="V401" s="0" t="str">
        <f aca="false">IF(AND(N($J401)&gt;0,N($K401)=0),COUNTIFS($J$3:$J401,"&gt;0",$K$3:$K401,"&lt;=0"),"")</f>
        <v/>
      </c>
      <c r="W401" s="0" t="str">
        <f aca="false">IF($C401="","",IF(COUNTIF($C$3:$C401,$C401)&gt;1,"",MAX($W$2:W400)+1))</f>
        <v/>
      </c>
      <c r="X401" s="0" t="str">
        <f aca="false">IF($H401="","",IF(COUNTIF($H$3:$H401,$H401)&gt;1,"",MAX($X$2:X400)+1))</f>
        <v/>
      </c>
      <c r="Y401" s="0" t="str">
        <f aca="false">IF(AND(N($M401)&gt;0,N($O401)&lt;=0),COUNTIFS($M$3:$M401,"&gt;0",$O$3:$O401,"&lt;=0"),"")</f>
        <v/>
      </c>
      <c r="Z401" s="30" t="n">
        <f aca="false">IF(OR('THÁNG 8'!$C108="",'THÁNG 8'!$B108=""),0,'THÁNG 8'!$B108)</f>
        <v>0</v>
      </c>
    </row>
    <row r="402" customFormat="false" ht="15" hidden="false" customHeight="false" outlineLevel="0" collapsed="false">
      <c r="A402" s="0" t="n">
        <v>8</v>
      </c>
      <c r="B402" s="29" t="str">
        <f aca="false">IF(OR('THÁNG 8'!$C109="",'THÁNG 8'!$B109=""),"",'THÁNG 8'!$B109)</f>
        <v/>
      </c>
      <c r="C402" s="0" t="str">
        <f aca="false">IF('THÁNG 8'!$C109="","",'THÁNG 8'!$C109)</f>
        <v/>
      </c>
      <c r="D402" s="0" t="str">
        <f aca="false">IF('THÁNG 8'!$C109="","",'THÁNG 8'!$D109&amp;"")</f>
        <v/>
      </c>
      <c r="E402" s="0" t="str">
        <f aca="false">IF('THÁNG 8'!$C109="","",'THÁNG 8'!$E109&amp;"")</f>
        <v/>
      </c>
      <c r="F402" s="0" t="str">
        <f aca="false">IF('THÁNG 8'!$C109="","",'THÁNG 8'!$F109&amp;"")</f>
        <v/>
      </c>
      <c r="G402" s="0" t="str">
        <f aca="false">IF('THÁNG 8'!$C109="","",'THÁNG 8'!$G109&amp;"")</f>
        <v/>
      </c>
      <c r="H402" s="0" t="str">
        <f aca="false">IF('THÁNG 8'!$C109="","",'THÁNG 8'!$H109&amp;"")</f>
        <v/>
      </c>
      <c r="I402" s="0" t="str">
        <f aca="false">IF('THÁNG 8'!$C109="","",N('THÁNG 8'!$I109))</f>
        <v/>
      </c>
      <c r="J402" s="0" t="str">
        <f aca="false">IF('THÁNG 8'!$C109="","",N('THÁNG 8'!$L109))</f>
        <v/>
      </c>
      <c r="K402" s="0" t="str">
        <f aca="false">IF('THÁNG 8'!$C109="","",N('THÁNG 8'!$N109))</f>
        <v/>
      </c>
      <c r="L402" s="0" t="str">
        <f aca="false">IF('THÁNG 8'!$C109="","",N('THÁNG 8'!$O109))</f>
        <v/>
      </c>
      <c r="M402" s="0" t="str">
        <f aca="false">IF('THÁNG 8'!$C109="","",N('THÁNG 8'!$P109))</f>
        <v/>
      </c>
      <c r="N402" s="0" t="str">
        <f aca="false">IF('THÁNG 8'!$C109="","",N('THÁNG 8'!$Q109))</f>
        <v/>
      </c>
      <c r="O402" s="0" t="str">
        <f aca="false">IF('THÁNG 8'!$C109="","",N('THÁNG 8'!$R109))</f>
        <v/>
      </c>
      <c r="P402" s="0" t="str">
        <f aca="false">IF(OR('THÁNG 8'!$C109="",'THÁNG 8'!$T109=""),"",'THÁNG 8'!$T109)</f>
        <v/>
      </c>
      <c r="Q402" s="0" t="str">
        <f aca="false">IF(OR('THÁNG 8'!$C109="",'THÁNG 8'!$U109=""),"",'THÁNG 8'!$U109)</f>
        <v/>
      </c>
      <c r="R402" s="0" t="str">
        <f aca="false">IF('THÁNG 8'!$C109="","",'THÁNG 8'!$W109&amp;"")</f>
        <v/>
      </c>
      <c r="S402" s="0" t="str">
        <f aca="false">IF('THÁNG 8'!$C109="","",'THÁNG 8'!$S109&amp;"")</f>
        <v/>
      </c>
      <c r="T402" s="0" t="str">
        <f aca="false">IF(N($O402)&gt;0,COUNTIF($O$3:$O402,"&gt;0"),"")</f>
        <v/>
      </c>
      <c r="U402" s="0" t="str">
        <f aca="false">IF(AND(N($J402)&gt;0,N($K402)&gt;0),COUNTIFS($J$3:$J402,"&gt;0",$K$3:$K402,"&gt;0"),"")</f>
        <v/>
      </c>
      <c r="V402" s="0" t="str">
        <f aca="false">IF(AND(N($J402)&gt;0,N($K402)=0),COUNTIFS($J$3:$J402,"&gt;0",$K$3:$K402,"&lt;=0"),"")</f>
        <v/>
      </c>
      <c r="W402" s="0" t="str">
        <f aca="false">IF($C402="","",IF(COUNTIF($C$3:$C402,$C402)&gt;1,"",MAX($W$2:W401)+1))</f>
        <v/>
      </c>
      <c r="X402" s="0" t="str">
        <f aca="false">IF($H402="","",IF(COUNTIF($H$3:$H402,$H402)&gt;1,"",MAX($X$2:X401)+1))</f>
        <v/>
      </c>
      <c r="Y402" s="0" t="str">
        <f aca="false">IF(AND(N($M402)&gt;0,N($O402)&lt;=0),COUNTIFS($M$3:$M402,"&gt;0",$O$3:$O402,"&lt;=0"),"")</f>
        <v/>
      </c>
      <c r="Z402" s="30" t="n">
        <f aca="false">IF(OR('THÁNG 8'!$C109="",'THÁNG 8'!$B109=""),0,'THÁNG 8'!$B109)</f>
        <v>0</v>
      </c>
    </row>
    <row r="403" customFormat="false" ht="15" hidden="false" customHeight="false" outlineLevel="0" collapsed="false">
      <c r="A403" s="0" t="n">
        <v>8</v>
      </c>
      <c r="B403" s="29" t="str">
        <f aca="false">IF(OR('THÁNG 8'!$C110="",'THÁNG 8'!$B110=""),"",'THÁNG 8'!$B110)</f>
        <v/>
      </c>
      <c r="C403" s="0" t="str">
        <f aca="false">IF('THÁNG 8'!$C110="","",'THÁNG 8'!$C110)</f>
        <v/>
      </c>
      <c r="D403" s="0" t="str">
        <f aca="false">IF('THÁNG 8'!$C110="","",'THÁNG 8'!$D110&amp;"")</f>
        <v/>
      </c>
      <c r="E403" s="0" t="str">
        <f aca="false">IF('THÁNG 8'!$C110="","",'THÁNG 8'!$E110&amp;"")</f>
        <v/>
      </c>
      <c r="F403" s="0" t="str">
        <f aca="false">IF('THÁNG 8'!$C110="","",'THÁNG 8'!$F110&amp;"")</f>
        <v/>
      </c>
      <c r="G403" s="0" t="str">
        <f aca="false">IF('THÁNG 8'!$C110="","",'THÁNG 8'!$G110&amp;"")</f>
        <v/>
      </c>
      <c r="H403" s="0" t="str">
        <f aca="false">IF('THÁNG 8'!$C110="","",'THÁNG 8'!$H110&amp;"")</f>
        <v/>
      </c>
      <c r="I403" s="0" t="str">
        <f aca="false">IF('THÁNG 8'!$C110="","",N('THÁNG 8'!$I110))</f>
        <v/>
      </c>
      <c r="J403" s="0" t="str">
        <f aca="false">IF('THÁNG 8'!$C110="","",N('THÁNG 8'!$L110))</f>
        <v/>
      </c>
      <c r="K403" s="0" t="str">
        <f aca="false">IF('THÁNG 8'!$C110="","",N('THÁNG 8'!$N110))</f>
        <v/>
      </c>
      <c r="L403" s="0" t="str">
        <f aca="false">IF('THÁNG 8'!$C110="","",N('THÁNG 8'!$O110))</f>
        <v/>
      </c>
      <c r="M403" s="0" t="str">
        <f aca="false">IF('THÁNG 8'!$C110="","",N('THÁNG 8'!$P110))</f>
        <v/>
      </c>
      <c r="N403" s="0" t="str">
        <f aca="false">IF('THÁNG 8'!$C110="","",N('THÁNG 8'!$Q110))</f>
        <v/>
      </c>
      <c r="O403" s="0" t="str">
        <f aca="false">IF('THÁNG 8'!$C110="","",N('THÁNG 8'!$R110))</f>
        <v/>
      </c>
      <c r="P403" s="0" t="str">
        <f aca="false">IF(OR('THÁNG 8'!$C110="",'THÁNG 8'!$T110=""),"",'THÁNG 8'!$T110)</f>
        <v/>
      </c>
      <c r="Q403" s="0" t="str">
        <f aca="false">IF(OR('THÁNG 8'!$C110="",'THÁNG 8'!$U110=""),"",'THÁNG 8'!$U110)</f>
        <v/>
      </c>
      <c r="R403" s="0" t="str">
        <f aca="false">IF('THÁNG 8'!$C110="","",'THÁNG 8'!$W110&amp;"")</f>
        <v/>
      </c>
      <c r="S403" s="0" t="str">
        <f aca="false">IF('THÁNG 8'!$C110="","",'THÁNG 8'!$S110&amp;"")</f>
        <v/>
      </c>
      <c r="T403" s="0" t="str">
        <f aca="false">IF(N($O403)&gt;0,COUNTIF($O$3:$O403,"&gt;0"),"")</f>
        <v/>
      </c>
      <c r="U403" s="0" t="str">
        <f aca="false">IF(AND(N($J403)&gt;0,N($K403)&gt;0),COUNTIFS($J$3:$J403,"&gt;0",$K$3:$K403,"&gt;0"),"")</f>
        <v/>
      </c>
      <c r="V403" s="0" t="str">
        <f aca="false">IF(AND(N($J403)&gt;0,N($K403)=0),COUNTIFS($J$3:$J403,"&gt;0",$K$3:$K403,"&lt;=0"),"")</f>
        <v/>
      </c>
      <c r="W403" s="0" t="str">
        <f aca="false">IF($C403="","",IF(COUNTIF($C$3:$C403,$C403)&gt;1,"",MAX($W$2:W402)+1))</f>
        <v/>
      </c>
      <c r="X403" s="0" t="str">
        <f aca="false">IF($H403="","",IF(COUNTIF($H$3:$H403,$H403)&gt;1,"",MAX($X$2:X402)+1))</f>
        <v/>
      </c>
      <c r="Y403" s="0" t="str">
        <f aca="false">IF(AND(N($M403)&gt;0,N($O403)&lt;=0),COUNTIFS($M$3:$M403,"&gt;0",$O$3:$O403,"&lt;=0"),"")</f>
        <v/>
      </c>
      <c r="Z403" s="30" t="n">
        <f aca="false">IF(OR('THÁNG 8'!$C110="",'THÁNG 8'!$B110=""),0,'THÁNG 8'!$B110)</f>
        <v>0</v>
      </c>
    </row>
    <row r="404" customFormat="false" ht="15" hidden="false" customHeight="false" outlineLevel="0" collapsed="false">
      <c r="A404" s="0" t="n">
        <v>8</v>
      </c>
      <c r="B404" s="29" t="str">
        <f aca="false">IF(OR('THÁNG 8'!$C111="",'THÁNG 8'!$B111=""),"",'THÁNG 8'!$B111)</f>
        <v/>
      </c>
      <c r="C404" s="0" t="str">
        <f aca="false">IF('THÁNG 8'!$C111="","",'THÁNG 8'!$C111)</f>
        <v/>
      </c>
      <c r="D404" s="0" t="str">
        <f aca="false">IF('THÁNG 8'!$C111="","",'THÁNG 8'!$D111&amp;"")</f>
        <v/>
      </c>
      <c r="E404" s="0" t="str">
        <f aca="false">IF('THÁNG 8'!$C111="","",'THÁNG 8'!$E111&amp;"")</f>
        <v/>
      </c>
      <c r="F404" s="0" t="str">
        <f aca="false">IF('THÁNG 8'!$C111="","",'THÁNG 8'!$F111&amp;"")</f>
        <v/>
      </c>
      <c r="G404" s="0" t="str">
        <f aca="false">IF('THÁNG 8'!$C111="","",'THÁNG 8'!$G111&amp;"")</f>
        <v/>
      </c>
      <c r="H404" s="0" t="str">
        <f aca="false">IF('THÁNG 8'!$C111="","",'THÁNG 8'!$H111&amp;"")</f>
        <v/>
      </c>
      <c r="I404" s="0" t="str">
        <f aca="false">IF('THÁNG 8'!$C111="","",N('THÁNG 8'!$I111))</f>
        <v/>
      </c>
      <c r="J404" s="0" t="str">
        <f aca="false">IF('THÁNG 8'!$C111="","",N('THÁNG 8'!$L111))</f>
        <v/>
      </c>
      <c r="K404" s="0" t="str">
        <f aca="false">IF('THÁNG 8'!$C111="","",N('THÁNG 8'!$N111))</f>
        <v/>
      </c>
      <c r="L404" s="0" t="str">
        <f aca="false">IF('THÁNG 8'!$C111="","",N('THÁNG 8'!$O111))</f>
        <v/>
      </c>
      <c r="M404" s="0" t="str">
        <f aca="false">IF('THÁNG 8'!$C111="","",N('THÁNG 8'!$P111))</f>
        <v/>
      </c>
      <c r="N404" s="0" t="str">
        <f aca="false">IF('THÁNG 8'!$C111="","",N('THÁNG 8'!$Q111))</f>
        <v/>
      </c>
      <c r="O404" s="0" t="str">
        <f aca="false">IF('THÁNG 8'!$C111="","",N('THÁNG 8'!$R111))</f>
        <v/>
      </c>
      <c r="P404" s="0" t="str">
        <f aca="false">IF(OR('THÁNG 8'!$C111="",'THÁNG 8'!$T111=""),"",'THÁNG 8'!$T111)</f>
        <v/>
      </c>
      <c r="Q404" s="0" t="str">
        <f aca="false">IF(OR('THÁNG 8'!$C111="",'THÁNG 8'!$U111=""),"",'THÁNG 8'!$U111)</f>
        <v/>
      </c>
      <c r="R404" s="0" t="str">
        <f aca="false">IF('THÁNG 8'!$C111="","",'THÁNG 8'!$W111&amp;"")</f>
        <v/>
      </c>
      <c r="S404" s="0" t="str">
        <f aca="false">IF('THÁNG 8'!$C111="","",'THÁNG 8'!$S111&amp;"")</f>
        <v/>
      </c>
      <c r="T404" s="0" t="str">
        <f aca="false">IF(N($O404)&gt;0,COUNTIF($O$3:$O404,"&gt;0"),"")</f>
        <v/>
      </c>
      <c r="U404" s="0" t="str">
        <f aca="false">IF(AND(N($J404)&gt;0,N($K404)&gt;0),COUNTIFS($J$3:$J404,"&gt;0",$K$3:$K404,"&gt;0"),"")</f>
        <v/>
      </c>
      <c r="V404" s="0" t="str">
        <f aca="false">IF(AND(N($J404)&gt;0,N($K404)=0),COUNTIFS($J$3:$J404,"&gt;0",$K$3:$K404,"&lt;=0"),"")</f>
        <v/>
      </c>
      <c r="W404" s="0" t="str">
        <f aca="false">IF($C404="","",IF(COUNTIF($C$3:$C404,$C404)&gt;1,"",MAX($W$2:W403)+1))</f>
        <v/>
      </c>
      <c r="X404" s="0" t="str">
        <f aca="false">IF($H404="","",IF(COUNTIF($H$3:$H404,$H404)&gt;1,"",MAX($X$2:X403)+1))</f>
        <v/>
      </c>
      <c r="Y404" s="0" t="str">
        <f aca="false">IF(AND(N($M404)&gt;0,N($O404)&lt;=0),COUNTIFS($M$3:$M404,"&gt;0",$O$3:$O404,"&lt;=0"),"")</f>
        <v/>
      </c>
      <c r="Z404" s="30" t="n">
        <f aca="false">IF(OR('THÁNG 8'!$C111="",'THÁNG 8'!$B111=""),0,'THÁNG 8'!$B111)</f>
        <v>0</v>
      </c>
    </row>
    <row r="405" customFormat="false" ht="15" hidden="false" customHeight="false" outlineLevel="0" collapsed="false">
      <c r="A405" s="0" t="n">
        <v>8</v>
      </c>
      <c r="B405" s="29" t="str">
        <f aca="false">IF(OR('THÁNG 8'!$C112="",'THÁNG 8'!$B112=""),"",'THÁNG 8'!$B112)</f>
        <v/>
      </c>
      <c r="C405" s="0" t="str">
        <f aca="false">IF('THÁNG 8'!$C112="","",'THÁNG 8'!$C112)</f>
        <v/>
      </c>
      <c r="D405" s="0" t="str">
        <f aca="false">IF('THÁNG 8'!$C112="","",'THÁNG 8'!$D112&amp;"")</f>
        <v/>
      </c>
      <c r="E405" s="0" t="str">
        <f aca="false">IF('THÁNG 8'!$C112="","",'THÁNG 8'!$E112&amp;"")</f>
        <v/>
      </c>
      <c r="F405" s="0" t="str">
        <f aca="false">IF('THÁNG 8'!$C112="","",'THÁNG 8'!$F112&amp;"")</f>
        <v/>
      </c>
      <c r="G405" s="0" t="str">
        <f aca="false">IF('THÁNG 8'!$C112="","",'THÁNG 8'!$G112&amp;"")</f>
        <v/>
      </c>
      <c r="H405" s="0" t="str">
        <f aca="false">IF('THÁNG 8'!$C112="","",'THÁNG 8'!$H112&amp;"")</f>
        <v/>
      </c>
      <c r="I405" s="0" t="str">
        <f aca="false">IF('THÁNG 8'!$C112="","",N('THÁNG 8'!$I112))</f>
        <v/>
      </c>
      <c r="J405" s="0" t="str">
        <f aca="false">IF('THÁNG 8'!$C112="","",N('THÁNG 8'!$L112))</f>
        <v/>
      </c>
      <c r="K405" s="0" t="str">
        <f aca="false">IF('THÁNG 8'!$C112="","",N('THÁNG 8'!$N112))</f>
        <v/>
      </c>
      <c r="L405" s="0" t="str">
        <f aca="false">IF('THÁNG 8'!$C112="","",N('THÁNG 8'!$O112))</f>
        <v/>
      </c>
      <c r="M405" s="0" t="str">
        <f aca="false">IF('THÁNG 8'!$C112="","",N('THÁNG 8'!$P112))</f>
        <v/>
      </c>
      <c r="N405" s="0" t="str">
        <f aca="false">IF('THÁNG 8'!$C112="","",N('THÁNG 8'!$Q112))</f>
        <v/>
      </c>
      <c r="O405" s="0" t="str">
        <f aca="false">IF('THÁNG 8'!$C112="","",N('THÁNG 8'!$R112))</f>
        <v/>
      </c>
      <c r="P405" s="0" t="str">
        <f aca="false">IF(OR('THÁNG 8'!$C112="",'THÁNG 8'!$T112=""),"",'THÁNG 8'!$T112)</f>
        <v/>
      </c>
      <c r="Q405" s="0" t="str">
        <f aca="false">IF(OR('THÁNG 8'!$C112="",'THÁNG 8'!$U112=""),"",'THÁNG 8'!$U112)</f>
        <v/>
      </c>
      <c r="R405" s="0" t="str">
        <f aca="false">IF('THÁNG 8'!$C112="","",'THÁNG 8'!$W112&amp;"")</f>
        <v/>
      </c>
      <c r="S405" s="0" t="str">
        <f aca="false">IF('THÁNG 8'!$C112="","",'THÁNG 8'!$S112&amp;"")</f>
        <v/>
      </c>
      <c r="T405" s="0" t="str">
        <f aca="false">IF(N($O405)&gt;0,COUNTIF($O$3:$O405,"&gt;0"),"")</f>
        <v/>
      </c>
      <c r="U405" s="0" t="str">
        <f aca="false">IF(AND(N($J405)&gt;0,N($K405)&gt;0),COUNTIFS($J$3:$J405,"&gt;0",$K$3:$K405,"&gt;0"),"")</f>
        <v/>
      </c>
      <c r="V405" s="0" t="str">
        <f aca="false">IF(AND(N($J405)&gt;0,N($K405)=0),COUNTIFS($J$3:$J405,"&gt;0",$K$3:$K405,"&lt;=0"),"")</f>
        <v/>
      </c>
      <c r="W405" s="0" t="str">
        <f aca="false">IF($C405="","",IF(COUNTIF($C$3:$C405,$C405)&gt;1,"",MAX($W$2:W404)+1))</f>
        <v/>
      </c>
      <c r="X405" s="0" t="str">
        <f aca="false">IF($H405="","",IF(COUNTIF($H$3:$H405,$H405)&gt;1,"",MAX($X$2:X404)+1))</f>
        <v/>
      </c>
      <c r="Y405" s="0" t="str">
        <f aca="false">IF(AND(N($M405)&gt;0,N($O405)&lt;=0),COUNTIFS($M$3:$M405,"&gt;0",$O$3:$O405,"&lt;=0"),"")</f>
        <v/>
      </c>
      <c r="Z405" s="30" t="n">
        <f aca="false">IF(OR('THÁNG 8'!$C112="",'THÁNG 8'!$B112=""),0,'THÁNG 8'!$B112)</f>
        <v>0</v>
      </c>
    </row>
    <row r="406" customFormat="false" ht="15" hidden="false" customHeight="false" outlineLevel="0" collapsed="false">
      <c r="A406" s="0" t="n">
        <v>8</v>
      </c>
      <c r="B406" s="29" t="str">
        <f aca="false">IF(OR('THÁNG 8'!$C113="",'THÁNG 8'!$B113=""),"",'THÁNG 8'!$B113)</f>
        <v/>
      </c>
      <c r="C406" s="0" t="str">
        <f aca="false">IF('THÁNG 8'!$C113="","",'THÁNG 8'!$C113)</f>
        <v/>
      </c>
      <c r="D406" s="0" t="str">
        <f aca="false">IF('THÁNG 8'!$C113="","",'THÁNG 8'!$D113&amp;"")</f>
        <v/>
      </c>
      <c r="E406" s="0" t="str">
        <f aca="false">IF('THÁNG 8'!$C113="","",'THÁNG 8'!$E113&amp;"")</f>
        <v/>
      </c>
      <c r="F406" s="0" t="str">
        <f aca="false">IF('THÁNG 8'!$C113="","",'THÁNG 8'!$F113&amp;"")</f>
        <v/>
      </c>
      <c r="G406" s="0" t="str">
        <f aca="false">IF('THÁNG 8'!$C113="","",'THÁNG 8'!$G113&amp;"")</f>
        <v/>
      </c>
      <c r="H406" s="0" t="str">
        <f aca="false">IF('THÁNG 8'!$C113="","",'THÁNG 8'!$H113&amp;"")</f>
        <v/>
      </c>
      <c r="I406" s="0" t="str">
        <f aca="false">IF('THÁNG 8'!$C113="","",N('THÁNG 8'!$I113))</f>
        <v/>
      </c>
      <c r="J406" s="0" t="str">
        <f aca="false">IF('THÁNG 8'!$C113="","",N('THÁNG 8'!$L113))</f>
        <v/>
      </c>
      <c r="K406" s="0" t="str">
        <f aca="false">IF('THÁNG 8'!$C113="","",N('THÁNG 8'!$N113))</f>
        <v/>
      </c>
      <c r="L406" s="0" t="str">
        <f aca="false">IF('THÁNG 8'!$C113="","",N('THÁNG 8'!$O113))</f>
        <v/>
      </c>
      <c r="M406" s="0" t="str">
        <f aca="false">IF('THÁNG 8'!$C113="","",N('THÁNG 8'!$P113))</f>
        <v/>
      </c>
      <c r="N406" s="0" t="str">
        <f aca="false">IF('THÁNG 8'!$C113="","",N('THÁNG 8'!$Q113))</f>
        <v/>
      </c>
      <c r="O406" s="0" t="str">
        <f aca="false">IF('THÁNG 8'!$C113="","",N('THÁNG 8'!$R113))</f>
        <v/>
      </c>
      <c r="P406" s="0" t="str">
        <f aca="false">IF(OR('THÁNG 8'!$C113="",'THÁNG 8'!$T113=""),"",'THÁNG 8'!$T113)</f>
        <v/>
      </c>
      <c r="Q406" s="0" t="str">
        <f aca="false">IF(OR('THÁNG 8'!$C113="",'THÁNG 8'!$U113=""),"",'THÁNG 8'!$U113)</f>
        <v/>
      </c>
      <c r="R406" s="0" t="str">
        <f aca="false">IF('THÁNG 8'!$C113="","",'THÁNG 8'!$W113&amp;"")</f>
        <v/>
      </c>
      <c r="S406" s="0" t="str">
        <f aca="false">IF('THÁNG 8'!$C113="","",'THÁNG 8'!$S113&amp;"")</f>
        <v/>
      </c>
      <c r="T406" s="0" t="str">
        <f aca="false">IF(N($O406)&gt;0,COUNTIF($O$3:$O406,"&gt;0"),"")</f>
        <v/>
      </c>
      <c r="U406" s="0" t="str">
        <f aca="false">IF(AND(N($J406)&gt;0,N($K406)&gt;0),COUNTIFS($J$3:$J406,"&gt;0",$K$3:$K406,"&gt;0"),"")</f>
        <v/>
      </c>
      <c r="V406" s="0" t="str">
        <f aca="false">IF(AND(N($J406)&gt;0,N($K406)=0),COUNTIFS($J$3:$J406,"&gt;0",$K$3:$K406,"&lt;=0"),"")</f>
        <v/>
      </c>
      <c r="W406" s="0" t="str">
        <f aca="false">IF($C406="","",IF(COUNTIF($C$3:$C406,$C406)&gt;1,"",MAX($W$2:W405)+1))</f>
        <v/>
      </c>
      <c r="X406" s="0" t="str">
        <f aca="false">IF($H406="","",IF(COUNTIF($H$3:$H406,$H406)&gt;1,"",MAX($X$2:X405)+1))</f>
        <v/>
      </c>
      <c r="Y406" s="0" t="str">
        <f aca="false">IF(AND(N($M406)&gt;0,N($O406)&lt;=0),COUNTIFS($M$3:$M406,"&gt;0",$O$3:$O406,"&lt;=0"),"")</f>
        <v/>
      </c>
      <c r="Z406" s="30" t="n">
        <f aca="false">IF(OR('THÁNG 8'!$C113="",'THÁNG 8'!$B113=""),0,'THÁNG 8'!$B113)</f>
        <v>0</v>
      </c>
    </row>
    <row r="407" customFormat="false" ht="15" hidden="false" customHeight="false" outlineLevel="0" collapsed="false">
      <c r="A407" s="0" t="n">
        <v>8</v>
      </c>
      <c r="B407" s="29" t="str">
        <f aca="false">IF(OR('THÁNG 8'!$C114="",'THÁNG 8'!$B114=""),"",'THÁNG 8'!$B114)</f>
        <v/>
      </c>
      <c r="C407" s="0" t="str">
        <f aca="false">IF('THÁNG 8'!$C114="","",'THÁNG 8'!$C114)</f>
        <v/>
      </c>
      <c r="D407" s="0" t="str">
        <f aca="false">IF('THÁNG 8'!$C114="","",'THÁNG 8'!$D114&amp;"")</f>
        <v/>
      </c>
      <c r="E407" s="0" t="str">
        <f aca="false">IF('THÁNG 8'!$C114="","",'THÁNG 8'!$E114&amp;"")</f>
        <v/>
      </c>
      <c r="F407" s="0" t="str">
        <f aca="false">IF('THÁNG 8'!$C114="","",'THÁNG 8'!$F114&amp;"")</f>
        <v/>
      </c>
      <c r="G407" s="0" t="str">
        <f aca="false">IF('THÁNG 8'!$C114="","",'THÁNG 8'!$G114&amp;"")</f>
        <v/>
      </c>
      <c r="H407" s="0" t="str">
        <f aca="false">IF('THÁNG 8'!$C114="","",'THÁNG 8'!$H114&amp;"")</f>
        <v/>
      </c>
      <c r="I407" s="0" t="str">
        <f aca="false">IF('THÁNG 8'!$C114="","",N('THÁNG 8'!$I114))</f>
        <v/>
      </c>
      <c r="J407" s="0" t="str">
        <f aca="false">IF('THÁNG 8'!$C114="","",N('THÁNG 8'!$L114))</f>
        <v/>
      </c>
      <c r="K407" s="0" t="str">
        <f aca="false">IF('THÁNG 8'!$C114="","",N('THÁNG 8'!$N114))</f>
        <v/>
      </c>
      <c r="L407" s="0" t="str">
        <f aca="false">IF('THÁNG 8'!$C114="","",N('THÁNG 8'!$O114))</f>
        <v/>
      </c>
      <c r="M407" s="0" t="str">
        <f aca="false">IF('THÁNG 8'!$C114="","",N('THÁNG 8'!$P114))</f>
        <v/>
      </c>
      <c r="N407" s="0" t="str">
        <f aca="false">IF('THÁNG 8'!$C114="","",N('THÁNG 8'!$Q114))</f>
        <v/>
      </c>
      <c r="O407" s="0" t="str">
        <f aca="false">IF('THÁNG 8'!$C114="","",N('THÁNG 8'!$R114))</f>
        <v/>
      </c>
      <c r="P407" s="0" t="str">
        <f aca="false">IF(OR('THÁNG 8'!$C114="",'THÁNG 8'!$T114=""),"",'THÁNG 8'!$T114)</f>
        <v/>
      </c>
      <c r="Q407" s="0" t="str">
        <f aca="false">IF(OR('THÁNG 8'!$C114="",'THÁNG 8'!$U114=""),"",'THÁNG 8'!$U114)</f>
        <v/>
      </c>
      <c r="R407" s="0" t="str">
        <f aca="false">IF('THÁNG 8'!$C114="","",'THÁNG 8'!$W114&amp;"")</f>
        <v/>
      </c>
      <c r="S407" s="0" t="str">
        <f aca="false">IF('THÁNG 8'!$C114="","",'THÁNG 8'!$S114&amp;"")</f>
        <v/>
      </c>
      <c r="T407" s="0" t="str">
        <f aca="false">IF(N($O407)&gt;0,COUNTIF($O$3:$O407,"&gt;0"),"")</f>
        <v/>
      </c>
      <c r="U407" s="0" t="str">
        <f aca="false">IF(AND(N($J407)&gt;0,N($K407)&gt;0),COUNTIFS($J$3:$J407,"&gt;0",$K$3:$K407,"&gt;0"),"")</f>
        <v/>
      </c>
      <c r="V407" s="0" t="str">
        <f aca="false">IF(AND(N($J407)&gt;0,N($K407)=0),COUNTIFS($J$3:$J407,"&gt;0",$K$3:$K407,"&lt;=0"),"")</f>
        <v/>
      </c>
      <c r="W407" s="0" t="str">
        <f aca="false">IF($C407="","",IF(COUNTIF($C$3:$C407,$C407)&gt;1,"",MAX($W$2:W406)+1))</f>
        <v/>
      </c>
      <c r="X407" s="0" t="str">
        <f aca="false">IF($H407="","",IF(COUNTIF($H$3:$H407,$H407)&gt;1,"",MAX($X$2:X406)+1))</f>
        <v/>
      </c>
      <c r="Y407" s="0" t="str">
        <f aca="false">IF(AND(N($M407)&gt;0,N($O407)&lt;=0),COUNTIFS($M$3:$M407,"&gt;0",$O$3:$O407,"&lt;=0"),"")</f>
        <v/>
      </c>
      <c r="Z407" s="30" t="n">
        <f aca="false">IF(OR('THÁNG 8'!$C114="",'THÁNG 8'!$B114=""),0,'THÁNG 8'!$B114)</f>
        <v>0</v>
      </c>
    </row>
    <row r="408" customFormat="false" ht="15" hidden="false" customHeight="false" outlineLevel="0" collapsed="false">
      <c r="A408" s="0" t="n">
        <v>8</v>
      </c>
      <c r="B408" s="29" t="str">
        <f aca="false">IF(OR('THÁNG 8'!$C115="",'THÁNG 8'!$B115=""),"",'THÁNG 8'!$B115)</f>
        <v/>
      </c>
      <c r="C408" s="0" t="str">
        <f aca="false">IF('THÁNG 8'!$C115="","",'THÁNG 8'!$C115)</f>
        <v/>
      </c>
      <c r="D408" s="0" t="str">
        <f aca="false">IF('THÁNG 8'!$C115="","",'THÁNG 8'!$D115&amp;"")</f>
        <v/>
      </c>
      <c r="E408" s="0" t="str">
        <f aca="false">IF('THÁNG 8'!$C115="","",'THÁNG 8'!$E115&amp;"")</f>
        <v/>
      </c>
      <c r="F408" s="0" t="str">
        <f aca="false">IF('THÁNG 8'!$C115="","",'THÁNG 8'!$F115&amp;"")</f>
        <v/>
      </c>
      <c r="G408" s="0" t="str">
        <f aca="false">IF('THÁNG 8'!$C115="","",'THÁNG 8'!$G115&amp;"")</f>
        <v/>
      </c>
      <c r="H408" s="0" t="str">
        <f aca="false">IF('THÁNG 8'!$C115="","",'THÁNG 8'!$H115&amp;"")</f>
        <v/>
      </c>
      <c r="I408" s="0" t="str">
        <f aca="false">IF('THÁNG 8'!$C115="","",N('THÁNG 8'!$I115))</f>
        <v/>
      </c>
      <c r="J408" s="0" t="str">
        <f aca="false">IF('THÁNG 8'!$C115="","",N('THÁNG 8'!$L115))</f>
        <v/>
      </c>
      <c r="K408" s="0" t="str">
        <f aca="false">IF('THÁNG 8'!$C115="","",N('THÁNG 8'!$N115))</f>
        <v/>
      </c>
      <c r="L408" s="0" t="str">
        <f aca="false">IF('THÁNG 8'!$C115="","",N('THÁNG 8'!$O115))</f>
        <v/>
      </c>
      <c r="M408" s="0" t="str">
        <f aca="false">IF('THÁNG 8'!$C115="","",N('THÁNG 8'!$P115))</f>
        <v/>
      </c>
      <c r="N408" s="0" t="str">
        <f aca="false">IF('THÁNG 8'!$C115="","",N('THÁNG 8'!$Q115))</f>
        <v/>
      </c>
      <c r="O408" s="0" t="str">
        <f aca="false">IF('THÁNG 8'!$C115="","",N('THÁNG 8'!$R115))</f>
        <v/>
      </c>
      <c r="P408" s="0" t="str">
        <f aca="false">IF(OR('THÁNG 8'!$C115="",'THÁNG 8'!$T115=""),"",'THÁNG 8'!$T115)</f>
        <v/>
      </c>
      <c r="Q408" s="0" t="str">
        <f aca="false">IF(OR('THÁNG 8'!$C115="",'THÁNG 8'!$U115=""),"",'THÁNG 8'!$U115)</f>
        <v/>
      </c>
      <c r="R408" s="0" t="str">
        <f aca="false">IF('THÁNG 8'!$C115="","",'THÁNG 8'!$W115&amp;"")</f>
        <v/>
      </c>
      <c r="S408" s="0" t="str">
        <f aca="false">IF('THÁNG 8'!$C115="","",'THÁNG 8'!$S115&amp;"")</f>
        <v/>
      </c>
      <c r="T408" s="0" t="str">
        <f aca="false">IF(N($O408)&gt;0,COUNTIF($O$3:$O408,"&gt;0"),"")</f>
        <v/>
      </c>
      <c r="U408" s="0" t="str">
        <f aca="false">IF(AND(N($J408)&gt;0,N($K408)&gt;0),COUNTIFS($J$3:$J408,"&gt;0",$K$3:$K408,"&gt;0"),"")</f>
        <v/>
      </c>
      <c r="V408" s="0" t="str">
        <f aca="false">IF(AND(N($J408)&gt;0,N($K408)=0),COUNTIFS($J$3:$J408,"&gt;0",$K$3:$K408,"&lt;=0"),"")</f>
        <v/>
      </c>
      <c r="W408" s="0" t="str">
        <f aca="false">IF($C408="","",IF(COUNTIF($C$3:$C408,$C408)&gt;1,"",MAX($W$2:W407)+1))</f>
        <v/>
      </c>
      <c r="X408" s="0" t="str">
        <f aca="false">IF($H408="","",IF(COUNTIF($H$3:$H408,$H408)&gt;1,"",MAX($X$2:X407)+1))</f>
        <v/>
      </c>
      <c r="Y408" s="0" t="str">
        <f aca="false">IF(AND(N($M408)&gt;0,N($O408)&lt;=0),COUNTIFS($M$3:$M408,"&gt;0",$O$3:$O408,"&lt;=0"),"")</f>
        <v/>
      </c>
      <c r="Z408" s="30" t="n">
        <f aca="false">IF(OR('THÁNG 8'!$C115="",'THÁNG 8'!$B115=""),0,'THÁNG 8'!$B115)</f>
        <v>0</v>
      </c>
    </row>
    <row r="409" customFormat="false" ht="15" hidden="false" customHeight="false" outlineLevel="0" collapsed="false">
      <c r="A409" s="0" t="n">
        <v>8</v>
      </c>
      <c r="B409" s="29" t="str">
        <f aca="false">IF(OR('THÁNG 8'!$C116="",'THÁNG 8'!$B116=""),"",'THÁNG 8'!$B116)</f>
        <v/>
      </c>
      <c r="C409" s="0" t="str">
        <f aca="false">IF('THÁNG 8'!$C116="","",'THÁNG 8'!$C116)</f>
        <v/>
      </c>
      <c r="D409" s="0" t="str">
        <f aca="false">IF('THÁNG 8'!$C116="","",'THÁNG 8'!$D116&amp;"")</f>
        <v/>
      </c>
      <c r="E409" s="0" t="str">
        <f aca="false">IF('THÁNG 8'!$C116="","",'THÁNG 8'!$E116&amp;"")</f>
        <v/>
      </c>
      <c r="F409" s="0" t="str">
        <f aca="false">IF('THÁNG 8'!$C116="","",'THÁNG 8'!$F116&amp;"")</f>
        <v/>
      </c>
      <c r="G409" s="0" t="str">
        <f aca="false">IF('THÁNG 8'!$C116="","",'THÁNG 8'!$G116&amp;"")</f>
        <v/>
      </c>
      <c r="H409" s="0" t="str">
        <f aca="false">IF('THÁNG 8'!$C116="","",'THÁNG 8'!$H116&amp;"")</f>
        <v/>
      </c>
      <c r="I409" s="0" t="str">
        <f aca="false">IF('THÁNG 8'!$C116="","",N('THÁNG 8'!$I116))</f>
        <v/>
      </c>
      <c r="J409" s="0" t="str">
        <f aca="false">IF('THÁNG 8'!$C116="","",N('THÁNG 8'!$L116))</f>
        <v/>
      </c>
      <c r="K409" s="0" t="str">
        <f aca="false">IF('THÁNG 8'!$C116="","",N('THÁNG 8'!$N116))</f>
        <v/>
      </c>
      <c r="L409" s="0" t="str">
        <f aca="false">IF('THÁNG 8'!$C116="","",N('THÁNG 8'!$O116))</f>
        <v/>
      </c>
      <c r="M409" s="0" t="str">
        <f aca="false">IF('THÁNG 8'!$C116="","",N('THÁNG 8'!$P116))</f>
        <v/>
      </c>
      <c r="N409" s="0" t="str">
        <f aca="false">IF('THÁNG 8'!$C116="","",N('THÁNG 8'!$Q116))</f>
        <v/>
      </c>
      <c r="O409" s="0" t="str">
        <f aca="false">IF('THÁNG 8'!$C116="","",N('THÁNG 8'!$R116))</f>
        <v/>
      </c>
      <c r="P409" s="0" t="str">
        <f aca="false">IF(OR('THÁNG 8'!$C116="",'THÁNG 8'!$T116=""),"",'THÁNG 8'!$T116)</f>
        <v/>
      </c>
      <c r="Q409" s="0" t="str">
        <f aca="false">IF(OR('THÁNG 8'!$C116="",'THÁNG 8'!$U116=""),"",'THÁNG 8'!$U116)</f>
        <v/>
      </c>
      <c r="R409" s="0" t="str">
        <f aca="false">IF('THÁNG 8'!$C116="","",'THÁNG 8'!$W116&amp;"")</f>
        <v/>
      </c>
      <c r="S409" s="0" t="str">
        <f aca="false">IF('THÁNG 8'!$C116="","",'THÁNG 8'!$S116&amp;"")</f>
        <v/>
      </c>
      <c r="T409" s="0" t="str">
        <f aca="false">IF(N($O409)&gt;0,COUNTIF($O$3:$O409,"&gt;0"),"")</f>
        <v/>
      </c>
      <c r="U409" s="0" t="str">
        <f aca="false">IF(AND(N($J409)&gt;0,N($K409)&gt;0),COUNTIFS($J$3:$J409,"&gt;0",$K$3:$K409,"&gt;0"),"")</f>
        <v/>
      </c>
      <c r="V409" s="0" t="str">
        <f aca="false">IF(AND(N($J409)&gt;0,N($K409)=0),COUNTIFS($J$3:$J409,"&gt;0",$K$3:$K409,"&lt;=0"),"")</f>
        <v/>
      </c>
      <c r="W409" s="0" t="str">
        <f aca="false">IF($C409="","",IF(COUNTIF($C$3:$C409,$C409)&gt;1,"",MAX($W$2:W408)+1))</f>
        <v/>
      </c>
      <c r="X409" s="0" t="str">
        <f aca="false">IF($H409="","",IF(COUNTIF($H$3:$H409,$H409)&gt;1,"",MAX($X$2:X408)+1))</f>
        <v/>
      </c>
      <c r="Y409" s="0" t="str">
        <f aca="false">IF(AND(N($M409)&gt;0,N($O409)&lt;=0),COUNTIFS($M$3:$M409,"&gt;0",$O$3:$O409,"&lt;=0"),"")</f>
        <v/>
      </c>
      <c r="Z409" s="30" t="n">
        <f aca="false">IF(OR('THÁNG 8'!$C116="",'THÁNG 8'!$B116=""),0,'THÁNG 8'!$B116)</f>
        <v>0</v>
      </c>
    </row>
    <row r="410" customFormat="false" ht="15" hidden="false" customHeight="false" outlineLevel="0" collapsed="false">
      <c r="A410" s="0" t="n">
        <v>8</v>
      </c>
      <c r="B410" s="29" t="str">
        <f aca="false">IF(OR('THÁNG 8'!$C117="",'THÁNG 8'!$B117=""),"",'THÁNG 8'!$B117)</f>
        <v/>
      </c>
      <c r="C410" s="0" t="str">
        <f aca="false">IF('THÁNG 8'!$C117="","",'THÁNG 8'!$C117)</f>
        <v/>
      </c>
      <c r="D410" s="0" t="str">
        <f aca="false">IF('THÁNG 8'!$C117="","",'THÁNG 8'!$D117&amp;"")</f>
        <v/>
      </c>
      <c r="E410" s="0" t="str">
        <f aca="false">IF('THÁNG 8'!$C117="","",'THÁNG 8'!$E117&amp;"")</f>
        <v/>
      </c>
      <c r="F410" s="0" t="str">
        <f aca="false">IF('THÁNG 8'!$C117="","",'THÁNG 8'!$F117&amp;"")</f>
        <v/>
      </c>
      <c r="G410" s="0" t="str">
        <f aca="false">IF('THÁNG 8'!$C117="","",'THÁNG 8'!$G117&amp;"")</f>
        <v/>
      </c>
      <c r="H410" s="0" t="str">
        <f aca="false">IF('THÁNG 8'!$C117="","",'THÁNG 8'!$H117&amp;"")</f>
        <v/>
      </c>
      <c r="I410" s="0" t="str">
        <f aca="false">IF('THÁNG 8'!$C117="","",N('THÁNG 8'!$I117))</f>
        <v/>
      </c>
      <c r="J410" s="0" t="str">
        <f aca="false">IF('THÁNG 8'!$C117="","",N('THÁNG 8'!$L117))</f>
        <v/>
      </c>
      <c r="K410" s="0" t="str">
        <f aca="false">IF('THÁNG 8'!$C117="","",N('THÁNG 8'!$N117))</f>
        <v/>
      </c>
      <c r="L410" s="0" t="str">
        <f aca="false">IF('THÁNG 8'!$C117="","",N('THÁNG 8'!$O117))</f>
        <v/>
      </c>
      <c r="M410" s="0" t="str">
        <f aca="false">IF('THÁNG 8'!$C117="","",N('THÁNG 8'!$P117))</f>
        <v/>
      </c>
      <c r="N410" s="0" t="str">
        <f aca="false">IF('THÁNG 8'!$C117="","",N('THÁNG 8'!$Q117))</f>
        <v/>
      </c>
      <c r="O410" s="0" t="str">
        <f aca="false">IF('THÁNG 8'!$C117="","",N('THÁNG 8'!$R117))</f>
        <v/>
      </c>
      <c r="P410" s="0" t="str">
        <f aca="false">IF(OR('THÁNG 8'!$C117="",'THÁNG 8'!$T117=""),"",'THÁNG 8'!$T117)</f>
        <v/>
      </c>
      <c r="Q410" s="0" t="str">
        <f aca="false">IF(OR('THÁNG 8'!$C117="",'THÁNG 8'!$U117=""),"",'THÁNG 8'!$U117)</f>
        <v/>
      </c>
      <c r="R410" s="0" t="str">
        <f aca="false">IF('THÁNG 8'!$C117="","",'THÁNG 8'!$W117&amp;"")</f>
        <v/>
      </c>
      <c r="S410" s="0" t="str">
        <f aca="false">IF('THÁNG 8'!$C117="","",'THÁNG 8'!$S117&amp;"")</f>
        <v/>
      </c>
      <c r="T410" s="0" t="str">
        <f aca="false">IF(N($O410)&gt;0,COUNTIF($O$3:$O410,"&gt;0"),"")</f>
        <v/>
      </c>
      <c r="U410" s="0" t="str">
        <f aca="false">IF(AND(N($J410)&gt;0,N($K410)&gt;0),COUNTIFS($J$3:$J410,"&gt;0",$K$3:$K410,"&gt;0"),"")</f>
        <v/>
      </c>
      <c r="V410" s="0" t="str">
        <f aca="false">IF(AND(N($J410)&gt;0,N($K410)=0),COUNTIFS($J$3:$J410,"&gt;0",$K$3:$K410,"&lt;=0"),"")</f>
        <v/>
      </c>
      <c r="W410" s="0" t="str">
        <f aca="false">IF($C410="","",IF(COUNTIF($C$3:$C410,$C410)&gt;1,"",MAX($W$2:W409)+1))</f>
        <v/>
      </c>
      <c r="X410" s="0" t="str">
        <f aca="false">IF($H410="","",IF(COUNTIF($H$3:$H410,$H410)&gt;1,"",MAX($X$2:X409)+1))</f>
        <v/>
      </c>
      <c r="Y410" s="0" t="str">
        <f aca="false">IF(AND(N($M410)&gt;0,N($O410)&lt;=0),COUNTIFS($M$3:$M410,"&gt;0",$O$3:$O410,"&lt;=0"),"")</f>
        <v/>
      </c>
      <c r="Z410" s="30" t="n">
        <f aca="false">IF(OR('THÁNG 8'!$C117="",'THÁNG 8'!$B117=""),0,'THÁNG 8'!$B117)</f>
        <v>0</v>
      </c>
    </row>
    <row r="411" customFormat="false" ht="15" hidden="false" customHeight="false" outlineLevel="0" collapsed="false">
      <c r="A411" s="0" t="n">
        <v>8</v>
      </c>
      <c r="B411" s="29" t="str">
        <f aca="false">IF(OR('THÁNG 8'!$C118="",'THÁNG 8'!$B118=""),"",'THÁNG 8'!$B118)</f>
        <v/>
      </c>
      <c r="C411" s="0" t="str">
        <f aca="false">IF('THÁNG 8'!$C118="","",'THÁNG 8'!$C118)</f>
        <v/>
      </c>
      <c r="D411" s="0" t="str">
        <f aca="false">IF('THÁNG 8'!$C118="","",'THÁNG 8'!$D118&amp;"")</f>
        <v/>
      </c>
      <c r="E411" s="0" t="str">
        <f aca="false">IF('THÁNG 8'!$C118="","",'THÁNG 8'!$E118&amp;"")</f>
        <v/>
      </c>
      <c r="F411" s="0" t="str">
        <f aca="false">IF('THÁNG 8'!$C118="","",'THÁNG 8'!$F118&amp;"")</f>
        <v/>
      </c>
      <c r="G411" s="0" t="str">
        <f aca="false">IF('THÁNG 8'!$C118="","",'THÁNG 8'!$G118&amp;"")</f>
        <v/>
      </c>
      <c r="H411" s="0" t="str">
        <f aca="false">IF('THÁNG 8'!$C118="","",'THÁNG 8'!$H118&amp;"")</f>
        <v/>
      </c>
      <c r="I411" s="0" t="str">
        <f aca="false">IF('THÁNG 8'!$C118="","",N('THÁNG 8'!$I118))</f>
        <v/>
      </c>
      <c r="J411" s="0" t="str">
        <f aca="false">IF('THÁNG 8'!$C118="","",N('THÁNG 8'!$L118))</f>
        <v/>
      </c>
      <c r="K411" s="0" t="str">
        <f aca="false">IF('THÁNG 8'!$C118="","",N('THÁNG 8'!$N118))</f>
        <v/>
      </c>
      <c r="L411" s="0" t="str">
        <f aca="false">IF('THÁNG 8'!$C118="","",N('THÁNG 8'!$O118))</f>
        <v/>
      </c>
      <c r="M411" s="0" t="str">
        <f aca="false">IF('THÁNG 8'!$C118="","",N('THÁNG 8'!$P118))</f>
        <v/>
      </c>
      <c r="N411" s="0" t="str">
        <f aca="false">IF('THÁNG 8'!$C118="","",N('THÁNG 8'!$Q118))</f>
        <v/>
      </c>
      <c r="O411" s="0" t="str">
        <f aca="false">IF('THÁNG 8'!$C118="","",N('THÁNG 8'!$R118))</f>
        <v/>
      </c>
      <c r="P411" s="0" t="str">
        <f aca="false">IF(OR('THÁNG 8'!$C118="",'THÁNG 8'!$T118=""),"",'THÁNG 8'!$T118)</f>
        <v/>
      </c>
      <c r="Q411" s="0" t="str">
        <f aca="false">IF(OR('THÁNG 8'!$C118="",'THÁNG 8'!$U118=""),"",'THÁNG 8'!$U118)</f>
        <v/>
      </c>
      <c r="R411" s="0" t="str">
        <f aca="false">IF('THÁNG 8'!$C118="","",'THÁNG 8'!$W118&amp;"")</f>
        <v/>
      </c>
      <c r="S411" s="0" t="str">
        <f aca="false">IF('THÁNG 8'!$C118="","",'THÁNG 8'!$S118&amp;"")</f>
        <v/>
      </c>
      <c r="T411" s="0" t="str">
        <f aca="false">IF(N($O411)&gt;0,COUNTIF($O$3:$O411,"&gt;0"),"")</f>
        <v/>
      </c>
      <c r="U411" s="0" t="str">
        <f aca="false">IF(AND(N($J411)&gt;0,N($K411)&gt;0),COUNTIFS($J$3:$J411,"&gt;0",$K$3:$K411,"&gt;0"),"")</f>
        <v/>
      </c>
      <c r="V411" s="0" t="str">
        <f aca="false">IF(AND(N($J411)&gt;0,N($K411)=0),COUNTIFS($J$3:$J411,"&gt;0",$K$3:$K411,"&lt;=0"),"")</f>
        <v/>
      </c>
      <c r="W411" s="0" t="str">
        <f aca="false">IF($C411="","",IF(COUNTIF($C$3:$C411,$C411)&gt;1,"",MAX($W$2:W410)+1))</f>
        <v/>
      </c>
      <c r="X411" s="0" t="str">
        <f aca="false">IF($H411="","",IF(COUNTIF($H$3:$H411,$H411)&gt;1,"",MAX($X$2:X410)+1))</f>
        <v/>
      </c>
      <c r="Y411" s="0" t="str">
        <f aca="false">IF(AND(N($M411)&gt;0,N($O411)&lt;=0),COUNTIFS($M$3:$M411,"&gt;0",$O$3:$O411,"&lt;=0"),"")</f>
        <v/>
      </c>
      <c r="Z411" s="30" t="n">
        <f aca="false">IF(OR('THÁNG 8'!$C118="",'THÁNG 8'!$B118=""),0,'THÁNG 8'!$B118)</f>
        <v>0</v>
      </c>
    </row>
    <row r="412" customFormat="false" ht="15" hidden="false" customHeight="false" outlineLevel="0" collapsed="false">
      <c r="A412" s="0" t="n">
        <v>8</v>
      </c>
      <c r="B412" s="29" t="str">
        <f aca="false">IF(OR('THÁNG 8'!$C119="",'THÁNG 8'!$B119=""),"",'THÁNG 8'!$B119)</f>
        <v/>
      </c>
      <c r="C412" s="0" t="str">
        <f aca="false">IF('THÁNG 8'!$C119="","",'THÁNG 8'!$C119)</f>
        <v/>
      </c>
      <c r="D412" s="0" t="str">
        <f aca="false">IF('THÁNG 8'!$C119="","",'THÁNG 8'!$D119&amp;"")</f>
        <v/>
      </c>
      <c r="E412" s="0" t="str">
        <f aca="false">IF('THÁNG 8'!$C119="","",'THÁNG 8'!$E119&amp;"")</f>
        <v/>
      </c>
      <c r="F412" s="0" t="str">
        <f aca="false">IF('THÁNG 8'!$C119="","",'THÁNG 8'!$F119&amp;"")</f>
        <v/>
      </c>
      <c r="G412" s="0" t="str">
        <f aca="false">IF('THÁNG 8'!$C119="","",'THÁNG 8'!$G119&amp;"")</f>
        <v/>
      </c>
      <c r="H412" s="0" t="str">
        <f aca="false">IF('THÁNG 8'!$C119="","",'THÁNG 8'!$H119&amp;"")</f>
        <v/>
      </c>
      <c r="I412" s="0" t="str">
        <f aca="false">IF('THÁNG 8'!$C119="","",N('THÁNG 8'!$I119))</f>
        <v/>
      </c>
      <c r="J412" s="0" t="str">
        <f aca="false">IF('THÁNG 8'!$C119="","",N('THÁNG 8'!$L119))</f>
        <v/>
      </c>
      <c r="K412" s="0" t="str">
        <f aca="false">IF('THÁNG 8'!$C119="","",N('THÁNG 8'!$N119))</f>
        <v/>
      </c>
      <c r="L412" s="0" t="str">
        <f aca="false">IF('THÁNG 8'!$C119="","",N('THÁNG 8'!$O119))</f>
        <v/>
      </c>
      <c r="M412" s="0" t="str">
        <f aca="false">IF('THÁNG 8'!$C119="","",N('THÁNG 8'!$P119))</f>
        <v/>
      </c>
      <c r="N412" s="0" t="str">
        <f aca="false">IF('THÁNG 8'!$C119="","",N('THÁNG 8'!$Q119))</f>
        <v/>
      </c>
      <c r="O412" s="0" t="str">
        <f aca="false">IF('THÁNG 8'!$C119="","",N('THÁNG 8'!$R119))</f>
        <v/>
      </c>
      <c r="P412" s="0" t="str">
        <f aca="false">IF(OR('THÁNG 8'!$C119="",'THÁNG 8'!$T119=""),"",'THÁNG 8'!$T119)</f>
        <v/>
      </c>
      <c r="Q412" s="0" t="str">
        <f aca="false">IF(OR('THÁNG 8'!$C119="",'THÁNG 8'!$U119=""),"",'THÁNG 8'!$U119)</f>
        <v/>
      </c>
      <c r="R412" s="0" t="str">
        <f aca="false">IF('THÁNG 8'!$C119="","",'THÁNG 8'!$W119&amp;"")</f>
        <v/>
      </c>
      <c r="S412" s="0" t="str">
        <f aca="false">IF('THÁNG 8'!$C119="","",'THÁNG 8'!$S119&amp;"")</f>
        <v/>
      </c>
      <c r="T412" s="0" t="str">
        <f aca="false">IF(N($O412)&gt;0,COUNTIF($O$3:$O412,"&gt;0"),"")</f>
        <v/>
      </c>
      <c r="U412" s="0" t="str">
        <f aca="false">IF(AND(N($J412)&gt;0,N($K412)&gt;0),COUNTIFS($J$3:$J412,"&gt;0",$K$3:$K412,"&gt;0"),"")</f>
        <v/>
      </c>
      <c r="V412" s="0" t="str">
        <f aca="false">IF(AND(N($J412)&gt;0,N($K412)=0),COUNTIFS($J$3:$J412,"&gt;0",$K$3:$K412,"&lt;=0"),"")</f>
        <v/>
      </c>
      <c r="W412" s="0" t="str">
        <f aca="false">IF($C412="","",IF(COUNTIF($C$3:$C412,$C412)&gt;1,"",MAX($W$2:W411)+1))</f>
        <v/>
      </c>
      <c r="X412" s="0" t="str">
        <f aca="false">IF($H412="","",IF(COUNTIF($H$3:$H412,$H412)&gt;1,"",MAX($X$2:X411)+1))</f>
        <v/>
      </c>
      <c r="Y412" s="0" t="str">
        <f aca="false">IF(AND(N($M412)&gt;0,N($O412)&lt;=0),COUNTIFS($M$3:$M412,"&gt;0",$O$3:$O412,"&lt;=0"),"")</f>
        <v/>
      </c>
      <c r="Z412" s="30" t="n">
        <f aca="false">IF(OR('THÁNG 8'!$C119="",'THÁNG 8'!$B119=""),0,'THÁNG 8'!$B119)</f>
        <v>0</v>
      </c>
    </row>
    <row r="413" customFormat="false" ht="15" hidden="false" customHeight="false" outlineLevel="0" collapsed="false">
      <c r="A413" s="0" t="n">
        <v>8</v>
      </c>
      <c r="B413" s="29" t="str">
        <f aca="false">IF(OR('THÁNG 8'!$C120="",'THÁNG 8'!$B120=""),"",'THÁNG 8'!$B120)</f>
        <v/>
      </c>
      <c r="C413" s="0" t="str">
        <f aca="false">IF('THÁNG 8'!$C120="","",'THÁNG 8'!$C120)</f>
        <v/>
      </c>
      <c r="D413" s="0" t="str">
        <f aca="false">IF('THÁNG 8'!$C120="","",'THÁNG 8'!$D120&amp;"")</f>
        <v/>
      </c>
      <c r="E413" s="0" t="str">
        <f aca="false">IF('THÁNG 8'!$C120="","",'THÁNG 8'!$E120&amp;"")</f>
        <v/>
      </c>
      <c r="F413" s="0" t="str">
        <f aca="false">IF('THÁNG 8'!$C120="","",'THÁNG 8'!$F120&amp;"")</f>
        <v/>
      </c>
      <c r="G413" s="0" t="str">
        <f aca="false">IF('THÁNG 8'!$C120="","",'THÁNG 8'!$G120&amp;"")</f>
        <v/>
      </c>
      <c r="H413" s="0" t="str">
        <f aca="false">IF('THÁNG 8'!$C120="","",'THÁNG 8'!$H120&amp;"")</f>
        <v/>
      </c>
      <c r="I413" s="0" t="str">
        <f aca="false">IF('THÁNG 8'!$C120="","",N('THÁNG 8'!$I120))</f>
        <v/>
      </c>
      <c r="J413" s="0" t="str">
        <f aca="false">IF('THÁNG 8'!$C120="","",N('THÁNG 8'!$L120))</f>
        <v/>
      </c>
      <c r="K413" s="0" t="str">
        <f aca="false">IF('THÁNG 8'!$C120="","",N('THÁNG 8'!$N120))</f>
        <v/>
      </c>
      <c r="L413" s="0" t="str">
        <f aca="false">IF('THÁNG 8'!$C120="","",N('THÁNG 8'!$O120))</f>
        <v/>
      </c>
      <c r="M413" s="0" t="str">
        <f aca="false">IF('THÁNG 8'!$C120="","",N('THÁNG 8'!$P120))</f>
        <v/>
      </c>
      <c r="N413" s="0" t="str">
        <f aca="false">IF('THÁNG 8'!$C120="","",N('THÁNG 8'!$Q120))</f>
        <v/>
      </c>
      <c r="O413" s="0" t="str">
        <f aca="false">IF('THÁNG 8'!$C120="","",N('THÁNG 8'!$R120))</f>
        <v/>
      </c>
      <c r="P413" s="0" t="str">
        <f aca="false">IF(OR('THÁNG 8'!$C120="",'THÁNG 8'!$T120=""),"",'THÁNG 8'!$T120)</f>
        <v/>
      </c>
      <c r="Q413" s="0" t="str">
        <f aca="false">IF(OR('THÁNG 8'!$C120="",'THÁNG 8'!$U120=""),"",'THÁNG 8'!$U120)</f>
        <v/>
      </c>
      <c r="R413" s="0" t="str">
        <f aca="false">IF('THÁNG 8'!$C120="","",'THÁNG 8'!$W120&amp;"")</f>
        <v/>
      </c>
      <c r="S413" s="0" t="str">
        <f aca="false">IF('THÁNG 8'!$C120="","",'THÁNG 8'!$S120&amp;"")</f>
        <v/>
      </c>
      <c r="T413" s="0" t="str">
        <f aca="false">IF(N($O413)&gt;0,COUNTIF($O$3:$O413,"&gt;0"),"")</f>
        <v/>
      </c>
      <c r="U413" s="0" t="str">
        <f aca="false">IF(AND(N($J413)&gt;0,N($K413)&gt;0),COUNTIFS($J$3:$J413,"&gt;0",$K$3:$K413,"&gt;0"),"")</f>
        <v/>
      </c>
      <c r="V413" s="0" t="str">
        <f aca="false">IF(AND(N($J413)&gt;0,N($K413)=0),COUNTIFS($J$3:$J413,"&gt;0",$K$3:$K413,"&lt;=0"),"")</f>
        <v/>
      </c>
      <c r="W413" s="0" t="str">
        <f aca="false">IF($C413="","",IF(COUNTIF($C$3:$C413,$C413)&gt;1,"",MAX($W$2:W412)+1))</f>
        <v/>
      </c>
      <c r="X413" s="0" t="str">
        <f aca="false">IF($H413="","",IF(COUNTIF($H$3:$H413,$H413)&gt;1,"",MAX($X$2:X412)+1))</f>
        <v/>
      </c>
      <c r="Y413" s="0" t="str">
        <f aca="false">IF(AND(N($M413)&gt;0,N($O413)&lt;=0),COUNTIFS($M$3:$M413,"&gt;0",$O$3:$O413,"&lt;=0"),"")</f>
        <v/>
      </c>
      <c r="Z413" s="30" t="n">
        <f aca="false">IF(OR('THÁNG 8'!$C120="",'THÁNG 8'!$B120=""),0,'THÁNG 8'!$B120)</f>
        <v>0</v>
      </c>
    </row>
    <row r="414" customFormat="false" ht="15" hidden="false" customHeight="false" outlineLevel="0" collapsed="false">
      <c r="A414" s="0" t="n">
        <v>8</v>
      </c>
      <c r="B414" s="29" t="str">
        <f aca="false">IF(OR('THÁNG 8'!$C121="",'THÁNG 8'!$B121=""),"",'THÁNG 8'!$B121)</f>
        <v/>
      </c>
      <c r="C414" s="0" t="str">
        <f aca="false">IF('THÁNG 8'!$C121="","",'THÁNG 8'!$C121)</f>
        <v/>
      </c>
      <c r="D414" s="0" t="str">
        <f aca="false">IF('THÁNG 8'!$C121="","",'THÁNG 8'!$D121&amp;"")</f>
        <v/>
      </c>
      <c r="E414" s="0" t="str">
        <f aca="false">IF('THÁNG 8'!$C121="","",'THÁNG 8'!$E121&amp;"")</f>
        <v/>
      </c>
      <c r="F414" s="0" t="str">
        <f aca="false">IF('THÁNG 8'!$C121="","",'THÁNG 8'!$F121&amp;"")</f>
        <v/>
      </c>
      <c r="G414" s="0" t="str">
        <f aca="false">IF('THÁNG 8'!$C121="","",'THÁNG 8'!$G121&amp;"")</f>
        <v/>
      </c>
      <c r="H414" s="0" t="str">
        <f aca="false">IF('THÁNG 8'!$C121="","",'THÁNG 8'!$H121&amp;"")</f>
        <v/>
      </c>
      <c r="I414" s="0" t="str">
        <f aca="false">IF('THÁNG 8'!$C121="","",N('THÁNG 8'!$I121))</f>
        <v/>
      </c>
      <c r="J414" s="0" t="str">
        <f aca="false">IF('THÁNG 8'!$C121="","",N('THÁNG 8'!$L121))</f>
        <v/>
      </c>
      <c r="K414" s="0" t="str">
        <f aca="false">IF('THÁNG 8'!$C121="","",N('THÁNG 8'!$N121))</f>
        <v/>
      </c>
      <c r="L414" s="0" t="str">
        <f aca="false">IF('THÁNG 8'!$C121="","",N('THÁNG 8'!$O121))</f>
        <v/>
      </c>
      <c r="M414" s="0" t="str">
        <f aca="false">IF('THÁNG 8'!$C121="","",N('THÁNG 8'!$P121))</f>
        <v/>
      </c>
      <c r="N414" s="0" t="str">
        <f aca="false">IF('THÁNG 8'!$C121="","",N('THÁNG 8'!$Q121))</f>
        <v/>
      </c>
      <c r="O414" s="0" t="str">
        <f aca="false">IF('THÁNG 8'!$C121="","",N('THÁNG 8'!$R121))</f>
        <v/>
      </c>
      <c r="P414" s="0" t="str">
        <f aca="false">IF(OR('THÁNG 8'!$C121="",'THÁNG 8'!$T121=""),"",'THÁNG 8'!$T121)</f>
        <v/>
      </c>
      <c r="Q414" s="0" t="str">
        <f aca="false">IF(OR('THÁNG 8'!$C121="",'THÁNG 8'!$U121=""),"",'THÁNG 8'!$U121)</f>
        <v/>
      </c>
      <c r="R414" s="0" t="str">
        <f aca="false">IF('THÁNG 8'!$C121="","",'THÁNG 8'!$W121&amp;"")</f>
        <v/>
      </c>
      <c r="S414" s="0" t="str">
        <f aca="false">IF('THÁNG 8'!$C121="","",'THÁNG 8'!$S121&amp;"")</f>
        <v/>
      </c>
      <c r="T414" s="0" t="str">
        <f aca="false">IF(N($O414)&gt;0,COUNTIF($O$3:$O414,"&gt;0"),"")</f>
        <v/>
      </c>
      <c r="U414" s="0" t="str">
        <f aca="false">IF(AND(N($J414)&gt;0,N($K414)&gt;0),COUNTIFS($J$3:$J414,"&gt;0",$K$3:$K414,"&gt;0"),"")</f>
        <v/>
      </c>
      <c r="V414" s="0" t="str">
        <f aca="false">IF(AND(N($J414)&gt;0,N($K414)=0),COUNTIFS($J$3:$J414,"&gt;0",$K$3:$K414,"&lt;=0"),"")</f>
        <v/>
      </c>
      <c r="W414" s="0" t="str">
        <f aca="false">IF($C414="","",IF(COUNTIF($C$3:$C414,$C414)&gt;1,"",MAX($W$2:W413)+1))</f>
        <v/>
      </c>
      <c r="X414" s="0" t="str">
        <f aca="false">IF($H414="","",IF(COUNTIF($H$3:$H414,$H414)&gt;1,"",MAX($X$2:X413)+1))</f>
        <v/>
      </c>
      <c r="Y414" s="0" t="str">
        <f aca="false">IF(AND(N($M414)&gt;0,N($O414)&lt;=0),COUNTIFS($M$3:$M414,"&gt;0",$O$3:$O414,"&lt;=0"),"")</f>
        <v/>
      </c>
      <c r="Z414" s="30" t="n">
        <f aca="false">IF(OR('THÁNG 8'!$C121="",'THÁNG 8'!$B121=""),0,'THÁNG 8'!$B121)</f>
        <v>0</v>
      </c>
    </row>
    <row r="415" customFormat="false" ht="15" hidden="false" customHeight="false" outlineLevel="0" collapsed="false">
      <c r="A415" s="0" t="n">
        <v>8</v>
      </c>
      <c r="B415" s="29" t="str">
        <f aca="false">IF(OR('THÁNG 8'!$C122="",'THÁNG 8'!$B122=""),"",'THÁNG 8'!$B122)</f>
        <v/>
      </c>
      <c r="C415" s="0" t="str">
        <f aca="false">IF('THÁNG 8'!$C122="","",'THÁNG 8'!$C122)</f>
        <v/>
      </c>
      <c r="D415" s="0" t="str">
        <f aca="false">IF('THÁNG 8'!$C122="","",'THÁNG 8'!$D122&amp;"")</f>
        <v/>
      </c>
      <c r="E415" s="0" t="str">
        <f aca="false">IF('THÁNG 8'!$C122="","",'THÁNG 8'!$E122&amp;"")</f>
        <v/>
      </c>
      <c r="F415" s="0" t="str">
        <f aca="false">IF('THÁNG 8'!$C122="","",'THÁNG 8'!$F122&amp;"")</f>
        <v/>
      </c>
      <c r="G415" s="0" t="str">
        <f aca="false">IF('THÁNG 8'!$C122="","",'THÁNG 8'!$G122&amp;"")</f>
        <v/>
      </c>
      <c r="H415" s="0" t="str">
        <f aca="false">IF('THÁNG 8'!$C122="","",'THÁNG 8'!$H122&amp;"")</f>
        <v/>
      </c>
      <c r="I415" s="0" t="str">
        <f aca="false">IF('THÁNG 8'!$C122="","",N('THÁNG 8'!$I122))</f>
        <v/>
      </c>
      <c r="J415" s="0" t="str">
        <f aca="false">IF('THÁNG 8'!$C122="","",N('THÁNG 8'!$L122))</f>
        <v/>
      </c>
      <c r="K415" s="0" t="str">
        <f aca="false">IF('THÁNG 8'!$C122="","",N('THÁNG 8'!$N122))</f>
        <v/>
      </c>
      <c r="L415" s="0" t="str">
        <f aca="false">IF('THÁNG 8'!$C122="","",N('THÁNG 8'!$O122))</f>
        <v/>
      </c>
      <c r="M415" s="0" t="str">
        <f aca="false">IF('THÁNG 8'!$C122="","",N('THÁNG 8'!$P122))</f>
        <v/>
      </c>
      <c r="N415" s="0" t="str">
        <f aca="false">IF('THÁNG 8'!$C122="","",N('THÁNG 8'!$Q122))</f>
        <v/>
      </c>
      <c r="O415" s="0" t="str">
        <f aca="false">IF('THÁNG 8'!$C122="","",N('THÁNG 8'!$R122))</f>
        <v/>
      </c>
      <c r="P415" s="0" t="str">
        <f aca="false">IF(OR('THÁNG 8'!$C122="",'THÁNG 8'!$T122=""),"",'THÁNG 8'!$T122)</f>
        <v/>
      </c>
      <c r="Q415" s="0" t="str">
        <f aca="false">IF(OR('THÁNG 8'!$C122="",'THÁNG 8'!$U122=""),"",'THÁNG 8'!$U122)</f>
        <v/>
      </c>
      <c r="R415" s="0" t="str">
        <f aca="false">IF('THÁNG 8'!$C122="","",'THÁNG 8'!$W122&amp;"")</f>
        <v/>
      </c>
      <c r="S415" s="0" t="str">
        <f aca="false">IF('THÁNG 8'!$C122="","",'THÁNG 8'!$S122&amp;"")</f>
        <v/>
      </c>
      <c r="T415" s="0" t="str">
        <f aca="false">IF(N($O415)&gt;0,COUNTIF($O$3:$O415,"&gt;0"),"")</f>
        <v/>
      </c>
      <c r="U415" s="0" t="str">
        <f aca="false">IF(AND(N($J415)&gt;0,N($K415)&gt;0),COUNTIFS($J$3:$J415,"&gt;0",$K$3:$K415,"&gt;0"),"")</f>
        <v/>
      </c>
      <c r="V415" s="0" t="str">
        <f aca="false">IF(AND(N($J415)&gt;0,N($K415)=0),COUNTIFS($J$3:$J415,"&gt;0",$K$3:$K415,"&lt;=0"),"")</f>
        <v/>
      </c>
      <c r="W415" s="0" t="str">
        <f aca="false">IF($C415="","",IF(COUNTIF($C$3:$C415,$C415)&gt;1,"",MAX($W$2:W414)+1))</f>
        <v/>
      </c>
      <c r="X415" s="0" t="str">
        <f aca="false">IF($H415="","",IF(COUNTIF($H$3:$H415,$H415)&gt;1,"",MAX($X$2:X414)+1))</f>
        <v/>
      </c>
      <c r="Y415" s="0" t="str">
        <f aca="false">IF(AND(N($M415)&gt;0,N($O415)&lt;=0),COUNTIFS($M$3:$M415,"&gt;0",$O$3:$O415,"&lt;=0"),"")</f>
        <v/>
      </c>
      <c r="Z415" s="30" t="n">
        <f aca="false">IF(OR('THÁNG 8'!$C122="",'THÁNG 8'!$B122=""),0,'THÁNG 8'!$B122)</f>
        <v>0</v>
      </c>
    </row>
    <row r="416" customFormat="false" ht="15" hidden="false" customHeight="false" outlineLevel="0" collapsed="false">
      <c r="A416" s="0" t="n">
        <v>8</v>
      </c>
      <c r="B416" s="29" t="str">
        <f aca="false">IF(OR('THÁNG 8'!$C123="",'THÁNG 8'!$B123=""),"",'THÁNG 8'!$B123)</f>
        <v/>
      </c>
      <c r="C416" s="0" t="str">
        <f aca="false">IF('THÁNG 8'!$C123="","",'THÁNG 8'!$C123)</f>
        <v/>
      </c>
      <c r="D416" s="0" t="str">
        <f aca="false">IF('THÁNG 8'!$C123="","",'THÁNG 8'!$D123&amp;"")</f>
        <v/>
      </c>
      <c r="E416" s="0" t="str">
        <f aca="false">IF('THÁNG 8'!$C123="","",'THÁNG 8'!$E123&amp;"")</f>
        <v/>
      </c>
      <c r="F416" s="0" t="str">
        <f aca="false">IF('THÁNG 8'!$C123="","",'THÁNG 8'!$F123&amp;"")</f>
        <v/>
      </c>
      <c r="G416" s="0" t="str">
        <f aca="false">IF('THÁNG 8'!$C123="","",'THÁNG 8'!$G123&amp;"")</f>
        <v/>
      </c>
      <c r="H416" s="0" t="str">
        <f aca="false">IF('THÁNG 8'!$C123="","",'THÁNG 8'!$H123&amp;"")</f>
        <v/>
      </c>
      <c r="I416" s="0" t="str">
        <f aca="false">IF('THÁNG 8'!$C123="","",N('THÁNG 8'!$I123))</f>
        <v/>
      </c>
      <c r="J416" s="0" t="str">
        <f aca="false">IF('THÁNG 8'!$C123="","",N('THÁNG 8'!$L123))</f>
        <v/>
      </c>
      <c r="K416" s="0" t="str">
        <f aca="false">IF('THÁNG 8'!$C123="","",N('THÁNG 8'!$N123))</f>
        <v/>
      </c>
      <c r="L416" s="0" t="str">
        <f aca="false">IF('THÁNG 8'!$C123="","",N('THÁNG 8'!$O123))</f>
        <v/>
      </c>
      <c r="M416" s="0" t="str">
        <f aca="false">IF('THÁNG 8'!$C123="","",N('THÁNG 8'!$P123))</f>
        <v/>
      </c>
      <c r="N416" s="0" t="str">
        <f aca="false">IF('THÁNG 8'!$C123="","",N('THÁNG 8'!$Q123))</f>
        <v/>
      </c>
      <c r="O416" s="0" t="str">
        <f aca="false">IF('THÁNG 8'!$C123="","",N('THÁNG 8'!$R123))</f>
        <v/>
      </c>
      <c r="P416" s="0" t="str">
        <f aca="false">IF(OR('THÁNG 8'!$C123="",'THÁNG 8'!$T123=""),"",'THÁNG 8'!$T123)</f>
        <v/>
      </c>
      <c r="Q416" s="0" t="str">
        <f aca="false">IF(OR('THÁNG 8'!$C123="",'THÁNG 8'!$U123=""),"",'THÁNG 8'!$U123)</f>
        <v/>
      </c>
      <c r="R416" s="0" t="str">
        <f aca="false">IF('THÁNG 8'!$C123="","",'THÁNG 8'!$W123&amp;"")</f>
        <v/>
      </c>
      <c r="S416" s="0" t="str">
        <f aca="false">IF('THÁNG 8'!$C123="","",'THÁNG 8'!$S123&amp;"")</f>
        <v/>
      </c>
      <c r="T416" s="0" t="str">
        <f aca="false">IF(N($O416)&gt;0,COUNTIF($O$3:$O416,"&gt;0"),"")</f>
        <v/>
      </c>
      <c r="U416" s="0" t="str">
        <f aca="false">IF(AND(N($J416)&gt;0,N($K416)&gt;0),COUNTIFS($J$3:$J416,"&gt;0",$K$3:$K416,"&gt;0"),"")</f>
        <v/>
      </c>
      <c r="V416" s="0" t="str">
        <f aca="false">IF(AND(N($J416)&gt;0,N($K416)=0),COUNTIFS($J$3:$J416,"&gt;0",$K$3:$K416,"&lt;=0"),"")</f>
        <v/>
      </c>
      <c r="W416" s="0" t="str">
        <f aca="false">IF($C416="","",IF(COUNTIF($C$3:$C416,$C416)&gt;1,"",MAX($W$2:W415)+1))</f>
        <v/>
      </c>
      <c r="X416" s="0" t="str">
        <f aca="false">IF($H416="","",IF(COUNTIF($H$3:$H416,$H416)&gt;1,"",MAX($X$2:X415)+1))</f>
        <v/>
      </c>
      <c r="Y416" s="0" t="str">
        <f aca="false">IF(AND(N($M416)&gt;0,N($O416)&lt;=0),COUNTIFS($M$3:$M416,"&gt;0",$O$3:$O416,"&lt;=0"),"")</f>
        <v/>
      </c>
      <c r="Z416" s="30" t="n">
        <f aca="false">IF(OR('THÁNG 8'!$C123="",'THÁNG 8'!$B123=""),0,'THÁNG 8'!$B123)</f>
        <v>0</v>
      </c>
    </row>
    <row r="417" customFormat="false" ht="15" hidden="false" customHeight="false" outlineLevel="0" collapsed="false">
      <c r="A417" s="0" t="n">
        <v>8</v>
      </c>
      <c r="B417" s="29" t="str">
        <f aca="false">IF(OR('THÁNG 8'!$C124="",'THÁNG 8'!$B124=""),"",'THÁNG 8'!$B124)</f>
        <v/>
      </c>
      <c r="C417" s="0" t="str">
        <f aca="false">IF('THÁNG 8'!$C124="","",'THÁNG 8'!$C124)</f>
        <v/>
      </c>
      <c r="D417" s="0" t="str">
        <f aca="false">IF('THÁNG 8'!$C124="","",'THÁNG 8'!$D124&amp;"")</f>
        <v/>
      </c>
      <c r="E417" s="0" t="str">
        <f aca="false">IF('THÁNG 8'!$C124="","",'THÁNG 8'!$E124&amp;"")</f>
        <v/>
      </c>
      <c r="F417" s="0" t="str">
        <f aca="false">IF('THÁNG 8'!$C124="","",'THÁNG 8'!$F124&amp;"")</f>
        <v/>
      </c>
      <c r="G417" s="0" t="str">
        <f aca="false">IF('THÁNG 8'!$C124="","",'THÁNG 8'!$G124&amp;"")</f>
        <v/>
      </c>
      <c r="H417" s="0" t="str">
        <f aca="false">IF('THÁNG 8'!$C124="","",'THÁNG 8'!$H124&amp;"")</f>
        <v/>
      </c>
      <c r="I417" s="0" t="str">
        <f aca="false">IF('THÁNG 8'!$C124="","",N('THÁNG 8'!$I124))</f>
        <v/>
      </c>
      <c r="J417" s="0" t="str">
        <f aca="false">IF('THÁNG 8'!$C124="","",N('THÁNG 8'!$L124))</f>
        <v/>
      </c>
      <c r="K417" s="0" t="str">
        <f aca="false">IF('THÁNG 8'!$C124="","",N('THÁNG 8'!$N124))</f>
        <v/>
      </c>
      <c r="L417" s="0" t="str">
        <f aca="false">IF('THÁNG 8'!$C124="","",N('THÁNG 8'!$O124))</f>
        <v/>
      </c>
      <c r="M417" s="0" t="str">
        <f aca="false">IF('THÁNG 8'!$C124="","",N('THÁNG 8'!$P124))</f>
        <v/>
      </c>
      <c r="N417" s="0" t="str">
        <f aca="false">IF('THÁNG 8'!$C124="","",N('THÁNG 8'!$Q124))</f>
        <v/>
      </c>
      <c r="O417" s="0" t="str">
        <f aca="false">IF('THÁNG 8'!$C124="","",N('THÁNG 8'!$R124))</f>
        <v/>
      </c>
      <c r="P417" s="0" t="str">
        <f aca="false">IF(OR('THÁNG 8'!$C124="",'THÁNG 8'!$T124=""),"",'THÁNG 8'!$T124)</f>
        <v/>
      </c>
      <c r="Q417" s="0" t="str">
        <f aca="false">IF(OR('THÁNG 8'!$C124="",'THÁNG 8'!$U124=""),"",'THÁNG 8'!$U124)</f>
        <v/>
      </c>
      <c r="R417" s="0" t="str">
        <f aca="false">IF('THÁNG 8'!$C124="","",'THÁNG 8'!$W124&amp;"")</f>
        <v/>
      </c>
      <c r="S417" s="0" t="str">
        <f aca="false">IF('THÁNG 8'!$C124="","",'THÁNG 8'!$S124&amp;"")</f>
        <v/>
      </c>
      <c r="T417" s="0" t="str">
        <f aca="false">IF(N($O417)&gt;0,COUNTIF($O$3:$O417,"&gt;0"),"")</f>
        <v/>
      </c>
      <c r="U417" s="0" t="str">
        <f aca="false">IF(AND(N($J417)&gt;0,N($K417)&gt;0),COUNTIFS($J$3:$J417,"&gt;0",$K$3:$K417,"&gt;0"),"")</f>
        <v/>
      </c>
      <c r="V417" s="0" t="str">
        <f aca="false">IF(AND(N($J417)&gt;0,N($K417)=0),COUNTIFS($J$3:$J417,"&gt;0",$K$3:$K417,"&lt;=0"),"")</f>
        <v/>
      </c>
      <c r="W417" s="0" t="str">
        <f aca="false">IF($C417="","",IF(COUNTIF($C$3:$C417,$C417)&gt;1,"",MAX($W$2:W416)+1))</f>
        <v/>
      </c>
      <c r="X417" s="0" t="str">
        <f aca="false">IF($H417="","",IF(COUNTIF($H$3:$H417,$H417)&gt;1,"",MAX($X$2:X416)+1))</f>
        <v/>
      </c>
      <c r="Y417" s="0" t="str">
        <f aca="false">IF(AND(N($M417)&gt;0,N($O417)&lt;=0),COUNTIFS($M$3:$M417,"&gt;0",$O$3:$O417,"&lt;=0"),"")</f>
        <v/>
      </c>
      <c r="Z417" s="30" t="n">
        <f aca="false">IF(OR('THÁNG 8'!$C124="",'THÁNG 8'!$B124=""),0,'THÁNG 8'!$B124)</f>
        <v>0</v>
      </c>
    </row>
    <row r="418" customFormat="false" ht="15" hidden="false" customHeight="false" outlineLevel="0" collapsed="false">
      <c r="A418" s="0" t="n">
        <v>8</v>
      </c>
      <c r="B418" s="29" t="str">
        <f aca="false">IF(OR('THÁNG 8'!$C125="",'THÁNG 8'!$B125=""),"",'THÁNG 8'!$B125)</f>
        <v/>
      </c>
      <c r="C418" s="0" t="str">
        <f aca="false">IF('THÁNG 8'!$C125="","",'THÁNG 8'!$C125)</f>
        <v/>
      </c>
      <c r="D418" s="0" t="str">
        <f aca="false">IF('THÁNG 8'!$C125="","",'THÁNG 8'!$D125&amp;"")</f>
        <v/>
      </c>
      <c r="E418" s="0" t="str">
        <f aca="false">IF('THÁNG 8'!$C125="","",'THÁNG 8'!$E125&amp;"")</f>
        <v/>
      </c>
      <c r="F418" s="0" t="str">
        <f aca="false">IF('THÁNG 8'!$C125="","",'THÁNG 8'!$F125&amp;"")</f>
        <v/>
      </c>
      <c r="G418" s="0" t="str">
        <f aca="false">IF('THÁNG 8'!$C125="","",'THÁNG 8'!$G125&amp;"")</f>
        <v/>
      </c>
      <c r="H418" s="0" t="str">
        <f aca="false">IF('THÁNG 8'!$C125="","",'THÁNG 8'!$H125&amp;"")</f>
        <v/>
      </c>
      <c r="I418" s="0" t="str">
        <f aca="false">IF('THÁNG 8'!$C125="","",N('THÁNG 8'!$I125))</f>
        <v/>
      </c>
      <c r="J418" s="0" t="str">
        <f aca="false">IF('THÁNG 8'!$C125="","",N('THÁNG 8'!$L125))</f>
        <v/>
      </c>
      <c r="K418" s="0" t="str">
        <f aca="false">IF('THÁNG 8'!$C125="","",N('THÁNG 8'!$N125))</f>
        <v/>
      </c>
      <c r="L418" s="0" t="str">
        <f aca="false">IF('THÁNG 8'!$C125="","",N('THÁNG 8'!$O125))</f>
        <v/>
      </c>
      <c r="M418" s="0" t="str">
        <f aca="false">IF('THÁNG 8'!$C125="","",N('THÁNG 8'!$P125))</f>
        <v/>
      </c>
      <c r="N418" s="0" t="str">
        <f aca="false">IF('THÁNG 8'!$C125="","",N('THÁNG 8'!$Q125))</f>
        <v/>
      </c>
      <c r="O418" s="0" t="str">
        <f aca="false">IF('THÁNG 8'!$C125="","",N('THÁNG 8'!$R125))</f>
        <v/>
      </c>
      <c r="P418" s="0" t="str">
        <f aca="false">IF(OR('THÁNG 8'!$C125="",'THÁNG 8'!$T125=""),"",'THÁNG 8'!$T125)</f>
        <v/>
      </c>
      <c r="Q418" s="0" t="str">
        <f aca="false">IF(OR('THÁNG 8'!$C125="",'THÁNG 8'!$U125=""),"",'THÁNG 8'!$U125)</f>
        <v/>
      </c>
      <c r="R418" s="0" t="str">
        <f aca="false">IF('THÁNG 8'!$C125="","",'THÁNG 8'!$W125&amp;"")</f>
        <v/>
      </c>
      <c r="S418" s="0" t="str">
        <f aca="false">IF('THÁNG 8'!$C125="","",'THÁNG 8'!$S125&amp;"")</f>
        <v/>
      </c>
      <c r="T418" s="0" t="str">
        <f aca="false">IF(N($O418)&gt;0,COUNTIF($O$3:$O418,"&gt;0"),"")</f>
        <v/>
      </c>
      <c r="U418" s="0" t="str">
        <f aca="false">IF(AND(N($J418)&gt;0,N($K418)&gt;0),COUNTIFS($J$3:$J418,"&gt;0",$K$3:$K418,"&gt;0"),"")</f>
        <v/>
      </c>
      <c r="V418" s="0" t="str">
        <f aca="false">IF(AND(N($J418)&gt;0,N($K418)=0),COUNTIFS($J$3:$J418,"&gt;0",$K$3:$K418,"&lt;=0"),"")</f>
        <v/>
      </c>
      <c r="W418" s="0" t="str">
        <f aca="false">IF($C418="","",IF(COUNTIF($C$3:$C418,$C418)&gt;1,"",MAX($W$2:W417)+1))</f>
        <v/>
      </c>
      <c r="X418" s="0" t="str">
        <f aca="false">IF($H418="","",IF(COUNTIF($H$3:$H418,$H418)&gt;1,"",MAX($X$2:X417)+1))</f>
        <v/>
      </c>
      <c r="Y418" s="0" t="str">
        <f aca="false">IF(AND(N($M418)&gt;0,N($O418)&lt;=0),COUNTIFS($M$3:$M418,"&gt;0",$O$3:$O418,"&lt;=0"),"")</f>
        <v/>
      </c>
      <c r="Z418" s="30" t="n">
        <f aca="false">IF(OR('THÁNG 8'!$C125="",'THÁNG 8'!$B125=""),0,'THÁNG 8'!$B125)</f>
        <v>0</v>
      </c>
    </row>
    <row r="419" customFormat="false" ht="15" hidden="false" customHeight="false" outlineLevel="0" collapsed="false">
      <c r="A419" s="0" t="n">
        <v>8</v>
      </c>
      <c r="B419" s="29" t="str">
        <f aca="false">IF(OR('THÁNG 8'!$C126="",'THÁNG 8'!$B126=""),"",'THÁNG 8'!$B126)</f>
        <v/>
      </c>
      <c r="C419" s="0" t="str">
        <f aca="false">IF('THÁNG 8'!$C126="","",'THÁNG 8'!$C126)</f>
        <v/>
      </c>
      <c r="D419" s="0" t="str">
        <f aca="false">IF('THÁNG 8'!$C126="","",'THÁNG 8'!$D126&amp;"")</f>
        <v/>
      </c>
      <c r="E419" s="0" t="str">
        <f aca="false">IF('THÁNG 8'!$C126="","",'THÁNG 8'!$E126&amp;"")</f>
        <v/>
      </c>
      <c r="F419" s="0" t="str">
        <f aca="false">IF('THÁNG 8'!$C126="","",'THÁNG 8'!$F126&amp;"")</f>
        <v/>
      </c>
      <c r="G419" s="0" t="str">
        <f aca="false">IF('THÁNG 8'!$C126="","",'THÁNG 8'!$G126&amp;"")</f>
        <v/>
      </c>
      <c r="H419" s="0" t="str">
        <f aca="false">IF('THÁNG 8'!$C126="","",'THÁNG 8'!$H126&amp;"")</f>
        <v/>
      </c>
      <c r="I419" s="0" t="str">
        <f aca="false">IF('THÁNG 8'!$C126="","",N('THÁNG 8'!$I126))</f>
        <v/>
      </c>
      <c r="J419" s="0" t="str">
        <f aca="false">IF('THÁNG 8'!$C126="","",N('THÁNG 8'!$L126))</f>
        <v/>
      </c>
      <c r="K419" s="0" t="str">
        <f aca="false">IF('THÁNG 8'!$C126="","",N('THÁNG 8'!$N126))</f>
        <v/>
      </c>
      <c r="L419" s="0" t="str">
        <f aca="false">IF('THÁNG 8'!$C126="","",N('THÁNG 8'!$O126))</f>
        <v/>
      </c>
      <c r="M419" s="0" t="str">
        <f aca="false">IF('THÁNG 8'!$C126="","",N('THÁNG 8'!$P126))</f>
        <v/>
      </c>
      <c r="N419" s="0" t="str">
        <f aca="false">IF('THÁNG 8'!$C126="","",N('THÁNG 8'!$Q126))</f>
        <v/>
      </c>
      <c r="O419" s="0" t="str">
        <f aca="false">IF('THÁNG 8'!$C126="","",N('THÁNG 8'!$R126))</f>
        <v/>
      </c>
      <c r="P419" s="0" t="str">
        <f aca="false">IF(OR('THÁNG 8'!$C126="",'THÁNG 8'!$T126=""),"",'THÁNG 8'!$T126)</f>
        <v/>
      </c>
      <c r="Q419" s="0" t="str">
        <f aca="false">IF(OR('THÁNG 8'!$C126="",'THÁNG 8'!$U126=""),"",'THÁNG 8'!$U126)</f>
        <v/>
      </c>
      <c r="R419" s="0" t="str">
        <f aca="false">IF('THÁNG 8'!$C126="","",'THÁNG 8'!$W126&amp;"")</f>
        <v/>
      </c>
      <c r="S419" s="0" t="str">
        <f aca="false">IF('THÁNG 8'!$C126="","",'THÁNG 8'!$S126&amp;"")</f>
        <v/>
      </c>
      <c r="T419" s="0" t="str">
        <f aca="false">IF(N($O419)&gt;0,COUNTIF($O$3:$O419,"&gt;0"),"")</f>
        <v/>
      </c>
      <c r="U419" s="0" t="str">
        <f aca="false">IF(AND(N($J419)&gt;0,N($K419)&gt;0),COUNTIFS($J$3:$J419,"&gt;0",$K$3:$K419,"&gt;0"),"")</f>
        <v/>
      </c>
      <c r="V419" s="0" t="str">
        <f aca="false">IF(AND(N($J419)&gt;0,N($K419)=0),COUNTIFS($J$3:$J419,"&gt;0",$K$3:$K419,"&lt;=0"),"")</f>
        <v/>
      </c>
      <c r="W419" s="0" t="str">
        <f aca="false">IF($C419="","",IF(COUNTIF($C$3:$C419,$C419)&gt;1,"",MAX($W$2:W418)+1))</f>
        <v/>
      </c>
      <c r="X419" s="0" t="str">
        <f aca="false">IF($H419="","",IF(COUNTIF($H$3:$H419,$H419)&gt;1,"",MAX($X$2:X418)+1))</f>
        <v/>
      </c>
      <c r="Y419" s="0" t="str">
        <f aca="false">IF(AND(N($M419)&gt;0,N($O419)&lt;=0),COUNTIFS($M$3:$M419,"&gt;0",$O$3:$O419,"&lt;=0"),"")</f>
        <v/>
      </c>
      <c r="Z419" s="30" t="n">
        <f aca="false">IF(OR('THÁNG 8'!$C126="",'THÁNG 8'!$B126=""),0,'THÁNG 8'!$B126)</f>
        <v>0</v>
      </c>
    </row>
    <row r="420" customFormat="false" ht="15" hidden="false" customHeight="false" outlineLevel="0" collapsed="false">
      <c r="A420" s="0" t="n">
        <v>8</v>
      </c>
      <c r="B420" s="29" t="str">
        <f aca="false">IF(OR('THÁNG 8'!$C127="",'THÁNG 8'!$B127=""),"",'THÁNG 8'!$B127)</f>
        <v/>
      </c>
      <c r="C420" s="0" t="str">
        <f aca="false">IF('THÁNG 8'!$C127="","",'THÁNG 8'!$C127)</f>
        <v/>
      </c>
      <c r="D420" s="0" t="str">
        <f aca="false">IF('THÁNG 8'!$C127="","",'THÁNG 8'!$D127&amp;"")</f>
        <v/>
      </c>
      <c r="E420" s="0" t="str">
        <f aca="false">IF('THÁNG 8'!$C127="","",'THÁNG 8'!$E127&amp;"")</f>
        <v/>
      </c>
      <c r="F420" s="0" t="str">
        <f aca="false">IF('THÁNG 8'!$C127="","",'THÁNG 8'!$F127&amp;"")</f>
        <v/>
      </c>
      <c r="G420" s="0" t="str">
        <f aca="false">IF('THÁNG 8'!$C127="","",'THÁNG 8'!$G127&amp;"")</f>
        <v/>
      </c>
      <c r="H420" s="0" t="str">
        <f aca="false">IF('THÁNG 8'!$C127="","",'THÁNG 8'!$H127&amp;"")</f>
        <v/>
      </c>
      <c r="I420" s="0" t="str">
        <f aca="false">IF('THÁNG 8'!$C127="","",N('THÁNG 8'!$I127))</f>
        <v/>
      </c>
      <c r="J420" s="0" t="str">
        <f aca="false">IF('THÁNG 8'!$C127="","",N('THÁNG 8'!$L127))</f>
        <v/>
      </c>
      <c r="K420" s="0" t="str">
        <f aca="false">IF('THÁNG 8'!$C127="","",N('THÁNG 8'!$N127))</f>
        <v/>
      </c>
      <c r="L420" s="0" t="str">
        <f aca="false">IF('THÁNG 8'!$C127="","",N('THÁNG 8'!$O127))</f>
        <v/>
      </c>
      <c r="M420" s="0" t="str">
        <f aca="false">IF('THÁNG 8'!$C127="","",N('THÁNG 8'!$P127))</f>
        <v/>
      </c>
      <c r="N420" s="0" t="str">
        <f aca="false">IF('THÁNG 8'!$C127="","",N('THÁNG 8'!$Q127))</f>
        <v/>
      </c>
      <c r="O420" s="0" t="str">
        <f aca="false">IF('THÁNG 8'!$C127="","",N('THÁNG 8'!$R127))</f>
        <v/>
      </c>
      <c r="P420" s="0" t="str">
        <f aca="false">IF(OR('THÁNG 8'!$C127="",'THÁNG 8'!$T127=""),"",'THÁNG 8'!$T127)</f>
        <v/>
      </c>
      <c r="Q420" s="0" t="str">
        <f aca="false">IF(OR('THÁNG 8'!$C127="",'THÁNG 8'!$U127=""),"",'THÁNG 8'!$U127)</f>
        <v/>
      </c>
      <c r="R420" s="0" t="str">
        <f aca="false">IF('THÁNG 8'!$C127="","",'THÁNG 8'!$W127&amp;"")</f>
        <v/>
      </c>
      <c r="S420" s="0" t="str">
        <f aca="false">IF('THÁNG 8'!$C127="","",'THÁNG 8'!$S127&amp;"")</f>
        <v/>
      </c>
      <c r="T420" s="0" t="str">
        <f aca="false">IF(N($O420)&gt;0,COUNTIF($O$3:$O420,"&gt;0"),"")</f>
        <v/>
      </c>
      <c r="U420" s="0" t="str">
        <f aca="false">IF(AND(N($J420)&gt;0,N($K420)&gt;0),COUNTIFS($J$3:$J420,"&gt;0",$K$3:$K420,"&gt;0"),"")</f>
        <v/>
      </c>
      <c r="V420" s="0" t="str">
        <f aca="false">IF(AND(N($J420)&gt;0,N($K420)=0),COUNTIFS($J$3:$J420,"&gt;0",$K$3:$K420,"&lt;=0"),"")</f>
        <v/>
      </c>
      <c r="W420" s="0" t="str">
        <f aca="false">IF($C420="","",IF(COUNTIF($C$3:$C420,$C420)&gt;1,"",MAX($W$2:W419)+1))</f>
        <v/>
      </c>
      <c r="X420" s="0" t="str">
        <f aca="false">IF($H420="","",IF(COUNTIF($H$3:$H420,$H420)&gt;1,"",MAX($X$2:X419)+1))</f>
        <v/>
      </c>
      <c r="Y420" s="0" t="str">
        <f aca="false">IF(AND(N($M420)&gt;0,N($O420)&lt;=0),COUNTIFS($M$3:$M420,"&gt;0",$O$3:$O420,"&lt;=0"),"")</f>
        <v/>
      </c>
      <c r="Z420" s="30" t="n">
        <f aca="false">IF(OR('THÁNG 8'!$C127="",'THÁNG 8'!$B127=""),0,'THÁNG 8'!$B127)</f>
        <v>0</v>
      </c>
    </row>
    <row r="421" customFormat="false" ht="15" hidden="false" customHeight="false" outlineLevel="0" collapsed="false">
      <c r="A421" s="0" t="n">
        <v>8</v>
      </c>
      <c r="B421" s="29" t="str">
        <f aca="false">IF(OR('THÁNG 8'!$C128="",'THÁNG 8'!$B128=""),"",'THÁNG 8'!$B128)</f>
        <v/>
      </c>
      <c r="C421" s="0" t="str">
        <f aca="false">IF('THÁNG 8'!$C128="","",'THÁNG 8'!$C128)</f>
        <v/>
      </c>
      <c r="D421" s="0" t="str">
        <f aca="false">IF('THÁNG 8'!$C128="","",'THÁNG 8'!$D128&amp;"")</f>
        <v/>
      </c>
      <c r="E421" s="0" t="str">
        <f aca="false">IF('THÁNG 8'!$C128="","",'THÁNG 8'!$E128&amp;"")</f>
        <v/>
      </c>
      <c r="F421" s="0" t="str">
        <f aca="false">IF('THÁNG 8'!$C128="","",'THÁNG 8'!$F128&amp;"")</f>
        <v/>
      </c>
      <c r="G421" s="0" t="str">
        <f aca="false">IF('THÁNG 8'!$C128="","",'THÁNG 8'!$G128&amp;"")</f>
        <v/>
      </c>
      <c r="H421" s="0" t="str">
        <f aca="false">IF('THÁNG 8'!$C128="","",'THÁNG 8'!$H128&amp;"")</f>
        <v/>
      </c>
      <c r="I421" s="0" t="str">
        <f aca="false">IF('THÁNG 8'!$C128="","",N('THÁNG 8'!$I128))</f>
        <v/>
      </c>
      <c r="J421" s="0" t="str">
        <f aca="false">IF('THÁNG 8'!$C128="","",N('THÁNG 8'!$L128))</f>
        <v/>
      </c>
      <c r="K421" s="0" t="str">
        <f aca="false">IF('THÁNG 8'!$C128="","",N('THÁNG 8'!$N128))</f>
        <v/>
      </c>
      <c r="L421" s="0" t="str">
        <f aca="false">IF('THÁNG 8'!$C128="","",N('THÁNG 8'!$O128))</f>
        <v/>
      </c>
      <c r="M421" s="0" t="str">
        <f aca="false">IF('THÁNG 8'!$C128="","",N('THÁNG 8'!$P128))</f>
        <v/>
      </c>
      <c r="N421" s="0" t="str">
        <f aca="false">IF('THÁNG 8'!$C128="","",N('THÁNG 8'!$Q128))</f>
        <v/>
      </c>
      <c r="O421" s="0" t="str">
        <f aca="false">IF('THÁNG 8'!$C128="","",N('THÁNG 8'!$R128))</f>
        <v/>
      </c>
      <c r="P421" s="0" t="str">
        <f aca="false">IF(OR('THÁNG 8'!$C128="",'THÁNG 8'!$T128=""),"",'THÁNG 8'!$T128)</f>
        <v/>
      </c>
      <c r="Q421" s="0" t="str">
        <f aca="false">IF(OR('THÁNG 8'!$C128="",'THÁNG 8'!$U128=""),"",'THÁNG 8'!$U128)</f>
        <v/>
      </c>
      <c r="R421" s="0" t="str">
        <f aca="false">IF('THÁNG 8'!$C128="","",'THÁNG 8'!$W128&amp;"")</f>
        <v/>
      </c>
      <c r="S421" s="0" t="str">
        <f aca="false">IF('THÁNG 8'!$C128="","",'THÁNG 8'!$S128&amp;"")</f>
        <v/>
      </c>
      <c r="T421" s="0" t="str">
        <f aca="false">IF(N($O421)&gt;0,COUNTIF($O$3:$O421,"&gt;0"),"")</f>
        <v/>
      </c>
      <c r="U421" s="0" t="str">
        <f aca="false">IF(AND(N($J421)&gt;0,N($K421)&gt;0),COUNTIFS($J$3:$J421,"&gt;0",$K$3:$K421,"&gt;0"),"")</f>
        <v/>
      </c>
      <c r="V421" s="0" t="str">
        <f aca="false">IF(AND(N($J421)&gt;0,N($K421)=0),COUNTIFS($J$3:$J421,"&gt;0",$K$3:$K421,"&lt;=0"),"")</f>
        <v/>
      </c>
      <c r="W421" s="0" t="str">
        <f aca="false">IF($C421="","",IF(COUNTIF($C$3:$C421,$C421)&gt;1,"",MAX($W$2:W420)+1))</f>
        <v/>
      </c>
      <c r="X421" s="0" t="str">
        <f aca="false">IF($H421="","",IF(COUNTIF($H$3:$H421,$H421)&gt;1,"",MAX($X$2:X420)+1))</f>
        <v/>
      </c>
      <c r="Y421" s="0" t="str">
        <f aca="false">IF(AND(N($M421)&gt;0,N($O421)&lt;=0),COUNTIFS($M$3:$M421,"&gt;0",$O$3:$O421,"&lt;=0"),"")</f>
        <v/>
      </c>
      <c r="Z421" s="30" t="n">
        <f aca="false">IF(OR('THÁNG 8'!$C128="",'THÁNG 8'!$B128=""),0,'THÁNG 8'!$B128)</f>
        <v>0</v>
      </c>
    </row>
    <row r="422" customFormat="false" ht="15" hidden="false" customHeight="false" outlineLevel="0" collapsed="false">
      <c r="A422" s="0" t="n">
        <v>8</v>
      </c>
      <c r="B422" s="29" t="str">
        <f aca="false">IF(OR('THÁNG 8'!$C129="",'THÁNG 8'!$B129=""),"",'THÁNG 8'!$B129)</f>
        <v/>
      </c>
      <c r="C422" s="0" t="str">
        <f aca="false">IF('THÁNG 8'!$C129="","",'THÁNG 8'!$C129)</f>
        <v/>
      </c>
      <c r="D422" s="0" t="str">
        <f aca="false">IF('THÁNG 8'!$C129="","",'THÁNG 8'!$D129&amp;"")</f>
        <v/>
      </c>
      <c r="E422" s="0" t="str">
        <f aca="false">IF('THÁNG 8'!$C129="","",'THÁNG 8'!$E129&amp;"")</f>
        <v/>
      </c>
      <c r="F422" s="0" t="str">
        <f aca="false">IF('THÁNG 8'!$C129="","",'THÁNG 8'!$F129&amp;"")</f>
        <v/>
      </c>
      <c r="G422" s="0" t="str">
        <f aca="false">IF('THÁNG 8'!$C129="","",'THÁNG 8'!$G129&amp;"")</f>
        <v/>
      </c>
      <c r="H422" s="0" t="str">
        <f aca="false">IF('THÁNG 8'!$C129="","",'THÁNG 8'!$H129&amp;"")</f>
        <v/>
      </c>
      <c r="I422" s="0" t="str">
        <f aca="false">IF('THÁNG 8'!$C129="","",N('THÁNG 8'!$I129))</f>
        <v/>
      </c>
      <c r="J422" s="0" t="str">
        <f aca="false">IF('THÁNG 8'!$C129="","",N('THÁNG 8'!$L129))</f>
        <v/>
      </c>
      <c r="K422" s="0" t="str">
        <f aca="false">IF('THÁNG 8'!$C129="","",N('THÁNG 8'!$N129))</f>
        <v/>
      </c>
      <c r="L422" s="0" t="str">
        <f aca="false">IF('THÁNG 8'!$C129="","",N('THÁNG 8'!$O129))</f>
        <v/>
      </c>
      <c r="M422" s="0" t="str">
        <f aca="false">IF('THÁNG 8'!$C129="","",N('THÁNG 8'!$P129))</f>
        <v/>
      </c>
      <c r="N422" s="0" t="str">
        <f aca="false">IF('THÁNG 8'!$C129="","",N('THÁNG 8'!$Q129))</f>
        <v/>
      </c>
      <c r="O422" s="0" t="str">
        <f aca="false">IF('THÁNG 8'!$C129="","",N('THÁNG 8'!$R129))</f>
        <v/>
      </c>
      <c r="P422" s="0" t="str">
        <f aca="false">IF(OR('THÁNG 8'!$C129="",'THÁNG 8'!$T129=""),"",'THÁNG 8'!$T129)</f>
        <v/>
      </c>
      <c r="Q422" s="0" t="str">
        <f aca="false">IF(OR('THÁNG 8'!$C129="",'THÁNG 8'!$U129=""),"",'THÁNG 8'!$U129)</f>
        <v/>
      </c>
      <c r="R422" s="0" t="str">
        <f aca="false">IF('THÁNG 8'!$C129="","",'THÁNG 8'!$W129&amp;"")</f>
        <v/>
      </c>
      <c r="S422" s="0" t="str">
        <f aca="false">IF('THÁNG 8'!$C129="","",'THÁNG 8'!$S129&amp;"")</f>
        <v/>
      </c>
      <c r="T422" s="0" t="str">
        <f aca="false">IF(N($O422)&gt;0,COUNTIF($O$3:$O422,"&gt;0"),"")</f>
        <v/>
      </c>
      <c r="U422" s="0" t="str">
        <f aca="false">IF(AND(N($J422)&gt;0,N($K422)&gt;0),COUNTIFS($J$3:$J422,"&gt;0",$K$3:$K422,"&gt;0"),"")</f>
        <v/>
      </c>
      <c r="V422" s="0" t="str">
        <f aca="false">IF(AND(N($J422)&gt;0,N($K422)=0),COUNTIFS($J$3:$J422,"&gt;0",$K$3:$K422,"&lt;=0"),"")</f>
        <v/>
      </c>
      <c r="W422" s="0" t="str">
        <f aca="false">IF($C422="","",IF(COUNTIF($C$3:$C422,$C422)&gt;1,"",MAX($W$2:W421)+1))</f>
        <v/>
      </c>
      <c r="X422" s="0" t="str">
        <f aca="false">IF($H422="","",IF(COUNTIF($H$3:$H422,$H422)&gt;1,"",MAX($X$2:X421)+1))</f>
        <v/>
      </c>
      <c r="Y422" s="0" t="str">
        <f aca="false">IF(AND(N($M422)&gt;0,N($O422)&lt;=0),COUNTIFS($M$3:$M422,"&gt;0",$O$3:$O422,"&lt;=0"),"")</f>
        <v/>
      </c>
      <c r="Z422" s="30" t="n">
        <f aca="false">IF(OR('THÁNG 8'!$C129="",'THÁNG 8'!$B129=""),0,'THÁNG 8'!$B129)</f>
        <v>0</v>
      </c>
    </row>
    <row r="423" customFormat="false" ht="15" hidden="false" customHeight="false" outlineLevel="0" collapsed="false">
      <c r="A423" s="0" t="n">
        <v>8</v>
      </c>
      <c r="B423" s="29" t="str">
        <f aca="false">IF(OR('THÁNG 8'!$C130="",'THÁNG 8'!$B130=""),"",'THÁNG 8'!$B130)</f>
        <v/>
      </c>
      <c r="C423" s="0" t="str">
        <f aca="false">IF('THÁNG 8'!$C130="","",'THÁNG 8'!$C130)</f>
        <v/>
      </c>
      <c r="D423" s="0" t="str">
        <f aca="false">IF('THÁNG 8'!$C130="","",'THÁNG 8'!$D130&amp;"")</f>
        <v/>
      </c>
      <c r="E423" s="0" t="str">
        <f aca="false">IF('THÁNG 8'!$C130="","",'THÁNG 8'!$E130&amp;"")</f>
        <v/>
      </c>
      <c r="F423" s="0" t="str">
        <f aca="false">IF('THÁNG 8'!$C130="","",'THÁNG 8'!$F130&amp;"")</f>
        <v/>
      </c>
      <c r="G423" s="0" t="str">
        <f aca="false">IF('THÁNG 8'!$C130="","",'THÁNG 8'!$G130&amp;"")</f>
        <v/>
      </c>
      <c r="H423" s="0" t="str">
        <f aca="false">IF('THÁNG 8'!$C130="","",'THÁNG 8'!$H130&amp;"")</f>
        <v/>
      </c>
      <c r="I423" s="0" t="str">
        <f aca="false">IF('THÁNG 8'!$C130="","",N('THÁNG 8'!$I130))</f>
        <v/>
      </c>
      <c r="J423" s="0" t="str">
        <f aca="false">IF('THÁNG 8'!$C130="","",N('THÁNG 8'!$L130))</f>
        <v/>
      </c>
      <c r="K423" s="0" t="str">
        <f aca="false">IF('THÁNG 8'!$C130="","",N('THÁNG 8'!$N130))</f>
        <v/>
      </c>
      <c r="L423" s="0" t="str">
        <f aca="false">IF('THÁNG 8'!$C130="","",N('THÁNG 8'!$O130))</f>
        <v/>
      </c>
      <c r="M423" s="0" t="str">
        <f aca="false">IF('THÁNG 8'!$C130="","",N('THÁNG 8'!$P130))</f>
        <v/>
      </c>
      <c r="N423" s="0" t="str">
        <f aca="false">IF('THÁNG 8'!$C130="","",N('THÁNG 8'!$Q130))</f>
        <v/>
      </c>
      <c r="O423" s="0" t="str">
        <f aca="false">IF('THÁNG 8'!$C130="","",N('THÁNG 8'!$R130))</f>
        <v/>
      </c>
      <c r="P423" s="0" t="str">
        <f aca="false">IF(OR('THÁNG 8'!$C130="",'THÁNG 8'!$T130=""),"",'THÁNG 8'!$T130)</f>
        <v/>
      </c>
      <c r="Q423" s="0" t="str">
        <f aca="false">IF(OR('THÁNG 8'!$C130="",'THÁNG 8'!$U130=""),"",'THÁNG 8'!$U130)</f>
        <v/>
      </c>
      <c r="R423" s="0" t="str">
        <f aca="false">IF('THÁNG 8'!$C130="","",'THÁNG 8'!$W130&amp;"")</f>
        <v/>
      </c>
      <c r="S423" s="0" t="str">
        <f aca="false">IF('THÁNG 8'!$C130="","",'THÁNG 8'!$S130&amp;"")</f>
        <v/>
      </c>
      <c r="T423" s="0" t="str">
        <f aca="false">IF(N($O423)&gt;0,COUNTIF($O$3:$O423,"&gt;0"),"")</f>
        <v/>
      </c>
      <c r="U423" s="0" t="str">
        <f aca="false">IF(AND(N($J423)&gt;0,N($K423)&gt;0),COUNTIFS($J$3:$J423,"&gt;0",$K$3:$K423,"&gt;0"),"")</f>
        <v/>
      </c>
      <c r="V423" s="0" t="str">
        <f aca="false">IF(AND(N($J423)&gt;0,N($K423)=0),COUNTIFS($J$3:$J423,"&gt;0",$K$3:$K423,"&lt;=0"),"")</f>
        <v/>
      </c>
      <c r="W423" s="0" t="str">
        <f aca="false">IF($C423="","",IF(COUNTIF($C$3:$C423,$C423)&gt;1,"",MAX($W$2:W422)+1))</f>
        <v/>
      </c>
      <c r="X423" s="0" t="str">
        <f aca="false">IF($H423="","",IF(COUNTIF($H$3:$H423,$H423)&gt;1,"",MAX($X$2:X422)+1))</f>
        <v/>
      </c>
      <c r="Y423" s="0" t="str">
        <f aca="false">IF(AND(N($M423)&gt;0,N($O423)&lt;=0),COUNTIFS($M$3:$M423,"&gt;0",$O$3:$O423,"&lt;=0"),"")</f>
        <v/>
      </c>
      <c r="Z423" s="30" t="n">
        <f aca="false">IF(OR('THÁNG 8'!$C130="",'THÁNG 8'!$B130=""),0,'THÁNG 8'!$B130)</f>
        <v>0</v>
      </c>
    </row>
    <row r="424" customFormat="false" ht="15" hidden="false" customHeight="false" outlineLevel="0" collapsed="false">
      <c r="A424" s="0" t="n">
        <v>8</v>
      </c>
      <c r="B424" s="29" t="str">
        <f aca="false">IF(OR('THÁNG 8'!$C131="",'THÁNG 8'!$B131=""),"",'THÁNG 8'!$B131)</f>
        <v/>
      </c>
      <c r="C424" s="0" t="str">
        <f aca="false">IF('THÁNG 8'!$C131="","",'THÁNG 8'!$C131)</f>
        <v/>
      </c>
      <c r="D424" s="0" t="str">
        <f aca="false">IF('THÁNG 8'!$C131="","",'THÁNG 8'!$D131&amp;"")</f>
        <v/>
      </c>
      <c r="E424" s="0" t="str">
        <f aca="false">IF('THÁNG 8'!$C131="","",'THÁNG 8'!$E131&amp;"")</f>
        <v/>
      </c>
      <c r="F424" s="0" t="str">
        <f aca="false">IF('THÁNG 8'!$C131="","",'THÁNG 8'!$F131&amp;"")</f>
        <v/>
      </c>
      <c r="G424" s="0" t="str">
        <f aca="false">IF('THÁNG 8'!$C131="","",'THÁNG 8'!$G131&amp;"")</f>
        <v/>
      </c>
      <c r="H424" s="0" t="str">
        <f aca="false">IF('THÁNG 8'!$C131="","",'THÁNG 8'!$H131&amp;"")</f>
        <v/>
      </c>
      <c r="I424" s="0" t="str">
        <f aca="false">IF('THÁNG 8'!$C131="","",N('THÁNG 8'!$I131))</f>
        <v/>
      </c>
      <c r="J424" s="0" t="str">
        <f aca="false">IF('THÁNG 8'!$C131="","",N('THÁNG 8'!$L131))</f>
        <v/>
      </c>
      <c r="K424" s="0" t="str">
        <f aca="false">IF('THÁNG 8'!$C131="","",N('THÁNG 8'!$N131))</f>
        <v/>
      </c>
      <c r="L424" s="0" t="str">
        <f aca="false">IF('THÁNG 8'!$C131="","",N('THÁNG 8'!$O131))</f>
        <v/>
      </c>
      <c r="M424" s="0" t="str">
        <f aca="false">IF('THÁNG 8'!$C131="","",N('THÁNG 8'!$P131))</f>
        <v/>
      </c>
      <c r="N424" s="0" t="str">
        <f aca="false">IF('THÁNG 8'!$C131="","",N('THÁNG 8'!$Q131))</f>
        <v/>
      </c>
      <c r="O424" s="0" t="str">
        <f aca="false">IF('THÁNG 8'!$C131="","",N('THÁNG 8'!$R131))</f>
        <v/>
      </c>
      <c r="P424" s="0" t="str">
        <f aca="false">IF(OR('THÁNG 8'!$C131="",'THÁNG 8'!$T131=""),"",'THÁNG 8'!$T131)</f>
        <v/>
      </c>
      <c r="Q424" s="0" t="str">
        <f aca="false">IF(OR('THÁNG 8'!$C131="",'THÁNG 8'!$U131=""),"",'THÁNG 8'!$U131)</f>
        <v/>
      </c>
      <c r="R424" s="0" t="str">
        <f aca="false">IF('THÁNG 8'!$C131="","",'THÁNG 8'!$W131&amp;"")</f>
        <v/>
      </c>
      <c r="S424" s="0" t="str">
        <f aca="false">IF('THÁNG 8'!$C131="","",'THÁNG 8'!$S131&amp;"")</f>
        <v/>
      </c>
      <c r="T424" s="0" t="str">
        <f aca="false">IF(N($O424)&gt;0,COUNTIF($O$3:$O424,"&gt;0"),"")</f>
        <v/>
      </c>
      <c r="U424" s="0" t="str">
        <f aca="false">IF(AND(N($J424)&gt;0,N($K424)&gt;0),COUNTIFS($J$3:$J424,"&gt;0",$K$3:$K424,"&gt;0"),"")</f>
        <v/>
      </c>
      <c r="V424" s="0" t="str">
        <f aca="false">IF(AND(N($J424)&gt;0,N($K424)=0),COUNTIFS($J$3:$J424,"&gt;0",$K$3:$K424,"&lt;=0"),"")</f>
        <v/>
      </c>
      <c r="W424" s="0" t="str">
        <f aca="false">IF($C424="","",IF(COUNTIF($C$3:$C424,$C424)&gt;1,"",MAX($W$2:W423)+1))</f>
        <v/>
      </c>
      <c r="X424" s="0" t="str">
        <f aca="false">IF($H424="","",IF(COUNTIF($H$3:$H424,$H424)&gt;1,"",MAX($X$2:X423)+1))</f>
        <v/>
      </c>
      <c r="Y424" s="0" t="str">
        <f aca="false">IF(AND(N($M424)&gt;0,N($O424)&lt;=0),COUNTIFS($M$3:$M424,"&gt;0",$O$3:$O424,"&lt;=0"),"")</f>
        <v/>
      </c>
      <c r="Z424" s="30" t="n">
        <f aca="false">IF(OR('THÁNG 8'!$C131="",'THÁNG 8'!$B131=""),0,'THÁNG 8'!$B131)</f>
        <v>0</v>
      </c>
    </row>
    <row r="425" customFormat="false" ht="15" hidden="false" customHeight="false" outlineLevel="0" collapsed="false">
      <c r="A425" s="0" t="n">
        <v>8</v>
      </c>
      <c r="B425" s="29" t="str">
        <f aca="false">IF(OR('THÁNG 8'!$C132="",'THÁNG 8'!$B132=""),"",'THÁNG 8'!$B132)</f>
        <v/>
      </c>
      <c r="C425" s="0" t="str">
        <f aca="false">IF('THÁNG 8'!$C132="","",'THÁNG 8'!$C132)</f>
        <v/>
      </c>
      <c r="D425" s="0" t="str">
        <f aca="false">IF('THÁNG 8'!$C132="","",'THÁNG 8'!$D132&amp;"")</f>
        <v/>
      </c>
      <c r="E425" s="0" t="str">
        <f aca="false">IF('THÁNG 8'!$C132="","",'THÁNG 8'!$E132&amp;"")</f>
        <v/>
      </c>
      <c r="F425" s="0" t="str">
        <f aca="false">IF('THÁNG 8'!$C132="","",'THÁNG 8'!$F132&amp;"")</f>
        <v/>
      </c>
      <c r="G425" s="0" t="str">
        <f aca="false">IF('THÁNG 8'!$C132="","",'THÁNG 8'!$G132&amp;"")</f>
        <v/>
      </c>
      <c r="H425" s="0" t="str">
        <f aca="false">IF('THÁNG 8'!$C132="","",'THÁNG 8'!$H132&amp;"")</f>
        <v/>
      </c>
      <c r="I425" s="0" t="str">
        <f aca="false">IF('THÁNG 8'!$C132="","",N('THÁNG 8'!$I132))</f>
        <v/>
      </c>
      <c r="J425" s="0" t="str">
        <f aca="false">IF('THÁNG 8'!$C132="","",N('THÁNG 8'!$L132))</f>
        <v/>
      </c>
      <c r="K425" s="0" t="str">
        <f aca="false">IF('THÁNG 8'!$C132="","",N('THÁNG 8'!$N132))</f>
        <v/>
      </c>
      <c r="L425" s="0" t="str">
        <f aca="false">IF('THÁNG 8'!$C132="","",N('THÁNG 8'!$O132))</f>
        <v/>
      </c>
      <c r="M425" s="0" t="str">
        <f aca="false">IF('THÁNG 8'!$C132="","",N('THÁNG 8'!$P132))</f>
        <v/>
      </c>
      <c r="N425" s="0" t="str">
        <f aca="false">IF('THÁNG 8'!$C132="","",N('THÁNG 8'!$Q132))</f>
        <v/>
      </c>
      <c r="O425" s="0" t="str">
        <f aca="false">IF('THÁNG 8'!$C132="","",N('THÁNG 8'!$R132))</f>
        <v/>
      </c>
      <c r="P425" s="0" t="str">
        <f aca="false">IF(OR('THÁNG 8'!$C132="",'THÁNG 8'!$T132=""),"",'THÁNG 8'!$T132)</f>
        <v/>
      </c>
      <c r="Q425" s="0" t="str">
        <f aca="false">IF(OR('THÁNG 8'!$C132="",'THÁNG 8'!$U132=""),"",'THÁNG 8'!$U132)</f>
        <v/>
      </c>
      <c r="R425" s="0" t="str">
        <f aca="false">IF('THÁNG 8'!$C132="","",'THÁNG 8'!$W132&amp;"")</f>
        <v/>
      </c>
      <c r="S425" s="0" t="str">
        <f aca="false">IF('THÁNG 8'!$C132="","",'THÁNG 8'!$S132&amp;"")</f>
        <v/>
      </c>
      <c r="T425" s="0" t="str">
        <f aca="false">IF(N($O425)&gt;0,COUNTIF($O$3:$O425,"&gt;0"),"")</f>
        <v/>
      </c>
      <c r="U425" s="0" t="str">
        <f aca="false">IF(AND(N($J425)&gt;0,N($K425)&gt;0),COUNTIFS($J$3:$J425,"&gt;0",$K$3:$K425,"&gt;0"),"")</f>
        <v/>
      </c>
      <c r="V425" s="0" t="str">
        <f aca="false">IF(AND(N($J425)&gt;0,N($K425)=0),COUNTIFS($J$3:$J425,"&gt;0",$K$3:$K425,"&lt;=0"),"")</f>
        <v/>
      </c>
      <c r="W425" s="0" t="str">
        <f aca="false">IF($C425="","",IF(COUNTIF($C$3:$C425,$C425)&gt;1,"",MAX($W$2:W424)+1))</f>
        <v/>
      </c>
      <c r="X425" s="0" t="str">
        <f aca="false">IF($H425="","",IF(COUNTIF($H$3:$H425,$H425)&gt;1,"",MAX($X$2:X424)+1))</f>
        <v/>
      </c>
      <c r="Y425" s="0" t="str">
        <f aca="false">IF(AND(N($M425)&gt;0,N($O425)&lt;=0),COUNTIFS($M$3:$M425,"&gt;0",$O$3:$O425,"&lt;=0"),"")</f>
        <v/>
      </c>
      <c r="Z425" s="30" t="n">
        <f aca="false">IF(OR('THÁNG 8'!$C132="",'THÁNG 8'!$B132=""),0,'THÁNG 8'!$B132)</f>
        <v>0</v>
      </c>
    </row>
    <row r="426" customFormat="false" ht="15" hidden="false" customHeight="false" outlineLevel="0" collapsed="false">
      <c r="A426" s="0" t="n">
        <v>8</v>
      </c>
      <c r="B426" s="29" t="str">
        <f aca="false">IF(OR('THÁNG 8'!$C133="",'THÁNG 8'!$B133=""),"",'THÁNG 8'!$B133)</f>
        <v/>
      </c>
      <c r="C426" s="0" t="str">
        <f aca="false">IF('THÁNG 8'!$C133="","",'THÁNG 8'!$C133)</f>
        <v/>
      </c>
      <c r="D426" s="0" t="str">
        <f aca="false">IF('THÁNG 8'!$C133="","",'THÁNG 8'!$D133&amp;"")</f>
        <v/>
      </c>
      <c r="E426" s="0" t="str">
        <f aca="false">IF('THÁNG 8'!$C133="","",'THÁNG 8'!$E133&amp;"")</f>
        <v/>
      </c>
      <c r="F426" s="0" t="str">
        <f aca="false">IF('THÁNG 8'!$C133="","",'THÁNG 8'!$F133&amp;"")</f>
        <v/>
      </c>
      <c r="G426" s="0" t="str">
        <f aca="false">IF('THÁNG 8'!$C133="","",'THÁNG 8'!$G133&amp;"")</f>
        <v/>
      </c>
      <c r="H426" s="0" t="str">
        <f aca="false">IF('THÁNG 8'!$C133="","",'THÁNG 8'!$H133&amp;"")</f>
        <v/>
      </c>
      <c r="I426" s="0" t="str">
        <f aca="false">IF('THÁNG 8'!$C133="","",N('THÁNG 8'!$I133))</f>
        <v/>
      </c>
      <c r="J426" s="0" t="str">
        <f aca="false">IF('THÁNG 8'!$C133="","",N('THÁNG 8'!$L133))</f>
        <v/>
      </c>
      <c r="K426" s="0" t="str">
        <f aca="false">IF('THÁNG 8'!$C133="","",N('THÁNG 8'!$N133))</f>
        <v/>
      </c>
      <c r="L426" s="0" t="str">
        <f aca="false">IF('THÁNG 8'!$C133="","",N('THÁNG 8'!$O133))</f>
        <v/>
      </c>
      <c r="M426" s="0" t="str">
        <f aca="false">IF('THÁNG 8'!$C133="","",N('THÁNG 8'!$P133))</f>
        <v/>
      </c>
      <c r="N426" s="0" t="str">
        <f aca="false">IF('THÁNG 8'!$C133="","",N('THÁNG 8'!$Q133))</f>
        <v/>
      </c>
      <c r="O426" s="0" t="str">
        <f aca="false">IF('THÁNG 8'!$C133="","",N('THÁNG 8'!$R133))</f>
        <v/>
      </c>
      <c r="P426" s="0" t="str">
        <f aca="false">IF(OR('THÁNG 8'!$C133="",'THÁNG 8'!$T133=""),"",'THÁNG 8'!$T133)</f>
        <v/>
      </c>
      <c r="Q426" s="0" t="str">
        <f aca="false">IF(OR('THÁNG 8'!$C133="",'THÁNG 8'!$U133=""),"",'THÁNG 8'!$U133)</f>
        <v/>
      </c>
      <c r="R426" s="0" t="str">
        <f aca="false">IF('THÁNG 8'!$C133="","",'THÁNG 8'!$W133&amp;"")</f>
        <v/>
      </c>
      <c r="S426" s="0" t="str">
        <f aca="false">IF('THÁNG 8'!$C133="","",'THÁNG 8'!$S133&amp;"")</f>
        <v/>
      </c>
      <c r="T426" s="0" t="str">
        <f aca="false">IF(N($O426)&gt;0,COUNTIF($O$3:$O426,"&gt;0"),"")</f>
        <v/>
      </c>
      <c r="U426" s="0" t="str">
        <f aca="false">IF(AND(N($J426)&gt;0,N($K426)&gt;0),COUNTIFS($J$3:$J426,"&gt;0",$K$3:$K426,"&gt;0"),"")</f>
        <v/>
      </c>
      <c r="V426" s="0" t="str">
        <f aca="false">IF(AND(N($J426)&gt;0,N($K426)=0),COUNTIFS($J$3:$J426,"&gt;0",$K$3:$K426,"&lt;=0"),"")</f>
        <v/>
      </c>
      <c r="W426" s="0" t="str">
        <f aca="false">IF($C426="","",IF(COUNTIF($C$3:$C426,$C426)&gt;1,"",MAX($W$2:W425)+1))</f>
        <v/>
      </c>
      <c r="X426" s="0" t="str">
        <f aca="false">IF($H426="","",IF(COUNTIF($H$3:$H426,$H426)&gt;1,"",MAX($X$2:X425)+1))</f>
        <v/>
      </c>
      <c r="Y426" s="0" t="str">
        <f aca="false">IF(AND(N($M426)&gt;0,N($O426)&lt;=0),COUNTIFS($M$3:$M426,"&gt;0",$O$3:$O426,"&lt;=0"),"")</f>
        <v/>
      </c>
      <c r="Z426" s="30" t="n">
        <f aca="false">IF(OR('THÁNG 8'!$C133="",'THÁNG 8'!$B133=""),0,'THÁNG 8'!$B133)</f>
        <v>0</v>
      </c>
    </row>
    <row r="427" customFormat="false" ht="15" hidden="false" customHeight="false" outlineLevel="0" collapsed="false">
      <c r="A427" s="0" t="n">
        <v>8</v>
      </c>
      <c r="B427" s="29" t="str">
        <f aca="false">IF(OR('THÁNG 8'!$C134="",'THÁNG 8'!$B134=""),"",'THÁNG 8'!$B134)</f>
        <v/>
      </c>
      <c r="C427" s="0" t="str">
        <f aca="false">IF('THÁNG 8'!$C134="","",'THÁNG 8'!$C134)</f>
        <v/>
      </c>
      <c r="D427" s="0" t="str">
        <f aca="false">IF('THÁNG 8'!$C134="","",'THÁNG 8'!$D134&amp;"")</f>
        <v/>
      </c>
      <c r="E427" s="0" t="str">
        <f aca="false">IF('THÁNG 8'!$C134="","",'THÁNG 8'!$E134&amp;"")</f>
        <v/>
      </c>
      <c r="F427" s="0" t="str">
        <f aca="false">IF('THÁNG 8'!$C134="","",'THÁNG 8'!$F134&amp;"")</f>
        <v/>
      </c>
      <c r="G427" s="0" t="str">
        <f aca="false">IF('THÁNG 8'!$C134="","",'THÁNG 8'!$G134&amp;"")</f>
        <v/>
      </c>
      <c r="H427" s="0" t="str">
        <f aca="false">IF('THÁNG 8'!$C134="","",'THÁNG 8'!$H134&amp;"")</f>
        <v/>
      </c>
      <c r="I427" s="0" t="str">
        <f aca="false">IF('THÁNG 8'!$C134="","",N('THÁNG 8'!$I134))</f>
        <v/>
      </c>
      <c r="J427" s="0" t="str">
        <f aca="false">IF('THÁNG 8'!$C134="","",N('THÁNG 8'!$L134))</f>
        <v/>
      </c>
      <c r="K427" s="0" t="str">
        <f aca="false">IF('THÁNG 8'!$C134="","",N('THÁNG 8'!$N134))</f>
        <v/>
      </c>
      <c r="L427" s="0" t="str">
        <f aca="false">IF('THÁNG 8'!$C134="","",N('THÁNG 8'!$O134))</f>
        <v/>
      </c>
      <c r="M427" s="0" t="str">
        <f aca="false">IF('THÁNG 8'!$C134="","",N('THÁNG 8'!$P134))</f>
        <v/>
      </c>
      <c r="N427" s="0" t="str">
        <f aca="false">IF('THÁNG 8'!$C134="","",N('THÁNG 8'!$Q134))</f>
        <v/>
      </c>
      <c r="O427" s="0" t="str">
        <f aca="false">IF('THÁNG 8'!$C134="","",N('THÁNG 8'!$R134))</f>
        <v/>
      </c>
      <c r="P427" s="0" t="str">
        <f aca="false">IF(OR('THÁNG 8'!$C134="",'THÁNG 8'!$T134=""),"",'THÁNG 8'!$T134)</f>
        <v/>
      </c>
      <c r="Q427" s="0" t="str">
        <f aca="false">IF(OR('THÁNG 8'!$C134="",'THÁNG 8'!$U134=""),"",'THÁNG 8'!$U134)</f>
        <v/>
      </c>
      <c r="R427" s="0" t="str">
        <f aca="false">IF('THÁNG 8'!$C134="","",'THÁNG 8'!$W134&amp;"")</f>
        <v/>
      </c>
      <c r="S427" s="0" t="str">
        <f aca="false">IF('THÁNG 8'!$C134="","",'THÁNG 8'!$S134&amp;"")</f>
        <v/>
      </c>
      <c r="T427" s="0" t="str">
        <f aca="false">IF(N($O427)&gt;0,COUNTIF($O$3:$O427,"&gt;0"),"")</f>
        <v/>
      </c>
      <c r="U427" s="0" t="str">
        <f aca="false">IF(AND(N($J427)&gt;0,N($K427)&gt;0),COUNTIFS($J$3:$J427,"&gt;0",$K$3:$K427,"&gt;0"),"")</f>
        <v/>
      </c>
      <c r="V427" s="0" t="str">
        <f aca="false">IF(AND(N($J427)&gt;0,N($K427)=0),COUNTIFS($J$3:$J427,"&gt;0",$K$3:$K427,"&lt;=0"),"")</f>
        <v/>
      </c>
      <c r="W427" s="0" t="str">
        <f aca="false">IF($C427="","",IF(COUNTIF($C$3:$C427,$C427)&gt;1,"",MAX($W$2:W426)+1))</f>
        <v/>
      </c>
      <c r="X427" s="0" t="str">
        <f aca="false">IF($H427="","",IF(COUNTIF($H$3:$H427,$H427)&gt;1,"",MAX($X$2:X426)+1))</f>
        <v/>
      </c>
      <c r="Y427" s="0" t="str">
        <f aca="false">IF(AND(N($M427)&gt;0,N($O427)&lt;=0),COUNTIFS($M$3:$M427,"&gt;0",$O$3:$O427,"&lt;=0"),"")</f>
        <v/>
      </c>
      <c r="Z427" s="30" t="n">
        <f aca="false">IF(OR('THÁNG 8'!$C134="",'THÁNG 8'!$B134=""),0,'THÁNG 8'!$B134)</f>
        <v>0</v>
      </c>
    </row>
    <row r="428" customFormat="false" ht="15" hidden="false" customHeight="false" outlineLevel="0" collapsed="false">
      <c r="A428" s="0" t="n">
        <v>8</v>
      </c>
      <c r="B428" s="29" t="str">
        <f aca="false">IF(OR('THÁNG 8'!$C135="",'THÁNG 8'!$B135=""),"",'THÁNG 8'!$B135)</f>
        <v/>
      </c>
      <c r="C428" s="0" t="str">
        <f aca="false">IF('THÁNG 8'!$C135="","",'THÁNG 8'!$C135)</f>
        <v/>
      </c>
      <c r="D428" s="0" t="str">
        <f aca="false">IF('THÁNG 8'!$C135="","",'THÁNG 8'!$D135&amp;"")</f>
        <v/>
      </c>
      <c r="E428" s="0" t="str">
        <f aca="false">IF('THÁNG 8'!$C135="","",'THÁNG 8'!$E135&amp;"")</f>
        <v/>
      </c>
      <c r="F428" s="0" t="str">
        <f aca="false">IF('THÁNG 8'!$C135="","",'THÁNG 8'!$F135&amp;"")</f>
        <v/>
      </c>
      <c r="G428" s="0" t="str">
        <f aca="false">IF('THÁNG 8'!$C135="","",'THÁNG 8'!$G135&amp;"")</f>
        <v/>
      </c>
      <c r="H428" s="0" t="str">
        <f aca="false">IF('THÁNG 8'!$C135="","",'THÁNG 8'!$H135&amp;"")</f>
        <v/>
      </c>
      <c r="I428" s="0" t="str">
        <f aca="false">IF('THÁNG 8'!$C135="","",N('THÁNG 8'!$I135))</f>
        <v/>
      </c>
      <c r="J428" s="0" t="str">
        <f aca="false">IF('THÁNG 8'!$C135="","",N('THÁNG 8'!$L135))</f>
        <v/>
      </c>
      <c r="K428" s="0" t="str">
        <f aca="false">IF('THÁNG 8'!$C135="","",N('THÁNG 8'!$N135))</f>
        <v/>
      </c>
      <c r="L428" s="0" t="str">
        <f aca="false">IF('THÁNG 8'!$C135="","",N('THÁNG 8'!$O135))</f>
        <v/>
      </c>
      <c r="M428" s="0" t="str">
        <f aca="false">IF('THÁNG 8'!$C135="","",N('THÁNG 8'!$P135))</f>
        <v/>
      </c>
      <c r="N428" s="0" t="str">
        <f aca="false">IF('THÁNG 8'!$C135="","",N('THÁNG 8'!$Q135))</f>
        <v/>
      </c>
      <c r="O428" s="0" t="str">
        <f aca="false">IF('THÁNG 8'!$C135="","",N('THÁNG 8'!$R135))</f>
        <v/>
      </c>
      <c r="P428" s="0" t="str">
        <f aca="false">IF(OR('THÁNG 8'!$C135="",'THÁNG 8'!$T135=""),"",'THÁNG 8'!$T135)</f>
        <v/>
      </c>
      <c r="Q428" s="0" t="str">
        <f aca="false">IF(OR('THÁNG 8'!$C135="",'THÁNG 8'!$U135=""),"",'THÁNG 8'!$U135)</f>
        <v/>
      </c>
      <c r="R428" s="0" t="str">
        <f aca="false">IF('THÁNG 8'!$C135="","",'THÁNG 8'!$W135&amp;"")</f>
        <v/>
      </c>
      <c r="S428" s="0" t="str">
        <f aca="false">IF('THÁNG 8'!$C135="","",'THÁNG 8'!$S135&amp;"")</f>
        <v/>
      </c>
      <c r="T428" s="0" t="str">
        <f aca="false">IF(N($O428)&gt;0,COUNTIF($O$3:$O428,"&gt;0"),"")</f>
        <v/>
      </c>
      <c r="U428" s="0" t="str">
        <f aca="false">IF(AND(N($J428)&gt;0,N($K428)&gt;0),COUNTIFS($J$3:$J428,"&gt;0",$K$3:$K428,"&gt;0"),"")</f>
        <v/>
      </c>
      <c r="V428" s="0" t="str">
        <f aca="false">IF(AND(N($J428)&gt;0,N($K428)=0),COUNTIFS($J$3:$J428,"&gt;0",$K$3:$K428,"&lt;=0"),"")</f>
        <v/>
      </c>
      <c r="W428" s="0" t="str">
        <f aca="false">IF($C428="","",IF(COUNTIF($C$3:$C428,$C428)&gt;1,"",MAX($W$2:W427)+1))</f>
        <v/>
      </c>
      <c r="X428" s="0" t="str">
        <f aca="false">IF($H428="","",IF(COUNTIF($H$3:$H428,$H428)&gt;1,"",MAX($X$2:X427)+1))</f>
        <v/>
      </c>
      <c r="Y428" s="0" t="str">
        <f aca="false">IF(AND(N($M428)&gt;0,N($O428)&lt;=0),COUNTIFS($M$3:$M428,"&gt;0",$O$3:$O428,"&lt;=0"),"")</f>
        <v/>
      </c>
      <c r="Z428" s="30" t="n">
        <f aca="false">IF(OR('THÁNG 8'!$C135="",'THÁNG 8'!$B135=""),0,'THÁNG 8'!$B135)</f>
        <v>0</v>
      </c>
    </row>
    <row r="429" customFormat="false" ht="15" hidden="false" customHeight="false" outlineLevel="0" collapsed="false">
      <c r="A429" s="0" t="n">
        <v>8</v>
      </c>
      <c r="B429" s="29" t="str">
        <f aca="false">IF(OR('THÁNG 8'!$C136="",'THÁNG 8'!$B136=""),"",'THÁNG 8'!$B136)</f>
        <v/>
      </c>
      <c r="C429" s="0" t="str">
        <f aca="false">IF('THÁNG 8'!$C136="","",'THÁNG 8'!$C136)</f>
        <v/>
      </c>
      <c r="D429" s="0" t="str">
        <f aca="false">IF('THÁNG 8'!$C136="","",'THÁNG 8'!$D136&amp;"")</f>
        <v/>
      </c>
      <c r="E429" s="0" t="str">
        <f aca="false">IF('THÁNG 8'!$C136="","",'THÁNG 8'!$E136&amp;"")</f>
        <v/>
      </c>
      <c r="F429" s="0" t="str">
        <f aca="false">IF('THÁNG 8'!$C136="","",'THÁNG 8'!$F136&amp;"")</f>
        <v/>
      </c>
      <c r="G429" s="0" t="str">
        <f aca="false">IF('THÁNG 8'!$C136="","",'THÁNG 8'!$G136&amp;"")</f>
        <v/>
      </c>
      <c r="H429" s="0" t="str">
        <f aca="false">IF('THÁNG 8'!$C136="","",'THÁNG 8'!$H136&amp;"")</f>
        <v/>
      </c>
      <c r="I429" s="0" t="str">
        <f aca="false">IF('THÁNG 8'!$C136="","",N('THÁNG 8'!$I136))</f>
        <v/>
      </c>
      <c r="J429" s="0" t="str">
        <f aca="false">IF('THÁNG 8'!$C136="","",N('THÁNG 8'!$L136))</f>
        <v/>
      </c>
      <c r="K429" s="0" t="str">
        <f aca="false">IF('THÁNG 8'!$C136="","",N('THÁNG 8'!$N136))</f>
        <v/>
      </c>
      <c r="L429" s="0" t="str">
        <f aca="false">IF('THÁNG 8'!$C136="","",N('THÁNG 8'!$O136))</f>
        <v/>
      </c>
      <c r="M429" s="0" t="str">
        <f aca="false">IF('THÁNG 8'!$C136="","",N('THÁNG 8'!$P136))</f>
        <v/>
      </c>
      <c r="N429" s="0" t="str">
        <f aca="false">IF('THÁNG 8'!$C136="","",N('THÁNG 8'!$Q136))</f>
        <v/>
      </c>
      <c r="O429" s="0" t="str">
        <f aca="false">IF('THÁNG 8'!$C136="","",N('THÁNG 8'!$R136))</f>
        <v/>
      </c>
      <c r="P429" s="0" t="str">
        <f aca="false">IF(OR('THÁNG 8'!$C136="",'THÁNG 8'!$T136=""),"",'THÁNG 8'!$T136)</f>
        <v/>
      </c>
      <c r="Q429" s="0" t="str">
        <f aca="false">IF(OR('THÁNG 8'!$C136="",'THÁNG 8'!$U136=""),"",'THÁNG 8'!$U136)</f>
        <v/>
      </c>
      <c r="R429" s="0" t="str">
        <f aca="false">IF('THÁNG 8'!$C136="","",'THÁNG 8'!$W136&amp;"")</f>
        <v/>
      </c>
      <c r="S429" s="0" t="str">
        <f aca="false">IF('THÁNG 8'!$C136="","",'THÁNG 8'!$S136&amp;"")</f>
        <v/>
      </c>
      <c r="T429" s="0" t="str">
        <f aca="false">IF(N($O429)&gt;0,COUNTIF($O$3:$O429,"&gt;0"),"")</f>
        <v/>
      </c>
      <c r="U429" s="0" t="str">
        <f aca="false">IF(AND(N($J429)&gt;0,N($K429)&gt;0),COUNTIFS($J$3:$J429,"&gt;0",$K$3:$K429,"&gt;0"),"")</f>
        <v/>
      </c>
      <c r="V429" s="0" t="str">
        <f aca="false">IF(AND(N($J429)&gt;0,N($K429)=0),COUNTIFS($J$3:$J429,"&gt;0",$K$3:$K429,"&lt;=0"),"")</f>
        <v/>
      </c>
      <c r="W429" s="0" t="str">
        <f aca="false">IF($C429="","",IF(COUNTIF($C$3:$C429,$C429)&gt;1,"",MAX($W$2:W428)+1))</f>
        <v/>
      </c>
      <c r="X429" s="0" t="str">
        <f aca="false">IF($H429="","",IF(COUNTIF($H$3:$H429,$H429)&gt;1,"",MAX($X$2:X428)+1))</f>
        <v/>
      </c>
      <c r="Y429" s="0" t="str">
        <f aca="false">IF(AND(N($M429)&gt;0,N($O429)&lt;=0),COUNTIFS($M$3:$M429,"&gt;0",$O$3:$O429,"&lt;=0"),"")</f>
        <v/>
      </c>
      <c r="Z429" s="30" t="n">
        <f aca="false">IF(OR('THÁNG 8'!$C136="",'THÁNG 8'!$B136=""),0,'THÁNG 8'!$B136)</f>
        <v>0</v>
      </c>
    </row>
    <row r="430" customFormat="false" ht="15" hidden="false" customHeight="false" outlineLevel="0" collapsed="false">
      <c r="A430" s="0" t="n">
        <v>8</v>
      </c>
      <c r="B430" s="29" t="str">
        <f aca="false">IF(OR('THÁNG 8'!$C137="",'THÁNG 8'!$B137=""),"",'THÁNG 8'!$B137)</f>
        <v/>
      </c>
      <c r="C430" s="0" t="str">
        <f aca="false">IF('THÁNG 8'!$C137="","",'THÁNG 8'!$C137)</f>
        <v/>
      </c>
      <c r="D430" s="0" t="str">
        <f aca="false">IF('THÁNG 8'!$C137="","",'THÁNG 8'!$D137&amp;"")</f>
        <v/>
      </c>
      <c r="E430" s="0" t="str">
        <f aca="false">IF('THÁNG 8'!$C137="","",'THÁNG 8'!$E137&amp;"")</f>
        <v/>
      </c>
      <c r="F430" s="0" t="str">
        <f aca="false">IF('THÁNG 8'!$C137="","",'THÁNG 8'!$F137&amp;"")</f>
        <v/>
      </c>
      <c r="G430" s="0" t="str">
        <f aca="false">IF('THÁNG 8'!$C137="","",'THÁNG 8'!$G137&amp;"")</f>
        <v/>
      </c>
      <c r="H430" s="0" t="str">
        <f aca="false">IF('THÁNG 8'!$C137="","",'THÁNG 8'!$H137&amp;"")</f>
        <v/>
      </c>
      <c r="I430" s="0" t="str">
        <f aca="false">IF('THÁNG 8'!$C137="","",N('THÁNG 8'!$I137))</f>
        <v/>
      </c>
      <c r="J430" s="0" t="str">
        <f aca="false">IF('THÁNG 8'!$C137="","",N('THÁNG 8'!$L137))</f>
        <v/>
      </c>
      <c r="K430" s="0" t="str">
        <f aca="false">IF('THÁNG 8'!$C137="","",N('THÁNG 8'!$N137))</f>
        <v/>
      </c>
      <c r="L430" s="0" t="str">
        <f aca="false">IF('THÁNG 8'!$C137="","",N('THÁNG 8'!$O137))</f>
        <v/>
      </c>
      <c r="M430" s="0" t="str">
        <f aca="false">IF('THÁNG 8'!$C137="","",N('THÁNG 8'!$P137))</f>
        <v/>
      </c>
      <c r="N430" s="0" t="str">
        <f aca="false">IF('THÁNG 8'!$C137="","",N('THÁNG 8'!$Q137))</f>
        <v/>
      </c>
      <c r="O430" s="0" t="str">
        <f aca="false">IF('THÁNG 8'!$C137="","",N('THÁNG 8'!$R137))</f>
        <v/>
      </c>
      <c r="P430" s="0" t="str">
        <f aca="false">IF(OR('THÁNG 8'!$C137="",'THÁNG 8'!$T137=""),"",'THÁNG 8'!$T137)</f>
        <v/>
      </c>
      <c r="Q430" s="0" t="str">
        <f aca="false">IF(OR('THÁNG 8'!$C137="",'THÁNG 8'!$U137=""),"",'THÁNG 8'!$U137)</f>
        <v/>
      </c>
      <c r="R430" s="0" t="str">
        <f aca="false">IF('THÁNG 8'!$C137="","",'THÁNG 8'!$W137&amp;"")</f>
        <v/>
      </c>
      <c r="S430" s="0" t="str">
        <f aca="false">IF('THÁNG 8'!$C137="","",'THÁNG 8'!$S137&amp;"")</f>
        <v/>
      </c>
      <c r="T430" s="0" t="str">
        <f aca="false">IF(N($O430)&gt;0,COUNTIF($O$3:$O430,"&gt;0"),"")</f>
        <v/>
      </c>
      <c r="U430" s="0" t="str">
        <f aca="false">IF(AND(N($J430)&gt;0,N($K430)&gt;0),COUNTIFS($J$3:$J430,"&gt;0",$K$3:$K430,"&gt;0"),"")</f>
        <v/>
      </c>
      <c r="V430" s="0" t="str">
        <f aca="false">IF(AND(N($J430)&gt;0,N($K430)=0),COUNTIFS($J$3:$J430,"&gt;0",$K$3:$K430,"&lt;=0"),"")</f>
        <v/>
      </c>
      <c r="W430" s="0" t="str">
        <f aca="false">IF($C430="","",IF(COUNTIF($C$3:$C430,$C430)&gt;1,"",MAX($W$2:W429)+1))</f>
        <v/>
      </c>
      <c r="X430" s="0" t="str">
        <f aca="false">IF($H430="","",IF(COUNTIF($H$3:$H430,$H430)&gt;1,"",MAX($X$2:X429)+1))</f>
        <v/>
      </c>
      <c r="Y430" s="0" t="str">
        <f aca="false">IF(AND(N($M430)&gt;0,N($O430)&lt;=0),COUNTIFS($M$3:$M430,"&gt;0",$O$3:$O430,"&lt;=0"),"")</f>
        <v/>
      </c>
      <c r="Z430" s="30" t="n">
        <f aca="false">IF(OR('THÁNG 8'!$C137="",'THÁNG 8'!$B137=""),0,'THÁNG 8'!$B137)</f>
        <v>0</v>
      </c>
    </row>
    <row r="431" customFormat="false" ht="15" hidden="false" customHeight="false" outlineLevel="0" collapsed="false">
      <c r="A431" s="0" t="n">
        <v>8</v>
      </c>
      <c r="B431" s="29" t="str">
        <f aca="false">IF(OR('THÁNG 8'!$C138="",'THÁNG 8'!$B138=""),"",'THÁNG 8'!$B138)</f>
        <v/>
      </c>
      <c r="C431" s="0" t="str">
        <f aca="false">IF('THÁNG 8'!$C138="","",'THÁNG 8'!$C138)</f>
        <v/>
      </c>
      <c r="D431" s="0" t="str">
        <f aca="false">IF('THÁNG 8'!$C138="","",'THÁNG 8'!$D138&amp;"")</f>
        <v/>
      </c>
      <c r="E431" s="0" t="str">
        <f aca="false">IF('THÁNG 8'!$C138="","",'THÁNG 8'!$E138&amp;"")</f>
        <v/>
      </c>
      <c r="F431" s="0" t="str">
        <f aca="false">IF('THÁNG 8'!$C138="","",'THÁNG 8'!$F138&amp;"")</f>
        <v/>
      </c>
      <c r="G431" s="0" t="str">
        <f aca="false">IF('THÁNG 8'!$C138="","",'THÁNG 8'!$G138&amp;"")</f>
        <v/>
      </c>
      <c r="H431" s="0" t="str">
        <f aca="false">IF('THÁNG 8'!$C138="","",'THÁNG 8'!$H138&amp;"")</f>
        <v/>
      </c>
      <c r="I431" s="0" t="str">
        <f aca="false">IF('THÁNG 8'!$C138="","",N('THÁNG 8'!$I138))</f>
        <v/>
      </c>
      <c r="J431" s="0" t="str">
        <f aca="false">IF('THÁNG 8'!$C138="","",N('THÁNG 8'!$L138))</f>
        <v/>
      </c>
      <c r="K431" s="0" t="str">
        <f aca="false">IF('THÁNG 8'!$C138="","",N('THÁNG 8'!$N138))</f>
        <v/>
      </c>
      <c r="L431" s="0" t="str">
        <f aca="false">IF('THÁNG 8'!$C138="","",N('THÁNG 8'!$O138))</f>
        <v/>
      </c>
      <c r="M431" s="0" t="str">
        <f aca="false">IF('THÁNG 8'!$C138="","",N('THÁNG 8'!$P138))</f>
        <v/>
      </c>
      <c r="N431" s="0" t="str">
        <f aca="false">IF('THÁNG 8'!$C138="","",N('THÁNG 8'!$Q138))</f>
        <v/>
      </c>
      <c r="O431" s="0" t="str">
        <f aca="false">IF('THÁNG 8'!$C138="","",N('THÁNG 8'!$R138))</f>
        <v/>
      </c>
      <c r="P431" s="0" t="str">
        <f aca="false">IF(OR('THÁNG 8'!$C138="",'THÁNG 8'!$T138=""),"",'THÁNG 8'!$T138)</f>
        <v/>
      </c>
      <c r="Q431" s="0" t="str">
        <f aca="false">IF(OR('THÁNG 8'!$C138="",'THÁNG 8'!$U138=""),"",'THÁNG 8'!$U138)</f>
        <v/>
      </c>
      <c r="R431" s="0" t="str">
        <f aca="false">IF('THÁNG 8'!$C138="","",'THÁNG 8'!$W138&amp;"")</f>
        <v/>
      </c>
      <c r="S431" s="0" t="str">
        <f aca="false">IF('THÁNG 8'!$C138="","",'THÁNG 8'!$S138&amp;"")</f>
        <v/>
      </c>
      <c r="T431" s="0" t="str">
        <f aca="false">IF(N($O431)&gt;0,COUNTIF($O$3:$O431,"&gt;0"),"")</f>
        <v/>
      </c>
      <c r="U431" s="0" t="str">
        <f aca="false">IF(AND(N($J431)&gt;0,N($K431)&gt;0),COUNTIFS($J$3:$J431,"&gt;0",$K$3:$K431,"&gt;0"),"")</f>
        <v/>
      </c>
      <c r="V431" s="0" t="str">
        <f aca="false">IF(AND(N($J431)&gt;0,N($K431)=0),COUNTIFS($J$3:$J431,"&gt;0",$K$3:$K431,"&lt;=0"),"")</f>
        <v/>
      </c>
      <c r="W431" s="0" t="str">
        <f aca="false">IF($C431="","",IF(COUNTIF($C$3:$C431,$C431)&gt;1,"",MAX($W$2:W430)+1))</f>
        <v/>
      </c>
      <c r="X431" s="0" t="str">
        <f aca="false">IF($H431="","",IF(COUNTIF($H$3:$H431,$H431)&gt;1,"",MAX($X$2:X430)+1))</f>
        <v/>
      </c>
      <c r="Y431" s="0" t="str">
        <f aca="false">IF(AND(N($M431)&gt;0,N($O431)&lt;=0),COUNTIFS($M$3:$M431,"&gt;0",$O$3:$O431,"&lt;=0"),"")</f>
        <v/>
      </c>
      <c r="Z431" s="30" t="n">
        <f aca="false">IF(OR('THÁNG 8'!$C138="",'THÁNG 8'!$B138=""),0,'THÁNG 8'!$B138)</f>
        <v>0</v>
      </c>
    </row>
    <row r="432" customFormat="false" ht="15" hidden="false" customHeight="false" outlineLevel="0" collapsed="false">
      <c r="A432" s="0" t="n">
        <v>8</v>
      </c>
      <c r="B432" s="29" t="str">
        <f aca="false">IF(OR('THÁNG 8'!$C139="",'THÁNG 8'!$B139=""),"",'THÁNG 8'!$B139)</f>
        <v/>
      </c>
      <c r="C432" s="0" t="str">
        <f aca="false">IF('THÁNG 8'!$C139="","",'THÁNG 8'!$C139)</f>
        <v/>
      </c>
      <c r="D432" s="0" t="str">
        <f aca="false">IF('THÁNG 8'!$C139="","",'THÁNG 8'!$D139&amp;"")</f>
        <v/>
      </c>
      <c r="E432" s="0" t="str">
        <f aca="false">IF('THÁNG 8'!$C139="","",'THÁNG 8'!$E139&amp;"")</f>
        <v/>
      </c>
      <c r="F432" s="0" t="str">
        <f aca="false">IF('THÁNG 8'!$C139="","",'THÁNG 8'!$F139&amp;"")</f>
        <v/>
      </c>
      <c r="G432" s="0" t="str">
        <f aca="false">IF('THÁNG 8'!$C139="","",'THÁNG 8'!$G139&amp;"")</f>
        <v/>
      </c>
      <c r="H432" s="0" t="str">
        <f aca="false">IF('THÁNG 8'!$C139="","",'THÁNG 8'!$H139&amp;"")</f>
        <v/>
      </c>
      <c r="I432" s="0" t="str">
        <f aca="false">IF('THÁNG 8'!$C139="","",N('THÁNG 8'!$I139))</f>
        <v/>
      </c>
      <c r="J432" s="0" t="str">
        <f aca="false">IF('THÁNG 8'!$C139="","",N('THÁNG 8'!$L139))</f>
        <v/>
      </c>
      <c r="K432" s="0" t="str">
        <f aca="false">IF('THÁNG 8'!$C139="","",N('THÁNG 8'!$N139))</f>
        <v/>
      </c>
      <c r="L432" s="0" t="str">
        <f aca="false">IF('THÁNG 8'!$C139="","",N('THÁNG 8'!$O139))</f>
        <v/>
      </c>
      <c r="M432" s="0" t="str">
        <f aca="false">IF('THÁNG 8'!$C139="","",N('THÁNG 8'!$P139))</f>
        <v/>
      </c>
      <c r="N432" s="0" t="str">
        <f aca="false">IF('THÁNG 8'!$C139="","",N('THÁNG 8'!$Q139))</f>
        <v/>
      </c>
      <c r="O432" s="0" t="str">
        <f aca="false">IF('THÁNG 8'!$C139="","",N('THÁNG 8'!$R139))</f>
        <v/>
      </c>
      <c r="P432" s="0" t="str">
        <f aca="false">IF(OR('THÁNG 8'!$C139="",'THÁNG 8'!$T139=""),"",'THÁNG 8'!$T139)</f>
        <v/>
      </c>
      <c r="Q432" s="0" t="str">
        <f aca="false">IF(OR('THÁNG 8'!$C139="",'THÁNG 8'!$U139=""),"",'THÁNG 8'!$U139)</f>
        <v/>
      </c>
      <c r="R432" s="0" t="str">
        <f aca="false">IF('THÁNG 8'!$C139="","",'THÁNG 8'!$W139&amp;"")</f>
        <v/>
      </c>
      <c r="S432" s="0" t="str">
        <f aca="false">IF('THÁNG 8'!$C139="","",'THÁNG 8'!$S139&amp;"")</f>
        <v/>
      </c>
      <c r="T432" s="0" t="str">
        <f aca="false">IF(N($O432)&gt;0,COUNTIF($O$3:$O432,"&gt;0"),"")</f>
        <v/>
      </c>
      <c r="U432" s="0" t="str">
        <f aca="false">IF(AND(N($J432)&gt;0,N($K432)&gt;0),COUNTIFS($J$3:$J432,"&gt;0",$K$3:$K432,"&gt;0"),"")</f>
        <v/>
      </c>
      <c r="V432" s="0" t="str">
        <f aca="false">IF(AND(N($J432)&gt;0,N($K432)=0),COUNTIFS($J$3:$J432,"&gt;0",$K$3:$K432,"&lt;=0"),"")</f>
        <v/>
      </c>
      <c r="W432" s="0" t="str">
        <f aca="false">IF($C432="","",IF(COUNTIF($C$3:$C432,$C432)&gt;1,"",MAX($W$2:W431)+1))</f>
        <v/>
      </c>
      <c r="X432" s="0" t="str">
        <f aca="false">IF($H432="","",IF(COUNTIF($H$3:$H432,$H432)&gt;1,"",MAX($X$2:X431)+1))</f>
        <v/>
      </c>
      <c r="Y432" s="0" t="str">
        <f aca="false">IF(AND(N($M432)&gt;0,N($O432)&lt;=0),COUNTIFS($M$3:$M432,"&gt;0",$O$3:$O432,"&lt;=0"),"")</f>
        <v/>
      </c>
      <c r="Z432" s="30" t="n">
        <f aca="false">IF(OR('THÁNG 8'!$C139="",'THÁNG 8'!$B139=""),0,'THÁNG 8'!$B139)</f>
        <v>0</v>
      </c>
    </row>
    <row r="433" customFormat="false" ht="15" hidden="false" customHeight="false" outlineLevel="0" collapsed="false">
      <c r="A433" s="0" t="n">
        <v>8</v>
      </c>
      <c r="B433" s="29" t="str">
        <f aca="false">IF(OR('THÁNG 8'!$C140="",'THÁNG 8'!$B140=""),"",'THÁNG 8'!$B140)</f>
        <v/>
      </c>
      <c r="C433" s="0" t="str">
        <f aca="false">IF('THÁNG 8'!$C140="","",'THÁNG 8'!$C140)</f>
        <v/>
      </c>
      <c r="D433" s="0" t="str">
        <f aca="false">IF('THÁNG 8'!$C140="","",'THÁNG 8'!$D140&amp;"")</f>
        <v/>
      </c>
      <c r="E433" s="0" t="str">
        <f aca="false">IF('THÁNG 8'!$C140="","",'THÁNG 8'!$E140&amp;"")</f>
        <v/>
      </c>
      <c r="F433" s="0" t="str">
        <f aca="false">IF('THÁNG 8'!$C140="","",'THÁNG 8'!$F140&amp;"")</f>
        <v/>
      </c>
      <c r="G433" s="0" t="str">
        <f aca="false">IF('THÁNG 8'!$C140="","",'THÁNG 8'!$G140&amp;"")</f>
        <v/>
      </c>
      <c r="H433" s="0" t="str">
        <f aca="false">IF('THÁNG 8'!$C140="","",'THÁNG 8'!$H140&amp;"")</f>
        <v/>
      </c>
      <c r="I433" s="0" t="str">
        <f aca="false">IF('THÁNG 8'!$C140="","",N('THÁNG 8'!$I140))</f>
        <v/>
      </c>
      <c r="J433" s="0" t="str">
        <f aca="false">IF('THÁNG 8'!$C140="","",N('THÁNG 8'!$L140))</f>
        <v/>
      </c>
      <c r="K433" s="0" t="str">
        <f aca="false">IF('THÁNG 8'!$C140="","",N('THÁNG 8'!$N140))</f>
        <v/>
      </c>
      <c r="L433" s="0" t="str">
        <f aca="false">IF('THÁNG 8'!$C140="","",N('THÁNG 8'!$O140))</f>
        <v/>
      </c>
      <c r="M433" s="0" t="str">
        <f aca="false">IF('THÁNG 8'!$C140="","",N('THÁNG 8'!$P140))</f>
        <v/>
      </c>
      <c r="N433" s="0" t="str">
        <f aca="false">IF('THÁNG 8'!$C140="","",N('THÁNG 8'!$Q140))</f>
        <v/>
      </c>
      <c r="O433" s="0" t="str">
        <f aca="false">IF('THÁNG 8'!$C140="","",N('THÁNG 8'!$R140))</f>
        <v/>
      </c>
      <c r="P433" s="0" t="str">
        <f aca="false">IF(OR('THÁNG 8'!$C140="",'THÁNG 8'!$T140=""),"",'THÁNG 8'!$T140)</f>
        <v/>
      </c>
      <c r="Q433" s="0" t="str">
        <f aca="false">IF(OR('THÁNG 8'!$C140="",'THÁNG 8'!$U140=""),"",'THÁNG 8'!$U140)</f>
        <v/>
      </c>
      <c r="R433" s="0" t="str">
        <f aca="false">IF('THÁNG 8'!$C140="","",'THÁNG 8'!$W140&amp;"")</f>
        <v/>
      </c>
      <c r="S433" s="0" t="str">
        <f aca="false">IF('THÁNG 8'!$C140="","",'THÁNG 8'!$S140&amp;"")</f>
        <v/>
      </c>
      <c r="T433" s="0" t="str">
        <f aca="false">IF(N($O433)&gt;0,COUNTIF($O$3:$O433,"&gt;0"),"")</f>
        <v/>
      </c>
      <c r="U433" s="0" t="str">
        <f aca="false">IF(AND(N($J433)&gt;0,N($K433)&gt;0),COUNTIFS($J$3:$J433,"&gt;0",$K$3:$K433,"&gt;0"),"")</f>
        <v/>
      </c>
      <c r="V433" s="0" t="str">
        <f aca="false">IF(AND(N($J433)&gt;0,N($K433)=0),COUNTIFS($J$3:$J433,"&gt;0",$K$3:$K433,"&lt;=0"),"")</f>
        <v/>
      </c>
      <c r="W433" s="0" t="str">
        <f aca="false">IF($C433="","",IF(COUNTIF($C$3:$C433,$C433)&gt;1,"",MAX($W$2:W432)+1))</f>
        <v/>
      </c>
      <c r="X433" s="0" t="str">
        <f aca="false">IF($H433="","",IF(COUNTIF($H$3:$H433,$H433)&gt;1,"",MAX($X$2:X432)+1))</f>
        <v/>
      </c>
      <c r="Y433" s="0" t="str">
        <f aca="false">IF(AND(N($M433)&gt;0,N($O433)&lt;=0),COUNTIFS($M$3:$M433,"&gt;0",$O$3:$O433,"&lt;=0"),"")</f>
        <v/>
      </c>
      <c r="Z433" s="30" t="n">
        <f aca="false">IF(OR('THÁNG 8'!$C140="",'THÁNG 8'!$B140=""),0,'THÁNG 8'!$B140)</f>
        <v>0</v>
      </c>
    </row>
    <row r="434" customFormat="false" ht="15" hidden="false" customHeight="false" outlineLevel="0" collapsed="false">
      <c r="A434" s="0" t="n">
        <v>8</v>
      </c>
      <c r="B434" s="29" t="str">
        <f aca="false">IF(OR('THÁNG 8'!$C141="",'THÁNG 8'!$B141=""),"",'THÁNG 8'!$B141)</f>
        <v/>
      </c>
      <c r="C434" s="0" t="str">
        <f aca="false">IF('THÁNG 8'!$C141="","",'THÁNG 8'!$C141)</f>
        <v/>
      </c>
      <c r="D434" s="0" t="str">
        <f aca="false">IF('THÁNG 8'!$C141="","",'THÁNG 8'!$D141&amp;"")</f>
        <v/>
      </c>
      <c r="E434" s="0" t="str">
        <f aca="false">IF('THÁNG 8'!$C141="","",'THÁNG 8'!$E141&amp;"")</f>
        <v/>
      </c>
      <c r="F434" s="0" t="str">
        <f aca="false">IF('THÁNG 8'!$C141="","",'THÁNG 8'!$F141&amp;"")</f>
        <v/>
      </c>
      <c r="G434" s="0" t="str">
        <f aca="false">IF('THÁNG 8'!$C141="","",'THÁNG 8'!$G141&amp;"")</f>
        <v/>
      </c>
      <c r="H434" s="0" t="str">
        <f aca="false">IF('THÁNG 8'!$C141="","",'THÁNG 8'!$H141&amp;"")</f>
        <v/>
      </c>
      <c r="I434" s="0" t="str">
        <f aca="false">IF('THÁNG 8'!$C141="","",N('THÁNG 8'!$I141))</f>
        <v/>
      </c>
      <c r="J434" s="0" t="str">
        <f aca="false">IF('THÁNG 8'!$C141="","",N('THÁNG 8'!$L141))</f>
        <v/>
      </c>
      <c r="K434" s="0" t="str">
        <f aca="false">IF('THÁNG 8'!$C141="","",N('THÁNG 8'!$N141))</f>
        <v/>
      </c>
      <c r="L434" s="0" t="str">
        <f aca="false">IF('THÁNG 8'!$C141="","",N('THÁNG 8'!$O141))</f>
        <v/>
      </c>
      <c r="M434" s="0" t="str">
        <f aca="false">IF('THÁNG 8'!$C141="","",N('THÁNG 8'!$P141))</f>
        <v/>
      </c>
      <c r="N434" s="0" t="str">
        <f aca="false">IF('THÁNG 8'!$C141="","",N('THÁNG 8'!$Q141))</f>
        <v/>
      </c>
      <c r="O434" s="0" t="str">
        <f aca="false">IF('THÁNG 8'!$C141="","",N('THÁNG 8'!$R141))</f>
        <v/>
      </c>
      <c r="P434" s="0" t="str">
        <f aca="false">IF(OR('THÁNG 8'!$C141="",'THÁNG 8'!$T141=""),"",'THÁNG 8'!$T141)</f>
        <v/>
      </c>
      <c r="Q434" s="0" t="str">
        <f aca="false">IF(OR('THÁNG 8'!$C141="",'THÁNG 8'!$U141=""),"",'THÁNG 8'!$U141)</f>
        <v/>
      </c>
      <c r="R434" s="0" t="str">
        <f aca="false">IF('THÁNG 8'!$C141="","",'THÁNG 8'!$W141&amp;"")</f>
        <v/>
      </c>
      <c r="S434" s="0" t="str">
        <f aca="false">IF('THÁNG 8'!$C141="","",'THÁNG 8'!$S141&amp;"")</f>
        <v/>
      </c>
      <c r="T434" s="0" t="str">
        <f aca="false">IF(N($O434)&gt;0,COUNTIF($O$3:$O434,"&gt;0"),"")</f>
        <v/>
      </c>
      <c r="U434" s="0" t="str">
        <f aca="false">IF(AND(N($J434)&gt;0,N($K434)&gt;0),COUNTIFS($J$3:$J434,"&gt;0",$K$3:$K434,"&gt;0"),"")</f>
        <v/>
      </c>
      <c r="V434" s="0" t="str">
        <f aca="false">IF(AND(N($J434)&gt;0,N($K434)=0),COUNTIFS($J$3:$J434,"&gt;0",$K$3:$K434,"&lt;=0"),"")</f>
        <v/>
      </c>
      <c r="W434" s="0" t="str">
        <f aca="false">IF($C434="","",IF(COUNTIF($C$3:$C434,$C434)&gt;1,"",MAX($W$2:W433)+1))</f>
        <v/>
      </c>
      <c r="X434" s="0" t="str">
        <f aca="false">IF($H434="","",IF(COUNTIF($H$3:$H434,$H434)&gt;1,"",MAX($X$2:X433)+1))</f>
        <v/>
      </c>
      <c r="Y434" s="0" t="str">
        <f aca="false">IF(AND(N($M434)&gt;0,N($O434)&lt;=0),COUNTIFS($M$3:$M434,"&gt;0",$O$3:$O434,"&lt;=0"),"")</f>
        <v/>
      </c>
      <c r="Z434" s="30" t="n">
        <f aca="false">IF(OR('THÁNG 8'!$C141="",'THÁNG 8'!$B141=""),0,'THÁNG 8'!$B141)</f>
        <v>0</v>
      </c>
    </row>
    <row r="435" customFormat="false" ht="15" hidden="false" customHeight="false" outlineLevel="0" collapsed="false">
      <c r="A435" s="0" t="n">
        <v>8</v>
      </c>
      <c r="B435" s="29" t="str">
        <f aca="false">IF(OR('THÁNG 8'!$C142="",'THÁNG 8'!$B142=""),"",'THÁNG 8'!$B142)</f>
        <v/>
      </c>
      <c r="C435" s="0" t="str">
        <f aca="false">IF('THÁNG 8'!$C142="","",'THÁNG 8'!$C142)</f>
        <v/>
      </c>
      <c r="D435" s="0" t="str">
        <f aca="false">IF('THÁNG 8'!$C142="","",'THÁNG 8'!$D142&amp;"")</f>
        <v/>
      </c>
      <c r="E435" s="0" t="str">
        <f aca="false">IF('THÁNG 8'!$C142="","",'THÁNG 8'!$E142&amp;"")</f>
        <v/>
      </c>
      <c r="F435" s="0" t="str">
        <f aca="false">IF('THÁNG 8'!$C142="","",'THÁNG 8'!$F142&amp;"")</f>
        <v/>
      </c>
      <c r="G435" s="0" t="str">
        <f aca="false">IF('THÁNG 8'!$C142="","",'THÁNG 8'!$G142&amp;"")</f>
        <v/>
      </c>
      <c r="H435" s="0" t="str">
        <f aca="false">IF('THÁNG 8'!$C142="","",'THÁNG 8'!$H142&amp;"")</f>
        <v/>
      </c>
      <c r="I435" s="0" t="str">
        <f aca="false">IF('THÁNG 8'!$C142="","",N('THÁNG 8'!$I142))</f>
        <v/>
      </c>
      <c r="J435" s="0" t="str">
        <f aca="false">IF('THÁNG 8'!$C142="","",N('THÁNG 8'!$L142))</f>
        <v/>
      </c>
      <c r="K435" s="0" t="str">
        <f aca="false">IF('THÁNG 8'!$C142="","",N('THÁNG 8'!$N142))</f>
        <v/>
      </c>
      <c r="L435" s="0" t="str">
        <f aca="false">IF('THÁNG 8'!$C142="","",N('THÁNG 8'!$O142))</f>
        <v/>
      </c>
      <c r="M435" s="0" t="str">
        <f aca="false">IF('THÁNG 8'!$C142="","",N('THÁNG 8'!$P142))</f>
        <v/>
      </c>
      <c r="N435" s="0" t="str">
        <f aca="false">IF('THÁNG 8'!$C142="","",N('THÁNG 8'!$Q142))</f>
        <v/>
      </c>
      <c r="O435" s="0" t="str">
        <f aca="false">IF('THÁNG 8'!$C142="","",N('THÁNG 8'!$R142))</f>
        <v/>
      </c>
      <c r="P435" s="0" t="str">
        <f aca="false">IF(OR('THÁNG 8'!$C142="",'THÁNG 8'!$T142=""),"",'THÁNG 8'!$T142)</f>
        <v/>
      </c>
      <c r="Q435" s="0" t="str">
        <f aca="false">IF(OR('THÁNG 8'!$C142="",'THÁNG 8'!$U142=""),"",'THÁNG 8'!$U142)</f>
        <v/>
      </c>
      <c r="R435" s="0" t="str">
        <f aca="false">IF('THÁNG 8'!$C142="","",'THÁNG 8'!$W142&amp;"")</f>
        <v/>
      </c>
      <c r="S435" s="0" t="str">
        <f aca="false">IF('THÁNG 8'!$C142="","",'THÁNG 8'!$S142&amp;"")</f>
        <v/>
      </c>
      <c r="T435" s="0" t="str">
        <f aca="false">IF(N($O435)&gt;0,COUNTIF($O$3:$O435,"&gt;0"),"")</f>
        <v/>
      </c>
      <c r="U435" s="0" t="str">
        <f aca="false">IF(AND(N($J435)&gt;0,N($K435)&gt;0),COUNTIFS($J$3:$J435,"&gt;0",$K$3:$K435,"&gt;0"),"")</f>
        <v/>
      </c>
      <c r="V435" s="0" t="str">
        <f aca="false">IF(AND(N($J435)&gt;0,N($K435)=0),COUNTIFS($J$3:$J435,"&gt;0",$K$3:$K435,"&lt;=0"),"")</f>
        <v/>
      </c>
      <c r="W435" s="0" t="str">
        <f aca="false">IF($C435="","",IF(COUNTIF($C$3:$C435,$C435)&gt;1,"",MAX($W$2:W434)+1))</f>
        <v/>
      </c>
      <c r="X435" s="0" t="str">
        <f aca="false">IF($H435="","",IF(COUNTIF($H$3:$H435,$H435)&gt;1,"",MAX($X$2:X434)+1))</f>
        <v/>
      </c>
      <c r="Y435" s="0" t="str">
        <f aca="false">IF(AND(N($M435)&gt;0,N($O435)&lt;=0),COUNTIFS($M$3:$M435,"&gt;0",$O$3:$O435,"&lt;=0"),"")</f>
        <v/>
      </c>
      <c r="Z435" s="30" t="n">
        <f aca="false">IF(OR('THÁNG 8'!$C142="",'THÁNG 8'!$B142=""),0,'THÁNG 8'!$B142)</f>
        <v>0</v>
      </c>
    </row>
    <row r="436" customFormat="false" ht="15" hidden="false" customHeight="false" outlineLevel="0" collapsed="false">
      <c r="A436" s="0" t="n">
        <v>8</v>
      </c>
      <c r="B436" s="29" t="str">
        <f aca="false">IF(OR('THÁNG 8'!$C143="",'THÁNG 8'!$B143=""),"",'THÁNG 8'!$B143)</f>
        <v/>
      </c>
      <c r="C436" s="0" t="str">
        <f aca="false">IF('THÁNG 8'!$C143="","",'THÁNG 8'!$C143)</f>
        <v/>
      </c>
      <c r="D436" s="0" t="str">
        <f aca="false">IF('THÁNG 8'!$C143="","",'THÁNG 8'!$D143&amp;"")</f>
        <v/>
      </c>
      <c r="E436" s="0" t="str">
        <f aca="false">IF('THÁNG 8'!$C143="","",'THÁNG 8'!$E143&amp;"")</f>
        <v/>
      </c>
      <c r="F436" s="0" t="str">
        <f aca="false">IF('THÁNG 8'!$C143="","",'THÁNG 8'!$F143&amp;"")</f>
        <v/>
      </c>
      <c r="G436" s="0" t="str">
        <f aca="false">IF('THÁNG 8'!$C143="","",'THÁNG 8'!$G143&amp;"")</f>
        <v/>
      </c>
      <c r="H436" s="0" t="str">
        <f aca="false">IF('THÁNG 8'!$C143="","",'THÁNG 8'!$H143&amp;"")</f>
        <v/>
      </c>
      <c r="I436" s="0" t="str">
        <f aca="false">IF('THÁNG 8'!$C143="","",N('THÁNG 8'!$I143))</f>
        <v/>
      </c>
      <c r="J436" s="0" t="str">
        <f aca="false">IF('THÁNG 8'!$C143="","",N('THÁNG 8'!$L143))</f>
        <v/>
      </c>
      <c r="K436" s="0" t="str">
        <f aca="false">IF('THÁNG 8'!$C143="","",N('THÁNG 8'!$N143))</f>
        <v/>
      </c>
      <c r="L436" s="0" t="str">
        <f aca="false">IF('THÁNG 8'!$C143="","",N('THÁNG 8'!$O143))</f>
        <v/>
      </c>
      <c r="M436" s="0" t="str">
        <f aca="false">IF('THÁNG 8'!$C143="","",N('THÁNG 8'!$P143))</f>
        <v/>
      </c>
      <c r="N436" s="0" t="str">
        <f aca="false">IF('THÁNG 8'!$C143="","",N('THÁNG 8'!$Q143))</f>
        <v/>
      </c>
      <c r="O436" s="0" t="str">
        <f aca="false">IF('THÁNG 8'!$C143="","",N('THÁNG 8'!$R143))</f>
        <v/>
      </c>
      <c r="P436" s="0" t="str">
        <f aca="false">IF(OR('THÁNG 8'!$C143="",'THÁNG 8'!$T143=""),"",'THÁNG 8'!$T143)</f>
        <v/>
      </c>
      <c r="Q436" s="0" t="str">
        <f aca="false">IF(OR('THÁNG 8'!$C143="",'THÁNG 8'!$U143=""),"",'THÁNG 8'!$U143)</f>
        <v/>
      </c>
      <c r="R436" s="0" t="str">
        <f aca="false">IF('THÁNG 8'!$C143="","",'THÁNG 8'!$W143&amp;"")</f>
        <v/>
      </c>
      <c r="S436" s="0" t="str">
        <f aca="false">IF('THÁNG 8'!$C143="","",'THÁNG 8'!$S143&amp;"")</f>
        <v/>
      </c>
      <c r="T436" s="0" t="str">
        <f aca="false">IF(N($O436)&gt;0,COUNTIF($O$3:$O436,"&gt;0"),"")</f>
        <v/>
      </c>
      <c r="U436" s="0" t="str">
        <f aca="false">IF(AND(N($J436)&gt;0,N($K436)&gt;0),COUNTIFS($J$3:$J436,"&gt;0",$K$3:$K436,"&gt;0"),"")</f>
        <v/>
      </c>
      <c r="V436" s="0" t="str">
        <f aca="false">IF(AND(N($J436)&gt;0,N($K436)=0),COUNTIFS($J$3:$J436,"&gt;0",$K$3:$K436,"&lt;=0"),"")</f>
        <v/>
      </c>
      <c r="W436" s="0" t="str">
        <f aca="false">IF($C436="","",IF(COUNTIF($C$3:$C436,$C436)&gt;1,"",MAX($W$2:W435)+1))</f>
        <v/>
      </c>
      <c r="X436" s="0" t="str">
        <f aca="false">IF($H436="","",IF(COUNTIF($H$3:$H436,$H436)&gt;1,"",MAX($X$2:X435)+1))</f>
        <v/>
      </c>
      <c r="Y436" s="0" t="str">
        <f aca="false">IF(AND(N($M436)&gt;0,N($O436)&lt;=0),COUNTIFS($M$3:$M436,"&gt;0",$O$3:$O436,"&lt;=0"),"")</f>
        <v/>
      </c>
      <c r="Z436" s="30" t="n">
        <f aca="false">IF(OR('THÁNG 8'!$C143="",'THÁNG 8'!$B143=""),0,'THÁNG 8'!$B143)</f>
        <v>0</v>
      </c>
    </row>
    <row r="437" customFormat="false" ht="15" hidden="false" customHeight="false" outlineLevel="0" collapsed="false">
      <c r="A437" s="0" t="n">
        <v>8</v>
      </c>
      <c r="B437" s="29" t="str">
        <f aca="false">IF(OR('THÁNG 8'!$C144="",'THÁNG 8'!$B144=""),"",'THÁNG 8'!$B144)</f>
        <v/>
      </c>
      <c r="C437" s="0" t="str">
        <f aca="false">IF('THÁNG 8'!$C144="","",'THÁNG 8'!$C144)</f>
        <v/>
      </c>
      <c r="D437" s="0" t="str">
        <f aca="false">IF('THÁNG 8'!$C144="","",'THÁNG 8'!$D144&amp;"")</f>
        <v/>
      </c>
      <c r="E437" s="0" t="str">
        <f aca="false">IF('THÁNG 8'!$C144="","",'THÁNG 8'!$E144&amp;"")</f>
        <v/>
      </c>
      <c r="F437" s="0" t="str">
        <f aca="false">IF('THÁNG 8'!$C144="","",'THÁNG 8'!$F144&amp;"")</f>
        <v/>
      </c>
      <c r="G437" s="0" t="str">
        <f aca="false">IF('THÁNG 8'!$C144="","",'THÁNG 8'!$G144&amp;"")</f>
        <v/>
      </c>
      <c r="H437" s="0" t="str">
        <f aca="false">IF('THÁNG 8'!$C144="","",'THÁNG 8'!$H144&amp;"")</f>
        <v/>
      </c>
      <c r="I437" s="0" t="str">
        <f aca="false">IF('THÁNG 8'!$C144="","",N('THÁNG 8'!$I144))</f>
        <v/>
      </c>
      <c r="J437" s="0" t="str">
        <f aca="false">IF('THÁNG 8'!$C144="","",N('THÁNG 8'!$L144))</f>
        <v/>
      </c>
      <c r="K437" s="0" t="str">
        <f aca="false">IF('THÁNG 8'!$C144="","",N('THÁNG 8'!$N144))</f>
        <v/>
      </c>
      <c r="L437" s="0" t="str">
        <f aca="false">IF('THÁNG 8'!$C144="","",N('THÁNG 8'!$O144))</f>
        <v/>
      </c>
      <c r="M437" s="0" t="str">
        <f aca="false">IF('THÁNG 8'!$C144="","",N('THÁNG 8'!$P144))</f>
        <v/>
      </c>
      <c r="N437" s="0" t="str">
        <f aca="false">IF('THÁNG 8'!$C144="","",N('THÁNG 8'!$Q144))</f>
        <v/>
      </c>
      <c r="O437" s="0" t="str">
        <f aca="false">IF('THÁNG 8'!$C144="","",N('THÁNG 8'!$R144))</f>
        <v/>
      </c>
      <c r="P437" s="0" t="str">
        <f aca="false">IF(OR('THÁNG 8'!$C144="",'THÁNG 8'!$T144=""),"",'THÁNG 8'!$T144)</f>
        <v/>
      </c>
      <c r="Q437" s="0" t="str">
        <f aca="false">IF(OR('THÁNG 8'!$C144="",'THÁNG 8'!$U144=""),"",'THÁNG 8'!$U144)</f>
        <v/>
      </c>
      <c r="R437" s="0" t="str">
        <f aca="false">IF('THÁNG 8'!$C144="","",'THÁNG 8'!$W144&amp;"")</f>
        <v/>
      </c>
      <c r="S437" s="0" t="str">
        <f aca="false">IF('THÁNG 8'!$C144="","",'THÁNG 8'!$S144&amp;"")</f>
        <v/>
      </c>
      <c r="T437" s="0" t="str">
        <f aca="false">IF(N($O437)&gt;0,COUNTIF($O$3:$O437,"&gt;0"),"")</f>
        <v/>
      </c>
      <c r="U437" s="0" t="str">
        <f aca="false">IF(AND(N($J437)&gt;0,N($K437)&gt;0),COUNTIFS($J$3:$J437,"&gt;0",$K$3:$K437,"&gt;0"),"")</f>
        <v/>
      </c>
      <c r="V437" s="0" t="str">
        <f aca="false">IF(AND(N($J437)&gt;0,N($K437)=0),COUNTIFS($J$3:$J437,"&gt;0",$K$3:$K437,"&lt;=0"),"")</f>
        <v/>
      </c>
      <c r="W437" s="0" t="str">
        <f aca="false">IF($C437="","",IF(COUNTIF($C$3:$C437,$C437)&gt;1,"",MAX($W$2:W436)+1))</f>
        <v/>
      </c>
      <c r="X437" s="0" t="str">
        <f aca="false">IF($H437="","",IF(COUNTIF($H$3:$H437,$H437)&gt;1,"",MAX($X$2:X436)+1))</f>
        <v/>
      </c>
      <c r="Y437" s="0" t="str">
        <f aca="false">IF(AND(N($M437)&gt;0,N($O437)&lt;=0),COUNTIFS($M$3:$M437,"&gt;0",$O$3:$O437,"&lt;=0"),"")</f>
        <v/>
      </c>
      <c r="Z437" s="30" t="n">
        <f aca="false">IF(OR('THÁNG 8'!$C144="",'THÁNG 8'!$B144=""),0,'THÁNG 8'!$B144)</f>
        <v>0</v>
      </c>
    </row>
    <row r="438" customFormat="false" ht="15" hidden="false" customHeight="false" outlineLevel="0" collapsed="false">
      <c r="A438" s="0" t="n">
        <v>8</v>
      </c>
      <c r="B438" s="29" t="str">
        <f aca="false">IF(OR('THÁNG 8'!$C145="",'THÁNG 8'!$B145=""),"",'THÁNG 8'!$B145)</f>
        <v/>
      </c>
      <c r="C438" s="0" t="str">
        <f aca="false">IF('THÁNG 8'!$C145="","",'THÁNG 8'!$C145)</f>
        <v/>
      </c>
      <c r="D438" s="0" t="str">
        <f aca="false">IF('THÁNG 8'!$C145="","",'THÁNG 8'!$D145&amp;"")</f>
        <v/>
      </c>
      <c r="E438" s="0" t="str">
        <f aca="false">IF('THÁNG 8'!$C145="","",'THÁNG 8'!$E145&amp;"")</f>
        <v/>
      </c>
      <c r="F438" s="0" t="str">
        <f aca="false">IF('THÁNG 8'!$C145="","",'THÁNG 8'!$F145&amp;"")</f>
        <v/>
      </c>
      <c r="G438" s="0" t="str">
        <f aca="false">IF('THÁNG 8'!$C145="","",'THÁNG 8'!$G145&amp;"")</f>
        <v/>
      </c>
      <c r="H438" s="0" t="str">
        <f aca="false">IF('THÁNG 8'!$C145="","",'THÁNG 8'!$H145&amp;"")</f>
        <v/>
      </c>
      <c r="I438" s="0" t="str">
        <f aca="false">IF('THÁNG 8'!$C145="","",N('THÁNG 8'!$I145))</f>
        <v/>
      </c>
      <c r="J438" s="0" t="str">
        <f aca="false">IF('THÁNG 8'!$C145="","",N('THÁNG 8'!$L145))</f>
        <v/>
      </c>
      <c r="K438" s="0" t="str">
        <f aca="false">IF('THÁNG 8'!$C145="","",N('THÁNG 8'!$N145))</f>
        <v/>
      </c>
      <c r="L438" s="0" t="str">
        <f aca="false">IF('THÁNG 8'!$C145="","",N('THÁNG 8'!$O145))</f>
        <v/>
      </c>
      <c r="M438" s="0" t="str">
        <f aca="false">IF('THÁNG 8'!$C145="","",N('THÁNG 8'!$P145))</f>
        <v/>
      </c>
      <c r="N438" s="0" t="str">
        <f aca="false">IF('THÁNG 8'!$C145="","",N('THÁNG 8'!$Q145))</f>
        <v/>
      </c>
      <c r="O438" s="0" t="str">
        <f aca="false">IF('THÁNG 8'!$C145="","",N('THÁNG 8'!$R145))</f>
        <v/>
      </c>
      <c r="P438" s="0" t="str">
        <f aca="false">IF(OR('THÁNG 8'!$C145="",'THÁNG 8'!$T145=""),"",'THÁNG 8'!$T145)</f>
        <v/>
      </c>
      <c r="Q438" s="0" t="str">
        <f aca="false">IF(OR('THÁNG 8'!$C145="",'THÁNG 8'!$U145=""),"",'THÁNG 8'!$U145)</f>
        <v/>
      </c>
      <c r="R438" s="0" t="str">
        <f aca="false">IF('THÁNG 8'!$C145="","",'THÁNG 8'!$W145&amp;"")</f>
        <v/>
      </c>
      <c r="S438" s="0" t="str">
        <f aca="false">IF('THÁNG 8'!$C145="","",'THÁNG 8'!$S145&amp;"")</f>
        <v/>
      </c>
      <c r="T438" s="0" t="str">
        <f aca="false">IF(N($O438)&gt;0,COUNTIF($O$3:$O438,"&gt;0"),"")</f>
        <v/>
      </c>
      <c r="U438" s="0" t="str">
        <f aca="false">IF(AND(N($J438)&gt;0,N($K438)&gt;0),COUNTIFS($J$3:$J438,"&gt;0",$K$3:$K438,"&gt;0"),"")</f>
        <v/>
      </c>
      <c r="V438" s="0" t="str">
        <f aca="false">IF(AND(N($J438)&gt;0,N($K438)=0),COUNTIFS($J$3:$J438,"&gt;0",$K$3:$K438,"&lt;=0"),"")</f>
        <v/>
      </c>
      <c r="W438" s="0" t="str">
        <f aca="false">IF($C438="","",IF(COUNTIF($C$3:$C438,$C438)&gt;1,"",MAX($W$2:W437)+1))</f>
        <v/>
      </c>
      <c r="X438" s="0" t="str">
        <f aca="false">IF($H438="","",IF(COUNTIF($H$3:$H438,$H438)&gt;1,"",MAX($X$2:X437)+1))</f>
        <v/>
      </c>
      <c r="Y438" s="0" t="str">
        <f aca="false">IF(AND(N($M438)&gt;0,N($O438)&lt;=0),COUNTIFS($M$3:$M438,"&gt;0",$O$3:$O438,"&lt;=0"),"")</f>
        <v/>
      </c>
      <c r="Z438" s="30" t="n">
        <f aca="false">IF(OR('THÁNG 8'!$C145="",'THÁNG 8'!$B145=""),0,'THÁNG 8'!$B145)</f>
        <v>0</v>
      </c>
    </row>
    <row r="439" customFormat="false" ht="15" hidden="false" customHeight="false" outlineLevel="0" collapsed="false">
      <c r="A439" s="0" t="n">
        <v>8</v>
      </c>
      <c r="B439" s="29" t="str">
        <f aca="false">IF(OR('THÁNG 8'!$C146="",'THÁNG 8'!$B146=""),"",'THÁNG 8'!$B146)</f>
        <v/>
      </c>
      <c r="C439" s="0" t="str">
        <f aca="false">IF('THÁNG 8'!$C146="","",'THÁNG 8'!$C146)</f>
        <v/>
      </c>
      <c r="D439" s="0" t="str">
        <f aca="false">IF('THÁNG 8'!$C146="","",'THÁNG 8'!$D146&amp;"")</f>
        <v/>
      </c>
      <c r="E439" s="0" t="str">
        <f aca="false">IF('THÁNG 8'!$C146="","",'THÁNG 8'!$E146&amp;"")</f>
        <v/>
      </c>
      <c r="F439" s="0" t="str">
        <f aca="false">IF('THÁNG 8'!$C146="","",'THÁNG 8'!$F146&amp;"")</f>
        <v/>
      </c>
      <c r="G439" s="0" t="str">
        <f aca="false">IF('THÁNG 8'!$C146="","",'THÁNG 8'!$G146&amp;"")</f>
        <v/>
      </c>
      <c r="H439" s="0" t="str">
        <f aca="false">IF('THÁNG 8'!$C146="","",'THÁNG 8'!$H146&amp;"")</f>
        <v/>
      </c>
      <c r="I439" s="0" t="str">
        <f aca="false">IF('THÁNG 8'!$C146="","",N('THÁNG 8'!$I146))</f>
        <v/>
      </c>
      <c r="J439" s="0" t="str">
        <f aca="false">IF('THÁNG 8'!$C146="","",N('THÁNG 8'!$L146))</f>
        <v/>
      </c>
      <c r="K439" s="0" t="str">
        <f aca="false">IF('THÁNG 8'!$C146="","",N('THÁNG 8'!$N146))</f>
        <v/>
      </c>
      <c r="L439" s="0" t="str">
        <f aca="false">IF('THÁNG 8'!$C146="","",N('THÁNG 8'!$O146))</f>
        <v/>
      </c>
      <c r="M439" s="0" t="str">
        <f aca="false">IF('THÁNG 8'!$C146="","",N('THÁNG 8'!$P146))</f>
        <v/>
      </c>
      <c r="N439" s="0" t="str">
        <f aca="false">IF('THÁNG 8'!$C146="","",N('THÁNG 8'!$Q146))</f>
        <v/>
      </c>
      <c r="O439" s="0" t="str">
        <f aca="false">IF('THÁNG 8'!$C146="","",N('THÁNG 8'!$R146))</f>
        <v/>
      </c>
      <c r="P439" s="0" t="str">
        <f aca="false">IF(OR('THÁNG 8'!$C146="",'THÁNG 8'!$T146=""),"",'THÁNG 8'!$T146)</f>
        <v/>
      </c>
      <c r="Q439" s="0" t="str">
        <f aca="false">IF(OR('THÁNG 8'!$C146="",'THÁNG 8'!$U146=""),"",'THÁNG 8'!$U146)</f>
        <v/>
      </c>
      <c r="R439" s="0" t="str">
        <f aca="false">IF('THÁNG 8'!$C146="","",'THÁNG 8'!$W146&amp;"")</f>
        <v/>
      </c>
      <c r="S439" s="0" t="str">
        <f aca="false">IF('THÁNG 8'!$C146="","",'THÁNG 8'!$S146&amp;"")</f>
        <v/>
      </c>
      <c r="T439" s="0" t="str">
        <f aca="false">IF(N($O439)&gt;0,COUNTIF($O$3:$O439,"&gt;0"),"")</f>
        <v/>
      </c>
      <c r="U439" s="0" t="str">
        <f aca="false">IF(AND(N($J439)&gt;0,N($K439)&gt;0),COUNTIFS($J$3:$J439,"&gt;0",$K$3:$K439,"&gt;0"),"")</f>
        <v/>
      </c>
      <c r="V439" s="0" t="str">
        <f aca="false">IF(AND(N($J439)&gt;0,N($K439)=0),COUNTIFS($J$3:$J439,"&gt;0",$K$3:$K439,"&lt;=0"),"")</f>
        <v/>
      </c>
      <c r="W439" s="0" t="str">
        <f aca="false">IF($C439="","",IF(COUNTIF($C$3:$C439,$C439)&gt;1,"",MAX($W$2:W438)+1))</f>
        <v/>
      </c>
      <c r="X439" s="0" t="str">
        <f aca="false">IF($H439="","",IF(COUNTIF($H$3:$H439,$H439)&gt;1,"",MAX($X$2:X438)+1))</f>
        <v/>
      </c>
      <c r="Y439" s="0" t="str">
        <f aca="false">IF(AND(N($M439)&gt;0,N($O439)&lt;=0),COUNTIFS($M$3:$M439,"&gt;0",$O$3:$O439,"&lt;=0"),"")</f>
        <v/>
      </c>
      <c r="Z439" s="30" t="n">
        <f aca="false">IF(OR('THÁNG 8'!$C146="",'THÁNG 8'!$B146=""),0,'THÁNG 8'!$B146)</f>
        <v>0</v>
      </c>
    </row>
    <row r="440" customFormat="false" ht="15" hidden="false" customHeight="false" outlineLevel="0" collapsed="false">
      <c r="A440" s="0" t="n">
        <v>8</v>
      </c>
      <c r="B440" s="29" t="str">
        <f aca="false">IF(OR('THÁNG 8'!$C147="",'THÁNG 8'!$B147=""),"",'THÁNG 8'!$B147)</f>
        <v/>
      </c>
      <c r="C440" s="0" t="str">
        <f aca="false">IF('THÁNG 8'!$C147="","",'THÁNG 8'!$C147)</f>
        <v/>
      </c>
      <c r="D440" s="0" t="str">
        <f aca="false">IF('THÁNG 8'!$C147="","",'THÁNG 8'!$D147&amp;"")</f>
        <v/>
      </c>
      <c r="E440" s="0" t="str">
        <f aca="false">IF('THÁNG 8'!$C147="","",'THÁNG 8'!$E147&amp;"")</f>
        <v/>
      </c>
      <c r="F440" s="0" t="str">
        <f aca="false">IF('THÁNG 8'!$C147="","",'THÁNG 8'!$F147&amp;"")</f>
        <v/>
      </c>
      <c r="G440" s="0" t="str">
        <f aca="false">IF('THÁNG 8'!$C147="","",'THÁNG 8'!$G147&amp;"")</f>
        <v/>
      </c>
      <c r="H440" s="0" t="str">
        <f aca="false">IF('THÁNG 8'!$C147="","",'THÁNG 8'!$H147&amp;"")</f>
        <v/>
      </c>
      <c r="I440" s="0" t="str">
        <f aca="false">IF('THÁNG 8'!$C147="","",N('THÁNG 8'!$I147))</f>
        <v/>
      </c>
      <c r="J440" s="0" t="str">
        <f aca="false">IF('THÁNG 8'!$C147="","",N('THÁNG 8'!$L147))</f>
        <v/>
      </c>
      <c r="K440" s="0" t="str">
        <f aca="false">IF('THÁNG 8'!$C147="","",N('THÁNG 8'!$N147))</f>
        <v/>
      </c>
      <c r="L440" s="0" t="str">
        <f aca="false">IF('THÁNG 8'!$C147="","",N('THÁNG 8'!$O147))</f>
        <v/>
      </c>
      <c r="M440" s="0" t="str">
        <f aca="false">IF('THÁNG 8'!$C147="","",N('THÁNG 8'!$P147))</f>
        <v/>
      </c>
      <c r="N440" s="0" t="str">
        <f aca="false">IF('THÁNG 8'!$C147="","",N('THÁNG 8'!$Q147))</f>
        <v/>
      </c>
      <c r="O440" s="0" t="str">
        <f aca="false">IF('THÁNG 8'!$C147="","",N('THÁNG 8'!$R147))</f>
        <v/>
      </c>
      <c r="P440" s="0" t="str">
        <f aca="false">IF(OR('THÁNG 8'!$C147="",'THÁNG 8'!$T147=""),"",'THÁNG 8'!$T147)</f>
        <v/>
      </c>
      <c r="Q440" s="0" t="str">
        <f aca="false">IF(OR('THÁNG 8'!$C147="",'THÁNG 8'!$U147=""),"",'THÁNG 8'!$U147)</f>
        <v/>
      </c>
      <c r="R440" s="0" t="str">
        <f aca="false">IF('THÁNG 8'!$C147="","",'THÁNG 8'!$W147&amp;"")</f>
        <v/>
      </c>
      <c r="S440" s="0" t="str">
        <f aca="false">IF('THÁNG 8'!$C147="","",'THÁNG 8'!$S147&amp;"")</f>
        <v/>
      </c>
      <c r="T440" s="0" t="str">
        <f aca="false">IF(N($O440)&gt;0,COUNTIF($O$3:$O440,"&gt;0"),"")</f>
        <v/>
      </c>
      <c r="U440" s="0" t="str">
        <f aca="false">IF(AND(N($J440)&gt;0,N($K440)&gt;0),COUNTIFS($J$3:$J440,"&gt;0",$K$3:$K440,"&gt;0"),"")</f>
        <v/>
      </c>
      <c r="V440" s="0" t="str">
        <f aca="false">IF(AND(N($J440)&gt;0,N($K440)=0),COUNTIFS($J$3:$J440,"&gt;0",$K$3:$K440,"&lt;=0"),"")</f>
        <v/>
      </c>
      <c r="W440" s="0" t="str">
        <f aca="false">IF($C440="","",IF(COUNTIF($C$3:$C440,$C440)&gt;1,"",MAX($W$2:W439)+1))</f>
        <v/>
      </c>
      <c r="X440" s="0" t="str">
        <f aca="false">IF($H440="","",IF(COUNTIF($H$3:$H440,$H440)&gt;1,"",MAX($X$2:X439)+1))</f>
        <v/>
      </c>
      <c r="Y440" s="0" t="str">
        <f aca="false">IF(AND(N($M440)&gt;0,N($O440)&lt;=0),COUNTIFS($M$3:$M440,"&gt;0",$O$3:$O440,"&lt;=0"),"")</f>
        <v/>
      </c>
      <c r="Z440" s="30" t="n">
        <f aca="false">IF(OR('THÁNG 8'!$C147="",'THÁNG 8'!$B147=""),0,'THÁNG 8'!$B147)</f>
        <v>0</v>
      </c>
    </row>
    <row r="441" customFormat="false" ht="15" hidden="false" customHeight="false" outlineLevel="0" collapsed="false">
      <c r="A441" s="0" t="n">
        <v>8</v>
      </c>
      <c r="B441" s="29" t="str">
        <f aca="false">IF(OR('THÁNG 8'!$C148="",'THÁNG 8'!$B148=""),"",'THÁNG 8'!$B148)</f>
        <v/>
      </c>
      <c r="C441" s="0" t="str">
        <f aca="false">IF('THÁNG 8'!$C148="","",'THÁNG 8'!$C148)</f>
        <v/>
      </c>
      <c r="D441" s="0" t="str">
        <f aca="false">IF('THÁNG 8'!$C148="","",'THÁNG 8'!$D148&amp;"")</f>
        <v/>
      </c>
      <c r="E441" s="0" t="str">
        <f aca="false">IF('THÁNG 8'!$C148="","",'THÁNG 8'!$E148&amp;"")</f>
        <v/>
      </c>
      <c r="F441" s="0" t="str">
        <f aca="false">IF('THÁNG 8'!$C148="","",'THÁNG 8'!$F148&amp;"")</f>
        <v/>
      </c>
      <c r="G441" s="0" t="str">
        <f aca="false">IF('THÁNG 8'!$C148="","",'THÁNG 8'!$G148&amp;"")</f>
        <v/>
      </c>
      <c r="H441" s="0" t="str">
        <f aca="false">IF('THÁNG 8'!$C148="","",'THÁNG 8'!$H148&amp;"")</f>
        <v/>
      </c>
      <c r="I441" s="0" t="str">
        <f aca="false">IF('THÁNG 8'!$C148="","",N('THÁNG 8'!$I148))</f>
        <v/>
      </c>
      <c r="J441" s="0" t="str">
        <f aca="false">IF('THÁNG 8'!$C148="","",N('THÁNG 8'!$L148))</f>
        <v/>
      </c>
      <c r="K441" s="0" t="str">
        <f aca="false">IF('THÁNG 8'!$C148="","",N('THÁNG 8'!$N148))</f>
        <v/>
      </c>
      <c r="L441" s="0" t="str">
        <f aca="false">IF('THÁNG 8'!$C148="","",N('THÁNG 8'!$O148))</f>
        <v/>
      </c>
      <c r="M441" s="0" t="str">
        <f aca="false">IF('THÁNG 8'!$C148="","",N('THÁNG 8'!$P148))</f>
        <v/>
      </c>
      <c r="N441" s="0" t="str">
        <f aca="false">IF('THÁNG 8'!$C148="","",N('THÁNG 8'!$Q148))</f>
        <v/>
      </c>
      <c r="O441" s="0" t="str">
        <f aca="false">IF('THÁNG 8'!$C148="","",N('THÁNG 8'!$R148))</f>
        <v/>
      </c>
      <c r="P441" s="0" t="str">
        <f aca="false">IF(OR('THÁNG 8'!$C148="",'THÁNG 8'!$T148=""),"",'THÁNG 8'!$T148)</f>
        <v/>
      </c>
      <c r="Q441" s="0" t="str">
        <f aca="false">IF(OR('THÁNG 8'!$C148="",'THÁNG 8'!$U148=""),"",'THÁNG 8'!$U148)</f>
        <v/>
      </c>
      <c r="R441" s="0" t="str">
        <f aca="false">IF('THÁNG 8'!$C148="","",'THÁNG 8'!$W148&amp;"")</f>
        <v/>
      </c>
      <c r="S441" s="0" t="str">
        <f aca="false">IF('THÁNG 8'!$C148="","",'THÁNG 8'!$S148&amp;"")</f>
        <v/>
      </c>
      <c r="T441" s="0" t="str">
        <f aca="false">IF(N($O441)&gt;0,COUNTIF($O$3:$O441,"&gt;0"),"")</f>
        <v/>
      </c>
      <c r="U441" s="0" t="str">
        <f aca="false">IF(AND(N($J441)&gt;0,N($K441)&gt;0),COUNTIFS($J$3:$J441,"&gt;0",$K$3:$K441,"&gt;0"),"")</f>
        <v/>
      </c>
      <c r="V441" s="0" t="str">
        <f aca="false">IF(AND(N($J441)&gt;0,N($K441)=0),COUNTIFS($J$3:$J441,"&gt;0",$K$3:$K441,"&lt;=0"),"")</f>
        <v/>
      </c>
      <c r="W441" s="0" t="str">
        <f aca="false">IF($C441="","",IF(COUNTIF($C$3:$C441,$C441)&gt;1,"",MAX($W$2:W440)+1))</f>
        <v/>
      </c>
      <c r="X441" s="0" t="str">
        <f aca="false">IF($H441="","",IF(COUNTIF($H$3:$H441,$H441)&gt;1,"",MAX($X$2:X440)+1))</f>
        <v/>
      </c>
      <c r="Y441" s="0" t="str">
        <f aca="false">IF(AND(N($M441)&gt;0,N($O441)&lt;=0),COUNTIFS($M$3:$M441,"&gt;0",$O$3:$O441,"&lt;=0"),"")</f>
        <v/>
      </c>
      <c r="Z441" s="30" t="n">
        <f aca="false">IF(OR('THÁNG 8'!$C148="",'THÁNG 8'!$B148=""),0,'THÁNG 8'!$B148)</f>
        <v>0</v>
      </c>
    </row>
    <row r="442" customFormat="false" ht="15" hidden="false" customHeight="false" outlineLevel="0" collapsed="false">
      <c r="A442" s="0" t="n">
        <v>8</v>
      </c>
      <c r="B442" s="29" t="str">
        <f aca="false">IF(OR('THÁNG 8'!$C149="",'THÁNG 8'!$B149=""),"",'THÁNG 8'!$B149)</f>
        <v/>
      </c>
      <c r="C442" s="0" t="str">
        <f aca="false">IF('THÁNG 8'!$C149="","",'THÁNG 8'!$C149)</f>
        <v/>
      </c>
      <c r="D442" s="0" t="str">
        <f aca="false">IF('THÁNG 8'!$C149="","",'THÁNG 8'!$D149&amp;"")</f>
        <v/>
      </c>
      <c r="E442" s="0" t="str">
        <f aca="false">IF('THÁNG 8'!$C149="","",'THÁNG 8'!$E149&amp;"")</f>
        <v/>
      </c>
      <c r="F442" s="0" t="str">
        <f aca="false">IF('THÁNG 8'!$C149="","",'THÁNG 8'!$F149&amp;"")</f>
        <v/>
      </c>
      <c r="G442" s="0" t="str">
        <f aca="false">IF('THÁNG 8'!$C149="","",'THÁNG 8'!$G149&amp;"")</f>
        <v/>
      </c>
      <c r="H442" s="0" t="str">
        <f aca="false">IF('THÁNG 8'!$C149="","",'THÁNG 8'!$H149&amp;"")</f>
        <v/>
      </c>
      <c r="I442" s="0" t="str">
        <f aca="false">IF('THÁNG 8'!$C149="","",N('THÁNG 8'!$I149))</f>
        <v/>
      </c>
      <c r="J442" s="0" t="str">
        <f aca="false">IF('THÁNG 8'!$C149="","",N('THÁNG 8'!$L149))</f>
        <v/>
      </c>
      <c r="K442" s="0" t="str">
        <f aca="false">IF('THÁNG 8'!$C149="","",N('THÁNG 8'!$N149))</f>
        <v/>
      </c>
      <c r="L442" s="0" t="str">
        <f aca="false">IF('THÁNG 8'!$C149="","",N('THÁNG 8'!$O149))</f>
        <v/>
      </c>
      <c r="M442" s="0" t="str">
        <f aca="false">IF('THÁNG 8'!$C149="","",N('THÁNG 8'!$P149))</f>
        <v/>
      </c>
      <c r="N442" s="0" t="str">
        <f aca="false">IF('THÁNG 8'!$C149="","",N('THÁNG 8'!$Q149))</f>
        <v/>
      </c>
      <c r="O442" s="0" t="str">
        <f aca="false">IF('THÁNG 8'!$C149="","",N('THÁNG 8'!$R149))</f>
        <v/>
      </c>
      <c r="P442" s="0" t="str">
        <f aca="false">IF(OR('THÁNG 8'!$C149="",'THÁNG 8'!$T149=""),"",'THÁNG 8'!$T149)</f>
        <v/>
      </c>
      <c r="Q442" s="0" t="str">
        <f aca="false">IF(OR('THÁNG 8'!$C149="",'THÁNG 8'!$U149=""),"",'THÁNG 8'!$U149)</f>
        <v/>
      </c>
      <c r="R442" s="0" t="str">
        <f aca="false">IF('THÁNG 8'!$C149="","",'THÁNG 8'!$W149&amp;"")</f>
        <v/>
      </c>
      <c r="S442" s="0" t="str">
        <f aca="false">IF('THÁNG 8'!$C149="","",'THÁNG 8'!$S149&amp;"")</f>
        <v/>
      </c>
      <c r="T442" s="0" t="str">
        <f aca="false">IF(N($O442)&gt;0,COUNTIF($O$3:$O442,"&gt;0"),"")</f>
        <v/>
      </c>
      <c r="U442" s="0" t="str">
        <f aca="false">IF(AND(N($J442)&gt;0,N($K442)&gt;0),COUNTIFS($J$3:$J442,"&gt;0",$K$3:$K442,"&gt;0"),"")</f>
        <v/>
      </c>
      <c r="V442" s="0" t="str">
        <f aca="false">IF(AND(N($J442)&gt;0,N($K442)=0),COUNTIFS($J$3:$J442,"&gt;0",$K$3:$K442,"&lt;=0"),"")</f>
        <v/>
      </c>
      <c r="W442" s="0" t="str">
        <f aca="false">IF($C442="","",IF(COUNTIF($C$3:$C442,$C442)&gt;1,"",MAX($W$2:W441)+1))</f>
        <v/>
      </c>
      <c r="X442" s="0" t="str">
        <f aca="false">IF($H442="","",IF(COUNTIF($H$3:$H442,$H442)&gt;1,"",MAX($X$2:X441)+1))</f>
        <v/>
      </c>
      <c r="Y442" s="0" t="str">
        <f aca="false">IF(AND(N($M442)&gt;0,N($O442)&lt;=0),COUNTIFS($M$3:$M442,"&gt;0",$O$3:$O442,"&lt;=0"),"")</f>
        <v/>
      </c>
      <c r="Z442" s="30" t="n">
        <f aca="false">IF(OR('THÁNG 8'!$C149="",'THÁNG 8'!$B149=""),0,'THÁNG 8'!$B149)</f>
        <v>0</v>
      </c>
    </row>
    <row r="443" customFormat="false" ht="15" hidden="false" customHeight="false" outlineLevel="0" collapsed="false">
      <c r="A443" s="0" t="n">
        <v>8</v>
      </c>
      <c r="B443" s="29" t="str">
        <f aca="false">IF(OR('THÁNG 8'!$C150="",'THÁNG 8'!$B150=""),"",'THÁNG 8'!$B150)</f>
        <v/>
      </c>
      <c r="C443" s="0" t="str">
        <f aca="false">IF('THÁNG 8'!$C150="","",'THÁNG 8'!$C150)</f>
        <v/>
      </c>
      <c r="D443" s="0" t="str">
        <f aca="false">IF('THÁNG 8'!$C150="","",'THÁNG 8'!$D150&amp;"")</f>
        <v/>
      </c>
      <c r="E443" s="0" t="str">
        <f aca="false">IF('THÁNG 8'!$C150="","",'THÁNG 8'!$E150&amp;"")</f>
        <v/>
      </c>
      <c r="F443" s="0" t="str">
        <f aca="false">IF('THÁNG 8'!$C150="","",'THÁNG 8'!$F150&amp;"")</f>
        <v/>
      </c>
      <c r="G443" s="0" t="str">
        <f aca="false">IF('THÁNG 8'!$C150="","",'THÁNG 8'!$G150&amp;"")</f>
        <v/>
      </c>
      <c r="H443" s="0" t="str">
        <f aca="false">IF('THÁNG 8'!$C150="","",'THÁNG 8'!$H150&amp;"")</f>
        <v/>
      </c>
      <c r="I443" s="0" t="str">
        <f aca="false">IF('THÁNG 8'!$C150="","",N('THÁNG 8'!$I150))</f>
        <v/>
      </c>
      <c r="J443" s="0" t="str">
        <f aca="false">IF('THÁNG 8'!$C150="","",N('THÁNG 8'!$L150))</f>
        <v/>
      </c>
      <c r="K443" s="0" t="str">
        <f aca="false">IF('THÁNG 8'!$C150="","",N('THÁNG 8'!$N150))</f>
        <v/>
      </c>
      <c r="L443" s="0" t="str">
        <f aca="false">IF('THÁNG 8'!$C150="","",N('THÁNG 8'!$O150))</f>
        <v/>
      </c>
      <c r="M443" s="0" t="str">
        <f aca="false">IF('THÁNG 8'!$C150="","",N('THÁNG 8'!$P150))</f>
        <v/>
      </c>
      <c r="N443" s="0" t="str">
        <f aca="false">IF('THÁNG 8'!$C150="","",N('THÁNG 8'!$Q150))</f>
        <v/>
      </c>
      <c r="O443" s="0" t="str">
        <f aca="false">IF('THÁNG 8'!$C150="","",N('THÁNG 8'!$R150))</f>
        <v/>
      </c>
      <c r="P443" s="0" t="str">
        <f aca="false">IF(OR('THÁNG 8'!$C150="",'THÁNG 8'!$T150=""),"",'THÁNG 8'!$T150)</f>
        <v/>
      </c>
      <c r="Q443" s="0" t="str">
        <f aca="false">IF(OR('THÁNG 8'!$C150="",'THÁNG 8'!$U150=""),"",'THÁNG 8'!$U150)</f>
        <v/>
      </c>
      <c r="R443" s="0" t="str">
        <f aca="false">IF('THÁNG 8'!$C150="","",'THÁNG 8'!$W150&amp;"")</f>
        <v/>
      </c>
      <c r="S443" s="0" t="str">
        <f aca="false">IF('THÁNG 8'!$C150="","",'THÁNG 8'!$S150&amp;"")</f>
        <v/>
      </c>
      <c r="T443" s="0" t="str">
        <f aca="false">IF(N($O443)&gt;0,COUNTIF($O$3:$O443,"&gt;0"),"")</f>
        <v/>
      </c>
      <c r="U443" s="0" t="str">
        <f aca="false">IF(AND(N($J443)&gt;0,N($K443)&gt;0),COUNTIFS($J$3:$J443,"&gt;0",$K$3:$K443,"&gt;0"),"")</f>
        <v/>
      </c>
      <c r="V443" s="0" t="str">
        <f aca="false">IF(AND(N($J443)&gt;0,N($K443)=0),COUNTIFS($J$3:$J443,"&gt;0",$K$3:$K443,"&lt;=0"),"")</f>
        <v/>
      </c>
      <c r="W443" s="0" t="str">
        <f aca="false">IF($C443="","",IF(COUNTIF($C$3:$C443,$C443)&gt;1,"",MAX($W$2:W442)+1))</f>
        <v/>
      </c>
      <c r="X443" s="0" t="str">
        <f aca="false">IF($H443="","",IF(COUNTIF($H$3:$H443,$H443)&gt;1,"",MAX($X$2:X442)+1))</f>
        <v/>
      </c>
      <c r="Y443" s="0" t="str">
        <f aca="false">IF(AND(N($M443)&gt;0,N($O443)&lt;=0),COUNTIFS($M$3:$M443,"&gt;0",$O$3:$O443,"&lt;=0"),"")</f>
        <v/>
      </c>
      <c r="Z443" s="30" t="n">
        <f aca="false">IF(OR('THÁNG 8'!$C150="",'THÁNG 8'!$B150=""),0,'THÁNG 8'!$B150)</f>
        <v>0</v>
      </c>
    </row>
    <row r="444" customFormat="false" ht="15" hidden="false" customHeight="false" outlineLevel="0" collapsed="false">
      <c r="A444" s="0" t="n">
        <v>8</v>
      </c>
      <c r="B444" s="29" t="str">
        <f aca="false">IF(OR('THÁNG 8'!$C151="",'THÁNG 8'!$B151=""),"",'THÁNG 8'!$B151)</f>
        <v/>
      </c>
      <c r="C444" s="0" t="str">
        <f aca="false">IF('THÁNG 8'!$C151="","",'THÁNG 8'!$C151)</f>
        <v/>
      </c>
      <c r="D444" s="0" t="str">
        <f aca="false">IF('THÁNG 8'!$C151="","",'THÁNG 8'!$D151&amp;"")</f>
        <v/>
      </c>
      <c r="E444" s="0" t="str">
        <f aca="false">IF('THÁNG 8'!$C151="","",'THÁNG 8'!$E151&amp;"")</f>
        <v/>
      </c>
      <c r="F444" s="0" t="str">
        <f aca="false">IF('THÁNG 8'!$C151="","",'THÁNG 8'!$F151&amp;"")</f>
        <v/>
      </c>
      <c r="G444" s="0" t="str">
        <f aca="false">IF('THÁNG 8'!$C151="","",'THÁNG 8'!$G151&amp;"")</f>
        <v/>
      </c>
      <c r="H444" s="0" t="str">
        <f aca="false">IF('THÁNG 8'!$C151="","",'THÁNG 8'!$H151&amp;"")</f>
        <v/>
      </c>
      <c r="I444" s="0" t="str">
        <f aca="false">IF('THÁNG 8'!$C151="","",N('THÁNG 8'!$I151))</f>
        <v/>
      </c>
      <c r="J444" s="0" t="str">
        <f aca="false">IF('THÁNG 8'!$C151="","",N('THÁNG 8'!$L151))</f>
        <v/>
      </c>
      <c r="K444" s="0" t="str">
        <f aca="false">IF('THÁNG 8'!$C151="","",N('THÁNG 8'!$N151))</f>
        <v/>
      </c>
      <c r="L444" s="0" t="str">
        <f aca="false">IF('THÁNG 8'!$C151="","",N('THÁNG 8'!$O151))</f>
        <v/>
      </c>
      <c r="M444" s="0" t="str">
        <f aca="false">IF('THÁNG 8'!$C151="","",N('THÁNG 8'!$P151))</f>
        <v/>
      </c>
      <c r="N444" s="0" t="str">
        <f aca="false">IF('THÁNG 8'!$C151="","",N('THÁNG 8'!$Q151))</f>
        <v/>
      </c>
      <c r="O444" s="0" t="str">
        <f aca="false">IF('THÁNG 8'!$C151="","",N('THÁNG 8'!$R151))</f>
        <v/>
      </c>
      <c r="P444" s="0" t="str">
        <f aca="false">IF(OR('THÁNG 8'!$C151="",'THÁNG 8'!$T151=""),"",'THÁNG 8'!$T151)</f>
        <v/>
      </c>
      <c r="Q444" s="0" t="str">
        <f aca="false">IF(OR('THÁNG 8'!$C151="",'THÁNG 8'!$U151=""),"",'THÁNG 8'!$U151)</f>
        <v/>
      </c>
      <c r="R444" s="0" t="str">
        <f aca="false">IF('THÁNG 8'!$C151="","",'THÁNG 8'!$W151&amp;"")</f>
        <v/>
      </c>
      <c r="S444" s="0" t="str">
        <f aca="false">IF('THÁNG 8'!$C151="","",'THÁNG 8'!$S151&amp;"")</f>
        <v/>
      </c>
      <c r="T444" s="0" t="str">
        <f aca="false">IF(N($O444)&gt;0,COUNTIF($O$3:$O444,"&gt;0"),"")</f>
        <v/>
      </c>
      <c r="U444" s="0" t="str">
        <f aca="false">IF(AND(N($J444)&gt;0,N($K444)&gt;0),COUNTIFS($J$3:$J444,"&gt;0",$K$3:$K444,"&gt;0"),"")</f>
        <v/>
      </c>
      <c r="V444" s="0" t="str">
        <f aca="false">IF(AND(N($J444)&gt;0,N($K444)=0),COUNTIFS($J$3:$J444,"&gt;0",$K$3:$K444,"&lt;=0"),"")</f>
        <v/>
      </c>
      <c r="W444" s="0" t="str">
        <f aca="false">IF($C444="","",IF(COUNTIF($C$3:$C444,$C444)&gt;1,"",MAX($W$2:W443)+1))</f>
        <v/>
      </c>
      <c r="X444" s="0" t="str">
        <f aca="false">IF($H444="","",IF(COUNTIF($H$3:$H444,$H444)&gt;1,"",MAX($X$2:X443)+1))</f>
        <v/>
      </c>
      <c r="Y444" s="0" t="str">
        <f aca="false">IF(AND(N($M444)&gt;0,N($O444)&lt;=0),COUNTIFS($M$3:$M444,"&gt;0",$O$3:$O444,"&lt;=0"),"")</f>
        <v/>
      </c>
      <c r="Z444" s="30" t="n">
        <f aca="false">IF(OR('THÁNG 8'!$C151="",'THÁNG 8'!$B151=""),0,'THÁNG 8'!$B151)</f>
        <v>0</v>
      </c>
    </row>
    <row r="445" customFormat="false" ht="15" hidden="false" customHeight="false" outlineLevel="0" collapsed="false">
      <c r="A445" s="0" t="n">
        <v>8</v>
      </c>
      <c r="B445" s="29" t="str">
        <f aca="false">IF(OR('THÁNG 8'!$C152="",'THÁNG 8'!$B152=""),"",'THÁNG 8'!$B152)</f>
        <v/>
      </c>
      <c r="C445" s="0" t="str">
        <f aca="false">IF('THÁNG 8'!$C152="","",'THÁNG 8'!$C152)</f>
        <v/>
      </c>
      <c r="D445" s="0" t="str">
        <f aca="false">IF('THÁNG 8'!$C152="","",'THÁNG 8'!$D152&amp;"")</f>
        <v/>
      </c>
      <c r="E445" s="0" t="str">
        <f aca="false">IF('THÁNG 8'!$C152="","",'THÁNG 8'!$E152&amp;"")</f>
        <v/>
      </c>
      <c r="F445" s="0" t="str">
        <f aca="false">IF('THÁNG 8'!$C152="","",'THÁNG 8'!$F152&amp;"")</f>
        <v/>
      </c>
      <c r="G445" s="0" t="str">
        <f aca="false">IF('THÁNG 8'!$C152="","",'THÁNG 8'!$G152&amp;"")</f>
        <v/>
      </c>
      <c r="H445" s="0" t="str">
        <f aca="false">IF('THÁNG 8'!$C152="","",'THÁNG 8'!$H152&amp;"")</f>
        <v/>
      </c>
      <c r="I445" s="0" t="str">
        <f aca="false">IF('THÁNG 8'!$C152="","",N('THÁNG 8'!$I152))</f>
        <v/>
      </c>
      <c r="J445" s="0" t="str">
        <f aca="false">IF('THÁNG 8'!$C152="","",N('THÁNG 8'!$L152))</f>
        <v/>
      </c>
      <c r="K445" s="0" t="str">
        <f aca="false">IF('THÁNG 8'!$C152="","",N('THÁNG 8'!$N152))</f>
        <v/>
      </c>
      <c r="L445" s="0" t="str">
        <f aca="false">IF('THÁNG 8'!$C152="","",N('THÁNG 8'!$O152))</f>
        <v/>
      </c>
      <c r="M445" s="0" t="str">
        <f aca="false">IF('THÁNG 8'!$C152="","",N('THÁNG 8'!$P152))</f>
        <v/>
      </c>
      <c r="N445" s="0" t="str">
        <f aca="false">IF('THÁNG 8'!$C152="","",N('THÁNG 8'!$Q152))</f>
        <v/>
      </c>
      <c r="O445" s="0" t="str">
        <f aca="false">IF('THÁNG 8'!$C152="","",N('THÁNG 8'!$R152))</f>
        <v/>
      </c>
      <c r="P445" s="0" t="str">
        <f aca="false">IF(OR('THÁNG 8'!$C152="",'THÁNG 8'!$T152=""),"",'THÁNG 8'!$T152)</f>
        <v/>
      </c>
      <c r="Q445" s="0" t="str">
        <f aca="false">IF(OR('THÁNG 8'!$C152="",'THÁNG 8'!$U152=""),"",'THÁNG 8'!$U152)</f>
        <v/>
      </c>
      <c r="R445" s="0" t="str">
        <f aca="false">IF('THÁNG 8'!$C152="","",'THÁNG 8'!$W152&amp;"")</f>
        <v/>
      </c>
      <c r="S445" s="0" t="str">
        <f aca="false">IF('THÁNG 8'!$C152="","",'THÁNG 8'!$S152&amp;"")</f>
        <v/>
      </c>
      <c r="T445" s="0" t="str">
        <f aca="false">IF(N($O445)&gt;0,COUNTIF($O$3:$O445,"&gt;0"),"")</f>
        <v/>
      </c>
      <c r="U445" s="0" t="str">
        <f aca="false">IF(AND(N($J445)&gt;0,N($K445)&gt;0),COUNTIFS($J$3:$J445,"&gt;0",$K$3:$K445,"&gt;0"),"")</f>
        <v/>
      </c>
      <c r="V445" s="0" t="str">
        <f aca="false">IF(AND(N($J445)&gt;0,N($K445)=0),COUNTIFS($J$3:$J445,"&gt;0",$K$3:$K445,"&lt;=0"),"")</f>
        <v/>
      </c>
      <c r="W445" s="0" t="str">
        <f aca="false">IF($C445="","",IF(COUNTIF($C$3:$C445,$C445)&gt;1,"",MAX($W$2:W444)+1))</f>
        <v/>
      </c>
      <c r="X445" s="0" t="str">
        <f aca="false">IF($H445="","",IF(COUNTIF($H$3:$H445,$H445)&gt;1,"",MAX($X$2:X444)+1))</f>
        <v/>
      </c>
      <c r="Y445" s="0" t="str">
        <f aca="false">IF(AND(N($M445)&gt;0,N($O445)&lt;=0),COUNTIFS($M$3:$M445,"&gt;0",$O$3:$O445,"&lt;=0"),"")</f>
        <v/>
      </c>
      <c r="Z445" s="30" t="n">
        <f aca="false">IF(OR('THÁNG 8'!$C152="",'THÁNG 8'!$B152=""),0,'THÁNG 8'!$B152)</f>
        <v>0</v>
      </c>
    </row>
    <row r="446" customFormat="false" ht="15" hidden="false" customHeight="false" outlineLevel="0" collapsed="false">
      <c r="A446" s="0" t="n">
        <v>8</v>
      </c>
      <c r="B446" s="29" t="str">
        <f aca="false">IF(OR('THÁNG 8'!$C153="",'THÁNG 8'!$B153=""),"",'THÁNG 8'!$B153)</f>
        <v/>
      </c>
      <c r="C446" s="0" t="str">
        <f aca="false">IF('THÁNG 8'!$C153="","",'THÁNG 8'!$C153)</f>
        <v/>
      </c>
      <c r="D446" s="0" t="str">
        <f aca="false">IF('THÁNG 8'!$C153="","",'THÁNG 8'!$D153&amp;"")</f>
        <v/>
      </c>
      <c r="E446" s="0" t="str">
        <f aca="false">IF('THÁNG 8'!$C153="","",'THÁNG 8'!$E153&amp;"")</f>
        <v/>
      </c>
      <c r="F446" s="0" t="str">
        <f aca="false">IF('THÁNG 8'!$C153="","",'THÁNG 8'!$F153&amp;"")</f>
        <v/>
      </c>
      <c r="G446" s="0" t="str">
        <f aca="false">IF('THÁNG 8'!$C153="","",'THÁNG 8'!$G153&amp;"")</f>
        <v/>
      </c>
      <c r="H446" s="0" t="str">
        <f aca="false">IF('THÁNG 8'!$C153="","",'THÁNG 8'!$H153&amp;"")</f>
        <v/>
      </c>
      <c r="I446" s="0" t="str">
        <f aca="false">IF('THÁNG 8'!$C153="","",N('THÁNG 8'!$I153))</f>
        <v/>
      </c>
      <c r="J446" s="0" t="str">
        <f aca="false">IF('THÁNG 8'!$C153="","",N('THÁNG 8'!$L153))</f>
        <v/>
      </c>
      <c r="K446" s="0" t="str">
        <f aca="false">IF('THÁNG 8'!$C153="","",N('THÁNG 8'!$N153))</f>
        <v/>
      </c>
      <c r="L446" s="0" t="str">
        <f aca="false">IF('THÁNG 8'!$C153="","",N('THÁNG 8'!$O153))</f>
        <v/>
      </c>
      <c r="M446" s="0" t="str">
        <f aca="false">IF('THÁNG 8'!$C153="","",N('THÁNG 8'!$P153))</f>
        <v/>
      </c>
      <c r="N446" s="0" t="str">
        <f aca="false">IF('THÁNG 8'!$C153="","",N('THÁNG 8'!$Q153))</f>
        <v/>
      </c>
      <c r="O446" s="0" t="str">
        <f aca="false">IF('THÁNG 8'!$C153="","",N('THÁNG 8'!$R153))</f>
        <v/>
      </c>
      <c r="P446" s="0" t="str">
        <f aca="false">IF(OR('THÁNG 8'!$C153="",'THÁNG 8'!$T153=""),"",'THÁNG 8'!$T153)</f>
        <v/>
      </c>
      <c r="Q446" s="0" t="str">
        <f aca="false">IF(OR('THÁNG 8'!$C153="",'THÁNG 8'!$U153=""),"",'THÁNG 8'!$U153)</f>
        <v/>
      </c>
      <c r="R446" s="0" t="str">
        <f aca="false">IF('THÁNG 8'!$C153="","",'THÁNG 8'!$W153&amp;"")</f>
        <v/>
      </c>
      <c r="S446" s="0" t="str">
        <f aca="false">IF('THÁNG 8'!$C153="","",'THÁNG 8'!$S153&amp;"")</f>
        <v/>
      </c>
      <c r="T446" s="0" t="str">
        <f aca="false">IF(N($O446)&gt;0,COUNTIF($O$3:$O446,"&gt;0"),"")</f>
        <v/>
      </c>
      <c r="U446" s="0" t="str">
        <f aca="false">IF(AND(N($J446)&gt;0,N($K446)&gt;0),COUNTIFS($J$3:$J446,"&gt;0",$K$3:$K446,"&gt;0"),"")</f>
        <v/>
      </c>
      <c r="V446" s="0" t="str">
        <f aca="false">IF(AND(N($J446)&gt;0,N($K446)=0),COUNTIFS($J$3:$J446,"&gt;0",$K$3:$K446,"&lt;=0"),"")</f>
        <v/>
      </c>
      <c r="W446" s="0" t="str">
        <f aca="false">IF($C446="","",IF(COUNTIF($C$3:$C446,$C446)&gt;1,"",MAX($W$2:W445)+1))</f>
        <v/>
      </c>
      <c r="X446" s="0" t="str">
        <f aca="false">IF($H446="","",IF(COUNTIF($H$3:$H446,$H446)&gt;1,"",MAX($X$2:X445)+1))</f>
        <v/>
      </c>
      <c r="Y446" s="0" t="str">
        <f aca="false">IF(AND(N($M446)&gt;0,N($O446)&lt;=0),COUNTIFS($M$3:$M446,"&gt;0",$O$3:$O446,"&lt;=0"),"")</f>
        <v/>
      </c>
      <c r="Z446" s="30" t="n">
        <f aca="false">IF(OR('THÁNG 8'!$C153="",'THÁNG 8'!$B153=""),0,'THÁNG 8'!$B153)</f>
        <v>0</v>
      </c>
    </row>
    <row r="447" customFormat="false" ht="15" hidden="false" customHeight="false" outlineLevel="0" collapsed="false">
      <c r="A447" s="0" t="n">
        <v>8</v>
      </c>
      <c r="B447" s="29" t="str">
        <f aca="false">IF(OR('THÁNG 8'!$C154="",'THÁNG 8'!$B154=""),"",'THÁNG 8'!$B154)</f>
        <v/>
      </c>
      <c r="C447" s="0" t="str">
        <f aca="false">IF('THÁNG 8'!$C154="","",'THÁNG 8'!$C154)</f>
        <v/>
      </c>
      <c r="D447" s="0" t="str">
        <f aca="false">IF('THÁNG 8'!$C154="","",'THÁNG 8'!$D154&amp;"")</f>
        <v/>
      </c>
      <c r="E447" s="0" t="str">
        <f aca="false">IF('THÁNG 8'!$C154="","",'THÁNG 8'!$E154&amp;"")</f>
        <v/>
      </c>
      <c r="F447" s="0" t="str">
        <f aca="false">IF('THÁNG 8'!$C154="","",'THÁNG 8'!$F154&amp;"")</f>
        <v/>
      </c>
      <c r="G447" s="0" t="str">
        <f aca="false">IF('THÁNG 8'!$C154="","",'THÁNG 8'!$G154&amp;"")</f>
        <v/>
      </c>
      <c r="H447" s="0" t="str">
        <f aca="false">IF('THÁNG 8'!$C154="","",'THÁNG 8'!$H154&amp;"")</f>
        <v/>
      </c>
      <c r="I447" s="0" t="str">
        <f aca="false">IF('THÁNG 8'!$C154="","",N('THÁNG 8'!$I154))</f>
        <v/>
      </c>
      <c r="J447" s="0" t="str">
        <f aca="false">IF('THÁNG 8'!$C154="","",N('THÁNG 8'!$L154))</f>
        <v/>
      </c>
      <c r="K447" s="0" t="str">
        <f aca="false">IF('THÁNG 8'!$C154="","",N('THÁNG 8'!$N154))</f>
        <v/>
      </c>
      <c r="L447" s="0" t="str">
        <f aca="false">IF('THÁNG 8'!$C154="","",N('THÁNG 8'!$O154))</f>
        <v/>
      </c>
      <c r="M447" s="0" t="str">
        <f aca="false">IF('THÁNG 8'!$C154="","",N('THÁNG 8'!$P154))</f>
        <v/>
      </c>
      <c r="N447" s="0" t="str">
        <f aca="false">IF('THÁNG 8'!$C154="","",N('THÁNG 8'!$Q154))</f>
        <v/>
      </c>
      <c r="O447" s="0" t="str">
        <f aca="false">IF('THÁNG 8'!$C154="","",N('THÁNG 8'!$R154))</f>
        <v/>
      </c>
      <c r="P447" s="0" t="str">
        <f aca="false">IF(OR('THÁNG 8'!$C154="",'THÁNG 8'!$T154=""),"",'THÁNG 8'!$T154)</f>
        <v/>
      </c>
      <c r="Q447" s="0" t="str">
        <f aca="false">IF(OR('THÁNG 8'!$C154="",'THÁNG 8'!$U154=""),"",'THÁNG 8'!$U154)</f>
        <v/>
      </c>
      <c r="R447" s="0" t="str">
        <f aca="false">IF('THÁNG 8'!$C154="","",'THÁNG 8'!$W154&amp;"")</f>
        <v/>
      </c>
      <c r="S447" s="0" t="str">
        <f aca="false">IF('THÁNG 8'!$C154="","",'THÁNG 8'!$S154&amp;"")</f>
        <v/>
      </c>
      <c r="T447" s="0" t="str">
        <f aca="false">IF(N($O447)&gt;0,COUNTIF($O$3:$O447,"&gt;0"),"")</f>
        <v/>
      </c>
      <c r="U447" s="0" t="str">
        <f aca="false">IF(AND(N($J447)&gt;0,N($K447)&gt;0),COUNTIFS($J$3:$J447,"&gt;0",$K$3:$K447,"&gt;0"),"")</f>
        <v/>
      </c>
      <c r="V447" s="0" t="str">
        <f aca="false">IF(AND(N($J447)&gt;0,N($K447)=0),COUNTIFS($J$3:$J447,"&gt;0",$K$3:$K447,"&lt;=0"),"")</f>
        <v/>
      </c>
      <c r="W447" s="0" t="str">
        <f aca="false">IF($C447="","",IF(COUNTIF($C$3:$C447,$C447)&gt;1,"",MAX($W$2:W446)+1))</f>
        <v/>
      </c>
      <c r="X447" s="0" t="str">
        <f aca="false">IF($H447="","",IF(COUNTIF($H$3:$H447,$H447)&gt;1,"",MAX($X$2:X446)+1))</f>
        <v/>
      </c>
      <c r="Y447" s="0" t="str">
        <f aca="false">IF(AND(N($M447)&gt;0,N($O447)&lt;=0),COUNTIFS($M$3:$M447,"&gt;0",$O$3:$O447,"&lt;=0"),"")</f>
        <v/>
      </c>
      <c r="Z447" s="30" t="n">
        <f aca="false">IF(OR('THÁNG 8'!$C154="",'THÁNG 8'!$B154=""),0,'THÁNG 8'!$B154)</f>
        <v>0</v>
      </c>
    </row>
    <row r="448" customFormat="false" ht="15" hidden="false" customHeight="false" outlineLevel="0" collapsed="false">
      <c r="A448" s="0" t="n">
        <v>8</v>
      </c>
      <c r="B448" s="29" t="str">
        <f aca="false">IF(OR('THÁNG 8'!$C155="",'THÁNG 8'!$B155=""),"",'THÁNG 8'!$B155)</f>
        <v/>
      </c>
      <c r="C448" s="0" t="str">
        <f aca="false">IF('THÁNG 8'!$C155="","",'THÁNG 8'!$C155)</f>
        <v/>
      </c>
      <c r="D448" s="0" t="str">
        <f aca="false">IF('THÁNG 8'!$C155="","",'THÁNG 8'!$D155&amp;"")</f>
        <v/>
      </c>
      <c r="E448" s="0" t="str">
        <f aca="false">IF('THÁNG 8'!$C155="","",'THÁNG 8'!$E155&amp;"")</f>
        <v/>
      </c>
      <c r="F448" s="0" t="str">
        <f aca="false">IF('THÁNG 8'!$C155="","",'THÁNG 8'!$F155&amp;"")</f>
        <v/>
      </c>
      <c r="G448" s="0" t="str">
        <f aca="false">IF('THÁNG 8'!$C155="","",'THÁNG 8'!$G155&amp;"")</f>
        <v/>
      </c>
      <c r="H448" s="0" t="str">
        <f aca="false">IF('THÁNG 8'!$C155="","",'THÁNG 8'!$H155&amp;"")</f>
        <v/>
      </c>
      <c r="I448" s="0" t="str">
        <f aca="false">IF('THÁNG 8'!$C155="","",N('THÁNG 8'!$I155))</f>
        <v/>
      </c>
      <c r="J448" s="0" t="str">
        <f aca="false">IF('THÁNG 8'!$C155="","",N('THÁNG 8'!$L155))</f>
        <v/>
      </c>
      <c r="K448" s="0" t="str">
        <f aca="false">IF('THÁNG 8'!$C155="","",N('THÁNG 8'!$N155))</f>
        <v/>
      </c>
      <c r="L448" s="0" t="str">
        <f aca="false">IF('THÁNG 8'!$C155="","",N('THÁNG 8'!$O155))</f>
        <v/>
      </c>
      <c r="M448" s="0" t="str">
        <f aca="false">IF('THÁNG 8'!$C155="","",N('THÁNG 8'!$P155))</f>
        <v/>
      </c>
      <c r="N448" s="0" t="str">
        <f aca="false">IF('THÁNG 8'!$C155="","",N('THÁNG 8'!$Q155))</f>
        <v/>
      </c>
      <c r="O448" s="0" t="str">
        <f aca="false">IF('THÁNG 8'!$C155="","",N('THÁNG 8'!$R155))</f>
        <v/>
      </c>
      <c r="P448" s="0" t="str">
        <f aca="false">IF(OR('THÁNG 8'!$C155="",'THÁNG 8'!$T155=""),"",'THÁNG 8'!$T155)</f>
        <v/>
      </c>
      <c r="Q448" s="0" t="str">
        <f aca="false">IF(OR('THÁNG 8'!$C155="",'THÁNG 8'!$U155=""),"",'THÁNG 8'!$U155)</f>
        <v/>
      </c>
      <c r="R448" s="0" t="str">
        <f aca="false">IF('THÁNG 8'!$C155="","",'THÁNG 8'!$W155&amp;"")</f>
        <v/>
      </c>
      <c r="S448" s="0" t="str">
        <f aca="false">IF('THÁNG 8'!$C155="","",'THÁNG 8'!$S155&amp;"")</f>
        <v/>
      </c>
      <c r="T448" s="0" t="str">
        <f aca="false">IF(N($O448)&gt;0,COUNTIF($O$3:$O448,"&gt;0"),"")</f>
        <v/>
      </c>
      <c r="U448" s="0" t="str">
        <f aca="false">IF(AND(N($J448)&gt;0,N($K448)&gt;0),COUNTIFS($J$3:$J448,"&gt;0",$K$3:$K448,"&gt;0"),"")</f>
        <v/>
      </c>
      <c r="V448" s="0" t="str">
        <f aca="false">IF(AND(N($J448)&gt;0,N($K448)=0),COUNTIFS($J$3:$J448,"&gt;0",$K$3:$K448,"&lt;=0"),"")</f>
        <v/>
      </c>
      <c r="W448" s="0" t="str">
        <f aca="false">IF($C448="","",IF(COUNTIF($C$3:$C448,$C448)&gt;1,"",MAX($W$2:W447)+1))</f>
        <v/>
      </c>
      <c r="X448" s="0" t="str">
        <f aca="false">IF($H448="","",IF(COUNTIF($H$3:$H448,$H448)&gt;1,"",MAX($X$2:X447)+1))</f>
        <v/>
      </c>
      <c r="Y448" s="0" t="str">
        <f aca="false">IF(AND(N($M448)&gt;0,N($O448)&lt;=0),COUNTIFS($M$3:$M448,"&gt;0",$O$3:$O448,"&lt;=0"),"")</f>
        <v/>
      </c>
      <c r="Z448" s="30" t="n">
        <f aca="false">IF(OR('THÁNG 8'!$C155="",'THÁNG 8'!$B155=""),0,'THÁNG 8'!$B155)</f>
        <v>0</v>
      </c>
    </row>
    <row r="449" customFormat="false" ht="15" hidden="false" customHeight="false" outlineLevel="0" collapsed="false">
      <c r="A449" s="0" t="n">
        <v>8</v>
      </c>
      <c r="B449" s="29" t="str">
        <f aca="false">IF(OR('THÁNG 8'!$C156="",'THÁNG 8'!$B156=""),"",'THÁNG 8'!$B156)</f>
        <v/>
      </c>
      <c r="C449" s="0" t="str">
        <f aca="false">IF('THÁNG 8'!$C156="","",'THÁNG 8'!$C156)</f>
        <v/>
      </c>
      <c r="D449" s="0" t="str">
        <f aca="false">IF('THÁNG 8'!$C156="","",'THÁNG 8'!$D156&amp;"")</f>
        <v/>
      </c>
      <c r="E449" s="0" t="str">
        <f aca="false">IF('THÁNG 8'!$C156="","",'THÁNG 8'!$E156&amp;"")</f>
        <v/>
      </c>
      <c r="F449" s="0" t="str">
        <f aca="false">IF('THÁNG 8'!$C156="","",'THÁNG 8'!$F156&amp;"")</f>
        <v/>
      </c>
      <c r="G449" s="0" t="str">
        <f aca="false">IF('THÁNG 8'!$C156="","",'THÁNG 8'!$G156&amp;"")</f>
        <v/>
      </c>
      <c r="H449" s="0" t="str">
        <f aca="false">IF('THÁNG 8'!$C156="","",'THÁNG 8'!$H156&amp;"")</f>
        <v/>
      </c>
      <c r="I449" s="0" t="str">
        <f aca="false">IF('THÁNG 8'!$C156="","",N('THÁNG 8'!$I156))</f>
        <v/>
      </c>
      <c r="J449" s="0" t="str">
        <f aca="false">IF('THÁNG 8'!$C156="","",N('THÁNG 8'!$L156))</f>
        <v/>
      </c>
      <c r="K449" s="0" t="str">
        <f aca="false">IF('THÁNG 8'!$C156="","",N('THÁNG 8'!$N156))</f>
        <v/>
      </c>
      <c r="L449" s="0" t="str">
        <f aca="false">IF('THÁNG 8'!$C156="","",N('THÁNG 8'!$O156))</f>
        <v/>
      </c>
      <c r="M449" s="0" t="str">
        <f aca="false">IF('THÁNG 8'!$C156="","",N('THÁNG 8'!$P156))</f>
        <v/>
      </c>
      <c r="N449" s="0" t="str">
        <f aca="false">IF('THÁNG 8'!$C156="","",N('THÁNG 8'!$Q156))</f>
        <v/>
      </c>
      <c r="O449" s="0" t="str">
        <f aca="false">IF('THÁNG 8'!$C156="","",N('THÁNG 8'!$R156))</f>
        <v/>
      </c>
      <c r="P449" s="0" t="str">
        <f aca="false">IF(OR('THÁNG 8'!$C156="",'THÁNG 8'!$T156=""),"",'THÁNG 8'!$T156)</f>
        <v/>
      </c>
      <c r="Q449" s="0" t="str">
        <f aca="false">IF(OR('THÁNG 8'!$C156="",'THÁNG 8'!$U156=""),"",'THÁNG 8'!$U156)</f>
        <v/>
      </c>
      <c r="R449" s="0" t="str">
        <f aca="false">IF('THÁNG 8'!$C156="","",'THÁNG 8'!$W156&amp;"")</f>
        <v/>
      </c>
      <c r="S449" s="0" t="str">
        <f aca="false">IF('THÁNG 8'!$C156="","",'THÁNG 8'!$S156&amp;"")</f>
        <v/>
      </c>
      <c r="T449" s="0" t="str">
        <f aca="false">IF(N($O449)&gt;0,COUNTIF($O$3:$O449,"&gt;0"),"")</f>
        <v/>
      </c>
      <c r="U449" s="0" t="str">
        <f aca="false">IF(AND(N($J449)&gt;0,N($K449)&gt;0),COUNTIFS($J$3:$J449,"&gt;0",$K$3:$K449,"&gt;0"),"")</f>
        <v/>
      </c>
      <c r="V449" s="0" t="str">
        <f aca="false">IF(AND(N($J449)&gt;0,N($K449)=0),COUNTIFS($J$3:$J449,"&gt;0",$K$3:$K449,"&lt;=0"),"")</f>
        <v/>
      </c>
      <c r="W449" s="0" t="str">
        <f aca="false">IF($C449="","",IF(COUNTIF($C$3:$C449,$C449)&gt;1,"",MAX($W$2:W448)+1))</f>
        <v/>
      </c>
      <c r="X449" s="0" t="str">
        <f aca="false">IF($H449="","",IF(COUNTIF($H$3:$H449,$H449)&gt;1,"",MAX($X$2:X448)+1))</f>
        <v/>
      </c>
      <c r="Y449" s="0" t="str">
        <f aca="false">IF(AND(N($M449)&gt;0,N($O449)&lt;=0),COUNTIFS($M$3:$M449,"&gt;0",$O$3:$O449,"&lt;=0"),"")</f>
        <v/>
      </c>
      <c r="Z449" s="30" t="n">
        <f aca="false">IF(OR('THÁNG 8'!$C156="",'THÁNG 8'!$B156=""),0,'THÁNG 8'!$B156)</f>
        <v>0</v>
      </c>
    </row>
    <row r="450" customFormat="false" ht="15" hidden="false" customHeight="false" outlineLevel="0" collapsed="false">
      <c r="A450" s="0" t="n">
        <v>8</v>
      </c>
      <c r="B450" s="29" t="str">
        <f aca="false">IF(OR('THÁNG 8'!$C157="",'THÁNG 8'!$B157=""),"",'THÁNG 8'!$B157)</f>
        <v/>
      </c>
      <c r="C450" s="0" t="str">
        <f aca="false">IF('THÁNG 8'!$C157="","",'THÁNG 8'!$C157)</f>
        <v/>
      </c>
      <c r="D450" s="0" t="str">
        <f aca="false">IF('THÁNG 8'!$C157="","",'THÁNG 8'!$D157&amp;"")</f>
        <v/>
      </c>
      <c r="E450" s="0" t="str">
        <f aca="false">IF('THÁNG 8'!$C157="","",'THÁNG 8'!$E157&amp;"")</f>
        <v/>
      </c>
      <c r="F450" s="0" t="str">
        <f aca="false">IF('THÁNG 8'!$C157="","",'THÁNG 8'!$F157&amp;"")</f>
        <v/>
      </c>
      <c r="G450" s="0" t="str">
        <f aca="false">IF('THÁNG 8'!$C157="","",'THÁNG 8'!$G157&amp;"")</f>
        <v/>
      </c>
      <c r="H450" s="0" t="str">
        <f aca="false">IF('THÁNG 8'!$C157="","",'THÁNG 8'!$H157&amp;"")</f>
        <v/>
      </c>
      <c r="I450" s="0" t="str">
        <f aca="false">IF('THÁNG 8'!$C157="","",N('THÁNG 8'!$I157))</f>
        <v/>
      </c>
      <c r="J450" s="0" t="str">
        <f aca="false">IF('THÁNG 8'!$C157="","",N('THÁNG 8'!$L157))</f>
        <v/>
      </c>
      <c r="K450" s="0" t="str">
        <f aca="false">IF('THÁNG 8'!$C157="","",N('THÁNG 8'!$N157))</f>
        <v/>
      </c>
      <c r="L450" s="0" t="str">
        <f aca="false">IF('THÁNG 8'!$C157="","",N('THÁNG 8'!$O157))</f>
        <v/>
      </c>
      <c r="M450" s="0" t="str">
        <f aca="false">IF('THÁNG 8'!$C157="","",N('THÁNG 8'!$P157))</f>
        <v/>
      </c>
      <c r="N450" s="0" t="str">
        <f aca="false">IF('THÁNG 8'!$C157="","",N('THÁNG 8'!$Q157))</f>
        <v/>
      </c>
      <c r="O450" s="0" t="str">
        <f aca="false">IF('THÁNG 8'!$C157="","",N('THÁNG 8'!$R157))</f>
        <v/>
      </c>
      <c r="P450" s="0" t="str">
        <f aca="false">IF(OR('THÁNG 8'!$C157="",'THÁNG 8'!$T157=""),"",'THÁNG 8'!$T157)</f>
        <v/>
      </c>
      <c r="Q450" s="0" t="str">
        <f aca="false">IF(OR('THÁNG 8'!$C157="",'THÁNG 8'!$U157=""),"",'THÁNG 8'!$U157)</f>
        <v/>
      </c>
      <c r="R450" s="0" t="str">
        <f aca="false">IF('THÁNG 8'!$C157="","",'THÁNG 8'!$W157&amp;"")</f>
        <v/>
      </c>
      <c r="S450" s="0" t="str">
        <f aca="false">IF('THÁNG 8'!$C157="","",'THÁNG 8'!$S157&amp;"")</f>
        <v/>
      </c>
      <c r="T450" s="0" t="str">
        <f aca="false">IF(N($O450)&gt;0,COUNTIF($O$3:$O450,"&gt;0"),"")</f>
        <v/>
      </c>
      <c r="U450" s="0" t="str">
        <f aca="false">IF(AND(N($J450)&gt;0,N($K450)&gt;0),COUNTIFS($J$3:$J450,"&gt;0",$K$3:$K450,"&gt;0"),"")</f>
        <v/>
      </c>
      <c r="V450" s="0" t="str">
        <f aca="false">IF(AND(N($J450)&gt;0,N($K450)=0),COUNTIFS($J$3:$J450,"&gt;0",$K$3:$K450,"&lt;=0"),"")</f>
        <v/>
      </c>
      <c r="W450" s="0" t="str">
        <f aca="false">IF($C450="","",IF(COUNTIF($C$3:$C450,$C450)&gt;1,"",MAX($W$2:W449)+1))</f>
        <v/>
      </c>
      <c r="X450" s="0" t="str">
        <f aca="false">IF($H450="","",IF(COUNTIF($H$3:$H450,$H450)&gt;1,"",MAX($X$2:X449)+1))</f>
        <v/>
      </c>
      <c r="Y450" s="0" t="str">
        <f aca="false">IF(AND(N($M450)&gt;0,N($O450)&lt;=0),COUNTIFS($M$3:$M450,"&gt;0",$O$3:$O450,"&lt;=0"),"")</f>
        <v/>
      </c>
      <c r="Z450" s="30" t="n">
        <f aca="false">IF(OR('THÁNG 8'!$C157="",'THÁNG 8'!$B157=""),0,'THÁNG 8'!$B157)</f>
        <v>0</v>
      </c>
    </row>
    <row r="451" customFormat="false" ht="15" hidden="false" customHeight="false" outlineLevel="0" collapsed="false">
      <c r="A451" s="0" t="n">
        <v>8</v>
      </c>
      <c r="B451" s="29" t="str">
        <f aca="false">IF(OR('THÁNG 8'!$C158="",'THÁNG 8'!$B158=""),"",'THÁNG 8'!$B158)</f>
        <v/>
      </c>
      <c r="C451" s="0" t="str">
        <f aca="false">IF('THÁNG 8'!$C158="","",'THÁNG 8'!$C158)</f>
        <v/>
      </c>
      <c r="D451" s="0" t="str">
        <f aca="false">IF('THÁNG 8'!$C158="","",'THÁNG 8'!$D158&amp;"")</f>
        <v/>
      </c>
      <c r="E451" s="0" t="str">
        <f aca="false">IF('THÁNG 8'!$C158="","",'THÁNG 8'!$E158&amp;"")</f>
        <v/>
      </c>
      <c r="F451" s="0" t="str">
        <f aca="false">IF('THÁNG 8'!$C158="","",'THÁNG 8'!$F158&amp;"")</f>
        <v/>
      </c>
      <c r="G451" s="0" t="str">
        <f aca="false">IF('THÁNG 8'!$C158="","",'THÁNG 8'!$G158&amp;"")</f>
        <v/>
      </c>
      <c r="H451" s="0" t="str">
        <f aca="false">IF('THÁNG 8'!$C158="","",'THÁNG 8'!$H158&amp;"")</f>
        <v/>
      </c>
      <c r="I451" s="0" t="str">
        <f aca="false">IF('THÁNG 8'!$C158="","",N('THÁNG 8'!$I158))</f>
        <v/>
      </c>
      <c r="J451" s="0" t="str">
        <f aca="false">IF('THÁNG 8'!$C158="","",N('THÁNG 8'!$L158))</f>
        <v/>
      </c>
      <c r="K451" s="0" t="str">
        <f aca="false">IF('THÁNG 8'!$C158="","",N('THÁNG 8'!$N158))</f>
        <v/>
      </c>
      <c r="L451" s="0" t="str">
        <f aca="false">IF('THÁNG 8'!$C158="","",N('THÁNG 8'!$O158))</f>
        <v/>
      </c>
      <c r="M451" s="0" t="str">
        <f aca="false">IF('THÁNG 8'!$C158="","",N('THÁNG 8'!$P158))</f>
        <v/>
      </c>
      <c r="N451" s="0" t="str">
        <f aca="false">IF('THÁNG 8'!$C158="","",N('THÁNG 8'!$Q158))</f>
        <v/>
      </c>
      <c r="O451" s="0" t="str">
        <f aca="false">IF('THÁNG 8'!$C158="","",N('THÁNG 8'!$R158))</f>
        <v/>
      </c>
      <c r="P451" s="0" t="str">
        <f aca="false">IF(OR('THÁNG 8'!$C158="",'THÁNG 8'!$T158=""),"",'THÁNG 8'!$T158)</f>
        <v/>
      </c>
      <c r="Q451" s="0" t="str">
        <f aca="false">IF(OR('THÁNG 8'!$C158="",'THÁNG 8'!$U158=""),"",'THÁNG 8'!$U158)</f>
        <v/>
      </c>
      <c r="R451" s="0" t="str">
        <f aca="false">IF('THÁNG 8'!$C158="","",'THÁNG 8'!$W158&amp;"")</f>
        <v/>
      </c>
      <c r="S451" s="0" t="str">
        <f aca="false">IF('THÁNG 8'!$C158="","",'THÁNG 8'!$S158&amp;"")</f>
        <v/>
      </c>
      <c r="T451" s="0" t="str">
        <f aca="false">IF(N($O451)&gt;0,COUNTIF($O$3:$O451,"&gt;0"),"")</f>
        <v/>
      </c>
      <c r="U451" s="0" t="str">
        <f aca="false">IF(AND(N($J451)&gt;0,N($K451)&gt;0),COUNTIFS($J$3:$J451,"&gt;0",$K$3:$K451,"&gt;0"),"")</f>
        <v/>
      </c>
      <c r="V451" s="0" t="str">
        <f aca="false">IF(AND(N($J451)&gt;0,N($K451)=0),COUNTIFS($J$3:$J451,"&gt;0",$K$3:$K451,"&lt;=0"),"")</f>
        <v/>
      </c>
      <c r="W451" s="0" t="str">
        <f aca="false">IF($C451="","",IF(COUNTIF($C$3:$C451,$C451)&gt;1,"",MAX($W$2:W450)+1))</f>
        <v/>
      </c>
      <c r="X451" s="0" t="str">
        <f aca="false">IF($H451="","",IF(COUNTIF($H$3:$H451,$H451)&gt;1,"",MAX($X$2:X450)+1))</f>
        <v/>
      </c>
      <c r="Y451" s="0" t="str">
        <f aca="false">IF(AND(N($M451)&gt;0,N($O451)&lt;=0),COUNTIFS($M$3:$M451,"&gt;0",$O$3:$O451,"&lt;=0"),"")</f>
        <v/>
      </c>
      <c r="Z451" s="30" t="n">
        <f aca="false">IF(OR('THÁNG 8'!$C158="",'THÁNG 8'!$B158=""),0,'THÁNG 8'!$B158)</f>
        <v>0</v>
      </c>
    </row>
    <row r="452" customFormat="false" ht="15" hidden="false" customHeight="false" outlineLevel="0" collapsed="false">
      <c r="A452" s="0" t="n">
        <v>8</v>
      </c>
      <c r="B452" s="29" t="str">
        <f aca="false">IF(OR('THÁNG 8'!$C159="",'THÁNG 8'!$B159=""),"",'THÁNG 8'!$B159)</f>
        <v/>
      </c>
      <c r="C452" s="0" t="str">
        <f aca="false">IF('THÁNG 8'!$C159="","",'THÁNG 8'!$C159)</f>
        <v/>
      </c>
      <c r="D452" s="0" t="str">
        <f aca="false">IF('THÁNG 8'!$C159="","",'THÁNG 8'!$D159&amp;"")</f>
        <v/>
      </c>
      <c r="E452" s="0" t="str">
        <f aca="false">IF('THÁNG 8'!$C159="","",'THÁNG 8'!$E159&amp;"")</f>
        <v/>
      </c>
      <c r="F452" s="0" t="str">
        <f aca="false">IF('THÁNG 8'!$C159="","",'THÁNG 8'!$F159&amp;"")</f>
        <v/>
      </c>
      <c r="G452" s="0" t="str">
        <f aca="false">IF('THÁNG 8'!$C159="","",'THÁNG 8'!$G159&amp;"")</f>
        <v/>
      </c>
      <c r="H452" s="0" t="str">
        <f aca="false">IF('THÁNG 8'!$C159="","",'THÁNG 8'!$H159&amp;"")</f>
        <v/>
      </c>
      <c r="I452" s="0" t="str">
        <f aca="false">IF('THÁNG 8'!$C159="","",N('THÁNG 8'!$I159))</f>
        <v/>
      </c>
      <c r="J452" s="0" t="str">
        <f aca="false">IF('THÁNG 8'!$C159="","",N('THÁNG 8'!$L159))</f>
        <v/>
      </c>
      <c r="K452" s="0" t="str">
        <f aca="false">IF('THÁNG 8'!$C159="","",N('THÁNG 8'!$N159))</f>
        <v/>
      </c>
      <c r="L452" s="0" t="str">
        <f aca="false">IF('THÁNG 8'!$C159="","",N('THÁNG 8'!$O159))</f>
        <v/>
      </c>
      <c r="M452" s="0" t="str">
        <f aca="false">IF('THÁNG 8'!$C159="","",N('THÁNG 8'!$P159))</f>
        <v/>
      </c>
      <c r="N452" s="0" t="str">
        <f aca="false">IF('THÁNG 8'!$C159="","",N('THÁNG 8'!$Q159))</f>
        <v/>
      </c>
      <c r="O452" s="0" t="str">
        <f aca="false">IF('THÁNG 8'!$C159="","",N('THÁNG 8'!$R159))</f>
        <v/>
      </c>
      <c r="P452" s="0" t="str">
        <f aca="false">IF(OR('THÁNG 8'!$C159="",'THÁNG 8'!$T159=""),"",'THÁNG 8'!$T159)</f>
        <v/>
      </c>
      <c r="Q452" s="0" t="str">
        <f aca="false">IF(OR('THÁNG 8'!$C159="",'THÁNG 8'!$U159=""),"",'THÁNG 8'!$U159)</f>
        <v/>
      </c>
      <c r="R452" s="0" t="str">
        <f aca="false">IF('THÁNG 8'!$C159="","",'THÁNG 8'!$W159&amp;"")</f>
        <v/>
      </c>
      <c r="S452" s="0" t="str">
        <f aca="false">IF('THÁNG 8'!$C159="","",'THÁNG 8'!$S159&amp;"")</f>
        <v/>
      </c>
      <c r="T452" s="0" t="str">
        <f aca="false">IF(N($O452)&gt;0,COUNTIF($O$3:$O452,"&gt;0"),"")</f>
        <v/>
      </c>
      <c r="U452" s="0" t="str">
        <f aca="false">IF(AND(N($J452)&gt;0,N($K452)&gt;0),COUNTIFS($J$3:$J452,"&gt;0",$K$3:$K452,"&gt;0"),"")</f>
        <v/>
      </c>
      <c r="V452" s="0" t="str">
        <f aca="false">IF(AND(N($J452)&gt;0,N($K452)=0),COUNTIFS($J$3:$J452,"&gt;0",$K$3:$K452,"&lt;=0"),"")</f>
        <v/>
      </c>
      <c r="W452" s="0" t="str">
        <f aca="false">IF($C452="","",IF(COUNTIF($C$3:$C452,$C452)&gt;1,"",MAX($W$2:W451)+1))</f>
        <v/>
      </c>
      <c r="X452" s="0" t="str">
        <f aca="false">IF($H452="","",IF(COUNTIF($H$3:$H452,$H452)&gt;1,"",MAX($X$2:X451)+1))</f>
        <v/>
      </c>
      <c r="Y452" s="0" t="str">
        <f aca="false">IF(AND(N($M452)&gt;0,N($O452)&lt;=0),COUNTIFS($M$3:$M452,"&gt;0",$O$3:$O452,"&lt;=0"),"")</f>
        <v/>
      </c>
      <c r="Z452" s="30" t="n">
        <f aca="false">IF(OR('THÁNG 8'!$C159="",'THÁNG 8'!$B159=""),0,'THÁNG 8'!$B159)</f>
        <v>0</v>
      </c>
    </row>
    <row r="453" customFormat="false" ht="15" hidden="false" customHeight="false" outlineLevel="0" collapsed="false">
      <c r="A453" s="0" t="n">
        <v>9</v>
      </c>
      <c r="B453" s="29" t="str">
        <f aca="false">IF(OR('THÁNG 9'!$C10="",'THÁNG 9'!$B10=""),"",'THÁNG 9'!$B10)</f>
        <v/>
      </c>
      <c r="C453" s="0" t="str">
        <f aca="false">IF('THÁNG 9'!$C10="","",'THÁNG 9'!$C10)</f>
        <v/>
      </c>
      <c r="D453" s="0" t="str">
        <f aca="false">IF('THÁNG 9'!$C10="","",'THÁNG 9'!$D10&amp;"")</f>
        <v/>
      </c>
      <c r="E453" s="0" t="str">
        <f aca="false">IF('THÁNG 9'!$C10="","",'THÁNG 9'!$E10&amp;"")</f>
        <v/>
      </c>
      <c r="F453" s="0" t="str">
        <f aca="false">IF('THÁNG 9'!$C10="","",'THÁNG 9'!$F10&amp;"")</f>
        <v/>
      </c>
      <c r="G453" s="0" t="str">
        <f aca="false">IF('THÁNG 9'!$C10="","",'THÁNG 9'!$G10&amp;"")</f>
        <v/>
      </c>
      <c r="H453" s="0" t="str">
        <f aca="false">IF('THÁNG 9'!$C10="","",'THÁNG 9'!$H10&amp;"")</f>
        <v/>
      </c>
      <c r="I453" s="0" t="str">
        <f aca="false">IF('THÁNG 9'!$C10="","",N('THÁNG 9'!$I10))</f>
        <v/>
      </c>
      <c r="J453" s="0" t="str">
        <f aca="false">IF('THÁNG 9'!$C10="","",N('THÁNG 9'!$L10))</f>
        <v/>
      </c>
      <c r="K453" s="0" t="str">
        <f aca="false">IF('THÁNG 9'!$C10="","",N('THÁNG 9'!$N10))</f>
        <v/>
      </c>
      <c r="L453" s="0" t="str">
        <f aca="false">IF('THÁNG 9'!$C10="","",N('THÁNG 9'!$O10))</f>
        <v/>
      </c>
      <c r="M453" s="0" t="str">
        <f aca="false">IF('THÁNG 9'!$C10="","",N('THÁNG 9'!$P10))</f>
        <v/>
      </c>
      <c r="N453" s="0" t="str">
        <f aca="false">IF('THÁNG 9'!$C10="","",N('THÁNG 9'!$Q10))</f>
        <v/>
      </c>
      <c r="O453" s="0" t="str">
        <f aca="false">IF('THÁNG 9'!$C10="","",N('THÁNG 9'!$R10))</f>
        <v/>
      </c>
      <c r="P453" s="0" t="str">
        <f aca="false">IF(OR('THÁNG 9'!$C10="",'THÁNG 9'!$T10=""),"",'THÁNG 9'!$T10)</f>
        <v/>
      </c>
      <c r="Q453" s="0" t="str">
        <f aca="false">IF(OR('THÁNG 9'!$C10="",'THÁNG 9'!$U10=""),"",'THÁNG 9'!$U10)</f>
        <v/>
      </c>
      <c r="R453" s="0" t="str">
        <f aca="false">IF('THÁNG 9'!$C10="","",'THÁNG 9'!$W10&amp;"")</f>
        <v/>
      </c>
      <c r="S453" s="0" t="str">
        <f aca="false">IF('THÁNG 9'!$C10="","",'THÁNG 9'!$S10&amp;"")</f>
        <v/>
      </c>
      <c r="T453" s="0" t="str">
        <f aca="false">IF(N($O453)&gt;0,COUNTIF($O$3:$O453,"&gt;0"),"")</f>
        <v/>
      </c>
      <c r="U453" s="0" t="str">
        <f aca="false">IF(AND(N($J453)&gt;0,N($K453)&gt;0),COUNTIFS($J$3:$J453,"&gt;0",$K$3:$K453,"&gt;0"),"")</f>
        <v/>
      </c>
      <c r="V453" s="0" t="str">
        <f aca="false">IF(AND(N($J453)&gt;0,N($K453)=0),COUNTIFS($J$3:$J453,"&gt;0",$K$3:$K453,"&lt;=0"),"")</f>
        <v/>
      </c>
      <c r="W453" s="0" t="str">
        <f aca="false">IF($C453="","",IF(COUNTIF($C$3:$C453,$C453)&gt;1,"",MAX($W$2:W452)+1))</f>
        <v/>
      </c>
      <c r="X453" s="0" t="str">
        <f aca="false">IF($H453="","",IF(COUNTIF($H$3:$H453,$H453)&gt;1,"",MAX($X$2:X452)+1))</f>
        <v/>
      </c>
      <c r="Y453" s="0" t="str">
        <f aca="false">IF(AND(N($M453)&gt;0,N($O453)&lt;=0),COUNTIFS($M$3:$M453,"&gt;0",$O$3:$O453,"&lt;=0"),"")</f>
        <v/>
      </c>
      <c r="Z453" s="30" t="n">
        <f aca="false">IF(OR('THÁNG 9'!$C10="",'THÁNG 9'!$B10=""),0,'THÁNG 9'!$B10)</f>
        <v>0</v>
      </c>
    </row>
    <row r="454" customFormat="false" ht="15" hidden="false" customHeight="false" outlineLevel="0" collapsed="false">
      <c r="A454" s="0" t="n">
        <v>9</v>
      </c>
      <c r="B454" s="29" t="str">
        <f aca="false">IF(OR('THÁNG 9'!$C11="",'THÁNG 9'!$B11=""),"",'THÁNG 9'!$B11)</f>
        <v/>
      </c>
      <c r="C454" s="0" t="str">
        <f aca="false">IF('THÁNG 9'!$C11="","",'THÁNG 9'!$C11)</f>
        <v/>
      </c>
      <c r="D454" s="0" t="str">
        <f aca="false">IF('THÁNG 9'!$C11="","",'THÁNG 9'!$D11&amp;"")</f>
        <v/>
      </c>
      <c r="E454" s="0" t="str">
        <f aca="false">IF('THÁNG 9'!$C11="","",'THÁNG 9'!$E11&amp;"")</f>
        <v/>
      </c>
      <c r="F454" s="0" t="str">
        <f aca="false">IF('THÁNG 9'!$C11="","",'THÁNG 9'!$F11&amp;"")</f>
        <v/>
      </c>
      <c r="G454" s="0" t="str">
        <f aca="false">IF('THÁNG 9'!$C11="","",'THÁNG 9'!$G11&amp;"")</f>
        <v/>
      </c>
      <c r="H454" s="0" t="str">
        <f aca="false">IF('THÁNG 9'!$C11="","",'THÁNG 9'!$H11&amp;"")</f>
        <v/>
      </c>
      <c r="I454" s="0" t="str">
        <f aca="false">IF('THÁNG 9'!$C11="","",N('THÁNG 9'!$I11))</f>
        <v/>
      </c>
      <c r="J454" s="0" t="str">
        <f aca="false">IF('THÁNG 9'!$C11="","",N('THÁNG 9'!$L11))</f>
        <v/>
      </c>
      <c r="K454" s="0" t="str">
        <f aca="false">IF('THÁNG 9'!$C11="","",N('THÁNG 9'!$N11))</f>
        <v/>
      </c>
      <c r="L454" s="0" t="str">
        <f aca="false">IF('THÁNG 9'!$C11="","",N('THÁNG 9'!$O11))</f>
        <v/>
      </c>
      <c r="M454" s="0" t="str">
        <f aca="false">IF('THÁNG 9'!$C11="","",N('THÁNG 9'!$P11))</f>
        <v/>
      </c>
      <c r="N454" s="0" t="str">
        <f aca="false">IF('THÁNG 9'!$C11="","",N('THÁNG 9'!$Q11))</f>
        <v/>
      </c>
      <c r="O454" s="0" t="str">
        <f aca="false">IF('THÁNG 9'!$C11="","",N('THÁNG 9'!$R11))</f>
        <v/>
      </c>
      <c r="P454" s="0" t="str">
        <f aca="false">IF(OR('THÁNG 9'!$C11="",'THÁNG 9'!$T11=""),"",'THÁNG 9'!$T11)</f>
        <v/>
      </c>
      <c r="Q454" s="0" t="str">
        <f aca="false">IF(OR('THÁNG 9'!$C11="",'THÁNG 9'!$U11=""),"",'THÁNG 9'!$U11)</f>
        <v/>
      </c>
      <c r="R454" s="0" t="str">
        <f aca="false">IF('THÁNG 9'!$C11="","",'THÁNG 9'!$W11&amp;"")</f>
        <v/>
      </c>
      <c r="S454" s="0" t="str">
        <f aca="false">IF('THÁNG 9'!$C11="","",'THÁNG 9'!$S11&amp;"")</f>
        <v/>
      </c>
      <c r="T454" s="0" t="str">
        <f aca="false">IF(N($O454)&gt;0,COUNTIF($O$3:$O454,"&gt;0"),"")</f>
        <v/>
      </c>
      <c r="U454" s="0" t="str">
        <f aca="false">IF(AND(N($J454)&gt;0,N($K454)&gt;0),COUNTIFS($J$3:$J454,"&gt;0",$K$3:$K454,"&gt;0"),"")</f>
        <v/>
      </c>
      <c r="V454" s="0" t="str">
        <f aca="false">IF(AND(N($J454)&gt;0,N($K454)=0),COUNTIFS($J$3:$J454,"&gt;0",$K$3:$K454,"&lt;=0"),"")</f>
        <v/>
      </c>
      <c r="W454" s="0" t="str">
        <f aca="false">IF($C454="","",IF(COUNTIF($C$3:$C454,$C454)&gt;1,"",MAX($W$2:W453)+1))</f>
        <v/>
      </c>
      <c r="X454" s="0" t="str">
        <f aca="false">IF($H454="","",IF(COUNTIF($H$3:$H454,$H454)&gt;1,"",MAX($X$2:X453)+1))</f>
        <v/>
      </c>
      <c r="Y454" s="0" t="str">
        <f aca="false">IF(AND(N($M454)&gt;0,N($O454)&lt;=0),COUNTIFS($M$3:$M454,"&gt;0",$O$3:$O454,"&lt;=0"),"")</f>
        <v/>
      </c>
      <c r="Z454" s="30" t="n">
        <f aca="false">IF(OR('THÁNG 9'!$C11="",'THÁNG 9'!$B11=""),0,'THÁNG 9'!$B11)</f>
        <v>0</v>
      </c>
    </row>
    <row r="455" customFormat="false" ht="15" hidden="false" customHeight="false" outlineLevel="0" collapsed="false">
      <c r="A455" s="0" t="n">
        <v>9</v>
      </c>
      <c r="B455" s="29" t="str">
        <f aca="false">IF(OR('THÁNG 9'!$C12="",'THÁNG 9'!$B12=""),"",'THÁNG 9'!$B12)</f>
        <v/>
      </c>
      <c r="C455" s="0" t="str">
        <f aca="false">IF('THÁNG 9'!$C12="","",'THÁNG 9'!$C12)</f>
        <v/>
      </c>
      <c r="D455" s="0" t="str">
        <f aca="false">IF('THÁNG 9'!$C12="","",'THÁNG 9'!$D12&amp;"")</f>
        <v/>
      </c>
      <c r="E455" s="0" t="str">
        <f aca="false">IF('THÁNG 9'!$C12="","",'THÁNG 9'!$E12&amp;"")</f>
        <v/>
      </c>
      <c r="F455" s="0" t="str">
        <f aca="false">IF('THÁNG 9'!$C12="","",'THÁNG 9'!$F12&amp;"")</f>
        <v/>
      </c>
      <c r="G455" s="0" t="str">
        <f aca="false">IF('THÁNG 9'!$C12="","",'THÁNG 9'!$G12&amp;"")</f>
        <v/>
      </c>
      <c r="H455" s="0" t="str">
        <f aca="false">IF('THÁNG 9'!$C12="","",'THÁNG 9'!$H12&amp;"")</f>
        <v/>
      </c>
      <c r="I455" s="0" t="str">
        <f aca="false">IF('THÁNG 9'!$C12="","",N('THÁNG 9'!$I12))</f>
        <v/>
      </c>
      <c r="J455" s="0" t="str">
        <f aca="false">IF('THÁNG 9'!$C12="","",N('THÁNG 9'!$L12))</f>
        <v/>
      </c>
      <c r="K455" s="0" t="str">
        <f aca="false">IF('THÁNG 9'!$C12="","",N('THÁNG 9'!$N12))</f>
        <v/>
      </c>
      <c r="L455" s="0" t="str">
        <f aca="false">IF('THÁNG 9'!$C12="","",N('THÁNG 9'!$O12))</f>
        <v/>
      </c>
      <c r="M455" s="0" t="str">
        <f aca="false">IF('THÁNG 9'!$C12="","",N('THÁNG 9'!$P12))</f>
        <v/>
      </c>
      <c r="N455" s="0" t="str">
        <f aca="false">IF('THÁNG 9'!$C12="","",N('THÁNG 9'!$Q12))</f>
        <v/>
      </c>
      <c r="O455" s="0" t="str">
        <f aca="false">IF('THÁNG 9'!$C12="","",N('THÁNG 9'!$R12))</f>
        <v/>
      </c>
      <c r="P455" s="0" t="str">
        <f aca="false">IF(OR('THÁNG 9'!$C12="",'THÁNG 9'!$T12=""),"",'THÁNG 9'!$T12)</f>
        <v/>
      </c>
      <c r="Q455" s="0" t="str">
        <f aca="false">IF(OR('THÁNG 9'!$C12="",'THÁNG 9'!$U12=""),"",'THÁNG 9'!$U12)</f>
        <v/>
      </c>
      <c r="R455" s="0" t="str">
        <f aca="false">IF('THÁNG 9'!$C12="","",'THÁNG 9'!$W12&amp;"")</f>
        <v/>
      </c>
      <c r="S455" s="0" t="str">
        <f aca="false">IF('THÁNG 9'!$C12="","",'THÁNG 9'!$S12&amp;"")</f>
        <v/>
      </c>
      <c r="T455" s="0" t="str">
        <f aca="false">IF(N($O455)&gt;0,COUNTIF($O$3:$O455,"&gt;0"),"")</f>
        <v/>
      </c>
      <c r="U455" s="0" t="str">
        <f aca="false">IF(AND(N($J455)&gt;0,N($K455)&gt;0),COUNTIFS($J$3:$J455,"&gt;0",$K$3:$K455,"&gt;0"),"")</f>
        <v/>
      </c>
      <c r="V455" s="0" t="str">
        <f aca="false">IF(AND(N($J455)&gt;0,N($K455)=0),COUNTIFS($J$3:$J455,"&gt;0",$K$3:$K455,"&lt;=0"),"")</f>
        <v/>
      </c>
      <c r="W455" s="0" t="str">
        <f aca="false">IF($C455="","",IF(COUNTIF($C$3:$C455,$C455)&gt;1,"",MAX($W$2:W454)+1))</f>
        <v/>
      </c>
      <c r="X455" s="0" t="str">
        <f aca="false">IF($H455="","",IF(COUNTIF($H$3:$H455,$H455)&gt;1,"",MAX($X$2:X454)+1))</f>
        <v/>
      </c>
      <c r="Y455" s="0" t="str">
        <f aca="false">IF(AND(N($M455)&gt;0,N($O455)&lt;=0),COUNTIFS($M$3:$M455,"&gt;0",$O$3:$O455,"&lt;=0"),"")</f>
        <v/>
      </c>
      <c r="Z455" s="30" t="n">
        <f aca="false">IF(OR('THÁNG 9'!$C12="",'THÁNG 9'!$B12=""),0,'THÁNG 9'!$B12)</f>
        <v>0</v>
      </c>
    </row>
    <row r="456" customFormat="false" ht="15" hidden="false" customHeight="false" outlineLevel="0" collapsed="false">
      <c r="A456" s="0" t="n">
        <v>9</v>
      </c>
      <c r="B456" s="29" t="str">
        <f aca="false">IF(OR('THÁNG 9'!$C13="",'THÁNG 9'!$B13=""),"",'THÁNG 9'!$B13)</f>
        <v/>
      </c>
      <c r="C456" s="0" t="str">
        <f aca="false">IF('THÁNG 9'!$C13="","",'THÁNG 9'!$C13)</f>
        <v/>
      </c>
      <c r="D456" s="0" t="str">
        <f aca="false">IF('THÁNG 9'!$C13="","",'THÁNG 9'!$D13&amp;"")</f>
        <v/>
      </c>
      <c r="E456" s="0" t="str">
        <f aca="false">IF('THÁNG 9'!$C13="","",'THÁNG 9'!$E13&amp;"")</f>
        <v/>
      </c>
      <c r="F456" s="0" t="str">
        <f aca="false">IF('THÁNG 9'!$C13="","",'THÁNG 9'!$F13&amp;"")</f>
        <v/>
      </c>
      <c r="G456" s="0" t="str">
        <f aca="false">IF('THÁNG 9'!$C13="","",'THÁNG 9'!$G13&amp;"")</f>
        <v/>
      </c>
      <c r="H456" s="0" t="str">
        <f aca="false">IF('THÁNG 9'!$C13="","",'THÁNG 9'!$H13&amp;"")</f>
        <v/>
      </c>
      <c r="I456" s="0" t="str">
        <f aca="false">IF('THÁNG 9'!$C13="","",N('THÁNG 9'!$I13))</f>
        <v/>
      </c>
      <c r="J456" s="0" t="str">
        <f aca="false">IF('THÁNG 9'!$C13="","",N('THÁNG 9'!$L13))</f>
        <v/>
      </c>
      <c r="K456" s="0" t="str">
        <f aca="false">IF('THÁNG 9'!$C13="","",N('THÁNG 9'!$N13))</f>
        <v/>
      </c>
      <c r="L456" s="0" t="str">
        <f aca="false">IF('THÁNG 9'!$C13="","",N('THÁNG 9'!$O13))</f>
        <v/>
      </c>
      <c r="M456" s="0" t="str">
        <f aca="false">IF('THÁNG 9'!$C13="","",N('THÁNG 9'!$P13))</f>
        <v/>
      </c>
      <c r="N456" s="0" t="str">
        <f aca="false">IF('THÁNG 9'!$C13="","",N('THÁNG 9'!$Q13))</f>
        <v/>
      </c>
      <c r="O456" s="0" t="str">
        <f aca="false">IF('THÁNG 9'!$C13="","",N('THÁNG 9'!$R13))</f>
        <v/>
      </c>
      <c r="P456" s="0" t="str">
        <f aca="false">IF(OR('THÁNG 9'!$C13="",'THÁNG 9'!$T13=""),"",'THÁNG 9'!$T13)</f>
        <v/>
      </c>
      <c r="Q456" s="0" t="str">
        <f aca="false">IF(OR('THÁNG 9'!$C13="",'THÁNG 9'!$U13=""),"",'THÁNG 9'!$U13)</f>
        <v/>
      </c>
      <c r="R456" s="0" t="str">
        <f aca="false">IF('THÁNG 9'!$C13="","",'THÁNG 9'!$W13&amp;"")</f>
        <v/>
      </c>
      <c r="S456" s="0" t="str">
        <f aca="false">IF('THÁNG 9'!$C13="","",'THÁNG 9'!$S13&amp;"")</f>
        <v/>
      </c>
      <c r="T456" s="0" t="str">
        <f aca="false">IF(N($O456)&gt;0,COUNTIF($O$3:$O456,"&gt;0"),"")</f>
        <v/>
      </c>
      <c r="U456" s="0" t="str">
        <f aca="false">IF(AND(N($J456)&gt;0,N($K456)&gt;0),COUNTIFS($J$3:$J456,"&gt;0",$K$3:$K456,"&gt;0"),"")</f>
        <v/>
      </c>
      <c r="V456" s="0" t="str">
        <f aca="false">IF(AND(N($J456)&gt;0,N($K456)=0),COUNTIFS($J$3:$J456,"&gt;0",$K$3:$K456,"&lt;=0"),"")</f>
        <v/>
      </c>
      <c r="W456" s="0" t="str">
        <f aca="false">IF($C456="","",IF(COUNTIF($C$3:$C456,$C456)&gt;1,"",MAX($W$2:W455)+1))</f>
        <v/>
      </c>
      <c r="X456" s="0" t="str">
        <f aca="false">IF($H456="","",IF(COUNTIF($H$3:$H456,$H456)&gt;1,"",MAX($X$2:X455)+1))</f>
        <v/>
      </c>
      <c r="Y456" s="0" t="str">
        <f aca="false">IF(AND(N($M456)&gt;0,N($O456)&lt;=0),COUNTIFS($M$3:$M456,"&gt;0",$O$3:$O456,"&lt;=0"),"")</f>
        <v/>
      </c>
      <c r="Z456" s="30" t="n">
        <f aca="false">IF(OR('THÁNG 9'!$C13="",'THÁNG 9'!$B13=""),0,'THÁNG 9'!$B13)</f>
        <v>0</v>
      </c>
    </row>
    <row r="457" customFormat="false" ht="15" hidden="false" customHeight="false" outlineLevel="0" collapsed="false">
      <c r="A457" s="0" t="n">
        <v>9</v>
      </c>
      <c r="B457" s="29" t="str">
        <f aca="false">IF(OR('THÁNG 9'!$C14="",'THÁNG 9'!$B14=""),"",'THÁNG 9'!$B14)</f>
        <v/>
      </c>
      <c r="C457" s="0" t="str">
        <f aca="false">IF('THÁNG 9'!$C14="","",'THÁNG 9'!$C14)</f>
        <v/>
      </c>
      <c r="D457" s="0" t="str">
        <f aca="false">IF('THÁNG 9'!$C14="","",'THÁNG 9'!$D14&amp;"")</f>
        <v/>
      </c>
      <c r="E457" s="0" t="str">
        <f aca="false">IF('THÁNG 9'!$C14="","",'THÁNG 9'!$E14&amp;"")</f>
        <v/>
      </c>
      <c r="F457" s="0" t="str">
        <f aca="false">IF('THÁNG 9'!$C14="","",'THÁNG 9'!$F14&amp;"")</f>
        <v/>
      </c>
      <c r="G457" s="0" t="str">
        <f aca="false">IF('THÁNG 9'!$C14="","",'THÁNG 9'!$G14&amp;"")</f>
        <v/>
      </c>
      <c r="H457" s="0" t="str">
        <f aca="false">IF('THÁNG 9'!$C14="","",'THÁNG 9'!$H14&amp;"")</f>
        <v/>
      </c>
      <c r="I457" s="0" t="str">
        <f aca="false">IF('THÁNG 9'!$C14="","",N('THÁNG 9'!$I14))</f>
        <v/>
      </c>
      <c r="J457" s="0" t="str">
        <f aca="false">IF('THÁNG 9'!$C14="","",N('THÁNG 9'!$L14))</f>
        <v/>
      </c>
      <c r="K457" s="0" t="str">
        <f aca="false">IF('THÁNG 9'!$C14="","",N('THÁNG 9'!$N14))</f>
        <v/>
      </c>
      <c r="L457" s="0" t="str">
        <f aca="false">IF('THÁNG 9'!$C14="","",N('THÁNG 9'!$O14))</f>
        <v/>
      </c>
      <c r="M457" s="0" t="str">
        <f aca="false">IF('THÁNG 9'!$C14="","",N('THÁNG 9'!$P14))</f>
        <v/>
      </c>
      <c r="N457" s="0" t="str">
        <f aca="false">IF('THÁNG 9'!$C14="","",N('THÁNG 9'!$Q14))</f>
        <v/>
      </c>
      <c r="O457" s="0" t="str">
        <f aca="false">IF('THÁNG 9'!$C14="","",N('THÁNG 9'!$R14))</f>
        <v/>
      </c>
      <c r="P457" s="0" t="str">
        <f aca="false">IF(OR('THÁNG 9'!$C14="",'THÁNG 9'!$T14=""),"",'THÁNG 9'!$T14)</f>
        <v/>
      </c>
      <c r="Q457" s="0" t="str">
        <f aca="false">IF(OR('THÁNG 9'!$C14="",'THÁNG 9'!$U14=""),"",'THÁNG 9'!$U14)</f>
        <v/>
      </c>
      <c r="R457" s="0" t="str">
        <f aca="false">IF('THÁNG 9'!$C14="","",'THÁNG 9'!$W14&amp;"")</f>
        <v/>
      </c>
      <c r="S457" s="0" t="str">
        <f aca="false">IF('THÁNG 9'!$C14="","",'THÁNG 9'!$S14&amp;"")</f>
        <v/>
      </c>
      <c r="T457" s="0" t="str">
        <f aca="false">IF(N($O457)&gt;0,COUNTIF($O$3:$O457,"&gt;0"),"")</f>
        <v/>
      </c>
      <c r="U457" s="0" t="str">
        <f aca="false">IF(AND(N($J457)&gt;0,N($K457)&gt;0),COUNTIFS($J$3:$J457,"&gt;0",$K$3:$K457,"&gt;0"),"")</f>
        <v/>
      </c>
      <c r="V457" s="0" t="str">
        <f aca="false">IF(AND(N($J457)&gt;0,N($K457)=0),COUNTIFS($J$3:$J457,"&gt;0",$K$3:$K457,"&lt;=0"),"")</f>
        <v/>
      </c>
      <c r="W457" s="0" t="str">
        <f aca="false">IF($C457="","",IF(COUNTIF($C$3:$C457,$C457)&gt;1,"",MAX($W$2:W456)+1))</f>
        <v/>
      </c>
      <c r="X457" s="0" t="str">
        <f aca="false">IF($H457="","",IF(COUNTIF($H$3:$H457,$H457)&gt;1,"",MAX($X$2:X456)+1))</f>
        <v/>
      </c>
      <c r="Y457" s="0" t="str">
        <f aca="false">IF(AND(N($M457)&gt;0,N($O457)&lt;=0),COUNTIFS($M$3:$M457,"&gt;0",$O$3:$O457,"&lt;=0"),"")</f>
        <v/>
      </c>
      <c r="Z457" s="30" t="n">
        <f aca="false">IF(OR('THÁNG 9'!$C14="",'THÁNG 9'!$B14=""),0,'THÁNG 9'!$B14)</f>
        <v>0</v>
      </c>
    </row>
    <row r="458" customFormat="false" ht="15" hidden="false" customHeight="false" outlineLevel="0" collapsed="false">
      <c r="A458" s="0" t="n">
        <v>9</v>
      </c>
      <c r="B458" s="29" t="str">
        <f aca="false">IF(OR('THÁNG 9'!$C15="",'THÁNG 9'!$B15=""),"",'THÁNG 9'!$B15)</f>
        <v/>
      </c>
      <c r="C458" s="0" t="str">
        <f aca="false">IF('THÁNG 9'!$C15="","",'THÁNG 9'!$C15)</f>
        <v/>
      </c>
      <c r="D458" s="0" t="str">
        <f aca="false">IF('THÁNG 9'!$C15="","",'THÁNG 9'!$D15&amp;"")</f>
        <v/>
      </c>
      <c r="E458" s="0" t="str">
        <f aca="false">IF('THÁNG 9'!$C15="","",'THÁNG 9'!$E15&amp;"")</f>
        <v/>
      </c>
      <c r="F458" s="0" t="str">
        <f aca="false">IF('THÁNG 9'!$C15="","",'THÁNG 9'!$F15&amp;"")</f>
        <v/>
      </c>
      <c r="G458" s="0" t="str">
        <f aca="false">IF('THÁNG 9'!$C15="","",'THÁNG 9'!$G15&amp;"")</f>
        <v/>
      </c>
      <c r="H458" s="0" t="str">
        <f aca="false">IF('THÁNG 9'!$C15="","",'THÁNG 9'!$H15&amp;"")</f>
        <v/>
      </c>
      <c r="I458" s="0" t="str">
        <f aca="false">IF('THÁNG 9'!$C15="","",N('THÁNG 9'!$I15))</f>
        <v/>
      </c>
      <c r="J458" s="0" t="str">
        <f aca="false">IF('THÁNG 9'!$C15="","",N('THÁNG 9'!$L15))</f>
        <v/>
      </c>
      <c r="K458" s="0" t="str">
        <f aca="false">IF('THÁNG 9'!$C15="","",N('THÁNG 9'!$N15))</f>
        <v/>
      </c>
      <c r="L458" s="0" t="str">
        <f aca="false">IF('THÁNG 9'!$C15="","",N('THÁNG 9'!$O15))</f>
        <v/>
      </c>
      <c r="M458" s="0" t="str">
        <f aca="false">IF('THÁNG 9'!$C15="","",N('THÁNG 9'!$P15))</f>
        <v/>
      </c>
      <c r="N458" s="0" t="str">
        <f aca="false">IF('THÁNG 9'!$C15="","",N('THÁNG 9'!$Q15))</f>
        <v/>
      </c>
      <c r="O458" s="0" t="str">
        <f aca="false">IF('THÁNG 9'!$C15="","",N('THÁNG 9'!$R15))</f>
        <v/>
      </c>
      <c r="P458" s="0" t="str">
        <f aca="false">IF(OR('THÁNG 9'!$C15="",'THÁNG 9'!$T15=""),"",'THÁNG 9'!$T15)</f>
        <v/>
      </c>
      <c r="Q458" s="0" t="str">
        <f aca="false">IF(OR('THÁNG 9'!$C15="",'THÁNG 9'!$U15=""),"",'THÁNG 9'!$U15)</f>
        <v/>
      </c>
      <c r="R458" s="0" t="str">
        <f aca="false">IF('THÁNG 9'!$C15="","",'THÁNG 9'!$W15&amp;"")</f>
        <v/>
      </c>
      <c r="S458" s="0" t="str">
        <f aca="false">IF('THÁNG 9'!$C15="","",'THÁNG 9'!$S15&amp;"")</f>
        <v/>
      </c>
      <c r="T458" s="0" t="str">
        <f aca="false">IF(N($O458)&gt;0,COUNTIF($O$3:$O458,"&gt;0"),"")</f>
        <v/>
      </c>
      <c r="U458" s="0" t="str">
        <f aca="false">IF(AND(N($J458)&gt;0,N($K458)&gt;0),COUNTIFS($J$3:$J458,"&gt;0",$K$3:$K458,"&gt;0"),"")</f>
        <v/>
      </c>
      <c r="V458" s="0" t="str">
        <f aca="false">IF(AND(N($J458)&gt;0,N($K458)=0),COUNTIFS($J$3:$J458,"&gt;0",$K$3:$K458,"&lt;=0"),"")</f>
        <v/>
      </c>
      <c r="W458" s="0" t="str">
        <f aca="false">IF($C458="","",IF(COUNTIF($C$3:$C458,$C458)&gt;1,"",MAX($W$2:W457)+1))</f>
        <v/>
      </c>
      <c r="X458" s="0" t="str">
        <f aca="false">IF($H458="","",IF(COUNTIF($H$3:$H458,$H458)&gt;1,"",MAX($X$2:X457)+1))</f>
        <v/>
      </c>
      <c r="Y458" s="0" t="str">
        <f aca="false">IF(AND(N($M458)&gt;0,N($O458)&lt;=0),COUNTIFS($M$3:$M458,"&gt;0",$O$3:$O458,"&lt;=0"),"")</f>
        <v/>
      </c>
      <c r="Z458" s="30" t="n">
        <f aca="false">IF(OR('THÁNG 9'!$C15="",'THÁNG 9'!$B15=""),0,'THÁNG 9'!$B15)</f>
        <v>0</v>
      </c>
    </row>
    <row r="459" customFormat="false" ht="15" hidden="false" customHeight="false" outlineLevel="0" collapsed="false">
      <c r="A459" s="0" t="n">
        <v>9</v>
      </c>
      <c r="B459" s="29" t="str">
        <f aca="false">IF(OR('THÁNG 9'!$C16="",'THÁNG 9'!$B16=""),"",'THÁNG 9'!$B16)</f>
        <v/>
      </c>
      <c r="C459" s="0" t="str">
        <f aca="false">IF('THÁNG 9'!$C16="","",'THÁNG 9'!$C16)</f>
        <v/>
      </c>
      <c r="D459" s="0" t="str">
        <f aca="false">IF('THÁNG 9'!$C16="","",'THÁNG 9'!$D16&amp;"")</f>
        <v/>
      </c>
      <c r="E459" s="0" t="str">
        <f aca="false">IF('THÁNG 9'!$C16="","",'THÁNG 9'!$E16&amp;"")</f>
        <v/>
      </c>
      <c r="F459" s="0" t="str">
        <f aca="false">IF('THÁNG 9'!$C16="","",'THÁNG 9'!$F16&amp;"")</f>
        <v/>
      </c>
      <c r="G459" s="0" t="str">
        <f aca="false">IF('THÁNG 9'!$C16="","",'THÁNG 9'!$G16&amp;"")</f>
        <v/>
      </c>
      <c r="H459" s="0" t="str">
        <f aca="false">IF('THÁNG 9'!$C16="","",'THÁNG 9'!$H16&amp;"")</f>
        <v/>
      </c>
      <c r="I459" s="0" t="str">
        <f aca="false">IF('THÁNG 9'!$C16="","",N('THÁNG 9'!$I16))</f>
        <v/>
      </c>
      <c r="J459" s="0" t="str">
        <f aca="false">IF('THÁNG 9'!$C16="","",N('THÁNG 9'!$L16))</f>
        <v/>
      </c>
      <c r="K459" s="0" t="str">
        <f aca="false">IF('THÁNG 9'!$C16="","",N('THÁNG 9'!$N16))</f>
        <v/>
      </c>
      <c r="L459" s="0" t="str">
        <f aca="false">IF('THÁNG 9'!$C16="","",N('THÁNG 9'!$O16))</f>
        <v/>
      </c>
      <c r="M459" s="0" t="str">
        <f aca="false">IF('THÁNG 9'!$C16="","",N('THÁNG 9'!$P16))</f>
        <v/>
      </c>
      <c r="N459" s="0" t="str">
        <f aca="false">IF('THÁNG 9'!$C16="","",N('THÁNG 9'!$Q16))</f>
        <v/>
      </c>
      <c r="O459" s="0" t="str">
        <f aca="false">IF('THÁNG 9'!$C16="","",N('THÁNG 9'!$R16))</f>
        <v/>
      </c>
      <c r="P459" s="0" t="str">
        <f aca="false">IF(OR('THÁNG 9'!$C16="",'THÁNG 9'!$T16=""),"",'THÁNG 9'!$T16)</f>
        <v/>
      </c>
      <c r="Q459" s="0" t="str">
        <f aca="false">IF(OR('THÁNG 9'!$C16="",'THÁNG 9'!$U16=""),"",'THÁNG 9'!$U16)</f>
        <v/>
      </c>
      <c r="R459" s="0" t="str">
        <f aca="false">IF('THÁNG 9'!$C16="","",'THÁNG 9'!$W16&amp;"")</f>
        <v/>
      </c>
      <c r="S459" s="0" t="str">
        <f aca="false">IF('THÁNG 9'!$C16="","",'THÁNG 9'!$S16&amp;"")</f>
        <v/>
      </c>
      <c r="T459" s="0" t="str">
        <f aca="false">IF(N($O459)&gt;0,COUNTIF($O$3:$O459,"&gt;0"),"")</f>
        <v/>
      </c>
      <c r="U459" s="0" t="str">
        <f aca="false">IF(AND(N($J459)&gt;0,N($K459)&gt;0),COUNTIFS($J$3:$J459,"&gt;0",$K$3:$K459,"&gt;0"),"")</f>
        <v/>
      </c>
      <c r="V459" s="0" t="str">
        <f aca="false">IF(AND(N($J459)&gt;0,N($K459)=0),COUNTIFS($J$3:$J459,"&gt;0",$K$3:$K459,"&lt;=0"),"")</f>
        <v/>
      </c>
      <c r="W459" s="0" t="str">
        <f aca="false">IF($C459="","",IF(COUNTIF($C$3:$C459,$C459)&gt;1,"",MAX($W$2:W458)+1))</f>
        <v/>
      </c>
      <c r="X459" s="0" t="str">
        <f aca="false">IF($H459="","",IF(COUNTIF($H$3:$H459,$H459)&gt;1,"",MAX($X$2:X458)+1))</f>
        <v/>
      </c>
      <c r="Y459" s="0" t="str">
        <f aca="false">IF(AND(N($M459)&gt;0,N($O459)&lt;=0),COUNTIFS($M$3:$M459,"&gt;0",$O$3:$O459,"&lt;=0"),"")</f>
        <v/>
      </c>
      <c r="Z459" s="30" t="n">
        <f aca="false">IF(OR('THÁNG 9'!$C16="",'THÁNG 9'!$B16=""),0,'THÁNG 9'!$B16)</f>
        <v>0</v>
      </c>
    </row>
    <row r="460" customFormat="false" ht="15" hidden="false" customHeight="false" outlineLevel="0" collapsed="false">
      <c r="A460" s="0" t="n">
        <v>9</v>
      </c>
      <c r="B460" s="29" t="str">
        <f aca="false">IF(OR('THÁNG 9'!$C17="",'THÁNG 9'!$B17=""),"",'THÁNG 9'!$B17)</f>
        <v/>
      </c>
      <c r="C460" s="0" t="str">
        <f aca="false">IF('THÁNG 9'!$C17="","",'THÁNG 9'!$C17)</f>
        <v/>
      </c>
      <c r="D460" s="0" t="str">
        <f aca="false">IF('THÁNG 9'!$C17="","",'THÁNG 9'!$D17&amp;"")</f>
        <v/>
      </c>
      <c r="E460" s="0" t="str">
        <f aca="false">IF('THÁNG 9'!$C17="","",'THÁNG 9'!$E17&amp;"")</f>
        <v/>
      </c>
      <c r="F460" s="0" t="str">
        <f aca="false">IF('THÁNG 9'!$C17="","",'THÁNG 9'!$F17&amp;"")</f>
        <v/>
      </c>
      <c r="G460" s="0" t="str">
        <f aca="false">IF('THÁNG 9'!$C17="","",'THÁNG 9'!$G17&amp;"")</f>
        <v/>
      </c>
      <c r="H460" s="0" t="str">
        <f aca="false">IF('THÁNG 9'!$C17="","",'THÁNG 9'!$H17&amp;"")</f>
        <v/>
      </c>
      <c r="I460" s="0" t="str">
        <f aca="false">IF('THÁNG 9'!$C17="","",N('THÁNG 9'!$I17))</f>
        <v/>
      </c>
      <c r="J460" s="0" t="str">
        <f aca="false">IF('THÁNG 9'!$C17="","",N('THÁNG 9'!$L17))</f>
        <v/>
      </c>
      <c r="K460" s="0" t="str">
        <f aca="false">IF('THÁNG 9'!$C17="","",N('THÁNG 9'!$N17))</f>
        <v/>
      </c>
      <c r="L460" s="0" t="str">
        <f aca="false">IF('THÁNG 9'!$C17="","",N('THÁNG 9'!$O17))</f>
        <v/>
      </c>
      <c r="M460" s="0" t="str">
        <f aca="false">IF('THÁNG 9'!$C17="","",N('THÁNG 9'!$P17))</f>
        <v/>
      </c>
      <c r="N460" s="0" t="str">
        <f aca="false">IF('THÁNG 9'!$C17="","",N('THÁNG 9'!$Q17))</f>
        <v/>
      </c>
      <c r="O460" s="0" t="str">
        <f aca="false">IF('THÁNG 9'!$C17="","",N('THÁNG 9'!$R17))</f>
        <v/>
      </c>
      <c r="P460" s="0" t="str">
        <f aca="false">IF(OR('THÁNG 9'!$C17="",'THÁNG 9'!$T17=""),"",'THÁNG 9'!$T17)</f>
        <v/>
      </c>
      <c r="Q460" s="0" t="str">
        <f aca="false">IF(OR('THÁNG 9'!$C17="",'THÁNG 9'!$U17=""),"",'THÁNG 9'!$U17)</f>
        <v/>
      </c>
      <c r="R460" s="0" t="str">
        <f aca="false">IF('THÁNG 9'!$C17="","",'THÁNG 9'!$W17&amp;"")</f>
        <v/>
      </c>
      <c r="S460" s="0" t="str">
        <f aca="false">IF('THÁNG 9'!$C17="","",'THÁNG 9'!$S17&amp;"")</f>
        <v/>
      </c>
      <c r="T460" s="0" t="str">
        <f aca="false">IF(N($O460)&gt;0,COUNTIF($O$3:$O460,"&gt;0"),"")</f>
        <v/>
      </c>
      <c r="U460" s="0" t="str">
        <f aca="false">IF(AND(N($J460)&gt;0,N($K460)&gt;0),COUNTIFS($J$3:$J460,"&gt;0",$K$3:$K460,"&gt;0"),"")</f>
        <v/>
      </c>
      <c r="V460" s="0" t="str">
        <f aca="false">IF(AND(N($J460)&gt;0,N($K460)=0),COUNTIFS($J$3:$J460,"&gt;0",$K$3:$K460,"&lt;=0"),"")</f>
        <v/>
      </c>
      <c r="W460" s="0" t="str">
        <f aca="false">IF($C460="","",IF(COUNTIF($C$3:$C460,$C460)&gt;1,"",MAX($W$2:W459)+1))</f>
        <v/>
      </c>
      <c r="X460" s="0" t="str">
        <f aca="false">IF($H460="","",IF(COUNTIF($H$3:$H460,$H460)&gt;1,"",MAX($X$2:X459)+1))</f>
        <v/>
      </c>
      <c r="Y460" s="0" t="str">
        <f aca="false">IF(AND(N($M460)&gt;0,N($O460)&lt;=0),COUNTIFS($M$3:$M460,"&gt;0",$O$3:$O460,"&lt;=0"),"")</f>
        <v/>
      </c>
      <c r="Z460" s="30" t="n">
        <f aca="false">IF(OR('THÁNG 9'!$C17="",'THÁNG 9'!$B17=""),0,'THÁNG 9'!$B17)</f>
        <v>0</v>
      </c>
    </row>
    <row r="461" customFormat="false" ht="15" hidden="false" customHeight="false" outlineLevel="0" collapsed="false">
      <c r="A461" s="0" t="n">
        <v>9</v>
      </c>
      <c r="B461" s="29" t="str">
        <f aca="false">IF(OR('THÁNG 9'!$C18="",'THÁNG 9'!$B18=""),"",'THÁNG 9'!$B18)</f>
        <v/>
      </c>
      <c r="C461" s="0" t="str">
        <f aca="false">IF('THÁNG 9'!$C18="","",'THÁNG 9'!$C18)</f>
        <v/>
      </c>
      <c r="D461" s="0" t="str">
        <f aca="false">IF('THÁNG 9'!$C18="","",'THÁNG 9'!$D18&amp;"")</f>
        <v/>
      </c>
      <c r="E461" s="0" t="str">
        <f aca="false">IF('THÁNG 9'!$C18="","",'THÁNG 9'!$E18&amp;"")</f>
        <v/>
      </c>
      <c r="F461" s="0" t="str">
        <f aca="false">IF('THÁNG 9'!$C18="","",'THÁNG 9'!$F18&amp;"")</f>
        <v/>
      </c>
      <c r="G461" s="0" t="str">
        <f aca="false">IF('THÁNG 9'!$C18="","",'THÁNG 9'!$G18&amp;"")</f>
        <v/>
      </c>
      <c r="H461" s="0" t="str">
        <f aca="false">IF('THÁNG 9'!$C18="","",'THÁNG 9'!$H18&amp;"")</f>
        <v/>
      </c>
      <c r="I461" s="0" t="str">
        <f aca="false">IF('THÁNG 9'!$C18="","",N('THÁNG 9'!$I18))</f>
        <v/>
      </c>
      <c r="J461" s="0" t="str">
        <f aca="false">IF('THÁNG 9'!$C18="","",N('THÁNG 9'!$L18))</f>
        <v/>
      </c>
      <c r="K461" s="0" t="str">
        <f aca="false">IF('THÁNG 9'!$C18="","",N('THÁNG 9'!$N18))</f>
        <v/>
      </c>
      <c r="L461" s="0" t="str">
        <f aca="false">IF('THÁNG 9'!$C18="","",N('THÁNG 9'!$O18))</f>
        <v/>
      </c>
      <c r="M461" s="0" t="str">
        <f aca="false">IF('THÁNG 9'!$C18="","",N('THÁNG 9'!$P18))</f>
        <v/>
      </c>
      <c r="N461" s="0" t="str">
        <f aca="false">IF('THÁNG 9'!$C18="","",N('THÁNG 9'!$Q18))</f>
        <v/>
      </c>
      <c r="O461" s="0" t="str">
        <f aca="false">IF('THÁNG 9'!$C18="","",N('THÁNG 9'!$R18))</f>
        <v/>
      </c>
      <c r="P461" s="0" t="str">
        <f aca="false">IF(OR('THÁNG 9'!$C18="",'THÁNG 9'!$T18=""),"",'THÁNG 9'!$T18)</f>
        <v/>
      </c>
      <c r="Q461" s="0" t="str">
        <f aca="false">IF(OR('THÁNG 9'!$C18="",'THÁNG 9'!$U18=""),"",'THÁNG 9'!$U18)</f>
        <v/>
      </c>
      <c r="R461" s="0" t="str">
        <f aca="false">IF('THÁNG 9'!$C18="","",'THÁNG 9'!$W18&amp;"")</f>
        <v/>
      </c>
      <c r="S461" s="0" t="str">
        <f aca="false">IF('THÁNG 9'!$C18="","",'THÁNG 9'!$S18&amp;"")</f>
        <v/>
      </c>
      <c r="T461" s="0" t="str">
        <f aca="false">IF(N($O461)&gt;0,COUNTIF($O$3:$O461,"&gt;0"),"")</f>
        <v/>
      </c>
      <c r="U461" s="0" t="str">
        <f aca="false">IF(AND(N($J461)&gt;0,N($K461)&gt;0),COUNTIFS($J$3:$J461,"&gt;0",$K$3:$K461,"&gt;0"),"")</f>
        <v/>
      </c>
      <c r="V461" s="0" t="str">
        <f aca="false">IF(AND(N($J461)&gt;0,N($K461)=0),COUNTIFS($J$3:$J461,"&gt;0",$K$3:$K461,"&lt;=0"),"")</f>
        <v/>
      </c>
      <c r="W461" s="0" t="str">
        <f aca="false">IF($C461="","",IF(COUNTIF($C$3:$C461,$C461)&gt;1,"",MAX($W$2:W460)+1))</f>
        <v/>
      </c>
      <c r="X461" s="0" t="str">
        <f aca="false">IF($H461="","",IF(COUNTIF($H$3:$H461,$H461)&gt;1,"",MAX($X$2:X460)+1))</f>
        <v/>
      </c>
      <c r="Y461" s="0" t="str">
        <f aca="false">IF(AND(N($M461)&gt;0,N($O461)&lt;=0),COUNTIFS($M$3:$M461,"&gt;0",$O$3:$O461,"&lt;=0"),"")</f>
        <v/>
      </c>
      <c r="Z461" s="30" t="n">
        <f aca="false">IF(OR('THÁNG 9'!$C18="",'THÁNG 9'!$B18=""),0,'THÁNG 9'!$B18)</f>
        <v>0</v>
      </c>
    </row>
    <row r="462" customFormat="false" ht="15" hidden="false" customHeight="false" outlineLevel="0" collapsed="false">
      <c r="A462" s="0" t="n">
        <v>9</v>
      </c>
      <c r="B462" s="29" t="str">
        <f aca="false">IF(OR('THÁNG 9'!$C19="",'THÁNG 9'!$B19=""),"",'THÁNG 9'!$B19)</f>
        <v/>
      </c>
      <c r="C462" s="0" t="str">
        <f aca="false">IF('THÁNG 9'!$C19="","",'THÁNG 9'!$C19)</f>
        <v/>
      </c>
      <c r="D462" s="0" t="str">
        <f aca="false">IF('THÁNG 9'!$C19="","",'THÁNG 9'!$D19&amp;"")</f>
        <v/>
      </c>
      <c r="E462" s="0" t="str">
        <f aca="false">IF('THÁNG 9'!$C19="","",'THÁNG 9'!$E19&amp;"")</f>
        <v/>
      </c>
      <c r="F462" s="0" t="str">
        <f aca="false">IF('THÁNG 9'!$C19="","",'THÁNG 9'!$F19&amp;"")</f>
        <v/>
      </c>
      <c r="G462" s="0" t="str">
        <f aca="false">IF('THÁNG 9'!$C19="","",'THÁNG 9'!$G19&amp;"")</f>
        <v/>
      </c>
      <c r="H462" s="0" t="str">
        <f aca="false">IF('THÁNG 9'!$C19="","",'THÁNG 9'!$H19&amp;"")</f>
        <v/>
      </c>
      <c r="I462" s="0" t="str">
        <f aca="false">IF('THÁNG 9'!$C19="","",N('THÁNG 9'!$I19))</f>
        <v/>
      </c>
      <c r="J462" s="0" t="str">
        <f aca="false">IF('THÁNG 9'!$C19="","",N('THÁNG 9'!$L19))</f>
        <v/>
      </c>
      <c r="K462" s="0" t="str">
        <f aca="false">IF('THÁNG 9'!$C19="","",N('THÁNG 9'!$N19))</f>
        <v/>
      </c>
      <c r="L462" s="0" t="str">
        <f aca="false">IF('THÁNG 9'!$C19="","",N('THÁNG 9'!$O19))</f>
        <v/>
      </c>
      <c r="M462" s="0" t="str">
        <f aca="false">IF('THÁNG 9'!$C19="","",N('THÁNG 9'!$P19))</f>
        <v/>
      </c>
      <c r="N462" s="0" t="str">
        <f aca="false">IF('THÁNG 9'!$C19="","",N('THÁNG 9'!$Q19))</f>
        <v/>
      </c>
      <c r="O462" s="0" t="str">
        <f aca="false">IF('THÁNG 9'!$C19="","",N('THÁNG 9'!$R19))</f>
        <v/>
      </c>
      <c r="P462" s="0" t="str">
        <f aca="false">IF(OR('THÁNG 9'!$C19="",'THÁNG 9'!$T19=""),"",'THÁNG 9'!$T19)</f>
        <v/>
      </c>
      <c r="Q462" s="0" t="str">
        <f aca="false">IF(OR('THÁNG 9'!$C19="",'THÁNG 9'!$U19=""),"",'THÁNG 9'!$U19)</f>
        <v/>
      </c>
      <c r="R462" s="0" t="str">
        <f aca="false">IF('THÁNG 9'!$C19="","",'THÁNG 9'!$W19&amp;"")</f>
        <v/>
      </c>
      <c r="S462" s="0" t="str">
        <f aca="false">IF('THÁNG 9'!$C19="","",'THÁNG 9'!$S19&amp;"")</f>
        <v/>
      </c>
      <c r="T462" s="0" t="str">
        <f aca="false">IF(N($O462)&gt;0,COUNTIF($O$3:$O462,"&gt;0"),"")</f>
        <v/>
      </c>
      <c r="U462" s="0" t="str">
        <f aca="false">IF(AND(N($J462)&gt;0,N($K462)&gt;0),COUNTIFS($J$3:$J462,"&gt;0",$K$3:$K462,"&gt;0"),"")</f>
        <v/>
      </c>
      <c r="V462" s="0" t="str">
        <f aca="false">IF(AND(N($J462)&gt;0,N($K462)=0),COUNTIFS($J$3:$J462,"&gt;0",$K$3:$K462,"&lt;=0"),"")</f>
        <v/>
      </c>
      <c r="W462" s="0" t="str">
        <f aca="false">IF($C462="","",IF(COUNTIF($C$3:$C462,$C462)&gt;1,"",MAX($W$2:W461)+1))</f>
        <v/>
      </c>
      <c r="X462" s="0" t="str">
        <f aca="false">IF($H462="","",IF(COUNTIF($H$3:$H462,$H462)&gt;1,"",MAX($X$2:X461)+1))</f>
        <v/>
      </c>
      <c r="Y462" s="0" t="str">
        <f aca="false">IF(AND(N($M462)&gt;0,N($O462)&lt;=0),COUNTIFS($M$3:$M462,"&gt;0",$O$3:$O462,"&lt;=0"),"")</f>
        <v/>
      </c>
      <c r="Z462" s="30" t="n">
        <f aca="false">IF(OR('THÁNG 9'!$C19="",'THÁNG 9'!$B19=""),0,'THÁNG 9'!$B19)</f>
        <v>0</v>
      </c>
    </row>
    <row r="463" customFormat="false" ht="15" hidden="false" customHeight="false" outlineLevel="0" collapsed="false">
      <c r="A463" s="0" t="n">
        <v>9</v>
      </c>
      <c r="B463" s="29" t="str">
        <f aca="false">IF(OR('THÁNG 9'!$C20="",'THÁNG 9'!$B20=""),"",'THÁNG 9'!$B20)</f>
        <v/>
      </c>
      <c r="C463" s="0" t="str">
        <f aca="false">IF('THÁNG 9'!$C20="","",'THÁNG 9'!$C20)</f>
        <v/>
      </c>
      <c r="D463" s="0" t="str">
        <f aca="false">IF('THÁNG 9'!$C20="","",'THÁNG 9'!$D20&amp;"")</f>
        <v/>
      </c>
      <c r="E463" s="0" t="str">
        <f aca="false">IF('THÁNG 9'!$C20="","",'THÁNG 9'!$E20&amp;"")</f>
        <v/>
      </c>
      <c r="F463" s="0" t="str">
        <f aca="false">IF('THÁNG 9'!$C20="","",'THÁNG 9'!$F20&amp;"")</f>
        <v/>
      </c>
      <c r="G463" s="0" t="str">
        <f aca="false">IF('THÁNG 9'!$C20="","",'THÁNG 9'!$G20&amp;"")</f>
        <v/>
      </c>
      <c r="H463" s="0" t="str">
        <f aca="false">IF('THÁNG 9'!$C20="","",'THÁNG 9'!$H20&amp;"")</f>
        <v/>
      </c>
      <c r="I463" s="0" t="str">
        <f aca="false">IF('THÁNG 9'!$C20="","",N('THÁNG 9'!$I20))</f>
        <v/>
      </c>
      <c r="J463" s="0" t="str">
        <f aca="false">IF('THÁNG 9'!$C20="","",N('THÁNG 9'!$L20))</f>
        <v/>
      </c>
      <c r="K463" s="0" t="str">
        <f aca="false">IF('THÁNG 9'!$C20="","",N('THÁNG 9'!$N20))</f>
        <v/>
      </c>
      <c r="L463" s="0" t="str">
        <f aca="false">IF('THÁNG 9'!$C20="","",N('THÁNG 9'!$O20))</f>
        <v/>
      </c>
      <c r="M463" s="0" t="str">
        <f aca="false">IF('THÁNG 9'!$C20="","",N('THÁNG 9'!$P20))</f>
        <v/>
      </c>
      <c r="N463" s="0" t="str">
        <f aca="false">IF('THÁNG 9'!$C20="","",N('THÁNG 9'!$Q20))</f>
        <v/>
      </c>
      <c r="O463" s="0" t="str">
        <f aca="false">IF('THÁNG 9'!$C20="","",N('THÁNG 9'!$R20))</f>
        <v/>
      </c>
      <c r="P463" s="0" t="str">
        <f aca="false">IF(OR('THÁNG 9'!$C20="",'THÁNG 9'!$T20=""),"",'THÁNG 9'!$T20)</f>
        <v/>
      </c>
      <c r="Q463" s="0" t="str">
        <f aca="false">IF(OR('THÁNG 9'!$C20="",'THÁNG 9'!$U20=""),"",'THÁNG 9'!$U20)</f>
        <v/>
      </c>
      <c r="R463" s="0" t="str">
        <f aca="false">IF('THÁNG 9'!$C20="","",'THÁNG 9'!$W20&amp;"")</f>
        <v/>
      </c>
      <c r="S463" s="0" t="str">
        <f aca="false">IF('THÁNG 9'!$C20="","",'THÁNG 9'!$S20&amp;"")</f>
        <v/>
      </c>
      <c r="T463" s="0" t="str">
        <f aca="false">IF(N($O463)&gt;0,COUNTIF($O$3:$O463,"&gt;0"),"")</f>
        <v/>
      </c>
      <c r="U463" s="0" t="str">
        <f aca="false">IF(AND(N($J463)&gt;0,N($K463)&gt;0),COUNTIFS($J$3:$J463,"&gt;0",$K$3:$K463,"&gt;0"),"")</f>
        <v/>
      </c>
      <c r="V463" s="0" t="str">
        <f aca="false">IF(AND(N($J463)&gt;0,N($K463)=0),COUNTIFS($J$3:$J463,"&gt;0",$K$3:$K463,"&lt;=0"),"")</f>
        <v/>
      </c>
      <c r="W463" s="0" t="str">
        <f aca="false">IF($C463="","",IF(COUNTIF($C$3:$C463,$C463)&gt;1,"",MAX($W$2:W462)+1))</f>
        <v/>
      </c>
      <c r="X463" s="0" t="str">
        <f aca="false">IF($H463="","",IF(COUNTIF($H$3:$H463,$H463)&gt;1,"",MAX($X$2:X462)+1))</f>
        <v/>
      </c>
      <c r="Y463" s="0" t="str">
        <f aca="false">IF(AND(N($M463)&gt;0,N($O463)&lt;=0),COUNTIFS($M$3:$M463,"&gt;0",$O$3:$O463,"&lt;=0"),"")</f>
        <v/>
      </c>
      <c r="Z463" s="30" t="n">
        <f aca="false">IF(OR('THÁNG 9'!$C20="",'THÁNG 9'!$B20=""),0,'THÁNG 9'!$B20)</f>
        <v>0</v>
      </c>
    </row>
    <row r="464" customFormat="false" ht="15" hidden="false" customHeight="false" outlineLevel="0" collapsed="false">
      <c r="A464" s="0" t="n">
        <v>9</v>
      </c>
      <c r="B464" s="29" t="str">
        <f aca="false">IF(OR('THÁNG 9'!$C21="",'THÁNG 9'!$B21=""),"",'THÁNG 9'!$B21)</f>
        <v/>
      </c>
      <c r="C464" s="0" t="str">
        <f aca="false">IF('THÁNG 9'!$C21="","",'THÁNG 9'!$C21)</f>
        <v/>
      </c>
      <c r="D464" s="0" t="str">
        <f aca="false">IF('THÁNG 9'!$C21="","",'THÁNG 9'!$D21&amp;"")</f>
        <v/>
      </c>
      <c r="E464" s="0" t="str">
        <f aca="false">IF('THÁNG 9'!$C21="","",'THÁNG 9'!$E21&amp;"")</f>
        <v/>
      </c>
      <c r="F464" s="0" t="str">
        <f aca="false">IF('THÁNG 9'!$C21="","",'THÁNG 9'!$F21&amp;"")</f>
        <v/>
      </c>
      <c r="G464" s="0" t="str">
        <f aca="false">IF('THÁNG 9'!$C21="","",'THÁNG 9'!$G21&amp;"")</f>
        <v/>
      </c>
      <c r="H464" s="0" t="str">
        <f aca="false">IF('THÁNG 9'!$C21="","",'THÁNG 9'!$H21&amp;"")</f>
        <v/>
      </c>
      <c r="I464" s="0" t="str">
        <f aca="false">IF('THÁNG 9'!$C21="","",N('THÁNG 9'!$I21))</f>
        <v/>
      </c>
      <c r="J464" s="0" t="str">
        <f aca="false">IF('THÁNG 9'!$C21="","",N('THÁNG 9'!$L21))</f>
        <v/>
      </c>
      <c r="K464" s="0" t="str">
        <f aca="false">IF('THÁNG 9'!$C21="","",N('THÁNG 9'!$N21))</f>
        <v/>
      </c>
      <c r="L464" s="0" t="str">
        <f aca="false">IF('THÁNG 9'!$C21="","",N('THÁNG 9'!$O21))</f>
        <v/>
      </c>
      <c r="M464" s="0" t="str">
        <f aca="false">IF('THÁNG 9'!$C21="","",N('THÁNG 9'!$P21))</f>
        <v/>
      </c>
      <c r="N464" s="0" t="str">
        <f aca="false">IF('THÁNG 9'!$C21="","",N('THÁNG 9'!$Q21))</f>
        <v/>
      </c>
      <c r="O464" s="0" t="str">
        <f aca="false">IF('THÁNG 9'!$C21="","",N('THÁNG 9'!$R21))</f>
        <v/>
      </c>
      <c r="P464" s="0" t="str">
        <f aca="false">IF(OR('THÁNG 9'!$C21="",'THÁNG 9'!$T21=""),"",'THÁNG 9'!$T21)</f>
        <v/>
      </c>
      <c r="Q464" s="0" t="str">
        <f aca="false">IF(OR('THÁNG 9'!$C21="",'THÁNG 9'!$U21=""),"",'THÁNG 9'!$U21)</f>
        <v/>
      </c>
      <c r="R464" s="0" t="str">
        <f aca="false">IF('THÁNG 9'!$C21="","",'THÁNG 9'!$W21&amp;"")</f>
        <v/>
      </c>
      <c r="S464" s="0" t="str">
        <f aca="false">IF('THÁNG 9'!$C21="","",'THÁNG 9'!$S21&amp;"")</f>
        <v/>
      </c>
      <c r="T464" s="0" t="str">
        <f aca="false">IF(N($O464)&gt;0,COUNTIF($O$3:$O464,"&gt;0"),"")</f>
        <v/>
      </c>
      <c r="U464" s="0" t="str">
        <f aca="false">IF(AND(N($J464)&gt;0,N($K464)&gt;0),COUNTIFS($J$3:$J464,"&gt;0",$K$3:$K464,"&gt;0"),"")</f>
        <v/>
      </c>
      <c r="V464" s="0" t="str">
        <f aca="false">IF(AND(N($J464)&gt;0,N($K464)=0),COUNTIFS($J$3:$J464,"&gt;0",$K$3:$K464,"&lt;=0"),"")</f>
        <v/>
      </c>
      <c r="W464" s="0" t="str">
        <f aca="false">IF($C464="","",IF(COUNTIF($C$3:$C464,$C464)&gt;1,"",MAX($W$2:W463)+1))</f>
        <v/>
      </c>
      <c r="X464" s="0" t="str">
        <f aca="false">IF($H464="","",IF(COUNTIF($H$3:$H464,$H464)&gt;1,"",MAX($X$2:X463)+1))</f>
        <v/>
      </c>
      <c r="Y464" s="0" t="str">
        <f aca="false">IF(AND(N($M464)&gt;0,N($O464)&lt;=0),COUNTIFS($M$3:$M464,"&gt;0",$O$3:$O464,"&lt;=0"),"")</f>
        <v/>
      </c>
      <c r="Z464" s="30" t="n">
        <f aca="false">IF(OR('THÁNG 9'!$C21="",'THÁNG 9'!$B21=""),0,'THÁNG 9'!$B21)</f>
        <v>0</v>
      </c>
    </row>
    <row r="465" customFormat="false" ht="15" hidden="false" customHeight="false" outlineLevel="0" collapsed="false">
      <c r="A465" s="0" t="n">
        <v>9</v>
      </c>
      <c r="B465" s="29" t="str">
        <f aca="false">IF(OR('THÁNG 9'!$C22="",'THÁNG 9'!$B22=""),"",'THÁNG 9'!$B22)</f>
        <v/>
      </c>
      <c r="C465" s="0" t="str">
        <f aca="false">IF('THÁNG 9'!$C22="","",'THÁNG 9'!$C22)</f>
        <v/>
      </c>
      <c r="D465" s="0" t="str">
        <f aca="false">IF('THÁNG 9'!$C22="","",'THÁNG 9'!$D22&amp;"")</f>
        <v/>
      </c>
      <c r="E465" s="0" t="str">
        <f aca="false">IF('THÁNG 9'!$C22="","",'THÁNG 9'!$E22&amp;"")</f>
        <v/>
      </c>
      <c r="F465" s="0" t="str">
        <f aca="false">IF('THÁNG 9'!$C22="","",'THÁNG 9'!$F22&amp;"")</f>
        <v/>
      </c>
      <c r="G465" s="0" t="str">
        <f aca="false">IF('THÁNG 9'!$C22="","",'THÁNG 9'!$G22&amp;"")</f>
        <v/>
      </c>
      <c r="H465" s="0" t="str">
        <f aca="false">IF('THÁNG 9'!$C22="","",'THÁNG 9'!$H22&amp;"")</f>
        <v/>
      </c>
      <c r="I465" s="0" t="str">
        <f aca="false">IF('THÁNG 9'!$C22="","",N('THÁNG 9'!$I22))</f>
        <v/>
      </c>
      <c r="J465" s="0" t="str">
        <f aca="false">IF('THÁNG 9'!$C22="","",N('THÁNG 9'!$L22))</f>
        <v/>
      </c>
      <c r="K465" s="0" t="str">
        <f aca="false">IF('THÁNG 9'!$C22="","",N('THÁNG 9'!$N22))</f>
        <v/>
      </c>
      <c r="L465" s="0" t="str">
        <f aca="false">IF('THÁNG 9'!$C22="","",N('THÁNG 9'!$O22))</f>
        <v/>
      </c>
      <c r="M465" s="0" t="str">
        <f aca="false">IF('THÁNG 9'!$C22="","",N('THÁNG 9'!$P22))</f>
        <v/>
      </c>
      <c r="N465" s="0" t="str">
        <f aca="false">IF('THÁNG 9'!$C22="","",N('THÁNG 9'!$Q22))</f>
        <v/>
      </c>
      <c r="O465" s="0" t="str">
        <f aca="false">IF('THÁNG 9'!$C22="","",N('THÁNG 9'!$R22))</f>
        <v/>
      </c>
      <c r="P465" s="0" t="str">
        <f aca="false">IF(OR('THÁNG 9'!$C22="",'THÁNG 9'!$T22=""),"",'THÁNG 9'!$T22)</f>
        <v/>
      </c>
      <c r="Q465" s="0" t="str">
        <f aca="false">IF(OR('THÁNG 9'!$C22="",'THÁNG 9'!$U22=""),"",'THÁNG 9'!$U22)</f>
        <v/>
      </c>
      <c r="R465" s="0" t="str">
        <f aca="false">IF('THÁNG 9'!$C22="","",'THÁNG 9'!$W22&amp;"")</f>
        <v/>
      </c>
      <c r="S465" s="0" t="str">
        <f aca="false">IF('THÁNG 9'!$C22="","",'THÁNG 9'!$S22&amp;"")</f>
        <v/>
      </c>
      <c r="T465" s="0" t="str">
        <f aca="false">IF(N($O465)&gt;0,COUNTIF($O$3:$O465,"&gt;0"),"")</f>
        <v/>
      </c>
      <c r="U465" s="0" t="str">
        <f aca="false">IF(AND(N($J465)&gt;0,N($K465)&gt;0),COUNTIFS($J$3:$J465,"&gt;0",$K$3:$K465,"&gt;0"),"")</f>
        <v/>
      </c>
      <c r="V465" s="0" t="str">
        <f aca="false">IF(AND(N($J465)&gt;0,N($K465)=0),COUNTIFS($J$3:$J465,"&gt;0",$K$3:$K465,"&lt;=0"),"")</f>
        <v/>
      </c>
      <c r="W465" s="0" t="str">
        <f aca="false">IF($C465="","",IF(COUNTIF($C$3:$C465,$C465)&gt;1,"",MAX($W$2:W464)+1))</f>
        <v/>
      </c>
      <c r="X465" s="0" t="str">
        <f aca="false">IF($H465="","",IF(COUNTIF($H$3:$H465,$H465)&gt;1,"",MAX($X$2:X464)+1))</f>
        <v/>
      </c>
      <c r="Y465" s="0" t="str">
        <f aca="false">IF(AND(N($M465)&gt;0,N($O465)&lt;=0),COUNTIFS($M$3:$M465,"&gt;0",$O$3:$O465,"&lt;=0"),"")</f>
        <v/>
      </c>
      <c r="Z465" s="30" t="n">
        <f aca="false">IF(OR('THÁNG 9'!$C22="",'THÁNG 9'!$B22=""),0,'THÁNG 9'!$B22)</f>
        <v>0</v>
      </c>
    </row>
    <row r="466" customFormat="false" ht="15" hidden="false" customHeight="false" outlineLevel="0" collapsed="false">
      <c r="A466" s="0" t="n">
        <v>9</v>
      </c>
      <c r="B466" s="29" t="str">
        <f aca="false">IF(OR('THÁNG 9'!$C23="",'THÁNG 9'!$B23=""),"",'THÁNG 9'!$B23)</f>
        <v/>
      </c>
      <c r="C466" s="0" t="str">
        <f aca="false">IF('THÁNG 9'!$C23="","",'THÁNG 9'!$C23)</f>
        <v/>
      </c>
      <c r="D466" s="0" t="str">
        <f aca="false">IF('THÁNG 9'!$C23="","",'THÁNG 9'!$D23&amp;"")</f>
        <v/>
      </c>
      <c r="E466" s="0" t="str">
        <f aca="false">IF('THÁNG 9'!$C23="","",'THÁNG 9'!$E23&amp;"")</f>
        <v/>
      </c>
      <c r="F466" s="0" t="str">
        <f aca="false">IF('THÁNG 9'!$C23="","",'THÁNG 9'!$F23&amp;"")</f>
        <v/>
      </c>
      <c r="G466" s="0" t="str">
        <f aca="false">IF('THÁNG 9'!$C23="","",'THÁNG 9'!$G23&amp;"")</f>
        <v/>
      </c>
      <c r="H466" s="0" t="str">
        <f aca="false">IF('THÁNG 9'!$C23="","",'THÁNG 9'!$H23&amp;"")</f>
        <v/>
      </c>
      <c r="I466" s="0" t="str">
        <f aca="false">IF('THÁNG 9'!$C23="","",N('THÁNG 9'!$I23))</f>
        <v/>
      </c>
      <c r="J466" s="0" t="str">
        <f aca="false">IF('THÁNG 9'!$C23="","",N('THÁNG 9'!$L23))</f>
        <v/>
      </c>
      <c r="K466" s="0" t="str">
        <f aca="false">IF('THÁNG 9'!$C23="","",N('THÁNG 9'!$N23))</f>
        <v/>
      </c>
      <c r="L466" s="0" t="str">
        <f aca="false">IF('THÁNG 9'!$C23="","",N('THÁNG 9'!$O23))</f>
        <v/>
      </c>
      <c r="M466" s="0" t="str">
        <f aca="false">IF('THÁNG 9'!$C23="","",N('THÁNG 9'!$P23))</f>
        <v/>
      </c>
      <c r="N466" s="0" t="str">
        <f aca="false">IF('THÁNG 9'!$C23="","",N('THÁNG 9'!$Q23))</f>
        <v/>
      </c>
      <c r="O466" s="0" t="str">
        <f aca="false">IF('THÁNG 9'!$C23="","",N('THÁNG 9'!$R23))</f>
        <v/>
      </c>
      <c r="P466" s="0" t="str">
        <f aca="false">IF(OR('THÁNG 9'!$C23="",'THÁNG 9'!$T23=""),"",'THÁNG 9'!$T23)</f>
        <v/>
      </c>
      <c r="Q466" s="0" t="str">
        <f aca="false">IF(OR('THÁNG 9'!$C23="",'THÁNG 9'!$U23=""),"",'THÁNG 9'!$U23)</f>
        <v/>
      </c>
      <c r="R466" s="0" t="str">
        <f aca="false">IF('THÁNG 9'!$C23="","",'THÁNG 9'!$W23&amp;"")</f>
        <v/>
      </c>
      <c r="S466" s="0" t="str">
        <f aca="false">IF('THÁNG 9'!$C23="","",'THÁNG 9'!$S23&amp;"")</f>
        <v/>
      </c>
      <c r="T466" s="0" t="str">
        <f aca="false">IF(N($O466)&gt;0,COUNTIF($O$3:$O466,"&gt;0"),"")</f>
        <v/>
      </c>
      <c r="U466" s="0" t="str">
        <f aca="false">IF(AND(N($J466)&gt;0,N($K466)&gt;0),COUNTIFS($J$3:$J466,"&gt;0",$K$3:$K466,"&gt;0"),"")</f>
        <v/>
      </c>
      <c r="V466" s="0" t="str">
        <f aca="false">IF(AND(N($J466)&gt;0,N($K466)=0),COUNTIFS($J$3:$J466,"&gt;0",$K$3:$K466,"&lt;=0"),"")</f>
        <v/>
      </c>
      <c r="W466" s="0" t="str">
        <f aca="false">IF($C466="","",IF(COUNTIF($C$3:$C466,$C466)&gt;1,"",MAX($W$2:W465)+1))</f>
        <v/>
      </c>
      <c r="X466" s="0" t="str">
        <f aca="false">IF($H466="","",IF(COUNTIF($H$3:$H466,$H466)&gt;1,"",MAX($X$2:X465)+1))</f>
        <v/>
      </c>
      <c r="Y466" s="0" t="str">
        <f aca="false">IF(AND(N($M466)&gt;0,N($O466)&lt;=0),COUNTIFS($M$3:$M466,"&gt;0",$O$3:$O466,"&lt;=0"),"")</f>
        <v/>
      </c>
      <c r="Z466" s="30" t="n">
        <f aca="false">IF(OR('THÁNG 9'!$C23="",'THÁNG 9'!$B23=""),0,'THÁNG 9'!$B23)</f>
        <v>0</v>
      </c>
    </row>
    <row r="467" customFormat="false" ht="15" hidden="false" customHeight="false" outlineLevel="0" collapsed="false">
      <c r="A467" s="0" t="n">
        <v>9</v>
      </c>
      <c r="B467" s="29" t="str">
        <f aca="false">IF(OR('THÁNG 9'!$C24="",'THÁNG 9'!$B24=""),"",'THÁNG 9'!$B24)</f>
        <v/>
      </c>
      <c r="C467" s="0" t="str">
        <f aca="false">IF('THÁNG 9'!$C24="","",'THÁNG 9'!$C24)</f>
        <v/>
      </c>
      <c r="D467" s="0" t="str">
        <f aca="false">IF('THÁNG 9'!$C24="","",'THÁNG 9'!$D24&amp;"")</f>
        <v/>
      </c>
      <c r="E467" s="0" t="str">
        <f aca="false">IF('THÁNG 9'!$C24="","",'THÁNG 9'!$E24&amp;"")</f>
        <v/>
      </c>
      <c r="F467" s="0" t="str">
        <f aca="false">IF('THÁNG 9'!$C24="","",'THÁNG 9'!$F24&amp;"")</f>
        <v/>
      </c>
      <c r="G467" s="0" t="str">
        <f aca="false">IF('THÁNG 9'!$C24="","",'THÁNG 9'!$G24&amp;"")</f>
        <v/>
      </c>
      <c r="H467" s="0" t="str">
        <f aca="false">IF('THÁNG 9'!$C24="","",'THÁNG 9'!$H24&amp;"")</f>
        <v/>
      </c>
      <c r="I467" s="0" t="str">
        <f aca="false">IF('THÁNG 9'!$C24="","",N('THÁNG 9'!$I24))</f>
        <v/>
      </c>
      <c r="J467" s="0" t="str">
        <f aca="false">IF('THÁNG 9'!$C24="","",N('THÁNG 9'!$L24))</f>
        <v/>
      </c>
      <c r="K467" s="0" t="str">
        <f aca="false">IF('THÁNG 9'!$C24="","",N('THÁNG 9'!$N24))</f>
        <v/>
      </c>
      <c r="L467" s="0" t="str">
        <f aca="false">IF('THÁNG 9'!$C24="","",N('THÁNG 9'!$O24))</f>
        <v/>
      </c>
      <c r="M467" s="0" t="str">
        <f aca="false">IF('THÁNG 9'!$C24="","",N('THÁNG 9'!$P24))</f>
        <v/>
      </c>
      <c r="N467" s="0" t="str">
        <f aca="false">IF('THÁNG 9'!$C24="","",N('THÁNG 9'!$Q24))</f>
        <v/>
      </c>
      <c r="O467" s="0" t="str">
        <f aca="false">IF('THÁNG 9'!$C24="","",N('THÁNG 9'!$R24))</f>
        <v/>
      </c>
      <c r="P467" s="0" t="str">
        <f aca="false">IF(OR('THÁNG 9'!$C24="",'THÁNG 9'!$T24=""),"",'THÁNG 9'!$T24)</f>
        <v/>
      </c>
      <c r="Q467" s="0" t="str">
        <f aca="false">IF(OR('THÁNG 9'!$C24="",'THÁNG 9'!$U24=""),"",'THÁNG 9'!$U24)</f>
        <v/>
      </c>
      <c r="R467" s="0" t="str">
        <f aca="false">IF('THÁNG 9'!$C24="","",'THÁNG 9'!$W24&amp;"")</f>
        <v/>
      </c>
      <c r="S467" s="0" t="str">
        <f aca="false">IF('THÁNG 9'!$C24="","",'THÁNG 9'!$S24&amp;"")</f>
        <v/>
      </c>
      <c r="T467" s="0" t="str">
        <f aca="false">IF(N($O467)&gt;0,COUNTIF($O$3:$O467,"&gt;0"),"")</f>
        <v/>
      </c>
      <c r="U467" s="0" t="str">
        <f aca="false">IF(AND(N($J467)&gt;0,N($K467)&gt;0),COUNTIFS($J$3:$J467,"&gt;0",$K$3:$K467,"&gt;0"),"")</f>
        <v/>
      </c>
      <c r="V467" s="0" t="str">
        <f aca="false">IF(AND(N($J467)&gt;0,N($K467)=0),COUNTIFS($J$3:$J467,"&gt;0",$K$3:$K467,"&lt;=0"),"")</f>
        <v/>
      </c>
      <c r="W467" s="0" t="str">
        <f aca="false">IF($C467="","",IF(COUNTIF($C$3:$C467,$C467)&gt;1,"",MAX($W$2:W466)+1))</f>
        <v/>
      </c>
      <c r="X467" s="0" t="str">
        <f aca="false">IF($H467="","",IF(COUNTIF($H$3:$H467,$H467)&gt;1,"",MAX($X$2:X466)+1))</f>
        <v/>
      </c>
      <c r="Y467" s="0" t="str">
        <f aca="false">IF(AND(N($M467)&gt;0,N($O467)&lt;=0),COUNTIFS($M$3:$M467,"&gt;0",$O$3:$O467,"&lt;=0"),"")</f>
        <v/>
      </c>
      <c r="Z467" s="30" t="n">
        <f aca="false">IF(OR('THÁNG 9'!$C24="",'THÁNG 9'!$B24=""),0,'THÁNG 9'!$B24)</f>
        <v>0</v>
      </c>
    </row>
    <row r="468" customFormat="false" ht="15" hidden="false" customHeight="false" outlineLevel="0" collapsed="false">
      <c r="A468" s="0" t="n">
        <v>9</v>
      </c>
      <c r="B468" s="29" t="str">
        <f aca="false">IF(OR('THÁNG 9'!$C25="",'THÁNG 9'!$B25=""),"",'THÁNG 9'!$B25)</f>
        <v/>
      </c>
      <c r="C468" s="0" t="str">
        <f aca="false">IF('THÁNG 9'!$C25="","",'THÁNG 9'!$C25)</f>
        <v/>
      </c>
      <c r="D468" s="0" t="str">
        <f aca="false">IF('THÁNG 9'!$C25="","",'THÁNG 9'!$D25&amp;"")</f>
        <v/>
      </c>
      <c r="E468" s="0" t="str">
        <f aca="false">IF('THÁNG 9'!$C25="","",'THÁNG 9'!$E25&amp;"")</f>
        <v/>
      </c>
      <c r="F468" s="0" t="str">
        <f aca="false">IF('THÁNG 9'!$C25="","",'THÁNG 9'!$F25&amp;"")</f>
        <v/>
      </c>
      <c r="G468" s="0" t="str">
        <f aca="false">IF('THÁNG 9'!$C25="","",'THÁNG 9'!$G25&amp;"")</f>
        <v/>
      </c>
      <c r="H468" s="0" t="str">
        <f aca="false">IF('THÁNG 9'!$C25="","",'THÁNG 9'!$H25&amp;"")</f>
        <v/>
      </c>
      <c r="I468" s="0" t="str">
        <f aca="false">IF('THÁNG 9'!$C25="","",N('THÁNG 9'!$I25))</f>
        <v/>
      </c>
      <c r="J468" s="0" t="str">
        <f aca="false">IF('THÁNG 9'!$C25="","",N('THÁNG 9'!$L25))</f>
        <v/>
      </c>
      <c r="K468" s="0" t="str">
        <f aca="false">IF('THÁNG 9'!$C25="","",N('THÁNG 9'!$N25))</f>
        <v/>
      </c>
      <c r="L468" s="0" t="str">
        <f aca="false">IF('THÁNG 9'!$C25="","",N('THÁNG 9'!$O25))</f>
        <v/>
      </c>
      <c r="M468" s="0" t="str">
        <f aca="false">IF('THÁNG 9'!$C25="","",N('THÁNG 9'!$P25))</f>
        <v/>
      </c>
      <c r="N468" s="0" t="str">
        <f aca="false">IF('THÁNG 9'!$C25="","",N('THÁNG 9'!$Q25))</f>
        <v/>
      </c>
      <c r="O468" s="0" t="str">
        <f aca="false">IF('THÁNG 9'!$C25="","",N('THÁNG 9'!$R25))</f>
        <v/>
      </c>
      <c r="P468" s="0" t="str">
        <f aca="false">IF(OR('THÁNG 9'!$C25="",'THÁNG 9'!$T25=""),"",'THÁNG 9'!$T25)</f>
        <v/>
      </c>
      <c r="Q468" s="0" t="str">
        <f aca="false">IF(OR('THÁNG 9'!$C25="",'THÁNG 9'!$U25=""),"",'THÁNG 9'!$U25)</f>
        <v/>
      </c>
      <c r="R468" s="0" t="str">
        <f aca="false">IF('THÁNG 9'!$C25="","",'THÁNG 9'!$W25&amp;"")</f>
        <v/>
      </c>
      <c r="S468" s="0" t="str">
        <f aca="false">IF('THÁNG 9'!$C25="","",'THÁNG 9'!$S25&amp;"")</f>
        <v/>
      </c>
      <c r="T468" s="0" t="str">
        <f aca="false">IF(N($O468)&gt;0,COUNTIF($O$3:$O468,"&gt;0"),"")</f>
        <v/>
      </c>
      <c r="U468" s="0" t="str">
        <f aca="false">IF(AND(N($J468)&gt;0,N($K468)&gt;0),COUNTIFS($J$3:$J468,"&gt;0",$K$3:$K468,"&gt;0"),"")</f>
        <v/>
      </c>
      <c r="V468" s="0" t="str">
        <f aca="false">IF(AND(N($J468)&gt;0,N($K468)=0),COUNTIFS($J$3:$J468,"&gt;0",$K$3:$K468,"&lt;=0"),"")</f>
        <v/>
      </c>
      <c r="W468" s="0" t="str">
        <f aca="false">IF($C468="","",IF(COUNTIF($C$3:$C468,$C468)&gt;1,"",MAX($W$2:W467)+1))</f>
        <v/>
      </c>
      <c r="X468" s="0" t="str">
        <f aca="false">IF($H468="","",IF(COUNTIF($H$3:$H468,$H468)&gt;1,"",MAX($X$2:X467)+1))</f>
        <v/>
      </c>
      <c r="Y468" s="0" t="str">
        <f aca="false">IF(AND(N($M468)&gt;0,N($O468)&lt;=0),COUNTIFS($M$3:$M468,"&gt;0",$O$3:$O468,"&lt;=0"),"")</f>
        <v/>
      </c>
      <c r="Z468" s="30" t="n">
        <f aca="false">IF(OR('THÁNG 9'!$C25="",'THÁNG 9'!$B25=""),0,'THÁNG 9'!$B25)</f>
        <v>0</v>
      </c>
    </row>
    <row r="469" customFormat="false" ht="15" hidden="false" customHeight="false" outlineLevel="0" collapsed="false">
      <c r="A469" s="0" t="n">
        <v>9</v>
      </c>
      <c r="B469" s="29" t="str">
        <f aca="false">IF(OR('THÁNG 9'!$C26="",'THÁNG 9'!$B26=""),"",'THÁNG 9'!$B26)</f>
        <v/>
      </c>
      <c r="C469" s="0" t="str">
        <f aca="false">IF('THÁNG 9'!$C26="","",'THÁNG 9'!$C26)</f>
        <v/>
      </c>
      <c r="D469" s="0" t="str">
        <f aca="false">IF('THÁNG 9'!$C26="","",'THÁNG 9'!$D26&amp;"")</f>
        <v/>
      </c>
      <c r="E469" s="0" t="str">
        <f aca="false">IF('THÁNG 9'!$C26="","",'THÁNG 9'!$E26&amp;"")</f>
        <v/>
      </c>
      <c r="F469" s="0" t="str">
        <f aca="false">IF('THÁNG 9'!$C26="","",'THÁNG 9'!$F26&amp;"")</f>
        <v/>
      </c>
      <c r="G469" s="0" t="str">
        <f aca="false">IF('THÁNG 9'!$C26="","",'THÁNG 9'!$G26&amp;"")</f>
        <v/>
      </c>
      <c r="H469" s="0" t="str">
        <f aca="false">IF('THÁNG 9'!$C26="","",'THÁNG 9'!$H26&amp;"")</f>
        <v/>
      </c>
      <c r="I469" s="0" t="str">
        <f aca="false">IF('THÁNG 9'!$C26="","",N('THÁNG 9'!$I26))</f>
        <v/>
      </c>
      <c r="J469" s="0" t="str">
        <f aca="false">IF('THÁNG 9'!$C26="","",N('THÁNG 9'!$L26))</f>
        <v/>
      </c>
      <c r="K469" s="0" t="str">
        <f aca="false">IF('THÁNG 9'!$C26="","",N('THÁNG 9'!$N26))</f>
        <v/>
      </c>
      <c r="L469" s="0" t="str">
        <f aca="false">IF('THÁNG 9'!$C26="","",N('THÁNG 9'!$O26))</f>
        <v/>
      </c>
      <c r="M469" s="0" t="str">
        <f aca="false">IF('THÁNG 9'!$C26="","",N('THÁNG 9'!$P26))</f>
        <v/>
      </c>
      <c r="N469" s="0" t="str">
        <f aca="false">IF('THÁNG 9'!$C26="","",N('THÁNG 9'!$Q26))</f>
        <v/>
      </c>
      <c r="O469" s="0" t="str">
        <f aca="false">IF('THÁNG 9'!$C26="","",N('THÁNG 9'!$R26))</f>
        <v/>
      </c>
      <c r="P469" s="0" t="str">
        <f aca="false">IF(OR('THÁNG 9'!$C26="",'THÁNG 9'!$T26=""),"",'THÁNG 9'!$T26)</f>
        <v/>
      </c>
      <c r="Q469" s="0" t="str">
        <f aca="false">IF(OR('THÁNG 9'!$C26="",'THÁNG 9'!$U26=""),"",'THÁNG 9'!$U26)</f>
        <v/>
      </c>
      <c r="R469" s="0" t="str">
        <f aca="false">IF('THÁNG 9'!$C26="","",'THÁNG 9'!$W26&amp;"")</f>
        <v/>
      </c>
      <c r="S469" s="0" t="str">
        <f aca="false">IF('THÁNG 9'!$C26="","",'THÁNG 9'!$S26&amp;"")</f>
        <v/>
      </c>
      <c r="T469" s="0" t="str">
        <f aca="false">IF(N($O469)&gt;0,COUNTIF($O$3:$O469,"&gt;0"),"")</f>
        <v/>
      </c>
      <c r="U469" s="0" t="str">
        <f aca="false">IF(AND(N($J469)&gt;0,N($K469)&gt;0),COUNTIFS($J$3:$J469,"&gt;0",$K$3:$K469,"&gt;0"),"")</f>
        <v/>
      </c>
      <c r="V469" s="0" t="str">
        <f aca="false">IF(AND(N($J469)&gt;0,N($K469)=0),COUNTIFS($J$3:$J469,"&gt;0",$K$3:$K469,"&lt;=0"),"")</f>
        <v/>
      </c>
      <c r="W469" s="0" t="str">
        <f aca="false">IF($C469="","",IF(COUNTIF($C$3:$C469,$C469)&gt;1,"",MAX($W$2:W468)+1))</f>
        <v/>
      </c>
      <c r="X469" s="0" t="str">
        <f aca="false">IF($H469="","",IF(COUNTIF($H$3:$H469,$H469)&gt;1,"",MAX($X$2:X468)+1))</f>
        <v/>
      </c>
      <c r="Y469" s="0" t="str">
        <f aca="false">IF(AND(N($M469)&gt;0,N($O469)&lt;=0),COUNTIFS($M$3:$M469,"&gt;0",$O$3:$O469,"&lt;=0"),"")</f>
        <v/>
      </c>
      <c r="Z469" s="30" t="n">
        <f aca="false">IF(OR('THÁNG 9'!$C26="",'THÁNG 9'!$B26=""),0,'THÁNG 9'!$B26)</f>
        <v>0</v>
      </c>
    </row>
    <row r="470" customFormat="false" ht="15" hidden="false" customHeight="false" outlineLevel="0" collapsed="false">
      <c r="A470" s="0" t="n">
        <v>9</v>
      </c>
      <c r="B470" s="29" t="str">
        <f aca="false">IF(OR('THÁNG 9'!$C27="",'THÁNG 9'!$B27=""),"",'THÁNG 9'!$B27)</f>
        <v/>
      </c>
      <c r="C470" s="0" t="str">
        <f aca="false">IF('THÁNG 9'!$C27="","",'THÁNG 9'!$C27)</f>
        <v/>
      </c>
      <c r="D470" s="0" t="str">
        <f aca="false">IF('THÁNG 9'!$C27="","",'THÁNG 9'!$D27&amp;"")</f>
        <v/>
      </c>
      <c r="E470" s="0" t="str">
        <f aca="false">IF('THÁNG 9'!$C27="","",'THÁNG 9'!$E27&amp;"")</f>
        <v/>
      </c>
      <c r="F470" s="0" t="str">
        <f aca="false">IF('THÁNG 9'!$C27="","",'THÁNG 9'!$F27&amp;"")</f>
        <v/>
      </c>
      <c r="G470" s="0" t="str">
        <f aca="false">IF('THÁNG 9'!$C27="","",'THÁNG 9'!$G27&amp;"")</f>
        <v/>
      </c>
      <c r="H470" s="0" t="str">
        <f aca="false">IF('THÁNG 9'!$C27="","",'THÁNG 9'!$H27&amp;"")</f>
        <v/>
      </c>
      <c r="I470" s="0" t="str">
        <f aca="false">IF('THÁNG 9'!$C27="","",N('THÁNG 9'!$I27))</f>
        <v/>
      </c>
      <c r="J470" s="0" t="str">
        <f aca="false">IF('THÁNG 9'!$C27="","",N('THÁNG 9'!$L27))</f>
        <v/>
      </c>
      <c r="K470" s="0" t="str">
        <f aca="false">IF('THÁNG 9'!$C27="","",N('THÁNG 9'!$N27))</f>
        <v/>
      </c>
      <c r="L470" s="0" t="str">
        <f aca="false">IF('THÁNG 9'!$C27="","",N('THÁNG 9'!$O27))</f>
        <v/>
      </c>
      <c r="M470" s="0" t="str">
        <f aca="false">IF('THÁNG 9'!$C27="","",N('THÁNG 9'!$P27))</f>
        <v/>
      </c>
      <c r="N470" s="0" t="str">
        <f aca="false">IF('THÁNG 9'!$C27="","",N('THÁNG 9'!$Q27))</f>
        <v/>
      </c>
      <c r="O470" s="0" t="str">
        <f aca="false">IF('THÁNG 9'!$C27="","",N('THÁNG 9'!$R27))</f>
        <v/>
      </c>
      <c r="P470" s="0" t="str">
        <f aca="false">IF(OR('THÁNG 9'!$C27="",'THÁNG 9'!$T27=""),"",'THÁNG 9'!$T27)</f>
        <v/>
      </c>
      <c r="Q470" s="0" t="str">
        <f aca="false">IF(OR('THÁNG 9'!$C27="",'THÁNG 9'!$U27=""),"",'THÁNG 9'!$U27)</f>
        <v/>
      </c>
      <c r="R470" s="0" t="str">
        <f aca="false">IF('THÁNG 9'!$C27="","",'THÁNG 9'!$W27&amp;"")</f>
        <v/>
      </c>
      <c r="S470" s="0" t="str">
        <f aca="false">IF('THÁNG 9'!$C27="","",'THÁNG 9'!$S27&amp;"")</f>
        <v/>
      </c>
      <c r="T470" s="0" t="str">
        <f aca="false">IF(N($O470)&gt;0,COUNTIF($O$3:$O470,"&gt;0"),"")</f>
        <v/>
      </c>
      <c r="U470" s="0" t="str">
        <f aca="false">IF(AND(N($J470)&gt;0,N($K470)&gt;0),COUNTIFS($J$3:$J470,"&gt;0",$K$3:$K470,"&gt;0"),"")</f>
        <v/>
      </c>
      <c r="V470" s="0" t="str">
        <f aca="false">IF(AND(N($J470)&gt;0,N($K470)=0),COUNTIFS($J$3:$J470,"&gt;0",$K$3:$K470,"&lt;=0"),"")</f>
        <v/>
      </c>
      <c r="W470" s="0" t="str">
        <f aca="false">IF($C470="","",IF(COUNTIF($C$3:$C470,$C470)&gt;1,"",MAX($W$2:W469)+1))</f>
        <v/>
      </c>
      <c r="X470" s="0" t="str">
        <f aca="false">IF($H470="","",IF(COUNTIF($H$3:$H470,$H470)&gt;1,"",MAX($X$2:X469)+1))</f>
        <v/>
      </c>
      <c r="Y470" s="0" t="str">
        <f aca="false">IF(AND(N($M470)&gt;0,N($O470)&lt;=0),COUNTIFS($M$3:$M470,"&gt;0",$O$3:$O470,"&lt;=0"),"")</f>
        <v/>
      </c>
      <c r="Z470" s="30" t="n">
        <f aca="false">IF(OR('THÁNG 9'!$C27="",'THÁNG 9'!$B27=""),0,'THÁNG 9'!$B27)</f>
        <v>0</v>
      </c>
    </row>
    <row r="471" customFormat="false" ht="15" hidden="false" customHeight="false" outlineLevel="0" collapsed="false">
      <c r="A471" s="0" t="n">
        <v>9</v>
      </c>
      <c r="B471" s="29" t="str">
        <f aca="false">IF(OR('THÁNG 9'!$C28="",'THÁNG 9'!$B28=""),"",'THÁNG 9'!$B28)</f>
        <v/>
      </c>
      <c r="C471" s="0" t="str">
        <f aca="false">IF('THÁNG 9'!$C28="","",'THÁNG 9'!$C28)</f>
        <v/>
      </c>
      <c r="D471" s="0" t="str">
        <f aca="false">IF('THÁNG 9'!$C28="","",'THÁNG 9'!$D28&amp;"")</f>
        <v/>
      </c>
      <c r="E471" s="0" t="str">
        <f aca="false">IF('THÁNG 9'!$C28="","",'THÁNG 9'!$E28&amp;"")</f>
        <v/>
      </c>
      <c r="F471" s="0" t="str">
        <f aca="false">IF('THÁNG 9'!$C28="","",'THÁNG 9'!$F28&amp;"")</f>
        <v/>
      </c>
      <c r="G471" s="0" t="str">
        <f aca="false">IF('THÁNG 9'!$C28="","",'THÁNG 9'!$G28&amp;"")</f>
        <v/>
      </c>
      <c r="H471" s="0" t="str">
        <f aca="false">IF('THÁNG 9'!$C28="","",'THÁNG 9'!$H28&amp;"")</f>
        <v/>
      </c>
      <c r="I471" s="0" t="str">
        <f aca="false">IF('THÁNG 9'!$C28="","",N('THÁNG 9'!$I28))</f>
        <v/>
      </c>
      <c r="J471" s="0" t="str">
        <f aca="false">IF('THÁNG 9'!$C28="","",N('THÁNG 9'!$L28))</f>
        <v/>
      </c>
      <c r="K471" s="0" t="str">
        <f aca="false">IF('THÁNG 9'!$C28="","",N('THÁNG 9'!$N28))</f>
        <v/>
      </c>
      <c r="L471" s="0" t="str">
        <f aca="false">IF('THÁNG 9'!$C28="","",N('THÁNG 9'!$O28))</f>
        <v/>
      </c>
      <c r="M471" s="0" t="str">
        <f aca="false">IF('THÁNG 9'!$C28="","",N('THÁNG 9'!$P28))</f>
        <v/>
      </c>
      <c r="N471" s="0" t="str">
        <f aca="false">IF('THÁNG 9'!$C28="","",N('THÁNG 9'!$Q28))</f>
        <v/>
      </c>
      <c r="O471" s="0" t="str">
        <f aca="false">IF('THÁNG 9'!$C28="","",N('THÁNG 9'!$R28))</f>
        <v/>
      </c>
      <c r="P471" s="0" t="str">
        <f aca="false">IF(OR('THÁNG 9'!$C28="",'THÁNG 9'!$T28=""),"",'THÁNG 9'!$T28)</f>
        <v/>
      </c>
      <c r="Q471" s="0" t="str">
        <f aca="false">IF(OR('THÁNG 9'!$C28="",'THÁNG 9'!$U28=""),"",'THÁNG 9'!$U28)</f>
        <v/>
      </c>
      <c r="R471" s="0" t="str">
        <f aca="false">IF('THÁNG 9'!$C28="","",'THÁNG 9'!$W28&amp;"")</f>
        <v/>
      </c>
      <c r="S471" s="0" t="str">
        <f aca="false">IF('THÁNG 9'!$C28="","",'THÁNG 9'!$S28&amp;"")</f>
        <v/>
      </c>
      <c r="T471" s="0" t="str">
        <f aca="false">IF(N($O471)&gt;0,COUNTIF($O$3:$O471,"&gt;0"),"")</f>
        <v/>
      </c>
      <c r="U471" s="0" t="str">
        <f aca="false">IF(AND(N($J471)&gt;0,N($K471)&gt;0),COUNTIFS($J$3:$J471,"&gt;0",$K$3:$K471,"&gt;0"),"")</f>
        <v/>
      </c>
      <c r="V471" s="0" t="str">
        <f aca="false">IF(AND(N($J471)&gt;0,N($K471)=0),COUNTIFS($J$3:$J471,"&gt;0",$K$3:$K471,"&lt;=0"),"")</f>
        <v/>
      </c>
      <c r="W471" s="0" t="str">
        <f aca="false">IF($C471="","",IF(COUNTIF($C$3:$C471,$C471)&gt;1,"",MAX($W$2:W470)+1))</f>
        <v/>
      </c>
      <c r="X471" s="0" t="str">
        <f aca="false">IF($H471="","",IF(COUNTIF($H$3:$H471,$H471)&gt;1,"",MAX($X$2:X470)+1))</f>
        <v/>
      </c>
      <c r="Y471" s="0" t="str">
        <f aca="false">IF(AND(N($M471)&gt;0,N($O471)&lt;=0),COUNTIFS($M$3:$M471,"&gt;0",$O$3:$O471,"&lt;=0"),"")</f>
        <v/>
      </c>
      <c r="Z471" s="30" t="n">
        <f aca="false">IF(OR('THÁNG 9'!$C28="",'THÁNG 9'!$B28=""),0,'THÁNG 9'!$B28)</f>
        <v>0</v>
      </c>
    </row>
    <row r="472" customFormat="false" ht="15" hidden="false" customHeight="false" outlineLevel="0" collapsed="false">
      <c r="A472" s="0" t="n">
        <v>9</v>
      </c>
      <c r="B472" s="29" t="str">
        <f aca="false">IF(OR('THÁNG 9'!$C29="",'THÁNG 9'!$B29=""),"",'THÁNG 9'!$B29)</f>
        <v/>
      </c>
      <c r="C472" s="0" t="str">
        <f aca="false">IF('THÁNG 9'!$C29="","",'THÁNG 9'!$C29)</f>
        <v/>
      </c>
      <c r="D472" s="0" t="str">
        <f aca="false">IF('THÁNG 9'!$C29="","",'THÁNG 9'!$D29&amp;"")</f>
        <v/>
      </c>
      <c r="E472" s="0" t="str">
        <f aca="false">IF('THÁNG 9'!$C29="","",'THÁNG 9'!$E29&amp;"")</f>
        <v/>
      </c>
      <c r="F472" s="0" t="str">
        <f aca="false">IF('THÁNG 9'!$C29="","",'THÁNG 9'!$F29&amp;"")</f>
        <v/>
      </c>
      <c r="G472" s="0" t="str">
        <f aca="false">IF('THÁNG 9'!$C29="","",'THÁNG 9'!$G29&amp;"")</f>
        <v/>
      </c>
      <c r="H472" s="0" t="str">
        <f aca="false">IF('THÁNG 9'!$C29="","",'THÁNG 9'!$H29&amp;"")</f>
        <v/>
      </c>
      <c r="I472" s="0" t="str">
        <f aca="false">IF('THÁNG 9'!$C29="","",N('THÁNG 9'!$I29))</f>
        <v/>
      </c>
      <c r="J472" s="0" t="str">
        <f aca="false">IF('THÁNG 9'!$C29="","",N('THÁNG 9'!$L29))</f>
        <v/>
      </c>
      <c r="K472" s="0" t="str">
        <f aca="false">IF('THÁNG 9'!$C29="","",N('THÁNG 9'!$N29))</f>
        <v/>
      </c>
      <c r="L472" s="0" t="str">
        <f aca="false">IF('THÁNG 9'!$C29="","",N('THÁNG 9'!$O29))</f>
        <v/>
      </c>
      <c r="M472" s="0" t="str">
        <f aca="false">IF('THÁNG 9'!$C29="","",N('THÁNG 9'!$P29))</f>
        <v/>
      </c>
      <c r="N472" s="0" t="str">
        <f aca="false">IF('THÁNG 9'!$C29="","",N('THÁNG 9'!$Q29))</f>
        <v/>
      </c>
      <c r="O472" s="0" t="str">
        <f aca="false">IF('THÁNG 9'!$C29="","",N('THÁNG 9'!$R29))</f>
        <v/>
      </c>
      <c r="P472" s="0" t="str">
        <f aca="false">IF(OR('THÁNG 9'!$C29="",'THÁNG 9'!$T29=""),"",'THÁNG 9'!$T29)</f>
        <v/>
      </c>
      <c r="Q472" s="0" t="str">
        <f aca="false">IF(OR('THÁNG 9'!$C29="",'THÁNG 9'!$U29=""),"",'THÁNG 9'!$U29)</f>
        <v/>
      </c>
      <c r="R472" s="0" t="str">
        <f aca="false">IF('THÁNG 9'!$C29="","",'THÁNG 9'!$W29&amp;"")</f>
        <v/>
      </c>
      <c r="S472" s="0" t="str">
        <f aca="false">IF('THÁNG 9'!$C29="","",'THÁNG 9'!$S29&amp;"")</f>
        <v/>
      </c>
      <c r="T472" s="0" t="str">
        <f aca="false">IF(N($O472)&gt;0,COUNTIF($O$3:$O472,"&gt;0"),"")</f>
        <v/>
      </c>
      <c r="U472" s="0" t="str">
        <f aca="false">IF(AND(N($J472)&gt;0,N($K472)&gt;0),COUNTIFS($J$3:$J472,"&gt;0",$K$3:$K472,"&gt;0"),"")</f>
        <v/>
      </c>
      <c r="V472" s="0" t="str">
        <f aca="false">IF(AND(N($J472)&gt;0,N($K472)=0),COUNTIFS($J$3:$J472,"&gt;0",$K$3:$K472,"&lt;=0"),"")</f>
        <v/>
      </c>
      <c r="W472" s="0" t="str">
        <f aca="false">IF($C472="","",IF(COUNTIF($C$3:$C472,$C472)&gt;1,"",MAX($W$2:W471)+1))</f>
        <v/>
      </c>
      <c r="X472" s="0" t="str">
        <f aca="false">IF($H472="","",IF(COUNTIF($H$3:$H472,$H472)&gt;1,"",MAX($X$2:X471)+1))</f>
        <v/>
      </c>
      <c r="Y472" s="0" t="str">
        <f aca="false">IF(AND(N($M472)&gt;0,N($O472)&lt;=0),COUNTIFS($M$3:$M472,"&gt;0",$O$3:$O472,"&lt;=0"),"")</f>
        <v/>
      </c>
      <c r="Z472" s="30" t="n">
        <f aca="false">IF(OR('THÁNG 9'!$C29="",'THÁNG 9'!$B29=""),0,'THÁNG 9'!$B29)</f>
        <v>0</v>
      </c>
    </row>
    <row r="473" customFormat="false" ht="15" hidden="false" customHeight="false" outlineLevel="0" collapsed="false">
      <c r="A473" s="0" t="n">
        <v>9</v>
      </c>
      <c r="B473" s="29" t="str">
        <f aca="false">IF(OR('THÁNG 9'!$C30="",'THÁNG 9'!$B30=""),"",'THÁNG 9'!$B30)</f>
        <v/>
      </c>
      <c r="C473" s="0" t="str">
        <f aca="false">IF('THÁNG 9'!$C30="","",'THÁNG 9'!$C30)</f>
        <v/>
      </c>
      <c r="D473" s="0" t="str">
        <f aca="false">IF('THÁNG 9'!$C30="","",'THÁNG 9'!$D30&amp;"")</f>
        <v/>
      </c>
      <c r="E473" s="0" t="str">
        <f aca="false">IF('THÁNG 9'!$C30="","",'THÁNG 9'!$E30&amp;"")</f>
        <v/>
      </c>
      <c r="F473" s="0" t="str">
        <f aca="false">IF('THÁNG 9'!$C30="","",'THÁNG 9'!$F30&amp;"")</f>
        <v/>
      </c>
      <c r="G473" s="0" t="str">
        <f aca="false">IF('THÁNG 9'!$C30="","",'THÁNG 9'!$G30&amp;"")</f>
        <v/>
      </c>
      <c r="H473" s="0" t="str">
        <f aca="false">IF('THÁNG 9'!$C30="","",'THÁNG 9'!$H30&amp;"")</f>
        <v/>
      </c>
      <c r="I473" s="0" t="str">
        <f aca="false">IF('THÁNG 9'!$C30="","",N('THÁNG 9'!$I30))</f>
        <v/>
      </c>
      <c r="J473" s="0" t="str">
        <f aca="false">IF('THÁNG 9'!$C30="","",N('THÁNG 9'!$L30))</f>
        <v/>
      </c>
      <c r="K473" s="0" t="str">
        <f aca="false">IF('THÁNG 9'!$C30="","",N('THÁNG 9'!$N30))</f>
        <v/>
      </c>
      <c r="L473" s="0" t="str">
        <f aca="false">IF('THÁNG 9'!$C30="","",N('THÁNG 9'!$O30))</f>
        <v/>
      </c>
      <c r="M473" s="0" t="str">
        <f aca="false">IF('THÁNG 9'!$C30="","",N('THÁNG 9'!$P30))</f>
        <v/>
      </c>
      <c r="N473" s="0" t="str">
        <f aca="false">IF('THÁNG 9'!$C30="","",N('THÁNG 9'!$Q30))</f>
        <v/>
      </c>
      <c r="O473" s="0" t="str">
        <f aca="false">IF('THÁNG 9'!$C30="","",N('THÁNG 9'!$R30))</f>
        <v/>
      </c>
      <c r="P473" s="0" t="str">
        <f aca="false">IF(OR('THÁNG 9'!$C30="",'THÁNG 9'!$T30=""),"",'THÁNG 9'!$T30)</f>
        <v/>
      </c>
      <c r="Q473" s="0" t="str">
        <f aca="false">IF(OR('THÁNG 9'!$C30="",'THÁNG 9'!$U30=""),"",'THÁNG 9'!$U30)</f>
        <v/>
      </c>
      <c r="R473" s="0" t="str">
        <f aca="false">IF('THÁNG 9'!$C30="","",'THÁNG 9'!$W30&amp;"")</f>
        <v/>
      </c>
      <c r="S473" s="0" t="str">
        <f aca="false">IF('THÁNG 9'!$C30="","",'THÁNG 9'!$S30&amp;"")</f>
        <v/>
      </c>
      <c r="T473" s="0" t="str">
        <f aca="false">IF(N($O473)&gt;0,COUNTIF($O$3:$O473,"&gt;0"),"")</f>
        <v/>
      </c>
      <c r="U473" s="0" t="str">
        <f aca="false">IF(AND(N($J473)&gt;0,N($K473)&gt;0),COUNTIFS($J$3:$J473,"&gt;0",$K$3:$K473,"&gt;0"),"")</f>
        <v/>
      </c>
      <c r="V473" s="0" t="str">
        <f aca="false">IF(AND(N($J473)&gt;0,N($K473)=0),COUNTIFS($J$3:$J473,"&gt;0",$K$3:$K473,"&lt;=0"),"")</f>
        <v/>
      </c>
      <c r="W473" s="0" t="str">
        <f aca="false">IF($C473="","",IF(COUNTIF($C$3:$C473,$C473)&gt;1,"",MAX($W$2:W472)+1))</f>
        <v/>
      </c>
      <c r="X473" s="0" t="str">
        <f aca="false">IF($H473="","",IF(COUNTIF($H$3:$H473,$H473)&gt;1,"",MAX($X$2:X472)+1))</f>
        <v/>
      </c>
      <c r="Y473" s="0" t="str">
        <f aca="false">IF(AND(N($M473)&gt;0,N($O473)&lt;=0),COUNTIFS($M$3:$M473,"&gt;0",$O$3:$O473,"&lt;=0"),"")</f>
        <v/>
      </c>
      <c r="Z473" s="30" t="n">
        <f aca="false">IF(OR('THÁNG 9'!$C30="",'THÁNG 9'!$B30=""),0,'THÁNG 9'!$B30)</f>
        <v>0</v>
      </c>
    </row>
    <row r="474" customFormat="false" ht="15" hidden="false" customHeight="false" outlineLevel="0" collapsed="false">
      <c r="A474" s="0" t="n">
        <v>9</v>
      </c>
      <c r="B474" s="29" t="str">
        <f aca="false">IF(OR('THÁNG 9'!$C31="",'THÁNG 9'!$B31=""),"",'THÁNG 9'!$B31)</f>
        <v/>
      </c>
      <c r="C474" s="0" t="str">
        <f aca="false">IF('THÁNG 9'!$C31="","",'THÁNG 9'!$C31)</f>
        <v/>
      </c>
      <c r="D474" s="0" t="str">
        <f aca="false">IF('THÁNG 9'!$C31="","",'THÁNG 9'!$D31&amp;"")</f>
        <v/>
      </c>
      <c r="E474" s="0" t="str">
        <f aca="false">IF('THÁNG 9'!$C31="","",'THÁNG 9'!$E31&amp;"")</f>
        <v/>
      </c>
      <c r="F474" s="0" t="str">
        <f aca="false">IF('THÁNG 9'!$C31="","",'THÁNG 9'!$F31&amp;"")</f>
        <v/>
      </c>
      <c r="G474" s="0" t="str">
        <f aca="false">IF('THÁNG 9'!$C31="","",'THÁNG 9'!$G31&amp;"")</f>
        <v/>
      </c>
      <c r="H474" s="0" t="str">
        <f aca="false">IF('THÁNG 9'!$C31="","",'THÁNG 9'!$H31&amp;"")</f>
        <v/>
      </c>
      <c r="I474" s="0" t="str">
        <f aca="false">IF('THÁNG 9'!$C31="","",N('THÁNG 9'!$I31))</f>
        <v/>
      </c>
      <c r="J474" s="0" t="str">
        <f aca="false">IF('THÁNG 9'!$C31="","",N('THÁNG 9'!$L31))</f>
        <v/>
      </c>
      <c r="K474" s="0" t="str">
        <f aca="false">IF('THÁNG 9'!$C31="","",N('THÁNG 9'!$N31))</f>
        <v/>
      </c>
      <c r="L474" s="0" t="str">
        <f aca="false">IF('THÁNG 9'!$C31="","",N('THÁNG 9'!$O31))</f>
        <v/>
      </c>
      <c r="M474" s="0" t="str">
        <f aca="false">IF('THÁNG 9'!$C31="","",N('THÁNG 9'!$P31))</f>
        <v/>
      </c>
      <c r="N474" s="0" t="str">
        <f aca="false">IF('THÁNG 9'!$C31="","",N('THÁNG 9'!$Q31))</f>
        <v/>
      </c>
      <c r="O474" s="0" t="str">
        <f aca="false">IF('THÁNG 9'!$C31="","",N('THÁNG 9'!$R31))</f>
        <v/>
      </c>
      <c r="P474" s="0" t="str">
        <f aca="false">IF(OR('THÁNG 9'!$C31="",'THÁNG 9'!$T31=""),"",'THÁNG 9'!$T31)</f>
        <v/>
      </c>
      <c r="Q474" s="0" t="str">
        <f aca="false">IF(OR('THÁNG 9'!$C31="",'THÁNG 9'!$U31=""),"",'THÁNG 9'!$U31)</f>
        <v/>
      </c>
      <c r="R474" s="0" t="str">
        <f aca="false">IF('THÁNG 9'!$C31="","",'THÁNG 9'!$W31&amp;"")</f>
        <v/>
      </c>
      <c r="S474" s="0" t="str">
        <f aca="false">IF('THÁNG 9'!$C31="","",'THÁNG 9'!$S31&amp;"")</f>
        <v/>
      </c>
      <c r="T474" s="0" t="str">
        <f aca="false">IF(N($O474)&gt;0,COUNTIF($O$3:$O474,"&gt;0"),"")</f>
        <v/>
      </c>
      <c r="U474" s="0" t="str">
        <f aca="false">IF(AND(N($J474)&gt;0,N($K474)&gt;0),COUNTIFS($J$3:$J474,"&gt;0",$K$3:$K474,"&gt;0"),"")</f>
        <v/>
      </c>
      <c r="V474" s="0" t="str">
        <f aca="false">IF(AND(N($J474)&gt;0,N($K474)=0),COUNTIFS($J$3:$J474,"&gt;0",$K$3:$K474,"&lt;=0"),"")</f>
        <v/>
      </c>
      <c r="W474" s="0" t="str">
        <f aca="false">IF($C474="","",IF(COUNTIF($C$3:$C474,$C474)&gt;1,"",MAX($W$2:W473)+1))</f>
        <v/>
      </c>
      <c r="X474" s="0" t="str">
        <f aca="false">IF($H474="","",IF(COUNTIF($H$3:$H474,$H474)&gt;1,"",MAX($X$2:X473)+1))</f>
        <v/>
      </c>
      <c r="Y474" s="0" t="str">
        <f aca="false">IF(AND(N($M474)&gt;0,N($O474)&lt;=0),COUNTIFS($M$3:$M474,"&gt;0",$O$3:$O474,"&lt;=0"),"")</f>
        <v/>
      </c>
      <c r="Z474" s="30" t="n">
        <f aca="false">IF(OR('THÁNG 9'!$C31="",'THÁNG 9'!$B31=""),0,'THÁNG 9'!$B31)</f>
        <v>0</v>
      </c>
    </row>
    <row r="475" customFormat="false" ht="15" hidden="false" customHeight="false" outlineLevel="0" collapsed="false">
      <c r="A475" s="0" t="n">
        <v>9</v>
      </c>
      <c r="B475" s="29" t="str">
        <f aca="false">IF(OR('THÁNG 9'!$C32="",'THÁNG 9'!$B32=""),"",'THÁNG 9'!$B32)</f>
        <v/>
      </c>
      <c r="C475" s="0" t="str">
        <f aca="false">IF('THÁNG 9'!$C32="","",'THÁNG 9'!$C32)</f>
        <v/>
      </c>
      <c r="D475" s="0" t="str">
        <f aca="false">IF('THÁNG 9'!$C32="","",'THÁNG 9'!$D32&amp;"")</f>
        <v/>
      </c>
      <c r="E475" s="0" t="str">
        <f aca="false">IF('THÁNG 9'!$C32="","",'THÁNG 9'!$E32&amp;"")</f>
        <v/>
      </c>
      <c r="F475" s="0" t="str">
        <f aca="false">IF('THÁNG 9'!$C32="","",'THÁNG 9'!$F32&amp;"")</f>
        <v/>
      </c>
      <c r="G475" s="0" t="str">
        <f aca="false">IF('THÁNG 9'!$C32="","",'THÁNG 9'!$G32&amp;"")</f>
        <v/>
      </c>
      <c r="H475" s="0" t="str">
        <f aca="false">IF('THÁNG 9'!$C32="","",'THÁNG 9'!$H32&amp;"")</f>
        <v/>
      </c>
      <c r="I475" s="0" t="str">
        <f aca="false">IF('THÁNG 9'!$C32="","",N('THÁNG 9'!$I32))</f>
        <v/>
      </c>
      <c r="J475" s="0" t="str">
        <f aca="false">IF('THÁNG 9'!$C32="","",N('THÁNG 9'!$L32))</f>
        <v/>
      </c>
      <c r="K475" s="0" t="str">
        <f aca="false">IF('THÁNG 9'!$C32="","",N('THÁNG 9'!$N32))</f>
        <v/>
      </c>
      <c r="L475" s="0" t="str">
        <f aca="false">IF('THÁNG 9'!$C32="","",N('THÁNG 9'!$O32))</f>
        <v/>
      </c>
      <c r="M475" s="0" t="str">
        <f aca="false">IF('THÁNG 9'!$C32="","",N('THÁNG 9'!$P32))</f>
        <v/>
      </c>
      <c r="N475" s="0" t="str">
        <f aca="false">IF('THÁNG 9'!$C32="","",N('THÁNG 9'!$Q32))</f>
        <v/>
      </c>
      <c r="O475" s="0" t="str">
        <f aca="false">IF('THÁNG 9'!$C32="","",N('THÁNG 9'!$R32))</f>
        <v/>
      </c>
      <c r="P475" s="0" t="str">
        <f aca="false">IF(OR('THÁNG 9'!$C32="",'THÁNG 9'!$T32=""),"",'THÁNG 9'!$T32)</f>
        <v/>
      </c>
      <c r="Q475" s="0" t="str">
        <f aca="false">IF(OR('THÁNG 9'!$C32="",'THÁNG 9'!$U32=""),"",'THÁNG 9'!$U32)</f>
        <v/>
      </c>
      <c r="R475" s="0" t="str">
        <f aca="false">IF('THÁNG 9'!$C32="","",'THÁNG 9'!$W32&amp;"")</f>
        <v/>
      </c>
      <c r="S475" s="0" t="str">
        <f aca="false">IF('THÁNG 9'!$C32="","",'THÁNG 9'!$S32&amp;"")</f>
        <v/>
      </c>
      <c r="T475" s="0" t="str">
        <f aca="false">IF(N($O475)&gt;0,COUNTIF($O$3:$O475,"&gt;0"),"")</f>
        <v/>
      </c>
      <c r="U475" s="0" t="str">
        <f aca="false">IF(AND(N($J475)&gt;0,N($K475)&gt;0),COUNTIFS($J$3:$J475,"&gt;0",$K$3:$K475,"&gt;0"),"")</f>
        <v/>
      </c>
      <c r="V475" s="0" t="str">
        <f aca="false">IF(AND(N($J475)&gt;0,N($K475)=0),COUNTIFS($J$3:$J475,"&gt;0",$K$3:$K475,"&lt;=0"),"")</f>
        <v/>
      </c>
      <c r="W475" s="0" t="str">
        <f aca="false">IF($C475="","",IF(COUNTIF($C$3:$C475,$C475)&gt;1,"",MAX($W$2:W474)+1))</f>
        <v/>
      </c>
      <c r="X475" s="0" t="str">
        <f aca="false">IF($H475="","",IF(COUNTIF($H$3:$H475,$H475)&gt;1,"",MAX($X$2:X474)+1))</f>
        <v/>
      </c>
      <c r="Y475" s="0" t="str">
        <f aca="false">IF(AND(N($M475)&gt;0,N($O475)&lt;=0),COUNTIFS($M$3:$M475,"&gt;0",$O$3:$O475,"&lt;=0"),"")</f>
        <v/>
      </c>
      <c r="Z475" s="30" t="n">
        <f aca="false">IF(OR('THÁNG 9'!$C32="",'THÁNG 9'!$B32=""),0,'THÁNG 9'!$B32)</f>
        <v>0</v>
      </c>
    </row>
    <row r="476" customFormat="false" ht="15" hidden="false" customHeight="false" outlineLevel="0" collapsed="false">
      <c r="A476" s="0" t="n">
        <v>9</v>
      </c>
      <c r="B476" s="29" t="str">
        <f aca="false">IF(OR('THÁNG 9'!$C33="",'THÁNG 9'!$B33=""),"",'THÁNG 9'!$B33)</f>
        <v/>
      </c>
      <c r="C476" s="0" t="str">
        <f aca="false">IF('THÁNG 9'!$C33="","",'THÁNG 9'!$C33)</f>
        <v/>
      </c>
      <c r="D476" s="0" t="str">
        <f aca="false">IF('THÁNG 9'!$C33="","",'THÁNG 9'!$D33&amp;"")</f>
        <v/>
      </c>
      <c r="E476" s="0" t="str">
        <f aca="false">IF('THÁNG 9'!$C33="","",'THÁNG 9'!$E33&amp;"")</f>
        <v/>
      </c>
      <c r="F476" s="0" t="str">
        <f aca="false">IF('THÁNG 9'!$C33="","",'THÁNG 9'!$F33&amp;"")</f>
        <v/>
      </c>
      <c r="G476" s="0" t="str">
        <f aca="false">IF('THÁNG 9'!$C33="","",'THÁNG 9'!$G33&amp;"")</f>
        <v/>
      </c>
      <c r="H476" s="0" t="str">
        <f aca="false">IF('THÁNG 9'!$C33="","",'THÁNG 9'!$H33&amp;"")</f>
        <v/>
      </c>
      <c r="I476" s="0" t="str">
        <f aca="false">IF('THÁNG 9'!$C33="","",N('THÁNG 9'!$I33))</f>
        <v/>
      </c>
      <c r="J476" s="0" t="str">
        <f aca="false">IF('THÁNG 9'!$C33="","",N('THÁNG 9'!$L33))</f>
        <v/>
      </c>
      <c r="K476" s="0" t="str">
        <f aca="false">IF('THÁNG 9'!$C33="","",N('THÁNG 9'!$N33))</f>
        <v/>
      </c>
      <c r="L476" s="0" t="str">
        <f aca="false">IF('THÁNG 9'!$C33="","",N('THÁNG 9'!$O33))</f>
        <v/>
      </c>
      <c r="M476" s="0" t="str">
        <f aca="false">IF('THÁNG 9'!$C33="","",N('THÁNG 9'!$P33))</f>
        <v/>
      </c>
      <c r="N476" s="0" t="str">
        <f aca="false">IF('THÁNG 9'!$C33="","",N('THÁNG 9'!$Q33))</f>
        <v/>
      </c>
      <c r="O476" s="0" t="str">
        <f aca="false">IF('THÁNG 9'!$C33="","",N('THÁNG 9'!$R33))</f>
        <v/>
      </c>
      <c r="P476" s="0" t="str">
        <f aca="false">IF(OR('THÁNG 9'!$C33="",'THÁNG 9'!$T33=""),"",'THÁNG 9'!$T33)</f>
        <v/>
      </c>
      <c r="Q476" s="0" t="str">
        <f aca="false">IF(OR('THÁNG 9'!$C33="",'THÁNG 9'!$U33=""),"",'THÁNG 9'!$U33)</f>
        <v/>
      </c>
      <c r="R476" s="0" t="str">
        <f aca="false">IF('THÁNG 9'!$C33="","",'THÁNG 9'!$W33&amp;"")</f>
        <v/>
      </c>
      <c r="S476" s="0" t="str">
        <f aca="false">IF('THÁNG 9'!$C33="","",'THÁNG 9'!$S33&amp;"")</f>
        <v/>
      </c>
      <c r="T476" s="0" t="str">
        <f aca="false">IF(N($O476)&gt;0,COUNTIF($O$3:$O476,"&gt;0"),"")</f>
        <v/>
      </c>
      <c r="U476" s="0" t="str">
        <f aca="false">IF(AND(N($J476)&gt;0,N($K476)&gt;0),COUNTIFS($J$3:$J476,"&gt;0",$K$3:$K476,"&gt;0"),"")</f>
        <v/>
      </c>
      <c r="V476" s="0" t="str">
        <f aca="false">IF(AND(N($J476)&gt;0,N($K476)=0),COUNTIFS($J$3:$J476,"&gt;0",$K$3:$K476,"&lt;=0"),"")</f>
        <v/>
      </c>
      <c r="W476" s="0" t="str">
        <f aca="false">IF($C476="","",IF(COUNTIF($C$3:$C476,$C476)&gt;1,"",MAX($W$2:W475)+1))</f>
        <v/>
      </c>
      <c r="X476" s="0" t="str">
        <f aca="false">IF($H476="","",IF(COUNTIF($H$3:$H476,$H476)&gt;1,"",MAX($X$2:X475)+1))</f>
        <v/>
      </c>
      <c r="Y476" s="0" t="str">
        <f aca="false">IF(AND(N($M476)&gt;0,N($O476)&lt;=0),COUNTIFS($M$3:$M476,"&gt;0",$O$3:$O476,"&lt;=0"),"")</f>
        <v/>
      </c>
      <c r="Z476" s="30" t="n">
        <f aca="false">IF(OR('THÁNG 9'!$C33="",'THÁNG 9'!$B33=""),0,'THÁNG 9'!$B33)</f>
        <v>0</v>
      </c>
    </row>
    <row r="477" customFormat="false" ht="15" hidden="false" customHeight="false" outlineLevel="0" collapsed="false">
      <c r="A477" s="0" t="n">
        <v>9</v>
      </c>
      <c r="B477" s="29" t="str">
        <f aca="false">IF(OR('THÁNG 9'!$C34="",'THÁNG 9'!$B34=""),"",'THÁNG 9'!$B34)</f>
        <v/>
      </c>
      <c r="C477" s="0" t="str">
        <f aca="false">IF('THÁNG 9'!$C34="","",'THÁNG 9'!$C34)</f>
        <v/>
      </c>
      <c r="D477" s="0" t="str">
        <f aca="false">IF('THÁNG 9'!$C34="","",'THÁNG 9'!$D34&amp;"")</f>
        <v/>
      </c>
      <c r="E477" s="0" t="str">
        <f aca="false">IF('THÁNG 9'!$C34="","",'THÁNG 9'!$E34&amp;"")</f>
        <v/>
      </c>
      <c r="F477" s="0" t="str">
        <f aca="false">IF('THÁNG 9'!$C34="","",'THÁNG 9'!$F34&amp;"")</f>
        <v/>
      </c>
      <c r="G477" s="0" t="str">
        <f aca="false">IF('THÁNG 9'!$C34="","",'THÁNG 9'!$G34&amp;"")</f>
        <v/>
      </c>
      <c r="H477" s="0" t="str">
        <f aca="false">IF('THÁNG 9'!$C34="","",'THÁNG 9'!$H34&amp;"")</f>
        <v/>
      </c>
      <c r="I477" s="0" t="str">
        <f aca="false">IF('THÁNG 9'!$C34="","",N('THÁNG 9'!$I34))</f>
        <v/>
      </c>
      <c r="J477" s="0" t="str">
        <f aca="false">IF('THÁNG 9'!$C34="","",N('THÁNG 9'!$L34))</f>
        <v/>
      </c>
      <c r="K477" s="0" t="str">
        <f aca="false">IF('THÁNG 9'!$C34="","",N('THÁNG 9'!$N34))</f>
        <v/>
      </c>
      <c r="L477" s="0" t="str">
        <f aca="false">IF('THÁNG 9'!$C34="","",N('THÁNG 9'!$O34))</f>
        <v/>
      </c>
      <c r="M477" s="0" t="str">
        <f aca="false">IF('THÁNG 9'!$C34="","",N('THÁNG 9'!$P34))</f>
        <v/>
      </c>
      <c r="N477" s="0" t="str">
        <f aca="false">IF('THÁNG 9'!$C34="","",N('THÁNG 9'!$Q34))</f>
        <v/>
      </c>
      <c r="O477" s="0" t="str">
        <f aca="false">IF('THÁNG 9'!$C34="","",N('THÁNG 9'!$R34))</f>
        <v/>
      </c>
      <c r="P477" s="0" t="str">
        <f aca="false">IF(OR('THÁNG 9'!$C34="",'THÁNG 9'!$T34=""),"",'THÁNG 9'!$T34)</f>
        <v/>
      </c>
      <c r="Q477" s="0" t="str">
        <f aca="false">IF(OR('THÁNG 9'!$C34="",'THÁNG 9'!$U34=""),"",'THÁNG 9'!$U34)</f>
        <v/>
      </c>
      <c r="R477" s="0" t="str">
        <f aca="false">IF('THÁNG 9'!$C34="","",'THÁNG 9'!$W34&amp;"")</f>
        <v/>
      </c>
      <c r="S477" s="0" t="str">
        <f aca="false">IF('THÁNG 9'!$C34="","",'THÁNG 9'!$S34&amp;"")</f>
        <v/>
      </c>
      <c r="T477" s="0" t="str">
        <f aca="false">IF(N($O477)&gt;0,COUNTIF($O$3:$O477,"&gt;0"),"")</f>
        <v/>
      </c>
      <c r="U477" s="0" t="str">
        <f aca="false">IF(AND(N($J477)&gt;0,N($K477)&gt;0),COUNTIFS($J$3:$J477,"&gt;0",$K$3:$K477,"&gt;0"),"")</f>
        <v/>
      </c>
      <c r="V477" s="0" t="str">
        <f aca="false">IF(AND(N($J477)&gt;0,N($K477)=0),COUNTIFS($J$3:$J477,"&gt;0",$K$3:$K477,"&lt;=0"),"")</f>
        <v/>
      </c>
      <c r="W477" s="0" t="str">
        <f aca="false">IF($C477="","",IF(COUNTIF($C$3:$C477,$C477)&gt;1,"",MAX($W$2:W476)+1))</f>
        <v/>
      </c>
      <c r="X477" s="0" t="str">
        <f aca="false">IF($H477="","",IF(COUNTIF($H$3:$H477,$H477)&gt;1,"",MAX($X$2:X476)+1))</f>
        <v/>
      </c>
      <c r="Y477" s="0" t="str">
        <f aca="false">IF(AND(N($M477)&gt;0,N($O477)&lt;=0),COUNTIFS($M$3:$M477,"&gt;0",$O$3:$O477,"&lt;=0"),"")</f>
        <v/>
      </c>
      <c r="Z477" s="30" t="n">
        <f aca="false">IF(OR('THÁNG 9'!$C34="",'THÁNG 9'!$B34=""),0,'THÁNG 9'!$B34)</f>
        <v>0</v>
      </c>
    </row>
    <row r="478" customFormat="false" ht="15" hidden="false" customHeight="false" outlineLevel="0" collapsed="false">
      <c r="A478" s="0" t="n">
        <v>9</v>
      </c>
      <c r="B478" s="29" t="str">
        <f aca="false">IF(OR('THÁNG 9'!$C35="",'THÁNG 9'!$B35=""),"",'THÁNG 9'!$B35)</f>
        <v/>
      </c>
      <c r="C478" s="0" t="str">
        <f aca="false">IF('THÁNG 9'!$C35="","",'THÁNG 9'!$C35)</f>
        <v/>
      </c>
      <c r="D478" s="0" t="str">
        <f aca="false">IF('THÁNG 9'!$C35="","",'THÁNG 9'!$D35&amp;"")</f>
        <v/>
      </c>
      <c r="E478" s="0" t="str">
        <f aca="false">IF('THÁNG 9'!$C35="","",'THÁNG 9'!$E35&amp;"")</f>
        <v/>
      </c>
      <c r="F478" s="0" t="str">
        <f aca="false">IF('THÁNG 9'!$C35="","",'THÁNG 9'!$F35&amp;"")</f>
        <v/>
      </c>
      <c r="G478" s="0" t="str">
        <f aca="false">IF('THÁNG 9'!$C35="","",'THÁNG 9'!$G35&amp;"")</f>
        <v/>
      </c>
      <c r="H478" s="0" t="str">
        <f aca="false">IF('THÁNG 9'!$C35="","",'THÁNG 9'!$H35&amp;"")</f>
        <v/>
      </c>
      <c r="I478" s="0" t="str">
        <f aca="false">IF('THÁNG 9'!$C35="","",N('THÁNG 9'!$I35))</f>
        <v/>
      </c>
      <c r="J478" s="0" t="str">
        <f aca="false">IF('THÁNG 9'!$C35="","",N('THÁNG 9'!$L35))</f>
        <v/>
      </c>
      <c r="K478" s="0" t="str">
        <f aca="false">IF('THÁNG 9'!$C35="","",N('THÁNG 9'!$N35))</f>
        <v/>
      </c>
      <c r="L478" s="0" t="str">
        <f aca="false">IF('THÁNG 9'!$C35="","",N('THÁNG 9'!$O35))</f>
        <v/>
      </c>
      <c r="M478" s="0" t="str">
        <f aca="false">IF('THÁNG 9'!$C35="","",N('THÁNG 9'!$P35))</f>
        <v/>
      </c>
      <c r="N478" s="0" t="str">
        <f aca="false">IF('THÁNG 9'!$C35="","",N('THÁNG 9'!$Q35))</f>
        <v/>
      </c>
      <c r="O478" s="0" t="str">
        <f aca="false">IF('THÁNG 9'!$C35="","",N('THÁNG 9'!$R35))</f>
        <v/>
      </c>
      <c r="P478" s="0" t="str">
        <f aca="false">IF(OR('THÁNG 9'!$C35="",'THÁNG 9'!$T35=""),"",'THÁNG 9'!$T35)</f>
        <v/>
      </c>
      <c r="Q478" s="0" t="str">
        <f aca="false">IF(OR('THÁNG 9'!$C35="",'THÁNG 9'!$U35=""),"",'THÁNG 9'!$U35)</f>
        <v/>
      </c>
      <c r="R478" s="0" t="str">
        <f aca="false">IF('THÁNG 9'!$C35="","",'THÁNG 9'!$W35&amp;"")</f>
        <v/>
      </c>
      <c r="S478" s="0" t="str">
        <f aca="false">IF('THÁNG 9'!$C35="","",'THÁNG 9'!$S35&amp;"")</f>
        <v/>
      </c>
      <c r="T478" s="0" t="str">
        <f aca="false">IF(N($O478)&gt;0,COUNTIF($O$3:$O478,"&gt;0"),"")</f>
        <v/>
      </c>
      <c r="U478" s="0" t="str">
        <f aca="false">IF(AND(N($J478)&gt;0,N($K478)&gt;0),COUNTIFS($J$3:$J478,"&gt;0",$K$3:$K478,"&gt;0"),"")</f>
        <v/>
      </c>
      <c r="V478" s="0" t="str">
        <f aca="false">IF(AND(N($J478)&gt;0,N($K478)=0),COUNTIFS($J$3:$J478,"&gt;0",$K$3:$K478,"&lt;=0"),"")</f>
        <v/>
      </c>
      <c r="W478" s="0" t="str">
        <f aca="false">IF($C478="","",IF(COUNTIF($C$3:$C478,$C478)&gt;1,"",MAX($W$2:W477)+1))</f>
        <v/>
      </c>
      <c r="X478" s="0" t="str">
        <f aca="false">IF($H478="","",IF(COUNTIF($H$3:$H478,$H478)&gt;1,"",MAX($X$2:X477)+1))</f>
        <v/>
      </c>
      <c r="Y478" s="0" t="str">
        <f aca="false">IF(AND(N($M478)&gt;0,N($O478)&lt;=0),COUNTIFS($M$3:$M478,"&gt;0",$O$3:$O478,"&lt;=0"),"")</f>
        <v/>
      </c>
      <c r="Z478" s="30" t="n">
        <f aca="false">IF(OR('THÁNG 9'!$C35="",'THÁNG 9'!$B35=""),0,'THÁNG 9'!$B35)</f>
        <v>0</v>
      </c>
    </row>
    <row r="479" customFormat="false" ht="15" hidden="false" customHeight="false" outlineLevel="0" collapsed="false">
      <c r="A479" s="0" t="n">
        <v>9</v>
      </c>
      <c r="B479" s="29" t="str">
        <f aca="false">IF(OR('THÁNG 9'!$C36="",'THÁNG 9'!$B36=""),"",'THÁNG 9'!$B36)</f>
        <v/>
      </c>
      <c r="C479" s="0" t="str">
        <f aca="false">IF('THÁNG 9'!$C36="","",'THÁNG 9'!$C36)</f>
        <v/>
      </c>
      <c r="D479" s="0" t="str">
        <f aca="false">IF('THÁNG 9'!$C36="","",'THÁNG 9'!$D36&amp;"")</f>
        <v/>
      </c>
      <c r="E479" s="0" t="str">
        <f aca="false">IF('THÁNG 9'!$C36="","",'THÁNG 9'!$E36&amp;"")</f>
        <v/>
      </c>
      <c r="F479" s="0" t="str">
        <f aca="false">IF('THÁNG 9'!$C36="","",'THÁNG 9'!$F36&amp;"")</f>
        <v/>
      </c>
      <c r="G479" s="0" t="str">
        <f aca="false">IF('THÁNG 9'!$C36="","",'THÁNG 9'!$G36&amp;"")</f>
        <v/>
      </c>
      <c r="H479" s="0" t="str">
        <f aca="false">IF('THÁNG 9'!$C36="","",'THÁNG 9'!$H36&amp;"")</f>
        <v/>
      </c>
      <c r="I479" s="0" t="str">
        <f aca="false">IF('THÁNG 9'!$C36="","",N('THÁNG 9'!$I36))</f>
        <v/>
      </c>
      <c r="J479" s="0" t="str">
        <f aca="false">IF('THÁNG 9'!$C36="","",N('THÁNG 9'!$L36))</f>
        <v/>
      </c>
      <c r="K479" s="0" t="str">
        <f aca="false">IF('THÁNG 9'!$C36="","",N('THÁNG 9'!$N36))</f>
        <v/>
      </c>
      <c r="L479" s="0" t="str">
        <f aca="false">IF('THÁNG 9'!$C36="","",N('THÁNG 9'!$O36))</f>
        <v/>
      </c>
      <c r="M479" s="0" t="str">
        <f aca="false">IF('THÁNG 9'!$C36="","",N('THÁNG 9'!$P36))</f>
        <v/>
      </c>
      <c r="N479" s="0" t="str">
        <f aca="false">IF('THÁNG 9'!$C36="","",N('THÁNG 9'!$Q36))</f>
        <v/>
      </c>
      <c r="O479" s="0" t="str">
        <f aca="false">IF('THÁNG 9'!$C36="","",N('THÁNG 9'!$R36))</f>
        <v/>
      </c>
      <c r="P479" s="0" t="str">
        <f aca="false">IF(OR('THÁNG 9'!$C36="",'THÁNG 9'!$T36=""),"",'THÁNG 9'!$T36)</f>
        <v/>
      </c>
      <c r="Q479" s="0" t="str">
        <f aca="false">IF(OR('THÁNG 9'!$C36="",'THÁNG 9'!$U36=""),"",'THÁNG 9'!$U36)</f>
        <v/>
      </c>
      <c r="R479" s="0" t="str">
        <f aca="false">IF('THÁNG 9'!$C36="","",'THÁNG 9'!$W36&amp;"")</f>
        <v/>
      </c>
      <c r="S479" s="0" t="str">
        <f aca="false">IF('THÁNG 9'!$C36="","",'THÁNG 9'!$S36&amp;"")</f>
        <v/>
      </c>
      <c r="T479" s="0" t="str">
        <f aca="false">IF(N($O479)&gt;0,COUNTIF($O$3:$O479,"&gt;0"),"")</f>
        <v/>
      </c>
      <c r="U479" s="0" t="str">
        <f aca="false">IF(AND(N($J479)&gt;0,N($K479)&gt;0),COUNTIFS($J$3:$J479,"&gt;0",$K$3:$K479,"&gt;0"),"")</f>
        <v/>
      </c>
      <c r="V479" s="0" t="str">
        <f aca="false">IF(AND(N($J479)&gt;0,N($K479)=0),COUNTIFS($J$3:$J479,"&gt;0",$K$3:$K479,"&lt;=0"),"")</f>
        <v/>
      </c>
      <c r="W479" s="0" t="str">
        <f aca="false">IF($C479="","",IF(COUNTIF($C$3:$C479,$C479)&gt;1,"",MAX($W$2:W478)+1))</f>
        <v/>
      </c>
      <c r="X479" s="0" t="str">
        <f aca="false">IF($H479="","",IF(COUNTIF($H$3:$H479,$H479)&gt;1,"",MAX($X$2:X478)+1))</f>
        <v/>
      </c>
      <c r="Y479" s="0" t="str">
        <f aca="false">IF(AND(N($M479)&gt;0,N($O479)&lt;=0),COUNTIFS($M$3:$M479,"&gt;0",$O$3:$O479,"&lt;=0"),"")</f>
        <v/>
      </c>
      <c r="Z479" s="30" t="n">
        <f aca="false">IF(OR('THÁNG 9'!$C36="",'THÁNG 9'!$B36=""),0,'THÁNG 9'!$B36)</f>
        <v>0</v>
      </c>
    </row>
    <row r="480" customFormat="false" ht="15" hidden="false" customHeight="false" outlineLevel="0" collapsed="false">
      <c r="A480" s="0" t="n">
        <v>9</v>
      </c>
      <c r="B480" s="29" t="str">
        <f aca="false">IF(OR('THÁNG 9'!$C37="",'THÁNG 9'!$B37=""),"",'THÁNG 9'!$B37)</f>
        <v/>
      </c>
      <c r="C480" s="0" t="str">
        <f aca="false">IF('THÁNG 9'!$C37="","",'THÁNG 9'!$C37)</f>
        <v/>
      </c>
      <c r="D480" s="0" t="str">
        <f aca="false">IF('THÁNG 9'!$C37="","",'THÁNG 9'!$D37&amp;"")</f>
        <v/>
      </c>
      <c r="E480" s="0" t="str">
        <f aca="false">IF('THÁNG 9'!$C37="","",'THÁNG 9'!$E37&amp;"")</f>
        <v/>
      </c>
      <c r="F480" s="0" t="str">
        <f aca="false">IF('THÁNG 9'!$C37="","",'THÁNG 9'!$F37&amp;"")</f>
        <v/>
      </c>
      <c r="G480" s="0" t="str">
        <f aca="false">IF('THÁNG 9'!$C37="","",'THÁNG 9'!$G37&amp;"")</f>
        <v/>
      </c>
      <c r="H480" s="0" t="str">
        <f aca="false">IF('THÁNG 9'!$C37="","",'THÁNG 9'!$H37&amp;"")</f>
        <v/>
      </c>
      <c r="I480" s="0" t="str">
        <f aca="false">IF('THÁNG 9'!$C37="","",N('THÁNG 9'!$I37))</f>
        <v/>
      </c>
      <c r="J480" s="0" t="str">
        <f aca="false">IF('THÁNG 9'!$C37="","",N('THÁNG 9'!$L37))</f>
        <v/>
      </c>
      <c r="K480" s="0" t="str">
        <f aca="false">IF('THÁNG 9'!$C37="","",N('THÁNG 9'!$N37))</f>
        <v/>
      </c>
      <c r="L480" s="0" t="str">
        <f aca="false">IF('THÁNG 9'!$C37="","",N('THÁNG 9'!$O37))</f>
        <v/>
      </c>
      <c r="M480" s="0" t="str">
        <f aca="false">IF('THÁNG 9'!$C37="","",N('THÁNG 9'!$P37))</f>
        <v/>
      </c>
      <c r="N480" s="0" t="str">
        <f aca="false">IF('THÁNG 9'!$C37="","",N('THÁNG 9'!$Q37))</f>
        <v/>
      </c>
      <c r="O480" s="0" t="str">
        <f aca="false">IF('THÁNG 9'!$C37="","",N('THÁNG 9'!$R37))</f>
        <v/>
      </c>
      <c r="P480" s="0" t="str">
        <f aca="false">IF(OR('THÁNG 9'!$C37="",'THÁNG 9'!$T37=""),"",'THÁNG 9'!$T37)</f>
        <v/>
      </c>
      <c r="Q480" s="0" t="str">
        <f aca="false">IF(OR('THÁNG 9'!$C37="",'THÁNG 9'!$U37=""),"",'THÁNG 9'!$U37)</f>
        <v/>
      </c>
      <c r="R480" s="0" t="str">
        <f aca="false">IF('THÁNG 9'!$C37="","",'THÁNG 9'!$W37&amp;"")</f>
        <v/>
      </c>
      <c r="S480" s="0" t="str">
        <f aca="false">IF('THÁNG 9'!$C37="","",'THÁNG 9'!$S37&amp;"")</f>
        <v/>
      </c>
      <c r="T480" s="0" t="str">
        <f aca="false">IF(N($O480)&gt;0,COUNTIF($O$3:$O480,"&gt;0"),"")</f>
        <v/>
      </c>
      <c r="U480" s="0" t="str">
        <f aca="false">IF(AND(N($J480)&gt;0,N($K480)&gt;0),COUNTIFS($J$3:$J480,"&gt;0",$K$3:$K480,"&gt;0"),"")</f>
        <v/>
      </c>
      <c r="V480" s="0" t="str">
        <f aca="false">IF(AND(N($J480)&gt;0,N($K480)=0),COUNTIFS($J$3:$J480,"&gt;0",$K$3:$K480,"&lt;=0"),"")</f>
        <v/>
      </c>
      <c r="W480" s="0" t="str">
        <f aca="false">IF($C480="","",IF(COUNTIF($C$3:$C480,$C480)&gt;1,"",MAX($W$2:W479)+1))</f>
        <v/>
      </c>
      <c r="X480" s="0" t="str">
        <f aca="false">IF($H480="","",IF(COUNTIF($H$3:$H480,$H480)&gt;1,"",MAX($X$2:X479)+1))</f>
        <v/>
      </c>
      <c r="Y480" s="0" t="str">
        <f aca="false">IF(AND(N($M480)&gt;0,N($O480)&lt;=0),COUNTIFS($M$3:$M480,"&gt;0",$O$3:$O480,"&lt;=0"),"")</f>
        <v/>
      </c>
      <c r="Z480" s="30" t="n">
        <f aca="false">IF(OR('THÁNG 9'!$C37="",'THÁNG 9'!$B37=""),0,'THÁNG 9'!$B37)</f>
        <v>0</v>
      </c>
    </row>
    <row r="481" customFormat="false" ht="15" hidden="false" customHeight="false" outlineLevel="0" collapsed="false">
      <c r="A481" s="0" t="n">
        <v>9</v>
      </c>
      <c r="B481" s="29" t="str">
        <f aca="false">IF(OR('THÁNG 9'!$C38="",'THÁNG 9'!$B38=""),"",'THÁNG 9'!$B38)</f>
        <v/>
      </c>
      <c r="C481" s="0" t="str">
        <f aca="false">IF('THÁNG 9'!$C38="","",'THÁNG 9'!$C38)</f>
        <v/>
      </c>
      <c r="D481" s="0" t="str">
        <f aca="false">IF('THÁNG 9'!$C38="","",'THÁNG 9'!$D38&amp;"")</f>
        <v/>
      </c>
      <c r="E481" s="0" t="str">
        <f aca="false">IF('THÁNG 9'!$C38="","",'THÁNG 9'!$E38&amp;"")</f>
        <v/>
      </c>
      <c r="F481" s="0" t="str">
        <f aca="false">IF('THÁNG 9'!$C38="","",'THÁNG 9'!$F38&amp;"")</f>
        <v/>
      </c>
      <c r="G481" s="0" t="str">
        <f aca="false">IF('THÁNG 9'!$C38="","",'THÁNG 9'!$G38&amp;"")</f>
        <v/>
      </c>
      <c r="H481" s="0" t="str">
        <f aca="false">IF('THÁNG 9'!$C38="","",'THÁNG 9'!$H38&amp;"")</f>
        <v/>
      </c>
      <c r="I481" s="0" t="str">
        <f aca="false">IF('THÁNG 9'!$C38="","",N('THÁNG 9'!$I38))</f>
        <v/>
      </c>
      <c r="J481" s="0" t="str">
        <f aca="false">IF('THÁNG 9'!$C38="","",N('THÁNG 9'!$L38))</f>
        <v/>
      </c>
      <c r="K481" s="0" t="str">
        <f aca="false">IF('THÁNG 9'!$C38="","",N('THÁNG 9'!$N38))</f>
        <v/>
      </c>
      <c r="L481" s="0" t="str">
        <f aca="false">IF('THÁNG 9'!$C38="","",N('THÁNG 9'!$O38))</f>
        <v/>
      </c>
      <c r="M481" s="0" t="str">
        <f aca="false">IF('THÁNG 9'!$C38="","",N('THÁNG 9'!$P38))</f>
        <v/>
      </c>
      <c r="N481" s="0" t="str">
        <f aca="false">IF('THÁNG 9'!$C38="","",N('THÁNG 9'!$Q38))</f>
        <v/>
      </c>
      <c r="O481" s="0" t="str">
        <f aca="false">IF('THÁNG 9'!$C38="","",N('THÁNG 9'!$R38))</f>
        <v/>
      </c>
      <c r="P481" s="0" t="str">
        <f aca="false">IF(OR('THÁNG 9'!$C38="",'THÁNG 9'!$T38=""),"",'THÁNG 9'!$T38)</f>
        <v/>
      </c>
      <c r="Q481" s="0" t="str">
        <f aca="false">IF(OR('THÁNG 9'!$C38="",'THÁNG 9'!$U38=""),"",'THÁNG 9'!$U38)</f>
        <v/>
      </c>
      <c r="R481" s="0" t="str">
        <f aca="false">IF('THÁNG 9'!$C38="","",'THÁNG 9'!$W38&amp;"")</f>
        <v/>
      </c>
      <c r="S481" s="0" t="str">
        <f aca="false">IF('THÁNG 9'!$C38="","",'THÁNG 9'!$S38&amp;"")</f>
        <v/>
      </c>
      <c r="T481" s="0" t="str">
        <f aca="false">IF(N($O481)&gt;0,COUNTIF($O$3:$O481,"&gt;0"),"")</f>
        <v/>
      </c>
      <c r="U481" s="0" t="str">
        <f aca="false">IF(AND(N($J481)&gt;0,N($K481)&gt;0),COUNTIFS($J$3:$J481,"&gt;0",$K$3:$K481,"&gt;0"),"")</f>
        <v/>
      </c>
      <c r="V481" s="0" t="str">
        <f aca="false">IF(AND(N($J481)&gt;0,N($K481)=0),COUNTIFS($J$3:$J481,"&gt;0",$K$3:$K481,"&lt;=0"),"")</f>
        <v/>
      </c>
      <c r="W481" s="0" t="str">
        <f aca="false">IF($C481="","",IF(COUNTIF($C$3:$C481,$C481)&gt;1,"",MAX($W$2:W480)+1))</f>
        <v/>
      </c>
      <c r="X481" s="0" t="str">
        <f aca="false">IF($H481="","",IF(COUNTIF($H$3:$H481,$H481)&gt;1,"",MAX($X$2:X480)+1))</f>
        <v/>
      </c>
      <c r="Y481" s="0" t="str">
        <f aca="false">IF(AND(N($M481)&gt;0,N($O481)&lt;=0),COUNTIFS($M$3:$M481,"&gt;0",$O$3:$O481,"&lt;=0"),"")</f>
        <v/>
      </c>
      <c r="Z481" s="30" t="n">
        <f aca="false">IF(OR('THÁNG 9'!$C38="",'THÁNG 9'!$B38=""),0,'THÁNG 9'!$B38)</f>
        <v>0</v>
      </c>
    </row>
    <row r="482" customFormat="false" ht="15" hidden="false" customHeight="false" outlineLevel="0" collapsed="false">
      <c r="A482" s="0" t="n">
        <v>9</v>
      </c>
      <c r="B482" s="29" t="str">
        <f aca="false">IF(OR('THÁNG 9'!$C39="",'THÁNG 9'!$B39=""),"",'THÁNG 9'!$B39)</f>
        <v/>
      </c>
      <c r="C482" s="0" t="str">
        <f aca="false">IF('THÁNG 9'!$C39="","",'THÁNG 9'!$C39)</f>
        <v/>
      </c>
      <c r="D482" s="0" t="str">
        <f aca="false">IF('THÁNG 9'!$C39="","",'THÁNG 9'!$D39&amp;"")</f>
        <v/>
      </c>
      <c r="E482" s="0" t="str">
        <f aca="false">IF('THÁNG 9'!$C39="","",'THÁNG 9'!$E39&amp;"")</f>
        <v/>
      </c>
      <c r="F482" s="0" t="str">
        <f aca="false">IF('THÁNG 9'!$C39="","",'THÁNG 9'!$F39&amp;"")</f>
        <v/>
      </c>
      <c r="G482" s="0" t="str">
        <f aca="false">IF('THÁNG 9'!$C39="","",'THÁNG 9'!$G39&amp;"")</f>
        <v/>
      </c>
      <c r="H482" s="0" t="str">
        <f aca="false">IF('THÁNG 9'!$C39="","",'THÁNG 9'!$H39&amp;"")</f>
        <v/>
      </c>
      <c r="I482" s="0" t="str">
        <f aca="false">IF('THÁNG 9'!$C39="","",N('THÁNG 9'!$I39))</f>
        <v/>
      </c>
      <c r="J482" s="0" t="str">
        <f aca="false">IF('THÁNG 9'!$C39="","",N('THÁNG 9'!$L39))</f>
        <v/>
      </c>
      <c r="K482" s="0" t="str">
        <f aca="false">IF('THÁNG 9'!$C39="","",N('THÁNG 9'!$N39))</f>
        <v/>
      </c>
      <c r="L482" s="0" t="str">
        <f aca="false">IF('THÁNG 9'!$C39="","",N('THÁNG 9'!$O39))</f>
        <v/>
      </c>
      <c r="M482" s="0" t="str">
        <f aca="false">IF('THÁNG 9'!$C39="","",N('THÁNG 9'!$P39))</f>
        <v/>
      </c>
      <c r="N482" s="0" t="str">
        <f aca="false">IF('THÁNG 9'!$C39="","",N('THÁNG 9'!$Q39))</f>
        <v/>
      </c>
      <c r="O482" s="0" t="str">
        <f aca="false">IF('THÁNG 9'!$C39="","",N('THÁNG 9'!$R39))</f>
        <v/>
      </c>
      <c r="P482" s="0" t="str">
        <f aca="false">IF(OR('THÁNG 9'!$C39="",'THÁNG 9'!$T39=""),"",'THÁNG 9'!$T39)</f>
        <v/>
      </c>
      <c r="Q482" s="0" t="str">
        <f aca="false">IF(OR('THÁNG 9'!$C39="",'THÁNG 9'!$U39=""),"",'THÁNG 9'!$U39)</f>
        <v/>
      </c>
      <c r="R482" s="0" t="str">
        <f aca="false">IF('THÁNG 9'!$C39="","",'THÁNG 9'!$W39&amp;"")</f>
        <v/>
      </c>
      <c r="S482" s="0" t="str">
        <f aca="false">IF('THÁNG 9'!$C39="","",'THÁNG 9'!$S39&amp;"")</f>
        <v/>
      </c>
      <c r="T482" s="0" t="str">
        <f aca="false">IF(N($O482)&gt;0,COUNTIF($O$3:$O482,"&gt;0"),"")</f>
        <v/>
      </c>
      <c r="U482" s="0" t="str">
        <f aca="false">IF(AND(N($J482)&gt;0,N($K482)&gt;0),COUNTIFS($J$3:$J482,"&gt;0",$K$3:$K482,"&gt;0"),"")</f>
        <v/>
      </c>
      <c r="V482" s="0" t="str">
        <f aca="false">IF(AND(N($J482)&gt;0,N($K482)=0),COUNTIFS($J$3:$J482,"&gt;0",$K$3:$K482,"&lt;=0"),"")</f>
        <v/>
      </c>
      <c r="W482" s="0" t="str">
        <f aca="false">IF($C482="","",IF(COUNTIF($C$3:$C482,$C482)&gt;1,"",MAX($W$2:W481)+1))</f>
        <v/>
      </c>
      <c r="X482" s="0" t="str">
        <f aca="false">IF($H482="","",IF(COUNTIF($H$3:$H482,$H482)&gt;1,"",MAX($X$2:X481)+1))</f>
        <v/>
      </c>
      <c r="Y482" s="0" t="str">
        <f aca="false">IF(AND(N($M482)&gt;0,N($O482)&lt;=0),COUNTIFS($M$3:$M482,"&gt;0",$O$3:$O482,"&lt;=0"),"")</f>
        <v/>
      </c>
      <c r="Z482" s="30" t="n">
        <f aca="false">IF(OR('THÁNG 9'!$C39="",'THÁNG 9'!$B39=""),0,'THÁNG 9'!$B39)</f>
        <v>0</v>
      </c>
    </row>
    <row r="483" customFormat="false" ht="15" hidden="false" customHeight="false" outlineLevel="0" collapsed="false">
      <c r="A483" s="0" t="n">
        <v>9</v>
      </c>
      <c r="B483" s="29" t="str">
        <f aca="false">IF(OR('THÁNG 9'!$C40="",'THÁNG 9'!$B40=""),"",'THÁNG 9'!$B40)</f>
        <v/>
      </c>
      <c r="C483" s="0" t="str">
        <f aca="false">IF('THÁNG 9'!$C40="","",'THÁNG 9'!$C40)</f>
        <v/>
      </c>
      <c r="D483" s="0" t="str">
        <f aca="false">IF('THÁNG 9'!$C40="","",'THÁNG 9'!$D40&amp;"")</f>
        <v/>
      </c>
      <c r="E483" s="0" t="str">
        <f aca="false">IF('THÁNG 9'!$C40="","",'THÁNG 9'!$E40&amp;"")</f>
        <v/>
      </c>
      <c r="F483" s="0" t="str">
        <f aca="false">IF('THÁNG 9'!$C40="","",'THÁNG 9'!$F40&amp;"")</f>
        <v/>
      </c>
      <c r="G483" s="0" t="str">
        <f aca="false">IF('THÁNG 9'!$C40="","",'THÁNG 9'!$G40&amp;"")</f>
        <v/>
      </c>
      <c r="H483" s="0" t="str">
        <f aca="false">IF('THÁNG 9'!$C40="","",'THÁNG 9'!$H40&amp;"")</f>
        <v/>
      </c>
      <c r="I483" s="0" t="str">
        <f aca="false">IF('THÁNG 9'!$C40="","",N('THÁNG 9'!$I40))</f>
        <v/>
      </c>
      <c r="J483" s="0" t="str">
        <f aca="false">IF('THÁNG 9'!$C40="","",N('THÁNG 9'!$L40))</f>
        <v/>
      </c>
      <c r="K483" s="0" t="str">
        <f aca="false">IF('THÁNG 9'!$C40="","",N('THÁNG 9'!$N40))</f>
        <v/>
      </c>
      <c r="L483" s="0" t="str">
        <f aca="false">IF('THÁNG 9'!$C40="","",N('THÁNG 9'!$O40))</f>
        <v/>
      </c>
      <c r="M483" s="0" t="str">
        <f aca="false">IF('THÁNG 9'!$C40="","",N('THÁNG 9'!$P40))</f>
        <v/>
      </c>
      <c r="N483" s="0" t="str">
        <f aca="false">IF('THÁNG 9'!$C40="","",N('THÁNG 9'!$Q40))</f>
        <v/>
      </c>
      <c r="O483" s="0" t="str">
        <f aca="false">IF('THÁNG 9'!$C40="","",N('THÁNG 9'!$R40))</f>
        <v/>
      </c>
      <c r="P483" s="0" t="str">
        <f aca="false">IF(OR('THÁNG 9'!$C40="",'THÁNG 9'!$T40=""),"",'THÁNG 9'!$T40)</f>
        <v/>
      </c>
      <c r="Q483" s="0" t="str">
        <f aca="false">IF(OR('THÁNG 9'!$C40="",'THÁNG 9'!$U40=""),"",'THÁNG 9'!$U40)</f>
        <v/>
      </c>
      <c r="R483" s="0" t="str">
        <f aca="false">IF('THÁNG 9'!$C40="","",'THÁNG 9'!$W40&amp;"")</f>
        <v/>
      </c>
      <c r="S483" s="0" t="str">
        <f aca="false">IF('THÁNG 9'!$C40="","",'THÁNG 9'!$S40&amp;"")</f>
        <v/>
      </c>
      <c r="T483" s="0" t="str">
        <f aca="false">IF(N($O483)&gt;0,COUNTIF($O$3:$O483,"&gt;0"),"")</f>
        <v/>
      </c>
      <c r="U483" s="0" t="str">
        <f aca="false">IF(AND(N($J483)&gt;0,N($K483)&gt;0),COUNTIFS($J$3:$J483,"&gt;0",$K$3:$K483,"&gt;0"),"")</f>
        <v/>
      </c>
      <c r="V483" s="0" t="str">
        <f aca="false">IF(AND(N($J483)&gt;0,N($K483)=0),COUNTIFS($J$3:$J483,"&gt;0",$K$3:$K483,"&lt;=0"),"")</f>
        <v/>
      </c>
      <c r="W483" s="0" t="str">
        <f aca="false">IF($C483="","",IF(COUNTIF($C$3:$C483,$C483)&gt;1,"",MAX($W$2:W482)+1))</f>
        <v/>
      </c>
      <c r="X483" s="0" t="str">
        <f aca="false">IF($H483="","",IF(COUNTIF($H$3:$H483,$H483)&gt;1,"",MAX($X$2:X482)+1))</f>
        <v/>
      </c>
      <c r="Y483" s="0" t="str">
        <f aca="false">IF(AND(N($M483)&gt;0,N($O483)&lt;=0),COUNTIFS($M$3:$M483,"&gt;0",$O$3:$O483,"&lt;=0"),"")</f>
        <v/>
      </c>
      <c r="Z483" s="30" t="n">
        <f aca="false">IF(OR('THÁNG 9'!$C40="",'THÁNG 9'!$B40=""),0,'THÁNG 9'!$B40)</f>
        <v>0</v>
      </c>
    </row>
    <row r="484" customFormat="false" ht="15" hidden="false" customHeight="false" outlineLevel="0" collapsed="false">
      <c r="A484" s="0" t="n">
        <v>9</v>
      </c>
      <c r="B484" s="29" t="str">
        <f aca="false">IF(OR('THÁNG 9'!$C41="",'THÁNG 9'!$B41=""),"",'THÁNG 9'!$B41)</f>
        <v/>
      </c>
      <c r="C484" s="0" t="str">
        <f aca="false">IF('THÁNG 9'!$C41="","",'THÁNG 9'!$C41)</f>
        <v/>
      </c>
      <c r="D484" s="0" t="str">
        <f aca="false">IF('THÁNG 9'!$C41="","",'THÁNG 9'!$D41&amp;"")</f>
        <v/>
      </c>
      <c r="E484" s="0" t="str">
        <f aca="false">IF('THÁNG 9'!$C41="","",'THÁNG 9'!$E41&amp;"")</f>
        <v/>
      </c>
      <c r="F484" s="0" t="str">
        <f aca="false">IF('THÁNG 9'!$C41="","",'THÁNG 9'!$F41&amp;"")</f>
        <v/>
      </c>
      <c r="G484" s="0" t="str">
        <f aca="false">IF('THÁNG 9'!$C41="","",'THÁNG 9'!$G41&amp;"")</f>
        <v/>
      </c>
      <c r="H484" s="0" t="str">
        <f aca="false">IF('THÁNG 9'!$C41="","",'THÁNG 9'!$H41&amp;"")</f>
        <v/>
      </c>
      <c r="I484" s="0" t="str">
        <f aca="false">IF('THÁNG 9'!$C41="","",N('THÁNG 9'!$I41))</f>
        <v/>
      </c>
      <c r="J484" s="0" t="str">
        <f aca="false">IF('THÁNG 9'!$C41="","",N('THÁNG 9'!$L41))</f>
        <v/>
      </c>
      <c r="K484" s="0" t="str">
        <f aca="false">IF('THÁNG 9'!$C41="","",N('THÁNG 9'!$N41))</f>
        <v/>
      </c>
      <c r="L484" s="0" t="str">
        <f aca="false">IF('THÁNG 9'!$C41="","",N('THÁNG 9'!$O41))</f>
        <v/>
      </c>
      <c r="M484" s="0" t="str">
        <f aca="false">IF('THÁNG 9'!$C41="","",N('THÁNG 9'!$P41))</f>
        <v/>
      </c>
      <c r="N484" s="0" t="str">
        <f aca="false">IF('THÁNG 9'!$C41="","",N('THÁNG 9'!$Q41))</f>
        <v/>
      </c>
      <c r="O484" s="0" t="str">
        <f aca="false">IF('THÁNG 9'!$C41="","",N('THÁNG 9'!$R41))</f>
        <v/>
      </c>
      <c r="P484" s="0" t="str">
        <f aca="false">IF(OR('THÁNG 9'!$C41="",'THÁNG 9'!$T41=""),"",'THÁNG 9'!$T41)</f>
        <v/>
      </c>
      <c r="Q484" s="0" t="str">
        <f aca="false">IF(OR('THÁNG 9'!$C41="",'THÁNG 9'!$U41=""),"",'THÁNG 9'!$U41)</f>
        <v/>
      </c>
      <c r="R484" s="0" t="str">
        <f aca="false">IF('THÁNG 9'!$C41="","",'THÁNG 9'!$W41&amp;"")</f>
        <v/>
      </c>
      <c r="S484" s="0" t="str">
        <f aca="false">IF('THÁNG 9'!$C41="","",'THÁNG 9'!$S41&amp;"")</f>
        <v/>
      </c>
      <c r="T484" s="0" t="str">
        <f aca="false">IF(N($O484)&gt;0,COUNTIF($O$3:$O484,"&gt;0"),"")</f>
        <v/>
      </c>
      <c r="U484" s="0" t="str">
        <f aca="false">IF(AND(N($J484)&gt;0,N($K484)&gt;0),COUNTIFS($J$3:$J484,"&gt;0",$K$3:$K484,"&gt;0"),"")</f>
        <v/>
      </c>
      <c r="V484" s="0" t="str">
        <f aca="false">IF(AND(N($J484)&gt;0,N($K484)=0),COUNTIFS($J$3:$J484,"&gt;0",$K$3:$K484,"&lt;=0"),"")</f>
        <v/>
      </c>
      <c r="W484" s="0" t="str">
        <f aca="false">IF($C484="","",IF(COUNTIF($C$3:$C484,$C484)&gt;1,"",MAX($W$2:W483)+1))</f>
        <v/>
      </c>
      <c r="X484" s="0" t="str">
        <f aca="false">IF($H484="","",IF(COUNTIF($H$3:$H484,$H484)&gt;1,"",MAX($X$2:X483)+1))</f>
        <v/>
      </c>
      <c r="Y484" s="0" t="str">
        <f aca="false">IF(AND(N($M484)&gt;0,N($O484)&lt;=0),COUNTIFS($M$3:$M484,"&gt;0",$O$3:$O484,"&lt;=0"),"")</f>
        <v/>
      </c>
      <c r="Z484" s="30" t="n">
        <f aca="false">IF(OR('THÁNG 9'!$C41="",'THÁNG 9'!$B41=""),0,'THÁNG 9'!$B41)</f>
        <v>0</v>
      </c>
    </row>
    <row r="485" customFormat="false" ht="15" hidden="false" customHeight="false" outlineLevel="0" collapsed="false">
      <c r="A485" s="0" t="n">
        <v>9</v>
      </c>
      <c r="B485" s="29" t="str">
        <f aca="false">IF(OR('THÁNG 9'!$C42="",'THÁNG 9'!$B42=""),"",'THÁNG 9'!$B42)</f>
        <v/>
      </c>
      <c r="C485" s="0" t="str">
        <f aca="false">IF('THÁNG 9'!$C42="","",'THÁNG 9'!$C42)</f>
        <v/>
      </c>
      <c r="D485" s="0" t="str">
        <f aca="false">IF('THÁNG 9'!$C42="","",'THÁNG 9'!$D42&amp;"")</f>
        <v/>
      </c>
      <c r="E485" s="0" t="str">
        <f aca="false">IF('THÁNG 9'!$C42="","",'THÁNG 9'!$E42&amp;"")</f>
        <v/>
      </c>
      <c r="F485" s="0" t="str">
        <f aca="false">IF('THÁNG 9'!$C42="","",'THÁNG 9'!$F42&amp;"")</f>
        <v/>
      </c>
      <c r="G485" s="0" t="str">
        <f aca="false">IF('THÁNG 9'!$C42="","",'THÁNG 9'!$G42&amp;"")</f>
        <v/>
      </c>
      <c r="H485" s="0" t="str">
        <f aca="false">IF('THÁNG 9'!$C42="","",'THÁNG 9'!$H42&amp;"")</f>
        <v/>
      </c>
      <c r="I485" s="0" t="str">
        <f aca="false">IF('THÁNG 9'!$C42="","",N('THÁNG 9'!$I42))</f>
        <v/>
      </c>
      <c r="J485" s="0" t="str">
        <f aca="false">IF('THÁNG 9'!$C42="","",N('THÁNG 9'!$L42))</f>
        <v/>
      </c>
      <c r="K485" s="0" t="str">
        <f aca="false">IF('THÁNG 9'!$C42="","",N('THÁNG 9'!$N42))</f>
        <v/>
      </c>
      <c r="L485" s="0" t="str">
        <f aca="false">IF('THÁNG 9'!$C42="","",N('THÁNG 9'!$O42))</f>
        <v/>
      </c>
      <c r="M485" s="0" t="str">
        <f aca="false">IF('THÁNG 9'!$C42="","",N('THÁNG 9'!$P42))</f>
        <v/>
      </c>
      <c r="N485" s="0" t="str">
        <f aca="false">IF('THÁNG 9'!$C42="","",N('THÁNG 9'!$Q42))</f>
        <v/>
      </c>
      <c r="O485" s="0" t="str">
        <f aca="false">IF('THÁNG 9'!$C42="","",N('THÁNG 9'!$R42))</f>
        <v/>
      </c>
      <c r="P485" s="0" t="str">
        <f aca="false">IF(OR('THÁNG 9'!$C42="",'THÁNG 9'!$T42=""),"",'THÁNG 9'!$T42)</f>
        <v/>
      </c>
      <c r="Q485" s="0" t="str">
        <f aca="false">IF(OR('THÁNG 9'!$C42="",'THÁNG 9'!$U42=""),"",'THÁNG 9'!$U42)</f>
        <v/>
      </c>
      <c r="R485" s="0" t="str">
        <f aca="false">IF('THÁNG 9'!$C42="","",'THÁNG 9'!$W42&amp;"")</f>
        <v/>
      </c>
      <c r="S485" s="0" t="str">
        <f aca="false">IF('THÁNG 9'!$C42="","",'THÁNG 9'!$S42&amp;"")</f>
        <v/>
      </c>
      <c r="T485" s="0" t="str">
        <f aca="false">IF(N($O485)&gt;0,COUNTIF($O$3:$O485,"&gt;0"),"")</f>
        <v/>
      </c>
      <c r="U485" s="0" t="str">
        <f aca="false">IF(AND(N($J485)&gt;0,N($K485)&gt;0),COUNTIFS($J$3:$J485,"&gt;0",$K$3:$K485,"&gt;0"),"")</f>
        <v/>
      </c>
      <c r="V485" s="0" t="str">
        <f aca="false">IF(AND(N($J485)&gt;0,N($K485)=0),COUNTIFS($J$3:$J485,"&gt;0",$K$3:$K485,"&lt;=0"),"")</f>
        <v/>
      </c>
      <c r="W485" s="0" t="str">
        <f aca="false">IF($C485="","",IF(COUNTIF($C$3:$C485,$C485)&gt;1,"",MAX($W$2:W484)+1))</f>
        <v/>
      </c>
      <c r="X485" s="0" t="str">
        <f aca="false">IF($H485="","",IF(COUNTIF($H$3:$H485,$H485)&gt;1,"",MAX($X$2:X484)+1))</f>
        <v/>
      </c>
      <c r="Y485" s="0" t="str">
        <f aca="false">IF(AND(N($M485)&gt;0,N($O485)&lt;=0),COUNTIFS($M$3:$M485,"&gt;0",$O$3:$O485,"&lt;=0"),"")</f>
        <v/>
      </c>
      <c r="Z485" s="30" t="n">
        <f aca="false">IF(OR('THÁNG 9'!$C42="",'THÁNG 9'!$B42=""),0,'THÁNG 9'!$B42)</f>
        <v>0</v>
      </c>
    </row>
    <row r="486" customFormat="false" ht="15" hidden="false" customHeight="false" outlineLevel="0" collapsed="false">
      <c r="A486" s="0" t="n">
        <v>9</v>
      </c>
      <c r="B486" s="29" t="str">
        <f aca="false">IF(OR('THÁNG 9'!$C43="",'THÁNG 9'!$B43=""),"",'THÁNG 9'!$B43)</f>
        <v/>
      </c>
      <c r="C486" s="0" t="str">
        <f aca="false">IF('THÁNG 9'!$C43="","",'THÁNG 9'!$C43)</f>
        <v/>
      </c>
      <c r="D486" s="0" t="str">
        <f aca="false">IF('THÁNG 9'!$C43="","",'THÁNG 9'!$D43&amp;"")</f>
        <v/>
      </c>
      <c r="E486" s="0" t="str">
        <f aca="false">IF('THÁNG 9'!$C43="","",'THÁNG 9'!$E43&amp;"")</f>
        <v/>
      </c>
      <c r="F486" s="0" t="str">
        <f aca="false">IF('THÁNG 9'!$C43="","",'THÁNG 9'!$F43&amp;"")</f>
        <v/>
      </c>
      <c r="G486" s="0" t="str">
        <f aca="false">IF('THÁNG 9'!$C43="","",'THÁNG 9'!$G43&amp;"")</f>
        <v/>
      </c>
      <c r="H486" s="0" t="str">
        <f aca="false">IF('THÁNG 9'!$C43="","",'THÁNG 9'!$H43&amp;"")</f>
        <v/>
      </c>
      <c r="I486" s="0" t="str">
        <f aca="false">IF('THÁNG 9'!$C43="","",N('THÁNG 9'!$I43))</f>
        <v/>
      </c>
      <c r="J486" s="0" t="str">
        <f aca="false">IF('THÁNG 9'!$C43="","",N('THÁNG 9'!$L43))</f>
        <v/>
      </c>
      <c r="K486" s="0" t="str">
        <f aca="false">IF('THÁNG 9'!$C43="","",N('THÁNG 9'!$N43))</f>
        <v/>
      </c>
      <c r="L486" s="0" t="str">
        <f aca="false">IF('THÁNG 9'!$C43="","",N('THÁNG 9'!$O43))</f>
        <v/>
      </c>
      <c r="M486" s="0" t="str">
        <f aca="false">IF('THÁNG 9'!$C43="","",N('THÁNG 9'!$P43))</f>
        <v/>
      </c>
      <c r="N486" s="0" t="str">
        <f aca="false">IF('THÁNG 9'!$C43="","",N('THÁNG 9'!$Q43))</f>
        <v/>
      </c>
      <c r="O486" s="0" t="str">
        <f aca="false">IF('THÁNG 9'!$C43="","",N('THÁNG 9'!$R43))</f>
        <v/>
      </c>
      <c r="P486" s="0" t="str">
        <f aca="false">IF(OR('THÁNG 9'!$C43="",'THÁNG 9'!$T43=""),"",'THÁNG 9'!$T43)</f>
        <v/>
      </c>
      <c r="Q486" s="0" t="str">
        <f aca="false">IF(OR('THÁNG 9'!$C43="",'THÁNG 9'!$U43=""),"",'THÁNG 9'!$U43)</f>
        <v/>
      </c>
      <c r="R486" s="0" t="str">
        <f aca="false">IF('THÁNG 9'!$C43="","",'THÁNG 9'!$W43&amp;"")</f>
        <v/>
      </c>
      <c r="S486" s="0" t="str">
        <f aca="false">IF('THÁNG 9'!$C43="","",'THÁNG 9'!$S43&amp;"")</f>
        <v/>
      </c>
      <c r="T486" s="0" t="str">
        <f aca="false">IF(N($O486)&gt;0,COUNTIF($O$3:$O486,"&gt;0"),"")</f>
        <v/>
      </c>
      <c r="U486" s="0" t="str">
        <f aca="false">IF(AND(N($J486)&gt;0,N($K486)&gt;0),COUNTIFS($J$3:$J486,"&gt;0",$K$3:$K486,"&gt;0"),"")</f>
        <v/>
      </c>
      <c r="V486" s="0" t="str">
        <f aca="false">IF(AND(N($J486)&gt;0,N($K486)=0),COUNTIFS($J$3:$J486,"&gt;0",$K$3:$K486,"&lt;=0"),"")</f>
        <v/>
      </c>
      <c r="W486" s="0" t="str">
        <f aca="false">IF($C486="","",IF(COUNTIF($C$3:$C486,$C486)&gt;1,"",MAX($W$2:W485)+1))</f>
        <v/>
      </c>
      <c r="X486" s="0" t="str">
        <f aca="false">IF($H486="","",IF(COUNTIF($H$3:$H486,$H486)&gt;1,"",MAX($X$2:X485)+1))</f>
        <v/>
      </c>
      <c r="Y486" s="0" t="str">
        <f aca="false">IF(AND(N($M486)&gt;0,N($O486)&lt;=0),COUNTIFS($M$3:$M486,"&gt;0",$O$3:$O486,"&lt;=0"),"")</f>
        <v/>
      </c>
      <c r="Z486" s="30" t="n">
        <f aca="false">IF(OR('THÁNG 9'!$C43="",'THÁNG 9'!$B43=""),0,'THÁNG 9'!$B43)</f>
        <v>0</v>
      </c>
    </row>
    <row r="487" customFormat="false" ht="15" hidden="false" customHeight="false" outlineLevel="0" collapsed="false">
      <c r="A487" s="0" t="n">
        <v>9</v>
      </c>
      <c r="B487" s="29" t="str">
        <f aca="false">IF(OR('THÁNG 9'!$C44="",'THÁNG 9'!$B44=""),"",'THÁNG 9'!$B44)</f>
        <v/>
      </c>
      <c r="C487" s="0" t="str">
        <f aca="false">IF('THÁNG 9'!$C44="","",'THÁNG 9'!$C44)</f>
        <v/>
      </c>
      <c r="D487" s="0" t="str">
        <f aca="false">IF('THÁNG 9'!$C44="","",'THÁNG 9'!$D44&amp;"")</f>
        <v/>
      </c>
      <c r="E487" s="0" t="str">
        <f aca="false">IF('THÁNG 9'!$C44="","",'THÁNG 9'!$E44&amp;"")</f>
        <v/>
      </c>
      <c r="F487" s="0" t="str">
        <f aca="false">IF('THÁNG 9'!$C44="","",'THÁNG 9'!$F44&amp;"")</f>
        <v/>
      </c>
      <c r="G487" s="0" t="str">
        <f aca="false">IF('THÁNG 9'!$C44="","",'THÁNG 9'!$G44&amp;"")</f>
        <v/>
      </c>
      <c r="H487" s="0" t="str">
        <f aca="false">IF('THÁNG 9'!$C44="","",'THÁNG 9'!$H44&amp;"")</f>
        <v/>
      </c>
      <c r="I487" s="0" t="str">
        <f aca="false">IF('THÁNG 9'!$C44="","",N('THÁNG 9'!$I44))</f>
        <v/>
      </c>
      <c r="J487" s="0" t="str">
        <f aca="false">IF('THÁNG 9'!$C44="","",N('THÁNG 9'!$L44))</f>
        <v/>
      </c>
      <c r="K487" s="0" t="str">
        <f aca="false">IF('THÁNG 9'!$C44="","",N('THÁNG 9'!$N44))</f>
        <v/>
      </c>
      <c r="L487" s="0" t="str">
        <f aca="false">IF('THÁNG 9'!$C44="","",N('THÁNG 9'!$O44))</f>
        <v/>
      </c>
      <c r="M487" s="0" t="str">
        <f aca="false">IF('THÁNG 9'!$C44="","",N('THÁNG 9'!$P44))</f>
        <v/>
      </c>
      <c r="N487" s="0" t="str">
        <f aca="false">IF('THÁNG 9'!$C44="","",N('THÁNG 9'!$Q44))</f>
        <v/>
      </c>
      <c r="O487" s="0" t="str">
        <f aca="false">IF('THÁNG 9'!$C44="","",N('THÁNG 9'!$R44))</f>
        <v/>
      </c>
      <c r="P487" s="0" t="str">
        <f aca="false">IF(OR('THÁNG 9'!$C44="",'THÁNG 9'!$T44=""),"",'THÁNG 9'!$T44)</f>
        <v/>
      </c>
      <c r="Q487" s="0" t="str">
        <f aca="false">IF(OR('THÁNG 9'!$C44="",'THÁNG 9'!$U44=""),"",'THÁNG 9'!$U44)</f>
        <v/>
      </c>
      <c r="R487" s="0" t="str">
        <f aca="false">IF('THÁNG 9'!$C44="","",'THÁNG 9'!$W44&amp;"")</f>
        <v/>
      </c>
      <c r="S487" s="0" t="str">
        <f aca="false">IF('THÁNG 9'!$C44="","",'THÁNG 9'!$S44&amp;"")</f>
        <v/>
      </c>
      <c r="T487" s="0" t="str">
        <f aca="false">IF(N($O487)&gt;0,COUNTIF($O$3:$O487,"&gt;0"),"")</f>
        <v/>
      </c>
      <c r="U487" s="0" t="str">
        <f aca="false">IF(AND(N($J487)&gt;0,N($K487)&gt;0),COUNTIFS($J$3:$J487,"&gt;0",$K$3:$K487,"&gt;0"),"")</f>
        <v/>
      </c>
      <c r="V487" s="0" t="str">
        <f aca="false">IF(AND(N($J487)&gt;0,N($K487)=0),COUNTIFS($J$3:$J487,"&gt;0",$K$3:$K487,"&lt;=0"),"")</f>
        <v/>
      </c>
      <c r="W487" s="0" t="str">
        <f aca="false">IF($C487="","",IF(COUNTIF($C$3:$C487,$C487)&gt;1,"",MAX($W$2:W486)+1))</f>
        <v/>
      </c>
      <c r="X487" s="0" t="str">
        <f aca="false">IF($H487="","",IF(COUNTIF($H$3:$H487,$H487)&gt;1,"",MAX($X$2:X486)+1))</f>
        <v/>
      </c>
      <c r="Y487" s="0" t="str">
        <f aca="false">IF(AND(N($M487)&gt;0,N($O487)&lt;=0),COUNTIFS($M$3:$M487,"&gt;0",$O$3:$O487,"&lt;=0"),"")</f>
        <v/>
      </c>
      <c r="Z487" s="30" t="n">
        <f aca="false">IF(OR('THÁNG 9'!$C44="",'THÁNG 9'!$B44=""),0,'THÁNG 9'!$B44)</f>
        <v>0</v>
      </c>
    </row>
    <row r="488" customFormat="false" ht="15" hidden="false" customHeight="false" outlineLevel="0" collapsed="false">
      <c r="A488" s="0" t="n">
        <v>9</v>
      </c>
      <c r="B488" s="29" t="str">
        <f aca="false">IF(OR('THÁNG 9'!$C45="",'THÁNG 9'!$B45=""),"",'THÁNG 9'!$B45)</f>
        <v/>
      </c>
      <c r="C488" s="0" t="str">
        <f aca="false">IF('THÁNG 9'!$C45="","",'THÁNG 9'!$C45)</f>
        <v/>
      </c>
      <c r="D488" s="0" t="str">
        <f aca="false">IF('THÁNG 9'!$C45="","",'THÁNG 9'!$D45&amp;"")</f>
        <v/>
      </c>
      <c r="E488" s="0" t="str">
        <f aca="false">IF('THÁNG 9'!$C45="","",'THÁNG 9'!$E45&amp;"")</f>
        <v/>
      </c>
      <c r="F488" s="0" t="str">
        <f aca="false">IF('THÁNG 9'!$C45="","",'THÁNG 9'!$F45&amp;"")</f>
        <v/>
      </c>
      <c r="G488" s="0" t="str">
        <f aca="false">IF('THÁNG 9'!$C45="","",'THÁNG 9'!$G45&amp;"")</f>
        <v/>
      </c>
      <c r="H488" s="0" t="str">
        <f aca="false">IF('THÁNG 9'!$C45="","",'THÁNG 9'!$H45&amp;"")</f>
        <v/>
      </c>
      <c r="I488" s="0" t="str">
        <f aca="false">IF('THÁNG 9'!$C45="","",N('THÁNG 9'!$I45))</f>
        <v/>
      </c>
      <c r="J488" s="0" t="str">
        <f aca="false">IF('THÁNG 9'!$C45="","",N('THÁNG 9'!$L45))</f>
        <v/>
      </c>
      <c r="K488" s="0" t="str">
        <f aca="false">IF('THÁNG 9'!$C45="","",N('THÁNG 9'!$N45))</f>
        <v/>
      </c>
      <c r="L488" s="0" t="str">
        <f aca="false">IF('THÁNG 9'!$C45="","",N('THÁNG 9'!$O45))</f>
        <v/>
      </c>
      <c r="M488" s="0" t="str">
        <f aca="false">IF('THÁNG 9'!$C45="","",N('THÁNG 9'!$P45))</f>
        <v/>
      </c>
      <c r="N488" s="0" t="str">
        <f aca="false">IF('THÁNG 9'!$C45="","",N('THÁNG 9'!$Q45))</f>
        <v/>
      </c>
      <c r="O488" s="0" t="str">
        <f aca="false">IF('THÁNG 9'!$C45="","",N('THÁNG 9'!$R45))</f>
        <v/>
      </c>
      <c r="P488" s="0" t="str">
        <f aca="false">IF(OR('THÁNG 9'!$C45="",'THÁNG 9'!$T45=""),"",'THÁNG 9'!$T45)</f>
        <v/>
      </c>
      <c r="Q488" s="0" t="str">
        <f aca="false">IF(OR('THÁNG 9'!$C45="",'THÁNG 9'!$U45=""),"",'THÁNG 9'!$U45)</f>
        <v/>
      </c>
      <c r="R488" s="0" t="str">
        <f aca="false">IF('THÁNG 9'!$C45="","",'THÁNG 9'!$W45&amp;"")</f>
        <v/>
      </c>
      <c r="S488" s="0" t="str">
        <f aca="false">IF('THÁNG 9'!$C45="","",'THÁNG 9'!$S45&amp;"")</f>
        <v/>
      </c>
      <c r="T488" s="0" t="str">
        <f aca="false">IF(N($O488)&gt;0,COUNTIF($O$3:$O488,"&gt;0"),"")</f>
        <v/>
      </c>
      <c r="U488" s="0" t="str">
        <f aca="false">IF(AND(N($J488)&gt;0,N($K488)&gt;0),COUNTIFS($J$3:$J488,"&gt;0",$K$3:$K488,"&gt;0"),"")</f>
        <v/>
      </c>
      <c r="V488" s="0" t="str">
        <f aca="false">IF(AND(N($J488)&gt;0,N($K488)=0),COUNTIFS($J$3:$J488,"&gt;0",$K$3:$K488,"&lt;=0"),"")</f>
        <v/>
      </c>
      <c r="W488" s="0" t="str">
        <f aca="false">IF($C488="","",IF(COUNTIF($C$3:$C488,$C488)&gt;1,"",MAX($W$2:W487)+1))</f>
        <v/>
      </c>
      <c r="X488" s="0" t="str">
        <f aca="false">IF($H488="","",IF(COUNTIF($H$3:$H488,$H488)&gt;1,"",MAX($X$2:X487)+1))</f>
        <v/>
      </c>
      <c r="Y488" s="0" t="str">
        <f aca="false">IF(AND(N($M488)&gt;0,N($O488)&lt;=0),COUNTIFS($M$3:$M488,"&gt;0",$O$3:$O488,"&lt;=0"),"")</f>
        <v/>
      </c>
      <c r="Z488" s="30" t="n">
        <f aca="false">IF(OR('THÁNG 9'!$C45="",'THÁNG 9'!$B45=""),0,'THÁNG 9'!$B45)</f>
        <v>0</v>
      </c>
    </row>
    <row r="489" customFormat="false" ht="15" hidden="false" customHeight="false" outlineLevel="0" collapsed="false">
      <c r="A489" s="0" t="n">
        <v>9</v>
      </c>
      <c r="B489" s="29" t="str">
        <f aca="false">IF(OR('THÁNG 9'!$C46="",'THÁNG 9'!$B46=""),"",'THÁNG 9'!$B46)</f>
        <v/>
      </c>
      <c r="C489" s="0" t="str">
        <f aca="false">IF('THÁNG 9'!$C46="","",'THÁNG 9'!$C46)</f>
        <v/>
      </c>
      <c r="D489" s="0" t="str">
        <f aca="false">IF('THÁNG 9'!$C46="","",'THÁNG 9'!$D46&amp;"")</f>
        <v/>
      </c>
      <c r="E489" s="0" t="str">
        <f aca="false">IF('THÁNG 9'!$C46="","",'THÁNG 9'!$E46&amp;"")</f>
        <v/>
      </c>
      <c r="F489" s="0" t="str">
        <f aca="false">IF('THÁNG 9'!$C46="","",'THÁNG 9'!$F46&amp;"")</f>
        <v/>
      </c>
      <c r="G489" s="0" t="str">
        <f aca="false">IF('THÁNG 9'!$C46="","",'THÁNG 9'!$G46&amp;"")</f>
        <v/>
      </c>
      <c r="H489" s="0" t="str">
        <f aca="false">IF('THÁNG 9'!$C46="","",'THÁNG 9'!$H46&amp;"")</f>
        <v/>
      </c>
      <c r="I489" s="0" t="str">
        <f aca="false">IF('THÁNG 9'!$C46="","",N('THÁNG 9'!$I46))</f>
        <v/>
      </c>
      <c r="J489" s="0" t="str">
        <f aca="false">IF('THÁNG 9'!$C46="","",N('THÁNG 9'!$L46))</f>
        <v/>
      </c>
      <c r="K489" s="0" t="str">
        <f aca="false">IF('THÁNG 9'!$C46="","",N('THÁNG 9'!$N46))</f>
        <v/>
      </c>
      <c r="L489" s="0" t="str">
        <f aca="false">IF('THÁNG 9'!$C46="","",N('THÁNG 9'!$O46))</f>
        <v/>
      </c>
      <c r="M489" s="0" t="str">
        <f aca="false">IF('THÁNG 9'!$C46="","",N('THÁNG 9'!$P46))</f>
        <v/>
      </c>
      <c r="N489" s="0" t="str">
        <f aca="false">IF('THÁNG 9'!$C46="","",N('THÁNG 9'!$Q46))</f>
        <v/>
      </c>
      <c r="O489" s="0" t="str">
        <f aca="false">IF('THÁNG 9'!$C46="","",N('THÁNG 9'!$R46))</f>
        <v/>
      </c>
      <c r="P489" s="0" t="str">
        <f aca="false">IF(OR('THÁNG 9'!$C46="",'THÁNG 9'!$T46=""),"",'THÁNG 9'!$T46)</f>
        <v/>
      </c>
      <c r="Q489" s="0" t="str">
        <f aca="false">IF(OR('THÁNG 9'!$C46="",'THÁNG 9'!$U46=""),"",'THÁNG 9'!$U46)</f>
        <v/>
      </c>
      <c r="R489" s="0" t="str">
        <f aca="false">IF('THÁNG 9'!$C46="","",'THÁNG 9'!$W46&amp;"")</f>
        <v/>
      </c>
      <c r="S489" s="0" t="str">
        <f aca="false">IF('THÁNG 9'!$C46="","",'THÁNG 9'!$S46&amp;"")</f>
        <v/>
      </c>
      <c r="T489" s="0" t="str">
        <f aca="false">IF(N($O489)&gt;0,COUNTIF($O$3:$O489,"&gt;0"),"")</f>
        <v/>
      </c>
      <c r="U489" s="0" t="str">
        <f aca="false">IF(AND(N($J489)&gt;0,N($K489)&gt;0),COUNTIFS($J$3:$J489,"&gt;0",$K$3:$K489,"&gt;0"),"")</f>
        <v/>
      </c>
      <c r="V489" s="0" t="str">
        <f aca="false">IF(AND(N($J489)&gt;0,N($K489)=0),COUNTIFS($J$3:$J489,"&gt;0",$K$3:$K489,"&lt;=0"),"")</f>
        <v/>
      </c>
      <c r="W489" s="0" t="str">
        <f aca="false">IF($C489="","",IF(COUNTIF($C$3:$C489,$C489)&gt;1,"",MAX($W$2:W488)+1))</f>
        <v/>
      </c>
      <c r="X489" s="0" t="str">
        <f aca="false">IF($H489="","",IF(COUNTIF($H$3:$H489,$H489)&gt;1,"",MAX($X$2:X488)+1))</f>
        <v/>
      </c>
      <c r="Y489" s="0" t="str">
        <f aca="false">IF(AND(N($M489)&gt;0,N($O489)&lt;=0),COUNTIFS($M$3:$M489,"&gt;0",$O$3:$O489,"&lt;=0"),"")</f>
        <v/>
      </c>
      <c r="Z489" s="30" t="n">
        <f aca="false">IF(OR('THÁNG 9'!$C46="",'THÁNG 9'!$B46=""),0,'THÁNG 9'!$B46)</f>
        <v>0</v>
      </c>
    </row>
    <row r="490" customFormat="false" ht="15" hidden="false" customHeight="false" outlineLevel="0" collapsed="false">
      <c r="A490" s="0" t="n">
        <v>9</v>
      </c>
      <c r="B490" s="29" t="str">
        <f aca="false">IF(OR('THÁNG 9'!$C47="",'THÁNG 9'!$B47=""),"",'THÁNG 9'!$B47)</f>
        <v/>
      </c>
      <c r="C490" s="0" t="str">
        <f aca="false">IF('THÁNG 9'!$C47="","",'THÁNG 9'!$C47)</f>
        <v/>
      </c>
      <c r="D490" s="0" t="str">
        <f aca="false">IF('THÁNG 9'!$C47="","",'THÁNG 9'!$D47&amp;"")</f>
        <v/>
      </c>
      <c r="E490" s="0" t="str">
        <f aca="false">IF('THÁNG 9'!$C47="","",'THÁNG 9'!$E47&amp;"")</f>
        <v/>
      </c>
      <c r="F490" s="0" t="str">
        <f aca="false">IF('THÁNG 9'!$C47="","",'THÁNG 9'!$F47&amp;"")</f>
        <v/>
      </c>
      <c r="G490" s="0" t="str">
        <f aca="false">IF('THÁNG 9'!$C47="","",'THÁNG 9'!$G47&amp;"")</f>
        <v/>
      </c>
      <c r="H490" s="0" t="str">
        <f aca="false">IF('THÁNG 9'!$C47="","",'THÁNG 9'!$H47&amp;"")</f>
        <v/>
      </c>
      <c r="I490" s="0" t="str">
        <f aca="false">IF('THÁNG 9'!$C47="","",N('THÁNG 9'!$I47))</f>
        <v/>
      </c>
      <c r="J490" s="0" t="str">
        <f aca="false">IF('THÁNG 9'!$C47="","",N('THÁNG 9'!$L47))</f>
        <v/>
      </c>
      <c r="K490" s="0" t="str">
        <f aca="false">IF('THÁNG 9'!$C47="","",N('THÁNG 9'!$N47))</f>
        <v/>
      </c>
      <c r="L490" s="0" t="str">
        <f aca="false">IF('THÁNG 9'!$C47="","",N('THÁNG 9'!$O47))</f>
        <v/>
      </c>
      <c r="M490" s="0" t="str">
        <f aca="false">IF('THÁNG 9'!$C47="","",N('THÁNG 9'!$P47))</f>
        <v/>
      </c>
      <c r="N490" s="0" t="str">
        <f aca="false">IF('THÁNG 9'!$C47="","",N('THÁNG 9'!$Q47))</f>
        <v/>
      </c>
      <c r="O490" s="0" t="str">
        <f aca="false">IF('THÁNG 9'!$C47="","",N('THÁNG 9'!$R47))</f>
        <v/>
      </c>
      <c r="P490" s="0" t="str">
        <f aca="false">IF(OR('THÁNG 9'!$C47="",'THÁNG 9'!$T47=""),"",'THÁNG 9'!$T47)</f>
        <v/>
      </c>
      <c r="Q490" s="0" t="str">
        <f aca="false">IF(OR('THÁNG 9'!$C47="",'THÁNG 9'!$U47=""),"",'THÁNG 9'!$U47)</f>
        <v/>
      </c>
      <c r="R490" s="0" t="str">
        <f aca="false">IF('THÁNG 9'!$C47="","",'THÁNG 9'!$W47&amp;"")</f>
        <v/>
      </c>
      <c r="S490" s="0" t="str">
        <f aca="false">IF('THÁNG 9'!$C47="","",'THÁNG 9'!$S47&amp;"")</f>
        <v/>
      </c>
      <c r="T490" s="0" t="str">
        <f aca="false">IF(N($O490)&gt;0,COUNTIF($O$3:$O490,"&gt;0"),"")</f>
        <v/>
      </c>
      <c r="U490" s="0" t="str">
        <f aca="false">IF(AND(N($J490)&gt;0,N($K490)&gt;0),COUNTIFS($J$3:$J490,"&gt;0",$K$3:$K490,"&gt;0"),"")</f>
        <v/>
      </c>
      <c r="V490" s="0" t="str">
        <f aca="false">IF(AND(N($J490)&gt;0,N($K490)=0),COUNTIFS($J$3:$J490,"&gt;0",$K$3:$K490,"&lt;=0"),"")</f>
        <v/>
      </c>
      <c r="W490" s="0" t="str">
        <f aca="false">IF($C490="","",IF(COUNTIF($C$3:$C490,$C490)&gt;1,"",MAX($W$2:W489)+1))</f>
        <v/>
      </c>
      <c r="X490" s="0" t="str">
        <f aca="false">IF($H490="","",IF(COUNTIF($H$3:$H490,$H490)&gt;1,"",MAX($X$2:X489)+1))</f>
        <v/>
      </c>
      <c r="Y490" s="0" t="str">
        <f aca="false">IF(AND(N($M490)&gt;0,N($O490)&lt;=0),COUNTIFS($M$3:$M490,"&gt;0",$O$3:$O490,"&lt;=0"),"")</f>
        <v/>
      </c>
      <c r="Z490" s="30" t="n">
        <f aca="false">IF(OR('THÁNG 9'!$C47="",'THÁNG 9'!$B47=""),0,'THÁNG 9'!$B47)</f>
        <v>0</v>
      </c>
    </row>
    <row r="491" customFormat="false" ht="15" hidden="false" customHeight="false" outlineLevel="0" collapsed="false">
      <c r="A491" s="0" t="n">
        <v>9</v>
      </c>
      <c r="B491" s="29" t="str">
        <f aca="false">IF(OR('THÁNG 9'!$C48="",'THÁNG 9'!$B48=""),"",'THÁNG 9'!$B48)</f>
        <v/>
      </c>
      <c r="C491" s="0" t="str">
        <f aca="false">IF('THÁNG 9'!$C48="","",'THÁNG 9'!$C48)</f>
        <v/>
      </c>
      <c r="D491" s="0" t="str">
        <f aca="false">IF('THÁNG 9'!$C48="","",'THÁNG 9'!$D48&amp;"")</f>
        <v/>
      </c>
      <c r="E491" s="0" t="str">
        <f aca="false">IF('THÁNG 9'!$C48="","",'THÁNG 9'!$E48&amp;"")</f>
        <v/>
      </c>
      <c r="F491" s="0" t="str">
        <f aca="false">IF('THÁNG 9'!$C48="","",'THÁNG 9'!$F48&amp;"")</f>
        <v/>
      </c>
      <c r="G491" s="0" t="str">
        <f aca="false">IF('THÁNG 9'!$C48="","",'THÁNG 9'!$G48&amp;"")</f>
        <v/>
      </c>
      <c r="H491" s="0" t="str">
        <f aca="false">IF('THÁNG 9'!$C48="","",'THÁNG 9'!$H48&amp;"")</f>
        <v/>
      </c>
      <c r="I491" s="0" t="str">
        <f aca="false">IF('THÁNG 9'!$C48="","",N('THÁNG 9'!$I48))</f>
        <v/>
      </c>
      <c r="J491" s="0" t="str">
        <f aca="false">IF('THÁNG 9'!$C48="","",N('THÁNG 9'!$L48))</f>
        <v/>
      </c>
      <c r="K491" s="0" t="str">
        <f aca="false">IF('THÁNG 9'!$C48="","",N('THÁNG 9'!$N48))</f>
        <v/>
      </c>
      <c r="L491" s="0" t="str">
        <f aca="false">IF('THÁNG 9'!$C48="","",N('THÁNG 9'!$O48))</f>
        <v/>
      </c>
      <c r="M491" s="0" t="str">
        <f aca="false">IF('THÁNG 9'!$C48="","",N('THÁNG 9'!$P48))</f>
        <v/>
      </c>
      <c r="N491" s="0" t="str">
        <f aca="false">IF('THÁNG 9'!$C48="","",N('THÁNG 9'!$Q48))</f>
        <v/>
      </c>
      <c r="O491" s="0" t="str">
        <f aca="false">IF('THÁNG 9'!$C48="","",N('THÁNG 9'!$R48))</f>
        <v/>
      </c>
      <c r="P491" s="0" t="str">
        <f aca="false">IF(OR('THÁNG 9'!$C48="",'THÁNG 9'!$T48=""),"",'THÁNG 9'!$T48)</f>
        <v/>
      </c>
      <c r="Q491" s="0" t="str">
        <f aca="false">IF(OR('THÁNG 9'!$C48="",'THÁNG 9'!$U48=""),"",'THÁNG 9'!$U48)</f>
        <v/>
      </c>
      <c r="R491" s="0" t="str">
        <f aca="false">IF('THÁNG 9'!$C48="","",'THÁNG 9'!$W48&amp;"")</f>
        <v/>
      </c>
      <c r="S491" s="0" t="str">
        <f aca="false">IF('THÁNG 9'!$C48="","",'THÁNG 9'!$S48&amp;"")</f>
        <v/>
      </c>
      <c r="T491" s="0" t="str">
        <f aca="false">IF(N($O491)&gt;0,COUNTIF($O$3:$O491,"&gt;0"),"")</f>
        <v/>
      </c>
      <c r="U491" s="0" t="str">
        <f aca="false">IF(AND(N($J491)&gt;0,N($K491)&gt;0),COUNTIFS($J$3:$J491,"&gt;0",$K$3:$K491,"&gt;0"),"")</f>
        <v/>
      </c>
      <c r="V491" s="0" t="str">
        <f aca="false">IF(AND(N($J491)&gt;0,N($K491)=0),COUNTIFS($J$3:$J491,"&gt;0",$K$3:$K491,"&lt;=0"),"")</f>
        <v/>
      </c>
      <c r="W491" s="0" t="str">
        <f aca="false">IF($C491="","",IF(COUNTIF($C$3:$C491,$C491)&gt;1,"",MAX($W$2:W490)+1))</f>
        <v/>
      </c>
      <c r="X491" s="0" t="str">
        <f aca="false">IF($H491="","",IF(COUNTIF($H$3:$H491,$H491)&gt;1,"",MAX($X$2:X490)+1))</f>
        <v/>
      </c>
      <c r="Y491" s="0" t="str">
        <f aca="false">IF(AND(N($M491)&gt;0,N($O491)&lt;=0),COUNTIFS($M$3:$M491,"&gt;0",$O$3:$O491,"&lt;=0"),"")</f>
        <v/>
      </c>
      <c r="Z491" s="30" t="n">
        <f aca="false">IF(OR('THÁNG 9'!$C48="",'THÁNG 9'!$B48=""),0,'THÁNG 9'!$B48)</f>
        <v>0</v>
      </c>
    </row>
    <row r="492" customFormat="false" ht="15" hidden="false" customHeight="false" outlineLevel="0" collapsed="false">
      <c r="A492" s="0" t="n">
        <v>9</v>
      </c>
      <c r="B492" s="29" t="str">
        <f aca="false">IF(OR('THÁNG 9'!$C49="",'THÁNG 9'!$B49=""),"",'THÁNG 9'!$B49)</f>
        <v/>
      </c>
      <c r="C492" s="0" t="str">
        <f aca="false">IF('THÁNG 9'!$C49="","",'THÁNG 9'!$C49)</f>
        <v/>
      </c>
      <c r="D492" s="0" t="str">
        <f aca="false">IF('THÁNG 9'!$C49="","",'THÁNG 9'!$D49&amp;"")</f>
        <v/>
      </c>
      <c r="E492" s="0" t="str">
        <f aca="false">IF('THÁNG 9'!$C49="","",'THÁNG 9'!$E49&amp;"")</f>
        <v/>
      </c>
      <c r="F492" s="0" t="str">
        <f aca="false">IF('THÁNG 9'!$C49="","",'THÁNG 9'!$F49&amp;"")</f>
        <v/>
      </c>
      <c r="G492" s="0" t="str">
        <f aca="false">IF('THÁNG 9'!$C49="","",'THÁNG 9'!$G49&amp;"")</f>
        <v/>
      </c>
      <c r="H492" s="0" t="str">
        <f aca="false">IF('THÁNG 9'!$C49="","",'THÁNG 9'!$H49&amp;"")</f>
        <v/>
      </c>
      <c r="I492" s="0" t="str">
        <f aca="false">IF('THÁNG 9'!$C49="","",N('THÁNG 9'!$I49))</f>
        <v/>
      </c>
      <c r="J492" s="0" t="str">
        <f aca="false">IF('THÁNG 9'!$C49="","",N('THÁNG 9'!$L49))</f>
        <v/>
      </c>
      <c r="K492" s="0" t="str">
        <f aca="false">IF('THÁNG 9'!$C49="","",N('THÁNG 9'!$N49))</f>
        <v/>
      </c>
      <c r="L492" s="0" t="str">
        <f aca="false">IF('THÁNG 9'!$C49="","",N('THÁNG 9'!$O49))</f>
        <v/>
      </c>
      <c r="M492" s="0" t="str">
        <f aca="false">IF('THÁNG 9'!$C49="","",N('THÁNG 9'!$P49))</f>
        <v/>
      </c>
      <c r="N492" s="0" t="str">
        <f aca="false">IF('THÁNG 9'!$C49="","",N('THÁNG 9'!$Q49))</f>
        <v/>
      </c>
      <c r="O492" s="0" t="str">
        <f aca="false">IF('THÁNG 9'!$C49="","",N('THÁNG 9'!$R49))</f>
        <v/>
      </c>
      <c r="P492" s="0" t="str">
        <f aca="false">IF(OR('THÁNG 9'!$C49="",'THÁNG 9'!$T49=""),"",'THÁNG 9'!$T49)</f>
        <v/>
      </c>
      <c r="Q492" s="0" t="str">
        <f aca="false">IF(OR('THÁNG 9'!$C49="",'THÁNG 9'!$U49=""),"",'THÁNG 9'!$U49)</f>
        <v/>
      </c>
      <c r="R492" s="0" t="str">
        <f aca="false">IF('THÁNG 9'!$C49="","",'THÁNG 9'!$W49&amp;"")</f>
        <v/>
      </c>
      <c r="S492" s="0" t="str">
        <f aca="false">IF('THÁNG 9'!$C49="","",'THÁNG 9'!$S49&amp;"")</f>
        <v/>
      </c>
      <c r="T492" s="0" t="str">
        <f aca="false">IF(N($O492)&gt;0,COUNTIF($O$3:$O492,"&gt;0"),"")</f>
        <v/>
      </c>
      <c r="U492" s="0" t="str">
        <f aca="false">IF(AND(N($J492)&gt;0,N($K492)&gt;0),COUNTIFS($J$3:$J492,"&gt;0",$K$3:$K492,"&gt;0"),"")</f>
        <v/>
      </c>
      <c r="V492" s="0" t="str">
        <f aca="false">IF(AND(N($J492)&gt;0,N($K492)=0),COUNTIFS($J$3:$J492,"&gt;0",$K$3:$K492,"&lt;=0"),"")</f>
        <v/>
      </c>
      <c r="W492" s="0" t="str">
        <f aca="false">IF($C492="","",IF(COUNTIF($C$3:$C492,$C492)&gt;1,"",MAX($W$2:W491)+1))</f>
        <v/>
      </c>
      <c r="X492" s="0" t="str">
        <f aca="false">IF($H492="","",IF(COUNTIF($H$3:$H492,$H492)&gt;1,"",MAX($X$2:X491)+1))</f>
        <v/>
      </c>
      <c r="Y492" s="0" t="str">
        <f aca="false">IF(AND(N($M492)&gt;0,N($O492)&lt;=0),COUNTIFS($M$3:$M492,"&gt;0",$O$3:$O492,"&lt;=0"),"")</f>
        <v/>
      </c>
      <c r="Z492" s="30" t="n">
        <f aca="false">IF(OR('THÁNG 9'!$C49="",'THÁNG 9'!$B49=""),0,'THÁNG 9'!$B49)</f>
        <v>0</v>
      </c>
    </row>
    <row r="493" customFormat="false" ht="15" hidden="false" customHeight="false" outlineLevel="0" collapsed="false">
      <c r="A493" s="0" t="n">
        <v>9</v>
      </c>
      <c r="B493" s="29" t="str">
        <f aca="false">IF(OR('THÁNG 9'!$C50="",'THÁNG 9'!$B50=""),"",'THÁNG 9'!$B50)</f>
        <v/>
      </c>
      <c r="C493" s="0" t="str">
        <f aca="false">IF('THÁNG 9'!$C50="","",'THÁNG 9'!$C50)</f>
        <v/>
      </c>
      <c r="D493" s="0" t="str">
        <f aca="false">IF('THÁNG 9'!$C50="","",'THÁNG 9'!$D50&amp;"")</f>
        <v/>
      </c>
      <c r="E493" s="0" t="str">
        <f aca="false">IF('THÁNG 9'!$C50="","",'THÁNG 9'!$E50&amp;"")</f>
        <v/>
      </c>
      <c r="F493" s="0" t="str">
        <f aca="false">IF('THÁNG 9'!$C50="","",'THÁNG 9'!$F50&amp;"")</f>
        <v/>
      </c>
      <c r="G493" s="0" t="str">
        <f aca="false">IF('THÁNG 9'!$C50="","",'THÁNG 9'!$G50&amp;"")</f>
        <v/>
      </c>
      <c r="H493" s="0" t="str">
        <f aca="false">IF('THÁNG 9'!$C50="","",'THÁNG 9'!$H50&amp;"")</f>
        <v/>
      </c>
      <c r="I493" s="0" t="str">
        <f aca="false">IF('THÁNG 9'!$C50="","",N('THÁNG 9'!$I50))</f>
        <v/>
      </c>
      <c r="J493" s="0" t="str">
        <f aca="false">IF('THÁNG 9'!$C50="","",N('THÁNG 9'!$L50))</f>
        <v/>
      </c>
      <c r="K493" s="0" t="str">
        <f aca="false">IF('THÁNG 9'!$C50="","",N('THÁNG 9'!$N50))</f>
        <v/>
      </c>
      <c r="L493" s="0" t="str">
        <f aca="false">IF('THÁNG 9'!$C50="","",N('THÁNG 9'!$O50))</f>
        <v/>
      </c>
      <c r="M493" s="0" t="str">
        <f aca="false">IF('THÁNG 9'!$C50="","",N('THÁNG 9'!$P50))</f>
        <v/>
      </c>
      <c r="N493" s="0" t="str">
        <f aca="false">IF('THÁNG 9'!$C50="","",N('THÁNG 9'!$Q50))</f>
        <v/>
      </c>
      <c r="O493" s="0" t="str">
        <f aca="false">IF('THÁNG 9'!$C50="","",N('THÁNG 9'!$R50))</f>
        <v/>
      </c>
      <c r="P493" s="0" t="str">
        <f aca="false">IF(OR('THÁNG 9'!$C50="",'THÁNG 9'!$T50=""),"",'THÁNG 9'!$T50)</f>
        <v/>
      </c>
      <c r="Q493" s="0" t="str">
        <f aca="false">IF(OR('THÁNG 9'!$C50="",'THÁNG 9'!$U50=""),"",'THÁNG 9'!$U50)</f>
        <v/>
      </c>
      <c r="R493" s="0" t="str">
        <f aca="false">IF('THÁNG 9'!$C50="","",'THÁNG 9'!$W50&amp;"")</f>
        <v/>
      </c>
      <c r="S493" s="0" t="str">
        <f aca="false">IF('THÁNG 9'!$C50="","",'THÁNG 9'!$S50&amp;"")</f>
        <v/>
      </c>
      <c r="T493" s="0" t="str">
        <f aca="false">IF(N($O493)&gt;0,COUNTIF($O$3:$O493,"&gt;0"),"")</f>
        <v/>
      </c>
      <c r="U493" s="0" t="str">
        <f aca="false">IF(AND(N($J493)&gt;0,N($K493)&gt;0),COUNTIFS($J$3:$J493,"&gt;0",$K$3:$K493,"&gt;0"),"")</f>
        <v/>
      </c>
      <c r="V493" s="0" t="str">
        <f aca="false">IF(AND(N($J493)&gt;0,N($K493)=0),COUNTIFS($J$3:$J493,"&gt;0",$K$3:$K493,"&lt;=0"),"")</f>
        <v/>
      </c>
      <c r="W493" s="0" t="str">
        <f aca="false">IF($C493="","",IF(COUNTIF($C$3:$C493,$C493)&gt;1,"",MAX($W$2:W492)+1))</f>
        <v/>
      </c>
      <c r="X493" s="0" t="str">
        <f aca="false">IF($H493="","",IF(COUNTIF($H$3:$H493,$H493)&gt;1,"",MAX($X$2:X492)+1))</f>
        <v/>
      </c>
      <c r="Y493" s="0" t="str">
        <f aca="false">IF(AND(N($M493)&gt;0,N($O493)&lt;=0),COUNTIFS($M$3:$M493,"&gt;0",$O$3:$O493,"&lt;=0"),"")</f>
        <v/>
      </c>
      <c r="Z493" s="30" t="n">
        <f aca="false">IF(OR('THÁNG 9'!$C50="",'THÁNG 9'!$B50=""),0,'THÁNG 9'!$B50)</f>
        <v>0</v>
      </c>
    </row>
    <row r="494" customFormat="false" ht="15" hidden="false" customHeight="false" outlineLevel="0" collapsed="false">
      <c r="A494" s="0" t="n">
        <v>9</v>
      </c>
      <c r="B494" s="29" t="str">
        <f aca="false">IF(OR('THÁNG 9'!$C51="",'THÁNG 9'!$B51=""),"",'THÁNG 9'!$B51)</f>
        <v/>
      </c>
      <c r="C494" s="0" t="str">
        <f aca="false">IF('THÁNG 9'!$C51="","",'THÁNG 9'!$C51)</f>
        <v/>
      </c>
      <c r="D494" s="0" t="str">
        <f aca="false">IF('THÁNG 9'!$C51="","",'THÁNG 9'!$D51&amp;"")</f>
        <v/>
      </c>
      <c r="E494" s="0" t="str">
        <f aca="false">IF('THÁNG 9'!$C51="","",'THÁNG 9'!$E51&amp;"")</f>
        <v/>
      </c>
      <c r="F494" s="0" t="str">
        <f aca="false">IF('THÁNG 9'!$C51="","",'THÁNG 9'!$F51&amp;"")</f>
        <v/>
      </c>
      <c r="G494" s="0" t="str">
        <f aca="false">IF('THÁNG 9'!$C51="","",'THÁNG 9'!$G51&amp;"")</f>
        <v/>
      </c>
      <c r="H494" s="0" t="str">
        <f aca="false">IF('THÁNG 9'!$C51="","",'THÁNG 9'!$H51&amp;"")</f>
        <v/>
      </c>
      <c r="I494" s="0" t="str">
        <f aca="false">IF('THÁNG 9'!$C51="","",N('THÁNG 9'!$I51))</f>
        <v/>
      </c>
      <c r="J494" s="0" t="str">
        <f aca="false">IF('THÁNG 9'!$C51="","",N('THÁNG 9'!$L51))</f>
        <v/>
      </c>
      <c r="K494" s="0" t="str">
        <f aca="false">IF('THÁNG 9'!$C51="","",N('THÁNG 9'!$N51))</f>
        <v/>
      </c>
      <c r="L494" s="0" t="str">
        <f aca="false">IF('THÁNG 9'!$C51="","",N('THÁNG 9'!$O51))</f>
        <v/>
      </c>
      <c r="M494" s="0" t="str">
        <f aca="false">IF('THÁNG 9'!$C51="","",N('THÁNG 9'!$P51))</f>
        <v/>
      </c>
      <c r="N494" s="0" t="str">
        <f aca="false">IF('THÁNG 9'!$C51="","",N('THÁNG 9'!$Q51))</f>
        <v/>
      </c>
      <c r="O494" s="0" t="str">
        <f aca="false">IF('THÁNG 9'!$C51="","",N('THÁNG 9'!$R51))</f>
        <v/>
      </c>
      <c r="P494" s="0" t="str">
        <f aca="false">IF(OR('THÁNG 9'!$C51="",'THÁNG 9'!$T51=""),"",'THÁNG 9'!$T51)</f>
        <v/>
      </c>
      <c r="Q494" s="0" t="str">
        <f aca="false">IF(OR('THÁNG 9'!$C51="",'THÁNG 9'!$U51=""),"",'THÁNG 9'!$U51)</f>
        <v/>
      </c>
      <c r="R494" s="0" t="str">
        <f aca="false">IF('THÁNG 9'!$C51="","",'THÁNG 9'!$W51&amp;"")</f>
        <v/>
      </c>
      <c r="S494" s="0" t="str">
        <f aca="false">IF('THÁNG 9'!$C51="","",'THÁNG 9'!$S51&amp;"")</f>
        <v/>
      </c>
      <c r="T494" s="0" t="str">
        <f aca="false">IF(N($O494)&gt;0,COUNTIF($O$3:$O494,"&gt;0"),"")</f>
        <v/>
      </c>
      <c r="U494" s="0" t="str">
        <f aca="false">IF(AND(N($J494)&gt;0,N($K494)&gt;0),COUNTIFS($J$3:$J494,"&gt;0",$K$3:$K494,"&gt;0"),"")</f>
        <v/>
      </c>
      <c r="V494" s="0" t="str">
        <f aca="false">IF(AND(N($J494)&gt;0,N($K494)=0),COUNTIFS($J$3:$J494,"&gt;0",$K$3:$K494,"&lt;=0"),"")</f>
        <v/>
      </c>
      <c r="W494" s="0" t="str">
        <f aca="false">IF($C494="","",IF(COUNTIF($C$3:$C494,$C494)&gt;1,"",MAX($W$2:W493)+1))</f>
        <v/>
      </c>
      <c r="X494" s="0" t="str">
        <f aca="false">IF($H494="","",IF(COUNTIF($H$3:$H494,$H494)&gt;1,"",MAX($X$2:X493)+1))</f>
        <v/>
      </c>
      <c r="Y494" s="0" t="str">
        <f aca="false">IF(AND(N($M494)&gt;0,N($O494)&lt;=0),COUNTIFS($M$3:$M494,"&gt;0",$O$3:$O494,"&lt;=0"),"")</f>
        <v/>
      </c>
      <c r="Z494" s="30" t="n">
        <f aca="false">IF(OR('THÁNG 9'!$C51="",'THÁNG 9'!$B51=""),0,'THÁNG 9'!$B51)</f>
        <v>0</v>
      </c>
    </row>
    <row r="495" customFormat="false" ht="15" hidden="false" customHeight="false" outlineLevel="0" collapsed="false">
      <c r="A495" s="0" t="n">
        <v>9</v>
      </c>
      <c r="B495" s="29" t="str">
        <f aca="false">IF(OR('THÁNG 9'!$C52="",'THÁNG 9'!$B52=""),"",'THÁNG 9'!$B52)</f>
        <v/>
      </c>
      <c r="C495" s="0" t="str">
        <f aca="false">IF('THÁNG 9'!$C52="","",'THÁNG 9'!$C52)</f>
        <v/>
      </c>
      <c r="D495" s="0" t="str">
        <f aca="false">IF('THÁNG 9'!$C52="","",'THÁNG 9'!$D52&amp;"")</f>
        <v/>
      </c>
      <c r="E495" s="0" t="str">
        <f aca="false">IF('THÁNG 9'!$C52="","",'THÁNG 9'!$E52&amp;"")</f>
        <v/>
      </c>
      <c r="F495" s="0" t="str">
        <f aca="false">IF('THÁNG 9'!$C52="","",'THÁNG 9'!$F52&amp;"")</f>
        <v/>
      </c>
      <c r="G495" s="0" t="str">
        <f aca="false">IF('THÁNG 9'!$C52="","",'THÁNG 9'!$G52&amp;"")</f>
        <v/>
      </c>
      <c r="H495" s="0" t="str">
        <f aca="false">IF('THÁNG 9'!$C52="","",'THÁNG 9'!$H52&amp;"")</f>
        <v/>
      </c>
      <c r="I495" s="0" t="str">
        <f aca="false">IF('THÁNG 9'!$C52="","",N('THÁNG 9'!$I52))</f>
        <v/>
      </c>
      <c r="J495" s="0" t="str">
        <f aca="false">IF('THÁNG 9'!$C52="","",N('THÁNG 9'!$L52))</f>
        <v/>
      </c>
      <c r="K495" s="0" t="str">
        <f aca="false">IF('THÁNG 9'!$C52="","",N('THÁNG 9'!$N52))</f>
        <v/>
      </c>
      <c r="L495" s="0" t="str">
        <f aca="false">IF('THÁNG 9'!$C52="","",N('THÁNG 9'!$O52))</f>
        <v/>
      </c>
      <c r="M495" s="0" t="str">
        <f aca="false">IF('THÁNG 9'!$C52="","",N('THÁNG 9'!$P52))</f>
        <v/>
      </c>
      <c r="N495" s="0" t="str">
        <f aca="false">IF('THÁNG 9'!$C52="","",N('THÁNG 9'!$Q52))</f>
        <v/>
      </c>
      <c r="O495" s="0" t="str">
        <f aca="false">IF('THÁNG 9'!$C52="","",N('THÁNG 9'!$R52))</f>
        <v/>
      </c>
      <c r="P495" s="0" t="str">
        <f aca="false">IF(OR('THÁNG 9'!$C52="",'THÁNG 9'!$T52=""),"",'THÁNG 9'!$T52)</f>
        <v/>
      </c>
      <c r="Q495" s="0" t="str">
        <f aca="false">IF(OR('THÁNG 9'!$C52="",'THÁNG 9'!$U52=""),"",'THÁNG 9'!$U52)</f>
        <v/>
      </c>
      <c r="R495" s="0" t="str">
        <f aca="false">IF('THÁNG 9'!$C52="","",'THÁNG 9'!$W52&amp;"")</f>
        <v/>
      </c>
      <c r="S495" s="0" t="str">
        <f aca="false">IF('THÁNG 9'!$C52="","",'THÁNG 9'!$S52&amp;"")</f>
        <v/>
      </c>
      <c r="T495" s="0" t="str">
        <f aca="false">IF(N($O495)&gt;0,COUNTIF($O$3:$O495,"&gt;0"),"")</f>
        <v/>
      </c>
      <c r="U495" s="0" t="str">
        <f aca="false">IF(AND(N($J495)&gt;0,N($K495)&gt;0),COUNTIFS($J$3:$J495,"&gt;0",$K$3:$K495,"&gt;0"),"")</f>
        <v/>
      </c>
      <c r="V495" s="0" t="str">
        <f aca="false">IF(AND(N($J495)&gt;0,N($K495)=0),COUNTIFS($J$3:$J495,"&gt;0",$K$3:$K495,"&lt;=0"),"")</f>
        <v/>
      </c>
      <c r="W495" s="0" t="str">
        <f aca="false">IF($C495="","",IF(COUNTIF($C$3:$C495,$C495)&gt;1,"",MAX($W$2:W494)+1))</f>
        <v/>
      </c>
      <c r="X495" s="0" t="str">
        <f aca="false">IF($H495="","",IF(COUNTIF($H$3:$H495,$H495)&gt;1,"",MAX($X$2:X494)+1))</f>
        <v/>
      </c>
      <c r="Y495" s="0" t="str">
        <f aca="false">IF(AND(N($M495)&gt;0,N($O495)&lt;=0),COUNTIFS($M$3:$M495,"&gt;0",$O$3:$O495,"&lt;=0"),"")</f>
        <v/>
      </c>
      <c r="Z495" s="30" t="n">
        <f aca="false">IF(OR('THÁNG 9'!$C52="",'THÁNG 9'!$B52=""),0,'THÁNG 9'!$B52)</f>
        <v>0</v>
      </c>
    </row>
    <row r="496" customFormat="false" ht="15" hidden="false" customHeight="false" outlineLevel="0" collapsed="false">
      <c r="A496" s="0" t="n">
        <v>9</v>
      </c>
      <c r="B496" s="29" t="str">
        <f aca="false">IF(OR('THÁNG 9'!$C53="",'THÁNG 9'!$B53=""),"",'THÁNG 9'!$B53)</f>
        <v/>
      </c>
      <c r="C496" s="0" t="str">
        <f aca="false">IF('THÁNG 9'!$C53="","",'THÁNG 9'!$C53)</f>
        <v/>
      </c>
      <c r="D496" s="0" t="str">
        <f aca="false">IF('THÁNG 9'!$C53="","",'THÁNG 9'!$D53&amp;"")</f>
        <v/>
      </c>
      <c r="E496" s="0" t="str">
        <f aca="false">IF('THÁNG 9'!$C53="","",'THÁNG 9'!$E53&amp;"")</f>
        <v/>
      </c>
      <c r="F496" s="0" t="str">
        <f aca="false">IF('THÁNG 9'!$C53="","",'THÁNG 9'!$F53&amp;"")</f>
        <v/>
      </c>
      <c r="G496" s="0" t="str">
        <f aca="false">IF('THÁNG 9'!$C53="","",'THÁNG 9'!$G53&amp;"")</f>
        <v/>
      </c>
      <c r="H496" s="0" t="str">
        <f aca="false">IF('THÁNG 9'!$C53="","",'THÁNG 9'!$H53&amp;"")</f>
        <v/>
      </c>
      <c r="I496" s="0" t="str">
        <f aca="false">IF('THÁNG 9'!$C53="","",N('THÁNG 9'!$I53))</f>
        <v/>
      </c>
      <c r="J496" s="0" t="str">
        <f aca="false">IF('THÁNG 9'!$C53="","",N('THÁNG 9'!$L53))</f>
        <v/>
      </c>
      <c r="K496" s="0" t="str">
        <f aca="false">IF('THÁNG 9'!$C53="","",N('THÁNG 9'!$N53))</f>
        <v/>
      </c>
      <c r="L496" s="0" t="str">
        <f aca="false">IF('THÁNG 9'!$C53="","",N('THÁNG 9'!$O53))</f>
        <v/>
      </c>
      <c r="M496" s="0" t="str">
        <f aca="false">IF('THÁNG 9'!$C53="","",N('THÁNG 9'!$P53))</f>
        <v/>
      </c>
      <c r="N496" s="0" t="str">
        <f aca="false">IF('THÁNG 9'!$C53="","",N('THÁNG 9'!$Q53))</f>
        <v/>
      </c>
      <c r="O496" s="0" t="str">
        <f aca="false">IF('THÁNG 9'!$C53="","",N('THÁNG 9'!$R53))</f>
        <v/>
      </c>
      <c r="P496" s="0" t="str">
        <f aca="false">IF(OR('THÁNG 9'!$C53="",'THÁNG 9'!$T53=""),"",'THÁNG 9'!$T53)</f>
        <v/>
      </c>
      <c r="Q496" s="0" t="str">
        <f aca="false">IF(OR('THÁNG 9'!$C53="",'THÁNG 9'!$U53=""),"",'THÁNG 9'!$U53)</f>
        <v/>
      </c>
      <c r="R496" s="0" t="str">
        <f aca="false">IF('THÁNG 9'!$C53="","",'THÁNG 9'!$W53&amp;"")</f>
        <v/>
      </c>
      <c r="S496" s="0" t="str">
        <f aca="false">IF('THÁNG 9'!$C53="","",'THÁNG 9'!$S53&amp;"")</f>
        <v/>
      </c>
      <c r="T496" s="0" t="str">
        <f aca="false">IF(N($O496)&gt;0,COUNTIF($O$3:$O496,"&gt;0"),"")</f>
        <v/>
      </c>
      <c r="U496" s="0" t="str">
        <f aca="false">IF(AND(N($J496)&gt;0,N($K496)&gt;0),COUNTIFS($J$3:$J496,"&gt;0",$K$3:$K496,"&gt;0"),"")</f>
        <v/>
      </c>
      <c r="V496" s="0" t="str">
        <f aca="false">IF(AND(N($J496)&gt;0,N($K496)=0),COUNTIFS($J$3:$J496,"&gt;0",$K$3:$K496,"&lt;=0"),"")</f>
        <v/>
      </c>
      <c r="W496" s="0" t="str">
        <f aca="false">IF($C496="","",IF(COUNTIF($C$3:$C496,$C496)&gt;1,"",MAX($W$2:W495)+1))</f>
        <v/>
      </c>
      <c r="X496" s="0" t="str">
        <f aca="false">IF($H496="","",IF(COUNTIF($H$3:$H496,$H496)&gt;1,"",MAX($X$2:X495)+1))</f>
        <v/>
      </c>
      <c r="Y496" s="0" t="str">
        <f aca="false">IF(AND(N($M496)&gt;0,N($O496)&lt;=0),COUNTIFS($M$3:$M496,"&gt;0",$O$3:$O496,"&lt;=0"),"")</f>
        <v/>
      </c>
      <c r="Z496" s="30" t="n">
        <f aca="false">IF(OR('THÁNG 9'!$C53="",'THÁNG 9'!$B53=""),0,'THÁNG 9'!$B53)</f>
        <v>0</v>
      </c>
    </row>
    <row r="497" customFormat="false" ht="15" hidden="false" customHeight="false" outlineLevel="0" collapsed="false">
      <c r="A497" s="0" t="n">
        <v>9</v>
      </c>
      <c r="B497" s="29" t="str">
        <f aca="false">IF(OR('THÁNG 9'!$C54="",'THÁNG 9'!$B54=""),"",'THÁNG 9'!$B54)</f>
        <v/>
      </c>
      <c r="C497" s="0" t="str">
        <f aca="false">IF('THÁNG 9'!$C54="","",'THÁNG 9'!$C54)</f>
        <v/>
      </c>
      <c r="D497" s="0" t="str">
        <f aca="false">IF('THÁNG 9'!$C54="","",'THÁNG 9'!$D54&amp;"")</f>
        <v/>
      </c>
      <c r="E497" s="0" t="str">
        <f aca="false">IF('THÁNG 9'!$C54="","",'THÁNG 9'!$E54&amp;"")</f>
        <v/>
      </c>
      <c r="F497" s="0" t="str">
        <f aca="false">IF('THÁNG 9'!$C54="","",'THÁNG 9'!$F54&amp;"")</f>
        <v/>
      </c>
      <c r="G497" s="0" t="str">
        <f aca="false">IF('THÁNG 9'!$C54="","",'THÁNG 9'!$G54&amp;"")</f>
        <v/>
      </c>
      <c r="H497" s="0" t="str">
        <f aca="false">IF('THÁNG 9'!$C54="","",'THÁNG 9'!$H54&amp;"")</f>
        <v/>
      </c>
      <c r="I497" s="0" t="str">
        <f aca="false">IF('THÁNG 9'!$C54="","",N('THÁNG 9'!$I54))</f>
        <v/>
      </c>
      <c r="J497" s="0" t="str">
        <f aca="false">IF('THÁNG 9'!$C54="","",N('THÁNG 9'!$L54))</f>
        <v/>
      </c>
      <c r="K497" s="0" t="str">
        <f aca="false">IF('THÁNG 9'!$C54="","",N('THÁNG 9'!$N54))</f>
        <v/>
      </c>
      <c r="L497" s="0" t="str">
        <f aca="false">IF('THÁNG 9'!$C54="","",N('THÁNG 9'!$O54))</f>
        <v/>
      </c>
      <c r="M497" s="0" t="str">
        <f aca="false">IF('THÁNG 9'!$C54="","",N('THÁNG 9'!$P54))</f>
        <v/>
      </c>
      <c r="N497" s="0" t="str">
        <f aca="false">IF('THÁNG 9'!$C54="","",N('THÁNG 9'!$Q54))</f>
        <v/>
      </c>
      <c r="O497" s="0" t="str">
        <f aca="false">IF('THÁNG 9'!$C54="","",N('THÁNG 9'!$R54))</f>
        <v/>
      </c>
      <c r="P497" s="0" t="str">
        <f aca="false">IF(OR('THÁNG 9'!$C54="",'THÁNG 9'!$T54=""),"",'THÁNG 9'!$T54)</f>
        <v/>
      </c>
      <c r="Q497" s="0" t="str">
        <f aca="false">IF(OR('THÁNG 9'!$C54="",'THÁNG 9'!$U54=""),"",'THÁNG 9'!$U54)</f>
        <v/>
      </c>
      <c r="R497" s="0" t="str">
        <f aca="false">IF('THÁNG 9'!$C54="","",'THÁNG 9'!$W54&amp;"")</f>
        <v/>
      </c>
      <c r="S497" s="0" t="str">
        <f aca="false">IF('THÁNG 9'!$C54="","",'THÁNG 9'!$S54&amp;"")</f>
        <v/>
      </c>
      <c r="T497" s="0" t="str">
        <f aca="false">IF(N($O497)&gt;0,COUNTIF($O$3:$O497,"&gt;0"),"")</f>
        <v/>
      </c>
      <c r="U497" s="0" t="str">
        <f aca="false">IF(AND(N($J497)&gt;0,N($K497)&gt;0),COUNTIFS($J$3:$J497,"&gt;0",$K$3:$K497,"&gt;0"),"")</f>
        <v/>
      </c>
      <c r="V497" s="0" t="str">
        <f aca="false">IF(AND(N($J497)&gt;0,N($K497)=0),COUNTIFS($J$3:$J497,"&gt;0",$K$3:$K497,"&lt;=0"),"")</f>
        <v/>
      </c>
      <c r="W497" s="0" t="str">
        <f aca="false">IF($C497="","",IF(COUNTIF($C$3:$C497,$C497)&gt;1,"",MAX($W$2:W496)+1))</f>
        <v/>
      </c>
      <c r="X497" s="0" t="str">
        <f aca="false">IF($H497="","",IF(COUNTIF($H$3:$H497,$H497)&gt;1,"",MAX($X$2:X496)+1))</f>
        <v/>
      </c>
      <c r="Y497" s="0" t="str">
        <f aca="false">IF(AND(N($M497)&gt;0,N($O497)&lt;=0),COUNTIFS($M$3:$M497,"&gt;0",$O$3:$O497,"&lt;=0"),"")</f>
        <v/>
      </c>
      <c r="Z497" s="30" t="n">
        <f aca="false">IF(OR('THÁNG 9'!$C54="",'THÁNG 9'!$B54=""),0,'THÁNG 9'!$B54)</f>
        <v>0</v>
      </c>
    </row>
    <row r="498" customFormat="false" ht="15" hidden="false" customHeight="false" outlineLevel="0" collapsed="false">
      <c r="A498" s="0" t="n">
        <v>9</v>
      </c>
      <c r="B498" s="29" t="str">
        <f aca="false">IF(OR('THÁNG 9'!$C55="",'THÁNG 9'!$B55=""),"",'THÁNG 9'!$B55)</f>
        <v/>
      </c>
      <c r="C498" s="0" t="str">
        <f aca="false">IF('THÁNG 9'!$C55="","",'THÁNG 9'!$C55)</f>
        <v/>
      </c>
      <c r="D498" s="0" t="str">
        <f aca="false">IF('THÁNG 9'!$C55="","",'THÁNG 9'!$D55&amp;"")</f>
        <v/>
      </c>
      <c r="E498" s="0" t="str">
        <f aca="false">IF('THÁNG 9'!$C55="","",'THÁNG 9'!$E55&amp;"")</f>
        <v/>
      </c>
      <c r="F498" s="0" t="str">
        <f aca="false">IF('THÁNG 9'!$C55="","",'THÁNG 9'!$F55&amp;"")</f>
        <v/>
      </c>
      <c r="G498" s="0" t="str">
        <f aca="false">IF('THÁNG 9'!$C55="","",'THÁNG 9'!$G55&amp;"")</f>
        <v/>
      </c>
      <c r="H498" s="0" t="str">
        <f aca="false">IF('THÁNG 9'!$C55="","",'THÁNG 9'!$H55&amp;"")</f>
        <v/>
      </c>
      <c r="I498" s="0" t="str">
        <f aca="false">IF('THÁNG 9'!$C55="","",N('THÁNG 9'!$I55))</f>
        <v/>
      </c>
      <c r="J498" s="0" t="str">
        <f aca="false">IF('THÁNG 9'!$C55="","",N('THÁNG 9'!$L55))</f>
        <v/>
      </c>
      <c r="K498" s="0" t="str">
        <f aca="false">IF('THÁNG 9'!$C55="","",N('THÁNG 9'!$N55))</f>
        <v/>
      </c>
      <c r="L498" s="0" t="str">
        <f aca="false">IF('THÁNG 9'!$C55="","",N('THÁNG 9'!$O55))</f>
        <v/>
      </c>
      <c r="M498" s="0" t="str">
        <f aca="false">IF('THÁNG 9'!$C55="","",N('THÁNG 9'!$P55))</f>
        <v/>
      </c>
      <c r="N498" s="0" t="str">
        <f aca="false">IF('THÁNG 9'!$C55="","",N('THÁNG 9'!$Q55))</f>
        <v/>
      </c>
      <c r="O498" s="0" t="str">
        <f aca="false">IF('THÁNG 9'!$C55="","",N('THÁNG 9'!$R55))</f>
        <v/>
      </c>
      <c r="P498" s="0" t="str">
        <f aca="false">IF(OR('THÁNG 9'!$C55="",'THÁNG 9'!$T55=""),"",'THÁNG 9'!$T55)</f>
        <v/>
      </c>
      <c r="Q498" s="0" t="str">
        <f aca="false">IF(OR('THÁNG 9'!$C55="",'THÁNG 9'!$U55=""),"",'THÁNG 9'!$U55)</f>
        <v/>
      </c>
      <c r="R498" s="0" t="str">
        <f aca="false">IF('THÁNG 9'!$C55="","",'THÁNG 9'!$W55&amp;"")</f>
        <v/>
      </c>
      <c r="S498" s="0" t="str">
        <f aca="false">IF('THÁNG 9'!$C55="","",'THÁNG 9'!$S55&amp;"")</f>
        <v/>
      </c>
      <c r="T498" s="0" t="str">
        <f aca="false">IF(N($O498)&gt;0,COUNTIF($O$3:$O498,"&gt;0"),"")</f>
        <v/>
      </c>
      <c r="U498" s="0" t="str">
        <f aca="false">IF(AND(N($J498)&gt;0,N($K498)&gt;0),COUNTIFS($J$3:$J498,"&gt;0",$K$3:$K498,"&gt;0"),"")</f>
        <v/>
      </c>
      <c r="V498" s="0" t="str">
        <f aca="false">IF(AND(N($J498)&gt;0,N($K498)=0),COUNTIFS($J$3:$J498,"&gt;0",$K$3:$K498,"&lt;=0"),"")</f>
        <v/>
      </c>
      <c r="W498" s="0" t="str">
        <f aca="false">IF($C498="","",IF(COUNTIF($C$3:$C498,$C498)&gt;1,"",MAX($W$2:W497)+1))</f>
        <v/>
      </c>
      <c r="X498" s="0" t="str">
        <f aca="false">IF($H498="","",IF(COUNTIF($H$3:$H498,$H498)&gt;1,"",MAX($X$2:X497)+1))</f>
        <v/>
      </c>
      <c r="Y498" s="0" t="str">
        <f aca="false">IF(AND(N($M498)&gt;0,N($O498)&lt;=0),COUNTIFS($M$3:$M498,"&gt;0",$O$3:$O498,"&lt;=0"),"")</f>
        <v/>
      </c>
      <c r="Z498" s="30" t="n">
        <f aca="false">IF(OR('THÁNG 9'!$C55="",'THÁNG 9'!$B55=""),0,'THÁNG 9'!$B55)</f>
        <v>0</v>
      </c>
    </row>
    <row r="499" customFormat="false" ht="15" hidden="false" customHeight="false" outlineLevel="0" collapsed="false">
      <c r="A499" s="0" t="n">
        <v>9</v>
      </c>
      <c r="B499" s="29" t="str">
        <f aca="false">IF(OR('THÁNG 9'!$C56="",'THÁNG 9'!$B56=""),"",'THÁNG 9'!$B56)</f>
        <v/>
      </c>
      <c r="C499" s="0" t="str">
        <f aca="false">IF('THÁNG 9'!$C56="","",'THÁNG 9'!$C56)</f>
        <v/>
      </c>
      <c r="D499" s="0" t="str">
        <f aca="false">IF('THÁNG 9'!$C56="","",'THÁNG 9'!$D56&amp;"")</f>
        <v/>
      </c>
      <c r="E499" s="0" t="str">
        <f aca="false">IF('THÁNG 9'!$C56="","",'THÁNG 9'!$E56&amp;"")</f>
        <v/>
      </c>
      <c r="F499" s="0" t="str">
        <f aca="false">IF('THÁNG 9'!$C56="","",'THÁNG 9'!$F56&amp;"")</f>
        <v/>
      </c>
      <c r="G499" s="0" t="str">
        <f aca="false">IF('THÁNG 9'!$C56="","",'THÁNG 9'!$G56&amp;"")</f>
        <v/>
      </c>
      <c r="H499" s="0" t="str">
        <f aca="false">IF('THÁNG 9'!$C56="","",'THÁNG 9'!$H56&amp;"")</f>
        <v/>
      </c>
      <c r="I499" s="0" t="str">
        <f aca="false">IF('THÁNG 9'!$C56="","",N('THÁNG 9'!$I56))</f>
        <v/>
      </c>
      <c r="J499" s="0" t="str">
        <f aca="false">IF('THÁNG 9'!$C56="","",N('THÁNG 9'!$L56))</f>
        <v/>
      </c>
      <c r="K499" s="0" t="str">
        <f aca="false">IF('THÁNG 9'!$C56="","",N('THÁNG 9'!$N56))</f>
        <v/>
      </c>
      <c r="L499" s="0" t="str">
        <f aca="false">IF('THÁNG 9'!$C56="","",N('THÁNG 9'!$O56))</f>
        <v/>
      </c>
      <c r="M499" s="0" t="str">
        <f aca="false">IF('THÁNG 9'!$C56="","",N('THÁNG 9'!$P56))</f>
        <v/>
      </c>
      <c r="N499" s="0" t="str">
        <f aca="false">IF('THÁNG 9'!$C56="","",N('THÁNG 9'!$Q56))</f>
        <v/>
      </c>
      <c r="O499" s="0" t="str">
        <f aca="false">IF('THÁNG 9'!$C56="","",N('THÁNG 9'!$R56))</f>
        <v/>
      </c>
      <c r="P499" s="0" t="str">
        <f aca="false">IF(OR('THÁNG 9'!$C56="",'THÁNG 9'!$T56=""),"",'THÁNG 9'!$T56)</f>
        <v/>
      </c>
      <c r="Q499" s="0" t="str">
        <f aca="false">IF(OR('THÁNG 9'!$C56="",'THÁNG 9'!$U56=""),"",'THÁNG 9'!$U56)</f>
        <v/>
      </c>
      <c r="R499" s="0" t="str">
        <f aca="false">IF('THÁNG 9'!$C56="","",'THÁNG 9'!$W56&amp;"")</f>
        <v/>
      </c>
      <c r="S499" s="0" t="str">
        <f aca="false">IF('THÁNG 9'!$C56="","",'THÁNG 9'!$S56&amp;"")</f>
        <v/>
      </c>
      <c r="T499" s="0" t="str">
        <f aca="false">IF(N($O499)&gt;0,COUNTIF($O$3:$O499,"&gt;0"),"")</f>
        <v/>
      </c>
      <c r="U499" s="0" t="str">
        <f aca="false">IF(AND(N($J499)&gt;0,N($K499)&gt;0),COUNTIFS($J$3:$J499,"&gt;0",$K$3:$K499,"&gt;0"),"")</f>
        <v/>
      </c>
      <c r="V499" s="0" t="str">
        <f aca="false">IF(AND(N($J499)&gt;0,N($K499)=0),COUNTIFS($J$3:$J499,"&gt;0",$K$3:$K499,"&lt;=0"),"")</f>
        <v/>
      </c>
      <c r="W499" s="0" t="str">
        <f aca="false">IF($C499="","",IF(COUNTIF($C$3:$C499,$C499)&gt;1,"",MAX($W$2:W498)+1))</f>
        <v/>
      </c>
      <c r="X499" s="0" t="str">
        <f aca="false">IF($H499="","",IF(COUNTIF($H$3:$H499,$H499)&gt;1,"",MAX($X$2:X498)+1))</f>
        <v/>
      </c>
      <c r="Y499" s="0" t="str">
        <f aca="false">IF(AND(N($M499)&gt;0,N($O499)&lt;=0),COUNTIFS($M$3:$M499,"&gt;0",$O$3:$O499,"&lt;=0"),"")</f>
        <v/>
      </c>
      <c r="Z499" s="30" t="n">
        <f aca="false">IF(OR('THÁNG 9'!$C56="",'THÁNG 9'!$B56=""),0,'THÁNG 9'!$B56)</f>
        <v>0</v>
      </c>
    </row>
    <row r="500" customFormat="false" ht="15" hidden="false" customHeight="false" outlineLevel="0" collapsed="false">
      <c r="A500" s="0" t="n">
        <v>9</v>
      </c>
      <c r="B500" s="29" t="str">
        <f aca="false">IF(OR('THÁNG 9'!$C57="",'THÁNG 9'!$B57=""),"",'THÁNG 9'!$B57)</f>
        <v/>
      </c>
      <c r="C500" s="0" t="str">
        <f aca="false">IF('THÁNG 9'!$C57="","",'THÁNG 9'!$C57)</f>
        <v/>
      </c>
      <c r="D500" s="0" t="str">
        <f aca="false">IF('THÁNG 9'!$C57="","",'THÁNG 9'!$D57&amp;"")</f>
        <v/>
      </c>
      <c r="E500" s="0" t="str">
        <f aca="false">IF('THÁNG 9'!$C57="","",'THÁNG 9'!$E57&amp;"")</f>
        <v/>
      </c>
      <c r="F500" s="0" t="str">
        <f aca="false">IF('THÁNG 9'!$C57="","",'THÁNG 9'!$F57&amp;"")</f>
        <v/>
      </c>
      <c r="G500" s="0" t="str">
        <f aca="false">IF('THÁNG 9'!$C57="","",'THÁNG 9'!$G57&amp;"")</f>
        <v/>
      </c>
      <c r="H500" s="0" t="str">
        <f aca="false">IF('THÁNG 9'!$C57="","",'THÁNG 9'!$H57&amp;"")</f>
        <v/>
      </c>
      <c r="I500" s="0" t="str">
        <f aca="false">IF('THÁNG 9'!$C57="","",N('THÁNG 9'!$I57))</f>
        <v/>
      </c>
      <c r="J500" s="0" t="str">
        <f aca="false">IF('THÁNG 9'!$C57="","",N('THÁNG 9'!$L57))</f>
        <v/>
      </c>
      <c r="K500" s="0" t="str">
        <f aca="false">IF('THÁNG 9'!$C57="","",N('THÁNG 9'!$N57))</f>
        <v/>
      </c>
      <c r="L500" s="0" t="str">
        <f aca="false">IF('THÁNG 9'!$C57="","",N('THÁNG 9'!$O57))</f>
        <v/>
      </c>
      <c r="M500" s="0" t="str">
        <f aca="false">IF('THÁNG 9'!$C57="","",N('THÁNG 9'!$P57))</f>
        <v/>
      </c>
      <c r="N500" s="0" t="str">
        <f aca="false">IF('THÁNG 9'!$C57="","",N('THÁNG 9'!$Q57))</f>
        <v/>
      </c>
      <c r="O500" s="0" t="str">
        <f aca="false">IF('THÁNG 9'!$C57="","",N('THÁNG 9'!$R57))</f>
        <v/>
      </c>
      <c r="P500" s="0" t="str">
        <f aca="false">IF(OR('THÁNG 9'!$C57="",'THÁNG 9'!$T57=""),"",'THÁNG 9'!$T57)</f>
        <v/>
      </c>
      <c r="Q500" s="0" t="str">
        <f aca="false">IF(OR('THÁNG 9'!$C57="",'THÁNG 9'!$U57=""),"",'THÁNG 9'!$U57)</f>
        <v/>
      </c>
      <c r="R500" s="0" t="str">
        <f aca="false">IF('THÁNG 9'!$C57="","",'THÁNG 9'!$W57&amp;"")</f>
        <v/>
      </c>
      <c r="S500" s="0" t="str">
        <f aca="false">IF('THÁNG 9'!$C57="","",'THÁNG 9'!$S57&amp;"")</f>
        <v/>
      </c>
      <c r="T500" s="0" t="str">
        <f aca="false">IF(N($O500)&gt;0,COUNTIF($O$3:$O500,"&gt;0"),"")</f>
        <v/>
      </c>
      <c r="U500" s="0" t="str">
        <f aca="false">IF(AND(N($J500)&gt;0,N($K500)&gt;0),COUNTIFS($J$3:$J500,"&gt;0",$K$3:$K500,"&gt;0"),"")</f>
        <v/>
      </c>
      <c r="V500" s="0" t="str">
        <f aca="false">IF(AND(N($J500)&gt;0,N($K500)=0),COUNTIFS($J$3:$J500,"&gt;0",$K$3:$K500,"&lt;=0"),"")</f>
        <v/>
      </c>
      <c r="W500" s="0" t="str">
        <f aca="false">IF($C500="","",IF(COUNTIF($C$3:$C500,$C500)&gt;1,"",MAX($W$2:W499)+1))</f>
        <v/>
      </c>
      <c r="X500" s="0" t="str">
        <f aca="false">IF($H500="","",IF(COUNTIF($H$3:$H500,$H500)&gt;1,"",MAX($X$2:X499)+1))</f>
        <v/>
      </c>
      <c r="Y500" s="0" t="str">
        <f aca="false">IF(AND(N($M500)&gt;0,N($O500)&lt;=0),COUNTIFS($M$3:$M500,"&gt;0",$O$3:$O500,"&lt;=0"),"")</f>
        <v/>
      </c>
      <c r="Z500" s="30" t="n">
        <f aca="false">IF(OR('THÁNG 9'!$C57="",'THÁNG 9'!$B57=""),0,'THÁNG 9'!$B57)</f>
        <v>0</v>
      </c>
    </row>
    <row r="501" customFormat="false" ht="15" hidden="false" customHeight="false" outlineLevel="0" collapsed="false">
      <c r="A501" s="0" t="n">
        <v>9</v>
      </c>
      <c r="B501" s="29" t="str">
        <f aca="false">IF(OR('THÁNG 9'!$C58="",'THÁNG 9'!$B58=""),"",'THÁNG 9'!$B58)</f>
        <v/>
      </c>
      <c r="C501" s="0" t="str">
        <f aca="false">IF('THÁNG 9'!$C58="","",'THÁNG 9'!$C58)</f>
        <v/>
      </c>
      <c r="D501" s="0" t="str">
        <f aca="false">IF('THÁNG 9'!$C58="","",'THÁNG 9'!$D58&amp;"")</f>
        <v/>
      </c>
      <c r="E501" s="0" t="str">
        <f aca="false">IF('THÁNG 9'!$C58="","",'THÁNG 9'!$E58&amp;"")</f>
        <v/>
      </c>
      <c r="F501" s="0" t="str">
        <f aca="false">IF('THÁNG 9'!$C58="","",'THÁNG 9'!$F58&amp;"")</f>
        <v/>
      </c>
      <c r="G501" s="0" t="str">
        <f aca="false">IF('THÁNG 9'!$C58="","",'THÁNG 9'!$G58&amp;"")</f>
        <v/>
      </c>
      <c r="H501" s="0" t="str">
        <f aca="false">IF('THÁNG 9'!$C58="","",'THÁNG 9'!$H58&amp;"")</f>
        <v/>
      </c>
      <c r="I501" s="0" t="str">
        <f aca="false">IF('THÁNG 9'!$C58="","",N('THÁNG 9'!$I58))</f>
        <v/>
      </c>
      <c r="J501" s="0" t="str">
        <f aca="false">IF('THÁNG 9'!$C58="","",N('THÁNG 9'!$L58))</f>
        <v/>
      </c>
      <c r="K501" s="0" t="str">
        <f aca="false">IF('THÁNG 9'!$C58="","",N('THÁNG 9'!$N58))</f>
        <v/>
      </c>
      <c r="L501" s="0" t="str">
        <f aca="false">IF('THÁNG 9'!$C58="","",N('THÁNG 9'!$O58))</f>
        <v/>
      </c>
      <c r="M501" s="0" t="str">
        <f aca="false">IF('THÁNG 9'!$C58="","",N('THÁNG 9'!$P58))</f>
        <v/>
      </c>
      <c r="N501" s="0" t="str">
        <f aca="false">IF('THÁNG 9'!$C58="","",N('THÁNG 9'!$Q58))</f>
        <v/>
      </c>
      <c r="O501" s="0" t="str">
        <f aca="false">IF('THÁNG 9'!$C58="","",N('THÁNG 9'!$R58))</f>
        <v/>
      </c>
      <c r="P501" s="0" t="str">
        <f aca="false">IF(OR('THÁNG 9'!$C58="",'THÁNG 9'!$T58=""),"",'THÁNG 9'!$T58)</f>
        <v/>
      </c>
      <c r="Q501" s="0" t="str">
        <f aca="false">IF(OR('THÁNG 9'!$C58="",'THÁNG 9'!$U58=""),"",'THÁNG 9'!$U58)</f>
        <v/>
      </c>
      <c r="R501" s="0" t="str">
        <f aca="false">IF('THÁNG 9'!$C58="","",'THÁNG 9'!$W58&amp;"")</f>
        <v/>
      </c>
      <c r="S501" s="0" t="str">
        <f aca="false">IF('THÁNG 9'!$C58="","",'THÁNG 9'!$S58&amp;"")</f>
        <v/>
      </c>
      <c r="T501" s="0" t="str">
        <f aca="false">IF(N($O501)&gt;0,COUNTIF($O$3:$O501,"&gt;0"),"")</f>
        <v/>
      </c>
      <c r="U501" s="0" t="str">
        <f aca="false">IF(AND(N($J501)&gt;0,N($K501)&gt;0),COUNTIFS($J$3:$J501,"&gt;0",$K$3:$K501,"&gt;0"),"")</f>
        <v/>
      </c>
      <c r="V501" s="0" t="str">
        <f aca="false">IF(AND(N($J501)&gt;0,N($K501)=0),COUNTIFS($J$3:$J501,"&gt;0",$K$3:$K501,"&lt;=0"),"")</f>
        <v/>
      </c>
      <c r="W501" s="0" t="str">
        <f aca="false">IF($C501="","",IF(COUNTIF($C$3:$C501,$C501)&gt;1,"",MAX($W$2:W500)+1))</f>
        <v/>
      </c>
      <c r="X501" s="0" t="str">
        <f aca="false">IF($H501="","",IF(COUNTIF($H$3:$H501,$H501)&gt;1,"",MAX($X$2:X500)+1))</f>
        <v/>
      </c>
      <c r="Y501" s="0" t="str">
        <f aca="false">IF(AND(N($M501)&gt;0,N($O501)&lt;=0),COUNTIFS($M$3:$M501,"&gt;0",$O$3:$O501,"&lt;=0"),"")</f>
        <v/>
      </c>
      <c r="Z501" s="30" t="n">
        <f aca="false">IF(OR('THÁNG 9'!$C58="",'THÁNG 9'!$B58=""),0,'THÁNG 9'!$B58)</f>
        <v>0</v>
      </c>
    </row>
    <row r="502" customFormat="false" ht="15" hidden="false" customHeight="false" outlineLevel="0" collapsed="false">
      <c r="A502" s="0" t="n">
        <v>9</v>
      </c>
      <c r="B502" s="29" t="str">
        <f aca="false">IF(OR('THÁNG 9'!$C59="",'THÁNG 9'!$B59=""),"",'THÁNG 9'!$B59)</f>
        <v/>
      </c>
      <c r="C502" s="0" t="str">
        <f aca="false">IF('THÁNG 9'!$C59="","",'THÁNG 9'!$C59)</f>
        <v/>
      </c>
      <c r="D502" s="0" t="str">
        <f aca="false">IF('THÁNG 9'!$C59="","",'THÁNG 9'!$D59&amp;"")</f>
        <v/>
      </c>
      <c r="E502" s="0" t="str">
        <f aca="false">IF('THÁNG 9'!$C59="","",'THÁNG 9'!$E59&amp;"")</f>
        <v/>
      </c>
      <c r="F502" s="0" t="str">
        <f aca="false">IF('THÁNG 9'!$C59="","",'THÁNG 9'!$F59&amp;"")</f>
        <v/>
      </c>
      <c r="G502" s="0" t="str">
        <f aca="false">IF('THÁNG 9'!$C59="","",'THÁNG 9'!$G59&amp;"")</f>
        <v/>
      </c>
      <c r="H502" s="0" t="str">
        <f aca="false">IF('THÁNG 9'!$C59="","",'THÁNG 9'!$H59&amp;"")</f>
        <v/>
      </c>
      <c r="I502" s="0" t="str">
        <f aca="false">IF('THÁNG 9'!$C59="","",N('THÁNG 9'!$I59))</f>
        <v/>
      </c>
      <c r="J502" s="0" t="str">
        <f aca="false">IF('THÁNG 9'!$C59="","",N('THÁNG 9'!$L59))</f>
        <v/>
      </c>
      <c r="K502" s="0" t="str">
        <f aca="false">IF('THÁNG 9'!$C59="","",N('THÁNG 9'!$N59))</f>
        <v/>
      </c>
      <c r="L502" s="0" t="str">
        <f aca="false">IF('THÁNG 9'!$C59="","",N('THÁNG 9'!$O59))</f>
        <v/>
      </c>
      <c r="M502" s="0" t="str">
        <f aca="false">IF('THÁNG 9'!$C59="","",N('THÁNG 9'!$P59))</f>
        <v/>
      </c>
      <c r="N502" s="0" t="str">
        <f aca="false">IF('THÁNG 9'!$C59="","",N('THÁNG 9'!$Q59))</f>
        <v/>
      </c>
      <c r="O502" s="0" t="str">
        <f aca="false">IF('THÁNG 9'!$C59="","",N('THÁNG 9'!$R59))</f>
        <v/>
      </c>
      <c r="P502" s="0" t="str">
        <f aca="false">IF(OR('THÁNG 9'!$C59="",'THÁNG 9'!$T59=""),"",'THÁNG 9'!$T59)</f>
        <v/>
      </c>
      <c r="Q502" s="0" t="str">
        <f aca="false">IF(OR('THÁNG 9'!$C59="",'THÁNG 9'!$U59=""),"",'THÁNG 9'!$U59)</f>
        <v/>
      </c>
      <c r="R502" s="0" t="str">
        <f aca="false">IF('THÁNG 9'!$C59="","",'THÁNG 9'!$W59&amp;"")</f>
        <v/>
      </c>
      <c r="S502" s="0" t="str">
        <f aca="false">IF('THÁNG 9'!$C59="","",'THÁNG 9'!$S59&amp;"")</f>
        <v/>
      </c>
      <c r="T502" s="0" t="str">
        <f aca="false">IF(N($O502)&gt;0,COUNTIF($O$3:$O502,"&gt;0"),"")</f>
        <v/>
      </c>
      <c r="U502" s="0" t="str">
        <f aca="false">IF(AND(N($J502)&gt;0,N($K502)&gt;0),COUNTIFS($J$3:$J502,"&gt;0",$K$3:$K502,"&gt;0"),"")</f>
        <v/>
      </c>
      <c r="V502" s="0" t="str">
        <f aca="false">IF(AND(N($J502)&gt;0,N($K502)=0),COUNTIFS($J$3:$J502,"&gt;0",$K$3:$K502,"&lt;=0"),"")</f>
        <v/>
      </c>
      <c r="W502" s="0" t="str">
        <f aca="false">IF($C502="","",IF(COUNTIF($C$3:$C502,$C502)&gt;1,"",MAX($W$2:W501)+1))</f>
        <v/>
      </c>
      <c r="X502" s="0" t="str">
        <f aca="false">IF($H502="","",IF(COUNTIF($H$3:$H502,$H502)&gt;1,"",MAX($X$2:X501)+1))</f>
        <v/>
      </c>
      <c r="Y502" s="0" t="str">
        <f aca="false">IF(AND(N($M502)&gt;0,N($O502)&lt;=0),COUNTIFS($M$3:$M502,"&gt;0",$O$3:$O502,"&lt;=0"),"")</f>
        <v/>
      </c>
      <c r="Z502" s="30" t="n">
        <f aca="false">IF(OR('THÁNG 9'!$C59="",'THÁNG 9'!$B59=""),0,'THÁNG 9'!$B59)</f>
        <v>0</v>
      </c>
    </row>
    <row r="503" customFormat="false" ht="15" hidden="false" customHeight="false" outlineLevel="0" collapsed="false">
      <c r="A503" s="0" t="n">
        <v>9</v>
      </c>
      <c r="B503" s="29" t="str">
        <f aca="false">IF(OR('THÁNG 9'!$C60="",'THÁNG 9'!$B60=""),"",'THÁNG 9'!$B60)</f>
        <v/>
      </c>
      <c r="C503" s="0" t="str">
        <f aca="false">IF('THÁNG 9'!$C60="","",'THÁNG 9'!$C60)</f>
        <v/>
      </c>
      <c r="D503" s="0" t="str">
        <f aca="false">IF('THÁNG 9'!$C60="","",'THÁNG 9'!$D60&amp;"")</f>
        <v/>
      </c>
      <c r="E503" s="0" t="str">
        <f aca="false">IF('THÁNG 9'!$C60="","",'THÁNG 9'!$E60&amp;"")</f>
        <v/>
      </c>
      <c r="F503" s="0" t="str">
        <f aca="false">IF('THÁNG 9'!$C60="","",'THÁNG 9'!$F60&amp;"")</f>
        <v/>
      </c>
      <c r="G503" s="0" t="str">
        <f aca="false">IF('THÁNG 9'!$C60="","",'THÁNG 9'!$G60&amp;"")</f>
        <v/>
      </c>
      <c r="H503" s="0" t="str">
        <f aca="false">IF('THÁNG 9'!$C60="","",'THÁNG 9'!$H60&amp;"")</f>
        <v/>
      </c>
      <c r="I503" s="0" t="str">
        <f aca="false">IF('THÁNG 9'!$C60="","",N('THÁNG 9'!$I60))</f>
        <v/>
      </c>
      <c r="J503" s="0" t="str">
        <f aca="false">IF('THÁNG 9'!$C60="","",N('THÁNG 9'!$L60))</f>
        <v/>
      </c>
      <c r="K503" s="0" t="str">
        <f aca="false">IF('THÁNG 9'!$C60="","",N('THÁNG 9'!$N60))</f>
        <v/>
      </c>
      <c r="L503" s="0" t="str">
        <f aca="false">IF('THÁNG 9'!$C60="","",N('THÁNG 9'!$O60))</f>
        <v/>
      </c>
      <c r="M503" s="0" t="str">
        <f aca="false">IF('THÁNG 9'!$C60="","",N('THÁNG 9'!$P60))</f>
        <v/>
      </c>
      <c r="N503" s="0" t="str">
        <f aca="false">IF('THÁNG 9'!$C60="","",N('THÁNG 9'!$Q60))</f>
        <v/>
      </c>
      <c r="O503" s="0" t="str">
        <f aca="false">IF('THÁNG 9'!$C60="","",N('THÁNG 9'!$R60))</f>
        <v/>
      </c>
      <c r="P503" s="0" t="str">
        <f aca="false">IF(OR('THÁNG 9'!$C60="",'THÁNG 9'!$T60=""),"",'THÁNG 9'!$T60)</f>
        <v/>
      </c>
      <c r="Q503" s="0" t="str">
        <f aca="false">IF(OR('THÁNG 9'!$C60="",'THÁNG 9'!$U60=""),"",'THÁNG 9'!$U60)</f>
        <v/>
      </c>
      <c r="R503" s="0" t="str">
        <f aca="false">IF('THÁNG 9'!$C60="","",'THÁNG 9'!$W60&amp;"")</f>
        <v/>
      </c>
      <c r="S503" s="0" t="str">
        <f aca="false">IF('THÁNG 9'!$C60="","",'THÁNG 9'!$S60&amp;"")</f>
        <v/>
      </c>
      <c r="T503" s="0" t="str">
        <f aca="false">IF(N($O503)&gt;0,COUNTIF($O$3:$O503,"&gt;0"),"")</f>
        <v/>
      </c>
      <c r="U503" s="0" t="str">
        <f aca="false">IF(AND(N($J503)&gt;0,N($K503)&gt;0),COUNTIFS($J$3:$J503,"&gt;0",$K$3:$K503,"&gt;0"),"")</f>
        <v/>
      </c>
      <c r="V503" s="0" t="str">
        <f aca="false">IF(AND(N($J503)&gt;0,N($K503)=0),COUNTIFS($J$3:$J503,"&gt;0",$K$3:$K503,"&lt;=0"),"")</f>
        <v/>
      </c>
      <c r="W503" s="0" t="str">
        <f aca="false">IF($C503="","",IF(COUNTIF($C$3:$C503,$C503)&gt;1,"",MAX($W$2:W502)+1))</f>
        <v/>
      </c>
      <c r="X503" s="0" t="str">
        <f aca="false">IF($H503="","",IF(COUNTIF($H$3:$H503,$H503)&gt;1,"",MAX($X$2:X502)+1))</f>
        <v/>
      </c>
      <c r="Y503" s="0" t="str">
        <f aca="false">IF(AND(N($M503)&gt;0,N($O503)&lt;=0),COUNTIFS($M$3:$M503,"&gt;0",$O$3:$O503,"&lt;=0"),"")</f>
        <v/>
      </c>
      <c r="Z503" s="30" t="n">
        <f aca="false">IF(OR('THÁNG 9'!$C60="",'THÁNG 9'!$B60=""),0,'THÁNG 9'!$B60)</f>
        <v>0</v>
      </c>
    </row>
    <row r="504" customFormat="false" ht="15" hidden="false" customHeight="false" outlineLevel="0" collapsed="false">
      <c r="A504" s="0" t="n">
        <v>9</v>
      </c>
      <c r="B504" s="29" t="str">
        <f aca="false">IF(OR('THÁNG 9'!$C61="",'THÁNG 9'!$B61=""),"",'THÁNG 9'!$B61)</f>
        <v/>
      </c>
      <c r="C504" s="0" t="str">
        <f aca="false">IF('THÁNG 9'!$C61="","",'THÁNG 9'!$C61)</f>
        <v/>
      </c>
      <c r="D504" s="0" t="str">
        <f aca="false">IF('THÁNG 9'!$C61="","",'THÁNG 9'!$D61&amp;"")</f>
        <v/>
      </c>
      <c r="E504" s="0" t="str">
        <f aca="false">IF('THÁNG 9'!$C61="","",'THÁNG 9'!$E61&amp;"")</f>
        <v/>
      </c>
      <c r="F504" s="0" t="str">
        <f aca="false">IF('THÁNG 9'!$C61="","",'THÁNG 9'!$F61&amp;"")</f>
        <v/>
      </c>
      <c r="G504" s="0" t="str">
        <f aca="false">IF('THÁNG 9'!$C61="","",'THÁNG 9'!$G61&amp;"")</f>
        <v/>
      </c>
      <c r="H504" s="0" t="str">
        <f aca="false">IF('THÁNG 9'!$C61="","",'THÁNG 9'!$H61&amp;"")</f>
        <v/>
      </c>
      <c r="I504" s="0" t="str">
        <f aca="false">IF('THÁNG 9'!$C61="","",N('THÁNG 9'!$I61))</f>
        <v/>
      </c>
      <c r="J504" s="0" t="str">
        <f aca="false">IF('THÁNG 9'!$C61="","",N('THÁNG 9'!$L61))</f>
        <v/>
      </c>
      <c r="K504" s="0" t="str">
        <f aca="false">IF('THÁNG 9'!$C61="","",N('THÁNG 9'!$N61))</f>
        <v/>
      </c>
      <c r="L504" s="0" t="str">
        <f aca="false">IF('THÁNG 9'!$C61="","",N('THÁNG 9'!$O61))</f>
        <v/>
      </c>
      <c r="M504" s="0" t="str">
        <f aca="false">IF('THÁNG 9'!$C61="","",N('THÁNG 9'!$P61))</f>
        <v/>
      </c>
      <c r="N504" s="0" t="str">
        <f aca="false">IF('THÁNG 9'!$C61="","",N('THÁNG 9'!$Q61))</f>
        <v/>
      </c>
      <c r="O504" s="0" t="str">
        <f aca="false">IF('THÁNG 9'!$C61="","",N('THÁNG 9'!$R61))</f>
        <v/>
      </c>
      <c r="P504" s="0" t="str">
        <f aca="false">IF(OR('THÁNG 9'!$C61="",'THÁNG 9'!$T61=""),"",'THÁNG 9'!$T61)</f>
        <v/>
      </c>
      <c r="Q504" s="0" t="str">
        <f aca="false">IF(OR('THÁNG 9'!$C61="",'THÁNG 9'!$U61=""),"",'THÁNG 9'!$U61)</f>
        <v/>
      </c>
      <c r="R504" s="0" t="str">
        <f aca="false">IF('THÁNG 9'!$C61="","",'THÁNG 9'!$W61&amp;"")</f>
        <v/>
      </c>
      <c r="S504" s="0" t="str">
        <f aca="false">IF('THÁNG 9'!$C61="","",'THÁNG 9'!$S61&amp;"")</f>
        <v/>
      </c>
      <c r="T504" s="0" t="str">
        <f aca="false">IF(N($O504)&gt;0,COUNTIF($O$3:$O504,"&gt;0"),"")</f>
        <v/>
      </c>
      <c r="U504" s="0" t="str">
        <f aca="false">IF(AND(N($J504)&gt;0,N($K504)&gt;0),COUNTIFS($J$3:$J504,"&gt;0",$K$3:$K504,"&gt;0"),"")</f>
        <v/>
      </c>
      <c r="V504" s="0" t="str">
        <f aca="false">IF(AND(N($J504)&gt;0,N($K504)=0),COUNTIFS($J$3:$J504,"&gt;0",$K$3:$K504,"&lt;=0"),"")</f>
        <v/>
      </c>
      <c r="W504" s="0" t="str">
        <f aca="false">IF($C504="","",IF(COUNTIF($C$3:$C504,$C504)&gt;1,"",MAX($W$2:W503)+1))</f>
        <v/>
      </c>
      <c r="X504" s="0" t="str">
        <f aca="false">IF($H504="","",IF(COUNTIF($H$3:$H504,$H504)&gt;1,"",MAX($X$2:X503)+1))</f>
        <v/>
      </c>
      <c r="Y504" s="0" t="str">
        <f aca="false">IF(AND(N($M504)&gt;0,N($O504)&lt;=0),COUNTIFS($M$3:$M504,"&gt;0",$O$3:$O504,"&lt;=0"),"")</f>
        <v/>
      </c>
      <c r="Z504" s="30" t="n">
        <f aca="false">IF(OR('THÁNG 9'!$C61="",'THÁNG 9'!$B61=""),0,'THÁNG 9'!$B61)</f>
        <v>0</v>
      </c>
    </row>
    <row r="505" customFormat="false" ht="15" hidden="false" customHeight="false" outlineLevel="0" collapsed="false">
      <c r="A505" s="0" t="n">
        <v>9</v>
      </c>
      <c r="B505" s="29" t="str">
        <f aca="false">IF(OR('THÁNG 9'!$C62="",'THÁNG 9'!$B62=""),"",'THÁNG 9'!$B62)</f>
        <v/>
      </c>
      <c r="C505" s="0" t="str">
        <f aca="false">IF('THÁNG 9'!$C62="","",'THÁNG 9'!$C62)</f>
        <v/>
      </c>
      <c r="D505" s="0" t="str">
        <f aca="false">IF('THÁNG 9'!$C62="","",'THÁNG 9'!$D62&amp;"")</f>
        <v/>
      </c>
      <c r="E505" s="0" t="str">
        <f aca="false">IF('THÁNG 9'!$C62="","",'THÁNG 9'!$E62&amp;"")</f>
        <v/>
      </c>
      <c r="F505" s="0" t="str">
        <f aca="false">IF('THÁNG 9'!$C62="","",'THÁNG 9'!$F62&amp;"")</f>
        <v/>
      </c>
      <c r="G505" s="0" t="str">
        <f aca="false">IF('THÁNG 9'!$C62="","",'THÁNG 9'!$G62&amp;"")</f>
        <v/>
      </c>
      <c r="H505" s="0" t="str">
        <f aca="false">IF('THÁNG 9'!$C62="","",'THÁNG 9'!$H62&amp;"")</f>
        <v/>
      </c>
      <c r="I505" s="0" t="str">
        <f aca="false">IF('THÁNG 9'!$C62="","",N('THÁNG 9'!$I62))</f>
        <v/>
      </c>
      <c r="J505" s="0" t="str">
        <f aca="false">IF('THÁNG 9'!$C62="","",N('THÁNG 9'!$L62))</f>
        <v/>
      </c>
      <c r="K505" s="0" t="str">
        <f aca="false">IF('THÁNG 9'!$C62="","",N('THÁNG 9'!$N62))</f>
        <v/>
      </c>
      <c r="L505" s="0" t="str">
        <f aca="false">IF('THÁNG 9'!$C62="","",N('THÁNG 9'!$O62))</f>
        <v/>
      </c>
      <c r="M505" s="0" t="str">
        <f aca="false">IF('THÁNG 9'!$C62="","",N('THÁNG 9'!$P62))</f>
        <v/>
      </c>
      <c r="N505" s="0" t="str">
        <f aca="false">IF('THÁNG 9'!$C62="","",N('THÁNG 9'!$Q62))</f>
        <v/>
      </c>
      <c r="O505" s="0" t="str">
        <f aca="false">IF('THÁNG 9'!$C62="","",N('THÁNG 9'!$R62))</f>
        <v/>
      </c>
      <c r="P505" s="0" t="str">
        <f aca="false">IF(OR('THÁNG 9'!$C62="",'THÁNG 9'!$T62=""),"",'THÁNG 9'!$T62)</f>
        <v/>
      </c>
      <c r="Q505" s="0" t="str">
        <f aca="false">IF(OR('THÁNG 9'!$C62="",'THÁNG 9'!$U62=""),"",'THÁNG 9'!$U62)</f>
        <v/>
      </c>
      <c r="R505" s="0" t="str">
        <f aca="false">IF('THÁNG 9'!$C62="","",'THÁNG 9'!$W62&amp;"")</f>
        <v/>
      </c>
      <c r="S505" s="0" t="str">
        <f aca="false">IF('THÁNG 9'!$C62="","",'THÁNG 9'!$S62&amp;"")</f>
        <v/>
      </c>
      <c r="T505" s="0" t="str">
        <f aca="false">IF(N($O505)&gt;0,COUNTIF($O$3:$O505,"&gt;0"),"")</f>
        <v/>
      </c>
      <c r="U505" s="0" t="str">
        <f aca="false">IF(AND(N($J505)&gt;0,N($K505)&gt;0),COUNTIFS($J$3:$J505,"&gt;0",$K$3:$K505,"&gt;0"),"")</f>
        <v/>
      </c>
      <c r="V505" s="0" t="str">
        <f aca="false">IF(AND(N($J505)&gt;0,N($K505)=0),COUNTIFS($J$3:$J505,"&gt;0",$K$3:$K505,"&lt;=0"),"")</f>
        <v/>
      </c>
      <c r="W505" s="0" t="str">
        <f aca="false">IF($C505="","",IF(COUNTIF($C$3:$C505,$C505)&gt;1,"",MAX($W$2:W504)+1))</f>
        <v/>
      </c>
      <c r="X505" s="0" t="str">
        <f aca="false">IF($H505="","",IF(COUNTIF($H$3:$H505,$H505)&gt;1,"",MAX($X$2:X504)+1))</f>
        <v/>
      </c>
      <c r="Y505" s="0" t="str">
        <f aca="false">IF(AND(N($M505)&gt;0,N($O505)&lt;=0),COUNTIFS($M$3:$M505,"&gt;0",$O$3:$O505,"&lt;=0"),"")</f>
        <v/>
      </c>
      <c r="Z505" s="30" t="n">
        <f aca="false">IF(OR('THÁNG 9'!$C62="",'THÁNG 9'!$B62=""),0,'THÁNG 9'!$B62)</f>
        <v>0</v>
      </c>
    </row>
    <row r="506" customFormat="false" ht="15" hidden="false" customHeight="false" outlineLevel="0" collapsed="false">
      <c r="A506" s="0" t="n">
        <v>9</v>
      </c>
      <c r="B506" s="29" t="str">
        <f aca="false">IF(OR('THÁNG 9'!$C63="",'THÁNG 9'!$B63=""),"",'THÁNG 9'!$B63)</f>
        <v/>
      </c>
      <c r="C506" s="0" t="str">
        <f aca="false">IF('THÁNG 9'!$C63="","",'THÁNG 9'!$C63)</f>
        <v/>
      </c>
      <c r="D506" s="0" t="str">
        <f aca="false">IF('THÁNG 9'!$C63="","",'THÁNG 9'!$D63&amp;"")</f>
        <v/>
      </c>
      <c r="E506" s="0" t="str">
        <f aca="false">IF('THÁNG 9'!$C63="","",'THÁNG 9'!$E63&amp;"")</f>
        <v/>
      </c>
      <c r="F506" s="0" t="str">
        <f aca="false">IF('THÁNG 9'!$C63="","",'THÁNG 9'!$F63&amp;"")</f>
        <v/>
      </c>
      <c r="G506" s="0" t="str">
        <f aca="false">IF('THÁNG 9'!$C63="","",'THÁNG 9'!$G63&amp;"")</f>
        <v/>
      </c>
      <c r="H506" s="0" t="str">
        <f aca="false">IF('THÁNG 9'!$C63="","",'THÁNG 9'!$H63&amp;"")</f>
        <v/>
      </c>
      <c r="I506" s="0" t="str">
        <f aca="false">IF('THÁNG 9'!$C63="","",N('THÁNG 9'!$I63))</f>
        <v/>
      </c>
      <c r="J506" s="0" t="str">
        <f aca="false">IF('THÁNG 9'!$C63="","",N('THÁNG 9'!$L63))</f>
        <v/>
      </c>
      <c r="K506" s="0" t="str">
        <f aca="false">IF('THÁNG 9'!$C63="","",N('THÁNG 9'!$N63))</f>
        <v/>
      </c>
      <c r="L506" s="0" t="str">
        <f aca="false">IF('THÁNG 9'!$C63="","",N('THÁNG 9'!$O63))</f>
        <v/>
      </c>
      <c r="M506" s="0" t="str">
        <f aca="false">IF('THÁNG 9'!$C63="","",N('THÁNG 9'!$P63))</f>
        <v/>
      </c>
      <c r="N506" s="0" t="str">
        <f aca="false">IF('THÁNG 9'!$C63="","",N('THÁNG 9'!$Q63))</f>
        <v/>
      </c>
      <c r="O506" s="0" t="str">
        <f aca="false">IF('THÁNG 9'!$C63="","",N('THÁNG 9'!$R63))</f>
        <v/>
      </c>
      <c r="P506" s="0" t="str">
        <f aca="false">IF(OR('THÁNG 9'!$C63="",'THÁNG 9'!$T63=""),"",'THÁNG 9'!$T63)</f>
        <v/>
      </c>
      <c r="Q506" s="0" t="str">
        <f aca="false">IF(OR('THÁNG 9'!$C63="",'THÁNG 9'!$U63=""),"",'THÁNG 9'!$U63)</f>
        <v/>
      </c>
      <c r="R506" s="0" t="str">
        <f aca="false">IF('THÁNG 9'!$C63="","",'THÁNG 9'!$W63&amp;"")</f>
        <v/>
      </c>
      <c r="S506" s="0" t="str">
        <f aca="false">IF('THÁNG 9'!$C63="","",'THÁNG 9'!$S63&amp;"")</f>
        <v/>
      </c>
      <c r="T506" s="0" t="str">
        <f aca="false">IF(N($O506)&gt;0,COUNTIF($O$3:$O506,"&gt;0"),"")</f>
        <v/>
      </c>
      <c r="U506" s="0" t="str">
        <f aca="false">IF(AND(N($J506)&gt;0,N($K506)&gt;0),COUNTIFS($J$3:$J506,"&gt;0",$K$3:$K506,"&gt;0"),"")</f>
        <v/>
      </c>
      <c r="V506" s="0" t="str">
        <f aca="false">IF(AND(N($J506)&gt;0,N($K506)=0),COUNTIFS($J$3:$J506,"&gt;0",$K$3:$K506,"&lt;=0"),"")</f>
        <v/>
      </c>
      <c r="W506" s="0" t="str">
        <f aca="false">IF($C506="","",IF(COUNTIF($C$3:$C506,$C506)&gt;1,"",MAX($W$2:W505)+1))</f>
        <v/>
      </c>
      <c r="X506" s="0" t="str">
        <f aca="false">IF($H506="","",IF(COUNTIF($H$3:$H506,$H506)&gt;1,"",MAX($X$2:X505)+1))</f>
        <v/>
      </c>
      <c r="Y506" s="0" t="str">
        <f aca="false">IF(AND(N($M506)&gt;0,N($O506)&lt;=0),COUNTIFS($M$3:$M506,"&gt;0",$O$3:$O506,"&lt;=0"),"")</f>
        <v/>
      </c>
      <c r="Z506" s="30" t="n">
        <f aca="false">IF(OR('THÁNG 9'!$C63="",'THÁNG 9'!$B63=""),0,'THÁNG 9'!$B63)</f>
        <v>0</v>
      </c>
    </row>
    <row r="507" customFormat="false" ht="15" hidden="false" customHeight="false" outlineLevel="0" collapsed="false">
      <c r="A507" s="0" t="n">
        <v>9</v>
      </c>
      <c r="B507" s="29" t="str">
        <f aca="false">IF(OR('THÁNG 9'!$C64="",'THÁNG 9'!$B64=""),"",'THÁNG 9'!$B64)</f>
        <v/>
      </c>
      <c r="C507" s="0" t="str">
        <f aca="false">IF('THÁNG 9'!$C64="","",'THÁNG 9'!$C64)</f>
        <v/>
      </c>
      <c r="D507" s="0" t="str">
        <f aca="false">IF('THÁNG 9'!$C64="","",'THÁNG 9'!$D64&amp;"")</f>
        <v/>
      </c>
      <c r="E507" s="0" t="str">
        <f aca="false">IF('THÁNG 9'!$C64="","",'THÁNG 9'!$E64&amp;"")</f>
        <v/>
      </c>
      <c r="F507" s="0" t="str">
        <f aca="false">IF('THÁNG 9'!$C64="","",'THÁNG 9'!$F64&amp;"")</f>
        <v/>
      </c>
      <c r="G507" s="0" t="str">
        <f aca="false">IF('THÁNG 9'!$C64="","",'THÁNG 9'!$G64&amp;"")</f>
        <v/>
      </c>
      <c r="H507" s="0" t="str">
        <f aca="false">IF('THÁNG 9'!$C64="","",'THÁNG 9'!$H64&amp;"")</f>
        <v/>
      </c>
      <c r="I507" s="0" t="str">
        <f aca="false">IF('THÁNG 9'!$C64="","",N('THÁNG 9'!$I64))</f>
        <v/>
      </c>
      <c r="J507" s="0" t="str">
        <f aca="false">IF('THÁNG 9'!$C64="","",N('THÁNG 9'!$L64))</f>
        <v/>
      </c>
      <c r="K507" s="0" t="str">
        <f aca="false">IF('THÁNG 9'!$C64="","",N('THÁNG 9'!$N64))</f>
        <v/>
      </c>
      <c r="L507" s="0" t="str">
        <f aca="false">IF('THÁNG 9'!$C64="","",N('THÁNG 9'!$O64))</f>
        <v/>
      </c>
      <c r="M507" s="0" t="str">
        <f aca="false">IF('THÁNG 9'!$C64="","",N('THÁNG 9'!$P64))</f>
        <v/>
      </c>
      <c r="N507" s="0" t="str">
        <f aca="false">IF('THÁNG 9'!$C64="","",N('THÁNG 9'!$Q64))</f>
        <v/>
      </c>
      <c r="O507" s="0" t="str">
        <f aca="false">IF('THÁNG 9'!$C64="","",N('THÁNG 9'!$R64))</f>
        <v/>
      </c>
      <c r="P507" s="0" t="str">
        <f aca="false">IF(OR('THÁNG 9'!$C64="",'THÁNG 9'!$T64=""),"",'THÁNG 9'!$T64)</f>
        <v/>
      </c>
      <c r="Q507" s="0" t="str">
        <f aca="false">IF(OR('THÁNG 9'!$C64="",'THÁNG 9'!$U64=""),"",'THÁNG 9'!$U64)</f>
        <v/>
      </c>
      <c r="R507" s="0" t="str">
        <f aca="false">IF('THÁNG 9'!$C64="","",'THÁNG 9'!$W64&amp;"")</f>
        <v/>
      </c>
      <c r="S507" s="0" t="str">
        <f aca="false">IF('THÁNG 9'!$C64="","",'THÁNG 9'!$S64&amp;"")</f>
        <v/>
      </c>
      <c r="T507" s="0" t="str">
        <f aca="false">IF(N($O507)&gt;0,COUNTIF($O$3:$O507,"&gt;0"),"")</f>
        <v/>
      </c>
      <c r="U507" s="0" t="str">
        <f aca="false">IF(AND(N($J507)&gt;0,N($K507)&gt;0),COUNTIFS($J$3:$J507,"&gt;0",$K$3:$K507,"&gt;0"),"")</f>
        <v/>
      </c>
      <c r="V507" s="0" t="str">
        <f aca="false">IF(AND(N($J507)&gt;0,N($K507)=0),COUNTIFS($J$3:$J507,"&gt;0",$K$3:$K507,"&lt;=0"),"")</f>
        <v/>
      </c>
      <c r="W507" s="0" t="str">
        <f aca="false">IF($C507="","",IF(COUNTIF($C$3:$C507,$C507)&gt;1,"",MAX($W$2:W506)+1))</f>
        <v/>
      </c>
      <c r="X507" s="0" t="str">
        <f aca="false">IF($H507="","",IF(COUNTIF($H$3:$H507,$H507)&gt;1,"",MAX($X$2:X506)+1))</f>
        <v/>
      </c>
      <c r="Y507" s="0" t="str">
        <f aca="false">IF(AND(N($M507)&gt;0,N($O507)&lt;=0),COUNTIFS($M$3:$M507,"&gt;0",$O$3:$O507,"&lt;=0"),"")</f>
        <v/>
      </c>
      <c r="Z507" s="30" t="n">
        <f aca="false">IF(OR('THÁNG 9'!$C64="",'THÁNG 9'!$B64=""),0,'THÁNG 9'!$B64)</f>
        <v>0</v>
      </c>
    </row>
    <row r="508" customFormat="false" ht="15" hidden="false" customHeight="false" outlineLevel="0" collapsed="false">
      <c r="A508" s="0" t="n">
        <v>9</v>
      </c>
      <c r="B508" s="29" t="str">
        <f aca="false">IF(OR('THÁNG 9'!$C65="",'THÁNG 9'!$B65=""),"",'THÁNG 9'!$B65)</f>
        <v/>
      </c>
      <c r="C508" s="0" t="str">
        <f aca="false">IF('THÁNG 9'!$C65="","",'THÁNG 9'!$C65)</f>
        <v/>
      </c>
      <c r="D508" s="0" t="str">
        <f aca="false">IF('THÁNG 9'!$C65="","",'THÁNG 9'!$D65&amp;"")</f>
        <v/>
      </c>
      <c r="E508" s="0" t="str">
        <f aca="false">IF('THÁNG 9'!$C65="","",'THÁNG 9'!$E65&amp;"")</f>
        <v/>
      </c>
      <c r="F508" s="0" t="str">
        <f aca="false">IF('THÁNG 9'!$C65="","",'THÁNG 9'!$F65&amp;"")</f>
        <v/>
      </c>
      <c r="G508" s="0" t="str">
        <f aca="false">IF('THÁNG 9'!$C65="","",'THÁNG 9'!$G65&amp;"")</f>
        <v/>
      </c>
      <c r="H508" s="0" t="str">
        <f aca="false">IF('THÁNG 9'!$C65="","",'THÁNG 9'!$H65&amp;"")</f>
        <v/>
      </c>
      <c r="I508" s="0" t="str">
        <f aca="false">IF('THÁNG 9'!$C65="","",N('THÁNG 9'!$I65))</f>
        <v/>
      </c>
      <c r="J508" s="0" t="str">
        <f aca="false">IF('THÁNG 9'!$C65="","",N('THÁNG 9'!$L65))</f>
        <v/>
      </c>
      <c r="K508" s="0" t="str">
        <f aca="false">IF('THÁNG 9'!$C65="","",N('THÁNG 9'!$N65))</f>
        <v/>
      </c>
      <c r="L508" s="0" t="str">
        <f aca="false">IF('THÁNG 9'!$C65="","",N('THÁNG 9'!$O65))</f>
        <v/>
      </c>
      <c r="M508" s="0" t="str">
        <f aca="false">IF('THÁNG 9'!$C65="","",N('THÁNG 9'!$P65))</f>
        <v/>
      </c>
      <c r="N508" s="0" t="str">
        <f aca="false">IF('THÁNG 9'!$C65="","",N('THÁNG 9'!$Q65))</f>
        <v/>
      </c>
      <c r="O508" s="0" t="str">
        <f aca="false">IF('THÁNG 9'!$C65="","",N('THÁNG 9'!$R65))</f>
        <v/>
      </c>
      <c r="P508" s="0" t="str">
        <f aca="false">IF(OR('THÁNG 9'!$C65="",'THÁNG 9'!$T65=""),"",'THÁNG 9'!$T65)</f>
        <v/>
      </c>
      <c r="Q508" s="0" t="str">
        <f aca="false">IF(OR('THÁNG 9'!$C65="",'THÁNG 9'!$U65=""),"",'THÁNG 9'!$U65)</f>
        <v/>
      </c>
      <c r="R508" s="0" t="str">
        <f aca="false">IF('THÁNG 9'!$C65="","",'THÁNG 9'!$W65&amp;"")</f>
        <v/>
      </c>
      <c r="S508" s="0" t="str">
        <f aca="false">IF('THÁNG 9'!$C65="","",'THÁNG 9'!$S65&amp;"")</f>
        <v/>
      </c>
      <c r="T508" s="0" t="str">
        <f aca="false">IF(N($O508)&gt;0,COUNTIF($O$3:$O508,"&gt;0"),"")</f>
        <v/>
      </c>
      <c r="U508" s="0" t="str">
        <f aca="false">IF(AND(N($J508)&gt;0,N($K508)&gt;0),COUNTIFS($J$3:$J508,"&gt;0",$K$3:$K508,"&gt;0"),"")</f>
        <v/>
      </c>
      <c r="V508" s="0" t="str">
        <f aca="false">IF(AND(N($J508)&gt;0,N($K508)=0),COUNTIFS($J$3:$J508,"&gt;0",$K$3:$K508,"&lt;=0"),"")</f>
        <v/>
      </c>
      <c r="W508" s="0" t="str">
        <f aca="false">IF($C508="","",IF(COUNTIF($C$3:$C508,$C508)&gt;1,"",MAX($W$2:W507)+1))</f>
        <v/>
      </c>
      <c r="X508" s="0" t="str">
        <f aca="false">IF($H508="","",IF(COUNTIF($H$3:$H508,$H508)&gt;1,"",MAX($X$2:X507)+1))</f>
        <v/>
      </c>
      <c r="Y508" s="0" t="str">
        <f aca="false">IF(AND(N($M508)&gt;0,N($O508)&lt;=0),COUNTIFS($M$3:$M508,"&gt;0",$O$3:$O508,"&lt;=0"),"")</f>
        <v/>
      </c>
      <c r="Z508" s="30" t="n">
        <f aca="false">IF(OR('THÁNG 9'!$C65="",'THÁNG 9'!$B65=""),0,'THÁNG 9'!$B65)</f>
        <v>0</v>
      </c>
    </row>
    <row r="509" customFormat="false" ht="15" hidden="false" customHeight="false" outlineLevel="0" collapsed="false">
      <c r="A509" s="0" t="n">
        <v>9</v>
      </c>
      <c r="B509" s="29" t="str">
        <f aca="false">IF(OR('THÁNG 9'!$C66="",'THÁNG 9'!$B66=""),"",'THÁNG 9'!$B66)</f>
        <v/>
      </c>
      <c r="C509" s="0" t="str">
        <f aca="false">IF('THÁNG 9'!$C66="","",'THÁNG 9'!$C66)</f>
        <v/>
      </c>
      <c r="D509" s="0" t="str">
        <f aca="false">IF('THÁNG 9'!$C66="","",'THÁNG 9'!$D66&amp;"")</f>
        <v/>
      </c>
      <c r="E509" s="0" t="str">
        <f aca="false">IF('THÁNG 9'!$C66="","",'THÁNG 9'!$E66&amp;"")</f>
        <v/>
      </c>
      <c r="F509" s="0" t="str">
        <f aca="false">IF('THÁNG 9'!$C66="","",'THÁNG 9'!$F66&amp;"")</f>
        <v/>
      </c>
      <c r="G509" s="0" t="str">
        <f aca="false">IF('THÁNG 9'!$C66="","",'THÁNG 9'!$G66&amp;"")</f>
        <v/>
      </c>
      <c r="H509" s="0" t="str">
        <f aca="false">IF('THÁNG 9'!$C66="","",'THÁNG 9'!$H66&amp;"")</f>
        <v/>
      </c>
      <c r="I509" s="0" t="str">
        <f aca="false">IF('THÁNG 9'!$C66="","",N('THÁNG 9'!$I66))</f>
        <v/>
      </c>
      <c r="J509" s="0" t="str">
        <f aca="false">IF('THÁNG 9'!$C66="","",N('THÁNG 9'!$L66))</f>
        <v/>
      </c>
      <c r="K509" s="0" t="str">
        <f aca="false">IF('THÁNG 9'!$C66="","",N('THÁNG 9'!$N66))</f>
        <v/>
      </c>
      <c r="L509" s="0" t="str">
        <f aca="false">IF('THÁNG 9'!$C66="","",N('THÁNG 9'!$O66))</f>
        <v/>
      </c>
      <c r="M509" s="0" t="str">
        <f aca="false">IF('THÁNG 9'!$C66="","",N('THÁNG 9'!$P66))</f>
        <v/>
      </c>
      <c r="N509" s="0" t="str">
        <f aca="false">IF('THÁNG 9'!$C66="","",N('THÁNG 9'!$Q66))</f>
        <v/>
      </c>
      <c r="O509" s="0" t="str">
        <f aca="false">IF('THÁNG 9'!$C66="","",N('THÁNG 9'!$R66))</f>
        <v/>
      </c>
      <c r="P509" s="0" t="str">
        <f aca="false">IF(OR('THÁNG 9'!$C66="",'THÁNG 9'!$T66=""),"",'THÁNG 9'!$T66)</f>
        <v/>
      </c>
      <c r="Q509" s="0" t="str">
        <f aca="false">IF(OR('THÁNG 9'!$C66="",'THÁNG 9'!$U66=""),"",'THÁNG 9'!$U66)</f>
        <v/>
      </c>
      <c r="R509" s="0" t="str">
        <f aca="false">IF('THÁNG 9'!$C66="","",'THÁNG 9'!$W66&amp;"")</f>
        <v/>
      </c>
      <c r="S509" s="0" t="str">
        <f aca="false">IF('THÁNG 9'!$C66="","",'THÁNG 9'!$S66&amp;"")</f>
        <v/>
      </c>
      <c r="T509" s="0" t="str">
        <f aca="false">IF(N($O509)&gt;0,COUNTIF($O$3:$O509,"&gt;0"),"")</f>
        <v/>
      </c>
      <c r="U509" s="0" t="str">
        <f aca="false">IF(AND(N($J509)&gt;0,N($K509)&gt;0),COUNTIFS($J$3:$J509,"&gt;0",$K$3:$K509,"&gt;0"),"")</f>
        <v/>
      </c>
      <c r="V509" s="0" t="str">
        <f aca="false">IF(AND(N($J509)&gt;0,N($K509)=0),COUNTIFS($J$3:$J509,"&gt;0",$K$3:$K509,"&lt;=0"),"")</f>
        <v/>
      </c>
      <c r="W509" s="0" t="str">
        <f aca="false">IF($C509="","",IF(COUNTIF($C$3:$C509,$C509)&gt;1,"",MAX($W$2:W508)+1))</f>
        <v/>
      </c>
      <c r="X509" s="0" t="str">
        <f aca="false">IF($H509="","",IF(COUNTIF($H$3:$H509,$H509)&gt;1,"",MAX($X$2:X508)+1))</f>
        <v/>
      </c>
      <c r="Y509" s="0" t="str">
        <f aca="false">IF(AND(N($M509)&gt;0,N($O509)&lt;=0),COUNTIFS($M$3:$M509,"&gt;0",$O$3:$O509,"&lt;=0"),"")</f>
        <v/>
      </c>
      <c r="Z509" s="30" t="n">
        <f aca="false">IF(OR('THÁNG 9'!$C66="",'THÁNG 9'!$B66=""),0,'THÁNG 9'!$B66)</f>
        <v>0</v>
      </c>
    </row>
    <row r="510" customFormat="false" ht="15" hidden="false" customHeight="false" outlineLevel="0" collapsed="false">
      <c r="A510" s="0" t="n">
        <v>9</v>
      </c>
      <c r="B510" s="29" t="str">
        <f aca="false">IF(OR('THÁNG 9'!$C67="",'THÁNG 9'!$B67=""),"",'THÁNG 9'!$B67)</f>
        <v/>
      </c>
      <c r="C510" s="0" t="str">
        <f aca="false">IF('THÁNG 9'!$C67="","",'THÁNG 9'!$C67)</f>
        <v/>
      </c>
      <c r="D510" s="0" t="str">
        <f aca="false">IF('THÁNG 9'!$C67="","",'THÁNG 9'!$D67&amp;"")</f>
        <v/>
      </c>
      <c r="E510" s="0" t="str">
        <f aca="false">IF('THÁNG 9'!$C67="","",'THÁNG 9'!$E67&amp;"")</f>
        <v/>
      </c>
      <c r="F510" s="0" t="str">
        <f aca="false">IF('THÁNG 9'!$C67="","",'THÁNG 9'!$F67&amp;"")</f>
        <v/>
      </c>
      <c r="G510" s="0" t="str">
        <f aca="false">IF('THÁNG 9'!$C67="","",'THÁNG 9'!$G67&amp;"")</f>
        <v/>
      </c>
      <c r="H510" s="0" t="str">
        <f aca="false">IF('THÁNG 9'!$C67="","",'THÁNG 9'!$H67&amp;"")</f>
        <v/>
      </c>
      <c r="I510" s="0" t="str">
        <f aca="false">IF('THÁNG 9'!$C67="","",N('THÁNG 9'!$I67))</f>
        <v/>
      </c>
      <c r="J510" s="0" t="str">
        <f aca="false">IF('THÁNG 9'!$C67="","",N('THÁNG 9'!$L67))</f>
        <v/>
      </c>
      <c r="K510" s="0" t="str">
        <f aca="false">IF('THÁNG 9'!$C67="","",N('THÁNG 9'!$N67))</f>
        <v/>
      </c>
      <c r="L510" s="0" t="str">
        <f aca="false">IF('THÁNG 9'!$C67="","",N('THÁNG 9'!$O67))</f>
        <v/>
      </c>
      <c r="M510" s="0" t="str">
        <f aca="false">IF('THÁNG 9'!$C67="","",N('THÁNG 9'!$P67))</f>
        <v/>
      </c>
      <c r="N510" s="0" t="str">
        <f aca="false">IF('THÁNG 9'!$C67="","",N('THÁNG 9'!$Q67))</f>
        <v/>
      </c>
      <c r="O510" s="0" t="str">
        <f aca="false">IF('THÁNG 9'!$C67="","",N('THÁNG 9'!$R67))</f>
        <v/>
      </c>
      <c r="P510" s="0" t="str">
        <f aca="false">IF(OR('THÁNG 9'!$C67="",'THÁNG 9'!$T67=""),"",'THÁNG 9'!$T67)</f>
        <v/>
      </c>
      <c r="Q510" s="0" t="str">
        <f aca="false">IF(OR('THÁNG 9'!$C67="",'THÁNG 9'!$U67=""),"",'THÁNG 9'!$U67)</f>
        <v/>
      </c>
      <c r="R510" s="0" t="str">
        <f aca="false">IF('THÁNG 9'!$C67="","",'THÁNG 9'!$W67&amp;"")</f>
        <v/>
      </c>
      <c r="S510" s="0" t="str">
        <f aca="false">IF('THÁNG 9'!$C67="","",'THÁNG 9'!$S67&amp;"")</f>
        <v/>
      </c>
      <c r="T510" s="0" t="str">
        <f aca="false">IF(N($O510)&gt;0,COUNTIF($O$3:$O510,"&gt;0"),"")</f>
        <v/>
      </c>
      <c r="U510" s="0" t="str">
        <f aca="false">IF(AND(N($J510)&gt;0,N($K510)&gt;0),COUNTIFS($J$3:$J510,"&gt;0",$K$3:$K510,"&gt;0"),"")</f>
        <v/>
      </c>
      <c r="V510" s="0" t="str">
        <f aca="false">IF(AND(N($J510)&gt;0,N($K510)=0),COUNTIFS($J$3:$J510,"&gt;0",$K$3:$K510,"&lt;=0"),"")</f>
        <v/>
      </c>
      <c r="W510" s="0" t="str">
        <f aca="false">IF($C510="","",IF(COUNTIF($C$3:$C510,$C510)&gt;1,"",MAX($W$2:W509)+1))</f>
        <v/>
      </c>
      <c r="X510" s="0" t="str">
        <f aca="false">IF($H510="","",IF(COUNTIF($H$3:$H510,$H510)&gt;1,"",MAX($X$2:X509)+1))</f>
        <v/>
      </c>
      <c r="Y510" s="0" t="str">
        <f aca="false">IF(AND(N($M510)&gt;0,N($O510)&lt;=0),COUNTIFS($M$3:$M510,"&gt;0",$O$3:$O510,"&lt;=0"),"")</f>
        <v/>
      </c>
      <c r="Z510" s="30" t="n">
        <f aca="false">IF(OR('THÁNG 9'!$C67="",'THÁNG 9'!$B67=""),0,'THÁNG 9'!$B67)</f>
        <v>0</v>
      </c>
    </row>
    <row r="511" customFormat="false" ht="15" hidden="false" customHeight="false" outlineLevel="0" collapsed="false">
      <c r="A511" s="0" t="n">
        <v>9</v>
      </c>
      <c r="B511" s="29" t="str">
        <f aca="false">IF(OR('THÁNG 9'!$C68="",'THÁNG 9'!$B68=""),"",'THÁNG 9'!$B68)</f>
        <v/>
      </c>
      <c r="C511" s="0" t="str">
        <f aca="false">IF('THÁNG 9'!$C68="","",'THÁNG 9'!$C68)</f>
        <v/>
      </c>
      <c r="D511" s="0" t="str">
        <f aca="false">IF('THÁNG 9'!$C68="","",'THÁNG 9'!$D68&amp;"")</f>
        <v/>
      </c>
      <c r="E511" s="0" t="str">
        <f aca="false">IF('THÁNG 9'!$C68="","",'THÁNG 9'!$E68&amp;"")</f>
        <v/>
      </c>
      <c r="F511" s="0" t="str">
        <f aca="false">IF('THÁNG 9'!$C68="","",'THÁNG 9'!$F68&amp;"")</f>
        <v/>
      </c>
      <c r="G511" s="0" t="str">
        <f aca="false">IF('THÁNG 9'!$C68="","",'THÁNG 9'!$G68&amp;"")</f>
        <v/>
      </c>
      <c r="H511" s="0" t="str">
        <f aca="false">IF('THÁNG 9'!$C68="","",'THÁNG 9'!$H68&amp;"")</f>
        <v/>
      </c>
      <c r="I511" s="0" t="str">
        <f aca="false">IF('THÁNG 9'!$C68="","",N('THÁNG 9'!$I68))</f>
        <v/>
      </c>
      <c r="J511" s="0" t="str">
        <f aca="false">IF('THÁNG 9'!$C68="","",N('THÁNG 9'!$L68))</f>
        <v/>
      </c>
      <c r="K511" s="0" t="str">
        <f aca="false">IF('THÁNG 9'!$C68="","",N('THÁNG 9'!$N68))</f>
        <v/>
      </c>
      <c r="L511" s="0" t="str">
        <f aca="false">IF('THÁNG 9'!$C68="","",N('THÁNG 9'!$O68))</f>
        <v/>
      </c>
      <c r="M511" s="0" t="str">
        <f aca="false">IF('THÁNG 9'!$C68="","",N('THÁNG 9'!$P68))</f>
        <v/>
      </c>
      <c r="N511" s="0" t="str">
        <f aca="false">IF('THÁNG 9'!$C68="","",N('THÁNG 9'!$Q68))</f>
        <v/>
      </c>
      <c r="O511" s="0" t="str">
        <f aca="false">IF('THÁNG 9'!$C68="","",N('THÁNG 9'!$R68))</f>
        <v/>
      </c>
      <c r="P511" s="0" t="str">
        <f aca="false">IF(OR('THÁNG 9'!$C68="",'THÁNG 9'!$T68=""),"",'THÁNG 9'!$T68)</f>
        <v/>
      </c>
      <c r="Q511" s="0" t="str">
        <f aca="false">IF(OR('THÁNG 9'!$C68="",'THÁNG 9'!$U68=""),"",'THÁNG 9'!$U68)</f>
        <v/>
      </c>
      <c r="R511" s="0" t="str">
        <f aca="false">IF('THÁNG 9'!$C68="","",'THÁNG 9'!$W68&amp;"")</f>
        <v/>
      </c>
      <c r="S511" s="0" t="str">
        <f aca="false">IF('THÁNG 9'!$C68="","",'THÁNG 9'!$S68&amp;"")</f>
        <v/>
      </c>
      <c r="T511" s="0" t="str">
        <f aca="false">IF(N($O511)&gt;0,COUNTIF($O$3:$O511,"&gt;0"),"")</f>
        <v/>
      </c>
      <c r="U511" s="0" t="str">
        <f aca="false">IF(AND(N($J511)&gt;0,N($K511)&gt;0),COUNTIFS($J$3:$J511,"&gt;0",$K$3:$K511,"&gt;0"),"")</f>
        <v/>
      </c>
      <c r="V511" s="0" t="str">
        <f aca="false">IF(AND(N($J511)&gt;0,N($K511)=0),COUNTIFS($J$3:$J511,"&gt;0",$K$3:$K511,"&lt;=0"),"")</f>
        <v/>
      </c>
      <c r="W511" s="0" t="str">
        <f aca="false">IF($C511="","",IF(COUNTIF($C$3:$C511,$C511)&gt;1,"",MAX($W$2:W510)+1))</f>
        <v/>
      </c>
      <c r="X511" s="0" t="str">
        <f aca="false">IF($H511="","",IF(COUNTIF($H$3:$H511,$H511)&gt;1,"",MAX($X$2:X510)+1))</f>
        <v/>
      </c>
      <c r="Y511" s="0" t="str">
        <f aca="false">IF(AND(N($M511)&gt;0,N($O511)&lt;=0),COUNTIFS($M$3:$M511,"&gt;0",$O$3:$O511,"&lt;=0"),"")</f>
        <v/>
      </c>
      <c r="Z511" s="30" t="n">
        <f aca="false">IF(OR('THÁNG 9'!$C68="",'THÁNG 9'!$B68=""),0,'THÁNG 9'!$B68)</f>
        <v>0</v>
      </c>
    </row>
    <row r="512" customFormat="false" ht="15" hidden="false" customHeight="false" outlineLevel="0" collapsed="false">
      <c r="A512" s="0" t="n">
        <v>9</v>
      </c>
      <c r="B512" s="29" t="str">
        <f aca="false">IF(OR('THÁNG 9'!$C69="",'THÁNG 9'!$B69=""),"",'THÁNG 9'!$B69)</f>
        <v/>
      </c>
      <c r="C512" s="0" t="str">
        <f aca="false">IF('THÁNG 9'!$C69="","",'THÁNG 9'!$C69)</f>
        <v/>
      </c>
      <c r="D512" s="0" t="str">
        <f aca="false">IF('THÁNG 9'!$C69="","",'THÁNG 9'!$D69&amp;"")</f>
        <v/>
      </c>
      <c r="E512" s="0" t="str">
        <f aca="false">IF('THÁNG 9'!$C69="","",'THÁNG 9'!$E69&amp;"")</f>
        <v/>
      </c>
      <c r="F512" s="0" t="str">
        <f aca="false">IF('THÁNG 9'!$C69="","",'THÁNG 9'!$F69&amp;"")</f>
        <v/>
      </c>
      <c r="G512" s="0" t="str">
        <f aca="false">IF('THÁNG 9'!$C69="","",'THÁNG 9'!$G69&amp;"")</f>
        <v/>
      </c>
      <c r="H512" s="0" t="str">
        <f aca="false">IF('THÁNG 9'!$C69="","",'THÁNG 9'!$H69&amp;"")</f>
        <v/>
      </c>
      <c r="I512" s="0" t="str">
        <f aca="false">IF('THÁNG 9'!$C69="","",N('THÁNG 9'!$I69))</f>
        <v/>
      </c>
      <c r="J512" s="0" t="str">
        <f aca="false">IF('THÁNG 9'!$C69="","",N('THÁNG 9'!$L69))</f>
        <v/>
      </c>
      <c r="K512" s="0" t="str">
        <f aca="false">IF('THÁNG 9'!$C69="","",N('THÁNG 9'!$N69))</f>
        <v/>
      </c>
      <c r="L512" s="0" t="str">
        <f aca="false">IF('THÁNG 9'!$C69="","",N('THÁNG 9'!$O69))</f>
        <v/>
      </c>
      <c r="M512" s="0" t="str">
        <f aca="false">IF('THÁNG 9'!$C69="","",N('THÁNG 9'!$P69))</f>
        <v/>
      </c>
      <c r="N512" s="0" t="str">
        <f aca="false">IF('THÁNG 9'!$C69="","",N('THÁNG 9'!$Q69))</f>
        <v/>
      </c>
      <c r="O512" s="0" t="str">
        <f aca="false">IF('THÁNG 9'!$C69="","",N('THÁNG 9'!$R69))</f>
        <v/>
      </c>
      <c r="P512" s="0" t="str">
        <f aca="false">IF(OR('THÁNG 9'!$C69="",'THÁNG 9'!$T69=""),"",'THÁNG 9'!$T69)</f>
        <v/>
      </c>
      <c r="Q512" s="0" t="str">
        <f aca="false">IF(OR('THÁNG 9'!$C69="",'THÁNG 9'!$U69=""),"",'THÁNG 9'!$U69)</f>
        <v/>
      </c>
      <c r="R512" s="0" t="str">
        <f aca="false">IF('THÁNG 9'!$C69="","",'THÁNG 9'!$W69&amp;"")</f>
        <v/>
      </c>
      <c r="S512" s="0" t="str">
        <f aca="false">IF('THÁNG 9'!$C69="","",'THÁNG 9'!$S69&amp;"")</f>
        <v/>
      </c>
      <c r="T512" s="0" t="str">
        <f aca="false">IF(N($O512)&gt;0,COUNTIF($O$3:$O512,"&gt;0"),"")</f>
        <v/>
      </c>
      <c r="U512" s="0" t="str">
        <f aca="false">IF(AND(N($J512)&gt;0,N($K512)&gt;0),COUNTIFS($J$3:$J512,"&gt;0",$K$3:$K512,"&gt;0"),"")</f>
        <v/>
      </c>
      <c r="V512" s="0" t="str">
        <f aca="false">IF(AND(N($J512)&gt;0,N($K512)=0),COUNTIFS($J$3:$J512,"&gt;0",$K$3:$K512,"&lt;=0"),"")</f>
        <v/>
      </c>
      <c r="W512" s="0" t="str">
        <f aca="false">IF($C512="","",IF(COUNTIF($C$3:$C512,$C512)&gt;1,"",MAX($W$2:W511)+1))</f>
        <v/>
      </c>
      <c r="X512" s="0" t="str">
        <f aca="false">IF($H512="","",IF(COUNTIF($H$3:$H512,$H512)&gt;1,"",MAX($X$2:X511)+1))</f>
        <v/>
      </c>
      <c r="Y512" s="0" t="str">
        <f aca="false">IF(AND(N($M512)&gt;0,N($O512)&lt;=0),COUNTIFS($M$3:$M512,"&gt;0",$O$3:$O512,"&lt;=0"),"")</f>
        <v/>
      </c>
      <c r="Z512" s="30" t="n">
        <f aca="false">IF(OR('THÁNG 9'!$C69="",'THÁNG 9'!$B69=""),0,'THÁNG 9'!$B69)</f>
        <v>0</v>
      </c>
    </row>
    <row r="513" customFormat="false" ht="15" hidden="false" customHeight="false" outlineLevel="0" collapsed="false">
      <c r="A513" s="0" t="n">
        <v>9</v>
      </c>
      <c r="B513" s="29" t="str">
        <f aca="false">IF(OR('THÁNG 9'!$C70="",'THÁNG 9'!$B70=""),"",'THÁNG 9'!$B70)</f>
        <v/>
      </c>
      <c r="C513" s="0" t="str">
        <f aca="false">IF('THÁNG 9'!$C70="","",'THÁNG 9'!$C70)</f>
        <v/>
      </c>
      <c r="D513" s="0" t="str">
        <f aca="false">IF('THÁNG 9'!$C70="","",'THÁNG 9'!$D70&amp;"")</f>
        <v/>
      </c>
      <c r="E513" s="0" t="str">
        <f aca="false">IF('THÁNG 9'!$C70="","",'THÁNG 9'!$E70&amp;"")</f>
        <v/>
      </c>
      <c r="F513" s="0" t="str">
        <f aca="false">IF('THÁNG 9'!$C70="","",'THÁNG 9'!$F70&amp;"")</f>
        <v/>
      </c>
      <c r="G513" s="0" t="str">
        <f aca="false">IF('THÁNG 9'!$C70="","",'THÁNG 9'!$G70&amp;"")</f>
        <v/>
      </c>
      <c r="H513" s="0" t="str">
        <f aca="false">IF('THÁNG 9'!$C70="","",'THÁNG 9'!$H70&amp;"")</f>
        <v/>
      </c>
      <c r="I513" s="0" t="str">
        <f aca="false">IF('THÁNG 9'!$C70="","",N('THÁNG 9'!$I70))</f>
        <v/>
      </c>
      <c r="J513" s="0" t="str">
        <f aca="false">IF('THÁNG 9'!$C70="","",N('THÁNG 9'!$L70))</f>
        <v/>
      </c>
      <c r="K513" s="0" t="str">
        <f aca="false">IF('THÁNG 9'!$C70="","",N('THÁNG 9'!$N70))</f>
        <v/>
      </c>
      <c r="L513" s="0" t="str">
        <f aca="false">IF('THÁNG 9'!$C70="","",N('THÁNG 9'!$O70))</f>
        <v/>
      </c>
      <c r="M513" s="0" t="str">
        <f aca="false">IF('THÁNG 9'!$C70="","",N('THÁNG 9'!$P70))</f>
        <v/>
      </c>
      <c r="N513" s="0" t="str">
        <f aca="false">IF('THÁNG 9'!$C70="","",N('THÁNG 9'!$Q70))</f>
        <v/>
      </c>
      <c r="O513" s="0" t="str">
        <f aca="false">IF('THÁNG 9'!$C70="","",N('THÁNG 9'!$R70))</f>
        <v/>
      </c>
      <c r="P513" s="0" t="str">
        <f aca="false">IF(OR('THÁNG 9'!$C70="",'THÁNG 9'!$T70=""),"",'THÁNG 9'!$T70)</f>
        <v/>
      </c>
      <c r="Q513" s="0" t="str">
        <f aca="false">IF(OR('THÁNG 9'!$C70="",'THÁNG 9'!$U70=""),"",'THÁNG 9'!$U70)</f>
        <v/>
      </c>
      <c r="R513" s="0" t="str">
        <f aca="false">IF('THÁNG 9'!$C70="","",'THÁNG 9'!$W70&amp;"")</f>
        <v/>
      </c>
      <c r="S513" s="0" t="str">
        <f aca="false">IF('THÁNG 9'!$C70="","",'THÁNG 9'!$S70&amp;"")</f>
        <v/>
      </c>
      <c r="T513" s="0" t="str">
        <f aca="false">IF(N($O513)&gt;0,COUNTIF($O$3:$O513,"&gt;0"),"")</f>
        <v/>
      </c>
      <c r="U513" s="0" t="str">
        <f aca="false">IF(AND(N($J513)&gt;0,N($K513)&gt;0),COUNTIFS($J$3:$J513,"&gt;0",$K$3:$K513,"&gt;0"),"")</f>
        <v/>
      </c>
      <c r="V513" s="0" t="str">
        <f aca="false">IF(AND(N($J513)&gt;0,N($K513)=0),COUNTIFS($J$3:$J513,"&gt;0",$K$3:$K513,"&lt;=0"),"")</f>
        <v/>
      </c>
      <c r="W513" s="0" t="str">
        <f aca="false">IF($C513="","",IF(COUNTIF($C$3:$C513,$C513)&gt;1,"",MAX($W$2:W512)+1))</f>
        <v/>
      </c>
      <c r="X513" s="0" t="str">
        <f aca="false">IF($H513="","",IF(COUNTIF($H$3:$H513,$H513)&gt;1,"",MAX($X$2:X512)+1))</f>
        <v/>
      </c>
      <c r="Y513" s="0" t="str">
        <f aca="false">IF(AND(N($M513)&gt;0,N($O513)&lt;=0),COUNTIFS($M$3:$M513,"&gt;0",$O$3:$O513,"&lt;=0"),"")</f>
        <v/>
      </c>
      <c r="Z513" s="30" t="n">
        <f aca="false">IF(OR('THÁNG 9'!$C70="",'THÁNG 9'!$B70=""),0,'THÁNG 9'!$B70)</f>
        <v>0</v>
      </c>
    </row>
    <row r="514" customFormat="false" ht="15" hidden="false" customHeight="false" outlineLevel="0" collapsed="false">
      <c r="A514" s="0" t="n">
        <v>9</v>
      </c>
      <c r="B514" s="29" t="str">
        <f aca="false">IF(OR('THÁNG 9'!$C71="",'THÁNG 9'!$B71=""),"",'THÁNG 9'!$B71)</f>
        <v/>
      </c>
      <c r="C514" s="0" t="str">
        <f aca="false">IF('THÁNG 9'!$C71="","",'THÁNG 9'!$C71)</f>
        <v/>
      </c>
      <c r="D514" s="0" t="str">
        <f aca="false">IF('THÁNG 9'!$C71="","",'THÁNG 9'!$D71&amp;"")</f>
        <v/>
      </c>
      <c r="E514" s="0" t="str">
        <f aca="false">IF('THÁNG 9'!$C71="","",'THÁNG 9'!$E71&amp;"")</f>
        <v/>
      </c>
      <c r="F514" s="0" t="str">
        <f aca="false">IF('THÁNG 9'!$C71="","",'THÁNG 9'!$F71&amp;"")</f>
        <v/>
      </c>
      <c r="G514" s="0" t="str">
        <f aca="false">IF('THÁNG 9'!$C71="","",'THÁNG 9'!$G71&amp;"")</f>
        <v/>
      </c>
      <c r="H514" s="0" t="str">
        <f aca="false">IF('THÁNG 9'!$C71="","",'THÁNG 9'!$H71&amp;"")</f>
        <v/>
      </c>
      <c r="I514" s="0" t="str">
        <f aca="false">IF('THÁNG 9'!$C71="","",N('THÁNG 9'!$I71))</f>
        <v/>
      </c>
      <c r="J514" s="0" t="str">
        <f aca="false">IF('THÁNG 9'!$C71="","",N('THÁNG 9'!$L71))</f>
        <v/>
      </c>
      <c r="K514" s="0" t="str">
        <f aca="false">IF('THÁNG 9'!$C71="","",N('THÁNG 9'!$N71))</f>
        <v/>
      </c>
      <c r="L514" s="0" t="str">
        <f aca="false">IF('THÁNG 9'!$C71="","",N('THÁNG 9'!$O71))</f>
        <v/>
      </c>
      <c r="M514" s="0" t="str">
        <f aca="false">IF('THÁNG 9'!$C71="","",N('THÁNG 9'!$P71))</f>
        <v/>
      </c>
      <c r="N514" s="0" t="str">
        <f aca="false">IF('THÁNG 9'!$C71="","",N('THÁNG 9'!$Q71))</f>
        <v/>
      </c>
      <c r="O514" s="0" t="str">
        <f aca="false">IF('THÁNG 9'!$C71="","",N('THÁNG 9'!$R71))</f>
        <v/>
      </c>
      <c r="P514" s="0" t="str">
        <f aca="false">IF(OR('THÁNG 9'!$C71="",'THÁNG 9'!$T71=""),"",'THÁNG 9'!$T71)</f>
        <v/>
      </c>
      <c r="Q514" s="0" t="str">
        <f aca="false">IF(OR('THÁNG 9'!$C71="",'THÁNG 9'!$U71=""),"",'THÁNG 9'!$U71)</f>
        <v/>
      </c>
      <c r="R514" s="0" t="str">
        <f aca="false">IF('THÁNG 9'!$C71="","",'THÁNG 9'!$W71&amp;"")</f>
        <v/>
      </c>
      <c r="S514" s="0" t="str">
        <f aca="false">IF('THÁNG 9'!$C71="","",'THÁNG 9'!$S71&amp;"")</f>
        <v/>
      </c>
      <c r="T514" s="0" t="str">
        <f aca="false">IF(N($O514)&gt;0,COUNTIF($O$3:$O514,"&gt;0"),"")</f>
        <v/>
      </c>
      <c r="U514" s="0" t="str">
        <f aca="false">IF(AND(N($J514)&gt;0,N($K514)&gt;0),COUNTIFS($J$3:$J514,"&gt;0",$K$3:$K514,"&gt;0"),"")</f>
        <v/>
      </c>
      <c r="V514" s="0" t="str">
        <f aca="false">IF(AND(N($J514)&gt;0,N($K514)=0),COUNTIFS($J$3:$J514,"&gt;0",$K$3:$K514,"&lt;=0"),"")</f>
        <v/>
      </c>
      <c r="W514" s="0" t="str">
        <f aca="false">IF($C514="","",IF(COUNTIF($C$3:$C514,$C514)&gt;1,"",MAX($W$2:W513)+1))</f>
        <v/>
      </c>
      <c r="X514" s="0" t="str">
        <f aca="false">IF($H514="","",IF(COUNTIF($H$3:$H514,$H514)&gt;1,"",MAX($X$2:X513)+1))</f>
        <v/>
      </c>
      <c r="Y514" s="0" t="str">
        <f aca="false">IF(AND(N($M514)&gt;0,N($O514)&lt;=0),COUNTIFS($M$3:$M514,"&gt;0",$O$3:$O514,"&lt;=0"),"")</f>
        <v/>
      </c>
      <c r="Z514" s="30" t="n">
        <f aca="false">IF(OR('THÁNG 9'!$C71="",'THÁNG 9'!$B71=""),0,'THÁNG 9'!$B71)</f>
        <v>0</v>
      </c>
    </row>
    <row r="515" customFormat="false" ht="15" hidden="false" customHeight="false" outlineLevel="0" collapsed="false">
      <c r="A515" s="0" t="n">
        <v>9</v>
      </c>
      <c r="B515" s="29" t="str">
        <f aca="false">IF(OR('THÁNG 9'!$C72="",'THÁNG 9'!$B72=""),"",'THÁNG 9'!$B72)</f>
        <v/>
      </c>
      <c r="C515" s="0" t="str">
        <f aca="false">IF('THÁNG 9'!$C72="","",'THÁNG 9'!$C72)</f>
        <v/>
      </c>
      <c r="D515" s="0" t="str">
        <f aca="false">IF('THÁNG 9'!$C72="","",'THÁNG 9'!$D72&amp;"")</f>
        <v/>
      </c>
      <c r="E515" s="0" t="str">
        <f aca="false">IF('THÁNG 9'!$C72="","",'THÁNG 9'!$E72&amp;"")</f>
        <v/>
      </c>
      <c r="F515" s="0" t="str">
        <f aca="false">IF('THÁNG 9'!$C72="","",'THÁNG 9'!$F72&amp;"")</f>
        <v/>
      </c>
      <c r="G515" s="0" t="str">
        <f aca="false">IF('THÁNG 9'!$C72="","",'THÁNG 9'!$G72&amp;"")</f>
        <v/>
      </c>
      <c r="H515" s="0" t="str">
        <f aca="false">IF('THÁNG 9'!$C72="","",'THÁNG 9'!$H72&amp;"")</f>
        <v/>
      </c>
      <c r="I515" s="0" t="str">
        <f aca="false">IF('THÁNG 9'!$C72="","",N('THÁNG 9'!$I72))</f>
        <v/>
      </c>
      <c r="J515" s="0" t="str">
        <f aca="false">IF('THÁNG 9'!$C72="","",N('THÁNG 9'!$L72))</f>
        <v/>
      </c>
      <c r="K515" s="0" t="str">
        <f aca="false">IF('THÁNG 9'!$C72="","",N('THÁNG 9'!$N72))</f>
        <v/>
      </c>
      <c r="L515" s="0" t="str">
        <f aca="false">IF('THÁNG 9'!$C72="","",N('THÁNG 9'!$O72))</f>
        <v/>
      </c>
      <c r="M515" s="0" t="str">
        <f aca="false">IF('THÁNG 9'!$C72="","",N('THÁNG 9'!$P72))</f>
        <v/>
      </c>
      <c r="N515" s="0" t="str">
        <f aca="false">IF('THÁNG 9'!$C72="","",N('THÁNG 9'!$Q72))</f>
        <v/>
      </c>
      <c r="O515" s="0" t="str">
        <f aca="false">IF('THÁNG 9'!$C72="","",N('THÁNG 9'!$R72))</f>
        <v/>
      </c>
      <c r="P515" s="0" t="str">
        <f aca="false">IF(OR('THÁNG 9'!$C72="",'THÁNG 9'!$T72=""),"",'THÁNG 9'!$T72)</f>
        <v/>
      </c>
      <c r="Q515" s="0" t="str">
        <f aca="false">IF(OR('THÁNG 9'!$C72="",'THÁNG 9'!$U72=""),"",'THÁNG 9'!$U72)</f>
        <v/>
      </c>
      <c r="R515" s="0" t="str">
        <f aca="false">IF('THÁNG 9'!$C72="","",'THÁNG 9'!$W72&amp;"")</f>
        <v/>
      </c>
      <c r="S515" s="0" t="str">
        <f aca="false">IF('THÁNG 9'!$C72="","",'THÁNG 9'!$S72&amp;"")</f>
        <v/>
      </c>
      <c r="T515" s="0" t="str">
        <f aca="false">IF(N($O515)&gt;0,COUNTIF($O$3:$O515,"&gt;0"),"")</f>
        <v/>
      </c>
      <c r="U515" s="0" t="str">
        <f aca="false">IF(AND(N($J515)&gt;0,N($K515)&gt;0),COUNTIFS($J$3:$J515,"&gt;0",$K$3:$K515,"&gt;0"),"")</f>
        <v/>
      </c>
      <c r="V515" s="0" t="str">
        <f aca="false">IF(AND(N($J515)&gt;0,N($K515)=0),COUNTIFS($J$3:$J515,"&gt;0",$K$3:$K515,"&lt;=0"),"")</f>
        <v/>
      </c>
      <c r="W515" s="0" t="str">
        <f aca="false">IF($C515="","",IF(COUNTIF($C$3:$C515,$C515)&gt;1,"",MAX($W$2:W514)+1))</f>
        <v/>
      </c>
      <c r="X515" s="0" t="str">
        <f aca="false">IF($H515="","",IF(COUNTIF($H$3:$H515,$H515)&gt;1,"",MAX($X$2:X514)+1))</f>
        <v/>
      </c>
      <c r="Y515" s="0" t="str">
        <f aca="false">IF(AND(N($M515)&gt;0,N($O515)&lt;=0),COUNTIFS($M$3:$M515,"&gt;0",$O$3:$O515,"&lt;=0"),"")</f>
        <v/>
      </c>
      <c r="Z515" s="30" t="n">
        <f aca="false">IF(OR('THÁNG 9'!$C72="",'THÁNG 9'!$B72=""),0,'THÁNG 9'!$B72)</f>
        <v>0</v>
      </c>
    </row>
    <row r="516" customFormat="false" ht="15" hidden="false" customHeight="false" outlineLevel="0" collapsed="false">
      <c r="A516" s="0" t="n">
        <v>9</v>
      </c>
      <c r="B516" s="29" t="str">
        <f aca="false">IF(OR('THÁNG 9'!$C73="",'THÁNG 9'!$B73=""),"",'THÁNG 9'!$B73)</f>
        <v/>
      </c>
      <c r="C516" s="0" t="str">
        <f aca="false">IF('THÁNG 9'!$C73="","",'THÁNG 9'!$C73)</f>
        <v/>
      </c>
      <c r="D516" s="0" t="str">
        <f aca="false">IF('THÁNG 9'!$C73="","",'THÁNG 9'!$D73&amp;"")</f>
        <v/>
      </c>
      <c r="E516" s="0" t="str">
        <f aca="false">IF('THÁNG 9'!$C73="","",'THÁNG 9'!$E73&amp;"")</f>
        <v/>
      </c>
      <c r="F516" s="0" t="str">
        <f aca="false">IF('THÁNG 9'!$C73="","",'THÁNG 9'!$F73&amp;"")</f>
        <v/>
      </c>
      <c r="G516" s="0" t="str">
        <f aca="false">IF('THÁNG 9'!$C73="","",'THÁNG 9'!$G73&amp;"")</f>
        <v/>
      </c>
      <c r="H516" s="0" t="str">
        <f aca="false">IF('THÁNG 9'!$C73="","",'THÁNG 9'!$H73&amp;"")</f>
        <v/>
      </c>
      <c r="I516" s="0" t="str">
        <f aca="false">IF('THÁNG 9'!$C73="","",N('THÁNG 9'!$I73))</f>
        <v/>
      </c>
      <c r="J516" s="0" t="str">
        <f aca="false">IF('THÁNG 9'!$C73="","",N('THÁNG 9'!$L73))</f>
        <v/>
      </c>
      <c r="K516" s="0" t="str">
        <f aca="false">IF('THÁNG 9'!$C73="","",N('THÁNG 9'!$N73))</f>
        <v/>
      </c>
      <c r="L516" s="0" t="str">
        <f aca="false">IF('THÁNG 9'!$C73="","",N('THÁNG 9'!$O73))</f>
        <v/>
      </c>
      <c r="M516" s="0" t="str">
        <f aca="false">IF('THÁNG 9'!$C73="","",N('THÁNG 9'!$P73))</f>
        <v/>
      </c>
      <c r="N516" s="0" t="str">
        <f aca="false">IF('THÁNG 9'!$C73="","",N('THÁNG 9'!$Q73))</f>
        <v/>
      </c>
      <c r="O516" s="0" t="str">
        <f aca="false">IF('THÁNG 9'!$C73="","",N('THÁNG 9'!$R73))</f>
        <v/>
      </c>
      <c r="P516" s="0" t="str">
        <f aca="false">IF(OR('THÁNG 9'!$C73="",'THÁNG 9'!$T73=""),"",'THÁNG 9'!$T73)</f>
        <v/>
      </c>
      <c r="Q516" s="0" t="str">
        <f aca="false">IF(OR('THÁNG 9'!$C73="",'THÁNG 9'!$U73=""),"",'THÁNG 9'!$U73)</f>
        <v/>
      </c>
      <c r="R516" s="0" t="str">
        <f aca="false">IF('THÁNG 9'!$C73="","",'THÁNG 9'!$W73&amp;"")</f>
        <v/>
      </c>
      <c r="S516" s="0" t="str">
        <f aca="false">IF('THÁNG 9'!$C73="","",'THÁNG 9'!$S73&amp;"")</f>
        <v/>
      </c>
      <c r="T516" s="0" t="str">
        <f aca="false">IF(N($O516)&gt;0,COUNTIF($O$3:$O516,"&gt;0"),"")</f>
        <v/>
      </c>
      <c r="U516" s="0" t="str">
        <f aca="false">IF(AND(N($J516)&gt;0,N($K516)&gt;0),COUNTIFS($J$3:$J516,"&gt;0",$K$3:$K516,"&gt;0"),"")</f>
        <v/>
      </c>
      <c r="V516" s="0" t="str">
        <f aca="false">IF(AND(N($J516)&gt;0,N($K516)=0),COUNTIFS($J$3:$J516,"&gt;0",$K$3:$K516,"&lt;=0"),"")</f>
        <v/>
      </c>
      <c r="W516" s="0" t="str">
        <f aca="false">IF($C516="","",IF(COUNTIF($C$3:$C516,$C516)&gt;1,"",MAX($W$2:W515)+1))</f>
        <v/>
      </c>
      <c r="X516" s="0" t="str">
        <f aca="false">IF($H516="","",IF(COUNTIF($H$3:$H516,$H516)&gt;1,"",MAX($X$2:X515)+1))</f>
        <v/>
      </c>
      <c r="Y516" s="0" t="str">
        <f aca="false">IF(AND(N($M516)&gt;0,N($O516)&lt;=0),COUNTIFS($M$3:$M516,"&gt;0",$O$3:$O516,"&lt;=0"),"")</f>
        <v/>
      </c>
      <c r="Z516" s="30" t="n">
        <f aca="false">IF(OR('THÁNG 9'!$C73="",'THÁNG 9'!$B73=""),0,'THÁNG 9'!$B73)</f>
        <v>0</v>
      </c>
    </row>
    <row r="517" customFormat="false" ht="15" hidden="false" customHeight="false" outlineLevel="0" collapsed="false">
      <c r="A517" s="0" t="n">
        <v>9</v>
      </c>
      <c r="B517" s="29" t="str">
        <f aca="false">IF(OR('THÁNG 9'!$C74="",'THÁNG 9'!$B74=""),"",'THÁNG 9'!$B74)</f>
        <v/>
      </c>
      <c r="C517" s="0" t="str">
        <f aca="false">IF('THÁNG 9'!$C74="","",'THÁNG 9'!$C74)</f>
        <v/>
      </c>
      <c r="D517" s="0" t="str">
        <f aca="false">IF('THÁNG 9'!$C74="","",'THÁNG 9'!$D74&amp;"")</f>
        <v/>
      </c>
      <c r="E517" s="0" t="str">
        <f aca="false">IF('THÁNG 9'!$C74="","",'THÁNG 9'!$E74&amp;"")</f>
        <v/>
      </c>
      <c r="F517" s="0" t="str">
        <f aca="false">IF('THÁNG 9'!$C74="","",'THÁNG 9'!$F74&amp;"")</f>
        <v/>
      </c>
      <c r="G517" s="0" t="str">
        <f aca="false">IF('THÁNG 9'!$C74="","",'THÁNG 9'!$G74&amp;"")</f>
        <v/>
      </c>
      <c r="H517" s="0" t="str">
        <f aca="false">IF('THÁNG 9'!$C74="","",'THÁNG 9'!$H74&amp;"")</f>
        <v/>
      </c>
      <c r="I517" s="0" t="str">
        <f aca="false">IF('THÁNG 9'!$C74="","",N('THÁNG 9'!$I74))</f>
        <v/>
      </c>
      <c r="J517" s="0" t="str">
        <f aca="false">IF('THÁNG 9'!$C74="","",N('THÁNG 9'!$L74))</f>
        <v/>
      </c>
      <c r="K517" s="0" t="str">
        <f aca="false">IF('THÁNG 9'!$C74="","",N('THÁNG 9'!$N74))</f>
        <v/>
      </c>
      <c r="L517" s="0" t="str">
        <f aca="false">IF('THÁNG 9'!$C74="","",N('THÁNG 9'!$O74))</f>
        <v/>
      </c>
      <c r="M517" s="0" t="str">
        <f aca="false">IF('THÁNG 9'!$C74="","",N('THÁNG 9'!$P74))</f>
        <v/>
      </c>
      <c r="N517" s="0" t="str">
        <f aca="false">IF('THÁNG 9'!$C74="","",N('THÁNG 9'!$Q74))</f>
        <v/>
      </c>
      <c r="O517" s="0" t="str">
        <f aca="false">IF('THÁNG 9'!$C74="","",N('THÁNG 9'!$R74))</f>
        <v/>
      </c>
      <c r="P517" s="0" t="str">
        <f aca="false">IF(OR('THÁNG 9'!$C74="",'THÁNG 9'!$T74=""),"",'THÁNG 9'!$T74)</f>
        <v/>
      </c>
      <c r="Q517" s="0" t="str">
        <f aca="false">IF(OR('THÁNG 9'!$C74="",'THÁNG 9'!$U74=""),"",'THÁNG 9'!$U74)</f>
        <v/>
      </c>
      <c r="R517" s="0" t="str">
        <f aca="false">IF('THÁNG 9'!$C74="","",'THÁNG 9'!$W74&amp;"")</f>
        <v/>
      </c>
      <c r="S517" s="0" t="str">
        <f aca="false">IF('THÁNG 9'!$C74="","",'THÁNG 9'!$S74&amp;"")</f>
        <v/>
      </c>
      <c r="T517" s="0" t="str">
        <f aca="false">IF(N($O517)&gt;0,COUNTIF($O$3:$O517,"&gt;0"),"")</f>
        <v/>
      </c>
      <c r="U517" s="0" t="str">
        <f aca="false">IF(AND(N($J517)&gt;0,N($K517)&gt;0),COUNTIFS($J$3:$J517,"&gt;0",$K$3:$K517,"&gt;0"),"")</f>
        <v/>
      </c>
      <c r="V517" s="0" t="str">
        <f aca="false">IF(AND(N($J517)&gt;0,N($K517)=0),COUNTIFS($J$3:$J517,"&gt;0",$K$3:$K517,"&lt;=0"),"")</f>
        <v/>
      </c>
      <c r="W517" s="0" t="str">
        <f aca="false">IF($C517="","",IF(COUNTIF($C$3:$C517,$C517)&gt;1,"",MAX($W$2:W516)+1))</f>
        <v/>
      </c>
      <c r="X517" s="0" t="str">
        <f aca="false">IF($H517="","",IF(COUNTIF($H$3:$H517,$H517)&gt;1,"",MAX($X$2:X516)+1))</f>
        <v/>
      </c>
      <c r="Y517" s="0" t="str">
        <f aca="false">IF(AND(N($M517)&gt;0,N($O517)&lt;=0),COUNTIFS($M$3:$M517,"&gt;0",$O$3:$O517,"&lt;=0"),"")</f>
        <v/>
      </c>
      <c r="Z517" s="30" t="n">
        <f aca="false">IF(OR('THÁNG 9'!$C74="",'THÁNG 9'!$B74=""),0,'THÁNG 9'!$B74)</f>
        <v>0</v>
      </c>
    </row>
    <row r="518" customFormat="false" ht="15" hidden="false" customHeight="false" outlineLevel="0" collapsed="false">
      <c r="A518" s="0" t="n">
        <v>9</v>
      </c>
      <c r="B518" s="29" t="str">
        <f aca="false">IF(OR('THÁNG 9'!$C75="",'THÁNG 9'!$B75=""),"",'THÁNG 9'!$B75)</f>
        <v/>
      </c>
      <c r="C518" s="0" t="str">
        <f aca="false">IF('THÁNG 9'!$C75="","",'THÁNG 9'!$C75)</f>
        <v/>
      </c>
      <c r="D518" s="0" t="str">
        <f aca="false">IF('THÁNG 9'!$C75="","",'THÁNG 9'!$D75&amp;"")</f>
        <v/>
      </c>
      <c r="E518" s="0" t="str">
        <f aca="false">IF('THÁNG 9'!$C75="","",'THÁNG 9'!$E75&amp;"")</f>
        <v/>
      </c>
      <c r="F518" s="0" t="str">
        <f aca="false">IF('THÁNG 9'!$C75="","",'THÁNG 9'!$F75&amp;"")</f>
        <v/>
      </c>
      <c r="G518" s="0" t="str">
        <f aca="false">IF('THÁNG 9'!$C75="","",'THÁNG 9'!$G75&amp;"")</f>
        <v/>
      </c>
      <c r="H518" s="0" t="str">
        <f aca="false">IF('THÁNG 9'!$C75="","",'THÁNG 9'!$H75&amp;"")</f>
        <v/>
      </c>
      <c r="I518" s="0" t="str">
        <f aca="false">IF('THÁNG 9'!$C75="","",N('THÁNG 9'!$I75))</f>
        <v/>
      </c>
      <c r="J518" s="0" t="str">
        <f aca="false">IF('THÁNG 9'!$C75="","",N('THÁNG 9'!$L75))</f>
        <v/>
      </c>
      <c r="K518" s="0" t="str">
        <f aca="false">IF('THÁNG 9'!$C75="","",N('THÁNG 9'!$N75))</f>
        <v/>
      </c>
      <c r="L518" s="0" t="str">
        <f aca="false">IF('THÁNG 9'!$C75="","",N('THÁNG 9'!$O75))</f>
        <v/>
      </c>
      <c r="M518" s="0" t="str">
        <f aca="false">IF('THÁNG 9'!$C75="","",N('THÁNG 9'!$P75))</f>
        <v/>
      </c>
      <c r="N518" s="0" t="str">
        <f aca="false">IF('THÁNG 9'!$C75="","",N('THÁNG 9'!$Q75))</f>
        <v/>
      </c>
      <c r="O518" s="0" t="str">
        <f aca="false">IF('THÁNG 9'!$C75="","",N('THÁNG 9'!$R75))</f>
        <v/>
      </c>
      <c r="P518" s="0" t="str">
        <f aca="false">IF(OR('THÁNG 9'!$C75="",'THÁNG 9'!$T75=""),"",'THÁNG 9'!$T75)</f>
        <v/>
      </c>
      <c r="Q518" s="0" t="str">
        <f aca="false">IF(OR('THÁNG 9'!$C75="",'THÁNG 9'!$U75=""),"",'THÁNG 9'!$U75)</f>
        <v/>
      </c>
      <c r="R518" s="0" t="str">
        <f aca="false">IF('THÁNG 9'!$C75="","",'THÁNG 9'!$W75&amp;"")</f>
        <v/>
      </c>
      <c r="S518" s="0" t="str">
        <f aca="false">IF('THÁNG 9'!$C75="","",'THÁNG 9'!$S75&amp;"")</f>
        <v/>
      </c>
      <c r="T518" s="0" t="str">
        <f aca="false">IF(N($O518)&gt;0,COUNTIF($O$3:$O518,"&gt;0"),"")</f>
        <v/>
      </c>
      <c r="U518" s="0" t="str">
        <f aca="false">IF(AND(N($J518)&gt;0,N($K518)&gt;0),COUNTIFS($J$3:$J518,"&gt;0",$K$3:$K518,"&gt;0"),"")</f>
        <v/>
      </c>
      <c r="V518" s="0" t="str">
        <f aca="false">IF(AND(N($J518)&gt;0,N($K518)=0),COUNTIFS($J$3:$J518,"&gt;0",$K$3:$K518,"&lt;=0"),"")</f>
        <v/>
      </c>
      <c r="W518" s="0" t="str">
        <f aca="false">IF($C518="","",IF(COUNTIF($C$3:$C518,$C518)&gt;1,"",MAX($W$2:W517)+1))</f>
        <v/>
      </c>
      <c r="X518" s="0" t="str">
        <f aca="false">IF($H518="","",IF(COUNTIF($H$3:$H518,$H518)&gt;1,"",MAX($X$2:X517)+1))</f>
        <v/>
      </c>
      <c r="Y518" s="0" t="str">
        <f aca="false">IF(AND(N($M518)&gt;0,N($O518)&lt;=0),COUNTIFS($M$3:$M518,"&gt;0",$O$3:$O518,"&lt;=0"),"")</f>
        <v/>
      </c>
      <c r="Z518" s="30" t="n">
        <f aca="false">IF(OR('THÁNG 9'!$C75="",'THÁNG 9'!$B75=""),0,'THÁNG 9'!$B75)</f>
        <v>0</v>
      </c>
    </row>
    <row r="519" customFormat="false" ht="15" hidden="false" customHeight="false" outlineLevel="0" collapsed="false">
      <c r="A519" s="0" t="n">
        <v>9</v>
      </c>
      <c r="B519" s="29" t="str">
        <f aca="false">IF(OR('THÁNG 9'!$C76="",'THÁNG 9'!$B76=""),"",'THÁNG 9'!$B76)</f>
        <v/>
      </c>
      <c r="C519" s="0" t="str">
        <f aca="false">IF('THÁNG 9'!$C76="","",'THÁNG 9'!$C76)</f>
        <v/>
      </c>
      <c r="D519" s="0" t="str">
        <f aca="false">IF('THÁNG 9'!$C76="","",'THÁNG 9'!$D76&amp;"")</f>
        <v/>
      </c>
      <c r="E519" s="0" t="str">
        <f aca="false">IF('THÁNG 9'!$C76="","",'THÁNG 9'!$E76&amp;"")</f>
        <v/>
      </c>
      <c r="F519" s="0" t="str">
        <f aca="false">IF('THÁNG 9'!$C76="","",'THÁNG 9'!$F76&amp;"")</f>
        <v/>
      </c>
      <c r="G519" s="0" t="str">
        <f aca="false">IF('THÁNG 9'!$C76="","",'THÁNG 9'!$G76&amp;"")</f>
        <v/>
      </c>
      <c r="H519" s="0" t="str">
        <f aca="false">IF('THÁNG 9'!$C76="","",'THÁNG 9'!$H76&amp;"")</f>
        <v/>
      </c>
      <c r="I519" s="0" t="str">
        <f aca="false">IF('THÁNG 9'!$C76="","",N('THÁNG 9'!$I76))</f>
        <v/>
      </c>
      <c r="J519" s="0" t="str">
        <f aca="false">IF('THÁNG 9'!$C76="","",N('THÁNG 9'!$L76))</f>
        <v/>
      </c>
      <c r="K519" s="0" t="str">
        <f aca="false">IF('THÁNG 9'!$C76="","",N('THÁNG 9'!$N76))</f>
        <v/>
      </c>
      <c r="L519" s="0" t="str">
        <f aca="false">IF('THÁNG 9'!$C76="","",N('THÁNG 9'!$O76))</f>
        <v/>
      </c>
      <c r="M519" s="0" t="str">
        <f aca="false">IF('THÁNG 9'!$C76="","",N('THÁNG 9'!$P76))</f>
        <v/>
      </c>
      <c r="N519" s="0" t="str">
        <f aca="false">IF('THÁNG 9'!$C76="","",N('THÁNG 9'!$Q76))</f>
        <v/>
      </c>
      <c r="O519" s="0" t="str">
        <f aca="false">IF('THÁNG 9'!$C76="","",N('THÁNG 9'!$R76))</f>
        <v/>
      </c>
      <c r="P519" s="0" t="str">
        <f aca="false">IF(OR('THÁNG 9'!$C76="",'THÁNG 9'!$T76=""),"",'THÁNG 9'!$T76)</f>
        <v/>
      </c>
      <c r="Q519" s="0" t="str">
        <f aca="false">IF(OR('THÁNG 9'!$C76="",'THÁNG 9'!$U76=""),"",'THÁNG 9'!$U76)</f>
        <v/>
      </c>
      <c r="R519" s="0" t="str">
        <f aca="false">IF('THÁNG 9'!$C76="","",'THÁNG 9'!$W76&amp;"")</f>
        <v/>
      </c>
      <c r="S519" s="0" t="str">
        <f aca="false">IF('THÁNG 9'!$C76="","",'THÁNG 9'!$S76&amp;"")</f>
        <v/>
      </c>
      <c r="T519" s="0" t="str">
        <f aca="false">IF(N($O519)&gt;0,COUNTIF($O$3:$O519,"&gt;0"),"")</f>
        <v/>
      </c>
      <c r="U519" s="0" t="str">
        <f aca="false">IF(AND(N($J519)&gt;0,N($K519)&gt;0),COUNTIFS($J$3:$J519,"&gt;0",$K$3:$K519,"&gt;0"),"")</f>
        <v/>
      </c>
      <c r="V519" s="0" t="str">
        <f aca="false">IF(AND(N($J519)&gt;0,N($K519)=0),COUNTIFS($J$3:$J519,"&gt;0",$K$3:$K519,"&lt;=0"),"")</f>
        <v/>
      </c>
      <c r="W519" s="0" t="str">
        <f aca="false">IF($C519="","",IF(COUNTIF($C$3:$C519,$C519)&gt;1,"",MAX($W$2:W518)+1))</f>
        <v/>
      </c>
      <c r="X519" s="0" t="str">
        <f aca="false">IF($H519="","",IF(COUNTIF($H$3:$H519,$H519)&gt;1,"",MAX($X$2:X518)+1))</f>
        <v/>
      </c>
      <c r="Y519" s="0" t="str">
        <f aca="false">IF(AND(N($M519)&gt;0,N($O519)&lt;=0),COUNTIFS($M$3:$M519,"&gt;0",$O$3:$O519,"&lt;=0"),"")</f>
        <v/>
      </c>
      <c r="Z519" s="30" t="n">
        <f aca="false">IF(OR('THÁNG 9'!$C76="",'THÁNG 9'!$B76=""),0,'THÁNG 9'!$B76)</f>
        <v>0</v>
      </c>
    </row>
    <row r="520" customFormat="false" ht="15" hidden="false" customHeight="false" outlineLevel="0" collapsed="false">
      <c r="A520" s="0" t="n">
        <v>9</v>
      </c>
      <c r="B520" s="29" t="str">
        <f aca="false">IF(OR('THÁNG 9'!$C77="",'THÁNG 9'!$B77=""),"",'THÁNG 9'!$B77)</f>
        <v/>
      </c>
      <c r="C520" s="0" t="str">
        <f aca="false">IF('THÁNG 9'!$C77="","",'THÁNG 9'!$C77)</f>
        <v/>
      </c>
      <c r="D520" s="0" t="str">
        <f aca="false">IF('THÁNG 9'!$C77="","",'THÁNG 9'!$D77&amp;"")</f>
        <v/>
      </c>
      <c r="E520" s="0" t="str">
        <f aca="false">IF('THÁNG 9'!$C77="","",'THÁNG 9'!$E77&amp;"")</f>
        <v/>
      </c>
      <c r="F520" s="0" t="str">
        <f aca="false">IF('THÁNG 9'!$C77="","",'THÁNG 9'!$F77&amp;"")</f>
        <v/>
      </c>
      <c r="G520" s="0" t="str">
        <f aca="false">IF('THÁNG 9'!$C77="","",'THÁNG 9'!$G77&amp;"")</f>
        <v/>
      </c>
      <c r="H520" s="0" t="str">
        <f aca="false">IF('THÁNG 9'!$C77="","",'THÁNG 9'!$H77&amp;"")</f>
        <v/>
      </c>
      <c r="I520" s="0" t="str">
        <f aca="false">IF('THÁNG 9'!$C77="","",N('THÁNG 9'!$I77))</f>
        <v/>
      </c>
      <c r="J520" s="0" t="str">
        <f aca="false">IF('THÁNG 9'!$C77="","",N('THÁNG 9'!$L77))</f>
        <v/>
      </c>
      <c r="K520" s="0" t="str">
        <f aca="false">IF('THÁNG 9'!$C77="","",N('THÁNG 9'!$N77))</f>
        <v/>
      </c>
      <c r="L520" s="0" t="str">
        <f aca="false">IF('THÁNG 9'!$C77="","",N('THÁNG 9'!$O77))</f>
        <v/>
      </c>
      <c r="M520" s="0" t="str">
        <f aca="false">IF('THÁNG 9'!$C77="","",N('THÁNG 9'!$P77))</f>
        <v/>
      </c>
      <c r="N520" s="0" t="str">
        <f aca="false">IF('THÁNG 9'!$C77="","",N('THÁNG 9'!$Q77))</f>
        <v/>
      </c>
      <c r="O520" s="0" t="str">
        <f aca="false">IF('THÁNG 9'!$C77="","",N('THÁNG 9'!$R77))</f>
        <v/>
      </c>
      <c r="P520" s="0" t="str">
        <f aca="false">IF(OR('THÁNG 9'!$C77="",'THÁNG 9'!$T77=""),"",'THÁNG 9'!$T77)</f>
        <v/>
      </c>
      <c r="Q520" s="0" t="str">
        <f aca="false">IF(OR('THÁNG 9'!$C77="",'THÁNG 9'!$U77=""),"",'THÁNG 9'!$U77)</f>
        <v/>
      </c>
      <c r="R520" s="0" t="str">
        <f aca="false">IF('THÁNG 9'!$C77="","",'THÁNG 9'!$W77&amp;"")</f>
        <v/>
      </c>
      <c r="S520" s="0" t="str">
        <f aca="false">IF('THÁNG 9'!$C77="","",'THÁNG 9'!$S77&amp;"")</f>
        <v/>
      </c>
      <c r="T520" s="0" t="str">
        <f aca="false">IF(N($O520)&gt;0,COUNTIF($O$3:$O520,"&gt;0"),"")</f>
        <v/>
      </c>
      <c r="U520" s="0" t="str">
        <f aca="false">IF(AND(N($J520)&gt;0,N($K520)&gt;0),COUNTIFS($J$3:$J520,"&gt;0",$K$3:$K520,"&gt;0"),"")</f>
        <v/>
      </c>
      <c r="V520" s="0" t="str">
        <f aca="false">IF(AND(N($J520)&gt;0,N($K520)=0),COUNTIFS($J$3:$J520,"&gt;0",$K$3:$K520,"&lt;=0"),"")</f>
        <v/>
      </c>
      <c r="W520" s="0" t="str">
        <f aca="false">IF($C520="","",IF(COUNTIF($C$3:$C520,$C520)&gt;1,"",MAX($W$2:W519)+1))</f>
        <v/>
      </c>
      <c r="X520" s="0" t="str">
        <f aca="false">IF($H520="","",IF(COUNTIF($H$3:$H520,$H520)&gt;1,"",MAX($X$2:X519)+1))</f>
        <v/>
      </c>
      <c r="Y520" s="0" t="str">
        <f aca="false">IF(AND(N($M520)&gt;0,N($O520)&lt;=0),COUNTIFS($M$3:$M520,"&gt;0",$O$3:$O520,"&lt;=0"),"")</f>
        <v/>
      </c>
      <c r="Z520" s="30" t="n">
        <f aca="false">IF(OR('THÁNG 9'!$C77="",'THÁNG 9'!$B77=""),0,'THÁNG 9'!$B77)</f>
        <v>0</v>
      </c>
    </row>
    <row r="521" customFormat="false" ht="15" hidden="false" customHeight="false" outlineLevel="0" collapsed="false">
      <c r="A521" s="0" t="n">
        <v>9</v>
      </c>
      <c r="B521" s="29" t="str">
        <f aca="false">IF(OR('THÁNG 9'!$C78="",'THÁNG 9'!$B78=""),"",'THÁNG 9'!$B78)</f>
        <v/>
      </c>
      <c r="C521" s="0" t="str">
        <f aca="false">IF('THÁNG 9'!$C78="","",'THÁNG 9'!$C78)</f>
        <v/>
      </c>
      <c r="D521" s="0" t="str">
        <f aca="false">IF('THÁNG 9'!$C78="","",'THÁNG 9'!$D78&amp;"")</f>
        <v/>
      </c>
      <c r="E521" s="0" t="str">
        <f aca="false">IF('THÁNG 9'!$C78="","",'THÁNG 9'!$E78&amp;"")</f>
        <v/>
      </c>
      <c r="F521" s="0" t="str">
        <f aca="false">IF('THÁNG 9'!$C78="","",'THÁNG 9'!$F78&amp;"")</f>
        <v/>
      </c>
      <c r="G521" s="0" t="str">
        <f aca="false">IF('THÁNG 9'!$C78="","",'THÁNG 9'!$G78&amp;"")</f>
        <v/>
      </c>
      <c r="H521" s="0" t="str">
        <f aca="false">IF('THÁNG 9'!$C78="","",'THÁNG 9'!$H78&amp;"")</f>
        <v/>
      </c>
      <c r="I521" s="0" t="str">
        <f aca="false">IF('THÁNG 9'!$C78="","",N('THÁNG 9'!$I78))</f>
        <v/>
      </c>
      <c r="J521" s="0" t="str">
        <f aca="false">IF('THÁNG 9'!$C78="","",N('THÁNG 9'!$L78))</f>
        <v/>
      </c>
      <c r="K521" s="0" t="str">
        <f aca="false">IF('THÁNG 9'!$C78="","",N('THÁNG 9'!$N78))</f>
        <v/>
      </c>
      <c r="L521" s="0" t="str">
        <f aca="false">IF('THÁNG 9'!$C78="","",N('THÁNG 9'!$O78))</f>
        <v/>
      </c>
      <c r="M521" s="0" t="str">
        <f aca="false">IF('THÁNG 9'!$C78="","",N('THÁNG 9'!$P78))</f>
        <v/>
      </c>
      <c r="N521" s="0" t="str">
        <f aca="false">IF('THÁNG 9'!$C78="","",N('THÁNG 9'!$Q78))</f>
        <v/>
      </c>
      <c r="O521" s="0" t="str">
        <f aca="false">IF('THÁNG 9'!$C78="","",N('THÁNG 9'!$R78))</f>
        <v/>
      </c>
      <c r="P521" s="0" t="str">
        <f aca="false">IF(OR('THÁNG 9'!$C78="",'THÁNG 9'!$T78=""),"",'THÁNG 9'!$T78)</f>
        <v/>
      </c>
      <c r="Q521" s="0" t="str">
        <f aca="false">IF(OR('THÁNG 9'!$C78="",'THÁNG 9'!$U78=""),"",'THÁNG 9'!$U78)</f>
        <v/>
      </c>
      <c r="R521" s="0" t="str">
        <f aca="false">IF('THÁNG 9'!$C78="","",'THÁNG 9'!$W78&amp;"")</f>
        <v/>
      </c>
      <c r="S521" s="0" t="str">
        <f aca="false">IF('THÁNG 9'!$C78="","",'THÁNG 9'!$S78&amp;"")</f>
        <v/>
      </c>
      <c r="T521" s="0" t="str">
        <f aca="false">IF(N($O521)&gt;0,COUNTIF($O$3:$O521,"&gt;0"),"")</f>
        <v/>
      </c>
      <c r="U521" s="0" t="str">
        <f aca="false">IF(AND(N($J521)&gt;0,N($K521)&gt;0),COUNTIFS($J$3:$J521,"&gt;0",$K$3:$K521,"&gt;0"),"")</f>
        <v/>
      </c>
      <c r="V521" s="0" t="str">
        <f aca="false">IF(AND(N($J521)&gt;0,N($K521)=0),COUNTIFS($J$3:$J521,"&gt;0",$K$3:$K521,"&lt;=0"),"")</f>
        <v/>
      </c>
      <c r="W521" s="0" t="str">
        <f aca="false">IF($C521="","",IF(COUNTIF($C$3:$C521,$C521)&gt;1,"",MAX($W$2:W520)+1))</f>
        <v/>
      </c>
      <c r="X521" s="0" t="str">
        <f aca="false">IF($H521="","",IF(COUNTIF($H$3:$H521,$H521)&gt;1,"",MAX($X$2:X520)+1))</f>
        <v/>
      </c>
      <c r="Y521" s="0" t="str">
        <f aca="false">IF(AND(N($M521)&gt;0,N($O521)&lt;=0),COUNTIFS($M$3:$M521,"&gt;0",$O$3:$O521,"&lt;=0"),"")</f>
        <v/>
      </c>
      <c r="Z521" s="30" t="n">
        <f aca="false">IF(OR('THÁNG 9'!$C78="",'THÁNG 9'!$B78=""),0,'THÁNG 9'!$B78)</f>
        <v>0</v>
      </c>
    </row>
    <row r="522" customFormat="false" ht="15" hidden="false" customHeight="false" outlineLevel="0" collapsed="false">
      <c r="A522" s="0" t="n">
        <v>9</v>
      </c>
      <c r="B522" s="29" t="str">
        <f aca="false">IF(OR('THÁNG 9'!$C79="",'THÁNG 9'!$B79=""),"",'THÁNG 9'!$B79)</f>
        <v/>
      </c>
      <c r="C522" s="0" t="str">
        <f aca="false">IF('THÁNG 9'!$C79="","",'THÁNG 9'!$C79)</f>
        <v/>
      </c>
      <c r="D522" s="0" t="str">
        <f aca="false">IF('THÁNG 9'!$C79="","",'THÁNG 9'!$D79&amp;"")</f>
        <v/>
      </c>
      <c r="E522" s="0" t="str">
        <f aca="false">IF('THÁNG 9'!$C79="","",'THÁNG 9'!$E79&amp;"")</f>
        <v/>
      </c>
      <c r="F522" s="0" t="str">
        <f aca="false">IF('THÁNG 9'!$C79="","",'THÁNG 9'!$F79&amp;"")</f>
        <v/>
      </c>
      <c r="G522" s="0" t="str">
        <f aca="false">IF('THÁNG 9'!$C79="","",'THÁNG 9'!$G79&amp;"")</f>
        <v/>
      </c>
      <c r="H522" s="0" t="str">
        <f aca="false">IF('THÁNG 9'!$C79="","",'THÁNG 9'!$H79&amp;"")</f>
        <v/>
      </c>
      <c r="I522" s="0" t="str">
        <f aca="false">IF('THÁNG 9'!$C79="","",N('THÁNG 9'!$I79))</f>
        <v/>
      </c>
      <c r="J522" s="0" t="str">
        <f aca="false">IF('THÁNG 9'!$C79="","",N('THÁNG 9'!$L79))</f>
        <v/>
      </c>
      <c r="K522" s="0" t="str">
        <f aca="false">IF('THÁNG 9'!$C79="","",N('THÁNG 9'!$N79))</f>
        <v/>
      </c>
      <c r="L522" s="0" t="str">
        <f aca="false">IF('THÁNG 9'!$C79="","",N('THÁNG 9'!$O79))</f>
        <v/>
      </c>
      <c r="M522" s="0" t="str">
        <f aca="false">IF('THÁNG 9'!$C79="","",N('THÁNG 9'!$P79))</f>
        <v/>
      </c>
      <c r="N522" s="0" t="str">
        <f aca="false">IF('THÁNG 9'!$C79="","",N('THÁNG 9'!$Q79))</f>
        <v/>
      </c>
      <c r="O522" s="0" t="str">
        <f aca="false">IF('THÁNG 9'!$C79="","",N('THÁNG 9'!$R79))</f>
        <v/>
      </c>
      <c r="P522" s="0" t="str">
        <f aca="false">IF(OR('THÁNG 9'!$C79="",'THÁNG 9'!$T79=""),"",'THÁNG 9'!$T79)</f>
        <v/>
      </c>
      <c r="Q522" s="0" t="str">
        <f aca="false">IF(OR('THÁNG 9'!$C79="",'THÁNG 9'!$U79=""),"",'THÁNG 9'!$U79)</f>
        <v/>
      </c>
      <c r="R522" s="0" t="str">
        <f aca="false">IF('THÁNG 9'!$C79="","",'THÁNG 9'!$W79&amp;"")</f>
        <v/>
      </c>
      <c r="S522" s="0" t="str">
        <f aca="false">IF('THÁNG 9'!$C79="","",'THÁNG 9'!$S79&amp;"")</f>
        <v/>
      </c>
      <c r="T522" s="0" t="str">
        <f aca="false">IF(N($O522)&gt;0,COUNTIF($O$3:$O522,"&gt;0"),"")</f>
        <v/>
      </c>
      <c r="U522" s="0" t="str">
        <f aca="false">IF(AND(N($J522)&gt;0,N($K522)&gt;0),COUNTIFS($J$3:$J522,"&gt;0",$K$3:$K522,"&gt;0"),"")</f>
        <v/>
      </c>
      <c r="V522" s="0" t="str">
        <f aca="false">IF(AND(N($J522)&gt;0,N($K522)=0),COUNTIFS($J$3:$J522,"&gt;0",$K$3:$K522,"&lt;=0"),"")</f>
        <v/>
      </c>
      <c r="W522" s="0" t="str">
        <f aca="false">IF($C522="","",IF(COUNTIF($C$3:$C522,$C522)&gt;1,"",MAX($W$2:W521)+1))</f>
        <v/>
      </c>
      <c r="X522" s="0" t="str">
        <f aca="false">IF($H522="","",IF(COUNTIF($H$3:$H522,$H522)&gt;1,"",MAX($X$2:X521)+1))</f>
        <v/>
      </c>
      <c r="Y522" s="0" t="str">
        <f aca="false">IF(AND(N($M522)&gt;0,N($O522)&lt;=0),COUNTIFS($M$3:$M522,"&gt;0",$O$3:$O522,"&lt;=0"),"")</f>
        <v/>
      </c>
      <c r="Z522" s="30" t="n">
        <f aca="false">IF(OR('THÁNG 9'!$C79="",'THÁNG 9'!$B79=""),0,'THÁNG 9'!$B79)</f>
        <v>0</v>
      </c>
    </row>
    <row r="523" customFormat="false" ht="15" hidden="false" customHeight="false" outlineLevel="0" collapsed="false">
      <c r="A523" s="0" t="n">
        <v>9</v>
      </c>
      <c r="B523" s="29" t="str">
        <f aca="false">IF(OR('THÁNG 9'!$C80="",'THÁNG 9'!$B80=""),"",'THÁNG 9'!$B80)</f>
        <v/>
      </c>
      <c r="C523" s="0" t="str">
        <f aca="false">IF('THÁNG 9'!$C80="","",'THÁNG 9'!$C80)</f>
        <v/>
      </c>
      <c r="D523" s="0" t="str">
        <f aca="false">IF('THÁNG 9'!$C80="","",'THÁNG 9'!$D80&amp;"")</f>
        <v/>
      </c>
      <c r="E523" s="0" t="str">
        <f aca="false">IF('THÁNG 9'!$C80="","",'THÁNG 9'!$E80&amp;"")</f>
        <v/>
      </c>
      <c r="F523" s="0" t="str">
        <f aca="false">IF('THÁNG 9'!$C80="","",'THÁNG 9'!$F80&amp;"")</f>
        <v/>
      </c>
      <c r="G523" s="0" t="str">
        <f aca="false">IF('THÁNG 9'!$C80="","",'THÁNG 9'!$G80&amp;"")</f>
        <v/>
      </c>
      <c r="H523" s="0" t="str">
        <f aca="false">IF('THÁNG 9'!$C80="","",'THÁNG 9'!$H80&amp;"")</f>
        <v/>
      </c>
      <c r="I523" s="0" t="str">
        <f aca="false">IF('THÁNG 9'!$C80="","",N('THÁNG 9'!$I80))</f>
        <v/>
      </c>
      <c r="J523" s="0" t="str">
        <f aca="false">IF('THÁNG 9'!$C80="","",N('THÁNG 9'!$L80))</f>
        <v/>
      </c>
      <c r="K523" s="0" t="str">
        <f aca="false">IF('THÁNG 9'!$C80="","",N('THÁNG 9'!$N80))</f>
        <v/>
      </c>
      <c r="L523" s="0" t="str">
        <f aca="false">IF('THÁNG 9'!$C80="","",N('THÁNG 9'!$O80))</f>
        <v/>
      </c>
      <c r="M523" s="0" t="str">
        <f aca="false">IF('THÁNG 9'!$C80="","",N('THÁNG 9'!$P80))</f>
        <v/>
      </c>
      <c r="N523" s="0" t="str">
        <f aca="false">IF('THÁNG 9'!$C80="","",N('THÁNG 9'!$Q80))</f>
        <v/>
      </c>
      <c r="O523" s="0" t="str">
        <f aca="false">IF('THÁNG 9'!$C80="","",N('THÁNG 9'!$R80))</f>
        <v/>
      </c>
      <c r="P523" s="0" t="str">
        <f aca="false">IF(OR('THÁNG 9'!$C80="",'THÁNG 9'!$T80=""),"",'THÁNG 9'!$T80)</f>
        <v/>
      </c>
      <c r="Q523" s="0" t="str">
        <f aca="false">IF(OR('THÁNG 9'!$C80="",'THÁNG 9'!$U80=""),"",'THÁNG 9'!$U80)</f>
        <v/>
      </c>
      <c r="R523" s="0" t="str">
        <f aca="false">IF('THÁNG 9'!$C80="","",'THÁNG 9'!$W80&amp;"")</f>
        <v/>
      </c>
      <c r="S523" s="0" t="str">
        <f aca="false">IF('THÁNG 9'!$C80="","",'THÁNG 9'!$S80&amp;"")</f>
        <v/>
      </c>
      <c r="T523" s="0" t="str">
        <f aca="false">IF(N($O523)&gt;0,COUNTIF($O$3:$O523,"&gt;0"),"")</f>
        <v/>
      </c>
      <c r="U523" s="0" t="str">
        <f aca="false">IF(AND(N($J523)&gt;0,N($K523)&gt;0),COUNTIFS($J$3:$J523,"&gt;0",$K$3:$K523,"&gt;0"),"")</f>
        <v/>
      </c>
      <c r="V523" s="0" t="str">
        <f aca="false">IF(AND(N($J523)&gt;0,N($K523)=0),COUNTIFS($J$3:$J523,"&gt;0",$K$3:$K523,"&lt;=0"),"")</f>
        <v/>
      </c>
      <c r="W523" s="0" t="str">
        <f aca="false">IF($C523="","",IF(COUNTIF($C$3:$C523,$C523)&gt;1,"",MAX($W$2:W522)+1))</f>
        <v/>
      </c>
      <c r="X523" s="0" t="str">
        <f aca="false">IF($H523="","",IF(COUNTIF($H$3:$H523,$H523)&gt;1,"",MAX($X$2:X522)+1))</f>
        <v/>
      </c>
      <c r="Y523" s="0" t="str">
        <f aca="false">IF(AND(N($M523)&gt;0,N($O523)&lt;=0),COUNTIFS($M$3:$M523,"&gt;0",$O$3:$O523,"&lt;=0"),"")</f>
        <v/>
      </c>
      <c r="Z523" s="30" t="n">
        <f aca="false">IF(OR('THÁNG 9'!$C80="",'THÁNG 9'!$B80=""),0,'THÁNG 9'!$B80)</f>
        <v>0</v>
      </c>
    </row>
    <row r="524" customFormat="false" ht="15" hidden="false" customHeight="false" outlineLevel="0" collapsed="false">
      <c r="A524" s="0" t="n">
        <v>9</v>
      </c>
      <c r="B524" s="29" t="str">
        <f aca="false">IF(OR('THÁNG 9'!$C81="",'THÁNG 9'!$B81=""),"",'THÁNG 9'!$B81)</f>
        <v/>
      </c>
      <c r="C524" s="0" t="str">
        <f aca="false">IF('THÁNG 9'!$C81="","",'THÁNG 9'!$C81)</f>
        <v/>
      </c>
      <c r="D524" s="0" t="str">
        <f aca="false">IF('THÁNG 9'!$C81="","",'THÁNG 9'!$D81&amp;"")</f>
        <v/>
      </c>
      <c r="E524" s="0" t="str">
        <f aca="false">IF('THÁNG 9'!$C81="","",'THÁNG 9'!$E81&amp;"")</f>
        <v/>
      </c>
      <c r="F524" s="0" t="str">
        <f aca="false">IF('THÁNG 9'!$C81="","",'THÁNG 9'!$F81&amp;"")</f>
        <v/>
      </c>
      <c r="G524" s="0" t="str">
        <f aca="false">IF('THÁNG 9'!$C81="","",'THÁNG 9'!$G81&amp;"")</f>
        <v/>
      </c>
      <c r="H524" s="0" t="str">
        <f aca="false">IF('THÁNG 9'!$C81="","",'THÁNG 9'!$H81&amp;"")</f>
        <v/>
      </c>
      <c r="I524" s="0" t="str">
        <f aca="false">IF('THÁNG 9'!$C81="","",N('THÁNG 9'!$I81))</f>
        <v/>
      </c>
      <c r="J524" s="0" t="str">
        <f aca="false">IF('THÁNG 9'!$C81="","",N('THÁNG 9'!$L81))</f>
        <v/>
      </c>
      <c r="K524" s="0" t="str">
        <f aca="false">IF('THÁNG 9'!$C81="","",N('THÁNG 9'!$N81))</f>
        <v/>
      </c>
      <c r="L524" s="0" t="str">
        <f aca="false">IF('THÁNG 9'!$C81="","",N('THÁNG 9'!$O81))</f>
        <v/>
      </c>
      <c r="M524" s="0" t="str">
        <f aca="false">IF('THÁNG 9'!$C81="","",N('THÁNG 9'!$P81))</f>
        <v/>
      </c>
      <c r="N524" s="0" t="str">
        <f aca="false">IF('THÁNG 9'!$C81="","",N('THÁNG 9'!$Q81))</f>
        <v/>
      </c>
      <c r="O524" s="0" t="str">
        <f aca="false">IF('THÁNG 9'!$C81="","",N('THÁNG 9'!$R81))</f>
        <v/>
      </c>
      <c r="P524" s="0" t="str">
        <f aca="false">IF(OR('THÁNG 9'!$C81="",'THÁNG 9'!$T81=""),"",'THÁNG 9'!$T81)</f>
        <v/>
      </c>
      <c r="Q524" s="0" t="str">
        <f aca="false">IF(OR('THÁNG 9'!$C81="",'THÁNG 9'!$U81=""),"",'THÁNG 9'!$U81)</f>
        <v/>
      </c>
      <c r="R524" s="0" t="str">
        <f aca="false">IF('THÁNG 9'!$C81="","",'THÁNG 9'!$W81&amp;"")</f>
        <v/>
      </c>
      <c r="S524" s="0" t="str">
        <f aca="false">IF('THÁNG 9'!$C81="","",'THÁNG 9'!$S81&amp;"")</f>
        <v/>
      </c>
      <c r="T524" s="0" t="str">
        <f aca="false">IF(N($O524)&gt;0,COUNTIF($O$3:$O524,"&gt;0"),"")</f>
        <v/>
      </c>
      <c r="U524" s="0" t="str">
        <f aca="false">IF(AND(N($J524)&gt;0,N($K524)&gt;0),COUNTIFS($J$3:$J524,"&gt;0",$K$3:$K524,"&gt;0"),"")</f>
        <v/>
      </c>
      <c r="V524" s="0" t="str">
        <f aca="false">IF(AND(N($J524)&gt;0,N($K524)=0),COUNTIFS($J$3:$J524,"&gt;0",$K$3:$K524,"&lt;=0"),"")</f>
        <v/>
      </c>
      <c r="W524" s="0" t="str">
        <f aca="false">IF($C524="","",IF(COUNTIF($C$3:$C524,$C524)&gt;1,"",MAX($W$2:W523)+1))</f>
        <v/>
      </c>
      <c r="X524" s="0" t="str">
        <f aca="false">IF($H524="","",IF(COUNTIF($H$3:$H524,$H524)&gt;1,"",MAX($X$2:X523)+1))</f>
        <v/>
      </c>
      <c r="Y524" s="0" t="str">
        <f aca="false">IF(AND(N($M524)&gt;0,N($O524)&lt;=0),COUNTIFS($M$3:$M524,"&gt;0",$O$3:$O524,"&lt;=0"),"")</f>
        <v/>
      </c>
      <c r="Z524" s="30" t="n">
        <f aca="false">IF(OR('THÁNG 9'!$C81="",'THÁNG 9'!$B81=""),0,'THÁNG 9'!$B81)</f>
        <v>0</v>
      </c>
    </row>
    <row r="525" customFormat="false" ht="15" hidden="false" customHeight="false" outlineLevel="0" collapsed="false">
      <c r="A525" s="0" t="n">
        <v>9</v>
      </c>
      <c r="B525" s="29" t="str">
        <f aca="false">IF(OR('THÁNG 9'!$C82="",'THÁNG 9'!$B82=""),"",'THÁNG 9'!$B82)</f>
        <v/>
      </c>
      <c r="C525" s="0" t="str">
        <f aca="false">IF('THÁNG 9'!$C82="","",'THÁNG 9'!$C82)</f>
        <v/>
      </c>
      <c r="D525" s="0" t="str">
        <f aca="false">IF('THÁNG 9'!$C82="","",'THÁNG 9'!$D82&amp;"")</f>
        <v/>
      </c>
      <c r="E525" s="0" t="str">
        <f aca="false">IF('THÁNG 9'!$C82="","",'THÁNG 9'!$E82&amp;"")</f>
        <v/>
      </c>
      <c r="F525" s="0" t="str">
        <f aca="false">IF('THÁNG 9'!$C82="","",'THÁNG 9'!$F82&amp;"")</f>
        <v/>
      </c>
      <c r="G525" s="0" t="str">
        <f aca="false">IF('THÁNG 9'!$C82="","",'THÁNG 9'!$G82&amp;"")</f>
        <v/>
      </c>
      <c r="H525" s="0" t="str">
        <f aca="false">IF('THÁNG 9'!$C82="","",'THÁNG 9'!$H82&amp;"")</f>
        <v/>
      </c>
      <c r="I525" s="0" t="str">
        <f aca="false">IF('THÁNG 9'!$C82="","",N('THÁNG 9'!$I82))</f>
        <v/>
      </c>
      <c r="J525" s="0" t="str">
        <f aca="false">IF('THÁNG 9'!$C82="","",N('THÁNG 9'!$L82))</f>
        <v/>
      </c>
      <c r="K525" s="0" t="str">
        <f aca="false">IF('THÁNG 9'!$C82="","",N('THÁNG 9'!$N82))</f>
        <v/>
      </c>
      <c r="L525" s="0" t="str">
        <f aca="false">IF('THÁNG 9'!$C82="","",N('THÁNG 9'!$O82))</f>
        <v/>
      </c>
      <c r="M525" s="0" t="str">
        <f aca="false">IF('THÁNG 9'!$C82="","",N('THÁNG 9'!$P82))</f>
        <v/>
      </c>
      <c r="N525" s="0" t="str">
        <f aca="false">IF('THÁNG 9'!$C82="","",N('THÁNG 9'!$Q82))</f>
        <v/>
      </c>
      <c r="O525" s="0" t="str">
        <f aca="false">IF('THÁNG 9'!$C82="","",N('THÁNG 9'!$R82))</f>
        <v/>
      </c>
      <c r="P525" s="0" t="str">
        <f aca="false">IF(OR('THÁNG 9'!$C82="",'THÁNG 9'!$T82=""),"",'THÁNG 9'!$T82)</f>
        <v/>
      </c>
      <c r="Q525" s="0" t="str">
        <f aca="false">IF(OR('THÁNG 9'!$C82="",'THÁNG 9'!$U82=""),"",'THÁNG 9'!$U82)</f>
        <v/>
      </c>
      <c r="R525" s="0" t="str">
        <f aca="false">IF('THÁNG 9'!$C82="","",'THÁNG 9'!$W82&amp;"")</f>
        <v/>
      </c>
      <c r="S525" s="0" t="str">
        <f aca="false">IF('THÁNG 9'!$C82="","",'THÁNG 9'!$S82&amp;"")</f>
        <v/>
      </c>
      <c r="T525" s="0" t="str">
        <f aca="false">IF(N($O525)&gt;0,COUNTIF($O$3:$O525,"&gt;0"),"")</f>
        <v/>
      </c>
      <c r="U525" s="0" t="str">
        <f aca="false">IF(AND(N($J525)&gt;0,N($K525)&gt;0),COUNTIFS($J$3:$J525,"&gt;0",$K$3:$K525,"&gt;0"),"")</f>
        <v/>
      </c>
      <c r="V525" s="0" t="str">
        <f aca="false">IF(AND(N($J525)&gt;0,N($K525)=0),COUNTIFS($J$3:$J525,"&gt;0",$K$3:$K525,"&lt;=0"),"")</f>
        <v/>
      </c>
      <c r="W525" s="0" t="str">
        <f aca="false">IF($C525="","",IF(COUNTIF($C$3:$C525,$C525)&gt;1,"",MAX($W$2:W524)+1))</f>
        <v/>
      </c>
      <c r="X525" s="0" t="str">
        <f aca="false">IF($H525="","",IF(COUNTIF($H$3:$H525,$H525)&gt;1,"",MAX($X$2:X524)+1))</f>
        <v/>
      </c>
      <c r="Y525" s="0" t="str">
        <f aca="false">IF(AND(N($M525)&gt;0,N($O525)&lt;=0),COUNTIFS($M$3:$M525,"&gt;0",$O$3:$O525,"&lt;=0"),"")</f>
        <v/>
      </c>
      <c r="Z525" s="30" t="n">
        <f aca="false">IF(OR('THÁNG 9'!$C82="",'THÁNG 9'!$B82=""),0,'THÁNG 9'!$B82)</f>
        <v>0</v>
      </c>
    </row>
    <row r="526" customFormat="false" ht="15" hidden="false" customHeight="false" outlineLevel="0" collapsed="false">
      <c r="A526" s="0" t="n">
        <v>9</v>
      </c>
      <c r="B526" s="29" t="str">
        <f aca="false">IF(OR('THÁNG 9'!$C83="",'THÁNG 9'!$B83=""),"",'THÁNG 9'!$B83)</f>
        <v/>
      </c>
      <c r="C526" s="0" t="str">
        <f aca="false">IF('THÁNG 9'!$C83="","",'THÁNG 9'!$C83)</f>
        <v/>
      </c>
      <c r="D526" s="0" t="str">
        <f aca="false">IF('THÁNG 9'!$C83="","",'THÁNG 9'!$D83&amp;"")</f>
        <v/>
      </c>
      <c r="E526" s="0" t="str">
        <f aca="false">IF('THÁNG 9'!$C83="","",'THÁNG 9'!$E83&amp;"")</f>
        <v/>
      </c>
      <c r="F526" s="0" t="str">
        <f aca="false">IF('THÁNG 9'!$C83="","",'THÁNG 9'!$F83&amp;"")</f>
        <v/>
      </c>
      <c r="G526" s="0" t="str">
        <f aca="false">IF('THÁNG 9'!$C83="","",'THÁNG 9'!$G83&amp;"")</f>
        <v/>
      </c>
      <c r="H526" s="0" t="str">
        <f aca="false">IF('THÁNG 9'!$C83="","",'THÁNG 9'!$H83&amp;"")</f>
        <v/>
      </c>
      <c r="I526" s="0" t="str">
        <f aca="false">IF('THÁNG 9'!$C83="","",N('THÁNG 9'!$I83))</f>
        <v/>
      </c>
      <c r="J526" s="0" t="str">
        <f aca="false">IF('THÁNG 9'!$C83="","",N('THÁNG 9'!$L83))</f>
        <v/>
      </c>
      <c r="K526" s="0" t="str">
        <f aca="false">IF('THÁNG 9'!$C83="","",N('THÁNG 9'!$N83))</f>
        <v/>
      </c>
      <c r="L526" s="0" t="str">
        <f aca="false">IF('THÁNG 9'!$C83="","",N('THÁNG 9'!$O83))</f>
        <v/>
      </c>
      <c r="M526" s="0" t="str">
        <f aca="false">IF('THÁNG 9'!$C83="","",N('THÁNG 9'!$P83))</f>
        <v/>
      </c>
      <c r="N526" s="0" t="str">
        <f aca="false">IF('THÁNG 9'!$C83="","",N('THÁNG 9'!$Q83))</f>
        <v/>
      </c>
      <c r="O526" s="0" t="str">
        <f aca="false">IF('THÁNG 9'!$C83="","",N('THÁNG 9'!$R83))</f>
        <v/>
      </c>
      <c r="P526" s="0" t="str">
        <f aca="false">IF(OR('THÁNG 9'!$C83="",'THÁNG 9'!$T83=""),"",'THÁNG 9'!$T83)</f>
        <v/>
      </c>
      <c r="Q526" s="0" t="str">
        <f aca="false">IF(OR('THÁNG 9'!$C83="",'THÁNG 9'!$U83=""),"",'THÁNG 9'!$U83)</f>
        <v/>
      </c>
      <c r="R526" s="0" t="str">
        <f aca="false">IF('THÁNG 9'!$C83="","",'THÁNG 9'!$W83&amp;"")</f>
        <v/>
      </c>
      <c r="S526" s="0" t="str">
        <f aca="false">IF('THÁNG 9'!$C83="","",'THÁNG 9'!$S83&amp;"")</f>
        <v/>
      </c>
      <c r="T526" s="0" t="str">
        <f aca="false">IF(N($O526)&gt;0,COUNTIF($O$3:$O526,"&gt;0"),"")</f>
        <v/>
      </c>
      <c r="U526" s="0" t="str">
        <f aca="false">IF(AND(N($J526)&gt;0,N($K526)&gt;0),COUNTIFS($J$3:$J526,"&gt;0",$K$3:$K526,"&gt;0"),"")</f>
        <v/>
      </c>
      <c r="V526" s="0" t="str">
        <f aca="false">IF(AND(N($J526)&gt;0,N($K526)=0),COUNTIFS($J$3:$J526,"&gt;0",$K$3:$K526,"&lt;=0"),"")</f>
        <v/>
      </c>
      <c r="W526" s="0" t="str">
        <f aca="false">IF($C526="","",IF(COUNTIF($C$3:$C526,$C526)&gt;1,"",MAX($W$2:W525)+1))</f>
        <v/>
      </c>
      <c r="X526" s="0" t="str">
        <f aca="false">IF($H526="","",IF(COUNTIF($H$3:$H526,$H526)&gt;1,"",MAX($X$2:X525)+1))</f>
        <v/>
      </c>
      <c r="Y526" s="0" t="str">
        <f aca="false">IF(AND(N($M526)&gt;0,N($O526)&lt;=0),COUNTIFS($M$3:$M526,"&gt;0",$O$3:$O526,"&lt;=0"),"")</f>
        <v/>
      </c>
      <c r="Z526" s="30" t="n">
        <f aca="false">IF(OR('THÁNG 9'!$C83="",'THÁNG 9'!$B83=""),0,'THÁNG 9'!$B83)</f>
        <v>0</v>
      </c>
    </row>
    <row r="527" customFormat="false" ht="15" hidden="false" customHeight="false" outlineLevel="0" collapsed="false">
      <c r="A527" s="0" t="n">
        <v>9</v>
      </c>
      <c r="B527" s="29" t="str">
        <f aca="false">IF(OR('THÁNG 9'!$C84="",'THÁNG 9'!$B84=""),"",'THÁNG 9'!$B84)</f>
        <v/>
      </c>
      <c r="C527" s="0" t="str">
        <f aca="false">IF('THÁNG 9'!$C84="","",'THÁNG 9'!$C84)</f>
        <v/>
      </c>
      <c r="D527" s="0" t="str">
        <f aca="false">IF('THÁNG 9'!$C84="","",'THÁNG 9'!$D84&amp;"")</f>
        <v/>
      </c>
      <c r="E527" s="0" t="str">
        <f aca="false">IF('THÁNG 9'!$C84="","",'THÁNG 9'!$E84&amp;"")</f>
        <v/>
      </c>
      <c r="F527" s="0" t="str">
        <f aca="false">IF('THÁNG 9'!$C84="","",'THÁNG 9'!$F84&amp;"")</f>
        <v/>
      </c>
      <c r="G527" s="0" t="str">
        <f aca="false">IF('THÁNG 9'!$C84="","",'THÁNG 9'!$G84&amp;"")</f>
        <v/>
      </c>
      <c r="H527" s="0" t="str">
        <f aca="false">IF('THÁNG 9'!$C84="","",'THÁNG 9'!$H84&amp;"")</f>
        <v/>
      </c>
      <c r="I527" s="0" t="str">
        <f aca="false">IF('THÁNG 9'!$C84="","",N('THÁNG 9'!$I84))</f>
        <v/>
      </c>
      <c r="J527" s="0" t="str">
        <f aca="false">IF('THÁNG 9'!$C84="","",N('THÁNG 9'!$L84))</f>
        <v/>
      </c>
      <c r="K527" s="0" t="str">
        <f aca="false">IF('THÁNG 9'!$C84="","",N('THÁNG 9'!$N84))</f>
        <v/>
      </c>
      <c r="L527" s="0" t="str">
        <f aca="false">IF('THÁNG 9'!$C84="","",N('THÁNG 9'!$O84))</f>
        <v/>
      </c>
      <c r="M527" s="0" t="str">
        <f aca="false">IF('THÁNG 9'!$C84="","",N('THÁNG 9'!$P84))</f>
        <v/>
      </c>
      <c r="N527" s="0" t="str">
        <f aca="false">IF('THÁNG 9'!$C84="","",N('THÁNG 9'!$Q84))</f>
        <v/>
      </c>
      <c r="O527" s="0" t="str">
        <f aca="false">IF('THÁNG 9'!$C84="","",N('THÁNG 9'!$R84))</f>
        <v/>
      </c>
      <c r="P527" s="0" t="str">
        <f aca="false">IF(OR('THÁNG 9'!$C84="",'THÁNG 9'!$T84=""),"",'THÁNG 9'!$T84)</f>
        <v/>
      </c>
      <c r="Q527" s="0" t="str">
        <f aca="false">IF(OR('THÁNG 9'!$C84="",'THÁNG 9'!$U84=""),"",'THÁNG 9'!$U84)</f>
        <v/>
      </c>
      <c r="R527" s="0" t="str">
        <f aca="false">IF('THÁNG 9'!$C84="","",'THÁNG 9'!$W84&amp;"")</f>
        <v/>
      </c>
      <c r="S527" s="0" t="str">
        <f aca="false">IF('THÁNG 9'!$C84="","",'THÁNG 9'!$S84&amp;"")</f>
        <v/>
      </c>
      <c r="T527" s="0" t="str">
        <f aca="false">IF(N($O527)&gt;0,COUNTIF($O$3:$O527,"&gt;0"),"")</f>
        <v/>
      </c>
      <c r="U527" s="0" t="str">
        <f aca="false">IF(AND(N($J527)&gt;0,N($K527)&gt;0),COUNTIFS($J$3:$J527,"&gt;0",$K$3:$K527,"&gt;0"),"")</f>
        <v/>
      </c>
      <c r="V527" s="0" t="str">
        <f aca="false">IF(AND(N($J527)&gt;0,N($K527)=0),COUNTIFS($J$3:$J527,"&gt;0",$K$3:$K527,"&lt;=0"),"")</f>
        <v/>
      </c>
      <c r="W527" s="0" t="str">
        <f aca="false">IF($C527="","",IF(COUNTIF($C$3:$C527,$C527)&gt;1,"",MAX($W$2:W526)+1))</f>
        <v/>
      </c>
      <c r="X527" s="0" t="str">
        <f aca="false">IF($H527="","",IF(COUNTIF($H$3:$H527,$H527)&gt;1,"",MAX($X$2:X526)+1))</f>
        <v/>
      </c>
      <c r="Y527" s="0" t="str">
        <f aca="false">IF(AND(N($M527)&gt;0,N($O527)&lt;=0),COUNTIFS($M$3:$M527,"&gt;0",$O$3:$O527,"&lt;=0"),"")</f>
        <v/>
      </c>
      <c r="Z527" s="30" t="n">
        <f aca="false">IF(OR('THÁNG 9'!$C84="",'THÁNG 9'!$B84=""),0,'THÁNG 9'!$B84)</f>
        <v>0</v>
      </c>
    </row>
    <row r="528" customFormat="false" ht="15" hidden="false" customHeight="false" outlineLevel="0" collapsed="false">
      <c r="A528" s="0" t="n">
        <v>9</v>
      </c>
      <c r="B528" s="29" t="str">
        <f aca="false">IF(OR('THÁNG 9'!$C85="",'THÁNG 9'!$B85=""),"",'THÁNG 9'!$B85)</f>
        <v/>
      </c>
      <c r="C528" s="0" t="str">
        <f aca="false">IF('THÁNG 9'!$C85="","",'THÁNG 9'!$C85)</f>
        <v/>
      </c>
      <c r="D528" s="0" t="str">
        <f aca="false">IF('THÁNG 9'!$C85="","",'THÁNG 9'!$D85&amp;"")</f>
        <v/>
      </c>
      <c r="E528" s="0" t="str">
        <f aca="false">IF('THÁNG 9'!$C85="","",'THÁNG 9'!$E85&amp;"")</f>
        <v/>
      </c>
      <c r="F528" s="0" t="str">
        <f aca="false">IF('THÁNG 9'!$C85="","",'THÁNG 9'!$F85&amp;"")</f>
        <v/>
      </c>
      <c r="G528" s="0" t="str">
        <f aca="false">IF('THÁNG 9'!$C85="","",'THÁNG 9'!$G85&amp;"")</f>
        <v/>
      </c>
      <c r="H528" s="0" t="str">
        <f aca="false">IF('THÁNG 9'!$C85="","",'THÁNG 9'!$H85&amp;"")</f>
        <v/>
      </c>
      <c r="I528" s="0" t="str">
        <f aca="false">IF('THÁNG 9'!$C85="","",N('THÁNG 9'!$I85))</f>
        <v/>
      </c>
      <c r="J528" s="0" t="str">
        <f aca="false">IF('THÁNG 9'!$C85="","",N('THÁNG 9'!$L85))</f>
        <v/>
      </c>
      <c r="K528" s="0" t="str">
        <f aca="false">IF('THÁNG 9'!$C85="","",N('THÁNG 9'!$N85))</f>
        <v/>
      </c>
      <c r="L528" s="0" t="str">
        <f aca="false">IF('THÁNG 9'!$C85="","",N('THÁNG 9'!$O85))</f>
        <v/>
      </c>
      <c r="M528" s="0" t="str">
        <f aca="false">IF('THÁNG 9'!$C85="","",N('THÁNG 9'!$P85))</f>
        <v/>
      </c>
      <c r="N528" s="0" t="str">
        <f aca="false">IF('THÁNG 9'!$C85="","",N('THÁNG 9'!$Q85))</f>
        <v/>
      </c>
      <c r="O528" s="0" t="str">
        <f aca="false">IF('THÁNG 9'!$C85="","",N('THÁNG 9'!$R85))</f>
        <v/>
      </c>
      <c r="P528" s="0" t="str">
        <f aca="false">IF(OR('THÁNG 9'!$C85="",'THÁNG 9'!$T85=""),"",'THÁNG 9'!$T85)</f>
        <v/>
      </c>
      <c r="Q528" s="0" t="str">
        <f aca="false">IF(OR('THÁNG 9'!$C85="",'THÁNG 9'!$U85=""),"",'THÁNG 9'!$U85)</f>
        <v/>
      </c>
      <c r="R528" s="0" t="str">
        <f aca="false">IF('THÁNG 9'!$C85="","",'THÁNG 9'!$W85&amp;"")</f>
        <v/>
      </c>
      <c r="S528" s="0" t="str">
        <f aca="false">IF('THÁNG 9'!$C85="","",'THÁNG 9'!$S85&amp;"")</f>
        <v/>
      </c>
      <c r="T528" s="0" t="str">
        <f aca="false">IF(N($O528)&gt;0,COUNTIF($O$3:$O528,"&gt;0"),"")</f>
        <v/>
      </c>
      <c r="U528" s="0" t="str">
        <f aca="false">IF(AND(N($J528)&gt;0,N($K528)&gt;0),COUNTIFS($J$3:$J528,"&gt;0",$K$3:$K528,"&gt;0"),"")</f>
        <v/>
      </c>
      <c r="V528" s="0" t="str">
        <f aca="false">IF(AND(N($J528)&gt;0,N($K528)=0),COUNTIFS($J$3:$J528,"&gt;0",$K$3:$K528,"&lt;=0"),"")</f>
        <v/>
      </c>
      <c r="W528" s="0" t="str">
        <f aca="false">IF($C528="","",IF(COUNTIF($C$3:$C528,$C528)&gt;1,"",MAX($W$2:W527)+1))</f>
        <v/>
      </c>
      <c r="X528" s="0" t="str">
        <f aca="false">IF($H528="","",IF(COUNTIF($H$3:$H528,$H528)&gt;1,"",MAX($X$2:X527)+1))</f>
        <v/>
      </c>
      <c r="Y528" s="0" t="str">
        <f aca="false">IF(AND(N($M528)&gt;0,N($O528)&lt;=0),COUNTIFS($M$3:$M528,"&gt;0",$O$3:$O528,"&lt;=0"),"")</f>
        <v/>
      </c>
      <c r="Z528" s="30" t="n">
        <f aca="false">IF(OR('THÁNG 9'!$C85="",'THÁNG 9'!$B85=""),0,'THÁNG 9'!$B85)</f>
        <v>0</v>
      </c>
    </row>
    <row r="529" customFormat="false" ht="15" hidden="false" customHeight="false" outlineLevel="0" collapsed="false">
      <c r="A529" s="0" t="n">
        <v>9</v>
      </c>
      <c r="B529" s="29" t="str">
        <f aca="false">IF(OR('THÁNG 9'!$C86="",'THÁNG 9'!$B86=""),"",'THÁNG 9'!$B86)</f>
        <v/>
      </c>
      <c r="C529" s="0" t="str">
        <f aca="false">IF('THÁNG 9'!$C86="","",'THÁNG 9'!$C86)</f>
        <v/>
      </c>
      <c r="D529" s="0" t="str">
        <f aca="false">IF('THÁNG 9'!$C86="","",'THÁNG 9'!$D86&amp;"")</f>
        <v/>
      </c>
      <c r="E529" s="0" t="str">
        <f aca="false">IF('THÁNG 9'!$C86="","",'THÁNG 9'!$E86&amp;"")</f>
        <v/>
      </c>
      <c r="F529" s="0" t="str">
        <f aca="false">IF('THÁNG 9'!$C86="","",'THÁNG 9'!$F86&amp;"")</f>
        <v/>
      </c>
      <c r="G529" s="0" t="str">
        <f aca="false">IF('THÁNG 9'!$C86="","",'THÁNG 9'!$G86&amp;"")</f>
        <v/>
      </c>
      <c r="H529" s="0" t="str">
        <f aca="false">IF('THÁNG 9'!$C86="","",'THÁNG 9'!$H86&amp;"")</f>
        <v/>
      </c>
      <c r="I529" s="0" t="str">
        <f aca="false">IF('THÁNG 9'!$C86="","",N('THÁNG 9'!$I86))</f>
        <v/>
      </c>
      <c r="J529" s="0" t="str">
        <f aca="false">IF('THÁNG 9'!$C86="","",N('THÁNG 9'!$L86))</f>
        <v/>
      </c>
      <c r="K529" s="0" t="str">
        <f aca="false">IF('THÁNG 9'!$C86="","",N('THÁNG 9'!$N86))</f>
        <v/>
      </c>
      <c r="L529" s="0" t="str">
        <f aca="false">IF('THÁNG 9'!$C86="","",N('THÁNG 9'!$O86))</f>
        <v/>
      </c>
      <c r="M529" s="0" t="str">
        <f aca="false">IF('THÁNG 9'!$C86="","",N('THÁNG 9'!$P86))</f>
        <v/>
      </c>
      <c r="N529" s="0" t="str">
        <f aca="false">IF('THÁNG 9'!$C86="","",N('THÁNG 9'!$Q86))</f>
        <v/>
      </c>
      <c r="O529" s="0" t="str">
        <f aca="false">IF('THÁNG 9'!$C86="","",N('THÁNG 9'!$R86))</f>
        <v/>
      </c>
      <c r="P529" s="0" t="str">
        <f aca="false">IF(OR('THÁNG 9'!$C86="",'THÁNG 9'!$T86=""),"",'THÁNG 9'!$T86)</f>
        <v/>
      </c>
      <c r="Q529" s="0" t="str">
        <f aca="false">IF(OR('THÁNG 9'!$C86="",'THÁNG 9'!$U86=""),"",'THÁNG 9'!$U86)</f>
        <v/>
      </c>
      <c r="R529" s="0" t="str">
        <f aca="false">IF('THÁNG 9'!$C86="","",'THÁNG 9'!$W86&amp;"")</f>
        <v/>
      </c>
      <c r="S529" s="0" t="str">
        <f aca="false">IF('THÁNG 9'!$C86="","",'THÁNG 9'!$S86&amp;"")</f>
        <v/>
      </c>
      <c r="T529" s="0" t="str">
        <f aca="false">IF(N($O529)&gt;0,COUNTIF($O$3:$O529,"&gt;0"),"")</f>
        <v/>
      </c>
      <c r="U529" s="0" t="str">
        <f aca="false">IF(AND(N($J529)&gt;0,N($K529)&gt;0),COUNTIFS($J$3:$J529,"&gt;0",$K$3:$K529,"&gt;0"),"")</f>
        <v/>
      </c>
      <c r="V529" s="0" t="str">
        <f aca="false">IF(AND(N($J529)&gt;0,N($K529)=0),COUNTIFS($J$3:$J529,"&gt;0",$K$3:$K529,"&lt;=0"),"")</f>
        <v/>
      </c>
      <c r="W529" s="0" t="str">
        <f aca="false">IF($C529="","",IF(COUNTIF($C$3:$C529,$C529)&gt;1,"",MAX($W$2:W528)+1))</f>
        <v/>
      </c>
      <c r="X529" s="0" t="str">
        <f aca="false">IF($H529="","",IF(COUNTIF($H$3:$H529,$H529)&gt;1,"",MAX($X$2:X528)+1))</f>
        <v/>
      </c>
      <c r="Y529" s="0" t="str">
        <f aca="false">IF(AND(N($M529)&gt;0,N($O529)&lt;=0),COUNTIFS($M$3:$M529,"&gt;0",$O$3:$O529,"&lt;=0"),"")</f>
        <v/>
      </c>
      <c r="Z529" s="30" t="n">
        <f aca="false">IF(OR('THÁNG 9'!$C86="",'THÁNG 9'!$B86=""),0,'THÁNG 9'!$B86)</f>
        <v>0</v>
      </c>
    </row>
    <row r="530" customFormat="false" ht="15" hidden="false" customHeight="false" outlineLevel="0" collapsed="false">
      <c r="A530" s="0" t="n">
        <v>9</v>
      </c>
      <c r="B530" s="29" t="str">
        <f aca="false">IF(OR('THÁNG 9'!$C87="",'THÁNG 9'!$B87=""),"",'THÁNG 9'!$B87)</f>
        <v/>
      </c>
      <c r="C530" s="0" t="str">
        <f aca="false">IF('THÁNG 9'!$C87="","",'THÁNG 9'!$C87)</f>
        <v/>
      </c>
      <c r="D530" s="0" t="str">
        <f aca="false">IF('THÁNG 9'!$C87="","",'THÁNG 9'!$D87&amp;"")</f>
        <v/>
      </c>
      <c r="E530" s="0" t="str">
        <f aca="false">IF('THÁNG 9'!$C87="","",'THÁNG 9'!$E87&amp;"")</f>
        <v/>
      </c>
      <c r="F530" s="0" t="str">
        <f aca="false">IF('THÁNG 9'!$C87="","",'THÁNG 9'!$F87&amp;"")</f>
        <v/>
      </c>
      <c r="G530" s="0" t="str">
        <f aca="false">IF('THÁNG 9'!$C87="","",'THÁNG 9'!$G87&amp;"")</f>
        <v/>
      </c>
      <c r="H530" s="0" t="str">
        <f aca="false">IF('THÁNG 9'!$C87="","",'THÁNG 9'!$H87&amp;"")</f>
        <v/>
      </c>
      <c r="I530" s="0" t="str">
        <f aca="false">IF('THÁNG 9'!$C87="","",N('THÁNG 9'!$I87))</f>
        <v/>
      </c>
      <c r="J530" s="0" t="str">
        <f aca="false">IF('THÁNG 9'!$C87="","",N('THÁNG 9'!$L87))</f>
        <v/>
      </c>
      <c r="K530" s="0" t="str">
        <f aca="false">IF('THÁNG 9'!$C87="","",N('THÁNG 9'!$N87))</f>
        <v/>
      </c>
      <c r="L530" s="0" t="str">
        <f aca="false">IF('THÁNG 9'!$C87="","",N('THÁNG 9'!$O87))</f>
        <v/>
      </c>
      <c r="M530" s="0" t="str">
        <f aca="false">IF('THÁNG 9'!$C87="","",N('THÁNG 9'!$P87))</f>
        <v/>
      </c>
      <c r="N530" s="0" t="str">
        <f aca="false">IF('THÁNG 9'!$C87="","",N('THÁNG 9'!$Q87))</f>
        <v/>
      </c>
      <c r="O530" s="0" t="str">
        <f aca="false">IF('THÁNG 9'!$C87="","",N('THÁNG 9'!$R87))</f>
        <v/>
      </c>
      <c r="P530" s="0" t="str">
        <f aca="false">IF(OR('THÁNG 9'!$C87="",'THÁNG 9'!$T87=""),"",'THÁNG 9'!$T87)</f>
        <v/>
      </c>
      <c r="Q530" s="0" t="str">
        <f aca="false">IF(OR('THÁNG 9'!$C87="",'THÁNG 9'!$U87=""),"",'THÁNG 9'!$U87)</f>
        <v/>
      </c>
      <c r="R530" s="0" t="str">
        <f aca="false">IF('THÁNG 9'!$C87="","",'THÁNG 9'!$W87&amp;"")</f>
        <v/>
      </c>
      <c r="S530" s="0" t="str">
        <f aca="false">IF('THÁNG 9'!$C87="","",'THÁNG 9'!$S87&amp;"")</f>
        <v/>
      </c>
      <c r="T530" s="0" t="str">
        <f aca="false">IF(N($O530)&gt;0,COUNTIF($O$3:$O530,"&gt;0"),"")</f>
        <v/>
      </c>
      <c r="U530" s="0" t="str">
        <f aca="false">IF(AND(N($J530)&gt;0,N($K530)&gt;0),COUNTIFS($J$3:$J530,"&gt;0",$K$3:$K530,"&gt;0"),"")</f>
        <v/>
      </c>
      <c r="V530" s="0" t="str">
        <f aca="false">IF(AND(N($J530)&gt;0,N($K530)=0),COUNTIFS($J$3:$J530,"&gt;0",$K$3:$K530,"&lt;=0"),"")</f>
        <v/>
      </c>
      <c r="W530" s="0" t="str">
        <f aca="false">IF($C530="","",IF(COUNTIF($C$3:$C530,$C530)&gt;1,"",MAX($W$2:W529)+1))</f>
        <v/>
      </c>
      <c r="X530" s="0" t="str">
        <f aca="false">IF($H530="","",IF(COUNTIF($H$3:$H530,$H530)&gt;1,"",MAX($X$2:X529)+1))</f>
        <v/>
      </c>
      <c r="Y530" s="0" t="str">
        <f aca="false">IF(AND(N($M530)&gt;0,N($O530)&lt;=0),COUNTIFS($M$3:$M530,"&gt;0",$O$3:$O530,"&lt;=0"),"")</f>
        <v/>
      </c>
      <c r="Z530" s="30" t="n">
        <f aca="false">IF(OR('THÁNG 9'!$C87="",'THÁNG 9'!$B87=""),0,'THÁNG 9'!$B87)</f>
        <v>0</v>
      </c>
    </row>
    <row r="531" customFormat="false" ht="15" hidden="false" customHeight="false" outlineLevel="0" collapsed="false">
      <c r="A531" s="0" t="n">
        <v>9</v>
      </c>
      <c r="B531" s="29" t="str">
        <f aca="false">IF(OR('THÁNG 9'!$C88="",'THÁNG 9'!$B88=""),"",'THÁNG 9'!$B88)</f>
        <v/>
      </c>
      <c r="C531" s="0" t="str">
        <f aca="false">IF('THÁNG 9'!$C88="","",'THÁNG 9'!$C88)</f>
        <v/>
      </c>
      <c r="D531" s="0" t="str">
        <f aca="false">IF('THÁNG 9'!$C88="","",'THÁNG 9'!$D88&amp;"")</f>
        <v/>
      </c>
      <c r="E531" s="0" t="str">
        <f aca="false">IF('THÁNG 9'!$C88="","",'THÁNG 9'!$E88&amp;"")</f>
        <v/>
      </c>
      <c r="F531" s="0" t="str">
        <f aca="false">IF('THÁNG 9'!$C88="","",'THÁNG 9'!$F88&amp;"")</f>
        <v/>
      </c>
      <c r="G531" s="0" t="str">
        <f aca="false">IF('THÁNG 9'!$C88="","",'THÁNG 9'!$G88&amp;"")</f>
        <v/>
      </c>
      <c r="H531" s="0" t="str">
        <f aca="false">IF('THÁNG 9'!$C88="","",'THÁNG 9'!$H88&amp;"")</f>
        <v/>
      </c>
      <c r="I531" s="0" t="str">
        <f aca="false">IF('THÁNG 9'!$C88="","",N('THÁNG 9'!$I88))</f>
        <v/>
      </c>
      <c r="J531" s="0" t="str">
        <f aca="false">IF('THÁNG 9'!$C88="","",N('THÁNG 9'!$L88))</f>
        <v/>
      </c>
      <c r="K531" s="0" t="str">
        <f aca="false">IF('THÁNG 9'!$C88="","",N('THÁNG 9'!$N88))</f>
        <v/>
      </c>
      <c r="L531" s="0" t="str">
        <f aca="false">IF('THÁNG 9'!$C88="","",N('THÁNG 9'!$O88))</f>
        <v/>
      </c>
      <c r="M531" s="0" t="str">
        <f aca="false">IF('THÁNG 9'!$C88="","",N('THÁNG 9'!$P88))</f>
        <v/>
      </c>
      <c r="N531" s="0" t="str">
        <f aca="false">IF('THÁNG 9'!$C88="","",N('THÁNG 9'!$Q88))</f>
        <v/>
      </c>
      <c r="O531" s="0" t="str">
        <f aca="false">IF('THÁNG 9'!$C88="","",N('THÁNG 9'!$R88))</f>
        <v/>
      </c>
      <c r="P531" s="0" t="str">
        <f aca="false">IF(OR('THÁNG 9'!$C88="",'THÁNG 9'!$T88=""),"",'THÁNG 9'!$T88)</f>
        <v/>
      </c>
      <c r="Q531" s="0" t="str">
        <f aca="false">IF(OR('THÁNG 9'!$C88="",'THÁNG 9'!$U88=""),"",'THÁNG 9'!$U88)</f>
        <v/>
      </c>
      <c r="R531" s="0" t="str">
        <f aca="false">IF('THÁNG 9'!$C88="","",'THÁNG 9'!$W88&amp;"")</f>
        <v/>
      </c>
      <c r="S531" s="0" t="str">
        <f aca="false">IF('THÁNG 9'!$C88="","",'THÁNG 9'!$S88&amp;"")</f>
        <v/>
      </c>
      <c r="T531" s="0" t="str">
        <f aca="false">IF(N($O531)&gt;0,COUNTIF($O$3:$O531,"&gt;0"),"")</f>
        <v/>
      </c>
      <c r="U531" s="0" t="str">
        <f aca="false">IF(AND(N($J531)&gt;0,N($K531)&gt;0),COUNTIFS($J$3:$J531,"&gt;0",$K$3:$K531,"&gt;0"),"")</f>
        <v/>
      </c>
      <c r="V531" s="0" t="str">
        <f aca="false">IF(AND(N($J531)&gt;0,N($K531)=0),COUNTIFS($J$3:$J531,"&gt;0",$K$3:$K531,"&lt;=0"),"")</f>
        <v/>
      </c>
      <c r="W531" s="0" t="str">
        <f aca="false">IF($C531="","",IF(COUNTIF($C$3:$C531,$C531)&gt;1,"",MAX($W$2:W530)+1))</f>
        <v/>
      </c>
      <c r="X531" s="0" t="str">
        <f aca="false">IF($H531="","",IF(COUNTIF($H$3:$H531,$H531)&gt;1,"",MAX($X$2:X530)+1))</f>
        <v/>
      </c>
      <c r="Y531" s="0" t="str">
        <f aca="false">IF(AND(N($M531)&gt;0,N($O531)&lt;=0),COUNTIFS($M$3:$M531,"&gt;0",$O$3:$O531,"&lt;=0"),"")</f>
        <v/>
      </c>
      <c r="Z531" s="30" t="n">
        <f aca="false">IF(OR('THÁNG 9'!$C88="",'THÁNG 9'!$B88=""),0,'THÁNG 9'!$B88)</f>
        <v>0</v>
      </c>
    </row>
    <row r="532" customFormat="false" ht="15" hidden="false" customHeight="false" outlineLevel="0" collapsed="false">
      <c r="A532" s="0" t="n">
        <v>9</v>
      </c>
      <c r="B532" s="29" t="str">
        <f aca="false">IF(OR('THÁNG 9'!$C89="",'THÁNG 9'!$B89=""),"",'THÁNG 9'!$B89)</f>
        <v/>
      </c>
      <c r="C532" s="0" t="str">
        <f aca="false">IF('THÁNG 9'!$C89="","",'THÁNG 9'!$C89)</f>
        <v/>
      </c>
      <c r="D532" s="0" t="str">
        <f aca="false">IF('THÁNG 9'!$C89="","",'THÁNG 9'!$D89&amp;"")</f>
        <v/>
      </c>
      <c r="E532" s="0" t="str">
        <f aca="false">IF('THÁNG 9'!$C89="","",'THÁNG 9'!$E89&amp;"")</f>
        <v/>
      </c>
      <c r="F532" s="0" t="str">
        <f aca="false">IF('THÁNG 9'!$C89="","",'THÁNG 9'!$F89&amp;"")</f>
        <v/>
      </c>
      <c r="G532" s="0" t="str">
        <f aca="false">IF('THÁNG 9'!$C89="","",'THÁNG 9'!$G89&amp;"")</f>
        <v/>
      </c>
      <c r="H532" s="0" t="str">
        <f aca="false">IF('THÁNG 9'!$C89="","",'THÁNG 9'!$H89&amp;"")</f>
        <v/>
      </c>
      <c r="I532" s="0" t="str">
        <f aca="false">IF('THÁNG 9'!$C89="","",N('THÁNG 9'!$I89))</f>
        <v/>
      </c>
      <c r="J532" s="0" t="str">
        <f aca="false">IF('THÁNG 9'!$C89="","",N('THÁNG 9'!$L89))</f>
        <v/>
      </c>
      <c r="K532" s="0" t="str">
        <f aca="false">IF('THÁNG 9'!$C89="","",N('THÁNG 9'!$N89))</f>
        <v/>
      </c>
      <c r="L532" s="0" t="str">
        <f aca="false">IF('THÁNG 9'!$C89="","",N('THÁNG 9'!$O89))</f>
        <v/>
      </c>
      <c r="M532" s="0" t="str">
        <f aca="false">IF('THÁNG 9'!$C89="","",N('THÁNG 9'!$P89))</f>
        <v/>
      </c>
      <c r="N532" s="0" t="str">
        <f aca="false">IF('THÁNG 9'!$C89="","",N('THÁNG 9'!$Q89))</f>
        <v/>
      </c>
      <c r="O532" s="0" t="str">
        <f aca="false">IF('THÁNG 9'!$C89="","",N('THÁNG 9'!$R89))</f>
        <v/>
      </c>
      <c r="P532" s="0" t="str">
        <f aca="false">IF(OR('THÁNG 9'!$C89="",'THÁNG 9'!$T89=""),"",'THÁNG 9'!$T89)</f>
        <v/>
      </c>
      <c r="Q532" s="0" t="str">
        <f aca="false">IF(OR('THÁNG 9'!$C89="",'THÁNG 9'!$U89=""),"",'THÁNG 9'!$U89)</f>
        <v/>
      </c>
      <c r="R532" s="0" t="str">
        <f aca="false">IF('THÁNG 9'!$C89="","",'THÁNG 9'!$W89&amp;"")</f>
        <v/>
      </c>
      <c r="S532" s="0" t="str">
        <f aca="false">IF('THÁNG 9'!$C89="","",'THÁNG 9'!$S89&amp;"")</f>
        <v/>
      </c>
      <c r="T532" s="0" t="str">
        <f aca="false">IF(N($O532)&gt;0,COUNTIF($O$3:$O532,"&gt;0"),"")</f>
        <v/>
      </c>
      <c r="U532" s="0" t="str">
        <f aca="false">IF(AND(N($J532)&gt;0,N($K532)&gt;0),COUNTIFS($J$3:$J532,"&gt;0",$K$3:$K532,"&gt;0"),"")</f>
        <v/>
      </c>
      <c r="V532" s="0" t="str">
        <f aca="false">IF(AND(N($J532)&gt;0,N($K532)=0),COUNTIFS($J$3:$J532,"&gt;0",$K$3:$K532,"&lt;=0"),"")</f>
        <v/>
      </c>
      <c r="W532" s="0" t="str">
        <f aca="false">IF($C532="","",IF(COUNTIF($C$3:$C532,$C532)&gt;1,"",MAX($W$2:W531)+1))</f>
        <v/>
      </c>
      <c r="X532" s="0" t="str">
        <f aca="false">IF($H532="","",IF(COUNTIF($H$3:$H532,$H532)&gt;1,"",MAX($X$2:X531)+1))</f>
        <v/>
      </c>
      <c r="Y532" s="0" t="str">
        <f aca="false">IF(AND(N($M532)&gt;0,N($O532)&lt;=0),COUNTIFS($M$3:$M532,"&gt;0",$O$3:$O532,"&lt;=0"),"")</f>
        <v/>
      </c>
      <c r="Z532" s="30" t="n">
        <f aca="false">IF(OR('THÁNG 9'!$C89="",'THÁNG 9'!$B89=""),0,'THÁNG 9'!$B89)</f>
        <v>0</v>
      </c>
    </row>
    <row r="533" customFormat="false" ht="15" hidden="false" customHeight="false" outlineLevel="0" collapsed="false">
      <c r="A533" s="0" t="n">
        <v>9</v>
      </c>
      <c r="B533" s="29" t="str">
        <f aca="false">IF(OR('THÁNG 9'!$C90="",'THÁNG 9'!$B90=""),"",'THÁNG 9'!$B90)</f>
        <v/>
      </c>
      <c r="C533" s="0" t="str">
        <f aca="false">IF('THÁNG 9'!$C90="","",'THÁNG 9'!$C90)</f>
        <v/>
      </c>
      <c r="D533" s="0" t="str">
        <f aca="false">IF('THÁNG 9'!$C90="","",'THÁNG 9'!$D90&amp;"")</f>
        <v/>
      </c>
      <c r="E533" s="0" t="str">
        <f aca="false">IF('THÁNG 9'!$C90="","",'THÁNG 9'!$E90&amp;"")</f>
        <v/>
      </c>
      <c r="F533" s="0" t="str">
        <f aca="false">IF('THÁNG 9'!$C90="","",'THÁNG 9'!$F90&amp;"")</f>
        <v/>
      </c>
      <c r="G533" s="0" t="str">
        <f aca="false">IF('THÁNG 9'!$C90="","",'THÁNG 9'!$G90&amp;"")</f>
        <v/>
      </c>
      <c r="H533" s="0" t="str">
        <f aca="false">IF('THÁNG 9'!$C90="","",'THÁNG 9'!$H90&amp;"")</f>
        <v/>
      </c>
      <c r="I533" s="0" t="str">
        <f aca="false">IF('THÁNG 9'!$C90="","",N('THÁNG 9'!$I90))</f>
        <v/>
      </c>
      <c r="J533" s="0" t="str">
        <f aca="false">IF('THÁNG 9'!$C90="","",N('THÁNG 9'!$L90))</f>
        <v/>
      </c>
      <c r="K533" s="0" t="str">
        <f aca="false">IF('THÁNG 9'!$C90="","",N('THÁNG 9'!$N90))</f>
        <v/>
      </c>
      <c r="L533" s="0" t="str">
        <f aca="false">IF('THÁNG 9'!$C90="","",N('THÁNG 9'!$O90))</f>
        <v/>
      </c>
      <c r="M533" s="0" t="str">
        <f aca="false">IF('THÁNG 9'!$C90="","",N('THÁNG 9'!$P90))</f>
        <v/>
      </c>
      <c r="N533" s="0" t="str">
        <f aca="false">IF('THÁNG 9'!$C90="","",N('THÁNG 9'!$Q90))</f>
        <v/>
      </c>
      <c r="O533" s="0" t="str">
        <f aca="false">IF('THÁNG 9'!$C90="","",N('THÁNG 9'!$R90))</f>
        <v/>
      </c>
      <c r="P533" s="0" t="str">
        <f aca="false">IF(OR('THÁNG 9'!$C90="",'THÁNG 9'!$T90=""),"",'THÁNG 9'!$T90)</f>
        <v/>
      </c>
      <c r="Q533" s="0" t="str">
        <f aca="false">IF(OR('THÁNG 9'!$C90="",'THÁNG 9'!$U90=""),"",'THÁNG 9'!$U90)</f>
        <v/>
      </c>
      <c r="R533" s="0" t="str">
        <f aca="false">IF('THÁNG 9'!$C90="","",'THÁNG 9'!$W90&amp;"")</f>
        <v/>
      </c>
      <c r="S533" s="0" t="str">
        <f aca="false">IF('THÁNG 9'!$C90="","",'THÁNG 9'!$S90&amp;"")</f>
        <v/>
      </c>
      <c r="T533" s="0" t="str">
        <f aca="false">IF(N($O533)&gt;0,COUNTIF($O$3:$O533,"&gt;0"),"")</f>
        <v/>
      </c>
      <c r="U533" s="0" t="str">
        <f aca="false">IF(AND(N($J533)&gt;0,N($K533)&gt;0),COUNTIFS($J$3:$J533,"&gt;0",$K$3:$K533,"&gt;0"),"")</f>
        <v/>
      </c>
      <c r="V533" s="0" t="str">
        <f aca="false">IF(AND(N($J533)&gt;0,N($K533)=0),COUNTIFS($J$3:$J533,"&gt;0",$K$3:$K533,"&lt;=0"),"")</f>
        <v/>
      </c>
      <c r="W533" s="0" t="str">
        <f aca="false">IF($C533="","",IF(COUNTIF($C$3:$C533,$C533)&gt;1,"",MAX($W$2:W532)+1))</f>
        <v/>
      </c>
      <c r="X533" s="0" t="str">
        <f aca="false">IF($H533="","",IF(COUNTIF($H$3:$H533,$H533)&gt;1,"",MAX($X$2:X532)+1))</f>
        <v/>
      </c>
      <c r="Y533" s="0" t="str">
        <f aca="false">IF(AND(N($M533)&gt;0,N($O533)&lt;=0),COUNTIFS($M$3:$M533,"&gt;0",$O$3:$O533,"&lt;=0"),"")</f>
        <v/>
      </c>
      <c r="Z533" s="30" t="n">
        <f aca="false">IF(OR('THÁNG 9'!$C90="",'THÁNG 9'!$B90=""),0,'THÁNG 9'!$B90)</f>
        <v>0</v>
      </c>
    </row>
    <row r="534" customFormat="false" ht="15" hidden="false" customHeight="false" outlineLevel="0" collapsed="false">
      <c r="A534" s="0" t="n">
        <v>9</v>
      </c>
      <c r="B534" s="29" t="str">
        <f aca="false">IF(OR('THÁNG 9'!$C91="",'THÁNG 9'!$B91=""),"",'THÁNG 9'!$B91)</f>
        <v/>
      </c>
      <c r="C534" s="0" t="str">
        <f aca="false">IF('THÁNG 9'!$C91="","",'THÁNG 9'!$C91)</f>
        <v/>
      </c>
      <c r="D534" s="0" t="str">
        <f aca="false">IF('THÁNG 9'!$C91="","",'THÁNG 9'!$D91&amp;"")</f>
        <v/>
      </c>
      <c r="E534" s="0" t="str">
        <f aca="false">IF('THÁNG 9'!$C91="","",'THÁNG 9'!$E91&amp;"")</f>
        <v/>
      </c>
      <c r="F534" s="0" t="str">
        <f aca="false">IF('THÁNG 9'!$C91="","",'THÁNG 9'!$F91&amp;"")</f>
        <v/>
      </c>
      <c r="G534" s="0" t="str">
        <f aca="false">IF('THÁNG 9'!$C91="","",'THÁNG 9'!$G91&amp;"")</f>
        <v/>
      </c>
      <c r="H534" s="0" t="str">
        <f aca="false">IF('THÁNG 9'!$C91="","",'THÁNG 9'!$H91&amp;"")</f>
        <v/>
      </c>
      <c r="I534" s="0" t="str">
        <f aca="false">IF('THÁNG 9'!$C91="","",N('THÁNG 9'!$I91))</f>
        <v/>
      </c>
      <c r="J534" s="0" t="str">
        <f aca="false">IF('THÁNG 9'!$C91="","",N('THÁNG 9'!$L91))</f>
        <v/>
      </c>
      <c r="K534" s="0" t="str">
        <f aca="false">IF('THÁNG 9'!$C91="","",N('THÁNG 9'!$N91))</f>
        <v/>
      </c>
      <c r="L534" s="0" t="str">
        <f aca="false">IF('THÁNG 9'!$C91="","",N('THÁNG 9'!$O91))</f>
        <v/>
      </c>
      <c r="M534" s="0" t="str">
        <f aca="false">IF('THÁNG 9'!$C91="","",N('THÁNG 9'!$P91))</f>
        <v/>
      </c>
      <c r="N534" s="0" t="str">
        <f aca="false">IF('THÁNG 9'!$C91="","",N('THÁNG 9'!$Q91))</f>
        <v/>
      </c>
      <c r="O534" s="0" t="str">
        <f aca="false">IF('THÁNG 9'!$C91="","",N('THÁNG 9'!$R91))</f>
        <v/>
      </c>
      <c r="P534" s="0" t="str">
        <f aca="false">IF(OR('THÁNG 9'!$C91="",'THÁNG 9'!$T91=""),"",'THÁNG 9'!$T91)</f>
        <v/>
      </c>
      <c r="Q534" s="0" t="str">
        <f aca="false">IF(OR('THÁNG 9'!$C91="",'THÁNG 9'!$U91=""),"",'THÁNG 9'!$U91)</f>
        <v/>
      </c>
      <c r="R534" s="0" t="str">
        <f aca="false">IF('THÁNG 9'!$C91="","",'THÁNG 9'!$W91&amp;"")</f>
        <v/>
      </c>
      <c r="S534" s="0" t="str">
        <f aca="false">IF('THÁNG 9'!$C91="","",'THÁNG 9'!$S91&amp;"")</f>
        <v/>
      </c>
      <c r="T534" s="0" t="str">
        <f aca="false">IF(N($O534)&gt;0,COUNTIF($O$3:$O534,"&gt;0"),"")</f>
        <v/>
      </c>
      <c r="U534" s="0" t="str">
        <f aca="false">IF(AND(N($J534)&gt;0,N($K534)&gt;0),COUNTIFS($J$3:$J534,"&gt;0",$K$3:$K534,"&gt;0"),"")</f>
        <v/>
      </c>
      <c r="V534" s="0" t="str">
        <f aca="false">IF(AND(N($J534)&gt;0,N($K534)=0),COUNTIFS($J$3:$J534,"&gt;0",$K$3:$K534,"&lt;=0"),"")</f>
        <v/>
      </c>
      <c r="W534" s="0" t="str">
        <f aca="false">IF($C534="","",IF(COUNTIF($C$3:$C534,$C534)&gt;1,"",MAX($W$2:W533)+1))</f>
        <v/>
      </c>
      <c r="X534" s="0" t="str">
        <f aca="false">IF($H534="","",IF(COUNTIF($H$3:$H534,$H534)&gt;1,"",MAX($X$2:X533)+1))</f>
        <v/>
      </c>
      <c r="Y534" s="0" t="str">
        <f aca="false">IF(AND(N($M534)&gt;0,N($O534)&lt;=0),COUNTIFS($M$3:$M534,"&gt;0",$O$3:$O534,"&lt;=0"),"")</f>
        <v/>
      </c>
      <c r="Z534" s="30" t="n">
        <f aca="false">IF(OR('THÁNG 9'!$C91="",'THÁNG 9'!$B91=""),0,'THÁNG 9'!$B91)</f>
        <v>0</v>
      </c>
    </row>
    <row r="535" customFormat="false" ht="15" hidden="false" customHeight="false" outlineLevel="0" collapsed="false">
      <c r="A535" s="0" t="n">
        <v>9</v>
      </c>
      <c r="B535" s="29" t="str">
        <f aca="false">IF(OR('THÁNG 9'!$C92="",'THÁNG 9'!$B92=""),"",'THÁNG 9'!$B92)</f>
        <v/>
      </c>
      <c r="C535" s="0" t="str">
        <f aca="false">IF('THÁNG 9'!$C92="","",'THÁNG 9'!$C92)</f>
        <v/>
      </c>
      <c r="D535" s="0" t="str">
        <f aca="false">IF('THÁNG 9'!$C92="","",'THÁNG 9'!$D92&amp;"")</f>
        <v/>
      </c>
      <c r="E535" s="0" t="str">
        <f aca="false">IF('THÁNG 9'!$C92="","",'THÁNG 9'!$E92&amp;"")</f>
        <v/>
      </c>
      <c r="F535" s="0" t="str">
        <f aca="false">IF('THÁNG 9'!$C92="","",'THÁNG 9'!$F92&amp;"")</f>
        <v/>
      </c>
      <c r="G535" s="0" t="str">
        <f aca="false">IF('THÁNG 9'!$C92="","",'THÁNG 9'!$G92&amp;"")</f>
        <v/>
      </c>
      <c r="H535" s="0" t="str">
        <f aca="false">IF('THÁNG 9'!$C92="","",'THÁNG 9'!$H92&amp;"")</f>
        <v/>
      </c>
      <c r="I535" s="0" t="str">
        <f aca="false">IF('THÁNG 9'!$C92="","",N('THÁNG 9'!$I92))</f>
        <v/>
      </c>
      <c r="J535" s="0" t="str">
        <f aca="false">IF('THÁNG 9'!$C92="","",N('THÁNG 9'!$L92))</f>
        <v/>
      </c>
      <c r="K535" s="0" t="str">
        <f aca="false">IF('THÁNG 9'!$C92="","",N('THÁNG 9'!$N92))</f>
        <v/>
      </c>
      <c r="L535" s="0" t="str">
        <f aca="false">IF('THÁNG 9'!$C92="","",N('THÁNG 9'!$O92))</f>
        <v/>
      </c>
      <c r="M535" s="0" t="str">
        <f aca="false">IF('THÁNG 9'!$C92="","",N('THÁNG 9'!$P92))</f>
        <v/>
      </c>
      <c r="N535" s="0" t="str">
        <f aca="false">IF('THÁNG 9'!$C92="","",N('THÁNG 9'!$Q92))</f>
        <v/>
      </c>
      <c r="O535" s="0" t="str">
        <f aca="false">IF('THÁNG 9'!$C92="","",N('THÁNG 9'!$R92))</f>
        <v/>
      </c>
      <c r="P535" s="0" t="str">
        <f aca="false">IF(OR('THÁNG 9'!$C92="",'THÁNG 9'!$T92=""),"",'THÁNG 9'!$T92)</f>
        <v/>
      </c>
      <c r="Q535" s="0" t="str">
        <f aca="false">IF(OR('THÁNG 9'!$C92="",'THÁNG 9'!$U92=""),"",'THÁNG 9'!$U92)</f>
        <v/>
      </c>
      <c r="R535" s="0" t="str">
        <f aca="false">IF('THÁNG 9'!$C92="","",'THÁNG 9'!$W92&amp;"")</f>
        <v/>
      </c>
      <c r="S535" s="0" t="str">
        <f aca="false">IF('THÁNG 9'!$C92="","",'THÁNG 9'!$S92&amp;"")</f>
        <v/>
      </c>
      <c r="T535" s="0" t="str">
        <f aca="false">IF(N($O535)&gt;0,COUNTIF($O$3:$O535,"&gt;0"),"")</f>
        <v/>
      </c>
      <c r="U535" s="0" t="str">
        <f aca="false">IF(AND(N($J535)&gt;0,N($K535)&gt;0),COUNTIFS($J$3:$J535,"&gt;0",$K$3:$K535,"&gt;0"),"")</f>
        <v/>
      </c>
      <c r="V535" s="0" t="str">
        <f aca="false">IF(AND(N($J535)&gt;0,N($K535)=0),COUNTIFS($J$3:$J535,"&gt;0",$K$3:$K535,"&lt;=0"),"")</f>
        <v/>
      </c>
      <c r="W535" s="0" t="str">
        <f aca="false">IF($C535="","",IF(COUNTIF($C$3:$C535,$C535)&gt;1,"",MAX($W$2:W534)+1))</f>
        <v/>
      </c>
      <c r="X535" s="0" t="str">
        <f aca="false">IF($H535="","",IF(COUNTIF($H$3:$H535,$H535)&gt;1,"",MAX($X$2:X534)+1))</f>
        <v/>
      </c>
      <c r="Y535" s="0" t="str">
        <f aca="false">IF(AND(N($M535)&gt;0,N($O535)&lt;=0),COUNTIFS($M$3:$M535,"&gt;0",$O$3:$O535,"&lt;=0"),"")</f>
        <v/>
      </c>
      <c r="Z535" s="30" t="n">
        <f aca="false">IF(OR('THÁNG 9'!$C92="",'THÁNG 9'!$B92=""),0,'THÁNG 9'!$B92)</f>
        <v>0</v>
      </c>
    </row>
    <row r="536" customFormat="false" ht="15" hidden="false" customHeight="false" outlineLevel="0" collapsed="false">
      <c r="A536" s="0" t="n">
        <v>9</v>
      </c>
      <c r="B536" s="29" t="str">
        <f aca="false">IF(OR('THÁNG 9'!$C93="",'THÁNG 9'!$B93=""),"",'THÁNG 9'!$B93)</f>
        <v/>
      </c>
      <c r="C536" s="0" t="str">
        <f aca="false">IF('THÁNG 9'!$C93="","",'THÁNG 9'!$C93)</f>
        <v/>
      </c>
      <c r="D536" s="0" t="str">
        <f aca="false">IF('THÁNG 9'!$C93="","",'THÁNG 9'!$D93&amp;"")</f>
        <v/>
      </c>
      <c r="E536" s="0" t="str">
        <f aca="false">IF('THÁNG 9'!$C93="","",'THÁNG 9'!$E93&amp;"")</f>
        <v/>
      </c>
      <c r="F536" s="0" t="str">
        <f aca="false">IF('THÁNG 9'!$C93="","",'THÁNG 9'!$F93&amp;"")</f>
        <v/>
      </c>
      <c r="G536" s="0" t="str">
        <f aca="false">IF('THÁNG 9'!$C93="","",'THÁNG 9'!$G93&amp;"")</f>
        <v/>
      </c>
      <c r="H536" s="0" t="str">
        <f aca="false">IF('THÁNG 9'!$C93="","",'THÁNG 9'!$H93&amp;"")</f>
        <v/>
      </c>
      <c r="I536" s="0" t="str">
        <f aca="false">IF('THÁNG 9'!$C93="","",N('THÁNG 9'!$I93))</f>
        <v/>
      </c>
      <c r="J536" s="0" t="str">
        <f aca="false">IF('THÁNG 9'!$C93="","",N('THÁNG 9'!$L93))</f>
        <v/>
      </c>
      <c r="K536" s="0" t="str">
        <f aca="false">IF('THÁNG 9'!$C93="","",N('THÁNG 9'!$N93))</f>
        <v/>
      </c>
      <c r="L536" s="0" t="str">
        <f aca="false">IF('THÁNG 9'!$C93="","",N('THÁNG 9'!$O93))</f>
        <v/>
      </c>
      <c r="M536" s="0" t="str">
        <f aca="false">IF('THÁNG 9'!$C93="","",N('THÁNG 9'!$P93))</f>
        <v/>
      </c>
      <c r="N536" s="0" t="str">
        <f aca="false">IF('THÁNG 9'!$C93="","",N('THÁNG 9'!$Q93))</f>
        <v/>
      </c>
      <c r="O536" s="0" t="str">
        <f aca="false">IF('THÁNG 9'!$C93="","",N('THÁNG 9'!$R93))</f>
        <v/>
      </c>
      <c r="P536" s="0" t="str">
        <f aca="false">IF(OR('THÁNG 9'!$C93="",'THÁNG 9'!$T93=""),"",'THÁNG 9'!$T93)</f>
        <v/>
      </c>
      <c r="Q536" s="0" t="str">
        <f aca="false">IF(OR('THÁNG 9'!$C93="",'THÁNG 9'!$U93=""),"",'THÁNG 9'!$U93)</f>
        <v/>
      </c>
      <c r="R536" s="0" t="str">
        <f aca="false">IF('THÁNG 9'!$C93="","",'THÁNG 9'!$W93&amp;"")</f>
        <v/>
      </c>
      <c r="S536" s="0" t="str">
        <f aca="false">IF('THÁNG 9'!$C93="","",'THÁNG 9'!$S93&amp;"")</f>
        <v/>
      </c>
      <c r="T536" s="0" t="str">
        <f aca="false">IF(N($O536)&gt;0,COUNTIF($O$3:$O536,"&gt;0"),"")</f>
        <v/>
      </c>
      <c r="U536" s="0" t="str">
        <f aca="false">IF(AND(N($J536)&gt;0,N($K536)&gt;0),COUNTIFS($J$3:$J536,"&gt;0",$K$3:$K536,"&gt;0"),"")</f>
        <v/>
      </c>
      <c r="V536" s="0" t="str">
        <f aca="false">IF(AND(N($J536)&gt;0,N($K536)=0),COUNTIFS($J$3:$J536,"&gt;0",$K$3:$K536,"&lt;=0"),"")</f>
        <v/>
      </c>
      <c r="W536" s="0" t="str">
        <f aca="false">IF($C536="","",IF(COUNTIF($C$3:$C536,$C536)&gt;1,"",MAX($W$2:W535)+1))</f>
        <v/>
      </c>
      <c r="X536" s="0" t="str">
        <f aca="false">IF($H536="","",IF(COUNTIF($H$3:$H536,$H536)&gt;1,"",MAX($X$2:X535)+1))</f>
        <v/>
      </c>
      <c r="Y536" s="0" t="str">
        <f aca="false">IF(AND(N($M536)&gt;0,N($O536)&lt;=0),COUNTIFS($M$3:$M536,"&gt;0",$O$3:$O536,"&lt;=0"),"")</f>
        <v/>
      </c>
      <c r="Z536" s="30" t="n">
        <f aca="false">IF(OR('THÁNG 9'!$C93="",'THÁNG 9'!$B93=""),0,'THÁNG 9'!$B93)</f>
        <v>0</v>
      </c>
    </row>
    <row r="537" customFormat="false" ht="15" hidden="false" customHeight="false" outlineLevel="0" collapsed="false">
      <c r="A537" s="0" t="n">
        <v>9</v>
      </c>
      <c r="B537" s="29" t="str">
        <f aca="false">IF(OR('THÁNG 9'!$C94="",'THÁNG 9'!$B94=""),"",'THÁNG 9'!$B94)</f>
        <v/>
      </c>
      <c r="C537" s="0" t="str">
        <f aca="false">IF('THÁNG 9'!$C94="","",'THÁNG 9'!$C94)</f>
        <v/>
      </c>
      <c r="D537" s="0" t="str">
        <f aca="false">IF('THÁNG 9'!$C94="","",'THÁNG 9'!$D94&amp;"")</f>
        <v/>
      </c>
      <c r="E537" s="0" t="str">
        <f aca="false">IF('THÁNG 9'!$C94="","",'THÁNG 9'!$E94&amp;"")</f>
        <v/>
      </c>
      <c r="F537" s="0" t="str">
        <f aca="false">IF('THÁNG 9'!$C94="","",'THÁNG 9'!$F94&amp;"")</f>
        <v/>
      </c>
      <c r="G537" s="0" t="str">
        <f aca="false">IF('THÁNG 9'!$C94="","",'THÁNG 9'!$G94&amp;"")</f>
        <v/>
      </c>
      <c r="H537" s="0" t="str">
        <f aca="false">IF('THÁNG 9'!$C94="","",'THÁNG 9'!$H94&amp;"")</f>
        <v/>
      </c>
      <c r="I537" s="0" t="str">
        <f aca="false">IF('THÁNG 9'!$C94="","",N('THÁNG 9'!$I94))</f>
        <v/>
      </c>
      <c r="J537" s="0" t="str">
        <f aca="false">IF('THÁNG 9'!$C94="","",N('THÁNG 9'!$L94))</f>
        <v/>
      </c>
      <c r="K537" s="0" t="str">
        <f aca="false">IF('THÁNG 9'!$C94="","",N('THÁNG 9'!$N94))</f>
        <v/>
      </c>
      <c r="L537" s="0" t="str">
        <f aca="false">IF('THÁNG 9'!$C94="","",N('THÁNG 9'!$O94))</f>
        <v/>
      </c>
      <c r="M537" s="0" t="str">
        <f aca="false">IF('THÁNG 9'!$C94="","",N('THÁNG 9'!$P94))</f>
        <v/>
      </c>
      <c r="N537" s="0" t="str">
        <f aca="false">IF('THÁNG 9'!$C94="","",N('THÁNG 9'!$Q94))</f>
        <v/>
      </c>
      <c r="O537" s="0" t="str">
        <f aca="false">IF('THÁNG 9'!$C94="","",N('THÁNG 9'!$R94))</f>
        <v/>
      </c>
      <c r="P537" s="0" t="str">
        <f aca="false">IF(OR('THÁNG 9'!$C94="",'THÁNG 9'!$T94=""),"",'THÁNG 9'!$T94)</f>
        <v/>
      </c>
      <c r="Q537" s="0" t="str">
        <f aca="false">IF(OR('THÁNG 9'!$C94="",'THÁNG 9'!$U94=""),"",'THÁNG 9'!$U94)</f>
        <v/>
      </c>
      <c r="R537" s="0" t="str">
        <f aca="false">IF('THÁNG 9'!$C94="","",'THÁNG 9'!$W94&amp;"")</f>
        <v/>
      </c>
      <c r="S537" s="0" t="str">
        <f aca="false">IF('THÁNG 9'!$C94="","",'THÁNG 9'!$S94&amp;"")</f>
        <v/>
      </c>
      <c r="T537" s="0" t="str">
        <f aca="false">IF(N($O537)&gt;0,COUNTIF($O$3:$O537,"&gt;0"),"")</f>
        <v/>
      </c>
      <c r="U537" s="0" t="str">
        <f aca="false">IF(AND(N($J537)&gt;0,N($K537)&gt;0),COUNTIFS($J$3:$J537,"&gt;0",$K$3:$K537,"&gt;0"),"")</f>
        <v/>
      </c>
      <c r="V537" s="0" t="str">
        <f aca="false">IF(AND(N($J537)&gt;0,N($K537)=0),COUNTIFS($J$3:$J537,"&gt;0",$K$3:$K537,"&lt;=0"),"")</f>
        <v/>
      </c>
      <c r="W537" s="0" t="str">
        <f aca="false">IF($C537="","",IF(COUNTIF($C$3:$C537,$C537)&gt;1,"",MAX($W$2:W536)+1))</f>
        <v/>
      </c>
      <c r="X537" s="0" t="str">
        <f aca="false">IF($H537="","",IF(COUNTIF($H$3:$H537,$H537)&gt;1,"",MAX($X$2:X536)+1))</f>
        <v/>
      </c>
      <c r="Y537" s="0" t="str">
        <f aca="false">IF(AND(N($M537)&gt;0,N($O537)&lt;=0),COUNTIFS($M$3:$M537,"&gt;0",$O$3:$O537,"&lt;=0"),"")</f>
        <v/>
      </c>
      <c r="Z537" s="30" t="n">
        <f aca="false">IF(OR('THÁNG 9'!$C94="",'THÁNG 9'!$B94=""),0,'THÁNG 9'!$B94)</f>
        <v>0</v>
      </c>
    </row>
    <row r="538" customFormat="false" ht="15" hidden="false" customHeight="false" outlineLevel="0" collapsed="false">
      <c r="A538" s="0" t="n">
        <v>9</v>
      </c>
      <c r="B538" s="29" t="str">
        <f aca="false">IF(OR('THÁNG 9'!$C95="",'THÁNG 9'!$B95=""),"",'THÁNG 9'!$B95)</f>
        <v/>
      </c>
      <c r="C538" s="0" t="str">
        <f aca="false">IF('THÁNG 9'!$C95="","",'THÁNG 9'!$C95)</f>
        <v/>
      </c>
      <c r="D538" s="0" t="str">
        <f aca="false">IF('THÁNG 9'!$C95="","",'THÁNG 9'!$D95&amp;"")</f>
        <v/>
      </c>
      <c r="E538" s="0" t="str">
        <f aca="false">IF('THÁNG 9'!$C95="","",'THÁNG 9'!$E95&amp;"")</f>
        <v/>
      </c>
      <c r="F538" s="0" t="str">
        <f aca="false">IF('THÁNG 9'!$C95="","",'THÁNG 9'!$F95&amp;"")</f>
        <v/>
      </c>
      <c r="G538" s="0" t="str">
        <f aca="false">IF('THÁNG 9'!$C95="","",'THÁNG 9'!$G95&amp;"")</f>
        <v/>
      </c>
      <c r="H538" s="0" t="str">
        <f aca="false">IF('THÁNG 9'!$C95="","",'THÁNG 9'!$H95&amp;"")</f>
        <v/>
      </c>
      <c r="I538" s="0" t="str">
        <f aca="false">IF('THÁNG 9'!$C95="","",N('THÁNG 9'!$I95))</f>
        <v/>
      </c>
      <c r="J538" s="0" t="str">
        <f aca="false">IF('THÁNG 9'!$C95="","",N('THÁNG 9'!$L95))</f>
        <v/>
      </c>
      <c r="K538" s="0" t="str">
        <f aca="false">IF('THÁNG 9'!$C95="","",N('THÁNG 9'!$N95))</f>
        <v/>
      </c>
      <c r="L538" s="0" t="str">
        <f aca="false">IF('THÁNG 9'!$C95="","",N('THÁNG 9'!$O95))</f>
        <v/>
      </c>
      <c r="M538" s="0" t="str">
        <f aca="false">IF('THÁNG 9'!$C95="","",N('THÁNG 9'!$P95))</f>
        <v/>
      </c>
      <c r="N538" s="0" t="str">
        <f aca="false">IF('THÁNG 9'!$C95="","",N('THÁNG 9'!$Q95))</f>
        <v/>
      </c>
      <c r="O538" s="0" t="str">
        <f aca="false">IF('THÁNG 9'!$C95="","",N('THÁNG 9'!$R95))</f>
        <v/>
      </c>
      <c r="P538" s="0" t="str">
        <f aca="false">IF(OR('THÁNG 9'!$C95="",'THÁNG 9'!$T95=""),"",'THÁNG 9'!$T95)</f>
        <v/>
      </c>
      <c r="Q538" s="0" t="str">
        <f aca="false">IF(OR('THÁNG 9'!$C95="",'THÁNG 9'!$U95=""),"",'THÁNG 9'!$U95)</f>
        <v/>
      </c>
      <c r="R538" s="0" t="str">
        <f aca="false">IF('THÁNG 9'!$C95="","",'THÁNG 9'!$W95&amp;"")</f>
        <v/>
      </c>
      <c r="S538" s="0" t="str">
        <f aca="false">IF('THÁNG 9'!$C95="","",'THÁNG 9'!$S95&amp;"")</f>
        <v/>
      </c>
      <c r="T538" s="0" t="str">
        <f aca="false">IF(N($O538)&gt;0,COUNTIF($O$3:$O538,"&gt;0"),"")</f>
        <v/>
      </c>
      <c r="U538" s="0" t="str">
        <f aca="false">IF(AND(N($J538)&gt;0,N($K538)&gt;0),COUNTIFS($J$3:$J538,"&gt;0",$K$3:$K538,"&gt;0"),"")</f>
        <v/>
      </c>
      <c r="V538" s="0" t="str">
        <f aca="false">IF(AND(N($J538)&gt;0,N($K538)=0),COUNTIFS($J$3:$J538,"&gt;0",$K$3:$K538,"&lt;=0"),"")</f>
        <v/>
      </c>
      <c r="W538" s="0" t="str">
        <f aca="false">IF($C538="","",IF(COUNTIF($C$3:$C538,$C538)&gt;1,"",MAX($W$2:W537)+1))</f>
        <v/>
      </c>
      <c r="X538" s="0" t="str">
        <f aca="false">IF($H538="","",IF(COUNTIF($H$3:$H538,$H538)&gt;1,"",MAX($X$2:X537)+1))</f>
        <v/>
      </c>
      <c r="Y538" s="0" t="str">
        <f aca="false">IF(AND(N($M538)&gt;0,N($O538)&lt;=0),COUNTIFS($M$3:$M538,"&gt;0",$O$3:$O538,"&lt;=0"),"")</f>
        <v/>
      </c>
      <c r="Z538" s="30" t="n">
        <f aca="false">IF(OR('THÁNG 9'!$C95="",'THÁNG 9'!$B95=""),0,'THÁNG 9'!$B95)</f>
        <v>0</v>
      </c>
    </row>
    <row r="539" customFormat="false" ht="15" hidden="false" customHeight="false" outlineLevel="0" collapsed="false">
      <c r="A539" s="0" t="n">
        <v>9</v>
      </c>
      <c r="B539" s="29" t="str">
        <f aca="false">IF(OR('THÁNG 9'!$C96="",'THÁNG 9'!$B96=""),"",'THÁNG 9'!$B96)</f>
        <v/>
      </c>
      <c r="C539" s="0" t="str">
        <f aca="false">IF('THÁNG 9'!$C96="","",'THÁNG 9'!$C96)</f>
        <v/>
      </c>
      <c r="D539" s="0" t="str">
        <f aca="false">IF('THÁNG 9'!$C96="","",'THÁNG 9'!$D96&amp;"")</f>
        <v/>
      </c>
      <c r="E539" s="0" t="str">
        <f aca="false">IF('THÁNG 9'!$C96="","",'THÁNG 9'!$E96&amp;"")</f>
        <v/>
      </c>
      <c r="F539" s="0" t="str">
        <f aca="false">IF('THÁNG 9'!$C96="","",'THÁNG 9'!$F96&amp;"")</f>
        <v/>
      </c>
      <c r="G539" s="0" t="str">
        <f aca="false">IF('THÁNG 9'!$C96="","",'THÁNG 9'!$G96&amp;"")</f>
        <v/>
      </c>
      <c r="H539" s="0" t="str">
        <f aca="false">IF('THÁNG 9'!$C96="","",'THÁNG 9'!$H96&amp;"")</f>
        <v/>
      </c>
      <c r="I539" s="0" t="str">
        <f aca="false">IF('THÁNG 9'!$C96="","",N('THÁNG 9'!$I96))</f>
        <v/>
      </c>
      <c r="J539" s="0" t="str">
        <f aca="false">IF('THÁNG 9'!$C96="","",N('THÁNG 9'!$L96))</f>
        <v/>
      </c>
      <c r="K539" s="0" t="str">
        <f aca="false">IF('THÁNG 9'!$C96="","",N('THÁNG 9'!$N96))</f>
        <v/>
      </c>
      <c r="L539" s="0" t="str">
        <f aca="false">IF('THÁNG 9'!$C96="","",N('THÁNG 9'!$O96))</f>
        <v/>
      </c>
      <c r="M539" s="0" t="str">
        <f aca="false">IF('THÁNG 9'!$C96="","",N('THÁNG 9'!$P96))</f>
        <v/>
      </c>
      <c r="N539" s="0" t="str">
        <f aca="false">IF('THÁNG 9'!$C96="","",N('THÁNG 9'!$Q96))</f>
        <v/>
      </c>
      <c r="O539" s="0" t="str">
        <f aca="false">IF('THÁNG 9'!$C96="","",N('THÁNG 9'!$R96))</f>
        <v/>
      </c>
      <c r="P539" s="0" t="str">
        <f aca="false">IF(OR('THÁNG 9'!$C96="",'THÁNG 9'!$T96=""),"",'THÁNG 9'!$T96)</f>
        <v/>
      </c>
      <c r="Q539" s="0" t="str">
        <f aca="false">IF(OR('THÁNG 9'!$C96="",'THÁNG 9'!$U96=""),"",'THÁNG 9'!$U96)</f>
        <v/>
      </c>
      <c r="R539" s="0" t="str">
        <f aca="false">IF('THÁNG 9'!$C96="","",'THÁNG 9'!$W96&amp;"")</f>
        <v/>
      </c>
      <c r="S539" s="0" t="str">
        <f aca="false">IF('THÁNG 9'!$C96="","",'THÁNG 9'!$S96&amp;"")</f>
        <v/>
      </c>
      <c r="T539" s="0" t="str">
        <f aca="false">IF(N($O539)&gt;0,COUNTIF($O$3:$O539,"&gt;0"),"")</f>
        <v/>
      </c>
      <c r="U539" s="0" t="str">
        <f aca="false">IF(AND(N($J539)&gt;0,N($K539)&gt;0),COUNTIFS($J$3:$J539,"&gt;0",$K$3:$K539,"&gt;0"),"")</f>
        <v/>
      </c>
      <c r="V539" s="0" t="str">
        <f aca="false">IF(AND(N($J539)&gt;0,N($K539)=0),COUNTIFS($J$3:$J539,"&gt;0",$K$3:$K539,"&lt;=0"),"")</f>
        <v/>
      </c>
      <c r="W539" s="0" t="str">
        <f aca="false">IF($C539="","",IF(COUNTIF($C$3:$C539,$C539)&gt;1,"",MAX($W$2:W538)+1))</f>
        <v/>
      </c>
      <c r="X539" s="0" t="str">
        <f aca="false">IF($H539="","",IF(COUNTIF($H$3:$H539,$H539)&gt;1,"",MAX($X$2:X538)+1))</f>
        <v/>
      </c>
      <c r="Y539" s="0" t="str">
        <f aca="false">IF(AND(N($M539)&gt;0,N($O539)&lt;=0),COUNTIFS($M$3:$M539,"&gt;0",$O$3:$O539,"&lt;=0"),"")</f>
        <v/>
      </c>
      <c r="Z539" s="30" t="n">
        <f aca="false">IF(OR('THÁNG 9'!$C96="",'THÁNG 9'!$B96=""),0,'THÁNG 9'!$B96)</f>
        <v>0</v>
      </c>
    </row>
    <row r="540" customFormat="false" ht="15" hidden="false" customHeight="false" outlineLevel="0" collapsed="false">
      <c r="A540" s="0" t="n">
        <v>9</v>
      </c>
      <c r="B540" s="29" t="str">
        <f aca="false">IF(OR('THÁNG 9'!$C97="",'THÁNG 9'!$B97=""),"",'THÁNG 9'!$B97)</f>
        <v/>
      </c>
      <c r="C540" s="0" t="str">
        <f aca="false">IF('THÁNG 9'!$C97="","",'THÁNG 9'!$C97)</f>
        <v/>
      </c>
      <c r="D540" s="0" t="str">
        <f aca="false">IF('THÁNG 9'!$C97="","",'THÁNG 9'!$D97&amp;"")</f>
        <v/>
      </c>
      <c r="E540" s="0" t="str">
        <f aca="false">IF('THÁNG 9'!$C97="","",'THÁNG 9'!$E97&amp;"")</f>
        <v/>
      </c>
      <c r="F540" s="0" t="str">
        <f aca="false">IF('THÁNG 9'!$C97="","",'THÁNG 9'!$F97&amp;"")</f>
        <v/>
      </c>
      <c r="G540" s="0" t="str">
        <f aca="false">IF('THÁNG 9'!$C97="","",'THÁNG 9'!$G97&amp;"")</f>
        <v/>
      </c>
      <c r="H540" s="0" t="str">
        <f aca="false">IF('THÁNG 9'!$C97="","",'THÁNG 9'!$H97&amp;"")</f>
        <v/>
      </c>
      <c r="I540" s="0" t="str">
        <f aca="false">IF('THÁNG 9'!$C97="","",N('THÁNG 9'!$I97))</f>
        <v/>
      </c>
      <c r="J540" s="0" t="str">
        <f aca="false">IF('THÁNG 9'!$C97="","",N('THÁNG 9'!$L97))</f>
        <v/>
      </c>
      <c r="K540" s="0" t="str">
        <f aca="false">IF('THÁNG 9'!$C97="","",N('THÁNG 9'!$N97))</f>
        <v/>
      </c>
      <c r="L540" s="0" t="str">
        <f aca="false">IF('THÁNG 9'!$C97="","",N('THÁNG 9'!$O97))</f>
        <v/>
      </c>
      <c r="M540" s="0" t="str">
        <f aca="false">IF('THÁNG 9'!$C97="","",N('THÁNG 9'!$P97))</f>
        <v/>
      </c>
      <c r="N540" s="0" t="str">
        <f aca="false">IF('THÁNG 9'!$C97="","",N('THÁNG 9'!$Q97))</f>
        <v/>
      </c>
      <c r="O540" s="0" t="str">
        <f aca="false">IF('THÁNG 9'!$C97="","",N('THÁNG 9'!$R97))</f>
        <v/>
      </c>
      <c r="P540" s="0" t="str">
        <f aca="false">IF(OR('THÁNG 9'!$C97="",'THÁNG 9'!$T97=""),"",'THÁNG 9'!$T97)</f>
        <v/>
      </c>
      <c r="Q540" s="0" t="str">
        <f aca="false">IF(OR('THÁNG 9'!$C97="",'THÁNG 9'!$U97=""),"",'THÁNG 9'!$U97)</f>
        <v/>
      </c>
      <c r="R540" s="0" t="str">
        <f aca="false">IF('THÁNG 9'!$C97="","",'THÁNG 9'!$W97&amp;"")</f>
        <v/>
      </c>
      <c r="S540" s="0" t="str">
        <f aca="false">IF('THÁNG 9'!$C97="","",'THÁNG 9'!$S97&amp;"")</f>
        <v/>
      </c>
      <c r="T540" s="0" t="str">
        <f aca="false">IF(N($O540)&gt;0,COUNTIF($O$3:$O540,"&gt;0"),"")</f>
        <v/>
      </c>
      <c r="U540" s="0" t="str">
        <f aca="false">IF(AND(N($J540)&gt;0,N($K540)&gt;0),COUNTIFS($J$3:$J540,"&gt;0",$K$3:$K540,"&gt;0"),"")</f>
        <v/>
      </c>
      <c r="V540" s="0" t="str">
        <f aca="false">IF(AND(N($J540)&gt;0,N($K540)=0),COUNTIFS($J$3:$J540,"&gt;0",$K$3:$K540,"&lt;=0"),"")</f>
        <v/>
      </c>
      <c r="W540" s="0" t="str">
        <f aca="false">IF($C540="","",IF(COUNTIF($C$3:$C540,$C540)&gt;1,"",MAX($W$2:W539)+1))</f>
        <v/>
      </c>
      <c r="X540" s="0" t="str">
        <f aca="false">IF($H540="","",IF(COUNTIF($H$3:$H540,$H540)&gt;1,"",MAX($X$2:X539)+1))</f>
        <v/>
      </c>
      <c r="Y540" s="0" t="str">
        <f aca="false">IF(AND(N($M540)&gt;0,N($O540)&lt;=0),COUNTIFS($M$3:$M540,"&gt;0",$O$3:$O540,"&lt;=0"),"")</f>
        <v/>
      </c>
      <c r="Z540" s="30" t="n">
        <f aca="false">IF(OR('THÁNG 9'!$C97="",'THÁNG 9'!$B97=""),0,'THÁNG 9'!$B97)</f>
        <v>0</v>
      </c>
    </row>
    <row r="541" customFormat="false" ht="15" hidden="false" customHeight="false" outlineLevel="0" collapsed="false">
      <c r="A541" s="0" t="n">
        <v>9</v>
      </c>
      <c r="B541" s="29" t="str">
        <f aca="false">IF(OR('THÁNG 9'!$C98="",'THÁNG 9'!$B98=""),"",'THÁNG 9'!$B98)</f>
        <v/>
      </c>
      <c r="C541" s="0" t="str">
        <f aca="false">IF('THÁNG 9'!$C98="","",'THÁNG 9'!$C98)</f>
        <v/>
      </c>
      <c r="D541" s="0" t="str">
        <f aca="false">IF('THÁNG 9'!$C98="","",'THÁNG 9'!$D98&amp;"")</f>
        <v/>
      </c>
      <c r="E541" s="0" t="str">
        <f aca="false">IF('THÁNG 9'!$C98="","",'THÁNG 9'!$E98&amp;"")</f>
        <v/>
      </c>
      <c r="F541" s="0" t="str">
        <f aca="false">IF('THÁNG 9'!$C98="","",'THÁNG 9'!$F98&amp;"")</f>
        <v/>
      </c>
      <c r="G541" s="0" t="str">
        <f aca="false">IF('THÁNG 9'!$C98="","",'THÁNG 9'!$G98&amp;"")</f>
        <v/>
      </c>
      <c r="H541" s="0" t="str">
        <f aca="false">IF('THÁNG 9'!$C98="","",'THÁNG 9'!$H98&amp;"")</f>
        <v/>
      </c>
      <c r="I541" s="0" t="str">
        <f aca="false">IF('THÁNG 9'!$C98="","",N('THÁNG 9'!$I98))</f>
        <v/>
      </c>
      <c r="J541" s="0" t="str">
        <f aca="false">IF('THÁNG 9'!$C98="","",N('THÁNG 9'!$L98))</f>
        <v/>
      </c>
      <c r="K541" s="0" t="str">
        <f aca="false">IF('THÁNG 9'!$C98="","",N('THÁNG 9'!$N98))</f>
        <v/>
      </c>
      <c r="L541" s="0" t="str">
        <f aca="false">IF('THÁNG 9'!$C98="","",N('THÁNG 9'!$O98))</f>
        <v/>
      </c>
      <c r="M541" s="0" t="str">
        <f aca="false">IF('THÁNG 9'!$C98="","",N('THÁNG 9'!$P98))</f>
        <v/>
      </c>
      <c r="N541" s="0" t="str">
        <f aca="false">IF('THÁNG 9'!$C98="","",N('THÁNG 9'!$Q98))</f>
        <v/>
      </c>
      <c r="O541" s="0" t="str">
        <f aca="false">IF('THÁNG 9'!$C98="","",N('THÁNG 9'!$R98))</f>
        <v/>
      </c>
      <c r="P541" s="0" t="str">
        <f aca="false">IF(OR('THÁNG 9'!$C98="",'THÁNG 9'!$T98=""),"",'THÁNG 9'!$T98)</f>
        <v/>
      </c>
      <c r="Q541" s="0" t="str">
        <f aca="false">IF(OR('THÁNG 9'!$C98="",'THÁNG 9'!$U98=""),"",'THÁNG 9'!$U98)</f>
        <v/>
      </c>
      <c r="R541" s="0" t="str">
        <f aca="false">IF('THÁNG 9'!$C98="","",'THÁNG 9'!$W98&amp;"")</f>
        <v/>
      </c>
      <c r="S541" s="0" t="str">
        <f aca="false">IF('THÁNG 9'!$C98="","",'THÁNG 9'!$S98&amp;"")</f>
        <v/>
      </c>
      <c r="T541" s="0" t="str">
        <f aca="false">IF(N($O541)&gt;0,COUNTIF($O$3:$O541,"&gt;0"),"")</f>
        <v/>
      </c>
      <c r="U541" s="0" t="str">
        <f aca="false">IF(AND(N($J541)&gt;0,N($K541)&gt;0),COUNTIFS($J$3:$J541,"&gt;0",$K$3:$K541,"&gt;0"),"")</f>
        <v/>
      </c>
      <c r="V541" s="0" t="str">
        <f aca="false">IF(AND(N($J541)&gt;0,N($K541)=0),COUNTIFS($J$3:$J541,"&gt;0",$K$3:$K541,"&lt;=0"),"")</f>
        <v/>
      </c>
      <c r="W541" s="0" t="str">
        <f aca="false">IF($C541="","",IF(COUNTIF($C$3:$C541,$C541)&gt;1,"",MAX($W$2:W540)+1))</f>
        <v/>
      </c>
      <c r="X541" s="0" t="str">
        <f aca="false">IF($H541="","",IF(COUNTIF($H$3:$H541,$H541)&gt;1,"",MAX($X$2:X540)+1))</f>
        <v/>
      </c>
      <c r="Y541" s="0" t="str">
        <f aca="false">IF(AND(N($M541)&gt;0,N($O541)&lt;=0),COUNTIFS($M$3:$M541,"&gt;0",$O$3:$O541,"&lt;=0"),"")</f>
        <v/>
      </c>
      <c r="Z541" s="30" t="n">
        <f aca="false">IF(OR('THÁNG 9'!$C98="",'THÁNG 9'!$B98=""),0,'THÁNG 9'!$B98)</f>
        <v>0</v>
      </c>
    </row>
    <row r="542" customFormat="false" ht="15" hidden="false" customHeight="false" outlineLevel="0" collapsed="false">
      <c r="A542" s="0" t="n">
        <v>9</v>
      </c>
      <c r="B542" s="29" t="str">
        <f aca="false">IF(OR('THÁNG 9'!$C99="",'THÁNG 9'!$B99=""),"",'THÁNG 9'!$B99)</f>
        <v/>
      </c>
      <c r="C542" s="0" t="str">
        <f aca="false">IF('THÁNG 9'!$C99="","",'THÁNG 9'!$C99)</f>
        <v/>
      </c>
      <c r="D542" s="0" t="str">
        <f aca="false">IF('THÁNG 9'!$C99="","",'THÁNG 9'!$D99&amp;"")</f>
        <v/>
      </c>
      <c r="E542" s="0" t="str">
        <f aca="false">IF('THÁNG 9'!$C99="","",'THÁNG 9'!$E99&amp;"")</f>
        <v/>
      </c>
      <c r="F542" s="0" t="str">
        <f aca="false">IF('THÁNG 9'!$C99="","",'THÁNG 9'!$F99&amp;"")</f>
        <v/>
      </c>
      <c r="G542" s="0" t="str">
        <f aca="false">IF('THÁNG 9'!$C99="","",'THÁNG 9'!$G99&amp;"")</f>
        <v/>
      </c>
      <c r="H542" s="0" t="str">
        <f aca="false">IF('THÁNG 9'!$C99="","",'THÁNG 9'!$H99&amp;"")</f>
        <v/>
      </c>
      <c r="I542" s="0" t="str">
        <f aca="false">IF('THÁNG 9'!$C99="","",N('THÁNG 9'!$I99))</f>
        <v/>
      </c>
      <c r="J542" s="0" t="str">
        <f aca="false">IF('THÁNG 9'!$C99="","",N('THÁNG 9'!$L99))</f>
        <v/>
      </c>
      <c r="K542" s="0" t="str">
        <f aca="false">IF('THÁNG 9'!$C99="","",N('THÁNG 9'!$N99))</f>
        <v/>
      </c>
      <c r="L542" s="0" t="str">
        <f aca="false">IF('THÁNG 9'!$C99="","",N('THÁNG 9'!$O99))</f>
        <v/>
      </c>
      <c r="M542" s="0" t="str">
        <f aca="false">IF('THÁNG 9'!$C99="","",N('THÁNG 9'!$P99))</f>
        <v/>
      </c>
      <c r="N542" s="0" t="str">
        <f aca="false">IF('THÁNG 9'!$C99="","",N('THÁNG 9'!$Q99))</f>
        <v/>
      </c>
      <c r="O542" s="0" t="str">
        <f aca="false">IF('THÁNG 9'!$C99="","",N('THÁNG 9'!$R99))</f>
        <v/>
      </c>
      <c r="P542" s="0" t="str">
        <f aca="false">IF(OR('THÁNG 9'!$C99="",'THÁNG 9'!$T99=""),"",'THÁNG 9'!$T99)</f>
        <v/>
      </c>
      <c r="Q542" s="0" t="str">
        <f aca="false">IF(OR('THÁNG 9'!$C99="",'THÁNG 9'!$U99=""),"",'THÁNG 9'!$U99)</f>
        <v/>
      </c>
      <c r="R542" s="0" t="str">
        <f aca="false">IF('THÁNG 9'!$C99="","",'THÁNG 9'!$W99&amp;"")</f>
        <v/>
      </c>
      <c r="S542" s="0" t="str">
        <f aca="false">IF('THÁNG 9'!$C99="","",'THÁNG 9'!$S99&amp;"")</f>
        <v/>
      </c>
      <c r="T542" s="0" t="str">
        <f aca="false">IF(N($O542)&gt;0,COUNTIF($O$3:$O542,"&gt;0"),"")</f>
        <v/>
      </c>
      <c r="U542" s="0" t="str">
        <f aca="false">IF(AND(N($J542)&gt;0,N($K542)&gt;0),COUNTIFS($J$3:$J542,"&gt;0",$K$3:$K542,"&gt;0"),"")</f>
        <v/>
      </c>
      <c r="V542" s="0" t="str">
        <f aca="false">IF(AND(N($J542)&gt;0,N($K542)=0),COUNTIFS($J$3:$J542,"&gt;0",$K$3:$K542,"&lt;=0"),"")</f>
        <v/>
      </c>
      <c r="W542" s="0" t="str">
        <f aca="false">IF($C542="","",IF(COUNTIF($C$3:$C542,$C542)&gt;1,"",MAX($W$2:W541)+1))</f>
        <v/>
      </c>
      <c r="X542" s="0" t="str">
        <f aca="false">IF($H542="","",IF(COUNTIF($H$3:$H542,$H542)&gt;1,"",MAX($X$2:X541)+1))</f>
        <v/>
      </c>
      <c r="Y542" s="0" t="str">
        <f aca="false">IF(AND(N($M542)&gt;0,N($O542)&lt;=0),COUNTIFS($M$3:$M542,"&gt;0",$O$3:$O542,"&lt;=0"),"")</f>
        <v/>
      </c>
      <c r="Z542" s="30" t="n">
        <f aca="false">IF(OR('THÁNG 9'!$C99="",'THÁNG 9'!$B99=""),0,'THÁNG 9'!$B99)</f>
        <v>0</v>
      </c>
    </row>
    <row r="543" customFormat="false" ht="15" hidden="false" customHeight="false" outlineLevel="0" collapsed="false">
      <c r="A543" s="0" t="n">
        <v>9</v>
      </c>
      <c r="B543" s="29" t="str">
        <f aca="false">IF(OR('THÁNG 9'!$C100="",'THÁNG 9'!$B100=""),"",'THÁNG 9'!$B100)</f>
        <v/>
      </c>
      <c r="C543" s="0" t="str">
        <f aca="false">IF('THÁNG 9'!$C100="","",'THÁNG 9'!$C100)</f>
        <v/>
      </c>
      <c r="D543" s="0" t="str">
        <f aca="false">IF('THÁNG 9'!$C100="","",'THÁNG 9'!$D100&amp;"")</f>
        <v/>
      </c>
      <c r="E543" s="0" t="str">
        <f aca="false">IF('THÁNG 9'!$C100="","",'THÁNG 9'!$E100&amp;"")</f>
        <v/>
      </c>
      <c r="F543" s="0" t="str">
        <f aca="false">IF('THÁNG 9'!$C100="","",'THÁNG 9'!$F100&amp;"")</f>
        <v/>
      </c>
      <c r="G543" s="0" t="str">
        <f aca="false">IF('THÁNG 9'!$C100="","",'THÁNG 9'!$G100&amp;"")</f>
        <v/>
      </c>
      <c r="H543" s="0" t="str">
        <f aca="false">IF('THÁNG 9'!$C100="","",'THÁNG 9'!$H100&amp;"")</f>
        <v/>
      </c>
      <c r="I543" s="0" t="str">
        <f aca="false">IF('THÁNG 9'!$C100="","",N('THÁNG 9'!$I100))</f>
        <v/>
      </c>
      <c r="J543" s="0" t="str">
        <f aca="false">IF('THÁNG 9'!$C100="","",N('THÁNG 9'!$L100))</f>
        <v/>
      </c>
      <c r="K543" s="0" t="str">
        <f aca="false">IF('THÁNG 9'!$C100="","",N('THÁNG 9'!$N100))</f>
        <v/>
      </c>
      <c r="L543" s="0" t="str">
        <f aca="false">IF('THÁNG 9'!$C100="","",N('THÁNG 9'!$O100))</f>
        <v/>
      </c>
      <c r="M543" s="0" t="str">
        <f aca="false">IF('THÁNG 9'!$C100="","",N('THÁNG 9'!$P100))</f>
        <v/>
      </c>
      <c r="N543" s="0" t="str">
        <f aca="false">IF('THÁNG 9'!$C100="","",N('THÁNG 9'!$Q100))</f>
        <v/>
      </c>
      <c r="O543" s="0" t="str">
        <f aca="false">IF('THÁNG 9'!$C100="","",N('THÁNG 9'!$R100))</f>
        <v/>
      </c>
      <c r="P543" s="0" t="str">
        <f aca="false">IF(OR('THÁNG 9'!$C100="",'THÁNG 9'!$T100=""),"",'THÁNG 9'!$T100)</f>
        <v/>
      </c>
      <c r="Q543" s="0" t="str">
        <f aca="false">IF(OR('THÁNG 9'!$C100="",'THÁNG 9'!$U100=""),"",'THÁNG 9'!$U100)</f>
        <v/>
      </c>
      <c r="R543" s="0" t="str">
        <f aca="false">IF('THÁNG 9'!$C100="","",'THÁNG 9'!$W100&amp;"")</f>
        <v/>
      </c>
      <c r="S543" s="0" t="str">
        <f aca="false">IF('THÁNG 9'!$C100="","",'THÁNG 9'!$S100&amp;"")</f>
        <v/>
      </c>
      <c r="T543" s="0" t="str">
        <f aca="false">IF(N($O543)&gt;0,COUNTIF($O$3:$O543,"&gt;0"),"")</f>
        <v/>
      </c>
      <c r="U543" s="0" t="str">
        <f aca="false">IF(AND(N($J543)&gt;0,N($K543)&gt;0),COUNTIFS($J$3:$J543,"&gt;0",$K$3:$K543,"&gt;0"),"")</f>
        <v/>
      </c>
      <c r="V543" s="0" t="str">
        <f aca="false">IF(AND(N($J543)&gt;0,N($K543)=0),COUNTIFS($J$3:$J543,"&gt;0",$K$3:$K543,"&lt;=0"),"")</f>
        <v/>
      </c>
      <c r="W543" s="0" t="str">
        <f aca="false">IF($C543="","",IF(COUNTIF($C$3:$C543,$C543)&gt;1,"",MAX($W$2:W542)+1))</f>
        <v/>
      </c>
      <c r="X543" s="0" t="str">
        <f aca="false">IF($H543="","",IF(COUNTIF($H$3:$H543,$H543)&gt;1,"",MAX($X$2:X542)+1))</f>
        <v/>
      </c>
      <c r="Y543" s="0" t="str">
        <f aca="false">IF(AND(N($M543)&gt;0,N($O543)&lt;=0),COUNTIFS($M$3:$M543,"&gt;0",$O$3:$O543,"&lt;=0"),"")</f>
        <v/>
      </c>
      <c r="Z543" s="30" t="n">
        <f aca="false">IF(OR('THÁNG 9'!$C100="",'THÁNG 9'!$B100=""),0,'THÁNG 9'!$B100)</f>
        <v>0</v>
      </c>
    </row>
    <row r="544" customFormat="false" ht="15" hidden="false" customHeight="false" outlineLevel="0" collapsed="false">
      <c r="A544" s="0" t="n">
        <v>9</v>
      </c>
      <c r="B544" s="29" t="str">
        <f aca="false">IF(OR('THÁNG 9'!$C101="",'THÁNG 9'!$B101=""),"",'THÁNG 9'!$B101)</f>
        <v/>
      </c>
      <c r="C544" s="0" t="str">
        <f aca="false">IF('THÁNG 9'!$C101="","",'THÁNG 9'!$C101)</f>
        <v/>
      </c>
      <c r="D544" s="0" t="str">
        <f aca="false">IF('THÁNG 9'!$C101="","",'THÁNG 9'!$D101&amp;"")</f>
        <v/>
      </c>
      <c r="E544" s="0" t="str">
        <f aca="false">IF('THÁNG 9'!$C101="","",'THÁNG 9'!$E101&amp;"")</f>
        <v/>
      </c>
      <c r="F544" s="0" t="str">
        <f aca="false">IF('THÁNG 9'!$C101="","",'THÁNG 9'!$F101&amp;"")</f>
        <v/>
      </c>
      <c r="G544" s="0" t="str">
        <f aca="false">IF('THÁNG 9'!$C101="","",'THÁNG 9'!$G101&amp;"")</f>
        <v/>
      </c>
      <c r="H544" s="0" t="str">
        <f aca="false">IF('THÁNG 9'!$C101="","",'THÁNG 9'!$H101&amp;"")</f>
        <v/>
      </c>
      <c r="I544" s="0" t="str">
        <f aca="false">IF('THÁNG 9'!$C101="","",N('THÁNG 9'!$I101))</f>
        <v/>
      </c>
      <c r="J544" s="0" t="str">
        <f aca="false">IF('THÁNG 9'!$C101="","",N('THÁNG 9'!$L101))</f>
        <v/>
      </c>
      <c r="K544" s="0" t="str">
        <f aca="false">IF('THÁNG 9'!$C101="","",N('THÁNG 9'!$N101))</f>
        <v/>
      </c>
      <c r="L544" s="0" t="str">
        <f aca="false">IF('THÁNG 9'!$C101="","",N('THÁNG 9'!$O101))</f>
        <v/>
      </c>
      <c r="M544" s="0" t="str">
        <f aca="false">IF('THÁNG 9'!$C101="","",N('THÁNG 9'!$P101))</f>
        <v/>
      </c>
      <c r="N544" s="0" t="str">
        <f aca="false">IF('THÁNG 9'!$C101="","",N('THÁNG 9'!$Q101))</f>
        <v/>
      </c>
      <c r="O544" s="0" t="str">
        <f aca="false">IF('THÁNG 9'!$C101="","",N('THÁNG 9'!$R101))</f>
        <v/>
      </c>
      <c r="P544" s="0" t="str">
        <f aca="false">IF(OR('THÁNG 9'!$C101="",'THÁNG 9'!$T101=""),"",'THÁNG 9'!$T101)</f>
        <v/>
      </c>
      <c r="Q544" s="0" t="str">
        <f aca="false">IF(OR('THÁNG 9'!$C101="",'THÁNG 9'!$U101=""),"",'THÁNG 9'!$U101)</f>
        <v/>
      </c>
      <c r="R544" s="0" t="str">
        <f aca="false">IF('THÁNG 9'!$C101="","",'THÁNG 9'!$W101&amp;"")</f>
        <v/>
      </c>
      <c r="S544" s="0" t="str">
        <f aca="false">IF('THÁNG 9'!$C101="","",'THÁNG 9'!$S101&amp;"")</f>
        <v/>
      </c>
      <c r="T544" s="0" t="str">
        <f aca="false">IF(N($O544)&gt;0,COUNTIF($O$3:$O544,"&gt;0"),"")</f>
        <v/>
      </c>
      <c r="U544" s="0" t="str">
        <f aca="false">IF(AND(N($J544)&gt;0,N($K544)&gt;0),COUNTIFS($J$3:$J544,"&gt;0",$K$3:$K544,"&gt;0"),"")</f>
        <v/>
      </c>
      <c r="V544" s="0" t="str">
        <f aca="false">IF(AND(N($J544)&gt;0,N($K544)=0),COUNTIFS($J$3:$J544,"&gt;0",$K$3:$K544,"&lt;=0"),"")</f>
        <v/>
      </c>
      <c r="W544" s="0" t="str">
        <f aca="false">IF($C544="","",IF(COUNTIF($C$3:$C544,$C544)&gt;1,"",MAX($W$2:W543)+1))</f>
        <v/>
      </c>
      <c r="X544" s="0" t="str">
        <f aca="false">IF($H544="","",IF(COUNTIF($H$3:$H544,$H544)&gt;1,"",MAX($X$2:X543)+1))</f>
        <v/>
      </c>
      <c r="Y544" s="0" t="str">
        <f aca="false">IF(AND(N($M544)&gt;0,N($O544)&lt;=0),COUNTIFS($M$3:$M544,"&gt;0",$O$3:$O544,"&lt;=0"),"")</f>
        <v/>
      </c>
      <c r="Z544" s="30" t="n">
        <f aca="false">IF(OR('THÁNG 9'!$C101="",'THÁNG 9'!$B101=""),0,'THÁNG 9'!$B101)</f>
        <v>0</v>
      </c>
    </row>
    <row r="545" customFormat="false" ht="15" hidden="false" customHeight="false" outlineLevel="0" collapsed="false">
      <c r="A545" s="0" t="n">
        <v>9</v>
      </c>
      <c r="B545" s="29" t="str">
        <f aca="false">IF(OR('THÁNG 9'!$C102="",'THÁNG 9'!$B102=""),"",'THÁNG 9'!$B102)</f>
        <v/>
      </c>
      <c r="C545" s="0" t="str">
        <f aca="false">IF('THÁNG 9'!$C102="","",'THÁNG 9'!$C102)</f>
        <v/>
      </c>
      <c r="D545" s="0" t="str">
        <f aca="false">IF('THÁNG 9'!$C102="","",'THÁNG 9'!$D102&amp;"")</f>
        <v/>
      </c>
      <c r="E545" s="0" t="str">
        <f aca="false">IF('THÁNG 9'!$C102="","",'THÁNG 9'!$E102&amp;"")</f>
        <v/>
      </c>
      <c r="F545" s="0" t="str">
        <f aca="false">IF('THÁNG 9'!$C102="","",'THÁNG 9'!$F102&amp;"")</f>
        <v/>
      </c>
      <c r="G545" s="0" t="str">
        <f aca="false">IF('THÁNG 9'!$C102="","",'THÁNG 9'!$G102&amp;"")</f>
        <v/>
      </c>
      <c r="H545" s="0" t="str">
        <f aca="false">IF('THÁNG 9'!$C102="","",'THÁNG 9'!$H102&amp;"")</f>
        <v/>
      </c>
      <c r="I545" s="0" t="str">
        <f aca="false">IF('THÁNG 9'!$C102="","",N('THÁNG 9'!$I102))</f>
        <v/>
      </c>
      <c r="J545" s="0" t="str">
        <f aca="false">IF('THÁNG 9'!$C102="","",N('THÁNG 9'!$L102))</f>
        <v/>
      </c>
      <c r="K545" s="0" t="str">
        <f aca="false">IF('THÁNG 9'!$C102="","",N('THÁNG 9'!$N102))</f>
        <v/>
      </c>
      <c r="L545" s="0" t="str">
        <f aca="false">IF('THÁNG 9'!$C102="","",N('THÁNG 9'!$O102))</f>
        <v/>
      </c>
      <c r="M545" s="0" t="str">
        <f aca="false">IF('THÁNG 9'!$C102="","",N('THÁNG 9'!$P102))</f>
        <v/>
      </c>
      <c r="N545" s="0" t="str">
        <f aca="false">IF('THÁNG 9'!$C102="","",N('THÁNG 9'!$Q102))</f>
        <v/>
      </c>
      <c r="O545" s="0" t="str">
        <f aca="false">IF('THÁNG 9'!$C102="","",N('THÁNG 9'!$R102))</f>
        <v/>
      </c>
      <c r="P545" s="0" t="str">
        <f aca="false">IF(OR('THÁNG 9'!$C102="",'THÁNG 9'!$T102=""),"",'THÁNG 9'!$T102)</f>
        <v/>
      </c>
      <c r="Q545" s="0" t="str">
        <f aca="false">IF(OR('THÁNG 9'!$C102="",'THÁNG 9'!$U102=""),"",'THÁNG 9'!$U102)</f>
        <v/>
      </c>
      <c r="R545" s="0" t="str">
        <f aca="false">IF('THÁNG 9'!$C102="","",'THÁNG 9'!$W102&amp;"")</f>
        <v/>
      </c>
      <c r="S545" s="0" t="str">
        <f aca="false">IF('THÁNG 9'!$C102="","",'THÁNG 9'!$S102&amp;"")</f>
        <v/>
      </c>
      <c r="T545" s="0" t="str">
        <f aca="false">IF(N($O545)&gt;0,COUNTIF($O$3:$O545,"&gt;0"),"")</f>
        <v/>
      </c>
      <c r="U545" s="0" t="str">
        <f aca="false">IF(AND(N($J545)&gt;0,N($K545)&gt;0),COUNTIFS($J$3:$J545,"&gt;0",$K$3:$K545,"&gt;0"),"")</f>
        <v/>
      </c>
      <c r="V545" s="0" t="str">
        <f aca="false">IF(AND(N($J545)&gt;0,N($K545)=0),COUNTIFS($J$3:$J545,"&gt;0",$K$3:$K545,"&lt;=0"),"")</f>
        <v/>
      </c>
      <c r="W545" s="0" t="str">
        <f aca="false">IF($C545="","",IF(COUNTIF($C$3:$C545,$C545)&gt;1,"",MAX($W$2:W544)+1))</f>
        <v/>
      </c>
      <c r="X545" s="0" t="str">
        <f aca="false">IF($H545="","",IF(COUNTIF($H$3:$H545,$H545)&gt;1,"",MAX($X$2:X544)+1))</f>
        <v/>
      </c>
      <c r="Y545" s="0" t="str">
        <f aca="false">IF(AND(N($M545)&gt;0,N($O545)&lt;=0),COUNTIFS($M$3:$M545,"&gt;0",$O$3:$O545,"&lt;=0"),"")</f>
        <v/>
      </c>
      <c r="Z545" s="30" t="n">
        <f aca="false">IF(OR('THÁNG 9'!$C102="",'THÁNG 9'!$B102=""),0,'THÁNG 9'!$B102)</f>
        <v>0</v>
      </c>
    </row>
    <row r="546" customFormat="false" ht="15" hidden="false" customHeight="false" outlineLevel="0" collapsed="false">
      <c r="A546" s="0" t="n">
        <v>9</v>
      </c>
      <c r="B546" s="29" t="str">
        <f aca="false">IF(OR('THÁNG 9'!$C103="",'THÁNG 9'!$B103=""),"",'THÁNG 9'!$B103)</f>
        <v/>
      </c>
      <c r="C546" s="0" t="str">
        <f aca="false">IF('THÁNG 9'!$C103="","",'THÁNG 9'!$C103)</f>
        <v/>
      </c>
      <c r="D546" s="0" t="str">
        <f aca="false">IF('THÁNG 9'!$C103="","",'THÁNG 9'!$D103&amp;"")</f>
        <v/>
      </c>
      <c r="E546" s="0" t="str">
        <f aca="false">IF('THÁNG 9'!$C103="","",'THÁNG 9'!$E103&amp;"")</f>
        <v/>
      </c>
      <c r="F546" s="0" t="str">
        <f aca="false">IF('THÁNG 9'!$C103="","",'THÁNG 9'!$F103&amp;"")</f>
        <v/>
      </c>
      <c r="G546" s="0" t="str">
        <f aca="false">IF('THÁNG 9'!$C103="","",'THÁNG 9'!$G103&amp;"")</f>
        <v/>
      </c>
      <c r="H546" s="0" t="str">
        <f aca="false">IF('THÁNG 9'!$C103="","",'THÁNG 9'!$H103&amp;"")</f>
        <v/>
      </c>
      <c r="I546" s="0" t="str">
        <f aca="false">IF('THÁNG 9'!$C103="","",N('THÁNG 9'!$I103))</f>
        <v/>
      </c>
      <c r="J546" s="0" t="str">
        <f aca="false">IF('THÁNG 9'!$C103="","",N('THÁNG 9'!$L103))</f>
        <v/>
      </c>
      <c r="K546" s="0" t="str">
        <f aca="false">IF('THÁNG 9'!$C103="","",N('THÁNG 9'!$N103))</f>
        <v/>
      </c>
      <c r="L546" s="0" t="str">
        <f aca="false">IF('THÁNG 9'!$C103="","",N('THÁNG 9'!$O103))</f>
        <v/>
      </c>
      <c r="M546" s="0" t="str">
        <f aca="false">IF('THÁNG 9'!$C103="","",N('THÁNG 9'!$P103))</f>
        <v/>
      </c>
      <c r="N546" s="0" t="str">
        <f aca="false">IF('THÁNG 9'!$C103="","",N('THÁNG 9'!$Q103))</f>
        <v/>
      </c>
      <c r="O546" s="0" t="str">
        <f aca="false">IF('THÁNG 9'!$C103="","",N('THÁNG 9'!$R103))</f>
        <v/>
      </c>
      <c r="P546" s="0" t="str">
        <f aca="false">IF(OR('THÁNG 9'!$C103="",'THÁNG 9'!$T103=""),"",'THÁNG 9'!$T103)</f>
        <v/>
      </c>
      <c r="Q546" s="0" t="str">
        <f aca="false">IF(OR('THÁNG 9'!$C103="",'THÁNG 9'!$U103=""),"",'THÁNG 9'!$U103)</f>
        <v/>
      </c>
      <c r="R546" s="0" t="str">
        <f aca="false">IF('THÁNG 9'!$C103="","",'THÁNG 9'!$W103&amp;"")</f>
        <v/>
      </c>
      <c r="S546" s="0" t="str">
        <f aca="false">IF('THÁNG 9'!$C103="","",'THÁNG 9'!$S103&amp;"")</f>
        <v/>
      </c>
      <c r="T546" s="0" t="str">
        <f aca="false">IF(N($O546)&gt;0,COUNTIF($O$3:$O546,"&gt;0"),"")</f>
        <v/>
      </c>
      <c r="U546" s="0" t="str">
        <f aca="false">IF(AND(N($J546)&gt;0,N($K546)&gt;0),COUNTIFS($J$3:$J546,"&gt;0",$K$3:$K546,"&gt;0"),"")</f>
        <v/>
      </c>
      <c r="V546" s="0" t="str">
        <f aca="false">IF(AND(N($J546)&gt;0,N($K546)=0),COUNTIFS($J$3:$J546,"&gt;0",$K$3:$K546,"&lt;=0"),"")</f>
        <v/>
      </c>
      <c r="W546" s="0" t="str">
        <f aca="false">IF($C546="","",IF(COUNTIF($C$3:$C546,$C546)&gt;1,"",MAX($W$2:W545)+1))</f>
        <v/>
      </c>
      <c r="X546" s="0" t="str">
        <f aca="false">IF($H546="","",IF(COUNTIF($H$3:$H546,$H546)&gt;1,"",MAX($X$2:X545)+1))</f>
        <v/>
      </c>
      <c r="Y546" s="0" t="str">
        <f aca="false">IF(AND(N($M546)&gt;0,N($O546)&lt;=0),COUNTIFS($M$3:$M546,"&gt;0",$O$3:$O546,"&lt;=0"),"")</f>
        <v/>
      </c>
      <c r="Z546" s="30" t="n">
        <f aca="false">IF(OR('THÁNG 9'!$C103="",'THÁNG 9'!$B103=""),0,'THÁNG 9'!$B103)</f>
        <v>0</v>
      </c>
    </row>
    <row r="547" customFormat="false" ht="15" hidden="false" customHeight="false" outlineLevel="0" collapsed="false">
      <c r="A547" s="0" t="n">
        <v>9</v>
      </c>
      <c r="B547" s="29" t="str">
        <f aca="false">IF(OR('THÁNG 9'!$C104="",'THÁNG 9'!$B104=""),"",'THÁNG 9'!$B104)</f>
        <v/>
      </c>
      <c r="C547" s="0" t="str">
        <f aca="false">IF('THÁNG 9'!$C104="","",'THÁNG 9'!$C104)</f>
        <v/>
      </c>
      <c r="D547" s="0" t="str">
        <f aca="false">IF('THÁNG 9'!$C104="","",'THÁNG 9'!$D104&amp;"")</f>
        <v/>
      </c>
      <c r="E547" s="0" t="str">
        <f aca="false">IF('THÁNG 9'!$C104="","",'THÁNG 9'!$E104&amp;"")</f>
        <v/>
      </c>
      <c r="F547" s="0" t="str">
        <f aca="false">IF('THÁNG 9'!$C104="","",'THÁNG 9'!$F104&amp;"")</f>
        <v/>
      </c>
      <c r="G547" s="0" t="str">
        <f aca="false">IF('THÁNG 9'!$C104="","",'THÁNG 9'!$G104&amp;"")</f>
        <v/>
      </c>
      <c r="H547" s="0" t="str">
        <f aca="false">IF('THÁNG 9'!$C104="","",'THÁNG 9'!$H104&amp;"")</f>
        <v/>
      </c>
      <c r="I547" s="0" t="str">
        <f aca="false">IF('THÁNG 9'!$C104="","",N('THÁNG 9'!$I104))</f>
        <v/>
      </c>
      <c r="J547" s="0" t="str">
        <f aca="false">IF('THÁNG 9'!$C104="","",N('THÁNG 9'!$L104))</f>
        <v/>
      </c>
      <c r="K547" s="0" t="str">
        <f aca="false">IF('THÁNG 9'!$C104="","",N('THÁNG 9'!$N104))</f>
        <v/>
      </c>
      <c r="L547" s="0" t="str">
        <f aca="false">IF('THÁNG 9'!$C104="","",N('THÁNG 9'!$O104))</f>
        <v/>
      </c>
      <c r="M547" s="0" t="str">
        <f aca="false">IF('THÁNG 9'!$C104="","",N('THÁNG 9'!$P104))</f>
        <v/>
      </c>
      <c r="N547" s="0" t="str">
        <f aca="false">IF('THÁNG 9'!$C104="","",N('THÁNG 9'!$Q104))</f>
        <v/>
      </c>
      <c r="O547" s="0" t="str">
        <f aca="false">IF('THÁNG 9'!$C104="","",N('THÁNG 9'!$R104))</f>
        <v/>
      </c>
      <c r="P547" s="0" t="str">
        <f aca="false">IF(OR('THÁNG 9'!$C104="",'THÁNG 9'!$T104=""),"",'THÁNG 9'!$T104)</f>
        <v/>
      </c>
      <c r="Q547" s="0" t="str">
        <f aca="false">IF(OR('THÁNG 9'!$C104="",'THÁNG 9'!$U104=""),"",'THÁNG 9'!$U104)</f>
        <v/>
      </c>
      <c r="R547" s="0" t="str">
        <f aca="false">IF('THÁNG 9'!$C104="","",'THÁNG 9'!$W104&amp;"")</f>
        <v/>
      </c>
      <c r="S547" s="0" t="str">
        <f aca="false">IF('THÁNG 9'!$C104="","",'THÁNG 9'!$S104&amp;"")</f>
        <v/>
      </c>
      <c r="T547" s="0" t="str">
        <f aca="false">IF(N($O547)&gt;0,COUNTIF($O$3:$O547,"&gt;0"),"")</f>
        <v/>
      </c>
      <c r="U547" s="0" t="str">
        <f aca="false">IF(AND(N($J547)&gt;0,N($K547)&gt;0),COUNTIFS($J$3:$J547,"&gt;0",$K$3:$K547,"&gt;0"),"")</f>
        <v/>
      </c>
      <c r="V547" s="0" t="str">
        <f aca="false">IF(AND(N($J547)&gt;0,N($K547)=0),COUNTIFS($J$3:$J547,"&gt;0",$K$3:$K547,"&lt;=0"),"")</f>
        <v/>
      </c>
      <c r="W547" s="0" t="str">
        <f aca="false">IF($C547="","",IF(COUNTIF($C$3:$C547,$C547)&gt;1,"",MAX($W$2:W546)+1))</f>
        <v/>
      </c>
      <c r="X547" s="0" t="str">
        <f aca="false">IF($H547="","",IF(COUNTIF($H$3:$H547,$H547)&gt;1,"",MAX($X$2:X546)+1))</f>
        <v/>
      </c>
      <c r="Y547" s="0" t="str">
        <f aca="false">IF(AND(N($M547)&gt;0,N($O547)&lt;=0),COUNTIFS($M$3:$M547,"&gt;0",$O$3:$O547,"&lt;=0"),"")</f>
        <v/>
      </c>
      <c r="Z547" s="30" t="n">
        <f aca="false">IF(OR('THÁNG 9'!$C104="",'THÁNG 9'!$B104=""),0,'THÁNG 9'!$B104)</f>
        <v>0</v>
      </c>
    </row>
    <row r="548" customFormat="false" ht="15" hidden="false" customHeight="false" outlineLevel="0" collapsed="false">
      <c r="A548" s="0" t="n">
        <v>9</v>
      </c>
      <c r="B548" s="29" t="str">
        <f aca="false">IF(OR('THÁNG 9'!$C105="",'THÁNG 9'!$B105=""),"",'THÁNG 9'!$B105)</f>
        <v/>
      </c>
      <c r="C548" s="0" t="str">
        <f aca="false">IF('THÁNG 9'!$C105="","",'THÁNG 9'!$C105)</f>
        <v/>
      </c>
      <c r="D548" s="0" t="str">
        <f aca="false">IF('THÁNG 9'!$C105="","",'THÁNG 9'!$D105&amp;"")</f>
        <v/>
      </c>
      <c r="E548" s="0" t="str">
        <f aca="false">IF('THÁNG 9'!$C105="","",'THÁNG 9'!$E105&amp;"")</f>
        <v/>
      </c>
      <c r="F548" s="0" t="str">
        <f aca="false">IF('THÁNG 9'!$C105="","",'THÁNG 9'!$F105&amp;"")</f>
        <v/>
      </c>
      <c r="G548" s="0" t="str">
        <f aca="false">IF('THÁNG 9'!$C105="","",'THÁNG 9'!$G105&amp;"")</f>
        <v/>
      </c>
      <c r="H548" s="0" t="str">
        <f aca="false">IF('THÁNG 9'!$C105="","",'THÁNG 9'!$H105&amp;"")</f>
        <v/>
      </c>
      <c r="I548" s="0" t="str">
        <f aca="false">IF('THÁNG 9'!$C105="","",N('THÁNG 9'!$I105))</f>
        <v/>
      </c>
      <c r="J548" s="0" t="str">
        <f aca="false">IF('THÁNG 9'!$C105="","",N('THÁNG 9'!$L105))</f>
        <v/>
      </c>
      <c r="K548" s="0" t="str">
        <f aca="false">IF('THÁNG 9'!$C105="","",N('THÁNG 9'!$N105))</f>
        <v/>
      </c>
      <c r="L548" s="0" t="str">
        <f aca="false">IF('THÁNG 9'!$C105="","",N('THÁNG 9'!$O105))</f>
        <v/>
      </c>
      <c r="M548" s="0" t="str">
        <f aca="false">IF('THÁNG 9'!$C105="","",N('THÁNG 9'!$P105))</f>
        <v/>
      </c>
      <c r="N548" s="0" t="str">
        <f aca="false">IF('THÁNG 9'!$C105="","",N('THÁNG 9'!$Q105))</f>
        <v/>
      </c>
      <c r="O548" s="0" t="str">
        <f aca="false">IF('THÁNG 9'!$C105="","",N('THÁNG 9'!$R105))</f>
        <v/>
      </c>
      <c r="P548" s="0" t="str">
        <f aca="false">IF(OR('THÁNG 9'!$C105="",'THÁNG 9'!$T105=""),"",'THÁNG 9'!$T105)</f>
        <v/>
      </c>
      <c r="Q548" s="0" t="str">
        <f aca="false">IF(OR('THÁNG 9'!$C105="",'THÁNG 9'!$U105=""),"",'THÁNG 9'!$U105)</f>
        <v/>
      </c>
      <c r="R548" s="0" t="str">
        <f aca="false">IF('THÁNG 9'!$C105="","",'THÁNG 9'!$W105&amp;"")</f>
        <v/>
      </c>
      <c r="S548" s="0" t="str">
        <f aca="false">IF('THÁNG 9'!$C105="","",'THÁNG 9'!$S105&amp;"")</f>
        <v/>
      </c>
      <c r="T548" s="0" t="str">
        <f aca="false">IF(N($O548)&gt;0,COUNTIF($O$3:$O548,"&gt;0"),"")</f>
        <v/>
      </c>
      <c r="U548" s="0" t="str">
        <f aca="false">IF(AND(N($J548)&gt;0,N($K548)&gt;0),COUNTIFS($J$3:$J548,"&gt;0",$K$3:$K548,"&gt;0"),"")</f>
        <v/>
      </c>
      <c r="V548" s="0" t="str">
        <f aca="false">IF(AND(N($J548)&gt;0,N($K548)=0),COUNTIFS($J$3:$J548,"&gt;0",$K$3:$K548,"&lt;=0"),"")</f>
        <v/>
      </c>
      <c r="W548" s="0" t="str">
        <f aca="false">IF($C548="","",IF(COUNTIF($C$3:$C548,$C548)&gt;1,"",MAX($W$2:W547)+1))</f>
        <v/>
      </c>
      <c r="X548" s="0" t="str">
        <f aca="false">IF($H548="","",IF(COUNTIF($H$3:$H548,$H548)&gt;1,"",MAX($X$2:X547)+1))</f>
        <v/>
      </c>
      <c r="Y548" s="0" t="str">
        <f aca="false">IF(AND(N($M548)&gt;0,N($O548)&lt;=0),COUNTIFS($M$3:$M548,"&gt;0",$O$3:$O548,"&lt;=0"),"")</f>
        <v/>
      </c>
      <c r="Z548" s="30" t="n">
        <f aca="false">IF(OR('THÁNG 9'!$C105="",'THÁNG 9'!$B105=""),0,'THÁNG 9'!$B105)</f>
        <v>0</v>
      </c>
    </row>
    <row r="549" customFormat="false" ht="15" hidden="false" customHeight="false" outlineLevel="0" collapsed="false">
      <c r="A549" s="0" t="n">
        <v>9</v>
      </c>
      <c r="B549" s="29" t="str">
        <f aca="false">IF(OR('THÁNG 9'!$C106="",'THÁNG 9'!$B106=""),"",'THÁNG 9'!$B106)</f>
        <v/>
      </c>
      <c r="C549" s="0" t="str">
        <f aca="false">IF('THÁNG 9'!$C106="","",'THÁNG 9'!$C106)</f>
        <v/>
      </c>
      <c r="D549" s="0" t="str">
        <f aca="false">IF('THÁNG 9'!$C106="","",'THÁNG 9'!$D106&amp;"")</f>
        <v/>
      </c>
      <c r="E549" s="0" t="str">
        <f aca="false">IF('THÁNG 9'!$C106="","",'THÁNG 9'!$E106&amp;"")</f>
        <v/>
      </c>
      <c r="F549" s="0" t="str">
        <f aca="false">IF('THÁNG 9'!$C106="","",'THÁNG 9'!$F106&amp;"")</f>
        <v/>
      </c>
      <c r="G549" s="0" t="str">
        <f aca="false">IF('THÁNG 9'!$C106="","",'THÁNG 9'!$G106&amp;"")</f>
        <v/>
      </c>
      <c r="H549" s="0" t="str">
        <f aca="false">IF('THÁNG 9'!$C106="","",'THÁNG 9'!$H106&amp;"")</f>
        <v/>
      </c>
      <c r="I549" s="0" t="str">
        <f aca="false">IF('THÁNG 9'!$C106="","",N('THÁNG 9'!$I106))</f>
        <v/>
      </c>
      <c r="J549" s="0" t="str">
        <f aca="false">IF('THÁNG 9'!$C106="","",N('THÁNG 9'!$L106))</f>
        <v/>
      </c>
      <c r="K549" s="0" t="str">
        <f aca="false">IF('THÁNG 9'!$C106="","",N('THÁNG 9'!$N106))</f>
        <v/>
      </c>
      <c r="L549" s="0" t="str">
        <f aca="false">IF('THÁNG 9'!$C106="","",N('THÁNG 9'!$O106))</f>
        <v/>
      </c>
      <c r="M549" s="0" t="str">
        <f aca="false">IF('THÁNG 9'!$C106="","",N('THÁNG 9'!$P106))</f>
        <v/>
      </c>
      <c r="N549" s="0" t="str">
        <f aca="false">IF('THÁNG 9'!$C106="","",N('THÁNG 9'!$Q106))</f>
        <v/>
      </c>
      <c r="O549" s="0" t="str">
        <f aca="false">IF('THÁNG 9'!$C106="","",N('THÁNG 9'!$R106))</f>
        <v/>
      </c>
      <c r="P549" s="0" t="str">
        <f aca="false">IF(OR('THÁNG 9'!$C106="",'THÁNG 9'!$T106=""),"",'THÁNG 9'!$T106)</f>
        <v/>
      </c>
      <c r="Q549" s="0" t="str">
        <f aca="false">IF(OR('THÁNG 9'!$C106="",'THÁNG 9'!$U106=""),"",'THÁNG 9'!$U106)</f>
        <v/>
      </c>
      <c r="R549" s="0" t="str">
        <f aca="false">IF('THÁNG 9'!$C106="","",'THÁNG 9'!$W106&amp;"")</f>
        <v/>
      </c>
      <c r="S549" s="0" t="str">
        <f aca="false">IF('THÁNG 9'!$C106="","",'THÁNG 9'!$S106&amp;"")</f>
        <v/>
      </c>
      <c r="T549" s="0" t="str">
        <f aca="false">IF(N($O549)&gt;0,COUNTIF($O$3:$O549,"&gt;0"),"")</f>
        <v/>
      </c>
      <c r="U549" s="0" t="str">
        <f aca="false">IF(AND(N($J549)&gt;0,N($K549)&gt;0),COUNTIFS($J$3:$J549,"&gt;0",$K$3:$K549,"&gt;0"),"")</f>
        <v/>
      </c>
      <c r="V549" s="0" t="str">
        <f aca="false">IF(AND(N($J549)&gt;0,N($K549)=0),COUNTIFS($J$3:$J549,"&gt;0",$K$3:$K549,"&lt;=0"),"")</f>
        <v/>
      </c>
      <c r="W549" s="0" t="str">
        <f aca="false">IF($C549="","",IF(COUNTIF($C$3:$C549,$C549)&gt;1,"",MAX($W$2:W548)+1))</f>
        <v/>
      </c>
      <c r="X549" s="0" t="str">
        <f aca="false">IF($H549="","",IF(COUNTIF($H$3:$H549,$H549)&gt;1,"",MAX($X$2:X548)+1))</f>
        <v/>
      </c>
      <c r="Y549" s="0" t="str">
        <f aca="false">IF(AND(N($M549)&gt;0,N($O549)&lt;=0),COUNTIFS($M$3:$M549,"&gt;0",$O$3:$O549,"&lt;=0"),"")</f>
        <v/>
      </c>
      <c r="Z549" s="30" t="n">
        <f aca="false">IF(OR('THÁNG 9'!$C106="",'THÁNG 9'!$B106=""),0,'THÁNG 9'!$B106)</f>
        <v>0</v>
      </c>
    </row>
    <row r="550" customFormat="false" ht="15" hidden="false" customHeight="false" outlineLevel="0" collapsed="false">
      <c r="A550" s="0" t="n">
        <v>9</v>
      </c>
      <c r="B550" s="29" t="str">
        <f aca="false">IF(OR('THÁNG 9'!$C107="",'THÁNG 9'!$B107=""),"",'THÁNG 9'!$B107)</f>
        <v/>
      </c>
      <c r="C550" s="0" t="str">
        <f aca="false">IF('THÁNG 9'!$C107="","",'THÁNG 9'!$C107)</f>
        <v/>
      </c>
      <c r="D550" s="0" t="str">
        <f aca="false">IF('THÁNG 9'!$C107="","",'THÁNG 9'!$D107&amp;"")</f>
        <v/>
      </c>
      <c r="E550" s="0" t="str">
        <f aca="false">IF('THÁNG 9'!$C107="","",'THÁNG 9'!$E107&amp;"")</f>
        <v/>
      </c>
      <c r="F550" s="0" t="str">
        <f aca="false">IF('THÁNG 9'!$C107="","",'THÁNG 9'!$F107&amp;"")</f>
        <v/>
      </c>
      <c r="G550" s="0" t="str">
        <f aca="false">IF('THÁNG 9'!$C107="","",'THÁNG 9'!$G107&amp;"")</f>
        <v/>
      </c>
      <c r="H550" s="0" t="str">
        <f aca="false">IF('THÁNG 9'!$C107="","",'THÁNG 9'!$H107&amp;"")</f>
        <v/>
      </c>
      <c r="I550" s="0" t="str">
        <f aca="false">IF('THÁNG 9'!$C107="","",N('THÁNG 9'!$I107))</f>
        <v/>
      </c>
      <c r="J550" s="0" t="str">
        <f aca="false">IF('THÁNG 9'!$C107="","",N('THÁNG 9'!$L107))</f>
        <v/>
      </c>
      <c r="K550" s="0" t="str">
        <f aca="false">IF('THÁNG 9'!$C107="","",N('THÁNG 9'!$N107))</f>
        <v/>
      </c>
      <c r="L550" s="0" t="str">
        <f aca="false">IF('THÁNG 9'!$C107="","",N('THÁNG 9'!$O107))</f>
        <v/>
      </c>
      <c r="M550" s="0" t="str">
        <f aca="false">IF('THÁNG 9'!$C107="","",N('THÁNG 9'!$P107))</f>
        <v/>
      </c>
      <c r="N550" s="0" t="str">
        <f aca="false">IF('THÁNG 9'!$C107="","",N('THÁNG 9'!$Q107))</f>
        <v/>
      </c>
      <c r="O550" s="0" t="str">
        <f aca="false">IF('THÁNG 9'!$C107="","",N('THÁNG 9'!$R107))</f>
        <v/>
      </c>
      <c r="P550" s="0" t="str">
        <f aca="false">IF(OR('THÁNG 9'!$C107="",'THÁNG 9'!$T107=""),"",'THÁNG 9'!$T107)</f>
        <v/>
      </c>
      <c r="Q550" s="0" t="str">
        <f aca="false">IF(OR('THÁNG 9'!$C107="",'THÁNG 9'!$U107=""),"",'THÁNG 9'!$U107)</f>
        <v/>
      </c>
      <c r="R550" s="0" t="str">
        <f aca="false">IF('THÁNG 9'!$C107="","",'THÁNG 9'!$W107&amp;"")</f>
        <v/>
      </c>
      <c r="S550" s="0" t="str">
        <f aca="false">IF('THÁNG 9'!$C107="","",'THÁNG 9'!$S107&amp;"")</f>
        <v/>
      </c>
      <c r="T550" s="0" t="str">
        <f aca="false">IF(N($O550)&gt;0,COUNTIF($O$3:$O550,"&gt;0"),"")</f>
        <v/>
      </c>
      <c r="U550" s="0" t="str">
        <f aca="false">IF(AND(N($J550)&gt;0,N($K550)&gt;0),COUNTIFS($J$3:$J550,"&gt;0",$K$3:$K550,"&gt;0"),"")</f>
        <v/>
      </c>
      <c r="V550" s="0" t="str">
        <f aca="false">IF(AND(N($J550)&gt;0,N($K550)=0),COUNTIFS($J$3:$J550,"&gt;0",$K$3:$K550,"&lt;=0"),"")</f>
        <v/>
      </c>
      <c r="W550" s="0" t="str">
        <f aca="false">IF($C550="","",IF(COUNTIF($C$3:$C550,$C550)&gt;1,"",MAX($W$2:W549)+1))</f>
        <v/>
      </c>
      <c r="X550" s="0" t="str">
        <f aca="false">IF($H550="","",IF(COUNTIF($H$3:$H550,$H550)&gt;1,"",MAX($X$2:X549)+1))</f>
        <v/>
      </c>
      <c r="Y550" s="0" t="str">
        <f aca="false">IF(AND(N($M550)&gt;0,N($O550)&lt;=0),COUNTIFS($M$3:$M550,"&gt;0",$O$3:$O550,"&lt;=0"),"")</f>
        <v/>
      </c>
      <c r="Z550" s="30" t="n">
        <f aca="false">IF(OR('THÁNG 9'!$C107="",'THÁNG 9'!$B107=""),0,'THÁNG 9'!$B107)</f>
        <v>0</v>
      </c>
    </row>
    <row r="551" customFormat="false" ht="15" hidden="false" customHeight="false" outlineLevel="0" collapsed="false">
      <c r="A551" s="0" t="n">
        <v>9</v>
      </c>
      <c r="B551" s="29" t="str">
        <f aca="false">IF(OR('THÁNG 9'!$C108="",'THÁNG 9'!$B108=""),"",'THÁNG 9'!$B108)</f>
        <v/>
      </c>
      <c r="C551" s="0" t="str">
        <f aca="false">IF('THÁNG 9'!$C108="","",'THÁNG 9'!$C108)</f>
        <v/>
      </c>
      <c r="D551" s="0" t="str">
        <f aca="false">IF('THÁNG 9'!$C108="","",'THÁNG 9'!$D108&amp;"")</f>
        <v/>
      </c>
      <c r="E551" s="0" t="str">
        <f aca="false">IF('THÁNG 9'!$C108="","",'THÁNG 9'!$E108&amp;"")</f>
        <v/>
      </c>
      <c r="F551" s="0" t="str">
        <f aca="false">IF('THÁNG 9'!$C108="","",'THÁNG 9'!$F108&amp;"")</f>
        <v/>
      </c>
      <c r="G551" s="0" t="str">
        <f aca="false">IF('THÁNG 9'!$C108="","",'THÁNG 9'!$G108&amp;"")</f>
        <v/>
      </c>
      <c r="H551" s="0" t="str">
        <f aca="false">IF('THÁNG 9'!$C108="","",'THÁNG 9'!$H108&amp;"")</f>
        <v/>
      </c>
      <c r="I551" s="0" t="str">
        <f aca="false">IF('THÁNG 9'!$C108="","",N('THÁNG 9'!$I108))</f>
        <v/>
      </c>
      <c r="J551" s="0" t="str">
        <f aca="false">IF('THÁNG 9'!$C108="","",N('THÁNG 9'!$L108))</f>
        <v/>
      </c>
      <c r="K551" s="0" t="str">
        <f aca="false">IF('THÁNG 9'!$C108="","",N('THÁNG 9'!$N108))</f>
        <v/>
      </c>
      <c r="L551" s="0" t="str">
        <f aca="false">IF('THÁNG 9'!$C108="","",N('THÁNG 9'!$O108))</f>
        <v/>
      </c>
      <c r="M551" s="0" t="str">
        <f aca="false">IF('THÁNG 9'!$C108="","",N('THÁNG 9'!$P108))</f>
        <v/>
      </c>
      <c r="N551" s="0" t="str">
        <f aca="false">IF('THÁNG 9'!$C108="","",N('THÁNG 9'!$Q108))</f>
        <v/>
      </c>
      <c r="O551" s="0" t="str">
        <f aca="false">IF('THÁNG 9'!$C108="","",N('THÁNG 9'!$R108))</f>
        <v/>
      </c>
      <c r="P551" s="0" t="str">
        <f aca="false">IF(OR('THÁNG 9'!$C108="",'THÁNG 9'!$T108=""),"",'THÁNG 9'!$T108)</f>
        <v/>
      </c>
      <c r="Q551" s="0" t="str">
        <f aca="false">IF(OR('THÁNG 9'!$C108="",'THÁNG 9'!$U108=""),"",'THÁNG 9'!$U108)</f>
        <v/>
      </c>
      <c r="R551" s="0" t="str">
        <f aca="false">IF('THÁNG 9'!$C108="","",'THÁNG 9'!$W108&amp;"")</f>
        <v/>
      </c>
      <c r="S551" s="0" t="str">
        <f aca="false">IF('THÁNG 9'!$C108="","",'THÁNG 9'!$S108&amp;"")</f>
        <v/>
      </c>
      <c r="T551" s="0" t="str">
        <f aca="false">IF(N($O551)&gt;0,COUNTIF($O$3:$O551,"&gt;0"),"")</f>
        <v/>
      </c>
      <c r="U551" s="0" t="str">
        <f aca="false">IF(AND(N($J551)&gt;0,N($K551)&gt;0),COUNTIFS($J$3:$J551,"&gt;0",$K$3:$K551,"&gt;0"),"")</f>
        <v/>
      </c>
      <c r="V551" s="0" t="str">
        <f aca="false">IF(AND(N($J551)&gt;0,N($K551)=0),COUNTIFS($J$3:$J551,"&gt;0",$K$3:$K551,"&lt;=0"),"")</f>
        <v/>
      </c>
      <c r="W551" s="0" t="str">
        <f aca="false">IF($C551="","",IF(COUNTIF($C$3:$C551,$C551)&gt;1,"",MAX($W$2:W550)+1))</f>
        <v/>
      </c>
      <c r="X551" s="0" t="str">
        <f aca="false">IF($H551="","",IF(COUNTIF($H$3:$H551,$H551)&gt;1,"",MAX($X$2:X550)+1))</f>
        <v/>
      </c>
      <c r="Y551" s="0" t="str">
        <f aca="false">IF(AND(N($M551)&gt;0,N($O551)&lt;=0),COUNTIFS($M$3:$M551,"&gt;0",$O$3:$O551,"&lt;=0"),"")</f>
        <v/>
      </c>
      <c r="Z551" s="30" t="n">
        <f aca="false">IF(OR('THÁNG 9'!$C108="",'THÁNG 9'!$B108=""),0,'THÁNG 9'!$B108)</f>
        <v>0</v>
      </c>
    </row>
    <row r="552" customFormat="false" ht="15" hidden="false" customHeight="false" outlineLevel="0" collapsed="false">
      <c r="A552" s="0" t="n">
        <v>9</v>
      </c>
      <c r="B552" s="29" t="str">
        <f aca="false">IF(OR('THÁNG 9'!$C109="",'THÁNG 9'!$B109=""),"",'THÁNG 9'!$B109)</f>
        <v/>
      </c>
      <c r="C552" s="0" t="str">
        <f aca="false">IF('THÁNG 9'!$C109="","",'THÁNG 9'!$C109)</f>
        <v/>
      </c>
      <c r="D552" s="0" t="str">
        <f aca="false">IF('THÁNG 9'!$C109="","",'THÁNG 9'!$D109&amp;"")</f>
        <v/>
      </c>
      <c r="E552" s="0" t="str">
        <f aca="false">IF('THÁNG 9'!$C109="","",'THÁNG 9'!$E109&amp;"")</f>
        <v/>
      </c>
      <c r="F552" s="0" t="str">
        <f aca="false">IF('THÁNG 9'!$C109="","",'THÁNG 9'!$F109&amp;"")</f>
        <v/>
      </c>
      <c r="G552" s="0" t="str">
        <f aca="false">IF('THÁNG 9'!$C109="","",'THÁNG 9'!$G109&amp;"")</f>
        <v/>
      </c>
      <c r="H552" s="0" t="str">
        <f aca="false">IF('THÁNG 9'!$C109="","",'THÁNG 9'!$H109&amp;"")</f>
        <v/>
      </c>
      <c r="I552" s="0" t="str">
        <f aca="false">IF('THÁNG 9'!$C109="","",N('THÁNG 9'!$I109))</f>
        <v/>
      </c>
      <c r="J552" s="0" t="str">
        <f aca="false">IF('THÁNG 9'!$C109="","",N('THÁNG 9'!$L109))</f>
        <v/>
      </c>
      <c r="K552" s="0" t="str">
        <f aca="false">IF('THÁNG 9'!$C109="","",N('THÁNG 9'!$N109))</f>
        <v/>
      </c>
      <c r="L552" s="0" t="str">
        <f aca="false">IF('THÁNG 9'!$C109="","",N('THÁNG 9'!$O109))</f>
        <v/>
      </c>
      <c r="M552" s="0" t="str">
        <f aca="false">IF('THÁNG 9'!$C109="","",N('THÁNG 9'!$P109))</f>
        <v/>
      </c>
      <c r="N552" s="0" t="str">
        <f aca="false">IF('THÁNG 9'!$C109="","",N('THÁNG 9'!$Q109))</f>
        <v/>
      </c>
      <c r="O552" s="0" t="str">
        <f aca="false">IF('THÁNG 9'!$C109="","",N('THÁNG 9'!$R109))</f>
        <v/>
      </c>
      <c r="P552" s="0" t="str">
        <f aca="false">IF(OR('THÁNG 9'!$C109="",'THÁNG 9'!$T109=""),"",'THÁNG 9'!$T109)</f>
        <v/>
      </c>
      <c r="Q552" s="0" t="str">
        <f aca="false">IF(OR('THÁNG 9'!$C109="",'THÁNG 9'!$U109=""),"",'THÁNG 9'!$U109)</f>
        <v/>
      </c>
      <c r="R552" s="0" t="str">
        <f aca="false">IF('THÁNG 9'!$C109="","",'THÁNG 9'!$W109&amp;"")</f>
        <v/>
      </c>
      <c r="S552" s="0" t="str">
        <f aca="false">IF('THÁNG 9'!$C109="","",'THÁNG 9'!$S109&amp;"")</f>
        <v/>
      </c>
      <c r="T552" s="0" t="str">
        <f aca="false">IF(N($O552)&gt;0,COUNTIF($O$3:$O552,"&gt;0"),"")</f>
        <v/>
      </c>
      <c r="U552" s="0" t="str">
        <f aca="false">IF(AND(N($J552)&gt;0,N($K552)&gt;0),COUNTIFS($J$3:$J552,"&gt;0",$K$3:$K552,"&gt;0"),"")</f>
        <v/>
      </c>
      <c r="V552" s="0" t="str">
        <f aca="false">IF(AND(N($J552)&gt;0,N($K552)=0),COUNTIFS($J$3:$J552,"&gt;0",$K$3:$K552,"&lt;=0"),"")</f>
        <v/>
      </c>
      <c r="W552" s="0" t="str">
        <f aca="false">IF($C552="","",IF(COUNTIF($C$3:$C552,$C552)&gt;1,"",MAX($W$2:W551)+1))</f>
        <v/>
      </c>
      <c r="X552" s="0" t="str">
        <f aca="false">IF($H552="","",IF(COUNTIF($H$3:$H552,$H552)&gt;1,"",MAX($X$2:X551)+1))</f>
        <v/>
      </c>
      <c r="Y552" s="0" t="str">
        <f aca="false">IF(AND(N($M552)&gt;0,N($O552)&lt;=0),COUNTIFS($M$3:$M552,"&gt;0",$O$3:$O552,"&lt;=0"),"")</f>
        <v/>
      </c>
      <c r="Z552" s="30" t="n">
        <f aca="false">IF(OR('THÁNG 9'!$C109="",'THÁNG 9'!$B109=""),0,'THÁNG 9'!$B109)</f>
        <v>0</v>
      </c>
    </row>
    <row r="553" customFormat="false" ht="15" hidden="false" customHeight="false" outlineLevel="0" collapsed="false">
      <c r="A553" s="0" t="n">
        <v>9</v>
      </c>
      <c r="B553" s="29" t="str">
        <f aca="false">IF(OR('THÁNG 9'!$C110="",'THÁNG 9'!$B110=""),"",'THÁNG 9'!$B110)</f>
        <v/>
      </c>
      <c r="C553" s="0" t="str">
        <f aca="false">IF('THÁNG 9'!$C110="","",'THÁNG 9'!$C110)</f>
        <v/>
      </c>
      <c r="D553" s="0" t="str">
        <f aca="false">IF('THÁNG 9'!$C110="","",'THÁNG 9'!$D110&amp;"")</f>
        <v/>
      </c>
      <c r="E553" s="0" t="str">
        <f aca="false">IF('THÁNG 9'!$C110="","",'THÁNG 9'!$E110&amp;"")</f>
        <v/>
      </c>
      <c r="F553" s="0" t="str">
        <f aca="false">IF('THÁNG 9'!$C110="","",'THÁNG 9'!$F110&amp;"")</f>
        <v/>
      </c>
      <c r="G553" s="0" t="str">
        <f aca="false">IF('THÁNG 9'!$C110="","",'THÁNG 9'!$G110&amp;"")</f>
        <v/>
      </c>
      <c r="H553" s="0" t="str">
        <f aca="false">IF('THÁNG 9'!$C110="","",'THÁNG 9'!$H110&amp;"")</f>
        <v/>
      </c>
      <c r="I553" s="0" t="str">
        <f aca="false">IF('THÁNG 9'!$C110="","",N('THÁNG 9'!$I110))</f>
        <v/>
      </c>
      <c r="J553" s="0" t="str">
        <f aca="false">IF('THÁNG 9'!$C110="","",N('THÁNG 9'!$L110))</f>
        <v/>
      </c>
      <c r="K553" s="0" t="str">
        <f aca="false">IF('THÁNG 9'!$C110="","",N('THÁNG 9'!$N110))</f>
        <v/>
      </c>
      <c r="L553" s="0" t="str">
        <f aca="false">IF('THÁNG 9'!$C110="","",N('THÁNG 9'!$O110))</f>
        <v/>
      </c>
      <c r="M553" s="0" t="str">
        <f aca="false">IF('THÁNG 9'!$C110="","",N('THÁNG 9'!$P110))</f>
        <v/>
      </c>
      <c r="N553" s="0" t="str">
        <f aca="false">IF('THÁNG 9'!$C110="","",N('THÁNG 9'!$Q110))</f>
        <v/>
      </c>
      <c r="O553" s="0" t="str">
        <f aca="false">IF('THÁNG 9'!$C110="","",N('THÁNG 9'!$R110))</f>
        <v/>
      </c>
      <c r="P553" s="0" t="str">
        <f aca="false">IF(OR('THÁNG 9'!$C110="",'THÁNG 9'!$T110=""),"",'THÁNG 9'!$T110)</f>
        <v/>
      </c>
      <c r="Q553" s="0" t="str">
        <f aca="false">IF(OR('THÁNG 9'!$C110="",'THÁNG 9'!$U110=""),"",'THÁNG 9'!$U110)</f>
        <v/>
      </c>
      <c r="R553" s="0" t="str">
        <f aca="false">IF('THÁNG 9'!$C110="","",'THÁNG 9'!$W110&amp;"")</f>
        <v/>
      </c>
      <c r="S553" s="0" t="str">
        <f aca="false">IF('THÁNG 9'!$C110="","",'THÁNG 9'!$S110&amp;"")</f>
        <v/>
      </c>
      <c r="T553" s="0" t="str">
        <f aca="false">IF(N($O553)&gt;0,COUNTIF($O$3:$O553,"&gt;0"),"")</f>
        <v/>
      </c>
      <c r="U553" s="0" t="str">
        <f aca="false">IF(AND(N($J553)&gt;0,N($K553)&gt;0),COUNTIFS($J$3:$J553,"&gt;0",$K$3:$K553,"&gt;0"),"")</f>
        <v/>
      </c>
      <c r="V553" s="0" t="str">
        <f aca="false">IF(AND(N($J553)&gt;0,N($K553)=0),COUNTIFS($J$3:$J553,"&gt;0",$K$3:$K553,"&lt;=0"),"")</f>
        <v/>
      </c>
      <c r="W553" s="0" t="str">
        <f aca="false">IF($C553="","",IF(COUNTIF($C$3:$C553,$C553)&gt;1,"",MAX($W$2:W552)+1))</f>
        <v/>
      </c>
      <c r="X553" s="0" t="str">
        <f aca="false">IF($H553="","",IF(COUNTIF($H$3:$H553,$H553)&gt;1,"",MAX($X$2:X552)+1))</f>
        <v/>
      </c>
      <c r="Y553" s="0" t="str">
        <f aca="false">IF(AND(N($M553)&gt;0,N($O553)&lt;=0),COUNTIFS($M$3:$M553,"&gt;0",$O$3:$O553,"&lt;=0"),"")</f>
        <v/>
      </c>
      <c r="Z553" s="30" t="n">
        <f aca="false">IF(OR('THÁNG 9'!$C110="",'THÁNG 9'!$B110=""),0,'THÁNG 9'!$B110)</f>
        <v>0</v>
      </c>
    </row>
    <row r="554" customFormat="false" ht="15" hidden="false" customHeight="false" outlineLevel="0" collapsed="false">
      <c r="A554" s="0" t="n">
        <v>9</v>
      </c>
      <c r="B554" s="29" t="str">
        <f aca="false">IF(OR('THÁNG 9'!$C111="",'THÁNG 9'!$B111=""),"",'THÁNG 9'!$B111)</f>
        <v/>
      </c>
      <c r="C554" s="0" t="str">
        <f aca="false">IF('THÁNG 9'!$C111="","",'THÁNG 9'!$C111)</f>
        <v/>
      </c>
      <c r="D554" s="0" t="str">
        <f aca="false">IF('THÁNG 9'!$C111="","",'THÁNG 9'!$D111&amp;"")</f>
        <v/>
      </c>
      <c r="E554" s="0" t="str">
        <f aca="false">IF('THÁNG 9'!$C111="","",'THÁNG 9'!$E111&amp;"")</f>
        <v/>
      </c>
      <c r="F554" s="0" t="str">
        <f aca="false">IF('THÁNG 9'!$C111="","",'THÁNG 9'!$F111&amp;"")</f>
        <v/>
      </c>
      <c r="G554" s="0" t="str">
        <f aca="false">IF('THÁNG 9'!$C111="","",'THÁNG 9'!$G111&amp;"")</f>
        <v/>
      </c>
      <c r="H554" s="0" t="str">
        <f aca="false">IF('THÁNG 9'!$C111="","",'THÁNG 9'!$H111&amp;"")</f>
        <v/>
      </c>
      <c r="I554" s="0" t="str">
        <f aca="false">IF('THÁNG 9'!$C111="","",N('THÁNG 9'!$I111))</f>
        <v/>
      </c>
      <c r="J554" s="0" t="str">
        <f aca="false">IF('THÁNG 9'!$C111="","",N('THÁNG 9'!$L111))</f>
        <v/>
      </c>
      <c r="K554" s="0" t="str">
        <f aca="false">IF('THÁNG 9'!$C111="","",N('THÁNG 9'!$N111))</f>
        <v/>
      </c>
      <c r="L554" s="0" t="str">
        <f aca="false">IF('THÁNG 9'!$C111="","",N('THÁNG 9'!$O111))</f>
        <v/>
      </c>
      <c r="M554" s="0" t="str">
        <f aca="false">IF('THÁNG 9'!$C111="","",N('THÁNG 9'!$P111))</f>
        <v/>
      </c>
      <c r="N554" s="0" t="str">
        <f aca="false">IF('THÁNG 9'!$C111="","",N('THÁNG 9'!$Q111))</f>
        <v/>
      </c>
      <c r="O554" s="0" t="str">
        <f aca="false">IF('THÁNG 9'!$C111="","",N('THÁNG 9'!$R111))</f>
        <v/>
      </c>
      <c r="P554" s="0" t="str">
        <f aca="false">IF(OR('THÁNG 9'!$C111="",'THÁNG 9'!$T111=""),"",'THÁNG 9'!$T111)</f>
        <v/>
      </c>
      <c r="Q554" s="0" t="str">
        <f aca="false">IF(OR('THÁNG 9'!$C111="",'THÁNG 9'!$U111=""),"",'THÁNG 9'!$U111)</f>
        <v/>
      </c>
      <c r="R554" s="0" t="str">
        <f aca="false">IF('THÁNG 9'!$C111="","",'THÁNG 9'!$W111&amp;"")</f>
        <v/>
      </c>
      <c r="S554" s="0" t="str">
        <f aca="false">IF('THÁNG 9'!$C111="","",'THÁNG 9'!$S111&amp;"")</f>
        <v/>
      </c>
      <c r="T554" s="0" t="str">
        <f aca="false">IF(N($O554)&gt;0,COUNTIF($O$3:$O554,"&gt;0"),"")</f>
        <v/>
      </c>
      <c r="U554" s="0" t="str">
        <f aca="false">IF(AND(N($J554)&gt;0,N($K554)&gt;0),COUNTIFS($J$3:$J554,"&gt;0",$K$3:$K554,"&gt;0"),"")</f>
        <v/>
      </c>
      <c r="V554" s="0" t="str">
        <f aca="false">IF(AND(N($J554)&gt;0,N($K554)=0),COUNTIFS($J$3:$J554,"&gt;0",$K$3:$K554,"&lt;=0"),"")</f>
        <v/>
      </c>
      <c r="W554" s="0" t="str">
        <f aca="false">IF($C554="","",IF(COUNTIF($C$3:$C554,$C554)&gt;1,"",MAX($W$2:W553)+1))</f>
        <v/>
      </c>
      <c r="X554" s="0" t="str">
        <f aca="false">IF($H554="","",IF(COUNTIF($H$3:$H554,$H554)&gt;1,"",MAX($X$2:X553)+1))</f>
        <v/>
      </c>
      <c r="Y554" s="0" t="str">
        <f aca="false">IF(AND(N($M554)&gt;0,N($O554)&lt;=0),COUNTIFS($M$3:$M554,"&gt;0",$O$3:$O554,"&lt;=0"),"")</f>
        <v/>
      </c>
      <c r="Z554" s="30" t="n">
        <f aca="false">IF(OR('THÁNG 9'!$C111="",'THÁNG 9'!$B111=""),0,'THÁNG 9'!$B111)</f>
        <v>0</v>
      </c>
    </row>
    <row r="555" customFormat="false" ht="15" hidden="false" customHeight="false" outlineLevel="0" collapsed="false">
      <c r="A555" s="0" t="n">
        <v>9</v>
      </c>
      <c r="B555" s="29" t="str">
        <f aca="false">IF(OR('THÁNG 9'!$C112="",'THÁNG 9'!$B112=""),"",'THÁNG 9'!$B112)</f>
        <v/>
      </c>
      <c r="C555" s="0" t="str">
        <f aca="false">IF('THÁNG 9'!$C112="","",'THÁNG 9'!$C112)</f>
        <v/>
      </c>
      <c r="D555" s="0" t="str">
        <f aca="false">IF('THÁNG 9'!$C112="","",'THÁNG 9'!$D112&amp;"")</f>
        <v/>
      </c>
      <c r="E555" s="0" t="str">
        <f aca="false">IF('THÁNG 9'!$C112="","",'THÁNG 9'!$E112&amp;"")</f>
        <v/>
      </c>
      <c r="F555" s="0" t="str">
        <f aca="false">IF('THÁNG 9'!$C112="","",'THÁNG 9'!$F112&amp;"")</f>
        <v/>
      </c>
      <c r="G555" s="0" t="str">
        <f aca="false">IF('THÁNG 9'!$C112="","",'THÁNG 9'!$G112&amp;"")</f>
        <v/>
      </c>
      <c r="H555" s="0" t="str">
        <f aca="false">IF('THÁNG 9'!$C112="","",'THÁNG 9'!$H112&amp;"")</f>
        <v/>
      </c>
      <c r="I555" s="0" t="str">
        <f aca="false">IF('THÁNG 9'!$C112="","",N('THÁNG 9'!$I112))</f>
        <v/>
      </c>
      <c r="J555" s="0" t="str">
        <f aca="false">IF('THÁNG 9'!$C112="","",N('THÁNG 9'!$L112))</f>
        <v/>
      </c>
      <c r="K555" s="0" t="str">
        <f aca="false">IF('THÁNG 9'!$C112="","",N('THÁNG 9'!$N112))</f>
        <v/>
      </c>
      <c r="L555" s="0" t="str">
        <f aca="false">IF('THÁNG 9'!$C112="","",N('THÁNG 9'!$O112))</f>
        <v/>
      </c>
      <c r="M555" s="0" t="str">
        <f aca="false">IF('THÁNG 9'!$C112="","",N('THÁNG 9'!$P112))</f>
        <v/>
      </c>
      <c r="N555" s="0" t="str">
        <f aca="false">IF('THÁNG 9'!$C112="","",N('THÁNG 9'!$Q112))</f>
        <v/>
      </c>
      <c r="O555" s="0" t="str">
        <f aca="false">IF('THÁNG 9'!$C112="","",N('THÁNG 9'!$R112))</f>
        <v/>
      </c>
      <c r="P555" s="0" t="str">
        <f aca="false">IF(OR('THÁNG 9'!$C112="",'THÁNG 9'!$T112=""),"",'THÁNG 9'!$T112)</f>
        <v/>
      </c>
      <c r="Q555" s="0" t="str">
        <f aca="false">IF(OR('THÁNG 9'!$C112="",'THÁNG 9'!$U112=""),"",'THÁNG 9'!$U112)</f>
        <v/>
      </c>
      <c r="R555" s="0" t="str">
        <f aca="false">IF('THÁNG 9'!$C112="","",'THÁNG 9'!$W112&amp;"")</f>
        <v/>
      </c>
      <c r="S555" s="0" t="str">
        <f aca="false">IF('THÁNG 9'!$C112="","",'THÁNG 9'!$S112&amp;"")</f>
        <v/>
      </c>
      <c r="T555" s="0" t="str">
        <f aca="false">IF(N($O555)&gt;0,COUNTIF($O$3:$O555,"&gt;0"),"")</f>
        <v/>
      </c>
      <c r="U555" s="0" t="str">
        <f aca="false">IF(AND(N($J555)&gt;0,N($K555)&gt;0),COUNTIFS($J$3:$J555,"&gt;0",$K$3:$K555,"&gt;0"),"")</f>
        <v/>
      </c>
      <c r="V555" s="0" t="str">
        <f aca="false">IF(AND(N($J555)&gt;0,N($K555)=0),COUNTIFS($J$3:$J555,"&gt;0",$K$3:$K555,"&lt;=0"),"")</f>
        <v/>
      </c>
      <c r="W555" s="0" t="str">
        <f aca="false">IF($C555="","",IF(COUNTIF($C$3:$C555,$C555)&gt;1,"",MAX($W$2:W554)+1))</f>
        <v/>
      </c>
      <c r="X555" s="0" t="str">
        <f aca="false">IF($H555="","",IF(COUNTIF($H$3:$H555,$H555)&gt;1,"",MAX($X$2:X554)+1))</f>
        <v/>
      </c>
      <c r="Y555" s="0" t="str">
        <f aca="false">IF(AND(N($M555)&gt;0,N($O555)&lt;=0),COUNTIFS($M$3:$M555,"&gt;0",$O$3:$O555,"&lt;=0"),"")</f>
        <v/>
      </c>
      <c r="Z555" s="30" t="n">
        <f aca="false">IF(OR('THÁNG 9'!$C112="",'THÁNG 9'!$B112=""),0,'THÁNG 9'!$B112)</f>
        <v>0</v>
      </c>
    </row>
    <row r="556" customFormat="false" ht="15" hidden="false" customHeight="false" outlineLevel="0" collapsed="false">
      <c r="A556" s="0" t="n">
        <v>9</v>
      </c>
      <c r="B556" s="29" t="str">
        <f aca="false">IF(OR('THÁNG 9'!$C113="",'THÁNG 9'!$B113=""),"",'THÁNG 9'!$B113)</f>
        <v/>
      </c>
      <c r="C556" s="0" t="str">
        <f aca="false">IF('THÁNG 9'!$C113="","",'THÁNG 9'!$C113)</f>
        <v/>
      </c>
      <c r="D556" s="0" t="str">
        <f aca="false">IF('THÁNG 9'!$C113="","",'THÁNG 9'!$D113&amp;"")</f>
        <v/>
      </c>
      <c r="E556" s="0" t="str">
        <f aca="false">IF('THÁNG 9'!$C113="","",'THÁNG 9'!$E113&amp;"")</f>
        <v/>
      </c>
      <c r="F556" s="0" t="str">
        <f aca="false">IF('THÁNG 9'!$C113="","",'THÁNG 9'!$F113&amp;"")</f>
        <v/>
      </c>
      <c r="G556" s="0" t="str">
        <f aca="false">IF('THÁNG 9'!$C113="","",'THÁNG 9'!$G113&amp;"")</f>
        <v/>
      </c>
      <c r="H556" s="0" t="str">
        <f aca="false">IF('THÁNG 9'!$C113="","",'THÁNG 9'!$H113&amp;"")</f>
        <v/>
      </c>
      <c r="I556" s="0" t="str">
        <f aca="false">IF('THÁNG 9'!$C113="","",N('THÁNG 9'!$I113))</f>
        <v/>
      </c>
      <c r="J556" s="0" t="str">
        <f aca="false">IF('THÁNG 9'!$C113="","",N('THÁNG 9'!$L113))</f>
        <v/>
      </c>
      <c r="K556" s="0" t="str">
        <f aca="false">IF('THÁNG 9'!$C113="","",N('THÁNG 9'!$N113))</f>
        <v/>
      </c>
      <c r="L556" s="0" t="str">
        <f aca="false">IF('THÁNG 9'!$C113="","",N('THÁNG 9'!$O113))</f>
        <v/>
      </c>
      <c r="M556" s="0" t="str">
        <f aca="false">IF('THÁNG 9'!$C113="","",N('THÁNG 9'!$P113))</f>
        <v/>
      </c>
      <c r="N556" s="0" t="str">
        <f aca="false">IF('THÁNG 9'!$C113="","",N('THÁNG 9'!$Q113))</f>
        <v/>
      </c>
      <c r="O556" s="0" t="str">
        <f aca="false">IF('THÁNG 9'!$C113="","",N('THÁNG 9'!$R113))</f>
        <v/>
      </c>
      <c r="P556" s="0" t="str">
        <f aca="false">IF(OR('THÁNG 9'!$C113="",'THÁNG 9'!$T113=""),"",'THÁNG 9'!$T113)</f>
        <v/>
      </c>
      <c r="Q556" s="0" t="str">
        <f aca="false">IF(OR('THÁNG 9'!$C113="",'THÁNG 9'!$U113=""),"",'THÁNG 9'!$U113)</f>
        <v/>
      </c>
      <c r="R556" s="0" t="str">
        <f aca="false">IF('THÁNG 9'!$C113="","",'THÁNG 9'!$W113&amp;"")</f>
        <v/>
      </c>
      <c r="S556" s="0" t="str">
        <f aca="false">IF('THÁNG 9'!$C113="","",'THÁNG 9'!$S113&amp;"")</f>
        <v/>
      </c>
      <c r="T556" s="0" t="str">
        <f aca="false">IF(N($O556)&gt;0,COUNTIF($O$3:$O556,"&gt;0"),"")</f>
        <v/>
      </c>
      <c r="U556" s="0" t="str">
        <f aca="false">IF(AND(N($J556)&gt;0,N($K556)&gt;0),COUNTIFS($J$3:$J556,"&gt;0",$K$3:$K556,"&gt;0"),"")</f>
        <v/>
      </c>
      <c r="V556" s="0" t="str">
        <f aca="false">IF(AND(N($J556)&gt;0,N($K556)=0),COUNTIFS($J$3:$J556,"&gt;0",$K$3:$K556,"&lt;=0"),"")</f>
        <v/>
      </c>
      <c r="W556" s="0" t="str">
        <f aca="false">IF($C556="","",IF(COUNTIF($C$3:$C556,$C556)&gt;1,"",MAX($W$2:W555)+1))</f>
        <v/>
      </c>
      <c r="X556" s="0" t="str">
        <f aca="false">IF($H556="","",IF(COUNTIF($H$3:$H556,$H556)&gt;1,"",MAX($X$2:X555)+1))</f>
        <v/>
      </c>
      <c r="Y556" s="0" t="str">
        <f aca="false">IF(AND(N($M556)&gt;0,N($O556)&lt;=0),COUNTIFS($M$3:$M556,"&gt;0",$O$3:$O556,"&lt;=0"),"")</f>
        <v/>
      </c>
      <c r="Z556" s="30" t="n">
        <f aca="false">IF(OR('THÁNG 9'!$C113="",'THÁNG 9'!$B113=""),0,'THÁNG 9'!$B113)</f>
        <v>0</v>
      </c>
    </row>
    <row r="557" customFormat="false" ht="15" hidden="false" customHeight="false" outlineLevel="0" collapsed="false">
      <c r="A557" s="0" t="n">
        <v>9</v>
      </c>
      <c r="B557" s="29" t="str">
        <f aca="false">IF(OR('THÁNG 9'!$C114="",'THÁNG 9'!$B114=""),"",'THÁNG 9'!$B114)</f>
        <v/>
      </c>
      <c r="C557" s="0" t="str">
        <f aca="false">IF('THÁNG 9'!$C114="","",'THÁNG 9'!$C114)</f>
        <v/>
      </c>
      <c r="D557" s="0" t="str">
        <f aca="false">IF('THÁNG 9'!$C114="","",'THÁNG 9'!$D114&amp;"")</f>
        <v/>
      </c>
      <c r="E557" s="0" t="str">
        <f aca="false">IF('THÁNG 9'!$C114="","",'THÁNG 9'!$E114&amp;"")</f>
        <v/>
      </c>
      <c r="F557" s="0" t="str">
        <f aca="false">IF('THÁNG 9'!$C114="","",'THÁNG 9'!$F114&amp;"")</f>
        <v/>
      </c>
      <c r="G557" s="0" t="str">
        <f aca="false">IF('THÁNG 9'!$C114="","",'THÁNG 9'!$G114&amp;"")</f>
        <v/>
      </c>
      <c r="H557" s="0" t="str">
        <f aca="false">IF('THÁNG 9'!$C114="","",'THÁNG 9'!$H114&amp;"")</f>
        <v/>
      </c>
      <c r="I557" s="0" t="str">
        <f aca="false">IF('THÁNG 9'!$C114="","",N('THÁNG 9'!$I114))</f>
        <v/>
      </c>
      <c r="J557" s="0" t="str">
        <f aca="false">IF('THÁNG 9'!$C114="","",N('THÁNG 9'!$L114))</f>
        <v/>
      </c>
      <c r="K557" s="0" t="str">
        <f aca="false">IF('THÁNG 9'!$C114="","",N('THÁNG 9'!$N114))</f>
        <v/>
      </c>
      <c r="L557" s="0" t="str">
        <f aca="false">IF('THÁNG 9'!$C114="","",N('THÁNG 9'!$O114))</f>
        <v/>
      </c>
      <c r="M557" s="0" t="str">
        <f aca="false">IF('THÁNG 9'!$C114="","",N('THÁNG 9'!$P114))</f>
        <v/>
      </c>
      <c r="N557" s="0" t="str">
        <f aca="false">IF('THÁNG 9'!$C114="","",N('THÁNG 9'!$Q114))</f>
        <v/>
      </c>
      <c r="O557" s="0" t="str">
        <f aca="false">IF('THÁNG 9'!$C114="","",N('THÁNG 9'!$R114))</f>
        <v/>
      </c>
      <c r="P557" s="0" t="str">
        <f aca="false">IF(OR('THÁNG 9'!$C114="",'THÁNG 9'!$T114=""),"",'THÁNG 9'!$T114)</f>
        <v/>
      </c>
      <c r="Q557" s="0" t="str">
        <f aca="false">IF(OR('THÁNG 9'!$C114="",'THÁNG 9'!$U114=""),"",'THÁNG 9'!$U114)</f>
        <v/>
      </c>
      <c r="R557" s="0" t="str">
        <f aca="false">IF('THÁNG 9'!$C114="","",'THÁNG 9'!$W114&amp;"")</f>
        <v/>
      </c>
      <c r="S557" s="0" t="str">
        <f aca="false">IF('THÁNG 9'!$C114="","",'THÁNG 9'!$S114&amp;"")</f>
        <v/>
      </c>
      <c r="T557" s="0" t="str">
        <f aca="false">IF(N($O557)&gt;0,COUNTIF($O$3:$O557,"&gt;0"),"")</f>
        <v/>
      </c>
      <c r="U557" s="0" t="str">
        <f aca="false">IF(AND(N($J557)&gt;0,N($K557)&gt;0),COUNTIFS($J$3:$J557,"&gt;0",$K$3:$K557,"&gt;0"),"")</f>
        <v/>
      </c>
      <c r="V557" s="0" t="str">
        <f aca="false">IF(AND(N($J557)&gt;0,N($K557)=0),COUNTIFS($J$3:$J557,"&gt;0",$K$3:$K557,"&lt;=0"),"")</f>
        <v/>
      </c>
      <c r="W557" s="0" t="str">
        <f aca="false">IF($C557="","",IF(COUNTIF($C$3:$C557,$C557)&gt;1,"",MAX($W$2:W556)+1))</f>
        <v/>
      </c>
      <c r="X557" s="0" t="str">
        <f aca="false">IF($H557="","",IF(COUNTIF($H$3:$H557,$H557)&gt;1,"",MAX($X$2:X556)+1))</f>
        <v/>
      </c>
      <c r="Y557" s="0" t="str">
        <f aca="false">IF(AND(N($M557)&gt;0,N($O557)&lt;=0),COUNTIFS($M$3:$M557,"&gt;0",$O$3:$O557,"&lt;=0"),"")</f>
        <v/>
      </c>
      <c r="Z557" s="30" t="n">
        <f aca="false">IF(OR('THÁNG 9'!$C114="",'THÁNG 9'!$B114=""),0,'THÁNG 9'!$B114)</f>
        <v>0</v>
      </c>
    </row>
    <row r="558" customFormat="false" ht="15" hidden="false" customHeight="false" outlineLevel="0" collapsed="false">
      <c r="A558" s="0" t="n">
        <v>9</v>
      </c>
      <c r="B558" s="29" t="str">
        <f aca="false">IF(OR('THÁNG 9'!$C115="",'THÁNG 9'!$B115=""),"",'THÁNG 9'!$B115)</f>
        <v/>
      </c>
      <c r="C558" s="0" t="str">
        <f aca="false">IF('THÁNG 9'!$C115="","",'THÁNG 9'!$C115)</f>
        <v/>
      </c>
      <c r="D558" s="0" t="str">
        <f aca="false">IF('THÁNG 9'!$C115="","",'THÁNG 9'!$D115&amp;"")</f>
        <v/>
      </c>
      <c r="E558" s="0" t="str">
        <f aca="false">IF('THÁNG 9'!$C115="","",'THÁNG 9'!$E115&amp;"")</f>
        <v/>
      </c>
      <c r="F558" s="0" t="str">
        <f aca="false">IF('THÁNG 9'!$C115="","",'THÁNG 9'!$F115&amp;"")</f>
        <v/>
      </c>
      <c r="G558" s="0" t="str">
        <f aca="false">IF('THÁNG 9'!$C115="","",'THÁNG 9'!$G115&amp;"")</f>
        <v/>
      </c>
      <c r="H558" s="0" t="str">
        <f aca="false">IF('THÁNG 9'!$C115="","",'THÁNG 9'!$H115&amp;"")</f>
        <v/>
      </c>
      <c r="I558" s="0" t="str">
        <f aca="false">IF('THÁNG 9'!$C115="","",N('THÁNG 9'!$I115))</f>
        <v/>
      </c>
      <c r="J558" s="0" t="str">
        <f aca="false">IF('THÁNG 9'!$C115="","",N('THÁNG 9'!$L115))</f>
        <v/>
      </c>
      <c r="K558" s="0" t="str">
        <f aca="false">IF('THÁNG 9'!$C115="","",N('THÁNG 9'!$N115))</f>
        <v/>
      </c>
      <c r="L558" s="0" t="str">
        <f aca="false">IF('THÁNG 9'!$C115="","",N('THÁNG 9'!$O115))</f>
        <v/>
      </c>
      <c r="M558" s="0" t="str">
        <f aca="false">IF('THÁNG 9'!$C115="","",N('THÁNG 9'!$P115))</f>
        <v/>
      </c>
      <c r="N558" s="0" t="str">
        <f aca="false">IF('THÁNG 9'!$C115="","",N('THÁNG 9'!$Q115))</f>
        <v/>
      </c>
      <c r="O558" s="0" t="str">
        <f aca="false">IF('THÁNG 9'!$C115="","",N('THÁNG 9'!$R115))</f>
        <v/>
      </c>
      <c r="P558" s="0" t="str">
        <f aca="false">IF(OR('THÁNG 9'!$C115="",'THÁNG 9'!$T115=""),"",'THÁNG 9'!$T115)</f>
        <v/>
      </c>
      <c r="Q558" s="0" t="str">
        <f aca="false">IF(OR('THÁNG 9'!$C115="",'THÁNG 9'!$U115=""),"",'THÁNG 9'!$U115)</f>
        <v/>
      </c>
      <c r="R558" s="0" t="str">
        <f aca="false">IF('THÁNG 9'!$C115="","",'THÁNG 9'!$W115&amp;"")</f>
        <v/>
      </c>
      <c r="S558" s="0" t="str">
        <f aca="false">IF('THÁNG 9'!$C115="","",'THÁNG 9'!$S115&amp;"")</f>
        <v/>
      </c>
      <c r="T558" s="0" t="str">
        <f aca="false">IF(N($O558)&gt;0,COUNTIF($O$3:$O558,"&gt;0"),"")</f>
        <v/>
      </c>
      <c r="U558" s="0" t="str">
        <f aca="false">IF(AND(N($J558)&gt;0,N($K558)&gt;0),COUNTIFS($J$3:$J558,"&gt;0",$K$3:$K558,"&gt;0"),"")</f>
        <v/>
      </c>
      <c r="V558" s="0" t="str">
        <f aca="false">IF(AND(N($J558)&gt;0,N($K558)=0),COUNTIFS($J$3:$J558,"&gt;0",$K$3:$K558,"&lt;=0"),"")</f>
        <v/>
      </c>
      <c r="W558" s="0" t="str">
        <f aca="false">IF($C558="","",IF(COUNTIF($C$3:$C558,$C558)&gt;1,"",MAX($W$2:W557)+1))</f>
        <v/>
      </c>
      <c r="X558" s="0" t="str">
        <f aca="false">IF($H558="","",IF(COUNTIF($H$3:$H558,$H558)&gt;1,"",MAX($X$2:X557)+1))</f>
        <v/>
      </c>
      <c r="Y558" s="0" t="str">
        <f aca="false">IF(AND(N($M558)&gt;0,N($O558)&lt;=0),COUNTIFS($M$3:$M558,"&gt;0",$O$3:$O558,"&lt;=0"),"")</f>
        <v/>
      </c>
      <c r="Z558" s="30" t="n">
        <f aca="false">IF(OR('THÁNG 9'!$C115="",'THÁNG 9'!$B115=""),0,'THÁNG 9'!$B115)</f>
        <v>0</v>
      </c>
    </row>
    <row r="559" customFormat="false" ht="15" hidden="false" customHeight="false" outlineLevel="0" collapsed="false">
      <c r="A559" s="0" t="n">
        <v>9</v>
      </c>
      <c r="B559" s="29" t="str">
        <f aca="false">IF(OR('THÁNG 9'!$C116="",'THÁNG 9'!$B116=""),"",'THÁNG 9'!$B116)</f>
        <v/>
      </c>
      <c r="C559" s="0" t="str">
        <f aca="false">IF('THÁNG 9'!$C116="","",'THÁNG 9'!$C116)</f>
        <v/>
      </c>
      <c r="D559" s="0" t="str">
        <f aca="false">IF('THÁNG 9'!$C116="","",'THÁNG 9'!$D116&amp;"")</f>
        <v/>
      </c>
      <c r="E559" s="0" t="str">
        <f aca="false">IF('THÁNG 9'!$C116="","",'THÁNG 9'!$E116&amp;"")</f>
        <v/>
      </c>
      <c r="F559" s="0" t="str">
        <f aca="false">IF('THÁNG 9'!$C116="","",'THÁNG 9'!$F116&amp;"")</f>
        <v/>
      </c>
      <c r="G559" s="0" t="str">
        <f aca="false">IF('THÁNG 9'!$C116="","",'THÁNG 9'!$G116&amp;"")</f>
        <v/>
      </c>
      <c r="H559" s="0" t="str">
        <f aca="false">IF('THÁNG 9'!$C116="","",'THÁNG 9'!$H116&amp;"")</f>
        <v/>
      </c>
      <c r="I559" s="0" t="str">
        <f aca="false">IF('THÁNG 9'!$C116="","",N('THÁNG 9'!$I116))</f>
        <v/>
      </c>
      <c r="J559" s="0" t="str">
        <f aca="false">IF('THÁNG 9'!$C116="","",N('THÁNG 9'!$L116))</f>
        <v/>
      </c>
      <c r="K559" s="0" t="str">
        <f aca="false">IF('THÁNG 9'!$C116="","",N('THÁNG 9'!$N116))</f>
        <v/>
      </c>
      <c r="L559" s="0" t="str">
        <f aca="false">IF('THÁNG 9'!$C116="","",N('THÁNG 9'!$O116))</f>
        <v/>
      </c>
      <c r="M559" s="0" t="str">
        <f aca="false">IF('THÁNG 9'!$C116="","",N('THÁNG 9'!$P116))</f>
        <v/>
      </c>
      <c r="N559" s="0" t="str">
        <f aca="false">IF('THÁNG 9'!$C116="","",N('THÁNG 9'!$Q116))</f>
        <v/>
      </c>
      <c r="O559" s="0" t="str">
        <f aca="false">IF('THÁNG 9'!$C116="","",N('THÁNG 9'!$R116))</f>
        <v/>
      </c>
      <c r="P559" s="0" t="str">
        <f aca="false">IF(OR('THÁNG 9'!$C116="",'THÁNG 9'!$T116=""),"",'THÁNG 9'!$T116)</f>
        <v/>
      </c>
      <c r="Q559" s="0" t="str">
        <f aca="false">IF(OR('THÁNG 9'!$C116="",'THÁNG 9'!$U116=""),"",'THÁNG 9'!$U116)</f>
        <v/>
      </c>
      <c r="R559" s="0" t="str">
        <f aca="false">IF('THÁNG 9'!$C116="","",'THÁNG 9'!$W116&amp;"")</f>
        <v/>
      </c>
      <c r="S559" s="0" t="str">
        <f aca="false">IF('THÁNG 9'!$C116="","",'THÁNG 9'!$S116&amp;"")</f>
        <v/>
      </c>
      <c r="T559" s="0" t="str">
        <f aca="false">IF(N($O559)&gt;0,COUNTIF($O$3:$O559,"&gt;0"),"")</f>
        <v/>
      </c>
      <c r="U559" s="0" t="str">
        <f aca="false">IF(AND(N($J559)&gt;0,N($K559)&gt;0),COUNTIFS($J$3:$J559,"&gt;0",$K$3:$K559,"&gt;0"),"")</f>
        <v/>
      </c>
      <c r="V559" s="0" t="str">
        <f aca="false">IF(AND(N($J559)&gt;0,N($K559)=0),COUNTIFS($J$3:$J559,"&gt;0",$K$3:$K559,"&lt;=0"),"")</f>
        <v/>
      </c>
      <c r="W559" s="0" t="str">
        <f aca="false">IF($C559="","",IF(COUNTIF($C$3:$C559,$C559)&gt;1,"",MAX($W$2:W558)+1))</f>
        <v/>
      </c>
      <c r="X559" s="0" t="str">
        <f aca="false">IF($H559="","",IF(COUNTIF($H$3:$H559,$H559)&gt;1,"",MAX($X$2:X558)+1))</f>
        <v/>
      </c>
      <c r="Y559" s="0" t="str">
        <f aca="false">IF(AND(N($M559)&gt;0,N($O559)&lt;=0),COUNTIFS($M$3:$M559,"&gt;0",$O$3:$O559,"&lt;=0"),"")</f>
        <v/>
      </c>
      <c r="Z559" s="30" t="n">
        <f aca="false">IF(OR('THÁNG 9'!$C116="",'THÁNG 9'!$B116=""),0,'THÁNG 9'!$B116)</f>
        <v>0</v>
      </c>
    </row>
    <row r="560" customFormat="false" ht="15" hidden="false" customHeight="false" outlineLevel="0" collapsed="false">
      <c r="A560" s="0" t="n">
        <v>9</v>
      </c>
      <c r="B560" s="29" t="str">
        <f aca="false">IF(OR('THÁNG 9'!$C117="",'THÁNG 9'!$B117=""),"",'THÁNG 9'!$B117)</f>
        <v/>
      </c>
      <c r="C560" s="0" t="str">
        <f aca="false">IF('THÁNG 9'!$C117="","",'THÁNG 9'!$C117)</f>
        <v/>
      </c>
      <c r="D560" s="0" t="str">
        <f aca="false">IF('THÁNG 9'!$C117="","",'THÁNG 9'!$D117&amp;"")</f>
        <v/>
      </c>
      <c r="E560" s="0" t="str">
        <f aca="false">IF('THÁNG 9'!$C117="","",'THÁNG 9'!$E117&amp;"")</f>
        <v/>
      </c>
      <c r="F560" s="0" t="str">
        <f aca="false">IF('THÁNG 9'!$C117="","",'THÁNG 9'!$F117&amp;"")</f>
        <v/>
      </c>
      <c r="G560" s="0" t="str">
        <f aca="false">IF('THÁNG 9'!$C117="","",'THÁNG 9'!$G117&amp;"")</f>
        <v/>
      </c>
      <c r="H560" s="0" t="str">
        <f aca="false">IF('THÁNG 9'!$C117="","",'THÁNG 9'!$H117&amp;"")</f>
        <v/>
      </c>
      <c r="I560" s="0" t="str">
        <f aca="false">IF('THÁNG 9'!$C117="","",N('THÁNG 9'!$I117))</f>
        <v/>
      </c>
      <c r="J560" s="0" t="str">
        <f aca="false">IF('THÁNG 9'!$C117="","",N('THÁNG 9'!$L117))</f>
        <v/>
      </c>
      <c r="K560" s="0" t="str">
        <f aca="false">IF('THÁNG 9'!$C117="","",N('THÁNG 9'!$N117))</f>
        <v/>
      </c>
      <c r="L560" s="0" t="str">
        <f aca="false">IF('THÁNG 9'!$C117="","",N('THÁNG 9'!$O117))</f>
        <v/>
      </c>
      <c r="M560" s="0" t="str">
        <f aca="false">IF('THÁNG 9'!$C117="","",N('THÁNG 9'!$P117))</f>
        <v/>
      </c>
      <c r="N560" s="0" t="str">
        <f aca="false">IF('THÁNG 9'!$C117="","",N('THÁNG 9'!$Q117))</f>
        <v/>
      </c>
      <c r="O560" s="0" t="str">
        <f aca="false">IF('THÁNG 9'!$C117="","",N('THÁNG 9'!$R117))</f>
        <v/>
      </c>
      <c r="P560" s="0" t="str">
        <f aca="false">IF(OR('THÁNG 9'!$C117="",'THÁNG 9'!$T117=""),"",'THÁNG 9'!$T117)</f>
        <v/>
      </c>
      <c r="Q560" s="0" t="str">
        <f aca="false">IF(OR('THÁNG 9'!$C117="",'THÁNG 9'!$U117=""),"",'THÁNG 9'!$U117)</f>
        <v/>
      </c>
      <c r="R560" s="0" t="str">
        <f aca="false">IF('THÁNG 9'!$C117="","",'THÁNG 9'!$W117&amp;"")</f>
        <v/>
      </c>
      <c r="S560" s="0" t="str">
        <f aca="false">IF('THÁNG 9'!$C117="","",'THÁNG 9'!$S117&amp;"")</f>
        <v/>
      </c>
      <c r="T560" s="0" t="str">
        <f aca="false">IF(N($O560)&gt;0,COUNTIF($O$3:$O560,"&gt;0"),"")</f>
        <v/>
      </c>
      <c r="U560" s="0" t="str">
        <f aca="false">IF(AND(N($J560)&gt;0,N($K560)&gt;0),COUNTIFS($J$3:$J560,"&gt;0",$K$3:$K560,"&gt;0"),"")</f>
        <v/>
      </c>
      <c r="V560" s="0" t="str">
        <f aca="false">IF(AND(N($J560)&gt;0,N($K560)=0),COUNTIFS($J$3:$J560,"&gt;0",$K$3:$K560,"&lt;=0"),"")</f>
        <v/>
      </c>
      <c r="W560" s="0" t="str">
        <f aca="false">IF($C560="","",IF(COUNTIF($C$3:$C560,$C560)&gt;1,"",MAX($W$2:W559)+1))</f>
        <v/>
      </c>
      <c r="X560" s="0" t="str">
        <f aca="false">IF($H560="","",IF(COUNTIF($H$3:$H560,$H560)&gt;1,"",MAX($X$2:X559)+1))</f>
        <v/>
      </c>
      <c r="Y560" s="0" t="str">
        <f aca="false">IF(AND(N($M560)&gt;0,N($O560)&lt;=0),COUNTIFS($M$3:$M560,"&gt;0",$O$3:$O560,"&lt;=0"),"")</f>
        <v/>
      </c>
      <c r="Z560" s="30" t="n">
        <f aca="false">IF(OR('THÁNG 9'!$C117="",'THÁNG 9'!$B117=""),0,'THÁNG 9'!$B117)</f>
        <v>0</v>
      </c>
    </row>
    <row r="561" customFormat="false" ht="15" hidden="false" customHeight="false" outlineLevel="0" collapsed="false">
      <c r="A561" s="0" t="n">
        <v>9</v>
      </c>
      <c r="B561" s="29" t="str">
        <f aca="false">IF(OR('THÁNG 9'!$C118="",'THÁNG 9'!$B118=""),"",'THÁNG 9'!$B118)</f>
        <v/>
      </c>
      <c r="C561" s="0" t="str">
        <f aca="false">IF('THÁNG 9'!$C118="","",'THÁNG 9'!$C118)</f>
        <v/>
      </c>
      <c r="D561" s="0" t="str">
        <f aca="false">IF('THÁNG 9'!$C118="","",'THÁNG 9'!$D118&amp;"")</f>
        <v/>
      </c>
      <c r="E561" s="0" t="str">
        <f aca="false">IF('THÁNG 9'!$C118="","",'THÁNG 9'!$E118&amp;"")</f>
        <v/>
      </c>
      <c r="F561" s="0" t="str">
        <f aca="false">IF('THÁNG 9'!$C118="","",'THÁNG 9'!$F118&amp;"")</f>
        <v/>
      </c>
      <c r="G561" s="0" t="str">
        <f aca="false">IF('THÁNG 9'!$C118="","",'THÁNG 9'!$G118&amp;"")</f>
        <v/>
      </c>
      <c r="H561" s="0" t="str">
        <f aca="false">IF('THÁNG 9'!$C118="","",'THÁNG 9'!$H118&amp;"")</f>
        <v/>
      </c>
      <c r="I561" s="0" t="str">
        <f aca="false">IF('THÁNG 9'!$C118="","",N('THÁNG 9'!$I118))</f>
        <v/>
      </c>
      <c r="J561" s="0" t="str">
        <f aca="false">IF('THÁNG 9'!$C118="","",N('THÁNG 9'!$L118))</f>
        <v/>
      </c>
      <c r="K561" s="0" t="str">
        <f aca="false">IF('THÁNG 9'!$C118="","",N('THÁNG 9'!$N118))</f>
        <v/>
      </c>
      <c r="L561" s="0" t="str">
        <f aca="false">IF('THÁNG 9'!$C118="","",N('THÁNG 9'!$O118))</f>
        <v/>
      </c>
      <c r="M561" s="0" t="str">
        <f aca="false">IF('THÁNG 9'!$C118="","",N('THÁNG 9'!$P118))</f>
        <v/>
      </c>
      <c r="N561" s="0" t="str">
        <f aca="false">IF('THÁNG 9'!$C118="","",N('THÁNG 9'!$Q118))</f>
        <v/>
      </c>
      <c r="O561" s="0" t="str">
        <f aca="false">IF('THÁNG 9'!$C118="","",N('THÁNG 9'!$R118))</f>
        <v/>
      </c>
      <c r="P561" s="0" t="str">
        <f aca="false">IF(OR('THÁNG 9'!$C118="",'THÁNG 9'!$T118=""),"",'THÁNG 9'!$T118)</f>
        <v/>
      </c>
      <c r="Q561" s="0" t="str">
        <f aca="false">IF(OR('THÁNG 9'!$C118="",'THÁNG 9'!$U118=""),"",'THÁNG 9'!$U118)</f>
        <v/>
      </c>
      <c r="R561" s="0" t="str">
        <f aca="false">IF('THÁNG 9'!$C118="","",'THÁNG 9'!$W118&amp;"")</f>
        <v/>
      </c>
      <c r="S561" s="0" t="str">
        <f aca="false">IF('THÁNG 9'!$C118="","",'THÁNG 9'!$S118&amp;"")</f>
        <v/>
      </c>
      <c r="T561" s="0" t="str">
        <f aca="false">IF(N($O561)&gt;0,COUNTIF($O$3:$O561,"&gt;0"),"")</f>
        <v/>
      </c>
      <c r="U561" s="0" t="str">
        <f aca="false">IF(AND(N($J561)&gt;0,N($K561)&gt;0),COUNTIFS($J$3:$J561,"&gt;0",$K$3:$K561,"&gt;0"),"")</f>
        <v/>
      </c>
      <c r="V561" s="0" t="str">
        <f aca="false">IF(AND(N($J561)&gt;0,N($K561)=0),COUNTIFS($J$3:$J561,"&gt;0",$K$3:$K561,"&lt;=0"),"")</f>
        <v/>
      </c>
      <c r="W561" s="0" t="str">
        <f aca="false">IF($C561="","",IF(COUNTIF($C$3:$C561,$C561)&gt;1,"",MAX($W$2:W560)+1))</f>
        <v/>
      </c>
      <c r="X561" s="0" t="str">
        <f aca="false">IF($H561="","",IF(COUNTIF($H$3:$H561,$H561)&gt;1,"",MAX($X$2:X560)+1))</f>
        <v/>
      </c>
      <c r="Y561" s="0" t="str">
        <f aca="false">IF(AND(N($M561)&gt;0,N($O561)&lt;=0),COUNTIFS($M$3:$M561,"&gt;0",$O$3:$O561,"&lt;=0"),"")</f>
        <v/>
      </c>
      <c r="Z561" s="30" t="n">
        <f aca="false">IF(OR('THÁNG 9'!$C118="",'THÁNG 9'!$B118=""),0,'THÁNG 9'!$B118)</f>
        <v>0</v>
      </c>
    </row>
    <row r="562" customFormat="false" ht="15" hidden="false" customHeight="false" outlineLevel="0" collapsed="false">
      <c r="A562" s="0" t="n">
        <v>9</v>
      </c>
      <c r="B562" s="29" t="str">
        <f aca="false">IF(OR('THÁNG 9'!$C119="",'THÁNG 9'!$B119=""),"",'THÁNG 9'!$B119)</f>
        <v/>
      </c>
      <c r="C562" s="0" t="str">
        <f aca="false">IF('THÁNG 9'!$C119="","",'THÁNG 9'!$C119)</f>
        <v/>
      </c>
      <c r="D562" s="0" t="str">
        <f aca="false">IF('THÁNG 9'!$C119="","",'THÁNG 9'!$D119&amp;"")</f>
        <v/>
      </c>
      <c r="E562" s="0" t="str">
        <f aca="false">IF('THÁNG 9'!$C119="","",'THÁNG 9'!$E119&amp;"")</f>
        <v/>
      </c>
      <c r="F562" s="0" t="str">
        <f aca="false">IF('THÁNG 9'!$C119="","",'THÁNG 9'!$F119&amp;"")</f>
        <v/>
      </c>
      <c r="G562" s="0" t="str">
        <f aca="false">IF('THÁNG 9'!$C119="","",'THÁNG 9'!$G119&amp;"")</f>
        <v/>
      </c>
      <c r="H562" s="0" t="str">
        <f aca="false">IF('THÁNG 9'!$C119="","",'THÁNG 9'!$H119&amp;"")</f>
        <v/>
      </c>
      <c r="I562" s="0" t="str">
        <f aca="false">IF('THÁNG 9'!$C119="","",N('THÁNG 9'!$I119))</f>
        <v/>
      </c>
      <c r="J562" s="0" t="str">
        <f aca="false">IF('THÁNG 9'!$C119="","",N('THÁNG 9'!$L119))</f>
        <v/>
      </c>
      <c r="K562" s="0" t="str">
        <f aca="false">IF('THÁNG 9'!$C119="","",N('THÁNG 9'!$N119))</f>
        <v/>
      </c>
      <c r="L562" s="0" t="str">
        <f aca="false">IF('THÁNG 9'!$C119="","",N('THÁNG 9'!$O119))</f>
        <v/>
      </c>
      <c r="M562" s="0" t="str">
        <f aca="false">IF('THÁNG 9'!$C119="","",N('THÁNG 9'!$P119))</f>
        <v/>
      </c>
      <c r="N562" s="0" t="str">
        <f aca="false">IF('THÁNG 9'!$C119="","",N('THÁNG 9'!$Q119))</f>
        <v/>
      </c>
      <c r="O562" s="0" t="str">
        <f aca="false">IF('THÁNG 9'!$C119="","",N('THÁNG 9'!$R119))</f>
        <v/>
      </c>
      <c r="P562" s="0" t="str">
        <f aca="false">IF(OR('THÁNG 9'!$C119="",'THÁNG 9'!$T119=""),"",'THÁNG 9'!$T119)</f>
        <v/>
      </c>
      <c r="Q562" s="0" t="str">
        <f aca="false">IF(OR('THÁNG 9'!$C119="",'THÁNG 9'!$U119=""),"",'THÁNG 9'!$U119)</f>
        <v/>
      </c>
      <c r="R562" s="0" t="str">
        <f aca="false">IF('THÁNG 9'!$C119="","",'THÁNG 9'!$W119&amp;"")</f>
        <v/>
      </c>
      <c r="S562" s="0" t="str">
        <f aca="false">IF('THÁNG 9'!$C119="","",'THÁNG 9'!$S119&amp;"")</f>
        <v/>
      </c>
      <c r="T562" s="0" t="str">
        <f aca="false">IF(N($O562)&gt;0,COUNTIF($O$3:$O562,"&gt;0"),"")</f>
        <v/>
      </c>
      <c r="U562" s="0" t="str">
        <f aca="false">IF(AND(N($J562)&gt;0,N($K562)&gt;0),COUNTIFS($J$3:$J562,"&gt;0",$K$3:$K562,"&gt;0"),"")</f>
        <v/>
      </c>
      <c r="V562" s="0" t="str">
        <f aca="false">IF(AND(N($J562)&gt;0,N($K562)=0),COUNTIFS($J$3:$J562,"&gt;0",$K$3:$K562,"&lt;=0"),"")</f>
        <v/>
      </c>
      <c r="W562" s="0" t="str">
        <f aca="false">IF($C562="","",IF(COUNTIF($C$3:$C562,$C562)&gt;1,"",MAX($W$2:W561)+1))</f>
        <v/>
      </c>
      <c r="X562" s="0" t="str">
        <f aca="false">IF($H562="","",IF(COUNTIF($H$3:$H562,$H562)&gt;1,"",MAX($X$2:X561)+1))</f>
        <v/>
      </c>
      <c r="Y562" s="0" t="str">
        <f aca="false">IF(AND(N($M562)&gt;0,N($O562)&lt;=0),COUNTIFS($M$3:$M562,"&gt;0",$O$3:$O562,"&lt;=0"),"")</f>
        <v/>
      </c>
      <c r="Z562" s="30" t="n">
        <f aca="false">IF(OR('THÁNG 9'!$C119="",'THÁNG 9'!$B119=""),0,'THÁNG 9'!$B119)</f>
        <v>0</v>
      </c>
    </row>
    <row r="563" customFormat="false" ht="15" hidden="false" customHeight="false" outlineLevel="0" collapsed="false">
      <c r="A563" s="0" t="n">
        <v>9</v>
      </c>
      <c r="B563" s="29" t="str">
        <f aca="false">IF(OR('THÁNG 9'!$C120="",'THÁNG 9'!$B120=""),"",'THÁNG 9'!$B120)</f>
        <v/>
      </c>
      <c r="C563" s="0" t="str">
        <f aca="false">IF('THÁNG 9'!$C120="","",'THÁNG 9'!$C120)</f>
        <v/>
      </c>
      <c r="D563" s="0" t="str">
        <f aca="false">IF('THÁNG 9'!$C120="","",'THÁNG 9'!$D120&amp;"")</f>
        <v/>
      </c>
      <c r="E563" s="0" t="str">
        <f aca="false">IF('THÁNG 9'!$C120="","",'THÁNG 9'!$E120&amp;"")</f>
        <v/>
      </c>
      <c r="F563" s="0" t="str">
        <f aca="false">IF('THÁNG 9'!$C120="","",'THÁNG 9'!$F120&amp;"")</f>
        <v/>
      </c>
      <c r="G563" s="0" t="str">
        <f aca="false">IF('THÁNG 9'!$C120="","",'THÁNG 9'!$G120&amp;"")</f>
        <v/>
      </c>
      <c r="H563" s="0" t="str">
        <f aca="false">IF('THÁNG 9'!$C120="","",'THÁNG 9'!$H120&amp;"")</f>
        <v/>
      </c>
      <c r="I563" s="0" t="str">
        <f aca="false">IF('THÁNG 9'!$C120="","",N('THÁNG 9'!$I120))</f>
        <v/>
      </c>
      <c r="J563" s="0" t="str">
        <f aca="false">IF('THÁNG 9'!$C120="","",N('THÁNG 9'!$L120))</f>
        <v/>
      </c>
      <c r="K563" s="0" t="str">
        <f aca="false">IF('THÁNG 9'!$C120="","",N('THÁNG 9'!$N120))</f>
        <v/>
      </c>
      <c r="L563" s="0" t="str">
        <f aca="false">IF('THÁNG 9'!$C120="","",N('THÁNG 9'!$O120))</f>
        <v/>
      </c>
      <c r="M563" s="0" t="str">
        <f aca="false">IF('THÁNG 9'!$C120="","",N('THÁNG 9'!$P120))</f>
        <v/>
      </c>
      <c r="N563" s="0" t="str">
        <f aca="false">IF('THÁNG 9'!$C120="","",N('THÁNG 9'!$Q120))</f>
        <v/>
      </c>
      <c r="O563" s="0" t="str">
        <f aca="false">IF('THÁNG 9'!$C120="","",N('THÁNG 9'!$R120))</f>
        <v/>
      </c>
      <c r="P563" s="0" t="str">
        <f aca="false">IF(OR('THÁNG 9'!$C120="",'THÁNG 9'!$T120=""),"",'THÁNG 9'!$T120)</f>
        <v/>
      </c>
      <c r="Q563" s="0" t="str">
        <f aca="false">IF(OR('THÁNG 9'!$C120="",'THÁNG 9'!$U120=""),"",'THÁNG 9'!$U120)</f>
        <v/>
      </c>
      <c r="R563" s="0" t="str">
        <f aca="false">IF('THÁNG 9'!$C120="","",'THÁNG 9'!$W120&amp;"")</f>
        <v/>
      </c>
      <c r="S563" s="0" t="str">
        <f aca="false">IF('THÁNG 9'!$C120="","",'THÁNG 9'!$S120&amp;"")</f>
        <v/>
      </c>
      <c r="T563" s="0" t="str">
        <f aca="false">IF(N($O563)&gt;0,COUNTIF($O$3:$O563,"&gt;0"),"")</f>
        <v/>
      </c>
      <c r="U563" s="0" t="str">
        <f aca="false">IF(AND(N($J563)&gt;0,N($K563)&gt;0),COUNTIFS($J$3:$J563,"&gt;0",$K$3:$K563,"&gt;0"),"")</f>
        <v/>
      </c>
      <c r="V563" s="0" t="str">
        <f aca="false">IF(AND(N($J563)&gt;0,N($K563)=0),COUNTIFS($J$3:$J563,"&gt;0",$K$3:$K563,"&lt;=0"),"")</f>
        <v/>
      </c>
      <c r="W563" s="0" t="str">
        <f aca="false">IF($C563="","",IF(COUNTIF($C$3:$C563,$C563)&gt;1,"",MAX($W$2:W562)+1))</f>
        <v/>
      </c>
      <c r="X563" s="0" t="str">
        <f aca="false">IF($H563="","",IF(COUNTIF($H$3:$H563,$H563)&gt;1,"",MAX($X$2:X562)+1))</f>
        <v/>
      </c>
      <c r="Y563" s="0" t="str">
        <f aca="false">IF(AND(N($M563)&gt;0,N($O563)&lt;=0),COUNTIFS($M$3:$M563,"&gt;0",$O$3:$O563,"&lt;=0"),"")</f>
        <v/>
      </c>
      <c r="Z563" s="30" t="n">
        <f aca="false">IF(OR('THÁNG 9'!$C120="",'THÁNG 9'!$B120=""),0,'THÁNG 9'!$B120)</f>
        <v>0</v>
      </c>
    </row>
    <row r="564" customFormat="false" ht="15" hidden="false" customHeight="false" outlineLevel="0" collapsed="false">
      <c r="A564" s="0" t="n">
        <v>9</v>
      </c>
      <c r="B564" s="29" t="str">
        <f aca="false">IF(OR('THÁNG 9'!$C121="",'THÁNG 9'!$B121=""),"",'THÁNG 9'!$B121)</f>
        <v/>
      </c>
      <c r="C564" s="0" t="str">
        <f aca="false">IF('THÁNG 9'!$C121="","",'THÁNG 9'!$C121)</f>
        <v/>
      </c>
      <c r="D564" s="0" t="str">
        <f aca="false">IF('THÁNG 9'!$C121="","",'THÁNG 9'!$D121&amp;"")</f>
        <v/>
      </c>
      <c r="E564" s="0" t="str">
        <f aca="false">IF('THÁNG 9'!$C121="","",'THÁNG 9'!$E121&amp;"")</f>
        <v/>
      </c>
      <c r="F564" s="0" t="str">
        <f aca="false">IF('THÁNG 9'!$C121="","",'THÁNG 9'!$F121&amp;"")</f>
        <v/>
      </c>
      <c r="G564" s="0" t="str">
        <f aca="false">IF('THÁNG 9'!$C121="","",'THÁNG 9'!$G121&amp;"")</f>
        <v/>
      </c>
      <c r="H564" s="0" t="str">
        <f aca="false">IF('THÁNG 9'!$C121="","",'THÁNG 9'!$H121&amp;"")</f>
        <v/>
      </c>
      <c r="I564" s="0" t="str">
        <f aca="false">IF('THÁNG 9'!$C121="","",N('THÁNG 9'!$I121))</f>
        <v/>
      </c>
      <c r="J564" s="0" t="str">
        <f aca="false">IF('THÁNG 9'!$C121="","",N('THÁNG 9'!$L121))</f>
        <v/>
      </c>
      <c r="K564" s="0" t="str">
        <f aca="false">IF('THÁNG 9'!$C121="","",N('THÁNG 9'!$N121))</f>
        <v/>
      </c>
      <c r="L564" s="0" t="str">
        <f aca="false">IF('THÁNG 9'!$C121="","",N('THÁNG 9'!$O121))</f>
        <v/>
      </c>
      <c r="M564" s="0" t="str">
        <f aca="false">IF('THÁNG 9'!$C121="","",N('THÁNG 9'!$P121))</f>
        <v/>
      </c>
      <c r="N564" s="0" t="str">
        <f aca="false">IF('THÁNG 9'!$C121="","",N('THÁNG 9'!$Q121))</f>
        <v/>
      </c>
      <c r="O564" s="0" t="str">
        <f aca="false">IF('THÁNG 9'!$C121="","",N('THÁNG 9'!$R121))</f>
        <v/>
      </c>
      <c r="P564" s="0" t="str">
        <f aca="false">IF(OR('THÁNG 9'!$C121="",'THÁNG 9'!$T121=""),"",'THÁNG 9'!$T121)</f>
        <v/>
      </c>
      <c r="Q564" s="0" t="str">
        <f aca="false">IF(OR('THÁNG 9'!$C121="",'THÁNG 9'!$U121=""),"",'THÁNG 9'!$U121)</f>
        <v/>
      </c>
      <c r="R564" s="0" t="str">
        <f aca="false">IF('THÁNG 9'!$C121="","",'THÁNG 9'!$W121&amp;"")</f>
        <v/>
      </c>
      <c r="S564" s="0" t="str">
        <f aca="false">IF('THÁNG 9'!$C121="","",'THÁNG 9'!$S121&amp;"")</f>
        <v/>
      </c>
      <c r="T564" s="0" t="str">
        <f aca="false">IF(N($O564)&gt;0,COUNTIF($O$3:$O564,"&gt;0"),"")</f>
        <v/>
      </c>
      <c r="U564" s="0" t="str">
        <f aca="false">IF(AND(N($J564)&gt;0,N($K564)&gt;0),COUNTIFS($J$3:$J564,"&gt;0",$K$3:$K564,"&gt;0"),"")</f>
        <v/>
      </c>
      <c r="V564" s="0" t="str">
        <f aca="false">IF(AND(N($J564)&gt;0,N($K564)=0),COUNTIFS($J$3:$J564,"&gt;0",$K$3:$K564,"&lt;=0"),"")</f>
        <v/>
      </c>
      <c r="W564" s="0" t="str">
        <f aca="false">IF($C564="","",IF(COUNTIF($C$3:$C564,$C564)&gt;1,"",MAX($W$2:W563)+1))</f>
        <v/>
      </c>
      <c r="X564" s="0" t="str">
        <f aca="false">IF($H564="","",IF(COUNTIF($H$3:$H564,$H564)&gt;1,"",MAX($X$2:X563)+1))</f>
        <v/>
      </c>
      <c r="Y564" s="0" t="str">
        <f aca="false">IF(AND(N($M564)&gt;0,N($O564)&lt;=0),COUNTIFS($M$3:$M564,"&gt;0",$O$3:$O564,"&lt;=0"),"")</f>
        <v/>
      </c>
      <c r="Z564" s="30" t="n">
        <f aca="false">IF(OR('THÁNG 9'!$C121="",'THÁNG 9'!$B121=""),0,'THÁNG 9'!$B121)</f>
        <v>0</v>
      </c>
    </row>
    <row r="565" customFormat="false" ht="15" hidden="false" customHeight="false" outlineLevel="0" collapsed="false">
      <c r="A565" s="0" t="n">
        <v>9</v>
      </c>
      <c r="B565" s="29" t="str">
        <f aca="false">IF(OR('THÁNG 9'!$C122="",'THÁNG 9'!$B122=""),"",'THÁNG 9'!$B122)</f>
        <v/>
      </c>
      <c r="C565" s="0" t="str">
        <f aca="false">IF('THÁNG 9'!$C122="","",'THÁNG 9'!$C122)</f>
        <v/>
      </c>
      <c r="D565" s="0" t="str">
        <f aca="false">IF('THÁNG 9'!$C122="","",'THÁNG 9'!$D122&amp;"")</f>
        <v/>
      </c>
      <c r="E565" s="0" t="str">
        <f aca="false">IF('THÁNG 9'!$C122="","",'THÁNG 9'!$E122&amp;"")</f>
        <v/>
      </c>
      <c r="F565" s="0" t="str">
        <f aca="false">IF('THÁNG 9'!$C122="","",'THÁNG 9'!$F122&amp;"")</f>
        <v/>
      </c>
      <c r="G565" s="0" t="str">
        <f aca="false">IF('THÁNG 9'!$C122="","",'THÁNG 9'!$G122&amp;"")</f>
        <v/>
      </c>
      <c r="H565" s="0" t="str">
        <f aca="false">IF('THÁNG 9'!$C122="","",'THÁNG 9'!$H122&amp;"")</f>
        <v/>
      </c>
      <c r="I565" s="0" t="str">
        <f aca="false">IF('THÁNG 9'!$C122="","",N('THÁNG 9'!$I122))</f>
        <v/>
      </c>
      <c r="J565" s="0" t="str">
        <f aca="false">IF('THÁNG 9'!$C122="","",N('THÁNG 9'!$L122))</f>
        <v/>
      </c>
      <c r="K565" s="0" t="str">
        <f aca="false">IF('THÁNG 9'!$C122="","",N('THÁNG 9'!$N122))</f>
        <v/>
      </c>
      <c r="L565" s="0" t="str">
        <f aca="false">IF('THÁNG 9'!$C122="","",N('THÁNG 9'!$O122))</f>
        <v/>
      </c>
      <c r="M565" s="0" t="str">
        <f aca="false">IF('THÁNG 9'!$C122="","",N('THÁNG 9'!$P122))</f>
        <v/>
      </c>
      <c r="N565" s="0" t="str">
        <f aca="false">IF('THÁNG 9'!$C122="","",N('THÁNG 9'!$Q122))</f>
        <v/>
      </c>
      <c r="O565" s="0" t="str">
        <f aca="false">IF('THÁNG 9'!$C122="","",N('THÁNG 9'!$R122))</f>
        <v/>
      </c>
      <c r="P565" s="0" t="str">
        <f aca="false">IF(OR('THÁNG 9'!$C122="",'THÁNG 9'!$T122=""),"",'THÁNG 9'!$T122)</f>
        <v/>
      </c>
      <c r="Q565" s="0" t="str">
        <f aca="false">IF(OR('THÁNG 9'!$C122="",'THÁNG 9'!$U122=""),"",'THÁNG 9'!$U122)</f>
        <v/>
      </c>
      <c r="R565" s="0" t="str">
        <f aca="false">IF('THÁNG 9'!$C122="","",'THÁNG 9'!$W122&amp;"")</f>
        <v/>
      </c>
      <c r="S565" s="0" t="str">
        <f aca="false">IF('THÁNG 9'!$C122="","",'THÁNG 9'!$S122&amp;"")</f>
        <v/>
      </c>
      <c r="T565" s="0" t="str">
        <f aca="false">IF(N($O565)&gt;0,COUNTIF($O$3:$O565,"&gt;0"),"")</f>
        <v/>
      </c>
      <c r="U565" s="0" t="str">
        <f aca="false">IF(AND(N($J565)&gt;0,N($K565)&gt;0),COUNTIFS($J$3:$J565,"&gt;0",$K$3:$K565,"&gt;0"),"")</f>
        <v/>
      </c>
      <c r="V565" s="0" t="str">
        <f aca="false">IF(AND(N($J565)&gt;0,N($K565)=0),COUNTIFS($J$3:$J565,"&gt;0",$K$3:$K565,"&lt;=0"),"")</f>
        <v/>
      </c>
      <c r="W565" s="0" t="str">
        <f aca="false">IF($C565="","",IF(COUNTIF($C$3:$C565,$C565)&gt;1,"",MAX($W$2:W564)+1))</f>
        <v/>
      </c>
      <c r="X565" s="0" t="str">
        <f aca="false">IF($H565="","",IF(COUNTIF($H$3:$H565,$H565)&gt;1,"",MAX($X$2:X564)+1))</f>
        <v/>
      </c>
      <c r="Y565" s="0" t="str">
        <f aca="false">IF(AND(N($M565)&gt;0,N($O565)&lt;=0),COUNTIFS($M$3:$M565,"&gt;0",$O$3:$O565,"&lt;=0"),"")</f>
        <v/>
      </c>
      <c r="Z565" s="30" t="n">
        <f aca="false">IF(OR('THÁNG 9'!$C122="",'THÁNG 9'!$B122=""),0,'THÁNG 9'!$B122)</f>
        <v>0</v>
      </c>
    </row>
    <row r="566" customFormat="false" ht="15" hidden="false" customHeight="false" outlineLevel="0" collapsed="false">
      <c r="A566" s="0" t="n">
        <v>9</v>
      </c>
      <c r="B566" s="29" t="str">
        <f aca="false">IF(OR('THÁNG 9'!$C123="",'THÁNG 9'!$B123=""),"",'THÁNG 9'!$B123)</f>
        <v/>
      </c>
      <c r="C566" s="0" t="str">
        <f aca="false">IF('THÁNG 9'!$C123="","",'THÁNG 9'!$C123)</f>
        <v/>
      </c>
      <c r="D566" s="0" t="str">
        <f aca="false">IF('THÁNG 9'!$C123="","",'THÁNG 9'!$D123&amp;"")</f>
        <v/>
      </c>
      <c r="E566" s="0" t="str">
        <f aca="false">IF('THÁNG 9'!$C123="","",'THÁNG 9'!$E123&amp;"")</f>
        <v/>
      </c>
      <c r="F566" s="0" t="str">
        <f aca="false">IF('THÁNG 9'!$C123="","",'THÁNG 9'!$F123&amp;"")</f>
        <v/>
      </c>
      <c r="G566" s="0" t="str">
        <f aca="false">IF('THÁNG 9'!$C123="","",'THÁNG 9'!$G123&amp;"")</f>
        <v/>
      </c>
      <c r="H566" s="0" t="str">
        <f aca="false">IF('THÁNG 9'!$C123="","",'THÁNG 9'!$H123&amp;"")</f>
        <v/>
      </c>
      <c r="I566" s="0" t="str">
        <f aca="false">IF('THÁNG 9'!$C123="","",N('THÁNG 9'!$I123))</f>
        <v/>
      </c>
      <c r="J566" s="0" t="str">
        <f aca="false">IF('THÁNG 9'!$C123="","",N('THÁNG 9'!$L123))</f>
        <v/>
      </c>
      <c r="K566" s="0" t="str">
        <f aca="false">IF('THÁNG 9'!$C123="","",N('THÁNG 9'!$N123))</f>
        <v/>
      </c>
      <c r="L566" s="0" t="str">
        <f aca="false">IF('THÁNG 9'!$C123="","",N('THÁNG 9'!$O123))</f>
        <v/>
      </c>
      <c r="M566" s="0" t="str">
        <f aca="false">IF('THÁNG 9'!$C123="","",N('THÁNG 9'!$P123))</f>
        <v/>
      </c>
      <c r="N566" s="0" t="str">
        <f aca="false">IF('THÁNG 9'!$C123="","",N('THÁNG 9'!$Q123))</f>
        <v/>
      </c>
      <c r="O566" s="0" t="str">
        <f aca="false">IF('THÁNG 9'!$C123="","",N('THÁNG 9'!$R123))</f>
        <v/>
      </c>
      <c r="P566" s="0" t="str">
        <f aca="false">IF(OR('THÁNG 9'!$C123="",'THÁNG 9'!$T123=""),"",'THÁNG 9'!$T123)</f>
        <v/>
      </c>
      <c r="Q566" s="0" t="str">
        <f aca="false">IF(OR('THÁNG 9'!$C123="",'THÁNG 9'!$U123=""),"",'THÁNG 9'!$U123)</f>
        <v/>
      </c>
      <c r="R566" s="0" t="str">
        <f aca="false">IF('THÁNG 9'!$C123="","",'THÁNG 9'!$W123&amp;"")</f>
        <v/>
      </c>
      <c r="S566" s="0" t="str">
        <f aca="false">IF('THÁNG 9'!$C123="","",'THÁNG 9'!$S123&amp;"")</f>
        <v/>
      </c>
      <c r="T566" s="0" t="str">
        <f aca="false">IF(N($O566)&gt;0,COUNTIF($O$3:$O566,"&gt;0"),"")</f>
        <v/>
      </c>
      <c r="U566" s="0" t="str">
        <f aca="false">IF(AND(N($J566)&gt;0,N($K566)&gt;0),COUNTIFS($J$3:$J566,"&gt;0",$K$3:$K566,"&gt;0"),"")</f>
        <v/>
      </c>
      <c r="V566" s="0" t="str">
        <f aca="false">IF(AND(N($J566)&gt;0,N($K566)=0),COUNTIFS($J$3:$J566,"&gt;0",$K$3:$K566,"&lt;=0"),"")</f>
        <v/>
      </c>
      <c r="W566" s="0" t="str">
        <f aca="false">IF($C566="","",IF(COUNTIF($C$3:$C566,$C566)&gt;1,"",MAX($W$2:W565)+1))</f>
        <v/>
      </c>
      <c r="X566" s="0" t="str">
        <f aca="false">IF($H566="","",IF(COUNTIF($H$3:$H566,$H566)&gt;1,"",MAX($X$2:X565)+1))</f>
        <v/>
      </c>
      <c r="Y566" s="0" t="str">
        <f aca="false">IF(AND(N($M566)&gt;0,N($O566)&lt;=0),COUNTIFS($M$3:$M566,"&gt;0",$O$3:$O566,"&lt;=0"),"")</f>
        <v/>
      </c>
      <c r="Z566" s="30" t="n">
        <f aca="false">IF(OR('THÁNG 9'!$C123="",'THÁNG 9'!$B123=""),0,'THÁNG 9'!$B123)</f>
        <v>0</v>
      </c>
    </row>
    <row r="567" customFormat="false" ht="15" hidden="false" customHeight="false" outlineLevel="0" collapsed="false">
      <c r="A567" s="0" t="n">
        <v>9</v>
      </c>
      <c r="B567" s="29" t="str">
        <f aca="false">IF(OR('THÁNG 9'!$C124="",'THÁNG 9'!$B124=""),"",'THÁNG 9'!$B124)</f>
        <v/>
      </c>
      <c r="C567" s="0" t="str">
        <f aca="false">IF('THÁNG 9'!$C124="","",'THÁNG 9'!$C124)</f>
        <v/>
      </c>
      <c r="D567" s="0" t="str">
        <f aca="false">IF('THÁNG 9'!$C124="","",'THÁNG 9'!$D124&amp;"")</f>
        <v/>
      </c>
      <c r="E567" s="0" t="str">
        <f aca="false">IF('THÁNG 9'!$C124="","",'THÁNG 9'!$E124&amp;"")</f>
        <v/>
      </c>
      <c r="F567" s="0" t="str">
        <f aca="false">IF('THÁNG 9'!$C124="","",'THÁNG 9'!$F124&amp;"")</f>
        <v/>
      </c>
      <c r="G567" s="0" t="str">
        <f aca="false">IF('THÁNG 9'!$C124="","",'THÁNG 9'!$G124&amp;"")</f>
        <v/>
      </c>
      <c r="H567" s="0" t="str">
        <f aca="false">IF('THÁNG 9'!$C124="","",'THÁNG 9'!$H124&amp;"")</f>
        <v/>
      </c>
      <c r="I567" s="0" t="str">
        <f aca="false">IF('THÁNG 9'!$C124="","",N('THÁNG 9'!$I124))</f>
        <v/>
      </c>
      <c r="J567" s="0" t="str">
        <f aca="false">IF('THÁNG 9'!$C124="","",N('THÁNG 9'!$L124))</f>
        <v/>
      </c>
      <c r="K567" s="0" t="str">
        <f aca="false">IF('THÁNG 9'!$C124="","",N('THÁNG 9'!$N124))</f>
        <v/>
      </c>
      <c r="L567" s="0" t="str">
        <f aca="false">IF('THÁNG 9'!$C124="","",N('THÁNG 9'!$O124))</f>
        <v/>
      </c>
      <c r="M567" s="0" t="str">
        <f aca="false">IF('THÁNG 9'!$C124="","",N('THÁNG 9'!$P124))</f>
        <v/>
      </c>
      <c r="N567" s="0" t="str">
        <f aca="false">IF('THÁNG 9'!$C124="","",N('THÁNG 9'!$Q124))</f>
        <v/>
      </c>
      <c r="O567" s="0" t="str">
        <f aca="false">IF('THÁNG 9'!$C124="","",N('THÁNG 9'!$R124))</f>
        <v/>
      </c>
      <c r="P567" s="0" t="str">
        <f aca="false">IF(OR('THÁNG 9'!$C124="",'THÁNG 9'!$T124=""),"",'THÁNG 9'!$T124)</f>
        <v/>
      </c>
      <c r="Q567" s="0" t="str">
        <f aca="false">IF(OR('THÁNG 9'!$C124="",'THÁNG 9'!$U124=""),"",'THÁNG 9'!$U124)</f>
        <v/>
      </c>
      <c r="R567" s="0" t="str">
        <f aca="false">IF('THÁNG 9'!$C124="","",'THÁNG 9'!$W124&amp;"")</f>
        <v/>
      </c>
      <c r="S567" s="0" t="str">
        <f aca="false">IF('THÁNG 9'!$C124="","",'THÁNG 9'!$S124&amp;"")</f>
        <v/>
      </c>
      <c r="T567" s="0" t="str">
        <f aca="false">IF(N($O567)&gt;0,COUNTIF($O$3:$O567,"&gt;0"),"")</f>
        <v/>
      </c>
      <c r="U567" s="0" t="str">
        <f aca="false">IF(AND(N($J567)&gt;0,N($K567)&gt;0),COUNTIFS($J$3:$J567,"&gt;0",$K$3:$K567,"&gt;0"),"")</f>
        <v/>
      </c>
      <c r="V567" s="0" t="str">
        <f aca="false">IF(AND(N($J567)&gt;0,N($K567)=0),COUNTIFS($J$3:$J567,"&gt;0",$K$3:$K567,"&lt;=0"),"")</f>
        <v/>
      </c>
      <c r="W567" s="0" t="str">
        <f aca="false">IF($C567="","",IF(COUNTIF($C$3:$C567,$C567)&gt;1,"",MAX($W$2:W566)+1))</f>
        <v/>
      </c>
      <c r="X567" s="0" t="str">
        <f aca="false">IF($H567="","",IF(COUNTIF($H$3:$H567,$H567)&gt;1,"",MAX($X$2:X566)+1))</f>
        <v/>
      </c>
      <c r="Y567" s="0" t="str">
        <f aca="false">IF(AND(N($M567)&gt;0,N($O567)&lt;=0),COUNTIFS($M$3:$M567,"&gt;0",$O$3:$O567,"&lt;=0"),"")</f>
        <v/>
      </c>
      <c r="Z567" s="30" t="n">
        <f aca="false">IF(OR('THÁNG 9'!$C124="",'THÁNG 9'!$B124=""),0,'THÁNG 9'!$B124)</f>
        <v>0</v>
      </c>
    </row>
    <row r="568" customFormat="false" ht="15" hidden="false" customHeight="false" outlineLevel="0" collapsed="false">
      <c r="A568" s="0" t="n">
        <v>9</v>
      </c>
      <c r="B568" s="29" t="str">
        <f aca="false">IF(OR('THÁNG 9'!$C125="",'THÁNG 9'!$B125=""),"",'THÁNG 9'!$B125)</f>
        <v/>
      </c>
      <c r="C568" s="0" t="str">
        <f aca="false">IF('THÁNG 9'!$C125="","",'THÁNG 9'!$C125)</f>
        <v/>
      </c>
      <c r="D568" s="0" t="str">
        <f aca="false">IF('THÁNG 9'!$C125="","",'THÁNG 9'!$D125&amp;"")</f>
        <v/>
      </c>
      <c r="E568" s="0" t="str">
        <f aca="false">IF('THÁNG 9'!$C125="","",'THÁNG 9'!$E125&amp;"")</f>
        <v/>
      </c>
      <c r="F568" s="0" t="str">
        <f aca="false">IF('THÁNG 9'!$C125="","",'THÁNG 9'!$F125&amp;"")</f>
        <v/>
      </c>
      <c r="G568" s="0" t="str">
        <f aca="false">IF('THÁNG 9'!$C125="","",'THÁNG 9'!$G125&amp;"")</f>
        <v/>
      </c>
      <c r="H568" s="0" t="str">
        <f aca="false">IF('THÁNG 9'!$C125="","",'THÁNG 9'!$H125&amp;"")</f>
        <v/>
      </c>
      <c r="I568" s="0" t="str">
        <f aca="false">IF('THÁNG 9'!$C125="","",N('THÁNG 9'!$I125))</f>
        <v/>
      </c>
      <c r="J568" s="0" t="str">
        <f aca="false">IF('THÁNG 9'!$C125="","",N('THÁNG 9'!$L125))</f>
        <v/>
      </c>
      <c r="K568" s="0" t="str">
        <f aca="false">IF('THÁNG 9'!$C125="","",N('THÁNG 9'!$N125))</f>
        <v/>
      </c>
      <c r="L568" s="0" t="str">
        <f aca="false">IF('THÁNG 9'!$C125="","",N('THÁNG 9'!$O125))</f>
        <v/>
      </c>
      <c r="M568" s="0" t="str">
        <f aca="false">IF('THÁNG 9'!$C125="","",N('THÁNG 9'!$P125))</f>
        <v/>
      </c>
      <c r="N568" s="0" t="str">
        <f aca="false">IF('THÁNG 9'!$C125="","",N('THÁNG 9'!$Q125))</f>
        <v/>
      </c>
      <c r="O568" s="0" t="str">
        <f aca="false">IF('THÁNG 9'!$C125="","",N('THÁNG 9'!$R125))</f>
        <v/>
      </c>
      <c r="P568" s="0" t="str">
        <f aca="false">IF(OR('THÁNG 9'!$C125="",'THÁNG 9'!$T125=""),"",'THÁNG 9'!$T125)</f>
        <v/>
      </c>
      <c r="Q568" s="0" t="str">
        <f aca="false">IF(OR('THÁNG 9'!$C125="",'THÁNG 9'!$U125=""),"",'THÁNG 9'!$U125)</f>
        <v/>
      </c>
      <c r="R568" s="0" t="str">
        <f aca="false">IF('THÁNG 9'!$C125="","",'THÁNG 9'!$W125&amp;"")</f>
        <v/>
      </c>
      <c r="S568" s="0" t="str">
        <f aca="false">IF('THÁNG 9'!$C125="","",'THÁNG 9'!$S125&amp;"")</f>
        <v/>
      </c>
      <c r="T568" s="0" t="str">
        <f aca="false">IF(N($O568)&gt;0,COUNTIF($O$3:$O568,"&gt;0"),"")</f>
        <v/>
      </c>
      <c r="U568" s="0" t="str">
        <f aca="false">IF(AND(N($J568)&gt;0,N($K568)&gt;0),COUNTIFS($J$3:$J568,"&gt;0",$K$3:$K568,"&gt;0"),"")</f>
        <v/>
      </c>
      <c r="V568" s="0" t="str">
        <f aca="false">IF(AND(N($J568)&gt;0,N($K568)=0),COUNTIFS($J$3:$J568,"&gt;0",$K$3:$K568,"&lt;=0"),"")</f>
        <v/>
      </c>
      <c r="W568" s="0" t="str">
        <f aca="false">IF($C568="","",IF(COUNTIF($C$3:$C568,$C568)&gt;1,"",MAX($W$2:W567)+1))</f>
        <v/>
      </c>
      <c r="X568" s="0" t="str">
        <f aca="false">IF($H568="","",IF(COUNTIF($H$3:$H568,$H568)&gt;1,"",MAX($X$2:X567)+1))</f>
        <v/>
      </c>
      <c r="Y568" s="0" t="str">
        <f aca="false">IF(AND(N($M568)&gt;0,N($O568)&lt;=0),COUNTIFS($M$3:$M568,"&gt;0",$O$3:$O568,"&lt;=0"),"")</f>
        <v/>
      </c>
      <c r="Z568" s="30" t="n">
        <f aca="false">IF(OR('THÁNG 9'!$C125="",'THÁNG 9'!$B125=""),0,'THÁNG 9'!$B125)</f>
        <v>0</v>
      </c>
    </row>
    <row r="569" customFormat="false" ht="15" hidden="false" customHeight="false" outlineLevel="0" collapsed="false">
      <c r="A569" s="0" t="n">
        <v>9</v>
      </c>
      <c r="B569" s="29" t="str">
        <f aca="false">IF(OR('THÁNG 9'!$C126="",'THÁNG 9'!$B126=""),"",'THÁNG 9'!$B126)</f>
        <v/>
      </c>
      <c r="C569" s="0" t="str">
        <f aca="false">IF('THÁNG 9'!$C126="","",'THÁNG 9'!$C126)</f>
        <v/>
      </c>
      <c r="D569" s="0" t="str">
        <f aca="false">IF('THÁNG 9'!$C126="","",'THÁNG 9'!$D126&amp;"")</f>
        <v/>
      </c>
      <c r="E569" s="0" t="str">
        <f aca="false">IF('THÁNG 9'!$C126="","",'THÁNG 9'!$E126&amp;"")</f>
        <v/>
      </c>
      <c r="F569" s="0" t="str">
        <f aca="false">IF('THÁNG 9'!$C126="","",'THÁNG 9'!$F126&amp;"")</f>
        <v/>
      </c>
      <c r="G569" s="0" t="str">
        <f aca="false">IF('THÁNG 9'!$C126="","",'THÁNG 9'!$G126&amp;"")</f>
        <v/>
      </c>
      <c r="H569" s="0" t="str">
        <f aca="false">IF('THÁNG 9'!$C126="","",'THÁNG 9'!$H126&amp;"")</f>
        <v/>
      </c>
      <c r="I569" s="0" t="str">
        <f aca="false">IF('THÁNG 9'!$C126="","",N('THÁNG 9'!$I126))</f>
        <v/>
      </c>
      <c r="J569" s="0" t="str">
        <f aca="false">IF('THÁNG 9'!$C126="","",N('THÁNG 9'!$L126))</f>
        <v/>
      </c>
      <c r="K569" s="0" t="str">
        <f aca="false">IF('THÁNG 9'!$C126="","",N('THÁNG 9'!$N126))</f>
        <v/>
      </c>
      <c r="L569" s="0" t="str">
        <f aca="false">IF('THÁNG 9'!$C126="","",N('THÁNG 9'!$O126))</f>
        <v/>
      </c>
      <c r="M569" s="0" t="str">
        <f aca="false">IF('THÁNG 9'!$C126="","",N('THÁNG 9'!$P126))</f>
        <v/>
      </c>
      <c r="N569" s="0" t="str">
        <f aca="false">IF('THÁNG 9'!$C126="","",N('THÁNG 9'!$Q126))</f>
        <v/>
      </c>
      <c r="O569" s="0" t="str">
        <f aca="false">IF('THÁNG 9'!$C126="","",N('THÁNG 9'!$R126))</f>
        <v/>
      </c>
      <c r="P569" s="0" t="str">
        <f aca="false">IF(OR('THÁNG 9'!$C126="",'THÁNG 9'!$T126=""),"",'THÁNG 9'!$T126)</f>
        <v/>
      </c>
      <c r="Q569" s="0" t="str">
        <f aca="false">IF(OR('THÁNG 9'!$C126="",'THÁNG 9'!$U126=""),"",'THÁNG 9'!$U126)</f>
        <v/>
      </c>
      <c r="R569" s="0" t="str">
        <f aca="false">IF('THÁNG 9'!$C126="","",'THÁNG 9'!$W126&amp;"")</f>
        <v/>
      </c>
      <c r="S569" s="0" t="str">
        <f aca="false">IF('THÁNG 9'!$C126="","",'THÁNG 9'!$S126&amp;"")</f>
        <v/>
      </c>
      <c r="T569" s="0" t="str">
        <f aca="false">IF(N($O569)&gt;0,COUNTIF($O$3:$O569,"&gt;0"),"")</f>
        <v/>
      </c>
      <c r="U569" s="0" t="str">
        <f aca="false">IF(AND(N($J569)&gt;0,N($K569)&gt;0),COUNTIFS($J$3:$J569,"&gt;0",$K$3:$K569,"&gt;0"),"")</f>
        <v/>
      </c>
      <c r="V569" s="0" t="str">
        <f aca="false">IF(AND(N($J569)&gt;0,N($K569)=0),COUNTIFS($J$3:$J569,"&gt;0",$K$3:$K569,"&lt;=0"),"")</f>
        <v/>
      </c>
      <c r="W569" s="0" t="str">
        <f aca="false">IF($C569="","",IF(COUNTIF($C$3:$C569,$C569)&gt;1,"",MAX($W$2:W568)+1))</f>
        <v/>
      </c>
      <c r="X569" s="0" t="str">
        <f aca="false">IF($H569="","",IF(COUNTIF($H$3:$H569,$H569)&gt;1,"",MAX($X$2:X568)+1))</f>
        <v/>
      </c>
      <c r="Y569" s="0" t="str">
        <f aca="false">IF(AND(N($M569)&gt;0,N($O569)&lt;=0),COUNTIFS($M$3:$M569,"&gt;0",$O$3:$O569,"&lt;=0"),"")</f>
        <v/>
      </c>
      <c r="Z569" s="30" t="n">
        <f aca="false">IF(OR('THÁNG 9'!$C126="",'THÁNG 9'!$B126=""),0,'THÁNG 9'!$B126)</f>
        <v>0</v>
      </c>
    </row>
    <row r="570" customFormat="false" ht="15" hidden="false" customHeight="false" outlineLevel="0" collapsed="false">
      <c r="A570" s="0" t="n">
        <v>9</v>
      </c>
      <c r="B570" s="29" t="str">
        <f aca="false">IF(OR('THÁNG 9'!$C127="",'THÁNG 9'!$B127=""),"",'THÁNG 9'!$B127)</f>
        <v/>
      </c>
      <c r="C570" s="0" t="str">
        <f aca="false">IF('THÁNG 9'!$C127="","",'THÁNG 9'!$C127)</f>
        <v/>
      </c>
      <c r="D570" s="0" t="str">
        <f aca="false">IF('THÁNG 9'!$C127="","",'THÁNG 9'!$D127&amp;"")</f>
        <v/>
      </c>
      <c r="E570" s="0" t="str">
        <f aca="false">IF('THÁNG 9'!$C127="","",'THÁNG 9'!$E127&amp;"")</f>
        <v/>
      </c>
      <c r="F570" s="0" t="str">
        <f aca="false">IF('THÁNG 9'!$C127="","",'THÁNG 9'!$F127&amp;"")</f>
        <v/>
      </c>
      <c r="G570" s="0" t="str">
        <f aca="false">IF('THÁNG 9'!$C127="","",'THÁNG 9'!$G127&amp;"")</f>
        <v/>
      </c>
      <c r="H570" s="0" t="str">
        <f aca="false">IF('THÁNG 9'!$C127="","",'THÁNG 9'!$H127&amp;"")</f>
        <v/>
      </c>
      <c r="I570" s="0" t="str">
        <f aca="false">IF('THÁNG 9'!$C127="","",N('THÁNG 9'!$I127))</f>
        <v/>
      </c>
      <c r="J570" s="0" t="str">
        <f aca="false">IF('THÁNG 9'!$C127="","",N('THÁNG 9'!$L127))</f>
        <v/>
      </c>
      <c r="K570" s="0" t="str">
        <f aca="false">IF('THÁNG 9'!$C127="","",N('THÁNG 9'!$N127))</f>
        <v/>
      </c>
      <c r="L570" s="0" t="str">
        <f aca="false">IF('THÁNG 9'!$C127="","",N('THÁNG 9'!$O127))</f>
        <v/>
      </c>
      <c r="M570" s="0" t="str">
        <f aca="false">IF('THÁNG 9'!$C127="","",N('THÁNG 9'!$P127))</f>
        <v/>
      </c>
      <c r="N570" s="0" t="str">
        <f aca="false">IF('THÁNG 9'!$C127="","",N('THÁNG 9'!$Q127))</f>
        <v/>
      </c>
      <c r="O570" s="0" t="str">
        <f aca="false">IF('THÁNG 9'!$C127="","",N('THÁNG 9'!$R127))</f>
        <v/>
      </c>
      <c r="P570" s="0" t="str">
        <f aca="false">IF(OR('THÁNG 9'!$C127="",'THÁNG 9'!$T127=""),"",'THÁNG 9'!$T127)</f>
        <v/>
      </c>
      <c r="Q570" s="0" t="str">
        <f aca="false">IF(OR('THÁNG 9'!$C127="",'THÁNG 9'!$U127=""),"",'THÁNG 9'!$U127)</f>
        <v/>
      </c>
      <c r="R570" s="0" t="str">
        <f aca="false">IF('THÁNG 9'!$C127="","",'THÁNG 9'!$W127&amp;"")</f>
        <v/>
      </c>
      <c r="S570" s="0" t="str">
        <f aca="false">IF('THÁNG 9'!$C127="","",'THÁNG 9'!$S127&amp;"")</f>
        <v/>
      </c>
      <c r="T570" s="0" t="str">
        <f aca="false">IF(N($O570)&gt;0,COUNTIF($O$3:$O570,"&gt;0"),"")</f>
        <v/>
      </c>
      <c r="U570" s="0" t="str">
        <f aca="false">IF(AND(N($J570)&gt;0,N($K570)&gt;0),COUNTIFS($J$3:$J570,"&gt;0",$K$3:$K570,"&gt;0"),"")</f>
        <v/>
      </c>
      <c r="V570" s="0" t="str">
        <f aca="false">IF(AND(N($J570)&gt;0,N($K570)=0),COUNTIFS($J$3:$J570,"&gt;0",$K$3:$K570,"&lt;=0"),"")</f>
        <v/>
      </c>
      <c r="W570" s="0" t="str">
        <f aca="false">IF($C570="","",IF(COUNTIF($C$3:$C570,$C570)&gt;1,"",MAX($W$2:W569)+1))</f>
        <v/>
      </c>
      <c r="X570" s="0" t="str">
        <f aca="false">IF($H570="","",IF(COUNTIF($H$3:$H570,$H570)&gt;1,"",MAX($X$2:X569)+1))</f>
        <v/>
      </c>
      <c r="Y570" s="0" t="str">
        <f aca="false">IF(AND(N($M570)&gt;0,N($O570)&lt;=0),COUNTIFS($M$3:$M570,"&gt;0",$O$3:$O570,"&lt;=0"),"")</f>
        <v/>
      </c>
      <c r="Z570" s="30" t="n">
        <f aca="false">IF(OR('THÁNG 9'!$C127="",'THÁNG 9'!$B127=""),0,'THÁNG 9'!$B127)</f>
        <v>0</v>
      </c>
    </row>
    <row r="571" customFormat="false" ht="15" hidden="false" customHeight="false" outlineLevel="0" collapsed="false">
      <c r="A571" s="0" t="n">
        <v>9</v>
      </c>
      <c r="B571" s="29" t="str">
        <f aca="false">IF(OR('THÁNG 9'!$C128="",'THÁNG 9'!$B128=""),"",'THÁNG 9'!$B128)</f>
        <v/>
      </c>
      <c r="C571" s="0" t="str">
        <f aca="false">IF('THÁNG 9'!$C128="","",'THÁNG 9'!$C128)</f>
        <v/>
      </c>
      <c r="D571" s="0" t="str">
        <f aca="false">IF('THÁNG 9'!$C128="","",'THÁNG 9'!$D128&amp;"")</f>
        <v/>
      </c>
      <c r="E571" s="0" t="str">
        <f aca="false">IF('THÁNG 9'!$C128="","",'THÁNG 9'!$E128&amp;"")</f>
        <v/>
      </c>
      <c r="F571" s="0" t="str">
        <f aca="false">IF('THÁNG 9'!$C128="","",'THÁNG 9'!$F128&amp;"")</f>
        <v/>
      </c>
      <c r="G571" s="0" t="str">
        <f aca="false">IF('THÁNG 9'!$C128="","",'THÁNG 9'!$G128&amp;"")</f>
        <v/>
      </c>
      <c r="H571" s="0" t="str">
        <f aca="false">IF('THÁNG 9'!$C128="","",'THÁNG 9'!$H128&amp;"")</f>
        <v/>
      </c>
      <c r="I571" s="0" t="str">
        <f aca="false">IF('THÁNG 9'!$C128="","",N('THÁNG 9'!$I128))</f>
        <v/>
      </c>
      <c r="J571" s="0" t="str">
        <f aca="false">IF('THÁNG 9'!$C128="","",N('THÁNG 9'!$L128))</f>
        <v/>
      </c>
      <c r="K571" s="0" t="str">
        <f aca="false">IF('THÁNG 9'!$C128="","",N('THÁNG 9'!$N128))</f>
        <v/>
      </c>
      <c r="L571" s="0" t="str">
        <f aca="false">IF('THÁNG 9'!$C128="","",N('THÁNG 9'!$O128))</f>
        <v/>
      </c>
      <c r="M571" s="0" t="str">
        <f aca="false">IF('THÁNG 9'!$C128="","",N('THÁNG 9'!$P128))</f>
        <v/>
      </c>
      <c r="N571" s="0" t="str">
        <f aca="false">IF('THÁNG 9'!$C128="","",N('THÁNG 9'!$Q128))</f>
        <v/>
      </c>
      <c r="O571" s="0" t="str">
        <f aca="false">IF('THÁNG 9'!$C128="","",N('THÁNG 9'!$R128))</f>
        <v/>
      </c>
      <c r="P571" s="0" t="str">
        <f aca="false">IF(OR('THÁNG 9'!$C128="",'THÁNG 9'!$T128=""),"",'THÁNG 9'!$T128)</f>
        <v/>
      </c>
      <c r="Q571" s="0" t="str">
        <f aca="false">IF(OR('THÁNG 9'!$C128="",'THÁNG 9'!$U128=""),"",'THÁNG 9'!$U128)</f>
        <v/>
      </c>
      <c r="R571" s="0" t="str">
        <f aca="false">IF('THÁNG 9'!$C128="","",'THÁNG 9'!$W128&amp;"")</f>
        <v/>
      </c>
      <c r="S571" s="0" t="str">
        <f aca="false">IF('THÁNG 9'!$C128="","",'THÁNG 9'!$S128&amp;"")</f>
        <v/>
      </c>
      <c r="T571" s="0" t="str">
        <f aca="false">IF(N($O571)&gt;0,COUNTIF($O$3:$O571,"&gt;0"),"")</f>
        <v/>
      </c>
      <c r="U571" s="0" t="str">
        <f aca="false">IF(AND(N($J571)&gt;0,N($K571)&gt;0),COUNTIFS($J$3:$J571,"&gt;0",$K$3:$K571,"&gt;0"),"")</f>
        <v/>
      </c>
      <c r="V571" s="0" t="str">
        <f aca="false">IF(AND(N($J571)&gt;0,N($K571)=0),COUNTIFS($J$3:$J571,"&gt;0",$K$3:$K571,"&lt;=0"),"")</f>
        <v/>
      </c>
      <c r="W571" s="0" t="str">
        <f aca="false">IF($C571="","",IF(COUNTIF($C$3:$C571,$C571)&gt;1,"",MAX($W$2:W570)+1))</f>
        <v/>
      </c>
      <c r="X571" s="0" t="str">
        <f aca="false">IF($H571="","",IF(COUNTIF($H$3:$H571,$H571)&gt;1,"",MAX($X$2:X570)+1))</f>
        <v/>
      </c>
      <c r="Y571" s="0" t="str">
        <f aca="false">IF(AND(N($M571)&gt;0,N($O571)&lt;=0),COUNTIFS($M$3:$M571,"&gt;0",$O$3:$O571,"&lt;=0"),"")</f>
        <v/>
      </c>
      <c r="Z571" s="30" t="n">
        <f aca="false">IF(OR('THÁNG 9'!$C128="",'THÁNG 9'!$B128=""),0,'THÁNG 9'!$B128)</f>
        <v>0</v>
      </c>
    </row>
    <row r="572" customFormat="false" ht="15" hidden="false" customHeight="false" outlineLevel="0" collapsed="false">
      <c r="A572" s="0" t="n">
        <v>9</v>
      </c>
      <c r="B572" s="29" t="str">
        <f aca="false">IF(OR('THÁNG 9'!$C129="",'THÁNG 9'!$B129=""),"",'THÁNG 9'!$B129)</f>
        <v/>
      </c>
      <c r="C572" s="0" t="str">
        <f aca="false">IF('THÁNG 9'!$C129="","",'THÁNG 9'!$C129)</f>
        <v/>
      </c>
      <c r="D572" s="0" t="str">
        <f aca="false">IF('THÁNG 9'!$C129="","",'THÁNG 9'!$D129&amp;"")</f>
        <v/>
      </c>
      <c r="E572" s="0" t="str">
        <f aca="false">IF('THÁNG 9'!$C129="","",'THÁNG 9'!$E129&amp;"")</f>
        <v/>
      </c>
      <c r="F572" s="0" t="str">
        <f aca="false">IF('THÁNG 9'!$C129="","",'THÁNG 9'!$F129&amp;"")</f>
        <v/>
      </c>
      <c r="G572" s="0" t="str">
        <f aca="false">IF('THÁNG 9'!$C129="","",'THÁNG 9'!$G129&amp;"")</f>
        <v/>
      </c>
      <c r="H572" s="0" t="str">
        <f aca="false">IF('THÁNG 9'!$C129="","",'THÁNG 9'!$H129&amp;"")</f>
        <v/>
      </c>
      <c r="I572" s="0" t="str">
        <f aca="false">IF('THÁNG 9'!$C129="","",N('THÁNG 9'!$I129))</f>
        <v/>
      </c>
      <c r="J572" s="0" t="str">
        <f aca="false">IF('THÁNG 9'!$C129="","",N('THÁNG 9'!$L129))</f>
        <v/>
      </c>
      <c r="K572" s="0" t="str">
        <f aca="false">IF('THÁNG 9'!$C129="","",N('THÁNG 9'!$N129))</f>
        <v/>
      </c>
      <c r="L572" s="0" t="str">
        <f aca="false">IF('THÁNG 9'!$C129="","",N('THÁNG 9'!$O129))</f>
        <v/>
      </c>
      <c r="M572" s="0" t="str">
        <f aca="false">IF('THÁNG 9'!$C129="","",N('THÁNG 9'!$P129))</f>
        <v/>
      </c>
      <c r="N572" s="0" t="str">
        <f aca="false">IF('THÁNG 9'!$C129="","",N('THÁNG 9'!$Q129))</f>
        <v/>
      </c>
      <c r="O572" s="0" t="str">
        <f aca="false">IF('THÁNG 9'!$C129="","",N('THÁNG 9'!$R129))</f>
        <v/>
      </c>
      <c r="P572" s="0" t="str">
        <f aca="false">IF(OR('THÁNG 9'!$C129="",'THÁNG 9'!$T129=""),"",'THÁNG 9'!$T129)</f>
        <v/>
      </c>
      <c r="Q572" s="0" t="str">
        <f aca="false">IF(OR('THÁNG 9'!$C129="",'THÁNG 9'!$U129=""),"",'THÁNG 9'!$U129)</f>
        <v/>
      </c>
      <c r="R572" s="0" t="str">
        <f aca="false">IF('THÁNG 9'!$C129="","",'THÁNG 9'!$W129&amp;"")</f>
        <v/>
      </c>
      <c r="S572" s="0" t="str">
        <f aca="false">IF('THÁNG 9'!$C129="","",'THÁNG 9'!$S129&amp;"")</f>
        <v/>
      </c>
      <c r="T572" s="0" t="str">
        <f aca="false">IF(N($O572)&gt;0,COUNTIF($O$3:$O572,"&gt;0"),"")</f>
        <v/>
      </c>
      <c r="U572" s="0" t="str">
        <f aca="false">IF(AND(N($J572)&gt;0,N($K572)&gt;0),COUNTIFS($J$3:$J572,"&gt;0",$K$3:$K572,"&gt;0"),"")</f>
        <v/>
      </c>
      <c r="V572" s="0" t="str">
        <f aca="false">IF(AND(N($J572)&gt;0,N($K572)=0),COUNTIFS($J$3:$J572,"&gt;0",$K$3:$K572,"&lt;=0"),"")</f>
        <v/>
      </c>
      <c r="W572" s="0" t="str">
        <f aca="false">IF($C572="","",IF(COUNTIF($C$3:$C572,$C572)&gt;1,"",MAX($W$2:W571)+1))</f>
        <v/>
      </c>
      <c r="X572" s="0" t="str">
        <f aca="false">IF($H572="","",IF(COUNTIF($H$3:$H572,$H572)&gt;1,"",MAX($X$2:X571)+1))</f>
        <v/>
      </c>
      <c r="Y572" s="0" t="str">
        <f aca="false">IF(AND(N($M572)&gt;0,N($O572)&lt;=0),COUNTIFS($M$3:$M572,"&gt;0",$O$3:$O572,"&lt;=0"),"")</f>
        <v/>
      </c>
      <c r="Z572" s="30" t="n">
        <f aca="false">IF(OR('THÁNG 9'!$C129="",'THÁNG 9'!$B129=""),0,'THÁNG 9'!$B129)</f>
        <v>0</v>
      </c>
    </row>
    <row r="573" customFormat="false" ht="15" hidden="false" customHeight="false" outlineLevel="0" collapsed="false">
      <c r="A573" s="0" t="n">
        <v>9</v>
      </c>
      <c r="B573" s="29" t="str">
        <f aca="false">IF(OR('THÁNG 9'!$C130="",'THÁNG 9'!$B130=""),"",'THÁNG 9'!$B130)</f>
        <v/>
      </c>
      <c r="C573" s="0" t="str">
        <f aca="false">IF('THÁNG 9'!$C130="","",'THÁNG 9'!$C130)</f>
        <v/>
      </c>
      <c r="D573" s="0" t="str">
        <f aca="false">IF('THÁNG 9'!$C130="","",'THÁNG 9'!$D130&amp;"")</f>
        <v/>
      </c>
      <c r="E573" s="0" t="str">
        <f aca="false">IF('THÁNG 9'!$C130="","",'THÁNG 9'!$E130&amp;"")</f>
        <v/>
      </c>
      <c r="F573" s="0" t="str">
        <f aca="false">IF('THÁNG 9'!$C130="","",'THÁNG 9'!$F130&amp;"")</f>
        <v/>
      </c>
      <c r="G573" s="0" t="str">
        <f aca="false">IF('THÁNG 9'!$C130="","",'THÁNG 9'!$G130&amp;"")</f>
        <v/>
      </c>
      <c r="H573" s="0" t="str">
        <f aca="false">IF('THÁNG 9'!$C130="","",'THÁNG 9'!$H130&amp;"")</f>
        <v/>
      </c>
      <c r="I573" s="0" t="str">
        <f aca="false">IF('THÁNG 9'!$C130="","",N('THÁNG 9'!$I130))</f>
        <v/>
      </c>
      <c r="J573" s="0" t="str">
        <f aca="false">IF('THÁNG 9'!$C130="","",N('THÁNG 9'!$L130))</f>
        <v/>
      </c>
      <c r="K573" s="0" t="str">
        <f aca="false">IF('THÁNG 9'!$C130="","",N('THÁNG 9'!$N130))</f>
        <v/>
      </c>
      <c r="L573" s="0" t="str">
        <f aca="false">IF('THÁNG 9'!$C130="","",N('THÁNG 9'!$O130))</f>
        <v/>
      </c>
      <c r="M573" s="0" t="str">
        <f aca="false">IF('THÁNG 9'!$C130="","",N('THÁNG 9'!$P130))</f>
        <v/>
      </c>
      <c r="N573" s="0" t="str">
        <f aca="false">IF('THÁNG 9'!$C130="","",N('THÁNG 9'!$Q130))</f>
        <v/>
      </c>
      <c r="O573" s="0" t="str">
        <f aca="false">IF('THÁNG 9'!$C130="","",N('THÁNG 9'!$R130))</f>
        <v/>
      </c>
      <c r="P573" s="0" t="str">
        <f aca="false">IF(OR('THÁNG 9'!$C130="",'THÁNG 9'!$T130=""),"",'THÁNG 9'!$T130)</f>
        <v/>
      </c>
      <c r="Q573" s="0" t="str">
        <f aca="false">IF(OR('THÁNG 9'!$C130="",'THÁNG 9'!$U130=""),"",'THÁNG 9'!$U130)</f>
        <v/>
      </c>
      <c r="R573" s="0" t="str">
        <f aca="false">IF('THÁNG 9'!$C130="","",'THÁNG 9'!$W130&amp;"")</f>
        <v/>
      </c>
      <c r="S573" s="0" t="str">
        <f aca="false">IF('THÁNG 9'!$C130="","",'THÁNG 9'!$S130&amp;"")</f>
        <v/>
      </c>
      <c r="T573" s="0" t="str">
        <f aca="false">IF(N($O573)&gt;0,COUNTIF($O$3:$O573,"&gt;0"),"")</f>
        <v/>
      </c>
      <c r="U573" s="0" t="str">
        <f aca="false">IF(AND(N($J573)&gt;0,N($K573)&gt;0),COUNTIFS($J$3:$J573,"&gt;0",$K$3:$K573,"&gt;0"),"")</f>
        <v/>
      </c>
      <c r="V573" s="0" t="str">
        <f aca="false">IF(AND(N($J573)&gt;0,N($K573)=0),COUNTIFS($J$3:$J573,"&gt;0",$K$3:$K573,"&lt;=0"),"")</f>
        <v/>
      </c>
      <c r="W573" s="0" t="str">
        <f aca="false">IF($C573="","",IF(COUNTIF($C$3:$C573,$C573)&gt;1,"",MAX($W$2:W572)+1))</f>
        <v/>
      </c>
      <c r="X573" s="0" t="str">
        <f aca="false">IF($H573="","",IF(COUNTIF($H$3:$H573,$H573)&gt;1,"",MAX($X$2:X572)+1))</f>
        <v/>
      </c>
      <c r="Y573" s="0" t="str">
        <f aca="false">IF(AND(N($M573)&gt;0,N($O573)&lt;=0),COUNTIFS($M$3:$M573,"&gt;0",$O$3:$O573,"&lt;=0"),"")</f>
        <v/>
      </c>
      <c r="Z573" s="30" t="n">
        <f aca="false">IF(OR('THÁNG 9'!$C130="",'THÁNG 9'!$B130=""),0,'THÁNG 9'!$B130)</f>
        <v>0</v>
      </c>
    </row>
    <row r="574" customFormat="false" ht="15" hidden="false" customHeight="false" outlineLevel="0" collapsed="false">
      <c r="A574" s="0" t="n">
        <v>9</v>
      </c>
      <c r="B574" s="29" t="str">
        <f aca="false">IF(OR('THÁNG 9'!$C131="",'THÁNG 9'!$B131=""),"",'THÁNG 9'!$B131)</f>
        <v/>
      </c>
      <c r="C574" s="0" t="str">
        <f aca="false">IF('THÁNG 9'!$C131="","",'THÁNG 9'!$C131)</f>
        <v/>
      </c>
      <c r="D574" s="0" t="str">
        <f aca="false">IF('THÁNG 9'!$C131="","",'THÁNG 9'!$D131&amp;"")</f>
        <v/>
      </c>
      <c r="E574" s="0" t="str">
        <f aca="false">IF('THÁNG 9'!$C131="","",'THÁNG 9'!$E131&amp;"")</f>
        <v/>
      </c>
      <c r="F574" s="0" t="str">
        <f aca="false">IF('THÁNG 9'!$C131="","",'THÁNG 9'!$F131&amp;"")</f>
        <v/>
      </c>
      <c r="G574" s="0" t="str">
        <f aca="false">IF('THÁNG 9'!$C131="","",'THÁNG 9'!$G131&amp;"")</f>
        <v/>
      </c>
      <c r="H574" s="0" t="str">
        <f aca="false">IF('THÁNG 9'!$C131="","",'THÁNG 9'!$H131&amp;"")</f>
        <v/>
      </c>
      <c r="I574" s="0" t="str">
        <f aca="false">IF('THÁNG 9'!$C131="","",N('THÁNG 9'!$I131))</f>
        <v/>
      </c>
      <c r="J574" s="0" t="str">
        <f aca="false">IF('THÁNG 9'!$C131="","",N('THÁNG 9'!$L131))</f>
        <v/>
      </c>
      <c r="K574" s="0" t="str">
        <f aca="false">IF('THÁNG 9'!$C131="","",N('THÁNG 9'!$N131))</f>
        <v/>
      </c>
      <c r="L574" s="0" t="str">
        <f aca="false">IF('THÁNG 9'!$C131="","",N('THÁNG 9'!$O131))</f>
        <v/>
      </c>
      <c r="M574" s="0" t="str">
        <f aca="false">IF('THÁNG 9'!$C131="","",N('THÁNG 9'!$P131))</f>
        <v/>
      </c>
      <c r="N574" s="0" t="str">
        <f aca="false">IF('THÁNG 9'!$C131="","",N('THÁNG 9'!$Q131))</f>
        <v/>
      </c>
      <c r="O574" s="0" t="str">
        <f aca="false">IF('THÁNG 9'!$C131="","",N('THÁNG 9'!$R131))</f>
        <v/>
      </c>
      <c r="P574" s="0" t="str">
        <f aca="false">IF(OR('THÁNG 9'!$C131="",'THÁNG 9'!$T131=""),"",'THÁNG 9'!$T131)</f>
        <v/>
      </c>
      <c r="Q574" s="0" t="str">
        <f aca="false">IF(OR('THÁNG 9'!$C131="",'THÁNG 9'!$U131=""),"",'THÁNG 9'!$U131)</f>
        <v/>
      </c>
      <c r="R574" s="0" t="str">
        <f aca="false">IF('THÁNG 9'!$C131="","",'THÁNG 9'!$W131&amp;"")</f>
        <v/>
      </c>
      <c r="S574" s="0" t="str">
        <f aca="false">IF('THÁNG 9'!$C131="","",'THÁNG 9'!$S131&amp;"")</f>
        <v/>
      </c>
      <c r="T574" s="0" t="str">
        <f aca="false">IF(N($O574)&gt;0,COUNTIF($O$3:$O574,"&gt;0"),"")</f>
        <v/>
      </c>
      <c r="U574" s="0" t="str">
        <f aca="false">IF(AND(N($J574)&gt;0,N($K574)&gt;0),COUNTIFS($J$3:$J574,"&gt;0",$K$3:$K574,"&gt;0"),"")</f>
        <v/>
      </c>
      <c r="V574" s="0" t="str">
        <f aca="false">IF(AND(N($J574)&gt;0,N($K574)=0),COUNTIFS($J$3:$J574,"&gt;0",$K$3:$K574,"&lt;=0"),"")</f>
        <v/>
      </c>
      <c r="W574" s="0" t="str">
        <f aca="false">IF($C574="","",IF(COUNTIF($C$3:$C574,$C574)&gt;1,"",MAX($W$2:W573)+1))</f>
        <v/>
      </c>
      <c r="X574" s="0" t="str">
        <f aca="false">IF($H574="","",IF(COUNTIF($H$3:$H574,$H574)&gt;1,"",MAX($X$2:X573)+1))</f>
        <v/>
      </c>
      <c r="Y574" s="0" t="str">
        <f aca="false">IF(AND(N($M574)&gt;0,N($O574)&lt;=0),COUNTIFS($M$3:$M574,"&gt;0",$O$3:$O574,"&lt;=0"),"")</f>
        <v/>
      </c>
      <c r="Z574" s="30" t="n">
        <f aca="false">IF(OR('THÁNG 9'!$C131="",'THÁNG 9'!$B131=""),0,'THÁNG 9'!$B131)</f>
        <v>0</v>
      </c>
    </row>
    <row r="575" customFormat="false" ht="15" hidden="false" customHeight="false" outlineLevel="0" collapsed="false">
      <c r="A575" s="0" t="n">
        <v>9</v>
      </c>
      <c r="B575" s="29" t="str">
        <f aca="false">IF(OR('THÁNG 9'!$C132="",'THÁNG 9'!$B132=""),"",'THÁNG 9'!$B132)</f>
        <v/>
      </c>
      <c r="C575" s="0" t="str">
        <f aca="false">IF('THÁNG 9'!$C132="","",'THÁNG 9'!$C132)</f>
        <v/>
      </c>
      <c r="D575" s="0" t="str">
        <f aca="false">IF('THÁNG 9'!$C132="","",'THÁNG 9'!$D132&amp;"")</f>
        <v/>
      </c>
      <c r="E575" s="0" t="str">
        <f aca="false">IF('THÁNG 9'!$C132="","",'THÁNG 9'!$E132&amp;"")</f>
        <v/>
      </c>
      <c r="F575" s="0" t="str">
        <f aca="false">IF('THÁNG 9'!$C132="","",'THÁNG 9'!$F132&amp;"")</f>
        <v/>
      </c>
      <c r="G575" s="0" t="str">
        <f aca="false">IF('THÁNG 9'!$C132="","",'THÁNG 9'!$G132&amp;"")</f>
        <v/>
      </c>
      <c r="H575" s="0" t="str">
        <f aca="false">IF('THÁNG 9'!$C132="","",'THÁNG 9'!$H132&amp;"")</f>
        <v/>
      </c>
      <c r="I575" s="0" t="str">
        <f aca="false">IF('THÁNG 9'!$C132="","",N('THÁNG 9'!$I132))</f>
        <v/>
      </c>
      <c r="J575" s="0" t="str">
        <f aca="false">IF('THÁNG 9'!$C132="","",N('THÁNG 9'!$L132))</f>
        <v/>
      </c>
      <c r="K575" s="0" t="str">
        <f aca="false">IF('THÁNG 9'!$C132="","",N('THÁNG 9'!$N132))</f>
        <v/>
      </c>
      <c r="L575" s="0" t="str">
        <f aca="false">IF('THÁNG 9'!$C132="","",N('THÁNG 9'!$O132))</f>
        <v/>
      </c>
      <c r="M575" s="0" t="str">
        <f aca="false">IF('THÁNG 9'!$C132="","",N('THÁNG 9'!$P132))</f>
        <v/>
      </c>
      <c r="N575" s="0" t="str">
        <f aca="false">IF('THÁNG 9'!$C132="","",N('THÁNG 9'!$Q132))</f>
        <v/>
      </c>
      <c r="O575" s="0" t="str">
        <f aca="false">IF('THÁNG 9'!$C132="","",N('THÁNG 9'!$R132))</f>
        <v/>
      </c>
      <c r="P575" s="0" t="str">
        <f aca="false">IF(OR('THÁNG 9'!$C132="",'THÁNG 9'!$T132=""),"",'THÁNG 9'!$T132)</f>
        <v/>
      </c>
      <c r="Q575" s="0" t="str">
        <f aca="false">IF(OR('THÁNG 9'!$C132="",'THÁNG 9'!$U132=""),"",'THÁNG 9'!$U132)</f>
        <v/>
      </c>
      <c r="R575" s="0" t="str">
        <f aca="false">IF('THÁNG 9'!$C132="","",'THÁNG 9'!$W132&amp;"")</f>
        <v/>
      </c>
      <c r="S575" s="0" t="str">
        <f aca="false">IF('THÁNG 9'!$C132="","",'THÁNG 9'!$S132&amp;"")</f>
        <v/>
      </c>
      <c r="T575" s="0" t="str">
        <f aca="false">IF(N($O575)&gt;0,COUNTIF($O$3:$O575,"&gt;0"),"")</f>
        <v/>
      </c>
      <c r="U575" s="0" t="str">
        <f aca="false">IF(AND(N($J575)&gt;0,N($K575)&gt;0),COUNTIFS($J$3:$J575,"&gt;0",$K$3:$K575,"&gt;0"),"")</f>
        <v/>
      </c>
      <c r="V575" s="0" t="str">
        <f aca="false">IF(AND(N($J575)&gt;0,N($K575)=0),COUNTIFS($J$3:$J575,"&gt;0",$K$3:$K575,"&lt;=0"),"")</f>
        <v/>
      </c>
      <c r="W575" s="0" t="str">
        <f aca="false">IF($C575="","",IF(COUNTIF($C$3:$C575,$C575)&gt;1,"",MAX($W$2:W574)+1))</f>
        <v/>
      </c>
      <c r="X575" s="0" t="str">
        <f aca="false">IF($H575="","",IF(COUNTIF($H$3:$H575,$H575)&gt;1,"",MAX($X$2:X574)+1))</f>
        <v/>
      </c>
      <c r="Y575" s="0" t="str">
        <f aca="false">IF(AND(N($M575)&gt;0,N($O575)&lt;=0),COUNTIFS($M$3:$M575,"&gt;0",$O$3:$O575,"&lt;=0"),"")</f>
        <v/>
      </c>
      <c r="Z575" s="30" t="n">
        <f aca="false">IF(OR('THÁNG 9'!$C132="",'THÁNG 9'!$B132=""),0,'THÁNG 9'!$B132)</f>
        <v>0</v>
      </c>
    </row>
    <row r="576" customFormat="false" ht="15" hidden="false" customHeight="false" outlineLevel="0" collapsed="false">
      <c r="A576" s="0" t="n">
        <v>9</v>
      </c>
      <c r="B576" s="29" t="str">
        <f aca="false">IF(OR('THÁNG 9'!$C133="",'THÁNG 9'!$B133=""),"",'THÁNG 9'!$B133)</f>
        <v/>
      </c>
      <c r="C576" s="0" t="str">
        <f aca="false">IF('THÁNG 9'!$C133="","",'THÁNG 9'!$C133)</f>
        <v/>
      </c>
      <c r="D576" s="0" t="str">
        <f aca="false">IF('THÁNG 9'!$C133="","",'THÁNG 9'!$D133&amp;"")</f>
        <v/>
      </c>
      <c r="E576" s="0" t="str">
        <f aca="false">IF('THÁNG 9'!$C133="","",'THÁNG 9'!$E133&amp;"")</f>
        <v/>
      </c>
      <c r="F576" s="0" t="str">
        <f aca="false">IF('THÁNG 9'!$C133="","",'THÁNG 9'!$F133&amp;"")</f>
        <v/>
      </c>
      <c r="G576" s="0" t="str">
        <f aca="false">IF('THÁNG 9'!$C133="","",'THÁNG 9'!$G133&amp;"")</f>
        <v/>
      </c>
      <c r="H576" s="0" t="str">
        <f aca="false">IF('THÁNG 9'!$C133="","",'THÁNG 9'!$H133&amp;"")</f>
        <v/>
      </c>
      <c r="I576" s="0" t="str">
        <f aca="false">IF('THÁNG 9'!$C133="","",N('THÁNG 9'!$I133))</f>
        <v/>
      </c>
      <c r="J576" s="0" t="str">
        <f aca="false">IF('THÁNG 9'!$C133="","",N('THÁNG 9'!$L133))</f>
        <v/>
      </c>
      <c r="K576" s="0" t="str">
        <f aca="false">IF('THÁNG 9'!$C133="","",N('THÁNG 9'!$N133))</f>
        <v/>
      </c>
      <c r="L576" s="0" t="str">
        <f aca="false">IF('THÁNG 9'!$C133="","",N('THÁNG 9'!$O133))</f>
        <v/>
      </c>
      <c r="M576" s="0" t="str">
        <f aca="false">IF('THÁNG 9'!$C133="","",N('THÁNG 9'!$P133))</f>
        <v/>
      </c>
      <c r="N576" s="0" t="str">
        <f aca="false">IF('THÁNG 9'!$C133="","",N('THÁNG 9'!$Q133))</f>
        <v/>
      </c>
      <c r="O576" s="0" t="str">
        <f aca="false">IF('THÁNG 9'!$C133="","",N('THÁNG 9'!$R133))</f>
        <v/>
      </c>
      <c r="P576" s="0" t="str">
        <f aca="false">IF(OR('THÁNG 9'!$C133="",'THÁNG 9'!$T133=""),"",'THÁNG 9'!$T133)</f>
        <v/>
      </c>
      <c r="Q576" s="0" t="str">
        <f aca="false">IF(OR('THÁNG 9'!$C133="",'THÁNG 9'!$U133=""),"",'THÁNG 9'!$U133)</f>
        <v/>
      </c>
      <c r="R576" s="0" t="str">
        <f aca="false">IF('THÁNG 9'!$C133="","",'THÁNG 9'!$W133&amp;"")</f>
        <v/>
      </c>
      <c r="S576" s="0" t="str">
        <f aca="false">IF('THÁNG 9'!$C133="","",'THÁNG 9'!$S133&amp;"")</f>
        <v/>
      </c>
      <c r="T576" s="0" t="str">
        <f aca="false">IF(N($O576)&gt;0,COUNTIF($O$3:$O576,"&gt;0"),"")</f>
        <v/>
      </c>
      <c r="U576" s="0" t="str">
        <f aca="false">IF(AND(N($J576)&gt;0,N($K576)&gt;0),COUNTIFS($J$3:$J576,"&gt;0",$K$3:$K576,"&gt;0"),"")</f>
        <v/>
      </c>
      <c r="V576" s="0" t="str">
        <f aca="false">IF(AND(N($J576)&gt;0,N($K576)=0),COUNTIFS($J$3:$J576,"&gt;0",$K$3:$K576,"&lt;=0"),"")</f>
        <v/>
      </c>
      <c r="W576" s="0" t="str">
        <f aca="false">IF($C576="","",IF(COUNTIF($C$3:$C576,$C576)&gt;1,"",MAX($W$2:W575)+1))</f>
        <v/>
      </c>
      <c r="X576" s="0" t="str">
        <f aca="false">IF($H576="","",IF(COUNTIF($H$3:$H576,$H576)&gt;1,"",MAX($X$2:X575)+1))</f>
        <v/>
      </c>
      <c r="Y576" s="0" t="str">
        <f aca="false">IF(AND(N($M576)&gt;0,N($O576)&lt;=0),COUNTIFS($M$3:$M576,"&gt;0",$O$3:$O576,"&lt;=0"),"")</f>
        <v/>
      </c>
      <c r="Z576" s="30" t="n">
        <f aca="false">IF(OR('THÁNG 9'!$C133="",'THÁNG 9'!$B133=""),0,'THÁNG 9'!$B133)</f>
        <v>0</v>
      </c>
    </row>
    <row r="577" customFormat="false" ht="15" hidden="false" customHeight="false" outlineLevel="0" collapsed="false">
      <c r="A577" s="0" t="n">
        <v>9</v>
      </c>
      <c r="B577" s="29" t="str">
        <f aca="false">IF(OR('THÁNG 9'!$C134="",'THÁNG 9'!$B134=""),"",'THÁNG 9'!$B134)</f>
        <v/>
      </c>
      <c r="C577" s="0" t="str">
        <f aca="false">IF('THÁNG 9'!$C134="","",'THÁNG 9'!$C134)</f>
        <v/>
      </c>
      <c r="D577" s="0" t="str">
        <f aca="false">IF('THÁNG 9'!$C134="","",'THÁNG 9'!$D134&amp;"")</f>
        <v/>
      </c>
      <c r="E577" s="0" t="str">
        <f aca="false">IF('THÁNG 9'!$C134="","",'THÁNG 9'!$E134&amp;"")</f>
        <v/>
      </c>
      <c r="F577" s="0" t="str">
        <f aca="false">IF('THÁNG 9'!$C134="","",'THÁNG 9'!$F134&amp;"")</f>
        <v/>
      </c>
      <c r="G577" s="0" t="str">
        <f aca="false">IF('THÁNG 9'!$C134="","",'THÁNG 9'!$G134&amp;"")</f>
        <v/>
      </c>
      <c r="H577" s="0" t="str">
        <f aca="false">IF('THÁNG 9'!$C134="","",'THÁNG 9'!$H134&amp;"")</f>
        <v/>
      </c>
      <c r="I577" s="0" t="str">
        <f aca="false">IF('THÁNG 9'!$C134="","",N('THÁNG 9'!$I134))</f>
        <v/>
      </c>
      <c r="J577" s="0" t="str">
        <f aca="false">IF('THÁNG 9'!$C134="","",N('THÁNG 9'!$L134))</f>
        <v/>
      </c>
      <c r="K577" s="0" t="str">
        <f aca="false">IF('THÁNG 9'!$C134="","",N('THÁNG 9'!$N134))</f>
        <v/>
      </c>
      <c r="L577" s="0" t="str">
        <f aca="false">IF('THÁNG 9'!$C134="","",N('THÁNG 9'!$O134))</f>
        <v/>
      </c>
      <c r="M577" s="0" t="str">
        <f aca="false">IF('THÁNG 9'!$C134="","",N('THÁNG 9'!$P134))</f>
        <v/>
      </c>
      <c r="N577" s="0" t="str">
        <f aca="false">IF('THÁNG 9'!$C134="","",N('THÁNG 9'!$Q134))</f>
        <v/>
      </c>
      <c r="O577" s="0" t="str">
        <f aca="false">IF('THÁNG 9'!$C134="","",N('THÁNG 9'!$R134))</f>
        <v/>
      </c>
      <c r="P577" s="0" t="str">
        <f aca="false">IF(OR('THÁNG 9'!$C134="",'THÁNG 9'!$T134=""),"",'THÁNG 9'!$T134)</f>
        <v/>
      </c>
      <c r="Q577" s="0" t="str">
        <f aca="false">IF(OR('THÁNG 9'!$C134="",'THÁNG 9'!$U134=""),"",'THÁNG 9'!$U134)</f>
        <v/>
      </c>
      <c r="R577" s="0" t="str">
        <f aca="false">IF('THÁNG 9'!$C134="","",'THÁNG 9'!$W134&amp;"")</f>
        <v/>
      </c>
      <c r="S577" s="0" t="str">
        <f aca="false">IF('THÁNG 9'!$C134="","",'THÁNG 9'!$S134&amp;"")</f>
        <v/>
      </c>
      <c r="T577" s="0" t="str">
        <f aca="false">IF(N($O577)&gt;0,COUNTIF($O$3:$O577,"&gt;0"),"")</f>
        <v/>
      </c>
      <c r="U577" s="0" t="str">
        <f aca="false">IF(AND(N($J577)&gt;0,N($K577)&gt;0),COUNTIFS($J$3:$J577,"&gt;0",$K$3:$K577,"&gt;0"),"")</f>
        <v/>
      </c>
      <c r="V577" s="0" t="str">
        <f aca="false">IF(AND(N($J577)&gt;0,N($K577)=0),COUNTIFS($J$3:$J577,"&gt;0",$K$3:$K577,"&lt;=0"),"")</f>
        <v/>
      </c>
      <c r="W577" s="0" t="str">
        <f aca="false">IF($C577="","",IF(COUNTIF($C$3:$C577,$C577)&gt;1,"",MAX($W$2:W576)+1))</f>
        <v/>
      </c>
      <c r="X577" s="0" t="str">
        <f aca="false">IF($H577="","",IF(COUNTIF($H$3:$H577,$H577)&gt;1,"",MAX($X$2:X576)+1))</f>
        <v/>
      </c>
      <c r="Y577" s="0" t="str">
        <f aca="false">IF(AND(N($M577)&gt;0,N($O577)&lt;=0),COUNTIFS($M$3:$M577,"&gt;0",$O$3:$O577,"&lt;=0"),"")</f>
        <v/>
      </c>
      <c r="Z577" s="30" t="n">
        <f aca="false">IF(OR('THÁNG 9'!$C134="",'THÁNG 9'!$B134=""),0,'THÁNG 9'!$B134)</f>
        <v>0</v>
      </c>
    </row>
    <row r="578" customFormat="false" ht="15" hidden="false" customHeight="false" outlineLevel="0" collapsed="false">
      <c r="A578" s="0" t="n">
        <v>9</v>
      </c>
      <c r="B578" s="29" t="str">
        <f aca="false">IF(OR('THÁNG 9'!$C135="",'THÁNG 9'!$B135=""),"",'THÁNG 9'!$B135)</f>
        <v/>
      </c>
      <c r="C578" s="0" t="str">
        <f aca="false">IF('THÁNG 9'!$C135="","",'THÁNG 9'!$C135)</f>
        <v/>
      </c>
      <c r="D578" s="0" t="str">
        <f aca="false">IF('THÁNG 9'!$C135="","",'THÁNG 9'!$D135&amp;"")</f>
        <v/>
      </c>
      <c r="E578" s="0" t="str">
        <f aca="false">IF('THÁNG 9'!$C135="","",'THÁNG 9'!$E135&amp;"")</f>
        <v/>
      </c>
      <c r="F578" s="0" t="str">
        <f aca="false">IF('THÁNG 9'!$C135="","",'THÁNG 9'!$F135&amp;"")</f>
        <v/>
      </c>
      <c r="G578" s="0" t="str">
        <f aca="false">IF('THÁNG 9'!$C135="","",'THÁNG 9'!$G135&amp;"")</f>
        <v/>
      </c>
      <c r="H578" s="0" t="str">
        <f aca="false">IF('THÁNG 9'!$C135="","",'THÁNG 9'!$H135&amp;"")</f>
        <v/>
      </c>
      <c r="I578" s="0" t="str">
        <f aca="false">IF('THÁNG 9'!$C135="","",N('THÁNG 9'!$I135))</f>
        <v/>
      </c>
      <c r="J578" s="0" t="str">
        <f aca="false">IF('THÁNG 9'!$C135="","",N('THÁNG 9'!$L135))</f>
        <v/>
      </c>
      <c r="K578" s="0" t="str">
        <f aca="false">IF('THÁNG 9'!$C135="","",N('THÁNG 9'!$N135))</f>
        <v/>
      </c>
      <c r="L578" s="0" t="str">
        <f aca="false">IF('THÁNG 9'!$C135="","",N('THÁNG 9'!$O135))</f>
        <v/>
      </c>
      <c r="M578" s="0" t="str">
        <f aca="false">IF('THÁNG 9'!$C135="","",N('THÁNG 9'!$P135))</f>
        <v/>
      </c>
      <c r="N578" s="0" t="str">
        <f aca="false">IF('THÁNG 9'!$C135="","",N('THÁNG 9'!$Q135))</f>
        <v/>
      </c>
      <c r="O578" s="0" t="str">
        <f aca="false">IF('THÁNG 9'!$C135="","",N('THÁNG 9'!$R135))</f>
        <v/>
      </c>
      <c r="P578" s="0" t="str">
        <f aca="false">IF(OR('THÁNG 9'!$C135="",'THÁNG 9'!$T135=""),"",'THÁNG 9'!$T135)</f>
        <v/>
      </c>
      <c r="Q578" s="0" t="str">
        <f aca="false">IF(OR('THÁNG 9'!$C135="",'THÁNG 9'!$U135=""),"",'THÁNG 9'!$U135)</f>
        <v/>
      </c>
      <c r="R578" s="0" t="str">
        <f aca="false">IF('THÁNG 9'!$C135="","",'THÁNG 9'!$W135&amp;"")</f>
        <v/>
      </c>
      <c r="S578" s="0" t="str">
        <f aca="false">IF('THÁNG 9'!$C135="","",'THÁNG 9'!$S135&amp;"")</f>
        <v/>
      </c>
      <c r="T578" s="0" t="str">
        <f aca="false">IF(N($O578)&gt;0,COUNTIF($O$3:$O578,"&gt;0"),"")</f>
        <v/>
      </c>
      <c r="U578" s="0" t="str">
        <f aca="false">IF(AND(N($J578)&gt;0,N($K578)&gt;0),COUNTIFS($J$3:$J578,"&gt;0",$K$3:$K578,"&gt;0"),"")</f>
        <v/>
      </c>
      <c r="V578" s="0" t="str">
        <f aca="false">IF(AND(N($J578)&gt;0,N($K578)=0),COUNTIFS($J$3:$J578,"&gt;0",$K$3:$K578,"&lt;=0"),"")</f>
        <v/>
      </c>
      <c r="W578" s="0" t="str">
        <f aca="false">IF($C578="","",IF(COUNTIF($C$3:$C578,$C578)&gt;1,"",MAX($W$2:W577)+1))</f>
        <v/>
      </c>
      <c r="X578" s="0" t="str">
        <f aca="false">IF($H578="","",IF(COUNTIF($H$3:$H578,$H578)&gt;1,"",MAX($X$2:X577)+1))</f>
        <v/>
      </c>
      <c r="Y578" s="0" t="str">
        <f aca="false">IF(AND(N($M578)&gt;0,N($O578)&lt;=0),COUNTIFS($M$3:$M578,"&gt;0",$O$3:$O578,"&lt;=0"),"")</f>
        <v/>
      </c>
      <c r="Z578" s="30" t="n">
        <f aca="false">IF(OR('THÁNG 9'!$C135="",'THÁNG 9'!$B135=""),0,'THÁNG 9'!$B135)</f>
        <v>0</v>
      </c>
    </row>
    <row r="579" customFormat="false" ht="15" hidden="false" customHeight="false" outlineLevel="0" collapsed="false">
      <c r="A579" s="0" t="n">
        <v>9</v>
      </c>
      <c r="B579" s="29" t="str">
        <f aca="false">IF(OR('THÁNG 9'!$C136="",'THÁNG 9'!$B136=""),"",'THÁNG 9'!$B136)</f>
        <v/>
      </c>
      <c r="C579" s="0" t="str">
        <f aca="false">IF('THÁNG 9'!$C136="","",'THÁNG 9'!$C136)</f>
        <v/>
      </c>
      <c r="D579" s="0" t="str">
        <f aca="false">IF('THÁNG 9'!$C136="","",'THÁNG 9'!$D136&amp;"")</f>
        <v/>
      </c>
      <c r="E579" s="0" t="str">
        <f aca="false">IF('THÁNG 9'!$C136="","",'THÁNG 9'!$E136&amp;"")</f>
        <v/>
      </c>
      <c r="F579" s="0" t="str">
        <f aca="false">IF('THÁNG 9'!$C136="","",'THÁNG 9'!$F136&amp;"")</f>
        <v/>
      </c>
      <c r="G579" s="0" t="str">
        <f aca="false">IF('THÁNG 9'!$C136="","",'THÁNG 9'!$G136&amp;"")</f>
        <v/>
      </c>
      <c r="H579" s="0" t="str">
        <f aca="false">IF('THÁNG 9'!$C136="","",'THÁNG 9'!$H136&amp;"")</f>
        <v/>
      </c>
      <c r="I579" s="0" t="str">
        <f aca="false">IF('THÁNG 9'!$C136="","",N('THÁNG 9'!$I136))</f>
        <v/>
      </c>
      <c r="J579" s="0" t="str">
        <f aca="false">IF('THÁNG 9'!$C136="","",N('THÁNG 9'!$L136))</f>
        <v/>
      </c>
      <c r="K579" s="0" t="str">
        <f aca="false">IF('THÁNG 9'!$C136="","",N('THÁNG 9'!$N136))</f>
        <v/>
      </c>
      <c r="L579" s="0" t="str">
        <f aca="false">IF('THÁNG 9'!$C136="","",N('THÁNG 9'!$O136))</f>
        <v/>
      </c>
      <c r="M579" s="0" t="str">
        <f aca="false">IF('THÁNG 9'!$C136="","",N('THÁNG 9'!$P136))</f>
        <v/>
      </c>
      <c r="N579" s="0" t="str">
        <f aca="false">IF('THÁNG 9'!$C136="","",N('THÁNG 9'!$Q136))</f>
        <v/>
      </c>
      <c r="O579" s="0" t="str">
        <f aca="false">IF('THÁNG 9'!$C136="","",N('THÁNG 9'!$R136))</f>
        <v/>
      </c>
      <c r="P579" s="0" t="str">
        <f aca="false">IF(OR('THÁNG 9'!$C136="",'THÁNG 9'!$T136=""),"",'THÁNG 9'!$T136)</f>
        <v/>
      </c>
      <c r="Q579" s="0" t="str">
        <f aca="false">IF(OR('THÁNG 9'!$C136="",'THÁNG 9'!$U136=""),"",'THÁNG 9'!$U136)</f>
        <v/>
      </c>
      <c r="R579" s="0" t="str">
        <f aca="false">IF('THÁNG 9'!$C136="","",'THÁNG 9'!$W136&amp;"")</f>
        <v/>
      </c>
      <c r="S579" s="0" t="str">
        <f aca="false">IF('THÁNG 9'!$C136="","",'THÁNG 9'!$S136&amp;"")</f>
        <v/>
      </c>
      <c r="T579" s="0" t="str">
        <f aca="false">IF(N($O579)&gt;0,COUNTIF($O$3:$O579,"&gt;0"),"")</f>
        <v/>
      </c>
      <c r="U579" s="0" t="str">
        <f aca="false">IF(AND(N($J579)&gt;0,N($K579)&gt;0),COUNTIFS($J$3:$J579,"&gt;0",$K$3:$K579,"&gt;0"),"")</f>
        <v/>
      </c>
      <c r="V579" s="0" t="str">
        <f aca="false">IF(AND(N($J579)&gt;0,N($K579)=0),COUNTIFS($J$3:$J579,"&gt;0",$K$3:$K579,"&lt;=0"),"")</f>
        <v/>
      </c>
      <c r="W579" s="0" t="str">
        <f aca="false">IF($C579="","",IF(COUNTIF($C$3:$C579,$C579)&gt;1,"",MAX($W$2:W578)+1))</f>
        <v/>
      </c>
      <c r="X579" s="0" t="str">
        <f aca="false">IF($H579="","",IF(COUNTIF($H$3:$H579,$H579)&gt;1,"",MAX($X$2:X578)+1))</f>
        <v/>
      </c>
      <c r="Y579" s="0" t="str">
        <f aca="false">IF(AND(N($M579)&gt;0,N($O579)&lt;=0),COUNTIFS($M$3:$M579,"&gt;0",$O$3:$O579,"&lt;=0"),"")</f>
        <v/>
      </c>
      <c r="Z579" s="30" t="n">
        <f aca="false">IF(OR('THÁNG 9'!$C136="",'THÁNG 9'!$B136=""),0,'THÁNG 9'!$B136)</f>
        <v>0</v>
      </c>
    </row>
    <row r="580" customFormat="false" ht="15" hidden="false" customHeight="false" outlineLevel="0" collapsed="false">
      <c r="A580" s="0" t="n">
        <v>9</v>
      </c>
      <c r="B580" s="29" t="str">
        <f aca="false">IF(OR('THÁNG 9'!$C137="",'THÁNG 9'!$B137=""),"",'THÁNG 9'!$B137)</f>
        <v/>
      </c>
      <c r="C580" s="0" t="str">
        <f aca="false">IF('THÁNG 9'!$C137="","",'THÁNG 9'!$C137)</f>
        <v/>
      </c>
      <c r="D580" s="0" t="str">
        <f aca="false">IF('THÁNG 9'!$C137="","",'THÁNG 9'!$D137&amp;"")</f>
        <v/>
      </c>
      <c r="E580" s="0" t="str">
        <f aca="false">IF('THÁNG 9'!$C137="","",'THÁNG 9'!$E137&amp;"")</f>
        <v/>
      </c>
      <c r="F580" s="0" t="str">
        <f aca="false">IF('THÁNG 9'!$C137="","",'THÁNG 9'!$F137&amp;"")</f>
        <v/>
      </c>
      <c r="G580" s="0" t="str">
        <f aca="false">IF('THÁNG 9'!$C137="","",'THÁNG 9'!$G137&amp;"")</f>
        <v/>
      </c>
      <c r="H580" s="0" t="str">
        <f aca="false">IF('THÁNG 9'!$C137="","",'THÁNG 9'!$H137&amp;"")</f>
        <v/>
      </c>
      <c r="I580" s="0" t="str">
        <f aca="false">IF('THÁNG 9'!$C137="","",N('THÁNG 9'!$I137))</f>
        <v/>
      </c>
      <c r="J580" s="0" t="str">
        <f aca="false">IF('THÁNG 9'!$C137="","",N('THÁNG 9'!$L137))</f>
        <v/>
      </c>
      <c r="K580" s="0" t="str">
        <f aca="false">IF('THÁNG 9'!$C137="","",N('THÁNG 9'!$N137))</f>
        <v/>
      </c>
      <c r="L580" s="0" t="str">
        <f aca="false">IF('THÁNG 9'!$C137="","",N('THÁNG 9'!$O137))</f>
        <v/>
      </c>
      <c r="M580" s="0" t="str">
        <f aca="false">IF('THÁNG 9'!$C137="","",N('THÁNG 9'!$P137))</f>
        <v/>
      </c>
      <c r="N580" s="0" t="str">
        <f aca="false">IF('THÁNG 9'!$C137="","",N('THÁNG 9'!$Q137))</f>
        <v/>
      </c>
      <c r="O580" s="0" t="str">
        <f aca="false">IF('THÁNG 9'!$C137="","",N('THÁNG 9'!$R137))</f>
        <v/>
      </c>
      <c r="P580" s="0" t="str">
        <f aca="false">IF(OR('THÁNG 9'!$C137="",'THÁNG 9'!$T137=""),"",'THÁNG 9'!$T137)</f>
        <v/>
      </c>
      <c r="Q580" s="0" t="str">
        <f aca="false">IF(OR('THÁNG 9'!$C137="",'THÁNG 9'!$U137=""),"",'THÁNG 9'!$U137)</f>
        <v/>
      </c>
      <c r="R580" s="0" t="str">
        <f aca="false">IF('THÁNG 9'!$C137="","",'THÁNG 9'!$W137&amp;"")</f>
        <v/>
      </c>
      <c r="S580" s="0" t="str">
        <f aca="false">IF('THÁNG 9'!$C137="","",'THÁNG 9'!$S137&amp;"")</f>
        <v/>
      </c>
      <c r="T580" s="0" t="str">
        <f aca="false">IF(N($O580)&gt;0,COUNTIF($O$3:$O580,"&gt;0"),"")</f>
        <v/>
      </c>
      <c r="U580" s="0" t="str">
        <f aca="false">IF(AND(N($J580)&gt;0,N($K580)&gt;0),COUNTIFS($J$3:$J580,"&gt;0",$K$3:$K580,"&gt;0"),"")</f>
        <v/>
      </c>
      <c r="V580" s="0" t="str">
        <f aca="false">IF(AND(N($J580)&gt;0,N($K580)=0),COUNTIFS($J$3:$J580,"&gt;0",$K$3:$K580,"&lt;=0"),"")</f>
        <v/>
      </c>
      <c r="W580" s="0" t="str">
        <f aca="false">IF($C580="","",IF(COUNTIF($C$3:$C580,$C580)&gt;1,"",MAX($W$2:W579)+1))</f>
        <v/>
      </c>
      <c r="X580" s="0" t="str">
        <f aca="false">IF($H580="","",IF(COUNTIF($H$3:$H580,$H580)&gt;1,"",MAX($X$2:X579)+1))</f>
        <v/>
      </c>
      <c r="Y580" s="0" t="str">
        <f aca="false">IF(AND(N($M580)&gt;0,N($O580)&lt;=0),COUNTIFS($M$3:$M580,"&gt;0",$O$3:$O580,"&lt;=0"),"")</f>
        <v/>
      </c>
      <c r="Z580" s="30" t="n">
        <f aca="false">IF(OR('THÁNG 9'!$C137="",'THÁNG 9'!$B137=""),0,'THÁNG 9'!$B137)</f>
        <v>0</v>
      </c>
    </row>
    <row r="581" customFormat="false" ht="15" hidden="false" customHeight="false" outlineLevel="0" collapsed="false">
      <c r="A581" s="0" t="n">
        <v>9</v>
      </c>
      <c r="B581" s="29" t="str">
        <f aca="false">IF(OR('THÁNG 9'!$C138="",'THÁNG 9'!$B138=""),"",'THÁNG 9'!$B138)</f>
        <v/>
      </c>
      <c r="C581" s="0" t="str">
        <f aca="false">IF('THÁNG 9'!$C138="","",'THÁNG 9'!$C138)</f>
        <v/>
      </c>
      <c r="D581" s="0" t="str">
        <f aca="false">IF('THÁNG 9'!$C138="","",'THÁNG 9'!$D138&amp;"")</f>
        <v/>
      </c>
      <c r="E581" s="0" t="str">
        <f aca="false">IF('THÁNG 9'!$C138="","",'THÁNG 9'!$E138&amp;"")</f>
        <v/>
      </c>
      <c r="F581" s="0" t="str">
        <f aca="false">IF('THÁNG 9'!$C138="","",'THÁNG 9'!$F138&amp;"")</f>
        <v/>
      </c>
      <c r="G581" s="0" t="str">
        <f aca="false">IF('THÁNG 9'!$C138="","",'THÁNG 9'!$G138&amp;"")</f>
        <v/>
      </c>
      <c r="H581" s="0" t="str">
        <f aca="false">IF('THÁNG 9'!$C138="","",'THÁNG 9'!$H138&amp;"")</f>
        <v/>
      </c>
      <c r="I581" s="0" t="str">
        <f aca="false">IF('THÁNG 9'!$C138="","",N('THÁNG 9'!$I138))</f>
        <v/>
      </c>
      <c r="J581" s="0" t="str">
        <f aca="false">IF('THÁNG 9'!$C138="","",N('THÁNG 9'!$L138))</f>
        <v/>
      </c>
      <c r="K581" s="0" t="str">
        <f aca="false">IF('THÁNG 9'!$C138="","",N('THÁNG 9'!$N138))</f>
        <v/>
      </c>
      <c r="L581" s="0" t="str">
        <f aca="false">IF('THÁNG 9'!$C138="","",N('THÁNG 9'!$O138))</f>
        <v/>
      </c>
      <c r="M581" s="0" t="str">
        <f aca="false">IF('THÁNG 9'!$C138="","",N('THÁNG 9'!$P138))</f>
        <v/>
      </c>
      <c r="N581" s="0" t="str">
        <f aca="false">IF('THÁNG 9'!$C138="","",N('THÁNG 9'!$Q138))</f>
        <v/>
      </c>
      <c r="O581" s="0" t="str">
        <f aca="false">IF('THÁNG 9'!$C138="","",N('THÁNG 9'!$R138))</f>
        <v/>
      </c>
      <c r="P581" s="0" t="str">
        <f aca="false">IF(OR('THÁNG 9'!$C138="",'THÁNG 9'!$T138=""),"",'THÁNG 9'!$T138)</f>
        <v/>
      </c>
      <c r="Q581" s="0" t="str">
        <f aca="false">IF(OR('THÁNG 9'!$C138="",'THÁNG 9'!$U138=""),"",'THÁNG 9'!$U138)</f>
        <v/>
      </c>
      <c r="R581" s="0" t="str">
        <f aca="false">IF('THÁNG 9'!$C138="","",'THÁNG 9'!$W138&amp;"")</f>
        <v/>
      </c>
      <c r="S581" s="0" t="str">
        <f aca="false">IF('THÁNG 9'!$C138="","",'THÁNG 9'!$S138&amp;"")</f>
        <v/>
      </c>
      <c r="T581" s="0" t="str">
        <f aca="false">IF(N($O581)&gt;0,COUNTIF($O$3:$O581,"&gt;0"),"")</f>
        <v/>
      </c>
      <c r="U581" s="0" t="str">
        <f aca="false">IF(AND(N($J581)&gt;0,N($K581)&gt;0),COUNTIFS($J$3:$J581,"&gt;0",$K$3:$K581,"&gt;0"),"")</f>
        <v/>
      </c>
      <c r="V581" s="0" t="str">
        <f aca="false">IF(AND(N($J581)&gt;0,N($K581)=0),COUNTIFS($J$3:$J581,"&gt;0",$K$3:$K581,"&lt;=0"),"")</f>
        <v/>
      </c>
      <c r="W581" s="0" t="str">
        <f aca="false">IF($C581="","",IF(COUNTIF($C$3:$C581,$C581)&gt;1,"",MAX($W$2:W580)+1))</f>
        <v/>
      </c>
      <c r="X581" s="0" t="str">
        <f aca="false">IF($H581="","",IF(COUNTIF($H$3:$H581,$H581)&gt;1,"",MAX($X$2:X580)+1))</f>
        <v/>
      </c>
      <c r="Y581" s="0" t="str">
        <f aca="false">IF(AND(N($M581)&gt;0,N($O581)&lt;=0),COUNTIFS($M$3:$M581,"&gt;0",$O$3:$O581,"&lt;=0"),"")</f>
        <v/>
      </c>
      <c r="Z581" s="30" t="n">
        <f aca="false">IF(OR('THÁNG 9'!$C138="",'THÁNG 9'!$B138=""),0,'THÁNG 9'!$B138)</f>
        <v>0</v>
      </c>
    </row>
    <row r="582" customFormat="false" ht="15" hidden="false" customHeight="false" outlineLevel="0" collapsed="false">
      <c r="A582" s="0" t="n">
        <v>9</v>
      </c>
      <c r="B582" s="29" t="str">
        <f aca="false">IF(OR('THÁNG 9'!$C139="",'THÁNG 9'!$B139=""),"",'THÁNG 9'!$B139)</f>
        <v/>
      </c>
      <c r="C582" s="0" t="str">
        <f aca="false">IF('THÁNG 9'!$C139="","",'THÁNG 9'!$C139)</f>
        <v/>
      </c>
      <c r="D582" s="0" t="str">
        <f aca="false">IF('THÁNG 9'!$C139="","",'THÁNG 9'!$D139&amp;"")</f>
        <v/>
      </c>
      <c r="E582" s="0" t="str">
        <f aca="false">IF('THÁNG 9'!$C139="","",'THÁNG 9'!$E139&amp;"")</f>
        <v/>
      </c>
      <c r="F582" s="0" t="str">
        <f aca="false">IF('THÁNG 9'!$C139="","",'THÁNG 9'!$F139&amp;"")</f>
        <v/>
      </c>
      <c r="G582" s="0" t="str">
        <f aca="false">IF('THÁNG 9'!$C139="","",'THÁNG 9'!$G139&amp;"")</f>
        <v/>
      </c>
      <c r="H582" s="0" t="str">
        <f aca="false">IF('THÁNG 9'!$C139="","",'THÁNG 9'!$H139&amp;"")</f>
        <v/>
      </c>
      <c r="I582" s="0" t="str">
        <f aca="false">IF('THÁNG 9'!$C139="","",N('THÁNG 9'!$I139))</f>
        <v/>
      </c>
      <c r="J582" s="0" t="str">
        <f aca="false">IF('THÁNG 9'!$C139="","",N('THÁNG 9'!$L139))</f>
        <v/>
      </c>
      <c r="K582" s="0" t="str">
        <f aca="false">IF('THÁNG 9'!$C139="","",N('THÁNG 9'!$N139))</f>
        <v/>
      </c>
      <c r="L582" s="0" t="str">
        <f aca="false">IF('THÁNG 9'!$C139="","",N('THÁNG 9'!$O139))</f>
        <v/>
      </c>
      <c r="M582" s="0" t="str">
        <f aca="false">IF('THÁNG 9'!$C139="","",N('THÁNG 9'!$P139))</f>
        <v/>
      </c>
      <c r="N582" s="0" t="str">
        <f aca="false">IF('THÁNG 9'!$C139="","",N('THÁNG 9'!$Q139))</f>
        <v/>
      </c>
      <c r="O582" s="0" t="str">
        <f aca="false">IF('THÁNG 9'!$C139="","",N('THÁNG 9'!$R139))</f>
        <v/>
      </c>
      <c r="P582" s="0" t="str">
        <f aca="false">IF(OR('THÁNG 9'!$C139="",'THÁNG 9'!$T139=""),"",'THÁNG 9'!$T139)</f>
        <v/>
      </c>
      <c r="Q582" s="0" t="str">
        <f aca="false">IF(OR('THÁNG 9'!$C139="",'THÁNG 9'!$U139=""),"",'THÁNG 9'!$U139)</f>
        <v/>
      </c>
      <c r="R582" s="0" t="str">
        <f aca="false">IF('THÁNG 9'!$C139="","",'THÁNG 9'!$W139&amp;"")</f>
        <v/>
      </c>
      <c r="S582" s="0" t="str">
        <f aca="false">IF('THÁNG 9'!$C139="","",'THÁNG 9'!$S139&amp;"")</f>
        <v/>
      </c>
      <c r="T582" s="0" t="str">
        <f aca="false">IF(N($O582)&gt;0,COUNTIF($O$3:$O582,"&gt;0"),"")</f>
        <v/>
      </c>
      <c r="U582" s="0" t="str">
        <f aca="false">IF(AND(N($J582)&gt;0,N($K582)&gt;0),COUNTIFS($J$3:$J582,"&gt;0",$K$3:$K582,"&gt;0"),"")</f>
        <v/>
      </c>
      <c r="V582" s="0" t="str">
        <f aca="false">IF(AND(N($J582)&gt;0,N($K582)=0),COUNTIFS($J$3:$J582,"&gt;0",$K$3:$K582,"&lt;=0"),"")</f>
        <v/>
      </c>
      <c r="W582" s="0" t="str">
        <f aca="false">IF($C582="","",IF(COUNTIF($C$3:$C582,$C582)&gt;1,"",MAX($W$2:W581)+1))</f>
        <v/>
      </c>
      <c r="X582" s="0" t="str">
        <f aca="false">IF($H582="","",IF(COUNTIF($H$3:$H582,$H582)&gt;1,"",MAX($X$2:X581)+1))</f>
        <v/>
      </c>
      <c r="Y582" s="0" t="str">
        <f aca="false">IF(AND(N($M582)&gt;0,N($O582)&lt;=0),COUNTIFS($M$3:$M582,"&gt;0",$O$3:$O582,"&lt;=0"),"")</f>
        <v/>
      </c>
      <c r="Z582" s="30" t="n">
        <f aca="false">IF(OR('THÁNG 9'!$C139="",'THÁNG 9'!$B139=""),0,'THÁNG 9'!$B139)</f>
        <v>0</v>
      </c>
    </row>
    <row r="583" customFormat="false" ht="15" hidden="false" customHeight="false" outlineLevel="0" collapsed="false">
      <c r="A583" s="0" t="n">
        <v>9</v>
      </c>
      <c r="B583" s="29" t="str">
        <f aca="false">IF(OR('THÁNG 9'!$C140="",'THÁNG 9'!$B140=""),"",'THÁNG 9'!$B140)</f>
        <v/>
      </c>
      <c r="C583" s="0" t="str">
        <f aca="false">IF('THÁNG 9'!$C140="","",'THÁNG 9'!$C140)</f>
        <v/>
      </c>
      <c r="D583" s="0" t="str">
        <f aca="false">IF('THÁNG 9'!$C140="","",'THÁNG 9'!$D140&amp;"")</f>
        <v/>
      </c>
      <c r="E583" s="0" t="str">
        <f aca="false">IF('THÁNG 9'!$C140="","",'THÁNG 9'!$E140&amp;"")</f>
        <v/>
      </c>
      <c r="F583" s="0" t="str">
        <f aca="false">IF('THÁNG 9'!$C140="","",'THÁNG 9'!$F140&amp;"")</f>
        <v/>
      </c>
      <c r="G583" s="0" t="str">
        <f aca="false">IF('THÁNG 9'!$C140="","",'THÁNG 9'!$G140&amp;"")</f>
        <v/>
      </c>
      <c r="H583" s="0" t="str">
        <f aca="false">IF('THÁNG 9'!$C140="","",'THÁNG 9'!$H140&amp;"")</f>
        <v/>
      </c>
      <c r="I583" s="0" t="str">
        <f aca="false">IF('THÁNG 9'!$C140="","",N('THÁNG 9'!$I140))</f>
        <v/>
      </c>
      <c r="J583" s="0" t="str">
        <f aca="false">IF('THÁNG 9'!$C140="","",N('THÁNG 9'!$L140))</f>
        <v/>
      </c>
      <c r="K583" s="0" t="str">
        <f aca="false">IF('THÁNG 9'!$C140="","",N('THÁNG 9'!$N140))</f>
        <v/>
      </c>
      <c r="L583" s="0" t="str">
        <f aca="false">IF('THÁNG 9'!$C140="","",N('THÁNG 9'!$O140))</f>
        <v/>
      </c>
      <c r="M583" s="0" t="str">
        <f aca="false">IF('THÁNG 9'!$C140="","",N('THÁNG 9'!$P140))</f>
        <v/>
      </c>
      <c r="N583" s="0" t="str">
        <f aca="false">IF('THÁNG 9'!$C140="","",N('THÁNG 9'!$Q140))</f>
        <v/>
      </c>
      <c r="O583" s="0" t="str">
        <f aca="false">IF('THÁNG 9'!$C140="","",N('THÁNG 9'!$R140))</f>
        <v/>
      </c>
      <c r="P583" s="0" t="str">
        <f aca="false">IF(OR('THÁNG 9'!$C140="",'THÁNG 9'!$T140=""),"",'THÁNG 9'!$T140)</f>
        <v/>
      </c>
      <c r="Q583" s="0" t="str">
        <f aca="false">IF(OR('THÁNG 9'!$C140="",'THÁNG 9'!$U140=""),"",'THÁNG 9'!$U140)</f>
        <v/>
      </c>
      <c r="R583" s="0" t="str">
        <f aca="false">IF('THÁNG 9'!$C140="","",'THÁNG 9'!$W140&amp;"")</f>
        <v/>
      </c>
      <c r="S583" s="0" t="str">
        <f aca="false">IF('THÁNG 9'!$C140="","",'THÁNG 9'!$S140&amp;"")</f>
        <v/>
      </c>
      <c r="T583" s="0" t="str">
        <f aca="false">IF(N($O583)&gt;0,COUNTIF($O$3:$O583,"&gt;0"),"")</f>
        <v/>
      </c>
      <c r="U583" s="0" t="str">
        <f aca="false">IF(AND(N($J583)&gt;0,N($K583)&gt;0),COUNTIFS($J$3:$J583,"&gt;0",$K$3:$K583,"&gt;0"),"")</f>
        <v/>
      </c>
      <c r="V583" s="0" t="str">
        <f aca="false">IF(AND(N($J583)&gt;0,N($K583)=0),COUNTIFS($J$3:$J583,"&gt;0",$K$3:$K583,"&lt;=0"),"")</f>
        <v/>
      </c>
      <c r="W583" s="0" t="str">
        <f aca="false">IF($C583="","",IF(COUNTIF($C$3:$C583,$C583)&gt;1,"",MAX($W$2:W582)+1))</f>
        <v/>
      </c>
      <c r="X583" s="0" t="str">
        <f aca="false">IF($H583="","",IF(COUNTIF($H$3:$H583,$H583)&gt;1,"",MAX($X$2:X582)+1))</f>
        <v/>
      </c>
      <c r="Y583" s="0" t="str">
        <f aca="false">IF(AND(N($M583)&gt;0,N($O583)&lt;=0),COUNTIFS($M$3:$M583,"&gt;0",$O$3:$O583,"&lt;=0"),"")</f>
        <v/>
      </c>
      <c r="Z583" s="30" t="n">
        <f aca="false">IF(OR('THÁNG 9'!$C140="",'THÁNG 9'!$B140=""),0,'THÁNG 9'!$B140)</f>
        <v>0</v>
      </c>
    </row>
    <row r="584" customFormat="false" ht="15" hidden="false" customHeight="false" outlineLevel="0" collapsed="false">
      <c r="A584" s="0" t="n">
        <v>9</v>
      </c>
      <c r="B584" s="29" t="str">
        <f aca="false">IF(OR('THÁNG 9'!$C141="",'THÁNG 9'!$B141=""),"",'THÁNG 9'!$B141)</f>
        <v/>
      </c>
      <c r="C584" s="0" t="str">
        <f aca="false">IF('THÁNG 9'!$C141="","",'THÁNG 9'!$C141)</f>
        <v/>
      </c>
      <c r="D584" s="0" t="str">
        <f aca="false">IF('THÁNG 9'!$C141="","",'THÁNG 9'!$D141&amp;"")</f>
        <v/>
      </c>
      <c r="E584" s="0" t="str">
        <f aca="false">IF('THÁNG 9'!$C141="","",'THÁNG 9'!$E141&amp;"")</f>
        <v/>
      </c>
      <c r="F584" s="0" t="str">
        <f aca="false">IF('THÁNG 9'!$C141="","",'THÁNG 9'!$F141&amp;"")</f>
        <v/>
      </c>
      <c r="G584" s="0" t="str">
        <f aca="false">IF('THÁNG 9'!$C141="","",'THÁNG 9'!$G141&amp;"")</f>
        <v/>
      </c>
      <c r="H584" s="0" t="str">
        <f aca="false">IF('THÁNG 9'!$C141="","",'THÁNG 9'!$H141&amp;"")</f>
        <v/>
      </c>
      <c r="I584" s="0" t="str">
        <f aca="false">IF('THÁNG 9'!$C141="","",N('THÁNG 9'!$I141))</f>
        <v/>
      </c>
      <c r="J584" s="0" t="str">
        <f aca="false">IF('THÁNG 9'!$C141="","",N('THÁNG 9'!$L141))</f>
        <v/>
      </c>
      <c r="K584" s="0" t="str">
        <f aca="false">IF('THÁNG 9'!$C141="","",N('THÁNG 9'!$N141))</f>
        <v/>
      </c>
      <c r="L584" s="0" t="str">
        <f aca="false">IF('THÁNG 9'!$C141="","",N('THÁNG 9'!$O141))</f>
        <v/>
      </c>
      <c r="M584" s="0" t="str">
        <f aca="false">IF('THÁNG 9'!$C141="","",N('THÁNG 9'!$P141))</f>
        <v/>
      </c>
      <c r="N584" s="0" t="str">
        <f aca="false">IF('THÁNG 9'!$C141="","",N('THÁNG 9'!$Q141))</f>
        <v/>
      </c>
      <c r="O584" s="0" t="str">
        <f aca="false">IF('THÁNG 9'!$C141="","",N('THÁNG 9'!$R141))</f>
        <v/>
      </c>
      <c r="P584" s="0" t="str">
        <f aca="false">IF(OR('THÁNG 9'!$C141="",'THÁNG 9'!$T141=""),"",'THÁNG 9'!$T141)</f>
        <v/>
      </c>
      <c r="Q584" s="0" t="str">
        <f aca="false">IF(OR('THÁNG 9'!$C141="",'THÁNG 9'!$U141=""),"",'THÁNG 9'!$U141)</f>
        <v/>
      </c>
      <c r="R584" s="0" t="str">
        <f aca="false">IF('THÁNG 9'!$C141="","",'THÁNG 9'!$W141&amp;"")</f>
        <v/>
      </c>
      <c r="S584" s="0" t="str">
        <f aca="false">IF('THÁNG 9'!$C141="","",'THÁNG 9'!$S141&amp;"")</f>
        <v/>
      </c>
      <c r="T584" s="0" t="str">
        <f aca="false">IF(N($O584)&gt;0,COUNTIF($O$3:$O584,"&gt;0"),"")</f>
        <v/>
      </c>
      <c r="U584" s="0" t="str">
        <f aca="false">IF(AND(N($J584)&gt;0,N($K584)&gt;0),COUNTIFS($J$3:$J584,"&gt;0",$K$3:$K584,"&gt;0"),"")</f>
        <v/>
      </c>
      <c r="V584" s="0" t="str">
        <f aca="false">IF(AND(N($J584)&gt;0,N($K584)=0),COUNTIFS($J$3:$J584,"&gt;0",$K$3:$K584,"&lt;=0"),"")</f>
        <v/>
      </c>
      <c r="W584" s="0" t="str">
        <f aca="false">IF($C584="","",IF(COUNTIF($C$3:$C584,$C584)&gt;1,"",MAX($W$2:W583)+1))</f>
        <v/>
      </c>
      <c r="X584" s="0" t="str">
        <f aca="false">IF($H584="","",IF(COUNTIF($H$3:$H584,$H584)&gt;1,"",MAX($X$2:X583)+1))</f>
        <v/>
      </c>
      <c r="Y584" s="0" t="str">
        <f aca="false">IF(AND(N($M584)&gt;0,N($O584)&lt;=0),COUNTIFS($M$3:$M584,"&gt;0",$O$3:$O584,"&lt;=0"),"")</f>
        <v/>
      </c>
      <c r="Z584" s="30" t="n">
        <f aca="false">IF(OR('THÁNG 9'!$C141="",'THÁNG 9'!$B141=""),0,'THÁNG 9'!$B141)</f>
        <v>0</v>
      </c>
    </row>
    <row r="585" customFormat="false" ht="15" hidden="false" customHeight="false" outlineLevel="0" collapsed="false">
      <c r="A585" s="0" t="n">
        <v>9</v>
      </c>
      <c r="B585" s="29" t="str">
        <f aca="false">IF(OR('THÁNG 9'!$C142="",'THÁNG 9'!$B142=""),"",'THÁNG 9'!$B142)</f>
        <v/>
      </c>
      <c r="C585" s="0" t="str">
        <f aca="false">IF('THÁNG 9'!$C142="","",'THÁNG 9'!$C142)</f>
        <v/>
      </c>
      <c r="D585" s="0" t="str">
        <f aca="false">IF('THÁNG 9'!$C142="","",'THÁNG 9'!$D142&amp;"")</f>
        <v/>
      </c>
      <c r="E585" s="0" t="str">
        <f aca="false">IF('THÁNG 9'!$C142="","",'THÁNG 9'!$E142&amp;"")</f>
        <v/>
      </c>
      <c r="F585" s="0" t="str">
        <f aca="false">IF('THÁNG 9'!$C142="","",'THÁNG 9'!$F142&amp;"")</f>
        <v/>
      </c>
      <c r="G585" s="0" t="str">
        <f aca="false">IF('THÁNG 9'!$C142="","",'THÁNG 9'!$G142&amp;"")</f>
        <v/>
      </c>
      <c r="H585" s="0" t="str">
        <f aca="false">IF('THÁNG 9'!$C142="","",'THÁNG 9'!$H142&amp;"")</f>
        <v/>
      </c>
      <c r="I585" s="0" t="str">
        <f aca="false">IF('THÁNG 9'!$C142="","",N('THÁNG 9'!$I142))</f>
        <v/>
      </c>
      <c r="J585" s="0" t="str">
        <f aca="false">IF('THÁNG 9'!$C142="","",N('THÁNG 9'!$L142))</f>
        <v/>
      </c>
      <c r="K585" s="0" t="str">
        <f aca="false">IF('THÁNG 9'!$C142="","",N('THÁNG 9'!$N142))</f>
        <v/>
      </c>
      <c r="L585" s="0" t="str">
        <f aca="false">IF('THÁNG 9'!$C142="","",N('THÁNG 9'!$O142))</f>
        <v/>
      </c>
      <c r="M585" s="0" t="str">
        <f aca="false">IF('THÁNG 9'!$C142="","",N('THÁNG 9'!$P142))</f>
        <v/>
      </c>
      <c r="N585" s="0" t="str">
        <f aca="false">IF('THÁNG 9'!$C142="","",N('THÁNG 9'!$Q142))</f>
        <v/>
      </c>
      <c r="O585" s="0" t="str">
        <f aca="false">IF('THÁNG 9'!$C142="","",N('THÁNG 9'!$R142))</f>
        <v/>
      </c>
      <c r="P585" s="0" t="str">
        <f aca="false">IF(OR('THÁNG 9'!$C142="",'THÁNG 9'!$T142=""),"",'THÁNG 9'!$T142)</f>
        <v/>
      </c>
      <c r="Q585" s="0" t="str">
        <f aca="false">IF(OR('THÁNG 9'!$C142="",'THÁNG 9'!$U142=""),"",'THÁNG 9'!$U142)</f>
        <v/>
      </c>
      <c r="R585" s="0" t="str">
        <f aca="false">IF('THÁNG 9'!$C142="","",'THÁNG 9'!$W142&amp;"")</f>
        <v/>
      </c>
      <c r="S585" s="0" t="str">
        <f aca="false">IF('THÁNG 9'!$C142="","",'THÁNG 9'!$S142&amp;"")</f>
        <v/>
      </c>
      <c r="T585" s="0" t="str">
        <f aca="false">IF(N($O585)&gt;0,COUNTIF($O$3:$O585,"&gt;0"),"")</f>
        <v/>
      </c>
      <c r="U585" s="0" t="str">
        <f aca="false">IF(AND(N($J585)&gt;0,N($K585)&gt;0),COUNTIFS($J$3:$J585,"&gt;0",$K$3:$K585,"&gt;0"),"")</f>
        <v/>
      </c>
      <c r="V585" s="0" t="str">
        <f aca="false">IF(AND(N($J585)&gt;0,N($K585)=0),COUNTIFS($J$3:$J585,"&gt;0",$K$3:$K585,"&lt;=0"),"")</f>
        <v/>
      </c>
      <c r="W585" s="0" t="str">
        <f aca="false">IF($C585="","",IF(COUNTIF($C$3:$C585,$C585)&gt;1,"",MAX($W$2:W584)+1))</f>
        <v/>
      </c>
      <c r="X585" s="0" t="str">
        <f aca="false">IF($H585="","",IF(COUNTIF($H$3:$H585,$H585)&gt;1,"",MAX($X$2:X584)+1))</f>
        <v/>
      </c>
      <c r="Y585" s="0" t="str">
        <f aca="false">IF(AND(N($M585)&gt;0,N($O585)&lt;=0),COUNTIFS($M$3:$M585,"&gt;0",$O$3:$O585,"&lt;=0"),"")</f>
        <v/>
      </c>
      <c r="Z585" s="30" t="n">
        <f aca="false">IF(OR('THÁNG 9'!$C142="",'THÁNG 9'!$B142=""),0,'THÁNG 9'!$B142)</f>
        <v>0</v>
      </c>
    </row>
    <row r="586" customFormat="false" ht="15" hidden="false" customHeight="false" outlineLevel="0" collapsed="false">
      <c r="A586" s="0" t="n">
        <v>9</v>
      </c>
      <c r="B586" s="29" t="str">
        <f aca="false">IF(OR('THÁNG 9'!$C143="",'THÁNG 9'!$B143=""),"",'THÁNG 9'!$B143)</f>
        <v/>
      </c>
      <c r="C586" s="0" t="str">
        <f aca="false">IF('THÁNG 9'!$C143="","",'THÁNG 9'!$C143)</f>
        <v/>
      </c>
      <c r="D586" s="0" t="str">
        <f aca="false">IF('THÁNG 9'!$C143="","",'THÁNG 9'!$D143&amp;"")</f>
        <v/>
      </c>
      <c r="E586" s="0" t="str">
        <f aca="false">IF('THÁNG 9'!$C143="","",'THÁNG 9'!$E143&amp;"")</f>
        <v/>
      </c>
      <c r="F586" s="0" t="str">
        <f aca="false">IF('THÁNG 9'!$C143="","",'THÁNG 9'!$F143&amp;"")</f>
        <v/>
      </c>
      <c r="G586" s="0" t="str">
        <f aca="false">IF('THÁNG 9'!$C143="","",'THÁNG 9'!$G143&amp;"")</f>
        <v/>
      </c>
      <c r="H586" s="0" t="str">
        <f aca="false">IF('THÁNG 9'!$C143="","",'THÁNG 9'!$H143&amp;"")</f>
        <v/>
      </c>
      <c r="I586" s="0" t="str">
        <f aca="false">IF('THÁNG 9'!$C143="","",N('THÁNG 9'!$I143))</f>
        <v/>
      </c>
      <c r="J586" s="0" t="str">
        <f aca="false">IF('THÁNG 9'!$C143="","",N('THÁNG 9'!$L143))</f>
        <v/>
      </c>
      <c r="K586" s="0" t="str">
        <f aca="false">IF('THÁNG 9'!$C143="","",N('THÁNG 9'!$N143))</f>
        <v/>
      </c>
      <c r="L586" s="0" t="str">
        <f aca="false">IF('THÁNG 9'!$C143="","",N('THÁNG 9'!$O143))</f>
        <v/>
      </c>
      <c r="M586" s="0" t="str">
        <f aca="false">IF('THÁNG 9'!$C143="","",N('THÁNG 9'!$P143))</f>
        <v/>
      </c>
      <c r="N586" s="0" t="str">
        <f aca="false">IF('THÁNG 9'!$C143="","",N('THÁNG 9'!$Q143))</f>
        <v/>
      </c>
      <c r="O586" s="0" t="str">
        <f aca="false">IF('THÁNG 9'!$C143="","",N('THÁNG 9'!$R143))</f>
        <v/>
      </c>
      <c r="P586" s="0" t="str">
        <f aca="false">IF(OR('THÁNG 9'!$C143="",'THÁNG 9'!$T143=""),"",'THÁNG 9'!$T143)</f>
        <v/>
      </c>
      <c r="Q586" s="0" t="str">
        <f aca="false">IF(OR('THÁNG 9'!$C143="",'THÁNG 9'!$U143=""),"",'THÁNG 9'!$U143)</f>
        <v/>
      </c>
      <c r="R586" s="0" t="str">
        <f aca="false">IF('THÁNG 9'!$C143="","",'THÁNG 9'!$W143&amp;"")</f>
        <v/>
      </c>
      <c r="S586" s="0" t="str">
        <f aca="false">IF('THÁNG 9'!$C143="","",'THÁNG 9'!$S143&amp;"")</f>
        <v/>
      </c>
      <c r="T586" s="0" t="str">
        <f aca="false">IF(N($O586)&gt;0,COUNTIF($O$3:$O586,"&gt;0"),"")</f>
        <v/>
      </c>
      <c r="U586" s="0" t="str">
        <f aca="false">IF(AND(N($J586)&gt;0,N($K586)&gt;0),COUNTIFS($J$3:$J586,"&gt;0",$K$3:$K586,"&gt;0"),"")</f>
        <v/>
      </c>
      <c r="V586" s="0" t="str">
        <f aca="false">IF(AND(N($J586)&gt;0,N($K586)=0),COUNTIFS($J$3:$J586,"&gt;0",$K$3:$K586,"&lt;=0"),"")</f>
        <v/>
      </c>
      <c r="W586" s="0" t="str">
        <f aca="false">IF($C586="","",IF(COUNTIF($C$3:$C586,$C586)&gt;1,"",MAX($W$2:W585)+1))</f>
        <v/>
      </c>
      <c r="X586" s="0" t="str">
        <f aca="false">IF($H586="","",IF(COUNTIF($H$3:$H586,$H586)&gt;1,"",MAX($X$2:X585)+1))</f>
        <v/>
      </c>
      <c r="Y586" s="0" t="str">
        <f aca="false">IF(AND(N($M586)&gt;0,N($O586)&lt;=0),COUNTIFS($M$3:$M586,"&gt;0",$O$3:$O586,"&lt;=0"),"")</f>
        <v/>
      </c>
      <c r="Z586" s="30" t="n">
        <f aca="false">IF(OR('THÁNG 9'!$C143="",'THÁNG 9'!$B143=""),0,'THÁNG 9'!$B143)</f>
        <v>0</v>
      </c>
    </row>
    <row r="587" customFormat="false" ht="15" hidden="false" customHeight="false" outlineLevel="0" collapsed="false">
      <c r="A587" s="0" t="n">
        <v>9</v>
      </c>
      <c r="B587" s="29" t="str">
        <f aca="false">IF(OR('THÁNG 9'!$C144="",'THÁNG 9'!$B144=""),"",'THÁNG 9'!$B144)</f>
        <v/>
      </c>
      <c r="C587" s="0" t="str">
        <f aca="false">IF('THÁNG 9'!$C144="","",'THÁNG 9'!$C144)</f>
        <v/>
      </c>
      <c r="D587" s="0" t="str">
        <f aca="false">IF('THÁNG 9'!$C144="","",'THÁNG 9'!$D144&amp;"")</f>
        <v/>
      </c>
      <c r="E587" s="0" t="str">
        <f aca="false">IF('THÁNG 9'!$C144="","",'THÁNG 9'!$E144&amp;"")</f>
        <v/>
      </c>
      <c r="F587" s="0" t="str">
        <f aca="false">IF('THÁNG 9'!$C144="","",'THÁNG 9'!$F144&amp;"")</f>
        <v/>
      </c>
      <c r="G587" s="0" t="str">
        <f aca="false">IF('THÁNG 9'!$C144="","",'THÁNG 9'!$G144&amp;"")</f>
        <v/>
      </c>
      <c r="H587" s="0" t="str">
        <f aca="false">IF('THÁNG 9'!$C144="","",'THÁNG 9'!$H144&amp;"")</f>
        <v/>
      </c>
      <c r="I587" s="0" t="str">
        <f aca="false">IF('THÁNG 9'!$C144="","",N('THÁNG 9'!$I144))</f>
        <v/>
      </c>
      <c r="J587" s="0" t="str">
        <f aca="false">IF('THÁNG 9'!$C144="","",N('THÁNG 9'!$L144))</f>
        <v/>
      </c>
      <c r="K587" s="0" t="str">
        <f aca="false">IF('THÁNG 9'!$C144="","",N('THÁNG 9'!$N144))</f>
        <v/>
      </c>
      <c r="L587" s="0" t="str">
        <f aca="false">IF('THÁNG 9'!$C144="","",N('THÁNG 9'!$O144))</f>
        <v/>
      </c>
      <c r="M587" s="0" t="str">
        <f aca="false">IF('THÁNG 9'!$C144="","",N('THÁNG 9'!$P144))</f>
        <v/>
      </c>
      <c r="N587" s="0" t="str">
        <f aca="false">IF('THÁNG 9'!$C144="","",N('THÁNG 9'!$Q144))</f>
        <v/>
      </c>
      <c r="O587" s="0" t="str">
        <f aca="false">IF('THÁNG 9'!$C144="","",N('THÁNG 9'!$R144))</f>
        <v/>
      </c>
      <c r="P587" s="0" t="str">
        <f aca="false">IF(OR('THÁNG 9'!$C144="",'THÁNG 9'!$T144=""),"",'THÁNG 9'!$T144)</f>
        <v/>
      </c>
      <c r="Q587" s="0" t="str">
        <f aca="false">IF(OR('THÁNG 9'!$C144="",'THÁNG 9'!$U144=""),"",'THÁNG 9'!$U144)</f>
        <v/>
      </c>
      <c r="R587" s="0" t="str">
        <f aca="false">IF('THÁNG 9'!$C144="","",'THÁNG 9'!$W144&amp;"")</f>
        <v/>
      </c>
      <c r="S587" s="0" t="str">
        <f aca="false">IF('THÁNG 9'!$C144="","",'THÁNG 9'!$S144&amp;"")</f>
        <v/>
      </c>
      <c r="T587" s="0" t="str">
        <f aca="false">IF(N($O587)&gt;0,COUNTIF($O$3:$O587,"&gt;0"),"")</f>
        <v/>
      </c>
      <c r="U587" s="0" t="str">
        <f aca="false">IF(AND(N($J587)&gt;0,N($K587)&gt;0),COUNTIFS($J$3:$J587,"&gt;0",$K$3:$K587,"&gt;0"),"")</f>
        <v/>
      </c>
      <c r="V587" s="0" t="str">
        <f aca="false">IF(AND(N($J587)&gt;0,N($K587)=0),COUNTIFS($J$3:$J587,"&gt;0",$K$3:$K587,"&lt;=0"),"")</f>
        <v/>
      </c>
      <c r="W587" s="0" t="str">
        <f aca="false">IF($C587="","",IF(COUNTIF($C$3:$C587,$C587)&gt;1,"",MAX($W$2:W586)+1))</f>
        <v/>
      </c>
      <c r="X587" s="0" t="str">
        <f aca="false">IF($H587="","",IF(COUNTIF($H$3:$H587,$H587)&gt;1,"",MAX($X$2:X586)+1))</f>
        <v/>
      </c>
      <c r="Y587" s="0" t="str">
        <f aca="false">IF(AND(N($M587)&gt;0,N($O587)&lt;=0),COUNTIFS($M$3:$M587,"&gt;0",$O$3:$O587,"&lt;=0"),"")</f>
        <v/>
      </c>
      <c r="Z587" s="30" t="n">
        <f aca="false">IF(OR('THÁNG 9'!$C144="",'THÁNG 9'!$B144=""),0,'THÁNG 9'!$B144)</f>
        <v>0</v>
      </c>
    </row>
    <row r="588" customFormat="false" ht="15" hidden="false" customHeight="false" outlineLevel="0" collapsed="false">
      <c r="A588" s="0" t="n">
        <v>9</v>
      </c>
      <c r="B588" s="29" t="str">
        <f aca="false">IF(OR('THÁNG 9'!$C145="",'THÁNG 9'!$B145=""),"",'THÁNG 9'!$B145)</f>
        <v/>
      </c>
      <c r="C588" s="0" t="str">
        <f aca="false">IF('THÁNG 9'!$C145="","",'THÁNG 9'!$C145)</f>
        <v/>
      </c>
      <c r="D588" s="0" t="str">
        <f aca="false">IF('THÁNG 9'!$C145="","",'THÁNG 9'!$D145&amp;"")</f>
        <v/>
      </c>
      <c r="E588" s="0" t="str">
        <f aca="false">IF('THÁNG 9'!$C145="","",'THÁNG 9'!$E145&amp;"")</f>
        <v/>
      </c>
      <c r="F588" s="0" t="str">
        <f aca="false">IF('THÁNG 9'!$C145="","",'THÁNG 9'!$F145&amp;"")</f>
        <v/>
      </c>
      <c r="G588" s="0" t="str">
        <f aca="false">IF('THÁNG 9'!$C145="","",'THÁNG 9'!$G145&amp;"")</f>
        <v/>
      </c>
      <c r="H588" s="0" t="str">
        <f aca="false">IF('THÁNG 9'!$C145="","",'THÁNG 9'!$H145&amp;"")</f>
        <v/>
      </c>
      <c r="I588" s="0" t="str">
        <f aca="false">IF('THÁNG 9'!$C145="","",N('THÁNG 9'!$I145))</f>
        <v/>
      </c>
      <c r="J588" s="0" t="str">
        <f aca="false">IF('THÁNG 9'!$C145="","",N('THÁNG 9'!$L145))</f>
        <v/>
      </c>
      <c r="K588" s="0" t="str">
        <f aca="false">IF('THÁNG 9'!$C145="","",N('THÁNG 9'!$N145))</f>
        <v/>
      </c>
      <c r="L588" s="0" t="str">
        <f aca="false">IF('THÁNG 9'!$C145="","",N('THÁNG 9'!$O145))</f>
        <v/>
      </c>
      <c r="M588" s="0" t="str">
        <f aca="false">IF('THÁNG 9'!$C145="","",N('THÁNG 9'!$P145))</f>
        <v/>
      </c>
      <c r="N588" s="0" t="str">
        <f aca="false">IF('THÁNG 9'!$C145="","",N('THÁNG 9'!$Q145))</f>
        <v/>
      </c>
      <c r="O588" s="0" t="str">
        <f aca="false">IF('THÁNG 9'!$C145="","",N('THÁNG 9'!$R145))</f>
        <v/>
      </c>
      <c r="P588" s="0" t="str">
        <f aca="false">IF(OR('THÁNG 9'!$C145="",'THÁNG 9'!$T145=""),"",'THÁNG 9'!$T145)</f>
        <v/>
      </c>
      <c r="Q588" s="0" t="str">
        <f aca="false">IF(OR('THÁNG 9'!$C145="",'THÁNG 9'!$U145=""),"",'THÁNG 9'!$U145)</f>
        <v/>
      </c>
      <c r="R588" s="0" t="str">
        <f aca="false">IF('THÁNG 9'!$C145="","",'THÁNG 9'!$W145&amp;"")</f>
        <v/>
      </c>
      <c r="S588" s="0" t="str">
        <f aca="false">IF('THÁNG 9'!$C145="","",'THÁNG 9'!$S145&amp;"")</f>
        <v/>
      </c>
      <c r="T588" s="0" t="str">
        <f aca="false">IF(N($O588)&gt;0,COUNTIF($O$3:$O588,"&gt;0"),"")</f>
        <v/>
      </c>
      <c r="U588" s="0" t="str">
        <f aca="false">IF(AND(N($J588)&gt;0,N($K588)&gt;0),COUNTIFS($J$3:$J588,"&gt;0",$K$3:$K588,"&gt;0"),"")</f>
        <v/>
      </c>
      <c r="V588" s="0" t="str">
        <f aca="false">IF(AND(N($J588)&gt;0,N($K588)=0),COUNTIFS($J$3:$J588,"&gt;0",$K$3:$K588,"&lt;=0"),"")</f>
        <v/>
      </c>
      <c r="W588" s="0" t="str">
        <f aca="false">IF($C588="","",IF(COUNTIF($C$3:$C588,$C588)&gt;1,"",MAX($W$2:W587)+1))</f>
        <v/>
      </c>
      <c r="X588" s="0" t="str">
        <f aca="false">IF($H588="","",IF(COUNTIF($H$3:$H588,$H588)&gt;1,"",MAX($X$2:X587)+1))</f>
        <v/>
      </c>
      <c r="Y588" s="0" t="str">
        <f aca="false">IF(AND(N($M588)&gt;0,N($O588)&lt;=0),COUNTIFS($M$3:$M588,"&gt;0",$O$3:$O588,"&lt;=0"),"")</f>
        <v/>
      </c>
      <c r="Z588" s="30" t="n">
        <f aca="false">IF(OR('THÁNG 9'!$C145="",'THÁNG 9'!$B145=""),0,'THÁNG 9'!$B145)</f>
        <v>0</v>
      </c>
    </row>
    <row r="589" customFormat="false" ht="15" hidden="false" customHeight="false" outlineLevel="0" collapsed="false">
      <c r="A589" s="0" t="n">
        <v>9</v>
      </c>
      <c r="B589" s="29" t="str">
        <f aca="false">IF(OR('THÁNG 9'!$C146="",'THÁNG 9'!$B146=""),"",'THÁNG 9'!$B146)</f>
        <v/>
      </c>
      <c r="C589" s="0" t="str">
        <f aca="false">IF('THÁNG 9'!$C146="","",'THÁNG 9'!$C146)</f>
        <v/>
      </c>
      <c r="D589" s="0" t="str">
        <f aca="false">IF('THÁNG 9'!$C146="","",'THÁNG 9'!$D146&amp;"")</f>
        <v/>
      </c>
      <c r="E589" s="0" t="str">
        <f aca="false">IF('THÁNG 9'!$C146="","",'THÁNG 9'!$E146&amp;"")</f>
        <v/>
      </c>
      <c r="F589" s="0" t="str">
        <f aca="false">IF('THÁNG 9'!$C146="","",'THÁNG 9'!$F146&amp;"")</f>
        <v/>
      </c>
      <c r="G589" s="0" t="str">
        <f aca="false">IF('THÁNG 9'!$C146="","",'THÁNG 9'!$G146&amp;"")</f>
        <v/>
      </c>
      <c r="H589" s="0" t="str">
        <f aca="false">IF('THÁNG 9'!$C146="","",'THÁNG 9'!$H146&amp;"")</f>
        <v/>
      </c>
      <c r="I589" s="0" t="str">
        <f aca="false">IF('THÁNG 9'!$C146="","",N('THÁNG 9'!$I146))</f>
        <v/>
      </c>
      <c r="J589" s="0" t="str">
        <f aca="false">IF('THÁNG 9'!$C146="","",N('THÁNG 9'!$L146))</f>
        <v/>
      </c>
      <c r="K589" s="0" t="str">
        <f aca="false">IF('THÁNG 9'!$C146="","",N('THÁNG 9'!$N146))</f>
        <v/>
      </c>
      <c r="L589" s="0" t="str">
        <f aca="false">IF('THÁNG 9'!$C146="","",N('THÁNG 9'!$O146))</f>
        <v/>
      </c>
      <c r="M589" s="0" t="str">
        <f aca="false">IF('THÁNG 9'!$C146="","",N('THÁNG 9'!$P146))</f>
        <v/>
      </c>
      <c r="N589" s="0" t="str">
        <f aca="false">IF('THÁNG 9'!$C146="","",N('THÁNG 9'!$Q146))</f>
        <v/>
      </c>
      <c r="O589" s="0" t="str">
        <f aca="false">IF('THÁNG 9'!$C146="","",N('THÁNG 9'!$R146))</f>
        <v/>
      </c>
      <c r="P589" s="0" t="str">
        <f aca="false">IF(OR('THÁNG 9'!$C146="",'THÁNG 9'!$T146=""),"",'THÁNG 9'!$T146)</f>
        <v/>
      </c>
      <c r="Q589" s="0" t="str">
        <f aca="false">IF(OR('THÁNG 9'!$C146="",'THÁNG 9'!$U146=""),"",'THÁNG 9'!$U146)</f>
        <v/>
      </c>
      <c r="R589" s="0" t="str">
        <f aca="false">IF('THÁNG 9'!$C146="","",'THÁNG 9'!$W146&amp;"")</f>
        <v/>
      </c>
      <c r="S589" s="0" t="str">
        <f aca="false">IF('THÁNG 9'!$C146="","",'THÁNG 9'!$S146&amp;"")</f>
        <v/>
      </c>
      <c r="T589" s="0" t="str">
        <f aca="false">IF(N($O589)&gt;0,COUNTIF($O$3:$O589,"&gt;0"),"")</f>
        <v/>
      </c>
      <c r="U589" s="0" t="str">
        <f aca="false">IF(AND(N($J589)&gt;0,N($K589)&gt;0),COUNTIFS($J$3:$J589,"&gt;0",$K$3:$K589,"&gt;0"),"")</f>
        <v/>
      </c>
      <c r="V589" s="0" t="str">
        <f aca="false">IF(AND(N($J589)&gt;0,N($K589)=0),COUNTIFS($J$3:$J589,"&gt;0",$K$3:$K589,"&lt;=0"),"")</f>
        <v/>
      </c>
      <c r="W589" s="0" t="str">
        <f aca="false">IF($C589="","",IF(COUNTIF($C$3:$C589,$C589)&gt;1,"",MAX($W$2:W588)+1))</f>
        <v/>
      </c>
      <c r="X589" s="0" t="str">
        <f aca="false">IF($H589="","",IF(COUNTIF($H$3:$H589,$H589)&gt;1,"",MAX($X$2:X588)+1))</f>
        <v/>
      </c>
      <c r="Y589" s="0" t="str">
        <f aca="false">IF(AND(N($M589)&gt;0,N($O589)&lt;=0),COUNTIFS($M$3:$M589,"&gt;0",$O$3:$O589,"&lt;=0"),"")</f>
        <v/>
      </c>
      <c r="Z589" s="30" t="n">
        <f aca="false">IF(OR('THÁNG 9'!$C146="",'THÁNG 9'!$B146=""),0,'THÁNG 9'!$B146)</f>
        <v>0</v>
      </c>
    </row>
    <row r="590" customFormat="false" ht="15" hidden="false" customHeight="false" outlineLevel="0" collapsed="false">
      <c r="A590" s="0" t="n">
        <v>9</v>
      </c>
      <c r="B590" s="29" t="str">
        <f aca="false">IF(OR('THÁNG 9'!$C147="",'THÁNG 9'!$B147=""),"",'THÁNG 9'!$B147)</f>
        <v/>
      </c>
      <c r="C590" s="0" t="str">
        <f aca="false">IF('THÁNG 9'!$C147="","",'THÁNG 9'!$C147)</f>
        <v/>
      </c>
      <c r="D590" s="0" t="str">
        <f aca="false">IF('THÁNG 9'!$C147="","",'THÁNG 9'!$D147&amp;"")</f>
        <v/>
      </c>
      <c r="E590" s="0" t="str">
        <f aca="false">IF('THÁNG 9'!$C147="","",'THÁNG 9'!$E147&amp;"")</f>
        <v/>
      </c>
      <c r="F590" s="0" t="str">
        <f aca="false">IF('THÁNG 9'!$C147="","",'THÁNG 9'!$F147&amp;"")</f>
        <v/>
      </c>
      <c r="G590" s="0" t="str">
        <f aca="false">IF('THÁNG 9'!$C147="","",'THÁNG 9'!$G147&amp;"")</f>
        <v/>
      </c>
      <c r="H590" s="0" t="str">
        <f aca="false">IF('THÁNG 9'!$C147="","",'THÁNG 9'!$H147&amp;"")</f>
        <v/>
      </c>
      <c r="I590" s="0" t="str">
        <f aca="false">IF('THÁNG 9'!$C147="","",N('THÁNG 9'!$I147))</f>
        <v/>
      </c>
      <c r="J590" s="0" t="str">
        <f aca="false">IF('THÁNG 9'!$C147="","",N('THÁNG 9'!$L147))</f>
        <v/>
      </c>
      <c r="K590" s="0" t="str">
        <f aca="false">IF('THÁNG 9'!$C147="","",N('THÁNG 9'!$N147))</f>
        <v/>
      </c>
      <c r="L590" s="0" t="str">
        <f aca="false">IF('THÁNG 9'!$C147="","",N('THÁNG 9'!$O147))</f>
        <v/>
      </c>
      <c r="M590" s="0" t="str">
        <f aca="false">IF('THÁNG 9'!$C147="","",N('THÁNG 9'!$P147))</f>
        <v/>
      </c>
      <c r="N590" s="0" t="str">
        <f aca="false">IF('THÁNG 9'!$C147="","",N('THÁNG 9'!$Q147))</f>
        <v/>
      </c>
      <c r="O590" s="0" t="str">
        <f aca="false">IF('THÁNG 9'!$C147="","",N('THÁNG 9'!$R147))</f>
        <v/>
      </c>
      <c r="P590" s="0" t="str">
        <f aca="false">IF(OR('THÁNG 9'!$C147="",'THÁNG 9'!$T147=""),"",'THÁNG 9'!$T147)</f>
        <v/>
      </c>
      <c r="Q590" s="0" t="str">
        <f aca="false">IF(OR('THÁNG 9'!$C147="",'THÁNG 9'!$U147=""),"",'THÁNG 9'!$U147)</f>
        <v/>
      </c>
      <c r="R590" s="0" t="str">
        <f aca="false">IF('THÁNG 9'!$C147="","",'THÁNG 9'!$W147&amp;"")</f>
        <v/>
      </c>
      <c r="S590" s="0" t="str">
        <f aca="false">IF('THÁNG 9'!$C147="","",'THÁNG 9'!$S147&amp;"")</f>
        <v/>
      </c>
      <c r="T590" s="0" t="str">
        <f aca="false">IF(N($O590)&gt;0,COUNTIF($O$3:$O590,"&gt;0"),"")</f>
        <v/>
      </c>
      <c r="U590" s="0" t="str">
        <f aca="false">IF(AND(N($J590)&gt;0,N($K590)&gt;0),COUNTIFS($J$3:$J590,"&gt;0",$K$3:$K590,"&gt;0"),"")</f>
        <v/>
      </c>
      <c r="V590" s="0" t="str">
        <f aca="false">IF(AND(N($J590)&gt;0,N($K590)=0),COUNTIFS($J$3:$J590,"&gt;0",$K$3:$K590,"&lt;=0"),"")</f>
        <v/>
      </c>
      <c r="W590" s="0" t="str">
        <f aca="false">IF($C590="","",IF(COUNTIF($C$3:$C590,$C590)&gt;1,"",MAX($W$2:W589)+1))</f>
        <v/>
      </c>
      <c r="X590" s="0" t="str">
        <f aca="false">IF($H590="","",IF(COUNTIF($H$3:$H590,$H590)&gt;1,"",MAX($X$2:X589)+1))</f>
        <v/>
      </c>
      <c r="Y590" s="0" t="str">
        <f aca="false">IF(AND(N($M590)&gt;0,N($O590)&lt;=0),COUNTIFS($M$3:$M590,"&gt;0",$O$3:$O590,"&lt;=0"),"")</f>
        <v/>
      </c>
      <c r="Z590" s="30" t="n">
        <f aca="false">IF(OR('THÁNG 9'!$C147="",'THÁNG 9'!$B147=""),0,'THÁNG 9'!$B147)</f>
        <v>0</v>
      </c>
    </row>
    <row r="591" customFormat="false" ht="15" hidden="false" customHeight="false" outlineLevel="0" collapsed="false">
      <c r="A591" s="0" t="n">
        <v>9</v>
      </c>
      <c r="B591" s="29" t="str">
        <f aca="false">IF(OR('THÁNG 9'!$C148="",'THÁNG 9'!$B148=""),"",'THÁNG 9'!$B148)</f>
        <v/>
      </c>
      <c r="C591" s="0" t="str">
        <f aca="false">IF('THÁNG 9'!$C148="","",'THÁNG 9'!$C148)</f>
        <v/>
      </c>
      <c r="D591" s="0" t="str">
        <f aca="false">IF('THÁNG 9'!$C148="","",'THÁNG 9'!$D148&amp;"")</f>
        <v/>
      </c>
      <c r="E591" s="0" t="str">
        <f aca="false">IF('THÁNG 9'!$C148="","",'THÁNG 9'!$E148&amp;"")</f>
        <v/>
      </c>
      <c r="F591" s="0" t="str">
        <f aca="false">IF('THÁNG 9'!$C148="","",'THÁNG 9'!$F148&amp;"")</f>
        <v/>
      </c>
      <c r="G591" s="0" t="str">
        <f aca="false">IF('THÁNG 9'!$C148="","",'THÁNG 9'!$G148&amp;"")</f>
        <v/>
      </c>
      <c r="H591" s="0" t="str">
        <f aca="false">IF('THÁNG 9'!$C148="","",'THÁNG 9'!$H148&amp;"")</f>
        <v/>
      </c>
      <c r="I591" s="0" t="str">
        <f aca="false">IF('THÁNG 9'!$C148="","",N('THÁNG 9'!$I148))</f>
        <v/>
      </c>
      <c r="J591" s="0" t="str">
        <f aca="false">IF('THÁNG 9'!$C148="","",N('THÁNG 9'!$L148))</f>
        <v/>
      </c>
      <c r="K591" s="0" t="str">
        <f aca="false">IF('THÁNG 9'!$C148="","",N('THÁNG 9'!$N148))</f>
        <v/>
      </c>
      <c r="L591" s="0" t="str">
        <f aca="false">IF('THÁNG 9'!$C148="","",N('THÁNG 9'!$O148))</f>
        <v/>
      </c>
      <c r="M591" s="0" t="str">
        <f aca="false">IF('THÁNG 9'!$C148="","",N('THÁNG 9'!$P148))</f>
        <v/>
      </c>
      <c r="N591" s="0" t="str">
        <f aca="false">IF('THÁNG 9'!$C148="","",N('THÁNG 9'!$Q148))</f>
        <v/>
      </c>
      <c r="O591" s="0" t="str">
        <f aca="false">IF('THÁNG 9'!$C148="","",N('THÁNG 9'!$R148))</f>
        <v/>
      </c>
      <c r="P591" s="0" t="str">
        <f aca="false">IF(OR('THÁNG 9'!$C148="",'THÁNG 9'!$T148=""),"",'THÁNG 9'!$T148)</f>
        <v/>
      </c>
      <c r="Q591" s="0" t="str">
        <f aca="false">IF(OR('THÁNG 9'!$C148="",'THÁNG 9'!$U148=""),"",'THÁNG 9'!$U148)</f>
        <v/>
      </c>
      <c r="R591" s="0" t="str">
        <f aca="false">IF('THÁNG 9'!$C148="","",'THÁNG 9'!$W148&amp;"")</f>
        <v/>
      </c>
      <c r="S591" s="0" t="str">
        <f aca="false">IF('THÁNG 9'!$C148="","",'THÁNG 9'!$S148&amp;"")</f>
        <v/>
      </c>
      <c r="T591" s="0" t="str">
        <f aca="false">IF(N($O591)&gt;0,COUNTIF($O$3:$O591,"&gt;0"),"")</f>
        <v/>
      </c>
      <c r="U591" s="0" t="str">
        <f aca="false">IF(AND(N($J591)&gt;0,N($K591)&gt;0),COUNTIFS($J$3:$J591,"&gt;0",$K$3:$K591,"&gt;0"),"")</f>
        <v/>
      </c>
      <c r="V591" s="0" t="str">
        <f aca="false">IF(AND(N($J591)&gt;0,N($K591)=0),COUNTIFS($J$3:$J591,"&gt;0",$K$3:$K591,"&lt;=0"),"")</f>
        <v/>
      </c>
      <c r="W591" s="0" t="str">
        <f aca="false">IF($C591="","",IF(COUNTIF($C$3:$C591,$C591)&gt;1,"",MAX($W$2:W590)+1))</f>
        <v/>
      </c>
      <c r="X591" s="0" t="str">
        <f aca="false">IF($H591="","",IF(COUNTIF($H$3:$H591,$H591)&gt;1,"",MAX($X$2:X590)+1))</f>
        <v/>
      </c>
      <c r="Y591" s="0" t="str">
        <f aca="false">IF(AND(N($M591)&gt;0,N($O591)&lt;=0),COUNTIFS($M$3:$M591,"&gt;0",$O$3:$O591,"&lt;=0"),"")</f>
        <v/>
      </c>
      <c r="Z591" s="30" t="n">
        <f aca="false">IF(OR('THÁNG 9'!$C148="",'THÁNG 9'!$B148=""),0,'THÁNG 9'!$B148)</f>
        <v>0</v>
      </c>
    </row>
    <row r="592" customFormat="false" ht="15" hidden="false" customHeight="false" outlineLevel="0" collapsed="false">
      <c r="A592" s="0" t="n">
        <v>9</v>
      </c>
      <c r="B592" s="29" t="str">
        <f aca="false">IF(OR('THÁNG 9'!$C149="",'THÁNG 9'!$B149=""),"",'THÁNG 9'!$B149)</f>
        <v/>
      </c>
      <c r="C592" s="0" t="str">
        <f aca="false">IF('THÁNG 9'!$C149="","",'THÁNG 9'!$C149)</f>
        <v/>
      </c>
      <c r="D592" s="0" t="str">
        <f aca="false">IF('THÁNG 9'!$C149="","",'THÁNG 9'!$D149&amp;"")</f>
        <v/>
      </c>
      <c r="E592" s="0" t="str">
        <f aca="false">IF('THÁNG 9'!$C149="","",'THÁNG 9'!$E149&amp;"")</f>
        <v/>
      </c>
      <c r="F592" s="0" t="str">
        <f aca="false">IF('THÁNG 9'!$C149="","",'THÁNG 9'!$F149&amp;"")</f>
        <v/>
      </c>
      <c r="G592" s="0" t="str">
        <f aca="false">IF('THÁNG 9'!$C149="","",'THÁNG 9'!$G149&amp;"")</f>
        <v/>
      </c>
      <c r="H592" s="0" t="str">
        <f aca="false">IF('THÁNG 9'!$C149="","",'THÁNG 9'!$H149&amp;"")</f>
        <v/>
      </c>
      <c r="I592" s="0" t="str">
        <f aca="false">IF('THÁNG 9'!$C149="","",N('THÁNG 9'!$I149))</f>
        <v/>
      </c>
      <c r="J592" s="0" t="str">
        <f aca="false">IF('THÁNG 9'!$C149="","",N('THÁNG 9'!$L149))</f>
        <v/>
      </c>
      <c r="K592" s="0" t="str">
        <f aca="false">IF('THÁNG 9'!$C149="","",N('THÁNG 9'!$N149))</f>
        <v/>
      </c>
      <c r="L592" s="0" t="str">
        <f aca="false">IF('THÁNG 9'!$C149="","",N('THÁNG 9'!$O149))</f>
        <v/>
      </c>
      <c r="M592" s="0" t="str">
        <f aca="false">IF('THÁNG 9'!$C149="","",N('THÁNG 9'!$P149))</f>
        <v/>
      </c>
      <c r="N592" s="0" t="str">
        <f aca="false">IF('THÁNG 9'!$C149="","",N('THÁNG 9'!$Q149))</f>
        <v/>
      </c>
      <c r="O592" s="0" t="str">
        <f aca="false">IF('THÁNG 9'!$C149="","",N('THÁNG 9'!$R149))</f>
        <v/>
      </c>
      <c r="P592" s="0" t="str">
        <f aca="false">IF(OR('THÁNG 9'!$C149="",'THÁNG 9'!$T149=""),"",'THÁNG 9'!$T149)</f>
        <v/>
      </c>
      <c r="Q592" s="0" t="str">
        <f aca="false">IF(OR('THÁNG 9'!$C149="",'THÁNG 9'!$U149=""),"",'THÁNG 9'!$U149)</f>
        <v/>
      </c>
      <c r="R592" s="0" t="str">
        <f aca="false">IF('THÁNG 9'!$C149="","",'THÁNG 9'!$W149&amp;"")</f>
        <v/>
      </c>
      <c r="S592" s="0" t="str">
        <f aca="false">IF('THÁNG 9'!$C149="","",'THÁNG 9'!$S149&amp;"")</f>
        <v/>
      </c>
      <c r="T592" s="0" t="str">
        <f aca="false">IF(N($O592)&gt;0,COUNTIF($O$3:$O592,"&gt;0"),"")</f>
        <v/>
      </c>
      <c r="U592" s="0" t="str">
        <f aca="false">IF(AND(N($J592)&gt;0,N($K592)&gt;0),COUNTIFS($J$3:$J592,"&gt;0",$K$3:$K592,"&gt;0"),"")</f>
        <v/>
      </c>
      <c r="V592" s="0" t="str">
        <f aca="false">IF(AND(N($J592)&gt;0,N($K592)=0),COUNTIFS($J$3:$J592,"&gt;0",$K$3:$K592,"&lt;=0"),"")</f>
        <v/>
      </c>
      <c r="W592" s="0" t="str">
        <f aca="false">IF($C592="","",IF(COUNTIF($C$3:$C592,$C592)&gt;1,"",MAX($W$2:W591)+1))</f>
        <v/>
      </c>
      <c r="X592" s="0" t="str">
        <f aca="false">IF($H592="","",IF(COUNTIF($H$3:$H592,$H592)&gt;1,"",MAX($X$2:X591)+1))</f>
        <v/>
      </c>
      <c r="Y592" s="0" t="str">
        <f aca="false">IF(AND(N($M592)&gt;0,N($O592)&lt;=0),COUNTIFS($M$3:$M592,"&gt;0",$O$3:$O592,"&lt;=0"),"")</f>
        <v/>
      </c>
      <c r="Z592" s="30" t="n">
        <f aca="false">IF(OR('THÁNG 9'!$C149="",'THÁNG 9'!$B149=""),0,'THÁNG 9'!$B149)</f>
        <v>0</v>
      </c>
    </row>
    <row r="593" customFormat="false" ht="15" hidden="false" customHeight="false" outlineLevel="0" collapsed="false">
      <c r="A593" s="0" t="n">
        <v>9</v>
      </c>
      <c r="B593" s="29" t="str">
        <f aca="false">IF(OR('THÁNG 9'!$C150="",'THÁNG 9'!$B150=""),"",'THÁNG 9'!$B150)</f>
        <v/>
      </c>
      <c r="C593" s="0" t="str">
        <f aca="false">IF('THÁNG 9'!$C150="","",'THÁNG 9'!$C150)</f>
        <v/>
      </c>
      <c r="D593" s="0" t="str">
        <f aca="false">IF('THÁNG 9'!$C150="","",'THÁNG 9'!$D150&amp;"")</f>
        <v/>
      </c>
      <c r="E593" s="0" t="str">
        <f aca="false">IF('THÁNG 9'!$C150="","",'THÁNG 9'!$E150&amp;"")</f>
        <v/>
      </c>
      <c r="F593" s="0" t="str">
        <f aca="false">IF('THÁNG 9'!$C150="","",'THÁNG 9'!$F150&amp;"")</f>
        <v/>
      </c>
      <c r="G593" s="0" t="str">
        <f aca="false">IF('THÁNG 9'!$C150="","",'THÁNG 9'!$G150&amp;"")</f>
        <v/>
      </c>
      <c r="H593" s="0" t="str">
        <f aca="false">IF('THÁNG 9'!$C150="","",'THÁNG 9'!$H150&amp;"")</f>
        <v/>
      </c>
      <c r="I593" s="0" t="str">
        <f aca="false">IF('THÁNG 9'!$C150="","",N('THÁNG 9'!$I150))</f>
        <v/>
      </c>
      <c r="J593" s="0" t="str">
        <f aca="false">IF('THÁNG 9'!$C150="","",N('THÁNG 9'!$L150))</f>
        <v/>
      </c>
      <c r="K593" s="0" t="str">
        <f aca="false">IF('THÁNG 9'!$C150="","",N('THÁNG 9'!$N150))</f>
        <v/>
      </c>
      <c r="L593" s="0" t="str">
        <f aca="false">IF('THÁNG 9'!$C150="","",N('THÁNG 9'!$O150))</f>
        <v/>
      </c>
      <c r="M593" s="0" t="str">
        <f aca="false">IF('THÁNG 9'!$C150="","",N('THÁNG 9'!$P150))</f>
        <v/>
      </c>
      <c r="N593" s="0" t="str">
        <f aca="false">IF('THÁNG 9'!$C150="","",N('THÁNG 9'!$Q150))</f>
        <v/>
      </c>
      <c r="O593" s="0" t="str">
        <f aca="false">IF('THÁNG 9'!$C150="","",N('THÁNG 9'!$R150))</f>
        <v/>
      </c>
      <c r="P593" s="0" t="str">
        <f aca="false">IF(OR('THÁNG 9'!$C150="",'THÁNG 9'!$T150=""),"",'THÁNG 9'!$T150)</f>
        <v/>
      </c>
      <c r="Q593" s="0" t="str">
        <f aca="false">IF(OR('THÁNG 9'!$C150="",'THÁNG 9'!$U150=""),"",'THÁNG 9'!$U150)</f>
        <v/>
      </c>
      <c r="R593" s="0" t="str">
        <f aca="false">IF('THÁNG 9'!$C150="","",'THÁNG 9'!$W150&amp;"")</f>
        <v/>
      </c>
      <c r="S593" s="0" t="str">
        <f aca="false">IF('THÁNG 9'!$C150="","",'THÁNG 9'!$S150&amp;"")</f>
        <v/>
      </c>
      <c r="T593" s="0" t="str">
        <f aca="false">IF(N($O593)&gt;0,COUNTIF($O$3:$O593,"&gt;0"),"")</f>
        <v/>
      </c>
      <c r="U593" s="0" t="str">
        <f aca="false">IF(AND(N($J593)&gt;0,N($K593)&gt;0),COUNTIFS($J$3:$J593,"&gt;0",$K$3:$K593,"&gt;0"),"")</f>
        <v/>
      </c>
      <c r="V593" s="0" t="str">
        <f aca="false">IF(AND(N($J593)&gt;0,N($K593)=0),COUNTIFS($J$3:$J593,"&gt;0",$K$3:$K593,"&lt;=0"),"")</f>
        <v/>
      </c>
      <c r="W593" s="0" t="str">
        <f aca="false">IF($C593="","",IF(COUNTIF($C$3:$C593,$C593)&gt;1,"",MAX($W$2:W592)+1))</f>
        <v/>
      </c>
      <c r="X593" s="0" t="str">
        <f aca="false">IF($H593="","",IF(COUNTIF($H$3:$H593,$H593)&gt;1,"",MAX($X$2:X592)+1))</f>
        <v/>
      </c>
      <c r="Y593" s="0" t="str">
        <f aca="false">IF(AND(N($M593)&gt;0,N($O593)&lt;=0),COUNTIFS($M$3:$M593,"&gt;0",$O$3:$O593,"&lt;=0"),"")</f>
        <v/>
      </c>
      <c r="Z593" s="30" t="n">
        <f aca="false">IF(OR('THÁNG 9'!$C150="",'THÁNG 9'!$B150=""),0,'THÁNG 9'!$B150)</f>
        <v>0</v>
      </c>
    </row>
    <row r="594" customFormat="false" ht="15" hidden="false" customHeight="false" outlineLevel="0" collapsed="false">
      <c r="A594" s="0" t="n">
        <v>9</v>
      </c>
      <c r="B594" s="29" t="str">
        <f aca="false">IF(OR('THÁNG 9'!$C151="",'THÁNG 9'!$B151=""),"",'THÁNG 9'!$B151)</f>
        <v/>
      </c>
      <c r="C594" s="0" t="str">
        <f aca="false">IF('THÁNG 9'!$C151="","",'THÁNG 9'!$C151)</f>
        <v/>
      </c>
      <c r="D594" s="0" t="str">
        <f aca="false">IF('THÁNG 9'!$C151="","",'THÁNG 9'!$D151&amp;"")</f>
        <v/>
      </c>
      <c r="E594" s="0" t="str">
        <f aca="false">IF('THÁNG 9'!$C151="","",'THÁNG 9'!$E151&amp;"")</f>
        <v/>
      </c>
      <c r="F594" s="0" t="str">
        <f aca="false">IF('THÁNG 9'!$C151="","",'THÁNG 9'!$F151&amp;"")</f>
        <v/>
      </c>
      <c r="G594" s="0" t="str">
        <f aca="false">IF('THÁNG 9'!$C151="","",'THÁNG 9'!$G151&amp;"")</f>
        <v/>
      </c>
      <c r="H594" s="0" t="str">
        <f aca="false">IF('THÁNG 9'!$C151="","",'THÁNG 9'!$H151&amp;"")</f>
        <v/>
      </c>
      <c r="I594" s="0" t="str">
        <f aca="false">IF('THÁNG 9'!$C151="","",N('THÁNG 9'!$I151))</f>
        <v/>
      </c>
      <c r="J594" s="0" t="str">
        <f aca="false">IF('THÁNG 9'!$C151="","",N('THÁNG 9'!$L151))</f>
        <v/>
      </c>
      <c r="K594" s="0" t="str">
        <f aca="false">IF('THÁNG 9'!$C151="","",N('THÁNG 9'!$N151))</f>
        <v/>
      </c>
      <c r="L594" s="0" t="str">
        <f aca="false">IF('THÁNG 9'!$C151="","",N('THÁNG 9'!$O151))</f>
        <v/>
      </c>
      <c r="M594" s="0" t="str">
        <f aca="false">IF('THÁNG 9'!$C151="","",N('THÁNG 9'!$P151))</f>
        <v/>
      </c>
      <c r="N594" s="0" t="str">
        <f aca="false">IF('THÁNG 9'!$C151="","",N('THÁNG 9'!$Q151))</f>
        <v/>
      </c>
      <c r="O594" s="0" t="str">
        <f aca="false">IF('THÁNG 9'!$C151="","",N('THÁNG 9'!$R151))</f>
        <v/>
      </c>
      <c r="P594" s="0" t="str">
        <f aca="false">IF(OR('THÁNG 9'!$C151="",'THÁNG 9'!$T151=""),"",'THÁNG 9'!$T151)</f>
        <v/>
      </c>
      <c r="Q594" s="0" t="str">
        <f aca="false">IF(OR('THÁNG 9'!$C151="",'THÁNG 9'!$U151=""),"",'THÁNG 9'!$U151)</f>
        <v/>
      </c>
      <c r="R594" s="0" t="str">
        <f aca="false">IF('THÁNG 9'!$C151="","",'THÁNG 9'!$W151&amp;"")</f>
        <v/>
      </c>
      <c r="S594" s="0" t="str">
        <f aca="false">IF('THÁNG 9'!$C151="","",'THÁNG 9'!$S151&amp;"")</f>
        <v/>
      </c>
      <c r="T594" s="0" t="str">
        <f aca="false">IF(N($O594)&gt;0,COUNTIF($O$3:$O594,"&gt;0"),"")</f>
        <v/>
      </c>
      <c r="U594" s="0" t="str">
        <f aca="false">IF(AND(N($J594)&gt;0,N($K594)&gt;0),COUNTIFS($J$3:$J594,"&gt;0",$K$3:$K594,"&gt;0"),"")</f>
        <v/>
      </c>
      <c r="V594" s="0" t="str">
        <f aca="false">IF(AND(N($J594)&gt;0,N($K594)=0),COUNTIFS($J$3:$J594,"&gt;0",$K$3:$K594,"&lt;=0"),"")</f>
        <v/>
      </c>
      <c r="W594" s="0" t="str">
        <f aca="false">IF($C594="","",IF(COUNTIF($C$3:$C594,$C594)&gt;1,"",MAX($W$2:W593)+1))</f>
        <v/>
      </c>
      <c r="X594" s="0" t="str">
        <f aca="false">IF($H594="","",IF(COUNTIF($H$3:$H594,$H594)&gt;1,"",MAX($X$2:X593)+1))</f>
        <v/>
      </c>
      <c r="Y594" s="0" t="str">
        <f aca="false">IF(AND(N($M594)&gt;0,N($O594)&lt;=0),COUNTIFS($M$3:$M594,"&gt;0",$O$3:$O594,"&lt;=0"),"")</f>
        <v/>
      </c>
      <c r="Z594" s="30" t="n">
        <f aca="false">IF(OR('THÁNG 9'!$C151="",'THÁNG 9'!$B151=""),0,'THÁNG 9'!$B151)</f>
        <v>0</v>
      </c>
    </row>
    <row r="595" customFormat="false" ht="15" hidden="false" customHeight="false" outlineLevel="0" collapsed="false">
      <c r="A595" s="0" t="n">
        <v>9</v>
      </c>
      <c r="B595" s="29" t="str">
        <f aca="false">IF(OR('THÁNG 9'!$C152="",'THÁNG 9'!$B152=""),"",'THÁNG 9'!$B152)</f>
        <v/>
      </c>
      <c r="C595" s="0" t="str">
        <f aca="false">IF('THÁNG 9'!$C152="","",'THÁNG 9'!$C152)</f>
        <v/>
      </c>
      <c r="D595" s="0" t="str">
        <f aca="false">IF('THÁNG 9'!$C152="","",'THÁNG 9'!$D152&amp;"")</f>
        <v/>
      </c>
      <c r="E595" s="0" t="str">
        <f aca="false">IF('THÁNG 9'!$C152="","",'THÁNG 9'!$E152&amp;"")</f>
        <v/>
      </c>
      <c r="F595" s="0" t="str">
        <f aca="false">IF('THÁNG 9'!$C152="","",'THÁNG 9'!$F152&amp;"")</f>
        <v/>
      </c>
      <c r="G595" s="0" t="str">
        <f aca="false">IF('THÁNG 9'!$C152="","",'THÁNG 9'!$G152&amp;"")</f>
        <v/>
      </c>
      <c r="H595" s="0" t="str">
        <f aca="false">IF('THÁNG 9'!$C152="","",'THÁNG 9'!$H152&amp;"")</f>
        <v/>
      </c>
      <c r="I595" s="0" t="str">
        <f aca="false">IF('THÁNG 9'!$C152="","",N('THÁNG 9'!$I152))</f>
        <v/>
      </c>
      <c r="J595" s="0" t="str">
        <f aca="false">IF('THÁNG 9'!$C152="","",N('THÁNG 9'!$L152))</f>
        <v/>
      </c>
      <c r="K595" s="0" t="str">
        <f aca="false">IF('THÁNG 9'!$C152="","",N('THÁNG 9'!$N152))</f>
        <v/>
      </c>
      <c r="L595" s="0" t="str">
        <f aca="false">IF('THÁNG 9'!$C152="","",N('THÁNG 9'!$O152))</f>
        <v/>
      </c>
      <c r="M595" s="0" t="str">
        <f aca="false">IF('THÁNG 9'!$C152="","",N('THÁNG 9'!$P152))</f>
        <v/>
      </c>
      <c r="N595" s="0" t="str">
        <f aca="false">IF('THÁNG 9'!$C152="","",N('THÁNG 9'!$Q152))</f>
        <v/>
      </c>
      <c r="O595" s="0" t="str">
        <f aca="false">IF('THÁNG 9'!$C152="","",N('THÁNG 9'!$R152))</f>
        <v/>
      </c>
      <c r="P595" s="0" t="str">
        <f aca="false">IF(OR('THÁNG 9'!$C152="",'THÁNG 9'!$T152=""),"",'THÁNG 9'!$T152)</f>
        <v/>
      </c>
      <c r="Q595" s="0" t="str">
        <f aca="false">IF(OR('THÁNG 9'!$C152="",'THÁNG 9'!$U152=""),"",'THÁNG 9'!$U152)</f>
        <v/>
      </c>
      <c r="R595" s="0" t="str">
        <f aca="false">IF('THÁNG 9'!$C152="","",'THÁNG 9'!$W152&amp;"")</f>
        <v/>
      </c>
      <c r="S595" s="0" t="str">
        <f aca="false">IF('THÁNG 9'!$C152="","",'THÁNG 9'!$S152&amp;"")</f>
        <v/>
      </c>
      <c r="T595" s="0" t="str">
        <f aca="false">IF(N($O595)&gt;0,COUNTIF($O$3:$O595,"&gt;0"),"")</f>
        <v/>
      </c>
      <c r="U595" s="0" t="str">
        <f aca="false">IF(AND(N($J595)&gt;0,N($K595)&gt;0),COUNTIFS($J$3:$J595,"&gt;0",$K$3:$K595,"&gt;0"),"")</f>
        <v/>
      </c>
      <c r="V595" s="0" t="str">
        <f aca="false">IF(AND(N($J595)&gt;0,N($K595)=0),COUNTIFS($J$3:$J595,"&gt;0",$K$3:$K595,"&lt;=0"),"")</f>
        <v/>
      </c>
      <c r="W595" s="0" t="str">
        <f aca="false">IF($C595="","",IF(COUNTIF($C$3:$C595,$C595)&gt;1,"",MAX($W$2:W594)+1))</f>
        <v/>
      </c>
      <c r="X595" s="0" t="str">
        <f aca="false">IF($H595="","",IF(COUNTIF($H$3:$H595,$H595)&gt;1,"",MAX($X$2:X594)+1))</f>
        <v/>
      </c>
      <c r="Y595" s="0" t="str">
        <f aca="false">IF(AND(N($M595)&gt;0,N($O595)&lt;=0),COUNTIFS($M$3:$M595,"&gt;0",$O$3:$O595,"&lt;=0"),"")</f>
        <v/>
      </c>
      <c r="Z595" s="30" t="n">
        <f aca="false">IF(OR('THÁNG 9'!$C152="",'THÁNG 9'!$B152=""),0,'THÁNG 9'!$B152)</f>
        <v>0</v>
      </c>
    </row>
    <row r="596" customFormat="false" ht="15" hidden="false" customHeight="false" outlineLevel="0" collapsed="false">
      <c r="A596" s="0" t="n">
        <v>9</v>
      </c>
      <c r="B596" s="29" t="str">
        <f aca="false">IF(OR('THÁNG 9'!$C153="",'THÁNG 9'!$B153=""),"",'THÁNG 9'!$B153)</f>
        <v/>
      </c>
      <c r="C596" s="0" t="str">
        <f aca="false">IF('THÁNG 9'!$C153="","",'THÁNG 9'!$C153)</f>
        <v/>
      </c>
      <c r="D596" s="0" t="str">
        <f aca="false">IF('THÁNG 9'!$C153="","",'THÁNG 9'!$D153&amp;"")</f>
        <v/>
      </c>
      <c r="E596" s="0" t="str">
        <f aca="false">IF('THÁNG 9'!$C153="","",'THÁNG 9'!$E153&amp;"")</f>
        <v/>
      </c>
      <c r="F596" s="0" t="str">
        <f aca="false">IF('THÁNG 9'!$C153="","",'THÁNG 9'!$F153&amp;"")</f>
        <v/>
      </c>
      <c r="G596" s="0" t="str">
        <f aca="false">IF('THÁNG 9'!$C153="","",'THÁNG 9'!$G153&amp;"")</f>
        <v/>
      </c>
      <c r="H596" s="0" t="str">
        <f aca="false">IF('THÁNG 9'!$C153="","",'THÁNG 9'!$H153&amp;"")</f>
        <v/>
      </c>
      <c r="I596" s="0" t="str">
        <f aca="false">IF('THÁNG 9'!$C153="","",N('THÁNG 9'!$I153))</f>
        <v/>
      </c>
      <c r="J596" s="0" t="str">
        <f aca="false">IF('THÁNG 9'!$C153="","",N('THÁNG 9'!$L153))</f>
        <v/>
      </c>
      <c r="K596" s="0" t="str">
        <f aca="false">IF('THÁNG 9'!$C153="","",N('THÁNG 9'!$N153))</f>
        <v/>
      </c>
      <c r="L596" s="0" t="str">
        <f aca="false">IF('THÁNG 9'!$C153="","",N('THÁNG 9'!$O153))</f>
        <v/>
      </c>
      <c r="M596" s="0" t="str">
        <f aca="false">IF('THÁNG 9'!$C153="","",N('THÁNG 9'!$P153))</f>
        <v/>
      </c>
      <c r="N596" s="0" t="str">
        <f aca="false">IF('THÁNG 9'!$C153="","",N('THÁNG 9'!$Q153))</f>
        <v/>
      </c>
      <c r="O596" s="0" t="str">
        <f aca="false">IF('THÁNG 9'!$C153="","",N('THÁNG 9'!$R153))</f>
        <v/>
      </c>
      <c r="P596" s="0" t="str">
        <f aca="false">IF(OR('THÁNG 9'!$C153="",'THÁNG 9'!$T153=""),"",'THÁNG 9'!$T153)</f>
        <v/>
      </c>
      <c r="Q596" s="0" t="str">
        <f aca="false">IF(OR('THÁNG 9'!$C153="",'THÁNG 9'!$U153=""),"",'THÁNG 9'!$U153)</f>
        <v/>
      </c>
      <c r="R596" s="0" t="str">
        <f aca="false">IF('THÁNG 9'!$C153="","",'THÁNG 9'!$W153&amp;"")</f>
        <v/>
      </c>
      <c r="S596" s="0" t="str">
        <f aca="false">IF('THÁNG 9'!$C153="","",'THÁNG 9'!$S153&amp;"")</f>
        <v/>
      </c>
      <c r="T596" s="0" t="str">
        <f aca="false">IF(N($O596)&gt;0,COUNTIF($O$3:$O596,"&gt;0"),"")</f>
        <v/>
      </c>
      <c r="U596" s="0" t="str">
        <f aca="false">IF(AND(N($J596)&gt;0,N($K596)&gt;0),COUNTIFS($J$3:$J596,"&gt;0",$K$3:$K596,"&gt;0"),"")</f>
        <v/>
      </c>
      <c r="V596" s="0" t="str">
        <f aca="false">IF(AND(N($J596)&gt;0,N($K596)=0),COUNTIFS($J$3:$J596,"&gt;0",$K$3:$K596,"&lt;=0"),"")</f>
        <v/>
      </c>
      <c r="W596" s="0" t="str">
        <f aca="false">IF($C596="","",IF(COUNTIF($C$3:$C596,$C596)&gt;1,"",MAX($W$2:W595)+1))</f>
        <v/>
      </c>
      <c r="X596" s="0" t="str">
        <f aca="false">IF($H596="","",IF(COUNTIF($H$3:$H596,$H596)&gt;1,"",MAX($X$2:X595)+1))</f>
        <v/>
      </c>
      <c r="Y596" s="0" t="str">
        <f aca="false">IF(AND(N($M596)&gt;0,N($O596)&lt;=0),COUNTIFS($M$3:$M596,"&gt;0",$O$3:$O596,"&lt;=0"),"")</f>
        <v/>
      </c>
      <c r="Z596" s="30" t="n">
        <f aca="false">IF(OR('THÁNG 9'!$C153="",'THÁNG 9'!$B153=""),0,'THÁNG 9'!$B153)</f>
        <v>0</v>
      </c>
    </row>
    <row r="597" customFormat="false" ht="15" hidden="false" customHeight="false" outlineLevel="0" collapsed="false">
      <c r="A597" s="0" t="n">
        <v>9</v>
      </c>
      <c r="B597" s="29" t="str">
        <f aca="false">IF(OR('THÁNG 9'!$C154="",'THÁNG 9'!$B154=""),"",'THÁNG 9'!$B154)</f>
        <v/>
      </c>
      <c r="C597" s="0" t="str">
        <f aca="false">IF('THÁNG 9'!$C154="","",'THÁNG 9'!$C154)</f>
        <v/>
      </c>
      <c r="D597" s="0" t="str">
        <f aca="false">IF('THÁNG 9'!$C154="","",'THÁNG 9'!$D154&amp;"")</f>
        <v/>
      </c>
      <c r="E597" s="0" t="str">
        <f aca="false">IF('THÁNG 9'!$C154="","",'THÁNG 9'!$E154&amp;"")</f>
        <v/>
      </c>
      <c r="F597" s="0" t="str">
        <f aca="false">IF('THÁNG 9'!$C154="","",'THÁNG 9'!$F154&amp;"")</f>
        <v/>
      </c>
      <c r="G597" s="0" t="str">
        <f aca="false">IF('THÁNG 9'!$C154="","",'THÁNG 9'!$G154&amp;"")</f>
        <v/>
      </c>
      <c r="H597" s="0" t="str">
        <f aca="false">IF('THÁNG 9'!$C154="","",'THÁNG 9'!$H154&amp;"")</f>
        <v/>
      </c>
      <c r="I597" s="0" t="str">
        <f aca="false">IF('THÁNG 9'!$C154="","",N('THÁNG 9'!$I154))</f>
        <v/>
      </c>
      <c r="J597" s="0" t="str">
        <f aca="false">IF('THÁNG 9'!$C154="","",N('THÁNG 9'!$L154))</f>
        <v/>
      </c>
      <c r="K597" s="0" t="str">
        <f aca="false">IF('THÁNG 9'!$C154="","",N('THÁNG 9'!$N154))</f>
        <v/>
      </c>
      <c r="L597" s="0" t="str">
        <f aca="false">IF('THÁNG 9'!$C154="","",N('THÁNG 9'!$O154))</f>
        <v/>
      </c>
      <c r="M597" s="0" t="str">
        <f aca="false">IF('THÁNG 9'!$C154="","",N('THÁNG 9'!$P154))</f>
        <v/>
      </c>
      <c r="N597" s="0" t="str">
        <f aca="false">IF('THÁNG 9'!$C154="","",N('THÁNG 9'!$Q154))</f>
        <v/>
      </c>
      <c r="O597" s="0" t="str">
        <f aca="false">IF('THÁNG 9'!$C154="","",N('THÁNG 9'!$R154))</f>
        <v/>
      </c>
      <c r="P597" s="0" t="str">
        <f aca="false">IF(OR('THÁNG 9'!$C154="",'THÁNG 9'!$T154=""),"",'THÁNG 9'!$T154)</f>
        <v/>
      </c>
      <c r="Q597" s="0" t="str">
        <f aca="false">IF(OR('THÁNG 9'!$C154="",'THÁNG 9'!$U154=""),"",'THÁNG 9'!$U154)</f>
        <v/>
      </c>
      <c r="R597" s="0" t="str">
        <f aca="false">IF('THÁNG 9'!$C154="","",'THÁNG 9'!$W154&amp;"")</f>
        <v/>
      </c>
      <c r="S597" s="0" t="str">
        <f aca="false">IF('THÁNG 9'!$C154="","",'THÁNG 9'!$S154&amp;"")</f>
        <v/>
      </c>
      <c r="T597" s="0" t="str">
        <f aca="false">IF(N($O597)&gt;0,COUNTIF($O$3:$O597,"&gt;0"),"")</f>
        <v/>
      </c>
      <c r="U597" s="0" t="str">
        <f aca="false">IF(AND(N($J597)&gt;0,N($K597)&gt;0),COUNTIFS($J$3:$J597,"&gt;0",$K$3:$K597,"&gt;0"),"")</f>
        <v/>
      </c>
      <c r="V597" s="0" t="str">
        <f aca="false">IF(AND(N($J597)&gt;0,N($K597)=0),COUNTIFS($J$3:$J597,"&gt;0",$K$3:$K597,"&lt;=0"),"")</f>
        <v/>
      </c>
      <c r="W597" s="0" t="str">
        <f aca="false">IF($C597="","",IF(COUNTIF($C$3:$C597,$C597)&gt;1,"",MAX($W$2:W596)+1))</f>
        <v/>
      </c>
      <c r="X597" s="0" t="str">
        <f aca="false">IF($H597="","",IF(COUNTIF($H$3:$H597,$H597)&gt;1,"",MAX($X$2:X596)+1))</f>
        <v/>
      </c>
      <c r="Y597" s="0" t="str">
        <f aca="false">IF(AND(N($M597)&gt;0,N($O597)&lt;=0),COUNTIFS($M$3:$M597,"&gt;0",$O$3:$O597,"&lt;=0"),"")</f>
        <v/>
      </c>
      <c r="Z597" s="30" t="n">
        <f aca="false">IF(OR('THÁNG 9'!$C154="",'THÁNG 9'!$B154=""),0,'THÁNG 9'!$B154)</f>
        <v>0</v>
      </c>
    </row>
    <row r="598" customFormat="false" ht="15" hidden="false" customHeight="false" outlineLevel="0" collapsed="false">
      <c r="A598" s="0" t="n">
        <v>9</v>
      </c>
      <c r="B598" s="29" t="str">
        <f aca="false">IF(OR('THÁNG 9'!$C155="",'THÁNG 9'!$B155=""),"",'THÁNG 9'!$B155)</f>
        <v/>
      </c>
      <c r="C598" s="0" t="str">
        <f aca="false">IF('THÁNG 9'!$C155="","",'THÁNG 9'!$C155)</f>
        <v/>
      </c>
      <c r="D598" s="0" t="str">
        <f aca="false">IF('THÁNG 9'!$C155="","",'THÁNG 9'!$D155&amp;"")</f>
        <v/>
      </c>
      <c r="E598" s="0" t="str">
        <f aca="false">IF('THÁNG 9'!$C155="","",'THÁNG 9'!$E155&amp;"")</f>
        <v/>
      </c>
      <c r="F598" s="0" t="str">
        <f aca="false">IF('THÁNG 9'!$C155="","",'THÁNG 9'!$F155&amp;"")</f>
        <v/>
      </c>
      <c r="G598" s="0" t="str">
        <f aca="false">IF('THÁNG 9'!$C155="","",'THÁNG 9'!$G155&amp;"")</f>
        <v/>
      </c>
      <c r="H598" s="0" t="str">
        <f aca="false">IF('THÁNG 9'!$C155="","",'THÁNG 9'!$H155&amp;"")</f>
        <v/>
      </c>
      <c r="I598" s="0" t="str">
        <f aca="false">IF('THÁNG 9'!$C155="","",N('THÁNG 9'!$I155))</f>
        <v/>
      </c>
      <c r="J598" s="0" t="str">
        <f aca="false">IF('THÁNG 9'!$C155="","",N('THÁNG 9'!$L155))</f>
        <v/>
      </c>
      <c r="K598" s="0" t="str">
        <f aca="false">IF('THÁNG 9'!$C155="","",N('THÁNG 9'!$N155))</f>
        <v/>
      </c>
      <c r="L598" s="0" t="str">
        <f aca="false">IF('THÁNG 9'!$C155="","",N('THÁNG 9'!$O155))</f>
        <v/>
      </c>
      <c r="M598" s="0" t="str">
        <f aca="false">IF('THÁNG 9'!$C155="","",N('THÁNG 9'!$P155))</f>
        <v/>
      </c>
      <c r="N598" s="0" t="str">
        <f aca="false">IF('THÁNG 9'!$C155="","",N('THÁNG 9'!$Q155))</f>
        <v/>
      </c>
      <c r="O598" s="0" t="str">
        <f aca="false">IF('THÁNG 9'!$C155="","",N('THÁNG 9'!$R155))</f>
        <v/>
      </c>
      <c r="P598" s="0" t="str">
        <f aca="false">IF(OR('THÁNG 9'!$C155="",'THÁNG 9'!$T155=""),"",'THÁNG 9'!$T155)</f>
        <v/>
      </c>
      <c r="Q598" s="0" t="str">
        <f aca="false">IF(OR('THÁNG 9'!$C155="",'THÁNG 9'!$U155=""),"",'THÁNG 9'!$U155)</f>
        <v/>
      </c>
      <c r="R598" s="0" t="str">
        <f aca="false">IF('THÁNG 9'!$C155="","",'THÁNG 9'!$W155&amp;"")</f>
        <v/>
      </c>
      <c r="S598" s="0" t="str">
        <f aca="false">IF('THÁNG 9'!$C155="","",'THÁNG 9'!$S155&amp;"")</f>
        <v/>
      </c>
      <c r="T598" s="0" t="str">
        <f aca="false">IF(N($O598)&gt;0,COUNTIF($O$3:$O598,"&gt;0"),"")</f>
        <v/>
      </c>
      <c r="U598" s="0" t="str">
        <f aca="false">IF(AND(N($J598)&gt;0,N($K598)&gt;0),COUNTIFS($J$3:$J598,"&gt;0",$K$3:$K598,"&gt;0"),"")</f>
        <v/>
      </c>
      <c r="V598" s="0" t="str">
        <f aca="false">IF(AND(N($J598)&gt;0,N($K598)=0),COUNTIFS($J$3:$J598,"&gt;0",$K$3:$K598,"&lt;=0"),"")</f>
        <v/>
      </c>
      <c r="W598" s="0" t="str">
        <f aca="false">IF($C598="","",IF(COUNTIF($C$3:$C598,$C598)&gt;1,"",MAX($W$2:W597)+1))</f>
        <v/>
      </c>
      <c r="X598" s="0" t="str">
        <f aca="false">IF($H598="","",IF(COUNTIF($H$3:$H598,$H598)&gt;1,"",MAX($X$2:X597)+1))</f>
        <v/>
      </c>
      <c r="Y598" s="0" t="str">
        <f aca="false">IF(AND(N($M598)&gt;0,N($O598)&lt;=0),COUNTIFS($M$3:$M598,"&gt;0",$O$3:$O598,"&lt;=0"),"")</f>
        <v/>
      </c>
      <c r="Z598" s="30" t="n">
        <f aca="false">IF(OR('THÁNG 9'!$C155="",'THÁNG 9'!$B155=""),0,'THÁNG 9'!$B155)</f>
        <v>0</v>
      </c>
    </row>
    <row r="599" customFormat="false" ht="15" hidden="false" customHeight="false" outlineLevel="0" collapsed="false">
      <c r="A599" s="0" t="n">
        <v>9</v>
      </c>
      <c r="B599" s="29" t="str">
        <f aca="false">IF(OR('THÁNG 9'!$C156="",'THÁNG 9'!$B156=""),"",'THÁNG 9'!$B156)</f>
        <v/>
      </c>
      <c r="C599" s="0" t="str">
        <f aca="false">IF('THÁNG 9'!$C156="","",'THÁNG 9'!$C156)</f>
        <v/>
      </c>
      <c r="D599" s="0" t="str">
        <f aca="false">IF('THÁNG 9'!$C156="","",'THÁNG 9'!$D156&amp;"")</f>
        <v/>
      </c>
      <c r="E599" s="0" t="str">
        <f aca="false">IF('THÁNG 9'!$C156="","",'THÁNG 9'!$E156&amp;"")</f>
        <v/>
      </c>
      <c r="F599" s="0" t="str">
        <f aca="false">IF('THÁNG 9'!$C156="","",'THÁNG 9'!$F156&amp;"")</f>
        <v/>
      </c>
      <c r="G599" s="0" t="str">
        <f aca="false">IF('THÁNG 9'!$C156="","",'THÁNG 9'!$G156&amp;"")</f>
        <v/>
      </c>
      <c r="H599" s="0" t="str">
        <f aca="false">IF('THÁNG 9'!$C156="","",'THÁNG 9'!$H156&amp;"")</f>
        <v/>
      </c>
      <c r="I599" s="0" t="str">
        <f aca="false">IF('THÁNG 9'!$C156="","",N('THÁNG 9'!$I156))</f>
        <v/>
      </c>
      <c r="J599" s="0" t="str">
        <f aca="false">IF('THÁNG 9'!$C156="","",N('THÁNG 9'!$L156))</f>
        <v/>
      </c>
      <c r="K599" s="0" t="str">
        <f aca="false">IF('THÁNG 9'!$C156="","",N('THÁNG 9'!$N156))</f>
        <v/>
      </c>
      <c r="L599" s="0" t="str">
        <f aca="false">IF('THÁNG 9'!$C156="","",N('THÁNG 9'!$O156))</f>
        <v/>
      </c>
      <c r="M599" s="0" t="str">
        <f aca="false">IF('THÁNG 9'!$C156="","",N('THÁNG 9'!$P156))</f>
        <v/>
      </c>
      <c r="N599" s="0" t="str">
        <f aca="false">IF('THÁNG 9'!$C156="","",N('THÁNG 9'!$Q156))</f>
        <v/>
      </c>
      <c r="O599" s="0" t="str">
        <f aca="false">IF('THÁNG 9'!$C156="","",N('THÁNG 9'!$R156))</f>
        <v/>
      </c>
      <c r="P599" s="0" t="str">
        <f aca="false">IF(OR('THÁNG 9'!$C156="",'THÁNG 9'!$T156=""),"",'THÁNG 9'!$T156)</f>
        <v/>
      </c>
      <c r="Q599" s="0" t="str">
        <f aca="false">IF(OR('THÁNG 9'!$C156="",'THÁNG 9'!$U156=""),"",'THÁNG 9'!$U156)</f>
        <v/>
      </c>
      <c r="R599" s="0" t="str">
        <f aca="false">IF('THÁNG 9'!$C156="","",'THÁNG 9'!$W156&amp;"")</f>
        <v/>
      </c>
      <c r="S599" s="0" t="str">
        <f aca="false">IF('THÁNG 9'!$C156="","",'THÁNG 9'!$S156&amp;"")</f>
        <v/>
      </c>
      <c r="T599" s="0" t="str">
        <f aca="false">IF(N($O599)&gt;0,COUNTIF($O$3:$O599,"&gt;0"),"")</f>
        <v/>
      </c>
      <c r="U599" s="0" t="str">
        <f aca="false">IF(AND(N($J599)&gt;0,N($K599)&gt;0),COUNTIFS($J$3:$J599,"&gt;0",$K$3:$K599,"&gt;0"),"")</f>
        <v/>
      </c>
      <c r="V599" s="0" t="str">
        <f aca="false">IF(AND(N($J599)&gt;0,N($K599)=0),COUNTIFS($J$3:$J599,"&gt;0",$K$3:$K599,"&lt;=0"),"")</f>
        <v/>
      </c>
      <c r="W599" s="0" t="str">
        <f aca="false">IF($C599="","",IF(COUNTIF($C$3:$C599,$C599)&gt;1,"",MAX($W$2:W598)+1))</f>
        <v/>
      </c>
      <c r="X599" s="0" t="str">
        <f aca="false">IF($H599="","",IF(COUNTIF($H$3:$H599,$H599)&gt;1,"",MAX($X$2:X598)+1))</f>
        <v/>
      </c>
      <c r="Y599" s="0" t="str">
        <f aca="false">IF(AND(N($M599)&gt;0,N($O599)&lt;=0),COUNTIFS($M$3:$M599,"&gt;0",$O$3:$O599,"&lt;=0"),"")</f>
        <v/>
      </c>
      <c r="Z599" s="30" t="n">
        <f aca="false">IF(OR('THÁNG 9'!$C156="",'THÁNG 9'!$B156=""),0,'THÁNG 9'!$B156)</f>
        <v>0</v>
      </c>
    </row>
    <row r="600" customFormat="false" ht="15" hidden="false" customHeight="false" outlineLevel="0" collapsed="false">
      <c r="A600" s="0" t="n">
        <v>9</v>
      </c>
      <c r="B600" s="29" t="str">
        <f aca="false">IF(OR('THÁNG 9'!$C157="",'THÁNG 9'!$B157=""),"",'THÁNG 9'!$B157)</f>
        <v/>
      </c>
      <c r="C600" s="0" t="str">
        <f aca="false">IF('THÁNG 9'!$C157="","",'THÁNG 9'!$C157)</f>
        <v/>
      </c>
      <c r="D600" s="0" t="str">
        <f aca="false">IF('THÁNG 9'!$C157="","",'THÁNG 9'!$D157&amp;"")</f>
        <v/>
      </c>
      <c r="E600" s="0" t="str">
        <f aca="false">IF('THÁNG 9'!$C157="","",'THÁNG 9'!$E157&amp;"")</f>
        <v/>
      </c>
      <c r="F600" s="0" t="str">
        <f aca="false">IF('THÁNG 9'!$C157="","",'THÁNG 9'!$F157&amp;"")</f>
        <v/>
      </c>
      <c r="G600" s="0" t="str">
        <f aca="false">IF('THÁNG 9'!$C157="","",'THÁNG 9'!$G157&amp;"")</f>
        <v/>
      </c>
      <c r="H600" s="0" t="str">
        <f aca="false">IF('THÁNG 9'!$C157="","",'THÁNG 9'!$H157&amp;"")</f>
        <v/>
      </c>
      <c r="I600" s="0" t="str">
        <f aca="false">IF('THÁNG 9'!$C157="","",N('THÁNG 9'!$I157))</f>
        <v/>
      </c>
      <c r="J600" s="0" t="str">
        <f aca="false">IF('THÁNG 9'!$C157="","",N('THÁNG 9'!$L157))</f>
        <v/>
      </c>
      <c r="K600" s="0" t="str">
        <f aca="false">IF('THÁNG 9'!$C157="","",N('THÁNG 9'!$N157))</f>
        <v/>
      </c>
      <c r="L600" s="0" t="str">
        <f aca="false">IF('THÁNG 9'!$C157="","",N('THÁNG 9'!$O157))</f>
        <v/>
      </c>
      <c r="M600" s="0" t="str">
        <f aca="false">IF('THÁNG 9'!$C157="","",N('THÁNG 9'!$P157))</f>
        <v/>
      </c>
      <c r="N600" s="0" t="str">
        <f aca="false">IF('THÁNG 9'!$C157="","",N('THÁNG 9'!$Q157))</f>
        <v/>
      </c>
      <c r="O600" s="0" t="str">
        <f aca="false">IF('THÁNG 9'!$C157="","",N('THÁNG 9'!$R157))</f>
        <v/>
      </c>
      <c r="P600" s="0" t="str">
        <f aca="false">IF(OR('THÁNG 9'!$C157="",'THÁNG 9'!$T157=""),"",'THÁNG 9'!$T157)</f>
        <v/>
      </c>
      <c r="Q600" s="0" t="str">
        <f aca="false">IF(OR('THÁNG 9'!$C157="",'THÁNG 9'!$U157=""),"",'THÁNG 9'!$U157)</f>
        <v/>
      </c>
      <c r="R600" s="0" t="str">
        <f aca="false">IF('THÁNG 9'!$C157="","",'THÁNG 9'!$W157&amp;"")</f>
        <v/>
      </c>
      <c r="S600" s="0" t="str">
        <f aca="false">IF('THÁNG 9'!$C157="","",'THÁNG 9'!$S157&amp;"")</f>
        <v/>
      </c>
      <c r="T600" s="0" t="str">
        <f aca="false">IF(N($O600)&gt;0,COUNTIF($O$3:$O600,"&gt;0"),"")</f>
        <v/>
      </c>
      <c r="U600" s="0" t="str">
        <f aca="false">IF(AND(N($J600)&gt;0,N($K600)&gt;0),COUNTIFS($J$3:$J600,"&gt;0",$K$3:$K600,"&gt;0"),"")</f>
        <v/>
      </c>
      <c r="V600" s="0" t="str">
        <f aca="false">IF(AND(N($J600)&gt;0,N($K600)=0),COUNTIFS($J$3:$J600,"&gt;0",$K$3:$K600,"&lt;=0"),"")</f>
        <v/>
      </c>
      <c r="W600" s="0" t="str">
        <f aca="false">IF($C600="","",IF(COUNTIF($C$3:$C600,$C600)&gt;1,"",MAX($W$2:W599)+1))</f>
        <v/>
      </c>
      <c r="X600" s="0" t="str">
        <f aca="false">IF($H600="","",IF(COUNTIF($H$3:$H600,$H600)&gt;1,"",MAX($X$2:X599)+1))</f>
        <v/>
      </c>
      <c r="Y600" s="0" t="str">
        <f aca="false">IF(AND(N($M600)&gt;0,N($O600)&lt;=0),COUNTIFS($M$3:$M600,"&gt;0",$O$3:$O600,"&lt;=0"),"")</f>
        <v/>
      </c>
      <c r="Z600" s="30" t="n">
        <f aca="false">IF(OR('THÁNG 9'!$C157="",'THÁNG 9'!$B157=""),0,'THÁNG 9'!$B157)</f>
        <v>0</v>
      </c>
    </row>
    <row r="601" customFormat="false" ht="15" hidden="false" customHeight="false" outlineLevel="0" collapsed="false">
      <c r="A601" s="0" t="n">
        <v>9</v>
      </c>
      <c r="B601" s="29" t="str">
        <f aca="false">IF(OR('THÁNG 9'!$C158="",'THÁNG 9'!$B158=""),"",'THÁNG 9'!$B158)</f>
        <v/>
      </c>
      <c r="C601" s="0" t="str">
        <f aca="false">IF('THÁNG 9'!$C158="","",'THÁNG 9'!$C158)</f>
        <v/>
      </c>
      <c r="D601" s="0" t="str">
        <f aca="false">IF('THÁNG 9'!$C158="","",'THÁNG 9'!$D158&amp;"")</f>
        <v/>
      </c>
      <c r="E601" s="0" t="str">
        <f aca="false">IF('THÁNG 9'!$C158="","",'THÁNG 9'!$E158&amp;"")</f>
        <v/>
      </c>
      <c r="F601" s="0" t="str">
        <f aca="false">IF('THÁNG 9'!$C158="","",'THÁNG 9'!$F158&amp;"")</f>
        <v/>
      </c>
      <c r="G601" s="0" t="str">
        <f aca="false">IF('THÁNG 9'!$C158="","",'THÁNG 9'!$G158&amp;"")</f>
        <v/>
      </c>
      <c r="H601" s="0" t="str">
        <f aca="false">IF('THÁNG 9'!$C158="","",'THÁNG 9'!$H158&amp;"")</f>
        <v/>
      </c>
      <c r="I601" s="0" t="str">
        <f aca="false">IF('THÁNG 9'!$C158="","",N('THÁNG 9'!$I158))</f>
        <v/>
      </c>
      <c r="J601" s="0" t="str">
        <f aca="false">IF('THÁNG 9'!$C158="","",N('THÁNG 9'!$L158))</f>
        <v/>
      </c>
      <c r="K601" s="0" t="str">
        <f aca="false">IF('THÁNG 9'!$C158="","",N('THÁNG 9'!$N158))</f>
        <v/>
      </c>
      <c r="L601" s="0" t="str">
        <f aca="false">IF('THÁNG 9'!$C158="","",N('THÁNG 9'!$O158))</f>
        <v/>
      </c>
      <c r="M601" s="0" t="str">
        <f aca="false">IF('THÁNG 9'!$C158="","",N('THÁNG 9'!$P158))</f>
        <v/>
      </c>
      <c r="N601" s="0" t="str">
        <f aca="false">IF('THÁNG 9'!$C158="","",N('THÁNG 9'!$Q158))</f>
        <v/>
      </c>
      <c r="O601" s="0" t="str">
        <f aca="false">IF('THÁNG 9'!$C158="","",N('THÁNG 9'!$R158))</f>
        <v/>
      </c>
      <c r="P601" s="0" t="str">
        <f aca="false">IF(OR('THÁNG 9'!$C158="",'THÁNG 9'!$T158=""),"",'THÁNG 9'!$T158)</f>
        <v/>
      </c>
      <c r="Q601" s="0" t="str">
        <f aca="false">IF(OR('THÁNG 9'!$C158="",'THÁNG 9'!$U158=""),"",'THÁNG 9'!$U158)</f>
        <v/>
      </c>
      <c r="R601" s="0" t="str">
        <f aca="false">IF('THÁNG 9'!$C158="","",'THÁNG 9'!$W158&amp;"")</f>
        <v/>
      </c>
      <c r="S601" s="0" t="str">
        <f aca="false">IF('THÁNG 9'!$C158="","",'THÁNG 9'!$S158&amp;"")</f>
        <v/>
      </c>
      <c r="T601" s="0" t="str">
        <f aca="false">IF(N($O601)&gt;0,COUNTIF($O$3:$O601,"&gt;0"),"")</f>
        <v/>
      </c>
      <c r="U601" s="0" t="str">
        <f aca="false">IF(AND(N($J601)&gt;0,N($K601)&gt;0),COUNTIFS($J$3:$J601,"&gt;0",$K$3:$K601,"&gt;0"),"")</f>
        <v/>
      </c>
      <c r="V601" s="0" t="str">
        <f aca="false">IF(AND(N($J601)&gt;0,N($K601)=0),COUNTIFS($J$3:$J601,"&gt;0",$K$3:$K601,"&lt;=0"),"")</f>
        <v/>
      </c>
      <c r="W601" s="0" t="str">
        <f aca="false">IF($C601="","",IF(COUNTIF($C$3:$C601,$C601)&gt;1,"",MAX($W$2:W600)+1))</f>
        <v/>
      </c>
      <c r="X601" s="0" t="str">
        <f aca="false">IF($H601="","",IF(COUNTIF($H$3:$H601,$H601)&gt;1,"",MAX($X$2:X600)+1))</f>
        <v/>
      </c>
      <c r="Y601" s="0" t="str">
        <f aca="false">IF(AND(N($M601)&gt;0,N($O601)&lt;=0),COUNTIFS($M$3:$M601,"&gt;0",$O$3:$O601,"&lt;=0"),"")</f>
        <v/>
      </c>
      <c r="Z601" s="30" t="n">
        <f aca="false">IF(OR('THÁNG 9'!$C158="",'THÁNG 9'!$B158=""),0,'THÁNG 9'!$B158)</f>
        <v>0</v>
      </c>
    </row>
    <row r="602" customFormat="false" ht="15" hidden="false" customHeight="false" outlineLevel="0" collapsed="false">
      <c r="A602" s="0" t="n">
        <v>9</v>
      </c>
      <c r="B602" s="29" t="str">
        <f aca="false">IF(OR('THÁNG 9'!$C159="",'THÁNG 9'!$B159=""),"",'THÁNG 9'!$B159)</f>
        <v/>
      </c>
      <c r="C602" s="0" t="str">
        <f aca="false">IF('THÁNG 9'!$C159="","",'THÁNG 9'!$C159)</f>
        <v/>
      </c>
      <c r="D602" s="0" t="str">
        <f aca="false">IF('THÁNG 9'!$C159="","",'THÁNG 9'!$D159&amp;"")</f>
        <v/>
      </c>
      <c r="E602" s="0" t="str">
        <f aca="false">IF('THÁNG 9'!$C159="","",'THÁNG 9'!$E159&amp;"")</f>
        <v/>
      </c>
      <c r="F602" s="0" t="str">
        <f aca="false">IF('THÁNG 9'!$C159="","",'THÁNG 9'!$F159&amp;"")</f>
        <v/>
      </c>
      <c r="G602" s="0" t="str">
        <f aca="false">IF('THÁNG 9'!$C159="","",'THÁNG 9'!$G159&amp;"")</f>
        <v/>
      </c>
      <c r="H602" s="0" t="str">
        <f aca="false">IF('THÁNG 9'!$C159="","",'THÁNG 9'!$H159&amp;"")</f>
        <v/>
      </c>
      <c r="I602" s="0" t="str">
        <f aca="false">IF('THÁNG 9'!$C159="","",N('THÁNG 9'!$I159))</f>
        <v/>
      </c>
      <c r="J602" s="0" t="str">
        <f aca="false">IF('THÁNG 9'!$C159="","",N('THÁNG 9'!$L159))</f>
        <v/>
      </c>
      <c r="K602" s="0" t="str">
        <f aca="false">IF('THÁNG 9'!$C159="","",N('THÁNG 9'!$N159))</f>
        <v/>
      </c>
      <c r="L602" s="0" t="str">
        <f aca="false">IF('THÁNG 9'!$C159="","",N('THÁNG 9'!$O159))</f>
        <v/>
      </c>
      <c r="M602" s="0" t="str">
        <f aca="false">IF('THÁNG 9'!$C159="","",N('THÁNG 9'!$P159))</f>
        <v/>
      </c>
      <c r="N602" s="0" t="str">
        <f aca="false">IF('THÁNG 9'!$C159="","",N('THÁNG 9'!$Q159))</f>
        <v/>
      </c>
      <c r="O602" s="0" t="str">
        <f aca="false">IF('THÁNG 9'!$C159="","",N('THÁNG 9'!$R159))</f>
        <v/>
      </c>
      <c r="P602" s="0" t="str">
        <f aca="false">IF(OR('THÁNG 9'!$C159="",'THÁNG 9'!$T159=""),"",'THÁNG 9'!$T159)</f>
        <v/>
      </c>
      <c r="Q602" s="0" t="str">
        <f aca="false">IF(OR('THÁNG 9'!$C159="",'THÁNG 9'!$U159=""),"",'THÁNG 9'!$U159)</f>
        <v/>
      </c>
      <c r="R602" s="0" t="str">
        <f aca="false">IF('THÁNG 9'!$C159="","",'THÁNG 9'!$W159&amp;"")</f>
        <v/>
      </c>
      <c r="S602" s="0" t="str">
        <f aca="false">IF('THÁNG 9'!$C159="","",'THÁNG 9'!$S159&amp;"")</f>
        <v/>
      </c>
      <c r="T602" s="0" t="str">
        <f aca="false">IF(N($O602)&gt;0,COUNTIF($O$3:$O602,"&gt;0"),"")</f>
        <v/>
      </c>
      <c r="U602" s="0" t="str">
        <f aca="false">IF(AND(N($J602)&gt;0,N($K602)&gt;0),COUNTIFS($J$3:$J602,"&gt;0",$K$3:$K602,"&gt;0"),"")</f>
        <v/>
      </c>
      <c r="V602" s="0" t="str">
        <f aca="false">IF(AND(N($J602)&gt;0,N($K602)=0),COUNTIFS($J$3:$J602,"&gt;0",$K$3:$K602,"&lt;=0"),"")</f>
        <v/>
      </c>
      <c r="W602" s="0" t="str">
        <f aca="false">IF($C602="","",IF(COUNTIF($C$3:$C602,$C602)&gt;1,"",MAX($W$2:W601)+1))</f>
        <v/>
      </c>
      <c r="X602" s="0" t="str">
        <f aca="false">IF($H602="","",IF(COUNTIF($H$3:$H602,$H602)&gt;1,"",MAX($X$2:X601)+1))</f>
        <v/>
      </c>
      <c r="Y602" s="0" t="str">
        <f aca="false">IF(AND(N($M602)&gt;0,N($O602)&lt;=0),COUNTIFS($M$3:$M602,"&gt;0",$O$3:$O602,"&lt;=0"),"")</f>
        <v/>
      </c>
      <c r="Z602" s="30" t="n">
        <f aca="false">IF(OR('THÁNG 9'!$C159="",'THÁNG 9'!$B159=""),0,'THÁNG 9'!$B159)</f>
        <v>0</v>
      </c>
    </row>
    <row r="603" customFormat="false" ht="15" hidden="false" customHeight="false" outlineLevel="0" collapsed="false">
      <c r="A603" s="0" t="n">
        <v>10</v>
      </c>
      <c r="B603" s="29" t="str">
        <f aca="false">IF(OR('THÁNG 10'!$C10="",'THÁNG 10'!$B10=""),"",'THÁNG 10'!$B10)</f>
        <v/>
      </c>
      <c r="C603" s="0" t="str">
        <f aca="false">IF('THÁNG 10'!$C10="","",'THÁNG 10'!$C10)</f>
        <v/>
      </c>
      <c r="D603" s="0" t="str">
        <f aca="false">IF('THÁNG 10'!$C10="","",'THÁNG 10'!$D10&amp;"")</f>
        <v/>
      </c>
      <c r="E603" s="0" t="str">
        <f aca="false">IF('THÁNG 10'!$C10="","",'THÁNG 10'!$E10&amp;"")</f>
        <v/>
      </c>
      <c r="F603" s="0" t="str">
        <f aca="false">IF('THÁNG 10'!$C10="","",'THÁNG 10'!$F10&amp;"")</f>
        <v/>
      </c>
      <c r="G603" s="0" t="str">
        <f aca="false">IF('THÁNG 10'!$C10="","",'THÁNG 10'!$G10&amp;"")</f>
        <v/>
      </c>
      <c r="H603" s="0" t="str">
        <f aca="false">IF('THÁNG 10'!$C10="","",'THÁNG 10'!$H10&amp;"")</f>
        <v/>
      </c>
      <c r="I603" s="0" t="str">
        <f aca="false">IF('THÁNG 10'!$C10="","",N('THÁNG 10'!$I10))</f>
        <v/>
      </c>
      <c r="J603" s="0" t="str">
        <f aca="false">IF('THÁNG 10'!$C10="","",N('THÁNG 10'!$L10))</f>
        <v/>
      </c>
      <c r="K603" s="0" t="str">
        <f aca="false">IF('THÁNG 10'!$C10="","",N('THÁNG 10'!$N10))</f>
        <v/>
      </c>
      <c r="L603" s="0" t="str">
        <f aca="false">IF('THÁNG 10'!$C10="","",N('THÁNG 10'!$O10))</f>
        <v/>
      </c>
      <c r="M603" s="0" t="str">
        <f aca="false">IF('THÁNG 10'!$C10="","",N('THÁNG 10'!$P10))</f>
        <v/>
      </c>
      <c r="N603" s="0" t="str">
        <f aca="false">IF('THÁNG 10'!$C10="","",N('THÁNG 10'!$Q10))</f>
        <v/>
      </c>
      <c r="O603" s="0" t="str">
        <f aca="false">IF('THÁNG 10'!$C10="","",N('THÁNG 10'!$R10))</f>
        <v/>
      </c>
      <c r="P603" s="0" t="str">
        <f aca="false">IF(OR('THÁNG 10'!$C10="",'THÁNG 10'!$T10=""),"",'THÁNG 10'!$T10)</f>
        <v/>
      </c>
      <c r="Q603" s="0" t="str">
        <f aca="false">IF(OR('THÁNG 10'!$C10="",'THÁNG 10'!$U10=""),"",'THÁNG 10'!$U10)</f>
        <v/>
      </c>
      <c r="R603" s="0" t="str">
        <f aca="false">IF('THÁNG 10'!$C10="","",'THÁNG 10'!$W10&amp;"")</f>
        <v/>
      </c>
      <c r="S603" s="0" t="str">
        <f aca="false">IF('THÁNG 10'!$C10="","",'THÁNG 10'!$S10&amp;"")</f>
        <v/>
      </c>
      <c r="T603" s="0" t="str">
        <f aca="false">IF(N($O603)&gt;0,COUNTIF($O$3:$O603,"&gt;0"),"")</f>
        <v/>
      </c>
      <c r="U603" s="0" t="str">
        <f aca="false">IF(AND(N($J603)&gt;0,N($K603)&gt;0),COUNTIFS($J$3:$J603,"&gt;0",$K$3:$K603,"&gt;0"),"")</f>
        <v/>
      </c>
      <c r="V603" s="0" t="str">
        <f aca="false">IF(AND(N($J603)&gt;0,N($K603)=0),COUNTIFS($J$3:$J603,"&gt;0",$K$3:$K603,"&lt;=0"),"")</f>
        <v/>
      </c>
      <c r="W603" s="0" t="str">
        <f aca="false">IF($C603="","",IF(COUNTIF($C$3:$C603,$C603)&gt;1,"",MAX($W$2:W602)+1))</f>
        <v/>
      </c>
      <c r="X603" s="0" t="str">
        <f aca="false">IF($H603="","",IF(COUNTIF($H$3:$H603,$H603)&gt;1,"",MAX($X$2:X602)+1))</f>
        <v/>
      </c>
      <c r="Y603" s="0" t="str">
        <f aca="false">IF(AND(N($M603)&gt;0,N($O603)&lt;=0),COUNTIFS($M$3:$M603,"&gt;0",$O$3:$O603,"&lt;=0"),"")</f>
        <v/>
      </c>
      <c r="Z603" s="30" t="n">
        <f aca="false">IF(OR('THÁNG 10'!$C10="",'THÁNG 10'!$B10=""),0,'THÁNG 10'!$B10)</f>
        <v>0</v>
      </c>
    </row>
    <row r="604" customFormat="false" ht="15" hidden="false" customHeight="false" outlineLevel="0" collapsed="false">
      <c r="A604" s="0" t="n">
        <v>10</v>
      </c>
      <c r="B604" s="29" t="str">
        <f aca="false">IF(OR('THÁNG 10'!$C11="",'THÁNG 10'!$B11=""),"",'THÁNG 10'!$B11)</f>
        <v/>
      </c>
      <c r="C604" s="0" t="str">
        <f aca="false">IF('THÁNG 10'!$C11="","",'THÁNG 10'!$C11)</f>
        <v/>
      </c>
      <c r="D604" s="0" t="str">
        <f aca="false">IF('THÁNG 10'!$C11="","",'THÁNG 10'!$D11&amp;"")</f>
        <v/>
      </c>
      <c r="E604" s="0" t="str">
        <f aca="false">IF('THÁNG 10'!$C11="","",'THÁNG 10'!$E11&amp;"")</f>
        <v/>
      </c>
      <c r="F604" s="0" t="str">
        <f aca="false">IF('THÁNG 10'!$C11="","",'THÁNG 10'!$F11&amp;"")</f>
        <v/>
      </c>
      <c r="G604" s="0" t="str">
        <f aca="false">IF('THÁNG 10'!$C11="","",'THÁNG 10'!$G11&amp;"")</f>
        <v/>
      </c>
      <c r="H604" s="0" t="str">
        <f aca="false">IF('THÁNG 10'!$C11="","",'THÁNG 10'!$H11&amp;"")</f>
        <v/>
      </c>
      <c r="I604" s="0" t="str">
        <f aca="false">IF('THÁNG 10'!$C11="","",N('THÁNG 10'!$I11))</f>
        <v/>
      </c>
      <c r="J604" s="0" t="str">
        <f aca="false">IF('THÁNG 10'!$C11="","",N('THÁNG 10'!$L11))</f>
        <v/>
      </c>
      <c r="K604" s="0" t="str">
        <f aca="false">IF('THÁNG 10'!$C11="","",N('THÁNG 10'!$N11))</f>
        <v/>
      </c>
      <c r="L604" s="0" t="str">
        <f aca="false">IF('THÁNG 10'!$C11="","",N('THÁNG 10'!$O11))</f>
        <v/>
      </c>
      <c r="M604" s="0" t="str">
        <f aca="false">IF('THÁNG 10'!$C11="","",N('THÁNG 10'!$P11))</f>
        <v/>
      </c>
      <c r="N604" s="0" t="str">
        <f aca="false">IF('THÁNG 10'!$C11="","",N('THÁNG 10'!$Q11))</f>
        <v/>
      </c>
      <c r="O604" s="0" t="str">
        <f aca="false">IF('THÁNG 10'!$C11="","",N('THÁNG 10'!$R11))</f>
        <v/>
      </c>
      <c r="P604" s="0" t="str">
        <f aca="false">IF(OR('THÁNG 10'!$C11="",'THÁNG 10'!$T11=""),"",'THÁNG 10'!$T11)</f>
        <v/>
      </c>
      <c r="Q604" s="0" t="str">
        <f aca="false">IF(OR('THÁNG 10'!$C11="",'THÁNG 10'!$U11=""),"",'THÁNG 10'!$U11)</f>
        <v/>
      </c>
      <c r="R604" s="0" t="str">
        <f aca="false">IF('THÁNG 10'!$C11="","",'THÁNG 10'!$W11&amp;"")</f>
        <v/>
      </c>
      <c r="S604" s="0" t="str">
        <f aca="false">IF('THÁNG 10'!$C11="","",'THÁNG 10'!$S11&amp;"")</f>
        <v/>
      </c>
      <c r="T604" s="0" t="str">
        <f aca="false">IF(N($O604)&gt;0,COUNTIF($O$3:$O604,"&gt;0"),"")</f>
        <v/>
      </c>
      <c r="U604" s="0" t="str">
        <f aca="false">IF(AND(N($J604)&gt;0,N($K604)&gt;0),COUNTIFS($J$3:$J604,"&gt;0",$K$3:$K604,"&gt;0"),"")</f>
        <v/>
      </c>
      <c r="V604" s="0" t="str">
        <f aca="false">IF(AND(N($J604)&gt;0,N($K604)=0),COUNTIFS($J$3:$J604,"&gt;0",$K$3:$K604,"&lt;=0"),"")</f>
        <v/>
      </c>
      <c r="W604" s="0" t="str">
        <f aca="false">IF($C604="","",IF(COUNTIF($C$3:$C604,$C604)&gt;1,"",MAX($W$2:W603)+1))</f>
        <v/>
      </c>
      <c r="X604" s="0" t="str">
        <f aca="false">IF($H604="","",IF(COUNTIF($H$3:$H604,$H604)&gt;1,"",MAX($X$2:X603)+1))</f>
        <v/>
      </c>
      <c r="Y604" s="0" t="str">
        <f aca="false">IF(AND(N($M604)&gt;0,N($O604)&lt;=0),COUNTIFS($M$3:$M604,"&gt;0",$O$3:$O604,"&lt;=0"),"")</f>
        <v/>
      </c>
      <c r="Z604" s="30" t="n">
        <f aca="false">IF(OR('THÁNG 10'!$C11="",'THÁNG 10'!$B11=""),0,'THÁNG 10'!$B11)</f>
        <v>0</v>
      </c>
    </row>
    <row r="605" customFormat="false" ht="15" hidden="false" customHeight="false" outlineLevel="0" collapsed="false">
      <c r="A605" s="0" t="n">
        <v>10</v>
      </c>
      <c r="B605" s="29" t="str">
        <f aca="false">IF(OR('THÁNG 10'!$C12="",'THÁNG 10'!$B12=""),"",'THÁNG 10'!$B12)</f>
        <v/>
      </c>
      <c r="C605" s="0" t="str">
        <f aca="false">IF('THÁNG 10'!$C12="","",'THÁNG 10'!$C12)</f>
        <v/>
      </c>
      <c r="D605" s="0" t="str">
        <f aca="false">IF('THÁNG 10'!$C12="","",'THÁNG 10'!$D12&amp;"")</f>
        <v/>
      </c>
      <c r="E605" s="0" t="str">
        <f aca="false">IF('THÁNG 10'!$C12="","",'THÁNG 10'!$E12&amp;"")</f>
        <v/>
      </c>
      <c r="F605" s="0" t="str">
        <f aca="false">IF('THÁNG 10'!$C12="","",'THÁNG 10'!$F12&amp;"")</f>
        <v/>
      </c>
      <c r="G605" s="0" t="str">
        <f aca="false">IF('THÁNG 10'!$C12="","",'THÁNG 10'!$G12&amp;"")</f>
        <v/>
      </c>
      <c r="H605" s="0" t="str">
        <f aca="false">IF('THÁNG 10'!$C12="","",'THÁNG 10'!$H12&amp;"")</f>
        <v/>
      </c>
      <c r="I605" s="0" t="str">
        <f aca="false">IF('THÁNG 10'!$C12="","",N('THÁNG 10'!$I12))</f>
        <v/>
      </c>
      <c r="J605" s="0" t="str">
        <f aca="false">IF('THÁNG 10'!$C12="","",N('THÁNG 10'!$L12))</f>
        <v/>
      </c>
      <c r="K605" s="0" t="str">
        <f aca="false">IF('THÁNG 10'!$C12="","",N('THÁNG 10'!$N12))</f>
        <v/>
      </c>
      <c r="L605" s="0" t="str">
        <f aca="false">IF('THÁNG 10'!$C12="","",N('THÁNG 10'!$O12))</f>
        <v/>
      </c>
      <c r="M605" s="0" t="str">
        <f aca="false">IF('THÁNG 10'!$C12="","",N('THÁNG 10'!$P12))</f>
        <v/>
      </c>
      <c r="N605" s="0" t="str">
        <f aca="false">IF('THÁNG 10'!$C12="","",N('THÁNG 10'!$Q12))</f>
        <v/>
      </c>
      <c r="O605" s="0" t="str">
        <f aca="false">IF('THÁNG 10'!$C12="","",N('THÁNG 10'!$R12))</f>
        <v/>
      </c>
      <c r="P605" s="0" t="str">
        <f aca="false">IF(OR('THÁNG 10'!$C12="",'THÁNG 10'!$T12=""),"",'THÁNG 10'!$T12)</f>
        <v/>
      </c>
      <c r="Q605" s="0" t="str">
        <f aca="false">IF(OR('THÁNG 10'!$C12="",'THÁNG 10'!$U12=""),"",'THÁNG 10'!$U12)</f>
        <v/>
      </c>
      <c r="R605" s="0" t="str">
        <f aca="false">IF('THÁNG 10'!$C12="","",'THÁNG 10'!$W12&amp;"")</f>
        <v/>
      </c>
      <c r="S605" s="0" t="str">
        <f aca="false">IF('THÁNG 10'!$C12="","",'THÁNG 10'!$S12&amp;"")</f>
        <v/>
      </c>
      <c r="T605" s="0" t="str">
        <f aca="false">IF(N($O605)&gt;0,COUNTIF($O$3:$O605,"&gt;0"),"")</f>
        <v/>
      </c>
      <c r="U605" s="0" t="str">
        <f aca="false">IF(AND(N($J605)&gt;0,N($K605)&gt;0),COUNTIFS($J$3:$J605,"&gt;0",$K$3:$K605,"&gt;0"),"")</f>
        <v/>
      </c>
      <c r="V605" s="0" t="str">
        <f aca="false">IF(AND(N($J605)&gt;0,N($K605)=0),COUNTIFS($J$3:$J605,"&gt;0",$K$3:$K605,"&lt;=0"),"")</f>
        <v/>
      </c>
      <c r="W605" s="0" t="str">
        <f aca="false">IF($C605="","",IF(COUNTIF($C$3:$C605,$C605)&gt;1,"",MAX($W$2:W604)+1))</f>
        <v/>
      </c>
      <c r="X605" s="0" t="str">
        <f aca="false">IF($H605="","",IF(COUNTIF($H$3:$H605,$H605)&gt;1,"",MAX($X$2:X604)+1))</f>
        <v/>
      </c>
      <c r="Y605" s="0" t="str">
        <f aca="false">IF(AND(N($M605)&gt;0,N($O605)&lt;=0),COUNTIFS($M$3:$M605,"&gt;0",$O$3:$O605,"&lt;=0"),"")</f>
        <v/>
      </c>
      <c r="Z605" s="30" t="n">
        <f aca="false">IF(OR('THÁNG 10'!$C12="",'THÁNG 10'!$B12=""),0,'THÁNG 10'!$B12)</f>
        <v>0</v>
      </c>
    </row>
    <row r="606" customFormat="false" ht="15" hidden="false" customHeight="false" outlineLevel="0" collapsed="false">
      <c r="A606" s="0" t="n">
        <v>10</v>
      </c>
      <c r="B606" s="29" t="str">
        <f aca="false">IF(OR('THÁNG 10'!$C13="",'THÁNG 10'!$B13=""),"",'THÁNG 10'!$B13)</f>
        <v/>
      </c>
      <c r="C606" s="0" t="str">
        <f aca="false">IF('THÁNG 10'!$C13="","",'THÁNG 10'!$C13)</f>
        <v/>
      </c>
      <c r="D606" s="0" t="str">
        <f aca="false">IF('THÁNG 10'!$C13="","",'THÁNG 10'!$D13&amp;"")</f>
        <v/>
      </c>
      <c r="E606" s="0" t="str">
        <f aca="false">IF('THÁNG 10'!$C13="","",'THÁNG 10'!$E13&amp;"")</f>
        <v/>
      </c>
      <c r="F606" s="0" t="str">
        <f aca="false">IF('THÁNG 10'!$C13="","",'THÁNG 10'!$F13&amp;"")</f>
        <v/>
      </c>
      <c r="G606" s="0" t="str">
        <f aca="false">IF('THÁNG 10'!$C13="","",'THÁNG 10'!$G13&amp;"")</f>
        <v/>
      </c>
      <c r="H606" s="0" t="str">
        <f aca="false">IF('THÁNG 10'!$C13="","",'THÁNG 10'!$H13&amp;"")</f>
        <v/>
      </c>
      <c r="I606" s="0" t="str">
        <f aca="false">IF('THÁNG 10'!$C13="","",N('THÁNG 10'!$I13))</f>
        <v/>
      </c>
      <c r="J606" s="0" t="str">
        <f aca="false">IF('THÁNG 10'!$C13="","",N('THÁNG 10'!$L13))</f>
        <v/>
      </c>
      <c r="K606" s="0" t="str">
        <f aca="false">IF('THÁNG 10'!$C13="","",N('THÁNG 10'!$N13))</f>
        <v/>
      </c>
      <c r="L606" s="0" t="str">
        <f aca="false">IF('THÁNG 10'!$C13="","",N('THÁNG 10'!$O13))</f>
        <v/>
      </c>
      <c r="M606" s="0" t="str">
        <f aca="false">IF('THÁNG 10'!$C13="","",N('THÁNG 10'!$P13))</f>
        <v/>
      </c>
      <c r="N606" s="0" t="str">
        <f aca="false">IF('THÁNG 10'!$C13="","",N('THÁNG 10'!$Q13))</f>
        <v/>
      </c>
      <c r="O606" s="0" t="str">
        <f aca="false">IF('THÁNG 10'!$C13="","",N('THÁNG 10'!$R13))</f>
        <v/>
      </c>
      <c r="P606" s="0" t="str">
        <f aca="false">IF(OR('THÁNG 10'!$C13="",'THÁNG 10'!$T13=""),"",'THÁNG 10'!$T13)</f>
        <v/>
      </c>
      <c r="Q606" s="0" t="str">
        <f aca="false">IF(OR('THÁNG 10'!$C13="",'THÁNG 10'!$U13=""),"",'THÁNG 10'!$U13)</f>
        <v/>
      </c>
      <c r="R606" s="0" t="str">
        <f aca="false">IF('THÁNG 10'!$C13="","",'THÁNG 10'!$W13&amp;"")</f>
        <v/>
      </c>
      <c r="S606" s="0" t="str">
        <f aca="false">IF('THÁNG 10'!$C13="","",'THÁNG 10'!$S13&amp;"")</f>
        <v/>
      </c>
      <c r="T606" s="0" t="str">
        <f aca="false">IF(N($O606)&gt;0,COUNTIF($O$3:$O606,"&gt;0"),"")</f>
        <v/>
      </c>
      <c r="U606" s="0" t="str">
        <f aca="false">IF(AND(N($J606)&gt;0,N($K606)&gt;0),COUNTIFS($J$3:$J606,"&gt;0",$K$3:$K606,"&gt;0"),"")</f>
        <v/>
      </c>
      <c r="V606" s="0" t="str">
        <f aca="false">IF(AND(N($J606)&gt;0,N($K606)=0),COUNTIFS($J$3:$J606,"&gt;0",$K$3:$K606,"&lt;=0"),"")</f>
        <v/>
      </c>
      <c r="W606" s="0" t="str">
        <f aca="false">IF($C606="","",IF(COUNTIF($C$3:$C606,$C606)&gt;1,"",MAX($W$2:W605)+1))</f>
        <v/>
      </c>
      <c r="X606" s="0" t="str">
        <f aca="false">IF($H606="","",IF(COUNTIF($H$3:$H606,$H606)&gt;1,"",MAX($X$2:X605)+1))</f>
        <v/>
      </c>
      <c r="Y606" s="0" t="str">
        <f aca="false">IF(AND(N($M606)&gt;0,N($O606)&lt;=0),COUNTIFS($M$3:$M606,"&gt;0",$O$3:$O606,"&lt;=0"),"")</f>
        <v/>
      </c>
      <c r="Z606" s="30" t="n">
        <f aca="false">IF(OR('THÁNG 10'!$C13="",'THÁNG 10'!$B13=""),0,'THÁNG 10'!$B13)</f>
        <v>0</v>
      </c>
    </row>
    <row r="607" customFormat="false" ht="15" hidden="false" customHeight="false" outlineLevel="0" collapsed="false">
      <c r="A607" s="0" t="n">
        <v>10</v>
      </c>
      <c r="B607" s="29" t="str">
        <f aca="false">IF(OR('THÁNG 10'!$C14="",'THÁNG 10'!$B14=""),"",'THÁNG 10'!$B14)</f>
        <v/>
      </c>
      <c r="C607" s="0" t="str">
        <f aca="false">IF('THÁNG 10'!$C14="","",'THÁNG 10'!$C14)</f>
        <v/>
      </c>
      <c r="D607" s="0" t="str">
        <f aca="false">IF('THÁNG 10'!$C14="","",'THÁNG 10'!$D14&amp;"")</f>
        <v/>
      </c>
      <c r="E607" s="0" t="str">
        <f aca="false">IF('THÁNG 10'!$C14="","",'THÁNG 10'!$E14&amp;"")</f>
        <v/>
      </c>
      <c r="F607" s="0" t="str">
        <f aca="false">IF('THÁNG 10'!$C14="","",'THÁNG 10'!$F14&amp;"")</f>
        <v/>
      </c>
      <c r="G607" s="0" t="str">
        <f aca="false">IF('THÁNG 10'!$C14="","",'THÁNG 10'!$G14&amp;"")</f>
        <v/>
      </c>
      <c r="H607" s="0" t="str">
        <f aca="false">IF('THÁNG 10'!$C14="","",'THÁNG 10'!$H14&amp;"")</f>
        <v/>
      </c>
      <c r="I607" s="0" t="str">
        <f aca="false">IF('THÁNG 10'!$C14="","",N('THÁNG 10'!$I14))</f>
        <v/>
      </c>
      <c r="J607" s="0" t="str">
        <f aca="false">IF('THÁNG 10'!$C14="","",N('THÁNG 10'!$L14))</f>
        <v/>
      </c>
      <c r="K607" s="0" t="str">
        <f aca="false">IF('THÁNG 10'!$C14="","",N('THÁNG 10'!$N14))</f>
        <v/>
      </c>
      <c r="L607" s="0" t="str">
        <f aca="false">IF('THÁNG 10'!$C14="","",N('THÁNG 10'!$O14))</f>
        <v/>
      </c>
      <c r="M607" s="0" t="str">
        <f aca="false">IF('THÁNG 10'!$C14="","",N('THÁNG 10'!$P14))</f>
        <v/>
      </c>
      <c r="N607" s="0" t="str">
        <f aca="false">IF('THÁNG 10'!$C14="","",N('THÁNG 10'!$Q14))</f>
        <v/>
      </c>
      <c r="O607" s="0" t="str">
        <f aca="false">IF('THÁNG 10'!$C14="","",N('THÁNG 10'!$R14))</f>
        <v/>
      </c>
      <c r="P607" s="0" t="str">
        <f aca="false">IF(OR('THÁNG 10'!$C14="",'THÁNG 10'!$T14=""),"",'THÁNG 10'!$T14)</f>
        <v/>
      </c>
      <c r="Q607" s="0" t="str">
        <f aca="false">IF(OR('THÁNG 10'!$C14="",'THÁNG 10'!$U14=""),"",'THÁNG 10'!$U14)</f>
        <v/>
      </c>
      <c r="R607" s="0" t="str">
        <f aca="false">IF('THÁNG 10'!$C14="","",'THÁNG 10'!$W14&amp;"")</f>
        <v/>
      </c>
      <c r="S607" s="0" t="str">
        <f aca="false">IF('THÁNG 10'!$C14="","",'THÁNG 10'!$S14&amp;"")</f>
        <v/>
      </c>
      <c r="T607" s="0" t="str">
        <f aca="false">IF(N($O607)&gt;0,COUNTIF($O$3:$O607,"&gt;0"),"")</f>
        <v/>
      </c>
      <c r="U607" s="0" t="str">
        <f aca="false">IF(AND(N($J607)&gt;0,N($K607)&gt;0),COUNTIFS($J$3:$J607,"&gt;0",$K$3:$K607,"&gt;0"),"")</f>
        <v/>
      </c>
      <c r="V607" s="0" t="str">
        <f aca="false">IF(AND(N($J607)&gt;0,N($K607)=0),COUNTIFS($J$3:$J607,"&gt;0",$K$3:$K607,"&lt;=0"),"")</f>
        <v/>
      </c>
      <c r="W607" s="0" t="str">
        <f aca="false">IF($C607="","",IF(COUNTIF($C$3:$C607,$C607)&gt;1,"",MAX($W$2:W606)+1))</f>
        <v/>
      </c>
      <c r="X607" s="0" t="str">
        <f aca="false">IF($H607="","",IF(COUNTIF($H$3:$H607,$H607)&gt;1,"",MAX($X$2:X606)+1))</f>
        <v/>
      </c>
      <c r="Y607" s="0" t="str">
        <f aca="false">IF(AND(N($M607)&gt;0,N($O607)&lt;=0),COUNTIFS($M$3:$M607,"&gt;0",$O$3:$O607,"&lt;=0"),"")</f>
        <v/>
      </c>
      <c r="Z607" s="30" t="n">
        <f aca="false">IF(OR('THÁNG 10'!$C14="",'THÁNG 10'!$B14=""),0,'THÁNG 10'!$B14)</f>
        <v>0</v>
      </c>
    </row>
    <row r="608" customFormat="false" ht="15" hidden="false" customHeight="false" outlineLevel="0" collapsed="false">
      <c r="A608" s="0" t="n">
        <v>10</v>
      </c>
      <c r="B608" s="29" t="str">
        <f aca="false">IF(OR('THÁNG 10'!$C15="",'THÁNG 10'!$B15=""),"",'THÁNG 10'!$B15)</f>
        <v/>
      </c>
      <c r="C608" s="0" t="str">
        <f aca="false">IF('THÁNG 10'!$C15="","",'THÁNG 10'!$C15)</f>
        <v/>
      </c>
      <c r="D608" s="0" t="str">
        <f aca="false">IF('THÁNG 10'!$C15="","",'THÁNG 10'!$D15&amp;"")</f>
        <v/>
      </c>
      <c r="E608" s="0" t="str">
        <f aca="false">IF('THÁNG 10'!$C15="","",'THÁNG 10'!$E15&amp;"")</f>
        <v/>
      </c>
      <c r="F608" s="0" t="str">
        <f aca="false">IF('THÁNG 10'!$C15="","",'THÁNG 10'!$F15&amp;"")</f>
        <v/>
      </c>
      <c r="G608" s="0" t="str">
        <f aca="false">IF('THÁNG 10'!$C15="","",'THÁNG 10'!$G15&amp;"")</f>
        <v/>
      </c>
      <c r="H608" s="0" t="str">
        <f aca="false">IF('THÁNG 10'!$C15="","",'THÁNG 10'!$H15&amp;"")</f>
        <v/>
      </c>
      <c r="I608" s="0" t="str">
        <f aca="false">IF('THÁNG 10'!$C15="","",N('THÁNG 10'!$I15))</f>
        <v/>
      </c>
      <c r="J608" s="0" t="str">
        <f aca="false">IF('THÁNG 10'!$C15="","",N('THÁNG 10'!$L15))</f>
        <v/>
      </c>
      <c r="K608" s="0" t="str">
        <f aca="false">IF('THÁNG 10'!$C15="","",N('THÁNG 10'!$N15))</f>
        <v/>
      </c>
      <c r="L608" s="0" t="str">
        <f aca="false">IF('THÁNG 10'!$C15="","",N('THÁNG 10'!$O15))</f>
        <v/>
      </c>
      <c r="M608" s="0" t="str">
        <f aca="false">IF('THÁNG 10'!$C15="","",N('THÁNG 10'!$P15))</f>
        <v/>
      </c>
      <c r="N608" s="0" t="str">
        <f aca="false">IF('THÁNG 10'!$C15="","",N('THÁNG 10'!$Q15))</f>
        <v/>
      </c>
      <c r="O608" s="0" t="str">
        <f aca="false">IF('THÁNG 10'!$C15="","",N('THÁNG 10'!$R15))</f>
        <v/>
      </c>
      <c r="P608" s="0" t="str">
        <f aca="false">IF(OR('THÁNG 10'!$C15="",'THÁNG 10'!$T15=""),"",'THÁNG 10'!$T15)</f>
        <v/>
      </c>
      <c r="Q608" s="0" t="str">
        <f aca="false">IF(OR('THÁNG 10'!$C15="",'THÁNG 10'!$U15=""),"",'THÁNG 10'!$U15)</f>
        <v/>
      </c>
      <c r="R608" s="0" t="str">
        <f aca="false">IF('THÁNG 10'!$C15="","",'THÁNG 10'!$W15&amp;"")</f>
        <v/>
      </c>
      <c r="S608" s="0" t="str">
        <f aca="false">IF('THÁNG 10'!$C15="","",'THÁNG 10'!$S15&amp;"")</f>
        <v/>
      </c>
      <c r="T608" s="0" t="str">
        <f aca="false">IF(N($O608)&gt;0,COUNTIF($O$3:$O608,"&gt;0"),"")</f>
        <v/>
      </c>
      <c r="U608" s="0" t="str">
        <f aca="false">IF(AND(N($J608)&gt;0,N($K608)&gt;0),COUNTIFS($J$3:$J608,"&gt;0",$K$3:$K608,"&gt;0"),"")</f>
        <v/>
      </c>
      <c r="V608" s="0" t="str">
        <f aca="false">IF(AND(N($J608)&gt;0,N($K608)=0),COUNTIFS($J$3:$J608,"&gt;0",$K$3:$K608,"&lt;=0"),"")</f>
        <v/>
      </c>
      <c r="W608" s="0" t="str">
        <f aca="false">IF($C608="","",IF(COUNTIF($C$3:$C608,$C608)&gt;1,"",MAX($W$2:W607)+1))</f>
        <v/>
      </c>
      <c r="X608" s="0" t="str">
        <f aca="false">IF($H608="","",IF(COUNTIF($H$3:$H608,$H608)&gt;1,"",MAX($X$2:X607)+1))</f>
        <v/>
      </c>
      <c r="Y608" s="0" t="str">
        <f aca="false">IF(AND(N($M608)&gt;0,N($O608)&lt;=0),COUNTIFS($M$3:$M608,"&gt;0",$O$3:$O608,"&lt;=0"),"")</f>
        <v/>
      </c>
      <c r="Z608" s="30" t="n">
        <f aca="false">IF(OR('THÁNG 10'!$C15="",'THÁNG 10'!$B15=""),0,'THÁNG 10'!$B15)</f>
        <v>0</v>
      </c>
    </row>
    <row r="609" customFormat="false" ht="15" hidden="false" customHeight="false" outlineLevel="0" collapsed="false">
      <c r="A609" s="0" t="n">
        <v>10</v>
      </c>
      <c r="B609" s="29" t="str">
        <f aca="false">IF(OR('THÁNG 10'!$C16="",'THÁNG 10'!$B16=""),"",'THÁNG 10'!$B16)</f>
        <v/>
      </c>
      <c r="C609" s="0" t="str">
        <f aca="false">IF('THÁNG 10'!$C16="","",'THÁNG 10'!$C16)</f>
        <v/>
      </c>
      <c r="D609" s="0" t="str">
        <f aca="false">IF('THÁNG 10'!$C16="","",'THÁNG 10'!$D16&amp;"")</f>
        <v/>
      </c>
      <c r="E609" s="0" t="str">
        <f aca="false">IF('THÁNG 10'!$C16="","",'THÁNG 10'!$E16&amp;"")</f>
        <v/>
      </c>
      <c r="F609" s="0" t="str">
        <f aca="false">IF('THÁNG 10'!$C16="","",'THÁNG 10'!$F16&amp;"")</f>
        <v/>
      </c>
      <c r="G609" s="0" t="str">
        <f aca="false">IF('THÁNG 10'!$C16="","",'THÁNG 10'!$G16&amp;"")</f>
        <v/>
      </c>
      <c r="H609" s="0" t="str">
        <f aca="false">IF('THÁNG 10'!$C16="","",'THÁNG 10'!$H16&amp;"")</f>
        <v/>
      </c>
      <c r="I609" s="0" t="str">
        <f aca="false">IF('THÁNG 10'!$C16="","",N('THÁNG 10'!$I16))</f>
        <v/>
      </c>
      <c r="J609" s="0" t="str">
        <f aca="false">IF('THÁNG 10'!$C16="","",N('THÁNG 10'!$L16))</f>
        <v/>
      </c>
      <c r="K609" s="0" t="str">
        <f aca="false">IF('THÁNG 10'!$C16="","",N('THÁNG 10'!$N16))</f>
        <v/>
      </c>
      <c r="L609" s="0" t="str">
        <f aca="false">IF('THÁNG 10'!$C16="","",N('THÁNG 10'!$O16))</f>
        <v/>
      </c>
      <c r="M609" s="0" t="str">
        <f aca="false">IF('THÁNG 10'!$C16="","",N('THÁNG 10'!$P16))</f>
        <v/>
      </c>
      <c r="N609" s="0" t="str">
        <f aca="false">IF('THÁNG 10'!$C16="","",N('THÁNG 10'!$Q16))</f>
        <v/>
      </c>
      <c r="O609" s="0" t="str">
        <f aca="false">IF('THÁNG 10'!$C16="","",N('THÁNG 10'!$R16))</f>
        <v/>
      </c>
      <c r="P609" s="0" t="str">
        <f aca="false">IF(OR('THÁNG 10'!$C16="",'THÁNG 10'!$T16=""),"",'THÁNG 10'!$T16)</f>
        <v/>
      </c>
      <c r="Q609" s="0" t="str">
        <f aca="false">IF(OR('THÁNG 10'!$C16="",'THÁNG 10'!$U16=""),"",'THÁNG 10'!$U16)</f>
        <v/>
      </c>
      <c r="R609" s="0" t="str">
        <f aca="false">IF('THÁNG 10'!$C16="","",'THÁNG 10'!$W16&amp;"")</f>
        <v/>
      </c>
      <c r="S609" s="0" t="str">
        <f aca="false">IF('THÁNG 10'!$C16="","",'THÁNG 10'!$S16&amp;"")</f>
        <v/>
      </c>
      <c r="T609" s="0" t="str">
        <f aca="false">IF(N($O609)&gt;0,COUNTIF($O$3:$O609,"&gt;0"),"")</f>
        <v/>
      </c>
      <c r="U609" s="0" t="str">
        <f aca="false">IF(AND(N($J609)&gt;0,N($K609)&gt;0),COUNTIFS($J$3:$J609,"&gt;0",$K$3:$K609,"&gt;0"),"")</f>
        <v/>
      </c>
      <c r="V609" s="0" t="str">
        <f aca="false">IF(AND(N($J609)&gt;0,N($K609)=0),COUNTIFS($J$3:$J609,"&gt;0",$K$3:$K609,"&lt;=0"),"")</f>
        <v/>
      </c>
      <c r="W609" s="0" t="str">
        <f aca="false">IF($C609="","",IF(COUNTIF($C$3:$C609,$C609)&gt;1,"",MAX($W$2:W608)+1))</f>
        <v/>
      </c>
      <c r="X609" s="0" t="str">
        <f aca="false">IF($H609="","",IF(COUNTIF($H$3:$H609,$H609)&gt;1,"",MAX($X$2:X608)+1))</f>
        <v/>
      </c>
      <c r="Y609" s="0" t="str">
        <f aca="false">IF(AND(N($M609)&gt;0,N($O609)&lt;=0),COUNTIFS($M$3:$M609,"&gt;0",$O$3:$O609,"&lt;=0"),"")</f>
        <v/>
      </c>
      <c r="Z609" s="30" t="n">
        <f aca="false">IF(OR('THÁNG 10'!$C16="",'THÁNG 10'!$B16=""),0,'THÁNG 10'!$B16)</f>
        <v>0</v>
      </c>
    </row>
    <row r="610" customFormat="false" ht="15" hidden="false" customHeight="false" outlineLevel="0" collapsed="false">
      <c r="A610" s="0" t="n">
        <v>10</v>
      </c>
      <c r="B610" s="29" t="str">
        <f aca="false">IF(OR('THÁNG 10'!$C17="",'THÁNG 10'!$B17=""),"",'THÁNG 10'!$B17)</f>
        <v/>
      </c>
      <c r="C610" s="0" t="str">
        <f aca="false">IF('THÁNG 10'!$C17="","",'THÁNG 10'!$C17)</f>
        <v/>
      </c>
      <c r="D610" s="0" t="str">
        <f aca="false">IF('THÁNG 10'!$C17="","",'THÁNG 10'!$D17&amp;"")</f>
        <v/>
      </c>
      <c r="E610" s="0" t="str">
        <f aca="false">IF('THÁNG 10'!$C17="","",'THÁNG 10'!$E17&amp;"")</f>
        <v/>
      </c>
      <c r="F610" s="0" t="str">
        <f aca="false">IF('THÁNG 10'!$C17="","",'THÁNG 10'!$F17&amp;"")</f>
        <v/>
      </c>
      <c r="G610" s="0" t="str">
        <f aca="false">IF('THÁNG 10'!$C17="","",'THÁNG 10'!$G17&amp;"")</f>
        <v/>
      </c>
      <c r="H610" s="0" t="str">
        <f aca="false">IF('THÁNG 10'!$C17="","",'THÁNG 10'!$H17&amp;"")</f>
        <v/>
      </c>
      <c r="I610" s="0" t="str">
        <f aca="false">IF('THÁNG 10'!$C17="","",N('THÁNG 10'!$I17))</f>
        <v/>
      </c>
      <c r="J610" s="0" t="str">
        <f aca="false">IF('THÁNG 10'!$C17="","",N('THÁNG 10'!$L17))</f>
        <v/>
      </c>
      <c r="K610" s="0" t="str">
        <f aca="false">IF('THÁNG 10'!$C17="","",N('THÁNG 10'!$N17))</f>
        <v/>
      </c>
      <c r="L610" s="0" t="str">
        <f aca="false">IF('THÁNG 10'!$C17="","",N('THÁNG 10'!$O17))</f>
        <v/>
      </c>
      <c r="M610" s="0" t="str">
        <f aca="false">IF('THÁNG 10'!$C17="","",N('THÁNG 10'!$P17))</f>
        <v/>
      </c>
      <c r="N610" s="0" t="str">
        <f aca="false">IF('THÁNG 10'!$C17="","",N('THÁNG 10'!$Q17))</f>
        <v/>
      </c>
      <c r="O610" s="0" t="str">
        <f aca="false">IF('THÁNG 10'!$C17="","",N('THÁNG 10'!$R17))</f>
        <v/>
      </c>
      <c r="P610" s="0" t="str">
        <f aca="false">IF(OR('THÁNG 10'!$C17="",'THÁNG 10'!$T17=""),"",'THÁNG 10'!$T17)</f>
        <v/>
      </c>
      <c r="Q610" s="0" t="str">
        <f aca="false">IF(OR('THÁNG 10'!$C17="",'THÁNG 10'!$U17=""),"",'THÁNG 10'!$U17)</f>
        <v/>
      </c>
      <c r="R610" s="0" t="str">
        <f aca="false">IF('THÁNG 10'!$C17="","",'THÁNG 10'!$W17&amp;"")</f>
        <v/>
      </c>
      <c r="S610" s="0" t="str">
        <f aca="false">IF('THÁNG 10'!$C17="","",'THÁNG 10'!$S17&amp;"")</f>
        <v/>
      </c>
      <c r="T610" s="0" t="str">
        <f aca="false">IF(N($O610)&gt;0,COUNTIF($O$3:$O610,"&gt;0"),"")</f>
        <v/>
      </c>
      <c r="U610" s="0" t="str">
        <f aca="false">IF(AND(N($J610)&gt;0,N($K610)&gt;0),COUNTIFS($J$3:$J610,"&gt;0",$K$3:$K610,"&gt;0"),"")</f>
        <v/>
      </c>
      <c r="V610" s="0" t="str">
        <f aca="false">IF(AND(N($J610)&gt;0,N($K610)=0),COUNTIFS($J$3:$J610,"&gt;0",$K$3:$K610,"&lt;=0"),"")</f>
        <v/>
      </c>
      <c r="W610" s="0" t="str">
        <f aca="false">IF($C610="","",IF(COUNTIF($C$3:$C610,$C610)&gt;1,"",MAX($W$2:W609)+1))</f>
        <v/>
      </c>
      <c r="X610" s="0" t="str">
        <f aca="false">IF($H610="","",IF(COUNTIF($H$3:$H610,$H610)&gt;1,"",MAX($X$2:X609)+1))</f>
        <v/>
      </c>
      <c r="Y610" s="0" t="str">
        <f aca="false">IF(AND(N($M610)&gt;0,N($O610)&lt;=0),COUNTIFS($M$3:$M610,"&gt;0",$O$3:$O610,"&lt;=0"),"")</f>
        <v/>
      </c>
      <c r="Z610" s="30" t="n">
        <f aca="false">IF(OR('THÁNG 10'!$C17="",'THÁNG 10'!$B17=""),0,'THÁNG 10'!$B17)</f>
        <v>0</v>
      </c>
    </row>
    <row r="611" customFormat="false" ht="15" hidden="false" customHeight="false" outlineLevel="0" collapsed="false">
      <c r="A611" s="0" t="n">
        <v>10</v>
      </c>
      <c r="B611" s="29" t="str">
        <f aca="false">IF(OR('THÁNG 10'!$C18="",'THÁNG 10'!$B18=""),"",'THÁNG 10'!$B18)</f>
        <v/>
      </c>
      <c r="C611" s="0" t="str">
        <f aca="false">IF('THÁNG 10'!$C18="","",'THÁNG 10'!$C18)</f>
        <v/>
      </c>
      <c r="D611" s="0" t="str">
        <f aca="false">IF('THÁNG 10'!$C18="","",'THÁNG 10'!$D18&amp;"")</f>
        <v/>
      </c>
      <c r="E611" s="0" t="str">
        <f aca="false">IF('THÁNG 10'!$C18="","",'THÁNG 10'!$E18&amp;"")</f>
        <v/>
      </c>
      <c r="F611" s="0" t="str">
        <f aca="false">IF('THÁNG 10'!$C18="","",'THÁNG 10'!$F18&amp;"")</f>
        <v/>
      </c>
      <c r="G611" s="0" t="str">
        <f aca="false">IF('THÁNG 10'!$C18="","",'THÁNG 10'!$G18&amp;"")</f>
        <v/>
      </c>
      <c r="H611" s="0" t="str">
        <f aca="false">IF('THÁNG 10'!$C18="","",'THÁNG 10'!$H18&amp;"")</f>
        <v/>
      </c>
      <c r="I611" s="0" t="str">
        <f aca="false">IF('THÁNG 10'!$C18="","",N('THÁNG 10'!$I18))</f>
        <v/>
      </c>
      <c r="J611" s="0" t="str">
        <f aca="false">IF('THÁNG 10'!$C18="","",N('THÁNG 10'!$L18))</f>
        <v/>
      </c>
      <c r="K611" s="0" t="str">
        <f aca="false">IF('THÁNG 10'!$C18="","",N('THÁNG 10'!$N18))</f>
        <v/>
      </c>
      <c r="L611" s="0" t="str">
        <f aca="false">IF('THÁNG 10'!$C18="","",N('THÁNG 10'!$O18))</f>
        <v/>
      </c>
      <c r="M611" s="0" t="str">
        <f aca="false">IF('THÁNG 10'!$C18="","",N('THÁNG 10'!$P18))</f>
        <v/>
      </c>
      <c r="N611" s="0" t="str">
        <f aca="false">IF('THÁNG 10'!$C18="","",N('THÁNG 10'!$Q18))</f>
        <v/>
      </c>
      <c r="O611" s="0" t="str">
        <f aca="false">IF('THÁNG 10'!$C18="","",N('THÁNG 10'!$R18))</f>
        <v/>
      </c>
      <c r="P611" s="0" t="str">
        <f aca="false">IF(OR('THÁNG 10'!$C18="",'THÁNG 10'!$T18=""),"",'THÁNG 10'!$T18)</f>
        <v/>
      </c>
      <c r="Q611" s="0" t="str">
        <f aca="false">IF(OR('THÁNG 10'!$C18="",'THÁNG 10'!$U18=""),"",'THÁNG 10'!$U18)</f>
        <v/>
      </c>
      <c r="R611" s="0" t="str">
        <f aca="false">IF('THÁNG 10'!$C18="","",'THÁNG 10'!$W18&amp;"")</f>
        <v/>
      </c>
      <c r="S611" s="0" t="str">
        <f aca="false">IF('THÁNG 10'!$C18="","",'THÁNG 10'!$S18&amp;"")</f>
        <v/>
      </c>
      <c r="T611" s="0" t="str">
        <f aca="false">IF(N($O611)&gt;0,COUNTIF($O$3:$O611,"&gt;0"),"")</f>
        <v/>
      </c>
      <c r="U611" s="0" t="str">
        <f aca="false">IF(AND(N($J611)&gt;0,N($K611)&gt;0),COUNTIFS($J$3:$J611,"&gt;0",$K$3:$K611,"&gt;0"),"")</f>
        <v/>
      </c>
      <c r="V611" s="0" t="str">
        <f aca="false">IF(AND(N($J611)&gt;0,N($K611)=0),COUNTIFS($J$3:$J611,"&gt;0",$K$3:$K611,"&lt;=0"),"")</f>
        <v/>
      </c>
      <c r="W611" s="0" t="str">
        <f aca="false">IF($C611="","",IF(COUNTIF($C$3:$C611,$C611)&gt;1,"",MAX($W$2:W610)+1))</f>
        <v/>
      </c>
      <c r="X611" s="0" t="str">
        <f aca="false">IF($H611="","",IF(COUNTIF($H$3:$H611,$H611)&gt;1,"",MAX($X$2:X610)+1))</f>
        <v/>
      </c>
      <c r="Y611" s="0" t="str">
        <f aca="false">IF(AND(N($M611)&gt;0,N($O611)&lt;=0),COUNTIFS($M$3:$M611,"&gt;0",$O$3:$O611,"&lt;=0"),"")</f>
        <v/>
      </c>
      <c r="Z611" s="30" t="n">
        <f aca="false">IF(OR('THÁNG 10'!$C18="",'THÁNG 10'!$B18=""),0,'THÁNG 10'!$B18)</f>
        <v>0</v>
      </c>
    </row>
    <row r="612" customFormat="false" ht="15" hidden="false" customHeight="false" outlineLevel="0" collapsed="false">
      <c r="A612" s="0" t="n">
        <v>10</v>
      </c>
      <c r="B612" s="29" t="str">
        <f aca="false">IF(OR('THÁNG 10'!$C19="",'THÁNG 10'!$B19=""),"",'THÁNG 10'!$B19)</f>
        <v/>
      </c>
      <c r="C612" s="0" t="str">
        <f aca="false">IF('THÁNG 10'!$C19="","",'THÁNG 10'!$C19)</f>
        <v/>
      </c>
      <c r="D612" s="0" t="str">
        <f aca="false">IF('THÁNG 10'!$C19="","",'THÁNG 10'!$D19&amp;"")</f>
        <v/>
      </c>
      <c r="E612" s="0" t="str">
        <f aca="false">IF('THÁNG 10'!$C19="","",'THÁNG 10'!$E19&amp;"")</f>
        <v/>
      </c>
      <c r="F612" s="0" t="str">
        <f aca="false">IF('THÁNG 10'!$C19="","",'THÁNG 10'!$F19&amp;"")</f>
        <v/>
      </c>
      <c r="G612" s="0" t="str">
        <f aca="false">IF('THÁNG 10'!$C19="","",'THÁNG 10'!$G19&amp;"")</f>
        <v/>
      </c>
      <c r="H612" s="0" t="str">
        <f aca="false">IF('THÁNG 10'!$C19="","",'THÁNG 10'!$H19&amp;"")</f>
        <v/>
      </c>
      <c r="I612" s="0" t="str">
        <f aca="false">IF('THÁNG 10'!$C19="","",N('THÁNG 10'!$I19))</f>
        <v/>
      </c>
      <c r="J612" s="0" t="str">
        <f aca="false">IF('THÁNG 10'!$C19="","",N('THÁNG 10'!$L19))</f>
        <v/>
      </c>
      <c r="K612" s="0" t="str">
        <f aca="false">IF('THÁNG 10'!$C19="","",N('THÁNG 10'!$N19))</f>
        <v/>
      </c>
      <c r="L612" s="0" t="str">
        <f aca="false">IF('THÁNG 10'!$C19="","",N('THÁNG 10'!$O19))</f>
        <v/>
      </c>
      <c r="M612" s="0" t="str">
        <f aca="false">IF('THÁNG 10'!$C19="","",N('THÁNG 10'!$P19))</f>
        <v/>
      </c>
      <c r="N612" s="0" t="str">
        <f aca="false">IF('THÁNG 10'!$C19="","",N('THÁNG 10'!$Q19))</f>
        <v/>
      </c>
      <c r="O612" s="0" t="str">
        <f aca="false">IF('THÁNG 10'!$C19="","",N('THÁNG 10'!$R19))</f>
        <v/>
      </c>
      <c r="P612" s="0" t="str">
        <f aca="false">IF(OR('THÁNG 10'!$C19="",'THÁNG 10'!$T19=""),"",'THÁNG 10'!$T19)</f>
        <v/>
      </c>
      <c r="Q612" s="0" t="str">
        <f aca="false">IF(OR('THÁNG 10'!$C19="",'THÁNG 10'!$U19=""),"",'THÁNG 10'!$U19)</f>
        <v/>
      </c>
      <c r="R612" s="0" t="str">
        <f aca="false">IF('THÁNG 10'!$C19="","",'THÁNG 10'!$W19&amp;"")</f>
        <v/>
      </c>
      <c r="S612" s="0" t="str">
        <f aca="false">IF('THÁNG 10'!$C19="","",'THÁNG 10'!$S19&amp;"")</f>
        <v/>
      </c>
      <c r="T612" s="0" t="str">
        <f aca="false">IF(N($O612)&gt;0,COUNTIF($O$3:$O612,"&gt;0"),"")</f>
        <v/>
      </c>
      <c r="U612" s="0" t="str">
        <f aca="false">IF(AND(N($J612)&gt;0,N($K612)&gt;0),COUNTIFS($J$3:$J612,"&gt;0",$K$3:$K612,"&gt;0"),"")</f>
        <v/>
      </c>
      <c r="V612" s="0" t="str">
        <f aca="false">IF(AND(N($J612)&gt;0,N($K612)=0),COUNTIFS($J$3:$J612,"&gt;0",$K$3:$K612,"&lt;=0"),"")</f>
        <v/>
      </c>
      <c r="W612" s="0" t="str">
        <f aca="false">IF($C612="","",IF(COUNTIF($C$3:$C612,$C612)&gt;1,"",MAX($W$2:W611)+1))</f>
        <v/>
      </c>
      <c r="X612" s="0" t="str">
        <f aca="false">IF($H612="","",IF(COUNTIF($H$3:$H612,$H612)&gt;1,"",MAX($X$2:X611)+1))</f>
        <v/>
      </c>
      <c r="Y612" s="0" t="str">
        <f aca="false">IF(AND(N($M612)&gt;0,N($O612)&lt;=0),COUNTIFS($M$3:$M612,"&gt;0",$O$3:$O612,"&lt;=0"),"")</f>
        <v/>
      </c>
      <c r="Z612" s="30" t="n">
        <f aca="false">IF(OR('THÁNG 10'!$C19="",'THÁNG 10'!$B19=""),0,'THÁNG 10'!$B19)</f>
        <v>0</v>
      </c>
    </row>
    <row r="613" customFormat="false" ht="15" hidden="false" customHeight="false" outlineLevel="0" collapsed="false">
      <c r="A613" s="0" t="n">
        <v>10</v>
      </c>
      <c r="B613" s="29" t="str">
        <f aca="false">IF(OR('THÁNG 10'!$C20="",'THÁNG 10'!$B20=""),"",'THÁNG 10'!$B20)</f>
        <v/>
      </c>
      <c r="C613" s="0" t="str">
        <f aca="false">IF('THÁNG 10'!$C20="","",'THÁNG 10'!$C20)</f>
        <v/>
      </c>
      <c r="D613" s="0" t="str">
        <f aca="false">IF('THÁNG 10'!$C20="","",'THÁNG 10'!$D20&amp;"")</f>
        <v/>
      </c>
      <c r="E613" s="0" t="str">
        <f aca="false">IF('THÁNG 10'!$C20="","",'THÁNG 10'!$E20&amp;"")</f>
        <v/>
      </c>
      <c r="F613" s="0" t="str">
        <f aca="false">IF('THÁNG 10'!$C20="","",'THÁNG 10'!$F20&amp;"")</f>
        <v/>
      </c>
      <c r="G613" s="0" t="str">
        <f aca="false">IF('THÁNG 10'!$C20="","",'THÁNG 10'!$G20&amp;"")</f>
        <v/>
      </c>
      <c r="H613" s="0" t="str">
        <f aca="false">IF('THÁNG 10'!$C20="","",'THÁNG 10'!$H20&amp;"")</f>
        <v/>
      </c>
      <c r="I613" s="0" t="str">
        <f aca="false">IF('THÁNG 10'!$C20="","",N('THÁNG 10'!$I20))</f>
        <v/>
      </c>
      <c r="J613" s="0" t="str">
        <f aca="false">IF('THÁNG 10'!$C20="","",N('THÁNG 10'!$L20))</f>
        <v/>
      </c>
      <c r="K613" s="0" t="str">
        <f aca="false">IF('THÁNG 10'!$C20="","",N('THÁNG 10'!$N20))</f>
        <v/>
      </c>
      <c r="L613" s="0" t="str">
        <f aca="false">IF('THÁNG 10'!$C20="","",N('THÁNG 10'!$O20))</f>
        <v/>
      </c>
      <c r="M613" s="0" t="str">
        <f aca="false">IF('THÁNG 10'!$C20="","",N('THÁNG 10'!$P20))</f>
        <v/>
      </c>
      <c r="N613" s="0" t="str">
        <f aca="false">IF('THÁNG 10'!$C20="","",N('THÁNG 10'!$Q20))</f>
        <v/>
      </c>
      <c r="O613" s="0" t="str">
        <f aca="false">IF('THÁNG 10'!$C20="","",N('THÁNG 10'!$R20))</f>
        <v/>
      </c>
      <c r="P613" s="0" t="str">
        <f aca="false">IF(OR('THÁNG 10'!$C20="",'THÁNG 10'!$T20=""),"",'THÁNG 10'!$T20)</f>
        <v/>
      </c>
      <c r="Q613" s="0" t="str">
        <f aca="false">IF(OR('THÁNG 10'!$C20="",'THÁNG 10'!$U20=""),"",'THÁNG 10'!$U20)</f>
        <v/>
      </c>
      <c r="R613" s="0" t="str">
        <f aca="false">IF('THÁNG 10'!$C20="","",'THÁNG 10'!$W20&amp;"")</f>
        <v/>
      </c>
      <c r="S613" s="0" t="str">
        <f aca="false">IF('THÁNG 10'!$C20="","",'THÁNG 10'!$S20&amp;"")</f>
        <v/>
      </c>
      <c r="T613" s="0" t="str">
        <f aca="false">IF(N($O613)&gt;0,COUNTIF($O$3:$O613,"&gt;0"),"")</f>
        <v/>
      </c>
      <c r="U613" s="0" t="str">
        <f aca="false">IF(AND(N($J613)&gt;0,N($K613)&gt;0),COUNTIFS($J$3:$J613,"&gt;0",$K$3:$K613,"&gt;0"),"")</f>
        <v/>
      </c>
      <c r="V613" s="0" t="str">
        <f aca="false">IF(AND(N($J613)&gt;0,N($K613)=0),COUNTIFS($J$3:$J613,"&gt;0",$K$3:$K613,"&lt;=0"),"")</f>
        <v/>
      </c>
      <c r="W613" s="0" t="str">
        <f aca="false">IF($C613="","",IF(COUNTIF($C$3:$C613,$C613)&gt;1,"",MAX($W$2:W612)+1))</f>
        <v/>
      </c>
      <c r="X613" s="0" t="str">
        <f aca="false">IF($H613="","",IF(COUNTIF($H$3:$H613,$H613)&gt;1,"",MAX($X$2:X612)+1))</f>
        <v/>
      </c>
      <c r="Y613" s="0" t="str">
        <f aca="false">IF(AND(N($M613)&gt;0,N($O613)&lt;=0),COUNTIFS($M$3:$M613,"&gt;0",$O$3:$O613,"&lt;=0"),"")</f>
        <v/>
      </c>
      <c r="Z613" s="30" t="n">
        <f aca="false">IF(OR('THÁNG 10'!$C20="",'THÁNG 10'!$B20=""),0,'THÁNG 10'!$B20)</f>
        <v>0</v>
      </c>
    </row>
    <row r="614" customFormat="false" ht="15" hidden="false" customHeight="false" outlineLevel="0" collapsed="false">
      <c r="A614" s="0" t="n">
        <v>10</v>
      </c>
      <c r="B614" s="29" t="str">
        <f aca="false">IF(OR('THÁNG 10'!$C21="",'THÁNG 10'!$B21=""),"",'THÁNG 10'!$B21)</f>
        <v/>
      </c>
      <c r="C614" s="0" t="str">
        <f aca="false">IF('THÁNG 10'!$C21="","",'THÁNG 10'!$C21)</f>
        <v/>
      </c>
      <c r="D614" s="0" t="str">
        <f aca="false">IF('THÁNG 10'!$C21="","",'THÁNG 10'!$D21&amp;"")</f>
        <v/>
      </c>
      <c r="E614" s="0" t="str">
        <f aca="false">IF('THÁNG 10'!$C21="","",'THÁNG 10'!$E21&amp;"")</f>
        <v/>
      </c>
      <c r="F614" s="0" t="str">
        <f aca="false">IF('THÁNG 10'!$C21="","",'THÁNG 10'!$F21&amp;"")</f>
        <v/>
      </c>
      <c r="G614" s="0" t="str">
        <f aca="false">IF('THÁNG 10'!$C21="","",'THÁNG 10'!$G21&amp;"")</f>
        <v/>
      </c>
      <c r="H614" s="0" t="str">
        <f aca="false">IF('THÁNG 10'!$C21="","",'THÁNG 10'!$H21&amp;"")</f>
        <v/>
      </c>
      <c r="I614" s="0" t="str">
        <f aca="false">IF('THÁNG 10'!$C21="","",N('THÁNG 10'!$I21))</f>
        <v/>
      </c>
      <c r="J614" s="0" t="str">
        <f aca="false">IF('THÁNG 10'!$C21="","",N('THÁNG 10'!$L21))</f>
        <v/>
      </c>
      <c r="K614" s="0" t="str">
        <f aca="false">IF('THÁNG 10'!$C21="","",N('THÁNG 10'!$N21))</f>
        <v/>
      </c>
      <c r="L614" s="0" t="str">
        <f aca="false">IF('THÁNG 10'!$C21="","",N('THÁNG 10'!$O21))</f>
        <v/>
      </c>
      <c r="M614" s="0" t="str">
        <f aca="false">IF('THÁNG 10'!$C21="","",N('THÁNG 10'!$P21))</f>
        <v/>
      </c>
      <c r="N614" s="0" t="str">
        <f aca="false">IF('THÁNG 10'!$C21="","",N('THÁNG 10'!$Q21))</f>
        <v/>
      </c>
      <c r="O614" s="0" t="str">
        <f aca="false">IF('THÁNG 10'!$C21="","",N('THÁNG 10'!$R21))</f>
        <v/>
      </c>
      <c r="P614" s="0" t="str">
        <f aca="false">IF(OR('THÁNG 10'!$C21="",'THÁNG 10'!$T21=""),"",'THÁNG 10'!$T21)</f>
        <v/>
      </c>
      <c r="Q614" s="0" t="str">
        <f aca="false">IF(OR('THÁNG 10'!$C21="",'THÁNG 10'!$U21=""),"",'THÁNG 10'!$U21)</f>
        <v/>
      </c>
      <c r="R614" s="0" t="str">
        <f aca="false">IF('THÁNG 10'!$C21="","",'THÁNG 10'!$W21&amp;"")</f>
        <v/>
      </c>
      <c r="S614" s="0" t="str">
        <f aca="false">IF('THÁNG 10'!$C21="","",'THÁNG 10'!$S21&amp;"")</f>
        <v/>
      </c>
      <c r="T614" s="0" t="str">
        <f aca="false">IF(N($O614)&gt;0,COUNTIF($O$3:$O614,"&gt;0"),"")</f>
        <v/>
      </c>
      <c r="U614" s="0" t="str">
        <f aca="false">IF(AND(N($J614)&gt;0,N($K614)&gt;0),COUNTIFS($J$3:$J614,"&gt;0",$K$3:$K614,"&gt;0"),"")</f>
        <v/>
      </c>
      <c r="V614" s="0" t="str">
        <f aca="false">IF(AND(N($J614)&gt;0,N($K614)=0),COUNTIFS($J$3:$J614,"&gt;0",$K$3:$K614,"&lt;=0"),"")</f>
        <v/>
      </c>
      <c r="W614" s="0" t="str">
        <f aca="false">IF($C614="","",IF(COUNTIF($C$3:$C614,$C614)&gt;1,"",MAX($W$2:W613)+1))</f>
        <v/>
      </c>
      <c r="X614" s="0" t="str">
        <f aca="false">IF($H614="","",IF(COUNTIF($H$3:$H614,$H614)&gt;1,"",MAX($X$2:X613)+1))</f>
        <v/>
      </c>
      <c r="Y614" s="0" t="str">
        <f aca="false">IF(AND(N($M614)&gt;0,N($O614)&lt;=0),COUNTIFS($M$3:$M614,"&gt;0",$O$3:$O614,"&lt;=0"),"")</f>
        <v/>
      </c>
      <c r="Z614" s="30" t="n">
        <f aca="false">IF(OR('THÁNG 10'!$C21="",'THÁNG 10'!$B21=""),0,'THÁNG 10'!$B21)</f>
        <v>0</v>
      </c>
    </row>
    <row r="615" customFormat="false" ht="15" hidden="false" customHeight="false" outlineLevel="0" collapsed="false">
      <c r="A615" s="0" t="n">
        <v>10</v>
      </c>
      <c r="B615" s="29" t="str">
        <f aca="false">IF(OR('THÁNG 10'!$C22="",'THÁNG 10'!$B22=""),"",'THÁNG 10'!$B22)</f>
        <v/>
      </c>
      <c r="C615" s="0" t="str">
        <f aca="false">IF('THÁNG 10'!$C22="","",'THÁNG 10'!$C22)</f>
        <v/>
      </c>
      <c r="D615" s="0" t="str">
        <f aca="false">IF('THÁNG 10'!$C22="","",'THÁNG 10'!$D22&amp;"")</f>
        <v/>
      </c>
      <c r="E615" s="0" t="str">
        <f aca="false">IF('THÁNG 10'!$C22="","",'THÁNG 10'!$E22&amp;"")</f>
        <v/>
      </c>
      <c r="F615" s="0" t="str">
        <f aca="false">IF('THÁNG 10'!$C22="","",'THÁNG 10'!$F22&amp;"")</f>
        <v/>
      </c>
      <c r="G615" s="0" t="str">
        <f aca="false">IF('THÁNG 10'!$C22="","",'THÁNG 10'!$G22&amp;"")</f>
        <v/>
      </c>
      <c r="H615" s="0" t="str">
        <f aca="false">IF('THÁNG 10'!$C22="","",'THÁNG 10'!$H22&amp;"")</f>
        <v/>
      </c>
      <c r="I615" s="0" t="str">
        <f aca="false">IF('THÁNG 10'!$C22="","",N('THÁNG 10'!$I22))</f>
        <v/>
      </c>
      <c r="J615" s="0" t="str">
        <f aca="false">IF('THÁNG 10'!$C22="","",N('THÁNG 10'!$L22))</f>
        <v/>
      </c>
      <c r="K615" s="0" t="str">
        <f aca="false">IF('THÁNG 10'!$C22="","",N('THÁNG 10'!$N22))</f>
        <v/>
      </c>
      <c r="L615" s="0" t="str">
        <f aca="false">IF('THÁNG 10'!$C22="","",N('THÁNG 10'!$O22))</f>
        <v/>
      </c>
      <c r="M615" s="0" t="str">
        <f aca="false">IF('THÁNG 10'!$C22="","",N('THÁNG 10'!$P22))</f>
        <v/>
      </c>
      <c r="N615" s="0" t="str">
        <f aca="false">IF('THÁNG 10'!$C22="","",N('THÁNG 10'!$Q22))</f>
        <v/>
      </c>
      <c r="O615" s="0" t="str">
        <f aca="false">IF('THÁNG 10'!$C22="","",N('THÁNG 10'!$R22))</f>
        <v/>
      </c>
      <c r="P615" s="0" t="str">
        <f aca="false">IF(OR('THÁNG 10'!$C22="",'THÁNG 10'!$T22=""),"",'THÁNG 10'!$T22)</f>
        <v/>
      </c>
      <c r="Q615" s="0" t="str">
        <f aca="false">IF(OR('THÁNG 10'!$C22="",'THÁNG 10'!$U22=""),"",'THÁNG 10'!$U22)</f>
        <v/>
      </c>
      <c r="R615" s="0" t="str">
        <f aca="false">IF('THÁNG 10'!$C22="","",'THÁNG 10'!$W22&amp;"")</f>
        <v/>
      </c>
      <c r="S615" s="0" t="str">
        <f aca="false">IF('THÁNG 10'!$C22="","",'THÁNG 10'!$S22&amp;"")</f>
        <v/>
      </c>
      <c r="T615" s="0" t="str">
        <f aca="false">IF(N($O615)&gt;0,COUNTIF($O$3:$O615,"&gt;0"),"")</f>
        <v/>
      </c>
      <c r="U615" s="0" t="str">
        <f aca="false">IF(AND(N($J615)&gt;0,N($K615)&gt;0),COUNTIFS($J$3:$J615,"&gt;0",$K$3:$K615,"&gt;0"),"")</f>
        <v/>
      </c>
      <c r="V615" s="0" t="str">
        <f aca="false">IF(AND(N($J615)&gt;0,N($K615)=0),COUNTIFS($J$3:$J615,"&gt;0",$K$3:$K615,"&lt;=0"),"")</f>
        <v/>
      </c>
      <c r="W615" s="0" t="str">
        <f aca="false">IF($C615="","",IF(COUNTIF($C$3:$C615,$C615)&gt;1,"",MAX($W$2:W614)+1))</f>
        <v/>
      </c>
      <c r="X615" s="0" t="str">
        <f aca="false">IF($H615="","",IF(COUNTIF($H$3:$H615,$H615)&gt;1,"",MAX($X$2:X614)+1))</f>
        <v/>
      </c>
      <c r="Y615" s="0" t="str">
        <f aca="false">IF(AND(N($M615)&gt;0,N($O615)&lt;=0),COUNTIFS($M$3:$M615,"&gt;0",$O$3:$O615,"&lt;=0"),"")</f>
        <v/>
      </c>
      <c r="Z615" s="30" t="n">
        <f aca="false">IF(OR('THÁNG 10'!$C22="",'THÁNG 10'!$B22=""),0,'THÁNG 10'!$B22)</f>
        <v>0</v>
      </c>
    </row>
    <row r="616" customFormat="false" ht="15" hidden="false" customHeight="false" outlineLevel="0" collapsed="false">
      <c r="A616" s="0" t="n">
        <v>10</v>
      </c>
      <c r="B616" s="29" t="str">
        <f aca="false">IF(OR('THÁNG 10'!$C23="",'THÁNG 10'!$B23=""),"",'THÁNG 10'!$B23)</f>
        <v/>
      </c>
      <c r="C616" s="0" t="str">
        <f aca="false">IF('THÁNG 10'!$C23="","",'THÁNG 10'!$C23)</f>
        <v/>
      </c>
      <c r="D616" s="0" t="str">
        <f aca="false">IF('THÁNG 10'!$C23="","",'THÁNG 10'!$D23&amp;"")</f>
        <v/>
      </c>
      <c r="E616" s="0" t="str">
        <f aca="false">IF('THÁNG 10'!$C23="","",'THÁNG 10'!$E23&amp;"")</f>
        <v/>
      </c>
      <c r="F616" s="0" t="str">
        <f aca="false">IF('THÁNG 10'!$C23="","",'THÁNG 10'!$F23&amp;"")</f>
        <v/>
      </c>
      <c r="G616" s="0" t="str">
        <f aca="false">IF('THÁNG 10'!$C23="","",'THÁNG 10'!$G23&amp;"")</f>
        <v/>
      </c>
      <c r="H616" s="0" t="str">
        <f aca="false">IF('THÁNG 10'!$C23="","",'THÁNG 10'!$H23&amp;"")</f>
        <v/>
      </c>
      <c r="I616" s="0" t="str">
        <f aca="false">IF('THÁNG 10'!$C23="","",N('THÁNG 10'!$I23))</f>
        <v/>
      </c>
      <c r="J616" s="0" t="str">
        <f aca="false">IF('THÁNG 10'!$C23="","",N('THÁNG 10'!$L23))</f>
        <v/>
      </c>
      <c r="K616" s="0" t="str">
        <f aca="false">IF('THÁNG 10'!$C23="","",N('THÁNG 10'!$N23))</f>
        <v/>
      </c>
      <c r="L616" s="0" t="str">
        <f aca="false">IF('THÁNG 10'!$C23="","",N('THÁNG 10'!$O23))</f>
        <v/>
      </c>
      <c r="M616" s="0" t="str">
        <f aca="false">IF('THÁNG 10'!$C23="","",N('THÁNG 10'!$P23))</f>
        <v/>
      </c>
      <c r="N616" s="0" t="str">
        <f aca="false">IF('THÁNG 10'!$C23="","",N('THÁNG 10'!$Q23))</f>
        <v/>
      </c>
      <c r="O616" s="0" t="str">
        <f aca="false">IF('THÁNG 10'!$C23="","",N('THÁNG 10'!$R23))</f>
        <v/>
      </c>
      <c r="P616" s="0" t="str">
        <f aca="false">IF(OR('THÁNG 10'!$C23="",'THÁNG 10'!$T23=""),"",'THÁNG 10'!$T23)</f>
        <v/>
      </c>
      <c r="Q616" s="0" t="str">
        <f aca="false">IF(OR('THÁNG 10'!$C23="",'THÁNG 10'!$U23=""),"",'THÁNG 10'!$U23)</f>
        <v/>
      </c>
      <c r="R616" s="0" t="str">
        <f aca="false">IF('THÁNG 10'!$C23="","",'THÁNG 10'!$W23&amp;"")</f>
        <v/>
      </c>
      <c r="S616" s="0" t="str">
        <f aca="false">IF('THÁNG 10'!$C23="","",'THÁNG 10'!$S23&amp;"")</f>
        <v/>
      </c>
      <c r="T616" s="0" t="str">
        <f aca="false">IF(N($O616)&gt;0,COUNTIF($O$3:$O616,"&gt;0"),"")</f>
        <v/>
      </c>
      <c r="U616" s="0" t="str">
        <f aca="false">IF(AND(N($J616)&gt;0,N($K616)&gt;0),COUNTIFS($J$3:$J616,"&gt;0",$K$3:$K616,"&gt;0"),"")</f>
        <v/>
      </c>
      <c r="V616" s="0" t="str">
        <f aca="false">IF(AND(N($J616)&gt;0,N($K616)=0),COUNTIFS($J$3:$J616,"&gt;0",$K$3:$K616,"&lt;=0"),"")</f>
        <v/>
      </c>
      <c r="W616" s="0" t="str">
        <f aca="false">IF($C616="","",IF(COUNTIF($C$3:$C616,$C616)&gt;1,"",MAX($W$2:W615)+1))</f>
        <v/>
      </c>
      <c r="X616" s="0" t="str">
        <f aca="false">IF($H616="","",IF(COUNTIF($H$3:$H616,$H616)&gt;1,"",MAX($X$2:X615)+1))</f>
        <v/>
      </c>
      <c r="Y616" s="0" t="str">
        <f aca="false">IF(AND(N($M616)&gt;0,N($O616)&lt;=0),COUNTIFS($M$3:$M616,"&gt;0",$O$3:$O616,"&lt;=0"),"")</f>
        <v/>
      </c>
      <c r="Z616" s="30" t="n">
        <f aca="false">IF(OR('THÁNG 10'!$C23="",'THÁNG 10'!$B23=""),0,'THÁNG 10'!$B23)</f>
        <v>0</v>
      </c>
    </row>
    <row r="617" customFormat="false" ht="15" hidden="false" customHeight="false" outlineLevel="0" collapsed="false">
      <c r="A617" s="0" t="n">
        <v>10</v>
      </c>
      <c r="B617" s="29" t="str">
        <f aca="false">IF(OR('THÁNG 10'!$C24="",'THÁNG 10'!$B24=""),"",'THÁNG 10'!$B24)</f>
        <v/>
      </c>
      <c r="C617" s="0" t="str">
        <f aca="false">IF('THÁNG 10'!$C24="","",'THÁNG 10'!$C24)</f>
        <v/>
      </c>
      <c r="D617" s="0" t="str">
        <f aca="false">IF('THÁNG 10'!$C24="","",'THÁNG 10'!$D24&amp;"")</f>
        <v/>
      </c>
      <c r="E617" s="0" t="str">
        <f aca="false">IF('THÁNG 10'!$C24="","",'THÁNG 10'!$E24&amp;"")</f>
        <v/>
      </c>
      <c r="F617" s="0" t="str">
        <f aca="false">IF('THÁNG 10'!$C24="","",'THÁNG 10'!$F24&amp;"")</f>
        <v/>
      </c>
      <c r="G617" s="0" t="str">
        <f aca="false">IF('THÁNG 10'!$C24="","",'THÁNG 10'!$G24&amp;"")</f>
        <v/>
      </c>
      <c r="H617" s="0" t="str">
        <f aca="false">IF('THÁNG 10'!$C24="","",'THÁNG 10'!$H24&amp;"")</f>
        <v/>
      </c>
      <c r="I617" s="0" t="str">
        <f aca="false">IF('THÁNG 10'!$C24="","",N('THÁNG 10'!$I24))</f>
        <v/>
      </c>
      <c r="J617" s="0" t="str">
        <f aca="false">IF('THÁNG 10'!$C24="","",N('THÁNG 10'!$L24))</f>
        <v/>
      </c>
      <c r="K617" s="0" t="str">
        <f aca="false">IF('THÁNG 10'!$C24="","",N('THÁNG 10'!$N24))</f>
        <v/>
      </c>
      <c r="L617" s="0" t="str">
        <f aca="false">IF('THÁNG 10'!$C24="","",N('THÁNG 10'!$O24))</f>
        <v/>
      </c>
      <c r="M617" s="0" t="str">
        <f aca="false">IF('THÁNG 10'!$C24="","",N('THÁNG 10'!$P24))</f>
        <v/>
      </c>
      <c r="N617" s="0" t="str">
        <f aca="false">IF('THÁNG 10'!$C24="","",N('THÁNG 10'!$Q24))</f>
        <v/>
      </c>
      <c r="O617" s="0" t="str">
        <f aca="false">IF('THÁNG 10'!$C24="","",N('THÁNG 10'!$R24))</f>
        <v/>
      </c>
      <c r="P617" s="0" t="str">
        <f aca="false">IF(OR('THÁNG 10'!$C24="",'THÁNG 10'!$T24=""),"",'THÁNG 10'!$T24)</f>
        <v/>
      </c>
      <c r="Q617" s="0" t="str">
        <f aca="false">IF(OR('THÁNG 10'!$C24="",'THÁNG 10'!$U24=""),"",'THÁNG 10'!$U24)</f>
        <v/>
      </c>
      <c r="R617" s="0" t="str">
        <f aca="false">IF('THÁNG 10'!$C24="","",'THÁNG 10'!$W24&amp;"")</f>
        <v/>
      </c>
      <c r="S617" s="0" t="str">
        <f aca="false">IF('THÁNG 10'!$C24="","",'THÁNG 10'!$S24&amp;"")</f>
        <v/>
      </c>
      <c r="T617" s="0" t="str">
        <f aca="false">IF(N($O617)&gt;0,COUNTIF($O$3:$O617,"&gt;0"),"")</f>
        <v/>
      </c>
      <c r="U617" s="0" t="str">
        <f aca="false">IF(AND(N($J617)&gt;0,N($K617)&gt;0),COUNTIFS($J$3:$J617,"&gt;0",$K$3:$K617,"&gt;0"),"")</f>
        <v/>
      </c>
      <c r="V617" s="0" t="str">
        <f aca="false">IF(AND(N($J617)&gt;0,N($K617)=0),COUNTIFS($J$3:$J617,"&gt;0",$K$3:$K617,"&lt;=0"),"")</f>
        <v/>
      </c>
      <c r="W617" s="0" t="str">
        <f aca="false">IF($C617="","",IF(COUNTIF($C$3:$C617,$C617)&gt;1,"",MAX($W$2:W616)+1))</f>
        <v/>
      </c>
      <c r="X617" s="0" t="str">
        <f aca="false">IF($H617="","",IF(COUNTIF($H$3:$H617,$H617)&gt;1,"",MAX($X$2:X616)+1))</f>
        <v/>
      </c>
      <c r="Y617" s="0" t="str">
        <f aca="false">IF(AND(N($M617)&gt;0,N($O617)&lt;=0),COUNTIFS($M$3:$M617,"&gt;0",$O$3:$O617,"&lt;=0"),"")</f>
        <v/>
      </c>
      <c r="Z617" s="30" t="n">
        <f aca="false">IF(OR('THÁNG 10'!$C24="",'THÁNG 10'!$B24=""),0,'THÁNG 10'!$B24)</f>
        <v>0</v>
      </c>
    </row>
    <row r="618" customFormat="false" ht="15" hidden="false" customHeight="false" outlineLevel="0" collapsed="false">
      <c r="A618" s="0" t="n">
        <v>10</v>
      </c>
      <c r="B618" s="29" t="str">
        <f aca="false">IF(OR('THÁNG 10'!$C25="",'THÁNG 10'!$B25=""),"",'THÁNG 10'!$B25)</f>
        <v/>
      </c>
      <c r="C618" s="0" t="str">
        <f aca="false">IF('THÁNG 10'!$C25="","",'THÁNG 10'!$C25)</f>
        <v/>
      </c>
      <c r="D618" s="0" t="str">
        <f aca="false">IF('THÁNG 10'!$C25="","",'THÁNG 10'!$D25&amp;"")</f>
        <v/>
      </c>
      <c r="E618" s="0" t="str">
        <f aca="false">IF('THÁNG 10'!$C25="","",'THÁNG 10'!$E25&amp;"")</f>
        <v/>
      </c>
      <c r="F618" s="0" t="str">
        <f aca="false">IF('THÁNG 10'!$C25="","",'THÁNG 10'!$F25&amp;"")</f>
        <v/>
      </c>
      <c r="G618" s="0" t="str">
        <f aca="false">IF('THÁNG 10'!$C25="","",'THÁNG 10'!$G25&amp;"")</f>
        <v/>
      </c>
      <c r="H618" s="0" t="str">
        <f aca="false">IF('THÁNG 10'!$C25="","",'THÁNG 10'!$H25&amp;"")</f>
        <v/>
      </c>
      <c r="I618" s="0" t="str">
        <f aca="false">IF('THÁNG 10'!$C25="","",N('THÁNG 10'!$I25))</f>
        <v/>
      </c>
      <c r="J618" s="0" t="str">
        <f aca="false">IF('THÁNG 10'!$C25="","",N('THÁNG 10'!$L25))</f>
        <v/>
      </c>
      <c r="K618" s="0" t="str">
        <f aca="false">IF('THÁNG 10'!$C25="","",N('THÁNG 10'!$N25))</f>
        <v/>
      </c>
      <c r="L618" s="0" t="str">
        <f aca="false">IF('THÁNG 10'!$C25="","",N('THÁNG 10'!$O25))</f>
        <v/>
      </c>
      <c r="M618" s="0" t="str">
        <f aca="false">IF('THÁNG 10'!$C25="","",N('THÁNG 10'!$P25))</f>
        <v/>
      </c>
      <c r="N618" s="0" t="str">
        <f aca="false">IF('THÁNG 10'!$C25="","",N('THÁNG 10'!$Q25))</f>
        <v/>
      </c>
      <c r="O618" s="0" t="str">
        <f aca="false">IF('THÁNG 10'!$C25="","",N('THÁNG 10'!$R25))</f>
        <v/>
      </c>
      <c r="P618" s="0" t="str">
        <f aca="false">IF(OR('THÁNG 10'!$C25="",'THÁNG 10'!$T25=""),"",'THÁNG 10'!$T25)</f>
        <v/>
      </c>
      <c r="Q618" s="0" t="str">
        <f aca="false">IF(OR('THÁNG 10'!$C25="",'THÁNG 10'!$U25=""),"",'THÁNG 10'!$U25)</f>
        <v/>
      </c>
      <c r="R618" s="0" t="str">
        <f aca="false">IF('THÁNG 10'!$C25="","",'THÁNG 10'!$W25&amp;"")</f>
        <v/>
      </c>
      <c r="S618" s="0" t="str">
        <f aca="false">IF('THÁNG 10'!$C25="","",'THÁNG 10'!$S25&amp;"")</f>
        <v/>
      </c>
      <c r="T618" s="0" t="str">
        <f aca="false">IF(N($O618)&gt;0,COUNTIF($O$3:$O618,"&gt;0"),"")</f>
        <v/>
      </c>
      <c r="U618" s="0" t="str">
        <f aca="false">IF(AND(N($J618)&gt;0,N($K618)&gt;0),COUNTIFS($J$3:$J618,"&gt;0",$K$3:$K618,"&gt;0"),"")</f>
        <v/>
      </c>
      <c r="V618" s="0" t="str">
        <f aca="false">IF(AND(N($J618)&gt;0,N($K618)=0),COUNTIFS($J$3:$J618,"&gt;0",$K$3:$K618,"&lt;=0"),"")</f>
        <v/>
      </c>
      <c r="W618" s="0" t="str">
        <f aca="false">IF($C618="","",IF(COUNTIF($C$3:$C618,$C618)&gt;1,"",MAX($W$2:W617)+1))</f>
        <v/>
      </c>
      <c r="X618" s="0" t="str">
        <f aca="false">IF($H618="","",IF(COUNTIF($H$3:$H618,$H618)&gt;1,"",MAX($X$2:X617)+1))</f>
        <v/>
      </c>
      <c r="Y618" s="0" t="str">
        <f aca="false">IF(AND(N($M618)&gt;0,N($O618)&lt;=0),COUNTIFS($M$3:$M618,"&gt;0",$O$3:$O618,"&lt;=0"),"")</f>
        <v/>
      </c>
      <c r="Z618" s="30" t="n">
        <f aca="false">IF(OR('THÁNG 10'!$C25="",'THÁNG 10'!$B25=""),0,'THÁNG 10'!$B25)</f>
        <v>0</v>
      </c>
    </row>
    <row r="619" customFormat="false" ht="15" hidden="false" customHeight="false" outlineLevel="0" collapsed="false">
      <c r="A619" s="0" t="n">
        <v>10</v>
      </c>
      <c r="B619" s="29" t="str">
        <f aca="false">IF(OR('THÁNG 10'!$C26="",'THÁNG 10'!$B26=""),"",'THÁNG 10'!$B26)</f>
        <v/>
      </c>
      <c r="C619" s="0" t="str">
        <f aca="false">IF('THÁNG 10'!$C26="","",'THÁNG 10'!$C26)</f>
        <v/>
      </c>
      <c r="D619" s="0" t="str">
        <f aca="false">IF('THÁNG 10'!$C26="","",'THÁNG 10'!$D26&amp;"")</f>
        <v/>
      </c>
      <c r="E619" s="0" t="str">
        <f aca="false">IF('THÁNG 10'!$C26="","",'THÁNG 10'!$E26&amp;"")</f>
        <v/>
      </c>
      <c r="F619" s="0" t="str">
        <f aca="false">IF('THÁNG 10'!$C26="","",'THÁNG 10'!$F26&amp;"")</f>
        <v/>
      </c>
      <c r="G619" s="0" t="str">
        <f aca="false">IF('THÁNG 10'!$C26="","",'THÁNG 10'!$G26&amp;"")</f>
        <v/>
      </c>
      <c r="H619" s="0" t="str">
        <f aca="false">IF('THÁNG 10'!$C26="","",'THÁNG 10'!$H26&amp;"")</f>
        <v/>
      </c>
      <c r="I619" s="0" t="str">
        <f aca="false">IF('THÁNG 10'!$C26="","",N('THÁNG 10'!$I26))</f>
        <v/>
      </c>
      <c r="J619" s="0" t="str">
        <f aca="false">IF('THÁNG 10'!$C26="","",N('THÁNG 10'!$L26))</f>
        <v/>
      </c>
      <c r="K619" s="0" t="str">
        <f aca="false">IF('THÁNG 10'!$C26="","",N('THÁNG 10'!$N26))</f>
        <v/>
      </c>
      <c r="L619" s="0" t="str">
        <f aca="false">IF('THÁNG 10'!$C26="","",N('THÁNG 10'!$O26))</f>
        <v/>
      </c>
      <c r="M619" s="0" t="str">
        <f aca="false">IF('THÁNG 10'!$C26="","",N('THÁNG 10'!$P26))</f>
        <v/>
      </c>
      <c r="N619" s="0" t="str">
        <f aca="false">IF('THÁNG 10'!$C26="","",N('THÁNG 10'!$Q26))</f>
        <v/>
      </c>
      <c r="O619" s="0" t="str">
        <f aca="false">IF('THÁNG 10'!$C26="","",N('THÁNG 10'!$R26))</f>
        <v/>
      </c>
      <c r="P619" s="0" t="str">
        <f aca="false">IF(OR('THÁNG 10'!$C26="",'THÁNG 10'!$T26=""),"",'THÁNG 10'!$T26)</f>
        <v/>
      </c>
      <c r="Q619" s="0" t="str">
        <f aca="false">IF(OR('THÁNG 10'!$C26="",'THÁNG 10'!$U26=""),"",'THÁNG 10'!$U26)</f>
        <v/>
      </c>
      <c r="R619" s="0" t="str">
        <f aca="false">IF('THÁNG 10'!$C26="","",'THÁNG 10'!$W26&amp;"")</f>
        <v/>
      </c>
      <c r="S619" s="0" t="str">
        <f aca="false">IF('THÁNG 10'!$C26="","",'THÁNG 10'!$S26&amp;"")</f>
        <v/>
      </c>
      <c r="T619" s="0" t="str">
        <f aca="false">IF(N($O619)&gt;0,COUNTIF($O$3:$O619,"&gt;0"),"")</f>
        <v/>
      </c>
      <c r="U619" s="0" t="str">
        <f aca="false">IF(AND(N($J619)&gt;0,N($K619)&gt;0),COUNTIFS($J$3:$J619,"&gt;0",$K$3:$K619,"&gt;0"),"")</f>
        <v/>
      </c>
      <c r="V619" s="0" t="str">
        <f aca="false">IF(AND(N($J619)&gt;0,N($K619)=0),COUNTIFS($J$3:$J619,"&gt;0",$K$3:$K619,"&lt;=0"),"")</f>
        <v/>
      </c>
      <c r="W619" s="0" t="str">
        <f aca="false">IF($C619="","",IF(COUNTIF($C$3:$C619,$C619)&gt;1,"",MAX($W$2:W618)+1))</f>
        <v/>
      </c>
      <c r="X619" s="0" t="str">
        <f aca="false">IF($H619="","",IF(COUNTIF($H$3:$H619,$H619)&gt;1,"",MAX($X$2:X618)+1))</f>
        <v/>
      </c>
      <c r="Y619" s="0" t="str">
        <f aca="false">IF(AND(N($M619)&gt;0,N($O619)&lt;=0),COUNTIFS($M$3:$M619,"&gt;0",$O$3:$O619,"&lt;=0"),"")</f>
        <v/>
      </c>
      <c r="Z619" s="30" t="n">
        <f aca="false">IF(OR('THÁNG 10'!$C26="",'THÁNG 10'!$B26=""),0,'THÁNG 10'!$B26)</f>
        <v>0</v>
      </c>
    </row>
    <row r="620" customFormat="false" ht="15" hidden="false" customHeight="false" outlineLevel="0" collapsed="false">
      <c r="A620" s="0" t="n">
        <v>10</v>
      </c>
      <c r="B620" s="29" t="str">
        <f aca="false">IF(OR('THÁNG 10'!$C27="",'THÁNG 10'!$B27=""),"",'THÁNG 10'!$B27)</f>
        <v/>
      </c>
      <c r="C620" s="0" t="str">
        <f aca="false">IF('THÁNG 10'!$C27="","",'THÁNG 10'!$C27)</f>
        <v/>
      </c>
      <c r="D620" s="0" t="str">
        <f aca="false">IF('THÁNG 10'!$C27="","",'THÁNG 10'!$D27&amp;"")</f>
        <v/>
      </c>
      <c r="E620" s="0" t="str">
        <f aca="false">IF('THÁNG 10'!$C27="","",'THÁNG 10'!$E27&amp;"")</f>
        <v/>
      </c>
      <c r="F620" s="0" t="str">
        <f aca="false">IF('THÁNG 10'!$C27="","",'THÁNG 10'!$F27&amp;"")</f>
        <v/>
      </c>
      <c r="G620" s="0" t="str">
        <f aca="false">IF('THÁNG 10'!$C27="","",'THÁNG 10'!$G27&amp;"")</f>
        <v/>
      </c>
      <c r="H620" s="0" t="str">
        <f aca="false">IF('THÁNG 10'!$C27="","",'THÁNG 10'!$H27&amp;"")</f>
        <v/>
      </c>
      <c r="I620" s="0" t="str">
        <f aca="false">IF('THÁNG 10'!$C27="","",N('THÁNG 10'!$I27))</f>
        <v/>
      </c>
      <c r="J620" s="0" t="str">
        <f aca="false">IF('THÁNG 10'!$C27="","",N('THÁNG 10'!$L27))</f>
        <v/>
      </c>
      <c r="K620" s="0" t="str">
        <f aca="false">IF('THÁNG 10'!$C27="","",N('THÁNG 10'!$N27))</f>
        <v/>
      </c>
      <c r="L620" s="0" t="str">
        <f aca="false">IF('THÁNG 10'!$C27="","",N('THÁNG 10'!$O27))</f>
        <v/>
      </c>
      <c r="M620" s="0" t="str">
        <f aca="false">IF('THÁNG 10'!$C27="","",N('THÁNG 10'!$P27))</f>
        <v/>
      </c>
      <c r="N620" s="0" t="str">
        <f aca="false">IF('THÁNG 10'!$C27="","",N('THÁNG 10'!$Q27))</f>
        <v/>
      </c>
      <c r="O620" s="0" t="str">
        <f aca="false">IF('THÁNG 10'!$C27="","",N('THÁNG 10'!$R27))</f>
        <v/>
      </c>
      <c r="P620" s="0" t="str">
        <f aca="false">IF(OR('THÁNG 10'!$C27="",'THÁNG 10'!$T27=""),"",'THÁNG 10'!$T27)</f>
        <v/>
      </c>
      <c r="Q620" s="0" t="str">
        <f aca="false">IF(OR('THÁNG 10'!$C27="",'THÁNG 10'!$U27=""),"",'THÁNG 10'!$U27)</f>
        <v/>
      </c>
      <c r="R620" s="0" t="str">
        <f aca="false">IF('THÁNG 10'!$C27="","",'THÁNG 10'!$W27&amp;"")</f>
        <v/>
      </c>
      <c r="S620" s="0" t="str">
        <f aca="false">IF('THÁNG 10'!$C27="","",'THÁNG 10'!$S27&amp;"")</f>
        <v/>
      </c>
      <c r="T620" s="0" t="str">
        <f aca="false">IF(N($O620)&gt;0,COUNTIF($O$3:$O620,"&gt;0"),"")</f>
        <v/>
      </c>
      <c r="U620" s="0" t="str">
        <f aca="false">IF(AND(N($J620)&gt;0,N($K620)&gt;0),COUNTIFS($J$3:$J620,"&gt;0",$K$3:$K620,"&gt;0"),"")</f>
        <v/>
      </c>
      <c r="V620" s="0" t="str">
        <f aca="false">IF(AND(N($J620)&gt;0,N($K620)=0),COUNTIFS($J$3:$J620,"&gt;0",$K$3:$K620,"&lt;=0"),"")</f>
        <v/>
      </c>
      <c r="W620" s="0" t="str">
        <f aca="false">IF($C620="","",IF(COUNTIF($C$3:$C620,$C620)&gt;1,"",MAX($W$2:W619)+1))</f>
        <v/>
      </c>
      <c r="X620" s="0" t="str">
        <f aca="false">IF($H620="","",IF(COUNTIF($H$3:$H620,$H620)&gt;1,"",MAX($X$2:X619)+1))</f>
        <v/>
      </c>
      <c r="Y620" s="0" t="str">
        <f aca="false">IF(AND(N($M620)&gt;0,N($O620)&lt;=0),COUNTIFS($M$3:$M620,"&gt;0",$O$3:$O620,"&lt;=0"),"")</f>
        <v/>
      </c>
      <c r="Z620" s="30" t="n">
        <f aca="false">IF(OR('THÁNG 10'!$C27="",'THÁNG 10'!$B27=""),0,'THÁNG 10'!$B27)</f>
        <v>0</v>
      </c>
    </row>
    <row r="621" customFormat="false" ht="15" hidden="false" customHeight="false" outlineLevel="0" collapsed="false">
      <c r="A621" s="0" t="n">
        <v>10</v>
      </c>
      <c r="B621" s="29" t="str">
        <f aca="false">IF(OR('THÁNG 10'!$C28="",'THÁNG 10'!$B28=""),"",'THÁNG 10'!$B28)</f>
        <v/>
      </c>
      <c r="C621" s="0" t="str">
        <f aca="false">IF('THÁNG 10'!$C28="","",'THÁNG 10'!$C28)</f>
        <v/>
      </c>
      <c r="D621" s="0" t="str">
        <f aca="false">IF('THÁNG 10'!$C28="","",'THÁNG 10'!$D28&amp;"")</f>
        <v/>
      </c>
      <c r="E621" s="0" t="str">
        <f aca="false">IF('THÁNG 10'!$C28="","",'THÁNG 10'!$E28&amp;"")</f>
        <v/>
      </c>
      <c r="F621" s="0" t="str">
        <f aca="false">IF('THÁNG 10'!$C28="","",'THÁNG 10'!$F28&amp;"")</f>
        <v/>
      </c>
      <c r="G621" s="0" t="str">
        <f aca="false">IF('THÁNG 10'!$C28="","",'THÁNG 10'!$G28&amp;"")</f>
        <v/>
      </c>
      <c r="H621" s="0" t="str">
        <f aca="false">IF('THÁNG 10'!$C28="","",'THÁNG 10'!$H28&amp;"")</f>
        <v/>
      </c>
      <c r="I621" s="0" t="str">
        <f aca="false">IF('THÁNG 10'!$C28="","",N('THÁNG 10'!$I28))</f>
        <v/>
      </c>
      <c r="J621" s="0" t="str">
        <f aca="false">IF('THÁNG 10'!$C28="","",N('THÁNG 10'!$L28))</f>
        <v/>
      </c>
      <c r="K621" s="0" t="str">
        <f aca="false">IF('THÁNG 10'!$C28="","",N('THÁNG 10'!$N28))</f>
        <v/>
      </c>
      <c r="L621" s="0" t="str">
        <f aca="false">IF('THÁNG 10'!$C28="","",N('THÁNG 10'!$O28))</f>
        <v/>
      </c>
      <c r="M621" s="0" t="str">
        <f aca="false">IF('THÁNG 10'!$C28="","",N('THÁNG 10'!$P28))</f>
        <v/>
      </c>
      <c r="N621" s="0" t="str">
        <f aca="false">IF('THÁNG 10'!$C28="","",N('THÁNG 10'!$Q28))</f>
        <v/>
      </c>
      <c r="O621" s="0" t="str">
        <f aca="false">IF('THÁNG 10'!$C28="","",N('THÁNG 10'!$R28))</f>
        <v/>
      </c>
      <c r="P621" s="0" t="str">
        <f aca="false">IF(OR('THÁNG 10'!$C28="",'THÁNG 10'!$T28=""),"",'THÁNG 10'!$T28)</f>
        <v/>
      </c>
      <c r="Q621" s="0" t="str">
        <f aca="false">IF(OR('THÁNG 10'!$C28="",'THÁNG 10'!$U28=""),"",'THÁNG 10'!$U28)</f>
        <v/>
      </c>
      <c r="R621" s="0" t="str">
        <f aca="false">IF('THÁNG 10'!$C28="","",'THÁNG 10'!$W28&amp;"")</f>
        <v/>
      </c>
      <c r="S621" s="0" t="str">
        <f aca="false">IF('THÁNG 10'!$C28="","",'THÁNG 10'!$S28&amp;"")</f>
        <v/>
      </c>
      <c r="T621" s="0" t="str">
        <f aca="false">IF(N($O621)&gt;0,COUNTIF($O$3:$O621,"&gt;0"),"")</f>
        <v/>
      </c>
      <c r="U621" s="0" t="str">
        <f aca="false">IF(AND(N($J621)&gt;0,N($K621)&gt;0),COUNTIFS($J$3:$J621,"&gt;0",$K$3:$K621,"&gt;0"),"")</f>
        <v/>
      </c>
      <c r="V621" s="0" t="str">
        <f aca="false">IF(AND(N($J621)&gt;0,N($K621)=0),COUNTIFS($J$3:$J621,"&gt;0",$K$3:$K621,"&lt;=0"),"")</f>
        <v/>
      </c>
      <c r="W621" s="0" t="str">
        <f aca="false">IF($C621="","",IF(COUNTIF($C$3:$C621,$C621)&gt;1,"",MAX($W$2:W620)+1))</f>
        <v/>
      </c>
      <c r="X621" s="0" t="str">
        <f aca="false">IF($H621="","",IF(COUNTIF($H$3:$H621,$H621)&gt;1,"",MAX($X$2:X620)+1))</f>
        <v/>
      </c>
      <c r="Y621" s="0" t="str">
        <f aca="false">IF(AND(N($M621)&gt;0,N($O621)&lt;=0),COUNTIFS($M$3:$M621,"&gt;0",$O$3:$O621,"&lt;=0"),"")</f>
        <v/>
      </c>
      <c r="Z621" s="30" t="n">
        <f aca="false">IF(OR('THÁNG 10'!$C28="",'THÁNG 10'!$B28=""),0,'THÁNG 10'!$B28)</f>
        <v>0</v>
      </c>
    </row>
    <row r="622" customFormat="false" ht="15" hidden="false" customHeight="false" outlineLevel="0" collapsed="false">
      <c r="A622" s="0" t="n">
        <v>10</v>
      </c>
      <c r="B622" s="29" t="str">
        <f aca="false">IF(OR('THÁNG 10'!$C29="",'THÁNG 10'!$B29=""),"",'THÁNG 10'!$B29)</f>
        <v/>
      </c>
      <c r="C622" s="0" t="str">
        <f aca="false">IF('THÁNG 10'!$C29="","",'THÁNG 10'!$C29)</f>
        <v/>
      </c>
      <c r="D622" s="0" t="str">
        <f aca="false">IF('THÁNG 10'!$C29="","",'THÁNG 10'!$D29&amp;"")</f>
        <v/>
      </c>
      <c r="E622" s="0" t="str">
        <f aca="false">IF('THÁNG 10'!$C29="","",'THÁNG 10'!$E29&amp;"")</f>
        <v/>
      </c>
      <c r="F622" s="0" t="str">
        <f aca="false">IF('THÁNG 10'!$C29="","",'THÁNG 10'!$F29&amp;"")</f>
        <v/>
      </c>
      <c r="G622" s="0" t="str">
        <f aca="false">IF('THÁNG 10'!$C29="","",'THÁNG 10'!$G29&amp;"")</f>
        <v/>
      </c>
      <c r="H622" s="0" t="str">
        <f aca="false">IF('THÁNG 10'!$C29="","",'THÁNG 10'!$H29&amp;"")</f>
        <v/>
      </c>
      <c r="I622" s="0" t="str">
        <f aca="false">IF('THÁNG 10'!$C29="","",N('THÁNG 10'!$I29))</f>
        <v/>
      </c>
      <c r="J622" s="0" t="str">
        <f aca="false">IF('THÁNG 10'!$C29="","",N('THÁNG 10'!$L29))</f>
        <v/>
      </c>
      <c r="K622" s="0" t="str">
        <f aca="false">IF('THÁNG 10'!$C29="","",N('THÁNG 10'!$N29))</f>
        <v/>
      </c>
      <c r="L622" s="0" t="str">
        <f aca="false">IF('THÁNG 10'!$C29="","",N('THÁNG 10'!$O29))</f>
        <v/>
      </c>
      <c r="M622" s="0" t="str">
        <f aca="false">IF('THÁNG 10'!$C29="","",N('THÁNG 10'!$P29))</f>
        <v/>
      </c>
      <c r="N622" s="0" t="str">
        <f aca="false">IF('THÁNG 10'!$C29="","",N('THÁNG 10'!$Q29))</f>
        <v/>
      </c>
      <c r="O622" s="0" t="str">
        <f aca="false">IF('THÁNG 10'!$C29="","",N('THÁNG 10'!$R29))</f>
        <v/>
      </c>
      <c r="P622" s="0" t="str">
        <f aca="false">IF(OR('THÁNG 10'!$C29="",'THÁNG 10'!$T29=""),"",'THÁNG 10'!$T29)</f>
        <v/>
      </c>
      <c r="Q622" s="0" t="str">
        <f aca="false">IF(OR('THÁNG 10'!$C29="",'THÁNG 10'!$U29=""),"",'THÁNG 10'!$U29)</f>
        <v/>
      </c>
      <c r="R622" s="0" t="str">
        <f aca="false">IF('THÁNG 10'!$C29="","",'THÁNG 10'!$W29&amp;"")</f>
        <v/>
      </c>
      <c r="S622" s="0" t="str">
        <f aca="false">IF('THÁNG 10'!$C29="","",'THÁNG 10'!$S29&amp;"")</f>
        <v/>
      </c>
      <c r="T622" s="0" t="str">
        <f aca="false">IF(N($O622)&gt;0,COUNTIF($O$3:$O622,"&gt;0"),"")</f>
        <v/>
      </c>
      <c r="U622" s="0" t="str">
        <f aca="false">IF(AND(N($J622)&gt;0,N($K622)&gt;0),COUNTIFS($J$3:$J622,"&gt;0",$K$3:$K622,"&gt;0"),"")</f>
        <v/>
      </c>
      <c r="V622" s="0" t="str">
        <f aca="false">IF(AND(N($J622)&gt;0,N($K622)=0),COUNTIFS($J$3:$J622,"&gt;0",$K$3:$K622,"&lt;=0"),"")</f>
        <v/>
      </c>
      <c r="W622" s="0" t="str">
        <f aca="false">IF($C622="","",IF(COUNTIF($C$3:$C622,$C622)&gt;1,"",MAX($W$2:W621)+1))</f>
        <v/>
      </c>
      <c r="X622" s="0" t="str">
        <f aca="false">IF($H622="","",IF(COUNTIF($H$3:$H622,$H622)&gt;1,"",MAX($X$2:X621)+1))</f>
        <v/>
      </c>
      <c r="Y622" s="0" t="str">
        <f aca="false">IF(AND(N($M622)&gt;0,N($O622)&lt;=0),COUNTIFS($M$3:$M622,"&gt;0",$O$3:$O622,"&lt;=0"),"")</f>
        <v/>
      </c>
      <c r="Z622" s="30" t="n">
        <f aca="false">IF(OR('THÁNG 10'!$C29="",'THÁNG 10'!$B29=""),0,'THÁNG 10'!$B29)</f>
        <v>0</v>
      </c>
    </row>
    <row r="623" customFormat="false" ht="15" hidden="false" customHeight="false" outlineLevel="0" collapsed="false">
      <c r="A623" s="0" t="n">
        <v>10</v>
      </c>
      <c r="B623" s="29" t="str">
        <f aca="false">IF(OR('THÁNG 10'!$C30="",'THÁNG 10'!$B30=""),"",'THÁNG 10'!$B30)</f>
        <v/>
      </c>
      <c r="C623" s="0" t="str">
        <f aca="false">IF('THÁNG 10'!$C30="","",'THÁNG 10'!$C30)</f>
        <v/>
      </c>
      <c r="D623" s="0" t="str">
        <f aca="false">IF('THÁNG 10'!$C30="","",'THÁNG 10'!$D30&amp;"")</f>
        <v/>
      </c>
      <c r="E623" s="0" t="str">
        <f aca="false">IF('THÁNG 10'!$C30="","",'THÁNG 10'!$E30&amp;"")</f>
        <v/>
      </c>
      <c r="F623" s="0" t="str">
        <f aca="false">IF('THÁNG 10'!$C30="","",'THÁNG 10'!$F30&amp;"")</f>
        <v/>
      </c>
      <c r="G623" s="0" t="str">
        <f aca="false">IF('THÁNG 10'!$C30="","",'THÁNG 10'!$G30&amp;"")</f>
        <v/>
      </c>
      <c r="H623" s="0" t="str">
        <f aca="false">IF('THÁNG 10'!$C30="","",'THÁNG 10'!$H30&amp;"")</f>
        <v/>
      </c>
      <c r="I623" s="0" t="str">
        <f aca="false">IF('THÁNG 10'!$C30="","",N('THÁNG 10'!$I30))</f>
        <v/>
      </c>
      <c r="J623" s="0" t="str">
        <f aca="false">IF('THÁNG 10'!$C30="","",N('THÁNG 10'!$L30))</f>
        <v/>
      </c>
      <c r="K623" s="0" t="str">
        <f aca="false">IF('THÁNG 10'!$C30="","",N('THÁNG 10'!$N30))</f>
        <v/>
      </c>
      <c r="L623" s="0" t="str">
        <f aca="false">IF('THÁNG 10'!$C30="","",N('THÁNG 10'!$O30))</f>
        <v/>
      </c>
      <c r="M623" s="0" t="str">
        <f aca="false">IF('THÁNG 10'!$C30="","",N('THÁNG 10'!$P30))</f>
        <v/>
      </c>
      <c r="N623" s="0" t="str">
        <f aca="false">IF('THÁNG 10'!$C30="","",N('THÁNG 10'!$Q30))</f>
        <v/>
      </c>
      <c r="O623" s="0" t="str">
        <f aca="false">IF('THÁNG 10'!$C30="","",N('THÁNG 10'!$R30))</f>
        <v/>
      </c>
      <c r="P623" s="0" t="str">
        <f aca="false">IF(OR('THÁNG 10'!$C30="",'THÁNG 10'!$T30=""),"",'THÁNG 10'!$T30)</f>
        <v/>
      </c>
      <c r="Q623" s="0" t="str">
        <f aca="false">IF(OR('THÁNG 10'!$C30="",'THÁNG 10'!$U30=""),"",'THÁNG 10'!$U30)</f>
        <v/>
      </c>
      <c r="R623" s="0" t="str">
        <f aca="false">IF('THÁNG 10'!$C30="","",'THÁNG 10'!$W30&amp;"")</f>
        <v/>
      </c>
      <c r="S623" s="0" t="str">
        <f aca="false">IF('THÁNG 10'!$C30="","",'THÁNG 10'!$S30&amp;"")</f>
        <v/>
      </c>
      <c r="T623" s="0" t="str">
        <f aca="false">IF(N($O623)&gt;0,COUNTIF($O$3:$O623,"&gt;0"),"")</f>
        <v/>
      </c>
      <c r="U623" s="0" t="str">
        <f aca="false">IF(AND(N($J623)&gt;0,N($K623)&gt;0),COUNTIFS($J$3:$J623,"&gt;0",$K$3:$K623,"&gt;0"),"")</f>
        <v/>
      </c>
      <c r="V623" s="0" t="str">
        <f aca="false">IF(AND(N($J623)&gt;0,N($K623)=0),COUNTIFS($J$3:$J623,"&gt;0",$K$3:$K623,"&lt;=0"),"")</f>
        <v/>
      </c>
      <c r="W623" s="0" t="str">
        <f aca="false">IF($C623="","",IF(COUNTIF($C$3:$C623,$C623)&gt;1,"",MAX($W$2:W622)+1))</f>
        <v/>
      </c>
      <c r="X623" s="0" t="str">
        <f aca="false">IF($H623="","",IF(COUNTIF($H$3:$H623,$H623)&gt;1,"",MAX($X$2:X622)+1))</f>
        <v/>
      </c>
      <c r="Y623" s="0" t="str">
        <f aca="false">IF(AND(N($M623)&gt;0,N($O623)&lt;=0),COUNTIFS($M$3:$M623,"&gt;0",$O$3:$O623,"&lt;=0"),"")</f>
        <v/>
      </c>
      <c r="Z623" s="30" t="n">
        <f aca="false">IF(OR('THÁNG 10'!$C30="",'THÁNG 10'!$B30=""),0,'THÁNG 10'!$B30)</f>
        <v>0</v>
      </c>
    </row>
    <row r="624" customFormat="false" ht="15" hidden="false" customHeight="false" outlineLevel="0" collapsed="false">
      <c r="A624" s="0" t="n">
        <v>10</v>
      </c>
      <c r="B624" s="29" t="str">
        <f aca="false">IF(OR('THÁNG 10'!$C31="",'THÁNG 10'!$B31=""),"",'THÁNG 10'!$B31)</f>
        <v/>
      </c>
      <c r="C624" s="0" t="str">
        <f aca="false">IF('THÁNG 10'!$C31="","",'THÁNG 10'!$C31)</f>
        <v/>
      </c>
      <c r="D624" s="0" t="str">
        <f aca="false">IF('THÁNG 10'!$C31="","",'THÁNG 10'!$D31&amp;"")</f>
        <v/>
      </c>
      <c r="E624" s="0" t="str">
        <f aca="false">IF('THÁNG 10'!$C31="","",'THÁNG 10'!$E31&amp;"")</f>
        <v/>
      </c>
      <c r="F624" s="0" t="str">
        <f aca="false">IF('THÁNG 10'!$C31="","",'THÁNG 10'!$F31&amp;"")</f>
        <v/>
      </c>
      <c r="G624" s="0" t="str">
        <f aca="false">IF('THÁNG 10'!$C31="","",'THÁNG 10'!$G31&amp;"")</f>
        <v/>
      </c>
      <c r="H624" s="0" t="str">
        <f aca="false">IF('THÁNG 10'!$C31="","",'THÁNG 10'!$H31&amp;"")</f>
        <v/>
      </c>
      <c r="I624" s="0" t="str">
        <f aca="false">IF('THÁNG 10'!$C31="","",N('THÁNG 10'!$I31))</f>
        <v/>
      </c>
      <c r="J624" s="0" t="str">
        <f aca="false">IF('THÁNG 10'!$C31="","",N('THÁNG 10'!$L31))</f>
        <v/>
      </c>
      <c r="K624" s="0" t="str">
        <f aca="false">IF('THÁNG 10'!$C31="","",N('THÁNG 10'!$N31))</f>
        <v/>
      </c>
      <c r="L624" s="0" t="str">
        <f aca="false">IF('THÁNG 10'!$C31="","",N('THÁNG 10'!$O31))</f>
        <v/>
      </c>
      <c r="M624" s="0" t="str">
        <f aca="false">IF('THÁNG 10'!$C31="","",N('THÁNG 10'!$P31))</f>
        <v/>
      </c>
      <c r="N624" s="0" t="str">
        <f aca="false">IF('THÁNG 10'!$C31="","",N('THÁNG 10'!$Q31))</f>
        <v/>
      </c>
      <c r="O624" s="0" t="str">
        <f aca="false">IF('THÁNG 10'!$C31="","",N('THÁNG 10'!$R31))</f>
        <v/>
      </c>
      <c r="P624" s="0" t="str">
        <f aca="false">IF(OR('THÁNG 10'!$C31="",'THÁNG 10'!$T31=""),"",'THÁNG 10'!$T31)</f>
        <v/>
      </c>
      <c r="Q624" s="0" t="str">
        <f aca="false">IF(OR('THÁNG 10'!$C31="",'THÁNG 10'!$U31=""),"",'THÁNG 10'!$U31)</f>
        <v/>
      </c>
      <c r="R624" s="0" t="str">
        <f aca="false">IF('THÁNG 10'!$C31="","",'THÁNG 10'!$W31&amp;"")</f>
        <v/>
      </c>
      <c r="S624" s="0" t="str">
        <f aca="false">IF('THÁNG 10'!$C31="","",'THÁNG 10'!$S31&amp;"")</f>
        <v/>
      </c>
      <c r="T624" s="0" t="str">
        <f aca="false">IF(N($O624)&gt;0,COUNTIF($O$3:$O624,"&gt;0"),"")</f>
        <v/>
      </c>
      <c r="U624" s="0" t="str">
        <f aca="false">IF(AND(N($J624)&gt;0,N($K624)&gt;0),COUNTIFS($J$3:$J624,"&gt;0",$K$3:$K624,"&gt;0"),"")</f>
        <v/>
      </c>
      <c r="V624" s="0" t="str">
        <f aca="false">IF(AND(N($J624)&gt;0,N($K624)=0),COUNTIFS($J$3:$J624,"&gt;0",$K$3:$K624,"&lt;=0"),"")</f>
        <v/>
      </c>
      <c r="W624" s="0" t="str">
        <f aca="false">IF($C624="","",IF(COUNTIF($C$3:$C624,$C624)&gt;1,"",MAX($W$2:W623)+1))</f>
        <v/>
      </c>
      <c r="X624" s="0" t="str">
        <f aca="false">IF($H624="","",IF(COUNTIF($H$3:$H624,$H624)&gt;1,"",MAX($X$2:X623)+1))</f>
        <v/>
      </c>
      <c r="Y624" s="0" t="str">
        <f aca="false">IF(AND(N($M624)&gt;0,N($O624)&lt;=0),COUNTIFS($M$3:$M624,"&gt;0",$O$3:$O624,"&lt;=0"),"")</f>
        <v/>
      </c>
      <c r="Z624" s="30" t="n">
        <f aca="false">IF(OR('THÁNG 10'!$C31="",'THÁNG 10'!$B31=""),0,'THÁNG 10'!$B31)</f>
        <v>0</v>
      </c>
    </row>
    <row r="625" customFormat="false" ht="15" hidden="false" customHeight="false" outlineLevel="0" collapsed="false">
      <c r="A625" s="0" t="n">
        <v>10</v>
      </c>
      <c r="B625" s="29" t="str">
        <f aca="false">IF(OR('THÁNG 10'!$C32="",'THÁNG 10'!$B32=""),"",'THÁNG 10'!$B32)</f>
        <v/>
      </c>
      <c r="C625" s="0" t="str">
        <f aca="false">IF('THÁNG 10'!$C32="","",'THÁNG 10'!$C32)</f>
        <v/>
      </c>
      <c r="D625" s="0" t="str">
        <f aca="false">IF('THÁNG 10'!$C32="","",'THÁNG 10'!$D32&amp;"")</f>
        <v/>
      </c>
      <c r="E625" s="0" t="str">
        <f aca="false">IF('THÁNG 10'!$C32="","",'THÁNG 10'!$E32&amp;"")</f>
        <v/>
      </c>
      <c r="F625" s="0" t="str">
        <f aca="false">IF('THÁNG 10'!$C32="","",'THÁNG 10'!$F32&amp;"")</f>
        <v/>
      </c>
      <c r="G625" s="0" t="str">
        <f aca="false">IF('THÁNG 10'!$C32="","",'THÁNG 10'!$G32&amp;"")</f>
        <v/>
      </c>
      <c r="H625" s="0" t="str">
        <f aca="false">IF('THÁNG 10'!$C32="","",'THÁNG 10'!$H32&amp;"")</f>
        <v/>
      </c>
      <c r="I625" s="0" t="str">
        <f aca="false">IF('THÁNG 10'!$C32="","",N('THÁNG 10'!$I32))</f>
        <v/>
      </c>
      <c r="J625" s="0" t="str">
        <f aca="false">IF('THÁNG 10'!$C32="","",N('THÁNG 10'!$L32))</f>
        <v/>
      </c>
      <c r="K625" s="0" t="str">
        <f aca="false">IF('THÁNG 10'!$C32="","",N('THÁNG 10'!$N32))</f>
        <v/>
      </c>
      <c r="L625" s="0" t="str">
        <f aca="false">IF('THÁNG 10'!$C32="","",N('THÁNG 10'!$O32))</f>
        <v/>
      </c>
      <c r="M625" s="0" t="str">
        <f aca="false">IF('THÁNG 10'!$C32="","",N('THÁNG 10'!$P32))</f>
        <v/>
      </c>
      <c r="N625" s="0" t="str">
        <f aca="false">IF('THÁNG 10'!$C32="","",N('THÁNG 10'!$Q32))</f>
        <v/>
      </c>
      <c r="O625" s="0" t="str">
        <f aca="false">IF('THÁNG 10'!$C32="","",N('THÁNG 10'!$R32))</f>
        <v/>
      </c>
      <c r="P625" s="0" t="str">
        <f aca="false">IF(OR('THÁNG 10'!$C32="",'THÁNG 10'!$T32=""),"",'THÁNG 10'!$T32)</f>
        <v/>
      </c>
      <c r="Q625" s="0" t="str">
        <f aca="false">IF(OR('THÁNG 10'!$C32="",'THÁNG 10'!$U32=""),"",'THÁNG 10'!$U32)</f>
        <v/>
      </c>
      <c r="R625" s="0" t="str">
        <f aca="false">IF('THÁNG 10'!$C32="","",'THÁNG 10'!$W32&amp;"")</f>
        <v/>
      </c>
      <c r="S625" s="0" t="str">
        <f aca="false">IF('THÁNG 10'!$C32="","",'THÁNG 10'!$S32&amp;"")</f>
        <v/>
      </c>
      <c r="T625" s="0" t="str">
        <f aca="false">IF(N($O625)&gt;0,COUNTIF($O$3:$O625,"&gt;0"),"")</f>
        <v/>
      </c>
      <c r="U625" s="0" t="str">
        <f aca="false">IF(AND(N($J625)&gt;0,N($K625)&gt;0),COUNTIFS($J$3:$J625,"&gt;0",$K$3:$K625,"&gt;0"),"")</f>
        <v/>
      </c>
      <c r="V625" s="0" t="str">
        <f aca="false">IF(AND(N($J625)&gt;0,N($K625)=0),COUNTIFS($J$3:$J625,"&gt;0",$K$3:$K625,"&lt;=0"),"")</f>
        <v/>
      </c>
      <c r="W625" s="0" t="str">
        <f aca="false">IF($C625="","",IF(COUNTIF($C$3:$C625,$C625)&gt;1,"",MAX($W$2:W624)+1))</f>
        <v/>
      </c>
      <c r="X625" s="0" t="str">
        <f aca="false">IF($H625="","",IF(COUNTIF($H$3:$H625,$H625)&gt;1,"",MAX($X$2:X624)+1))</f>
        <v/>
      </c>
      <c r="Y625" s="0" t="str">
        <f aca="false">IF(AND(N($M625)&gt;0,N($O625)&lt;=0),COUNTIFS($M$3:$M625,"&gt;0",$O$3:$O625,"&lt;=0"),"")</f>
        <v/>
      </c>
      <c r="Z625" s="30" t="n">
        <f aca="false">IF(OR('THÁNG 10'!$C32="",'THÁNG 10'!$B32=""),0,'THÁNG 10'!$B32)</f>
        <v>0</v>
      </c>
    </row>
    <row r="626" customFormat="false" ht="15" hidden="false" customHeight="false" outlineLevel="0" collapsed="false">
      <c r="A626" s="0" t="n">
        <v>10</v>
      </c>
      <c r="B626" s="29" t="str">
        <f aca="false">IF(OR('THÁNG 10'!$C33="",'THÁNG 10'!$B33=""),"",'THÁNG 10'!$B33)</f>
        <v/>
      </c>
      <c r="C626" s="0" t="str">
        <f aca="false">IF('THÁNG 10'!$C33="","",'THÁNG 10'!$C33)</f>
        <v/>
      </c>
      <c r="D626" s="0" t="str">
        <f aca="false">IF('THÁNG 10'!$C33="","",'THÁNG 10'!$D33&amp;"")</f>
        <v/>
      </c>
      <c r="E626" s="0" t="str">
        <f aca="false">IF('THÁNG 10'!$C33="","",'THÁNG 10'!$E33&amp;"")</f>
        <v/>
      </c>
      <c r="F626" s="0" t="str">
        <f aca="false">IF('THÁNG 10'!$C33="","",'THÁNG 10'!$F33&amp;"")</f>
        <v/>
      </c>
      <c r="G626" s="0" t="str">
        <f aca="false">IF('THÁNG 10'!$C33="","",'THÁNG 10'!$G33&amp;"")</f>
        <v/>
      </c>
      <c r="H626" s="0" t="str">
        <f aca="false">IF('THÁNG 10'!$C33="","",'THÁNG 10'!$H33&amp;"")</f>
        <v/>
      </c>
      <c r="I626" s="0" t="str">
        <f aca="false">IF('THÁNG 10'!$C33="","",N('THÁNG 10'!$I33))</f>
        <v/>
      </c>
      <c r="J626" s="0" t="str">
        <f aca="false">IF('THÁNG 10'!$C33="","",N('THÁNG 10'!$L33))</f>
        <v/>
      </c>
      <c r="K626" s="0" t="str">
        <f aca="false">IF('THÁNG 10'!$C33="","",N('THÁNG 10'!$N33))</f>
        <v/>
      </c>
      <c r="L626" s="0" t="str">
        <f aca="false">IF('THÁNG 10'!$C33="","",N('THÁNG 10'!$O33))</f>
        <v/>
      </c>
      <c r="M626" s="0" t="str">
        <f aca="false">IF('THÁNG 10'!$C33="","",N('THÁNG 10'!$P33))</f>
        <v/>
      </c>
      <c r="N626" s="0" t="str">
        <f aca="false">IF('THÁNG 10'!$C33="","",N('THÁNG 10'!$Q33))</f>
        <v/>
      </c>
      <c r="O626" s="0" t="str">
        <f aca="false">IF('THÁNG 10'!$C33="","",N('THÁNG 10'!$R33))</f>
        <v/>
      </c>
      <c r="P626" s="0" t="str">
        <f aca="false">IF(OR('THÁNG 10'!$C33="",'THÁNG 10'!$T33=""),"",'THÁNG 10'!$T33)</f>
        <v/>
      </c>
      <c r="Q626" s="0" t="str">
        <f aca="false">IF(OR('THÁNG 10'!$C33="",'THÁNG 10'!$U33=""),"",'THÁNG 10'!$U33)</f>
        <v/>
      </c>
      <c r="R626" s="0" t="str">
        <f aca="false">IF('THÁNG 10'!$C33="","",'THÁNG 10'!$W33&amp;"")</f>
        <v/>
      </c>
      <c r="S626" s="0" t="str">
        <f aca="false">IF('THÁNG 10'!$C33="","",'THÁNG 10'!$S33&amp;"")</f>
        <v/>
      </c>
      <c r="T626" s="0" t="str">
        <f aca="false">IF(N($O626)&gt;0,COUNTIF($O$3:$O626,"&gt;0"),"")</f>
        <v/>
      </c>
      <c r="U626" s="0" t="str">
        <f aca="false">IF(AND(N($J626)&gt;0,N($K626)&gt;0),COUNTIFS($J$3:$J626,"&gt;0",$K$3:$K626,"&gt;0"),"")</f>
        <v/>
      </c>
      <c r="V626" s="0" t="str">
        <f aca="false">IF(AND(N($J626)&gt;0,N($K626)=0),COUNTIFS($J$3:$J626,"&gt;0",$K$3:$K626,"&lt;=0"),"")</f>
        <v/>
      </c>
      <c r="W626" s="0" t="str">
        <f aca="false">IF($C626="","",IF(COUNTIF($C$3:$C626,$C626)&gt;1,"",MAX($W$2:W625)+1))</f>
        <v/>
      </c>
      <c r="X626" s="0" t="str">
        <f aca="false">IF($H626="","",IF(COUNTIF($H$3:$H626,$H626)&gt;1,"",MAX($X$2:X625)+1))</f>
        <v/>
      </c>
      <c r="Y626" s="0" t="str">
        <f aca="false">IF(AND(N($M626)&gt;0,N($O626)&lt;=0),COUNTIFS($M$3:$M626,"&gt;0",$O$3:$O626,"&lt;=0"),"")</f>
        <v/>
      </c>
      <c r="Z626" s="30" t="n">
        <f aca="false">IF(OR('THÁNG 10'!$C33="",'THÁNG 10'!$B33=""),0,'THÁNG 10'!$B33)</f>
        <v>0</v>
      </c>
    </row>
    <row r="627" customFormat="false" ht="15" hidden="false" customHeight="false" outlineLevel="0" collapsed="false">
      <c r="A627" s="0" t="n">
        <v>10</v>
      </c>
      <c r="B627" s="29" t="str">
        <f aca="false">IF(OR('THÁNG 10'!$C34="",'THÁNG 10'!$B34=""),"",'THÁNG 10'!$B34)</f>
        <v/>
      </c>
      <c r="C627" s="0" t="str">
        <f aca="false">IF('THÁNG 10'!$C34="","",'THÁNG 10'!$C34)</f>
        <v/>
      </c>
      <c r="D627" s="0" t="str">
        <f aca="false">IF('THÁNG 10'!$C34="","",'THÁNG 10'!$D34&amp;"")</f>
        <v/>
      </c>
      <c r="E627" s="0" t="str">
        <f aca="false">IF('THÁNG 10'!$C34="","",'THÁNG 10'!$E34&amp;"")</f>
        <v/>
      </c>
      <c r="F627" s="0" t="str">
        <f aca="false">IF('THÁNG 10'!$C34="","",'THÁNG 10'!$F34&amp;"")</f>
        <v/>
      </c>
      <c r="G627" s="0" t="str">
        <f aca="false">IF('THÁNG 10'!$C34="","",'THÁNG 10'!$G34&amp;"")</f>
        <v/>
      </c>
      <c r="H627" s="0" t="str">
        <f aca="false">IF('THÁNG 10'!$C34="","",'THÁNG 10'!$H34&amp;"")</f>
        <v/>
      </c>
      <c r="I627" s="0" t="str">
        <f aca="false">IF('THÁNG 10'!$C34="","",N('THÁNG 10'!$I34))</f>
        <v/>
      </c>
      <c r="J627" s="0" t="str">
        <f aca="false">IF('THÁNG 10'!$C34="","",N('THÁNG 10'!$L34))</f>
        <v/>
      </c>
      <c r="K627" s="0" t="str">
        <f aca="false">IF('THÁNG 10'!$C34="","",N('THÁNG 10'!$N34))</f>
        <v/>
      </c>
      <c r="L627" s="0" t="str">
        <f aca="false">IF('THÁNG 10'!$C34="","",N('THÁNG 10'!$O34))</f>
        <v/>
      </c>
      <c r="M627" s="0" t="str">
        <f aca="false">IF('THÁNG 10'!$C34="","",N('THÁNG 10'!$P34))</f>
        <v/>
      </c>
      <c r="N627" s="0" t="str">
        <f aca="false">IF('THÁNG 10'!$C34="","",N('THÁNG 10'!$Q34))</f>
        <v/>
      </c>
      <c r="O627" s="0" t="str">
        <f aca="false">IF('THÁNG 10'!$C34="","",N('THÁNG 10'!$R34))</f>
        <v/>
      </c>
      <c r="P627" s="0" t="str">
        <f aca="false">IF(OR('THÁNG 10'!$C34="",'THÁNG 10'!$T34=""),"",'THÁNG 10'!$T34)</f>
        <v/>
      </c>
      <c r="Q627" s="0" t="str">
        <f aca="false">IF(OR('THÁNG 10'!$C34="",'THÁNG 10'!$U34=""),"",'THÁNG 10'!$U34)</f>
        <v/>
      </c>
      <c r="R627" s="0" t="str">
        <f aca="false">IF('THÁNG 10'!$C34="","",'THÁNG 10'!$W34&amp;"")</f>
        <v/>
      </c>
      <c r="S627" s="0" t="str">
        <f aca="false">IF('THÁNG 10'!$C34="","",'THÁNG 10'!$S34&amp;"")</f>
        <v/>
      </c>
      <c r="T627" s="0" t="str">
        <f aca="false">IF(N($O627)&gt;0,COUNTIF($O$3:$O627,"&gt;0"),"")</f>
        <v/>
      </c>
      <c r="U627" s="0" t="str">
        <f aca="false">IF(AND(N($J627)&gt;0,N($K627)&gt;0),COUNTIFS($J$3:$J627,"&gt;0",$K$3:$K627,"&gt;0"),"")</f>
        <v/>
      </c>
      <c r="V627" s="0" t="str">
        <f aca="false">IF(AND(N($J627)&gt;0,N($K627)=0),COUNTIFS($J$3:$J627,"&gt;0",$K$3:$K627,"&lt;=0"),"")</f>
        <v/>
      </c>
      <c r="W627" s="0" t="str">
        <f aca="false">IF($C627="","",IF(COUNTIF($C$3:$C627,$C627)&gt;1,"",MAX($W$2:W626)+1))</f>
        <v/>
      </c>
      <c r="X627" s="0" t="str">
        <f aca="false">IF($H627="","",IF(COUNTIF($H$3:$H627,$H627)&gt;1,"",MAX($X$2:X626)+1))</f>
        <v/>
      </c>
      <c r="Y627" s="0" t="str">
        <f aca="false">IF(AND(N($M627)&gt;0,N($O627)&lt;=0),COUNTIFS($M$3:$M627,"&gt;0",$O$3:$O627,"&lt;=0"),"")</f>
        <v/>
      </c>
      <c r="Z627" s="30" t="n">
        <f aca="false">IF(OR('THÁNG 10'!$C34="",'THÁNG 10'!$B34=""),0,'THÁNG 10'!$B34)</f>
        <v>0</v>
      </c>
    </row>
    <row r="628" customFormat="false" ht="15" hidden="false" customHeight="false" outlineLevel="0" collapsed="false">
      <c r="A628" s="0" t="n">
        <v>10</v>
      </c>
      <c r="B628" s="29" t="str">
        <f aca="false">IF(OR('THÁNG 10'!$C35="",'THÁNG 10'!$B35=""),"",'THÁNG 10'!$B35)</f>
        <v/>
      </c>
      <c r="C628" s="0" t="str">
        <f aca="false">IF('THÁNG 10'!$C35="","",'THÁNG 10'!$C35)</f>
        <v/>
      </c>
      <c r="D628" s="0" t="str">
        <f aca="false">IF('THÁNG 10'!$C35="","",'THÁNG 10'!$D35&amp;"")</f>
        <v/>
      </c>
      <c r="E628" s="0" t="str">
        <f aca="false">IF('THÁNG 10'!$C35="","",'THÁNG 10'!$E35&amp;"")</f>
        <v/>
      </c>
      <c r="F628" s="0" t="str">
        <f aca="false">IF('THÁNG 10'!$C35="","",'THÁNG 10'!$F35&amp;"")</f>
        <v/>
      </c>
      <c r="G628" s="0" t="str">
        <f aca="false">IF('THÁNG 10'!$C35="","",'THÁNG 10'!$G35&amp;"")</f>
        <v/>
      </c>
      <c r="H628" s="0" t="str">
        <f aca="false">IF('THÁNG 10'!$C35="","",'THÁNG 10'!$H35&amp;"")</f>
        <v/>
      </c>
      <c r="I628" s="0" t="str">
        <f aca="false">IF('THÁNG 10'!$C35="","",N('THÁNG 10'!$I35))</f>
        <v/>
      </c>
      <c r="J628" s="0" t="str">
        <f aca="false">IF('THÁNG 10'!$C35="","",N('THÁNG 10'!$L35))</f>
        <v/>
      </c>
      <c r="K628" s="0" t="str">
        <f aca="false">IF('THÁNG 10'!$C35="","",N('THÁNG 10'!$N35))</f>
        <v/>
      </c>
      <c r="L628" s="0" t="str">
        <f aca="false">IF('THÁNG 10'!$C35="","",N('THÁNG 10'!$O35))</f>
        <v/>
      </c>
      <c r="M628" s="0" t="str">
        <f aca="false">IF('THÁNG 10'!$C35="","",N('THÁNG 10'!$P35))</f>
        <v/>
      </c>
      <c r="N628" s="0" t="str">
        <f aca="false">IF('THÁNG 10'!$C35="","",N('THÁNG 10'!$Q35))</f>
        <v/>
      </c>
      <c r="O628" s="0" t="str">
        <f aca="false">IF('THÁNG 10'!$C35="","",N('THÁNG 10'!$R35))</f>
        <v/>
      </c>
      <c r="P628" s="0" t="str">
        <f aca="false">IF(OR('THÁNG 10'!$C35="",'THÁNG 10'!$T35=""),"",'THÁNG 10'!$T35)</f>
        <v/>
      </c>
      <c r="Q628" s="0" t="str">
        <f aca="false">IF(OR('THÁNG 10'!$C35="",'THÁNG 10'!$U35=""),"",'THÁNG 10'!$U35)</f>
        <v/>
      </c>
      <c r="R628" s="0" t="str">
        <f aca="false">IF('THÁNG 10'!$C35="","",'THÁNG 10'!$W35&amp;"")</f>
        <v/>
      </c>
      <c r="S628" s="0" t="str">
        <f aca="false">IF('THÁNG 10'!$C35="","",'THÁNG 10'!$S35&amp;"")</f>
        <v/>
      </c>
      <c r="T628" s="0" t="str">
        <f aca="false">IF(N($O628)&gt;0,COUNTIF($O$3:$O628,"&gt;0"),"")</f>
        <v/>
      </c>
      <c r="U628" s="0" t="str">
        <f aca="false">IF(AND(N($J628)&gt;0,N($K628)&gt;0),COUNTIFS($J$3:$J628,"&gt;0",$K$3:$K628,"&gt;0"),"")</f>
        <v/>
      </c>
      <c r="V628" s="0" t="str">
        <f aca="false">IF(AND(N($J628)&gt;0,N($K628)=0),COUNTIFS($J$3:$J628,"&gt;0",$K$3:$K628,"&lt;=0"),"")</f>
        <v/>
      </c>
      <c r="W628" s="0" t="str">
        <f aca="false">IF($C628="","",IF(COUNTIF($C$3:$C628,$C628)&gt;1,"",MAX($W$2:W627)+1))</f>
        <v/>
      </c>
      <c r="X628" s="0" t="str">
        <f aca="false">IF($H628="","",IF(COUNTIF($H$3:$H628,$H628)&gt;1,"",MAX($X$2:X627)+1))</f>
        <v/>
      </c>
      <c r="Y628" s="0" t="str">
        <f aca="false">IF(AND(N($M628)&gt;0,N($O628)&lt;=0),COUNTIFS($M$3:$M628,"&gt;0",$O$3:$O628,"&lt;=0"),"")</f>
        <v/>
      </c>
      <c r="Z628" s="30" t="n">
        <f aca="false">IF(OR('THÁNG 10'!$C35="",'THÁNG 10'!$B35=""),0,'THÁNG 10'!$B35)</f>
        <v>0</v>
      </c>
    </row>
    <row r="629" customFormat="false" ht="15" hidden="false" customHeight="false" outlineLevel="0" collapsed="false">
      <c r="A629" s="0" t="n">
        <v>10</v>
      </c>
      <c r="B629" s="29" t="str">
        <f aca="false">IF(OR('THÁNG 10'!$C36="",'THÁNG 10'!$B36=""),"",'THÁNG 10'!$B36)</f>
        <v/>
      </c>
      <c r="C629" s="0" t="str">
        <f aca="false">IF('THÁNG 10'!$C36="","",'THÁNG 10'!$C36)</f>
        <v/>
      </c>
      <c r="D629" s="0" t="str">
        <f aca="false">IF('THÁNG 10'!$C36="","",'THÁNG 10'!$D36&amp;"")</f>
        <v/>
      </c>
      <c r="E629" s="0" t="str">
        <f aca="false">IF('THÁNG 10'!$C36="","",'THÁNG 10'!$E36&amp;"")</f>
        <v/>
      </c>
      <c r="F629" s="0" t="str">
        <f aca="false">IF('THÁNG 10'!$C36="","",'THÁNG 10'!$F36&amp;"")</f>
        <v/>
      </c>
      <c r="G629" s="0" t="str">
        <f aca="false">IF('THÁNG 10'!$C36="","",'THÁNG 10'!$G36&amp;"")</f>
        <v/>
      </c>
      <c r="H629" s="0" t="str">
        <f aca="false">IF('THÁNG 10'!$C36="","",'THÁNG 10'!$H36&amp;"")</f>
        <v/>
      </c>
      <c r="I629" s="0" t="str">
        <f aca="false">IF('THÁNG 10'!$C36="","",N('THÁNG 10'!$I36))</f>
        <v/>
      </c>
      <c r="J629" s="0" t="str">
        <f aca="false">IF('THÁNG 10'!$C36="","",N('THÁNG 10'!$L36))</f>
        <v/>
      </c>
      <c r="K629" s="0" t="str">
        <f aca="false">IF('THÁNG 10'!$C36="","",N('THÁNG 10'!$N36))</f>
        <v/>
      </c>
      <c r="L629" s="0" t="str">
        <f aca="false">IF('THÁNG 10'!$C36="","",N('THÁNG 10'!$O36))</f>
        <v/>
      </c>
      <c r="M629" s="0" t="str">
        <f aca="false">IF('THÁNG 10'!$C36="","",N('THÁNG 10'!$P36))</f>
        <v/>
      </c>
      <c r="N629" s="0" t="str">
        <f aca="false">IF('THÁNG 10'!$C36="","",N('THÁNG 10'!$Q36))</f>
        <v/>
      </c>
      <c r="O629" s="0" t="str">
        <f aca="false">IF('THÁNG 10'!$C36="","",N('THÁNG 10'!$R36))</f>
        <v/>
      </c>
      <c r="P629" s="0" t="str">
        <f aca="false">IF(OR('THÁNG 10'!$C36="",'THÁNG 10'!$T36=""),"",'THÁNG 10'!$T36)</f>
        <v/>
      </c>
      <c r="Q629" s="0" t="str">
        <f aca="false">IF(OR('THÁNG 10'!$C36="",'THÁNG 10'!$U36=""),"",'THÁNG 10'!$U36)</f>
        <v/>
      </c>
      <c r="R629" s="0" t="str">
        <f aca="false">IF('THÁNG 10'!$C36="","",'THÁNG 10'!$W36&amp;"")</f>
        <v/>
      </c>
      <c r="S629" s="0" t="str">
        <f aca="false">IF('THÁNG 10'!$C36="","",'THÁNG 10'!$S36&amp;"")</f>
        <v/>
      </c>
      <c r="T629" s="0" t="str">
        <f aca="false">IF(N($O629)&gt;0,COUNTIF($O$3:$O629,"&gt;0"),"")</f>
        <v/>
      </c>
      <c r="U629" s="0" t="str">
        <f aca="false">IF(AND(N($J629)&gt;0,N($K629)&gt;0),COUNTIFS($J$3:$J629,"&gt;0",$K$3:$K629,"&gt;0"),"")</f>
        <v/>
      </c>
      <c r="V629" s="0" t="str">
        <f aca="false">IF(AND(N($J629)&gt;0,N($K629)=0),COUNTIFS($J$3:$J629,"&gt;0",$K$3:$K629,"&lt;=0"),"")</f>
        <v/>
      </c>
      <c r="W629" s="0" t="str">
        <f aca="false">IF($C629="","",IF(COUNTIF($C$3:$C629,$C629)&gt;1,"",MAX($W$2:W628)+1))</f>
        <v/>
      </c>
      <c r="X629" s="0" t="str">
        <f aca="false">IF($H629="","",IF(COUNTIF($H$3:$H629,$H629)&gt;1,"",MAX($X$2:X628)+1))</f>
        <v/>
      </c>
      <c r="Y629" s="0" t="str">
        <f aca="false">IF(AND(N($M629)&gt;0,N($O629)&lt;=0),COUNTIFS($M$3:$M629,"&gt;0",$O$3:$O629,"&lt;=0"),"")</f>
        <v/>
      </c>
      <c r="Z629" s="30" t="n">
        <f aca="false">IF(OR('THÁNG 10'!$C36="",'THÁNG 10'!$B36=""),0,'THÁNG 10'!$B36)</f>
        <v>0</v>
      </c>
    </row>
    <row r="630" customFormat="false" ht="15" hidden="false" customHeight="false" outlineLevel="0" collapsed="false">
      <c r="A630" s="0" t="n">
        <v>10</v>
      </c>
      <c r="B630" s="29" t="str">
        <f aca="false">IF(OR('THÁNG 10'!$C37="",'THÁNG 10'!$B37=""),"",'THÁNG 10'!$B37)</f>
        <v/>
      </c>
      <c r="C630" s="0" t="str">
        <f aca="false">IF('THÁNG 10'!$C37="","",'THÁNG 10'!$C37)</f>
        <v/>
      </c>
      <c r="D630" s="0" t="str">
        <f aca="false">IF('THÁNG 10'!$C37="","",'THÁNG 10'!$D37&amp;"")</f>
        <v/>
      </c>
      <c r="E630" s="0" t="str">
        <f aca="false">IF('THÁNG 10'!$C37="","",'THÁNG 10'!$E37&amp;"")</f>
        <v/>
      </c>
      <c r="F630" s="0" t="str">
        <f aca="false">IF('THÁNG 10'!$C37="","",'THÁNG 10'!$F37&amp;"")</f>
        <v/>
      </c>
      <c r="G630" s="0" t="str">
        <f aca="false">IF('THÁNG 10'!$C37="","",'THÁNG 10'!$G37&amp;"")</f>
        <v/>
      </c>
      <c r="H630" s="0" t="str">
        <f aca="false">IF('THÁNG 10'!$C37="","",'THÁNG 10'!$H37&amp;"")</f>
        <v/>
      </c>
      <c r="I630" s="0" t="str">
        <f aca="false">IF('THÁNG 10'!$C37="","",N('THÁNG 10'!$I37))</f>
        <v/>
      </c>
      <c r="J630" s="0" t="str">
        <f aca="false">IF('THÁNG 10'!$C37="","",N('THÁNG 10'!$L37))</f>
        <v/>
      </c>
      <c r="K630" s="0" t="str">
        <f aca="false">IF('THÁNG 10'!$C37="","",N('THÁNG 10'!$N37))</f>
        <v/>
      </c>
      <c r="L630" s="0" t="str">
        <f aca="false">IF('THÁNG 10'!$C37="","",N('THÁNG 10'!$O37))</f>
        <v/>
      </c>
      <c r="M630" s="0" t="str">
        <f aca="false">IF('THÁNG 10'!$C37="","",N('THÁNG 10'!$P37))</f>
        <v/>
      </c>
      <c r="N630" s="0" t="str">
        <f aca="false">IF('THÁNG 10'!$C37="","",N('THÁNG 10'!$Q37))</f>
        <v/>
      </c>
      <c r="O630" s="0" t="str">
        <f aca="false">IF('THÁNG 10'!$C37="","",N('THÁNG 10'!$R37))</f>
        <v/>
      </c>
      <c r="P630" s="0" t="str">
        <f aca="false">IF(OR('THÁNG 10'!$C37="",'THÁNG 10'!$T37=""),"",'THÁNG 10'!$T37)</f>
        <v/>
      </c>
      <c r="Q630" s="0" t="str">
        <f aca="false">IF(OR('THÁNG 10'!$C37="",'THÁNG 10'!$U37=""),"",'THÁNG 10'!$U37)</f>
        <v/>
      </c>
      <c r="R630" s="0" t="str">
        <f aca="false">IF('THÁNG 10'!$C37="","",'THÁNG 10'!$W37&amp;"")</f>
        <v/>
      </c>
      <c r="S630" s="0" t="str">
        <f aca="false">IF('THÁNG 10'!$C37="","",'THÁNG 10'!$S37&amp;"")</f>
        <v/>
      </c>
      <c r="T630" s="0" t="str">
        <f aca="false">IF(N($O630)&gt;0,COUNTIF($O$3:$O630,"&gt;0"),"")</f>
        <v/>
      </c>
      <c r="U630" s="0" t="str">
        <f aca="false">IF(AND(N($J630)&gt;0,N($K630)&gt;0),COUNTIFS($J$3:$J630,"&gt;0",$K$3:$K630,"&gt;0"),"")</f>
        <v/>
      </c>
      <c r="V630" s="0" t="str">
        <f aca="false">IF(AND(N($J630)&gt;0,N($K630)=0),COUNTIFS($J$3:$J630,"&gt;0",$K$3:$K630,"&lt;=0"),"")</f>
        <v/>
      </c>
      <c r="W630" s="0" t="str">
        <f aca="false">IF($C630="","",IF(COUNTIF($C$3:$C630,$C630)&gt;1,"",MAX($W$2:W629)+1))</f>
        <v/>
      </c>
      <c r="X630" s="0" t="str">
        <f aca="false">IF($H630="","",IF(COUNTIF($H$3:$H630,$H630)&gt;1,"",MAX($X$2:X629)+1))</f>
        <v/>
      </c>
      <c r="Y630" s="0" t="str">
        <f aca="false">IF(AND(N($M630)&gt;0,N($O630)&lt;=0),COUNTIFS($M$3:$M630,"&gt;0",$O$3:$O630,"&lt;=0"),"")</f>
        <v/>
      </c>
      <c r="Z630" s="30" t="n">
        <f aca="false">IF(OR('THÁNG 10'!$C37="",'THÁNG 10'!$B37=""),0,'THÁNG 10'!$B37)</f>
        <v>0</v>
      </c>
    </row>
    <row r="631" customFormat="false" ht="15" hidden="false" customHeight="false" outlineLevel="0" collapsed="false">
      <c r="A631" s="0" t="n">
        <v>10</v>
      </c>
      <c r="B631" s="29" t="str">
        <f aca="false">IF(OR('THÁNG 10'!$C38="",'THÁNG 10'!$B38=""),"",'THÁNG 10'!$B38)</f>
        <v/>
      </c>
      <c r="C631" s="0" t="str">
        <f aca="false">IF('THÁNG 10'!$C38="","",'THÁNG 10'!$C38)</f>
        <v/>
      </c>
      <c r="D631" s="0" t="str">
        <f aca="false">IF('THÁNG 10'!$C38="","",'THÁNG 10'!$D38&amp;"")</f>
        <v/>
      </c>
      <c r="E631" s="0" t="str">
        <f aca="false">IF('THÁNG 10'!$C38="","",'THÁNG 10'!$E38&amp;"")</f>
        <v/>
      </c>
      <c r="F631" s="0" t="str">
        <f aca="false">IF('THÁNG 10'!$C38="","",'THÁNG 10'!$F38&amp;"")</f>
        <v/>
      </c>
      <c r="G631" s="0" t="str">
        <f aca="false">IF('THÁNG 10'!$C38="","",'THÁNG 10'!$G38&amp;"")</f>
        <v/>
      </c>
      <c r="H631" s="0" t="str">
        <f aca="false">IF('THÁNG 10'!$C38="","",'THÁNG 10'!$H38&amp;"")</f>
        <v/>
      </c>
      <c r="I631" s="0" t="str">
        <f aca="false">IF('THÁNG 10'!$C38="","",N('THÁNG 10'!$I38))</f>
        <v/>
      </c>
      <c r="J631" s="0" t="str">
        <f aca="false">IF('THÁNG 10'!$C38="","",N('THÁNG 10'!$L38))</f>
        <v/>
      </c>
      <c r="K631" s="0" t="str">
        <f aca="false">IF('THÁNG 10'!$C38="","",N('THÁNG 10'!$N38))</f>
        <v/>
      </c>
      <c r="L631" s="0" t="str">
        <f aca="false">IF('THÁNG 10'!$C38="","",N('THÁNG 10'!$O38))</f>
        <v/>
      </c>
      <c r="M631" s="0" t="str">
        <f aca="false">IF('THÁNG 10'!$C38="","",N('THÁNG 10'!$P38))</f>
        <v/>
      </c>
      <c r="N631" s="0" t="str">
        <f aca="false">IF('THÁNG 10'!$C38="","",N('THÁNG 10'!$Q38))</f>
        <v/>
      </c>
      <c r="O631" s="0" t="str">
        <f aca="false">IF('THÁNG 10'!$C38="","",N('THÁNG 10'!$R38))</f>
        <v/>
      </c>
      <c r="P631" s="0" t="str">
        <f aca="false">IF(OR('THÁNG 10'!$C38="",'THÁNG 10'!$T38=""),"",'THÁNG 10'!$T38)</f>
        <v/>
      </c>
      <c r="Q631" s="0" t="str">
        <f aca="false">IF(OR('THÁNG 10'!$C38="",'THÁNG 10'!$U38=""),"",'THÁNG 10'!$U38)</f>
        <v/>
      </c>
      <c r="R631" s="0" t="str">
        <f aca="false">IF('THÁNG 10'!$C38="","",'THÁNG 10'!$W38&amp;"")</f>
        <v/>
      </c>
      <c r="S631" s="0" t="str">
        <f aca="false">IF('THÁNG 10'!$C38="","",'THÁNG 10'!$S38&amp;"")</f>
        <v/>
      </c>
      <c r="T631" s="0" t="str">
        <f aca="false">IF(N($O631)&gt;0,COUNTIF($O$3:$O631,"&gt;0"),"")</f>
        <v/>
      </c>
      <c r="U631" s="0" t="str">
        <f aca="false">IF(AND(N($J631)&gt;0,N($K631)&gt;0),COUNTIFS($J$3:$J631,"&gt;0",$K$3:$K631,"&gt;0"),"")</f>
        <v/>
      </c>
      <c r="V631" s="0" t="str">
        <f aca="false">IF(AND(N($J631)&gt;0,N($K631)=0),COUNTIFS($J$3:$J631,"&gt;0",$K$3:$K631,"&lt;=0"),"")</f>
        <v/>
      </c>
      <c r="W631" s="0" t="str">
        <f aca="false">IF($C631="","",IF(COUNTIF($C$3:$C631,$C631)&gt;1,"",MAX($W$2:W630)+1))</f>
        <v/>
      </c>
      <c r="X631" s="0" t="str">
        <f aca="false">IF($H631="","",IF(COUNTIF($H$3:$H631,$H631)&gt;1,"",MAX($X$2:X630)+1))</f>
        <v/>
      </c>
      <c r="Y631" s="0" t="str">
        <f aca="false">IF(AND(N($M631)&gt;0,N($O631)&lt;=0),COUNTIFS($M$3:$M631,"&gt;0",$O$3:$O631,"&lt;=0"),"")</f>
        <v/>
      </c>
      <c r="Z631" s="30" t="n">
        <f aca="false">IF(OR('THÁNG 10'!$C38="",'THÁNG 10'!$B38=""),0,'THÁNG 10'!$B38)</f>
        <v>0</v>
      </c>
    </row>
    <row r="632" customFormat="false" ht="15" hidden="false" customHeight="false" outlineLevel="0" collapsed="false">
      <c r="A632" s="0" t="n">
        <v>10</v>
      </c>
      <c r="B632" s="29" t="str">
        <f aca="false">IF(OR('THÁNG 10'!$C39="",'THÁNG 10'!$B39=""),"",'THÁNG 10'!$B39)</f>
        <v/>
      </c>
      <c r="C632" s="0" t="str">
        <f aca="false">IF('THÁNG 10'!$C39="","",'THÁNG 10'!$C39)</f>
        <v/>
      </c>
      <c r="D632" s="0" t="str">
        <f aca="false">IF('THÁNG 10'!$C39="","",'THÁNG 10'!$D39&amp;"")</f>
        <v/>
      </c>
      <c r="E632" s="0" t="str">
        <f aca="false">IF('THÁNG 10'!$C39="","",'THÁNG 10'!$E39&amp;"")</f>
        <v/>
      </c>
      <c r="F632" s="0" t="str">
        <f aca="false">IF('THÁNG 10'!$C39="","",'THÁNG 10'!$F39&amp;"")</f>
        <v/>
      </c>
      <c r="G632" s="0" t="str">
        <f aca="false">IF('THÁNG 10'!$C39="","",'THÁNG 10'!$G39&amp;"")</f>
        <v/>
      </c>
      <c r="H632" s="0" t="str">
        <f aca="false">IF('THÁNG 10'!$C39="","",'THÁNG 10'!$H39&amp;"")</f>
        <v/>
      </c>
      <c r="I632" s="0" t="str">
        <f aca="false">IF('THÁNG 10'!$C39="","",N('THÁNG 10'!$I39))</f>
        <v/>
      </c>
      <c r="J632" s="0" t="str">
        <f aca="false">IF('THÁNG 10'!$C39="","",N('THÁNG 10'!$L39))</f>
        <v/>
      </c>
      <c r="K632" s="0" t="str">
        <f aca="false">IF('THÁNG 10'!$C39="","",N('THÁNG 10'!$N39))</f>
        <v/>
      </c>
      <c r="L632" s="0" t="str">
        <f aca="false">IF('THÁNG 10'!$C39="","",N('THÁNG 10'!$O39))</f>
        <v/>
      </c>
      <c r="M632" s="0" t="str">
        <f aca="false">IF('THÁNG 10'!$C39="","",N('THÁNG 10'!$P39))</f>
        <v/>
      </c>
      <c r="N632" s="0" t="str">
        <f aca="false">IF('THÁNG 10'!$C39="","",N('THÁNG 10'!$Q39))</f>
        <v/>
      </c>
      <c r="O632" s="0" t="str">
        <f aca="false">IF('THÁNG 10'!$C39="","",N('THÁNG 10'!$R39))</f>
        <v/>
      </c>
      <c r="P632" s="0" t="str">
        <f aca="false">IF(OR('THÁNG 10'!$C39="",'THÁNG 10'!$T39=""),"",'THÁNG 10'!$T39)</f>
        <v/>
      </c>
      <c r="Q632" s="0" t="str">
        <f aca="false">IF(OR('THÁNG 10'!$C39="",'THÁNG 10'!$U39=""),"",'THÁNG 10'!$U39)</f>
        <v/>
      </c>
      <c r="R632" s="0" t="str">
        <f aca="false">IF('THÁNG 10'!$C39="","",'THÁNG 10'!$W39&amp;"")</f>
        <v/>
      </c>
      <c r="S632" s="0" t="str">
        <f aca="false">IF('THÁNG 10'!$C39="","",'THÁNG 10'!$S39&amp;"")</f>
        <v/>
      </c>
      <c r="T632" s="0" t="str">
        <f aca="false">IF(N($O632)&gt;0,COUNTIF($O$3:$O632,"&gt;0"),"")</f>
        <v/>
      </c>
      <c r="U632" s="0" t="str">
        <f aca="false">IF(AND(N($J632)&gt;0,N($K632)&gt;0),COUNTIFS($J$3:$J632,"&gt;0",$K$3:$K632,"&gt;0"),"")</f>
        <v/>
      </c>
      <c r="V632" s="0" t="str">
        <f aca="false">IF(AND(N($J632)&gt;0,N($K632)=0),COUNTIFS($J$3:$J632,"&gt;0",$K$3:$K632,"&lt;=0"),"")</f>
        <v/>
      </c>
      <c r="W632" s="0" t="str">
        <f aca="false">IF($C632="","",IF(COUNTIF($C$3:$C632,$C632)&gt;1,"",MAX($W$2:W631)+1))</f>
        <v/>
      </c>
      <c r="X632" s="0" t="str">
        <f aca="false">IF($H632="","",IF(COUNTIF($H$3:$H632,$H632)&gt;1,"",MAX($X$2:X631)+1))</f>
        <v/>
      </c>
      <c r="Y632" s="0" t="str">
        <f aca="false">IF(AND(N($M632)&gt;0,N($O632)&lt;=0),COUNTIFS($M$3:$M632,"&gt;0",$O$3:$O632,"&lt;=0"),"")</f>
        <v/>
      </c>
      <c r="Z632" s="30" t="n">
        <f aca="false">IF(OR('THÁNG 10'!$C39="",'THÁNG 10'!$B39=""),0,'THÁNG 10'!$B39)</f>
        <v>0</v>
      </c>
    </row>
    <row r="633" customFormat="false" ht="15" hidden="false" customHeight="false" outlineLevel="0" collapsed="false">
      <c r="A633" s="0" t="n">
        <v>10</v>
      </c>
      <c r="B633" s="29" t="str">
        <f aca="false">IF(OR('THÁNG 10'!$C40="",'THÁNG 10'!$B40=""),"",'THÁNG 10'!$B40)</f>
        <v/>
      </c>
      <c r="C633" s="0" t="str">
        <f aca="false">IF('THÁNG 10'!$C40="","",'THÁNG 10'!$C40)</f>
        <v/>
      </c>
      <c r="D633" s="0" t="str">
        <f aca="false">IF('THÁNG 10'!$C40="","",'THÁNG 10'!$D40&amp;"")</f>
        <v/>
      </c>
      <c r="E633" s="0" t="str">
        <f aca="false">IF('THÁNG 10'!$C40="","",'THÁNG 10'!$E40&amp;"")</f>
        <v/>
      </c>
      <c r="F633" s="0" t="str">
        <f aca="false">IF('THÁNG 10'!$C40="","",'THÁNG 10'!$F40&amp;"")</f>
        <v/>
      </c>
      <c r="G633" s="0" t="str">
        <f aca="false">IF('THÁNG 10'!$C40="","",'THÁNG 10'!$G40&amp;"")</f>
        <v/>
      </c>
      <c r="H633" s="0" t="str">
        <f aca="false">IF('THÁNG 10'!$C40="","",'THÁNG 10'!$H40&amp;"")</f>
        <v/>
      </c>
      <c r="I633" s="0" t="str">
        <f aca="false">IF('THÁNG 10'!$C40="","",N('THÁNG 10'!$I40))</f>
        <v/>
      </c>
      <c r="J633" s="0" t="str">
        <f aca="false">IF('THÁNG 10'!$C40="","",N('THÁNG 10'!$L40))</f>
        <v/>
      </c>
      <c r="K633" s="0" t="str">
        <f aca="false">IF('THÁNG 10'!$C40="","",N('THÁNG 10'!$N40))</f>
        <v/>
      </c>
      <c r="L633" s="0" t="str">
        <f aca="false">IF('THÁNG 10'!$C40="","",N('THÁNG 10'!$O40))</f>
        <v/>
      </c>
      <c r="M633" s="0" t="str">
        <f aca="false">IF('THÁNG 10'!$C40="","",N('THÁNG 10'!$P40))</f>
        <v/>
      </c>
      <c r="N633" s="0" t="str">
        <f aca="false">IF('THÁNG 10'!$C40="","",N('THÁNG 10'!$Q40))</f>
        <v/>
      </c>
      <c r="O633" s="0" t="str">
        <f aca="false">IF('THÁNG 10'!$C40="","",N('THÁNG 10'!$R40))</f>
        <v/>
      </c>
      <c r="P633" s="0" t="str">
        <f aca="false">IF(OR('THÁNG 10'!$C40="",'THÁNG 10'!$T40=""),"",'THÁNG 10'!$T40)</f>
        <v/>
      </c>
      <c r="Q633" s="0" t="str">
        <f aca="false">IF(OR('THÁNG 10'!$C40="",'THÁNG 10'!$U40=""),"",'THÁNG 10'!$U40)</f>
        <v/>
      </c>
      <c r="R633" s="0" t="str">
        <f aca="false">IF('THÁNG 10'!$C40="","",'THÁNG 10'!$W40&amp;"")</f>
        <v/>
      </c>
      <c r="S633" s="0" t="str">
        <f aca="false">IF('THÁNG 10'!$C40="","",'THÁNG 10'!$S40&amp;"")</f>
        <v/>
      </c>
      <c r="T633" s="0" t="str">
        <f aca="false">IF(N($O633)&gt;0,COUNTIF($O$3:$O633,"&gt;0"),"")</f>
        <v/>
      </c>
      <c r="U633" s="0" t="str">
        <f aca="false">IF(AND(N($J633)&gt;0,N($K633)&gt;0),COUNTIFS($J$3:$J633,"&gt;0",$K$3:$K633,"&gt;0"),"")</f>
        <v/>
      </c>
      <c r="V633" s="0" t="str">
        <f aca="false">IF(AND(N($J633)&gt;0,N($K633)=0),COUNTIFS($J$3:$J633,"&gt;0",$K$3:$K633,"&lt;=0"),"")</f>
        <v/>
      </c>
      <c r="W633" s="0" t="str">
        <f aca="false">IF($C633="","",IF(COUNTIF($C$3:$C633,$C633)&gt;1,"",MAX($W$2:W632)+1))</f>
        <v/>
      </c>
      <c r="X633" s="0" t="str">
        <f aca="false">IF($H633="","",IF(COUNTIF($H$3:$H633,$H633)&gt;1,"",MAX($X$2:X632)+1))</f>
        <v/>
      </c>
      <c r="Y633" s="0" t="str">
        <f aca="false">IF(AND(N($M633)&gt;0,N($O633)&lt;=0),COUNTIFS($M$3:$M633,"&gt;0",$O$3:$O633,"&lt;=0"),"")</f>
        <v/>
      </c>
      <c r="Z633" s="30" t="n">
        <f aca="false">IF(OR('THÁNG 10'!$C40="",'THÁNG 10'!$B40=""),0,'THÁNG 10'!$B40)</f>
        <v>0</v>
      </c>
    </row>
    <row r="634" customFormat="false" ht="15" hidden="false" customHeight="false" outlineLevel="0" collapsed="false">
      <c r="A634" s="0" t="n">
        <v>10</v>
      </c>
      <c r="B634" s="29" t="str">
        <f aca="false">IF(OR('THÁNG 10'!$C41="",'THÁNG 10'!$B41=""),"",'THÁNG 10'!$B41)</f>
        <v/>
      </c>
      <c r="C634" s="0" t="str">
        <f aca="false">IF('THÁNG 10'!$C41="","",'THÁNG 10'!$C41)</f>
        <v/>
      </c>
      <c r="D634" s="0" t="str">
        <f aca="false">IF('THÁNG 10'!$C41="","",'THÁNG 10'!$D41&amp;"")</f>
        <v/>
      </c>
      <c r="E634" s="0" t="str">
        <f aca="false">IF('THÁNG 10'!$C41="","",'THÁNG 10'!$E41&amp;"")</f>
        <v/>
      </c>
      <c r="F634" s="0" t="str">
        <f aca="false">IF('THÁNG 10'!$C41="","",'THÁNG 10'!$F41&amp;"")</f>
        <v/>
      </c>
      <c r="G634" s="0" t="str">
        <f aca="false">IF('THÁNG 10'!$C41="","",'THÁNG 10'!$G41&amp;"")</f>
        <v/>
      </c>
      <c r="H634" s="0" t="str">
        <f aca="false">IF('THÁNG 10'!$C41="","",'THÁNG 10'!$H41&amp;"")</f>
        <v/>
      </c>
      <c r="I634" s="0" t="str">
        <f aca="false">IF('THÁNG 10'!$C41="","",N('THÁNG 10'!$I41))</f>
        <v/>
      </c>
      <c r="J634" s="0" t="str">
        <f aca="false">IF('THÁNG 10'!$C41="","",N('THÁNG 10'!$L41))</f>
        <v/>
      </c>
      <c r="K634" s="0" t="str">
        <f aca="false">IF('THÁNG 10'!$C41="","",N('THÁNG 10'!$N41))</f>
        <v/>
      </c>
      <c r="L634" s="0" t="str">
        <f aca="false">IF('THÁNG 10'!$C41="","",N('THÁNG 10'!$O41))</f>
        <v/>
      </c>
      <c r="M634" s="0" t="str">
        <f aca="false">IF('THÁNG 10'!$C41="","",N('THÁNG 10'!$P41))</f>
        <v/>
      </c>
      <c r="N634" s="0" t="str">
        <f aca="false">IF('THÁNG 10'!$C41="","",N('THÁNG 10'!$Q41))</f>
        <v/>
      </c>
      <c r="O634" s="0" t="str">
        <f aca="false">IF('THÁNG 10'!$C41="","",N('THÁNG 10'!$R41))</f>
        <v/>
      </c>
      <c r="P634" s="0" t="str">
        <f aca="false">IF(OR('THÁNG 10'!$C41="",'THÁNG 10'!$T41=""),"",'THÁNG 10'!$T41)</f>
        <v/>
      </c>
      <c r="Q634" s="0" t="str">
        <f aca="false">IF(OR('THÁNG 10'!$C41="",'THÁNG 10'!$U41=""),"",'THÁNG 10'!$U41)</f>
        <v/>
      </c>
      <c r="R634" s="0" t="str">
        <f aca="false">IF('THÁNG 10'!$C41="","",'THÁNG 10'!$W41&amp;"")</f>
        <v/>
      </c>
      <c r="S634" s="0" t="str">
        <f aca="false">IF('THÁNG 10'!$C41="","",'THÁNG 10'!$S41&amp;"")</f>
        <v/>
      </c>
      <c r="T634" s="0" t="str">
        <f aca="false">IF(N($O634)&gt;0,COUNTIF($O$3:$O634,"&gt;0"),"")</f>
        <v/>
      </c>
      <c r="U634" s="0" t="str">
        <f aca="false">IF(AND(N($J634)&gt;0,N($K634)&gt;0),COUNTIFS($J$3:$J634,"&gt;0",$K$3:$K634,"&gt;0"),"")</f>
        <v/>
      </c>
      <c r="V634" s="0" t="str">
        <f aca="false">IF(AND(N($J634)&gt;0,N($K634)=0),COUNTIFS($J$3:$J634,"&gt;0",$K$3:$K634,"&lt;=0"),"")</f>
        <v/>
      </c>
      <c r="W634" s="0" t="str">
        <f aca="false">IF($C634="","",IF(COUNTIF($C$3:$C634,$C634)&gt;1,"",MAX($W$2:W633)+1))</f>
        <v/>
      </c>
      <c r="X634" s="0" t="str">
        <f aca="false">IF($H634="","",IF(COUNTIF($H$3:$H634,$H634)&gt;1,"",MAX($X$2:X633)+1))</f>
        <v/>
      </c>
      <c r="Y634" s="0" t="str">
        <f aca="false">IF(AND(N($M634)&gt;0,N($O634)&lt;=0),COUNTIFS($M$3:$M634,"&gt;0",$O$3:$O634,"&lt;=0"),"")</f>
        <v/>
      </c>
      <c r="Z634" s="30" t="n">
        <f aca="false">IF(OR('THÁNG 10'!$C41="",'THÁNG 10'!$B41=""),0,'THÁNG 10'!$B41)</f>
        <v>0</v>
      </c>
    </row>
    <row r="635" customFormat="false" ht="15" hidden="false" customHeight="false" outlineLevel="0" collapsed="false">
      <c r="A635" s="0" t="n">
        <v>10</v>
      </c>
      <c r="B635" s="29" t="str">
        <f aca="false">IF(OR('THÁNG 10'!$C42="",'THÁNG 10'!$B42=""),"",'THÁNG 10'!$B42)</f>
        <v/>
      </c>
      <c r="C635" s="0" t="str">
        <f aca="false">IF('THÁNG 10'!$C42="","",'THÁNG 10'!$C42)</f>
        <v/>
      </c>
      <c r="D635" s="0" t="str">
        <f aca="false">IF('THÁNG 10'!$C42="","",'THÁNG 10'!$D42&amp;"")</f>
        <v/>
      </c>
      <c r="E635" s="0" t="str">
        <f aca="false">IF('THÁNG 10'!$C42="","",'THÁNG 10'!$E42&amp;"")</f>
        <v/>
      </c>
      <c r="F635" s="0" t="str">
        <f aca="false">IF('THÁNG 10'!$C42="","",'THÁNG 10'!$F42&amp;"")</f>
        <v/>
      </c>
      <c r="G635" s="0" t="str">
        <f aca="false">IF('THÁNG 10'!$C42="","",'THÁNG 10'!$G42&amp;"")</f>
        <v/>
      </c>
      <c r="H635" s="0" t="str">
        <f aca="false">IF('THÁNG 10'!$C42="","",'THÁNG 10'!$H42&amp;"")</f>
        <v/>
      </c>
      <c r="I635" s="0" t="str">
        <f aca="false">IF('THÁNG 10'!$C42="","",N('THÁNG 10'!$I42))</f>
        <v/>
      </c>
      <c r="J635" s="0" t="str">
        <f aca="false">IF('THÁNG 10'!$C42="","",N('THÁNG 10'!$L42))</f>
        <v/>
      </c>
      <c r="K635" s="0" t="str">
        <f aca="false">IF('THÁNG 10'!$C42="","",N('THÁNG 10'!$N42))</f>
        <v/>
      </c>
      <c r="L635" s="0" t="str">
        <f aca="false">IF('THÁNG 10'!$C42="","",N('THÁNG 10'!$O42))</f>
        <v/>
      </c>
      <c r="M635" s="0" t="str">
        <f aca="false">IF('THÁNG 10'!$C42="","",N('THÁNG 10'!$P42))</f>
        <v/>
      </c>
      <c r="N635" s="0" t="str">
        <f aca="false">IF('THÁNG 10'!$C42="","",N('THÁNG 10'!$Q42))</f>
        <v/>
      </c>
      <c r="O635" s="0" t="str">
        <f aca="false">IF('THÁNG 10'!$C42="","",N('THÁNG 10'!$R42))</f>
        <v/>
      </c>
      <c r="P635" s="0" t="str">
        <f aca="false">IF(OR('THÁNG 10'!$C42="",'THÁNG 10'!$T42=""),"",'THÁNG 10'!$T42)</f>
        <v/>
      </c>
      <c r="Q635" s="0" t="str">
        <f aca="false">IF(OR('THÁNG 10'!$C42="",'THÁNG 10'!$U42=""),"",'THÁNG 10'!$U42)</f>
        <v/>
      </c>
      <c r="R635" s="0" t="str">
        <f aca="false">IF('THÁNG 10'!$C42="","",'THÁNG 10'!$W42&amp;"")</f>
        <v/>
      </c>
      <c r="S635" s="0" t="str">
        <f aca="false">IF('THÁNG 10'!$C42="","",'THÁNG 10'!$S42&amp;"")</f>
        <v/>
      </c>
      <c r="T635" s="0" t="str">
        <f aca="false">IF(N($O635)&gt;0,COUNTIF($O$3:$O635,"&gt;0"),"")</f>
        <v/>
      </c>
      <c r="U635" s="0" t="str">
        <f aca="false">IF(AND(N($J635)&gt;0,N($K635)&gt;0),COUNTIFS($J$3:$J635,"&gt;0",$K$3:$K635,"&gt;0"),"")</f>
        <v/>
      </c>
      <c r="V635" s="0" t="str">
        <f aca="false">IF(AND(N($J635)&gt;0,N($K635)=0),COUNTIFS($J$3:$J635,"&gt;0",$K$3:$K635,"&lt;=0"),"")</f>
        <v/>
      </c>
      <c r="W635" s="0" t="str">
        <f aca="false">IF($C635="","",IF(COUNTIF($C$3:$C635,$C635)&gt;1,"",MAX($W$2:W634)+1))</f>
        <v/>
      </c>
      <c r="X635" s="0" t="str">
        <f aca="false">IF($H635="","",IF(COUNTIF($H$3:$H635,$H635)&gt;1,"",MAX($X$2:X634)+1))</f>
        <v/>
      </c>
      <c r="Y635" s="0" t="str">
        <f aca="false">IF(AND(N($M635)&gt;0,N($O635)&lt;=0),COUNTIFS($M$3:$M635,"&gt;0",$O$3:$O635,"&lt;=0"),"")</f>
        <v/>
      </c>
      <c r="Z635" s="30" t="n">
        <f aca="false">IF(OR('THÁNG 10'!$C42="",'THÁNG 10'!$B42=""),0,'THÁNG 10'!$B42)</f>
        <v>0</v>
      </c>
    </row>
    <row r="636" customFormat="false" ht="15" hidden="false" customHeight="false" outlineLevel="0" collapsed="false">
      <c r="A636" s="0" t="n">
        <v>10</v>
      </c>
      <c r="B636" s="29" t="str">
        <f aca="false">IF(OR('THÁNG 10'!$C43="",'THÁNG 10'!$B43=""),"",'THÁNG 10'!$B43)</f>
        <v/>
      </c>
      <c r="C636" s="0" t="str">
        <f aca="false">IF('THÁNG 10'!$C43="","",'THÁNG 10'!$C43)</f>
        <v/>
      </c>
      <c r="D636" s="0" t="str">
        <f aca="false">IF('THÁNG 10'!$C43="","",'THÁNG 10'!$D43&amp;"")</f>
        <v/>
      </c>
      <c r="E636" s="0" t="str">
        <f aca="false">IF('THÁNG 10'!$C43="","",'THÁNG 10'!$E43&amp;"")</f>
        <v/>
      </c>
      <c r="F636" s="0" t="str">
        <f aca="false">IF('THÁNG 10'!$C43="","",'THÁNG 10'!$F43&amp;"")</f>
        <v/>
      </c>
      <c r="G636" s="0" t="str">
        <f aca="false">IF('THÁNG 10'!$C43="","",'THÁNG 10'!$G43&amp;"")</f>
        <v/>
      </c>
      <c r="H636" s="0" t="str">
        <f aca="false">IF('THÁNG 10'!$C43="","",'THÁNG 10'!$H43&amp;"")</f>
        <v/>
      </c>
      <c r="I636" s="0" t="str">
        <f aca="false">IF('THÁNG 10'!$C43="","",N('THÁNG 10'!$I43))</f>
        <v/>
      </c>
      <c r="J636" s="0" t="str">
        <f aca="false">IF('THÁNG 10'!$C43="","",N('THÁNG 10'!$L43))</f>
        <v/>
      </c>
      <c r="K636" s="0" t="str">
        <f aca="false">IF('THÁNG 10'!$C43="","",N('THÁNG 10'!$N43))</f>
        <v/>
      </c>
      <c r="L636" s="0" t="str">
        <f aca="false">IF('THÁNG 10'!$C43="","",N('THÁNG 10'!$O43))</f>
        <v/>
      </c>
      <c r="M636" s="0" t="str">
        <f aca="false">IF('THÁNG 10'!$C43="","",N('THÁNG 10'!$P43))</f>
        <v/>
      </c>
      <c r="N636" s="0" t="str">
        <f aca="false">IF('THÁNG 10'!$C43="","",N('THÁNG 10'!$Q43))</f>
        <v/>
      </c>
      <c r="O636" s="0" t="str">
        <f aca="false">IF('THÁNG 10'!$C43="","",N('THÁNG 10'!$R43))</f>
        <v/>
      </c>
      <c r="P636" s="0" t="str">
        <f aca="false">IF(OR('THÁNG 10'!$C43="",'THÁNG 10'!$T43=""),"",'THÁNG 10'!$T43)</f>
        <v/>
      </c>
      <c r="Q636" s="0" t="str">
        <f aca="false">IF(OR('THÁNG 10'!$C43="",'THÁNG 10'!$U43=""),"",'THÁNG 10'!$U43)</f>
        <v/>
      </c>
      <c r="R636" s="0" t="str">
        <f aca="false">IF('THÁNG 10'!$C43="","",'THÁNG 10'!$W43&amp;"")</f>
        <v/>
      </c>
      <c r="S636" s="0" t="str">
        <f aca="false">IF('THÁNG 10'!$C43="","",'THÁNG 10'!$S43&amp;"")</f>
        <v/>
      </c>
      <c r="T636" s="0" t="str">
        <f aca="false">IF(N($O636)&gt;0,COUNTIF($O$3:$O636,"&gt;0"),"")</f>
        <v/>
      </c>
      <c r="U636" s="0" t="str">
        <f aca="false">IF(AND(N($J636)&gt;0,N($K636)&gt;0),COUNTIFS($J$3:$J636,"&gt;0",$K$3:$K636,"&gt;0"),"")</f>
        <v/>
      </c>
      <c r="V636" s="0" t="str">
        <f aca="false">IF(AND(N($J636)&gt;0,N($K636)=0),COUNTIFS($J$3:$J636,"&gt;0",$K$3:$K636,"&lt;=0"),"")</f>
        <v/>
      </c>
      <c r="W636" s="0" t="str">
        <f aca="false">IF($C636="","",IF(COUNTIF($C$3:$C636,$C636)&gt;1,"",MAX($W$2:W635)+1))</f>
        <v/>
      </c>
      <c r="X636" s="0" t="str">
        <f aca="false">IF($H636="","",IF(COUNTIF($H$3:$H636,$H636)&gt;1,"",MAX($X$2:X635)+1))</f>
        <v/>
      </c>
      <c r="Y636" s="0" t="str">
        <f aca="false">IF(AND(N($M636)&gt;0,N($O636)&lt;=0),COUNTIFS($M$3:$M636,"&gt;0",$O$3:$O636,"&lt;=0"),"")</f>
        <v/>
      </c>
      <c r="Z636" s="30" t="n">
        <f aca="false">IF(OR('THÁNG 10'!$C43="",'THÁNG 10'!$B43=""),0,'THÁNG 10'!$B43)</f>
        <v>0</v>
      </c>
    </row>
    <row r="637" customFormat="false" ht="15" hidden="false" customHeight="false" outlineLevel="0" collapsed="false">
      <c r="A637" s="0" t="n">
        <v>10</v>
      </c>
      <c r="B637" s="29" t="str">
        <f aca="false">IF(OR('THÁNG 10'!$C44="",'THÁNG 10'!$B44=""),"",'THÁNG 10'!$B44)</f>
        <v/>
      </c>
      <c r="C637" s="0" t="str">
        <f aca="false">IF('THÁNG 10'!$C44="","",'THÁNG 10'!$C44)</f>
        <v/>
      </c>
      <c r="D637" s="0" t="str">
        <f aca="false">IF('THÁNG 10'!$C44="","",'THÁNG 10'!$D44&amp;"")</f>
        <v/>
      </c>
      <c r="E637" s="0" t="str">
        <f aca="false">IF('THÁNG 10'!$C44="","",'THÁNG 10'!$E44&amp;"")</f>
        <v/>
      </c>
      <c r="F637" s="0" t="str">
        <f aca="false">IF('THÁNG 10'!$C44="","",'THÁNG 10'!$F44&amp;"")</f>
        <v/>
      </c>
      <c r="G637" s="0" t="str">
        <f aca="false">IF('THÁNG 10'!$C44="","",'THÁNG 10'!$G44&amp;"")</f>
        <v/>
      </c>
      <c r="H637" s="0" t="str">
        <f aca="false">IF('THÁNG 10'!$C44="","",'THÁNG 10'!$H44&amp;"")</f>
        <v/>
      </c>
      <c r="I637" s="0" t="str">
        <f aca="false">IF('THÁNG 10'!$C44="","",N('THÁNG 10'!$I44))</f>
        <v/>
      </c>
      <c r="J637" s="0" t="str">
        <f aca="false">IF('THÁNG 10'!$C44="","",N('THÁNG 10'!$L44))</f>
        <v/>
      </c>
      <c r="K637" s="0" t="str">
        <f aca="false">IF('THÁNG 10'!$C44="","",N('THÁNG 10'!$N44))</f>
        <v/>
      </c>
      <c r="L637" s="0" t="str">
        <f aca="false">IF('THÁNG 10'!$C44="","",N('THÁNG 10'!$O44))</f>
        <v/>
      </c>
      <c r="M637" s="0" t="str">
        <f aca="false">IF('THÁNG 10'!$C44="","",N('THÁNG 10'!$P44))</f>
        <v/>
      </c>
      <c r="N637" s="0" t="str">
        <f aca="false">IF('THÁNG 10'!$C44="","",N('THÁNG 10'!$Q44))</f>
        <v/>
      </c>
      <c r="O637" s="0" t="str">
        <f aca="false">IF('THÁNG 10'!$C44="","",N('THÁNG 10'!$R44))</f>
        <v/>
      </c>
      <c r="P637" s="0" t="str">
        <f aca="false">IF(OR('THÁNG 10'!$C44="",'THÁNG 10'!$T44=""),"",'THÁNG 10'!$T44)</f>
        <v/>
      </c>
      <c r="Q637" s="0" t="str">
        <f aca="false">IF(OR('THÁNG 10'!$C44="",'THÁNG 10'!$U44=""),"",'THÁNG 10'!$U44)</f>
        <v/>
      </c>
      <c r="R637" s="0" t="str">
        <f aca="false">IF('THÁNG 10'!$C44="","",'THÁNG 10'!$W44&amp;"")</f>
        <v/>
      </c>
      <c r="S637" s="0" t="str">
        <f aca="false">IF('THÁNG 10'!$C44="","",'THÁNG 10'!$S44&amp;"")</f>
        <v/>
      </c>
      <c r="T637" s="0" t="str">
        <f aca="false">IF(N($O637)&gt;0,COUNTIF($O$3:$O637,"&gt;0"),"")</f>
        <v/>
      </c>
      <c r="U637" s="0" t="str">
        <f aca="false">IF(AND(N($J637)&gt;0,N($K637)&gt;0),COUNTIFS($J$3:$J637,"&gt;0",$K$3:$K637,"&gt;0"),"")</f>
        <v/>
      </c>
      <c r="V637" s="0" t="str">
        <f aca="false">IF(AND(N($J637)&gt;0,N($K637)=0),COUNTIFS($J$3:$J637,"&gt;0",$K$3:$K637,"&lt;=0"),"")</f>
        <v/>
      </c>
      <c r="W637" s="0" t="str">
        <f aca="false">IF($C637="","",IF(COUNTIF($C$3:$C637,$C637)&gt;1,"",MAX($W$2:W636)+1))</f>
        <v/>
      </c>
      <c r="X637" s="0" t="str">
        <f aca="false">IF($H637="","",IF(COUNTIF($H$3:$H637,$H637)&gt;1,"",MAX($X$2:X636)+1))</f>
        <v/>
      </c>
      <c r="Y637" s="0" t="str">
        <f aca="false">IF(AND(N($M637)&gt;0,N($O637)&lt;=0),COUNTIFS($M$3:$M637,"&gt;0",$O$3:$O637,"&lt;=0"),"")</f>
        <v/>
      </c>
      <c r="Z637" s="30" t="n">
        <f aca="false">IF(OR('THÁNG 10'!$C44="",'THÁNG 10'!$B44=""),0,'THÁNG 10'!$B44)</f>
        <v>0</v>
      </c>
    </row>
    <row r="638" customFormat="false" ht="15" hidden="false" customHeight="false" outlineLevel="0" collapsed="false">
      <c r="A638" s="0" t="n">
        <v>10</v>
      </c>
      <c r="B638" s="29" t="str">
        <f aca="false">IF(OR('THÁNG 10'!$C45="",'THÁNG 10'!$B45=""),"",'THÁNG 10'!$B45)</f>
        <v/>
      </c>
      <c r="C638" s="0" t="str">
        <f aca="false">IF('THÁNG 10'!$C45="","",'THÁNG 10'!$C45)</f>
        <v/>
      </c>
      <c r="D638" s="0" t="str">
        <f aca="false">IF('THÁNG 10'!$C45="","",'THÁNG 10'!$D45&amp;"")</f>
        <v/>
      </c>
      <c r="E638" s="0" t="str">
        <f aca="false">IF('THÁNG 10'!$C45="","",'THÁNG 10'!$E45&amp;"")</f>
        <v/>
      </c>
      <c r="F638" s="0" t="str">
        <f aca="false">IF('THÁNG 10'!$C45="","",'THÁNG 10'!$F45&amp;"")</f>
        <v/>
      </c>
      <c r="G638" s="0" t="str">
        <f aca="false">IF('THÁNG 10'!$C45="","",'THÁNG 10'!$G45&amp;"")</f>
        <v/>
      </c>
      <c r="H638" s="0" t="str">
        <f aca="false">IF('THÁNG 10'!$C45="","",'THÁNG 10'!$H45&amp;"")</f>
        <v/>
      </c>
      <c r="I638" s="0" t="str">
        <f aca="false">IF('THÁNG 10'!$C45="","",N('THÁNG 10'!$I45))</f>
        <v/>
      </c>
      <c r="J638" s="0" t="str">
        <f aca="false">IF('THÁNG 10'!$C45="","",N('THÁNG 10'!$L45))</f>
        <v/>
      </c>
      <c r="K638" s="0" t="str">
        <f aca="false">IF('THÁNG 10'!$C45="","",N('THÁNG 10'!$N45))</f>
        <v/>
      </c>
      <c r="L638" s="0" t="str">
        <f aca="false">IF('THÁNG 10'!$C45="","",N('THÁNG 10'!$O45))</f>
        <v/>
      </c>
      <c r="M638" s="0" t="str">
        <f aca="false">IF('THÁNG 10'!$C45="","",N('THÁNG 10'!$P45))</f>
        <v/>
      </c>
      <c r="N638" s="0" t="str">
        <f aca="false">IF('THÁNG 10'!$C45="","",N('THÁNG 10'!$Q45))</f>
        <v/>
      </c>
      <c r="O638" s="0" t="str">
        <f aca="false">IF('THÁNG 10'!$C45="","",N('THÁNG 10'!$R45))</f>
        <v/>
      </c>
      <c r="P638" s="0" t="str">
        <f aca="false">IF(OR('THÁNG 10'!$C45="",'THÁNG 10'!$T45=""),"",'THÁNG 10'!$T45)</f>
        <v/>
      </c>
      <c r="Q638" s="0" t="str">
        <f aca="false">IF(OR('THÁNG 10'!$C45="",'THÁNG 10'!$U45=""),"",'THÁNG 10'!$U45)</f>
        <v/>
      </c>
      <c r="R638" s="0" t="str">
        <f aca="false">IF('THÁNG 10'!$C45="","",'THÁNG 10'!$W45&amp;"")</f>
        <v/>
      </c>
      <c r="S638" s="0" t="str">
        <f aca="false">IF('THÁNG 10'!$C45="","",'THÁNG 10'!$S45&amp;"")</f>
        <v/>
      </c>
      <c r="T638" s="0" t="str">
        <f aca="false">IF(N($O638)&gt;0,COUNTIF($O$3:$O638,"&gt;0"),"")</f>
        <v/>
      </c>
      <c r="U638" s="0" t="str">
        <f aca="false">IF(AND(N($J638)&gt;0,N($K638)&gt;0),COUNTIFS($J$3:$J638,"&gt;0",$K$3:$K638,"&gt;0"),"")</f>
        <v/>
      </c>
      <c r="V638" s="0" t="str">
        <f aca="false">IF(AND(N($J638)&gt;0,N($K638)=0),COUNTIFS($J$3:$J638,"&gt;0",$K$3:$K638,"&lt;=0"),"")</f>
        <v/>
      </c>
      <c r="W638" s="0" t="str">
        <f aca="false">IF($C638="","",IF(COUNTIF($C$3:$C638,$C638)&gt;1,"",MAX($W$2:W637)+1))</f>
        <v/>
      </c>
      <c r="X638" s="0" t="str">
        <f aca="false">IF($H638="","",IF(COUNTIF($H$3:$H638,$H638)&gt;1,"",MAX($X$2:X637)+1))</f>
        <v/>
      </c>
      <c r="Y638" s="0" t="str">
        <f aca="false">IF(AND(N($M638)&gt;0,N($O638)&lt;=0),COUNTIFS($M$3:$M638,"&gt;0",$O$3:$O638,"&lt;=0"),"")</f>
        <v/>
      </c>
      <c r="Z638" s="30" t="n">
        <f aca="false">IF(OR('THÁNG 10'!$C45="",'THÁNG 10'!$B45=""),0,'THÁNG 10'!$B45)</f>
        <v>0</v>
      </c>
    </row>
    <row r="639" customFormat="false" ht="15" hidden="false" customHeight="false" outlineLevel="0" collapsed="false">
      <c r="A639" s="0" t="n">
        <v>10</v>
      </c>
      <c r="B639" s="29" t="str">
        <f aca="false">IF(OR('THÁNG 10'!$C46="",'THÁNG 10'!$B46=""),"",'THÁNG 10'!$B46)</f>
        <v/>
      </c>
      <c r="C639" s="0" t="str">
        <f aca="false">IF('THÁNG 10'!$C46="","",'THÁNG 10'!$C46)</f>
        <v/>
      </c>
      <c r="D639" s="0" t="str">
        <f aca="false">IF('THÁNG 10'!$C46="","",'THÁNG 10'!$D46&amp;"")</f>
        <v/>
      </c>
      <c r="E639" s="0" t="str">
        <f aca="false">IF('THÁNG 10'!$C46="","",'THÁNG 10'!$E46&amp;"")</f>
        <v/>
      </c>
      <c r="F639" s="0" t="str">
        <f aca="false">IF('THÁNG 10'!$C46="","",'THÁNG 10'!$F46&amp;"")</f>
        <v/>
      </c>
      <c r="G639" s="0" t="str">
        <f aca="false">IF('THÁNG 10'!$C46="","",'THÁNG 10'!$G46&amp;"")</f>
        <v/>
      </c>
      <c r="H639" s="0" t="str">
        <f aca="false">IF('THÁNG 10'!$C46="","",'THÁNG 10'!$H46&amp;"")</f>
        <v/>
      </c>
      <c r="I639" s="0" t="str">
        <f aca="false">IF('THÁNG 10'!$C46="","",N('THÁNG 10'!$I46))</f>
        <v/>
      </c>
      <c r="J639" s="0" t="str">
        <f aca="false">IF('THÁNG 10'!$C46="","",N('THÁNG 10'!$L46))</f>
        <v/>
      </c>
      <c r="K639" s="0" t="str">
        <f aca="false">IF('THÁNG 10'!$C46="","",N('THÁNG 10'!$N46))</f>
        <v/>
      </c>
      <c r="L639" s="0" t="str">
        <f aca="false">IF('THÁNG 10'!$C46="","",N('THÁNG 10'!$O46))</f>
        <v/>
      </c>
      <c r="M639" s="0" t="str">
        <f aca="false">IF('THÁNG 10'!$C46="","",N('THÁNG 10'!$P46))</f>
        <v/>
      </c>
      <c r="N639" s="0" t="str">
        <f aca="false">IF('THÁNG 10'!$C46="","",N('THÁNG 10'!$Q46))</f>
        <v/>
      </c>
      <c r="O639" s="0" t="str">
        <f aca="false">IF('THÁNG 10'!$C46="","",N('THÁNG 10'!$R46))</f>
        <v/>
      </c>
      <c r="P639" s="0" t="str">
        <f aca="false">IF(OR('THÁNG 10'!$C46="",'THÁNG 10'!$T46=""),"",'THÁNG 10'!$T46)</f>
        <v/>
      </c>
      <c r="Q639" s="0" t="str">
        <f aca="false">IF(OR('THÁNG 10'!$C46="",'THÁNG 10'!$U46=""),"",'THÁNG 10'!$U46)</f>
        <v/>
      </c>
      <c r="R639" s="0" t="str">
        <f aca="false">IF('THÁNG 10'!$C46="","",'THÁNG 10'!$W46&amp;"")</f>
        <v/>
      </c>
      <c r="S639" s="0" t="str">
        <f aca="false">IF('THÁNG 10'!$C46="","",'THÁNG 10'!$S46&amp;"")</f>
        <v/>
      </c>
      <c r="T639" s="0" t="str">
        <f aca="false">IF(N($O639)&gt;0,COUNTIF($O$3:$O639,"&gt;0"),"")</f>
        <v/>
      </c>
      <c r="U639" s="0" t="str">
        <f aca="false">IF(AND(N($J639)&gt;0,N($K639)&gt;0),COUNTIFS($J$3:$J639,"&gt;0",$K$3:$K639,"&gt;0"),"")</f>
        <v/>
      </c>
      <c r="V639" s="0" t="str">
        <f aca="false">IF(AND(N($J639)&gt;0,N($K639)=0),COUNTIFS($J$3:$J639,"&gt;0",$K$3:$K639,"&lt;=0"),"")</f>
        <v/>
      </c>
      <c r="W639" s="0" t="str">
        <f aca="false">IF($C639="","",IF(COUNTIF($C$3:$C639,$C639)&gt;1,"",MAX($W$2:W638)+1))</f>
        <v/>
      </c>
      <c r="X639" s="0" t="str">
        <f aca="false">IF($H639="","",IF(COUNTIF($H$3:$H639,$H639)&gt;1,"",MAX($X$2:X638)+1))</f>
        <v/>
      </c>
      <c r="Y639" s="0" t="str">
        <f aca="false">IF(AND(N($M639)&gt;0,N($O639)&lt;=0),COUNTIFS($M$3:$M639,"&gt;0",$O$3:$O639,"&lt;=0"),"")</f>
        <v/>
      </c>
      <c r="Z639" s="30" t="n">
        <f aca="false">IF(OR('THÁNG 10'!$C46="",'THÁNG 10'!$B46=""),0,'THÁNG 10'!$B46)</f>
        <v>0</v>
      </c>
    </row>
    <row r="640" customFormat="false" ht="15" hidden="false" customHeight="false" outlineLevel="0" collapsed="false">
      <c r="A640" s="0" t="n">
        <v>10</v>
      </c>
      <c r="B640" s="29" t="str">
        <f aca="false">IF(OR('THÁNG 10'!$C47="",'THÁNG 10'!$B47=""),"",'THÁNG 10'!$B47)</f>
        <v/>
      </c>
      <c r="C640" s="0" t="str">
        <f aca="false">IF('THÁNG 10'!$C47="","",'THÁNG 10'!$C47)</f>
        <v/>
      </c>
      <c r="D640" s="0" t="str">
        <f aca="false">IF('THÁNG 10'!$C47="","",'THÁNG 10'!$D47&amp;"")</f>
        <v/>
      </c>
      <c r="E640" s="0" t="str">
        <f aca="false">IF('THÁNG 10'!$C47="","",'THÁNG 10'!$E47&amp;"")</f>
        <v/>
      </c>
      <c r="F640" s="0" t="str">
        <f aca="false">IF('THÁNG 10'!$C47="","",'THÁNG 10'!$F47&amp;"")</f>
        <v/>
      </c>
      <c r="G640" s="0" t="str">
        <f aca="false">IF('THÁNG 10'!$C47="","",'THÁNG 10'!$G47&amp;"")</f>
        <v/>
      </c>
      <c r="H640" s="0" t="str">
        <f aca="false">IF('THÁNG 10'!$C47="","",'THÁNG 10'!$H47&amp;"")</f>
        <v/>
      </c>
      <c r="I640" s="0" t="str">
        <f aca="false">IF('THÁNG 10'!$C47="","",N('THÁNG 10'!$I47))</f>
        <v/>
      </c>
      <c r="J640" s="0" t="str">
        <f aca="false">IF('THÁNG 10'!$C47="","",N('THÁNG 10'!$L47))</f>
        <v/>
      </c>
      <c r="K640" s="0" t="str">
        <f aca="false">IF('THÁNG 10'!$C47="","",N('THÁNG 10'!$N47))</f>
        <v/>
      </c>
      <c r="L640" s="0" t="str">
        <f aca="false">IF('THÁNG 10'!$C47="","",N('THÁNG 10'!$O47))</f>
        <v/>
      </c>
      <c r="M640" s="0" t="str">
        <f aca="false">IF('THÁNG 10'!$C47="","",N('THÁNG 10'!$P47))</f>
        <v/>
      </c>
      <c r="N640" s="0" t="str">
        <f aca="false">IF('THÁNG 10'!$C47="","",N('THÁNG 10'!$Q47))</f>
        <v/>
      </c>
      <c r="O640" s="0" t="str">
        <f aca="false">IF('THÁNG 10'!$C47="","",N('THÁNG 10'!$R47))</f>
        <v/>
      </c>
      <c r="P640" s="0" t="str">
        <f aca="false">IF(OR('THÁNG 10'!$C47="",'THÁNG 10'!$T47=""),"",'THÁNG 10'!$T47)</f>
        <v/>
      </c>
      <c r="Q640" s="0" t="str">
        <f aca="false">IF(OR('THÁNG 10'!$C47="",'THÁNG 10'!$U47=""),"",'THÁNG 10'!$U47)</f>
        <v/>
      </c>
      <c r="R640" s="0" t="str">
        <f aca="false">IF('THÁNG 10'!$C47="","",'THÁNG 10'!$W47&amp;"")</f>
        <v/>
      </c>
      <c r="S640" s="0" t="str">
        <f aca="false">IF('THÁNG 10'!$C47="","",'THÁNG 10'!$S47&amp;"")</f>
        <v/>
      </c>
      <c r="T640" s="0" t="str">
        <f aca="false">IF(N($O640)&gt;0,COUNTIF($O$3:$O640,"&gt;0"),"")</f>
        <v/>
      </c>
      <c r="U640" s="0" t="str">
        <f aca="false">IF(AND(N($J640)&gt;0,N($K640)&gt;0),COUNTIFS($J$3:$J640,"&gt;0",$K$3:$K640,"&gt;0"),"")</f>
        <v/>
      </c>
      <c r="V640" s="0" t="str">
        <f aca="false">IF(AND(N($J640)&gt;0,N($K640)=0),COUNTIFS($J$3:$J640,"&gt;0",$K$3:$K640,"&lt;=0"),"")</f>
        <v/>
      </c>
      <c r="W640" s="0" t="str">
        <f aca="false">IF($C640="","",IF(COUNTIF($C$3:$C640,$C640)&gt;1,"",MAX($W$2:W639)+1))</f>
        <v/>
      </c>
      <c r="X640" s="0" t="str">
        <f aca="false">IF($H640="","",IF(COUNTIF($H$3:$H640,$H640)&gt;1,"",MAX($X$2:X639)+1))</f>
        <v/>
      </c>
      <c r="Y640" s="0" t="str">
        <f aca="false">IF(AND(N($M640)&gt;0,N($O640)&lt;=0),COUNTIFS($M$3:$M640,"&gt;0",$O$3:$O640,"&lt;=0"),"")</f>
        <v/>
      </c>
      <c r="Z640" s="30" t="n">
        <f aca="false">IF(OR('THÁNG 10'!$C47="",'THÁNG 10'!$B47=""),0,'THÁNG 10'!$B47)</f>
        <v>0</v>
      </c>
    </row>
    <row r="641" customFormat="false" ht="15" hidden="false" customHeight="false" outlineLevel="0" collapsed="false">
      <c r="A641" s="0" t="n">
        <v>10</v>
      </c>
      <c r="B641" s="29" t="str">
        <f aca="false">IF(OR('THÁNG 10'!$C48="",'THÁNG 10'!$B48=""),"",'THÁNG 10'!$B48)</f>
        <v/>
      </c>
      <c r="C641" s="0" t="str">
        <f aca="false">IF('THÁNG 10'!$C48="","",'THÁNG 10'!$C48)</f>
        <v/>
      </c>
      <c r="D641" s="0" t="str">
        <f aca="false">IF('THÁNG 10'!$C48="","",'THÁNG 10'!$D48&amp;"")</f>
        <v/>
      </c>
      <c r="E641" s="0" t="str">
        <f aca="false">IF('THÁNG 10'!$C48="","",'THÁNG 10'!$E48&amp;"")</f>
        <v/>
      </c>
      <c r="F641" s="0" t="str">
        <f aca="false">IF('THÁNG 10'!$C48="","",'THÁNG 10'!$F48&amp;"")</f>
        <v/>
      </c>
      <c r="G641" s="0" t="str">
        <f aca="false">IF('THÁNG 10'!$C48="","",'THÁNG 10'!$G48&amp;"")</f>
        <v/>
      </c>
      <c r="H641" s="0" t="str">
        <f aca="false">IF('THÁNG 10'!$C48="","",'THÁNG 10'!$H48&amp;"")</f>
        <v/>
      </c>
      <c r="I641" s="0" t="str">
        <f aca="false">IF('THÁNG 10'!$C48="","",N('THÁNG 10'!$I48))</f>
        <v/>
      </c>
      <c r="J641" s="0" t="str">
        <f aca="false">IF('THÁNG 10'!$C48="","",N('THÁNG 10'!$L48))</f>
        <v/>
      </c>
      <c r="K641" s="0" t="str">
        <f aca="false">IF('THÁNG 10'!$C48="","",N('THÁNG 10'!$N48))</f>
        <v/>
      </c>
      <c r="L641" s="0" t="str">
        <f aca="false">IF('THÁNG 10'!$C48="","",N('THÁNG 10'!$O48))</f>
        <v/>
      </c>
      <c r="M641" s="0" t="str">
        <f aca="false">IF('THÁNG 10'!$C48="","",N('THÁNG 10'!$P48))</f>
        <v/>
      </c>
      <c r="N641" s="0" t="str">
        <f aca="false">IF('THÁNG 10'!$C48="","",N('THÁNG 10'!$Q48))</f>
        <v/>
      </c>
      <c r="O641" s="0" t="str">
        <f aca="false">IF('THÁNG 10'!$C48="","",N('THÁNG 10'!$R48))</f>
        <v/>
      </c>
      <c r="P641" s="0" t="str">
        <f aca="false">IF(OR('THÁNG 10'!$C48="",'THÁNG 10'!$T48=""),"",'THÁNG 10'!$T48)</f>
        <v/>
      </c>
      <c r="Q641" s="0" t="str">
        <f aca="false">IF(OR('THÁNG 10'!$C48="",'THÁNG 10'!$U48=""),"",'THÁNG 10'!$U48)</f>
        <v/>
      </c>
      <c r="R641" s="0" t="str">
        <f aca="false">IF('THÁNG 10'!$C48="","",'THÁNG 10'!$W48&amp;"")</f>
        <v/>
      </c>
      <c r="S641" s="0" t="str">
        <f aca="false">IF('THÁNG 10'!$C48="","",'THÁNG 10'!$S48&amp;"")</f>
        <v/>
      </c>
      <c r="T641" s="0" t="str">
        <f aca="false">IF(N($O641)&gt;0,COUNTIF($O$3:$O641,"&gt;0"),"")</f>
        <v/>
      </c>
      <c r="U641" s="0" t="str">
        <f aca="false">IF(AND(N($J641)&gt;0,N($K641)&gt;0),COUNTIFS($J$3:$J641,"&gt;0",$K$3:$K641,"&gt;0"),"")</f>
        <v/>
      </c>
      <c r="V641" s="0" t="str">
        <f aca="false">IF(AND(N($J641)&gt;0,N($K641)=0),COUNTIFS($J$3:$J641,"&gt;0",$K$3:$K641,"&lt;=0"),"")</f>
        <v/>
      </c>
      <c r="W641" s="0" t="str">
        <f aca="false">IF($C641="","",IF(COUNTIF($C$3:$C641,$C641)&gt;1,"",MAX($W$2:W640)+1))</f>
        <v/>
      </c>
      <c r="X641" s="0" t="str">
        <f aca="false">IF($H641="","",IF(COUNTIF($H$3:$H641,$H641)&gt;1,"",MAX($X$2:X640)+1))</f>
        <v/>
      </c>
      <c r="Y641" s="0" t="str">
        <f aca="false">IF(AND(N($M641)&gt;0,N($O641)&lt;=0),COUNTIFS($M$3:$M641,"&gt;0",$O$3:$O641,"&lt;=0"),"")</f>
        <v/>
      </c>
      <c r="Z641" s="30" t="n">
        <f aca="false">IF(OR('THÁNG 10'!$C48="",'THÁNG 10'!$B48=""),0,'THÁNG 10'!$B48)</f>
        <v>0</v>
      </c>
    </row>
    <row r="642" customFormat="false" ht="15" hidden="false" customHeight="false" outlineLevel="0" collapsed="false">
      <c r="A642" s="0" t="n">
        <v>10</v>
      </c>
      <c r="B642" s="29" t="str">
        <f aca="false">IF(OR('THÁNG 10'!$C49="",'THÁNG 10'!$B49=""),"",'THÁNG 10'!$B49)</f>
        <v/>
      </c>
      <c r="C642" s="0" t="str">
        <f aca="false">IF('THÁNG 10'!$C49="","",'THÁNG 10'!$C49)</f>
        <v/>
      </c>
      <c r="D642" s="0" t="str">
        <f aca="false">IF('THÁNG 10'!$C49="","",'THÁNG 10'!$D49&amp;"")</f>
        <v/>
      </c>
      <c r="E642" s="0" t="str">
        <f aca="false">IF('THÁNG 10'!$C49="","",'THÁNG 10'!$E49&amp;"")</f>
        <v/>
      </c>
      <c r="F642" s="0" t="str">
        <f aca="false">IF('THÁNG 10'!$C49="","",'THÁNG 10'!$F49&amp;"")</f>
        <v/>
      </c>
      <c r="G642" s="0" t="str">
        <f aca="false">IF('THÁNG 10'!$C49="","",'THÁNG 10'!$G49&amp;"")</f>
        <v/>
      </c>
      <c r="H642" s="0" t="str">
        <f aca="false">IF('THÁNG 10'!$C49="","",'THÁNG 10'!$H49&amp;"")</f>
        <v/>
      </c>
      <c r="I642" s="0" t="str">
        <f aca="false">IF('THÁNG 10'!$C49="","",N('THÁNG 10'!$I49))</f>
        <v/>
      </c>
      <c r="J642" s="0" t="str">
        <f aca="false">IF('THÁNG 10'!$C49="","",N('THÁNG 10'!$L49))</f>
        <v/>
      </c>
      <c r="K642" s="0" t="str">
        <f aca="false">IF('THÁNG 10'!$C49="","",N('THÁNG 10'!$N49))</f>
        <v/>
      </c>
      <c r="L642" s="0" t="str">
        <f aca="false">IF('THÁNG 10'!$C49="","",N('THÁNG 10'!$O49))</f>
        <v/>
      </c>
      <c r="M642" s="0" t="str">
        <f aca="false">IF('THÁNG 10'!$C49="","",N('THÁNG 10'!$P49))</f>
        <v/>
      </c>
      <c r="N642" s="0" t="str">
        <f aca="false">IF('THÁNG 10'!$C49="","",N('THÁNG 10'!$Q49))</f>
        <v/>
      </c>
      <c r="O642" s="0" t="str">
        <f aca="false">IF('THÁNG 10'!$C49="","",N('THÁNG 10'!$R49))</f>
        <v/>
      </c>
      <c r="P642" s="0" t="str">
        <f aca="false">IF(OR('THÁNG 10'!$C49="",'THÁNG 10'!$T49=""),"",'THÁNG 10'!$T49)</f>
        <v/>
      </c>
      <c r="Q642" s="0" t="str">
        <f aca="false">IF(OR('THÁNG 10'!$C49="",'THÁNG 10'!$U49=""),"",'THÁNG 10'!$U49)</f>
        <v/>
      </c>
      <c r="R642" s="0" t="str">
        <f aca="false">IF('THÁNG 10'!$C49="","",'THÁNG 10'!$W49&amp;"")</f>
        <v/>
      </c>
      <c r="S642" s="0" t="str">
        <f aca="false">IF('THÁNG 10'!$C49="","",'THÁNG 10'!$S49&amp;"")</f>
        <v/>
      </c>
      <c r="T642" s="0" t="str">
        <f aca="false">IF(N($O642)&gt;0,COUNTIF($O$3:$O642,"&gt;0"),"")</f>
        <v/>
      </c>
      <c r="U642" s="0" t="str">
        <f aca="false">IF(AND(N($J642)&gt;0,N($K642)&gt;0),COUNTIFS($J$3:$J642,"&gt;0",$K$3:$K642,"&gt;0"),"")</f>
        <v/>
      </c>
      <c r="V642" s="0" t="str">
        <f aca="false">IF(AND(N($J642)&gt;0,N($K642)=0),COUNTIFS($J$3:$J642,"&gt;0",$K$3:$K642,"&lt;=0"),"")</f>
        <v/>
      </c>
      <c r="W642" s="0" t="str">
        <f aca="false">IF($C642="","",IF(COUNTIF($C$3:$C642,$C642)&gt;1,"",MAX($W$2:W641)+1))</f>
        <v/>
      </c>
      <c r="X642" s="0" t="str">
        <f aca="false">IF($H642="","",IF(COUNTIF($H$3:$H642,$H642)&gt;1,"",MAX($X$2:X641)+1))</f>
        <v/>
      </c>
      <c r="Y642" s="0" t="str">
        <f aca="false">IF(AND(N($M642)&gt;0,N($O642)&lt;=0),COUNTIFS($M$3:$M642,"&gt;0",$O$3:$O642,"&lt;=0"),"")</f>
        <v/>
      </c>
      <c r="Z642" s="30" t="n">
        <f aca="false">IF(OR('THÁNG 10'!$C49="",'THÁNG 10'!$B49=""),0,'THÁNG 10'!$B49)</f>
        <v>0</v>
      </c>
    </row>
    <row r="643" customFormat="false" ht="15" hidden="false" customHeight="false" outlineLevel="0" collapsed="false">
      <c r="A643" s="0" t="n">
        <v>10</v>
      </c>
      <c r="B643" s="29" t="str">
        <f aca="false">IF(OR('THÁNG 10'!$C50="",'THÁNG 10'!$B50=""),"",'THÁNG 10'!$B50)</f>
        <v/>
      </c>
      <c r="C643" s="0" t="str">
        <f aca="false">IF('THÁNG 10'!$C50="","",'THÁNG 10'!$C50)</f>
        <v/>
      </c>
      <c r="D643" s="0" t="str">
        <f aca="false">IF('THÁNG 10'!$C50="","",'THÁNG 10'!$D50&amp;"")</f>
        <v/>
      </c>
      <c r="E643" s="0" t="str">
        <f aca="false">IF('THÁNG 10'!$C50="","",'THÁNG 10'!$E50&amp;"")</f>
        <v/>
      </c>
      <c r="F643" s="0" t="str">
        <f aca="false">IF('THÁNG 10'!$C50="","",'THÁNG 10'!$F50&amp;"")</f>
        <v/>
      </c>
      <c r="G643" s="0" t="str">
        <f aca="false">IF('THÁNG 10'!$C50="","",'THÁNG 10'!$G50&amp;"")</f>
        <v/>
      </c>
      <c r="H643" s="0" t="str">
        <f aca="false">IF('THÁNG 10'!$C50="","",'THÁNG 10'!$H50&amp;"")</f>
        <v/>
      </c>
      <c r="I643" s="0" t="str">
        <f aca="false">IF('THÁNG 10'!$C50="","",N('THÁNG 10'!$I50))</f>
        <v/>
      </c>
      <c r="J643" s="0" t="str">
        <f aca="false">IF('THÁNG 10'!$C50="","",N('THÁNG 10'!$L50))</f>
        <v/>
      </c>
      <c r="K643" s="0" t="str">
        <f aca="false">IF('THÁNG 10'!$C50="","",N('THÁNG 10'!$N50))</f>
        <v/>
      </c>
      <c r="L643" s="0" t="str">
        <f aca="false">IF('THÁNG 10'!$C50="","",N('THÁNG 10'!$O50))</f>
        <v/>
      </c>
      <c r="M643" s="0" t="str">
        <f aca="false">IF('THÁNG 10'!$C50="","",N('THÁNG 10'!$P50))</f>
        <v/>
      </c>
      <c r="N643" s="0" t="str">
        <f aca="false">IF('THÁNG 10'!$C50="","",N('THÁNG 10'!$Q50))</f>
        <v/>
      </c>
      <c r="O643" s="0" t="str">
        <f aca="false">IF('THÁNG 10'!$C50="","",N('THÁNG 10'!$R50))</f>
        <v/>
      </c>
      <c r="P643" s="0" t="str">
        <f aca="false">IF(OR('THÁNG 10'!$C50="",'THÁNG 10'!$T50=""),"",'THÁNG 10'!$T50)</f>
        <v/>
      </c>
      <c r="Q643" s="0" t="str">
        <f aca="false">IF(OR('THÁNG 10'!$C50="",'THÁNG 10'!$U50=""),"",'THÁNG 10'!$U50)</f>
        <v/>
      </c>
      <c r="R643" s="0" t="str">
        <f aca="false">IF('THÁNG 10'!$C50="","",'THÁNG 10'!$W50&amp;"")</f>
        <v/>
      </c>
      <c r="S643" s="0" t="str">
        <f aca="false">IF('THÁNG 10'!$C50="","",'THÁNG 10'!$S50&amp;"")</f>
        <v/>
      </c>
      <c r="T643" s="0" t="str">
        <f aca="false">IF(N($O643)&gt;0,COUNTIF($O$3:$O643,"&gt;0"),"")</f>
        <v/>
      </c>
      <c r="U643" s="0" t="str">
        <f aca="false">IF(AND(N($J643)&gt;0,N($K643)&gt;0),COUNTIFS($J$3:$J643,"&gt;0",$K$3:$K643,"&gt;0"),"")</f>
        <v/>
      </c>
      <c r="V643" s="0" t="str">
        <f aca="false">IF(AND(N($J643)&gt;0,N($K643)=0),COUNTIFS($J$3:$J643,"&gt;0",$K$3:$K643,"&lt;=0"),"")</f>
        <v/>
      </c>
      <c r="W643" s="0" t="str">
        <f aca="false">IF($C643="","",IF(COUNTIF($C$3:$C643,$C643)&gt;1,"",MAX($W$2:W642)+1))</f>
        <v/>
      </c>
      <c r="X643" s="0" t="str">
        <f aca="false">IF($H643="","",IF(COUNTIF($H$3:$H643,$H643)&gt;1,"",MAX($X$2:X642)+1))</f>
        <v/>
      </c>
      <c r="Y643" s="0" t="str">
        <f aca="false">IF(AND(N($M643)&gt;0,N($O643)&lt;=0),COUNTIFS($M$3:$M643,"&gt;0",$O$3:$O643,"&lt;=0"),"")</f>
        <v/>
      </c>
      <c r="Z643" s="30" t="n">
        <f aca="false">IF(OR('THÁNG 10'!$C50="",'THÁNG 10'!$B50=""),0,'THÁNG 10'!$B50)</f>
        <v>0</v>
      </c>
    </row>
    <row r="644" customFormat="false" ht="15" hidden="false" customHeight="false" outlineLevel="0" collapsed="false">
      <c r="A644" s="0" t="n">
        <v>10</v>
      </c>
      <c r="B644" s="29" t="str">
        <f aca="false">IF(OR('THÁNG 10'!$C51="",'THÁNG 10'!$B51=""),"",'THÁNG 10'!$B51)</f>
        <v/>
      </c>
      <c r="C644" s="0" t="str">
        <f aca="false">IF('THÁNG 10'!$C51="","",'THÁNG 10'!$C51)</f>
        <v/>
      </c>
      <c r="D644" s="0" t="str">
        <f aca="false">IF('THÁNG 10'!$C51="","",'THÁNG 10'!$D51&amp;"")</f>
        <v/>
      </c>
      <c r="E644" s="0" t="str">
        <f aca="false">IF('THÁNG 10'!$C51="","",'THÁNG 10'!$E51&amp;"")</f>
        <v/>
      </c>
      <c r="F644" s="0" t="str">
        <f aca="false">IF('THÁNG 10'!$C51="","",'THÁNG 10'!$F51&amp;"")</f>
        <v/>
      </c>
      <c r="G644" s="0" t="str">
        <f aca="false">IF('THÁNG 10'!$C51="","",'THÁNG 10'!$G51&amp;"")</f>
        <v/>
      </c>
      <c r="H644" s="0" t="str">
        <f aca="false">IF('THÁNG 10'!$C51="","",'THÁNG 10'!$H51&amp;"")</f>
        <v/>
      </c>
      <c r="I644" s="0" t="str">
        <f aca="false">IF('THÁNG 10'!$C51="","",N('THÁNG 10'!$I51))</f>
        <v/>
      </c>
      <c r="J644" s="0" t="str">
        <f aca="false">IF('THÁNG 10'!$C51="","",N('THÁNG 10'!$L51))</f>
        <v/>
      </c>
      <c r="K644" s="0" t="str">
        <f aca="false">IF('THÁNG 10'!$C51="","",N('THÁNG 10'!$N51))</f>
        <v/>
      </c>
      <c r="L644" s="0" t="str">
        <f aca="false">IF('THÁNG 10'!$C51="","",N('THÁNG 10'!$O51))</f>
        <v/>
      </c>
      <c r="M644" s="0" t="str">
        <f aca="false">IF('THÁNG 10'!$C51="","",N('THÁNG 10'!$P51))</f>
        <v/>
      </c>
      <c r="N644" s="0" t="str">
        <f aca="false">IF('THÁNG 10'!$C51="","",N('THÁNG 10'!$Q51))</f>
        <v/>
      </c>
      <c r="O644" s="0" t="str">
        <f aca="false">IF('THÁNG 10'!$C51="","",N('THÁNG 10'!$R51))</f>
        <v/>
      </c>
      <c r="P644" s="0" t="str">
        <f aca="false">IF(OR('THÁNG 10'!$C51="",'THÁNG 10'!$T51=""),"",'THÁNG 10'!$T51)</f>
        <v/>
      </c>
      <c r="Q644" s="0" t="str">
        <f aca="false">IF(OR('THÁNG 10'!$C51="",'THÁNG 10'!$U51=""),"",'THÁNG 10'!$U51)</f>
        <v/>
      </c>
      <c r="R644" s="0" t="str">
        <f aca="false">IF('THÁNG 10'!$C51="","",'THÁNG 10'!$W51&amp;"")</f>
        <v/>
      </c>
      <c r="S644" s="0" t="str">
        <f aca="false">IF('THÁNG 10'!$C51="","",'THÁNG 10'!$S51&amp;"")</f>
        <v/>
      </c>
      <c r="T644" s="0" t="str">
        <f aca="false">IF(N($O644)&gt;0,COUNTIF($O$3:$O644,"&gt;0"),"")</f>
        <v/>
      </c>
      <c r="U644" s="0" t="str">
        <f aca="false">IF(AND(N($J644)&gt;0,N($K644)&gt;0),COUNTIFS($J$3:$J644,"&gt;0",$K$3:$K644,"&gt;0"),"")</f>
        <v/>
      </c>
      <c r="V644" s="0" t="str">
        <f aca="false">IF(AND(N($J644)&gt;0,N($K644)=0),COUNTIFS($J$3:$J644,"&gt;0",$K$3:$K644,"&lt;=0"),"")</f>
        <v/>
      </c>
      <c r="W644" s="0" t="str">
        <f aca="false">IF($C644="","",IF(COUNTIF($C$3:$C644,$C644)&gt;1,"",MAX($W$2:W643)+1))</f>
        <v/>
      </c>
      <c r="X644" s="0" t="str">
        <f aca="false">IF($H644="","",IF(COUNTIF($H$3:$H644,$H644)&gt;1,"",MAX($X$2:X643)+1))</f>
        <v/>
      </c>
      <c r="Y644" s="0" t="str">
        <f aca="false">IF(AND(N($M644)&gt;0,N($O644)&lt;=0),COUNTIFS($M$3:$M644,"&gt;0",$O$3:$O644,"&lt;=0"),"")</f>
        <v/>
      </c>
      <c r="Z644" s="30" t="n">
        <f aca="false">IF(OR('THÁNG 10'!$C51="",'THÁNG 10'!$B51=""),0,'THÁNG 10'!$B51)</f>
        <v>0</v>
      </c>
    </row>
    <row r="645" customFormat="false" ht="15" hidden="false" customHeight="false" outlineLevel="0" collapsed="false">
      <c r="A645" s="0" t="n">
        <v>10</v>
      </c>
      <c r="B645" s="29" t="str">
        <f aca="false">IF(OR('THÁNG 10'!$C52="",'THÁNG 10'!$B52=""),"",'THÁNG 10'!$B52)</f>
        <v/>
      </c>
      <c r="C645" s="0" t="str">
        <f aca="false">IF('THÁNG 10'!$C52="","",'THÁNG 10'!$C52)</f>
        <v/>
      </c>
      <c r="D645" s="0" t="str">
        <f aca="false">IF('THÁNG 10'!$C52="","",'THÁNG 10'!$D52&amp;"")</f>
        <v/>
      </c>
      <c r="E645" s="0" t="str">
        <f aca="false">IF('THÁNG 10'!$C52="","",'THÁNG 10'!$E52&amp;"")</f>
        <v/>
      </c>
      <c r="F645" s="0" t="str">
        <f aca="false">IF('THÁNG 10'!$C52="","",'THÁNG 10'!$F52&amp;"")</f>
        <v/>
      </c>
      <c r="G645" s="0" t="str">
        <f aca="false">IF('THÁNG 10'!$C52="","",'THÁNG 10'!$G52&amp;"")</f>
        <v/>
      </c>
      <c r="H645" s="0" t="str">
        <f aca="false">IF('THÁNG 10'!$C52="","",'THÁNG 10'!$H52&amp;"")</f>
        <v/>
      </c>
      <c r="I645" s="0" t="str">
        <f aca="false">IF('THÁNG 10'!$C52="","",N('THÁNG 10'!$I52))</f>
        <v/>
      </c>
      <c r="J645" s="0" t="str">
        <f aca="false">IF('THÁNG 10'!$C52="","",N('THÁNG 10'!$L52))</f>
        <v/>
      </c>
      <c r="K645" s="0" t="str">
        <f aca="false">IF('THÁNG 10'!$C52="","",N('THÁNG 10'!$N52))</f>
        <v/>
      </c>
      <c r="L645" s="0" t="str">
        <f aca="false">IF('THÁNG 10'!$C52="","",N('THÁNG 10'!$O52))</f>
        <v/>
      </c>
      <c r="M645" s="0" t="str">
        <f aca="false">IF('THÁNG 10'!$C52="","",N('THÁNG 10'!$P52))</f>
        <v/>
      </c>
      <c r="N645" s="0" t="str">
        <f aca="false">IF('THÁNG 10'!$C52="","",N('THÁNG 10'!$Q52))</f>
        <v/>
      </c>
      <c r="O645" s="0" t="str">
        <f aca="false">IF('THÁNG 10'!$C52="","",N('THÁNG 10'!$R52))</f>
        <v/>
      </c>
      <c r="P645" s="0" t="str">
        <f aca="false">IF(OR('THÁNG 10'!$C52="",'THÁNG 10'!$T52=""),"",'THÁNG 10'!$T52)</f>
        <v/>
      </c>
      <c r="Q645" s="0" t="str">
        <f aca="false">IF(OR('THÁNG 10'!$C52="",'THÁNG 10'!$U52=""),"",'THÁNG 10'!$U52)</f>
        <v/>
      </c>
      <c r="R645" s="0" t="str">
        <f aca="false">IF('THÁNG 10'!$C52="","",'THÁNG 10'!$W52&amp;"")</f>
        <v/>
      </c>
      <c r="S645" s="0" t="str">
        <f aca="false">IF('THÁNG 10'!$C52="","",'THÁNG 10'!$S52&amp;"")</f>
        <v/>
      </c>
      <c r="T645" s="0" t="str">
        <f aca="false">IF(N($O645)&gt;0,COUNTIF($O$3:$O645,"&gt;0"),"")</f>
        <v/>
      </c>
      <c r="U645" s="0" t="str">
        <f aca="false">IF(AND(N($J645)&gt;0,N($K645)&gt;0),COUNTIFS($J$3:$J645,"&gt;0",$K$3:$K645,"&gt;0"),"")</f>
        <v/>
      </c>
      <c r="V645" s="0" t="str">
        <f aca="false">IF(AND(N($J645)&gt;0,N($K645)=0),COUNTIFS($J$3:$J645,"&gt;0",$K$3:$K645,"&lt;=0"),"")</f>
        <v/>
      </c>
      <c r="W645" s="0" t="str">
        <f aca="false">IF($C645="","",IF(COUNTIF($C$3:$C645,$C645)&gt;1,"",MAX($W$2:W644)+1))</f>
        <v/>
      </c>
      <c r="X645" s="0" t="str">
        <f aca="false">IF($H645="","",IF(COUNTIF($H$3:$H645,$H645)&gt;1,"",MAX($X$2:X644)+1))</f>
        <v/>
      </c>
      <c r="Y645" s="0" t="str">
        <f aca="false">IF(AND(N($M645)&gt;0,N($O645)&lt;=0),COUNTIFS($M$3:$M645,"&gt;0",$O$3:$O645,"&lt;=0"),"")</f>
        <v/>
      </c>
      <c r="Z645" s="30" t="n">
        <f aca="false">IF(OR('THÁNG 10'!$C52="",'THÁNG 10'!$B52=""),0,'THÁNG 10'!$B52)</f>
        <v>0</v>
      </c>
    </row>
    <row r="646" customFormat="false" ht="15" hidden="false" customHeight="false" outlineLevel="0" collapsed="false">
      <c r="A646" s="0" t="n">
        <v>10</v>
      </c>
      <c r="B646" s="29" t="str">
        <f aca="false">IF(OR('THÁNG 10'!$C53="",'THÁNG 10'!$B53=""),"",'THÁNG 10'!$B53)</f>
        <v/>
      </c>
      <c r="C646" s="0" t="str">
        <f aca="false">IF('THÁNG 10'!$C53="","",'THÁNG 10'!$C53)</f>
        <v/>
      </c>
      <c r="D646" s="0" t="str">
        <f aca="false">IF('THÁNG 10'!$C53="","",'THÁNG 10'!$D53&amp;"")</f>
        <v/>
      </c>
      <c r="E646" s="0" t="str">
        <f aca="false">IF('THÁNG 10'!$C53="","",'THÁNG 10'!$E53&amp;"")</f>
        <v/>
      </c>
      <c r="F646" s="0" t="str">
        <f aca="false">IF('THÁNG 10'!$C53="","",'THÁNG 10'!$F53&amp;"")</f>
        <v/>
      </c>
      <c r="G646" s="0" t="str">
        <f aca="false">IF('THÁNG 10'!$C53="","",'THÁNG 10'!$G53&amp;"")</f>
        <v/>
      </c>
      <c r="H646" s="0" t="str">
        <f aca="false">IF('THÁNG 10'!$C53="","",'THÁNG 10'!$H53&amp;"")</f>
        <v/>
      </c>
      <c r="I646" s="0" t="str">
        <f aca="false">IF('THÁNG 10'!$C53="","",N('THÁNG 10'!$I53))</f>
        <v/>
      </c>
      <c r="J646" s="0" t="str">
        <f aca="false">IF('THÁNG 10'!$C53="","",N('THÁNG 10'!$L53))</f>
        <v/>
      </c>
      <c r="K646" s="0" t="str">
        <f aca="false">IF('THÁNG 10'!$C53="","",N('THÁNG 10'!$N53))</f>
        <v/>
      </c>
      <c r="L646" s="0" t="str">
        <f aca="false">IF('THÁNG 10'!$C53="","",N('THÁNG 10'!$O53))</f>
        <v/>
      </c>
      <c r="M646" s="0" t="str">
        <f aca="false">IF('THÁNG 10'!$C53="","",N('THÁNG 10'!$P53))</f>
        <v/>
      </c>
      <c r="N646" s="0" t="str">
        <f aca="false">IF('THÁNG 10'!$C53="","",N('THÁNG 10'!$Q53))</f>
        <v/>
      </c>
      <c r="O646" s="0" t="str">
        <f aca="false">IF('THÁNG 10'!$C53="","",N('THÁNG 10'!$R53))</f>
        <v/>
      </c>
      <c r="P646" s="0" t="str">
        <f aca="false">IF(OR('THÁNG 10'!$C53="",'THÁNG 10'!$T53=""),"",'THÁNG 10'!$T53)</f>
        <v/>
      </c>
      <c r="Q646" s="0" t="str">
        <f aca="false">IF(OR('THÁNG 10'!$C53="",'THÁNG 10'!$U53=""),"",'THÁNG 10'!$U53)</f>
        <v/>
      </c>
      <c r="R646" s="0" t="str">
        <f aca="false">IF('THÁNG 10'!$C53="","",'THÁNG 10'!$W53&amp;"")</f>
        <v/>
      </c>
      <c r="S646" s="0" t="str">
        <f aca="false">IF('THÁNG 10'!$C53="","",'THÁNG 10'!$S53&amp;"")</f>
        <v/>
      </c>
      <c r="T646" s="0" t="str">
        <f aca="false">IF(N($O646)&gt;0,COUNTIF($O$3:$O646,"&gt;0"),"")</f>
        <v/>
      </c>
      <c r="U646" s="0" t="str">
        <f aca="false">IF(AND(N($J646)&gt;0,N($K646)&gt;0),COUNTIFS($J$3:$J646,"&gt;0",$K$3:$K646,"&gt;0"),"")</f>
        <v/>
      </c>
      <c r="V646" s="0" t="str">
        <f aca="false">IF(AND(N($J646)&gt;0,N($K646)=0),COUNTIFS($J$3:$J646,"&gt;0",$K$3:$K646,"&lt;=0"),"")</f>
        <v/>
      </c>
      <c r="W646" s="0" t="str">
        <f aca="false">IF($C646="","",IF(COUNTIF($C$3:$C646,$C646)&gt;1,"",MAX($W$2:W645)+1))</f>
        <v/>
      </c>
      <c r="X646" s="0" t="str">
        <f aca="false">IF($H646="","",IF(COUNTIF($H$3:$H646,$H646)&gt;1,"",MAX($X$2:X645)+1))</f>
        <v/>
      </c>
      <c r="Y646" s="0" t="str">
        <f aca="false">IF(AND(N($M646)&gt;0,N($O646)&lt;=0),COUNTIFS($M$3:$M646,"&gt;0",$O$3:$O646,"&lt;=0"),"")</f>
        <v/>
      </c>
      <c r="Z646" s="30" t="n">
        <f aca="false">IF(OR('THÁNG 10'!$C53="",'THÁNG 10'!$B53=""),0,'THÁNG 10'!$B53)</f>
        <v>0</v>
      </c>
    </row>
    <row r="647" customFormat="false" ht="15" hidden="false" customHeight="false" outlineLevel="0" collapsed="false">
      <c r="A647" s="0" t="n">
        <v>10</v>
      </c>
      <c r="B647" s="29" t="str">
        <f aca="false">IF(OR('THÁNG 10'!$C54="",'THÁNG 10'!$B54=""),"",'THÁNG 10'!$B54)</f>
        <v/>
      </c>
      <c r="C647" s="0" t="str">
        <f aca="false">IF('THÁNG 10'!$C54="","",'THÁNG 10'!$C54)</f>
        <v/>
      </c>
      <c r="D647" s="0" t="str">
        <f aca="false">IF('THÁNG 10'!$C54="","",'THÁNG 10'!$D54&amp;"")</f>
        <v/>
      </c>
      <c r="E647" s="0" t="str">
        <f aca="false">IF('THÁNG 10'!$C54="","",'THÁNG 10'!$E54&amp;"")</f>
        <v/>
      </c>
      <c r="F647" s="0" t="str">
        <f aca="false">IF('THÁNG 10'!$C54="","",'THÁNG 10'!$F54&amp;"")</f>
        <v/>
      </c>
      <c r="G647" s="0" t="str">
        <f aca="false">IF('THÁNG 10'!$C54="","",'THÁNG 10'!$G54&amp;"")</f>
        <v/>
      </c>
      <c r="H647" s="0" t="str">
        <f aca="false">IF('THÁNG 10'!$C54="","",'THÁNG 10'!$H54&amp;"")</f>
        <v/>
      </c>
      <c r="I647" s="0" t="str">
        <f aca="false">IF('THÁNG 10'!$C54="","",N('THÁNG 10'!$I54))</f>
        <v/>
      </c>
      <c r="J647" s="0" t="str">
        <f aca="false">IF('THÁNG 10'!$C54="","",N('THÁNG 10'!$L54))</f>
        <v/>
      </c>
      <c r="K647" s="0" t="str">
        <f aca="false">IF('THÁNG 10'!$C54="","",N('THÁNG 10'!$N54))</f>
        <v/>
      </c>
      <c r="L647" s="0" t="str">
        <f aca="false">IF('THÁNG 10'!$C54="","",N('THÁNG 10'!$O54))</f>
        <v/>
      </c>
      <c r="M647" s="0" t="str">
        <f aca="false">IF('THÁNG 10'!$C54="","",N('THÁNG 10'!$P54))</f>
        <v/>
      </c>
      <c r="N647" s="0" t="str">
        <f aca="false">IF('THÁNG 10'!$C54="","",N('THÁNG 10'!$Q54))</f>
        <v/>
      </c>
      <c r="O647" s="0" t="str">
        <f aca="false">IF('THÁNG 10'!$C54="","",N('THÁNG 10'!$R54))</f>
        <v/>
      </c>
      <c r="P647" s="0" t="str">
        <f aca="false">IF(OR('THÁNG 10'!$C54="",'THÁNG 10'!$T54=""),"",'THÁNG 10'!$T54)</f>
        <v/>
      </c>
      <c r="Q647" s="0" t="str">
        <f aca="false">IF(OR('THÁNG 10'!$C54="",'THÁNG 10'!$U54=""),"",'THÁNG 10'!$U54)</f>
        <v/>
      </c>
      <c r="R647" s="0" t="str">
        <f aca="false">IF('THÁNG 10'!$C54="","",'THÁNG 10'!$W54&amp;"")</f>
        <v/>
      </c>
      <c r="S647" s="0" t="str">
        <f aca="false">IF('THÁNG 10'!$C54="","",'THÁNG 10'!$S54&amp;"")</f>
        <v/>
      </c>
      <c r="T647" s="0" t="str">
        <f aca="false">IF(N($O647)&gt;0,COUNTIF($O$3:$O647,"&gt;0"),"")</f>
        <v/>
      </c>
      <c r="U647" s="0" t="str">
        <f aca="false">IF(AND(N($J647)&gt;0,N($K647)&gt;0),COUNTIFS($J$3:$J647,"&gt;0",$K$3:$K647,"&gt;0"),"")</f>
        <v/>
      </c>
      <c r="V647" s="0" t="str">
        <f aca="false">IF(AND(N($J647)&gt;0,N($K647)=0),COUNTIFS($J$3:$J647,"&gt;0",$K$3:$K647,"&lt;=0"),"")</f>
        <v/>
      </c>
      <c r="W647" s="0" t="str">
        <f aca="false">IF($C647="","",IF(COUNTIF($C$3:$C647,$C647)&gt;1,"",MAX($W$2:W646)+1))</f>
        <v/>
      </c>
      <c r="X647" s="0" t="str">
        <f aca="false">IF($H647="","",IF(COUNTIF($H$3:$H647,$H647)&gt;1,"",MAX($X$2:X646)+1))</f>
        <v/>
      </c>
      <c r="Y647" s="0" t="str">
        <f aca="false">IF(AND(N($M647)&gt;0,N($O647)&lt;=0),COUNTIFS($M$3:$M647,"&gt;0",$O$3:$O647,"&lt;=0"),"")</f>
        <v/>
      </c>
      <c r="Z647" s="30" t="n">
        <f aca="false">IF(OR('THÁNG 10'!$C54="",'THÁNG 10'!$B54=""),0,'THÁNG 10'!$B54)</f>
        <v>0</v>
      </c>
    </row>
    <row r="648" customFormat="false" ht="15" hidden="false" customHeight="false" outlineLevel="0" collapsed="false">
      <c r="A648" s="0" t="n">
        <v>10</v>
      </c>
      <c r="B648" s="29" t="str">
        <f aca="false">IF(OR('THÁNG 10'!$C55="",'THÁNG 10'!$B55=""),"",'THÁNG 10'!$B55)</f>
        <v/>
      </c>
      <c r="C648" s="0" t="str">
        <f aca="false">IF('THÁNG 10'!$C55="","",'THÁNG 10'!$C55)</f>
        <v/>
      </c>
      <c r="D648" s="0" t="str">
        <f aca="false">IF('THÁNG 10'!$C55="","",'THÁNG 10'!$D55&amp;"")</f>
        <v/>
      </c>
      <c r="E648" s="0" t="str">
        <f aca="false">IF('THÁNG 10'!$C55="","",'THÁNG 10'!$E55&amp;"")</f>
        <v/>
      </c>
      <c r="F648" s="0" t="str">
        <f aca="false">IF('THÁNG 10'!$C55="","",'THÁNG 10'!$F55&amp;"")</f>
        <v/>
      </c>
      <c r="G648" s="0" t="str">
        <f aca="false">IF('THÁNG 10'!$C55="","",'THÁNG 10'!$G55&amp;"")</f>
        <v/>
      </c>
      <c r="H648" s="0" t="str">
        <f aca="false">IF('THÁNG 10'!$C55="","",'THÁNG 10'!$H55&amp;"")</f>
        <v/>
      </c>
      <c r="I648" s="0" t="str">
        <f aca="false">IF('THÁNG 10'!$C55="","",N('THÁNG 10'!$I55))</f>
        <v/>
      </c>
      <c r="J648" s="0" t="str">
        <f aca="false">IF('THÁNG 10'!$C55="","",N('THÁNG 10'!$L55))</f>
        <v/>
      </c>
      <c r="K648" s="0" t="str">
        <f aca="false">IF('THÁNG 10'!$C55="","",N('THÁNG 10'!$N55))</f>
        <v/>
      </c>
      <c r="L648" s="0" t="str">
        <f aca="false">IF('THÁNG 10'!$C55="","",N('THÁNG 10'!$O55))</f>
        <v/>
      </c>
      <c r="M648" s="0" t="str">
        <f aca="false">IF('THÁNG 10'!$C55="","",N('THÁNG 10'!$P55))</f>
        <v/>
      </c>
      <c r="N648" s="0" t="str">
        <f aca="false">IF('THÁNG 10'!$C55="","",N('THÁNG 10'!$Q55))</f>
        <v/>
      </c>
      <c r="O648" s="0" t="str">
        <f aca="false">IF('THÁNG 10'!$C55="","",N('THÁNG 10'!$R55))</f>
        <v/>
      </c>
      <c r="P648" s="0" t="str">
        <f aca="false">IF(OR('THÁNG 10'!$C55="",'THÁNG 10'!$T55=""),"",'THÁNG 10'!$T55)</f>
        <v/>
      </c>
      <c r="Q648" s="0" t="str">
        <f aca="false">IF(OR('THÁNG 10'!$C55="",'THÁNG 10'!$U55=""),"",'THÁNG 10'!$U55)</f>
        <v/>
      </c>
      <c r="R648" s="0" t="str">
        <f aca="false">IF('THÁNG 10'!$C55="","",'THÁNG 10'!$W55&amp;"")</f>
        <v/>
      </c>
      <c r="S648" s="0" t="str">
        <f aca="false">IF('THÁNG 10'!$C55="","",'THÁNG 10'!$S55&amp;"")</f>
        <v/>
      </c>
      <c r="T648" s="0" t="str">
        <f aca="false">IF(N($O648)&gt;0,COUNTIF($O$3:$O648,"&gt;0"),"")</f>
        <v/>
      </c>
      <c r="U648" s="0" t="str">
        <f aca="false">IF(AND(N($J648)&gt;0,N($K648)&gt;0),COUNTIFS($J$3:$J648,"&gt;0",$K$3:$K648,"&gt;0"),"")</f>
        <v/>
      </c>
      <c r="V648" s="0" t="str">
        <f aca="false">IF(AND(N($J648)&gt;0,N($K648)=0),COUNTIFS($J$3:$J648,"&gt;0",$K$3:$K648,"&lt;=0"),"")</f>
        <v/>
      </c>
      <c r="W648" s="0" t="str">
        <f aca="false">IF($C648="","",IF(COUNTIF($C$3:$C648,$C648)&gt;1,"",MAX($W$2:W647)+1))</f>
        <v/>
      </c>
      <c r="X648" s="0" t="str">
        <f aca="false">IF($H648="","",IF(COUNTIF($H$3:$H648,$H648)&gt;1,"",MAX($X$2:X647)+1))</f>
        <v/>
      </c>
      <c r="Y648" s="0" t="str">
        <f aca="false">IF(AND(N($M648)&gt;0,N($O648)&lt;=0),COUNTIFS($M$3:$M648,"&gt;0",$O$3:$O648,"&lt;=0"),"")</f>
        <v/>
      </c>
      <c r="Z648" s="30" t="n">
        <f aca="false">IF(OR('THÁNG 10'!$C55="",'THÁNG 10'!$B55=""),0,'THÁNG 10'!$B55)</f>
        <v>0</v>
      </c>
    </row>
    <row r="649" customFormat="false" ht="15" hidden="false" customHeight="false" outlineLevel="0" collapsed="false">
      <c r="A649" s="0" t="n">
        <v>10</v>
      </c>
      <c r="B649" s="29" t="str">
        <f aca="false">IF(OR('THÁNG 10'!$C56="",'THÁNG 10'!$B56=""),"",'THÁNG 10'!$B56)</f>
        <v/>
      </c>
      <c r="C649" s="0" t="str">
        <f aca="false">IF('THÁNG 10'!$C56="","",'THÁNG 10'!$C56)</f>
        <v/>
      </c>
      <c r="D649" s="0" t="str">
        <f aca="false">IF('THÁNG 10'!$C56="","",'THÁNG 10'!$D56&amp;"")</f>
        <v/>
      </c>
      <c r="E649" s="0" t="str">
        <f aca="false">IF('THÁNG 10'!$C56="","",'THÁNG 10'!$E56&amp;"")</f>
        <v/>
      </c>
      <c r="F649" s="0" t="str">
        <f aca="false">IF('THÁNG 10'!$C56="","",'THÁNG 10'!$F56&amp;"")</f>
        <v/>
      </c>
      <c r="G649" s="0" t="str">
        <f aca="false">IF('THÁNG 10'!$C56="","",'THÁNG 10'!$G56&amp;"")</f>
        <v/>
      </c>
      <c r="H649" s="0" t="str">
        <f aca="false">IF('THÁNG 10'!$C56="","",'THÁNG 10'!$H56&amp;"")</f>
        <v/>
      </c>
      <c r="I649" s="0" t="str">
        <f aca="false">IF('THÁNG 10'!$C56="","",N('THÁNG 10'!$I56))</f>
        <v/>
      </c>
      <c r="J649" s="0" t="str">
        <f aca="false">IF('THÁNG 10'!$C56="","",N('THÁNG 10'!$L56))</f>
        <v/>
      </c>
      <c r="K649" s="0" t="str">
        <f aca="false">IF('THÁNG 10'!$C56="","",N('THÁNG 10'!$N56))</f>
        <v/>
      </c>
      <c r="L649" s="0" t="str">
        <f aca="false">IF('THÁNG 10'!$C56="","",N('THÁNG 10'!$O56))</f>
        <v/>
      </c>
      <c r="M649" s="0" t="str">
        <f aca="false">IF('THÁNG 10'!$C56="","",N('THÁNG 10'!$P56))</f>
        <v/>
      </c>
      <c r="N649" s="0" t="str">
        <f aca="false">IF('THÁNG 10'!$C56="","",N('THÁNG 10'!$Q56))</f>
        <v/>
      </c>
      <c r="O649" s="0" t="str">
        <f aca="false">IF('THÁNG 10'!$C56="","",N('THÁNG 10'!$R56))</f>
        <v/>
      </c>
      <c r="P649" s="0" t="str">
        <f aca="false">IF(OR('THÁNG 10'!$C56="",'THÁNG 10'!$T56=""),"",'THÁNG 10'!$T56)</f>
        <v/>
      </c>
      <c r="Q649" s="0" t="str">
        <f aca="false">IF(OR('THÁNG 10'!$C56="",'THÁNG 10'!$U56=""),"",'THÁNG 10'!$U56)</f>
        <v/>
      </c>
      <c r="R649" s="0" t="str">
        <f aca="false">IF('THÁNG 10'!$C56="","",'THÁNG 10'!$W56&amp;"")</f>
        <v/>
      </c>
      <c r="S649" s="0" t="str">
        <f aca="false">IF('THÁNG 10'!$C56="","",'THÁNG 10'!$S56&amp;"")</f>
        <v/>
      </c>
      <c r="T649" s="0" t="str">
        <f aca="false">IF(N($O649)&gt;0,COUNTIF($O$3:$O649,"&gt;0"),"")</f>
        <v/>
      </c>
      <c r="U649" s="0" t="str">
        <f aca="false">IF(AND(N($J649)&gt;0,N($K649)&gt;0),COUNTIFS($J$3:$J649,"&gt;0",$K$3:$K649,"&gt;0"),"")</f>
        <v/>
      </c>
      <c r="V649" s="0" t="str">
        <f aca="false">IF(AND(N($J649)&gt;0,N($K649)=0),COUNTIFS($J$3:$J649,"&gt;0",$K$3:$K649,"&lt;=0"),"")</f>
        <v/>
      </c>
      <c r="W649" s="0" t="str">
        <f aca="false">IF($C649="","",IF(COUNTIF($C$3:$C649,$C649)&gt;1,"",MAX($W$2:W648)+1))</f>
        <v/>
      </c>
      <c r="X649" s="0" t="str">
        <f aca="false">IF($H649="","",IF(COUNTIF($H$3:$H649,$H649)&gt;1,"",MAX($X$2:X648)+1))</f>
        <v/>
      </c>
      <c r="Y649" s="0" t="str">
        <f aca="false">IF(AND(N($M649)&gt;0,N($O649)&lt;=0),COUNTIFS($M$3:$M649,"&gt;0",$O$3:$O649,"&lt;=0"),"")</f>
        <v/>
      </c>
      <c r="Z649" s="30" t="n">
        <f aca="false">IF(OR('THÁNG 10'!$C56="",'THÁNG 10'!$B56=""),0,'THÁNG 10'!$B56)</f>
        <v>0</v>
      </c>
    </row>
    <row r="650" customFormat="false" ht="15" hidden="false" customHeight="false" outlineLevel="0" collapsed="false">
      <c r="A650" s="0" t="n">
        <v>10</v>
      </c>
      <c r="B650" s="29" t="str">
        <f aca="false">IF(OR('THÁNG 10'!$C57="",'THÁNG 10'!$B57=""),"",'THÁNG 10'!$B57)</f>
        <v/>
      </c>
      <c r="C650" s="0" t="str">
        <f aca="false">IF('THÁNG 10'!$C57="","",'THÁNG 10'!$C57)</f>
        <v/>
      </c>
      <c r="D650" s="0" t="str">
        <f aca="false">IF('THÁNG 10'!$C57="","",'THÁNG 10'!$D57&amp;"")</f>
        <v/>
      </c>
      <c r="E650" s="0" t="str">
        <f aca="false">IF('THÁNG 10'!$C57="","",'THÁNG 10'!$E57&amp;"")</f>
        <v/>
      </c>
      <c r="F650" s="0" t="str">
        <f aca="false">IF('THÁNG 10'!$C57="","",'THÁNG 10'!$F57&amp;"")</f>
        <v/>
      </c>
      <c r="G650" s="0" t="str">
        <f aca="false">IF('THÁNG 10'!$C57="","",'THÁNG 10'!$G57&amp;"")</f>
        <v/>
      </c>
      <c r="H650" s="0" t="str">
        <f aca="false">IF('THÁNG 10'!$C57="","",'THÁNG 10'!$H57&amp;"")</f>
        <v/>
      </c>
      <c r="I650" s="0" t="str">
        <f aca="false">IF('THÁNG 10'!$C57="","",N('THÁNG 10'!$I57))</f>
        <v/>
      </c>
      <c r="J650" s="0" t="str">
        <f aca="false">IF('THÁNG 10'!$C57="","",N('THÁNG 10'!$L57))</f>
        <v/>
      </c>
      <c r="K650" s="0" t="str">
        <f aca="false">IF('THÁNG 10'!$C57="","",N('THÁNG 10'!$N57))</f>
        <v/>
      </c>
      <c r="L650" s="0" t="str">
        <f aca="false">IF('THÁNG 10'!$C57="","",N('THÁNG 10'!$O57))</f>
        <v/>
      </c>
      <c r="M650" s="0" t="str">
        <f aca="false">IF('THÁNG 10'!$C57="","",N('THÁNG 10'!$P57))</f>
        <v/>
      </c>
      <c r="N650" s="0" t="str">
        <f aca="false">IF('THÁNG 10'!$C57="","",N('THÁNG 10'!$Q57))</f>
        <v/>
      </c>
      <c r="O650" s="0" t="str">
        <f aca="false">IF('THÁNG 10'!$C57="","",N('THÁNG 10'!$R57))</f>
        <v/>
      </c>
      <c r="P650" s="0" t="str">
        <f aca="false">IF(OR('THÁNG 10'!$C57="",'THÁNG 10'!$T57=""),"",'THÁNG 10'!$T57)</f>
        <v/>
      </c>
      <c r="Q650" s="0" t="str">
        <f aca="false">IF(OR('THÁNG 10'!$C57="",'THÁNG 10'!$U57=""),"",'THÁNG 10'!$U57)</f>
        <v/>
      </c>
      <c r="R650" s="0" t="str">
        <f aca="false">IF('THÁNG 10'!$C57="","",'THÁNG 10'!$W57&amp;"")</f>
        <v/>
      </c>
      <c r="S650" s="0" t="str">
        <f aca="false">IF('THÁNG 10'!$C57="","",'THÁNG 10'!$S57&amp;"")</f>
        <v/>
      </c>
      <c r="T650" s="0" t="str">
        <f aca="false">IF(N($O650)&gt;0,COUNTIF($O$3:$O650,"&gt;0"),"")</f>
        <v/>
      </c>
      <c r="U650" s="0" t="str">
        <f aca="false">IF(AND(N($J650)&gt;0,N($K650)&gt;0),COUNTIFS($J$3:$J650,"&gt;0",$K$3:$K650,"&gt;0"),"")</f>
        <v/>
      </c>
      <c r="V650" s="0" t="str">
        <f aca="false">IF(AND(N($J650)&gt;0,N($K650)=0),COUNTIFS($J$3:$J650,"&gt;0",$K$3:$K650,"&lt;=0"),"")</f>
        <v/>
      </c>
      <c r="W650" s="0" t="str">
        <f aca="false">IF($C650="","",IF(COUNTIF($C$3:$C650,$C650)&gt;1,"",MAX($W$2:W649)+1))</f>
        <v/>
      </c>
      <c r="X650" s="0" t="str">
        <f aca="false">IF($H650="","",IF(COUNTIF($H$3:$H650,$H650)&gt;1,"",MAX($X$2:X649)+1))</f>
        <v/>
      </c>
      <c r="Y650" s="0" t="str">
        <f aca="false">IF(AND(N($M650)&gt;0,N($O650)&lt;=0),COUNTIFS($M$3:$M650,"&gt;0",$O$3:$O650,"&lt;=0"),"")</f>
        <v/>
      </c>
      <c r="Z650" s="30" t="n">
        <f aca="false">IF(OR('THÁNG 10'!$C57="",'THÁNG 10'!$B57=""),0,'THÁNG 10'!$B57)</f>
        <v>0</v>
      </c>
    </row>
    <row r="651" customFormat="false" ht="15" hidden="false" customHeight="false" outlineLevel="0" collapsed="false">
      <c r="A651" s="0" t="n">
        <v>10</v>
      </c>
      <c r="B651" s="29" t="str">
        <f aca="false">IF(OR('THÁNG 10'!$C58="",'THÁNG 10'!$B58=""),"",'THÁNG 10'!$B58)</f>
        <v/>
      </c>
      <c r="C651" s="0" t="str">
        <f aca="false">IF('THÁNG 10'!$C58="","",'THÁNG 10'!$C58)</f>
        <v/>
      </c>
      <c r="D651" s="0" t="str">
        <f aca="false">IF('THÁNG 10'!$C58="","",'THÁNG 10'!$D58&amp;"")</f>
        <v/>
      </c>
      <c r="E651" s="0" t="str">
        <f aca="false">IF('THÁNG 10'!$C58="","",'THÁNG 10'!$E58&amp;"")</f>
        <v/>
      </c>
      <c r="F651" s="0" t="str">
        <f aca="false">IF('THÁNG 10'!$C58="","",'THÁNG 10'!$F58&amp;"")</f>
        <v/>
      </c>
      <c r="G651" s="0" t="str">
        <f aca="false">IF('THÁNG 10'!$C58="","",'THÁNG 10'!$G58&amp;"")</f>
        <v/>
      </c>
      <c r="H651" s="0" t="str">
        <f aca="false">IF('THÁNG 10'!$C58="","",'THÁNG 10'!$H58&amp;"")</f>
        <v/>
      </c>
      <c r="I651" s="0" t="str">
        <f aca="false">IF('THÁNG 10'!$C58="","",N('THÁNG 10'!$I58))</f>
        <v/>
      </c>
      <c r="J651" s="0" t="str">
        <f aca="false">IF('THÁNG 10'!$C58="","",N('THÁNG 10'!$L58))</f>
        <v/>
      </c>
      <c r="K651" s="0" t="str">
        <f aca="false">IF('THÁNG 10'!$C58="","",N('THÁNG 10'!$N58))</f>
        <v/>
      </c>
      <c r="L651" s="0" t="str">
        <f aca="false">IF('THÁNG 10'!$C58="","",N('THÁNG 10'!$O58))</f>
        <v/>
      </c>
      <c r="M651" s="0" t="str">
        <f aca="false">IF('THÁNG 10'!$C58="","",N('THÁNG 10'!$P58))</f>
        <v/>
      </c>
      <c r="N651" s="0" t="str">
        <f aca="false">IF('THÁNG 10'!$C58="","",N('THÁNG 10'!$Q58))</f>
        <v/>
      </c>
      <c r="O651" s="0" t="str">
        <f aca="false">IF('THÁNG 10'!$C58="","",N('THÁNG 10'!$R58))</f>
        <v/>
      </c>
      <c r="P651" s="0" t="str">
        <f aca="false">IF(OR('THÁNG 10'!$C58="",'THÁNG 10'!$T58=""),"",'THÁNG 10'!$T58)</f>
        <v/>
      </c>
      <c r="Q651" s="0" t="str">
        <f aca="false">IF(OR('THÁNG 10'!$C58="",'THÁNG 10'!$U58=""),"",'THÁNG 10'!$U58)</f>
        <v/>
      </c>
      <c r="R651" s="0" t="str">
        <f aca="false">IF('THÁNG 10'!$C58="","",'THÁNG 10'!$W58&amp;"")</f>
        <v/>
      </c>
      <c r="S651" s="0" t="str">
        <f aca="false">IF('THÁNG 10'!$C58="","",'THÁNG 10'!$S58&amp;"")</f>
        <v/>
      </c>
      <c r="T651" s="0" t="str">
        <f aca="false">IF(N($O651)&gt;0,COUNTIF($O$3:$O651,"&gt;0"),"")</f>
        <v/>
      </c>
      <c r="U651" s="0" t="str">
        <f aca="false">IF(AND(N($J651)&gt;0,N($K651)&gt;0),COUNTIFS($J$3:$J651,"&gt;0",$K$3:$K651,"&gt;0"),"")</f>
        <v/>
      </c>
      <c r="V651" s="0" t="str">
        <f aca="false">IF(AND(N($J651)&gt;0,N($K651)=0),COUNTIFS($J$3:$J651,"&gt;0",$K$3:$K651,"&lt;=0"),"")</f>
        <v/>
      </c>
      <c r="W651" s="0" t="str">
        <f aca="false">IF($C651="","",IF(COUNTIF($C$3:$C651,$C651)&gt;1,"",MAX($W$2:W650)+1))</f>
        <v/>
      </c>
      <c r="X651" s="0" t="str">
        <f aca="false">IF($H651="","",IF(COUNTIF($H$3:$H651,$H651)&gt;1,"",MAX($X$2:X650)+1))</f>
        <v/>
      </c>
      <c r="Y651" s="0" t="str">
        <f aca="false">IF(AND(N($M651)&gt;0,N($O651)&lt;=0),COUNTIFS($M$3:$M651,"&gt;0",$O$3:$O651,"&lt;=0"),"")</f>
        <v/>
      </c>
      <c r="Z651" s="30" t="n">
        <f aca="false">IF(OR('THÁNG 10'!$C58="",'THÁNG 10'!$B58=""),0,'THÁNG 10'!$B58)</f>
        <v>0</v>
      </c>
    </row>
    <row r="652" customFormat="false" ht="15" hidden="false" customHeight="false" outlineLevel="0" collapsed="false">
      <c r="A652" s="0" t="n">
        <v>10</v>
      </c>
      <c r="B652" s="29" t="str">
        <f aca="false">IF(OR('THÁNG 10'!$C59="",'THÁNG 10'!$B59=""),"",'THÁNG 10'!$B59)</f>
        <v/>
      </c>
      <c r="C652" s="0" t="str">
        <f aca="false">IF('THÁNG 10'!$C59="","",'THÁNG 10'!$C59)</f>
        <v/>
      </c>
      <c r="D652" s="0" t="str">
        <f aca="false">IF('THÁNG 10'!$C59="","",'THÁNG 10'!$D59&amp;"")</f>
        <v/>
      </c>
      <c r="E652" s="0" t="str">
        <f aca="false">IF('THÁNG 10'!$C59="","",'THÁNG 10'!$E59&amp;"")</f>
        <v/>
      </c>
      <c r="F652" s="0" t="str">
        <f aca="false">IF('THÁNG 10'!$C59="","",'THÁNG 10'!$F59&amp;"")</f>
        <v/>
      </c>
      <c r="G652" s="0" t="str">
        <f aca="false">IF('THÁNG 10'!$C59="","",'THÁNG 10'!$G59&amp;"")</f>
        <v/>
      </c>
      <c r="H652" s="0" t="str">
        <f aca="false">IF('THÁNG 10'!$C59="","",'THÁNG 10'!$H59&amp;"")</f>
        <v/>
      </c>
      <c r="I652" s="0" t="str">
        <f aca="false">IF('THÁNG 10'!$C59="","",N('THÁNG 10'!$I59))</f>
        <v/>
      </c>
      <c r="J652" s="0" t="str">
        <f aca="false">IF('THÁNG 10'!$C59="","",N('THÁNG 10'!$L59))</f>
        <v/>
      </c>
      <c r="K652" s="0" t="str">
        <f aca="false">IF('THÁNG 10'!$C59="","",N('THÁNG 10'!$N59))</f>
        <v/>
      </c>
      <c r="L652" s="0" t="str">
        <f aca="false">IF('THÁNG 10'!$C59="","",N('THÁNG 10'!$O59))</f>
        <v/>
      </c>
      <c r="M652" s="0" t="str">
        <f aca="false">IF('THÁNG 10'!$C59="","",N('THÁNG 10'!$P59))</f>
        <v/>
      </c>
      <c r="N652" s="0" t="str">
        <f aca="false">IF('THÁNG 10'!$C59="","",N('THÁNG 10'!$Q59))</f>
        <v/>
      </c>
      <c r="O652" s="0" t="str">
        <f aca="false">IF('THÁNG 10'!$C59="","",N('THÁNG 10'!$R59))</f>
        <v/>
      </c>
      <c r="P652" s="0" t="str">
        <f aca="false">IF(OR('THÁNG 10'!$C59="",'THÁNG 10'!$T59=""),"",'THÁNG 10'!$T59)</f>
        <v/>
      </c>
      <c r="Q652" s="0" t="str">
        <f aca="false">IF(OR('THÁNG 10'!$C59="",'THÁNG 10'!$U59=""),"",'THÁNG 10'!$U59)</f>
        <v/>
      </c>
      <c r="R652" s="0" t="str">
        <f aca="false">IF('THÁNG 10'!$C59="","",'THÁNG 10'!$W59&amp;"")</f>
        <v/>
      </c>
      <c r="S652" s="0" t="str">
        <f aca="false">IF('THÁNG 10'!$C59="","",'THÁNG 10'!$S59&amp;"")</f>
        <v/>
      </c>
      <c r="T652" s="0" t="str">
        <f aca="false">IF(N($O652)&gt;0,COUNTIF($O$3:$O652,"&gt;0"),"")</f>
        <v/>
      </c>
      <c r="U652" s="0" t="str">
        <f aca="false">IF(AND(N($J652)&gt;0,N($K652)&gt;0),COUNTIFS($J$3:$J652,"&gt;0",$K$3:$K652,"&gt;0"),"")</f>
        <v/>
      </c>
      <c r="V652" s="0" t="str">
        <f aca="false">IF(AND(N($J652)&gt;0,N($K652)=0),COUNTIFS($J$3:$J652,"&gt;0",$K$3:$K652,"&lt;=0"),"")</f>
        <v/>
      </c>
      <c r="W652" s="0" t="str">
        <f aca="false">IF($C652="","",IF(COUNTIF($C$3:$C652,$C652)&gt;1,"",MAX($W$2:W651)+1))</f>
        <v/>
      </c>
      <c r="X652" s="0" t="str">
        <f aca="false">IF($H652="","",IF(COUNTIF($H$3:$H652,$H652)&gt;1,"",MAX($X$2:X651)+1))</f>
        <v/>
      </c>
      <c r="Y652" s="0" t="str">
        <f aca="false">IF(AND(N($M652)&gt;0,N($O652)&lt;=0),COUNTIFS($M$3:$M652,"&gt;0",$O$3:$O652,"&lt;=0"),"")</f>
        <v/>
      </c>
      <c r="Z652" s="30" t="n">
        <f aca="false">IF(OR('THÁNG 10'!$C59="",'THÁNG 10'!$B59=""),0,'THÁNG 10'!$B59)</f>
        <v>0</v>
      </c>
    </row>
    <row r="653" customFormat="false" ht="15" hidden="false" customHeight="false" outlineLevel="0" collapsed="false">
      <c r="A653" s="0" t="n">
        <v>10</v>
      </c>
      <c r="B653" s="29" t="str">
        <f aca="false">IF(OR('THÁNG 10'!$C60="",'THÁNG 10'!$B60=""),"",'THÁNG 10'!$B60)</f>
        <v/>
      </c>
      <c r="C653" s="0" t="str">
        <f aca="false">IF('THÁNG 10'!$C60="","",'THÁNG 10'!$C60)</f>
        <v/>
      </c>
      <c r="D653" s="0" t="str">
        <f aca="false">IF('THÁNG 10'!$C60="","",'THÁNG 10'!$D60&amp;"")</f>
        <v/>
      </c>
      <c r="E653" s="0" t="str">
        <f aca="false">IF('THÁNG 10'!$C60="","",'THÁNG 10'!$E60&amp;"")</f>
        <v/>
      </c>
      <c r="F653" s="0" t="str">
        <f aca="false">IF('THÁNG 10'!$C60="","",'THÁNG 10'!$F60&amp;"")</f>
        <v/>
      </c>
      <c r="G653" s="0" t="str">
        <f aca="false">IF('THÁNG 10'!$C60="","",'THÁNG 10'!$G60&amp;"")</f>
        <v/>
      </c>
      <c r="H653" s="0" t="str">
        <f aca="false">IF('THÁNG 10'!$C60="","",'THÁNG 10'!$H60&amp;"")</f>
        <v/>
      </c>
      <c r="I653" s="0" t="str">
        <f aca="false">IF('THÁNG 10'!$C60="","",N('THÁNG 10'!$I60))</f>
        <v/>
      </c>
      <c r="J653" s="0" t="str">
        <f aca="false">IF('THÁNG 10'!$C60="","",N('THÁNG 10'!$L60))</f>
        <v/>
      </c>
      <c r="K653" s="0" t="str">
        <f aca="false">IF('THÁNG 10'!$C60="","",N('THÁNG 10'!$N60))</f>
        <v/>
      </c>
      <c r="L653" s="0" t="str">
        <f aca="false">IF('THÁNG 10'!$C60="","",N('THÁNG 10'!$O60))</f>
        <v/>
      </c>
      <c r="M653" s="0" t="str">
        <f aca="false">IF('THÁNG 10'!$C60="","",N('THÁNG 10'!$P60))</f>
        <v/>
      </c>
      <c r="N653" s="0" t="str">
        <f aca="false">IF('THÁNG 10'!$C60="","",N('THÁNG 10'!$Q60))</f>
        <v/>
      </c>
      <c r="O653" s="0" t="str">
        <f aca="false">IF('THÁNG 10'!$C60="","",N('THÁNG 10'!$R60))</f>
        <v/>
      </c>
      <c r="P653" s="0" t="str">
        <f aca="false">IF(OR('THÁNG 10'!$C60="",'THÁNG 10'!$T60=""),"",'THÁNG 10'!$T60)</f>
        <v/>
      </c>
      <c r="Q653" s="0" t="str">
        <f aca="false">IF(OR('THÁNG 10'!$C60="",'THÁNG 10'!$U60=""),"",'THÁNG 10'!$U60)</f>
        <v/>
      </c>
      <c r="R653" s="0" t="str">
        <f aca="false">IF('THÁNG 10'!$C60="","",'THÁNG 10'!$W60&amp;"")</f>
        <v/>
      </c>
      <c r="S653" s="0" t="str">
        <f aca="false">IF('THÁNG 10'!$C60="","",'THÁNG 10'!$S60&amp;"")</f>
        <v/>
      </c>
      <c r="T653" s="0" t="str">
        <f aca="false">IF(N($O653)&gt;0,COUNTIF($O$3:$O653,"&gt;0"),"")</f>
        <v/>
      </c>
      <c r="U653" s="0" t="str">
        <f aca="false">IF(AND(N($J653)&gt;0,N($K653)&gt;0),COUNTIFS($J$3:$J653,"&gt;0",$K$3:$K653,"&gt;0"),"")</f>
        <v/>
      </c>
      <c r="V653" s="0" t="str">
        <f aca="false">IF(AND(N($J653)&gt;0,N($K653)=0),COUNTIFS($J$3:$J653,"&gt;0",$K$3:$K653,"&lt;=0"),"")</f>
        <v/>
      </c>
      <c r="W653" s="0" t="str">
        <f aca="false">IF($C653="","",IF(COUNTIF($C$3:$C653,$C653)&gt;1,"",MAX($W$2:W652)+1))</f>
        <v/>
      </c>
      <c r="X653" s="0" t="str">
        <f aca="false">IF($H653="","",IF(COUNTIF($H$3:$H653,$H653)&gt;1,"",MAX($X$2:X652)+1))</f>
        <v/>
      </c>
      <c r="Y653" s="0" t="str">
        <f aca="false">IF(AND(N($M653)&gt;0,N($O653)&lt;=0),COUNTIFS($M$3:$M653,"&gt;0",$O$3:$O653,"&lt;=0"),"")</f>
        <v/>
      </c>
      <c r="Z653" s="30" t="n">
        <f aca="false">IF(OR('THÁNG 10'!$C60="",'THÁNG 10'!$B60=""),0,'THÁNG 10'!$B60)</f>
        <v>0</v>
      </c>
    </row>
    <row r="654" customFormat="false" ht="15" hidden="false" customHeight="false" outlineLevel="0" collapsed="false">
      <c r="A654" s="0" t="n">
        <v>10</v>
      </c>
      <c r="B654" s="29" t="str">
        <f aca="false">IF(OR('THÁNG 10'!$C61="",'THÁNG 10'!$B61=""),"",'THÁNG 10'!$B61)</f>
        <v/>
      </c>
      <c r="C654" s="0" t="str">
        <f aca="false">IF('THÁNG 10'!$C61="","",'THÁNG 10'!$C61)</f>
        <v/>
      </c>
      <c r="D654" s="0" t="str">
        <f aca="false">IF('THÁNG 10'!$C61="","",'THÁNG 10'!$D61&amp;"")</f>
        <v/>
      </c>
      <c r="E654" s="0" t="str">
        <f aca="false">IF('THÁNG 10'!$C61="","",'THÁNG 10'!$E61&amp;"")</f>
        <v/>
      </c>
      <c r="F654" s="0" t="str">
        <f aca="false">IF('THÁNG 10'!$C61="","",'THÁNG 10'!$F61&amp;"")</f>
        <v/>
      </c>
      <c r="G654" s="0" t="str">
        <f aca="false">IF('THÁNG 10'!$C61="","",'THÁNG 10'!$G61&amp;"")</f>
        <v/>
      </c>
      <c r="H654" s="0" t="str">
        <f aca="false">IF('THÁNG 10'!$C61="","",'THÁNG 10'!$H61&amp;"")</f>
        <v/>
      </c>
      <c r="I654" s="0" t="str">
        <f aca="false">IF('THÁNG 10'!$C61="","",N('THÁNG 10'!$I61))</f>
        <v/>
      </c>
      <c r="J654" s="0" t="str">
        <f aca="false">IF('THÁNG 10'!$C61="","",N('THÁNG 10'!$L61))</f>
        <v/>
      </c>
      <c r="K654" s="0" t="str">
        <f aca="false">IF('THÁNG 10'!$C61="","",N('THÁNG 10'!$N61))</f>
        <v/>
      </c>
      <c r="L654" s="0" t="str">
        <f aca="false">IF('THÁNG 10'!$C61="","",N('THÁNG 10'!$O61))</f>
        <v/>
      </c>
      <c r="M654" s="0" t="str">
        <f aca="false">IF('THÁNG 10'!$C61="","",N('THÁNG 10'!$P61))</f>
        <v/>
      </c>
      <c r="N654" s="0" t="str">
        <f aca="false">IF('THÁNG 10'!$C61="","",N('THÁNG 10'!$Q61))</f>
        <v/>
      </c>
      <c r="O654" s="0" t="str">
        <f aca="false">IF('THÁNG 10'!$C61="","",N('THÁNG 10'!$R61))</f>
        <v/>
      </c>
      <c r="P654" s="0" t="str">
        <f aca="false">IF(OR('THÁNG 10'!$C61="",'THÁNG 10'!$T61=""),"",'THÁNG 10'!$T61)</f>
        <v/>
      </c>
      <c r="Q654" s="0" t="str">
        <f aca="false">IF(OR('THÁNG 10'!$C61="",'THÁNG 10'!$U61=""),"",'THÁNG 10'!$U61)</f>
        <v/>
      </c>
      <c r="R654" s="0" t="str">
        <f aca="false">IF('THÁNG 10'!$C61="","",'THÁNG 10'!$W61&amp;"")</f>
        <v/>
      </c>
      <c r="S654" s="0" t="str">
        <f aca="false">IF('THÁNG 10'!$C61="","",'THÁNG 10'!$S61&amp;"")</f>
        <v/>
      </c>
      <c r="T654" s="0" t="str">
        <f aca="false">IF(N($O654)&gt;0,COUNTIF($O$3:$O654,"&gt;0"),"")</f>
        <v/>
      </c>
      <c r="U654" s="0" t="str">
        <f aca="false">IF(AND(N($J654)&gt;0,N($K654)&gt;0),COUNTIFS($J$3:$J654,"&gt;0",$K$3:$K654,"&gt;0"),"")</f>
        <v/>
      </c>
      <c r="V654" s="0" t="str">
        <f aca="false">IF(AND(N($J654)&gt;0,N($K654)=0),COUNTIFS($J$3:$J654,"&gt;0",$K$3:$K654,"&lt;=0"),"")</f>
        <v/>
      </c>
      <c r="W654" s="0" t="str">
        <f aca="false">IF($C654="","",IF(COUNTIF($C$3:$C654,$C654)&gt;1,"",MAX($W$2:W653)+1))</f>
        <v/>
      </c>
      <c r="X654" s="0" t="str">
        <f aca="false">IF($H654="","",IF(COUNTIF($H$3:$H654,$H654)&gt;1,"",MAX($X$2:X653)+1))</f>
        <v/>
      </c>
      <c r="Y654" s="0" t="str">
        <f aca="false">IF(AND(N($M654)&gt;0,N($O654)&lt;=0),COUNTIFS($M$3:$M654,"&gt;0",$O$3:$O654,"&lt;=0"),"")</f>
        <v/>
      </c>
      <c r="Z654" s="30" t="n">
        <f aca="false">IF(OR('THÁNG 10'!$C61="",'THÁNG 10'!$B61=""),0,'THÁNG 10'!$B61)</f>
        <v>0</v>
      </c>
    </row>
    <row r="655" customFormat="false" ht="15" hidden="false" customHeight="false" outlineLevel="0" collapsed="false">
      <c r="A655" s="0" t="n">
        <v>10</v>
      </c>
      <c r="B655" s="29" t="str">
        <f aca="false">IF(OR('THÁNG 10'!$C62="",'THÁNG 10'!$B62=""),"",'THÁNG 10'!$B62)</f>
        <v/>
      </c>
      <c r="C655" s="0" t="str">
        <f aca="false">IF('THÁNG 10'!$C62="","",'THÁNG 10'!$C62)</f>
        <v/>
      </c>
      <c r="D655" s="0" t="str">
        <f aca="false">IF('THÁNG 10'!$C62="","",'THÁNG 10'!$D62&amp;"")</f>
        <v/>
      </c>
      <c r="E655" s="0" t="str">
        <f aca="false">IF('THÁNG 10'!$C62="","",'THÁNG 10'!$E62&amp;"")</f>
        <v/>
      </c>
      <c r="F655" s="0" t="str">
        <f aca="false">IF('THÁNG 10'!$C62="","",'THÁNG 10'!$F62&amp;"")</f>
        <v/>
      </c>
      <c r="G655" s="0" t="str">
        <f aca="false">IF('THÁNG 10'!$C62="","",'THÁNG 10'!$G62&amp;"")</f>
        <v/>
      </c>
      <c r="H655" s="0" t="str">
        <f aca="false">IF('THÁNG 10'!$C62="","",'THÁNG 10'!$H62&amp;"")</f>
        <v/>
      </c>
      <c r="I655" s="0" t="str">
        <f aca="false">IF('THÁNG 10'!$C62="","",N('THÁNG 10'!$I62))</f>
        <v/>
      </c>
      <c r="J655" s="0" t="str">
        <f aca="false">IF('THÁNG 10'!$C62="","",N('THÁNG 10'!$L62))</f>
        <v/>
      </c>
      <c r="K655" s="0" t="str">
        <f aca="false">IF('THÁNG 10'!$C62="","",N('THÁNG 10'!$N62))</f>
        <v/>
      </c>
      <c r="L655" s="0" t="str">
        <f aca="false">IF('THÁNG 10'!$C62="","",N('THÁNG 10'!$O62))</f>
        <v/>
      </c>
      <c r="M655" s="0" t="str">
        <f aca="false">IF('THÁNG 10'!$C62="","",N('THÁNG 10'!$P62))</f>
        <v/>
      </c>
      <c r="N655" s="0" t="str">
        <f aca="false">IF('THÁNG 10'!$C62="","",N('THÁNG 10'!$Q62))</f>
        <v/>
      </c>
      <c r="O655" s="0" t="str">
        <f aca="false">IF('THÁNG 10'!$C62="","",N('THÁNG 10'!$R62))</f>
        <v/>
      </c>
      <c r="P655" s="0" t="str">
        <f aca="false">IF(OR('THÁNG 10'!$C62="",'THÁNG 10'!$T62=""),"",'THÁNG 10'!$T62)</f>
        <v/>
      </c>
      <c r="Q655" s="0" t="str">
        <f aca="false">IF(OR('THÁNG 10'!$C62="",'THÁNG 10'!$U62=""),"",'THÁNG 10'!$U62)</f>
        <v/>
      </c>
      <c r="R655" s="0" t="str">
        <f aca="false">IF('THÁNG 10'!$C62="","",'THÁNG 10'!$W62&amp;"")</f>
        <v/>
      </c>
      <c r="S655" s="0" t="str">
        <f aca="false">IF('THÁNG 10'!$C62="","",'THÁNG 10'!$S62&amp;"")</f>
        <v/>
      </c>
      <c r="T655" s="0" t="str">
        <f aca="false">IF(N($O655)&gt;0,COUNTIF($O$3:$O655,"&gt;0"),"")</f>
        <v/>
      </c>
      <c r="U655" s="0" t="str">
        <f aca="false">IF(AND(N($J655)&gt;0,N($K655)&gt;0),COUNTIFS($J$3:$J655,"&gt;0",$K$3:$K655,"&gt;0"),"")</f>
        <v/>
      </c>
      <c r="V655" s="0" t="str">
        <f aca="false">IF(AND(N($J655)&gt;0,N($K655)=0),COUNTIFS($J$3:$J655,"&gt;0",$K$3:$K655,"&lt;=0"),"")</f>
        <v/>
      </c>
      <c r="W655" s="0" t="str">
        <f aca="false">IF($C655="","",IF(COUNTIF($C$3:$C655,$C655)&gt;1,"",MAX($W$2:W654)+1))</f>
        <v/>
      </c>
      <c r="X655" s="0" t="str">
        <f aca="false">IF($H655="","",IF(COUNTIF($H$3:$H655,$H655)&gt;1,"",MAX($X$2:X654)+1))</f>
        <v/>
      </c>
      <c r="Y655" s="0" t="str">
        <f aca="false">IF(AND(N($M655)&gt;0,N($O655)&lt;=0),COUNTIFS($M$3:$M655,"&gt;0",$O$3:$O655,"&lt;=0"),"")</f>
        <v/>
      </c>
      <c r="Z655" s="30" t="n">
        <f aca="false">IF(OR('THÁNG 10'!$C62="",'THÁNG 10'!$B62=""),0,'THÁNG 10'!$B62)</f>
        <v>0</v>
      </c>
    </row>
    <row r="656" customFormat="false" ht="15" hidden="false" customHeight="false" outlineLevel="0" collapsed="false">
      <c r="A656" s="0" t="n">
        <v>10</v>
      </c>
      <c r="B656" s="29" t="str">
        <f aca="false">IF(OR('THÁNG 10'!$C63="",'THÁNG 10'!$B63=""),"",'THÁNG 10'!$B63)</f>
        <v/>
      </c>
      <c r="C656" s="0" t="str">
        <f aca="false">IF('THÁNG 10'!$C63="","",'THÁNG 10'!$C63)</f>
        <v/>
      </c>
      <c r="D656" s="0" t="str">
        <f aca="false">IF('THÁNG 10'!$C63="","",'THÁNG 10'!$D63&amp;"")</f>
        <v/>
      </c>
      <c r="E656" s="0" t="str">
        <f aca="false">IF('THÁNG 10'!$C63="","",'THÁNG 10'!$E63&amp;"")</f>
        <v/>
      </c>
      <c r="F656" s="0" t="str">
        <f aca="false">IF('THÁNG 10'!$C63="","",'THÁNG 10'!$F63&amp;"")</f>
        <v/>
      </c>
      <c r="G656" s="0" t="str">
        <f aca="false">IF('THÁNG 10'!$C63="","",'THÁNG 10'!$G63&amp;"")</f>
        <v/>
      </c>
      <c r="H656" s="0" t="str">
        <f aca="false">IF('THÁNG 10'!$C63="","",'THÁNG 10'!$H63&amp;"")</f>
        <v/>
      </c>
      <c r="I656" s="0" t="str">
        <f aca="false">IF('THÁNG 10'!$C63="","",N('THÁNG 10'!$I63))</f>
        <v/>
      </c>
      <c r="J656" s="0" t="str">
        <f aca="false">IF('THÁNG 10'!$C63="","",N('THÁNG 10'!$L63))</f>
        <v/>
      </c>
      <c r="K656" s="0" t="str">
        <f aca="false">IF('THÁNG 10'!$C63="","",N('THÁNG 10'!$N63))</f>
        <v/>
      </c>
      <c r="L656" s="0" t="str">
        <f aca="false">IF('THÁNG 10'!$C63="","",N('THÁNG 10'!$O63))</f>
        <v/>
      </c>
      <c r="M656" s="0" t="str">
        <f aca="false">IF('THÁNG 10'!$C63="","",N('THÁNG 10'!$P63))</f>
        <v/>
      </c>
      <c r="N656" s="0" t="str">
        <f aca="false">IF('THÁNG 10'!$C63="","",N('THÁNG 10'!$Q63))</f>
        <v/>
      </c>
      <c r="O656" s="0" t="str">
        <f aca="false">IF('THÁNG 10'!$C63="","",N('THÁNG 10'!$R63))</f>
        <v/>
      </c>
      <c r="P656" s="0" t="str">
        <f aca="false">IF(OR('THÁNG 10'!$C63="",'THÁNG 10'!$T63=""),"",'THÁNG 10'!$T63)</f>
        <v/>
      </c>
      <c r="Q656" s="0" t="str">
        <f aca="false">IF(OR('THÁNG 10'!$C63="",'THÁNG 10'!$U63=""),"",'THÁNG 10'!$U63)</f>
        <v/>
      </c>
      <c r="R656" s="0" t="str">
        <f aca="false">IF('THÁNG 10'!$C63="","",'THÁNG 10'!$W63&amp;"")</f>
        <v/>
      </c>
      <c r="S656" s="0" t="str">
        <f aca="false">IF('THÁNG 10'!$C63="","",'THÁNG 10'!$S63&amp;"")</f>
        <v/>
      </c>
      <c r="T656" s="0" t="str">
        <f aca="false">IF(N($O656)&gt;0,COUNTIF($O$3:$O656,"&gt;0"),"")</f>
        <v/>
      </c>
      <c r="U656" s="0" t="str">
        <f aca="false">IF(AND(N($J656)&gt;0,N($K656)&gt;0),COUNTIFS($J$3:$J656,"&gt;0",$K$3:$K656,"&gt;0"),"")</f>
        <v/>
      </c>
      <c r="V656" s="0" t="str">
        <f aca="false">IF(AND(N($J656)&gt;0,N($K656)=0),COUNTIFS($J$3:$J656,"&gt;0",$K$3:$K656,"&lt;=0"),"")</f>
        <v/>
      </c>
      <c r="W656" s="0" t="str">
        <f aca="false">IF($C656="","",IF(COUNTIF($C$3:$C656,$C656)&gt;1,"",MAX($W$2:W655)+1))</f>
        <v/>
      </c>
      <c r="X656" s="0" t="str">
        <f aca="false">IF($H656="","",IF(COUNTIF($H$3:$H656,$H656)&gt;1,"",MAX($X$2:X655)+1))</f>
        <v/>
      </c>
      <c r="Y656" s="0" t="str">
        <f aca="false">IF(AND(N($M656)&gt;0,N($O656)&lt;=0),COUNTIFS($M$3:$M656,"&gt;0",$O$3:$O656,"&lt;=0"),"")</f>
        <v/>
      </c>
      <c r="Z656" s="30" t="n">
        <f aca="false">IF(OR('THÁNG 10'!$C63="",'THÁNG 10'!$B63=""),0,'THÁNG 10'!$B63)</f>
        <v>0</v>
      </c>
    </row>
    <row r="657" customFormat="false" ht="15" hidden="false" customHeight="false" outlineLevel="0" collapsed="false">
      <c r="A657" s="0" t="n">
        <v>10</v>
      </c>
      <c r="B657" s="29" t="str">
        <f aca="false">IF(OR('THÁNG 10'!$C64="",'THÁNG 10'!$B64=""),"",'THÁNG 10'!$B64)</f>
        <v/>
      </c>
      <c r="C657" s="0" t="str">
        <f aca="false">IF('THÁNG 10'!$C64="","",'THÁNG 10'!$C64)</f>
        <v/>
      </c>
      <c r="D657" s="0" t="str">
        <f aca="false">IF('THÁNG 10'!$C64="","",'THÁNG 10'!$D64&amp;"")</f>
        <v/>
      </c>
      <c r="E657" s="0" t="str">
        <f aca="false">IF('THÁNG 10'!$C64="","",'THÁNG 10'!$E64&amp;"")</f>
        <v/>
      </c>
      <c r="F657" s="0" t="str">
        <f aca="false">IF('THÁNG 10'!$C64="","",'THÁNG 10'!$F64&amp;"")</f>
        <v/>
      </c>
      <c r="G657" s="0" t="str">
        <f aca="false">IF('THÁNG 10'!$C64="","",'THÁNG 10'!$G64&amp;"")</f>
        <v/>
      </c>
      <c r="H657" s="0" t="str">
        <f aca="false">IF('THÁNG 10'!$C64="","",'THÁNG 10'!$H64&amp;"")</f>
        <v/>
      </c>
      <c r="I657" s="0" t="str">
        <f aca="false">IF('THÁNG 10'!$C64="","",N('THÁNG 10'!$I64))</f>
        <v/>
      </c>
      <c r="J657" s="0" t="str">
        <f aca="false">IF('THÁNG 10'!$C64="","",N('THÁNG 10'!$L64))</f>
        <v/>
      </c>
      <c r="K657" s="0" t="str">
        <f aca="false">IF('THÁNG 10'!$C64="","",N('THÁNG 10'!$N64))</f>
        <v/>
      </c>
      <c r="L657" s="0" t="str">
        <f aca="false">IF('THÁNG 10'!$C64="","",N('THÁNG 10'!$O64))</f>
        <v/>
      </c>
      <c r="M657" s="0" t="str">
        <f aca="false">IF('THÁNG 10'!$C64="","",N('THÁNG 10'!$P64))</f>
        <v/>
      </c>
      <c r="N657" s="0" t="str">
        <f aca="false">IF('THÁNG 10'!$C64="","",N('THÁNG 10'!$Q64))</f>
        <v/>
      </c>
      <c r="O657" s="0" t="str">
        <f aca="false">IF('THÁNG 10'!$C64="","",N('THÁNG 10'!$R64))</f>
        <v/>
      </c>
      <c r="P657" s="0" t="str">
        <f aca="false">IF(OR('THÁNG 10'!$C64="",'THÁNG 10'!$T64=""),"",'THÁNG 10'!$T64)</f>
        <v/>
      </c>
      <c r="Q657" s="0" t="str">
        <f aca="false">IF(OR('THÁNG 10'!$C64="",'THÁNG 10'!$U64=""),"",'THÁNG 10'!$U64)</f>
        <v/>
      </c>
      <c r="R657" s="0" t="str">
        <f aca="false">IF('THÁNG 10'!$C64="","",'THÁNG 10'!$W64&amp;"")</f>
        <v/>
      </c>
      <c r="S657" s="0" t="str">
        <f aca="false">IF('THÁNG 10'!$C64="","",'THÁNG 10'!$S64&amp;"")</f>
        <v/>
      </c>
      <c r="T657" s="0" t="str">
        <f aca="false">IF(N($O657)&gt;0,COUNTIF($O$3:$O657,"&gt;0"),"")</f>
        <v/>
      </c>
      <c r="U657" s="0" t="str">
        <f aca="false">IF(AND(N($J657)&gt;0,N($K657)&gt;0),COUNTIFS($J$3:$J657,"&gt;0",$K$3:$K657,"&gt;0"),"")</f>
        <v/>
      </c>
      <c r="V657" s="0" t="str">
        <f aca="false">IF(AND(N($J657)&gt;0,N($K657)=0),COUNTIFS($J$3:$J657,"&gt;0",$K$3:$K657,"&lt;=0"),"")</f>
        <v/>
      </c>
      <c r="W657" s="0" t="str">
        <f aca="false">IF($C657="","",IF(COUNTIF($C$3:$C657,$C657)&gt;1,"",MAX($W$2:W656)+1))</f>
        <v/>
      </c>
      <c r="X657" s="0" t="str">
        <f aca="false">IF($H657="","",IF(COUNTIF($H$3:$H657,$H657)&gt;1,"",MAX($X$2:X656)+1))</f>
        <v/>
      </c>
      <c r="Y657" s="0" t="str">
        <f aca="false">IF(AND(N($M657)&gt;0,N($O657)&lt;=0),COUNTIFS($M$3:$M657,"&gt;0",$O$3:$O657,"&lt;=0"),"")</f>
        <v/>
      </c>
      <c r="Z657" s="30" t="n">
        <f aca="false">IF(OR('THÁNG 10'!$C64="",'THÁNG 10'!$B64=""),0,'THÁNG 10'!$B64)</f>
        <v>0</v>
      </c>
    </row>
    <row r="658" customFormat="false" ht="15" hidden="false" customHeight="false" outlineLevel="0" collapsed="false">
      <c r="A658" s="0" t="n">
        <v>10</v>
      </c>
      <c r="B658" s="29" t="str">
        <f aca="false">IF(OR('THÁNG 10'!$C65="",'THÁNG 10'!$B65=""),"",'THÁNG 10'!$B65)</f>
        <v/>
      </c>
      <c r="C658" s="0" t="str">
        <f aca="false">IF('THÁNG 10'!$C65="","",'THÁNG 10'!$C65)</f>
        <v/>
      </c>
      <c r="D658" s="0" t="str">
        <f aca="false">IF('THÁNG 10'!$C65="","",'THÁNG 10'!$D65&amp;"")</f>
        <v/>
      </c>
      <c r="E658" s="0" t="str">
        <f aca="false">IF('THÁNG 10'!$C65="","",'THÁNG 10'!$E65&amp;"")</f>
        <v/>
      </c>
      <c r="F658" s="0" t="str">
        <f aca="false">IF('THÁNG 10'!$C65="","",'THÁNG 10'!$F65&amp;"")</f>
        <v/>
      </c>
      <c r="G658" s="0" t="str">
        <f aca="false">IF('THÁNG 10'!$C65="","",'THÁNG 10'!$G65&amp;"")</f>
        <v/>
      </c>
      <c r="H658" s="0" t="str">
        <f aca="false">IF('THÁNG 10'!$C65="","",'THÁNG 10'!$H65&amp;"")</f>
        <v/>
      </c>
      <c r="I658" s="0" t="str">
        <f aca="false">IF('THÁNG 10'!$C65="","",N('THÁNG 10'!$I65))</f>
        <v/>
      </c>
      <c r="J658" s="0" t="str">
        <f aca="false">IF('THÁNG 10'!$C65="","",N('THÁNG 10'!$L65))</f>
        <v/>
      </c>
      <c r="K658" s="0" t="str">
        <f aca="false">IF('THÁNG 10'!$C65="","",N('THÁNG 10'!$N65))</f>
        <v/>
      </c>
      <c r="L658" s="0" t="str">
        <f aca="false">IF('THÁNG 10'!$C65="","",N('THÁNG 10'!$O65))</f>
        <v/>
      </c>
      <c r="M658" s="0" t="str">
        <f aca="false">IF('THÁNG 10'!$C65="","",N('THÁNG 10'!$P65))</f>
        <v/>
      </c>
      <c r="N658" s="0" t="str">
        <f aca="false">IF('THÁNG 10'!$C65="","",N('THÁNG 10'!$Q65))</f>
        <v/>
      </c>
      <c r="O658" s="0" t="str">
        <f aca="false">IF('THÁNG 10'!$C65="","",N('THÁNG 10'!$R65))</f>
        <v/>
      </c>
      <c r="P658" s="0" t="str">
        <f aca="false">IF(OR('THÁNG 10'!$C65="",'THÁNG 10'!$T65=""),"",'THÁNG 10'!$T65)</f>
        <v/>
      </c>
      <c r="Q658" s="0" t="str">
        <f aca="false">IF(OR('THÁNG 10'!$C65="",'THÁNG 10'!$U65=""),"",'THÁNG 10'!$U65)</f>
        <v/>
      </c>
      <c r="R658" s="0" t="str">
        <f aca="false">IF('THÁNG 10'!$C65="","",'THÁNG 10'!$W65&amp;"")</f>
        <v/>
      </c>
      <c r="S658" s="0" t="str">
        <f aca="false">IF('THÁNG 10'!$C65="","",'THÁNG 10'!$S65&amp;"")</f>
        <v/>
      </c>
      <c r="T658" s="0" t="str">
        <f aca="false">IF(N($O658)&gt;0,COUNTIF($O$3:$O658,"&gt;0"),"")</f>
        <v/>
      </c>
      <c r="U658" s="0" t="str">
        <f aca="false">IF(AND(N($J658)&gt;0,N($K658)&gt;0),COUNTIFS($J$3:$J658,"&gt;0",$K$3:$K658,"&gt;0"),"")</f>
        <v/>
      </c>
      <c r="V658" s="0" t="str">
        <f aca="false">IF(AND(N($J658)&gt;0,N($K658)=0),COUNTIFS($J$3:$J658,"&gt;0",$K$3:$K658,"&lt;=0"),"")</f>
        <v/>
      </c>
      <c r="W658" s="0" t="str">
        <f aca="false">IF($C658="","",IF(COUNTIF($C$3:$C658,$C658)&gt;1,"",MAX($W$2:W657)+1))</f>
        <v/>
      </c>
      <c r="X658" s="0" t="str">
        <f aca="false">IF($H658="","",IF(COUNTIF($H$3:$H658,$H658)&gt;1,"",MAX($X$2:X657)+1))</f>
        <v/>
      </c>
      <c r="Y658" s="0" t="str">
        <f aca="false">IF(AND(N($M658)&gt;0,N($O658)&lt;=0),COUNTIFS($M$3:$M658,"&gt;0",$O$3:$O658,"&lt;=0"),"")</f>
        <v/>
      </c>
      <c r="Z658" s="30" t="n">
        <f aca="false">IF(OR('THÁNG 10'!$C65="",'THÁNG 10'!$B65=""),0,'THÁNG 10'!$B65)</f>
        <v>0</v>
      </c>
    </row>
    <row r="659" customFormat="false" ht="15" hidden="false" customHeight="false" outlineLevel="0" collapsed="false">
      <c r="A659" s="0" t="n">
        <v>10</v>
      </c>
      <c r="B659" s="29" t="str">
        <f aca="false">IF(OR('THÁNG 10'!$C66="",'THÁNG 10'!$B66=""),"",'THÁNG 10'!$B66)</f>
        <v/>
      </c>
      <c r="C659" s="0" t="str">
        <f aca="false">IF('THÁNG 10'!$C66="","",'THÁNG 10'!$C66)</f>
        <v/>
      </c>
      <c r="D659" s="0" t="str">
        <f aca="false">IF('THÁNG 10'!$C66="","",'THÁNG 10'!$D66&amp;"")</f>
        <v/>
      </c>
      <c r="E659" s="0" t="str">
        <f aca="false">IF('THÁNG 10'!$C66="","",'THÁNG 10'!$E66&amp;"")</f>
        <v/>
      </c>
      <c r="F659" s="0" t="str">
        <f aca="false">IF('THÁNG 10'!$C66="","",'THÁNG 10'!$F66&amp;"")</f>
        <v/>
      </c>
      <c r="G659" s="0" t="str">
        <f aca="false">IF('THÁNG 10'!$C66="","",'THÁNG 10'!$G66&amp;"")</f>
        <v/>
      </c>
      <c r="H659" s="0" t="str">
        <f aca="false">IF('THÁNG 10'!$C66="","",'THÁNG 10'!$H66&amp;"")</f>
        <v/>
      </c>
      <c r="I659" s="0" t="str">
        <f aca="false">IF('THÁNG 10'!$C66="","",N('THÁNG 10'!$I66))</f>
        <v/>
      </c>
      <c r="J659" s="0" t="str">
        <f aca="false">IF('THÁNG 10'!$C66="","",N('THÁNG 10'!$L66))</f>
        <v/>
      </c>
      <c r="K659" s="0" t="str">
        <f aca="false">IF('THÁNG 10'!$C66="","",N('THÁNG 10'!$N66))</f>
        <v/>
      </c>
      <c r="L659" s="0" t="str">
        <f aca="false">IF('THÁNG 10'!$C66="","",N('THÁNG 10'!$O66))</f>
        <v/>
      </c>
      <c r="M659" s="0" t="str">
        <f aca="false">IF('THÁNG 10'!$C66="","",N('THÁNG 10'!$P66))</f>
        <v/>
      </c>
      <c r="N659" s="0" t="str">
        <f aca="false">IF('THÁNG 10'!$C66="","",N('THÁNG 10'!$Q66))</f>
        <v/>
      </c>
      <c r="O659" s="0" t="str">
        <f aca="false">IF('THÁNG 10'!$C66="","",N('THÁNG 10'!$R66))</f>
        <v/>
      </c>
      <c r="P659" s="0" t="str">
        <f aca="false">IF(OR('THÁNG 10'!$C66="",'THÁNG 10'!$T66=""),"",'THÁNG 10'!$T66)</f>
        <v/>
      </c>
      <c r="Q659" s="0" t="str">
        <f aca="false">IF(OR('THÁNG 10'!$C66="",'THÁNG 10'!$U66=""),"",'THÁNG 10'!$U66)</f>
        <v/>
      </c>
      <c r="R659" s="0" t="str">
        <f aca="false">IF('THÁNG 10'!$C66="","",'THÁNG 10'!$W66&amp;"")</f>
        <v/>
      </c>
      <c r="S659" s="0" t="str">
        <f aca="false">IF('THÁNG 10'!$C66="","",'THÁNG 10'!$S66&amp;"")</f>
        <v/>
      </c>
      <c r="T659" s="0" t="str">
        <f aca="false">IF(N($O659)&gt;0,COUNTIF($O$3:$O659,"&gt;0"),"")</f>
        <v/>
      </c>
      <c r="U659" s="0" t="str">
        <f aca="false">IF(AND(N($J659)&gt;0,N($K659)&gt;0),COUNTIFS($J$3:$J659,"&gt;0",$K$3:$K659,"&gt;0"),"")</f>
        <v/>
      </c>
      <c r="V659" s="0" t="str">
        <f aca="false">IF(AND(N($J659)&gt;0,N($K659)=0),COUNTIFS($J$3:$J659,"&gt;0",$K$3:$K659,"&lt;=0"),"")</f>
        <v/>
      </c>
      <c r="W659" s="0" t="str">
        <f aca="false">IF($C659="","",IF(COUNTIF($C$3:$C659,$C659)&gt;1,"",MAX($W$2:W658)+1))</f>
        <v/>
      </c>
      <c r="X659" s="0" t="str">
        <f aca="false">IF($H659="","",IF(COUNTIF($H$3:$H659,$H659)&gt;1,"",MAX($X$2:X658)+1))</f>
        <v/>
      </c>
      <c r="Y659" s="0" t="str">
        <f aca="false">IF(AND(N($M659)&gt;0,N($O659)&lt;=0),COUNTIFS($M$3:$M659,"&gt;0",$O$3:$O659,"&lt;=0"),"")</f>
        <v/>
      </c>
      <c r="Z659" s="30" t="n">
        <f aca="false">IF(OR('THÁNG 10'!$C66="",'THÁNG 10'!$B66=""),0,'THÁNG 10'!$B66)</f>
        <v>0</v>
      </c>
    </row>
    <row r="660" customFormat="false" ht="15" hidden="false" customHeight="false" outlineLevel="0" collapsed="false">
      <c r="A660" s="0" t="n">
        <v>10</v>
      </c>
      <c r="B660" s="29" t="str">
        <f aca="false">IF(OR('THÁNG 10'!$C67="",'THÁNG 10'!$B67=""),"",'THÁNG 10'!$B67)</f>
        <v/>
      </c>
      <c r="C660" s="0" t="str">
        <f aca="false">IF('THÁNG 10'!$C67="","",'THÁNG 10'!$C67)</f>
        <v/>
      </c>
      <c r="D660" s="0" t="str">
        <f aca="false">IF('THÁNG 10'!$C67="","",'THÁNG 10'!$D67&amp;"")</f>
        <v/>
      </c>
      <c r="E660" s="0" t="str">
        <f aca="false">IF('THÁNG 10'!$C67="","",'THÁNG 10'!$E67&amp;"")</f>
        <v/>
      </c>
      <c r="F660" s="0" t="str">
        <f aca="false">IF('THÁNG 10'!$C67="","",'THÁNG 10'!$F67&amp;"")</f>
        <v/>
      </c>
      <c r="G660" s="0" t="str">
        <f aca="false">IF('THÁNG 10'!$C67="","",'THÁNG 10'!$G67&amp;"")</f>
        <v/>
      </c>
      <c r="H660" s="0" t="str">
        <f aca="false">IF('THÁNG 10'!$C67="","",'THÁNG 10'!$H67&amp;"")</f>
        <v/>
      </c>
      <c r="I660" s="0" t="str">
        <f aca="false">IF('THÁNG 10'!$C67="","",N('THÁNG 10'!$I67))</f>
        <v/>
      </c>
      <c r="J660" s="0" t="str">
        <f aca="false">IF('THÁNG 10'!$C67="","",N('THÁNG 10'!$L67))</f>
        <v/>
      </c>
      <c r="K660" s="0" t="str">
        <f aca="false">IF('THÁNG 10'!$C67="","",N('THÁNG 10'!$N67))</f>
        <v/>
      </c>
      <c r="L660" s="0" t="str">
        <f aca="false">IF('THÁNG 10'!$C67="","",N('THÁNG 10'!$O67))</f>
        <v/>
      </c>
      <c r="M660" s="0" t="str">
        <f aca="false">IF('THÁNG 10'!$C67="","",N('THÁNG 10'!$P67))</f>
        <v/>
      </c>
      <c r="N660" s="0" t="str">
        <f aca="false">IF('THÁNG 10'!$C67="","",N('THÁNG 10'!$Q67))</f>
        <v/>
      </c>
      <c r="O660" s="0" t="str">
        <f aca="false">IF('THÁNG 10'!$C67="","",N('THÁNG 10'!$R67))</f>
        <v/>
      </c>
      <c r="P660" s="0" t="str">
        <f aca="false">IF(OR('THÁNG 10'!$C67="",'THÁNG 10'!$T67=""),"",'THÁNG 10'!$T67)</f>
        <v/>
      </c>
      <c r="Q660" s="0" t="str">
        <f aca="false">IF(OR('THÁNG 10'!$C67="",'THÁNG 10'!$U67=""),"",'THÁNG 10'!$U67)</f>
        <v/>
      </c>
      <c r="R660" s="0" t="str">
        <f aca="false">IF('THÁNG 10'!$C67="","",'THÁNG 10'!$W67&amp;"")</f>
        <v/>
      </c>
      <c r="S660" s="0" t="str">
        <f aca="false">IF('THÁNG 10'!$C67="","",'THÁNG 10'!$S67&amp;"")</f>
        <v/>
      </c>
      <c r="T660" s="0" t="str">
        <f aca="false">IF(N($O660)&gt;0,COUNTIF($O$3:$O660,"&gt;0"),"")</f>
        <v/>
      </c>
      <c r="U660" s="0" t="str">
        <f aca="false">IF(AND(N($J660)&gt;0,N($K660)&gt;0),COUNTIFS($J$3:$J660,"&gt;0",$K$3:$K660,"&gt;0"),"")</f>
        <v/>
      </c>
      <c r="V660" s="0" t="str">
        <f aca="false">IF(AND(N($J660)&gt;0,N($K660)=0),COUNTIFS($J$3:$J660,"&gt;0",$K$3:$K660,"&lt;=0"),"")</f>
        <v/>
      </c>
      <c r="W660" s="0" t="str">
        <f aca="false">IF($C660="","",IF(COUNTIF($C$3:$C660,$C660)&gt;1,"",MAX($W$2:W659)+1))</f>
        <v/>
      </c>
      <c r="X660" s="0" t="str">
        <f aca="false">IF($H660="","",IF(COUNTIF($H$3:$H660,$H660)&gt;1,"",MAX($X$2:X659)+1))</f>
        <v/>
      </c>
      <c r="Y660" s="0" t="str">
        <f aca="false">IF(AND(N($M660)&gt;0,N($O660)&lt;=0),COUNTIFS($M$3:$M660,"&gt;0",$O$3:$O660,"&lt;=0"),"")</f>
        <v/>
      </c>
      <c r="Z660" s="30" t="n">
        <f aca="false">IF(OR('THÁNG 10'!$C67="",'THÁNG 10'!$B67=""),0,'THÁNG 10'!$B67)</f>
        <v>0</v>
      </c>
    </row>
    <row r="661" customFormat="false" ht="15" hidden="false" customHeight="false" outlineLevel="0" collapsed="false">
      <c r="A661" s="0" t="n">
        <v>10</v>
      </c>
      <c r="B661" s="29" t="str">
        <f aca="false">IF(OR('THÁNG 10'!$C68="",'THÁNG 10'!$B68=""),"",'THÁNG 10'!$B68)</f>
        <v/>
      </c>
      <c r="C661" s="0" t="str">
        <f aca="false">IF('THÁNG 10'!$C68="","",'THÁNG 10'!$C68)</f>
        <v/>
      </c>
      <c r="D661" s="0" t="str">
        <f aca="false">IF('THÁNG 10'!$C68="","",'THÁNG 10'!$D68&amp;"")</f>
        <v/>
      </c>
      <c r="E661" s="0" t="str">
        <f aca="false">IF('THÁNG 10'!$C68="","",'THÁNG 10'!$E68&amp;"")</f>
        <v/>
      </c>
      <c r="F661" s="0" t="str">
        <f aca="false">IF('THÁNG 10'!$C68="","",'THÁNG 10'!$F68&amp;"")</f>
        <v/>
      </c>
      <c r="G661" s="0" t="str">
        <f aca="false">IF('THÁNG 10'!$C68="","",'THÁNG 10'!$G68&amp;"")</f>
        <v/>
      </c>
      <c r="H661" s="0" t="str">
        <f aca="false">IF('THÁNG 10'!$C68="","",'THÁNG 10'!$H68&amp;"")</f>
        <v/>
      </c>
      <c r="I661" s="0" t="str">
        <f aca="false">IF('THÁNG 10'!$C68="","",N('THÁNG 10'!$I68))</f>
        <v/>
      </c>
      <c r="J661" s="0" t="str">
        <f aca="false">IF('THÁNG 10'!$C68="","",N('THÁNG 10'!$L68))</f>
        <v/>
      </c>
      <c r="K661" s="0" t="str">
        <f aca="false">IF('THÁNG 10'!$C68="","",N('THÁNG 10'!$N68))</f>
        <v/>
      </c>
      <c r="L661" s="0" t="str">
        <f aca="false">IF('THÁNG 10'!$C68="","",N('THÁNG 10'!$O68))</f>
        <v/>
      </c>
      <c r="M661" s="0" t="str">
        <f aca="false">IF('THÁNG 10'!$C68="","",N('THÁNG 10'!$P68))</f>
        <v/>
      </c>
      <c r="N661" s="0" t="str">
        <f aca="false">IF('THÁNG 10'!$C68="","",N('THÁNG 10'!$Q68))</f>
        <v/>
      </c>
      <c r="O661" s="0" t="str">
        <f aca="false">IF('THÁNG 10'!$C68="","",N('THÁNG 10'!$R68))</f>
        <v/>
      </c>
      <c r="P661" s="0" t="str">
        <f aca="false">IF(OR('THÁNG 10'!$C68="",'THÁNG 10'!$T68=""),"",'THÁNG 10'!$T68)</f>
        <v/>
      </c>
      <c r="Q661" s="0" t="str">
        <f aca="false">IF(OR('THÁNG 10'!$C68="",'THÁNG 10'!$U68=""),"",'THÁNG 10'!$U68)</f>
        <v/>
      </c>
      <c r="R661" s="0" t="str">
        <f aca="false">IF('THÁNG 10'!$C68="","",'THÁNG 10'!$W68&amp;"")</f>
        <v/>
      </c>
      <c r="S661" s="0" t="str">
        <f aca="false">IF('THÁNG 10'!$C68="","",'THÁNG 10'!$S68&amp;"")</f>
        <v/>
      </c>
      <c r="T661" s="0" t="str">
        <f aca="false">IF(N($O661)&gt;0,COUNTIF($O$3:$O661,"&gt;0"),"")</f>
        <v/>
      </c>
      <c r="U661" s="0" t="str">
        <f aca="false">IF(AND(N($J661)&gt;0,N($K661)&gt;0),COUNTIFS($J$3:$J661,"&gt;0",$K$3:$K661,"&gt;0"),"")</f>
        <v/>
      </c>
      <c r="V661" s="0" t="str">
        <f aca="false">IF(AND(N($J661)&gt;0,N($K661)=0),COUNTIFS($J$3:$J661,"&gt;0",$K$3:$K661,"&lt;=0"),"")</f>
        <v/>
      </c>
      <c r="W661" s="0" t="str">
        <f aca="false">IF($C661="","",IF(COUNTIF($C$3:$C661,$C661)&gt;1,"",MAX($W$2:W660)+1))</f>
        <v/>
      </c>
      <c r="X661" s="0" t="str">
        <f aca="false">IF($H661="","",IF(COUNTIF($H$3:$H661,$H661)&gt;1,"",MAX($X$2:X660)+1))</f>
        <v/>
      </c>
      <c r="Y661" s="0" t="str">
        <f aca="false">IF(AND(N($M661)&gt;0,N($O661)&lt;=0),COUNTIFS($M$3:$M661,"&gt;0",$O$3:$O661,"&lt;=0"),"")</f>
        <v/>
      </c>
      <c r="Z661" s="30" t="n">
        <f aca="false">IF(OR('THÁNG 10'!$C68="",'THÁNG 10'!$B68=""),0,'THÁNG 10'!$B68)</f>
        <v>0</v>
      </c>
    </row>
    <row r="662" customFormat="false" ht="15" hidden="false" customHeight="false" outlineLevel="0" collapsed="false">
      <c r="A662" s="0" t="n">
        <v>10</v>
      </c>
      <c r="B662" s="29" t="str">
        <f aca="false">IF(OR('THÁNG 10'!$C69="",'THÁNG 10'!$B69=""),"",'THÁNG 10'!$B69)</f>
        <v/>
      </c>
      <c r="C662" s="0" t="str">
        <f aca="false">IF('THÁNG 10'!$C69="","",'THÁNG 10'!$C69)</f>
        <v/>
      </c>
      <c r="D662" s="0" t="str">
        <f aca="false">IF('THÁNG 10'!$C69="","",'THÁNG 10'!$D69&amp;"")</f>
        <v/>
      </c>
      <c r="E662" s="0" t="str">
        <f aca="false">IF('THÁNG 10'!$C69="","",'THÁNG 10'!$E69&amp;"")</f>
        <v/>
      </c>
      <c r="F662" s="0" t="str">
        <f aca="false">IF('THÁNG 10'!$C69="","",'THÁNG 10'!$F69&amp;"")</f>
        <v/>
      </c>
      <c r="G662" s="0" t="str">
        <f aca="false">IF('THÁNG 10'!$C69="","",'THÁNG 10'!$G69&amp;"")</f>
        <v/>
      </c>
      <c r="H662" s="0" t="str">
        <f aca="false">IF('THÁNG 10'!$C69="","",'THÁNG 10'!$H69&amp;"")</f>
        <v/>
      </c>
      <c r="I662" s="0" t="str">
        <f aca="false">IF('THÁNG 10'!$C69="","",N('THÁNG 10'!$I69))</f>
        <v/>
      </c>
      <c r="J662" s="0" t="str">
        <f aca="false">IF('THÁNG 10'!$C69="","",N('THÁNG 10'!$L69))</f>
        <v/>
      </c>
      <c r="K662" s="0" t="str">
        <f aca="false">IF('THÁNG 10'!$C69="","",N('THÁNG 10'!$N69))</f>
        <v/>
      </c>
      <c r="L662" s="0" t="str">
        <f aca="false">IF('THÁNG 10'!$C69="","",N('THÁNG 10'!$O69))</f>
        <v/>
      </c>
      <c r="M662" s="0" t="str">
        <f aca="false">IF('THÁNG 10'!$C69="","",N('THÁNG 10'!$P69))</f>
        <v/>
      </c>
      <c r="N662" s="0" t="str">
        <f aca="false">IF('THÁNG 10'!$C69="","",N('THÁNG 10'!$Q69))</f>
        <v/>
      </c>
      <c r="O662" s="0" t="str">
        <f aca="false">IF('THÁNG 10'!$C69="","",N('THÁNG 10'!$R69))</f>
        <v/>
      </c>
      <c r="P662" s="0" t="str">
        <f aca="false">IF(OR('THÁNG 10'!$C69="",'THÁNG 10'!$T69=""),"",'THÁNG 10'!$T69)</f>
        <v/>
      </c>
      <c r="Q662" s="0" t="str">
        <f aca="false">IF(OR('THÁNG 10'!$C69="",'THÁNG 10'!$U69=""),"",'THÁNG 10'!$U69)</f>
        <v/>
      </c>
      <c r="R662" s="0" t="str">
        <f aca="false">IF('THÁNG 10'!$C69="","",'THÁNG 10'!$W69&amp;"")</f>
        <v/>
      </c>
      <c r="S662" s="0" t="str">
        <f aca="false">IF('THÁNG 10'!$C69="","",'THÁNG 10'!$S69&amp;"")</f>
        <v/>
      </c>
      <c r="T662" s="0" t="str">
        <f aca="false">IF(N($O662)&gt;0,COUNTIF($O$3:$O662,"&gt;0"),"")</f>
        <v/>
      </c>
      <c r="U662" s="0" t="str">
        <f aca="false">IF(AND(N($J662)&gt;0,N($K662)&gt;0),COUNTIFS($J$3:$J662,"&gt;0",$K$3:$K662,"&gt;0"),"")</f>
        <v/>
      </c>
      <c r="V662" s="0" t="str">
        <f aca="false">IF(AND(N($J662)&gt;0,N($K662)=0),COUNTIFS($J$3:$J662,"&gt;0",$K$3:$K662,"&lt;=0"),"")</f>
        <v/>
      </c>
      <c r="W662" s="0" t="str">
        <f aca="false">IF($C662="","",IF(COUNTIF($C$3:$C662,$C662)&gt;1,"",MAX($W$2:W661)+1))</f>
        <v/>
      </c>
      <c r="X662" s="0" t="str">
        <f aca="false">IF($H662="","",IF(COUNTIF($H$3:$H662,$H662)&gt;1,"",MAX($X$2:X661)+1))</f>
        <v/>
      </c>
      <c r="Y662" s="0" t="str">
        <f aca="false">IF(AND(N($M662)&gt;0,N($O662)&lt;=0),COUNTIFS($M$3:$M662,"&gt;0",$O$3:$O662,"&lt;=0"),"")</f>
        <v/>
      </c>
      <c r="Z662" s="30" t="n">
        <f aca="false">IF(OR('THÁNG 10'!$C69="",'THÁNG 10'!$B69=""),0,'THÁNG 10'!$B69)</f>
        <v>0</v>
      </c>
    </row>
    <row r="663" customFormat="false" ht="15" hidden="false" customHeight="false" outlineLevel="0" collapsed="false">
      <c r="A663" s="0" t="n">
        <v>10</v>
      </c>
      <c r="B663" s="29" t="str">
        <f aca="false">IF(OR('THÁNG 10'!$C70="",'THÁNG 10'!$B70=""),"",'THÁNG 10'!$B70)</f>
        <v/>
      </c>
      <c r="C663" s="0" t="str">
        <f aca="false">IF('THÁNG 10'!$C70="","",'THÁNG 10'!$C70)</f>
        <v/>
      </c>
      <c r="D663" s="0" t="str">
        <f aca="false">IF('THÁNG 10'!$C70="","",'THÁNG 10'!$D70&amp;"")</f>
        <v/>
      </c>
      <c r="E663" s="0" t="str">
        <f aca="false">IF('THÁNG 10'!$C70="","",'THÁNG 10'!$E70&amp;"")</f>
        <v/>
      </c>
      <c r="F663" s="0" t="str">
        <f aca="false">IF('THÁNG 10'!$C70="","",'THÁNG 10'!$F70&amp;"")</f>
        <v/>
      </c>
      <c r="G663" s="0" t="str">
        <f aca="false">IF('THÁNG 10'!$C70="","",'THÁNG 10'!$G70&amp;"")</f>
        <v/>
      </c>
      <c r="H663" s="0" t="str">
        <f aca="false">IF('THÁNG 10'!$C70="","",'THÁNG 10'!$H70&amp;"")</f>
        <v/>
      </c>
      <c r="I663" s="0" t="str">
        <f aca="false">IF('THÁNG 10'!$C70="","",N('THÁNG 10'!$I70))</f>
        <v/>
      </c>
      <c r="J663" s="0" t="str">
        <f aca="false">IF('THÁNG 10'!$C70="","",N('THÁNG 10'!$L70))</f>
        <v/>
      </c>
      <c r="K663" s="0" t="str">
        <f aca="false">IF('THÁNG 10'!$C70="","",N('THÁNG 10'!$N70))</f>
        <v/>
      </c>
      <c r="L663" s="0" t="str">
        <f aca="false">IF('THÁNG 10'!$C70="","",N('THÁNG 10'!$O70))</f>
        <v/>
      </c>
      <c r="M663" s="0" t="str">
        <f aca="false">IF('THÁNG 10'!$C70="","",N('THÁNG 10'!$P70))</f>
        <v/>
      </c>
      <c r="N663" s="0" t="str">
        <f aca="false">IF('THÁNG 10'!$C70="","",N('THÁNG 10'!$Q70))</f>
        <v/>
      </c>
      <c r="O663" s="0" t="str">
        <f aca="false">IF('THÁNG 10'!$C70="","",N('THÁNG 10'!$R70))</f>
        <v/>
      </c>
      <c r="P663" s="0" t="str">
        <f aca="false">IF(OR('THÁNG 10'!$C70="",'THÁNG 10'!$T70=""),"",'THÁNG 10'!$T70)</f>
        <v/>
      </c>
      <c r="Q663" s="0" t="str">
        <f aca="false">IF(OR('THÁNG 10'!$C70="",'THÁNG 10'!$U70=""),"",'THÁNG 10'!$U70)</f>
        <v/>
      </c>
      <c r="R663" s="0" t="str">
        <f aca="false">IF('THÁNG 10'!$C70="","",'THÁNG 10'!$W70&amp;"")</f>
        <v/>
      </c>
      <c r="S663" s="0" t="str">
        <f aca="false">IF('THÁNG 10'!$C70="","",'THÁNG 10'!$S70&amp;"")</f>
        <v/>
      </c>
      <c r="T663" s="0" t="str">
        <f aca="false">IF(N($O663)&gt;0,COUNTIF($O$3:$O663,"&gt;0"),"")</f>
        <v/>
      </c>
      <c r="U663" s="0" t="str">
        <f aca="false">IF(AND(N($J663)&gt;0,N($K663)&gt;0),COUNTIFS($J$3:$J663,"&gt;0",$K$3:$K663,"&gt;0"),"")</f>
        <v/>
      </c>
      <c r="V663" s="0" t="str">
        <f aca="false">IF(AND(N($J663)&gt;0,N($K663)=0),COUNTIFS($J$3:$J663,"&gt;0",$K$3:$K663,"&lt;=0"),"")</f>
        <v/>
      </c>
      <c r="W663" s="0" t="str">
        <f aca="false">IF($C663="","",IF(COUNTIF($C$3:$C663,$C663)&gt;1,"",MAX($W$2:W662)+1))</f>
        <v/>
      </c>
      <c r="X663" s="0" t="str">
        <f aca="false">IF($H663="","",IF(COUNTIF($H$3:$H663,$H663)&gt;1,"",MAX($X$2:X662)+1))</f>
        <v/>
      </c>
      <c r="Y663" s="0" t="str">
        <f aca="false">IF(AND(N($M663)&gt;0,N($O663)&lt;=0),COUNTIFS($M$3:$M663,"&gt;0",$O$3:$O663,"&lt;=0"),"")</f>
        <v/>
      </c>
      <c r="Z663" s="30" t="n">
        <f aca="false">IF(OR('THÁNG 10'!$C70="",'THÁNG 10'!$B70=""),0,'THÁNG 10'!$B70)</f>
        <v>0</v>
      </c>
    </row>
    <row r="664" customFormat="false" ht="15" hidden="false" customHeight="false" outlineLevel="0" collapsed="false">
      <c r="A664" s="0" t="n">
        <v>10</v>
      </c>
      <c r="B664" s="29" t="str">
        <f aca="false">IF(OR('THÁNG 10'!$C71="",'THÁNG 10'!$B71=""),"",'THÁNG 10'!$B71)</f>
        <v/>
      </c>
      <c r="C664" s="0" t="str">
        <f aca="false">IF('THÁNG 10'!$C71="","",'THÁNG 10'!$C71)</f>
        <v/>
      </c>
      <c r="D664" s="0" t="str">
        <f aca="false">IF('THÁNG 10'!$C71="","",'THÁNG 10'!$D71&amp;"")</f>
        <v/>
      </c>
      <c r="E664" s="0" t="str">
        <f aca="false">IF('THÁNG 10'!$C71="","",'THÁNG 10'!$E71&amp;"")</f>
        <v/>
      </c>
      <c r="F664" s="0" t="str">
        <f aca="false">IF('THÁNG 10'!$C71="","",'THÁNG 10'!$F71&amp;"")</f>
        <v/>
      </c>
      <c r="G664" s="0" t="str">
        <f aca="false">IF('THÁNG 10'!$C71="","",'THÁNG 10'!$G71&amp;"")</f>
        <v/>
      </c>
      <c r="H664" s="0" t="str">
        <f aca="false">IF('THÁNG 10'!$C71="","",'THÁNG 10'!$H71&amp;"")</f>
        <v/>
      </c>
      <c r="I664" s="0" t="str">
        <f aca="false">IF('THÁNG 10'!$C71="","",N('THÁNG 10'!$I71))</f>
        <v/>
      </c>
      <c r="J664" s="0" t="str">
        <f aca="false">IF('THÁNG 10'!$C71="","",N('THÁNG 10'!$L71))</f>
        <v/>
      </c>
      <c r="K664" s="0" t="str">
        <f aca="false">IF('THÁNG 10'!$C71="","",N('THÁNG 10'!$N71))</f>
        <v/>
      </c>
      <c r="L664" s="0" t="str">
        <f aca="false">IF('THÁNG 10'!$C71="","",N('THÁNG 10'!$O71))</f>
        <v/>
      </c>
      <c r="M664" s="0" t="str">
        <f aca="false">IF('THÁNG 10'!$C71="","",N('THÁNG 10'!$P71))</f>
        <v/>
      </c>
      <c r="N664" s="0" t="str">
        <f aca="false">IF('THÁNG 10'!$C71="","",N('THÁNG 10'!$Q71))</f>
        <v/>
      </c>
      <c r="O664" s="0" t="str">
        <f aca="false">IF('THÁNG 10'!$C71="","",N('THÁNG 10'!$R71))</f>
        <v/>
      </c>
      <c r="P664" s="0" t="str">
        <f aca="false">IF(OR('THÁNG 10'!$C71="",'THÁNG 10'!$T71=""),"",'THÁNG 10'!$T71)</f>
        <v/>
      </c>
      <c r="Q664" s="0" t="str">
        <f aca="false">IF(OR('THÁNG 10'!$C71="",'THÁNG 10'!$U71=""),"",'THÁNG 10'!$U71)</f>
        <v/>
      </c>
      <c r="R664" s="0" t="str">
        <f aca="false">IF('THÁNG 10'!$C71="","",'THÁNG 10'!$W71&amp;"")</f>
        <v/>
      </c>
      <c r="S664" s="0" t="str">
        <f aca="false">IF('THÁNG 10'!$C71="","",'THÁNG 10'!$S71&amp;"")</f>
        <v/>
      </c>
      <c r="T664" s="0" t="str">
        <f aca="false">IF(N($O664)&gt;0,COUNTIF($O$3:$O664,"&gt;0"),"")</f>
        <v/>
      </c>
      <c r="U664" s="0" t="str">
        <f aca="false">IF(AND(N($J664)&gt;0,N($K664)&gt;0),COUNTIFS($J$3:$J664,"&gt;0",$K$3:$K664,"&gt;0"),"")</f>
        <v/>
      </c>
      <c r="V664" s="0" t="str">
        <f aca="false">IF(AND(N($J664)&gt;0,N($K664)=0),COUNTIFS($J$3:$J664,"&gt;0",$K$3:$K664,"&lt;=0"),"")</f>
        <v/>
      </c>
      <c r="W664" s="0" t="str">
        <f aca="false">IF($C664="","",IF(COUNTIF($C$3:$C664,$C664)&gt;1,"",MAX($W$2:W663)+1))</f>
        <v/>
      </c>
      <c r="X664" s="0" t="str">
        <f aca="false">IF($H664="","",IF(COUNTIF($H$3:$H664,$H664)&gt;1,"",MAX($X$2:X663)+1))</f>
        <v/>
      </c>
      <c r="Y664" s="0" t="str">
        <f aca="false">IF(AND(N($M664)&gt;0,N($O664)&lt;=0),COUNTIFS($M$3:$M664,"&gt;0",$O$3:$O664,"&lt;=0"),"")</f>
        <v/>
      </c>
      <c r="Z664" s="30" t="n">
        <f aca="false">IF(OR('THÁNG 10'!$C71="",'THÁNG 10'!$B71=""),0,'THÁNG 10'!$B71)</f>
        <v>0</v>
      </c>
    </row>
    <row r="665" customFormat="false" ht="15" hidden="false" customHeight="false" outlineLevel="0" collapsed="false">
      <c r="A665" s="0" t="n">
        <v>10</v>
      </c>
      <c r="B665" s="29" t="str">
        <f aca="false">IF(OR('THÁNG 10'!$C72="",'THÁNG 10'!$B72=""),"",'THÁNG 10'!$B72)</f>
        <v/>
      </c>
      <c r="C665" s="0" t="str">
        <f aca="false">IF('THÁNG 10'!$C72="","",'THÁNG 10'!$C72)</f>
        <v/>
      </c>
      <c r="D665" s="0" t="str">
        <f aca="false">IF('THÁNG 10'!$C72="","",'THÁNG 10'!$D72&amp;"")</f>
        <v/>
      </c>
      <c r="E665" s="0" t="str">
        <f aca="false">IF('THÁNG 10'!$C72="","",'THÁNG 10'!$E72&amp;"")</f>
        <v/>
      </c>
      <c r="F665" s="0" t="str">
        <f aca="false">IF('THÁNG 10'!$C72="","",'THÁNG 10'!$F72&amp;"")</f>
        <v/>
      </c>
      <c r="G665" s="0" t="str">
        <f aca="false">IF('THÁNG 10'!$C72="","",'THÁNG 10'!$G72&amp;"")</f>
        <v/>
      </c>
      <c r="H665" s="0" t="str">
        <f aca="false">IF('THÁNG 10'!$C72="","",'THÁNG 10'!$H72&amp;"")</f>
        <v/>
      </c>
      <c r="I665" s="0" t="str">
        <f aca="false">IF('THÁNG 10'!$C72="","",N('THÁNG 10'!$I72))</f>
        <v/>
      </c>
      <c r="J665" s="0" t="str">
        <f aca="false">IF('THÁNG 10'!$C72="","",N('THÁNG 10'!$L72))</f>
        <v/>
      </c>
      <c r="K665" s="0" t="str">
        <f aca="false">IF('THÁNG 10'!$C72="","",N('THÁNG 10'!$N72))</f>
        <v/>
      </c>
      <c r="L665" s="0" t="str">
        <f aca="false">IF('THÁNG 10'!$C72="","",N('THÁNG 10'!$O72))</f>
        <v/>
      </c>
      <c r="M665" s="0" t="str">
        <f aca="false">IF('THÁNG 10'!$C72="","",N('THÁNG 10'!$P72))</f>
        <v/>
      </c>
      <c r="N665" s="0" t="str">
        <f aca="false">IF('THÁNG 10'!$C72="","",N('THÁNG 10'!$Q72))</f>
        <v/>
      </c>
      <c r="O665" s="0" t="str">
        <f aca="false">IF('THÁNG 10'!$C72="","",N('THÁNG 10'!$R72))</f>
        <v/>
      </c>
      <c r="P665" s="0" t="str">
        <f aca="false">IF(OR('THÁNG 10'!$C72="",'THÁNG 10'!$T72=""),"",'THÁNG 10'!$T72)</f>
        <v/>
      </c>
      <c r="Q665" s="0" t="str">
        <f aca="false">IF(OR('THÁNG 10'!$C72="",'THÁNG 10'!$U72=""),"",'THÁNG 10'!$U72)</f>
        <v/>
      </c>
      <c r="R665" s="0" t="str">
        <f aca="false">IF('THÁNG 10'!$C72="","",'THÁNG 10'!$W72&amp;"")</f>
        <v/>
      </c>
      <c r="S665" s="0" t="str">
        <f aca="false">IF('THÁNG 10'!$C72="","",'THÁNG 10'!$S72&amp;"")</f>
        <v/>
      </c>
      <c r="T665" s="0" t="str">
        <f aca="false">IF(N($O665)&gt;0,COUNTIF($O$3:$O665,"&gt;0"),"")</f>
        <v/>
      </c>
      <c r="U665" s="0" t="str">
        <f aca="false">IF(AND(N($J665)&gt;0,N($K665)&gt;0),COUNTIFS($J$3:$J665,"&gt;0",$K$3:$K665,"&gt;0"),"")</f>
        <v/>
      </c>
      <c r="V665" s="0" t="str">
        <f aca="false">IF(AND(N($J665)&gt;0,N($K665)=0),COUNTIFS($J$3:$J665,"&gt;0",$K$3:$K665,"&lt;=0"),"")</f>
        <v/>
      </c>
      <c r="W665" s="0" t="str">
        <f aca="false">IF($C665="","",IF(COUNTIF($C$3:$C665,$C665)&gt;1,"",MAX($W$2:W664)+1))</f>
        <v/>
      </c>
      <c r="X665" s="0" t="str">
        <f aca="false">IF($H665="","",IF(COUNTIF($H$3:$H665,$H665)&gt;1,"",MAX($X$2:X664)+1))</f>
        <v/>
      </c>
      <c r="Y665" s="0" t="str">
        <f aca="false">IF(AND(N($M665)&gt;0,N($O665)&lt;=0),COUNTIFS($M$3:$M665,"&gt;0",$O$3:$O665,"&lt;=0"),"")</f>
        <v/>
      </c>
      <c r="Z665" s="30" t="n">
        <f aca="false">IF(OR('THÁNG 10'!$C72="",'THÁNG 10'!$B72=""),0,'THÁNG 10'!$B72)</f>
        <v>0</v>
      </c>
    </row>
    <row r="666" customFormat="false" ht="15" hidden="false" customHeight="false" outlineLevel="0" collapsed="false">
      <c r="A666" s="0" t="n">
        <v>10</v>
      </c>
      <c r="B666" s="29" t="str">
        <f aca="false">IF(OR('THÁNG 10'!$C73="",'THÁNG 10'!$B73=""),"",'THÁNG 10'!$B73)</f>
        <v/>
      </c>
      <c r="C666" s="0" t="str">
        <f aca="false">IF('THÁNG 10'!$C73="","",'THÁNG 10'!$C73)</f>
        <v/>
      </c>
      <c r="D666" s="0" t="str">
        <f aca="false">IF('THÁNG 10'!$C73="","",'THÁNG 10'!$D73&amp;"")</f>
        <v/>
      </c>
      <c r="E666" s="0" t="str">
        <f aca="false">IF('THÁNG 10'!$C73="","",'THÁNG 10'!$E73&amp;"")</f>
        <v/>
      </c>
      <c r="F666" s="0" t="str">
        <f aca="false">IF('THÁNG 10'!$C73="","",'THÁNG 10'!$F73&amp;"")</f>
        <v/>
      </c>
      <c r="G666" s="0" t="str">
        <f aca="false">IF('THÁNG 10'!$C73="","",'THÁNG 10'!$G73&amp;"")</f>
        <v/>
      </c>
      <c r="H666" s="0" t="str">
        <f aca="false">IF('THÁNG 10'!$C73="","",'THÁNG 10'!$H73&amp;"")</f>
        <v/>
      </c>
      <c r="I666" s="0" t="str">
        <f aca="false">IF('THÁNG 10'!$C73="","",N('THÁNG 10'!$I73))</f>
        <v/>
      </c>
      <c r="J666" s="0" t="str">
        <f aca="false">IF('THÁNG 10'!$C73="","",N('THÁNG 10'!$L73))</f>
        <v/>
      </c>
      <c r="K666" s="0" t="str">
        <f aca="false">IF('THÁNG 10'!$C73="","",N('THÁNG 10'!$N73))</f>
        <v/>
      </c>
      <c r="L666" s="0" t="str">
        <f aca="false">IF('THÁNG 10'!$C73="","",N('THÁNG 10'!$O73))</f>
        <v/>
      </c>
      <c r="M666" s="0" t="str">
        <f aca="false">IF('THÁNG 10'!$C73="","",N('THÁNG 10'!$P73))</f>
        <v/>
      </c>
      <c r="N666" s="0" t="str">
        <f aca="false">IF('THÁNG 10'!$C73="","",N('THÁNG 10'!$Q73))</f>
        <v/>
      </c>
      <c r="O666" s="0" t="str">
        <f aca="false">IF('THÁNG 10'!$C73="","",N('THÁNG 10'!$R73))</f>
        <v/>
      </c>
      <c r="P666" s="0" t="str">
        <f aca="false">IF(OR('THÁNG 10'!$C73="",'THÁNG 10'!$T73=""),"",'THÁNG 10'!$T73)</f>
        <v/>
      </c>
      <c r="Q666" s="0" t="str">
        <f aca="false">IF(OR('THÁNG 10'!$C73="",'THÁNG 10'!$U73=""),"",'THÁNG 10'!$U73)</f>
        <v/>
      </c>
      <c r="R666" s="0" t="str">
        <f aca="false">IF('THÁNG 10'!$C73="","",'THÁNG 10'!$W73&amp;"")</f>
        <v/>
      </c>
      <c r="S666" s="0" t="str">
        <f aca="false">IF('THÁNG 10'!$C73="","",'THÁNG 10'!$S73&amp;"")</f>
        <v/>
      </c>
      <c r="T666" s="0" t="str">
        <f aca="false">IF(N($O666)&gt;0,COUNTIF($O$3:$O666,"&gt;0"),"")</f>
        <v/>
      </c>
      <c r="U666" s="0" t="str">
        <f aca="false">IF(AND(N($J666)&gt;0,N($K666)&gt;0),COUNTIFS($J$3:$J666,"&gt;0",$K$3:$K666,"&gt;0"),"")</f>
        <v/>
      </c>
      <c r="V666" s="0" t="str">
        <f aca="false">IF(AND(N($J666)&gt;0,N($K666)=0),COUNTIFS($J$3:$J666,"&gt;0",$K$3:$K666,"&lt;=0"),"")</f>
        <v/>
      </c>
      <c r="W666" s="0" t="str">
        <f aca="false">IF($C666="","",IF(COUNTIF($C$3:$C666,$C666)&gt;1,"",MAX($W$2:W665)+1))</f>
        <v/>
      </c>
      <c r="X666" s="0" t="str">
        <f aca="false">IF($H666="","",IF(COUNTIF($H$3:$H666,$H666)&gt;1,"",MAX($X$2:X665)+1))</f>
        <v/>
      </c>
      <c r="Y666" s="0" t="str">
        <f aca="false">IF(AND(N($M666)&gt;0,N($O666)&lt;=0),COUNTIFS($M$3:$M666,"&gt;0",$O$3:$O666,"&lt;=0"),"")</f>
        <v/>
      </c>
      <c r="Z666" s="30" t="n">
        <f aca="false">IF(OR('THÁNG 10'!$C73="",'THÁNG 10'!$B73=""),0,'THÁNG 10'!$B73)</f>
        <v>0</v>
      </c>
    </row>
    <row r="667" customFormat="false" ht="15" hidden="false" customHeight="false" outlineLevel="0" collapsed="false">
      <c r="A667" s="0" t="n">
        <v>10</v>
      </c>
      <c r="B667" s="29" t="str">
        <f aca="false">IF(OR('THÁNG 10'!$C74="",'THÁNG 10'!$B74=""),"",'THÁNG 10'!$B74)</f>
        <v/>
      </c>
      <c r="C667" s="0" t="str">
        <f aca="false">IF('THÁNG 10'!$C74="","",'THÁNG 10'!$C74)</f>
        <v/>
      </c>
      <c r="D667" s="0" t="str">
        <f aca="false">IF('THÁNG 10'!$C74="","",'THÁNG 10'!$D74&amp;"")</f>
        <v/>
      </c>
      <c r="E667" s="0" t="str">
        <f aca="false">IF('THÁNG 10'!$C74="","",'THÁNG 10'!$E74&amp;"")</f>
        <v/>
      </c>
      <c r="F667" s="0" t="str">
        <f aca="false">IF('THÁNG 10'!$C74="","",'THÁNG 10'!$F74&amp;"")</f>
        <v/>
      </c>
      <c r="G667" s="0" t="str">
        <f aca="false">IF('THÁNG 10'!$C74="","",'THÁNG 10'!$G74&amp;"")</f>
        <v/>
      </c>
      <c r="H667" s="0" t="str">
        <f aca="false">IF('THÁNG 10'!$C74="","",'THÁNG 10'!$H74&amp;"")</f>
        <v/>
      </c>
      <c r="I667" s="0" t="str">
        <f aca="false">IF('THÁNG 10'!$C74="","",N('THÁNG 10'!$I74))</f>
        <v/>
      </c>
      <c r="J667" s="0" t="str">
        <f aca="false">IF('THÁNG 10'!$C74="","",N('THÁNG 10'!$L74))</f>
        <v/>
      </c>
      <c r="K667" s="0" t="str">
        <f aca="false">IF('THÁNG 10'!$C74="","",N('THÁNG 10'!$N74))</f>
        <v/>
      </c>
      <c r="L667" s="0" t="str">
        <f aca="false">IF('THÁNG 10'!$C74="","",N('THÁNG 10'!$O74))</f>
        <v/>
      </c>
      <c r="M667" s="0" t="str">
        <f aca="false">IF('THÁNG 10'!$C74="","",N('THÁNG 10'!$P74))</f>
        <v/>
      </c>
      <c r="N667" s="0" t="str">
        <f aca="false">IF('THÁNG 10'!$C74="","",N('THÁNG 10'!$Q74))</f>
        <v/>
      </c>
      <c r="O667" s="0" t="str">
        <f aca="false">IF('THÁNG 10'!$C74="","",N('THÁNG 10'!$R74))</f>
        <v/>
      </c>
      <c r="P667" s="0" t="str">
        <f aca="false">IF(OR('THÁNG 10'!$C74="",'THÁNG 10'!$T74=""),"",'THÁNG 10'!$T74)</f>
        <v/>
      </c>
      <c r="Q667" s="0" t="str">
        <f aca="false">IF(OR('THÁNG 10'!$C74="",'THÁNG 10'!$U74=""),"",'THÁNG 10'!$U74)</f>
        <v/>
      </c>
      <c r="R667" s="0" t="str">
        <f aca="false">IF('THÁNG 10'!$C74="","",'THÁNG 10'!$W74&amp;"")</f>
        <v/>
      </c>
      <c r="S667" s="0" t="str">
        <f aca="false">IF('THÁNG 10'!$C74="","",'THÁNG 10'!$S74&amp;"")</f>
        <v/>
      </c>
      <c r="T667" s="0" t="str">
        <f aca="false">IF(N($O667)&gt;0,COUNTIF($O$3:$O667,"&gt;0"),"")</f>
        <v/>
      </c>
      <c r="U667" s="0" t="str">
        <f aca="false">IF(AND(N($J667)&gt;0,N($K667)&gt;0),COUNTIFS($J$3:$J667,"&gt;0",$K$3:$K667,"&gt;0"),"")</f>
        <v/>
      </c>
      <c r="V667" s="0" t="str">
        <f aca="false">IF(AND(N($J667)&gt;0,N($K667)=0),COUNTIFS($J$3:$J667,"&gt;0",$K$3:$K667,"&lt;=0"),"")</f>
        <v/>
      </c>
      <c r="W667" s="0" t="str">
        <f aca="false">IF($C667="","",IF(COUNTIF($C$3:$C667,$C667)&gt;1,"",MAX($W$2:W666)+1))</f>
        <v/>
      </c>
      <c r="X667" s="0" t="str">
        <f aca="false">IF($H667="","",IF(COUNTIF($H$3:$H667,$H667)&gt;1,"",MAX($X$2:X666)+1))</f>
        <v/>
      </c>
      <c r="Y667" s="0" t="str">
        <f aca="false">IF(AND(N($M667)&gt;0,N($O667)&lt;=0),COUNTIFS($M$3:$M667,"&gt;0",$O$3:$O667,"&lt;=0"),"")</f>
        <v/>
      </c>
      <c r="Z667" s="30" t="n">
        <f aca="false">IF(OR('THÁNG 10'!$C74="",'THÁNG 10'!$B74=""),0,'THÁNG 10'!$B74)</f>
        <v>0</v>
      </c>
    </row>
    <row r="668" customFormat="false" ht="15" hidden="false" customHeight="false" outlineLevel="0" collapsed="false">
      <c r="A668" s="0" t="n">
        <v>10</v>
      </c>
      <c r="B668" s="29" t="str">
        <f aca="false">IF(OR('THÁNG 10'!$C75="",'THÁNG 10'!$B75=""),"",'THÁNG 10'!$B75)</f>
        <v/>
      </c>
      <c r="C668" s="0" t="str">
        <f aca="false">IF('THÁNG 10'!$C75="","",'THÁNG 10'!$C75)</f>
        <v/>
      </c>
      <c r="D668" s="0" t="str">
        <f aca="false">IF('THÁNG 10'!$C75="","",'THÁNG 10'!$D75&amp;"")</f>
        <v/>
      </c>
      <c r="E668" s="0" t="str">
        <f aca="false">IF('THÁNG 10'!$C75="","",'THÁNG 10'!$E75&amp;"")</f>
        <v/>
      </c>
      <c r="F668" s="0" t="str">
        <f aca="false">IF('THÁNG 10'!$C75="","",'THÁNG 10'!$F75&amp;"")</f>
        <v/>
      </c>
      <c r="G668" s="0" t="str">
        <f aca="false">IF('THÁNG 10'!$C75="","",'THÁNG 10'!$G75&amp;"")</f>
        <v/>
      </c>
      <c r="H668" s="0" t="str">
        <f aca="false">IF('THÁNG 10'!$C75="","",'THÁNG 10'!$H75&amp;"")</f>
        <v/>
      </c>
      <c r="I668" s="0" t="str">
        <f aca="false">IF('THÁNG 10'!$C75="","",N('THÁNG 10'!$I75))</f>
        <v/>
      </c>
      <c r="J668" s="0" t="str">
        <f aca="false">IF('THÁNG 10'!$C75="","",N('THÁNG 10'!$L75))</f>
        <v/>
      </c>
      <c r="K668" s="0" t="str">
        <f aca="false">IF('THÁNG 10'!$C75="","",N('THÁNG 10'!$N75))</f>
        <v/>
      </c>
      <c r="L668" s="0" t="str">
        <f aca="false">IF('THÁNG 10'!$C75="","",N('THÁNG 10'!$O75))</f>
        <v/>
      </c>
      <c r="M668" s="0" t="str">
        <f aca="false">IF('THÁNG 10'!$C75="","",N('THÁNG 10'!$P75))</f>
        <v/>
      </c>
      <c r="N668" s="0" t="str">
        <f aca="false">IF('THÁNG 10'!$C75="","",N('THÁNG 10'!$Q75))</f>
        <v/>
      </c>
      <c r="O668" s="0" t="str">
        <f aca="false">IF('THÁNG 10'!$C75="","",N('THÁNG 10'!$R75))</f>
        <v/>
      </c>
      <c r="P668" s="0" t="str">
        <f aca="false">IF(OR('THÁNG 10'!$C75="",'THÁNG 10'!$T75=""),"",'THÁNG 10'!$T75)</f>
        <v/>
      </c>
      <c r="Q668" s="0" t="str">
        <f aca="false">IF(OR('THÁNG 10'!$C75="",'THÁNG 10'!$U75=""),"",'THÁNG 10'!$U75)</f>
        <v/>
      </c>
      <c r="R668" s="0" t="str">
        <f aca="false">IF('THÁNG 10'!$C75="","",'THÁNG 10'!$W75&amp;"")</f>
        <v/>
      </c>
      <c r="S668" s="0" t="str">
        <f aca="false">IF('THÁNG 10'!$C75="","",'THÁNG 10'!$S75&amp;"")</f>
        <v/>
      </c>
      <c r="T668" s="0" t="str">
        <f aca="false">IF(N($O668)&gt;0,COUNTIF($O$3:$O668,"&gt;0"),"")</f>
        <v/>
      </c>
      <c r="U668" s="0" t="str">
        <f aca="false">IF(AND(N($J668)&gt;0,N($K668)&gt;0),COUNTIFS($J$3:$J668,"&gt;0",$K$3:$K668,"&gt;0"),"")</f>
        <v/>
      </c>
      <c r="V668" s="0" t="str">
        <f aca="false">IF(AND(N($J668)&gt;0,N($K668)=0),COUNTIFS($J$3:$J668,"&gt;0",$K$3:$K668,"&lt;=0"),"")</f>
        <v/>
      </c>
      <c r="W668" s="0" t="str">
        <f aca="false">IF($C668="","",IF(COUNTIF($C$3:$C668,$C668)&gt;1,"",MAX($W$2:W667)+1))</f>
        <v/>
      </c>
      <c r="X668" s="0" t="str">
        <f aca="false">IF($H668="","",IF(COUNTIF($H$3:$H668,$H668)&gt;1,"",MAX($X$2:X667)+1))</f>
        <v/>
      </c>
      <c r="Y668" s="0" t="str">
        <f aca="false">IF(AND(N($M668)&gt;0,N($O668)&lt;=0),COUNTIFS($M$3:$M668,"&gt;0",$O$3:$O668,"&lt;=0"),"")</f>
        <v/>
      </c>
      <c r="Z668" s="30" t="n">
        <f aca="false">IF(OR('THÁNG 10'!$C75="",'THÁNG 10'!$B75=""),0,'THÁNG 10'!$B75)</f>
        <v>0</v>
      </c>
    </row>
    <row r="669" customFormat="false" ht="15" hidden="false" customHeight="false" outlineLevel="0" collapsed="false">
      <c r="A669" s="0" t="n">
        <v>10</v>
      </c>
      <c r="B669" s="29" t="str">
        <f aca="false">IF(OR('THÁNG 10'!$C76="",'THÁNG 10'!$B76=""),"",'THÁNG 10'!$B76)</f>
        <v/>
      </c>
      <c r="C669" s="0" t="str">
        <f aca="false">IF('THÁNG 10'!$C76="","",'THÁNG 10'!$C76)</f>
        <v/>
      </c>
      <c r="D669" s="0" t="str">
        <f aca="false">IF('THÁNG 10'!$C76="","",'THÁNG 10'!$D76&amp;"")</f>
        <v/>
      </c>
      <c r="E669" s="0" t="str">
        <f aca="false">IF('THÁNG 10'!$C76="","",'THÁNG 10'!$E76&amp;"")</f>
        <v/>
      </c>
      <c r="F669" s="0" t="str">
        <f aca="false">IF('THÁNG 10'!$C76="","",'THÁNG 10'!$F76&amp;"")</f>
        <v/>
      </c>
      <c r="G669" s="0" t="str">
        <f aca="false">IF('THÁNG 10'!$C76="","",'THÁNG 10'!$G76&amp;"")</f>
        <v/>
      </c>
      <c r="H669" s="0" t="str">
        <f aca="false">IF('THÁNG 10'!$C76="","",'THÁNG 10'!$H76&amp;"")</f>
        <v/>
      </c>
      <c r="I669" s="0" t="str">
        <f aca="false">IF('THÁNG 10'!$C76="","",N('THÁNG 10'!$I76))</f>
        <v/>
      </c>
      <c r="J669" s="0" t="str">
        <f aca="false">IF('THÁNG 10'!$C76="","",N('THÁNG 10'!$L76))</f>
        <v/>
      </c>
      <c r="K669" s="0" t="str">
        <f aca="false">IF('THÁNG 10'!$C76="","",N('THÁNG 10'!$N76))</f>
        <v/>
      </c>
      <c r="L669" s="0" t="str">
        <f aca="false">IF('THÁNG 10'!$C76="","",N('THÁNG 10'!$O76))</f>
        <v/>
      </c>
      <c r="M669" s="0" t="str">
        <f aca="false">IF('THÁNG 10'!$C76="","",N('THÁNG 10'!$P76))</f>
        <v/>
      </c>
      <c r="N669" s="0" t="str">
        <f aca="false">IF('THÁNG 10'!$C76="","",N('THÁNG 10'!$Q76))</f>
        <v/>
      </c>
      <c r="O669" s="0" t="str">
        <f aca="false">IF('THÁNG 10'!$C76="","",N('THÁNG 10'!$R76))</f>
        <v/>
      </c>
      <c r="P669" s="0" t="str">
        <f aca="false">IF(OR('THÁNG 10'!$C76="",'THÁNG 10'!$T76=""),"",'THÁNG 10'!$T76)</f>
        <v/>
      </c>
      <c r="Q669" s="0" t="str">
        <f aca="false">IF(OR('THÁNG 10'!$C76="",'THÁNG 10'!$U76=""),"",'THÁNG 10'!$U76)</f>
        <v/>
      </c>
      <c r="R669" s="0" t="str">
        <f aca="false">IF('THÁNG 10'!$C76="","",'THÁNG 10'!$W76&amp;"")</f>
        <v/>
      </c>
      <c r="S669" s="0" t="str">
        <f aca="false">IF('THÁNG 10'!$C76="","",'THÁNG 10'!$S76&amp;"")</f>
        <v/>
      </c>
      <c r="T669" s="0" t="str">
        <f aca="false">IF(N($O669)&gt;0,COUNTIF($O$3:$O669,"&gt;0"),"")</f>
        <v/>
      </c>
      <c r="U669" s="0" t="str">
        <f aca="false">IF(AND(N($J669)&gt;0,N($K669)&gt;0),COUNTIFS($J$3:$J669,"&gt;0",$K$3:$K669,"&gt;0"),"")</f>
        <v/>
      </c>
      <c r="V669" s="0" t="str">
        <f aca="false">IF(AND(N($J669)&gt;0,N($K669)=0),COUNTIFS($J$3:$J669,"&gt;0",$K$3:$K669,"&lt;=0"),"")</f>
        <v/>
      </c>
      <c r="W669" s="0" t="str">
        <f aca="false">IF($C669="","",IF(COUNTIF($C$3:$C669,$C669)&gt;1,"",MAX($W$2:W668)+1))</f>
        <v/>
      </c>
      <c r="X669" s="0" t="str">
        <f aca="false">IF($H669="","",IF(COUNTIF($H$3:$H669,$H669)&gt;1,"",MAX($X$2:X668)+1))</f>
        <v/>
      </c>
      <c r="Y669" s="0" t="str">
        <f aca="false">IF(AND(N($M669)&gt;0,N($O669)&lt;=0),COUNTIFS($M$3:$M669,"&gt;0",$O$3:$O669,"&lt;=0"),"")</f>
        <v/>
      </c>
      <c r="Z669" s="30" t="n">
        <f aca="false">IF(OR('THÁNG 10'!$C76="",'THÁNG 10'!$B76=""),0,'THÁNG 10'!$B76)</f>
        <v>0</v>
      </c>
    </row>
    <row r="670" customFormat="false" ht="15" hidden="false" customHeight="false" outlineLevel="0" collapsed="false">
      <c r="A670" s="0" t="n">
        <v>10</v>
      </c>
      <c r="B670" s="29" t="str">
        <f aca="false">IF(OR('THÁNG 10'!$C77="",'THÁNG 10'!$B77=""),"",'THÁNG 10'!$B77)</f>
        <v/>
      </c>
      <c r="C670" s="0" t="str">
        <f aca="false">IF('THÁNG 10'!$C77="","",'THÁNG 10'!$C77)</f>
        <v/>
      </c>
      <c r="D670" s="0" t="str">
        <f aca="false">IF('THÁNG 10'!$C77="","",'THÁNG 10'!$D77&amp;"")</f>
        <v/>
      </c>
      <c r="E670" s="0" t="str">
        <f aca="false">IF('THÁNG 10'!$C77="","",'THÁNG 10'!$E77&amp;"")</f>
        <v/>
      </c>
      <c r="F670" s="0" t="str">
        <f aca="false">IF('THÁNG 10'!$C77="","",'THÁNG 10'!$F77&amp;"")</f>
        <v/>
      </c>
      <c r="G670" s="0" t="str">
        <f aca="false">IF('THÁNG 10'!$C77="","",'THÁNG 10'!$G77&amp;"")</f>
        <v/>
      </c>
      <c r="H670" s="0" t="str">
        <f aca="false">IF('THÁNG 10'!$C77="","",'THÁNG 10'!$H77&amp;"")</f>
        <v/>
      </c>
      <c r="I670" s="0" t="str">
        <f aca="false">IF('THÁNG 10'!$C77="","",N('THÁNG 10'!$I77))</f>
        <v/>
      </c>
      <c r="J670" s="0" t="str">
        <f aca="false">IF('THÁNG 10'!$C77="","",N('THÁNG 10'!$L77))</f>
        <v/>
      </c>
      <c r="K670" s="0" t="str">
        <f aca="false">IF('THÁNG 10'!$C77="","",N('THÁNG 10'!$N77))</f>
        <v/>
      </c>
      <c r="L670" s="0" t="str">
        <f aca="false">IF('THÁNG 10'!$C77="","",N('THÁNG 10'!$O77))</f>
        <v/>
      </c>
      <c r="M670" s="0" t="str">
        <f aca="false">IF('THÁNG 10'!$C77="","",N('THÁNG 10'!$P77))</f>
        <v/>
      </c>
      <c r="N670" s="0" t="str">
        <f aca="false">IF('THÁNG 10'!$C77="","",N('THÁNG 10'!$Q77))</f>
        <v/>
      </c>
      <c r="O670" s="0" t="str">
        <f aca="false">IF('THÁNG 10'!$C77="","",N('THÁNG 10'!$R77))</f>
        <v/>
      </c>
      <c r="P670" s="0" t="str">
        <f aca="false">IF(OR('THÁNG 10'!$C77="",'THÁNG 10'!$T77=""),"",'THÁNG 10'!$T77)</f>
        <v/>
      </c>
      <c r="Q670" s="0" t="str">
        <f aca="false">IF(OR('THÁNG 10'!$C77="",'THÁNG 10'!$U77=""),"",'THÁNG 10'!$U77)</f>
        <v/>
      </c>
      <c r="R670" s="0" t="str">
        <f aca="false">IF('THÁNG 10'!$C77="","",'THÁNG 10'!$W77&amp;"")</f>
        <v/>
      </c>
      <c r="S670" s="0" t="str">
        <f aca="false">IF('THÁNG 10'!$C77="","",'THÁNG 10'!$S77&amp;"")</f>
        <v/>
      </c>
      <c r="T670" s="0" t="str">
        <f aca="false">IF(N($O670)&gt;0,COUNTIF($O$3:$O670,"&gt;0"),"")</f>
        <v/>
      </c>
      <c r="U670" s="0" t="str">
        <f aca="false">IF(AND(N($J670)&gt;0,N($K670)&gt;0),COUNTIFS($J$3:$J670,"&gt;0",$K$3:$K670,"&gt;0"),"")</f>
        <v/>
      </c>
      <c r="V670" s="0" t="str">
        <f aca="false">IF(AND(N($J670)&gt;0,N($K670)=0),COUNTIFS($J$3:$J670,"&gt;0",$K$3:$K670,"&lt;=0"),"")</f>
        <v/>
      </c>
      <c r="W670" s="0" t="str">
        <f aca="false">IF($C670="","",IF(COUNTIF($C$3:$C670,$C670)&gt;1,"",MAX($W$2:W669)+1))</f>
        <v/>
      </c>
      <c r="X670" s="0" t="str">
        <f aca="false">IF($H670="","",IF(COUNTIF($H$3:$H670,$H670)&gt;1,"",MAX($X$2:X669)+1))</f>
        <v/>
      </c>
      <c r="Y670" s="0" t="str">
        <f aca="false">IF(AND(N($M670)&gt;0,N($O670)&lt;=0),COUNTIFS($M$3:$M670,"&gt;0",$O$3:$O670,"&lt;=0"),"")</f>
        <v/>
      </c>
      <c r="Z670" s="30" t="n">
        <f aca="false">IF(OR('THÁNG 10'!$C77="",'THÁNG 10'!$B77=""),0,'THÁNG 10'!$B77)</f>
        <v>0</v>
      </c>
    </row>
    <row r="671" customFormat="false" ht="15" hidden="false" customHeight="false" outlineLevel="0" collapsed="false">
      <c r="A671" s="0" t="n">
        <v>10</v>
      </c>
      <c r="B671" s="29" t="str">
        <f aca="false">IF(OR('THÁNG 10'!$C78="",'THÁNG 10'!$B78=""),"",'THÁNG 10'!$B78)</f>
        <v/>
      </c>
      <c r="C671" s="0" t="str">
        <f aca="false">IF('THÁNG 10'!$C78="","",'THÁNG 10'!$C78)</f>
        <v/>
      </c>
      <c r="D671" s="0" t="str">
        <f aca="false">IF('THÁNG 10'!$C78="","",'THÁNG 10'!$D78&amp;"")</f>
        <v/>
      </c>
      <c r="E671" s="0" t="str">
        <f aca="false">IF('THÁNG 10'!$C78="","",'THÁNG 10'!$E78&amp;"")</f>
        <v/>
      </c>
      <c r="F671" s="0" t="str">
        <f aca="false">IF('THÁNG 10'!$C78="","",'THÁNG 10'!$F78&amp;"")</f>
        <v/>
      </c>
      <c r="G671" s="0" t="str">
        <f aca="false">IF('THÁNG 10'!$C78="","",'THÁNG 10'!$G78&amp;"")</f>
        <v/>
      </c>
      <c r="H671" s="0" t="str">
        <f aca="false">IF('THÁNG 10'!$C78="","",'THÁNG 10'!$H78&amp;"")</f>
        <v/>
      </c>
      <c r="I671" s="0" t="str">
        <f aca="false">IF('THÁNG 10'!$C78="","",N('THÁNG 10'!$I78))</f>
        <v/>
      </c>
      <c r="J671" s="0" t="str">
        <f aca="false">IF('THÁNG 10'!$C78="","",N('THÁNG 10'!$L78))</f>
        <v/>
      </c>
      <c r="K671" s="0" t="str">
        <f aca="false">IF('THÁNG 10'!$C78="","",N('THÁNG 10'!$N78))</f>
        <v/>
      </c>
      <c r="L671" s="0" t="str">
        <f aca="false">IF('THÁNG 10'!$C78="","",N('THÁNG 10'!$O78))</f>
        <v/>
      </c>
      <c r="M671" s="0" t="str">
        <f aca="false">IF('THÁNG 10'!$C78="","",N('THÁNG 10'!$P78))</f>
        <v/>
      </c>
      <c r="N671" s="0" t="str">
        <f aca="false">IF('THÁNG 10'!$C78="","",N('THÁNG 10'!$Q78))</f>
        <v/>
      </c>
      <c r="O671" s="0" t="str">
        <f aca="false">IF('THÁNG 10'!$C78="","",N('THÁNG 10'!$R78))</f>
        <v/>
      </c>
      <c r="P671" s="0" t="str">
        <f aca="false">IF(OR('THÁNG 10'!$C78="",'THÁNG 10'!$T78=""),"",'THÁNG 10'!$T78)</f>
        <v/>
      </c>
      <c r="Q671" s="0" t="str">
        <f aca="false">IF(OR('THÁNG 10'!$C78="",'THÁNG 10'!$U78=""),"",'THÁNG 10'!$U78)</f>
        <v/>
      </c>
      <c r="R671" s="0" t="str">
        <f aca="false">IF('THÁNG 10'!$C78="","",'THÁNG 10'!$W78&amp;"")</f>
        <v/>
      </c>
      <c r="S671" s="0" t="str">
        <f aca="false">IF('THÁNG 10'!$C78="","",'THÁNG 10'!$S78&amp;"")</f>
        <v/>
      </c>
      <c r="T671" s="0" t="str">
        <f aca="false">IF(N($O671)&gt;0,COUNTIF($O$3:$O671,"&gt;0"),"")</f>
        <v/>
      </c>
      <c r="U671" s="0" t="str">
        <f aca="false">IF(AND(N($J671)&gt;0,N($K671)&gt;0),COUNTIFS($J$3:$J671,"&gt;0",$K$3:$K671,"&gt;0"),"")</f>
        <v/>
      </c>
      <c r="V671" s="0" t="str">
        <f aca="false">IF(AND(N($J671)&gt;0,N($K671)=0),COUNTIFS($J$3:$J671,"&gt;0",$K$3:$K671,"&lt;=0"),"")</f>
        <v/>
      </c>
      <c r="W671" s="0" t="str">
        <f aca="false">IF($C671="","",IF(COUNTIF($C$3:$C671,$C671)&gt;1,"",MAX($W$2:W670)+1))</f>
        <v/>
      </c>
      <c r="X671" s="0" t="str">
        <f aca="false">IF($H671="","",IF(COUNTIF($H$3:$H671,$H671)&gt;1,"",MAX($X$2:X670)+1))</f>
        <v/>
      </c>
      <c r="Y671" s="0" t="str">
        <f aca="false">IF(AND(N($M671)&gt;0,N($O671)&lt;=0),COUNTIFS($M$3:$M671,"&gt;0",$O$3:$O671,"&lt;=0"),"")</f>
        <v/>
      </c>
      <c r="Z671" s="30" t="n">
        <f aca="false">IF(OR('THÁNG 10'!$C78="",'THÁNG 10'!$B78=""),0,'THÁNG 10'!$B78)</f>
        <v>0</v>
      </c>
    </row>
    <row r="672" customFormat="false" ht="15" hidden="false" customHeight="false" outlineLevel="0" collapsed="false">
      <c r="A672" s="0" t="n">
        <v>10</v>
      </c>
      <c r="B672" s="29" t="str">
        <f aca="false">IF(OR('THÁNG 10'!$C79="",'THÁNG 10'!$B79=""),"",'THÁNG 10'!$B79)</f>
        <v/>
      </c>
      <c r="C672" s="0" t="str">
        <f aca="false">IF('THÁNG 10'!$C79="","",'THÁNG 10'!$C79)</f>
        <v/>
      </c>
      <c r="D672" s="0" t="str">
        <f aca="false">IF('THÁNG 10'!$C79="","",'THÁNG 10'!$D79&amp;"")</f>
        <v/>
      </c>
      <c r="E672" s="0" t="str">
        <f aca="false">IF('THÁNG 10'!$C79="","",'THÁNG 10'!$E79&amp;"")</f>
        <v/>
      </c>
      <c r="F672" s="0" t="str">
        <f aca="false">IF('THÁNG 10'!$C79="","",'THÁNG 10'!$F79&amp;"")</f>
        <v/>
      </c>
      <c r="G672" s="0" t="str">
        <f aca="false">IF('THÁNG 10'!$C79="","",'THÁNG 10'!$G79&amp;"")</f>
        <v/>
      </c>
      <c r="H672" s="0" t="str">
        <f aca="false">IF('THÁNG 10'!$C79="","",'THÁNG 10'!$H79&amp;"")</f>
        <v/>
      </c>
      <c r="I672" s="0" t="str">
        <f aca="false">IF('THÁNG 10'!$C79="","",N('THÁNG 10'!$I79))</f>
        <v/>
      </c>
      <c r="J672" s="0" t="str">
        <f aca="false">IF('THÁNG 10'!$C79="","",N('THÁNG 10'!$L79))</f>
        <v/>
      </c>
      <c r="K672" s="0" t="str">
        <f aca="false">IF('THÁNG 10'!$C79="","",N('THÁNG 10'!$N79))</f>
        <v/>
      </c>
      <c r="L672" s="0" t="str">
        <f aca="false">IF('THÁNG 10'!$C79="","",N('THÁNG 10'!$O79))</f>
        <v/>
      </c>
      <c r="M672" s="0" t="str">
        <f aca="false">IF('THÁNG 10'!$C79="","",N('THÁNG 10'!$P79))</f>
        <v/>
      </c>
      <c r="N672" s="0" t="str">
        <f aca="false">IF('THÁNG 10'!$C79="","",N('THÁNG 10'!$Q79))</f>
        <v/>
      </c>
      <c r="O672" s="0" t="str">
        <f aca="false">IF('THÁNG 10'!$C79="","",N('THÁNG 10'!$R79))</f>
        <v/>
      </c>
      <c r="P672" s="0" t="str">
        <f aca="false">IF(OR('THÁNG 10'!$C79="",'THÁNG 10'!$T79=""),"",'THÁNG 10'!$T79)</f>
        <v/>
      </c>
      <c r="Q672" s="0" t="str">
        <f aca="false">IF(OR('THÁNG 10'!$C79="",'THÁNG 10'!$U79=""),"",'THÁNG 10'!$U79)</f>
        <v/>
      </c>
      <c r="R672" s="0" t="str">
        <f aca="false">IF('THÁNG 10'!$C79="","",'THÁNG 10'!$W79&amp;"")</f>
        <v/>
      </c>
      <c r="S672" s="0" t="str">
        <f aca="false">IF('THÁNG 10'!$C79="","",'THÁNG 10'!$S79&amp;"")</f>
        <v/>
      </c>
      <c r="T672" s="0" t="str">
        <f aca="false">IF(N($O672)&gt;0,COUNTIF($O$3:$O672,"&gt;0"),"")</f>
        <v/>
      </c>
      <c r="U672" s="0" t="str">
        <f aca="false">IF(AND(N($J672)&gt;0,N($K672)&gt;0),COUNTIFS($J$3:$J672,"&gt;0",$K$3:$K672,"&gt;0"),"")</f>
        <v/>
      </c>
      <c r="V672" s="0" t="str">
        <f aca="false">IF(AND(N($J672)&gt;0,N($K672)=0),COUNTIFS($J$3:$J672,"&gt;0",$K$3:$K672,"&lt;=0"),"")</f>
        <v/>
      </c>
      <c r="W672" s="0" t="str">
        <f aca="false">IF($C672="","",IF(COUNTIF($C$3:$C672,$C672)&gt;1,"",MAX($W$2:W671)+1))</f>
        <v/>
      </c>
      <c r="X672" s="0" t="str">
        <f aca="false">IF($H672="","",IF(COUNTIF($H$3:$H672,$H672)&gt;1,"",MAX($X$2:X671)+1))</f>
        <v/>
      </c>
      <c r="Y672" s="0" t="str">
        <f aca="false">IF(AND(N($M672)&gt;0,N($O672)&lt;=0),COUNTIFS($M$3:$M672,"&gt;0",$O$3:$O672,"&lt;=0"),"")</f>
        <v/>
      </c>
      <c r="Z672" s="30" t="n">
        <f aca="false">IF(OR('THÁNG 10'!$C79="",'THÁNG 10'!$B79=""),0,'THÁNG 10'!$B79)</f>
        <v>0</v>
      </c>
    </row>
    <row r="673" customFormat="false" ht="15" hidden="false" customHeight="false" outlineLevel="0" collapsed="false">
      <c r="A673" s="0" t="n">
        <v>10</v>
      </c>
      <c r="B673" s="29" t="str">
        <f aca="false">IF(OR('THÁNG 10'!$C80="",'THÁNG 10'!$B80=""),"",'THÁNG 10'!$B80)</f>
        <v/>
      </c>
      <c r="C673" s="0" t="str">
        <f aca="false">IF('THÁNG 10'!$C80="","",'THÁNG 10'!$C80)</f>
        <v/>
      </c>
      <c r="D673" s="0" t="str">
        <f aca="false">IF('THÁNG 10'!$C80="","",'THÁNG 10'!$D80&amp;"")</f>
        <v/>
      </c>
      <c r="E673" s="0" t="str">
        <f aca="false">IF('THÁNG 10'!$C80="","",'THÁNG 10'!$E80&amp;"")</f>
        <v/>
      </c>
      <c r="F673" s="0" t="str">
        <f aca="false">IF('THÁNG 10'!$C80="","",'THÁNG 10'!$F80&amp;"")</f>
        <v/>
      </c>
      <c r="G673" s="0" t="str">
        <f aca="false">IF('THÁNG 10'!$C80="","",'THÁNG 10'!$G80&amp;"")</f>
        <v/>
      </c>
      <c r="H673" s="0" t="str">
        <f aca="false">IF('THÁNG 10'!$C80="","",'THÁNG 10'!$H80&amp;"")</f>
        <v/>
      </c>
      <c r="I673" s="0" t="str">
        <f aca="false">IF('THÁNG 10'!$C80="","",N('THÁNG 10'!$I80))</f>
        <v/>
      </c>
      <c r="J673" s="0" t="str">
        <f aca="false">IF('THÁNG 10'!$C80="","",N('THÁNG 10'!$L80))</f>
        <v/>
      </c>
      <c r="K673" s="0" t="str">
        <f aca="false">IF('THÁNG 10'!$C80="","",N('THÁNG 10'!$N80))</f>
        <v/>
      </c>
      <c r="L673" s="0" t="str">
        <f aca="false">IF('THÁNG 10'!$C80="","",N('THÁNG 10'!$O80))</f>
        <v/>
      </c>
      <c r="M673" s="0" t="str">
        <f aca="false">IF('THÁNG 10'!$C80="","",N('THÁNG 10'!$P80))</f>
        <v/>
      </c>
      <c r="N673" s="0" t="str">
        <f aca="false">IF('THÁNG 10'!$C80="","",N('THÁNG 10'!$Q80))</f>
        <v/>
      </c>
      <c r="O673" s="0" t="str">
        <f aca="false">IF('THÁNG 10'!$C80="","",N('THÁNG 10'!$R80))</f>
        <v/>
      </c>
      <c r="P673" s="0" t="str">
        <f aca="false">IF(OR('THÁNG 10'!$C80="",'THÁNG 10'!$T80=""),"",'THÁNG 10'!$T80)</f>
        <v/>
      </c>
      <c r="Q673" s="0" t="str">
        <f aca="false">IF(OR('THÁNG 10'!$C80="",'THÁNG 10'!$U80=""),"",'THÁNG 10'!$U80)</f>
        <v/>
      </c>
      <c r="R673" s="0" t="str">
        <f aca="false">IF('THÁNG 10'!$C80="","",'THÁNG 10'!$W80&amp;"")</f>
        <v/>
      </c>
      <c r="S673" s="0" t="str">
        <f aca="false">IF('THÁNG 10'!$C80="","",'THÁNG 10'!$S80&amp;"")</f>
        <v/>
      </c>
      <c r="T673" s="0" t="str">
        <f aca="false">IF(N($O673)&gt;0,COUNTIF($O$3:$O673,"&gt;0"),"")</f>
        <v/>
      </c>
      <c r="U673" s="0" t="str">
        <f aca="false">IF(AND(N($J673)&gt;0,N($K673)&gt;0),COUNTIFS($J$3:$J673,"&gt;0",$K$3:$K673,"&gt;0"),"")</f>
        <v/>
      </c>
      <c r="V673" s="0" t="str">
        <f aca="false">IF(AND(N($J673)&gt;0,N($K673)=0),COUNTIFS($J$3:$J673,"&gt;0",$K$3:$K673,"&lt;=0"),"")</f>
        <v/>
      </c>
      <c r="W673" s="0" t="str">
        <f aca="false">IF($C673="","",IF(COUNTIF($C$3:$C673,$C673)&gt;1,"",MAX($W$2:W672)+1))</f>
        <v/>
      </c>
      <c r="X673" s="0" t="str">
        <f aca="false">IF($H673="","",IF(COUNTIF($H$3:$H673,$H673)&gt;1,"",MAX($X$2:X672)+1))</f>
        <v/>
      </c>
      <c r="Y673" s="0" t="str">
        <f aca="false">IF(AND(N($M673)&gt;0,N($O673)&lt;=0),COUNTIFS($M$3:$M673,"&gt;0",$O$3:$O673,"&lt;=0"),"")</f>
        <v/>
      </c>
      <c r="Z673" s="30" t="n">
        <f aca="false">IF(OR('THÁNG 10'!$C80="",'THÁNG 10'!$B80=""),0,'THÁNG 10'!$B80)</f>
        <v>0</v>
      </c>
    </row>
    <row r="674" customFormat="false" ht="15" hidden="false" customHeight="false" outlineLevel="0" collapsed="false">
      <c r="A674" s="0" t="n">
        <v>10</v>
      </c>
      <c r="B674" s="29" t="str">
        <f aca="false">IF(OR('THÁNG 10'!$C81="",'THÁNG 10'!$B81=""),"",'THÁNG 10'!$B81)</f>
        <v/>
      </c>
      <c r="C674" s="0" t="str">
        <f aca="false">IF('THÁNG 10'!$C81="","",'THÁNG 10'!$C81)</f>
        <v/>
      </c>
      <c r="D674" s="0" t="str">
        <f aca="false">IF('THÁNG 10'!$C81="","",'THÁNG 10'!$D81&amp;"")</f>
        <v/>
      </c>
      <c r="E674" s="0" t="str">
        <f aca="false">IF('THÁNG 10'!$C81="","",'THÁNG 10'!$E81&amp;"")</f>
        <v/>
      </c>
      <c r="F674" s="0" t="str">
        <f aca="false">IF('THÁNG 10'!$C81="","",'THÁNG 10'!$F81&amp;"")</f>
        <v/>
      </c>
      <c r="G674" s="0" t="str">
        <f aca="false">IF('THÁNG 10'!$C81="","",'THÁNG 10'!$G81&amp;"")</f>
        <v/>
      </c>
      <c r="H674" s="0" t="str">
        <f aca="false">IF('THÁNG 10'!$C81="","",'THÁNG 10'!$H81&amp;"")</f>
        <v/>
      </c>
      <c r="I674" s="0" t="str">
        <f aca="false">IF('THÁNG 10'!$C81="","",N('THÁNG 10'!$I81))</f>
        <v/>
      </c>
      <c r="J674" s="0" t="str">
        <f aca="false">IF('THÁNG 10'!$C81="","",N('THÁNG 10'!$L81))</f>
        <v/>
      </c>
      <c r="K674" s="0" t="str">
        <f aca="false">IF('THÁNG 10'!$C81="","",N('THÁNG 10'!$N81))</f>
        <v/>
      </c>
      <c r="L674" s="0" t="str">
        <f aca="false">IF('THÁNG 10'!$C81="","",N('THÁNG 10'!$O81))</f>
        <v/>
      </c>
      <c r="M674" s="0" t="str">
        <f aca="false">IF('THÁNG 10'!$C81="","",N('THÁNG 10'!$P81))</f>
        <v/>
      </c>
      <c r="N674" s="0" t="str">
        <f aca="false">IF('THÁNG 10'!$C81="","",N('THÁNG 10'!$Q81))</f>
        <v/>
      </c>
      <c r="O674" s="0" t="str">
        <f aca="false">IF('THÁNG 10'!$C81="","",N('THÁNG 10'!$R81))</f>
        <v/>
      </c>
      <c r="P674" s="0" t="str">
        <f aca="false">IF(OR('THÁNG 10'!$C81="",'THÁNG 10'!$T81=""),"",'THÁNG 10'!$T81)</f>
        <v/>
      </c>
      <c r="Q674" s="0" t="str">
        <f aca="false">IF(OR('THÁNG 10'!$C81="",'THÁNG 10'!$U81=""),"",'THÁNG 10'!$U81)</f>
        <v/>
      </c>
      <c r="R674" s="0" t="str">
        <f aca="false">IF('THÁNG 10'!$C81="","",'THÁNG 10'!$W81&amp;"")</f>
        <v/>
      </c>
      <c r="S674" s="0" t="str">
        <f aca="false">IF('THÁNG 10'!$C81="","",'THÁNG 10'!$S81&amp;"")</f>
        <v/>
      </c>
      <c r="T674" s="0" t="str">
        <f aca="false">IF(N($O674)&gt;0,COUNTIF($O$3:$O674,"&gt;0"),"")</f>
        <v/>
      </c>
      <c r="U674" s="0" t="str">
        <f aca="false">IF(AND(N($J674)&gt;0,N($K674)&gt;0),COUNTIFS($J$3:$J674,"&gt;0",$K$3:$K674,"&gt;0"),"")</f>
        <v/>
      </c>
      <c r="V674" s="0" t="str">
        <f aca="false">IF(AND(N($J674)&gt;0,N($K674)=0),COUNTIFS($J$3:$J674,"&gt;0",$K$3:$K674,"&lt;=0"),"")</f>
        <v/>
      </c>
      <c r="W674" s="0" t="str">
        <f aca="false">IF($C674="","",IF(COUNTIF($C$3:$C674,$C674)&gt;1,"",MAX($W$2:W673)+1))</f>
        <v/>
      </c>
      <c r="X674" s="0" t="str">
        <f aca="false">IF($H674="","",IF(COUNTIF($H$3:$H674,$H674)&gt;1,"",MAX($X$2:X673)+1))</f>
        <v/>
      </c>
      <c r="Y674" s="0" t="str">
        <f aca="false">IF(AND(N($M674)&gt;0,N($O674)&lt;=0),COUNTIFS($M$3:$M674,"&gt;0",$O$3:$O674,"&lt;=0"),"")</f>
        <v/>
      </c>
      <c r="Z674" s="30" t="n">
        <f aca="false">IF(OR('THÁNG 10'!$C81="",'THÁNG 10'!$B81=""),0,'THÁNG 10'!$B81)</f>
        <v>0</v>
      </c>
    </row>
    <row r="675" customFormat="false" ht="15" hidden="false" customHeight="false" outlineLevel="0" collapsed="false">
      <c r="A675" s="0" t="n">
        <v>10</v>
      </c>
      <c r="B675" s="29" t="str">
        <f aca="false">IF(OR('THÁNG 10'!$C82="",'THÁNG 10'!$B82=""),"",'THÁNG 10'!$B82)</f>
        <v/>
      </c>
      <c r="C675" s="0" t="str">
        <f aca="false">IF('THÁNG 10'!$C82="","",'THÁNG 10'!$C82)</f>
        <v/>
      </c>
      <c r="D675" s="0" t="str">
        <f aca="false">IF('THÁNG 10'!$C82="","",'THÁNG 10'!$D82&amp;"")</f>
        <v/>
      </c>
      <c r="E675" s="0" t="str">
        <f aca="false">IF('THÁNG 10'!$C82="","",'THÁNG 10'!$E82&amp;"")</f>
        <v/>
      </c>
      <c r="F675" s="0" t="str">
        <f aca="false">IF('THÁNG 10'!$C82="","",'THÁNG 10'!$F82&amp;"")</f>
        <v/>
      </c>
      <c r="G675" s="0" t="str">
        <f aca="false">IF('THÁNG 10'!$C82="","",'THÁNG 10'!$G82&amp;"")</f>
        <v/>
      </c>
      <c r="H675" s="0" t="str">
        <f aca="false">IF('THÁNG 10'!$C82="","",'THÁNG 10'!$H82&amp;"")</f>
        <v/>
      </c>
      <c r="I675" s="0" t="str">
        <f aca="false">IF('THÁNG 10'!$C82="","",N('THÁNG 10'!$I82))</f>
        <v/>
      </c>
      <c r="J675" s="0" t="str">
        <f aca="false">IF('THÁNG 10'!$C82="","",N('THÁNG 10'!$L82))</f>
        <v/>
      </c>
      <c r="K675" s="0" t="str">
        <f aca="false">IF('THÁNG 10'!$C82="","",N('THÁNG 10'!$N82))</f>
        <v/>
      </c>
      <c r="L675" s="0" t="str">
        <f aca="false">IF('THÁNG 10'!$C82="","",N('THÁNG 10'!$O82))</f>
        <v/>
      </c>
      <c r="M675" s="0" t="str">
        <f aca="false">IF('THÁNG 10'!$C82="","",N('THÁNG 10'!$P82))</f>
        <v/>
      </c>
      <c r="N675" s="0" t="str">
        <f aca="false">IF('THÁNG 10'!$C82="","",N('THÁNG 10'!$Q82))</f>
        <v/>
      </c>
      <c r="O675" s="0" t="str">
        <f aca="false">IF('THÁNG 10'!$C82="","",N('THÁNG 10'!$R82))</f>
        <v/>
      </c>
      <c r="P675" s="0" t="str">
        <f aca="false">IF(OR('THÁNG 10'!$C82="",'THÁNG 10'!$T82=""),"",'THÁNG 10'!$T82)</f>
        <v/>
      </c>
      <c r="Q675" s="0" t="str">
        <f aca="false">IF(OR('THÁNG 10'!$C82="",'THÁNG 10'!$U82=""),"",'THÁNG 10'!$U82)</f>
        <v/>
      </c>
      <c r="R675" s="0" t="str">
        <f aca="false">IF('THÁNG 10'!$C82="","",'THÁNG 10'!$W82&amp;"")</f>
        <v/>
      </c>
      <c r="S675" s="0" t="str">
        <f aca="false">IF('THÁNG 10'!$C82="","",'THÁNG 10'!$S82&amp;"")</f>
        <v/>
      </c>
      <c r="T675" s="0" t="str">
        <f aca="false">IF(N($O675)&gt;0,COUNTIF($O$3:$O675,"&gt;0"),"")</f>
        <v/>
      </c>
      <c r="U675" s="0" t="str">
        <f aca="false">IF(AND(N($J675)&gt;0,N($K675)&gt;0),COUNTIFS($J$3:$J675,"&gt;0",$K$3:$K675,"&gt;0"),"")</f>
        <v/>
      </c>
      <c r="V675" s="0" t="str">
        <f aca="false">IF(AND(N($J675)&gt;0,N($K675)=0),COUNTIFS($J$3:$J675,"&gt;0",$K$3:$K675,"&lt;=0"),"")</f>
        <v/>
      </c>
      <c r="W675" s="0" t="str">
        <f aca="false">IF($C675="","",IF(COUNTIF($C$3:$C675,$C675)&gt;1,"",MAX($W$2:W674)+1))</f>
        <v/>
      </c>
      <c r="X675" s="0" t="str">
        <f aca="false">IF($H675="","",IF(COUNTIF($H$3:$H675,$H675)&gt;1,"",MAX($X$2:X674)+1))</f>
        <v/>
      </c>
      <c r="Y675" s="0" t="str">
        <f aca="false">IF(AND(N($M675)&gt;0,N($O675)&lt;=0),COUNTIFS($M$3:$M675,"&gt;0",$O$3:$O675,"&lt;=0"),"")</f>
        <v/>
      </c>
      <c r="Z675" s="30" t="n">
        <f aca="false">IF(OR('THÁNG 10'!$C82="",'THÁNG 10'!$B82=""),0,'THÁNG 10'!$B82)</f>
        <v>0</v>
      </c>
    </row>
    <row r="676" customFormat="false" ht="15" hidden="false" customHeight="false" outlineLevel="0" collapsed="false">
      <c r="A676" s="0" t="n">
        <v>10</v>
      </c>
      <c r="B676" s="29" t="str">
        <f aca="false">IF(OR('THÁNG 10'!$C83="",'THÁNG 10'!$B83=""),"",'THÁNG 10'!$B83)</f>
        <v/>
      </c>
      <c r="C676" s="0" t="str">
        <f aca="false">IF('THÁNG 10'!$C83="","",'THÁNG 10'!$C83)</f>
        <v/>
      </c>
      <c r="D676" s="0" t="str">
        <f aca="false">IF('THÁNG 10'!$C83="","",'THÁNG 10'!$D83&amp;"")</f>
        <v/>
      </c>
      <c r="E676" s="0" t="str">
        <f aca="false">IF('THÁNG 10'!$C83="","",'THÁNG 10'!$E83&amp;"")</f>
        <v/>
      </c>
      <c r="F676" s="0" t="str">
        <f aca="false">IF('THÁNG 10'!$C83="","",'THÁNG 10'!$F83&amp;"")</f>
        <v/>
      </c>
      <c r="G676" s="0" t="str">
        <f aca="false">IF('THÁNG 10'!$C83="","",'THÁNG 10'!$G83&amp;"")</f>
        <v/>
      </c>
      <c r="H676" s="0" t="str">
        <f aca="false">IF('THÁNG 10'!$C83="","",'THÁNG 10'!$H83&amp;"")</f>
        <v/>
      </c>
      <c r="I676" s="0" t="str">
        <f aca="false">IF('THÁNG 10'!$C83="","",N('THÁNG 10'!$I83))</f>
        <v/>
      </c>
      <c r="J676" s="0" t="str">
        <f aca="false">IF('THÁNG 10'!$C83="","",N('THÁNG 10'!$L83))</f>
        <v/>
      </c>
      <c r="K676" s="0" t="str">
        <f aca="false">IF('THÁNG 10'!$C83="","",N('THÁNG 10'!$N83))</f>
        <v/>
      </c>
      <c r="L676" s="0" t="str">
        <f aca="false">IF('THÁNG 10'!$C83="","",N('THÁNG 10'!$O83))</f>
        <v/>
      </c>
      <c r="M676" s="0" t="str">
        <f aca="false">IF('THÁNG 10'!$C83="","",N('THÁNG 10'!$P83))</f>
        <v/>
      </c>
      <c r="N676" s="0" t="str">
        <f aca="false">IF('THÁNG 10'!$C83="","",N('THÁNG 10'!$Q83))</f>
        <v/>
      </c>
      <c r="O676" s="0" t="str">
        <f aca="false">IF('THÁNG 10'!$C83="","",N('THÁNG 10'!$R83))</f>
        <v/>
      </c>
      <c r="P676" s="0" t="str">
        <f aca="false">IF(OR('THÁNG 10'!$C83="",'THÁNG 10'!$T83=""),"",'THÁNG 10'!$T83)</f>
        <v/>
      </c>
      <c r="Q676" s="0" t="str">
        <f aca="false">IF(OR('THÁNG 10'!$C83="",'THÁNG 10'!$U83=""),"",'THÁNG 10'!$U83)</f>
        <v/>
      </c>
      <c r="R676" s="0" t="str">
        <f aca="false">IF('THÁNG 10'!$C83="","",'THÁNG 10'!$W83&amp;"")</f>
        <v/>
      </c>
      <c r="S676" s="0" t="str">
        <f aca="false">IF('THÁNG 10'!$C83="","",'THÁNG 10'!$S83&amp;"")</f>
        <v/>
      </c>
      <c r="T676" s="0" t="str">
        <f aca="false">IF(N($O676)&gt;0,COUNTIF($O$3:$O676,"&gt;0"),"")</f>
        <v/>
      </c>
      <c r="U676" s="0" t="str">
        <f aca="false">IF(AND(N($J676)&gt;0,N($K676)&gt;0),COUNTIFS($J$3:$J676,"&gt;0",$K$3:$K676,"&gt;0"),"")</f>
        <v/>
      </c>
      <c r="V676" s="0" t="str">
        <f aca="false">IF(AND(N($J676)&gt;0,N($K676)=0),COUNTIFS($J$3:$J676,"&gt;0",$K$3:$K676,"&lt;=0"),"")</f>
        <v/>
      </c>
      <c r="W676" s="0" t="str">
        <f aca="false">IF($C676="","",IF(COUNTIF($C$3:$C676,$C676)&gt;1,"",MAX($W$2:W675)+1))</f>
        <v/>
      </c>
      <c r="X676" s="0" t="str">
        <f aca="false">IF($H676="","",IF(COUNTIF($H$3:$H676,$H676)&gt;1,"",MAX($X$2:X675)+1))</f>
        <v/>
      </c>
      <c r="Y676" s="0" t="str">
        <f aca="false">IF(AND(N($M676)&gt;0,N($O676)&lt;=0),COUNTIFS($M$3:$M676,"&gt;0",$O$3:$O676,"&lt;=0"),"")</f>
        <v/>
      </c>
      <c r="Z676" s="30" t="n">
        <f aca="false">IF(OR('THÁNG 10'!$C83="",'THÁNG 10'!$B83=""),0,'THÁNG 10'!$B83)</f>
        <v>0</v>
      </c>
    </row>
    <row r="677" customFormat="false" ht="15" hidden="false" customHeight="false" outlineLevel="0" collapsed="false">
      <c r="A677" s="0" t="n">
        <v>10</v>
      </c>
      <c r="B677" s="29" t="str">
        <f aca="false">IF(OR('THÁNG 10'!$C84="",'THÁNG 10'!$B84=""),"",'THÁNG 10'!$B84)</f>
        <v/>
      </c>
      <c r="C677" s="0" t="str">
        <f aca="false">IF('THÁNG 10'!$C84="","",'THÁNG 10'!$C84)</f>
        <v/>
      </c>
      <c r="D677" s="0" t="str">
        <f aca="false">IF('THÁNG 10'!$C84="","",'THÁNG 10'!$D84&amp;"")</f>
        <v/>
      </c>
      <c r="E677" s="0" t="str">
        <f aca="false">IF('THÁNG 10'!$C84="","",'THÁNG 10'!$E84&amp;"")</f>
        <v/>
      </c>
      <c r="F677" s="0" t="str">
        <f aca="false">IF('THÁNG 10'!$C84="","",'THÁNG 10'!$F84&amp;"")</f>
        <v/>
      </c>
      <c r="G677" s="0" t="str">
        <f aca="false">IF('THÁNG 10'!$C84="","",'THÁNG 10'!$G84&amp;"")</f>
        <v/>
      </c>
      <c r="H677" s="0" t="str">
        <f aca="false">IF('THÁNG 10'!$C84="","",'THÁNG 10'!$H84&amp;"")</f>
        <v/>
      </c>
      <c r="I677" s="0" t="str">
        <f aca="false">IF('THÁNG 10'!$C84="","",N('THÁNG 10'!$I84))</f>
        <v/>
      </c>
      <c r="J677" s="0" t="str">
        <f aca="false">IF('THÁNG 10'!$C84="","",N('THÁNG 10'!$L84))</f>
        <v/>
      </c>
      <c r="K677" s="0" t="str">
        <f aca="false">IF('THÁNG 10'!$C84="","",N('THÁNG 10'!$N84))</f>
        <v/>
      </c>
      <c r="L677" s="0" t="str">
        <f aca="false">IF('THÁNG 10'!$C84="","",N('THÁNG 10'!$O84))</f>
        <v/>
      </c>
      <c r="M677" s="0" t="str">
        <f aca="false">IF('THÁNG 10'!$C84="","",N('THÁNG 10'!$P84))</f>
        <v/>
      </c>
      <c r="N677" s="0" t="str">
        <f aca="false">IF('THÁNG 10'!$C84="","",N('THÁNG 10'!$Q84))</f>
        <v/>
      </c>
      <c r="O677" s="0" t="str">
        <f aca="false">IF('THÁNG 10'!$C84="","",N('THÁNG 10'!$R84))</f>
        <v/>
      </c>
      <c r="P677" s="0" t="str">
        <f aca="false">IF(OR('THÁNG 10'!$C84="",'THÁNG 10'!$T84=""),"",'THÁNG 10'!$T84)</f>
        <v/>
      </c>
      <c r="Q677" s="0" t="str">
        <f aca="false">IF(OR('THÁNG 10'!$C84="",'THÁNG 10'!$U84=""),"",'THÁNG 10'!$U84)</f>
        <v/>
      </c>
      <c r="R677" s="0" t="str">
        <f aca="false">IF('THÁNG 10'!$C84="","",'THÁNG 10'!$W84&amp;"")</f>
        <v/>
      </c>
      <c r="S677" s="0" t="str">
        <f aca="false">IF('THÁNG 10'!$C84="","",'THÁNG 10'!$S84&amp;"")</f>
        <v/>
      </c>
      <c r="T677" s="0" t="str">
        <f aca="false">IF(N($O677)&gt;0,COUNTIF($O$3:$O677,"&gt;0"),"")</f>
        <v/>
      </c>
      <c r="U677" s="0" t="str">
        <f aca="false">IF(AND(N($J677)&gt;0,N($K677)&gt;0),COUNTIFS($J$3:$J677,"&gt;0",$K$3:$K677,"&gt;0"),"")</f>
        <v/>
      </c>
      <c r="V677" s="0" t="str">
        <f aca="false">IF(AND(N($J677)&gt;0,N($K677)=0),COUNTIFS($J$3:$J677,"&gt;0",$K$3:$K677,"&lt;=0"),"")</f>
        <v/>
      </c>
      <c r="W677" s="0" t="str">
        <f aca="false">IF($C677="","",IF(COUNTIF($C$3:$C677,$C677)&gt;1,"",MAX($W$2:W676)+1))</f>
        <v/>
      </c>
      <c r="X677" s="0" t="str">
        <f aca="false">IF($H677="","",IF(COUNTIF($H$3:$H677,$H677)&gt;1,"",MAX($X$2:X676)+1))</f>
        <v/>
      </c>
      <c r="Y677" s="0" t="str">
        <f aca="false">IF(AND(N($M677)&gt;0,N($O677)&lt;=0),COUNTIFS($M$3:$M677,"&gt;0",$O$3:$O677,"&lt;=0"),"")</f>
        <v/>
      </c>
      <c r="Z677" s="30" t="n">
        <f aca="false">IF(OR('THÁNG 10'!$C84="",'THÁNG 10'!$B84=""),0,'THÁNG 10'!$B84)</f>
        <v>0</v>
      </c>
    </row>
    <row r="678" customFormat="false" ht="15" hidden="false" customHeight="false" outlineLevel="0" collapsed="false">
      <c r="A678" s="0" t="n">
        <v>10</v>
      </c>
      <c r="B678" s="29" t="str">
        <f aca="false">IF(OR('THÁNG 10'!$C85="",'THÁNG 10'!$B85=""),"",'THÁNG 10'!$B85)</f>
        <v/>
      </c>
      <c r="C678" s="0" t="str">
        <f aca="false">IF('THÁNG 10'!$C85="","",'THÁNG 10'!$C85)</f>
        <v/>
      </c>
      <c r="D678" s="0" t="str">
        <f aca="false">IF('THÁNG 10'!$C85="","",'THÁNG 10'!$D85&amp;"")</f>
        <v/>
      </c>
      <c r="E678" s="0" t="str">
        <f aca="false">IF('THÁNG 10'!$C85="","",'THÁNG 10'!$E85&amp;"")</f>
        <v/>
      </c>
      <c r="F678" s="0" t="str">
        <f aca="false">IF('THÁNG 10'!$C85="","",'THÁNG 10'!$F85&amp;"")</f>
        <v/>
      </c>
      <c r="G678" s="0" t="str">
        <f aca="false">IF('THÁNG 10'!$C85="","",'THÁNG 10'!$G85&amp;"")</f>
        <v/>
      </c>
      <c r="H678" s="0" t="str">
        <f aca="false">IF('THÁNG 10'!$C85="","",'THÁNG 10'!$H85&amp;"")</f>
        <v/>
      </c>
      <c r="I678" s="0" t="str">
        <f aca="false">IF('THÁNG 10'!$C85="","",N('THÁNG 10'!$I85))</f>
        <v/>
      </c>
      <c r="J678" s="0" t="str">
        <f aca="false">IF('THÁNG 10'!$C85="","",N('THÁNG 10'!$L85))</f>
        <v/>
      </c>
      <c r="K678" s="0" t="str">
        <f aca="false">IF('THÁNG 10'!$C85="","",N('THÁNG 10'!$N85))</f>
        <v/>
      </c>
      <c r="L678" s="0" t="str">
        <f aca="false">IF('THÁNG 10'!$C85="","",N('THÁNG 10'!$O85))</f>
        <v/>
      </c>
      <c r="M678" s="0" t="str">
        <f aca="false">IF('THÁNG 10'!$C85="","",N('THÁNG 10'!$P85))</f>
        <v/>
      </c>
      <c r="N678" s="0" t="str">
        <f aca="false">IF('THÁNG 10'!$C85="","",N('THÁNG 10'!$Q85))</f>
        <v/>
      </c>
      <c r="O678" s="0" t="str">
        <f aca="false">IF('THÁNG 10'!$C85="","",N('THÁNG 10'!$R85))</f>
        <v/>
      </c>
      <c r="P678" s="0" t="str">
        <f aca="false">IF(OR('THÁNG 10'!$C85="",'THÁNG 10'!$T85=""),"",'THÁNG 10'!$T85)</f>
        <v/>
      </c>
      <c r="Q678" s="0" t="str">
        <f aca="false">IF(OR('THÁNG 10'!$C85="",'THÁNG 10'!$U85=""),"",'THÁNG 10'!$U85)</f>
        <v/>
      </c>
      <c r="R678" s="0" t="str">
        <f aca="false">IF('THÁNG 10'!$C85="","",'THÁNG 10'!$W85&amp;"")</f>
        <v/>
      </c>
      <c r="S678" s="0" t="str">
        <f aca="false">IF('THÁNG 10'!$C85="","",'THÁNG 10'!$S85&amp;"")</f>
        <v/>
      </c>
      <c r="T678" s="0" t="str">
        <f aca="false">IF(N($O678)&gt;0,COUNTIF($O$3:$O678,"&gt;0"),"")</f>
        <v/>
      </c>
      <c r="U678" s="0" t="str">
        <f aca="false">IF(AND(N($J678)&gt;0,N($K678)&gt;0),COUNTIFS($J$3:$J678,"&gt;0",$K$3:$K678,"&gt;0"),"")</f>
        <v/>
      </c>
      <c r="V678" s="0" t="str">
        <f aca="false">IF(AND(N($J678)&gt;0,N($K678)=0),COUNTIFS($J$3:$J678,"&gt;0",$K$3:$K678,"&lt;=0"),"")</f>
        <v/>
      </c>
      <c r="W678" s="0" t="str">
        <f aca="false">IF($C678="","",IF(COUNTIF($C$3:$C678,$C678)&gt;1,"",MAX($W$2:W677)+1))</f>
        <v/>
      </c>
      <c r="X678" s="0" t="str">
        <f aca="false">IF($H678="","",IF(COUNTIF($H$3:$H678,$H678)&gt;1,"",MAX($X$2:X677)+1))</f>
        <v/>
      </c>
      <c r="Y678" s="0" t="str">
        <f aca="false">IF(AND(N($M678)&gt;0,N($O678)&lt;=0),COUNTIFS($M$3:$M678,"&gt;0",$O$3:$O678,"&lt;=0"),"")</f>
        <v/>
      </c>
      <c r="Z678" s="30" t="n">
        <f aca="false">IF(OR('THÁNG 10'!$C85="",'THÁNG 10'!$B85=""),0,'THÁNG 10'!$B85)</f>
        <v>0</v>
      </c>
    </row>
    <row r="679" customFormat="false" ht="15" hidden="false" customHeight="false" outlineLevel="0" collapsed="false">
      <c r="A679" s="0" t="n">
        <v>10</v>
      </c>
      <c r="B679" s="29" t="str">
        <f aca="false">IF(OR('THÁNG 10'!$C86="",'THÁNG 10'!$B86=""),"",'THÁNG 10'!$B86)</f>
        <v/>
      </c>
      <c r="C679" s="0" t="str">
        <f aca="false">IF('THÁNG 10'!$C86="","",'THÁNG 10'!$C86)</f>
        <v/>
      </c>
      <c r="D679" s="0" t="str">
        <f aca="false">IF('THÁNG 10'!$C86="","",'THÁNG 10'!$D86&amp;"")</f>
        <v/>
      </c>
      <c r="E679" s="0" t="str">
        <f aca="false">IF('THÁNG 10'!$C86="","",'THÁNG 10'!$E86&amp;"")</f>
        <v/>
      </c>
      <c r="F679" s="0" t="str">
        <f aca="false">IF('THÁNG 10'!$C86="","",'THÁNG 10'!$F86&amp;"")</f>
        <v/>
      </c>
      <c r="G679" s="0" t="str">
        <f aca="false">IF('THÁNG 10'!$C86="","",'THÁNG 10'!$G86&amp;"")</f>
        <v/>
      </c>
      <c r="H679" s="0" t="str">
        <f aca="false">IF('THÁNG 10'!$C86="","",'THÁNG 10'!$H86&amp;"")</f>
        <v/>
      </c>
      <c r="I679" s="0" t="str">
        <f aca="false">IF('THÁNG 10'!$C86="","",N('THÁNG 10'!$I86))</f>
        <v/>
      </c>
      <c r="J679" s="0" t="str">
        <f aca="false">IF('THÁNG 10'!$C86="","",N('THÁNG 10'!$L86))</f>
        <v/>
      </c>
      <c r="K679" s="0" t="str">
        <f aca="false">IF('THÁNG 10'!$C86="","",N('THÁNG 10'!$N86))</f>
        <v/>
      </c>
      <c r="L679" s="0" t="str">
        <f aca="false">IF('THÁNG 10'!$C86="","",N('THÁNG 10'!$O86))</f>
        <v/>
      </c>
      <c r="M679" s="0" t="str">
        <f aca="false">IF('THÁNG 10'!$C86="","",N('THÁNG 10'!$P86))</f>
        <v/>
      </c>
      <c r="N679" s="0" t="str">
        <f aca="false">IF('THÁNG 10'!$C86="","",N('THÁNG 10'!$Q86))</f>
        <v/>
      </c>
      <c r="O679" s="0" t="str">
        <f aca="false">IF('THÁNG 10'!$C86="","",N('THÁNG 10'!$R86))</f>
        <v/>
      </c>
      <c r="P679" s="0" t="str">
        <f aca="false">IF(OR('THÁNG 10'!$C86="",'THÁNG 10'!$T86=""),"",'THÁNG 10'!$T86)</f>
        <v/>
      </c>
      <c r="Q679" s="0" t="str">
        <f aca="false">IF(OR('THÁNG 10'!$C86="",'THÁNG 10'!$U86=""),"",'THÁNG 10'!$U86)</f>
        <v/>
      </c>
      <c r="R679" s="0" t="str">
        <f aca="false">IF('THÁNG 10'!$C86="","",'THÁNG 10'!$W86&amp;"")</f>
        <v/>
      </c>
      <c r="S679" s="0" t="str">
        <f aca="false">IF('THÁNG 10'!$C86="","",'THÁNG 10'!$S86&amp;"")</f>
        <v/>
      </c>
      <c r="T679" s="0" t="str">
        <f aca="false">IF(N($O679)&gt;0,COUNTIF($O$3:$O679,"&gt;0"),"")</f>
        <v/>
      </c>
      <c r="U679" s="0" t="str">
        <f aca="false">IF(AND(N($J679)&gt;0,N($K679)&gt;0),COUNTIFS($J$3:$J679,"&gt;0",$K$3:$K679,"&gt;0"),"")</f>
        <v/>
      </c>
      <c r="V679" s="0" t="str">
        <f aca="false">IF(AND(N($J679)&gt;0,N($K679)=0),COUNTIFS($J$3:$J679,"&gt;0",$K$3:$K679,"&lt;=0"),"")</f>
        <v/>
      </c>
      <c r="W679" s="0" t="str">
        <f aca="false">IF($C679="","",IF(COUNTIF($C$3:$C679,$C679)&gt;1,"",MAX($W$2:W678)+1))</f>
        <v/>
      </c>
      <c r="X679" s="0" t="str">
        <f aca="false">IF($H679="","",IF(COUNTIF($H$3:$H679,$H679)&gt;1,"",MAX($X$2:X678)+1))</f>
        <v/>
      </c>
      <c r="Y679" s="0" t="str">
        <f aca="false">IF(AND(N($M679)&gt;0,N($O679)&lt;=0),COUNTIFS($M$3:$M679,"&gt;0",$O$3:$O679,"&lt;=0"),"")</f>
        <v/>
      </c>
      <c r="Z679" s="30" t="n">
        <f aca="false">IF(OR('THÁNG 10'!$C86="",'THÁNG 10'!$B86=""),0,'THÁNG 10'!$B86)</f>
        <v>0</v>
      </c>
    </row>
    <row r="680" customFormat="false" ht="15" hidden="false" customHeight="false" outlineLevel="0" collapsed="false">
      <c r="A680" s="0" t="n">
        <v>10</v>
      </c>
      <c r="B680" s="29" t="str">
        <f aca="false">IF(OR('THÁNG 10'!$C87="",'THÁNG 10'!$B87=""),"",'THÁNG 10'!$B87)</f>
        <v/>
      </c>
      <c r="C680" s="0" t="str">
        <f aca="false">IF('THÁNG 10'!$C87="","",'THÁNG 10'!$C87)</f>
        <v/>
      </c>
      <c r="D680" s="0" t="str">
        <f aca="false">IF('THÁNG 10'!$C87="","",'THÁNG 10'!$D87&amp;"")</f>
        <v/>
      </c>
      <c r="E680" s="0" t="str">
        <f aca="false">IF('THÁNG 10'!$C87="","",'THÁNG 10'!$E87&amp;"")</f>
        <v/>
      </c>
      <c r="F680" s="0" t="str">
        <f aca="false">IF('THÁNG 10'!$C87="","",'THÁNG 10'!$F87&amp;"")</f>
        <v/>
      </c>
      <c r="G680" s="0" t="str">
        <f aca="false">IF('THÁNG 10'!$C87="","",'THÁNG 10'!$G87&amp;"")</f>
        <v/>
      </c>
      <c r="H680" s="0" t="str">
        <f aca="false">IF('THÁNG 10'!$C87="","",'THÁNG 10'!$H87&amp;"")</f>
        <v/>
      </c>
      <c r="I680" s="0" t="str">
        <f aca="false">IF('THÁNG 10'!$C87="","",N('THÁNG 10'!$I87))</f>
        <v/>
      </c>
      <c r="J680" s="0" t="str">
        <f aca="false">IF('THÁNG 10'!$C87="","",N('THÁNG 10'!$L87))</f>
        <v/>
      </c>
      <c r="K680" s="0" t="str">
        <f aca="false">IF('THÁNG 10'!$C87="","",N('THÁNG 10'!$N87))</f>
        <v/>
      </c>
      <c r="L680" s="0" t="str">
        <f aca="false">IF('THÁNG 10'!$C87="","",N('THÁNG 10'!$O87))</f>
        <v/>
      </c>
      <c r="M680" s="0" t="str">
        <f aca="false">IF('THÁNG 10'!$C87="","",N('THÁNG 10'!$P87))</f>
        <v/>
      </c>
      <c r="N680" s="0" t="str">
        <f aca="false">IF('THÁNG 10'!$C87="","",N('THÁNG 10'!$Q87))</f>
        <v/>
      </c>
      <c r="O680" s="0" t="str">
        <f aca="false">IF('THÁNG 10'!$C87="","",N('THÁNG 10'!$R87))</f>
        <v/>
      </c>
      <c r="P680" s="0" t="str">
        <f aca="false">IF(OR('THÁNG 10'!$C87="",'THÁNG 10'!$T87=""),"",'THÁNG 10'!$T87)</f>
        <v/>
      </c>
      <c r="Q680" s="0" t="str">
        <f aca="false">IF(OR('THÁNG 10'!$C87="",'THÁNG 10'!$U87=""),"",'THÁNG 10'!$U87)</f>
        <v/>
      </c>
      <c r="R680" s="0" t="str">
        <f aca="false">IF('THÁNG 10'!$C87="","",'THÁNG 10'!$W87&amp;"")</f>
        <v/>
      </c>
      <c r="S680" s="0" t="str">
        <f aca="false">IF('THÁNG 10'!$C87="","",'THÁNG 10'!$S87&amp;"")</f>
        <v/>
      </c>
      <c r="T680" s="0" t="str">
        <f aca="false">IF(N($O680)&gt;0,COUNTIF($O$3:$O680,"&gt;0"),"")</f>
        <v/>
      </c>
      <c r="U680" s="0" t="str">
        <f aca="false">IF(AND(N($J680)&gt;0,N($K680)&gt;0),COUNTIFS($J$3:$J680,"&gt;0",$K$3:$K680,"&gt;0"),"")</f>
        <v/>
      </c>
      <c r="V680" s="0" t="str">
        <f aca="false">IF(AND(N($J680)&gt;0,N($K680)=0),COUNTIFS($J$3:$J680,"&gt;0",$K$3:$K680,"&lt;=0"),"")</f>
        <v/>
      </c>
      <c r="W680" s="0" t="str">
        <f aca="false">IF($C680="","",IF(COUNTIF($C$3:$C680,$C680)&gt;1,"",MAX($W$2:W679)+1))</f>
        <v/>
      </c>
      <c r="X680" s="0" t="str">
        <f aca="false">IF($H680="","",IF(COUNTIF($H$3:$H680,$H680)&gt;1,"",MAX($X$2:X679)+1))</f>
        <v/>
      </c>
      <c r="Y680" s="0" t="str">
        <f aca="false">IF(AND(N($M680)&gt;0,N($O680)&lt;=0),COUNTIFS($M$3:$M680,"&gt;0",$O$3:$O680,"&lt;=0"),"")</f>
        <v/>
      </c>
      <c r="Z680" s="30" t="n">
        <f aca="false">IF(OR('THÁNG 10'!$C87="",'THÁNG 10'!$B87=""),0,'THÁNG 10'!$B87)</f>
        <v>0</v>
      </c>
    </row>
    <row r="681" customFormat="false" ht="15" hidden="false" customHeight="false" outlineLevel="0" collapsed="false">
      <c r="A681" s="0" t="n">
        <v>10</v>
      </c>
      <c r="B681" s="29" t="str">
        <f aca="false">IF(OR('THÁNG 10'!$C88="",'THÁNG 10'!$B88=""),"",'THÁNG 10'!$B88)</f>
        <v/>
      </c>
      <c r="C681" s="0" t="str">
        <f aca="false">IF('THÁNG 10'!$C88="","",'THÁNG 10'!$C88)</f>
        <v/>
      </c>
      <c r="D681" s="0" t="str">
        <f aca="false">IF('THÁNG 10'!$C88="","",'THÁNG 10'!$D88&amp;"")</f>
        <v/>
      </c>
      <c r="E681" s="0" t="str">
        <f aca="false">IF('THÁNG 10'!$C88="","",'THÁNG 10'!$E88&amp;"")</f>
        <v/>
      </c>
      <c r="F681" s="0" t="str">
        <f aca="false">IF('THÁNG 10'!$C88="","",'THÁNG 10'!$F88&amp;"")</f>
        <v/>
      </c>
      <c r="G681" s="0" t="str">
        <f aca="false">IF('THÁNG 10'!$C88="","",'THÁNG 10'!$G88&amp;"")</f>
        <v/>
      </c>
      <c r="H681" s="0" t="str">
        <f aca="false">IF('THÁNG 10'!$C88="","",'THÁNG 10'!$H88&amp;"")</f>
        <v/>
      </c>
      <c r="I681" s="0" t="str">
        <f aca="false">IF('THÁNG 10'!$C88="","",N('THÁNG 10'!$I88))</f>
        <v/>
      </c>
      <c r="J681" s="0" t="str">
        <f aca="false">IF('THÁNG 10'!$C88="","",N('THÁNG 10'!$L88))</f>
        <v/>
      </c>
      <c r="K681" s="0" t="str">
        <f aca="false">IF('THÁNG 10'!$C88="","",N('THÁNG 10'!$N88))</f>
        <v/>
      </c>
      <c r="L681" s="0" t="str">
        <f aca="false">IF('THÁNG 10'!$C88="","",N('THÁNG 10'!$O88))</f>
        <v/>
      </c>
      <c r="M681" s="0" t="str">
        <f aca="false">IF('THÁNG 10'!$C88="","",N('THÁNG 10'!$P88))</f>
        <v/>
      </c>
      <c r="N681" s="0" t="str">
        <f aca="false">IF('THÁNG 10'!$C88="","",N('THÁNG 10'!$Q88))</f>
        <v/>
      </c>
      <c r="O681" s="0" t="str">
        <f aca="false">IF('THÁNG 10'!$C88="","",N('THÁNG 10'!$R88))</f>
        <v/>
      </c>
      <c r="P681" s="0" t="str">
        <f aca="false">IF(OR('THÁNG 10'!$C88="",'THÁNG 10'!$T88=""),"",'THÁNG 10'!$T88)</f>
        <v/>
      </c>
      <c r="Q681" s="0" t="str">
        <f aca="false">IF(OR('THÁNG 10'!$C88="",'THÁNG 10'!$U88=""),"",'THÁNG 10'!$U88)</f>
        <v/>
      </c>
      <c r="R681" s="0" t="str">
        <f aca="false">IF('THÁNG 10'!$C88="","",'THÁNG 10'!$W88&amp;"")</f>
        <v/>
      </c>
      <c r="S681" s="0" t="str">
        <f aca="false">IF('THÁNG 10'!$C88="","",'THÁNG 10'!$S88&amp;"")</f>
        <v/>
      </c>
      <c r="T681" s="0" t="str">
        <f aca="false">IF(N($O681)&gt;0,COUNTIF($O$3:$O681,"&gt;0"),"")</f>
        <v/>
      </c>
      <c r="U681" s="0" t="str">
        <f aca="false">IF(AND(N($J681)&gt;0,N($K681)&gt;0),COUNTIFS($J$3:$J681,"&gt;0",$K$3:$K681,"&gt;0"),"")</f>
        <v/>
      </c>
      <c r="V681" s="0" t="str">
        <f aca="false">IF(AND(N($J681)&gt;0,N($K681)=0),COUNTIFS($J$3:$J681,"&gt;0",$K$3:$K681,"&lt;=0"),"")</f>
        <v/>
      </c>
      <c r="W681" s="0" t="str">
        <f aca="false">IF($C681="","",IF(COUNTIF($C$3:$C681,$C681)&gt;1,"",MAX($W$2:W680)+1))</f>
        <v/>
      </c>
      <c r="X681" s="0" t="str">
        <f aca="false">IF($H681="","",IF(COUNTIF($H$3:$H681,$H681)&gt;1,"",MAX($X$2:X680)+1))</f>
        <v/>
      </c>
      <c r="Y681" s="0" t="str">
        <f aca="false">IF(AND(N($M681)&gt;0,N($O681)&lt;=0),COUNTIFS($M$3:$M681,"&gt;0",$O$3:$O681,"&lt;=0"),"")</f>
        <v/>
      </c>
      <c r="Z681" s="30" t="n">
        <f aca="false">IF(OR('THÁNG 10'!$C88="",'THÁNG 10'!$B88=""),0,'THÁNG 10'!$B88)</f>
        <v>0</v>
      </c>
    </row>
    <row r="682" customFormat="false" ht="15" hidden="false" customHeight="false" outlineLevel="0" collapsed="false">
      <c r="A682" s="0" t="n">
        <v>10</v>
      </c>
      <c r="B682" s="29" t="str">
        <f aca="false">IF(OR('THÁNG 10'!$C89="",'THÁNG 10'!$B89=""),"",'THÁNG 10'!$B89)</f>
        <v/>
      </c>
      <c r="C682" s="0" t="str">
        <f aca="false">IF('THÁNG 10'!$C89="","",'THÁNG 10'!$C89)</f>
        <v/>
      </c>
      <c r="D682" s="0" t="str">
        <f aca="false">IF('THÁNG 10'!$C89="","",'THÁNG 10'!$D89&amp;"")</f>
        <v/>
      </c>
      <c r="E682" s="0" t="str">
        <f aca="false">IF('THÁNG 10'!$C89="","",'THÁNG 10'!$E89&amp;"")</f>
        <v/>
      </c>
      <c r="F682" s="0" t="str">
        <f aca="false">IF('THÁNG 10'!$C89="","",'THÁNG 10'!$F89&amp;"")</f>
        <v/>
      </c>
      <c r="G682" s="0" t="str">
        <f aca="false">IF('THÁNG 10'!$C89="","",'THÁNG 10'!$G89&amp;"")</f>
        <v/>
      </c>
      <c r="H682" s="0" t="str">
        <f aca="false">IF('THÁNG 10'!$C89="","",'THÁNG 10'!$H89&amp;"")</f>
        <v/>
      </c>
      <c r="I682" s="0" t="str">
        <f aca="false">IF('THÁNG 10'!$C89="","",N('THÁNG 10'!$I89))</f>
        <v/>
      </c>
      <c r="J682" s="0" t="str">
        <f aca="false">IF('THÁNG 10'!$C89="","",N('THÁNG 10'!$L89))</f>
        <v/>
      </c>
      <c r="K682" s="0" t="str">
        <f aca="false">IF('THÁNG 10'!$C89="","",N('THÁNG 10'!$N89))</f>
        <v/>
      </c>
      <c r="L682" s="0" t="str">
        <f aca="false">IF('THÁNG 10'!$C89="","",N('THÁNG 10'!$O89))</f>
        <v/>
      </c>
      <c r="M682" s="0" t="str">
        <f aca="false">IF('THÁNG 10'!$C89="","",N('THÁNG 10'!$P89))</f>
        <v/>
      </c>
      <c r="N682" s="0" t="str">
        <f aca="false">IF('THÁNG 10'!$C89="","",N('THÁNG 10'!$Q89))</f>
        <v/>
      </c>
      <c r="O682" s="0" t="str">
        <f aca="false">IF('THÁNG 10'!$C89="","",N('THÁNG 10'!$R89))</f>
        <v/>
      </c>
      <c r="P682" s="0" t="str">
        <f aca="false">IF(OR('THÁNG 10'!$C89="",'THÁNG 10'!$T89=""),"",'THÁNG 10'!$T89)</f>
        <v/>
      </c>
      <c r="Q682" s="0" t="str">
        <f aca="false">IF(OR('THÁNG 10'!$C89="",'THÁNG 10'!$U89=""),"",'THÁNG 10'!$U89)</f>
        <v/>
      </c>
      <c r="R682" s="0" t="str">
        <f aca="false">IF('THÁNG 10'!$C89="","",'THÁNG 10'!$W89&amp;"")</f>
        <v/>
      </c>
      <c r="S682" s="0" t="str">
        <f aca="false">IF('THÁNG 10'!$C89="","",'THÁNG 10'!$S89&amp;"")</f>
        <v/>
      </c>
      <c r="T682" s="0" t="str">
        <f aca="false">IF(N($O682)&gt;0,COUNTIF($O$3:$O682,"&gt;0"),"")</f>
        <v/>
      </c>
      <c r="U682" s="0" t="str">
        <f aca="false">IF(AND(N($J682)&gt;0,N($K682)&gt;0),COUNTIFS($J$3:$J682,"&gt;0",$K$3:$K682,"&gt;0"),"")</f>
        <v/>
      </c>
      <c r="V682" s="0" t="str">
        <f aca="false">IF(AND(N($J682)&gt;0,N($K682)=0),COUNTIFS($J$3:$J682,"&gt;0",$K$3:$K682,"&lt;=0"),"")</f>
        <v/>
      </c>
      <c r="W682" s="0" t="str">
        <f aca="false">IF($C682="","",IF(COUNTIF($C$3:$C682,$C682)&gt;1,"",MAX($W$2:W681)+1))</f>
        <v/>
      </c>
      <c r="X682" s="0" t="str">
        <f aca="false">IF($H682="","",IF(COUNTIF($H$3:$H682,$H682)&gt;1,"",MAX($X$2:X681)+1))</f>
        <v/>
      </c>
      <c r="Y682" s="0" t="str">
        <f aca="false">IF(AND(N($M682)&gt;0,N($O682)&lt;=0),COUNTIFS($M$3:$M682,"&gt;0",$O$3:$O682,"&lt;=0"),"")</f>
        <v/>
      </c>
      <c r="Z682" s="30" t="n">
        <f aca="false">IF(OR('THÁNG 10'!$C89="",'THÁNG 10'!$B89=""),0,'THÁNG 10'!$B89)</f>
        <v>0</v>
      </c>
    </row>
    <row r="683" customFormat="false" ht="15" hidden="false" customHeight="false" outlineLevel="0" collapsed="false">
      <c r="A683" s="0" t="n">
        <v>10</v>
      </c>
      <c r="B683" s="29" t="str">
        <f aca="false">IF(OR('THÁNG 10'!$C90="",'THÁNG 10'!$B90=""),"",'THÁNG 10'!$B90)</f>
        <v/>
      </c>
      <c r="C683" s="0" t="str">
        <f aca="false">IF('THÁNG 10'!$C90="","",'THÁNG 10'!$C90)</f>
        <v/>
      </c>
      <c r="D683" s="0" t="str">
        <f aca="false">IF('THÁNG 10'!$C90="","",'THÁNG 10'!$D90&amp;"")</f>
        <v/>
      </c>
      <c r="E683" s="0" t="str">
        <f aca="false">IF('THÁNG 10'!$C90="","",'THÁNG 10'!$E90&amp;"")</f>
        <v/>
      </c>
      <c r="F683" s="0" t="str">
        <f aca="false">IF('THÁNG 10'!$C90="","",'THÁNG 10'!$F90&amp;"")</f>
        <v/>
      </c>
      <c r="G683" s="0" t="str">
        <f aca="false">IF('THÁNG 10'!$C90="","",'THÁNG 10'!$G90&amp;"")</f>
        <v/>
      </c>
      <c r="H683" s="0" t="str">
        <f aca="false">IF('THÁNG 10'!$C90="","",'THÁNG 10'!$H90&amp;"")</f>
        <v/>
      </c>
      <c r="I683" s="0" t="str">
        <f aca="false">IF('THÁNG 10'!$C90="","",N('THÁNG 10'!$I90))</f>
        <v/>
      </c>
      <c r="J683" s="0" t="str">
        <f aca="false">IF('THÁNG 10'!$C90="","",N('THÁNG 10'!$L90))</f>
        <v/>
      </c>
      <c r="K683" s="0" t="str">
        <f aca="false">IF('THÁNG 10'!$C90="","",N('THÁNG 10'!$N90))</f>
        <v/>
      </c>
      <c r="L683" s="0" t="str">
        <f aca="false">IF('THÁNG 10'!$C90="","",N('THÁNG 10'!$O90))</f>
        <v/>
      </c>
      <c r="M683" s="0" t="str">
        <f aca="false">IF('THÁNG 10'!$C90="","",N('THÁNG 10'!$P90))</f>
        <v/>
      </c>
      <c r="N683" s="0" t="str">
        <f aca="false">IF('THÁNG 10'!$C90="","",N('THÁNG 10'!$Q90))</f>
        <v/>
      </c>
      <c r="O683" s="0" t="str">
        <f aca="false">IF('THÁNG 10'!$C90="","",N('THÁNG 10'!$R90))</f>
        <v/>
      </c>
      <c r="P683" s="0" t="str">
        <f aca="false">IF(OR('THÁNG 10'!$C90="",'THÁNG 10'!$T90=""),"",'THÁNG 10'!$T90)</f>
        <v/>
      </c>
      <c r="Q683" s="0" t="str">
        <f aca="false">IF(OR('THÁNG 10'!$C90="",'THÁNG 10'!$U90=""),"",'THÁNG 10'!$U90)</f>
        <v/>
      </c>
      <c r="R683" s="0" t="str">
        <f aca="false">IF('THÁNG 10'!$C90="","",'THÁNG 10'!$W90&amp;"")</f>
        <v/>
      </c>
      <c r="S683" s="0" t="str">
        <f aca="false">IF('THÁNG 10'!$C90="","",'THÁNG 10'!$S90&amp;"")</f>
        <v/>
      </c>
      <c r="T683" s="0" t="str">
        <f aca="false">IF(N($O683)&gt;0,COUNTIF($O$3:$O683,"&gt;0"),"")</f>
        <v/>
      </c>
      <c r="U683" s="0" t="str">
        <f aca="false">IF(AND(N($J683)&gt;0,N($K683)&gt;0),COUNTIFS($J$3:$J683,"&gt;0",$K$3:$K683,"&gt;0"),"")</f>
        <v/>
      </c>
      <c r="V683" s="0" t="str">
        <f aca="false">IF(AND(N($J683)&gt;0,N($K683)=0),COUNTIFS($J$3:$J683,"&gt;0",$K$3:$K683,"&lt;=0"),"")</f>
        <v/>
      </c>
      <c r="W683" s="0" t="str">
        <f aca="false">IF($C683="","",IF(COUNTIF($C$3:$C683,$C683)&gt;1,"",MAX($W$2:W682)+1))</f>
        <v/>
      </c>
      <c r="X683" s="0" t="str">
        <f aca="false">IF($H683="","",IF(COUNTIF($H$3:$H683,$H683)&gt;1,"",MAX($X$2:X682)+1))</f>
        <v/>
      </c>
      <c r="Y683" s="0" t="str">
        <f aca="false">IF(AND(N($M683)&gt;0,N($O683)&lt;=0),COUNTIFS($M$3:$M683,"&gt;0",$O$3:$O683,"&lt;=0"),"")</f>
        <v/>
      </c>
      <c r="Z683" s="30" t="n">
        <f aca="false">IF(OR('THÁNG 10'!$C90="",'THÁNG 10'!$B90=""),0,'THÁNG 10'!$B90)</f>
        <v>0</v>
      </c>
    </row>
    <row r="684" customFormat="false" ht="15" hidden="false" customHeight="false" outlineLevel="0" collapsed="false">
      <c r="A684" s="0" t="n">
        <v>10</v>
      </c>
      <c r="B684" s="29" t="str">
        <f aca="false">IF(OR('THÁNG 10'!$C91="",'THÁNG 10'!$B91=""),"",'THÁNG 10'!$B91)</f>
        <v/>
      </c>
      <c r="C684" s="0" t="str">
        <f aca="false">IF('THÁNG 10'!$C91="","",'THÁNG 10'!$C91)</f>
        <v/>
      </c>
      <c r="D684" s="0" t="str">
        <f aca="false">IF('THÁNG 10'!$C91="","",'THÁNG 10'!$D91&amp;"")</f>
        <v/>
      </c>
      <c r="E684" s="0" t="str">
        <f aca="false">IF('THÁNG 10'!$C91="","",'THÁNG 10'!$E91&amp;"")</f>
        <v/>
      </c>
      <c r="F684" s="0" t="str">
        <f aca="false">IF('THÁNG 10'!$C91="","",'THÁNG 10'!$F91&amp;"")</f>
        <v/>
      </c>
      <c r="G684" s="0" t="str">
        <f aca="false">IF('THÁNG 10'!$C91="","",'THÁNG 10'!$G91&amp;"")</f>
        <v/>
      </c>
      <c r="H684" s="0" t="str">
        <f aca="false">IF('THÁNG 10'!$C91="","",'THÁNG 10'!$H91&amp;"")</f>
        <v/>
      </c>
      <c r="I684" s="0" t="str">
        <f aca="false">IF('THÁNG 10'!$C91="","",N('THÁNG 10'!$I91))</f>
        <v/>
      </c>
      <c r="J684" s="0" t="str">
        <f aca="false">IF('THÁNG 10'!$C91="","",N('THÁNG 10'!$L91))</f>
        <v/>
      </c>
      <c r="K684" s="0" t="str">
        <f aca="false">IF('THÁNG 10'!$C91="","",N('THÁNG 10'!$N91))</f>
        <v/>
      </c>
      <c r="L684" s="0" t="str">
        <f aca="false">IF('THÁNG 10'!$C91="","",N('THÁNG 10'!$O91))</f>
        <v/>
      </c>
      <c r="M684" s="0" t="str">
        <f aca="false">IF('THÁNG 10'!$C91="","",N('THÁNG 10'!$P91))</f>
        <v/>
      </c>
      <c r="N684" s="0" t="str">
        <f aca="false">IF('THÁNG 10'!$C91="","",N('THÁNG 10'!$Q91))</f>
        <v/>
      </c>
      <c r="O684" s="0" t="str">
        <f aca="false">IF('THÁNG 10'!$C91="","",N('THÁNG 10'!$R91))</f>
        <v/>
      </c>
      <c r="P684" s="0" t="str">
        <f aca="false">IF(OR('THÁNG 10'!$C91="",'THÁNG 10'!$T91=""),"",'THÁNG 10'!$T91)</f>
        <v/>
      </c>
      <c r="Q684" s="0" t="str">
        <f aca="false">IF(OR('THÁNG 10'!$C91="",'THÁNG 10'!$U91=""),"",'THÁNG 10'!$U91)</f>
        <v/>
      </c>
      <c r="R684" s="0" t="str">
        <f aca="false">IF('THÁNG 10'!$C91="","",'THÁNG 10'!$W91&amp;"")</f>
        <v/>
      </c>
      <c r="S684" s="0" t="str">
        <f aca="false">IF('THÁNG 10'!$C91="","",'THÁNG 10'!$S91&amp;"")</f>
        <v/>
      </c>
      <c r="T684" s="0" t="str">
        <f aca="false">IF(N($O684)&gt;0,COUNTIF($O$3:$O684,"&gt;0"),"")</f>
        <v/>
      </c>
      <c r="U684" s="0" t="str">
        <f aca="false">IF(AND(N($J684)&gt;0,N($K684)&gt;0),COUNTIFS($J$3:$J684,"&gt;0",$K$3:$K684,"&gt;0"),"")</f>
        <v/>
      </c>
      <c r="V684" s="0" t="str">
        <f aca="false">IF(AND(N($J684)&gt;0,N($K684)=0),COUNTIFS($J$3:$J684,"&gt;0",$K$3:$K684,"&lt;=0"),"")</f>
        <v/>
      </c>
      <c r="W684" s="0" t="str">
        <f aca="false">IF($C684="","",IF(COUNTIF($C$3:$C684,$C684)&gt;1,"",MAX($W$2:W683)+1))</f>
        <v/>
      </c>
      <c r="X684" s="0" t="str">
        <f aca="false">IF($H684="","",IF(COUNTIF($H$3:$H684,$H684)&gt;1,"",MAX($X$2:X683)+1))</f>
        <v/>
      </c>
      <c r="Y684" s="0" t="str">
        <f aca="false">IF(AND(N($M684)&gt;0,N($O684)&lt;=0),COUNTIFS($M$3:$M684,"&gt;0",$O$3:$O684,"&lt;=0"),"")</f>
        <v/>
      </c>
      <c r="Z684" s="30" t="n">
        <f aca="false">IF(OR('THÁNG 10'!$C91="",'THÁNG 10'!$B91=""),0,'THÁNG 10'!$B91)</f>
        <v>0</v>
      </c>
    </row>
    <row r="685" customFormat="false" ht="15" hidden="false" customHeight="false" outlineLevel="0" collapsed="false">
      <c r="A685" s="0" t="n">
        <v>10</v>
      </c>
      <c r="B685" s="29" t="str">
        <f aca="false">IF(OR('THÁNG 10'!$C92="",'THÁNG 10'!$B92=""),"",'THÁNG 10'!$B92)</f>
        <v/>
      </c>
      <c r="C685" s="0" t="str">
        <f aca="false">IF('THÁNG 10'!$C92="","",'THÁNG 10'!$C92)</f>
        <v/>
      </c>
      <c r="D685" s="0" t="str">
        <f aca="false">IF('THÁNG 10'!$C92="","",'THÁNG 10'!$D92&amp;"")</f>
        <v/>
      </c>
      <c r="E685" s="0" t="str">
        <f aca="false">IF('THÁNG 10'!$C92="","",'THÁNG 10'!$E92&amp;"")</f>
        <v/>
      </c>
      <c r="F685" s="0" t="str">
        <f aca="false">IF('THÁNG 10'!$C92="","",'THÁNG 10'!$F92&amp;"")</f>
        <v/>
      </c>
      <c r="G685" s="0" t="str">
        <f aca="false">IF('THÁNG 10'!$C92="","",'THÁNG 10'!$G92&amp;"")</f>
        <v/>
      </c>
      <c r="H685" s="0" t="str">
        <f aca="false">IF('THÁNG 10'!$C92="","",'THÁNG 10'!$H92&amp;"")</f>
        <v/>
      </c>
      <c r="I685" s="0" t="str">
        <f aca="false">IF('THÁNG 10'!$C92="","",N('THÁNG 10'!$I92))</f>
        <v/>
      </c>
      <c r="J685" s="0" t="str">
        <f aca="false">IF('THÁNG 10'!$C92="","",N('THÁNG 10'!$L92))</f>
        <v/>
      </c>
      <c r="K685" s="0" t="str">
        <f aca="false">IF('THÁNG 10'!$C92="","",N('THÁNG 10'!$N92))</f>
        <v/>
      </c>
      <c r="L685" s="0" t="str">
        <f aca="false">IF('THÁNG 10'!$C92="","",N('THÁNG 10'!$O92))</f>
        <v/>
      </c>
      <c r="M685" s="0" t="str">
        <f aca="false">IF('THÁNG 10'!$C92="","",N('THÁNG 10'!$P92))</f>
        <v/>
      </c>
      <c r="N685" s="0" t="str">
        <f aca="false">IF('THÁNG 10'!$C92="","",N('THÁNG 10'!$Q92))</f>
        <v/>
      </c>
      <c r="O685" s="0" t="str">
        <f aca="false">IF('THÁNG 10'!$C92="","",N('THÁNG 10'!$R92))</f>
        <v/>
      </c>
      <c r="P685" s="0" t="str">
        <f aca="false">IF(OR('THÁNG 10'!$C92="",'THÁNG 10'!$T92=""),"",'THÁNG 10'!$T92)</f>
        <v/>
      </c>
      <c r="Q685" s="0" t="str">
        <f aca="false">IF(OR('THÁNG 10'!$C92="",'THÁNG 10'!$U92=""),"",'THÁNG 10'!$U92)</f>
        <v/>
      </c>
      <c r="R685" s="0" t="str">
        <f aca="false">IF('THÁNG 10'!$C92="","",'THÁNG 10'!$W92&amp;"")</f>
        <v/>
      </c>
      <c r="S685" s="0" t="str">
        <f aca="false">IF('THÁNG 10'!$C92="","",'THÁNG 10'!$S92&amp;"")</f>
        <v/>
      </c>
      <c r="T685" s="0" t="str">
        <f aca="false">IF(N($O685)&gt;0,COUNTIF($O$3:$O685,"&gt;0"),"")</f>
        <v/>
      </c>
      <c r="U685" s="0" t="str">
        <f aca="false">IF(AND(N($J685)&gt;0,N($K685)&gt;0),COUNTIFS($J$3:$J685,"&gt;0",$K$3:$K685,"&gt;0"),"")</f>
        <v/>
      </c>
      <c r="V685" s="0" t="str">
        <f aca="false">IF(AND(N($J685)&gt;0,N($K685)=0),COUNTIFS($J$3:$J685,"&gt;0",$K$3:$K685,"&lt;=0"),"")</f>
        <v/>
      </c>
      <c r="W685" s="0" t="str">
        <f aca="false">IF($C685="","",IF(COUNTIF($C$3:$C685,$C685)&gt;1,"",MAX($W$2:W684)+1))</f>
        <v/>
      </c>
      <c r="X685" s="0" t="str">
        <f aca="false">IF($H685="","",IF(COUNTIF($H$3:$H685,$H685)&gt;1,"",MAX($X$2:X684)+1))</f>
        <v/>
      </c>
      <c r="Y685" s="0" t="str">
        <f aca="false">IF(AND(N($M685)&gt;0,N($O685)&lt;=0),COUNTIFS($M$3:$M685,"&gt;0",$O$3:$O685,"&lt;=0"),"")</f>
        <v/>
      </c>
      <c r="Z685" s="30" t="n">
        <f aca="false">IF(OR('THÁNG 10'!$C92="",'THÁNG 10'!$B92=""),0,'THÁNG 10'!$B92)</f>
        <v>0</v>
      </c>
    </row>
    <row r="686" customFormat="false" ht="15" hidden="false" customHeight="false" outlineLevel="0" collapsed="false">
      <c r="A686" s="0" t="n">
        <v>10</v>
      </c>
      <c r="B686" s="29" t="str">
        <f aca="false">IF(OR('THÁNG 10'!$C93="",'THÁNG 10'!$B93=""),"",'THÁNG 10'!$B93)</f>
        <v/>
      </c>
      <c r="C686" s="0" t="str">
        <f aca="false">IF('THÁNG 10'!$C93="","",'THÁNG 10'!$C93)</f>
        <v/>
      </c>
      <c r="D686" s="0" t="str">
        <f aca="false">IF('THÁNG 10'!$C93="","",'THÁNG 10'!$D93&amp;"")</f>
        <v/>
      </c>
      <c r="E686" s="0" t="str">
        <f aca="false">IF('THÁNG 10'!$C93="","",'THÁNG 10'!$E93&amp;"")</f>
        <v/>
      </c>
      <c r="F686" s="0" t="str">
        <f aca="false">IF('THÁNG 10'!$C93="","",'THÁNG 10'!$F93&amp;"")</f>
        <v/>
      </c>
      <c r="G686" s="0" t="str">
        <f aca="false">IF('THÁNG 10'!$C93="","",'THÁNG 10'!$G93&amp;"")</f>
        <v/>
      </c>
      <c r="H686" s="0" t="str">
        <f aca="false">IF('THÁNG 10'!$C93="","",'THÁNG 10'!$H93&amp;"")</f>
        <v/>
      </c>
      <c r="I686" s="0" t="str">
        <f aca="false">IF('THÁNG 10'!$C93="","",N('THÁNG 10'!$I93))</f>
        <v/>
      </c>
      <c r="J686" s="0" t="str">
        <f aca="false">IF('THÁNG 10'!$C93="","",N('THÁNG 10'!$L93))</f>
        <v/>
      </c>
      <c r="K686" s="0" t="str">
        <f aca="false">IF('THÁNG 10'!$C93="","",N('THÁNG 10'!$N93))</f>
        <v/>
      </c>
      <c r="L686" s="0" t="str">
        <f aca="false">IF('THÁNG 10'!$C93="","",N('THÁNG 10'!$O93))</f>
        <v/>
      </c>
      <c r="M686" s="0" t="str">
        <f aca="false">IF('THÁNG 10'!$C93="","",N('THÁNG 10'!$P93))</f>
        <v/>
      </c>
      <c r="N686" s="0" t="str">
        <f aca="false">IF('THÁNG 10'!$C93="","",N('THÁNG 10'!$Q93))</f>
        <v/>
      </c>
      <c r="O686" s="0" t="str">
        <f aca="false">IF('THÁNG 10'!$C93="","",N('THÁNG 10'!$R93))</f>
        <v/>
      </c>
      <c r="P686" s="0" t="str">
        <f aca="false">IF(OR('THÁNG 10'!$C93="",'THÁNG 10'!$T93=""),"",'THÁNG 10'!$T93)</f>
        <v/>
      </c>
      <c r="Q686" s="0" t="str">
        <f aca="false">IF(OR('THÁNG 10'!$C93="",'THÁNG 10'!$U93=""),"",'THÁNG 10'!$U93)</f>
        <v/>
      </c>
      <c r="R686" s="0" t="str">
        <f aca="false">IF('THÁNG 10'!$C93="","",'THÁNG 10'!$W93&amp;"")</f>
        <v/>
      </c>
      <c r="S686" s="0" t="str">
        <f aca="false">IF('THÁNG 10'!$C93="","",'THÁNG 10'!$S93&amp;"")</f>
        <v/>
      </c>
      <c r="T686" s="0" t="str">
        <f aca="false">IF(N($O686)&gt;0,COUNTIF($O$3:$O686,"&gt;0"),"")</f>
        <v/>
      </c>
      <c r="U686" s="0" t="str">
        <f aca="false">IF(AND(N($J686)&gt;0,N($K686)&gt;0),COUNTIFS($J$3:$J686,"&gt;0",$K$3:$K686,"&gt;0"),"")</f>
        <v/>
      </c>
      <c r="V686" s="0" t="str">
        <f aca="false">IF(AND(N($J686)&gt;0,N($K686)=0),COUNTIFS($J$3:$J686,"&gt;0",$K$3:$K686,"&lt;=0"),"")</f>
        <v/>
      </c>
      <c r="W686" s="0" t="str">
        <f aca="false">IF($C686="","",IF(COUNTIF($C$3:$C686,$C686)&gt;1,"",MAX($W$2:W685)+1))</f>
        <v/>
      </c>
      <c r="X686" s="0" t="str">
        <f aca="false">IF($H686="","",IF(COUNTIF($H$3:$H686,$H686)&gt;1,"",MAX($X$2:X685)+1))</f>
        <v/>
      </c>
      <c r="Y686" s="0" t="str">
        <f aca="false">IF(AND(N($M686)&gt;0,N($O686)&lt;=0),COUNTIFS($M$3:$M686,"&gt;0",$O$3:$O686,"&lt;=0"),"")</f>
        <v/>
      </c>
      <c r="Z686" s="30" t="n">
        <f aca="false">IF(OR('THÁNG 10'!$C93="",'THÁNG 10'!$B93=""),0,'THÁNG 10'!$B93)</f>
        <v>0</v>
      </c>
    </row>
    <row r="687" customFormat="false" ht="15" hidden="false" customHeight="false" outlineLevel="0" collapsed="false">
      <c r="A687" s="0" t="n">
        <v>10</v>
      </c>
      <c r="B687" s="29" t="str">
        <f aca="false">IF(OR('THÁNG 10'!$C94="",'THÁNG 10'!$B94=""),"",'THÁNG 10'!$B94)</f>
        <v/>
      </c>
      <c r="C687" s="0" t="str">
        <f aca="false">IF('THÁNG 10'!$C94="","",'THÁNG 10'!$C94)</f>
        <v/>
      </c>
      <c r="D687" s="0" t="str">
        <f aca="false">IF('THÁNG 10'!$C94="","",'THÁNG 10'!$D94&amp;"")</f>
        <v/>
      </c>
      <c r="E687" s="0" t="str">
        <f aca="false">IF('THÁNG 10'!$C94="","",'THÁNG 10'!$E94&amp;"")</f>
        <v/>
      </c>
      <c r="F687" s="0" t="str">
        <f aca="false">IF('THÁNG 10'!$C94="","",'THÁNG 10'!$F94&amp;"")</f>
        <v/>
      </c>
      <c r="G687" s="0" t="str">
        <f aca="false">IF('THÁNG 10'!$C94="","",'THÁNG 10'!$G94&amp;"")</f>
        <v/>
      </c>
      <c r="H687" s="0" t="str">
        <f aca="false">IF('THÁNG 10'!$C94="","",'THÁNG 10'!$H94&amp;"")</f>
        <v/>
      </c>
      <c r="I687" s="0" t="str">
        <f aca="false">IF('THÁNG 10'!$C94="","",N('THÁNG 10'!$I94))</f>
        <v/>
      </c>
      <c r="J687" s="0" t="str">
        <f aca="false">IF('THÁNG 10'!$C94="","",N('THÁNG 10'!$L94))</f>
        <v/>
      </c>
      <c r="K687" s="0" t="str">
        <f aca="false">IF('THÁNG 10'!$C94="","",N('THÁNG 10'!$N94))</f>
        <v/>
      </c>
      <c r="L687" s="0" t="str">
        <f aca="false">IF('THÁNG 10'!$C94="","",N('THÁNG 10'!$O94))</f>
        <v/>
      </c>
      <c r="M687" s="0" t="str">
        <f aca="false">IF('THÁNG 10'!$C94="","",N('THÁNG 10'!$P94))</f>
        <v/>
      </c>
      <c r="N687" s="0" t="str">
        <f aca="false">IF('THÁNG 10'!$C94="","",N('THÁNG 10'!$Q94))</f>
        <v/>
      </c>
      <c r="O687" s="0" t="str">
        <f aca="false">IF('THÁNG 10'!$C94="","",N('THÁNG 10'!$R94))</f>
        <v/>
      </c>
      <c r="P687" s="0" t="str">
        <f aca="false">IF(OR('THÁNG 10'!$C94="",'THÁNG 10'!$T94=""),"",'THÁNG 10'!$T94)</f>
        <v/>
      </c>
      <c r="Q687" s="0" t="str">
        <f aca="false">IF(OR('THÁNG 10'!$C94="",'THÁNG 10'!$U94=""),"",'THÁNG 10'!$U94)</f>
        <v/>
      </c>
      <c r="R687" s="0" t="str">
        <f aca="false">IF('THÁNG 10'!$C94="","",'THÁNG 10'!$W94&amp;"")</f>
        <v/>
      </c>
      <c r="S687" s="0" t="str">
        <f aca="false">IF('THÁNG 10'!$C94="","",'THÁNG 10'!$S94&amp;"")</f>
        <v/>
      </c>
      <c r="T687" s="0" t="str">
        <f aca="false">IF(N($O687)&gt;0,COUNTIF($O$3:$O687,"&gt;0"),"")</f>
        <v/>
      </c>
      <c r="U687" s="0" t="str">
        <f aca="false">IF(AND(N($J687)&gt;0,N($K687)&gt;0),COUNTIFS($J$3:$J687,"&gt;0",$K$3:$K687,"&gt;0"),"")</f>
        <v/>
      </c>
      <c r="V687" s="0" t="str">
        <f aca="false">IF(AND(N($J687)&gt;0,N($K687)=0),COUNTIFS($J$3:$J687,"&gt;0",$K$3:$K687,"&lt;=0"),"")</f>
        <v/>
      </c>
      <c r="W687" s="0" t="str">
        <f aca="false">IF($C687="","",IF(COUNTIF($C$3:$C687,$C687)&gt;1,"",MAX($W$2:W686)+1))</f>
        <v/>
      </c>
      <c r="X687" s="0" t="str">
        <f aca="false">IF($H687="","",IF(COUNTIF($H$3:$H687,$H687)&gt;1,"",MAX($X$2:X686)+1))</f>
        <v/>
      </c>
      <c r="Y687" s="0" t="str">
        <f aca="false">IF(AND(N($M687)&gt;0,N($O687)&lt;=0),COUNTIFS($M$3:$M687,"&gt;0",$O$3:$O687,"&lt;=0"),"")</f>
        <v/>
      </c>
      <c r="Z687" s="30" t="n">
        <f aca="false">IF(OR('THÁNG 10'!$C94="",'THÁNG 10'!$B94=""),0,'THÁNG 10'!$B94)</f>
        <v>0</v>
      </c>
    </row>
    <row r="688" customFormat="false" ht="15" hidden="false" customHeight="false" outlineLevel="0" collapsed="false">
      <c r="A688" s="0" t="n">
        <v>10</v>
      </c>
      <c r="B688" s="29" t="str">
        <f aca="false">IF(OR('THÁNG 10'!$C95="",'THÁNG 10'!$B95=""),"",'THÁNG 10'!$B95)</f>
        <v/>
      </c>
      <c r="C688" s="0" t="str">
        <f aca="false">IF('THÁNG 10'!$C95="","",'THÁNG 10'!$C95)</f>
        <v/>
      </c>
      <c r="D688" s="0" t="str">
        <f aca="false">IF('THÁNG 10'!$C95="","",'THÁNG 10'!$D95&amp;"")</f>
        <v/>
      </c>
      <c r="E688" s="0" t="str">
        <f aca="false">IF('THÁNG 10'!$C95="","",'THÁNG 10'!$E95&amp;"")</f>
        <v/>
      </c>
      <c r="F688" s="0" t="str">
        <f aca="false">IF('THÁNG 10'!$C95="","",'THÁNG 10'!$F95&amp;"")</f>
        <v/>
      </c>
      <c r="G688" s="0" t="str">
        <f aca="false">IF('THÁNG 10'!$C95="","",'THÁNG 10'!$G95&amp;"")</f>
        <v/>
      </c>
      <c r="H688" s="0" t="str">
        <f aca="false">IF('THÁNG 10'!$C95="","",'THÁNG 10'!$H95&amp;"")</f>
        <v/>
      </c>
      <c r="I688" s="0" t="str">
        <f aca="false">IF('THÁNG 10'!$C95="","",N('THÁNG 10'!$I95))</f>
        <v/>
      </c>
      <c r="J688" s="0" t="str">
        <f aca="false">IF('THÁNG 10'!$C95="","",N('THÁNG 10'!$L95))</f>
        <v/>
      </c>
      <c r="K688" s="0" t="str">
        <f aca="false">IF('THÁNG 10'!$C95="","",N('THÁNG 10'!$N95))</f>
        <v/>
      </c>
      <c r="L688" s="0" t="str">
        <f aca="false">IF('THÁNG 10'!$C95="","",N('THÁNG 10'!$O95))</f>
        <v/>
      </c>
      <c r="M688" s="0" t="str">
        <f aca="false">IF('THÁNG 10'!$C95="","",N('THÁNG 10'!$P95))</f>
        <v/>
      </c>
      <c r="N688" s="0" t="str">
        <f aca="false">IF('THÁNG 10'!$C95="","",N('THÁNG 10'!$Q95))</f>
        <v/>
      </c>
      <c r="O688" s="0" t="str">
        <f aca="false">IF('THÁNG 10'!$C95="","",N('THÁNG 10'!$R95))</f>
        <v/>
      </c>
      <c r="P688" s="0" t="str">
        <f aca="false">IF(OR('THÁNG 10'!$C95="",'THÁNG 10'!$T95=""),"",'THÁNG 10'!$T95)</f>
        <v/>
      </c>
      <c r="Q688" s="0" t="str">
        <f aca="false">IF(OR('THÁNG 10'!$C95="",'THÁNG 10'!$U95=""),"",'THÁNG 10'!$U95)</f>
        <v/>
      </c>
      <c r="R688" s="0" t="str">
        <f aca="false">IF('THÁNG 10'!$C95="","",'THÁNG 10'!$W95&amp;"")</f>
        <v/>
      </c>
      <c r="S688" s="0" t="str">
        <f aca="false">IF('THÁNG 10'!$C95="","",'THÁNG 10'!$S95&amp;"")</f>
        <v/>
      </c>
      <c r="T688" s="0" t="str">
        <f aca="false">IF(N($O688)&gt;0,COUNTIF($O$3:$O688,"&gt;0"),"")</f>
        <v/>
      </c>
      <c r="U688" s="0" t="str">
        <f aca="false">IF(AND(N($J688)&gt;0,N($K688)&gt;0),COUNTIFS($J$3:$J688,"&gt;0",$K$3:$K688,"&gt;0"),"")</f>
        <v/>
      </c>
      <c r="V688" s="0" t="str">
        <f aca="false">IF(AND(N($J688)&gt;0,N($K688)=0),COUNTIFS($J$3:$J688,"&gt;0",$K$3:$K688,"&lt;=0"),"")</f>
        <v/>
      </c>
      <c r="W688" s="0" t="str">
        <f aca="false">IF($C688="","",IF(COUNTIF($C$3:$C688,$C688)&gt;1,"",MAX($W$2:W687)+1))</f>
        <v/>
      </c>
      <c r="X688" s="0" t="str">
        <f aca="false">IF($H688="","",IF(COUNTIF($H$3:$H688,$H688)&gt;1,"",MAX($X$2:X687)+1))</f>
        <v/>
      </c>
      <c r="Y688" s="0" t="str">
        <f aca="false">IF(AND(N($M688)&gt;0,N($O688)&lt;=0),COUNTIFS($M$3:$M688,"&gt;0",$O$3:$O688,"&lt;=0"),"")</f>
        <v/>
      </c>
      <c r="Z688" s="30" t="n">
        <f aca="false">IF(OR('THÁNG 10'!$C95="",'THÁNG 10'!$B95=""),0,'THÁNG 10'!$B95)</f>
        <v>0</v>
      </c>
    </row>
    <row r="689" customFormat="false" ht="15" hidden="false" customHeight="false" outlineLevel="0" collapsed="false">
      <c r="A689" s="0" t="n">
        <v>10</v>
      </c>
      <c r="B689" s="29" t="str">
        <f aca="false">IF(OR('THÁNG 10'!$C96="",'THÁNG 10'!$B96=""),"",'THÁNG 10'!$B96)</f>
        <v/>
      </c>
      <c r="C689" s="0" t="str">
        <f aca="false">IF('THÁNG 10'!$C96="","",'THÁNG 10'!$C96)</f>
        <v/>
      </c>
      <c r="D689" s="0" t="str">
        <f aca="false">IF('THÁNG 10'!$C96="","",'THÁNG 10'!$D96&amp;"")</f>
        <v/>
      </c>
      <c r="E689" s="0" t="str">
        <f aca="false">IF('THÁNG 10'!$C96="","",'THÁNG 10'!$E96&amp;"")</f>
        <v/>
      </c>
      <c r="F689" s="0" t="str">
        <f aca="false">IF('THÁNG 10'!$C96="","",'THÁNG 10'!$F96&amp;"")</f>
        <v/>
      </c>
      <c r="G689" s="0" t="str">
        <f aca="false">IF('THÁNG 10'!$C96="","",'THÁNG 10'!$G96&amp;"")</f>
        <v/>
      </c>
      <c r="H689" s="0" t="str">
        <f aca="false">IF('THÁNG 10'!$C96="","",'THÁNG 10'!$H96&amp;"")</f>
        <v/>
      </c>
      <c r="I689" s="0" t="str">
        <f aca="false">IF('THÁNG 10'!$C96="","",N('THÁNG 10'!$I96))</f>
        <v/>
      </c>
      <c r="J689" s="0" t="str">
        <f aca="false">IF('THÁNG 10'!$C96="","",N('THÁNG 10'!$L96))</f>
        <v/>
      </c>
      <c r="K689" s="0" t="str">
        <f aca="false">IF('THÁNG 10'!$C96="","",N('THÁNG 10'!$N96))</f>
        <v/>
      </c>
      <c r="L689" s="0" t="str">
        <f aca="false">IF('THÁNG 10'!$C96="","",N('THÁNG 10'!$O96))</f>
        <v/>
      </c>
      <c r="M689" s="0" t="str">
        <f aca="false">IF('THÁNG 10'!$C96="","",N('THÁNG 10'!$P96))</f>
        <v/>
      </c>
      <c r="N689" s="0" t="str">
        <f aca="false">IF('THÁNG 10'!$C96="","",N('THÁNG 10'!$Q96))</f>
        <v/>
      </c>
      <c r="O689" s="0" t="str">
        <f aca="false">IF('THÁNG 10'!$C96="","",N('THÁNG 10'!$R96))</f>
        <v/>
      </c>
      <c r="P689" s="0" t="str">
        <f aca="false">IF(OR('THÁNG 10'!$C96="",'THÁNG 10'!$T96=""),"",'THÁNG 10'!$T96)</f>
        <v/>
      </c>
      <c r="Q689" s="0" t="str">
        <f aca="false">IF(OR('THÁNG 10'!$C96="",'THÁNG 10'!$U96=""),"",'THÁNG 10'!$U96)</f>
        <v/>
      </c>
      <c r="R689" s="0" t="str">
        <f aca="false">IF('THÁNG 10'!$C96="","",'THÁNG 10'!$W96&amp;"")</f>
        <v/>
      </c>
      <c r="S689" s="0" t="str">
        <f aca="false">IF('THÁNG 10'!$C96="","",'THÁNG 10'!$S96&amp;"")</f>
        <v/>
      </c>
      <c r="T689" s="0" t="str">
        <f aca="false">IF(N($O689)&gt;0,COUNTIF($O$3:$O689,"&gt;0"),"")</f>
        <v/>
      </c>
      <c r="U689" s="0" t="str">
        <f aca="false">IF(AND(N($J689)&gt;0,N($K689)&gt;0),COUNTIFS($J$3:$J689,"&gt;0",$K$3:$K689,"&gt;0"),"")</f>
        <v/>
      </c>
      <c r="V689" s="0" t="str">
        <f aca="false">IF(AND(N($J689)&gt;0,N($K689)=0),COUNTIFS($J$3:$J689,"&gt;0",$K$3:$K689,"&lt;=0"),"")</f>
        <v/>
      </c>
      <c r="W689" s="0" t="str">
        <f aca="false">IF($C689="","",IF(COUNTIF($C$3:$C689,$C689)&gt;1,"",MAX($W$2:W688)+1))</f>
        <v/>
      </c>
      <c r="X689" s="0" t="str">
        <f aca="false">IF($H689="","",IF(COUNTIF($H$3:$H689,$H689)&gt;1,"",MAX($X$2:X688)+1))</f>
        <v/>
      </c>
      <c r="Y689" s="0" t="str">
        <f aca="false">IF(AND(N($M689)&gt;0,N($O689)&lt;=0),COUNTIFS($M$3:$M689,"&gt;0",$O$3:$O689,"&lt;=0"),"")</f>
        <v/>
      </c>
      <c r="Z689" s="30" t="n">
        <f aca="false">IF(OR('THÁNG 10'!$C96="",'THÁNG 10'!$B96=""),0,'THÁNG 10'!$B96)</f>
        <v>0</v>
      </c>
    </row>
    <row r="690" customFormat="false" ht="15" hidden="false" customHeight="false" outlineLevel="0" collapsed="false">
      <c r="A690" s="0" t="n">
        <v>10</v>
      </c>
      <c r="B690" s="29" t="str">
        <f aca="false">IF(OR('THÁNG 10'!$C97="",'THÁNG 10'!$B97=""),"",'THÁNG 10'!$B97)</f>
        <v/>
      </c>
      <c r="C690" s="0" t="str">
        <f aca="false">IF('THÁNG 10'!$C97="","",'THÁNG 10'!$C97)</f>
        <v/>
      </c>
      <c r="D690" s="0" t="str">
        <f aca="false">IF('THÁNG 10'!$C97="","",'THÁNG 10'!$D97&amp;"")</f>
        <v/>
      </c>
      <c r="E690" s="0" t="str">
        <f aca="false">IF('THÁNG 10'!$C97="","",'THÁNG 10'!$E97&amp;"")</f>
        <v/>
      </c>
      <c r="F690" s="0" t="str">
        <f aca="false">IF('THÁNG 10'!$C97="","",'THÁNG 10'!$F97&amp;"")</f>
        <v/>
      </c>
      <c r="G690" s="0" t="str">
        <f aca="false">IF('THÁNG 10'!$C97="","",'THÁNG 10'!$G97&amp;"")</f>
        <v/>
      </c>
      <c r="H690" s="0" t="str">
        <f aca="false">IF('THÁNG 10'!$C97="","",'THÁNG 10'!$H97&amp;"")</f>
        <v/>
      </c>
      <c r="I690" s="0" t="str">
        <f aca="false">IF('THÁNG 10'!$C97="","",N('THÁNG 10'!$I97))</f>
        <v/>
      </c>
      <c r="J690" s="0" t="str">
        <f aca="false">IF('THÁNG 10'!$C97="","",N('THÁNG 10'!$L97))</f>
        <v/>
      </c>
      <c r="K690" s="0" t="str">
        <f aca="false">IF('THÁNG 10'!$C97="","",N('THÁNG 10'!$N97))</f>
        <v/>
      </c>
      <c r="L690" s="0" t="str">
        <f aca="false">IF('THÁNG 10'!$C97="","",N('THÁNG 10'!$O97))</f>
        <v/>
      </c>
      <c r="M690" s="0" t="str">
        <f aca="false">IF('THÁNG 10'!$C97="","",N('THÁNG 10'!$P97))</f>
        <v/>
      </c>
      <c r="N690" s="0" t="str">
        <f aca="false">IF('THÁNG 10'!$C97="","",N('THÁNG 10'!$Q97))</f>
        <v/>
      </c>
      <c r="O690" s="0" t="str">
        <f aca="false">IF('THÁNG 10'!$C97="","",N('THÁNG 10'!$R97))</f>
        <v/>
      </c>
      <c r="P690" s="0" t="str">
        <f aca="false">IF(OR('THÁNG 10'!$C97="",'THÁNG 10'!$T97=""),"",'THÁNG 10'!$T97)</f>
        <v/>
      </c>
      <c r="Q690" s="0" t="str">
        <f aca="false">IF(OR('THÁNG 10'!$C97="",'THÁNG 10'!$U97=""),"",'THÁNG 10'!$U97)</f>
        <v/>
      </c>
      <c r="R690" s="0" t="str">
        <f aca="false">IF('THÁNG 10'!$C97="","",'THÁNG 10'!$W97&amp;"")</f>
        <v/>
      </c>
      <c r="S690" s="0" t="str">
        <f aca="false">IF('THÁNG 10'!$C97="","",'THÁNG 10'!$S97&amp;"")</f>
        <v/>
      </c>
      <c r="T690" s="0" t="str">
        <f aca="false">IF(N($O690)&gt;0,COUNTIF($O$3:$O690,"&gt;0"),"")</f>
        <v/>
      </c>
      <c r="U690" s="0" t="str">
        <f aca="false">IF(AND(N($J690)&gt;0,N($K690)&gt;0),COUNTIFS($J$3:$J690,"&gt;0",$K$3:$K690,"&gt;0"),"")</f>
        <v/>
      </c>
      <c r="V690" s="0" t="str">
        <f aca="false">IF(AND(N($J690)&gt;0,N($K690)=0),COUNTIFS($J$3:$J690,"&gt;0",$K$3:$K690,"&lt;=0"),"")</f>
        <v/>
      </c>
      <c r="W690" s="0" t="str">
        <f aca="false">IF($C690="","",IF(COUNTIF($C$3:$C690,$C690)&gt;1,"",MAX($W$2:W689)+1))</f>
        <v/>
      </c>
      <c r="X690" s="0" t="str">
        <f aca="false">IF($H690="","",IF(COUNTIF($H$3:$H690,$H690)&gt;1,"",MAX($X$2:X689)+1))</f>
        <v/>
      </c>
      <c r="Y690" s="0" t="str">
        <f aca="false">IF(AND(N($M690)&gt;0,N($O690)&lt;=0),COUNTIFS($M$3:$M690,"&gt;0",$O$3:$O690,"&lt;=0"),"")</f>
        <v/>
      </c>
      <c r="Z690" s="30" t="n">
        <f aca="false">IF(OR('THÁNG 10'!$C97="",'THÁNG 10'!$B97=""),0,'THÁNG 10'!$B97)</f>
        <v>0</v>
      </c>
    </row>
    <row r="691" customFormat="false" ht="15" hidden="false" customHeight="false" outlineLevel="0" collapsed="false">
      <c r="A691" s="0" t="n">
        <v>10</v>
      </c>
      <c r="B691" s="29" t="str">
        <f aca="false">IF(OR('THÁNG 10'!$C98="",'THÁNG 10'!$B98=""),"",'THÁNG 10'!$B98)</f>
        <v/>
      </c>
      <c r="C691" s="0" t="str">
        <f aca="false">IF('THÁNG 10'!$C98="","",'THÁNG 10'!$C98)</f>
        <v/>
      </c>
      <c r="D691" s="0" t="str">
        <f aca="false">IF('THÁNG 10'!$C98="","",'THÁNG 10'!$D98&amp;"")</f>
        <v/>
      </c>
      <c r="E691" s="0" t="str">
        <f aca="false">IF('THÁNG 10'!$C98="","",'THÁNG 10'!$E98&amp;"")</f>
        <v/>
      </c>
      <c r="F691" s="0" t="str">
        <f aca="false">IF('THÁNG 10'!$C98="","",'THÁNG 10'!$F98&amp;"")</f>
        <v/>
      </c>
      <c r="G691" s="0" t="str">
        <f aca="false">IF('THÁNG 10'!$C98="","",'THÁNG 10'!$G98&amp;"")</f>
        <v/>
      </c>
      <c r="H691" s="0" t="str">
        <f aca="false">IF('THÁNG 10'!$C98="","",'THÁNG 10'!$H98&amp;"")</f>
        <v/>
      </c>
      <c r="I691" s="0" t="str">
        <f aca="false">IF('THÁNG 10'!$C98="","",N('THÁNG 10'!$I98))</f>
        <v/>
      </c>
      <c r="J691" s="0" t="str">
        <f aca="false">IF('THÁNG 10'!$C98="","",N('THÁNG 10'!$L98))</f>
        <v/>
      </c>
      <c r="K691" s="0" t="str">
        <f aca="false">IF('THÁNG 10'!$C98="","",N('THÁNG 10'!$N98))</f>
        <v/>
      </c>
      <c r="L691" s="0" t="str">
        <f aca="false">IF('THÁNG 10'!$C98="","",N('THÁNG 10'!$O98))</f>
        <v/>
      </c>
      <c r="M691" s="0" t="str">
        <f aca="false">IF('THÁNG 10'!$C98="","",N('THÁNG 10'!$P98))</f>
        <v/>
      </c>
      <c r="N691" s="0" t="str">
        <f aca="false">IF('THÁNG 10'!$C98="","",N('THÁNG 10'!$Q98))</f>
        <v/>
      </c>
      <c r="O691" s="0" t="str">
        <f aca="false">IF('THÁNG 10'!$C98="","",N('THÁNG 10'!$R98))</f>
        <v/>
      </c>
      <c r="P691" s="0" t="str">
        <f aca="false">IF(OR('THÁNG 10'!$C98="",'THÁNG 10'!$T98=""),"",'THÁNG 10'!$T98)</f>
        <v/>
      </c>
      <c r="Q691" s="0" t="str">
        <f aca="false">IF(OR('THÁNG 10'!$C98="",'THÁNG 10'!$U98=""),"",'THÁNG 10'!$U98)</f>
        <v/>
      </c>
      <c r="R691" s="0" t="str">
        <f aca="false">IF('THÁNG 10'!$C98="","",'THÁNG 10'!$W98&amp;"")</f>
        <v/>
      </c>
      <c r="S691" s="0" t="str">
        <f aca="false">IF('THÁNG 10'!$C98="","",'THÁNG 10'!$S98&amp;"")</f>
        <v/>
      </c>
      <c r="T691" s="0" t="str">
        <f aca="false">IF(N($O691)&gt;0,COUNTIF($O$3:$O691,"&gt;0"),"")</f>
        <v/>
      </c>
      <c r="U691" s="0" t="str">
        <f aca="false">IF(AND(N($J691)&gt;0,N($K691)&gt;0),COUNTIFS($J$3:$J691,"&gt;0",$K$3:$K691,"&gt;0"),"")</f>
        <v/>
      </c>
      <c r="V691" s="0" t="str">
        <f aca="false">IF(AND(N($J691)&gt;0,N($K691)=0),COUNTIFS($J$3:$J691,"&gt;0",$K$3:$K691,"&lt;=0"),"")</f>
        <v/>
      </c>
      <c r="W691" s="0" t="str">
        <f aca="false">IF($C691="","",IF(COUNTIF($C$3:$C691,$C691)&gt;1,"",MAX($W$2:W690)+1))</f>
        <v/>
      </c>
      <c r="X691" s="0" t="str">
        <f aca="false">IF($H691="","",IF(COUNTIF($H$3:$H691,$H691)&gt;1,"",MAX($X$2:X690)+1))</f>
        <v/>
      </c>
      <c r="Y691" s="0" t="str">
        <f aca="false">IF(AND(N($M691)&gt;0,N($O691)&lt;=0),COUNTIFS($M$3:$M691,"&gt;0",$O$3:$O691,"&lt;=0"),"")</f>
        <v/>
      </c>
      <c r="Z691" s="30" t="n">
        <f aca="false">IF(OR('THÁNG 10'!$C98="",'THÁNG 10'!$B98=""),0,'THÁNG 10'!$B98)</f>
        <v>0</v>
      </c>
    </row>
    <row r="692" customFormat="false" ht="15" hidden="false" customHeight="false" outlineLevel="0" collapsed="false">
      <c r="A692" s="0" t="n">
        <v>10</v>
      </c>
      <c r="B692" s="29" t="str">
        <f aca="false">IF(OR('THÁNG 10'!$C99="",'THÁNG 10'!$B99=""),"",'THÁNG 10'!$B99)</f>
        <v/>
      </c>
      <c r="C692" s="0" t="str">
        <f aca="false">IF('THÁNG 10'!$C99="","",'THÁNG 10'!$C99)</f>
        <v/>
      </c>
      <c r="D692" s="0" t="str">
        <f aca="false">IF('THÁNG 10'!$C99="","",'THÁNG 10'!$D99&amp;"")</f>
        <v/>
      </c>
      <c r="E692" s="0" t="str">
        <f aca="false">IF('THÁNG 10'!$C99="","",'THÁNG 10'!$E99&amp;"")</f>
        <v/>
      </c>
      <c r="F692" s="0" t="str">
        <f aca="false">IF('THÁNG 10'!$C99="","",'THÁNG 10'!$F99&amp;"")</f>
        <v/>
      </c>
      <c r="G692" s="0" t="str">
        <f aca="false">IF('THÁNG 10'!$C99="","",'THÁNG 10'!$G99&amp;"")</f>
        <v/>
      </c>
      <c r="H692" s="0" t="str">
        <f aca="false">IF('THÁNG 10'!$C99="","",'THÁNG 10'!$H99&amp;"")</f>
        <v/>
      </c>
      <c r="I692" s="0" t="str">
        <f aca="false">IF('THÁNG 10'!$C99="","",N('THÁNG 10'!$I99))</f>
        <v/>
      </c>
      <c r="J692" s="0" t="str">
        <f aca="false">IF('THÁNG 10'!$C99="","",N('THÁNG 10'!$L99))</f>
        <v/>
      </c>
      <c r="K692" s="0" t="str">
        <f aca="false">IF('THÁNG 10'!$C99="","",N('THÁNG 10'!$N99))</f>
        <v/>
      </c>
      <c r="L692" s="0" t="str">
        <f aca="false">IF('THÁNG 10'!$C99="","",N('THÁNG 10'!$O99))</f>
        <v/>
      </c>
      <c r="M692" s="0" t="str">
        <f aca="false">IF('THÁNG 10'!$C99="","",N('THÁNG 10'!$P99))</f>
        <v/>
      </c>
      <c r="N692" s="0" t="str">
        <f aca="false">IF('THÁNG 10'!$C99="","",N('THÁNG 10'!$Q99))</f>
        <v/>
      </c>
      <c r="O692" s="0" t="str">
        <f aca="false">IF('THÁNG 10'!$C99="","",N('THÁNG 10'!$R99))</f>
        <v/>
      </c>
      <c r="P692" s="0" t="str">
        <f aca="false">IF(OR('THÁNG 10'!$C99="",'THÁNG 10'!$T99=""),"",'THÁNG 10'!$T99)</f>
        <v/>
      </c>
      <c r="Q692" s="0" t="str">
        <f aca="false">IF(OR('THÁNG 10'!$C99="",'THÁNG 10'!$U99=""),"",'THÁNG 10'!$U99)</f>
        <v/>
      </c>
      <c r="R692" s="0" t="str">
        <f aca="false">IF('THÁNG 10'!$C99="","",'THÁNG 10'!$W99&amp;"")</f>
        <v/>
      </c>
      <c r="S692" s="0" t="str">
        <f aca="false">IF('THÁNG 10'!$C99="","",'THÁNG 10'!$S99&amp;"")</f>
        <v/>
      </c>
      <c r="T692" s="0" t="str">
        <f aca="false">IF(N($O692)&gt;0,COUNTIF($O$3:$O692,"&gt;0"),"")</f>
        <v/>
      </c>
      <c r="U692" s="0" t="str">
        <f aca="false">IF(AND(N($J692)&gt;0,N($K692)&gt;0),COUNTIFS($J$3:$J692,"&gt;0",$K$3:$K692,"&gt;0"),"")</f>
        <v/>
      </c>
      <c r="V692" s="0" t="str">
        <f aca="false">IF(AND(N($J692)&gt;0,N($K692)=0),COUNTIFS($J$3:$J692,"&gt;0",$K$3:$K692,"&lt;=0"),"")</f>
        <v/>
      </c>
      <c r="W692" s="0" t="str">
        <f aca="false">IF($C692="","",IF(COUNTIF($C$3:$C692,$C692)&gt;1,"",MAX($W$2:W691)+1))</f>
        <v/>
      </c>
      <c r="X692" s="0" t="str">
        <f aca="false">IF($H692="","",IF(COUNTIF($H$3:$H692,$H692)&gt;1,"",MAX($X$2:X691)+1))</f>
        <v/>
      </c>
      <c r="Y692" s="0" t="str">
        <f aca="false">IF(AND(N($M692)&gt;0,N($O692)&lt;=0),COUNTIFS($M$3:$M692,"&gt;0",$O$3:$O692,"&lt;=0"),"")</f>
        <v/>
      </c>
      <c r="Z692" s="30" t="n">
        <f aca="false">IF(OR('THÁNG 10'!$C99="",'THÁNG 10'!$B99=""),0,'THÁNG 10'!$B99)</f>
        <v>0</v>
      </c>
    </row>
    <row r="693" customFormat="false" ht="15" hidden="false" customHeight="false" outlineLevel="0" collapsed="false">
      <c r="A693" s="0" t="n">
        <v>10</v>
      </c>
      <c r="B693" s="29" t="str">
        <f aca="false">IF(OR('THÁNG 10'!$C100="",'THÁNG 10'!$B100=""),"",'THÁNG 10'!$B100)</f>
        <v/>
      </c>
      <c r="C693" s="0" t="str">
        <f aca="false">IF('THÁNG 10'!$C100="","",'THÁNG 10'!$C100)</f>
        <v/>
      </c>
      <c r="D693" s="0" t="str">
        <f aca="false">IF('THÁNG 10'!$C100="","",'THÁNG 10'!$D100&amp;"")</f>
        <v/>
      </c>
      <c r="E693" s="0" t="str">
        <f aca="false">IF('THÁNG 10'!$C100="","",'THÁNG 10'!$E100&amp;"")</f>
        <v/>
      </c>
      <c r="F693" s="0" t="str">
        <f aca="false">IF('THÁNG 10'!$C100="","",'THÁNG 10'!$F100&amp;"")</f>
        <v/>
      </c>
      <c r="G693" s="0" t="str">
        <f aca="false">IF('THÁNG 10'!$C100="","",'THÁNG 10'!$G100&amp;"")</f>
        <v/>
      </c>
      <c r="H693" s="0" t="str">
        <f aca="false">IF('THÁNG 10'!$C100="","",'THÁNG 10'!$H100&amp;"")</f>
        <v/>
      </c>
      <c r="I693" s="0" t="str">
        <f aca="false">IF('THÁNG 10'!$C100="","",N('THÁNG 10'!$I100))</f>
        <v/>
      </c>
      <c r="J693" s="0" t="str">
        <f aca="false">IF('THÁNG 10'!$C100="","",N('THÁNG 10'!$L100))</f>
        <v/>
      </c>
      <c r="K693" s="0" t="str">
        <f aca="false">IF('THÁNG 10'!$C100="","",N('THÁNG 10'!$N100))</f>
        <v/>
      </c>
      <c r="L693" s="0" t="str">
        <f aca="false">IF('THÁNG 10'!$C100="","",N('THÁNG 10'!$O100))</f>
        <v/>
      </c>
      <c r="M693" s="0" t="str">
        <f aca="false">IF('THÁNG 10'!$C100="","",N('THÁNG 10'!$P100))</f>
        <v/>
      </c>
      <c r="N693" s="0" t="str">
        <f aca="false">IF('THÁNG 10'!$C100="","",N('THÁNG 10'!$Q100))</f>
        <v/>
      </c>
      <c r="O693" s="0" t="str">
        <f aca="false">IF('THÁNG 10'!$C100="","",N('THÁNG 10'!$R100))</f>
        <v/>
      </c>
      <c r="P693" s="0" t="str">
        <f aca="false">IF(OR('THÁNG 10'!$C100="",'THÁNG 10'!$T100=""),"",'THÁNG 10'!$T100)</f>
        <v/>
      </c>
      <c r="Q693" s="0" t="str">
        <f aca="false">IF(OR('THÁNG 10'!$C100="",'THÁNG 10'!$U100=""),"",'THÁNG 10'!$U100)</f>
        <v/>
      </c>
      <c r="R693" s="0" t="str">
        <f aca="false">IF('THÁNG 10'!$C100="","",'THÁNG 10'!$W100&amp;"")</f>
        <v/>
      </c>
      <c r="S693" s="0" t="str">
        <f aca="false">IF('THÁNG 10'!$C100="","",'THÁNG 10'!$S100&amp;"")</f>
        <v/>
      </c>
      <c r="T693" s="0" t="str">
        <f aca="false">IF(N($O693)&gt;0,COUNTIF($O$3:$O693,"&gt;0"),"")</f>
        <v/>
      </c>
      <c r="U693" s="0" t="str">
        <f aca="false">IF(AND(N($J693)&gt;0,N($K693)&gt;0),COUNTIFS($J$3:$J693,"&gt;0",$K$3:$K693,"&gt;0"),"")</f>
        <v/>
      </c>
      <c r="V693" s="0" t="str">
        <f aca="false">IF(AND(N($J693)&gt;0,N($K693)=0),COUNTIFS($J$3:$J693,"&gt;0",$K$3:$K693,"&lt;=0"),"")</f>
        <v/>
      </c>
      <c r="W693" s="0" t="str">
        <f aca="false">IF($C693="","",IF(COUNTIF($C$3:$C693,$C693)&gt;1,"",MAX($W$2:W692)+1))</f>
        <v/>
      </c>
      <c r="X693" s="0" t="str">
        <f aca="false">IF($H693="","",IF(COUNTIF($H$3:$H693,$H693)&gt;1,"",MAX($X$2:X692)+1))</f>
        <v/>
      </c>
      <c r="Y693" s="0" t="str">
        <f aca="false">IF(AND(N($M693)&gt;0,N($O693)&lt;=0),COUNTIFS($M$3:$M693,"&gt;0",$O$3:$O693,"&lt;=0"),"")</f>
        <v/>
      </c>
      <c r="Z693" s="30" t="n">
        <f aca="false">IF(OR('THÁNG 10'!$C100="",'THÁNG 10'!$B100=""),0,'THÁNG 10'!$B100)</f>
        <v>0</v>
      </c>
    </row>
    <row r="694" customFormat="false" ht="15" hidden="false" customHeight="false" outlineLevel="0" collapsed="false">
      <c r="A694" s="0" t="n">
        <v>10</v>
      </c>
      <c r="B694" s="29" t="str">
        <f aca="false">IF(OR('THÁNG 10'!$C101="",'THÁNG 10'!$B101=""),"",'THÁNG 10'!$B101)</f>
        <v/>
      </c>
      <c r="C694" s="0" t="str">
        <f aca="false">IF('THÁNG 10'!$C101="","",'THÁNG 10'!$C101)</f>
        <v/>
      </c>
      <c r="D694" s="0" t="str">
        <f aca="false">IF('THÁNG 10'!$C101="","",'THÁNG 10'!$D101&amp;"")</f>
        <v/>
      </c>
      <c r="E694" s="0" t="str">
        <f aca="false">IF('THÁNG 10'!$C101="","",'THÁNG 10'!$E101&amp;"")</f>
        <v/>
      </c>
      <c r="F694" s="0" t="str">
        <f aca="false">IF('THÁNG 10'!$C101="","",'THÁNG 10'!$F101&amp;"")</f>
        <v/>
      </c>
      <c r="G694" s="0" t="str">
        <f aca="false">IF('THÁNG 10'!$C101="","",'THÁNG 10'!$G101&amp;"")</f>
        <v/>
      </c>
      <c r="H694" s="0" t="str">
        <f aca="false">IF('THÁNG 10'!$C101="","",'THÁNG 10'!$H101&amp;"")</f>
        <v/>
      </c>
      <c r="I694" s="0" t="str">
        <f aca="false">IF('THÁNG 10'!$C101="","",N('THÁNG 10'!$I101))</f>
        <v/>
      </c>
      <c r="J694" s="0" t="str">
        <f aca="false">IF('THÁNG 10'!$C101="","",N('THÁNG 10'!$L101))</f>
        <v/>
      </c>
      <c r="K694" s="0" t="str">
        <f aca="false">IF('THÁNG 10'!$C101="","",N('THÁNG 10'!$N101))</f>
        <v/>
      </c>
      <c r="L694" s="0" t="str">
        <f aca="false">IF('THÁNG 10'!$C101="","",N('THÁNG 10'!$O101))</f>
        <v/>
      </c>
      <c r="M694" s="0" t="str">
        <f aca="false">IF('THÁNG 10'!$C101="","",N('THÁNG 10'!$P101))</f>
        <v/>
      </c>
      <c r="N694" s="0" t="str">
        <f aca="false">IF('THÁNG 10'!$C101="","",N('THÁNG 10'!$Q101))</f>
        <v/>
      </c>
      <c r="O694" s="0" t="str">
        <f aca="false">IF('THÁNG 10'!$C101="","",N('THÁNG 10'!$R101))</f>
        <v/>
      </c>
      <c r="P694" s="0" t="str">
        <f aca="false">IF(OR('THÁNG 10'!$C101="",'THÁNG 10'!$T101=""),"",'THÁNG 10'!$T101)</f>
        <v/>
      </c>
      <c r="Q694" s="0" t="str">
        <f aca="false">IF(OR('THÁNG 10'!$C101="",'THÁNG 10'!$U101=""),"",'THÁNG 10'!$U101)</f>
        <v/>
      </c>
      <c r="R694" s="0" t="str">
        <f aca="false">IF('THÁNG 10'!$C101="","",'THÁNG 10'!$W101&amp;"")</f>
        <v/>
      </c>
      <c r="S694" s="0" t="str">
        <f aca="false">IF('THÁNG 10'!$C101="","",'THÁNG 10'!$S101&amp;"")</f>
        <v/>
      </c>
      <c r="T694" s="0" t="str">
        <f aca="false">IF(N($O694)&gt;0,COUNTIF($O$3:$O694,"&gt;0"),"")</f>
        <v/>
      </c>
      <c r="U694" s="0" t="str">
        <f aca="false">IF(AND(N($J694)&gt;0,N($K694)&gt;0),COUNTIFS($J$3:$J694,"&gt;0",$K$3:$K694,"&gt;0"),"")</f>
        <v/>
      </c>
      <c r="V694" s="0" t="str">
        <f aca="false">IF(AND(N($J694)&gt;0,N($K694)=0),COUNTIFS($J$3:$J694,"&gt;0",$K$3:$K694,"&lt;=0"),"")</f>
        <v/>
      </c>
      <c r="W694" s="0" t="str">
        <f aca="false">IF($C694="","",IF(COUNTIF($C$3:$C694,$C694)&gt;1,"",MAX($W$2:W693)+1))</f>
        <v/>
      </c>
      <c r="X694" s="0" t="str">
        <f aca="false">IF($H694="","",IF(COUNTIF($H$3:$H694,$H694)&gt;1,"",MAX($X$2:X693)+1))</f>
        <v/>
      </c>
      <c r="Y694" s="0" t="str">
        <f aca="false">IF(AND(N($M694)&gt;0,N($O694)&lt;=0),COUNTIFS($M$3:$M694,"&gt;0",$O$3:$O694,"&lt;=0"),"")</f>
        <v/>
      </c>
      <c r="Z694" s="30" t="n">
        <f aca="false">IF(OR('THÁNG 10'!$C101="",'THÁNG 10'!$B101=""),0,'THÁNG 10'!$B101)</f>
        <v>0</v>
      </c>
    </row>
    <row r="695" customFormat="false" ht="15" hidden="false" customHeight="false" outlineLevel="0" collapsed="false">
      <c r="A695" s="0" t="n">
        <v>10</v>
      </c>
      <c r="B695" s="29" t="str">
        <f aca="false">IF(OR('THÁNG 10'!$C102="",'THÁNG 10'!$B102=""),"",'THÁNG 10'!$B102)</f>
        <v/>
      </c>
      <c r="C695" s="0" t="str">
        <f aca="false">IF('THÁNG 10'!$C102="","",'THÁNG 10'!$C102)</f>
        <v/>
      </c>
      <c r="D695" s="0" t="str">
        <f aca="false">IF('THÁNG 10'!$C102="","",'THÁNG 10'!$D102&amp;"")</f>
        <v/>
      </c>
      <c r="E695" s="0" t="str">
        <f aca="false">IF('THÁNG 10'!$C102="","",'THÁNG 10'!$E102&amp;"")</f>
        <v/>
      </c>
      <c r="F695" s="0" t="str">
        <f aca="false">IF('THÁNG 10'!$C102="","",'THÁNG 10'!$F102&amp;"")</f>
        <v/>
      </c>
      <c r="G695" s="0" t="str">
        <f aca="false">IF('THÁNG 10'!$C102="","",'THÁNG 10'!$G102&amp;"")</f>
        <v/>
      </c>
      <c r="H695" s="0" t="str">
        <f aca="false">IF('THÁNG 10'!$C102="","",'THÁNG 10'!$H102&amp;"")</f>
        <v/>
      </c>
      <c r="I695" s="0" t="str">
        <f aca="false">IF('THÁNG 10'!$C102="","",N('THÁNG 10'!$I102))</f>
        <v/>
      </c>
      <c r="J695" s="0" t="str">
        <f aca="false">IF('THÁNG 10'!$C102="","",N('THÁNG 10'!$L102))</f>
        <v/>
      </c>
      <c r="K695" s="0" t="str">
        <f aca="false">IF('THÁNG 10'!$C102="","",N('THÁNG 10'!$N102))</f>
        <v/>
      </c>
      <c r="L695" s="0" t="str">
        <f aca="false">IF('THÁNG 10'!$C102="","",N('THÁNG 10'!$O102))</f>
        <v/>
      </c>
      <c r="M695" s="0" t="str">
        <f aca="false">IF('THÁNG 10'!$C102="","",N('THÁNG 10'!$P102))</f>
        <v/>
      </c>
      <c r="N695" s="0" t="str">
        <f aca="false">IF('THÁNG 10'!$C102="","",N('THÁNG 10'!$Q102))</f>
        <v/>
      </c>
      <c r="O695" s="0" t="str">
        <f aca="false">IF('THÁNG 10'!$C102="","",N('THÁNG 10'!$R102))</f>
        <v/>
      </c>
      <c r="P695" s="0" t="str">
        <f aca="false">IF(OR('THÁNG 10'!$C102="",'THÁNG 10'!$T102=""),"",'THÁNG 10'!$T102)</f>
        <v/>
      </c>
      <c r="Q695" s="0" t="str">
        <f aca="false">IF(OR('THÁNG 10'!$C102="",'THÁNG 10'!$U102=""),"",'THÁNG 10'!$U102)</f>
        <v/>
      </c>
      <c r="R695" s="0" t="str">
        <f aca="false">IF('THÁNG 10'!$C102="","",'THÁNG 10'!$W102&amp;"")</f>
        <v/>
      </c>
      <c r="S695" s="0" t="str">
        <f aca="false">IF('THÁNG 10'!$C102="","",'THÁNG 10'!$S102&amp;"")</f>
        <v/>
      </c>
      <c r="T695" s="0" t="str">
        <f aca="false">IF(N($O695)&gt;0,COUNTIF($O$3:$O695,"&gt;0"),"")</f>
        <v/>
      </c>
      <c r="U695" s="0" t="str">
        <f aca="false">IF(AND(N($J695)&gt;0,N($K695)&gt;0),COUNTIFS($J$3:$J695,"&gt;0",$K$3:$K695,"&gt;0"),"")</f>
        <v/>
      </c>
      <c r="V695" s="0" t="str">
        <f aca="false">IF(AND(N($J695)&gt;0,N($K695)=0),COUNTIFS($J$3:$J695,"&gt;0",$K$3:$K695,"&lt;=0"),"")</f>
        <v/>
      </c>
      <c r="W695" s="0" t="str">
        <f aca="false">IF($C695="","",IF(COUNTIF($C$3:$C695,$C695)&gt;1,"",MAX($W$2:W694)+1))</f>
        <v/>
      </c>
      <c r="X695" s="0" t="str">
        <f aca="false">IF($H695="","",IF(COUNTIF($H$3:$H695,$H695)&gt;1,"",MAX($X$2:X694)+1))</f>
        <v/>
      </c>
      <c r="Y695" s="0" t="str">
        <f aca="false">IF(AND(N($M695)&gt;0,N($O695)&lt;=0),COUNTIFS($M$3:$M695,"&gt;0",$O$3:$O695,"&lt;=0"),"")</f>
        <v/>
      </c>
      <c r="Z695" s="30" t="n">
        <f aca="false">IF(OR('THÁNG 10'!$C102="",'THÁNG 10'!$B102=""),0,'THÁNG 10'!$B102)</f>
        <v>0</v>
      </c>
    </row>
    <row r="696" customFormat="false" ht="15" hidden="false" customHeight="false" outlineLevel="0" collapsed="false">
      <c r="A696" s="0" t="n">
        <v>10</v>
      </c>
      <c r="B696" s="29" t="str">
        <f aca="false">IF(OR('THÁNG 10'!$C103="",'THÁNG 10'!$B103=""),"",'THÁNG 10'!$B103)</f>
        <v/>
      </c>
      <c r="C696" s="0" t="str">
        <f aca="false">IF('THÁNG 10'!$C103="","",'THÁNG 10'!$C103)</f>
        <v/>
      </c>
      <c r="D696" s="0" t="str">
        <f aca="false">IF('THÁNG 10'!$C103="","",'THÁNG 10'!$D103&amp;"")</f>
        <v/>
      </c>
      <c r="E696" s="0" t="str">
        <f aca="false">IF('THÁNG 10'!$C103="","",'THÁNG 10'!$E103&amp;"")</f>
        <v/>
      </c>
      <c r="F696" s="0" t="str">
        <f aca="false">IF('THÁNG 10'!$C103="","",'THÁNG 10'!$F103&amp;"")</f>
        <v/>
      </c>
      <c r="G696" s="0" t="str">
        <f aca="false">IF('THÁNG 10'!$C103="","",'THÁNG 10'!$G103&amp;"")</f>
        <v/>
      </c>
      <c r="H696" s="0" t="str">
        <f aca="false">IF('THÁNG 10'!$C103="","",'THÁNG 10'!$H103&amp;"")</f>
        <v/>
      </c>
      <c r="I696" s="0" t="str">
        <f aca="false">IF('THÁNG 10'!$C103="","",N('THÁNG 10'!$I103))</f>
        <v/>
      </c>
      <c r="J696" s="0" t="str">
        <f aca="false">IF('THÁNG 10'!$C103="","",N('THÁNG 10'!$L103))</f>
        <v/>
      </c>
      <c r="K696" s="0" t="str">
        <f aca="false">IF('THÁNG 10'!$C103="","",N('THÁNG 10'!$N103))</f>
        <v/>
      </c>
      <c r="L696" s="0" t="str">
        <f aca="false">IF('THÁNG 10'!$C103="","",N('THÁNG 10'!$O103))</f>
        <v/>
      </c>
      <c r="M696" s="0" t="str">
        <f aca="false">IF('THÁNG 10'!$C103="","",N('THÁNG 10'!$P103))</f>
        <v/>
      </c>
      <c r="N696" s="0" t="str">
        <f aca="false">IF('THÁNG 10'!$C103="","",N('THÁNG 10'!$Q103))</f>
        <v/>
      </c>
      <c r="O696" s="0" t="str">
        <f aca="false">IF('THÁNG 10'!$C103="","",N('THÁNG 10'!$R103))</f>
        <v/>
      </c>
      <c r="P696" s="0" t="str">
        <f aca="false">IF(OR('THÁNG 10'!$C103="",'THÁNG 10'!$T103=""),"",'THÁNG 10'!$T103)</f>
        <v/>
      </c>
      <c r="Q696" s="0" t="str">
        <f aca="false">IF(OR('THÁNG 10'!$C103="",'THÁNG 10'!$U103=""),"",'THÁNG 10'!$U103)</f>
        <v/>
      </c>
      <c r="R696" s="0" t="str">
        <f aca="false">IF('THÁNG 10'!$C103="","",'THÁNG 10'!$W103&amp;"")</f>
        <v/>
      </c>
      <c r="S696" s="0" t="str">
        <f aca="false">IF('THÁNG 10'!$C103="","",'THÁNG 10'!$S103&amp;"")</f>
        <v/>
      </c>
      <c r="T696" s="0" t="str">
        <f aca="false">IF(N($O696)&gt;0,COUNTIF($O$3:$O696,"&gt;0"),"")</f>
        <v/>
      </c>
      <c r="U696" s="0" t="str">
        <f aca="false">IF(AND(N($J696)&gt;0,N($K696)&gt;0),COUNTIFS($J$3:$J696,"&gt;0",$K$3:$K696,"&gt;0"),"")</f>
        <v/>
      </c>
      <c r="V696" s="0" t="str">
        <f aca="false">IF(AND(N($J696)&gt;0,N($K696)=0),COUNTIFS($J$3:$J696,"&gt;0",$K$3:$K696,"&lt;=0"),"")</f>
        <v/>
      </c>
      <c r="W696" s="0" t="str">
        <f aca="false">IF($C696="","",IF(COUNTIF($C$3:$C696,$C696)&gt;1,"",MAX($W$2:W695)+1))</f>
        <v/>
      </c>
      <c r="X696" s="0" t="str">
        <f aca="false">IF($H696="","",IF(COUNTIF($H$3:$H696,$H696)&gt;1,"",MAX($X$2:X695)+1))</f>
        <v/>
      </c>
      <c r="Y696" s="0" t="str">
        <f aca="false">IF(AND(N($M696)&gt;0,N($O696)&lt;=0),COUNTIFS($M$3:$M696,"&gt;0",$O$3:$O696,"&lt;=0"),"")</f>
        <v/>
      </c>
      <c r="Z696" s="30" t="n">
        <f aca="false">IF(OR('THÁNG 10'!$C103="",'THÁNG 10'!$B103=""),0,'THÁNG 10'!$B103)</f>
        <v>0</v>
      </c>
    </row>
    <row r="697" customFormat="false" ht="15" hidden="false" customHeight="false" outlineLevel="0" collapsed="false">
      <c r="A697" s="0" t="n">
        <v>10</v>
      </c>
      <c r="B697" s="29" t="str">
        <f aca="false">IF(OR('THÁNG 10'!$C104="",'THÁNG 10'!$B104=""),"",'THÁNG 10'!$B104)</f>
        <v/>
      </c>
      <c r="C697" s="0" t="str">
        <f aca="false">IF('THÁNG 10'!$C104="","",'THÁNG 10'!$C104)</f>
        <v/>
      </c>
      <c r="D697" s="0" t="str">
        <f aca="false">IF('THÁNG 10'!$C104="","",'THÁNG 10'!$D104&amp;"")</f>
        <v/>
      </c>
      <c r="E697" s="0" t="str">
        <f aca="false">IF('THÁNG 10'!$C104="","",'THÁNG 10'!$E104&amp;"")</f>
        <v/>
      </c>
      <c r="F697" s="0" t="str">
        <f aca="false">IF('THÁNG 10'!$C104="","",'THÁNG 10'!$F104&amp;"")</f>
        <v/>
      </c>
      <c r="G697" s="0" t="str">
        <f aca="false">IF('THÁNG 10'!$C104="","",'THÁNG 10'!$G104&amp;"")</f>
        <v/>
      </c>
      <c r="H697" s="0" t="str">
        <f aca="false">IF('THÁNG 10'!$C104="","",'THÁNG 10'!$H104&amp;"")</f>
        <v/>
      </c>
      <c r="I697" s="0" t="str">
        <f aca="false">IF('THÁNG 10'!$C104="","",N('THÁNG 10'!$I104))</f>
        <v/>
      </c>
      <c r="J697" s="0" t="str">
        <f aca="false">IF('THÁNG 10'!$C104="","",N('THÁNG 10'!$L104))</f>
        <v/>
      </c>
      <c r="K697" s="0" t="str">
        <f aca="false">IF('THÁNG 10'!$C104="","",N('THÁNG 10'!$N104))</f>
        <v/>
      </c>
      <c r="L697" s="0" t="str">
        <f aca="false">IF('THÁNG 10'!$C104="","",N('THÁNG 10'!$O104))</f>
        <v/>
      </c>
      <c r="M697" s="0" t="str">
        <f aca="false">IF('THÁNG 10'!$C104="","",N('THÁNG 10'!$P104))</f>
        <v/>
      </c>
      <c r="N697" s="0" t="str">
        <f aca="false">IF('THÁNG 10'!$C104="","",N('THÁNG 10'!$Q104))</f>
        <v/>
      </c>
      <c r="O697" s="0" t="str">
        <f aca="false">IF('THÁNG 10'!$C104="","",N('THÁNG 10'!$R104))</f>
        <v/>
      </c>
      <c r="P697" s="0" t="str">
        <f aca="false">IF(OR('THÁNG 10'!$C104="",'THÁNG 10'!$T104=""),"",'THÁNG 10'!$T104)</f>
        <v/>
      </c>
      <c r="Q697" s="0" t="str">
        <f aca="false">IF(OR('THÁNG 10'!$C104="",'THÁNG 10'!$U104=""),"",'THÁNG 10'!$U104)</f>
        <v/>
      </c>
      <c r="R697" s="0" t="str">
        <f aca="false">IF('THÁNG 10'!$C104="","",'THÁNG 10'!$W104&amp;"")</f>
        <v/>
      </c>
      <c r="S697" s="0" t="str">
        <f aca="false">IF('THÁNG 10'!$C104="","",'THÁNG 10'!$S104&amp;"")</f>
        <v/>
      </c>
      <c r="T697" s="0" t="str">
        <f aca="false">IF(N($O697)&gt;0,COUNTIF($O$3:$O697,"&gt;0"),"")</f>
        <v/>
      </c>
      <c r="U697" s="0" t="str">
        <f aca="false">IF(AND(N($J697)&gt;0,N($K697)&gt;0),COUNTIFS($J$3:$J697,"&gt;0",$K$3:$K697,"&gt;0"),"")</f>
        <v/>
      </c>
      <c r="V697" s="0" t="str">
        <f aca="false">IF(AND(N($J697)&gt;0,N($K697)=0),COUNTIFS($J$3:$J697,"&gt;0",$K$3:$K697,"&lt;=0"),"")</f>
        <v/>
      </c>
      <c r="W697" s="0" t="str">
        <f aca="false">IF($C697="","",IF(COUNTIF($C$3:$C697,$C697)&gt;1,"",MAX($W$2:W696)+1))</f>
        <v/>
      </c>
      <c r="X697" s="0" t="str">
        <f aca="false">IF($H697="","",IF(COUNTIF($H$3:$H697,$H697)&gt;1,"",MAX($X$2:X696)+1))</f>
        <v/>
      </c>
      <c r="Y697" s="0" t="str">
        <f aca="false">IF(AND(N($M697)&gt;0,N($O697)&lt;=0),COUNTIFS($M$3:$M697,"&gt;0",$O$3:$O697,"&lt;=0"),"")</f>
        <v/>
      </c>
      <c r="Z697" s="30" t="n">
        <f aca="false">IF(OR('THÁNG 10'!$C104="",'THÁNG 10'!$B104=""),0,'THÁNG 10'!$B104)</f>
        <v>0</v>
      </c>
    </row>
    <row r="698" customFormat="false" ht="15" hidden="false" customHeight="false" outlineLevel="0" collapsed="false">
      <c r="A698" s="0" t="n">
        <v>10</v>
      </c>
      <c r="B698" s="29" t="str">
        <f aca="false">IF(OR('THÁNG 10'!$C105="",'THÁNG 10'!$B105=""),"",'THÁNG 10'!$B105)</f>
        <v/>
      </c>
      <c r="C698" s="0" t="str">
        <f aca="false">IF('THÁNG 10'!$C105="","",'THÁNG 10'!$C105)</f>
        <v/>
      </c>
      <c r="D698" s="0" t="str">
        <f aca="false">IF('THÁNG 10'!$C105="","",'THÁNG 10'!$D105&amp;"")</f>
        <v/>
      </c>
      <c r="E698" s="0" t="str">
        <f aca="false">IF('THÁNG 10'!$C105="","",'THÁNG 10'!$E105&amp;"")</f>
        <v/>
      </c>
      <c r="F698" s="0" t="str">
        <f aca="false">IF('THÁNG 10'!$C105="","",'THÁNG 10'!$F105&amp;"")</f>
        <v/>
      </c>
      <c r="G698" s="0" t="str">
        <f aca="false">IF('THÁNG 10'!$C105="","",'THÁNG 10'!$G105&amp;"")</f>
        <v/>
      </c>
      <c r="H698" s="0" t="str">
        <f aca="false">IF('THÁNG 10'!$C105="","",'THÁNG 10'!$H105&amp;"")</f>
        <v/>
      </c>
      <c r="I698" s="0" t="str">
        <f aca="false">IF('THÁNG 10'!$C105="","",N('THÁNG 10'!$I105))</f>
        <v/>
      </c>
      <c r="J698" s="0" t="str">
        <f aca="false">IF('THÁNG 10'!$C105="","",N('THÁNG 10'!$L105))</f>
        <v/>
      </c>
      <c r="K698" s="0" t="str">
        <f aca="false">IF('THÁNG 10'!$C105="","",N('THÁNG 10'!$N105))</f>
        <v/>
      </c>
      <c r="L698" s="0" t="str">
        <f aca="false">IF('THÁNG 10'!$C105="","",N('THÁNG 10'!$O105))</f>
        <v/>
      </c>
      <c r="M698" s="0" t="str">
        <f aca="false">IF('THÁNG 10'!$C105="","",N('THÁNG 10'!$P105))</f>
        <v/>
      </c>
      <c r="N698" s="0" t="str">
        <f aca="false">IF('THÁNG 10'!$C105="","",N('THÁNG 10'!$Q105))</f>
        <v/>
      </c>
      <c r="O698" s="0" t="str">
        <f aca="false">IF('THÁNG 10'!$C105="","",N('THÁNG 10'!$R105))</f>
        <v/>
      </c>
      <c r="P698" s="0" t="str">
        <f aca="false">IF(OR('THÁNG 10'!$C105="",'THÁNG 10'!$T105=""),"",'THÁNG 10'!$T105)</f>
        <v/>
      </c>
      <c r="Q698" s="0" t="str">
        <f aca="false">IF(OR('THÁNG 10'!$C105="",'THÁNG 10'!$U105=""),"",'THÁNG 10'!$U105)</f>
        <v/>
      </c>
      <c r="R698" s="0" t="str">
        <f aca="false">IF('THÁNG 10'!$C105="","",'THÁNG 10'!$W105&amp;"")</f>
        <v/>
      </c>
      <c r="S698" s="0" t="str">
        <f aca="false">IF('THÁNG 10'!$C105="","",'THÁNG 10'!$S105&amp;"")</f>
        <v/>
      </c>
      <c r="T698" s="0" t="str">
        <f aca="false">IF(N($O698)&gt;0,COUNTIF($O$3:$O698,"&gt;0"),"")</f>
        <v/>
      </c>
      <c r="U698" s="0" t="str">
        <f aca="false">IF(AND(N($J698)&gt;0,N($K698)&gt;0),COUNTIFS($J$3:$J698,"&gt;0",$K$3:$K698,"&gt;0"),"")</f>
        <v/>
      </c>
      <c r="V698" s="0" t="str">
        <f aca="false">IF(AND(N($J698)&gt;0,N($K698)=0),COUNTIFS($J$3:$J698,"&gt;0",$K$3:$K698,"&lt;=0"),"")</f>
        <v/>
      </c>
      <c r="W698" s="0" t="str">
        <f aca="false">IF($C698="","",IF(COUNTIF($C$3:$C698,$C698)&gt;1,"",MAX($W$2:W697)+1))</f>
        <v/>
      </c>
      <c r="X698" s="0" t="str">
        <f aca="false">IF($H698="","",IF(COUNTIF($H$3:$H698,$H698)&gt;1,"",MAX($X$2:X697)+1))</f>
        <v/>
      </c>
      <c r="Y698" s="0" t="str">
        <f aca="false">IF(AND(N($M698)&gt;0,N($O698)&lt;=0),COUNTIFS($M$3:$M698,"&gt;0",$O$3:$O698,"&lt;=0"),"")</f>
        <v/>
      </c>
      <c r="Z698" s="30" t="n">
        <f aca="false">IF(OR('THÁNG 10'!$C105="",'THÁNG 10'!$B105=""),0,'THÁNG 10'!$B105)</f>
        <v>0</v>
      </c>
    </row>
    <row r="699" customFormat="false" ht="15" hidden="false" customHeight="false" outlineLevel="0" collapsed="false">
      <c r="A699" s="0" t="n">
        <v>10</v>
      </c>
      <c r="B699" s="29" t="str">
        <f aca="false">IF(OR('THÁNG 10'!$C106="",'THÁNG 10'!$B106=""),"",'THÁNG 10'!$B106)</f>
        <v/>
      </c>
      <c r="C699" s="0" t="str">
        <f aca="false">IF('THÁNG 10'!$C106="","",'THÁNG 10'!$C106)</f>
        <v/>
      </c>
      <c r="D699" s="0" t="str">
        <f aca="false">IF('THÁNG 10'!$C106="","",'THÁNG 10'!$D106&amp;"")</f>
        <v/>
      </c>
      <c r="E699" s="0" t="str">
        <f aca="false">IF('THÁNG 10'!$C106="","",'THÁNG 10'!$E106&amp;"")</f>
        <v/>
      </c>
      <c r="F699" s="0" t="str">
        <f aca="false">IF('THÁNG 10'!$C106="","",'THÁNG 10'!$F106&amp;"")</f>
        <v/>
      </c>
      <c r="G699" s="0" t="str">
        <f aca="false">IF('THÁNG 10'!$C106="","",'THÁNG 10'!$G106&amp;"")</f>
        <v/>
      </c>
      <c r="H699" s="0" t="str">
        <f aca="false">IF('THÁNG 10'!$C106="","",'THÁNG 10'!$H106&amp;"")</f>
        <v/>
      </c>
      <c r="I699" s="0" t="str">
        <f aca="false">IF('THÁNG 10'!$C106="","",N('THÁNG 10'!$I106))</f>
        <v/>
      </c>
      <c r="J699" s="0" t="str">
        <f aca="false">IF('THÁNG 10'!$C106="","",N('THÁNG 10'!$L106))</f>
        <v/>
      </c>
      <c r="K699" s="0" t="str">
        <f aca="false">IF('THÁNG 10'!$C106="","",N('THÁNG 10'!$N106))</f>
        <v/>
      </c>
      <c r="L699" s="0" t="str">
        <f aca="false">IF('THÁNG 10'!$C106="","",N('THÁNG 10'!$O106))</f>
        <v/>
      </c>
      <c r="M699" s="0" t="str">
        <f aca="false">IF('THÁNG 10'!$C106="","",N('THÁNG 10'!$P106))</f>
        <v/>
      </c>
      <c r="N699" s="0" t="str">
        <f aca="false">IF('THÁNG 10'!$C106="","",N('THÁNG 10'!$Q106))</f>
        <v/>
      </c>
      <c r="O699" s="0" t="str">
        <f aca="false">IF('THÁNG 10'!$C106="","",N('THÁNG 10'!$R106))</f>
        <v/>
      </c>
      <c r="P699" s="0" t="str">
        <f aca="false">IF(OR('THÁNG 10'!$C106="",'THÁNG 10'!$T106=""),"",'THÁNG 10'!$T106)</f>
        <v/>
      </c>
      <c r="Q699" s="0" t="str">
        <f aca="false">IF(OR('THÁNG 10'!$C106="",'THÁNG 10'!$U106=""),"",'THÁNG 10'!$U106)</f>
        <v/>
      </c>
      <c r="R699" s="0" t="str">
        <f aca="false">IF('THÁNG 10'!$C106="","",'THÁNG 10'!$W106&amp;"")</f>
        <v/>
      </c>
      <c r="S699" s="0" t="str">
        <f aca="false">IF('THÁNG 10'!$C106="","",'THÁNG 10'!$S106&amp;"")</f>
        <v/>
      </c>
      <c r="T699" s="0" t="str">
        <f aca="false">IF(N($O699)&gt;0,COUNTIF($O$3:$O699,"&gt;0"),"")</f>
        <v/>
      </c>
      <c r="U699" s="0" t="str">
        <f aca="false">IF(AND(N($J699)&gt;0,N($K699)&gt;0),COUNTIFS($J$3:$J699,"&gt;0",$K$3:$K699,"&gt;0"),"")</f>
        <v/>
      </c>
      <c r="V699" s="0" t="str">
        <f aca="false">IF(AND(N($J699)&gt;0,N($K699)=0),COUNTIFS($J$3:$J699,"&gt;0",$K$3:$K699,"&lt;=0"),"")</f>
        <v/>
      </c>
      <c r="W699" s="0" t="str">
        <f aca="false">IF($C699="","",IF(COUNTIF($C$3:$C699,$C699)&gt;1,"",MAX($W$2:W698)+1))</f>
        <v/>
      </c>
      <c r="X699" s="0" t="str">
        <f aca="false">IF($H699="","",IF(COUNTIF($H$3:$H699,$H699)&gt;1,"",MAX($X$2:X698)+1))</f>
        <v/>
      </c>
      <c r="Y699" s="0" t="str">
        <f aca="false">IF(AND(N($M699)&gt;0,N($O699)&lt;=0),COUNTIFS($M$3:$M699,"&gt;0",$O$3:$O699,"&lt;=0"),"")</f>
        <v/>
      </c>
      <c r="Z699" s="30" t="n">
        <f aca="false">IF(OR('THÁNG 10'!$C106="",'THÁNG 10'!$B106=""),0,'THÁNG 10'!$B106)</f>
        <v>0</v>
      </c>
    </row>
    <row r="700" customFormat="false" ht="15" hidden="false" customHeight="false" outlineLevel="0" collapsed="false">
      <c r="A700" s="0" t="n">
        <v>10</v>
      </c>
      <c r="B700" s="29" t="str">
        <f aca="false">IF(OR('THÁNG 10'!$C107="",'THÁNG 10'!$B107=""),"",'THÁNG 10'!$B107)</f>
        <v/>
      </c>
      <c r="C700" s="0" t="str">
        <f aca="false">IF('THÁNG 10'!$C107="","",'THÁNG 10'!$C107)</f>
        <v/>
      </c>
      <c r="D700" s="0" t="str">
        <f aca="false">IF('THÁNG 10'!$C107="","",'THÁNG 10'!$D107&amp;"")</f>
        <v/>
      </c>
      <c r="E700" s="0" t="str">
        <f aca="false">IF('THÁNG 10'!$C107="","",'THÁNG 10'!$E107&amp;"")</f>
        <v/>
      </c>
      <c r="F700" s="0" t="str">
        <f aca="false">IF('THÁNG 10'!$C107="","",'THÁNG 10'!$F107&amp;"")</f>
        <v/>
      </c>
      <c r="G700" s="0" t="str">
        <f aca="false">IF('THÁNG 10'!$C107="","",'THÁNG 10'!$G107&amp;"")</f>
        <v/>
      </c>
      <c r="H700" s="0" t="str">
        <f aca="false">IF('THÁNG 10'!$C107="","",'THÁNG 10'!$H107&amp;"")</f>
        <v/>
      </c>
      <c r="I700" s="0" t="str">
        <f aca="false">IF('THÁNG 10'!$C107="","",N('THÁNG 10'!$I107))</f>
        <v/>
      </c>
      <c r="J700" s="0" t="str">
        <f aca="false">IF('THÁNG 10'!$C107="","",N('THÁNG 10'!$L107))</f>
        <v/>
      </c>
      <c r="K700" s="0" t="str">
        <f aca="false">IF('THÁNG 10'!$C107="","",N('THÁNG 10'!$N107))</f>
        <v/>
      </c>
      <c r="L700" s="0" t="str">
        <f aca="false">IF('THÁNG 10'!$C107="","",N('THÁNG 10'!$O107))</f>
        <v/>
      </c>
      <c r="M700" s="0" t="str">
        <f aca="false">IF('THÁNG 10'!$C107="","",N('THÁNG 10'!$P107))</f>
        <v/>
      </c>
      <c r="N700" s="0" t="str">
        <f aca="false">IF('THÁNG 10'!$C107="","",N('THÁNG 10'!$Q107))</f>
        <v/>
      </c>
      <c r="O700" s="0" t="str">
        <f aca="false">IF('THÁNG 10'!$C107="","",N('THÁNG 10'!$R107))</f>
        <v/>
      </c>
      <c r="P700" s="0" t="str">
        <f aca="false">IF(OR('THÁNG 10'!$C107="",'THÁNG 10'!$T107=""),"",'THÁNG 10'!$T107)</f>
        <v/>
      </c>
      <c r="Q700" s="0" t="str">
        <f aca="false">IF(OR('THÁNG 10'!$C107="",'THÁNG 10'!$U107=""),"",'THÁNG 10'!$U107)</f>
        <v/>
      </c>
      <c r="R700" s="0" t="str">
        <f aca="false">IF('THÁNG 10'!$C107="","",'THÁNG 10'!$W107&amp;"")</f>
        <v/>
      </c>
      <c r="S700" s="0" t="str">
        <f aca="false">IF('THÁNG 10'!$C107="","",'THÁNG 10'!$S107&amp;"")</f>
        <v/>
      </c>
      <c r="T700" s="0" t="str">
        <f aca="false">IF(N($O700)&gt;0,COUNTIF($O$3:$O700,"&gt;0"),"")</f>
        <v/>
      </c>
      <c r="U700" s="0" t="str">
        <f aca="false">IF(AND(N($J700)&gt;0,N($K700)&gt;0),COUNTIFS($J$3:$J700,"&gt;0",$K$3:$K700,"&gt;0"),"")</f>
        <v/>
      </c>
      <c r="V700" s="0" t="str">
        <f aca="false">IF(AND(N($J700)&gt;0,N($K700)=0),COUNTIFS($J$3:$J700,"&gt;0",$K$3:$K700,"&lt;=0"),"")</f>
        <v/>
      </c>
      <c r="W700" s="0" t="str">
        <f aca="false">IF($C700="","",IF(COUNTIF($C$3:$C700,$C700)&gt;1,"",MAX($W$2:W699)+1))</f>
        <v/>
      </c>
      <c r="X700" s="0" t="str">
        <f aca="false">IF($H700="","",IF(COUNTIF($H$3:$H700,$H700)&gt;1,"",MAX($X$2:X699)+1))</f>
        <v/>
      </c>
      <c r="Y700" s="0" t="str">
        <f aca="false">IF(AND(N($M700)&gt;0,N($O700)&lt;=0),COUNTIFS($M$3:$M700,"&gt;0",$O$3:$O700,"&lt;=0"),"")</f>
        <v/>
      </c>
      <c r="Z700" s="30" t="n">
        <f aca="false">IF(OR('THÁNG 10'!$C107="",'THÁNG 10'!$B107=""),0,'THÁNG 10'!$B107)</f>
        <v>0</v>
      </c>
    </row>
    <row r="701" customFormat="false" ht="15" hidden="false" customHeight="false" outlineLevel="0" collapsed="false">
      <c r="A701" s="0" t="n">
        <v>10</v>
      </c>
      <c r="B701" s="29" t="str">
        <f aca="false">IF(OR('THÁNG 10'!$C108="",'THÁNG 10'!$B108=""),"",'THÁNG 10'!$B108)</f>
        <v/>
      </c>
      <c r="C701" s="0" t="str">
        <f aca="false">IF('THÁNG 10'!$C108="","",'THÁNG 10'!$C108)</f>
        <v/>
      </c>
      <c r="D701" s="0" t="str">
        <f aca="false">IF('THÁNG 10'!$C108="","",'THÁNG 10'!$D108&amp;"")</f>
        <v/>
      </c>
      <c r="E701" s="0" t="str">
        <f aca="false">IF('THÁNG 10'!$C108="","",'THÁNG 10'!$E108&amp;"")</f>
        <v/>
      </c>
      <c r="F701" s="0" t="str">
        <f aca="false">IF('THÁNG 10'!$C108="","",'THÁNG 10'!$F108&amp;"")</f>
        <v/>
      </c>
      <c r="G701" s="0" t="str">
        <f aca="false">IF('THÁNG 10'!$C108="","",'THÁNG 10'!$G108&amp;"")</f>
        <v/>
      </c>
      <c r="H701" s="0" t="str">
        <f aca="false">IF('THÁNG 10'!$C108="","",'THÁNG 10'!$H108&amp;"")</f>
        <v/>
      </c>
      <c r="I701" s="0" t="str">
        <f aca="false">IF('THÁNG 10'!$C108="","",N('THÁNG 10'!$I108))</f>
        <v/>
      </c>
      <c r="J701" s="0" t="str">
        <f aca="false">IF('THÁNG 10'!$C108="","",N('THÁNG 10'!$L108))</f>
        <v/>
      </c>
      <c r="K701" s="0" t="str">
        <f aca="false">IF('THÁNG 10'!$C108="","",N('THÁNG 10'!$N108))</f>
        <v/>
      </c>
      <c r="L701" s="0" t="str">
        <f aca="false">IF('THÁNG 10'!$C108="","",N('THÁNG 10'!$O108))</f>
        <v/>
      </c>
      <c r="M701" s="0" t="str">
        <f aca="false">IF('THÁNG 10'!$C108="","",N('THÁNG 10'!$P108))</f>
        <v/>
      </c>
      <c r="N701" s="0" t="str">
        <f aca="false">IF('THÁNG 10'!$C108="","",N('THÁNG 10'!$Q108))</f>
        <v/>
      </c>
      <c r="O701" s="0" t="str">
        <f aca="false">IF('THÁNG 10'!$C108="","",N('THÁNG 10'!$R108))</f>
        <v/>
      </c>
      <c r="P701" s="0" t="str">
        <f aca="false">IF(OR('THÁNG 10'!$C108="",'THÁNG 10'!$T108=""),"",'THÁNG 10'!$T108)</f>
        <v/>
      </c>
      <c r="Q701" s="0" t="str">
        <f aca="false">IF(OR('THÁNG 10'!$C108="",'THÁNG 10'!$U108=""),"",'THÁNG 10'!$U108)</f>
        <v/>
      </c>
      <c r="R701" s="0" t="str">
        <f aca="false">IF('THÁNG 10'!$C108="","",'THÁNG 10'!$W108&amp;"")</f>
        <v/>
      </c>
      <c r="S701" s="0" t="str">
        <f aca="false">IF('THÁNG 10'!$C108="","",'THÁNG 10'!$S108&amp;"")</f>
        <v/>
      </c>
      <c r="T701" s="0" t="str">
        <f aca="false">IF(N($O701)&gt;0,COUNTIF($O$3:$O701,"&gt;0"),"")</f>
        <v/>
      </c>
      <c r="U701" s="0" t="str">
        <f aca="false">IF(AND(N($J701)&gt;0,N($K701)&gt;0),COUNTIFS($J$3:$J701,"&gt;0",$K$3:$K701,"&gt;0"),"")</f>
        <v/>
      </c>
      <c r="V701" s="0" t="str">
        <f aca="false">IF(AND(N($J701)&gt;0,N($K701)=0),COUNTIFS($J$3:$J701,"&gt;0",$K$3:$K701,"&lt;=0"),"")</f>
        <v/>
      </c>
      <c r="W701" s="0" t="str">
        <f aca="false">IF($C701="","",IF(COUNTIF($C$3:$C701,$C701)&gt;1,"",MAX($W$2:W700)+1))</f>
        <v/>
      </c>
      <c r="X701" s="0" t="str">
        <f aca="false">IF($H701="","",IF(COUNTIF($H$3:$H701,$H701)&gt;1,"",MAX($X$2:X700)+1))</f>
        <v/>
      </c>
      <c r="Y701" s="0" t="str">
        <f aca="false">IF(AND(N($M701)&gt;0,N($O701)&lt;=0),COUNTIFS($M$3:$M701,"&gt;0",$O$3:$O701,"&lt;=0"),"")</f>
        <v/>
      </c>
      <c r="Z701" s="30" t="n">
        <f aca="false">IF(OR('THÁNG 10'!$C108="",'THÁNG 10'!$B108=""),0,'THÁNG 10'!$B108)</f>
        <v>0</v>
      </c>
    </row>
    <row r="702" customFormat="false" ht="15" hidden="false" customHeight="false" outlineLevel="0" collapsed="false">
      <c r="A702" s="0" t="n">
        <v>10</v>
      </c>
      <c r="B702" s="29" t="str">
        <f aca="false">IF(OR('THÁNG 10'!$C109="",'THÁNG 10'!$B109=""),"",'THÁNG 10'!$B109)</f>
        <v/>
      </c>
      <c r="C702" s="0" t="str">
        <f aca="false">IF('THÁNG 10'!$C109="","",'THÁNG 10'!$C109)</f>
        <v/>
      </c>
      <c r="D702" s="0" t="str">
        <f aca="false">IF('THÁNG 10'!$C109="","",'THÁNG 10'!$D109&amp;"")</f>
        <v/>
      </c>
      <c r="E702" s="0" t="str">
        <f aca="false">IF('THÁNG 10'!$C109="","",'THÁNG 10'!$E109&amp;"")</f>
        <v/>
      </c>
      <c r="F702" s="0" t="str">
        <f aca="false">IF('THÁNG 10'!$C109="","",'THÁNG 10'!$F109&amp;"")</f>
        <v/>
      </c>
      <c r="G702" s="0" t="str">
        <f aca="false">IF('THÁNG 10'!$C109="","",'THÁNG 10'!$G109&amp;"")</f>
        <v/>
      </c>
      <c r="H702" s="0" t="str">
        <f aca="false">IF('THÁNG 10'!$C109="","",'THÁNG 10'!$H109&amp;"")</f>
        <v/>
      </c>
      <c r="I702" s="0" t="str">
        <f aca="false">IF('THÁNG 10'!$C109="","",N('THÁNG 10'!$I109))</f>
        <v/>
      </c>
      <c r="J702" s="0" t="str">
        <f aca="false">IF('THÁNG 10'!$C109="","",N('THÁNG 10'!$L109))</f>
        <v/>
      </c>
      <c r="K702" s="0" t="str">
        <f aca="false">IF('THÁNG 10'!$C109="","",N('THÁNG 10'!$N109))</f>
        <v/>
      </c>
      <c r="L702" s="0" t="str">
        <f aca="false">IF('THÁNG 10'!$C109="","",N('THÁNG 10'!$O109))</f>
        <v/>
      </c>
      <c r="M702" s="0" t="str">
        <f aca="false">IF('THÁNG 10'!$C109="","",N('THÁNG 10'!$P109))</f>
        <v/>
      </c>
      <c r="N702" s="0" t="str">
        <f aca="false">IF('THÁNG 10'!$C109="","",N('THÁNG 10'!$Q109))</f>
        <v/>
      </c>
      <c r="O702" s="0" t="str">
        <f aca="false">IF('THÁNG 10'!$C109="","",N('THÁNG 10'!$R109))</f>
        <v/>
      </c>
      <c r="P702" s="0" t="str">
        <f aca="false">IF(OR('THÁNG 10'!$C109="",'THÁNG 10'!$T109=""),"",'THÁNG 10'!$T109)</f>
        <v/>
      </c>
      <c r="Q702" s="0" t="str">
        <f aca="false">IF(OR('THÁNG 10'!$C109="",'THÁNG 10'!$U109=""),"",'THÁNG 10'!$U109)</f>
        <v/>
      </c>
      <c r="R702" s="0" t="str">
        <f aca="false">IF('THÁNG 10'!$C109="","",'THÁNG 10'!$W109&amp;"")</f>
        <v/>
      </c>
      <c r="S702" s="0" t="str">
        <f aca="false">IF('THÁNG 10'!$C109="","",'THÁNG 10'!$S109&amp;"")</f>
        <v/>
      </c>
      <c r="T702" s="0" t="str">
        <f aca="false">IF(N($O702)&gt;0,COUNTIF($O$3:$O702,"&gt;0"),"")</f>
        <v/>
      </c>
      <c r="U702" s="0" t="str">
        <f aca="false">IF(AND(N($J702)&gt;0,N($K702)&gt;0),COUNTIFS($J$3:$J702,"&gt;0",$K$3:$K702,"&gt;0"),"")</f>
        <v/>
      </c>
      <c r="V702" s="0" t="str">
        <f aca="false">IF(AND(N($J702)&gt;0,N($K702)=0),COUNTIFS($J$3:$J702,"&gt;0",$K$3:$K702,"&lt;=0"),"")</f>
        <v/>
      </c>
      <c r="W702" s="0" t="str">
        <f aca="false">IF($C702="","",IF(COUNTIF($C$3:$C702,$C702)&gt;1,"",MAX($W$2:W701)+1))</f>
        <v/>
      </c>
      <c r="X702" s="0" t="str">
        <f aca="false">IF($H702="","",IF(COUNTIF($H$3:$H702,$H702)&gt;1,"",MAX($X$2:X701)+1))</f>
        <v/>
      </c>
      <c r="Y702" s="0" t="str">
        <f aca="false">IF(AND(N($M702)&gt;0,N($O702)&lt;=0),COUNTIFS($M$3:$M702,"&gt;0",$O$3:$O702,"&lt;=0"),"")</f>
        <v/>
      </c>
      <c r="Z702" s="30" t="n">
        <f aca="false">IF(OR('THÁNG 10'!$C109="",'THÁNG 10'!$B109=""),0,'THÁNG 10'!$B109)</f>
        <v>0</v>
      </c>
    </row>
    <row r="703" customFormat="false" ht="15" hidden="false" customHeight="false" outlineLevel="0" collapsed="false">
      <c r="A703" s="0" t="n">
        <v>10</v>
      </c>
      <c r="B703" s="29" t="str">
        <f aca="false">IF(OR('THÁNG 10'!$C110="",'THÁNG 10'!$B110=""),"",'THÁNG 10'!$B110)</f>
        <v/>
      </c>
      <c r="C703" s="0" t="str">
        <f aca="false">IF('THÁNG 10'!$C110="","",'THÁNG 10'!$C110)</f>
        <v/>
      </c>
      <c r="D703" s="0" t="str">
        <f aca="false">IF('THÁNG 10'!$C110="","",'THÁNG 10'!$D110&amp;"")</f>
        <v/>
      </c>
      <c r="E703" s="0" t="str">
        <f aca="false">IF('THÁNG 10'!$C110="","",'THÁNG 10'!$E110&amp;"")</f>
        <v/>
      </c>
      <c r="F703" s="0" t="str">
        <f aca="false">IF('THÁNG 10'!$C110="","",'THÁNG 10'!$F110&amp;"")</f>
        <v/>
      </c>
      <c r="G703" s="0" t="str">
        <f aca="false">IF('THÁNG 10'!$C110="","",'THÁNG 10'!$G110&amp;"")</f>
        <v/>
      </c>
      <c r="H703" s="0" t="str">
        <f aca="false">IF('THÁNG 10'!$C110="","",'THÁNG 10'!$H110&amp;"")</f>
        <v/>
      </c>
      <c r="I703" s="0" t="str">
        <f aca="false">IF('THÁNG 10'!$C110="","",N('THÁNG 10'!$I110))</f>
        <v/>
      </c>
      <c r="J703" s="0" t="str">
        <f aca="false">IF('THÁNG 10'!$C110="","",N('THÁNG 10'!$L110))</f>
        <v/>
      </c>
      <c r="K703" s="0" t="str">
        <f aca="false">IF('THÁNG 10'!$C110="","",N('THÁNG 10'!$N110))</f>
        <v/>
      </c>
      <c r="L703" s="0" t="str">
        <f aca="false">IF('THÁNG 10'!$C110="","",N('THÁNG 10'!$O110))</f>
        <v/>
      </c>
      <c r="M703" s="0" t="str">
        <f aca="false">IF('THÁNG 10'!$C110="","",N('THÁNG 10'!$P110))</f>
        <v/>
      </c>
      <c r="N703" s="0" t="str">
        <f aca="false">IF('THÁNG 10'!$C110="","",N('THÁNG 10'!$Q110))</f>
        <v/>
      </c>
      <c r="O703" s="0" t="str">
        <f aca="false">IF('THÁNG 10'!$C110="","",N('THÁNG 10'!$R110))</f>
        <v/>
      </c>
      <c r="P703" s="0" t="str">
        <f aca="false">IF(OR('THÁNG 10'!$C110="",'THÁNG 10'!$T110=""),"",'THÁNG 10'!$T110)</f>
        <v/>
      </c>
      <c r="Q703" s="0" t="str">
        <f aca="false">IF(OR('THÁNG 10'!$C110="",'THÁNG 10'!$U110=""),"",'THÁNG 10'!$U110)</f>
        <v/>
      </c>
      <c r="R703" s="0" t="str">
        <f aca="false">IF('THÁNG 10'!$C110="","",'THÁNG 10'!$W110&amp;"")</f>
        <v/>
      </c>
      <c r="S703" s="0" t="str">
        <f aca="false">IF('THÁNG 10'!$C110="","",'THÁNG 10'!$S110&amp;"")</f>
        <v/>
      </c>
      <c r="T703" s="0" t="str">
        <f aca="false">IF(N($O703)&gt;0,COUNTIF($O$3:$O703,"&gt;0"),"")</f>
        <v/>
      </c>
      <c r="U703" s="0" t="str">
        <f aca="false">IF(AND(N($J703)&gt;0,N($K703)&gt;0),COUNTIFS($J$3:$J703,"&gt;0",$K$3:$K703,"&gt;0"),"")</f>
        <v/>
      </c>
      <c r="V703" s="0" t="str">
        <f aca="false">IF(AND(N($J703)&gt;0,N($K703)=0),COUNTIFS($J$3:$J703,"&gt;0",$K$3:$K703,"&lt;=0"),"")</f>
        <v/>
      </c>
      <c r="W703" s="0" t="str">
        <f aca="false">IF($C703="","",IF(COUNTIF($C$3:$C703,$C703)&gt;1,"",MAX($W$2:W702)+1))</f>
        <v/>
      </c>
      <c r="X703" s="0" t="str">
        <f aca="false">IF($H703="","",IF(COUNTIF($H$3:$H703,$H703)&gt;1,"",MAX($X$2:X702)+1))</f>
        <v/>
      </c>
      <c r="Y703" s="0" t="str">
        <f aca="false">IF(AND(N($M703)&gt;0,N($O703)&lt;=0),COUNTIFS($M$3:$M703,"&gt;0",$O$3:$O703,"&lt;=0"),"")</f>
        <v/>
      </c>
      <c r="Z703" s="30" t="n">
        <f aca="false">IF(OR('THÁNG 10'!$C110="",'THÁNG 10'!$B110=""),0,'THÁNG 10'!$B110)</f>
        <v>0</v>
      </c>
    </row>
    <row r="704" customFormat="false" ht="15" hidden="false" customHeight="false" outlineLevel="0" collapsed="false">
      <c r="A704" s="0" t="n">
        <v>10</v>
      </c>
      <c r="B704" s="29" t="str">
        <f aca="false">IF(OR('THÁNG 10'!$C111="",'THÁNG 10'!$B111=""),"",'THÁNG 10'!$B111)</f>
        <v/>
      </c>
      <c r="C704" s="0" t="str">
        <f aca="false">IF('THÁNG 10'!$C111="","",'THÁNG 10'!$C111)</f>
        <v/>
      </c>
      <c r="D704" s="0" t="str">
        <f aca="false">IF('THÁNG 10'!$C111="","",'THÁNG 10'!$D111&amp;"")</f>
        <v/>
      </c>
      <c r="E704" s="0" t="str">
        <f aca="false">IF('THÁNG 10'!$C111="","",'THÁNG 10'!$E111&amp;"")</f>
        <v/>
      </c>
      <c r="F704" s="0" t="str">
        <f aca="false">IF('THÁNG 10'!$C111="","",'THÁNG 10'!$F111&amp;"")</f>
        <v/>
      </c>
      <c r="G704" s="0" t="str">
        <f aca="false">IF('THÁNG 10'!$C111="","",'THÁNG 10'!$G111&amp;"")</f>
        <v/>
      </c>
      <c r="H704" s="0" t="str">
        <f aca="false">IF('THÁNG 10'!$C111="","",'THÁNG 10'!$H111&amp;"")</f>
        <v/>
      </c>
      <c r="I704" s="0" t="str">
        <f aca="false">IF('THÁNG 10'!$C111="","",N('THÁNG 10'!$I111))</f>
        <v/>
      </c>
      <c r="J704" s="0" t="str">
        <f aca="false">IF('THÁNG 10'!$C111="","",N('THÁNG 10'!$L111))</f>
        <v/>
      </c>
      <c r="K704" s="0" t="str">
        <f aca="false">IF('THÁNG 10'!$C111="","",N('THÁNG 10'!$N111))</f>
        <v/>
      </c>
      <c r="L704" s="0" t="str">
        <f aca="false">IF('THÁNG 10'!$C111="","",N('THÁNG 10'!$O111))</f>
        <v/>
      </c>
      <c r="M704" s="0" t="str">
        <f aca="false">IF('THÁNG 10'!$C111="","",N('THÁNG 10'!$P111))</f>
        <v/>
      </c>
      <c r="N704" s="0" t="str">
        <f aca="false">IF('THÁNG 10'!$C111="","",N('THÁNG 10'!$Q111))</f>
        <v/>
      </c>
      <c r="O704" s="0" t="str">
        <f aca="false">IF('THÁNG 10'!$C111="","",N('THÁNG 10'!$R111))</f>
        <v/>
      </c>
      <c r="P704" s="0" t="str">
        <f aca="false">IF(OR('THÁNG 10'!$C111="",'THÁNG 10'!$T111=""),"",'THÁNG 10'!$T111)</f>
        <v/>
      </c>
      <c r="Q704" s="0" t="str">
        <f aca="false">IF(OR('THÁNG 10'!$C111="",'THÁNG 10'!$U111=""),"",'THÁNG 10'!$U111)</f>
        <v/>
      </c>
      <c r="R704" s="0" t="str">
        <f aca="false">IF('THÁNG 10'!$C111="","",'THÁNG 10'!$W111&amp;"")</f>
        <v/>
      </c>
      <c r="S704" s="0" t="str">
        <f aca="false">IF('THÁNG 10'!$C111="","",'THÁNG 10'!$S111&amp;"")</f>
        <v/>
      </c>
      <c r="T704" s="0" t="str">
        <f aca="false">IF(N($O704)&gt;0,COUNTIF($O$3:$O704,"&gt;0"),"")</f>
        <v/>
      </c>
      <c r="U704" s="0" t="str">
        <f aca="false">IF(AND(N($J704)&gt;0,N($K704)&gt;0),COUNTIFS($J$3:$J704,"&gt;0",$K$3:$K704,"&gt;0"),"")</f>
        <v/>
      </c>
      <c r="V704" s="0" t="str">
        <f aca="false">IF(AND(N($J704)&gt;0,N($K704)=0),COUNTIFS($J$3:$J704,"&gt;0",$K$3:$K704,"&lt;=0"),"")</f>
        <v/>
      </c>
      <c r="W704" s="0" t="str">
        <f aca="false">IF($C704="","",IF(COUNTIF($C$3:$C704,$C704)&gt;1,"",MAX($W$2:W703)+1))</f>
        <v/>
      </c>
      <c r="X704" s="0" t="str">
        <f aca="false">IF($H704="","",IF(COUNTIF($H$3:$H704,$H704)&gt;1,"",MAX($X$2:X703)+1))</f>
        <v/>
      </c>
      <c r="Y704" s="0" t="str">
        <f aca="false">IF(AND(N($M704)&gt;0,N($O704)&lt;=0),COUNTIFS($M$3:$M704,"&gt;0",$O$3:$O704,"&lt;=0"),"")</f>
        <v/>
      </c>
      <c r="Z704" s="30" t="n">
        <f aca="false">IF(OR('THÁNG 10'!$C111="",'THÁNG 10'!$B111=""),0,'THÁNG 10'!$B111)</f>
        <v>0</v>
      </c>
    </row>
    <row r="705" customFormat="false" ht="15" hidden="false" customHeight="false" outlineLevel="0" collapsed="false">
      <c r="A705" s="0" t="n">
        <v>10</v>
      </c>
      <c r="B705" s="29" t="str">
        <f aca="false">IF(OR('THÁNG 10'!$C112="",'THÁNG 10'!$B112=""),"",'THÁNG 10'!$B112)</f>
        <v/>
      </c>
      <c r="C705" s="0" t="str">
        <f aca="false">IF('THÁNG 10'!$C112="","",'THÁNG 10'!$C112)</f>
        <v/>
      </c>
      <c r="D705" s="0" t="str">
        <f aca="false">IF('THÁNG 10'!$C112="","",'THÁNG 10'!$D112&amp;"")</f>
        <v/>
      </c>
      <c r="E705" s="0" t="str">
        <f aca="false">IF('THÁNG 10'!$C112="","",'THÁNG 10'!$E112&amp;"")</f>
        <v/>
      </c>
      <c r="F705" s="0" t="str">
        <f aca="false">IF('THÁNG 10'!$C112="","",'THÁNG 10'!$F112&amp;"")</f>
        <v/>
      </c>
      <c r="G705" s="0" t="str">
        <f aca="false">IF('THÁNG 10'!$C112="","",'THÁNG 10'!$G112&amp;"")</f>
        <v/>
      </c>
      <c r="H705" s="0" t="str">
        <f aca="false">IF('THÁNG 10'!$C112="","",'THÁNG 10'!$H112&amp;"")</f>
        <v/>
      </c>
      <c r="I705" s="0" t="str">
        <f aca="false">IF('THÁNG 10'!$C112="","",N('THÁNG 10'!$I112))</f>
        <v/>
      </c>
      <c r="J705" s="0" t="str">
        <f aca="false">IF('THÁNG 10'!$C112="","",N('THÁNG 10'!$L112))</f>
        <v/>
      </c>
      <c r="K705" s="0" t="str">
        <f aca="false">IF('THÁNG 10'!$C112="","",N('THÁNG 10'!$N112))</f>
        <v/>
      </c>
      <c r="L705" s="0" t="str">
        <f aca="false">IF('THÁNG 10'!$C112="","",N('THÁNG 10'!$O112))</f>
        <v/>
      </c>
      <c r="M705" s="0" t="str">
        <f aca="false">IF('THÁNG 10'!$C112="","",N('THÁNG 10'!$P112))</f>
        <v/>
      </c>
      <c r="N705" s="0" t="str">
        <f aca="false">IF('THÁNG 10'!$C112="","",N('THÁNG 10'!$Q112))</f>
        <v/>
      </c>
      <c r="O705" s="0" t="str">
        <f aca="false">IF('THÁNG 10'!$C112="","",N('THÁNG 10'!$R112))</f>
        <v/>
      </c>
      <c r="P705" s="0" t="str">
        <f aca="false">IF(OR('THÁNG 10'!$C112="",'THÁNG 10'!$T112=""),"",'THÁNG 10'!$T112)</f>
        <v/>
      </c>
      <c r="Q705" s="0" t="str">
        <f aca="false">IF(OR('THÁNG 10'!$C112="",'THÁNG 10'!$U112=""),"",'THÁNG 10'!$U112)</f>
        <v/>
      </c>
      <c r="R705" s="0" t="str">
        <f aca="false">IF('THÁNG 10'!$C112="","",'THÁNG 10'!$W112&amp;"")</f>
        <v/>
      </c>
      <c r="S705" s="0" t="str">
        <f aca="false">IF('THÁNG 10'!$C112="","",'THÁNG 10'!$S112&amp;"")</f>
        <v/>
      </c>
      <c r="T705" s="0" t="str">
        <f aca="false">IF(N($O705)&gt;0,COUNTIF($O$3:$O705,"&gt;0"),"")</f>
        <v/>
      </c>
      <c r="U705" s="0" t="str">
        <f aca="false">IF(AND(N($J705)&gt;0,N($K705)&gt;0),COUNTIFS($J$3:$J705,"&gt;0",$K$3:$K705,"&gt;0"),"")</f>
        <v/>
      </c>
      <c r="V705" s="0" t="str">
        <f aca="false">IF(AND(N($J705)&gt;0,N($K705)=0),COUNTIFS($J$3:$J705,"&gt;0",$K$3:$K705,"&lt;=0"),"")</f>
        <v/>
      </c>
      <c r="W705" s="0" t="str">
        <f aca="false">IF($C705="","",IF(COUNTIF($C$3:$C705,$C705)&gt;1,"",MAX($W$2:W704)+1))</f>
        <v/>
      </c>
      <c r="X705" s="0" t="str">
        <f aca="false">IF($H705="","",IF(COUNTIF($H$3:$H705,$H705)&gt;1,"",MAX($X$2:X704)+1))</f>
        <v/>
      </c>
      <c r="Y705" s="0" t="str">
        <f aca="false">IF(AND(N($M705)&gt;0,N($O705)&lt;=0),COUNTIFS($M$3:$M705,"&gt;0",$O$3:$O705,"&lt;=0"),"")</f>
        <v/>
      </c>
      <c r="Z705" s="30" t="n">
        <f aca="false">IF(OR('THÁNG 10'!$C112="",'THÁNG 10'!$B112=""),0,'THÁNG 10'!$B112)</f>
        <v>0</v>
      </c>
    </row>
    <row r="706" customFormat="false" ht="15" hidden="false" customHeight="false" outlineLevel="0" collapsed="false">
      <c r="A706" s="0" t="n">
        <v>10</v>
      </c>
      <c r="B706" s="29" t="str">
        <f aca="false">IF(OR('THÁNG 10'!$C113="",'THÁNG 10'!$B113=""),"",'THÁNG 10'!$B113)</f>
        <v/>
      </c>
      <c r="C706" s="0" t="str">
        <f aca="false">IF('THÁNG 10'!$C113="","",'THÁNG 10'!$C113)</f>
        <v/>
      </c>
      <c r="D706" s="0" t="str">
        <f aca="false">IF('THÁNG 10'!$C113="","",'THÁNG 10'!$D113&amp;"")</f>
        <v/>
      </c>
      <c r="E706" s="0" t="str">
        <f aca="false">IF('THÁNG 10'!$C113="","",'THÁNG 10'!$E113&amp;"")</f>
        <v/>
      </c>
      <c r="F706" s="0" t="str">
        <f aca="false">IF('THÁNG 10'!$C113="","",'THÁNG 10'!$F113&amp;"")</f>
        <v/>
      </c>
      <c r="G706" s="0" t="str">
        <f aca="false">IF('THÁNG 10'!$C113="","",'THÁNG 10'!$G113&amp;"")</f>
        <v/>
      </c>
      <c r="H706" s="0" t="str">
        <f aca="false">IF('THÁNG 10'!$C113="","",'THÁNG 10'!$H113&amp;"")</f>
        <v/>
      </c>
      <c r="I706" s="0" t="str">
        <f aca="false">IF('THÁNG 10'!$C113="","",N('THÁNG 10'!$I113))</f>
        <v/>
      </c>
      <c r="J706" s="0" t="str">
        <f aca="false">IF('THÁNG 10'!$C113="","",N('THÁNG 10'!$L113))</f>
        <v/>
      </c>
      <c r="K706" s="0" t="str">
        <f aca="false">IF('THÁNG 10'!$C113="","",N('THÁNG 10'!$N113))</f>
        <v/>
      </c>
      <c r="L706" s="0" t="str">
        <f aca="false">IF('THÁNG 10'!$C113="","",N('THÁNG 10'!$O113))</f>
        <v/>
      </c>
      <c r="M706" s="0" t="str">
        <f aca="false">IF('THÁNG 10'!$C113="","",N('THÁNG 10'!$P113))</f>
        <v/>
      </c>
      <c r="N706" s="0" t="str">
        <f aca="false">IF('THÁNG 10'!$C113="","",N('THÁNG 10'!$Q113))</f>
        <v/>
      </c>
      <c r="O706" s="0" t="str">
        <f aca="false">IF('THÁNG 10'!$C113="","",N('THÁNG 10'!$R113))</f>
        <v/>
      </c>
      <c r="P706" s="0" t="str">
        <f aca="false">IF(OR('THÁNG 10'!$C113="",'THÁNG 10'!$T113=""),"",'THÁNG 10'!$T113)</f>
        <v/>
      </c>
      <c r="Q706" s="0" t="str">
        <f aca="false">IF(OR('THÁNG 10'!$C113="",'THÁNG 10'!$U113=""),"",'THÁNG 10'!$U113)</f>
        <v/>
      </c>
      <c r="R706" s="0" t="str">
        <f aca="false">IF('THÁNG 10'!$C113="","",'THÁNG 10'!$W113&amp;"")</f>
        <v/>
      </c>
      <c r="S706" s="0" t="str">
        <f aca="false">IF('THÁNG 10'!$C113="","",'THÁNG 10'!$S113&amp;"")</f>
        <v/>
      </c>
      <c r="T706" s="0" t="str">
        <f aca="false">IF(N($O706)&gt;0,COUNTIF($O$3:$O706,"&gt;0"),"")</f>
        <v/>
      </c>
      <c r="U706" s="0" t="str">
        <f aca="false">IF(AND(N($J706)&gt;0,N($K706)&gt;0),COUNTIFS($J$3:$J706,"&gt;0",$K$3:$K706,"&gt;0"),"")</f>
        <v/>
      </c>
      <c r="V706" s="0" t="str">
        <f aca="false">IF(AND(N($J706)&gt;0,N($K706)=0),COUNTIFS($J$3:$J706,"&gt;0",$K$3:$K706,"&lt;=0"),"")</f>
        <v/>
      </c>
      <c r="W706" s="0" t="str">
        <f aca="false">IF($C706="","",IF(COUNTIF($C$3:$C706,$C706)&gt;1,"",MAX($W$2:W705)+1))</f>
        <v/>
      </c>
      <c r="X706" s="0" t="str">
        <f aca="false">IF($H706="","",IF(COUNTIF($H$3:$H706,$H706)&gt;1,"",MAX($X$2:X705)+1))</f>
        <v/>
      </c>
      <c r="Y706" s="0" t="str">
        <f aca="false">IF(AND(N($M706)&gt;0,N($O706)&lt;=0),COUNTIFS($M$3:$M706,"&gt;0",$O$3:$O706,"&lt;=0"),"")</f>
        <v/>
      </c>
      <c r="Z706" s="30" t="n">
        <f aca="false">IF(OR('THÁNG 10'!$C113="",'THÁNG 10'!$B113=""),0,'THÁNG 10'!$B113)</f>
        <v>0</v>
      </c>
    </row>
    <row r="707" customFormat="false" ht="15" hidden="false" customHeight="false" outlineLevel="0" collapsed="false">
      <c r="A707" s="0" t="n">
        <v>10</v>
      </c>
      <c r="B707" s="29" t="str">
        <f aca="false">IF(OR('THÁNG 10'!$C114="",'THÁNG 10'!$B114=""),"",'THÁNG 10'!$B114)</f>
        <v/>
      </c>
      <c r="C707" s="0" t="str">
        <f aca="false">IF('THÁNG 10'!$C114="","",'THÁNG 10'!$C114)</f>
        <v/>
      </c>
      <c r="D707" s="0" t="str">
        <f aca="false">IF('THÁNG 10'!$C114="","",'THÁNG 10'!$D114&amp;"")</f>
        <v/>
      </c>
      <c r="E707" s="0" t="str">
        <f aca="false">IF('THÁNG 10'!$C114="","",'THÁNG 10'!$E114&amp;"")</f>
        <v/>
      </c>
      <c r="F707" s="0" t="str">
        <f aca="false">IF('THÁNG 10'!$C114="","",'THÁNG 10'!$F114&amp;"")</f>
        <v/>
      </c>
      <c r="G707" s="0" t="str">
        <f aca="false">IF('THÁNG 10'!$C114="","",'THÁNG 10'!$G114&amp;"")</f>
        <v/>
      </c>
      <c r="H707" s="0" t="str">
        <f aca="false">IF('THÁNG 10'!$C114="","",'THÁNG 10'!$H114&amp;"")</f>
        <v/>
      </c>
      <c r="I707" s="0" t="str">
        <f aca="false">IF('THÁNG 10'!$C114="","",N('THÁNG 10'!$I114))</f>
        <v/>
      </c>
      <c r="J707" s="0" t="str">
        <f aca="false">IF('THÁNG 10'!$C114="","",N('THÁNG 10'!$L114))</f>
        <v/>
      </c>
      <c r="K707" s="0" t="str">
        <f aca="false">IF('THÁNG 10'!$C114="","",N('THÁNG 10'!$N114))</f>
        <v/>
      </c>
      <c r="L707" s="0" t="str">
        <f aca="false">IF('THÁNG 10'!$C114="","",N('THÁNG 10'!$O114))</f>
        <v/>
      </c>
      <c r="M707" s="0" t="str">
        <f aca="false">IF('THÁNG 10'!$C114="","",N('THÁNG 10'!$P114))</f>
        <v/>
      </c>
      <c r="N707" s="0" t="str">
        <f aca="false">IF('THÁNG 10'!$C114="","",N('THÁNG 10'!$Q114))</f>
        <v/>
      </c>
      <c r="O707" s="0" t="str">
        <f aca="false">IF('THÁNG 10'!$C114="","",N('THÁNG 10'!$R114))</f>
        <v/>
      </c>
      <c r="P707" s="0" t="str">
        <f aca="false">IF(OR('THÁNG 10'!$C114="",'THÁNG 10'!$T114=""),"",'THÁNG 10'!$T114)</f>
        <v/>
      </c>
      <c r="Q707" s="0" t="str">
        <f aca="false">IF(OR('THÁNG 10'!$C114="",'THÁNG 10'!$U114=""),"",'THÁNG 10'!$U114)</f>
        <v/>
      </c>
      <c r="R707" s="0" t="str">
        <f aca="false">IF('THÁNG 10'!$C114="","",'THÁNG 10'!$W114&amp;"")</f>
        <v/>
      </c>
      <c r="S707" s="0" t="str">
        <f aca="false">IF('THÁNG 10'!$C114="","",'THÁNG 10'!$S114&amp;"")</f>
        <v/>
      </c>
      <c r="T707" s="0" t="str">
        <f aca="false">IF(N($O707)&gt;0,COUNTIF($O$3:$O707,"&gt;0"),"")</f>
        <v/>
      </c>
      <c r="U707" s="0" t="str">
        <f aca="false">IF(AND(N($J707)&gt;0,N($K707)&gt;0),COUNTIFS($J$3:$J707,"&gt;0",$K$3:$K707,"&gt;0"),"")</f>
        <v/>
      </c>
      <c r="V707" s="0" t="str">
        <f aca="false">IF(AND(N($J707)&gt;0,N($K707)=0),COUNTIFS($J$3:$J707,"&gt;0",$K$3:$K707,"&lt;=0"),"")</f>
        <v/>
      </c>
      <c r="W707" s="0" t="str">
        <f aca="false">IF($C707="","",IF(COUNTIF($C$3:$C707,$C707)&gt;1,"",MAX($W$2:W706)+1))</f>
        <v/>
      </c>
      <c r="X707" s="0" t="str">
        <f aca="false">IF($H707="","",IF(COUNTIF($H$3:$H707,$H707)&gt;1,"",MAX($X$2:X706)+1))</f>
        <v/>
      </c>
      <c r="Y707" s="0" t="str">
        <f aca="false">IF(AND(N($M707)&gt;0,N($O707)&lt;=0),COUNTIFS($M$3:$M707,"&gt;0",$O$3:$O707,"&lt;=0"),"")</f>
        <v/>
      </c>
      <c r="Z707" s="30" t="n">
        <f aca="false">IF(OR('THÁNG 10'!$C114="",'THÁNG 10'!$B114=""),0,'THÁNG 10'!$B114)</f>
        <v>0</v>
      </c>
    </row>
    <row r="708" customFormat="false" ht="15" hidden="false" customHeight="false" outlineLevel="0" collapsed="false">
      <c r="A708" s="0" t="n">
        <v>10</v>
      </c>
      <c r="B708" s="29" t="str">
        <f aca="false">IF(OR('THÁNG 10'!$C115="",'THÁNG 10'!$B115=""),"",'THÁNG 10'!$B115)</f>
        <v/>
      </c>
      <c r="C708" s="0" t="str">
        <f aca="false">IF('THÁNG 10'!$C115="","",'THÁNG 10'!$C115)</f>
        <v/>
      </c>
      <c r="D708" s="0" t="str">
        <f aca="false">IF('THÁNG 10'!$C115="","",'THÁNG 10'!$D115&amp;"")</f>
        <v/>
      </c>
      <c r="E708" s="0" t="str">
        <f aca="false">IF('THÁNG 10'!$C115="","",'THÁNG 10'!$E115&amp;"")</f>
        <v/>
      </c>
      <c r="F708" s="0" t="str">
        <f aca="false">IF('THÁNG 10'!$C115="","",'THÁNG 10'!$F115&amp;"")</f>
        <v/>
      </c>
      <c r="G708" s="0" t="str">
        <f aca="false">IF('THÁNG 10'!$C115="","",'THÁNG 10'!$G115&amp;"")</f>
        <v/>
      </c>
      <c r="H708" s="0" t="str">
        <f aca="false">IF('THÁNG 10'!$C115="","",'THÁNG 10'!$H115&amp;"")</f>
        <v/>
      </c>
      <c r="I708" s="0" t="str">
        <f aca="false">IF('THÁNG 10'!$C115="","",N('THÁNG 10'!$I115))</f>
        <v/>
      </c>
      <c r="J708" s="0" t="str">
        <f aca="false">IF('THÁNG 10'!$C115="","",N('THÁNG 10'!$L115))</f>
        <v/>
      </c>
      <c r="K708" s="0" t="str">
        <f aca="false">IF('THÁNG 10'!$C115="","",N('THÁNG 10'!$N115))</f>
        <v/>
      </c>
      <c r="L708" s="0" t="str">
        <f aca="false">IF('THÁNG 10'!$C115="","",N('THÁNG 10'!$O115))</f>
        <v/>
      </c>
      <c r="M708" s="0" t="str">
        <f aca="false">IF('THÁNG 10'!$C115="","",N('THÁNG 10'!$P115))</f>
        <v/>
      </c>
      <c r="N708" s="0" t="str">
        <f aca="false">IF('THÁNG 10'!$C115="","",N('THÁNG 10'!$Q115))</f>
        <v/>
      </c>
      <c r="O708" s="0" t="str">
        <f aca="false">IF('THÁNG 10'!$C115="","",N('THÁNG 10'!$R115))</f>
        <v/>
      </c>
      <c r="P708" s="0" t="str">
        <f aca="false">IF(OR('THÁNG 10'!$C115="",'THÁNG 10'!$T115=""),"",'THÁNG 10'!$T115)</f>
        <v/>
      </c>
      <c r="Q708" s="0" t="str">
        <f aca="false">IF(OR('THÁNG 10'!$C115="",'THÁNG 10'!$U115=""),"",'THÁNG 10'!$U115)</f>
        <v/>
      </c>
      <c r="R708" s="0" t="str">
        <f aca="false">IF('THÁNG 10'!$C115="","",'THÁNG 10'!$W115&amp;"")</f>
        <v/>
      </c>
      <c r="S708" s="0" t="str">
        <f aca="false">IF('THÁNG 10'!$C115="","",'THÁNG 10'!$S115&amp;"")</f>
        <v/>
      </c>
      <c r="T708" s="0" t="str">
        <f aca="false">IF(N($O708)&gt;0,COUNTIF($O$3:$O708,"&gt;0"),"")</f>
        <v/>
      </c>
      <c r="U708" s="0" t="str">
        <f aca="false">IF(AND(N($J708)&gt;0,N($K708)&gt;0),COUNTIFS($J$3:$J708,"&gt;0",$K$3:$K708,"&gt;0"),"")</f>
        <v/>
      </c>
      <c r="V708" s="0" t="str">
        <f aca="false">IF(AND(N($J708)&gt;0,N($K708)=0),COUNTIFS($J$3:$J708,"&gt;0",$K$3:$K708,"&lt;=0"),"")</f>
        <v/>
      </c>
      <c r="W708" s="0" t="str">
        <f aca="false">IF($C708="","",IF(COUNTIF($C$3:$C708,$C708)&gt;1,"",MAX($W$2:W707)+1))</f>
        <v/>
      </c>
      <c r="X708" s="0" t="str">
        <f aca="false">IF($H708="","",IF(COUNTIF($H$3:$H708,$H708)&gt;1,"",MAX($X$2:X707)+1))</f>
        <v/>
      </c>
      <c r="Y708" s="0" t="str">
        <f aca="false">IF(AND(N($M708)&gt;0,N($O708)&lt;=0),COUNTIFS($M$3:$M708,"&gt;0",$O$3:$O708,"&lt;=0"),"")</f>
        <v/>
      </c>
      <c r="Z708" s="30" t="n">
        <f aca="false">IF(OR('THÁNG 10'!$C115="",'THÁNG 10'!$B115=""),0,'THÁNG 10'!$B115)</f>
        <v>0</v>
      </c>
    </row>
    <row r="709" customFormat="false" ht="15" hidden="false" customHeight="false" outlineLevel="0" collapsed="false">
      <c r="A709" s="0" t="n">
        <v>10</v>
      </c>
      <c r="B709" s="29" t="str">
        <f aca="false">IF(OR('THÁNG 10'!$C116="",'THÁNG 10'!$B116=""),"",'THÁNG 10'!$B116)</f>
        <v/>
      </c>
      <c r="C709" s="0" t="str">
        <f aca="false">IF('THÁNG 10'!$C116="","",'THÁNG 10'!$C116)</f>
        <v/>
      </c>
      <c r="D709" s="0" t="str">
        <f aca="false">IF('THÁNG 10'!$C116="","",'THÁNG 10'!$D116&amp;"")</f>
        <v/>
      </c>
      <c r="E709" s="0" t="str">
        <f aca="false">IF('THÁNG 10'!$C116="","",'THÁNG 10'!$E116&amp;"")</f>
        <v/>
      </c>
      <c r="F709" s="0" t="str">
        <f aca="false">IF('THÁNG 10'!$C116="","",'THÁNG 10'!$F116&amp;"")</f>
        <v/>
      </c>
      <c r="G709" s="0" t="str">
        <f aca="false">IF('THÁNG 10'!$C116="","",'THÁNG 10'!$G116&amp;"")</f>
        <v/>
      </c>
      <c r="H709" s="0" t="str">
        <f aca="false">IF('THÁNG 10'!$C116="","",'THÁNG 10'!$H116&amp;"")</f>
        <v/>
      </c>
      <c r="I709" s="0" t="str">
        <f aca="false">IF('THÁNG 10'!$C116="","",N('THÁNG 10'!$I116))</f>
        <v/>
      </c>
      <c r="J709" s="0" t="str">
        <f aca="false">IF('THÁNG 10'!$C116="","",N('THÁNG 10'!$L116))</f>
        <v/>
      </c>
      <c r="K709" s="0" t="str">
        <f aca="false">IF('THÁNG 10'!$C116="","",N('THÁNG 10'!$N116))</f>
        <v/>
      </c>
      <c r="L709" s="0" t="str">
        <f aca="false">IF('THÁNG 10'!$C116="","",N('THÁNG 10'!$O116))</f>
        <v/>
      </c>
      <c r="M709" s="0" t="str">
        <f aca="false">IF('THÁNG 10'!$C116="","",N('THÁNG 10'!$P116))</f>
        <v/>
      </c>
      <c r="N709" s="0" t="str">
        <f aca="false">IF('THÁNG 10'!$C116="","",N('THÁNG 10'!$Q116))</f>
        <v/>
      </c>
      <c r="O709" s="0" t="str">
        <f aca="false">IF('THÁNG 10'!$C116="","",N('THÁNG 10'!$R116))</f>
        <v/>
      </c>
      <c r="P709" s="0" t="str">
        <f aca="false">IF(OR('THÁNG 10'!$C116="",'THÁNG 10'!$T116=""),"",'THÁNG 10'!$T116)</f>
        <v/>
      </c>
      <c r="Q709" s="0" t="str">
        <f aca="false">IF(OR('THÁNG 10'!$C116="",'THÁNG 10'!$U116=""),"",'THÁNG 10'!$U116)</f>
        <v/>
      </c>
      <c r="R709" s="0" t="str">
        <f aca="false">IF('THÁNG 10'!$C116="","",'THÁNG 10'!$W116&amp;"")</f>
        <v/>
      </c>
      <c r="S709" s="0" t="str">
        <f aca="false">IF('THÁNG 10'!$C116="","",'THÁNG 10'!$S116&amp;"")</f>
        <v/>
      </c>
      <c r="T709" s="0" t="str">
        <f aca="false">IF(N($O709)&gt;0,COUNTIF($O$3:$O709,"&gt;0"),"")</f>
        <v/>
      </c>
      <c r="U709" s="0" t="str">
        <f aca="false">IF(AND(N($J709)&gt;0,N($K709)&gt;0),COUNTIFS($J$3:$J709,"&gt;0",$K$3:$K709,"&gt;0"),"")</f>
        <v/>
      </c>
      <c r="V709" s="0" t="str">
        <f aca="false">IF(AND(N($J709)&gt;0,N($K709)=0),COUNTIFS($J$3:$J709,"&gt;0",$K$3:$K709,"&lt;=0"),"")</f>
        <v/>
      </c>
      <c r="W709" s="0" t="str">
        <f aca="false">IF($C709="","",IF(COUNTIF($C$3:$C709,$C709)&gt;1,"",MAX($W$2:W708)+1))</f>
        <v/>
      </c>
      <c r="X709" s="0" t="str">
        <f aca="false">IF($H709="","",IF(COUNTIF($H$3:$H709,$H709)&gt;1,"",MAX($X$2:X708)+1))</f>
        <v/>
      </c>
      <c r="Y709" s="0" t="str">
        <f aca="false">IF(AND(N($M709)&gt;0,N($O709)&lt;=0),COUNTIFS($M$3:$M709,"&gt;0",$O$3:$O709,"&lt;=0"),"")</f>
        <v/>
      </c>
      <c r="Z709" s="30" t="n">
        <f aca="false">IF(OR('THÁNG 10'!$C116="",'THÁNG 10'!$B116=""),0,'THÁNG 10'!$B116)</f>
        <v>0</v>
      </c>
    </row>
    <row r="710" customFormat="false" ht="15" hidden="false" customHeight="false" outlineLevel="0" collapsed="false">
      <c r="A710" s="0" t="n">
        <v>10</v>
      </c>
      <c r="B710" s="29" t="str">
        <f aca="false">IF(OR('THÁNG 10'!$C117="",'THÁNG 10'!$B117=""),"",'THÁNG 10'!$B117)</f>
        <v/>
      </c>
      <c r="C710" s="0" t="str">
        <f aca="false">IF('THÁNG 10'!$C117="","",'THÁNG 10'!$C117)</f>
        <v/>
      </c>
      <c r="D710" s="0" t="str">
        <f aca="false">IF('THÁNG 10'!$C117="","",'THÁNG 10'!$D117&amp;"")</f>
        <v/>
      </c>
      <c r="E710" s="0" t="str">
        <f aca="false">IF('THÁNG 10'!$C117="","",'THÁNG 10'!$E117&amp;"")</f>
        <v/>
      </c>
      <c r="F710" s="0" t="str">
        <f aca="false">IF('THÁNG 10'!$C117="","",'THÁNG 10'!$F117&amp;"")</f>
        <v/>
      </c>
      <c r="G710" s="0" t="str">
        <f aca="false">IF('THÁNG 10'!$C117="","",'THÁNG 10'!$G117&amp;"")</f>
        <v/>
      </c>
      <c r="H710" s="0" t="str">
        <f aca="false">IF('THÁNG 10'!$C117="","",'THÁNG 10'!$H117&amp;"")</f>
        <v/>
      </c>
      <c r="I710" s="0" t="str">
        <f aca="false">IF('THÁNG 10'!$C117="","",N('THÁNG 10'!$I117))</f>
        <v/>
      </c>
      <c r="J710" s="0" t="str">
        <f aca="false">IF('THÁNG 10'!$C117="","",N('THÁNG 10'!$L117))</f>
        <v/>
      </c>
      <c r="K710" s="0" t="str">
        <f aca="false">IF('THÁNG 10'!$C117="","",N('THÁNG 10'!$N117))</f>
        <v/>
      </c>
      <c r="L710" s="0" t="str">
        <f aca="false">IF('THÁNG 10'!$C117="","",N('THÁNG 10'!$O117))</f>
        <v/>
      </c>
      <c r="M710" s="0" t="str">
        <f aca="false">IF('THÁNG 10'!$C117="","",N('THÁNG 10'!$P117))</f>
        <v/>
      </c>
      <c r="N710" s="0" t="str">
        <f aca="false">IF('THÁNG 10'!$C117="","",N('THÁNG 10'!$Q117))</f>
        <v/>
      </c>
      <c r="O710" s="0" t="str">
        <f aca="false">IF('THÁNG 10'!$C117="","",N('THÁNG 10'!$R117))</f>
        <v/>
      </c>
      <c r="P710" s="0" t="str">
        <f aca="false">IF(OR('THÁNG 10'!$C117="",'THÁNG 10'!$T117=""),"",'THÁNG 10'!$T117)</f>
        <v/>
      </c>
      <c r="Q710" s="0" t="str">
        <f aca="false">IF(OR('THÁNG 10'!$C117="",'THÁNG 10'!$U117=""),"",'THÁNG 10'!$U117)</f>
        <v/>
      </c>
      <c r="R710" s="0" t="str">
        <f aca="false">IF('THÁNG 10'!$C117="","",'THÁNG 10'!$W117&amp;"")</f>
        <v/>
      </c>
      <c r="S710" s="0" t="str">
        <f aca="false">IF('THÁNG 10'!$C117="","",'THÁNG 10'!$S117&amp;"")</f>
        <v/>
      </c>
      <c r="T710" s="0" t="str">
        <f aca="false">IF(N($O710)&gt;0,COUNTIF($O$3:$O710,"&gt;0"),"")</f>
        <v/>
      </c>
      <c r="U710" s="0" t="str">
        <f aca="false">IF(AND(N($J710)&gt;0,N($K710)&gt;0),COUNTIFS($J$3:$J710,"&gt;0",$K$3:$K710,"&gt;0"),"")</f>
        <v/>
      </c>
      <c r="V710" s="0" t="str">
        <f aca="false">IF(AND(N($J710)&gt;0,N($K710)=0),COUNTIFS($J$3:$J710,"&gt;0",$K$3:$K710,"&lt;=0"),"")</f>
        <v/>
      </c>
      <c r="W710" s="0" t="str">
        <f aca="false">IF($C710="","",IF(COUNTIF($C$3:$C710,$C710)&gt;1,"",MAX($W$2:W709)+1))</f>
        <v/>
      </c>
      <c r="X710" s="0" t="str">
        <f aca="false">IF($H710="","",IF(COUNTIF($H$3:$H710,$H710)&gt;1,"",MAX($X$2:X709)+1))</f>
        <v/>
      </c>
      <c r="Y710" s="0" t="str">
        <f aca="false">IF(AND(N($M710)&gt;0,N($O710)&lt;=0),COUNTIFS($M$3:$M710,"&gt;0",$O$3:$O710,"&lt;=0"),"")</f>
        <v/>
      </c>
      <c r="Z710" s="30" t="n">
        <f aca="false">IF(OR('THÁNG 10'!$C117="",'THÁNG 10'!$B117=""),0,'THÁNG 10'!$B117)</f>
        <v>0</v>
      </c>
    </row>
    <row r="711" customFormat="false" ht="15" hidden="false" customHeight="false" outlineLevel="0" collapsed="false">
      <c r="A711" s="0" t="n">
        <v>10</v>
      </c>
      <c r="B711" s="29" t="str">
        <f aca="false">IF(OR('THÁNG 10'!$C118="",'THÁNG 10'!$B118=""),"",'THÁNG 10'!$B118)</f>
        <v/>
      </c>
      <c r="C711" s="0" t="str">
        <f aca="false">IF('THÁNG 10'!$C118="","",'THÁNG 10'!$C118)</f>
        <v/>
      </c>
      <c r="D711" s="0" t="str">
        <f aca="false">IF('THÁNG 10'!$C118="","",'THÁNG 10'!$D118&amp;"")</f>
        <v/>
      </c>
      <c r="E711" s="0" t="str">
        <f aca="false">IF('THÁNG 10'!$C118="","",'THÁNG 10'!$E118&amp;"")</f>
        <v/>
      </c>
      <c r="F711" s="0" t="str">
        <f aca="false">IF('THÁNG 10'!$C118="","",'THÁNG 10'!$F118&amp;"")</f>
        <v/>
      </c>
      <c r="G711" s="0" t="str">
        <f aca="false">IF('THÁNG 10'!$C118="","",'THÁNG 10'!$G118&amp;"")</f>
        <v/>
      </c>
      <c r="H711" s="0" t="str">
        <f aca="false">IF('THÁNG 10'!$C118="","",'THÁNG 10'!$H118&amp;"")</f>
        <v/>
      </c>
      <c r="I711" s="0" t="str">
        <f aca="false">IF('THÁNG 10'!$C118="","",N('THÁNG 10'!$I118))</f>
        <v/>
      </c>
      <c r="J711" s="0" t="str">
        <f aca="false">IF('THÁNG 10'!$C118="","",N('THÁNG 10'!$L118))</f>
        <v/>
      </c>
      <c r="K711" s="0" t="str">
        <f aca="false">IF('THÁNG 10'!$C118="","",N('THÁNG 10'!$N118))</f>
        <v/>
      </c>
      <c r="L711" s="0" t="str">
        <f aca="false">IF('THÁNG 10'!$C118="","",N('THÁNG 10'!$O118))</f>
        <v/>
      </c>
      <c r="M711" s="0" t="str">
        <f aca="false">IF('THÁNG 10'!$C118="","",N('THÁNG 10'!$P118))</f>
        <v/>
      </c>
      <c r="N711" s="0" t="str">
        <f aca="false">IF('THÁNG 10'!$C118="","",N('THÁNG 10'!$Q118))</f>
        <v/>
      </c>
      <c r="O711" s="0" t="str">
        <f aca="false">IF('THÁNG 10'!$C118="","",N('THÁNG 10'!$R118))</f>
        <v/>
      </c>
      <c r="P711" s="0" t="str">
        <f aca="false">IF(OR('THÁNG 10'!$C118="",'THÁNG 10'!$T118=""),"",'THÁNG 10'!$T118)</f>
        <v/>
      </c>
      <c r="Q711" s="0" t="str">
        <f aca="false">IF(OR('THÁNG 10'!$C118="",'THÁNG 10'!$U118=""),"",'THÁNG 10'!$U118)</f>
        <v/>
      </c>
      <c r="R711" s="0" t="str">
        <f aca="false">IF('THÁNG 10'!$C118="","",'THÁNG 10'!$W118&amp;"")</f>
        <v/>
      </c>
      <c r="S711" s="0" t="str">
        <f aca="false">IF('THÁNG 10'!$C118="","",'THÁNG 10'!$S118&amp;"")</f>
        <v/>
      </c>
      <c r="T711" s="0" t="str">
        <f aca="false">IF(N($O711)&gt;0,COUNTIF($O$3:$O711,"&gt;0"),"")</f>
        <v/>
      </c>
      <c r="U711" s="0" t="str">
        <f aca="false">IF(AND(N($J711)&gt;0,N($K711)&gt;0),COUNTIFS($J$3:$J711,"&gt;0",$K$3:$K711,"&gt;0"),"")</f>
        <v/>
      </c>
      <c r="V711" s="0" t="str">
        <f aca="false">IF(AND(N($J711)&gt;0,N($K711)=0),COUNTIFS($J$3:$J711,"&gt;0",$K$3:$K711,"&lt;=0"),"")</f>
        <v/>
      </c>
      <c r="W711" s="0" t="str">
        <f aca="false">IF($C711="","",IF(COUNTIF($C$3:$C711,$C711)&gt;1,"",MAX($W$2:W710)+1))</f>
        <v/>
      </c>
      <c r="X711" s="0" t="str">
        <f aca="false">IF($H711="","",IF(COUNTIF($H$3:$H711,$H711)&gt;1,"",MAX($X$2:X710)+1))</f>
        <v/>
      </c>
      <c r="Y711" s="0" t="str">
        <f aca="false">IF(AND(N($M711)&gt;0,N($O711)&lt;=0),COUNTIFS($M$3:$M711,"&gt;0",$O$3:$O711,"&lt;=0"),"")</f>
        <v/>
      </c>
      <c r="Z711" s="30" t="n">
        <f aca="false">IF(OR('THÁNG 10'!$C118="",'THÁNG 10'!$B118=""),0,'THÁNG 10'!$B118)</f>
        <v>0</v>
      </c>
    </row>
    <row r="712" customFormat="false" ht="15" hidden="false" customHeight="false" outlineLevel="0" collapsed="false">
      <c r="A712" s="0" t="n">
        <v>10</v>
      </c>
      <c r="B712" s="29" t="str">
        <f aca="false">IF(OR('THÁNG 10'!$C119="",'THÁNG 10'!$B119=""),"",'THÁNG 10'!$B119)</f>
        <v/>
      </c>
      <c r="C712" s="0" t="str">
        <f aca="false">IF('THÁNG 10'!$C119="","",'THÁNG 10'!$C119)</f>
        <v/>
      </c>
      <c r="D712" s="0" t="str">
        <f aca="false">IF('THÁNG 10'!$C119="","",'THÁNG 10'!$D119&amp;"")</f>
        <v/>
      </c>
      <c r="E712" s="0" t="str">
        <f aca="false">IF('THÁNG 10'!$C119="","",'THÁNG 10'!$E119&amp;"")</f>
        <v/>
      </c>
      <c r="F712" s="0" t="str">
        <f aca="false">IF('THÁNG 10'!$C119="","",'THÁNG 10'!$F119&amp;"")</f>
        <v/>
      </c>
      <c r="G712" s="0" t="str">
        <f aca="false">IF('THÁNG 10'!$C119="","",'THÁNG 10'!$G119&amp;"")</f>
        <v/>
      </c>
      <c r="H712" s="0" t="str">
        <f aca="false">IF('THÁNG 10'!$C119="","",'THÁNG 10'!$H119&amp;"")</f>
        <v/>
      </c>
      <c r="I712" s="0" t="str">
        <f aca="false">IF('THÁNG 10'!$C119="","",N('THÁNG 10'!$I119))</f>
        <v/>
      </c>
      <c r="J712" s="0" t="str">
        <f aca="false">IF('THÁNG 10'!$C119="","",N('THÁNG 10'!$L119))</f>
        <v/>
      </c>
      <c r="K712" s="0" t="str">
        <f aca="false">IF('THÁNG 10'!$C119="","",N('THÁNG 10'!$N119))</f>
        <v/>
      </c>
      <c r="L712" s="0" t="str">
        <f aca="false">IF('THÁNG 10'!$C119="","",N('THÁNG 10'!$O119))</f>
        <v/>
      </c>
      <c r="M712" s="0" t="str">
        <f aca="false">IF('THÁNG 10'!$C119="","",N('THÁNG 10'!$P119))</f>
        <v/>
      </c>
      <c r="N712" s="0" t="str">
        <f aca="false">IF('THÁNG 10'!$C119="","",N('THÁNG 10'!$Q119))</f>
        <v/>
      </c>
      <c r="O712" s="0" t="str">
        <f aca="false">IF('THÁNG 10'!$C119="","",N('THÁNG 10'!$R119))</f>
        <v/>
      </c>
      <c r="P712" s="0" t="str">
        <f aca="false">IF(OR('THÁNG 10'!$C119="",'THÁNG 10'!$T119=""),"",'THÁNG 10'!$T119)</f>
        <v/>
      </c>
      <c r="Q712" s="0" t="str">
        <f aca="false">IF(OR('THÁNG 10'!$C119="",'THÁNG 10'!$U119=""),"",'THÁNG 10'!$U119)</f>
        <v/>
      </c>
      <c r="R712" s="0" t="str">
        <f aca="false">IF('THÁNG 10'!$C119="","",'THÁNG 10'!$W119&amp;"")</f>
        <v/>
      </c>
      <c r="S712" s="0" t="str">
        <f aca="false">IF('THÁNG 10'!$C119="","",'THÁNG 10'!$S119&amp;"")</f>
        <v/>
      </c>
      <c r="T712" s="0" t="str">
        <f aca="false">IF(N($O712)&gt;0,COUNTIF($O$3:$O712,"&gt;0"),"")</f>
        <v/>
      </c>
      <c r="U712" s="0" t="str">
        <f aca="false">IF(AND(N($J712)&gt;0,N($K712)&gt;0),COUNTIFS($J$3:$J712,"&gt;0",$K$3:$K712,"&gt;0"),"")</f>
        <v/>
      </c>
      <c r="V712" s="0" t="str">
        <f aca="false">IF(AND(N($J712)&gt;0,N($K712)=0),COUNTIFS($J$3:$J712,"&gt;0",$K$3:$K712,"&lt;=0"),"")</f>
        <v/>
      </c>
      <c r="W712" s="0" t="str">
        <f aca="false">IF($C712="","",IF(COUNTIF($C$3:$C712,$C712)&gt;1,"",MAX($W$2:W711)+1))</f>
        <v/>
      </c>
      <c r="X712" s="0" t="str">
        <f aca="false">IF($H712="","",IF(COUNTIF($H$3:$H712,$H712)&gt;1,"",MAX($X$2:X711)+1))</f>
        <v/>
      </c>
      <c r="Y712" s="0" t="str">
        <f aca="false">IF(AND(N($M712)&gt;0,N($O712)&lt;=0),COUNTIFS($M$3:$M712,"&gt;0",$O$3:$O712,"&lt;=0"),"")</f>
        <v/>
      </c>
      <c r="Z712" s="30" t="n">
        <f aca="false">IF(OR('THÁNG 10'!$C119="",'THÁNG 10'!$B119=""),0,'THÁNG 10'!$B119)</f>
        <v>0</v>
      </c>
    </row>
    <row r="713" customFormat="false" ht="15" hidden="false" customHeight="false" outlineLevel="0" collapsed="false">
      <c r="A713" s="0" t="n">
        <v>10</v>
      </c>
      <c r="B713" s="29" t="str">
        <f aca="false">IF(OR('THÁNG 10'!$C120="",'THÁNG 10'!$B120=""),"",'THÁNG 10'!$B120)</f>
        <v/>
      </c>
      <c r="C713" s="0" t="str">
        <f aca="false">IF('THÁNG 10'!$C120="","",'THÁNG 10'!$C120)</f>
        <v/>
      </c>
      <c r="D713" s="0" t="str">
        <f aca="false">IF('THÁNG 10'!$C120="","",'THÁNG 10'!$D120&amp;"")</f>
        <v/>
      </c>
      <c r="E713" s="0" t="str">
        <f aca="false">IF('THÁNG 10'!$C120="","",'THÁNG 10'!$E120&amp;"")</f>
        <v/>
      </c>
      <c r="F713" s="0" t="str">
        <f aca="false">IF('THÁNG 10'!$C120="","",'THÁNG 10'!$F120&amp;"")</f>
        <v/>
      </c>
      <c r="G713" s="0" t="str">
        <f aca="false">IF('THÁNG 10'!$C120="","",'THÁNG 10'!$G120&amp;"")</f>
        <v/>
      </c>
      <c r="H713" s="0" t="str">
        <f aca="false">IF('THÁNG 10'!$C120="","",'THÁNG 10'!$H120&amp;"")</f>
        <v/>
      </c>
      <c r="I713" s="0" t="str">
        <f aca="false">IF('THÁNG 10'!$C120="","",N('THÁNG 10'!$I120))</f>
        <v/>
      </c>
      <c r="J713" s="0" t="str">
        <f aca="false">IF('THÁNG 10'!$C120="","",N('THÁNG 10'!$L120))</f>
        <v/>
      </c>
      <c r="K713" s="0" t="str">
        <f aca="false">IF('THÁNG 10'!$C120="","",N('THÁNG 10'!$N120))</f>
        <v/>
      </c>
      <c r="L713" s="0" t="str">
        <f aca="false">IF('THÁNG 10'!$C120="","",N('THÁNG 10'!$O120))</f>
        <v/>
      </c>
      <c r="M713" s="0" t="str">
        <f aca="false">IF('THÁNG 10'!$C120="","",N('THÁNG 10'!$P120))</f>
        <v/>
      </c>
      <c r="N713" s="0" t="str">
        <f aca="false">IF('THÁNG 10'!$C120="","",N('THÁNG 10'!$Q120))</f>
        <v/>
      </c>
      <c r="O713" s="0" t="str">
        <f aca="false">IF('THÁNG 10'!$C120="","",N('THÁNG 10'!$R120))</f>
        <v/>
      </c>
      <c r="P713" s="0" t="str">
        <f aca="false">IF(OR('THÁNG 10'!$C120="",'THÁNG 10'!$T120=""),"",'THÁNG 10'!$T120)</f>
        <v/>
      </c>
      <c r="Q713" s="0" t="str">
        <f aca="false">IF(OR('THÁNG 10'!$C120="",'THÁNG 10'!$U120=""),"",'THÁNG 10'!$U120)</f>
        <v/>
      </c>
      <c r="R713" s="0" t="str">
        <f aca="false">IF('THÁNG 10'!$C120="","",'THÁNG 10'!$W120&amp;"")</f>
        <v/>
      </c>
      <c r="S713" s="0" t="str">
        <f aca="false">IF('THÁNG 10'!$C120="","",'THÁNG 10'!$S120&amp;"")</f>
        <v/>
      </c>
      <c r="T713" s="0" t="str">
        <f aca="false">IF(N($O713)&gt;0,COUNTIF($O$3:$O713,"&gt;0"),"")</f>
        <v/>
      </c>
      <c r="U713" s="0" t="str">
        <f aca="false">IF(AND(N($J713)&gt;0,N($K713)&gt;0),COUNTIFS($J$3:$J713,"&gt;0",$K$3:$K713,"&gt;0"),"")</f>
        <v/>
      </c>
      <c r="V713" s="0" t="str">
        <f aca="false">IF(AND(N($J713)&gt;0,N($K713)=0),COUNTIFS($J$3:$J713,"&gt;0",$K$3:$K713,"&lt;=0"),"")</f>
        <v/>
      </c>
      <c r="W713" s="0" t="str">
        <f aca="false">IF($C713="","",IF(COUNTIF($C$3:$C713,$C713)&gt;1,"",MAX($W$2:W712)+1))</f>
        <v/>
      </c>
      <c r="X713" s="0" t="str">
        <f aca="false">IF($H713="","",IF(COUNTIF($H$3:$H713,$H713)&gt;1,"",MAX($X$2:X712)+1))</f>
        <v/>
      </c>
      <c r="Y713" s="0" t="str">
        <f aca="false">IF(AND(N($M713)&gt;0,N($O713)&lt;=0),COUNTIFS($M$3:$M713,"&gt;0",$O$3:$O713,"&lt;=0"),"")</f>
        <v/>
      </c>
      <c r="Z713" s="30" t="n">
        <f aca="false">IF(OR('THÁNG 10'!$C120="",'THÁNG 10'!$B120=""),0,'THÁNG 10'!$B120)</f>
        <v>0</v>
      </c>
    </row>
    <row r="714" customFormat="false" ht="15" hidden="false" customHeight="false" outlineLevel="0" collapsed="false">
      <c r="A714" s="0" t="n">
        <v>10</v>
      </c>
      <c r="B714" s="29" t="str">
        <f aca="false">IF(OR('THÁNG 10'!$C121="",'THÁNG 10'!$B121=""),"",'THÁNG 10'!$B121)</f>
        <v/>
      </c>
      <c r="C714" s="0" t="str">
        <f aca="false">IF('THÁNG 10'!$C121="","",'THÁNG 10'!$C121)</f>
        <v/>
      </c>
      <c r="D714" s="0" t="str">
        <f aca="false">IF('THÁNG 10'!$C121="","",'THÁNG 10'!$D121&amp;"")</f>
        <v/>
      </c>
      <c r="E714" s="0" t="str">
        <f aca="false">IF('THÁNG 10'!$C121="","",'THÁNG 10'!$E121&amp;"")</f>
        <v/>
      </c>
      <c r="F714" s="0" t="str">
        <f aca="false">IF('THÁNG 10'!$C121="","",'THÁNG 10'!$F121&amp;"")</f>
        <v/>
      </c>
      <c r="G714" s="0" t="str">
        <f aca="false">IF('THÁNG 10'!$C121="","",'THÁNG 10'!$G121&amp;"")</f>
        <v/>
      </c>
      <c r="H714" s="0" t="str">
        <f aca="false">IF('THÁNG 10'!$C121="","",'THÁNG 10'!$H121&amp;"")</f>
        <v/>
      </c>
      <c r="I714" s="0" t="str">
        <f aca="false">IF('THÁNG 10'!$C121="","",N('THÁNG 10'!$I121))</f>
        <v/>
      </c>
      <c r="J714" s="0" t="str">
        <f aca="false">IF('THÁNG 10'!$C121="","",N('THÁNG 10'!$L121))</f>
        <v/>
      </c>
      <c r="K714" s="0" t="str">
        <f aca="false">IF('THÁNG 10'!$C121="","",N('THÁNG 10'!$N121))</f>
        <v/>
      </c>
      <c r="L714" s="0" t="str">
        <f aca="false">IF('THÁNG 10'!$C121="","",N('THÁNG 10'!$O121))</f>
        <v/>
      </c>
      <c r="M714" s="0" t="str">
        <f aca="false">IF('THÁNG 10'!$C121="","",N('THÁNG 10'!$P121))</f>
        <v/>
      </c>
      <c r="N714" s="0" t="str">
        <f aca="false">IF('THÁNG 10'!$C121="","",N('THÁNG 10'!$Q121))</f>
        <v/>
      </c>
      <c r="O714" s="0" t="str">
        <f aca="false">IF('THÁNG 10'!$C121="","",N('THÁNG 10'!$R121))</f>
        <v/>
      </c>
      <c r="P714" s="0" t="str">
        <f aca="false">IF(OR('THÁNG 10'!$C121="",'THÁNG 10'!$T121=""),"",'THÁNG 10'!$T121)</f>
        <v/>
      </c>
      <c r="Q714" s="0" t="str">
        <f aca="false">IF(OR('THÁNG 10'!$C121="",'THÁNG 10'!$U121=""),"",'THÁNG 10'!$U121)</f>
        <v/>
      </c>
      <c r="R714" s="0" t="str">
        <f aca="false">IF('THÁNG 10'!$C121="","",'THÁNG 10'!$W121&amp;"")</f>
        <v/>
      </c>
      <c r="S714" s="0" t="str">
        <f aca="false">IF('THÁNG 10'!$C121="","",'THÁNG 10'!$S121&amp;"")</f>
        <v/>
      </c>
      <c r="T714" s="0" t="str">
        <f aca="false">IF(N($O714)&gt;0,COUNTIF($O$3:$O714,"&gt;0"),"")</f>
        <v/>
      </c>
      <c r="U714" s="0" t="str">
        <f aca="false">IF(AND(N($J714)&gt;0,N($K714)&gt;0),COUNTIFS($J$3:$J714,"&gt;0",$K$3:$K714,"&gt;0"),"")</f>
        <v/>
      </c>
      <c r="V714" s="0" t="str">
        <f aca="false">IF(AND(N($J714)&gt;0,N($K714)=0),COUNTIFS($J$3:$J714,"&gt;0",$K$3:$K714,"&lt;=0"),"")</f>
        <v/>
      </c>
      <c r="W714" s="0" t="str">
        <f aca="false">IF($C714="","",IF(COUNTIF($C$3:$C714,$C714)&gt;1,"",MAX($W$2:W713)+1))</f>
        <v/>
      </c>
      <c r="X714" s="0" t="str">
        <f aca="false">IF($H714="","",IF(COUNTIF($H$3:$H714,$H714)&gt;1,"",MAX($X$2:X713)+1))</f>
        <v/>
      </c>
      <c r="Y714" s="0" t="str">
        <f aca="false">IF(AND(N($M714)&gt;0,N($O714)&lt;=0),COUNTIFS($M$3:$M714,"&gt;0",$O$3:$O714,"&lt;=0"),"")</f>
        <v/>
      </c>
      <c r="Z714" s="30" t="n">
        <f aca="false">IF(OR('THÁNG 10'!$C121="",'THÁNG 10'!$B121=""),0,'THÁNG 10'!$B121)</f>
        <v>0</v>
      </c>
    </row>
    <row r="715" customFormat="false" ht="15" hidden="false" customHeight="false" outlineLevel="0" collapsed="false">
      <c r="A715" s="0" t="n">
        <v>10</v>
      </c>
      <c r="B715" s="29" t="str">
        <f aca="false">IF(OR('THÁNG 10'!$C122="",'THÁNG 10'!$B122=""),"",'THÁNG 10'!$B122)</f>
        <v/>
      </c>
      <c r="C715" s="0" t="str">
        <f aca="false">IF('THÁNG 10'!$C122="","",'THÁNG 10'!$C122)</f>
        <v/>
      </c>
      <c r="D715" s="0" t="str">
        <f aca="false">IF('THÁNG 10'!$C122="","",'THÁNG 10'!$D122&amp;"")</f>
        <v/>
      </c>
      <c r="E715" s="0" t="str">
        <f aca="false">IF('THÁNG 10'!$C122="","",'THÁNG 10'!$E122&amp;"")</f>
        <v/>
      </c>
      <c r="F715" s="0" t="str">
        <f aca="false">IF('THÁNG 10'!$C122="","",'THÁNG 10'!$F122&amp;"")</f>
        <v/>
      </c>
      <c r="G715" s="0" t="str">
        <f aca="false">IF('THÁNG 10'!$C122="","",'THÁNG 10'!$G122&amp;"")</f>
        <v/>
      </c>
      <c r="H715" s="0" t="str">
        <f aca="false">IF('THÁNG 10'!$C122="","",'THÁNG 10'!$H122&amp;"")</f>
        <v/>
      </c>
      <c r="I715" s="0" t="str">
        <f aca="false">IF('THÁNG 10'!$C122="","",N('THÁNG 10'!$I122))</f>
        <v/>
      </c>
      <c r="J715" s="0" t="str">
        <f aca="false">IF('THÁNG 10'!$C122="","",N('THÁNG 10'!$L122))</f>
        <v/>
      </c>
      <c r="K715" s="0" t="str">
        <f aca="false">IF('THÁNG 10'!$C122="","",N('THÁNG 10'!$N122))</f>
        <v/>
      </c>
      <c r="L715" s="0" t="str">
        <f aca="false">IF('THÁNG 10'!$C122="","",N('THÁNG 10'!$O122))</f>
        <v/>
      </c>
      <c r="M715" s="0" t="str">
        <f aca="false">IF('THÁNG 10'!$C122="","",N('THÁNG 10'!$P122))</f>
        <v/>
      </c>
      <c r="N715" s="0" t="str">
        <f aca="false">IF('THÁNG 10'!$C122="","",N('THÁNG 10'!$Q122))</f>
        <v/>
      </c>
      <c r="O715" s="0" t="str">
        <f aca="false">IF('THÁNG 10'!$C122="","",N('THÁNG 10'!$R122))</f>
        <v/>
      </c>
      <c r="P715" s="0" t="str">
        <f aca="false">IF(OR('THÁNG 10'!$C122="",'THÁNG 10'!$T122=""),"",'THÁNG 10'!$T122)</f>
        <v/>
      </c>
      <c r="Q715" s="0" t="str">
        <f aca="false">IF(OR('THÁNG 10'!$C122="",'THÁNG 10'!$U122=""),"",'THÁNG 10'!$U122)</f>
        <v/>
      </c>
      <c r="R715" s="0" t="str">
        <f aca="false">IF('THÁNG 10'!$C122="","",'THÁNG 10'!$W122&amp;"")</f>
        <v/>
      </c>
      <c r="S715" s="0" t="str">
        <f aca="false">IF('THÁNG 10'!$C122="","",'THÁNG 10'!$S122&amp;"")</f>
        <v/>
      </c>
      <c r="T715" s="0" t="str">
        <f aca="false">IF(N($O715)&gt;0,COUNTIF($O$3:$O715,"&gt;0"),"")</f>
        <v/>
      </c>
      <c r="U715" s="0" t="str">
        <f aca="false">IF(AND(N($J715)&gt;0,N($K715)&gt;0),COUNTIFS($J$3:$J715,"&gt;0",$K$3:$K715,"&gt;0"),"")</f>
        <v/>
      </c>
      <c r="V715" s="0" t="str">
        <f aca="false">IF(AND(N($J715)&gt;0,N($K715)=0),COUNTIFS($J$3:$J715,"&gt;0",$K$3:$K715,"&lt;=0"),"")</f>
        <v/>
      </c>
      <c r="W715" s="0" t="str">
        <f aca="false">IF($C715="","",IF(COUNTIF($C$3:$C715,$C715)&gt;1,"",MAX($W$2:W714)+1))</f>
        <v/>
      </c>
      <c r="X715" s="0" t="str">
        <f aca="false">IF($H715="","",IF(COUNTIF($H$3:$H715,$H715)&gt;1,"",MAX($X$2:X714)+1))</f>
        <v/>
      </c>
      <c r="Y715" s="0" t="str">
        <f aca="false">IF(AND(N($M715)&gt;0,N($O715)&lt;=0),COUNTIFS($M$3:$M715,"&gt;0",$O$3:$O715,"&lt;=0"),"")</f>
        <v/>
      </c>
      <c r="Z715" s="30" t="n">
        <f aca="false">IF(OR('THÁNG 10'!$C122="",'THÁNG 10'!$B122=""),0,'THÁNG 10'!$B122)</f>
        <v>0</v>
      </c>
    </row>
    <row r="716" customFormat="false" ht="15" hidden="false" customHeight="false" outlineLevel="0" collapsed="false">
      <c r="A716" s="0" t="n">
        <v>10</v>
      </c>
      <c r="B716" s="29" t="str">
        <f aca="false">IF(OR('THÁNG 10'!$C123="",'THÁNG 10'!$B123=""),"",'THÁNG 10'!$B123)</f>
        <v/>
      </c>
      <c r="C716" s="0" t="str">
        <f aca="false">IF('THÁNG 10'!$C123="","",'THÁNG 10'!$C123)</f>
        <v/>
      </c>
      <c r="D716" s="0" t="str">
        <f aca="false">IF('THÁNG 10'!$C123="","",'THÁNG 10'!$D123&amp;"")</f>
        <v/>
      </c>
      <c r="E716" s="0" t="str">
        <f aca="false">IF('THÁNG 10'!$C123="","",'THÁNG 10'!$E123&amp;"")</f>
        <v/>
      </c>
      <c r="F716" s="0" t="str">
        <f aca="false">IF('THÁNG 10'!$C123="","",'THÁNG 10'!$F123&amp;"")</f>
        <v/>
      </c>
      <c r="G716" s="0" t="str">
        <f aca="false">IF('THÁNG 10'!$C123="","",'THÁNG 10'!$G123&amp;"")</f>
        <v/>
      </c>
      <c r="H716" s="0" t="str">
        <f aca="false">IF('THÁNG 10'!$C123="","",'THÁNG 10'!$H123&amp;"")</f>
        <v/>
      </c>
      <c r="I716" s="0" t="str">
        <f aca="false">IF('THÁNG 10'!$C123="","",N('THÁNG 10'!$I123))</f>
        <v/>
      </c>
      <c r="J716" s="0" t="str">
        <f aca="false">IF('THÁNG 10'!$C123="","",N('THÁNG 10'!$L123))</f>
        <v/>
      </c>
      <c r="K716" s="0" t="str">
        <f aca="false">IF('THÁNG 10'!$C123="","",N('THÁNG 10'!$N123))</f>
        <v/>
      </c>
      <c r="L716" s="0" t="str">
        <f aca="false">IF('THÁNG 10'!$C123="","",N('THÁNG 10'!$O123))</f>
        <v/>
      </c>
      <c r="M716" s="0" t="str">
        <f aca="false">IF('THÁNG 10'!$C123="","",N('THÁNG 10'!$P123))</f>
        <v/>
      </c>
      <c r="N716" s="0" t="str">
        <f aca="false">IF('THÁNG 10'!$C123="","",N('THÁNG 10'!$Q123))</f>
        <v/>
      </c>
      <c r="O716" s="0" t="str">
        <f aca="false">IF('THÁNG 10'!$C123="","",N('THÁNG 10'!$R123))</f>
        <v/>
      </c>
      <c r="P716" s="0" t="str">
        <f aca="false">IF(OR('THÁNG 10'!$C123="",'THÁNG 10'!$T123=""),"",'THÁNG 10'!$T123)</f>
        <v/>
      </c>
      <c r="Q716" s="0" t="str">
        <f aca="false">IF(OR('THÁNG 10'!$C123="",'THÁNG 10'!$U123=""),"",'THÁNG 10'!$U123)</f>
        <v/>
      </c>
      <c r="R716" s="0" t="str">
        <f aca="false">IF('THÁNG 10'!$C123="","",'THÁNG 10'!$W123&amp;"")</f>
        <v/>
      </c>
      <c r="S716" s="0" t="str">
        <f aca="false">IF('THÁNG 10'!$C123="","",'THÁNG 10'!$S123&amp;"")</f>
        <v/>
      </c>
      <c r="T716" s="0" t="str">
        <f aca="false">IF(N($O716)&gt;0,COUNTIF($O$3:$O716,"&gt;0"),"")</f>
        <v/>
      </c>
      <c r="U716" s="0" t="str">
        <f aca="false">IF(AND(N($J716)&gt;0,N($K716)&gt;0),COUNTIFS($J$3:$J716,"&gt;0",$K$3:$K716,"&gt;0"),"")</f>
        <v/>
      </c>
      <c r="V716" s="0" t="str">
        <f aca="false">IF(AND(N($J716)&gt;0,N($K716)=0),COUNTIFS($J$3:$J716,"&gt;0",$K$3:$K716,"&lt;=0"),"")</f>
        <v/>
      </c>
      <c r="W716" s="0" t="str">
        <f aca="false">IF($C716="","",IF(COUNTIF($C$3:$C716,$C716)&gt;1,"",MAX($W$2:W715)+1))</f>
        <v/>
      </c>
      <c r="X716" s="0" t="str">
        <f aca="false">IF($H716="","",IF(COUNTIF($H$3:$H716,$H716)&gt;1,"",MAX($X$2:X715)+1))</f>
        <v/>
      </c>
      <c r="Y716" s="0" t="str">
        <f aca="false">IF(AND(N($M716)&gt;0,N($O716)&lt;=0),COUNTIFS($M$3:$M716,"&gt;0",$O$3:$O716,"&lt;=0"),"")</f>
        <v/>
      </c>
      <c r="Z716" s="30" t="n">
        <f aca="false">IF(OR('THÁNG 10'!$C123="",'THÁNG 10'!$B123=""),0,'THÁNG 10'!$B123)</f>
        <v>0</v>
      </c>
    </row>
    <row r="717" customFormat="false" ht="15" hidden="false" customHeight="false" outlineLevel="0" collapsed="false">
      <c r="A717" s="0" t="n">
        <v>10</v>
      </c>
      <c r="B717" s="29" t="str">
        <f aca="false">IF(OR('THÁNG 10'!$C124="",'THÁNG 10'!$B124=""),"",'THÁNG 10'!$B124)</f>
        <v/>
      </c>
      <c r="C717" s="0" t="str">
        <f aca="false">IF('THÁNG 10'!$C124="","",'THÁNG 10'!$C124)</f>
        <v/>
      </c>
      <c r="D717" s="0" t="str">
        <f aca="false">IF('THÁNG 10'!$C124="","",'THÁNG 10'!$D124&amp;"")</f>
        <v/>
      </c>
      <c r="E717" s="0" t="str">
        <f aca="false">IF('THÁNG 10'!$C124="","",'THÁNG 10'!$E124&amp;"")</f>
        <v/>
      </c>
      <c r="F717" s="0" t="str">
        <f aca="false">IF('THÁNG 10'!$C124="","",'THÁNG 10'!$F124&amp;"")</f>
        <v/>
      </c>
      <c r="G717" s="0" t="str">
        <f aca="false">IF('THÁNG 10'!$C124="","",'THÁNG 10'!$G124&amp;"")</f>
        <v/>
      </c>
      <c r="H717" s="0" t="str">
        <f aca="false">IF('THÁNG 10'!$C124="","",'THÁNG 10'!$H124&amp;"")</f>
        <v/>
      </c>
      <c r="I717" s="0" t="str">
        <f aca="false">IF('THÁNG 10'!$C124="","",N('THÁNG 10'!$I124))</f>
        <v/>
      </c>
      <c r="J717" s="0" t="str">
        <f aca="false">IF('THÁNG 10'!$C124="","",N('THÁNG 10'!$L124))</f>
        <v/>
      </c>
      <c r="K717" s="0" t="str">
        <f aca="false">IF('THÁNG 10'!$C124="","",N('THÁNG 10'!$N124))</f>
        <v/>
      </c>
      <c r="L717" s="0" t="str">
        <f aca="false">IF('THÁNG 10'!$C124="","",N('THÁNG 10'!$O124))</f>
        <v/>
      </c>
      <c r="M717" s="0" t="str">
        <f aca="false">IF('THÁNG 10'!$C124="","",N('THÁNG 10'!$P124))</f>
        <v/>
      </c>
      <c r="N717" s="0" t="str">
        <f aca="false">IF('THÁNG 10'!$C124="","",N('THÁNG 10'!$Q124))</f>
        <v/>
      </c>
      <c r="O717" s="0" t="str">
        <f aca="false">IF('THÁNG 10'!$C124="","",N('THÁNG 10'!$R124))</f>
        <v/>
      </c>
      <c r="P717" s="0" t="str">
        <f aca="false">IF(OR('THÁNG 10'!$C124="",'THÁNG 10'!$T124=""),"",'THÁNG 10'!$T124)</f>
        <v/>
      </c>
      <c r="Q717" s="0" t="str">
        <f aca="false">IF(OR('THÁNG 10'!$C124="",'THÁNG 10'!$U124=""),"",'THÁNG 10'!$U124)</f>
        <v/>
      </c>
      <c r="R717" s="0" t="str">
        <f aca="false">IF('THÁNG 10'!$C124="","",'THÁNG 10'!$W124&amp;"")</f>
        <v/>
      </c>
      <c r="S717" s="0" t="str">
        <f aca="false">IF('THÁNG 10'!$C124="","",'THÁNG 10'!$S124&amp;"")</f>
        <v/>
      </c>
      <c r="T717" s="0" t="str">
        <f aca="false">IF(N($O717)&gt;0,COUNTIF($O$3:$O717,"&gt;0"),"")</f>
        <v/>
      </c>
      <c r="U717" s="0" t="str">
        <f aca="false">IF(AND(N($J717)&gt;0,N($K717)&gt;0),COUNTIFS($J$3:$J717,"&gt;0",$K$3:$K717,"&gt;0"),"")</f>
        <v/>
      </c>
      <c r="V717" s="0" t="str">
        <f aca="false">IF(AND(N($J717)&gt;0,N($K717)=0),COUNTIFS($J$3:$J717,"&gt;0",$K$3:$K717,"&lt;=0"),"")</f>
        <v/>
      </c>
      <c r="W717" s="0" t="str">
        <f aca="false">IF($C717="","",IF(COUNTIF($C$3:$C717,$C717)&gt;1,"",MAX($W$2:W716)+1))</f>
        <v/>
      </c>
      <c r="X717" s="0" t="str">
        <f aca="false">IF($H717="","",IF(COUNTIF($H$3:$H717,$H717)&gt;1,"",MAX($X$2:X716)+1))</f>
        <v/>
      </c>
      <c r="Y717" s="0" t="str">
        <f aca="false">IF(AND(N($M717)&gt;0,N($O717)&lt;=0),COUNTIFS($M$3:$M717,"&gt;0",$O$3:$O717,"&lt;=0"),"")</f>
        <v/>
      </c>
      <c r="Z717" s="30" t="n">
        <f aca="false">IF(OR('THÁNG 10'!$C124="",'THÁNG 10'!$B124=""),0,'THÁNG 10'!$B124)</f>
        <v>0</v>
      </c>
    </row>
    <row r="718" customFormat="false" ht="15" hidden="false" customHeight="false" outlineLevel="0" collapsed="false">
      <c r="A718" s="0" t="n">
        <v>10</v>
      </c>
      <c r="B718" s="29" t="str">
        <f aca="false">IF(OR('THÁNG 10'!$C125="",'THÁNG 10'!$B125=""),"",'THÁNG 10'!$B125)</f>
        <v/>
      </c>
      <c r="C718" s="0" t="str">
        <f aca="false">IF('THÁNG 10'!$C125="","",'THÁNG 10'!$C125)</f>
        <v/>
      </c>
      <c r="D718" s="0" t="str">
        <f aca="false">IF('THÁNG 10'!$C125="","",'THÁNG 10'!$D125&amp;"")</f>
        <v/>
      </c>
      <c r="E718" s="0" t="str">
        <f aca="false">IF('THÁNG 10'!$C125="","",'THÁNG 10'!$E125&amp;"")</f>
        <v/>
      </c>
      <c r="F718" s="0" t="str">
        <f aca="false">IF('THÁNG 10'!$C125="","",'THÁNG 10'!$F125&amp;"")</f>
        <v/>
      </c>
      <c r="G718" s="0" t="str">
        <f aca="false">IF('THÁNG 10'!$C125="","",'THÁNG 10'!$G125&amp;"")</f>
        <v/>
      </c>
      <c r="H718" s="0" t="str">
        <f aca="false">IF('THÁNG 10'!$C125="","",'THÁNG 10'!$H125&amp;"")</f>
        <v/>
      </c>
      <c r="I718" s="0" t="str">
        <f aca="false">IF('THÁNG 10'!$C125="","",N('THÁNG 10'!$I125))</f>
        <v/>
      </c>
      <c r="J718" s="0" t="str">
        <f aca="false">IF('THÁNG 10'!$C125="","",N('THÁNG 10'!$L125))</f>
        <v/>
      </c>
      <c r="K718" s="0" t="str">
        <f aca="false">IF('THÁNG 10'!$C125="","",N('THÁNG 10'!$N125))</f>
        <v/>
      </c>
      <c r="L718" s="0" t="str">
        <f aca="false">IF('THÁNG 10'!$C125="","",N('THÁNG 10'!$O125))</f>
        <v/>
      </c>
      <c r="M718" s="0" t="str">
        <f aca="false">IF('THÁNG 10'!$C125="","",N('THÁNG 10'!$P125))</f>
        <v/>
      </c>
      <c r="N718" s="0" t="str">
        <f aca="false">IF('THÁNG 10'!$C125="","",N('THÁNG 10'!$Q125))</f>
        <v/>
      </c>
      <c r="O718" s="0" t="str">
        <f aca="false">IF('THÁNG 10'!$C125="","",N('THÁNG 10'!$R125))</f>
        <v/>
      </c>
      <c r="P718" s="0" t="str">
        <f aca="false">IF(OR('THÁNG 10'!$C125="",'THÁNG 10'!$T125=""),"",'THÁNG 10'!$T125)</f>
        <v/>
      </c>
      <c r="Q718" s="0" t="str">
        <f aca="false">IF(OR('THÁNG 10'!$C125="",'THÁNG 10'!$U125=""),"",'THÁNG 10'!$U125)</f>
        <v/>
      </c>
      <c r="R718" s="0" t="str">
        <f aca="false">IF('THÁNG 10'!$C125="","",'THÁNG 10'!$W125&amp;"")</f>
        <v/>
      </c>
      <c r="S718" s="0" t="str">
        <f aca="false">IF('THÁNG 10'!$C125="","",'THÁNG 10'!$S125&amp;"")</f>
        <v/>
      </c>
      <c r="T718" s="0" t="str">
        <f aca="false">IF(N($O718)&gt;0,COUNTIF($O$3:$O718,"&gt;0"),"")</f>
        <v/>
      </c>
      <c r="U718" s="0" t="str">
        <f aca="false">IF(AND(N($J718)&gt;0,N($K718)&gt;0),COUNTIFS($J$3:$J718,"&gt;0",$K$3:$K718,"&gt;0"),"")</f>
        <v/>
      </c>
      <c r="V718" s="0" t="str">
        <f aca="false">IF(AND(N($J718)&gt;0,N($K718)=0),COUNTIFS($J$3:$J718,"&gt;0",$K$3:$K718,"&lt;=0"),"")</f>
        <v/>
      </c>
      <c r="W718" s="0" t="str">
        <f aca="false">IF($C718="","",IF(COUNTIF($C$3:$C718,$C718)&gt;1,"",MAX($W$2:W717)+1))</f>
        <v/>
      </c>
      <c r="X718" s="0" t="str">
        <f aca="false">IF($H718="","",IF(COUNTIF($H$3:$H718,$H718)&gt;1,"",MAX($X$2:X717)+1))</f>
        <v/>
      </c>
      <c r="Y718" s="0" t="str">
        <f aca="false">IF(AND(N($M718)&gt;0,N($O718)&lt;=0),COUNTIFS($M$3:$M718,"&gt;0",$O$3:$O718,"&lt;=0"),"")</f>
        <v/>
      </c>
      <c r="Z718" s="30" t="n">
        <f aca="false">IF(OR('THÁNG 10'!$C125="",'THÁNG 10'!$B125=""),0,'THÁNG 10'!$B125)</f>
        <v>0</v>
      </c>
    </row>
    <row r="719" customFormat="false" ht="15" hidden="false" customHeight="false" outlineLevel="0" collapsed="false">
      <c r="A719" s="0" t="n">
        <v>10</v>
      </c>
      <c r="B719" s="29" t="str">
        <f aca="false">IF(OR('THÁNG 10'!$C126="",'THÁNG 10'!$B126=""),"",'THÁNG 10'!$B126)</f>
        <v/>
      </c>
      <c r="C719" s="0" t="str">
        <f aca="false">IF('THÁNG 10'!$C126="","",'THÁNG 10'!$C126)</f>
        <v/>
      </c>
      <c r="D719" s="0" t="str">
        <f aca="false">IF('THÁNG 10'!$C126="","",'THÁNG 10'!$D126&amp;"")</f>
        <v/>
      </c>
      <c r="E719" s="0" t="str">
        <f aca="false">IF('THÁNG 10'!$C126="","",'THÁNG 10'!$E126&amp;"")</f>
        <v/>
      </c>
      <c r="F719" s="0" t="str">
        <f aca="false">IF('THÁNG 10'!$C126="","",'THÁNG 10'!$F126&amp;"")</f>
        <v/>
      </c>
      <c r="G719" s="0" t="str">
        <f aca="false">IF('THÁNG 10'!$C126="","",'THÁNG 10'!$G126&amp;"")</f>
        <v/>
      </c>
      <c r="H719" s="0" t="str">
        <f aca="false">IF('THÁNG 10'!$C126="","",'THÁNG 10'!$H126&amp;"")</f>
        <v/>
      </c>
      <c r="I719" s="0" t="str">
        <f aca="false">IF('THÁNG 10'!$C126="","",N('THÁNG 10'!$I126))</f>
        <v/>
      </c>
      <c r="J719" s="0" t="str">
        <f aca="false">IF('THÁNG 10'!$C126="","",N('THÁNG 10'!$L126))</f>
        <v/>
      </c>
      <c r="K719" s="0" t="str">
        <f aca="false">IF('THÁNG 10'!$C126="","",N('THÁNG 10'!$N126))</f>
        <v/>
      </c>
      <c r="L719" s="0" t="str">
        <f aca="false">IF('THÁNG 10'!$C126="","",N('THÁNG 10'!$O126))</f>
        <v/>
      </c>
      <c r="M719" s="0" t="str">
        <f aca="false">IF('THÁNG 10'!$C126="","",N('THÁNG 10'!$P126))</f>
        <v/>
      </c>
      <c r="N719" s="0" t="str">
        <f aca="false">IF('THÁNG 10'!$C126="","",N('THÁNG 10'!$Q126))</f>
        <v/>
      </c>
      <c r="O719" s="0" t="str">
        <f aca="false">IF('THÁNG 10'!$C126="","",N('THÁNG 10'!$R126))</f>
        <v/>
      </c>
      <c r="P719" s="0" t="str">
        <f aca="false">IF(OR('THÁNG 10'!$C126="",'THÁNG 10'!$T126=""),"",'THÁNG 10'!$T126)</f>
        <v/>
      </c>
      <c r="Q719" s="0" t="str">
        <f aca="false">IF(OR('THÁNG 10'!$C126="",'THÁNG 10'!$U126=""),"",'THÁNG 10'!$U126)</f>
        <v/>
      </c>
      <c r="R719" s="0" t="str">
        <f aca="false">IF('THÁNG 10'!$C126="","",'THÁNG 10'!$W126&amp;"")</f>
        <v/>
      </c>
      <c r="S719" s="0" t="str">
        <f aca="false">IF('THÁNG 10'!$C126="","",'THÁNG 10'!$S126&amp;"")</f>
        <v/>
      </c>
      <c r="T719" s="0" t="str">
        <f aca="false">IF(N($O719)&gt;0,COUNTIF($O$3:$O719,"&gt;0"),"")</f>
        <v/>
      </c>
      <c r="U719" s="0" t="str">
        <f aca="false">IF(AND(N($J719)&gt;0,N($K719)&gt;0),COUNTIFS($J$3:$J719,"&gt;0",$K$3:$K719,"&gt;0"),"")</f>
        <v/>
      </c>
      <c r="V719" s="0" t="str">
        <f aca="false">IF(AND(N($J719)&gt;0,N($K719)=0),COUNTIFS($J$3:$J719,"&gt;0",$K$3:$K719,"&lt;=0"),"")</f>
        <v/>
      </c>
      <c r="W719" s="0" t="str">
        <f aca="false">IF($C719="","",IF(COUNTIF($C$3:$C719,$C719)&gt;1,"",MAX($W$2:W718)+1))</f>
        <v/>
      </c>
      <c r="X719" s="0" t="str">
        <f aca="false">IF($H719="","",IF(COUNTIF($H$3:$H719,$H719)&gt;1,"",MAX($X$2:X718)+1))</f>
        <v/>
      </c>
      <c r="Y719" s="0" t="str">
        <f aca="false">IF(AND(N($M719)&gt;0,N($O719)&lt;=0),COUNTIFS($M$3:$M719,"&gt;0",$O$3:$O719,"&lt;=0"),"")</f>
        <v/>
      </c>
      <c r="Z719" s="30" t="n">
        <f aca="false">IF(OR('THÁNG 10'!$C126="",'THÁNG 10'!$B126=""),0,'THÁNG 10'!$B126)</f>
        <v>0</v>
      </c>
    </row>
    <row r="720" customFormat="false" ht="15" hidden="false" customHeight="false" outlineLevel="0" collapsed="false">
      <c r="A720" s="0" t="n">
        <v>10</v>
      </c>
      <c r="B720" s="29" t="str">
        <f aca="false">IF(OR('THÁNG 10'!$C127="",'THÁNG 10'!$B127=""),"",'THÁNG 10'!$B127)</f>
        <v/>
      </c>
      <c r="C720" s="0" t="str">
        <f aca="false">IF('THÁNG 10'!$C127="","",'THÁNG 10'!$C127)</f>
        <v/>
      </c>
      <c r="D720" s="0" t="str">
        <f aca="false">IF('THÁNG 10'!$C127="","",'THÁNG 10'!$D127&amp;"")</f>
        <v/>
      </c>
      <c r="E720" s="0" t="str">
        <f aca="false">IF('THÁNG 10'!$C127="","",'THÁNG 10'!$E127&amp;"")</f>
        <v/>
      </c>
      <c r="F720" s="0" t="str">
        <f aca="false">IF('THÁNG 10'!$C127="","",'THÁNG 10'!$F127&amp;"")</f>
        <v/>
      </c>
      <c r="G720" s="0" t="str">
        <f aca="false">IF('THÁNG 10'!$C127="","",'THÁNG 10'!$G127&amp;"")</f>
        <v/>
      </c>
      <c r="H720" s="0" t="str">
        <f aca="false">IF('THÁNG 10'!$C127="","",'THÁNG 10'!$H127&amp;"")</f>
        <v/>
      </c>
      <c r="I720" s="0" t="str">
        <f aca="false">IF('THÁNG 10'!$C127="","",N('THÁNG 10'!$I127))</f>
        <v/>
      </c>
      <c r="J720" s="0" t="str">
        <f aca="false">IF('THÁNG 10'!$C127="","",N('THÁNG 10'!$L127))</f>
        <v/>
      </c>
      <c r="K720" s="0" t="str">
        <f aca="false">IF('THÁNG 10'!$C127="","",N('THÁNG 10'!$N127))</f>
        <v/>
      </c>
      <c r="L720" s="0" t="str">
        <f aca="false">IF('THÁNG 10'!$C127="","",N('THÁNG 10'!$O127))</f>
        <v/>
      </c>
      <c r="M720" s="0" t="str">
        <f aca="false">IF('THÁNG 10'!$C127="","",N('THÁNG 10'!$P127))</f>
        <v/>
      </c>
      <c r="N720" s="0" t="str">
        <f aca="false">IF('THÁNG 10'!$C127="","",N('THÁNG 10'!$Q127))</f>
        <v/>
      </c>
      <c r="O720" s="0" t="str">
        <f aca="false">IF('THÁNG 10'!$C127="","",N('THÁNG 10'!$R127))</f>
        <v/>
      </c>
      <c r="P720" s="0" t="str">
        <f aca="false">IF(OR('THÁNG 10'!$C127="",'THÁNG 10'!$T127=""),"",'THÁNG 10'!$T127)</f>
        <v/>
      </c>
      <c r="Q720" s="0" t="str">
        <f aca="false">IF(OR('THÁNG 10'!$C127="",'THÁNG 10'!$U127=""),"",'THÁNG 10'!$U127)</f>
        <v/>
      </c>
      <c r="R720" s="0" t="str">
        <f aca="false">IF('THÁNG 10'!$C127="","",'THÁNG 10'!$W127&amp;"")</f>
        <v/>
      </c>
      <c r="S720" s="0" t="str">
        <f aca="false">IF('THÁNG 10'!$C127="","",'THÁNG 10'!$S127&amp;"")</f>
        <v/>
      </c>
      <c r="T720" s="0" t="str">
        <f aca="false">IF(N($O720)&gt;0,COUNTIF($O$3:$O720,"&gt;0"),"")</f>
        <v/>
      </c>
      <c r="U720" s="0" t="str">
        <f aca="false">IF(AND(N($J720)&gt;0,N($K720)&gt;0),COUNTIFS($J$3:$J720,"&gt;0",$K$3:$K720,"&gt;0"),"")</f>
        <v/>
      </c>
      <c r="V720" s="0" t="str">
        <f aca="false">IF(AND(N($J720)&gt;0,N($K720)=0),COUNTIFS($J$3:$J720,"&gt;0",$K$3:$K720,"&lt;=0"),"")</f>
        <v/>
      </c>
      <c r="W720" s="0" t="str">
        <f aca="false">IF($C720="","",IF(COUNTIF($C$3:$C720,$C720)&gt;1,"",MAX($W$2:W719)+1))</f>
        <v/>
      </c>
      <c r="X720" s="0" t="str">
        <f aca="false">IF($H720="","",IF(COUNTIF($H$3:$H720,$H720)&gt;1,"",MAX($X$2:X719)+1))</f>
        <v/>
      </c>
      <c r="Y720" s="0" t="str">
        <f aca="false">IF(AND(N($M720)&gt;0,N($O720)&lt;=0),COUNTIFS($M$3:$M720,"&gt;0",$O$3:$O720,"&lt;=0"),"")</f>
        <v/>
      </c>
      <c r="Z720" s="30" t="n">
        <f aca="false">IF(OR('THÁNG 10'!$C127="",'THÁNG 10'!$B127=""),0,'THÁNG 10'!$B127)</f>
        <v>0</v>
      </c>
    </row>
    <row r="721" customFormat="false" ht="15" hidden="false" customHeight="false" outlineLevel="0" collapsed="false">
      <c r="A721" s="0" t="n">
        <v>10</v>
      </c>
      <c r="B721" s="29" t="str">
        <f aca="false">IF(OR('THÁNG 10'!$C128="",'THÁNG 10'!$B128=""),"",'THÁNG 10'!$B128)</f>
        <v/>
      </c>
      <c r="C721" s="0" t="str">
        <f aca="false">IF('THÁNG 10'!$C128="","",'THÁNG 10'!$C128)</f>
        <v/>
      </c>
      <c r="D721" s="0" t="str">
        <f aca="false">IF('THÁNG 10'!$C128="","",'THÁNG 10'!$D128&amp;"")</f>
        <v/>
      </c>
      <c r="E721" s="0" t="str">
        <f aca="false">IF('THÁNG 10'!$C128="","",'THÁNG 10'!$E128&amp;"")</f>
        <v/>
      </c>
      <c r="F721" s="0" t="str">
        <f aca="false">IF('THÁNG 10'!$C128="","",'THÁNG 10'!$F128&amp;"")</f>
        <v/>
      </c>
      <c r="G721" s="0" t="str">
        <f aca="false">IF('THÁNG 10'!$C128="","",'THÁNG 10'!$G128&amp;"")</f>
        <v/>
      </c>
      <c r="H721" s="0" t="str">
        <f aca="false">IF('THÁNG 10'!$C128="","",'THÁNG 10'!$H128&amp;"")</f>
        <v/>
      </c>
      <c r="I721" s="0" t="str">
        <f aca="false">IF('THÁNG 10'!$C128="","",N('THÁNG 10'!$I128))</f>
        <v/>
      </c>
      <c r="J721" s="0" t="str">
        <f aca="false">IF('THÁNG 10'!$C128="","",N('THÁNG 10'!$L128))</f>
        <v/>
      </c>
      <c r="K721" s="0" t="str">
        <f aca="false">IF('THÁNG 10'!$C128="","",N('THÁNG 10'!$N128))</f>
        <v/>
      </c>
      <c r="L721" s="0" t="str">
        <f aca="false">IF('THÁNG 10'!$C128="","",N('THÁNG 10'!$O128))</f>
        <v/>
      </c>
      <c r="M721" s="0" t="str">
        <f aca="false">IF('THÁNG 10'!$C128="","",N('THÁNG 10'!$P128))</f>
        <v/>
      </c>
      <c r="N721" s="0" t="str">
        <f aca="false">IF('THÁNG 10'!$C128="","",N('THÁNG 10'!$Q128))</f>
        <v/>
      </c>
      <c r="O721" s="0" t="str">
        <f aca="false">IF('THÁNG 10'!$C128="","",N('THÁNG 10'!$R128))</f>
        <v/>
      </c>
      <c r="P721" s="0" t="str">
        <f aca="false">IF(OR('THÁNG 10'!$C128="",'THÁNG 10'!$T128=""),"",'THÁNG 10'!$T128)</f>
        <v/>
      </c>
      <c r="Q721" s="0" t="str">
        <f aca="false">IF(OR('THÁNG 10'!$C128="",'THÁNG 10'!$U128=""),"",'THÁNG 10'!$U128)</f>
        <v/>
      </c>
      <c r="R721" s="0" t="str">
        <f aca="false">IF('THÁNG 10'!$C128="","",'THÁNG 10'!$W128&amp;"")</f>
        <v/>
      </c>
      <c r="S721" s="0" t="str">
        <f aca="false">IF('THÁNG 10'!$C128="","",'THÁNG 10'!$S128&amp;"")</f>
        <v/>
      </c>
      <c r="T721" s="0" t="str">
        <f aca="false">IF(N($O721)&gt;0,COUNTIF($O$3:$O721,"&gt;0"),"")</f>
        <v/>
      </c>
      <c r="U721" s="0" t="str">
        <f aca="false">IF(AND(N($J721)&gt;0,N($K721)&gt;0),COUNTIFS($J$3:$J721,"&gt;0",$K$3:$K721,"&gt;0"),"")</f>
        <v/>
      </c>
      <c r="V721" s="0" t="str">
        <f aca="false">IF(AND(N($J721)&gt;0,N($K721)=0),COUNTIFS($J$3:$J721,"&gt;0",$K$3:$K721,"&lt;=0"),"")</f>
        <v/>
      </c>
      <c r="W721" s="0" t="str">
        <f aca="false">IF($C721="","",IF(COUNTIF($C$3:$C721,$C721)&gt;1,"",MAX($W$2:W720)+1))</f>
        <v/>
      </c>
      <c r="X721" s="0" t="str">
        <f aca="false">IF($H721="","",IF(COUNTIF($H$3:$H721,$H721)&gt;1,"",MAX($X$2:X720)+1))</f>
        <v/>
      </c>
      <c r="Y721" s="0" t="str">
        <f aca="false">IF(AND(N($M721)&gt;0,N($O721)&lt;=0),COUNTIFS($M$3:$M721,"&gt;0",$O$3:$O721,"&lt;=0"),"")</f>
        <v/>
      </c>
      <c r="Z721" s="30" t="n">
        <f aca="false">IF(OR('THÁNG 10'!$C128="",'THÁNG 10'!$B128=""),0,'THÁNG 10'!$B128)</f>
        <v>0</v>
      </c>
    </row>
    <row r="722" customFormat="false" ht="15" hidden="false" customHeight="false" outlineLevel="0" collapsed="false">
      <c r="A722" s="0" t="n">
        <v>10</v>
      </c>
      <c r="B722" s="29" t="str">
        <f aca="false">IF(OR('THÁNG 10'!$C129="",'THÁNG 10'!$B129=""),"",'THÁNG 10'!$B129)</f>
        <v/>
      </c>
      <c r="C722" s="0" t="str">
        <f aca="false">IF('THÁNG 10'!$C129="","",'THÁNG 10'!$C129)</f>
        <v/>
      </c>
      <c r="D722" s="0" t="str">
        <f aca="false">IF('THÁNG 10'!$C129="","",'THÁNG 10'!$D129&amp;"")</f>
        <v/>
      </c>
      <c r="E722" s="0" t="str">
        <f aca="false">IF('THÁNG 10'!$C129="","",'THÁNG 10'!$E129&amp;"")</f>
        <v/>
      </c>
      <c r="F722" s="0" t="str">
        <f aca="false">IF('THÁNG 10'!$C129="","",'THÁNG 10'!$F129&amp;"")</f>
        <v/>
      </c>
      <c r="G722" s="0" t="str">
        <f aca="false">IF('THÁNG 10'!$C129="","",'THÁNG 10'!$G129&amp;"")</f>
        <v/>
      </c>
      <c r="H722" s="0" t="str">
        <f aca="false">IF('THÁNG 10'!$C129="","",'THÁNG 10'!$H129&amp;"")</f>
        <v/>
      </c>
      <c r="I722" s="0" t="str">
        <f aca="false">IF('THÁNG 10'!$C129="","",N('THÁNG 10'!$I129))</f>
        <v/>
      </c>
      <c r="J722" s="0" t="str">
        <f aca="false">IF('THÁNG 10'!$C129="","",N('THÁNG 10'!$L129))</f>
        <v/>
      </c>
      <c r="K722" s="0" t="str">
        <f aca="false">IF('THÁNG 10'!$C129="","",N('THÁNG 10'!$N129))</f>
        <v/>
      </c>
      <c r="L722" s="0" t="str">
        <f aca="false">IF('THÁNG 10'!$C129="","",N('THÁNG 10'!$O129))</f>
        <v/>
      </c>
      <c r="M722" s="0" t="str">
        <f aca="false">IF('THÁNG 10'!$C129="","",N('THÁNG 10'!$P129))</f>
        <v/>
      </c>
      <c r="N722" s="0" t="str">
        <f aca="false">IF('THÁNG 10'!$C129="","",N('THÁNG 10'!$Q129))</f>
        <v/>
      </c>
      <c r="O722" s="0" t="str">
        <f aca="false">IF('THÁNG 10'!$C129="","",N('THÁNG 10'!$R129))</f>
        <v/>
      </c>
      <c r="P722" s="0" t="str">
        <f aca="false">IF(OR('THÁNG 10'!$C129="",'THÁNG 10'!$T129=""),"",'THÁNG 10'!$T129)</f>
        <v/>
      </c>
      <c r="Q722" s="0" t="str">
        <f aca="false">IF(OR('THÁNG 10'!$C129="",'THÁNG 10'!$U129=""),"",'THÁNG 10'!$U129)</f>
        <v/>
      </c>
      <c r="R722" s="0" t="str">
        <f aca="false">IF('THÁNG 10'!$C129="","",'THÁNG 10'!$W129&amp;"")</f>
        <v/>
      </c>
      <c r="S722" s="0" t="str">
        <f aca="false">IF('THÁNG 10'!$C129="","",'THÁNG 10'!$S129&amp;"")</f>
        <v/>
      </c>
      <c r="T722" s="0" t="str">
        <f aca="false">IF(N($O722)&gt;0,COUNTIF($O$3:$O722,"&gt;0"),"")</f>
        <v/>
      </c>
      <c r="U722" s="0" t="str">
        <f aca="false">IF(AND(N($J722)&gt;0,N($K722)&gt;0),COUNTIFS($J$3:$J722,"&gt;0",$K$3:$K722,"&gt;0"),"")</f>
        <v/>
      </c>
      <c r="V722" s="0" t="str">
        <f aca="false">IF(AND(N($J722)&gt;0,N($K722)=0),COUNTIFS($J$3:$J722,"&gt;0",$K$3:$K722,"&lt;=0"),"")</f>
        <v/>
      </c>
      <c r="W722" s="0" t="str">
        <f aca="false">IF($C722="","",IF(COUNTIF($C$3:$C722,$C722)&gt;1,"",MAX($W$2:W721)+1))</f>
        <v/>
      </c>
      <c r="X722" s="0" t="str">
        <f aca="false">IF($H722="","",IF(COUNTIF($H$3:$H722,$H722)&gt;1,"",MAX($X$2:X721)+1))</f>
        <v/>
      </c>
      <c r="Y722" s="0" t="str">
        <f aca="false">IF(AND(N($M722)&gt;0,N($O722)&lt;=0),COUNTIFS($M$3:$M722,"&gt;0",$O$3:$O722,"&lt;=0"),"")</f>
        <v/>
      </c>
      <c r="Z722" s="30" t="n">
        <f aca="false">IF(OR('THÁNG 10'!$C129="",'THÁNG 10'!$B129=""),0,'THÁNG 10'!$B129)</f>
        <v>0</v>
      </c>
    </row>
    <row r="723" customFormat="false" ht="15" hidden="false" customHeight="false" outlineLevel="0" collapsed="false">
      <c r="A723" s="0" t="n">
        <v>10</v>
      </c>
      <c r="B723" s="29" t="str">
        <f aca="false">IF(OR('THÁNG 10'!$C130="",'THÁNG 10'!$B130=""),"",'THÁNG 10'!$B130)</f>
        <v/>
      </c>
      <c r="C723" s="0" t="str">
        <f aca="false">IF('THÁNG 10'!$C130="","",'THÁNG 10'!$C130)</f>
        <v/>
      </c>
      <c r="D723" s="0" t="str">
        <f aca="false">IF('THÁNG 10'!$C130="","",'THÁNG 10'!$D130&amp;"")</f>
        <v/>
      </c>
      <c r="E723" s="0" t="str">
        <f aca="false">IF('THÁNG 10'!$C130="","",'THÁNG 10'!$E130&amp;"")</f>
        <v/>
      </c>
      <c r="F723" s="0" t="str">
        <f aca="false">IF('THÁNG 10'!$C130="","",'THÁNG 10'!$F130&amp;"")</f>
        <v/>
      </c>
      <c r="G723" s="0" t="str">
        <f aca="false">IF('THÁNG 10'!$C130="","",'THÁNG 10'!$G130&amp;"")</f>
        <v/>
      </c>
      <c r="H723" s="0" t="str">
        <f aca="false">IF('THÁNG 10'!$C130="","",'THÁNG 10'!$H130&amp;"")</f>
        <v/>
      </c>
      <c r="I723" s="0" t="str">
        <f aca="false">IF('THÁNG 10'!$C130="","",N('THÁNG 10'!$I130))</f>
        <v/>
      </c>
      <c r="J723" s="0" t="str">
        <f aca="false">IF('THÁNG 10'!$C130="","",N('THÁNG 10'!$L130))</f>
        <v/>
      </c>
      <c r="K723" s="0" t="str">
        <f aca="false">IF('THÁNG 10'!$C130="","",N('THÁNG 10'!$N130))</f>
        <v/>
      </c>
      <c r="L723" s="0" t="str">
        <f aca="false">IF('THÁNG 10'!$C130="","",N('THÁNG 10'!$O130))</f>
        <v/>
      </c>
      <c r="M723" s="0" t="str">
        <f aca="false">IF('THÁNG 10'!$C130="","",N('THÁNG 10'!$P130))</f>
        <v/>
      </c>
      <c r="N723" s="0" t="str">
        <f aca="false">IF('THÁNG 10'!$C130="","",N('THÁNG 10'!$Q130))</f>
        <v/>
      </c>
      <c r="O723" s="0" t="str">
        <f aca="false">IF('THÁNG 10'!$C130="","",N('THÁNG 10'!$R130))</f>
        <v/>
      </c>
      <c r="P723" s="0" t="str">
        <f aca="false">IF(OR('THÁNG 10'!$C130="",'THÁNG 10'!$T130=""),"",'THÁNG 10'!$T130)</f>
        <v/>
      </c>
      <c r="Q723" s="0" t="str">
        <f aca="false">IF(OR('THÁNG 10'!$C130="",'THÁNG 10'!$U130=""),"",'THÁNG 10'!$U130)</f>
        <v/>
      </c>
      <c r="R723" s="0" t="str">
        <f aca="false">IF('THÁNG 10'!$C130="","",'THÁNG 10'!$W130&amp;"")</f>
        <v/>
      </c>
      <c r="S723" s="0" t="str">
        <f aca="false">IF('THÁNG 10'!$C130="","",'THÁNG 10'!$S130&amp;"")</f>
        <v/>
      </c>
      <c r="T723" s="0" t="str">
        <f aca="false">IF(N($O723)&gt;0,COUNTIF($O$3:$O723,"&gt;0"),"")</f>
        <v/>
      </c>
      <c r="U723" s="0" t="str">
        <f aca="false">IF(AND(N($J723)&gt;0,N($K723)&gt;0),COUNTIFS($J$3:$J723,"&gt;0",$K$3:$K723,"&gt;0"),"")</f>
        <v/>
      </c>
      <c r="V723" s="0" t="str">
        <f aca="false">IF(AND(N($J723)&gt;0,N($K723)=0),COUNTIFS($J$3:$J723,"&gt;0",$K$3:$K723,"&lt;=0"),"")</f>
        <v/>
      </c>
      <c r="W723" s="0" t="str">
        <f aca="false">IF($C723="","",IF(COUNTIF($C$3:$C723,$C723)&gt;1,"",MAX($W$2:W722)+1))</f>
        <v/>
      </c>
      <c r="X723" s="0" t="str">
        <f aca="false">IF($H723="","",IF(COUNTIF($H$3:$H723,$H723)&gt;1,"",MAX($X$2:X722)+1))</f>
        <v/>
      </c>
      <c r="Y723" s="0" t="str">
        <f aca="false">IF(AND(N($M723)&gt;0,N($O723)&lt;=0),COUNTIFS($M$3:$M723,"&gt;0",$O$3:$O723,"&lt;=0"),"")</f>
        <v/>
      </c>
      <c r="Z723" s="30" t="n">
        <f aca="false">IF(OR('THÁNG 10'!$C130="",'THÁNG 10'!$B130=""),0,'THÁNG 10'!$B130)</f>
        <v>0</v>
      </c>
    </row>
    <row r="724" customFormat="false" ht="15" hidden="false" customHeight="false" outlineLevel="0" collapsed="false">
      <c r="A724" s="0" t="n">
        <v>10</v>
      </c>
      <c r="B724" s="29" t="str">
        <f aca="false">IF(OR('THÁNG 10'!$C131="",'THÁNG 10'!$B131=""),"",'THÁNG 10'!$B131)</f>
        <v/>
      </c>
      <c r="C724" s="0" t="str">
        <f aca="false">IF('THÁNG 10'!$C131="","",'THÁNG 10'!$C131)</f>
        <v/>
      </c>
      <c r="D724" s="0" t="str">
        <f aca="false">IF('THÁNG 10'!$C131="","",'THÁNG 10'!$D131&amp;"")</f>
        <v/>
      </c>
      <c r="E724" s="0" t="str">
        <f aca="false">IF('THÁNG 10'!$C131="","",'THÁNG 10'!$E131&amp;"")</f>
        <v/>
      </c>
      <c r="F724" s="0" t="str">
        <f aca="false">IF('THÁNG 10'!$C131="","",'THÁNG 10'!$F131&amp;"")</f>
        <v/>
      </c>
      <c r="G724" s="0" t="str">
        <f aca="false">IF('THÁNG 10'!$C131="","",'THÁNG 10'!$G131&amp;"")</f>
        <v/>
      </c>
      <c r="H724" s="0" t="str">
        <f aca="false">IF('THÁNG 10'!$C131="","",'THÁNG 10'!$H131&amp;"")</f>
        <v/>
      </c>
      <c r="I724" s="0" t="str">
        <f aca="false">IF('THÁNG 10'!$C131="","",N('THÁNG 10'!$I131))</f>
        <v/>
      </c>
      <c r="J724" s="0" t="str">
        <f aca="false">IF('THÁNG 10'!$C131="","",N('THÁNG 10'!$L131))</f>
        <v/>
      </c>
      <c r="K724" s="0" t="str">
        <f aca="false">IF('THÁNG 10'!$C131="","",N('THÁNG 10'!$N131))</f>
        <v/>
      </c>
      <c r="L724" s="0" t="str">
        <f aca="false">IF('THÁNG 10'!$C131="","",N('THÁNG 10'!$O131))</f>
        <v/>
      </c>
      <c r="M724" s="0" t="str">
        <f aca="false">IF('THÁNG 10'!$C131="","",N('THÁNG 10'!$P131))</f>
        <v/>
      </c>
      <c r="N724" s="0" t="str">
        <f aca="false">IF('THÁNG 10'!$C131="","",N('THÁNG 10'!$Q131))</f>
        <v/>
      </c>
      <c r="O724" s="0" t="str">
        <f aca="false">IF('THÁNG 10'!$C131="","",N('THÁNG 10'!$R131))</f>
        <v/>
      </c>
      <c r="P724" s="0" t="str">
        <f aca="false">IF(OR('THÁNG 10'!$C131="",'THÁNG 10'!$T131=""),"",'THÁNG 10'!$T131)</f>
        <v/>
      </c>
      <c r="Q724" s="0" t="str">
        <f aca="false">IF(OR('THÁNG 10'!$C131="",'THÁNG 10'!$U131=""),"",'THÁNG 10'!$U131)</f>
        <v/>
      </c>
      <c r="R724" s="0" t="str">
        <f aca="false">IF('THÁNG 10'!$C131="","",'THÁNG 10'!$W131&amp;"")</f>
        <v/>
      </c>
      <c r="S724" s="0" t="str">
        <f aca="false">IF('THÁNG 10'!$C131="","",'THÁNG 10'!$S131&amp;"")</f>
        <v/>
      </c>
      <c r="T724" s="0" t="str">
        <f aca="false">IF(N($O724)&gt;0,COUNTIF($O$3:$O724,"&gt;0"),"")</f>
        <v/>
      </c>
      <c r="U724" s="0" t="str">
        <f aca="false">IF(AND(N($J724)&gt;0,N($K724)&gt;0),COUNTIFS($J$3:$J724,"&gt;0",$K$3:$K724,"&gt;0"),"")</f>
        <v/>
      </c>
      <c r="V724" s="0" t="str">
        <f aca="false">IF(AND(N($J724)&gt;0,N($K724)=0),COUNTIFS($J$3:$J724,"&gt;0",$K$3:$K724,"&lt;=0"),"")</f>
        <v/>
      </c>
      <c r="W724" s="0" t="str">
        <f aca="false">IF($C724="","",IF(COUNTIF($C$3:$C724,$C724)&gt;1,"",MAX($W$2:W723)+1))</f>
        <v/>
      </c>
      <c r="X724" s="0" t="str">
        <f aca="false">IF($H724="","",IF(COUNTIF($H$3:$H724,$H724)&gt;1,"",MAX($X$2:X723)+1))</f>
        <v/>
      </c>
      <c r="Y724" s="0" t="str">
        <f aca="false">IF(AND(N($M724)&gt;0,N($O724)&lt;=0),COUNTIFS($M$3:$M724,"&gt;0",$O$3:$O724,"&lt;=0"),"")</f>
        <v/>
      </c>
      <c r="Z724" s="30" t="n">
        <f aca="false">IF(OR('THÁNG 10'!$C131="",'THÁNG 10'!$B131=""),0,'THÁNG 10'!$B131)</f>
        <v>0</v>
      </c>
    </row>
    <row r="725" customFormat="false" ht="15" hidden="false" customHeight="false" outlineLevel="0" collapsed="false">
      <c r="A725" s="0" t="n">
        <v>10</v>
      </c>
      <c r="B725" s="29" t="str">
        <f aca="false">IF(OR('THÁNG 10'!$C132="",'THÁNG 10'!$B132=""),"",'THÁNG 10'!$B132)</f>
        <v/>
      </c>
      <c r="C725" s="0" t="str">
        <f aca="false">IF('THÁNG 10'!$C132="","",'THÁNG 10'!$C132)</f>
        <v/>
      </c>
      <c r="D725" s="0" t="str">
        <f aca="false">IF('THÁNG 10'!$C132="","",'THÁNG 10'!$D132&amp;"")</f>
        <v/>
      </c>
      <c r="E725" s="0" t="str">
        <f aca="false">IF('THÁNG 10'!$C132="","",'THÁNG 10'!$E132&amp;"")</f>
        <v/>
      </c>
      <c r="F725" s="0" t="str">
        <f aca="false">IF('THÁNG 10'!$C132="","",'THÁNG 10'!$F132&amp;"")</f>
        <v/>
      </c>
      <c r="G725" s="0" t="str">
        <f aca="false">IF('THÁNG 10'!$C132="","",'THÁNG 10'!$G132&amp;"")</f>
        <v/>
      </c>
      <c r="H725" s="0" t="str">
        <f aca="false">IF('THÁNG 10'!$C132="","",'THÁNG 10'!$H132&amp;"")</f>
        <v/>
      </c>
      <c r="I725" s="0" t="str">
        <f aca="false">IF('THÁNG 10'!$C132="","",N('THÁNG 10'!$I132))</f>
        <v/>
      </c>
      <c r="J725" s="0" t="str">
        <f aca="false">IF('THÁNG 10'!$C132="","",N('THÁNG 10'!$L132))</f>
        <v/>
      </c>
      <c r="K725" s="0" t="str">
        <f aca="false">IF('THÁNG 10'!$C132="","",N('THÁNG 10'!$N132))</f>
        <v/>
      </c>
      <c r="L725" s="0" t="str">
        <f aca="false">IF('THÁNG 10'!$C132="","",N('THÁNG 10'!$O132))</f>
        <v/>
      </c>
      <c r="M725" s="0" t="str">
        <f aca="false">IF('THÁNG 10'!$C132="","",N('THÁNG 10'!$P132))</f>
        <v/>
      </c>
      <c r="N725" s="0" t="str">
        <f aca="false">IF('THÁNG 10'!$C132="","",N('THÁNG 10'!$Q132))</f>
        <v/>
      </c>
      <c r="O725" s="0" t="str">
        <f aca="false">IF('THÁNG 10'!$C132="","",N('THÁNG 10'!$R132))</f>
        <v/>
      </c>
      <c r="P725" s="0" t="str">
        <f aca="false">IF(OR('THÁNG 10'!$C132="",'THÁNG 10'!$T132=""),"",'THÁNG 10'!$T132)</f>
        <v/>
      </c>
      <c r="Q725" s="0" t="str">
        <f aca="false">IF(OR('THÁNG 10'!$C132="",'THÁNG 10'!$U132=""),"",'THÁNG 10'!$U132)</f>
        <v/>
      </c>
      <c r="R725" s="0" t="str">
        <f aca="false">IF('THÁNG 10'!$C132="","",'THÁNG 10'!$W132&amp;"")</f>
        <v/>
      </c>
      <c r="S725" s="0" t="str">
        <f aca="false">IF('THÁNG 10'!$C132="","",'THÁNG 10'!$S132&amp;"")</f>
        <v/>
      </c>
      <c r="T725" s="0" t="str">
        <f aca="false">IF(N($O725)&gt;0,COUNTIF($O$3:$O725,"&gt;0"),"")</f>
        <v/>
      </c>
      <c r="U725" s="0" t="str">
        <f aca="false">IF(AND(N($J725)&gt;0,N($K725)&gt;0),COUNTIFS($J$3:$J725,"&gt;0",$K$3:$K725,"&gt;0"),"")</f>
        <v/>
      </c>
      <c r="V725" s="0" t="str">
        <f aca="false">IF(AND(N($J725)&gt;0,N($K725)=0),COUNTIFS($J$3:$J725,"&gt;0",$K$3:$K725,"&lt;=0"),"")</f>
        <v/>
      </c>
      <c r="W725" s="0" t="str">
        <f aca="false">IF($C725="","",IF(COUNTIF($C$3:$C725,$C725)&gt;1,"",MAX($W$2:W724)+1))</f>
        <v/>
      </c>
      <c r="X725" s="0" t="str">
        <f aca="false">IF($H725="","",IF(COUNTIF($H$3:$H725,$H725)&gt;1,"",MAX($X$2:X724)+1))</f>
        <v/>
      </c>
      <c r="Y725" s="0" t="str">
        <f aca="false">IF(AND(N($M725)&gt;0,N($O725)&lt;=0),COUNTIFS($M$3:$M725,"&gt;0",$O$3:$O725,"&lt;=0"),"")</f>
        <v/>
      </c>
      <c r="Z725" s="30" t="n">
        <f aca="false">IF(OR('THÁNG 10'!$C132="",'THÁNG 10'!$B132=""),0,'THÁNG 10'!$B132)</f>
        <v>0</v>
      </c>
    </row>
    <row r="726" customFormat="false" ht="15" hidden="false" customHeight="false" outlineLevel="0" collapsed="false">
      <c r="A726" s="0" t="n">
        <v>10</v>
      </c>
      <c r="B726" s="29" t="str">
        <f aca="false">IF(OR('THÁNG 10'!$C133="",'THÁNG 10'!$B133=""),"",'THÁNG 10'!$B133)</f>
        <v/>
      </c>
      <c r="C726" s="0" t="str">
        <f aca="false">IF('THÁNG 10'!$C133="","",'THÁNG 10'!$C133)</f>
        <v/>
      </c>
      <c r="D726" s="0" t="str">
        <f aca="false">IF('THÁNG 10'!$C133="","",'THÁNG 10'!$D133&amp;"")</f>
        <v/>
      </c>
      <c r="E726" s="0" t="str">
        <f aca="false">IF('THÁNG 10'!$C133="","",'THÁNG 10'!$E133&amp;"")</f>
        <v/>
      </c>
      <c r="F726" s="0" t="str">
        <f aca="false">IF('THÁNG 10'!$C133="","",'THÁNG 10'!$F133&amp;"")</f>
        <v/>
      </c>
      <c r="G726" s="0" t="str">
        <f aca="false">IF('THÁNG 10'!$C133="","",'THÁNG 10'!$G133&amp;"")</f>
        <v/>
      </c>
      <c r="H726" s="0" t="str">
        <f aca="false">IF('THÁNG 10'!$C133="","",'THÁNG 10'!$H133&amp;"")</f>
        <v/>
      </c>
      <c r="I726" s="0" t="str">
        <f aca="false">IF('THÁNG 10'!$C133="","",N('THÁNG 10'!$I133))</f>
        <v/>
      </c>
      <c r="J726" s="0" t="str">
        <f aca="false">IF('THÁNG 10'!$C133="","",N('THÁNG 10'!$L133))</f>
        <v/>
      </c>
      <c r="K726" s="0" t="str">
        <f aca="false">IF('THÁNG 10'!$C133="","",N('THÁNG 10'!$N133))</f>
        <v/>
      </c>
      <c r="L726" s="0" t="str">
        <f aca="false">IF('THÁNG 10'!$C133="","",N('THÁNG 10'!$O133))</f>
        <v/>
      </c>
      <c r="M726" s="0" t="str">
        <f aca="false">IF('THÁNG 10'!$C133="","",N('THÁNG 10'!$P133))</f>
        <v/>
      </c>
      <c r="N726" s="0" t="str">
        <f aca="false">IF('THÁNG 10'!$C133="","",N('THÁNG 10'!$Q133))</f>
        <v/>
      </c>
      <c r="O726" s="0" t="str">
        <f aca="false">IF('THÁNG 10'!$C133="","",N('THÁNG 10'!$R133))</f>
        <v/>
      </c>
      <c r="P726" s="0" t="str">
        <f aca="false">IF(OR('THÁNG 10'!$C133="",'THÁNG 10'!$T133=""),"",'THÁNG 10'!$T133)</f>
        <v/>
      </c>
      <c r="Q726" s="0" t="str">
        <f aca="false">IF(OR('THÁNG 10'!$C133="",'THÁNG 10'!$U133=""),"",'THÁNG 10'!$U133)</f>
        <v/>
      </c>
      <c r="R726" s="0" t="str">
        <f aca="false">IF('THÁNG 10'!$C133="","",'THÁNG 10'!$W133&amp;"")</f>
        <v/>
      </c>
      <c r="S726" s="0" t="str">
        <f aca="false">IF('THÁNG 10'!$C133="","",'THÁNG 10'!$S133&amp;"")</f>
        <v/>
      </c>
      <c r="T726" s="0" t="str">
        <f aca="false">IF(N($O726)&gt;0,COUNTIF($O$3:$O726,"&gt;0"),"")</f>
        <v/>
      </c>
      <c r="U726" s="0" t="str">
        <f aca="false">IF(AND(N($J726)&gt;0,N($K726)&gt;0),COUNTIFS($J$3:$J726,"&gt;0",$K$3:$K726,"&gt;0"),"")</f>
        <v/>
      </c>
      <c r="V726" s="0" t="str">
        <f aca="false">IF(AND(N($J726)&gt;0,N($K726)=0),COUNTIFS($J$3:$J726,"&gt;0",$K$3:$K726,"&lt;=0"),"")</f>
        <v/>
      </c>
      <c r="W726" s="0" t="str">
        <f aca="false">IF($C726="","",IF(COUNTIF($C$3:$C726,$C726)&gt;1,"",MAX($W$2:W725)+1))</f>
        <v/>
      </c>
      <c r="X726" s="0" t="str">
        <f aca="false">IF($H726="","",IF(COUNTIF($H$3:$H726,$H726)&gt;1,"",MAX($X$2:X725)+1))</f>
        <v/>
      </c>
      <c r="Y726" s="0" t="str">
        <f aca="false">IF(AND(N($M726)&gt;0,N($O726)&lt;=0),COUNTIFS($M$3:$M726,"&gt;0",$O$3:$O726,"&lt;=0"),"")</f>
        <v/>
      </c>
      <c r="Z726" s="30" t="n">
        <f aca="false">IF(OR('THÁNG 10'!$C133="",'THÁNG 10'!$B133=""),0,'THÁNG 10'!$B133)</f>
        <v>0</v>
      </c>
    </row>
    <row r="727" customFormat="false" ht="15" hidden="false" customHeight="false" outlineLevel="0" collapsed="false">
      <c r="A727" s="0" t="n">
        <v>10</v>
      </c>
      <c r="B727" s="29" t="str">
        <f aca="false">IF(OR('THÁNG 10'!$C134="",'THÁNG 10'!$B134=""),"",'THÁNG 10'!$B134)</f>
        <v/>
      </c>
      <c r="C727" s="0" t="str">
        <f aca="false">IF('THÁNG 10'!$C134="","",'THÁNG 10'!$C134)</f>
        <v/>
      </c>
      <c r="D727" s="0" t="str">
        <f aca="false">IF('THÁNG 10'!$C134="","",'THÁNG 10'!$D134&amp;"")</f>
        <v/>
      </c>
      <c r="E727" s="0" t="str">
        <f aca="false">IF('THÁNG 10'!$C134="","",'THÁNG 10'!$E134&amp;"")</f>
        <v/>
      </c>
      <c r="F727" s="0" t="str">
        <f aca="false">IF('THÁNG 10'!$C134="","",'THÁNG 10'!$F134&amp;"")</f>
        <v/>
      </c>
      <c r="G727" s="0" t="str">
        <f aca="false">IF('THÁNG 10'!$C134="","",'THÁNG 10'!$G134&amp;"")</f>
        <v/>
      </c>
      <c r="H727" s="0" t="str">
        <f aca="false">IF('THÁNG 10'!$C134="","",'THÁNG 10'!$H134&amp;"")</f>
        <v/>
      </c>
      <c r="I727" s="0" t="str">
        <f aca="false">IF('THÁNG 10'!$C134="","",N('THÁNG 10'!$I134))</f>
        <v/>
      </c>
      <c r="J727" s="0" t="str">
        <f aca="false">IF('THÁNG 10'!$C134="","",N('THÁNG 10'!$L134))</f>
        <v/>
      </c>
      <c r="K727" s="0" t="str">
        <f aca="false">IF('THÁNG 10'!$C134="","",N('THÁNG 10'!$N134))</f>
        <v/>
      </c>
      <c r="L727" s="0" t="str">
        <f aca="false">IF('THÁNG 10'!$C134="","",N('THÁNG 10'!$O134))</f>
        <v/>
      </c>
      <c r="M727" s="0" t="str">
        <f aca="false">IF('THÁNG 10'!$C134="","",N('THÁNG 10'!$P134))</f>
        <v/>
      </c>
      <c r="N727" s="0" t="str">
        <f aca="false">IF('THÁNG 10'!$C134="","",N('THÁNG 10'!$Q134))</f>
        <v/>
      </c>
      <c r="O727" s="0" t="str">
        <f aca="false">IF('THÁNG 10'!$C134="","",N('THÁNG 10'!$R134))</f>
        <v/>
      </c>
      <c r="P727" s="0" t="str">
        <f aca="false">IF(OR('THÁNG 10'!$C134="",'THÁNG 10'!$T134=""),"",'THÁNG 10'!$T134)</f>
        <v/>
      </c>
      <c r="Q727" s="0" t="str">
        <f aca="false">IF(OR('THÁNG 10'!$C134="",'THÁNG 10'!$U134=""),"",'THÁNG 10'!$U134)</f>
        <v/>
      </c>
      <c r="R727" s="0" t="str">
        <f aca="false">IF('THÁNG 10'!$C134="","",'THÁNG 10'!$W134&amp;"")</f>
        <v/>
      </c>
      <c r="S727" s="0" t="str">
        <f aca="false">IF('THÁNG 10'!$C134="","",'THÁNG 10'!$S134&amp;"")</f>
        <v/>
      </c>
      <c r="T727" s="0" t="str">
        <f aca="false">IF(N($O727)&gt;0,COUNTIF($O$3:$O727,"&gt;0"),"")</f>
        <v/>
      </c>
      <c r="U727" s="0" t="str">
        <f aca="false">IF(AND(N($J727)&gt;0,N($K727)&gt;0),COUNTIFS($J$3:$J727,"&gt;0",$K$3:$K727,"&gt;0"),"")</f>
        <v/>
      </c>
      <c r="V727" s="0" t="str">
        <f aca="false">IF(AND(N($J727)&gt;0,N($K727)=0),COUNTIFS($J$3:$J727,"&gt;0",$K$3:$K727,"&lt;=0"),"")</f>
        <v/>
      </c>
      <c r="W727" s="0" t="str">
        <f aca="false">IF($C727="","",IF(COUNTIF($C$3:$C727,$C727)&gt;1,"",MAX($W$2:W726)+1))</f>
        <v/>
      </c>
      <c r="X727" s="0" t="str">
        <f aca="false">IF($H727="","",IF(COUNTIF($H$3:$H727,$H727)&gt;1,"",MAX($X$2:X726)+1))</f>
        <v/>
      </c>
      <c r="Y727" s="0" t="str">
        <f aca="false">IF(AND(N($M727)&gt;0,N($O727)&lt;=0),COUNTIFS($M$3:$M727,"&gt;0",$O$3:$O727,"&lt;=0"),"")</f>
        <v/>
      </c>
      <c r="Z727" s="30" t="n">
        <f aca="false">IF(OR('THÁNG 10'!$C134="",'THÁNG 10'!$B134=""),0,'THÁNG 10'!$B134)</f>
        <v>0</v>
      </c>
    </row>
    <row r="728" customFormat="false" ht="15" hidden="false" customHeight="false" outlineLevel="0" collapsed="false">
      <c r="A728" s="0" t="n">
        <v>10</v>
      </c>
      <c r="B728" s="29" t="str">
        <f aca="false">IF(OR('THÁNG 10'!$C135="",'THÁNG 10'!$B135=""),"",'THÁNG 10'!$B135)</f>
        <v/>
      </c>
      <c r="C728" s="0" t="str">
        <f aca="false">IF('THÁNG 10'!$C135="","",'THÁNG 10'!$C135)</f>
        <v/>
      </c>
      <c r="D728" s="0" t="str">
        <f aca="false">IF('THÁNG 10'!$C135="","",'THÁNG 10'!$D135&amp;"")</f>
        <v/>
      </c>
      <c r="E728" s="0" t="str">
        <f aca="false">IF('THÁNG 10'!$C135="","",'THÁNG 10'!$E135&amp;"")</f>
        <v/>
      </c>
      <c r="F728" s="0" t="str">
        <f aca="false">IF('THÁNG 10'!$C135="","",'THÁNG 10'!$F135&amp;"")</f>
        <v/>
      </c>
      <c r="G728" s="0" t="str">
        <f aca="false">IF('THÁNG 10'!$C135="","",'THÁNG 10'!$G135&amp;"")</f>
        <v/>
      </c>
      <c r="H728" s="0" t="str">
        <f aca="false">IF('THÁNG 10'!$C135="","",'THÁNG 10'!$H135&amp;"")</f>
        <v/>
      </c>
      <c r="I728" s="0" t="str">
        <f aca="false">IF('THÁNG 10'!$C135="","",N('THÁNG 10'!$I135))</f>
        <v/>
      </c>
      <c r="J728" s="0" t="str">
        <f aca="false">IF('THÁNG 10'!$C135="","",N('THÁNG 10'!$L135))</f>
        <v/>
      </c>
      <c r="K728" s="0" t="str">
        <f aca="false">IF('THÁNG 10'!$C135="","",N('THÁNG 10'!$N135))</f>
        <v/>
      </c>
      <c r="L728" s="0" t="str">
        <f aca="false">IF('THÁNG 10'!$C135="","",N('THÁNG 10'!$O135))</f>
        <v/>
      </c>
      <c r="M728" s="0" t="str">
        <f aca="false">IF('THÁNG 10'!$C135="","",N('THÁNG 10'!$P135))</f>
        <v/>
      </c>
      <c r="N728" s="0" t="str">
        <f aca="false">IF('THÁNG 10'!$C135="","",N('THÁNG 10'!$Q135))</f>
        <v/>
      </c>
      <c r="O728" s="0" t="str">
        <f aca="false">IF('THÁNG 10'!$C135="","",N('THÁNG 10'!$R135))</f>
        <v/>
      </c>
      <c r="P728" s="0" t="str">
        <f aca="false">IF(OR('THÁNG 10'!$C135="",'THÁNG 10'!$T135=""),"",'THÁNG 10'!$T135)</f>
        <v/>
      </c>
      <c r="Q728" s="0" t="str">
        <f aca="false">IF(OR('THÁNG 10'!$C135="",'THÁNG 10'!$U135=""),"",'THÁNG 10'!$U135)</f>
        <v/>
      </c>
      <c r="R728" s="0" t="str">
        <f aca="false">IF('THÁNG 10'!$C135="","",'THÁNG 10'!$W135&amp;"")</f>
        <v/>
      </c>
      <c r="S728" s="0" t="str">
        <f aca="false">IF('THÁNG 10'!$C135="","",'THÁNG 10'!$S135&amp;"")</f>
        <v/>
      </c>
      <c r="T728" s="0" t="str">
        <f aca="false">IF(N($O728)&gt;0,COUNTIF($O$3:$O728,"&gt;0"),"")</f>
        <v/>
      </c>
      <c r="U728" s="0" t="str">
        <f aca="false">IF(AND(N($J728)&gt;0,N($K728)&gt;0),COUNTIFS($J$3:$J728,"&gt;0",$K$3:$K728,"&gt;0"),"")</f>
        <v/>
      </c>
      <c r="V728" s="0" t="str">
        <f aca="false">IF(AND(N($J728)&gt;0,N($K728)=0),COUNTIFS($J$3:$J728,"&gt;0",$K$3:$K728,"&lt;=0"),"")</f>
        <v/>
      </c>
      <c r="W728" s="0" t="str">
        <f aca="false">IF($C728="","",IF(COUNTIF($C$3:$C728,$C728)&gt;1,"",MAX($W$2:W727)+1))</f>
        <v/>
      </c>
      <c r="X728" s="0" t="str">
        <f aca="false">IF($H728="","",IF(COUNTIF($H$3:$H728,$H728)&gt;1,"",MAX($X$2:X727)+1))</f>
        <v/>
      </c>
      <c r="Y728" s="0" t="str">
        <f aca="false">IF(AND(N($M728)&gt;0,N($O728)&lt;=0),COUNTIFS($M$3:$M728,"&gt;0",$O$3:$O728,"&lt;=0"),"")</f>
        <v/>
      </c>
      <c r="Z728" s="30" t="n">
        <f aca="false">IF(OR('THÁNG 10'!$C135="",'THÁNG 10'!$B135=""),0,'THÁNG 10'!$B135)</f>
        <v>0</v>
      </c>
    </row>
    <row r="729" customFormat="false" ht="15" hidden="false" customHeight="false" outlineLevel="0" collapsed="false">
      <c r="A729" s="0" t="n">
        <v>10</v>
      </c>
      <c r="B729" s="29" t="str">
        <f aca="false">IF(OR('THÁNG 10'!$C136="",'THÁNG 10'!$B136=""),"",'THÁNG 10'!$B136)</f>
        <v/>
      </c>
      <c r="C729" s="0" t="str">
        <f aca="false">IF('THÁNG 10'!$C136="","",'THÁNG 10'!$C136)</f>
        <v/>
      </c>
      <c r="D729" s="0" t="str">
        <f aca="false">IF('THÁNG 10'!$C136="","",'THÁNG 10'!$D136&amp;"")</f>
        <v/>
      </c>
      <c r="E729" s="0" t="str">
        <f aca="false">IF('THÁNG 10'!$C136="","",'THÁNG 10'!$E136&amp;"")</f>
        <v/>
      </c>
      <c r="F729" s="0" t="str">
        <f aca="false">IF('THÁNG 10'!$C136="","",'THÁNG 10'!$F136&amp;"")</f>
        <v/>
      </c>
      <c r="G729" s="0" t="str">
        <f aca="false">IF('THÁNG 10'!$C136="","",'THÁNG 10'!$G136&amp;"")</f>
        <v/>
      </c>
      <c r="H729" s="0" t="str">
        <f aca="false">IF('THÁNG 10'!$C136="","",'THÁNG 10'!$H136&amp;"")</f>
        <v/>
      </c>
      <c r="I729" s="0" t="str">
        <f aca="false">IF('THÁNG 10'!$C136="","",N('THÁNG 10'!$I136))</f>
        <v/>
      </c>
      <c r="J729" s="0" t="str">
        <f aca="false">IF('THÁNG 10'!$C136="","",N('THÁNG 10'!$L136))</f>
        <v/>
      </c>
      <c r="K729" s="0" t="str">
        <f aca="false">IF('THÁNG 10'!$C136="","",N('THÁNG 10'!$N136))</f>
        <v/>
      </c>
      <c r="L729" s="0" t="str">
        <f aca="false">IF('THÁNG 10'!$C136="","",N('THÁNG 10'!$O136))</f>
        <v/>
      </c>
      <c r="M729" s="0" t="str">
        <f aca="false">IF('THÁNG 10'!$C136="","",N('THÁNG 10'!$P136))</f>
        <v/>
      </c>
      <c r="N729" s="0" t="str">
        <f aca="false">IF('THÁNG 10'!$C136="","",N('THÁNG 10'!$Q136))</f>
        <v/>
      </c>
      <c r="O729" s="0" t="str">
        <f aca="false">IF('THÁNG 10'!$C136="","",N('THÁNG 10'!$R136))</f>
        <v/>
      </c>
      <c r="P729" s="0" t="str">
        <f aca="false">IF(OR('THÁNG 10'!$C136="",'THÁNG 10'!$T136=""),"",'THÁNG 10'!$T136)</f>
        <v/>
      </c>
      <c r="Q729" s="0" t="str">
        <f aca="false">IF(OR('THÁNG 10'!$C136="",'THÁNG 10'!$U136=""),"",'THÁNG 10'!$U136)</f>
        <v/>
      </c>
      <c r="R729" s="0" t="str">
        <f aca="false">IF('THÁNG 10'!$C136="","",'THÁNG 10'!$W136&amp;"")</f>
        <v/>
      </c>
      <c r="S729" s="0" t="str">
        <f aca="false">IF('THÁNG 10'!$C136="","",'THÁNG 10'!$S136&amp;"")</f>
        <v/>
      </c>
      <c r="T729" s="0" t="str">
        <f aca="false">IF(N($O729)&gt;0,COUNTIF($O$3:$O729,"&gt;0"),"")</f>
        <v/>
      </c>
      <c r="U729" s="0" t="str">
        <f aca="false">IF(AND(N($J729)&gt;0,N($K729)&gt;0),COUNTIFS($J$3:$J729,"&gt;0",$K$3:$K729,"&gt;0"),"")</f>
        <v/>
      </c>
      <c r="V729" s="0" t="str">
        <f aca="false">IF(AND(N($J729)&gt;0,N($K729)=0),COUNTIFS($J$3:$J729,"&gt;0",$K$3:$K729,"&lt;=0"),"")</f>
        <v/>
      </c>
      <c r="W729" s="0" t="str">
        <f aca="false">IF($C729="","",IF(COUNTIF($C$3:$C729,$C729)&gt;1,"",MAX($W$2:W728)+1))</f>
        <v/>
      </c>
      <c r="X729" s="0" t="str">
        <f aca="false">IF($H729="","",IF(COUNTIF($H$3:$H729,$H729)&gt;1,"",MAX($X$2:X728)+1))</f>
        <v/>
      </c>
      <c r="Y729" s="0" t="str">
        <f aca="false">IF(AND(N($M729)&gt;0,N($O729)&lt;=0),COUNTIFS($M$3:$M729,"&gt;0",$O$3:$O729,"&lt;=0"),"")</f>
        <v/>
      </c>
      <c r="Z729" s="30" t="n">
        <f aca="false">IF(OR('THÁNG 10'!$C136="",'THÁNG 10'!$B136=""),0,'THÁNG 10'!$B136)</f>
        <v>0</v>
      </c>
    </row>
    <row r="730" customFormat="false" ht="15" hidden="false" customHeight="false" outlineLevel="0" collapsed="false">
      <c r="A730" s="0" t="n">
        <v>10</v>
      </c>
      <c r="B730" s="29" t="str">
        <f aca="false">IF(OR('THÁNG 10'!$C137="",'THÁNG 10'!$B137=""),"",'THÁNG 10'!$B137)</f>
        <v/>
      </c>
      <c r="C730" s="0" t="str">
        <f aca="false">IF('THÁNG 10'!$C137="","",'THÁNG 10'!$C137)</f>
        <v/>
      </c>
      <c r="D730" s="0" t="str">
        <f aca="false">IF('THÁNG 10'!$C137="","",'THÁNG 10'!$D137&amp;"")</f>
        <v/>
      </c>
      <c r="E730" s="0" t="str">
        <f aca="false">IF('THÁNG 10'!$C137="","",'THÁNG 10'!$E137&amp;"")</f>
        <v/>
      </c>
      <c r="F730" s="0" t="str">
        <f aca="false">IF('THÁNG 10'!$C137="","",'THÁNG 10'!$F137&amp;"")</f>
        <v/>
      </c>
      <c r="G730" s="0" t="str">
        <f aca="false">IF('THÁNG 10'!$C137="","",'THÁNG 10'!$G137&amp;"")</f>
        <v/>
      </c>
      <c r="H730" s="0" t="str">
        <f aca="false">IF('THÁNG 10'!$C137="","",'THÁNG 10'!$H137&amp;"")</f>
        <v/>
      </c>
      <c r="I730" s="0" t="str">
        <f aca="false">IF('THÁNG 10'!$C137="","",N('THÁNG 10'!$I137))</f>
        <v/>
      </c>
      <c r="J730" s="0" t="str">
        <f aca="false">IF('THÁNG 10'!$C137="","",N('THÁNG 10'!$L137))</f>
        <v/>
      </c>
      <c r="K730" s="0" t="str">
        <f aca="false">IF('THÁNG 10'!$C137="","",N('THÁNG 10'!$N137))</f>
        <v/>
      </c>
      <c r="L730" s="0" t="str">
        <f aca="false">IF('THÁNG 10'!$C137="","",N('THÁNG 10'!$O137))</f>
        <v/>
      </c>
      <c r="M730" s="0" t="str">
        <f aca="false">IF('THÁNG 10'!$C137="","",N('THÁNG 10'!$P137))</f>
        <v/>
      </c>
      <c r="N730" s="0" t="str">
        <f aca="false">IF('THÁNG 10'!$C137="","",N('THÁNG 10'!$Q137))</f>
        <v/>
      </c>
      <c r="O730" s="0" t="str">
        <f aca="false">IF('THÁNG 10'!$C137="","",N('THÁNG 10'!$R137))</f>
        <v/>
      </c>
      <c r="P730" s="0" t="str">
        <f aca="false">IF(OR('THÁNG 10'!$C137="",'THÁNG 10'!$T137=""),"",'THÁNG 10'!$T137)</f>
        <v/>
      </c>
      <c r="Q730" s="0" t="str">
        <f aca="false">IF(OR('THÁNG 10'!$C137="",'THÁNG 10'!$U137=""),"",'THÁNG 10'!$U137)</f>
        <v/>
      </c>
      <c r="R730" s="0" t="str">
        <f aca="false">IF('THÁNG 10'!$C137="","",'THÁNG 10'!$W137&amp;"")</f>
        <v/>
      </c>
      <c r="S730" s="0" t="str">
        <f aca="false">IF('THÁNG 10'!$C137="","",'THÁNG 10'!$S137&amp;"")</f>
        <v/>
      </c>
      <c r="T730" s="0" t="str">
        <f aca="false">IF(N($O730)&gt;0,COUNTIF($O$3:$O730,"&gt;0"),"")</f>
        <v/>
      </c>
      <c r="U730" s="0" t="str">
        <f aca="false">IF(AND(N($J730)&gt;0,N($K730)&gt;0),COUNTIFS($J$3:$J730,"&gt;0",$K$3:$K730,"&gt;0"),"")</f>
        <v/>
      </c>
      <c r="V730" s="0" t="str">
        <f aca="false">IF(AND(N($J730)&gt;0,N($K730)=0),COUNTIFS($J$3:$J730,"&gt;0",$K$3:$K730,"&lt;=0"),"")</f>
        <v/>
      </c>
      <c r="W730" s="0" t="str">
        <f aca="false">IF($C730="","",IF(COUNTIF($C$3:$C730,$C730)&gt;1,"",MAX($W$2:W729)+1))</f>
        <v/>
      </c>
      <c r="X730" s="0" t="str">
        <f aca="false">IF($H730="","",IF(COUNTIF($H$3:$H730,$H730)&gt;1,"",MAX($X$2:X729)+1))</f>
        <v/>
      </c>
      <c r="Y730" s="0" t="str">
        <f aca="false">IF(AND(N($M730)&gt;0,N($O730)&lt;=0),COUNTIFS($M$3:$M730,"&gt;0",$O$3:$O730,"&lt;=0"),"")</f>
        <v/>
      </c>
      <c r="Z730" s="30" t="n">
        <f aca="false">IF(OR('THÁNG 10'!$C137="",'THÁNG 10'!$B137=""),0,'THÁNG 10'!$B137)</f>
        <v>0</v>
      </c>
    </row>
    <row r="731" customFormat="false" ht="15" hidden="false" customHeight="false" outlineLevel="0" collapsed="false">
      <c r="A731" s="0" t="n">
        <v>10</v>
      </c>
      <c r="B731" s="29" t="str">
        <f aca="false">IF(OR('THÁNG 10'!$C138="",'THÁNG 10'!$B138=""),"",'THÁNG 10'!$B138)</f>
        <v/>
      </c>
      <c r="C731" s="0" t="str">
        <f aca="false">IF('THÁNG 10'!$C138="","",'THÁNG 10'!$C138)</f>
        <v/>
      </c>
      <c r="D731" s="0" t="str">
        <f aca="false">IF('THÁNG 10'!$C138="","",'THÁNG 10'!$D138&amp;"")</f>
        <v/>
      </c>
      <c r="E731" s="0" t="str">
        <f aca="false">IF('THÁNG 10'!$C138="","",'THÁNG 10'!$E138&amp;"")</f>
        <v/>
      </c>
      <c r="F731" s="0" t="str">
        <f aca="false">IF('THÁNG 10'!$C138="","",'THÁNG 10'!$F138&amp;"")</f>
        <v/>
      </c>
      <c r="G731" s="0" t="str">
        <f aca="false">IF('THÁNG 10'!$C138="","",'THÁNG 10'!$G138&amp;"")</f>
        <v/>
      </c>
      <c r="H731" s="0" t="str">
        <f aca="false">IF('THÁNG 10'!$C138="","",'THÁNG 10'!$H138&amp;"")</f>
        <v/>
      </c>
      <c r="I731" s="0" t="str">
        <f aca="false">IF('THÁNG 10'!$C138="","",N('THÁNG 10'!$I138))</f>
        <v/>
      </c>
      <c r="J731" s="0" t="str">
        <f aca="false">IF('THÁNG 10'!$C138="","",N('THÁNG 10'!$L138))</f>
        <v/>
      </c>
      <c r="K731" s="0" t="str">
        <f aca="false">IF('THÁNG 10'!$C138="","",N('THÁNG 10'!$N138))</f>
        <v/>
      </c>
      <c r="L731" s="0" t="str">
        <f aca="false">IF('THÁNG 10'!$C138="","",N('THÁNG 10'!$O138))</f>
        <v/>
      </c>
      <c r="M731" s="0" t="str">
        <f aca="false">IF('THÁNG 10'!$C138="","",N('THÁNG 10'!$P138))</f>
        <v/>
      </c>
      <c r="N731" s="0" t="str">
        <f aca="false">IF('THÁNG 10'!$C138="","",N('THÁNG 10'!$Q138))</f>
        <v/>
      </c>
      <c r="O731" s="0" t="str">
        <f aca="false">IF('THÁNG 10'!$C138="","",N('THÁNG 10'!$R138))</f>
        <v/>
      </c>
      <c r="P731" s="0" t="str">
        <f aca="false">IF(OR('THÁNG 10'!$C138="",'THÁNG 10'!$T138=""),"",'THÁNG 10'!$T138)</f>
        <v/>
      </c>
      <c r="Q731" s="0" t="str">
        <f aca="false">IF(OR('THÁNG 10'!$C138="",'THÁNG 10'!$U138=""),"",'THÁNG 10'!$U138)</f>
        <v/>
      </c>
      <c r="R731" s="0" t="str">
        <f aca="false">IF('THÁNG 10'!$C138="","",'THÁNG 10'!$W138&amp;"")</f>
        <v/>
      </c>
      <c r="S731" s="0" t="str">
        <f aca="false">IF('THÁNG 10'!$C138="","",'THÁNG 10'!$S138&amp;"")</f>
        <v/>
      </c>
      <c r="T731" s="0" t="str">
        <f aca="false">IF(N($O731)&gt;0,COUNTIF($O$3:$O731,"&gt;0"),"")</f>
        <v/>
      </c>
      <c r="U731" s="0" t="str">
        <f aca="false">IF(AND(N($J731)&gt;0,N($K731)&gt;0),COUNTIFS($J$3:$J731,"&gt;0",$K$3:$K731,"&gt;0"),"")</f>
        <v/>
      </c>
      <c r="V731" s="0" t="str">
        <f aca="false">IF(AND(N($J731)&gt;0,N($K731)=0),COUNTIFS($J$3:$J731,"&gt;0",$K$3:$K731,"&lt;=0"),"")</f>
        <v/>
      </c>
      <c r="W731" s="0" t="str">
        <f aca="false">IF($C731="","",IF(COUNTIF($C$3:$C731,$C731)&gt;1,"",MAX($W$2:W730)+1))</f>
        <v/>
      </c>
      <c r="X731" s="0" t="str">
        <f aca="false">IF($H731="","",IF(COUNTIF($H$3:$H731,$H731)&gt;1,"",MAX($X$2:X730)+1))</f>
        <v/>
      </c>
      <c r="Y731" s="0" t="str">
        <f aca="false">IF(AND(N($M731)&gt;0,N($O731)&lt;=0),COUNTIFS($M$3:$M731,"&gt;0",$O$3:$O731,"&lt;=0"),"")</f>
        <v/>
      </c>
      <c r="Z731" s="30" t="n">
        <f aca="false">IF(OR('THÁNG 10'!$C138="",'THÁNG 10'!$B138=""),0,'THÁNG 10'!$B138)</f>
        <v>0</v>
      </c>
    </row>
    <row r="732" customFormat="false" ht="15" hidden="false" customHeight="false" outlineLevel="0" collapsed="false">
      <c r="A732" s="0" t="n">
        <v>10</v>
      </c>
      <c r="B732" s="29" t="str">
        <f aca="false">IF(OR('THÁNG 10'!$C139="",'THÁNG 10'!$B139=""),"",'THÁNG 10'!$B139)</f>
        <v/>
      </c>
      <c r="C732" s="0" t="str">
        <f aca="false">IF('THÁNG 10'!$C139="","",'THÁNG 10'!$C139)</f>
        <v/>
      </c>
      <c r="D732" s="0" t="str">
        <f aca="false">IF('THÁNG 10'!$C139="","",'THÁNG 10'!$D139&amp;"")</f>
        <v/>
      </c>
      <c r="E732" s="0" t="str">
        <f aca="false">IF('THÁNG 10'!$C139="","",'THÁNG 10'!$E139&amp;"")</f>
        <v/>
      </c>
      <c r="F732" s="0" t="str">
        <f aca="false">IF('THÁNG 10'!$C139="","",'THÁNG 10'!$F139&amp;"")</f>
        <v/>
      </c>
      <c r="G732" s="0" t="str">
        <f aca="false">IF('THÁNG 10'!$C139="","",'THÁNG 10'!$G139&amp;"")</f>
        <v/>
      </c>
      <c r="H732" s="0" t="str">
        <f aca="false">IF('THÁNG 10'!$C139="","",'THÁNG 10'!$H139&amp;"")</f>
        <v/>
      </c>
      <c r="I732" s="0" t="str">
        <f aca="false">IF('THÁNG 10'!$C139="","",N('THÁNG 10'!$I139))</f>
        <v/>
      </c>
      <c r="J732" s="0" t="str">
        <f aca="false">IF('THÁNG 10'!$C139="","",N('THÁNG 10'!$L139))</f>
        <v/>
      </c>
      <c r="K732" s="0" t="str">
        <f aca="false">IF('THÁNG 10'!$C139="","",N('THÁNG 10'!$N139))</f>
        <v/>
      </c>
      <c r="L732" s="0" t="str">
        <f aca="false">IF('THÁNG 10'!$C139="","",N('THÁNG 10'!$O139))</f>
        <v/>
      </c>
      <c r="M732" s="0" t="str">
        <f aca="false">IF('THÁNG 10'!$C139="","",N('THÁNG 10'!$P139))</f>
        <v/>
      </c>
      <c r="N732" s="0" t="str">
        <f aca="false">IF('THÁNG 10'!$C139="","",N('THÁNG 10'!$Q139))</f>
        <v/>
      </c>
      <c r="O732" s="0" t="str">
        <f aca="false">IF('THÁNG 10'!$C139="","",N('THÁNG 10'!$R139))</f>
        <v/>
      </c>
      <c r="P732" s="0" t="str">
        <f aca="false">IF(OR('THÁNG 10'!$C139="",'THÁNG 10'!$T139=""),"",'THÁNG 10'!$T139)</f>
        <v/>
      </c>
      <c r="Q732" s="0" t="str">
        <f aca="false">IF(OR('THÁNG 10'!$C139="",'THÁNG 10'!$U139=""),"",'THÁNG 10'!$U139)</f>
        <v/>
      </c>
      <c r="R732" s="0" t="str">
        <f aca="false">IF('THÁNG 10'!$C139="","",'THÁNG 10'!$W139&amp;"")</f>
        <v/>
      </c>
      <c r="S732" s="0" t="str">
        <f aca="false">IF('THÁNG 10'!$C139="","",'THÁNG 10'!$S139&amp;"")</f>
        <v/>
      </c>
      <c r="T732" s="0" t="str">
        <f aca="false">IF(N($O732)&gt;0,COUNTIF($O$3:$O732,"&gt;0"),"")</f>
        <v/>
      </c>
      <c r="U732" s="0" t="str">
        <f aca="false">IF(AND(N($J732)&gt;0,N($K732)&gt;0),COUNTIFS($J$3:$J732,"&gt;0",$K$3:$K732,"&gt;0"),"")</f>
        <v/>
      </c>
      <c r="V732" s="0" t="str">
        <f aca="false">IF(AND(N($J732)&gt;0,N($K732)=0),COUNTIFS($J$3:$J732,"&gt;0",$K$3:$K732,"&lt;=0"),"")</f>
        <v/>
      </c>
      <c r="W732" s="0" t="str">
        <f aca="false">IF($C732="","",IF(COUNTIF($C$3:$C732,$C732)&gt;1,"",MAX($W$2:W731)+1))</f>
        <v/>
      </c>
      <c r="X732" s="0" t="str">
        <f aca="false">IF($H732="","",IF(COUNTIF($H$3:$H732,$H732)&gt;1,"",MAX($X$2:X731)+1))</f>
        <v/>
      </c>
      <c r="Y732" s="0" t="str">
        <f aca="false">IF(AND(N($M732)&gt;0,N($O732)&lt;=0),COUNTIFS($M$3:$M732,"&gt;0",$O$3:$O732,"&lt;=0"),"")</f>
        <v/>
      </c>
      <c r="Z732" s="30" t="n">
        <f aca="false">IF(OR('THÁNG 10'!$C139="",'THÁNG 10'!$B139=""),0,'THÁNG 10'!$B139)</f>
        <v>0</v>
      </c>
    </row>
    <row r="733" customFormat="false" ht="15" hidden="false" customHeight="false" outlineLevel="0" collapsed="false">
      <c r="A733" s="0" t="n">
        <v>10</v>
      </c>
      <c r="B733" s="29" t="str">
        <f aca="false">IF(OR('THÁNG 10'!$C140="",'THÁNG 10'!$B140=""),"",'THÁNG 10'!$B140)</f>
        <v/>
      </c>
      <c r="C733" s="0" t="str">
        <f aca="false">IF('THÁNG 10'!$C140="","",'THÁNG 10'!$C140)</f>
        <v/>
      </c>
      <c r="D733" s="0" t="str">
        <f aca="false">IF('THÁNG 10'!$C140="","",'THÁNG 10'!$D140&amp;"")</f>
        <v/>
      </c>
      <c r="E733" s="0" t="str">
        <f aca="false">IF('THÁNG 10'!$C140="","",'THÁNG 10'!$E140&amp;"")</f>
        <v/>
      </c>
      <c r="F733" s="0" t="str">
        <f aca="false">IF('THÁNG 10'!$C140="","",'THÁNG 10'!$F140&amp;"")</f>
        <v/>
      </c>
      <c r="G733" s="0" t="str">
        <f aca="false">IF('THÁNG 10'!$C140="","",'THÁNG 10'!$G140&amp;"")</f>
        <v/>
      </c>
      <c r="H733" s="0" t="str">
        <f aca="false">IF('THÁNG 10'!$C140="","",'THÁNG 10'!$H140&amp;"")</f>
        <v/>
      </c>
      <c r="I733" s="0" t="str">
        <f aca="false">IF('THÁNG 10'!$C140="","",N('THÁNG 10'!$I140))</f>
        <v/>
      </c>
      <c r="J733" s="0" t="str">
        <f aca="false">IF('THÁNG 10'!$C140="","",N('THÁNG 10'!$L140))</f>
        <v/>
      </c>
      <c r="K733" s="0" t="str">
        <f aca="false">IF('THÁNG 10'!$C140="","",N('THÁNG 10'!$N140))</f>
        <v/>
      </c>
      <c r="L733" s="0" t="str">
        <f aca="false">IF('THÁNG 10'!$C140="","",N('THÁNG 10'!$O140))</f>
        <v/>
      </c>
      <c r="M733" s="0" t="str">
        <f aca="false">IF('THÁNG 10'!$C140="","",N('THÁNG 10'!$P140))</f>
        <v/>
      </c>
      <c r="N733" s="0" t="str">
        <f aca="false">IF('THÁNG 10'!$C140="","",N('THÁNG 10'!$Q140))</f>
        <v/>
      </c>
      <c r="O733" s="0" t="str">
        <f aca="false">IF('THÁNG 10'!$C140="","",N('THÁNG 10'!$R140))</f>
        <v/>
      </c>
      <c r="P733" s="0" t="str">
        <f aca="false">IF(OR('THÁNG 10'!$C140="",'THÁNG 10'!$T140=""),"",'THÁNG 10'!$T140)</f>
        <v/>
      </c>
      <c r="Q733" s="0" t="str">
        <f aca="false">IF(OR('THÁNG 10'!$C140="",'THÁNG 10'!$U140=""),"",'THÁNG 10'!$U140)</f>
        <v/>
      </c>
      <c r="R733" s="0" t="str">
        <f aca="false">IF('THÁNG 10'!$C140="","",'THÁNG 10'!$W140&amp;"")</f>
        <v/>
      </c>
      <c r="S733" s="0" t="str">
        <f aca="false">IF('THÁNG 10'!$C140="","",'THÁNG 10'!$S140&amp;"")</f>
        <v/>
      </c>
      <c r="T733" s="0" t="str">
        <f aca="false">IF(N($O733)&gt;0,COUNTIF($O$3:$O733,"&gt;0"),"")</f>
        <v/>
      </c>
      <c r="U733" s="0" t="str">
        <f aca="false">IF(AND(N($J733)&gt;0,N($K733)&gt;0),COUNTIFS($J$3:$J733,"&gt;0",$K$3:$K733,"&gt;0"),"")</f>
        <v/>
      </c>
      <c r="V733" s="0" t="str">
        <f aca="false">IF(AND(N($J733)&gt;0,N($K733)=0),COUNTIFS($J$3:$J733,"&gt;0",$K$3:$K733,"&lt;=0"),"")</f>
        <v/>
      </c>
      <c r="W733" s="0" t="str">
        <f aca="false">IF($C733="","",IF(COUNTIF($C$3:$C733,$C733)&gt;1,"",MAX($W$2:W732)+1))</f>
        <v/>
      </c>
      <c r="X733" s="0" t="str">
        <f aca="false">IF($H733="","",IF(COUNTIF($H$3:$H733,$H733)&gt;1,"",MAX($X$2:X732)+1))</f>
        <v/>
      </c>
      <c r="Y733" s="0" t="str">
        <f aca="false">IF(AND(N($M733)&gt;0,N($O733)&lt;=0),COUNTIFS($M$3:$M733,"&gt;0",$O$3:$O733,"&lt;=0"),"")</f>
        <v/>
      </c>
      <c r="Z733" s="30" t="n">
        <f aca="false">IF(OR('THÁNG 10'!$C140="",'THÁNG 10'!$B140=""),0,'THÁNG 10'!$B140)</f>
        <v>0</v>
      </c>
    </row>
    <row r="734" customFormat="false" ht="15" hidden="false" customHeight="false" outlineLevel="0" collapsed="false">
      <c r="A734" s="0" t="n">
        <v>10</v>
      </c>
      <c r="B734" s="29" t="str">
        <f aca="false">IF(OR('THÁNG 10'!$C141="",'THÁNG 10'!$B141=""),"",'THÁNG 10'!$B141)</f>
        <v/>
      </c>
      <c r="C734" s="0" t="str">
        <f aca="false">IF('THÁNG 10'!$C141="","",'THÁNG 10'!$C141)</f>
        <v/>
      </c>
      <c r="D734" s="0" t="str">
        <f aca="false">IF('THÁNG 10'!$C141="","",'THÁNG 10'!$D141&amp;"")</f>
        <v/>
      </c>
      <c r="E734" s="0" t="str">
        <f aca="false">IF('THÁNG 10'!$C141="","",'THÁNG 10'!$E141&amp;"")</f>
        <v/>
      </c>
      <c r="F734" s="0" t="str">
        <f aca="false">IF('THÁNG 10'!$C141="","",'THÁNG 10'!$F141&amp;"")</f>
        <v/>
      </c>
      <c r="G734" s="0" t="str">
        <f aca="false">IF('THÁNG 10'!$C141="","",'THÁNG 10'!$G141&amp;"")</f>
        <v/>
      </c>
      <c r="H734" s="0" t="str">
        <f aca="false">IF('THÁNG 10'!$C141="","",'THÁNG 10'!$H141&amp;"")</f>
        <v/>
      </c>
      <c r="I734" s="0" t="str">
        <f aca="false">IF('THÁNG 10'!$C141="","",N('THÁNG 10'!$I141))</f>
        <v/>
      </c>
      <c r="J734" s="0" t="str">
        <f aca="false">IF('THÁNG 10'!$C141="","",N('THÁNG 10'!$L141))</f>
        <v/>
      </c>
      <c r="K734" s="0" t="str">
        <f aca="false">IF('THÁNG 10'!$C141="","",N('THÁNG 10'!$N141))</f>
        <v/>
      </c>
      <c r="L734" s="0" t="str">
        <f aca="false">IF('THÁNG 10'!$C141="","",N('THÁNG 10'!$O141))</f>
        <v/>
      </c>
      <c r="M734" s="0" t="str">
        <f aca="false">IF('THÁNG 10'!$C141="","",N('THÁNG 10'!$P141))</f>
        <v/>
      </c>
      <c r="N734" s="0" t="str">
        <f aca="false">IF('THÁNG 10'!$C141="","",N('THÁNG 10'!$Q141))</f>
        <v/>
      </c>
      <c r="O734" s="0" t="str">
        <f aca="false">IF('THÁNG 10'!$C141="","",N('THÁNG 10'!$R141))</f>
        <v/>
      </c>
      <c r="P734" s="0" t="str">
        <f aca="false">IF(OR('THÁNG 10'!$C141="",'THÁNG 10'!$T141=""),"",'THÁNG 10'!$T141)</f>
        <v/>
      </c>
      <c r="Q734" s="0" t="str">
        <f aca="false">IF(OR('THÁNG 10'!$C141="",'THÁNG 10'!$U141=""),"",'THÁNG 10'!$U141)</f>
        <v/>
      </c>
      <c r="R734" s="0" t="str">
        <f aca="false">IF('THÁNG 10'!$C141="","",'THÁNG 10'!$W141&amp;"")</f>
        <v/>
      </c>
      <c r="S734" s="0" t="str">
        <f aca="false">IF('THÁNG 10'!$C141="","",'THÁNG 10'!$S141&amp;"")</f>
        <v/>
      </c>
      <c r="T734" s="0" t="str">
        <f aca="false">IF(N($O734)&gt;0,COUNTIF($O$3:$O734,"&gt;0"),"")</f>
        <v/>
      </c>
      <c r="U734" s="0" t="str">
        <f aca="false">IF(AND(N($J734)&gt;0,N($K734)&gt;0),COUNTIFS($J$3:$J734,"&gt;0",$K$3:$K734,"&gt;0"),"")</f>
        <v/>
      </c>
      <c r="V734" s="0" t="str">
        <f aca="false">IF(AND(N($J734)&gt;0,N($K734)=0),COUNTIFS($J$3:$J734,"&gt;0",$K$3:$K734,"&lt;=0"),"")</f>
        <v/>
      </c>
      <c r="W734" s="0" t="str">
        <f aca="false">IF($C734="","",IF(COUNTIF($C$3:$C734,$C734)&gt;1,"",MAX($W$2:W733)+1))</f>
        <v/>
      </c>
      <c r="X734" s="0" t="str">
        <f aca="false">IF($H734="","",IF(COUNTIF($H$3:$H734,$H734)&gt;1,"",MAX($X$2:X733)+1))</f>
        <v/>
      </c>
      <c r="Y734" s="0" t="str">
        <f aca="false">IF(AND(N($M734)&gt;0,N($O734)&lt;=0),COUNTIFS($M$3:$M734,"&gt;0",$O$3:$O734,"&lt;=0"),"")</f>
        <v/>
      </c>
      <c r="Z734" s="30" t="n">
        <f aca="false">IF(OR('THÁNG 10'!$C141="",'THÁNG 10'!$B141=""),0,'THÁNG 10'!$B141)</f>
        <v>0</v>
      </c>
    </row>
    <row r="735" customFormat="false" ht="15" hidden="false" customHeight="false" outlineLevel="0" collapsed="false">
      <c r="A735" s="0" t="n">
        <v>10</v>
      </c>
      <c r="B735" s="29" t="str">
        <f aca="false">IF(OR('THÁNG 10'!$C142="",'THÁNG 10'!$B142=""),"",'THÁNG 10'!$B142)</f>
        <v/>
      </c>
      <c r="C735" s="0" t="str">
        <f aca="false">IF('THÁNG 10'!$C142="","",'THÁNG 10'!$C142)</f>
        <v/>
      </c>
      <c r="D735" s="0" t="str">
        <f aca="false">IF('THÁNG 10'!$C142="","",'THÁNG 10'!$D142&amp;"")</f>
        <v/>
      </c>
      <c r="E735" s="0" t="str">
        <f aca="false">IF('THÁNG 10'!$C142="","",'THÁNG 10'!$E142&amp;"")</f>
        <v/>
      </c>
      <c r="F735" s="0" t="str">
        <f aca="false">IF('THÁNG 10'!$C142="","",'THÁNG 10'!$F142&amp;"")</f>
        <v/>
      </c>
      <c r="G735" s="0" t="str">
        <f aca="false">IF('THÁNG 10'!$C142="","",'THÁNG 10'!$G142&amp;"")</f>
        <v/>
      </c>
      <c r="H735" s="0" t="str">
        <f aca="false">IF('THÁNG 10'!$C142="","",'THÁNG 10'!$H142&amp;"")</f>
        <v/>
      </c>
      <c r="I735" s="0" t="str">
        <f aca="false">IF('THÁNG 10'!$C142="","",N('THÁNG 10'!$I142))</f>
        <v/>
      </c>
      <c r="J735" s="0" t="str">
        <f aca="false">IF('THÁNG 10'!$C142="","",N('THÁNG 10'!$L142))</f>
        <v/>
      </c>
      <c r="K735" s="0" t="str">
        <f aca="false">IF('THÁNG 10'!$C142="","",N('THÁNG 10'!$N142))</f>
        <v/>
      </c>
      <c r="L735" s="0" t="str">
        <f aca="false">IF('THÁNG 10'!$C142="","",N('THÁNG 10'!$O142))</f>
        <v/>
      </c>
      <c r="M735" s="0" t="str">
        <f aca="false">IF('THÁNG 10'!$C142="","",N('THÁNG 10'!$P142))</f>
        <v/>
      </c>
      <c r="N735" s="0" t="str">
        <f aca="false">IF('THÁNG 10'!$C142="","",N('THÁNG 10'!$Q142))</f>
        <v/>
      </c>
      <c r="O735" s="0" t="str">
        <f aca="false">IF('THÁNG 10'!$C142="","",N('THÁNG 10'!$R142))</f>
        <v/>
      </c>
      <c r="P735" s="0" t="str">
        <f aca="false">IF(OR('THÁNG 10'!$C142="",'THÁNG 10'!$T142=""),"",'THÁNG 10'!$T142)</f>
        <v/>
      </c>
      <c r="Q735" s="0" t="str">
        <f aca="false">IF(OR('THÁNG 10'!$C142="",'THÁNG 10'!$U142=""),"",'THÁNG 10'!$U142)</f>
        <v/>
      </c>
      <c r="R735" s="0" t="str">
        <f aca="false">IF('THÁNG 10'!$C142="","",'THÁNG 10'!$W142&amp;"")</f>
        <v/>
      </c>
      <c r="S735" s="0" t="str">
        <f aca="false">IF('THÁNG 10'!$C142="","",'THÁNG 10'!$S142&amp;"")</f>
        <v/>
      </c>
      <c r="T735" s="0" t="str">
        <f aca="false">IF(N($O735)&gt;0,COUNTIF($O$3:$O735,"&gt;0"),"")</f>
        <v/>
      </c>
      <c r="U735" s="0" t="str">
        <f aca="false">IF(AND(N($J735)&gt;0,N($K735)&gt;0),COUNTIFS($J$3:$J735,"&gt;0",$K$3:$K735,"&gt;0"),"")</f>
        <v/>
      </c>
      <c r="V735" s="0" t="str">
        <f aca="false">IF(AND(N($J735)&gt;0,N($K735)=0),COUNTIFS($J$3:$J735,"&gt;0",$K$3:$K735,"&lt;=0"),"")</f>
        <v/>
      </c>
      <c r="W735" s="0" t="str">
        <f aca="false">IF($C735="","",IF(COUNTIF($C$3:$C735,$C735)&gt;1,"",MAX($W$2:W734)+1))</f>
        <v/>
      </c>
      <c r="X735" s="0" t="str">
        <f aca="false">IF($H735="","",IF(COUNTIF($H$3:$H735,$H735)&gt;1,"",MAX($X$2:X734)+1))</f>
        <v/>
      </c>
      <c r="Y735" s="0" t="str">
        <f aca="false">IF(AND(N($M735)&gt;0,N($O735)&lt;=0),COUNTIFS($M$3:$M735,"&gt;0",$O$3:$O735,"&lt;=0"),"")</f>
        <v/>
      </c>
      <c r="Z735" s="30" t="n">
        <f aca="false">IF(OR('THÁNG 10'!$C142="",'THÁNG 10'!$B142=""),0,'THÁNG 10'!$B142)</f>
        <v>0</v>
      </c>
    </row>
    <row r="736" customFormat="false" ht="15" hidden="false" customHeight="false" outlineLevel="0" collapsed="false">
      <c r="A736" s="0" t="n">
        <v>10</v>
      </c>
      <c r="B736" s="29" t="str">
        <f aca="false">IF(OR('THÁNG 10'!$C143="",'THÁNG 10'!$B143=""),"",'THÁNG 10'!$B143)</f>
        <v/>
      </c>
      <c r="C736" s="0" t="str">
        <f aca="false">IF('THÁNG 10'!$C143="","",'THÁNG 10'!$C143)</f>
        <v/>
      </c>
      <c r="D736" s="0" t="str">
        <f aca="false">IF('THÁNG 10'!$C143="","",'THÁNG 10'!$D143&amp;"")</f>
        <v/>
      </c>
      <c r="E736" s="0" t="str">
        <f aca="false">IF('THÁNG 10'!$C143="","",'THÁNG 10'!$E143&amp;"")</f>
        <v/>
      </c>
      <c r="F736" s="0" t="str">
        <f aca="false">IF('THÁNG 10'!$C143="","",'THÁNG 10'!$F143&amp;"")</f>
        <v/>
      </c>
      <c r="G736" s="0" t="str">
        <f aca="false">IF('THÁNG 10'!$C143="","",'THÁNG 10'!$G143&amp;"")</f>
        <v/>
      </c>
      <c r="H736" s="0" t="str">
        <f aca="false">IF('THÁNG 10'!$C143="","",'THÁNG 10'!$H143&amp;"")</f>
        <v/>
      </c>
      <c r="I736" s="0" t="str">
        <f aca="false">IF('THÁNG 10'!$C143="","",N('THÁNG 10'!$I143))</f>
        <v/>
      </c>
      <c r="J736" s="0" t="str">
        <f aca="false">IF('THÁNG 10'!$C143="","",N('THÁNG 10'!$L143))</f>
        <v/>
      </c>
      <c r="K736" s="0" t="str">
        <f aca="false">IF('THÁNG 10'!$C143="","",N('THÁNG 10'!$N143))</f>
        <v/>
      </c>
      <c r="L736" s="0" t="str">
        <f aca="false">IF('THÁNG 10'!$C143="","",N('THÁNG 10'!$O143))</f>
        <v/>
      </c>
      <c r="M736" s="0" t="str">
        <f aca="false">IF('THÁNG 10'!$C143="","",N('THÁNG 10'!$P143))</f>
        <v/>
      </c>
      <c r="N736" s="0" t="str">
        <f aca="false">IF('THÁNG 10'!$C143="","",N('THÁNG 10'!$Q143))</f>
        <v/>
      </c>
      <c r="O736" s="0" t="str">
        <f aca="false">IF('THÁNG 10'!$C143="","",N('THÁNG 10'!$R143))</f>
        <v/>
      </c>
      <c r="P736" s="0" t="str">
        <f aca="false">IF(OR('THÁNG 10'!$C143="",'THÁNG 10'!$T143=""),"",'THÁNG 10'!$T143)</f>
        <v/>
      </c>
      <c r="Q736" s="0" t="str">
        <f aca="false">IF(OR('THÁNG 10'!$C143="",'THÁNG 10'!$U143=""),"",'THÁNG 10'!$U143)</f>
        <v/>
      </c>
      <c r="R736" s="0" t="str">
        <f aca="false">IF('THÁNG 10'!$C143="","",'THÁNG 10'!$W143&amp;"")</f>
        <v/>
      </c>
      <c r="S736" s="0" t="str">
        <f aca="false">IF('THÁNG 10'!$C143="","",'THÁNG 10'!$S143&amp;"")</f>
        <v/>
      </c>
      <c r="T736" s="0" t="str">
        <f aca="false">IF(N($O736)&gt;0,COUNTIF($O$3:$O736,"&gt;0"),"")</f>
        <v/>
      </c>
      <c r="U736" s="0" t="str">
        <f aca="false">IF(AND(N($J736)&gt;0,N($K736)&gt;0),COUNTIFS($J$3:$J736,"&gt;0",$K$3:$K736,"&gt;0"),"")</f>
        <v/>
      </c>
      <c r="V736" s="0" t="str">
        <f aca="false">IF(AND(N($J736)&gt;0,N($K736)=0),COUNTIFS($J$3:$J736,"&gt;0",$K$3:$K736,"&lt;=0"),"")</f>
        <v/>
      </c>
      <c r="W736" s="0" t="str">
        <f aca="false">IF($C736="","",IF(COUNTIF($C$3:$C736,$C736)&gt;1,"",MAX($W$2:W735)+1))</f>
        <v/>
      </c>
      <c r="X736" s="0" t="str">
        <f aca="false">IF($H736="","",IF(COUNTIF($H$3:$H736,$H736)&gt;1,"",MAX($X$2:X735)+1))</f>
        <v/>
      </c>
      <c r="Y736" s="0" t="str">
        <f aca="false">IF(AND(N($M736)&gt;0,N($O736)&lt;=0),COUNTIFS($M$3:$M736,"&gt;0",$O$3:$O736,"&lt;=0"),"")</f>
        <v/>
      </c>
      <c r="Z736" s="30" t="n">
        <f aca="false">IF(OR('THÁNG 10'!$C143="",'THÁNG 10'!$B143=""),0,'THÁNG 10'!$B143)</f>
        <v>0</v>
      </c>
    </row>
    <row r="737" customFormat="false" ht="15" hidden="false" customHeight="false" outlineLevel="0" collapsed="false">
      <c r="A737" s="0" t="n">
        <v>10</v>
      </c>
      <c r="B737" s="29" t="str">
        <f aca="false">IF(OR('THÁNG 10'!$C144="",'THÁNG 10'!$B144=""),"",'THÁNG 10'!$B144)</f>
        <v/>
      </c>
      <c r="C737" s="0" t="str">
        <f aca="false">IF('THÁNG 10'!$C144="","",'THÁNG 10'!$C144)</f>
        <v/>
      </c>
      <c r="D737" s="0" t="str">
        <f aca="false">IF('THÁNG 10'!$C144="","",'THÁNG 10'!$D144&amp;"")</f>
        <v/>
      </c>
      <c r="E737" s="0" t="str">
        <f aca="false">IF('THÁNG 10'!$C144="","",'THÁNG 10'!$E144&amp;"")</f>
        <v/>
      </c>
      <c r="F737" s="0" t="str">
        <f aca="false">IF('THÁNG 10'!$C144="","",'THÁNG 10'!$F144&amp;"")</f>
        <v/>
      </c>
      <c r="G737" s="0" t="str">
        <f aca="false">IF('THÁNG 10'!$C144="","",'THÁNG 10'!$G144&amp;"")</f>
        <v/>
      </c>
      <c r="H737" s="0" t="str">
        <f aca="false">IF('THÁNG 10'!$C144="","",'THÁNG 10'!$H144&amp;"")</f>
        <v/>
      </c>
      <c r="I737" s="0" t="str">
        <f aca="false">IF('THÁNG 10'!$C144="","",N('THÁNG 10'!$I144))</f>
        <v/>
      </c>
      <c r="J737" s="0" t="str">
        <f aca="false">IF('THÁNG 10'!$C144="","",N('THÁNG 10'!$L144))</f>
        <v/>
      </c>
      <c r="K737" s="0" t="str">
        <f aca="false">IF('THÁNG 10'!$C144="","",N('THÁNG 10'!$N144))</f>
        <v/>
      </c>
      <c r="L737" s="0" t="str">
        <f aca="false">IF('THÁNG 10'!$C144="","",N('THÁNG 10'!$O144))</f>
        <v/>
      </c>
      <c r="M737" s="0" t="str">
        <f aca="false">IF('THÁNG 10'!$C144="","",N('THÁNG 10'!$P144))</f>
        <v/>
      </c>
      <c r="N737" s="0" t="str">
        <f aca="false">IF('THÁNG 10'!$C144="","",N('THÁNG 10'!$Q144))</f>
        <v/>
      </c>
      <c r="O737" s="0" t="str">
        <f aca="false">IF('THÁNG 10'!$C144="","",N('THÁNG 10'!$R144))</f>
        <v/>
      </c>
      <c r="P737" s="0" t="str">
        <f aca="false">IF(OR('THÁNG 10'!$C144="",'THÁNG 10'!$T144=""),"",'THÁNG 10'!$T144)</f>
        <v/>
      </c>
      <c r="Q737" s="0" t="str">
        <f aca="false">IF(OR('THÁNG 10'!$C144="",'THÁNG 10'!$U144=""),"",'THÁNG 10'!$U144)</f>
        <v/>
      </c>
      <c r="R737" s="0" t="str">
        <f aca="false">IF('THÁNG 10'!$C144="","",'THÁNG 10'!$W144&amp;"")</f>
        <v/>
      </c>
      <c r="S737" s="0" t="str">
        <f aca="false">IF('THÁNG 10'!$C144="","",'THÁNG 10'!$S144&amp;"")</f>
        <v/>
      </c>
      <c r="T737" s="0" t="str">
        <f aca="false">IF(N($O737)&gt;0,COUNTIF($O$3:$O737,"&gt;0"),"")</f>
        <v/>
      </c>
      <c r="U737" s="0" t="str">
        <f aca="false">IF(AND(N($J737)&gt;0,N($K737)&gt;0),COUNTIFS($J$3:$J737,"&gt;0",$K$3:$K737,"&gt;0"),"")</f>
        <v/>
      </c>
      <c r="V737" s="0" t="str">
        <f aca="false">IF(AND(N($J737)&gt;0,N($K737)=0),COUNTIFS($J$3:$J737,"&gt;0",$K$3:$K737,"&lt;=0"),"")</f>
        <v/>
      </c>
      <c r="W737" s="0" t="str">
        <f aca="false">IF($C737="","",IF(COUNTIF($C$3:$C737,$C737)&gt;1,"",MAX($W$2:W736)+1))</f>
        <v/>
      </c>
      <c r="X737" s="0" t="str">
        <f aca="false">IF($H737="","",IF(COUNTIF($H$3:$H737,$H737)&gt;1,"",MAX($X$2:X736)+1))</f>
        <v/>
      </c>
      <c r="Y737" s="0" t="str">
        <f aca="false">IF(AND(N($M737)&gt;0,N($O737)&lt;=0),COUNTIFS($M$3:$M737,"&gt;0",$O$3:$O737,"&lt;=0"),"")</f>
        <v/>
      </c>
      <c r="Z737" s="30" t="n">
        <f aca="false">IF(OR('THÁNG 10'!$C144="",'THÁNG 10'!$B144=""),0,'THÁNG 10'!$B144)</f>
        <v>0</v>
      </c>
    </row>
    <row r="738" customFormat="false" ht="15" hidden="false" customHeight="false" outlineLevel="0" collapsed="false">
      <c r="A738" s="0" t="n">
        <v>10</v>
      </c>
      <c r="B738" s="29" t="str">
        <f aca="false">IF(OR('THÁNG 10'!$C145="",'THÁNG 10'!$B145=""),"",'THÁNG 10'!$B145)</f>
        <v/>
      </c>
      <c r="C738" s="0" t="str">
        <f aca="false">IF('THÁNG 10'!$C145="","",'THÁNG 10'!$C145)</f>
        <v/>
      </c>
      <c r="D738" s="0" t="str">
        <f aca="false">IF('THÁNG 10'!$C145="","",'THÁNG 10'!$D145&amp;"")</f>
        <v/>
      </c>
      <c r="E738" s="0" t="str">
        <f aca="false">IF('THÁNG 10'!$C145="","",'THÁNG 10'!$E145&amp;"")</f>
        <v/>
      </c>
      <c r="F738" s="0" t="str">
        <f aca="false">IF('THÁNG 10'!$C145="","",'THÁNG 10'!$F145&amp;"")</f>
        <v/>
      </c>
      <c r="G738" s="0" t="str">
        <f aca="false">IF('THÁNG 10'!$C145="","",'THÁNG 10'!$G145&amp;"")</f>
        <v/>
      </c>
      <c r="H738" s="0" t="str">
        <f aca="false">IF('THÁNG 10'!$C145="","",'THÁNG 10'!$H145&amp;"")</f>
        <v/>
      </c>
      <c r="I738" s="0" t="str">
        <f aca="false">IF('THÁNG 10'!$C145="","",N('THÁNG 10'!$I145))</f>
        <v/>
      </c>
      <c r="J738" s="0" t="str">
        <f aca="false">IF('THÁNG 10'!$C145="","",N('THÁNG 10'!$L145))</f>
        <v/>
      </c>
      <c r="K738" s="0" t="str">
        <f aca="false">IF('THÁNG 10'!$C145="","",N('THÁNG 10'!$N145))</f>
        <v/>
      </c>
      <c r="L738" s="0" t="str">
        <f aca="false">IF('THÁNG 10'!$C145="","",N('THÁNG 10'!$O145))</f>
        <v/>
      </c>
      <c r="M738" s="0" t="str">
        <f aca="false">IF('THÁNG 10'!$C145="","",N('THÁNG 10'!$P145))</f>
        <v/>
      </c>
      <c r="N738" s="0" t="str">
        <f aca="false">IF('THÁNG 10'!$C145="","",N('THÁNG 10'!$Q145))</f>
        <v/>
      </c>
      <c r="O738" s="0" t="str">
        <f aca="false">IF('THÁNG 10'!$C145="","",N('THÁNG 10'!$R145))</f>
        <v/>
      </c>
      <c r="P738" s="0" t="str">
        <f aca="false">IF(OR('THÁNG 10'!$C145="",'THÁNG 10'!$T145=""),"",'THÁNG 10'!$T145)</f>
        <v/>
      </c>
      <c r="Q738" s="0" t="str">
        <f aca="false">IF(OR('THÁNG 10'!$C145="",'THÁNG 10'!$U145=""),"",'THÁNG 10'!$U145)</f>
        <v/>
      </c>
      <c r="R738" s="0" t="str">
        <f aca="false">IF('THÁNG 10'!$C145="","",'THÁNG 10'!$W145&amp;"")</f>
        <v/>
      </c>
      <c r="S738" s="0" t="str">
        <f aca="false">IF('THÁNG 10'!$C145="","",'THÁNG 10'!$S145&amp;"")</f>
        <v/>
      </c>
      <c r="T738" s="0" t="str">
        <f aca="false">IF(N($O738)&gt;0,COUNTIF($O$3:$O738,"&gt;0"),"")</f>
        <v/>
      </c>
      <c r="U738" s="0" t="str">
        <f aca="false">IF(AND(N($J738)&gt;0,N($K738)&gt;0),COUNTIFS($J$3:$J738,"&gt;0",$K$3:$K738,"&gt;0"),"")</f>
        <v/>
      </c>
      <c r="V738" s="0" t="str">
        <f aca="false">IF(AND(N($J738)&gt;0,N($K738)=0),COUNTIFS($J$3:$J738,"&gt;0",$K$3:$K738,"&lt;=0"),"")</f>
        <v/>
      </c>
      <c r="W738" s="0" t="str">
        <f aca="false">IF($C738="","",IF(COUNTIF($C$3:$C738,$C738)&gt;1,"",MAX($W$2:W737)+1))</f>
        <v/>
      </c>
      <c r="X738" s="0" t="str">
        <f aca="false">IF($H738="","",IF(COUNTIF($H$3:$H738,$H738)&gt;1,"",MAX($X$2:X737)+1))</f>
        <v/>
      </c>
      <c r="Y738" s="0" t="str">
        <f aca="false">IF(AND(N($M738)&gt;0,N($O738)&lt;=0),COUNTIFS($M$3:$M738,"&gt;0",$O$3:$O738,"&lt;=0"),"")</f>
        <v/>
      </c>
      <c r="Z738" s="30" t="n">
        <f aca="false">IF(OR('THÁNG 10'!$C145="",'THÁNG 10'!$B145=""),0,'THÁNG 10'!$B145)</f>
        <v>0</v>
      </c>
    </row>
    <row r="739" customFormat="false" ht="15" hidden="false" customHeight="false" outlineLevel="0" collapsed="false">
      <c r="A739" s="0" t="n">
        <v>10</v>
      </c>
      <c r="B739" s="29" t="str">
        <f aca="false">IF(OR('THÁNG 10'!$C146="",'THÁNG 10'!$B146=""),"",'THÁNG 10'!$B146)</f>
        <v/>
      </c>
      <c r="C739" s="0" t="str">
        <f aca="false">IF('THÁNG 10'!$C146="","",'THÁNG 10'!$C146)</f>
        <v/>
      </c>
      <c r="D739" s="0" t="str">
        <f aca="false">IF('THÁNG 10'!$C146="","",'THÁNG 10'!$D146&amp;"")</f>
        <v/>
      </c>
      <c r="E739" s="0" t="str">
        <f aca="false">IF('THÁNG 10'!$C146="","",'THÁNG 10'!$E146&amp;"")</f>
        <v/>
      </c>
      <c r="F739" s="0" t="str">
        <f aca="false">IF('THÁNG 10'!$C146="","",'THÁNG 10'!$F146&amp;"")</f>
        <v/>
      </c>
      <c r="G739" s="0" t="str">
        <f aca="false">IF('THÁNG 10'!$C146="","",'THÁNG 10'!$G146&amp;"")</f>
        <v/>
      </c>
      <c r="H739" s="0" t="str">
        <f aca="false">IF('THÁNG 10'!$C146="","",'THÁNG 10'!$H146&amp;"")</f>
        <v/>
      </c>
      <c r="I739" s="0" t="str">
        <f aca="false">IF('THÁNG 10'!$C146="","",N('THÁNG 10'!$I146))</f>
        <v/>
      </c>
      <c r="J739" s="0" t="str">
        <f aca="false">IF('THÁNG 10'!$C146="","",N('THÁNG 10'!$L146))</f>
        <v/>
      </c>
      <c r="K739" s="0" t="str">
        <f aca="false">IF('THÁNG 10'!$C146="","",N('THÁNG 10'!$N146))</f>
        <v/>
      </c>
      <c r="L739" s="0" t="str">
        <f aca="false">IF('THÁNG 10'!$C146="","",N('THÁNG 10'!$O146))</f>
        <v/>
      </c>
      <c r="M739" s="0" t="str">
        <f aca="false">IF('THÁNG 10'!$C146="","",N('THÁNG 10'!$P146))</f>
        <v/>
      </c>
      <c r="N739" s="0" t="str">
        <f aca="false">IF('THÁNG 10'!$C146="","",N('THÁNG 10'!$Q146))</f>
        <v/>
      </c>
      <c r="O739" s="0" t="str">
        <f aca="false">IF('THÁNG 10'!$C146="","",N('THÁNG 10'!$R146))</f>
        <v/>
      </c>
      <c r="P739" s="0" t="str">
        <f aca="false">IF(OR('THÁNG 10'!$C146="",'THÁNG 10'!$T146=""),"",'THÁNG 10'!$T146)</f>
        <v/>
      </c>
      <c r="Q739" s="0" t="str">
        <f aca="false">IF(OR('THÁNG 10'!$C146="",'THÁNG 10'!$U146=""),"",'THÁNG 10'!$U146)</f>
        <v/>
      </c>
      <c r="R739" s="0" t="str">
        <f aca="false">IF('THÁNG 10'!$C146="","",'THÁNG 10'!$W146&amp;"")</f>
        <v/>
      </c>
      <c r="S739" s="0" t="str">
        <f aca="false">IF('THÁNG 10'!$C146="","",'THÁNG 10'!$S146&amp;"")</f>
        <v/>
      </c>
      <c r="T739" s="0" t="str">
        <f aca="false">IF(N($O739)&gt;0,COUNTIF($O$3:$O739,"&gt;0"),"")</f>
        <v/>
      </c>
      <c r="U739" s="0" t="str">
        <f aca="false">IF(AND(N($J739)&gt;0,N($K739)&gt;0),COUNTIFS($J$3:$J739,"&gt;0",$K$3:$K739,"&gt;0"),"")</f>
        <v/>
      </c>
      <c r="V739" s="0" t="str">
        <f aca="false">IF(AND(N($J739)&gt;0,N($K739)=0),COUNTIFS($J$3:$J739,"&gt;0",$K$3:$K739,"&lt;=0"),"")</f>
        <v/>
      </c>
      <c r="W739" s="0" t="str">
        <f aca="false">IF($C739="","",IF(COUNTIF($C$3:$C739,$C739)&gt;1,"",MAX($W$2:W738)+1))</f>
        <v/>
      </c>
      <c r="X739" s="0" t="str">
        <f aca="false">IF($H739="","",IF(COUNTIF($H$3:$H739,$H739)&gt;1,"",MAX($X$2:X738)+1))</f>
        <v/>
      </c>
      <c r="Y739" s="0" t="str">
        <f aca="false">IF(AND(N($M739)&gt;0,N($O739)&lt;=0),COUNTIFS($M$3:$M739,"&gt;0",$O$3:$O739,"&lt;=0"),"")</f>
        <v/>
      </c>
      <c r="Z739" s="30" t="n">
        <f aca="false">IF(OR('THÁNG 10'!$C146="",'THÁNG 10'!$B146=""),0,'THÁNG 10'!$B146)</f>
        <v>0</v>
      </c>
    </row>
    <row r="740" customFormat="false" ht="15" hidden="false" customHeight="false" outlineLevel="0" collapsed="false">
      <c r="A740" s="0" t="n">
        <v>10</v>
      </c>
      <c r="B740" s="29" t="str">
        <f aca="false">IF(OR('THÁNG 10'!$C147="",'THÁNG 10'!$B147=""),"",'THÁNG 10'!$B147)</f>
        <v/>
      </c>
      <c r="C740" s="0" t="str">
        <f aca="false">IF('THÁNG 10'!$C147="","",'THÁNG 10'!$C147)</f>
        <v/>
      </c>
      <c r="D740" s="0" t="str">
        <f aca="false">IF('THÁNG 10'!$C147="","",'THÁNG 10'!$D147&amp;"")</f>
        <v/>
      </c>
      <c r="E740" s="0" t="str">
        <f aca="false">IF('THÁNG 10'!$C147="","",'THÁNG 10'!$E147&amp;"")</f>
        <v/>
      </c>
      <c r="F740" s="0" t="str">
        <f aca="false">IF('THÁNG 10'!$C147="","",'THÁNG 10'!$F147&amp;"")</f>
        <v/>
      </c>
      <c r="G740" s="0" t="str">
        <f aca="false">IF('THÁNG 10'!$C147="","",'THÁNG 10'!$G147&amp;"")</f>
        <v/>
      </c>
      <c r="H740" s="0" t="str">
        <f aca="false">IF('THÁNG 10'!$C147="","",'THÁNG 10'!$H147&amp;"")</f>
        <v/>
      </c>
      <c r="I740" s="0" t="str">
        <f aca="false">IF('THÁNG 10'!$C147="","",N('THÁNG 10'!$I147))</f>
        <v/>
      </c>
      <c r="J740" s="0" t="str">
        <f aca="false">IF('THÁNG 10'!$C147="","",N('THÁNG 10'!$L147))</f>
        <v/>
      </c>
      <c r="K740" s="0" t="str">
        <f aca="false">IF('THÁNG 10'!$C147="","",N('THÁNG 10'!$N147))</f>
        <v/>
      </c>
      <c r="L740" s="0" t="str">
        <f aca="false">IF('THÁNG 10'!$C147="","",N('THÁNG 10'!$O147))</f>
        <v/>
      </c>
      <c r="M740" s="0" t="str">
        <f aca="false">IF('THÁNG 10'!$C147="","",N('THÁNG 10'!$P147))</f>
        <v/>
      </c>
      <c r="N740" s="0" t="str">
        <f aca="false">IF('THÁNG 10'!$C147="","",N('THÁNG 10'!$Q147))</f>
        <v/>
      </c>
      <c r="O740" s="0" t="str">
        <f aca="false">IF('THÁNG 10'!$C147="","",N('THÁNG 10'!$R147))</f>
        <v/>
      </c>
      <c r="P740" s="0" t="str">
        <f aca="false">IF(OR('THÁNG 10'!$C147="",'THÁNG 10'!$T147=""),"",'THÁNG 10'!$T147)</f>
        <v/>
      </c>
      <c r="Q740" s="0" t="str">
        <f aca="false">IF(OR('THÁNG 10'!$C147="",'THÁNG 10'!$U147=""),"",'THÁNG 10'!$U147)</f>
        <v/>
      </c>
      <c r="R740" s="0" t="str">
        <f aca="false">IF('THÁNG 10'!$C147="","",'THÁNG 10'!$W147&amp;"")</f>
        <v/>
      </c>
      <c r="S740" s="0" t="str">
        <f aca="false">IF('THÁNG 10'!$C147="","",'THÁNG 10'!$S147&amp;"")</f>
        <v/>
      </c>
      <c r="T740" s="0" t="str">
        <f aca="false">IF(N($O740)&gt;0,COUNTIF($O$3:$O740,"&gt;0"),"")</f>
        <v/>
      </c>
      <c r="U740" s="0" t="str">
        <f aca="false">IF(AND(N($J740)&gt;0,N($K740)&gt;0),COUNTIFS($J$3:$J740,"&gt;0",$K$3:$K740,"&gt;0"),"")</f>
        <v/>
      </c>
      <c r="V740" s="0" t="str">
        <f aca="false">IF(AND(N($J740)&gt;0,N($K740)=0),COUNTIFS($J$3:$J740,"&gt;0",$K$3:$K740,"&lt;=0"),"")</f>
        <v/>
      </c>
      <c r="W740" s="0" t="str">
        <f aca="false">IF($C740="","",IF(COUNTIF($C$3:$C740,$C740)&gt;1,"",MAX($W$2:W739)+1))</f>
        <v/>
      </c>
      <c r="X740" s="0" t="str">
        <f aca="false">IF($H740="","",IF(COUNTIF($H$3:$H740,$H740)&gt;1,"",MAX($X$2:X739)+1))</f>
        <v/>
      </c>
      <c r="Y740" s="0" t="str">
        <f aca="false">IF(AND(N($M740)&gt;0,N($O740)&lt;=0),COUNTIFS($M$3:$M740,"&gt;0",$O$3:$O740,"&lt;=0"),"")</f>
        <v/>
      </c>
      <c r="Z740" s="30" t="n">
        <f aca="false">IF(OR('THÁNG 10'!$C147="",'THÁNG 10'!$B147=""),0,'THÁNG 10'!$B147)</f>
        <v>0</v>
      </c>
    </row>
    <row r="741" customFormat="false" ht="15" hidden="false" customHeight="false" outlineLevel="0" collapsed="false">
      <c r="A741" s="0" t="n">
        <v>10</v>
      </c>
      <c r="B741" s="29" t="str">
        <f aca="false">IF(OR('THÁNG 10'!$C148="",'THÁNG 10'!$B148=""),"",'THÁNG 10'!$B148)</f>
        <v/>
      </c>
      <c r="C741" s="0" t="str">
        <f aca="false">IF('THÁNG 10'!$C148="","",'THÁNG 10'!$C148)</f>
        <v/>
      </c>
      <c r="D741" s="0" t="str">
        <f aca="false">IF('THÁNG 10'!$C148="","",'THÁNG 10'!$D148&amp;"")</f>
        <v/>
      </c>
      <c r="E741" s="0" t="str">
        <f aca="false">IF('THÁNG 10'!$C148="","",'THÁNG 10'!$E148&amp;"")</f>
        <v/>
      </c>
      <c r="F741" s="0" t="str">
        <f aca="false">IF('THÁNG 10'!$C148="","",'THÁNG 10'!$F148&amp;"")</f>
        <v/>
      </c>
      <c r="G741" s="0" t="str">
        <f aca="false">IF('THÁNG 10'!$C148="","",'THÁNG 10'!$G148&amp;"")</f>
        <v/>
      </c>
      <c r="H741" s="0" t="str">
        <f aca="false">IF('THÁNG 10'!$C148="","",'THÁNG 10'!$H148&amp;"")</f>
        <v/>
      </c>
      <c r="I741" s="0" t="str">
        <f aca="false">IF('THÁNG 10'!$C148="","",N('THÁNG 10'!$I148))</f>
        <v/>
      </c>
      <c r="J741" s="0" t="str">
        <f aca="false">IF('THÁNG 10'!$C148="","",N('THÁNG 10'!$L148))</f>
        <v/>
      </c>
      <c r="K741" s="0" t="str">
        <f aca="false">IF('THÁNG 10'!$C148="","",N('THÁNG 10'!$N148))</f>
        <v/>
      </c>
      <c r="L741" s="0" t="str">
        <f aca="false">IF('THÁNG 10'!$C148="","",N('THÁNG 10'!$O148))</f>
        <v/>
      </c>
      <c r="M741" s="0" t="str">
        <f aca="false">IF('THÁNG 10'!$C148="","",N('THÁNG 10'!$P148))</f>
        <v/>
      </c>
      <c r="N741" s="0" t="str">
        <f aca="false">IF('THÁNG 10'!$C148="","",N('THÁNG 10'!$Q148))</f>
        <v/>
      </c>
      <c r="O741" s="0" t="str">
        <f aca="false">IF('THÁNG 10'!$C148="","",N('THÁNG 10'!$R148))</f>
        <v/>
      </c>
      <c r="P741" s="0" t="str">
        <f aca="false">IF(OR('THÁNG 10'!$C148="",'THÁNG 10'!$T148=""),"",'THÁNG 10'!$T148)</f>
        <v/>
      </c>
      <c r="Q741" s="0" t="str">
        <f aca="false">IF(OR('THÁNG 10'!$C148="",'THÁNG 10'!$U148=""),"",'THÁNG 10'!$U148)</f>
        <v/>
      </c>
      <c r="R741" s="0" t="str">
        <f aca="false">IF('THÁNG 10'!$C148="","",'THÁNG 10'!$W148&amp;"")</f>
        <v/>
      </c>
      <c r="S741" s="0" t="str">
        <f aca="false">IF('THÁNG 10'!$C148="","",'THÁNG 10'!$S148&amp;"")</f>
        <v/>
      </c>
      <c r="T741" s="0" t="str">
        <f aca="false">IF(N($O741)&gt;0,COUNTIF($O$3:$O741,"&gt;0"),"")</f>
        <v/>
      </c>
      <c r="U741" s="0" t="str">
        <f aca="false">IF(AND(N($J741)&gt;0,N($K741)&gt;0),COUNTIFS($J$3:$J741,"&gt;0",$K$3:$K741,"&gt;0"),"")</f>
        <v/>
      </c>
      <c r="V741" s="0" t="str">
        <f aca="false">IF(AND(N($J741)&gt;0,N($K741)=0),COUNTIFS($J$3:$J741,"&gt;0",$K$3:$K741,"&lt;=0"),"")</f>
        <v/>
      </c>
      <c r="W741" s="0" t="str">
        <f aca="false">IF($C741="","",IF(COUNTIF($C$3:$C741,$C741)&gt;1,"",MAX($W$2:W740)+1))</f>
        <v/>
      </c>
      <c r="X741" s="0" t="str">
        <f aca="false">IF($H741="","",IF(COUNTIF($H$3:$H741,$H741)&gt;1,"",MAX($X$2:X740)+1))</f>
        <v/>
      </c>
      <c r="Y741" s="0" t="str">
        <f aca="false">IF(AND(N($M741)&gt;0,N($O741)&lt;=0),COUNTIFS($M$3:$M741,"&gt;0",$O$3:$O741,"&lt;=0"),"")</f>
        <v/>
      </c>
      <c r="Z741" s="30" t="n">
        <f aca="false">IF(OR('THÁNG 10'!$C148="",'THÁNG 10'!$B148=""),0,'THÁNG 10'!$B148)</f>
        <v>0</v>
      </c>
    </row>
    <row r="742" customFormat="false" ht="15" hidden="false" customHeight="false" outlineLevel="0" collapsed="false">
      <c r="A742" s="0" t="n">
        <v>10</v>
      </c>
      <c r="B742" s="29" t="str">
        <f aca="false">IF(OR('THÁNG 10'!$C149="",'THÁNG 10'!$B149=""),"",'THÁNG 10'!$B149)</f>
        <v/>
      </c>
      <c r="C742" s="0" t="str">
        <f aca="false">IF('THÁNG 10'!$C149="","",'THÁNG 10'!$C149)</f>
        <v/>
      </c>
      <c r="D742" s="0" t="str">
        <f aca="false">IF('THÁNG 10'!$C149="","",'THÁNG 10'!$D149&amp;"")</f>
        <v/>
      </c>
      <c r="E742" s="0" t="str">
        <f aca="false">IF('THÁNG 10'!$C149="","",'THÁNG 10'!$E149&amp;"")</f>
        <v/>
      </c>
      <c r="F742" s="0" t="str">
        <f aca="false">IF('THÁNG 10'!$C149="","",'THÁNG 10'!$F149&amp;"")</f>
        <v/>
      </c>
      <c r="G742" s="0" t="str">
        <f aca="false">IF('THÁNG 10'!$C149="","",'THÁNG 10'!$G149&amp;"")</f>
        <v/>
      </c>
      <c r="H742" s="0" t="str">
        <f aca="false">IF('THÁNG 10'!$C149="","",'THÁNG 10'!$H149&amp;"")</f>
        <v/>
      </c>
      <c r="I742" s="0" t="str">
        <f aca="false">IF('THÁNG 10'!$C149="","",N('THÁNG 10'!$I149))</f>
        <v/>
      </c>
      <c r="J742" s="0" t="str">
        <f aca="false">IF('THÁNG 10'!$C149="","",N('THÁNG 10'!$L149))</f>
        <v/>
      </c>
      <c r="K742" s="0" t="str">
        <f aca="false">IF('THÁNG 10'!$C149="","",N('THÁNG 10'!$N149))</f>
        <v/>
      </c>
      <c r="L742" s="0" t="str">
        <f aca="false">IF('THÁNG 10'!$C149="","",N('THÁNG 10'!$O149))</f>
        <v/>
      </c>
      <c r="M742" s="0" t="str">
        <f aca="false">IF('THÁNG 10'!$C149="","",N('THÁNG 10'!$P149))</f>
        <v/>
      </c>
      <c r="N742" s="0" t="str">
        <f aca="false">IF('THÁNG 10'!$C149="","",N('THÁNG 10'!$Q149))</f>
        <v/>
      </c>
      <c r="O742" s="0" t="str">
        <f aca="false">IF('THÁNG 10'!$C149="","",N('THÁNG 10'!$R149))</f>
        <v/>
      </c>
      <c r="P742" s="0" t="str">
        <f aca="false">IF(OR('THÁNG 10'!$C149="",'THÁNG 10'!$T149=""),"",'THÁNG 10'!$T149)</f>
        <v/>
      </c>
      <c r="Q742" s="0" t="str">
        <f aca="false">IF(OR('THÁNG 10'!$C149="",'THÁNG 10'!$U149=""),"",'THÁNG 10'!$U149)</f>
        <v/>
      </c>
      <c r="R742" s="0" t="str">
        <f aca="false">IF('THÁNG 10'!$C149="","",'THÁNG 10'!$W149&amp;"")</f>
        <v/>
      </c>
      <c r="S742" s="0" t="str">
        <f aca="false">IF('THÁNG 10'!$C149="","",'THÁNG 10'!$S149&amp;"")</f>
        <v/>
      </c>
      <c r="T742" s="0" t="str">
        <f aca="false">IF(N($O742)&gt;0,COUNTIF($O$3:$O742,"&gt;0"),"")</f>
        <v/>
      </c>
      <c r="U742" s="0" t="str">
        <f aca="false">IF(AND(N($J742)&gt;0,N($K742)&gt;0),COUNTIFS($J$3:$J742,"&gt;0",$K$3:$K742,"&gt;0"),"")</f>
        <v/>
      </c>
      <c r="V742" s="0" t="str">
        <f aca="false">IF(AND(N($J742)&gt;0,N($K742)=0),COUNTIFS($J$3:$J742,"&gt;0",$K$3:$K742,"&lt;=0"),"")</f>
        <v/>
      </c>
      <c r="W742" s="0" t="str">
        <f aca="false">IF($C742="","",IF(COUNTIF($C$3:$C742,$C742)&gt;1,"",MAX($W$2:W741)+1))</f>
        <v/>
      </c>
      <c r="X742" s="0" t="str">
        <f aca="false">IF($H742="","",IF(COUNTIF($H$3:$H742,$H742)&gt;1,"",MAX($X$2:X741)+1))</f>
        <v/>
      </c>
      <c r="Y742" s="0" t="str">
        <f aca="false">IF(AND(N($M742)&gt;0,N($O742)&lt;=0),COUNTIFS($M$3:$M742,"&gt;0",$O$3:$O742,"&lt;=0"),"")</f>
        <v/>
      </c>
      <c r="Z742" s="30" t="n">
        <f aca="false">IF(OR('THÁNG 10'!$C149="",'THÁNG 10'!$B149=""),0,'THÁNG 10'!$B149)</f>
        <v>0</v>
      </c>
    </row>
    <row r="743" customFormat="false" ht="15" hidden="false" customHeight="false" outlineLevel="0" collapsed="false">
      <c r="A743" s="0" t="n">
        <v>10</v>
      </c>
      <c r="B743" s="29" t="str">
        <f aca="false">IF(OR('THÁNG 10'!$C150="",'THÁNG 10'!$B150=""),"",'THÁNG 10'!$B150)</f>
        <v/>
      </c>
      <c r="C743" s="0" t="str">
        <f aca="false">IF('THÁNG 10'!$C150="","",'THÁNG 10'!$C150)</f>
        <v/>
      </c>
      <c r="D743" s="0" t="str">
        <f aca="false">IF('THÁNG 10'!$C150="","",'THÁNG 10'!$D150&amp;"")</f>
        <v/>
      </c>
      <c r="E743" s="0" t="str">
        <f aca="false">IF('THÁNG 10'!$C150="","",'THÁNG 10'!$E150&amp;"")</f>
        <v/>
      </c>
      <c r="F743" s="0" t="str">
        <f aca="false">IF('THÁNG 10'!$C150="","",'THÁNG 10'!$F150&amp;"")</f>
        <v/>
      </c>
      <c r="G743" s="0" t="str">
        <f aca="false">IF('THÁNG 10'!$C150="","",'THÁNG 10'!$G150&amp;"")</f>
        <v/>
      </c>
      <c r="H743" s="0" t="str">
        <f aca="false">IF('THÁNG 10'!$C150="","",'THÁNG 10'!$H150&amp;"")</f>
        <v/>
      </c>
      <c r="I743" s="0" t="str">
        <f aca="false">IF('THÁNG 10'!$C150="","",N('THÁNG 10'!$I150))</f>
        <v/>
      </c>
      <c r="J743" s="0" t="str">
        <f aca="false">IF('THÁNG 10'!$C150="","",N('THÁNG 10'!$L150))</f>
        <v/>
      </c>
      <c r="K743" s="0" t="str">
        <f aca="false">IF('THÁNG 10'!$C150="","",N('THÁNG 10'!$N150))</f>
        <v/>
      </c>
      <c r="L743" s="0" t="str">
        <f aca="false">IF('THÁNG 10'!$C150="","",N('THÁNG 10'!$O150))</f>
        <v/>
      </c>
      <c r="M743" s="0" t="str">
        <f aca="false">IF('THÁNG 10'!$C150="","",N('THÁNG 10'!$P150))</f>
        <v/>
      </c>
      <c r="N743" s="0" t="str">
        <f aca="false">IF('THÁNG 10'!$C150="","",N('THÁNG 10'!$Q150))</f>
        <v/>
      </c>
      <c r="O743" s="0" t="str">
        <f aca="false">IF('THÁNG 10'!$C150="","",N('THÁNG 10'!$R150))</f>
        <v/>
      </c>
      <c r="P743" s="0" t="str">
        <f aca="false">IF(OR('THÁNG 10'!$C150="",'THÁNG 10'!$T150=""),"",'THÁNG 10'!$T150)</f>
        <v/>
      </c>
      <c r="Q743" s="0" t="str">
        <f aca="false">IF(OR('THÁNG 10'!$C150="",'THÁNG 10'!$U150=""),"",'THÁNG 10'!$U150)</f>
        <v/>
      </c>
      <c r="R743" s="0" t="str">
        <f aca="false">IF('THÁNG 10'!$C150="","",'THÁNG 10'!$W150&amp;"")</f>
        <v/>
      </c>
      <c r="S743" s="0" t="str">
        <f aca="false">IF('THÁNG 10'!$C150="","",'THÁNG 10'!$S150&amp;"")</f>
        <v/>
      </c>
      <c r="T743" s="0" t="str">
        <f aca="false">IF(N($O743)&gt;0,COUNTIF($O$3:$O743,"&gt;0"),"")</f>
        <v/>
      </c>
      <c r="U743" s="0" t="str">
        <f aca="false">IF(AND(N($J743)&gt;0,N($K743)&gt;0),COUNTIFS($J$3:$J743,"&gt;0",$K$3:$K743,"&gt;0"),"")</f>
        <v/>
      </c>
      <c r="V743" s="0" t="str">
        <f aca="false">IF(AND(N($J743)&gt;0,N($K743)=0),COUNTIFS($J$3:$J743,"&gt;0",$K$3:$K743,"&lt;=0"),"")</f>
        <v/>
      </c>
      <c r="W743" s="0" t="str">
        <f aca="false">IF($C743="","",IF(COUNTIF($C$3:$C743,$C743)&gt;1,"",MAX($W$2:W742)+1))</f>
        <v/>
      </c>
      <c r="X743" s="0" t="str">
        <f aca="false">IF($H743="","",IF(COUNTIF($H$3:$H743,$H743)&gt;1,"",MAX($X$2:X742)+1))</f>
        <v/>
      </c>
      <c r="Y743" s="0" t="str">
        <f aca="false">IF(AND(N($M743)&gt;0,N($O743)&lt;=0),COUNTIFS($M$3:$M743,"&gt;0",$O$3:$O743,"&lt;=0"),"")</f>
        <v/>
      </c>
      <c r="Z743" s="30" t="n">
        <f aca="false">IF(OR('THÁNG 10'!$C150="",'THÁNG 10'!$B150=""),0,'THÁNG 10'!$B150)</f>
        <v>0</v>
      </c>
    </row>
    <row r="744" customFormat="false" ht="15" hidden="false" customHeight="false" outlineLevel="0" collapsed="false">
      <c r="A744" s="0" t="n">
        <v>10</v>
      </c>
      <c r="B744" s="29" t="str">
        <f aca="false">IF(OR('THÁNG 10'!$C151="",'THÁNG 10'!$B151=""),"",'THÁNG 10'!$B151)</f>
        <v/>
      </c>
      <c r="C744" s="0" t="str">
        <f aca="false">IF('THÁNG 10'!$C151="","",'THÁNG 10'!$C151)</f>
        <v/>
      </c>
      <c r="D744" s="0" t="str">
        <f aca="false">IF('THÁNG 10'!$C151="","",'THÁNG 10'!$D151&amp;"")</f>
        <v/>
      </c>
      <c r="E744" s="0" t="str">
        <f aca="false">IF('THÁNG 10'!$C151="","",'THÁNG 10'!$E151&amp;"")</f>
        <v/>
      </c>
      <c r="F744" s="0" t="str">
        <f aca="false">IF('THÁNG 10'!$C151="","",'THÁNG 10'!$F151&amp;"")</f>
        <v/>
      </c>
      <c r="G744" s="0" t="str">
        <f aca="false">IF('THÁNG 10'!$C151="","",'THÁNG 10'!$G151&amp;"")</f>
        <v/>
      </c>
      <c r="H744" s="0" t="str">
        <f aca="false">IF('THÁNG 10'!$C151="","",'THÁNG 10'!$H151&amp;"")</f>
        <v/>
      </c>
      <c r="I744" s="0" t="str">
        <f aca="false">IF('THÁNG 10'!$C151="","",N('THÁNG 10'!$I151))</f>
        <v/>
      </c>
      <c r="J744" s="0" t="str">
        <f aca="false">IF('THÁNG 10'!$C151="","",N('THÁNG 10'!$L151))</f>
        <v/>
      </c>
      <c r="K744" s="0" t="str">
        <f aca="false">IF('THÁNG 10'!$C151="","",N('THÁNG 10'!$N151))</f>
        <v/>
      </c>
      <c r="L744" s="0" t="str">
        <f aca="false">IF('THÁNG 10'!$C151="","",N('THÁNG 10'!$O151))</f>
        <v/>
      </c>
      <c r="M744" s="0" t="str">
        <f aca="false">IF('THÁNG 10'!$C151="","",N('THÁNG 10'!$P151))</f>
        <v/>
      </c>
      <c r="N744" s="0" t="str">
        <f aca="false">IF('THÁNG 10'!$C151="","",N('THÁNG 10'!$Q151))</f>
        <v/>
      </c>
      <c r="O744" s="0" t="str">
        <f aca="false">IF('THÁNG 10'!$C151="","",N('THÁNG 10'!$R151))</f>
        <v/>
      </c>
      <c r="P744" s="0" t="str">
        <f aca="false">IF(OR('THÁNG 10'!$C151="",'THÁNG 10'!$T151=""),"",'THÁNG 10'!$T151)</f>
        <v/>
      </c>
      <c r="Q744" s="0" t="str">
        <f aca="false">IF(OR('THÁNG 10'!$C151="",'THÁNG 10'!$U151=""),"",'THÁNG 10'!$U151)</f>
        <v/>
      </c>
      <c r="R744" s="0" t="str">
        <f aca="false">IF('THÁNG 10'!$C151="","",'THÁNG 10'!$W151&amp;"")</f>
        <v/>
      </c>
      <c r="S744" s="0" t="str">
        <f aca="false">IF('THÁNG 10'!$C151="","",'THÁNG 10'!$S151&amp;"")</f>
        <v/>
      </c>
      <c r="T744" s="0" t="str">
        <f aca="false">IF(N($O744)&gt;0,COUNTIF($O$3:$O744,"&gt;0"),"")</f>
        <v/>
      </c>
      <c r="U744" s="0" t="str">
        <f aca="false">IF(AND(N($J744)&gt;0,N($K744)&gt;0),COUNTIFS($J$3:$J744,"&gt;0",$K$3:$K744,"&gt;0"),"")</f>
        <v/>
      </c>
      <c r="V744" s="0" t="str">
        <f aca="false">IF(AND(N($J744)&gt;0,N($K744)=0),COUNTIFS($J$3:$J744,"&gt;0",$K$3:$K744,"&lt;=0"),"")</f>
        <v/>
      </c>
      <c r="W744" s="0" t="str">
        <f aca="false">IF($C744="","",IF(COUNTIF($C$3:$C744,$C744)&gt;1,"",MAX($W$2:W743)+1))</f>
        <v/>
      </c>
      <c r="X744" s="0" t="str">
        <f aca="false">IF($H744="","",IF(COUNTIF($H$3:$H744,$H744)&gt;1,"",MAX($X$2:X743)+1))</f>
        <v/>
      </c>
      <c r="Y744" s="0" t="str">
        <f aca="false">IF(AND(N($M744)&gt;0,N($O744)&lt;=0),COUNTIFS($M$3:$M744,"&gt;0",$O$3:$O744,"&lt;=0"),"")</f>
        <v/>
      </c>
      <c r="Z744" s="30" t="n">
        <f aca="false">IF(OR('THÁNG 10'!$C151="",'THÁNG 10'!$B151=""),0,'THÁNG 10'!$B151)</f>
        <v>0</v>
      </c>
    </row>
    <row r="745" customFormat="false" ht="15" hidden="false" customHeight="false" outlineLevel="0" collapsed="false">
      <c r="A745" s="0" t="n">
        <v>10</v>
      </c>
      <c r="B745" s="29" t="str">
        <f aca="false">IF(OR('THÁNG 10'!$C152="",'THÁNG 10'!$B152=""),"",'THÁNG 10'!$B152)</f>
        <v/>
      </c>
      <c r="C745" s="0" t="str">
        <f aca="false">IF('THÁNG 10'!$C152="","",'THÁNG 10'!$C152)</f>
        <v/>
      </c>
      <c r="D745" s="0" t="str">
        <f aca="false">IF('THÁNG 10'!$C152="","",'THÁNG 10'!$D152&amp;"")</f>
        <v/>
      </c>
      <c r="E745" s="0" t="str">
        <f aca="false">IF('THÁNG 10'!$C152="","",'THÁNG 10'!$E152&amp;"")</f>
        <v/>
      </c>
      <c r="F745" s="0" t="str">
        <f aca="false">IF('THÁNG 10'!$C152="","",'THÁNG 10'!$F152&amp;"")</f>
        <v/>
      </c>
      <c r="G745" s="0" t="str">
        <f aca="false">IF('THÁNG 10'!$C152="","",'THÁNG 10'!$G152&amp;"")</f>
        <v/>
      </c>
      <c r="H745" s="0" t="str">
        <f aca="false">IF('THÁNG 10'!$C152="","",'THÁNG 10'!$H152&amp;"")</f>
        <v/>
      </c>
      <c r="I745" s="0" t="str">
        <f aca="false">IF('THÁNG 10'!$C152="","",N('THÁNG 10'!$I152))</f>
        <v/>
      </c>
      <c r="J745" s="0" t="str">
        <f aca="false">IF('THÁNG 10'!$C152="","",N('THÁNG 10'!$L152))</f>
        <v/>
      </c>
      <c r="K745" s="0" t="str">
        <f aca="false">IF('THÁNG 10'!$C152="","",N('THÁNG 10'!$N152))</f>
        <v/>
      </c>
      <c r="L745" s="0" t="str">
        <f aca="false">IF('THÁNG 10'!$C152="","",N('THÁNG 10'!$O152))</f>
        <v/>
      </c>
      <c r="M745" s="0" t="str">
        <f aca="false">IF('THÁNG 10'!$C152="","",N('THÁNG 10'!$P152))</f>
        <v/>
      </c>
      <c r="N745" s="0" t="str">
        <f aca="false">IF('THÁNG 10'!$C152="","",N('THÁNG 10'!$Q152))</f>
        <v/>
      </c>
      <c r="O745" s="0" t="str">
        <f aca="false">IF('THÁNG 10'!$C152="","",N('THÁNG 10'!$R152))</f>
        <v/>
      </c>
      <c r="P745" s="0" t="str">
        <f aca="false">IF(OR('THÁNG 10'!$C152="",'THÁNG 10'!$T152=""),"",'THÁNG 10'!$T152)</f>
        <v/>
      </c>
      <c r="Q745" s="0" t="str">
        <f aca="false">IF(OR('THÁNG 10'!$C152="",'THÁNG 10'!$U152=""),"",'THÁNG 10'!$U152)</f>
        <v/>
      </c>
      <c r="R745" s="0" t="str">
        <f aca="false">IF('THÁNG 10'!$C152="","",'THÁNG 10'!$W152&amp;"")</f>
        <v/>
      </c>
      <c r="S745" s="0" t="str">
        <f aca="false">IF('THÁNG 10'!$C152="","",'THÁNG 10'!$S152&amp;"")</f>
        <v/>
      </c>
      <c r="T745" s="0" t="str">
        <f aca="false">IF(N($O745)&gt;0,COUNTIF($O$3:$O745,"&gt;0"),"")</f>
        <v/>
      </c>
      <c r="U745" s="0" t="str">
        <f aca="false">IF(AND(N($J745)&gt;0,N($K745)&gt;0),COUNTIFS($J$3:$J745,"&gt;0",$K$3:$K745,"&gt;0"),"")</f>
        <v/>
      </c>
      <c r="V745" s="0" t="str">
        <f aca="false">IF(AND(N($J745)&gt;0,N($K745)=0),COUNTIFS($J$3:$J745,"&gt;0",$K$3:$K745,"&lt;=0"),"")</f>
        <v/>
      </c>
      <c r="W745" s="0" t="str">
        <f aca="false">IF($C745="","",IF(COUNTIF($C$3:$C745,$C745)&gt;1,"",MAX($W$2:W744)+1))</f>
        <v/>
      </c>
      <c r="X745" s="0" t="str">
        <f aca="false">IF($H745="","",IF(COUNTIF($H$3:$H745,$H745)&gt;1,"",MAX($X$2:X744)+1))</f>
        <v/>
      </c>
      <c r="Y745" s="0" t="str">
        <f aca="false">IF(AND(N($M745)&gt;0,N($O745)&lt;=0),COUNTIFS($M$3:$M745,"&gt;0",$O$3:$O745,"&lt;=0"),"")</f>
        <v/>
      </c>
      <c r="Z745" s="30" t="n">
        <f aca="false">IF(OR('THÁNG 10'!$C152="",'THÁNG 10'!$B152=""),0,'THÁNG 10'!$B152)</f>
        <v>0</v>
      </c>
    </row>
    <row r="746" customFormat="false" ht="15" hidden="false" customHeight="false" outlineLevel="0" collapsed="false">
      <c r="A746" s="0" t="n">
        <v>10</v>
      </c>
      <c r="B746" s="29" t="str">
        <f aca="false">IF(OR('THÁNG 10'!$C153="",'THÁNG 10'!$B153=""),"",'THÁNG 10'!$B153)</f>
        <v/>
      </c>
      <c r="C746" s="0" t="str">
        <f aca="false">IF('THÁNG 10'!$C153="","",'THÁNG 10'!$C153)</f>
        <v/>
      </c>
      <c r="D746" s="0" t="str">
        <f aca="false">IF('THÁNG 10'!$C153="","",'THÁNG 10'!$D153&amp;"")</f>
        <v/>
      </c>
      <c r="E746" s="0" t="str">
        <f aca="false">IF('THÁNG 10'!$C153="","",'THÁNG 10'!$E153&amp;"")</f>
        <v/>
      </c>
      <c r="F746" s="0" t="str">
        <f aca="false">IF('THÁNG 10'!$C153="","",'THÁNG 10'!$F153&amp;"")</f>
        <v/>
      </c>
      <c r="G746" s="0" t="str">
        <f aca="false">IF('THÁNG 10'!$C153="","",'THÁNG 10'!$G153&amp;"")</f>
        <v/>
      </c>
      <c r="H746" s="0" t="str">
        <f aca="false">IF('THÁNG 10'!$C153="","",'THÁNG 10'!$H153&amp;"")</f>
        <v/>
      </c>
      <c r="I746" s="0" t="str">
        <f aca="false">IF('THÁNG 10'!$C153="","",N('THÁNG 10'!$I153))</f>
        <v/>
      </c>
      <c r="J746" s="0" t="str">
        <f aca="false">IF('THÁNG 10'!$C153="","",N('THÁNG 10'!$L153))</f>
        <v/>
      </c>
      <c r="K746" s="0" t="str">
        <f aca="false">IF('THÁNG 10'!$C153="","",N('THÁNG 10'!$N153))</f>
        <v/>
      </c>
      <c r="L746" s="0" t="str">
        <f aca="false">IF('THÁNG 10'!$C153="","",N('THÁNG 10'!$O153))</f>
        <v/>
      </c>
      <c r="M746" s="0" t="str">
        <f aca="false">IF('THÁNG 10'!$C153="","",N('THÁNG 10'!$P153))</f>
        <v/>
      </c>
      <c r="N746" s="0" t="str">
        <f aca="false">IF('THÁNG 10'!$C153="","",N('THÁNG 10'!$Q153))</f>
        <v/>
      </c>
      <c r="O746" s="0" t="str">
        <f aca="false">IF('THÁNG 10'!$C153="","",N('THÁNG 10'!$R153))</f>
        <v/>
      </c>
      <c r="P746" s="0" t="str">
        <f aca="false">IF(OR('THÁNG 10'!$C153="",'THÁNG 10'!$T153=""),"",'THÁNG 10'!$T153)</f>
        <v/>
      </c>
      <c r="Q746" s="0" t="str">
        <f aca="false">IF(OR('THÁNG 10'!$C153="",'THÁNG 10'!$U153=""),"",'THÁNG 10'!$U153)</f>
        <v/>
      </c>
      <c r="R746" s="0" t="str">
        <f aca="false">IF('THÁNG 10'!$C153="","",'THÁNG 10'!$W153&amp;"")</f>
        <v/>
      </c>
      <c r="S746" s="0" t="str">
        <f aca="false">IF('THÁNG 10'!$C153="","",'THÁNG 10'!$S153&amp;"")</f>
        <v/>
      </c>
      <c r="T746" s="0" t="str">
        <f aca="false">IF(N($O746)&gt;0,COUNTIF($O$3:$O746,"&gt;0"),"")</f>
        <v/>
      </c>
      <c r="U746" s="0" t="str">
        <f aca="false">IF(AND(N($J746)&gt;0,N($K746)&gt;0),COUNTIFS($J$3:$J746,"&gt;0",$K$3:$K746,"&gt;0"),"")</f>
        <v/>
      </c>
      <c r="V746" s="0" t="str">
        <f aca="false">IF(AND(N($J746)&gt;0,N($K746)=0),COUNTIFS($J$3:$J746,"&gt;0",$K$3:$K746,"&lt;=0"),"")</f>
        <v/>
      </c>
      <c r="W746" s="0" t="str">
        <f aca="false">IF($C746="","",IF(COUNTIF($C$3:$C746,$C746)&gt;1,"",MAX($W$2:W745)+1))</f>
        <v/>
      </c>
      <c r="X746" s="0" t="str">
        <f aca="false">IF($H746="","",IF(COUNTIF($H$3:$H746,$H746)&gt;1,"",MAX($X$2:X745)+1))</f>
        <v/>
      </c>
      <c r="Y746" s="0" t="str">
        <f aca="false">IF(AND(N($M746)&gt;0,N($O746)&lt;=0),COUNTIFS($M$3:$M746,"&gt;0",$O$3:$O746,"&lt;=0"),"")</f>
        <v/>
      </c>
      <c r="Z746" s="30" t="n">
        <f aca="false">IF(OR('THÁNG 10'!$C153="",'THÁNG 10'!$B153=""),0,'THÁNG 10'!$B153)</f>
        <v>0</v>
      </c>
    </row>
    <row r="747" customFormat="false" ht="15" hidden="false" customHeight="false" outlineLevel="0" collapsed="false">
      <c r="A747" s="0" t="n">
        <v>10</v>
      </c>
      <c r="B747" s="29" t="str">
        <f aca="false">IF(OR('THÁNG 10'!$C154="",'THÁNG 10'!$B154=""),"",'THÁNG 10'!$B154)</f>
        <v/>
      </c>
      <c r="C747" s="0" t="str">
        <f aca="false">IF('THÁNG 10'!$C154="","",'THÁNG 10'!$C154)</f>
        <v/>
      </c>
      <c r="D747" s="0" t="str">
        <f aca="false">IF('THÁNG 10'!$C154="","",'THÁNG 10'!$D154&amp;"")</f>
        <v/>
      </c>
      <c r="E747" s="0" t="str">
        <f aca="false">IF('THÁNG 10'!$C154="","",'THÁNG 10'!$E154&amp;"")</f>
        <v/>
      </c>
      <c r="F747" s="0" t="str">
        <f aca="false">IF('THÁNG 10'!$C154="","",'THÁNG 10'!$F154&amp;"")</f>
        <v/>
      </c>
      <c r="G747" s="0" t="str">
        <f aca="false">IF('THÁNG 10'!$C154="","",'THÁNG 10'!$G154&amp;"")</f>
        <v/>
      </c>
      <c r="H747" s="0" t="str">
        <f aca="false">IF('THÁNG 10'!$C154="","",'THÁNG 10'!$H154&amp;"")</f>
        <v/>
      </c>
      <c r="I747" s="0" t="str">
        <f aca="false">IF('THÁNG 10'!$C154="","",N('THÁNG 10'!$I154))</f>
        <v/>
      </c>
      <c r="J747" s="0" t="str">
        <f aca="false">IF('THÁNG 10'!$C154="","",N('THÁNG 10'!$L154))</f>
        <v/>
      </c>
      <c r="K747" s="0" t="str">
        <f aca="false">IF('THÁNG 10'!$C154="","",N('THÁNG 10'!$N154))</f>
        <v/>
      </c>
      <c r="L747" s="0" t="str">
        <f aca="false">IF('THÁNG 10'!$C154="","",N('THÁNG 10'!$O154))</f>
        <v/>
      </c>
      <c r="M747" s="0" t="str">
        <f aca="false">IF('THÁNG 10'!$C154="","",N('THÁNG 10'!$P154))</f>
        <v/>
      </c>
      <c r="N747" s="0" t="str">
        <f aca="false">IF('THÁNG 10'!$C154="","",N('THÁNG 10'!$Q154))</f>
        <v/>
      </c>
      <c r="O747" s="0" t="str">
        <f aca="false">IF('THÁNG 10'!$C154="","",N('THÁNG 10'!$R154))</f>
        <v/>
      </c>
      <c r="P747" s="0" t="str">
        <f aca="false">IF(OR('THÁNG 10'!$C154="",'THÁNG 10'!$T154=""),"",'THÁNG 10'!$T154)</f>
        <v/>
      </c>
      <c r="Q747" s="0" t="str">
        <f aca="false">IF(OR('THÁNG 10'!$C154="",'THÁNG 10'!$U154=""),"",'THÁNG 10'!$U154)</f>
        <v/>
      </c>
      <c r="R747" s="0" t="str">
        <f aca="false">IF('THÁNG 10'!$C154="","",'THÁNG 10'!$W154&amp;"")</f>
        <v/>
      </c>
      <c r="S747" s="0" t="str">
        <f aca="false">IF('THÁNG 10'!$C154="","",'THÁNG 10'!$S154&amp;"")</f>
        <v/>
      </c>
      <c r="T747" s="0" t="str">
        <f aca="false">IF(N($O747)&gt;0,COUNTIF($O$3:$O747,"&gt;0"),"")</f>
        <v/>
      </c>
      <c r="U747" s="0" t="str">
        <f aca="false">IF(AND(N($J747)&gt;0,N($K747)&gt;0),COUNTIFS($J$3:$J747,"&gt;0",$K$3:$K747,"&gt;0"),"")</f>
        <v/>
      </c>
      <c r="V747" s="0" t="str">
        <f aca="false">IF(AND(N($J747)&gt;0,N($K747)=0),COUNTIFS($J$3:$J747,"&gt;0",$K$3:$K747,"&lt;=0"),"")</f>
        <v/>
      </c>
      <c r="W747" s="0" t="str">
        <f aca="false">IF($C747="","",IF(COUNTIF($C$3:$C747,$C747)&gt;1,"",MAX($W$2:W746)+1))</f>
        <v/>
      </c>
      <c r="X747" s="0" t="str">
        <f aca="false">IF($H747="","",IF(COUNTIF($H$3:$H747,$H747)&gt;1,"",MAX($X$2:X746)+1))</f>
        <v/>
      </c>
      <c r="Y747" s="0" t="str">
        <f aca="false">IF(AND(N($M747)&gt;0,N($O747)&lt;=0),COUNTIFS($M$3:$M747,"&gt;0",$O$3:$O747,"&lt;=0"),"")</f>
        <v/>
      </c>
      <c r="Z747" s="30" t="n">
        <f aca="false">IF(OR('THÁNG 10'!$C154="",'THÁNG 10'!$B154=""),0,'THÁNG 10'!$B154)</f>
        <v>0</v>
      </c>
    </row>
    <row r="748" customFormat="false" ht="15" hidden="false" customHeight="false" outlineLevel="0" collapsed="false">
      <c r="A748" s="0" t="n">
        <v>10</v>
      </c>
      <c r="B748" s="29" t="str">
        <f aca="false">IF(OR('THÁNG 10'!$C155="",'THÁNG 10'!$B155=""),"",'THÁNG 10'!$B155)</f>
        <v/>
      </c>
      <c r="C748" s="0" t="str">
        <f aca="false">IF('THÁNG 10'!$C155="","",'THÁNG 10'!$C155)</f>
        <v/>
      </c>
      <c r="D748" s="0" t="str">
        <f aca="false">IF('THÁNG 10'!$C155="","",'THÁNG 10'!$D155&amp;"")</f>
        <v/>
      </c>
      <c r="E748" s="0" t="str">
        <f aca="false">IF('THÁNG 10'!$C155="","",'THÁNG 10'!$E155&amp;"")</f>
        <v/>
      </c>
      <c r="F748" s="0" t="str">
        <f aca="false">IF('THÁNG 10'!$C155="","",'THÁNG 10'!$F155&amp;"")</f>
        <v/>
      </c>
      <c r="G748" s="0" t="str">
        <f aca="false">IF('THÁNG 10'!$C155="","",'THÁNG 10'!$G155&amp;"")</f>
        <v/>
      </c>
      <c r="H748" s="0" t="str">
        <f aca="false">IF('THÁNG 10'!$C155="","",'THÁNG 10'!$H155&amp;"")</f>
        <v/>
      </c>
      <c r="I748" s="0" t="str">
        <f aca="false">IF('THÁNG 10'!$C155="","",N('THÁNG 10'!$I155))</f>
        <v/>
      </c>
      <c r="J748" s="0" t="str">
        <f aca="false">IF('THÁNG 10'!$C155="","",N('THÁNG 10'!$L155))</f>
        <v/>
      </c>
      <c r="K748" s="0" t="str">
        <f aca="false">IF('THÁNG 10'!$C155="","",N('THÁNG 10'!$N155))</f>
        <v/>
      </c>
      <c r="L748" s="0" t="str">
        <f aca="false">IF('THÁNG 10'!$C155="","",N('THÁNG 10'!$O155))</f>
        <v/>
      </c>
      <c r="M748" s="0" t="str">
        <f aca="false">IF('THÁNG 10'!$C155="","",N('THÁNG 10'!$P155))</f>
        <v/>
      </c>
      <c r="N748" s="0" t="str">
        <f aca="false">IF('THÁNG 10'!$C155="","",N('THÁNG 10'!$Q155))</f>
        <v/>
      </c>
      <c r="O748" s="0" t="str">
        <f aca="false">IF('THÁNG 10'!$C155="","",N('THÁNG 10'!$R155))</f>
        <v/>
      </c>
      <c r="P748" s="0" t="str">
        <f aca="false">IF(OR('THÁNG 10'!$C155="",'THÁNG 10'!$T155=""),"",'THÁNG 10'!$T155)</f>
        <v/>
      </c>
      <c r="Q748" s="0" t="str">
        <f aca="false">IF(OR('THÁNG 10'!$C155="",'THÁNG 10'!$U155=""),"",'THÁNG 10'!$U155)</f>
        <v/>
      </c>
      <c r="R748" s="0" t="str">
        <f aca="false">IF('THÁNG 10'!$C155="","",'THÁNG 10'!$W155&amp;"")</f>
        <v/>
      </c>
      <c r="S748" s="0" t="str">
        <f aca="false">IF('THÁNG 10'!$C155="","",'THÁNG 10'!$S155&amp;"")</f>
        <v/>
      </c>
      <c r="T748" s="0" t="str">
        <f aca="false">IF(N($O748)&gt;0,COUNTIF($O$3:$O748,"&gt;0"),"")</f>
        <v/>
      </c>
      <c r="U748" s="0" t="str">
        <f aca="false">IF(AND(N($J748)&gt;0,N($K748)&gt;0),COUNTIFS($J$3:$J748,"&gt;0",$K$3:$K748,"&gt;0"),"")</f>
        <v/>
      </c>
      <c r="V748" s="0" t="str">
        <f aca="false">IF(AND(N($J748)&gt;0,N($K748)=0),COUNTIFS($J$3:$J748,"&gt;0",$K$3:$K748,"&lt;=0"),"")</f>
        <v/>
      </c>
      <c r="W748" s="0" t="str">
        <f aca="false">IF($C748="","",IF(COUNTIF($C$3:$C748,$C748)&gt;1,"",MAX($W$2:W747)+1))</f>
        <v/>
      </c>
      <c r="X748" s="0" t="str">
        <f aca="false">IF($H748="","",IF(COUNTIF($H$3:$H748,$H748)&gt;1,"",MAX($X$2:X747)+1))</f>
        <v/>
      </c>
      <c r="Y748" s="0" t="str">
        <f aca="false">IF(AND(N($M748)&gt;0,N($O748)&lt;=0),COUNTIFS($M$3:$M748,"&gt;0",$O$3:$O748,"&lt;=0"),"")</f>
        <v/>
      </c>
      <c r="Z748" s="30" t="n">
        <f aca="false">IF(OR('THÁNG 10'!$C155="",'THÁNG 10'!$B155=""),0,'THÁNG 10'!$B155)</f>
        <v>0</v>
      </c>
    </row>
    <row r="749" customFormat="false" ht="15" hidden="false" customHeight="false" outlineLevel="0" collapsed="false">
      <c r="A749" s="0" t="n">
        <v>10</v>
      </c>
      <c r="B749" s="29" t="str">
        <f aca="false">IF(OR('THÁNG 10'!$C156="",'THÁNG 10'!$B156=""),"",'THÁNG 10'!$B156)</f>
        <v/>
      </c>
      <c r="C749" s="0" t="str">
        <f aca="false">IF('THÁNG 10'!$C156="","",'THÁNG 10'!$C156)</f>
        <v/>
      </c>
      <c r="D749" s="0" t="str">
        <f aca="false">IF('THÁNG 10'!$C156="","",'THÁNG 10'!$D156&amp;"")</f>
        <v/>
      </c>
      <c r="E749" s="0" t="str">
        <f aca="false">IF('THÁNG 10'!$C156="","",'THÁNG 10'!$E156&amp;"")</f>
        <v/>
      </c>
      <c r="F749" s="0" t="str">
        <f aca="false">IF('THÁNG 10'!$C156="","",'THÁNG 10'!$F156&amp;"")</f>
        <v/>
      </c>
      <c r="G749" s="0" t="str">
        <f aca="false">IF('THÁNG 10'!$C156="","",'THÁNG 10'!$G156&amp;"")</f>
        <v/>
      </c>
      <c r="H749" s="0" t="str">
        <f aca="false">IF('THÁNG 10'!$C156="","",'THÁNG 10'!$H156&amp;"")</f>
        <v/>
      </c>
      <c r="I749" s="0" t="str">
        <f aca="false">IF('THÁNG 10'!$C156="","",N('THÁNG 10'!$I156))</f>
        <v/>
      </c>
      <c r="J749" s="0" t="str">
        <f aca="false">IF('THÁNG 10'!$C156="","",N('THÁNG 10'!$L156))</f>
        <v/>
      </c>
      <c r="K749" s="0" t="str">
        <f aca="false">IF('THÁNG 10'!$C156="","",N('THÁNG 10'!$N156))</f>
        <v/>
      </c>
      <c r="L749" s="0" t="str">
        <f aca="false">IF('THÁNG 10'!$C156="","",N('THÁNG 10'!$O156))</f>
        <v/>
      </c>
      <c r="M749" s="0" t="str">
        <f aca="false">IF('THÁNG 10'!$C156="","",N('THÁNG 10'!$P156))</f>
        <v/>
      </c>
      <c r="N749" s="0" t="str">
        <f aca="false">IF('THÁNG 10'!$C156="","",N('THÁNG 10'!$Q156))</f>
        <v/>
      </c>
      <c r="O749" s="0" t="str">
        <f aca="false">IF('THÁNG 10'!$C156="","",N('THÁNG 10'!$R156))</f>
        <v/>
      </c>
      <c r="P749" s="0" t="str">
        <f aca="false">IF(OR('THÁNG 10'!$C156="",'THÁNG 10'!$T156=""),"",'THÁNG 10'!$T156)</f>
        <v/>
      </c>
      <c r="Q749" s="0" t="str">
        <f aca="false">IF(OR('THÁNG 10'!$C156="",'THÁNG 10'!$U156=""),"",'THÁNG 10'!$U156)</f>
        <v/>
      </c>
      <c r="R749" s="0" t="str">
        <f aca="false">IF('THÁNG 10'!$C156="","",'THÁNG 10'!$W156&amp;"")</f>
        <v/>
      </c>
      <c r="S749" s="0" t="str">
        <f aca="false">IF('THÁNG 10'!$C156="","",'THÁNG 10'!$S156&amp;"")</f>
        <v/>
      </c>
      <c r="T749" s="0" t="str">
        <f aca="false">IF(N($O749)&gt;0,COUNTIF($O$3:$O749,"&gt;0"),"")</f>
        <v/>
      </c>
      <c r="U749" s="0" t="str">
        <f aca="false">IF(AND(N($J749)&gt;0,N($K749)&gt;0),COUNTIFS($J$3:$J749,"&gt;0",$K$3:$K749,"&gt;0"),"")</f>
        <v/>
      </c>
      <c r="V749" s="0" t="str">
        <f aca="false">IF(AND(N($J749)&gt;0,N($K749)=0),COUNTIFS($J$3:$J749,"&gt;0",$K$3:$K749,"&lt;=0"),"")</f>
        <v/>
      </c>
      <c r="W749" s="0" t="str">
        <f aca="false">IF($C749="","",IF(COUNTIF($C$3:$C749,$C749)&gt;1,"",MAX($W$2:W748)+1))</f>
        <v/>
      </c>
      <c r="X749" s="0" t="str">
        <f aca="false">IF($H749="","",IF(COUNTIF($H$3:$H749,$H749)&gt;1,"",MAX($X$2:X748)+1))</f>
        <v/>
      </c>
      <c r="Y749" s="0" t="str">
        <f aca="false">IF(AND(N($M749)&gt;0,N($O749)&lt;=0),COUNTIFS($M$3:$M749,"&gt;0",$O$3:$O749,"&lt;=0"),"")</f>
        <v/>
      </c>
      <c r="Z749" s="30" t="n">
        <f aca="false">IF(OR('THÁNG 10'!$C156="",'THÁNG 10'!$B156=""),0,'THÁNG 10'!$B156)</f>
        <v>0</v>
      </c>
    </row>
    <row r="750" customFormat="false" ht="15" hidden="false" customHeight="false" outlineLevel="0" collapsed="false">
      <c r="A750" s="0" t="n">
        <v>10</v>
      </c>
      <c r="B750" s="29" t="str">
        <f aca="false">IF(OR('THÁNG 10'!$C157="",'THÁNG 10'!$B157=""),"",'THÁNG 10'!$B157)</f>
        <v/>
      </c>
      <c r="C750" s="0" t="str">
        <f aca="false">IF('THÁNG 10'!$C157="","",'THÁNG 10'!$C157)</f>
        <v/>
      </c>
      <c r="D750" s="0" t="str">
        <f aca="false">IF('THÁNG 10'!$C157="","",'THÁNG 10'!$D157&amp;"")</f>
        <v/>
      </c>
      <c r="E750" s="0" t="str">
        <f aca="false">IF('THÁNG 10'!$C157="","",'THÁNG 10'!$E157&amp;"")</f>
        <v/>
      </c>
      <c r="F750" s="0" t="str">
        <f aca="false">IF('THÁNG 10'!$C157="","",'THÁNG 10'!$F157&amp;"")</f>
        <v/>
      </c>
      <c r="G750" s="0" t="str">
        <f aca="false">IF('THÁNG 10'!$C157="","",'THÁNG 10'!$G157&amp;"")</f>
        <v/>
      </c>
      <c r="H750" s="0" t="str">
        <f aca="false">IF('THÁNG 10'!$C157="","",'THÁNG 10'!$H157&amp;"")</f>
        <v/>
      </c>
      <c r="I750" s="0" t="str">
        <f aca="false">IF('THÁNG 10'!$C157="","",N('THÁNG 10'!$I157))</f>
        <v/>
      </c>
      <c r="J750" s="0" t="str">
        <f aca="false">IF('THÁNG 10'!$C157="","",N('THÁNG 10'!$L157))</f>
        <v/>
      </c>
      <c r="K750" s="0" t="str">
        <f aca="false">IF('THÁNG 10'!$C157="","",N('THÁNG 10'!$N157))</f>
        <v/>
      </c>
      <c r="L750" s="0" t="str">
        <f aca="false">IF('THÁNG 10'!$C157="","",N('THÁNG 10'!$O157))</f>
        <v/>
      </c>
      <c r="M750" s="0" t="str">
        <f aca="false">IF('THÁNG 10'!$C157="","",N('THÁNG 10'!$P157))</f>
        <v/>
      </c>
      <c r="N750" s="0" t="str">
        <f aca="false">IF('THÁNG 10'!$C157="","",N('THÁNG 10'!$Q157))</f>
        <v/>
      </c>
      <c r="O750" s="0" t="str">
        <f aca="false">IF('THÁNG 10'!$C157="","",N('THÁNG 10'!$R157))</f>
        <v/>
      </c>
      <c r="P750" s="0" t="str">
        <f aca="false">IF(OR('THÁNG 10'!$C157="",'THÁNG 10'!$T157=""),"",'THÁNG 10'!$T157)</f>
        <v/>
      </c>
      <c r="Q750" s="0" t="str">
        <f aca="false">IF(OR('THÁNG 10'!$C157="",'THÁNG 10'!$U157=""),"",'THÁNG 10'!$U157)</f>
        <v/>
      </c>
      <c r="R750" s="0" t="str">
        <f aca="false">IF('THÁNG 10'!$C157="","",'THÁNG 10'!$W157&amp;"")</f>
        <v/>
      </c>
      <c r="S750" s="0" t="str">
        <f aca="false">IF('THÁNG 10'!$C157="","",'THÁNG 10'!$S157&amp;"")</f>
        <v/>
      </c>
      <c r="T750" s="0" t="str">
        <f aca="false">IF(N($O750)&gt;0,COUNTIF($O$3:$O750,"&gt;0"),"")</f>
        <v/>
      </c>
      <c r="U750" s="0" t="str">
        <f aca="false">IF(AND(N($J750)&gt;0,N($K750)&gt;0),COUNTIFS($J$3:$J750,"&gt;0",$K$3:$K750,"&gt;0"),"")</f>
        <v/>
      </c>
      <c r="V750" s="0" t="str">
        <f aca="false">IF(AND(N($J750)&gt;0,N($K750)=0),COUNTIFS($J$3:$J750,"&gt;0",$K$3:$K750,"&lt;=0"),"")</f>
        <v/>
      </c>
      <c r="W750" s="0" t="str">
        <f aca="false">IF($C750="","",IF(COUNTIF($C$3:$C750,$C750)&gt;1,"",MAX($W$2:W749)+1))</f>
        <v/>
      </c>
      <c r="X750" s="0" t="str">
        <f aca="false">IF($H750="","",IF(COUNTIF($H$3:$H750,$H750)&gt;1,"",MAX($X$2:X749)+1))</f>
        <v/>
      </c>
      <c r="Y750" s="0" t="str">
        <f aca="false">IF(AND(N($M750)&gt;0,N($O750)&lt;=0),COUNTIFS($M$3:$M750,"&gt;0",$O$3:$O750,"&lt;=0"),"")</f>
        <v/>
      </c>
      <c r="Z750" s="30" t="n">
        <f aca="false">IF(OR('THÁNG 10'!$C157="",'THÁNG 10'!$B157=""),0,'THÁNG 10'!$B157)</f>
        <v>0</v>
      </c>
    </row>
    <row r="751" customFormat="false" ht="15" hidden="false" customHeight="false" outlineLevel="0" collapsed="false">
      <c r="A751" s="0" t="n">
        <v>10</v>
      </c>
      <c r="B751" s="29" t="str">
        <f aca="false">IF(OR('THÁNG 10'!$C158="",'THÁNG 10'!$B158=""),"",'THÁNG 10'!$B158)</f>
        <v/>
      </c>
      <c r="C751" s="0" t="str">
        <f aca="false">IF('THÁNG 10'!$C158="","",'THÁNG 10'!$C158)</f>
        <v/>
      </c>
      <c r="D751" s="0" t="str">
        <f aca="false">IF('THÁNG 10'!$C158="","",'THÁNG 10'!$D158&amp;"")</f>
        <v/>
      </c>
      <c r="E751" s="0" t="str">
        <f aca="false">IF('THÁNG 10'!$C158="","",'THÁNG 10'!$E158&amp;"")</f>
        <v/>
      </c>
      <c r="F751" s="0" t="str">
        <f aca="false">IF('THÁNG 10'!$C158="","",'THÁNG 10'!$F158&amp;"")</f>
        <v/>
      </c>
      <c r="G751" s="0" t="str">
        <f aca="false">IF('THÁNG 10'!$C158="","",'THÁNG 10'!$G158&amp;"")</f>
        <v/>
      </c>
      <c r="H751" s="0" t="str">
        <f aca="false">IF('THÁNG 10'!$C158="","",'THÁNG 10'!$H158&amp;"")</f>
        <v/>
      </c>
      <c r="I751" s="0" t="str">
        <f aca="false">IF('THÁNG 10'!$C158="","",N('THÁNG 10'!$I158))</f>
        <v/>
      </c>
      <c r="J751" s="0" t="str">
        <f aca="false">IF('THÁNG 10'!$C158="","",N('THÁNG 10'!$L158))</f>
        <v/>
      </c>
      <c r="K751" s="0" t="str">
        <f aca="false">IF('THÁNG 10'!$C158="","",N('THÁNG 10'!$N158))</f>
        <v/>
      </c>
      <c r="L751" s="0" t="str">
        <f aca="false">IF('THÁNG 10'!$C158="","",N('THÁNG 10'!$O158))</f>
        <v/>
      </c>
      <c r="M751" s="0" t="str">
        <f aca="false">IF('THÁNG 10'!$C158="","",N('THÁNG 10'!$P158))</f>
        <v/>
      </c>
      <c r="N751" s="0" t="str">
        <f aca="false">IF('THÁNG 10'!$C158="","",N('THÁNG 10'!$Q158))</f>
        <v/>
      </c>
      <c r="O751" s="0" t="str">
        <f aca="false">IF('THÁNG 10'!$C158="","",N('THÁNG 10'!$R158))</f>
        <v/>
      </c>
      <c r="P751" s="0" t="str">
        <f aca="false">IF(OR('THÁNG 10'!$C158="",'THÁNG 10'!$T158=""),"",'THÁNG 10'!$T158)</f>
        <v/>
      </c>
      <c r="Q751" s="0" t="str">
        <f aca="false">IF(OR('THÁNG 10'!$C158="",'THÁNG 10'!$U158=""),"",'THÁNG 10'!$U158)</f>
        <v/>
      </c>
      <c r="R751" s="0" t="str">
        <f aca="false">IF('THÁNG 10'!$C158="","",'THÁNG 10'!$W158&amp;"")</f>
        <v/>
      </c>
      <c r="S751" s="0" t="str">
        <f aca="false">IF('THÁNG 10'!$C158="","",'THÁNG 10'!$S158&amp;"")</f>
        <v/>
      </c>
      <c r="T751" s="0" t="str">
        <f aca="false">IF(N($O751)&gt;0,COUNTIF($O$3:$O751,"&gt;0"),"")</f>
        <v/>
      </c>
      <c r="U751" s="0" t="str">
        <f aca="false">IF(AND(N($J751)&gt;0,N($K751)&gt;0),COUNTIFS($J$3:$J751,"&gt;0",$K$3:$K751,"&gt;0"),"")</f>
        <v/>
      </c>
      <c r="V751" s="0" t="str">
        <f aca="false">IF(AND(N($J751)&gt;0,N($K751)=0),COUNTIFS($J$3:$J751,"&gt;0",$K$3:$K751,"&lt;=0"),"")</f>
        <v/>
      </c>
      <c r="W751" s="0" t="str">
        <f aca="false">IF($C751="","",IF(COUNTIF($C$3:$C751,$C751)&gt;1,"",MAX($W$2:W750)+1))</f>
        <v/>
      </c>
      <c r="X751" s="0" t="str">
        <f aca="false">IF($H751="","",IF(COUNTIF($H$3:$H751,$H751)&gt;1,"",MAX($X$2:X750)+1))</f>
        <v/>
      </c>
      <c r="Y751" s="0" t="str">
        <f aca="false">IF(AND(N($M751)&gt;0,N($O751)&lt;=0),COUNTIFS($M$3:$M751,"&gt;0",$O$3:$O751,"&lt;=0"),"")</f>
        <v/>
      </c>
      <c r="Z751" s="30" t="n">
        <f aca="false">IF(OR('THÁNG 10'!$C158="",'THÁNG 10'!$B158=""),0,'THÁNG 10'!$B158)</f>
        <v>0</v>
      </c>
    </row>
    <row r="752" customFormat="false" ht="15" hidden="false" customHeight="false" outlineLevel="0" collapsed="false">
      <c r="A752" s="0" t="n">
        <v>10</v>
      </c>
      <c r="B752" s="29" t="str">
        <f aca="false">IF(OR('THÁNG 10'!$C159="",'THÁNG 10'!$B159=""),"",'THÁNG 10'!$B159)</f>
        <v/>
      </c>
      <c r="C752" s="0" t="str">
        <f aca="false">IF('THÁNG 10'!$C159="","",'THÁNG 10'!$C159)</f>
        <v/>
      </c>
      <c r="D752" s="0" t="str">
        <f aca="false">IF('THÁNG 10'!$C159="","",'THÁNG 10'!$D159&amp;"")</f>
        <v/>
      </c>
      <c r="E752" s="0" t="str">
        <f aca="false">IF('THÁNG 10'!$C159="","",'THÁNG 10'!$E159&amp;"")</f>
        <v/>
      </c>
      <c r="F752" s="0" t="str">
        <f aca="false">IF('THÁNG 10'!$C159="","",'THÁNG 10'!$F159&amp;"")</f>
        <v/>
      </c>
      <c r="G752" s="0" t="str">
        <f aca="false">IF('THÁNG 10'!$C159="","",'THÁNG 10'!$G159&amp;"")</f>
        <v/>
      </c>
      <c r="H752" s="0" t="str">
        <f aca="false">IF('THÁNG 10'!$C159="","",'THÁNG 10'!$H159&amp;"")</f>
        <v/>
      </c>
      <c r="I752" s="0" t="str">
        <f aca="false">IF('THÁNG 10'!$C159="","",N('THÁNG 10'!$I159))</f>
        <v/>
      </c>
      <c r="J752" s="0" t="str">
        <f aca="false">IF('THÁNG 10'!$C159="","",N('THÁNG 10'!$L159))</f>
        <v/>
      </c>
      <c r="K752" s="0" t="str">
        <f aca="false">IF('THÁNG 10'!$C159="","",N('THÁNG 10'!$N159))</f>
        <v/>
      </c>
      <c r="L752" s="0" t="str">
        <f aca="false">IF('THÁNG 10'!$C159="","",N('THÁNG 10'!$O159))</f>
        <v/>
      </c>
      <c r="M752" s="0" t="str">
        <f aca="false">IF('THÁNG 10'!$C159="","",N('THÁNG 10'!$P159))</f>
        <v/>
      </c>
      <c r="N752" s="0" t="str">
        <f aca="false">IF('THÁNG 10'!$C159="","",N('THÁNG 10'!$Q159))</f>
        <v/>
      </c>
      <c r="O752" s="0" t="str">
        <f aca="false">IF('THÁNG 10'!$C159="","",N('THÁNG 10'!$R159))</f>
        <v/>
      </c>
      <c r="P752" s="0" t="str">
        <f aca="false">IF(OR('THÁNG 10'!$C159="",'THÁNG 10'!$T159=""),"",'THÁNG 10'!$T159)</f>
        <v/>
      </c>
      <c r="Q752" s="0" t="str">
        <f aca="false">IF(OR('THÁNG 10'!$C159="",'THÁNG 10'!$U159=""),"",'THÁNG 10'!$U159)</f>
        <v/>
      </c>
      <c r="R752" s="0" t="str">
        <f aca="false">IF('THÁNG 10'!$C159="","",'THÁNG 10'!$W159&amp;"")</f>
        <v/>
      </c>
      <c r="S752" s="0" t="str">
        <f aca="false">IF('THÁNG 10'!$C159="","",'THÁNG 10'!$S159&amp;"")</f>
        <v/>
      </c>
      <c r="T752" s="0" t="str">
        <f aca="false">IF(N($O752)&gt;0,COUNTIF($O$3:$O752,"&gt;0"),"")</f>
        <v/>
      </c>
      <c r="U752" s="0" t="str">
        <f aca="false">IF(AND(N($J752)&gt;0,N($K752)&gt;0),COUNTIFS($J$3:$J752,"&gt;0",$K$3:$K752,"&gt;0"),"")</f>
        <v/>
      </c>
      <c r="V752" s="0" t="str">
        <f aca="false">IF(AND(N($J752)&gt;0,N($K752)=0),COUNTIFS($J$3:$J752,"&gt;0",$K$3:$K752,"&lt;=0"),"")</f>
        <v/>
      </c>
      <c r="W752" s="0" t="str">
        <f aca="false">IF($C752="","",IF(COUNTIF($C$3:$C752,$C752)&gt;1,"",MAX($W$2:W751)+1))</f>
        <v/>
      </c>
      <c r="X752" s="0" t="str">
        <f aca="false">IF($H752="","",IF(COUNTIF($H$3:$H752,$H752)&gt;1,"",MAX($X$2:X751)+1))</f>
        <v/>
      </c>
      <c r="Y752" s="0" t="str">
        <f aca="false">IF(AND(N($M752)&gt;0,N($O752)&lt;=0),COUNTIFS($M$3:$M752,"&gt;0",$O$3:$O752,"&lt;=0"),"")</f>
        <v/>
      </c>
      <c r="Z752" s="30" t="n">
        <f aca="false">IF(OR('THÁNG 10'!$C159="",'THÁNG 10'!$B159=""),0,'THÁNG 10'!$B159)</f>
        <v>0</v>
      </c>
    </row>
    <row r="753" customFormat="false" ht="15" hidden="false" customHeight="false" outlineLevel="0" collapsed="false">
      <c r="A753" s="0" t="n">
        <v>11</v>
      </c>
      <c r="B753" s="29" t="str">
        <f aca="false">IF(OR('THÁNG 11'!$C10="",'THÁNG 11'!$B10=""),"",'THÁNG 11'!$B10)</f>
        <v/>
      </c>
      <c r="C753" s="0" t="str">
        <f aca="false">IF('THÁNG 11'!$C10="","",'THÁNG 11'!$C10)</f>
        <v/>
      </c>
      <c r="D753" s="0" t="str">
        <f aca="false">IF('THÁNG 11'!$C10="","",'THÁNG 11'!$D10&amp;"")</f>
        <v/>
      </c>
      <c r="E753" s="0" t="str">
        <f aca="false">IF('THÁNG 11'!$C10="","",'THÁNG 11'!$E10&amp;"")</f>
        <v/>
      </c>
      <c r="F753" s="0" t="str">
        <f aca="false">IF('THÁNG 11'!$C10="","",'THÁNG 11'!$F10&amp;"")</f>
        <v/>
      </c>
      <c r="G753" s="0" t="str">
        <f aca="false">IF('THÁNG 11'!$C10="","",'THÁNG 11'!$G10&amp;"")</f>
        <v/>
      </c>
      <c r="H753" s="0" t="str">
        <f aca="false">IF('THÁNG 11'!$C10="","",'THÁNG 11'!$H10&amp;"")</f>
        <v/>
      </c>
      <c r="I753" s="0" t="str">
        <f aca="false">IF('THÁNG 11'!$C10="","",N('THÁNG 11'!$I10))</f>
        <v/>
      </c>
      <c r="J753" s="0" t="str">
        <f aca="false">IF('THÁNG 11'!$C10="","",N('THÁNG 11'!$L10))</f>
        <v/>
      </c>
      <c r="K753" s="0" t="str">
        <f aca="false">IF('THÁNG 11'!$C10="","",N('THÁNG 11'!$N10))</f>
        <v/>
      </c>
      <c r="L753" s="0" t="str">
        <f aca="false">IF('THÁNG 11'!$C10="","",N('THÁNG 11'!$O10))</f>
        <v/>
      </c>
      <c r="M753" s="0" t="str">
        <f aca="false">IF('THÁNG 11'!$C10="","",N('THÁNG 11'!$P10))</f>
        <v/>
      </c>
      <c r="N753" s="0" t="str">
        <f aca="false">IF('THÁNG 11'!$C10="","",N('THÁNG 11'!$Q10))</f>
        <v/>
      </c>
      <c r="O753" s="0" t="str">
        <f aca="false">IF('THÁNG 11'!$C10="","",N('THÁNG 11'!$R10))</f>
        <v/>
      </c>
      <c r="P753" s="0" t="str">
        <f aca="false">IF(OR('THÁNG 11'!$C10="",'THÁNG 11'!$T10=""),"",'THÁNG 11'!$T10)</f>
        <v/>
      </c>
      <c r="Q753" s="0" t="str">
        <f aca="false">IF(OR('THÁNG 11'!$C10="",'THÁNG 11'!$U10=""),"",'THÁNG 11'!$U10)</f>
        <v/>
      </c>
      <c r="R753" s="0" t="str">
        <f aca="false">IF('THÁNG 11'!$C10="","",'THÁNG 11'!$W10&amp;"")</f>
        <v/>
      </c>
      <c r="S753" s="0" t="str">
        <f aca="false">IF('THÁNG 11'!$C10="","",'THÁNG 11'!$S10&amp;"")</f>
        <v/>
      </c>
      <c r="T753" s="0" t="str">
        <f aca="false">IF(N($O753)&gt;0,COUNTIF($O$3:$O753,"&gt;0"),"")</f>
        <v/>
      </c>
      <c r="U753" s="0" t="str">
        <f aca="false">IF(AND(N($J753)&gt;0,N($K753)&gt;0),COUNTIFS($J$3:$J753,"&gt;0",$K$3:$K753,"&gt;0"),"")</f>
        <v/>
      </c>
      <c r="V753" s="0" t="str">
        <f aca="false">IF(AND(N($J753)&gt;0,N($K753)=0),COUNTIFS($J$3:$J753,"&gt;0",$K$3:$K753,"&lt;=0"),"")</f>
        <v/>
      </c>
      <c r="W753" s="0" t="str">
        <f aca="false">IF($C753="","",IF(COUNTIF($C$3:$C753,$C753)&gt;1,"",MAX($W$2:W752)+1))</f>
        <v/>
      </c>
      <c r="X753" s="0" t="str">
        <f aca="false">IF($H753="","",IF(COUNTIF($H$3:$H753,$H753)&gt;1,"",MAX($X$2:X752)+1))</f>
        <v/>
      </c>
      <c r="Y753" s="0" t="str">
        <f aca="false">IF(AND(N($M753)&gt;0,N($O753)&lt;=0),COUNTIFS($M$3:$M753,"&gt;0",$O$3:$O753,"&lt;=0"),"")</f>
        <v/>
      </c>
      <c r="Z753" s="30" t="n">
        <f aca="false">IF(OR('THÁNG 11'!$C10="",'THÁNG 11'!$B10=""),0,'THÁNG 11'!$B10)</f>
        <v>0</v>
      </c>
    </row>
    <row r="754" customFormat="false" ht="15" hidden="false" customHeight="false" outlineLevel="0" collapsed="false">
      <c r="A754" s="0" t="n">
        <v>11</v>
      </c>
      <c r="B754" s="29" t="str">
        <f aca="false">IF(OR('THÁNG 11'!$C11="",'THÁNG 11'!$B11=""),"",'THÁNG 11'!$B11)</f>
        <v/>
      </c>
      <c r="C754" s="0" t="str">
        <f aca="false">IF('THÁNG 11'!$C11="","",'THÁNG 11'!$C11)</f>
        <v/>
      </c>
      <c r="D754" s="0" t="str">
        <f aca="false">IF('THÁNG 11'!$C11="","",'THÁNG 11'!$D11&amp;"")</f>
        <v/>
      </c>
      <c r="E754" s="0" t="str">
        <f aca="false">IF('THÁNG 11'!$C11="","",'THÁNG 11'!$E11&amp;"")</f>
        <v/>
      </c>
      <c r="F754" s="0" t="str">
        <f aca="false">IF('THÁNG 11'!$C11="","",'THÁNG 11'!$F11&amp;"")</f>
        <v/>
      </c>
      <c r="G754" s="0" t="str">
        <f aca="false">IF('THÁNG 11'!$C11="","",'THÁNG 11'!$G11&amp;"")</f>
        <v/>
      </c>
      <c r="H754" s="0" t="str">
        <f aca="false">IF('THÁNG 11'!$C11="","",'THÁNG 11'!$H11&amp;"")</f>
        <v/>
      </c>
      <c r="I754" s="0" t="str">
        <f aca="false">IF('THÁNG 11'!$C11="","",N('THÁNG 11'!$I11))</f>
        <v/>
      </c>
      <c r="J754" s="0" t="str">
        <f aca="false">IF('THÁNG 11'!$C11="","",N('THÁNG 11'!$L11))</f>
        <v/>
      </c>
      <c r="K754" s="0" t="str">
        <f aca="false">IF('THÁNG 11'!$C11="","",N('THÁNG 11'!$N11))</f>
        <v/>
      </c>
      <c r="L754" s="0" t="str">
        <f aca="false">IF('THÁNG 11'!$C11="","",N('THÁNG 11'!$O11))</f>
        <v/>
      </c>
      <c r="M754" s="0" t="str">
        <f aca="false">IF('THÁNG 11'!$C11="","",N('THÁNG 11'!$P11))</f>
        <v/>
      </c>
      <c r="N754" s="0" t="str">
        <f aca="false">IF('THÁNG 11'!$C11="","",N('THÁNG 11'!$Q11))</f>
        <v/>
      </c>
      <c r="O754" s="0" t="str">
        <f aca="false">IF('THÁNG 11'!$C11="","",N('THÁNG 11'!$R11))</f>
        <v/>
      </c>
      <c r="P754" s="0" t="str">
        <f aca="false">IF(OR('THÁNG 11'!$C11="",'THÁNG 11'!$T11=""),"",'THÁNG 11'!$T11)</f>
        <v/>
      </c>
      <c r="Q754" s="0" t="str">
        <f aca="false">IF(OR('THÁNG 11'!$C11="",'THÁNG 11'!$U11=""),"",'THÁNG 11'!$U11)</f>
        <v/>
      </c>
      <c r="R754" s="0" t="str">
        <f aca="false">IF('THÁNG 11'!$C11="","",'THÁNG 11'!$W11&amp;"")</f>
        <v/>
      </c>
      <c r="S754" s="0" t="str">
        <f aca="false">IF('THÁNG 11'!$C11="","",'THÁNG 11'!$S11&amp;"")</f>
        <v/>
      </c>
      <c r="T754" s="0" t="str">
        <f aca="false">IF(N($O754)&gt;0,COUNTIF($O$3:$O754,"&gt;0"),"")</f>
        <v/>
      </c>
      <c r="U754" s="0" t="str">
        <f aca="false">IF(AND(N($J754)&gt;0,N($K754)&gt;0),COUNTIFS($J$3:$J754,"&gt;0",$K$3:$K754,"&gt;0"),"")</f>
        <v/>
      </c>
      <c r="V754" s="0" t="str">
        <f aca="false">IF(AND(N($J754)&gt;0,N($K754)=0),COUNTIFS($J$3:$J754,"&gt;0",$K$3:$K754,"&lt;=0"),"")</f>
        <v/>
      </c>
      <c r="W754" s="0" t="str">
        <f aca="false">IF($C754="","",IF(COUNTIF($C$3:$C754,$C754)&gt;1,"",MAX($W$2:W753)+1))</f>
        <v/>
      </c>
      <c r="X754" s="0" t="str">
        <f aca="false">IF($H754="","",IF(COUNTIF($H$3:$H754,$H754)&gt;1,"",MAX($X$2:X753)+1))</f>
        <v/>
      </c>
      <c r="Y754" s="0" t="str">
        <f aca="false">IF(AND(N($M754)&gt;0,N($O754)&lt;=0),COUNTIFS($M$3:$M754,"&gt;0",$O$3:$O754,"&lt;=0"),"")</f>
        <v/>
      </c>
      <c r="Z754" s="30" t="n">
        <f aca="false">IF(OR('THÁNG 11'!$C11="",'THÁNG 11'!$B11=""),0,'THÁNG 11'!$B11)</f>
        <v>0</v>
      </c>
    </row>
    <row r="755" customFormat="false" ht="15" hidden="false" customHeight="false" outlineLevel="0" collapsed="false">
      <c r="A755" s="0" t="n">
        <v>11</v>
      </c>
      <c r="B755" s="29" t="str">
        <f aca="false">IF(OR('THÁNG 11'!$C12="",'THÁNG 11'!$B12=""),"",'THÁNG 11'!$B12)</f>
        <v/>
      </c>
      <c r="C755" s="0" t="str">
        <f aca="false">IF('THÁNG 11'!$C12="","",'THÁNG 11'!$C12)</f>
        <v/>
      </c>
      <c r="D755" s="0" t="str">
        <f aca="false">IF('THÁNG 11'!$C12="","",'THÁNG 11'!$D12&amp;"")</f>
        <v/>
      </c>
      <c r="E755" s="0" t="str">
        <f aca="false">IF('THÁNG 11'!$C12="","",'THÁNG 11'!$E12&amp;"")</f>
        <v/>
      </c>
      <c r="F755" s="0" t="str">
        <f aca="false">IF('THÁNG 11'!$C12="","",'THÁNG 11'!$F12&amp;"")</f>
        <v/>
      </c>
      <c r="G755" s="0" t="str">
        <f aca="false">IF('THÁNG 11'!$C12="","",'THÁNG 11'!$G12&amp;"")</f>
        <v/>
      </c>
      <c r="H755" s="0" t="str">
        <f aca="false">IF('THÁNG 11'!$C12="","",'THÁNG 11'!$H12&amp;"")</f>
        <v/>
      </c>
      <c r="I755" s="0" t="str">
        <f aca="false">IF('THÁNG 11'!$C12="","",N('THÁNG 11'!$I12))</f>
        <v/>
      </c>
      <c r="J755" s="0" t="str">
        <f aca="false">IF('THÁNG 11'!$C12="","",N('THÁNG 11'!$L12))</f>
        <v/>
      </c>
      <c r="K755" s="0" t="str">
        <f aca="false">IF('THÁNG 11'!$C12="","",N('THÁNG 11'!$N12))</f>
        <v/>
      </c>
      <c r="L755" s="0" t="str">
        <f aca="false">IF('THÁNG 11'!$C12="","",N('THÁNG 11'!$O12))</f>
        <v/>
      </c>
      <c r="M755" s="0" t="str">
        <f aca="false">IF('THÁNG 11'!$C12="","",N('THÁNG 11'!$P12))</f>
        <v/>
      </c>
      <c r="N755" s="0" t="str">
        <f aca="false">IF('THÁNG 11'!$C12="","",N('THÁNG 11'!$Q12))</f>
        <v/>
      </c>
      <c r="O755" s="0" t="str">
        <f aca="false">IF('THÁNG 11'!$C12="","",N('THÁNG 11'!$R12))</f>
        <v/>
      </c>
      <c r="P755" s="0" t="str">
        <f aca="false">IF(OR('THÁNG 11'!$C12="",'THÁNG 11'!$T12=""),"",'THÁNG 11'!$T12)</f>
        <v/>
      </c>
      <c r="Q755" s="0" t="str">
        <f aca="false">IF(OR('THÁNG 11'!$C12="",'THÁNG 11'!$U12=""),"",'THÁNG 11'!$U12)</f>
        <v/>
      </c>
      <c r="R755" s="0" t="str">
        <f aca="false">IF('THÁNG 11'!$C12="","",'THÁNG 11'!$W12&amp;"")</f>
        <v/>
      </c>
      <c r="S755" s="0" t="str">
        <f aca="false">IF('THÁNG 11'!$C12="","",'THÁNG 11'!$S12&amp;"")</f>
        <v/>
      </c>
      <c r="T755" s="0" t="str">
        <f aca="false">IF(N($O755)&gt;0,COUNTIF($O$3:$O755,"&gt;0"),"")</f>
        <v/>
      </c>
      <c r="U755" s="0" t="str">
        <f aca="false">IF(AND(N($J755)&gt;0,N($K755)&gt;0),COUNTIFS($J$3:$J755,"&gt;0",$K$3:$K755,"&gt;0"),"")</f>
        <v/>
      </c>
      <c r="V755" s="0" t="str">
        <f aca="false">IF(AND(N($J755)&gt;0,N($K755)=0),COUNTIFS($J$3:$J755,"&gt;0",$K$3:$K755,"&lt;=0"),"")</f>
        <v/>
      </c>
      <c r="W755" s="0" t="str">
        <f aca="false">IF($C755="","",IF(COUNTIF($C$3:$C755,$C755)&gt;1,"",MAX($W$2:W754)+1))</f>
        <v/>
      </c>
      <c r="X755" s="0" t="str">
        <f aca="false">IF($H755="","",IF(COUNTIF($H$3:$H755,$H755)&gt;1,"",MAX($X$2:X754)+1))</f>
        <v/>
      </c>
      <c r="Y755" s="0" t="str">
        <f aca="false">IF(AND(N($M755)&gt;0,N($O755)&lt;=0),COUNTIFS($M$3:$M755,"&gt;0",$O$3:$O755,"&lt;=0"),"")</f>
        <v/>
      </c>
      <c r="Z755" s="30" t="n">
        <f aca="false">IF(OR('THÁNG 11'!$C12="",'THÁNG 11'!$B12=""),0,'THÁNG 11'!$B12)</f>
        <v>0</v>
      </c>
    </row>
    <row r="756" customFormat="false" ht="15" hidden="false" customHeight="false" outlineLevel="0" collapsed="false">
      <c r="A756" s="0" t="n">
        <v>11</v>
      </c>
      <c r="B756" s="29" t="str">
        <f aca="false">IF(OR('THÁNG 11'!$C13="",'THÁNG 11'!$B13=""),"",'THÁNG 11'!$B13)</f>
        <v/>
      </c>
      <c r="C756" s="0" t="str">
        <f aca="false">IF('THÁNG 11'!$C13="","",'THÁNG 11'!$C13)</f>
        <v/>
      </c>
      <c r="D756" s="0" t="str">
        <f aca="false">IF('THÁNG 11'!$C13="","",'THÁNG 11'!$D13&amp;"")</f>
        <v/>
      </c>
      <c r="E756" s="0" t="str">
        <f aca="false">IF('THÁNG 11'!$C13="","",'THÁNG 11'!$E13&amp;"")</f>
        <v/>
      </c>
      <c r="F756" s="0" t="str">
        <f aca="false">IF('THÁNG 11'!$C13="","",'THÁNG 11'!$F13&amp;"")</f>
        <v/>
      </c>
      <c r="G756" s="0" t="str">
        <f aca="false">IF('THÁNG 11'!$C13="","",'THÁNG 11'!$G13&amp;"")</f>
        <v/>
      </c>
      <c r="H756" s="0" t="str">
        <f aca="false">IF('THÁNG 11'!$C13="","",'THÁNG 11'!$H13&amp;"")</f>
        <v/>
      </c>
      <c r="I756" s="0" t="str">
        <f aca="false">IF('THÁNG 11'!$C13="","",N('THÁNG 11'!$I13))</f>
        <v/>
      </c>
      <c r="J756" s="0" t="str">
        <f aca="false">IF('THÁNG 11'!$C13="","",N('THÁNG 11'!$L13))</f>
        <v/>
      </c>
      <c r="K756" s="0" t="str">
        <f aca="false">IF('THÁNG 11'!$C13="","",N('THÁNG 11'!$N13))</f>
        <v/>
      </c>
      <c r="L756" s="0" t="str">
        <f aca="false">IF('THÁNG 11'!$C13="","",N('THÁNG 11'!$O13))</f>
        <v/>
      </c>
      <c r="M756" s="0" t="str">
        <f aca="false">IF('THÁNG 11'!$C13="","",N('THÁNG 11'!$P13))</f>
        <v/>
      </c>
      <c r="N756" s="0" t="str">
        <f aca="false">IF('THÁNG 11'!$C13="","",N('THÁNG 11'!$Q13))</f>
        <v/>
      </c>
      <c r="O756" s="0" t="str">
        <f aca="false">IF('THÁNG 11'!$C13="","",N('THÁNG 11'!$R13))</f>
        <v/>
      </c>
      <c r="P756" s="0" t="str">
        <f aca="false">IF(OR('THÁNG 11'!$C13="",'THÁNG 11'!$T13=""),"",'THÁNG 11'!$T13)</f>
        <v/>
      </c>
      <c r="Q756" s="0" t="str">
        <f aca="false">IF(OR('THÁNG 11'!$C13="",'THÁNG 11'!$U13=""),"",'THÁNG 11'!$U13)</f>
        <v/>
      </c>
      <c r="R756" s="0" t="str">
        <f aca="false">IF('THÁNG 11'!$C13="","",'THÁNG 11'!$W13&amp;"")</f>
        <v/>
      </c>
      <c r="S756" s="0" t="str">
        <f aca="false">IF('THÁNG 11'!$C13="","",'THÁNG 11'!$S13&amp;"")</f>
        <v/>
      </c>
      <c r="T756" s="0" t="str">
        <f aca="false">IF(N($O756)&gt;0,COUNTIF($O$3:$O756,"&gt;0"),"")</f>
        <v/>
      </c>
      <c r="U756" s="0" t="str">
        <f aca="false">IF(AND(N($J756)&gt;0,N($K756)&gt;0),COUNTIFS($J$3:$J756,"&gt;0",$K$3:$K756,"&gt;0"),"")</f>
        <v/>
      </c>
      <c r="V756" s="0" t="str">
        <f aca="false">IF(AND(N($J756)&gt;0,N($K756)=0),COUNTIFS($J$3:$J756,"&gt;0",$K$3:$K756,"&lt;=0"),"")</f>
        <v/>
      </c>
      <c r="W756" s="0" t="str">
        <f aca="false">IF($C756="","",IF(COUNTIF($C$3:$C756,$C756)&gt;1,"",MAX($W$2:W755)+1))</f>
        <v/>
      </c>
      <c r="X756" s="0" t="str">
        <f aca="false">IF($H756="","",IF(COUNTIF($H$3:$H756,$H756)&gt;1,"",MAX($X$2:X755)+1))</f>
        <v/>
      </c>
      <c r="Y756" s="0" t="str">
        <f aca="false">IF(AND(N($M756)&gt;0,N($O756)&lt;=0),COUNTIFS($M$3:$M756,"&gt;0",$O$3:$O756,"&lt;=0"),"")</f>
        <v/>
      </c>
      <c r="Z756" s="30" t="n">
        <f aca="false">IF(OR('THÁNG 11'!$C13="",'THÁNG 11'!$B13=""),0,'THÁNG 11'!$B13)</f>
        <v>0</v>
      </c>
    </row>
    <row r="757" customFormat="false" ht="15" hidden="false" customHeight="false" outlineLevel="0" collapsed="false">
      <c r="A757" s="0" t="n">
        <v>11</v>
      </c>
      <c r="B757" s="29" t="str">
        <f aca="false">IF(OR('THÁNG 11'!$C14="",'THÁNG 11'!$B14=""),"",'THÁNG 11'!$B14)</f>
        <v/>
      </c>
      <c r="C757" s="0" t="str">
        <f aca="false">IF('THÁNG 11'!$C14="","",'THÁNG 11'!$C14)</f>
        <v/>
      </c>
      <c r="D757" s="0" t="str">
        <f aca="false">IF('THÁNG 11'!$C14="","",'THÁNG 11'!$D14&amp;"")</f>
        <v/>
      </c>
      <c r="E757" s="0" t="str">
        <f aca="false">IF('THÁNG 11'!$C14="","",'THÁNG 11'!$E14&amp;"")</f>
        <v/>
      </c>
      <c r="F757" s="0" t="str">
        <f aca="false">IF('THÁNG 11'!$C14="","",'THÁNG 11'!$F14&amp;"")</f>
        <v/>
      </c>
      <c r="G757" s="0" t="str">
        <f aca="false">IF('THÁNG 11'!$C14="","",'THÁNG 11'!$G14&amp;"")</f>
        <v/>
      </c>
      <c r="H757" s="0" t="str">
        <f aca="false">IF('THÁNG 11'!$C14="","",'THÁNG 11'!$H14&amp;"")</f>
        <v/>
      </c>
      <c r="I757" s="0" t="str">
        <f aca="false">IF('THÁNG 11'!$C14="","",N('THÁNG 11'!$I14))</f>
        <v/>
      </c>
      <c r="J757" s="0" t="str">
        <f aca="false">IF('THÁNG 11'!$C14="","",N('THÁNG 11'!$L14))</f>
        <v/>
      </c>
      <c r="K757" s="0" t="str">
        <f aca="false">IF('THÁNG 11'!$C14="","",N('THÁNG 11'!$N14))</f>
        <v/>
      </c>
      <c r="L757" s="0" t="str">
        <f aca="false">IF('THÁNG 11'!$C14="","",N('THÁNG 11'!$O14))</f>
        <v/>
      </c>
      <c r="M757" s="0" t="str">
        <f aca="false">IF('THÁNG 11'!$C14="","",N('THÁNG 11'!$P14))</f>
        <v/>
      </c>
      <c r="N757" s="0" t="str">
        <f aca="false">IF('THÁNG 11'!$C14="","",N('THÁNG 11'!$Q14))</f>
        <v/>
      </c>
      <c r="O757" s="0" t="str">
        <f aca="false">IF('THÁNG 11'!$C14="","",N('THÁNG 11'!$R14))</f>
        <v/>
      </c>
      <c r="P757" s="0" t="str">
        <f aca="false">IF(OR('THÁNG 11'!$C14="",'THÁNG 11'!$T14=""),"",'THÁNG 11'!$T14)</f>
        <v/>
      </c>
      <c r="Q757" s="0" t="str">
        <f aca="false">IF(OR('THÁNG 11'!$C14="",'THÁNG 11'!$U14=""),"",'THÁNG 11'!$U14)</f>
        <v/>
      </c>
      <c r="R757" s="0" t="str">
        <f aca="false">IF('THÁNG 11'!$C14="","",'THÁNG 11'!$W14&amp;"")</f>
        <v/>
      </c>
      <c r="S757" s="0" t="str">
        <f aca="false">IF('THÁNG 11'!$C14="","",'THÁNG 11'!$S14&amp;"")</f>
        <v/>
      </c>
      <c r="T757" s="0" t="str">
        <f aca="false">IF(N($O757)&gt;0,COUNTIF($O$3:$O757,"&gt;0"),"")</f>
        <v/>
      </c>
      <c r="U757" s="0" t="str">
        <f aca="false">IF(AND(N($J757)&gt;0,N($K757)&gt;0),COUNTIFS($J$3:$J757,"&gt;0",$K$3:$K757,"&gt;0"),"")</f>
        <v/>
      </c>
      <c r="V757" s="0" t="str">
        <f aca="false">IF(AND(N($J757)&gt;0,N($K757)=0),COUNTIFS($J$3:$J757,"&gt;0",$K$3:$K757,"&lt;=0"),"")</f>
        <v/>
      </c>
      <c r="W757" s="0" t="str">
        <f aca="false">IF($C757="","",IF(COUNTIF($C$3:$C757,$C757)&gt;1,"",MAX($W$2:W756)+1))</f>
        <v/>
      </c>
      <c r="X757" s="0" t="str">
        <f aca="false">IF($H757="","",IF(COUNTIF($H$3:$H757,$H757)&gt;1,"",MAX($X$2:X756)+1))</f>
        <v/>
      </c>
      <c r="Y757" s="0" t="str">
        <f aca="false">IF(AND(N($M757)&gt;0,N($O757)&lt;=0),COUNTIFS($M$3:$M757,"&gt;0",$O$3:$O757,"&lt;=0"),"")</f>
        <v/>
      </c>
      <c r="Z757" s="30" t="n">
        <f aca="false">IF(OR('THÁNG 11'!$C14="",'THÁNG 11'!$B14=""),0,'THÁNG 11'!$B14)</f>
        <v>0</v>
      </c>
    </row>
    <row r="758" customFormat="false" ht="15" hidden="false" customHeight="false" outlineLevel="0" collapsed="false">
      <c r="A758" s="0" t="n">
        <v>11</v>
      </c>
      <c r="B758" s="29" t="str">
        <f aca="false">IF(OR('THÁNG 11'!$C15="",'THÁNG 11'!$B15=""),"",'THÁNG 11'!$B15)</f>
        <v/>
      </c>
      <c r="C758" s="0" t="str">
        <f aca="false">IF('THÁNG 11'!$C15="","",'THÁNG 11'!$C15)</f>
        <v/>
      </c>
      <c r="D758" s="0" t="str">
        <f aca="false">IF('THÁNG 11'!$C15="","",'THÁNG 11'!$D15&amp;"")</f>
        <v/>
      </c>
      <c r="E758" s="0" t="str">
        <f aca="false">IF('THÁNG 11'!$C15="","",'THÁNG 11'!$E15&amp;"")</f>
        <v/>
      </c>
      <c r="F758" s="0" t="str">
        <f aca="false">IF('THÁNG 11'!$C15="","",'THÁNG 11'!$F15&amp;"")</f>
        <v/>
      </c>
      <c r="G758" s="0" t="str">
        <f aca="false">IF('THÁNG 11'!$C15="","",'THÁNG 11'!$G15&amp;"")</f>
        <v/>
      </c>
      <c r="H758" s="0" t="str">
        <f aca="false">IF('THÁNG 11'!$C15="","",'THÁNG 11'!$H15&amp;"")</f>
        <v/>
      </c>
      <c r="I758" s="0" t="str">
        <f aca="false">IF('THÁNG 11'!$C15="","",N('THÁNG 11'!$I15))</f>
        <v/>
      </c>
      <c r="J758" s="0" t="str">
        <f aca="false">IF('THÁNG 11'!$C15="","",N('THÁNG 11'!$L15))</f>
        <v/>
      </c>
      <c r="K758" s="0" t="str">
        <f aca="false">IF('THÁNG 11'!$C15="","",N('THÁNG 11'!$N15))</f>
        <v/>
      </c>
      <c r="L758" s="0" t="str">
        <f aca="false">IF('THÁNG 11'!$C15="","",N('THÁNG 11'!$O15))</f>
        <v/>
      </c>
      <c r="M758" s="0" t="str">
        <f aca="false">IF('THÁNG 11'!$C15="","",N('THÁNG 11'!$P15))</f>
        <v/>
      </c>
      <c r="N758" s="0" t="str">
        <f aca="false">IF('THÁNG 11'!$C15="","",N('THÁNG 11'!$Q15))</f>
        <v/>
      </c>
      <c r="O758" s="0" t="str">
        <f aca="false">IF('THÁNG 11'!$C15="","",N('THÁNG 11'!$R15))</f>
        <v/>
      </c>
      <c r="P758" s="0" t="str">
        <f aca="false">IF(OR('THÁNG 11'!$C15="",'THÁNG 11'!$T15=""),"",'THÁNG 11'!$T15)</f>
        <v/>
      </c>
      <c r="Q758" s="0" t="str">
        <f aca="false">IF(OR('THÁNG 11'!$C15="",'THÁNG 11'!$U15=""),"",'THÁNG 11'!$U15)</f>
        <v/>
      </c>
      <c r="R758" s="0" t="str">
        <f aca="false">IF('THÁNG 11'!$C15="","",'THÁNG 11'!$W15&amp;"")</f>
        <v/>
      </c>
      <c r="S758" s="0" t="str">
        <f aca="false">IF('THÁNG 11'!$C15="","",'THÁNG 11'!$S15&amp;"")</f>
        <v/>
      </c>
      <c r="T758" s="0" t="str">
        <f aca="false">IF(N($O758)&gt;0,COUNTIF($O$3:$O758,"&gt;0"),"")</f>
        <v/>
      </c>
      <c r="U758" s="0" t="str">
        <f aca="false">IF(AND(N($J758)&gt;0,N($K758)&gt;0),COUNTIFS($J$3:$J758,"&gt;0",$K$3:$K758,"&gt;0"),"")</f>
        <v/>
      </c>
      <c r="V758" s="0" t="str">
        <f aca="false">IF(AND(N($J758)&gt;0,N($K758)=0),COUNTIFS($J$3:$J758,"&gt;0",$K$3:$K758,"&lt;=0"),"")</f>
        <v/>
      </c>
      <c r="W758" s="0" t="str">
        <f aca="false">IF($C758="","",IF(COUNTIF($C$3:$C758,$C758)&gt;1,"",MAX($W$2:W757)+1))</f>
        <v/>
      </c>
      <c r="X758" s="0" t="str">
        <f aca="false">IF($H758="","",IF(COUNTIF($H$3:$H758,$H758)&gt;1,"",MAX($X$2:X757)+1))</f>
        <v/>
      </c>
      <c r="Y758" s="0" t="str">
        <f aca="false">IF(AND(N($M758)&gt;0,N($O758)&lt;=0),COUNTIFS($M$3:$M758,"&gt;0",$O$3:$O758,"&lt;=0"),"")</f>
        <v/>
      </c>
      <c r="Z758" s="30" t="n">
        <f aca="false">IF(OR('THÁNG 11'!$C15="",'THÁNG 11'!$B15=""),0,'THÁNG 11'!$B15)</f>
        <v>0</v>
      </c>
    </row>
    <row r="759" customFormat="false" ht="15" hidden="false" customHeight="false" outlineLevel="0" collapsed="false">
      <c r="A759" s="0" t="n">
        <v>11</v>
      </c>
      <c r="B759" s="29" t="str">
        <f aca="false">IF(OR('THÁNG 11'!$C16="",'THÁNG 11'!$B16=""),"",'THÁNG 11'!$B16)</f>
        <v/>
      </c>
      <c r="C759" s="0" t="str">
        <f aca="false">IF('THÁNG 11'!$C16="","",'THÁNG 11'!$C16)</f>
        <v/>
      </c>
      <c r="D759" s="0" t="str">
        <f aca="false">IF('THÁNG 11'!$C16="","",'THÁNG 11'!$D16&amp;"")</f>
        <v/>
      </c>
      <c r="E759" s="0" t="str">
        <f aca="false">IF('THÁNG 11'!$C16="","",'THÁNG 11'!$E16&amp;"")</f>
        <v/>
      </c>
      <c r="F759" s="0" t="str">
        <f aca="false">IF('THÁNG 11'!$C16="","",'THÁNG 11'!$F16&amp;"")</f>
        <v/>
      </c>
      <c r="G759" s="0" t="str">
        <f aca="false">IF('THÁNG 11'!$C16="","",'THÁNG 11'!$G16&amp;"")</f>
        <v/>
      </c>
      <c r="H759" s="0" t="str">
        <f aca="false">IF('THÁNG 11'!$C16="","",'THÁNG 11'!$H16&amp;"")</f>
        <v/>
      </c>
      <c r="I759" s="0" t="str">
        <f aca="false">IF('THÁNG 11'!$C16="","",N('THÁNG 11'!$I16))</f>
        <v/>
      </c>
      <c r="J759" s="0" t="str">
        <f aca="false">IF('THÁNG 11'!$C16="","",N('THÁNG 11'!$L16))</f>
        <v/>
      </c>
      <c r="K759" s="0" t="str">
        <f aca="false">IF('THÁNG 11'!$C16="","",N('THÁNG 11'!$N16))</f>
        <v/>
      </c>
      <c r="L759" s="0" t="str">
        <f aca="false">IF('THÁNG 11'!$C16="","",N('THÁNG 11'!$O16))</f>
        <v/>
      </c>
      <c r="M759" s="0" t="str">
        <f aca="false">IF('THÁNG 11'!$C16="","",N('THÁNG 11'!$P16))</f>
        <v/>
      </c>
      <c r="N759" s="0" t="str">
        <f aca="false">IF('THÁNG 11'!$C16="","",N('THÁNG 11'!$Q16))</f>
        <v/>
      </c>
      <c r="O759" s="0" t="str">
        <f aca="false">IF('THÁNG 11'!$C16="","",N('THÁNG 11'!$R16))</f>
        <v/>
      </c>
      <c r="P759" s="0" t="str">
        <f aca="false">IF(OR('THÁNG 11'!$C16="",'THÁNG 11'!$T16=""),"",'THÁNG 11'!$T16)</f>
        <v/>
      </c>
      <c r="Q759" s="0" t="str">
        <f aca="false">IF(OR('THÁNG 11'!$C16="",'THÁNG 11'!$U16=""),"",'THÁNG 11'!$U16)</f>
        <v/>
      </c>
      <c r="R759" s="0" t="str">
        <f aca="false">IF('THÁNG 11'!$C16="","",'THÁNG 11'!$W16&amp;"")</f>
        <v/>
      </c>
      <c r="S759" s="0" t="str">
        <f aca="false">IF('THÁNG 11'!$C16="","",'THÁNG 11'!$S16&amp;"")</f>
        <v/>
      </c>
      <c r="T759" s="0" t="str">
        <f aca="false">IF(N($O759)&gt;0,COUNTIF($O$3:$O759,"&gt;0"),"")</f>
        <v/>
      </c>
      <c r="U759" s="0" t="str">
        <f aca="false">IF(AND(N($J759)&gt;0,N($K759)&gt;0),COUNTIFS($J$3:$J759,"&gt;0",$K$3:$K759,"&gt;0"),"")</f>
        <v/>
      </c>
      <c r="V759" s="0" t="str">
        <f aca="false">IF(AND(N($J759)&gt;0,N($K759)=0),COUNTIFS($J$3:$J759,"&gt;0",$K$3:$K759,"&lt;=0"),"")</f>
        <v/>
      </c>
      <c r="W759" s="0" t="str">
        <f aca="false">IF($C759="","",IF(COUNTIF($C$3:$C759,$C759)&gt;1,"",MAX($W$2:W758)+1))</f>
        <v/>
      </c>
      <c r="X759" s="0" t="str">
        <f aca="false">IF($H759="","",IF(COUNTIF($H$3:$H759,$H759)&gt;1,"",MAX($X$2:X758)+1))</f>
        <v/>
      </c>
      <c r="Y759" s="0" t="str">
        <f aca="false">IF(AND(N($M759)&gt;0,N($O759)&lt;=0),COUNTIFS($M$3:$M759,"&gt;0",$O$3:$O759,"&lt;=0"),"")</f>
        <v/>
      </c>
      <c r="Z759" s="30" t="n">
        <f aca="false">IF(OR('THÁNG 11'!$C16="",'THÁNG 11'!$B16=""),0,'THÁNG 11'!$B16)</f>
        <v>0</v>
      </c>
    </row>
    <row r="760" customFormat="false" ht="15" hidden="false" customHeight="false" outlineLevel="0" collapsed="false">
      <c r="A760" s="0" t="n">
        <v>11</v>
      </c>
      <c r="B760" s="29" t="str">
        <f aca="false">IF(OR('THÁNG 11'!$C17="",'THÁNG 11'!$B17=""),"",'THÁNG 11'!$B17)</f>
        <v/>
      </c>
      <c r="C760" s="0" t="str">
        <f aca="false">IF('THÁNG 11'!$C17="","",'THÁNG 11'!$C17)</f>
        <v/>
      </c>
      <c r="D760" s="0" t="str">
        <f aca="false">IF('THÁNG 11'!$C17="","",'THÁNG 11'!$D17&amp;"")</f>
        <v/>
      </c>
      <c r="E760" s="0" t="str">
        <f aca="false">IF('THÁNG 11'!$C17="","",'THÁNG 11'!$E17&amp;"")</f>
        <v/>
      </c>
      <c r="F760" s="0" t="str">
        <f aca="false">IF('THÁNG 11'!$C17="","",'THÁNG 11'!$F17&amp;"")</f>
        <v/>
      </c>
      <c r="G760" s="0" t="str">
        <f aca="false">IF('THÁNG 11'!$C17="","",'THÁNG 11'!$G17&amp;"")</f>
        <v/>
      </c>
      <c r="H760" s="0" t="str">
        <f aca="false">IF('THÁNG 11'!$C17="","",'THÁNG 11'!$H17&amp;"")</f>
        <v/>
      </c>
      <c r="I760" s="0" t="str">
        <f aca="false">IF('THÁNG 11'!$C17="","",N('THÁNG 11'!$I17))</f>
        <v/>
      </c>
      <c r="J760" s="0" t="str">
        <f aca="false">IF('THÁNG 11'!$C17="","",N('THÁNG 11'!$L17))</f>
        <v/>
      </c>
      <c r="K760" s="0" t="str">
        <f aca="false">IF('THÁNG 11'!$C17="","",N('THÁNG 11'!$N17))</f>
        <v/>
      </c>
      <c r="L760" s="0" t="str">
        <f aca="false">IF('THÁNG 11'!$C17="","",N('THÁNG 11'!$O17))</f>
        <v/>
      </c>
      <c r="M760" s="0" t="str">
        <f aca="false">IF('THÁNG 11'!$C17="","",N('THÁNG 11'!$P17))</f>
        <v/>
      </c>
      <c r="N760" s="0" t="str">
        <f aca="false">IF('THÁNG 11'!$C17="","",N('THÁNG 11'!$Q17))</f>
        <v/>
      </c>
      <c r="O760" s="0" t="str">
        <f aca="false">IF('THÁNG 11'!$C17="","",N('THÁNG 11'!$R17))</f>
        <v/>
      </c>
      <c r="P760" s="0" t="str">
        <f aca="false">IF(OR('THÁNG 11'!$C17="",'THÁNG 11'!$T17=""),"",'THÁNG 11'!$T17)</f>
        <v/>
      </c>
      <c r="Q760" s="0" t="str">
        <f aca="false">IF(OR('THÁNG 11'!$C17="",'THÁNG 11'!$U17=""),"",'THÁNG 11'!$U17)</f>
        <v/>
      </c>
      <c r="R760" s="0" t="str">
        <f aca="false">IF('THÁNG 11'!$C17="","",'THÁNG 11'!$W17&amp;"")</f>
        <v/>
      </c>
      <c r="S760" s="0" t="str">
        <f aca="false">IF('THÁNG 11'!$C17="","",'THÁNG 11'!$S17&amp;"")</f>
        <v/>
      </c>
      <c r="T760" s="0" t="str">
        <f aca="false">IF(N($O760)&gt;0,COUNTIF($O$3:$O760,"&gt;0"),"")</f>
        <v/>
      </c>
      <c r="U760" s="0" t="str">
        <f aca="false">IF(AND(N($J760)&gt;0,N($K760)&gt;0),COUNTIFS($J$3:$J760,"&gt;0",$K$3:$K760,"&gt;0"),"")</f>
        <v/>
      </c>
      <c r="V760" s="0" t="str">
        <f aca="false">IF(AND(N($J760)&gt;0,N($K760)=0),COUNTIFS($J$3:$J760,"&gt;0",$K$3:$K760,"&lt;=0"),"")</f>
        <v/>
      </c>
      <c r="W760" s="0" t="str">
        <f aca="false">IF($C760="","",IF(COUNTIF($C$3:$C760,$C760)&gt;1,"",MAX($W$2:W759)+1))</f>
        <v/>
      </c>
      <c r="X760" s="0" t="str">
        <f aca="false">IF($H760="","",IF(COUNTIF($H$3:$H760,$H760)&gt;1,"",MAX($X$2:X759)+1))</f>
        <v/>
      </c>
      <c r="Y760" s="0" t="str">
        <f aca="false">IF(AND(N($M760)&gt;0,N($O760)&lt;=0),COUNTIFS($M$3:$M760,"&gt;0",$O$3:$O760,"&lt;=0"),"")</f>
        <v/>
      </c>
      <c r="Z760" s="30" t="n">
        <f aca="false">IF(OR('THÁNG 11'!$C17="",'THÁNG 11'!$B17=""),0,'THÁNG 11'!$B17)</f>
        <v>0</v>
      </c>
    </row>
    <row r="761" customFormat="false" ht="15" hidden="false" customHeight="false" outlineLevel="0" collapsed="false">
      <c r="A761" s="0" t="n">
        <v>11</v>
      </c>
      <c r="B761" s="29" t="str">
        <f aca="false">IF(OR('THÁNG 11'!$C18="",'THÁNG 11'!$B18=""),"",'THÁNG 11'!$B18)</f>
        <v/>
      </c>
      <c r="C761" s="0" t="str">
        <f aca="false">IF('THÁNG 11'!$C18="","",'THÁNG 11'!$C18)</f>
        <v/>
      </c>
      <c r="D761" s="0" t="str">
        <f aca="false">IF('THÁNG 11'!$C18="","",'THÁNG 11'!$D18&amp;"")</f>
        <v/>
      </c>
      <c r="E761" s="0" t="str">
        <f aca="false">IF('THÁNG 11'!$C18="","",'THÁNG 11'!$E18&amp;"")</f>
        <v/>
      </c>
      <c r="F761" s="0" t="str">
        <f aca="false">IF('THÁNG 11'!$C18="","",'THÁNG 11'!$F18&amp;"")</f>
        <v/>
      </c>
      <c r="G761" s="0" t="str">
        <f aca="false">IF('THÁNG 11'!$C18="","",'THÁNG 11'!$G18&amp;"")</f>
        <v/>
      </c>
      <c r="H761" s="0" t="str">
        <f aca="false">IF('THÁNG 11'!$C18="","",'THÁNG 11'!$H18&amp;"")</f>
        <v/>
      </c>
      <c r="I761" s="0" t="str">
        <f aca="false">IF('THÁNG 11'!$C18="","",N('THÁNG 11'!$I18))</f>
        <v/>
      </c>
      <c r="J761" s="0" t="str">
        <f aca="false">IF('THÁNG 11'!$C18="","",N('THÁNG 11'!$L18))</f>
        <v/>
      </c>
      <c r="K761" s="0" t="str">
        <f aca="false">IF('THÁNG 11'!$C18="","",N('THÁNG 11'!$N18))</f>
        <v/>
      </c>
      <c r="L761" s="0" t="str">
        <f aca="false">IF('THÁNG 11'!$C18="","",N('THÁNG 11'!$O18))</f>
        <v/>
      </c>
      <c r="M761" s="0" t="str">
        <f aca="false">IF('THÁNG 11'!$C18="","",N('THÁNG 11'!$P18))</f>
        <v/>
      </c>
      <c r="N761" s="0" t="str">
        <f aca="false">IF('THÁNG 11'!$C18="","",N('THÁNG 11'!$Q18))</f>
        <v/>
      </c>
      <c r="O761" s="0" t="str">
        <f aca="false">IF('THÁNG 11'!$C18="","",N('THÁNG 11'!$R18))</f>
        <v/>
      </c>
      <c r="P761" s="0" t="str">
        <f aca="false">IF(OR('THÁNG 11'!$C18="",'THÁNG 11'!$T18=""),"",'THÁNG 11'!$T18)</f>
        <v/>
      </c>
      <c r="Q761" s="0" t="str">
        <f aca="false">IF(OR('THÁNG 11'!$C18="",'THÁNG 11'!$U18=""),"",'THÁNG 11'!$U18)</f>
        <v/>
      </c>
      <c r="R761" s="0" t="str">
        <f aca="false">IF('THÁNG 11'!$C18="","",'THÁNG 11'!$W18&amp;"")</f>
        <v/>
      </c>
      <c r="S761" s="0" t="str">
        <f aca="false">IF('THÁNG 11'!$C18="","",'THÁNG 11'!$S18&amp;"")</f>
        <v/>
      </c>
      <c r="T761" s="0" t="str">
        <f aca="false">IF(N($O761)&gt;0,COUNTIF($O$3:$O761,"&gt;0"),"")</f>
        <v/>
      </c>
      <c r="U761" s="0" t="str">
        <f aca="false">IF(AND(N($J761)&gt;0,N($K761)&gt;0),COUNTIFS($J$3:$J761,"&gt;0",$K$3:$K761,"&gt;0"),"")</f>
        <v/>
      </c>
      <c r="V761" s="0" t="str">
        <f aca="false">IF(AND(N($J761)&gt;0,N($K761)=0),COUNTIFS($J$3:$J761,"&gt;0",$K$3:$K761,"&lt;=0"),"")</f>
        <v/>
      </c>
      <c r="W761" s="0" t="str">
        <f aca="false">IF($C761="","",IF(COUNTIF($C$3:$C761,$C761)&gt;1,"",MAX($W$2:W760)+1))</f>
        <v/>
      </c>
      <c r="X761" s="0" t="str">
        <f aca="false">IF($H761="","",IF(COUNTIF($H$3:$H761,$H761)&gt;1,"",MAX($X$2:X760)+1))</f>
        <v/>
      </c>
      <c r="Y761" s="0" t="str">
        <f aca="false">IF(AND(N($M761)&gt;0,N($O761)&lt;=0),COUNTIFS($M$3:$M761,"&gt;0",$O$3:$O761,"&lt;=0"),"")</f>
        <v/>
      </c>
      <c r="Z761" s="30" t="n">
        <f aca="false">IF(OR('THÁNG 11'!$C18="",'THÁNG 11'!$B18=""),0,'THÁNG 11'!$B18)</f>
        <v>0</v>
      </c>
    </row>
    <row r="762" customFormat="false" ht="15" hidden="false" customHeight="false" outlineLevel="0" collapsed="false">
      <c r="A762" s="0" t="n">
        <v>11</v>
      </c>
      <c r="B762" s="29" t="str">
        <f aca="false">IF(OR('THÁNG 11'!$C19="",'THÁNG 11'!$B19=""),"",'THÁNG 11'!$B19)</f>
        <v/>
      </c>
      <c r="C762" s="0" t="str">
        <f aca="false">IF('THÁNG 11'!$C19="","",'THÁNG 11'!$C19)</f>
        <v/>
      </c>
      <c r="D762" s="0" t="str">
        <f aca="false">IF('THÁNG 11'!$C19="","",'THÁNG 11'!$D19&amp;"")</f>
        <v/>
      </c>
      <c r="E762" s="0" t="str">
        <f aca="false">IF('THÁNG 11'!$C19="","",'THÁNG 11'!$E19&amp;"")</f>
        <v/>
      </c>
      <c r="F762" s="0" t="str">
        <f aca="false">IF('THÁNG 11'!$C19="","",'THÁNG 11'!$F19&amp;"")</f>
        <v/>
      </c>
      <c r="G762" s="0" t="str">
        <f aca="false">IF('THÁNG 11'!$C19="","",'THÁNG 11'!$G19&amp;"")</f>
        <v/>
      </c>
      <c r="H762" s="0" t="str">
        <f aca="false">IF('THÁNG 11'!$C19="","",'THÁNG 11'!$H19&amp;"")</f>
        <v/>
      </c>
      <c r="I762" s="0" t="str">
        <f aca="false">IF('THÁNG 11'!$C19="","",N('THÁNG 11'!$I19))</f>
        <v/>
      </c>
      <c r="J762" s="0" t="str">
        <f aca="false">IF('THÁNG 11'!$C19="","",N('THÁNG 11'!$L19))</f>
        <v/>
      </c>
      <c r="K762" s="0" t="str">
        <f aca="false">IF('THÁNG 11'!$C19="","",N('THÁNG 11'!$N19))</f>
        <v/>
      </c>
      <c r="L762" s="0" t="str">
        <f aca="false">IF('THÁNG 11'!$C19="","",N('THÁNG 11'!$O19))</f>
        <v/>
      </c>
      <c r="M762" s="0" t="str">
        <f aca="false">IF('THÁNG 11'!$C19="","",N('THÁNG 11'!$P19))</f>
        <v/>
      </c>
      <c r="N762" s="0" t="str">
        <f aca="false">IF('THÁNG 11'!$C19="","",N('THÁNG 11'!$Q19))</f>
        <v/>
      </c>
      <c r="O762" s="0" t="str">
        <f aca="false">IF('THÁNG 11'!$C19="","",N('THÁNG 11'!$R19))</f>
        <v/>
      </c>
      <c r="P762" s="0" t="str">
        <f aca="false">IF(OR('THÁNG 11'!$C19="",'THÁNG 11'!$T19=""),"",'THÁNG 11'!$T19)</f>
        <v/>
      </c>
      <c r="Q762" s="0" t="str">
        <f aca="false">IF(OR('THÁNG 11'!$C19="",'THÁNG 11'!$U19=""),"",'THÁNG 11'!$U19)</f>
        <v/>
      </c>
      <c r="R762" s="0" t="str">
        <f aca="false">IF('THÁNG 11'!$C19="","",'THÁNG 11'!$W19&amp;"")</f>
        <v/>
      </c>
      <c r="S762" s="0" t="str">
        <f aca="false">IF('THÁNG 11'!$C19="","",'THÁNG 11'!$S19&amp;"")</f>
        <v/>
      </c>
      <c r="T762" s="0" t="str">
        <f aca="false">IF(N($O762)&gt;0,COUNTIF($O$3:$O762,"&gt;0"),"")</f>
        <v/>
      </c>
      <c r="U762" s="0" t="str">
        <f aca="false">IF(AND(N($J762)&gt;0,N($K762)&gt;0),COUNTIFS($J$3:$J762,"&gt;0",$K$3:$K762,"&gt;0"),"")</f>
        <v/>
      </c>
      <c r="V762" s="0" t="str">
        <f aca="false">IF(AND(N($J762)&gt;0,N($K762)=0),COUNTIFS($J$3:$J762,"&gt;0",$K$3:$K762,"&lt;=0"),"")</f>
        <v/>
      </c>
      <c r="W762" s="0" t="str">
        <f aca="false">IF($C762="","",IF(COUNTIF($C$3:$C762,$C762)&gt;1,"",MAX($W$2:W761)+1))</f>
        <v/>
      </c>
      <c r="X762" s="0" t="str">
        <f aca="false">IF($H762="","",IF(COUNTIF($H$3:$H762,$H762)&gt;1,"",MAX($X$2:X761)+1))</f>
        <v/>
      </c>
      <c r="Y762" s="0" t="str">
        <f aca="false">IF(AND(N($M762)&gt;0,N($O762)&lt;=0),COUNTIFS($M$3:$M762,"&gt;0",$O$3:$O762,"&lt;=0"),"")</f>
        <v/>
      </c>
      <c r="Z762" s="30" t="n">
        <f aca="false">IF(OR('THÁNG 11'!$C19="",'THÁNG 11'!$B19=""),0,'THÁNG 11'!$B19)</f>
        <v>0</v>
      </c>
    </row>
    <row r="763" customFormat="false" ht="15" hidden="false" customHeight="false" outlineLevel="0" collapsed="false">
      <c r="A763" s="0" t="n">
        <v>11</v>
      </c>
      <c r="B763" s="29" t="str">
        <f aca="false">IF(OR('THÁNG 11'!$C20="",'THÁNG 11'!$B20=""),"",'THÁNG 11'!$B20)</f>
        <v/>
      </c>
      <c r="C763" s="0" t="str">
        <f aca="false">IF('THÁNG 11'!$C20="","",'THÁNG 11'!$C20)</f>
        <v/>
      </c>
      <c r="D763" s="0" t="str">
        <f aca="false">IF('THÁNG 11'!$C20="","",'THÁNG 11'!$D20&amp;"")</f>
        <v/>
      </c>
      <c r="E763" s="0" t="str">
        <f aca="false">IF('THÁNG 11'!$C20="","",'THÁNG 11'!$E20&amp;"")</f>
        <v/>
      </c>
      <c r="F763" s="0" t="str">
        <f aca="false">IF('THÁNG 11'!$C20="","",'THÁNG 11'!$F20&amp;"")</f>
        <v/>
      </c>
      <c r="G763" s="0" t="str">
        <f aca="false">IF('THÁNG 11'!$C20="","",'THÁNG 11'!$G20&amp;"")</f>
        <v/>
      </c>
      <c r="H763" s="0" t="str">
        <f aca="false">IF('THÁNG 11'!$C20="","",'THÁNG 11'!$H20&amp;"")</f>
        <v/>
      </c>
      <c r="I763" s="0" t="str">
        <f aca="false">IF('THÁNG 11'!$C20="","",N('THÁNG 11'!$I20))</f>
        <v/>
      </c>
      <c r="J763" s="0" t="str">
        <f aca="false">IF('THÁNG 11'!$C20="","",N('THÁNG 11'!$L20))</f>
        <v/>
      </c>
      <c r="K763" s="0" t="str">
        <f aca="false">IF('THÁNG 11'!$C20="","",N('THÁNG 11'!$N20))</f>
        <v/>
      </c>
      <c r="L763" s="0" t="str">
        <f aca="false">IF('THÁNG 11'!$C20="","",N('THÁNG 11'!$O20))</f>
        <v/>
      </c>
      <c r="M763" s="0" t="str">
        <f aca="false">IF('THÁNG 11'!$C20="","",N('THÁNG 11'!$P20))</f>
        <v/>
      </c>
      <c r="N763" s="0" t="str">
        <f aca="false">IF('THÁNG 11'!$C20="","",N('THÁNG 11'!$Q20))</f>
        <v/>
      </c>
      <c r="O763" s="0" t="str">
        <f aca="false">IF('THÁNG 11'!$C20="","",N('THÁNG 11'!$R20))</f>
        <v/>
      </c>
      <c r="P763" s="0" t="str">
        <f aca="false">IF(OR('THÁNG 11'!$C20="",'THÁNG 11'!$T20=""),"",'THÁNG 11'!$T20)</f>
        <v/>
      </c>
      <c r="Q763" s="0" t="str">
        <f aca="false">IF(OR('THÁNG 11'!$C20="",'THÁNG 11'!$U20=""),"",'THÁNG 11'!$U20)</f>
        <v/>
      </c>
      <c r="R763" s="0" t="str">
        <f aca="false">IF('THÁNG 11'!$C20="","",'THÁNG 11'!$W20&amp;"")</f>
        <v/>
      </c>
      <c r="S763" s="0" t="str">
        <f aca="false">IF('THÁNG 11'!$C20="","",'THÁNG 11'!$S20&amp;"")</f>
        <v/>
      </c>
      <c r="T763" s="0" t="str">
        <f aca="false">IF(N($O763)&gt;0,COUNTIF($O$3:$O763,"&gt;0"),"")</f>
        <v/>
      </c>
      <c r="U763" s="0" t="str">
        <f aca="false">IF(AND(N($J763)&gt;0,N($K763)&gt;0),COUNTIFS($J$3:$J763,"&gt;0",$K$3:$K763,"&gt;0"),"")</f>
        <v/>
      </c>
      <c r="V763" s="0" t="str">
        <f aca="false">IF(AND(N($J763)&gt;0,N($K763)=0),COUNTIFS($J$3:$J763,"&gt;0",$K$3:$K763,"&lt;=0"),"")</f>
        <v/>
      </c>
      <c r="W763" s="0" t="str">
        <f aca="false">IF($C763="","",IF(COUNTIF($C$3:$C763,$C763)&gt;1,"",MAX($W$2:W762)+1))</f>
        <v/>
      </c>
      <c r="X763" s="0" t="str">
        <f aca="false">IF($H763="","",IF(COUNTIF($H$3:$H763,$H763)&gt;1,"",MAX($X$2:X762)+1))</f>
        <v/>
      </c>
      <c r="Y763" s="0" t="str">
        <f aca="false">IF(AND(N($M763)&gt;0,N($O763)&lt;=0),COUNTIFS($M$3:$M763,"&gt;0",$O$3:$O763,"&lt;=0"),"")</f>
        <v/>
      </c>
      <c r="Z763" s="30" t="n">
        <f aca="false">IF(OR('THÁNG 11'!$C20="",'THÁNG 11'!$B20=""),0,'THÁNG 11'!$B20)</f>
        <v>0</v>
      </c>
    </row>
    <row r="764" customFormat="false" ht="15" hidden="false" customHeight="false" outlineLevel="0" collapsed="false">
      <c r="A764" s="0" t="n">
        <v>11</v>
      </c>
      <c r="B764" s="29" t="str">
        <f aca="false">IF(OR('THÁNG 11'!$C21="",'THÁNG 11'!$B21=""),"",'THÁNG 11'!$B21)</f>
        <v/>
      </c>
      <c r="C764" s="0" t="str">
        <f aca="false">IF('THÁNG 11'!$C21="","",'THÁNG 11'!$C21)</f>
        <v/>
      </c>
      <c r="D764" s="0" t="str">
        <f aca="false">IF('THÁNG 11'!$C21="","",'THÁNG 11'!$D21&amp;"")</f>
        <v/>
      </c>
      <c r="E764" s="0" t="str">
        <f aca="false">IF('THÁNG 11'!$C21="","",'THÁNG 11'!$E21&amp;"")</f>
        <v/>
      </c>
      <c r="F764" s="0" t="str">
        <f aca="false">IF('THÁNG 11'!$C21="","",'THÁNG 11'!$F21&amp;"")</f>
        <v/>
      </c>
      <c r="G764" s="0" t="str">
        <f aca="false">IF('THÁNG 11'!$C21="","",'THÁNG 11'!$G21&amp;"")</f>
        <v/>
      </c>
      <c r="H764" s="0" t="str">
        <f aca="false">IF('THÁNG 11'!$C21="","",'THÁNG 11'!$H21&amp;"")</f>
        <v/>
      </c>
      <c r="I764" s="0" t="str">
        <f aca="false">IF('THÁNG 11'!$C21="","",N('THÁNG 11'!$I21))</f>
        <v/>
      </c>
      <c r="J764" s="0" t="str">
        <f aca="false">IF('THÁNG 11'!$C21="","",N('THÁNG 11'!$L21))</f>
        <v/>
      </c>
      <c r="K764" s="0" t="str">
        <f aca="false">IF('THÁNG 11'!$C21="","",N('THÁNG 11'!$N21))</f>
        <v/>
      </c>
      <c r="L764" s="0" t="str">
        <f aca="false">IF('THÁNG 11'!$C21="","",N('THÁNG 11'!$O21))</f>
        <v/>
      </c>
      <c r="M764" s="0" t="str">
        <f aca="false">IF('THÁNG 11'!$C21="","",N('THÁNG 11'!$P21))</f>
        <v/>
      </c>
      <c r="N764" s="0" t="str">
        <f aca="false">IF('THÁNG 11'!$C21="","",N('THÁNG 11'!$Q21))</f>
        <v/>
      </c>
      <c r="O764" s="0" t="str">
        <f aca="false">IF('THÁNG 11'!$C21="","",N('THÁNG 11'!$R21))</f>
        <v/>
      </c>
      <c r="P764" s="0" t="str">
        <f aca="false">IF(OR('THÁNG 11'!$C21="",'THÁNG 11'!$T21=""),"",'THÁNG 11'!$T21)</f>
        <v/>
      </c>
      <c r="Q764" s="0" t="str">
        <f aca="false">IF(OR('THÁNG 11'!$C21="",'THÁNG 11'!$U21=""),"",'THÁNG 11'!$U21)</f>
        <v/>
      </c>
      <c r="R764" s="0" t="str">
        <f aca="false">IF('THÁNG 11'!$C21="","",'THÁNG 11'!$W21&amp;"")</f>
        <v/>
      </c>
      <c r="S764" s="0" t="str">
        <f aca="false">IF('THÁNG 11'!$C21="","",'THÁNG 11'!$S21&amp;"")</f>
        <v/>
      </c>
      <c r="T764" s="0" t="str">
        <f aca="false">IF(N($O764)&gt;0,COUNTIF($O$3:$O764,"&gt;0"),"")</f>
        <v/>
      </c>
      <c r="U764" s="0" t="str">
        <f aca="false">IF(AND(N($J764)&gt;0,N($K764)&gt;0),COUNTIFS($J$3:$J764,"&gt;0",$K$3:$K764,"&gt;0"),"")</f>
        <v/>
      </c>
      <c r="V764" s="0" t="str">
        <f aca="false">IF(AND(N($J764)&gt;0,N($K764)=0),COUNTIFS($J$3:$J764,"&gt;0",$K$3:$K764,"&lt;=0"),"")</f>
        <v/>
      </c>
      <c r="W764" s="0" t="str">
        <f aca="false">IF($C764="","",IF(COUNTIF($C$3:$C764,$C764)&gt;1,"",MAX($W$2:W763)+1))</f>
        <v/>
      </c>
      <c r="X764" s="0" t="str">
        <f aca="false">IF($H764="","",IF(COUNTIF($H$3:$H764,$H764)&gt;1,"",MAX($X$2:X763)+1))</f>
        <v/>
      </c>
      <c r="Y764" s="0" t="str">
        <f aca="false">IF(AND(N($M764)&gt;0,N($O764)&lt;=0),COUNTIFS($M$3:$M764,"&gt;0",$O$3:$O764,"&lt;=0"),"")</f>
        <v/>
      </c>
      <c r="Z764" s="30" t="n">
        <f aca="false">IF(OR('THÁNG 11'!$C21="",'THÁNG 11'!$B21=""),0,'THÁNG 11'!$B21)</f>
        <v>0</v>
      </c>
    </row>
    <row r="765" customFormat="false" ht="15" hidden="false" customHeight="false" outlineLevel="0" collapsed="false">
      <c r="A765" s="0" t="n">
        <v>11</v>
      </c>
      <c r="B765" s="29" t="str">
        <f aca="false">IF(OR('THÁNG 11'!$C22="",'THÁNG 11'!$B22=""),"",'THÁNG 11'!$B22)</f>
        <v/>
      </c>
      <c r="C765" s="0" t="str">
        <f aca="false">IF('THÁNG 11'!$C22="","",'THÁNG 11'!$C22)</f>
        <v/>
      </c>
      <c r="D765" s="0" t="str">
        <f aca="false">IF('THÁNG 11'!$C22="","",'THÁNG 11'!$D22&amp;"")</f>
        <v/>
      </c>
      <c r="E765" s="0" t="str">
        <f aca="false">IF('THÁNG 11'!$C22="","",'THÁNG 11'!$E22&amp;"")</f>
        <v/>
      </c>
      <c r="F765" s="0" t="str">
        <f aca="false">IF('THÁNG 11'!$C22="","",'THÁNG 11'!$F22&amp;"")</f>
        <v/>
      </c>
      <c r="G765" s="0" t="str">
        <f aca="false">IF('THÁNG 11'!$C22="","",'THÁNG 11'!$G22&amp;"")</f>
        <v/>
      </c>
      <c r="H765" s="0" t="str">
        <f aca="false">IF('THÁNG 11'!$C22="","",'THÁNG 11'!$H22&amp;"")</f>
        <v/>
      </c>
      <c r="I765" s="0" t="str">
        <f aca="false">IF('THÁNG 11'!$C22="","",N('THÁNG 11'!$I22))</f>
        <v/>
      </c>
      <c r="J765" s="0" t="str">
        <f aca="false">IF('THÁNG 11'!$C22="","",N('THÁNG 11'!$L22))</f>
        <v/>
      </c>
      <c r="K765" s="0" t="str">
        <f aca="false">IF('THÁNG 11'!$C22="","",N('THÁNG 11'!$N22))</f>
        <v/>
      </c>
      <c r="L765" s="0" t="str">
        <f aca="false">IF('THÁNG 11'!$C22="","",N('THÁNG 11'!$O22))</f>
        <v/>
      </c>
      <c r="M765" s="0" t="str">
        <f aca="false">IF('THÁNG 11'!$C22="","",N('THÁNG 11'!$P22))</f>
        <v/>
      </c>
      <c r="N765" s="0" t="str">
        <f aca="false">IF('THÁNG 11'!$C22="","",N('THÁNG 11'!$Q22))</f>
        <v/>
      </c>
      <c r="O765" s="0" t="str">
        <f aca="false">IF('THÁNG 11'!$C22="","",N('THÁNG 11'!$R22))</f>
        <v/>
      </c>
      <c r="P765" s="0" t="str">
        <f aca="false">IF(OR('THÁNG 11'!$C22="",'THÁNG 11'!$T22=""),"",'THÁNG 11'!$T22)</f>
        <v/>
      </c>
      <c r="Q765" s="0" t="str">
        <f aca="false">IF(OR('THÁNG 11'!$C22="",'THÁNG 11'!$U22=""),"",'THÁNG 11'!$U22)</f>
        <v/>
      </c>
      <c r="R765" s="0" t="str">
        <f aca="false">IF('THÁNG 11'!$C22="","",'THÁNG 11'!$W22&amp;"")</f>
        <v/>
      </c>
      <c r="S765" s="0" t="str">
        <f aca="false">IF('THÁNG 11'!$C22="","",'THÁNG 11'!$S22&amp;"")</f>
        <v/>
      </c>
      <c r="T765" s="0" t="str">
        <f aca="false">IF(N($O765)&gt;0,COUNTIF($O$3:$O765,"&gt;0"),"")</f>
        <v/>
      </c>
      <c r="U765" s="0" t="str">
        <f aca="false">IF(AND(N($J765)&gt;0,N($K765)&gt;0),COUNTIFS($J$3:$J765,"&gt;0",$K$3:$K765,"&gt;0"),"")</f>
        <v/>
      </c>
      <c r="V765" s="0" t="str">
        <f aca="false">IF(AND(N($J765)&gt;0,N($K765)=0),COUNTIFS($J$3:$J765,"&gt;0",$K$3:$K765,"&lt;=0"),"")</f>
        <v/>
      </c>
      <c r="W765" s="0" t="str">
        <f aca="false">IF($C765="","",IF(COUNTIF($C$3:$C765,$C765)&gt;1,"",MAX($W$2:W764)+1))</f>
        <v/>
      </c>
      <c r="X765" s="0" t="str">
        <f aca="false">IF($H765="","",IF(COUNTIF($H$3:$H765,$H765)&gt;1,"",MAX($X$2:X764)+1))</f>
        <v/>
      </c>
      <c r="Y765" s="0" t="str">
        <f aca="false">IF(AND(N($M765)&gt;0,N($O765)&lt;=0),COUNTIFS($M$3:$M765,"&gt;0",$O$3:$O765,"&lt;=0"),"")</f>
        <v/>
      </c>
      <c r="Z765" s="30" t="n">
        <f aca="false">IF(OR('THÁNG 11'!$C22="",'THÁNG 11'!$B22=""),0,'THÁNG 11'!$B22)</f>
        <v>0</v>
      </c>
    </row>
    <row r="766" customFormat="false" ht="15" hidden="false" customHeight="false" outlineLevel="0" collapsed="false">
      <c r="A766" s="0" t="n">
        <v>11</v>
      </c>
      <c r="B766" s="29" t="str">
        <f aca="false">IF(OR('THÁNG 11'!$C23="",'THÁNG 11'!$B23=""),"",'THÁNG 11'!$B23)</f>
        <v/>
      </c>
      <c r="C766" s="0" t="str">
        <f aca="false">IF('THÁNG 11'!$C23="","",'THÁNG 11'!$C23)</f>
        <v/>
      </c>
      <c r="D766" s="0" t="str">
        <f aca="false">IF('THÁNG 11'!$C23="","",'THÁNG 11'!$D23&amp;"")</f>
        <v/>
      </c>
      <c r="E766" s="0" t="str">
        <f aca="false">IF('THÁNG 11'!$C23="","",'THÁNG 11'!$E23&amp;"")</f>
        <v/>
      </c>
      <c r="F766" s="0" t="str">
        <f aca="false">IF('THÁNG 11'!$C23="","",'THÁNG 11'!$F23&amp;"")</f>
        <v/>
      </c>
      <c r="G766" s="0" t="str">
        <f aca="false">IF('THÁNG 11'!$C23="","",'THÁNG 11'!$G23&amp;"")</f>
        <v/>
      </c>
      <c r="H766" s="0" t="str">
        <f aca="false">IF('THÁNG 11'!$C23="","",'THÁNG 11'!$H23&amp;"")</f>
        <v/>
      </c>
      <c r="I766" s="0" t="str">
        <f aca="false">IF('THÁNG 11'!$C23="","",N('THÁNG 11'!$I23))</f>
        <v/>
      </c>
      <c r="J766" s="0" t="str">
        <f aca="false">IF('THÁNG 11'!$C23="","",N('THÁNG 11'!$L23))</f>
        <v/>
      </c>
      <c r="K766" s="0" t="str">
        <f aca="false">IF('THÁNG 11'!$C23="","",N('THÁNG 11'!$N23))</f>
        <v/>
      </c>
      <c r="L766" s="0" t="str">
        <f aca="false">IF('THÁNG 11'!$C23="","",N('THÁNG 11'!$O23))</f>
        <v/>
      </c>
      <c r="M766" s="0" t="str">
        <f aca="false">IF('THÁNG 11'!$C23="","",N('THÁNG 11'!$P23))</f>
        <v/>
      </c>
      <c r="N766" s="0" t="str">
        <f aca="false">IF('THÁNG 11'!$C23="","",N('THÁNG 11'!$Q23))</f>
        <v/>
      </c>
      <c r="O766" s="0" t="str">
        <f aca="false">IF('THÁNG 11'!$C23="","",N('THÁNG 11'!$R23))</f>
        <v/>
      </c>
      <c r="P766" s="0" t="str">
        <f aca="false">IF(OR('THÁNG 11'!$C23="",'THÁNG 11'!$T23=""),"",'THÁNG 11'!$T23)</f>
        <v/>
      </c>
      <c r="Q766" s="0" t="str">
        <f aca="false">IF(OR('THÁNG 11'!$C23="",'THÁNG 11'!$U23=""),"",'THÁNG 11'!$U23)</f>
        <v/>
      </c>
      <c r="R766" s="0" t="str">
        <f aca="false">IF('THÁNG 11'!$C23="","",'THÁNG 11'!$W23&amp;"")</f>
        <v/>
      </c>
      <c r="S766" s="0" t="str">
        <f aca="false">IF('THÁNG 11'!$C23="","",'THÁNG 11'!$S23&amp;"")</f>
        <v/>
      </c>
      <c r="T766" s="0" t="str">
        <f aca="false">IF(N($O766)&gt;0,COUNTIF($O$3:$O766,"&gt;0"),"")</f>
        <v/>
      </c>
      <c r="U766" s="0" t="str">
        <f aca="false">IF(AND(N($J766)&gt;0,N($K766)&gt;0),COUNTIFS($J$3:$J766,"&gt;0",$K$3:$K766,"&gt;0"),"")</f>
        <v/>
      </c>
      <c r="V766" s="0" t="str">
        <f aca="false">IF(AND(N($J766)&gt;0,N($K766)=0),COUNTIFS($J$3:$J766,"&gt;0",$K$3:$K766,"&lt;=0"),"")</f>
        <v/>
      </c>
      <c r="W766" s="0" t="str">
        <f aca="false">IF($C766="","",IF(COUNTIF($C$3:$C766,$C766)&gt;1,"",MAX($W$2:W765)+1))</f>
        <v/>
      </c>
      <c r="X766" s="0" t="str">
        <f aca="false">IF($H766="","",IF(COUNTIF($H$3:$H766,$H766)&gt;1,"",MAX($X$2:X765)+1))</f>
        <v/>
      </c>
      <c r="Y766" s="0" t="str">
        <f aca="false">IF(AND(N($M766)&gt;0,N($O766)&lt;=0),COUNTIFS($M$3:$M766,"&gt;0",$O$3:$O766,"&lt;=0"),"")</f>
        <v/>
      </c>
      <c r="Z766" s="30" t="n">
        <f aca="false">IF(OR('THÁNG 11'!$C23="",'THÁNG 11'!$B23=""),0,'THÁNG 11'!$B23)</f>
        <v>0</v>
      </c>
    </row>
    <row r="767" customFormat="false" ht="15" hidden="false" customHeight="false" outlineLevel="0" collapsed="false">
      <c r="A767" s="0" t="n">
        <v>11</v>
      </c>
      <c r="B767" s="29" t="str">
        <f aca="false">IF(OR('THÁNG 11'!$C24="",'THÁNG 11'!$B24=""),"",'THÁNG 11'!$B24)</f>
        <v/>
      </c>
      <c r="C767" s="0" t="str">
        <f aca="false">IF('THÁNG 11'!$C24="","",'THÁNG 11'!$C24)</f>
        <v/>
      </c>
      <c r="D767" s="0" t="str">
        <f aca="false">IF('THÁNG 11'!$C24="","",'THÁNG 11'!$D24&amp;"")</f>
        <v/>
      </c>
      <c r="E767" s="0" t="str">
        <f aca="false">IF('THÁNG 11'!$C24="","",'THÁNG 11'!$E24&amp;"")</f>
        <v/>
      </c>
      <c r="F767" s="0" t="str">
        <f aca="false">IF('THÁNG 11'!$C24="","",'THÁNG 11'!$F24&amp;"")</f>
        <v/>
      </c>
      <c r="G767" s="0" t="str">
        <f aca="false">IF('THÁNG 11'!$C24="","",'THÁNG 11'!$G24&amp;"")</f>
        <v/>
      </c>
      <c r="H767" s="0" t="str">
        <f aca="false">IF('THÁNG 11'!$C24="","",'THÁNG 11'!$H24&amp;"")</f>
        <v/>
      </c>
      <c r="I767" s="0" t="str">
        <f aca="false">IF('THÁNG 11'!$C24="","",N('THÁNG 11'!$I24))</f>
        <v/>
      </c>
      <c r="J767" s="0" t="str">
        <f aca="false">IF('THÁNG 11'!$C24="","",N('THÁNG 11'!$L24))</f>
        <v/>
      </c>
      <c r="K767" s="0" t="str">
        <f aca="false">IF('THÁNG 11'!$C24="","",N('THÁNG 11'!$N24))</f>
        <v/>
      </c>
      <c r="L767" s="0" t="str">
        <f aca="false">IF('THÁNG 11'!$C24="","",N('THÁNG 11'!$O24))</f>
        <v/>
      </c>
      <c r="M767" s="0" t="str">
        <f aca="false">IF('THÁNG 11'!$C24="","",N('THÁNG 11'!$P24))</f>
        <v/>
      </c>
      <c r="N767" s="0" t="str">
        <f aca="false">IF('THÁNG 11'!$C24="","",N('THÁNG 11'!$Q24))</f>
        <v/>
      </c>
      <c r="O767" s="0" t="str">
        <f aca="false">IF('THÁNG 11'!$C24="","",N('THÁNG 11'!$R24))</f>
        <v/>
      </c>
      <c r="P767" s="0" t="str">
        <f aca="false">IF(OR('THÁNG 11'!$C24="",'THÁNG 11'!$T24=""),"",'THÁNG 11'!$T24)</f>
        <v/>
      </c>
      <c r="Q767" s="0" t="str">
        <f aca="false">IF(OR('THÁNG 11'!$C24="",'THÁNG 11'!$U24=""),"",'THÁNG 11'!$U24)</f>
        <v/>
      </c>
      <c r="R767" s="0" t="str">
        <f aca="false">IF('THÁNG 11'!$C24="","",'THÁNG 11'!$W24&amp;"")</f>
        <v/>
      </c>
      <c r="S767" s="0" t="str">
        <f aca="false">IF('THÁNG 11'!$C24="","",'THÁNG 11'!$S24&amp;"")</f>
        <v/>
      </c>
      <c r="T767" s="0" t="str">
        <f aca="false">IF(N($O767)&gt;0,COUNTIF($O$3:$O767,"&gt;0"),"")</f>
        <v/>
      </c>
      <c r="U767" s="0" t="str">
        <f aca="false">IF(AND(N($J767)&gt;0,N($K767)&gt;0),COUNTIFS($J$3:$J767,"&gt;0",$K$3:$K767,"&gt;0"),"")</f>
        <v/>
      </c>
      <c r="V767" s="0" t="str">
        <f aca="false">IF(AND(N($J767)&gt;0,N($K767)=0),COUNTIFS($J$3:$J767,"&gt;0",$K$3:$K767,"&lt;=0"),"")</f>
        <v/>
      </c>
      <c r="W767" s="0" t="str">
        <f aca="false">IF($C767="","",IF(COUNTIF($C$3:$C767,$C767)&gt;1,"",MAX($W$2:W766)+1))</f>
        <v/>
      </c>
      <c r="X767" s="0" t="str">
        <f aca="false">IF($H767="","",IF(COUNTIF($H$3:$H767,$H767)&gt;1,"",MAX($X$2:X766)+1))</f>
        <v/>
      </c>
      <c r="Y767" s="0" t="str">
        <f aca="false">IF(AND(N($M767)&gt;0,N($O767)&lt;=0),COUNTIFS($M$3:$M767,"&gt;0",$O$3:$O767,"&lt;=0"),"")</f>
        <v/>
      </c>
      <c r="Z767" s="30" t="n">
        <f aca="false">IF(OR('THÁNG 11'!$C24="",'THÁNG 11'!$B24=""),0,'THÁNG 11'!$B24)</f>
        <v>0</v>
      </c>
    </row>
    <row r="768" customFormat="false" ht="15" hidden="false" customHeight="false" outlineLevel="0" collapsed="false">
      <c r="A768" s="0" t="n">
        <v>11</v>
      </c>
      <c r="B768" s="29" t="str">
        <f aca="false">IF(OR('THÁNG 11'!$C25="",'THÁNG 11'!$B25=""),"",'THÁNG 11'!$B25)</f>
        <v/>
      </c>
      <c r="C768" s="0" t="str">
        <f aca="false">IF('THÁNG 11'!$C25="","",'THÁNG 11'!$C25)</f>
        <v/>
      </c>
      <c r="D768" s="0" t="str">
        <f aca="false">IF('THÁNG 11'!$C25="","",'THÁNG 11'!$D25&amp;"")</f>
        <v/>
      </c>
      <c r="E768" s="0" t="str">
        <f aca="false">IF('THÁNG 11'!$C25="","",'THÁNG 11'!$E25&amp;"")</f>
        <v/>
      </c>
      <c r="F768" s="0" t="str">
        <f aca="false">IF('THÁNG 11'!$C25="","",'THÁNG 11'!$F25&amp;"")</f>
        <v/>
      </c>
      <c r="G768" s="0" t="str">
        <f aca="false">IF('THÁNG 11'!$C25="","",'THÁNG 11'!$G25&amp;"")</f>
        <v/>
      </c>
      <c r="H768" s="0" t="str">
        <f aca="false">IF('THÁNG 11'!$C25="","",'THÁNG 11'!$H25&amp;"")</f>
        <v/>
      </c>
      <c r="I768" s="0" t="str">
        <f aca="false">IF('THÁNG 11'!$C25="","",N('THÁNG 11'!$I25))</f>
        <v/>
      </c>
      <c r="J768" s="0" t="str">
        <f aca="false">IF('THÁNG 11'!$C25="","",N('THÁNG 11'!$L25))</f>
        <v/>
      </c>
      <c r="K768" s="0" t="str">
        <f aca="false">IF('THÁNG 11'!$C25="","",N('THÁNG 11'!$N25))</f>
        <v/>
      </c>
      <c r="L768" s="0" t="str">
        <f aca="false">IF('THÁNG 11'!$C25="","",N('THÁNG 11'!$O25))</f>
        <v/>
      </c>
      <c r="M768" s="0" t="str">
        <f aca="false">IF('THÁNG 11'!$C25="","",N('THÁNG 11'!$P25))</f>
        <v/>
      </c>
      <c r="N768" s="0" t="str">
        <f aca="false">IF('THÁNG 11'!$C25="","",N('THÁNG 11'!$Q25))</f>
        <v/>
      </c>
      <c r="O768" s="0" t="str">
        <f aca="false">IF('THÁNG 11'!$C25="","",N('THÁNG 11'!$R25))</f>
        <v/>
      </c>
      <c r="P768" s="0" t="str">
        <f aca="false">IF(OR('THÁNG 11'!$C25="",'THÁNG 11'!$T25=""),"",'THÁNG 11'!$T25)</f>
        <v/>
      </c>
      <c r="Q768" s="0" t="str">
        <f aca="false">IF(OR('THÁNG 11'!$C25="",'THÁNG 11'!$U25=""),"",'THÁNG 11'!$U25)</f>
        <v/>
      </c>
      <c r="R768" s="0" t="str">
        <f aca="false">IF('THÁNG 11'!$C25="","",'THÁNG 11'!$W25&amp;"")</f>
        <v/>
      </c>
      <c r="S768" s="0" t="str">
        <f aca="false">IF('THÁNG 11'!$C25="","",'THÁNG 11'!$S25&amp;"")</f>
        <v/>
      </c>
      <c r="T768" s="0" t="str">
        <f aca="false">IF(N($O768)&gt;0,COUNTIF($O$3:$O768,"&gt;0"),"")</f>
        <v/>
      </c>
      <c r="U768" s="0" t="str">
        <f aca="false">IF(AND(N($J768)&gt;0,N($K768)&gt;0),COUNTIFS($J$3:$J768,"&gt;0",$K$3:$K768,"&gt;0"),"")</f>
        <v/>
      </c>
      <c r="V768" s="0" t="str">
        <f aca="false">IF(AND(N($J768)&gt;0,N($K768)=0),COUNTIFS($J$3:$J768,"&gt;0",$K$3:$K768,"&lt;=0"),"")</f>
        <v/>
      </c>
      <c r="W768" s="0" t="str">
        <f aca="false">IF($C768="","",IF(COUNTIF($C$3:$C768,$C768)&gt;1,"",MAX($W$2:W767)+1))</f>
        <v/>
      </c>
      <c r="X768" s="0" t="str">
        <f aca="false">IF($H768="","",IF(COUNTIF($H$3:$H768,$H768)&gt;1,"",MAX($X$2:X767)+1))</f>
        <v/>
      </c>
      <c r="Y768" s="0" t="str">
        <f aca="false">IF(AND(N($M768)&gt;0,N($O768)&lt;=0),COUNTIFS($M$3:$M768,"&gt;0",$O$3:$O768,"&lt;=0"),"")</f>
        <v/>
      </c>
      <c r="Z768" s="30" t="n">
        <f aca="false">IF(OR('THÁNG 11'!$C25="",'THÁNG 11'!$B25=""),0,'THÁNG 11'!$B25)</f>
        <v>0</v>
      </c>
    </row>
    <row r="769" customFormat="false" ht="15" hidden="false" customHeight="false" outlineLevel="0" collapsed="false">
      <c r="A769" s="0" t="n">
        <v>11</v>
      </c>
      <c r="B769" s="29" t="str">
        <f aca="false">IF(OR('THÁNG 11'!$C26="",'THÁNG 11'!$B26=""),"",'THÁNG 11'!$B26)</f>
        <v/>
      </c>
      <c r="C769" s="0" t="str">
        <f aca="false">IF('THÁNG 11'!$C26="","",'THÁNG 11'!$C26)</f>
        <v/>
      </c>
      <c r="D769" s="0" t="str">
        <f aca="false">IF('THÁNG 11'!$C26="","",'THÁNG 11'!$D26&amp;"")</f>
        <v/>
      </c>
      <c r="E769" s="0" t="str">
        <f aca="false">IF('THÁNG 11'!$C26="","",'THÁNG 11'!$E26&amp;"")</f>
        <v/>
      </c>
      <c r="F769" s="0" t="str">
        <f aca="false">IF('THÁNG 11'!$C26="","",'THÁNG 11'!$F26&amp;"")</f>
        <v/>
      </c>
      <c r="G769" s="0" t="str">
        <f aca="false">IF('THÁNG 11'!$C26="","",'THÁNG 11'!$G26&amp;"")</f>
        <v/>
      </c>
      <c r="H769" s="0" t="str">
        <f aca="false">IF('THÁNG 11'!$C26="","",'THÁNG 11'!$H26&amp;"")</f>
        <v/>
      </c>
      <c r="I769" s="0" t="str">
        <f aca="false">IF('THÁNG 11'!$C26="","",N('THÁNG 11'!$I26))</f>
        <v/>
      </c>
      <c r="J769" s="0" t="str">
        <f aca="false">IF('THÁNG 11'!$C26="","",N('THÁNG 11'!$L26))</f>
        <v/>
      </c>
      <c r="K769" s="0" t="str">
        <f aca="false">IF('THÁNG 11'!$C26="","",N('THÁNG 11'!$N26))</f>
        <v/>
      </c>
      <c r="L769" s="0" t="str">
        <f aca="false">IF('THÁNG 11'!$C26="","",N('THÁNG 11'!$O26))</f>
        <v/>
      </c>
      <c r="M769" s="0" t="str">
        <f aca="false">IF('THÁNG 11'!$C26="","",N('THÁNG 11'!$P26))</f>
        <v/>
      </c>
      <c r="N769" s="0" t="str">
        <f aca="false">IF('THÁNG 11'!$C26="","",N('THÁNG 11'!$Q26))</f>
        <v/>
      </c>
      <c r="O769" s="0" t="str">
        <f aca="false">IF('THÁNG 11'!$C26="","",N('THÁNG 11'!$R26))</f>
        <v/>
      </c>
      <c r="P769" s="0" t="str">
        <f aca="false">IF(OR('THÁNG 11'!$C26="",'THÁNG 11'!$T26=""),"",'THÁNG 11'!$T26)</f>
        <v/>
      </c>
      <c r="Q769" s="0" t="str">
        <f aca="false">IF(OR('THÁNG 11'!$C26="",'THÁNG 11'!$U26=""),"",'THÁNG 11'!$U26)</f>
        <v/>
      </c>
      <c r="R769" s="0" t="str">
        <f aca="false">IF('THÁNG 11'!$C26="","",'THÁNG 11'!$W26&amp;"")</f>
        <v/>
      </c>
      <c r="S769" s="0" t="str">
        <f aca="false">IF('THÁNG 11'!$C26="","",'THÁNG 11'!$S26&amp;"")</f>
        <v/>
      </c>
      <c r="T769" s="0" t="str">
        <f aca="false">IF(N($O769)&gt;0,COUNTIF($O$3:$O769,"&gt;0"),"")</f>
        <v/>
      </c>
      <c r="U769" s="0" t="str">
        <f aca="false">IF(AND(N($J769)&gt;0,N($K769)&gt;0),COUNTIFS($J$3:$J769,"&gt;0",$K$3:$K769,"&gt;0"),"")</f>
        <v/>
      </c>
      <c r="V769" s="0" t="str">
        <f aca="false">IF(AND(N($J769)&gt;0,N($K769)=0),COUNTIFS($J$3:$J769,"&gt;0",$K$3:$K769,"&lt;=0"),"")</f>
        <v/>
      </c>
      <c r="W769" s="0" t="str">
        <f aca="false">IF($C769="","",IF(COUNTIF($C$3:$C769,$C769)&gt;1,"",MAX($W$2:W768)+1))</f>
        <v/>
      </c>
      <c r="X769" s="0" t="str">
        <f aca="false">IF($H769="","",IF(COUNTIF($H$3:$H769,$H769)&gt;1,"",MAX($X$2:X768)+1))</f>
        <v/>
      </c>
      <c r="Y769" s="0" t="str">
        <f aca="false">IF(AND(N($M769)&gt;0,N($O769)&lt;=0),COUNTIFS($M$3:$M769,"&gt;0",$O$3:$O769,"&lt;=0"),"")</f>
        <v/>
      </c>
      <c r="Z769" s="30" t="n">
        <f aca="false">IF(OR('THÁNG 11'!$C26="",'THÁNG 11'!$B26=""),0,'THÁNG 11'!$B26)</f>
        <v>0</v>
      </c>
    </row>
    <row r="770" customFormat="false" ht="15" hidden="false" customHeight="false" outlineLevel="0" collapsed="false">
      <c r="A770" s="0" t="n">
        <v>11</v>
      </c>
      <c r="B770" s="29" t="str">
        <f aca="false">IF(OR('THÁNG 11'!$C27="",'THÁNG 11'!$B27=""),"",'THÁNG 11'!$B27)</f>
        <v/>
      </c>
      <c r="C770" s="0" t="str">
        <f aca="false">IF('THÁNG 11'!$C27="","",'THÁNG 11'!$C27)</f>
        <v/>
      </c>
      <c r="D770" s="0" t="str">
        <f aca="false">IF('THÁNG 11'!$C27="","",'THÁNG 11'!$D27&amp;"")</f>
        <v/>
      </c>
      <c r="E770" s="0" t="str">
        <f aca="false">IF('THÁNG 11'!$C27="","",'THÁNG 11'!$E27&amp;"")</f>
        <v/>
      </c>
      <c r="F770" s="0" t="str">
        <f aca="false">IF('THÁNG 11'!$C27="","",'THÁNG 11'!$F27&amp;"")</f>
        <v/>
      </c>
      <c r="G770" s="0" t="str">
        <f aca="false">IF('THÁNG 11'!$C27="","",'THÁNG 11'!$G27&amp;"")</f>
        <v/>
      </c>
      <c r="H770" s="0" t="str">
        <f aca="false">IF('THÁNG 11'!$C27="","",'THÁNG 11'!$H27&amp;"")</f>
        <v/>
      </c>
      <c r="I770" s="0" t="str">
        <f aca="false">IF('THÁNG 11'!$C27="","",N('THÁNG 11'!$I27))</f>
        <v/>
      </c>
      <c r="J770" s="0" t="str">
        <f aca="false">IF('THÁNG 11'!$C27="","",N('THÁNG 11'!$L27))</f>
        <v/>
      </c>
      <c r="K770" s="0" t="str">
        <f aca="false">IF('THÁNG 11'!$C27="","",N('THÁNG 11'!$N27))</f>
        <v/>
      </c>
      <c r="L770" s="0" t="str">
        <f aca="false">IF('THÁNG 11'!$C27="","",N('THÁNG 11'!$O27))</f>
        <v/>
      </c>
      <c r="M770" s="0" t="str">
        <f aca="false">IF('THÁNG 11'!$C27="","",N('THÁNG 11'!$P27))</f>
        <v/>
      </c>
      <c r="N770" s="0" t="str">
        <f aca="false">IF('THÁNG 11'!$C27="","",N('THÁNG 11'!$Q27))</f>
        <v/>
      </c>
      <c r="O770" s="0" t="str">
        <f aca="false">IF('THÁNG 11'!$C27="","",N('THÁNG 11'!$R27))</f>
        <v/>
      </c>
      <c r="P770" s="0" t="str">
        <f aca="false">IF(OR('THÁNG 11'!$C27="",'THÁNG 11'!$T27=""),"",'THÁNG 11'!$T27)</f>
        <v/>
      </c>
      <c r="Q770" s="0" t="str">
        <f aca="false">IF(OR('THÁNG 11'!$C27="",'THÁNG 11'!$U27=""),"",'THÁNG 11'!$U27)</f>
        <v/>
      </c>
      <c r="R770" s="0" t="str">
        <f aca="false">IF('THÁNG 11'!$C27="","",'THÁNG 11'!$W27&amp;"")</f>
        <v/>
      </c>
      <c r="S770" s="0" t="str">
        <f aca="false">IF('THÁNG 11'!$C27="","",'THÁNG 11'!$S27&amp;"")</f>
        <v/>
      </c>
      <c r="T770" s="0" t="str">
        <f aca="false">IF(N($O770)&gt;0,COUNTIF($O$3:$O770,"&gt;0"),"")</f>
        <v/>
      </c>
      <c r="U770" s="0" t="str">
        <f aca="false">IF(AND(N($J770)&gt;0,N($K770)&gt;0),COUNTIFS($J$3:$J770,"&gt;0",$K$3:$K770,"&gt;0"),"")</f>
        <v/>
      </c>
      <c r="V770" s="0" t="str">
        <f aca="false">IF(AND(N($J770)&gt;0,N($K770)=0),COUNTIFS($J$3:$J770,"&gt;0",$K$3:$K770,"&lt;=0"),"")</f>
        <v/>
      </c>
      <c r="W770" s="0" t="str">
        <f aca="false">IF($C770="","",IF(COUNTIF($C$3:$C770,$C770)&gt;1,"",MAX($W$2:W769)+1))</f>
        <v/>
      </c>
      <c r="X770" s="0" t="str">
        <f aca="false">IF($H770="","",IF(COUNTIF($H$3:$H770,$H770)&gt;1,"",MAX($X$2:X769)+1))</f>
        <v/>
      </c>
      <c r="Y770" s="0" t="str">
        <f aca="false">IF(AND(N($M770)&gt;0,N($O770)&lt;=0),COUNTIFS($M$3:$M770,"&gt;0",$O$3:$O770,"&lt;=0"),"")</f>
        <v/>
      </c>
      <c r="Z770" s="30" t="n">
        <f aca="false">IF(OR('THÁNG 11'!$C27="",'THÁNG 11'!$B27=""),0,'THÁNG 11'!$B27)</f>
        <v>0</v>
      </c>
    </row>
    <row r="771" customFormat="false" ht="15" hidden="false" customHeight="false" outlineLevel="0" collapsed="false">
      <c r="A771" s="0" t="n">
        <v>11</v>
      </c>
      <c r="B771" s="29" t="str">
        <f aca="false">IF(OR('THÁNG 11'!$C28="",'THÁNG 11'!$B28=""),"",'THÁNG 11'!$B28)</f>
        <v/>
      </c>
      <c r="C771" s="0" t="str">
        <f aca="false">IF('THÁNG 11'!$C28="","",'THÁNG 11'!$C28)</f>
        <v/>
      </c>
      <c r="D771" s="0" t="str">
        <f aca="false">IF('THÁNG 11'!$C28="","",'THÁNG 11'!$D28&amp;"")</f>
        <v/>
      </c>
      <c r="E771" s="0" t="str">
        <f aca="false">IF('THÁNG 11'!$C28="","",'THÁNG 11'!$E28&amp;"")</f>
        <v/>
      </c>
      <c r="F771" s="0" t="str">
        <f aca="false">IF('THÁNG 11'!$C28="","",'THÁNG 11'!$F28&amp;"")</f>
        <v/>
      </c>
      <c r="G771" s="0" t="str">
        <f aca="false">IF('THÁNG 11'!$C28="","",'THÁNG 11'!$G28&amp;"")</f>
        <v/>
      </c>
      <c r="H771" s="0" t="str">
        <f aca="false">IF('THÁNG 11'!$C28="","",'THÁNG 11'!$H28&amp;"")</f>
        <v/>
      </c>
      <c r="I771" s="0" t="str">
        <f aca="false">IF('THÁNG 11'!$C28="","",N('THÁNG 11'!$I28))</f>
        <v/>
      </c>
      <c r="J771" s="0" t="str">
        <f aca="false">IF('THÁNG 11'!$C28="","",N('THÁNG 11'!$L28))</f>
        <v/>
      </c>
      <c r="K771" s="0" t="str">
        <f aca="false">IF('THÁNG 11'!$C28="","",N('THÁNG 11'!$N28))</f>
        <v/>
      </c>
      <c r="L771" s="0" t="str">
        <f aca="false">IF('THÁNG 11'!$C28="","",N('THÁNG 11'!$O28))</f>
        <v/>
      </c>
      <c r="M771" s="0" t="str">
        <f aca="false">IF('THÁNG 11'!$C28="","",N('THÁNG 11'!$P28))</f>
        <v/>
      </c>
      <c r="N771" s="0" t="str">
        <f aca="false">IF('THÁNG 11'!$C28="","",N('THÁNG 11'!$Q28))</f>
        <v/>
      </c>
      <c r="O771" s="0" t="str">
        <f aca="false">IF('THÁNG 11'!$C28="","",N('THÁNG 11'!$R28))</f>
        <v/>
      </c>
      <c r="P771" s="0" t="str">
        <f aca="false">IF(OR('THÁNG 11'!$C28="",'THÁNG 11'!$T28=""),"",'THÁNG 11'!$T28)</f>
        <v/>
      </c>
      <c r="Q771" s="0" t="str">
        <f aca="false">IF(OR('THÁNG 11'!$C28="",'THÁNG 11'!$U28=""),"",'THÁNG 11'!$U28)</f>
        <v/>
      </c>
      <c r="R771" s="0" t="str">
        <f aca="false">IF('THÁNG 11'!$C28="","",'THÁNG 11'!$W28&amp;"")</f>
        <v/>
      </c>
      <c r="S771" s="0" t="str">
        <f aca="false">IF('THÁNG 11'!$C28="","",'THÁNG 11'!$S28&amp;"")</f>
        <v/>
      </c>
      <c r="T771" s="0" t="str">
        <f aca="false">IF(N($O771)&gt;0,COUNTIF($O$3:$O771,"&gt;0"),"")</f>
        <v/>
      </c>
      <c r="U771" s="0" t="str">
        <f aca="false">IF(AND(N($J771)&gt;0,N($K771)&gt;0),COUNTIFS($J$3:$J771,"&gt;0",$K$3:$K771,"&gt;0"),"")</f>
        <v/>
      </c>
      <c r="V771" s="0" t="str">
        <f aca="false">IF(AND(N($J771)&gt;0,N($K771)=0),COUNTIFS($J$3:$J771,"&gt;0",$K$3:$K771,"&lt;=0"),"")</f>
        <v/>
      </c>
      <c r="W771" s="0" t="str">
        <f aca="false">IF($C771="","",IF(COUNTIF($C$3:$C771,$C771)&gt;1,"",MAX($W$2:W770)+1))</f>
        <v/>
      </c>
      <c r="X771" s="0" t="str">
        <f aca="false">IF($H771="","",IF(COUNTIF($H$3:$H771,$H771)&gt;1,"",MAX($X$2:X770)+1))</f>
        <v/>
      </c>
      <c r="Y771" s="0" t="str">
        <f aca="false">IF(AND(N($M771)&gt;0,N($O771)&lt;=0),COUNTIFS($M$3:$M771,"&gt;0",$O$3:$O771,"&lt;=0"),"")</f>
        <v/>
      </c>
      <c r="Z771" s="30" t="n">
        <f aca="false">IF(OR('THÁNG 11'!$C28="",'THÁNG 11'!$B28=""),0,'THÁNG 11'!$B28)</f>
        <v>0</v>
      </c>
    </row>
    <row r="772" customFormat="false" ht="15" hidden="false" customHeight="false" outlineLevel="0" collapsed="false">
      <c r="A772" s="0" t="n">
        <v>11</v>
      </c>
      <c r="B772" s="29" t="str">
        <f aca="false">IF(OR('THÁNG 11'!$C29="",'THÁNG 11'!$B29=""),"",'THÁNG 11'!$B29)</f>
        <v/>
      </c>
      <c r="C772" s="0" t="str">
        <f aca="false">IF('THÁNG 11'!$C29="","",'THÁNG 11'!$C29)</f>
        <v/>
      </c>
      <c r="D772" s="0" t="str">
        <f aca="false">IF('THÁNG 11'!$C29="","",'THÁNG 11'!$D29&amp;"")</f>
        <v/>
      </c>
      <c r="E772" s="0" t="str">
        <f aca="false">IF('THÁNG 11'!$C29="","",'THÁNG 11'!$E29&amp;"")</f>
        <v/>
      </c>
      <c r="F772" s="0" t="str">
        <f aca="false">IF('THÁNG 11'!$C29="","",'THÁNG 11'!$F29&amp;"")</f>
        <v/>
      </c>
      <c r="G772" s="0" t="str">
        <f aca="false">IF('THÁNG 11'!$C29="","",'THÁNG 11'!$G29&amp;"")</f>
        <v/>
      </c>
      <c r="H772" s="0" t="str">
        <f aca="false">IF('THÁNG 11'!$C29="","",'THÁNG 11'!$H29&amp;"")</f>
        <v/>
      </c>
      <c r="I772" s="0" t="str">
        <f aca="false">IF('THÁNG 11'!$C29="","",N('THÁNG 11'!$I29))</f>
        <v/>
      </c>
      <c r="J772" s="0" t="str">
        <f aca="false">IF('THÁNG 11'!$C29="","",N('THÁNG 11'!$L29))</f>
        <v/>
      </c>
      <c r="K772" s="0" t="str">
        <f aca="false">IF('THÁNG 11'!$C29="","",N('THÁNG 11'!$N29))</f>
        <v/>
      </c>
      <c r="L772" s="0" t="str">
        <f aca="false">IF('THÁNG 11'!$C29="","",N('THÁNG 11'!$O29))</f>
        <v/>
      </c>
      <c r="M772" s="0" t="str">
        <f aca="false">IF('THÁNG 11'!$C29="","",N('THÁNG 11'!$P29))</f>
        <v/>
      </c>
      <c r="N772" s="0" t="str">
        <f aca="false">IF('THÁNG 11'!$C29="","",N('THÁNG 11'!$Q29))</f>
        <v/>
      </c>
      <c r="O772" s="0" t="str">
        <f aca="false">IF('THÁNG 11'!$C29="","",N('THÁNG 11'!$R29))</f>
        <v/>
      </c>
      <c r="P772" s="0" t="str">
        <f aca="false">IF(OR('THÁNG 11'!$C29="",'THÁNG 11'!$T29=""),"",'THÁNG 11'!$T29)</f>
        <v/>
      </c>
      <c r="Q772" s="0" t="str">
        <f aca="false">IF(OR('THÁNG 11'!$C29="",'THÁNG 11'!$U29=""),"",'THÁNG 11'!$U29)</f>
        <v/>
      </c>
      <c r="R772" s="0" t="str">
        <f aca="false">IF('THÁNG 11'!$C29="","",'THÁNG 11'!$W29&amp;"")</f>
        <v/>
      </c>
      <c r="S772" s="0" t="str">
        <f aca="false">IF('THÁNG 11'!$C29="","",'THÁNG 11'!$S29&amp;"")</f>
        <v/>
      </c>
      <c r="T772" s="0" t="str">
        <f aca="false">IF(N($O772)&gt;0,COUNTIF($O$3:$O772,"&gt;0"),"")</f>
        <v/>
      </c>
      <c r="U772" s="0" t="str">
        <f aca="false">IF(AND(N($J772)&gt;0,N($K772)&gt;0),COUNTIFS($J$3:$J772,"&gt;0",$K$3:$K772,"&gt;0"),"")</f>
        <v/>
      </c>
      <c r="V772" s="0" t="str">
        <f aca="false">IF(AND(N($J772)&gt;0,N($K772)=0),COUNTIFS($J$3:$J772,"&gt;0",$K$3:$K772,"&lt;=0"),"")</f>
        <v/>
      </c>
      <c r="W772" s="0" t="str">
        <f aca="false">IF($C772="","",IF(COUNTIF($C$3:$C772,$C772)&gt;1,"",MAX($W$2:W771)+1))</f>
        <v/>
      </c>
      <c r="X772" s="0" t="str">
        <f aca="false">IF($H772="","",IF(COUNTIF($H$3:$H772,$H772)&gt;1,"",MAX($X$2:X771)+1))</f>
        <v/>
      </c>
      <c r="Y772" s="0" t="str">
        <f aca="false">IF(AND(N($M772)&gt;0,N($O772)&lt;=0),COUNTIFS($M$3:$M772,"&gt;0",$O$3:$O772,"&lt;=0"),"")</f>
        <v/>
      </c>
      <c r="Z772" s="30" t="n">
        <f aca="false">IF(OR('THÁNG 11'!$C29="",'THÁNG 11'!$B29=""),0,'THÁNG 11'!$B29)</f>
        <v>0</v>
      </c>
    </row>
    <row r="773" customFormat="false" ht="15" hidden="false" customHeight="false" outlineLevel="0" collapsed="false">
      <c r="A773" s="0" t="n">
        <v>11</v>
      </c>
      <c r="B773" s="29" t="str">
        <f aca="false">IF(OR('THÁNG 11'!$C30="",'THÁNG 11'!$B30=""),"",'THÁNG 11'!$B30)</f>
        <v/>
      </c>
      <c r="C773" s="0" t="str">
        <f aca="false">IF('THÁNG 11'!$C30="","",'THÁNG 11'!$C30)</f>
        <v/>
      </c>
      <c r="D773" s="0" t="str">
        <f aca="false">IF('THÁNG 11'!$C30="","",'THÁNG 11'!$D30&amp;"")</f>
        <v/>
      </c>
      <c r="E773" s="0" t="str">
        <f aca="false">IF('THÁNG 11'!$C30="","",'THÁNG 11'!$E30&amp;"")</f>
        <v/>
      </c>
      <c r="F773" s="0" t="str">
        <f aca="false">IF('THÁNG 11'!$C30="","",'THÁNG 11'!$F30&amp;"")</f>
        <v/>
      </c>
      <c r="G773" s="0" t="str">
        <f aca="false">IF('THÁNG 11'!$C30="","",'THÁNG 11'!$G30&amp;"")</f>
        <v/>
      </c>
      <c r="H773" s="0" t="str">
        <f aca="false">IF('THÁNG 11'!$C30="","",'THÁNG 11'!$H30&amp;"")</f>
        <v/>
      </c>
      <c r="I773" s="0" t="str">
        <f aca="false">IF('THÁNG 11'!$C30="","",N('THÁNG 11'!$I30))</f>
        <v/>
      </c>
      <c r="J773" s="0" t="str">
        <f aca="false">IF('THÁNG 11'!$C30="","",N('THÁNG 11'!$L30))</f>
        <v/>
      </c>
      <c r="K773" s="0" t="str">
        <f aca="false">IF('THÁNG 11'!$C30="","",N('THÁNG 11'!$N30))</f>
        <v/>
      </c>
      <c r="L773" s="0" t="str">
        <f aca="false">IF('THÁNG 11'!$C30="","",N('THÁNG 11'!$O30))</f>
        <v/>
      </c>
      <c r="M773" s="0" t="str">
        <f aca="false">IF('THÁNG 11'!$C30="","",N('THÁNG 11'!$P30))</f>
        <v/>
      </c>
      <c r="N773" s="0" t="str">
        <f aca="false">IF('THÁNG 11'!$C30="","",N('THÁNG 11'!$Q30))</f>
        <v/>
      </c>
      <c r="O773" s="0" t="str">
        <f aca="false">IF('THÁNG 11'!$C30="","",N('THÁNG 11'!$R30))</f>
        <v/>
      </c>
      <c r="P773" s="0" t="str">
        <f aca="false">IF(OR('THÁNG 11'!$C30="",'THÁNG 11'!$T30=""),"",'THÁNG 11'!$T30)</f>
        <v/>
      </c>
      <c r="Q773" s="0" t="str">
        <f aca="false">IF(OR('THÁNG 11'!$C30="",'THÁNG 11'!$U30=""),"",'THÁNG 11'!$U30)</f>
        <v/>
      </c>
      <c r="R773" s="0" t="str">
        <f aca="false">IF('THÁNG 11'!$C30="","",'THÁNG 11'!$W30&amp;"")</f>
        <v/>
      </c>
      <c r="S773" s="0" t="str">
        <f aca="false">IF('THÁNG 11'!$C30="","",'THÁNG 11'!$S30&amp;"")</f>
        <v/>
      </c>
      <c r="T773" s="0" t="str">
        <f aca="false">IF(N($O773)&gt;0,COUNTIF($O$3:$O773,"&gt;0"),"")</f>
        <v/>
      </c>
      <c r="U773" s="0" t="str">
        <f aca="false">IF(AND(N($J773)&gt;0,N($K773)&gt;0),COUNTIFS($J$3:$J773,"&gt;0",$K$3:$K773,"&gt;0"),"")</f>
        <v/>
      </c>
      <c r="V773" s="0" t="str">
        <f aca="false">IF(AND(N($J773)&gt;0,N($K773)=0),COUNTIFS($J$3:$J773,"&gt;0",$K$3:$K773,"&lt;=0"),"")</f>
        <v/>
      </c>
      <c r="W773" s="0" t="str">
        <f aca="false">IF($C773="","",IF(COUNTIF($C$3:$C773,$C773)&gt;1,"",MAX($W$2:W772)+1))</f>
        <v/>
      </c>
      <c r="X773" s="0" t="str">
        <f aca="false">IF($H773="","",IF(COUNTIF($H$3:$H773,$H773)&gt;1,"",MAX($X$2:X772)+1))</f>
        <v/>
      </c>
      <c r="Y773" s="0" t="str">
        <f aca="false">IF(AND(N($M773)&gt;0,N($O773)&lt;=0),COUNTIFS($M$3:$M773,"&gt;0",$O$3:$O773,"&lt;=0"),"")</f>
        <v/>
      </c>
      <c r="Z773" s="30" t="n">
        <f aca="false">IF(OR('THÁNG 11'!$C30="",'THÁNG 11'!$B30=""),0,'THÁNG 11'!$B30)</f>
        <v>0</v>
      </c>
    </row>
    <row r="774" customFormat="false" ht="15" hidden="false" customHeight="false" outlineLevel="0" collapsed="false">
      <c r="A774" s="0" t="n">
        <v>11</v>
      </c>
      <c r="B774" s="29" t="str">
        <f aca="false">IF(OR('THÁNG 11'!$C31="",'THÁNG 11'!$B31=""),"",'THÁNG 11'!$B31)</f>
        <v/>
      </c>
      <c r="C774" s="0" t="str">
        <f aca="false">IF('THÁNG 11'!$C31="","",'THÁNG 11'!$C31)</f>
        <v/>
      </c>
      <c r="D774" s="0" t="str">
        <f aca="false">IF('THÁNG 11'!$C31="","",'THÁNG 11'!$D31&amp;"")</f>
        <v/>
      </c>
      <c r="E774" s="0" t="str">
        <f aca="false">IF('THÁNG 11'!$C31="","",'THÁNG 11'!$E31&amp;"")</f>
        <v/>
      </c>
      <c r="F774" s="0" t="str">
        <f aca="false">IF('THÁNG 11'!$C31="","",'THÁNG 11'!$F31&amp;"")</f>
        <v/>
      </c>
      <c r="G774" s="0" t="str">
        <f aca="false">IF('THÁNG 11'!$C31="","",'THÁNG 11'!$G31&amp;"")</f>
        <v/>
      </c>
      <c r="H774" s="0" t="str">
        <f aca="false">IF('THÁNG 11'!$C31="","",'THÁNG 11'!$H31&amp;"")</f>
        <v/>
      </c>
      <c r="I774" s="0" t="str">
        <f aca="false">IF('THÁNG 11'!$C31="","",N('THÁNG 11'!$I31))</f>
        <v/>
      </c>
      <c r="J774" s="0" t="str">
        <f aca="false">IF('THÁNG 11'!$C31="","",N('THÁNG 11'!$L31))</f>
        <v/>
      </c>
      <c r="K774" s="0" t="str">
        <f aca="false">IF('THÁNG 11'!$C31="","",N('THÁNG 11'!$N31))</f>
        <v/>
      </c>
      <c r="L774" s="0" t="str">
        <f aca="false">IF('THÁNG 11'!$C31="","",N('THÁNG 11'!$O31))</f>
        <v/>
      </c>
      <c r="M774" s="0" t="str">
        <f aca="false">IF('THÁNG 11'!$C31="","",N('THÁNG 11'!$P31))</f>
        <v/>
      </c>
      <c r="N774" s="0" t="str">
        <f aca="false">IF('THÁNG 11'!$C31="","",N('THÁNG 11'!$Q31))</f>
        <v/>
      </c>
      <c r="O774" s="0" t="str">
        <f aca="false">IF('THÁNG 11'!$C31="","",N('THÁNG 11'!$R31))</f>
        <v/>
      </c>
      <c r="P774" s="0" t="str">
        <f aca="false">IF(OR('THÁNG 11'!$C31="",'THÁNG 11'!$T31=""),"",'THÁNG 11'!$T31)</f>
        <v/>
      </c>
      <c r="Q774" s="0" t="str">
        <f aca="false">IF(OR('THÁNG 11'!$C31="",'THÁNG 11'!$U31=""),"",'THÁNG 11'!$U31)</f>
        <v/>
      </c>
      <c r="R774" s="0" t="str">
        <f aca="false">IF('THÁNG 11'!$C31="","",'THÁNG 11'!$W31&amp;"")</f>
        <v/>
      </c>
      <c r="S774" s="0" t="str">
        <f aca="false">IF('THÁNG 11'!$C31="","",'THÁNG 11'!$S31&amp;"")</f>
        <v/>
      </c>
      <c r="T774" s="0" t="str">
        <f aca="false">IF(N($O774)&gt;0,COUNTIF($O$3:$O774,"&gt;0"),"")</f>
        <v/>
      </c>
      <c r="U774" s="0" t="str">
        <f aca="false">IF(AND(N($J774)&gt;0,N($K774)&gt;0),COUNTIFS($J$3:$J774,"&gt;0",$K$3:$K774,"&gt;0"),"")</f>
        <v/>
      </c>
      <c r="V774" s="0" t="str">
        <f aca="false">IF(AND(N($J774)&gt;0,N($K774)=0),COUNTIFS($J$3:$J774,"&gt;0",$K$3:$K774,"&lt;=0"),"")</f>
        <v/>
      </c>
      <c r="W774" s="0" t="str">
        <f aca="false">IF($C774="","",IF(COUNTIF($C$3:$C774,$C774)&gt;1,"",MAX($W$2:W773)+1))</f>
        <v/>
      </c>
      <c r="X774" s="0" t="str">
        <f aca="false">IF($H774="","",IF(COUNTIF($H$3:$H774,$H774)&gt;1,"",MAX($X$2:X773)+1))</f>
        <v/>
      </c>
      <c r="Y774" s="0" t="str">
        <f aca="false">IF(AND(N($M774)&gt;0,N($O774)&lt;=0),COUNTIFS($M$3:$M774,"&gt;0",$O$3:$O774,"&lt;=0"),"")</f>
        <v/>
      </c>
      <c r="Z774" s="30" t="n">
        <f aca="false">IF(OR('THÁNG 11'!$C31="",'THÁNG 11'!$B31=""),0,'THÁNG 11'!$B31)</f>
        <v>0</v>
      </c>
    </row>
    <row r="775" customFormat="false" ht="15" hidden="false" customHeight="false" outlineLevel="0" collapsed="false">
      <c r="A775" s="0" t="n">
        <v>11</v>
      </c>
      <c r="B775" s="29" t="str">
        <f aca="false">IF(OR('THÁNG 11'!$C32="",'THÁNG 11'!$B32=""),"",'THÁNG 11'!$B32)</f>
        <v/>
      </c>
      <c r="C775" s="0" t="str">
        <f aca="false">IF('THÁNG 11'!$C32="","",'THÁNG 11'!$C32)</f>
        <v/>
      </c>
      <c r="D775" s="0" t="str">
        <f aca="false">IF('THÁNG 11'!$C32="","",'THÁNG 11'!$D32&amp;"")</f>
        <v/>
      </c>
      <c r="E775" s="0" t="str">
        <f aca="false">IF('THÁNG 11'!$C32="","",'THÁNG 11'!$E32&amp;"")</f>
        <v/>
      </c>
      <c r="F775" s="0" t="str">
        <f aca="false">IF('THÁNG 11'!$C32="","",'THÁNG 11'!$F32&amp;"")</f>
        <v/>
      </c>
      <c r="G775" s="0" t="str">
        <f aca="false">IF('THÁNG 11'!$C32="","",'THÁNG 11'!$G32&amp;"")</f>
        <v/>
      </c>
      <c r="H775" s="0" t="str">
        <f aca="false">IF('THÁNG 11'!$C32="","",'THÁNG 11'!$H32&amp;"")</f>
        <v/>
      </c>
      <c r="I775" s="0" t="str">
        <f aca="false">IF('THÁNG 11'!$C32="","",N('THÁNG 11'!$I32))</f>
        <v/>
      </c>
      <c r="J775" s="0" t="str">
        <f aca="false">IF('THÁNG 11'!$C32="","",N('THÁNG 11'!$L32))</f>
        <v/>
      </c>
      <c r="K775" s="0" t="str">
        <f aca="false">IF('THÁNG 11'!$C32="","",N('THÁNG 11'!$N32))</f>
        <v/>
      </c>
      <c r="L775" s="0" t="str">
        <f aca="false">IF('THÁNG 11'!$C32="","",N('THÁNG 11'!$O32))</f>
        <v/>
      </c>
      <c r="M775" s="0" t="str">
        <f aca="false">IF('THÁNG 11'!$C32="","",N('THÁNG 11'!$P32))</f>
        <v/>
      </c>
      <c r="N775" s="0" t="str">
        <f aca="false">IF('THÁNG 11'!$C32="","",N('THÁNG 11'!$Q32))</f>
        <v/>
      </c>
      <c r="O775" s="0" t="str">
        <f aca="false">IF('THÁNG 11'!$C32="","",N('THÁNG 11'!$R32))</f>
        <v/>
      </c>
      <c r="P775" s="0" t="str">
        <f aca="false">IF(OR('THÁNG 11'!$C32="",'THÁNG 11'!$T32=""),"",'THÁNG 11'!$T32)</f>
        <v/>
      </c>
      <c r="Q775" s="0" t="str">
        <f aca="false">IF(OR('THÁNG 11'!$C32="",'THÁNG 11'!$U32=""),"",'THÁNG 11'!$U32)</f>
        <v/>
      </c>
      <c r="R775" s="0" t="str">
        <f aca="false">IF('THÁNG 11'!$C32="","",'THÁNG 11'!$W32&amp;"")</f>
        <v/>
      </c>
      <c r="S775" s="0" t="str">
        <f aca="false">IF('THÁNG 11'!$C32="","",'THÁNG 11'!$S32&amp;"")</f>
        <v/>
      </c>
      <c r="T775" s="0" t="str">
        <f aca="false">IF(N($O775)&gt;0,COUNTIF($O$3:$O775,"&gt;0"),"")</f>
        <v/>
      </c>
      <c r="U775" s="0" t="str">
        <f aca="false">IF(AND(N($J775)&gt;0,N($K775)&gt;0),COUNTIFS($J$3:$J775,"&gt;0",$K$3:$K775,"&gt;0"),"")</f>
        <v/>
      </c>
      <c r="V775" s="0" t="str">
        <f aca="false">IF(AND(N($J775)&gt;0,N($K775)=0),COUNTIFS($J$3:$J775,"&gt;0",$K$3:$K775,"&lt;=0"),"")</f>
        <v/>
      </c>
      <c r="W775" s="0" t="str">
        <f aca="false">IF($C775="","",IF(COUNTIF($C$3:$C775,$C775)&gt;1,"",MAX($W$2:W774)+1))</f>
        <v/>
      </c>
      <c r="X775" s="0" t="str">
        <f aca="false">IF($H775="","",IF(COUNTIF($H$3:$H775,$H775)&gt;1,"",MAX($X$2:X774)+1))</f>
        <v/>
      </c>
      <c r="Y775" s="0" t="str">
        <f aca="false">IF(AND(N($M775)&gt;0,N($O775)&lt;=0),COUNTIFS($M$3:$M775,"&gt;0",$O$3:$O775,"&lt;=0"),"")</f>
        <v/>
      </c>
      <c r="Z775" s="30" t="n">
        <f aca="false">IF(OR('THÁNG 11'!$C32="",'THÁNG 11'!$B32=""),0,'THÁNG 11'!$B32)</f>
        <v>0</v>
      </c>
    </row>
    <row r="776" customFormat="false" ht="15" hidden="false" customHeight="false" outlineLevel="0" collapsed="false">
      <c r="A776" s="0" t="n">
        <v>11</v>
      </c>
      <c r="B776" s="29" t="str">
        <f aca="false">IF(OR('THÁNG 11'!$C33="",'THÁNG 11'!$B33=""),"",'THÁNG 11'!$B33)</f>
        <v/>
      </c>
      <c r="C776" s="0" t="str">
        <f aca="false">IF('THÁNG 11'!$C33="","",'THÁNG 11'!$C33)</f>
        <v/>
      </c>
      <c r="D776" s="0" t="str">
        <f aca="false">IF('THÁNG 11'!$C33="","",'THÁNG 11'!$D33&amp;"")</f>
        <v/>
      </c>
      <c r="E776" s="0" t="str">
        <f aca="false">IF('THÁNG 11'!$C33="","",'THÁNG 11'!$E33&amp;"")</f>
        <v/>
      </c>
      <c r="F776" s="0" t="str">
        <f aca="false">IF('THÁNG 11'!$C33="","",'THÁNG 11'!$F33&amp;"")</f>
        <v/>
      </c>
      <c r="G776" s="0" t="str">
        <f aca="false">IF('THÁNG 11'!$C33="","",'THÁNG 11'!$G33&amp;"")</f>
        <v/>
      </c>
      <c r="H776" s="0" t="str">
        <f aca="false">IF('THÁNG 11'!$C33="","",'THÁNG 11'!$H33&amp;"")</f>
        <v/>
      </c>
      <c r="I776" s="0" t="str">
        <f aca="false">IF('THÁNG 11'!$C33="","",N('THÁNG 11'!$I33))</f>
        <v/>
      </c>
      <c r="J776" s="0" t="str">
        <f aca="false">IF('THÁNG 11'!$C33="","",N('THÁNG 11'!$L33))</f>
        <v/>
      </c>
      <c r="K776" s="0" t="str">
        <f aca="false">IF('THÁNG 11'!$C33="","",N('THÁNG 11'!$N33))</f>
        <v/>
      </c>
      <c r="L776" s="0" t="str">
        <f aca="false">IF('THÁNG 11'!$C33="","",N('THÁNG 11'!$O33))</f>
        <v/>
      </c>
      <c r="M776" s="0" t="str">
        <f aca="false">IF('THÁNG 11'!$C33="","",N('THÁNG 11'!$P33))</f>
        <v/>
      </c>
      <c r="N776" s="0" t="str">
        <f aca="false">IF('THÁNG 11'!$C33="","",N('THÁNG 11'!$Q33))</f>
        <v/>
      </c>
      <c r="O776" s="0" t="str">
        <f aca="false">IF('THÁNG 11'!$C33="","",N('THÁNG 11'!$R33))</f>
        <v/>
      </c>
      <c r="P776" s="0" t="str">
        <f aca="false">IF(OR('THÁNG 11'!$C33="",'THÁNG 11'!$T33=""),"",'THÁNG 11'!$T33)</f>
        <v/>
      </c>
      <c r="Q776" s="0" t="str">
        <f aca="false">IF(OR('THÁNG 11'!$C33="",'THÁNG 11'!$U33=""),"",'THÁNG 11'!$U33)</f>
        <v/>
      </c>
      <c r="R776" s="0" t="str">
        <f aca="false">IF('THÁNG 11'!$C33="","",'THÁNG 11'!$W33&amp;"")</f>
        <v/>
      </c>
      <c r="S776" s="0" t="str">
        <f aca="false">IF('THÁNG 11'!$C33="","",'THÁNG 11'!$S33&amp;"")</f>
        <v/>
      </c>
      <c r="T776" s="0" t="str">
        <f aca="false">IF(N($O776)&gt;0,COUNTIF($O$3:$O776,"&gt;0"),"")</f>
        <v/>
      </c>
      <c r="U776" s="0" t="str">
        <f aca="false">IF(AND(N($J776)&gt;0,N($K776)&gt;0),COUNTIFS($J$3:$J776,"&gt;0",$K$3:$K776,"&gt;0"),"")</f>
        <v/>
      </c>
      <c r="V776" s="0" t="str">
        <f aca="false">IF(AND(N($J776)&gt;0,N($K776)=0),COUNTIFS($J$3:$J776,"&gt;0",$K$3:$K776,"&lt;=0"),"")</f>
        <v/>
      </c>
      <c r="W776" s="0" t="str">
        <f aca="false">IF($C776="","",IF(COUNTIF($C$3:$C776,$C776)&gt;1,"",MAX($W$2:W775)+1))</f>
        <v/>
      </c>
      <c r="X776" s="0" t="str">
        <f aca="false">IF($H776="","",IF(COUNTIF($H$3:$H776,$H776)&gt;1,"",MAX($X$2:X775)+1))</f>
        <v/>
      </c>
      <c r="Y776" s="0" t="str">
        <f aca="false">IF(AND(N($M776)&gt;0,N($O776)&lt;=0),COUNTIFS($M$3:$M776,"&gt;0",$O$3:$O776,"&lt;=0"),"")</f>
        <v/>
      </c>
      <c r="Z776" s="30" t="n">
        <f aca="false">IF(OR('THÁNG 11'!$C33="",'THÁNG 11'!$B33=""),0,'THÁNG 11'!$B33)</f>
        <v>0</v>
      </c>
    </row>
    <row r="777" customFormat="false" ht="15" hidden="false" customHeight="false" outlineLevel="0" collapsed="false">
      <c r="A777" s="0" t="n">
        <v>11</v>
      </c>
      <c r="B777" s="29" t="str">
        <f aca="false">IF(OR('THÁNG 11'!$C34="",'THÁNG 11'!$B34=""),"",'THÁNG 11'!$B34)</f>
        <v/>
      </c>
      <c r="C777" s="0" t="str">
        <f aca="false">IF('THÁNG 11'!$C34="","",'THÁNG 11'!$C34)</f>
        <v/>
      </c>
      <c r="D777" s="0" t="str">
        <f aca="false">IF('THÁNG 11'!$C34="","",'THÁNG 11'!$D34&amp;"")</f>
        <v/>
      </c>
      <c r="E777" s="0" t="str">
        <f aca="false">IF('THÁNG 11'!$C34="","",'THÁNG 11'!$E34&amp;"")</f>
        <v/>
      </c>
      <c r="F777" s="0" t="str">
        <f aca="false">IF('THÁNG 11'!$C34="","",'THÁNG 11'!$F34&amp;"")</f>
        <v/>
      </c>
      <c r="G777" s="0" t="str">
        <f aca="false">IF('THÁNG 11'!$C34="","",'THÁNG 11'!$G34&amp;"")</f>
        <v/>
      </c>
      <c r="H777" s="0" t="str">
        <f aca="false">IF('THÁNG 11'!$C34="","",'THÁNG 11'!$H34&amp;"")</f>
        <v/>
      </c>
      <c r="I777" s="0" t="str">
        <f aca="false">IF('THÁNG 11'!$C34="","",N('THÁNG 11'!$I34))</f>
        <v/>
      </c>
      <c r="J777" s="0" t="str">
        <f aca="false">IF('THÁNG 11'!$C34="","",N('THÁNG 11'!$L34))</f>
        <v/>
      </c>
      <c r="K777" s="0" t="str">
        <f aca="false">IF('THÁNG 11'!$C34="","",N('THÁNG 11'!$N34))</f>
        <v/>
      </c>
      <c r="L777" s="0" t="str">
        <f aca="false">IF('THÁNG 11'!$C34="","",N('THÁNG 11'!$O34))</f>
        <v/>
      </c>
      <c r="M777" s="0" t="str">
        <f aca="false">IF('THÁNG 11'!$C34="","",N('THÁNG 11'!$P34))</f>
        <v/>
      </c>
      <c r="N777" s="0" t="str">
        <f aca="false">IF('THÁNG 11'!$C34="","",N('THÁNG 11'!$Q34))</f>
        <v/>
      </c>
      <c r="O777" s="0" t="str">
        <f aca="false">IF('THÁNG 11'!$C34="","",N('THÁNG 11'!$R34))</f>
        <v/>
      </c>
      <c r="P777" s="0" t="str">
        <f aca="false">IF(OR('THÁNG 11'!$C34="",'THÁNG 11'!$T34=""),"",'THÁNG 11'!$T34)</f>
        <v/>
      </c>
      <c r="Q777" s="0" t="str">
        <f aca="false">IF(OR('THÁNG 11'!$C34="",'THÁNG 11'!$U34=""),"",'THÁNG 11'!$U34)</f>
        <v/>
      </c>
      <c r="R777" s="0" t="str">
        <f aca="false">IF('THÁNG 11'!$C34="","",'THÁNG 11'!$W34&amp;"")</f>
        <v/>
      </c>
      <c r="S777" s="0" t="str">
        <f aca="false">IF('THÁNG 11'!$C34="","",'THÁNG 11'!$S34&amp;"")</f>
        <v/>
      </c>
      <c r="T777" s="0" t="str">
        <f aca="false">IF(N($O777)&gt;0,COUNTIF($O$3:$O777,"&gt;0"),"")</f>
        <v/>
      </c>
      <c r="U777" s="0" t="str">
        <f aca="false">IF(AND(N($J777)&gt;0,N($K777)&gt;0),COUNTIFS($J$3:$J777,"&gt;0",$K$3:$K777,"&gt;0"),"")</f>
        <v/>
      </c>
      <c r="V777" s="0" t="str">
        <f aca="false">IF(AND(N($J777)&gt;0,N($K777)=0),COUNTIFS($J$3:$J777,"&gt;0",$K$3:$K777,"&lt;=0"),"")</f>
        <v/>
      </c>
      <c r="W777" s="0" t="str">
        <f aca="false">IF($C777="","",IF(COUNTIF($C$3:$C777,$C777)&gt;1,"",MAX($W$2:W776)+1))</f>
        <v/>
      </c>
      <c r="X777" s="0" t="str">
        <f aca="false">IF($H777="","",IF(COUNTIF($H$3:$H777,$H777)&gt;1,"",MAX($X$2:X776)+1))</f>
        <v/>
      </c>
      <c r="Y777" s="0" t="str">
        <f aca="false">IF(AND(N($M777)&gt;0,N($O777)&lt;=0),COUNTIFS($M$3:$M777,"&gt;0",$O$3:$O777,"&lt;=0"),"")</f>
        <v/>
      </c>
      <c r="Z777" s="30" t="n">
        <f aca="false">IF(OR('THÁNG 11'!$C34="",'THÁNG 11'!$B34=""),0,'THÁNG 11'!$B34)</f>
        <v>0</v>
      </c>
    </row>
    <row r="778" customFormat="false" ht="15" hidden="false" customHeight="false" outlineLevel="0" collapsed="false">
      <c r="A778" s="0" t="n">
        <v>11</v>
      </c>
      <c r="B778" s="29" t="str">
        <f aca="false">IF(OR('THÁNG 11'!$C35="",'THÁNG 11'!$B35=""),"",'THÁNG 11'!$B35)</f>
        <v/>
      </c>
      <c r="C778" s="0" t="str">
        <f aca="false">IF('THÁNG 11'!$C35="","",'THÁNG 11'!$C35)</f>
        <v/>
      </c>
      <c r="D778" s="0" t="str">
        <f aca="false">IF('THÁNG 11'!$C35="","",'THÁNG 11'!$D35&amp;"")</f>
        <v/>
      </c>
      <c r="E778" s="0" t="str">
        <f aca="false">IF('THÁNG 11'!$C35="","",'THÁNG 11'!$E35&amp;"")</f>
        <v/>
      </c>
      <c r="F778" s="0" t="str">
        <f aca="false">IF('THÁNG 11'!$C35="","",'THÁNG 11'!$F35&amp;"")</f>
        <v/>
      </c>
      <c r="G778" s="0" t="str">
        <f aca="false">IF('THÁNG 11'!$C35="","",'THÁNG 11'!$G35&amp;"")</f>
        <v/>
      </c>
      <c r="H778" s="0" t="str">
        <f aca="false">IF('THÁNG 11'!$C35="","",'THÁNG 11'!$H35&amp;"")</f>
        <v/>
      </c>
      <c r="I778" s="0" t="str">
        <f aca="false">IF('THÁNG 11'!$C35="","",N('THÁNG 11'!$I35))</f>
        <v/>
      </c>
      <c r="J778" s="0" t="str">
        <f aca="false">IF('THÁNG 11'!$C35="","",N('THÁNG 11'!$L35))</f>
        <v/>
      </c>
      <c r="K778" s="0" t="str">
        <f aca="false">IF('THÁNG 11'!$C35="","",N('THÁNG 11'!$N35))</f>
        <v/>
      </c>
      <c r="L778" s="0" t="str">
        <f aca="false">IF('THÁNG 11'!$C35="","",N('THÁNG 11'!$O35))</f>
        <v/>
      </c>
      <c r="M778" s="0" t="str">
        <f aca="false">IF('THÁNG 11'!$C35="","",N('THÁNG 11'!$P35))</f>
        <v/>
      </c>
      <c r="N778" s="0" t="str">
        <f aca="false">IF('THÁNG 11'!$C35="","",N('THÁNG 11'!$Q35))</f>
        <v/>
      </c>
      <c r="O778" s="0" t="str">
        <f aca="false">IF('THÁNG 11'!$C35="","",N('THÁNG 11'!$R35))</f>
        <v/>
      </c>
      <c r="P778" s="0" t="str">
        <f aca="false">IF(OR('THÁNG 11'!$C35="",'THÁNG 11'!$T35=""),"",'THÁNG 11'!$T35)</f>
        <v/>
      </c>
      <c r="Q778" s="0" t="str">
        <f aca="false">IF(OR('THÁNG 11'!$C35="",'THÁNG 11'!$U35=""),"",'THÁNG 11'!$U35)</f>
        <v/>
      </c>
      <c r="R778" s="0" t="str">
        <f aca="false">IF('THÁNG 11'!$C35="","",'THÁNG 11'!$W35&amp;"")</f>
        <v/>
      </c>
      <c r="S778" s="0" t="str">
        <f aca="false">IF('THÁNG 11'!$C35="","",'THÁNG 11'!$S35&amp;"")</f>
        <v/>
      </c>
      <c r="T778" s="0" t="str">
        <f aca="false">IF(N($O778)&gt;0,COUNTIF($O$3:$O778,"&gt;0"),"")</f>
        <v/>
      </c>
      <c r="U778" s="0" t="str">
        <f aca="false">IF(AND(N($J778)&gt;0,N($K778)&gt;0),COUNTIFS($J$3:$J778,"&gt;0",$K$3:$K778,"&gt;0"),"")</f>
        <v/>
      </c>
      <c r="V778" s="0" t="str">
        <f aca="false">IF(AND(N($J778)&gt;0,N($K778)=0),COUNTIFS($J$3:$J778,"&gt;0",$K$3:$K778,"&lt;=0"),"")</f>
        <v/>
      </c>
      <c r="W778" s="0" t="str">
        <f aca="false">IF($C778="","",IF(COUNTIF($C$3:$C778,$C778)&gt;1,"",MAX($W$2:W777)+1))</f>
        <v/>
      </c>
      <c r="X778" s="0" t="str">
        <f aca="false">IF($H778="","",IF(COUNTIF($H$3:$H778,$H778)&gt;1,"",MAX($X$2:X777)+1))</f>
        <v/>
      </c>
      <c r="Y778" s="0" t="str">
        <f aca="false">IF(AND(N($M778)&gt;0,N($O778)&lt;=0),COUNTIFS($M$3:$M778,"&gt;0",$O$3:$O778,"&lt;=0"),"")</f>
        <v/>
      </c>
      <c r="Z778" s="30" t="n">
        <f aca="false">IF(OR('THÁNG 11'!$C35="",'THÁNG 11'!$B35=""),0,'THÁNG 11'!$B35)</f>
        <v>0</v>
      </c>
    </row>
    <row r="779" customFormat="false" ht="15" hidden="false" customHeight="false" outlineLevel="0" collapsed="false">
      <c r="A779" s="0" t="n">
        <v>11</v>
      </c>
      <c r="B779" s="29" t="str">
        <f aca="false">IF(OR('THÁNG 11'!$C36="",'THÁNG 11'!$B36=""),"",'THÁNG 11'!$B36)</f>
        <v/>
      </c>
      <c r="C779" s="0" t="str">
        <f aca="false">IF('THÁNG 11'!$C36="","",'THÁNG 11'!$C36)</f>
        <v/>
      </c>
      <c r="D779" s="0" t="str">
        <f aca="false">IF('THÁNG 11'!$C36="","",'THÁNG 11'!$D36&amp;"")</f>
        <v/>
      </c>
      <c r="E779" s="0" t="str">
        <f aca="false">IF('THÁNG 11'!$C36="","",'THÁNG 11'!$E36&amp;"")</f>
        <v/>
      </c>
      <c r="F779" s="0" t="str">
        <f aca="false">IF('THÁNG 11'!$C36="","",'THÁNG 11'!$F36&amp;"")</f>
        <v/>
      </c>
      <c r="G779" s="0" t="str">
        <f aca="false">IF('THÁNG 11'!$C36="","",'THÁNG 11'!$G36&amp;"")</f>
        <v/>
      </c>
      <c r="H779" s="0" t="str">
        <f aca="false">IF('THÁNG 11'!$C36="","",'THÁNG 11'!$H36&amp;"")</f>
        <v/>
      </c>
      <c r="I779" s="0" t="str">
        <f aca="false">IF('THÁNG 11'!$C36="","",N('THÁNG 11'!$I36))</f>
        <v/>
      </c>
      <c r="J779" s="0" t="str">
        <f aca="false">IF('THÁNG 11'!$C36="","",N('THÁNG 11'!$L36))</f>
        <v/>
      </c>
      <c r="K779" s="0" t="str">
        <f aca="false">IF('THÁNG 11'!$C36="","",N('THÁNG 11'!$N36))</f>
        <v/>
      </c>
      <c r="L779" s="0" t="str">
        <f aca="false">IF('THÁNG 11'!$C36="","",N('THÁNG 11'!$O36))</f>
        <v/>
      </c>
      <c r="M779" s="0" t="str">
        <f aca="false">IF('THÁNG 11'!$C36="","",N('THÁNG 11'!$P36))</f>
        <v/>
      </c>
      <c r="N779" s="0" t="str">
        <f aca="false">IF('THÁNG 11'!$C36="","",N('THÁNG 11'!$Q36))</f>
        <v/>
      </c>
      <c r="O779" s="0" t="str">
        <f aca="false">IF('THÁNG 11'!$C36="","",N('THÁNG 11'!$R36))</f>
        <v/>
      </c>
      <c r="P779" s="0" t="str">
        <f aca="false">IF(OR('THÁNG 11'!$C36="",'THÁNG 11'!$T36=""),"",'THÁNG 11'!$T36)</f>
        <v/>
      </c>
      <c r="Q779" s="0" t="str">
        <f aca="false">IF(OR('THÁNG 11'!$C36="",'THÁNG 11'!$U36=""),"",'THÁNG 11'!$U36)</f>
        <v/>
      </c>
      <c r="R779" s="0" t="str">
        <f aca="false">IF('THÁNG 11'!$C36="","",'THÁNG 11'!$W36&amp;"")</f>
        <v/>
      </c>
      <c r="S779" s="0" t="str">
        <f aca="false">IF('THÁNG 11'!$C36="","",'THÁNG 11'!$S36&amp;"")</f>
        <v/>
      </c>
      <c r="T779" s="0" t="str">
        <f aca="false">IF(N($O779)&gt;0,COUNTIF($O$3:$O779,"&gt;0"),"")</f>
        <v/>
      </c>
      <c r="U779" s="0" t="str">
        <f aca="false">IF(AND(N($J779)&gt;0,N($K779)&gt;0),COUNTIFS($J$3:$J779,"&gt;0",$K$3:$K779,"&gt;0"),"")</f>
        <v/>
      </c>
      <c r="V779" s="0" t="str">
        <f aca="false">IF(AND(N($J779)&gt;0,N($K779)=0),COUNTIFS($J$3:$J779,"&gt;0",$K$3:$K779,"&lt;=0"),"")</f>
        <v/>
      </c>
      <c r="W779" s="0" t="str">
        <f aca="false">IF($C779="","",IF(COUNTIF($C$3:$C779,$C779)&gt;1,"",MAX($W$2:W778)+1))</f>
        <v/>
      </c>
      <c r="X779" s="0" t="str">
        <f aca="false">IF($H779="","",IF(COUNTIF($H$3:$H779,$H779)&gt;1,"",MAX($X$2:X778)+1))</f>
        <v/>
      </c>
      <c r="Y779" s="0" t="str">
        <f aca="false">IF(AND(N($M779)&gt;0,N($O779)&lt;=0),COUNTIFS($M$3:$M779,"&gt;0",$O$3:$O779,"&lt;=0"),"")</f>
        <v/>
      </c>
      <c r="Z779" s="30" t="n">
        <f aca="false">IF(OR('THÁNG 11'!$C36="",'THÁNG 11'!$B36=""),0,'THÁNG 11'!$B36)</f>
        <v>0</v>
      </c>
    </row>
    <row r="780" customFormat="false" ht="15" hidden="false" customHeight="false" outlineLevel="0" collapsed="false">
      <c r="A780" s="0" t="n">
        <v>11</v>
      </c>
      <c r="B780" s="29" t="str">
        <f aca="false">IF(OR('THÁNG 11'!$C37="",'THÁNG 11'!$B37=""),"",'THÁNG 11'!$B37)</f>
        <v/>
      </c>
      <c r="C780" s="0" t="str">
        <f aca="false">IF('THÁNG 11'!$C37="","",'THÁNG 11'!$C37)</f>
        <v/>
      </c>
      <c r="D780" s="0" t="str">
        <f aca="false">IF('THÁNG 11'!$C37="","",'THÁNG 11'!$D37&amp;"")</f>
        <v/>
      </c>
      <c r="E780" s="0" t="str">
        <f aca="false">IF('THÁNG 11'!$C37="","",'THÁNG 11'!$E37&amp;"")</f>
        <v/>
      </c>
      <c r="F780" s="0" t="str">
        <f aca="false">IF('THÁNG 11'!$C37="","",'THÁNG 11'!$F37&amp;"")</f>
        <v/>
      </c>
      <c r="G780" s="0" t="str">
        <f aca="false">IF('THÁNG 11'!$C37="","",'THÁNG 11'!$G37&amp;"")</f>
        <v/>
      </c>
      <c r="H780" s="0" t="str">
        <f aca="false">IF('THÁNG 11'!$C37="","",'THÁNG 11'!$H37&amp;"")</f>
        <v/>
      </c>
      <c r="I780" s="0" t="str">
        <f aca="false">IF('THÁNG 11'!$C37="","",N('THÁNG 11'!$I37))</f>
        <v/>
      </c>
      <c r="J780" s="0" t="str">
        <f aca="false">IF('THÁNG 11'!$C37="","",N('THÁNG 11'!$L37))</f>
        <v/>
      </c>
      <c r="K780" s="0" t="str">
        <f aca="false">IF('THÁNG 11'!$C37="","",N('THÁNG 11'!$N37))</f>
        <v/>
      </c>
      <c r="L780" s="0" t="str">
        <f aca="false">IF('THÁNG 11'!$C37="","",N('THÁNG 11'!$O37))</f>
        <v/>
      </c>
      <c r="M780" s="0" t="str">
        <f aca="false">IF('THÁNG 11'!$C37="","",N('THÁNG 11'!$P37))</f>
        <v/>
      </c>
      <c r="N780" s="0" t="str">
        <f aca="false">IF('THÁNG 11'!$C37="","",N('THÁNG 11'!$Q37))</f>
        <v/>
      </c>
      <c r="O780" s="0" t="str">
        <f aca="false">IF('THÁNG 11'!$C37="","",N('THÁNG 11'!$R37))</f>
        <v/>
      </c>
      <c r="P780" s="0" t="str">
        <f aca="false">IF(OR('THÁNG 11'!$C37="",'THÁNG 11'!$T37=""),"",'THÁNG 11'!$T37)</f>
        <v/>
      </c>
      <c r="Q780" s="0" t="str">
        <f aca="false">IF(OR('THÁNG 11'!$C37="",'THÁNG 11'!$U37=""),"",'THÁNG 11'!$U37)</f>
        <v/>
      </c>
      <c r="R780" s="0" t="str">
        <f aca="false">IF('THÁNG 11'!$C37="","",'THÁNG 11'!$W37&amp;"")</f>
        <v/>
      </c>
      <c r="S780" s="0" t="str">
        <f aca="false">IF('THÁNG 11'!$C37="","",'THÁNG 11'!$S37&amp;"")</f>
        <v/>
      </c>
      <c r="T780" s="0" t="str">
        <f aca="false">IF(N($O780)&gt;0,COUNTIF($O$3:$O780,"&gt;0"),"")</f>
        <v/>
      </c>
      <c r="U780" s="0" t="str">
        <f aca="false">IF(AND(N($J780)&gt;0,N($K780)&gt;0),COUNTIFS($J$3:$J780,"&gt;0",$K$3:$K780,"&gt;0"),"")</f>
        <v/>
      </c>
      <c r="V780" s="0" t="str">
        <f aca="false">IF(AND(N($J780)&gt;0,N($K780)=0),COUNTIFS($J$3:$J780,"&gt;0",$K$3:$K780,"&lt;=0"),"")</f>
        <v/>
      </c>
      <c r="W780" s="0" t="str">
        <f aca="false">IF($C780="","",IF(COUNTIF($C$3:$C780,$C780)&gt;1,"",MAX($W$2:W779)+1))</f>
        <v/>
      </c>
      <c r="X780" s="0" t="str">
        <f aca="false">IF($H780="","",IF(COUNTIF($H$3:$H780,$H780)&gt;1,"",MAX($X$2:X779)+1))</f>
        <v/>
      </c>
      <c r="Y780" s="0" t="str">
        <f aca="false">IF(AND(N($M780)&gt;0,N($O780)&lt;=0),COUNTIFS($M$3:$M780,"&gt;0",$O$3:$O780,"&lt;=0"),"")</f>
        <v/>
      </c>
      <c r="Z780" s="30" t="n">
        <f aca="false">IF(OR('THÁNG 11'!$C37="",'THÁNG 11'!$B37=""),0,'THÁNG 11'!$B37)</f>
        <v>0</v>
      </c>
    </row>
    <row r="781" customFormat="false" ht="15" hidden="false" customHeight="false" outlineLevel="0" collapsed="false">
      <c r="A781" s="0" t="n">
        <v>11</v>
      </c>
      <c r="B781" s="29" t="str">
        <f aca="false">IF(OR('THÁNG 11'!$C38="",'THÁNG 11'!$B38=""),"",'THÁNG 11'!$B38)</f>
        <v/>
      </c>
      <c r="C781" s="0" t="str">
        <f aca="false">IF('THÁNG 11'!$C38="","",'THÁNG 11'!$C38)</f>
        <v/>
      </c>
      <c r="D781" s="0" t="str">
        <f aca="false">IF('THÁNG 11'!$C38="","",'THÁNG 11'!$D38&amp;"")</f>
        <v/>
      </c>
      <c r="E781" s="0" t="str">
        <f aca="false">IF('THÁNG 11'!$C38="","",'THÁNG 11'!$E38&amp;"")</f>
        <v/>
      </c>
      <c r="F781" s="0" t="str">
        <f aca="false">IF('THÁNG 11'!$C38="","",'THÁNG 11'!$F38&amp;"")</f>
        <v/>
      </c>
      <c r="G781" s="0" t="str">
        <f aca="false">IF('THÁNG 11'!$C38="","",'THÁNG 11'!$G38&amp;"")</f>
        <v/>
      </c>
      <c r="H781" s="0" t="str">
        <f aca="false">IF('THÁNG 11'!$C38="","",'THÁNG 11'!$H38&amp;"")</f>
        <v/>
      </c>
      <c r="I781" s="0" t="str">
        <f aca="false">IF('THÁNG 11'!$C38="","",N('THÁNG 11'!$I38))</f>
        <v/>
      </c>
      <c r="J781" s="0" t="str">
        <f aca="false">IF('THÁNG 11'!$C38="","",N('THÁNG 11'!$L38))</f>
        <v/>
      </c>
      <c r="K781" s="0" t="str">
        <f aca="false">IF('THÁNG 11'!$C38="","",N('THÁNG 11'!$N38))</f>
        <v/>
      </c>
      <c r="L781" s="0" t="str">
        <f aca="false">IF('THÁNG 11'!$C38="","",N('THÁNG 11'!$O38))</f>
        <v/>
      </c>
      <c r="M781" s="0" t="str">
        <f aca="false">IF('THÁNG 11'!$C38="","",N('THÁNG 11'!$P38))</f>
        <v/>
      </c>
      <c r="N781" s="0" t="str">
        <f aca="false">IF('THÁNG 11'!$C38="","",N('THÁNG 11'!$Q38))</f>
        <v/>
      </c>
      <c r="O781" s="0" t="str">
        <f aca="false">IF('THÁNG 11'!$C38="","",N('THÁNG 11'!$R38))</f>
        <v/>
      </c>
      <c r="P781" s="0" t="str">
        <f aca="false">IF(OR('THÁNG 11'!$C38="",'THÁNG 11'!$T38=""),"",'THÁNG 11'!$T38)</f>
        <v/>
      </c>
      <c r="Q781" s="0" t="str">
        <f aca="false">IF(OR('THÁNG 11'!$C38="",'THÁNG 11'!$U38=""),"",'THÁNG 11'!$U38)</f>
        <v/>
      </c>
      <c r="R781" s="0" t="str">
        <f aca="false">IF('THÁNG 11'!$C38="","",'THÁNG 11'!$W38&amp;"")</f>
        <v/>
      </c>
      <c r="S781" s="0" t="str">
        <f aca="false">IF('THÁNG 11'!$C38="","",'THÁNG 11'!$S38&amp;"")</f>
        <v/>
      </c>
      <c r="T781" s="0" t="str">
        <f aca="false">IF(N($O781)&gt;0,COUNTIF($O$3:$O781,"&gt;0"),"")</f>
        <v/>
      </c>
      <c r="U781" s="0" t="str">
        <f aca="false">IF(AND(N($J781)&gt;0,N($K781)&gt;0),COUNTIFS($J$3:$J781,"&gt;0",$K$3:$K781,"&gt;0"),"")</f>
        <v/>
      </c>
      <c r="V781" s="0" t="str">
        <f aca="false">IF(AND(N($J781)&gt;0,N($K781)=0),COUNTIFS($J$3:$J781,"&gt;0",$K$3:$K781,"&lt;=0"),"")</f>
        <v/>
      </c>
      <c r="W781" s="0" t="str">
        <f aca="false">IF($C781="","",IF(COUNTIF($C$3:$C781,$C781)&gt;1,"",MAX($W$2:W780)+1))</f>
        <v/>
      </c>
      <c r="X781" s="0" t="str">
        <f aca="false">IF($H781="","",IF(COUNTIF($H$3:$H781,$H781)&gt;1,"",MAX($X$2:X780)+1))</f>
        <v/>
      </c>
      <c r="Y781" s="0" t="str">
        <f aca="false">IF(AND(N($M781)&gt;0,N($O781)&lt;=0),COUNTIFS($M$3:$M781,"&gt;0",$O$3:$O781,"&lt;=0"),"")</f>
        <v/>
      </c>
      <c r="Z781" s="30" t="n">
        <f aca="false">IF(OR('THÁNG 11'!$C38="",'THÁNG 11'!$B38=""),0,'THÁNG 11'!$B38)</f>
        <v>0</v>
      </c>
    </row>
    <row r="782" customFormat="false" ht="15" hidden="false" customHeight="false" outlineLevel="0" collapsed="false">
      <c r="A782" s="0" t="n">
        <v>11</v>
      </c>
      <c r="B782" s="29" t="str">
        <f aca="false">IF(OR('THÁNG 11'!$C39="",'THÁNG 11'!$B39=""),"",'THÁNG 11'!$B39)</f>
        <v/>
      </c>
      <c r="C782" s="0" t="str">
        <f aca="false">IF('THÁNG 11'!$C39="","",'THÁNG 11'!$C39)</f>
        <v/>
      </c>
      <c r="D782" s="0" t="str">
        <f aca="false">IF('THÁNG 11'!$C39="","",'THÁNG 11'!$D39&amp;"")</f>
        <v/>
      </c>
      <c r="E782" s="0" t="str">
        <f aca="false">IF('THÁNG 11'!$C39="","",'THÁNG 11'!$E39&amp;"")</f>
        <v/>
      </c>
      <c r="F782" s="0" t="str">
        <f aca="false">IF('THÁNG 11'!$C39="","",'THÁNG 11'!$F39&amp;"")</f>
        <v/>
      </c>
      <c r="G782" s="0" t="str">
        <f aca="false">IF('THÁNG 11'!$C39="","",'THÁNG 11'!$G39&amp;"")</f>
        <v/>
      </c>
      <c r="H782" s="0" t="str">
        <f aca="false">IF('THÁNG 11'!$C39="","",'THÁNG 11'!$H39&amp;"")</f>
        <v/>
      </c>
      <c r="I782" s="0" t="str">
        <f aca="false">IF('THÁNG 11'!$C39="","",N('THÁNG 11'!$I39))</f>
        <v/>
      </c>
      <c r="J782" s="0" t="str">
        <f aca="false">IF('THÁNG 11'!$C39="","",N('THÁNG 11'!$L39))</f>
        <v/>
      </c>
      <c r="K782" s="0" t="str">
        <f aca="false">IF('THÁNG 11'!$C39="","",N('THÁNG 11'!$N39))</f>
        <v/>
      </c>
      <c r="L782" s="0" t="str">
        <f aca="false">IF('THÁNG 11'!$C39="","",N('THÁNG 11'!$O39))</f>
        <v/>
      </c>
      <c r="M782" s="0" t="str">
        <f aca="false">IF('THÁNG 11'!$C39="","",N('THÁNG 11'!$P39))</f>
        <v/>
      </c>
      <c r="N782" s="0" t="str">
        <f aca="false">IF('THÁNG 11'!$C39="","",N('THÁNG 11'!$Q39))</f>
        <v/>
      </c>
      <c r="O782" s="0" t="str">
        <f aca="false">IF('THÁNG 11'!$C39="","",N('THÁNG 11'!$R39))</f>
        <v/>
      </c>
      <c r="P782" s="0" t="str">
        <f aca="false">IF(OR('THÁNG 11'!$C39="",'THÁNG 11'!$T39=""),"",'THÁNG 11'!$T39)</f>
        <v/>
      </c>
      <c r="Q782" s="0" t="str">
        <f aca="false">IF(OR('THÁNG 11'!$C39="",'THÁNG 11'!$U39=""),"",'THÁNG 11'!$U39)</f>
        <v/>
      </c>
      <c r="R782" s="0" t="str">
        <f aca="false">IF('THÁNG 11'!$C39="","",'THÁNG 11'!$W39&amp;"")</f>
        <v/>
      </c>
      <c r="S782" s="0" t="str">
        <f aca="false">IF('THÁNG 11'!$C39="","",'THÁNG 11'!$S39&amp;"")</f>
        <v/>
      </c>
      <c r="T782" s="0" t="str">
        <f aca="false">IF(N($O782)&gt;0,COUNTIF($O$3:$O782,"&gt;0"),"")</f>
        <v/>
      </c>
      <c r="U782" s="0" t="str">
        <f aca="false">IF(AND(N($J782)&gt;0,N($K782)&gt;0),COUNTIFS($J$3:$J782,"&gt;0",$K$3:$K782,"&gt;0"),"")</f>
        <v/>
      </c>
      <c r="V782" s="0" t="str">
        <f aca="false">IF(AND(N($J782)&gt;0,N($K782)=0),COUNTIFS($J$3:$J782,"&gt;0",$K$3:$K782,"&lt;=0"),"")</f>
        <v/>
      </c>
      <c r="W782" s="0" t="str">
        <f aca="false">IF($C782="","",IF(COUNTIF($C$3:$C782,$C782)&gt;1,"",MAX($W$2:W781)+1))</f>
        <v/>
      </c>
      <c r="X782" s="0" t="str">
        <f aca="false">IF($H782="","",IF(COUNTIF($H$3:$H782,$H782)&gt;1,"",MAX($X$2:X781)+1))</f>
        <v/>
      </c>
      <c r="Y782" s="0" t="str">
        <f aca="false">IF(AND(N($M782)&gt;0,N($O782)&lt;=0),COUNTIFS($M$3:$M782,"&gt;0",$O$3:$O782,"&lt;=0"),"")</f>
        <v/>
      </c>
      <c r="Z782" s="30" t="n">
        <f aca="false">IF(OR('THÁNG 11'!$C39="",'THÁNG 11'!$B39=""),0,'THÁNG 11'!$B39)</f>
        <v>0</v>
      </c>
    </row>
    <row r="783" customFormat="false" ht="15" hidden="false" customHeight="false" outlineLevel="0" collapsed="false">
      <c r="A783" s="0" t="n">
        <v>11</v>
      </c>
      <c r="B783" s="29" t="str">
        <f aca="false">IF(OR('THÁNG 11'!$C40="",'THÁNG 11'!$B40=""),"",'THÁNG 11'!$B40)</f>
        <v/>
      </c>
      <c r="C783" s="0" t="str">
        <f aca="false">IF('THÁNG 11'!$C40="","",'THÁNG 11'!$C40)</f>
        <v/>
      </c>
      <c r="D783" s="0" t="str">
        <f aca="false">IF('THÁNG 11'!$C40="","",'THÁNG 11'!$D40&amp;"")</f>
        <v/>
      </c>
      <c r="E783" s="0" t="str">
        <f aca="false">IF('THÁNG 11'!$C40="","",'THÁNG 11'!$E40&amp;"")</f>
        <v/>
      </c>
      <c r="F783" s="0" t="str">
        <f aca="false">IF('THÁNG 11'!$C40="","",'THÁNG 11'!$F40&amp;"")</f>
        <v/>
      </c>
      <c r="G783" s="0" t="str">
        <f aca="false">IF('THÁNG 11'!$C40="","",'THÁNG 11'!$G40&amp;"")</f>
        <v/>
      </c>
      <c r="H783" s="0" t="str">
        <f aca="false">IF('THÁNG 11'!$C40="","",'THÁNG 11'!$H40&amp;"")</f>
        <v/>
      </c>
      <c r="I783" s="0" t="str">
        <f aca="false">IF('THÁNG 11'!$C40="","",N('THÁNG 11'!$I40))</f>
        <v/>
      </c>
      <c r="J783" s="0" t="str">
        <f aca="false">IF('THÁNG 11'!$C40="","",N('THÁNG 11'!$L40))</f>
        <v/>
      </c>
      <c r="K783" s="0" t="str">
        <f aca="false">IF('THÁNG 11'!$C40="","",N('THÁNG 11'!$N40))</f>
        <v/>
      </c>
      <c r="L783" s="0" t="str">
        <f aca="false">IF('THÁNG 11'!$C40="","",N('THÁNG 11'!$O40))</f>
        <v/>
      </c>
      <c r="M783" s="0" t="str">
        <f aca="false">IF('THÁNG 11'!$C40="","",N('THÁNG 11'!$P40))</f>
        <v/>
      </c>
      <c r="N783" s="0" t="str">
        <f aca="false">IF('THÁNG 11'!$C40="","",N('THÁNG 11'!$Q40))</f>
        <v/>
      </c>
      <c r="O783" s="0" t="str">
        <f aca="false">IF('THÁNG 11'!$C40="","",N('THÁNG 11'!$R40))</f>
        <v/>
      </c>
      <c r="P783" s="0" t="str">
        <f aca="false">IF(OR('THÁNG 11'!$C40="",'THÁNG 11'!$T40=""),"",'THÁNG 11'!$T40)</f>
        <v/>
      </c>
      <c r="Q783" s="0" t="str">
        <f aca="false">IF(OR('THÁNG 11'!$C40="",'THÁNG 11'!$U40=""),"",'THÁNG 11'!$U40)</f>
        <v/>
      </c>
      <c r="R783" s="0" t="str">
        <f aca="false">IF('THÁNG 11'!$C40="","",'THÁNG 11'!$W40&amp;"")</f>
        <v/>
      </c>
      <c r="S783" s="0" t="str">
        <f aca="false">IF('THÁNG 11'!$C40="","",'THÁNG 11'!$S40&amp;"")</f>
        <v/>
      </c>
      <c r="T783" s="0" t="str">
        <f aca="false">IF(N($O783)&gt;0,COUNTIF($O$3:$O783,"&gt;0"),"")</f>
        <v/>
      </c>
      <c r="U783" s="0" t="str">
        <f aca="false">IF(AND(N($J783)&gt;0,N($K783)&gt;0),COUNTIFS($J$3:$J783,"&gt;0",$K$3:$K783,"&gt;0"),"")</f>
        <v/>
      </c>
      <c r="V783" s="0" t="str">
        <f aca="false">IF(AND(N($J783)&gt;0,N($K783)=0),COUNTIFS($J$3:$J783,"&gt;0",$K$3:$K783,"&lt;=0"),"")</f>
        <v/>
      </c>
      <c r="W783" s="0" t="str">
        <f aca="false">IF($C783="","",IF(COUNTIF($C$3:$C783,$C783)&gt;1,"",MAX($W$2:W782)+1))</f>
        <v/>
      </c>
      <c r="X783" s="0" t="str">
        <f aca="false">IF($H783="","",IF(COUNTIF($H$3:$H783,$H783)&gt;1,"",MAX($X$2:X782)+1))</f>
        <v/>
      </c>
      <c r="Y783" s="0" t="str">
        <f aca="false">IF(AND(N($M783)&gt;0,N($O783)&lt;=0),COUNTIFS($M$3:$M783,"&gt;0",$O$3:$O783,"&lt;=0"),"")</f>
        <v/>
      </c>
      <c r="Z783" s="30" t="n">
        <f aca="false">IF(OR('THÁNG 11'!$C40="",'THÁNG 11'!$B40=""),0,'THÁNG 11'!$B40)</f>
        <v>0</v>
      </c>
    </row>
    <row r="784" customFormat="false" ht="15" hidden="false" customHeight="false" outlineLevel="0" collapsed="false">
      <c r="A784" s="0" t="n">
        <v>11</v>
      </c>
      <c r="B784" s="29" t="str">
        <f aca="false">IF(OR('THÁNG 11'!$C41="",'THÁNG 11'!$B41=""),"",'THÁNG 11'!$B41)</f>
        <v/>
      </c>
      <c r="C784" s="0" t="str">
        <f aca="false">IF('THÁNG 11'!$C41="","",'THÁNG 11'!$C41)</f>
        <v/>
      </c>
      <c r="D784" s="0" t="str">
        <f aca="false">IF('THÁNG 11'!$C41="","",'THÁNG 11'!$D41&amp;"")</f>
        <v/>
      </c>
      <c r="E784" s="0" t="str">
        <f aca="false">IF('THÁNG 11'!$C41="","",'THÁNG 11'!$E41&amp;"")</f>
        <v/>
      </c>
      <c r="F784" s="0" t="str">
        <f aca="false">IF('THÁNG 11'!$C41="","",'THÁNG 11'!$F41&amp;"")</f>
        <v/>
      </c>
      <c r="G784" s="0" t="str">
        <f aca="false">IF('THÁNG 11'!$C41="","",'THÁNG 11'!$G41&amp;"")</f>
        <v/>
      </c>
      <c r="H784" s="0" t="str">
        <f aca="false">IF('THÁNG 11'!$C41="","",'THÁNG 11'!$H41&amp;"")</f>
        <v/>
      </c>
      <c r="I784" s="0" t="str">
        <f aca="false">IF('THÁNG 11'!$C41="","",N('THÁNG 11'!$I41))</f>
        <v/>
      </c>
      <c r="J784" s="0" t="str">
        <f aca="false">IF('THÁNG 11'!$C41="","",N('THÁNG 11'!$L41))</f>
        <v/>
      </c>
      <c r="K784" s="0" t="str">
        <f aca="false">IF('THÁNG 11'!$C41="","",N('THÁNG 11'!$N41))</f>
        <v/>
      </c>
      <c r="L784" s="0" t="str">
        <f aca="false">IF('THÁNG 11'!$C41="","",N('THÁNG 11'!$O41))</f>
        <v/>
      </c>
      <c r="M784" s="0" t="str">
        <f aca="false">IF('THÁNG 11'!$C41="","",N('THÁNG 11'!$P41))</f>
        <v/>
      </c>
      <c r="N784" s="0" t="str">
        <f aca="false">IF('THÁNG 11'!$C41="","",N('THÁNG 11'!$Q41))</f>
        <v/>
      </c>
      <c r="O784" s="0" t="str">
        <f aca="false">IF('THÁNG 11'!$C41="","",N('THÁNG 11'!$R41))</f>
        <v/>
      </c>
      <c r="P784" s="0" t="str">
        <f aca="false">IF(OR('THÁNG 11'!$C41="",'THÁNG 11'!$T41=""),"",'THÁNG 11'!$T41)</f>
        <v/>
      </c>
      <c r="Q784" s="0" t="str">
        <f aca="false">IF(OR('THÁNG 11'!$C41="",'THÁNG 11'!$U41=""),"",'THÁNG 11'!$U41)</f>
        <v/>
      </c>
      <c r="R784" s="0" t="str">
        <f aca="false">IF('THÁNG 11'!$C41="","",'THÁNG 11'!$W41&amp;"")</f>
        <v/>
      </c>
      <c r="S784" s="0" t="str">
        <f aca="false">IF('THÁNG 11'!$C41="","",'THÁNG 11'!$S41&amp;"")</f>
        <v/>
      </c>
      <c r="T784" s="0" t="str">
        <f aca="false">IF(N($O784)&gt;0,COUNTIF($O$3:$O784,"&gt;0"),"")</f>
        <v/>
      </c>
      <c r="U784" s="0" t="str">
        <f aca="false">IF(AND(N($J784)&gt;0,N($K784)&gt;0),COUNTIFS($J$3:$J784,"&gt;0",$K$3:$K784,"&gt;0"),"")</f>
        <v/>
      </c>
      <c r="V784" s="0" t="str">
        <f aca="false">IF(AND(N($J784)&gt;0,N($K784)=0),COUNTIFS($J$3:$J784,"&gt;0",$K$3:$K784,"&lt;=0"),"")</f>
        <v/>
      </c>
      <c r="W784" s="0" t="str">
        <f aca="false">IF($C784="","",IF(COUNTIF($C$3:$C784,$C784)&gt;1,"",MAX($W$2:W783)+1))</f>
        <v/>
      </c>
      <c r="X784" s="0" t="str">
        <f aca="false">IF($H784="","",IF(COUNTIF($H$3:$H784,$H784)&gt;1,"",MAX($X$2:X783)+1))</f>
        <v/>
      </c>
      <c r="Y784" s="0" t="str">
        <f aca="false">IF(AND(N($M784)&gt;0,N($O784)&lt;=0),COUNTIFS($M$3:$M784,"&gt;0",$O$3:$O784,"&lt;=0"),"")</f>
        <v/>
      </c>
      <c r="Z784" s="30" t="n">
        <f aca="false">IF(OR('THÁNG 11'!$C41="",'THÁNG 11'!$B41=""),0,'THÁNG 11'!$B41)</f>
        <v>0</v>
      </c>
    </row>
    <row r="785" customFormat="false" ht="15" hidden="false" customHeight="false" outlineLevel="0" collapsed="false">
      <c r="A785" s="0" t="n">
        <v>11</v>
      </c>
      <c r="B785" s="29" t="str">
        <f aca="false">IF(OR('THÁNG 11'!$C42="",'THÁNG 11'!$B42=""),"",'THÁNG 11'!$B42)</f>
        <v/>
      </c>
      <c r="C785" s="0" t="str">
        <f aca="false">IF('THÁNG 11'!$C42="","",'THÁNG 11'!$C42)</f>
        <v/>
      </c>
      <c r="D785" s="0" t="str">
        <f aca="false">IF('THÁNG 11'!$C42="","",'THÁNG 11'!$D42&amp;"")</f>
        <v/>
      </c>
      <c r="E785" s="0" t="str">
        <f aca="false">IF('THÁNG 11'!$C42="","",'THÁNG 11'!$E42&amp;"")</f>
        <v/>
      </c>
      <c r="F785" s="0" t="str">
        <f aca="false">IF('THÁNG 11'!$C42="","",'THÁNG 11'!$F42&amp;"")</f>
        <v/>
      </c>
      <c r="G785" s="0" t="str">
        <f aca="false">IF('THÁNG 11'!$C42="","",'THÁNG 11'!$G42&amp;"")</f>
        <v/>
      </c>
      <c r="H785" s="0" t="str">
        <f aca="false">IF('THÁNG 11'!$C42="","",'THÁNG 11'!$H42&amp;"")</f>
        <v/>
      </c>
      <c r="I785" s="0" t="str">
        <f aca="false">IF('THÁNG 11'!$C42="","",N('THÁNG 11'!$I42))</f>
        <v/>
      </c>
      <c r="J785" s="0" t="str">
        <f aca="false">IF('THÁNG 11'!$C42="","",N('THÁNG 11'!$L42))</f>
        <v/>
      </c>
      <c r="K785" s="0" t="str">
        <f aca="false">IF('THÁNG 11'!$C42="","",N('THÁNG 11'!$N42))</f>
        <v/>
      </c>
      <c r="L785" s="0" t="str">
        <f aca="false">IF('THÁNG 11'!$C42="","",N('THÁNG 11'!$O42))</f>
        <v/>
      </c>
      <c r="M785" s="0" t="str">
        <f aca="false">IF('THÁNG 11'!$C42="","",N('THÁNG 11'!$P42))</f>
        <v/>
      </c>
      <c r="N785" s="0" t="str">
        <f aca="false">IF('THÁNG 11'!$C42="","",N('THÁNG 11'!$Q42))</f>
        <v/>
      </c>
      <c r="O785" s="0" t="str">
        <f aca="false">IF('THÁNG 11'!$C42="","",N('THÁNG 11'!$R42))</f>
        <v/>
      </c>
      <c r="P785" s="0" t="str">
        <f aca="false">IF(OR('THÁNG 11'!$C42="",'THÁNG 11'!$T42=""),"",'THÁNG 11'!$T42)</f>
        <v/>
      </c>
      <c r="Q785" s="0" t="str">
        <f aca="false">IF(OR('THÁNG 11'!$C42="",'THÁNG 11'!$U42=""),"",'THÁNG 11'!$U42)</f>
        <v/>
      </c>
      <c r="R785" s="0" t="str">
        <f aca="false">IF('THÁNG 11'!$C42="","",'THÁNG 11'!$W42&amp;"")</f>
        <v/>
      </c>
      <c r="S785" s="0" t="str">
        <f aca="false">IF('THÁNG 11'!$C42="","",'THÁNG 11'!$S42&amp;"")</f>
        <v/>
      </c>
      <c r="T785" s="0" t="str">
        <f aca="false">IF(N($O785)&gt;0,COUNTIF($O$3:$O785,"&gt;0"),"")</f>
        <v/>
      </c>
      <c r="U785" s="0" t="str">
        <f aca="false">IF(AND(N($J785)&gt;0,N($K785)&gt;0),COUNTIFS($J$3:$J785,"&gt;0",$K$3:$K785,"&gt;0"),"")</f>
        <v/>
      </c>
      <c r="V785" s="0" t="str">
        <f aca="false">IF(AND(N($J785)&gt;0,N($K785)=0),COUNTIFS($J$3:$J785,"&gt;0",$K$3:$K785,"&lt;=0"),"")</f>
        <v/>
      </c>
      <c r="W785" s="0" t="str">
        <f aca="false">IF($C785="","",IF(COUNTIF($C$3:$C785,$C785)&gt;1,"",MAX($W$2:W784)+1))</f>
        <v/>
      </c>
      <c r="X785" s="0" t="str">
        <f aca="false">IF($H785="","",IF(COUNTIF($H$3:$H785,$H785)&gt;1,"",MAX($X$2:X784)+1))</f>
        <v/>
      </c>
      <c r="Y785" s="0" t="str">
        <f aca="false">IF(AND(N($M785)&gt;0,N($O785)&lt;=0),COUNTIFS($M$3:$M785,"&gt;0",$O$3:$O785,"&lt;=0"),"")</f>
        <v/>
      </c>
      <c r="Z785" s="30" t="n">
        <f aca="false">IF(OR('THÁNG 11'!$C42="",'THÁNG 11'!$B42=""),0,'THÁNG 11'!$B42)</f>
        <v>0</v>
      </c>
    </row>
    <row r="786" customFormat="false" ht="15" hidden="false" customHeight="false" outlineLevel="0" collapsed="false">
      <c r="A786" s="0" t="n">
        <v>11</v>
      </c>
      <c r="B786" s="29" t="str">
        <f aca="false">IF(OR('THÁNG 11'!$C43="",'THÁNG 11'!$B43=""),"",'THÁNG 11'!$B43)</f>
        <v/>
      </c>
      <c r="C786" s="0" t="str">
        <f aca="false">IF('THÁNG 11'!$C43="","",'THÁNG 11'!$C43)</f>
        <v/>
      </c>
      <c r="D786" s="0" t="str">
        <f aca="false">IF('THÁNG 11'!$C43="","",'THÁNG 11'!$D43&amp;"")</f>
        <v/>
      </c>
      <c r="E786" s="0" t="str">
        <f aca="false">IF('THÁNG 11'!$C43="","",'THÁNG 11'!$E43&amp;"")</f>
        <v/>
      </c>
      <c r="F786" s="0" t="str">
        <f aca="false">IF('THÁNG 11'!$C43="","",'THÁNG 11'!$F43&amp;"")</f>
        <v/>
      </c>
      <c r="G786" s="0" t="str">
        <f aca="false">IF('THÁNG 11'!$C43="","",'THÁNG 11'!$G43&amp;"")</f>
        <v/>
      </c>
      <c r="H786" s="0" t="str">
        <f aca="false">IF('THÁNG 11'!$C43="","",'THÁNG 11'!$H43&amp;"")</f>
        <v/>
      </c>
      <c r="I786" s="0" t="str">
        <f aca="false">IF('THÁNG 11'!$C43="","",N('THÁNG 11'!$I43))</f>
        <v/>
      </c>
      <c r="J786" s="0" t="str">
        <f aca="false">IF('THÁNG 11'!$C43="","",N('THÁNG 11'!$L43))</f>
        <v/>
      </c>
      <c r="K786" s="0" t="str">
        <f aca="false">IF('THÁNG 11'!$C43="","",N('THÁNG 11'!$N43))</f>
        <v/>
      </c>
      <c r="L786" s="0" t="str">
        <f aca="false">IF('THÁNG 11'!$C43="","",N('THÁNG 11'!$O43))</f>
        <v/>
      </c>
      <c r="M786" s="0" t="str">
        <f aca="false">IF('THÁNG 11'!$C43="","",N('THÁNG 11'!$P43))</f>
        <v/>
      </c>
      <c r="N786" s="0" t="str">
        <f aca="false">IF('THÁNG 11'!$C43="","",N('THÁNG 11'!$Q43))</f>
        <v/>
      </c>
      <c r="O786" s="0" t="str">
        <f aca="false">IF('THÁNG 11'!$C43="","",N('THÁNG 11'!$R43))</f>
        <v/>
      </c>
      <c r="P786" s="0" t="str">
        <f aca="false">IF(OR('THÁNG 11'!$C43="",'THÁNG 11'!$T43=""),"",'THÁNG 11'!$T43)</f>
        <v/>
      </c>
      <c r="Q786" s="0" t="str">
        <f aca="false">IF(OR('THÁNG 11'!$C43="",'THÁNG 11'!$U43=""),"",'THÁNG 11'!$U43)</f>
        <v/>
      </c>
      <c r="R786" s="0" t="str">
        <f aca="false">IF('THÁNG 11'!$C43="","",'THÁNG 11'!$W43&amp;"")</f>
        <v/>
      </c>
      <c r="S786" s="0" t="str">
        <f aca="false">IF('THÁNG 11'!$C43="","",'THÁNG 11'!$S43&amp;"")</f>
        <v/>
      </c>
      <c r="T786" s="0" t="str">
        <f aca="false">IF(N($O786)&gt;0,COUNTIF($O$3:$O786,"&gt;0"),"")</f>
        <v/>
      </c>
      <c r="U786" s="0" t="str">
        <f aca="false">IF(AND(N($J786)&gt;0,N($K786)&gt;0),COUNTIFS($J$3:$J786,"&gt;0",$K$3:$K786,"&gt;0"),"")</f>
        <v/>
      </c>
      <c r="V786" s="0" t="str">
        <f aca="false">IF(AND(N($J786)&gt;0,N($K786)=0),COUNTIFS($J$3:$J786,"&gt;0",$K$3:$K786,"&lt;=0"),"")</f>
        <v/>
      </c>
      <c r="W786" s="0" t="str">
        <f aca="false">IF($C786="","",IF(COUNTIF($C$3:$C786,$C786)&gt;1,"",MAX($W$2:W785)+1))</f>
        <v/>
      </c>
      <c r="X786" s="0" t="str">
        <f aca="false">IF($H786="","",IF(COUNTIF($H$3:$H786,$H786)&gt;1,"",MAX($X$2:X785)+1))</f>
        <v/>
      </c>
      <c r="Y786" s="0" t="str">
        <f aca="false">IF(AND(N($M786)&gt;0,N($O786)&lt;=0),COUNTIFS($M$3:$M786,"&gt;0",$O$3:$O786,"&lt;=0"),"")</f>
        <v/>
      </c>
      <c r="Z786" s="30" t="n">
        <f aca="false">IF(OR('THÁNG 11'!$C43="",'THÁNG 11'!$B43=""),0,'THÁNG 11'!$B43)</f>
        <v>0</v>
      </c>
    </row>
    <row r="787" customFormat="false" ht="15" hidden="false" customHeight="false" outlineLevel="0" collapsed="false">
      <c r="A787" s="0" t="n">
        <v>11</v>
      </c>
      <c r="B787" s="29" t="str">
        <f aca="false">IF(OR('THÁNG 11'!$C44="",'THÁNG 11'!$B44=""),"",'THÁNG 11'!$B44)</f>
        <v/>
      </c>
      <c r="C787" s="0" t="str">
        <f aca="false">IF('THÁNG 11'!$C44="","",'THÁNG 11'!$C44)</f>
        <v/>
      </c>
      <c r="D787" s="0" t="str">
        <f aca="false">IF('THÁNG 11'!$C44="","",'THÁNG 11'!$D44&amp;"")</f>
        <v/>
      </c>
      <c r="E787" s="0" t="str">
        <f aca="false">IF('THÁNG 11'!$C44="","",'THÁNG 11'!$E44&amp;"")</f>
        <v/>
      </c>
      <c r="F787" s="0" t="str">
        <f aca="false">IF('THÁNG 11'!$C44="","",'THÁNG 11'!$F44&amp;"")</f>
        <v/>
      </c>
      <c r="G787" s="0" t="str">
        <f aca="false">IF('THÁNG 11'!$C44="","",'THÁNG 11'!$G44&amp;"")</f>
        <v/>
      </c>
      <c r="H787" s="0" t="str">
        <f aca="false">IF('THÁNG 11'!$C44="","",'THÁNG 11'!$H44&amp;"")</f>
        <v/>
      </c>
      <c r="I787" s="0" t="str">
        <f aca="false">IF('THÁNG 11'!$C44="","",N('THÁNG 11'!$I44))</f>
        <v/>
      </c>
      <c r="J787" s="0" t="str">
        <f aca="false">IF('THÁNG 11'!$C44="","",N('THÁNG 11'!$L44))</f>
        <v/>
      </c>
      <c r="K787" s="0" t="str">
        <f aca="false">IF('THÁNG 11'!$C44="","",N('THÁNG 11'!$N44))</f>
        <v/>
      </c>
      <c r="L787" s="0" t="str">
        <f aca="false">IF('THÁNG 11'!$C44="","",N('THÁNG 11'!$O44))</f>
        <v/>
      </c>
      <c r="M787" s="0" t="str">
        <f aca="false">IF('THÁNG 11'!$C44="","",N('THÁNG 11'!$P44))</f>
        <v/>
      </c>
      <c r="N787" s="0" t="str">
        <f aca="false">IF('THÁNG 11'!$C44="","",N('THÁNG 11'!$Q44))</f>
        <v/>
      </c>
      <c r="O787" s="0" t="str">
        <f aca="false">IF('THÁNG 11'!$C44="","",N('THÁNG 11'!$R44))</f>
        <v/>
      </c>
      <c r="P787" s="0" t="str">
        <f aca="false">IF(OR('THÁNG 11'!$C44="",'THÁNG 11'!$T44=""),"",'THÁNG 11'!$T44)</f>
        <v/>
      </c>
      <c r="Q787" s="0" t="str">
        <f aca="false">IF(OR('THÁNG 11'!$C44="",'THÁNG 11'!$U44=""),"",'THÁNG 11'!$U44)</f>
        <v/>
      </c>
      <c r="R787" s="0" t="str">
        <f aca="false">IF('THÁNG 11'!$C44="","",'THÁNG 11'!$W44&amp;"")</f>
        <v/>
      </c>
      <c r="S787" s="0" t="str">
        <f aca="false">IF('THÁNG 11'!$C44="","",'THÁNG 11'!$S44&amp;"")</f>
        <v/>
      </c>
      <c r="T787" s="0" t="str">
        <f aca="false">IF(N($O787)&gt;0,COUNTIF($O$3:$O787,"&gt;0"),"")</f>
        <v/>
      </c>
      <c r="U787" s="0" t="str">
        <f aca="false">IF(AND(N($J787)&gt;0,N($K787)&gt;0),COUNTIFS($J$3:$J787,"&gt;0",$K$3:$K787,"&gt;0"),"")</f>
        <v/>
      </c>
      <c r="V787" s="0" t="str">
        <f aca="false">IF(AND(N($J787)&gt;0,N($K787)=0),COUNTIFS($J$3:$J787,"&gt;0",$K$3:$K787,"&lt;=0"),"")</f>
        <v/>
      </c>
      <c r="W787" s="0" t="str">
        <f aca="false">IF($C787="","",IF(COUNTIF($C$3:$C787,$C787)&gt;1,"",MAX($W$2:W786)+1))</f>
        <v/>
      </c>
      <c r="X787" s="0" t="str">
        <f aca="false">IF($H787="","",IF(COUNTIF($H$3:$H787,$H787)&gt;1,"",MAX($X$2:X786)+1))</f>
        <v/>
      </c>
      <c r="Y787" s="0" t="str">
        <f aca="false">IF(AND(N($M787)&gt;0,N($O787)&lt;=0),COUNTIFS($M$3:$M787,"&gt;0",$O$3:$O787,"&lt;=0"),"")</f>
        <v/>
      </c>
      <c r="Z787" s="30" t="n">
        <f aca="false">IF(OR('THÁNG 11'!$C44="",'THÁNG 11'!$B44=""),0,'THÁNG 11'!$B44)</f>
        <v>0</v>
      </c>
    </row>
    <row r="788" customFormat="false" ht="15" hidden="false" customHeight="false" outlineLevel="0" collapsed="false">
      <c r="A788" s="0" t="n">
        <v>11</v>
      </c>
      <c r="B788" s="29" t="str">
        <f aca="false">IF(OR('THÁNG 11'!$C45="",'THÁNG 11'!$B45=""),"",'THÁNG 11'!$B45)</f>
        <v/>
      </c>
      <c r="C788" s="0" t="str">
        <f aca="false">IF('THÁNG 11'!$C45="","",'THÁNG 11'!$C45)</f>
        <v/>
      </c>
      <c r="D788" s="0" t="str">
        <f aca="false">IF('THÁNG 11'!$C45="","",'THÁNG 11'!$D45&amp;"")</f>
        <v/>
      </c>
      <c r="E788" s="0" t="str">
        <f aca="false">IF('THÁNG 11'!$C45="","",'THÁNG 11'!$E45&amp;"")</f>
        <v/>
      </c>
      <c r="F788" s="0" t="str">
        <f aca="false">IF('THÁNG 11'!$C45="","",'THÁNG 11'!$F45&amp;"")</f>
        <v/>
      </c>
      <c r="G788" s="0" t="str">
        <f aca="false">IF('THÁNG 11'!$C45="","",'THÁNG 11'!$G45&amp;"")</f>
        <v/>
      </c>
      <c r="H788" s="0" t="str">
        <f aca="false">IF('THÁNG 11'!$C45="","",'THÁNG 11'!$H45&amp;"")</f>
        <v/>
      </c>
      <c r="I788" s="0" t="str">
        <f aca="false">IF('THÁNG 11'!$C45="","",N('THÁNG 11'!$I45))</f>
        <v/>
      </c>
      <c r="J788" s="0" t="str">
        <f aca="false">IF('THÁNG 11'!$C45="","",N('THÁNG 11'!$L45))</f>
        <v/>
      </c>
      <c r="K788" s="0" t="str">
        <f aca="false">IF('THÁNG 11'!$C45="","",N('THÁNG 11'!$N45))</f>
        <v/>
      </c>
      <c r="L788" s="0" t="str">
        <f aca="false">IF('THÁNG 11'!$C45="","",N('THÁNG 11'!$O45))</f>
        <v/>
      </c>
      <c r="M788" s="0" t="str">
        <f aca="false">IF('THÁNG 11'!$C45="","",N('THÁNG 11'!$P45))</f>
        <v/>
      </c>
      <c r="N788" s="0" t="str">
        <f aca="false">IF('THÁNG 11'!$C45="","",N('THÁNG 11'!$Q45))</f>
        <v/>
      </c>
      <c r="O788" s="0" t="str">
        <f aca="false">IF('THÁNG 11'!$C45="","",N('THÁNG 11'!$R45))</f>
        <v/>
      </c>
      <c r="P788" s="0" t="str">
        <f aca="false">IF(OR('THÁNG 11'!$C45="",'THÁNG 11'!$T45=""),"",'THÁNG 11'!$T45)</f>
        <v/>
      </c>
      <c r="Q788" s="0" t="str">
        <f aca="false">IF(OR('THÁNG 11'!$C45="",'THÁNG 11'!$U45=""),"",'THÁNG 11'!$U45)</f>
        <v/>
      </c>
      <c r="R788" s="0" t="str">
        <f aca="false">IF('THÁNG 11'!$C45="","",'THÁNG 11'!$W45&amp;"")</f>
        <v/>
      </c>
      <c r="S788" s="0" t="str">
        <f aca="false">IF('THÁNG 11'!$C45="","",'THÁNG 11'!$S45&amp;"")</f>
        <v/>
      </c>
      <c r="T788" s="0" t="str">
        <f aca="false">IF(N($O788)&gt;0,COUNTIF($O$3:$O788,"&gt;0"),"")</f>
        <v/>
      </c>
      <c r="U788" s="0" t="str">
        <f aca="false">IF(AND(N($J788)&gt;0,N($K788)&gt;0),COUNTIFS($J$3:$J788,"&gt;0",$K$3:$K788,"&gt;0"),"")</f>
        <v/>
      </c>
      <c r="V788" s="0" t="str">
        <f aca="false">IF(AND(N($J788)&gt;0,N($K788)=0),COUNTIFS($J$3:$J788,"&gt;0",$K$3:$K788,"&lt;=0"),"")</f>
        <v/>
      </c>
      <c r="W788" s="0" t="str">
        <f aca="false">IF($C788="","",IF(COUNTIF($C$3:$C788,$C788)&gt;1,"",MAX($W$2:W787)+1))</f>
        <v/>
      </c>
      <c r="X788" s="0" t="str">
        <f aca="false">IF($H788="","",IF(COUNTIF($H$3:$H788,$H788)&gt;1,"",MAX($X$2:X787)+1))</f>
        <v/>
      </c>
      <c r="Y788" s="0" t="str">
        <f aca="false">IF(AND(N($M788)&gt;0,N($O788)&lt;=0),COUNTIFS($M$3:$M788,"&gt;0",$O$3:$O788,"&lt;=0"),"")</f>
        <v/>
      </c>
      <c r="Z788" s="30" t="n">
        <f aca="false">IF(OR('THÁNG 11'!$C45="",'THÁNG 11'!$B45=""),0,'THÁNG 11'!$B45)</f>
        <v>0</v>
      </c>
    </row>
    <row r="789" customFormat="false" ht="15" hidden="false" customHeight="false" outlineLevel="0" collapsed="false">
      <c r="A789" s="0" t="n">
        <v>11</v>
      </c>
      <c r="B789" s="29" t="str">
        <f aca="false">IF(OR('THÁNG 11'!$C46="",'THÁNG 11'!$B46=""),"",'THÁNG 11'!$B46)</f>
        <v/>
      </c>
      <c r="C789" s="0" t="str">
        <f aca="false">IF('THÁNG 11'!$C46="","",'THÁNG 11'!$C46)</f>
        <v/>
      </c>
      <c r="D789" s="0" t="str">
        <f aca="false">IF('THÁNG 11'!$C46="","",'THÁNG 11'!$D46&amp;"")</f>
        <v/>
      </c>
      <c r="E789" s="0" t="str">
        <f aca="false">IF('THÁNG 11'!$C46="","",'THÁNG 11'!$E46&amp;"")</f>
        <v/>
      </c>
      <c r="F789" s="0" t="str">
        <f aca="false">IF('THÁNG 11'!$C46="","",'THÁNG 11'!$F46&amp;"")</f>
        <v/>
      </c>
      <c r="G789" s="0" t="str">
        <f aca="false">IF('THÁNG 11'!$C46="","",'THÁNG 11'!$G46&amp;"")</f>
        <v/>
      </c>
      <c r="H789" s="0" t="str">
        <f aca="false">IF('THÁNG 11'!$C46="","",'THÁNG 11'!$H46&amp;"")</f>
        <v/>
      </c>
      <c r="I789" s="0" t="str">
        <f aca="false">IF('THÁNG 11'!$C46="","",N('THÁNG 11'!$I46))</f>
        <v/>
      </c>
      <c r="J789" s="0" t="str">
        <f aca="false">IF('THÁNG 11'!$C46="","",N('THÁNG 11'!$L46))</f>
        <v/>
      </c>
      <c r="K789" s="0" t="str">
        <f aca="false">IF('THÁNG 11'!$C46="","",N('THÁNG 11'!$N46))</f>
        <v/>
      </c>
      <c r="L789" s="0" t="str">
        <f aca="false">IF('THÁNG 11'!$C46="","",N('THÁNG 11'!$O46))</f>
        <v/>
      </c>
      <c r="M789" s="0" t="str">
        <f aca="false">IF('THÁNG 11'!$C46="","",N('THÁNG 11'!$P46))</f>
        <v/>
      </c>
      <c r="N789" s="0" t="str">
        <f aca="false">IF('THÁNG 11'!$C46="","",N('THÁNG 11'!$Q46))</f>
        <v/>
      </c>
      <c r="O789" s="0" t="str">
        <f aca="false">IF('THÁNG 11'!$C46="","",N('THÁNG 11'!$R46))</f>
        <v/>
      </c>
      <c r="P789" s="0" t="str">
        <f aca="false">IF(OR('THÁNG 11'!$C46="",'THÁNG 11'!$T46=""),"",'THÁNG 11'!$T46)</f>
        <v/>
      </c>
      <c r="Q789" s="0" t="str">
        <f aca="false">IF(OR('THÁNG 11'!$C46="",'THÁNG 11'!$U46=""),"",'THÁNG 11'!$U46)</f>
        <v/>
      </c>
      <c r="R789" s="0" t="str">
        <f aca="false">IF('THÁNG 11'!$C46="","",'THÁNG 11'!$W46&amp;"")</f>
        <v/>
      </c>
      <c r="S789" s="0" t="str">
        <f aca="false">IF('THÁNG 11'!$C46="","",'THÁNG 11'!$S46&amp;"")</f>
        <v/>
      </c>
      <c r="T789" s="0" t="str">
        <f aca="false">IF(N($O789)&gt;0,COUNTIF($O$3:$O789,"&gt;0"),"")</f>
        <v/>
      </c>
      <c r="U789" s="0" t="str">
        <f aca="false">IF(AND(N($J789)&gt;0,N($K789)&gt;0),COUNTIFS($J$3:$J789,"&gt;0",$K$3:$K789,"&gt;0"),"")</f>
        <v/>
      </c>
      <c r="V789" s="0" t="str">
        <f aca="false">IF(AND(N($J789)&gt;0,N($K789)=0),COUNTIFS($J$3:$J789,"&gt;0",$K$3:$K789,"&lt;=0"),"")</f>
        <v/>
      </c>
      <c r="W789" s="0" t="str">
        <f aca="false">IF($C789="","",IF(COUNTIF($C$3:$C789,$C789)&gt;1,"",MAX($W$2:W788)+1))</f>
        <v/>
      </c>
      <c r="X789" s="0" t="str">
        <f aca="false">IF($H789="","",IF(COUNTIF($H$3:$H789,$H789)&gt;1,"",MAX($X$2:X788)+1))</f>
        <v/>
      </c>
      <c r="Y789" s="0" t="str">
        <f aca="false">IF(AND(N($M789)&gt;0,N($O789)&lt;=0),COUNTIFS($M$3:$M789,"&gt;0",$O$3:$O789,"&lt;=0"),"")</f>
        <v/>
      </c>
      <c r="Z789" s="30" t="n">
        <f aca="false">IF(OR('THÁNG 11'!$C46="",'THÁNG 11'!$B46=""),0,'THÁNG 11'!$B46)</f>
        <v>0</v>
      </c>
    </row>
    <row r="790" customFormat="false" ht="15" hidden="false" customHeight="false" outlineLevel="0" collapsed="false">
      <c r="A790" s="0" t="n">
        <v>11</v>
      </c>
      <c r="B790" s="29" t="str">
        <f aca="false">IF(OR('THÁNG 11'!$C47="",'THÁNG 11'!$B47=""),"",'THÁNG 11'!$B47)</f>
        <v/>
      </c>
      <c r="C790" s="0" t="str">
        <f aca="false">IF('THÁNG 11'!$C47="","",'THÁNG 11'!$C47)</f>
        <v/>
      </c>
      <c r="D790" s="0" t="str">
        <f aca="false">IF('THÁNG 11'!$C47="","",'THÁNG 11'!$D47&amp;"")</f>
        <v/>
      </c>
      <c r="E790" s="0" t="str">
        <f aca="false">IF('THÁNG 11'!$C47="","",'THÁNG 11'!$E47&amp;"")</f>
        <v/>
      </c>
      <c r="F790" s="0" t="str">
        <f aca="false">IF('THÁNG 11'!$C47="","",'THÁNG 11'!$F47&amp;"")</f>
        <v/>
      </c>
      <c r="G790" s="0" t="str">
        <f aca="false">IF('THÁNG 11'!$C47="","",'THÁNG 11'!$G47&amp;"")</f>
        <v/>
      </c>
      <c r="H790" s="0" t="str">
        <f aca="false">IF('THÁNG 11'!$C47="","",'THÁNG 11'!$H47&amp;"")</f>
        <v/>
      </c>
      <c r="I790" s="0" t="str">
        <f aca="false">IF('THÁNG 11'!$C47="","",N('THÁNG 11'!$I47))</f>
        <v/>
      </c>
      <c r="J790" s="0" t="str">
        <f aca="false">IF('THÁNG 11'!$C47="","",N('THÁNG 11'!$L47))</f>
        <v/>
      </c>
      <c r="K790" s="0" t="str">
        <f aca="false">IF('THÁNG 11'!$C47="","",N('THÁNG 11'!$N47))</f>
        <v/>
      </c>
      <c r="L790" s="0" t="str">
        <f aca="false">IF('THÁNG 11'!$C47="","",N('THÁNG 11'!$O47))</f>
        <v/>
      </c>
      <c r="M790" s="0" t="str">
        <f aca="false">IF('THÁNG 11'!$C47="","",N('THÁNG 11'!$P47))</f>
        <v/>
      </c>
      <c r="N790" s="0" t="str">
        <f aca="false">IF('THÁNG 11'!$C47="","",N('THÁNG 11'!$Q47))</f>
        <v/>
      </c>
      <c r="O790" s="0" t="str">
        <f aca="false">IF('THÁNG 11'!$C47="","",N('THÁNG 11'!$R47))</f>
        <v/>
      </c>
      <c r="P790" s="0" t="str">
        <f aca="false">IF(OR('THÁNG 11'!$C47="",'THÁNG 11'!$T47=""),"",'THÁNG 11'!$T47)</f>
        <v/>
      </c>
      <c r="Q790" s="0" t="str">
        <f aca="false">IF(OR('THÁNG 11'!$C47="",'THÁNG 11'!$U47=""),"",'THÁNG 11'!$U47)</f>
        <v/>
      </c>
      <c r="R790" s="0" t="str">
        <f aca="false">IF('THÁNG 11'!$C47="","",'THÁNG 11'!$W47&amp;"")</f>
        <v/>
      </c>
      <c r="S790" s="0" t="str">
        <f aca="false">IF('THÁNG 11'!$C47="","",'THÁNG 11'!$S47&amp;"")</f>
        <v/>
      </c>
      <c r="T790" s="0" t="str">
        <f aca="false">IF(N($O790)&gt;0,COUNTIF($O$3:$O790,"&gt;0"),"")</f>
        <v/>
      </c>
      <c r="U790" s="0" t="str">
        <f aca="false">IF(AND(N($J790)&gt;0,N($K790)&gt;0),COUNTIFS($J$3:$J790,"&gt;0",$K$3:$K790,"&gt;0"),"")</f>
        <v/>
      </c>
      <c r="V790" s="0" t="str">
        <f aca="false">IF(AND(N($J790)&gt;0,N($K790)=0),COUNTIFS($J$3:$J790,"&gt;0",$K$3:$K790,"&lt;=0"),"")</f>
        <v/>
      </c>
      <c r="W790" s="0" t="str">
        <f aca="false">IF($C790="","",IF(COUNTIF($C$3:$C790,$C790)&gt;1,"",MAX($W$2:W789)+1))</f>
        <v/>
      </c>
      <c r="X790" s="0" t="str">
        <f aca="false">IF($H790="","",IF(COUNTIF($H$3:$H790,$H790)&gt;1,"",MAX($X$2:X789)+1))</f>
        <v/>
      </c>
      <c r="Y790" s="0" t="str">
        <f aca="false">IF(AND(N($M790)&gt;0,N($O790)&lt;=0),COUNTIFS($M$3:$M790,"&gt;0",$O$3:$O790,"&lt;=0"),"")</f>
        <v/>
      </c>
      <c r="Z790" s="30" t="n">
        <f aca="false">IF(OR('THÁNG 11'!$C47="",'THÁNG 11'!$B47=""),0,'THÁNG 11'!$B47)</f>
        <v>0</v>
      </c>
    </row>
    <row r="791" customFormat="false" ht="15" hidden="false" customHeight="false" outlineLevel="0" collapsed="false">
      <c r="A791" s="0" t="n">
        <v>11</v>
      </c>
      <c r="B791" s="29" t="str">
        <f aca="false">IF(OR('THÁNG 11'!$C48="",'THÁNG 11'!$B48=""),"",'THÁNG 11'!$B48)</f>
        <v/>
      </c>
      <c r="C791" s="0" t="str">
        <f aca="false">IF('THÁNG 11'!$C48="","",'THÁNG 11'!$C48)</f>
        <v/>
      </c>
      <c r="D791" s="0" t="str">
        <f aca="false">IF('THÁNG 11'!$C48="","",'THÁNG 11'!$D48&amp;"")</f>
        <v/>
      </c>
      <c r="E791" s="0" t="str">
        <f aca="false">IF('THÁNG 11'!$C48="","",'THÁNG 11'!$E48&amp;"")</f>
        <v/>
      </c>
      <c r="F791" s="0" t="str">
        <f aca="false">IF('THÁNG 11'!$C48="","",'THÁNG 11'!$F48&amp;"")</f>
        <v/>
      </c>
      <c r="G791" s="0" t="str">
        <f aca="false">IF('THÁNG 11'!$C48="","",'THÁNG 11'!$G48&amp;"")</f>
        <v/>
      </c>
      <c r="H791" s="0" t="str">
        <f aca="false">IF('THÁNG 11'!$C48="","",'THÁNG 11'!$H48&amp;"")</f>
        <v/>
      </c>
      <c r="I791" s="0" t="str">
        <f aca="false">IF('THÁNG 11'!$C48="","",N('THÁNG 11'!$I48))</f>
        <v/>
      </c>
      <c r="J791" s="0" t="str">
        <f aca="false">IF('THÁNG 11'!$C48="","",N('THÁNG 11'!$L48))</f>
        <v/>
      </c>
      <c r="K791" s="0" t="str">
        <f aca="false">IF('THÁNG 11'!$C48="","",N('THÁNG 11'!$N48))</f>
        <v/>
      </c>
      <c r="L791" s="0" t="str">
        <f aca="false">IF('THÁNG 11'!$C48="","",N('THÁNG 11'!$O48))</f>
        <v/>
      </c>
      <c r="M791" s="0" t="str">
        <f aca="false">IF('THÁNG 11'!$C48="","",N('THÁNG 11'!$P48))</f>
        <v/>
      </c>
      <c r="N791" s="0" t="str">
        <f aca="false">IF('THÁNG 11'!$C48="","",N('THÁNG 11'!$Q48))</f>
        <v/>
      </c>
      <c r="O791" s="0" t="str">
        <f aca="false">IF('THÁNG 11'!$C48="","",N('THÁNG 11'!$R48))</f>
        <v/>
      </c>
      <c r="P791" s="0" t="str">
        <f aca="false">IF(OR('THÁNG 11'!$C48="",'THÁNG 11'!$T48=""),"",'THÁNG 11'!$T48)</f>
        <v/>
      </c>
      <c r="Q791" s="0" t="str">
        <f aca="false">IF(OR('THÁNG 11'!$C48="",'THÁNG 11'!$U48=""),"",'THÁNG 11'!$U48)</f>
        <v/>
      </c>
      <c r="R791" s="0" t="str">
        <f aca="false">IF('THÁNG 11'!$C48="","",'THÁNG 11'!$W48&amp;"")</f>
        <v/>
      </c>
      <c r="S791" s="0" t="str">
        <f aca="false">IF('THÁNG 11'!$C48="","",'THÁNG 11'!$S48&amp;"")</f>
        <v/>
      </c>
      <c r="T791" s="0" t="str">
        <f aca="false">IF(N($O791)&gt;0,COUNTIF($O$3:$O791,"&gt;0"),"")</f>
        <v/>
      </c>
      <c r="U791" s="0" t="str">
        <f aca="false">IF(AND(N($J791)&gt;0,N($K791)&gt;0),COUNTIFS($J$3:$J791,"&gt;0",$K$3:$K791,"&gt;0"),"")</f>
        <v/>
      </c>
      <c r="V791" s="0" t="str">
        <f aca="false">IF(AND(N($J791)&gt;0,N($K791)=0),COUNTIFS($J$3:$J791,"&gt;0",$K$3:$K791,"&lt;=0"),"")</f>
        <v/>
      </c>
      <c r="W791" s="0" t="str">
        <f aca="false">IF($C791="","",IF(COUNTIF($C$3:$C791,$C791)&gt;1,"",MAX($W$2:W790)+1))</f>
        <v/>
      </c>
      <c r="X791" s="0" t="str">
        <f aca="false">IF($H791="","",IF(COUNTIF($H$3:$H791,$H791)&gt;1,"",MAX($X$2:X790)+1))</f>
        <v/>
      </c>
      <c r="Y791" s="0" t="str">
        <f aca="false">IF(AND(N($M791)&gt;0,N($O791)&lt;=0),COUNTIFS($M$3:$M791,"&gt;0",$O$3:$O791,"&lt;=0"),"")</f>
        <v/>
      </c>
      <c r="Z791" s="30" t="n">
        <f aca="false">IF(OR('THÁNG 11'!$C48="",'THÁNG 11'!$B48=""),0,'THÁNG 11'!$B48)</f>
        <v>0</v>
      </c>
    </row>
    <row r="792" customFormat="false" ht="15" hidden="false" customHeight="false" outlineLevel="0" collapsed="false">
      <c r="A792" s="0" t="n">
        <v>11</v>
      </c>
      <c r="B792" s="29" t="str">
        <f aca="false">IF(OR('THÁNG 11'!$C49="",'THÁNG 11'!$B49=""),"",'THÁNG 11'!$B49)</f>
        <v/>
      </c>
      <c r="C792" s="0" t="str">
        <f aca="false">IF('THÁNG 11'!$C49="","",'THÁNG 11'!$C49)</f>
        <v/>
      </c>
      <c r="D792" s="0" t="str">
        <f aca="false">IF('THÁNG 11'!$C49="","",'THÁNG 11'!$D49&amp;"")</f>
        <v/>
      </c>
      <c r="E792" s="0" t="str">
        <f aca="false">IF('THÁNG 11'!$C49="","",'THÁNG 11'!$E49&amp;"")</f>
        <v/>
      </c>
      <c r="F792" s="0" t="str">
        <f aca="false">IF('THÁNG 11'!$C49="","",'THÁNG 11'!$F49&amp;"")</f>
        <v/>
      </c>
      <c r="G792" s="0" t="str">
        <f aca="false">IF('THÁNG 11'!$C49="","",'THÁNG 11'!$G49&amp;"")</f>
        <v/>
      </c>
      <c r="H792" s="0" t="str">
        <f aca="false">IF('THÁNG 11'!$C49="","",'THÁNG 11'!$H49&amp;"")</f>
        <v/>
      </c>
      <c r="I792" s="0" t="str">
        <f aca="false">IF('THÁNG 11'!$C49="","",N('THÁNG 11'!$I49))</f>
        <v/>
      </c>
      <c r="J792" s="0" t="str">
        <f aca="false">IF('THÁNG 11'!$C49="","",N('THÁNG 11'!$L49))</f>
        <v/>
      </c>
      <c r="K792" s="0" t="str">
        <f aca="false">IF('THÁNG 11'!$C49="","",N('THÁNG 11'!$N49))</f>
        <v/>
      </c>
      <c r="L792" s="0" t="str">
        <f aca="false">IF('THÁNG 11'!$C49="","",N('THÁNG 11'!$O49))</f>
        <v/>
      </c>
      <c r="M792" s="0" t="str">
        <f aca="false">IF('THÁNG 11'!$C49="","",N('THÁNG 11'!$P49))</f>
        <v/>
      </c>
      <c r="N792" s="0" t="str">
        <f aca="false">IF('THÁNG 11'!$C49="","",N('THÁNG 11'!$Q49))</f>
        <v/>
      </c>
      <c r="O792" s="0" t="str">
        <f aca="false">IF('THÁNG 11'!$C49="","",N('THÁNG 11'!$R49))</f>
        <v/>
      </c>
      <c r="P792" s="0" t="str">
        <f aca="false">IF(OR('THÁNG 11'!$C49="",'THÁNG 11'!$T49=""),"",'THÁNG 11'!$T49)</f>
        <v/>
      </c>
      <c r="Q792" s="0" t="str">
        <f aca="false">IF(OR('THÁNG 11'!$C49="",'THÁNG 11'!$U49=""),"",'THÁNG 11'!$U49)</f>
        <v/>
      </c>
      <c r="R792" s="0" t="str">
        <f aca="false">IF('THÁNG 11'!$C49="","",'THÁNG 11'!$W49&amp;"")</f>
        <v/>
      </c>
      <c r="S792" s="0" t="str">
        <f aca="false">IF('THÁNG 11'!$C49="","",'THÁNG 11'!$S49&amp;"")</f>
        <v/>
      </c>
      <c r="T792" s="0" t="str">
        <f aca="false">IF(N($O792)&gt;0,COUNTIF($O$3:$O792,"&gt;0"),"")</f>
        <v/>
      </c>
      <c r="U792" s="0" t="str">
        <f aca="false">IF(AND(N($J792)&gt;0,N($K792)&gt;0),COUNTIFS($J$3:$J792,"&gt;0",$K$3:$K792,"&gt;0"),"")</f>
        <v/>
      </c>
      <c r="V792" s="0" t="str">
        <f aca="false">IF(AND(N($J792)&gt;0,N($K792)=0),COUNTIFS($J$3:$J792,"&gt;0",$K$3:$K792,"&lt;=0"),"")</f>
        <v/>
      </c>
      <c r="W792" s="0" t="str">
        <f aca="false">IF($C792="","",IF(COUNTIF($C$3:$C792,$C792)&gt;1,"",MAX($W$2:W791)+1))</f>
        <v/>
      </c>
      <c r="X792" s="0" t="str">
        <f aca="false">IF($H792="","",IF(COUNTIF($H$3:$H792,$H792)&gt;1,"",MAX($X$2:X791)+1))</f>
        <v/>
      </c>
      <c r="Y792" s="0" t="str">
        <f aca="false">IF(AND(N($M792)&gt;0,N($O792)&lt;=0),COUNTIFS($M$3:$M792,"&gt;0",$O$3:$O792,"&lt;=0"),"")</f>
        <v/>
      </c>
      <c r="Z792" s="30" t="n">
        <f aca="false">IF(OR('THÁNG 11'!$C49="",'THÁNG 11'!$B49=""),0,'THÁNG 11'!$B49)</f>
        <v>0</v>
      </c>
    </row>
    <row r="793" customFormat="false" ht="15" hidden="false" customHeight="false" outlineLevel="0" collapsed="false">
      <c r="A793" s="0" t="n">
        <v>11</v>
      </c>
      <c r="B793" s="29" t="str">
        <f aca="false">IF(OR('THÁNG 11'!$C50="",'THÁNG 11'!$B50=""),"",'THÁNG 11'!$B50)</f>
        <v/>
      </c>
      <c r="C793" s="0" t="str">
        <f aca="false">IF('THÁNG 11'!$C50="","",'THÁNG 11'!$C50)</f>
        <v/>
      </c>
      <c r="D793" s="0" t="str">
        <f aca="false">IF('THÁNG 11'!$C50="","",'THÁNG 11'!$D50&amp;"")</f>
        <v/>
      </c>
      <c r="E793" s="0" t="str">
        <f aca="false">IF('THÁNG 11'!$C50="","",'THÁNG 11'!$E50&amp;"")</f>
        <v/>
      </c>
      <c r="F793" s="0" t="str">
        <f aca="false">IF('THÁNG 11'!$C50="","",'THÁNG 11'!$F50&amp;"")</f>
        <v/>
      </c>
      <c r="G793" s="0" t="str">
        <f aca="false">IF('THÁNG 11'!$C50="","",'THÁNG 11'!$G50&amp;"")</f>
        <v/>
      </c>
      <c r="H793" s="0" t="str">
        <f aca="false">IF('THÁNG 11'!$C50="","",'THÁNG 11'!$H50&amp;"")</f>
        <v/>
      </c>
      <c r="I793" s="0" t="str">
        <f aca="false">IF('THÁNG 11'!$C50="","",N('THÁNG 11'!$I50))</f>
        <v/>
      </c>
      <c r="J793" s="0" t="str">
        <f aca="false">IF('THÁNG 11'!$C50="","",N('THÁNG 11'!$L50))</f>
        <v/>
      </c>
      <c r="K793" s="0" t="str">
        <f aca="false">IF('THÁNG 11'!$C50="","",N('THÁNG 11'!$N50))</f>
        <v/>
      </c>
      <c r="L793" s="0" t="str">
        <f aca="false">IF('THÁNG 11'!$C50="","",N('THÁNG 11'!$O50))</f>
        <v/>
      </c>
      <c r="M793" s="0" t="str">
        <f aca="false">IF('THÁNG 11'!$C50="","",N('THÁNG 11'!$P50))</f>
        <v/>
      </c>
      <c r="N793" s="0" t="str">
        <f aca="false">IF('THÁNG 11'!$C50="","",N('THÁNG 11'!$Q50))</f>
        <v/>
      </c>
      <c r="O793" s="0" t="str">
        <f aca="false">IF('THÁNG 11'!$C50="","",N('THÁNG 11'!$R50))</f>
        <v/>
      </c>
      <c r="P793" s="0" t="str">
        <f aca="false">IF(OR('THÁNG 11'!$C50="",'THÁNG 11'!$T50=""),"",'THÁNG 11'!$T50)</f>
        <v/>
      </c>
      <c r="Q793" s="0" t="str">
        <f aca="false">IF(OR('THÁNG 11'!$C50="",'THÁNG 11'!$U50=""),"",'THÁNG 11'!$U50)</f>
        <v/>
      </c>
      <c r="R793" s="0" t="str">
        <f aca="false">IF('THÁNG 11'!$C50="","",'THÁNG 11'!$W50&amp;"")</f>
        <v/>
      </c>
      <c r="S793" s="0" t="str">
        <f aca="false">IF('THÁNG 11'!$C50="","",'THÁNG 11'!$S50&amp;"")</f>
        <v/>
      </c>
      <c r="T793" s="0" t="str">
        <f aca="false">IF(N($O793)&gt;0,COUNTIF($O$3:$O793,"&gt;0"),"")</f>
        <v/>
      </c>
      <c r="U793" s="0" t="str">
        <f aca="false">IF(AND(N($J793)&gt;0,N($K793)&gt;0),COUNTIFS($J$3:$J793,"&gt;0",$K$3:$K793,"&gt;0"),"")</f>
        <v/>
      </c>
      <c r="V793" s="0" t="str">
        <f aca="false">IF(AND(N($J793)&gt;0,N($K793)=0),COUNTIFS($J$3:$J793,"&gt;0",$K$3:$K793,"&lt;=0"),"")</f>
        <v/>
      </c>
      <c r="W793" s="0" t="str">
        <f aca="false">IF($C793="","",IF(COUNTIF($C$3:$C793,$C793)&gt;1,"",MAX($W$2:W792)+1))</f>
        <v/>
      </c>
      <c r="X793" s="0" t="str">
        <f aca="false">IF($H793="","",IF(COUNTIF($H$3:$H793,$H793)&gt;1,"",MAX($X$2:X792)+1))</f>
        <v/>
      </c>
      <c r="Y793" s="0" t="str">
        <f aca="false">IF(AND(N($M793)&gt;0,N($O793)&lt;=0),COUNTIFS($M$3:$M793,"&gt;0",$O$3:$O793,"&lt;=0"),"")</f>
        <v/>
      </c>
      <c r="Z793" s="30" t="n">
        <f aca="false">IF(OR('THÁNG 11'!$C50="",'THÁNG 11'!$B50=""),0,'THÁNG 11'!$B50)</f>
        <v>0</v>
      </c>
    </row>
    <row r="794" customFormat="false" ht="15" hidden="false" customHeight="false" outlineLevel="0" collapsed="false">
      <c r="A794" s="0" t="n">
        <v>11</v>
      </c>
      <c r="B794" s="29" t="str">
        <f aca="false">IF(OR('THÁNG 11'!$C51="",'THÁNG 11'!$B51=""),"",'THÁNG 11'!$B51)</f>
        <v/>
      </c>
      <c r="C794" s="0" t="str">
        <f aca="false">IF('THÁNG 11'!$C51="","",'THÁNG 11'!$C51)</f>
        <v/>
      </c>
      <c r="D794" s="0" t="str">
        <f aca="false">IF('THÁNG 11'!$C51="","",'THÁNG 11'!$D51&amp;"")</f>
        <v/>
      </c>
      <c r="E794" s="0" t="str">
        <f aca="false">IF('THÁNG 11'!$C51="","",'THÁNG 11'!$E51&amp;"")</f>
        <v/>
      </c>
      <c r="F794" s="0" t="str">
        <f aca="false">IF('THÁNG 11'!$C51="","",'THÁNG 11'!$F51&amp;"")</f>
        <v/>
      </c>
      <c r="G794" s="0" t="str">
        <f aca="false">IF('THÁNG 11'!$C51="","",'THÁNG 11'!$G51&amp;"")</f>
        <v/>
      </c>
      <c r="H794" s="0" t="str">
        <f aca="false">IF('THÁNG 11'!$C51="","",'THÁNG 11'!$H51&amp;"")</f>
        <v/>
      </c>
      <c r="I794" s="0" t="str">
        <f aca="false">IF('THÁNG 11'!$C51="","",N('THÁNG 11'!$I51))</f>
        <v/>
      </c>
      <c r="J794" s="0" t="str">
        <f aca="false">IF('THÁNG 11'!$C51="","",N('THÁNG 11'!$L51))</f>
        <v/>
      </c>
      <c r="K794" s="0" t="str">
        <f aca="false">IF('THÁNG 11'!$C51="","",N('THÁNG 11'!$N51))</f>
        <v/>
      </c>
      <c r="L794" s="0" t="str">
        <f aca="false">IF('THÁNG 11'!$C51="","",N('THÁNG 11'!$O51))</f>
        <v/>
      </c>
      <c r="M794" s="0" t="str">
        <f aca="false">IF('THÁNG 11'!$C51="","",N('THÁNG 11'!$P51))</f>
        <v/>
      </c>
      <c r="N794" s="0" t="str">
        <f aca="false">IF('THÁNG 11'!$C51="","",N('THÁNG 11'!$Q51))</f>
        <v/>
      </c>
      <c r="O794" s="0" t="str">
        <f aca="false">IF('THÁNG 11'!$C51="","",N('THÁNG 11'!$R51))</f>
        <v/>
      </c>
      <c r="P794" s="0" t="str">
        <f aca="false">IF(OR('THÁNG 11'!$C51="",'THÁNG 11'!$T51=""),"",'THÁNG 11'!$T51)</f>
        <v/>
      </c>
      <c r="Q794" s="0" t="str">
        <f aca="false">IF(OR('THÁNG 11'!$C51="",'THÁNG 11'!$U51=""),"",'THÁNG 11'!$U51)</f>
        <v/>
      </c>
      <c r="R794" s="0" t="str">
        <f aca="false">IF('THÁNG 11'!$C51="","",'THÁNG 11'!$W51&amp;"")</f>
        <v/>
      </c>
      <c r="S794" s="0" t="str">
        <f aca="false">IF('THÁNG 11'!$C51="","",'THÁNG 11'!$S51&amp;"")</f>
        <v/>
      </c>
      <c r="T794" s="0" t="str">
        <f aca="false">IF(N($O794)&gt;0,COUNTIF($O$3:$O794,"&gt;0"),"")</f>
        <v/>
      </c>
      <c r="U794" s="0" t="str">
        <f aca="false">IF(AND(N($J794)&gt;0,N($K794)&gt;0),COUNTIFS($J$3:$J794,"&gt;0",$K$3:$K794,"&gt;0"),"")</f>
        <v/>
      </c>
      <c r="V794" s="0" t="str">
        <f aca="false">IF(AND(N($J794)&gt;0,N($K794)=0),COUNTIFS($J$3:$J794,"&gt;0",$K$3:$K794,"&lt;=0"),"")</f>
        <v/>
      </c>
      <c r="W794" s="0" t="str">
        <f aca="false">IF($C794="","",IF(COUNTIF($C$3:$C794,$C794)&gt;1,"",MAX($W$2:W793)+1))</f>
        <v/>
      </c>
      <c r="X794" s="0" t="str">
        <f aca="false">IF($H794="","",IF(COUNTIF($H$3:$H794,$H794)&gt;1,"",MAX($X$2:X793)+1))</f>
        <v/>
      </c>
      <c r="Y794" s="0" t="str">
        <f aca="false">IF(AND(N($M794)&gt;0,N($O794)&lt;=0),COUNTIFS($M$3:$M794,"&gt;0",$O$3:$O794,"&lt;=0"),"")</f>
        <v/>
      </c>
      <c r="Z794" s="30" t="n">
        <f aca="false">IF(OR('THÁNG 11'!$C51="",'THÁNG 11'!$B51=""),0,'THÁNG 11'!$B51)</f>
        <v>0</v>
      </c>
    </row>
    <row r="795" customFormat="false" ht="15" hidden="false" customHeight="false" outlineLevel="0" collapsed="false">
      <c r="A795" s="0" t="n">
        <v>11</v>
      </c>
      <c r="B795" s="29" t="str">
        <f aca="false">IF(OR('THÁNG 11'!$C52="",'THÁNG 11'!$B52=""),"",'THÁNG 11'!$B52)</f>
        <v/>
      </c>
      <c r="C795" s="0" t="str">
        <f aca="false">IF('THÁNG 11'!$C52="","",'THÁNG 11'!$C52)</f>
        <v/>
      </c>
      <c r="D795" s="0" t="str">
        <f aca="false">IF('THÁNG 11'!$C52="","",'THÁNG 11'!$D52&amp;"")</f>
        <v/>
      </c>
      <c r="E795" s="0" t="str">
        <f aca="false">IF('THÁNG 11'!$C52="","",'THÁNG 11'!$E52&amp;"")</f>
        <v/>
      </c>
      <c r="F795" s="0" t="str">
        <f aca="false">IF('THÁNG 11'!$C52="","",'THÁNG 11'!$F52&amp;"")</f>
        <v/>
      </c>
      <c r="G795" s="0" t="str">
        <f aca="false">IF('THÁNG 11'!$C52="","",'THÁNG 11'!$G52&amp;"")</f>
        <v/>
      </c>
      <c r="H795" s="0" t="str">
        <f aca="false">IF('THÁNG 11'!$C52="","",'THÁNG 11'!$H52&amp;"")</f>
        <v/>
      </c>
      <c r="I795" s="0" t="str">
        <f aca="false">IF('THÁNG 11'!$C52="","",N('THÁNG 11'!$I52))</f>
        <v/>
      </c>
      <c r="J795" s="0" t="str">
        <f aca="false">IF('THÁNG 11'!$C52="","",N('THÁNG 11'!$L52))</f>
        <v/>
      </c>
      <c r="K795" s="0" t="str">
        <f aca="false">IF('THÁNG 11'!$C52="","",N('THÁNG 11'!$N52))</f>
        <v/>
      </c>
      <c r="L795" s="0" t="str">
        <f aca="false">IF('THÁNG 11'!$C52="","",N('THÁNG 11'!$O52))</f>
        <v/>
      </c>
      <c r="M795" s="0" t="str">
        <f aca="false">IF('THÁNG 11'!$C52="","",N('THÁNG 11'!$P52))</f>
        <v/>
      </c>
      <c r="N795" s="0" t="str">
        <f aca="false">IF('THÁNG 11'!$C52="","",N('THÁNG 11'!$Q52))</f>
        <v/>
      </c>
      <c r="O795" s="0" t="str">
        <f aca="false">IF('THÁNG 11'!$C52="","",N('THÁNG 11'!$R52))</f>
        <v/>
      </c>
      <c r="P795" s="0" t="str">
        <f aca="false">IF(OR('THÁNG 11'!$C52="",'THÁNG 11'!$T52=""),"",'THÁNG 11'!$T52)</f>
        <v/>
      </c>
      <c r="Q795" s="0" t="str">
        <f aca="false">IF(OR('THÁNG 11'!$C52="",'THÁNG 11'!$U52=""),"",'THÁNG 11'!$U52)</f>
        <v/>
      </c>
      <c r="R795" s="0" t="str">
        <f aca="false">IF('THÁNG 11'!$C52="","",'THÁNG 11'!$W52&amp;"")</f>
        <v/>
      </c>
      <c r="S795" s="0" t="str">
        <f aca="false">IF('THÁNG 11'!$C52="","",'THÁNG 11'!$S52&amp;"")</f>
        <v/>
      </c>
      <c r="T795" s="0" t="str">
        <f aca="false">IF(N($O795)&gt;0,COUNTIF($O$3:$O795,"&gt;0"),"")</f>
        <v/>
      </c>
      <c r="U795" s="0" t="str">
        <f aca="false">IF(AND(N($J795)&gt;0,N($K795)&gt;0),COUNTIFS($J$3:$J795,"&gt;0",$K$3:$K795,"&gt;0"),"")</f>
        <v/>
      </c>
      <c r="V795" s="0" t="str">
        <f aca="false">IF(AND(N($J795)&gt;0,N($K795)=0),COUNTIFS($J$3:$J795,"&gt;0",$K$3:$K795,"&lt;=0"),"")</f>
        <v/>
      </c>
      <c r="W795" s="0" t="str">
        <f aca="false">IF($C795="","",IF(COUNTIF($C$3:$C795,$C795)&gt;1,"",MAX($W$2:W794)+1))</f>
        <v/>
      </c>
      <c r="X795" s="0" t="str">
        <f aca="false">IF($H795="","",IF(COUNTIF($H$3:$H795,$H795)&gt;1,"",MAX($X$2:X794)+1))</f>
        <v/>
      </c>
      <c r="Y795" s="0" t="str">
        <f aca="false">IF(AND(N($M795)&gt;0,N($O795)&lt;=0),COUNTIFS($M$3:$M795,"&gt;0",$O$3:$O795,"&lt;=0"),"")</f>
        <v/>
      </c>
      <c r="Z795" s="30" t="n">
        <f aca="false">IF(OR('THÁNG 11'!$C52="",'THÁNG 11'!$B52=""),0,'THÁNG 11'!$B52)</f>
        <v>0</v>
      </c>
    </row>
    <row r="796" customFormat="false" ht="15" hidden="false" customHeight="false" outlineLevel="0" collapsed="false">
      <c r="A796" s="0" t="n">
        <v>11</v>
      </c>
      <c r="B796" s="29" t="str">
        <f aca="false">IF(OR('THÁNG 11'!$C53="",'THÁNG 11'!$B53=""),"",'THÁNG 11'!$B53)</f>
        <v/>
      </c>
      <c r="C796" s="0" t="str">
        <f aca="false">IF('THÁNG 11'!$C53="","",'THÁNG 11'!$C53)</f>
        <v/>
      </c>
      <c r="D796" s="0" t="str">
        <f aca="false">IF('THÁNG 11'!$C53="","",'THÁNG 11'!$D53&amp;"")</f>
        <v/>
      </c>
      <c r="E796" s="0" t="str">
        <f aca="false">IF('THÁNG 11'!$C53="","",'THÁNG 11'!$E53&amp;"")</f>
        <v/>
      </c>
      <c r="F796" s="0" t="str">
        <f aca="false">IF('THÁNG 11'!$C53="","",'THÁNG 11'!$F53&amp;"")</f>
        <v/>
      </c>
      <c r="G796" s="0" t="str">
        <f aca="false">IF('THÁNG 11'!$C53="","",'THÁNG 11'!$G53&amp;"")</f>
        <v/>
      </c>
      <c r="H796" s="0" t="str">
        <f aca="false">IF('THÁNG 11'!$C53="","",'THÁNG 11'!$H53&amp;"")</f>
        <v/>
      </c>
      <c r="I796" s="0" t="str">
        <f aca="false">IF('THÁNG 11'!$C53="","",N('THÁNG 11'!$I53))</f>
        <v/>
      </c>
      <c r="J796" s="0" t="str">
        <f aca="false">IF('THÁNG 11'!$C53="","",N('THÁNG 11'!$L53))</f>
        <v/>
      </c>
      <c r="K796" s="0" t="str">
        <f aca="false">IF('THÁNG 11'!$C53="","",N('THÁNG 11'!$N53))</f>
        <v/>
      </c>
      <c r="L796" s="0" t="str">
        <f aca="false">IF('THÁNG 11'!$C53="","",N('THÁNG 11'!$O53))</f>
        <v/>
      </c>
      <c r="M796" s="0" t="str">
        <f aca="false">IF('THÁNG 11'!$C53="","",N('THÁNG 11'!$P53))</f>
        <v/>
      </c>
      <c r="N796" s="0" t="str">
        <f aca="false">IF('THÁNG 11'!$C53="","",N('THÁNG 11'!$Q53))</f>
        <v/>
      </c>
      <c r="O796" s="0" t="str">
        <f aca="false">IF('THÁNG 11'!$C53="","",N('THÁNG 11'!$R53))</f>
        <v/>
      </c>
      <c r="P796" s="0" t="str">
        <f aca="false">IF(OR('THÁNG 11'!$C53="",'THÁNG 11'!$T53=""),"",'THÁNG 11'!$T53)</f>
        <v/>
      </c>
      <c r="Q796" s="0" t="str">
        <f aca="false">IF(OR('THÁNG 11'!$C53="",'THÁNG 11'!$U53=""),"",'THÁNG 11'!$U53)</f>
        <v/>
      </c>
      <c r="R796" s="0" t="str">
        <f aca="false">IF('THÁNG 11'!$C53="","",'THÁNG 11'!$W53&amp;"")</f>
        <v/>
      </c>
      <c r="S796" s="0" t="str">
        <f aca="false">IF('THÁNG 11'!$C53="","",'THÁNG 11'!$S53&amp;"")</f>
        <v/>
      </c>
      <c r="T796" s="0" t="str">
        <f aca="false">IF(N($O796)&gt;0,COUNTIF($O$3:$O796,"&gt;0"),"")</f>
        <v/>
      </c>
      <c r="U796" s="0" t="str">
        <f aca="false">IF(AND(N($J796)&gt;0,N($K796)&gt;0),COUNTIFS($J$3:$J796,"&gt;0",$K$3:$K796,"&gt;0"),"")</f>
        <v/>
      </c>
      <c r="V796" s="0" t="str">
        <f aca="false">IF(AND(N($J796)&gt;0,N($K796)=0),COUNTIFS($J$3:$J796,"&gt;0",$K$3:$K796,"&lt;=0"),"")</f>
        <v/>
      </c>
      <c r="W796" s="0" t="str">
        <f aca="false">IF($C796="","",IF(COUNTIF($C$3:$C796,$C796)&gt;1,"",MAX($W$2:W795)+1))</f>
        <v/>
      </c>
      <c r="X796" s="0" t="str">
        <f aca="false">IF($H796="","",IF(COUNTIF($H$3:$H796,$H796)&gt;1,"",MAX($X$2:X795)+1))</f>
        <v/>
      </c>
      <c r="Y796" s="0" t="str">
        <f aca="false">IF(AND(N($M796)&gt;0,N($O796)&lt;=0),COUNTIFS($M$3:$M796,"&gt;0",$O$3:$O796,"&lt;=0"),"")</f>
        <v/>
      </c>
      <c r="Z796" s="30" t="n">
        <f aca="false">IF(OR('THÁNG 11'!$C53="",'THÁNG 11'!$B53=""),0,'THÁNG 11'!$B53)</f>
        <v>0</v>
      </c>
    </row>
    <row r="797" customFormat="false" ht="15" hidden="false" customHeight="false" outlineLevel="0" collapsed="false">
      <c r="A797" s="0" t="n">
        <v>11</v>
      </c>
      <c r="B797" s="29" t="str">
        <f aca="false">IF(OR('THÁNG 11'!$C54="",'THÁNG 11'!$B54=""),"",'THÁNG 11'!$B54)</f>
        <v/>
      </c>
      <c r="C797" s="0" t="str">
        <f aca="false">IF('THÁNG 11'!$C54="","",'THÁNG 11'!$C54)</f>
        <v/>
      </c>
      <c r="D797" s="0" t="str">
        <f aca="false">IF('THÁNG 11'!$C54="","",'THÁNG 11'!$D54&amp;"")</f>
        <v/>
      </c>
      <c r="E797" s="0" t="str">
        <f aca="false">IF('THÁNG 11'!$C54="","",'THÁNG 11'!$E54&amp;"")</f>
        <v/>
      </c>
      <c r="F797" s="0" t="str">
        <f aca="false">IF('THÁNG 11'!$C54="","",'THÁNG 11'!$F54&amp;"")</f>
        <v/>
      </c>
      <c r="G797" s="0" t="str">
        <f aca="false">IF('THÁNG 11'!$C54="","",'THÁNG 11'!$G54&amp;"")</f>
        <v/>
      </c>
      <c r="H797" s="0" t="str">
        <f aca="false">IF('THÁNG 11'!$C54="","",'THÁNG 11'!$H54&amp;"")</f>
        <v/>
      </c>
      <c r="I797" s="0" t="str">
        <f aca="false">IF('THÁNG 11'!$C54="","",N('THÁNG 11'!$I54))</f>
        <v/>
      </c>
      <c r="J797" s="0" t="str">
        <f aca="false">IF('THÁNG 11'!$C54="","",N('THÁNG 11'!$L54))</f>
        <v/>
      </c>
      <c r="K797" s="0" t="str">
        <f aca="false">IF('THÁNG 11'!$C54="","",N('THÁNG 11'!$N54))</f>
        <v/>
      </c>
      <c r="L797" s="0" t="str">
        <f aca="false">IF('THÁNG 11'!$C54="","",N('THÁNG 11'!$O54))</f>
        <v/>
      </c>
      <c r="M797" s="0" t="str">
        <f aca="false">IF('THÁNG 11'!$C54="","",N('THÁNG 11'!$P54))</f>
        <v/>
      </c>
      <c r="N797" s="0" t="str">
        <f aca="false">IF('THÁNG 11'!$C54="","",N('THÁNG 11'!$Q54))</f>
        <v/>
      </c>
      <c r="O797" s="0" t="str">
        <f aca="false">IF('THÁNG 11'!$C54="","",N('THÁNG 11'!$R54))</f>
        <v/>
      </c>
      <c r="P797" s="0" t="str">
        <f aca="false">IF(OR('THÁNG 11'!$C54="",'THÁNG 11'!$T54=""),"",'THÁNG 11'!$T54)</f>
        <v/>
      </c>
      <c r="Q797" s="0" t="str">
        <f aca="false">IF(OR('THÁNG 11'!$C54="",'THÁNG 11'!$U54=""),"",'THÁNG 11'!$U54)</f>
        <v/>
      </c>
      <c r="R797" s="0" t="str">
        <f aca="false">IF('THÁNG 11'!$C54="","",'THÁNG 11'!$W54&amp;"")</f>
        <v/>
      </c>
      <c r="S797" s="0" t="str">
        <f aca="false">IF('THÁNG 11'!$C54="","",'THÁNG 11'!$S54&amp;"")</f>
        <v/>
      </c>
      <c r="T797" s="0" t="str">
        <f aca="false">IF(N($O797)&gt;0,COUNTIF($O$3:$O797,"&gt;0"),"")</f>
        <v/>
      </c>
      <c r="U797" s="0" t="str">
        <f aca="false">IF(AND(N($J797)&gt;0,N($K797)&gt;0),COUNTIFS($J$3:$J797,"&gt;0",$K$3:$K797,"&gt;0"),"")</f>
        <v/>
      </c>
      <c r="V797" s="0" t="str">
        <f aca="false">IF(AND(N($J797)&gt;0,N($K797)=0),COUNTIFS($J$3:$J797,"&gt;0",$K$3:$K797,"&lt;=0"),"")</f>
        <v/>
      </c>
      <c r="W797" s="0" t="str">
        <f aca="false">IF($C797="","",IF(COUNTIF($C$3:$C797,$C797)&gt;1,"",MAX($W$2:W796)+1))</f>
        <v/>
      </c>
      <c r="X797" s="0" t="str">
        <f aca="false">IF($H797="","",IF(COUNTIF($H$3:$H797,$H797)&gt;1,"",MAX($X$2:X796)+1))</f>
        <v/>
      </c>
      <c r="Y797" s="0" t="str">
        <f aca="false">IF(AND(N($M797)&gt;0,N($O797)&lt;=0),COUNTIFS($M$3:$M797,"&gt;0",$O$3:$O797,"&lt;=0"),"")</f>
        <v/>
      </c>
      <c r="Z797" s="30" t="n">
        <f aca="false">IF(OR('THÁNG 11'!$C54="",'THÁNG 11'!$B54=""),0,'THÁNG 11'!$B54)</f>
        <v>0</v>
      </c>
    </row>
    <row r="798" customFormat="false" ht="15" hidden="false" customHeight="false" outlineLevel="0" collapsed="false">
      <c r="A798" s="0" t="n">
        <v>11</v>
      </c>
      <c r="B798" s="29" t="str">
        <f aca="false">IF(OR('THÁNG 11'!$C55="",'THÁNG 11'!$B55=""),"",'THÁNG 11'!$B55)</f>
        <v/>
      </c>
      <c r="C798" s="0" t="str">
        <f aca="false">IF('THÁNG 11'!$C55="","",'THÁNG 11'!$C55)</f>
        <v/>
      </c>
      <c r="D798" s="0" t="str">
        <f aca="false">IF('THÁNG 11'!$C55="","",'THÁNG 11'!$D55&amp;"")</f>
        <v/>
      </c>
      <c r="E798" s="0" t="str">
        <f aca="false">IF('THÁNG 11'!$C55="","",'THÁNG 11'!$E55&amp;"")</f>
        <v/>
      </c>
      <c r="F798" s="0" t="str">
        <f aca="false">IF('THÁNG 11'!$C55="","",'THÁNG 11'!$F55&amp;"")</f>
        <v/>
      </c>
      <c r="G798" s="0" t="str">
        <f aca="false">IF('THÁNG 11'!$C55="","",'THÁNG 11'!$G55&amp;"")</f>
        <v/>
      </c>
      <c r="H798" s="0" t="str">
        <f aca="false">IF('THÁNG 11'!$C55="","",'THÁNG 11'!$H55&amp;"")</f>
        <v/>
      </c>
      <c r="I798" s="0" t="str">
        <f aca="false">IF('THÁNG 11'!$C55="","",N('THÁNG 11'!$I55))</f>
        <v/>
      </c>
      <c r="J798" s="0" t="str">
        <f aca="false">IF('THÁNG 11'!$C55="","",N('THÁNG 11'!$L55))</f>
        <v/>
      </c>
      <c r="K798" s="0" t="str">
        <f aca="false">IF('THÁNG 11'!$C55="","",N('THÁNG 11'!$N55))</f>
        <v/>
      </c>
      <c r="L798" s="0" t="str">
        <f aca="false">IF('THÁNG 11'!$C55="","",N('THÁNG 11'!$O55))</f>
        <v/>
      </c>
      <c r="M798" s="0" t="str">
        <f aca="false">IF('THÁNG 11'!$C55="","",N('THÁNG 11'!$P55))</f>
        <v/>
      </c>
      <c r="N798" s="0" t="str">
        <f aca="false">IF('THÁNG 11'!$C55="","",N('THÁNG 11'!$Q55))</f>
        <v/>
      </c>
      <c r="O798" s="0" t="str">
        <f aca="false">IF('THÁNG 11'!$C55="","",N('THÁNG 11'!$R55))</f>
        <v/>
      </c>
      <c r="P798" s="0" t="str">
        <f aca="false">IF(OR('THÁNG 11'!$C55="",'THÁNG 11'!$T55=""),"",'THÁNG 11'!$T55)</f>
        <v/>
      </c>
      <c r="Q798" s="0" t="str">
        <f aca="false">IF(OR('THÁNG 11'!$C55="",'THÁNG 11'!$U55=""),"",'THÁNG 11'!$U55)</f>
        <v/>
      </c>
      <c r="R798" s="0" t="str">
        <f aca="false">IF('THÁNG 11'!$C55="","",'THÁNG 11'!$W55&amp;"")</f>
        <v/>
      </c>
      <c r="S798" s="0" t="str">
        <f aca="false">IF('THÁNG 11'!$C55="","",'THÁNG 11'!$S55&amp;"")</f>
        <v/>
      </c>
      <c r="T798" s="0" t="str">
        <f aca="false">IF(N($O798)&gt;0,COUNTIF($O$3:$O798,"&gt;0"),"")</f>
        <v/>
      </c>
      <c r="U798" s="0" t="str">
        <f aca="false">IF(AND(N($J798)&gt;0,N($K798)&gt;0),COUNTIFS($J$3:$J798,"&gt;0",$K$3:$K798,"&gt;0"),"")</f>
        <v/>
      </c>
      <c r="V798" s="0" t="str">
        <f aca="false">IF(AND(N($J798)&gt;0,N($K798)=0),COUNTIFS($J$3:$J798,"&gt;0",$K$3:$K798,"&lt;=0"),"")</f>
        <v/>
      </c>
      <c r="W798" s="0" t="str">
        <f aca="false">IF($C798="","",IF(COUNTIF($C$3:$C798,$C798)&gt;1,"",MAX($W$2:W797)+1))</f>
        <v/>
      </c>
      <c r="X798" s="0" t="str">
        <f aca="false">IF($H798="","",IF(COUNTIF($H$3:$H798,$H798)&gt;1,"",MAX($X$2:X797)+1))</f>
        <v/>
      </c>
      <c r="Y798" s="0" t="str">
        <f aca="false">IF(AND(N($M798)&gt;0,N($O798)&lt;=0),COUNTIFS($M$3:$M798,"&gt;0",$O$3:$O798,"&lt;=0"),"")</f>
        <v/>
      </c>
      <c r="Z798" s="30" t="n">
        <f aca="false">IF(OR('THÁNG 11'!$C55="",'THÁNG 11'!$B55=""),0,'THÁNG 11'!$B55)</f>
        <v>0</v>
      </c>
    </row>
    <row r="799" customFormat="false" ht="15" hidden="false" customHeight="false" outlineLevel="0" collapsed="false">
      <c r="A799" s="0" t="n">
        <v>11</v>
      </c>
      <c r="B799" s="29" t="str">
        <f aca="false">IF(OR('THÁNG 11'!$C56="",'THÁNG 11'!$B56=""),"",'THÁNG 11'!$B56)</f>
        <v/>
      </c>
      <c r="C799" s="0" t="str">
        <f aca="false">IF('THÁNG 11'!$C56="","",'THÁNG 11'!$C56)</f>
        <v/>
      </c>
      <c r="D799" s="0" t="str">
        <f aca="false">IF('THÁNG 11'!$C56="","",'THÁNG 11'!$D56&amp;"")</f>
        <v/>
      </c>
      <c r="E799" s="0" t="str">
        <f aca="false">IF('THÁNG 11'!$C56="","",'THÁNG 11'!$E56&amp;"")</f>
        <v/>
      </c>
      <c r="F799" s="0" t="str">
        <f aca="false">IF('THÁNG 11'!$C56="","",'THÁNG 11'!$F56&amp;"")</f>
        <v/>
      </c>
      <c r="G799" s="0" t="str">
        <f aca="false">IF('THÁNG 11'!$C56="","",'THÁNG 11'!$G56&amp;"")</f>
        <v/>
      </c>
      <c r="H799" s="0" t="str">
        <f aca="false">IF('THÁNG 11'!$C56="","",'THÁNG 11'!$H56&amp;"")</f>
        <v/>
      </c>
      <c r="I799" s="0" t="str">
        <f aca="false">IF('THÁNG 11'!$C56="","",N('THÁNG 11'!$I56))</f>
        <v/>
      </c>
      <c r="J799" s="0" t="str">
        <f aca="false">IF('THÁNG 11'!$C56="","",N('THÁNG 11'!$L56))</f>
        <v/>
      </c>
      <c r="K799" s="0" t="str">
        <f aca="false">IF('THÁNG 11'!$C56="","",N('THÁNG 11'!$N56))</f>
        <v/>
      </c>
      <c r="L799" s="0" t="str">
        <f aca="false">IF('THÁNG 11'!$C56="","",N('THÁNG 11'!$O56))</f>
        <v/>
      </c>
      <c r="M799" s="0" t="str">
        <f aca="false">IF('THÁNG 11'!$C56="","",N('THÁNG 11'!$P56))</f>
        <v/>
      </c>
      <c r="N799" s="0" t="str">
        <f aca="false">IF('THÁNG 11'!$C56="","",N('THÁNG 11'!$Q56))</f>
        <v/>
      </c>
      <c r="O799" s="0" t="str">
        <f aca="false">IF('THÁNG 11'!$C56="","",N('THÁNG 11'!$R56))</f>
        <v/>
      </c>
      <c r="P799" s="0" t="str">
        <f aca="false">IF(OR('THÁNG 11'!$C56="",'THÁNG 11'!$T56=""),"",'THÁNG 11'!$T56)</f>
        <v/>
      </c>
      <c r="Q799" s="0" t="str">
        <f aca="false">IF(OR('THÁNG 11'!$C56="",'THÁNG 11'!$U56=""),"",'THÁNG 11'!$U56)</f>
        <v/>
      </c>
      <c r="R799" s="0" t="str">
        <f aca="false">IF('THÁNG 11'!$C56="","",'THÁNG 11'!$W56&amp;"")</f>
        <v/>
      </c>
      <c r="S799" s="0" t="str">
        <f aca="false">IF('THÁNG 11'!$C56="","",'THÁNG 11'!$S56&amp;"")</f>
        <v/>
      </c>
      <c r="T799" s="0" t="str">
        <f aca="false">IF(N($O799)&gt;0,COUNTIF($O$3:$O799,"&gt;0"),"")</f>
        <v/>
      </c>
      <c r="U799" s="0" t="str">
        <f aca="false">IF(AND(N($J799)&gt;0,N($K799)&gt;0),COUNTIFS($J$3:$J799,"&gt;0",$K$3:$K799,"&gt;0"),"")</f>
        <v/>
      </c>
      <c r="V799" s="0" t="str">
        <f aca="false">IF(AND(N($J799)&gt;0,N($K799)=0),COUNTIFS($J$3:$J799,"&gt;0",$K$3:$K799,"&lt;=0"),"")</f>
        <v/>
      </c>
      <c r="W799" s="0" t="str">
        <f aca="false">IF($C799="","",IF(COUNTIF($C$3:$C799,$C799)&gt;1,"",MAX($W$2:W798)+1))</f>
        <v/>
      </c>
      <c r="X799" s="0" t="str">
        <f aca="false">IF($H799="","",IF(COUNTIF($H$3:$H799,$H799)&gt;1,"",MAX($X$2:X798)+1))</f>
        <v/>
      </c>
      <c r="Y799" s="0" t="str">
        <f aca="false">IF(AND(N($M799)&gt;0,N($O799)&lt;=0),COUNTIFS($M$3:$M799,"&gt;0",$O$3:$O799,"&lt;=0"),"")</f>
        <v/>
      </c>
      <c r="Z799" s="30" t="n">
        <f aca="false">IF(OR('THÁNG 11'!$C56="",'THÁNG 11'!$B56=""),0,'THÁNG 11'!$B56)</f>
        <v>0</v>
      </c>
    </row>
    <row r="800" customFormat="false" ht="15" hidden="false" customHeight="false" outlineLevel="0" collapsed="false">
      <c r="A800" s="0" t="n">
        <v>11</v>
      </c>
      <c r="B800" s="29" t="str">
        <f aca="false">IF(OR('THÁNG 11'!$C57="",'THÁNG 11'!$B57=""),"",'THÁNG 11'!$B57)</f>
        <v/>
      </c>
      <c r="C800" s="0" t="str">
        <f aca="false">IF('THÁNG 11'!$C57="","",'THÁNG 11'!$C57)</f>
        <v/>
      </c>
      <c r="D800" s="0" t="str">
        <f aca="false">IF('THÁNG 11'!$C57="","",'THÁNG 11'!$D57&amp;"")</f>
        <v/>
      </c>
      <c r="E800" s="0" t="str">
        <f aca="false">IF('THÁNG 11'!$C57="","",'THÁNG 11'!$E57&amp;"")</f>
        <v/>
      </c>
      <c r="F800" s="0" t="str">
        <f aca="false">IF('THÁNG 11'!$C57="","",'THÁNG 11'!$F57&amp;"")</f>
        <v/>
      </c>
      <c r="G800" s="0" t="str">
        <f aca="false">IF('THÁNG 11'!$C57="","",'THÁNG 11'!$G57&amp;"")</f>
        <v/>
      </c>
      <c r="H800" s="0" t="str">
        <f aca="false">IF('THÁNG 11'!$C57="","",'THÁNG 11'!$H57&amp;"")</f>
        <v/>
      </c>
      <c r="I800" s="0" t="str">
        <f aca="false">IF('THÁNG 11'!$C57="","",N('THÁNG 11'!$I57))</f>
        <v/>
      </c>
      <c r="J800" s="0" t="str">
        <f aca="false">IF('THÁNG 11'!$C57="","",N('THÁNG 11'!$L57))</f>
        <v/>
      </c>
      <c r="K800" s="0" t="str">
        <f aca="false">IF('THÁNG 11'!$C57="","",N('THÁNG 11'!$N57))</f>
        <v/>
      </c>
      <c r="L800" s="0" t="str">
        <f aca="false">IF('THÁNG 11'!$C57="","",N('THÁNG 11'!$O57))</f>
        <v/>
      </c>
      <c r="M800" s="0" t="str">
        <f aca="false">IF('THÁNG 11'!$C57="","",N('THÁNG 11'!$P57))</f>
        <v/>
      </c>
      <c r="N800" s="0" t="str">
        <f aca="false">IF('THÁNG 11'!$C57="","",N('THÁNG 11'!$Q57))</f>
        <v/>
      </c>
      <c r="O800" s="0" t="str">
        <f aca="false">IF('THÁNG 11'!$C57="","",N('THÁNG 11'!$R57))</f>
        <v/>
      </c>
      <c r="P800" s="0" t="str">
        <f aca="false">IF(OR('THÁNG 11'!$C57="",'THÁNG 11'!$T57=""),"",'THÁNG 11'!$T57)</f>
        <v/>
      </c>
      <c r="Q800" s="0" t="str">
        <f aca="false">IF(OR('THÁNG 11'!$C57="",'THÁNG 11'!$U57=""),"",'THÁNG 11'!$U57)</f>
        <v/>
      </c>
      <c r="R800" s="0" t="str">
        <f aca="false">IF('THÁNG 11'!$C57="","",'THÁNG 11'!$W57&amp;"")</f>
        <v/>
      </c>
      <c r="S800" s="0" t="str">
        <f aca="false">IF('THÁNG 11'!$C57="","",'THÁNG 11'!$S57&amp;"")</f>
        <v/>
      </c>
      <c r="T800" s="0" t="str">
        <f aca="false">IF(N($O800)&gt;0,COUNTIF($O$3:$O800,"&gt;0"),"")</f>
        <v/>
      </c>
      <c r="U800" s="0" t="str">
        <f aca="false">IF(AND(N($J800)&gt;0,N($K800)&gt;0),COUNTIFS($J$3:$J800,"&gt;0",$K$3:$K800,"&gt;0"),"")</f>
        <v/>
      </c>
      <c r="V800" s="0" t="str">
        <f aca="false">IF(AND(N($J800)&gt;0,N($K800)=0),COUNTIFS($J$3:$J800,"&gt;0",$K$3:$K800,"&lt;=0"),"")</f>
        <v/>
      </c>
      <c r="W800" s="0" t="str">
        <f aca="false">IF($C800="","",IF(COUNTIF($C$3:$C800,$C800)&gt;1,"",MAX($W$2:W799)+1))</f>
        <v/>
      </c>
      <c r="X800" s="0" t="str">
        <f aca="false">IF($H800="","",IF(COUNTIF($H$3:$H800,$H800)&gt;1,"",MAX($X$2:X799)+1))</f>
        <v/>
      </c>
      <c r="Y800" s="0" t="str">
        <f aca="false">IF(AND(N($M800)&gt;0,N($O800)&lt;=0),COUNTIFS($M$3:$M800,"&gt;0",$O$3:$O800,"&lt;=0"),"")</f>
        <v/>
      </c>
      <c r="Z800" s="30" t="n">
        <f aca="false">IF(OR('THÁNG 11'!$C57="",'THÁNG 11'!$B57=""),0,'THÁNG 11'!$B57)</f>
        <v>0</v>
      </c>
    </row>
    <row r="801" customFormat="false" ht="15" hidden="false" customHeight="false" outlineLevel="0" collapsed="false">
      <c r="A801" s="0" t="n">
        <v>11</v>
      </c>
      <c r="B801" s="29" t="str">
        <f aca="false">IF(OR('THÁNG 11'!$C58="",'THÁNG 11'!$B58=""),"",'THÁNG 11'!$B58)</f>
        <v/>
      </c>
      <c r="C801" s="0" t="str">
        <f aca="false">IF('THÁNG 11'!$C58="","",'THÁNG 11'!$C58)</f>
        <v/>
      </c>
      <c r="D801" s="0" t="str">
        <f aca="false">IF('THÁNG 11'!$C58="","",'THÁNG 11'!$D58&amp;"")</f>
        <v/>
      </c>
      <c r="E801" s="0" t="str">
        <f aca="false">IF('THÁNG 11'!$C58="","",'THÁNG 11'!$E58&amp;"")</f>
        <v/>
      </c>
      <c r="F801" s="0" t="str">
        <f aca="false">IF('THÁNG 11'!$C58="","",'THÁNG 11'!$F58&amp;"")</f>
        <v/>
      </c>
      <c r="G801" s="0" t="str">
        <f aca="false">IF('THÁNG 11'!$C58="","",'THÁNG 11'!$G58&amp;"")</f>
        <v/>
      </c>
      <c r="H801" s="0" t="str">
        <f aca="false">IF('THÁNG 11'!$C58="","",'THÁNG 11'!$H58&amp;"")</f>
        <v/>
      </c>
      <c r="I801" s="0" t="str">
        <f aca="false">IF('THÁNG 11'!$C58="","",N('THÁNG 11'!$I58))</f>
        <v/>
      </c>
      <c r="J801" s="0" t="str">
        <f aca="false">IF('THÁNG 11'!$C58="","",N('THÁNG 11'!$L58))</f>
        <v/>
      </c>
      <c r="K801" s="0" t="str">
        <f aca="false">IF('THÁNG 11'!$C58="","",N('THÁNG 11'!$N58))</f>
        <v/>
      </c>
      <c r="L801" s="0" t="str">
        <f aca="false">IF('THÁNG 11'!$C58="","",N('THÁNG 11'!$O58))</f>
        <v/>
      </c>
      <c r="M801" s="0" t="str">
        <f aca="false">IF('THÁNG 11'!$C58="","",N('THÁNG 11'!$P58))</f>
        <v/>
      </c>
      <c r="N801" s="0" t="str">
        <f aca="false">IF('THÁNG 11'!$C58="","",N('THÁNG 11'!$Q58))</f>
        <v/>
      </c>
      <c r="O801" s="0" t="str">
        <f aca="false">IF('THÁNG 11'!$C58="","",N('THÁNG 11'!$R58))</f>
        <v/>
      </c>
      <c r="P801" s="0" t="str">
        <f aca="false">IF(OR('THÁNG 11'!$C58="",'THÁNG 11'!$T58=""),"",'THÁNG 11'!$T58)</f>
        <v/>
      </c>
      <c r="Q801" s="0" t="str">
        <f aca="false">IF(OR('THÁNG 11'!$C58="",'THÁNG 11'!$U58=""),"",'THÁNG 11'!$U58)</f>
        <v/>
      </c>
      <c r="R801" s="0" t="str">
        <f aca="false">IF('THÁNG 11'!$C58="","",'THÁNG 11'!$W58&amp;"")</f>
        <v/>
      </c>
      <c r="S801" s="0" t="str">
        <f aca="false">IF('THÁNG 11'!$C58="","",'THÁNG 11'!$S58&amp;"")</f>
        <v/>
      </c>
      <c r="T801" s="0" t="str">
        <f aca="false">IF(N($O801)&gt;0,COUNTIF($O$3:$O801,"&gt;0"),"")</f>
        <v/>
      </c>
      <c r="U801" s="0" t="str">
        <f aca="false">IF(AND(N($J801)&gt;0,N($K801)&gt;0),COUNTIFS($J$3:$J801,"&gt;0",$K$3:$K801,"&gt;0"),"")</f>
        <v/>
      </c>
      <c r="V801" s="0" t="str">
        <f aca="false">IF(AND(N($J801)&gt;0,N($K801)=0),COUNTIFS($J$3:$J801,"&gt;0",$K$3:$K801,"&lt;=0"),"")</f>
        <v/>
      </c>
      <c r="W801" s="0" t="str">
        <f aca="false">IF($C801="","",IF(COUNTIF($C$3:$C801,$C801)&gt;1,"",MAX($W$2:W800)+1))</f>
        <v/>
      </c>
      <c r="X801" s="0" t="str">
        <f aca="false">IF($H801="","",IF(COUNTIF($H$3:$H801,$H801)&gt;1,"",MAX($X$2:X800)+1))</f>
        <v/>
      </c>
      <c r="Y801" s="0" t="str">
        <f aca="false">IF(AND(N($M801)&gt;0,N($O801)&lt;=0),COUNTIFS($M$3:$M801,"&gt;0",$O$3:$O801,"&lt;=0"),"")</f>
        <v/>
      </c>
      <c r="Z801" s="30" t="n">
        <f aca="false">IF(OR('THÁNG 11'!$C58="",'THÁNG 11'!$B58=""),0,'THÁNG 11'!$B58)</f>
        <v>0</v>
      </c>
    </row>
    <row r="802" customFormat="false" ht="15" hidden="false" customHeight="false" outlineLevel="0" collapsed="false">
      <c r="A802" s="0" t="n">
        <v>11</v>
      </c>
      <c r="B802" s="29" t="str">
        <f aca="false">IF(OR('THÁNG 11'!$C59="",'THÁNG 11'!$B59=""),"",'THÁNG 11'!$B59)</f>
        <v/>
      </c>
      <c r="C802" s="0" t="str">
        <f aca="false">IF('THÁNG 11'!$C59="","",'THÁNG 11'!$C59)</f>
        <v/>
      </c>
      <c r="D802" s="0" t="str">
        <f aca="false">IF('THÁNG 11'!$C59="","",'THÁNG 11'!$D59&amp;"")</f>
        <v/>
      </c>
      <c r="E802" s="0" t="str">
        <f aca="false">IF('THÁNG 11'!$C59="","",'THÁNG 11'!$E59&amp;"")</f>
        <v/>
      </c>
      <c r="F802" s="0" t="str">
        <f aca="false">IF('THÁNG 11'!$C59="","",'THÁNG 11'!$F59&amp;"")</f>
        <v/>
      </c>
      <c r="G802" s="0" t="str">
        <f aca="false">IF('THÁNG 11'!$C59="","",'THÁNG 11'!$G59&amp;"")</f>
        <v/>
      </c>
      <c r="H802" s="0" t="str">
        <f aca="false">IF('THÁNG 11'!$C59="","",'THÁNG 11'!$H59&amp;"")</f>
        <v/>
      </c>
      <c r="I802" s="0" t="str">
        <f aca="false">IF('THÁNG 11'!$C59="","",N('THÁNG 11'!$I59))</f>
        <v/>
      </c>
      <c r="J802" s="0" t="str">
        <f aca="false">IF('THÁNG 11'!$C59="","",N('THÁNG 11'!$L59))</f>
        <v/>
      </c>
      <c r="K802" s="0" t="str">
        <f aca="false">IF('THÁNG 11'!$C59="","",N('THÁNG 11'!$N59))</f>
        <v/>
      </c>
      <c r="L802" s="0" t="str">
        <f aca="false">IF('THÁNG 11'!$C59="","",N('THÁNG 11'!$O59))</f>
        <v/>
      </c>
      <c r="M802" s="0" t="str">
        <f aca="false">IF('THÁNG 11'!$C59="","",N('THÁNG 11'!$P59))</f>
        <v/>
      </c>
      <c r="N802" s="0" t="str">
        <f aca="false">IF('THÁNG 11'!$C59="","",N('THÁNG 11'!$Q59))</f>
        <v/>
      </c>
      <c r="O802" s="0" t="str">
        <f aca="false">IF('THÁNG 11'!$C59="","",N('THÁNG 11'!$R59))</f>
        <v/>
      </c>
      <c r="P802" s="0" t="str">
        <f aca="false">IF(OR('THÁNG 11'!$C59="",'THÁNG 11'!$T59=""),"",'THÁNG 11'!$T59)</f>
        <v/>
      </c>
      <c r="Q802" s="0" t="str">
        <f aca="false">IF(OR('THÁNG 11'!$C59="",'THÁNG 11'!$U59=""),"",'THÁNG 11'!$U59)</f>
        <v/>
      </c>
      <c r="R802" s="0" t="str">
        <f aca="false">IF('THÁNG 11'!$C59="","",'THÁNG 11'!$W59&amp;"")</f>
        <v/>
      </c>
      <c r="S802" s="0" t="str">
        <f aca="false">IF('THÁNG 11'!$C59="","",'THÁNG 11'!$S59&amp;"")</f>
        <v/>
      </c>
      <c r="T802" s="0" t="str">
        <f aca="false">IF(N($O802)&gt;0,COUNTIF($O$3:$O802,"&gt;0"),"")</f>
        <v/>
      </c>
      <c r="U802" s="0" t="str">
        <f aca="false">IF(AND(N($J802)&gt;0,N($K802)&gt;0),COUNTIFS($J$3:$J802,"&gt;0",$K$3:$K802,"&gt;0"),"")</f>
        <v/>
      </c>
      <c r="V802" s="0" t="str">
        <f aca="false">IF(AND(N($J802)&gt;0,N($K802)=0),COUNTIFS($J$3:$J802,"&gt;0",$K$3:$K802,"&lt;=0"),"")</f>
        <v/>
      </c>
      <c r="W802" s="0" t="str">
        <f aca="false">IF($C802="","",IF(COUNTIF($C$3:$C802,$C802)&gt;1,"",MAX($W$2:W801)+1))</f>
        <v/>
      </c>
      <c r="X802" s="0" t="str">
        <f aca="false">IF($H802="","",IF(COUNTIF($H$3:$H802,$H802)&gt;1,"",MAX($X$2:X801)+1))</f>
        <v/>
      </c>
      <c r="Y802" s="0" t="str">
        <f aca="false">IF(AND(N($M802)&gt;0,N($O802)&lt;=0),COUNTIFS($M$3:$M802,"&gt;0",$O$3:$O802,"&lt;=0"),"")</f>
        <v/>
      </c>
      <c r="Z802" s="30" t="n">
        <f aca="false">IF(OR('THÁNG 11'!$C59="",'THÁNG 11'!$B59=""),0,'THÁNG 11'!$B59)</f>
        <v>0</v>
      </c>
    </row>
    <row r="803" customFormat="false" ht="15" hidden="false" customHeight="false" outlineLevel="0" collapsed="false">
      <c r="A803" s="0" t="n">
        <v>11</v>
      </c>
      <c r="B803" s="29" t="str">
        <f aca="false">IF(OR('THÁNG 11'!$C60="",'THÁNG 11'!$B60=""),"",'THÁNG 11'!$B60)</f>
        <v/>
      </c>
      <c r="C803" s="0" t="str">
        <f aca="false">IF('THÁNG 11'!$C60="","",'THÁNG 11'!$C60)</f>
        <v/>
      </c>
      <c r="D803" s="0" t="str">
        <f aca="false">IF('THÁNG 11'!$C60="","",'THÁNG 11'!$D60&amp;"")</f>
        <v/>
      </c>
      <c r="E803" s="0" t="str">
        <f aca="false">IF('THÁNG 11'!$C60="","",'THÁNG 11'!$E60&amp;"")</f>
        <v/>
      </c>
      <c r="F803" s="0" t="str">
        <f aca="false">IF('THÁNG 11'!$C60="","",'THÁNG 11'!$F60&amp;"")</f>
        <v/>
      </c>
      <c r="G803" s="0" t="str">
        <f aca="false">IF('THÁNG 11'!$C60="","",'THÁNG 11'!$G60&amp;"")</f>
        <v/>
      </c>
      <c r="H803" s="0" t="str">
        <f aca="false">IF('THÁNG 11'!$C60="","",'THÁNG 11'!$H60&amp;"")</f>
        <v/>
      </c>
      <c r="I803" s="0" t="str">
        <f aca="false">IF('THÁNG 11'!$C60="","",N('THÁNG 11'!$I60))</f>
        <v/>
      </c>
      <c r="J803" s="0" t="str">
        <f aca="false">IF('THÁNG 11'!$C60="","",N('THÁNG 11'!$L60))</f>
        <v/>
      </c>
      <c r="K803" s="0" t="str">
        <f aca="false">IF('THÁNG 11'!$C60="","",N('THÁNG 11'!$N60))</f>
        <v/>
      </c>
      <c r="L803" s="0" t="str">
        <f aca="false">IF('THÁNG 11'!$C60="","",N('THÁNG 11'!$O60))</f>
        <v/>
      </c>
      <c r="M803" s="0" t="str">
        <f aca="false">IF('THÁNG 11'!$C60="","",N('THÁNG 11'!$P60))</f>
        <v/>
      </c>
      <c r="N803" s="0" t="str">
        <f aca="false">IF('THÁNG 11'!$C60="","",N('THÁNG 11'!$Q60))</f>
        <v/>
      </c>
      <c r="O803" s="0" t="str">
        <f aca="false">IF('THÁNG 11'!$C60="","",N('THÁNG 11'!$R60))</f>
        <v/>
      </c>
      <c r="P803" s="0" t="str">
        <f aca="false">IF(OR('THÁNG 11'!$C60="",'THÁNG 11'!$T60=""),"",'THÁNG 11'!$T60)</f>
        <v/>
      </c>
      <c r="Q803" s="0" t="str">
        <f aca="false">IF(OR('THÁNG 11'!$C60="",'THÁNG 11'!$U60=""),"",'THÁNG 11'!$U60)</f>
        <v/>
      </c>
      <c r="R803" s="0" t="str">
        <f aca="false">IF('THÁNG 11'!$C60="","",'THÁNG 11'!$W60&amp;"")</f>
        <v/>
      </c>
      <c r="S803" s="0" t="str">
        <f aca="false">IF('THÁNG 11'!$C60="","",'THÁNG 11'!$S60&amp;"")</f>
        <v/>
      </c>
      <c r="T803" s="0" t="str">
        <f aca="false">IF(N($O803)&gt;0,COUNTIF($O$3:$O803,"&gt;0"),"")</f>
        <v/>
      </c>
      <c r="U803" s="0" t="str">
        <f aca="false">IF(AND(N($J803)&gt;0,N($K803)&gt;0),COUNTIFS($J$3:$J803,"&gt;0",$K$3:$K803,"&gt;0"),"")</f>
        <v/>
      </c>
      <c r="V803" s="0" t="str">
        <f aca="false">IF(AND(N($J803)&gt;0,N($K803)=0),COUNTIFS($J$3:$J803,"&gt;0",$K$3:$K803,"&lt;=0"),"")</f>
        <v/>
      </c>
      <c r="W803" s="0" t="str">
        <f aca="false">IF($C803="","",IF(COUNTIF($C$3:$C803,$C803)&gt;1,"",MAX($W$2:W802)+1))</f>
        <v/>
      </c>
      <c r="X803" s="0" t="str">
        <f aca="false">IF($H803="","",IF(COUNTIF($H$3:$H803,$H803)&gt;1,"",MAX($X$2:X802)+1))</f>
        <v/>
      </c>
      <c r="Y803" s="0" t="str">
        <f aca="false">IF(AND(N($M803)&gt;0,N($O803)&lt;=0),COUNTIFS($M$3:$M803,"&gt;0",$O$3:$O803,"&lt;=0"),"")</f>
        <v/>
      </c>
      <c r="Z803" s="30" t="n">
        <f aca="false">IF(OR('THÁNG 11'!$C60="",'THÁNG 11'!$B60=""),0,'THÁNG 11'!$B60)</f>
        <v>0</v>
      </c>
    </row>
    <row r="804" customFormat="false" ht="15" hidden="false" customHeight="false" outlineLevel="0" collapsed="false">
      <c r="A804" s="0" t="n">
        <v>11</v>
      </c>
      <c r="B804" s="29" t="str">
        <f aca="false">IF(OR('THÁNG 11'!$C61="",'THÁNG 11'!$B61=""),"",'THÁNG 11'!$B61)</f>
        <v/>
      </c>
      <c r="C804" s="0" t="str">
        <f aca="false">IF('THÁNG 11'!$C61="","",'THÁNG 11'!$C61)</f>
        <v/>
      </c>
      <c r="D804" s="0" t="str">
        <f aca="false">IF('THÁNG 11'!$C61="","",'THÁNG 11'!$D61&amp;"")</f>
        <v/>
      </c>
      <c r="E804" s="0" t="str">
        <f aca="false">IF('THÁNG 11'!$C61="","",'THÁNG 11'!$E61&amp;"")</f>
        <v/>
      </c>
      <c r="F804" s="0" t="str">
        <f aca="false">IF('THÁNG 11'!$C61="","",'THÁNG 11'!$F61&amp;"")</f>
        <v/>
      </c>
      <c r="G804" s="0" t="str">
        <f aca="false">IF('THÁNG 11'!$C61="","",'THÁNG 11'!$G61&amp;"")</f>
        <v/>
      </c>
      <c r="H804" s="0" t="str">
        <f aca="false">IF('THÁNG 11'!$C61="","",'THÁNG 11'!$H61&amp;"")</f>
        <v/>
      </c>
      <c r="I804" s="0" t="str">
        <f aca="false">IF('THÁNG 11'!$C61="","",N('THÁNG 11'!$I61))</f>
        <v/>
      </c>
      <c r="J804" s="0" t="str">
        <f aca="false">IF('THÁNG 11'!$C61="","",N('THÁNG 11'!$L61))</f>
        <v/>
      </c>
      <c r="K804" s="0" t="str">
        <f aca="false">IF('THÁNG 11'!$C61="","",N('THÁNG 11'!$N61))</f>
        <v/>
      </c>
      <c r="L804" s="0" t="str">
        <f aca="false">IF('THÁNG 11'!$C61="","",N('THÁNG 11'!$O61))</f>
        <v/>
      </c>
      <c r="M804" s="0" t="str">
        <f aca="false">IF('THÁNG 11'!$C61="","",N('THÁNG 11'!$P61))</f>
        <v/>
      </c>
      <c r="N804" s="0" t="str">
        <f aca="false">IF('THÁNG 11'!$C61="","",N('THÁNG 11'!$Q61))</f>
        <v/>
      </c>
      <c r="O804" s="0" t="str">
        <f aca="false">IF('THÁNG 11'!$C61="","",N('THÁNG 11'!$R61))</f>
        <v/>
      </c>
      <c r="P804" s="0" t="str">
        <f aca="false">IF(OR('THÁNG 11'!$C61="",'THÁNG 11'!$T61=""),"",'THÁNG 11'!$T61)</f>
        <v/>
      </c>
      <c r="Q804" s="0" t="str">
        <f aca="false">IF(OR('THÁNG 11'!$C61="",'THÁNG 11'!$U61=""),"",'THÁNG 11'!$U61)</f>
        <v/>
      </c>
      <c r="R804" s="0" t="str">
        <f aca="false">IF('THÁNG 11'!$C61="","",'THÁNG 11'!$W61&amp;"")</f>
        <v/>
      </c>
      <c r="S804" s="0" t="str">
        <f aca="false">IF('THÁNG 11'!$C61="","",'THÁNG 11'!$S61&amp;"")</f>
        <v/>
      </c>
      <c r="T804" s="0" t="str">
        <f aca="false">IF(N($O804)&gt;0,COUNTIF($O$3:$O804,"&gt;0"),"")</f>
        <v/>
      </c>
      <c r="U804" s="0" t="str">
        <f aca="false">IF(AND(N($J804)&gt;0,N($K804)&gt;0),COUNTIFS($J$3:$J804,"&gt;0",$K$3:$K804,"&gt;0"),"")</f>
        <v/>
      </c>
      <c r="V804" s="0" t="str">
        <f aca="false">IF(AND(N($J804)&gt;0,N($K804)=0),COUNTIFS($J$3:$J804,"&gt;0",$K$3:$K804,"&lt;=0"),"")</f>
        <v/>
      </c>
      <c r="W804" s="0" t="str">
        <f aca="false">IF($C804="","",IF(COUNTIF($C$3:$C804,$C804)&gt;1,"",MAX($W$2:W803)+1))</f>
        <v/>
      </c>
      <c r="X804" s="0" t="str">
        <f aca="false">IF($H804="","",IF(COUNTIF($H$3:$H804,$H804)&gt;1,"",MAX($X$2:X803)+1))</f>
        <v/>
      </c>
      <c r="Y804" s="0" t="str">
        <f aca="false">IF(AND(N($M804)&gt;0,N($O804)&lt;=0),COUNTIFS($M$3:$M804,"&gt;0",$O$3:$O804,"&lt;=0"),"")</f>
        <v/>
      </c>
      <c r="Z804" s="30" t="n">
        <f aca="false">IF(OR('THÁNG 11'!$C61="",'THÁNG 11'!$B61=""),0,'THÁNG 11'!$B61)</f>
        <v>0</v>
      </c>
    </row>
    <row r="805" customFormat="false" ht="15" hidden="false" customHeight="false" outlineLevel="0" collapsed="false">
      <c r="A805" s="0" t="n">
        <v>11</v>
      </c>
      <c r="B805" s="29" t="str">
        <f aca="false">IF(OR('THÁNG 11'!$C62="",'THÁNG 11'!$B62=""),"",'THÁNG 11'!$B62)</f>
        <v/>
      </c>
      <c r="C805" s="0" t="str">
        <f aca="false">IF('THÁNG 11'!$C62="","",'THÁNG 11'!$C62)</f>
        <v/>
      </c>
      <c r="D805" s="0" t="str">
        <f aca="false">IF('THÁNG 11'!$C62="","",'THÁNG 11'!$D62&amp;"")</f>
        <v/>
      </c>
      <c r="E805" s="0" t="str">
        <f aca="false">IF('THÁNG 11'!$C62="","",'THÁNG 11'!$E62&amp;"")</f>
        <v/>
      </c>
      <c r="F805" s="0" t="str">
        <f aca="false">IF('THÁNG 11'!$C62="","",'THÁNG 11'!$F62&amp;"")</f>
        <v/>
      </c>
      <c r="G805" s="0" t="str">
        <f aca="false">IF('THÁNG 11'!$C62="","",'THÁNG 11'!$G62&amp;"")</f>
        <v/>
      </c>
      <c r="H805" s="0" t="str">
        <f aca="false">IF('THÁNG 11'!$C62="","",'THÁNG 11'!$H62&amp;"")</f>
        <v/>
      </c>
      <c r="I805" s="0" t="str">
        <f aca="false">IF('THÁNG 11'!$C62="","",N('THÁNG 11'!$I62))</f>
        <v/>
      </c>
      <c r="J805" s="0" t="str">
        <f aca="false">IF('THÁNG 11'!$C62="","",N('THÁNG 11'!$L62))</f>
        <v/>
      </c>
      <c r="K805" s="0" t="str">
        <f aca="false">IF('THÁNG 11'!$C62="","",N('THÁNG 11'!$N62))</f>
        <v/>
      </c>
      <c r="L805" s="0" t="str">
        <f aca="false">IF('THÁNG 11'!$C62="","",N('THÁNG 11'!$O62))</f>
        <v/>
      </c>
      <c r="M805" s="0" t="str">
        <f aca="false">IF('THÁNG 11'!$C62="","",N('THÁNG 11'!$P62))</f>
        <v/>
      </c>
      <c r="N805" s="0" t="str">
        <f aca="false">IF('THÁNG 11'!$C62="","",N('THÁNG 11'!$Q62))</f>
        <v/>
      </c>
      <c r="O805" s="0" t="str">
        <f aca="false">IF('THÁNG 11'!$C62="","",N('THÁNG 11'!$R62))</f>
        <v/>
      </c>
      <c r="P805" s="0" t="str">
        <f aca="false">IF(OR('THÁNG 11'!$C62="",'THÁNG 11'!$T62=""),"",'THÁNG 11'!$T62)</f>
        <v/>
      </c>
      <c r="Q805" s="0" t="str">
        <f aca="false">IF(OR('THÁNG 11'!$C62="",'THÁNG 11'!$U62=""),"",'THÁNG 11'!$U62)</f>
        <v/>
      </c>
      <c r="R805" s="0" t="str">
        <f aca="false">IF('THÁNG 11'!$C62="","",'THÁNG 11'!$W62&amp;"")</f>
        <v/>
      </c>
      <c r="S805" s="0" t="str">
        <f aca="false">IF('THÁNG 11'!$C62="","",'THÁNG 11'!$S62&amp;"")</f>
        <v/>
      </c>
      <c r="T805" s="0" t="str">
        <f aca="false">IF(N($O805)&gt;0,COUNTIF($O$3:$O805,"&gt;0"),"")</f>
        <v/>
      </c>
      <c r="U805" s="0" t="str">
        <f aca="false">IF(AND(N($J805)&gt;0,N($K805)&gt;0),COUNTIFS($J$3:$J805,"&gt;0",$K$3:$K805,"&gt;0"),"")</f>
        <v/>
      </c>
      <c r="V805" s="0" t="str">
        <f aca="false">IF(AND(N($J805)&gt;0,N($K805)=0),COUNTIFS($J$3:$J805,"&gt;0",$K$3:$K805,"&lt;=0"),"")</f>
        <v/>
      </c>
      <c r="W805" s="0" t="str">
        <f aca="false">IF($C805="","",IF(COUNTIF($C$3:$C805,$C805)&gt;1,"",MAX($W$2:W804)+1))</f>
        <v/>
      </c>
      <c r="X805" s="0" t="str">
        <f aca="false">IF($H805="","",IF(COUNTIF($H$3:$H805,$H805)&gt;1,"",MAX($X$2:X804)+1))</f>
        <v/>
      </c>
      <c r="Y805" s="0" t="str">
        <f aca="false">IF(AND(N($M805)&gt;0,N($O805)&lt;=0),COUNTIFS($M$3:$M805,"&gt;0",$O$3:$O805,"&lt;=0"),"")</f>
        <v/>
      </c>
      <c r="Z805" s="30" t="n">
        <f aca="false">IF(OR('THÁNG 11'!$C62="",'THÁNG 11'!$B62=""),0,'THÁNG 11'!$B62)</f>
        <v>0</v>
      </c>
    </row>
    <row r="806" customFormat="false" ht="15" hidden="false" customHeight="false" outlineLevel="0" collapsed="false">
      <c r="A806" s="0" t="n">
        <v>11</v>
      </c>
      <c r="B806" s="29" t="str">
        <f aca="false">IF(OR('THÁNG 11'!$C63="",'THÁNG 11'!$B63=""),"",'THÁNG 11'!$B63)</f>
        <v/>
      </c>
      <c r="C806" s="0" t="str">
        <f aca="false">IF('THÁNG 11'!$C63="","",'THÁNG 11'!$C63)</f>
        <v/>
      </c>
      <c r="D806" s="0" t="str">
        <f aca="false">IF('THÁNG 11'!$C63="","",'THÁNG 11'!$D63&amp;"")</f>
        <v/>
      </c>
      <c r="E806" s="0" t="str">
        <f aca="false">IF('THÁNG 11'!$C63="","",'THÁNG 11'!$E63&amp;"")</f>
        <v/>
      </c>
      <c r="F806" s="0" t="str">
        <f aca="false">IF('THÁNG 11'!$C63="","",'THÁNG 11'!$F63&amp;"")</f>
        <v/>
      </c>
      <c r="G806" s="0" t="str">
        <f aca="false">IF('THÁNG 11'!$C63="","",'THÁNG 11'!$G63&amp;"")</f>
        <v/>
      </c>
      <c r="H806" s="0" t="str">
        <f aca="false">IF('THÁNG 11'!$C63="","",'THÁNG 11'!$H63&amp;"")</f>
        <v/>
      </c>
      <c r="I806" s="0" t="str">
        <f aca="false">IF('THÁNG 11'!$C63="","",N('THÁNG 11'!$I63))</f>
        <v/>
      </c>
      <c r="J806" s="0" t="str">
        <f aca="false">IF('THÁNG 11'!$C63="","",N('THÁNG 11'!$L63))</f>
        <v/>
      </c>
      <c r="K806" s="0" t="str">
        <f aca="false">IF('THÁNG 11'!$C63="","",N('THÁNG 11'!$N63))</f>
        <v/>
      </c>
      <c r="L806" s="0" t="str">
        <f aca="false">IF('THÁNG 11'!$C63="","",N('THÁNG 11'!$O63))</f>
        <v/>
      </c>
      <c r="M806" s="0" t="str">
        <f aca="false">IF('THÁNG 11'!$C63="","",N('THÁNG 11'!$P63))</f>
        <v/>
      </c>
      <c r="N806" s="0" t="str">
        <f aca="false">IF('THÁNG 11'!$C63="","",N('THÁNG 11'!$Q63))</f>
        <v/>
      </c>
      <c r="O806" s="0" t="str">
        <f aca="false">IF('THÁNG 11'!$C63="","",N('THÁNG 11'!$R63))</f>
        <v/>
      </c>
      <c r="P806" s="0" t="str">
        <f aca="false">IF(OR('THÁNG 11'!$C63="",'THÁNG 11'!$T63=""),"",'THÁNG 11'!$T63)</f>
        <v/>
      </c>
      <c r="Q806" s="0" t="str">
        <f aca="false">IF(OR('THÁNG 11'!$C63="",'THÁNG 11'!$U63=""),"",'THÁNG 11'!$U63)</f>
        <v/>
      </c>
      <c r="R806" s="0" t="str">
        <f aca="false">IF('THÁNG 11'!$C63="","",'THÁNG 11'!$W63&amp;"")</f>
        <v/>
      </c>
      <c r="S806" s="0" t="str">
        <f aca="false">IF('THÁNG 11'!$C63="","",'THÁNG 11'!$S63&amp;"")</f>
        <v/>
      </c>
      <c r="T806" s="0" t="str">
        <f aca="false">IF(N($O806)&gt;0,COUNTIF($O$3:$O806,"&gt;0"),"")</f>
        <v/>
      </c>
      <c r="U806" s="0" t="str">
        <f aca="false">IF(AND(N($J806)&gt;0,N($K806)&gt;0),COUNTIFS($J$3:$J806,"&gt;0",$K$3:$K806,"&gt;0"),"")</f>
        <v/>
      </c>
      <c r="V806" s="0" t="str">
        <f aca="false">IF(AND(N($J806)&gt;0,N($K806)=0),COUNTIFS($J$3:$J806,"&gt;0",$K$3:$K806,"&lt;=0"),"")</f>
        <v/>
      </c>
      <c r="W806" s="0" t="str">
        <f aca="false">IF($C806="","",IF(COUNTIF($C$3:$C806,$C806)&gt;1,"",MAX($W$2:W805)+1))</f>
        <v/>
      </c>
      <c r="X806" s="0" t="str">
        <f aca="false">IF($H806="","",IF(COUNTIF($H$3:$H806,$H806)&gt;1,"",MAX($X$2:X805)+1))</f>
        <v/>
      </c>
      <c r="Y806" s="0" t="str">
        <f aca="false">IF(AND(N($M806)&gt;0,N($O806)&lt;=0),COUNTIFS($M$3:$M806,"&gt;0",$O$3:$O806,"&lt;=0"),"")</f>
        <v/>
      </c>
      <c r="Z806" s="30" t="n">
        <f aca="false">IF(OR('THÁNG 11'!$C63="",'THÁNG 11'!$B63=""),0,'THÁNG 11'!$B63)</f>
        <v>0</v>
      </c>
    </row>
    <row r="807" customFormat="false" ht="15" hidden="false" customHeight="false" outlineLevel="0" collapsed="false">
      <c r="A807" s="0" t="n">
        <v>11</v>
      </c>
      <c r="B807" s="29" t="str">
        <f aca="false">IF(OR('THÁNG 11'!$C64="",'THÁNG 11'!$B64=""),"",'THÁNG 11'!$B64)</f>
        <v/>
      </c>
      <c r="C807" s="0" t="str">
        <f aca="false">IF('THÁNG 11'!$C64="","",'THÁNG 11'!$C64)</f>
        <v/>
      </c>
      <c r="D807" s="0" t="str">
        <f aca="false">IF('THÁNG 11'!$C64="","",'THÁNG 11'!$D64&amp;"")</f>
        <v/>
      </c>
      <c r="E807" s="0" t="str">
        <f aca="false">IF('THÁNG 11'!$C64="","",'THÁNG 11'!$E64&amp;"")</f>
        <v/>
      </c>
      <c r="F807" s="0" t="str">
        <f aca="false">IF('THÁNG 11'!$C64="","",'THÁNG 11'!$F64&amp;"")</f>
        <v/>
      </c>
      <c r="G807" s="0" t="str">
        <f aca="false">IF('THÁNG 11'!$C64="","",'THÁNG 11'!$G64&amp;"")</f>
        <v/>
      </c>
      <c r="H807" s="0" t="str">
        <f aca="false">IF('THÁNG 11'!$C64="","",'THÁNG 11'!$H64&amp;"")</f>
        <v/>
      </c>
      <c r="I807" s="0" t="str">
        <f aca="false">IF('THÁNG 11'!$C64="","",N('THÁNG 11'!$I64))</f>
        <v/>
      </c>
      <c r="J807" s="0" t="str">
        <f aca="false">IF('THÁNG 11'!$C64="","",N('THÁNG 11'!$L64))</f>
        <v/>
      </c>
      <c r="K807" s="0" t="str">
        <f aca="false">IF('THÁNG 11'!$C64="","",N('THÁNG 11'!$N64))</f>
        <v/>
      </c>
      <c r="L807" s="0" t="str">
        <f aca="false">IF('THÁNG 11'!$C64="","",N('THÁNG 11'!$O64))</f>
        <v/>
      </c>
      <c r="M807" s="0" t="str">
        <f aca="false">IF('THÁNG 11'!$C64="","",N('THÁNG 11'!$P64))</f>
        <v/>
      </c>
      <c r="N807" s="0" t="str">
        <f aca="false">IF('THÁNG 11'!$C64="","",N('THÁNG 11'!$Q64))</f>
        <v/>
      </c>
      <c r="O807" s="0" t="str">
        <f aca="false">IF('THÁNG 11'!$C64="","",N('THÁNG 11'!$R64))</f>
        <v/>
      </c>
      <c r="P807" s="0" t="str">
        <f aca="false">IF(OR('THÁNG 11'!$C64="",'THÁNG 11'!$T64=""),"",'THÁNG 11'!$T64)</f>
        <v/>
      </c>
      <c r="Q807" s="0" t="str">
        <f aca="false">IF(OR('THÁNG 11'!$C64="",'THÁNG 11'!$U64=""),"",'THÁNG 11'!$U64)</f>
        <v/>
      </c>
      <c r="R807" s="0" t="str">
        <f aca="false">IF('THÁNG 11'!$C64="","",'THÁNG 11'!$W64&amp;"")</f>
        <v/>
      </c>
      <c r="S807" s="0" t="str">
        <f aca="false">IF('THÁNG 11'!$C64="","",'THÁNG 11'!$S64&amp;"")</f>
        <v/>
      </c>
      <c r="T807" s="0" t="str">
        <f aca="false">IF(N($O807)&gt;0,COUNTIF($O$3:$O807,"&gt;0"),"")</f>
        <v/>
      </c>
      <c r="U807" s="0" t="str">
        <f aca="false">IF(AND(N($J807)&gt;0,N($K807)&gt;0),COUNTIFS($J$3:$J807,"&gt;0",$K$3:$K807,"&gt;0"),"")</f>
        <v/>
      </c>
      <c r="V807" s="0" t="str">
        <f aca="false">IF(AND(N($J807)&gt;0,N($K807)=0),COUNTIFS($J$3:$J807,"&gt;0",$K$3:$K807,"&lt;=0"),"")</f>
        <v/>
      </c>
      <c r="W807" s="0" t="str">
        <f aca="false">IF($C807="","",IF(COUNTIF($C$3:$C807,$C807)&gt;1,"",MAX($W$2:W806)+1))</f>
        <v/>
      </c>
      <c r="X807" s="0" t="str">
        <f aca="false">IF($H807="","",IF(COUNTIF($H$3:$H807,$H807)&gt;1,"",MAX($X$2:X806)+1))</f>
        <v/>
      </c>
      <c r="Y807" s="0" t="str">
        <f aca="false">IF(AND(N($M807)&gt;0,N($O807)&lt;=0),COUNTIFS($M$3:$M807,"&gt;0",$O$3:$O807,"&lt;=0"),"")</f>
        <v/>
      </c>
      <c r="Z807" s="30" t="n">
        <f aca="false">IF(OR('THÁNG 11'!$C64="",'THÁNG 11'!$B64=""),0,'THÁNG 11'!$B64)</f>
        <v>0</v>
      </c>
    </row>
    <row r="808" customFormat="false" ht="15" hidden="false" customHeight="false" outlineLevel="0" collapsed="false">
      <c r="A808" s="0" t="n">
        <v>11</v>
      </c>
      <c r="B808" s="29" t="str">
        <f aca="false">IF(OR('THÁNG 11'!$C65="",'THÁNG 11'!$B65=""),"",'THÁNG 11'!$B65)</f>
        <v/>
      </c>
      <c r="C808" s="0" t="str">
        <f aca="false">IF('THÁNG 11'!$C65="","",'THÁNG 11'!$C65)</f>
        <v/>
      </c>
      <c r="D808" s="0" t="str">
        <f aca="false">IF('THÁNG 11'!$C65="","",'THÁNG 11'!$D65&amp;"")</f>
        <v/>
      </c>
      <c r="E808" s="0" t="str">
        <f aca="false">IF('THÁNG 11'!$C65="","",'THÁNG 11'!$E65&amp;"")</f>
        <v/>
      </c>
      <c r="F808" s="0" t="str">
        <f aca="false">IF('THÁNG 11'!$C65="","",'THÁNG 11'!$F65&amp;"")</f>
        <v/>
      </c>
      <c r="G808" s="0" t="str">
        <f aca="false">IF('THÁNG 11'!$C65="","",'THÁNG 11'!$G65&amp;"")</f>
        <v/>
      </c>
      <c r="H808" s="0" t="str">
        <f aca="false">IF('THÁNG 11'!$C65="","",'THÁNG 11'!$H65&amp;"")</f>
        <v/>
      </c>
      <c r="I808" s="0" t="str">
        <f aca="false">IF('THÁNG 11'!$C65="","",N('THÁNG 11'!$I65))</f>
        <v/>
      </c>
      <c r="J808" s="0" t="str">
        <f aca="false">IF('THÁNG 11'!$C65="","",N('THÁNG 11'!$L65))</f>
        <v/>
      </c>
      <c r="K808" s="0" t="str">
        <f aca="false">IF('THÁNG 11'!$C65="","",N('THÁNG 11'!$N65))</f>
        <v/>
      </c>
      <c r="L808" s="0" t="str">
        <f aca="false">IF('THÁNG 11'!$C65="","",N('THÁNG 11'!$O65))</f>
        <v/>
      </c>
      <c r="M808" s="0" t="str">
        <f aca="false">IF('THÁNG 11'!$C65="","",N('THÁNG 11'!$P65))</f>
        <v/>
      </c>
      <c r="N808" s="0" t="str">
        <f aca="false">IF('THÁNG 11'!$C65="","",N('THÁNG 11'!$Q65))</f>
        <v/>
      </c>
      <c r="O808" s="0" t="str">
        <f aca="false">IF('THÁNG 11'!$C65="","",N('THÁNG 11'!$R65))</f>
        <v/>
      </c>
      <c r="P808" s="0" t="str">
        <f aca="false">IF(OR('THÁNG 11'!$C65="",'THÁNG 11'!$T65=""),"",'THÁNG 11'!$T65)</f>
        <v/>
      </c>
      <c r="Q808" s="0" t="str">
        <f aca="false">IF(OR('THÁNG 11'!$C65="",'THÁNG 11'!$U65=""),"",'THÁNG 11'!$U65)</f>
        <v/>
      </c>
      <c r="R808" s="0" t="str">
        <f aca="false">IF('THÁNG 11'!$C65="","",'THÁNG 11'!$W65&amp;"")</f>
        <v/>
      </c>
      <c r="S808" s="0" t="str">
        <f aca="false">IF('THÁNG 11'!$C65="","",'THÁNG 11'!$S65&amp;"")</f>
        <v/>
      </c>
      <c r="T808" s="0" t="str">
        <f aca="false">IF(N($O808)&gt;0,COUNTIF($O$3:$O808,"&gt;0"),"")</f>
        <v/>
      </c>
      <c r="U808" s="0" t="str">
        <f aca="false">IF(AND(N($J808)&gt;0,N($K808)&gt;0),COUNTIFS($J$3:$J808,"&gt;0",$K$3:$K808,"&gt;0"),"")</f>
        <v/>
      </c>
      <c r="V808" s="0" t="str">
        <f aca="false">IF(AND(N($J808)&gt;0,N($K808)=0),COUNTIFS($J$3:$J808,"&gt;0",$K$3:$K808,"&lt;=0"),"")</f>
        <v/>
      </c>
      <c r="W808" s="0" t="str">
        <f aca="false">IF($C808="","",IF(COUNTIF($C$3:$C808,$C808)&gt;1,"",MAX($W$2:W807)+1))</f>
        <v/>
      </c>
      <c r="X808" s="0" t="str">
        <f aca="false">IF($H808="","",IF(COUNTIF($H$3:$H808,$H808)&gt;1,"",MAX($X$2:X807)+1))</f>
        <v/>
      </c>
      <c r="Y808" s="0" t="str">
        <f aca="false">IF(AND(N($M808)&gt;0,N($O808)&lt;=0),COUNTIFS($M$3:$M808,"&gt;0",$O$3:$O808,"&lt;=0"),"")</f>
        <v/>
      </c>
      <c r="Z808" s="30" t="n">
        <f aca="false">IF(OR('THÁNG 11'!$C65="",'THÁNG 11'!$B65=""),0,'THÁNG 11'!$B65)</f>
        <v>0</v>
      </c>
    </row>
    <row r="809" customFormat="false" ht="15" hidden="false" customHeight="false" outlineLevel="0" collapsed="false">
      <c r="A809" s="0" t="n">
        <v>11</v>
      </c>
      <c r="B809" s="29" t="str">
        <f aca="false">IF(OR('THÁNG 11'!$C66="",'THÁNG 11'!$B66=""),"",'THÁNG 11'!$B66)</f>
        <v/>
      </c>
      <c r="C809" s="0" t="str">
        <f aca="false">IF('THÁNG 11'!$C66="","",'THÁNG 11'!$C66)</f>
        <v/>
      </c>
      <c r="D809" s="0" t="str">
        <f aca="false">IF('THÁNG 11'!$C66="","",'THÁNG 11'!$D66&amp;"")</f>
        <v/>
      </c>
      <c r="E809" s="0" t="str">
        <f aca="false">IF('THÁNG 11'!$C66="","",'THÁNG 11'!$E66&amp;"")</f>
        <v/>
      </c>
      <c r="F809" s="0" t="str">
        <f aca="false">IF('THÁNG 11'!$C66="","",'THÁNG 11'!$F66&amp;"")</f>
        <v/>
      </c>
      <c r="G809" s="0" t="str">
        <f aca="false">IF('THÁNG 11'!$C66="","",'THÁNG 11'!$G66&amp;"")</f>
        <v/>
      </c>
      <c r="H809" s="0" t="str">
        <f aca="false">IF('THÁNG 11'!$C66="","",'THÁNG 11'!$H66&amp;"")</f>
        <v/>
      </c>
      <c r="I809" s="0" t="str">
        <f aca="false">IF('THÁNG 11'!$C66="","",N('THÁNG 11'!$I66))</f>
        <v/>
      </c>
      <c r="J809" s="0" t="str">
        <f aca="false">IF('THÁNG 11'!$C66="","",N('THÁNG 11'!$L66))</f>
        <v/>
      </c>
      <c r="K809" s="0" t="str">
        <f aca="false">IF('THÁNG 11'!$C66="","",N('THÁNG 11'!$N66))</f>
        <v/>
      </c>
      <c r="L809" s="0" t="str">
        <f aca="false">IF('THÁNG 11'!$C66="","",N('THÁNG 11'!$O66))</f>
        <v/>
      </c>
      <c r="M809" s="0" t="str">
        <f aca="false">IF('THÁNG 11'!$C66="","",N('THÁNG 11'!$P66))</f>
        <v/>
      </c>
      <c r="N809" s="0" t="str">
        <f aca="false">IF('THÁNG 11'!$C66="","",N('THÁNG 11'!$Q66))</f>
        <v/>
      </c>
      <c r="O809" s="0" t="str">
        <f aca="false">IF('THÁNG 11'!$C66="","",N('THÁNG 11'!$R66))</f>
        <v/>
      </c>
      <c r="P809" s="0" t="str">
        <f aca="false">IF(OR('THÁNG 11'!$C66="",'THÁNG 11'!$T66=""),"",'THÁNG 11'!$T66)</f>
        <v/>
      </c>
      <c r="Q809" s="0" t="str">
        <f aca="false">IF(OR('THÁNG 11'!$C66="",'THÁNG 11'!$U66=""),"",'THÁNG 11'!$U66)</f>
        <v/>
      </c>
      <c r="R809" s="0" t="str">
        <f aca="false">IF('THÁNG 11'!$C66="","",'THÁNG 11'!$W66&amp;"")</f>
        <v/>
      </c>
      <c r="S809" s="0" t="str">
        <f aca="false">IF('THÁNG 11'!$C66="","",'THÁNG 11'!$S66&amp;"")</f>
        <v/>
      </c>
      <c r="T809" s="0" t="str">
        <f aca="false">IF(N($O809)&gt;0,COUNTIF($O$3:$O809,"&gt;0"),"")</f>
        <v/>
      </c>
      <c r="U809" s="0" t="str">
        <f aca="false">IF(AND(N($J809)&gt;0,N($K809)&gt;0),COUNTIFS($J$3:$J809,"&gt;0",$K$3:$K809,"&gt;0"),"")</f>
        <v/>
      </c>
      <c r="V809" s="0" t="str">
        <f aca="false">IF(AND(N($J809)&gt;0,N($K809)=0),COUNTIFS($J$3:$J809,"&gt;0",$K$3:$K809,"&lt;=0"),"")</f>
        <v/>
      </c>
      <c r="W809" s="0" t="str">
        <f aca="false">IF($C809="","",IF(COUNTIF($C$3:$C809,$C809)&gt;1,"",MAX($W$2:W808)+1))</f>
        <v/>
      </c>
      <c r="X809" s="0" t="str">
        <f aca="false">IF($H809="","",IF(COUNTIF($H$3:$H809,$H809)&gt;1,"",MAX($X$2:X808)+1))</f>
        <v/>
      </c>
      <c r="Y809" s="0" t="str">
        <f aca="false">IF(AND(N($M809)&gt;0,N($O809)&lt;=0),COUNTIFS($M$3:$M809,"&gt;0",$O$3:$O809,"&lt;=0"),"")</f>
        <v/>
      </c>
      <c r="Z809" s="30" t="n">
        <f aca="false">IF(OR('THÁNG 11'!$C66="",'THÁNG 11'!$B66=""),0,'THÁNG 11'!$B66)</f>
        <v>0</v>
      </c>
    </row>
    <row r="810" customFormat="false" ht="15" hidden="false" customHeight="false" outlineLevel="0" collapsed="false">
      <c r="A810" s="0" t="n">
        <v>11</v>
      </c>
      <c r="B810" s="29" t="str">
        <f aca="false">IF(OR('THÁNG 11'!$C67="",'THÁNG 11'!$B67=""),"",'THÁNG 11'!$B67)</f>
        <v/>
      </c>
      <c r="C810" s="0" t="str">
        <f aca="false">IF('THÁNG 11'!$C67="","",'THÁNG 11'!$C67)</f>
        <v/>
      </c>
      <c r="D810" s="0" t="str">
        <f aca="false">IF('THÁNG 11'!$C67="","",'THÁNG 11'!$D67&amp;"")</f>
        <v/>
      </c>
      <c r="E810" s="0" t="str">
        <f aca="false">IF('THÁNG 11'!$C67="","",'THÁNG 11'!$E67&amp;"")</f>
        <v/>
      </c>
      <c r="F810" s="0" t="str">
        <f aca="false">IF('THÁNG 11'!$C67="","",'THÁNG 11'!$F67&amp;"")</f>
        <v/>
      </c>
      <c r="G810" s="0" t="str">
        <f aca="false">IF('THÁNG 11'!$C67="","",'THÁNG 11'!$G67&amp;"")</f>
        <v/>
      </c>
      <c r="H810" s="0" t="str">
        <f aca="false">IF('THÁNG 11'!$C67="","",'THÁNG 11'!$H67&amp;"")</f>
        <v/>
      </c>
      <c r="I810" s="0" t="str">
        <f aca="false">IF('THÁNG 11'!$C67="","",N('THÁNG 11'!$I67))</f>
        <v/>
      </c>
      <c r="J810" s="0" t="str">
        <f aca="false">IF('THÁNG 11'!$C67="","",N('THÁNG 11'!$L67))</f>
        <v/>
      </c>
      <c r="K810" s="0" t="str">
        <f aca="false">IF('THÁNG 11'!$C67="","",N('THÁNG 11'!$N67))</f>
        <v/>
      </c>
      <c r="L810" s="0" t="str">
        <f aca="false">IF('THÁNG 11'!$C67="","",N('THÁNG 11'!$O67))</f>
        <v/>
      </c>
      <c r="M810" s="0" t="str">
        <f aca="false">IF('THÁNG 11'!$C67="","",N('THÁNG 11'!$P67))</f>
        <v/>
      </c>
      <c r="N810" s="0" t="str">
        <f aca="false">IF('THÁNG 11'!$C67="","",N('THÁNG 11'!$Q67))</f>
        <v/>
      </c>
      <c r="O810" s="0" t="str">
        <f aca="false">IF('THÁNG 11'!$C67="","",N('THÁNG 11'!$R67))</f>
        <v/>
      </c>
      <c r="P810" s="0" t="str">
        <f aca="false">IF(OR('THÁNG 11'!$C67="",'THÁNG 11'!$T67=""),"",'THÁNG 11'!$T67)</f>
        <v/>
      </c>
      <c r="Q810" s="0" t="str">
        <f aca="false">IF(OR('THÁNG 11'!$C67="",'THÁNG 11'!$U67=""),"",'THÁNG 11'!$U67)</f>
        <v/>
      </c>
      <c r="R810" s="0" t="str">
        <f aca="false">IF('THÁNG 11'!$C67="","",'THÁNG 11'!$W67&amp;"")</f>
        <v/>
      </c>
      <c r="S810" s="0" t="str">
        <f aca="false">IF('THÁNG 11'!$C67="","",'THÁNG 11'!$S67&amp;"")</f>
        <v/>
      </c>
      <c r="T810" s="0" t="str">
        <f aca="false">IF(N($O810)&gt;0,COUNTIF($O$3:$O810,"&gt;0"),"")</f>
        <v/>
      </c>
      <c r="U810" s="0" t="str">
        <f aca="false">IF(AND(N($J810)&gt;0,N($K810)&gt;0),COUNTIFS($J$3:$J810,"&gt;0",$K$3:$K810,"&gt;0"),"")</f>
        <v/>
      </c>
      <c r="V810" s="0" t="str">
        <f aca="false">IF(AND(N($J810)&gt;0,N($K810)=0),COUNTIFS($J$3:$J810,"&gt;0",$K$3:$K810,"&lt;=0"),"")</f>
        <v/>
      </c>
      <c r="W810" s="0" t="str">
        <f aca="false">IF($C810="","",IF(COUNTIF($C$3:$C810,$C810)&gt;1,"",MAX($W$2:W809)+1))</f>
        <v/>
      </c>
      <c r="X810" s="0" t="str">
        <f aca="false">IF($H810="","",IF(COUNTIF($H$3:$H810,$H810)&gt;1,"",MAX($X$2:X809)+1))</f>
        <v/>
      </c>
      <c r="Y810" s="0" t="str">
        <f aca="false">IF(AND(N($M810)&gt;0,N($O810)&lt;=0),COUNTIFS($M$3:$M810,"&gt;0",$O$3:$O810,"&lt;=0"),"")</f>
        <v/>
      </c>
      <c r="Z810" s="30" t="n">
        <f aca="false">IF(OR('THÁNG 11'!$C67="",'THÁNG 11'!$B67=""),0,'THÁNG 11'!$B67)</f>
        <v>0</v>
      </c>
    </row>
    <row r="811" customFormat="false" ht="15" hidden="false" customHeight="false" outlineLevel="0" collapsed="false">
      <c r="A811" s="0" t="n">
        <v>11</v>
      </c>
      <c r="B811" s="29" t="str">
        <f aca="false">IF(OR('THÁNG 11'!$C68="",'THÁNG 11'!$B68=""),"",'THÁNG 11'!$B68)</f>
        <v/>
      </c>
      <c r="C811" s="0" t="str">
        <f aca="false">IF('THÁNG 11'!$C68="","",'THÁNG 11'!$C68)</f>
        <v/>
      </c>
      <c r="D811" s="0" t="str">
        <f aca="false">IF('THÁNG 11'!$C68="","",'THÁNG 11'!$D68&amp;"")</f>
        <v/>
      </c>
      <c r="E811" s="0" t="str">
        <f aca="false">IF('THÁNG 11'!$C68="","",'THÁNG 11'!$E68&amp;"")</f>
        <v/>
      </c>
      <c r="F811" s="0" t="str">
        <f aca="false">IF('THÁNG 11'!$C68="","",'THÁNG 11'!$F68&amp;"")</f>
        <v/>
      </c>
      <c r="G811" s="0" t="str">
        <f aca="false">IF('THÁNG 11'!$C68="","",'THÁNG 11'!$G68&amp;"")</f>
        <v/>
      </c>
      <c r="H811" s="0" t="str">
        <f aca="false">IF('THÁNG 11'!$C68="","",'THÁNG 11'!$H68&amp;"")</f>
        <v/>
      </c>
      <c r="I811" s="0" t="str">
        <f aca="false">IF('THÁNG 11'!$C68="","",N('THÁNG 11'!$I68))</f>
        <v/>
      </c>
      <c r="J811" s="0" t="str">
        <f aca="false">IF('THÁNG 11'!$C68="","",N('THÁNG 11'!$L68))</f>
        <v/>
      </c>
      <c r="K811" s="0" t="str">
        <f aca="false">IF('THÁNG 11'!$C68="","",N('THÁNG 11'!$N68))</f>
        <v/>
      </c>
      <c r="L811" s="0" t="str">
        <f aca="false">IF('THÁNG 11'!$C68="","",N('THÁNG 11'!$O68))</f>
        <v/>
      </c>
      <c r="M811" s="0" t="str">
        <f aca="false">IF('THÁNG 11'!$C68="","",N('THÁNG 11'!$P68))</f>
        <v/>
      </c>
      <c r="N811" s="0" t="str">
        <f aca="false">IF('THÁNG 11'!$C68="","",N('THÁNG 11'!$Q68))</f>
        <v/>
      </c>
      <c r="O811" s="0" t="str">
        <f aca="false">IF('THÁNG 11'!$C68="","",N('THÁNG 11'!$R68))</f>
        <v/>
      </c>
      <c r="P811" s="0" t="str">
        <f aca="false">IF(OR('THÁNG 11'!$C68="",'THÁNG 11'!$T68=""),"",'THÁNG 11'!$T68)</f>
        <v/>
      </c>
      <c r="Q811" s="0" t="str">
        <f aca="false">IF(OR('THÁNG 11'!$C68="",'THÁNG 11'!$U68=""),"",'THÁNG 11'!$U68)</f>
        <v/>
      </c>
      <c r="R811" s="0" t="str">
        <f aca="false">IF('THÁNG 11'!$C68="","",'THÁNG 11'!$W68&amp;"")</f>
        <v/>
      </c>
      <c r="S811" s="0" t="str">
        <f aca="false">IF('THÁNG 11'!$C68="","",'THÁNG 11'!$S68&amp;"")</f>
        <v/>
      </c>
      <c r="T811" s="0" t="str">
        <f aca="false">IF(N($O811)&gt;0,COUNTIF($O$3:$O811,"&gt;0"),"")</f>
        <v/>
      </c>
      <c r="U811" s="0" t="str">
        <f aca="false">IF(AND(N($J811)&gt;0,N($K811)&gt;0),COUNTIFS($J$3:$J811,"&gt;0",$K$3:$K811,"&gt;0"),"")</f>
        <v/>
      </c>
      <c r="V811" s="0" t="str">
        <f aca="false">IF(AND(N($J811)&gt;0,N($K811)=0),COUNTIFS($J$3:$J811,"&gt;0",$K$3:$K811,"&lt;=0"),"")</f>
        <v/>
      </c>
      <c r="W811" s="0" t="str">
        <f aca="false">IF($C811="","",IF(COUNTIF($C$3:$C811,$C811)&gt;1,"",MAX($W$2:W810)+1))</f>
        <v/>
      </c>
      <c r="X811" s="0" t="str">
        <f aca="false">IF($H811="","",IF(COUNTIF($H$3:$H811,$H811)&gt;1,"",MAX($X$2:X810)+1))</f>
        <v/>
      </c>
      <c r="Y811" s="0" t="str">
        <f aca="false">IF(AND(N($M811)&gt;0,N($O811)&lt;=0),COUNTIFS($M$3:$M811,"&gt;0",$O$3:$O811,"&lt;=0"),"")</f>
        <v/>
      </c>
      <c r="Z811" s="30" t="n">
        <f aca="false">IF(OR('THÁNG 11'!$C68="",'THÁNG 11'!$B68=""),0,'THÁNG 11'!$B68)</f>
        <v>0</v>
      </c>
    </row>
    <row r="812" customFormat="false" ht="15" hidden="false" customHeight="false" outlineLevel="0" collapsed="false">
      <c r="A812" s="0" t="n">
        <v>11</v>
      </c>
      <c r="B812" s="29" t="str">
        <f aca="false">IF(OR('THÁNG 11'!$C69="",'THÁNG 11'!$B69=""),"",'THÁNG 11'!$B69)</f>
        <v/>
      </c>
      <c r="C812" s="0" t="str">
        <f aca="false">IF('THÁNG 11'!$C69="","",'THÁNG 11'!$C69)</f>
        <v/>
      </c>
      <c r="D812" s="0" t="str">
        <f aca="false">IF('THÁNG 11'!$C69="","",'THÁNG 11'!$D69&amp;"")</f>
        <v/>
      </c>
      <c r="E812" s="0" t="str">
        <f aca="false">IF('THÁNG 11'!$C69="","",'THÁNG 11'!$E69&amp;"")</f>
        <v/>
      </c>
      <c r="F812" s="0" t="str">
        <f aca="false">IF('THÁNG 11'!$C69="","",'THÁNG 11'!$F69&amp;"")</f>
        <v/>
      </c>
      <c r="G812" s="0" t="str">
        <f aca="false">IF('THÁNG 11'!$C69="","",'THÁNG 11'!$G69&amp;"")</f>
        <v/>
      </c>
      <c r="H812" s="0" t="str">
        <f aca="false">IF('THÁNG 11'!$C69="","",'THÁNG 11'!$H69&amp;"")</f>
        <v/>
      </c>
      <c r="I812" s="0" t="str">
        <f aca="false">IF('THÁNG 11'!$C69="","",N('THÁNG 11'!$I69))</f>
        <v/>
      </c>
      <c r="J812" s="0" t="str">
        <f aca="false">IF('THÁNG 11'!$C69="","",N('THÁNG 11'!$L69))</f>
        <v/>
      </c>
      <c r="K812" s="0" t="str">
        <f aca="false">IF('THÁNG 11'!$C69="","",N('THÁNG 11'!$N69))</f>
        <v/>
      </c>
      <c r="L812" s="0" t="str">
        <f aca="false">IF('THÁNG 11'!$C69="","",N('THÁNG 11'!$O69))</f>
        <v/>
      </c>
      <c r="M812" s="0" t="str">
        <f aca="false">IF('THÁNG 11'!$C69="","",N('THÁNG 11'!$P69))</f>
        <v/>
      </c>
      <c r="N812" s="0" t="str">
        <f aca="false">IF('THÁNG 11'!$C69="","",N('THÁNG 11'!$Q69))</f>
        <v/>
      </c>
      <c r="O812" s="0" t="str">
        <f aca="false">IF('THÁNG 11'!$C69="","",N('THÁNG 11'!$R69))</f>
        <v/>
      </c>
      <c r="P812" s="0" t="str">
        <f aca="false">IF(OR('THÁNG 11'!$C69="",'THÁNG 11'!$T69=""),"",'THÁNG 11'!$T69)</f>
        <v/>
      </c>
      <c r="Q812" s="0" t="str">
        <f aca="false">IF(OR('THÁNG 11'!$C69="",'THÁNG 11'!$U69=""),"",'THÁNG 11'!$U69)</f>
        <v/>
      </c>
      <c r="R812" s="0" t="str">
        <f aca="false">IF('THÁNG 11'!$C69="","",'THÁNG 11'!$W69&amp;"")</f>
        <v/>
      </c>
      <c r="S812" s="0" t="str">
        <f aca="false">IF('THÁNG 11'!$C69="","",'THÁNG 11'!$S69&amp;"")</f>
        <v/>
      </c>
      <c r="T812" s="0" t="str">
        <f aca="false">IF(N($O812)&gt;0,COUNTIF($O$3:$O812,"&gt;0"),"")</f>
        <v/>
      </c>
      <c r="U812" s="0" t="str">
        <f aca="false">IF(AND(N($J812)&gt;0,N($K812)&gt;0),COUNTIFS($J$3:$J812,"&gt;0",$K$3:$K812,"&gt;0"),"")</f>
        <v/>
      </c>
      <c r="V812" s="0" t="str">
        <f aca="false">IF(AND(N($J812)&gt;0,N($K812)=0),COUNTIFS($J$3:$J812,"&gt;0",$K$3:$K812,"&lt;=0"),"")</f>
        <v/>
      </c>
      <c r="W812" s="0" t="str">
        <f aca="false">IF($C812="","",IF(COUNTIF($C$3:$C812,$C812)&gt;1,"",MAX($W$2:W811)+1))</f>
        <v/>
      </c>
      <c r="X812" s="0" t="str">
        <f aca="false">IF($H812="","",IF(COUNTIF($H$3:$H812,$H812)&gt;1,"",MAX($X$2:X811)+1))</f>
        <v/>
      </c>
      <c r="Y812" s="0" t="str">
        <f aca="false">IF(AND(N($M812)&gt;0,N($O812)&lt;=0),COUNTIFS($M$3:$M812,"&gt;0",$O$3:$O812,"&lt;=0"),"")</f>
        <v/>
      </c>
      <c r="Z812" s="30" t="n">
        <f aca="false">IF(OR('THÁNG 11'!$C69="",'THÁNG 11'!$B69=""),0,'THÁNG 11'!$B69)</f>
        <v>0</v>
      </c>
    </row>
    <row r="813" customFormat="false" ht="15" hidden="false" customHeight="false" outlineLevel="0" collapsed="false">
      <c r="A813" s="0" t="n">
        <v>11</v>
      </c>
      <c r="B813" s="29" t="str">
        <f aca="false">IF(OR('THÁNG 11'!$C70="",'THÁNG 11'!$B70=""),"",'THÁNG 11'!$B70)</f>
        <v/>
      </c>
      <c r="C813" s="0" t="str">
        <f aca="false">IF('THÁNG 11'!$C70="","",'THÁNG 11'!$C70)</f>
        <v/>
      </c>
      <c r="D813" s="0" t="str">
        <f aca="false">IF('THÁNG 11'!$C70="","",'THÁNG 11'!$D70&amp;"")</f>
        <v/>
      </c>
      <c r="E813" s="0" t="str">
        <f aca="false">IF('THÁNG 11'!$C70="","",'THÁNG 11'!$E70&amp;"")</f>
        <v/>
      </c>
      <c r="F813" s="0" t="str">
        <f aca="false">IF('THÁNG 11'!$C70="","",'THÁNG 11'!$F70&amp;"")</f>
        <v/>
      </c>
      <c r="G813" s="0" t="str">
        <f aca="false">IF('THÁNG 11'!$C70="","",'THÁNG 11'!$G70&amp;"")</f>
        <v/>
      </c>
      <c r="H813" s="0" t="str">
        <f aca="false">IF('THÁNG 11'!$C70="","",'THÁNG 11'!$H70&amp;"")</f>
        <v/>
      </c>
      <c r="I813" s="0" t="str">
        <f aca="false">IF('THÁNG 11'!$C70="","",N('THÁNG 11'!$I70))</f>
        <v/>
      </c>
      <c r="J813" s="0" t="str">
        <f aca="false">IF('THÁNG 11'!$C70="","",N('THÁNG 11'!$L70))</f>
        <v/>
      </c>
      <c r="K813" s="0" t="str">
        <f aca="false">IF('THÁNG 11'!$C70="","",N('THÁNG 11'!$N70))</f>
        <v/>
      </c>
      <c r="L813" s="0" t="str">
        <f aca="false">IF('THÁNG 11'!$C70="","",N('THÁNG 11'!$O70))</f>
        <v/>
      </c>
      <c r="M813" s="0" t="str">
        <f aca="false">IF('THÁNG 11'!$C70="","",N('THÁNG 11'!$P70))</f>
        <v/>
      </c>
      <c r="N813" s="0" t="str">
        <f aca="false">IF('THÁNG 11'!$C70="","",N('THÁNG 11'!$Q70))</f>
        <v/>
      </c>
      <c r="O813" s="0" t="str">
        <f aca="false">IF('THÁNG 11'!$C70="","",N('THÁNG 11'!$R70))</f>
        <v/>
      </c>
      <c r="P813" s="0" t="str">
        <f aca="false">IF(OR('THÁNG 11'!$C70="",'THÁNG 11'!$T70=""),"",'THÁNG 11'!$T70)</f>
        <v/>
      </c>
      <c r="Q813" s="0" t="str">
        <f aca="false">IF(OR('THÁNG 11'!$C70="",'THÁNG 11'!$U70=""),"",'THÁNG 11'!$U70)</f>
        <v/>
      </c>
      <c r="R813" s="0" t="str">
        <f aca="false">IF('THÁNG 11'!$C70="","",'THÁNG 11'!$W70&amp;"")</f>
        <v/>
      </c>
      <c r="S813" s="0" t="str">
        <f aca="false">IF('THÁNG 11'!$C70="","",'THÁNG 11'!$S70&amp;"")</f>
        <v/>
      </c>
      <c r="T813" s="0" t="str">
        <f aca="false">IF(N($O813)&gt;0,COUNTIF($O$3:$O813,"&gt;0"),"")</f>
        <v/>
      </c>
      <c r="U813" s="0" t="str">
        <f aca="false">IF(AND(N($J813)&gt;0,N($K813)&gt;0),COUNTIFS($J$3:$J813,"&gt;0",$K$3:$K813,"&gt;0"),"")</f>
        <v/>
      </c>
      <c r="V813" s="0" t="str">
        <f aca="false">IF(AND(N($J813)&gt;0,N($K813)=0),COUNTIFS($J$3:$J813,"&gt;0",$K$3:$K813,"&lt;=0"),"")</f>
        <v/>
      </c>
      <c r="W813" s="0" t="str">
        <f aca="false">IF($C813="","",IF(COUNTIF($C$3:$C813,$C813)&gt;1,"",MAX($W$2:W812)+1))</f>
        <v/>
      </c>
      <c r="X813" s="0" t="str">
        <f aca="false">IF($H813="","",IF(COUNTIF($H$3:$H813,$H813)&gt;1,"",MAX($X$2:X812)+1))</f>
        <v/>
      </c>
      <c r="Y813" s="0" t="str">
        <f aca="false">IF(AND(N($M813)&gt;0,N($O813)&lt;=0),COUNTIFS($M$3:$M813,"&gt;0",$O$3:$O813,"&lt;=0"),"")</f>
        <v/>
      </c>
      <c r="Z813" s="30" t="n">
        <f aca="false">IF(OR('THÁNG 11'!$C70="",'THÁNG 11'!$B70=""),0,'THÁNG 11'!$B70)</f>
        <v>0</v>
      </c>
    </row>
    <row r="814" customFormat="false" ht="15" hidden="false" customHeight="false" outlineLevel="0" collapsed="false">
      <c r="A814" s="0" t="n">
        <v>11</v>
      </c>
      <c r="B814" s="29" t="str">
        <f aca="false">IF(OR('THÁNG 11'!$C71="",'THÁNG 11'!$B71=""),"",'THÁNG 11'!$B71)</f>
        <v/>
      </c>
      <c r="C814" s="0" t="str">
        <f aca="false">IF('THÁNG 11'!$C71="","",'THÁNG 11'!$C71)</f>
        <v/>
      </c>
      <c r="D814" s="0" t="str">
        <f aca="false">IF('THÁNG 11'!$C71="","",'THÁNG 11'!$D71&amp;"")</f>
        <v/>
      </c>
      <c r="E814" s="0" t="str">
        <f aca="false">IF('THÁNG 11'!$C71="","",'THÁNG 11'!$E71&amp;"")</f>
        <v/>
      </c>
      <c r="F814" s="0" t="str">
        <f aca="false">IF('THÁNG 11'!$C71="","",'THÁNG 11'!$F71&amp;"")</f>
        <v/>
      </c>
      <c r="G814" s="0" t="str">
        <f aca="false">IF('THÁNG 11'!$C71="","",'THÁNG 11'!$G71&amp;"")</f>
        <v/>
      </c>
      <c r="H814" s="0" t="str">
        <f aca="false">IF('THÁNG 11'!$C71="","",'THÁNG 11'!$H71&amp;"")</f>
        <v/>
      </c>
      <c r="I814" s="0" t="str">
        <f aca="false">IF('THÁNG 11'!$C71="","",N('THÁNG 11'!$I71))</f>
        <v/>
      </c>
      <c r="J814" s="0" t="str">
        <f aca="false">IF('THÁNG 11'!$C71="","",N('THÁNG 11'!$L71))</f>
        <v/>
      </c>
      <c r="K814" s="0" t="str">
        <f aca="false">IF('THÁNG 11'!$C71="","",N('THÁNG 11'!$N71))</f>
        <v/>
      </c>
      <c r="L814" s="0" t="str">
        <f aca="false">IF('THÁNG 11'!$C71="","",N('THÁNG 11'!$O71))</f>
        <v/>
      </c>
      <c r="M814" s="0" t="str">
        <f aca="false">IF('THÁNG 11'!$C71="","",N('THÁNG 11'!$P71))</f>
        <v/>
      </c>
      <c r="N814" s="0" t="str">
        <f aca="false">IF('THÁNG 11'!$C71="","",N('THÁNG 11'!$Q71))</f>
        <v/>
      </c>
      <c r="O814" s="0" t="str">
        <f aca="false">IF('THÁNG 11'!$C71="","",N('THÁNG 11'!$R71))</f>
        <v/>
      </c>
      <c r="P814" s="0" t="str">
        <f aca="false">IF(OR('THÁNG 11'!$C71="",'THÁNG 11'!$T71=""),"",'THÁNG 11'!$T71)</f>
        <v/>
      </c>
      <c r="Q814" s="0" t="str">
        <f aca="false">IF(OR('THÁNG 11'!$C71="",'THÁNG 11'!$U71=""),"",'THÁNG 11'!$U71)</f>
        <v/>
      </c>
      <c r="R814" s="0" t="str">
        <f aca="false">IF('THÁNG 11'!$C71="","",'THÁNG 11'!$W71&amp;"")</f>
        <v/>
      </c>
      <c r="S814" s="0" t="str">
        <f aca="false">IF('THÁNG 11'!$C71="","",'THÁNG 11'!$S71&amp;"")</f>
        <v/>
      </c>
      <c r="T814" s="0" t="str">
        <f aca="false">IF(N($O814)&gt;0,COUNTIF($O$3:$O814,"&gt;0"),"")</f>
        <v/>
      </c>
      <c r="U814" s="0" t="str">
        <f aca="false">IF(AND(N($J814)&gt;0,N($K814)&gt;0),COUNTIFS($J$3:$J814,"&gt;0",$K$3:$K814,"&gt;0"),"")</f>
        <v/>
      </c>
      <c r="V814" s="0" t="str">
        <f aca="false">IF(AND(N($J814)&gt;0,N($K814)=0),COUNTIFS($J$3:$J814,"&gt;0",$K$3:$K814,"&lt;=0"),"")</f>
        <v/>
      </c>
      <c r="W814" s="0" t="str">
        <f aca="false">IF($C814="","",IF(COUNTIF($C$3:$C814,$C814)&gt;1,"",MAX($W$2:W813)+1))</f>
        <v/>
      </c>
      <c r="X814" s="0" t="str">
        <f aca="false">IF($H814="","",IF(COUNTIF($H$3:$H814,$H814)&gt;1,"",MAX($X$2:X813)+1))</f>
        <v/>
      </c>
      <c r="Y814" s="0" t="str">
        <f aca="false">IF(AND(N($M814)&gt;0,N($O814)&lt;=0),COUNTIFS($M$3:$M814,"&gt;0",$O$3:$O814,"&lt;=0"),"")</f>
        <v/>
      </c>
      <c r="Z814" s="30" t="n">
        <f aca="false">IF(OR('THÁNG 11'!$C71="",'THÁNG 11'!$B71=""),0,'THÁNG 11'!$B71)</f>
        <v>0</v>
      </c>
    </row>
    <row r="815" customFormat="false" ht="15" hidden="false" customHeight="false" outlineLevel="0" collapsed="false">
      <c r="A815" s="0" t="n">
        <v>11</v>
      </c>
      <c r="B815" s="29" t="str">
        <f aca="false">IF(OR('THÁNG 11'!$C72="",'THÁNG 11'!$B72=""),"",'THÁNG 11'!$B72)</f>
        <v/>
      </c>
      <c r="C815" s="0" t="str">
        <f aca="false">IF('THÁNG 11'!$C72="","",'THÁNG 11'!$C72)</f>
        <v/>
      </c>
      <c r="D815" s="0" t="str">
        <f aca="false">IF('THÁNG 11'!$C72="","",'THÁNG 11'!$D72&amp;"")</f>
        <v/>
      </c>
      <c r="E815" s="0" t="str">
        <f aca="false">IF('THÁNG 11'!$C72="","",'THÁNG 11'!$E72&amp;"")</f>
        <v/>
      </c>
      <c r="F815" s="0" t="str">
        <f aca="false">IF('THÁNG 11'!$C72="","",'THÁNG 11'!$F72&amp;"")</f>
        <v/>
      </c>
      <c r="G815" s="0" t="str">
        <f aca="false">IF('THÁNG 11'!$C72="","",'THÁNG 11'!$G72&amp;"")</f>
        <v/>
      </c>
      <c r="H815" s="0" t="str">
        <f aca="false">IF('THÁNG 11'!$C72="","",'THÁNG 11'!$H72&amp;"")</f>
        <v/>
      </c>
      <c r="I815" s="0" t="str">
        <f aca="false">IF('THÁNG 11'!$C72="","",N('THÁNG 11'!$I72))</f>
        <v/>
      </c>
      <c r="J815" s="0" t="str">
        <f aca="false">IF('THÁNG 11'!$C72="","",N('THÁNG 11'!$L72))</f>
        <v/>
      </c>
      <c r="K815" s="0" t="str">
        <f aca="false">IF('THÁNG 11'!$C72="","",N('THÁNG 11'!$N72))</f>
        <v/>
      </c>
      <c r="L815" s="0" t="str">
        <f aca="false">IF('THÁNG 11'!$C72="","",N('THÁNG 11'!$O72))</f>
        <v/>
      </c>
      <c r="M815" s="0" t="str">
        <f aca="false">IF('THÁNG 11'!$C72="","",N('THÁNG 11'!$P72))</f>
        <v/>
      </c>
      <c r="N815" s="0" t="str">
        <f aca="false">IF('THÁNG 11'!$C72="","",N('THÁNG 11'!$Q72))</f>
        <v/>
      </c>
      <c r="O815" s="0" t="str">
        <f aca="false">IF('THÁNG 11'!$C72="","",N('THÁNG 11'!$R72))</f>
        <v/>
      </c>
      <c r="P815" s="0" t="str">
        <f aca="false">IF(OR('THÁNG 11'!$C72="",'THÁNG 11'!$T72=""),"",'THÁNG 11'!$T72)</f>
        <v/>
      </c>
      <c r="Q815" s="0" t="str">
        <f aca="false">IF(OR('THÁNG 11'!$C72="",'THÁNG 11'!$U72=""),"",'THÁNG 11'!$U72)</f>
        <v/>
      </c>
      <c r="R815" s="0" t="str">
        <f aca="false">IF('THÁNG 11'!$C72="","",'THÁNG 11'!$W72&amp;"")</f>
        <v/>
      </c>
      <c r="S815" s="0" t="str">
        <f aca="false">IF('THÁNG 11'!$C72="","",'THÁNG 11'!$S72&amp;"")</f>
        <v/>
      </c>
      <c r="T815" s="0" t="str">
        <f aca="false">IF(N($O815)&gt;0,COUNTIF($O$3:$O815,"&gt;0"),"")</f>
        <v/>
      </c>
      <c r="U815" s="0" t="str">
        <f aca="false">IF(AND(N($J815)&gt;0,N($K815)&gt;0),COUNTIFS($J$3:$J815,"&gt;0",$K$3:$K815,"&gt;0"),"")</f>
        <v/>
      </c>
      <c r="V815" s="0" t="str">
        <f aca="false">IF(AND(N($J815)&gt;0,N($K815)=0),COUNTIFS($J$3:$J815,"&gt;0",$K$3:$K815,"&lt;=0"),"")</f>
        <v/>
      </c>
      <c r="W815" s="0" t="str">
        <f aca="false">IF($C815="","",IF(COUNTIF($C$3:$C815,$C815)&gt;1,"",MAX($W$2:W814)+1))</f>
        <v/>
      </c>
      <c r="X815" s="0" t="str">
        <f aca="false">IF($H815="","",IF(COUNTIF($H$3:$H815,$H815)&gt;1,"",MAX($X$2:X814)+1))</f>
        <v/>
      </c>
      <c r="Y815" s="0" t="str">
        <f aca="false">IF(AND(N($M815)&gt;0,N($O815)&lt;=0),COUNTIFS($M$3:$M815,"&gt;0",$O$3:$O815,"&lt;=0"),"")</f>
        <v/>
      </c>
      <c r="Z815" s="30" t="n">
        <f aca="false">IF(OR('THÁNG 11'!$C72="",'THÁNG 11'!$B72=""),0,'THÁNG 11'!$B72)</f>
        <v>0</v>
      </c>
    </row>
    <row r="816" customFormat="false" ht="15" hidden="false" customHeight="false" outlineLevel="0" collapsed="false">
      <c r="A816" s="0" t="n">
        <v>11</v>
      </c>
      <c r="B816" s="29" t="str">
        <f aca="false">IF(OR('THÁNG 11'!$C73="",'THÁNG 11'!$B73=""),"",'THÁNG 11'!$B73)</f>
        <v/>
      </c>
      <c r="C816" s="0" t="str">
        <f aca="false">IF('THÁNG 11'!$C73="","",'THÁNG 11'!$C73)</f>
        <v/>
      </c>
      <c r="D816" s="0" t="str">
        <f aca="false">IF('THÁNG 11'!$C73="","",'THÁNG 11'!$D73&amp;"")</f>
        <v/>
      </c>
      <c r="E816" s="0" t="str">
        <f aca="false">IF('THÁNG 11'!$C73="","",'THÁNG 11'!$E73&amp;"")</f>
        <v/>
      </c>
      <c r="F816" s="0" t="str">
        <f aca="false">IF('THÁNG 11'!$C73="","",'THÁNG 11'!$F73&amp;"")</f>
        <v/>
      </c>
      <c r="G816" s="0" t="str">
        <f aca="false">IF('THÁNG 11'!$C73="","",'THÁNG 11'!$G73&amp;"")</f>
        <v/>
      </c>
      <c r="H816" s="0" t="str">
        <f aca="false">IF('THÁNG 11'!$C73="","",'THÁNG 11'!$H73&amp;"")</f>
        <v/>
      </c>
      <c r="I816" s="0" t="str">
        <f aca="false">IF('THÁNG 11'!$C73="","",N('THÁNG 11'!$I73))</f>
        <v/>
      </c>
      <c r="J816" s="0" t="str">
        <f aca="false">IF('THÁNG 11'!$C73="","",N('THÁNG 11'!$L73))</f>
        <v/>
      </c>
      <c r="K816" s="0" t="str">
        <f aca="false">IF('THÁNG 11'!$C73="","",N('THÁNG 11'!$N73))</f>
        <v/>
      </c>
      <c r="L816" s="0" t="str">
        <f aca="false">IF('THÁNG 11'!$C73="","",N('THÁNG 11'!$O73))</f>
        <v/>
      </c>
      <c r="M816" s="0" t="str">
        <f aca="false">IF('THÁNG 11'!$C73="","",N('THÁNG 11'!$P73))</f>
        <v/>
      </c>
      <c r="N816" s="0" t="str">
        <f aca="false">IF('THÁNG 11'!$C73="","",N('THÁNG 11'!$Q73))</f>
        <v/>
      </c>
      <c r="O816" s="0" t="str">
        <f aca="false">IF('THÁNG 11'!$C73="","",N('THÁNG 11'!$R73))</f>
        <v/>
      </c>
      <c r="P816" s="0" t="str">
        <f aca="false">IF(OR('THÁNG 11'!$C73="",'THÁNG 11'!$T73=""),"",'THÁNG 11'!$T73)</f>
        <v/>
      </c>
      <c r="Q816" s="0" t="str">
        <f aca="false">IF(OR('THÁNG 11'!$C73="",'THÁNG 11'!$U73=""),"",'THÁNG 11'!$U73)</f>
        <v/>
      </c>
      <c r="R816" s="0" t="str">
        <f aca="false">IF('THÁNG 11'!$C73="","",'THÁNG 11'!$W73&amp;"")</f>
        <v/>
      </c>
      <c r="S816" s="0" t="str">
        <f aca="false">IF('THÁNG 11'!$C73="","",'THÁNG 11'!$S73&amp;"")</f>
        <v/>
      </c>
      <c r="T816" s="0" t="str">
        <f aca="false">IF(N($O816)&gt;0,COUNTIF($O$3:$O816,"&gt;0"),"")</f>
        <v/>
      </c>
      <c r="U816" s="0" t="str">
        <f aca="false">IF(AND(N($J816)&gt;0,N($K816)&gt;0),COUNTIFS($J$3:$J816,"&gt;0",$K$3:$K816,"&gt;0"),"")</f>
        <v/>
      </c>
      <c r="V816" s="0" t="str">
        <f aca="false">IF(AND(N($J816)&gt;0,N($K816)=0),COUNTIFS($J$3:$J816,"&gt;0",$K$3:$K816,"&lt;=0"),"")</f>
        <v/>
      </c>
      <c r="W816" s="0" t="str">
        <f aca="false">IF($C816="","",IF(COUNTIF($C$3:$C816,$C816)&gt;1,"",MAX($W$2:W815)+1))</f>
        <v/>
      </c>
      <c r="X816" s="0" t="str">
        <f aca="false">IF($H816="","",IF(COUNTIF($H$3:$H816,$H816)&gt;1,"",MAX($X$2:X815)+1))</f>
        <v/>
      </c>
      <c r="Y816" s="0" t="str">
        <f aca="false">IF(AND(N($M816)&gt;0,N($O816)&lt;=0),COUNTIFS($M$3:$M816,"&gt;0",$O$3:$O816,"&lt;=0"),"")</f>
        <v/>
      </c>
      <c r="Z816" s="30" t="n">
        <f aca="false">IF(OR('THÁNG 11'!$C73="",'THÁNG 11'!$B73=""),0,'THÁNG 11'!$B73)</f>
        <v>0</v>
      </c>
    </row>
    <row r="817" customFormat="false" ht="15" hidden="false" customHeight="false" outlineLevel="0" collapsed="false">
      <c r="A817" s="0" t="n">
        <v>11</v>
      </c>
      <c r="B817" s="29" t="str">
        <f aca="false">IF(OR('THÁNG 11'!$C74="",'THÁNG 11'!$B74=""),"",'THÁNG 11'!$B74)</f>
        <v/>
      </c>
      <c r="C817" s="0" t="str">
        <f aca="false">IF('THÁNG 11'!$C74="","",'THÁNG 11'!$C74)</f>
        <v/>
      </c>
      <c r="D817" s="0" t="str">
        <f aca="false">IF('THÁNG 11'!$C74="","",'THÁNG 11'!$D74&amp;"")</f>
        <v/>
      </c>
      <c r="E817" s="0" t="str">
        <f aca="false">IF('THÁNG 11'!$C74="","",'THÁNG 11'!$E74&amp;"")</f>
        <v/>
      </c>
      <c r="F817" s="0" t="str">
        <f aca="false">IF('THÁNG 11'!$C74="","",'THÁNG 11'!$F74&amp;"")</f>
        <v/>
      </c>
      <c r="G817" s="0" t="str">
        <f aca="false">IF('THÁNG 11'!$C74="","",'THÁNG 11'!$G74&amp;"")</f>
        <v/>
      </c>
      <c r="H817" s="0" t="str">
        <f aca="false">IF('THÁNG 11'!$C74="","",'THÁNG 11'!$H74&amp;"")</f>
        <v/>
      </c>
      <c r="I817" s="0" t="str">
        <f aca="false">IF('THÁNG 11'!$C74="","",N('THÁNG 11'!$I74))</f>
        <v/>
      </c>
      <c r="J817" s="0" t="str">
        <f aca="false">IF('THÁNG 11'!$C74="","",N('THÁNG 11'!$L74))</f>
        <v/>
      </c>
      <c r="K817" s="0" t="str">
        <f aca="false">IF('THÁNG 11'!$C74="","",N('THÁNG 11'!$N74))</f>
        <v/>
      </c>
      <c r="L817" s="0" t="str">
        <f aca="false">IF('THÁNG 11'!$C74="","",N('THÁNG 11'!$O74))</f>
        <v/>
      </c>
      <c r="M817" s="0" t="str">
        <f aca="false">IF('THÁNG 11'!$C74="","",N('THÁNG 11'!$P74))</f>
        <v/>
      </c>
      <c r="N817" s="0" t="str">
        <f aca="false">IF('THÁNG 11'!$C74="","",N('THÁNG 11'!$Q74))</f>
        <v/>
      </c>
      <c r="O817" s="0" t="str">
        <f aca="false">IF('THÁNG 11'!$C74="","",N('THÁNG 11'!$R74))</f>
        <v/>
      </c>
      <c r="P817" s="0" t="str">
        <f aca="false">IF(OR('THÁNG 11'!$C74="",'THÁNG 11'!$T74=""),"",'THÁNG 11'!$T74)</f>
        <v/>
      </c>
      <c r="Q817" s="0" t="str">
        <f aca="false">IF(OR('THÁNG 11'!$C74="",'THÁNG 11'!$U74=""),"",'THÁNG 11'!$U74)</f>
        <v/>
      </c>
      <c r="R817" s="0" t="str">
        <f aca="false">IF('THÁNG 11'!$C74="","",'THÁNG 11'!$W74&amp;"")</f>
        <v/>
      </c>
      <c r="S817" s="0" t="str">
        <f aca="false">IF('THÁNG 11'!$C74="","",'THÁNG 11'!$S74&amp;"")</f>
        <v/>
      </c>
      <c r="T817" s="0" t="str">
        <f aca="false">IF(N($O817)&gt;0,COUNTIF($O$3:$O817,"&gt;0"),"")</f>
        <v/>
      </c>
      <c r="U817" s="0" t="str">
        <f aca="false">IF(AND(N($J817)&gt;0,N($K817)&gt;0),COUNTIFS($J$3:$J817,"&gt;0",$K$3:$K817,"&gt;0"),"")</f>
        <v/>
      </c>
      <c r="V817" s="0" t="str">
        <f aca="false">IF(AND(N($J817)&gt;0,N($K817)=0),COUNTIFS($J$3:$J817,"&gt;0",$K$3:$K817,"&lt;=0"),"")</f>
        <v/>
      </c>
      <c r="W817" s="0" t="str">
        <f aca="false">IF($C817="","",IF(COUNTIF($C$3:$C817,$C817)&gt;1,"",MAX($W$2:W816)+1))</f>
        <v/>
      </c>
      <c r="X817" s="0" t="str">
        <f aca="false">IF($H817="","",IF(COUNTIF($H$3:$H817,$H817)&gt;1,"",MAX($X$2:X816)+1))</f>
        <v/>
      </c>
      <c r="Y817" s="0" t="str">
        <f aca="false">IF(AND(N($M817)&gt;0,N($O817)&lt;=0),COUNTIFS($M$3:$M817,"&gt;0",$O$3:$O817,"&lt;=0"),"")</f>
        <v/>
      </c>
      <c r="Z817" s="30" t="n">
        <f aca="false">IF(OR('THÁNG 11'!$C74="",'THÁNG 11'!$B74=""),0,'THÁNG 11'!$B74)</f>
        <v>0</v>
      </c>
    </row>
    <row r="818" customFormat="false" ht="15" hidden="false" customHeight="false" outlineLevel="0" collapsed="false">
      <c r="A818" s="0" t="n">
        <v>11</v>
      </c>
      <c r="B818" s="29" t="str">
        <f aca="false">IF(OR('THÁNG 11'!$C75="",'THÁNG 11'!$B75=""),"",'THÁNG 11'!$B75)</f>
        <v/>
      </c>
      <c r="C818" s="0" t="str">
        <f aca="false">IF('THÁNG 11'!$C75="","",'THÁNG 11'!$C75)</f>
        <v/>
      </c>
      <c r="D818" s="0" t="str">
        <f aca="false">IF('THÁNG 11'!$C75="","",'THÁNG 11'!$D75&amp;"")</f>
        <v/>
      </c>
      <c r="E818" s="0" t="str">
        <f aca="false">IF('THÁNG 11'!$C75="","",'THÁNG 11'!$E75&amp;"")</f>
        <v/>
      </c>
      <c r="F818" s="0" t="str">
        <f aca="false">IF('THÁNG 11'!$C75="","",'THÁNG 11'!$F75&amp;"")</f>
        <v/>
      </c>
      <c r="G818" s="0" t="str">
        <f aca="false">IF('THÁNG 11'!$C75="","",'THÁNG 11'!$G75&amp;"")</f>
        <v/>
      </c>
      <c r="H818" s="0" t="str">
        <f aca="false">IF('THÁNG 11'!$C75="","",'THÁNG 11'!$H75&amp;"")</f>
        <v/>
      </c>
      <c r="I818" s="0" t="str">
        <f aca="false">IF('THÁNG 11'!$C75="","",N('THÁNG 11'!$I75))</f>
        <v/>
      </c>
      <c r="J818" s="0" t="str">
        <f aca="false">IF('THÁNG 11'!$C75="","",N('THÁNG 11'!$L75))</f>
        <v/>
      </c>
      <c r="K818" s="0" t="str">
        <f aca="false">IF('THÁNG 11'!$C75="","",N('THÁNG 11'!$N75))</f>
        <v/>
      </c>
      <c r="L818" s="0" t="str">
        <f aca="false">IF('THÁNG 11'!$C75="","",N('THÁNG 11'!$O75))</f>
        <v/>
      </c>
      <c r="M818" s="0" t="str">
        <f aca="false">IF('THÁNG 11'!$C75="","",N('THÁNG 11'!$P75))</f>
        <v/>
      </c>
      <c r="N818" s="0" t="str">
        <f aca="false">IF('THÁNG 11'!$C75="","",N('THÁNG 11'!$Q75))</f>
        <v/>
      </c>
      <c r="O818" s="0" t="str">
        <f aca="false">IF('THÁNG 11'!$C75="","",N('THÁNG 11'!$R75))</f>
        <v/>
      </c>
      <c r="P818" s="0" t="str">
        <f aca="false">IF(OR('THÁNG 11'!$C75="",'THÁNG 11'!$T75=""),"",'THÁNG 11'!$T75)</f>
        <v/>
      </c>
      <c r="Q818" s="0" t="str">
        <f aca="false">IF(OR('THÁNG 11'!$C75="",'THÁNG 11'!$U75=""),"",'THÁNG 11'!$U75)</f>
        <v/>
      </c>
      <c r="R818" s="0" t="str">
        <f aca="false">IF('THÁNG 11'!$C75="","",'THÁNG 11'!$W75&amp;"")</f>
        <v/>
      </c>
      <c r="S818" s="0" t="str">
        <f aca="false">IF('THÁNG 11'!$C75="","",'THÁNG 11'!$S75&amp;"")</f>
        <v/>
      </c>
      <c r="T818" s="0" t="str">
        <f aca="false">IF(N($O818)&gt;0,COUNTIF($O$3:$O818,"&gt;0"),"")</f>
        <v/>
      </c>
      <c r="U818" s="0" t="str">
        <f aca="false">IF(AND(N($J818)&gt;0,N($K818)&gt;0),COUNTIFS($J$3:$J818,"&gt;0",$K$3:$K818,"&gt;0"),"")</f>
        <v/>
      </c>
      <c r="V818" s="0" t="str">
        <f aca="false">IF(AND(N($J818)&gt;0,N($K818)=0),COUNTIFS($J$3:$J818,"&gt;0",$K$3:$K818,"&lt;=0"),"")</f>
        <v/>
      </c>
      <c r="W818" s="0" t="str">
        <f aca="false">IF($C818="","",IF(COUNTIF($C$3:$C818,$C818)&gt;1,"",MAX($W$2:W817)+1))</f>
        <v/>
      </c>
      <c r="X818" s="0" t="str">
        <f aca="false">IF($H818="","",IF(COUNTIF($H$3:$H818,$H818)&gt;1,"",MAX($X$2:X817)+1))</f>
        <v/>
      </c>
      <c r="Y818" s="0" t="str">
        <f aca="false">IF(AND(N($M818)&gt;0,N($O818)&lt;=0),COUNTIFS($M$3:$M818,"&gt;0",$O$3:$O818,"&lt;=0"),"")</f>
        <v/>
      </c>
      <c r="Z818" s="30" t="n">
        <f aca="false">IF(OR('THÁNG 11'!$C75="",'THÁNG 11'!$B75=""),0,'THÁNG 11'!$B75)</f>
        <v>0</v>
      </c>
    </row>
    <row r="819" customFormat="false" ht="15" hidden="false" customHeight="false" outlineLevel="0" collapsed="false">
      <c r="A819" s="0" t="n">
        <v>11</v>
      </c>
      <c r="B819" s="29" t="str">
        <f aca="false">IF(OR('THÁNG 11'!$C76="",'THÁNG 11'!$B76=""),"",'THÁNG 11'!$B76)</f>
        <v/>
      </c>
      <c r="C819" s="0" t="str">
        <f aca="false">IF('THÁNG 11'!$C76="","",'THÁNG 11'!$C76)</f>
        <v/>
      </c>
      <c r="D819" s="0" t="str">
        <f aca="false">IF('THÁNG 11'!$C76="","",'THÁNG 11'!$D76&amp;"")</f>
        <v/>
      </c>
      <c r="E819" s="0" t="str">
        <f aca="false">IF('THÁNG 11'!$C76="","",'THÁNG 11'!$E76&amp;"")</f>
        <v/>
      </c>
      <c r="F819" s="0" t="str">
        <f aca="false">IF('THÁNG 11'!$C76="","",'THÁNG 11'!$F76&amp;"")</f>
        <v/>
      </c>
      <c r="G819" s="0" t="str">
        <f aca="false">IF('THÁNG 11'!$C76="","",'THÁNG 11'!$G76&amp;"")</f>
        <v/>
      </c>
      <c r="H819" s="0" t="str">
        <f aca="false">IF('THÁNG 11'!$C76="","",'THÁNG 11'!$H76&amp;"")</f>
        <v/>
      </c>
      <c r="I819" s="0" t="str">
        <f aca="false">IF('THÁNG 11'!$C76="","",N('THÁNG 11'!$I76))</f>
        <v/>
      </c>
      <c r="J819" s="0" t="str">
        <f aca="false">IF('THÁNG 11'!$C76="","",N('THÁNG 11'!$L76))</f>
        <v/>
      </c>
      <c r="K819" s="0" t="str">
        <f aca="false">IF('THÁNG 11'!$C76="","",N('THÁNG 11'!$N76))</f>
        <v/>
      </c>
      <c r="L819" s="0" t="str">
        <f aca="false">IF('THÁNG 11'!$C76="","",N('THÁNG 11'!$O76))</f>
        <v/>
      </c>
      <c r="M819" s="0" t="str">
        <f aca="false">IF('THÁNG 11'!$C76="","",N('THÁNG 11'!$P76))</f>
        <v/>
      </c>
      <c r="N819" s="0" t="str">
        <f aca="false">IF('THÁNG 11'!$C76="","",N('THÁNG 11'!$Q76))</f>
        <v/>
      </c>
      <c r="O819" s="0" t="str">
        <f aca="false">IF('THÁNG 11'!$C76="","",N('THÁNG 11'!$R76))</f>
        <v/>
      </c>
      <c r="P819" s="0" t="str">
        <f aca="false">IF(OR('THÁNG 11'!$C76="",'THÁNG 11'!$T76=""),"",'THÁNG 11'!$T76)</f>
        <v/>
      </c>
      <c r="Q819" s="0" t="str">
        <f aca="false">IF(OR('THÁNG 11'!$C76="",'THÁNG 11'!$U76=""),"",'THÁNG 11'!$U76)</f>
        <v/>
      </c>
      <c r="R819" s="0" t="str">
        <f aca="false">IF('THÁNG 11'!$C76="","",'THÁNG 11'!$W76&amp;"")</f>
        <v/>
      </c>
      <c r="S819" s="0" t="str">
        <f aca="false">IF('THÁNG 11'!$C76="","",'THÁNG 11'!$S76&amp;"")</f>
        <v/>
      </c>
      <c r="T819" s="0" t="str">
        <f aca="false">IF(N($O819)&gt;0,COUNTIF($O$3:$O819,"&gt;0"),"")</f>
        <v/>
      </c>
      <c r="U819" s="0" t="str">
        <f aca="false">IF(AND(N($J819)&gt;0,N($K819)&gt;0),COUNTIFS($J$3:$J819,"&gt;0",$K$3:$K819,"&gt;0"),"")</f>
        <v/>
      </c>
      <c r="V819" s="0" t="str">
        <f aca="false">IF(AND(N($J819)&gt;0,N($K819)=0),COUNTIFS($J$3:$J819,"&gt;0",$K$3:$K819,"&lt;=0"),"")</f>
        <v/>
      </c>
      <c r="W819" s="0" t="str">
        <f aca="false">IF($C819="","",IF(COUNTIF($C$3:$C819,$C819)&gt;1,"",MAX($W$2:W818)+1))</f>
        <v/>
      </c>
      <c r="X819" s="0" t="str">
        <f aca="false">IF($H819="","",IF(COUNTIF($H$3:$H819,$H819)&gt;1,"",MAX($X$2:X818)+1))</f>
        <v/>
      </c>
      <c r="Y819" s="0" t="str">
        <f aca="false">IF(AND(N($M819)&gt;0,N($O819)&lt;=0),COUNTIFS($M$3:$M819,"&gt;0",$O$3:$O819,"&lt;=0"),"")</f>
        <v/>
      </c>
      <c r="Z819" s="30" t="n">
        <f aca="false">IF(OR('THÁNG 11'!$C76="",'THÁNG 11'!$B76=""),0,'THÁNG 11'!$B76)</f>
        <v>0</v>
      </c>
    </row>
    <row r="820" customFormat="false" ht="15" hidden="false" customHeight="false" outlineLevel="0" collapsed="false">
      <c r="A820" s="0" t="n">
        <v>11</v>
      </c>
      <c r="B820" s="29" t="str">
        <f aca="false">IF(OR('THÁNG 11'!$C77="",'THÁNG 11'!$B77=""),"",'THÁNG 11'!$B77)</f>
        <v/>
      </c>
      <c r="C820" s="0" t="str">
        <f aca="false">IF('THÁNG 11'!$C77="","",'THÁNG 11'!$C77)</f>
        <v/>
      </c>
      <c r="D820" s="0" t="str">
        <f aca="false">IF('THÁNG 11'!$C77="","",'THÁNG 11'!$D77&amp;"")</f>
        <v/>
      </c>
      <c r="E820" s="0" t="str">
        <f aca="false">IF('THÁNG 11'!$C77="","",'THÁNG 11'!$E77&amp;"")</f>
        <v/>
      </c>
      <c r="F820" s="0" t="str">
        <f aca="false">IF('THÁNG 11'!$C77="","",'THÁNG 11'!$F77&amp;"")</f>
        <v/>
      </c>
      <c r="G820" s="0" t="str">
        <f aca="false">IF('THÁNG 11'!$C77="","",'THÁNG 11'!$G77&amp;"")</f>
        <v/>
      </c>
      <c r="H820" s="0" t="str">
        <f aca="false">IF('THÁNG 11'!$C77="","",'THÁNG 11'!$H77&amp;"")</f>
        <v/>
      </c>
      <c r="I820" s="0" t="str">
        <f aca="false">IF('THÁNG 11'!$C77="","",N('THÁNG 11'!$I77))</f>
        <v/>
      </c>
      <c r="J820" s="0" t="str">
        <f aca="false">IF('THÁNG 11'!$C77="","",N('THÁNG 11'!$L77))</f>
        <v/>
      </c>
      <c r="K820" s="0" t="str">
        <f aca="false">IF('THÁNG 11'!$C77="","",N('THÁNG 11'!$N77))</f>
        <v/>
      </c>
      <c r="L820" s="0" t="str">
        <f aca="false">IF('THÁNG 11'!$C77="","",N('THÁNG 11'!$O77))</f>
        <v/>
      </c>
      <c r="M820" s="0" t="str">
        <f aca="false">IF('THÁNG 11'!$C77="","",N('THÁNG 11'!$P77))</f>
        <v/>
      </c>
      <c r="N820" s="0" t="str">
        <f aca="false">IF('THÁNG 11'!$C77="","",N('THÁNG 11'!$Q77))</f>
        <v/>
      </c>
      <c r="O820" s="0" t="str">
        <f aca="false">IF('THÁNG 11'!$C77="","",N('THÁNG 11'!$R77))</f>
        <v/>
      </c>
      <c r="P820" s="0" t="str">
        <f aca="false">IF(OR('THÁNG 11'!$C77="",'THÁNG 11'!$T77=""),"",'THÁNG 11'!$T77)</f>
        <v/>
      </c>
      <c r="Q820" s="0" t="str">
        <f aca="false">IF(OR('THÁNG 11'!$C77="",'THÁNG 11'!$U77=""),"",'THÁNG 11'!$U77)</f>
        <v/>
      </c>
      <c r="R820" s="0" t="str">
        <f aca="false">IF('THÁNG 11'!$C77="","",'THÁNG 11'!$W77&amp;"")</f>
        <v/>
      </c>
      <c r="S820" s="0" t="str">
        <f aca="false">IF('THÁNG 11'!$C77="","",'THÁNG 11'!$S77&amp;"")</f>
        <v/>
      </c>
      <c r="T820" s="0" t="str">
        <f aca="false">IF(N($O820)&gt;0,COUNTIF($O$3:$O820,"&gt;0"),"")</f>
        <v/>
      </c>
      <c r="U820" s="0" t="str">
        <f aca="false">IF(AND(N($J820)&gt;0,N($K820)&gt;0),COUNTIFS($J$3:$J820,"&gt;0",$K$3:$K820,"&gt;0"),"")</f>
        <v/>
      </c>
      <c r="V820" s="0" t="str">
        <f aca="false">IF(AND(N($J820)&gt;0,N($K820)=0),COUNTIFS($J$3:$J820,"&gt;0",$K$3:$K820,"&lt;=0"),"")</f>
        <v/>
      </c>
      <c r="W820" s="0" t="str">
        <f aca="false">IF($C820="","",IF(COUNTIF($C$3:$C820,$C820)&gt;1,"",MAX($W$2:W819)+1))</f>
        <v/>
      </c>
      <c r="X820" s="0" t="str">
        <f aca="false">IF($H820="","",IF(COUNTIF($H$3:$H820,$H820)&gt;1,"",MAX($X$2:X819)+1))</f>
        <v/>
      </c>
      <c r="Y820" s="0" t="str">
        <f aca="false">IF(AND(N($M820)&gt;0,N($O820)&lt;=0),COUNTIFS($M$3:$M820,"&gt;0",$O$3:$O820,"&lt;=0"),"")</f>
        <v/>
      </c>
      <c r="Z820" s="30" t="n">
        <f aca="false">IF(OR('THÁNG 11'!$C77="",'THÁNG 11'!$B77=""),0,'THÁNG 11'!$B77)</f>
        <v>0</v>
      </c>
    </row>
    <row r="821" customFormat="false" ht="15" hidden="false" customHeight="false" outlineLevel="0" collapsed="false">
      <c r="A821" s="0" t="n">
        <v>11</v>
      </c>
      <c r="B821" s="29" t="str">
        <f aca="false">IF(OR('THÁNG 11'!$C78="",'THÁNG 11'!$B78=""),"",'THÁNG 11'!$B78)</f>
        <v/>
      </c>
      <c r="C821" s="0" t="str">
        <f aca="false">IF('THÁNG 11'!$C78="","",'THÁNG 11'!$C78)</f>
        <v/>
      </c>
      <c r="D821" s="0" t="str">
        <f aca="false">IF('THÁNG 11'!$C78="","",'THÁNG 11'!$D78&amp;"")</f>
        <v/>
      </c>
      <c r="E821" s="0" t="str">
        <f aca="false">IF('THÁNG 11'!$C78="","",'THÁNG 11'!$E78&amp;"")</f>
        <v/>
      </c>
      <c r="F821" s="0" t="str">
        <f aca="false">IF('THÁNG 11'!$C78="","",'THÁNG 11'!$F78&amp;"")</f>
        <v/>
      </c>
      <c r="G821" s="0" t="str">
        <f aca="false">IF('THÁNG 11'!$C78="","",'THÁNG 11'!$G78&amp;"")</f>
        <v/>
      </c>
      <c r="H821" s="0" t="str">
        <f aca="false">IF('THÁNG 11'!$C78="","",'THÁNG 11'!$H78&amp;"")</f>
        <v/>
      </c>
      <c r="I821" s="0" t="str">
        <f aca="false">IF('THÁNG 11'!$C78="","",N('THÁNG 11'!$I78))</f>
        <v/>
      </c>
      <c r="J821" s="0" t="str">
        <f aca="false">IF('THÁNG 11'!$C78="","",N('THÁNG 11'!$L78))</f>
        <v/>
      </c>
      <c r="K821" s="0" t="str">
        <f aca="false">IF('THÁNG 11'!$C78="","",N('THÁNG 11'!$N78))</f>
        <v/>
      </c>
      <c r="L821" s="0" t="str">
        <f aca="false">IF('THÁNG 11'!$C78="","",N('THÁNG 11'!$O78))</f>
        <v/>
      </c>
      <c r="M821" s="0" t="str">
        <f aca="false">IF('THÁNG 11'!$C78="","",N('THÁNG 11'!$P78))</f>
        <v/>
      </c>
      <c r="N821" s="0" t="str">
        <f aca="false">IF('THÁNG 11'!$C78="","",N('THÁNG 11'!$Q78))</f>
        <v/>
      </c>
      <c r="O821" s="0" t="str">
        <f aca="false">IF('THÁNG 11'!$C78="","",N('THÁNG 11'!$R78))</f>
        <v/>
      </c>
      <c r="P821" s="0" t="str">
        <f aca="false">IF(OR('THÁNG 11'!$C78="",'THÁNG 11'!$T78=""),"",'THÁNG 11'!$T78)</f>
        <v/>
      </c>
      <c r="Q821" s="0" t="str">
        <f aca="false">IF(OR('THÁNG 11'!$C78="",'THÁNG 11'!$U78=""),"",'THÁNG 11'!$U78)</f>
        <v/>
      </c>
      <c r="R821" s="0" t="str">
        <f aca="false">IF('THÁNG 11'!$C78="","",'THÁNG 11'!$W78&amp;"")</f>
        <v/>
      </c>
      <c r="S821" s="0" t="str">
        <f aca="false">IF('THÁNG 11'!$C78="","",'THÁNG 11'!$S78&amp;"")</f>
        <v/>
      </c>
      <c r="T821" s="0" t="str">
        <f aca="false">IF(N($O821)&gt;0,COUNTIF($O$3:$O821,"&gt;0"),"")</f>
        <v/>
      </c>
      <c r="U821" s="0" t="str">
        <f aca="false">IF(AND(N($J821)&gt;0,N($K821)&gt;0),COUNTIFS($J$3:$J821,"&gt;0",$K$3:$K821,"&gt;0"),"")</f>
        <v/>
      </c>
      <c r="V821" s="0" t="str">
        <f aca="false">IF(AND(N($J821)&gt;0,N($K821)=0),COUNTIFS($J$3:$J821,"&gt;0",$K$3:$K821,"&lt;=0"),"")</f>
        <v/>
      </c>
      <c r="W821" s="0" t="str">
        <f aca="false">IF($C821="","",IF(COUNTIF($C$3:$C821,$C821)&gt;1,"",MAX($W$2:W820)+1))</f>
        <v/>
      </c>
      <c r="X821" s="0" t="str">
        <f aca="false">IF($H821="","",IF(COUNTIF($H$3:$H821,$H821)&gt;1,"",MAX($X$2:X820)+1))</f>
        <v/>
      </c>
      <c r="Y821" s="0" t="str">
        <f aca="false">IF(AND(N($M821)&gt;0,N($O821)&lt;=0),COUNTIFS($M$3:$M821,"&gt;0",$O$3:$O821,"&lt;=0"),"")</f>
        <v/>
      </c>
      <c r="Z821" s="30" t="n">
        <f aca="false">IF(OR('THÁNG 11'!$C78="",'THÁNG 11'!$B78=""),0,'THÁNG 11'!$B78)</f>
        <v>0</v>
      </c>
    </row>
    <row r="822" customFormat="false" ht="15" hidden="false" customHeight="false" outlineLevel="0" collapsed="false">
      <c r="A822" s="0" t="n">
        <v>11</v>
      </c>
      <c r="B822" s="29" t="str">
        <f aca="false">IF(OR('THÁNG 11'!$C79="",'THÁNG 11'!$B79=""),"",'THÁNG 11'!$B79)</f>
        <v/>
      </c>
      <c r="C822" s="0" t="str">
        <f aca="false">IF('THÁNG 11'!$C79="","",'THÁNG 11'!$C79)</f>
        <v/>
      </c>
      <c r="D822" s="0" t="str">
        <f aca="false">IF('THÁNG 11'!$C79="","",'THÁNG 11'!$D79&amp;"")</f>
        <v/>
      </c>
      <c r="E822" s="0" t="str">
        <f aca="false">IF('THÁNG 11'!$C79="","",'THÁNG 11'!$E79&amp;"")</f>
        <v/>
      </c>
      <c r="F822" s="0" t="str">
        <f aca="false">IF('THÁNG 11'!$C79="","",'THÁNG 11'!$F79&amp;"")</f>
        <v/>
      </c>
      <c r="G822" s="0" t="str">
        <f aca="false">IF('THÁNG 11'!$C79="","",'THÁNG 11'!$G79&amp;"")</f>
        <v/>
      </c>
      <c r="H822" s="0" t="str">
        <f aca="false">IF('THÁNG 11'!$C79="","",'THÁNG 11'!$H79&amp;"")</f>
        <v/>
      </c>
      <c r="I822" s="0" t="str">
        <f aca="false">IF('THÁNG 11'!$C79="","",N('THÁNG 11'!$I79))</f>
        <v/>
      </c>
      <c r="J822" s="0" t="str">
        <f aca="false">IF('THÁNG 11'!$C79="","",N('THÁNG 11'!$L79))</f>
        <v/>
      </c>
      <c r="K822" s="0" t="str">
        <f aca="false">IF('THÁNG 11'!$C79="","",N('THÁNG 11'!$N79))</f>
        <v/>
      </c>
      <c r="L822" s="0" t="str">
        <f aca="false">IF('THÁNG 11'!$C79="","",N('THÁNG 11'!$O79))</f>
        <v/>
      </c>
      <c r="M822" s="0" t="str">
        <f aca="false">IF('THÁNG 11'!$C79="","",N('THÁNG 11'!$P79))</f>
        <v/>
      </c>
      <c r="N822" s="0" t="str">
        <f aca="false">IF('THÁNG 11'!$C79="","",N('THÁNG 11'!$Q79))</f>
        <v/>
      </c>
      <c r="O822" s="0" t="str">
        <f aca="false">IF('THÁNG 11'!$C79="","",N('THÁNG 11'!$R79))</f>
        <v/>
      </c>
      <c r="P822" s="0" t="str">
        <f aca="false">IF(OR('THÁNG 11'!$C79="",'THÁNG 11'!$T79=""),"",'THÁNG 11'!$T79)</f>
        <v/>
      </c>
      <c r="Q822" s="0" t="str">
        <f aca="false">IF(OR('THÁNG 11'!$C79="",'THÁNG 11'!$U79=""),"",'THÁNG 11'!$U79)</f>
        <v/>
      </c>
      <c r="R822" s="0" t="str">
        <f aca="false">IF('THÁNG 11'!$C79="","",'THÁNG 11'!$W79&amp;"")</f>
        <v/>
      </c>
      <c r="S822" s="0" t="str">
        <f aca="false">IF('THÁNG 11'!$C79="","",'THÁNG 11'!$S79&amp;"")</f>
        <v/>
      </c>
      <c r="T822" s="0" t="str">
        <f aca="false">IF(N($O822)&gt;0,COUNTIF($O$3:$O822,"&gt;0"),"")</f>
        <v/>
      </c>
      <c r="U822" s="0" t="str">
        <f aca="false">IF(AND(N($J822)&gt;0,N($K822)&gt;0),COUNTIFS($J$3:$J822,"&gt;0",$K$3:$K822,"&gt;0"),"")</f>
        <v/>
      </c>
      <c r="V822" s="0" t="str">
        <f aca="false">IF(AND(N($J822)&gt;0,N($K822)=0),COUNTIFS($J$3:$J822,"&gt;0",$K$3:$K822,"&lt;=0"),"")</f>
        <v/>
      </c>
      <c r="W822" s="0" t="str">
        <f aca="false">IF($C822="","",IF(COUNTIF($C$3:$C822,$C822)&gt;1,"",MAX($W$2:W821)+1))</f>
        <v/>
      </c>
      <c r="X822" s="0" t="str">
        <f aca="false">IF($H822="","",IF(COUNTIF($H$3:$H822,$H822)&gt;1,"",MAX($X$2:X821)+1))</f>
        <v/>
      </c>
      <c r="Y822" s="0" t="str">
        <f aca="false">IF(AND(N($M822)&gt;0,N($O822)&lt;=0),COUNTIFS($M$3:$M822,"&gt;0",$O$3:$O822,"&lt;=0"),"")</f>
        <v/>
      </c>
      <c r="Z822" s="30" t="n">
        <f aca="false">IF(OR('THÁNG 11'!$C79="",'THÁNG 11'!$B79=""),0,'THÁNG 11'!$B79)</f>
        <v>0</v>
      </c>
    </row>
    <row r="823" customFormat="false" ht="15" hidden="false" customHeight="false" outlineLevel="0" collapsed="false">
      <c r="A823" s="0" t="n">
        <v>11</v>
      </c>
      <c r="B823" s="29" t="str">
        <f aca="false">IF(OR('THÁNG 11'!$C80="",'THÁNG 11'!$B80=""),"",'THÁNG 11'!$B80)</f>
        <v/>
      </c>
      <c r="C823" s="0" t="str">
        <f aca="false">IF('THÁNG 11'!$C80="","",'THÁNG 11'!$C80)</f>
        <v/>
      </c>
      <c r="D823" s="0" t="str">
        <f aca="false">IF('THÁNG 11'!$C80="","",'THÁNG 11'!$D80&amp;"")</f>
        <v/>
      </c>
      <c r="E823" s="0" t="str">
        <f aca="false">IF('THÁNG 11'!$C80="","",'THÁNG 11'!$E80&amp;"")</f>
        <v/>
      </c>
      <c r="F823" s="0" t="str">
        <f aca="false">IF('THÁNG 11'!$C80="","",'THÁNG 11'!$F80&amp;"")</f>
        <v/>
      </c>
      <c r="G823" s="0" t="str">
        <f aca="false">IF('THÁNG 11'!$C80="","",'THÁNG 11'!$G80&amp;"")</f>
        <v/>
      </c>
      <c r="H823" s="0" t="str">
        <f aca="false">IF('THÁNG 11'!$C80="","",'THÁNG 11'!$H80&amp;"")</f>
        <v/>
      </c>
      <c r="I823" s="0" t="str">
        <f aca="false">IF('THÁNG 11'!$C80="","",N('THÁNG 11'!$I80))</f>
        <v/>
      </c>
      <c r="J823" s="0" t="str">
        <f aca="false">IF('THÁNG 11'!$C80="","",N('THÁNG 11'!$L80))</f>
        <v/>
      </c>
      <c r="K823" s="0" t="str">
        <f aca="false">IF('THÁNG 11'!$C80="","",N('THÁNG 11'!$N80))</f>
        <v/>
      </c>
      <c r="L823" s="0" t="str">
        <f aca="false">IF('THÁNG 11'!$C80="","",N('THÁNG 11'!$O80))</f>
        <v/>
      </c>
      <c r="M823" s="0" t="str">
        <f aca="false">IF('THÁNG 11'!$C80="","",N('THÁNG 11'!$P80))</f>
        <v/>
      </c>
      <c r="N823" s="0" t="str">
        <f aca="false">IF('THÁNG 11'!$C80="","",N('THÁNG 11'!$Q80))</f>
        <v/>
      </c>
      <c r="O823" s="0" t="str">
        <f aca="false">IF('THÁNG 11'!$C80="","",N('THÁNG 11'!$R80))</f>
        <v/>
      </c>
      <c r="P823" s="0" t="str">
        <f aca="false">IF(OR('THÁNG 11'!$C80="",'THÁNG 11'!$T80=""),"",'THÁNG 11'!$T80)</f>
        <v/>
      </c>
      <c r="Q823" s="0" t="str">
        <f aca="false">IF(OR('THÁNG 11'!$C80="",'THÁNG 11'!$U80=""),"",'THÁNG 11'!$U80)</f>
        <v/>
      </c>
      <c r="R823" s="0" t="str">
        <f aca="false">IF('THÁNG 11'!$C80="","",'THÁNG 11'!$W80&amp;"")</f>
        <v/>
      </c>
      <c r="S823" s="0" t="str">
        <f aca="false">IF('THÁNG 11'!$C80="","",'THÁNG 11'!$S80&amp;"")</f>
        <v/>
      </c>
      <c r="T823" s="0" t="str">
        <f aca="false">IF(N($O823)&gt;0,COUNTIF($O$3:$O823,"&gt;0"),"")</f>
        <v/>
      </c>
      <c r="U823" s="0" t="str">
        <f aca="false">IF(AND(N($J823)&gt;0,N($K823)&gt;0),COUNTIFS($J$3:$J823,"&gt;0",$K$3:$K823,"&gt;0"),"")</f>
        <v/>
      </c>
      <c r="V823" s="0" t="str">
        <f aca="false">IF(AND(N($J823)&gt;0,N($K823)=0),COUNTIFS($J$3:$J823,"&gt;0",$K$3:$K823,"&lt;=0"),"")</f>
        <v/>
      </c>
      <c r="W823" s="0" t="str">
        <f aca="false">IF($C823="","",IF(COUNTIF($C$3:$C823,$C823)&gt;1,"",MAX($W$2:W822)+1))</f>
        <v/>
      </c>
      <c r="X823" s="0" t="str">
        <f aca="false">IF($H823="","",IF(COUNTIF($H$3:$H823,$H823)&gt;1,"",MAX($X$2:X822)+1))</f>
        <v/>
      </c>
      <c r="Y823" s="0" t="str">
        <f aca="false">IF(AND(N($M823)&gt;0,N($O823)&lt;=0),COUNTIFS($M$3:$M823,"&gt;0",$O$3:$O823,"&lt;=0"),"")</f>
        <v/>
      </c>
      <c r="Z823" s="30" t="n">
        <f aca="false">IF(OR('THÁNG 11'!$C80="",'THÁNG 11'!$B80=""),0,'THÁNG 11'!$B80)</f>
        <v>0</v>
      </c>
    </row>
    <row r="824" customFormat="false" ht="15" hidden="false" customHeight="false" outlineLevel="0" collapsed="false">
      <c r="A824" s="0" t="n">
        <v>11</v>
      </c>
      <c r="B824" s="29" t="str">
        <f aca="false">IF(OR('THÁNG 11'!$C81="",'THÁNG 11'!$B81=""),"",'THÁNG 11'!$B81)</f>
        <v/>
      </c>
      <c r="C824" s="0" t="str">
        <f aca="false">IF('THÁNG 11'!$C81="","",'THÁNG 11'!$C81)</f>
        <v/>
      </c>
      <c r="D824" s="0" t="str">
        <f aca="false">IF('THÁNG 11'!$C81="","",'THÁNG 11'!$D81&amp;"")</f>
        <v/>
      </c>
      <c r="E824" s="0" t="str">
        <f aca="false">IF('THÁNG 11'!$C81="","",'THÁNG 11'!$E81&amp;"")</f>
        <v/>
      </c>
      <c r="F824" s="0" t="str">
        <f aca="false">IF('THÁNG 11'!$C81="","",'THÁNG 11'!$F81&amp;"")</f>
        <v/>
      </c>
      <c r="G824" s="0" t="str">
        <f aca="false">IF('THÁNG 11'!$C81="","",'THÁNG 11'!$G81&amp;"")</f>
        <v/>
      </c>
      <c r="H824" s="0" t="str">
        <f aca="false">IF('THÁNG 11'!$C81="","",'THÁNG 11'!$H81&amp;"")</f>
        <v/>
      </c>
      <c r="I824" s="0" t="str">
        <f aca="false">IF('THÁNG 11'!$C81="","",N('THÁNG 11'!$I81))</f>
        <v/>
      </c>
      <c r="J824" s="0" t="str">
        <f aca="false">IF('THÁNG 11'!$C81="","",N('THÁNG 11'!$L81))</f>
        <v/>
      </c>
      <c r="K824" s="0" t="str">
        <f aca="false">IF('THÁNG 11'!$C81="","",N('THÁNG 11'!$N81))</f>
        <v/>
      </c>
      <c r="L824" s="0" t="str">
        <f aca="false">IF('THÁNG 11'!$C81="","",N('THÁNG 11'!$O81))</f>
        <v/>
      </c>
      <c r="M824" s="0" t="str">
        <f aca="false">IF('THÁNG 11'!$C81="","",N('THÁNG 11'!$P81))</f>
        <v/>
      </c>
      <c r="N824" s="0" t="str">
        <f aca="false">IF('THÁNG 11'!$C81="","",N('THÁNG 11'!$Q81))</f>
        <v/>
      </c>
      <c r="O824" s="0" t="str">
        <f aca="false">IF('THÁNG 11'!$C81="","",N('THÁNG 11'!$R81))</f>
        <v/>
      </c>
      <c r="P824" s="0" t="str">
        <f aca="false">IF(OR('THÁNG 11'!$C81="",'THÁNG 11'!$T81=""),"",'THÁNG 11'!$T81)</f>
        <v/>
      </c>
      <c r="Q824" s="0" t="str">
        <f aca="false">IF(OR('THÁNG 11'!$C81="",'THÁNG 11'!$U81=""),"",'THÁNG 11'!$U81)</f>
        <v/>
      </c>
      <c r="R824" s="0" t="str">
        <f aca="false">IF('THÁNG 11'!$C81="","",'THÁNG 11'!$W81&amp;"")</f>
        <v/>
      </c>
      <c r="S824" s="0" t="str">
        <f aca="false">IF('THÁNG 11'!$C81="","",'THÁNG 11'!$S81&amp;"")</f>
        <v/>
      </c>
      <c r="T824" s="0" t="str">
        <f aca="false">IF(N($O824)&gt;0,COUNTIF($O$3:$O824,"&gt;0"),"")</f>
        <v/>
      </c>
      <c r="U824" s="0" t="str">
        <f aca="false">IF(AND(N($J824)&gt;0,N($K824)&gt;0),COUNTIFS($J$3:$J824,"&gt;0",$K$3:$K824,"&gt;0"),"")</f>
        <v/>
      </c>
      <c r="V824" s="0" t="str">
        <f aca="false">IF(AND(N($J824)&gt;0,N($K824)=0),COUNTIFS($J$3:$J824,"&gt;0",$K$3:$K824,"&lt;=0"),"")</f>
        <v/>
      </c>
      <c r="W824" s="0" t="str">
        <f aca="false">IF($C824="","",IF(COUNTIF($C$3:$C824,$C824)&gt;1,"",MAX($W$2:W823)+1))</f>
        <v/>
      </c>
      <c r="X824" s="0" t="str">
        <f aca="false">IF($H824="","",IF(COUNTIF($H$3:$H824,$H824)&gt;1,"",MAX($X$2:X823)+1))</f>
        <v/>
      </c>
      <c r="Y824" s="0" t="str">
        <f aca="false">IF(AND(N($M824)&gt;0,N($O824)&lt;=0),COUNTIFS($M$3:$M824,"&gt;0",$O$3:$O824,"&lt;=0"),"")</f>
        <v/>
      </c>
      <c r="Z824" s="30" t="n">
        <f aca="false">IF(OR('THÁNG 11'!$C81="",'THÁNG 11'!$B81=""),0,'THÁNG 11'!$B81)</f>
        <v>0</v>
      </c>
    </row>
    <row r="825" customFormat="false" ht="15" hidden="false" customHeight="false" outlineLevel="0" collapsed="false">
      <c r="A825" s="0" t="n">
        <v>11</v>
      </c>
      <c r="B825" s="29" t="str">
        <f aca="false">IF(OR('THÁNG 11'!$C82="",'THÁNG 11'!$B82=""),"",'THÁNG 11'!$B82)</f>
        <v/>
      </c>
      <c r="C825" s="0" t="str">
        <f aca="false">IF('THÁNG 11'!$C82="","",'THÁNG 11'!$C82)</f>
        <v/>
      </c>
      <c r="D825" s="0" t="str">
        <f aca="false">IF('THÁNG 11'!$C82="","",'THÁNG 11'!$D82&amp;"")</f>
        <v/>
      </c>
      <c r="E825" s="0" t="str">
        <f aca="false">IF('THÁNG 11'!$C82="","",'THÁNG 11'!$E82&amp;"")</f>
        <v/>
      </c>
      <c r="F825" s="0" t="str">
        <f aca="false">IF('THÁNG 11'!$C82="","",'THÁNG 11'!$F82&amp;"")</f>
        <v/>
      </c>
      <c r="G825" s="0" t="str">
        <f aca="false">IF('THÁNG 11'!$C82="","",'THÁNG 11'!$G82&amp;"")</f>
        <v/>
      </c>
      <c r="H825" s="0" t="str">
        <f aca="false">IF('THÁNG 11'!$C82="","",'THÁNG 11'!$H82&amp;"")</f>
        <v/>
      </c>
      <c r="I825" s="0" t="str">
        <f aca="false">IF('THÁNG 11'!$C82="","",N('THÁNG 11'!$I82))</f>
        <v/>
      </c>
      <c r="J825" s="0" t="str">
        <f aca="false">IF('THÁNG 11'!$C82="","",N('THÁNG 11'!$L82))</f>
        <v/>
      </c>
      <c r="K825" s="0" t="str">
        <f aca="false">IF('THÁNG 11'!$C82="","",N('THÁNG 11'!$N82))</f>
        <v/>
      </c>
      <c r="L825" s="0" t="str">
        <f aca="false">IF('THÁNG 11'!$C82="","",N('THÁNG 11'!$O82))</f>
        <v/>
      </c>
      <c r="M825" s="0" t="str">
        <f aca="false">IF('THÁNG 11'!$C82="","",N('THÁNG 11'!$P82))</f>
        <v/>
      </c>
      <c r="N825" s="0" t="str">
        <f aca="false">IF('THÁNG 11'!$C82="","",N('THÁNG 11'!$Q82))</f>
        <v/>
      </c>
      <c r="O825" s="0" t="str">
        <f aca="false">IF('THÁNG 11'!$C82="","",N('THÁNG 11'!$R82))</f>
        <v/>
      </c>
      <c r="P825" s="0" t="str">
        <f aca="false">IF(OR('THÁNG 11'!$C82="",'THÁNG 11'!$T82=""),"",'THÁNG 11'!$T82)</f>
        <v/>
      </c>
      <c r="Q825" s="0" t="str">
        <f aca="false">IF(OR('THÁNG 11'!$C82="",'THÁNG 11'!$U82=""),"",'THÁNG 11'!$U82)</f>
        <v/>
      </c>
      <c r="R825" s="0" t="str">
        <f aca="false">IF('THÁNG 11'!$C82="","",'THÁNG 11'!$W82&amp;"")</f>
        <v/>
      </c>
      <c r="S825" s="0" t="str">
        <f aca="false">IF('THÁNG 11'!$C82="","",'THÁNG 11'!$S82&amp;"")</f>
        <v/>
      </c>
      <c r="T825" s="0" t="str">
        <f aca="false">IF(N($O825)&gt;0,COUNTIF($O$3:$O825,"&gt;0"),"")</f>
        <v/>
      </c>
      <c r="U825" s="0" t="str">
        <f aca="false">IF(AND(N($J825)&gt;0,N($K825)&gt;0),COUNTIFS($J$3:$J825,"&gt;0",$K$3:$K825,"&gt;0"),"")</f>
        <v/>
      </c>
      <c r="V825" s="0" t="str">
        <f aca="false">IF(AND(N($J825)&gt;0,N($K825)=0),COUNTIFS($J$3:$J825,"&gt;0",$K$3:$K825,"&lt;=0"),"")</f>
        <v/>
      </c>
      <c r="W825" s="0" t="str">
        <f aca="false">IF($C825="","",IF(COUNTIF($C$3:$C825,$C825)&gt;1,"",MAX($W$2:W824)+1))</f>
        <v/>
      </c>
      <c r="X825" s="0" t="str">
        <f aca="false">IF($H825="","",IF(COUNTIF($H$3:$H825,$H825)&gt;1,"",MAX($X$2:X824)+1))</f>
        <v/>
      </c>
      <c r="Y825" s="0" t="str">
        <f aca="false">IF(AND(N($M825)&gt;0,N($O825)&lt;=0),COUNTIFS($M$3:$M825,"&gt;0",$O$3:$O825,"&lt;=0"),"")</f>
        <v/>
      </c>
      <c r="Z825" s="30" t="n">
        <f aca="false">IF(OR('THÁNG 11'!$C82="",'THÁNG 11'!$B82=""),0,'THÁNG 11'!$B82)</f>
        <v>0</v>
      </c>
    </row>
    <row r="826" customFormat="false" ht="15" hidden="false" customHeight="false" outlineLevel="0" collapsed="false">
      <c r="A826" s="0" t="n">
        <v>11</v>
      </c>
      <c r="B826" s="29" t="str">
        <f aca="false">IF(OR('THÁNG 11'!$C83="",'THÁNG 11'!$B83=""),"",'THÁNG 11'!$B83)</f>
        <v/>
      </c>
      <c r="C826" s="0" t="str">
        <f aca="false">IF('THÁNG 11'!$C83="","",'THÁNG 11'!$C83)</f>
        <v/>
      </c>
      <c r="D826" s="0" t="str">
        <f aca="false">IF('THÁNG 11'!$C83="","",'THÁNG 11'!$D83&amp;"")</f>
        <v/>
      </c>
      <c r="E826" s="0" t="str">
        <f aca="false">IF('THÁNG 11'!$C83="","",'THÁNG 11'!$E83&amp;"")</f>
        <v/>
      </c>
      <c r="F826" s="0" t="str">
        <f aca="false">IF('THÁNG 11'!$C83="","",'THÁNG 11'!$F83&amp;"")</f>
        <v/>
      </c>
      <c r="G826" s="0" t="str">
        <f aca="false">IF('THÁNG 11'!$C83="","",'THÁNG 11'!$G83&amp;"")</f>
        <v/>
      </c>
      <c r="H826" s="0" t="str">
        <f aca="false">IF('THÁNG 11'!$C83="","",'THÁNG 11'!$H83&amp;"")</f>
        <v/>
      </c>
      <c r="I826" s="0" t="str">
        <f aca="false">IF('THÁNG 11'!$C83="","",N('THÁNG 11'!$I83))</f>
        <v/>
      </c>
      <c r="J826" s="0" t="str">
        <f aca="false">IF('THÁNG 11'!$C83="","",N('THÁNG 11'!$L83))</f>
        <v/>
      </c>
      <c r="K826" s="0" t="str">
        <f aca="false">IF('THÁNG 11'!$C83="","",N('THÁNG 11'!$N83))</f>
        <v/>
      </c>
      <c r="L826" s="0" t="str">
        <f aca="false">IF('THÁNG 11'!$C83="","",N('THÁNG 11'!$O83))</f>
        <v/>
      </c>
      <c r="M826" s="0" t="str">
        <f aca="false">IF('THÁNG 11'!$C83="","",N('THÁNG 11'!$P83))</f>
        <v/>
      </c>
      <c r="N826" s="0" t="str">
        <f aca="false">IF('THÁNG 11'!$C83="","",N('THÁNG 11'!$Q83))</f>
        <v/>
      </c>
      <c r="O826" s="0" t="str">
        <f aca="false">IF('THÁNG 11'!$C83="","",N('THÁNG 11'!$R83))</f>
        <v/>
      </c>
      <c r="P826" s="0" t="str">
        <f aca="false">IF(OR('THÁNG 11'!$C83="",'THÁNG 11'!$T83=""),"",'THÁNG 11'!$T83)</f>
        <v/>
      </c>
      <c r="Q826" s="0" t="str">
        <f aca="false">IF(OR('THÁNG 11'!$C83="",'THÁNG 11'!$U83=""),"",'THÁNG 11'!$U83)</f>
        <v/>
      </c>
      <c r="R826" s="0" t="str">
        <f aca="false">IF('THÁNG 11'!$C83="","",'THÁNG 11'!$W83&amp;"")</f>
        <v/>
      </c>
      <c r="S826" s="0" t="str">
        <f aca="false">IF('THÁNG 11'!$C83="","",'THÁNG 11'!$S83&amp;"")</f>
        <v/>
      </c>
      <c r="T826" s="0" t="str">
        <f aca="false">IF(N($O826)&gt;0,COUNTIF($O$3:$O826,"&gt;0"),"")</f>
        <v/>
      </c>
      <c r="U826" s="0" t="str">
        <f aca="false">IF(AND(N($J826)&gt;0,N($K826)&gt;0),COUNTIFS($J$3:$J826,"&gt;0",$K$3:$K826,"&gt;0"),"")</f>
        <v/>
      </c>
      <c r="V826" s="0" t="str">
        <f aca="false">IF(AND(N($J826)&gt;0,N($K826)=0),COUNTIFS($J$3:$J826,"&gt;0",$K$3:$K826,"&lt;=0"),"")</f>
        <v/>
      </c>
      <c r="W826" s="0" t="str">
        <f aca="false">IF($C826="","",IF(COUNTIF($C$3:$C826,$C826)&gt;1,"",MAX($W$2:W825)+1))</f>
        <v/>
      </c>
      <c r="X826" s="0" t="str">
        <f aca="false">IF($H826="","",IF(COUNTIF($H$3:$H826,$H826)&gt;1,"",MAX($X$2:X825)+1))</f>
        <v/>
      </c>
      <c r="Y826" s="0" t="str">
        <f aca="false">IF(AND(N($M826)&gt;0,N($O826)&lt;=0),COUNTIFS($M$3:$M826,"&gt;0",$O$3:$O826,"&lt;=0"),"")</f>
        <v/>
      </c>
      <c r="Z826" s="30" t="n">
        <f aca="false">IF(OR('THÁNG 11'!$C83="",'THÁNG 11'!$B83=""),0,'THÁNG 11'!$B83)</f>
        <v>0</v>
      </c>
    </row>
    <row r="827" customFormat="false" ht="15" hidden="false" customHeight="false" outlineLevel="0" collapsed="false">
      <c r="A827" s="0" t="n">
        <v>11</v>
      </c>
      <c r="B827" s="29" t="str">
        <f aca="false">IF(OR('THÁNG 11'!$C84="",'THÁNG 11'!$B84=""),"",'THÁNG 11'!$B84)</f>
        <v/>
      </c>
      <c r="C827" s="0" t="str">
        <f aca="false">IF('THÁNG 11'!$C84="","",'THÁNG 11'!$C84)</f>
        <v/>
      </c>
      <c r="D827" s="0" t="str">
        <f aca="false">IF('THÁNG 11'!$C84="","",'THÁNG 11'!$D84&amp;"")</f>
        <v/>
      </c>
      <c r="E827" s="0" t="str">
        <f aca="false">IF('THÁNG 11'!$C84="","",'THÁNG 11'!$E84&amp;"")</f>
        <v/>
      </c>
      <c r="F827" s="0" t="str">
        <f aca="false">IF('THÁNG 11'!$C84="","",'THÁNG 11'!$F84&amp;"")</f>
        <v/>
      </c>
      <c r="G827" s="0" t="str">
        <f aca="false">IF('THÁNG 11'!$C84="","",'THÁNG 11'!$G84&amp;"")</f>
        <v/>
      </c>
      <c r="H827" s="0" t="str">
        <f aca="false">IF('THÁNG 11'!$C84="","",'THÁNG 11'!$H84&amp;"")</f>
        <v/>
      </c>
      <c r="I827" s="0" t="str">
        <f aca="false">IF('THÁNG 11'!$C84="","",N('THÁNG 11'!$I84))</f>
        <v/>
      </c>
      <c r="J827" s="0" t="str">
        <f aca="false">IF('THÁNG 11'!$C84="","",N('THÁNG 11'!$L84))</f>
        <v/>
      </c>
      <c r="K827" s="0" t="str">
        <f aca="false">IF('THÁNG 11'!$C84="","",N('THÁNG 11'!$N84))</f>
        <v/>
      </c>
      <c r="L827" s="0" t="str">
        <f aca="false">IF('THÁNG 11'!$C84="","",N('THÁNG 11'!$O84))</f>
        <v/>
      </c>
      <c r="M827" s="0" t="str">
        <f aca="false">IF('THÁNG 11'!$C84="","",N('THÁNG 11'!$P84))</f>
        <v/>
      </c>
      <c r="N827" s="0" t="str">
        <f aca="false">IF('THÁNG 11'!$C84="","",N('THÁNG 11'!$Q84))</f>
        <v/>
      </c>
      <c r="O827" s="0" t="str">
        <f aca="false">IF('THÁNG 11'!$C84="","",N('THÁNG 11'!$R84))</f>
        <v/>
      </c>
      <c r="P827" s="0" t="str">
        <f aca="false">IF(OR('THÁNG 11'!$C84="",'THÁNG 11'!$T84=""),"",'THÁNG 11'!$T84)</f>
        <v/>
      </c>
      <c r="Q827" s="0" t="str">
        <f aca="false">IF(OR('THÁNG 11'!$C84="",'THÁNG 11'!$U84=""),"",'THÁNG 11'!$U84)</f>
        <v/>
      </c>
      <c r="R827" s="0" t="str">
        <f aca="false">IF('THÁNG 11'!$C84="","",'THÁNG 11'!$W84&amp;"")</f>
        <v/>
      </c>
      <c r="S827" s="0" t="str">
        <f aca="false">IF('THÁNG 11'!$C84="","",'THÁNG 11'!$S84&amp;"")</f>
        <v/>
      </c>
      <c r="T827" s="0" t="str">
        <f aca="false">IF(N($O827)&gt;0,COUNTIF($O$3:$O827,"&gt;0"),"")</f>
        <v/>
      </c>
      <c r="U827" s="0" t="str">
        <f aca="false">IF(AND(N($J827)&gt;0,N($K827)&gt;0),COUNTIFS($J$3:$J827,"&gt;0",$K$3:$K827,"&gt;0"),"")</f>
        <v/>
      </c>
      <c r="V827" s="0" t="str">
        <f aca="false">IF(AND(N($J827)&gt;0,N($K827)=0),COUNTIFS($J$3:$J827,"&gt;0",$K$3:$K827,"&lt;=0"),"")</f>
        <v/>
      </c>
      <c r="W827" s="0" t="str">
        <f aca="false">IF($C827="","",IF(COUNTIF($C$3:$C827,$C827)&gt;1,"",MAX($W$2:W826)+1))</f>
        <v/>
      </c>
      <c r="X827" s="0" t="str">
        <f aca="false">IF($H827="","",IF(COUNTIF($H$3:$H827,$H827)&gt;1,"",MAX($X$2:X826)+1))</f>
        <v/>
      </c>
      <c r="Y827" s="0" t="str">
        <f aca="false">IF(AND(N($M827)&gt;0,N($O827)&lt;=0),COUNTIFS($M$3:$M827,"&gt;0",$O$3:$O827,"&lt;=0"),"")</f>
        <v/>
      </c>
      <c r="Z827" s="30" t="n">
        <f aca="false">IF(OR('THÁNG 11'!$C84="",'THÁNG 11'!$B84=""),0,'THÁNG 11'!$B84)</f>
        <v>0</v>
      </c>
    </row>
    <row r="828" customFormat="false" ht="15" hidden="false" customHeight="false" outlineLevel="0" collapsed="false">
      <c r="A828" s="0" t="n">
        <v>11</v>
      </c>
      <c r="B828" s="29" t="str">
        <f aca="false">IF(OR('THÁNG 11'!$C85="",'THÁNG 11'!$B85=""),"",'THÁNG 11'!$B85)</f>
        <v/>
      </c>
      <c r="C828" s="0" t="str">
        <f aca="false">IF('THÁNG 11'!$C85="","",'THÁNG 11'!$C85)</f>
        <v/>
      </c>
      <c r="D828" s="0" t="str">
        <f aca="false">IF('THÁNG 11'!$C85="","",'THÁNG 11'!$D85&amp;"")</f>
        <v/>
      </c>
      <c r="E828" s="0" t="str">
        <f aca="false">IF('THÁNG 11'!$C85="","",'THÁNG 11'!$E85&amp;"")</f>
        <v/>
      </c>
      <c r="F828" s="0" t="str">
        <f aca="false">IF('THÁNG 11'!$C85="","",'THÁNG 11'!$F85&amp;"")</f>
        <v/>
      </c>
      <c r="G828" s="0" t="str">
        <f aca="false">IF('THÁNG 11'!$C85="","",'THÁNG 11'!$G85&amp;"")</f>
        <v/>
      </c>
      <c r="H828" s="0" t="str">
        <f aca="false">IF('THÁNG 11'!$C85="","",'THÁNG 11'!$H85&amp;"")</f>
        <v/>
      </c>
      <c r="I828" s="0" t="str">
        <f aca="false">IF('THÁNG 11'!$C85="","",N('THÁNG 11'!$I85))</f>
        <v/>
      </c>
      <c r="J828" s="0" t="str">
        <f aca="false">IF('THÁNG 11'!$C85="","",N('THÁNG 11'!$L85))</f>
        <v/>
      </c>
      <c r="K828" s="0" t="str">
        <f aca="false">IF('THÁNG 11'!$C85="","",N('THÁNG 11'!$N85))</f>
        <v/>
      </c>
      <c r="L828" s="0" t="str">
        <f aca="false">IF('THÁNG 11'!$C85="","",N('THÁNG 11'!$O85))</f>
        <v/>
      </c>
      <c r="M828" s="0" t="str">
        <f aca="false">IF('THÁNG 11'!$C85="","",N('THÁNG 11'!$P85))</f>
        <v/>
      </c>
      <c r="N828" s="0" t="str">
        <f aca="false">IF('THÁNG 11'!$C85="","",N('THÁNG 11'!$Q85))</f>
        <v/>
      </c>
      <c r="O828" s="0" t="str">
        <f aca="false">IF('THÁNG 11'!$C85="","",N('THÁNG 11'!$R85))</f>
        <v/>
      </c>
      <c r="P828" s="0" t="str">
        <f aca="false">IF(OR('THÁNG 11'!$C85="",'THÁNG 11'!$T85=""),"",'THÁNG 11'!$T85)</f>
        <v/>
      </c>
      <c r="Q828" s="0" t="str">
        <f aca="false">IF(OR('THÁNG 11'!$C85="",'THÁNG 11'!$U85=""),"",'THÁNG 11'!$U85)</f>
        <v/>
      </c>
      <c r="R828" s="0" t="str">
        <f aca="false">IF('THÁNG 11'!$C85="","",'THÁNG 11'!$W85&amp;"")</f>
        <v/>
      </c>
      <c r="S828" s="0" t="str">
        <f aca="false">IF('THÁNG 11'!$C85="","",'THÁNG 11'!$S85&amp;"")</f>
        <v/>
      </c>
      <c r="T828" s="0" t="str">
        <f aca="false">IF(N($O828)&gt;0,COUNTIF($O$3:$O828,"&gt;0"),"")</f>
        <v/>
      </c>
      <c r="U828" s="0" t="str">
        <f aca="false">IF(AND(N($J828)&gt;0,N($K828)&gt;0),COUNTIFS($J$3:$J828,"&gt;0",$K$3:$K828,"&gt;0"),"")</f>
        <v/>
      </c>
      <c r="V828" s="0" t="str">
        <f aca="false">IF(AND(N($J828)&gt;0,N($K828)=0),COUNTIFS($J$3:$J828,"&gt;0",$K$3:$K828,"&lt;=0"),"")</f>
        <v/>
      </c>
      <c r="W828" s="0" t="str">
        <f aca="false">IF($C828="","",IF(COUNTIF($C$3:$C828,$C828)&gt;1,"",MAX($W$2:W827)+1))</f>
        <v/>
      </c>
      <c r="X828" s="0" t="str">
        <f aca="false">IF($H828="","",IF(COUNTIF($H$3:$H828,$H828)&gt;1,"",MAX($X$2:X827)+1))</f>
        <v/>
      </c>
      <c r="Y828" s="0" t="str">
        <f aca="false">IF(AND(N($M828)&gt;0,N($O828)&lt;=0),COUNTIFS($M$3:$M828,"&gt;0",$O$3:$O828,"&lt;=0"),"")</f>
        <v/>
      </c>
      <c r="Z828" s="30" t="n">
        <f aca="false">IF(OR('THÁNG 11'!$C85="",'THÁNG 11'!$B85=""),0,'THÁNG 11'!$B85)</f>
        <v>0</v>
      </c>
    </row>
    <row r="829" customFormat="false" ht="15" hidden="false" customHeight="false" outlineLevel="0" collapsed="false">
      <c r="A829" s="0" t="n">
        <v>11</v>
      </c>
      <c r="B829" s="29" t="str">
        <f aca="false">IF(OR('THÁNG 11'!$C86="",'THÁNG 11'!$B86=""),"",'THÁNG 11'!$B86)</f>
        <v/>
      </c>
      <c r="C829" s="0" t="str">
        <f aca="false">IF('THÁNG 11'!$C86="","",'THÁNG 11'!$C86)</f>
        <v/>
      </c>
      <c r="D829" s="0" t="str">
        <f aca="false">IF('THÁNG 11'!$C86="","",'THÁNG 11'!$D86&amp;"")</f>
        <v/>
      </c>
      <c r="E829" s="0" t="str">
        <f aca="false">IF('THÁNG 11'!$C86="","",'THÁNG 11'!$E86&amp;"")</f>
        <v/>
      </c>
      <c r="F829" s="0" t="str">
        <f aca="false">IF('THÁNG 11'!$C86="","",'THÁNG 11'!$F86&amp;"")</f>
        <v/>
      </c>
      <c r="G829" s="0" t="str">
        <f aca="false">IF('THÁNG 11'!$C86="","",'THÁNG 11'!$G86&amp;"")</f>
        <v/>
      </c>
      <c r="H829" s="0" t="str">
        <f aca="false">IF('THÁNG 11'!$C86="","",'THÁNG 11'!$H86&amp;"")</f>
        <v/>
      </c>
      <c r="I829" s="0" t="str">
        <f aca="false">IF('THÁNG 11'!$C86="","",N('THÁNG 11'!$I86))</f>
        <v/>
      </c>
      <c r="J829" s="0" t="str">
        <f aca="false">IF('THÁNG 11'!$C86="","",N('THÁNG 11'!$L86))</f>
        <v/>
      </c>
      <c r="K829" s="0" t="str">
        <f aca="false">IF('THÁNG 11'!$C86="","",N('THÁNG 11'!$N86))</f>
        <v/>
      </c>
      <c r="L829" s="0" t="str">
        <f aca="false">IF('THÁNG 11'!$C86="","",N('THÁNG 11'!$O86))</f>
        <v/>
      </c>
      <c r="M829" s="0" t="str">
        <f aca="false">IF('THÁNG 11'!$C86="","",N('THÁNG 11'!$P86))</f>
        <v/>
      </c>
      <c r="N829" s="0" t="str">
        <f aca="false">IF('THÁNG 11'!$C86="","",N('THÁNG 11'!$Q86))</f>
        <v/>
      </c>
      <c r="O829" s="0" t="str">
        <f aca="false">IF('THÁNG 11'!$C86="","",N('THÁNG 11'!$R86))</f>
        <v/>
      </c>
      <c r="P829" s="0" t="str">
        <f aca="false">IF(OR('THÁNG 11'!$C86="",'THÁNG 11'!$T86=""),"",'THÁNG 11'!$T86)</f>
        <v/>
      </c>
      <c r="Q829" s="0" t="str">
        <f aca="false">IF(OR('THÁNG 11'!$C86="",'THÁNG 11'!$U86=""),"",'THÁNG 11'!$U86)</f>
        <v/>
      </c>
      <c r="R829" s="0" t="str">
        <f aca="false">IF('THÁNG 11'!$C86="","",'THÁNG 11'!$W86&amp;"")</f>
        <v/>
      </c>
      <c r="S829" s="0" t="str">
        <f aca="false">IF('THÁNG 11'!$C86="","",'THÁNG 11'!$S86&amp;"")</f>
        <v/>
      </c>
      <c r="T829" s="0" t="str">
        <f aca="false">IF(N($O829)&gt;0,COUNTIF($O$3:$O829,"&gt;0"),"")</f>
        <v/>
      </c>
      <c r="U829" s="0" t="str">
        <f aca="false">IF(AND(N($J829)&gt;0,N($K829)&gt;0),COUNTIFS($J$3:$J829,"&gt;0",$K$3:$K829,"&gt;0"),"")</f>
        <v/>
      </c>
      <c r="V829" s="0" t="str">
        <f aca="false">IF(AND(N($J829)&gt;0,N($K829)=0),COUNTIFS($J$3:$J829,"&gt;0",$K$3:$K829,"&lt;=0"),"")</f>
        <v/>
      </c>
      <c r="W829" s="0" t="str">
        <f aca="false">IF($C829="","",IF(COUNTIF($C$3:$C829,$C829)&gt;1,"",MAX($W$2:W828)+1))</f>
        <v/>
      </c>
      <c r="X829" s="0" t="str">
        <f aca="false">IF($H829="","",IF(COUNTIF($H$3:$H829,$H829)&gt;1,"",MAX($X$2:X828)+1))</f>
        <v/>
      </c>
      <c r="Y829" s="0" t="str">
        <f aca="false">IF(AND(N($M829)&gt;0,N($O829)&lt;=0),COUNTIFS($M$3:$M829,"&gt;0",$O$3:$O829,"&lt;=0"),"")</f>
        <v/>
      </c>
      <c r="Z829" s="30" t="n">
        <f aca="false">IF(OR('THÁNG 11'!$C86="",'THÁNG 11'!$B86=""),0,'THÁNG 11'!$B86)</f>
        <v>0</v>
      </c>
    </row>
    <row r="830" customFormat="false" ht="15" hidden="false" customHeight="false" outlineLevel="0" collapsed="false">
      <c r="A830" s="0" t="n">
        <v>11</v>
      </c>
      <c r="B830" s="29" t="str">
        <f aca="false">IF(OR('THÁNG 11'!$C87="",'THÁNG 11'!$B87=""),"",'THÁNG 11'!$B87)</f>
        <v/>
      </c>
      <c r="C830" s="0" t="str">
        <f aca="false">IF('THÁNG 11'!$C87="","",'THÁNG 11'!$C87)</f>
        <v/>
      </c>
      <c r="D830" s="0" t="str">
        <f aca="false">IF('THÁNG 11'!$C87="","",'THÁNG 11'!$D87&amp;"")</f>
        <v/>
      </c>
      <c r="E830" s="0" t="str">
        <f aca="false">IF('THÁNG 11'!$C87="","",'THÁNG 11'!$E87&amp;"")</f>
        <v/>
      </c>
      <c r="F830" s="0" t="str">
        <f aca="false">IF('THÁNG 11'!$C87="","",'THÁNG 11'!$F87&amp;"")</f>
        <v/>
      </c>
      <c r="G830" s="0" t="str">
        <f aca="false">IF('THÁNG 11'!$C87="","",'THÁNG 11'!$G87&amp;"")</f>
        <v/>
      </c>
      <c r="H830" s="0" t="str">
        <f aca="false">IF('THÁNG 11'!$C87="","",'THÁNG 11'!$H87&amp;"")</f>
        <v/>
      </c>
      <c r="I830" s="0" t="str">
        <f aca="false">IF('THÁNG 11'!$C87="","",N('THÁNG 11'!$I87))</f>
        <v/>
      </c>
      <c r="J830" s="0" t="str">
        <f aca="false">IF('THÁNG 11'!$C87="","",N('THÁNG 11'!$L87))</f>
        <v/>
      </c>
      <c r="K830" s="0" t="str">
        <f aca="false">IF('THÁNG 11'!$C87="","",N('THÁNG 11'!$N87))</f>
        <v/>
      </c>
      <c r="L830" s="0" t="str">
        <f aca="false">IF('THÁNG 11'!$C87="","",N('THÁNG 11'!$O87))</f>
        <v/>
      </c>
      <c r="M830" s="0" t="str">
        <f aca="false">IF('THÁNG 11'!$C87="","",N('THÁNG 11'!$P87))</f>
        <v/>
      </c>
      <c r="N830" s="0" t="str">
        <f aca="false">IF('THÁNG 11'!$C87="","",N('THÁNG 11'!$Q87))</f>
        <v/>
      </c>
      <c r="O830" s="0" t="str">
        <f aca="false">IF('THÁNG 11'!$C87="","",N('THÁNG 11'!$R87))</f>
        <v/>
      </c>
      <c r="P830" s="0" t="str">
        <f aca="false">IF(OR('THÁNG 11'!$C87="",'THÁNG 11'!$T87=""),"",'THÁNG 11'!$T87)</f>
        <v/>
      </c>
      <c r="Q830" s="0" t="str">
        <f aca="false">IF(OR('THÁNG 11'!$C87="",'THÁNG 11'!$U87=""),"",'THÁNG 11'!$U87)</f>
        <v/>
      </c>
      <c r="R830" s="0" t="str">
        <f aca="false">IF('THÁNG 11'!$C87="","",'THÁNG 11'!$W87&amp;"")</f>
        <v/>
      </c>
      <c r="S830" s="0" t="str">
        <f aca="false">IF('THÁNG 11'!$C87="","",'THÁNG 11'!$S87&amp;"")</f>
        <v/>
      </c>
      <c r="T830" s="0" t="str">
        <f aca="false">IF(N($O830)&gt;0,COUNTIF($O$3:$O830,"&gt;0"),"")</f>
        <v/>
      </c>
      <c r="U830" s="0" t="str">
        <f aca="false">IF(AND(N($J830)&gt;0,N($K830)&gt;0),COUNTIFS($J$3:$J830,"&gt;0",$K$3:$K830,"&gt;0"),"")</f>
        <v/>
      </c>
      <c r="V830" s="0" t="str">
        <f aca="false">IF(AND(N($J830)&gt;0,N($K830)=0),COUNTIFS($J$3:$J830,"&gt;0",$K$3:$K830,"&lt;=0"),"")</f>
        <v/>
      </c>
      <c r="W830" s="0" t="str">
        <f aca="false">IF($C830="","",IF(COUNTIF($C$3:$C830,$C830)&gt;1,"",MAX($W$2:W829)+1))</f>
        <v/>
      </c>
      <c r="X830" s="0" t="str">
        <f aca="false">IF($H830="","",IF(COUNTIF($H$3:$H830,$H830)&gt;1,"",MAX($X$2:X829)+1))</f>
        <v/>
      </c>
      <c r="Y830" s="0" t="str">
        <f aca="false">IF(AND(N($M830)&gt;0,N($O830)&lt;=0),COUNTIFS($M$3:$M830,"&gt;0",$O$3:$O830,"&lt;=0"),"")</f>
        <v/>
      </c>
      <c r="Z830" s="30" t="n">
        <f aca="false">IF(OR('THÁNG 11'!$C87="",'THÁNG 11'!$B87=""),0,'THÁNG 11'!$B87)</f>
        <v>0</v>
      </c>
    </row>
    <row r="831" customFormat="false" ht="15" hidden="false" customHeight="false" outlineLevel="0" collapsed="false">
      <c r="A831" s="0" t="n">
        <v>11</v>
      </c>
      <c r="B831" s="29" t="str">
        <f aca="false">IF(OR('THÁNG 11'!$C88="",'THÁNG 11'!$B88=""),"",'THÁNG 11'!$B88)</f>
        <v/>
      </c>
      <c r="C831" s="0" t="str">
        <f aca="false">IF('THÁNG 11'!$C88="","",'THÁNG 11'!$C88)</f>
        <v/>
      </c>
      <c r="D831" s="0" t="str">
        <f aca="false">IF('THÁNG 11'!$C88="","",'THÁNG 11'!$D88&amp;"")</f>
        <v/>
      </c>
      <c r="E831" s="0" t="str">
        <f aca="false">IF('THÁNG 11'!$C88="","",'THÁNG 11'!$E88&amp;"")</f>
        <v/>
      </c>
      <c r="F831" s="0" t="str">
        <f aca="false">IF('THÁNG 11'!$C88="","",'THÁNG 11'!$F88&amp;"")</f>
        <v/>
      </c>
      <c r="G831" s="0" t="str">
        <f aca="false">IF('THÁNG 11'!$C88="","",'THÁNG 11'!$G88&amp;"")</f>
        <v/>
      </c>
      <c r="H831" s="0" t="str">
        <f aca="false">IF('THÁNG 11'!$C88="","",'THÁNG 11'!$H88&amp;"")</f>
        <v/>
      </c>
      <c r="I831" s="0" t="str">
        <f aca="false">IF('THÁNG 11'!$C88="","",N('THÁNG 11'!$I88))</f>
        <v/>
      </c>
      <c r="J831" s="0" t="str">
        <f aca="false">IF('THÁNG 11'!$C88="","",N('THÁNG 11'!$L88))</f>
        <v/>
      </c>
      <c r="K831" s="0" t="str">
        <f aca="false">IF('THÁNG 11'!$C88="","",N('THÁNG 11'!$N88))</f>
        <v/>
      </c>
      <c r="L831" s="0" t="str">
        <f aca="false">IF('THÁNG 11'!$C88="","",N('THÁNG 11'!$O88))</f>
        <v/>
      </c>
      <c r="M831" s="0" t="str">
        <f aca="false">IF('THÁNG 11'!$C88="","",N('THÁNG 11'!$P88))</f>
        <v/>
      </c>
      <c r="N831" s="0" t="str">
        <f aca="false">IF('THÁNG 11'!$C88="","",N('THÁNG 11'!$Q88))</f>
        <v/>
      </c>
      <c r="O831" s="0" t="str">
        <f aca="false">IF('THÁNG 11'!$C88="","",N('THÁNG 11'!$R88))</f>
        <v/>
      </c>
      <c r="P831" s="0" t="str">
        <f aca="false">IF(OR('THÁNG 11'!$C88="",'THÁNG 11'!$T88=""),"",'THÁNG 11'!$T88)</f>
        <v/>
      </c>
      <c r="Q831" s="0" t="str">
        <f aca="false">IF(OR('THÁNG 11'!$C88="",'THÁNG 11'!$U88=""),"",'THÁNG 11'!$U88)</f>
        <v/>
      </c>
      <c r="R831" s="0" t="str">
        <f aca="false">IF('THÁNG 11'!$C88="","",'THÁNG 11'!$W88&amp;"")</f>
        <v/>
      </c>
      <c r="S831" s="0" t="str">
        <f aca="false">IF('THÁNG 11'!$C88="","",'THÁNG 11'!$S88&amp;"")</f>
        <v/>
      </c>
      <c r="T831" s="0" t="str">
        <f aca="false">IF(N($O831)&gt;0,COUNTIF($O$3:$O831,"&gt;0"),"")</f>
        <v/>
      </c>
      <c r="U831" s="0" t="str">
        <f aca="false">IF(AND(N($J831)&gt;0,N($K831)&gt;0),COUNTIFS($J$3:$J831,"&gt;0",$K$3:$K831,"&gt;0"),"")</f>
        <v/>
      </c>
      <c r="V831" s="0" t="str">
        <f aca="false">IF(AND(N($J831)&gt;0,N($K831)=0),COUNTIFS($J$3:$J831,"&gt;0",$K$3:$K831,"&lt;=0"),"")</f>
        <v/>
      </c>
      <c r="W831" s="0" t="str">
        <f aca="false">IF($C831="","",IF(COUNTIF($C$3:$C831,$C831)&gt;1,"",MAX($W$2:W830)+1))</f>
        <v/>
      </c>
      <c r="X831" s="0" t="str">
        <f aca="false">IF($H831="","",IF(COUNTIF($H$3:$H831,$H831)&gt;1,"",MAX($X$2:X830)+1))</f>
        <v/>
      </c>
      <c r="Y831" s="0" t="str">
        <f aca="false">IF(AND(N($M831)&gt;0,N($O831)&lt;=0),COUNTIFS($M$3:$M831,"&gt;0",$O$3:$O831,"&lt;=0"),"")</f>
        <v/>
      </c>
      <c r="Z831" s="30" t="n">
        <f aca="false">IF(OR('THÁNG 11'!$C88="",'THÁNG 11'!$B88=""),0,'THÁNG 11'!$B88)</f>
        <v>0</v>
      </c>
    </row>
    <row r="832" customFormat="false" ht="15" hidden="false" customHeight="false" outlineLevel="0" collapsed="false">
      <c r="A832" s="0" t="n">
        <v>11</v>
      </c>
      <c r="B832" s="29" t="str">
        <f aca="false">IF(OR('THÁNG 11'!$C89="",'THÁNG 11'!$B89=""),"",'THÁNG 11'!$B89)</f>
        <v/>
      </c>
      <c r="C832" s="0" t="str">
        <f aca="false">IF('THÁNG 11'!$C89="","",'THÁNG 11'!$C89)</f>
        <v/>
      </c>
      <c r="D832" s="0" t="str">
        <f aca="false">IF('THÁNG 11'!$C89="","",'THÁNG 11'!$D89&amp;"")</f>
        <v/>
      </c>
      <c r="E832" s="0" t="str">
        <f aca="false">IF('THÁNG 11'!$C89="","",'THÁNG 11'!$E89&amp;"")</f>
        <v/>
      </c>
      <c r="F832" s="0" t="str">
        <f aca="false">IF('THÁNG 11'!$C89="","",'THÁNG 11'!$F89&amp;"")</f>
        <v/>
      </c>
      <c r="G832" s="0" t="str">
        <f aca="false">IF('THÁNG 11'!$C89="","",'THÁNG 11'!$G89&amp;"")</f>
        <v/>
      </c>
      <c r="H832" s="0" t="str">
        <f aca="false">IF('THÁNG 11'!$C89="","",'THÁNG 11'!$H89&amp;"")</f>
        <v/>
      </c>
      <c r="I832" s="0" t="str">
        <f aca="false">IF('THÁNG 11'!$C89="","",N('THÁNG 11'!$I89))</f>
        <v/>
      </c>
      <c r="J832" s="0" t="str">
        <f aca="false">IF('THÁNG 11'!$C89="","",N('THÁNG 11'!$L89))</f>
        <v/>
      </c>
      <c r="K832" s="0" t="str">
        <f aca="false">IF('THÁNG 11'!$C89="","",N('THÁNG 11'!$N89))</f>
        <v/>
      </c>
      <c r="L832" s="0" t="str">
        <f aca="false">IF('THÁNG 11'!$C89="","",N('THÁNG 11'!$O89))</f>
        <v/>
      </c>
      <c r="M832" s="0" t="str">
        <f aca="false">IF('THÁNG 11'!$C89="","",N('THÁNG 11'!$P89))</f>
        <v/>
      </c>
      <c r="N832" s="0" t="str">
        <f aca="false">IF('THÁNG 11'!$C89="","",N('THÁNG 11'!$Q89))</f>
        <v/>
      </c>
      <c r="O832" s="0" t="str">
        <f aca="false">IF('THÁNG 11'!$C89="","",N('THÁNG 11'!$R89))</f>
        <v/>
      </c>
      <c r="P832" s="0" t="str">
        <f aca="false">IF(OR('THÁNG 11'!$C89="",'THÁNG 11'!$T89=""),"",'THÁNG 11'!$T89)</f>
        <v/>
      </c>
      <c r="Q832" s="0" t="str">
        <f aca="false">IF(OR('THÁNG 11'!$C89="",'THÁNG 11'!$U89=""),"",'THÁNG 11'!$U89)</f>
        <v/>
      </c>
      <c r="R832" s="0" t="str">
        <f aca="false">IF('THÁNG 11'!$C89="","",'THÁNG 11'!$W89&amp;"")</f>
        <v/>
      </c>
      <c r="S832" s="0" t="str">
        <f aca="false">IF('THÁNG 11'!$C89="","",'THÁNG 11'!$S89&amp;"")</f>
        <v/>
      </c>
      <c r="T832" s="0" t="str">
        <f aca="false">IF(N($O832)&gt;0,COUNTIF($O$3:$O832,"&gt;0"),"")</f>
        <v/>
      </c>
      <c r="U832" s="0" t="str">
        <f aca="false">IF(AND(N($J832)&gt;0,N($K832)&gt;0),COUNTIFS($J$3:$J832,"&gt;0",$K$3:$K832,"&gt;0"),"")</f>
        <v/>
      </c>
      <c r="V832" s="0" t="str">
        <f aca="false">IF(AND(N($J832)&gt;0,N($K832)=0),COUNTIFS($J$3:$J832,"&gt;0",$K$3:$K832,"&lt;=0"),"")</f>
        <v/>
      </c>
      <c r="W832" s="0" t="str">
        <f aca="false">IF($C832="","",IF(COUNTIF($C$3:$C832,$C832)&gt;1,"",MAX($W$2:W831)+1))</f>
        <v/>
      </c>
      <c r="X832" s="0" t="str">
        <f aca="false">IF($H832="","",IF(COUNTIF($H$3:$H832,$H832)&gt;1,"",MAX($X$2:X831)+1))</f>
        <v/>
      </c>
      <c r="Y832" s="0" t="str">
        <f aca="false">IF(AND(N($M832)&gt;0,N($O832)&lt;=0),COUNTIFS($M$3:$M832,"&gt;0",$O$3:$O832,"&lt;=0"),"")</f>
        <v/>
      </c>
      <c r="Z832" s="30" t="n">
        <f aca="false">IF(OR('THÁNG 11'!$C89="",'THÁNG 11'!$B89=""),0,'THÁNG 11'!$B89)</f>
        <v>0</v>
      </c>
    </row>
    <row r="833" customFormat="false" ht="15" hidden="false" customHeight="false" outlineLevel="0" collapsed="false">
      <c r="A833" s="0" t="n">
        <v>11</v>
      </c>
      <c r="B833" s="29" t="str">
        <f aca="false">IF(OR('THÁNG 11'!$C90="",'THÁNG 11'!$B90=""),"",'THÁNG 11'!$B90)</f>
        <v/>
      </c>
      <c r="C833" s="0" t="str">
        <f aca="false">IF('THÁNG 11'!$C90="","",'THÁNG 11'!$C90)</f>
        <v/>
      </c>
      <c r="D833" s="0" t="str">
        <f aca="false">IF('THÁNG 11'!$C90="","",'THÁNG 11'!$D90&amp;"")</f>
        <v/>
      </c>
      <c r="E833" s="0" t="str">
        <f aca="false">IF('THÁNG 11'!$C90="","",'THÁNG 11'!$E90&amp;"")</f>
        <v/>
      </c>
      <c r="F833" s="0" t="str">
        <f aca="false">IF('THÁNG 11'!$C90="","",'THÁNG 11'!$F90&amp;"")</f>
        <v/>
      </c>
      <c r="G833" s="0" t="str">
        <f aca="false">IF('THÁNG 11'!$C90="","",'THÁNG 11'!$G90&amp;"")</f>
        <v/>
      </c>
      <c r="H833" s="0" t="str">
        <f aca="false">IF('THÁNG 11'!$C90="","",'THÁNG 11'!$H90&amp;"")</f>
        <v/>
      </c>
      <c r="I833" s="0" t="str">
        <f aca="false">IF('THÁNG 11'!$C90="","",N('THÁNG 11'!$I90))</f>
        <v/>
      </c>
      <c r="J833" s="0" t="str">
        <f aca="false">IF('THÁNG 11'!$C90="","",N('THÁNG 11'!$L90))</f>
        <v/>
      </c>
      <c r="K833" s="0" t="str">
        <f aca="false">IF('THÁNG 11'!$C90="","",N('THÁNG 11'!$N90))</f>
        <v/>
      </c>
      <c r="L833" s="0" t="str">
        <f aca="false">IF('THÁNG 11'!$C90="","",N('THÁNG 11'!$O90))</f>
        <v/>
      </c>
      <c r="M833" s="0" t="str">
        <f aca="false">IF('THÁNG 11'!$C90="","",N('THÁNG 11'!$P90))</f>
        <v/>
      </c>
      <c r="N833" s="0" t="str">
        <f aca="false">IF('THÁNG 11'!$C90="","",N('THÁNG 11'!$Q90))</f>
        <v/>
      </c>
      <c r="O833" s="0" t="str">
        <f aca="false">IF('THÁNG 11'!$C90="","",N('THÁNG 11'!$R90))</f>
        <v/>
      </c>
      <c r="P833" s="0" t="str">
        <f aca="false">IF(OR('THÁNG 11'!$C90="",'THÁNG 11'!$T90=""),"",'THÁNG 11'!$T90)</f>
        <v/>
      </c>
      <c r="Q833" s="0" t="str">
        <f aca="false">IF(OR('THÁNG 11'!$C90="",'THÁNG 11'!$U90=""),"",'THÁNG 11'!$U90)</f>
        <v/>
      </c>
      <c r="R833" s="0" t="str">
        <f aca="false">IF('THÁNG 11'!$C90="","",'THÁNG 11'!$W90&amp;"")</f>
        <v/>
      </c>
      <c r="S833" s="0" t="str">
        <f aca="false">IF('THÁNG 11'!$C90="","",'THÁNG 11'!$S90&amp;"")</f>
        <v/>
      </c>
      <c r="T833" s="0" t="str">
        <f aca="false">IF(N($O833)&gt;0,COUNTIF($O$3:$O833,"&gt;0"),"")</f>
        <v/>
      </c>
      <c r="U833" s="0" t="str">
        <f aca="false">IF(AND(N($J833)&gt;0,N($K833)&gt;0),COUNTIFS($J$3:$J833,"&gt;0",$K$3:$K833,"&gt;0"),"")</f>
        <v/>
      </c>
      <c r="V833" s="0" t="str">
        <f aca="false">IF(AND(N($J833)&gt;0,N($K833)=0),COUNTIFS($J$3:$J833,"&gt;0",$K$3:$K833,"&lt;=0"),"")</f>
        <v/>
      </c>
      <c r="W833" s="0" t="str">
        <f aca="false">IF($C833="","",IF(COUNTIF($C$3:$C833,$C833)&gt;1,"",MAX($W$2:W832)+1))</f>
        <v/>
      </c>
      <c r="X833" s="0" t="str">
        <f aca="false">IF($H833="","",IF(COUNTIF($H$3:$H833,$H833)&gt;1,"",MAX($X$2:X832)+1))</f>
        <v/>
      </c>
      <c r="Y833" s="0" t="str">
        <f aca="false">IF(AND(N($M833)&gt;0,N($O833)&lt;=0),COUNTIFS($M$3:$M833,"&gt;0",$O$3:$O833,"&lt;=0"),"")</f>
        <v/>
      </c>
      <c r="Z833" s="30" t="n">
        <f aca="false">IF(OR('THÁNG 11'!$C90="",'THÁNG 11'!$B90=""),0,'THÁNG 11'!$B90)</f>
        <v>0</v>
      </c>
    </row>
    <row r="834" customFormat="false" ht="15" hidden="false" customHeight="false" outlineLevel="0" collapsed="false">
      <c r="A834" s="0" t="n">
        <v>11</v>
      </c>
      <c r="B834" s="29" t="str">
        <f aca="false">IF(OR('THÁNG 11'!$C91="",'THÁNG 11'!$B91=""),"",'THÁNG 11'!$B91)</f>
        <v/>
      </c>
      <c r="C834" s="0" t="str">
        <f aca="false">IF('THÁNG 11'!$C91="","",'THÁNG 11'!$C91)</f>
        <v/>
      </c>
      <c r="D834" s="0" t="str">
        <f aca="false">IF('THÁNG 11'!$C91="","",'THÁNG 11'!$D91&amp;"")</f>
        <v/>
      </c>
      <c r="E834" s="0" t="str">
        <f aca="false">IF('THÁNG 11'!$C91="","",'THÁNG 11'!$E91&amp;"")</f>
        <v/>
      </c>
      <c r="F834" s="0" t="str">
        <f aca="false">IF('THÁNG 11'!$C91="","",'THÁNG 11'!$F91&amp;"")</f>
        <v/>
      </c>
      <c r="G834" s="0" t="str">
        <f aca="false">IF('THÁNG 11'!$C91="","",'THÁNG 11'!$G91&amp;"")</f>
        <v/>
      </c>
      <c r="H834" s="0" t="str">
        <f aca="false">IF('THÁNG 11'!$C91="","",'THÁNG 11'!$H91&amp;"")</f>
        <v/>
      </c>
      <c r="I834" s="0" t="str">
        <f aca="false">IF('THÁNG 11'!$C91="","",N('THÁNG 11'!$I91))</f>
        <v/>
      </c>
      <c r="J834" s="0" t="str">
        <f aca="false">IF('THÁNG 11'!$C91="","",N('THÁNG 11'!$L91))</f>
        <v/>
      </c>
      <c r="K834" s="0" t="str">
        <f aca="false">IF('THÁNG 11'!$C91="","",N('THÁNG 11'!$N91))</f>
        <v/>
      </c>
      <c r="L834" s="0" t="str">
        <f aca="false">IF('THÁNG 11'!$C91="","",N('THÁNG 11'!$O91))</f>
        <v/>
      </c>
      <c r="M834" s="0" t="str">
        <f aca="false">IF('THÁNG 11'!$C91="","",N('THÁNG 11'!$P91))</f>
        <v/>
      </c>
      <c r="N834" s="0" t="str">
        <f aca="false">IF('THÁNG 11'!$C91="","",N('THÁNG 11'!$Q91))</f>
        <v/>
      </c>
      <c r="O834" s="0" t="str">
        <f aca="false">IF('THÁNG 11'!$C91="","",N('THÁNG 11'!$R91))</f>
        <v/>
      </c>
      <c r="P834" s="0" t="str">
        <f aca="false">IF(OR('THÁNG 11'!$C91="",'THÁNG 11'!$T91=""),"",'THÁNG 11'!$T91)</f>
        <v/>
      </c>
      <c r="Q834" s="0" t="str">
        <f aca="false">IF(OR('THÁNG 11'!$C91="",'THÁNG 11'!$U91=""),"",'THÁNG 11'!$U91)</f>
        <v/>
      </c>
      <c r="R834" s="0" t="str">
        <f aca="false">IF('THÁNG 11'!$C91="","",'THÁNG 11'!$W91&amp;"")</f>
        <v/>
      </c>
      <c r="S834" s="0" t="str">
        <f aca="false">IF('THÁNG 11'!$C91="","",'THÁNG 11'!$S91&amp;"")</f>
        <v/>
      </c>
      <c r="T834" s="0" t="str">
        <f aca="false">IF(N($O834)&gt;0,COUNTIF($O$3:$O834,"&gt;0"),"")</f>
        <v/>
      </c>
      <c r="U834" s="0" t="str">
        <f aca="false">IF(AND(N($J834)&gt;0,N($K834)&gt;0),COUNTIFS($J$3:$J834,"&gt;0",$K$3:$K834,"&gt;0"),"")</f>
        <v/>
      </c>
      <c r="V834" s="0" t="str">
        <f aca="false">IF(AND(N($J834)&gt;0,N($K834)=0),COUNTIFS($J$3:$J834,"&gt;0",$K$3:$K834,"&lt;=0"),"")</f>
        <v/>
      </c>
      <c r="W834" s="0" t="str">
        <f aca="false">IF($C834="","",IF(COUNTIF($C$3:$C834,$C834)&gt;1,"",MAX($W$2:W833)+1))</f>
        <v/>
      </c>
      <c r="X834" s="0" t="str">
        <f aca="false">IF($H834="","",IF(COUNTIF($H$3:$H834,$H834)&gt;1,"",MAX($X$2:X833)+1))</f>
        <v/>
      </c>
      <c r="Y834" s="0" t="str">
        <f aca="false">IF(AND(N($M834)&gt;0,N($O834)&lt;=0),COUNTIFS($M$3:$M834,"&gt;0",$O$3:$O834,"&lt;=0"),"")</f>
        <v/>
      </c>
      <c r="Z834" s="30" t="n">
        <f aca="false">IF(OR('THÁNG 11'!$C91="",'THÁNG 11'!$B91=""),0,'THÁNG 11'!$B91)</f>
        <v>0</v>
      </c>
    </row>
    <row r="835" customFormat="false" ht="15" hidden="false" customHeight="false" outlineLevel="0" collapsed="false">
      <c r="A835" s="0" t="n">
        <v>11</v>
      </c>
      <c r="B835" s="29" t="str">
        <f aca="false">IF(OR('THÁNG 11'!$C92="",'THÁNG 11'!$B92=""),"",'THÁNG 11'!$B92)</f>
        <v/>
      </c>
      <c r="C835" s="0" t="str">
        <f aca="false">IF('THÁNG 11'!$C92="","",'THÁNG 11'!$C92)</f>
        <v/>
      </c>
      <c r="D835" s="0" t="str">
        <f aca="false">IF('THÁNG 11'!$C92="","",'THÁNG 11'!$D92&amp;"")</f>
        <v/>
      </c>
      <c r="E835" s="0" t="str">
        <f aca="false">IF('THÁNG 11'!$C92="","",'THÁNG 11'!$E92&amp;"")</f>
        <v/>
      </c>
      <c r="F835" s="0" t="str">
        <f aca="false">IF('THÁNG 11'!$C92="","",'THÁNG 11'!$F92&amp;"")</f>
        <v/>
      </c>
      <c r="G835" s="0" t="str">
        <f aca="false">IF('THÁNG 11'!$C92="","",'THÁNG 11'!$G92&amp;"")</f>
        <v/>
      </c>
      <c r="H835" s="0" t="str">
        <f aca="false">IF('THÁNG 11'!$C92="","",'THÁNG 11'!$H92&amp;"")</f>
        <v/>
      </c>
      <c r="I835" s="0" t="str">
        <f aca="false">IF('THÁNG 11'!$C92="","",N('THÁNG 11'!$I92))</f>
        <v/>
      </c>
      <c r="J835" s="0" t="str">
        <f aca="false">IF('THÁNG 11'!$C92="","",N('THÁNG 11'!$L92))</f>
        <v/>
      </c>
      <c r="K835" s="0" t="str">
        <f aca="false">IF('THÁNG 11'!$C92="","",N('THÁNG 11'!$N92))</f>
        <v/>
      </c>
      <c r="L835" s="0" t="str">
        <f aca="false">IF('THÁNG 11'!$C92="","",N('THÁNG 11'!$O92))</f>
        <v/>
      </c>
      <c r="M835" s="0" t="str">
        <f aca="false">IF('THÁNG 11'!$C92="","",N('THÁNG 11'!$P92))</f>
        <v/>
      </c>
      <c r="N835" s="0" t="str">
        <f aca="false">IF('THÁNG 11'!$C92="","",N('THÁNG 11'!$Q92))</f>
        <v/>
      </c>
      <c r="O835" s="0" t="str">
        <f aca="false">IF('THÁNG 11'!$C92="","",N('THÁNG 11'!$R92))</f>
        <v/>
      </c>
      <c r="P835" s="0" t="str">
        <f aca="false">IF(OR('THÁNG 11'!$C92="",'THÁNG 11'!$T92=""),"",'THÁNG 11'!$T92)</f>
        <v/>
      </c>
      <c r="Q835" s="0" t="str">
        <f aca="false">IF(OR('THÁNG 11'!$C92="",'THÁNG 11'!$U92=""),"",'THÁNG 11'!$U92)</f>
        <v/>
      </c>
      <c r="R835" s="0" t="str">
        <f aca="false">IF('THÁNG 11'!$C92="","",'THÁNG 11'!$W92&amp;"")</f>
        <v/>
      </c>
      <c r="S835" s="0" t="str">
        <f aca="false">IF('THÁNG 11'!$C92="","",'THÁNG 11'!$S92&amp;"")</f>
        <v/>
      </c>
      <c r="T835" s="0" t="str">
        <f aca="false">IF(N($O835)&gt;0,COUNTIF($O$3:$O835,"&gt;0"),"")</f>
        <v/>
      </c>
      <c r="U835" s="0" t="str">
        <f aca="false">IF(AND(N($J835)&gt;0,N($K835)&gt;0),COUNTIFS($J$3:$J835,"&gt;0",$K$3:$K835,"&gt;0"),"")</f>
        <v/>
      </c>
      <c r="V835" s="0" t="str">
        <f aca="false">IF(AND(N($J835)&gt;0,N($K835)=0),COUNTIFS($J$3:$J835,"&gt;0",$K$3:$K835,"&lt;=0"),"")</f>
        <v/>
      </c>
      <c r="W835" s="0" t="str">
        <f aca="false">IF($C835="","",IF(COUNTIF($C$3:$C835,$C835)&gt;1,"",MAX($W$2:W834)+1))</f>
        <v/>
      </c>
      <c r="X835" s="0" t="str">
        <f aca="false">IF($H835="","",IF(COUNTIF($H$3:$H835,$H835)&gt;1,"",MAX($X$2:X834)+1))</f>
        <v/>
      </c>
      <c r="Y835" s="0" t="str">
        <f aca="false">IF(AND(N($M835)&gt;0,N($O835)&lt;=0),COUNTIFS($M$3:$M835,"&gt;0",$O$3:$O835,"&lt;=0"),"")</f>
        <v/>
      </c>
      <c r="Z835" s="30" t="n">
        <f aca="false">IF(OR('THÁNG 11'!$C92="",'THÁNG 11'!$B92=""),0,'THÁNG 11'!$B92)</f>
        <v>0</v>
      </c>
    </row>
    <row r="836" customFormat="false" ht="15" hidden="false" customHeight="false" outlineLevel="0" collapsed="false">
      <c r="A836" s="0" t="n">
        <v>11</v>
      </c>
      <c r="B836" s="29" t="str">
        <f aca="false">IF(OR('THÁNG 11'!$C93="",'THÁNG 11'!$B93=""),"",'THÁNG 11'!$B93)</f>
        <v/>
      </c>
      <c r="C836" s="0" t="str">
        <f aca="false">IF('THÁNG 11'!$C93="","",'THÁNG 11'!$C93)</f>
        <v/>
      </c>
      <c r="D836" s="0" t="str">
        <f aca="false">IF('THÁNG 11'!$C93="","",'THÁNG 11'!$D93&amp;"")</f>
        <v/>
      </c>
      <c r="E836" s="0" t="str">
        <f aca="false">IF('THÁNG 11'!$C93="","",'THÁNG 11'!$E93&amp;"")</f>
        <v/>
      </c>
      <c r="F836" s="0" t="str">
        <f aca="false">IF('THÁNG 11'!$C93="","",'THÁNG 11'!$F93&amp;"")</f>
        <v/>
      </c>
      <c r="G836" s="0" t="str">
        <f aca="false">IF('THÁNG 11'!$C93="","",'THÁNG 11'!$G93&amp;"")</f>
        <v/>
      </c>
      <c r="H836" s="0" t="str">
        <f aca="false">IF('THÁNG 11'!$C93="","",'THÁNG 11'!$H93&amp;"")</f>
        <v/>
      </c>
      <c r="I836" s="0" t="str">
        <f aca="false">IF('THÁNG 11'!$C93="","",N('THÁNG 11'!$I93))</f>
        <v/>
      </c>
      <c r="J836" s="0" t="str">
        <f aca="false">IF('THÁNG 11'!$C93="","",N('THÁNG 11'!$L93))</f>
        <v/>
      </c>
      <c r="K836" s="0" t="str">
        <f aca="false">IF('THÁNG 11'!$C93="","",N('THÁNG 11'!$N93))</f>
        <v/>
      </c>
      <c r="L836" s="0" t="str">
        <f aca="false">IF('THÁNG 11'!$C93="","",N('THÁNG 11'!$O93))</f>
        <v/>
      </c>
      <c r="M836" s="0" t="str">
        <f aca="false">IF('THÁNG 11'!$C93="","",N('THÁNG 11'!$P93))</f>
        <v/>
      </c>
      <c r="N836" s="0" t="str">
        <f aca="false">IF('THÁNG 11'!$C93="","",N('THÁNG 11'!$Q93))</f>
        <v/>
      </c>
      <c r="O836" s="0" t="str">
        <f aca="false">IF('THÁNG 11'!$C93="","",N('THÁNG 11'!$R93))</f>
        <v/>
      </c>
      <c r="P836" s="0" t="str">
        <f aca="false">IF(OR('THÁNG 11'!$C93="",'THÁNG 11'!$T93=""),"",'THÁNG 11'!$T93)</f>
        <v/>
      </c>
      <c r="Q836" s="0" t="str">
        <f aca="false">IF(OR('THÁNG 11'!$C93="",'THÁNG 11'!$U93=""),"",'THÁNG 11'!$U93)</f>
        <v/>
      </c>
      <c r="R836" s="0" t="str">
        <f aca="false">IF('THÁNG 11'!$C93="","",'THÁNG 11'!$W93&amp;"")</f>
        <v/>
      </c>
      <c r="S836" s="0" t="str">
        <f aca="false">IF('THÁNG 11'!$C93="","",'THÁNG 11'!$S93&amp;"")</f>
        <v/>
      </c>
      <c r="T836" s="0" t="str">
        <f aca="false">IF(N($O836)&gt;0,COUNTIF($O$3:$O836,"&gt;0"),"")</f>
        <v/>
      </c>
      <c r="U836" s="0" t="str">
        <f aca="false">IF(AND(N($J836)&gt;0,N($K836)&gt;0),COUNTIFS($J$3:$J836,"&gt;0",$K$3:$K836,"&gt;0"),"")</f>
        <v/>
      </c>
      <c r="V836" s="0" t="str">
        <f aca="false">IF(AND(N($J836)&gt;0,N($K836)=0),COUNTIFS($J$3:$J836,"&gt;0",$K$3:$K836,"&lt;=0"),"")</f>
        <v/>
      </c>
      <c r="W836" s="0" t="str">
        <f aca="false">IF($C836="","",IF(COUNTIF($C$3:$C836,$C836)&gt;1,"",MAX($W$2:W835)+1))</f>
        <v/>
      </c>
      <c r="X836" s="0" t="str">
        <f aca="false">IF($H836="","",IF(COUNTIF($H$3:$H836,$H836)&gt;1,"",MAX($X$2:X835)+1))</f>
        <v/>
      </c>
      <c r="Y836" s="0" t="str">
        <f aca="false">IF(AND(N($M836)&gt;0,N($O836)&lt;=0),COUNTIFS($M$3:$M836,"&gt;0",$O$3:$O836,"&lt;=0"),"")</f>
        <v/>
      </c>
      <c r="Z836" s="30" t="n">
        <f aca="false">IF(OR('THÁNG 11'!$C93="",'THÁNG 11'!$B93=""),0,'THÁNG 11'!$B93)</f>
        <v>0</v>
      </c>
    </row>
    <row r="837" customFormat="false" ht="15" hidden="false" customHeight="false" outlineLevel="0" collapsed="false">
      <c r="A837" s="0" t="n">
        <v>11</v>
      </c>
      <c r="B837" s="29" t="str">
        <f aca="false">IF(OR('THÁNG 11'!$C94="",'THÁNG 11'!$B94=""),"",'THÁNG 11'!$B94)</f>
        <v/>
      </c>
      <c r="C837" s="0" t="str">
        <f aca="false">IF('THÁNG 11'!$C94="","",'THÁNG 11'!$C94)</f>
        <v/>
      </c>
      <c r="D837" s="0" t="str">
        <f aca="false">IF('THÁNG 11'!$C94="","",'THÁNG 11'!$D94&amp;"")</f>
        <v/>
      </c>
      <c r="E837" s="0" t="str">
        <f aca="false">IF('THÁNG 11'!$C94="","",'THÁNG 11'!$E94&amp;"")</f>
        <v/>
      </c>
      <c r="F837" s="0" t="str">
        <f aca="false">IF('THÁNG 11'!$C94="","",'THÁNG 11'!$F94&amp;"")</f>
        <v/>
      </c>
      <c r="G837" s="0" t="str">
        <f aca="false">IF('THÁNG 11'!$C94="","",'THÁNG 11'!$G94&amp;"")</f>
        <v/>
      </c>
      <c r="H837" s="0" t="str">
        <f aca="false">IF('THÁNG 11'!$C94="","",'THÁNG 11'!$H94&amp;"")</f>
        <v/>
      </c>
      <c r="I837" s="0" t="str">
        <f aca="false">IF('THÁNG 11'!$C94="","",N('THÁNG 11'!$I94))</f>
        <v/>
      </c>
      <c r="J837" s="0" t="str">
        <f aca="false">IF('THÁNG 11'!$C94="","",N('THÁNG 11'!$L94))</f>
        <v/>
      </c>
      <c r="K837" s="0" t="str">
        <f aca="false">IF('THÁNG 11'!$C94="","",N('THÁNG 11'!$N94))</f>
        <v/>
      </c>
      <c r="L837" s="0" t="str">
        <f aca="false">IF('THÁNG 11'!$C94="","",N('THÁNG 11'!$O94))</f>
        <v/>
      </c>
      <c r="M837" s="0" t="str">
        <f aca="false">IF('THÁNG 11'!$C94="","",N('THÁNG 11'!$P94))</f>
        <v/>
      </c>
      <c r="N837" s="0" t="str">
        <f aca="false">IF('THÁNG 11'!$C94="","",N('THÁNG 11'!$Q94))</f>
        <v/>
      </c>
      <c r="O837" s="0" t="str">
        <f aca="false">IF('THÁNG 11'!$C94="","",N('THÁNG 11'!$R94))</f>
        <v/>
      </c>
      <c r="P837" s="0" t="str">
        <f aca="false">IF(OR('THÁNG 11'!$C94="",'THÁNG 11'!$T94=""),"",'THÁNG 11'!$T94)</f>
        <v/>
      </c>
      <c r="Q837" s="0" t="str">
        <f aca="false">IF(OR('THÁNG 11'!$C94="",'THÁNG 11'!$U94=""),"",'THÁNG 11'!$U94)</f>
        <v/>
      </c>
      <c r="R837" s="0" t="str">
        <f aca="false">IF('THÁNG 11'!$C94="","",'THÁNG 11'!$W94&amp;"")</f>
        <v/>
      </c>
      <c r="S837" s="0" t="str">
        <f aca="false">IF('THÁNG 11'!$C94="","",'THÁNG 11'!$S94&amp;"")</f>
        <v/>
      </c>
      <c r="T837" s="0" t="str">
        <f aca="false">IF(N($O837)&gt;0,COUNTIF($O$3:$O837,"&gt;0"),"")</f>
        <v/>
      </c>
      <c r="U837" s="0" t="str">
        <f aca="false">IF(AND(N($J837)&gt;0,N($K837)&gt;0),COUNTIFS($J$3:$J837,"&gt;0",$K$3:$K837,"&gt;0"),"")</f>
        <v/>
      </c>
      <c r="V837" s="0" t="str">
        <f aca="false">IF(AND(N($J837)&gt;0,N($K837)=0),COUNTIFS($J$3:$J837,"&gt;0",$K$3:$K837,"&lt;=0"),"")</f>
        <v/>
      </c>
      <c r="W837" s="0" t="str">
        <f aca="false">IF($C837="","",IF(COUNTIF($C$3:$C837,$C837)&gt;1,"",MAX($W$2:W836)+1))</f>
        <v/>
      </c>
      <c r="X837" s="0" t="str">
        <f aca="false">IF($H837="","",IF(COUNTIF($H$3:$H837,$H837)&gt;1,"",MAX($X$2:X836)+1))</f>
        <v/>
      </c>
      <c r="Y837" s="0" t="str">
        <f aca="false">IF(AND(N($M837)&gt;0,N($O837)&lt;=0),COUNTIFS($M$3:$M837,"&gt;0",$O$3:$O837,"&lt;=0"),"")</f>
        <v/>
      </c>
      <c r="Z837" s="30" t="n">
        <f aca="false">IF(OR('THÁNG 11'!$C94="",'THÁNG 11'!$B94=""),0,'THÁNG 11'!$B94)</f>
        <v>0</v>
      </c>
    </row>
    <row r="838" customFormat="false" ht="15" hidden="false" customHeight="false" outlineLevel="0" collapsed="false">
      <c r="A838" s="0" t="n">
        <v>11</v>
      </c>
      <c r="B838" s="29" t="str">
        <f aca="false">IF(OR('THÁNG 11'!$C95="",'THÁNG 11'!$B95=""),"",'THÁNG 11'!$B95)</f>
        <v/>
      </c>
      <c r="C838" s="0" t="str">
        <f aca="false">IF('THÁNG 11'!$C95="","",'THÁNG 11'!$C95)</f>
        <v/>
      </c>
      <c r="D838" s="0" t="str">
        <f aca="false">IF('THÁNG 11'!$C95="","",'THÁNG 11'!$D95&amp;"")</f>
        <v/>
      </c>
      <c r="E838" s="0" t="str">
        <f aca="false">IF('THÁNG 11'!$C95="","",'THÁNG 11'!$E95&amp;"")</f>
        <v/>
      </c>
      <c r="F838" s="0" t="str">
        <f aca="false">IF('THÁNG 11'!$C95="","",'THÁNG 11'!$F95&amp;"")</f>
        <v/>
      </c>
      <c r="G838" s="0" t="str">
        <f aca="false">IF('THÁNG 11'!$C95="","",'THÁNG 11'!$G95&amp;"")</f>
        <v/>
      </c>
      <c r="H838" s="0" t="str">
        <f aca="false">IF('THÁNG 11'!$C95="","",'THÁNG 11'!$H95&amp;"")</f>
        <v/>
      </c>
      <c r="I838" s="0" t="str">
        <f aca="false">IF('THÁNG 11'!$C95="","",N('THÁNG 11'!$I95))</f>
        <v/>
      </c>
      <c r="J838" s="0" t="str">
        <f aca="false">IF('THÁNG 11'!$C95="","",N('THÁNG 11'!$L95))</f>
        <v/>
      </c>
      <c r="K838" s="0" t="str">
        <f aca="false">IF('THÁNG 11'!$C95="","",N('THÁNG 11'!$N95))</f>
        <v/>
      </c>
      <c r="L838" s="0" t="str">
        <f aca="false">IF('THÁNG 11'!$C95="","",N('THÁNG 11'!$O95))</f>
        <v/>
      </c>
      <c r="M838" s="0" t="str">
        <f aca="false">IF('THÁNG 11'!$C95="","",N('THÁNG 11'!$P95))</f>
        <v/>
      </c>
      <c r="N838" s="0" t="str">
        <f aca="false">IF('THÁNG 11'!$C95="","",N('THÁNG 11'!$Q95))</f>
        <v/>
      </c>
      <c r="O838" s="0" t="str">
        <f aca="false">IF('THÁNG 11'!$C95="","",N('THÁNG 11'!$R95))</f>
        <v/>
      </c>
      <c r="P838" s="0" t="str">
        <f aca="false">IF(OR('THÁNG 11'!$C95="",'THÁNG 11'!$T95=""),"",'THÁNG 11'!$T95)</f>
        <v/>
      </c>
      <c r="Q838" s="0" t="str">
        <f aca="false">IF(OR('THÁNG 11'!$C95="",'THÁNG 11'!$U95=""),"",'THÁNG 11'!$U95)</f>
        <v/>
      </c>
      <c r="R838" s="0" t="str">
        <f aca="false">IF('THÁNG 11'!$C95="","",'THÁNG 11'!$W95&amp;"")</f>
        <v/>
      </c>
      <c r="S838" s="0" t="str">
        <f aca="false">IF('THÁNG 11'!$C95="","",'THÁNG 11'!$S95&amp;"")</f>
        <v/>
      </c>
      <c r="T838" s="0" t="str">
        <f aca="false">IF(N($O838)&gt;0,COUNTIF($O$3:$O838,"&gt;0"),"")</f>
        <v/>
      </c>
      <c r="U838" s="0" t="str">
        <f aca="false">IF(AND(N($J838)&gt;0,N($K838)&gt;0),COUNTIFS($J$3:$J838,"&gt;0",$K$3:$K838,"&gt;0"),"")</f>
        <v/>
      </c>
      <c r="V838" s="0" t="str">
        <f aca="false">IF(AND(N($J838)&gt;0,N($K838)=0),COUNTIFS($J$3:$J838,"&gt;0",$K$3:$K838,"&lt;=0"),"")</f>
        <v/>
      </c>
      <c r="W838" s="0" t="str">
        <f aca="false">IF($C838="","",IF(COUNTIF($C$3:$C838,$C838)&gt;1,"",MAX($W$2:W837)+1))</f>
        <v/>
      </c>
      <c r="X838" s="0" t="str">
        <f aca="false">IF($H838="","",IF(COUNTIF($H$3:$H838,$H838)&gt;1,"",MAX($X$2:X837)+1))</f>
        <v/>
      </c>
      <c r="Y838" s="0" t="str">
        <f aca="false">IF(AND(N($M838)&gt;0,N($O838)&lt;=0),COUNTIFS($M$3:$M838,"&gt;0",$O$3:$O838,"&lt;=0"),"")</f>
        <v/>
      </c>
      <c r="Z838" s="30" t="n">
        <f aca="false">IF(OR('THÁNG 11'!$C95="",'THÁNG 11'!$B95=""),0,'THÁNG 11'!$B95)</f>
        <v>0</v>
      </c>
    </row>
    <row r="839" customFormat="false" ht="15" hidden="false" customHeight="false" outlineLevel="0" collapsed="false">
      <c r="A839" s="0" t="n">
        <v>11</v>
      </c>
      <c r="B839" s="29" t="str">
        <f aca="false">IF(OR('THÁNG 11'!$C96="",'THÁNG 11'!$B96=""),"",'THÁNG 11'!$B96)</f>
        <v/>
      </c>
      <c r="C839" s="0" t="str">
        <f aca="false">IF('THÁNG 11'!$C96="","",'THÁNG 11'!$C96)</f>
        <v/>
      </c>
      <c r="D839" s="0" t="str">
        <f aca="false">IF('THÁNG 11'!$C96="","",'THÁNG 11'!$D96&amp;"")</f>
        <v/>
      </c>
      <c r="E839" s="0" t="str">
        <f aca="false">IF('THÁNG 11'!$C96="","",'THÁNG 11'!$E96&amp;"")</f>
        <v/>
      </c>
      <c r="F839" s="0" t="str">
        <f aca="false">IF('THÁNG 11'!$C96="","",'THÁNG 11'!$F96&amp;"")</f>
        <v/>
      </c>
      <c r="G839" s="0" t="str">
        <f aca="false">IF('THÁNG 11'!$C96="","",'THÁNG 11'!$G96&amp;"")</f>
        <v/>
      </c>
      <c r="H839" s="0" t="str">
        <f aca="false">IF('THÁNG 11'!$C96="","",'THÁNG 11'!$H96&amp;"")</f>
        <v/>
      </c>
      <c r="I839" s="0" t="str">
        <f aca="false">IF('THÁNG 11'!$C96="","",N('THÁNG 11'!$I96))</f>
        <v/>
      </c>
      <c r="J839" s="0" t="str">
        <f aca="false">IF('THÁNG 11'!$C96="","",N('THÁNG 11'!$L96))</f>
        <v/>
      </c>
      <c r="K839" s="0" t="str">
        <f aca="false">IF('THÁNG 11'!$C96="","",N('THÁNG 11'!$N96))</f>
        <v/>
      </c>
      <c r="L839" s="0" t="str">
        <f aca="false">IF('THÁNG 11'!$C96="","",N('THÁNG 11'!$O96))</f>
        <v/>
      </c>
      <c r="M839" s="0" t="str">
        <f aca="false">IF('THÁNG 11'!$C96="","",N('THÁNG 11'!$P96))</f>
        <v/>
      </c>
      <c r="N839" s="0" t="str">
        <f aca="false">IF('THÁNG 11'!$C96="","",N('THÁNG 11'!$Q96))</f>
        <v/>
      </c>
      <c r="O839" s="0" t="str">
        <f aca="false">IF('THÁNG 11'!$C96="","",N('THÁNG 11'!$R96))</f>
        <v/>
      </c>
      <c r="P839" s="0" t="str">
        <f aca="false">IF(OR('THÁNG 11'!$C96="",'THÁNG 11'!$T96=""),"",'THÁNG 11'!$T96)</f>
        <v/>
      </c>
      <c r="Q839" s="0" t="str">
        <f aca="false">IF(OR('THÁNG 11'!$C96="",'THÁNG 11'!$U96=""),"",'THÁNG 11'!$U96)</f>
        <v/>
      </c>
      <c r="R839" s="0" t="str">
        <f aca="false">IF('THÁNG 11'!$C96="","",'THÁNG 11'!$W96&amp;"")</f>
        <v/>
      </c>
      <c r="S839" s="0" t="str">
        <f aca="false">IF('THÁNG 11'!$C96="","",'THÁNG 11'!$S96&amp;"")</f>
        <v/>
      </c>
      <c r="T839" s="0" t="str">
        <f aca="false">IF(N($O839)&gt;0,COUNTIF($O$3:$O839,"&gt;0"),"")</f>
        <v/>
      </c>
      <c r="U839" s="0" t="str">
        <f aca="false">IF(AND(N($J839)&gt;0,N($K839)&gt;0),COUNTIFS($J$3:$J839,"&gt;0",$K$3:$K839,"&gt;0"),"")</f>
        <v/>
      </c>
      <c r="V839" s="0" t="str">
        <f aca="false">IF(AND(N($J839)&gt;0,N($K839)=0),COUNTIFS($J$3:$J839,"&gt;0",$K$3:$K839,"&lt;=0"),"")</f>
        <v/>
      </c>
      <c r="W839" s="0" t="str">
        <f aca="false">IF($C839="","",IF(COUNTIF($C$3:$C839,$C839)&gt;1,"",MAX($W$2:W838)+1))</f>
        <v/>
      </c>
      <c r="X839" s="0" t="str">
        <f aca="false">IF($H839="","",IF(COUNTIF($H$3:$H839,$H839)&gt;1,"",MAX($X$2:X838)+1))</f>
        <v/>
      </c>
      <c r="Y839" s="0" t="str">
        <f aca="false">IF(AND(N($M839)&gt;0,N($O839)&lt;=0),COUNTIFS($M$3:$M839,"&gt;0",$O$3:$O839,"&lt;=0"),"")</f>
        <v/>
      </c>
      <c r="Z839" s="30" t="n">
        <f aca="false">IF(OR('THÁNG 11'!$C96="",'THÁNG 11'!$B96=""),0,'THÁNG 11'!$B96)</f>
        <v>0</v>
      </c>
    </row>
    <row r="840" customFormat="false" ht="15" hidden="false" customHeight="false" outlineLevel="0" collapsed="false">
      <c r="A840" s="0" t="n">
        <v>11</v>
      </c>
      <c r="B840" s="29" t="str">
        <f aca="false">IF(OR('THÁNG 11'!$C97="",'THÁNG 11'!$B97=""),"",'THÁNG 11'!$B97)</f>
        <v/>
      </c>
      <c r="C840" s="0" t="str">
        <f aca="false">IF('THÁNG 11'!$C97="","",'THÁNG 11'!$C97)</f>
        <v/>
      </c>
      <c r="D840" s="0" t="str">
        <f aca="false">IF('THÁNG 11'!$C97="","",'THÁNG 11'!$D97&amp;"")</f>
        <v/>
      </c>
      <c r="E840" s="0" t="str">
        <f aca="false">IF('THÁNG 11'!$C97="","",'THÁNG 11'!$E97&amp;"")</f>
        <v/>
      </c>
      <c r="F840" s="0" t="str">
        <f aca="false">IF('THÁNG 11'!$C97="","",'THÁNG 11'!$F97&amp;"")</f>
        <v/>
      </c>
      <c r="G840" s="0" t="str">
        <f aca="false">IF('THÁNG 11'!$C97="","",'THÁNG 11'!$G97&amp;"")</f>
        <v/>
      </c>
      <c r="H840" s="0" t="str">
        <f aca="false">IF('THÁNG 11'!$C97="","",'THÁNG 11'!$H97&amp;"")</f>
        <v/>
      </c>
      <c r="I840" s="0" t="str">
        <f aca="false">IF('THÁNG 11'!$C97="","",N('THÁNG 11'!$I97))</f>
        <v/>
      </c>
      <c r="J840" s="0" t="str">
        <f aca="false">IF('THÁNG 11'!$C97="","",N('THÁNG 11'!$L97))</f>
        <v/>
      </c>
      <c r="K840" s="0" t="str">
        <f aca="false">IF('THÁNG 11'!$C97="","",N('THÁNG 11'!$N97))</f>
        <v/>
      </c>
      <c r="L840" s="0" t="str">
        <f aca="false">IF('THÁNG 11'!$C97="","",N('THÁNG 11'!$O97))</f>
        <v/>
      </c>
      <c r="M840" s="0" t="str">
        <f aca="false">IF('THÁNG 11'!$C97="","",N('THÁNG 11'!$P97))</f>
        <v/>
      </c>
      <c r="N840" s="0" t="str">
        <f aca="false">IF('THÁNG 11'!$C97="","",N('THÁNG 11'!$Q97))</f>
        <v/>
      </c>
      <c r="O840" s="0" t="str">
        <f aca="false">IF('THÁNG 11'!$C97="","",N('THÁNG 11'!$R97))</f>
        <v/>
      </c>
      <c r="P840" s="0" t="str">
        <f aca="false">IF(OR('THÁNG 11'!$C97="",'THÁNG 11'!$T97=""),"",'THÁNG 11'!$T97)</f>
        <v/>
      </c>
      <c r="Q840" s="0" t="str">
        <f aca="false">IF(OR('THÁNG 11'!$C97="",'THÁNG 11'!$U97=""),"",'THÁNG 11'!$U97)</f>
        <v/>
      </c>
      <c r="R840" s="0" t="str">
        <f aca="false">IF('THÁNG 11'!$C97="","",'THÁNG 11'!$W97&amp;"")</f>
        <v/>
      </c>
      <c r="S840" s="0" t="str">
        <f aca="false">IF('THÁNG 11'!$C97="","",'THÁNG 11'!$S97&amp;"")</f>
        <v/>
      </c>
      <c r="T840" s="0" t="str">
        <f aca="false">IF(N($O840)&gt;0,COUNTIF($O$3:$O840,"&gt;0"),"")</f>
        <v/>
      </c>
      <c r="U840" s="0" t="str">
        <f aca="false">IF(AND(N($J840)&gt;0,N($K840)&gt;0),COUNTIFS($J$3:$J840,"&gt;0",$K$3:$K840,"&gt;0"),"")</f>
        <v/>
      </c>
      <c r="V840" s="0" t="str">
        <f aca="false">IF(AND(N($J840)&gt;0,N($K840)=0),COUNTIFS($J$3:$J840,"&gt;0",$K$3:$K840,"&lt;=0"),"")</f>
        <v/>
      </c>
      <c r="W840" s="0" t="str">
        <f aca="false">IF($C840="","",IF(COUNTIF($C$3:$C840,$C840)&gt;1,"",MAX($W$2:W839)+1))</f>
        <v/>
      </c>
      <c r="X840" s="0" t="str">
        <f aca="false">IF($H840="","",IF(COUNTIF($H$3:$H840,$H840)&gt;1,"",MAX($X$2:X839)+1))</f>
        <v/>
      </c>
      <c r="Y840" s="0" t="str">
        <f aca="false">IF(AND(N($M840)&gt;0,N($O840)&lt;=0),COUNTIFS($M$3:$M840,"&gt;0",$O$3:$O840,"&lt;=0"),"")</f>
        <v/>
      </c>
      <c r="Z840" s="30" t="n">
        <f aca="false">IF(OR('THÁNG 11'!$C97="",'THÁNG 11'!$B97=""),0,'THÁNG 11'!$B97)</f>
        <v>0</v>
      </c>
    </row>
    <row r="841" customFormat="false" ht="15" hidden="false" customHeight="false" outlineLevel="0" collapsed="false">
      <c r="A841" s="0" t="n">
        <v>11</v>
      </c>
      <c r="B841" s="29" t="str">
        <f aca="false">IF(OR('THÁNG 11'!$C98="",'THÁNG 11'!$B98=""),"",'THÁNG 11'!$B98)</f>
        <v/>
      </c>
      <c r="C841" s="0" t="str">
        <f aca="false">IF('THÁNG 11'!$C98="","",'THÁNG 11'!$C98)</f>
        <v/>
      </c>
      <c r="D841" s="0" t="str">
        <f aca="false">IF('THÁNG 11'!$C98="","",'THÁNG 11'!$D98&amp;"")</f>
        <v/>
      </c>
      <c r="E841" s="0" t="str">
        <f aca="false">IF('THÁNG 11'!$C98="","",'THÁNG 11'!$E98&amp;"")</f>
        <v/>
      </c>
      <c r="F841" s="0" t="str">
        <f aca="false">IF('THÁNG 11'!$C98="","",'THÁNG 11'!$F98&amp;"")</f>
        <v/>
      </c>
      <c r="G841" s="0" t="str">
        <f aca="false">IF('THÁNG 11'!$C98="","",'THÁNG 11'!$G98&amp;"")</f>
        <v/>
      </c>
      <c r="H841" s="0" t="str">
        <f aca="false">IF('THÁNG 11'!$C98="","",'THÁNG 11'!$H98&amp;"")</f>
        <v/>
      </c>
      <c r="I841" s="0" t="str">
        <f aca="false">IF('THÁNG 11'!$C98="","",N('THÁNG 11'!$I98))</f>
        <v/>
      </c>
      <c r="J841" s="0" t="str">
        <f aca="false">IF('THÁNG 11'!$C98="","",N('THÁNG 11'!$L98))</f>
        <v/>
      </c>
      <c r="K841" s="0" t="str">
        <f aca="false">IF('THÁNG 11'!$C98="","",N('THÁNG 11'!$N98))</f>
        <v/>
      </c>
      <c r="L841" s="0" t="str">
        <f aca="false">IF('THÁNG 11'!$C98="","",N('THÁNG 11'!$O98))</f>
        <v/>
      </c>
      <c r="M841" s="0" t="str">
        <f aca="false">IF('THÁNG 11'!$C98="","",N('THÁNG 11'!$P98))</f>
        <v/>
      </c>
      <c r="N841" s="0" t="str">
        <f aca="false">IF('THÁNG 11'!$C98="","",N('THÁNG 11'!$Q98))</f>
        <v/>
      </c>
      <c r="O841" s="0" t="str">
        <f aca="false">IF('THÁNG 11'!$C98="","",N('THÁNG 11'!$R98))</f>
        <v/>
      </c>
      <c r="P841" s="0" t="str">
        <f aca="false">IF(OR('THÁNG 11'!$C98="",'THÁNG 11'!$T98=""),"",'THÁNG 11'!$T98)</f>
        <v/>
      </c>
      <c r="Q841" s="0" t="str">
        <f aca="false">IF(OR('THÁNG 11'!$C98="",'THÁNG 11'!$U98=""),"",'THÁNG 11'!$U98)</f>
        <v/>
      </c>
      <c r="R841" s="0" t="str">
        <f aca="false">IF('THÁNG 11'!$C98="","",'THÁNG 11'!$W98&amp;"")</f>
        <v/>
      </c>
      <c r="S841" s="0" t="str">
        <f aca="false">IF('THÁNG 11'!$C98="","",'THÁNG 11'!$S98&amp;"")</f>
        <v/>
      </c>
      <c r="T841" s="0" t="str">
        <f aca="false">IF(N($O841)&gt;0,COUNTIF($O$3:$O841,"&gt;0"),"")</f>
        <v/>
      </c>
      <c r="U841" s="0" t="str">
        <f aca="false">IF(AND(N($J841)&gt;0,N($K841)&gt;0),COUNTIFS($J$3:$J841,"&gt;0",$K$3:$K841,"&gt;0"),"")</f>
        <v/>
      </c>
      <c r="V841" s="0" t="str">
        <f aca="false">IF(AND(N($J841)&gt;0,N($K841)=0),COUNTIFS($J$3:$J841,"&gt;0",$K$3:$K841,"&lt;=0"),"")</f>
        <v/>
      </c>
      <c r="W841" s="0" t="str">
        <f aca="false">IF($C841="","",IF(COUNTIF($C$3:$C841,$C841)&gt;1,"",MAX($W$2:W840)+1))</f>
        <v/>
      </c>
      <c r="X841" s="0" t="str">
        <f aca="false">IF($H841="","",IF(COUNTIF($H$3:$H841,$H841)&gt;1,"",MAX($X$2:X840)+1))</f>
        <v/>
      </c>
      <c r="Y841" s="0" t="str">
        <f aca="false">IF(AND(N($M841)&gt;0,N($O841)&lt;=0),COUNTIFS($M$3:$M841,"&gt;0",$O$3:$O841,"&lt;=0"),"")</f>
        <v/>
      </c>
      <c r="Z841" s="30" t="n">
        <f aca="false">IF(OR('THÁNG 11'!$C98="",'THÁNG 11'!$B98=""),0,'THÁNG 11'!$B98)</f>
        <v>0</v>
      </c>
    </row>
    <row r="842" customFormat="false" ht="15" hidden="false" customHeight="false" outlineLevel="0" collapsed="false">
      <c r="A842" s="0" t="n">
        <v>11</v>
      </c>
      <c r="B842" s="29" t="str">
        <f aca="false">IF(OR('THÁNG 11'!$C99="",'THÁNG 11'!$B99=""),"",'THÁNG 11'!$B99)</f>
        <v/>
      </c>
      <c r="C842" s="0" t="str">
        <f aca="false">IF('THÁNG 11'!$C99="","",'THÁNG 11'!$C99)</f>
        <v/>
      </c>
      <c r="D842" s="0" t="str">
        <f aca="false">IF('THÁNG 11'!$C99="","",'THÁNG 11'!$D99&amp;"")</f>
        <v/>
      </c>
      <c r="E842" s="0" t="str">
        <f aca="false">IF('THÁNG 11'!$C99="","",'THÁNG 11'!$E99&amp;"")</f>
        <v/>
      </c>
      <c r="F842" s="0" t="str">
        <f aca="false">IF('THÁNG 11'!$C99="","",'THÁNG 11'!$F99&amp;"")</f>
        <v/>
      </c>
      <c r="G842" s="0" t="str">
        <f aca="false">IF('THÁNG 11'!$C99="","",'THÁNG 11'!$G99&amp;"")</f>
        <v/>
      </c>
      <c r="H842" s="0" t="str">
        <f aca="false">IF('THÁNG 11'!$C99="","",'THÁNG 11'!$H99&amp;"")</f>
        <v/>
      </c>
      <c r="I842" s="0" t="str">
        <f aca="false">IF('THÁNG 11'!$C99="","",N('THÁNG 11'!$I99))</f>
        <v/>
      </c>
      <c r="J842" s="0" t="str">
        <f aca="false">IF('THÁNG 11'!$C99="","",N('THÁNG 11'!$L99))</f>
        <v/>
      </c>
      <c r="K842" s="0" t="str">
        <f aca="false">IF('THÁNG 11'!$C99="","",N('THÁNG 11'!$N99))</f>
        <v/>
      </c>
      <c r="L842" s="0" t="str">
        <f aca="false">IF('THÁNG 11'!$C99="","",N('THÁNG 11'!$O99))</f>
        <v/>
      </c>
      <c r="M842" s="0" t="str">
        <f aca="false">IF('THÁNG 11'!$C99="","",N('THÁNG 11'!$P99))</f>
        <v/>
      </c>
      <c r="N842" s="0" t="str">
        <f aca="false">IF('THÁNG 11'!$C99="","",N('THÁNG 11'!$Q99))</f>
        <v/>
      </c>
      <c r="O842" s="0" t="str">
        <f aca="false">IF('THÁNG 11'!$C99="","",N('THÁNG 11'!$R99))</f>
        <v/>
      </c>
      <c r="P842" s="0" t="str">
        <f aca="false">IF(OR('THÁNG 11'!$C99="",'THÁNG 11'!$T99=""),"",'THÁNG 11'!$T99)</f>
        <v/>
      </c>
      <c r="Q842" s="0" t="str">
        <f aca="false">IF(OR('THÁNG 11'!$C99="",'THÁNG 11'!$U99=""),"",'THÁNG 11'!$U99)</f>
        <v/>
      </c>
      <c r="R842" s="0" t="str">
        <f aca="false">IF('THÁNG 11'!$C99="","",'THÁNG 11'!$W99&amp;"")</f>
        <v/>
      </c>
      <c r="S842" s="0" t="str">
        <f aca="false">IF('THÁNG 11'!$C99="","",'THÁNG 11'!$S99&amp;"")</f>
        <v/>
      </c>
      <c r="T842" s="0" t="str">
        <f aca="false">IF(N($O842)&gt;0,COUNTIF($O$3:$O842,"&gt;0"),"")</f>
        <v/>
      </c>
      <c r="U842" s="0" t="str">
        <f aca="false">IF(AND(N($J842)&gt;0,N($K842)&gt;0),COUNTIFS($J$3:$J842,"&gt;0",$K$3:$K842,"&gt;0"),"")</f>
        <v/>
      </c>
      <c r="V842" s="0" t="str">
        <f aca="false">IF(AND(N($J842)&gt;0,N($K842)=0),COUNTIFS($J$3:$J842,"&gt;0",$K$3:$K842,"&lt;=0"),"")</f>
        <v/>
      </c>
      <c r="W842" s="0" t="str">
        <f aca="false">IF($C842="","",IF(COUNTIF($C$3:$C842,$C842)&gt;1,"",MAX($W$2:W841)+1))</f>
        <v/>
      </c>
      <c r="X842" s="0" t="str">
        <f aca="false">IF($H842="","",IF(COUNTIF($H$3:$H842,$H842)&gt;1,"",MAX($X$2:X841)+1))</f>
        <v/>
      </c>
      <c r="Y842" s="0" t="str">
        <f aca="false">IF(AND(N($M842)&gt;0,N($O842)&lt;=0),COUNTIFS($M$3:$M842,"&gt;0",$O$3:$O842,"&lt;=0"),"")</f>
        <v/>
      </c>
      <c r="Z842" s="30" t="n">
        <f aca="false">IF(OR('THÁNG 11'!$C99="",'THÁNG 11'!$B99=""),0,'THÁNG 11'!$B99)</f>
        <v>0</v>
      </c>
    </row>
    <row r="843" customFormat="false" ht="15" hidden="false" customHeight="false" outlineLevel="0" collapsed="false">
      <c r="A843" s="0" t="n">
        <v>11</v>
      </c>
      <c r="B843" s="29" t="str">
        <f aca="false">IF(OR('THÁNG 11'!$C100="",'THÁNG 11'!$B100=""),"",'THÁNG 11'!$B100)</f>
        <v/>
      </c>
      <c r="C843" s="0" t="str">
        <f aca="false">IF('THÁNG 11'!$C100="","",'THÁNG 11'!$C100)</f>
        <v/>
      </c>
      <c r="D843" s="0" t="str">
        <f aca="false">IF('THÁNG 11'!$C100="","",'THÁNG 11'!$D100&amp;"")</f>
        <v/>
      </c>
      <c r="E843" s="0" t="str">
        <f aca="false">IF('THÁNG 11'!$C100="","",'THÁNG 11'!$E100&amp;"")</f>
        <v/>
      </c>
      <c r="F843" s="0" t="str">
        <f aca="false">IF('THÁNG 11'!$C100="","",'THÁNG 11'!$F100&amp;"")</f>
        <v/>
      </c>
      <c r="G843" s="0" t="str">
        <f aca="false">IF('THÁNG 11'!$C100="","",'THÁNG 11'!$G100&amp;"")</f>
        <v/>
      </c>
      <c r="H843" s="0" t="str">
        <f aca="false">IF('THÁNG 11'!$C100="","",'THÁNG 11'!$H100&amp;"")</f>
        <v/>
      </c>
      <c r="I843" s="0" t="str">
        <f aca="false">IF('THÁNG 11'!$C100="","",N('THÁNG 11'!$I100))</f>
        <v/>
      </c>
      <c r="J843" s="0" t="str">
        <f aca="false">IF('THÁNG 11'!$C100="","",N('THÁNG 11'!$L100))</f>
        <v/>
      </c>
      <c r="K843" s="0" t="str">
        <f aca="false">IF('THÁNG 11'!$C100="","",N('THÁNG 11'!$N100))</f>
        <v/>
      </c>
      <c r="L843" s="0" t="str">
        <f aca="false">IF('THÁNG 11'!$C100="","",N('THÁNG 11'!$O100))</f>
        <v/>
      </c>
      <c r="M843" s="0" t="str">
        <f aca="false">IF('THÁNG 11'!$C100="","",N('THÁNG 11'!$P100))</f>
        <v/>
      </c>
      <c r="N843" s="0" t="str">
        <f aca="false">IF('THÁNG 11'!$C100="","",N('THÁNG 11'!$Q100))</f>
        <v/>
      </c>
      <c r="O843" s="0" t="str">
        <f aca="false">IF('THÁNG 11'!$C100="","",N('THÁNG 11'!$R100))</f>
        <v/>
      </c>
      <c r="P843" s="0" t="str">
        <f aca="false">IF(OR('THÁNG 11'!$C100="",'THÁNG 11'!$T100=""),"",'THÁNG 11'!$T100)</f>
        <v/>
      </c>
      <c r="Q843" s="0" t="str">
        <f aca="false">IF(OR('THÁNG 11'!$C100="",'THÁNG 11'!$U100=""),"",'THÁNG 11'!$U100)</f>
        <v/>
      </c>
      <c r="R843" s="0" t="str">
        <f aca="false">IF('THÁNG 11'!$C100="","",'THÁNG 11'!$W100&amp;"")</f>
        <v/>
      </c>
      <c r="S843" s="0" t="str">
        <f aca="false">IF('THÁNG 11'!$C100="","",'THÁNG 11'!$S100&amp;"")</f>
        <v/>
      </c>
      <c r="T843" s="0" t="str">
        <f aca="false">IF(N($O843)&gt;0,COUNTIF($O$3:$O843,"&gt;0"),"")</f>
        <v/>
      </c>
      <c r="U843" s="0" t="str">
        <f aca="false">IF(AND(N($J843)&gt;0,N($K843)&gt;0),COUNTIFS($J$3:$J843,"&gt;0",$K$3:$K843,"&gt;0"),"")</f>
        <v/>
      </c>
      <c r="V843" s="0" t="str">
        <f aca="false">IF(AND(N($J843)&gt;0,N($K843)=0),COUNTIFS($J$3:$J843,"&gt;0",$K$3:$K843,"&lt;=0"),"")</f>
        <v/>
      </c>
      <c r="W843" s="0" t="str">
        <f aca="false">IF($C843="","",IF(COUNTIF($C$3:$C843,$C843)&gt;1,"",MAX($W$2:W842)+1))</f>
        <v/>
      </c>
      <c r="X843" s="0" t="str">
        <f aca="false">IF($H843="","",IF(COUNTIF($H$3:$H843,$H843)&gt;1,"",MAX($X$2:X842)+1))</f>
        <v/>
      </c>
      <c r="Y843" s="0" t="str">
        <f aca="false">IF(AND(N($M843)&gt;0,N($O843)&lt;=0),COUNTIFS($M$3:$M843,"&gt;0",$O$3:$O843,"&lt;=0"),"")</f>
        <v/>
      </c>
      <c r="Z843" s="30" t="n">
        <f aca="false">IF(OR('THÁNG 11'!$C100="",'THÁNG 11'!$B100=""),0,'THÁNG 11'!$B100)</f>
        <v>0</v>
      </c>
    </row>
    <row r="844" customFormat="false" ht="15" hidden="false" customHeight="false" outlineLevel="0" collapsed="false">
      <c r="A844" s="0" t="n">
        <v>11</v>
      </c>
      <c r="B844" s="29" t="str">
        <f aca="false">IF(OR('THÁNG 11'!$C101="",'THÁNG 11'!$B101=""),"",'THÁNG 11'!$B101)</f>
        <v/>
      </c>
      <c r="C844" s="0" t="str">
        <f aca="false">IF('THÁNG 11'!$C101="","",'THÁNG 11'!$C101)</f>
        <v/>
      </c>
      <c r="D844" s="0" t="str">
        <f aca="false">IF('THÁNG 11'!$C101="","",'THÁNG 11'!$D101&amp;"")</f>
        <v/>
      </c>
      <c r="E844" s="0" t="str">
        <f aca="false">IF('THÁNG 11'!$C101="","",'THÁNG 11'!$E101&amp;"")</f>
        <v/>
      </c>
      <c r="F844" s="0" t="str">
        <f aca="false">IF('THÁNG 11'!$C101="","",'THÁNG 11'!$F101&amp;"")</f>
        <v/>
      </c>
      <c r="G844" s="0" t="str">
        <f aca="false">IF('THÁNG 11'!$C101="","",'THÁNG 11'!$G101&amp;"")</f>
        <v/>
      </c>
      <c r="H844" s="0" t="str">
        <f aca="false">IF('THÁNG 11'!$C101="","",'THÁNG 11'!$H101&amp;"")</f>
        <v/>
      </c>
      <c r="I844" s="0" t="str">
        <f aca="false">IF('THÁNG 11'!$C101="","",N('THÁNG 11'!$I101))</f>
        <v/>
      </c>
      <c r="J844" s="0" t="str">
        <f aca="false">IF('THÁNG 11'!$C101="","",N('THÁNG 11'!$L101))</f>
        <v/>
      </c>
      <c r="K844" s="0" t="str">
        <f aca="false">IF('THÁNG 11'!$C101="","",N('THÁNG 11'!$N101))</f>
        <v/>
      </c>
      <c r="L844" s="0" t="str">
        <f aca="false">IF('THÁNG 11'!$C101="","",N('THÁNG 11'!$O101))</f>
        <v/>
      </c>
      <c r="M844" s="0" t="str">
        <f aca="false">IF('THÁNG 11'!$C101="","",N('THÁNG 11'!$P101))</f>
        <v/>
      </c>
      <c r="N844" s="0" t="str">
        <f aca="false">IF('THÁNG 11'!$C101="","",N('THÁNG 11'!$Q101))</f>
        <v/>
      </c>
      <c r="O844" s="0" t="str">
        <f aca="false">IF('THÁNG 11'!$C101="","",N('THÁNG 11'!$R101))</f>
        <v/>
      </c>
      <c r="P844" s="0" t="str">
        <f aca="false">IF(OR('THÁNG 11'!$C101="",'THÁNG 11'!$T101=""),"",'THÁNG 11'!$T101)</f>
        <v/>
      </c>
      <c r="Q844" s="0" t="str">
        <f aca="false">IF(OR('THÁNG 11'!$C101="",'THÁNG 11'!$U101=""),"",'THÁNG 11'!$U101)</f>
        <v/>
      </c>
      <c r="R844" s="0" t="str">
        <f aca="false">IF('THÁNG 11'!$C101="","",'THÁNG 11'!$W101&amp;"")</f>
        <v/>
      </c>
      <c r="S844" s="0" t="str">
        <f aca="false">IF('THÁNG 11'!$C101="","",'THÁNG 11'!$S101&amp;"")</f>
        <v/>
      </c>
      <c r="T844" s="0" t="str">
        <f aca="false">IF(N($O844)&gt;0,COUNTIF($O$3:$O844,"&gt;0"),"")</f>
        <v/>
      </c>
      <c r="U844" s="0" t="str">
        <f aca="false">IF(AND(N($J844)&gt;0,N($K844)&gt;0),COUNTIFS($J$3:$J844,"&gt;0",$K$3:$K844,"&gt;0"),"")</f>
        <v/>
      </c>
      <c r="V844" s="0" t="str">
        <f aca="false">IF(AND(N($J844)&gt;0,N($K844)=0),COUNTIFS($J$3:$J844,"&gt;0",$K$3:$K844,"&lt;=0"),"")</f>
        <v/>
      </c>
      <c r="W844" s="0" t="str">
        <f aca="false">IF($C844="","",IF(COUNTIF($C$3:$C844,$C844)&gt;1,"",MAX($W$2:W843)+1))</f>
        <v/>
      </c>
      <c r="X844" s="0" t="str">
        <f aca="false">IF($H844="","",IF(COUNTIF($H$3:$H844,$H844)&gt;1,"",MAX($X$2:X843)+1))</f>
        <v/>
      </c>
      <c r="Y844" s="0" t="str">
        <f aca="false">IF(AND(N($M844)&gt;0,N($O844)&lt;=0),COUNTIFS($M$3:$M844,"&gt;0",$O$3:$O844,"&lt;=0"),"")</f>
        <v/>
      </c>
      <c r="Z844" s="30" t="n">
        <f aca="false">IF(OR('THÁNG 11'!$C101="",'THÁNG 11'!$B101=""),0,'THÁNG 11'!$B101)</f>
        <v>0</v>
      </c>
    </row>
    <row r="845" customFormat="false" ht="15" hidden="false" customHeight="false" outlineLevel="0" collapsed="false">
      <c r="A845" s="0" t="n">
        <v>11</v>
      </c>
      <c r="B845" s="29" t="str">
        <f aca="false">IF(OR('THÁNG 11'!$C102="",'THÁNG 11'!$B102=""),"",'THÁNG 11'!$B102)</f>
        <v/>
      </c>
      <c r="C845" s="0" t="str">
        <f aca="false">IF('THÁNG 11'!$C102="","",'THÁNG 11'!$C102)</f>
        <v/>
      </c>
      <c r="D845" s="0" t="str">
        <f aca="false">IF('THÁNG 11'!$C102="","",'THÁNG 11'!$D102&amp;"")</f>
        <v/>
      </c>
      <c r="E845" s="0" t="str">
        <f aca="false">IF('THÁNG 11'!$C102="","",'THÁNG 11'!$E102&amp;"")</f>
        <v/>
      </c>
      <c r="F845" s="0" t="str">
        <f aca="false">IF('THÁNG 11'!$C102="","",'THÁNG 11'!$F102&amp;"")</f>
        <v/>
      </c>
      <c r="G845" s="0" t="str">
        <f aca="false">IF('THÁNG 11'!$C102="","",'THÁNG 11'!$G102&amp;"")</f>
        <v/>
      </c>
      <c r="H845" s="0" t="str">
        <f aca="false">IF('THÁNG 11'!$C102="","",'THÁNG 11'!$H102&amp;"")</f>
        <v/>
      </c>
      <c r="I845" s="0" t="str">
        <f aca="false">IF('THÁNG 11'!$C102="","",N('THÁNG 11'!$I102))</f>
        <v/>
      </c>
      <c r="J845" s="0" t="str">
        <f aca="false">IF('THÁNG 11'!$C102="","",N('THÁNG 11'!$L102))</f>
        <v/>
      </c>
      <c r="K845" s="0" t="str">
        <f aca="false">IF('THÁNG 11'!$C102="","",N('THÁNG 11'!$N102))</f>
        <v/>
      </c>
      <c r="L845" s="0" t="str">
        <f aca="false">IF('THÁNG 11'!$C102="","",N('THÁNG 11'!$O102))</f>
        <v/>
      </c>
      <c r="M845" s="0" t="str">
        <f aca="false">IF('THÁNG 11'!$C102="","",N('THÁNG 11'!$P102))</f>
        <v/>
      </c>
      <c r="N845" s="0" t="str">
        <f aca="false">IF('THÁNG 11'!$C102="","",N('THÁNG 11'!$Q102))</f>
        <v/>
      </c>
      <c r="O845" s="0" t="str">
        <f aca="false">IF('THÁNG 11'!$C102="","",N('THÁNG 11'!$R102))</f>
        <v/>
      </c>
      <c r="P845" s="0" t="str">
        <f aca="false">IF(OR('THÁNG 11'!$C102="",'THÁNG 11'!$T102=""),"",'THÁNG 11'!$T102)</f>
        <v/>
      </c>
      <c r="Q845" s="0" t="str">
        <f aca="false">IF(OR('THÁNG 11'!$C102="",'THÁNG 11'!$U102=""),"",'THÁNG 11'!$U102)</f>
        <v/>
      </c>
      <c r="R845" s="0" t="str">
        <f aca="false">IF('THÁNG 11'!$C102="","",'THÁNG 11'!$W102&amp;"")</f>
        <v/>
      </c>
      <c r="S845" s="0" t="str">
        <f aca="false">IF('THÁNG 11'!$C102="","",'THÁNG 11'!$S102&amp;"")</f>
        <v/>
      </c>
      <c r="T845" s="0" t="str">
        <f aca="false">IF(N($O845)&gt;0,COUNTIF($O$3:$O845,"&gt;0"),"")</f>
        <v/>
      </c>
      <c r="U845" s="0" t="str">
        <f aca="false">IF(AND(N($J845)&gt;0,N($K845)&gt;0),COUNTIFS($J$3:$J845,"&gt;0",$K$3:$K845,"&gt;0"),"")</f>
        <v/>
      </c>
      <c r="V845" s="0" t="str">
        <f aca="false">IF(AND(N($J845)&gt;0,N($K845)=0),COUNTIFS($J$3:$J845,"&gt;0",$K$3:$K845,"&lt;=0"),"")</f>
        <v/>
      </c>
      <c r="W845" s="0" t="str">
        <f aca="false">IF($C845="","",IF(COUNTIF($C$3:$C845,$C845)&gt;1,"",MAX($W$2:W844)+1))</f>
        <v/>
      </c>
      <c r="X845" s="0" t="str">
        <f aca="false">IF($H845="","",IF(COUNTIF($H$3:$H845,$H845)&gt;1,"",MAX($X$2:X844)+1))</f>
        <v/>
      </c>
      <c r="Y845" s="0" t="str">
        <f aca="false">IF(AND(N($M845)&gt;0,N($O845)&lt;=0),COUNTIFS($M$3:$M845,"&gt;0",$O$3:$O845,"&lt;=0"),"")</f>
        <v/>
      </c>
      <c r="Z845" s="30" t="n">
        <f aca="false">IF(OR('THÁNG 11'!$C102="",'THÁNG 11'!$B102=""),0,'THÁNG 11'!$B102)</f>
        <v>0</v>
      </c>
    </row>
    <row r="846" customFormat="false" ht="15" hidden="false" customHeight="false" outlineLevel="0" collapsed="false">
      <c r="A846" s="0" t="n">
        <v>11</v>
      </c>
      <c r="B846" s="29" t="str">
        <f aca="false">IF(OR('THÁNG 11'!$C103="",'THÁNG 11'!$B103=""),"",'THÁNG 11'!$B103)</f>
        <v/>
      </c>
      <c r="C846" s="0" t="str">
        <f aca="false">IF('THÁNG 11'!$C103="","",'THÁNG 11'!$C103)</f>
        <v/>
      </c>
      <c r="D846" s="0" t="str">
        <f aca="false">IF('THÁNG 11'!$C103="","",'THÁNG 11'!$D103&amp;"")</f>
        <v/>
      </c>
      <c r="E846" s="0" t="str">
        <f aca="false">IF('THÁNG 11'!$C103="","",'THÁNG 11'!$E103&amp;"")</f>
        <v/>
      </c>
      <c r="F846" s="0" t="str">
        <f aca="false">IF('THÁNG 11'!$C103="","",'THÁNG 11'!$F103&amp;"")</f>
        <v/>
      </c>
      <c r="G846" s="0" t="str">
        <f aca="false">IF('THÁNG 11'!$C103="","",'THÁNG 11'!$G103&amp;"")</f>
        <v/>
      </c>
      <c r="H846" s="0" t="str">
        <f aca="false">IF('THÁNG 11'!$C103="","",'THÁNG 11'!$H103&amp;"")</f>
        <v/>
      </c>
      <c r="I846" s="0" t="str">
        <f aca="false">IF('THÁNG 11'!$C103="","",N('THÁNG 11'!$I103))</f>
        <v/>
      </c>
      <c r="J846" s="0" t="str">
        <f aca="false">IF('THÁNG 11'!$C103="","",N('THÁNG 11'!$L103))</f>
        <v/>
      </c>
      <c r="K846" s="0" t="str">
        <f aca="false">IF('THÁNG 11'!$C103="","",N('THÁNG 11'!$N103))</f>
        <v/>
      </c>
      <c r="L846" s="0" t="str">
        <f aca="false">IF('THÁNG 11'!$C103="","",N('THÁNG 11'!$O103))</f>
        <v/>
      </c>
      <c r="M846" s="0" t="str">
        <f aca="false">IF('THÁNG 11'!$C103="","",N('THÁNG 11'!$P103))</f>
        <v/>
      </c>
      <c r="N846" s="0" t="str">
        <f aca="false">IF('THÁNG 11'!$C103="","",N('THÁNG 11'!$Q103))</f>
        <v/>
      </c>
      <c r="O846" s="0" t="str">
        <f aca="false">IF('THÁNG 11'!$C103="","",N('THÁNG 11'!$R103))</f>
        <v/>
      </c>
      <c r="P846" s="0" t="str">
        <f aca="false">IF(OR('THÁNG 11'!$C103="",'THÁNG 11'!$T103=""),"",'THÁNG 11'!$T103)</f>
        <v/>
      </c>
      <c r="Q846" s="0" t="str">
        <f aca="false">IF(OR('THÁNG 11'!$C103="",'THÁNG 11'!$U103=""),"",'THÁNG 11'!$U103)</f>
        <v/>
      </c>
      <c r="R846" s="0" t="str">
        <f aca="false">IF('THÁNG 11'!$C103="","",'THÁNG 11'!$W103&amp;"")</f>
        <v/>
      </c>
      <c r="S846" s="0" t="str">
        <f aca="false">IF('THÁNG 11'!$C103="","",'THÁNG 11'!$S103&amp;"")</f>
        <v/>
      </c>
      <c r="T846" s="0" t="str">
        <f aca="false">IF(N($O846)&gt;0,COUNTIF($O$3:$O846,"&gt;0"),"")</f>
        <v/>
      </c>
      <c r="U846" s="0" t="str">
        <f aca="false">IF(AND(N($J846)&gt;0,N($K846)&gt;0),COUNTIFS($J$3:$J846,"&gt;0",$K$3:$K846,"&gt;0"),"")</f>
        <v/>
      </c>
      <c r="V846" s="0" t="str">
        <f aca="false">IF(AND(N($J846)&gt;0,N($K846)=0),COUNTIFS($J$3:$J846,"&gt;0",$K$3:$K846,"&lt;=0"),"")</f>
        <v/>
      </c>
      <c r="W846" s="0" t="str">
        <f aca="false">IF($C846="","",IF(COUNTIF($C$3:$C846,$C846)&gt;1,"",MAX($W$2:W845)+1))</f>
        <v/>
      </c>
      <c r="X846" s="0" t="str">
        <f aca="false">IF($H846="","",IF(COUNTIF($H$3:$H846,$H846)&gt;1,"",MAX($X$2:X845)+1))</f>
        <v/>
      </c>
      <c r="Y846" s="0" t="str">
        <f aca="false">IF(AND(N($M846)&gt;0,N($O846)&lt;=0),COUNTIFS($M$3:$M846,"&gt;0",$O$3:$O846,"&lt;=0"),"")</f>
        <v/>
      </c>
      <c r="Z846" s="30" t="n">
        <f aca="false">IF(OR('THÁNG 11'!$C103="",'THÁNG 11'!$B103=""),0,'THÁNG 11'!$B103)</f>
        <v>0</v>
      </c>
    </row>
    <row r="847" customFormat="false" ht="15" hidden="false" customHeight="false" outlineLevel="0" collapsed="false">
      <c r="A847" s="0" t="n">
        <v>11</v>
      </c>
      <c r="B847" s="29" t="str">
        <f aca="false">IF(OR('THÁNG 11'!$C104="",'THÁNG 11'!$B104=""),"",'THÁNG 11'!$B104)</f>
        <v/>
      </c>
      <c r="C847" s="0" t="str">
        <f aca="false">IF('THÁNG 11'!$C104="","",'THÁNG 11'!$C104)</f>
        <v/>
      </c>
      <c r="D847" s="0" t="str">
        <f aca="false">IF('THÁNG 11'!$C104="","",'THÁNG 11'!$D104&amp;"")</f>
        <v/>
      </c>
      <c r="E847" s="0" t="str">
        <f aca="false">IF('THÁNG 11'!$C104="","",'THÁNG 11'!$E104&amp;"")</f>
        <v/>
      </c>
      <c r="F847" s="0" t="str">
        <f aca="false">IF('THÁNG 11'!$C104="","",'THÁNG 11'!$F104&amp;"")</f>
        <v/>
      </c>
      <c r="G847" s="0" t="str">
        <f aca="false">IF('THÁNG 11'!$C104="","",'THÁNG 11'!$G104&amp;"")</f>
        <v/>
      </c>
      <c r="H847" s="0" t="str">
        <f aca="false">IF('THÁNG 11'!$C104="","",'THÁNG 11'!$H104&amp;"")</f>
        <v/>
      </c>
      <c r="I847" s="0" t="str">
        <f aca="false">IF('THÁNG 11'!$C104="","",N('THÁNG 11'!$I104))</f>
        <v/>
      </c>
      <c r="J847" s="0" t="str">
        <f aca="false">IF('THÁNG 11'!$C104="","",N('THÁNG 11'!$L104))</f>
        <v/>
      </c>
      <c r="K847" s="0" t="str">
        <f aca="false">IF('THÁNG 11'!$C104="","",N('THÁNG 11'!$N104))</f>
        <v/>
      </c>
      <c r="L847" s="0" t="str">
        <f aca="false">IF('THÁNG 11'!$C104="","",N('THÁNG 11'!$O104))</f>
        <v/>
      </c>
      <c r="M847" s="0" t="str">
        <f aca="false">IF('THÁNG 11'!$C104="","",N('THÁNG 11'!$P104))</f>
        <v/>
      </c>
      <c r="N847" s="0" t="str">
        <f aca="false">IF('THÁNG 11'!$C104="","",N('THÁNG 11'!$Q104))</f>
        <v/>
      </c>
      <c r="O847" s="0" t="str">
        <f aca="false">IF('THÁNG 11'!$C104="","",N('THÁNG 11'!$R104))</f>
        <v/>
      </c>
      <c r="P847" s="0" t="str">
        <f aca="false">IF(OR('THÁNG 11'!$C104="",'THÁNG 11'!$T104=""),"",'THÁNG 11'!$T104)</f>
        <v/>
      </c>
      <c r="Q847" s="0" t="str">
        <f aca="false">IF(OR('THÁNG 11'!$C104="",'THÁNG 11'!$U104=""),"",'THÁNG 11'!$U104)</f>
        <v/>
      </c>
      <c r="R847" s="0" t="str">
        <f aca="false">IF('THÁNG 11'!$C104="","",'THÁNG 11'!$W104&amp;"")</f>
        <v/>
      </c>
      <c r="S847" s="0" t="str">
        <f aca="false">IF('THÁNG 11'!$C104="","",'THÁNG 11'!$S104&amp;"")</f>
        <v/>
      </c>
      <c r="T847" s="0" t="str">
        <f aca="false">IF(N($O847)&gt;0,COUNTIF($O$3:$O847,"&gt;0"),"")</f>
        <v/>
      </c>
      <c r="U847" s="0" t="str">
        <f aca="false">IF(AND(N($J847)&gt;0,N($K847)&gt;0),COUNTIFS($J$3:$J847,"&gt;0",$K$3:$K847,"&gt;0"),"")</f>
        <v/>
      </c>
      <c r="V847" s="0" t="str">
        <f aca="false">IF(AND(N($J847)&gt;0,N($K847)=0),COUNTIFS($J$3:$J847,"&gt;0",$K$3:$K847,"&lt;=0"),"")</f>
        <v/>
      </c>
      <c r="W847" s="0" t="str">
        <f aca="false">IF($C847="","",IF(COUNTIF($C$3:$C847,$C847)&gt;1,"",MAX($W$2:W846)+1))</f>
        <v/>
      </c>
      <c r="X847" s="0" t="str">
        <f aca="false">IF($H847="","",IF(COUNTIF($H$3:$H847,$H847)&gt;1,"",MAX($X$2:X846)+1))</f>
        <v/>
      </c>
      <c r="Y847" s="0" t="str">
        <f aca="false">IF(AND(N($M847)&gt;0,N($O847)&lt;=0),COUNTIFS($M$3:$M847,"&gt;0",$O$3:$O847,"&lt;=0"),"")</f>
        <v/>
      </c>
      <c r="Z847" s="30" t="n">
        <f aca="false">IF(OR('THÁNG 11'!$C104="",'THÁNG 11'!$B104=""),0,'THÁNG 11'!$B104)</f>
        <v>0</v>
      </c>
    </row>
    <row r="848" customFormat="false" ht="15" hidden="false" customHeight="false" outlineLevel="0" collapsed="false">
      <c r="A848" s="0" t="n">
        <v>11</v>
      </c>
      <c r="B848" s="29" t="str">
        <f aca="false">IF(OR('THÁNG 11'!$C105="",'THÁNG 11'!$B105=""),"",'THÁNG 11'!$B105)</f>
        <v/>
      </c>
      <c r="C848" s="0" t="str">
        <f aca="false">IF('THÁNG 11'!$C105="","",'THÁNG 11'!$C105)</f>
        <v/>
      </c>
      <c r="D848" s="0" t="str">
        <f aca="false">IF('THÁNG 11'!$C105="","",'THÁNG 11'!$D105&amp;"")</f>
        <v/>
      </c>
      <c r="E848" s="0" t="str">
        <f aca="false">IF('THÁNG 11'!$C105="","",'THÁNG 11'!$E105&amp;"")</f>
        <v/>
      </c>
      <c r="F848" s="0" t="str">
        <f aca="false">IF('THÁNG 11'!$C105="","",'THÁNG 11'!$F105&amp;"")</f>
        <v/>
      </c>
      <c r="G848" s="0" t="str">
        <f aca="false">IF('THÁNG 11'!$C105="","",'THÁNG 11'!$G105&amp;"")</f>
        <v/>
      </c>
      <c r="H848" s="0" t="str">
        <f aca="false">IF('THÁNG 11'!$C105="","",'THÁNG 11'!$H105&amp;"")</f>
        <v/>
      </c>
      <c r="I848" s="0" t="str">
        <f aca="false">IF('THÁNG 11'!$C105="","",N('THÁNG 11'!$I105))</f>
        <v/>
      </c>
      <c r="J848" s="0" t="str">
        <f aca="false">IF('THÁNG 11'!$C105="","",N('THÁNG 11'!$L105))</f>
        <v/>
      </c>
      <c r="K848" s="0" t="str">
        <f aca="false">IF('THÁNG 11'!$C105="","",N('THÁNG 11'!$N105))</f>
        <v/>
      </c>
      <c r="L848" s="0" t="str">
        <f aca="false">IF('THÁNG 11'!$C105="","",N('THÁNG 11'!$O105))</f>
        <v/>
      </c>
      <c r="M848" s="0" t="str">
        <f aca="false">IF('THÁNG 11'!$C105="","",N('THÁNG 11'!$P105))</f>
        <v/>
      </c>
      <c r="N848" s="0" t="str">
        <f aca="false">IF('THÁNG 11'!$C105="","",N('THÁNG 11'!$Q105))</f>
        <v/>
      </c>
      <c r="O848" s="0" t="str">
        <f aca="false">IF('THÁNG 11'!$C105="","",N('THÁNG 11'!$R105))</f>
        <v/>
      </c>
      <c r="P848" s="0" t="str">
        <f aca="false">IF(OR('THÁNG 11'!$C105="",'THÁNG 11'!$T105=""),"",'THÁNG 11'!$T105)</f>
        <v/>
      </c>
      <c r="Q848" s="0" t="str">
        <f aca="false">IF(OR('THÁNG 11'!$C105="",'THÁNG 11'!$U105=""),"",'THÁNG 11'!$U105)</f>
        <v/>
      </c>
      <c r="R848" s="0" t="str">
        <f aca="false">IF('THÁNG 11'!$C105="","",'THÁNG 11'!$W105&amp;"")</f>
        <v/>
      </c>
      <c r="S848" s="0" t="str">
        <f aca="false">IF('THÁNG 11'!$C105="","",'THÁNG 11'!$S105&amp;"")</f>
        <v/>
      </c>
      <c r="T848" s="0" t="str">
        <f aca="false">IF(N($O848)&gt;0,COUNTIF($O$3:$O848,"&gt;0"),"")</f>
        <v/>
      </c>
      <c r="U848" s="0" t="str">
        <f aca="false">IF(AND(N($J848)&gt;0,N($K848)&gt;0),COUNTIFS($J$3:$J848,"&gt;0",$K$3:$K848,"&gt;0"),"")</f>
        <v/>
      </c>
      <c r="V848" s="0" t="str">
        <f aca="false">IF(AND(N($J848)&gt;0,N($K848)=0),COUNTIFS($J$3:$J848,"&gt;0",$K$3:$K848,"&lt;=0"),"")</f>
        <v/>
      </c>
      <c r="W848" s="0" t="str">
        <f aca="false">IF($C848="","",IF(COUNTIF($C$3:$C848,$C848)&gt;1,"",MAX($W$2:W847)+1))</f>
        <v/>
      </c>
      <c r="X848" s="0" t="str">
        <f aca="false">IF($H848="","",IF(COUNTIF($H$3:$H848,$H848)&gt;1,"",MAX($X$2:X847)+1))</f>
        <v/>
      </c>
      <c r="Y848" s="0" t="str">
        <f aca="false">IF(AND(N($M848)&gt;0,N($O848)&lt;=0),COUNTIFS($M$3:$M848,"&gt;0",$O$3:$O848,"&lt;=0"),"")</f>
        <v/>
      </c>
      <c r="Z848" s="30" t="n">
        <f aca="false">IF(OR('THÁNG 11'!$C105="",'THÁNG 11'!$B105=""),0,'THÁNG 11'!$B105)</f>
        <v>0</v>
      </c>
    </row>
    <row r="849" customFormat="false" ht="15" hidden="false" customHeight="false" outlineLevel="0" collapsed="false">
      <c r="A849" s="0" t="n">
        <v>11</v>
      </c>
      <c r="B849" s="29" t="str">
        <f aca="false">IF(OR('THÁNG 11'!$C106="",'THÁNG 11'!$B106=""),"",'THÁNG 11'!$B106)</f>
        <v/>
      </c>
      <c r="C849" s="0" t="str">
        <f aca="false">IF('THÁNG 11'!$C106="","",'THÁNG 11'!$C106)</f>
        <v/>
      </c>
      <c r="D849" s="0" t="str">
        <f aca="false">IF('THÁNG 11'!$C106="","",'THÁNG 11'!$D106&amp;"")</f>
        <v/>
      </c>
      <c r="E849" s="0" t="str">
        <f aca="false">IF('THÁNG 11'!$C106="","",'THÁNG 11'!$E106&amp;"")</f>
        <v/>
      </c>
      <c r="F849" s="0" t="str">
        <f aca="false">IF('THÁNG 11'!$C106="","",'THÁNG 11'!$F106&amp;"")</f>
        <v/>
      </c>
      <c r="G849" s="0" t="str">
        <f aca="false">IF('THÁNG 11'!$C106="","",'THÁNG 11'!$G106&amp;"")</f>
        <v/>
      </c>
      <c r="H849" s="0" t="str">
        <f aca="false">IF('THÁNG 11'!$C106="","",'THÁNG 11'!$H106&amp;"")</f>
        <v/>
      </c>
      <c r="I849" s="0" t="str">
        <f aca="false">IF('THÁNG 11'!$C106="","",N('THÁNG 11'!$I106))</f>
        <v/>
      </c>
      <c r="J849" s="0" t="str">
        <f aca="false">IF('THÁNG 11'!$C106="","",N('THÁNG 11'!$L106))</f>
        <v/>
      </c>
      <c r="K849" s="0" t="str">
        <f aca="false">IF('THÁNG 11'!$C106="","",N('THÁNG 11'!$N106))</f>
        <v/>
      </c>
      <c r="L849" s="0" t="str">
        <f aca="false">IF('THÁNG 11'!$C106="","",N('THÁNG 11'!$O106))</f>
        <v/>
      </c>
      <c r="M849" s="0" t="str">
        <f aca="false">IF('THÁNG 11'!$C106="","",N('THÁNG 11'!$P106))</f>
        <v/>
      </c>
      <c r="N849" s="0" t="str">
        <f aca="false">IF('THÁNG 11'!$C106="","",N('THÁNG 11'!$Q106))</f>
        <v/>
      </c>
      <c r="O849" s="0" t="str">
        <f aca="false">IF('THÁNG 11'!$C106="","",N('THÁNG 11'!$R106))</f>
        <v/>
      </c>
      <c r="P849" s="0" t="str">
        <f aca="false">IF(OR('THÁNG 11'!$C106="",'THÁNG 11'!$T106=""),"",'THÁNG 11'!$T106)</f>
        <v/>
      </c>
      <c r="Q849" s="0" t="str">
        <f aca="false">IF(OR('THÁNG 11'!$C106="",'THÁNG 11'!$U106=""),"",'THÁNG 11'!$U106)</f>
        <v/>
      </c>
      <c r="R849" s="0" t="str">
        <f aca="false">IF('THÁNG 11'!$C106="","",'THÁNG 11'!$W106&amp;"")</f>
        <v/>
      </c>
      <c r="S849" s="0" t="str">
        <f aca="false">IF('THÁNG 11'!$C106="","",'THÁNG 11'!$S106&amp;"")</f>
        <v/>
      </c>
      <c r="T849" s="0" t="str">
        <f aca="false">IF(N($O849)&gt;0,COUNTIF($O$3:$O849,"&gt;0"),"")</f>
        <v/>
      </c>
      <c r="U849" s="0" t="str">
        <f aca="false">IF(AND(N($J849)&gt;0,N($K849)&gt;0),COUNTIFS($J$3:$J849,"&gt;0",$K$3:$K849,"&gt;0"),"")</f>
        <v/>
      </c>
      <c r="V849" s="0" t="str">
        <f aca="false">IF(AND(N($J849)&gt;0,N($K849)=0),COUNTIFS($J$3:$J849,"&gt;0",$K$3:$K849,"&lt;=0"),"")</f>
        <v/>
      </c>
      <c r="W849" s="0" t="str">
        <f aca="false">IF($C849="","",IF(COUNTIF($C$3:$C849,$C849)&gt;1,"",MAX($W$2:W848)+1))</f>
        <v/>
      </c>
      <c r="X849" s="0" t="str">
        <f aca="false">IF($H849="","",IF(COUNTIF($H$3:$H849,$H849)&gt;1,"",MAX($X$2:X848)+1))</f>
        <v/>
      </c>
      <c r="Y849" s="0" t="str">
        <f aca="false">IF(AND(N($M849)&gt;0,N($O849)&lt;=0),COUNTIFS($M$3:$M849,"&gt;0",$O$3:$O849,"&lt;=0"),"")</f>
        <v/>
      </c>
      <c r="Z849" s="30" t="n">
        <f aca="false">IF(OR('THÁNG 11'!$C106="",'THÁNG 11'!$B106=""),0,'THÁNG 11'!$B106)</f>
        <v>0</v>
      </c>
    </row>
    <row r="850" customFormat="false" ht="15" hidden="false" customHeight="false" outlineLevel="0" collapsed="false">
      <c r="A850" s="0" t="n">
        <v>11</v>
      </c>
      <c r="B850" s="29" t="str">
        <f aca="false">IF(OR('THÁNG 11'!$C107="",'THÁNG 11'!$B107=""),"",'THÁNG 11'!$B107)</f>
        <v/>
      </c>
      <c r="C850" s="0" t="str">
        <f aca="false">IF('THÁNG 11'!$C107="","",'THÁNG 11'!$C107)</f>
        <v/>
      </c>
      <c r="D850" s="0" t="str">
        <f aca="false">IF('THÁNG 11'!$C107="","",'THÁNG 11'!$D107&amp;"")</f>
        <v/>
      </c>
      <c r="E850" s="0" t="str">
        <f aca="false">IF('THÁNG 11'!$C107="","",'THÁNG 11'!$E107&amp;"")</f>
        <v/>
      </c>
      <c r="F850" s="0" t="str">
        <f aca="false">IF('THÁNG 11'!$C107="","",'THÁNG 11'!$F107&amp;"")</f>
        <v/>
      </c>
      <c r="G850" s="0" t="str">
        <f aca="false">IF('THÁNG 11'!$C107="","",'THÁNG 11'!$G107&amp;"")</f>
        <v/>
      </c>
      <c r="H850" s="0" t="str">
        <f aca="false">IF('THÁNG 11'!$C107="","",'THÁNG 11'!$H107&amp;"")</f>
        <v/>
      </c>
      <c r="I850" s="0" t="str">
        <f aca="false">IF('THÁNG 11'!$C107="","",N('THÁNG 11'!$I107))</f>
        <v/>
      </c>
      <c r="J850" s="0" t="str">
        <f aca="false">IF('THÁNG 11'!$C107="","",N('THÁNG 11'!$L107))</f>
        <v/>
      </c>
      <c r="K850" s="0" t="str">
        <f aca="false">IF('THÁNG 11'!$C107="","",N('THÁNG 11'!$N107))</f>
        <v/>
      </c>
      <c r="L850" s="0" t="str">
        <f aca="false">IF('THÁNG 11'!$C107="","",N('THÁNG 11'!$O107))</f>
        <v/>
      </c>
      <c r="M850" s="0" t="str">
        <f aca="false">IF('THÁNG 11'!$C107="","",N('THÁNG 11'!$P107))</f>
        <v/>
      </c>
      <c r="N850" s="0" t="str">
        <f aca="false">IF('THÁNG 11'!$C107="","",N('THÁNG 11'!$Q107))</f>
        <v/>
      </c>
      <c r="O850" s="0" t="str">
        <f aca="false">IF('THÁNG 11'!$C107="","",N('THÁNG 11'!$R107))</f>
        <v/>
      </c>
      <c r="P850" s="0" t="str">
        <f aca="false">IF(OR('THÁNG 11'!$C107="",'THÁNG 11'!$T107=""),"",'THÁNG 11'!$T107)</f>
        <v/>
      </c>
      <c r="Q850" s="0" t="str">
        <f aca="false">IF(OR('THÁNG 11'!$C107="",'THÁNG 11'!$U107=""),"",'THÁNG 11'!$U107)</f>
        <v/>
      </c>
      <c r="R850" s="0" t="str">
        <f aca="false">IF('THÁNG 11'!$C107="","",'THÁNG 11'!$W107&amp;"")</f>
        <v/>
      </c>
      <c r="S850" s="0" t="str">
        <f aca="false">IF('THÁNG 11'!$C107="","",'THÁNG 11'!$S107&amp;"")</f>
        <v/>
      </c>
      <c r="T850" s="0" t="str">
        <f aca="false">IF(N($O850)&gt;0,COUNTIF($O$3:$O850,"&gt;0"),"")</f>
        <v/>
      </c>
      <c r="U850" s="0" t="str">
        <f aca="false">IF(AND(N($J850)&gt;0,N($K850)&gt;0),COUNTIFS($J$3:$J850,"&gt;0",$K$3:$K850,"&gt;0"),"")</f>
        <v/>
      </c>
      <c r="V850" s="0" t="str">
        <f aca="false">IF(AND(N($J850)&gt;0,N($K850)=0),COUNTIFS($J$3:$J850,"&gt;0",$K$3:$K850,"&lt;=0"),"")</f>
        <v/>
      </c>
      <c r="W850" s="0" t="str">
        <f aca="false">IF($C850="","",IF(COUNTIF($C$3:$C850,$C850)&gt;1,"",MAX($W$2:W849)+1))</f>
        <v/>
      </c>
      <c r="X850" s="0" t="str">
        <f aca="false">IF($H850="","",IF(COUNTIF($H$3:$H850,$H850)&gt;1,"",MAX($X$2:X849)+1))</f>
        <v/>
      </c>
      <c r="Y850" s="0" t="str">
        <f aca="false">IF(AND(N($M850)&gt;0,N($O850)&lt;=0),COUNTIFS($M$3:$M850,"&gt;0",$O$3:$O850,"&lt;=0"),"")</f>
        <v/>
      </c>
      <c r="Z850" s="30" t="n">
        <f aca="false">IF(OR('THÁNG 11'!$C107="",'THÁNG 11'!$B107=""),0,'THÁNG 11'!$B107)</f>
        <v>0</v>
      </c>
    </row>
    <row r="851" customFormat="false" ht="15" hidden="false" customHeight="false" outlineLevel="0" collapsed="false">
      <c r="A851" s="0" t="n">
        <v>11</v>
      </c>
      <c r="B851" s="29" t="str">
        <f aca="false">IF(OR('THÁNG 11'!$C108="",'THÁNG 11'!$B108=""),"",'THÁNG 11'!$B108)</f>
        <v/>
      </c>
      <c r="C851" s="0" t="str">
        <f aca="false">IF('THÁNG 11'!$C108="","",'THÁNG 11'!$C108)</f>
        <v/>
      </c>
      <c r="D851" s="0" t="str">
        <f aca="false">IF('THÁNG 11'!$C108="","",'THÁNG 11'!$D108&amp;"")</f>
        <v/>
      </c>
      <c r="E851" s="0" t="str">
        <f aca="false">IF('THÁNG 11'!$C108="","",'THÁNG 11'!$E108&amp;"")</f>
        <v/>
      </c>
      <c r="F851" s="0" t="str">
        <f aca="false">IF('THÁNG 11'!$C108="","",'THÁNG 11'!$F108&amp;"")</f>
        <v/>
      </c>
      <c r="G851" s="0" t="str">
        <f aca="false">IF('THÁNG 11'!$C108="","",'THÁNG 11'!$G108&amp;"")</f>
        <v/>
      </c>
      <c r="H851" s="0" t="str">
        <f aca="false">IF('THÁNG 11'!$C108="","",'THÁNG 11'!$H108&amp;"")</f>
        <v/>
      </c>
      <c r="I851" s="0" t="str">
        <f aca="false">IF('THÁNG 11'!$C108="","",N('THÁNG 11'!$I108))</f>
        <v/>
      </c>
      <c r="J851" s="0" t="str">
        <f aca="false">IF('THÁNG 11'!$C108="","",N('THÁNG 11'!$L108))</f>
        <v/>
      </c>
      <c r="K851" s="0" t="str">
        <f aca="false">IF('THÁNG 11'!$C108="","",N('THÁNG 11'!$N108))</f>
        <v/>
      </c>
      <c r="L851" s="0" t="str">
        <f aca="false">IF('THÁNG 11'!$C108="","",N('THÁNG 11'!$O108))</f>
        <v/>
      </c>
      <c r="M851" s="0" t="str">
        <f aca="false">IF('THÁNG 11'!$C108="","",N('THÁNG 11'!$P108))</f>
        <v/>
      </c>
      <c r="N851" s="0" t="str">
        <f aca="false">IF('THÁNG 11'!$C108="","",N('THÁNG 11'!$Q108))</f>
        <v/>
      </c>
      <c r="O851" s="0" t="str">
        <f aca="false">IF('THÁNG 11'!$C108="","",N('THÁNG 11'!$R108))</f>
        <v/>
      </c>
      <c r="P851" s="0" t="str">
        <f aca="false">IF(OR('THÁNG 11'!$C108="",'THÁNG 11'!$T108=""),"",'THÁNG 11'!$T108)</f>
        <v/>
      </c>
      <c r="Q851" s="0" t="str">
        <f aca="false">IF(OR('THÁNG 11'!$C108="",'THÁNG 11'!$U108=""),"",'THÁNG 11'!$U108)</f>
        <v/>
      </c>
      <c r="R851" s="0" t="str">
        <f aca="false">IF('THÁNG 11'!$C108="","",'THÁNG 11'!$W108&amp;"")</f>
        <v/>
      </c>
      <c r="S851" s="0" t="str">
        <f aca="false">IF('THÁNG 11'!$C108="","",'THÁNG 11'!$S108&amp;"")</f>
        <v/>
      </c>
      <c r="T851" s="0" t="str">
        <f aca="false">IF(N($O851)&gt;0,COUNTIF($O$3:$O851,"&gt;0"),"")</f>
        <v/>
      </c>
      <c r="U851" s="0" t="str">
        <f aca="false">IF(AND(N($J851)&gt;0,N($K851)&gt;0),COUNTIFS($J$3:$J851,"&gt;0",$K$3:$K851,"&gt;0"),"")</f>
        <v/>
      </c>
      <c r="V851" s="0" t="str">
        <f aca="false">IF(AND(N($J851)&gt;0,N($K851)=0),COUNTIFS($J$3:$J851,"&gt;0",$K$3:$K851,"&lt;=0"),"")</f>
        <v/>
      </c>
      <c r="W851" s="0" t="str">
        <f aca="false">IF($C851="","",IF(COUNTIF($C$3:$C851,$C851)&gt;1,"",MAX($W$2:W850)+1))</f>
        <v/>
      </c>
      <c r="X851" s="0" t="str">
        <f aca="false">IF($H851="","",IF(COUNTIF($H$3:$H851,$H851)&gt;1,"",MAX($X$2:X850)+1))</f>
        <v/>
      </c>
      <c r="Y851" s="0" t="str">
        <f aca="false">IF(AND(N($M851)&gt;0,N($O851)&lt;=0),COUNTIFS($M$3:$M851,"&gt;0",$O$3:$O851,"&lt;=0"),"")</f>
        <v/>
      </c>
      <c r="Z851" s="30" t="n">
        <f aca="false">IF(OR('THÁNG 11'!$C108="",'THÁNG 11'!$B108=""),0,'THÁNG 11'!$B108)</f>
        <v>0</v>
      </c>
    </row>
    <row r="852" customFormat="false" ht="15" hidden="false" customHeight="false" outlineLevel="0" collapsed="false">
      <c r="A852" s="0" t="n">
        <v>11</v>
      </c>
      <c r="B852" s="29" t="str">
        <f aca="false">IF(OR('THÁNG 11'!$C109="",'THÁNG 11'!$B109=""),"",'THÁNG 11'!$B109)</f>
        <v/>
      </c>
      <c r="C852" s="0" t="str">
        <f aca="false">IF('THÁNG 11'!$C109="","",'THÁNG 11'!$C109)</f>
        <v/>
      </c>
      <c r="D852" s="0" t="str">
        <f aca="false">IF('THÁNG 11'!$C109="","",'THÁNG 11'!$D109&amp;"")</f>
        <v/>
      </c>
      <c r="E852" s="0" t="str">
        <f aca="false">IF('THÁNG 11'!$C109="","",'THÁNG 11'!$E109&amp;"")</f>
        <v/>
      </c>
      <c r="F852" s="0" t="str">
        <f aca="false">IF('THÁNG 11'!$C109="","",'THÁNG 11'!$F109&amp;"")</f>
        <v/>
      </c>
      <c r="G852" s="0" t="str">
        <f aca="false">IF('THÁNG 11'!$C109="","",'THÁNG 11'!$G109&amp;"")</f>
        <v/>
      </c>
      <c r="H852" s="0" t="str">
        <f aca="false">IF('THÁNG 11'!$C109="","",'THÁNG 11'!$H109&amp;"")</f>
        <v/>
      </c>
      <c r="I852" s="0" t="str">
        <f aca="false">IF('THÁNG 11'!$C109="","",N('THÁNG 11'!$I109))</f>
        <v/>
      </c>
      <c r="J852" s="0" t="str">
        <f aca="false">IF('THÁNG 11'!$C109="","",N('THÁNG 11'!$L109))</f>
        <v/>
      </c>
      <c r="K852" s="0" t="str">
        <f aca="false">IF('THÁNG 11'!$C109="","",N('THÁNG 11'!$N109))</f>
        <v/>
      </c>
      <c r="L852" s="0" t="str">
        <f aca="false">IF('THÁNG 11'!$C109="","",N('THÁNG 11'!$O109))</f>
        <v/>
      </c>
      <c r="M852" s="0" t="str">
        <f aca="false">IF('THÁNG 11'!$C109="","",N('THÁNG 11'!$P109))</f>
        <v/>
      </c>
      <c r="N852" s="0" t="str">
        <f aca="false">IF('THÁNG 11'!$C109="","",N('THÁNG 11'!$Q109))</f>
        <v/>
      </c>
      <c r="O852" s="0" t="str">
        <f aca="false">IF('THÁNG 11'!$C109="","",N('THÁNG 11'!$R109))</f>
        <v/>
      </c>
      <c r="P852" s="0" t="str">
        <f aca="false">IF(OR('THÁNG 11'!$C109="",'THÁNG 11'!$T109=""),"",'THÁNG 11'!$T109)</f>
        <v/>
      </c>
      <c r="Q852" s="0" t="str">
        <f aca="false">IF(OR('THÁNG 11'!$C109="",'THÁNG 11'!$U109=""),"",'THÁNG 11'!$U109)</f>
        <v/>
      </c>
      <c r="R852" s="0" t="str">
        <f aca="false">IF('THÁNG 11'!$C109="","",'THÁNG 11'!$W109&amp;"")</f>
        <v/>
      </c>
      <c r="S852" s="0" t="str">
        <f aca="false">IF('THÁNG 11'!$C109="","",'THÁNG 11'!$S109&amp;"")</f>
        <v/>
      </c>
      <c r="T852" s="0" t="str">
        <f aca="false">IF(N($O852)&gt;0,COUNTIF($O$3:$O852,"&gt;0"),"")</f>
        <v/>
      </c>
      <c r="U852" s="0" t="str">
        <f aca="false">IF(AND(N($J852)&gt;0,N($K852)&gt;0),COUNTIFS($J$3:$J852,"&gt;0",$K$3:$K852,"&gt;0"),"")</f>
        <v/>
      </c>
      <c r="V852" s="0" t="str">
        <f aca="false">IF(AND(N($J852)&gt;0,N($K852)=0),COUNTIFS($J$3:$J852,"&gt;0",$K$3:$K852,"&lt;=0"),"")</f>
        <v/>
      </c>
      <c r="W852" s="0" t="str">
        <f aca="false">IF($C852="","",IF(COUNTIF($C$3:$C852,$C852)&gt;1,"",MAX($W$2:W851)+1))</f>
        <v/>
      </c>
      <c r="X852" s="0" t="str">
        <f aca="false">IF($H852="","",IF(COUNTIF($H$3:$H852,$H852)&gt;1,"",MAX($X$2:X851)+1))</f>
        <v/>
      </c>
      <c r="Y852" s="0" t="str">
        <f aca="false">IF(AND(N($M852)&gt;0,N($O852)&lt;=0),COUNTIFS($M$3:$M852,"&gt;0",$O$3:$O852,"&lt;=0"),"")</f>
        <v/>
      </c>
      <c r="Z852" s="30" t="n">
        <f aca="false">IF(OR('THÁNG 11'!$C109="",'THÁNG 11'!$B109=""),0,'THÁNG 11'!$B109)</f>
        <v>0</v>
      </c>
    </row>
    <row r="853" customFormat="false" ht="15" hidden="false" customHeight="false" outlineLevel="0" collapsed="false">
      <c r="A853" s="0" t="n">
        <v>11</v>
      </c>
      <c r="B853" s="29" t="str">
        <f aca="false">IF(OR('THÁNG 11'!$C110="",'THÁNG 11'!$B110=""),"",'THÁNG 11'!$B110)</f>
        <v/>
      </c>
      <c r="C853" s="0" t="str">
        <f aca="false">IF('THÁNG 11'!$C110="","",'THÁNG 11'!$C110)</f>
        <v/>
      </c>
      <c r="D853" s="0" t="str">
        <f aca="false">IF('THÁNG 11'!$C110="","",'THÁNG 11'!$D110&amp;"")</f>
        <v/>
      </c>
      <c r="E853" s="0" t="str">
        <f aca="false">IF('THÁNG 11'!$C110="","",'THÁNG 11'!$E110&amp;"")</f>
        <v/>
      </c>
      <c r="F853" s="0" t="str">
        <f aca="false">IF('THÁNG 11'!$C110="","",'THÁNG 11'!$F110&amp;"")</f>
        <v/>
      </c>
      <c r="G853" s="0" t="str">
        <f aca="false">IF('THÁNG 11'!$C110="","",'THÁNG 11'!$G110&amp;"")</f>
        <v/>
      </c>
      <c r="H853" s="0" t="str">
        <f aca="false">IF('THÁNG 11'!$C110="","",'THÁNG 11'!$H110&amp;"")</f>
        <v/>
      </c>
      <c r="I853" s="0" t="str">
        <f aca="false">IF('THÁNG 11'!$C110="","",N('THÁNG 11'!$I110))</f>
        <v/>
      </c>
      <c r="J853" s="0" t="str">
        <f aca="false">IF('THÁNG 11'!$C110="","",N('THÁNG 11'!$L110))</f>
        <v/>
      </c>
      <c r="K853" s="0" t="str">
        <f aca="false">IF('THÁNG 11'!$C110="","",N('THÁNG 11'!$N110))</f>
        <v/>
      </c>
      <c r="L853" s="0" t="str">
        <f aca="false">IF('THÁNG 11'!$C110="","",N('THÁNG 11'!$O110))</f>
        <v/>
      </c>
      <c r="M853" s="0" t="str">
        <f aca="false">IF('THÁNG 11'!$C110="","",N('THÁNG 11'!$P110))</f>
        <v/>
      </c>
      <c r="N853" s="0" t="str">
        <f aca="false">IF('THÁNG 11'!$C110="","",N('THÁNG 11'!$Q110))</f>
        <v/>
      </c>
      <c r="O853" s="0" t="str">
        <f aca="false">IF('THÁNG 11'!$C110="","",N('THÁNG 11'!$R110))</f>
        <v/>
      </c>
      <c r="P853" s="0" t="str">
        <f aca="false">IF(OR('THÁNG 11'!$C110="",'THÁNG 11'!$T110=""),"",'THÁNG 11'!$T110)</f>
        <v/>
      </c>
      <c r="Q853" s="0" t="str">
        <f aca="false">IF(OR('THÁNG 11'!$C110="",'THÁNG 11'!$U110=""),"",'THÁNG 11'!$U110)</f>
        <v/>
      </c>
      <c r="R853" s="0" t="str">
        <f aca="false">IF('THÁNG 11'!$C110="","",'THÁNG 11'!$W110&amp;"")</f>
        <v/>
      </c>
      <c r="S853" s="0" t="str">
        <f aca="false">IF('THÁNG 11'!$C110="","",'THÁNG 11'!$S110&amp;"")</f>
        <v/>
      </c>
      <c r="T853" s="0" t="str">
        <f aca="false">IF(N($O853)&gt;0,COUNTIF($O$3:$O853,"&gt;0"),"")</f>
        <v/>
      </c>
      <c r="U853" s="0" t="str">
        <f aca="false">IF(AND(N($J853)&gt;0,N($K853)&gt;0),COUNTIFS($J$3:$J853,"&gt;0",$K$3:$K853,"&gt;0"),"")</f>
        <v/>
      </c>
      <c r="V853" s="0" t="str">
        <f aca="false">IF(AND(N($J853)&gt;0,N($K853)=0),COUNTIFS($J$3:$J853,"&gt;0",$K$3:$K853,"&lt;=0"),"")</f>
        <v/>
      </c>
      <c r="W853" s="0" t="str">
        <f aca="false">IF($C853="","",IF(COUNTIF($C$3:$C853,$C853)&gt;1,"",MAX($W$2:W852)+1))</f>
        <v/>
      </c>
      <c r="X853" s="0" t="str">
        <f aca="false">IF($H853="","",IF(COUNTIF($H$3:$H853,$H853)&gt;1,"",MAX($X$2:X852)+1))</f>
        <v/>
      </c>
      <c r="Y853" s="0" t="str">
        <f aca="false">IF(AND(N($M853)&gt;0,N($O853)&lt;=0),COUNTIFS($M$3:$M853,"&gt;0",$O$3:$O853,"&lt;=0"),"")</f>
        <v/>
      </c>
      <c r="Z853" s="30" t="n">
        <f aca="false">IF(OR('THÁNG 11'!$C110="",'THÁNG 11'!$B110=""),0,'THÁNG 11'!$B110)</f>
        <v>0</v>
      </c>
    </row>
    <row r="854" customFormat="false" ht="15" hidden="false" customHeight="false" outlineLevel="0" collapsed="false">
      <c r="A854" s="0" t="n">
        <v>11</v>
      </c>
      <c r="B854" s="29" t="str">
        <f aca="false">IF(OR('THÁNG 11'!$C111="",'THÁNG 11'!$B111=""),"",'THÁNG 11'!$B111)</f>
        <v/>
      </c>
      <c r="C854" s="0" t="str">
        <f aca="false">IF('THÁNG 11'!$C111="","",'THÁNG 11'!$C111)</f>
        <v/>
      </c>
      <c r="D854" s="0" t="str">
        <f aca="false">IF('THÁNG 11'!$C111="","",'THÁNG 11'!$D111&amp;"")</f>
        <v/>
      </c>
      <c r="E854" s="0" t="str">
        <f aca="false">IF('THÁNG 11'!$C111="","",'THÁNG 11'!$E111&amp;"")</f>
        <v/>
      </c>
      <c r="F854" s="0" t="str">
        <f aca="false">IF('THÁNG 11'!$C111="","",'THÁNG 11'!$F111&amp;"")</f>
        <v/>
      </c>
      <c r="G854" s="0" t="str">
        <f aca="false">IF('THÁNG 11'!$C111="","",'THÁNG 11'!$G111&amp;"")</f>
        <v/>
      </c>
      <c r="H854" s="0" t="str">
        <f aca="false">IF('THÁNG 11'!$C111="","",'THÁNG 11'!$H111&amp;"")</f>
        <v/>
      </c>
      <c r="I854" s="0" t="str">
        <f aca="false">IF('THÁNG 11'!$C111="","",N('THÁNG 11'!$I111))</f>
        <v/>
      </c>
      <c r="J854" s="0" t="str">
        <f aca="false">IF('THÁNG 11'!$C111="","",N('THÁNG 11'!$L111))</f>
        <v/>
      </c>
      <c r="K854" s="0" t="str">
        <f aca="false">IF('THÁNG 11'!$C111="","",N('THÁNG 11'!$N111))</f>
        <v/>
      </c>
      <c r="L854" s="0" t="str">
        <f aca="false">IF('THÁNG 11'!$C111="","",N('THÁNG 11'!$O111))</f>
        <v/>
      </c>
      <c r="M854" s="0" t="str">
        <f aca="false">IF('THÁNG 11'!$C111="","",N('THÁNG 11'!$P111))</f>
        <v/>
      </c>
      <c r="N854" s="0" t="str">
        <f aca="false">IF('THÁNG 11'!$C111="","",N('THÁNG 11'!$Q111))</f>
        <v/>
      </c>
      <c r="O854" s="0" t="str">
        <f aca="false">IF('THÁNG 11'!$C111="","",N('THÁNG 11'!$R111))</f>
        <v/>
      </c>
      <c r="P854" s="0" t="str">
        <f aca="false">IF(OR('THÁNG 11'!$C111="",'THÁNG 11'!$T111=""),"",'THÁNG 11'!$T111)</f>
        <v/>
      </c>
      <c r="Q854" s="0" t="str">
        <f aca="false">IF(OR('THÁNG 11'!$C111="",'THÁNG 11'!$U111=""),"",'THÁNG 11'!$U111)</f>
        <v/>
      </c>
      <c r="R854" s="0" t="str">
        <f aca="false">IF('THÁNG 11'!$C111="","",'THÁNG 11'!$W111&amp;"")</f>
        <v/>
      </c>
      <c r="S854" s="0" t="str">
        <f aca="false">IF('THÁNG 11'!$C111="","",'THÁNG 11'!$S111&amp;"")</f>
        <v/>
      </c>
      <c r="T854" s="0" t="str">
        <f aca="false">IF(N($O854)&gt;0,COUNTIF($O$3:$O854,"&gt;0"),"")</f>
        <v/>
      </c>
      <c r="U854" s="0" t="str">
        <f aca="false">IF(AND(N($J854)&gt;0,N($K854)&gt;0),COUNTIFS($J$3:$J854,"&gt;0",$K$3:$K854,"&gt;0"),"")</f>
        <v/>
      </c>
      <c r="V854" s="0" t="str">
        <f aca="false">IF(AND(N($J854)&gt;0,N($K854)=0),COUNTIFS($J$3:$J854,"&gt;0",$K$3:$K854,"&lt;=0"),"")</f>
        <v/>
      </c>
      <c r="W854" s="0" t="str">
        <f aca="false">IF($C854="","",IF(COUNTIF($C$3:$C854,$C854)&gt;1,"",MAX($W$2:W853)+1))</f>
        <v/>
      </c>
      <c r="X854" s="0" t="str">
        <f aca="false">IF($H854="","",IF(COUNTIF($H$3:$H854,$H854)&gt;1,"",MAX($X$2:X853)+1))</f>
        <v/>
      </c>
      <c r="Y854" s="0" t="str">
        <f aca="false">IF(AND(N($M854)&gt;0,N($O854)&lt;=0),COUNTIFS($M$3:$M854,"&gt;0",$O$3:$O854,"&lt;=0"),"")</f>
        <v/>
      </c>
      <c r="Z854" s="30" t="n">
        <f aca="false">IF(OR('THÁNG 11'!$C111="",'THÁNG 11'!$B111=""),0,'THÁNG 11'!$B111)</f>
        <v>0</v>
      </c>
    </row>
    <row r="855" customFormat="false" ht="15" hidden="false" customHeight="false" outlineLevel="0" collapsed="false">
      <c r="A855" s="0" t="n">
        <v>11</v>
      </c>
      <c r="B855" s="29" t="str">
        <f aca="false">IF(OR('THÁNG 11'!$C112="",'THÁNG 11'!$B112=""),"",'THÁNG 11'!$B112)</f>
        <v/>
      </c>
      <c r="C855" s="0" t="str">
        <f aca="false">IF('THÁNG 11'!$C112="","",'THÁNG 11'!$C112)</f>
        <v/>
      </c>
      <c r="D855" s="0" t="str">
        <f aca="false">IF('THÁNG 11'!$C112="","",'THÁNG 11'!$D112&amp;"")</f>
        <v/>
      </c>
      <c r="E855" s="0" t="str">
        <f aca="false">IF('THÁNG 11'!$C112="","",'THÁNG 11'!$E112&amp;"")</f>
        <v/>
      </c>
      <c r="F855" s="0" t="str">
        <f aca="false">IF('THÁNG 11'!$C112="","",'THÁNG 11'!$F112&amp;"")</f>
        <v/>
      </c>
      <c r="G855" s="0" t="str">
        <f aca="false">IF('THÁNG 11'!$C112="","",'THÁNG 11'!$G112&amp;"")</f>
        <v/>
      </c>
      <c r="H855" s="0" t="str">
        <f aca="false">IF('THÁNG 11'!$C112="","",'THÁNG 11'!$H112&amp;"")</f>
        <v/>
      </c>
      <c r="I855" s="0" t="str">
        <f aca="false">IF('THÁNG 11'!$C112="","",N('THÁNG 11'!$I112))</f>
        <v/>
      </c>
      <c r="J855" s="0" t="str">
        <f aca="false">IF('THÁNG 11'!$C112="","",N('THÁNG 11'!$L112))</f>
        <v/>
      </c>
      <c r="K855" s="0" t="str">
        <f aca="false">IF('THÁNG 11'!$C112="","",N('THÁNG 11'!$N112))</f>
        <v/>
      </c>
      <c r="L855" s="0" t="str">
        <f aca="false">IF('THÁNG 11'!$C112="","",N('THÁNG 11'!$O112))</f>
        <v/>
      </c>
      <c r="M855" s="0" t="str">
        <f aca="false">IF('THÁNG 11'!$C112="","",N('THÁNG 11'!$P112))</f>
        <v/>
      </c>
      <c r="N855" s="0" t="str">
        <f aca="false">IF('THÁNG 11'!$C112="","",N('THÁNG 11'!$Q112))</f>
        <v/>
      </c>
      <c r="O855" s="0" t="str">
        <f aca="false">IF('THÁNG 11'!$C112="","",N('THÁNG 11'!$R112))</f>
        <v/>
      </c>
      <c r="P855" s="0" t="str">
        <f aca="false">IF(OR('THÁNG 11'!$C112="",'THÁNG 11'!$T112=""),"",'THÁNG 11'!$T112)</f>
        <v/>
      </c>
      <c r="Q855" s="0" t="str">
        <f aca="false">IF(OR('THÁNG 11'!$C112="",'THÁNG 11'!$U112=""),"",'THÁNG 11'!$U112)</f>
        <v/>
      </c>
      <c r="R855" s="0" t="str">
        <f aca="false">IF('THÁNG 11'!$C112="","",'THÁNG 11'!$W112&amp;"")</f>
        <v/>
      </c>
      <c r="S855" s="0" t="str">
        <f aca="false">IF('THÁNG 11'!$C112="","",'THÁNG 11'!$S112&amp;"")</f>
        <v/>
      </c>
      <c r="T855" s="0" t="str">
        <f aca="false">IF(N($O855)&gt;0,COUNTIF($O$3:$O855,"&gt;0"),"")</f>
        <v/>
      </c>
      <c r="U855" s="0" t="str">
        <f aca="false">IF(AND(N($J855)&gt;0,N($K855)&gt;0),COUNTIFS($J$3:$J855,"&gt;0",$K$3:$K855,"&gt;0"),"")</f>
        <v/>
      </c>
      <c r="V855" s="0" t="str">
        <f aca="false">IF(AND(N($J855)&gt;0,N($K855)=0),COUNTIFS($J$3:$J855,"&gt;0",$K$3:$K855,"&lt;=0"),"")</f>
        <v/>
      </c>
      <c r="W855" s="0" t="str">
        <f aca="false">IF($C855="","",IF(COUNTIF($C$3:$C855,$C855)&gt;1,"",MAX($W$2:W854)+1))</f>
        <v/>
      </c>
      <c r="X855" s="0" t="str">
        <f aca="false">IF($H855="","",IF(COUNTIF($H$3:$H855,$H855)&gt;1,"",MAX($X$2:X854)+1))</f>
        <v/>
      </c>
      <c r="Y855" s="0" t="str">
        <f aca="false">IF(AND(N($M855)&gt;0,N($O855)&lt;=0),COUNTIFS($M$3:$M855,"&gt;0",$O$3:$O855,"&lt;=0"),"")</f>
        <v/>
      </c>
      <c r="Z855" s="30" t="n">
        <f aca="false">IF(OR('THÁNG 11'!$C112="",'THÁNG 11'!$B112=""),0,'THÁNG 11'!$B112)</f>
        <v>0</v>
      </c>
    </row>
    <row r="856" customFormat="false" ht="15" hidden="false" customHeight="false" outlineLevel="0" collapsed="false">
      <c r="A856" s="0" t="n">
        <v>11</v>
      </c>
      <c r="B856" s="29" t="str">
        <f aca="false">IF(OR('THÁNG 11'!$C113="",'THÁNG 11'!$B113=""),"",'THÁNG 11'!$B113)</f>
        <v/>
      </c>
      <c r="C856" s="0" t="str">
        <f aca="false">IF('THÁNG 11'!$C113="","",'THÁNG 11'!$C113)</f>
        <v/>
      </c>
      <c r="D856" s="0" t="str">
        <f aca="false">IF('THÁNG 11'!$C113="","",'THÁNG 11'!$D113&amp;"")</f>
        <v/>
      </c>
      <c r="E856" s="0" t="str">
        <f aca="false">IF('THÁNG 11'!$C113="","",'THÁNG 11'!$E113&amp;"")</f>
        <v/>
      </c>
      <c r="F856" s="0" t="str">
        <f aca="false">IF('THÁNG 11'!$C113="","",'THÁNG 11'!$F113&amp;"")</f>
        <v/>
      </c>
      <c r="G856" s="0" t="str">
        <f aca="false">IF('THÁNG 11'!$C113="","",'THÁNG 11'!$G113&amp;"")</f>
        <v/>
      </c>
      <c r="H856" s="0" t="str">
        <f aca="false">IF('THÁNG 11'!$C113="","",'THÁNG 11'!$H113&amp;"")</f>
        <v/>
      </c>
      <c r="I856" s="0" t="str">
        <f aca="false">IF('THÁNG 11'!$C113="","",N('THÁNG 11'!$I113))</f>
        <v/>
      </c>
      <c r="J856" s="0" t="str">
        <f aca="false">IF('THÁNG 11'!$C113="","",N('THÁNG 11'!$L113))</f>
        <v/>
      </c>
      <c r="K856" s="0" t="str">
        <f aca="false">IF('THÁNG 11'!$C113="","",N('THÁNG 11'!$N113))</f>
        <v/>
      </c>
      <c r="L856" s="0" t="str">
        <f aca="false">IF('THÁNG 11'!$C113="","",N('THÁNG 11'!$O113))</f>
        <v/>
      </c>
      <c r="M856" s="0" t="str">
        <f aca="false">IF('THÁNG 11'!$C113="","",N('THÁNG 11'!$P113))</f>
        <v/>
      </c>
      <c r="N856" s="0" t="str">
        <f aca="false">IF('THÁNG 11'!$C113="","",N('THÁNG 11'!$Q113))</f>
        <v/>
      </c>
      <c r="O856" s="0" t="str">
        <f aca="false">IF('THÁNG 11'!$C113="","",N('THÁNG 11'!$R113))</f>
        <v/>
      </c>
      <c r="P856" s="0" t="str">
        <f aca="false">IF(OR('THÁNG 11'!$C113="",'THÁNG 11'!$T113=""),"",'THÁNG 11'!$T113)</f>
        <v/>
      </c>
      <c r="Q856" s="0" t="str">
        <f aca="false">IF(OR('THÁNG 11'!$C113="",'THÁNG 11'!$U113=""),"",'THÁNG 11'!$U113)</f>
        <v/>
      </c>
      <c r="R856" s="0" t="str">
        <f aca="false">IF('THÁNG 11'!$C113="","",'THÁNG 11'!$W113&amp;"")</f>
        <v/>
      </c>
      <c r="S856" s="0" t="str">
        <f aca="false">IF('THÁNG 11'!$C113="","",'THÁNG 11'!$S113&amp;"")</f>
        <v/>
      </c>
      <c r="T856" s="0" t="str">
        <f aca="false">IF(N($O856)&gt;0,COUNTIF($O$3:$O856,"&gt;0"),"")</f>
        <v/>
      </c>
      <c r="U856" s="0" t="str">
        <f aca="false">IF(AND(N($J856)&gt;0,N($K856)&gt;0),COUNTIFS($J$3:$J856,"&gt;0",$K$3:$K856,"&gt;0"),"")</f>
        <v/>
      </c>
      <c r="V856" s="0" t="str">
        <f aca="false">IF(AND(N($J856)&gt;0,N($K856)=0),COUNTIFS($J$3:$J856,"&gt;0",$K$3:$K856,"&lt;=0"),"")</f>
        <v/>
      </c>
      <c r="W856" s="0" t="str">
        <f aca="false">IF($C856="","",IF(COUNTIF($C$3:$C856,$C856)&gt;1,"",MAX($W$2:W855)+1))</f>
        <v/>
      </c>
      <c r="X856" s="0" t="str">
        <f aca="false">IF($H856="","",IF(COUNTIF($H$3:$H856,$H856)&gt;1,"",MAX($X$2:X855)+1))</f>
        <v/>
      </c>
      <c r="Y856" s="0" t="str">
        <f aca="false">IF(AND(N($M856)&gt;0,N($O856)&lt;=0),COUNTIFS($M$3:$M856,"&gt;0",$O$3:$O856,"&lt;=0"),"")</f>
        <v/>
      </c>
      <c r="Z856" s="30" t="n">
        <f aca="false">IF(OR('THÁNG 11'!$C113="",'THÁNG 11'!$B113=""),0,'THÁNG 11'!$B113)</f>
        <v>0</v>
      </c>
    </row>
    <row r="857" customFormat="false" ht="15" hidden="false" customHeight="false" outlineLevel="0" collapsed="false">
      <c r="A857" s="0" t="n">
        <v>11</v>
      </c>
      <c r="B857" s="29" t="str">
        <f aca="false">IF(OR('THÁNG 11'!$C114="",'THÁNG 11'!$B114=""),"",'THÁNG 11'!$B114)</f>
        <v/>
      </c>
      <c r="C857" s="0" t="str">
        <f aca="false">IF('THÁNG 11'!$C114="","",'THÁNG 11'!$C114)</f>
        <v/>
      </c>
      <c r="D857" s="0" t="str">
        <f aca="false">IF('THÁNG 11'!$C114="","",'THÁNG 11'!$D114&amp;"")</f>
        <v/>
      </c>
      <c r="E857" s="0" t="str">
        <f aca="false">IF('THÁNG 11'!$C114="","",'THÁNG 11'!$E114&amp;"")</f>
        <v/>
      </c>
      <c r="F857" s="0" t="str">
        <f aca="false">IF('THÁNG 11'!$C114="","",'THÁNG 11'!$F114&amp;"")</f>
        <v/>
      </c>
      <c r="G857" s="0" t="str">
        <f aca="false">IF('THÁNG 11'!$C114="","",'THÁNG 11'!$G114&amp;"")</f>
        <v/>
      </c>
      <c r="H857" s="0" t="str">
        <f aca="false">IF('THÁNG 11'!$C114="","",'THÁNG 11'!$H114&amp;"")</f>
        <v/>
      </c>
      <c r="I857" s="0" t="str">
        <f aca="false">IF('THÁNG 11'!$C114="","",N('THÁNG 11'!$I114))</f>
        <v/>
      </c>
      <c r="J857" s="0" t="str">
        <f aca="false">IF('THÁNG 11'!$C114="","",N('THÁNG 11'!$L114))</f>
        <v/>
      </c>
      <c r="K857" s="0" t="str">
        <f aca="false">IF('THÁNG 11'!$C114="","",N('THÁNG 11'!$N114))</f>
        <v/>
      </c>
      <c r="L857" s="0" t="str">
        <f aca="false">IF('THÁNG 11'!$C114="","",N('THÁNG 11'!$O114))</f>
        <v/>
      </c>
      <c r="M857" s="0" t="str">
        <f aca="false">IF('THÁNG 11'!$C114="","",N('THÁNG 11'!$P114))</f>
        <v/>
      </c>
      <c r="N857" s="0" t="str">
        <f aca="false">IF('THÁNG 11'!$C114="","",N('THÁNG 11'!$Q114))</f>
        <v/>
      </c>
      <c r="O857" s="0" t="str">
        <f aca="false">IF('THÁNG 11'!$C114="","",N('THÁNG 11'!$R114))</f>
        <v/>
      </c>
      <c r="P857" s="0" t="str">
        <f aca="false">IF(OR('THÁNG 11'!$C114="",'THÁNG 11'!$T114=""),"",'THÁNG 11'!$T114)</f>
        <v/>
      </c>
      <c r="Q857" s="0" t="str">
        <f aca="false">IF(OR('THÁNG 11'!$C114="",'THÁNG 11'!$U114=""),"",'THÁNG 11'!$U114)</f>
        <v/>
      </c>
      <c r="R857" s="0" t="str">
        <f aca="false">IF('THÁNG 11'!$C114="","",'THÁNG 11'!$W114&amp;"")</f>
        <v/>
      </c>
      <c r="S857" s="0" t="str">
        <f aca="false">IF('THÁNG 11'!$C114="","",'THÁNG 11'!$S114&amp;"")</f>
        <v/>
      </c>
      <c r="T857" s="0" t="str">
        <f aca="false">IF(N($O857)&gt;0,COUNTIF($O$3:$O857,"&gt;0"),"")</f>
        <v/>
      </c>
      <c r="U857" s="0" t="str">
        <f aca="false">IF(AND(N($J857)&gt;0,N($K857)&gt;0),COUNTIFS($J$3:$J857,"&gt;0",$K$3:$K857,"&gt;0"),"")</f>
        <v/>
      </c>
      <c r="V857" s="0" t="str">
        <f aca="false">IF(AND(N($J857)&gt;0,N($K857)=0),COUNTIFS($J$3:$J857,"&gt;0",$K$3:$K857,"&lt;=0"),"")</f>
        <v/>
      </c>
      <c r="W857" s="0" t="str">
        <f aca="false">IF($C857="","",IF(COUNTIF($C$3:$C857,$C857)&gt;1,"",MAX($W$2:W856)+1))</f>
        <v/>
      </c>
      <c r="X857" s="0" t="str">
        <f aca="false">IF($H857="","",IF(COUNTIF($H$3:$H857,$H857)&gt;1,"",MAX($X$2:X856)+1))</f>
        <v/>
      </c>
      <c r="Y857" s="0" t="str">
        <f aca="false">IF(AND(N($M857)&gt;0,N($O857)&lt;=0),COUNTIFS($M$3:$M857,"&gt;0",$O$3:$O857,"&lt;=0"),"")</f>
        <v/>
      </c>
      <c r="Z857" s="30" t="n">
        <f aca="false">IF(OR('THÁNG 11'!$C114="",'THÁNG 11'!$B114=""),0,'THÁNG 11'!$B114)</f>
        <v>0</v>
      </c>
    </row>
    <row r="858" customFormat="false" ht="15" hidden="false" customHeight="false" outlineLevel="0" collapsed="false">
      <c r="A858" s="0" t="n">
        <v>11</v>
      </c>
      <c r="B858" s="29" t="str">
        <f aca="false">IF(OR('THÁNG 11'!$C115="",'THÁNG 11'!$B115=""),"",'THÁNG 11'!$B115)</f>
        <v/>
      </c>
      <c r="C858" s="0" t="str">
        <f aca="false">IF('THÁNG 11'!$C115="","",'THÁNG 11'!$C115)</f>
        <v/>
      </c>
      <c r="D858" s="0" t="str">
        <f aca="false">IF('THÁNG 11'!$C115="","",'THÁNG 11'!$D115&amp;"")</f>
        <v/>
      </c>
      <c r="E858" s="0" t="str">
        <f aca="false">IF('THÁNG 11'!$C115="","",'THÁNG 11'!$E115&amp;"")</f>
        <v/>
      </c>
      <c r="F858" s="0" t="str">
        <f aca="false">IF('THÁNG 11'!$C115="","",'THÁNG 11'!$F115&amp;"")</f>
        <v/>
      </c>
      <c r="G858" s="0" t="str">
        <f aca="false">IF('THÁNG 11'!$C115="","",'THÁNG 11'!$G115&amp;"")</f>
        <v/>
      </c>
      <c r="H858" s="0" t="str">
        <f aca="false">IF('THÁNG 11'!$C115="","",'THÁNG 11'!$H115&amp;"")</f>
        <v/>
      </c>
      <c r="I858" s="0" t="str">
        <f aca="false">IF('THÁNG 11'!$C115="","",N('THÁNG 11'!$I115))</f>
        <v/>
      </c>
      <c r="J858" s="0" t="str">
        <f aca="false">IF('THÁNG 11'!$C115="","",N('THÁNG 11'!$L115))</f>
        <v/>
      </c>
      <c r="K858" s="0" t="str">
        <f aca="false">IF('THÁNG 11'!$C115="","",N('THÁNG 11'!$N115))</f>
        <v/>
      </c>
      <c r="L858" s="0" t="str">
        <f aca="false">IF('THÁNG 11'!$C115="","",N('THÁNG 11'!$O115))</f>
        <v/>
      </c>
      <c r="M858" s="0" t="str">
        <f aca="false">IF('THÁNG 11'!$C115="","",N('THÁNG 11'!$P115))</f>
        <v/>
      </c>
      <c r="N858" s="0" t="str">
        <f aca="false">IF('THÁNG 11'!$C115="","",N('THÁNG 11'!$Q115))</f>
        <v/>
      </c>
      <c r="O858" s="0" t="str">
        <f aca="false">IF('THÁNG 11'!$C115="","",N('THÁNG 11'!$R115))</f>
        <v/>
      </c>
      <c r="P858" s="0" t="str">
        <f aca="false">IF(OR('THÁNG 11'!$C115="",'THÁNG 11'!$T115=""),"",'THÁNG 11'!$T115)</f>
        <v/>
      </c>
      <c r="Q858" s="0" t="str">
        <f aca="false">IF(OR('THÁNG 11'!$C115="",'THÁNG 11'!$U115=""),"",'THÁNG 11'!$U115)</f>
        <v/>
      </c>
      <c r="R858" s="0" t="str">
        <f aca="false">IF('THÁNG 11'!$C115="","",'THÁNG 11'!$W115&amp;"")</f>
        <v/>
      </c>
      <c r="S858" s="0" t="str">
        <f aca="false">IF('THÁNG 11'!$C115="","",'THÁNG 11'!$S115&amp;"")</f>
        <v/>
      </c>
      <c r="T858" s="0" t="str">
        <f aca="false">IF(N($O858)&gt;0,COUNTIF($O$3:$O858,"&gt;0"),"")</f>
        <v/>
      </c>
      <c r="U858" s="0" t="str">
        <f aca="false">IF(AND(N($J858)&gt;0,N($K858)&gt;0),COUNTIFS($J$3:$J858,"&gt;0",$K$3:$K858,"&gt;0"),"")</f>
        <v/>
      </c>
      <c r="V858" s="0" t="str">
        <f aca="false">IF(AND(N($J858)&gt;0,N($K858)=0),COUNTIFS($J$3:$J858,"&gt;0",$K$3:$K858,"&lt;=0"),"")</f>
        <v/>
      </c>
      <c r="W858" s="0" t="str">
        <f aca="false">IF($C858="","",IF(COUNTIF($C$3:$C858,$C858)&gt;1,"",MAX($W$2:W857)+1))</f>
        <v/>
      </c>
      <c r="X858" s="0" t="str">
        <f aca="false">IF($H858="","",IF(COUNTIF($H$3:$H858,$H858)&gt;1,"",MAX($X$2:X857)+1))</f>
        <v/>
      </c>
      <c r="Y858" s="0" t="str">
        <f aca="false">IF(AND(N($M858)&gt;0,N($O858)&lt;=0),COUNTIFS($M$3:$M858,"&gt;0",$O$3:$O858,"&lt;=0"),"")</f>
        <v/>
      </c>
      <c r="Z858" s="30" t="n">
        <f aca="false">IF(OR('THÁNG 11'!$C115="",'THÁNG 11'!$B115=""),0,'THÁNG 11'!$B115)</f>
        <v>0</v>
      </c>
    </row>
    <row r="859" customFormat="false" ht="15" hidden="false" customHeight="false" outlineLevel="0" collapsed="false">
      <c r="A859" s="0" t="n">
        <v>11</v>
      </c>
      <c r="B859" s="29" t="str">
        <f aca="false">IF(OR('THÁNG 11'!$C116="",'THÁNG 11'!$B116=""),"",'THÁNG 11'!$B116)</f>
        <v/>
      </c>
      <c r="C859" s="0" t="str">
        <f aca="false">IF('THÁNG 11'!$C116="","",'THÁNG 11'!$C116)</f>
        <v/>
      </c>
      <c r="D859" s="0" t="str">
        <f aca="false">IF('THÁNG 11'!$C116="","",'THÁNG 11'!$D116&amp;"")</f>
        <v/>
      </c>
      <c r="E859" s="0" t="str">
        <f aca="false">IF('THÁNG 11'!$C116="","",'THÁNG 11'!$E116&amp;"")</f>
        <v/>
      </c>
      <c r="F859" s="0" t="str">
        <f aca="false">IF('THÁNG 11'!$C116="","",'THÁNG 11'!$F116&amp;"")</f>
        <v/>
      </c>
      <c r="G859" s="0" t="str">
        <f aca="false">IF('THÁNG 11'!$C116="","",'THÁNG 11'!$G116&amp;"")</f>
        <v/>
      </c>
      <c r="H859" s="0" t="str">
        <f aca="false">IF('THÁNG 11'!$C116="","",'THÁNG 11'!$H116&amp;"")</f>
        <v/>
      </c>
      <c r="I859" s="0" t="str">
        <f aca="false">IF('THÁNG 11'!$C116="","",N('THÁNG 11'!$I116))</f>
        <v/>
      </c>
      <c r="J859" s="0" t="str">
        <f aca="false">IF('THÁNG 11'!$C116="","",N('THÁNG 11'!$L116))</f>
        <v/>
      </c>
      <c r="K859" s="0" t="str">
        <f aca="false">IF('THÁNG 11'!$C116="","",N('THÁNG 11'!$N116))</f>
        <v/>
      </c>
      <c r="L859" s="0" t="str">
        <f aca="false">IF('THÁNG 11'!$C116="","",N('THÁNG 11'!$O116))</f>
        <v/>
      </c>
      <c r="M859" s="0" t="str">
        <f aca="false">IF('THÁNG 11'!$C116="","",N('THÁNG 11'!$P116))</f>
        <v/>
      </c>
      <c r="N859" s="0" t="str">
        <f aca="false">IF('THÁNG 11'!$C116="","",N('THÁNG 11'!$Q116))</f>
        <v/>
      </c>
      <c r="O859" s="0" t="str">
        <f aca="false">IF('THÁNG 11'!$C116="","",N('THÁNG 11'!$R116))</f>
        <v/>
      </c>
      <c r="P859" s="0" t="str">
        <f aca="false">IF(OR('THÁNG 11'!$C116="",'THÁNG 11'!$T116=""),"",'THÁNG 11'!$T116)</f>
        <v/>
      </c>
      <c r="Q859" s="0" t="str">
        <f aca="false">IF(OR('THÁNG 11'!$C116="",'THÁNG 11'!$U116=""),"",'THÁNG 11'!$U116)</f>
        <v/>
      </c>
      <c r="R859" s="0" t="str">
        <f aca="false">IF('THÁNG 11'!$C116="","",'THÁNG 11'!$W116&amp;"")</f>
        <v/>
      </c>
      <c r="S859" s="0" t="str">
        <f aca="false">IF('THÁNG 11'!$C116="","",'THÁNG 11'!$S116&amp;"")</f>
        <v/>
      </c>
      <c r="T859" s="0" t="str">
        <f aca="false">IF(N($O859)&gt;0,COUNTIF($O$3:$O859,"&gt;0"),"")</f>
        <v/>
      </c>
      <c r="U859" s="0" t="str">
        <f aca="false">IF(AND(N($J859)&gt;0,N($K859)&gt;0),COUNTIFS($J$3:$J859,"&gt;0",$K$3:$K859,"&gt;0"),"")</f>
        <v/>
      </c>
      <c r="V859" s="0" t="str">
        <f aca="false">IF(AND(N($J859)&gt;0,N($K859)=0),COUNTIFS($J$3:$J859,"&gt;0",$K$3:$K859,"&lt;=0"),"")</f>
        <v/>
      </c>
      <c r="W859" s="0" t="str">
        <f aca="false">IF($C859="","",IF(COUNTIF($C$3:$C859,$C859)&gt;1,"",MAX($W$2:W858)+1))</f>
        <v/>
      </c>
      <c r="X859" s="0" t="str">
        <f aca="false">IF($H859="","",IF(COUNTIF($H$3:$H859,$H859)&gt;1,"",MAX($X$2:X858)+1))</f>
        <v/>
      </c>
      <c r="Y859" s="0" t="str">
        <f aca="false">IF(AND(N($M859)&gt;0,N($O859)&lt;=0),COUNTIFS($M$3:$M859,"&gt;0",$O$3:$O859,"&lt;=0"),"")</f>
        <v/>
      </c>
      <c r="Z859" s="30" t="n">
        <f aca="false">IF(OR('THÁNG 11'!$C116="",'THÁNG 11'!$B116=""),0,'THÁNG 11'!$B116)</f>
        <v>0</v>
      </c>
    </row>
    <row r="860" customFormat="false" ht="15" hidden="false" customHeight="false" outlineLevel="0" collapsed="false">
      <c r="A860" s="0" t="n">
        <v>11</v>
      </c>
      <c r="B860" s="29" t="str">
        <f aca="false">IF(OR('THÁNG 11'!$C117="",'THÁNG 11'!$B117=""),"",'THÁNG 11'!$B117)</f>
        <v/>
      </c>
      <c r="C860" s="0" t="str">
        <f aca="false">IF('THÁNG 11'!$C117="","",'THÁNG 11'!$C117)</f>
        <v/>
      </c>
      <c r="D860" s="0" t="str">
        <f aca="false">IF('THÁNG 11'!$C117="","",'THÁNG 11'!$D117&amp;"")</f>
        <v/>
      </c>
      <c r="E860" s="0" t="str">
        <f aca="false">IF('THÁNG 11'!$C117="","",'THÁNG 11'!$E117&amp;"")</f>
        <v/>
      </c>
      <c r="F860" s="0" t="str">
        <f aca="false">IF('THÁNG 11'!$C117="","",'THÁNG 11'!$F117&amp;"")</f>
        <v/>
      </c>
      <c r="G860" s="0" t="str">
        <f aca="false">IF('THÁNG 11'!$C117="","",'THÁNG 11'!$G117&amp;"")</f>
        <v/>
      </c>
      <c r="H860" s="0" t="str">
        <f aca="false">IF('THÁNG 11'!$C117="","",'THÁNG 11'!$H117&amp;"")</f>
        <v/>
      </c>
      <c r="I860" s="0" t="str">
        <f aca="false">IF('THÁNG 11'!$C117="","",N('THÁNG 11'!$I117))</f>
        <v/>
      </c>
      <c r="J860" s="0" t="str">
        <f aca="false">IF('THÁNG 11'!$C117="","",N('THÁNG 11'!$L117))</f>
        <v/>
      </c>
      <c r="K860" s="0" t="str">
        <f aca="false">IF('THÁNG 11'!$C117="","",N('THÁNG 11'!$N117))</f>
        <v/>
      </c>
      <c r="L860" s="0" t="str">
        <f aca="false">IF('THÁNG 11'!$C117="","",N('THÁNG 11'!$O117))</f>
        <v/>
      </c>
      <c r="M860" s="0" t="str">
        <f aca="false">IF('THÁNG 11'!$C117="","",N('THÁNG 11'!$P117))</f>
        <v/>
      </c>
      <c r="N860" s="0" t="str">
        <f aca="false">IF('THÁNG 11'!$C117="","",N('THÁNG 11'!$Q117))</f>
        <v/>
      </c>
      <c r="O860" s="0" t="str">
        <f aca="false">IF('THÁNG 11'!$C117="","",N('THÁNG 11'!$R117))</f>
        <v/>
      </c>
      <c r="P860" s="0" t="str">
        <f aca="false">IF(OR('THÁNG 11'!$C117="",'THÁNG 11'!$T117=""),"",'THÁNG 11'!$T117)</f>
        <v/>
      </c>
      <c r="Q860" s="0" t="str">
        <f aca="false">IF(OR('THÁNG 11'!$C117="",'THÁNG 11'!$U117=""),"",'THÁNG 11'!$U117)</f>
        <v/>
      </c>
      <c r="R860" s="0" t="str">
        <f aca="false">IF('THÁNG 11'!$C117="","",'THÁNG 11'!$W117&amp;"")</f>
        <v/>
      </c>
      <c r="S860" s="0" t="str">
        <f aca="false">IF('THÁNG 11'!$C117="","",'THÁNG 11'!$S117&amp;"")</f>
        <v/>
      </c>
      <c r="T860" s="0" t="str">
        <f aca="false">IF(N($O860)&gt;0,COUNTIF($O$3:$O860,"&gt;0"),"")</f>
        <v/>
      </c>
      <c r="U860" s="0" t="str">
        <f aca="false">IF(AND(N($J860)&gt;0,N($K860)&gt;0),COUNTIFS($J$3:$J860,"&gt;0",$K$3:$K860,"&gt;0"),"")</f>
        <v/>
      </c>
      <c r="V860" s="0" t="str">
        <f aca="false">IF(AND(N($J860)&gt;0,N($K860)=0),COUNTIFS($J$3:$J860,"&gt;0",$K$3:$K860,"&lt;=0"),"")</f>
        <v/>
      </c>
      <c r="W860" s="0" t="str">
        <f aca="false">IF($C860="","",IF(COUNTIF($C$3:$C860,$C860)&gt;1,"",MAX($W$2:W859)+1))</f>
        <v/>
      </c>
      <c r="X860" s="0" t="str">
        <f aca="false">IF($H860="","",IF(COUNTIF($H$3:$H860,$H860)&gt;1,"",MAX($X$2:X859)+1))</f>
        <v/>
      </c>
      <c r="Y860" s="0" t="str">
        <f aca="false">IF(AND(N($M860)&gt;0,N($O860)&lt;=0),COUNTIFS($M$3:$M860,"&gt;0",$O$3:$O860,"&lt;=0"),"")</f>
        <v/>
      </c>
      <c r="Z860" s="30" t="n">
        <f aca="false">IF(OR('THÁNG 11'!$C117="",'THÁNG 11'!$B117=""),0,'THÁNG 11'!$B117)</f>
        <v>0</v>
      </c>
    </row>
    <row r="861" customFormat="false" ht="15" hidden="false" customHeight="false" outlineLevel="0" collapsed="false">
      <c r="A861" s="0" t="n">
        <v>11</v>
      </c>
      <c r="B861" s="29" t="str">
        <f aca="false">IF(OR('THÁNG 11'!$C118="",'THÁNG 11'!$B118=""),"",'THÁNG 11'!$B118)</f>
        <v/>
      </c>
      <c r="C861" s="0" t="str">
        <f aca="false">IF('THÁNG 11'!$C118="","",'THÁNG 11'!$C118)</f>
        <v/>
      </c>
      <c r="D861" s="0" t="str">
        <f aca="false">IF('THÁNG 11'!$C118="","",'THÁNG 11'!$D118&amp;"")</f>
        <v/>
      </c>
      <c r="E861" s="0" t="str">
        <f aca="false">IF('THÁNG 11'!$C118="","",'THÁNG 11'!$E118&amp;"")</f>
        <v/>
      </c>
      <c r="F861" s="0" t="str">
        <f aca="false">IF('THÁNG 11'!$C118="","",'THÁNG 11'!$F118&amp;"")</f>
        <v/>
      </c>
      <c r="G861" s="0" t="str">
        <f aca="false">IF('THÁNG 11'!$C118="","",'THÁNG 11'!$G118&amp;"")</f>
        <v/>
      </c>
      <c r="H861" s="0" t="str">
        <f aca="false">IF('THÁNG 11'!$C118="","",'THÁNG 11'!$H118&amp;"")</f>
        <v/>
      </c>
      <c r="I861" s="0" t="str">
        <f aca="false">IF('THÁNG 11'!$C118="","",N('THÁNG 11'!$I118))</f>
        <v/>
      </c>
      <c r="J861" s="0" t="str">
        <f aca="false">IF('THÁNG 11'!$C118="","",N('THÁNG 11'!$L118))</f>
        <v/>
      </c>
      <c r="K861" s="0" t="str">
        <f aca="false">IF('THÁNG 11'!$C118="","",N('THÁNG 11'!$N118))</f>
        <v/>
      </c>
      <c r="L861" s="0" t="str">
        <f aca="false">IF('THÁNG 11'!$C118="","",N('THÁNG 11'!$O118))</f>
        <v/>
      </c>
      <c r="M861" s="0" t="str">
        <f aca="false">IF('THÁNG 11'!$C118="","",N('THÁNG 11'!$P118))</f>
        <v/>
      </c>
      <c r="N861" s="0" t="str">
        <f aca="false">IF('THÁNG 11'!$C118="","",N('THÁNG 11'!$Q118))</f>
        <v/>
      </c>
      <c r="O861" s="0" t="str">
        <f aca="false">IF('THÁNG 11'!$C118="","",N('THÁNG 11'!$R118))</f>
        <v/>
      </c>
      <c r="P861" s="0" t="str">
        <f aca="false">IF(OR('THÁNG 11'!$C118="",'THÁNG 11'!$T118=""),"",'THÁNG 11'!$T118)</f>
        <v/>
      </c>
      <c r="Q861" s="0" t="str">
        <f aca="false">IF(OR('THÁNG 11'!$C118="",'THÁNG 11'!$U118=""),"",'THÁNG 11'!$U118)</f>
        <v/>
      </c>
      <c r="R861" s="0" t="str">
        <f aca="false">IF('THÁNG 11'!$C118="","",'THÁNG 11'!$W118&amp;"")</f>
        <v/>
      </c>
      <c r="S861" s="0" t="str">
        <f aca="false">IF('THÁNG 11'!$C118="","",'THÁNG 11'!$S118&amp;"")</f>
        <v/>
      </c>
      <c r="T861" s="0" t="str">
        <f aca="false">IF(N($O861)&gt;0,COUNTIF($O$3:$O861,"&gt;0"),"")</f>
        <v/>
      </c>
      <c r="U861" s="0" t="str">
        <f aca="false">IF(AND(N($J861)&gt;0,N($K861)&gt;0),COUNTIFS($J$3:$J861,"&gt;0",$K$3:$K861,"&gt;0"),"")</f>
        <v/>
      </c>
      <c r="V861" s="0" t="str">
        <f aca="false">IF(AND(N($J861)&gt;0,N($K861)=0),COUNTIFS($J$3:$J861,"&gt;0",$K$3:$K861,"&lt;=0"),"")</f>
        <v/>
      </c>
      <c r="W861" s="0" t="str">
        <f aca="false">IF($C861="","",IF(COUNTIF($C$3:$C861,$C861)&gt;1,"",MAX($W$2:W860)+1))</f>
        <v/>
      </c>
      <c r="X861" s="0" t="str">
        <f aca="false">IF($H861="","",IF(COUNTIF($H$3:$H861,$H861)&gt;1,"",MAX($X$2:X860)+1))</f>
        <v/>
      </c>
      <c r="Y861" s="0" t="str">
        <f aca="false">IF(AND(N($M861)&gt;0,N($O861)&lt;=0),COUNTIFS($M$3:$M861,"&gt;0",$O$3:$O861,"&lt;=0"),"")</f>
        <v/>
      </c>
      <c r="Z861" s="30" t="n">
        <f aca="false">IF(OR('THÁNG 11'!$C118="",'THÁNG 11'!$B118=""),0,'THÁNG 11'!$B118)</f>
        <v>0</v>
      </c>
    </row>
    <row r="862" customFormat="false" ht="15" hidden="false" customHeight="false" outlineLevel="0" collapsed="false">
      <c r="A862" s="0" t="n">
        <v>11</v>
      </c>
      <c r="B862" s="29" t="str">
        <f aca="false">IF(OR('THÁNG 11'!$C119="",'THÁNG 11'!$B119=""),"",'THÁNG 11'!$B119)</f>
        <v/>
      </c>
      <c r="C862" s="0" t="str">
        <f aca="false">IF('THÁNG 11'!$C119="","",'THÁNG 11'!$C119)</f>
        <v/>
      </c>
      <c r="D862" s="0" t="str">
        <f aca="false">IF('THÁNG 11'!$C119="","",'THÁNG 11'!$D119&amp;"")</f>
        <v/>
      </c>
      <c r="E862" s="0" t="str">
        <f aca="false">IF('THÁNG 11'!$C119="","",'THÁNG 11'!$E119&amp;"")</f>
        <v/>
      </c>
      <c r="F862" s="0" t="str">
        <f aca="false">IF('THÁNG 11'!$C119="","",'THÁNG 11'!$F119&amp;"")</f>
        <v/>
      </c>
      <c r="G862" s="0" t="str">
        <f aca="false">IF('THÁNG 11'!$C119="","",'THÁNG 11'!$G119&amp;"")</f>
        <v/>
      </c>
      <c r="H862" s="0" t="str">
        <f aca="false">IF('THÁNG 11'!$C119="","",'THÁNG 11'!$H119&amp;"")</f>
        <v/>
      </c>
      <c r="I862" s="0" t="str">
        <f aca="false">IF('THÁNG 11'!$C119="","",N('THÁNG 11'!$I119))</f>
        <v/>
      </c>
      <c r="J862" s="0" t="str">
        <f aca="false">IF('THÁNG 11'!$C119="","",N('THÁNG 11'!$L119))</f>
        <v/>
      </c>
      <c r="K862" s="0" t="str">
        <f aca="false">IF('THÁNG 11'!$C119="","",N('THÁNG 11'!$N119))</f>
        <v/>
      </c>
      <c r="L862" s="0" t="str">
        <f aca="false">IF('THÁNG 11'!$C119="","",N('THÁNG 11'!$O119))</f>
        <v/>
      </c>
      <c r="M862" s="0" t="str">
        <f aca="false">IF('THÁNG 11'!$C119="","",N('THÁNG 11'!$P119))</f>
        <v/>
      </c>
      <c r="N862" s="0" t="str">
        <f aca="false">IF('THÁNG 11'!$C119="","",N('THÁNG 11'!$Q119))</f>
        <v/>
      </c>
      <c r="O862" s="0" t="str">
        <f aca="false">IF('THÁNG 11'!$C119="","",N('THÁNG 11'!$R119))</f>
        <v/>
      </c>
      <c r="P862" s="0" t="str">
        <f aca="false">IF(OR('THÁNG 11'!$C119="",'THÁNG 11'!$T119=""),"",'THÁNG 11'!$T119)</f>
        <v/>
      </c>
      <c r="Q862" s="0" t="str">
        <f aca="false">IF(OR('THÁNG 11'!$C119="",'THÁNG 11'!$U119=""),"",'THÁNG 11'!$U119)</f>
        <v/>
      </c>
      <c r="R862" s="0" t="str">
        <f aca="false">IF('THÁNG 11'!$C119="","",'THÁNG 11'!$W119&amp;"")</f>
        <v/>
      </c>
      <c r="S862" s="0" t="str">
        <f aca="false">IF('THÁNG 11'!$C119="","",'THÁNG 11'!$S119&amp;"")</f>
        <v/>
      </c>
      <c r="T862" s="0" t="str">
        <f aca="false">IF(N($O862)&gt;0,COUNTIF($O$3:$O862,"&gt;0"),"")</f>
        <v/>
      </c>
      <c r="U862" s="0" t="str">
        <f aca="false">IF(AND(N($J862)&gt;0,N($K862)&gt;0),COUNTIFS($J$3:$J862,"&gt;0",$K$3:$K862,"&gt;0"),"")</f>
        <v/>
      </c>
      <c r="V862" s="0" t="str">
        <f aca="false">IF(AND(N($J862)&gt;0,N($K862)=0),COUNTIFS($J$3:$J862,"&gt;0",$K$3:$K862,"&lt;=0"),"")</f>
        <v/>
      </c>
      <c r="W862" s="0" t="str">
        <f aca="false">IF($C862="","",IF(COUNTIF($C$3:$C862,$C862)&gt;1,"",MAX($W$2:W861)+1))</f>
        <v/>
      </c>
      <c r="X862" s="0" t="str">
        <f aca="false">IF($H862="","",IF(COUNTIF($H$3:$H862,$H862)&gt;1,"",MAX($X$2:X861)+1))</f>
        <v/>
      </c>
      <c r="Y862" s="0" t="str">
        <f aca="false">IF(AND(N($M862)&gt;0,N($O862)&lt;=0),COUNTIFS($M$3:$M862,"&gt;0",$O$3:$O862,"&lt;=0"),"")</f>
        <v/>
      </c>
      <c r="Z862" s="30" t="n">
        <f aca="false">IF(OR('THÁNG 11'!$C119="",'THÁNG 11'!$B119=""),0,'THÁNG 11'!$B119)</f>
        <v>0</v>
      </c>
    </row>
    <row r="863" customFormat="false" ht="15" hidden="false" customHeight="false" outlineLevel="0" collapsed="false">
      <c r="A863" s="0" t="n">
        <v>11</v>
      </c>
      <c r="B863" s="29" t="str">
        <f aca="false">IF(OR('THÁNG 11'!$C120="",'THÁNG 11'!$B120=""),"",'THÁNG 11'!$B120)</f>
        <v/>
      </c>
      <c r="C863" s="0" t="str">
        <f aca="false">IF('THÁNG 11'!$C120="","",'THÁNG 11'!$C120)</f>
        <v/>
      </c>
      <c r="D863" s="0" t="str">
        <f aca="false">IF('THÁNG 11'!$C120="","",'THÁNG 11'!$D120&amp;"")</f>
        <v/>
      </c>
      <c r="E863" s="0" t="str">
        <f aca="false">IF('THÁNG 11'!$C120="","",'THÁNG 11'!$E120&amp;"")</f>
        <v/>
      </c>
      <c r="F863" s="0" t="str">
        <f aca="false">IF('THÁNG 11'!$C120="","",'THÁNG 11'!$F120&amp;"")</f>
        <v/>
      </c>
      <c r="G863" s="0" t="str">
        <f aca="false">IF('THÁNG 11'!$C120="","",'THÁNG 11'!$G120&amp;"")</f>
        <v/>
      </c>
      <c r="H863" s="0" t="str">
        <f aca="false">IF('THÁNG 11'!$C120="","",'THÁNG 11'!$H120&amp;"")</f>
        <v/>
      </c>
      <c r="I863" s="0" t="str">
        <f aca="false">IF('THÁNG 11'!$C120="","",N('THÁNG 11'!$I120))</f>
        <v/>
      </c>
      <c r="J863" s="0" t="str">
        <f aca="false">IF('THÁNG 11'!$C120="","",N('THÁNG 11'!$L120))</f>
        <v/>
      </c>
      <c r="K863" s="0" t="str">
        <f aca="false">IF('THÁNG 11'!$C120="","",N('THÁNG 11'!$N120))</f>
        <v/>
      </c>
      <c r="L863" s="0" t="str">
        <f aca="false">IF('THÁNG 11'!$C120="","",N('THÁNG 11'!$O120))</f>
        <v/>
      </c>
      <c r="M863" s="0" t="str">
        <f aca="false">IF('THÁNG 11'!$C120="","",N('THÁNG 11'!$P120))</f>
        <v/>
      </c>
      <c r="N863" s="0" t="str">
        <f aca="false">IF('THÁNG 11'!$C120="","",N('THÁNG 11'!$Q120))</f>
        <v/>
      </c>
      <c r="O863" s="0" t="str">
        <f aca="false">IF('THÁNG 11'!$C120="","",N('THÁNG 11'!$R120))</f>
        <v/>
      </c>
      <c r="P863" s="0" t="str">
        <f aca="false">IF(OR('THÁNG 11'!$C120="",'THÁNG 11'!$T120=""),"",'THÁNG 11'!$T120)</f>
        <v/>
      </c>
      <c r="Q863" s="0" t="str">
        <f aca="false">IF(OR('THÁNG 11'!$C120="",'THÁNG 11'!$U120=""),"",'THÁNG 11'!$U120)</f>
        <v/>
      </c>
      <c r="R863" s="0" t="str">
        <f aca="false">IF('THÁNG 11'!$C120="","",'THÁNG 11'!$W120&amp;"")</f>
        <v/>
      </c>
      <c r="S863" s="0" t="str">
        <f aca="false">IF('THÁNG 11'!$C120="","",'THÁNG 11'!$S120&amp;"")</f>
        <v/>
      </c>
      <c r="T863" s="0" t="str">
        <f aca="false">IF(N($O863)&gt;0,COUNTIF($O$3:$O863,"&gt;0"),"")</f>
        <v/>
      </c>
      <c r="U863" s="0" t="str">
        <f aca="false">IF(AND(N($J863)&gt;0,N($K863)&gt;0),COUNTIFS($J$3:$J863,"&gt;0",$K$3:$K863,"&gt;0"),"")</f>
        <v/>
      </c>
      <c r="V863" s="0" t="str">
        <f aca="false">IF(AND(N($J863)&gt;0,N($K863)=0),COUNTIFS($J$3:$J863,"&gt;0",$K$3:$K863,"&lt;=0"),"")</f>
        <v/>
      </c>
      <c r="W863" s="0" t="str">
        <f aca="false">IF($C863="","",IF(COUNTIF($C$3:$C863,$C863)&gt;1,"",MAX($W$2:W862)+1))</f>
        <v/>
      </c>
      <c r="X863" s="0" t="str">
        <f aca="false">IF($H863="","",IF(COUNTIF($H$3:$H863,$H863)&gt;1,"",MAX($X$2:X862)+1))</f>
        <v/>
      </c>
      <c r="Y863" s="0" t="str">
        <f aca="false">IF(AND(N($M863)&gt;0,N($O863)&lt;=0),COUNTIFS($M$3:$M863,"&gt;0",$O$3:$O863,"&lt;=0"),"")</f>
        <v/>
      </c>
      <c r="Z863" s="30" t="n">
        <f aca="false">IF(OR('THÁNG 11'!$C120="",'THÁNG 11'!$B120=""),0,'THÁNG 11'!$B120)</f>
        <v>0</v>
      </c>
    </row>
    <row r="864" customFormat="false" ht="15" hidden="false" customHeight="false" outlineLevel="0" collapsed="false">
      <c r="A864" s="0" t="n">
        <v>11</v>
      </c>
      <c r="B864" s="29" t="str">
        <f aca="false">IF(OR('THÁNG 11'!$C121="",'THÁNG 11'!$B121=""),"",'THÁNG 11'!$B121)</f>
        <v/>
      </c>
      <c r="C864" s="0" t="str">
        <f aca="false">IF('THÁNG 11'!$C121="","",'THÁNG 11'!$C121)</f>
        <v/>
      </c>
      <c r="D864" s="0" t="str">
        <f aca="false">IF('THÁNG 11'!$C121="","",'THÁNG 11'!$D121&amp;"")</f>
        <v/>
      </c>
      <c r="E864" s="0" t="str">
        <f aca="false">IF('THÁNG 11'!$C121="","",'THÁNG 11'!$E121&amp;"")</f>
        <v/>
      </c>
      <c r="F864" s="0" t="str">
        <f aca="false">IF('THÁNG 11'!$C121="","",'THÁNG 11'!$F121&amp;"")</f>
        <v/>
      </c>
      <c r="G864" s="0" t="str">
        <f aca="false">IF('THÁNG 11'!$C121="","",'THÁNG 11'!$G121&amp;"")</f>
        <v/>
      </c>
      <c r="H864" s="0" t="str">
        <f aca="false">IF('THÁNG 11'!$C121="","",'THÁNG 11'!$H121&amp;"")</f>
        <v/>
      </c>
      <c r="I864" s="0" t="str">
        <f aca="false">IF('THÁNG 11'!$C121="","",N('THÁNG 11'!$I121))</f>
        <v/>
      </c>
      <c r="J864" s="0" t="str">
        <f aca="false">IF('THÁNG 11'!$C121="","",N('THÁNG 11'!$L121))</f>
        <v/>
      </c>
      <c r="K864" s="0" t="str">
        <f aca="false">IF('THÁNG 11'!$C121="","",N('THÁNG 11'!$N121))</f>
        <v/>
      </c>
      <c r="L864" s="0" t="str">
        <f aca="false">IF('THÁNG 11'!$C121="","",N('THÁNG 11'!$O121))</f>
        <v/>
      </c>
      <c r="M864" s="0" t="str">
        <f aca="false">IF('THÁNG 11'!$C121="","",N('THÁNG 11'!$P121))</f>
        <v/>
      </c>
      <c r="N864" s="0" t="str">
        <f aca="false">IF('THÁNG 11'!$C121="","",N('THÁNG 11'!$Q121))</f>
        <v/>
      </c>
      <c r="O864" s="0" t="str">
        <f aca="false">IF('THÁNG 11'!$C121="","",N('THÁNG 11'!$R121))</f>
        <v/>
      </c>
      <c r="P864" s="0" t="str">
        <f aca="false">IF(OR('THÁNG 11'!$C121="",'THÁNG 11'!$T121=""),"",'THÁNG 11'!$T121)</f>
        <v/>
      </c>
      <c r="Q864" s="0" t="str">
        <f aca="false">IF(OR('THÁNG 11'!$C121="",'THÁNG 11'!$U121=""),"",'THÁNG 11'!$U121)</f>
        <v/>
      </c>
      <c r="R864" s="0" t="str">
        <f aca="false">IF('THÁNG 11'!$C121="","",'THÁNG 11'!$W121&amp;"")</f>
        <v/>
      </c>
      <c r="S864" s="0" t="str">
        <f aca="false">IF('THÁNG 11'!$C121="","",'THÁNG 11'!$S121&amp;"")</f>
        <v/>
      </c>
      <c r="T864" s="0" t="str">
        <f aca="false">IF(N($O864)&gt;0,COUNTIF($O$3:$O864,"&gt;0"),"")</f>
        <v/>
      </c>
      <c r="U864" s="0" t="str">
        <f aca="false">IF(AND(N($J864)&gt;0,N($K864)&gt;0),COUNTIFS($J$3:$J864,"&gt;0",$K$3:$K864,"&gt;0"),"")</f>
        <v/>
      </c>
      <c r="V864" s="0" t="str">
        <f aca="false">IF(AND(N($J864)&gt;0,N($K864)=0),COUNTIFS($J$3:$J864,"&gt;0",$K$3:$K864,"&lt;=0"),"")</f>
        <v/>
      </c>
      <c r="W864" s="0" t="str">
        <f aca="false">IF($C864="","",IF(COUNTIF($C$3:$C864,$C864)&gt;1,"",MAX($W$2:W863)+1))</f>
        <v/>
      </c>
      <c r="X864" s="0" t="str">
        <f aca="false">IF($H864="","",IF(COUNTIF($H$3:$H864,$H864)&gt;1,"",MAX($X$2:X863)+1))</f>
        <v/>
      </c>
      <c r="Y864" s="0" t="str">
        <f aca="false">IF(AND(N($M864)&gt;0,N($O864)&lt;=0),COUNTIFS($M$3:$M864,"&gt;0",$O$3:$O864,"&lt;=0"),"")</f>
        <v/>
      </c>
      <c r="Z864" s="30" t="n">
        <f aca="false">IF(OR('THÁNG 11'!$C121="",'THÁNG 11'!$B121=""),0,'THÁNG 11'!$B121)</f>
        <v>0</v>
      </c>
    </row>
    <row r="865" customFormat="false" ht="15" hidden="false" customHeight="false" outlineLevel="0" collapsed="false">
      <c r="A865" s="0" t="n">
        <v>11</v>
      </c>
      <c r="B865" s="29" t="str">
        <f aca="false">IF(OR('THÁNG 11'!$C122="",'THÁNG 11'!$B122=""),"",'THÁNG 11'!$B122)</f>
        <v/>
      </c>
      <c r="C865" s="0" t="str">
        <f aca="false">IF('THÁNG 11'!$C122="","",'THÁNG 11'!$C122)</f>
        <v/>
      </c>
      <c r="D865" s="0" t="str">
        <f aca="false">IF('THÁNG 11'!$C122="","",'THÁNG 11'!$D122&amp;"")</f>
        <v/>
      </c>
      <c r="E865" s="0" t="str">
        <f aca="false">IF('THÁNG 11'!$C122="","",'THÁNG 11'!$E122&amp;"")</f>
        <v/>
      </c>
      <c r="F865" s="0" t="str">
        <f aca="false">IF('THÁNG 11'!$C122="","",'THÁNG 11'!$F122&amp;"")</f>
        <v/>
      </c>
      <c r="G865" s="0" t="str">
        <f aca="false">IF('THÁNG 11'!$C122="","",'THÁNG 11'!$G122&amp;"")</f>
        <v/>
      </c>
      <c r="H865" s="0" t="str">
        <f aca="false">IF('THÁNG 11'!$C122="","",'THÁNG 11'!$H122&amp;"")</f>
        <v/>
      </c>
      <c r="I865" s="0" t="str">
        <f aca="false">IF('THÁNG 11'!$C122="","",N('THÁNG 11'!$I122))</f>
        <v/>
      </c>
      <c r="J865" s="0" t="str">
        <f aca="false">IF('THÁNG 11'!$C122="","",N('THÁNG 11'!$L122))</f>
        <v/>
      </c>
      <c r="K865" s="0" t="str">
        <f aca="false">IF('THÁNG 11'!$C122="","",N('THÁNG 11'!$N122))</f>
        <v/>
      </c>
      <c r="L865" s="0" t="str">
        <f aca="false">IF('THÁNG 11'!$C122="","",N('THÁNG 11'!$O122))</f>
        <v/>
      </c>
      <c r="M865" s="0" t="str">
        <f aca="false">IF('THÁNG 11'!$C122="","",N('THÁNG 11'!$P122))</f>
        <v/>
      </c>
      <c r="N865" s="0" t="str">
        <f aca="false">IF('THÁNG 11'!$C122="","",N('THÁNG 11'!$Q122))</f>
        <v/>
      </c>
      <c r="O865" s="0" t="str">
        <f aca="false">IF('THÁNG 11'!$C122="","",N('THÁNG 11'!$R122))</f>
        <v/>
      </c>
      <c r="P865" s="0" t="str">
        <f aca="false">IF(OR('THÁNG 11'!$C122="",'THÁNG 11'!$T122=""),"",'THÁNG 11'!$T122)</f>
        <v/>
      </c>
      <c r="Q865" s="0" t="str">
        <f aca="false">IF(OR('THÁNG 11'!$C122="",'THÁNG 11'!$U122=""),"",'THÁNG 11'!$U122)</f>
        <v/>
      </c>
      <c r="R865" s="0" t="str">
        <f aca="false">IF('THÁNG 11'!$C122="","",'THÁNG 11'!$W122&amp;"")</f>
        <v/>
      </c>
      <c r="S865" s="0" t="str">
        <f aca="false">IF('THÁNG 11'!$C122="","",'THÁNG 11'!$S122&amp;"")</f>
        <v/>
      </c>
      <c r="T865" s="0" t="str">
        <f aca="false">IF(N($O865)&gt;0,COUNTIF($O$3:$O865,"&gt;0"),"")</f>
        <v/>
      </c>
      <c r="U865" s="0" t="str">
        <f aca="false">IF(AND(N($J865)&gt;0,N($K865)&gt;0),COUNTIFS($J$3:$J865,"&gt;0",$K$3:$K865,"&gt;0"),"")</f>
        <v/>
      </c>
      <c r="V865" s="0" t="str">
        <f aca="false">IF(AND(N($J865)&gt;0,N($K865)=0),COUNTIFS($J$3:$J865,"&gt;0",$K$3:$K865,"&lt;=0"),"")</f>
        <v/>
      </c>
      <c r="W865" s="0" t="str">
        <f aca="false">IF($C865="","",IF(COUNTIF($C$3:$C865,$C865)&gt;1,"",MAX($W$2:W864)+1))</f>
        <v/>
      </c>
      <c r="X865" s="0" t="str">
        <f aca="false">IF($H865="","",IF(COUNTIF($H$3:$H865,$H865)&gt;1,"",MAX($X$2:X864)+1))</f>
        <v/>
      </c>
      <c r="Y865" s="0" t="str">
        <f aca="false">IF(AND(N($M865)&gt;0,N($O865)&lt;=0),COUNTIFS($M$3:$M865,"&gt;0",$O$3:$O865,"&lt;=0"),"")</f>
        <v/>
      </c>
      <c r="Z865" s="30" t="n">
        <f aca="false">IF(OR('THÁNG 11'!$C122="",'THÁNG 11'!$B122=""),0,'THÁNG 11'!$B122)</f>
        <v>0</v>
      </c>
    </row>
    <row r="866" customFormat="false" ht="15" hidden="false" customHeight="false" outlineLevel="0" collapsed="false">
      <c r="A866" s="0" t="n">
        <v>11</v>
      </c>
      <c r="B866" s="29" t="str">
        <f aca="false">IF(OR('THÁNG 11'!$C123="",'THÁNG 11'!$B123=""),"",'THÁNG 11'!$B123)</f>
        <v/>
      </c>
      <c r="C866" s="0" t="str">
        <f aca="false">IF('THÁNG 11'!$C123="","",'THÁNG 11'!$C123)</f>
        <v/>
      </c>
      <c r="D866" s="0" t="str">
        <f aca="false">IF('THÁNG 11'!$C123="","",'THÁNG 11'!$D123&amp;"")</f>
        <v/>
      </c>
      <c r="E866" s="0" t="str">
        <f aca="false">IF('THÁNG 11'!$C123="","",'THÁNG 11'!$E123&amp;"")</f>
        <v/>
      </c>
      <c r="F866" s="0" t="str">
        <f aca="false">IF('THÁNG 11'!$C123="","",'THÁNG 11'!$F123&amp;"")</f>
        <v/>
      </c>
      <c r="G866" s="0" t="str">
        <f aca="false">IF('THÁNG 11'!$C123="","",'THÁNG 11'!$G123&amp;"")</f>
        <v/>
      </c>
      <c r="H866" s="0" t="str">
        <f aca="false">IF('THÁNG 11'!$C123="","",'THÁNG 11'!$H123&amp;"")</f>
        <v/>
      </c>
      <c r="I866" s="0" t="str">
        <f aca="false">IF('THÁNG 11'!$C123="","",N('THÁNG 11'!$I123))</f>
        <v/>
      </c>
      <c r="J866" s="0" t="str">
        <f aca="false">IF('THÁNG 11'!$C123="","",N('THÁNG 11'!$L123))</f>
        <v/>
      </c>
      <c r="K866" s="0" t="str">
        <f aca="false">IF('THÁNG 11'!$C123="","",N('THÁNG 11'!$N123))</f>
        <v/>
      </c>
      <c r="L866" s="0" t="str">
        <f aca="false">IF('THÁNG 11'!$C123="","",N('THÁNG 11'!$O123))</f>
        <v/>
      </c>
      <c r="M866" s="0" t="str">
        <f aca="false">IF('THÁNG 11'!$C123="","",N('THÁNG 11'!$P123))</f>
        <v/>
      </c>
      <c r="N866" s="0" t="str">
        <f aca="false">IF('THÁNG 11'!$C123="","",N('THÁNG 11'!$Q123))</f>
        <v/>
      </c>
      <c r="O866" s="0" t="str">
        <f aca="false">IF('THÁNG 11'!$C123="","",N('THÁNG 11'!$R123))</f>
        <v/>
      </c>
      <c r="P866" s="0" t="str">
        <f aca="false">IF(OR('THÁNG 11'!$C123="",'THÁNG 11'!$T123=""),"",'THÁNG 11'!$T123)</f>
        <v/>
      </c>
      <c r="Q866" s="0" t="str">
        <f aca="false">IF(OR('THÁNG 11'!$C123="",'THÁNG 11'!$U123=""),"",'THÁNG 11'!$U123)</f>
        <v/>
      </c>
      <c r="R866" s="0" t="str">
        <f aca="false">IF('THÁNG 11'!$C123="","",'THÁNG 11'!$W123&amp;"")</f>
        <v/>
      </c>
      <c r="S866" s="0" t="str">
        <f aca="false">IF('THÁNG 11'!$C123="","",'THÁNG 11'!$S123&amp;"")</f>
        <v/>
      </c>
      <c r="T866" s="0" t="str">
        <f aca="false">IF(N($O866)&gt;0,COUNTIF($O$3:$O866,"&gt;0"),"")</f>
        <v/>
      </c>
      <c r="U866" s="0" t="str">
        <f aca="false">IF(AND(N($J866)&gt;0,N($K866)&gt;0),COUNTIFS($J$3:$J866,"&gt;0",$K$3:$K866,"&gt;0"),"")</f>
        <v/>
      </c>
      <c r="V866" s="0" t="str">
        <f aca="false">IF(AND(N($J866)&gt;0,N($K866)=0),COUNTIFS($J$3:$J866,"&gt;0",$K$3:$K866,"&lt;=0"),"")</f>
        <v/>
      </c>
      <c r="W866" s="0" t="str">
        <f aca="false">IF($C866="","",IF(COUNTIF($C$3:$C866,$C866)&gt;1,"",MAX($W$2:W865)+1))</f>
        <v/>
      </c>
      <c r="X866" s="0" t="str">
        <f aca="false">IF($H866="","",IF(COUNTIF($H$3:$H866,$H866)&gt;1,"",MAX($X$2:X865)+1))</f>
        <v/>
      </c>
      <c r="Y866" s="0" t="str">
        <f aca="false">IF(AND(N($M866)&gt;0,N($O866)&lt;=0),COUNTIFS($M$3:$M866,"&gt;0",$O$3:$O866,"&lt;=0"),"")</f>
        <v/>
      </c>
      <c r="Z866" s="30" t="n">
        <f aca="false">IF(OR('THÁNG 11'!$C123="",'THÁNG 11'!$B123=""),0,'THÁNG 11'!$B123)</f>
        <v>0</v>
      </c>
    </row>
    <row r="867" customFormat="false" ht="15" hidden="false" customHeight="false" outlineLevel="0" collapsed="false">
      <c r="A867" s="0" t="n">
        <v>11</v>
      </c>
      <c r="B867" s="29" t="str">
        <f aca="false">IF(OR('THÁNG 11'!$C124="",'THÁNG 11'!$B124=""),"",'THÁNG 11'!$B124)</f>
        <v/>
      </c>
      <c r="C867" s="0" t="str">
        <f aca="false">IF('THÁNG 11'!$C124="","",'THÁNG 11'!$C124)</f>
        <v/>
      </c>
      <c r="D867" s="0" t="str">
        <f aca="false">IF('THÁNG 11'!$C124="","",'THÁNG 11'!$D124&amp;"")</f>
        <v/>
      </c>
      <c r="E867" s="0" t="str">
        <f aca="false">IF('THÁNG 11'!$C124="","",'THÁNG 11'!$E124&amp;"")</f>
        <v/>
      </c>
      <c r="F867" s="0" t="str">
        <f aca="false">IF('THÁNG 11'!$C124="","",'THÁNG 11'!$F124&amp;"")</f>
        <v/>
      </c>
      <c r="G867" s="0" t="str">
        <f aca="false">IF('THÁNG 11'!$C124="","",'THÁNG 11'!$G124&amp;"")</f>
        <v/>
      </c>
      <c r="H867" s="0" t="str">
        <f aca="false">IF('THÁNG 11'!$C124="","",'THÁNG 11'!$H124&amp;"")</f>
        <v/>
      </c>
      <c r="I867" s="0" t="str">
        <f aca="false">IF('THÁNG 11'!$C124="","",N('THÁNG 11'!$I124))</f>
        <v/>
      </c>
      <c r="J867" s="0" t="str">
        <f aca="false">IF('THÁNG 11'!$C124="","",N('THÁNG 11'!$L124))</f>
        <v/>
      </c>
      <c r="K867" s="0" t="str">
        <f aca="false">IF('THÁNG 11'!$C124="","",N('THÁNG 11'!$N124))</f>
        <v/>
      </c>
      <c r="L867" s="0" t="str">
        <f aca="false">IF('THÁNG 11'!$C124="","",N('THÁNG 11'!$O124))</f>
        <v/>
      </c>
      <c r="M867" s="0" t="str">
        <f aca="false">IF('THÁNG 11'!$C124="","",N('THÁNG 11'!$P124))</f>
        <v/>
      </c>
      <c r="N867" s="0" t="str">
        <f aca="false">IF('THÁNG 11'!$C124="","",N('THÁNG 11'!$Q124))</f>
        <v/>
      </c>
      <c r="O867" s="0" t="str">
        <f aca="false">IF('THÁNG 11'!$C124="","",N('THÁNG 11'!$R124))</f>
        <v/>
      </c>
      <c r="P867" s="0" t="str">
        <f aca="false">IF(OR('THÁNG 11'!$C124="",'THÁNG 11'!$T124=""),"",'THÁNG 11'!$T124)</f>
        <v/>
      </c>
      <c r="Q867" s="0" t="str">
        <f aca="false">IF(OR('THÁNG 11'!$C124="",'THÁNG 11'!$U124=""),"",'THÁNG 11'!$U124)</f>
        <v/>
      </c>
      <c r="R867" s="0" t="str">
        <f aca="false">IF('THÁNG 11'!$C124="","",'THÁNG 11'!$W124&amp;"")</f>
        <v/>
      </c>
      <c r="S867" s="0" t="str">
        <f aca="false">IF('THÁNG 11'!$C124="","",'THÁNG 11'!$S124&amp;"")</f>
        <v/>
      </c>
      <c r="T867" s="0" t="str">
        <f aca="false">IF(N($O867)&gt;0,COUNTIF($O$3:$O867,"&gt;0"),"")</f>
        <v/>
      </c>
      <c r="U867" s="0" t="str">
        <f aca="false">IF(AND(N($J867)&gt;0,N($K867)&gt;0),COUNTIFS($J$3:$J867,"&gt;0",$K$3:$K867,"&gt;0"),"")</f>
        <v/>
      </c>
      <c r="V867" s="0" t="str">
        <f aca="false">IF(AND(N($J867)&gt;0,N($K867)=0),COUNTIFS($J$3:$J867,"&gt;0",$K$3:$K867,"&lt;=0"),"")</f>
        <v/>
      </c>
      <c r="W867" s="0" t="str">
        <f aca="false">IF($C867="","",IF(COUNTIF($C$3:$C867,$C867)&gt;1,"",MAX($W$2:W866)+1))</f>
        <v/>
      </c>
      <c r="X867" s="0" t="str">
        <f aca="false">IF($H867="","",IF(COUNTIF($H$3:$H867,$H867)&gt;1,"",MAX($X$2:X866)+1))</f>
        <v/>
      </c>
      <c r="Y867" s="0" t="str">
        <f aca="false">IF(AND(N($M867)&gt;0,N($O867)&lt;=0),COUNTIFS($M$3:$M867,"&gt;0",$O$3:$O867,"&lt;=0"),"")</f>
        <v/>
      </c>
      <c r="Z867" s="30" t="n">
        <f aca="false">IF(OR('THÁNG 11'!$C124="",'THÁNG 11'!$B124=""),0,'THÁNG 11'!$B124)</f>
        <v>0</v>
      </c>
    </row>
    <row r="868" customFormat="false" ht="15" hidden="false" customHeight="false" outlineLevel="0" collapsed="false">
      <c r="A868" s="0" t="n">
        <v>11</v>
      </c>
      <c r="B868" s="29" t="str">
        <f aca="false">IF(OR('THÁNG 11'!$C125="",'THÁNG 11'!$B125=""),"",'THÁNG 11'!$B125)</f>
        <v/>
      </c>
      <c r="C868" s="0" t="str">
        <f aca="false">IF('THÁNG 11'!$C125="","",'THÁNG 11'!$C125)</f>
        <v/>
      </c>
      <c r="D868" s="0" t="str">
        <f aca="false">IF('THÁNG 11'!$C125="","",'THÁNG 11'!$D125&amp;"")</f>
        <v/>
      </c>
      <c r="E868" s="0" t="str">
        <f aca="false">IF('THÁNG 11'!$C125="","",'THÁNG 11'!$E125&amp;"")</f>
        <v/>
      </c>
      <c r="F868" s="0" t="str">
        <f aca="false">IF('THÁNG 11'!$C125="","",'THÁNG 11'!$F125&amp;"")</f>
        <v/>
      </c>
      <c r="G868" s="0" t="str">
        <f aca="false">IF('THÁNG 11'!$C125="","",'THÁNG 11'!$G125&amp;"")</f>
        <v/>
      </c>
      <c r="H868" s="0" t="str">
        <f aca="false">IF('THÁNG 11'!$C125="","",'THÁNG 11'!$H125&amp;"")</f>
        <v/>
      </c>
      <c r="I868" s="0" t="str">
        <f aca="false">IF('THÁNG 11'!$C125="","",N('THÁNG 11'!$I125))</f>
        <v/>
      </c>
      <c r="J868" s="0" t="str">
        <f aca="false">IF('THÁNG 11'!$C125="","",N('THÁNG 11'!$L125))</f>
        <v/>
      </c>
      <c r="K868" s="0" t="str">
        <f aca="false">IF('THÁNG 11'!$C125="","",N('THÁNG 11'!$N125))</f>
        <v/>
      </c>
      <c r="L868" s="0" t="str">
        <f aca="false">IF('THÁNG 11'!$C125="","",N('THÁNG 11'!$O125))</f>
        <v/>
      </c>
      <c r="M868" s="0" t="str">
        <f aca="false">IF('THÁNG 11'!$C125="","",N('THÁNG 11'!$P125))</f>
        <v/>
      </c>
      <c r="N868" s="0" t="str">
        <f aca="false">IF('THÁNG 11'!$C125="","",N('THÁNG 11'!$Q125))</f>
        <v/>
      </c>
      <c r="O868" s="0" t="str">
        <f aca="false">IF('THÁNG 11'!$C125="","",N('THÁNG 11'!$R125))</f>
        <v/>
      </c>
      <c r="P868" s="0" t="str">
        <f aca="false">IF(OR('THÁNG 11'!$C125="",'THÁNG 11'!$T125=""),"",'THÁNG 11'!$T125)</f>
        <v/>
      </c>
      <c r="Q868" s="0" t="str">
        <f aca="false">IF(OR('THÁNG 11'!$C125="",'THÁNG 11'!$U125=""),"",'THÁNG 11'!$U125)</f>
        <v/>
      </c>
      <c r="R868" s="0" t="str">
        <f aca="false">IF('THÁNG 11'!$C125="","",'THÁNG 11'!$W125&amp;"")</f>
        <v/>
      </c>
      <c r="S868" s="0" t="str">
        <f aca="false">IF('THÁNG 11'!$C125="","",'THÁNG 11'!$S125&amp;"")</f>
        <v/>
      </c>
      <c r="T868" s="0" t="str">
        <f aca="false">IF(N($O868)&gt;0,COUNTIF($O$3:$O868,"&gt;0"),"")</f>
        <v/>
      </c>
      <c r="U868" s="0" t="str">
        <f aca="false">IF(AND(N($J868)&gt;0,N($K868)&gt;0),COUNTIFS($J$3:$J868,"&gt;0",$K$3:$K868,"&gt;0"),"")</f>
        <v/>
      </c>
      <c r="V868" s="0" t="str">
        <f aca="false">IF(AND(N($J868)&gt;0,N($K868)=0),COUNTIFS($J$3:$J868,"&gt;0",$K$3:$K868,"&lt;=0"),"")</f>
        <v/>
      </c>
      <c r="W868" s="0" t="str">
        <f aca="false">IF($C868="","",IF(COUNTIF($C$3:$C868,$C868)&gt;1,"",MAX($W$2:W867)+1))</f>
        <v/>
      </c>
      <c r="X868" s="0" t="str">
        <f aca="false">IF($H868="","",IF(COUNTIF($H$3:$H868,$H868)&gt;1,"",MAX($X$2:X867)+1))</f>
        <v/>
      </c>
      <c r="Y868" s="0" t="str">
        <f aca="false">IF(AND(N($M868)&gt;0,N($O868)&lt;=0),COUNTIFS($M$3:$M868,"&gt;0",$O$3:$O868,"&lt;=0"),"")</f>
        <v/>
      </c>
      <c r="Z868" s="30" t="n">
        <f aca="false">IF(OR('THÁNG 11'!$C125="",'THÁNG 11'!$B125=""),0,'THÁNG 11'!$B125)</f>
        <v>0</v>
      </c>
    </row>
    <row r="869" customFormat="false" ht="15" hidden="false" customHeight="false" outlineLevel="0" collapsed="false">
      <c r="A869" s="0" t="n">
        <v>11</v>
      </c>
      <c r="B869" s="29" t="str">
        <f aca="false">IF(OR('THÁNG 11'!$C126="",'THÁNG 11'!$B126=""),"",'THÁNG 11'!$B126)</f>
        <v/>
      </c>
      <c r="C869" s="0" t="str">
        <f aca="false">IF('THÁNG 11'!$C126="","",'THÁNG 11'!$C126)</f>
        <v/>
      </c>
      <c r="D869" s="0" t="str">
        <f aca="false">IF('THÁNG 11'!$C126="","",'THÁNG 11'!$D126&amp;"")</f>
        <v/>
      </c>
      <c r="E869" s="0" t="str">
        <f aca="false">IF('THÁNG 11'!$C126="","",'THÁNG 11'!$E126&amp;"")</f>
        <v/>
      </c>
      <c r="F869" s="0" t="str">
        <f aca="false">IF('THÁNG 11'!$C126="","",'THÁNG 11'!$F126&amp;"")</f>
        <v/>
      </c>
      <c r="G869" s="0" t="str">
        <f aca="false">IF('THÁNG 11'!$C126="","",'THÁNG 11'!$G126&amp;"")</f>
        <v/>
      </c>
      <c r="H869" s="0" t="str">
        <f aca="false">IF('THÁNG 11'!$C126="","",'THÁNG 11'!$H126&amp;"")</f>
        <v/>
      </c>
      <c r="I869" s="0" t="str">
        <f aca="false">IF('THÁNG 11'!$C126="","",N('THÁNG 11'!$I126))</f>
        <v/>
      </c>
      <c r="J869" s="0" t="str">
        <f aca="false">IF('THÁNG 11'!$C126="","",N('THÁNG 11'!$L126))</f>
        <v/>
      </c>
      <c r="K869" s="0" t="str">
        <f aca="false">IF('THÁNG 11'!$C126="","",N('THÁNG 11'!$N126))</f>
        <v/>
      </c>
      <c r="L869" s="0" t="str">
        <f aca="false">IF('THÁNG 11'!$C126="","",N('THÁNG 11'!$O126))</f>
        <v/>
      </c>
      <c r="M869" s="0" t="str">
        <f aca="false">IF('THÁNG 11'!$C126="","",N('THÁNG 11'!$P126))</f>
        <v/>
      </c>
      <c r="N869" s="0" t="str">
        <f aca="false">IF('THÁNG 11'!$C126="","",N('THÁNG 11'!$Q126))</f>
        <v/>
      </c>
      <c r="O869" s="0" t="str">
        <f aca="false">IF('THÁNG 11'!$C126="","",N('THÁNG 11'!$R126))</f>
        <v/>
      </c>
      <c r="P869" s="0" t="str">
        <f aca="false">IF(OR('THÁNG 11'!$C126="",'THÁNG 11'!$T126=""),"",'THÁNG 11'!$T126)</f>
        <v/>
      </c>
      <c r="Q869" s="0" t="str">
        <f aca="false">IF(OR('THÁNG 11'!$C126="",'THÁNG 11'!$U126=""),"",'THÁNG 11'!$U126)</f>
        <v/>
      </c>
      <c r="R869" s="0" t="str">
        <f aca="false">IF('THÁNG 11'!$C126="","",'THÁNG 11'!$W126&amp;"")</f>
        <v/>
      </c>
      <c r="S869" s="0" t="str">
        <f aca="false">IF('THÁNG 11'!$C126="","",'THÁNG 11'!$S126&amp;"")</f>
        <v/>
      </c>
      <c r="T869" s="0" t="str">
        <f aca="false">IF(N($O869)&gt;0,COUNTIF($O$3:$O869,"&gt;0"),"")</f>
        <v/>
      </c>
      <c r="U869" s="0" t="str">
        <f aca="false">IF(AND(N($J869)&gt;0,N($K869)&gt;0),COUNTIFS($J$3:$J869,"&gt;0",$K$3:$K869,"&gt;0"),"")</f>
        <v/>
      </c>
      <c r="V869" s="0" t="str">
        <f aca="false">IF(AND(N($J869)&gt;0,N($K869)=0),COUNTIFS($J$3:$J869,"&gt;0",$K$3:$K869,"&lt;=0"),"")</f>
        <v/>
      </c>
      <c r="W869" s="0" t="str">
        <f aca="false">IF($C869="","",IF(COUNTIF($C$3:$C869,$C869)&gt;1,"",MAX($W$2:W868)+1))</f>
        <v/>
      </c>
      <c r="X869" s="0" t="str">
        <f aca="false">IF($H869="","",IF(COUNTIF($H$3:$H869,$H869)&gt;1,"",MAX($X$2:X868)+1))</f>
        <v/>
      </c>
      <c r="Y869" s="0" t="str">
        <f aca="false">IF(AND(N($M869)&gt;0,N($O869)&lt;=0),COUNTIFS($M$3:$M869,"&gt;0",$O$3:$O869,"&lt;=0"),"")</f>
        <v/>
      </c>
      <c r="Z869" s="30" t="n">
        <f aca="false">IF(OR('THÁNG 11'!$C126="",'THÁNG 11'!$B126=""),0,'THÁNG 11'!$B126)</f>
        <v>0</v>
      </c>
    </row>
    <row r="870" customFormat="false" ht="15" hidden="false" customHeight="false" outlineLevel="0" collapsed="false">
      <c r="A870" s="0" t="n">
        <v>11</v>
      </c>
      <c r="B870" s="29" t="str">
        <f aca="false">IF(OR('THÁNG 11'!$C127="",'THÁNG 11'!$B127=""),"",'THÁNG 11'!$B127)</f>
        <v/>
      </c>
      <c r="C870" s="0" t="str">
        <f aca="false">IF('THÁNG 11'!$C127="","",'THÁNG 11'!$C127)</f>
        <v/>
      </c>
      <c r="D870" s="0" t="str">
        <f aca="false">IF('THÁNG 11'!$C127="","",'THÁNG 11'!$D127&amp;"")</f>
        <v/>
      </c>
      <c r="E870" s="0" t="str">
        <f aca="false">IF('THÁNG 11'!$C127="","",'THÁNG 11'!$E127&amp;"")</f>
        <v/>
      </c>
      <c r="F870" s="0" t="str">
        <f aca="false">IF('THÁNG 11'!$C127="","",'THÁNG 11'!$F127&amp;"")</f>
        <v/>
      </c>
      <c r="G870" s="0" t="str">
        <f aca="false">IF('THÁNG 11'!$C127="","",'THÁNG 11'!$G127&amp;"")</f>
        <v/>
      </c>
      <c r="H870" s="0" t="str">
        <f aca="false">IF('THÁNG 11'!$C127="","",'THÁNG 11'!$H127&amp;"")</f>
        <v/>
      </c>
      <c r="I870" s="0" t="str">
        <f aca="false">IF('THÁNG 11'!$C127="","",N('THÁNG 11'!$I127))</f>
        <v/>
      </c>
      <c r="J870" s="0" t="str">
        <f aca="false">IF('THÁNG 11'!$C127="","",N('THÁNG 11'!$L127))</f>
        <v/>
      </c>
      <c r="K870" s="0" t="str">
        <f aca="false">IF('THÁNG 11'!$C127="","",N('THÁNG 11'!$N127))</f>
        <v/>
      </c>
      <c r="L870" s="0" t="str">
        <f aca="false">IF('THÁNG 11'!$C127="","",N('THÁNG 11'!$O127))</f>
        <v/>
      </c>
      <c r="M870" s="0" t="str">
        <f aca="false">IF('THÁNG 11'!$C127="","",N('THÁNG 11'!$P127))</f>
        <v/>
      </c>
      <c r="N870" s="0" t="str">
        <f aca="false">IF('THÁNG 11'!$C127="","",N('THÁNG 11'!$Q127))</f>
        <v/>
      </c>
      <c r="O870" s="0" t="str">
        <f aca="false">IF('THÁNG 11'!$C127="","",N('THÁNG 11'!$R127))</f>
        <v/>
      </c>
      <c r="P870" s="0" t="str">
        <f aca="false">IF(OR('THÁNG 11'!$C127="",'THÁNG 11'!$T127=""),"",'THÁNG 11'!$T127)</f>
        <v/>
      </c>
      <c r="Q870" s="0" t="str">
        <f aca="false">IF(OR('THÁNG 11'!$C127="",'THÁNG 11'!$U127=""),"",'THÁNG 11'!$U127)</f>
        <v/>
      </c>
      <c r="R870" s="0" t="str">
        <f aca="false">IF('THÁNG 11'!$C127="","",'THÁNG 11'!$W127&amp;"")</f>
        <v/>
      </c>
      <c r="S870" s="0" t="str">
        <f aca="false">IF('THÁNG 11'!$C127="","",'THÁNG 11'!$S127&amp;"")</f>
        <v/>
      </c>
      <c r="T870" s="0" t="str">
        <f aca="false">IF(N($O870)&gt;0,COUNTIF($O$3:$O870,"&gt;0"),"")</f>
        <v/>
      </c>
      <c r="U870" s="0" t="str">
        <f aca="false">IF(AND(N($J870)&gt;0,N($K870)&gt;0),COUNTIFS($J$3:$J870,"&gt;0",$K$3:$K870,"&gt;0"),"")</f>
        <v/>
      </c>
      <c r="V870" s="0" t="str">
        <f aca="false">IF(AND(N($J870)&gt;0,N($K870)=0),COUNTIFS($J$3:$J870,"&gt;0",$K$3:$K870,"&lt;=0"),"")</f>
        <v/>
      </c>
      <c r="W870" s="0" t="str">
        <f aca="false">IF($C870="","",IF(COUNTIF($C$3:$C870,$C870)&gt;1,"",MAX($W$2:W869)+1))</f>
        <v/>
      </c>
      <c r="X870" s="0" t="str">
        <f aca="false">IF($H870="","",IF(COUNTIF($H$3:$H870,$H870)&gt;1,"",MAX($X$2:X869)+1))</f>
        <v/>
      </c>
      <c r="Y870" s="0" t="str">
        <f aca="false">IF(AND(N($M870)&gt;0,N($O870)&lt;=0),COUNTIFS($M$3:$M870,"&gt;0",$O$3:$O870,"&lt;=0"),"")</f>
        <v/>
      </c>
      <c r="Z870" s="30" t="n">
        <f aca="false">IF(OR('THÁNG 11'!$C127="",'THÁNG 11'!$B127=""),0,'THÁNG 11'!$B127)</f>
        <v>0</v>
      </c>
    </row>
    <row r="871" customFormat="false" ht="15" hidden="false" customHeight="false" outlineLevel="0" collapsed="false">
      <c r="A871" s="0" t="n">
        <v>11</v>
      </c>
      <c r="B871" s="29" t="str">
        <f aca="false">IF(OR('THÁNG 11'!$C128="",'THÁNG 11'!$B128=""),"",'THÁNG 11'!$B128)</f>
        <v/>
      </c>
      <c r="C871" s="0" t="str">
        <f aca="false">IF('THÁNG 11'!$C128="","",'THÁNG 11'!$C128)</f>
        <v/>
      </c>
      <c r="D871" s="0" t="str">
        <f aca="false">IF('THÁNG 11'!$C128="","",'THÁNG 11'!$D128&amp;"")</f>
        <v/>
      </c>
      <c r="E871" s="0" t="str">
        <f aca="false">IF('THÁNG 11'!$C128="","",'THÁNG 11'!$E128&amp;"")</f>
        <v/>
      </c>
      <c r="F871" s="0" t="str">
        <f aca="false">IF('THÁNG 11'!$C128="","",'THÁNG 11'!$F128&amp;"")</f>
        <v/>
      </c>
      <c r="G871" s="0" t="str">
        <f aca="false">IF('THÁNG 11'!$C128="","",'THÁNG 11'!$G128&amp;"")</f>
        <v/>
      </c>
      <c r="H871" s="0" t="str">
        <f aca="false">IF('THÁNG 11'!$C128="","",'THÁNG 11'!$H128&amp;"")</f>
        <v/>
      </c>
      <c r="I871" s="0" t="str">
        <f aca="false">IF('THÁNG 11'!$C128="","",N('THÁNG 11'!$I128))</f>
        <v/>
      </c>
      <c r="J871" s="0" t="str">
        <f aca="false">IF('THÁNG 11'!$C128="","",N('THÁNG 11'!$L128))</f>
        <v/>
      </c>
      <c r="K871" s="0" t="str">
        <f aca="false">IF('THÁNG 11'!$C128="","",N('THÁNG 11'!$N128))</f>
        <v/>
      </c>
      <c r="L871" s="0" t="str">
        <f aca="false">IF('THÁNG 11'!$C128="","",N('THÁNG 11'!$O128))</f>
        <v/>
      </c>
      <c r="M871" s="0" t="str">
        <f aca="false">IF('THÁNG 11'!$C128="","",N('THÁNG 11'!$P128))</f>
        <v/>
      </c>
      <c r="N871" s="0" t="str">
        <f aca="false">IF('THÁNG 11'!$C128="","",N('THÁNG 11'!$Q128))</f>
        <v/>
      </c>
      <c r="O871" s="0" t="str">
        <f aca="false">IF('THÁNG 11'!$C128="","",N('THÁNG 11'!$R128))</f>
        <v/>
      </c>
      <c r="P871" s="0" t="str">
        <f aca="false">IF(OR('THÁNG 11'!$C128="",'THÁNG 11'!$T128=""),"",'THÁNG 11'!$T128)</f>
        <v/>
      </c>
      <c r="Q871" s="0" t="str">
        <f aca="false">IF(OR('THÁNG 11'!$C128="",'THÁNG 11'!$U128=""),"",'THÁNG 11'!$U128)</f>
        <v/>
      </c>
      <c r="R871" s="0" t="str">
        <f aca="false">IF('THÁNG 11'!$C128="","",'THÁNG 11'!$W128&amp;"")</f>
        <v/>
      </c>
      <c r="S871" s="0" t="str">
        <f aca="false">IF('THÁNG 11'!$C128="","",'THÁNG 11'!$S128&amp;"")</f>
        <v/>
      </c>
      <c r="T871" s="0" t="str">
        <f aca="false">IF(N($O871)&gt;0,COUNTIF($O$3:$O871,"&gt;0"),"")</f>
        <v/>
      </c>
      <c r="U871" s="0" t="str">
        <f aca="false">IF(AND(N($J871)&gt;0,N($K871)&gt;0),COUNTIFS($J$3:$J871,"&gt;0",$K$3:$K871,"&gt;0"),"")</f>
        <v/>
      </c>
      <c r="V871" s="0" t="str">
        <f aca="false">IF(AND(N($J871)&gt;0,N($K871)=0),COUNTIFS($J$3:$J871,"&gt;0",$K$3:$K871,"&lt;=0"),"")</f>
        <v/>
      </c>
      <c r="W871" s="0" t="str">
        <f aca="false">IF($C871="","",IF(COUNTIF($C$3:$C871,$C871)&gt;1,"",MAX($W$2:W870)+1))</f>
        <v/>
      </c>
      <c r="X871" s="0" t="str">
        <f aca="false">IF($H871="","",IF(COUNTIF($H$3:$H871,$H871)&gt;1,"",MAX($X$2:X870)+1))</f>
        <v/>
      </c>
      <c r="Y871" s="0" t="str">
        <f aca="false">IF(AND(N($M871)&gt;0,N($O871)&lt;=0),COUNTIFS($M$3:$M871,"&gt;0",$O$3:$O871,"&lt;=0"),"")</f>
        <v/>
      </c>
      <c r="Z871" s="30" t="n">
        <f aca="false">IF(OR('THÁNG 11'!$C128="",'THÁNG 11'!$B128=""),0,'THÁNG 11'!$B128)</f>
        <v>0</v>
      </c>
    </row>
    <row r="872" customFormat="false" ht="15" hidden="false" customHeight="false" outlineLevel="0" collapsed="false">
      <c r="A872" s="0" t="n">
        <v>11</v>
      </c>
      <c r="B872" s="29" t="str">
        <f aca="false">IF(OR('THÁNG 11'!$C129="",'THÁNG 11'!$B129=""),"",'THÁNG 11'!$B129)</f>
        <v/>
      </c>
      <c r="C872" s="0" t="str">
        <f aca="false">IF('THÁNG 11'!$C129="","",'THÁNG 11'!$C129)</f>
        <v/>
      </c>
      <c r="D872" s="0" t="str">
        <f aca="false">IF('THÁNG 11'!$C129="","",'THÁNG 11'!$D129&amp;"")</f>
        <v/>
      </c>
      <c r="E872" s="0" t="str">
        <f aca="false">IF('THÁNG 11'!$C129="","",'THÁNG 11'!$E129&amp;"")</f>
        <v/>
      </c>
      <c r="F872" s="0" t="str">
        <f aca="false">IF('THÁNG 11'!$C129="","",'THÁNG 11'!$F129&amp;"")</f>
        <v/>
      </c>
      <c r="G872" s="0" t="str">
        <f aca="false">IF('THÁNG 11'!$C129="","",'THÁNG 11'!$G129&amp;"")</f>
        <v/>
      </c>
      <c r="H872" s="0" t="str">
        <f aca="false">IF('THÁNG 11'!$C129="","",'THÁNG 11'!$H129&amp;"")</f>
        <v/>
      </c>
      <c r="I872" s="0" t="str">
        <f aca="false">IF('THÁNG 11'!$C129="","",N('THÁNG 11'!$I129))</f>
        <v/>
      </c>
      <c r="J872" s="0" t="str">
        <f aca="false">IF('THÁNG 11'!$C129="","",N('THÁNG 11'!$L129))</f>
        <v/>
      </c>
      <c r="K872" s="0" t="str">
        <f aca="false">IF('THÁNG 11'!$C129="","",N('THÁNG 11'!$N129))</f>
        <v/>
      </c>
      <c r="L872" s="0" t="str">
        <f aca="false">IF('THÁNG 11'!$C129="","",N('THÁNG 11'!$O129))</f>
        <v/>
      </c>
      <c r="M872" s="0" t="str">
        <f aca="false">IF('THÁNG 11'!$C129="","",N('THÁNG 11'!$P129))</f>
        <v/>
      </c>
      <c r="N872" s="0" t="str">
        <f aca="false">IF('THÁNG 11'!$C129="","",N('THÁNG 11'!$Q129))</f>
        <v/>
      </c>
      <c r="O872" s="0" t="str">
        <f aca="false">IF('THÁNG 11'!$C129="","",N('THÁNG 11'!$R129))</f>
        <v/>
      </c>
      <c r="P872" s="0" t="str">
        <f aca="false">IF(OR('THÁNG 11'!$C129="",'THÁNG 11'!$T129=""),"",'THÁNG 11'!$T129)</f>
        <v/>
      </c>
      <c r="Q872" s="0" t="str">
        <f aca="false">IF(OR('THÁNG 11'!$C129="",'THÁNG 11'!$U129=""),"",'THÁNG 11'!$U129)</f>
        <v/>
      </c>
      <c r="R872" s="0" t="str">
        <f aca="false">IF('THÁNG 11'!$C129="","",'THÁNG 11'!$W129&amp;"")</f>
        <v/>
      </c>
      <c r="S872" s="0" t="str">
        <f aca="false">IF('THÁNG 11'!$C129="","",'THÁNG 11'!$S129&amp;"")</f>
        <v/>
      </c>
      <c r="T872" s="0" t="str">
        <f aca="false">IF(N($O872)&gt;0,COUNTIF($O$3:$O872,"&gt;0"),"")</f>
        <v/>
      </c>
      <c r="U872" s="0" t="str">
        <f aca="false">IF(AND(N($J872)&gt;0,N($K872)&gt;0),COUNTIFS($J$3:$J872,"&gt;0",$K$3:$K872,"&gt;0"),"")</f>
        <v/>
      </c>
      <c r="V872" s="0" t="str">
        <f aca="false">IF(AND(N($J872)&gt;0,N($K872)=0),COUNTIFS($J$3:$J872,"&gt;0",$K$3:$K872,"&lt;=0"),"")</f>
        <v/>
      </c>
      <c r="W872" s="0" t="str">
        <f aca="false">IF($C872="","",IF(COUNTIF($C$3:$C872,$C872)&gt;1,"",MAX($W$2:W871)+1))</f>
        <v/>
      </c>
      <c r="X872" s="0" t="str">
        <f aca="false">IF($H872="","",IF(COUNTIF($H$3:$H872,$H872)&gt;1,"",MAX($X$2:X871)+1))</f>
        <v/>
      </c>
      <c r="Y872" s="0" t="str">
        <f aca="false">IF(AND(N($M872)&gt;0,N($O872)&lt;=0),COUNTIFS($M$3:$M872,"&gt;0",$O$3:$O872,"&lt;=0"),"")</f>
        <v/>
      </c>
      <c r="Z872" s="30" t="n">
        <f aca="false">IF(OR('THÁNG 11'!$C129="",'THÁNG 11'!$B129=""),0,'THÁNG 11'!$B129)</f>
        <v>0</v>
      </c>
    </row>
    <row r="873" customFormat="false" ht="15" hidden="false" customHeight="false" outlineLevel="0" collapsed="false">
      <c r="A873" s="0" t="n">
        <v>11</v>
      </c>
      <c r="B873" s="29" t="str">
        <f aca="false">IF(OR('THÁNG 11'!$C130="",'THÁNG 11'!$B130=""),"",'THÁNG 11'!$B130)</f>
        <v/>
      </c>
      <c r="C873" s="0" t="str">
        <f aca="false">IF('THÁNG 11'!$C130="","",'THÁNG 11'!$C130)</f>
        <v/>
      </c>
      <c r="D873" s="0" t="str">
        <f aca="false">IF('THÁNG 11'!$C130="","",'THÁNG 11'!$D130&amp;"")</f>
        <v/>
      </c>
      <c r="E873" s="0" t="str">
        <f aca="false">IF('THÁNG 11'!$C130="","",'THÁNG 11'!$E130&amp;"")</f>
        <v/>
      </c>
      <c r="F873" s="0" t="str">
        <f aca="false">IF('THÁNG 11'!$C130="","",'THÁNG 11'!$F130&amp;"")</f>
        <v/>
      </c>
      <c r="G873" s="0" t="str">
        <f aca="false">IF('THÁNG 11'!$C130="","",'THÁNG 11'!$G130&amp;"")</f>
        <v/>
      </c>
      <c r="H873" s="0" t="str">
        <f aca="false">IF('THÁNG 11'!$C130="","",'THÁNG 11'!$H130&amp;"")</f>
        <v/>
      </c>
      <c r="I873" s="0" t="str">
        <f aca="false">IF('THÁNG 11'!$C130="","",N('THÁNG 11'!$I130))</f>
        <v/>
      </c>
      <c r="J873" s="0" t="str">
        <f aca="false">IF('THÁNG 11'!$C130="","",N('THÁNG 11'!$L130))</f>
        <v/>
      </c>
      <c r="K873" s="0" t="str">
        <f aca="false">IF('THÁNG 11'!$C130="","",N('THÁNG 11'!$N130))</f>
        <v/>
      </c>
      <c r="L873" s="0" t="str">
        <f aca="false">IF('THÁNG 11'!$C130="","",N('THÁNG 11'!$O130))</f>
        <v/>
      </c>
      <c r="M873" s="0" t="str">
        <f aca="false">IF('THÁNG 11'!$C130="","",N('THÁNG 11'!$P130))</f>
        <v/>
      </c>
      <c r="N873" s="0" t="str">
        <f aca="false">IF('THÁNG 11'!$C130="","",N('THÁNG 11'!$Q130))</f>
        <v/>
      </c>
      <c r="O873" s="0" t="str">
        <f aca="false">IF('THÁNG 11'!$C130="","",N('THÁNG 11'!$R130))</f>
        <v/>
      </c>
      <c r="P873" s="0" t="str">
        <f aca="false">IF(OR('THÁNG 11'!$C130="",'THÁNG 11'!$T130=""),"",'THÁNG 11'!$T130)</f>
        <v/>
      </c>
      <c r="Q873" s="0" t="str">
        <f aca="false">IF(OR('THÁNG 11'!$C130="",'THÁNG 11'!$U130=""),"",'THÁNG 11'!$U130)</f>
        <v/>
      </c>
      <c r="R873" s="0" t="str">
        <f aca="false">IF('THÁNG 11'!$C130="","",'THÁNG 11'!$W130&amp;"")</f>
        <v/>
      </c>
      <c r="S873" s="0" t="str">
        <f aca="false">IF('THÁNG 11'!$C130="","",'THÁNG 11'!$S130&amp;"")</f>
        <v/>
      </c>
      <c r="T873" s="0" t="str">
        <f aca="false">IF(N($O873)&gt;0,COUNTIF($O$3:$O873,"&gt;0"),"")</f>
        <v/>
      </c>
      <c r="U873" s="0" t="str">
        <f aca="false">IF(AND(N($J873)&gt;0,N($K873)&gt;0),COUNTIFS($J$3:$J873,"&gt;0",$K$3:$K873,"&gt;0"),"")</f>
        <v/>
      </c>
      <c r="V873" s="0" t="str">
        <f aca="false">IF(AND(N($J873)&gt;0,N($K873)=0),COUNTIFS($J$3:$J873,"&gt;0",$K$3:$K873,"&lt;=0"),"")</f>
        <v/>
      </c>
      <c r="W873" s="0" t="str">
        <f aca="false">IF($C873="","",IF(COUNTIF($C$3:$C873,$C873)&gt;1,"",MAX($W$2:W872)+1))</f>
        <v/>
      </c>
      <c r="X873" s="0" t="str">
        <f aca="false">IF($H873="","",IF(COUNTIF($H$3:$H873,$H873)&gt;1,"",MAX($X$2:X872)+1))</f>
        <v/>
      </c>
      <c r="Y873" s="0" t="str">
        <f aca="false">IF(AND(N($M873)&gt;0,N($O873)&lt;=0),COUNTIFS($M$3:$M873,"&gt;0",$O$3:$O873,"&lt;=0"),"")</f>
        <v/>
      </c>
      <c r="Z873" s="30" t="n">
        <f aca="false">IF(OR('THÁNG 11'!$C130="",'THÁNG 11'!$B130=""),0,'THÁNG 11'!$B130)</f>
        <v>0</v>
      </c>
    </row>
    <row r="874" customFormat="false" ht="15" hidden="false" customHeight="false" outlineLevel="0" collapsed="false">
      <c r="A874" s="0" t="n">
        <v>11</v>
      </c>
      <c r="B874" s="29" t="str">
        <f aca="false">IF(OR('THÁNG 11'!$C131="",'THÁNG 11'!$B131=""),"",'THÁNG 11'!$B131)</f>
        <v/>
      </c>
      <c r="C874" s="0" t="str">
        <f aca="false">IF('THÁNG 11'!$C131="","",'THÁNG 11'!$C131)</f>
        <v/>
      </c>
      <c r="D874" s="0" t="str">
        <f aca="false">IF('THÁNG 11'!$C131="","",'THÁNG 11'!$D131&amp;"")</f>
        <v/>
      </c>
      <c r="E874" s="0" t="str">
        <f aca="false">IF('THÁNG 11'!$C131="","",'THÁNG 11'!$E131&amp;"")</f>
        <v/>
      </c>
      <c r="F874" s="0" t="str">
        <f aca="false">IF('THÁNG 11'!$C131="","",'THÁNG 11'!$F131&amp;"")</f>
        <v/>
      </c>
      <c r="G874" s="0" t="str">
        <f aca="false">IF('THÁNG 11'!$C131="","",'THÁNG 11'!$G131&amp;"")</f>
        <v/>
      </c>
      <c r="H874" s="0" t="str">
        <f aca="false">IF('THÁNG 11'!$C131="","",'THÁNG 11'!$H131&amp;"")</f>
        <v/>
      </c>
      <c r="I874" s="0" t="str">
        <f aca="false">IF('THÁNG 11'!$C131="","",N('THÁNG 11'!$I131))</f>
        <v/>
      </c>
      <c r="J874" s="0" t="str">
        <f aca="false">IF('THÁNG 11'!$C131="","",N('THÁNG 11'!$L131))</f>
        <v/>
      </c>
      <c r="K874" s="0" t="str">
        <f aca="false">IF('THÁNG 11'!$C131="","",N('THÁNG 11'!$N131))</f>
        <v/>
      </c>
      <c r="L874" s="0" t="str">
        <f aca="false">IF('THÁNG 11'!$C131="","",N('THÁNG 11'!$O131))</f>
        <v/>
      </c>
      <c r="M874" s="0" t="str">
        <f aca="false">IF('THÁNG 11'!$C131="","",N('THÁNG 11'!$P131))</f>
        <v/>
      </c>
      <c r="N874" s="0" t="str">
        <f aca="false">IF('THÁNG 11'!$C131="","",N('THÁNG 11'!$Q131))</f>
        <v/>
      </c>
      <c r="O874" s="0" t="str">
        <f aca="false">IF('THÁNG 11'!$C131="","",N('THÁNG 11'!$R131))</f>
        <v/>
      </c>
      <c r="P874" s="0" t="str">
        <f aca="false">IF(OR('THÁNG 11'!$C131="",'THÁNG 11'!$T131=""),"",'THÁNG 11'!$T131)</f>
        <v/>
      </c>
      <c r="Q874" s="0" t="str">
        <f aca="false">IF(OR('THÁNG 11'!$C131="",'THÁNG 11'!$U131=""),"",'THÁNG 11'!$U131)</f>
        <v/>
      </c>
      <c r="R874" s="0" t="str">
        <f aca="false">IF('THÁNG 11'!$C131="","",'THÁNG 11'!$W131&amp;"")</f>
        <v/>
      </c>
      <c r="S874" s="0" t="str">
        <f aca="false">IF('THÁNG 11'!$C131="","",'THÁNG 11'!$S131&amp;"")</f>
        <v/>
      </c>
      <c r="T874" s="0" t="str">
        <f aca="false">IF(N($O874)&gt;0,COUNTIF($O$3:$O874,"&gt;0"),"")</f>
        <v/>
      </c>
      <c r="U874" s="0" t="str">
        <f aca="false">IF(AND(N($J874)&gt;0,N($K874)&gt;0),COUNTIFS($J$3:$J874,"&gt;0",$K$3:$K874,"&gt;0"),"")</f>
        <v/>
      </c>
      <c r="V874" s="0" t="str">
        <f aca="false">IF(AND(N($J874)&gt;0,N($K874)=0),COUNTIFS($J$3:$J874,"&gt;0",$K$3:$K874,"&lt;=0"),"")</f>
        <v/>
      </c>
      <c r="W874" s="0" t="str">
        <f aca="false">IF($C874="","",IF(COUNTIF($C$3:$C874,$C874)&gt;1,"",MAX($W$2:W873)+1))</f>
        <v/>
      </c>
      <c r="X874" s="0" t="str">
        <f aca="false">IF($H874="","",IF(COUNTIF($H$3:$H874,$H874)&gt;1,"",MAX($X$2:X873)+1))</f>
        <v/>
      </c>
      <c r="Y874" s="0" t="str">
        <f aca="false">IF(AND(N($M874)&gt;0,N($O874)&lt;=0),COUNTIFS($M$3:$M874,"&gt;0",$O$3:$O874,"&lt;=0"),"")</f>
        <v/>
      </c>
      <c r="Z874" s="30" t="n">
        <f aca="false">IF(OR('THÁNG 11'!$C131="",'THÁNG 11'!$B131=""),0,'THÁNG 11'!$B131)</f>
        <v>0</v>
      </c>
    </row>
    <row r="875" customFormat="false" ht="15" hidden="false" customHeight="false" outlineLevel="0" collapsed="false">
      <c r="A875" s="0" t="n">
        <v>11</v>
      </c>
      <c r="B875" s="29" t="str">
        <f aca="false">IF(OR('THÁNG 11'!$C132="",'THÁNG 11'!$B132=""),"",'THÁNG 11'!$B132)</f>
        <v/>
      </c>
      <c r="C875" s="0" t="str">
        <f aca="false">IF('THÁNG 11'!$C132="","",'THÁNG 11'!$C132)</f>
        <v/>
      </c>
      <c r="D875" s="0" t="str">
        <f aca="false">IF('THÁNG 11'!$C132="","",'THÁNG 11'!$D132&amp;"")</f>
        <v/>
      </c>
      <c r="E875" s="0" t="str">
        <f aca="false">IF('THÁNG 11'!$C132="","",'THÁNG 11'!$E132&amp;"")</f>
        <v/>
      </c>
      <c r="F875" s="0" t="str">
        <f aca="false">IF('THÁNG 11'!$C132="","",'THÁNG 11'!$F132&amp;"")</f>
        <v/>
      </c>
      <c r="G875" s="0" t="str">
        <f aca="false">IF('THÁNG 11'!$C132="","",'THÁNG 11'!$G132&amp;"")</f>
        <v/>
      </c>
      <c r="H875" s="0" t="str">
        <f aca="false">IF('THÁNG 11'!$C132="","",'THÁNG 11'!$H132&amp;"")</f>
        <v/>
      </c>
      <c r="I875" s="0" t="str">
        <f aca="false">IF('THÁNG 11'!$C132="","",N('THÁNG 11'!$I132))</f>
        <v/>
      </c>
      <c r="J875" s="0" t="str">
        <f aca="false">IF('THÁNG 11'!$C132="","",N('THÁNG 11'!$L132))</f>
        <v/>
      </c>
      <c r="K875" s="0" t="str">
        <f aca="false">IF('THÁNG 11'!$C132="","",N('THÁNG 11'!$N132))</f>
        <v/>
      </c>
      <c r="L875" s="0" t="str">
        <f aca="false">IF('THÁNG 11'!$C132="","",N('THÁNG 11'!$O132))</f>
        <v/>
      </c>
      <c r="M875" s="0" t="str">
        <f aca="false">IF('THÁNG 11'!$C132="","",N('THÁNG 11'!$P132))</f>
        <v/>
      </c>
      <c r="N875" s="0" t="str">
        <f aca="false">IF('THÁNG 11'!$C132="","",N('THÁNG 11'!$Q132))</f>
        <v/>
      </c>
      <c r="O875" s="0" t="str">
        <f aca="false">IF('THÁNG 11'!$C132="","",N('THÁNG 11'!$R132))</f>
        <v/>
      </c>
      <c r="P875" s="0" t="str">
        <f aca="false">IF(OR('THÁNG 11'!$C132="",'THÁNG 11'!$T132=""),"",'THÁNG 11'!$T132)</f>
        <v/>
      </c>
      <c r="Q875" s="0" t="str">
        <f aca="false">IF(OR('THÁNG 11'!$C132="",'THÁNG 11'!$U132=""),"",'THÁNG 11'!$U132)</f>
        <v/>
      </c>
      <c r="R875" s="0" t="str">
        <f aca="false">IF('THÁNG 11'!$C132="","",'THÁNG 11'!$W132&amp;"")</f>
        <v/>
      </c>
      <c r="S875" s="0" t="str">
        <f aca="false">IF('THÁNG 11'!$C132="","",'THÁNG 11'!$S132&amp;"")</f>
        <v/>
      </c>
      <c r="T875" s="0" t="str">
        <f aca="false">IF(N($O875)&gt;0,COUNTIF($O$3:$O875,"&gt;0"),"")</f>
        <v/>
      </c>
      <c r="U875" s="0" t="str">
        <f aca="false">IF(AND(N($J875)&gt;0,N($K875)&gt;0),COUNTIFS($J$3:$J875,"&gt;0",$K$3:$K875,"&gt;0"),"")</f>
        <v/>
      </c>
      <c r="V875" s="0" t="str">
        <f aca="false">IF(AND(N($J875)&gt;0,N($K875)=0),COUNTIFS($J$3:$J875,"&gt;0",$K$3:$K875,"&lt;=0"),"")</f>
        <v/>
      </c>
      <c r="W875" s="0" t="str">
        <f aca="false">IF($C875="","",IF(COUNTIF($C$3:$C875,$C875)&gt;1,"",MAX($W$2:W874)+1))</f>
        <v/>
      </c>
      <c r="X875" s="0" t="str">
        <f aca="false">IF($H875="","",IF(COUNTIF($H$3:$H875,$H875)&gt;1,"",MAX($X$2:X874)+1))</f>
        <v/>
      </c>
      <c r="Y875" s="0" t="str">
        <f aca="false">IF(AND(N($M875)&gt;0,N($O875)&lt;=0),COUNTIFS($M$3:$M875,"&gt;0",$O$3:$O875,"&lt;=0"),"")</f>
        <v/>
      </c>
      <c r="Z875" s="30" t="n">
        <f aca="false">IF(OR('THÁNG 11'!$C132="",'THÁNG 11'!$B132=""),0,'THÁNG 11'!$B132)</f>
        <v>0</v>
      </c>
    </row>
    <row r="876" customFormat="false" ht="15" hidden="false" customHeight="false" outlineLevel="0" collapsed="false">
      <c r="A876" s="0" t="n">
        <v>11</v>
      </c>
      <c r="B876" s="29" t="str">
        <f aca="false">IF(OR('THÁNG 11'!$C133="",'THÁNG 11'!$B133=""),"",'THÁNG 11'!$B133)</f>
        <v/>
      </c>
      <c r="C876" s="0" t="str">
        <f aca="false">IF('THÁNG 11'!$C133="","",'THÁNG 11'!$C133)</f>
        <v/>
      </c>
      <c r="D876" s="0" t="str">
        <f aca="false">IF('THÁNG 11'!$C133="","",'THÁNG 11'!$D133&amp;"")</f>
        <v/>
      </c>
      <c r="E876" s="0" t="str">
        <f aca="false">IF('THÁNG 11'!$C133="","",'THÁNG 11'!$E133&amp;"")</f>
        <v/>
      </c>
      <c r="F876" s="0" t="str">
        <f aca="false">IF('THÁNG 11'!$C133="","",'THÁNG 11'!$F133&amp;"")</f>
        <v/>
      </c>
      <c r="G876" s="0" t="str">
        <f aca="false">IF('THÁNG 11'!$C133="","",'THÁNG 11'!$G133&amp;"")</f>
        <v/>
      </c>
      <c r="H876" s="0" t="str">
        <f aca="false">IF('THÁNG 11'!$C133="","",'THÁNG 11'!$H133&amp;"")</f>
        <v/>
      </c>
      <c r="I876" s="0" t="str">
        <f aca="false">IF('THÁNG 11'!$C133="","",N('THÁNG 11'!$I133))</f>
        <v/>
      </c>
      <c r="J876" s="0" t="str">
        <f aca="false">IF('THÁNG 11'!$C133="","",N('THÁNG 11'!$L133))</f>
        <v/>
      </c>
      <c r="K876" s="0" t="str">
        <f aca="false">IF('THÁNG 11'!$C133="","",N('THÁNG 11'!$N133))</f>
        <v/>
      </c>
      <c r="L876" s="0" t="str">
        <f aca="false">IF('THÁNG 11'!$C133="","",N('THÁNG 11'!$O133))</f>
        <v/>
      </c>
      <c r="M876" s="0" t="str">
        <f aca="false">IF('THÁNG 11'!$C133="","",N('THÁNG 11'!$P133))</f>
        <v/>
      </c>
      <c r="N876" s="0" t="str">
        <f aca="false">IF('THÁNG 11'!$C133="","",N('THÁNG 11'!$Q133))</f>
        <v/>
      </c>
      <c r="O876" s="0" t="str">
        <f aca="false">IF('THÁNG 11'!$C133="","",N('THÁNG 11'!$R133))</f>
        <v/>
      </c>
      <c r="P876" s="0" t="str">
        <f aca="false">IF(OR('THÁNG 11'!$C133="",'THÁNG 11'!$T133=""),"",'THÁNG 11'!$T133)</f>
        <v/>
      </c>
      <c r="Q876" s="0" t="str">
        <f aca="false">IF(OR('THÁNG 11'!$C133="",'THÁNG 11'!$U133=""),"",'THÁNG 11'!$U133)</f>
        <v/>
      </c>
      <c r="R876" s="0" t="str">
        <f aca="false">IF('THÁNG 11'!$C133="","",'THÁNG 11'!$W133&amp;"")</f>
        <v/>
      </c>
      <c r="S876" s="0" t="str">
        <f aca="false">IF('THÁNG 11'!$C133="","",'THÁNG 11'!$S133&amp;"")</f>
        <v/>
      </c>
      <c r="T876" s="0" t="str">
        <f aca="false">IF(N($O876)&gt;0,COUNTIF($O$3:$O876,"&gt;0"),"")</f>
        <v/>
      </c>
      <c r="U876" s="0" t="str">
        <f aca="false">IF(AND(N($J876)&gt;0,N($K876)&gt;0),COUNTIFS($J$3:$J876,"&gt;0",$K$3:$K876,"&gt;0"),"")</f>
        <v/>
      </c>
      <c r="V876" s="0" t="str">
        <f aca="false">IF(AND(N($J876)&gt;0,N($K876)=0),COUNTIFS($J$3:$J876,"&gt;0",$K$3:$K876,"&lt;=0"),"")</f>
        <v/>
      </c>
      <c r="W876" s="0" t="str">
        <f aca="false">IF($C876="","",IF(COUNTIF($C$3:$C876,$C876)&gt;1,"",MAX($W$2:W875)+1))</f>
        <v/>
      </c>
      <c r="X876" s="0" t="str">
        <f aca="false">IF($H876="","",IF(COUNTIF($H$3:$H876,$H876)&gt;1,"",MAX($X$2:X875)+1))</f>
        <v/>
      </c>
      <c r="Y876" s="0" t="str">
        <f aca="false">IF(AND(N($M876)&gt;0,N($O876)&lt;=0),COUNTIFS($M$3:$M876,"&gt;0",$O$3:$O876,"&lt;=0"),"")</f>
        <v/>
      </c>
      <c r="Z876" s="30" t="n">
        <f aca="false">IF(OR('THÁNG 11'!$C133="",'THÁNG 11'!$B133=""),0,'THÁNG 11'!$B133)</f>
        <v>0</v>
      </c>
    </row>
    <row r="877" customFormat="false" ht="15" hidden="false" customHeight="false" outlineLevel="0" collapsed="false">
      <c r="A877" s="0" t="n">
        <v>11</v>
      </c>
      <c r="B877" s="29" t="str">
        <f aca="false">IF(OR('THÁNG 11'!$C134="",'THÁNG 11'!$B134=""),"",'THÁNG 11'!$B134)</f>
        <v/>
      </c>
      <c r="C877" s="0" t="str">
        <f aca="false">IF('THÁNG 11'!$C134="","",'THÁNG 11'!$C134)</f>
        <v/>
      </c>
      <c r="D877" s="0" t="str">
        <f aca="false">IF('THÁNG 11'!$C134="","",'THÁNG 11'!$D134&amp;"")</f>
        <v/>
      </c>
      <c r="E877" s="0" t="str">
        <f aca="false">IF('THÁNG 11'!$C134="","",'THÁNG 11'!$E134&amp;"")</f>
        <v/>
      </c>
      <c r="F877" s="0" t="str">
        <f aca="false">IF('THÁNG 11'!$C134="","",'THÁNG 11'!$F134&amp;"")</f>
        <v/>
      </c>
      <c r="G877" s="0" t="str">
        <f aca="false">IF('THÁNG 11'!$C134="","",'THÁNG 11'!$G134&amp;"")</f>
        <v/>
      </c>
      <c r="H877" s="0" t="str">
        <f aca="false">IF('THÁNG 11'!$C134="","",'THÁNG 11'!$H134&amp;"")</f>
        <v/>
      </c>
      <c r="I877" s="0" t="str">
        <f aca="false">IF('THÁNG 11'!$C134="","",N('THÁNG 11'!$I134))</f>
        <v/>
      </c>
      <c r="J877" s="0" t="str">
        <f aca="false">IF('THÁNG 11'!$C134="","",N('THÁNG 11'!$L134))</f>
        <v/>
      </c>
      <c r="K877" s="0" t="str">
        <f aca="false">IF('THÁNG 11'!$C134="","",N('THÁNG 11'!$N134))</f>
        <v/>
      </c>
      <c r="L877" s="0" t="str">
        <f aca="false">IF('THÁNG 11'!$C134="","",N('THÁNG 11'!$O134))</f>
        <v/>
      </c>
      <c r="M877" s="0" t="str">
        <f aca="false">IF('THÁNG 11'!$C134="","",N('THÁNG 11'!$P134))</f>
        <v/>
      </c>
      <c r="N877" s="0" t="str">
        <f aca="false">IF('THÁNG 11'!$C134="","",N('THÁNG 11'!$Q134))</f>
        <v/>
      </c>
      <c r="O877" s="0" t="str">
        <f aca="false">IF('THÁNG 11'!$C134="","",N('THÁNG 11'!$R134))</f>
        <v/>
      </c>
      <c r="P877" s="0" t="str">
        <f aca="false">IF(OR('THÁNG 11'!$C134="",'THÁNG 11'!$T134=""),"",'THÁNG 11'!$T134)</f>
        <v/>
      </c>
      <c r="Q877" s="0" t="str">
        <f aca="false">IF(OR('THÁNG 11'!$C134="",'THÁNG 11'!$U134=""),"",'THÁNG 11'!$U134)</f>
        <v/>
      </c>
      <c r="R877" s="0" t="str">
        <f aca="false">IF('THÁNG 11'!$C134="","",'THÁNG 11'!$W134&amp;"")</f>
        <v/>
      </c>
      <c r="S877" s="0" t="str">
        <f aca="false">IF('THÁNG 11'!$C134="","",'THÁNG 11'!$S134&amp;"")</f>
        <v/>
      </c>
      <c r="T877" s="0" t="str">
        <f aca="false">IF(N($O877)&gt;0,COUNTIF($O$3:$O877,"&gt;0"),"")</f>
        <v/>
      </c>
      <c r="U877" s="0" t="str">
        <f aca="false">IF(AND(N($J877)&gt;0,N($K877)&gt;0),COUNTIFS($J$3:$J877,"&gt;0",$K$3:$K877,"&gt;0"),"")</f>
        <v/>
      </c>
      <c r="V877" s="0" t="str">
        <f aca="false">IF(AND(N($J877)&gt;0,N($K877)=0),COUNTIFS($J$3:$J877,"&gt;0",$K$3:$K877,"&lt;=0"),"")</f>
        <v/>
      </c>
      <c r="W877" s="0" t="str">
        <f aca="false">IF($C877="","",IF(COUNTIF($C$3:$C877,$C877)&gt;1,"",MAX($W$2:W876)+1))</f>
        <v/>
      </c>
      <c r="X877" s="0" t="str">
        <f aca="false">IF($H877="","",IF(COUNTIF($H$3:$H877,$H877)&gt;1,"",MAX($X$2:X876)+1))</f>
        <v/>
      </c>
      <c r="Y877" s="0" t="str">
        <f aca="false">IF(AND(N($M877)&gt;0,N($O877)&lt;=0),COUNTIFS($M$3:$M877,"&gt;0",$O$3:$O877,"&lt;=0"),"")</f>
        <v/>
      </c>
      <c r="Z877" s="30" t="n">
        <f aca="false">IF(OR('THÁNG 11'!$C134="",'THÁNG 11'!$B134=""),0,'THÁNG 11'!$B134)</f>
        <v>0</v>
      </c>
    </row>
    <row r="878" customFormat="false" ht="15" hidden="false" customHeight="false" outlineLevel="0" collapsed="false">
      <c r="A878" s="0" t="n">
        <v>11</v>
      </c>
      <c r="B878" s="29" t="str">
        <f aca="false">IF(OR('THÁNG 11'!$C135="",'THÁNG 11'!$B135=""),"",'THÁNG 11'!$B135)</f>
        <v/>
      </c>
      <c r="C878" s="0" t="str">
        <f aca="false">IF('THÁNG 11'!$C135="","",'THÁNG 11'!$C135)</f>
        <v/>
      </c>
      <c r="D878" s="0" t="str">
        <f aca="false">IF('THÁNG 11'!$C135="","",'THÁNG 11'!$D135&amp;"")</f>
        <v/>
      </c>
      <c r="E878" s="0" t="str">
        <f aca="false">IF('THÁNG 11'!$C135="","",'THÁNG 11'!$E135&amp;"")</f>
        <v/>
      </c>
      <c r="F878" s="0" t="str">
        <f aca="false">IF('THÁNG 11'!$C135="","",'THÁNG 11'!$F135&amp;"")</f>
        <v/>
      </c>
      <c r="G878" s="0" t="str">
        <f aca="false">IF('THÁNG 11'!$C135="","",'THÁNG 11'!$G135&amp;"")</f>
        <v/>
      </c>
      <c r="H878" s="0" t="str">
        <f aca="false">IF('THÁNG 11'!$C135="","",'THÁNG 11'!$H135&amp;"")</f>
        <v/>
      </c>
      <c r="I878" s="0" t="str">
        <f aca="false">IF('THÁNG 11'!$C135="","",N('THÁNG 11'!$I135))</f>
        <v/>
      </c>
      <c r="J878" s="0" t="str">
        <f aca="false">IF('THÁNG 11'!$C135="","",N('THÁNG 11'!$L135))</f>
        <v/>
      </c>
      <c r="K878" s="0" t="str">
        <f aca="false">IF('THÁNG 11'!$C135="","",N('THÁNG 11'!$N135))</f>
        <v/>
      </c>
      <c r="L878" s="0" t="str">
        <f aca="false">IF('THÁNG 11'!$C135="","",N('THÁNG 11'!$O135))</f>
        <v/>
      </c>
      <c r="M878" s="0" t="str">
        <f aca="false">IF('THÁNG 11'!$C135="","",N('THÁNG 11'!$P135))</f>
        <v/>
      </c>
      <c r="N878" s="0" t="str">
        <f aca="false">IF('THÁNG 11'!$C135="","",N('THÁNG 11'!$Q135))</f>
        <v/>
      </c>
      <c r="O878" s="0" t="str">
        <f aca="false">IF('THÁNG 11'!$C135="","",N('THÁNG 11'!$R135))</f>
        <v/>
      </c>
      <c r="P878" s="0" t="str">
        <f aca="false">IF(OR('THÁNG 11'!$C135="",'THÁNG 11'!$T135=""),"",'THÁNG 11'!$T135)</f>
        <v/>
      </c>
      <c r="Q878" s="0" t="str">
        <f aca="false">IF(OR('THÁNG 11'!$C135="",'THÁNG 11'!$U135=""),"",'THÁNG 11'!$U135)</f>
        <v/>
      </c>
      <c r="R878" s="0" t="str">
        <f aca="false">IF('THÁNG 11'!$C135="","",'THÁNG 11'!$W135&amp;"")</f>
        <v/>
      </c>
      <c r="S878" s="0" t="str">
        <f aca="false">IF('THÁNG 11'!$C135="","",'THÁNG 11'!$S135&amp;"")</f>
        <v/>
      </c>
      <c r="T878" s="0" t="str">
        <f aca="false">IF(N($O878)&gt;0,COUNTIF($O$3:$O878,"&gt;0"),"")</f>
        <v/>
      </c>
      <c r="U878" s="0" t="str">
        <f aca="false">IF(AND(N($J878)&gt;0,N($K878)&gt;0),COUNTIFS($J$3:$J878,"&gt;0",$K$3:$K878,"&gt;0"),"")</f>
        <v/>
      </c>
      <c r="V878" s="0" t="str">
        <f aca="false">IF(AND(N($J878)&gt;0,N($K878)=0),COUNTIFS($J$3:$J878,"&gt;0",$K$3:$K878,"&lt;=0"),"")</f>
        <v/>
      </c>
      <c r="W878" s="0" t="str">
        <f aca="false">IF($C878="","",IF(COUNTIF($C$3:$C878,$C878)&gt;1,"",MAX($W$2:W877)+1))</f>
        <v/>
      </c>
      <c r="X878" s="0" t="str">
        <f aca="false">IF($H878="","",IF(COUNTIF($H$3:$H878,$H878)&gt;1,"",MAX($X$2:X877)+1))</f>
        <v/>
      </c>
      <c r="Y878" s="0" t="str">
        <f aca="false">IF(AND(N($M878)&gt;0,N($O878)&lt;=0),COUNTIFS($M$3:$M878,"&gt;0",$O$3:$O878,"&lt;=0"),"")</f>
        <v/>
      </c>
      <c r="Z878" s="30" t="n">
        <f aca="false">IF(OR('THÁNG 11'!$C135="",'THÁNG 11'!$B135=""),0,'THÁNG 11'!$B135)</f>
        <v>0</v>
      </c>
    </row>
    <row r="879" customFormat="false" ht="15" hidden="false" customHeight="false" outlineLevel="0" collapsed="false">
      <c r="A879" s="0" t="n">
        <v>11</v>
      </c>
      <c r="B879" s="29" t="str">
        <f aca="false">IF(OR('THÁNG 11'!$C136="",'THÁNG 11'!$B136=""),"",'THÁNG 11'!$B136)</f>
        <v/>
      </c>
      <c r="C879" s="0" t="str">
        <f aca="false">IF('THÁNG 11'!$C136="","",'THÁNG 11'!$C136)</f>
        <v/>
      </c>
      <c r="D879" s="0" t="str">
        <f aca="false">IF('THÁNG 11'!$C136="","",'THÁNG 11'!$D136&amp;"")</f>
        <v/>
      </c>
      <c r="E879" s="0" t="str">
        <f aca="false">IF('THÁNG 11'!$C136="","",'THÁNG 11'!$E136&amp;"")</f>
        <v/>
      </c>
      <c r="F879" s="0" t="str">
        <f aca="false">IF('THÁNG 11'!$C136="","",'THÁNG 11'!$F136&amp;"")</f>
        <v/>
      </c>
      <c r="G879" s="0" t="str">
        <f aca="false">IF('THÁNG 11'!$C136="","",'THÁNG 11'!$G136&amp;"")</f>
        <v/>
      </c>
      <c r="H879" s="0" t="str">
        <f aca="false">IF('THÁNG 11'!$C136="","",'THÁNG 11'!$H136&amp;"")</f>
        <v/>
      </c>
      <c r="I879" s="0" t="str">
        <f aca="false">IF('THÁNG 11'!$C136="","",N('THÁNG 11'!$I136))</f>
        <v/>
      </c>
      <c r="J879" s="0" t="str">
        <f aca="false">IF('THÁNG 11'!$C136="","",N('THÁNG 11'!$L136))</f>
        <v/>
      </c>
      <c r="K879" s="0" t="str">
        <f aca="false">IF('THÁNG 11'!$C136="","",N('THÁNG 11'!$N136))</f>
        <v/>
      </c>
      <c r="L879" s="0" t="str">
        <f aca="false">IF('THÁNG 11'!$C136="","",N('THÁNG 11'!$O136))</f>
        <v/>
      </c>
      <c r="M879" s="0" t="str">
        <f aca="false">IF('THÁNG 11'!$C136="","",N('THÁNG 11'!$P136))</f>
        <v/>
      </c>
      <c r="N879" s="0" t="str">
        <f aca="false">IF('THÁNG 11'!$C136="","",N('THÁNG 11'!$Q136))</f>
        <v/>
      </c>
      <c r="O879" s="0" t="str">
        <f aca="false">IF('THÁNG 11'!$C136="","",N('THÁNG 11'!$R136))</f>
        <v/>
      </c>
      <c r="P879" s="0" t="str">
        <f aca="false">IF(OR('THÁNG 11'!$C136="",'THÁNG 11'!$T136=""),"",'THÁNG 11'!$T136)</f>
        <v/>
      </c>
      <c r="Q879" s="0" t="str">
        <f aca="false">IF(OR('THÁNG 11'!$C136="",'THÁNG 11'!$U136=""),"",'THÁNG 11'!$U136)</f>
        <v/>
      </c>
      <c r="R879" s="0" t="str">
        <f aca="false">IF('THÁNG 11'!$C136="","",'THÁNG 11'!$W136&amp;"")</f>
        <v/>
      </c>
      <c r="S879" s="0" t="str">
        <f aca="false">IF('THÁNG 11'!$C136="","",'THÁNG 11'!$S136&amp;"")</f>
        <v/>
      </c>
      <c r="T879" s="0" t="str">
        <f aca="false">IF(N($O879)&gt;0,COUNTIF($O$3:$O879,"&gt;0"),"")</f>
        <v/>
      </c>
      <c r="U879" s="0" t="str">
        <f aca="false">IF(AND(N($J879)&gt;0,N($K879)&gt;0),COUNTIFS($J$3:$J879,"&gt;0",$K$3:$K879,"&gt;0"),"")</f>
        <v/>
      </c>
      <c r="V879" s="0" t="str">
        <f aca="false">IF(AND(N($J879)&gt;0,N($K879)=0),COUNTIFS($J$3:$J879,"&gt;0",$K$3:$K879,"&lt;=0"),"")</f>
        <v/>
      </c>
      <c r="W879" s="0" t="str">
        <f aca="false">IF($C879="","",IF(COUNTIF($C$3:$C879,$C879)&gt;1,"",MAX($W$2:W878)+1))</f>
        <v/>
      </c>
      <c r="X879" s="0" t="str">
        <f aca="false">IF($H879="","",IF(COUNTIF($H$3:$H879,$H879)&gt;1,"",MAX($X$2:X878)+1))</f>
        <v/>
      </c>
      <c r="Y879" s="0" t="str">
        <f aca="false">IF(AND(N($M879)&gt;0,N($O879)&lt;=0),COUNTIFS($M$3:$M879,"&gt;0",$O$3:$O879,"&lt;=0"),"")</f>
        <v/>
      </c>
      <c r="Z879" s="30" t="n">
        <f aca="false">IF(OR('THÁNG 11'!$C136="",'THÁNG 11'!$B136=""),0,'THÁNG 11'!$B136)</f>
        <v>0</v>
      </c>
    </row>
    <row r="880" customFormat="false" ht="15" hidden="false" customHeight="false" outlineLevel="0" collapsed="false">
      <c r="A880" s="0" t="n">
        <v>11</v>
      </c>
      <c r="B880" s="29" t="str">
        <f aca="false">IF(OR('THÁNG 11'!$C137="",'THÁNG 11'!$B137=""),"",'THÁNG 11'!$B137)</f>
        <v/>
      </c>
      <c r="C880" s="0" t="str">
        <f aca="false">IF('THÁNG 11'!$C137="","",'THÁNG 11'!$C137)</f>
        <v/>
      </c>
      <c r="D880" s="0" t="str">
        <f aca="false">IF('THÁNG 11'!$C137="","",'THÁNG 11'!$D137&amp;"")</f>
        <v/>
      </c>
      <c r="E880" s="0" t="str">
        <f aca="false">IF('THÁNG 11'!$C137="","",'THÁNG 11'!$E137&amp;"")</f>
        <v/>
      </c>
      <c r="F880" s="0" t="str">
        <f aca="false">IF('THÁNG 11'!$C137="","",'THÁNG 11'!$F137&amp;"")</f>
        <v/>
      </c>
      <c r="G880" s="0" t="str">
        <f aca="false">IF('THÁNG 11'!$C137="","",'THÁNG 11'!$G137&amp;"")</f>
        <v/>
      </c>
      <c r="H880" s="0" t="str">
        <f aca="false">IF('THÁNG 11'!$C137="","",'THÁNG 11'!$H137&amp;"")</f>
        <v/>
      </c>
      <c r="I880" s="0" t="str">
        <f aca="false">IF('THÁNG 11'!$C137="","",N('THÁNG 11'!$I137))</f>
        <v/>
      </c>
      <c r="J880" s="0" t="str">
        <f aca="false">IF('THÁNG 11'!$C137="","",N('THÁNG 11'!$L137))</f>
        <v/>
      </c>
      <c r="K880" s="0" t="str">
        <f aca="false">IF('THÁNG 11'!$C137="","",N('THÁNG 11'!$N137))</f>
        <v/>
      </c>
      <c r="L880" s="0" t="str">
        <f aca="false">IF('THÁNG 11'!$C137="","",N('THÁNG 11'!$O137))</f>
        <v/>
      </c>
      <c r="M880" s="0" t="str">
        <f aca="false">IF('THÁNG 11'!$C137="","",N('THÁNG 11'!$P137))</f>
        <v/>
      </c>
      <c r="N880" s="0" t="str">
        <f aca="false">IF('THÁNG 11'!$C137="","",N('THÁNG 11'!$Q137))</f>
        <v/>
      </c>
      <c r="O880" s="0" t="str">
        <f aca="false">IF('THÁNG 11'!$C137="","",N('THÁNG 11'!$R137))</f>
        <v/>
      </c>
      <c r="P880" s="0" t="str">
        <f aca="false">IF(OR('THÁNG 11'!$C137="",'THÁNG 11'!$T137=""),"",'THÁNG 11'!$T137)</f>
        <v/>
      </c>
      <c r="Q880" s="0" t="str">
        <f aca="false">IF(OR('THÁNG 11'!$C137="",'THÁNG 11'!$U137=""),"",'THÁNG 11'!$U137)</f>
        <v/>
      </c>
      <c r="R880" s="0" t="str">
        <f aca="false">IF('THÁNG 11'!$C137="","",'THÁNG 11'!$W137&amp;"")</f>
        <v/>
      </c>
      <c r="S880" s="0" t="str">
        <f aca="false">IF('THÁNG 11'!$C137="","",'THÁNG 11'!$S137&amp;"")</f>
        <v/>
      </c>
      <c r="T880" s="0" t="str">
        <f aca="false">IF(N($O880)&gt;0,COUNTIF($O$3:$O880,"&gt;0"),"")</f>
        <v/>
      </c>
      <c r="U880" s="0" t="str">
        <f aca="false">IF(AND(N($J880)&gt;0,N($K880)&gt;0),COUNTIFS($J$3:$J880,"&gt;0",$K$3:$K880,"&gt;0"),"")</f>
        <v/>
      </c>
      <c r="V880" s="0" t="str">
        <f aca="false">IF(AND(N($J880)&gt;0,N($K880)=0),COUNTIFS($J$3:$J880,"&gt;0",$K$3:$K880,"&lt;=0"),"")</f>
        <v/>
      </c>
      <c r="W880" s="0" t="str">
        <f aca="false">IF($C880="","",IF(COUNTIF($C$3:$C880,$C880)&gt;1,"",MAX($W$2:W879)+1))</f>
        <v/>
      </c>
      <c r="X880" s="0" t="str">
        <f aca="false">IF($H880="","",IF(COUNTIF($H$3:$H880,$H880)&gt;1,"",MAX($X$2:X879)+1))</f>
        <v/>
      </c>
      <c r="Y880" s="0" t="str">
        <f aca="false">IF(AND(N($M880)&gt;0,N($O880)&lt;=0),COUNTIFS($M$3:$M880,"&gt;0",$O$3:$O880,"&lt;=0"),"")</f>
        <v/>
      </c>
      <c r="Z880" s="30" t="n">
        <f aca="false">IF(OR('THÁNG 11'!$C137="",'THÁNG 11'!$B137=""),0,'THÁNG 11'!$B137)</f>
        <v>0</v>
      </c>
    </row>
    <row r="881" customFormat="false" ht="15" hidden="false" customHeight="false" outlineLevel="0" collapsed="false">
      <c r="A881" s="0" t="n">
        <v>11</v>
      </c>
      <c r="B881" s="29" t="str">
        <f aca="false">IF(OR('THÁNG 11'!$C138="",'THÁNG 11'!$B138=""),"",'THÁNG 11'!$B138)</f>
        <v/>
      </c>
      <c r="C881" s="0" t="str">
        <f aca="false">IF('THÁNG 11'!$C138="","",'THÁNG 11'!$C138)</f>
        <v/>
      </c>
      <c r="D881" s="0" t="str">
        <f aca="false">IF('THÁNG 11'!$C138="","",'THÁNG 11'!$D138&amp;"")</f>
        <v/>
      </c>
      <c r="E881" s="0" t="str">
        <f aca="false">IF('THÁNG 11'!$C138="","",'THÁNG 11'!$E138&amp;"")</f>
        <v/>
      </c>
      <c r="F881" s="0" t="str">
        <f aca="false">IF('THÁNG 11'!$C138="","",'THÁNG 11'!$F138&amp;"")</f>
        <v/>
      </c>
      <c r="G881" s="0" t="str">
        <f aca="false">IF('THÁNG 11'!$C138="","",'THÁNG 11'!$G138&amp;"")</f>
        <v/>
      </c>
      <c r="H881" s="0" t="str">
        <f aca="false">IF('THÁNG 11'!$C138="","",'THÁNG 11'!$H138&amp;"")</f>
        <v/>
      </c>
      <c r="I881" s="0" t="str">
        <f aca="false">IF('THÁNG 11'!$C138="","",N('THÁNG 11'!$I138))</f>
        <v/>
      </c>
      <c r="J881" s="0" t="str">
        <f aca="false">IF('THÁNG 11'!$C138="","",N('THÁNG 11'!$L138))</f>
        <v/>
      </c>
      <c r="K881" s="0" t="str">
        <f aca="false">IF('THÁNG 11'!$C138="","",N('THÁNG 11'!$N138))</f>
        <v/>
      </c>
      <c r="L881" s="0" t="str">
        <f aca="false">IF('THÁNG 11'!$C138="","",N('THÁNG 11'!$O138))</f>
        <v/>
      </c>
      <c r="M881" s="0" t="str">
        <f aca="false">IF('THÁNG 11'!$C138="","",N('THÁNG 11'!$P138))</f>
        <v/>
      </c>
      <c r="N881" s="0" t="str">
        <f aca="false">IF('THÁNG 11'!$C138="","",N('THÁNG 11'!$Q138))</f>
        <v/>
      </c>
      <c r="O881" s="0" t="str">
        <f aca="false">IF('THÁNG 11'!$C138="","",N('THÁNG 11'!$R138))</f>
        <v/>
      </c>
      <c r="P881" s="0" t="str">
        <f aca="false">IF(OR('THÁNG 11'!$C138="",'THÁNG 11'!$T138=""),"",'THÁNG 11'!$T138)</f>
        <v/>
      </c>
      <c r="Q881" s="0" t="str">
        <f aca="false">IF(OR('THÁNG 11'!$C138="",'THÁNG 11'!$U138=""),"",'THÁNG 11'!$U138)</f>
        <v/>
      </c>
      <c r="R881" s="0" t="str">
        <f aca="false">IF('THÁNG 11'!$C138="","",'THÁNG 11'!$W138&amp;"")</f>
        <v/>
      </c>
      <c r="S881" s="0" t="str">
        <f aca="false">IF('THÁNG 11'!$C138="","",'THÁNG 11'!$S138&amp;"")</f>
        <v/>
      </c>
      <c r="T881" s="0" t="str">
        <f aca="false">IF(N($O881)&gt;0,COUNTIF($O$3:$O881,"&gt;0"),"")</f>
        <v/>
      </c>
      <c r="U881" s="0" t="str">
        <f aca="false">IF(AND(N($J881)&gt;0,N($K881)&gt;0),COUNTIFS($J$3:$J881,"&gt;0",$K$3:$K881,"&gt;0"),"")</f>
        <v/>
      </c>
      <c r="V881" s="0" t="str">
        <f aca="false">IF(AND(N($J881)&gt;0,N($K881)=0),COUNTIFS($J$3:$J881,"&gt;0",$K$3:$K881,"&lt;=0"),"")</f>
        <v/>
      </c>
      <c r="W881" s="0" t="str">
        <f aca="false">IF($C881="","",IF(COUNTIF($C$3:$C881,$C881)&gt;1,"",MAX($W$2:W880)+1))</f>
        <v/>
      </c>
      <c r="X881" s="0" t="str">
        <f aca="false">IF($H881="","",IF(COUNTIF($H$3:$H881,$H881)&gt;1,"",MAX($X$2:X880)+1))</f>
        <v/>
      </c>
      <c r="Y881" s="0" t="str">
        <f aca="false">IF(AND(N($M881)&gt;0,N($O881)&lt;=0),COUNTIFS($M$3:$M881,"&gt;0",$O$3:$O881,"&lt;=0"),"")</f>
        <v/>
      </c>
      <c r="Z881" s="30" t="n">
        <f aca="false">IF(OR('THÁNG 11'!$C138="",'THÁNG 11'!$B138=""),0,'THÁNG 11'!$B138)</f>
        <v>0</v>
      </c>
    </row>
    <row r="882" customFormat="false" ht="15" hidden="false" customHeight="false" outlineLevel="0" collapsed="false">
      <c r="A882" s="0" t="n">
        <v>11</v>
      </c>
      <c r="B882" s="29" t="str">
        <f aca="false">IF(OR('THÁNG 11'!$C139="",'THÁNG 11'!$B139=""),"",'THÁNG 11'!$B139)</f>
        <v/>
      </c>
      <c r="C882" s="0" t="str">
        <f aca="false">IF('THÁNG 11'!$C139="","",'THÁNG 11'!$C139)</f>
        <v/>
      </c>
      <c r="D882" s="0" t="str">
        <f aca="false">IF('THÁNG 11'!$C139="","",'THÁNG 11'!$D139&amp;"")</f>
        <v/>
      </c>
      <c r="E882" s="0" t="str">
        <f aca="false">IF('THÁNG 11'!$C139="","",'THÁNG 11'!$E139&amp;"")</f>
        <v/>
      </c>
      <c r="F882" s="0" t="str">
        <f aca="false">IF('THÁNG 11'!$C139="","",'THÁNG 11'!$F139&amp;"")</f>
        <v/>
      </c>
      <c r="G882" s="0" t="str">
        <f aca="false">IF('THÁNG 11'!$C139="","",'THÁNG 11'!$G139&amp;"")</f>
        <v/>
      </c>
      <c r="H882" s="0" t="str">
        <f aca="false">IF('THÁNG 11'!$C139="","",'THÁNG 11'!$H139&amp;"")</f>
        <v/>
      </c>
      <c r="I882" s="0" t="str">
        <f aca="false">IF('THÁNG 11'!$C139="","",N('THÁNG 11'!$I139))</f>
        <v/>
      </c>
      <c r="J882" s="0" t="str">
        <f aca="false">IF('THÁNG 11'!$C139="","",N('THÁNG 11'!$L139))</f>
        <v/>
      </c>
      <c r="K882" s="0" t="str">
        <f aca="false">IF('THÁNG 11'!$C139="","",N('THÁNG 11'!$N139))</f>
        <v/>
      </c>
      <c r="L882" s="0" t="str">
        <f aca="false">IF('THÁNG 11'!$C139="","",N('THÁNG 11'!$O139))</f>
        <v/>
      </c>
      <c r="M882" s="0" t="str">
        <f aca="false">IF('THÁNG 11'!$C139="","",N('THÁNG 11'!$P139))</f>
        <v/>
      </c>
      <c r="N882" s="0" t="str">
        <f aca="false">IF('THÁNG 11'!$C139="","",N('THÁNG 11'!$Q139))</f>
        <v/>
      </c>
      <c r="O882" s="0" t="str">
        <f aca="false">IF('THÁNG 11'!$C139="","",N('THÁNG 11'!$R139))</f>
        <v/>
      </c>
      <c r="P882" s="0" t="str">
        <f aca="false">IF(OR('THÁNG 11'!$C139="",'THÁNG 11'!$T139=""),"",'THÁNG 11'!$T139)</f>
        <v/>
      </c>
      <c r="Q882" s="0" t="str">
        <f aca="false">IF(OR('THÁNG 11'!$C139="",'THÁNG 11'!$U139=""),"",'THÁNG 11'!$U139)</f>
        <v/>
      </c>
      <c r="R882" s="0" t="str">
        <f aca="false">IF('THÁNG 11'!$C139="","",'THÁNG 11'!$W139&amp;"")</f>
        <v/>
      </c>
      <c r="S882" s="0" t="str">
        <f aca="false">IF('THÁNG 11'!$C139="","",'THÁNG 11'!$S139&amp;"")</f>
        <v/>
      </c>
      <c r="T882" s="0" t="str">
        <f aca="false">IF(N($O882)&gt;0,COUNTIF($O$3:$O882,"&gt;0"),"")</f>
        <v/>
      </c>
      <c r="U882" s="0" t="str">
        <f aca="false">IF(AND(N($J882)&gt;0,N($K882)&gt;0),COUNTIFS($J$3:$J882,"&gt;0",$K$3:$K882,"&gt;0"),"")</f>
        <v/>
      </c>
      <c r="V882" s="0" t="str">
        <f aca="false">IF(AND(N($J882)&gt;0,N($K882)=0),COUNTIFS($J$3:$J882,"&gt;0",$K$3:$K882,"&lt;=0"),"")</f>
        <v/>
      </c>
      <c r="W882" s="0" t="str">
        <f aca="false">IF($C882="","",IF(COUNTIF($C$3:$C882,$C882)&gt;1,"",MAX($W$2:W881)+1))</f>
        <v/>
      </c>
      <c r="X882" s="0" t="str">
        <f aca="false">IF($H882="","",IF(COUNTIF($H$3:$H882,$H882)&gt;1,"",MAX($X$2:X881)+1))</f>
        <v/>
      </c>
      <c r="Y882" s="0" t="str">
        <f aca="false">IF(AND(N($M882)&gt;0,N($O882)&lt;=0),COUNTIFS($M$3:$M882,"&gt;0",$O$3:$O882,"&lt;=0"),"")</f>
        <v/>
      </c>
      <c r="Z882" s="30" t="n">
        <f aca="false">IF(OR('THÁNG 11'!$C139="",'THÁNG 11'!$B139=""),0,'THÁNG 11'!$B139)</f>
        <v>0</v>
      </c>
    </row>
    <row r="883" customFormat="false" ht="15" hidden="false" customHeight="false" outlineLevel="0" collapsed="false">
      <c r="A883" s="0" t="n">
        <v>11</v>
      </c>
      <c r="B883" s="29" t="str">
        <f aca="false">IF(OR('THÁNG 11'!$C140="",'THÁNG 11'!$B140=""),"",'THÁNG 11'!$B140)</f>
        <v/>
      </c>
      <c r="C883" s="0" t="str">
        <f aca="false">IF('THÁNG 11'!$C140="","",'THÁNG 11'!$C140)</f>
        <v/>
      </c>
      <c r="D883" s="0" t="str">
        <f aca="false">IF('THÁNG 11'!$C140="","",'THÁNG 11'!$D140&amp;"")</f>
        <v/>
      </c>
      <c r="E883" s="0" t="str">
        <f aca="false">IF('THÁNG 11'!$C140="","",'THÁNG 11'!$E140&amp;"")</f>
        <v/>
      </c>
      <c r="F883" s="0" t="str">
        <f aca="false">IF('THÁNG 11'!$C140="","",'THÁNG 11'!$F140&amp;"")</f>
        <v/>
      </c>
      <c r="G883" s="0" t="str">
        <f aca="false">IF('THÁNG 11'!$C140="","",'THÁNG 11'!$G140&amp;"")</f>
        <v/>
      </c>
      <c r="H883" s="0" t="str">
        <f aca="false">IF('THÁNG 11'!$C140="","",'THÁNG 11'!$H140&amp;"")</f>
        <v/>
      </c>
      <c r="I883" s="0" t="str">
        <f aca="false">IF('THÁNG 11'!$C140="","",N('THÁNG 11'!$I140))</f>
        <v/>
      </c>
      <c r="J883" s="0" t="str">
        <f aca="false">IF('THÁNG 11'!$C140="","",N('THÁNG 11'!$L140))</f>
        <v/>
      </c>
      <c r="K883" s="0" t="str">
        <f aca="false">IF('THÁNG 11'!$C140="","",N('THÁNG 11'!$N140))</f>
        <v/>
      </c>
      <c r="L883" s="0" t="str">
        <f aca="false">IF('THÁNG 11'!$C140="","",N('THÁNG 11'!$O140))</f>
        <v/>
      </c>
      <c r="M883" s="0" t="str">
        <f aca="false">IF('THÁNG 11'!$C140="","",N('THÁNG 11'!$P140))</f>
        <v/>
      </c>
      <c r="N883" s="0" t="str">
        <f aca="false">IF('THÁNG 11'!$C140="","",N('THÁNG 11'!$Q140))</f>
        <v/>
      </c>
      <c r="O883" s="0" t="str">
        <f aca="false">IF('THÁNG 11'!$C140="","",N('THÁNG 11'!$R140))</f>
        <v/>
      </c>
      <c r="P883" s="0" t="str">
        <f aca="false">IF(OR('THÁNG 11'!$C140="",'THÁNG 11'!$T140=""),"",'THÁNG 11'!$T140)</f>
        <v/>
      </c>
      <c r="Q883" s="0" t="str">
        <f aca="false">IF(OR('THÁNG 11'!$C140="",'THÁNG 11'!$U140=""),"",'THÁNG 11'!$U140)</f>
        <v/>
      </c>
      <c r="R883" s="0" t="str">
        <f aca="false">IF('THÁNG 11'!$C140="","",'THÁNG 11'!$W140&amp;"")</f>
        <v/>
      </c>
      <c r="S883" s="0" t="str">
        <f aca="false">IF('THÁNG 11'!$C140="","",'THÁNG 11'!$S140&amp;"")</f>
        <v/>
      </c>
      <c r="T883" s="0" t="str">
        <f aca="false">IF(N($O883)&gt;0,COUNTIF($O$3:$O883,"&gt;0"),"")</f>
        <v/>
      </c>
      <c r="U883" s="0" t="str">
        <f aca="false">IF(AND(N($J883)&gt;0,N($K883)&gt;0),COUNTIFS($J$3:$J883,"&gt;0",$K$3:$K883,"&gt;0"),"")</f>
        <v/>
      </c>
      <c r="V883" s="0" t="str">
        <f aca="false">IF(AND(N($J883)&gt;0,N($K883)=0),COUNTIFS($J$3:$J883,"&gt;0",$K$3:$K883,"&lt;=0"),"")</f>
        <v/>
      </c>
      <c r="W883" s="0" t="str">
        <f aca="false">IF($C883="","",IF(COUNTIF($C$3:$C883,$C883)&gt;1,"",MAX($W$2:W882)+1))</f>
        <v/>
      </c>
      <c r="X883" s="0" t="str">
        <f aca="false">IF($H883="","",IF(COUNTIF($H$3:$H883,$H883)&gt;1,"",MAX($X$2:X882)+1))</f>
        <v/>
      </c>
      <c r="Y883" s="0" t="str">
        <f aca="false">IF(AND(N($M883)&gt;0,N($O883)&lt;=0),COUNTIFS($M$3:$M883,"&gt;0",$O$3:$O883,"&lt;=0"),"")</f>
        <v/>
      </c>
      <c r="Z883" s="30" t="n">
        <f aca="false">IF(OR('THÁNG 11'!$C140="",'THÁNG 11'!$B140=""),0,'THÁNG 11'!$B140)</f>
        <v>0</v>
      </c>
    </row>
    <row r="884" customFormat="false" ht="15" hidden="false" customHeight="false" outlineLevel="0" collapsed="false">
      <c r="A884" s="0" t="n">
        <v>11</v>
      </c>
      <c r="B884" s="29" t="str">
        <f aca="false">IF(OR('THÁNG 11'!$C141="",'THÁNG 11'!$B141=""),"",'THÁNG 11'!$B141)</f>
        <v/>
      </c>
      <c r="C884" s="0" t="str">
        <f aca="false">IF('THÁNG 11'!$C141="","",'THÁNG 11'!$C141)</f>
        <v/>
      </c>
      <c r="D884" s="0" t="str">
        <f aca="false">IF('THÁNG 11'!$C141="","",'THÁNG 11'!$D141&amp;"")</f>
        <v/>
      </c>
      <c r="E884" s="0" t="str">
        <f aca="false">IF('THÁNG 11'!$C141="","",'THÁNG 11'!$E141&amp;"")</f>
        <v/>
      </c>
      <c r="F884" s="0" t="str">
        <f aca="false">IF('THÁNG 11'!$C141="","",'THÁNG 11'!$F141&amp;"")</f>
        <v/>
      </c>
      <c r="G884" s="0" t="str">
        <f aca="false">IF('THÁNG 11'!$C141="","",'THÁNG 11'!$G141&amp;"")</f>
        <v/>
      </c>
      <c r="H884" s="0" t="str">
        <f aca="false">IF('THÁNG 11'!$C141="","",'THÁNG 11'!$H141&amp;"")</f>
        <v/>
      </c>
      <c r="I884" s="0" t="str">
        <f aca="false">IF('THÁNG 11'!$C141="","",N('THÁNG 11'!$I141))</f>
        <v/>
      </c>
      <c r="J884" s="0" t="str">
        <f aca="false">IF('THÁNG 11'!$C141="","",N('THÁNG 11'!$L141))</f>
        <v/>
      </c>
      <c r="K884" s="0" t="str">
        <f aca="false">IF('THÁNG 11'!$C141="","",N('THÁNG 11'!$N141))</f>
        <v/>
      </c>
      <c r="L884" s="0" t="str">
        <f aca="false">IF('THÁNG 11'!$C141="","",N('THÁNG 11'!$O141))</f>
        <v/>
      </c>
      <c r="M884" s="0" t="str">
        <f aca="false">IF('THÁNG 11'!$C141="","",N('THÁNG 11'!$P141))</f>
        <v/>
      </c>
      <c r="N884" s="0" t="str">
        <f aca="false">IF('THÁNG 11'!$C141="","",N('THÁNG 11'!$Q141))</f>
        <v/>
      </c>
      <c r="O884" s="0" t="str">
        <f aca="false">IF('THÁNG 11'!$C141="","",N('THÁNG 11'!$R141))</f>
        <v/>
      </c>
      <c r="P884" s="0" t="str">
        <f aca="false">IF(OR('THÁNG 11'!$C141="",'THÁNG 11'!$T141=""),"",'THÁNG 11'!$T141)</f>
        <v/>
      </c>
      <c r="Q884" s="0" t="str">
        <f aca="false">IF(OR('THÁNG 11'!$C141="",'THÁNG 11'!$U141=""),"",'THÁNG 11'!$U141)</f>
        <v/>
      </c>
      <c r="R884" s="0" t="str">
        <f aca="false">IF('THÁNG 11'!$C141="","",'THÁNG 11'!$W141&amp;"")</f>
        <v/>
      </c>
      <c r="S884" s="0" t="str">
        <f aca="false">IF('THÁNG 11'!$C141="","",'THÁNG 11'!$S141&amp;"")</f>
        <v/>
      </c>
      <c r="T884" s="0" t="str">
        <f aca="false">IF(N($O884)&gt;0,COUNTIF($O$3:$O884,"&gt;0"),"")</f>
        <v/>
      </c>
      <c r="U884" s="0" t="str">
        <f aca="false">IF(AND(N($J884)&gt;0,N($K884)&gt;0),COUNTIFS($J$3:$J884,"&gt;0",$K$3:$K884,"&gt;0"),"")</f>
        <v/>
      </c>
      <c r="V884" s="0" t="str">
        <f aca="false">IF(AND(N($J884)&gt;0,N($K884)=0),COUNTIFS($J$3:$J884,"&gt;0",$K$3:$K884,"&lt;=0"),"")</f>
        <v/>
      </c>
      <c r="W884" s="0" t="str">
        <f aca="false">IF($C884="","",IF(COUNTIF($C$3:$C884,$C884)&gt;1,"",MAX($W$2:W883)+1))</f>
        <v/>
      </c>
      <c r="X884" s="0" t="str">
        <f aca="false">IF($H884="","",IF(COUNTIF($H$3:$H884,$H884)&gt;1,"",MAX($X$2:X883)+1))</f>
        <v/>
      </c>
      <c r="Y884" s="0" t="str">
        <f aca="false">IF(AND(N($M884)&gt;0,N($O884)&lt;=0),COUNTIFS($M$3:$M884,"&gt;0",$O$3:$O884,"&lt;=0"),"")</f>
        <v/>
      </c>
      <c r="Z884" s="30" t="n">
        <f aca="false">IF(OR('THÁNG 11'!$C141="",'THÁNG 11'!$B141=""),0,'THÁNG 11'!$B141)</f>
        <v>0</v>
      </c>
    </row>
    <row r="885" customFormat="false" ht="15" hidden="false" customHeight="false" outlineLevel="0" collapsed="false">
      <c r="A885" s="0" t="n">
        <v>11</v>
      </c>
      <c r="B885" s="29" t="str">
        <f aca="false">IF(OR('THÁNG 11'!$C142="",'THÁNG 11'!$B142=""),"",'THÁNG 11'!$B142)</f>
        <v/>
      </c>
      <c r="C885" s="0" t="str">
        <f aca="false">IF('THÁNG 11'!$C142="","",'THÁNG 11'!$C142)</f>
        <v/>
      </c>
      <c r="D885" s="0" t="str">
        <f aca="false">IF('THÁNG 11'!$C142="","",'THÁNG 11'!$D142&amp;"")</f>
        <v/>
      </c>
      <c r="E885" s="0" t="str">
        <f aca="false">IF('THÁNG 11'!$C142="","",'THÁNG 11'!$E142&amp;"")</f>
        <v/>
      </c>
      <c r="F885" s="0" t="str">
        <f aca="false">IF('THÁNG 11'!$C142="","",'THÁNG 11'!$F142&amp;"")</f>
        <v/>
      </c>
      <c r="G885" s="0" t="str">
        <f aca="false">IF('THÁNG 11'!$C142="","",'THÁNG 11'!$G142&amp;"")</f>
        <v/>
      </c>
      <c r="H885" s="0" t="str">
        <f aca="false">IF('THÁNG 11'!$C142="","",'THÁNG 11'!$H142&amp;"")</f>
        <v/>
      </c>
      <c r="I885" s="0" t="str">
        <f aca="false">IF('THÁNG 11'!$C142="","",N('THÁNG 11'!$I142))</f>
        <v/>
      </c>
      <c r="J885" s="0" t="str">
        <f aca="false">IF('THÁNG 11'!$C142="","",N('THÁNG 11'!$L142))</f>
        <v/>
      </c>
      <c r="K885" s="0" t="str">
        <f aca="false">IF('THÁNG 11'!$C142="","",N('THÁNG 11'!$N142))</f>
        <v/>
      </c>
      <c r="L885" s="0" t="str">
        <f aca="false">IF('THÁNG 11'!$C142="","",N('THÁNG 11'!$O142))</f>
        <v/>
      </c>
      <c r="M885" s="0" t="str">
        <f aca="false">IF('THÁNG 11'!$C142="","",N('THÁNG 11'!$P142))</f>
        <v/>
      </c>
      <c r="N885" s="0" t="str">
        <f aca="false">IF('THÁNG 11'!$C142="","",N('THÁNG 11'!$Q142))</f>
        <v/>
      </c>
      <c r="O885" s="0" t="str">
        <f aca="false">IF('THÁNG 11'!$C142="","",N('THÁNG 11'!$R142))</f>
        <v/>
      </c>
      <c r="P885" s="0" t="str">
        <f aca="false">IF(OR('THÁNG 11'!$C142="",'THÁNG 11'!$T142=""),"",'THÁNG 11'!$T142)</f>
        <v/>
      </c>
      <c r="Q885" s="0" t="str">
        <f aca="false">IF(OR('THÁNG 11'!$C142="",'THÁNG 11'!$U142=""),"",'THÁNG 11'!$U142)</f>
        <v/>
      </c>
      <c r="R885" s="0" t="str">
        <f aca="false">IF('THÁNG 11'!$C142="","",'THÁNG 11'!$W142&amp;"")</f>
        <v/>
      </c>
      <c r="S885" s="0" t="str">
        <f aca="false">IF('THÁNG 11'!$C142="","",'THÁNG 11'!$S142&amp;"")</f>
        <v/>
      </c>
      <c r="T885" s="0" t="str">
        <f aca="false">IF(N($O885)&gt;0,COUNTIF($O$3:$O885,"&gt;0"),"")</f>
        <v/>
      </c>
      <c r="U885" s="0" t="str">
        <f aca="false">IF(AND(N($J885)&gt;0,N($K885)&gt;0),COUNTIFS($J$3:$J885,"&gt;0",$K$3:$K885,"&gt;0"),"")</f>
        <v/>
      </c>
      <c r="V885" s="0" t="str">
        <f aca="false">IF(AND(N($J885)&gt;0,N($K885)=0),COUNTIFS($J$3:$J885,"&gt;0",$K$3:$K885,"&lt;=0"),"")</f>
        <v/>
      </c>
      <c r="W885" s="0" t="str">
        <f aca="false">IF($C885="","",IF(COUNTIF($C$3:$C885,$C885)&gt;1,"",MAX($W$2:W884)+1))</f>
        <v/>
      </c>
      <c r="X885" s="0" t="str">
        <f aca="false">IF($H885="","",IF(COUNTIF($H$3:$H885,$H885)&gt;1,"",MAX($X$2:X884)+1))</f>
        <v/>
      </c>
      <c r="Y885" s="0" t="str">
        <f aca="false">IF(AND(N($M885)&gt;0,N($O885)&lt;=0),COUNTIFS($M$3:$M885,"&gt;0",$O$3:$O885,"&lt;=0"),"")</f>
        <v/>
      </c>
      <c r="Z885" s="30" t="n">
        <f aca="false">IF(OR('THÁNG 11'!$C142="",'THÁNG 11'!$B142=""),0,'THÁNG 11'!$B142)</f>
        <v>0</v>
      </c>
    </row>
    <row r="886" customFormat="false" ht="15" hidden="false" customHeight="false" outlineLevel="0" collapsed="false">
      <c r="A886" s="0" t="n">
        <v>11</v>
      </c>
      <c r="B886" s="29" t="str">
        <f aca="false">IF(OR('THÁNG 11'!$C143="",'THÁNG 11'!$B143=""),"",'THÁNG 11'!$B143)</f>
        <v/>
      </c>
      <c r="C886" s="0" t="str">
        <f aca="false">IF('THÁNG 11'!$C143="","",'THÁNG 11'!$C143)</f>
        <v/>
      </c>
      <c r="D886" s="0" t="str">
        <f aca="false">IF('THÁNG 11'!$C143="","",'THÁNG 11'!$D143&amp;"")</f>
        <v/>
      </c>
      <c r="E886" s="0" t="str">
        <f aca="false">IF('THÁNG 11'!$C143="","",'THÁNG 11'!$E143&amp;"")</f>
        <v/>
      </c>
      <c r="F886" s="0" t="str">
        <f aca="false">IF('THÁNG 11'!$C143="","",'THÁNG 11'!$F143&amp;"")</f>
        <v/>
      </c>
      <c r="G886" s="0" t="str">
        <f aca="false">IF('THÁNG 11'!$C143="","",'THÁNG 11'!$G143&amp;"")</f>
        <v/>
      </c>
      <c r="H886" s="0" t="str">
        <f aca="false">IF('THÁNG 11'!$C143="","",'THÁNG 11'!$H143&amp;"")</f>
        <v/>
      </c>
      <c r="I886" s="0" t="str">
        <f aca="false">IF('THÁNG 11'!$C143="","",N('THÁNG 11'!$I143))</f>
        <v/>
      </c>
      <c r="J886" s="0" t="str">
        <f aca="false">IF('THÁNG 11'!$C143="","",N('THÁNG 11'!$L143))</f>
        <v/>
      </c>
      <c r="K886" s="0" t="str">
        <f aca="false">IF('THÁNG 11'!$C143="","",N('THÁNG 11'!$N143))</f>
        <v/>
      </c>
      <c r="L886" s="0" t="str">
        <f aca="false">IF('THÁNG 11'!$C143="","",N('THÁNG 11'!$O143))</f>
        <v/>
      </c>
      <c r="M886" s="0" t="str">
        <f aca="false">IF('THÁNG 11'!$C143="","",N('THÁNG 11'!$P143))</f>
        <v/>
      </c>
      <c r="N886" s="0" t="str">
        <f aca="false">IF('THÁNG 11'!$C143="","",N('THÁNG 11'!$Q143))</f>
        <v/>
      </c>
      <c r="O886" s="0" t="str">
        <f aca="false">IF('THÁNG 11'!$C143="","",N('THÁNG 11'!$R143))</f>
        <v/>
      </c>
      <c r="P886" s="0" t="str">
        <f aca="false">IF(OR('THÁNG 11'!$C143="",'THÁNG 11'!$T143=""),"",'THÁNG 11'!$T143)</f>
        <v/>
      </c>
      <c r="Q886" s="0" t="str">
        <f aca="false">IF(OR('THÁNG 11'!$C143="",'THÁNG 11'!$U143=""),"",'THÁNG 11'!$U143)</f>
        <v/>
      </c>
      <c r="R886" s="0" t="str">
        <f aca="false">IF('THÁNG 11'!$C143="","",'THÁNG 11'!$W143&amp;"")</f>
        <v/>
      </c>
      <c r="S886" s="0" t="str">
        <f aca="false">IF('THÁNG 11'!$C143="","",'THÁNG 11'!$S143&amp;"")</f>
        <v/>
      </c>
      <c r="T886" s="0" t="str">
        <f aca="false">IF(N($O886)&gt;0,COUNTIF($O$3:$O886,"&gt;0"),"")</f>
        <v/>
      </c>
      <c r="U886" s="0" t="str">
        <f aca="false">IF(AND(N($J886)&gt;0,N($K886)&gt;0),COUNTIFS($J$3:$J886,"&gt;0",$K$3:$K886,"&gt;0"),"")</f>
        <v/>
      </c>
      <c r="V886" s="0" t="str">
        <f aca="false">IF(AND(N($J886)&gt;0,N($K886)=0),COUNTIFS($J$3:$J886,"&gt;0",$K$3:$K886,"&lt;=0"),"")</f>
        <v/>
      </c>
      <c r="W886" s="0" t="str">
        <f aca="false">IF($C886="","",IF(COUNTIF($C$3:$C886,$C886)&gt;1,"",MAX($W$2:W885)+1))</f>
        <v/>
      </c>
      <c r="X886" s="0" t="str">
        <f aca="false">IF($H886="","",IF(COUNTIF($H$3:$H886,$H886)&gt;1,"",MAX($X$2:X885)+1))</f>
        <v/>
      </c>
      <c r="Y886" s="0" t="str">
        <f aca="false">IF(AND(N($M886)&gt;0,N($O886)&lt;=0),COUNTIFS($M$3:$M886,"&gt;0",$O$3:$O886,"&lt;=0"),"")</f>
        <v/>
      </c>
      <c r="Z886" s="30" t="n">
        <f aca="false">IF(OR('THÁNG 11'!$C143="",'THÁNG 11'!$B143=""),0,'THÁNG 11'!$B143)</f>
        <v>0</v>
      </c>
    </row>
    <row r="887" customFormat="false" ht="15" hidden="false" customHeight="false" outlineLevel="0" collapsed="false">
      <c r="A887" s="0" t="n">
        <v>11</v>
      </c>
      <c r="B887" s="29" t="str">
        <f aca="false">IF(OR('THÁNG 11'!$C144="",'THÁNG 11'!$B144=""),"",'THÁNG 11'!$B144)</f>
        <v/>
      </c>
      <c r="C887" s="0" t="str">
        <f aca="false">IF('THÁNG 11'!$C144="","",'THÁNG 11'!$C144)</f>
        <v/>
      </c>
      <c r="D887" s="0" t="str">
        <f aca="false">IF('THÁNG 11'!$C144="","",'THÁNG 11'!$D144&amp;"")</f>
        <v/>
      </c>
      <c r="E887" s="0" t="str">
        <f aca="false">IF('THÁNG 11'!$C144="","",'THÁNG 11'!$E144&amp;"")</f>
        <v/>
      </c>
      <c r="F887" s="0" t="str">
        <f aca="false">IF('THÁNG 11'!$C144="","",'THÁNG 11'!$F144&amp;"")</f>
        <v/>
      </c>
      <c r="G887" s="0" t="str">
        <f aca="false">IF('THÁNG 11'!$C144="","",'THÁNG 11'!$G144&amp;"")</f>
        <v/>
      </c>
      <c r="H887" s="0" t="str">
        <f aca="false">IF('THÁNG 11'!$C144="","",'THÁNG 11'!$H144&amp;"")</f>
        <v/>
      </c>
      <c r="I887" s="0" t="str">
        <f aca="false">IF('THÁNG 11'!$C144="","",N('THÁNG 11'!$I144))</f>
        <v/>
      </c>
      <c r="J887" s="0" t="str">
        <f aca="false">IF('THÁNG 11'!$C144="","",N('THÁNG 11'!$L144))</f>
        <v/>
      </c>
      <c r="K887" s="0" t="str">
        <f aca="false">IF('THÁNG 11'!$C144="","",N('THÁNG 11'!$N144))</f>
        <v/>
      </c>
      <c r="L887" s="0" t="str">
        <f aca="false">IF('THÁNG 11'!$C144="","",N('THÁNG 11'!$O144))</f>
        <v/>
      </c>
      <c r="M887" s="0" t="str">
        <f aca="false">IF('THÁNG 11'!$C144="","",N('THÁNG 11'!$P144))</f>
        <v/>
      </c>
      <c r="N887" s="0" t="str">
        <f aca="false">IF('THÁNG 11'!$C144="","",N('THÁNG 11'!$Q144))</f>
        <v/>
      </c>
      <c r="O887" s="0" t="str">
        <f aca="false">IF('THÁNG 11'!$C144="","",N('THÁNG 11'!$R144))</f>
        <v/>
      </c>
      <c r="P887" s="0" t="str">
        <f aca="false">IF(OR('THÁNG 11'!$C144="",'THÁNG 11'!$T144=""),"",'THÁNG 11'!$T144)</f>
        <v/>
      </c>
      <c r="Q887" s="0" t="str">
        <f aca="false">IF(OR('THÁNG 11'!$C144="",'THÁNG 11'!$U144=""),"",'THÁNG 11'!$U144)</f>
        <v/>
      </c>
      <c r="R887" s="0" t="str">
        <f aca="false">IF('THÁNG 11'!$C144="","",'THÁNG 11'!$W144&amp;"")</f>
        <v/>
      </c>
      <c r="S887" s="0" t="str">
        <f aca="false">IF('THÁNG 11'!$C144="","",'THÁNG 11'!$S144&amp;"")</f>
        <v/>
      </c>
      <c r="T887" s="0" t="str">
        <f aca="false">IF(N($O887)&gt;0,COUNTIF($O$3:$O887,"&gt;0"),"")</f>
        <v/>
      </c>
      <c r="U887" s="0" t="str">
        <f aca="false">IF(AND(N($J887)&gt;0,N($K887)&gt;0),COUNTIFS($J$3:$J887,"&gt;0",$K$3:$K887,"&gt;0"),"")</f>
        <v/>
      </c>
      <c r="V887" s="0" t="str">
        <f aca="false">IF(AND(N($J887)&gt;0,N($K887)=0),COUNTIFS($J$3:$J887,"&gt;0",$K$3:$K887,"&lt;=0"),"")</f>
        <v/>
      </c>
      <c r="W887" s="0" t="str">
        <f aca="false">IF($C887="","",IF(COUNTIF($C$3:$C887,$C887)&gt;1,"",MAX($W$2:W886)+1))</f>
        <v/>
      </c>
      <c r="X887" s="0" t="str">
        <f aca="false">IF($H887="","",IF(COUNTIF($H$3:$H887,$H887)&gt;1,"",MAX($X$2:X886)+1))</f>
        <v/>
      </c>
      <c r="Y887" s="0" t="str">
        <f aca="false">IF(AND(N($M887)&gt;0,N($O887)&lt;=0),COUNTIFS($M$3:$M887,"&gt;0",$O$3:$O887,"&lt;=0"),"")</f>
        <v/>
      </c>
      <c r="Z887" s="30" t="n">
        <f aca="false">IF(OR('THÁNG 11'!$C144="",'THÁNG 11'!$B144=""),0,'THÁNG 11'!$B144)</f>
        <v>0</v>
      </c>
    </row>
    <row r="888" customFormat="false" ht="15" hidden="false" customHeight="false" outlineLevel="0" collapsed="false">
      <c r="A888" s="0" t="n">
        <v>11</v>
      </c>
      <c r="B888" s="29" t="str">
        <f aca="false">IF(OR('THÁNG 11'!$C145="",'THÁNG 11'!$B145=""),"",'THÁNG 11'!$B145)</f>
        <v/>
      </c>
      <c r="C888" s="0" t="str">
        <f aca="false">IF('THÁNG 11'!$C145="","",'THÁNG 11'!$C145)</f>
        <v/>
      </c>
      <c r="D888" s="0" t="str">
        <f aca="false">IF('THÁNG 11'!$C145="","",'THÁNG 11'!$D145&amp;"")</f>
        <v/>
      </c>
      <c r="E888" s="0" t="str">
        <f aca="false">IF('THÁNG 11'!$C145="","",'THÁNG 11'!$E145&amp;"")</f>
        <v/>
      </c>
      <c r="F888" s="0" t="str">
        <f aca="false">IF('THÁNG 11'!$C145="","",'THÁNG 11'!$F145&amp;"")</f>
        <v/>
      </c>
      <c r="G888" s="0" t="str">
        <f aca="false">IF('THÁNG 11'!$C145="","",'THÁNG 11'!$G145&amp;"")</f>
        <v/>
      </c>
      <c r="H888" s="0" t="str">
        <f aca="false">IF('THÁNG 11'!$C145="","",'THÁNG 11'!$H145&amp;"")</f>
        <v/>
      </c>
      <c r="I888" s="0" t="str">
        <f aca="false">IF('THÁNG 11'!$C145="","",N('THÁNG 11'!$I145))</f>
        <v/>
      </c>
      <c r="J888" s="0" t="str">
        <f aca="false">IF('THÁNG 11'!$C145="","",N('THÁNG 11'!$L145))</f>
        <v/>
      </c>
      <c r="K888" s="0" t="str">
        <f aca="false">IF('THÁNG 11'!$C145="","",N('THÁNG 11'!$N145))</f>
        <v/>
      </c>
      <c r="L888" s="0" t="str">
        <f aca="false">IF('THÁNG 11'!$C145="","",N('THÁNG 11'!$O145))</f>
        <v/>
      </c>
      <c r="M888" s="0" t="str">
        <f aca="false">IF('THÁNG 11'!$C145="","",N('THÁNG 11'!$P145))</f>
        <v/>
      </c>
      <c r="N888" s="0" t="str">
        <f aca="false">IF('THÁNG 11'!$C145="","",N('THÁNG 11'!$Q145))</f>
        <v/>
      </c>
      <c r="O888" s="0" t="str">
        <f aca="false">IF('THÁNG 11'!$C145="","",N('THÁNG 11'!$R145))</f>
        <v/>
      </c>
      <c r="P888" s="0" t="str">
        <f aca="false">IF(OR('THÁNG 11'!$C145="",'THÁNG 11'!$T145=""),"",'THÁNG 11'!$T145)</f>
        <v/>
      </c>
      <c r="Q888" s="0" t="str">
        <f aca="false">IF(OR('THÁNG 11'!$C145="",'THÁNG 11'!$U145=""),"",'THÁNG 11'!$U145)</f>
        <v/>
      </c>
      <c r="R888" s="0" t="str">
        <f aca="false">IF('THÁNG 11'!$C145="","",'THÁNG 11'!$W145&amp;"")</f>
        <v/>
      </c>
      <c r="S888" s="0" t="str">
        <f aca="false">IF('THÁNG 11'!$C145="","",'THÁNG 11'!$S145&amp;"")</f>
        <v/>
      </c>
      <c r="T888" s="0" t="str">
        <f aca="false">IF(N($O888)&gt;0,COUNTIF($O$3:$O888,"&gt;0"),"")</f>
        <v/>
      </c>
      <c r="U888" s="0" t="str">
        <f aca="false">IF(AND(N($J888)&gt;0,N($K888)&gt;0),COUNTIFS($J$3:$J888,"&gt;0",$K$3:$K888,"&gt;0"),"")</f>
        <v/>
      </c>
      <c r="V888" s="0" t="str">
        <f aca="false">IF(AND(N($J888)&gt;0,N($K888)=0),COUNTIFS($J$3:$J888,"&gt;0",$K$3:$K888,"&lt;=0"),"")</f>
        <v/>
      </c>
      <c r="W888" s="0" t="str">
        <f aca="false">IF($C888="","",IF(COUNTIF($C$3:$C888,$C888)&gt;1,"",MAX($W$2:W887)+1))</f>
        <v/>
      </c>
      <c r="X888" s="0" t="str">
        <f aca="false">IF($H888="","",IF(COUNTIF($H$3:$H888,$H888)&gt;1,"",MAX($X$2:X887)+1))</f>
        <v/>
      </c>
      <c r="Y888" s="0" t="str">
        <f aca="false">IF(AND(N($M888)&gt;0,N($O888)&lt;=0),COUNTIFS($M$3:$M888,"&gt;0",$O$3:$O888,"&lt;=0"),"")</f>
        <v/>
      </c>
      <c r="Z888" s="30" t="n">
        <f aca="false">IF(OR('THÁNG 11'!$C145="",'THÁNG 11'!$B145=""),0,'THÁNG 11'!$B145)</f>
        <v>0</v>
      </c>
    </row>
    <row r="889" customFormat="false" ht="15" hidden="false" customHeight="false" outlineLevel="0" collapsed="false">
      <c r="A889" s="0" t="n">
        <v>11</v>
      </c>
      <c r="B889" s="29" t="str">
        <f aca="false">IF(OR('THÁNG 11'!$C146="",'THÁNG 11'!$B146=""),"",'THÁNG 11'!$B146)</f>
        <v/>
      </c>
      <c r="C889" s="0" t="str">
        <f aca="false">IF('THÁNG 11'!$C146="","",'THÁNG 11'!$C146)</f>
        <v/>
      </c>
      <c r="D889" s="0" t="str">
        <f aca="false">IF('THÁNG 11'!$C146="","",'THÁNG 11'!$D146&amp;"")</f>
        <v/>
      </c>
      <c r="E889" s="0" t="str">
        <f aca="false">IF('THÁNG 11'!$C146="","",'THÁNG 11'!$E146&amp;"")</f>
        <v/>
      </c>
      <c r="F889" s="0" t="str">
        <f aca="false">IF('THÁNG 11'!$C146="","",'THÁNG 11'!$F146&amp;"")</f>
        <v/>
      </c>
      <c r="G889" s="0" t="str">
        <f aca="false">IF('THÁNG 11'!$C146="","",'THÁNG 11'!$G146&amp;"")</f>
        <v/>
      </c>
      <c r="H889" s="0" t="str">
        <f aca="false">IF('THÁNG 11'!$C146="","",'THÁNG 11'!$H146&amp;"")</f>
        <v/>
      </c>
      <c r="I889" s="0" t="str">
        <f aca="false">IF('THÁNG 11'!$C146="","",N('THÁNG 11'!$I146))</f>
        <v/>
      </c>
      <c r="J889" s="0" t="str">
        <f aca="false">IF('THÁNG 11'!$C146="","",N('THÁNG 11'!$L146))</f>
        <v/>
      </c>
      <c r="K889" s="0" t="str">
        <f aca="false">IF('THÁNG 11'!$C146="","",N('THÁNG 11'!$N146))</f>
        <v/>
      </c>
      <c r="L889" s="0" t="str">
        <f aca="false">IF('THÁNG 11'!$C146="","",N('THÁNG 11'!$O146))</f>
        <v/>
      </c>
      <c r="M889" s="0" t="str">
        <f aca="false">IF('THÁNG 11'!$C146="","",N('THÁNG 11'!$P146))</f>
        <v/>
      </c>
      <c r="N889" s="0" t="str">
        <f aca="false">IF('THÁNG 11'!$C146="","",N('THÁNG 11'!$Q146))</f>
        <v/>
      </c>
      <c r="O889" s="0" t="str">
        <f aca="false">IF('THÁNG 11'!$C146="","",N('THÁNG 11'!$R146))</f>
        <v/>
      </c>
      <c r="P889" s="0" t="str">
        <f aca="false">IF(OR('THÁNG 11'!$C146="",'THÁNG 11'!$T146=""),"",'THÁNG 11'!$T146)</f>
        <v/>
      </c>
      <c r="Q889" s="0" t="str">
        <f aca="false">IF(OR('THÁNG 11'!$C146="",'THÁNG 11'!$U146=""),"",'THÁNG 11'!$U146)</f>
        <v/>
      </c>
      <c r="R889" s="0" t="str">
        <f aca="false">IF('THÁNG 11'!$C146="","",'THÁNG 11'!$W146&amp;"")</f>
        <v/>
      </c>
      <c r="S889" s="0" t="str">
        <f aca="false">IF('THÁNG 11'!$C146="","",'THÁNG 11'!$S146&amp;"")</f>
        <v/>
      </c>
      <c r="T889" s="0" t="str">
        <f aca="false">IF(N($O889)&gt;0,COUNTIF($O$3:$O889,"&gt;0"),"")</f>
        <v/>
      </c>
      <c r="U889" s="0" t="str">
        <f aca="false">IF(AND(N($J889)&gt;0,N($K889)&gt;0),COUNTIFS($J$3:$J889,"&gt;0",$K$3:$K889,"&gt;0"),"")</f>
        <v/>
      </c>
      <c r="V889" s="0" t="str">
        <f aca="false">IF(AND(N($J889)&gt;0,N($K889)=0),COUNTIFS($J$3:$J889,"&gt;0",$K$3:$K889,"&lt;=0"),"")</f>
        <v/>
      </c>
      <c r="W889" s="0" t="str">
        <f aca="false">IF($C889="","",IF(COUNTIF($C$3:$C889,$C889)&gt;1,"",MAX($W$2:W888)+1))</f>
        <v/>
      </c>
      <c r="X889" s="0" t="str">
        <f aca="false">IF($H889="","",IF(COUNTIF($H$3:$H889,$H889)&gt;1,"",MAX($X$2:X888)+1))</f>
        <v/>
      </c>
      <c r="Y889" s="0" t="str">
        <f aca="false">IF(AND(N($M889)&gt;0,N($O889)&lt;=0),COUNTIFS($M$3:$M889,"&gt;0",$O$3:$O889,"&lt;=0"),"")</f>
        <v/>
      </c>
      <c r="Z889" s="30" t="n">
        <f aca="false">IF(OR('THÁNG 11'!$C146="",'THÁNG 11'!$B146=""),0,'THÁNG 11'!$B146)</f>
        <v>0</v>
      </c>
    </row>
    <row r="890" customFormat="false" ht="15" hidden="false" customHeight="false" outlineLevel="0" collapsed="false">
      <c r="A890" s="0" t="n">
        <v>11</v>
      </c>
      <c r="B890" s="29" t="str">
        <f aca="false">IF(OR('THÁNG 11'!$C147="",'THÁNG 11'!$B147=""),"",'THÁNG 11'!$B147)</f>
        <v/>
      </c>
      <c r="C890" s="0" t="str">
        <f aca="false">IF('THÁNG 11'!$C147="","",'THÁNG 11'!$C147)</f>
        <v/>
      </c>
      <c r="D890" s="0" t="str">
        <f aca="false">IF('THÁNG 11'!$C147="","",'THÁNG 11'!$D147&amp;"")</f>
        <v/>
      </c>
      <c r="E890" s="0" t="str">
        <f aca="false">IF('THÁNG 11'!$C147="","",'THÁNG 11'!$E147&amp;"")</f>
        <v/>
      </c>
      <c r="F890" s="0" t="str">
        <f aca="false">IF('THÁNG 11'!$C147="","",'THÁNG 11'!$F147&amp;"")</f>
        <v/>
      </c>
      <c r="G890" s="0" t="str">
        <f aca="false">IF('THÁNG 11'!$C147="","",'THÁNG 11'!$G147&amp;"")</f>
        <v/>
      </c>
      <c r="H890" s="0" t="str">
        <f aca="false">IF('THÁNG 11'!$C147="","",'THÁNG 11'!$H147&amp;"")</f>
        <v/>
      </c>
      <c r="I890" s="0" t="str">
        <f aca="false">IF('THÁNG 11'!$C147="","",N('THÁNG 11'!$I147))</f>
        <v/>
      </c>
      <c r="J890" s="0" t="str">
        <f aca="false">IF('THÁNG 11'!$C147="","",N('THÁNG 11'!$L147))</f>
        <v/>
      </c>
      <c r="K890" s="0" t="str">
        <f aca="false">IF('THÁNG 11'!$C147="","",N('THÁNG 11'!$N147))</f>
        <v/>
      </c>
      <c r="L890" s="0" t="str">
        <f aca="false">IF('THÁNG 11'!$C147="","",N('THÁNG 11'!$O147))</f>
        <v/>
      </c>
      <c r="M890" s="0" t="str">
        <f aca="false">IF('THÁNG 11'!$C147="","",N('THÁNG 11'!$P147))</f>
        <v/>
      </c>
      <c r="N890" s="0" t="str">
        <f aca="false">IF('THÁNG 11'!$C147="","",N('THÁNG 11'!$Q147))</f>
        <v/>
      </c>
      <c r="O890" s="0" t="str">
        <f aca="false">IF('THÁNG 11'!$C147="","",N('THÁNG 11'!$R147))</f>
        <v/>
      </c>
      <c r="P890" s="0" t="str">
        <f aca="false">IF(OR('THÁNG 11'!$C147="",'THÁNG 11'!$T147=""),"",'THÁNG 11'!$T147)</f>
        <v/>
      </c>
      <c r="Q890" s="0" t="str">
        <f aca="false">IF(OR('THÁNG 11'!$C147="",'THÁNG 11'!$U147=""),"",'THÁNG 11'!$U147)</f>
        <v/>
      </c>
      <c r="R890" s="0" t="str">
        <f aca="false">IF('THÁNG 11'!$C147="","",'THÁNG 11'!$W147&amp;"")</f>
        <v/>
      </c>
      <c r="S890" s="0" t="str">
        <f aca="false">IF('THÁNG 11'!$C147="","",'THÁNG 11'!$S147&amp;"")</f>
        <v/>
      </c>
      <c r="T890" s="0" t="str">
        <f aca="false">IF(N($O890)&gt;0,COUNTIF($O$3:$O890,"&gt;0"),"")</f>
        <v/>
      </c>
      <c r="U890" s="0" t="str">
        <f aca="false">IF(AND(N($J890)&gt;0,N($K890)&gt;0),COUNTIFS($J$3:$J890,"&gt;0",$K$3:$K890,"&gt;0"),"")</f>
        <v/>
      </c>
      <c r="V890" s="0" t="str">
        <f aca="false">IF(AND(N($J890)&gt;0,N($K890)=0),COUNTIFS($J$3:$J890,"&gt;0",$K$3:$K890,"&lt;=0"),"")</f>
        <v/>
      </c>
      <c r="W890" s="0" t="str">
        <f aca="false">IF($C890="","",IF(COUNTIF($C$3:$C890,$C890)&gt;1,"",MAX($W$2:W889)+1))</f>
        <v/>
      </c>
      <c r="X890" s="0" t="str">
        <f aca="false">IF($H890="","",IF(COUNTIF($H$3:$H890,$H890)&gt;1,"",MAX($X$2:X889)+1))</f>
        <v/>
      </c>
      <c r="Y890" s="0" t="str">
        <f aca="false">IF(AND(N($M890)&gt;0,N($O890)&lt;=0),COUNTIFS($M$3:$M890,"&gt;0",$O$3:$O890,"&lt;=0"),"")</f>
        <v/>
      </c>
      <c r="Z890" s="30" t="n">
        <f aca="false">IF(OR('THÁNG 11'!$C147="",'THÁNG 11'!$B147=""),0,'THÁNG 11'!$B147)</f>
        <v>0</v>
      </c>
    </row>
    <row r="891" customFormat="false" ht="15" hidden="false" customHeight="false" outlineLevel="0" collapsed="false">
      <c r="A891" s="0" t="n">
        <v>11</v>
      </c>
      <c r="B891" s="29" t="str">
        <f aca="false">IF(OR('THÁNG 11'!$C148="",'THÁNG 11'!$B148=""),"",'THÁNG 11'!$B148)</f>
        <v/>
      </c>
      <c r="C891" s="0" t="str">
        <f aca="false">IF('THÁNG 11'!$C148="","",'THÁNG 11'!$C148)</f>
        <v/>
      </c>
      <c r="D891" s="0" t="str">
        <f aca="false">IF('THÁNG 11'!$C148="","",'THÁNG 11'!$D148&amp;"")</f>
        <v/>
      </c>
      <c r="E891" s="0" t="str">
        <f aca="false">IF('THÁNG 11'!$C148="","",'THÁNG 11'!$E148&amp;"")</f>
        <v/>
      </c>
      <c r="F891" s="0" t="str">
        <f aca="false">IF('THÁNG 11'!$C148="","",'THÁNG 11'!$F148&amp;"")</f>
        <v/>
      </c>
      <c r="G891" s="0" t="str">
        <f aca="false">IF('THÁNG 11'!$C148="","",'THÁNG 11'!$G148&amp;"")</f>
        <v/>
      </c>
      <c r="H891" s="0" t="str">
        <f aca="false">IF('THÁNG 11'!$C148="","",'THÁNG 11'!$H148&amp;"")</f>
        <v/>
      </c>
      <c r="I891" s="0" t="str">
        <f aca="false">IF('THÁNG 11'!$C148="","",N('THÁNG 11'!$I148))</f>
        <v/>
      </c>
      <c r="J891" s="0" t="str">
        <f aca="false">IF('THÁNG 11'!$C148="","",N('THÁNG 11'!$L148))</f>
        <v/>
      </c>
      <c r="K891" s="0" t="str">
        <f aca="false">IF('THÁNG 11'!$C148="","",N('THÁNG 11'!$N148))</f>
        <v/>
      </c>
      <c r="L891" s="0" t="str">
        <f aca="false">IF('THÁNG 11'!$C148="","",N('THÁNG 11'!$O148))</f>
        <v/>
      </c>
      <c r="M891" s="0" t="str">
        <f aca="false">IF('THÁNG 11'!$C148="","",N('THÁNG 11'!$P148))</f>
        <v/>
      </c>
      <c r="N891" s="0" t="str">
        <f aca="false">IF('THÁNG 11'!$C148="","",N('THÁNG 11'!$Q148))</f>
        <v/>
      </c>
      <c r="O891" s="0" t="str">
        <f aca="false">IF('THÁNG 11'!$C148="","",N('THÁNG 11'!$R148))</f>
        <v/>
      </c>
      <c r="P891" s="0" t="str">
        <f aca="false">IF(OR('THÁNG 11'!$C148="",'THÁNG 11'!$T148=""),"",'THÁNG 11'!$T148)</f>
        <v/>
      </c>
      <c r="Q891" s="0" t="str">
        <f aca="false">IF(OR('THÁNG 11'!$C148="",'THÁNG 11'!$U148=""),"",'THÁNG 11'!$U148)</f>
        <v/>
      </c>
      <c r="R891" s="0" t="str">
        <f aca="false">IF('THÁNG 11'!$C148="","",'THÁNG 11'!$W148&amp;"")</f>
        <v/>
      </c>
      <c r="S891" s="0" t="str">
        <f aca="false">IF('THÁNG 11'!$C148="","",'THÁNG 11'!$S148&amp;"")</f>
        <v/>
      </c>
      <c r="T891" s="0" t="str">
        <f aca="false">IF(N($O891)&gt;0,COUNTIF($O$3:$O891,"&gt;0"),"")</f>
        <v/>
      </c>
      <c r="U891" s="0" t="str">
        <f aca="false">IF(AND(N($J891)&gt;0,N($K891)&gt;0),COUNTIFS($J$3:$J891,"&gt;0",$K$3:$K891,"&gt;0"),"")</f>
        <v/>
      </c>
      <c r="V891" s="0" t="str">
        <f aca="false">IF(AND(N($J891)&gt;0,N($K891)=0),COUNTIFS($J$3:$J891,"&gt;0",$K$3:$K891,"&lt;=0"),"")</f>
        <v/>
      </c>
      <c r="W891" s="0" t="str">
        <f aca="false">IF($C891="","",IF(COUNTIF($C$3:$C891,$C891)&gt;1,"",MAX($W$2:W890)+1))</f>
        <v/>
      </c>
      <c r="X891" s="0" t="str">
        <f aca="false">IF($H891="","",IF(COUNTIF($H$3:$H891,$H891)&gt;1,"",MAX($X$2:X890)+1))</f>
        <v/>
      </c>
      <c r="Y891" s="0" t="str">
        <f aca="false">IF(AND(N($M891)&gt;0,N($O891)&lt;=0),COUNTIFS($M$3:$M891,"&gt;0",$O$3:$O891,"&lt;=0"),"")</f>
        <v/>
      </c>
      <c r="Z891" s="30" t="n">
        <f aca="false">IF(OR('THÁNG 11'!$C148="",'THÁNG 11'!$B148=""),0,'THÁNG 11'!$B148)</f>
        <v>0</v>
      </c>
    </row>
    <row r="892" customFormat="false" ht="15" hidden="false" customHeight="false" outlineLevel="0" collapsed="false">
      <c r="A892" s="0" t="n">
        <v>11</v>
      </c>
      <c r="B892" s="29" t="str">
        <f aca="false">IF(OR('THÁNG 11'!$C149="",'THÁNG 11'!$B149=""),"",'THÁNG 11'!$B149)</f>
        <v/>
      </c>
      <c r="C892" s="0" t="str">
        <f aca="false">IF('THÁNG 11'!$C149="","",'THÁNG 11'!$C149)</f>
        <v/>
      </c>
      <c r="D892" s="0" t="str">
        <f aca="false">IF('THÁNG 11'!$C149="","",'THÁNG 11'!$D149&amp;"")</f>
        <v/>
      </c>
      <c r="E892" s="0" t="str">
        <f aca="false">IF('THÁNG 11'!$C149="","",'THÁNG 11'!$E149&amp;"")</f>
        <v/>
      </c>
      <c r="F892" s="0" t="str">
        <f aca="false">IF('THÁNG 11'!$C149="","",'THÁNG 11'!$F149&amp;"")</f>
        <v/>
      </c>
      <c r="G892" s="0" t="str">
        <f aca="false">IF('THÁNG 11'!$C149="","",'THÁNG 11'!$G149&amp;"")</f>
        <v/>
      </c>
      <c r="H892" s="0" t="str">
        <f aca="false">IF('THÁNG 11'!$C149="","",'THÁNG 11'!$H149&amp;"")</f>
        <v/>
      </c>
      <c r="I892" s="0" t="str">
        <f aca="false">IF('THÁNG 11'!$C149="","",N('THÁNG 11'!$I149))</f>
        <v/>
      </c>
      <c r="J892" s="0" t="str">
        <f aca="false">IF('THÁNG 11'!$C149="","",N('THÁNG 11'!$L149))</f>
        <v/>
      </c>
      <c r="K892" s="0" t="str">
        <f aca="false">IF('THÁNG 11'!$C149="","",N('THÁNG 11'!$N149))</f>
        <v/>
      </c>
      <c r="L892" s="0" t="str">
        <f aca="false">IF('THÁNG 11'!$C149="","",N('THÁNG 11'!$O149))</f>
        <v/>
      </c>
      <c r="M892" s="0" t="str">
        <f aca="false">IF('THÁNG 11'!$C149="","",N('THÁNG 11'!$P149))</f>
        <v/>
      </c>
      <c r="N892" s="0" t="str">
        <f aca="false">IF('THÁNG 11'!$C149="","",N('THÁNG 11'!$Q149))</f>
        <v/>
      </c>
      <c r="O892" s="0" t="str">
        <f aca="false">IF('THÁNG 11'!$C149="","",N('THÁNG 11'!$R149))</f>
        <v/>
      </c>
      <c r="P892" s="0" t="str">
        <f aca="false">IF(OR('THÁNG 11'!$C149="",'THÁNG 11'!$T149=""),"",'THÁNG 11'!$T149)</f>
        <v/>
      </c>
      <c r="Q892" s="0" t="str">
        <f aca="false">IF(OR('THÁNG 11'!$C149="",'THÁNG 11'!$U149=""),"",'THÁNG 11'!$U149)</f>
        <v/>
      </c>
      <c r="R892" s="0" t="str">
        <f aca="false">IF('THÁNG 11'!$C149="","",'THÁNG 11'!$W149&amp;"")</f>
        <v/>
      </c>
      <c r="S892" s="0" t="str">
        <f aca="false">IF('THÁNG 11'!$C149="","",'THÁNG 11'!$S149&amp;"")</f>
        <v/>
      </c>
      <c r="T892" s="0" t="str">
        <f aca="false">IF(N($O892)&gt;0,COUNTIF($O$3:$O892,"&gt;0"),"")</f>
        <v/>
      </c>
      <c r="U892" s="0" t="str">
        <f aca="false">IF(AND(N($J892)&gt;0,N($K892)&gt;0),COUNTIFS($J$3:$J892,"&gt;0",$K$3:$K892,"&gt;0"),"")</f>
        <v/>
      </c>
      <c r="V892" s="0" t="str">
        <f aca="false">IF(AND(N($J892)&gt;0,N($K892)=0),COUNTIFS($J$3:$J892,"&gt;0",$K$3:$K892,"&lt;=0"),"")</f>
        <v/>
      </c>
      <c r="W892" s="0" t="str">
        <f aca="false">IF($C892="","",IF(COUNTIF($C$3:$C892,$C892)&gt;1,"",MAX($W$2:W891)+1))</f>
        <v/>
      </c>
      <c r="X892" s="0" t="str">
        <f aca="false">IF($H892="","",IF(COUNTIF($H$3:$H892,$H892)&gt;1,"",MAX($X$2:X891)+1))</f>
        <v/>
      </c>
      <c r="Y892" s="0" t="str">
        <f aca="false">IF(AND(N($M892)&gt;0,N($O892)&lt;=0),COUNTIFS($M$3:$M892,"&gt;0",$O$3:$O892,"&lt;=0"),"")</f>
        <v/>
      </c>
      <c r="Z892" s="30" t="n">
        <f aca="false">IF(OR('THÁNG 11'!$C149="",'THÁNG 11'!$B149=""),0,'THÁNG 11'!$B149)</f>
        <v>0</v>
      </c>
    </row>
    <row r="893" customFormat="false" ht="15" hidden="false" customHeight="false" outlineLevel="0" collapsed="false">
      <c r="A893" s="0" t="n">
        <v>11</v>
      </c>
      <c r="B893" s="29" t="str">
        <f aca="false">IF(OR('THÁNG 11'!$C150="",'THÁNG 11'!$B150=""),"",'THÁNG 11'!$B150)</f>
        <v/>
      </c>
      <c r="C893" s="0" t="str">
        <f aca="false">IF('THÁNG 11'!$C150="","",'THÁNG 11'!$C150)</f>
        <v/>
      </c>
      <c r="D893" s="0" t="str">
        <f aca="false">IF('THÁNG 11'!$C150="","",'THÁNG 11'!$D150&amp;"")</f>
        <v/>
      </c>
      <c r="E893" s="0" t="str">
        <f aca="false">IF('THÁNG 11'!$C150="","",'THÁNG 11'!$E150&amp;"")</f>
        <v/>
      </c>
      <c r="F893" s="0" t="str">
        <f aca="false">IF('THÁNG 11'!$C150="","",'THÁNG 11'!$F150&amp;"")</f>
        <v/>
      </c>
      <c r="G893" s="0" t="str">
        <f aca="false">IF('THÁNG 11'!$C150="","",'THÁNG 11'!$G150&amp;"")</f>
        <v/>
      </c>
      <c r="H893" s="0" t="str">
        <f aca="false">IF('THÁNG 11'!$C150="","",'THÁNG 11'!$H150&amp;"")</f>
        <v/>
      </c>
      <c r="I893" s="0" t="str">
        <f aca="false">IF('THÁNG 11'!$C150="","",N('THÁNG 11'!$I150))</f>
        <v/>
      </c>
      <c r="J893" s="0" t="str">
        <f aca="false">IF('THÁNG 11'!$C150="","",N('THÁNG 11'!$L150))</f>
        <v/>
      </c>
      <c r="K893" s="0" t="str">
        <f aca="false">IF('THÁNG 11'!$C150="","",N('THÁNG 11'!$N150))</f>
        <v/>
      </c>
      <c r="L893" s="0" t="str">
        <f aca="false">IF('THÁNG 11'!$C150="","",N('THÁNG 11'!$O150))</f>
        <v/>
      </c>
      <c r="M893" s="0" t="str">
        <f aca="false">IF('THÁNG 11'!$C150="","",N('THÁNG 11'!$P150))</f>
        <v/>
      </c>
      <c r="N893" s="0" t="str">
        <f aca="false">IF('THÁNG 11'!$C150="","",N('THÁNG 11'!$Q150))</f>
        <v/>
      </c>
      <c r="O893" s="0" t="str">
        <f aca="false">IF('THÁNG 11'!$C150="","",N('THÁNG 11'!$R150))</f>
        <v/>
      </c>
      <c r="P893" s="0" t="str">
        <f aca="false">IF(OR('THÁNG 11'!$C150="",'THÁNG 11'!$T150=""),"",'THÁNG 11'!$T150)</f>
        <v/>
      </c>
      <c r="Q893" s="0" t="str">
        <f aca="false">IF(OR('THÁNG 11'!$C150="",'THÁNG 11'!$U150=""),"",'THÁNG 11'!$U150)</f>
        <v/>
      </c>
      <c r="R893" s="0" t="str">
        <f aca="false">IF('THÁNG 11'!$C150="","",'THÁNG 11'!$W150&amp;"")</f>
        <v/>
      </c>
      <c r="S893" s="0" t="str">
        <f aca="false">IF('THÁNG 11'!$C150="","",'THÁNG 11'!$S150&amp;"")</f>
        <v/>
      </c>
      <c r="T893" s="0" t="str">
        <f aca="false">IF(N($O893)&gt;0,COUNTIF($O$3:$O893,"&gt;0"),"")</f>
        <v/>
      </c>
      <c r="U893" s="0" t="str">
        <f aca="false">IF(AND(N($J893)&gt;0,N($K893)&gt;0),COUNTIFS($J$3:$J893,"&gt;0",$K$3:$K893,"&gt;0"),"")</f>
        <v/>
      </c>
      <c r="V893" s="0" t="str">
        <f aca="false">IF(AND(N($J893)&gt;0,N($K893)=0),COUNTIFS($J$3:$J893,"&gt;0",$K$3:$K893,"&lt;=0"),"")</f>
        <v/>
      </c>
      <c r="W893" s="0" t="str">
        <f aca="false">IF($C893="","",IF(COUNTIF($C$3:$C893,$C893)&gt;1,"",MAX($W$2:W892)+1))</f>
        <v/>
      </c>
      <c r="X893" s="0" t="str">
        <f aca="false">IF($H893="","",IF(COUNTIF($H$3:$H893,$H893)&gt;1,"",MAX($X$2:X892)+1))</f>
        <v/>
      </c>
      <c r="Y893" s="0" t="str">
        <f aca="false">IF(AND(N($M893)&gt;0,N($O893)&lt;=0),COUNTIFS($M$3:$M893,"&gt;0",$O$3:$O893,"&lt;=0"),"")</f>
        <v/>
      </c>
      <c r="Z893" s="30" t="n">
        <f aca="false">IF(OR('THÁNG 11'!$C150="",'THÁNG 11'!$B150=""),0,'THÁNG 11'!$B150)</f>
        <v>0</v>
      </c>
    </row>
    <row r="894" customFormat="false" ht="15" hidden="false" customHeight="false" outlineLevel="0" collapsed="false">
      <c r="A894" s="0" t="n">
        <v>11</v>
      </c>
      <c r="B894" s="29" t="str">
        <f aca="false">IF(OR('THÁNG 11'!$C151="",'THÁNG 11'!$B151=""),"",'THÁNG 11'!$B151)</f>
        <v/>
      </c>
      <c r="C894" s="0" t="str">
        <f aca="false">IF('THÁNG 11'!$C151="","",'THÁNG 11'!$C151)</f>
        <v/>
      </c>
      <c r="D894" s="0" t="str">
        <f aca="false">IF('THÁNG 11'!$C151="","",'THÁNG 11'!$D151&amp;"")</f>
        <v/>
      </c>
      <c r="E894" s="0" t="str">
        <f aca="false">IF('THÁNG 11'!$C151="","",'THÁNG 11'!$E151&amp;"")</f>
        <v/>
      </c>
      <c r="F894" s="0" t="str">
        <f aca="false">IF('THÁNG 11'!$C151="","",'THÁNG 11'!$F151&amp;"")</f>
        <v/>
      </c>
      <c r="G894" s="0" t="str">
        <f aca="false">IF('THÁNG 11'!$C151="","",'THÁNG 11'!$G151&amp;"")</f>
        <v/>
      </c>
      <c r="H894" s="0" t="str">
        <f aca="false">IF('THÁNG 11'!$C151="","",'THÁNG 11'!$H151&amp;"")</f>
        <v/>
      </c>
      <c r="I894" s="0" t="str">
        <f aca="false">IF('THÁNG 11'!$C151="","",N('THÁNG 11'!$I151))</f>
        <v/>
      </c>
      <c r="J894" s="0" t="str">
        <f aca="false">IF('THÁNG 11'!$C151="","",N('THÁNG 11'!$L151))</f>
        <v/>
      </c>
      <c r="K894" s="0" t="str">
        <f aca="false">IF('THÁNG 11'!$C151="","",N('THÁNG 11'!$N151))</f>
        <v/>
      </c>
      <c r="L894" s="0" t="str">
        <f aca="false">IF('THÁNG 11'!$C151="","",N('THÁNG 11'!$O151))</f>
        <v/>
      </c>
      <c r="M894" s="0" t="str">
        <f aca="false">IF('THÁNG 11'!$C151="","",N('THÁNG 11'!$P151))</f>
        <v/>
      </c>
      <c r="N894" s="0" t="str">
        <f aca="false">IF('THÁNG 11'!$C151="","",N('THÁNG 11'!$Q151))</f>
        <v/>
      </c>
      <c r="O894" s="0" t="str">
        <f aca="false">IF('THÁNG 11'!$C151="","",N('THÁNG 11'!$R151))</f>
        <v/>
      </c>
      <c r="P894" s="0" t="str">
        <f aca="false">IF(OR('THÁNG 11'!$C151="",'THÁNG 11'!$T151=""),"",'THÁNG 11'!$T151)</f>
        <v/>
      </c>
      <c r="Q894" s="0" t="str">
        <f aca="false">IF(OR('THÁNG 11'!$C151="",'THÁNG 11'!$U151=""),"",'THÁNG 11'!$U151)</f>
        <v/>
      </c>
      <c r="R894" s="0" t="str">
        <f aca="false">IF('THÁNG 11'!$C151="","",'THÁNG 11'!$W151&amp;"")</f>
        <v/>
      </c>
      <c r="S894" s="0" t="str">
        <f aca="false">IF('THÁNG 11'!$C151="","",'THÁNG 11'!$S151&amp;"")</f>
        <v/>
      </c>
      <c r="T894" s="0" t="str">
        <f aca="false">IF(N($O894)&gt;0,COUNTIF($O$3:$O894,"&gt;0"),"")</f>
        <v/>
      </c>
      <c r="U894" s="0" t="str">
        <f aca="false">IF(AND(N($J894)&gt;0,N($K894)&gt;0),COUNTIFS($J$3:$J894,"&gt;0",$K$3:$K894,"&gt;0"),"")</f>
        <v/>
      </c>
      <c r="V894" s="0" t="str">
        <f aca="false">IF(AND(N($J894)&gt;0,N($K894)=0),COUNTIFS($J$3:$J894,"&gt;0",$K$3:$K894,"&lt;=0"),"")</f>
        <v/>
      </c>
      <c r="W894" s="0" t="str">
        <f aca="false">IF($C894="","",IF(COUNTIF($C$3:$C894,$C894)&gt;1,"",MAX($W$2:W893)+1))</f>
        <v/>
      </c>
      <c r="X894" s="0" t="str">
        <f aca="false">IF($H894="","",IF(COUNTIF($H$3:$H894,$H894)&gt;1,"",MAX($X$2:X893)+1))</f>
        <v/>
      </c>
      <c r="Y894" s="0" t="str">
        <f aca="false">IF(AND(N($M894)&gt;0,N($O894)&lt;=0),COUNTIFS($M$3:$M894,"&gt;0",$O$3:$O894,"&lt;=0"),"")</f>
        <v/>
      </c>
      <c r="Z894" s="30" t="n">
        <f aca="false">IF(OR('THÁNG 11'!$C151="",'THÁNG 11'!$B151=""),0,'THÁNG 11'!$B151)</f>
        <v>0</v>
      </c>
    </row>
    <row r="895" customFormat="false" ht="15" hidden="false" customHeight="false" outlineLevel="0" collapsed="false">
      <c r="A895" s="0" t="n">
        <v>11</v>
      </c>
      <c r="B895" s="29" t="str">
        <f aca="false">IF(OR('THÁNG 11'!$C152="",'THÁNG 11'!$B152=""),"",'THÁNG 11'!$B152)</f>
        <v/>
      </c>
      <c r="C895" s="0" t="str">
        <f aca="false">IF('THÁNG 11'!$C152="","",'THÁNG 11'!$C152)</f>
        <v/>
      </c>
      <c r="D895" s="0" t="str">
        <f aca="false">IF('THÁNG 11'!$C152="","",'THÁNG 11'!$D152&amp;"")</f>
        <v/>
      </c>
      <c r="E895" s="0" t="str">
        <f aca="false">IF('THÁNG 11'!$C152="","",'THÁNG 11'!$E152&amp;"")</f>
        <v/>
      </c>
      <c r="F895" s="0" t="str">
        <f aca="false">IF('THÁNG 11'!$C152="","",'THÁNG 11'!$F152&amp;"")</f>
        <v/>
      </c>
      <c r="G895" s="0" t="str">
        <f aca="false">IF('THÁNG 11'!$C152="","",'THÁNG 11'!$G152&amp;"")</f>
        <v/>
      </c>
      <c r="H895" s="0" t="str">
        <f aca="false">IF('THÁNG 11'!$C152="","",'THÁNG 11'!$H152&amp;"")</f>
        <v/>
      </c>
      <c r="I895" s="0" t="str">
        <f aca="false">IF('THÁNG 11'!$C152="","",N('THÁNG 11'!$I152))</f>
        <v/>
      </c>
      <c r="J895" s="0" t="str">
        <f aca="false">IF('THÁNG 11'!$C152="","",N('THÁNG 11'!$L152))</f>
        <v/>
      </c>
      <c r="K895" s="0" t="str">
        <f aca="false">IF('THÁNG 11'!$C152="","",N('THÁNG 11'!$N152))</f>
        <v/>
      </c>
      <c r="L895" s="0" t="str">
        <f aca="false">IF('THÁNG 11'!$C152="","",N('THÁNG 11'!$O152))</f>
        <v/>
      </c>
      <c r="M895" s="0" t="str">
        <f aca="false">IF('THÁNG 11'!$C152="","",N('THÁNG 11'!$P152))</f>
        <v/>
      </c>
      <c r="N895" s="0" t="str">
        <f aca="false">IF('THÁNG 11'!$C152="","",N('THÁNG 11'!$Q152))</f>
        <v/>
      </c>
      <c r="O895" s="0" t="str">
        <f aca="false">IF('THÁNG 11'!$C152="","",N('THÁNG 11'!$R152))</f>
        <v/>
      </c>
      <c r="P895" s="0" t="str">
        <f aca="false">IF(OR('THÁNG 11'!$C152="",'THÁNG 11'!$T152=""),"",'THÁNG 11'!$T152)</f>
        <v/>
      </c>
      <c r="Q895" s="0" t="str">
        <f aca="false">IF(OR('THÁNG 11'!$C152="",'THÁNG 11'!$U152=""),"",'THÁNG 11'!$U152)</f>
        <v/>
      </c>
      <c r="R895" s="0" t="str">
        <f aca="false">IF('THÁNG 11'!$C152="","",'THÁNG 11'!$W152&amp;"")</f>
        <v/>
      </c>
      <c r="S895" s="0" t="str">
        <f aca="false">IF('THÁNG 11'!$C152="","",'THÁNG 11'!$S152&amp;"")</f>
        <v/>
      </c>
      <c r="T895" s="0" t="str">
        <f aca="false">IF(N($O895)&gt;0,COUNTIF($O$3:$O895,"&gt;0"),"")</f>
        <v/>
      </c>
      <c r="U895" s="0" t="str">
        <f aca="false">IF(AND(N($J895)&gt;0,N($K895)&gt;0),COUNTIFS($J$3:$J895,"&gt;0",$K$3:$K895,"&gt;0"),"")</f>
        <v/>
      </c>
      <c r="V895" s="0" t="str">
        <f aca="false">IF(AND(N($J895)&gt;0,N($K895)=0),COUNTIFS($J$3:$J895,"&gt;0",$K$3:$K895,"&lt;=0"),"")</f>
        <v/>
      </c>
      <c r="W895" s="0" t="str">
        <f aca="false">IF($C895="","",IF(COUNTIF($C$3:$C895,$C895)&gt;1,"",MAX($W$2:W894)+1))</f>
        <v/>
      </c>
      <c r="X895" s="0" t="str">
        <f aca="false">IF($H895="","",IF(COUNTIF($H$3:$H895,$H895)&gt;1,"",MAX($X$2:X894)+1))</f>
        <v/>
      </c>
      <c r="Y895" s="0" t="str">
        <f aca="false">IF(AND(N($M895)&gt;0,N($O895)&lt;=0),COUNTIFS($M$3:$M895,"&gt;0",$O$3:$O895,"&lt;=0"),"")</f>
        <v/>
      </c>
      <c r="Z895" s="30" t="n">
        <f aca="false">IF(OR('THÁNG 11'!$C152="",'THÁNG 11'!$B152=""),0,'THÁNG 11'!$B152)</f>
        <v>0</v>
      </c>
    </row>
    <row r="896" customFormat="false" ht="15" hidden="false" customHeight="false" outlineLevel="0" collapsed="false">
      <c r="A896" s="0" t="n">
        <v>11</v>
      </c>
      <c r="B896" s="29" t="str">
        <f aca="false">IF(OR('THÁNG 11'!$C153="",'THÁNG 11'!$B153=""),"",'THÁNG 11'!$B153)</f>
        <v/>
      </c>
      <c r="C896" s="0" t="str">
        <f aca="false">IF('THÁNG 11'!$C153="","",'THÁNG 11'!$C153)</f>
        <v/>
      </c>
      <c r="D896" s="0" t="str">
        <f aca="false">IF('THÁNG 11'!$C153="","",'THÁNG 11'!$D153&amp;"")</f>
        <v/>
      </c>
      <c r="E896" s="0" t="str">
        <f aca="false">IF('THÁNG 11'!$C153="","",'THÁNG 11'!$E153&amp;"")</f>
        <v/>
      </c>
      <c r="F896" s="0" t="str">
        <f aca="false">IF('THÁNG 11'!$C153="","",'THÁNG 11'!$F153&amp;"")</f>
        <v/>
      </c>
      <c r="G896" s="0" t="str">
        <f aca="false">IF('THÁNG 11'!$C153="","",'THÁNG 11'!$G153&amp;"")</f>
        <v/>
      </c>
      <c r="H896" s="0" t="str">
        <f aca="false">IF('THÁNG 11'!$C153="","",'THÁNG 11'!$H153&amp;"")</f>
        <v/>
      </c>
      <c r="I896" s="0" t="str">
        <f aca="false">IF('THÁNG 11'!$C153="","",N('THÁNG 11'!$I153))</f>
        <v/>
      </c>
      <c r="J896" s="0" t="str">
        <f aca="false">IF('THÁNG 11'!$C153="","",N('THÁNG 11'!$L153))</f>
        <v/>
      </c>
      <c r="K896" s="0" t="str">
        <f aca="false">IF('THÁNG 11'!$C153="","",N('THÁNG 11'!$N153))</f>
        <v/>
      </c>
      <c r="L896" s="0" t="str">
        <f aca="false">IF('THÁNG 11'!$C153="","",N('THÁNG 11'!$O153))</f>
        <v/>
      </c>
      <c r="M896" s="0" t="str">
        <f aca="false">IF('THÁNG 11'!$C153="","",N('THÁNG 11'!$P153))</f>
        <v/>
      </c>
      <c r="N896" s="0" t="str">
        <f aca="false">IF('THÁNG 11'!$C153="","",N('THÁNG 11'!$Q153))</f>
        <v/>
      </c>
      <c r="O896" s="0" t="str">
        <f aca="false">IF('THÁNG 11'!$C153="","",N('THÁNG 11'!$R153))</f>
        <v/>
      </c>
      <c r="P896" s="0" t="str">
        <f aca="false">IF(OR('THÁNG 11'!$C153="",'THÁNG 11'!$T153=""),"",'THÁNG 11'!$T153)</f>
        <v/>
      </c>
      <c r="Q896" s="0" t="str">
        <f aca="false">IF(OR('THÁNG 11'!$C153="",'THÁNG 11'!$U153=""),"",'THÁNG 11'!$U153)</f>
        <v/>
      </c>
      <c r="R896" s="0" t="str">
        <f aca="false">IF('THÁNG 11'!$C153="","",'THÁNG 11'!$W153&amp;"")</f>
        <v/>
      </c>
      <c r="S896" s="0" t="str">
        <f aca="false">IF('THÁNG 11'!$C153="","",'THÁNG 11'!$S153&amp;"")</f>
        <v/>
      </c>
      <c r="T896" s="0" t="str">
        <f aca="false">IF(N($O896)&gt;0,COUNTIF($O$3:$O896,"&gt;0"),"")</f>
        <v/>
      </c>
      <c r="U896" s="0" t="str">
        <f aca="false">IF(AND(N($J896)&gt;0,N($K896)&gt;0),COUNTIFS($J$3:$J896,"&gt;0",$K$3:$K896,"&gt;0"),"")</f>
        <v/>
      </c>
      <c r="V896" s="0" t="str">
        <f aca="false">IF(AND(N($J896)&gt;0,N($K896)=0),COUNTIFS($J$3:$J896,"&gt;0",$K$3:$K896,"&lt;=0"),"")</f>
        <v/>
      </c>
      <c r="W896" s="0" t="str">
        <f aca="false">IF($C896="","",IF(COUNTIF($C$3:$C896,$C896)&gt;1,"",MAX($W$2:W895)+1))</f>
        <v/>
      </c>
      <c r="X896" s="0" t="str">
        <f aca="false">IF($H896="","",IF(COUNTIF($H$3:$H896,$H896)&gt;1,"",MAX($X$2:X895)+1))</f>
        <v/>
      </c>
      <c r="Y896" s="0" t="str">
        <f aca="false">IF(AND(N($M896)&gt;0,N($O896)&lt;=0),COUNTIFS($M$3:$M896,"&gt;0",$O$3:$O896,"&lt;=0"),"")</f>
        <v/>
      </c>
      <c r="Z896" s="30" t="n">
        <f aca="false">IF(OR('THÁNG 11'!$C153="",'THÁNG 11'!$B153=""),0,'THÁNG 11'!$B153)</f>
        <v>0</v>
      </c>
    </row>
    <row r="897" customFormat="false" ht="15" hidden="false" customHeight="false" outlineLevel="0" collapsed="false">
      <c r="A897" s="0" t="n">
        <v>11</v>
      </c>
      <c r="B897" s="29" t="str">
        <f aca="false">IF(OR('THÁNG 11'!$C154="",'THÁNG 11'!$B154=""),"",'THÁNG 11'!$B154)</f>
        <v/>
      </c>
      <c r="C897" s="0" t="str">
        <f aca="false">IF('THÁNG 11'!$C154="","",'THÁNG 11'!$C154)</f>
        <v/>
      </c>
      <c r="D897" s="0" t="str">
        <f aca="false">IF('THÁNG 11'!$C154="","",'THÁNG 11'!$D154&amp;"")</f>
        <v/>
      </c>
      <c r="E897" s="0" t="str">
        <f aca="false">IF('THÁNG 11'!$C154="","",'THÁNG 11'!$E154&amp;"")</f>
        <v/>
      </c>
      <c r="F897" s="0" t="str">
        <f aca="false">IF('THÁNG 11'!$C154="","",'THÁNG 11'!$F154&amp;"")</f>
        <v/>
      </c>
      <c r="G897" s="0" t="str">
        <f aca="false">IF('THÁNG 11'!$C154="","",'THÁNG 11'!$G154&amp;"")</f>
        <v/>
      </c>
      <c r="H897" s="0" t="str">
        <f aca="false">IF('THÁNG 11'!$C154="","",'THÁNG 11'!$H154&amp;"")</f>
        <v/>
      </c>
      <c r="I897" s="0" t="str">
        <f aca="false">IF('THÁNG 11'!$C154="","",N('THÁNG 11'!$I154))</f>
        <v/>
      </c>
      <c r="J897" s="0" t="str">
        <f aca="false">IF('THÁNG 11'!$C154="","",N('THÁNG 11'!$L154))</f>
        <v/>
      </c>
      <c r="K897" s="0" t="str">
        <f aca="false">IF('THÁNG 11'!$C154="","",N('THÁNG 11'!$N154))</f>
        <v/>
      </c>
      <c r="L897" s="0" t="str">
        <f aca="false">IF('THÁNG 11'!$C154="","",N('THÁNG 11'!$O154))</f>
        <v/>
      </c>
      <c r="M897" s="0" t="str">
        <f aca="false">IF('THÁNG 11'!$C154="","",N('THÁNG 11'!$P154))</f>
        <v/>
      </c>
      <c r="N897" s="0" t="str">
        <f aca="false">IF('THÁNG 11'!$C154="","",N('THÁNG 11'!$Q154))</f>
        <v/>
      </c>
      <c r="O897" s="0" t="str">
        <f aca="false">IF('THÁNG 11'!$C154="","",N('THÁNG 11'!$R154))</f>
        <v/>
      </c>
      <c r="P897" s="0" t="str">
        <f aca="false">IF(OR('THÁNG 11'!$C154="",'THÁNG 11'!$T154=""),"",'THÁNG 11'!$T154)</f>
        <v/>
      </c>
      <c r="Q897" s="0" t="str">
        <f aca="false">IF(OR('THÁNG 11'!$C154="",'THÁNG 11'!$U154=""),"",'THÁNG 11'!$U154)</f>
        <v/>
      </c>
      <c r="R897" s="0" t="str">
        <f aca="false">IF('THÁNG 11'!$C154="","",'THÁNG 11'!$W154&amp;"")</f>
        <v/>
      </c>
      <c r="S897" s="0" t="str">
        <f aca="false">IF('THÁNG 11'!$C154="","",'THÁNG 11'!$S154&amp;"")</f>
        <v/>
      </c>
      <c r="T897" s="0" t="str">
        <f aca="false">IF(N($O897)&gt;0,COUNTIF($O$3:$O897,"&gt;0"),"")</f>
        <v/>
      </c>
      <c r="U897" s="0" t="str">
        <f aca="false">IF(AND(N($J897)&gt;0,N($K897)&gt;0),COUNTIFS($J$3:$J897,"&gt;0",$K$3:$K897,"&gt;0"),"")</f>
        <v/>
      </c>
      <c r="V897" s="0" t="str">
        <f aca="false">IF(AND(N($J897)&gt;0,N($K897)=0),COUNTIFS($J$3:$J897,"&gt;0",$K$3:$K897,"&lt;=0"),"")</f>
        <v/>
      </c>
      <c r="W897" s="0" t="str">
        <f aca="false">IF($C897="","",IF(COUNTIF($C$3:$C897,$C897)&gt;1,"",MAX($W$2:W896)+1))</f>
        <v/>
      </c>
      <c r="X897" s="0" t="str">
        <f aca="false">IF($H897="","",IF(COUNTIF($H$3:$H897,$H897)&gt;1,"",MAX($X$2:X896)+1))</f>
        <v/>
      </c>
      <c r="Y897" s="0" t="str">
        <f aca="false">IF(AND(N($M897)&gt;0,N($O897)&lt;=0),COUNTIFS($M$3:$M897,"&gt;0",$O$3:$O897,"&lt;=0"),"")</f>
        <v/>
      </c>
      <c r="Z897" s="30" t="n">
        <f aca="false">IF(OR('THÁNG 11'!$C154="",'THÁNG 11'!$B154=""),0,'THÁNG 11'!$B154)</f>
        <v>0</v>
      </c>
    </row>
    <row r="898" customFormat="false" ht="15" hidden="false" customHeight="false" outlineLevel="0" collapsed="false">
      <c r="A898" s="0" t="n">
        <v>11</v>
      </c>
      <c r="B898" s="29" t="str">
        <f aca="false">IF(OR('THÁNG 11'!$C155="",'THÁNG 11'!$B155=""),"",'THÁNG 11'!$B155)</f>
        <v/>
      </c>
      <c r="C898" s="0" t="str">
        <f aca="false">IF('THÁNG 11'!$C155="","",'THÁNG 11'!$C155)</f>
        <v/>
      </c>
      <c r="D898" s="0" t="str">
        <f aca="false">IF('THÁNG 11'!$C155="","",'THÁNG 11'!$D155&amp;"")</f>
        <v/>
      </c>
      <c r="E898" s="0" t="str">
        <f aca="false">IF('THÁNG 11'!$C155="","",'THÁNG 11'!$E155&amp;"")</f>
        <v/>
      </c>
      <c r="F898" s="0" t="str">
        <f aca="false">IF('THÁNG 11'!$C155="","",'THÁNG 11'!$F155&amp;"")</f>
        <v/>
      </c>
      <c r="G898" s="0" t="str">
        <f aca="false">IF('THÁNG 11'!$C155="","",'THÁNG 11'!$G155&amp;"")</f>
        <v/>
      </c>
      <c r="H898" s="0" t="str">
        <f aca="false">IF('THÁNG 11'!$C155="","",'THÁNG 11'!$H155&amp;"")</f>
        <v/>
      </c>
      <c r="I898" s="0" t="str">
        <f aca="false">IF('THÁNG 11'!$C155="","",N('THÁNG 11'!$I155))</f>
        <v/>
      </c>
      <c r="J898" s="0" t="str">
        <f aca="false">IF('THÁNG 11'!$C155="","",N('THÁNG 11'!$L155))</f>
        <v/>
      </c>
      <c r="K898" s="0" t="str">
        <f aca="false">IF('THÁNG 11'!$C155="","",N('THÁNG 11'!$N155))</f>
        <v/>
      </c>
      <c r="L898" s="0" t="str">
        <f aca="false">IF('THÁNG 11'!$C155="","",N('THÁNG 11'!$O155))</f>
        <v/>
      </c>
      <c r="M898" s="0" t="str">
        <f aca="false">IF('THÁNG 11'!$C155="","",N('THÁNG 11'!$P155))</f>
        <v/>
      </c>
      <c r="N898" s="0" t="str">
        <f aca="false">IF('THÁNG 11'!$C155="","",N('THÁNG 11'!$Q155))</f>
        <v/>
      </c>
      <c r="O898" s="0" t="str">
        <f aca="false">IF('THÁNG 11'!$C155="","",N('THÁNG 11'!$R155))</f>
        <v/>
      </c>
      <c r="P898" s="0" t="str">
        <f aca="false">IF(OR('THÁNG 11'!$C155="",'THÁNG 11'!$T155=""),"",'THÁNG 11'!$T155)</f>
        <v/>
      </c>
      <c r="Q898" s="0" t="str">
        <f aca="false">IF(OR('THÁNG 11'!$C155="",'THÁNG 11'!$U155=""),"",'THÁNG 11'!$U155)</f>
        <v/>
      </c>
      <c r="R898" s="0" t="str">
        <f aca="false">IF('THÁNG 11'!$C155="","",'THÁNG 11'!$W155&amp;"")</f>
        <v/>
      </c>
      <c r="S898" s="0" t="str">
        <f aca="false">IF('THÁNG 11'!$C155="","",'THÁNG 11'!$S155&amp;"")</f>
        <v/>
      </c>
      <c r="T898" s="0" t="str">
        <f aca="false">IF(N($O898)&gt;0,COUNTIF($O$3:$O898,"&gt;0"),"")</f>
        <v/>
      </c>
      <c r="U898" s="0" t="str">
        <f aca="false">IF(AND(N($J898)&gt;0,N($K898)&gt;0),COUNTIFS($J$3:$J898,"&gt;0",$K$3:$K898,"&gt;0"),"")</f>
        <v/>
      </c>
      <c r="V898" s="0" t="str">
        <f aca="false">IF(AND(N($J898)&gt;0,N($K898)=0),COUNTIFS($J$3:$J898,"&gt;0",$K$3:$K898,"&lt;=0"),"")</f>
        <v/>
      </c>
      <c r="W898" s="0" t="str">
        <f aca="false">IF($C898="","",IF(COUNTIF($C$3:$C898,$C898)&gt;1,"",MAX($W$2:W897)+1))</f>
        <v/>
      </c>
      <c r="X898" s="0" t="str">
        <f aca="false">IF($H898="","",IF(COUNTIF($H$3:$H898,$H898)&gt;1,"",MAX($X$2:X897)+1))</f>
        <v/>
      </c>
      <c r="Y898" s="0" t="str">
        <f aca="false">IF(AND(N($M898)&gt;0,N($O898)&lt;=0),COUNTIFS($M$3:$M898,"&gt;0",$O$3:$O898,"&lt;=0"),"")</f>
        <v/>
      </c>
      <c r="Z898" s="30" t="n">
        <f aca="false">IF(OR('THÁNG 11'!$C155="",'THÁNG 11'!$B155=""),0,'THÁNG 11'!$B155)</f>
        <v>0</v>
      </c>
    </row>
    <row r="899" customFormat="false" ht="15" hidden="false" customHeight="false" outlineLevel="0" collapsed="false">
      <c r="A899" s="0" t="n">
        <v>11</v>
      </c>
      <c r="B899" s="29" t="str">
        <f aca="false">IF(OR('THÁNG 11'!$C156="",'THÁNG 11'!$B156=""),"",'THÁNG 11'!$B156)</f>
        <v/>
      </c>
      <c r="C899" s="0" t="str">
        <f aca="false">IF('THÁNG 11'!$C156="","",'THÁNG 11'!$C156)</f>
        <v/>
      </c>
      <c r="D899" s="0" t="str">
        <f aca="false">IF('THÁNG 11'!$C156="","",'THÁNG 11'!$D156&amp;"")</f>
        <v/>
      </c>
      <c r="E899" s="0" t="str">
        <f aca="false">IF('THÁNG 11'!$C156="","",'THÁNG 11'!$E156&amp;"")</f>
        <v/>
      </c>
      <c r="F899" s="0" t="str">
        <f aca="false">IF('THÁNG 11'!$C156="","",'THÁNG 11'!$F156&amp;"")</f>
        <v/>
      </c>
      <c r="G899" s="0" t="str">
        <f aca="false">IF('THÁNG 11'!$C156="","",'THÁNG 11'!$G156&amp;"")</f>
        <v/>
      </c>
      <c r="H899" s="0" t="str">
        <f aca="false">IF('THÁNG 11'!$C156="","",'THÁNG 11'!$H156&amp;"")</f>
        <v/>
      </c>
      <c r="I899" s="0" t="str">
        <f aca="false">IF('THÁNG 11'!$C156="","",N('THÁNG 11'!$I156))</f>
        <v/>
      </c>
      <c r="J899" s="0" t="str">
        <f aca="false">IF('THÁNG 11'!$C156="","",N('THÁNG 11'!$L156))</f>
        <v/>
      </c>
      <c r="K899" s="0" t="str">
        <f aca="false">IF('THÁNG 11'!$C156="","",N('THÁNG 11'!$N156))</f>
        <v/>
      </c>
      <c r="L899" s="0" t="str">
        <f aca="false">IF('THÁNG 11'!$C156="","",N('THÁNG 11'!$O156))</f>
        <v/>
      </c>
      <c r="M899" s="0" t="str">
        <f aca="false">IF('THÁNG 11'!$C156="","",N('THÁNG 11'!$P156))</f>
        <v/>
      </c>
      <c r="N899" s="0" t="str">
        <f aca="false">IF('THÁNG 11'!$C156="","",N('THÁNG 11'!$Q156))</f>
        <v/>
      </c>
      <c r="O899" s="0" t="str">
        <f aca="false">IF('THÁNG 11'!$C156="","",N('THÁNG 11'!$R156))</f>
        <v/>
      </c>
      <c r="P899" s="0" t="str">
        <f aca="false">IF(OR('THÁNG 11'!$C156="",'THÁNG 11'!$T156=""),"",'THÁNG 11'!$T156)</f>
        <v/>
      </c>
      <c r="Q899" s="0" t="str">
        <f aca="false">IF(OR('THÁNG 11'!$C156="",'THÁNG 11'!$U156=""),"",'THÁNG 11'!$U156)</f>
        <v/>
      </c>
      <c r="R899" s="0" t="str">
        <f aca="false">IF('THÁNG 11'!$C156="","",'THÁNG 11'!$W156&amp;"")</f>
        <v/>
      </c>
      <c r="S899" s="0" t="str">
        <f aca="false">IF('THÁNG 11'!$C156="","",'THÁNG 11'!$S156&amp;"")</f>
        <v/>
      </c>
      <c r="T899" s="0" t="str">
        <f aca="false">IF(N($O899)&gt;0,COUNTIF($O$3:$O899,"&gt;0"),"")</f>
        <v/>
      </c>
      <c r="U899" s="0" t="str">
        <f aca="false">IF(AND(N($J899)&gt;0,N($K899)&gt;0),COUNTIFS($J$3:$J899,"&gt;0",$K$3:$K899,"&gt;0"),"")</f>
        <v/>
      </c>
      <c r="V899" s="0" t="str">
        <f aca="false">IF(AND(N($J899)&gt;0,N($K899)=0),COUNTIFS($J$3:$J899,"&gt;0",$K$3:$K899,"&lt;=0"),"")</f>
        <v/>
      </c>
      <c r="W899" s="0" t="str">
        <f aca="false">IF($C899="","",IF(COUNTIF($C$3:$C899,$C899)&gt;1,"",MAX($W$2:W898)+1))</f>
        <v/>
      </c>
      <c r="X899" s="0" t="str">
        <f aca="false">IF($H899="","",IF(COUNTIF($H$3:$H899,$H899)&gt;1,"",MAX($X$2:X898)+1))</f>
        <v/>
      </c>
      <c r="Y899" s="0" t="str">
        <f aca="false">IF(AND(N($M899)&gt;0,N($O899)&lt;=0),COUNTIFS($M$3:$M899,"&gt;0",$O$3:$O899,"&lt;=0"),"")</f>
        <v/>
      </c>
      <c r="Z899" s="30" t="n">
        <f aca="false">IF(OR('THÁNG 11'!$C156="",'THÁNG 11'!$B156=""),0,'THÁNG 11'!$B156)</f>
        <v>0</v>
      </c>
    </row>
    <row r="900" customFormat="false" ht="15" hidden="false" customHeight="false" outlineLevel="0" collapsed="false">
      <c r="A900" s="0" t="n">
        <v>11</v>
      </c>
      <c r="B900" s="29" t="str">
        <f aca="false">IF(OR('THÁNG 11'!$C157="",'THÁNG 11'!$B157=""),"",'THÁNG 11'!$B157)</f>
        <v/>
      </c>
      <c r="C900" s="0" t="str">
        <f aca="false">IF('THÁNG 11'!$C157="","",'THÁNG 11'!$C157)</f>
        <v/>
      </c>
      <c r="D900" s="0" t="str">
        <f aca="false">IF('THÁNG 11'!$C157="","",'THÁNG 11'!$D157&amp;"")</f>
        <v/>
      </c>
      <c r="E900" s="0" t="str">
        <f aca="false">IF('THÁNG 11'!$C157="","",'THÁNG 11'!$E157&amp;"")</f>
        <v/>
      </c>
      <c r="F900" s="0" t="str">
        <f aca="false">IF('THÁNG 11'!$C157="","",'THÁNG 11'!$F157&amp;"")</f>
        <v/>
      </c>
      <c r="G900" s="0" t="str">
        <f aca="false">IF('THÁNG 11'!$C157="","",'THÁNG 11'!$G157&amp;"")</f>
        <v/>
      </c>
      <c r="H900" s="0" t="str">
        <f aca="false">IF('THÁNG 11'!$C157="","",'THÁNG 11'!$H157&amp;"")</f>
        <v/>
      </c>
      <c r="I900" s="0" t="str">
        <f aca="false">IF('THÁNG 11'!$C157="","",N('THÁNG 11'!$I157))</f>
        <v/>
      </c>
      <c r="J900" s="0" t="str">
        <f aca="false">IF('THÁNG 11'!$C157="","",N('THÁNG 11'!$L157))</f>
        <v/>
      </c>
      <c r="K900" s="0" t="str">
        <f aca="false">IF('THÁNG 11'!$C157="","",N('THÁNG 11'!$N157))</f>
        <v/>
      </c>
      <c r="L900" s="0" t="str">
        <f aca="false">IF('THÁNG 11'!$C157="","",N('THÁNG 11'!$O157))</f>
        <v/>
      </c>
      <c r="M900" s="0" t="str">
        <f aca="false">IF('THÁNG 11'!$C157="","",N('THÁNG 11'!$P157))</f>
        <v/>
      </c>
      <c r="N900" s="0" t="str">
        <f aca="false">IF('THÁNG 11'!$C157="","",N('THÁNG 11'!$Q157))</f>
        <v/>
      </c>
      <c r="O900" s="0" t="str">
        <f aca="false">IF('THÁNG 11'!$C157="","",N('THÁNG 11'!$R157))</f>
        <v/>
      </c>
      <c r="P900" s="0" t="str">
        <f aca="false">IF(OR('THÁNG 11'!$C157="",'THÁNG 11'!$T157=""),"",'THÁNG 11'!$T157)</f>
        <v/>
      </c>
      <c r="Q900" s="0" t="str">
        <f aca="false">IF(OR('THÁNG 11'!$C157="",'THÁNG 11'!$U157=""),"",'THÁNG 11'!$U157)</f>
        <v/>
      </c>
      <c r="R900" s="0" t="str">
        <f aca="false">IF('THÁNG 11'!$C157="","",'THÁNG 11'!$W157&amp;"")</f>
        <v/>
      </c>
      <c r="S900" s="0" t="str">
        <f aca="false">IF('THÁNG 11'!$C157="","",'THÁNG 11'!$S157&amp;"")</f>
        <v/>
      </c>
      <c r="T900" s="0" t="str">
        <f aca="false">IF(N($O900)&gt;0,COUNTIF($O$3:$O900,"&gt;0"),"")</f>
        <v/>
      </c>
      <c r="U900" s="0" t="str">
        <f aca="false">IF(AND(N($J900)&gt;0,N($K900)&gt;0),COUNTIFS($J$3:$J900,"&gt;0",$K$3:$K900,"&gt;0"),"")</f>
        <v/>
      </c>
      <c r="V900" s="0" t="str">
        <f aca="false">IF(AND(N($J900)&gt;0,N($K900)=0),COUNTIFS($J$3:$J900,"&gt;0",$K$3:$K900,"&lt;=0"),"")</f>
        <v/>
      </c>
      <c r="W900" s="0" t="str">
        <f aca="false">IF($C900="","",IF(COUNTIF($C$3:$C900,$C900)&gt;1,"",MAX($W$2:W899)+1))</f>
        <v/>
      </c>
      <c r="X900" s="0" t="str">
        <f aca="false">IF($H900="","",IF(COUNTIF($H$3:$H900,$H900)&gt;1,"",MAX($X$2:X899)+1))</f>
        <v/>
      </c>
      <c r="Y900" s="0" t="str">
        <f aca="false">IF(AND(N($M900)&gt;0,N($O900)&lt;=0),COUNTIFS($M$3:$M900,"&gt;0",$O$3:$O900,"&lt;=0"),"")</f>
        <v/>
      </c>
      <c r="Z900" s="30" t="n">
        <f aca="false">IF(OR('THÁNG 11'!$C157="",'THÁNG 11'!$B157=""),0,'THÁNG 11'!$B157)</f>
        <v>0</v>
      </c>
    </row>
    <row r="901" customFormat="false" ht="15" hidden="false" customHeight="false" outlineLevel="0" collapsed="false">
      <c r="A901" s="0" t="n">
        <v>11</v>
      </c>
      <c r="B901" s="29" t="str">
        <f aca="false">IF(OR('THÁNG 11'!$C158="",'THÁNG 11'!$B158=""),"",'THÁNG 11'!$B158)</f>
        <v/>
      </c>
      <c r="C901" s="0" t="str">
        <f aca="false">IF('THÁNG 11'!$C158="","",'THÁNG 11'!$C158)</f>
        <v/>
      </c>
      <c r="D901" s="0" t="str">
        <f aca="false">IF('THÁNG 11'!$C158="","",'THÁNG 11'!$D158&amp;"")</f>
        <v/>
      </c>
      <c r="E901" s="0" t="str">
        <f aca="false">IF('THÁNG 11'!$C158="","",'THÁNG 11'!$E158&amp;"")</f>
        <v/>
      </c>
      <c r="F901" s="0" t="str">
        <f aca="false">IF('THÁNG 11'!$C158="","",'THÁNG 11'!$F158&amp;"")</f>
        <v/>
      </c>
      <c r="G901" s="0" t="str">
        <f aca="false">IF('THÁNG 11'!$C158="","",'THÁNG 11'!$G158&amp;"")</f>
        <v/>
      </c>
      <c r="H901" s="0" t="str">
        <f aca="false">IF('THÁNG 11'!$C158="","",'THÁNG 11'!$H158&amp;"")</f>
        <v/>
      </c>
      <c r="I901" s="0" t="str">
        <f aca="false">IF('THÁNG 11'!$C158="","",N('THÁNG 11'!$I158))</f>
        <v/>
      </c>
      <c r="J901" s="0" t="str">
        <f aca="false">IF('THÁNG 11'!$C158="","",N('THÁNG 11'!$L158))</f>
        <v/>
      </c>
      <c r="K901" s="0" t="str">
        <f aca="false">IF('THÁNG 11'!$C158="","",N('THÁNG 11'!$N158))</f>
        <v/>
      </c>
      <c r="L901" s="0" t="str">
        <f aca="false">IF('THÁNG 11'!$C158="","",N('THÁNG 11'!$O158))</f>
        <v/>
      </c>
      <c r="M901" s="0" t="str">
        <f aca="false">IF('THÁNG 11'!$C158="","",N('THÁNG 11'!$P158))</f>
        <v/>
      </c>
      <c r="N901" s="0" t="str">
        <f aca="false">IF('THÁNG 11'!$C158="","",N('THÁNG 11'!$Q158))</f>
        <v/>
      </c>
      <c r="O901" s="0" t="str">
        <f aca="false">IF('THÁNG 11'!$C158="","",N('THÁNG 11'!$R158))</f>
        <v/>
      </c>
      <c r="P901" s="0" t="str">
        <f aca="false">IF(OR('THÁNG 11'!$C158="",'THÁNG 11'!$T158=""),"",'THÁNG 11'!$T158)</f>
        <v/>
      </c>
      <c r="Q901" s="0" t="str">
        <f aca="false">IF(OR('THÁNG 11'!$C158="",'THÁNG 11'!$U158=""),"",'THÁNG 11'!$U158)</f>
        <v/>
      </c>
      <c r="R901" s="0" t="str">
        <f aca="false">IF('THÁNG 11'!$C158="","",'THÁNG 11'!$W158&amp;"")</f>
        <v/>
      </c>
      <c r="S901" s="0" t="str">
        <f aca="false">IF('THÁNG 11'!$C158="","",'THÁNG 11'!$S158&amp;"")</f>
        <v/>
      </c>
      <c r="T901" s="0" t="str">
        <f aca="false">IF(N($O901)&gt;0,COUNTIF($O$3:$O901,"&gt;0"),"")</f>
        <v/>
      </c>
      <c r="U901" s="0" t="str">
        <f aca="false">IF(AND(N($J901)&gt;0,N($K901)&gt;0),COUNTIFS($J$3:$J901,"&gt;0",$K$3:$K901,"&gt;0"),"")</f>
        <v/>
      </c>
      <c r="V901" s="0" t="str">
        <f aca="false">IF(AND(N($J901)&gt;0,N($K901)=0),COUNTIFS($J$3:$J901,"&gt;0",$K$3:$K901,"&lt;=0"),"")</f>
        <v/>
      </c>
      <c r="W901" s="0" t="str">
        <f aca="false">IF($C901="","",IF(COUNTIF($C$3:$C901,$C901)&gt;1,"",MAX($W$2:W900)+1))</f>
        <v/>
      </c>
      <c r="X901" s="0" t="str">
        <f aca="false">IF($H901="","",IF(COUNTIF($H$3:$H901,$H901)&gt;1,"",MAX($X$2:X900)+1))</f>
        <v/>
      </c>
      <c r="Y901" s="0" t="str">
        <f aca="false">IF(AND(N($M901)&gt;0,N($O901)&lt;=0),COUNTIFS($M$3:$M901,"&gt;0",$O$3:$O901,"&lt;=0"),"")</f>
        <v/>
      </c>
      <c r="Z901" s="30" t="n">
        <f aca="false">IF(OR('THÁNG 11'!$C158="",'THÁNG 11'!$B158=""),0,'THÁNG 11'!$B158)</f>
        <v>0</v>
      </c>
    </row>
    <row r="902" customFormat="false" ht="15" hidden="false" customHeight="false" outlineLevel="0" collapsed="false">
      <c r="A902" s="0" t="n">
        <v>11</v>
      </c>
      <c r="B902" s="29" t="str">
        <f aca="false">IF(OR('THÁNG 11'!$C159="",'THÁNG 11'!$B159=""),"",'THÁNG 11'!$B159)</f>
        <v/>
      </c>
      <c r="C902" s="0" t="str">
        <f aca="false">IF('THÁNG 11'!$C159="","",'THÁNG 11'!$C159)</f>
        <v/>
      </c>
      <c r="D902" s="0" t="str">
        <f aca="false">IF('THÁNG 11'!$C159="","",'THÁNG 11'!$D159&amp;"")</f>
        <v/>
      </c>
      <c r="E902" s="0" t="str">
        <f aca="false">IF('THÁNG 11'!$C159="","",'THÁNG 11'!$E159&amp;"")</f>
        <v/>
      </c>
      <c r="F902" s="0" t="str">
        <f aca="false">IF('THÁNG 11'!$C159="","",'THÁNG 11'!$F159&amp;"")</f>
        <v/>
      </c>
      <c r="G902" s="0" t="str">
        <f aca="false">IF('THÁNG 11'!$C159="","",'THÁNG 11'!$G159&amp;"")</f>
        <v/>
      </c>
      <c r="H902" s="0" t="str">
        <f aca="false">IF('THÁNG 11'!$C159="","",'THÁNG 11'!$H159&amp;"")</f>
        <v/>
      </c>
      <c r="I902" s="0" t="str">
        <f aca="false">IF('THÁNG 11'!$C159="","",N('THÁNG 11'!$I159))</f>
        <v/>
      </c>
      <c r="J902" s="0" t="str">
        <f aca="false">IF('THÁNG 11'!$C159="","",N('THÁNG 11'!$L159))</f>
        <v/>
      </c>
      <c r="K902" s="0" t="str">
        <f aca="false">IF('THÁNG 11'!$C159="","",N('THÁNG 11'!$N159))</f>
        <v/>
      </c>
      <c r="L902" s="0" t="str">
        <f aca="false">IF('THÁNG 11'!$C159="","",N('THÁNG 11'!$O159))</f>
        <v/>
      </c>
      <c r="M902" s="0" t="str">
        <f aca="false">IF('THÁNG 11'!$C159="","",N('THÁNG 11'!$P159))</f>
        <v/>
      </c>
      <c r="N902" s="0" t="str">
        <f aca="false">IF('THÁNG 11'!$C159="","",N('THÁNG 11'!$Q159))</f>
        <v/>
      </c>
      <c r="O902" s="0" t="str">
        <f aca="false">IF('THÁNG 11'!$C159="","",N('THÁNG 11'!$R159))</f>
        <v/>
      </c>
      <c r="P902" s="0" t="str">
        <f aca="false">IF(OR('THÁNG 11'!$C159="",'THÁNG 11'!$T159=""),"",'THÁNG 11'!$T159)</f>
        <v/>
      </c>
      <c r="Q902" s="0" t="str">
        <f aca="false">IF(OR('THÁNG 11'!$C159="",'THÁNG 11'!$U159=""),"",'THÁNG 11'!$U159)</f>
        <v/>
      </c>
      <c r="R902" s="0" t="str">
        <f aca="false">IF('THÁNG 11'!$C159="","",'THÁNG 11'!$W159&amp;"")</f>
        <v/>
      </c>
      <c r="S902" s="0" t="str">
        <f aca="false">IF('THÁNG 11'!$C159="","",'THÁNG 11'!$S159&amp;"")</f>
        <v/>
      </c>
      <c r="T902" s="0" t="str">
        <f aca="false">IF(N($O902)&gt;0,COUNTIF($O$3:$O902,"&gt;0"),"")</f>
        <v/>
      </c>
      <c r="U902" s="0" t="str">
        <f aca="false">IF(AND(N($J902)&gt;0,N($K902)&gt;0),COUNTIFS($J$3:$J902,"&gt;0",$K$3:$K902,"&gt;0"),"")</f>
        <v/>
      </c>
      <c r="V902" s="0" t="str">
        <f aca="false">IF(AND(N($J902)&gt;0,N($K902)=0),COUNTIFS($J$3:$J902,"&gt;0",$K$3:$K902,"&lt;=0"),"")</f>
        <v/>
      </c>
      <c r="W902" s="0" t="str">
        <f aca="false">IF($C902="","",IF(COUNTIF($C$3:$C902,$C902)&gt;1,"",MAX($W$2:W901)+1))</f>
        <v/>
      </c>
      <c r="X902" s="0" t="str">
        <f aca="false">IF($H902="","",IF(COUNTIF($H$3:$H902,$H902)&gt;1,"",MAX($X$2:X901)+1))</f>
        <v/>
      </c>
      <c r="Y902" s="0" t="str">
        <f aca="false">IF(AND(N($M902)&gt;0,N($O902)&lt;=0),COUNTIFS($M$3:$M902,"&gt;0",$O$3:$O902,"&lt;=0"),"")</f>
        <v/>
      </c>
      <c r="Z902" s="30" t="n">
        <f aca="false">IF(OR('THÁNG 11'!$C159="",'THÁNG 11'!$B159=""),0,'THÁNG 11'!$B159)</f>
        <v>0</v>
      </c>
    </row>
    <row r="903" customFormat="false" ht="15" hidden="false" customHeight="false" outlineLevel="0" collapsed="false">
      <c r="A903" s="0" t="n">
        <v>12</v>
      </c>
      <c r="B903" s="29" t="str">
        <f aca="false">IF(OR('THÁNG 12'!$C10="",'THÁNG 12'!$B10=""),"",'THÁNG 12'!$B10)</f>
        <v/>
      </c>
      <c r="C903" s="0" t="str">
        <f aca="false">IF('THÁNG 12'!$C10="","",'THÁNG 12'!$C10)</f>
        <v/>
      </c>
      <c r="D903" s="0" t="str">
        <f aca="false">IF('THÁNG 12'!$C10="","",'THÁNG 12'!$D10&amp;"")</f>
        <v/>
      </c>
      <c r="E903" s="0" t="str">
        <f aca="false">IF('THÁNG 12'!$C10="","",'THÁNG 12'!$E10&amp;"")</f>
        <v/>
      </c>
      <c r="F903" s="0" t="str">
        <f aca="false">IF('THÁNG 12'!$C10="","",'THÁNG 12'!$F10&amp;"")</f>
        <v/>
      </c>
      <c r="G903" s="0" t="str">
        <f aca="false">IF('THÁNG 12'!$C10="","",'THÁNG 12'!$G10&amp;"")</f>
        <v/>
      </c>
      <c r="H903" s="0" t="str">
        <f aca="false">IF('THÁNG 12'!$C10="","",'THÁNG 12'!$H10&amp;"")</f>
        <v/>
      </c>
      <c r="I903" s="0" t="str">
        <f aca="false">IF('THÁNG 12'!$C10="","",N('THÁNG 12'!$I10))</f>
        <v/>
      </c>
      <c r="J903" s="0" t="str">
        <f aca="false">IF('THÁNG 12'!$C10="","",N('THÁNG 12'!$L10))</f>
        <v/>
      </c>
      <c r="K903" s="0" t="str">
        <f aca="false">IF('THÁNG 12'!$C10="","",N('THÁNG 12'!$N10))</f>
        <v/>
      </c>
      <c r="L903" s="0" t="str">
        <f aca="false">IF('THÁNG 12'!$C10="","",N('THÁNG 12'!$O10))</f>
        <v/>
      </c>
      <c r="M903" s="0" t="str">
        <f aca="false">IF('THÁNG 12'!$C10="","",N('THÁNG 12'!$P10))</f>
        <v/>
      </c>
      <c r="N903" s="0" t="str">
        <f aca="false">IF('THÁNG 12'!$C10="","",N('THÁNG 12'!$Q10))</f>
        <v/>
      </c>
      <c r="O903" s="0" t="str">
        <f aca="false">IF('THÁNG 12'!$C10="","",N('THÁNG 12'!$R10))</f>
        <v/>
      </c>
      <c r="P903" s="0" t="str">
        <f aca="false">IF(OR('THÁNG 12'!$C10="",'THÁNG 12'!$T10=""),"",'THÁNG 12'!$T10)</f>
        <v/>
      </c>
      <c r="Q903" s="0" t="str">
        <f aca="false">IF(OR('THÁNG 12'!$C10="",'THÁNG 12'!$U10=""),"",'THÁNG 12'!$U10)</f>
        <v/>
      </c>
      <c r="R903" s="0" t="str">
        <f aca="false">IF('THÁNG 12'!$C10="","",'THÁNG 12'!$W10&amp;"")</f>
        <v/>
      </c>
      <c r="S903" s="0" t="str">
        <f aca="false">IF('THÁNG 12'!$C10="","",'THÁNG 12'!$S10&amp;"")</f>
        <v/>
      </c>
      <c r="T903" s="0" t="str">
        <f aca="false">IF(N($O903)&gt;0,COUNTIF($O$3:$O903,"&gt;0"),"")</f>
        <v/>
      </c>
      <c r="U903" s="0" t="str">
        <f aca="false">IF(AND(N($J903)&gt;0,N($K903)&gt;0),COUNTIFS($J$3:$J903,"&gt;0",$K$3:$K903,"&gt;0"),"")</f>
        <v/>
      </c>
      <c r="V903" s="0" t="str">
        <f aca="false">IF(AND(N($J903)&gt;0,N($K903)=0),COUNTIFS($J$3:$J903,"&gt;0",$K$3:$K903,"&lt;=0"),"")</f>
        <v/>
      </c>
      <c r="W903" s="0" t="str">
        <f aca="false">IF($C903="","",IF(COUNTIF($C$3:$C903,$C903)&gt;1,"",MAX($W$2:W902)+1))</f>
        <v/>
      </c>
      <c r="X903" s="0" t="str">
        <f aca="false">IF($H903="","",IF(COUNTIF($H$3:$H903,$H903)&gt;1,"",MAX($X$2:X902)+1))</f>
        <v/>
      </c>
      <c r="Y903" s="0" t="str">
        <f aca="false">IF(AND(N($M903)&gt;0,N($O903)&lt;=0),COUNTIFS($M$3:$M903,"&gt;0",$O$3:$O903,"&lt;=0"),"")</f>
        <v/>
      </c>
      <c r="Z903" s="30" t="n">
        <f aca="false">IF(OR('THÁNG 12'!$C10="",'THÁNG 12'!$B10=""),0,'THÁNG 12'!$B10)</f>
        <v>0</v>
      </c>
    </row>
    <row r="904" customFormat="false" ht="15" hidden="false" customHeight="false" outlineLevel="0" collapsed="false">
      <c r="A904" s="0" t="n">
        <v>12</v>
      </c>
      <c r="B904" s="29" t="str">
        <f aca="false">IF(OR('THÁNG 12'!$C11="",'THÁNG 12'!$B11=""),"",'THÁNG 12'!$B11)</f>
        <v/>
      </c>
      <c r="C904" s="0" t="str">
        <f aca="false">IF('THÁNG 12'!$C11="","",'THÁNG 12'!$C11)</f>
        <v/>
      </c>
      <c r="D904" s="0" t="str">
        <f aca="false">IF('THÁNG 12'!$C11="","",'THÁNG 12'!$D11&amp;"")</f>
        <v/>
      </c>
      <c r="E904" s="0" t="str">
        <f aca="false">IF('THÁNG 12'!$C11="","",'THÁNG 12'!$E11&amp;"")</f>
        <v/>
      </c>
      <c r="F904" s="0" t="str">
        <f aca="false">IF('THÁNG 12'!$C11="","",'THÁNG 12'!$F11&amp;"")</f>
        <v/>
      </c>
      <c r="G904" s="0" t="str">
        <f aca="false">IF('THÁNG 12'!$C11="","",'THÁNG 12'!$G11&amp;"")</f>
        <v/>
      </c>
      <c r="H904" s="0" t="str">
        <f aca="false">IF('THÁNG 12'!$C11="","",'THÁNG 12'!$H11&amp;"")</f>
        <v/>
      </c>
      <c r="I904" s="0" t="str">
        <f aca="false">IF('THÁNG 12'!$C11="","",N('THÁNG 12'!$I11))</f>
        <v/>
      </c>
      <c r="J904" s="0" t="str">
        <f aca="false">IF('THÁNG 12'!$C11="","",N('THÁNG 12'!$L11))</f>
        <v/>
      </c>
      <c r="K904" s="0" t="str">
        <f aca="false">IF('THÁNG 12'!$C11="","",N('THÁNG 12'!$N11))</f>
        <v/>
      </c>
      <c r="L904" s="0" t="str">
        <f aca="false">IF('THÁNG 12'!$C11="","",N('THÁNG 12'!$O11))</f>
        <v/>
      </c>
      <c r="M904" s="0" t="str">
        <f aca="false">IF('THÁNG 12'!$C11="","",N('THÁNG 12'!$P11))</f>
        <v/>
      </c>
      <c r="N904" s="0" t="str">
        <f aca="false">IF('THÁNG 12'!$C11="","",N('THÁNG 12'!$Q11))</f>
        <v/>
      </c>
      <c r="O904" s="0" t="str">
        <f aca="false">IF('THÁNG 12'!$C11="","",N('THÁNG 12'!$R11))</f>
        <v/>
      </c>
      <c r="P904" s="0" t="str">
        <f aca="false">IF(OR('THÁNG 12'!$C11="",'THÁNG 12'!$T11=""),"",'THÁNG 12'!$T11)</f>
        <v/>
      </c>
      <c r="Q904" s="0" t="str">
        <f aca="false">IF(OR('THÁNG 12'!$C11="",'THÁNG 12'!$U11=""),"",'THÁNG 12'!$U11)</f>
        <v/>
      </c>
      <c r="R904" s="0" t="str">
        <f aca="false">IF('THÁNG 12'!$C11="","",'THÁNG 12'!$W11&amp;"")</f>
        <v/>
      </c>
      <c r="S904" s="0" t="str">
        <f aca="false">IF('THÁNG 12'!$C11="","",'THÁNG 12'!$S11&amp;"")</f>
        <v/>
      </c>
      <c r="T904" s="0" t="str">
        <f aca="false">IF(N($O904)&gt;0,COUNTIF($O$3:$O904,"&gt;0"),"")</f>
        <v/>
      </c>
      <c r="U904" s="0" t="str">
        <f aca="false">IF(AND(N($J904)&gt;0,N($K904)&gt;0),COUNTIFS($J$3:$J904,"&gt;0",$K$3:$K904,"&gt;0"),"")</f>
        <v/>
      </c>
      <c r="V904" s="0" t="str">
        <f aca="false">IF(AND(N($J904)&gt;0,N($K904)=0),COUNTIFS($J$3:$J904,"&gt;0",$K$3:$K904,"&lt;=0"),"")</f>
        <v/>
      </c>
      <c r="W904" s="0" t="str">
        <f aca="false">IF($C904="","",IF(COUNTIF($C$3:$C904,$C904)&gt;1,"",MAX($W$2:W903)+1))</f>
        <v/>
      </c>
      <c r="X904" s="0" t="str">
        <f aca="false">IF($H904="","",IF(COUNTIF($H$3:$H904,$H904)&gt;1,"",MAX($X$2:X903)+1))</f>
        <v/>
      </c>
      <c r="Y904" s="0" t="str">
        <f aca="false">IF(AND(N($M904)&gt;0,N($O904)&lt;=0),COUNTIFS($M$3:$M904,"&gt;0",$O$3:$O904,"&lt;=0"),"")</f>
        <v/>
      </c>
      <c r="Z904" s="30" t="n">
        <f aca="false">IF(OR('THÁNG 12'!$C11="",'THÁNG 12'!$B11=""),0,'THÁNG 12'!$B11)</f>
        <v>0</v>
      </c>
    </row>
    <row r="905" customFormat="false" ht="15" hidden="false" customHeight="false" outlineLevel="0" collapsed="false">
      <c r="A905" s="0" t="n">
        <v>12</v>
      </c>
      <c r="B905" s="29" t="str">
        <f aca="false">IF(OR('THÁNG 12'!$C12="",'THÁNG 12'!$B12=""),"",'THÁNG 12'!$B12)</f>
        <v/>
      </c>
      <c r="C905" s="0" t="str">
        <f aca="false">IF('THÁNG 12'!$C12="","",'THÁNG 12'!$C12)</f>
        <v/>
      </c>
      <c r="D905" s="0" t="str">
        <f aca="false">IF('THÁNG 12'!$C12="","",'THÁNG 12'!$D12&amp;"")</f>
        <v/>
      </c>
      <c r="E905" s="0" t="str">
        <f aca="false">IF('THÁNG 12'!$C12="","",'THÁNG 12'!$E12&amp;"")</f>
        <v/>
      </c>
      <c r="F905" s="0" t="str">
        <f aca="false">IF('THÁNG 12'!$C12="","",'THÁNG 12'!$F12&amp;"")</f>
        <v/>
      </c>
      <c r="G905" s="0" t="str">
        <f aca="false">IF('THÁNG 12'!$C12="","",'THÁNG 12'!$G12&amp;"")</f>
        <v/>
      </c>
      <c r="H905" s="0" t="str">
        <f aca="false">IF('THÁNG 12'!$C12="","",'THÁNG 12'!$H12&amp;"")</f>
        <v/>
      </c>
      <c r="I905" s="0" t="str">
        <f aca="false">IF('THÁNG 12'!$C12="","",N('THÁNG 12'!$I12))</f>
        <v/>
      </c>
      <c r="J905" s="0" t="str">
        <f aca="false">IF('THÁNG 12'!$C12="","",N('THÁNG 12'!$L12))</f>
        <v/>
      </c>
      <c r="K905" s="0" t="str">
        <f aca="false">IF('THÁNG 12'!$C12="","",N('THÁNG 12'!$N12))</f>
        <v/>
      </c>
      <c r="L905" s="0" t="str">
        <f aca="false">IF('THÁNG 12'!$C12="","",N('THÁNG 12'!$O12))</f>
        <v/>
      </c>
      <c r="M905" s="0" t="str">
        <f aca="false">IF('THÁNG 12'!$C12="","",N('THÁNG 12'!$P12))</f>
        <v/>
      </c>
      <c r="N905" s="0" t="str">
        <f aca="false">IF('THÁNG 12'!$C12="","",N('THÁNG 12'!$Q12))</f>
        <v/>
      </c>
      <c r="O905" s="0" t="str">
        <f aca="false">IF('THÁNG 12'!$C12="","",N('THÁNG 12'!$R12))</f>
        <v/>
      </c>
      <c r="P905" s="0" t="str">
        <f aca="false">IF(OR('THÁNG 12'!$C12="",'THÁNG 12'!$T12=""),"",'THÁNG 12'!$T12)</f>
        <v/>
      </c>
      <c r="Q905" s="0" t="str">
        <f aca="false">IF(OR('THÁNG 12'!$C12="",'THÁNG 12'!$U12=""),"",'THÁNG 12'!$U12)</f>
        <v/>
      </c>
      <c r="R905" s="0" t="str">
        <f aca="false">IF('THÁNG 12'!$C12="","",'THÁNG 12'!$W12&amp;"")</f>
        <v/>
      </c>
      <c r="S905" s="0" t="str">
        <f aca="false">IF('THÁNG 12'!$C12="","",'THÁNG 12'!$S12&amp;"")</f>
        <v/>
      </c>
      <c r="T905" s="0" t="str">
        <f aca="false">IF(N($O905)&gt;0,COUNTIF($O$3:$O905,"&gt;0"),"")</f>
        <v/>
      </c>
      <c r="U905" s="0" t="str">
        <f aca="false">IF(AND(N($J905)&gt;0,N($K905)&gt;0),COUNTIFS($J$3:$J905,"&gt;0",$K$3:$K905,"&gt;0"),"")</f>
        <v/>
      </c>
      <c r="V905" s="0" t="str">
        <f aca="false">IF(AND(N($J905)&gt;0,N($K905)=0),COUNTIFS($J$3:$J905,"&gt;0",$K$3:$K905,"&lt;=0"),"")</f>
        <v/>
      </c>
      <c r="W905" s="0" t="str">
        <f aca="false">IF($C905="","",IF(COUNTIF($C$3:$C905,$C905)&gt;1,"",MAX($W$2:W904)+1))</f>
        <v/>
      </c>
      <c r="X905" s="0" t="str">
        <f aca="false">IF($H905="","",IF(COUNTIF($H$3:$H905,$H905)&gt;1,"",MAX($X$2:X904)+1))</f>
        <v/>
      </c>
      <c r="Y905" s="0" t="str">
        <f aca="false">IF(AND(N($M905)&gt;0,N($O905)&lt;=0),COUNTIFS($M$3:$M905,"&gt;0",$O$3:$O905,"&lt;=0"),"")</f>
        <v/>
      </c>
      <c r="Z905" s="30" t="n">
        <f aca="false">IF(OR('THÁNG 12'!$C12="",'THÁNG 12'!$B12=""),0,'THÁNG 12'!$B12)</f>
        <v>0</v>
      </c>
    </row>
    <row r="906" customFormat="false" ht="15" hidden="false" customHeight="false" outlineLevel="0" collapsed="false">
      <c r="A906" s="0" t="n">
        <v>12</v>
      </c>
      <c r="B906" s="29" t="str">
        <f aca="false">IF(OR('THÁNG 12'!$C13="",'THÁNG 12'!$B13=""),"",'THÁNG 12'!$B13)</f>
        <v/>
      </c>
      <c r="C906" s="0" t="str">
        <f aca="false">IF('THÁNG 12'!$C13="","",'THÁNG 12'!$C13)</f>
        <v/>
      </c>
      <c r="D906" s="0" t="str">
        <f aca="false">IF('THÁNG 12'!$C13="","",'THÁNG 12'!$D13&amp;"")</f>
        <v/>
      </c>
      <c r="E906" s="0" t="str">
        <f aca="false">IF('THÁNG 12'!$C13="","",'THÁNG 12'!$E13&amp;"")</f>
        <v/>
      </c>
      <c r="F906" s="0" t="str">
        <f aca="false">IF('THÁNG 12'!$C13="","",'THÁNG 12'!$F13&amp;"")</f>
        <v/>
      </c>
      <c r="G906" s="0" t="str">
        <f aca="false">IF('THÁNG 12'!$C13="","",'THÁNG 12'!$G13&amp;"")</f>
        <v/>
      </c>
      <c r="H906" s="0" t="str">
        <f aca="false">IF('THÁNG 12'!$C13="","",'THÁNG 12'!$H13&amp;"")</f>
        <v/>
      </c>
      <c r="I906" s="0" t="str">
        <f aca="false">IF('THÁNG 12'!$C13="","",N('THÁNG 12'!$I13))</f>
        <v/>
      </c>
      <c r="J906" s="0" t="str">
        <f aca="false">IF('THÁNG 12'!$C13="","",N('THÁNG 12'!$L13))</f>
        <v/>
      </c>
      <c r="K906" s="0" t="str">
        <f aca="false">IF('THÁNG 12'!$C13="","",N('THÁNG 12'!$N13))</f>
        <v/>
      </c>
      <c r="L906" s="0" t="str">
        <f aca="false">IF('THÁNG 12'!$C13="","",N('THÁNG 12'!$O13))</f>
        <v/>
      </c>
      <c r="M906" s="0" t="str">
        <f aca="false">IF('THÁNG 12'!$C13="","",N('THÁNG 12'!$P13))</f>
        <v/>
      </c>
      <c r="N906" s="0" t="str">
        <f aca="false">IF('THÁNG 12'!$C13="","",N('THÁNG 12'!$Q13))</f>
        <v/>
      </c>
      <c r="O906" s="0" t="str">
        <f aca="false">IF('THÁNG 12'!$C13="","",N('THÁNG 12'!$R13))</f>
        <v/>
      </c>
      <c r="P906" s="0" t="str">
        <f aca="false">IF(OR('THÁNG 12'!$C13="",'THÁNG 12'!$T13=""),"",'THÁNG 12'!$T13)</f>
        <v/>
      </c>
      <c r="Q906" s="0" t="str">
        <f aca="false">IF(OR('THÁNG 12'!$C13="",'THÁNG 12'!$U13=""),"",'THÁNG 12'!$U13)</f>
        <v/>
      </c>
      <c r="R906" s="0" t="str">
        <f aca="false">IF('THÁNG 12'!$C13="","",'THÁNG 12'!$W13&amp;"")</f>
        <v/>
      </c>
      <c r="S906" s="0" t="str">
        <f aca="false">IF('THÁNG 12'!$C13="","",'THÁNG 12'!$S13&amp;"")</f>
        <v/>
      </c>
      <c r="T906" s="0" t="str">
        <f aca="false">IF(N($O906)&gt;0,COUNTIF($O$3:$O906,"&gt;0"),"")</f>
        <v/>
      </c>
      <c r="U906" s="0" t="str">
        <f aca="false">IF(AND(N($J906)&gt;0,N($K906)&gt;0),COUNTIFS($J$3:$J906,"&gt;0",$K$3:$K906,"&gt;0"),"")</f>
        <v/>
      </c>
      <c r="V906" s="0" t="str">
        <f aca="false">IF(AND(N($J906)&gt;0,N($K906)=0),COUNTIFS($J$3:$J906,"&gt;0",$K$3:$K906,"&lt;=0"),"")</f>
        <v/>
      </c>
      <c r="W906" s="0" t="str">
        <f aca="false">IF($C906="","",IF(COUNTIF($C$3:$C906,$C906)&gt;1,"",MAX($W$2:W905)+1))</f>
        <v/>
      </c>
      <c r="X906" s="0" t="str">
        <f aca="false">IF($H906="","",IF(COUNTIF($H$3:$H906,$H906)&gt;1,"",MAX($X$2:X905)+1))</f>
        <v/>
      </c>
      <c r="Y906" s="0" t="str">
        <f aca="false">IF(AND(N($M906)&gt;0,N($O906)&lt;=0),COUNTIFS($M$3:$M906,"&gt;0",$O$3:$O906,"&lt;=0"),"")</f>
        <v/>
      </c>
      <c r="Z906" s="30" t="n">
        <f aca="false">IF(OR('THÁNG 12'!$C13="",'THÁNG 12'!$B13=""),0,'THÁNG 12'!$B13)</f>
        <v>0</v>
      </c>
    </row>
    <row r="907" customFormat="false" ht="15" hidden="false" customHeight="false" outlineLevel="0" collapsed="false">
      <c r="A907" s="0" t="n">
        <v>12</v>
      </c>
      <c r="B907" s="29" t="str">
        <f aca="false">IF(OR('THÁNG 12'!$C14="",'THÁNG 12'!$B14=""),"",'THÁNG 12'!$B14)</f>
        <v/>
      </c>
      <c r="C907" s="0" t="str">
        <f aca="false">IF('THÁNG 12'!$C14="","",'THÁNG 12'!$C14)</f>
        <v/>
      </c>
      <c r="D907" s="0" t="str">
        <f aca="false">IF('THÁNG 12'!$C14="","",'THÁNG 12'!$D14&amp;"")</f>
        <v/>
      </c>
      <c r="E907" s="0" t="str">
        <f aca="false">IF('THÁNG 12'!$C14="","",'THÁNG 12'!$E14&amp;"")</f>
        <v/>
      </c>
      <c r="F907" s="0" t="str">
        <f aca="false">IF('THÁNG 12'!$C14="","",'THÁNG 12'!$F14&amp;"")</f>
        <v/>
      </c>
      <c r="G907" s="0" t="str">
        <f aca="false">IF('THÁNG 12'!$C14="","",'THÁNG 12'!$G14&amp;"")</f>
        <v/>
      </c>
      <c r="H907" s="0" t="str">
        <f aca="false">IF('THÁNG 12'!$C14="","",'THÁNG 12'!$H14&amp;"")</f>
        <v/>
      </c>
      <c r="I907" s="0" t="str">
        <f aca="false">IF('THÁNG 12'!$C14="","",N('THÁNG 12'!$I14))</f>
        <v/>
      </c>
      <c r="J907" s="0" t="str">
        <f aca="false">IF('THÁNG 12'!$C14="","",N('THÁNG 12'!$L14))</f>
        <v/>
      </c>
      <c r="K907" s="0" t="str">
        <f aca="false">IF('THÁNG 12'!$C14="","",N('THÁNG 12'!$N14))</f>
        <v/>
      </c>
      <c r="L907" s="0" t="str">
        <f aca="false">IF('THÁNG 12'!$C14="","",N('THÁNG 12'!$O14))</f>
        <v/>
      </c>
      <c r="M907" s="0" t="str">
        <f aca="false">IF('THÁNG 12'!$C14="","",N('THÁNG 12'!$P14))</f>
        <v/>
      </c>
      <c r="N907" s="0" t="str">
        <f aca="false">IF('THÁNG 12'!$C14="","",N('THÁNG 12'!$Q14))</f>
        <v/>
      </c>
      <c r="O907" s="0" t="str">
        <f aca="false">IF('THÁNG 12'!$C14="","",N('THÁNG 12'!$R14))</f>
        <v/>
      </c>
      <c r="P907" s="0" t="str">
        <f aca="false">IF(OR('THÁNG 12'!$C14="",'THÁNG 12'!$T14=""),"",'THÁNG 12'!$T14)</f>
        <v/>
      </c>
      <c r="Q907" s="0" t="str">
        <f aca="false">IF(OR('THÁNG 12'!$C14="",'THÁNG 12'!$U14=""),"",'THÁNG 12'!$U14)</f>
        <v/>
      </c>
      <c r="R907" s="0" t="str">
        <f aca="false">IF('THÁNG 12'!$C14="","",'THÁNG 12'!$W14&amp;"")</f>
        <v/>
      </c>
      <c r="S907" s="0" t="str">
        <f aca="false">IF('THÁNG 12'!$C14="","",'THÁNG 12'!$S14&amp;"")</f>
        <v/>
      </c>
      <c r="T907" s="0" t="str">
        <f aca="false">IF(N($O907)&gt;0,COUNTIF($O$3:$O907,"&gt;0"),"")</f>
        <v/>
      </c>
      <c r="U907" s="0" t="str">
        <f aca="false">IF(AND(N($J907)&gt;0,N($K907)&gt;0),COUNTIFS($J$3:$J907,"&gt;0",$K$3:$K907,"&gt;0"),"")</f>
        <v/>
      </c>
      <c r="V907" s="0" t="str">
        <f aca="false">IF(AND(N($J907)&gt;0,N($K907)=0),COUNTIFS($J$3:$J907,"&gt;0",$K$3:$K907,"&lt;=0"),"")</f>
        <v/>
      </c>
      <c r="W907" s="0" t="str">
        <f aca="false">IF($C907="","",IF(COUNTIF($C$3:$C907,$C907)&gt;1,"",MAX($W$2:W906)+1))</f>
        <v/>
      </c>
      <c r="X907" s="0" t="str">
        <f aca="false">IF($H907="","",IF(COUNTIF($H$3:$H907,$H907)&gt;1,"",MAX($X$2:X906)+1))</f>
        <v/>
      </c>
      <c r="Y907" s="0" t="str">
        <f aca="false">IF(AND(N($M907)&gt;0,N($O907)&lt;=0),COUNTIFS($M$3:$M907,"&gt;0",$O$3:$O907,"&lt;=0"),"")</f>
        <v/>
      </c>
      <c r="Z907" s="30" t="n">
        <f aca="false">IF(OR('THÁNG 12'!$C14="",'THÁNG 12'!$B14=""),0,'THÁNG 12'!$B14)</f>
        <v>0</v>
      </c>
    </row>
    <row r="908" customFormat="false" ht="15" hidden="false" customHeight="false" outlineLevel="0" collapsed="false">
      <c r="A908" s="0" t="n">
        <v>12</v>
      </c>
      <c r="B908" s="29" t="str">
        <f aca="false">IF(OR('THÁNG 12'!$C15="",'THÁNG 12'!$B15=""),"",'THÁNG 12'!$B15)</f>
        <v/>
      </c>
      <c r="C908" s="0" t="str">
        <f aca="false">IF('THÁNG 12'!$C15="","",'THÁNG 12'!$C15)</f>
        <v/>
      </c>
      <c r="D908" s="0" t="str">
        <f aca="false">IF('THÁNG 12'!$C15="","",'THÁNG 12'!$D15&amp;"")</f>
        <v/>
      </c>
      <c r="E908" s="0" t="str">
        <f aca="false">IF('THÁNG 12'!$C15="","",'THÁNG 12'!$E15&amp;"")</f>
        <v/>
      </c>
      <c r="F908" s="0" t="str">
        <f aca="false">IF('THÁNG 12'!$C15="","",'THÁNG 12'!$F15&amp;"")</f>
        <v/>
      </c>
      <c r="G908" s="0" t="str">
        <f aca="false">IF('THÁNG 12'!$C15="","",'THÁNG 12'!$G15&amp;"")</f>
        <v/>
      </c>
      <c r="H908" s="0" t="str">
        <f aca="false">IF('THÁNG 12'!$C15="","",'THÁNG 12'!$H15&amp;"")</f>
        <v/>
      </c>
      <c r="I908" s="0" t="str">
        <f aca="false">IF('THÁNG 12'!$C15="","",N('THÁNG 12'!$I15))</f>
        <v/>
      </c>
      <c r="J908" s="0" t="str">
        <f aca="false">IF('THÁNG 12'!$C15="","",N('THÁNG 12'!$L15))</f>
        <v/>
      </c>
      <c r="K908" s="0" t="str">
        <f aca="false">IF('THÁNG 12'!$C15="","",N('THÁNG 12'!$N15))</f>
        <v/>
      </c>
      <c r="L908" s="0" t="str">
        <f aca="false">IF('THÁNG 12'!$C15="","",N('THÁNG 12'!$O15))</f>
        <v/>
      </c>
      <c r="M908" s="0" t="str">
        <f aca="false">IF('THÁNG 12'!$C15="","",N('THÁNG 12'!$P15))</f>
        <v/>
      </c>
      <c r="N908" s="0" t="str">
        <f aca="false">IF('THÁNG 12'!$C15="","",N('THÁNG 12'!$Q15))</f>
        <v/>
      </c>
      <c r="O908" s="0" t="str">
        <f aca="false">IF('THÁNG 12'!$C15="","",N('THÁNG 12'!$R15))</f>
        <v/>
      </c>
      <c r="P908" s="0" t="str">
        <f aca="false">IF(OR('THÁNG 12'!$C15="",'THÁNG 12'!$T15=""),"",'THÁNG 12'!$T15)</f>
        <v/>
      </c>
      <c r="Q908" s="0" t="str">
        <f aca="false">IF(OR('THÁNG 12'!$C15="",'THÁNG 12'!$U15=""),"",'THÁNG 12'!$U15)</f>
        <v/>
      </c>
      <c r="R908" s="0" t="str">
        <f aca="false">IF('THÁNG 12'!$C15="","",'THÁNG 12'!$W15&amp;"")</f>
        <v/>
      </c>
      <c r="S908" s="0" t="str">
        <f aca="false">IF('THÁNG 12'!$C15="","",'THÁNG 12'!$S15&amp;"")</f>
        <v/>
      </c>
      <c r="T908" s="0" t="str">
        <f aca="false">IF(N($O908)&gt;0,COUNTIF($O$3:$O908,"&gt;0"),"")</f>
        <v/>
      </c>
      <c r="U908" s="0" t="str">
        <f aca="false">IF(AND(N($J908)&gt;0,N($K908)&gt;0),COUNTIFS($J$3:$J908,"&gt;0",$K$3:$K908,"&gt;0"),"")</f>
        <v/>
      </c>
      <c r="V908" s="0" t="str">
        <f aca="false">IF(AND(N($J908)&gt;0,N($K908)=0),COUNTIFS($J$3:$J908,"&gt;0",$K$3:$K908,"&lt;=0"),"")</f>
        <v/>
      </c>
      <c r="W908" s="0" t="str">
        <f aca="false">IF($C908="","",IF(COUNTIF($C$3:$C908,$C908)&gt;1,"",MAX($W$2:W907)+1))</f>
        <v/>
      </c>
      <c r="X908" s="0" t="str">
        <f aca="false">IF($H908="","",IF(COUNTIF($H$3:$H908,$H908)&gt;1,"",MAX($X$2:X907)+1))</f>
        <v/>
      </c>
      <c r="Y908" s="0" t="str">
        <f aca="false">IF(AND(N($M908)&gt;0,N($O908)&lt;=0),COUNTIFS($M$3:$M908,"&gt;0",$O$3:$O908,"&lt;=0"),"")</f>
        <v/>
      </c>
      <c r="Z908" s="30" t="n">
        <f aca="false">IF(OR('THÁNG 12'!$C15="",'THÁNG 12'!$B15=""),0,'THÁNG 12'!$B15)</f>
        <v>0</v>
      </c>
    </row>
    <row r="909" customFormat="false" ht="15" hidden="false" customHeight="false" outlineLevel="0" collapsed="false">
      <c r="A909" s="0" t="n">
        <v>12</v>
      </c>
      <c r="B909" s="29" t="str">
        <f aca="false">IF(OR('THÁNG 12'!$C16="",'THÁNG 12'!$B16=""),"",'THÁNG 12'!$B16)</f>
        <v/>
      </c>
      <c r="C909" s="0" t="str">
        <f aca="false">IF('THÁNG 12'!$C16="","",'THÁNG 12'!$C16)</f>
        <v/>
      </c>
      <c r="D909" s="0" t="str">
        <f aca="false">IF('THÁNG 12'!$C16="","",'THÁNG 12'!$D16&amp;"")</f>
        <v/>
      </c>
      <c r="E909" s="0" t="str">
        <f aca="false">IF('THÁNG 12'!$C16="","",'THÁNG 12'!$E16&amp;"")</f>
        <v/>
      </c>
      <c r="F909" s="0" t="str">
        <f aca="false">IF('THÁNG 12'!$C16="","",'THÁNG 12'!$F16&amp;"")</f>
        <v/>
      </c>
      <c r="G909" s="0" t="str">
        <f aca="false">IF('THÁNG 12'!$C16="","",'THÁNG 12'!$G16&amp;"")</f>
        <v/>
      </c>
      <c r="H909" s="0" t="str">
        <f aca="false">IF('THÁNG 12'!$C16="","",'THÁNG 12'!$H16&amp;"")</f>
        <v/>
      </c>
      <c r="I909" s="0" t="str">
        <f aca="false">IF('THÁNG 12'!$C16="","",N('THÁNG 12'!$I16))</f>
        <v/>
      </c>
      <c r="J909" s="0" t="str">
        <f aca="false">IF('THÁNG 12'!$C16="","",N('THÁNG 12'!$L16))</f>
        <v/>
      </c>
      <c r="K909" s="0" t="str">
        <f aca="false">IF('THÁNG 12'!$C16="","",N('THÁNG 12'!$N16))</f>
        <v/>
      </c>
      <c r="L909" s="0" t="str">
        <f aca="false">IF('THÁNG 12'!$C16="","",N('THÁNG 12'!$O16))</f>
        <v/>
      </c>
      <c r="M909" s="0" t="str">
        <f aca="false">IF('THÁNG 12'!$C16="","",N('THÁNG 12'!$P16))</f>
        <v/>
      </c>
      <c r="N909" s="0" t="str">
        <f aca="false">IF('THÁNG 12'!$C16="","",N('THÁNG 12'!$Q16))</f>
        <v/>
      </c>
      <c r="O909" s="0" t="str">
        <f aca="false">IF('THÁNG 12'!$C16="","",N('THÁNG 12'!$R16))</f>
        <v/>
      </c>
      <c r="P909" s="0" t="str">
        <f aca="false">IF(OR('THÁNG 12'!$C16="",'THÁNG 12'!$T16=""),"",'THÁNG 12'!$T16)</f>
        <v/>
      </c>
      <c r="Q909" s="0" t="str">
        <f aca="false">IF(OR('THÁNG 12'!$C16="",'THÁNG 12'!$U16=""),"",'THÁNG 12'!$U16)</f>
        <v/>
      </c>
      <c r="R909" s="0" t="str">
        <f aca="false">IF('THÁNG 12'!$C16="","",'THÁNG 12'!$W16&amp;"")</f>
        <v/>
      </c>
      <c r="S909" s="0" t="str">
        <f aca="false">IF('THÁNG 12'!$C16="","",'THÁNG 12'!$S16&amp;"")</f>
        <v/>
      </c>
      <c r="T909" s="0" t="str">
        <f aca="false">IF(N($O909)&gt;0,COUNTIF($O$3:$O909,"&gt;0"),"")</f>
        <v/>
      </c>
      <c r="U909" s="0" t="str">
        <f aca="false">IF(AND(N($J909)&gt;0,N($K909)&gt;0),COUNTIFS($J$3:$J909,"&gt;0",$K$3:$K909,"&gt;0"),"")</f>
        <v/>
      </c>
      <c r="V909" s="0" t="str">
        <f aca="false">IF(AND(N($J909)&gt;0,N($K909)=0),COUNTIFS($J$3:$J909,"&gt;0",$K$3:$K909,"&lt;=0"),"")</f>
        <v/>
      </c>
      <c r="W909" s="0" t="str">
        <f aca="false">IF($C909="","",IF(COUNTIF($C$3:$C909,$C909)&gt;1,"",MAX($W$2:W908)+1))</f>
        <v/>
      </c>
      <c r="X909" s="0" t="str">
        <f aca="false">IF($H909="","",IF(COUNTIF($H$3:$H909,$H909)&gt;1,"",MAX($X$2:X908)+1))</f>
        <v/>
      </c>
      <c r="Y909" s="0" t="str">
        <f aca="false">IF(AND(N($M909)&gt;0,N($O909)&lt;=0),COUNTIFS($M$3:$M909,"&gt;0",$O$3:$O909,"&lt;=0"),"")</f>
        <v/>
      </c>
      <c r="Z909" s="30" t="n">
        <f aca="false">IF(OR('THÁNG 12'!$C16="",'THÁNG 12'!$B16=""),0,'THÁNG 12'!$B16)</f>
        <v>0</v>
      </c>
    </row>
    <row r="910" customFormat="false" ht="15" hidden="false" customHeight="false" outlineLevel="0" collapsed="false">
      <c r="A910" s="0" t="n">
        <v>12</v>
      </c>
      <c r="B910" s="29" t="str">
        <f aca="false">IF(OR('THÁNG 12'!$C17="",'THÁNG 12'!$B17=""),"",'THÁNG 12'!$B17)</f>
        <v/>
      </c>
      <c r="C910" s="0" t="str">
        <f aca="false">IF('THÁNG 12'!$C17="","",'THÁNG 12'!$C17)</f>
        <v/>
      </c>
      <c r="D910" s="0" t="str">
        <f aca="false">IF('THÁNG 12'!$C17="","",'THÁNG 12'!$D17&amp;"")</f>
        <v/>
      </c>
      <c r="E910" s="0" t="str">
        <f aca="false">IF('THÁNG 12'!$C17="","",'THÁNG 12'!$E17&amp;"")</f>
        <v/>
      </c>
      <c r="F910" s="0" t="str">
        <f aca="false">IF('THÁNG 12'!$C17="","",'THÁNG 12'!$F17&amp;"")</f>
        <v/>
      </c>
      <c r="G910" s="0" t="str">
        <f aca="false">IF('THÁNG 12'!$C17="","",'THÁNG 12'!$G17&amp;"")</f>
        <v/>
      </c>
      <c r="H910" s="0" t="str">
        <f aca="false">IF('THÁNG 12'!$C17="","",'THÁNG 12'!$H17&amp;"")</f>
        <v/>
      </c>
      <c r="I910" s="0" t="str">
        <f aca="false">IF('THÁNG 12'!$C17="","",N('THÁNG 12'!$I17))</f>
        <v/>
      </c>
      <c r="J910" s="0" t="str">
        <f aca="false">IF('THÁNG 12'!$C17="","",N('THÁNG 12'!$L17))</f>
        <v/>
      </c>
      <c r="K910" s="0" t="str">
        <f aca="false">IF('THÁNG 12'!$C17="","",N('THÁNG 12'!$N17))</f>
        <v/>
      </c>
      <c r="L910" s="0" t="str">
        <f aca="false">IF('THÁNG 12'!$C17="","",N('THÁNG 12'!$O17))</f>
        <v/>
      </c>
      <c r="M910" s="0" t="str">
        <f aca="false">IF('THÁNG 12'!$C17="","",N('THÁNG 12'!$P17))</f>
        <v/>
      </c>
      <c r="N910" s="0" t="str">
        <f aca="false">IF('THÁNG 12'!$C17="","",N('THÁNG 12'!$Q17))</f>
        <v/>
      </c>
      <c r="O910" s="0" t="str">
        <f aca="false">IF('THÁNG 12'!$C17="","",N('THÁNG 12'!$R17))</f>
        <v/>
      </c>
      <c r="P910" s="0" t="str">
        <f aca="false">IF(OR('THÁNG 12'!$C17="",'THÁNG 12'!$T17=""),"",'THÁNG 12'!$T17)</f>
        <v/>
      </c>
      <c r="Q910" s="0" t="str">
        <f aca="false">IF(OR('THÁNG 12'!$C17="",'THÁNG 12'!$U17=""),"",'THÁNG 12'!$U17)</f>
        <v/>
      </c>
      <c r="R910" s="0" t="str">
        <f aca="false">IF('THÁNG 12'!$C17="","",'THÁNG 12'!$W17&amp;"")</f>
        <v/>
      </c>
      <c r="S910" s="0" t="str">
        <f aca="false">IF('THÁNG 12'!$C17="","",'THÁNG 12'!$S17&amp;"")</f>
        <v/>
      </c>
      <c r="T910" s="0" t="str">
        <f aca="false">IF(N($O910)&gt;0,COUNTIF($O$3:$O910,"&gt;0"),"")</f>
        <v/>
      </c>
      <c r="U910" s="0" t="str">
        <f aca="false">IF(AND(N($J910)&gt;0,N($K910)&gt;0),COUNTIFS($J$3:$J910,"&gt;0",$K$3:$K910,"&gt;0"),"")</f>
        <v/>
      </c>
      <c r="V910" s="0" t="str">
        <f aca="false">IF(AND(N($J910)&gt;0,N($K910)=0),COUNTIFS($J$3:$J910,"&gt;0",$K$3:$K910,"&lt;=0"),"")</f>
        <v/>
      </c>
      <c r="W910" s="0" t="str">
        <f aca="false">IF($C910="","",IF(COUNTIF($C$3:$C910,$C910)&gt;1,"",MAX($W$2:W909)+1))</f>
        <v/>
      </c>
      <c r="X910" s="0" t="str">
        <f aca="false">IF($H910="","",IF(COUNTIF($H$3:$H910,$H910)&gt;1,"",MAX($X$2:X909)+1))</f>
        <v/>
      </c>
      <c r="Y910" s="0" t="str">
        <f aca="false">IF(AND(N($M910)&gt;0,N($O910)&lt;=0),COUNTIFS($M$3:$M910,"&gt;0",$O$3:$O910,"&lt;=0"),"")</f>
        <v/>
      </c>
      <c r="Z910" s="30" t="n">
        <f aca="false">IF(OR('THÁNG 12'!$C17="",'THÁNG 12'!$B17=""),0,'THÁNG 12'!$B17)</f>
        <v>0</v>
      </c>
    </row>
    <row r="911" customFormat="false" ht="15" hidden="false" customHeight="false" outlineLevel="0" collapsed="false">
      <c r="A911" s="0" t="n">
        <v>12</v>
      </c>
      <c r="B911" s="29" t="str">
        <f aca="false">IF(OR('THÁNG 12'!$C18="",'THÁNG 12'!$B18=""),"",'THÁNG 12'!$B18)</f>
        <v/>
      </c>
      <c r="C911" s="0" t="str">
        <f aca="false">IF('THÁNG 12'!$C18="","",'THÁNG 12'!$C18)</f>
        <v/>
      </c>
      <c r="D911" s="0" t="str">
        <f aca="false">IF('THÁNG 12'!$C18="","",'THÁNG 12'!$D18&amp;"")</f>
        <v/>
      </c>
      <c r="E911" s="0" t="str">
        <f aca="false">IF('THÁNG 12'!$C18="","",'THÁNG 12'!$E18&amp;"")</f>
        <v/>
      </c>
      <c r="F911" s="0" t="str">
        <f aca="false">IF('THÁNG 12'!$C18="","",'THÁNG 12'!$F18&amp;"")</f>
        <v/>
      </c>
      <c r="G911" s="0" t="str">
        <f aca="false">IF('THÁNG 12'!$C18="","",'THÁNG 12'!$G18&amp;"")</f>
        <v/>
      </c>
      <c r="H911" s="0" t="str">
        <f aca="false">IF('THÁNG 12'!$C18="","",'THÁNG 12'!$H18&amp;"")</f>
        <v/>
      </c>
      <c r="I911" s="0" t="str">
        <f aca="false">IF('THÁNG 12'!$C18="","",N('THÁNG 12'!$I18))</f>
        <v/>
      </c>
      <c r="J911" s="0" t="str">
        <f aca="false">IF('THÁNG 12'!$C18="","",N('THÁNG 12'!$L18))</f>
        <v/>
      </c>
      <c r="K911" s="0" t="str">
        <f aca="false">IF('THÁNG 12'!$C18="","",N('THÁNG 12'!$N18))</f>
        <v/>
      </c>
      <c r="L911" s="0" t="str">
        <f aca="false">IF('THÁNG 12'!$C18="","",N('THÁNG 12'!$O18))</f>
        <v/>
      </c>
      <c r="M911" s="0" t="str">
        <f aca="false">IF('THÁNG 12'!$C18="","",N('THÁNG 12'!$P18))</f>
        <v/>
      </c>
      <c r="N911" s="0" t="str">
        <f aca="false">IF('THÁNG 12'!$C18="","",N('THÁNG 12'!$Q18))</f>
        <v/>
      </c>
      <c r="O911" s="0" t="str">
        <f aca="false">IF('THÁNG 12'!$C18="","",N('THÁNG 12'!$R18))</f>
        <v/>
      </c>
      <c r="P911" s="0" t="str">
        <f aca="false">IF(OR('THÁNG 12'!$C18="",'THÁNG 12'!$T18=""),"",'THÁNG 12'!$T18)</f>
        <v/>
      </c>
      <c r="Q911" s="0" t="str">
        <f aca="false">IF(OR('THÁNG 12'!$C18="",'THÁNG 12'!$U18=""),"",'THÁNG 12'!$U18)</f>
        <v/>
      </c>
      <c r="R911" s="0" t="str">
        <f aca="false">IF('THÁNG 12'!$C18="","",'THÁNG 12'!$W18&amp;"")</f>
        <v/>
      </c>
      <c r="S911" s="0" t="str">
        <f aca="false">IF('THÁNG 12'!$C18="","",'THÁNG 12'!$S18&amp;"")</f>
        <v/>
      </c>
      <c r="T911" s="0" t="str">
        <f aca="false">IF(N($O911)&gt;0,COUNTIF($O$3:$O911,"&gt;0"),"")</f>
        <v/>
      </c>
      <c r="U911" s="0" t="str">
        <f aca="false">IF(AND(N($J911)&gt;0,N($K911)&gt;0),COUNTIFS($J$3:$J911,"&gt;0",$K$3:$K911,"&gt;0"),"")</f>
        <v/>
      </c>
      <c r="V911" s="0" t="str">
        <f aca="false">IF(AND(N($J911)&gt;0,N($K911)=0),COUNTIFS($J$3:$J911,"&gt;0",$K$3:$K911,"&lt;=0"),"")</f>
        <v/>
      </c>
      <c r="W911" s="0" t="str">
        <f aca="false">IF($C911="","",IF(COUNTIF($C$3:$C911,$C911)&gt;1,"",MAX($W$2:W910)+1))</f>
        <v/>
      </c>
      <c r="X911" s="0" t="str">
        <f aca="false">IF($H911="","",IF(COUNTIF($H$3:$H911,$H911)&gt;1,"",MAX($X$2:X910)+1))</f>
        <v/>
      </c>
      <c r="Y911" s="0" t="str">
        <f aca="false">IF(AND(N($M911)&gt;0,N($O911)&lt;=0),COUNTIFS($M$3:$M911,"&gt;0",$O$3:$O911,"&lt;=0"),"")</f>
        <v/>
      </c>
      <c r="Z911" s="30" t="n">
        <f aca="false">IF(OR('THÁNG 12'!$C18="",'THÁNG 12'!$B18=""),0,'THÁNG 12'!$B18)</f>
        <v>0</v>
      </c>
    </row>
    <row r="912" customFormat="false" ht="15" hidden="false" customHeight="false" outlineLevel="0" collapsed="false">
      <c r="A912" s="0" t="n">
        <v>12</v>
      </c>
      <c r="B912" s="29" t="str">
        <f aca="false">IF(OR('THÁNG 12'!$C19="",'THÁNG 12'!$B19=""),"",'THÁNG 12'!$B19)</f>
        <v/>
      </c>
      <c r="C912" s="0" t="str">
        <f aca="false">IF('THÁNG 12'!$C19="","",'THÁNG 12'!$C19)</f>
        <v/>
      </c>
      <c r="D912" s="0" t="str">
        <f aca="false">IF('THÁNG 12'!$C19="","",'THÁNG 12'!$D19&amp;"")</f>
        <v/>
      </c>
      <c r="E912" s="0" t="str">
        <f aca="false">IF('THÁNG 12'!$C19="","",'THÁNG 12'!$E19&amp;"")</f>
        <v/>
      </c>
      <c r="F912" s="0" t="str">
        <f aca="false">IF('THÁNG 12'!$C19="","",'THÁNG 12'!$F19&amp;"")</f>
        <v/>
      </c>
      <c r="G912" s="0" t="str">
        <f aca="false">IF('THÁNG 12'!$C19="","",'THÁNG 12'!$G19&amp;"")</f>
        <v/>
      </c>
      <c r="H912" s="0" t="str">
        <f aca="false">IF('THÁNG 12'!$C19="","",'THÁNG 12'!$H19&amp;"")</f>
        <v/>
      </c>
      <c r="I912" s="0" t="str">
        <f aca="false">IF('THÁNG 12'!$C19="","",N('THÁNG 12'!$I19))</f>
        <v/>
      </c>
      <c r="J912" s="0" t="str">
        <f aca="false">IF('THÁNG 12'!$C19="","",N('THÁNG 12'!$L19))</f>
        <v/>
      </c>
      <c r="K912" s="0" t="str">
        <f aca="false">IF('THÁNG 12'!$C19="","",N('THÁNG 12'!$N19))</f>
        <v/>
      </c>
      <c r="L912" s="0" t="str">
        <f aca="false">IF('THÁNG 12'!$C19="","",N('THÁNG 12'!$O19))</f>
        <v/>
      </c>
      <c r="M912" s="0" t="str">
        <f aca="false">IF('THÁNG 12'!$C19="","",N('THÁNG 12'!$P19))</f>
        <v/>
      </c>
      <c r="N912" s="0" t="str">
        <f aca="false">IF('THÁNG 12'!$C19="","",N('THÁNG 12'!$Q19))</f>
        <v/>
      </c>
      <c r="O912" s="0" t="str">
        <f aca="false">IF('THÁNG 12'!$C19="","",N('THÁNG 12'!$R19))</f>
        <v/>
      </c>
      <c r="P912" s="0" t="str">
        <f aca="false">IF(OR('THÁNG 12'!$C19="",'THÁNG 12'!$T19=""),"",'THÁNG 12'!$T19)</f>
        <v/>
      </c>
      <c r="Q912" s="0" t="str">
        <f aca="false">IF(OR('THÁNG 12'!$C19="",'THÁNG 12'!$U19=""),"",'THÁNG 12'!$U19)</f>
        <v/>
      </c>
      <c r="R912" s="0" t="str">
        <f aca="false">IF('THÁNG 12'!$C19="","",'THÁNG 12'!$W19&amp;"")</f>
        <v/>
      </c>
      <c r="S912" s="0" t="str">
        <f aca="false">IF('THÁNG 12'!$C19="","",'THÁNG 12'!$S19&amp;"")</f>
        <v/>
      </c>
      <c r="T912" s="0" t="str">
        <f aca="false">IF(N($O912)&gt;0,COUNTIF($O$3:$O912,"&gt;0"),"")</f>
        <v/>
      </c>
      <c r="U912" s="0" t="str">
        <f aca="false">IF(AND(N($J912)&gt;0,N($K912)&gt;0),COUNTIFS($J$3:$J912,"&gt;0",$K$3:$K912,"&gt;0"),"")</f>
        <v/>
      </c>
      <c r="V912" s="0" t="str">
        <f aca="false">IF(AND(N($J912)&gt;0,N($K912)=0),COUNTIFS($J$3:$J912,"&gt;0",$K$3:$K912,"&lt;=0"),"")</f>
        <v/>
      </c>
      <c r="W912" s="0" t="str">
        <f aca="false">IF($C912="","",IF(COUNTIF($C$3:$C912,$C912)&gt;1,"",MAX($W$2:W911)+1))</f>
        <v/>
      </c>
      <c r="X912" s="0" t="str">
        <f aca="false">IF($H912="","",IF(COUNTIF($H$3:$H912,$H912)&gt;1,"",MAX($X$2:X911)+1))</f>
        <v/>
      </c>
      <c r="Y912" s="0" t="str">
        <f aca="false">IF(AND(N($M912)&gt;0,N($O912)&lt;=0),COUNTIFS($M$3:$M912,"&gt;0",$O$3:$O912,"&lt;=0"),"")</f>
        <v/>
      </c>
      <c r="Z912" s="30" t="n">
        <f aca="false">IF(OR('THÁNG 12'!$C19="",'THÁNG 12'!$B19=""),0,'THÁNG 12'!$B19)</f>
        <v>0</v>
      </c>
    </row>
    <row r="913" customFormat="false" ht="15" hidden="false" customHeight="false" outlineLevel="0" collapsed="false">
      <c r="A913" s="0" t="n">
        <v>12</v>
      </c>
      <c r="B913" s="29" t="str">
        <f aca="false">IF(OR('THÁNG 12'!$C20="",'THÁNG 12'!$B20=""),"",'THÁNG 12'!$B20)</f>
        <v/>
      </c>
      <c r="C913" s="0" t="str">
        <f aca="false">IF('THÁNG 12'!$C20="","",'THÁNG 12'!$C20)</f>
        <v/>
      </c>
      <c r="D913" s="0" t="str">
        <f aca="false">IF('THÁNG 12'!$C20="","",'THÁNG 12'!$D20&amp;"")</f>
        <v/>
      </c>
      <c r="E913" s="0" t="str">
        <f aca="false">IF('THÁNG 12'!$C20="","",'THÁNG 12'!$E20&amp;"")</f>
        <v/>
      </c>
      <c r="F913" s="0" t="str">
        <f aca="false">IF('THÁNG 12'!$C20="","",'THÁNG 12'!$F20&amp;"")</f>
        <v/>
      </c>
      <c r="G913" s="0" t="str">
        <f aca="false">IF('THÁNG 12'!$C20="","",'THÁNG 12'!$G20&amp;"")</f>
        <v/>
      </c>
      <c r="H913" s="0" t="str">
        <f aca="false">IF('THÁNG 12'!$C20="","",'THÁNG 12'!$H20&amp;"")</f>
        <v/>
      </c>
      <c r="I913" s="0" t="str">
        <f aca="false">IF('THÁNG 12'!$C20="","",N('THÁNG 12'!$I20))</f>
        <v/>
      </c>
      <c r="J913" s="0" t="str">
        <f aca="false">IF('THÁNG 12'!$C20="","",N('THÁNG 12'!$L20))</f>
        <v/>
      </c>
      <c r="K913" s="0" t="str">
        <f aca="false">IF('THÁNG 12'!$C20="","",N('THÁNG 12'!$N20))</f>
        <v/>
      </c>
      <c r="L913" s="0" t="str">
        <f aca="false">IF('THÁNG 12'!$C20="","",N('THÁNG 12'!$O20))</f>
        <v/>
      </c>
      <c r="M913" s="0" t="str">
        <f aca="false">IF('THÁNG 12'!$C20="","",N('THÁNG 12'!$P20))</f>
        <v/>
      </c>
      <c r="N913" s="0" t="str">
        <f aca="false">IF('THÁNG 12'!$C20="","",N('THÁNG 12'!$Q20))</f>
        <v/>
      </c>
      <c r="O913" s="0" t="str">
        <f aca="false">IF('THÁNG 12'!$C20="","",N('THÁNG 12'!$R20))</f>
        <v/>
      </c>
      <c r="P913" s="0" t="str">
        <f aca="false">IF(OR('THÁNG 12'!$C20="",'THÁNG 12'!$T20=""),"",'THÁNG 12'!$T20)</f>
        <v/>
      </c>
      <c r="Q913" s="0" t="str">
        <f aca="false">IF(OR('THÁNG 12'!$C20="",'THÁNG 12'!$U20=""),"",'THÁNG 12'!$U20)</f>
        <v/>
      </c>
      <c r="R913" s="0" t="str">
        <f aca="false">IF('THÁNG 12'!$C20="","",'THÁNG 12'!$W20&amp;"")</f>
        <v/>
      </c>
      <c r="S913" s="0" t="str">
        <f aca="false">IF('THÁNG 12'!$C20="","",'THÁNG 12'!$S20&amp;"")</f>
        <v/>
      </c>
      <c r="T913" s="0" t="str">
        <f aca="false">IF(N($O913)&gt;0,COUNTIF($O$3:$O913,"&gt;0"),"")</f>
        <v/>
      </c>
      <c r="U913" s="0" t="str">
        <f aca="false">IF(AND(N($J913)&gt;0,N($K913)&gt;0),COUNTIFS($J$3:$J913,"&gt;0",$K$3:$K913,"&gt;0"),"")</f>
        <v/>
      </c>
      <c r="V913" s="0" t="str">
        <f aca="false">IF(AND(N($J913)&gt;0,N($K913)=0),COUNTIFS($J$3:$J913,"&gt;0",$K$3:$K913,"&lt;=0"),"")</f>
        <v/>
      </c>
      <c r="W913" s="0" t="str">
        <f aca="false">IF($C913="","",IF(COUNTIF($C$3:$C913,$C913)&gt;1,"",MAX($W$2:W912)+1))</f>
        <v/>
      </c>
      <c r="X913" s="0" t="str">
        <f aca="false">IF($H913="","",IF(COUNTIF($H$3:$H913,$H913)&gt;1,"",MAX($X$2:X912)+1))</f>
        <v/>
      </c>
      <c r="Y913" s="0" t="str">
        <f aca="false">IF(AND(N($M913)&gt;0,N($O913)&lt;=0),COUNTIFS($M$3:$M913,"&gt;0",$O$3:$O913,"&lt;=0"),"")</f>
        <v/>
      </c>
      <c r="Z913" s="30" t="n">
        <f aca="false">IF(OR('THÁNG 12'!$C20="",'THÁNG 12'!$B20=""),0,'THÁNG 12'!$B20)</f>
        <v>0</v>
      </c>
    </row>
    <row r="914" customFormat="false" ht="15" hidden="false" customHeight="false" outlineLevel="0" collapsed="false">
      <c r="A914" s="0" t="n">
        <v>12</v>
      </c>
      <c r="B914" s="29" t="str">
        <f aca="false">IF(OR('THÁNG 12'!$C21="",'THÁNG 12'!$B21=""),"",'THÁNG 12'!$B21)</f>
        <v/>
      </c>
      <c r="C914" s="0" t="str">
        <f aca="false">IF('THÁNG 12'!$C21="","",'THÁNG 12'!$C21)</f>
        <v/>
      </c>
      <c r="D914" s="0" t="str">
        <f aca="false">IF('THÁNG 12'!$C21="","",'THÁNG 12'!$D21&amp;"")</f>
        <v/>
      </c>
      <c r="E914" s="0" t="str">
        <f aca="false">IF('THÁNG 12'!$C21="","",'THÁNG 12'!$E21&amp;"")</f>
        <v/>
      </c>
      <c r="F914" s="0" t="str">
        <f aca="false">IF('THÁNG 12'!$C21="","",'THÁNG 12'!$F21&amp;"")</f>
        <v/>
      </c>
      <c r="G914" s="0" t="str">
        <f aca="false">IF('THÁNG 12'!$C21="","",'THÁNG 12'!$G21&amp;"")</f>
        <v/>
      </c>
      <c r="H914" s="0" t="str">
        <f aca="false">IF('THÁNG 12'!$C21="","",'THÁNG 12'!$H21&amp;"")</f>
        <v/>
      </c>
      <c r="I914" s="0" t="str">
        <f aca="false">IF('THÁNG 12'!$C21="","",N('THÁNG 12'!$I21))</f>
        <v/>
      </c>
      <c r="J914" s="0" t="str">
        <f aca="false">IF('THÁNG 12'!$C21="","",N('THÁNG 12'!$L21))</f>
        <v/>
      </c>
      <c r="K914" s="0" t="str">
        <f aca="false">IF('THÁNG 12'!$C21="","",N('THÁNG 12'!$N21))</f>
        <v/>
      </c>
      <c r="L914" s="0" t="str">
        <f aca="false">IF('THÁNG 12'!$C21="","",N('THÁNG 12'!$O21))</f>
        <v/>
      </c>
      <c r="M914" s="0" t="str">
        <f aca="false">IF('THÁNG 12'!$C21="","",N('THÁNG 12'!$P21))</f>
        <v/>
      </c>
      <c r="N914" s="0" t="str">
        <f aca="false">IF('THÁNG 12'!$C21="","",N('THÁNG 12'!$Q21))</f>
        <v/>
      </c>
      <c r="O914" s="0" t="str">
        <f aca="false">IF('THÁNG 12'!$C21="","",N('THÁNG 12'!$R21))</f>
        <v/>
      </c>
      <c r="P914" s="0" t="str">
        <f aca="false">IF(OR('THÁNG 12'!$C21="",'THÁNG 12'!$T21=""),"",'THÁNG 12'!$T21)</f>
        <v/>
      </c>
      <c r="Q914" s="0" t="str">
        <f aca="false">IF(OR('THÁNG 12'!$C21="",'THÁNG 12'!$U21=""),"",'THÁNG 12'!$U21)</f>
        <v/>
      </c>
      <c r="R914" s="0" t="str">
        <f aca="false">IF('THÁNG 12'!$C21="","",'THÁNG 12'!$W21&amp;"")</f>
        <v/>
      </c>
      <c r="S914" s="0" t="str">
        <f aca="false">IF('THÁNG 12'!$C21="","",'THÁNG 12'!$S21&amp;"")</f>
        <v/>
      </c>
      <c r="T914" s="0" t="str">
        <f aca="false">IF(N($O914)&gt;0,COUNTIF($O$3:$O914,"&gt;0"),"")</f>
        <v/>
      </c>
      <c r="U914" s="0" t="str">
        <f aca="false">IF(AND(N($J914)&gt;0,N($K914)&gt;0),COUNTIFS($J$3:$J914,"&gt;0",$K$3:$K914,"&gt;0"),"")</f>
        <v/>
      </c>
      <c r="V914" s="0" t="str">
        <f aca="false">IF(AND(N($J914)&gt;0,N($K914)=0),COUNTIFS($J$3:$J914,"&gt;0",$K$3:$K914,"&lt;=0"),"")</f>
        <v/>
      </c>
      <c r="W914" s="0" t="str">
        <f aca="false">IF($C914="","",IF(COUNTIF($C$3:$C914,$C914)&gt;1,"",MAX($W$2:W913)+1))</f>
        <v/>
      </c>
      <c r="X914" s="0" t="str">
        <f aca="false">IF($H914="","",IF(COUNTIF($H$3:$H914,$H914)&gt;1,"",MAX($X$2:X913)+1))</f>
        <v/>
      </c>
      <c r="Y914" s="0" t="str">
        <f aca="false">IF(AND(N($M914)&gt;0,N($O914)&lt;=0),COUNTIFS($M$3:$M914,"&gt;0",$O$3:$O914,"&lt;=0"),"")</f>
        <v/>
      </c>
      <c r="Z914" s="30" t="n">
        <f aca="false">IF(OR('THÁNG 12'!$C21="",'THÁNG 12'!$B21=""),0,'THÁNG 12'!$B21)</f>
        <v>0</v>
      </c>
    </row>
    <row r="915" customFormat="false" ht="15" hidden="false" customHeight="false" outlineLevel="0" collapsed="false">
      <c r="A915" s="0" t="n">
        <v>12</v>
      </c>
      <c r="B915" s="29" t="str">
        <f aca="false">IF(OR('THÁNG 12'!$C22="",'THÁNG 12'!$B22=""),"",'THÁNG 12'!$B22)</f>
        <v/>
      </c>
      <c r="C915" s="0" t="str">
        <f aca="false">IF('THÁNG 12'!$C22="","",'THÁNG 12'!$C22)</f>
        <v/>
      </c>
      <c r="D915" s="0" t="str">
        <f aca="false">IF('THÁNG 12'!$C22="","",'THÁNG 12'!$D22&amp;"")</f>
        <v/>
      </c>
      <c r="E915" s="0" t="str">
        <f aca="false">IF('THÁNG 12'!$C22="","",'THÁNG 12'!$E22&amp;"")</f>
        <v/>
      </c>
      <c r="F915" s="0" t="str">
        <f aca="false">IF('THÁNG 12'!$C22="","",'THÁNG 12'!$F22&amp;"")</f>
        <v/>
      </c>
      <c r="G915" s="0" t="str">
        <f aca="false">IF('THÁNG 12'!$C22="","",'THÁNG 12'!$G22&amp;"")</f>
        <v/>
      </c>
      <c r="H915" s="0" t="str">
        <f aca="false">IF('THÁNG 12'!$C22="","",'THÁNG 12'!$H22&amp;"")</f>
        <v/>
      </c>
      <c r="I915" s="0" t="str">
        <f aca="false">IF('THÁNG 12'!$C22="","",N('THÁNG 12'!$I22))</f>
        <v/>
      </c>
      <c r="J915" s="0" t="str">
        <f aca="false">IF('THÁNG 12'!$C22="","",N('THÁNG 12'!$L22))</f>
        <v/>
      </c>
      <c r="K915" s="0" t="str">
        <f aca="false">IF('THÁNG 12'!$C22="","",N('THÁNG 12'!$N22))</f>
        <v/>
      </c>
      <c r="L915" s="0" t="str">
        <f aca="false">IF('THÁNG 12'!$C22="","",N('THÁNG 12'!$O22))</f>
        <v/>
      </c>
      <c r="M915" s="0" t="str">
        <f aca="false">IF('THÁNG 12'!$C22="","",N('THÁNG 12'!$P22))</f>
        <v/>
      </c>
      <c r="N915" s="0" t="str">
        <f aca="false">IF('THÁNG 12'!$C22="","",N('THÁNG 12'!$Q22))</f>
        <v/>
      </c>
      <c r="O915" s="0" t="str">
        <f aca="false">IF('THÁNG 12'!$C22="","",N('THÁNG 12'!$R22))</f>
        <v/>
      </c>
      <c r="P915" s="0" t="str">
        <f aca="false">IF(OR('THÁNG 12'!$C22="",'THÁNG 12'!$T22=""),"",'THÁNG 12'!$T22)</f>
        <v/>
      </c>
      <c r="Q915" s="0" t="str">
        <f aca="false">IF(OR('THÁNG 12'!$C22="",'THÁNG 12'!$U22=""),"",'THÁNG 12'!$U22)</f>
        <v/>
      </c>
      <c r="R915" s="0" t="str">
        <f aca="false">IF('THÁNG 12'!$C22="","",'THÁNG 12'!$W22&amp;"")</f>
        <v/>
      </c>
      <c r="S915" s="0" t="str">
        <f aca="false">IF('THÁNG 12'!$C22="","",'THÁNG 12'!$S22&amp;"")</f>
        <v/>
      </c>
      <c r="T915" s="0" t="str">
        <f aca="false">IF(N($O915)&gt;0,COUNTIF($O$3:$O915,"&gt;0"),"")</f>
        <v/>
      </c>
      <c r="U915" s="0" t="str">
        <f aca="false">IF(AND(N($J915)&gt;0,N($K915)&gt;0),COUNTIFS($J$3:$J915,"&gt;0",$K$3:$K915,"&gt;0"),"")</f>
        <v/>
      </c>
      <c r="V915" s="0" t="str">
        <f aca="false">IF(AND(N($J915)&gt;0,N($K915)=0),COUNTIFS($J$3:$J915,"&gt;0",$K$3:$K915,"&lt;=0"),"")</f>
        <v/>
      </c>
      <c r="W915" s="0" t="str">
        <f aca="false">IF($C915="","",IF(COUNTIF($C$3:$C915,$C915)&gt;1,"",MAX($W$2:W914)+1))</f>
        <v/>
      </c>
      <c r="X915" s="0" t="str">
        <f aca="false">IF($H915="","",IF(COUNTIF($H$3:$H915,$H915)&gt;1,"",MAX($X$2:X914)+1))</f>
        <v/>
      </c>
      <c r="Y915" s="0" t="str">
        <f aca="false">IF(AND(N($M915)&gt;0,N($O915)&lt;=0),COUNTIFS($M$3:$M915,"&gt;0",$O$3:$O915,"&lt;=0"),"")</f>
        <v/>
      </c>
      <c r="Z915" s="30" t="n">
        <f aca="false">IF(OR('THÁNG 12'!$C22="",'THÁNG 12'!$B22=""),0,'THÁNG 12'!$B22)</f>
        <v>0</v>
      </c>
    </row>
    <row r="916" customFormat="false" ht="15" hidden="false" customHeight="false" outlineLevel="0" collapsed="false">
      <c r="A916" s="0" t="n">
        <v>12</v>
      </c>
      <c r="B916" s="29" t="str">
        <f aca="false">IF(OR('THÁNG 12'!$C23="",'THÁNG 12'!$B23=""),"",'THÁNG 12'!$B23)</f>
        <v/>
      </c>
      <c r="C916" s="0" t="str">
        <f aca="false">IF('THÁNG 12'!$C23="","",'THÁNG 12'!$C23)</f>
        <v/>
      </c>
      <c r="D916" s="0" t="str">
        <f aca="false">IF('THÁNG 12'!$C23="","",'THÁNG 12'!$D23&amp;"")</f>
        <v/>
      </c>
      <c r="E916" s="0" t="str">
        <f aca="false">IF('THÁNG 12'!$C23="","",'THÁNG 12'!$E23&amp;"")</f>
        <v/>
      </c>
      <c r="F916" s="0" t="str">
        <f aca="false">IF('THÁNG 12'!$C23="","",'THÁNG 12'!$F23&amp;"")</f>
        <v/>
      </c>
      <c r="G916" s="0" t="str">
        <f aca="false">IF('THÁNG 12'!$C23="","",'THÁNG 12'!$G23&amp;"")</f>
        <v/>
      </c>
      <c r="H916" s="0" t="str">
        <f aca="false">IF('THÁNG 12'!$C23="","",'THÁNG 12'!$H23&amp;"")</f>
        <v/>
      </c>
      <c r="I916" s="0" t="str">
        <f aca="false">IF('THÁNG 12'!$C23="","",N('THÁNG 12'!$I23))</f>
        <v/>
      </c>
      <c r="J916" s="0" t="str">
        <f aca="false">IF('THÁNG 12'!$C23="","",N('THÁNG 12'!$L23))</f>
        <v/>
      </c>
      <c r="K916" s="0" t="str">
        <f aca="false">IF('THÁNG 12'!$C23="","",N('THÁNG 12'!$N23))</f>
        <v/>
      </c>
      <c r="L916" s="0" t="str">
        <f aca="false">IF('THÁNG 12'!$C23="","",N('THÁNG 12'!$O23))</f>
        <v/>
      </c>
      <c r="M916" s="0" t="str">
        <f aca="false">IF('THÁNG 12'!$C23="","",N('THÁNG 12'!$P23))</f>
        <v/>
      </c>
      <c r="N916" s="0" t="str">
        <f aca="false">IF('THÁNG 12'!$C23="","",N('THÁNG 12'!$Q23))</f>
        <v/>
      </c>
      <c r="O916" s="0" t="str">
        <f aca="false">IF('THÁNG 12'!$C23="","",N('THÁNG 12'!$R23))</f>
        <v/>
      </c>
      <c r="P916" s="0" t="str">
        <f aca="false">IF(OR('THÁNG 12'!$C23="",'THÁNG 12'!$T23=""),"",'THÁNG 12'!$T23)</f>
        <v/>
      </c>
      <c r="Q916" s="0" t="str">
        <f aca="false">IF(OR('THÁNG 12'!$C23="",'THÁNG 12'!$U23=""),"",'THÁNG 12'!$U23)</f>
        <v/>
      </c>
      <c r="R916" s="0" t="str">
        <f aca="false">IF('THÁNG 12'!$C23="","",'THÁNG 12'!$W23&amp;"")</f>
        <v/>
      </c>
      <c r="S916" s="0" t="str">
        <f aca="false">IF('THÁNG 12'!$C23="","",'THÁNG 12'!$S23&amp;"")</f>
        <v/>
      </c>
      <c r="T916" s="0" t="str">
        <f aca="false">IF(N($O916)&gt;0,COUNTIF($O$3:$O916,"&gt;0"),"")</f>
        <v/>
      </c>
      <c r="U916" s="0" t="str">
        <f aca="false">IF(AND(N($J916)&gt;0,N($K916)&gt;0),COUNTIFS($J$3:$J916,"&gt;0",$K$3:$K916,"&gt;0"),"")</f>
        <v/>
      </c>
      <c r="V916" s="0" t="str">
        <f aca="false">IF(AND(N($J916)&gt;0,N($K916)=0),COUNTIFS($J$3:$J916,"&gt;0",$K$3:$K916,"&lt;=0"),"")</f>
        <v/>
      </c>
      <c r="W916" s="0" t="str">
        <f aca="false">IF($C916="","",IF(COUNTIF($C$3:$C916,$C916)&gt;1,"",MAX($W$2:W915)+1))</f>
        <v/>
      </c>
      <c r="X916" s="0" t="str">
        <f aca="false">IF($H916="","",IF(COUNTIF($H$3:$H916,$H916)&gt;1,"",MAX($X$2:X915)+1))</f>
        <v/>
      </c>
      <c r="Y916" s="0" t="str">
        <f aca="false">IF(AND(N($M916)&gt;0,N($O916)&lt;=0),COUNTIFS($M$3:$M916,"&gt;0",$O$3:$O916,"&lt;=0"),"")</f>
        <v/>
      </c>
      <c r="Z916" s="30" t="n">
        <f aca="false">IF(OR('THÁNG 12'!$C23="",'THÁNG 12'!$B23=""),0,'THÁNG 12'!$B23)</f>
        <v>0</v>
      </c>
    </row>
    <row r="917" customFormat="false" ht="15" hidden="false" customHeight="false" outlineLevel="0" collapsed="false">
      <c r="A917" s="0" t="n">
        <v>12</v>
      </c>
      <c r="B917" s="29" t="str">
        <f aca="false">IF(OR('THÁNG 12'!$C24="",'THÁNG 12'!$B24=""),"",'THÁNG 12'!$B24)</f>
        <v/>
      </c>
      <c r="C917" s="0" t="str">
        <f aca="false">IF('THÁNG 12'!$C24="","",'THÁNG 12'!$C24)</f>
        <v/>
      </c>
      <c r="D917" s="0" t="str">
        <f aca="false">IF('THÁNG 12'!$C24="","",'THÁNG 12'!$D24&amp;"")</f>
        <v/>
      </c>
      <c r="E917" s="0" t="str">
        <f aca="false">IF('THÁNG 12'!$C24="","",'THÁNG 12'!$E24&amp;"")</f>
        <v/>
      </c>
      <c r="F917" s="0" t="str">
        <f aca="false">IF('THÁNG 12'!$C24="","",'THÁNG 12'!$F24&amp;"")</f>
        <v/>
      </c>
      <c r="G917" s="0" t="str">
        <f aca="false">IF('THÁNG 12'!$C24="","",'THÁNG 12'!$G24&amp;"")</f>
        <v/>
      </c>
      <c r="H917" s="0" t="str">
        <f aca="false">IF('THÁNG 12'!$C24="","",'THÁNG 12'!$H24&amp;"")</f>
        <v/>
      </c>
      <c r="I917" s="0" t="str">
        <f aca="false">IF('THÁNG 12'!$C24="","",N('THÁNG 12'!$I24))</f>
        <v/>
      </c>
      <c r="J917" s="0" t="str">
        <f aca="false">IF('THÁNG 12'!$C24="","",N('THÁNG 12'!$L24))</f>
        <v/>
      </c>
      <c r="K917" s="0" t="str">
        <f aca="false">IF('THÁNG 12'!$C24="","",N('THÁNG 12'!$N24))</f>
        <v/>
      </c>
      <c r="L917" s="0" t="str">
        <f aca="false">IF('THÁNG 12'!$C24="","",N('THÁNG 12'!$O24))</f>
        <v/>
      </c>
      <c r="M917" s="0" t="str">
        <f aca="false">IF('THÁNG 12'!$C24="","",N('THÁNG 12'!$P24))</f>
        <v/>
      </c>
      <c r="N917" s="0" t="str">
        <f aca="false">IF('THÁNG 12'!$C24="","",N('THÁNG 12'!$Q24))</f>
        <v/>
      </c>
      <c r="O917" s="0" t="str">
        <f aca="false">IF('THÁNG 12'!$C24="","",N('THÁNG 12'!$R24))</f>
        <v/>
      </c>
      <c r="P917" s="0" t="str">
        <f aca="false">IF(OR('THÁNG 12'!$C24="",'THÁNG 12'!$T24=""),"",'THÁNG 12'!$T24)</f>
        <v/>
      </c>
      <c r="Q917" s="0" t="str">
        <f aca="false">IF(OR('THÁNG 12'!$C24="",'THÁNG 12'!$U24=""),"",'THÁNG 12'!$U24)</f>
        <v/>
      </c>
      <c r="R917" s="0" t="str">
        <f aca="false">IF('THÁNG 12'!$C24="","",'THÁNG 12'!$W24&amp;"")</f>
        <v/>
      </c>
      <c r="S917" s="0" t="str">
        <f aca="false">IF('THÁNG 12'!$C24="","",'THÁNG 12'!$S24&amp;"")</f>
        <v/>
      </c>
      <c r="T917" s="0" t="str">
        <f aca="false">IF(N($O917)&gt;0,COUNTIF($O$3:$O917,"&gt;0"),"")</f>
        <v/>
      </c>
      <c r="U917" s="0" t="str">
        <f aca="false">IF(AND(N($J917)&gt;0,N($K917)&gt;0),COUNTIFS($J$3:$J917,"&gt;0",$K$3:$K917,"&gt;0"),"")</f>
        <v/>
      </c>
      <c r="V917" s="0" t="str">
        <f aca="false">IF(AND(N($J917)&gt;0,N($K917)=0),COUNTIFS($J$3:$J917,"&gt;0",$K$3:$K917,"&lt;=0"),"")</f>
        <v/>
      </c>
      <c r="W917" s="0" t="str">
        <f aca="false">IF($C917="","",IF(COUNTIF($C$3:$C917,$C917)&gt;1,"",MAX($W$2:W916)+1))</f>
        <v/>
      </c>
      <c r="X917" s="0" t="str">
        <f aca="false">IF($H917="","",IF(COUNTIF($H$3:$H917,$H917)&gt;1,"",MAX($X$2:X916)+1))</f>
        <v/>
      </c>
      <c r="Y917" s="0" t="str">
        <f aca="false">IF(AND(N($M917)&gt;0,N($O917)&lt;=0),COUNTIFS($M$3:$M917,"&gt;0",$O$3:$O917,"&lt;=0"),"")</f>
        <v/>
      </c>
      <c r="Z917" s="30" t="n">
        <f aca="false">IF(OR('THÁNG 12'!$C24="",'THÁNG 12'!$B24=""),0,'THÁNG 12'!$B24)</f>
        <v>0</v>
      </c>
    </row>
    <row r="918" customFormat="false" ht="15" hidden="false" customHeight="false" outlineLevel="0" collapsed="false">
      <c r="A918" s="0" t="n">
        <v>12</v>
      </c>
      <c r="B918" s="29" t="str">
        <f aca="false">IF(OR('THÁNG 12'!$C25="",'THÁNG 12'!$B25=""),"",'THÁNG 12'!$B25)</f>
        <v/>
      </c>
      <c r="C918" s="0" t="str">
        <f aca="false">IF('THÁNG 12'!$C25="","",'THÁNG 12'!$C25)</f>
        <v/>
      </c>
      <c r="D918" s="0" t="str">
        <f aca="false">IF('THÁNG 12'!$C25="","",'THÁNG 12'!$D25&amp;"")</f>
        <v/>
      </c>
      <c r="E918" s="0" t="str">
        <f aca="false">IF('THÁNG 12'!$C25="","",'THÁNG 12'!$E25&amp;"")</f>
        <v/>
      </c>
      <c r="F918" s="0" t="str">
        <f aca="false">IF('THÁNG 12'!$C25="","",'THÁNG 12'!$F25&amp;"")</f>
        <v/>
      </c>
      <c r="G918" s="0" t="str">
        <f aca="false">IF('THÁNG 12'!$C25="","",'THÁNG 12'!$G25&amp;"")</f>
        <v/>
      </c>
      <c r="H918" s="0" t="str">
        <f aca="false">IF('THÁNG 12'!$C25="","",'THÁNG 12'!$H25&amp;"")</f>
        <v/>
      </c>
      <c r="I918" s="0" t="str">
        <f aca="false">IF('THÁNG 12'!$C25="","",N('THÁNG 12'!$I25))</f>
        <v/>
      </c>
      <c r="J918" s="0" t="str">
        <f aca="false">IF('THÁNG 12'!$C25="","",N('THÁNG 12'!$L25))</f>
        <v/>
      </c>
      <c r="K918" s="0" t="str">
        <f aca="false">IF('THÁNG 12'!$C25="","",N('THÁNG 12'!$N25))</f>
        <v/>
      </c>
      <c r="L918" s="0" t="str">
        <f aca="false">IF('THÁNG 12'!$C25="","",N('THÁNG 12'!$O25))</f>
        <v/>
      </c>
      <c r="M918" s="0" t="str">
        <f aca="false">IF('THÁNG 12'!$C25="","",N('THÁNG 12'!$P25))</f>
        <v/>
      </c>
      <c r="N918" s="0" t="str">
        <f aca="false">IF('THÁNG 12'!$C25="","",N('THÁNG 12'!$Q25))</f>
        <v/>
      </c>
      <c r="O918" s="0" t="str">
        <f aca="false">IF('THÁNG 12'!$C25="","",N('THÁNG 12'!$R25))</f>
        <v/>
      </c>
      <c r="P918" s="0" t="str">
        <f aca="false">IF(OR('THÁNG 12'!$C25="",'THÁNG 12'!$T25=""),"",'THÁNG 12'!$T25)</f>
        <v/>
      </c>
      <c r="Q918" s="0" t="str">
        <f aca="false">IF(OR('THÁNG 12'!$C25="",'THÁNG 12'!$U25=""),"",'THÁNG 12'!$U25)</f>
        <v/>
      </c>
      <c r="R918" s="0" t="str">
        <f aca="false">IF('THÁNG 12'!$C25="","",'THÁNG 12'!$W25&amp;"")</f>
        <v/>
      </c>
      <c r="S918" s="0" t="str">
        <f aca="false">IF('THÁNG 12'!$C25="","",'THÁNG 12'!$S25&amp;"")</f>
        <v/>
      </c>
      <c r="T918" s="0" t="str">
        <f aca="false">IF(N($O918)&gt;0,COUNTIF($O$3:$O918,"&gt;0"),"")</f>
        <v/>
      </c>
      <c r="U918" s="0" t="str">
        <f aca="false">IF(AND(N($J918)&gt;0,N($K918)&gt;0),COUNTIFS($J$3:$J918,"&gt;0",$K$3:$K918,"&gt;0"),"")</f>
        <v/>
      </c>
      <c r="V918" s="0" t="str">
        <f aca="false">IF(AND(N($J918)&gt;0,N($K918)=0),COUNTIFS($J$3:$J918,"&gt;0",$K$3:$K918,"&lt;=0"),"")</f>
        <v/>
      </c>
      <c r="W918" s="0" t="str">
        <f aca="false">IF($C918="","",IF(COUNTIF($C$3:$C918,$C918)&gt;1,"",MAX($W$2:W917)+1))</f>
        <v/>
      </c>
      <c r="X918" s="0" t="str">
        <f aca="false">IF($H918="","",IF(COUNTIF($H$3:$H918,$H918)&gt;1,"",MAX($X$2:X917)+1))</f>
        <v/>
      </c>
      <c r="Y918" s="0" t="str">
        <f aca="false">IF(AND(N($M918)&gt;0,N($O918)&lt;=0),COUNTIFS($M$3:$M918,"&gt;0",$O$3:$O918,"&lt;=0"),"")</f>
        <v/>
      </c>
      <c r="Z918" s="30" t="n">
        <f aca="false">IF(OR('THÁNG 12'!$C25="",'THÁNG 12'!$B25=""),0,'THÁNG 12'!$B25)</f>
        <v>0</v>
      </c>
    </row>
    <row r="919" customFormat="false" ht="15" hidden="false" customHeight="false" outlineLevel="0" collapsed="false">
      <c r="A919" s="0" t="n">
        <v>12</v>
      </c>
      <c r="B919" s="29" t="str">
        <f aca="false">IF(OR('THÁNG 12'!$C26="",'THÁNG 12'!$B26=""),"",'THÁNG 12'!$B26)</f>
        <v/>
      </c>
      <c r="C919" s="0" t="str">
        <f aca="false">IF('THÁNG 12'!$C26="","",'THÁNG 12'!$C26)</f>
        <v/>
      </c>
      <c r="D919" s="0" t="str">
        <f aca="false">IF('THÁNG 12'!$C26="","",'THÁNG 12'!$D26&amp;"")</f>
        <v/>
      </c>
      <c r="E919" s="0" t="str">
        <f aca="false">IF('THÁNG 12'!$C26="","",'THÁNG 12'!$E26&amp;"")</f>
        <v/>
      </c>
      <c r="F919" s="0" t="str">
        <f aca="false">IF('THÁNG 12'!$C26="","",'THÁNG 12'!$F26&amp;"")</f>
        <v/>
      </c>
      <c r="G919" s="0" t="str">
        <f aca="false">IF('THÁNG 12'!$C26="","",'THÁNG 12'!$G26&amp;"")</f>
        <v/>
      </c>
      <c r="H919" s="0" t="str">
        <f aca="false">IF('THÁNG 12'!$C26="","",'THÁNG 12'!$H26&amp;"")</f>
        <v/>
      </c>
      <c r="I919" s="0" t="str">
        <f aca="false">IF('THÁNG 12'!$C26="","",N('THÁNG 12'!$I26))</f>
        <v/>
      </c>
      <c r="J919" s="0" t="str">
        <f aca="false">IF('THÁNG 12'!$C26="","",N('THÁNG 12'!$L26))</f>
        <v/>
      </c>
      <c r="K919" s="0" t="str">
        <f aca="false">IF('THÁNG 12'!$C26="","",N('THÁNG 12'!$N26))</f>
        <v/>
      </c>
      <c r="L919" s="0" t="str">
        <f aca="false">IF('THÁNG 12'!$C26="","",N('THÁNG 12'!$O26))</f>
        <v/>
      </c>
      <c r="M919" s="0" t="str">
        <f aca="false">IF('THÁNG 12'!$C26="","",N('THÁNG 12'!$P26))</f>
        <v/>
      </c>
      <c r="N919" s="0" t="str">
        <f aca="false">IF('THÁNG 12'!$C26="","",N('THÁNG 12'!$Q26))</f>
        <v/>
      </c>
      <c r="O919" s="0" t="str">
        <f aca="false">IF('THÁNG 12'!$C26="","",N('THÁNG 12'!$R26))</f>
        <v/>
      </c>
      <c r="P919" s="0" t="str">
        <f aca="false">IF(OR('THÁNG 12'!$C26="",'THÁNG 12'!$T26=""),"",'THÁNG 12'!$T26)</f>
        <v/>
      </c>
      <c r="Q919" s="0" t="str">
        <f aca="false">IF(OR('THÁNG 12'!$C26="",'THÁNG 12'!$U26=""),"",'THÁNG 12'!$U26)</f>
        <v/>
      </c>
      <c r="R919" s="0" t="str">
        <f aca="false">IF('THÁNG 12'!$C26="","",'THÁNG 12'!$W26&amp;"")</f>
        <v/>
      </c>
      <c r="S919" s="0" t="str">
        <f aca="false">IF('THÁNG 12'!$C26="","",'THÁNG 12'!$S26&amp;"")</f>
        <v/>
      </c>
      <c r="T919" s="0" t="str">
        <f aca="false">IF(N($O919)&gt;0,COUNTIF($O$3:$O919,"&gt;0"),"")</f>
        <v/>
      </c>
      <c r="U919" s="0" t="str">
        <f aca="false">IF(AND(N($J919)&gt;0,N($K919)&gt;0),COUNTIFS($J$3:$J919,"&gt;0",$K$3:$K919,"&gt;0"),"")</f>
        <v/>
      </c>
      <c r="V919" s="0" t="str">
        <f aca="false">IF(AND(N($J919)&gt;0,N($K919)=0),COUNTIFS($J$3:$J919,"&gt;0",$K$3:$K919,"&lt;=0"),"")</f>
        <v/>
      </c>
      <c r="W919" s="0" t="str">
        <f aca="false">IF($C919="","",IF(COUNTIF($C$3:$C919,$C919)&gt;1,"",MAX($W$2:W918)+1))</f>
        <v/>
      </c>
      <c r="X919" s="0" t="str">
        <f aca="false">IF($H919="","",IF(COUNTIF($H$3:$H919,$H919)&gt;1,"",MAX($X$2:X918)+1))</f>
        <v/>
      </c>
      <c r="Y919" s="0" t="str">
        <f aca="false">IF(AND(N($M919)&gt;0,N($O919)&lt;=0),COUNTIFS($M$3:$M919,"&gt;0",$O$3:$O919,"&lt;=0"),"")</f>
        <v/>
      </c>
      <c r="Z919" s="30" t="n">
        <f aca="false">IF(OR('THÁNG 12'!$C26="",'THÁNG 12'!$B26=""),0,'THÁNG 12'!$B26)</f>
        <v>0</v>
      </c>
    </row>
    <row r="920" customFormat="false" ht="15" hidden="false" customHeight="false" outlineLevel="0" collapsed="false">
      <c r="A920" s="0" t="n">
        <v>12</v>
      </c>
      <c r="B920" s="29" t="str">
        <f aca="false">IF(OR('THÁNG 12'!$C27="",'THÁNG 12'!$B27=""),"",'THÁNG 12'!$B27)</f>
        <v/>
      </c>
      <c r="C920" s="0" t="str">
        <f aca="false">IF('THÁNG 12'!$C27="","",'THÁNG 12'!$C27)</f>
        <v/>
      </c>
      <c r="D920" s="0" t="str">
        <f aca="false">IF('THÁNG 12'!$C27="","",'THÁNG 12'!$D27&amp;"")</f>
        <v/>
      </c>
      <c r="E920" s="0" t="str">
        <f aca="false">IF('THÁNG 12'!$C27="","",'THÁNG 12'!$E27&amp;"")</f>
        <v/>
      </c>
      <c r="F920" s="0" t="str">
        <f aca="false">IF('THÁNG 12'!$C27="","",'THÁNG 12'!$F27&amp;"")</f>
        <v/>
      </c>
      <c r="G920" s="0" t="str">
        <f aca="false">IF('THÁNG 12'!$C27="","",'THÁNG 12'!$G27&amp;"")</f>
        <v/>
      </c>
      <c r="H920" s="0" t="str">
        <f aca="false">IF('THÁNG 12'!$C27="","",'THÁNG 12'!$H27&amp;"")</f>
        <v/>
      </c>
      <c r="I920" s="0" t="str">
        <f aca="false">IF('THÁNG 12'!$C27="","",N('THÁNG 12'!$I27))</f>
        <v/>
      </c>
      <c r="J920" s="0" t="str">
        <f aca="false">IF('THÁNG 12'!$C27="","",N('THÁNG 12'!$L27))</f>
        <v/>
      </c>
      <c r="K920" s="0" t="str">
        <f aca="false">IF('THÁNG 12'!$C27="","",N('THÁNG 12'!$N27))</f>
        <v/>
      </c>
      <c r="L920" s="0" t="str">
        <f aca="false">IF('THÁNG 12'!$C27="","",N('THÁNG 12'!$O27))</f>
        <v/>
      </c>
      <c r="M920" s="0" t="str">
        <f aca="false">IF('THÁNG 12'!$C27="","",N('THÁNG 12'!$P27))</f>
        <v/>
      </c>
      <c r="N920" s="0" t="str">
        <f aca="false">IF('THÁNG 12'!$C27="","",N('THÁNG 12'!$Q27))</f>
        <v/>
      </c>
      <c r="O920" s="0" t="str">
        <f aca="false">IF('THÁNG 12'!$C27="","",N('THÁNG 12'!$R27))</f>
        <v/>
      </c>
      <c r="P920" s="0" t="str">
        <f aca="false">IF(OR('THÁNG 12'!$C27="",'THÁNG 12'!$T27=""),"",'THÁNG 12'!$T27)</f>
        <v/>
      </c>
      <c r="Q920" s="0" t="str">
        <f aca="false">IF(OR('THÁNG 12'!$C27="",'THÁNG 12'!$U27=""),"",'THÁNG 12'!$U27)</f>
        <v/>
      </c>
      <c r="R920" s="0" t="str">
        <f aca="false">IF('THÁNG 12'!$C27="","",'THÁNG 12'!$W27&amp;"")</f>
        <v/>
      </c>
      <c r="S920" s="0" t="str">
        <f aca="false">IF('THÁNG 12'!$C27="","",'THÁNG 12'!$S27&amp;"")</f>
        <v/>
      </c>
      <c r="T920" s="0" t="str">
        <f aca="false">IF(N($O920)&gt;0,COUNTIF($O$3:$O920,"&gt;0"),"")</f>
        <v/>
      </c>
      <c r="U920" s="0" t="str">
        <f aca="false">IF(AND(N($J920)&gt;0,N($K920)&gt;0),COUNTIFS($J$3:$J920,"&gt;0",$K$3:$K920,"&gt;0"),"")</f>
        <v/>
      </c>
      <c r="V920" s="0" t="str">
        <f aca="false">IF(AND(N($J920)&gt;0,N($K920)=0),COUNTIFS($J$3:$J920,"&gt;0",$K$3:$K920,"&lt;=0"),"")</f>
        <v/>
      </c>
      <c r="W920" s="0" t="str">
        <f aca="false">IF($C920="","",IF(COUNTIF($C$3:$C920,$C920)&gt;1,"",MAX($W$2:W919)+1))</f>
        <v/>
      </c>
      <c r="X920" s="0" t="str">
        <f aca="false">IF($H920="","",IF(COUNTIF($H$3:$H920,$H920)&gt;1,"",MAX($X$2:X919)+1))</f>
        <v/>
      </c>
      <c r="Y920" s="0" t="str">
        <f aca="false">IF(AND(N($M920)&gt;0,N($O920)&lt;=0),COUNTIFS($M$3:$M920,"&gt;0",$O$3:$O920,"&lt;=0"),"")</f>
        <v/>
      </c>
      <c r="Z920" s="30" t="n">
        <f aca="false">IF(OR('THÁNG 12'!$C27="",'THÁNG 12'!$B27=""),0,'THÁNG 12'!$B27)</f>
        <v>0</v>
      </c>
    </row>
    <row r="921" customFormat="false" ht="15" hidden="false" customHeight="false" outlineLevel="0" collapsed="false">
      <c r="A921" s="0" t="n">
        <v>12</v>
      </c>
      <c r="B921" s="29" t="str">
        <f aca="false">IF(OR('THÁNG 12'!$C28="",'THÁNG 12'!$B28=""),"",'THÁNG 12'!$B28)</f>
        <v/>
      </c>
      <c r="C921" s="0" t="str">
        <f aca="false">IF('THÁNG 12'!$C28="","",'THÁNG 12'!$C28)</f>
        <v/>
      </c>
      <c r="D921" s="0" t="str">
        <f aca="false">IF('THÁNG 12'!$C28="","",'THÁNG 12'!$D28&amp;"")</f>
        <v/>
      </c>
      <c r="E921" s="0" t="str">
        <f aca="false">IF('THÁNG 12'!$C28="","",'THÁNG 12'!$E28&amp;"")</f>
        <v/>
      </c>
      <c r="F921" s="0" t="str">
        <f aca="false">IF('THÁNG 12'!$C28="","",'THÁNG 12'!$F28&amp;"")</f>
        <v/>
      </c>
      <c r="G921" s="0" t="str">
        <f aca="false">IF('THÁNG 12'!$C28="","",'THÁNG 12'!$G28&amp;"")</f>
        <v/>
      </c>
      <c r="H921" s="0" t="str">
        <f aca="false">IF('THÁNG 12'!$C28="","",'THÁNG 12'!$H28&amp;"")</f>
        <v/>
      </c>
      <c r="I921" s="0" t="str">
        <f aca="false">IF('THÁNG 12'!$C28="","",N('THÁNG 12'!$I28))</f>
        <v/>
      </c>
      <c r="J921" s="0" t="str">
        <f aca="false">IF('THÁNG 12'!$C28="","",N('THÁNG 12'!$L28))</f>
        <v/>
      </c>
      <c r="K921" s="0" t="str">
        <f aca="false">IF('THÁNG 12'!$C28="","",N('THÁNG 12'!$N28))</f>
        <v/>
      </c>
      <c r="L921" s="0" t="str">
        <f aca="false">IF('THÁNG 12'!$C28="","",N('THÁNG 12'!$O28))</f>
        <v/>
      </c>
      <c r="M921" s="0" t="str">
        <f aca="false">IF('THÁNG 12'!$C28="","",N('THÁNG 12'!$P28))</f>
        <v/>
      </c>
      <c r="N921" s="0" t="str">
        <f aca="false">IF('THÁNG 12'!$C28="","",N('THÁNG 12'!$Q28))</f>
        <v/>
      </c>
      <c r="O921" s="0" t="str">
        <f aca="false">IF('THÁNG 12'!$C28="","",N('THÁNG 12'!$R28))</f>
        <v/>
      </c>
      <c r="P921" s="0" t="str">
        <f aca="false">IF(OR('THÁNG 12'!$C28="",'THÁNG 12'!$T28=""),"",'THÁNG 12'!$T28)</f>
        <v/>
      </c>
      <c r="Q921" s="0" t="str">
        <f aca="false">IF(OR('THÁNG 12'!$C28="",'THÁNG 12'!$U28=""),"",'THÁNG 12'!$U28)</f>
        <v/>
      </c>
      <c r="R921" s="0" t="str">
        <f aca="false">IF('THÁNG 12'!$C28="","",'THÁNG 12'!$W28&amp;"")</f>
        <v/>
      </c>
      <c r="S921" s="0" t="str">
        <f aca="false">IF('THÁNG 12'!$C28="","",'THÁNG 12'!$S28&amp;"")</f>
        <v/>
      </c>
      <c r="T921" s="0" t="str">
        <f aca="false">IF(N($O921)&gt;0,COUNTIF($O$3:$O921,"&gt;0"),"")</f>
        <v/>
      </c>
      <c r="U921" s="0" t="str">
        <f aca="false">IF(AND(N($J921)&gt;0,N($K921)&gt;0),COUNTIFS($J$3:$J921,"&gt;0",$K$3:$K921,"&gt;0"),"")</f>
        <v/>
      </c>
      <c r="V921" s="0" t="str">
        <f aca="false">IF(AND(N($J921)&gt;0,N($K921)=0),COUNTIFS($J$3:$J921,"&gt;0",$K$3:$K921,"&lt;=0"),"")</f>
        <v/>
      </c>
      <c r="W921" s="0" t="str">
        <f aca="false">IF($C921="","",IF(COUNTIF($C$3:$C921,$C921)&gt;1,"",MAX($W$2:W920)+1))</f>
        <v/>
      </c>
      <c r="X921" s="0" t="str">
        <f aca="false">IF($H921="","",IF(COUNTIF($H$3:$H921,$H921)&gt;1,"",MAX($X$2:X920)+1))</f>
        <v/>
      </c>
      <c r="Y921" s="0" t="str">
        <f aca="false">IF(AND(N($M921)&gt;0,N($O921)&lt;=0),COUNTIFS($M$3:$M921,"&gt;0",$O$3:$O921,"&lt;=0"),"")</f>
        <v/>
      </c>
      <c r="Z921" s="30" t="n">
        <f aca="false">IF(OR('THÁNG 12'!$C28="",'THÁNG 12'!$B28=""),0,'THÁNG 12'!$B28)</f>
        <v>0</v>
      </c>
    </row>
    <row r="922" customFormat="false" ht="15" hidden="false" customHeight="false" outlineLevel="0" collapsed="false">
      <c r="A922" s="0" t="n">
        <v>12</v>
      </c>
      <c r="B922" s="29" t="str">
        <f aca="false">IF(OR('THÁNG 12'!$C29="",'THÁNG 12'!$B29=""),"",'THÁNG 12'!$B29)</f>
        <v/>
      </c>
      <c r="C922" s="0" t="str">
        <f aca="false">IF('THÁNG 12'!$C29="","",'THÁNG 12'!$C29)</f>
        <v/>
      </c>
      <c r="D922" s="0" t="str">
        <f aca="false">IF('THÁNG 12'!$C29="","",'THÁNG 12'!$D29&amp;"")</f>
        <v/>
      </c>
      <c r="E922" s="0" t="str">
        <f aca="false">IF('THÁNG 12'!$C29="","",'THÁNG 12'!$E29&amp;"")</f>
        <v/>
      </c>
      <c r="F922" s="0" t="str">
        <f aca="false">IF('THÁNG 12'!$C29="","",'THÁNG 12'!$F29&amp;"")</f>
        <v/>
      </c>
      <c r="G922" s="0" t="str">
        <f aca="false">IF('THÁNG 12'!$C29="","",'THÁNG 12'!$G29&amp;"")</f>
        <v/>
      </c>
      <c r="H922" s="0" t="str">
        <f aca="false">IF('THÁNG 12'!$C29="","",'THÁNG 12'!$H29&amp;"")</f>
        <v/>
      </c>
      <c r="I922" s="0" t="str">
        <f aca="false">IF('THÁNG 12'!$C29="","",N('THÁNG 12'!$I29))</f>
        <v/>
      </c>
      <c r="J922" s="0" t="str">
        <f aca="false">IF('THÁNG 12'!$C29="","",N('THÁNG 12'!$L29))</f>
        <v/>
      </c>
      <c r="K922" s="0" t="str">
        <f aca="false">IF('THÁNG 12'!$C29="","",N('THÁNG 12'!$N29))</f>
        <v/>
      </c>
      <c r="L922" s="0" t="str">
        <f aca="false">IF('THÁNG 12'!$C29="","",N('THÁNG 12'!$O29))</f>
        <v/>
      </c>
      <c r="M922" s="0" t="str">
        <f aca="false">IF('THÁNG 12'!$C29="","",N('THÁNG 12'!$P29))</f>
        <v/>
      </c>
      <c r="N922" s="0" t="str">
        <f aca="false">IF('THÁNG 12'!$C29="","",N('THÁNG 12'!$Q29))</f>
        <v/>
      </c>
      <c r="O922" s="0" t="str">
        <f aca="false">IF('THÁNG 12'!$C29="","",N('THÁNG 12'!$R29))</f>
        <v/>
      </c>
      <c r="P922" s="0" t="str">
        <f aca="false">IF(OR('THÁNG 12'!$C29="",'THÁNG 12'!$T29=""),"",'THÁNG 12'!$T29)</f>
        <v/>
      </c>
      <c r="Q922" s="0" t="str">
        <f aca="false">IF(OR('THÁNG 12'!$C29="",'THÁNG 12'!$U29=""),"",'THÁNG 12'!$U29)</f>
        <v/>
      </c>
      <c r="R922" s="0" t="str">
        <f aca="false">IF('THÁNG 12'!$C29="","",'THÁNG 12'!$W29&amp;"")</f>
        <v/>
      </c>
      <c r="S922" s="0" t="str">
        <f aca="false">IF('THÁNG 12'!$C29="","",'THÁNG 12'!$S29&amp;"")</f>
        <v/>
      </c>
      <c r="T922" s="0" t="str">
        <f aca="false">IF(N($O922)&gt;0,COUNTIF($O$3:$O922,"&gt;0"),"")</f>
        <v/>
      </c>
      <c r="U922" s="0" t="str">
        <f aca="false">IF(AND(N($J922)&gt;0,N($K922)&gt;0),COUNTIFS($J$3:$J922,"&gt;0",$K$3:$K922,"&gt;0"),"")</f>
        <v/>
      </c>
      <c r="V922" s="0" t="str">
        <f aca="false">IF(AND(N($J922)&gt;0,N($K922)=0),COUNTIFS($J$3:$J922,"&gt;0",$K$3:$K922,"&lt;=0"),"")</f>
        <v/>
      </c>
      <c r="W922" s="0" t="str">
        <f aca="false">IF($C922="","",IF(COUNTIF($C$3:$C922,$C922)&gt;1,"",MAX($W$2:W921)+1))</f>
        <v/>
      </c>
      <c r="X922" s="0" t="str">
        <f aca="false">IF($H922="","",IF(COUNTIF($H$3:$H922,$H922)&gt;1,"",MAX($X$2:X921)+1))</f>
        <v/>
      </c>
      <c r="Y922" s="0" t="str">
        <f aca="false">IF(AND(N($M922)&gt;0,N($O922)&lt;=0),COUNTIFS($M$3:$M922,"&gt;0",$O$3:$O922,"&lt;=0"),"")</f>
        <v/>
      </c>
      <c r="Z922" s="30" t="n">
        <f aca="false">IF(OR('THÁNG 12'!$C29="",'THÁNG 12'!$B29=""),0,'THÁNG 12'!$B29)</f>
        <v>0</v>
      </c>
    </row>
    <row r="923" customFormat="false" ht="15" hidden="false" customHeight="false" outlineLevel="0" collapsed="false">
      <c r="A923" s="0" t="n">
        <v>12</v>
      </c>
      <c r="B923" s="29" t="str">
        <f aca="false">IF(OR('THÁNG 12'!$C30="",'THÁNG 12'!$B30=""),"",'THÁNG 12'!$B30)</f>
        <v/>
      </c>
      <c r="C923" s="0" t="str">
        <f aca="false">IF('THÁNG 12'!$C30="","",'THÁNG 12'!$C30)</f>
        <v/>
      </c>
      <c r="D923" s="0" t="str">
        <f aca="false">IF('THÁNG 12'!$C30="","",'THÁNG 12'!$D30&amp;"")</f>
        <v/>
      </c>
      <c r="E923" s="0" t="str">
        <f aca="false">IF('THÁNG 12'!$C30="","",'THÁNG 12'!$E30&amp;"")</f>
        <v/>
      </c>
      <c r="F923" s="0" t="str">
        <f aca="false">IF('THÁNG 12'!$C30="","",'THÁNG 12'!$F30&amp;"")</f>
        <v/>
      </c>
      <c r="G923" s="0" t="str">
        <f aca="false">IF('THÁNG 12'!$C30="","",'THÁNG 12'!$G30&amp;"")</f>
        <v/>
      </c>
      <c r="H923" s="0" t="str">
        <f aca="false">IF('THÁNG 12'!$C30="","",'THÁNG 12'!$H30&amp;"")</f>
        <v/>
      </c>
      <c r="I923" s="0" t="str">
        <f aca="false">IF('THÁNG 12'!$C30="","",N('THÁNG 12'!$I30))</f>
        <v/>
      </c>
      <c r="J923" s="0" t="str">
        <f aca="false">IF('THÁNG 12'!$C30="","",N('THÁNG 12'!$L30))</f>
        <v/>
      </c>
      <c r="K923" s="0" t="str">
        <f aca="false">IF('THÁNG 12'!$C30="","",N('THÁNG 12'!$N30))</f>
        <v/>
      </c>
      <c r="L923" s="0" t="str">
        <f aca="false">IF('THÁNG 12'!$C30="","",N('THÁNG 12'!$O30))</f>
        <v/>
      </c>
      <c r="M923" s="0" t="str">
        <f aca="false">IF('THÁNG 12'!$C30="","",N('THÁNG 12'!$P30))</f>
        <v/>
      </c>
      <c r="N923" s="0" t="str">
        <f aca="false">IF('THÁNG 12'!$C30="","",N('THÁNG 12'!$Q30))</f>
        <v/>
      </c>
      <c r="O923" s="0" t="str">
        <f aca="false">IF('THÁNG 12'!$C30="","",N('THÁNG 12'!$R30))</f>
        <v/>
      </c>
      <c r="P923" s="0" t="str">
        <f aca="false">IF(OR('THÁNG 12'!$C30="",'THÁNG 12'!$T30=""),"",'THÁNG 12'!$T30)</f>
        <v/>
      </c>
      <c r="Q923" s="0" t="str">
        <f aca="false">IF(OR('THÁNG 12'!$C30="",'THÁNG 12'!$U30=""),"",'THÁNG 12'!$U30)</f>
        <v/>
      </c>
      <c r="R923" s="0" t="str">
        <f aca="false">IF('THÁNG 12'!$C30="","",'THÁNG 12'!$W30&amp;"")</f>
        <v/>
      </c>
      <c r="S923" s="0" t="str">
        <f aca="false">IF('THÁNG 12'!$C30="","",'THÁNG 12'!$S30&amp;"")</f>
        <v/>
      </c>
      <c r="T923" s="0" t="str">
        <f aca="false">IF(N($O923)&gt;0,COUNTIF($O$3:$O923,"&gt;0"),"")</f>
        <v/>
      </c>
      <c r="U923" s="0" t="str">
        <f aca="false">IF(AND(N($J923)&gt;0,N($K923)&gt;0),COUNTIFS($J$3:$J923,"&gt;0",$K$3:$K923,"&gt;0"),"")</f>
        <v/>
      </c>
      <c r="V923" s="0" t="str">
        <f aca="false">IF(AND(N($J923)&gt;0,N($K923)=0),COUNTIFS($J$3:$J923,"&gt;0",$K$3:$K923,"&lt;=0"),"")</f>
        <v/>
      </c>
      <c r="W923" s="0" t="str">
        <f aca="false">IF($C923="","",IF(COUNTIF($C$3:$C923,$C923)&gt;1,"",MAX($W$2:W922)+1))</f>
        <v/>
      </c>
      <c r="X923" s="0" t="str">
        <f aca="false">IF($H923="","",IF(COUNTIF($H$3:$H923,$H923)&gt;1,"",MAX($X$2:X922)+1))</f>
        <v/>
      </c>
      <c r="Y923" s="0" t="str">
        <f aca="false">IF(AND(N($M923)&gt;0,N($O923)&lt;=0),COUNTIFS($M$3:$M923,"&gt;0",$O$3:$O923,"&lt;=0"),"")</f>
        <v/>
      </c>
      <c r="Z923" s="30" t="n">
        <f aca="false">IF(OR('THÁNG 12'!$C30="",'THÁNG 12'!$B30=""),0,'THÁNG 12'!$B30)</f>
        <v>0</v>
      </c>
    </row>
    <row r="924" customFormat="false" ht="15" hidden="false" customHeight="false" outlineLevel="0" collapsed="false">
      <c r="A924" s="0" t="n">
        <v>12</v>
      </c>
      <c r="B924" s="29" t="str">
        <f aca="false">IF(OR('THÁNG 12'!$C31="",'THÁNG 12'!$B31=""),"",'THÁNG 12'!$B31)</f>
        <v/>
      </c>
      <c r="C924" s="0" t="str">
        <f aca="false">IF('THÁNG 12'!$C31="","",'THÁNG 12'!$C31)</f>
        <v/>
      </c>
      <c r="D924" s="0" t="str">
        <f aca="false">IF('THÁNG 12'!$C31="","",'THÁNG 12'!$D31&amp;"")</f>
        <v/>
      </c>
      <c r="E924" s="0" t="str">
        <f aca="false">IF('THÁNG 12'!$C31="","",'THÁNG 12'!$E31&amp;"")</f>
        <v/>
      </c>
      <c r="F924" s="0" t="str">
        <f aca="false">IF('THÁNG 12'!$C31="","",'THÁNG 12'!$F31&amp;"")</f>
        <v/>
      </c>
      <c r="G924" s="0" t="str">
        <f aca="false">IF('THÁNG 12'!$C31="","",'THÁNG 12'!$G31&amp;"")</f>
        <v/>
      </c>
      <c r="H924" s="0" t="str">
        <f aca="false">IF('THÁNG 12'!$C31="","",'THÁNG 12'!$H31&amp;"")</f>
        <v/>
      </c>
      <c r="I924" s="0" t="str">
        <f aca="false">IF('THÁNG 12'!$C31="","",N('THÁNG 12'!$I31))</f>
        <v/>
      </c>
      <c r="J924" s="0" t="str">
        <f aca="false">IF('THÁNG 12'!$C31="","",N('THÁNG 12'!$L31))</f>
        <v/>
      </c>
      <c r="K924" s="0" t="str">
        <f aca="false">IF('THÁNG 12'!$C31="","",N('THÁNG 12'!$N31))</f>
        <v/>
      </c>
      <c r="L924" s="0" t="str">
        <f aca="false">IF('THÁNG 12'!$C31="","",N('THÁNG 12'!$O31))</f>
        <v/>
      </c>
      <c r="M924" s="0" t="str">
        <f aca="false">IF('THÁNG 12'!$C31="","",N('THÁNG 12'!$P31))</f>
        <v/>
      </c>
      <c r="N924" s="0" t="str">
        <f aca="false">IF('THÁNG 12'!$C31="","",N('THÁNG 12'!$Q31))</f>
        <v/>
      </c>
      <c r="O924" s="0" t="str">
        <f aca="false">IF('THÁNG 12'!$C31="","",N('THÁNG 12'!$R31))</f>
        <v/>
      </c>
      <c r="P924" s="0" t="str">
        <f aca="false">IF(OR('THÁNG 12'!$C31="",'THÁNG 12'!$T31=""),"",'THÁNG 12'!$T31)</f>
        <v/>
      </c>
      <c r="Q924" s="0" t="str">
        <f aca="false">IF(OR('THÁNG 12'!$C31="",'THÁNG 12'!$U31=""),"",'THÁNG 12'!$U31)</f>
        <v/>
      </c>
      <c r="R924" s="0" t="str">
        <f aca="false">IF('THÁNG 12'!$C31="","",'THÁNG 12'!$W31&amp;"")</f>
        <v/>
      </c>
      <c r="S924" s="0" t="str">
        <f aca="false">IF('THÁNG 12'!$C31="","",'THÁNG 12'!$S31&amp;"")</f>
        <v/>
      </c>
      <c r="T924" s="0" t="str">
        <f aca="false">IF(N($O924)&gt;0,COUNTIF($O$3:$O924,"&gt;0"),"")</f>
        <v/>
      </c>
      <c r="U924" s="0" t="str">
        <f aca="false">IF(AND(N($J924)&gt;0,N($K924)&gt;0),COUNTIFS($J$3:$J924,"&gt;0",$K$3:$K924,"&gt;0"),"")</f>
        <v/>
      </c>
      <c r="V924" s="0" t="str">
        <f aca="false">IF(AND(N($J924)&gt;0,N($K924)=0),COUNTIFS($J$3:$J924,"&gt;0",$K$3:$K924,"&lt;=0"),"")</f>
        <v/>
      </c>
      <c r="W924" s="0" t="str">
        <f aca="false">IF($C924="","",IF(COUNTIF($C$3:$C924,$C924)&gt;1,"",MAX($W$2:W923)+1))</f>
        <v/>
      </c>
      <c r="X924" s="0" t="str">
        <f aca="false">IF($H924="","",IF(COUNTIF($H$3:$H924,$H924)&gt;1,"",MAX($X$2:X923)+1))</f>
        <v/>
      </c>
      <c r="Y924" s="0" t="str">
        <f aca="false">IF(AND(N($M924)&gt;0,N($O924)&lt;=0),COUNTIFS($M$3:$M924,"&gt;0",$O$3:$O924,"&lt;=0"),"")</f>
        <v/>
      </c>
      <c r="Z924" s="30" t="n">
        <f aca="false">IF(OR('THÁNG 12'!$C31="",'THÁNG 12'!$B31=""),0,'THÁNG 12'!$B31)</f>
        <v>0</v>
      </c>
    </row>
    <row r="925" customFormat="false" ht="15" hidden="false" customHeight="false" outlineLevel="0" collapsed="false">
      <c r="A925" s="0" t="n">
        <v>12</v>
      </c>
      <c r="B925" s="29" t="str">
        <f aca="false">IF(OR('THÁNG 12'!$C32="",'THÁNG 12'!$B32=""),"",'THÁNG 12'!$B32)</f>
        <v/>
      </c>
      <c r="C925" s="0" t="str">
        <f aca="false">IF('THÁNG 12'!$C32="","",'THÁNG 12'!$C32)</f>
        <v/>
      </c>
      <c r="D925" s="0" t="str">
        <f aca="false">IF('THÁNG 12'!$C32="","",'THÁNG 12'!$D32&amp;"")</f>
        <v/>
      </c>
      <c r="E925" s="0" t="str">
        <f aca="false">IF('THÁNG 12'!$C32="","",'THÁNG 12'!$E32&amp;"")</f>
        <v/>
      </c>
      <c r="F925" s="0" t="str">
        <f aca="false">IF('THÁNG 12'!$C32="","",'THÁNG 12'!$F32&amp;"")</f>
        <v/>
      </c>
      <c r="G925" s="0" t="str">
        <f aca="false">IF('THÁNG 12'!$C32="","",'THÁNG 12'!$G32&amp;"")</f>
        <v/>
      </c>
      <c r="H925" s="0" t="str">
        <f aca="false">IF('THÁNG 12'!$C32="","",'THÁNG 12'!$H32&amp;"")</f>
        <v/>
      </c>
      <c r="I925" s="0" t="str">
        <f aca="false">IF('THÁNG 12'!$C32="","",N('THÁNG 12'!$I32))</f>
        <v/>
      </c>
      <c r="J925" s="0" t="str">
        <f aca="false">IF('THÁNG 12'!$C32="","",N('THÁNG 12'!$L32))</f>
        <v/>
      </c>
      <c r="K925" s="0" t="str">
        <f aca="false">IF('THÁNG 12'!$C32="","",N('THÁNG 12'!$N32))</f>
        <v/>
      </c>
      <c r="L925" s="0" t="str">
        <f aca="false">IF('THÁNG 12'!$C32="","",N('THÁNG 12'!$O32))</f>
        <v/>
      </c>
      <c r="M925" s="0" t="str">
        <f aca="false">IF('THÁNG 12'!$C32="","",N('THÁNG 12'!$P32))</f>
        <v/>
      </c>
      <c r="N925" s="0" t="str">
        <f aca="false">IF('THÁNG 12'!$C32="","",N('THÁNG 12'!$Q32))</f>
        <v/>
      </c>
      <c r="O925" s="0" t="str">
        <f aca="false">IF('THÁNG 12'!$C32="","",N('THÁNG 12'!$R32))</f>
        <v/>
      </c>
      <c r="P925" s="0" t="str">
        <f aca="false">IF(OR('THÁNG 12'!$C32="",'THÁNG 12'!$T32=""),"",'THÁNG 12'!$T32)</f>
        <v/>
      </c>
      <c r="Q925" s="0" t="str">
        <f aca="false">IF(OR('THÁNG 12'!$C32="",'THÁNG 12'!$U32=""),"",'THÁNG 12'!$U32)</f>
        <v/>
      </c>
      <c r="R925" s="0" t="str">
        <f aca="false">IF('THÁNG 12'!$C32="","",'THÁNG 12'!$W32&amp;"")</f>
        <v/>
      </c>
      <c r="S925" s="0" t="str">
        <f aca="false">IF('THÁNG 12'!$C32="","",'THÁNG 12'!$S32&amp;"")</f>
        <v/>
      </c>
      <c r="T925" s="0" t="str">
        <f aca="false">IF(N($O925)&gt;0,COUNTIF($O$3:$O925,"&gt;0"),"")</f>
        <v/>
      </c>
      <c r="U925" s="0" t="str">
        <f aca="false">IF(AND(N($J925)&gt;0,N($K925)&gt;0),COUNTIFS($J$3:$J925,"&gt;0",$K$3:$K925,"&gt;0"),"")</f>
        <v/>
      </c>
      <c r="V925" s="0" t="str">
        <f aca="false">IF(AND(N($J925)&gt;0,N($K925)=0),COUNTIFS($J$3:$J925,"&gt;0",$K$3:$K925,"&lt;=0"),"")</f>
        <v/>
      </c>
      <c r="W925" s="0" t="str">
        <f aca="false">IF($C925="","",IF(COUNTIF($C$3:$C925,$C925)&gt;1,"",MAX($W$2:W924)+1))</f>
        <v/>
      </c>
      <c r="X925" s="0" t="str">
        <f aca="false">IF($H925="","",IF(COUNTIF($H$3:$H925,$H925)&gt;1,"",MAX($X$2:X924)+1))</f>
        <v/>
      </c>
      <c r="Y925" s="0" t="str">
        <f aca="false">IF(AND(N($M925)&gt;0,N($O925)&lt;=0),COUNTIFS($M$3:$M925,"&gt;0",$O$3:$O925,"&lt;=0"),"")</f>
        <v/>
      </c>
      <c r="Z925" s="30" t="n">
        <f aca="false">IF(OR('THÁNG 12'!$C32="",'THÁNG 12'!$B32=""),0,'THÁNG 12'!$B32)</f>
        <v>0</v>
      </c>
    </row>
    <row r="926" customFormat="false" ht="15" hidden="false" customHeight="false" outlineLevel="0" collapsed="false">
      <c r="A926" s="0" t="n">
        <v>12</v>
      </c>
      <c r="B926" s="29" t="str">
        <f aca="false">IF(OR('THÁNG 12'!$C33="",'THÁNG 12'!$B33=""),"",'THÁNG 12'!$B33)</f>
        <v/>
      </c>
      <c r="C926" s="0" t="str">
        <f aca="false">IF('THÁNG 12'!$C33="","",'THÁNG 12'!$C33)</f>
        <v/>
      </c>
      <c r="D926" s="0" t="str">
        <f aca="false">IF('THÁNG 12'!$C33="","",'THÁNG 12'!$D33&amp;"")</f>
        <v/>
      </c>
      <c r="E926" s="0" t="str">
        <f aca="false">IF('THÁNG 12'!$C33="","",'THÁNG 12'!$E33&amp;"")</f>
        <v/>
      </c>
      <c r="F926" s="0" t="str">
        <f aca="false">IF('THÁNG 12'!$C33="","",'THÁNG 12'!$F33&amp;"")</f>
        <v/>
      </c>
      <c r="G926" s="0" t="str">
        <f aca="false">IF('THÁNG 12'!$C33="","",'THÁNG 12'!$G33&amp;"")</f>
        <v/>
      </c>
      <c r="H926" s="0" t="str">
        <f aca="false">IF('THÁNG 12'!$C33="","",'THÁNG 12'!$H33&amp;"")</f>
        <v/>
      </c>
      <c r="I926" s="0" t="str">
        <f aca="false">IF('THÁNG 12'!$C33="","",N('THÁNG 12'!$I33))</f>
        <v/>
      </c>
      <c r="J926" s="0" t="str">
        <f aca="false">IF('THÁNG 12'!$C33="","",N('THÁNG 12'!$L33))</f>
        <v/>
      </c>
      <c r="K926" s="0" t="str">
        <f aca="false">IF('THÁNG 12'!$C33="","",N('THÁNG 12'!$N33))</f>
        <v/>
      </c>
      <c r="L926" s="0" t="str">
        <f aca="false">IF('THÁNG 12'!$C33="","",N('THÁNG 12'!$O33))</f>
        <v/>
      </c>
      <c r="M926" s="0" t="str">
        <f aca="false">IF('THÁNG 12'!$C33="","",N('THÁNG 12'!$P33))</f>
        <v/>
      </c>
      <c r="N926" s="0" t="str">
        <f aca="false">IF('THÁNG 12'!$C33="","",N('THÁNG 12'!$Q33))</f>
        <v/>
      </c>
      <c r="O926" s="0" t="str">
        <f aca="false">IF('THÁNG 12'!$C33="","",N('THÁNG 12'!$R33))</f>
        <v/>
      </c>
      <c r="P926" s="0" t="str">
        <f aca="false">IF(OR('THÁNG 12'!$C33="",'THÁNG 12'!$T33=""),"",'THÁNG 12'!$T33)</f>
        <v/>
      </c>
      <c r="Q926" s="0" t="str">
        <f aca="false">IF(OR('THÁNG 12'!$C33="",'THÁNG 12'!$U33=""),"",'THÁNG 12'!$U33)</f>
        <v/>
      </c>
      <c r="R926" s="0" t="str">
        <f aca="false">IF('THÁNG 12'!$C33="","",'THÁNG 12'!$W33&amp;"")</f>
        <v/>
      </c>
      <c r="S926" s="0" t="str">
        <f aca="false">IF('THÁNG 12'!$C33="","",'THÁNG 12'!$S33&amp;"")</f>
        <v/>
      </c>
      <c r="T926" s="0" t="str">
        <f aca="false">IF(N($O926)&gt;0,COUNTIF($O$3:$O926,"&gt;0"),"")</f>
        <v/>
      </c>
      <c r="U926" s="0" t="str">
        <f aca="false">IF(AND(N($J926)&gt;0,N($K926)&gt;0),COUNTIFS($J$3:$J926,"&gt;0",$K$3:$K926,"&gt;0"),"")</f>
        <v/>
      </c>
      <c r="V926" s="0" t="str">
        <f aca="false">IF(AND(N($J926)&gt;0,N($K926)=0),COUNTIFS($J$3:$J926,"&gt;0",$K$3:$K926,"&lt;=0"),"")</f>
        <v/>
      </c>
      <c r="W926" s="0" t="str">
        <f aca="false">IF($C926="","",IF(COUNTIF($C$3:$C926,$C926)&gt;1,"",MAX($W$2:W925)+1))</f>
        <v/>
      </c>
      <c r="X926" s="0" t="str">
        <f aca="false">IF($H926="","",IF(COUNTIF($H$3:$H926,$H926)&gt;1,"",MAX($X$2:X925)+1))</f>
        <v/>
      </c>
      <c r="Y926" s="0" t="str">
        <f aca="false">IF(AND(N($M926)&gt;0,N($O926)&lt;=0),COUNTIFS($M$3:$M926,"&gt;0",$O$3:$O926,"&lt;=0"),"")</f>
        <v/>
      </c>
      <c r="Z926" s="30" t="n">
        <f aca="false">IF(OR('THÁNG 12'!$C33="",'THÁNG 12'!$B33=""),0,'THÁNG 12'!$B33)</f>
        <v>0</v>
      </c>
    </row>
    <row r="927" customFormat="false" ht="15" hidden="false" customHeight="false" outlineLevel="0" collapsed="false">
      <c r="A927" s="0" t="n">
        <v>12</v>
      </c>
      <c r="B927" s="29" t="str">
        <f aca="false">IF(OR('THÁNG 12'!$C34="",'THÁNG 12'!$B34=""),"",'THÁNG 12'!$B34)</f>
        <v/>
      </c>
      <c r="C927" s="0" t="str">
        <f aca="false">IF('THÁNG 12'!$C34="","",'THÁNG 12'!$C34)</f>
        <v/>
      </c>
      <c r="D927" s="0" t="str">
        <f aca="false">IF('THÁNG 12'!$C34="","",'THÁNG 12'!$D34&amp;"")</f>
        <v/>
      </c>
      <c r="E927" s="0" t="str">
        <f aca="false">IF('THÁNG 12'!$C34="","",'THÁNG 12'!$E34&amp;"")</f>
        <v/>
      </c>
      <c r="F927" s="0" t="str">
        <f aca="false">IF('THÁNG 12'!$C34="","",'THÁNG 12'!$F34&amp;"")</f>
        <v/>
      </c>
      <c r="G927" s="0" t="str">
        <f aca="false">IF('THÁNG 12'!$C34="","",'THÁNG 12'!$G34&amp;"")</f>
        <v/>
      </c>
      <c r="H927" s="0" t="str">
        <f aca="false">IF('THÁNG 12'!$C34="","",'THÁNG 12'!$H34&amp;"")</f>
        <v/>
      </c>
      <c r="I927" s="0" t="str">
        <f aca="false">IF('THÁNG 12'!$C34="","",N('THÁNG 12'!$I34))</f>
        <v/>
      </c>
      <c r="J927" s="0" t="str">
        <f aca="false">IF('THÁNG 12'!$C34="","",N('THÁNG 12'!$L34))</f>
        <v/>
      </c>
      <c r="K927" s="0" t="str">
        <f aca="false">IF('THÁNG 12'!$C34="","",N('THÁNG 12'!$N34))</f>
        <v/>
      </c>
      <c r="L927" s="0" t="str">
        <f aca="false">IF('THÁNG 12'!$C34="","",N('THÁNG 12'!$O34))</f>
        <v/>
      </c>
      <c r="M927" s="0" t="str">
        <f aca="false">IF('THÁNG 12'!$C34="","",N('THÁNG 12'!$P34))</f>
        <v/>
      </c>
      <c r="N927" s="0" t="str">
        <f aca="false">IF('THÁNG 12'!$C34="","",N('THÁNG 12'!$Q34))</f>
        <v/>
      </c>
      <c r="O927" s="0" t="str">
        <f aca="false">IF('THÁNG 12'!$C34="","",N('THÁNG 12'!$R34))</f>
        <v/>
      </c>
      <c r="P927" s="0" t="str">
        <f aca="false">IF(OR('THÁNG 12'!$C34="",'THÁNG 12'!$T34=""),"",'THÁNG 12'!$T34)</f>
        <v/>
      </c>
      <c r="Q927" s="0" t="str">
        <f aca="false">IF(OR('THÁNG 12'!$C34="",'THÁNG 12'!$U34=""),"",'THÁNG 12'!$U34)</f>
        <v/>
      </c>
      <c r="R927" s="0" t="str">
        <f aca="false">IF('THÁNG 12'!$C34="","",'THÁNG 12'!$W34&amp;"")</f>
        <v/>
      </c>
      <c r="S927" s="0" t="str">
        <f aca="false">IF('THÁNG 12'!$C34="","",'THÁNG 12'!$S34&amp;"")</f>
        <v/>
      </c>
      <c r="T927" s="0" t="str">
        <f aca="false">IF(N($O927)&gt;0,COUNTIF($O$3:$O927,"&gt;0"),"")</f>
        <v/>
      </c>
      <c r="U927" s="0" t="str">
        <f aca="false">IF(AND(N($J927)&gt;0,N($K927)&gt;0),COUNTIFS($J$3:$J927,"&gt;0",$K$3:$K927,"&gt;0"),"")</f>
        <v/>
      </c>
      <c r="V927" s="0" t="str">
        <f aca="false">IF(AND(N($J927)&gt;0,N($K927)=0),COUNTIFS($J$3:$J927,"&gt;0",$K$3:$K927,"&lt;=0"),"")</f>
        <v/>
      </c>
      <c r="W927" s="0" t="str">
        <f aca="false">IF($C927="","",IF(COUNTIF($C$3:$C927,$C927)&gt;1,"",MAX($W$2:W926)+1))</f>
        <v/>
      </c>
      <c r="X927" s="0" t="str">
        <f aca="false">IF($H927="","",IF(COUNTIF($H$3:$H927,$H927)&gt;1,"",MAX($X$2:X926)+1))</f>
        <v/>
      </c>
      <c r="Y927" s="0" t="str">
        <f aca="false">IF(AND(N($M927)&gt;0,N($O927)&lt;=0),COUNTIFS($M$3:$M927,"&gt;0",$O$3:$O927,"&lt;=0"),"")</f>
        <v/>
      </c>
      <c r="Z927" s="30" t="n">
        <f aca="false">IF(OR('THÁNG 12'!$C34="",'THÁNG 12'!$B34=""),0,'THÁNG 12'!$B34)</f>
        <v>0</v>
      </c>
    </row>
    <row r="928" customFormat="false" ht="15" hidden="false" customHeight="false" outlineLevel="0" collapsed="false">
      <c r="A928" s="0" t="n">
        <v>12</v>
      </c>
      <c r="B928" s="29" t="str">
        <f aca="false">IF(OR('THÁNG 12'!$C35="",'THÁNG 12'!$B35=""),"",'THÁNG 12'!$B35)</f>
        <v/>
      </c>
      <c r="C928" s="0" t="str">
        <f aca="false">IF('THÁNG 12'!$C35="","",'THÁNG 12'!$C35)</f>
        <v/>
      </c>
      <c r="D928" s="0" t="str">
        <f aca="false">IF('THÁNG 12'!$C35="","",'THÁNG 12'!$D35&amp;"")</f>
        <v/>
      </c>
      <c r="E928" s="0" t="str">
        <f aca="false">IF('THÁNG 12'!$C35="","",'THÁNG 12'!$E35&amp;"")</f>
        <v/>
      </c>
      <c r="F928" s="0" t="str">
        <f aca="false">IF('THÁNG 12'!$C35="","",'THÁNG 12'!$F35&amp;"")</f>
        <v/>
      </c>
      <c r="G928" s="0" t="str">
        <f aca="false">IF('THÁNG 12'!$C35="","",'THÁNG 12'!$G35&amp;"")</f>
        <v/>
      </c>
      <c r="H928" s="0" t="str">
        <f aca="false">IF('THÁNG 12'!$C35="","",'THÁNG 12'!$H35&amp;"")</f>
        <v/>
      </c>
      <c r="I928" s="0" t="str">
        <f aca="false">IF('THÁNG 12'!$C35="","",N('THÁNG 12'!$I35))</f>
        <v/>
      </c>
      <c r="J928" s="0" t="str">
        <f aca="false">IF('THÁNG 12'!$C35="","",N('THÁNG 12'!$L35))</f>
        <v/>
      </c>
      <c r="K928" s="0" t="str">
        <f aca="false">IF('THÁNG 12'!$C35="","",N('THÁNG 12'!$N35))</f>
        <v/>
      </c>
      <c r="L928" s="0" t="str">
        <f aca="false">IF('THÁNG 12'!$C35="","",N('THÁNG 12'!$O35))</f>
        <v/>
      </c>
      <c r="M928" s="0" t="str">
        <f aca="false">IF('THÁNG 12'!$C35="","",N('THÁNG 12'!$P35))</f>
        <v/>
      </c>
      <c r="N928" s="0" t="str">
        <f aca="false">IF('THÁNG 12'!$C35="","",N('THÁNG 12'!$Q35))</f>
        <v/>
      </c>
      <c r="O928" s="0" t="str">
        <f aca="false">IF('THÁNG 12'!$C35="","",N('THÁNG 12'!$R35))</f>
        <v/>
      </c>
      <c r="P928" s="0" t="str">
        <f aca="false">IF(OR('THÁNG 12'!$C35="",'THÁNG 12'!$T35=""),"",'THÁNG 12'!$T35)</f>
        <v/>
      </c>
      <c r="Q928" s="0" t="str">
        <f aca="false">IF(OR('THÁNG 12'!$C35="",'THÁNG 12'!$U35=""),"",'THÁNG 12'!$U35)</f>
        <v/>
      </c>
      <c r="R928" s="0" t="str">
        <f aca="false">IF('THÁNG 12'!$C35="","",'THÁNG 12'!$W35&amp;"")</f>
        <v/>
      </c>
      <c r="S928" s="0" t="str">
        <f aca="false">IF('THÁNG 12'!$C35="","",'THÁNG 12'!$S35&amp;"")</f>
        <v/>
      </c>
      <c r="T928" s="0" t="str">
        <f aca="false">IF(N($O928)&gt;0,COUNTIF($O$3:$O928,"&gt;0"),"")</f>
        <v/>
      </c>
      <c r="U928" s="0" t="str">
        <f aca="false">IF(AND(N($J928)&gt;0,N($K928)&gt;0),COUNTIFS($J$3:$J928,"&gt;0",$K$3:$K928,"&gt;0"),"")</f>
        <v/>
      </c>
      <c r="V928" s="0" t="str">
        <f aca="false">IF(AND(N($J928)&gt;0,N($K928)=0),COUNTIFS($J$3:$J928,"&gt;0",$K$3:$K928,"&lt;=0"),"")</f>
        <v/>
      </c>
      <c r="W928" s="0" t="str">
        <f aca="false">IF($C928="","",IF(COUNTIF($C$3:$C928,$C928)&gt;1,"",MAX($W$2:W927)+1))</f>
        <v/>
      </c>
      <c r="X928" s="0" t="str">
        <f aca="false">IF($H928="","",IF(COUNTIF($H$3:$H928,$H928)&gt;1,"",MAX($X$2:X927)+1))</f>
        <v/>
      </c>
      <c r="Y928" s="0" t="str">
        <f aca="false">IF(AND(N($M928)&gt;0,N($O928)&lt;=0),COUNTIFS($M$3:$M928,"&gt;0",$O$3:$O928,"&lt;=0"),"")</f>
        <v/>
      </c>
      <c r="Z928" s="30" t="n">
        <f aca="false">IF(OR('THÁNG 12'!$C35="",'THÁNG 12'!$B35=""),0,'THÁNG 12'!$B35)</f>
        <v>0</v>
      </c>
    </row>
    <row r="929" customFormat="false" ht="15" hidden="false" customHeight="false" outlineLevel="0" collapsed="false">
      <c r="A929" s="0" t="n">
        <v>12</v>
      </c>
      <c r="B929" s="29" t="str">
        <f aca="false">IF(OR('THÁNG 12'!$C36="",'THÁNG 12'!$B36=""),"",'THÁNG 12'!$B36)</f>
        <v/>
      </c>
      <c r="C929" s="0" t="str">
        <f aca="false">IF('THÁNG 12'!$C36="","",'THÁNG 12'!$C36)</f>
        <v/>
      </c>
      <c r="D929" s="0" t="str">
        <f aca="false">IF('THÁNG 12'!$C36="","",'THÁNG 12'!$D36&amp;"")</f>
        <v/>
      </c>
      <c r="E929" s="0" t="str">
        <f aca="false">IF('THÁNG 12'!$C36="","",'THÁNG 12'!$E36&amp;"")</f>
        <v/>
      </c>
      <c r="F929" s="0" t="str">
        <f aca="false">IF('THÁNG 12'!$C36="","",'THÁNG 12'!$F36&amp;"")</f>
        <v/>
      </c>
      <c r="G929" s="0" t="str">
        <f aca="false">IF('THÁNG 12'!$C36="","",'THÁNG 12'!$G36&amp;"")</f>
        <v/>
      </c>
      <c r="H929" s="0" t="str">
        <f aca="false">IF('THÁNG 12'!$C36="","",'THÁNG 12'!$H36&amp;"")</f>
        <v/>
      </c>
      <c r="I929" s="0" t="str">
        <f aca="false">IF('THÁNG 12'!$C36="","",N('THÁNG 12'!$I36))</f>
        <v/>
      </c>
      <c r="J929" s="0" t="str">
        <f aca="false">IF('THÁNG 12'!$C36="","",N('THÁNG 12'!$L36))</f>
        <v/>
      </c>
      <c r="K929" s="0" t="str">
        <f aca="false">IF('THÁNG 12'!$C36="","",N('THÁNG 12'!$N36))</f>
        <v/>
      </c>
      <c r="L929" s="0" t="str">
        <f aca="false">IF('THÁNG 12'!$C36="","",N('THÁNG 12'!$O36))</f>
        <v/>
      </c>
      <c r="M929" s="0" t="str">
        <f aca="false">IF('THÁNG 12'!$C36="","",N('THÁNG 12'!$P36))</f>
        <v/>
      </c>
      <c r="N929" s="0" t="str">
        <f aca="false">IF('THÁNG 12'!$C36="","",N('THÁNG 12'!$Q36))</f>
        <v/>
      </c>
      <c r="O929" s="0" t="str">
        <f aca="false">IF('THÁNG 12'!$C36="","",N('THÁNG 12'!$R36))</f>
        <v/>
      </c>
      <c r="P929" s="0" t="str">
        <f aca="false">IF(OR('THÁNG 12'!$C36="",'THÁNG 12'!$T36=""),"",'THÁNG 12'!$T36)</f>
        <v/>
      </c>
      <c r="Q929" s="0" t="str">
        <f aca="false">IF(OR('THÁNG 12'!$C36="",'THÁNG 12'!$U36=""),"",'THÁNG 12'!$U36)</f>
        <v/>
      </c>
      <c r="R929" s="0" t="str">
        <f aca="false">IF('THÁNG 12'!$C36="","",'THÁNG 12'!$W36&amp;"")</f>
        <v/>
      </c>
      <c r="S929" s="0" t="str">
        <f aca="false">IF('THÁNG 12'!$C36="","",'THÁNG 12'!$S36&amp;"")</f>
        <v/>
      </c>
      <c r="T929" s="0" t="str">
        <f aca="false">IF(N($O929)&gt;0,COUNTIF($O$3:$O929,"&gt;0"),"")</f>
        <v/>
      </c>
      <c r="U929" s="0" t="str">
        <f aca="false">IF(AND(N($J929)&gt;0,N($K929)&gt;0),COUNTIFS($J$3:$J929,"&gt;0",$K$3:$K929,"&gt;0"),"")</f>
        <v/>
      </c>
      <c r="V929" s="0" t="str">
        <f aca="false">IF(AND(N($J929)&gt;0,N($K929)=0),COUNTIFS($J$3:$J929,"&gt;0",$K$3:$K929,"&lt;=0"),"")</f>
        <v/>
      </c>
      <c r="W929" s="0" t="str">
        <f aca="false">IF($C929="","",IF(COUNTIF($C$3:$C929,$C929)&gt;1,"",MAX($W$2:W928)+1))</f>
        <v/>
      </c>
      <c r="X929" s="0" t="str">
        <f aca="false">IF($H929="","",IF(COUNTIF($H$3:$H929,$H929)&gt;1,"",MAX($X$2:X928)+1))</f>
        <v/>
      </c>
      <c r="Y929" s="0" t="str">
        <f aca="false">IF(AND(N($M929)&gt;0,N($O929)&lt;=0),COUNTIFS($M$3:$M929,"&gt;0",$O$3:$O929,"&lt;=0"),"")</f>
        <v/>
      </c>
      <c r="Z929" s="30" t="n">
        <f aca="false">IF(OR('THÁNG 12'!$C36="",'THÁNG 12'!$B36=""),0,'THÁNG 12'!$B36)</f>
        <v>0</v>
      </c>
    </row>
    <row r="930" customFormat="false" ht="15" hidden="false" customHeight="false" outlineLevel="0" collapsed="false">
      <c r="A930" s="0" t="n">
        <v>12</v>
      </c>
      <c r="B930" s="29" t="str">
        <f aca="false">IF(OR('THÁNG 12'!$C37="",'THÁNG 12'!$B37=""),"",'THÁNG 12'!$B37)</f>
        <v/>
      </c>
      <c r="C930" s="0" t="str">
        <f aca="false">IF('THÁNG 12'!$C37="","",'THÁNG 12'!$C37)</f>
        <v/>
      </c>
      <c r="D930" s="0" t="str">
        <f aca="false">IF('THÁNG 12'!$C37="","",'THÁNG 12'!$D37&amp;"")</f>
        <v/>
      </c>
      <c r="E930" s="0" t="str">
        <f aca="false">IF('THÁNG 12'!$C37="","",'THÁNG 12'!$E37&amp;"")</f>
        <v/>
      </c>
      <c r="F930" s="0" t="str">
        <f aca="false">IF('THÁNG 12'!$C37="","",'THÁNG 12'!$F37&amp;"")</f>
        <v/>
      </c>
      <c r="G930" s="0" t="str">
        <f aca="false">IF('THÁNG 12'!$C37="","",'THÁNG 12'!$G37&amp;"")</f>
        <v/>
      </c>
      <c r="H930" s="0" t="str">
        <f aca="false">IF('THÁNG 12'!$C37="","",'THÁNG 12'!$H37&amp;"")</f>
        <v/>
      </c>
      <c r="I930" s="0" t="str">
        <f aca="false">IF('THÁNG 12'!$C37="","",N('THÁNG 12'!$I37))</f>
        <v/>
      </c>
      <c r="J930" s="0" t="str">
        <f aca="false">IF('THÁNG 12'!$C37="","",N('THÁNG 12'!$L37))</f>
        <v/>
      </c>
      <c r="K930" s="0" t="str">
        <f aca="false">IF('THÁNG 12'!$C37="","",N('THÁNG 12'!$N37))</f>
        <v/>
      </c>
      <c r="L930" s="0" t="str">
        <f aca="false">IF('THÁNG 12'!$C37="","",N('THÁNG 12'!$O37))</f>
        <v/>
      </c>
      <c r="M930" s="0" t="str">
        <f aca="false">IF('THÁNG 12'!$C37="","",N('THÁNG 12'!$P37))</f>
        <v/>
      </c>
      <c r="N930" s="0" t="str">
        <f aca="false">IF('THÁNG 12'!$C37="","",N('THÁNG 12'!$Q37))</f>
        <v/>
      </c>
      <c r="O930" s="0" t="str">
        <f aca="false">IF('THÁNG 12'!$C37="","",N('THÁNG 12'!$R37))</f>
        <v/>
      </c>
      <c r="P930" s="0" t="str">
        <f aca="false">IF(OR('THÁNG 12'!$C37="",'THÁNG 12'!$T37=""),"",'THÁNG 12'!$T37)</f>
        <v/>
      </c>
      <c r="Q930" s="0" t="str">
        <f aca="false">IF(OR('THÁNG 12'!$C37="",'THÁNG 12'!$U37=""),"",'THÁNG 12'!$U37)</f>
        <v/>
      </c>
      <c r="R930" s="0" t="str">
        <f aca="false">IF('THÁNG 12'!$C37="","",'THÁNG 12'!$W37&amp;"")</f>
        <v/>
      </c>
      <c r="S930" s="0" t="str">
        <f aca="false">IF('THÁNG 12'!$C37="","",'THÁNG 12'!$S37&amp;"")</f>
        <v/>
      </c>
      <c r="T930" s="0" t="str">
        <f aca="false">IF(N($O930)&gt;0,COUNTIF($O$3:$O930,"&gt;0"),"")</f>
        <v/>
      </c>
      <c r="U930" s="0" t="str">
        <f aca="false">IF(AND(N($J930)&gt;0,N($K930)&gt;0),COUNTIFS($J$3:$J930,"&gt;0",$K$3:$K930,"&gt;0"),"")</f>
        <v/>
      </c>
      <c r="V930" s="0" t="str">
        <f aca="false">IF(AND(N($J930)&gt;0,N($K930)=0),COUNTIFS($J$3:$J930,"&gt;0",$K$3:$K930,"&lt;=0"),"")</f>
        <v/>
      </c>
      <c r="W930" s="0" t="str">
        <f aca="false">IF($C930="","",IF(COUNTIF($C$3:$C930,$C930)&gt;1,"",MAX($W$2:W929)+1))</f>
        <v/>
      </c>
      <c r="X930" s="0" t="str">
        <f aca="false">IF($H930="","",IF(COUNTIF($H$3:$H930,$H930)&gt;1,"",MAX($X$2:X929)+1))</f>
        <v/>
      </c>
      <c r="Y930" s="0" t="str">
        <f aca="false">IF(AND(N($M930)&gt;0,N($O930)&lt;=0),COUNTIFS($M$3:$M930,"&gt;0",$O$3:$O930,"&lt;=0"),"")</f>
        <v/>
      </c>
      <c r="Z930" s="30" t="n">
        <f aca="false">IF(OR('THÁNG 12'!$C37="",'THÁNG 12'!$B37=""),0,'THÁNG 12'!$B37)</f>
        <v>0</v>
      </c>
    </row>
    <row r="931" customFormat="false" ht="15" hidden="false" customHeight="false" outlineLevel="0" collapsed="false">
      <c r="A931" s="0" t="n">
        <v>12</v>
      </c>
      <c r="B931" s="29" t="str">
        <f aca="false">IF(OR('THÁNG 12'!$C38="",'THÁNG 12'!$B38=""),"",'THÁNG 12'!$B38)</f>
        <v/>
      </c>
      <c r="C931" s="0" t="str">
        <f aca="false">IF('THÁNG 12'!$C38="","",'THÁNG 12'!$C38)</f>
        <v/>
      </c>
      <c r="D931" s="0" t="str">
        <f aca="false">IF('THÁNG 12'!$C38="","",'THÁNG 12'!$D38&amp;"")</f>
        <v/>
      </c>
      <c r="E931" s="0" t="str">
        <f aca="false">IF('THÁNG 12'!$C38="","",'THÁNG 12'!$E38&amp;"")</f>
        <v/>
      </c>
      <c r="F931" s="0" t="str">
        <f aca="false">IF('THÁNG 12'!$C38="","",'THÁNG 12'!$F38&amp;"")</f>
        <v/>
      </c>
      <c r="G931" s="0" t="str">
        <f aca="false">IF('THÁNG 12'!$C38="","",'THÁNG 12'!$G38&amp;"")</f>
        <v/>
      </c>
      <c r="H931" s="0" t="str">
        <f aca="false">IF('THÁNG 12'!$C38="","",'THÁNG 12'!$H38&amp;"")</f>
        <v/>
      </c>
      <c r="I931" s="0" t="str">
        <f aca="false">IF('THÁNG 12'!$C38="","",N('THÁNG 12'!$I38))</f>
        <v/>
      </c>
      <c r="J931" s="0" t="str">
        <f aca="false">IF('THÁNG 12'!$C38="","",N('THÁNG 12'!$L38))</f>
        <v/>
      </c>
      <c r="K931" s="0" t="str">
        <f aca="false">IF('THÁNG 12'!$C38="","",N('THÁNG 12'!$N38))</f>
        <v/>
      </c>
      <c r="L931" s="0" t="str">
        <f aca="false">IF('THÁNG 12'!$C38="","",N('THÁNG 12'!$O38))</f>
        <v/>
      </c>
      <c r="M931" s="0" t="str">
        <f aca="false">IF('THÁNG 12'!$C38="","",N('THÁNG 12'!$P38))</f>
        <v/>
      </c>
      <c r="N931" s="0" t="str">
        <f aca="false">IF('THÁNG 12'!$C38="","",N('THÁNG 12'!$Q38))</f>
        <v/>
      </c>
      <c r="O931" s="0" t="str">
        <f aca="false">IF('THÁNG 12'!$C38="","",N('THÁNG 12'!$R38))</f>
        <v/>
      </c>
      <c r="P931" s="0" t="str">
        <f aca="false">IF(OR('THÁNG 12'!$C38="",'THÁNG 12'!$T38=""),"",'THÁNG 12'!$T38)</f>
        <v/>
      </c>
      <c r="Q931" s="0" t="str">
        <f aca="false">IF(OR('THÁNG 12'!$C38="",'THÁNG 12'!$U38=""),"",'THÁNG 12'!$U38)</f>
        <v/>
      </c>
      <c r="R931" s="0" t="str">
        <f aca="false">IF('THÁNG 12'!$C38="","",'THÁNG 12'!$W38&amp;"")</f>
        <v/>
      </c>
      <c r="S931" s="0" t="str">
        <f aca="false">IF('THÁNG 12'!$C38="","",'THÁNG 12'!$S38&amp;"")</f>
        <v/>
      </c>
      <c r="T931" s="0" t="str">
        <f aca="false">IF(N($O931)&gt;0,COUNTIF($O$3:$O931,"&gt;0"),"")</f>
        <v/>
      </c>
      <c r="U931" s="0" t="str">
        <f aca="false">IF(AND(N($J931)&gt;0,N($K931)&gt;0),COUNTIFS($J$3:$J931,"&gt;0",$K$3:$K931,"&gt;0"),"")</f>
        <v/>
      </c>
      <c r="V931" s="0" t="str">
        <f aca="false">IF(AND(N($J931)&gt;0,N($K931)=0),COUNTIFS($J$3:$J931,"&gt;0",$K$3:$K931,"&lt;=0"),"")</f>
        <v/>
      </c>
      <c r="W931" s="0" t="str">
        <f aca="false">IF($C931="","",IF(COUNTIF($C$3:$C931,$C931)&gt;1,"",MAX($W$2:W930)+1))</f>
        <v/>
      </c>
      <c r="X931" s="0" t="str">
        <f aca="false">IF($H931="","",IF(COUNTIF($H$3:$H931,$H931)&gt;1,"",MAX($X$2:X930)+1))</f>
        <v/>
      </c>
      <c r="Y931" s="0" t="str">
        <f aca="false">IF(AND(N($M931)&gt;0,N($O931)&lt;=0),COUNTIFS($M$3:$M931,"&gt;0",$O$3:$O931,"&lt;=0"),"")</f>
        <v/>
      </c>
      <c r="Z931" s="30" t="n">
        <f aca="false">IF(OR('THÁNG 12'!$C38="",'THÁNG 12'!$B38=""),0,'THÁNG 12'!$B38)</f>
        <v>0</v>
      </c>
    </row>
    <row r="932" customFormat="false" ht="15" hidden="false" customHeight="false" outlineLevel="0" collapsed="false">
      <c r="A932" s="0" t="n">
        <v>12</v>
      </c>
      <c r="B932" s="29" t="str">
        <f aca="false">IF(OR('THÁNG 12'!$C39="",'THÁNG 12'!$B39=""),"",'THÁNG 12'!$B39)</f>
        <v/>
      </c>
      <c r="C932" s="0" t="str">
        <f aca="false">IF('THÁNG 12'!$C39="","",'THÁNG 12'!$C39)</f>
        <v/>
      </c>
      <c r="D932" s="0" t="str">
        <f aca="false">IF('THÁNG 12'!$C39="","",'THÁNG 12'!$D39&amp;"")</f>
        <v/>
      </c>
      <c r="E932" s="0" t="str">
        <f aca="false">IF('THÁNG 12'!$C39="","",'THÁNG 12'!$E39&amp;"")</f>
        <v/>
      </c>
      <c r="F932" s="0" t="str">
        <f aca="false">IF('THÁNG 12'!$C39="","",'THÁNG 12'!$F39&amp;"")</f>
        <v/>
      </c>
      <c r="G932" s="0" t="str">
        <f aca="false">IF('THÁNG 12'!$C39="","",'THÁNG 12'!$G39&amp;"")</f>
        <v/>
      </c>
      <c r="H932" s="0" t="str">
        <f aca="false">IF('THÁNG 12'!$C39="","",'THÁNG 12'!$H39&amp;"")</f>
        <v/>
      </c>
      <c r="I932" s="0" t="str">
        <f aca="false">IF('THÁNG 12'!$C39="","",N('THÁNG 12'!$I39))</f>
        <v/>
      </c>
      <c r="J932" s="0" t="str">
        <f aca="false">IF('THÁNG 12'!$C39="","",N('THÁNG 12'!$L39))</f>
        <v/>
      </c>
      <c r="K932" s="0" t="str">
        <f aca="false">IF('THÁNG 12'!$C39="","",N('THÁNG 12'!$N39))</f>
        <v/>
      </c>
      <c r="L932" s="0" t="str">
        <f aca="false">IF('THÁNG 12'!$C39="","",N('THÁNG 12'!$O39))</f>
        <v/>
      </c>
      <c r="M932" s="0" t="str">
        <f aca="false">IF('THÁNG 12'!$C39="","",N('THÁNG 12'!$P39))</f>
        <v/>
      </c>
      <c r="N932" s="0" t="str">
        <f aca="false">IF('THÁNG 12'!$C39="","",N('THÁNG 12'!$Q39))</f>
        <v/>
      </c>
      <c r="O932" s="0" t="str">
        <f aca="false">IF('THÁNG 12'!$C39="","",N('THÁNG 12'!$R39))</f>
        <v/>
      </c>
      <c r="P932" s="0" t="str">
        <f aca="false">IF(OR('THÁNG 12'!$C39="",'THÁNG 12'!$T39=""),"",'THÁNG 12'!$T39)</f>
        <v/>
      </c>
      <c r="Q932" s="0" t="str">
        <f aca="false">IF(OR('THÁNG 12'!$C39="",'THÁNG 12'!$U39=""),"",'THÁNG 12'!$U39)</f>
        <v/>
      </c>
      <c r="R932" s="0" t="str">
        <f aca="false">IF('THÁNG 12'!$C39="","",'THÁNG 12'!$W39&amp;"")</f>
        <v/>
      </c>
      <c r="S932" s="0" t="str">
        <f aca="false">IF('THÁNG 12'!$C39="","",'THÁNG 12'!$S39&amp;"")</f>
        <v/>
      </c>
      <c r="T932" s="0" t="str">
        <f aca="false">IF(N($O932)&gt;0,COUNTIF($O$3:$O932,"&gt;0"),"")</f>
        <v/>
      </c>
      <c r="U932" s="0" t="str">
        <f aca="false">IF(AND(N($J932)&gt;0,N($K932)&gt;0),COUNTIFS($J$3:$J932,"&gt;0",$K$3:$K932,"&gt;0"),"")</f>
        <v/>
      </c>
      <c r="V932" s="0" t="str">
        <f aca="false">IF(AND(N($J932)&gt;0,N($K932)=0),COUNTIFS($J$3:$J932,"&gt;0",$K$3:$K932,"&lt;=0"),"")</f>
        <v/>
      </c>
      <c r="W932" s="0" t="str">
        <f aca="false">IF($C932="","",IF(COUNTIF($C$3:$C932,$C932)&gt;1,"",MAX($W$2:W931)+1))</f>
        <v/>
      </c>
      <c r="X932" s="0" t="str">
        <f aca="false">IF($H932="","",IF(COUNTIF($H$3:$H932,$H932)&gt;1,"",MAX($X$2:X931)+1))</f>
        <v/>
      </c>
      <c r="Y932" s="0" t="str">
        <f aca="false">IF(AND(N($M932)&gt;0,N($O932)&lt;=0),COUNTIFS($M$3:$M932,"&gt;0",$O$3:$O932,"&lt;=0"),"")</f>
        <v/>
      </c>
      <c r="Z932" s="30" t="n">
        <f aca="false">IF(OR('THÁNG 12'!$C39="",'THÁNG 12'!$B39=""),0,'THÁNG 12'!$B39)</f>
        <v>0</v>
      </c>
    </row>
    <row r="933" customFormat="false" ht="15" hidden="false" customHeight="false" outlineLevel="0" collapsed="false">
      <c r="A933" s="0" t="n">
        <v>12</v>
      </c>
      <c r="B933" s="29" t="str">
        <f aca="false">IF(OR('THÁNG 12'!$C40="",'THÁNG 12'!$B40=""),"",'THÁNG 12'!$B40)</f>
        <v/>
      </c>
      <c r="C933" s="0" t="str">
        <f aca="false">IF('THÁNG 12'!$C40="","",'THÁNG 12'!$C40)</f>
        <v/>
      </c>
      <c r="D933" s="0" t="str">
        <f aca="false">IF('THÁNG 12'!$C40="","",'THÁNG 12'!$D40&amp;"")</f>
        <v/>
      </c>
      <c r="E933" s="0" t="str">
        <f aca="false">IF('THÁNG 12'!$C40="","",'THÁNG 12'!$E40&amp;"")</f>
        <v/>
      </c>
      <c r="F933" s="0" t="str">
        <f aca="false">IF('THÁNG 12'!$C40="","",'THÁNG 12'!$F40&amp;"")</f>
        <v/>
      </c>
      <c r="G933" s="0" t="str">
        <f aca="false">IF('THÁNG 12'!$C40="","",'THÁNG 12'!$G40&amp;"")</f>
        <v/>
      </c>
      <c r="H933" s="0" t="str">
        <f aca="false">IF('THÁNG 12'!$C40="","",'THÁNG 12'!$H40&amp;"")</f>
        <v/>
      </c>
      <c r="I933" s="0" t="str">
        <f aca="false">IF('THÁNG 12'!$C40="","",N('THÁNG 12'!$I40))</f>
        <v/>
      </c>
      <c r="J933" s="0" t="str">
        <f aca="false">IF('THÁNG 12'!$C40="","",N('THÁNG 12'!$L40))</f>
        <v/>
      </c>
      <c r="K933" s="0" t="str">
        <f aca="false">IF('THÁNG 12'!$C40="","",N('THÁNG 12'!$N40))</f>
        <v/>
      </c>
      <c r="L933" s="0" t="str">
        <f aca="false">IF('THÁNG 12'!$C40="","",N('THÁNG 12'!$O40))</f>
        <v/>
      </c>
      <c r="M933" s="0" t="str">
        <f aca="false">IF('THÁNG 12'!$C40="","",N('THÁNG 12'!$P40))</f>
        <v/>
      </c>
      <c r="N933" s="0" t="str">
        <f aca="false">IF('THÁNG 12'!$C40="","",N('THÁNG 12'!$Q40))</f>
        <v/>
      </c>
      <c r="O933" s="0" t="str">
        <f aca="false">IF('THÁNG 12'!$C40="","",N('THÁNG 12'!$R40))</f>
        <v/>
      </c>
      <c r="P933" s="0" t="str">
        <f aca="false">IF(OR('THÁNG 12'!$C40="",'THÁNG 12'!$T40=""),"",'THÁNG 12'!$T40)</f>
        <v/>
      </c>
      <c r="Q933" s="0" t="str">
        <f aca="false">IF(OR('THÁNG 12'!$C40="",'THÁNG 12'!$U40=""),"",'THÁNG 12'!$U40)</f>
        <v/>
      </c>
      <c r="R933" s="0" t="str">
        <f aca="false">IF('THÁNG 12'!$C40="","",'THÁNG 12'!$W40&amp;"")</f>
        <v/>
      </c>
      <c r="S933" s="0" t="str">
        <f aca="false">IF('THÁNG 12'!$C40="","",'THÁNG 12'!$S40&amp;"")</f>
        <v/>
      </c>
      <c r="T933" s="0" t="str">
        <f aca="false">IF(N($O933)&gt;0,COUNTIF($O$3:$O933,"&gt;0"),"")</f>
        <v/>
      </c>
      <c r="U933" s="0" t="str">
        <f aca="false">IF(AND(N($J933)&gt;0,N($K933)&gt;0),COUNTIFS($J$3:$J933,"&gt;0",$K$3:$K933,"&gt;0"),"")</f>
        <v/>
      </c>
      <c r="V933" s="0" t="str">
        <f aca="false">IF(AND(N($J933)&gt;0,N($K933)=0),COUNTIFS($J$3:$J933,"&gt;0",$K$3:$K933,"&lt;=0"),"")</f>
        <v/>
      </c>
      <c r="W933" s="0" t="str">
        <f aca="false">IF($C933="","",IF(COUNTIF($C$3:$C933,$C933)&gt;1,"",MAX($W$2:W932)+1))</f>
        <v/>
      </c>
      <c r="X933" s="0" t="str">
        <f aca="false">IF($H933="","",IF(COUNTIF($H$3:$H933,$H933)&gt;1,"",MAX($X$2:X932)+1))</f>
        <v/>
      </c>
      <c r="Y933" s="0" t="str">
        <f aca="false">IF(AND(N($M933)&gt;0,N($O933)&lt;=0),COUNTIFS($M$3:$M933,"&gt;0",$O$3:$O933,"&lt;=0"),"")</f>
        <v/>
      </c>
      <c r="Z933" s="30" t="n">
        <f aca="false">IF(OR('THÁNG 12'!$C40="",'THÁNG 12'!$B40=""),0,'THÁNG 12'!$B40)</f>
        <v>0</v>
      </c>
    </row>
    <row r="934" customFormat="false" ht="15" hidden="false" customHeight="false" outlineLevel="0" collapsed="false">
      <c r="A934" s="0" t="n">
        <v>12</v>
      </c>
      <c r="B934" s="29" t="str">
        <f aca="false">IF(OR('THÁNG 12'!$C41="",'THÁNG 12'!$B41=""),"",'THÁNG 12'!$B41)</f>
        <v/>
      </c>
      <c r="C934" s="0" t="str">
        <f aca="false">IF('THÁNG 12'!$C41="","",'THÁNG 12'!$C41)</f>
        <v/>
      </c>
      <c r="D934" s="0" t="str">
        <f aca="false">IF('THÁNG 12'!$C41="","",'THÁNG 12'!$D41&amp;"")</f>
        <v/>
      </c>
      <c r="E934" s="0" t="str">
        <f aca="false">IF('THÁNG 12'!$C41="","",'THÁNG 12'!$E41&amp;"")</f>
        <v/>
      </c>
      <c r="F934" s="0" t="str">
        <f aca="false">IF('THÁNG 12'!$C41="","",'THÁNG 12'!$F41&amp;"")</f>
        <v/>
      </c>
      <c r="G934" s="0" t="str">
        <f aca="false">IF('THÁNG 12'!$C41="","",'THÁNG 12'!$G41&amp;"")</f>
        <v/>
      </c>
      <c r="H934" s="0" t="str">
        <f aca="false">IF('THÁNG 12'!$C41="","",'THÁNG 12'!$H41&amp;"")</f>
        <v/>
      </c>
      <c r="I934" s="0" t="str">
        <f aca="false">IF('THÁNG 12'!$C41="","",N('THÁNG 12'!$I41))</f>
        <v/>
      </c>
      <c r="J934" s="0" t="str">
        <f aca="false">IF('THÁNG 12'!$C41="","",N('THÁNG 12'!$L41))</f>
        <v/>
      </c>
      <c r="K934" s="0" t="str">
        <f aca="false">IF('THÁNG 12'!$C41="","",N('THÁNG 12'!$N41))</f>
        <v/>
      </c>
      <c r="L934" s="0" t="str">
        <f aca="false">IF('THÁNG 12'!$C41="","",N('THÁNG 12'!$O41))</f>
        <v/>
      </c>
      <c r="M934" s="0" t="str">
        <f aca="false">IF('THÁNG 12'!$C41="","",N('THÁNG 12'!$P41))</f>
        <v/>
      </c>
      <c r="N934" s="0" t="str">
        <f aca="false">IF('THÁNG 12'!$C41="","",N('THÁNG 12'!$Q41))</f>
        <v/>
      </c>
      <c r="O934" s="0" t="str">
        <f aca="false">IF('THÁNG 12'!$C41="","",N('THÁNG 12'!$R41))</f>
        <v/>
      </c>
      <c r="P934" s="0" t="str">
        <f aca="false">IF(OR('THÁNG 12'!$C41="",'THÁNG 12'!$T41=""),"",'THÁNG 12'!$T41)</f>
        <v/>
      </c>
      <c r="Q934" s="0" t="str">
        <f aca="false">IF(OR('THÁNG 12'!$C41="",'THÁNG 12'!$U41=""),"",'THÁNG 12'!$U41)</f>
        <v/>
      </c>
      <c r="R934" s="0" t="str">
        <f aca="false">IF('THÁNG 12'!$C41="","",'THÁNG 12'!$W41&amp;"")</f>
        <v/>
      </c>
      <c r="S934" s="0" t="str">
        <f aca="false">IF('THÁNG 12'!$C41="","",'THÁNG 12'!$S41&amp;"")</f>
        <v/>
      </c>
      <c r="T934" s="0" t="str">
        <f aca="false">IF(N($O934)&gt;0,COUNTIF($O$3:$O934,"&gt;0"),"")</f>
        <v/>
      </c>
      <c r="U934" s="0" t="str">
        <f aca="false">IF(AND(N($J934)&gt;0,N($K934)&gt;0),COUNTIFS($J$3:$J934,"&gt;0",$K$3:$K934,"&gt;0"),"")</f>
        <v/>
      </c>
      <c r="V934" s="0" t="str">
        <f aca="false">IF(AND(N($J934)&gt;0,N($K934)=0),COUNTIFS($J$3:$J934,"&gt;0",$K$3:$K934,"&lt;=0"),"")</f>
        <v/>
      </c>
      <c r="W934" s="0" t="str">
        <f aca="false">IF($C934="","",IF(COUNTIF($C$3:$C934,$C934)&gt;1,"",MAX($W$2:W933)+1))</f>
        <v/>
      </c>
      <c r="X934" s="0" t="str">
        <f aca="false">IF($H934="","",IF(COUNTIF($H$3:$H934,$H934)&gt;1,"",MAX($X$2:X933)+1))</f>
        <v/>
      </c>
      <c r="Y934" s="0" t="str">
        <f aca="false">IF(AND(N($M934)&gt;0,N($O934)&lt;=0),COUNTIFS($M$3:$M934,"&gt;0",$O$3:$O934,"&lt;=0"),"")</f>
        <v/>
      </c>
      <c r="Z934" s="30" t="n">
        <f aca="false">IF(OR('THÁNG 12'!$C41="",'THÁNG 12'!$B41=""),0,'THÁNG 12'!$B41)</f>
        <v>0</v>
      </c>
    </row>
    <row r="935" customFormat="false" ht="15" hidden="false" customHeight="false" outlineLevel="0" collapsed="false">
      <c r="A935" s="0" t="n">
        <v>12</v>
      </c>
      <c r="B935" s="29" t="str">
        <f aca="false">IF(OR('THÁNG 12'!$C42="",'THÁNG 12'!$B42=""),"",'THÁNG 12'!$B42)</f>
        <v/>
      </c>
      <c r="C935" s="0" t="str">
        <f aca="false">IF('THÁNG 12'!$C42="","",'THÁNG 12'!$C42)</f>
        <v/>
      </c>
      <c r="D935" s="0" t="str">
        <f aca="false">IF('THÁNG 12'!$C42="","",'THÁNG 12'!$D42&amp;"")</f>
        <v/>
      </c>
      <c r="E935" s="0" t="str">
        <f aca="false">IF('THÁNG 12'!$C42="","",'THÁNG 12'!$E42&amp;"")</f>
        <v/>
      </c>
      <c r="F935" s="0" t="str">
        <f aca="false">IF('THÁNG 12'!$C42="","",'THÁNG 12'!$F42&amp;"")</f>
        <v/>
      </c>
      <c r="G935" s="0" t="str">
        <f aca="false">IF('THÁNG 12'!$C42="","",'THÁNG 12'!$G42&amp;"")</f>
        <v/>
      </c>
      <c r="H935" s="0" t="str">
        <f aca="false">IF('THÁNG 12'!$C42="","",'THÁNG 12'!$H42&amp;"")</f>
        <v/>
      </c>
      <c r="I935" s="0" t="str">
        <f aca="false">IF('THÁNG 12'!$C42="","",N('THÁNG 12'!$I42))</f>
        <v/>
      </c>
      <c r="J935" s="0" t="str">
        <f aca="false">IF('THÁNG 12'!$C42="","",N('THÁNG 12'!$L42))</f>
        <v/>
      </c>
      <c r="K935" s="0" t="str">
        <f aca="false">IF('THÁNG 12'!$C42="","",N('THÁNG 12'!$N42))</f>
        <v/>
      </c>
      <c r="L935" s="0" t="str">
        <f aca="false">IF('THÁNG 12'!$C42="","",N('THÁNG 12'!$O42))</f>
        <v/>
      </c>
      <c r="M935" s="0" t="str">
        <f aca="false">IF('THÁNG 12'!$C42="","",N('THÁNG 12'!$P42))</f>
        <v/>
      </c>
      <c r="N935" s="0" t="str">
        <f aca="false">IF('THÁNG 12'!$C42="","",N('THÁNG 12'!$Q42))</f>
        <v/>
      </c>
      <c r="O935" s="0" t="str">
        <f aca="false">IF('THÁNG 12'!$C42="","",N('THÁNG 12'!$R42))</f>
        <v/>
      </c>
      <c r="P935" s="0" t="str">
        <f aca="false">IF(OR('THÁNG 12'!$C42="",'THÁNG 12'!$T42=""),"",'THÁNG 12'!$T42)</f>
        <v/>
      </c>
      <c r="Q935" s="0" t="str">
        <f aca="false">IF(OR('THÁNG 12'!$C42="",'THÁNG 12'!$U42=""),"",'THÁNG 12'!$U42)</f>
        <v/>
      </c>
      <c r="R935" s="0" t="str">
        <f aca="false">IF('THÁNG 12'!$C42="","",'THÁNG 12'!$W42&amp;"")</f>
        <v/>
      </c>
      <c r="S935" s="0" t="str">
        <f aca="false">IF('THÁNG 12'!$C42="","",'THÁNG 12'!$S42&amp;"")</f>
        <v/>
      </c>
      <c r="T935" s="0" t="str">
        <f aca="false">IF(N($O935)&gt;0,COUNTIF($O$3:$O935,"&gt;0"),"")</f>
        <v/>
      </c>
      <c r="U935" s="0" t="str">
        <f aca="false">IF(AND(N($J935)&gt;0,N($K935)&gt;0),COUNTIFS($J$3:$J935,"&gt;0",$K$3:$K935,"&gt;0"),"")</f>
        <v/>
      </c>
      <c r="V935" s="0" t="str">
        <f aca="false">IF(AND(N($J935)&gt;0,N($K935)=0),COUNTIFS($J$3:$J935,"&gt;0",$K$3:$K935,"&lt;=0"),"")</f>
        <v/>
      </c>
      <c r="W935" s="0" t="str">
        <f aca="false">IF($C935="","",IF(COUNTIF($C$3:$C935,$C935)&gt;1,"",MAX($W$2:W934)+1))</f>
        <v/>
      </c>
      <c r="X935" s="0" t="str">
        <f aca="false">IF($H935="","",IF(COUNTIF($H$3:$H935,$H935)&gt;1,"",MAX($X$2:X934)+1))</f>
        <v/>
      </c>
      <c r="Y935" s="0" t="str">
        <f aca="false">IF(AND(N($M935)&gt;0,N($O935)&lt;=0),COUNTIFS($M$3:$M935,"&gt;0",$O$3:$O935,"&lt;=0"),"")</f>
        <v/>
      </c>
      <c r="Z935" s="30" t="n">
        <f aca="false">IF(OR('THÁNG 12'!$C42="",'THÁNG 12'!$B42=""),0,'THÁNG 12'!$B42)</f>
        <v>0</v>
      </c>
    </row>
    <row r="936" customFormat="false" ht="15" hidden="false" customHeight="false" outlineLevel="0" collapsed="false">
      <c r="A936" s="0" t="n">
        <v>12</v>
      </c>
      <c r="B936" s="29" t="str">
        <f aca="false">IF(OR('THÁNG 12'!$C43="",'THÁNG 12'!$B43=""),"",'THÁNG 12'!$B43)</f>
        <v/>
      </c>
      <c r="C936" s="0" t="str">
        <f aca="false">IF('THÁNG 12'!$C43="","",'THÁNG 12'!$C43)</f>
        <v/>
      </c>
      <c r="D936" s="0" t="str">
        <f aca="false">IF('THÁNG 12'!$C43="","",'THÁNG 12'!$D43&amp;"")</f>
        <v/>
      </c>
      <c r="E936" s="0" t="str">
        <f aca="false">IF('THÁNG 12'!$C43="","",'THÁNG 12'!$E43&amp;"")</f>
        <v/>
      </c>
      <c r="F936" s="0" t="str">
        <f aca="false">IF('THÁNG 12'!$C43="","",'THÁNG 12'!$F43&amp;"")</f>
        <v/>
      </c>
      <c r="G936" s="0" t="str">
        <f aca="false">IF('THÁNG 12'!$C43="","",'THÁNG 12'!$G43&amp;"")</f>
        <v/>
      </c>
      <c r="H936" s="0" t="str">
        <f aca="false">IF('THÁNG 12'!$C43="","",'THÁNG 12'!$H43&amp;"")</f>
        <v/>
      </c>
      <c r="I936" s="0" t="str">
        <f aca="false">IF('THÁNG 12'!$C43="","",N('THÁNG 12'!$I43))</f>
        <v/>
      </c>
      <c r="J936" s="0" t="str">
        <f aca="false">IF('THÁNG 12'!$C43="","",N('THÁNG 12'!$L43))</f>
        <v/>
      </c>
      <c r="K936" s="0" t="str">
        <f aca="false">IF('THÁNG 12'!$C43="","",N('THÁNG 12'!$N43))</f>
        <v/>
      </c>
      <c r="L936" s="0" t="str">
        <f aca="false">IF('THÁNG 12'!$C43="","",N('THÁNG 12'!$O43))</f>
        <v/>
      </c>
      <c r="M936" s="0" t="str">
        <f aca="false">IF('THÁNG 12'!$C43="","",N('THÁNG 12'!$P43))</f>
        <v/>
      </c>
      <c r="N936" s="0" t="str">
        <f aca="false">IF('THÁNG 12'!$C43="","",N('THÁNG 12'!$Q43))</f>
        <v/>
      </c>
      <c r="O936" s="0" t="str">
        <f aca="false">IF('THÁNG 12'!$C43="","",N('THÁNG 12'!$R43))</f>
        <v/>
      </c>
      <c r="P936" s="0" t="str">
        <f aca="false">IF(OR('THÁNG 12'!$C43="",'THÁNG 12'!$T43=""),"",'THÁNG 12'!$T43)</f>
        <v/>
      </c>
      <c r="Q936" s="0" t="str">
        <f aca="false">IF(OR('THÁNG 12'!$C43="",'THÁNG 12'!$U43=""),"",'THÁNG 12'!$U43)</f>
        <v/>
      </c>
      <c r="R936" s="0" t="str">
        <f aca="false">IF('THÁNG 12'!$C43="","",'THÁNG 12'!$W43&amp;"")</f>
        <v/>
      </c>
      <c r="S936" s="0" t="str">
        <f aca="false">IF('THÁNG 12'!$C43="","",'THÁNG 12'!$S43&amp;"")</f>
        <v/>
      </c>
      <c r="T936" s="0" t="str">
        <f aca="false">IF(N($O936)&gt;0,COUNTIF($O$3:$O936,"&gt;0"),"")</f>
        <v/>
      </c>
      <c r="U936" s="0" t="str">
        <f aca="false">IF(AND(N($J936)&gt;0,N($K936)&gt;0),COUNTIFS($J$3:$J936,"&gt;0",$K$3:$K936,"&gt;0"),"")</f>
        <v/>
      </c>
      <c r="V936" s="0" t="str">
        <f aca="false">IF(AND(N($J936)&gt;0,N($K936)=0),COUNTIFS($J$3:$J936,"&gt;0",$K$3:$K936,"&lt;=0"),"")</f>
        <v/>
      </c>
      <c r="W936" s="0" t="str">
        <f aca="false">IF($C936="","",IF(COUNTIF($C$3:$C936,$C936)&gt;1,"",MAX($W$2:W935)+1))</f>
        <v/>
      </c>
      <c r="X936" s="0" t="str">
        <f aca="false">IF($H936="","",IF(COUNTIF($H$3:$H936,$H936)&gt;1,"",MAX($X$2:X935)+1))</f>
        <v/>
      </c>
      <c r="Y936" s="0" t="str">
        <f aca="false">IF(AND(N($M936)&gt;0,N($O936)&lt;=0),COUNTIFS($M$3:$M936,"&gt;0",$O$3:$O936,"&lt;=0"),"")</f>
        <v/>
      </c>
      <c r="Z936" s="30" t="n">
        <f aca="false">IF(OR('THÁNG 12'!$C43="",'THÁNG 12'!$B43=""),0,'THÁNG 12'!$B43)</f>
        <v>0</v>
      </c>
    </row>
    <row r="937" customFormat="false" ht="15" hidden="false" customHeight="false" outlineLevel="0" collapsed="false">
      <c r="A937" s="0" t="n">
        <v>12</v>
      </c>
      <c r="B937" s="29" t="str">
        <f aca="false">IF(OR('THÁNG 12'!$C44="",'THÁNG 12'!$B44=""),"",'THÁNG 12'!$B44)</f>
        <v/>
      </c>
      <c r="C937" s="0" t="str">
        <f aca="false">IF('THÁNG 12'!$C44="","",'THÁNG 12'!$C44)</f>
        <v/>
      </c>
      <c r="D937" s="0" t="str">
        <f aca="false">IF('THÁNG 12'!$C44="","",'THÁNG 12'!$D44&amp;"")</f>
        <v/>
      </c>
      <c r="E937" s="0" t="str">
        <f aca="false">IF('THÁNG 12'!$C44="","",'THÁNG 12'!$E44&amp;"")</f>
        <v/>
      </c>
      <c r="F937" s="0" t="str">
        <f aca="false">IF('THÁNG 12'!$C44="","",'THÁNG 12'!$F44&amp;"")</f>
        <v/>
      </c>
      <c r="G937" s="0" t="str">
        <f aca="false">IF('THÁNG 12'!$C44="","",'THÁNG 12'!$G44&amp;"")</f>
        <v/>
      </c>
      <c r="H937" s="0" t="str">
        <f aca="false">IF('THÁNG 12'!$C44="","",'THÁNG 12'!$H44&amp;"")</f>
        <v/>
      </c>
      <c r="I937" s="0" t="str">
        <f aca="false">IF('THÁNG 12'!$C44="","",N('THÁNG 12'!$I44))</f>
        <v/>
      </c>
      <c r="J937" s="0" t="str">
        <f aca="false">IF('THÁNG 12'!$C44="","",N('THÁNG 12'!$L44))</f>
        <v/>
      </c>
      <c r="K937" s="0" t="str">
        <f aca="false">IF('THÁNG 12'!$C44="","",N('THÁNG 12'!$N44))</f>
        <v/>
      </c>
      <c r="L937" s="0" t="str">
        <f aca="false">IF('THÁNG 12'!$C44="","",N('THÁNG 12'!$O44))</f>
        <v/>
      </c>
      <c r="M937" s="0" t="str">
        <f aca="false">IF('THÁNG 12'!$C44="","",N('THÁNG 12'!$P44))</f>
        <v/>
      </c>
      <c r="N937" s="0" t="str">
        <f aca="false">IF('THÁNG 12'!$C44="","",N('THÁNG 12'!$Q44))</f>
        <v/>
      </c>
      <c r="O937" s="0" t="str">
        <f aca="false">IF('THÁNG 12'!$C44="","",N('THÁNG 12'!$R44))</f>
        <v/>
      </c>
      <c r="P937" s="0" t="str">
        <f aca="false">IF(OR('THÁNG 12'!$C44="",'THÁNG 12'!$T44=""),"",'THÁNG 12'!$T44)</f>
        <v/>
      </c>
      <c r="Q937" s="0" t="str">
        <f aca="false">IF(OR('THÁNG 12'!$C44="",'THÁNG 12'!$U44=""),"",'THÁNG 12'!$U44)</f>
        <v/>
      </c>
      <c r="R937" s="0" t="str">
        <f aca="false">IF('THÁNG 12'!$C44="","",'THÁNG 12'!$W44&amp;"")</f>
        <v/>
      </c>
      <c r="S937" s="0" t="str">
        <f aca="false">IF('THÁNG 12'!$C44="","",'THÁNG 12'!$S44&amp;"")</f>
        <v/>
      </c>
      <c r="T937" s="0" t="str">
        <f aca="false">IF(N($O937)&gt;0,COUNTIF($O$3:$O937,"&gt;0"),"")</f>
        <v/>
      </c>
      <c r="U937" s="0" t="str">
        <f aca="false">IF(AND(N($J937)&gt;0,N($K937)&gt;0),COUNTIFS($J$3:$J937,"&gt;0",$K$3:$K937,"&gt;0"),"")</f>
        <v/>
      </c>
      <c r="V937" s="0" t="str">
        <f aca="false">IF(AND(N($J937)&gt;0,N($K937)=0),COUNTIFS($J$3:$J937,"&gt;0",$K$3:$K937,"&lt;=0"),"")</f>
        <v/>
      </c>
      <c r="W937" s="0" t="str">
        <f aca="false">IF($C937="","",IF(COUNTIF($C$3:$C937,$C937)&gt;1,"",MAX($W$2:W936)+1))</f>
        <v/>
      </c>
      <c r="X937" s="0" t="str">
        <f aca="false">IF($H937="","",IF(COUNTIF($H$3:$H937,$H937)&gt;1,"",MAX($X$2:X936)+1))</f>
        <v/>
      </c>
      <c r="Y937" s="0" t="str">
        <f aca="false">IF(AND(N($M937)&gt;0,N($O937)&lt;=0),COUNTIFS($M$3:$M937,"&gt;0",$O$3:$O937,"&lt;=0"),"")</f>
        <v/>
      </c>
      <c r="Z937" s="30" t="n">
        <f aca="false">IF(OR('THÁNG 12'!$C44="",'THÁNG 12'!$B44=""),0,'THÁNG 12'!$B44)</f>
        <v>0</v>
      </c>
    </row>
    <row r="938" customFormat="false" ht="15" hidden="false" customHeight="false" outlineLevel="0" collapsed="false">
      <c r="A938" s="0" t="n">
        <v>12</v>
      </c>
      <c r="B938" s="29" t="str">
        <f aca="false">IF(OR('THÁNG 12'!$C45="",'THÁNG 12'!$B45=""),"",'THÁNG 12'!$B45)</f>
        <v/>
      </c>
      <c r="C938" s="0" t="str">
        <f aca="false">IF('THÁNG 12'!$C45="","",'THÁNG 12'!$C45)</f>
        <v/>
      </c>
      <c r="D938" s="0" t="str">
        <f aca="false">IF('THÁNG 12'!$C45="","",'THÁNG 12'!$D45&amp;"")</f>
        <v/>
      </c>
      <c r="E938" s="0" t="str">
        <f aca="false">IF('THÁNG 12'!$C45="","",'THÁNG 12'!$E45&amp;"")</f>
        <v/>
      </c>
      <c r="F938" s="0" t="str">
        <f aca="false">IF('THÁNG 12'!$C45="","",'THÁNG 12'!$F45&amp;"")</f>
        <v/>
      </c>
      <c r="G938" s="0" t="str">
        <f aca="false">IF('THÁNG 12'!$C45="","",'THÁNG 12'!$G45&amp;"")</f>
        <v/>
      </c>
      <c r="H938" s="0" t="str">
        <f aca="false">IF('THÁNG 12'!$C45="","",'THÁNG 12'!$H45&amp;"")</f>
        <v/>
      </c>
      <c r="I938" s="0" t="str">
        <f aca="false">IF('THÁNG 12'!$C45="","",N('THÁNG 12'!$I45))</f>
        <v/>
      </c>
      <c r="J938" s="0" t="str">
        <f aca="false">IF('THÁNG 12'!$C45="","",N('THÁNG 12'!$L45))</f>
        <v/>
      </c>
      <c r="K938" s="0" t="str">
        <f aca="false">IF('THÁNG 12'!$C45="","",N('THÁNG 12'!$N45))</f>
        <v/>
      </c>
      <c r="L938" s="0" t="str">
        <f aca="false">IF('THÁNG 12'!$C45="","",N('THÁNG 12'!$O45))</f>
        <v/>
      </c>
      <c r="M938" s="0" t="str">
        <f aca="false">IF('THÁNG 12'!$C45="","",N('THÁNG 12'!$P45))</f>
        <v/>
      </c>
      <c r="N938" s="0" t="str">
        <f aca="false">IF('THÁNG 12'!$C45="","",N('THÁNG 12'!$Q45))</f>
        <v/>
      </c>
      <c r="O938" s="0" t="str">
        <f aca="false">IF('THÁNG 12'!$C45="","",N('THÁNG 12'!$R45))</f>
        <v/>
      </c>
      <c r="P938" s="0" t="str">
        <f aca="false">IF(OR('THÁNG 12'!$C45="",'THÁNG 12'!$T45=""),"",'THÁNG 12'!$T45)</f>
        <v/>
      </c>
      <c r="Q938" s="0" t="str">
        <f aca="false">IF(OR('THÁNG 12'!$C45="",'THÁNG 12'!$U45=""),"",'THÁNG 12'!$U45)</f>
        <v/>
      </c>
      <c r="R938" s="0" t="str">
        <f aca="false">IF('THÁNG 12'!$C45="","",'THÁNG 12'!$W45&amp;"")</f>
        <v/>
      </c>
      <c r="S938" s="0" t="str">
        <f aca="false">IF('THÁNG 12'!$C45="","",'THÁNG 12'!$S45&amp;"")</f>
        <v/>
      </c>
      <c r="T938" s="0" t="str">
        <f aca="false">IF(N($O938)&gt;0,COUNTIF($O$3:$O938,"&gt;0"),"")</f>
        <v/>
      </c>
      <c r="U938" s="0" t="str">
        <f aca="false">IF(AND(N($J938)&gt;0,N($K938)&gt;0),COUNTIFS($J$3:$J938,"&gt;0",$K$3:$K938,"&gt;0"),"")</f>
        <v/>
      </c>
      <c r="V938" s="0" t="str">
        <f aca="false">IF(AND(N($J938)&gt;0,N($K938)=0),COUNTIFS($J$3:$J938,"&gt;0",$K$3:$K938,"&lt;=0"),"")</f>
        <v/>
      </c>
      <c r="W938" s="0" t="str">
        <f aca="false">IF($C938="","",IF(COUNTIF($C$3:$C938,$C938)&gt;1,"",MAX($W$2:W937)+1))</f>
        <v/>
      </c>
      <c r="X938" s="0" t="str">
        <f aca="false">IF($H938="","",IF(COUNTIF($H$3:$H938,$H938)&gt;1,"",MAX($X$2:X937)+1))</f>
        <v/>
      </c>
      <c r="Y938" s="0" t="str">
        <f aca="false">IF(AND(N($M938)&gt;0,N($O938)&lt;=0),COUNTIFS($M$3:$M938,"&gt;0",$O$3:$O938,"&lt;=0"),"")</f>
        <v/>
      </c>
      <c r="Z938" s="30" t="n">
        <f aca="false">IF(OR('THÁNG 12'!$C45="",'THÁNG 12'!$B45=""),0,'THÁNG 12'!$B45)</f>
        <v>0</v>
      </c>
    </row>
    <row r="939" customFormat="false" ht="15" hidden="false" customHeight="false" outlineLevel="0" collapsed="false">
      <c r="A939" s="0" t="n">
        <v>12</v>
      </c>
      <c r="B939" s="29" t="str">
        <f aca="false">IF(OR('THÁNG 12'!$C46="",'THÁNG 12'!$B46=""),"",'THÁNG 12'!$B46)</f>
        <v/>
      </c>
      <c r="C939" s="0" t="str">
        <f aca="false">IF('THÁNG 12'!$C46="","",'THÁNG 12'!$C46)</f>
        <v/>
      </c>
      <c r="D939" s="0" t="str">
        <f aca="false">IF('THÁNG 12'!$C46="","",'THÁNG 12'!$D46&amp;"")</f>
        <v/>
      </c>
      <c r="E939" s="0" t="str">
        <f aca="false">IF('THÁNG 12'!$C46="","",'THÁNG 12'!$E46&amp;"")</f>
        <v/>
      </c>
      <c r="F939" s="0" t="str">
        <f aca="false">IF('THÁNG 12'!$C46="","",'THÁNG 12'!$F46&amp;"")</f>
        <v/>
      </c>
      <c r="G939" s="0" t="str">
        <f aca="false">IF('THÁNG 12'!$C46="","",'THÁNG 12'!$G46&amp;"")</f>
        <v/>
      </c>
      <c r="H939" s="0" t="str">
        <f aca="false">IF('THÁNG 12'!$C46="","",'THÁNG 12'!$H46&amp;"")</f>
        <v/>
      </c>
      <c r="I939" s="0" t="str">
        <f aca="false">IF('THÁNG 12'!$C46="","",N('THÁNG 12'!$I46))</f>
        <v/>
      </c>
      <c r="J939" s="0" t="str">
        <f aca="false">IF('THÁNG 12'!$C46="","",N('THÁNG 12'!$L46))</f>
        <v/>
      </c>
      <c r="K939" s="0" t="str">
        <f aca="false">IF('THÁNG 12'!$C46="","",N('THÁNG 12'!$N46))</f>
        <v/>
      </c>
      <c r="L939" s="0" t="str">
        <f aca="false">IF('THÁNG 12'!$C46="","",N('THÁNG 12'!$O46))</f>
        <v/>
      </c>
      <c r="M939" s="0" t="str">
        <f aca="false">IF('THÁNG 12'!$C46="","",N('THÁNG 12'!$P46))</f>
        <v/>
      </c>
      <c r="N939" s="0" t="str">
        <f aca="false">IF('THÁNG 12'!$C46="","",N('THÁNG 12'!$Q46))</f>
        <v/>
      </c>
      <c r="O939" s="0" t="str">
        <f aca="false">IF('THÁNG 12'!$C46="","",N('THÁNG 12'!$R46))</f>
        <v/>
      </c>
      <c r="P939" s="0" t="str">
        <f aca="false">IF(OR('THÁNG 12'!$C46="",'THÁNG 12'!$T46=""),"",'THÁNG 12'!$T46)</f>
        <v/>
      </c>
      <c r="Q939" s="0" t="str">
        <f aca="false">IF(OR('THÁNG 12'!$C46="",'THÁNG 12'!$U46=""),"",'THÁNG 12'!$U46)</f>
        <v/>
      </c>
      <c r="R939" s="0" t="str">
        <f aca="false">IF('THÁNG 12'!$C46="","",'THÁNG 12'!$W46&amp;"")</f>
        <v/>
      </c>
      <c r="S939" s="0" t="str">
        <f aca="false">IF('THÁNG 12'!$C46="","",'THÁNG 12'!$S46&amp;"")</f>
        <v/>
      </c>
      <c r="T939" s="0" t="str">
        <f aca="false">IF(N($O939)&gt;0,COUNTIF($O$3:$O939,"&gt;0"),"")</f>
        <v/>
      </c>
      <c r="U939" s="0" t="str">
        <f aca="false">IF(AND(N($J939)&gt;0,N($K939)&gt;0),COUNTIFS($J$3:$J939,"&gt;0",$K$3:$K939,"&gt;0"),"")</f>
        <v/>
      </c>
      <c r="V939" s="0" t="str">
        <f aca="false">IF(AND(N($J939)&gt;0,N($K939)=0),COUNTIFS($J$3:$J939,"&gt;0",$K$3:$K939,"&lt;=0"),"")</f>
        <v/>
      </c>
      <c r="W939" s="0" t="str">
        <f aca="false">IF($C939="","",IF(COUNTIF($C$3:$C939,$C939)&gt;1,"",MAX($W$2:W938)+1))</f>
        <v/>
      </c>
      <c r="X939" s="0" t="str">
        <f aca="false">IF($H939="","",IF(COUNTIF($H$3:$H939,$H939)&gt;1,"",MAX($X$2:X938)+1))</f>
        <v/>
      </c>
      <c r="Y939" s="0" t="str">
        <f aca="false">IF(AND(N($M939)&gt;0,N($O939)&lt;=0),COUNTIFS($M$3:$M939,"&gt;0",$O$3:$O939,"&lt;=0"),"")</f>
        <v/>
      </c>
      <c r="Z939" s="30" t="n">
        <f aca="false">IF(OR('THÁNG 12'!$C46="",'THÁNG 12'!$B46=""),0,'THÁNG 12'!$B46)</f>
        <v>0</v>
      </c>
    </row>
    <row r="940" customFormat="false" ht="15" hidden="false" customHeight="false" outlineLevel="0" collapsed="false">
      <c r="A940" s="0" t="n">
        <v>12</v>
      </c>
      <c r="B940" s="29" t="str">
        <f aca="false">IF(OR('THÁNG 12'!$C47="",'THÁNG 12'!$B47=""),"",'THÁNG 12'!$B47)</f>
        <v/>
      </c>
      <c r="C940" s="0" t="str">
        <f aca="false">IF('THÁNG 12'!$C47="","",'THÁNG 12'!$C47)</f>
        <v/>
      </c>
      <c r="D940" s="0" t="str">
        <f aca="false">IF('THÁNG 12'!$C47="","",'THÁNG 12'!$D47&amp;"")</f>
        <v/>
      </c>
      <c r="E940" s="0" t="str">
        <f aca="false">IF('THÁNG 12'!$C47="","",'THÁNG 12'!$E47&amp;"")</f>
        <v/>
      </c>
      <c r="F940" s="0" t="str">
        <f aca="false">IF('THÁNG 12'!$C47="","",'THÁNG 12'!$F47&amp;"")</f>
        <v/>
      </c>
      <c r="G940" s="0" t="str">
        <f aca="false">IF('THÁNG 12'!$C47="","",'THÁNG 12'!$G47&amp;"")</f>
        <v/>
      </c>
      <c r="H940" s="0" t="str">
        <f aca="false">IF('THÁNG 12'!$C47="","",'THÁNG 12'!$H47&amp;"")</f>
        <v/>
      </c>
      <c r="I940" s="0" t="str">
        <f aca="false">IF('THÁNG 12'!$C47="","",N('THÁNG 12'!$I47))</f>
        <v/>
      </c>
      <c r="J940" s="0" t="str">
        <f aca="false">IF('THÁNG 12'!$C47="","",N('THÁNG 12'!$L47))</f>
        <v/>
      </c>
      <c r="K940" s="0" t="str">
        <f aca="false">IF('THÁNG 12'!$C47="","",N('THÁNG 12'!$N47))</f>
        <v/>
      </c>
      <c r="L940" s="0" t="str">
        <f aca="false">IF('THÁNG 12'!$C47="","",N('THÁNG 12'!$O47))</f>
        <v/>
      </c>
      <c r="M940" s="0" t="str">
        <f aca="false">IF('THÁNG 12'!$C47="","",N('THÁNG 12'!$P47))</f>
        <v/>
      </c>
      <c r="N940" s="0" t="str">
        <f aca="false">IF('THÁNG 12'!$C47="","",N('THÁNG 12'!$Q47))</f>
        <v/>
      </c>
      <c r="O940" s="0" t="str">
        <f aca="false">IF('THÁNG 12'!$C47="","",N('THÁNG 12'!$R47))</f>
        <v/>
      </c>
      <c r="P940" s="0" t="str">
        <f aca="false">IF(OR('THÁNG 12'!$C47="",'THÁNG 12'!$T47=""),"",'THÁNG 12'!$T47)</f>
        <v/>
      </c>
      <c r="Q940" s="0" t="str">
        <f aca="false">IF(OR('THÁNG 12'!$C47="",'THÁNG 12'!$U47=""),"",'THÁNG 12'!$U47)</f>
        <v/>
      </c>
      <c r="R940" s="0" t="str">
        <f aca="false">IF('THÁNG 12'!$C47="","",'THÁNG 12'!$W47&amp;"")</f>
        <v/>
      </c>
      <c r="S940" s="0" t="str">
        <f aca="false">IF('THÁNG 12'!$C47="","",'THÁNG 12'!$S47&amp;"")</f>
        <v/>
      </c>
      <c r="T940" s="0" t="str">
        <f aca="false">IF(N($O940)&gt;0,COUNTIF($O$3:$O940,"&gt;0"),"")</f>
        <v/>
      </c>
      <c r="U940" s="0" t="str">
        <f aca="false">IF(AND(N($J940)&gt;0,N($K940)&gt;0),COUNTIFS($J$3:$J940,"&gt;0",$K$3:$K940,"&gt;0"),"")</f>
        <v/>
      </c>
      <c r="V940" s="0" t="str">
        <f aca="false">IF(AND(N($J940)&gt;0,N($K940)=0),COUNTIFS($J$3:$J940,"&gt;0",$K$3:$K940,"&lt;=0"),"")</f>
        <v/>
      </c>
      <c r="W940" s="0" t="str">
        <f aca="false">IF($C940="","",IF(COUNTIF($C$3:$C940,$C940)&gt;1,"",MAX($W$2:W939)+1))</f>
        <v/>
      </c>
      <c r="X940" s="0" t="str">
        <f aca="false">IF($H940="","",IF(COUNTIF($H$3:$H940,$H940)&gt;1,"",MAX($X$2:X939)+1))</f>
        <v/>
      </c>
      <c r="Y940" s="0" t="str">
        <f aca="false">IF(AND(N($M940)&gt;0,N($O940)&lt;=0),COUNTIFS($M$3:$M940,"&gt;0",$O$3:$O940,"&lt;=0"),"")</f>
        <v/>
      </c>
      <c r="Z940" s="30" t="n">
        <f aca="false">IF(OR('THÁNG 12'!$C47="",'THÁNG 12'!$B47=""),0,'THÁNG 12'!$B47)</f>
        <v>0</v>
      </c>
    </row>
    <row r="941" customFormat="false" ht="15" hidden="false" customHeight="false" outlineLevel="0" collapsed="false">
      <c r="A941" s="0" t="n">
        <v>12</v>
      </c>
      <c r="B941" s="29" t="str">
        <f aca="false">IF(OR('THÁNG 12'!$C48="",'THÁNG 12'!$B48=""),"",'THÁNG 12'!$B48)</f>
        <v/>
      </c>
      <c r="C941" s="0" t="str">
        <f aca="false">IF('THÁNG 12'!$C48="","",'THÁNG 12'!$C48)</f>
        <v/>
      </c>
      <c r="D941" s="0" t="str">
        <f aca="false">IF('THÁNG 12'!$C48="","",'THÁNG 12'!$D48&amp;"")</f>
        <v/>
      </c>
      <c r="E941" s="0" t="str">
        <f aca="false">IF('THÁNG 12'!$C48="","",'THÁNG 12'!$E48&amp;"")</f>
        <v/>
      </c>
      <c r="F941" s="0" t="str">
        <f aca="false">IF('THÁNG 12'!$C48="","",'THÁNG 12'!$F48&amp;"")</f>
        <v/>
      </c>
      <c r="G941" s="0" t="str">
        <f aca="false">IF('THÁNG 12'!$C48="","",'THÁNG 12'!$G48&amp;"")</f>
        <v/>
      </c>
      <c r="H941" s="0" t="str">
        <f aca="false">IF('THÁNG 12'!$C48="","",'THÁNG 12'!$H48&amp;"")</f>
        <v/>
      </c>
      <c r="I941" s="0" t="str">
        <f aca="false">IF('THÁNG 12'!$C48="","",N('THÁNG 12'!$I48))</f>
        <v/>
      </c>
      <c r="J941" s="0" t="str">
        <f aca="false">IF('THÁNG 12'!$C48="","",N('THÁNG 12'!$L48))</f>
        <v/>
      </c>
      <c r="K941" s="0" t="str">
        <f aca="false">IF('THÁNG 12'!$C48="","",N('THÁNG 12'!$N48))</f>
        <v/>
      </c>
      <c r="L941" s="0" t="str">
        <f aca="false">IF('THÁNG 12'!$C48="","",N('THÁNG 12'!$O48))</f>
        <v/>
      </c>
      <c r="M941" s="0" t="str">
        <f aca="false">IF('THÁNG 12'!$C48="","",N('THÁNG 12'!$P48))</f>
        <v/>
      </c>
      <c r="N941" s="0" t="str">
        <f aca="false">IF('THÁNG 12'!$C48="","",N('THÁNG 12'!$Q48))</f>
        <v/>
      </c>
      <c r="O941" s="0" t="str">
        <f aca="false">IF('THÁNG 12'!$C48="","",N('THÁNG 12'!$R48))</f>
        <v/>
      </c>
      <c r="P941" s="0" t="str">
        <f aca="false">IF(OR('THÁNG 12'!$C48="",'THÁNG 12'!$T48=""),"",'THÁNG 12'!$T48)</f>
        <v/>
      </c>
      <c r="Q941" s="0" t="str">
        <f aca="false">IF(OR('THÁNG 12'!$C48="",'THÁNG 12'!$U48=""),"",'THÁNG 12'!$U48)</f>
        <v/>
      </c>
      <c r="R941" s="0" t="str">
        <f aca="false">IF('THÁNG 12'!$C48="","",'THÁNG 12'!$W48&amp;"")</f>
        <v/>
      </c>
      <c r="S941" s="0" t="str">
        <f aca="false">IF('THÁNG 12'!$C48="","",'THÁNG 12'!$S48&amp;"")</f>
        <v/>
      </c>
      <c r="T941" s="0" t="str">
        <f aca="false">IF(N($O941)&gt;0,COUNTIF($O$3:$O941,"&gt;0"),"")</f>
        <v/>
      </c>
      <c r="U941" s="0" t="str">
        <f aca="false">IF(AND(N($J941)&gt;0,N($K941)&gt;0),COUNTIFS($J$3:$J941,"&gt;0",$K$3:$K941,"&gt;0"),"")</f>
        <v/>
      </c>
      <c r="V941" s="0" t="str">
        <f aca="false">IF(AND(N($J941)&gt;0,N($K941)=0),COUNTIFS($J$3:$J941,"&gt;0",$K$3:$K941,"&lt;=0"),"")</f>
        <v/>
      </c>
      <c r="W941" s="0" t="str">
        <f aca="false">IF($C941="","",IF(COUNTIF($C$3:$C941,$C941)&gt;1,"",MAX($W$2:W940)+1))</f>
        <v/>
      </c>
      <c r="X941" s="0" t="str">
        <f aca="false">IF($H941="","",IF(COUNTIF($H$3:$H941,$H941)&gt;1,"",MAX($X$2:X940)+1))</f>
        <v/>
      </c>
      <c r="Y941" s="0" t="str">
        <f aca="false">IF(AND(N($M941)&gt;0,N($O941)&lt;=0),COUNTIFS($M$3:$M941,"&gt;0",$O$3:$O941,"&lt;=0"),"")</f>
        <v/>
      </c>
      <c r="Z941" s="30" t="n">
        <f aca="false">IF(OR('THÁNG 12'!$C48="",'THÁNG 12'!$B48=""),0,'THÁNG 12'!$B48)</f>
        <v>0</v>
      </c>
    </row>
    <row r="942" customFormat="false" ht="15" hidden="false" customHeight="false" outlineLevel="0" collapsed="false">
      <c r="A942" s="0" t="n">
        <v>12</v>
      </c>
      <c r="B942" s="29" t="str">
        <f aca="false">IF(OR('THÁNG 12'!$C49="",'THÁNG 12'!$B49=""),"",'THÁNG 12'!$B49)</f>
        <v/>
      </c>
      <c r="C942" s="0" t="str">
        <f aca="false">IF('THÁNG 12'!$C49="","",'THÁNG 12'!$C49)</f>
        <v/>
      </c>
      <c r="D942" s="0" t="str">
        <f aca="false">IF('THÁNG 12'!$C49="","",'THÁNG 12'!$D49&amp;"")</f>
        <v/>
      </c>
      <c r="E942" s="0" t="str">
        <f aca="false">IF('THÁNG 12'!$C49="","",'THÁNG 12'!$E49&amp;"")</f>
        <v/>
      </c>
      <c r="F942" s="0" t="str">
        <f aca="false">IF('THÁNG 12'!$C49="","",'THÁNG 12'!$F49&amp;"")</f>
        <v/>
      </c>
      <c r="G942" s="0" t="str">
        <f aca="false">IF('THÁNG 12'!$C49="","",'THÁNG 12'!$G49&amp;"")</f>
        <v/>
      </c>
      <c r="H942" s="0" t="str">
        <f aca="false">IF('THÁNG 12'!$C49="","",'THÁNG 12'!$H49&amp;"")</f>
        <v/>
      </c>
      <c r="I942" s="0" t="str">
        <f aca="false">IF('THÁNG 12'!$C49="","",N('THÁNG 12'!$I49))</f>
        <v/>
      </c>
      <c r="J942" s="0" t="str">
        <f aca="false">IF('THÁNG 12'!$C49="","",N('THÁNG 12'!$L49))</f>
        <v/>
      </c>
      <c r="K942" s="0" t="str">
        <f aca="false">IF('THÁNG 12'!$C49="","",N('THÁNG 12'!$N49))</f>
        <v/>
      </c>
      <c r="L942" s="0" t="str">
        <f aca="false">IF('THÁNG 12'!$C49="","",N('THÁNG 12'!$O49))</f>
        <v/>
      </c>
      <c r="M942" s="0" t="str">
        <f aca="false">IF('THÁNG 12'!$C49="","",N('THÁNG 12'!$P49))</f>
        <v/>
      </c>
      <c r="N942" s="0" t="str">
        <f aca="false">IF('THÁNG 12'!$C49="","",N('THÁNG 12'!$Q49))</f>
        <v/>
      </c>
      <c r="O942" s="0" t="str">
        <f aca="false">IF('THÁNG 12'!$C49="","",N('THÁNG 12'!$R49))</f>
        <v/>
      </c>
      <c r="P942" s="0" t="str">
        <f aca="false">IF(OR('THÁNG 12'!$C49="",'THÁNG 12'!$T49=""),"",'THÁNG 12'!$T49)</f>
        <v/>
      </c>
      <c r="Q942" s="0" t="str">
        <f aca="false">IF(OR('THÁNG 12'!$C49="",'THÁNG 12'!$U49=""),"",'THÁNG 12'!$U49)</f>
        <v/>
      </c>
      <c r="R942" s="0" t="str">
        <f aca="false">IF('THÁNG 12'!$C49="","",'THÁNG 12'!$W49&amp;"")</f>
        <v/>
      </c>
      <c r="S942" s="0" t="str">
        <f aca="false">IF('THÁNG 12'!$C49="","",'THÁNG 12'!$S49&amp;"")</f>
        <v/>
      </c>
      <c r="T942" s="0" t="str">
        <f aca="false">IF(N($O942)&gt;0,COUNTIF($O$3:$O942,"&gt;0"),"")</f>
        <v/>
      </c>
      <c r="U942" s="0" t="str">
        <f aca="false">IF(AND(N($J942)&gt;0,N($K942)&gt;0),COUNTIFS($J$3:$J942,"&gt;0",$K$3:$K942,"&gt;0"),"")</f>
        <v/>
      </c>
      <c r="V942" s="0" t="str">
        <f aca="false">IF(AND(N($J942)&gt;0,N($K942)=0),COUNTIFS($J$3:$J942,"&gt;0",$K$3:$K942,"&lt;=0"),"")</f>
        <v/>
      </c>
      <c r="W942" s="0" t="str">
        <f aca="false">IF($C942="","",IF(COUNTIF($C$3:$C942,$C942)&gt;1,"",MAX($W$2:W941)+1))</f>
        <v/>
      </c>
      <c r="X942" s="0" t="str">
        <f aca="false">IF($H942="","",IF(COUNTIF($H$3:$H942,$H942)&gt;1,"",MAX($X$2:X941)+1))</f>
        <v/>
      </c>
      <c r="Y942" s="0" t="str">
        <f aca="false">IF(AND(N($M942)&gt;0,N($O942)&lt;=0),COUNTIFS($M$3:$M942,"&gt;0",$O$3:$O942,"&lt;=0"),"")</f>
        <v/>
      </c>
      <c r="Z942" s="30" t="n">
        <f aca="false">IF(OR('THÁNG 12'!$C49="",'THÁNG 12'!$B49=""),0,'THÁNG 12'!$B49)</f>
        <v>0</v>
      </c>
    </row>
    <row r="943" customFormat="false" ht="15" hidden="false" customHeight="false" outlineLevel="0" collapsed="false">
      <c r="A943" s="0" t="n">
        <v>12</v>
      </c>
      <c r="B943" s="29" t="str">
        <f aca="false">IF(OR('THÁNG 12'!$C50="",'THÁNG 12'!$B50=""),"",'THÁNG 12'!$B50)</f>
        <v/>
      </c>
      <c r="C943" s="0" t="str">
        <f aca="false">IF('THÁNG 12'!$C50="","",'THÁNG 12'!$C50)</f>
        <v/>
      </c>
      <c r="D943" s="0" t="str">
        <f aca="false">IF('THÁNG 12'!$C50="","",'THÁNG 12'!$D50&amp;"")</f>
        <v/>
      </c>
      <c r="E943" s="0" t="str">
        <f aca="false">IF('THÁNG 12'!$C50="","",'THÁNG 12'!$E50&amp;"")</f>
        <v/>
      </c>
      <c r="F943" s="0" t="str">
        <f aca="false">IF('THÁNG 12'!$C50="","",'THÁNG 12'!$F50&amp;"")</f>
        <v/>
      </c>
      <c r="G943" s="0" t="str">
        <f aca="false">IF('THÁNG 12'!$C50="","",'THÁNG 12'!$G50&amp;"")</f>
        <v/>
      </c>
      <c r="H943" s="0" t="str">
        <f aca="false">IF('THÁNG 12'!$C50="","",'THÁNG 12'!$H50&amp;"")</f>
        <v/>
      </c>
      <c r="I943" s="0" t="str">
        <f aca="false">IF('THÁNG 12'!$C50="","",N('THÁNG 12'!$I50))</f>
        <v/>
      </c>
      <c r="J943" s="0" t="str">
        <f aca="false">IF('THÁNG 12'!$C50="","",N('THÁNG 12'!$L50))</f>
        <v/>
      </c>
      <c r="K943" s="0" t="str">
        <f aca="false">IF('THÁNG 12'!$C50="","",N('THÁNG 12'!$N50))</f>
        <v/>
      </c>
      <c r="L943" s="0" t="str">
        <f aca="false">IF('THÁNG 12'!$C50="","",N('THÁNG 12'!$O50))</f>
        <v/>
      </c>
      <c r="M943" s="0" t="str">
        <f aca="false">IF('THÁNG 12'!$C50="","",N('THÁNG 12'!$P50))</f>
        <v/>
      </c>
      <c r="N943" s="0" t="str">
        <f aca="false">IF('THÁNG 12'!$C50="","",N('THÁNG 12'!$Q50))</f>
        <v/>
      </c>
      <c r="O943" s="0" t="str">
        <f aca="false">IF('THÁNG 12'!$C50="","",N('THÁNG 12'!$R50))</f>
        <v/>
      </c>
      <c r="P943" s="0" t="str">
        <f aca="false">IF(OR('THÁNG 12'!$C50="",'THÁNG 12'!$T50=""),"",'THÁNG 12'!$T50)</f>
        <v/>
      </c>
      <c r="Q943" s="0" t="str">
        <f aca="false">IF(OR('THÁNG 12'!$C50="",'THÁNG 12'!$U50=""),"",'THÁNG 12'!$U50)</f>
        <v/>
      </c>
      <c r="R943" s="0" t="str">
        <f aca="false">IF('THÁNG 12'!$C50="","",'THÁNG 12'!$W50&amp;"")</f>
        <v/>
      </c>
      <c r="S943" s="0" t="str">
        <f aca="false">IF('THÁNG 12'!$C50="","",'THÁNG 12'!$S50&amp;"")</f>
        <v/>
      </c>
      <c r="T943" s="0" t="str">
        <f aca="false">IF(N($O943)&gt;0,COUNTIF($O$3:$O943,"&gt;0"),"")</f>
        <v/>
      </c>
      <c r="U943" s="0" t="str">
        <f aca="false">IF(AND(N($J943)&gt;0,N($K943)&gt;0),COUNTIFS($J$3:$J943,"&gt;0",$K$3:$K943,"&gt;0"),"")</f>
        <v/>
      </c>
      <c r="V943" s="0" t="str">
        <f aca="false">IF(AND(N($J943)&gt;0,N($K943)=0),COUNTIFS($J$3:$J943,"&gt;0",$K$3:$K943,"&lt;=0"),"")</f>
        <v/>
      </c>
      <c r="W943" s="0" t="str">
        <f aca="false">IF($C943="","",IF(COUNTIF($C$3:$C943,$C943)&gt;1,"",MAX($W$2:W942)+1))</f>
        <v/>
      </c>
      <c r="X943" s="0" t="str">
        <f aca="false">IF($H943="","",IF(COUNTIF($H$3:$H943,$H943)&gt;1,"",MAX($X$2:X942)+1))</f>
        <v/>
      </c>
      <c r="Y943" s="0" t="str">
        <f aca="false">IF(AND(N($M943)&gt;0,N($O943)&lt;=0),COUNTIFS($M$3:$M943,"&gt;0",$O$3:$O943,"&lt;=0"),"")</f>
        <v/>
      </c>
      <c r="Z943" s="30" t="n">
        <f aca="false">IF(OR('THÁNG 12'!$C50="",'THÁNG 12'!$B50=""),0,'THÁNG 12'!$B50)</f>
        <v>0</v>
      </c>
    </row>
    <row r="944" customFormat="false" ht="15" hidden="false" customHeight="false" outlineLevel="0" collapsed="false">
      <c r="A944" s="0" t="n">
        <v>12</v>
      </c>
      <c r="B944" s="29" t="str">
        <f aca="false">IF(OR('THÁNG 12'!$C51="",'THÁNG 12'!$B51=""),"",'THÁNG 12'!$B51)</f>
        <v/>
      </c>
      <c r="C944" s="0" t="str">
        <f aca="false">IF('THÁNG 12'!$C51="","",'THÁNG 12'!$C51)</f>
        <v/>
      </c>
      <c r="D944" s="0" t="str">
        <f aca="false">IF('THÁNG 12'!$C51="","",'THÁNG 12'!$D51&amp;"")</f>
        <v/>
      </c>
      <c r="E944" s="0" t="str">
        <f aca="false">IF('THÁNG 12'!$C51="","",'THÁNG 12'!$E51&amp;"")</f>
        <v/>
      </c>
      <c r="F944" s="0" t="str">
        <f aca="false">IF('THÁNG 12'!$C51="","",'THÁNG 12'!$F51&amp;"")</f>
        <v/>
      </c>
      <c r="G944" s="0" t="str">
        <f aca="false">IF('THÁNG 12'!$C51="","",'THÁNG 12'!$G51&amp;"")</f>
        <v/>
      </c>
      <c r="H944" s="0" t="str">
        <f aca="false">IF('THÁNG 12'!$C51="","",'THÁNG 12'!$H51&amp;"")</f>
        <v/>
      </c>
      <c r="I944" s="0" t="str">
        <f aca="false">IF('THÁNG 12'!$C51="","",N('THÁNG 12'!$I51))</f>
        <v/>
      </c>
      <c r="J944" s="0" t="str">
        <f aca="false">IF('THÁNG 12'!$C51="","",N('THÁNG 12'!$L51))</f>
        <v/>
      </c>
      <c r="K944" s="0" t="str">
        <f aca="false">IF('THÁNG 12'!$C51="","",N('THÁNG 12'!$N51))</f>
        <v/>
      </c>
      <c r="L944" s="0" t="str">
        <f aca="false">IF('THÁNG 12'!$C51="","",N('THÁNG 12'!$O51))</f>
        <v/>
      </c>
      <c r="M944" s="0" t="str">
        <f aca="false">IF('THÁNG 12'!$C51="","",N('THÁNG 12'!$P51))</f>
        <v/>
      </c>
      <c r="N944" s="0" t="str">
        <f aca="false">IF('THÁNG 12'!$C51="","",N('THÁNG 12'!$Q51))</f>
        <v/>
      </c>
      <c r="O944" s="0" t="str">
        <f aca="false">IF('THÁNG 12'!$C51="","",N('THÁNG 12'!$R51))</f>
        <v/>
      </c>
      <c r="P944" s="0" t="str">
        <f aca="false">IF(OR('THÁNG 12'!$C51="",'THÁNG 12'!$T51=""),"",'THÁNG 12'!$T51)</f>
        <v/>
      </c>
      <c r="Q944" s="0" t="str">
        <f aca="false">IF(OR('THÁNG 12'!$C51="",'THÁNG 12'!$U51=""),"",'THÁNG 12'!$U51)</f>
        <v/>
      </c>
      <c r="R944" s="0" t="str">
        <f aca="false">IF('THÁNG 12'!$C51="","",'THÁNG 12'!$W51&amp;"")</f>
        <v/>
      </c>
      <c r="S944" s="0" t="str">
        <f aca="false">IF('THÁNG 12'!$C51="","",'THÁNG 12'!$S51&amp;"")</f>
        <v/>
      </c>
      <c r="T944" s="0" t="str">
        <f aca="false">IF(N($O944)&gt;0,COUNTIF($O$3:$O944,"&gt;0"),"")</f>
        <v/>
      </c>
      <c r="U944" s="0" t="str">
        <f aca="false">IF(AND(N($J944)&gt;0,N($K944)&gt;0),COUNTIFS($J$3:$J944,"&gt;0",$K$3:$K944,"&gt;0"),"")</f>
        <v/>
      </c>
      <c r="V944" s="0" t="str">
        <f aca="false">IF(AND(N($J944)&gt;0,N($K944)=0),COUNTIFS($J$3:$J944,"&gt;0",$K$3:$K944,"&lt;=0"),"")</f>
        <v/>
      </c>
      <c r="W944" s="0" t="str">
        <f aca="false">IF($C944="","",IF(COUNTIF($C$3:$C944,$C944)&gt;1,"",MAX($W$2:W943)+1))</f>
        <v/>
      </c>
      <c r="X944" s="0" t="str">
        <f aca="false">IF($H944="","",IF(COUNTIF($H$3:$H944,$H944)&gt;1,"",MAX($X$2:X943)+1))</f>
        <v/>
      </c>
      <c r="Y944" s="0" t="str">
        <f aca="false">IF(AND(N($M944)&gt;0,N($O944)&lt;=0),COUNTIFS($M$3:$M944,"&gt;0",$O$3:$O944,"&lt;=0"),"")</f>
        <v/>
      </c>
      <c r="Z944" s="30" t="n">
        <f aca="false">IF(OR('THÁNG 12'!$C51="",'THÁNG 12'!$B51=""),0,'THÁNG 12'!$B51)</f>
        <v>0</v>
      </c>
    </row>
    <row r="945" customFormat="false" ht="15" hidden="false" customHeight="false" outlineLevel="0" collapsed="false">
      <c r="A945" s="0" t="n">
        <v>12</v>
      </c>
      <c r="B945" s="29" t="str">
        <f aca="false">IF(OR('THÁNG 12'!$C52="",'THÁNG 12'!$B52=""),"",'THÁNG 12'!$B52)</f>
        <v/>
      </c>
      <c r="C945" s="0" t="str">
        <f aca="false">IF('THÁNG 12'!$C52="","",'THÁNG 12'!$C52)</f>
        <v/>
      </c>
      <c r="D945" s="0" t="str">
        <f aca="false">IF('THÁNG 12'!$C52="","",'THÁNG 12'!$D52&amp;"")</f>
        <v/>
      </c>
      <c r="E945" s="0" t="str">
        <f aca="false">IF('THÁNG 12'!$C52="","",'THÁNG 12'!$E52&amp;"")</f>
        <v/>
      </c>
      <c r="F945" s="0" t="str">
        <f aca="false">IF('THÁNG 12'!$C52="","",'THÁNG 12'!$F52&amp;"")</f>
        <v/>
      </c>
      <c r="G945" s="0" t="str">
        <f aca="false">IF('THÁNG 12'!$C52="","",'THÁNG 12'!$G52&amp;"")</f>
        <v/>
      </c>
      <c r="H945" s="0" t="str">
        <f aca="false">IF('THÁNG 12'!$C52="","",'THÁNG 12'!$H52&amp;"")</f>
        <v/>
      </c>
      <c r="I945" s="0" t="str">
        <f aca="false">IF('THÁNG 12'!$C52="","",N('THÁNG 12'!$I52))</f>
        <v/>
      </c>
      <c r="J945" s="0" t="str">
        <f aca="false">IF('THÁNG 12'!$C52="","",N('THÁNG 12'!$L52))</f>
        <v/>
      </c>
      <c r="K945" s="0" t="str">
        <f aca="false">IF('THÁNG 12'!$C52="","",N('THÁNG 12'!$N52))</f>
        <v/>
      </c>
      <c r="L945" s="0" t="str">
        <f aca="false">IF('THÁNG 12'!$C52="","",N('THÁNG 12'!$O52))</f>
        <v/>
      </c>
      <c r="M945" s="0" t="str">
        <f aca="false">IF('THÁNG 12'!$C52="","",N('THÁNG 12'!$P52))</f>
        <v/>
      </c>
      <c r="N945" s="0" t="str">
        <f aca="false">IF('THÁNG 12'!$C52="","",N('THÁNG 12'!$Q52))</f>
        <v/>
      </c>
      <c r="O945" s="0" t="str">
        <f aca="false">IF('THÁNG 12'!$C52="","",N('THÁNG 12'!$R52))</f>
        <v/>
      </c>
      <c r="P945" s="0" t="str">
        <f aca="false">IF(OR('THÁNG 12'!$C52="",'THÁNG 12'!$T52=""),"",'THÁNG 12'!$T52)</f>
        <v/>
      </c>
      <c r="Q945" s="0" t="str">
        <f aca="false">IF(OR('THÁNG 12'!$C52="",'THÁNG 12'!$U52=""),"",'THÁNG 12'!$U52)</f>
        <v/>
      </c>
      <c r="R945" s="0" t="str">
        <f aca="false">IF('THÁNG 12'!$C52="","",'THÁNG 12'!$W52&amp;"")</f>
        <v/>
      </c>
      <c r="S945" s="0" t="str">
        <f aca="false">IF('THÁNG 12'!$C52="","",'THÁNG 12'!$S52&amp;"")</f>
        <v/>
      </c>
      <c r="T945" s="0" t="str">
        <f aca="false">IF(N($O945)&gt;0,COUNTIF($O$3:$O945,"&gt;0"),"")</f>
        <v/>
      </c>
      <c r="U945" s="0" t="str">
        <f aca="false">IF(AND(N($J945)&gt;0,N($K945)&gt;0),COUNTIFS($J$3:$J945,"&gt;0",$K$3:$K945,"&gt;0"),"")</f>
        <v/>
      </c>
      <c r="V945" s="0" t="str">
        <f aca="false">IF(AND(N($J945)&gt;0,N($K945)=0),COUNTIFS($J$3:$J945,"&gt;0",$K$3:$K945,"&lt;=0"),"")</f>
        <v/>
      </c>
      <c r="W945" s="0" t="str">
        <f aca="false">IF($C945="","",IF(COUNTIF($C$3:$C945,$C945)&gt;1,"",MAX($W$2:W944)+1))</f>
        <v/>
      </c>
      <c r="X945" s="0" t="str">
        <f aca="false">IF($H945="","",IF(COUNTIF($H$3:$H945,$H945)&gt;1,"",MAX($X$2:X944)+1))</f>
        <v/>
      </c>
      <c r="Y945" s="0" t="str">
        <f aca="false">IF(AND(N($M945)&gt;0,N($O945)&lt;=0),COUNTIFS($M$3:$M945,"&gt;0",$O$3:$O945,"&lt;=0"),"")</f>
        <v/>
      </c>
      <c r="Z945" s="30" t="n">
        <f aca="false">IF(OR('THÁNG 12'!$C52="",'THÁNG 12'!$B52=""),0,'THÁNG 12'!$B52)</f>
        <v>0</v>
      </c>
    </row>
    <row r="946" customFormat="false" ht="15" hidden="false" customHeight="false" outlineLevel="0" collapsed="false">
      <c r="A946" s="0" t="n">
        <v>12</v>
      </c>
      <c r="B946" s="29" t="str">
        <f aca="false">IF(OR('THÁNG 12'!$C53="",'THÁNG 12'!$B53=""),"",'THÁNG 12'!$B53)</f>
        <v/>
      </c>
      <c r="C946" s="0" t="str">
        <f aca="false">IF('THÁNG 12'!$C53="","",'THÁNG 12'!$C53)</f>
        <v/>
      </c>
      <c r="D946" s="0" t="str">
        <f aca="false">IF('THÁNG 12'!$C53="","",'THÁNG 12'!$D53&amp;"")</f>
        <v/>
      </c>
      <c r="E946" s="0" t="str">
        <f aca="false">IF('THÁNG 12'!$C53="","",'THÁNG 12'!$E53&amp;"")</f>
        <v/>
      </c>
      <c r="F946" s="0" t="str">
        <f aca="false">IF('THÁNG 12'!$C53="","",'THÁNG 12'!$F53&amp;"")</f>
        <v/>
      </c>
      <c r="G946" s="0" t="str">
        <f aca="false">IF('THÁNG 12'!$C53="","",'THÁNG 12'!$G53&amp;"")</f>
        <v/>
      </c>
      <c r="H946" s="0" t="str">
        <f aca="false">IF('THÁNG 12'!$C53="","",'THÁNG 12'!$H53&amp;"")</f>
        <v/>
      </c>
      <c r="I946" s="0" t="str">
        <f aca="false">IF('THÁNG 12'!$C53="","",N('THÁNG 12'!$I53))</f>
        <v/>
      </c>
      <c r="J946" s="0" t="str">
        <f aca="false">IF('THÁNG 12'!$C53="","",N('THÁNG 12'!$L53))</f>
        <v/>
      </c>
      <c r="K946" s="0" t="str">
        <f aca="false">IF('THÁNG 12'!$C53="","",N('THÁNG 12'!$N53))</f>
        <v/>
      </c>
      <c r="L946" s="0" t="str">
        <f aca="false">IF('THÁNG 12'!$C53="","",N('THÁNG 12'!$O53))</f>
        <v/>
      </c>
      <c r="M946" s="0" t="str">
        <f aca="false">IF('THÁNG 12'!$C53="","",N('THÁNG 12'!$P53))</f>
        <v/>
      </c>
      <c r="N946" s="0" t="str">
        <f aca="false">IF('THÁNG 12'!$C53="","",N('THÁNG 12'!$Q53))</f>
        <v/>
      </c>
      <c r="O946" s="0" t="str">
        <f aca="false">IF('THÁNG 12'!$C53="","",N('THÁNG 12'!$R53))</f>
        <v/>
      </c>
      <c r="P946" s="0" t="str">
        <f aca="false">IF(OR('THÁNG 12'!$C53="",'THÁNG 12'!$T53=""),"",'THÁNG 12'!$T53)</f>
        <v/>
      </c>
      <c r="Q946" s="0" t="str">
        <f aca="false">IF(OR('THÁNG 12'!$C53="",'THÁNG 12'!$U53=""),"",'THÁNG 12'!$U53)</f>
        <v/>
      </c>
      <c r="R946" s="0" t="str">
        <f aca="false">IF('THÁNG 12'!$C53="","",'THÁNG 12'!$W53&amp;"")</f>
        <v/>
      </c>
      <c r="S946" s="0" t="str">
        <f aca="false">IF('THÁNG 12'!$C53="","",'THÁNG 12'!$S53&amp;"")</f>
        <v/>
      </c>
      <c r="T946" s="0" t="str">
        <f aca="false">IF(N($O946)&gt;0,COUNTIF($O$3:$O946,"&gt;0"),"")</f>
        <v/>
      </c>
      <c r="U946" s="0" t="str">
        <f aca="false">IF(AND(N($J946)&gt;0,N($K946)&gt;0),COUNTIFS($J$3:$J946,"&gt;0",$K$3:$K946,"&gt;0"),"")</f>
        <v/>
      </c>
      <c r="V946" s="0" t="str">
        <f aca="false">IF(AND(N($J946)&gt;0,N($K946)=0),COUNTIFS($J$3:$J946,"&gt;0",$K$3:$K946,"&lt;=0"),"")</f>
        <v/>
      </c>
      <c r="W946" s="0" t="str">
        <f aca="false">IF($C946="","",IF(COUNTIF($C$3:$C946,$C946)&gt;1,"",MAX($W$2:W945)+1))</f>
        <v/>
      </c>
      <c r="X946" s="0" t="str">
        <f aca="false">IF($H946="","",IF(COUNTIF($H$3:$H946,$H946)&gt;1,"",MAX($X$2:X945)+1))</f>
        <v/>
      </c>
      <c r="Y946" s="0" t="str">
        <f aca="false">IF(AND(N($M946)&gt;0,N($O946)&lt;=0),COUNTIFS($M$3:$M946,"&gt;0",$O$3:$O946,"&lt;=0"),"")</f>
        <v/>
      </c>
      <c r="Z946" s="30" t="n">
        <f aca="false">IF(OR('THÁNG 12'!$C53="",'THÁNG 12'!$B53=""),0,'THÁNG 12'!$B53)</f>
        <v>0</v>
      </c>
    </row>
    <row r="947" customFormat="false" ht="15" hidden="false" customHeight="false" outlineLevel="0" collapsed="false">
      <c r="A947" s="0" t="n">
        <v>12</v>
      </c>
      <c r="B947" s="29" t="str">
        <f aca="false">IF(OR('THÁNG 12'!$C54="",'THÁNG 12'!$B54=""),"",'THÁNG 12'!$B54)</f>
        <v/>
      </c>
      <c r="C947" s="0" t="str">
        <f aca="false">IF('THÁNG 12'!$C54="","",'THÁNG 12'!$C54)</f>
        <v/>
      </c>
      <c r="D947" s="0" t="str">
        <f aca="false">IF('THÁNG 12'!$C54="","",'THÁNG 12'!$D54&amp;"")</f>
        <v/>
      </c>
      <c r="E947" s="0" t="str">
        <f aca="false">IF('THÁNG 12'!$C54="","",'THÁNG 12'!$E54&amp;"")</f>
        <v/>
      </c>
      <c r="F947" s="0" t="str">
        <f aca="false">IF('THÁNG 12'!$C54="","",'THÁNG 12'!$F54&amp;"")</f>
        <v/>
      </c>
      <c r="G947" s="0" t="str">
        <f aca="false">IF('THÁNG 12'!$C54="","",'THÁNG 12'!$G54&amp;"")</f>
        <v/>
      </c>
      <c r="H947" s="0" t="str">
        <f aca="false">IF('THÁNG 12'!$C54="","",'THÁNG 12'!$H54&amp;"")</f>
        <v/>
      </c>
      <c r="I947" s="0" t="str">
        <f aca="false">IF('THÁNG 12'!$C54="","",N('THÁNG 12'!$I54))</f>
        <v/>
      </c>
      <c r="J947" s="0" t="str">
        <f aca="false">IF('THÁNG 12'!$C54="","",N('THÁNG 12'!$L54))</f>
        <v/>
      </c>
      <c r="K947" s="0" t="str">
        <f aca="false">IF('THÁNG 12'!$C54="","",N('THÁNG 12'!$N54))</f>
        <v/>
      </c>
      <c r="L947" s="0" t="str">
        <f aca="false">IF('THÁNG 12'!$C54="","",N('THÁNG 12'!$O54))</f>
        <v/>
      </c>
      <c r="M947" s="0" t="str">
        <f aca="false">IF('THÁNG 12'!$C54="","",N('THÁNG 12'!$P54))</f>
        <v/>
      </c>
      <c r="N947" s="0" t="str">
        <f aca="false">IF('THÁNG 12'!$C54="","",N('THÁNG 12'!$Q54))</f>
        <v/>
      </c>
      <c r="O947" s="0" t="str">
        <f aca="false">IF('THÁNG 12'!$C54="","",N('THÁNG 12'!$R54))</f>
        <v/>
      </c>
      <c r="P947" s="0" t="str">
        <f aca="false">IF(OR('THÁNG 12'!$C54="",'THÁNG 12'!$T54=""),"",'THÁNG 12'!$T54)</f>
        <v/>
      </c>
      <c r="Q947" s="0" t="str">
        <f aca="false">IF(OR('THÁNG 12'!$C54="",'THÁNG 12'!$U54=""),"",'THÁNG 12'!$U54)</f>
        <v/>
      </c>
      <c r="R947" s="0" t="str">
        <f aca="false">IF('THÁNG 12'!$C54="","",'THÁNG 12'!$W54&amp;"")</f>
        <v/>
      </c>
      <c r="S947" s="0" t="str">
        <f aca="false">IF('THÁNG 12'!$C54="","",'THÁNG 12'!$S54&amp;"")</f>
        <v/>
      </c>
      <c r="T947" s="0" t="str">
        <f aca="false">IF(N($O947)&gt;0,COUNTIF($O$3:$O947,"&gt;0"),"")</f>
        <v/>
      </c>
      <c r="U947" s="0" t="str">
        <f aca="false">IF(AND(N($J947)&gt;0,N($K947)&gt;0),COUNTIFS($J$3:$J947,"&gt;0",$K$3:$K947,"&gt;0"),"")</f>
        <v/>
      </c>
      <c r="V947" s="0" t="str">
        <f aca="false">IF(AND(N($J947)&gt;0,N($K947)=0),COUNTIFS($J$3:$J947,"&gt;0",$K$3:$K947,"&lt;=0"),"")</f>
        <v/>
      </c>
      <c r="W947" s="0" t="str">
        <f aca="false">IF($C947="","",IF(COUNTIF($C$3:$C947,$C947)&gt;1,"",MAX($W$2:W946)+1))</f>
        <v/>
      </c>
      <c r="X947" s="0" t="str">
        <f aca="false">IF($H947="","",IF(COUNTIF($H$3:$H947,$H947)&gt;1,"",MAX($X$2:X946)+1))</f>
        <v/>
      </c>
      <c r="Y947" s="0" t="str">
        <f aca="false">IF(AND(N($M947)&gt;0,N($O947)&lt;=0),COUNTIFS($M$3:$M947,"&gt;0",$O$3:$O947,"&lt;=0"),"")</f>
        <v/>
      </c>
      <c r="Z947" s="30" t="n">
        <f aca="false">IF(OR('THÁNG 12'!$C54="",'THÁNG 12'!$B54=""),0,'THÁNG 12'!$B54)</f>
        <v>0</v>
      </c>
    </row>
    <row r="948" customFormat="false" ht="15" hidden="false" customHeight="false" outlineLevel="0" collapsed="false">
      <c r="A948" s="0" t="n">
        <v>12</v>
      </c>
      <c r="B948" s="29" t="str">
        <f aca="false">IF(OR('THÁNG 12'!$C55="",'THÁNG 12'!$B55=""),"",'THÁNG 12'!$B55)</f>
        <v/>
      </c>
      <c r="C948" s="0" t="str">
        <f aca="false">IF('THÁNG 12'!$C55="","",'THÁNG 12'!$C55)</f>
        <v/>
      </c>
      <c r="D948" s="0" t="str">
        <f aca="false">IF('THÁNG 12'!$C55="","",'THÁNG 12'!$D55&amp;"")</f>
        <v/>
      </c>
      <c r="E948" s="0" t="str">
        <f aca="false">IF('THÁNG 12'!$C55="","",'THÁNG 12'!$E55&amp;"")</f>
        <v/>
      </c>
      <c r="F948" s="0" t="str">
        <f aca="false">IF('THÁNG 12'!$C55="","",'THÁNG 12'!$F55&amp;"")</f>
        <v/>
      </c>
      <c r="G948" s="0" t="str">
        <f aca="false">IF('THÁNG 12'!$C55="","",'THÁNG 12'!$G55&amp;"")</f>
        <v/>
      </c>
      <c r="H948" s="0" t="str">
        <f aca="false">IF('THÁNG 12'!$C55="","",'THÁNG 12'!$H55&amp;"")</f>
        <v/>
      </c>
      <c r="I948" s="0" t="str">
        <f aca="false">IF('THÁNG 12'!$C55="","",N('THÁNG 12'!$I55))</f>
        <v/>
      </c>
      <c r="J948" s="0" t="str">
        <f aca="false">IF('THÁNG 12'!$C55="","",N('THÁNG 12'!$L55))</f>
        <v/>
      </c>
      <c r="K948" s="0" t="str">
        <f aca="false">IF('THÁNG 12'!$C55="","",N('THÁNG 12'!$N55))</f>
        <v/>
      </c>
      <c r="L948" s="0" t="str">
        <f aca="false">IF('THÁNG 12'!$C55="","",N('THÁNG 12'!$O55))</f>
        <v/>
      </c>
      <c r="M948" s="0" t="str">
        <f aca="false">IF('THÁNG 12'!$C55="","",N('THÁNG 12'!$P55))</f>
        <v/>
      </c>
      <c r="N948" s="0" t="str">
        <f aca="false">IF('THÁNG 12'!$C55="","",N('THÁNG 12'!$Q55))</f>
        <v/>
      </c>
      <c r="O948" s="0" t="str">
        <f aca="false">IF('THÁNG 12'!$C55="","",N('THÁNG 12'!$R55))</f>
        <v/>
      </c>
      <c r="P948" s="0" t="str">
        <f aca="false">IF(OR('THÁNG 12'!$C55="",'THÁNG 12'!$T55=""),"",'THÁNG 12'!$T55)</f>
        <v/>
      </c>
      <c r="Q948" s="0" t="str">
        <f aca="false">IF(OR('THÁNG 12'!$C55="",'THÁNG 12'!$U55=""),"",'THÁNG 12'!$U55)</f>
        <v/>
      </c>
      <c r="R948" s="0" t="str">
        <f aca="false">IF('THÁNG 12'!$C55="","",'THÁNG 12'!$W55&amp;"")</f>
        <v/>
      </c>
      <c r="S948" s="0" t="str">
        <f aca="false">IF('THÁNG 12'!$C55="","",'THÁNG 12'!$S55&amp;"")</f>
        <v/>
      </c>
      <c r="T948" s="0" t="str">
        <f aca="false">IF(N($O948)&gt;0,COUNTIF($O$3:$O948,"&gt;0"),"")</f>
        <v/>
      </c>
      <c r="U948" s="0" t="str">
        <f aca="false">IF(AND(N($J948)&gt;0,N($K948)&gt;0),COUNTIFS($J$3:$J948,"&gt;0",$K$3:$K948,"&gt;0"),"")</f>
        <v/>
      </c>
      <c r="V948" s="0" t="str">
        <f aca="false">IF(AND(N($J948)&gt;0,N($K948)=0),COUNTIFS($J$3:$J948,"&gt;0",$K$3:$K948,"&lt;=0"),"")</f>
        <v/>
      </c>
      <c r="W948" s="0" t="str">
        <f aca="false">IF($C948="","",IF(COUNTIF($C$3:$C948,$C948)&gt;1,"",MAX($W$2:W947)+1))</f>
        <v/>
      </c>
      <c r="X948" s="0" t="str">
        <f aca="false">IF($H948="","",IF(COUNTIF($H$3:$H948,$H948)&gt;1,"",MAX($X$2:X947)+1))</f>
        <v/>
      </c>
      <c r="Y948" s="0" t="str">
        <f aca="false">IF(AND(N($M948)&gt;0,N($O948)&lt;=0),COUNTIFS($M$3:$M948,"&gt;0",$O$3:$O948,"&lt;=0"),"")</f>
        <v/>
      </c>
      <c r="Z948" s="30" t="n">
        <f aca="false">IF(OR('THÁNG 12'!$C55="",'THÁNG 12'!$B55=""),0,'THÁNG 12'!$B55)</f>
        <v>0</v>
      </c>
    </row>
    <row r="949" customFormat="false" ht="15" hidden="false" customHeight="false" outlineLevel="0" collapsed="false">
      <c r="A949" s="0" t="n">
        <v>12</v>
      </c>
      <c r="B949" s="29" t="str">
        <f aca="false">IF(OR('THÁNG 12'!$C56="",'THÁNG 12'!$B56=""),"",'THÁNG 12'!$B56)</f>
        <v/>
      </c>
      <c r="C949" s="0" t="str">
        <f aca="false">IF('THÁNG 12'!$C56="","",'THÁNG 12'!$C56)</f>
        <v/>
      </c>
      <c r="D949" s="0" t="str">
        <f aca="false">IF('THÁNG 12'!$C56="","",'THÁNG 12'!$D56&amp;"")</f>
        <v/>
      </c>
      <c r="E949" s="0" t="str">
        <f aca="false">IF('THÁNG 12'!$C56="","",'THÁNG 12'!$E56&amp;"")</f>
        <v/>
      </c>
      <c r="F949" s="0" t="str">
        <f aca="false">IF('THÁNG 12'!$C56="","",'THÁNG 12'!$F56&amp;"")</f>
        <v/>
      </c>
      <c r="G949" s="0" t="str">
        <f aca="false">IF('THÁNG 12'!$C56="","",'THÁNG 12'!$G56&amp;"")</f>
        <v/>
      </c>
      <c r="H949" s="0" t="str">
        <f aca="false">IF('THÁNG 12'!$C56="","",'THÁNG 12'!$H56&amp;"")</f>
        <v/>
      </c>
      <c r="I949" s="0" t="str">
        <f aca="false">IF('THÁNG 12'!$C56="","",N('THÁNG 12'!$I56))</f>
        <v/>
      </c>
      <c r="J949" s="0" t="str">
        <f aca="false">IF('THÁNG 12'!$C56="","",N('THÁNG 12'!$L56))</f>
        <v/>
      </c>
      <c r="K949" s="0" t="str">
        <f aca="false">IF('THÁNG 12'!$C56="","",N('THÁNG 12'!$N56))</f>
        <v/>
      </c>
      <c r="L949" s="0" t="str">
        <f aca="false">IF('THÁNG 12'!$C56="","",N('THÁNG 12'!$O56))</f>
        <v/>
      </c>
      <c r="M949" s="0" t="str">
        <f aca="false">IF('THÁNG 12'!$C56="","",N('THÁNG 12'!$P56))</f>
        <v/>
      </c>
      <c r="N949" s="0" t="str">
        <f aca="false">IF('THÁNG 12'!$C56="","",N('THÁNG 12'!$Q56))</f>
        <v/>
      </c>
      <c r="O949" s="0" t="str">
        <f aca="false">IF('THÁNG 12'!$C56="","",N('THÁNG 12'!$R56))</f>
        <v/>
      </c>
      <c r="P949" s="0" t="str">
        <f aca="false">IF(OR('THÁNG 12'!$C56="",'THÁNG 12'!$T56=""),"",'THÁNG 12'!$T56)</f>
        <v/>
      </c>
      <c r="Q949" s="0" t="str">
        <f aca="false">IF(OR('THÁNG 12'!$C56="",'THÁNG 12'!$U56=""),"",'THÁNG 12'!$U56)</f>
        <v/>
      </c>
      <c r="R949" s="0" t="str">
        <f aca="false">IF('THÁNG 12'!$C56="","",'THÁNG 12'!$W56&amp;"")</f>
        <v/>
      </c>
      <c r="S949" s="0" t="str">
        <f aca="false">IF('THÁNG 12'!$C56="","",'THÁNG 12'!$S56&amp;"")</f>
        <v/>
      </c>
      <c r="T949" s="0" t="str">
        <f aca="false">IF(N($O949)&gt;0,COUNTIF($O$3:$O949,"&gt;0"),"")</f>
        <v/>
      </c>
      <c r="U949" s="0" t="str">
        <f aca="false">IF(AND(N($J949)&gt;0,N($K949)&gt;0),COUNTIFS($J$3:$J949,"&gt;0",$K$3:$K949,"&gt;0"),"")</f>
        <v/>
      </c>
      <c r="V949" s="0" t="str">
        <f aca="false">IF(AND(N($J949)&gt;0,N($K949)=0),COUNTIFS($J$3:$J949,"&gt;0",$K$3:$K949,"&lt;=0"),"")</f>
        <v/>
      </c>
      <c r="W949" s="0" t="str">
        <f aca="false">IF($C949="","",IF(COUNTIF($C$3:$C949,$C949)&gt;1,"",MAX($W$2:W948)+1))</f>
        <v/>
      </c>
      <c r="X949" s="0" t="str">
        <f aca="false">IF($H949="","",IF(COUNTIF($H$3:$H949,$H949)&gt;1,"",MAX($X$2:X948)+1))</f>
        <v/>
      </c>
      <c r="Y949" s="0" t="str">
        <f aca="false">IF(AND(N($M949)&gt;0,N($O949)&lt;=0),COUNTIFS($M$3:$M949,"&gt;0",$O$3:$O949,"&lt;=0"),"")</f>
        <v/>
      </c>
      <c r="Z949" s="30" t="n">
        <f aca="false">IF(OR('THÁNG 12'!$C56="",'THÁNG 12'!$B56=""),0,'THÁNG 12'!$B56)</f>
        <v>0</v>
      </c>
    </row>
    <row r="950" customFormat="false" ht="15" hidden="false" customHeight="false" outlineLevel="0" collapsed="false">
      <c r="A950" s="0" t="n">
        <v>12</v>
      </c>
      <c r="B950" s="29" t="str">
        <f aca="false">IF(OR('THÁNG 12'!$C57="",'THÁNG 12'!$B57=""),"",'THÁNG 12'!$B57)</f>
        <v/>
      </c>
      <c r="C950" s="0" t="str">
        <f aca="false">IF('THÁNG 12'!$C57="","",'THÁNG 12'!$C57)</f>
        <v/>
      </c>
      <c r="D950" s="0" t="str">
        <f aca="false">IF('THÁNG 12'!$C57="","",'THÁNG 12'!$D57&amp;"")</f>
        <v/>
      </c>
      <c r="E950" s="0" t="str">
        <f aca="false">IF('THÁNG 12'!$C57="","",'THÁNG 12'!$E57&amp;"")</f>
        <v/>
      </c>
      <c r="F950" s="0" t="str">
        <f aca="false">IF('THÁNG 12'!$C57="","",'THÁNG 12'!$F57&amp;"")</f>
        <v/>
      </c>
      <c r="G950" s="0" t="str">
        <f aca="false">IF('THÁNG 12'!$C57="","",'THÁNG 12'!$G57&amp;"")</f>
        <v/>
      </c>
      <c r="H950" s="0" t="str">
        <f aca="false">IF('THÁNG 12'!$C57="","",'THÁNG 12'!$H57&amp;"")</f>
        <v/>
      </c>
      <c r="I950" s="0" t="str">
        <f aca="false">IF('THÁNG 12'!$C57="","",N('THÁNG 12'!$I57))</f>
        <v/>
      </c>
      <c r="J950" s="0" t="str">
        <f aca="false">IF('THÁNG 12'!$C57="","",N('THÁNG 12'!$L57))</f>
        <v/>
      </c>
      <c r="K950" s="0" t="str">
        <f aca="false">IF('THÁNG 12'!$C57="","",N('THÁNG 12'!$N57))</f>
        <v/>
      </c>
      <c r="L950" s="0" t="str">
        <f aca="false">IF('THÁNG 12'!$C57="","",N('THÁNG 12'!$O57))</f>
        <v/>
      </c>
      <c r="M950" s="0" t="str">
        <f aca="false">IF('THÁNG 12'!$C57="","",N('THÁNG 12'!$P57))</f>
        <v/>
      </c>
      <c r="N950" s="0" t="str">
        <f aca="false">IF('THÁNG 12'!$C57="","",N('THÁNG 12'!$Q57))</f>
        <v/>
      </c>
      <c r="O950" s="0" t="str">
        <f aca="false">IF('THÁNG 12'!$C57="","",N('THÁNG 12'!$R57))</f>
        <v/>
      </c>
      <c r="P950" s="0" t="str">
        <f aca="false">IF(OR('THÁNG 12'!$C57="",'THÁNG 12'!$T57=""),"",'THÁNG 12'!$T57)</f>
        <v/>
      </c>
      <c r="Q950" s="0" t="str">
        <f aca="false">IF(OR('THÁNG 12'!$C57="",'THÁNG 12'!$U57=""),"",'THÁNG 12'!$U57)</f>
        <v/>
      </c>
      <c r="R950" s="0" t="str">
        <f aca="false">IF('THÁNG 12'!$C57="","",'THÁNG 12'!$W57&amp;"")</f>
        <v/>
      </c>
      <c r="S950" s="0" t="str">
        <f aca="false">IF('THÁNG 12'!$C57="","",'THÁNG 12'!$S57&amp;"")</f>
        <v/>
      </c>
      <c r="T950" s="0" t="str">
        <f aca="false">IF(N($O950)&gt;0,COUNTIF($O$3:$O950,"&gt;0"),"")</f>
        <v/>
      </c>
      <c r="U950" s="0" t="str">
        <f aca="false">IF(AND(N($J950)&gt;0,N($K950)&gt;0),COUNTIFS($J$3:$J950,"&gt;0",$K$3:$K950,"&gt;0"),"")</f>
        <v/>
      </c>
      <c r="V950" s="0" t="str">
        <f aca="false">IF(AND(N($J950)&gt;0,N($K950)=0),COUNTIFS($J$3:$J950,"&gt;0",$K$3:$K950,"&lt;=0"),"")</f>
        <v/>
      </c>
      <c r="W950" s="0" t="str">
        <f aca="false">IF($C950="","",IF(COUNTIF($C$3:$C950,$C950)&gt;1,"",MAX($W$2:W949)+1))</f>
        <v/>
      </c>
      <c r="X950" s="0" t="str">
        <f aca="false">IF($H950="","",IF(COUNTIF($H$3:$H950,$H950)&gt;1,"",MAX($X$2:X949)+1))</f>
        <v/>
      </c>
      <c r="Y950" s="0" t="str">
        <f aca="false">IF(AND(N($M950)&gt;0,N($O950)&lt;=0),COUNTIFS($M$3:$M950,"&gt;0",$O$3:$O950,"&lt;=0"),"")</f>
        <v/>
      </c>
      <c r="Z950" s="30" t="n">
        <f aca="false">IF(OR('THÁNG 12'!$C57="",'THÁNG 12'!$B57=""),0,'THÁNG 12'!$B57)</f>
        <v>0</v>
      </c>
    </row>
    <row r="951" customFormat="false" ht="15" hidden="false" customHeight="false" outlineLevel="0" collapsed="false">
      <c r="A951" s="0" t="n">
        <v>12</v>
      </c>
      <c r="B951" s="29" t="str">
        <f aca="false">IF(OR('THÁNG 12'!$C58="",'THÁNG 12'!$B58=""),"",'THÁNG 12'!$B58)</f>
        <v/>
      </c>
      <c r="C951" s="0" t="str">
        <f aca="false">IF('THÁNG 12'!$C58="","",'THÁNG 12'!$C58)</f>
        <v/>
      </c>
      <c r="D951" s="0" t="str">
        <f aca="false">IF('THÁNG 12'!$C58="","",'THÁNG 12'!$D58&amp;"")</f>
        <v/>
      </c>
      <c r="E951" s="0" t="str">
        <f aca="false">IF('THÁNG 12'!$C58="","",'THÁNG 12'!$E58&amp;"")</f>
        <v/>
      </c>
      <c r="F951" s="0" t="str">
        <f aca="false">IF('THÁNG 12'!$C58="","",'THÁNG 12'!$F58&amp;"")</f>
        <v/>
      </c>
      <c r="G951" s="0" t="str">
        <f aca="false">IF('THÁNG 12'!$C58="","",'THÁNG 12'!$G58&amp;"")</f>
        <v/>
      </c>
      <c r="H951" s="0" t="str">
        <f aca="false">IF('THÁNG 12'!$C58="","",'THÁNG 12'!$H58&amp;"")</f>
        <v/>
      </c>
      <c r="I951" s="0" t="str">
        <f aca="false">IF('THÁNG 12'!$C58="","",N('THÁNG 12'!$I58))</f>
        <v/>
      </c>
      <c r="J951" s="0" t="str">
        <f aca="false">IF('THÁNG 12'!$C58="","",N('THÁNG 12'!$L58))</f>
        <v/>
      </c>
      <c r="K951" s="0" t="str">
        <f aca="false">IF('THÁNG 12'!$C58="","",N('THÁNG 12'!$N58))</f>
        <v/>
      </c>
      <c r="L951" s="0" t="str">
        <f aca="false">IF('THÁNG 12'!$C58="","",N('THÁNG 12'!$O58))</f>
        <v/>
      </c>
      <c r="M951" s="0" t="str">
        <f aca="false">IF('THÁNG 12'!$C58="","",N('THÁNG 12'!$P58))</f>
        <v/>
      </c>
      <c r="N951" s="0" t="str">
        <f aca="false">IF('THÁNG 12'!$C58="","",N('THÁNG 12'!$Q58))</f>
        <v/>
      </c>
      <c r="O951" s="0" t="str">
        <f aca="false">IF('THÁNG 12'!$C58="","",N('THÁNG 12'!$R58))</f>
        <v/>
      </c>
      <c r="P951" s="0" t="str">
        <f aca="false">IF(OR('THÁNG 12'!$C58="",'THÁNG 12'!$T58=""),"",'THÁNG 12'!$T58)</f>
        <v/>
      </c>
      <c r="Q951" s="0" t="str">
        <f aca="false">IF(OR('THÁNG 12'!$C58="",'THÁNG 12'!$U58=""),"",'THÁNG 12'!$U58)</f>
        <v/>
      </c>
      <c r="R951" s="0" t="str">
        <f aca="false">IF('THÁNG 12'!$C58="","",'THÁNG 12'!$W58&amp;"")</f>
        <v/>
      </c>
      <c r="S951" s="0" t="str">
        <f aca="false">IF('THÁNG 12'!$C58="","",'THÁNG 12'!$S58&amp;"")</f>
        <v/>
      </c>
      <c r="T951" s="0" t="str">
        <f aca="false">IF(N($O951)&gt;0,COUNTIF($O$3:$O951,"&gt;0"),"")</f>
        <v/>
      </c>
      <c r="U951" s="0" t="str">
        <f aca="false">IF(AND(N($J951)&gt;0,N($K951)&gt;0),COUNTIFS($J$3:$J951,"&gt;0",$K$3:$K951,"&gt;0"),"")</f>
        <v/>
      </c>
      <c r="V951" s="0" t="str">
        <f aca="false">IF(AND(N($J951)&gt;0,N($K951)=0),COUNTIFS($J$3:$J951,"&gt;0",$K$3:$K951,"&lt;=0"),"")</f>
        <v/>
      </c>
      <c r="W951" s="0" t="str">
        <f aca="false">IF($C951="","",IF(COUNTIF($C$3:$C951,$C951)&gt;1,"",MAX($W$2:W950)+1))</f>
        <v/>
      </c>
      <c r="X951" s="0" t="str">
        <f aca="false">IF($H951="","",IF(COUNTIF($H$3:$H951,$H951)&gt;1,"",MAX($X$2:X950)+1))</f>
        <v/>
      </c>
      <c r="Y951" s="0" t="str">
        <f aca="false">IF(AND(N($M951)&gt;0,N($O951)&lt;=0),COUNTIFS($M$3:$M951,"&gt;0",$O$3:$O951,"&lt;=0"),"")</f>
        <v/>
      </c>
      <c r="Z951" s="30" t="n">
        <f aca="false">IF(OR('THÁNG 12'!$C58="",'THÁNG 12'!$B58=""),0,'THÁNG 12'!$B58)</f>
        <v>0</v>
      </c>
    </row>
    <row r="952" customFormat="false" ht="15" hidden="false" customHeight="false" outlineLevel="0" collapsed="false">
      <c r="A952" s="0" t="n">
        <v>12</v>
      </c>
      <c r="B952" s="29" t="str">
        <f aca="false">IF(OR('THÁNG 12'!$C59="",'THÁNG 12'!$B59=""),"",'THÁNG 12'!$B59)</f>
        <v/>
      </c>
      <c r="C952" s="0" t="str">
        <f aca="false">IF('THÁNG 12'!$C59="","",'THÁNG 12'!$C59)</f>
        <v/>
      </c>
      <c r="D952" s="0" t="str">
        <f aca="false">IF('THÁNG 12'!$C59="","",'THÁNG 12'!$D59&amp;"")</f>
        <v/>
      </c>
      <c r="E952" s="0" t="str">
        <f aca="false">IF('THÁNG 12'!$C59="","",'THÁNG 12'!$E59&amp;"")</f>
        <v/>
      </c>
      <c r="F952" s="0" t="str">
        <f aca="false">IF('THÁNG 12'!$C59="","",'THÁNG 12'!$F59&amp;"")</f>
        <v/>
      </c>
      <c r="G952" s="0" t="str">
        <f aca="false">IF('THÁNG 12'!$C59="","",'THÁNG 12'!$G59&amp;"")</f>
        <v/>
      </c>
      <c r="H952" s="0" t="str">
        <f aca="false">IF('THÁNG 12'!$C59="","",'THÁNG 12'!$H59&amp;"")</f>
        <v/>
      </c>
      <c r="I952" s="0" t="str">
        <f aca="false">IF('THÁNG 12'!$C59="","",N('THÁNG 12'!$I59))</f>
        <v/>
      </c>
      <c r="J952" s="0" t="str">
        <f aca="false">IF('THÁNG 12'!$C59="","",N('THÁNG 12'!$L59))</f>
        <v/>
      </c>
      <c r="K952" s="0" t="str">
        <f aca="false">IF('THÁNG 12'!$C59="","",N('THÁNG 12'!$N59))</f>
        <v/>
      </c>
      <c r="L952" s="0" t="str">
        <f aca="false">IF('THÁNG 12'!$C59="","",N('THÁNG 12'!$O59))</f>
        <v/>
      </c>
      <c r="M952" s="0" t="str">
        <f aca="false">IF('THÁNG 12'!$C59="","",N('THÁNG 12'!$P59))</f>
        <v/>
      </c>
      <c r="N952" s="0" t="str">
        <f aca="false">IF('THÁNG 12'!$C59="","",N('THÁNG 12'!$Q59))</f>
        <v/>
      </c>
      <c r="O952" s="0" t="str">
        <f aca="false">IF('THÁNG 12'!$C59="","",N('THÁNG 12'!$R59))</f>
        <v/>
      </c>
      <c r="P952" s="0" t="str">
        <f aca="false">IF(OR('THÁNG 12'!$C59="",'THÁNG 12'!$T59=""),"",'THÁNG 12'!$T59)</f>
        <v/>
      </c>
      <c r="Q952" s="0" t="str">
        <f aca="false">IF(OR('THÁNG 12'!$C59="",'THÁNG 12'!$U59=""),"",'THÁNG 12'!$U59)</f>
        <v/>
      </c>
      <c r="R952" s="0" t="str">
        <f aca="false">IF('THÁNG 12'!$C59="","",'THÁNG 12'!$W59&amp;"")</f>
        <v/>
      </c>
      <c r="S952" s="0" t="str">
        <f aca="false">IF('THÁNG 12'!$C59="","",'THÁNG 12'!$S59&amp;"")</f>
        <v/>
      </c>
      <c r="T952" s="0" t="str">
        <f aca="false">IF(N($O952)&gt;0,COUNTIF($O$3:$O952,"&gt;0"),"")</f>
        <v/>
      </c>
      <c r="U952" s="0" t="str">
        <f aca="false">IF(AND(N($J952)&gt;0,N($K952)&gt;0),COUNTIFS($J$3:$J952,"&gt;0",$K$3:$K952,"&gt;0"),"")</f>
        <v/>
      </c>
      <c r="V952" s="0" t="str">
        <f aca="false">IF(AND(N($J952)&gt;0,N($K952)=0),COUNTIFS($J$3:$J952,"&gt;0",$K$3:$K952,"&lt;=0"),"")</f>
        <v/>
      </c>
      <c r="W952" s="0" t="str">
        <f aca="false">IF($C952="","",IF(COUNTIF($C$3:$C952,$C952)&gt;1,"",MAX($W$2:W951)+1))</f>
        <v/>
      </c>
      <c r="X952" s="0" t="str">
        <f aca="false">IF($H952="","",IF(COUNTIF($H$3:$H952,$H952)&gt;1,"",MAX($X$2:X951)+1))</f>
        <v/>
      </c>
      <c r="Y952" s="0" t="str">
        <f aca="false">IF(AND(N($M952)&gt;0,N($O952)&lt;=0),COUNTIFS($M$3:$M952,"&gt;0",$O$3:$O952,"&lt;=0"),"")</f>
        <v/>
      </c>
      <c r="Z952" s="30" t="n">
        <f aca="false">IF(OR('THÁNG 12'!$C59="",'THÁNG 12'!$B59=""),0,'THÁNG 12'!$B59)</f>
        <v>0</v>
      </c>
    </row>
    <row r="953" customFormat="false" ht="15" hidden="false" customHeight="false" outlineLevel="0" collapsed="false">
      <c r="A953" s="0" t="n">
        <v>12</v>
      </c>
      <c r="B953" s="29" t="str">
        <f aca="false">IF(OR('THÁNG 12'!$C60="",'THÁNG 12'!$B60=""),"",'THÁNG 12'!$B60)</f>
        <v/>
      </c>
      <c r="C953" s="0" t="str">
        <f aca="false">IF('THÁNG 12'!$C60="","",'THÁNG 12'!$C60)</f>
        <v/>
      </c>
      <c r="D953" s="0" t="str">
        <f aca="false">IF('THÁNG 12'!$C60="","",'THÁNG 12'!$D60&amp;"")</f>
        <v/>
      </c>
      <c r="E953" s="0" t="str">
        <f aca="false">IF('THÁNG 12'!$C60="","",'THÁNG 12'!$E60&amp;"")</f>
        <v/>
      </c>
      <c r="F953" s="0" t="str">
        <f aca="false">IF('THÁNG 12'!$C60="","",'THÁNG 12'!$F60&amp;"")</f>
        <v/>
      </c>
      <c r="G953" s="0" t="str">
        <f aca="false">IF('THÁNG 12'!$C60="","",'THÁNG 12'!$G60&amp;"")</f>
        <v/>
      </c>
      <c r="H953" s="0" t="str">
        <f aca="false">IF('THÁNG 12'!$C60="","",'THÁNG 12'!$H60&amp;"")</f>
        <v/>
      </c>
      <c r="I953" s="0" t="str">
        <f aca="false">IF('THÁNG 12'!$C60="","",N('THÁNG 12'!$I60))</f>
        <v/>
      </c>
      <c r="J953" s="0" t="str">
        <f aca="false">IF('THÁNG 12'!$C60="","",N('THÁNG 12'!$L60))</f>
        <v/>
      </c>
      <c r="K953" s="0" t="str">
        <f aca="false">IF('THÁNG 12'!$C60="","",N('THÁNG 12'!$N60))</f>
        <v/>
      </c>
      <c r="L953" s="0" t="str">
        <f aca="false">IF('THÁNG 12'!$C60="","",N('THÁNG 12'!$O60))</f>
        <v/>
      </c>
      <c r="M953" s="0" t="str">
        <f aca="false">IF('THÁNG 12'!$C60="","",N('THÁNG 12'!$P60))</f>
        <v/>
      </c>
      <c r="N953" s="0" t="str">
        <f aca="false">IF('THÁNG 12'!$C60="","",N('THÁNG 12'!$Q60))</f>
        <v/>
      </c>
      <c r="O953" s="0" t="str">
        <f aca="false">IF('THÁNG 12'!$C60="","",N('THÁNG 12'!$R60))</f>
        <v/>
      </c>
      <c r="P953" s="0" t="str">
        <f aca="false">IF(OR('THÁNG 12'!$C60="",'THÁNG 12'!$T60=""),"",'THÁNG 12'!$T60)</f>
        <v/>
      </c>
      <c r="Q953" s="0" t="str">
        <f aca="false">IF(OR('THÁNG 12'!$C60="",'THÁNG 12'!$U60=""),"",'THÁNG 12'!$U60)</f>
        <v/>
      </c>
      <c r="R953" s="0" t="str">
        <f aca="false">IF('THÁNG 12'!$C60="","",'THÁNG 12'!$W60&amp;"")</f>
        <v/>
      </c>
      <c r="S953" s="0" t="str">
        <f aca="false">IF('THÁNG 12'!$C60="","",'THÁNG 12'!$S60&amp;"")</f>
        <v/>
      </c>
      <c r="T953" s="0" t="str">
        <f aca="false">IF(N($O953)&gt;0,COUNTIF($O$3:$O953,"&gt;0"),"")</f>
        <v/>
      </c>
      <c r="U953" s="0" t="str">
        <f aca="false">IF(AND(N($J953)&gt;0,N($K953)&gt;0),COUNTIFS($J$3:$J953,"&gt;0",$K$3:$K953,"&gt;0"),"")</f>
        <v/>
      </c>
      <c r="V953" s="0" t="str">
        <f aca="false">IF(AND(N($J953)&gt;0,N($K953)=0),COUNTIFS($J$3:$J953,"&gt;0",$K$3:$K953,"&lt;=0"),"")</f>
        <v/>
      </c>
      <c r="W953" s="0" t="str">
        <f aca="false">IF($C953="","",IF(COUNTIF($C$3:$C953,$C953)&gt;1,"",MAX($W$2:W952)+1))</f>
        <v/>
      </c>
      <c r="X953" s="0" t="str">
        <f aca="false">IF($H953="","",IF(COUNTIF($H$3:$H953,$H953)&gt;1,"",MAX($X$2:X952)+1))</f>
        <v/>
      </c>
      <c r="Y953" s="0" t="str">
        <f aca="false">IF(AND(N($M953)&gt;0,N($O953)&lt;=0),COUNTIFS($M$3:$M953,"&gt;0",$O$3:$O953,"&lt;=0"),"")</f>
        <v/>
      </c>
      <c r="Z953" s="30" t="n">
        <f aca="false">IF(OR('THÁNG 12'!$C60="",'THÁNG 12'!$B60=""),0,'THÁNG 12'!$B60)</f>
        <v>0</v>
      </c>
    </row>
    <row r="954" customFormat="false" ht="15" hidden="false" customHeight="false" outlineLevel="0" collapsed="false">
      <c r="A954" s="0" t="n">
        <v>12</v>
      </c>
      <c r="B954" s="29" t="str">
        <f aca="false">IF(OR('THÁNG 12'!$C61="",'THÁNG 12'!$B61=""),"",'THÁNG 12'!$B61)</f>
        <v/>
      </c>
      <c r="C954" s="0" t="str">
        <f aca="false">IF('THÁNG 12'!$C61="","",'THÁNG 12'!$C61)</f>
        <v/>
      </c>
      <c r="D954" s="0" t="str">
        <f aca="false">IF('THÁNG 12'!$C61="","",'THÁNG 12'!$D61&amp;"")</f>
        <v/>
      </c>
      <c r="E954" s="0" t="str">
        <f aca="false">IF('THÁNG 12'!$C61="","",'THÁNG 12'!$E61&amp;"")</f>
        <v/>
      </c>
      <c r="F954" s="0" t="str">
        <f aca="false">IF('THÁNG 12'!$C61="","",'THÁNG 12'!$F61&amp;"")</f>
        <v/>
      </c>
      <c r="G954" s="0" t="str">
        <f aca="false">IF('THÁNG 12'!$C61="","",'THÁNG 12'!$G61&amp;"")</f>
        <v/>
      </c>
      <c r="H954" s="0" t="str">
        <f aca="false">IF('THÁNG 12'!$C61="","",'THÁNG 12'!$H61&amp;"")</f>
        <v/>
      </c>
      <c r="I954" s="0" t="str">
        <f aca="false">IF('THÁNG 12'!$C61="","",N('THÁNG 12'!$I61))</f>
        <v/>
      </c>
      <c r="J954" s="0" t="str">
        <f aca="false">IF('THÁNG 12'!$C61="","",N('THÁNG 12'!$L61))</f>
        <v/>
      </c>
      <c r="K954" s="0" t="str">
        <f aca="false">IF('THÁNG 12'!$C61="","",N('THÁNG 12'!$N61))</f>
        <v/>
      </c>
      <c r="L954" s="0" t="str">
        <f aca="false">IF('THÁNG 12'!$C61="","",N('THÁNG 12'!$O61))</f>
        <v/>
      </c>
      <c r="M954" s="0" t="str">
        <f aca="false">IF('THÁNG 12'!$C61="","",N('THÁNG 12'!$P61))</f>
        <v/>
      </c>
      <c r="N954" s="0" t="str">
        <f aca="false">IF('THÁNG 12'!$C61="","",N('THÁNG 12'!$Q61))</f>
        <v/>
      </c>
      <c r="O954" s="0" t="str">
        <f aca="false">IF('THÁNG 12'!$C61="","",N('THÁNG 12'!$R61))</f>
        <v/>
      </c>
      <c r="P954" s="0" t="str">
        <f aca="false">IF(OR('THÁNG 12'!$C61="",'THÁNG 12'!$T61=""),"",'THÁNG 12'!$T61)</f>
        <v/>
      </c>
      <c r="Q954" s="0" t="str">
        <f aca="false">IF(OR('THÁNG 12'!$C61="",'THÁNG 12'!$U61=""),"",'THÁNG 12'!$U61)</f>
        <v/>
      </c>
      <c r="R954" s="0" t="str">
        <f aca="false">IF('THÁNG 12'!$C61="","",'THÁNG 12'!$W61&amp;"")</f>
        <v/>
      </c>
      <c r="S954" s="0" t="str">
        <f aca="false">IF('THÁNG 12'!$C61="","",'THÁNG 12'!$S61&amp;"")</f>
        <v/>
      </c>
      <c r="T954" s="0" t="str">
        <f aca="false">IF(N($O954)&gt;0,COUNTIF($O$3:$O954,"&gt;0"),"")</f>
        <v/>
      </c>
      <c r="U954" s="0" t="str">
        <f aca="false">IF(AND(N($J954)&gt;0,N($K954)&gt;0),COUNTIFS($J$3:$J954,"&gt;0",$K$3:$K954,"&gt;0"),"")</f>
        <v/>
      </c>
      <c r="V954" s="0" t="str">
        <f aca="false">IF(AND(N($J954)&gt;0,N($K954)=0),COUNTIFS($J$3:$J954,"&gt;0",$K$3:$K954,"&lt;=0"),"")</f>
        <v/>
      </c>
      <c r="W954" s="0" t="str">
        <f aca="false">IF($C954="","",IF(COUNTIF($C$3:$C954,$C954)&gt;1,"",MAX($W$2:W953)+1))</f>
        <v/>
      </c>
      <c r="X954" s="0" t="str">
        <f aca="false">IF($H954="","",IF(COUNTIF($H$3:$H954,$H954)&gt;1,"",MAX($X$2:X953)+1))</f>
        <v/>
      </c>
      <c r="Y954" s="0" t="str">
        <f aca="false">IF(AND(N($M954)&gt;0,N($O954)&lt;=0),COUNTIFS($M$3:$M954,"&gt;0",$O$3:$O954,"&lt;=0"),"")</f>
        <v/>
      </c>
      <c r="Z954" s="30" t="n">
        <f aca="false">IF(OR('THÁNG 12'!$C61="",'THÁNG 12'!$B61=""),0,'THÁNG 12'!$B61)</f>
        <v>0</v>
      </c>
    </row>
    <row r="955" customFormat="false" ht="15" hidden="false" customHeight="false" outlineLevel="0" collapsed="false">
      <c r="A955" s="0" t="n">
        <v>12</v>
      </c>
      <c r="B955" s="29" t="str">
        <f aca="false">IF(OR('THÁNG 12'!$C62="",'THÁNG 12'!$B62=""),"",'THÁNG 12'!$B62)</f>
        <v/>
      </c>
      <c r="C955" s="0" t="str">
        <f aca="false">IF('THÁNG 12'!$C62="","",'THÁNG 12'!$C62)</f>
        <v/>
      </c>
      <c r="D955" s="0" t="str">
        <f aca="false">IF('THÁNG 12'!$C62="","",'THÁNG 12'!$D62&amp;"")</f>
        <v/>
      </c>
      <c r="E955" s="0" t="str">
        <f aca="false">IF('THÁNG 12'!$C62="","",'THÁNG 12'!$E62&amp;"")</f>
        <v/>
      </c>
      <c r="F955" s="0" t="str">
        <f aca="false">IF('THÁNG 12'!$C62="","",'THÁNG 12'!$F62&amp;"")</f>
        <v/>
      </c>
      <c r="G955" s="0" t="str">
        <f aca="false">IF('THÁNG 12'!$C62="","",'THÁNG 12'!$G62&amp;"")</f>
        <v/>
      </c>
      <c r="H955" s="0" t="str">
        <f aca="false">IF('THÁNG 12'!$C62="","",'THÁNG 12'!$H62&amp;"")</f>
        <v/>
      </c>
      <c r="I955" s="0" t="str">
        <f aca="false">IF('THÁNG 12'!$C62="","",N('THÁNG 12'!$I62))</f>
        <v/>
      </c>
      <c r="J955" s="0" t="str">
        <f aca="false">IF('THÁNG 12'!$C62="","",N('THÁNG 12'!$L62))</f>
        <v/>
      </c>
      <c r="K955" s="0" t="str">
        <f aca="false">IF('THÁNG 12'!$C62="","",N('THÁNG 12'!$N62))</f>
        <v/>
      </c>
      <c r="L955" s="0" t="str">
        <f aca="false">IF('THÁNG 12'!$C62="","",N('THÁNG 12'!$O62))</f>
        <v/>
      </c>
      <c r="M955" s="0" t="str">
        <f aca="false">IF('THÁNG 12'!$C62="","",N('THÁNG 12'!$P62))</f>
        <v/>
      </c>
      <c r="N955" s="0" t="str">
        <f aca="false">IF('THÁNG 12'!$C62="","",N('THÁNG 12'!$Q62))</f>
        <v/>
      </c>
      <c r="O955" s="0" t="str">
        <f aca="false">IF('THÁNG 12'!$C62="","",N('THÁNG 12'!$R62))</f>
        <v/>
      </c>
      <c r="P955" s="0" t="str">
        <f aca="false">IF(OR('THÁNG 12'!$C62="",'THÁNG 12'!$T62=""),"",'THÁNG 12'!$T62)</f>
        <v/>
      </c>
      <c r="Q955" s="0" t="str">
        <f aca="false">IF(OR('THÁNG 12'!$C62="",'THÁNG 12'!$U62=""),"",'THÁNG 12'!$U62)</f>
        <v/>
      </c>
      <c r="R955" s="0" t="str">
        <f aca="false">IF('THÁNG 12'!$C62="","",'THÁNG 12'!$W62&amp;"")</f>
        <v/>
      </c>
      <c r="S955" s="0" t="str">
        <f aca="false">IF('THÁNG 12'!$C62="","",'THÁNG 12'!$S62&amp;"")</f>
        <v/>
      </c>
      <c r="T955" s="0" t="str">
        <f aca="false">IF(N($O955)&gt;0,COUNTIF($O$3:$O955,"&gt;0"),"")</f>
        <v/>
      </c>
      <c r="U955" s="0" t="str">
        <f aca="false">IF(AND(N($J955)&gt;0,N($K955)&gt;0),COUNTIFS($J$3:$J955,"&gt;0",$K$3:$K955,"&gt;0"),"")</f>
        <v/>
      </c>
      <c r="V955" s="0" t="str">
        <f aca="false">IF(AND(N($J955)&gt;0,N($K955)=0),COUNTIFS($J$3:$J955,"&gt;0",$K$3:$K955,"&lt;=0"),"")</f>
        <v/>
      </c>
      <c r="W955" s="0" t="str">
        <f aca="false">IF($C955="","",IF(COUNTIF($C$3:$C955,$C955)&gt;1,"",MAX($W$2:W954)+1))</f>
        <v/>
      </c>
      <c r="X955" s="0" t="str">
        <f aca="false">IF($H955="","",IF(COUNTIF($H$3:$H955,$H955)&gt;1,"",MAX($X$2:X954)+1))</f>
        <v/>
      </c>
      <c r="Y955" s="0" t="str">
        <f aca="false">IF(AND(N($M955)&gt;0,N($O955)&lt;=0),COUNTIFS($M$3:$M955,"&gt;0",$O$3:$O955,"&lt;=0"),"")</f>
        <v/>
      </c>
      <c r="Z955" s="30" t="n">
        <f aca="false">IF(OR('THÁNG 12'!$C62="",'THÁNG 12'!$B62=""),0,'THÁNG 12'!$B62)</f>
        <v>0</v>
      </c>
    </row>
    <row r="956" customFormat="false" ht="15" hidden="false" customHeight="false" outlineLevel="0" collapsed="false">
      <c r="A956" s="0" t="n">
        <v>12</v>
      </c>
      <c r="B956" s="29" t="str">
        <f aca="false">IF(OR('THÁNG 12'!$C63="",'THÁNG 12'!$B63=""),"",'THÁNG 12'!$B63)</f>
        <v/>
      </c>
      <c r="C956" s="0" t="str">
        <f aca="false">IF('THÁNG 12'!$C63="","",'THÁNG 12'!$C63)</f>
        <v/>
      </c>
      <c r="D956" s="0" t="str">
        <f aca="false">IF('THÁNG 12'!$C63="","",'THÁNG 12'!$D63&amp;"")</f>
        <v/>
      </c>
      <c r="E956" s="0" t="str">
        <f aca="false">IF('THÁNG 12'!$C63="","",'THÁNG 12'!$E63&amp;"")</f>
        <v/>
      </c>
      <c r="F956" s="0" t="str">
        <f aca="false">IF('THÁNG 12'!$C63="","",'THÁNG 12'!$F63&amp;"")</f>
        <v/>
      </c>
      <c r="G956" s="0" t="str">
        <f aca="false">IF('THÁNG 12'!$C63="","",'THÁNG 12'!$G63&amp;"")</f>
        <v/>
      </c>
      <c r="H956" s="0" t="str">
        <f aca="false">IF('THÁNG 12'!$C63="","",'THÁNG 12'!$H63&amp;"")</f>
        <v/>
      </c>
      <c r="I956" s="0" t="str">
        <f aca="false">IF('THÁNG 12'!$C63="","",N('THÁNG 12'!$I63))</f>
        <v/>
      </c>
      <c r="J956" s="0" t="str">
        <f aca="false">IF('THÁNG 12'!$C63="","",N('THÁNG 12'!$L63))</f>
        <v/>
      </c>
      <c r="K956" s="0" t="str">
        <f aca="false">IF('THÁNG 12'!$C63="","",N('THÁNG 12'!$N63))</f>
        <v/>
      </c>
      <c r="L956" s="0" t="str">
        <f aca="false">IF('THÁNG 12'!$C63="","",N('THÁNG 12'!$O63))</f>
        <v/>
      </c>
      <c r="M956" s="0" t="str">
        <f aca="false">IF('THÁNG 12'!$C63="","",N('THÁNG 12'!$P63))</f>
        <v/>
      </c>
      <c r="N956" s="0" t="str">
        <f aca="false">IF('THÁNG 12'!$C63="","",N('THÁNG 12'!$Q63))</f>
        <v/>
      </c>
      <c r="O956" s="0" t="str">
        <f aca="false">IF('THÁNG 12'!$C63="","",N('THÁNG 12'!$R63))</f>
        <v/>
      </c>
      <c r="P956" s="0" t="str">
        <f aca="false">IF(OR('THÁNG 12'!$C63="",'THÁNG 12'!$T63=""),"",'THÁNG 12'!$T63)</f>
        <v/>
      </c>
      <c r="Q956" s="0" t="str">
        <f aca="false">IF(OR('THÁNG 12'!$C63="",'THÁNG 12'!$U63=""),"",'THÁNG 12'!$U63)</f>
        <v/>
      </c>
      <c r="R956" s="0" t="str">
        <f aca="false">IF('THÁNG 12'!$C63="","",'THÁNG 12'!$W63&amp;"")</f>
        <v/>
      </c>
      <c r="S956" s="0" t="str">
        <f aca="false">IF('THÁNG 12'!$C63="","",'THÁNG 12'!$S63&amp;"")</f>
        <v/>
      </c>
      <c r="T956" s="0" t="str">
        <f aca="false">IF(N($O956)&gt;0,COUNTIF($O$3:$O956,"&gt;0"),"")</f>
        <v/>
      </c>
      <c r="U956" s="0" t="str">
        <f aca="false">IF(AND(N($J956)&gt;0,N($K956)&gt;0),COUNTIFS($J$3:$J956,"&gt;0",$K$3:$K956,"&gt;0"),"")</f>
        <v/>
      </c>
      <c r="V956" s="0" t="str">
        <f aca="false">IF(AND(N($J956)&gt;0,N($K956)=0),COUNTIFS($J$3:$J956,"&gt;0",$K$3:$K956,"&lt;=0"),"")</f>
        <v/>
      </c>
      <c r="W956" s="0" t="str">
        <f aca="false">IF($C956="","",IF(COUNTIF($C$3:$C956,$C956)&gt;1,"",MAX($W$2:W955)+1))</f>
        <v/>
      </c>
      <c r="X956" s="0" t="str">
        <f aca="false">IF($H956="","",IF(COUNTIF($H$3:$H956,$H956)&gt;1,"",MAX($X$2:X955)+1))</f>
        <v/>
      </c>
      <c r="Y956" s="0" t="str">
        <f aca="false">IF(AND(N($M956)&gt;0,N($O956)&lt;=0),COUNTIFS($M$3:$M956,"&gt;0",$O$3:$O956,"&lt;=0"),"")</f>
        <v/>
      </c>
      <c r="Z956" s="30" t="n">
        <f aca="false">IF(OR('THÁNG 12'!$C63="",'THÁNG 12'!$B63=""),0,'THÁNG 12'!$B63)</f>
        <v>0</v>
      </c>
    </row>
    <row r="957" customFormat="false" ht="15" hidden="false" customHeight="false" outlineLevel="0" collapsed="false">
      <c r="A957" s="0" t="n">
        <v>12</v>
      </c>
      <c r="B957" s="29" t="str">
        <f aca="false">IF(OR('THÁNG 12'!$C64="",'THÁNG 12'!$B64=""),"",'THÁNG 12'!$B64)</f>
        <v/>
      </c>
      <c r="C957" s="0" t="str">
        <f aca="false">IF('THÁNG 12'!$C64="","",'THÁNG 12'!$C64)</f>
        <v/>
      </c>
      <c r="D957" s="0" t="str">
        <f aca="false">IF('THÁNG 12'!$C64="","",'THÁNG 12'!$D64&amp;"")</f>
        <v/>
      </c>
      <c r="E957" s="0" t="str">
        <f aca="false">IF('THÁNG 12'!$C64="","",'THÁNG 12'!$E64&amp;"")</f>
        <v/>
      </c>
      <c r="F957" s="0" t="str">
        <f aca="false">IF('THÁNG 12'!$C64="","",'THÁNG 12'!$F64&amp;"")</f>
        <v/>
      </c>
      <c r="G957" s="0" t="str">
        <f aca="false">IF('THÁNG 12'!$C64="","",'THÁNG 12'!$G64&amp;"")</f>
        <v/>
      </c>
      <c r="H957" s="0" t="str">
        <f aca="false">IF('THÁNG 12'!$C64="","",'THÁNG 12'!$H64&amp;"")</f>
        <v/>
      </c>
      <c r="I957" s="0" t="str">
        <f aca="false">IF('THÁNG 12'!$C64="","",N('THÁNG 12'!$I64))</f>
        <v/>
      </c>
      <c r="J957" s="0" t="str">
        <f aca="false">IF('THÁNG 12'!$C64="","",N('THÁNG 12'!$L64))</f>
        <v/>
      </c>
      <c r="K957" s="0" t="str">
        <f aca="false">IF('THÁNG 12'!$C64="","",N('THÁNG 12'!$N64))</f>
        <v/>
      </c>
      <c r="L957" s="0" t="str">
        <f aca="false">IF('THÁNG 12'!$C64="","",N('THÁNG 12'!$O64))</f>
        <v/>
      </c>
      <c r="M957" s="0" t="str">
        <f aca="false">IF('THÁNG 12'!$C64="","",N('THÁNG 12'!$P64))</f>
        <v/>
      </c>
      <c r="N957" s="0" t="str">
        <f aca="false">IF('THÁNG 12'!$C64="","",N('THÁNG 12'!$Q64))</f>
        <v/>
      </c>
      <c r="O957" s="0" t="str">
        <f aca="false">IF('THÁNG 12'!$C64="","",N('THÁNG 12'!$R64))</f>
        <v/>
      </c>
      <c r="P957" s="0" t="str">
        <f aca="false">IF(OR('THÁNG 12'!$C64="",'THÁNG 12'!$T64=""),"",'THÁNG 12'!$T64)</f>
        <v/>
      </c>
      <c r="Q957" s="0" t="str">
        <f aca="false">IF(OR('THÁNG 12'!$C64="",'THÁNG 12'!$U64=""),"",'THÁNG 12'!$U64)</f>
        <v/>
      </c>
      <c r="R957" s="0" t="str">
        <f aca="false">IF('THÁNG 12'!$C64="","",'THÁNG 12'!$W64&amp;"")</f>
        <v/>
      </c>
      <c r="S957" s="0" t="str">
        <f aca="false">IF('THÁNG 12'!$C64="","",'THÁNG 12'!$S64&amp;"")</f>
        <v/>
      </c>
      <c r="T957" s="0" t="str">
        <f aca="false">IF(N($O957)&gt;0,COUNTIF($O$3:$O957,"&gt;0"),"")</f>
        <v/>
      </c>
      <c r="U957" s="0" t="str">
        <f aca="false">IF(AND(N($J957)&gt;0,N($K957)&gt;0),COUNTIFS($J$3:$J957,"&gt;0",$K$3:$K957,"&gt;0"),"")</f>
        <v/>
      </c>
      <c r="V957" s="0" t="str">
        <f aca="false">IF(AND(N($J957)&gt;0,N($K957)=0),COUNTIFS($J$3:$J957,"&gt;0",$K$3:$K957,"&lt;=0"),"")</f>
        <v/>
      </c>
      <c r="W957" s="0" t="str">
        <f aca="false">IF($C957="","",IF(COUNTIF($C$3:$C957,$C957)&gt;1,"",MAX($W$2:W956)+1))</f>
        <v/>
      </c>
      <c r="X957" s="0" t="str">
        <f aca="false">IF($H957="","",IF(COUNTIF($H$3:$H957,$H957)&gt;1,"",MAX($X$2:X956)+1))</f>
        <v/>
      </c>
      <c r="Y957" s="0" t="str">
        <f aca="false">IF(AND(N($M957)&gt;0,N($O957)&lt;=0),COUNTIFS($M$3:$M957,"&gt;0",$O$3:$O957,"&lt;=0"),"")</f>
        <v/>
      </c>
      <c r="Z957" s="30" t="n">
        <f aca="false">IF(OR('THÁNG 12'!$C64="",'THÁNG 12'!$B64=""),0,'THÁNG 12'!$B64)</f>
        <v>0</v>
      </c>
    </row>
    <row r="958" customFormat="false" ht="15" hidden="false" customHeight="false" outlineLevel="0" collapsed="false">
      <c r="A958" s="0" t="n">
        <v>12</v>
      </c>
      <c r="B958" s="29" t="str">
        <f aca="false">IF(OR('THÁNG 12'!$C65="",'THÁNG 12'!$B65=""),"",'THÁNG 12'!$B65)</f>
        <v/>
      </c>
      <c r="C958" s="0" t="str">
        <f aca="false">IF('THÁNG 12'!$C65="","",'THÁNG 12'!$C65)</f>
        <v/>
      </c>
      <c r="D958" s="0" t="str">
        <f aca="false">IF('THÁNG 12'!$C65="","",'THÁNG 12'!$D65&amp;"")</f>
        <v/>
      </c>
      <c r="E958" s="0" t="str">
        <f aca="false">IF('THÁNG 12'!$C65="","",'THÁNG 12'!$E65&amp;"")</f>
        <v/>
      </c>
      <c r="F958" s="0" t="str">
        <f aca="false">IF('THÁNG 12'!$C65="","",'THÁNG 12'!$F65&amp;"")</f>
        <v/>
      </c>
      <c r="G958" s="0" t="str">
        <f aca="false">IF('THÁNG 12'!$C65="","",'THÁNG 12'!$G65&amp;"")</f>
        <v/>
      </c>
      <c r="H958" s="0" t="str">
        <f aca="false">IF('THÁNG 12'!$C65="","",'THÁNG 12'!$H65&amp;"")</f>
        <v/>
      </c>
      <c r="I958" s="0" t="str">
        <f aca="false">IF('THÁNG 12'!$C65="","",N('THÁNG 12'!$I65))</f>
        <v/>
      </c>
      <c r="J958" s="0" t="str">
        <f aca="false">IF('THÁNG 12'!$C65="","",N('THÁNG 12'!$L65))</f>
        <v/>
      </c>
      <c r="K958" s="0" t="str">
        <f aca="false">IF('THÁNG 12'!$C65="","",N('THÁNG 12'!$N65))</f>
        <v/>
      </c>
      <c r="L958" s="0" t="str">
        <f aca="false">IF('THÁNG 12'!$C65="","",N('THÁNG 12'!$O65))</f>
        <v/>
      </c>
      <c r="M958" s="0" t="str">
        <f aca="false">IF('THÁNG 12'!$C65="","",N('THÁNG 12'!$P65))</f>
        <v/>
      </c>
      <c r="N958" s="0" t="str">
        <f aca="false">IF('THÁNG 12'!$C65="","",N('THÁNG 12'!$Q65))</f>
        <v/>
      </c>
      <c r="O958" s="0" t="str">
        <f aca="false">IF('THÁNG 12'!$C65="","",N('THÁNG 12'!$R65))</f>
        <v/>
      </c>
      <c r="P958" s="0" t="str">
        <f aca="false">IF(OR('THÁNG 12'!$C65="",'THÁNG 12'!$T65=""),"",'THÁNG 12'!$T65)</f>
        <v/>
      </c>
      <c r="Q958" s="0" t="str">
        <f aca="false">IF(OR('THÁNG 12'!$C65="",'THÁNG 12'!$U65=""),"",'THÁNG 12'!$U65)</f>
        <v/>
      </c>
      <c r="R958" s="0" t="str">
        <f aca="false">IF('THÁNG 12'!$C65="","",'THÁNG 12'!$W65&amp;"")</f>
        <v/>
      </c>
      <c r="S958" s="0" t="str">
        <f aca="false">IF('THÁNG 12'!$C65="","",'THÁNG 12'!$S65&amp;"")</f>
        <v/>
      </c>
      <c r="T958" s="0" t="str">
        <f aca="false">IF(N($O958)&gt;0,COUNTIF($O$3:$O958,"&gt;0"),"")</f>
        <v/>
      </c>
      <c r="U958" s="0" t="str">
        <f aca="false">IF(AND(N($J958)&gt;0,N($K958)&gt;0),COUNTIFS($J$3:$J958,"&gt;0",$K$3:$K958,"&gt;0"),"")</f>
        <v/>
      </c>
      <c r="V958" s="0" t="str">
        <f aca="false">IF(AND(N($J958)&gt;0,N($K958)=0),COUNTIFS($J$3:$J958,"&gt;0",$K$3:$K958,"&lt;=0"),"")</f>
        <v/>
      </c>
      <c r="W958" s="0" t="str">
        <f aca="false">IF($C958="","",IF(COUNTIF($C$3:$C958,$C958)&gt;1,"",MAX($W$2:W957)+1))</f>
        <v/>
      </c>
      <c r="X958" s="0" t="str">
        <f aca="false">IF($H958="","",IF(COUNTIF($H$3:$H958,$H958)&gt;1,"",MAX($X$2:X957)+1))</f>
        <v/>
      </c>
      <c r="Y958" s="0" t="str">
        <f aca="false">IF(AND(N($M958)&gt;0,N($O958)&lt;=0),COUNTIFS($M$3:$M958,"&gt;0",$O$3:$O958,"&lt;=0"),"")</f>
        <v/>
      </c>
      <c r="Z958" s="30" t="n">
        <f aca="false">IF(OR('THÁNG 12'!$C65="",'THÁNG 12'!$B65=""),0,'THÁNG 12'!$B65)</f>
        <v>0</v>
      </c>
    </row>
    <row r="959" customFormat="false" ht="15" hidden="false" customHeight="false" outlineLevel="0" collapsed="false">
      <c r="A959" s="0" t="n">
        <v>12</v>
      </c>
      <c r="B959" s="29" t="str">
        <f aca="false">IF(OR('THÁNG 12'!$C66="",'THÁNG 12'!$B66=""),"",'THÁNG 12'!$B66)</f>
        <v/>
      </c>
      <c r="C959" s="0" t="str">
        <f aca="false">IF('THÁNG 12'!$C66="","",'THÁNG 12'!$C66)</f>
        <v/>
      </c>
      <c r="D959" s="0" t="str">
        <f aca="false">IF('THÁNG 12'!$C66="","",'THÁNG 12'!$D66&amp;"")</f>
        <v/>
      </c>
      <c r="E959" s="0" t="str">
        <f aca="false">IF('THÁNG 12'!$C66="","",'THÁNG 12'!$E66&amp;"")</f>
        <v/>
      </c>
      <c r="F959" s="0" t="str">
        <f aca="false">IF('THÁNG 12'!$C66="","",'THÁNG 12'!$F66&amp;"")</f>
        <v/>
      </c>
      <c r="G959" s="0" t="str">
        <f aca="false">IF('THÁNG 12'!$C66="","",'THÁNG 12'!$G66&amp;"")</f>
        <v/>
      </c>
      <c r="H959" s="0" t="str">
        <f aca="false">IF('THÁNG 12'!$C66="","",'THÁNG 12'!$H66&amp;"")</f>
        <v/>
      </c>
      <c r="I959" s="0" t="str">
        <f aca="false">IF('THÁNG 12'!$C66="","",N('THÁNG 12'!$I66))</f>
        <v/>
      </c>
      <c r="J959" s="0" t="str">
        <f aca="false">IF('THÁNG 12'!$C66="","",N('THÁNG 12'!$L66))</f>
        <v/>
      </c>
      <c r="K959" s="0" t="str">
        <f aca="false">IF('THÁNG 12'!$C66="","",N('THÁNG 12'!$N66))</f>
        <v/>
      </c>
      <c r="L959" s="0" t="str">
        <f aca="false">IF('THÁNG 12'!$C66="","",N('THÁNG 12'!$O66))</f>
        <v/>
      </c>
      <c r="M959" s="0" t="str">
        <f aca="false">IF('THÁNG 12'!$C66="","",N('THÁNG 12'!$P66))</f>
        <v/>
      </c>
      <c r="N959" s="0" t="str">
        <f aca="false">IF('THÁNG 12'!$C66="","",N('THÁNG 12'!$Q66))</f>
        <v/>
      </c>
      <c r="O959" s="0" t="str">
        <f aca="false">IF('THÁNG 12'!$C66="","",N('THÁNG 12'!$R66))</f>
        <v/>
      </c>
      <c r="P959" s="0" t="str">
        <f aca="false">IF(OR('THÁNG 12'!$C66="",'THÁNG 12'!$T66=""),"",'THÁNG 12'!$T66)</f>
        <v/>
      </c>
      <c r="Q959" s="0" t="str">
        <f aca="false">IF(OR('THÁNG 12'!$C66="",'THÁNG 12'!$U66=""),"",'THÁNG 12'!$U66)</f>
        <v/>
      </c>
      <c r="R959" s="0" t="str">
        <f aca="false">IF('THÁNG 12'!$C66="","",'THÁNG 12'!$W66&amp;"")</f>
        <v/>
      </c>
      <c r="S959" s="0" t="str">
        <f aca="false">IF('THÁNG 12'!$C66="","",'THÁNG 12'!$S66&amp;"")</f>
        <v/>
      </c>
      <c r="T959" s="0" t="str">
        <f aca="false">IF(N($O959)&gt;0,COUNTIF($O$3:$O959,"&gt;0"),"")</f>
        <v/>
      </c>
      <c r="U959" s="0" t="str">
        <f aca="false">IF(AND(N($J959)&gt;0,N($K959)&gt;0),COUNTIFS($J$3:$J959,"&gt;0",$K$3:$K959,"&gt;0"),"")</f>
        <v/>
      </c>
      <c r="V959" s="0" t="str">
        <f aca="false">IF(AND(N($J959)&gt;0,N($K959)=0),COUNTIFS($J$3:$J959,"&gt;0",$K$3:$K959,"&lt;=0"),"")</f>
        <v/>
      </c>
      <c r="W959" s="0" t="str">
        <f aca="false">IF($C959="","",IF(COUNTIF($C$3:$C959,$C959)&gt;1,"",MAX($W$2:W958)+1))</f>
        <v/>
      </c>
      <c r="X959" s="0" t="str">
        <f aca="false">IF($H959="","",IF(COUNTIF($H$3:$H959,$H959)&gt;1,"",MAX($X$2:X958)+1))</f>
        <v/>
      </c>
      <c r="Y959" s="0" t="str">
        <f aca="false">IF(AND(N($M959)&gt;0,N($O959)&lt;=0),COUNTIFS($M$3:$M959,"&gt;0",$O$3:$O959,"&lt;=0"),"")</f>
        <v/>
      </c>
      <c r="Z959" s="30" t="n">
        <f aca="false">IF(OR('THÁNG 12'!$C66="",'THÁNG 12'!$B66=""),0,'THÁNG 12'!$B66)</f>
        <v>0</v>
      </c>
    </row>
    <row r="960" customFormat="false" ht="15" hidden="false" customHeight="false" outlineLevel="0" collapsed="false">
      <c r="A960" s="0" t="n">
        <v>12</v>
      </c>
      <c r="B960" s="29" t="str">
        <f aca="false">IF(OR('THÁNG 12'!$C67="",'THÁNG 12'!$B67=""),"",'THÁNG 12'!$B67)</f>
        <v/>
      </c>
      <c r="C960" s="0" t="str">
        <f aca="false">IF('THÁNG 12'!$C67="","",'THÁNG 12'!$C67)</f>
        <v/>
      </c>
      <c r="D960" s="0" t="str">
        <f aca="false">IF('THÁNG 12'!$C67="","",'THÁNG 12'!$D67&amp;"")</f>
        <v/>
      </c>
      <c r="E960" s="0" t="str">
        <f aca="false">IF('THÁNG 12'!$C67="","",'THÁNG 12'!$E67&amp;"")</f>
        <v/>
      </c>
      <c r="F960" s="0" t="str">
        <f aca="false">IF('THÁNG 12'!$C67="","",'THÁNG 12'!$F67&amp;"")</f>
        <v/>
      </c>
      <c r="G960" s="0" t="str">
        <f aca="false">IF('THÁNG 12'!$C67="","",'THÁNG 12'!$G67&amp;"")</f>
        <v/>
      </c>
      <c r="H960" s="0" t="str">
        <f aca="false">IF('THÁNG 12'!$C67="","",'THÁNG 12'!$H67&amp;"")</f>
        <v/>
      </c>
      <c r="I960" s="0" t="str">
        <f aca="false">IF('THÁNG 12'!$C67="","",N('THÁNG 12'!$I67))</f>
        <v/>
      </c>
      <c r="J960" s="0" t="str">
        <f aca="false">IF('THÁNG 12'!$C67="","",N('THÁNG 12'!$L67))</f>
        <v/>
      </c>
      <c r="K960" s="0" t="str">
        <f aca="false">IF('THÁNG 12'!$C67="","",N('THÁNG 12'!$N67))</f>
        <v/>
      </c>
      <c r="L960" s="0" t="str">
        <f aca="false">IF('THÁNG 12'!$C67="","",N('THÁNG 12'!$O67))</f>
        <v/>
      </c>
      <c r="M960" s="0" t="str">
        <f aca="false">IF('THÁNG 12'!$C67="","",N('THÁNG 12'!$P67))</f>
        <v/>
      </c>
      <c r="N960" s="0" t="str">
        <f aca="false">IF('THÁNG 12'!$C67="","",N('THÁNG 12'!$Q67))</f>
        <v/>
      </c>
      <c r="O960" s="0" t="str">
        <f aca="false">IF('THÁNG 12'!$C67="","",N('THÁNG 12'!$R67))</f>
        <v/>
      </c>
      <c r="P960" s="0" t="str">
        <f aca="false">IF(OR('THÁNG 12'!$C67="",'THÁNG 12'!$T67=""),"",'THÁNG 12'!$T67)</f>
        <v/>
      </c>
      <c r="Q960" s="0" t="str">
        <f aca="false">IF(OR('THÁNG 12'!$C67="",'THÁNG 12'!$U67=""),"",'THÁNG 12'!$U67)</f>
        <v/>
      </c>
      <c r="R960" s="0" t="str">
        <f aca="false">IF('THÁNG 12'!$C67="","",'THÁNG 12'!$W67&amp;"")</f>
        <v/>
      </c>
      <c r="S960" s="0" t="str">
        <f aca="false">IF('THÁNG 12'!$C67="","",'THÁNG 12'!$S67&amp;"")</f>
        <v/>
      </c>
      <c r="T960" s="0" t="str">
        <f aca="false">IF(N($O960)&gt;0,COUNTIF($O$3:$O960,"&gt;0"),"")</f>
        <v/>
      </c>
      <c r="U960" s="0" t="str">
        <f aca="false">IF(AND(N($J960)&gt;0,N($K960)&gt;0),COUNTIFS($J$3:$J960,"&gt;0",$K$3:$K960,"&gt;0"),"")</f>
        <v/>
      </c>
      <c r="V960" s="0" t="str">
        <f aca="false">IF(AND(N($J960)&gt;0,N($K960)=0),COUNTIFS($J$3:$J960,"&gt;0",$K$3:$K960,"&lt;=0"),"")</f>
        <v/>
      </c>
      <c r="W960" s="0" t="str">
        <f aca="false">IF($C960="","",IF(COUNTIF($C$3:$C960,$C960)&gt;1,"",MAX($W$2:W959)+1))</f>
        <v/>
      </c>
      <c r="X960" s="0" t="str">
        <f aca="false">IF($H960="","",IF(COUNTIF($H$3:$H960,$H960)&gt;1,"",MAX($X$2:X959)+1))</f>
        <v/>
      </c>
      <c r="Y960" s="0" t="str">
        <f aca="false">IF(AND(N($M960)&gt;0,N($O960)&lt;=0),COUNTIFS($M$3:$M960,"&gt;0",$O$3:$O960,"&lt;=0"),"")</f>
        <v/>
      </c>
      <c r="Z960" s="30" t="n">
        <f aca="false">IF(OR('THÁNG 12'!$C67="",'THÁNG 12'!$B67=""),0,'THÁNG 12'!$B67)</f>
        <v>0</v>
      </c>
    </row>
    <row r="961" customFormat="false" ht="15" hidden="false" customHeight="false" outlineLevel="0" collapsed="false">
      <c r="A961" s="0" t="n">
        <v>12</v>
      </c>
      <c r="B961" s="29" t="str">
        <f aca="false">IF(OR('THÁNG 12'!$C68="",'THÁNG 12'!$B68=""),"",'THÁNG 12'!$B68)</f>
        <v/>
      </c>
      <c r="C961" s="0" t="str">
        <f aca="false">IF('THÁNG 12'!$C68="","",'THÁNG 12'!$C68)</f>
        <v/>
      </c>
      <c r="D961" s="0" t="str">
        <f aca="false">IF('THÁNG 12'!$C68="","",'THÁNG 12'!$D68&amp;"")</f>
        <v/>
      </c>
      <c r="E961" s="0" t="str">
        <f aca="false">IF('THÁNG 12'!$C68="","",'THÁNG 12'!$E68&amp;"")</f>
        <v/>
      </c>
      <c r="F961" s="0" t="str">
        <f aca="false">IF('THÁNG 12'!$C68="","",'THÁNG 12'!$F68&amp;"")</f>
        <v/>
      </c>
      <c r="G961" s="0" t="str">
        <f aca="false">IF('THÁNG 12'!$C68="","",'THÁNG 12'!$G68&amp;"")</f>
        <v/>
      </c>
      <c r="H961" s="0" t="str">
        <f aca="false">IF('THÁNG 12'!$C68="","",'THÁNG 12'!$H68&amp;"")</f>
        <v/>
      </c>
      <c r="I961" s="0" t="str">
        <f aca="false">IF('THÁNG 12'!$C68="","",N('THÁNG 12'!$I68))</f>
        <v/>
      </c>
      <c r="J961" s="0" t="str">
        <f aca="false">IF('THÁNG 12'!$C68="","",N('THÁNG 12'!$L68))</f>
        <v/>
      </c>
      <c r="K961" s="0" t="str">
        <f aca="false">IF('THÁNG 12'!$C68="","",N('THÁNG 12'!$N68))</f>
        <v/>
      </c>
      <c r="L961" s="0" t="str">
        <f aca="false">IF('THÁNG 12'!$C68="","",N('THÁNG 12'!$O68))</f>
        <v/>
      </c>
      <c r="M961" s="0" t="str">
        <f aca="false">IF('THÁNG 12'!$C68="","",N('THÁNG 12'!$P68))</f>
        <v/>
      </c>
      <c r="N961" s="0" t="str">
        <f aca="false">IF('THÁNG 12'!$C68="","",N('THÁNG 12'!$Q68))</f>
        <v/>
      </c>
      <c r="O961" s="0" t="str">
        <f aca="false">IF('THÁNG 12'!$C68="","",N('THÁNG 12'!$R68))</f>
        <v/>
      </c>
      <c r="P961" s="0" t="str">
        <f aca="false">IF(OR('THÁNG 12'!$C68="",'THÁNG 12'!$T68=""),"",'THÁNG 12'!$T68)</f>
        <v/>
      </c>
      <c r="Q961" s="0" t="str">
        <f aca="false">IF(OR('THÁNG 12'!$C68="",'THÁNG 12'!$U68=""),"",'THÁNG 12'!$U68)</f>
        <v/>
      </c>
      <c r="R961" s="0" t="str">
        <f aca="false">IF('THÁNG 12'!$C68="","",'THÁNG 12'!$W68&amp;"")</f>
        <v/>
      </c>
      <c r="S961" s="0" t="str">
        <f aca="false">IF('THÁNG 12'!$C68="","",'THÁNG 12'!$S68&amp;"")</f>
        <v/>
      </c>
      <c r="T961" s="0" t="str">
        <f aca="false">IF(N($O961)&gt;0,COUNTIF($O$3:$O961,"&gt;0"),"")</f>
        <v/>
      </c>
      <c r="U961" s="0" t="str">
        <f aca="false">IF(AND(N($J961)&gt;0,N($K961)&gt;0),COUNTIFS($J$3:$J961,"&gt;0",$K$3:$K961,"&gt;0"),"")</f>
        <v/>
      </c>
      <c r="V961" s="0" t="str">
        <f aca="false">IF(AND(N($J961)&gt;0,N($K961)=0),COUNTIFS($J$3:$J961,"&gt;0",$K$3:$K961,"&lt;=0"),"")</f>
        <v/>
      </c>
      <c r="W961" s="0" t="str">
        <f aca="false">IF($C961="","",IF(COUNTIF($C$3:$C961,$C961)&gt;1,"",MAX($W$2:W960)+1))</f>
        <v/>
      </c>
      <c r="X961" s="0" t="str">
        <f aca="false">IF($H961="","",IF(COUNTIF($H$3:$H961,$H961)&gt;1,"",MAX($X$2:X960)+1))</f>
        <v/>
      </c>
      <c r="Y961" s="0" t="str">
        <f aca="false">IF(AND(N($M961)&gt;0,N($O961)&lt;=0),COUNTIFS($M$3:$M961,"&gt;0",$O$3:$O961,"&lt;=0"),"")</f>
        <v/>
      </c>
      <c r="Z961" s="30" t="n">
        <f aca="false">IF(OR('THÁNG 12'!$C68="",'THÁNG 12'!$B68=""),0,'THÁNG 12'!$B68)</f>
        <v>0</v>
      </c>
    </row>
    <row r="962" customFormat="false" ht="15" hidden="false" customHeight="false" outlineLevel="0" collapsed="false">
      <c r="A962" s="0" t="n">
        <v>12</v>
      </c>
      <c r="B962" s="29" t="str">
        <f aca="false">IF(OR('THÁNG 12'!$C69="",'THÁNG 12'!$B69=""),"",'THÁNG 12'!$B69)</f>
        <v/>
      </c>
      <c r="C962" s="0" t="str">
        <f aca="false">IF('THÁNG 12'!$C69="","",'THÁNG 12'!$C69)</f>
        <v/>
      </c>
      <c r="D962" s="0" t="str">
        <f aca="false">IF('THÁNG 12'!$C69="","",'THÁNG 12'!$D69&amp;"")</f>
        <v/>
      </c>
      <c r="E962" s="0" t="str">
        <f aca="false">IF('THÁNG 12'!$C69="","",'THÁNG 12'!$E69&amp;"")</f>
        <v/>
      </c>
      <c r="F962" s="0" t="str">
        <f aca="false">IF('THÁNG 12'!$C69="","",'THÁNG 12'!$F69&amp;"")</f>
        <v/>
      </c>
      <c r="G962" s="0" t="str">
        <f aca="false">IF('THÁNG 12'!$C69="","",'THÁNG 12'!$G69&amp;"")</f>
        <v/>
      </c>
      <c r="H962" s="0" t="str">
        <f aca="false">IF('THÁNG 12'!$C69="","",'THÁNG 12'!$H69&amp;"")</f>
        <v/>
      </c>
      <c r="I962" s="0" t="str">
        <f aca="false">IF('THÁNG 12'!$C69="","",N('THÁNG 12'!$I69))</f>
        <v/>
      </c>
      <c r="J962" s="0" t="str">
        <f aca="false">IF('THÁNG 12'!$C69="","",N('THÁNG 12'!$L69))</f>
        <v/>
      </c>
      <c r="K962" s="0" t="str">
        <f aca="false">IF('THÁNG 12'!$C69="","",N('THÁNG 12'!$N69))</f>
        <v/>
      </c>
      <c r="L962" s="0" t="str">
        <f aca="false">IF('THÁNG 12'!$C69="","",N('THÁNG 12'!$O69))</f>
        <v/>
      </c>
      <c r="M962" s="0" t="str">
        <f aca="false">IF('THÁNG 12'!$C69="","",N('THÁNG 12'!$P69))</f>
        <v/>
      </c>
      <c r="N962" s="0" t="str">
        <f aca="false">IF('THÁNG 12'!$C69="","",N('THÁNG 12'!$Q69))</f>
        <v/>
      </c>
      <c r="O962" s="0" t="str">
        <f aca="false">IF('THÁNG 12'!$C69="","",N('THÁNG 12'!$R69))</f>
        <v/>
      </c>
      <c r="P962" s="0" t="str">
        <f aca="false">IF(OR('THÁNG 12'!$C69="",'THÁNG 12'!$T69=""),"",'THÁNG 12'!$T69)</f>
        <v/>
      </c>
      <c r="Q962" s="0" t="str">
        <f aca="false">IF(OR('THÁNG 12'!$C69="",'THÁNG 12'!$U69=""),"",'THÁNG 12'!$U69)</f>
        <v/>
      </c>
      <c r="R962" s="0" t="str">
        <f aca="false">IF('THÁNG 12'!$C69="","",'THÁNG 12'!$W69&amp;"")</f>
        <v/>
      </c>
      <c r="S962" s="0" t="str">
        <f aca="false">IF('THÁNG 12'!$C69="","",'THÁNG 12'!$S69&amp;"")</f>
        <v/>
      </c>
      <c r="T962" s="0" t="str">
        <f aca="false">IF(N($O962)&gt;0,COUNTIF($O$3:$O962,"&gt;0"),"")</f>
        <v/>
      </c>
      <c r="U962" s="0" t="str">
        <f aca="false">IF(AND(N($J962)&gt;0,N($K962)&gt;0),COUNTIFS($J$3:$J962,"&gt;0",$K$3:$K962,"&gt;0"),"")</f>
        <v/>
      </c>
      <c r="V962" s="0" t="str">
        <f aca="false">IF(AND(N($J962)&gt;0,N($K962)=0),COUNTIFS($J$3:$J962,"&gt;0",$K$3:$K962,"&lt;=0"),"")</f>
        <v/>
      </c>
      <c r="W962" s="0" t="str">
        <f aca="false">IF($C962="","",IF(COUNTIF($C$3:$C962,$C962)&gt;1,"",MAX($W$2:W961)+1))</f>
        <v/>
      </c>
      <c r="X962" s="0" t="str">
        <f aca="false">IF($H962="","",IF(COUNTIF($H$3:$H962,$H962)&gt;1,"",MAX($X$2:X961)+1))</f>
        <v/>
      </c>
      <c r="Y962" s="0" t="str">
        <f aca="false">IF(AND(N($M962)&gt;0,N($O962)&lt;=0),COUNTIFS($M$3:$M962,"&gt;0",$O$3:$O962,"&lt;=0"),"")</f>
        <v/>
      </c>
      <c r="Z962" s="30" t="n">
        <f aca="false">IF(OR('THÁNG 12'!$C69="",'THÁNG 12'!$B69=""),0,'THÁNG 12'!$B69)</f>
        <v>0</v>
      </c>
    </row>
    <row r="963" customFormat="false" ht="15" hidden="false" customHeight="false" outlineLevel="0" collapsed="false">
      <c r="A963" s="0" t="n">
        <v>12</v>
      </c>
      <c r="B963" s="29" t="str">
        <f aca="false">IF(OR('THÁNG 12'!$C70="",'THÁNG 12'!$B70=""),"",'THÁNG 12'!$B70)</f>
        <v/>
      </c>
      <c r="C963" s="0" t="str">
        <f aca="false">IF('THÁNG 12'!$C70="","",'THÁNG 12'!$C70)</f>
        <v/>
      </c>
      <c r="D963" s="0" t="str">
        <f aca="false">IF('THÁNG 12'!$C70="","",'THÁNG 12'!$D70&amp;"")</f>
        <v/>
      </c>
      <c r="E963" s="0" t="str">
        <f aca="false">IF('THÁNG 12'!$C70="","",'THÁNG 12'!$E70&amp;"")</f>
        <v/>
      </c>
      <c r="F963" s="0" t="str">
        <f aca="false">IF('THÁNG 12'!$C70="","",'THÁNG 12'!$F70&amp;"")</f>
        <v/>
      </c>
      <c r="G963" s="0" t="str">
        <f aca="false">IF('THÁNG 12'!$C70="","",'THÁNG 12'!$G70&amp;"")</f>
        <v/>
      </c>
      <c r="H963" s="0" t="str">
        <f aca="false">IF('THÁNG 12'!$C70="","",'THÁNG 12'!$H70&amp;"")</f>
        <v/>
      </c>
      <c r="I963" s="0" t="str">
        <f aca="false">IF('THÁNG 12'!$C70="","",N('THÁNG 12'!$I70))</f>
        <v/>
      </c>
      <c r="J963" s="0" t="str">
        <f aca="false">IF('THÁNG 12'!$C70="","",N('THÁNG 12'!$L70))</f>
        <v/>
      </c>
      <c r="K963" s="0" t="str">
        <f aca="false">IF('THÁNG 12'!$C70="","",N('THÁNG 12'!$N70))</f>
        <v/>
      </c>
      <c r="L963" s="0" t="str">
        <f aca="false">IF('THÁNG 12'!$C70="","",N('THÁNG 12'!$O70))</f>
        <v/>
      </c>
      <c r="M963" s="0" t="str">
        <f aca="false">IF('THÁNG 12'!$C70="","",N('THÁNG 12'!$P70))</f>
        <v/>
      </c>
      <c r="N963" s="0" t="str">
        <f aca="false">IF('THÁNG 12'!$C70="","",N('THÁNG 12'!$Q70))</f>
        <v/>
      </c>
      <c r="O963" s="0" t="str">
        <f aca="false">IF('THÁNG 12'!$C70="","",N('THÁNG 12'!$R70))</f>
        <v/>
      </c>
      <c r="P963" s="0" t="str">
        <f aca="false">IF(OR('THÁNG 12'!$C70="",'THÁNG 12'!$T70=""),"",'THÁNG 12'!$T70)</f>
        <v/>
      </c>
      <c r="Q963" s="0" t="str">
        <f aca="false">IF(OR('THÁNG 12'!$C70="",'THÁNG 12'!$U70=""),"",'THÁNG 12'!$U70)</f>
        <v/>
      </c>
      <c r="R963" s="0" t="str">
        <f aca="false">IF('THÁNG 12'!$C70="","",'THÁNG 12'!$W70&amp;"")</f>
        <v/>
      </c>
      <c r="S963" s="0" t="str">
        <f aca="false">IF('THÁNG 12'!$C70="","",'THÁNG 12'!$S70&amp;"")</f>
        <v/>
      </c>
      <c r="T963" s="0" t="str">
        <f aca="false">IF(N($O963)&gt;0,COUNTIF($O$3:$O963,"&gt;0"),"")</f>
        <v/>
      </c>
      <c r="U963" s="0" t="str">
        <f aca="false">IF(AND(N($J963)&gt;0,N($K963)&gt;0),COUNTIFS($J$3:$J963,"&gt;0",$K$3:$K963,"&gt;0"),"")</f>
        <v/>
      </c>
      <c r="V963" s="0" t="str">
        <f aca="false">IF(AND(N($J963)&gt;0,N($K963)=0),COUNTIFS($J$3:$J963,"&gt;0",$K$3:$K963,"&lt;=0"),"")</f>
        <v/>
      </c>
      <c r="W963" s="0" t="str">
        <f aca="false">IF($C963="","",IF(COUNTIF($C$3:$C963,$C963)&gt;1,"",MAX($W$2:W962)+1))</f>
        <v/>
      </c>
      <c r="X963" s="0" t="str">
        <f aca="false">IF($H963="","",IF(COUNTIF($H$3:$H963,$H963)&gt;1,"",MAX($X$2:X962)+1))</f>
        <v/>
      </c>
      <c r="Y963" s="0" t="str">
        <f aca="false">IF(AND(N($M963)&gt;0,N($O963)&lt;=0),COUNTIFS($M$3:$M963,"&gt;0",$O$3:$O963,"&lt;=0"),"")</f>
        <v/>
      </c>
      <c r="Z963" s="30" t="n">
        <f aca="false">IF(OR('THÁNG 12'!$C70="",'THÁNG 12'!$B70=""),0,'THÁNG 12'!$B70)</f>
        <v>0</v>
      </c>
    </row>
    <row r="964" customFormat="false" ht="15" hidden="false" customHeight="false" outlineLevel="0" collapsed="false">
      <c r="A964" s="0" t="n">
        <v>12</v>
      </c>
      <c r="B964" s="29" t="str">
        <f aca="false">IF(OR('THÁNG 12'!$C71="",'THÁNG 12'!$B71=""),"",'THÁNG 12'!$B71)</f>
        <v/>
      </c>
      <c r="C964" s="0" t="str">
        <f aca="false">IF('THÁNG 12'!$C71="","",'THÁNG 12'!$C71)</f>
        <v/>
      </c>
      <c r="D964" s="0" t="str">
        <f aca="false">IF('THÁNG 12'!$C71="","",'THÁNG 12'!$D71&amp;"")</f>
        <v/>
      </c>
      <c r="E964" s="0" t="str">
        <f aca="false">IF('THÁNG 12'!$C71="","",'THÁNG 12'!$E71&amp;"")</f>
        <v/>
      </c>
      <c r="F964" s="0" t="str">
        <f aca="false">IF('THÁNG 12'!$C71="","",'THÁNG 12'!$F71&amp;"")</f>
        <v/>
      </c>
      <c r="G964" s="0" t="str">
        <f aca="false">IF('THÁNG 12'!$C71="","",'THÁNG 12'!$G71&amp;"")</f>
        <v/>
      </c>
      <c r="H964" s="0" t="str">
        <f aca="false">IF('THÁNG 12'!$C71="","",'THÁNG 12'!$H71&amp;"")</f>
        <v/>
      </c>
      <c r="I964" s="0" t="str">
        <f aca="false">IF('THÁNG 12'!$C71="","",N('THÁNG 12'!$I71))</f>
        <v/>
      </c>
      <c r="J964" s="0" t="str">
        <f aca="false">IF('THÁNG 12'!$C71="","",N('THÁNG 12'!$L71))</f>
        <v/>
      </c>
      <c r="K964" s="0" t="str">
        <f aca="false">IF('THÁNG 12'!$C71="","",N('THÁNG 12'!$N71))</f>
        <v/>
      </c>
      <c r="L964" s="0" t="str">
        <f aca="false">IF('THÁNG 12'!$C71="","",N('THÁNG 12'!$O71))</f>
        <v/>
      </c>
      <c r="M964" s="0" t="str">
        <f aca="false">IF('THÁNG 12'!$C71="","",N('THÁNG 12'!$P71))</f>
        <v/>
      </c>
      <c r="N964" s="0" t="str">
        <f aca="false">IF('THÁNG 12'!$C71="","",N('THÁNG 12'!$Q71))</f>
        <v/>
      </c>
      <c r="O964" s="0" t="str">
        <f aca="false">IF('THÁNG 12'!$C71="","",N('THÁNG 12'!$R71))</f>
        <v/>
      </c>
      <c r="P964" s="0" t="str">
        <f aca="false">IF(OR('THÁNG 12'!$C71="",'THÁNG 12'!$T71=""),"",'THÁNG 12'!$T71)</f>
        <v/>
      </c>
      <c r="Q964" s="0" t="str">
        <f aca="false">IF(OR('THÁNG 12'!$C71="",'THÁNG 12'!$U71=""),"",'THÁNG 12'!$U71)</f>
        <v/>
      </c>
      <c r="R964" s="0" t="str">
        <f aca="false">IF('THÁNG 12'!$C71="","",'THÁNG 12'!$W71&amp;"")</f>
        <v/>
      </c>
      <c r="S964" s="0" t="str">
        <f aca="false">IF('THÁNG 12'!$C71="","",'THÁNG 12'!$S71&amp;"")</f>
        <v/>
      </c>
      <c r="T964" s="0" t="str">
        <f aca="false">IF(N($O964)&gt;0,COUNTIF($O$3:$O964,"&gt;0"),"")</f>
        <v/>
      </c>
      <c r="U964" s="0" t="str">
        <f aca="false">IF(AND(N($J964)&gt;0,N($K964)&gt;0),COUNTIFS($J$3:$J964,"&gt;0",$K$3:$K964,"&gt;0"),"")</f>
        <v/>
      </c>
      <c r="V964" s="0" t="str">
        <f aca="false">IF(AND(N($J964)&gt;0,N($K964)=0),COUNTIFS($J$3:$J964,"&gt;0",$K$3:$K964,"&lt;=0"),"")</f>
        <v/>
      </c>
      <c r="W964" s="0" t="str">
        <f aca="false">IF($C964="","",IF(COUNTIF($C$3:$C964,$C964)&gt;1,"",MAX($W$2:W963)+1))</f>
        <v/>
      </c>
      <c r="X964" s="0" t="str">
        <f aca="false">IF($H964="","",IF(COUNTIF($H$3:$H964,$H964)&gt;1,"",MAX($X$2:X963)+1))</f>
        <v/>
      </c>
      <c r="Y964" s="0" t="str">
        <f aca="false">IF(AND(N($M964)&gt;0,N($O964)&lt;=0),COUNTIFS($M$3:$M964,"&gt;0",$O$3:$O964,"&lt;=0"),"")</f>
        <v/>
      </c>
      <c r="Z964" s="30" t="n">
        <f aca="false">IF(OR('THÁNG 12'!$C71="",'THÁNG 12'!$B71=""),0,'THÁNG 12'!$B71)</f>
        <v>0</v>
      </c>
    </row>
    <row r="965" customFormat="false" ht="15" hidden="false" customHeight="false" outlineLevel="0" collapsed="false">
      <c r="A965" s="0" t="n">
        <v>12</v>
      </c>
      <c r="B965" s="29" t="str">
        <f aca="false">IF(OR('THÁNG 12'!$C72="",'THÁNG 12'!$B72=""),"",'THÁNG 12'!$B72)</f>
        <v/>
      </c>
      <c r="C965" s="0" t="str">
        <f aca="false">IF('THÁNG 12'!$C72="","",'THÁNG 12'!$C72)</f>
        <v/>
      </c>
      <c r="D965" s="0" t="str">
        <f aca="false">IF('THÁNG 12'!$C72="","",'THÁNG 12'!$D72&amp;"")</f>
        <v/>
      </c>
      <c r="E965" s="0" t="str">
        <f aca="false">IF('THÁNG 12'!$C72="","",'THÁNG 12'!$E72&amp;"")</f>
        <v/>
      </c>
      <c r="F965" s="0" t="str">
        <f aca="false">IF('THÁNG 12'!$C72="","",'THÁNG 12'!$F72&amp;"")</f>
        <v/>
      </c>
      <c r="G965" s="0" t="str">
        <f aca="false">IF('THÁNG 12'!$C72="","",'THÁNG 12'!$G72&amp;"")</f>
        <v/>
      </c>
      <c r="H965" s="0" t="str">
        <f aca="false">IF('THÁNG 12'!$C72="","",'THÁNG 12'!$H72&amp;"")</f>
        <v/>
      </c>
      <c r="I965" s="0" t="str">
        <f aca="false">IF('THÁNG 12'!$C72="","",N('THÁNG 12'!$I72))</f>
        <v/>
      </c>
      <c r="J965" s="0" t="str">
        <f aca="false">IF('THÁNG 12'!$C72="","",N('THÁNG 12'!$L72))</f>
        <v/>
      </c>
      <c r="K965" s="0" t="str">
        <f aca="false">IF('THÁNG 12'!$C72="","",N('THÁNG 12'!$N72))</f>
        <v/>
      </c>
      <c r="L965" s="0" t="str">
        <f aca="false">IF('THÁNG 12'!$C72="","",N('THÁNG 12'!$O72))</f>
        <v/>
      </c>
      <c r="M965" s="0" t="str">
        <f aca="false">IF('THÁNG 12'!$C72="","",N('THÁNG 12'!$P72))</f>
        <v/>
      </c>
      <c r="N965" s="0" t="str">
        <f aca="false">IF('THÁNG 12'!$C72="","",N('THÁNG 12'!$Q72))</f>
        <v/>
      </c>
      <c r="O965" s="0" t="str">
        <f aca="false">IF('THÁNG 12'!$C72="","",N('THÁNG 12'!$R72))</f>
        <v/>
      </c>
      <c r="P965" s="0" t="str">
        <f aca="false">IF(OR('THÁNG 12'!$C72="",'THÁNG 12'!$T72=""),"",'THÁNG 12'!$T72)</f>
        <v/>
      </c>
      <c r="Q965" s="0" t="str">
        <f aca="false">IF(OR('THÁNG 12'!$C72="",'THÁNG 12'!$U72=""),"",'THÁNG 12'!$U72)</f>
        <v/>
      </c>
      <c r="R965" s="0" t="str">
        <f aca="false">IF('THÁNG 12'!$C72="","",'THÁNG 12'!$W72&amp;"")</f>
        <v/>
      </c>
      <c r="S965" s="0" t="str">
        <f aca="false">IF('THÁNG 12'!$C72="","",'THÁNG 12'!$S72&amp;"")</f>
        <v/>
      </c>
      <c r="T965" s="0" t="str">
        <f aca="false">IF(N($O965)&gt;0,COUNTIF($O$3:$O965,"&gt;0"),"")</f>
        <v/>
      </c>
      <c r="U965" s="0" t="str">
        <f aca="false">IF(AND(N($J965)&gt;0,N($K965)&gt;0),COUNTIFS($J$3:$J965,"&gt;0",$K$3:$K965,"&gt;0"),"")</f>
        <v/>
      </c>
      <c r="V965" s="0" t="str">
        <f aca="false">IF(AND(N($J965)&gt;0,N($K965)=0),COUNTIFS($J$3:$J965,"&gt;0",$K$3:$K965,"&lt;=0"),"")</f>
        <v/>
      </c>
      <c r="W965" s="0" t="str">
        <f aca="false">IF($C965="","",IF(COUNTIF($C$3:$C965,$C965)&gt;1,"",MAX($W$2:W964)+1))</f>
        <v/>
      </c>
      <c r="X965" s="0" t="str">
        <f aca="false">IF($H965="","",IF(COUNTIF($H$3:$H965,$H965)&gt;1,"",MAX($X$2:X964)+1))</f>
        <v/>
      </c>
      <c r="Y965" s="0" t="str">
        <f aca="false">IF(AND(N($M965)&gt;0,N($O965)&lt;=0),COUNTIFS($M$3:$M965,"&gt;0",$O$3:$O965,"&lt;=0"),"")</f>
        <v/>
      </c>
      <c r="Z965" s="30" t="n">
        <f aca="false">IF(OR('THÁNG 12'!$C72="",'THÁNG 12'!$B72=""),0,'THÁNG 12'!$B72)</f>
        <v>0</v>
      </c>
    </row>
    <row r="966" customFormat="false" ht="15" hidden="false" customHeight="false" outlineLevel="0" collapsed="false">
      <c r="A966" s="0" t="n">
        <v>12</v>
      </c>
      <c r="B966" s="29" t="str">
        <f aca="false">IF(OR('THÁNG 12'!$C73="",'THÁNG 12'!$B73=""),"",'THÁNG 12'!$B73)</f>
        <v/>
      </c>
      <c r="C966" s="0" t="str">
        <f aca="false">IF('THÁNG 12'!$C73="","",'THÁNG 12'!$C73)</f>
        <v/>
      </c>
      <c r="D966" s="0" t="str">
        <f aca="false">IF('THÁNG 12'!$C73="","",'THÁNG 12'!$D73&amp;"")</f>
        <v/>
      </c>
      <c r="E966" s="0" t="str">
        <f aca="false">IF('THÁNG 12'!$C73="","",'THÁNG 12'!$E73&amp;"")</f>
        <v/>
      </c>
      <c r="F966" s="0" t="str">
        <f aca="false">IF('THÁNG 12'!$C73="","",'THÁNG 12'!$F73&amp;"")</f>
        <v/>
      </c>
      <c r="G966" s="0" t="str">
        <f aca="false">IF('THÁNG 12'!$C73="","",'THÁNG 12'!$G73&amp;"")</f>
        <v/>
      </c>
      <c r="H966" s="0" t="str">
        <f aca="false">IF('THÁNG 12'!$C73="","",'THÁNG 12'!$H73&amp;"")</f>
        <v/>
      </c>
      <c r="I966" s="0" t="str">
        <f aca="false">IF('THÁNG 12'!$C73="","",N('THÁNG 12'!$I73))</f>
        <v/>
      </c>
      <c r="J966" s="0" t="str">
        <f aca="false">IF('THÁNG 12'!$C73="","",N('THÁNG 12'!$L73))</f>
        <v/>
      </c>
      <c r="K966" s="0" t="str">
        <f aca="false">IF('THÁNG 12'!$C73="","",N('THÁNG 12'!$N73))</f>
        <v/>
      </c>
      <c r="L966" s="0" t="str">
        <f aca="false">IF('THÁNG 12'!$C73="","",N('THÁNG 12'!$O73))</f>
        <v/>
      </c>
      <c r="M966" s="0" t="str">
        <f aca="false">IF('THÁNG 12'!$C73="","",N('THÁNG 12'!$P73))</f>
        <v/>
      </c>
      <c r="N966" s="0" t="str">
        <f aca="false">IF('THÁNG 12'!$C73="","",N('THÁNG 12'!$Q73))</f>
        <v/>
      </c>
      <c r="O966" s="0" t="str">
        <f aca="false">IF('THÁNG 12'!$C73="","",N('THÁNG 12'!$R73))</f>
        <v/>
      </c>
      <c r="P966" s="0" t="str">
        <f aca="false">IF(OR('THÁNG 12'!$C73="",'THÁNG 12'!$T73=""),"",'THÁNG 12'!$T73)</f>
        <v/>
      </c>
      <c r="Q966" s="0" t="str">
        <f aca="false">IF(OR('THÁNG 12'!$C73="",'THÁNG 12'!$U73=""),"",'THÁNG 12'!$U73)</f>
        <v/>
      </c>
      <c r="R966" s="0" t="str">
        <f aca="false">IF('THÁNG 12'!$C73="","",'THÁNG 12'!$W73&amp;"")</f>
        <v/>
      </c>
      <c r="S966" s="0" t="str">
        <f aca="false">IF('THÁNG 12'!$C73="","",'THÁNG 12'!$S73&amp;"")</f>
        <v/>
      </c>
      <c r="T966" s="0" t="str">
        <f aca="false">IF(N($O966)&gt;0,COUNTIF($O$3:$O966,"&gt;0"),"")</f>
        <v/>
      </c>
      <c r="U966" s="0" t="str">
        <f aca="false">IF(AND(N($J966)&gt;0,N($K966)&gt;0),COUNTIFS($J$3:$J966,"&gt;0",$K$3:$K966,"&gt;0"),"")</f>
        <v/>
      </c>
      <c r="V966" s="0" t="str">
        <f aca="false">IF(AND(N($J966)&gt;0,N($K966)=0),COUNTIFS($J$3:$J966,"&gt;0",$K$3:$K966,"&lt;=0"),"")</f>
        <v/>
      </c>
      <c r="W966" s="0" t="str">
        <f aca="false">IF($C966="","",IF(COUNTIF($C$3:$C966,$C966)&gt;1,"",MAX($W$2:W965)+1))</f>
        <v/>
      </c>
      <c r="X966" s="0" t="str">
        <f aca="false">IF($H966="","",IF(COUNTIF($H$3:$H966,$H966)&gt;1,"",MAX($X$2:X965)+1))</f>
        <v/>
      </c>
      <c r="Y966" s="0" t="str">
        <f aca="false">IF(AND(N($M966)&gt;0,N($O966)&lt;=0),COUNTIFS($M$3:$M966,"&gt;0",$O$3:$O966,"&lt;=0"),"")</f>
        <v/>
      </c>
      <c r="Z966" s="30" t="n">
        <f aca="false">IF(OR('THÁNG 12'!$C73="",'THÁNG 12'!$B73=""),0,'THÁNG 12'!$B73)</f>
        <v>0</v>
      </c>
    </row>
    <row r="967" customFormat="false" ht="15" hidden="false" customHeight="false" outlineLevel="0" collapsed="false">
      <c r="A967" s="0" t="n">
        <v>12</v>
      </c>
      <c r="B967" s="29" t="str">
        <f aca="false">IF(OR('THÁNG 12'!$C74="",'THÁNG 12'!$B74=""),"",'THÁNG 12'!$B74)</f>
        <v/>
      </c>
      <c r="C967" s="0" t="str">
        <f aca="false">IF('THÁNG 12'!$C74="","",'THÁNG 12'!$C74)</f>
        <v/>
      </c>
      <c r="D967" s="0" t="str">
        <f aca="false">IF('THÁNG 12'!$C74="","",'THÁNG 12'!$D74&amp;"")</f>
        <v/>
      </c>
      <c r="E967" s="0" t="str">
        <f aca="false">IF('THÁNG 12'!$C74="","",'THÁNG 12'!$E74&amp;"")</f>
        <v/>
      </c>
      <c r="F967" s="0" t="str">
        <f aca="false">IF('THÁNG 12'!$C74="","",'THÁNG 12'!$F74&amp;"")</f>
        <v/>
      </c>
      <c r="G967" s="0" t="str">
        <f aca="false">IF('THÁNG 12'!$C74="","",'THÁNG 12'!$G74&amp;"")</f>
        <v/>
      </c>
      <c r="H967" s="0" t="str">
        <f aca="false">IF('THÁNG 12'!$C74="","",'THÁNG 12'!$H74&amp;"")</f>
        <v/>
      </c>
      <c r="I967" s="0" t="str">
        <f aca="false">IF('THÁNG 12'!$C74="","",N('THÁNG 12'!$I74))</f>
        <v/>
      </c>
      <c r="J967" s="0" t="str">
        <f aca="false">IF('THÁNG 12'!$C74="","",N('THÁNG 12'!$L74))</f>
        <v/>
      </c>
      <c r="K967" s="0" t="str">
        <f aca="false">IF('THÁNG 12'!$C74="","",N('THÁNG 12'!$N74))</f>
        <v/>
      </c>
      <c r="L967" s="0" t="str">
        <f aca="false">IF('THÁNG 12'!$C74="","",N('THÁNG 12'!$O74))</f>
        <v/>
      </c>
      <c r="M967" s="0" t="str">
        <f aca="false">IF('THÁNG 12'!$C74="","",N('THÁNG 12'!$P74))</f>
        <v/>
      </c>
      <c r="N967" s="0" t="str">
        <f aca="false">IF('THÁNG 12'!$C74="","",N('THÁNG 12'!$Q74))</f>
        <v/>
      </c>
      <c r="O967" s="0" t="str">
        <f aca="false">IF('THÁNG 12'!$C74="","",N('THÁNG 12'!$R74))</f>
        <v/>
      </c>
      <c r="P967" s="0" t="str">
        <f aca="false">IF(OR('THÁNG 12'!$C74="",'THÁNG 12'!$T74=""),"",'THÁNG 12'!$T74)</f>
        <v/>
      </c>
      <c r="Q967" s="0" t="str">
        <f aca="false">IF(OR('THÁNG 12'!$C74="",'THÁNG 12'!$U74=""),"",'THÁNG 12'!$U74)</f>
        <v/>
      </c>
      <c r="R967" s="0" t="str">
        <f aca="false">IF('THÁNG 12'!$C74="","",'THÁNG 12'!$W74&amp;"")</f>
        <v/>
      </c>
      <c r="S967" s="0" t="str">
        <f aca="false">IF('THÁNG 12'!$C74="","",'THÁNG 12'!$S74&amp;"")</f>
        <v/>
      </c>
      <c r="T967" s="0" t="str">
        <f aca="false">IF(N($O967)&gt;0,COUNTIF($O$3:$O967,"&gt;0"),"")</f>
        <v/>
      </c>
      <c r="U967" s="0" t="str">
        <f aca="false">IF(AND(N($J967)&gt;0,N($K967)&gt;0),COUNTIFS($J$3:$J967,"&gt;0",$K$3:$K967,"&gt;0"),"")</f>
        <v/>
      </c>
      <c r="V967" s="0" t="str">
        <f aca="false">IF(AND(N($J967)&gt;0,N($K967)=0),COUNTIFS($J$3:$J967,"&gt;0",$K$3:$K967,"&lt;=0"),"")</f>
        <v/>
      </c>
      <c r="W967" s="0" t="str">
        <f aca="false">IF($C967="","",IF(COUNTIF($C$3:$C967,$C967)&gt;1,"",MAX($W$2:W966)+1))</f>
        <v/>
      </c>
      <c r="X967" s="0" t="str">
        <f aca="false">IF($H967="","",IF(COUNTIF($H$3:$H967,$H967)&gt;1,"",MAX($X$2:X966)+1))</f>
        <v/>
      </c>
      <c r="Y967" s="0" t="str">
        <f aca="false">IF(AND(N($M967)&gt;0,N($O967)&lt;=0),COUNTIFS($M$3:$M967,"&gt;0",$O$3:$O967,"&lt;=0"),"")</f>
        <v/>
      </c>
      <c r="Z967" s="30" t="n">
        <f aca="false">IF(OR('THÁNG 12'!$C74="",'THÁNG 12'!$B74=""),0,'THÁNG 12'!$B74)</f>
        <v>0</v>
      </c>
    </row>
    <row r="968" customFormat="false" ht="15" hidden="false" customHeight="false" outlineLevel="0" collapsed="false">
      <c r="A968" s="0" t="n">
        <v>12</v>
      </c>
      <c r="B968" s="29" t="str">
        <f aca="false">IF(OR('THÁNG 12'!$C75="",'THÁNG 12'!$B75=""),"",'THÁNG 12'!$B75)</f>
        <v/>
      </c>
      <c r="C968" s="0" t="str">
        <f aca="false">IF('THÁNG 12'!$C75="","",'THÁNG 12'!$C75)</f>
        <v/>
      </c>
      <c r="D968" s="0" t="str">
        <f aca="false">IF('THÁNG 12'!$C75="","",'THÁNG 12'!$D75&amp;"")</f>
        <v/>
      </c>
      <c r="E968" s="0" t="str">
        <f aca="false">IF('THÁNG 12'!$C75="","",'THÁNG 12'!$E75&amp;"")</f>
        <v/>
      </c>
      <c r="F968" s="0" t="str">
        <f aca="false">IF('THÁNG 12'!$C75="","",'THÁNG 12'!$F75&amp;"")</f>
        <v/>
      </c>
      <c r="G968" s="0" t="str">
        <f aca="false">IF('THÁNG 12'!$C75="","",'THÁNG 12'!$G75&amp;"")</f>
        <v/>
      </c>
      <c r="H968" s="0" t="str">
        <f aca="false">IF('THÁNG 12'!$C75="","",'THÁNG 12'!$H75&amp;"")</f>
        <v/>
      </c>
      <c r="I968" s="0" t="str">
        <f aca="false">IF('THÁNG 12'!$C75="","",N('THÁNG 12'!$I75))</f>
        <v/>
      </c>
      <c r="J968" s="0" t="str">
        <f aca="false">IF('THÁNG 12'!$C75="","",N('THÁNG 12'!$L75))</f>
        <v/>
      </c>
      <c r="K968" s="0" t="str">
        <f aca="false">IF('THÁNG 12'!$C75="","",N('THÁNG 12'!$N75))</f>
        <v/>
      </c>
      <c r="L968" s="0" t="str">
        <f aca="false">IF('THÁNG 12'!$C75="","",N('THÁNG 12'!$O75))</f>
        <v/>
      </c>
      <c r="M968" s="0" t="str">
        <f aca="false">IF('THÁNG 12'!$C75="","",N('THÁNG 12'!$P75))</f>
        <v/>
      </c>
      <c r="N968" s="0" t="str">
        <f aca="false">IF('THÁNG 12'!$C75="","",N('THÁNG 12'!$Q75))</f>
        <v/>
      </c>
      <c r="O968" s="0" t="str">
        <f aca="false">IF('THÁNG 12'!$C75="","",N('THÁNG 12'!$R75))</f>
        <v/>
      </c>
      <c r="P968" s="0" t="str">
        <f aca="false">IF(OR('THÁNG 12'!$C75="",'THÁNG 12'!$T75=""),"",'THÁNG 12'!$T75)</f>
        <v/>
      </c>
      <c r="Q968" s="0" t="str">
        <f aca="false">IF(OR('THÁNG 12'!$C75="",'THÁNG 12'!$U75=""),"",'THÁNG 12'!$U75)</f>
        <v/>
      </c>
      <c r="R968" s="0" t="str">
        <f aca="false">IF('THÁNG 12'!$C75="","",'THÁNG 12'!$W75&amp;"")</f>
        <v/>
      </c>
      <c r="S968" s="0" t="str">
        <f aca="false">IF('THÁNG 12'!$C75="","",'THÁNG 12'!$S75&amp;"")</f>
        <v/>
      </c>
      <c r="T968" s="0" t="str">
        <f aca="false">IF(N($O968)&gt;0,COUNTIF($O$3:$O968,"&gt;0"),"")</f>
        <v/>
      </c>
      <c r="U968" s="0" t="str">
        <f aca="false">IF(AND(N($J968)&gt;0,N($K968)&gt;0),COUNTIFS($J$3:$J968,"&gt;0",$K$3:$K968,"&gt;0"),"")</f>
        <v/>
      </c>
      <c r="V968" s="0" t="str">
        <f aca="false">IF(AND(N($J968)&gt;0,N($K968)=0),COUNTIFS($J$3:$J968,"&gt;0",$K$3:$K968,"&lt;=0"),"")</f>
        <v/>
      </c>
      <c r="W968" s="0" t="str">
        <f aca="false">IF($C968="","",IF(COUNTIF($C$3:$C968,$C968)&gt;1,"",MAX($W$2:W967)+1))</f>
        <v/>
      </c>
      <c r="X968" s="0" t="str">
        <f aca="false">IF($H968="","",IF(COUNTIF($H$3:$H968,$H968)&gt;1,"",MAX($X$2:X967)+1))</f>
        <v/>
      </c>
      <c r="Y968" s="0" t="str">
        <f aca="false">IF(AND(N($M968)&gt;0,N($O968)&lt;=0),COUNTIFS($M$3:$M968,"&gt;0",$O$3:$O968,"&lt;=0"),"")</f>
        <v/>
      </c>
      <c r="Z968" s="30" t="n">
        <f aca="false">IF(OR('THÁNG 12'!$C75="",'THÁNG 12'!$B75=""),0,'THÁNG 12'!$B75)</f>
        <v>0</v>
      </c>
    </row>
    <row r="969" customFormat="false" ht="15" hidden="false" customHeight="false" outlineLevel="0" collapsed="false">
      <c r="A969" s="0" t="n">
        <v>12</v>
      </c>
      <c r="B969" s="29" t="str">
        <f aca="false">IF(OR('THÁNG 12'!$C76="",'THÁNG 12'!$B76=""),"",'THÁNG 12'!$B76)</f>
        <v/>
      </c>
      <c r="C969" s="0" t="str">
        <f aca="false">IF('THÁNG 12'!$C76="","",'THÁNG 12'!$C76)</f>
        <v/>
      </c>
      <c r="D969" s="0" t="str">
        <f aca="false">IF('THÁNG 12'!$C76="","",'THÁNG 12'!$D76&amp;"")</f>
        <v/>
      </c>
      <c r="E969" s="0" t="str">
        <f aca="false">IF('THÁNG 12'!$C76="","",'THÁNG 12'!$E76&amp;"")</f>
        <v/>
      </c>
      <c r="F969" s="0" t="str">
        <f aca="false">IF('THÁNG 12'!$C76="","",'THÁNG 12'!$F76&amp;"")</f>
        <v/>
      </c>
      <c r="G969" s="0" t="str">
        <f aca="false">IF('THÁNG 12'!$C76="","",'THÁNG 12'!$G76&amp;"")</f>
        <v/>
      </c>
      <c r="H969" s="0" t="str">
        <f aca="false">IF('THÁNG 12'!$C76="","",'THÁNG 12'!$H76&amp;"")</f>
        <v/>
      </c>
      <c r="I969" s="0" t="str">
        <f aca="false">IF('THÁNG 12'!$C76="","",N('THÁNG 12'!$I76))</f>
        <v/>
      </c>
      <c r="J969" s="0" t="str">
        <f aca="false">IF('THÁNG 12'!$C76="","",N('THÁNG 12'!$L76))</f>
        <v/>
      </c>
      <c r="K969" s="0" t="str">
        <f aca="false">IF('THÁNG 12'!$C76="","",N('THÁNG 12'!$N76))</f>
        <v/>
      </c>
      <c r="L969" s="0" t="str">
        <f aca="false">IF('THÁNG 12'!$C76="","",N('THÁNG 12'!$O76))</f>
        <v/>
      </c>
      <c r="M969" s="0" t="str">
        <f aca="false">IF('THÁNG 12'!$C76="","",N('THÁNG 12'!$P76))</f>
        <v/>
      </c>
      <c r="N969" s="0" t="str">
        <f aca="false">IF('THÁNG 12'!$C76="","",N('THÁNG 12'!$Q76))</f>
        <v/>
      </c>
      <c r="O969" s="0" t="str">
        <f aca="false">IF('THÁNG 12'!$C76="","",N('THÁNG 12'!$R76))</f>
        <v/>
      </c>
      <c r="P969" s="0" t="str">
        <f aca="false">IF(OR('THÁNG 12'!$C76="",'THÁNG 12'!$T76=""),"",'THÁNG 12'!$T76)</f>
        <v/>
      </c>
      <c r="Q969" s="0" t="str">
        <f aca="false">IF(OR('THÁNG 12'!$C76="",'THÁNG 12'!$U76=""),"",'THÁNG 12'!$U76)</f>
        <v/>
      </c>
      <c r="R969" s="0" t="str">
        <f aca="false">IF('THÁNG 12'!$C76="","",'THÁNG 12'!$W76&amp;"")</f>
        <v/>
      </c>
      <c r="S969" s="0" t="str">
        <f aca="false">IF('THÁNG 12'!$C76="","",'THÁNG 12'!$S76&amp;"")</f>
        <v/>
      </c>
      <c r="T969" s="0" t="str">
        <f aca="false">IF(N($O969)&gt;0,COUNTIF($O$3:$O969,"&gt;0"),"")</f>
        <v/>
      </c>
      <c r="U969" s="0" t="str">
        <f aca="false">IF(AND(N($J969)&gt;0,N($K969)&gt;0),COUNTIFS($J$3:$J969,"&gt;0",$K$3:$K969,"&gt;0"),"")</f>
        <v/>
      </c>
      <c r="V969" s="0" t="str">
        <f aca="false">IF(AND(N($J969)&gt;0,N($K969)=0),COUNTIFS($J$3:$J969,"&gt;0",$K$3:$K969,"&lt;=0"),"")</f>
        <v/>
      </c>
      <c r="W969" s="0" t="str">
        <f aca="false">IF($C969="","",IF(COUNTIF($C$3:$C969,$C969)&gt;1,"",MAX($W$2:W968)+1))</f>
        <v/>
      </c>
      <c r="X969" s="0" t="str">
        <f aca="false">IF($H969="","",IF(COUNTIF($H$3:$H969,$H969)&gt;1,"",MAX($X$2:X968)+1))</f>
        <v/>
      </c>
      <c r="Y969" s="0" t="str">
        <f aca="false">IF(AND(N($M969)&gt;0,N($O969)&lt;=0),COUNTIFS($M$3:$M969,"&gt;0",$O$3:$O969,"&lt;=0"),"")</f>
        <v/>
      </c>
      <c r="Z969" s="30" t="n">
        <f aca="false">IF(OR('THÁNG 12'!$C76="",'THÁNG 12'!$B76=""),0,'THÁNG 12'!$B76)</f>
        <v>0</v>
      </c>
    </row>
    <row r="970" customFormat="false" ht="15" hidden="false" customHeight="false" outlineLevel="0" collapsed="false">
      <c r="A970" s="0" t="n">
        <v>12</v>
      </c>
      <c r="B970" s="29" t="str">
        <f aca="false">IF(OR('THÁNG 12'!$C77="",'THÁNG 12'!$B77=""),"",'THÁNG 12'!$B77)</f>
        <v/>
      </c>
      <c r="C970" s="0" t="str">
        <f aca="false">IF('THÁNG 12'!$C77="","",'THÁNG 12'!$C77)</f>
        <v/>
      </c>
      <c r="D970" s="0" t="str">
        <f aca="false">IF('THÁNG 12'!$C77="","",'THÁNG 12'!$D77&amp;"")</f>
        <v/>
      </c>
      <c r="E970" s="0" t="str">
        <f aca="false">IF('THÁNG 12'!$C77="","",'THÁNG 12'!$E77&amp;"")</f>
        <v/>
      </c>
      <c r="F970" s="0" t="str">
        <f aca="false">IF('THÁNG 12'!$C77="","",'THÁNG 12'!$F77&amp;"")</f>
        <v/>
      </c>
      <c r="G970" s="0" t="str">
        <f aca="false">IF('THÁNG 12'!$C77="","",'THÁNG 12'!$G77&amp;"")</f>
        <v/>
      </c>
      <c r="H970" s="0" t="str">
        <f aca="false">IF('THÁNG 12'!$C77="","",'THÁNG 12'!$H77&amp;"")</f>
        <v/>
      </c>
      <c r="I970" s="0" t="str">
        <f aca="false">IF('THÁNG 12'!$C77="","",N('THÁNG 12'!$I77))</f>
        <v/>
      </c>
      <c r="J970" s="0" t="str">
        <f aca="false">IF('THÁNG 12'!$C77="","",N('THÁNG 12'!$L77))</f>
        <v/>
      </c>
      <c r="K970" s="0" t="str">
        <f aca="false">IF('THÁNG 12'!$C77="","",N('THÁNG 12'!$N77))</f>
        <v/>
      </c>
      <c r="L970" s="0" t="str">
        <f aca="false">IF('THÁNG 12'!$C77="","",N('THÁNG 12'!$O77))</f>
        <v/>
      </c>
      <c r="M970" s="0" t="str">
        <f aca="false">IF('THÁNG 12'!$C77="","",N('THÁNG 12'!$P77))</f>
        <v/>
      </c>
      <c r="N970" s="0" t="str">
        <f aca="false">IF('THÁNG 12'!$C77="","",N('THÁNG 12'!$Q77))</f>
        <v/>
      </c>
      <c r="O970" s="0" t="str">
        <f aca="false">IF('THÁNG 12'!$C77="","",N('THÁNG 12'!$R77))</f>
        <v/>
      </c>
      <c r="P970" s="0" t="str">
        <f aca="false">IF(OR('THÁNG 12'!$C77="",'THÁNG 12'!$T77=""),"",'THÁNG 12'!$T77)</f>
        <v/>
      </c>
      <c r="Q970" s="0" t="str">
        <f aca="false">IF(OR('THÁNG 12'!$C77="",'THÁNG 12'!$U77=""),"",'THÁNG 12'!$U77)</f>
        <v/>
      </c>
      <c r="R970" s="0" t="str">
        <f aca="false">IF('THÁNG 12'!$C77="","",'THÁNG 12'!$W77&amp;"")</f>
        <v/>
      </c>
      <c r="S970" s="0" t="str">
        <f aca="false">IF('THÁNG 12'!$C77="","",'THÁNG 12'!$S77&amp;"")</f>
        <v/>
      </c>
      <c r="T970" s="0" t="str">
        <f aca="false">IF(N($O970)&gt;0,COUNTIF($O$3:$O970,"&gt;0"),"")</f>
        <v/>
      </c>
      <c r="U970" s="0" t="str">
        <f aca="false">IF(AND(N($J970)&gt;0,N($K970)&gt;0),COUNTIFS($J$3:$J970,"&gt;0",$K$3:$K970,"&gt;0"),"")</f>
        <v/>
      </c>
      <c r="V970" s="0" t="str">
        <f aca="false">IF(AND(N($J970)&gt;0,N($K970)=0),COUNTIFS($J$3:$J970,"&gt;0",$K$3:$K970,"&lt;=0"),"")</f>
        <v/>
      </c>
      <c r="W970" s="0" t="str">
        <f aca="false">IF($C970="","",IF(COUNTIF($C$3:$C970,$C970)&gt;1,"",MAX($W$2:W969)+1))</f>
        <v/>
      </c>
      <c r="X970" s="0" t="str">
        <f aca="false">IF($H970="","",IF(COUNTIF($H$3:$H970,$H970)&gt;1,"",MAX($X$2:X969)+1))</f>
        <v/>
      </c>
      <c r="Y970" s="0" t="str">
        <f aca="false">IF(AND(N($M970)&gt;0,N($O970)&lt;=0),COUNTIFS($M$3:$M970,"&gt;0",$O$3:$O970,"&lt;=0"),"")</f>
        <v/>
      </c>
      <c r="Z970" s="30" t="n">
        <f aca="false">IF(OR('THÁNG 12'!$C77="",'THÁNG 12'!$B77=""),0,'THÁNG 12'!$B77)</f>
        <v>0</v>
      </c>
    </row>
    <row r="971" customFormat="false" ht="15" hidden="false" customHeight="false" outlineLevel="0" collapsed="false">
      <c r="A971" s="0" t="n">
        <v>12</v>
      </c>
      <c r="B971" s="29" t="str">
        <f aca="false">IF(OR('THÁNG 12'!$C78="",'THÁNG 12'!$B78=""),"",'THÁNG 12'!$B78)</f>
        <v/>
      </c>
      <c r="C971" s="0" t="str">
        <f aca="false">IF('THÁNG 12'!$C78="","",'THÁNG 12'!$C78)</f>
        <v/>
      </c>
      <c r="D971" s="0" t="str">
        <f aca="false">IF('THÁNG 12'!$C78="","",'THÁNG 12'!$D78&amp;"")</f>
        <v/>
      </c>
      <c r="E971" s="0" t="str">
        <f aca="false">IF('THÁNG 12'!$C78="","",'THÁNG 12'!$E78&amp;"")</f>
        <v/>
      </c>
      <c r="F971" s="0" t="str">
        <f aca="false">IF('THÁNG 12'!$C78="","",'THÁNG 12'!$F78&amp;"")</f>
        <v/>
      </c>
      <c r="G971" s="0" t="str">
        <f aca="false">IF('THÁNG 12'!$C78="","",'THÁNG 12'!$G78&amp;"")</f>
        <v/>
      </c>
      <c r="H971" s="0" t="str">
        <f aca="false">IF('THÁNG 12'!$C78="","",'THÁNG 12'!$H78&amp;"")</f>
        <v/>
      </c>
      <c r="I971" s="0" t="str">
        <f aca="false">IF('THÁNG 12'!$C78="","",N('THÁNG 12'!$I78))</f>
        <v/>
      </c>
      <c r="J971" s="0" t="str">
        <f aca="false">IF('THÁNG 12'!$C78="","",N('THÁNG 12'!$L78))</f>
        <v/>
      </c>
      <c r="K971" s="0" t="str">
        <f aca="false">IF('THÁNG 12'!$C78="","",N('THÁNG 12'!$N78))</f>
        <v/>
      </c>
      <c r="L971" s="0" t="str">
        <f aca="false">IF('THÁNG 12'!$C78="","",N('THÁNG 12'!$O78))</f>
        <v/>
      </c>
      <c r="M971" s="0" t="str">
        <f aca="false">IF('THÁNG 12'!$C78="","",N('THÁNG 12'!$P78))</f>
        <v/>
      </c>
      <c r="N971" s="0" t="str">
        <f aca="false">IF('THÁNG 12'!$C78="","",N('THÁNG 12'!$Q78))</f>
        <v/>
      </c>
      <c r="O971" s="0" t="str">
        <f aca="false">IF('THÁNG 12'!$C78="","",N('THÁNG 12'!$R78))</f>
        <v/>
      </c>
      <c r="P971" s="0" t="str">
        <f aca="false">IF(OR('THÁNG 12'!$C78="",'THÁNG 12'!$T78=""),"",'THÁNG 12'!$T78)</f>
        <v/>
      </c>
      <c r="Q971" s="0" t="str">
        <f aca="false">IF(OR('THÁNG 12'!$C78="",'THÁNG 12'!$U78=""),"",'THÁNG 12'!$U78)</f>
        <v/>
      </c>
      <c r="R971" s="0" t="str">
        <f aca="false">IF('THÁNG 12'!$C78="","",'THÁNG 12'!$W78&amp;"")</f>
        <v/>
      </c>
      <c r="S971" s="0" t="str">
        <f aca="false">IF('THÁNG 12'!$C78="","",'THÁNG 12'!$S78&amp;"")</f>
        <v/>
      </c>
      <c r="T971" s="0" t="str">
        <f aca="false">IF(N($O971)&gt;0,COUNTIF($O$3:$O971,"&gt;0"),"")</f>
        <v/>
      </c>
      <c r="U971" s="0" t="str">
        <f aca="false">IF(AND(N($J971)&gt;0,N($K971)&gt;0),COUNTIFS($J$3:$J971,"&gt;0",$K$3:$K971,"&gt;0"),"")</f>
        <v/>
      </c>
      <c r="V971" s="0" t="str">
        <f aca="false">IF(AND(N($J971)&gt;0,N($K971)=0),COUNTIFS($J$3:$J971,"&gt;0",$K$3:$K971,"&lt;=0"),"")</f>
        <v/>
      </c>
      <c r="W971" s="0" t="str">
        <f aca="false">IF($C971="","",IF(COUNTIF($C$3:$C971,$C971)&gt;1,"",MAX($W$2:W970)+1))</f>
        <v/>
      </c>
      <c r="X971" s="0" t="str">
        <f aca="false">IF($H971="","",IF(COUNTIF($H$3:$H971,$H971)&gt;1,"",MAX($X$2:X970)+1))</f>
        <v/>
      </c>
      <c r="Y971" s="0" t="str">
        <f aca="false">IF(AND(N($M971)&gt;0,N($O971)&lt;=0),COUNTIFS($M$3:$M971,"&gt;0",$O$3:$O971,"&lt;=0"),"")</f>
        <v/>
      </c>
      <c r="Z971" s="30" t="n">
        <f aca="false">IF(OR('THÁNG 12'!$C78="",'THÁNG 12'!$B78=""),0,'THÁNG 12'!$B78)</f>
        <v>0</v>
      </c>
    </row>
    <row r="972" customFormat="false" ht="15" hidden="false" customHeight="false" outlineLevel="0" collapsed="false">
      <c r="A972" s="0" t="n">
        <v>12</v>
      </c>
      <c r="B972" s="29" t="str">
        <f aca="false">IF(OR('THÁNG 12'!$C79="",'THÁNG 12'!$B79=""),"",'THÁNG 12'!$B79)</f>
        <v/>
      </c>
      <c r="C972" s="0" t="str">
        <f aca="false">IF('THÁNG 12'!$C79="","",'THÁNG 12'!$C79)</f>
        <v/>
      </c>
      <c r="D972" s="0" t="str">
        <f aca="false">IF('THÁNG 12'!$C79="","",'THÁNG 12'!$D79&amp;"")</f>
        <v/>
      </c>
      <c r="E972" s="0" t="str">
        <f aca="false">IF('THÁNG 12'!$C79="","",'THÁNG 12'!$E79&amp;"")</f>
        <v/>
      </c>
      <c r="F972" s="0" t="str">
        <f aca="false">IF('THÁNG 12'!$C79="","",'THÁNG 12'!$F79&amp;"")</f>
        <v/>
      </c>
      <c r="G972" s="0" t="str">
        <f aca="false">IF('THÁNG 12'!$C79="","",'THÁNG 12'!$G79&amp;"")</f>
        <v/>
      </c>
      <c r="H972" s="0" t="str">
        <f aca="false">IF('THÁNG 12'!$C79="","",'THÁNG 12'!$H79&amp;"")</f>
        <v/>
      </c>
      <c r="I972" s="0" t="str">
        <f aca="false">IF('THÁNG 12'!$C79="","",N('THÁNG 12'!$I79))</f>
        <v/>
      </c>
      <c r="J972" s="0" t="str">
        <f aca="false">IF('THÁNG 12'!$C79="","",N('THÁNG 12'!$L79))</f>
        <v/>
      </c>
      <c r="K972" s="0" t="str">
        <f aca="false">IF('THÁNG 12'!$C79="","",N('THÁNG 12'!$N79))</f>
        <v/>
      </c>
      <c r="L972" s="0" t="str">
        <f aca="false">IF('THÁNG 12'!$C79="","",N('THÁNG 12'!$O79))</f>
        <v/>
      </c>
      <c r="M972" s="0" t="str">
        <f aca="false">IF('THÁNG 12'!$C79="","",N('THÁNG 12'!$P79))</f>
        <v/>
      </c>
      <c r="N972" s="0" t="str">
        <f aca="false">IF('THÁNG 12'!$C79="","",N('THÁNG 12'!$Q79))</f>
        <v/>
      </c>
      <c r="O972" s="0" t="str">
        <f aca="false">IF('THÁNG 12'!$C79="","",N('THÁNG 12'!$R79))</f>
        <v/>
      </c>
      <c r="P972" s="0" t="str">
        <f aca="false">IF(OR('THÁNG 12'!$C79="",'THÁNG 12'!$T79=""),"",'THÁNG 12'!$T79)</f>
        <v/>
      </c>
      <c r="Q972" s="0" t="str">
        <f aca="false">IF(OR('THÁNG 12'!$C79="",'THÁNG 12'!$U79=""),"",'THÁNG 12'!$U79)</f>
        <v/>
      </c>
      <c r="R972" s="0" t="str">
        <f aca="false">IF('THÁNG 12'!$C79="","",'THÁNG 12'!$W79&amp;"")</f>
        <v/>
      </c>
      <c r="S972" s="0" t="str">
        <f aca="false">IF('THÁNG 12'!$C79="","",'THÁNG 12'!$S79&amp;"")</f>
        <v/>
      </c>
      <c r="T972" s="0" t="str">
        <f aca="false">IF(N($O972)&gt;0,COUNTIF($O$3:$O972,"&gt;0"),"")</f>
        <v/>
      </c>
      <c r="U972" s="0" t="str">
        <f aca="false">IF(AND(N($J972)&gt;0,N($K972)&gt;0),COUNTIFS($J$3:$J972,"&gt;0",$K$3:$K972,"&gt;0"),"")</f>
        <v/>
      </c>
      <c r="V972" s="0" t="str">
        <f aca="false">IF(AND(N($J972)&gt;0,N($K972)=0),COUNTIFS($J$3:$J972,"&gt;0",$K$3:$K972,"&lt;=0"),"")</f>
        <v/>
      </c>
      <c r="W972" s="0" t="str">
        <f aca="false">IF($C972="","",IF(COUNTIF($C$3:$C972,$C972)&gt;1,"",MAX($W$2:W971)+1))</f>
        <v/>
      </c>
      <c r="X972" s="0" t="str">
        <f aca="false">IF($H972="","",IF(COUNTIF($H$3:$H972,$H972)&gt;1,"",MAX($X$2:X971)+1))</f>
        <v/>
      </c>
      <c r="Y972" s="0" t="str">
        <f aca="false">IF(AND(N($M972)&gt;0,N($O972)&lt;=0),COUNTIFS($M$3:$M972,"&gt;0",$O$3:$O972,"&lt;=0"),"")</f>
        <v/>
      </c>
      <c r="Z972" s="30" t="n">
        <f aca="false">IF(OR('THÁNG 12'!$C79="",'THÁNG 12'!$B79=""),0,'THÁNG 12'!$B79)</f>
        <v>0</v>
      </c>
    </row>
    <row r="973" customFormat="false" ht="15" hidden="false" customHeight="false" outlineLevel="0" collapsed="false">
      <c r="A973" s="0" t="n">
        <v>12</v>
      </c>
      <c r="B973" s="29" t="str">
        <f aca="false">IF(OR('THÁNG 12'!$C80="",'THÁNG 12'!$B80=""),"",'THÁNG 12'!$B80)</f>
        <v/>
      </c>
      <c r="C973" s="0" t="str">
        <f aca="false">IF('THÁNG 12'!$C80="","",'THÁNG 12'!$C80)</f>
        <v/>
      </c>
      <c r="D973" s="0" t="str">
        <f aca="false">IF('THÁNG 12'!$C80="","",'THÁNG 12'!$D80&amp;"")</f>
        <v/>
      </c>
      <c r="E973" s="0" t="str">
        <f aca="false">IF('THÁNG 12'!$C80="","",'THÁNG 12'!$E80&amp;"")</f>
        <v/>
      </c>
      <c r="F973" s="0" t="str">
        <f aca="false">IF('THÁNG 12'!$C80="","",'THÁNG 12'!$F80&amp;"")</f>
        <v/>
      </c>
      <c r="G973" s="0" t="str">
        <f aca="false">IF('THÁNG 12'!$C80="","",'THÁNG 12'!$G80&amp;"")</f>
        <v/>
      </c>
      <c r="H973" s="0" t="str">
        <f aca="false">IF('THÁNG 12'!$C80="","",'THÁNG 12'!$H80&amp;"")</f>
        <v/>
      </c>
      <c r="I973" s="0" t="str">
        <f aca="false">IF('THÁNG 12'!$C80="","",N('THÁNG 12'!$I80))</f>
        <v/>
      </c>
      <c r="J973" s="0" t="str">
        <f aca="false">IF('THÁNG 12'!$C80="","",N('THÁNG 12'!$L80))</f>
        <v/>
      </c>
      <c r="K973" s="0" t="str">
        <f aca="false">IF('THÁNG 12'!$C80="","",N('THÁNG 12'!$N80))</f>
        <v/>
      </c>
      <c r="L973" s="0" t="str">
        <f aca="false">IF('THÁNG 12'!$C80="","",N('THÁNG 12'!$O80))</f>
        <v/>
      </c>
      <c r="M973" s="0" t="str">
        <f aca="false">IF('THÁNG 12'!$C80="","",N('THÁNG 12'!$P80))</f>
        <v/>
      </c>
      <c r="N973" s="0" t="str">
        <f aca="false">IF('THÁNG 12'!$C80="","",N('THÁNG 12'!$Q80))</f>
        <v/>
      </c>
      <c r="O973" s="0" t="str">
        <f aca="false">IF('THÁNG 12'!$C80="","",N('THÁNG 12'!$R80))</f>
        <v/>
      </c>
      <c r="P973" s="0" t="str">
        <f aca="false">IF(OR('THÁNG 12'!$C80="",'THÁNG 12'!$T80=""),"",'THÁNG 12'!$T80)</f>
        <v/>
      </c>
      <c r="Q973" s="0" t="str">
        <f aca="false">IF(OR('THÁNG 12'!$C80="",'THÁNG 12'!$U80=""),"",'THÁNG 12'!$U80)</f>
        <v/>
      </c>
      <c r="R973" s="0" t="str">
        <f aca="false">IF('THÁNG 12'!$C80="","",'THÁNG 12'!$W80&amp;"")</f>
        <v/>
      </c>
      <c r="S973" s="0" t="str">
        <f aca="false">IF('THÁNG 12'!$C80="","",'THÁNG 12'!$S80&amp;"")</f>
        <v/>
      </c>
      <c r="T973" s="0" t="str">
        <f aca="false">IF(N($O973)&gt;0,COUNTIF($O$3:$O973,"&gt;0"),"")</f>
        <v/>
      </c>
      <c r="U973" s="0" t="str">
        <f aca="false">IF(AND(N($J973)&gt;0,N($K973)&gt;0),COUNTIFS($J$3:$J973,"&gt;0",$K$3:$K973,"&gt;0"),"")</f>
        <v/>
      </c>
      <c r="V973" s="0" t="str">
        <f aca="false">IF(AND(N($J973)&gt;0,N($K973)=0),COUNTIFS($J$3:$J973,"&gt;0",$K$3:$K973,"&lt;=0"),"")</f>
        <v/>
      </c>
      <c r="W973" s="0" t="str">
        <f aca="false">IF($C973="","",IF(COUNTIF($C$3:$C973,$C973)&gt;1,"",MAX($W$2:W972)+1))</f>
        <v/>
      </c>
      <c r="X973" s="0" t="str">
        <f aca="false">IF($H973="","",IF(COUNTIF($H$3:$H973,$H973)&gt;1,"",MAX($X$2:X972)+1))</f>
        <v/>
      </c>
      <c r="Y973" s="0" t="str">
        <f aca="false">IF(AND(N($M973)&gt;0,N($O973)&lt;=0),COUNTIFS($M$3:$M973,"&gt;0",$O$3:$O973,"&lt;=0"),"")</f>
        <v/>
      </c>
      <c r="Z973" s="30" t="n">
        <f aca="false">IF(OR('THÁNG 12'!$C80="",'THÁNG 12'!$B80=""),0,'THÁNG 12'!$B80)</f>
        <v>0</v>
      </c>
    </row>
    <row r="974" customFormat="false" ht="15" hidden="false" customHeight="false" outlineLevel="0" collapsed="false">
      <c r="A974" s="0" t="n">
        <v>12</v>
      </c>
      <c r="B974" s="29" t="str">
        <f aca="false">IF(OR('THÁNG 12'!$C81="",'THÁNG 12'!$B81=""),"",'THÁNG 12'!$B81)</f>
        <v/>
      </c>
      <c r="C974" s="0" t="str">
        <f aca="false">IF('THÁNG 12'!$C81="","",'THÁNG 12'!$C81)</f>
        <v/>
      </c>
      <c r="D974" s="0" t="str">
        <f aca="false">IF('THÁNG 12'!$C81="","",'THÁNG 12'!$D81&amp;"")</f>
        <v/>
      </c>
      <c r="E974" s="0" t="str">
        <f aca="false">IF('THÁNG 12'!$C81="","",'THÁNG 12'!$E81&amp;"")</f>
        <v/>
      </c>
      <c r="F974" s="0" t="str">
        <f aca="false">IF('THÁNG 12'!$C81="","",'THÁNG 12'!$F81&amp;"")</f>
        <v/>
      </c>
      <c r="G974" s="0" t="str">
        <f aca="false">IF('THÁNG 12'!$C81="","",'THÁNG 12'!$G81&amp;"")</f>
        <v/>
      </c>
      <c r="H974" s="0" t="str">
        <f aca="false">IF('THÁNG 12'!$C81="","",'THÁNG 12'!$H81&amp;"")</f>
        <v/>
      </c>
      <c r="I974" s="0" t="str">
        <f aca="false">IF('THÁNG 12'!$C81="","",N('THÁNG 12'!$I81))</f>
        <v/>
      </c>
      <c r="J974" s="0" t="str">
        <f aca="false">IF('THÁNG 12'!$C81="","",N('THÁNG 12'!$L81))</f>
        <v/>
      </c>
      <c r="K974" s="0" t="str">
        <f aca="false">IF('THÁNG 12'!$C81="","",N('THÁNG 12'!$N81))</f>
        <v/>
      </c>
      <c r="L974" s="0" t="str">
        <f aca="false">IF('THÁNG 12'!$C81="","",N('THÁNG 12'!$O81))</f>
        <v/>
      </c>
      <c r="M974" s="0" t="str">
        <f aca="false">IF('THÁNG 12'!$C81="","",N('THÁNG 12'!$P81))</f>
        <v/>
      </c>
      <c r="N974" s="0" t="str">
        <f aca="false">IF('THÁNG 12'!$C81="","",N('THÁNG 12'!$Q81))</f>
        <v/>
      </c>
      <c r="O974" s="0" t="str">
        <f aca="false">IF('THÁNG 12'!$C81="","",N('THÁNG 12'!$R81))</f>
        <v/>
      </c>
      <c r="P974" s="0" t="str">
        <f aca="false">IF(OR('THÁNG 12'!$C81="",'THÁNG 12'!$T81=""),"",'THÁNG 12'!$T81)</f>
        <v/>
      </c>
      <c r="Q974" s="0" t="str">
        <f aca="false">IF(OR('THÁNG 12'!$C81="",'THÁNG 12'!$U81=""),"",'THÁNG 12'!$U81)</f>
        <v/>
      </c>
      <c r="R974" s="0" t="str">
        <f aca="false">IF('THÁNG 12'!$C81="","",'THÁNG 12'!$W81&amp;"")</f>
        <v/>
      </c>
      <c r="S974" s="0" t="str">
        <f aca="false">IF('THÁNG 12'!$C81="","",'THÁNG 12'!$S81&amp;"")</f>
        <v/>
      </c>
      <c r="T974" s="0" t="str">
        <f aca="false">IF(N($O974)&gt;0,COUNTIF($O$3:$O974,"&gt;0"),"")</f>
        <v/>
      </c>
      <c r="U974" s="0" t="str">
        <f aca="false">IF(AND(N($J974)&gt;0,N($K974)&gt;0),COUNTIFS($J$3:$J974,"&gt;0",$K$3:$K974,"&gt;0"),"")</f>
        <v/>
      </c>
      <c r="V974" s="0" t="str">
        <f aca="false">IF(AND(N($J974)&gt;0,N($K974)=0),COUNTIFS($J$3:$J974,"&gt;0",$K$3:$K974,"&lt;=0"),"")</f>
        <v/>
      </c>
      <c r="W974" s="0" t="str">
        <f aca="false">IF($C974="","",IF(COUNTIF($C$3:$C974,$C974)&gt;1,"",MAX($W$2:W973)+1))</f>
        <v/>
      </c>
      <c r="X974" s="0" t="str">
        <f aca="false">IF($H974="","",IF(COUNTIF($H$3:$H974,$H974)&gt;1,"",MAX($X$2:X973)+1))</f>
        <v/>
      </c>
      <c r="Y974" s="0" t="str">
        <f aca="false">IF(AND(N($M974)&gt;0,N($O974)&lt;=0),COUNTIFS($M$3:$M974,"&gt;0",$O$3:$O974,"&lt;=0"),"")</f>
        <v/>
      </c>
      <c r="Z974" s="30" t="n">
        <f aca="false">IF(OR('THÁNG 12'!$C81="",'THÁNG 12'!$B81=""),0,'THÁNG 12'!$B81)</f>
        <v>0</v>
      </c>
    </row>
    <row r="975" customFormat="false" ht="15" hidden="false" customHeight="false" outlineLevel="0" collapsed="false">
      <c r="A975" s="0" t="n">
        <v>12</v>
      </c>
      <c r="B975" s="29" t="str">
        <f aca="false">IF(OR('THÁNG 12'!$C82="",'THÁNG 12'!$B82=""),"",'THÁNG 12'!$B82)</f>
        <v/>
      </c>
      <c r="C975" s="0" t="str">
        <f aca="false">IF('THÁNG 12'!$C82="","",'THÁNG 12'!$C82)</f>
        <v/>
      </c>
      <c r="D975" s="0" t="str">
        <f aca="false">IF('THÁNG 12'!$C82="","",'THÁNG 12'!$D82&amp;"")</f>
        <v/>
      </c>
      <c r="E975" s="0" t="str">
        <f aca="false">IF('THÁNG 12'!$C82="","",'THÁNG 12'!$E82&amp;"")</f>
        <v/>
      </c>
      <c r="F975" s="0" t="str">
        <f aca="false">IF('THÁNG 12'!$C82="","",'THÁNG 12'!$F82&amp;"")</f>
        <v/>
      </c>
      <c r="G975" s="0" t="str">
        <f aca="false">IF('THÁNG 12'!$C82="","",'THÁNG 12'!$G82&amp;"")</f>
        <v/>
      </c>
      <c r="H975" s="0" t="str">
        <f aca="false">IF('THÁNG 12'!$C82="","",'THÁNG 12'!$H82&amp;"")</f>
        <v/>
      </c>
      <c r="I975" s="0" t="str">
        <f aca="false">IF('THÁNG 12'!$C82="","",N('THÁNG 12'!$I82))</f>
        <v/>
      </c>
      <c r="J975" s="0" t="str">
        <f aca="false">IF('THÁNG 12'!$C82="","",N('THÁNG 12'!$L82))</f>
        <v/>
      </c>
      <c r="K975" s="0" t="str">
        <f aca="false">IF('THÁNG 12'!$C82="","",N('THÁNG 12'!$N82))</f>
        <v/>
      </c>
      <c r="L975" s="0" t="str">
        <f aca="false">IF('THÁNG 12'!$C82="","",N('THÁNG 12'!$O82))</f>
        <v/>
      </c>
      <c r="M975" s="0" t="str">
        <f aca="false">IF('THÁNG 12'!$C82="","",N('THÁNG 12'!$P82))</f>
        <v/>
      </c>
      <c r="N975" s="0" t="str">
        <f aca="false">IF('THÁNG 12'!$C82="","",N('THÁNG 12'!$Q82))</f>
        <v/>
      </c>
      <c r="O975" s="0" t="str">
        <f aca="false">IF('THÁNG 12'!$C82="","",N('THÁNG 12'!$R82))</f>
        <v/>
      </c>
      <c r="P975" s="0" t="str">
        <f aca="false">IF(OR('THÁNG 12'!$C82="",'THÁNG 12'!$T82=""),"",'THÁNG 12'!$T82)</f>
        <v/>
      </c>
      <c r="Q975" s="0" t="str">
        <f aca="false">IF(OR('THÁNG 12'!$C82="",'THÁNG 12'!$U82=""),"",'THÁNG 12'!$U82)</f>
        <v/>
      </c>
      <c r="R975" s="0" t="str">
        <f aca="false">IF('THÁNG 12'!$C82="","",'THÁNG 12'!$W82&amp;"")</f>
        <v/>
      </c>
      <c r="S975" s="0" t="str">
        <f aca="false">IF('THÁNG 12'!$C82="","",'THÁNG 12'!$S82&amp;"")</f>
        <v/>
      </c>
      <c r="T975" s="0" t="str">
        <f aca="false">IF(N($O975)&gt;0,COUNTIF($O$3:$O975,"&gt;0"),"")</f>
        <v/>
      </c>
      <c r="U975" s="0" t="str">
        <f aca="false">IF(AND(N($J975)&gt;0,N($K975)&gt;0),COUNTIFS($J$3:$J975,"&gt;0",$K$3:$K975,"&gt;0"),"")</f>
        <v/>
      </c>
      <c r="V975" s="0" t="str">
        <f aca="false">IF(AND(N($J975)&gt;0,N($K975)=0),COUNTIFS($J$3:$J975,"&gt;0",$K$3:$K975,"&lt;=0"),"")</f>
        <v/>
      </c>
      <c r="W975" s="0" t="str">
        <f aca="false">IF($C975="","",IF(COUNTIF($C$3:$C975,$C975)&gt;1,"",MAX($W$2:W974)+1))</f>
        <v/>
      </c>
      <c r="X975" s="0" t="str">
        <f aca="false">IF($H975="","",IF(COUNTIF($H$3:$H975,$H975)&gt;1,"",MAX($X$2:X974)+1))</f>
        <v/>
      </c>
      <c r="Y975" s="0" t="str">
        <f aca="false">IF(AND(N($M975)&gt;0,N($O975)&lt;=0),COUNTIFS($M$3:$M975,"&gt;0",$O$3:$O975,"&lt;=0"),"")</f>
        <v/>
      </c>
      <c r="Z975" s="30" t="n">
        <f aca="false">IF(OR('THÁNG 12'!$C82="",'THÁNG 12'!$B82=""),0,'THÁNG 12'!$B82)</f>
        <v>0</v>
      </c>
    </row>
    <row r="976" customFormat="false" ht="15" hidden="false" customHeight="false" outlineLevel="0" collapsed="false">
      <c r="A976" s="0" t="n">
        <v>12</v>
      </c>
      <c r="B976" s="29" t="str">
        <f aca="false">IF(OR('THÁNG 12'!$C83="",'THÁNG 12'!$B83=""),"",'THÁNG 12'!$B83)</f>
        <v/>
      </c>
      <c r="C976" s="0" t="str">
        <f aca="false">IF('THÁNG 12'!$C83="","",'THÁNG 12'!$C83)</f>
        <v/>
      </c>
      <c r="D976" s="0" t="str">
        <f aca="false">IF('THÁNG 12'!$C83="","",'THÁNG 12'!$D83&amp;"")</f>
        <v/>
      </c>
      <c r="E976" s="0" t="str">
        <f aca="false">IF('THÁNG 12'!$C83="","",'THÁNG 12'!$E83&amp;"")</f>
        <v/>
      </c>
      <c r="F976" s="0" t="str">
        <f aca="false">IF('THÁNG 12'!$C83="","",'THÁNG 12'!$F83&amp;"")</f>
        <v/>
      </c>
      <c r="G976" s="0" t="str">
        <f aca="false">IF('THÁNG 12'!$C83="","",'THÁNG 12'!$G83&amp;"")</f>
        <v/>
      </c>
      <c r="H976" s="0" t="str">
        <f aca="false">IF('THÁNG 12'!$C83="","",'THÁNG 12'!$H83&amp;"")</f>
        <v/>
      </c>
      <c r="I976" s="0" t="str">
        <f aca="false">IF('THÁNG 12'!$C83="","",N('THÁNG 12'!$I83))</f>
        <v/>
      </c>
      <c r="J976" s="0" t="str">
        <f aca="false">IF('THÁNG 12'!$C83="","",N('THÁNG 12'!$L83))</f>
        <v/>
      </c>
      <c r="K976" s="0" t="str">
        <f aca="false">IF('THÁNG 12'!$C83="","",N('THÁNG 12'!$N83))</f>
        <v/>
      </c>
      <c r="L976" s="0" t="str">
        <f aca="false">IF('THÁNG 12'!$C83="","",N('THÁNG 12'!$O83))</f>
        <v/>
      </c>
      <c r="M976" s="0" t="str">
        <f aca="false">IF('THÁNG 12'!$C83="","",N('THÁNG 12'!$P83))</f>
        <v/>
      </c>
      <c r="N976" s="0" t="str">
        <f aca="false">IF('THÁNG 12'!$C83="","",N('THÁNG 12'!$Q83))</f>
        <v/>
      </c>
      <c r="O976" s="0" t="str">
        <f aca="false">IF('THÁNG 12'!$C83="","",N('THÁNG 12'!$R83))</f>
        <v/>
      </c>
      <c r="P976" s="0" t="str">
        <f aca="false">IF(OR('THÁNG 12'!$C83="",'THÁNG 12'!$T83=""),"",'THÁNG 12'!$T83)</f>
        <v/>
      </c>
      <c r="Q976" s="0" t="str">
        <f aca="false">IF(OR('THÁNG 12'!$C83="",'THÁNG 12'!$U83=""),"",'THÁNG 12'!$U83)</f>
        <v/>
      </c>
      <c r="R976" s="0" t="str">
        <f aca="false">IF('THÁNG 12'!$C83="","",'THÁNG 12'!$W83&amp;"")</f>
        <v/>
      </c>
      <c r="S976" s="0" t="str">
        <f aca="false">IF('THÁNG 12'!$C83="","",'THÁNG 12'!$S83&amp;"")</f>
        <v/>
      </c>
      <c r="T976" s="0" t="str">
        <f aca="false">IF(N($O976)&gt;0,COUNTIF($O$3:$O976,"&gt;0"),"")</f>
        <v/>
      </c>
      <c r="U976" s="0" t="str">
        <f aca="false">IF(AND(N($J976)&gt;0,N($K976)&gt;0),COUNTIFS($J$3:$J976,"&gt;0",$K$3:$K976,"&gt;0"),"")</f>
        <v/>
      </c>
      <c r="V976" s="0" t="str">
        <f aca="false">IF(AND(N($J976)&gt;0,N($K976)=0),COUNTIFS($J$3:$J976,"&gt;0",$K$3:$K976,"&lt;=0"),"")</f>
        <v/>
      </c>
      <c r="W976" s="0" t="str">
        <f aca="false">IF($C976="","",IF(COUNTIF($C$3:$C976,$C976)&gt;1,"",MAX($W$2:W975)+1))</f>
        <v/>
      </c>
      <c r="X976" s="0" t="str">
        <f aca="false">IF($H976="","",IF(COUNTIF($H$3:$H976,$H976)&gt;1,"",MAX($X$2:X975)+1))</f>
        <v/>
      </c>
      <c r="Y976" s="0" t="str">
        <f aca="false">IF(AND(N($M976)&gt;0,N($O976)&lt;=0),COUNTIFS($M$3:$M976,"&gt;0",$O$3:$O976,"&lt;=0"),"")</f>
        <v/>
      </c>
      <c r="Z976" s="30" t="n">
        <f aca="false">IF(OR('THÁNG 12'!$C83="",'THÁNG 12'!$B83=""),0,'THÁNG 12'!$B83)</f>
        <v>0</v>
      </c>
    </row>
    <row r="977" customFormat="false" ht="15" hidden="false" customHeight="false" outlineLevel="0" collapsed="false">
      <c r="A977" s="0" t="n">
        <v>12</v>
      </c>
      <c r="B977" s="29" t="str">
        <f aca="false">IF(OR('THÁNG 12'!$C84="",'THÁNG 12'!$B84=""),"",'THÁNG 12'!$B84)</f>
        <v/>
      </c>
      <c r="C977" s="0" t="str">
        <f aca="false">IF('THÁNG 12'!$C84="","",'THÁNG 12'!$C84)</f>
        <v/>
      </c>
      <c r="D977" s="0" t="str">
        <f aca="false">IF('THÁNG 12'!$C84="","",'THÁNG 12'!$D84&amp;"")</f>
        <v/>
      </c>
      <c r="E977" s="0" t="str">
        <f aca="false">IF('THÁNG 12'!$C84="","",'THÁNG 12'!$E84&amp;"")</f>
        <v/>
      </c>
      <c r="F977" s="0" t="str">
        <f aca="false">IF('THÁNG 12'!$C84="","",'THÁNG 12'!$F84&amp;"")</f>
        <v/>
      </c>
      <c r="G977" s="0" t="str">
        <f aca="false">IF('THÁNG 12'!$C84="","",'THÁNG 12'!$G84&amp;"")</f>
        <v/>
      </c>
      <c r="H977" s="0" t="str">
        <f aca="false">IF('THÁNG 12'!$C84="","",'THÁNG 12'!$H84&amp;"")</f>
        <v/>
      </c>
      <c r="I977" s="0" t="str">
        <f aca="false">IF('THÁNG 12'!$C84="","",N('THÁNG 12'!$I84))</f>
        <v/>
      </c>
      <c r="J977" s="0" t="str">
        <f aca="false">IF('THÁNG 12'!$C84="","",N('THÁNG 12'!$L84))</f>
        <v/>
      </c>
      <c r="K977" s="0" t="str">
        <f aca="false">IF('THÁNG 12'!$C84="","",N('THÁNG 12'!$N84))</f>
        <v/>
      </c>
      <c r="L977" s="0" t="str">
        <f aca="false">IF('THÁNG 12'!$C84="","",N('THÁNG 12'!$O84))</f>
        <v/>
      </c>
      <c r="M977" s="0" t="str">
        <f aca="false">IF('THÁNG 12'!$C84="","",N('THÁNG 12'!$P84))</f>
        <v/>
      </c>
      <c r="N977" s="0" t="str">
        <f aca="false">IF('THÁNG 12'!$C84="","",N('THÁNG 12'!$Q84))</f>
        <v/>
      </c>
      <c r="O977" s="0" t="str">
        <f aca="false">IF('THÁNG 12'!$C84="","",N('THÁNG 12'!$R84))</f>
        <v/>
      </c>
      <c r="P977" s="0" t="str">
        <f aca="false">IF(OR('THÁNG 12'!$C84="",'THÁNG 12'!$T84=""),"",'THÁNG 12'!$T84)</f>
        <v/>
      </c>
      <c r="Q977" s="0" t="str">
        <f aca="false">IF(OR('THÁNG 12'!$C84="",'THÁNG 12'!$U84=""),"",'THÁNG 12'!$U84)</f>
        <v/>
      </c>
      <c r="R977" s="0" t="str">
        <f aca="false">IF('THÁNG 12'!$C84="","",'THÁNG 12'!$W84&amp;"")</f>
        <v/>
      </c>
      <c r="S977" s="0" t="str">
        <f aca="false">IF('THÁNG 12'!$C84="","",'THÁNG 12'!$S84&amp;"")</f>
        <v/>
      </c>
      <c r="T977" s="0" t="str">
        <f aca="false">IF(N($O977)&gt;0,COUNTIF($O$3:$O977,"&gt;0"),"")</f>
        <v/>
      </c>
      <c r="U977" s="0" t="str">
        <f aca="false">IF(AND(N($J977)&gt;0,N($K977)&gt;0),COUNTIFS($J$3:$J977,"&gt;0",$K$3:$K977,"&gt;0"),"")</f>
        <v/>
      </c>
      <c r="V977" s="0" t="str">
        <f aca="false">IF(AND(N($J977)&gt;0,N($K977)=0),COUNTIFS($J$3:$J977,"&gt;0",$K$3:$K977,"&lt;=0"),"")</f>
        <v/>
      </c>
      <c r="W977" s="0" t="str">
        <f aca="false">IF($C977="","",IF(COUNTIF($C$3:$C977,$C977)&gt;1,"",MAX($W$2:W976)+1))</f>
        <v/>
      </c>
      <c r="X977" s="0" t="str">
        <f aca="false">IF($H977="","",IF(COUNTIF($H$3:$H977,$H977)&gt;1,"",MAX($X$2:X976)+1))</f>
        <v/>
      </c>
      <c r="Y977" s="0" t="str">
        <f aca="false">IF(AND(N($M977)&gt;0,N($O977)&lt;=0),COUNTIFS($M$3:$M977,"&gt;0",$O$3:$O977,"&lt;=0"),"")</f>
        <v/>
      </c>
      <c r="Z977" s="30" t="n">
        <f aca="false">IF(OR('THÁNG 12'!$C84="",'THÁNG 12'!$B84=""),0,'THÁNG 12'!$B84)</f>
        <v>0</v>
      </c>
    </row>
    <row r="978" customFormat="false" ht="15" hidden="false" customHeight="false" outlineLevel="0" collapsed="false">
      <c r="A978" s="0" t="n">
        <v>12</v>
      </c>
      <c r="B978" s="29" t="str">
        <f aca="false">IF(OR('THÁNG 12'!$C85="",'THÁNG 12'!$B85=""),"",'THÁNG 12'!$B85)</f>
        <v/>
      </c>
      <c r="C978" s="0" t="str">
        <f aca="false">IF('THÁNG 12'!$C85="","",'THÁNG 12'!$C85)</f>
        <v/>
      </c>
      <c r="D978" s="0" t="str">
        <f aca="false">IF('THÁNG 12'!$C85="","",'THÁNG 12'!$D85&amp;"")</f>
        <v/>
      </c>
      <c r="E978" s="0" t="str">
        <f aca="false">IF('THÁNG 12'!$C85="","",'THÁNG 12'!$E85&amp;"")</f>
        <v/>
      </c>
      <c r="F978" s="0" t="str">
        <f aca="false">IF('THÁNG 12'!$C85="","",'THÁNG 12'!$F85&amp;"")</f>
        <v/>
      </c>
      <c r="G978" s="0" t="str">
        <f aca="false">IF('THÁNG 12'!$C85="","",'THÁNG 12'!$G85&amp;"")</f>
        <v/>
      </c>
      <c r="H978" s="0" t="str">
        <f aca="false">IF('THÁNG 12'!$C85="","",'THÁNG 12'!$H85&amp;"")</f>
        <v/>
      </c>
      <c r="I978" s="0" t="str">
        <f aca="false">IF('THÁNG 12'!$C85="","",N('THÁNG 12'!$I85))</f>
        <v/>
      </c>
      <c r="J978" s="0" t="str">
        <f aca="false">IF('THÁNG 12'!$C85="","",N('THÁNG 12'!$L85))</f>
        <v/>
      </c>
      <c r="K978" s="0" t="str">
        <f aca="false">IF('THÁNG 12'!$C85="","",N('THÁNG 12'!$N85))</f>
        <v/>
      </c>
      <c r="L978" s="0" t="str">
        <f aca="false">IF('THÁNG 12'!$C85="","",N('THÁNG 12'!$O85))</f>
        <v/>
      </c>
      <c r="M978" s="0" t="str">
        <f aca="false">IF('THÁNG 12'!$C85="","",N('THÁNG 12'!$P85))</f>
        <v/>
      </c>
      <c r="N978" s="0" t="str">
        <f aca="false">IF('THÁNG 12'!$C85="","",N('THÁNG 12'!$Q85))</f>
        <v/>
      </c>
      <c r="O978" s="0" t="str">
        <f aca="false">IF('THÁNG 12'!$C85="","",N('THÁNG 12'!$R85))</f>
        <v/>
      </c>
      <c r="P978" s="0" t="str">
        <f aca="false">IF(OR('THÁNG 12'!$C85="",'THÁNG 12'!$T85=""),"",'THÁNG 12'!$T85)</f>
        <v/>
      </c>
      <c r="Q978" s="0" t="str">
        <f aca="false">IF(OR('THÁNG 12'!$C85="",'THÁNG 12'!$U85=""),"",'THÁNG 12'!$U85)</f>
        <v/>
      </c>
      <c r="R978" s="0" t="str">
        <f aca="false">IF('THÁNG 12'!$C85="","",'THÁNG 12'!$W85&amp;"")</f>
        <v/>
      </c>
      <c r="S978" s="0" t="str">
        <f aca="false">IF('THÁNG 12'!$C85="","",'THÁNG 12'!$S85&amp;"")</f>
        <v/>
      </c>
      <c r="T978" s="0" t="str">
        <f aca="false">IF(N($O978)&gt;0,COUNTIF($O$3:$O978,"&gt;0"),"")</f>
        <v/>
      </c>
      <c r="U978" s="0" t="str">
        <f aca="false">IF(AND(N($J978)&gt;0,N($K978)&gt;0),COUNTIFS($J$3:$J978,"&gt;0",$K$3:$K978,"&gt;0"),"")</f>
        <v/>
      </c>
      <c r="V978" s="0" t="str">
        <f aca="false">IF(AND(N($J978)&gt;0,N($K978)=0),COUNTIFS($J$3:$J978,"&gt;0",$K$3:$K978,"&lt;=0"),"")</f>
        <v/>
      </c>
      <c r="W978" s="0" t="str">
        <f aca="false">IF($C978="","",IF(COUNTIF($C$3:$C978,$C978)&gt;1,"",MAX($W$2:W977)+1))</f>
        <v/>
      </c>
      <c r="X978" s="0" t="str">
        <f aca="false">IF($H978="","",IF(COUNTIF($H$3:$H978,$H978)&gt;1,"",MAX($X$2:X977)+1))</f>
        <v/>
      </c>
      <c r="Y978" s="0" t="str">
        <f aca="false">IF(AND(N($M978)&gt;0,N($O978)&lt;=0),COUNTIFS($M$3:$M978,"&gt;0",$O$3:$O978,"&lt;=0"),"")</f>
        <v/>
      </c>
      <c r="Z978" s="30" t="n">
        <f aca="false">IF(OR('THÁNG 12'!$C85="",'THÁNG 12'!$B85=""),0,'THÁNG 12'!$B85)</f>
        <v>0</v>
      </c>
    </row>
    <row r="979" customFormat="false" ht="15" hidden="false" customHeight="false" outlineLevel="0" collapsed="false">
      <c r="A979" s="0" t="n">
        <v>12</v>
      </c>
      <c r="B979" s="29" t="str">
        <f aca="false">IF(OR('THÁNG 12'!$C86="",'THÁNG 12'!$B86=""),"",'THÁNG 12'!$B86)</f>
        <v/>
      </c>
      <c r="C979" s="0" t="str">
        <f aca="false">IF('THÁNG 12'!$C86="","",'THÁNG 12'!$C86)</f>
        <v/>
      </c>
      <c r="D979" s="0" t="str">
        <f aca="false">IF('THÁNG 12'!$C86="","",'THÁNG 12'!$D86&amp;"")</f>
        <v/>
      </c>
      <c r="E979" s="0" t="str">
        <f aca="false">IF('THÁNG 12'!$C86="","",'THÁNG 12'!$E86&amp;"")</f>
        <v/>
      </c>
      <c r="F979" s="0" t="str">
        <f aca="false">IF('THÁNG 12'!$C86="","",'THÁNG 12'!$F86&amp;"")</f>
        <v/>
      </c>
      <c r="G979" s="0" t="str">
        <f aca="false">IF('THÁNG 12'!$C86="","",'THÁNG 12'!$G86&amp;"")</f>
        <v/>
      </c>
      <c r="H979" s="0" t="str">
        <f aca="false">IF('THÁNG 12'!$C86="","",'THÁNG 12'!$H86&amp;"")</f>
        <v/>
      </c>
      <c r="I979" s="0" t="str">
        <f aca="false">IF('THÁNG 12'!$C86="","",N('THÁNG 12'!$I86))</f>
        <v/>
      </c>
      <c r="J979" s="0" t="str">
        <f aca="false">IF('THÁNG 12'!$C86="","",N('THÁNG 12'!$L86))</f>
        <v/>
      </c>
      <c r="K979" s="0" t="str">
        <f aca="false">IF('THÁNG 12'!$C86="","",N('THÁNG 12'!$N86))</f>
        <v/>
      </c>
      <c r="L979" s="0" t="str">
        <f aca="false">IF('THÁNG 12'!$C86="","",N('THÁNG 12'!$O86))</f>
        <v/>
      </c>
      <c r="M979" s="0" t="str">
        <f aca="false">IF('THÁNG 12'!$C86="","",N('THÁNG 12'!$P86))</f>
        <v/>
      </c>
      <c r="N979" s="0" t="str">
        <f aca="false">IF('THÁNG 12'!$C86="","",N('THÁNG 12'!$Q86))</f>
        <v/>
      </c>
      <c r="O979" s="0" t="str">
        <f aca="false">IF('THÁNG 12'!$C86="","",N('THÁNG 12'!$R86))</f>
        <v/>
      </c>
      <c r="P979" s="0" t="str">
        <f aca="false">IF(OR('THÁNG 12'!$C86="",'THÁNG 12'!$T86=""),"",'THÁNG 12'!$T86)</f>
        <v/>
      </c>
      <c r="Q979" s="0" t="str">
        <f aca="false">IF(OR('THÁNG 12'!$C86="",'THÁNG 12'!$U86=""),"",'THÁNG 12'!$U86)</f>
        <v/>
      </c>
      <c r="R979" s="0" t="str">
        <f aca="false">IF('THÁNG 12'!$C86="","",'THÁNG 12'!$W86&amp;"")</f>
        <v/>
      </c>
      <c r="S979" s="0" t="str">
        <f aca="false">IF('THÁNG 12'!$C86="","",'THÁNG 12'!$S86&amp;"")</f>
        <v/>
      </c>
      <c r="T979" s="0" t="str">
        <f aca="false">IF(N($O979)&gt;0,COUNTIF($O$3:$O979,"&gt;0"),"")</f>
        <v/>
      </c>
      <c r="U979" s="0" t="str">
        <f aca="false">IF(AND(N($J979)&gt;0,N($K979)&gt;0),COUNTIFS($J$3:$J979,"&gt;0",$K$3:$K979,"&gt;0"),"")</f>
        <v/>
      </c>
      <c r="V979" s="0" t="str">
        <f aca="false">IF(AND(N($J979)&gt;0,N($K979)=0),COUNTIFS($J$3:$J979,"&gt;0",$K$3:$K979,"&lt;=0"),"")</f>
        <v/>
      </c>
      <c r="W979" s="0" t="str">
        <f aca="false">IF($C979="","",IF(COUNTIF($C$3:$C979,$C979)&gt;1,"",MAX($W$2:W978)+1))</f>
        <v/>
      </c>
      <c r="X979" s="0" t="str">
        <f aca="false">IF($H979="","",IF(COUNTIF($H$3:$H979,$H979)&gt;1,"",MAX($X$2:X978)+1))</f>
        <v/>
      </c>
      <c r="Y979" s="0" t="str">
        <f aca="false">IF(AND(N($M979)&gt;0,N($O979)&lt;=0),COUNTIFS($M$3:$M979,"&gt;0",$O$3:$O979,"&lt;=0"),"")</f>
        <v/>
      </c>
      <c r="Z979" s="30" t="n">
        <f aca="false">IF(OR('THÁNG 12'!$C86="",'THÁNG 12'!$B86=""),0,'THÁNG 12'!$B86)</f>
        <v>0</v>
      </c>
    </row>
    <row r="980" customFormat="false" ht="15" hidden="false" customHeight="false" outlineLevel="0" collapsed="false">
      <c r="A980" s="0" t="n">
        <v>12</v>
      </c>
      <c r="B980" s="29" t="str">
        <f aca="false">IF(OR('THÁNG 12'!$C87="",'THÁNG 12'!$B87=""),"",'THÁNG 12'!$B87)</f>
        <v/>
      </c>
      <c r="C980" s="0" t="str">
        <f aca="false">IF('THÁNG 12'!$C87="","",'THÁNG 12'!$C87)</f>
        <v/>
      </c>
      <c r="D980" s="0" t="str">
        <f aca="false">IF('THÁNG 12'!$C87="","",'THÁNG 12'!$D87&amp;"")</f>
        <v/>
      </c>
      <c r="E980" s="0" t="str">
        <f aca="false">IF('THÁNG 12'!$C87="","",'THÁNG 12'!$E87&amp;"")</f>
        <v/>
      </c>
      <c r="F980" s="0" t="str">
        <f aca="false">IF('THÁNG 12'!$C87="","",'THÁNG 12'!$F87&amp;"")</f>
        <v/>
      </c>
      <c r="G980" s="0" t="str">
        <f aca="false">IF('THÁNG 12'!$C87="","",'THÁNG 12'!$G87&amp;"")</f>
        <v/>
      </c>
      <c r="H980" s="0" t="str">
        <f aca="false">IF('THÁNG 12'!$C87="","",'THÁNG 12'!$H87&amp;"")</f>
        <v/>
      </c>
      <c r="I980" s="0" t="str">
        <f aca="false">IF('THÁNG 12'!$C87="","",N('THÁNG 12'!$I87))</f>
        <v/>
      </c>
      <c r="J980" s="0" t="str">
        <f aca="false">IF('THÁNG 12'!$C87="","",N('THÁNG 12'!$L87))</f>
        <v/>
      </c>
      <c r="K980" s="0" t="str">
        <f aca="false">IF('THÁNG 12'!$C87="","",N('THÁNG 12'!$N87))</f>
        <v/>
      </c>
      <c r="L980" s="0" t="str">
        <f aca="false">IF('THÁNG 12'!$C87="","",N('THÁNG 12'!$O87))</f>
        <v/>
      </c>
      <c r="M980" s="0" t="str">
        <f aca="false">IF('THÁNG 12'!$C87="","",N('THÁNG 12'!$P87))</f>
        <v/>
      </c>
      <c r="N980" s="0" t="str">
        <f aca="false">IF('THÁNG 12'!$C87="","",N('THÁNG 12'!$Q87))</f>
        <v/>
      </c>
      <c r="O980" s="0" t="str">
        <f aca="false">IF('THÁNG 12'!$C87="","",N('THÁNG 12'!$R87))</f>
        <v/>
      </c>
      <c r="P980" s="0" t="str">
        <f aca="false">IF(OR('THÁNG 12'!$C87="",'THÁNG 12'!$T87=""),"",'THÁNG 12'!$T87)</f>
        <v/>
      </c>
      <c r="Q980" s="0" t="str">
        <f aca="false">IF(OR('THÁNG 12'!$C87="",'THÁNG 12'!$U87=""),"",'THÁNG 12'!$U87)</f>
        <v/>
      </c>
      <c r="R980" s="0" t="str">
        <f aca="false">IF('THÁNG 12'!$C87="","",'THÁNG 12'!$W87&amp;"")</f>
        <v/>
      </c>
      <c r="S980" s="0" t="str">
        <f aca="false">IF('THÁNG 12'!$C87="","",'THÁNG 12'!$S87&amp;"")</f>
        <v/>
      </c>
      <c r="T980" s="0" t="str">
        <f aca="false">IF(N($O980)&gt;0,COUNTIF($O$3:$O980,"&gt;0"),"")</f>
        <v/>
      </c>
      <c r="U980" s="0" t="str">
        <f aca="false">IF(AND(N($J980)&gt;0,N($K980)&gt;0),COUNTIFS($J$3:$J980,"&gt;0",$K$3:$K980,"&gt;0"),"")</f>
        <v/>
      </c>
      <c r="V980" s="0" t="str">
        <f aca="false">IF(AND(N($J980)&gt;0,N($K980)=0),COUNTIFS($J$3:$J980,"&gt;0",$K$3:$K980,"&lt;=0"),"")</f>
        <v/>
      </c>
      <c r="W980" s="0" t="str">
        <f aca="false">IF($C980="","",IF(COUNTIF($C$3:$C980,$C980)&gt;1,"",MAX($W$2:W979)+1))</f>
        <v/>
      </c>
      <c r="X980" s="0" t="str">
        <f aca="false">IF($H980="","",IF(COUNTIF($H$3:$H980,$H980)&gt;1,"",MAX($X$2:X979)+1))</f>
        <v/>
      </c>
      <c r="Y980" s="0" t="str">
        <f aca="false">IF(AND(N($M980)&gt;0,N($O980)&lt;=0),COUNTIFS($M$3:$M980,"&gt;0",$O$3:$O980,"&lt;=0"),"")</f>
        <v/>
      </c>
      <c r="Z980" s="30" t="n">
        <f aca="false">IF(OR('THÁNG 12'!$C87="",'THÁNG 12'!$B87=""),0,'THÁNG 12'!$B87)</f>
        <v>0</v>
      </c>
    </row>
    <row r="981" customFormat="false" ht="15" hidden="false" customHeight="false" outlineLevel="0" collapsed="false">
      <c r="A981" s="0" t="n">
        <v>12</v>
      </c>
      <c r="B981" s="29" t="str">
        <f aca="false">IF(OR('THÁNG 12'!$C88="",'THÁNG 12'!$B88=""),"",'THÁNG 12'!$B88)</f>
        <v/>
      </c>
      <c r="C981" s="0" t="str">
        <f aca="false">IF('THÁNG 12'!$C88="","",'THÁNG 12'!$C88)</f>
        <v/>
      </c>
      <c r="D981" s="0" t="str">
        <f aca="false">IF('THÁNG 12'!$C88="","",'THÁNG 12'!$D88&amp;"")</f>
        <v/>
      </c>
      <c r="E981" s="0" t="str">
        <f aca="false">IF('THÁNG 12'!$C88="","",'THÁNG 12'!$E88&amp;"")</f>
        <v/>
      </c>
      <c r="F981" s="0" t="str">
        <f aca="false">IF('THÁNG 12'!$C88="","",'THÁNG 12'!$F88&amp;"")</f>
        <v/>
      </c>
      <c r="G981" s="0" t="str">
        <f aca="false">IF('THÁNG 12'!$C88="","",'THÁNG 12'!$G88&amp;"")</f>
        <v/>
      </c>
      <c r="H981" s="0" t="str">
        <f aca="false">IF('THÁNG 12'!$C88="","",'THÁNG 12'!$H88&amp;"")</f>
        <v/>
      </c>
      <c r="I981" s="0" t="str">
        <f aca="false">IF('THÁNG 12'!$C88="","",N('THÁNG 12'!$I88))</f>
        <v/>
      </c>
      <c r="J981" s="0" t="str">
        <f aca="false">IF('THÁNG 12'!$C88="","",N('THÁNG 12'!$L88))</f>
        <v/>
      </c>
      <c r="K981" s="0" t="str">
        <f aca="false">IF('THÁNG 12'!$C88="","",N('THÁNG 12'!$N88))</f>
        <v/>
      </c>
      <c r="L981" s="0" t="str">
        <f aca="false">IF('THÁNG 12'!$C88="","",N('THÁNG 12'!$O88))</f>
        <v/>
      </c>
      <c r="M981" s="0" t="str">
        <f aca="false">IF('THÁNG 12'!$C88="","",N('THÁNG 12'!$P88))</f>
        <v/>
      </c>
      <c r="N981" s="0" t="str">
        <f aca="false">IF('THÁNG 12'!$C88="","",N('THÁNG 12'!$Q88))</f>
        <v/>
      </c>
      <c r="O981" s="0" t="str">
        <f aca="false">IF('THÁNG 12'!$C88="","",N('THÁNG 12'!$R88))</f>
        <v/>
      </c>
      <c r="P981" s="0" t="str">
        <f aca="false">IF(OR('THÁNG 12'!$C88="",'THÁNG 12'!$T88=""),"",'THÁNG 12'!$T88)</f>
        <v/>
      </c>
      <c r="Q981" s="0" t="str">
        <f aca="false">IF(OR('THÁNG 12'!$C88="",'THÁNG 12'!$U88=""),"",'THÁNG 12'!$U88)</f>
        <v/>
      </c>
      <c r="R981" s="0" t="str">
        <f aca="false">IF('THÁNG 12'!$C88="","",'THÁNG 12'!$W88&amp;"")</f>
        <v/>
      </c>
      <c r="S981" s="0" t="str">
        <f aca="false">IF('THÁNG 12'!$C88="","",'THÁNG 12'!$S88&amp;"")</f>
        <v/>
      </c>
      <c r="T981" s="0" t="str">
        <f aca="false">IF(N($O981)&gt;0,COUNTIF($O$3:$O981,"&gt;0"),"")</f>
        <v/>
      </c>
      <c r="U981" s="0" t="str">
        <f aca="false">IF(AND(N($J981)&gt;0,N($K981)&gt;0),COUNTIFS($J$3:$J981,"&gt;0",$K$3:$K981,"&gt;0"),"")</f>
        <v/>
      </c>
      <c r="V981" s="0" t="str">
        <f aca="false">IF(AND(N($J981)&gt;0,N($K981)=0),COUNTIFS($J$3:$J981,"&gt;0",$K$3:$K981,"&lt;=0"),"")</f>
        <v/>
      </c>
      <c r="W981" s="0" t="str">
        <f aca="false">IF($C981="","",IF(COUNTIF($C$3:$C981,$C981)&gt;1,"",MAX($W$2:W980)+1))</f>
        <v/>
      </c>
      <c r="X981" s="0" t="str">
        <f aca="false">IF($H981="","",IF(COUNTIF($H$3:$H981,$H981)&gt;1,"",MAX($X$2:X980)+1))</f>
        <v/>
      </c>
      <c r="Y981" s="0" t="str">
        <f aca="false">IF(AND(N($M981)&gt;0,N($O981)&lt;=0),COUNTIFS($M$3:$M981,"&gt;0",$O$3:$O981,"&lt;=0"),"")</f>
        <v/>
      </c>
      <c r="Z981" s="30" t="n">
        <f aca="false">IF(OR('THÁNG 12'!$C88="",'THÁNG 12'!$B88=""),0,'THÁNG 12'!$B88)</f>
        <v>0</v>
      </c>
    </row>
    <row r="982" customFormat="false" ht="15" hidden="false" customHeight="false" outlineLevel="0" collapsed="false">
      <c r="A982" s="0" t="n">
        <v>12</v>
      </c>
      <c r="B982" s="29" t="str">
        <f aca="false">IF(OR('THÁNG 12'!$C89="",'THÁNG 12'!$B89=""),"",'THÁNG 12'!$B89)</f>
        <v/>
      </c>
      <c r="C982" s="0" t="str">
        <f aca="false">IF('THÁNG 12'!$C89="","",'THÁNG 12'!$C89)</f>
        <v/>
      </c>
      <c r="D982" s="0" t="str">
        <f aca="false">IF('THÁNG 12'!$C89="","",'THÁNG 12'!$D89&amp;"")</f>
        <v/>
      </c>
      <c r="E982" s="0" t="str">
        <f aca="false">IF('THÁNG 12'!$C89="","",'THÁNG 12'!$E89&amp;"")</f>
        <v/>
      </c>
      <c r="F982" s="0" t="str">
        <f aca="false">IF('THÁNG 12'!$C89="","",'THÁNG 12'!$F89&amp;"")</f>
        <v/>
      </c>
      <c r="G982" s="0" t="str">
        <f aca="false">IF('THÁNG 12'!$C89="","",'THÁNG 12'!$G89&amp;"")</f>
        <v/>
      </c>
      <c r="H982" s="0" t="str">
        <f aca="false">IF('THÁNG 12'!$C89="","",'THÁNG 12'!$H89&amp;"")</f>
        <v/>
      </c>
      <c r="I982" s="0" t="str">
        <f aca="false">IF('THÁNG 12'!$C89="","",N('THÁNG 12'!$I89))</f>
        <v/>
      </c>
      <c r="J982" s="0" t="str">
        <f aca="false">IF('THÁNG 12'!$C89="","",N('THÁNG 12'!$L89))</f>
        <v/>
      </c>
      <c r="K982" s="0" t="str">
        <f aca="false">IF('THÁNG 12'!$C89="","",N('THÁNG 12'!$N89))</f>
        <v/>
      </c>
      <c r="L982" s="0" t="str">
        <f aca="false">IF('THÁNG 12'!$C89="","",N('THÁNG 12'!$O89))</f>
        <v/>
      </c>
      <c r="M982" s="0" t="str">
        <f aca="false">IF('THÁNG 12'!$C89="","",N('THÁNG 12'!$P89))</f>
        <v/>
      </c>
      <c r="N982" s="0" t="str">
        <f aca="false">IF('THÁNG 12'!$C89="","",N('THÁNG 12'!$Q89))</f>
        <v/>
      </c>
      <c r="O982" s="0" t="str">
        <f aca="false">IF('THÁNG 12'!$C89="","",N('THÁNG 12'!$R89))</f>
        <v/>
      </c>
      <c r="P982" s="0" t="str">
        <f aca="false">IF(OR('THÁNG 12'!$C89="",'THÁNG 12'!$T89=""),"",'THÁNG 12'!$T89)</f>
        <v/>
      </c>
      <c r="Q982" s="0" t="str">
        <f aca="false">IF(OR('THÁNG 12'!$C89="",'THÁNG 12'!$U89=""),"",'THÁNG 12'!$U89)</f>
        <v/>
      </c>
      <c r="R982" s="0" t="str">
        <f aca="false">IF('THÁNG 12'!$C89="","",'THÁNG 12'!$W89&amp;"")</f>
        <v/>
      </c>
      <c r="S982" s="0" t="str">
        <f aca="false">IF('THÁNG 12'!$C89="","",'THÁNG 12'!$S89&amp;"")</f>
        <v/>
      </c>
      <c r="T982" s="0" t="str">
        <f aca="false">IF(N($O982)&gt;0,COUNTIF($O$3:$O982,"&gt;0"),"")</f>
        <v/>
      </c>
      <c r="U982" s="0" t="str">
        <f aca="false">IF(AND(N($J982)&gt;0,N($K982)&gt;0),COUNTIFS($J$3:$J982,"&gt;0",$K$3:$K982,"&gt;0"),"")</f>
        <v/>
      </c>
      <c r="V982" s="0" t="str">
        <f aca="false">IF(AND(N($J982)&gt;0,N($K982)=0),COUNTIFS($J$3:$J982,"&gt;0",$K$3:$K982,"&lt;=0"),"")</f>
        <v/>
      </c>
      <c r="W982" s="0" t="str">
        <f aca="false">IF($C982="","",IF(COUNTIF($C$3:$C982,$C982)&gt;1,"",MAX($W$2:W981)+1))</f>
        <v/>
      </c>
      <c r="X982" s="0" t="str">
        <f aca="false">IF($H982="","",IF(COUNTIF($H$3:$H982,$H982)&gt;1,"",MAX($X$2:X981)+1))</f>
        <v/>
      </c>
      <c r="Y982" s="0" t="str">
        <f aca="false">IF(AND(N($M982)&gt;0,N($O982)&lt;=0),COUNTIFS($M$3:$M982,"&gt;0",$O$3:$O982,"&lt;=0"),"")</f>
        <v/>
      </c>
      <c r="Z982" s="30" t="n">
        <f aca="false">IF(OR('THÁNG 12'!$C89="",'THÁNG 12'!$B89=""),0,'THÁNG 12'!$B89)</f>
        <v>0</v>
      </c>
    </row>
    <row r="983" customFormat="false" ht="15" hidden="false" customHeight="false" outlineLevel="0" collapsed="false">
      <c r="A983" s="0" t="n">
        <v>12</v>
      </c>
      <c r="B983" s="29" t="str">
        <f aca="false">IF(OR('THÁNG 12'!$C90="",'THÁNG 12'!$B90=""),"",'THÁNG 12'!$B90)</f>
        <v/>
      </c>
      <c r="C983" s="0" t="str">
        <f aca="false">IF('THÁNG 12'!$C90="","",'THÁNG 12'!$C90)</f>
        <v/>
      </c>
      <c r="D983" s="0" t="str">
        <f aca="false">IF('THÁNG 12'!$C90="","",'THÁNG 12'!$D90&amp;"")</f>
        <v/>
      </c>
      <c r="E983" s="0" t="str">
        <f aca="false">IF('THÁNG 12'!$C90="","",'THÁNG 12'!$E90&amp;"")</f>
        <v/>
      </c>
      <c r="F983" s="0" t="str">
        <f aca="false">IF('THÁNG 12'!$C90="","",'THÁNG 12'!$F90&amp;"")</f>
        <v/>
      </c>
      <c r="G983" s="0" t="str">
        <f aca="false">IF('THÁNG 12'!$C90="","",'THÁNG 12'!$G90&amp;"")</f>
        <v/>
      </c>
      <c r="H983" s="0" t="str">
        <f aca="false">IF('THÁNG 12'!$C90="","",'THÁNG 12'!$H90&amp;"")</f>
        <v/>
      </c>
      <c r="I983" s="0" t="str">
        <f aca="false">IF('THÁNG 12'!$C90="","",N('THÁNG 12'!$I90))</f>
        <v/>
      </c>
      <c r="J983" s="0" t="str">
        <f aca="false">IF('THÁNG 12'!$C90="","",N('THÁNG 12'!$L90))</f>
        <v/>
      </c>
      <c r="K983" s="0" t="str">
        <f aca="false">IF('THÁNG 12'!$C90="","",N('THÁNG 12'!$N90))</f>
        <v/>
      </c>
      <c r="L983" s="0" t="str">
        <f aca="false">IF('THÁNG 12'!$C90="","",N('THÁNG 12'!$O90))</f>
        <v/>
      </c>
      <c r="M983" s="0" t="str">
        <f aca="false">IF('THÁNG 12'!$C90="","",N('THÁNG 12'!$P90))</f>
        <v/>
      </c>
      <c r="N983" s="0" t="str">
        <f aca="false">IF('THÁNG 12'!$C90="","",N('THÁNG 12'!$Q90))</f>
        <v/>
      </c>
      <c r="O983" s="0" t="str">
        <f aca="false">IF('THÁNG 12'!$C90="","",N('THÁNG 12'!$R90))</f>
        <v/>
      </c>
      <c r="P983" s="0" t="str">
        <f aca="false">IF(OR('THÁNG 12'!$C90="",'THÁNG 12'!$T90=""),"",'THÁNG 12'!$T90)</f>
        <v/>
      </c>
      <c r="Q983" s="0" t="str">
        <f aca="false">IF(OR('THÁNG 12'!$C90="",'THÁNG 12'!$U90=""),"",'THÁNG 12'!$U90)</f>
        <v/>
      </c>
      <c r="R983" s="0" t="str">
        <f aca="false">IF('THÁNG 12'!$C90="","",'THÁNG 12'!$W90&amp;"")</f>
        <v/>
      </c>
      <c r="S983" s="0" t="str">
        <f aca="false">IF('THÁNG 12'!$C90="","",'THÁNG 12'!$S90&amp;"")</f>
        <v/>
      </c>
      <c r="T983" s="0" t="str">
        <f aca="false">IF(N($O983)&gt;0,COUNTIF($O$3:$O983,"&gt;0"),"")</f>
        <v/>
      </c>
      <c r="U983" s="0" t="str">
        <f aca="false">IF(AND(N($J983)&gt;0,N($K983)&gt;0),COUNTIFS($J$3:$J983,"&gt;0",$K$3:$K983,"&gt;0"),"")</f>
        <v/>
      </c>
      <c r="V983" s="0" t="str">
        <f aca="false">IF(AND(N($J983)&gt;0,N($K983)=0),COUNTIFS($J$3:$J983,"&gt;0",$K$3:$K983,"&lt;=0"),"")</f>
        <v/>
      </c>
      <c r="W983" s="0" t="str">
        <f aca="false">IF($C983="","",IF(COUNTIF($C$3:$C983,$C983)&gt;1,"",MAX($W$2:W982)+1))</f>
        <v/>
      </c>
      <c r="X983" s="0" t="str">
        <f aca="false">IF($H983="","",IF(COUNTIF($H$3:$H983,$H983)&gt;1,"",MAX($X$2:X982)+1))</f>
        <v/>
      </c>
      <c r="Y983" s="0" t="str">
        <f aca="false">IF(AND(N($M983)&gt;0,N($O983)&lt;=0),COUNTIFS($M$3:$M983,"&gt;0",$O$3:$O983,"&lt;=0"),"")</f>
        <v/>
      </c>
      <c r="Z983" s="30" t="n">
        <f aca="false">IF(OR('THÁNG 12'!$C90="",'THÁNG 12'!$B90=""),0,'THÁNG 12'!$B90)</f>
        <v>0</v>
      </c>
    </row>
    <row r="984" customFormat="false" ht="15" hidden="false" customHeight="false" outlineLevel="0" collapsed="false">
      <c r="A984" s="0" t="n">
        <v>12</v>
      </c>
      <c r="B984" s="29" t="str">
        <f aca="false">IF(OR('THÁNG 12'!$C91="",'THÁNG 12'!$B91=""),"",'THÁNG 12'!$B91)</f>
        <v/>
      </c>
      <c r="C984" s="0" t="str">
        <f aca="false">IF('THÁNG 12'!$C91="","",'THÁNG 12'!$C91)</f>
        <v/>
      </c>
      <c r="D984" s="0" t="str">
        <f aca="false">IF('THÁNG 12'!$C91="","",'THÁNG 12'!$D91&amp;"")</f>
        <v/>
      </c>
      <c r="E984" s="0" t="str">
        <f aca="false">IF('THÁNG 12'!$C91="","",'THÁNG 12'!$E91&amp;"")</f>
        <v/>
      </c>
      <c r="F984" s="0" t="str">
        <f aca="false">IF('THÁNG 12'!$C91="","",'THÁNG 12'!$F91&amp;"")</f>
        <v/>
      </c>
      <c r="G984" s="0" t="str">
        <f aca="false">IF('THÁNG 12'!$C91="","",'THÁNG 12'!$G91&amp;"")</f>
        <v/>
      </c>
      <c r="H984" s="0" t="str">
        <f aca="false">IF('THÁNG 12'!$C91="","",'THÁNG 12'!$H91&amp;"")</f>
        <v/>
      </c>
      <c r="I984" s="0" t="str">
        <f aca="false">IF('THÁNG 12'!$C91="","",N('THÁNG 12'!$I91))</f>
        <v/>
      </c>
      <c r="J984" s="0" t="str">
        <f aca="false">IF('THÁNG 12'!$C91="","",N('THÁNG 12'!$L91))</f>
        <v/>
      </c>
      <c r="K984" s="0" t="str">
        <f aca="false">IF('THÁNG 12'!$C91="","",N('THÁNG 12'!$N91))</f>
        <v/>
      </c>
      <c r="L984" s="0" t="str">
        <f aca="false">IF('THÁNG 12'!$C91="","",N('THÁNG 12'!$O91))</f>
        <v/>
      </c>
      <c r="M984" s="0" t="str">
        <f aca="false">IF('THÁNG 12'!$C91="","",N('THÁNG 12'!$P91))</f>
        <v/>
      </c>
      <c r="N984" s="0" t="str">
        <f aca="false">IF('THÁNG 12'!$C91="","",N('THÁNG 12'!$Q91))</f>
        <v/>
      </c>
      <c r="O984" s="0" t="str">
        <f aca="false">IF('THÁNG 12'!$C91="","",N('THÁNG 12'!$R91))</f>
        <v/>
      </c>
      <c r="P984" s="0" t="str">
        <f aca="false">IF(OR('THÁNG 12'!$C91="",'THÁNG 12'!$T91=""),"",'THÁNG 12'!$T91)</f>
        <v/>
      </c>
      <c r="Q984" s="0" t="str">
        <f aca="false">IF(OR('THÁNG 12'!$C91="",'THÁNG 12'!$U91=""),"",'THÁNG 12'!$U91)</f>
        <v/>
      </c>
      <c r="R984" s="0" t="str">
        <f aca="false">IF('THÁNG 12'!$C91="","",'THÁNG 12'!$W91&amp;"")</f>
        <v/>
      </c>
      <c r="S984" s="0" t="str">
        <f aca="false">IF('THÁNG 12'!$C91="","",'THÁNG 12'!$S91&amp;"")</f>
        <v/>
      </c>
      <c r="T984" s="0" t="str">
        <f aca="false">IF(N($O984)&gt;0,COUNTIF($O$3:$O984,"&gt;0"),"")</f>
        <v/>
      </c>
      <c r="U984" s="0" t="str">
        <f aca="false">IF(AND(N($J984)&gt;0,N($K984)&gt;0),COUNTIFS($J$3:$J984,"&gt;0",$K$3:$K984,"&gt;0"),"")</f>
        <v/>
      </c>
      <c r="V984" s="0" t="str">
        <f aca="false">IF(AND(N($J984)&gt;0,N($K984)=0),COUNTIFS($J$3:$J984,"&gt;0",$K$3:$K984,"&lt;=0"),"")</f>
        <v/>
      </c>
      <c r="W984" s="0" t="str">
        <f aca="false">IF($C984="","",IF(COUNTIF($C$3:$C984,$C984)&gt;1,"",MAX($W$2:W983)+1))</f>
        <v/>
      </c>
      <c r="X984" s="0" t="str">
        <f aca="false">IF($H984="","",IF(COUNTIF($H$3:$H984,$H984)&gt;1,"",MAX($X$2:X983)+1))</f>
        <v/>
      </c>
      <c r="Y984" s="0" t="str">
        <f aca="false">IF(AND(N($M984)&gt;0,N($O984)&lt;=0),COUNTIFS($M$3:$M984,"&gt;0",$O$3:$O984,"&lt;=0"),"")</f>
        <v/>
      </c>
      <c r="Z984" s="30" t="n">
        <f aca="false">IF(OR('THÁNG 12'!$C91="",'THÁNG 12'!$B91=""),0,'THÁNG 12'!$B91)</f>
        <v>0</v>
      </c>
    </row>
    <row r="985" customFormat="false" ht="15" hidden="false" customHeight="false" outlineLevel="0" collapsed="false">
      <c r="A985" s="0" t="n">
        <v>12</v>
      </c>
      <c r="B985" s="29" t="str">
        <f aca="false">IF(OR('THÁNG 12'!$C92="",'THÁNG 12'!$B92=""),"",'THÁNG 12'!$B92)</f>
        <v/>
      </c>
      <c r="C985" s="0" t="str">
        <f aca="false">IF('THÁNG 12'!$C92="","",'THÁNG 12'!$C92)</f>
        <v/>
      </c>
      <c r="D985" s="0" t="str">
        <f aca="false">IF('THÁNG 12'!$C92="","",'THÁNG 12'!$D92&amp;"")</f>
        <v/>
      </c>
      <c r="E985" s="0" t="str">
        <f aca="false">IF('THÁNG 12'!$C92="","",'THÁNG 12'!$E92&amp;"")</f>
        <v/>
      </c>
      <c r="F985" s="0" t="str">
        <f aca="false">IF('THÁNG 12'!$C92="","",'THÁNG 12'!$F92&amp;"")</f>
        <v/>
      </c>
      <c r="G985" s="0" t="str">
        <f aca="false">IF('THÁNG 12'!$C92="","",'THÁNG 12'!$G92&amp;"")</f>
        <v/>
      </c>
      <c r="H985" s="0" t="str">
        <f aca="false">IF('THÁNG 12'!$C92="","",'THÁNG 12'!$H92&amp;"")</f>
        <v/>
      </c>
      <c r="I985" s="0" t="str">
        <f aca="false">IF('THÁNG 12'!$C92="","",N('THÁNG 12'!$I92))</f>
        <v/>
      </c>
      <c r="J985" s="0" t="str">
        <f aca="false">IF('THÁNG 12'!$C92="","",N('THÁNG 12'!$L92))</f>
        <v/>
      </c>
      <c r="K985" s="0" t="str">
        <f aca="false">IF('THÁNG 12'!$C92="","",N('THÁNG 12'!$N92))</f>
        <v/>
      </c>
      <c r="L985" s="0" t="str">
        <f aca="false">IF('THÁNG 12'!$C92="","",N('THÁNG 12'!$O92))</f>
        <v/>
      </c>
      <c r="M985" s="0" t="str">
        <f aca="false">IF('THÁNG 12'!$C92="","",N('THÁNG 12'!$P92))</f>
        <v/>
      </c>
      <c r="N985" s="0" t="str">
        <f aca="false">IF('THÁNG 12'!$C92="","",N('THÁNG 12'!$Q92))</f>
        <v/>
      </c>
      <c r="O985" s="0" t="str">
        <f aca="false">IF('THÁNG 12'!$C92="","",N('THÁNG 12'!$R92))</f>
        <v/>
      </c>
      <c r="P985" s="0" t="str">
        <f aca="false">IF(OR('THÁNG 12'!$C92="",'THÁNG 12'!$T92=""),"",'THÁNG 12'!$T92)</f>
        <v/>
      </c>
      <c r="Q985" s="0" t="str">
        <f aca="false">IF(OR('THÁNG 12'!$C92="",'THÁNG 12'!$U92=""),"",'THÁNG 12'!$U92)</f>
        <v/>
      </c>
      <c r="R985" s="0" t="str">
        <f aca="false">IF('THÁNG 12'!$C92="","",'THÁNG 12'!$W92&amp;"")</f>
        <v/>
      </c>
      <c r="S985" s="0" t="str">
        <f aca="false">IF('THÁNG 12'!$C92="","",'THÁNG 12'!$S92&amp;"")</f>
        <v/>
      </c>
      <c r="T985" s="0" t="str">
        <f aca="false">IF(N($O985)&gt;0,COUNTIF($O$3:$O985,"&gt;0"),"")</f>
        <v/>
      </c>
      <c r="U985" s="0" t="str">
        <f aca="false">IF(AND(N($J985)&gt;0,N($K985)&gt;0),COUNTIFS($J$3:$J985,"&gt;0",$K$3:$K985,"&gt;0"),"")</f>
        <v/>
      </c>
      <c r="V985" s="0" t="str">
        <f aca="false">IF(AND(N($J985)&gt;0,N($K985)=0),COUNTIFS($J$3:$J985,"&gt;0",$K$3:$K985,"&lt;=0"),"")</f>
        <v/>
      </c>
      <c r="W985" s="0" t="str">
        <f aca="false">IF($C985="","",IF(COUNTIF($C$3:$C985,$C985)&gt;1,"",MAX($W$2:W984)+1))</f>
        <v/>
      </c>
      <c r="X985" s="0" t="str">
        <f aca="false">IF($H985="","",IF(COUNTIF($H$3:$H985,$H985)&gt;1,"",MAX($X$2:X984)+1))</f>
        <v/>
      </c>
      <c r="Y985" s="0" t="str">
        <f aca="false">IF(AND(N($M985)&gt;0,N($O985)&lt;=0),COUNTIFS($M$3:$M985,"&gt;0",$O$3:$O985,"&lt;=0"),"")</f>
        <v/>
      </c>
      <c r="Z985" s="30" t="n">
        <f aca="false">IF(OR('THÁNG 12'!$C92="",'THÁNG 12'!$B92=""),0,'THÁNG 12'!$B92)</f>
        <v>0</v>
      </c>
    </row>
    <row r="986" customFormat="false" ht="15" hidden="false" customHeight="false" outlineLevel="0" collapsed="false">
      <c r="A986" s="0" t="n">
        <v>12</v>
      </c>
      <c r="B986" s="29" t="str">
        <f aca="false">IF(OR('THÁNG 12'!$C93="",'THÁNG 12'!$B93=""),"",'THÁNG 12'!$B93)</f>
        <v/>
      </c>
      <c r="C986" s="0" t="str">
        <f aca="false">IF('THÁNG 12'!$C93="","",'THÁNG 12'!$C93)</f>
        <v/>
      </c>
      <c r="D986" s="0" t="str">
        <f aca="false">IF('THÁNG 12'!$C93="","",'THÁNG 12'!$D93&amp;"")</f>
        <v/>
      </c>
      <c r="E986" s="0" t="str">
        <f aca="false">IF('THÁNG 12'!$C93="","",'THÁNG 12'!$E93&amp;"")</f>
        <v/>
      </c>
      <c r="F986" s="0" t="str">
        <f aca="false">IF('THÁNG 12'!$C93="","",'THÁNG 12'!$F93&amp;"")</f>
        <v/>
      </c>
      <c r="G986" s="0" t="str">
        <f aca="false">IF('THÁNG 12'!$C93="","",'THÁNG 12'!$G93&amp;"")</f>
        <v/>
      </c>
      <c r="H986" s="0" t="str">
        <f aca="false">IF('THÁNG 12'!$C93="","",'THÁNG 12'!$H93&amp;"")</f>
        <v/>
      </c>
      <c r="I986" s="0" t="str">
        <f aca="false">IF('THÁNG 12'!$C93="","",N('THÁNG 12'!$I93))</f>
        <v/>
      </c>
      <c r="J986" s="0" t="str">
        <f aca="false">IF('THÁNG 12'!$C93="","",N('THÁNG 12'!$L93))</f>
        <v/>
      </c>
      <c r="K986" s="0" t="str">
        <f aca="false">IF('THÁNG 12'!$C93="","",N('THÁNG 12'!$N93))</f>
        <v/>
      </c>
      <c r="L986" s="0" t="str">
        <f aca="false">IF('THÁNG 12'!$C93="","",N('THÁNG 12'!$O93))</f>
        <v/>
      </c>
      <c r="M986" s="0" t="str">
        <f aca="false">IF('THÁNG 12'!$C93="","",N('THÁNG 12'!$P93))</f>
        <v/>
      </c>
      <c r="N986" s="0" t="str">
        <f aca="false">IF('THÁNG 12'!$C93="","",N('THÁNG 12'!$Q93))</f>
        <v/>
      </c>
      <c r="O986" s="0" t="str">
        <f aca="false">IF('THÁNG 12'!$C93="","",N('THÁNG 12'!$R93))</f>
        <v/>
      </c>
      <c r="P986" s="0" t="str">
        <f aca="false">IF(OR('THÁNG 12'!$C93="",'THÁNG 12'!$T93=""),"",'THÁNG 12'!$T93)</f>
        <v/>
      </c>
      <c r="Q986" s="0" t="str">
        <f aca="false">IF(OR('THÁNG 12'!$C93="",'THÁNG 12'!$U93=""),"",'THÁNG 12'!$U93)</f>
        <v/>
      </c>
      <c r="R986" s="0" t="str">
        <f aca="false">IF('THÁNG 12'!$C93="","",'THÁNG 12'!$W93&amp;"")</f>
        <v/>
      </c>
      <c r="S986" s="0" t="str">
        <f aca="false">IF('THÁNG 12'!$C93="","",'THÁNG 12'!$S93&amp;"")</f>
        <v/>
      </c>
      <c r="T986" s="0" t="str">
        <f aca="false">IF(N($O986)&gt;0,COUNTIF($O$3:$O986,"&gt;0"),"")</f>
        <v/>
      </c>
      <c r="U986" s="0" t="str">
        <f aca="false">IF(AND(N($J986)&gt;0,N($K986)&gt;0),COUNTIFS($J$3:$J986,"&gt;0",$K$3:$K986,"&gt;0"),"")</f>
        <v/>
      </c>
      <c r="V986" s="0" t="str">
        <f aca="false">IF(AND(N($J986)&gt;0,N($K986)=0),COUNTIFS($J$3:$J986,"&gt;0",$K$3:$K986,"&lt;=0"),"")</f>
        <v/>
      </c>
      <c r="W986" s="0" t="str">
        <f aca="false">IF($C986="","",IF(COUNTIF($C$3:$C986,$C986)&gt;1,"",MAX($W$2:W985)+1))</f>
        <v/>
      </c>
      <c r="X986" s="0" t="str">
        <f aca="false">IF($H986="","",IF(COUNTIF($H$3:$H986,$H986)&gt;1,"",MAX($X$2:X985)+1))</f>
        <v/>
      </c>
      <c r="Y986" s="0" t="str">
        <f aca="false">IF(AND(N($M986)&gt;0,N($O986)&lt;=0),COUNTIFS($M$3:$M986,"&gt;0",$O$3:$O986,"&lt;=0"),"")</f>
        <v/>
      </c>
      <c r="Z986" s="30" t="n">
        <f aca="false">IF(OR('THÁNG 12'!$C93="",'THÁNG 12'!$B93=""),0,'THÁNG 12'!$B93)</f>
        <v>0</v>
      </c>
    </row>
    <row r="987" customFormat="false" ht="15" hidden="false" customHeight="false" outlineLevel="0" collapsed="false">
      <c r="A987" s="0" t="n">
        <v>12</v>
      </c>
      <c r="B987" s="29" t="str">
        <f aca="false">IF(OR('THÁNG 12'!$C94="",'THÁNG 12'!$B94=""),"",'THÁNG 12'!$B94)</f>
        <v/>
      </c>
      <c r="C987" s="0" t="str">
        <f aca="false">IF('THÁNG 12'!$C94="","",'THÁNG 12'!$C94)</f>
        <v/>
      </c>
      <c r="D987" s="0" t="str">
        <f aca="false">IF('THÁNG 12'!$C94="","",'THÁNG 12'!$D94&amp;"")</f>
        <v/>
      </c>
      <c r="E987" s="0" t="str">
        <f aca="false">IF('THÁNG 12'!$C94="","",'THÁNG 12'!$E94&amp;"")</f>
        <v/>
      </c>
      <c r="F987" s="0" t="str">
        <f aca="false">IF('THÁNG 12'!$C94="","",'THÁNG 12'!$F94&amp;"")</f>
        <v/>
      </c>
      <c r="G987" s="0" t="str">
        <f aca="false">IF('THÁNG 12'!$C94="","",'THÁNG 12'!$G94&amp;"")</f>
        <v/>
      </c>
      <c r="H987" s="0" t="str">
        <f aca="false">IF('THÁNG 12'!$C94="","",'THÁNG 12'!$H94&amp;"")</f>
        <v/>
      </c>
      <c r="I987" s="0" t="str">
        <f aca="false">IF('THÁNG 12'!$C94="","",N('THÁNG 12'!$I94))</f>
        <v/>
      </c>
      <c r="J987" s="0" t="str">
        <f aca="false">IF('THÁNG 12'!$C94="","",N('THÁNG 12'!$L94))</f>
        <v/>
      </c>
      <c r="K987" s="0" t="str">
        <f aca="false">IF('THÁNG 12'!$C94="","",N('THÁNG 12'!$N94))</f>
        <v/>
      </c>
      <c r="L987" s="0" t="str">
        <f aca="false">IF('THÁNG 12'!$C94="","",N('THÁNG 12'!$O94))</f>
        <v/>
      </c>
      <c r="M987" s="0" t="str">
        <f aca="false">IF('THÁNG 12'!$C94="","",N('THÁNG 12'!$P94))</f>
        <v/>
      </c>
      <c r="N987" s="0" t="str">
        <f aca="false">IF('THÁNG 12'!$C94="","",N('THÁNG 12'!$Q94))</f>
        <v/>
      </c>
      <c r="O987" s="0" t="str">
        <f aca="false">IF('THÁNG 12'!$C94="","",N('THÁNG 12'!$R94))</f>
        <v/>
      </c>
      <c r="P987" s="0" t="str">
        <f aca="false">IF(OR('THÁNG 12'!$C94="",'THÁNG 12'!$T94=""),"",'THÁNG 12'!$T94)</f>
        <v/>
      </c>
      <c r="Q987" s="0" t="str">
        <f aca="false">IF(OR('THÁNG 12'!$C94="",'THÁNG 12'!$U94=""),"",'THÁNG 12'!$U94)</f>
        <v/>
      </c>
      <c r="R987" s="0" t="str">
        <f aca="false">IF('THÁNG 12'!$C94="","",'THÁNG 12'!$W94&amp;"")</f>
        <v/>
      </c>
      <c r="S987" s="0" t="str">
        <f aca="false">IF('THÁNG 12'!$C94="","",'THÁNG 12'!$S94&amp;"")</f>
        <v/>
      </c>
      <c r="T987" s="0" t="str">
        <f aca="false">IF(N($O987)&gt;0,COUNTIF($O$3:$O987,"&gt;0"),"")</f>
        <v/>
      </c>
      <c r="U987" s="0" t="str">
        <f aca="false">IF(AND(N($J987)&gt;0,N($K987)&gt;0),COUNTIFS($J$3:$J987,"&gt;0",$K$3:$K987,"&gt;0"),"")</f>
        <v/>
      </c>
      <c r="V987" s="0" t="str">
        <f aca="false">IF(AND(N($J987)&gt;0,N($K987)=0),COUNTIFS($J$3:$J987,"&gt;0",$K$3:$K987,"&lt;=0"),"")</f>
        <v/>
      </c>
      <c r="W987" s="0" t="str">
        <f aca="false">IF($C987="","",IF(COUNTIF($C$3:$C987,$C987)&gt;1,"",MAX($W$2:W986)+1))</f>
        <v/>
      </c>
      <c r="X987" s="0" t="str">
        <f aca="false">IF($H987="","",IF(COUNTIF($H$3:$H987,$H987)&gt;1,"",MAX($X$2:X986)+1))</f>
        <v/>
      </c>
      <c r="Y987" s="0" t="str">
        <f aca="false">IF(AND(N($M987)&gt;0,N($O987)&lt;=0),COUNTIFS($M$3:$M987,"&gt;0",$O$3:$O987,"&lt;=0"),"")</f>
        <v/>
      </c>
      <c r="Z987" s="30" t="n">
        <f aca="false">IF(OR('THÁNG 12'!$C94="",'THÁNG 12'!$B94=""),0,'THÁNG 12'!$B94)</f>
        <v>0</v>
      </c>
    </row>
    <row r="988" customFormat="false" ht="15" hidden="false" customHeight="false" outlineLevel="0" collapsed="false">
      <c r="A988" s="0" t="n">
        <v>12</v>
      </c>
      <c r="B988" s="29" t="str">
        <f aca="false">IF(OR('THÁNG 12'!$C95="",'THÁNG 12'!$B95=""),"",'THÁNG 12'!$B95)</f>
        <v/>
      </c>
      <c r="C988" s="0" t="str">
        <f aca="false">IF('THÁNG 12'!$C95="","",'THÁNG 12'!$C95)</f>
        <v/>
      </c>
      <c r="D988" s="0" t="str">
        <f aca="false">IF('THÁNG 12'!$C95="","",'THÁNG 12'!$D95&amp;"")</f>
        <v/>
      </c>
      <c r="E988" s="0" t="str">
        <f aca="false">IF('THÁNG 12'!$C95="","",'THÁNG 12'!$E95&amp;"")</f>
        <v/>
      </c>
      <c r="F988" s="0" t="str">
        <f aca="false">IF('THÁNG 12'!$C95="","",'THÁNG 12'!$F95&amp;"")</f>
        <v/>
      </c>
      <c r="G988" s="0" t="str">
        <f aca="false">IF('THÁNG 12'!$C95="","",'THÁNG 12'!$G95&amp;"")</f>
        <v/>
      </c>
      <c r="H988" s="0" t="str">
        <f aca="false">IF('THÁNG 12'!$C95="","",'THÁNG 12'!$H95&amp;"")</f>
        <v/>
      </c>
      <c r="I988" s="0" t="str">
        <f aca="false">IF('THÁNG 12'!$C95="","",N('THÁNG 12'!$I95))</f>
        <v/>
      </c>
      <c r="J988" s="0" t="str">
        <f aca="false">IF('THÁNG 12'!$C95="","",N('THÁNG 12'!$L95))</f>
        <v/>
      </c>
      <c r="K988" s="0" t="str">
        <f aca="false">IF('THÁNG 12'!$C95="","",N('THÁNG 12'!$N95))</f>
        <v/>
      </c>
      <c r="L988" s="0" t="str">
        <f aca="false">IF('THÁNG 12'!$C95="","",N('THÁNG 12'!$O95))</f>
        <v/>
      </c>
      <c r="M988" s="0" t="str">
        <f aca="false">IF('THÁNG 12'!$C95="","",N('THÁNG 12'!$P95))</f>
        <v/>
      </c>
      <c r="N988" s="0" t="str">
        <f aca="false">IF('THÁNG 12'!$C95="","",N('THÁNG 12'!$Q95))</f>
        <v/>
      </c>
      <c r="O988" s="0" t="str">
        <f aca="false">IF('THÁNG 12'!$C95="","",N('THÁNG 12'!$R95))</f>
        <v/>
      </c>
      <c r="P988" s="0" t="str">
        <f aca="false">IF(OR('THÁNG 12'!$C95="",'THÁNG 12'!$T95=""),"",'THÁNG 12'!$T95)</f>
        <v/>
      </c>
      <c r="Q988" s="0" t="str">
        <f aca="false">IF(OR('THÁNG 12'!$C95="",'THÁNG 12'!$U95=""),"",'THÁNG 12'!$U95)</f>
        <v/>
      </c>
      <c r="R988" s="0" t="str">
        <f aca="false">IF('THÁNG 12'!$C95="","",'THÁNG 12'!$W95&amp;"")</f>
        <v/>
      </c>
      <c r="S988" s="0" t="str">
        <f aca="false">IF('THÁNG 12'!$C95="","",'THÁNG 12'!$S95&amp;"")</f>
        <v/>
      </c>
      <c r="T988" s="0" t="str">
        <f aca="false">IF(N($O988)&gt;0,COUNTIF($O$3:$O988,"&gt;0"),"")</f>
        <v/>
      </c>
      <c r="U988" s="0" t="str">
        <f aca="false">IF(AND(N($J988)&gt;0,N($K988)&gt;0),COUNTIFS($J$3:$J988,"&gt;0",$K$3:$K988,"&gt;0"),"")</f>
        <v/>
      </c>
      <c r="V988" s="0" t="str">
        <f aca="false">IF(AND(N($J988)&gt;0,N($K988)=0),COUNTIFS($J$3:$J988,"&gt;0",$K$3:$K988,"&lt;=0"),"")</f>
        <v/>
      </c>
      <c r="W988" s="0" t="str">
        <f aca="false">IF($C988="","",IF(COUNTIF($C$3:$C988,$C988)&gt;1,"",MAX($W$2:W987)+1))</f>
        <v/>
      </c>
      <c r="X988" s="0" t="str">
        <f aca="false">IF($H988="","",IF(COUNTIF($H$3:$H988,$H988)&gt;1,"",MAX($X$2:X987)+1))</f>
        <v/>
      </c>
      <c r="Y988" s="0" t="str">
        <f aca="false">IF(AND(N($M988)&gt;0,N($O988)&lt;=0),COUNTIFS($M$3:$M988,"&gt;0",$O$3:$O988,"&lt;=0"),"")</f>
        <v/>
      </c>
      <c r="Z988" s="30" t="n">
        <f aca="false">IF(OR('THÁNG 12'!$C95="",'THÁNG 12'!$B95=""),0,'THÁNG 12'!$B95)</f>
        <v>0</v>
      </c>
    </row>
    <row r="989" customFormat="false" ht="15" hidden="false" customHeight="false" outlineLevel="0" collapsed="false">
      <c r="A989" s="0" t="n">
        <v>12</v>
      </c>
      <c r="B989" s="29" t="str">
        <f aca="false">IF(OR('THÁNG 12'!$C96="",'THÁNG 12'!$B96=""),"",'THÁNG 12'!$B96)</f>
        <v/>
      </c>
      <c r="C989" s="0" t="str">
        <f aca="false">IF('THÁNG 12'!$C96="","",'THÁNG 12'!$C96)</f>
        <v/>
      </c>
      <c r="D989" s="0" t="str">
        <f aca="false">IF('THÁNG 12'!$C96="","",'THÁNG 12'!$D96&amp;"")</f>
        <v/>
      </c>
      <c r="E989" s="0" t="str">
        <f aca="false">IF('THÁNG 12'!$C96="","",'THÁNG 12'!$E96&amp;"")</f>
        <v/>
      </c>
      <c r="F989" s="0" t="str">
        <f aca="false">IF('THÁNG 12'!$C96="","",'THÁNG 12'!$F96&amp;"")</f>
        <v/>
      </c>
      <c r="G989" s="0" t="str">
        <f aca="false">IF('THÁNG 12'!$C96="","",'THÁNG 12'!$G96&amp;"")</f>
        <v/>
      </c>
      <c r="H989" s="0" t="str">
        <f aca="false">IF('THÁNG 12'!$C96="","",'THÁNG 12'!$H96&amp;"")</f>
        <v/>
      </c>
      <c r="I989" s="0" t="str">
        <f aca="false">IF('THÁNG 12'!$C96="","",N('THÁNG 12'!$I96))</f>
        <v/>
      </c>
      <c r="J989" s="0" t="str">
        <f aca="false">IF('THÁNG 12'!$C96="","",N('THÁNG 12'!$L96))</f>
        <v/>
      </c>
      <c r="K989" s="0" t="str">
        <f aca="false">IF('THÁNG 12'!$C96="","",N('THÁNG 12'!$N96))</f>
        <v/>
      </c>
      <c r="L989" s="0" t="str">
        <f aca="false">IF('THÁNG 12'!$C96="","",N('THÁNG 12'!$O96))</f>
        <v/>
      </c>
      <c r="M989" s="0" t="str">
        <f aca="false">IF('THÁNG 12'!$C96="","",N('THÁNG 12'!$P96))</f>
        <v/>
      </c>
      <c r="N989" s="0" t="str">
        <f aca="false">IF('THÁNG 12'!$C96="","",N('THÁNG 12'!$Q96))</f>
        <v/>
      </c>
      <c r="O989" s="0" t="str">
        <f aca="false">IF('THÁNG 12'!$C96="","",N('THÁNG 12'!$R96))</f>
        <v/>
      </c>
      <c r="P989" s="0" t="str">
        <f aca="false">IF(OR('THÁNG 12'!$C96="",'THÁNG 12'!$T96=""),"",'THÁNG 12'!$T96)</f>
        <v/>
      </c>
      <c r="Q989" s="0" t="str">
        <f aca="false">IF(OR('THÁNG 12'!$C96="",'THÁNG 12'!$U96=""),"",'THÁNG 12'!$U96)</f>
        <v/>
      </c>
      <c r="R989" s="0" t="str">
        <f aca="false">IF('THÁNG 12'!$C96="","",'THÁNG 12'!$W96&amp;"")</f>
        <v/>
      </c>
      <c r="S989" s="0" t="str">
        <f aca="false">IF('THÁNG 12'!$C96="","",'THÁNG 12'!$S96&amp;"")</f>
        <v/>
      </c>
      <c r="T989" s="0" t="str">
        <f aca="false">IF(N($O989)&gt;0,COUNTIF($O$3:$O989,"&gt;0"),"")</f>
        <v/>
      </c>
      <c r="U989" s="0" t="str">
        <f aca="false">IF(AND(N($J989)&gt;0,N($K989)&gt;0),COUNTIFS($J$3:$J989,"&gt;0",$K$3:$K989,"&gt;0"),"")</f>
        <v/>
      </c>
      <c r="V989" s="0" t="str">
        <f aca="false">IF(AND(N($J989)&gt;0,N($K989)=0),COUNTIFS($J$3:$J989,"&gt;0",$K$3:$K989,"&lt;=0"),"")</f>
        <v/>
      </c>
      <c r="W989" s="0" t="str">
        <f aca="false">IF($C989="","",IF(COUNTIF($C$3:$C989,$C989)&gt;1,"",MAX($W$2:W988)+1))</f>
        <v/>
      </c>
      <c r="X989" s="0" t="str">
        <f aca="false">IF($H989="","",IF(COUNTIF($H$3:$H989,$H989)&gt;1,"",MAX($X$2:X988)+1))</f>
        <v/>
      </c>
      <c r="Y989" s="0" t="str">
        <f aca="false">IF(AND(N($M989)&gt;0,N($O989)&lt;=0),COUNTIFS($M$3:$M989,"&gt;0",$O$3:$O989,"&lt;=0"),"")</f>
        <v/>
      </c>
      <c r="Z989" s="30" t="n">
        <f aca="false">IF(OR('THÁNG 12'!$C96="",'THÁNG 12'!$B96=""),0,'THÁNG 12'!$B96)</f>
        <v>0</v>
      </c>
    </row>
    <row r="990" customFormat="false" ht="15" hidden="false" customHeight="false" outlineLevel="0" collapsed="false">
      <c r="A990" s="0" t="n">
        <v>12</v>
      </c>
      <c r="B990" s="29" t="str">
        <f aca="false">IF(OR('THÁNG 12'!$C97="",'THÁNG 12'!$B97=""),"",'THÁNG 12'!$B97)</f>
        <v/>
      </c>
      <c r="C990" s="0" t="str">
        <f aca="false">IF('THÁNG 12'!$C97="","",'THÁNG 12'!$C97)</f>
        <v/>
      </c>
      <c r="D990" s="0" t="str">
        <f aca="false">IF('THÁNG 12'!$C97="","",'THÁNG 12'!$D97&amp;"")</f>
        <v/>
      </c>
      <c r="E990" s="0" t="str">
        <f aca="false">IF('THÁNG 12'!$C97="","",'THÁNG 12'!$E97&amp;"")</f>
        <v/>
      </c>
      <c r="F990" s="0" t="str">
        <f aca="false">IF('THÁNG 12'!$C97="","",'THÁNG 12'!$F97&amp;"")</f>
        <v/>
      </c>
      <c r="G990" s="0" t="str">
        <f aca="false">IF('THÁNG 12'!$C97="","",'THÁNG 12'!$G97&amp;"")</f>
        <v/>
      </c>
      <c r="H990" s="0" t="str">
        <f aca="false">IF('THÁNG 12'!$C97="","",'THÁNG 12'!$H97&amp;"")</f>
        <v/>
      </c>
      <c r="I990" s="0" t="str">
        <f aca="false">IF('THÁNG 12'!$C97="","",N('THÁNG 12'!$I97))</f>
        <v/>
      </c>
      <c r="J990" s="0" t="str">
        <f aca="false">IF('THÁNG 12'!$C97="","",N('THÁNG 12'!$L97))</f>
        <v/>
      </c>
      <c r="K990" s="0" t="str">
        <f aca="false">IF('THÁNG 12'!$C97="","",N('THÁNG 12'!$N97))</f>
        <v/>
      </c>
      <c r="L990" s="0" t="str">
        <f aca="false">IF('THÁNG 12'!$C97="","",N('THÁNG 12'!$O97))</f>
        <v/>
      </c>
      <c r="M990" s="0" t="str">
        <f aca="false">IF('THÁNG 12'!$C97="","",N('THÁNG 12'!$P97))</f>
        <v/>
      </c>
      <c r="N990" s="0" t="str">
        <f aca="false">IF('THÁNG 12'!$C97="","",N('THÁNG 12'!$Q97))</f>
        <v/>
      </c>
      <c r="O990" s="0" t="str">
        <f aca="false">IF('THÁNG 12'!$C97="","",N('THÁNG 12'!$R97))</f>
        <v/>
      </c>
      <c r="P990" s="0" t="str">
        <f aca="false">IF(OR('THÁNG 12'!$C97="",'THÁNG 12'!$T97=""),"",'THÁNG 12'!$T97)</f>
        <v/>
      </c>
      <c r="Q990" s="0" t="str">
        <f aca="false">IF(OR('THÁNG 12'!$C97="",'THÁNG 12'!$U97=""),"",'THÁNG 12'!$U97)</f>
        <v/>
      </c>
      <c r="R990" s="0" t="str">
        <f aca="false">IF('THÁNG 12'!$C97="","",'THÁNG 12'!$W97&amp;"")</f>
        <v/>
      </c>
      <c r="S990" s="0" t="str">
        <f aca="false">IF('THÁNG 12'!$C97="","",'THÁNG 12'!$S97&amp;"")</f>
        <v/>
      </c>
      <c r="T990" s="0" t="str">
        <f aca="false">IF(N($O990)&gt;0,COUNTIF($O$3:$O990,"&gt;0"),"")</f>
        <v/>
      </c>
      <c r="U990" s="0" t="str">
        <f aca="false">IF(AND(N($J990)&gt;0,N($K990)&gt;0),COUNTIFS($J$3:$J990,"&gt;0",$K$3:$K990,"&gt;0"),"")</f>
        <v/>
      </c>
      <c r="V990" s="0" t="str">
        <f aca="false">IF(AND(N($J990)&gt;0,N($K990)=0),COUNTIFS($J$3:$J990,"&gt;0",$K$3:$K990,"&lt;=0"),"")</f>
        <v/>
      </c>
      <c r="W990" s="0" t="str">
        <f aca="false">IF($C990="","",IF(COUNTIF($C$3:$C990,$C990)&gt;1,"",MAX($W$2:W989)+1))</f>
        <v/>
      </c>
      <c r="X990" s="0" t="str">
        <f aca="false">IF($H990="","",IF(COUNTIF($H$3:$H990,$H990)&gt;1,"",MAX($X$2:X989)+1))</f>
        <v/>
      </c>
      <c r="Y990" s="0" t="str">
        <f aca="false">IF(AND(N($M990)&gt;0,N($O990)&lt;=0),COUNTIFS($M$3:$M990,"&gt;0",$O$3:$O990,"&lt;=0"),"")</f>
        <v/>
      </c>
      <c r="Z990" s="30" t="n">
        <f aca="false">IF(OR('THÁNG 12'!$C97="",'THÁNG 12'!$B97=""),0,'THÁNG 12'!$B97)</f>
        <v>0</v>
      </c>
    </row>
    <row r="991" customFormat="false" ht="15" hidden="false" customHeight="false" outlineLevel="0" collapsed="false">
      <c r="A991" s="0" t="n">
        <v>12</v>
      </c>
      <c r="B991" s="29" t="str">
        <f aca="false">IF(OR('THÁNG 12'!$C98="",'THÁNG 12'!$B98=""),"",'THÁNG 12'!$B98)</f>
        <v/>
      </c>
      <c r="C991" s="0" t="str">
        <f aca="false">IF('THÁNG 12'!$C98="","",'THÁNG 12'!$C98)</f>
        <v/>
      </c>
      <c r="D991" s="0" t="str">
        <f aca="false">IF('THÁNG 12'!$C98="","",'THÁNG 12'!$D98&amp;"")</f>
        <v/>
      </c>
      <c r="E991" s="0" t="str">
        <f aca="false">IF('THÁNG 12'!$C98="","",'THÁNG 12'!$E98&amp;"")</f>
        <v/>
      </c>
      <c r="F991" s="0" t="str">
        <f aca="false">IF('THÁNG 12'!$C98="","",'THÁNG 12'!$F98&amp;"")</f>
        <v/>
      </c>
      <c r="G991" s="0" t="str">
        <f aca="false">IF('THÁNG 12'!$C98="","",'THÁNG 12'!$G98&amp;"")</f>
        <v/>
      </c>
      <c r="H991" s="0" t="str">
        <f aca="false">IF('THÁNG 12'!$C98="","",'THÁNG 12'!$H98&amp;"")</f>
        <v/>
      </c>
      <c r="I991" s="0" t="str">
        <f aca="false">IF('THÁNG 12'!$C98="","",N('THÁNG 12'!$I98))</f>
        <v/>
      </c>
      <c r="J991" s="0" t="str">
        <f aca="false">IF('THÁNG 12'!$C98="","",N('THÁNG 12'!$L98))</f>
        <v/>
      </c>
      <c r="K991" s="0" t="str">
        <f aca="false">IF('THÁNG 12'!$C98="","",N('THÁNG 12'!$N98))</f>
        <v/>
      </c>
      <c r="L991" s="0" t="str">
        <f aca="false">IF('THÁNG 12'!$C98="","",N('THÁNG 12'!$O98))</f>
        <v/>
      </c>
      <c r="M991" s="0" t="str">
        <f aca="false">IF('THÁNG 12'!$C98="","",N('THÁNG 12'!$P98))</f>
        <v/>
      </c>
      <c r="N991" s="0" t="str">
        <f aca="false">IF('THÁNG 12'!$C98="","",N('THÁNG 12'!$Q98))</f>
        <v/>
      </c>
      <c r="O991" s="0" t="str">
        <f aca="false">IF('THÁNG 12'!$C98="","",N('THÁNG 12'!$R98))</f>
        <v/>
      </c>
      <c r="P991" s="0" t="str">
        <f aca="false">IF(OR('THÁNG 12'!$C98="",'THÁNG 12'!$T98=""),"",'THÁNG 12'!$T98)</f>
        <v/>
      </c>
      <c r="Q991" s="0" t="str">
        <f aca="false">IF(OR('THÁNG 12'!$C98="",'THÁNG 12'!$U98=""),"",'THÁNG 12'!$U98)</f>
        <v/>
      </c>
      <c r="R991" s="0" t="str">
        <f aca="false">IF('THÁNG 12'!$C98="","",'THÁNG 12'!$W98&amp;"")</f>
        <v/>
      </c>
      <c r="S991" s="0" t="str">
        <f aca="false">IF('THÁNG 12'!$C98="","",'THÁNG 12'!$S98&amp;"")</f>
        <v/>
      </c>
      <c r="T991" s="0" t="str">
        <f aca="false">IF(N($O991)&gt;0,COUNTIF($O$3:$O991,"&gt;0"),"")</f>
        <v/>
      </c>
      <c r="U991" s="0" t="str">
        <f aca="false">IF(AND(N($J991)&gt;0,N($K991)&gt;0),COUNTIFS($J$3:$J991,"&gt;0",$K$3:$K991,"&gt;0"),"")</f>
        <v/>
      </c>
      <c r="V991" s="0" t="str">
        <f aca="false">IF(AND(N($J991)&gt;0,N($K991)=0),COUNTIFS($J$3:$J991,"&gt;0",$K$3:$K991,"&lt;=0"),"")</f>
        <v/>
      </c>
      <c r="W991" s="0" t="str">
        <f aca="false">IF($C991="","",IF(COUNTIF($C$3:$C991,$C991)&gt;1,"",MAX($W$2:W990)+1))</f>
        <v/>
      </c>
      <c r="X991" s="0" t="str">
        <f aca="false">IF($H991="","",IF(COUNTIF($H$3:$H991,$H991)&gt;1,"",MAX($X$2:X990)+1))</f>
        <v/>
      </c>
      <c r="Y991" s="0" t="str">
        <f aca="false">IF(AND(N($M991)&gt;0,N($O991)&lt;=0),COUNTIFS($M$3:$M991,"&gt;0",$O$3:$O991,"&lt;=0"),"")</f>
        <v/>
      </c>
      <c r="Z991" s="30" t="n">
        <f aca="false">IF(OR('THÁNG 12'!$C98="",'THÁNG 12'!$B98=""),0,'THÁNG 12'!$B98)</f>
        <v>0</v>
      </c>
    </row>
    <row r="992" customFormat="false" ht="15" hidden="false" customHeight="false" outlineLevel="0" collapsed="false">
      <c r="A992" s="0" t="n">
        <v>12</v>
      </c>
      <c r="B992" s="29" t="str">
        <f aca="false">IF(OR('THÁNG 12'!$C99="",'THÁNG 12'!$B99=""),"",'THÁNG 12'!$B99)</f>
        <v/>
      </c>
      <c r="C992" s="0" t="str">
        <f aca="false">IF('THÁNG 12'!$C99="","",'THÁNG 12'!$C99)</f>
        <v/>
      </c>
      <c r="D992" s="0" t="str">
        <f aca="false">IF('THÁNG 12'!$C99="","",'THÁNG 12'!$D99&amp;"")</f>
        <v/>
      </c>
      <c r="E992" s="0" t="str">
        <f aca="false">IF('THÁNG 12'!$C99="","",'THÁNG 12'!$E99&amp;"")</f>
        <v/>
      </c>
      <c r="F992" s="0" t="str">
        <f aca="false">IF('THÁNG 12'!$C99="","",'THÁNG 12'!$F99&amp;"")</f>
        <v/>
      </c>
      <c r="G992" s="0" t="str">
        <f aca="false">IF('THÁNG 12'!$C99="","",'THÁNG 12'!$G99&amp;"")</f>
        <v/>
      </c>
      <c r="H992" s="0" t="str">
        <f aca="false">IF('THÁNG 12'!$C99="","",'THÁNG 12'!$H99&amp;"")</f>
        <v/>
      </c>
      <c r="I992" s="0" t="str">
        <f aca="false">IF('THÁNG 12'!$C99="","",N('THÁNG 12'!$I99))</f>
        <v/>
      </c>
      <c r="J992" s="0" t="str">
        <f aca="false">IF('THÁNG 12'!$C99="","",N('THÁNG 12'!$L99))</f>
        <v/>
      </c>
      <c r="K992" s="0" t="str">
        <f aca="false">IF('THÁNG 12'!$C99="","",N('THÁNG 12'!$N99))</f>
        <v/>
      </c>
      <c r="L992" s="0" t="str">
        <f aca="false">IF('THÁNG 12'!$C99="","",N('THÁNG 12'!$O99))</f>
        <v/>
      </c>
      <c r="M992" s="0" t="str">
        <f aca="false">IF('THÁNG 12'!$C99="","",N('THÁNG 12'!$P99))</f>
        <v/>
      </c>
      <c r="N992" s="0" t="str">
        <f aca="false">IF('THÁNG 12'!$C99="","",N('THÁNG 12'!$Q99))</f>
        <v/>
      </c>
      <c r="O992" s="0" t="str">
        <f aca="false">IF('THÁNG 12'!$C99="","",N('THÁNG 12'!$R99))</f>
        <v/>
      </c>
      <c r="P992" s="0" t="str">
        <f aca="false">IF(OR('THÁNG 12'!$C99="",'THÁNG 12'!$T99=""),"",'THÁNG 12'!$T99)</f>
        <v/>
      </c>
      <c r="Q992" s="0" t="str">
        <f aca="false">IF(OR('THÁNG 12'!$C99="",'THÁNG 12'!$U99=""),"",'THÁNG 12'!$U99)</f>
        <v/>
      </c>
      <c r="R992" s="0" t="str">
        <f aca="false">IF('THÁNG 12'!$C99="","",'THÁNG 12'!$W99&amp;"")</f>
        <v/>
      </c>
      <c r="S992" s="0" t="str">
        <f aca="false">IF('THÁNG 12'!$C99="","",'THÁNG 12'!$S99&amp;"")</f>
        <v/>
      </c>
      <c r="T992" s="0" t="str">
        <f aca="false">IF(N($O992)&gt;0,COUNTIF($O$3:$O992,"&gt;0"),"")</f>
        <v/>
      </c>
      <c r="U992" s="0" t="str">
        <f aca="false">IF(AND(N($J992)&gt;0,N($K992)&gt;0),COUNTIFS($J$3:$J992,"&gt;0",$K$3:$K992,"&gt;0"),"")</f>
        <v/>
      </c>
      <c r="V992" s="0" t="str">
        <f aca="false">IF(AND(N($J992)&gt;0,N($K992)=0),COUNTIFS($J$3:$J992,"&gt;0",$K$3:$K992,"&lt;=0"),"")</f>
        <v/>
      </c>
      <c r="W992" s="0" t="str">
        <f aca="false">IF($C992="","",IF(COUNTIF($C$3:$C992,$C992)&gt;1,"",MAX($W$2:W991)+1))</f>
        <v/>
      </c>
      <c r="X992" s="0" t="str">
        <f aca="false">IF($H992="","",IF(COUNTIF($H$3:$H992,$H992)&gt;1,"",MAX($X$2:X991)+1))</f>
        <v/>
      </c>
      <c r="Y992" s="0" t="str">
        <f aca="false">IF(AND(N($M992)&gt;0,N($O992)&lt;=0),COUNTIFS($M$3:$M992,"&gt;0",$O$3:$O992,"&lt;=0"),"")</f>
        <v/>
      </c>
      <c r="Z992" s="30" t="n">
        <f aca="false">IF(OR('THÁNG 12'!$C99="",'THÁNG 12'!$B99=""),0,'THÁNG 12'!$B99)</f>
        <v>0</v>
      </c>
    </row>
    <row r="993" customFormat="false" ht="15" hidden="false" customHeight="false" outlineLevel="0" collapsed="false">
      <c r="A993" s="0" t="n">
        <v>12</v>
      </c>
      <c r="B993" s="29" t="str">
        <f aca="false">IF(OR('THÁNG 12'!$C100="",'THÁNG 12'!$B100=""),"",'THÁNG 12'!$B100)</f>
        <v/>
      </c>
      <c r="C993" s="0" t="str">
        <f aca="false">IF('THÁNG 12'!$C100="","",'THÁNG 12'!$C100)</f>
        <v/>
      </c>
      <c r="D993" s="0" t="str">
        <f aca="false">IF('THÁNG 12'!$C100="","",'THÁNG 12'!$D100&amp;"")</f>
        <v/>
      </c>
      <c r="E993" s="0" t="str">
        <f aca="false">IF('THÁNG 12'!$C100="","",'THÁNG 12'!$E100&amp;"")</f>
        <v/>
      </c>
      <c r="F993" s="0" t="str">
        <f aca="false">IF('THÁNG 12'!$C100="","",'THÁNG 12'!$F100&amp;"")</f>
        <v/>
      </c>
      <c r="G993" s="0" t="str">
        <f aca="false">IF('THÁNG 12'!$C100="","",'THÁNG 12'!$G100&amp;"")</f>
        <v/>
      </c>
      <c r="H993" s="0" t="str">
        <f aca="false">IF('THÁNG 12'!$C100="","",'THÁNG 12'!$H100&amp;"")</f>
        <v/>
      </c>
      <c r="I993" s="0" t="str">
        <f aca="false">IF('THÁNG 12'!$C100="","",N('THÁNG 12'!$I100))</f>
        <v/>
      </c>
      <c r="J993" s="0" t="str">
        <f aca="false">IF('THÁNG 12'!$C100="","",N('THÁNG 12'!$L100))</f>
        <v/>
      </c>
      <c r="K993" s="0" t="str">
        <f aca="false">IF('THÁNG 12'!$C100="","",N('THÁNG 12'!$N100))</f>
        <v/>
      </c>
      <c r="L993" s="0" t="str">
        <f aca="false">IF('THÁNG 12'!$C100="","",N('THÁNG 12'!$O100))</f>
        <v/>
      </c>
      <c r="M993" s="0" t="str">
        <f aca="false">IF('THÁNG 12'!$C100="","",N('THÁNG 12'!$P100))</f>
        <v/>
      </c>
      <c r="N993" s="0" t="str">
        <f aca="false">IF('THÁNG 12'!$C100="","",N('THÁNG 12'!$Q100))</f>
        <v/>
      </c>
      <c r="O993" s="0" t="str">
        <f aca="false">IF('THÁNG 12'!$C100="","",N('THÁNG 12'!$R100))</f>
        <v/>
      </c>
      <c r="P993" s="0" t="str">
        <f aca="false">IF(OR('THÁNG 12'!$C100="",'THÁNG 12'!$T100=""),"",'THÁNG 12'!$T100)</f>
        <v/>
      </c>
      <c r="Q993" s="0" t="str">
        <f aca="false">IF(OR('THÁNG 12'!$C100="",'THÁNG 12'!$U100=""),"",'THÁNG 12'!$U100)</f>
        <v/>
      </c>
      <c r="R993" s="0" t="str">
        <f aca="false">IF('THÁNG 12'!$C100="","",'THÁNG 12'!$W100&amp;"")</f>
        <v/>
      </c>
      <c r="S993" s="0" t="str">
        <f aca="false">IF('THÁNG 12'!$C100="","",'THÁNG 12'!$S100&amp;"")</f>
        <v/>
      </c>
      <c r="T993" s="0" t="str">
        <f aca="false">IF(N($O993)&gt;0,COUNTIF($O$3:$O993,"&gt;0"),"")</f>
        <v/>
      </c>
      <c r="U993" s="0" t="str">
        <f aca="false">IF(AND(N($J993)&gt;0,N($K993)&gt;0),COUNTIFS($J$3:$J993,"&gt;0",$K$3:$K993,"&gt;0"),"")</f>
        <v/>
      </c>
      <c r="V993" s="0" t="str">
        <f aca="false">IF(AND(N($J993)&gt;0,N($K993)=0),COUNTIFS($J$3:$J993,"&gt;0",$K$3:$K993,"&lt;=0"),"")</f>
        <v/>
      </c>
      <c r="W993" s="0" t="str">
        <f aca="false">IF($C993="","",IF(COUNTIF($C$3:$C993,$C993)&gt;1,"",MAX($W$2:W992)+1))</f>
        <v/>
      </c>
      <c r="X993" s="0" t="str">
        <f aca="false">IF($H993="","",IF(COUNTIF($H$3:$H993,$H993)&gt;1,"",MAX($X$2:X992)+1))</f>
        <v/>
      </c>
      <c r="Y993" s="0" t="str">
        <f aca="false">IF(AND(N($M993)&gt;0,N($O993)&lt;=0),COUNTIFS($M$3:$M993,"&gt;0",$O$3:$O993,"&lt;=0"),"")</f>
        <v/>
      </c>
      <c r="Z993" s="30" t="n">
        <f aca="false">IF(OR('THÁNG 12'!$C100="",'THÁNG 12'!$B100=""),0,'THÁNG 12'!$B100)</f>
        <v>0</v>
      </c>
    </row>
    <row r="994" customFormat="false" ht="15" hidden="false" customHeight="false" outlineLevel="0" collapsed="false">
      <c r="A994" s="0" t="n">
        <v>12</v>
      </c>
      <c r="B994" s="29" t="str">
        <f aca="false">IF(OR('THÁNG 12'!$C101="",'THÁNG 12'!$B101=""),"",'THÁNG 12'!$B101)</f>
        <v/>
      </c>
      <c r="C994" s="0" t="str">
        <f aca="false">IF('THÁNG 12'!$C101="","",'THÁNG 12'!$C101)</f>
        <v/>
      </c>
      <c r="D994" s="0" t="str">
        <f aca="false">IF('THÁNG 12'!$C101="","",'THÁNG 12'!$D101&amp;"")</f>
        <v/>
      </c>
      <c r="E994" s="0" t="str">
        <f aca="false">IF('THÁNG 12'!$C101="","",'THÁNG 12'!$E101&amp;"")</f>
        <v/>
      </c>
      <c r="F994" s="0" t="str">
        <f aca="false">IF('THÁNG 12'!$C101="","",'THÁNG 12'!$F101&amp;"")</f>
        <v/>
      </c>
      <c r="G994" s="0" t="str">
        <f aca="false">IF('THÁNG 12'!$C101="","",'THÁNG 12'!$G101&amp;"")</f>
        <v/>
      </c>
      <c r="H994" s="0" t="str">
        <f aca="false">IF('THÁNG 12'!$C101="","",'THÁNG 12'!$H101&amp;"")</f>
        <v/>
      </c>
      <c r="I994" s="0" t="str">
        <f aca="false">IF('THÁNG 12'!$C101="","",N('THÁNG 12'!$I101))</f>
        <v/>
      </c>
      <c r="J994" s="0" t="str">
        <f aca="false">IF('THÁNG 12'!$C101="","",N('THÁNG 12'!$L101))</f>
        <v/>
      </c>
      <c r="K994" s="0" t="str">
        <f aca="false">IF('THÁNG 12'!$C101="","",N('THÁNG 12'!$N101))</f>
        <v/>
      </c>
      <c r="L994" s="0" t="str">
        <f aca="false">IF('THÁNG 12'!$C101="","",N('THÁNG 12'!$O101))</f>
        <v/>
      </c>
      <c r="M994" s="0" t="str">
        <f aca="false">IF('THÁNG 12'!$C101="","",N('THÁNG 12'!$P101))</f>
        <v/>
      </c>
      <c r="N994" s="0" t="str">
        <f aca="false">IF('THÁNG 12'!$C101="","",N('THÁNG 12'!$Q101))</f>
        <v/>
      </c>
      <c r="O994" s="0" t="str">
        <f aca="false">IF('THÁNG 12'!$C101="","",N('THÁNG 12'!$R101))</f>
        <v/>
      </c>
      <c r="P994" s="0" t="str">
        <f aca="false">IF(OR('THÁNG 12'!$C101="",'THÁNG 12'!$T101=""),"",'THÁNG 12'!$T101)</f>
        <v/>
      </c>
      <c r="Q994" s="0" t="str">
        <f aca="false">IF(OR('THÁNG 12'!$C101="",'THÁNG 12'!$U101=""),"",'THÁNG 12'!$U101)</f>
        <v/>
      </c>
      <c r="R994" s="0" t="str">
        <f aca="false">IF('THÁNG 12'!$C101="","",'THÁNG 12'!$W101&amp;"")</f>
        <v/>
      </c>
      <c r="S994" s="0" t="str">
        <f aca="false">IF('THÁNG 12'!$C101="","",'THÁNG 12'!$S101&amp;"")</f>
        <v/>
      </c>
      <c r="T994" s="0" t="str">
        <f aca="false">IF(N($O994)&gt;0,COUNTIF($O$3:$O994,"&gt;0"),"")</f>
        <v/>
      </c>
      <c r="U994" s="0" t="str">
        <f aca="false">IF(AND(N($J994)&gt;0,N($K994)&gt;0),COUNTIFS($J$3:$J994,"&gt;0",$K$3:$K994,"&gt;0"),"")</f>
        <v/>
      </c>
      <c r="V994" s="0" t="str">
        <f aca="false">IF(AND(N($J994)&gt;0,N($K994)=0),COUNTIFS($J$3:$J994,"&gt;0",$K$3:$K994,"&lt;=0"),"")</f>
        <v/>
      </c>
      <c r="W994" s="0" t="str">
        <f aca="false">IF($C994="","",IF(COUNTIF($C$3:$C994,$C994)&gt;1,"",MAX($W$2:W993)+1))</f>
        <v/>
      </c>
      <c r="X994" s="0" t="str">
        <f aca="false">IF($H994="","",IF(COUNTIF($H$3:$H994,$H994)&gt;1,"",MAX($X$2:X993)+1))</f>
        <v/>
      </c>
      <c r="Y994" s="0" t="str">
        <f aca="false">IF(AND(N($M994)&gt;0,N($O994)&lt;=0),COUNTIFS($M$3:$M994,"&gt;0",$O$3:$O994,"&lt;=0"),"")</f>
        <v/>
      </c>
      <c r="Z994" s="30" t="n">
        <f aca="false">IF(OR('THÁNG 12'!$C101="",'THÁNG 12'!$B101=""),0,'THÁNG 12'!$B101)</f>
        <v>0</v>
      </c>
    </row>
    <row r="995" customFormat="false" ht="15" hidden="false" customHeight="false" outlineLevel="0" collapsed="false">
      <c r="A995" s="0" t="n">
        <v>12</v>
      </c>
      <c r="B995" s="29" t="str">
        <f aca="false">IF(OR('THÁNG 12'!$C102="",'THÁNG 12'!$B102=""),"",'THÁNG 12'!$B102)</f>
        <v/>
      </c>
      <c r="C995" s="0" t="str">
        <f aca="false">IF('THÁNG 12'!$C102="","",'THÁNG 12'!$C102)</f>
        <v/>
      </c>
      <c r="D995" s="0" t="str">
        <f aca="false">IF('THÁNG 12'!$C102="","",'THÁNG 12'!$D102&amp;"")</f>
        <v/>
      </c>
      <c r="E995" s="0" t="str">
        <f aca="false">IF('THÁNG 12'!$C102="","",'THÁNG 12'!$E102&amp;"")</f>
        <v/>
      </c>
      <c r="F995" s="0" t="str">
        <f aca="false">IF('THÁNG 12'!$C102="","",'THÁNG 12'!$F102&amp;"")</f>
        <v/>
      </c>
      <c r="G995" s="0" t="str">
        <f aca="false">IF('THÁNG 12'!$C102="","",'THÁNG 12'!$G102&amp;"")</f>
        <v/>
      </c>
      <c r="H995" s="0" t="str">
        <f aca="false">IF('THÁNG 12'!$C102="","",'THÁNG 12'!$H102&amp;"")</f>
        <v/>
      </c>
      <c r="I995" s="0" t="str">
        <f aca="false">IF('THÁNG 12'!$C102="","",N('THÁNG 12'!$I102))</f>
        <v/>
      </c>
      <c r="J995" s="0" t="str">
        <f aca="false">IF('THÁNG 12'!$C102="","",N('THÁNG 12'!$L102))</f>
        <v/>
      </c>
      <c r="K995" s="0" t="str">
        <f aca="false">IF('THÁNG 12'!$C102="","",N('THÁNG 12'!$N102))</f>
        <v/>
      </c>
      <c r="L995" s="0" t="str">
        <f aca="false">IF('THÁNG 12'!$C102="","",N('THÁNG 12'!$O102))</f>
        <v/>
      </c>
      <c r="M995" s="0" t="str">
        <f aca="false">IF('THÁNG 12'!$C102="","",N('THÁNG 12'!$P102))</f>
        <v/>
      </c>
      <c r="N995" s="0" t="str">
        <f aca="false">IF('THÁNG 12'!$C102="","",N('THÁNG 12'!$Q102))</f>
        <v/>
      </c>
      <c r="O995" s="0" t="str">
        <f aca="false">IF('THÁNG 12'!$C102="","",N('THÁNG 12'!$R102))</f>
        <v/>
      </c>
      <c r="P995" s="0" t="str">
        <f aca="false">IF(OR('THÁNG 12'!$C102="",'THÁNG 12'!$T102=""),"",'THÁNG 12'!$T102)</f>
        <v/>
      </c>
      <c r="Q995" s="0" t="str">
        <f aca="false">IF(OR('THÁNG 12'!$C102="",'THÁNG 12'!$U102=""),"",'THÁNG 12'!$U102)</f>
        <v/>
      </c>
      <c r="R995" s="0" t="str">
        <f aca="false">IF('THÁNG 12'!$C102="","",'THÁNG 12'!$W102&amp;"")</f>
        <v/>
      </c>
      <c r="S995" s="0" t="str">
        <f aca="false">IF('THÁNG 12'!$C102="","",'THÁNG 12'!$S102&amp;"")</f>
        <v/>
      </c>
      <c r="T995" s="0" t="str">
        <f aca="false">IF(N($O995)&gt;0,COUNTIF($O$3:$O995,"&gt;0"),"")</f>
        <v/>
      </c>
      <c r="U995" s="0" t="str">
        <f aca="false">IF(AND(N($J995)&gt;0,N($K995)&gt;0),COUNTIFS($J$3:$J995,"&gt;0",$K$3:$K995,"&gt;0"),"")</f>
        <v/>
      </c>
      <c r="V995" s="0" t="str">
        <f aca="false">IF(AND(N($J995)&gt;0,N($K995)=0),COUNTIFS($J$3:$J995,"&gt;0",$K$3:$K995,"&lt;=0"),"")</f>
        <v/>
      </c>
      <c r="W995" s="0" t="str">
        <f aca="false">IF($C995="","",IF(COUNTIF($C$3:$C995,$C995)&gt;1,"",MAX($W$2:W994)+1))</f>
        <v/>
      </c>
      <c r="X995" s="0" t="str">
        <f aca="false">IF($H995="","",IF(COUNTIF($H$3:$H995,$H995)&gt;1,"",MAX($X$2:X994)+1))</f>
        <v/>
      </c>
      <c r="Y995" s="0" t="str">
        <f aca="false">IF(AND(N($M995)&gt;0,N($O995)&lt;=0),COUNTIFS($M$3:$M995,"&gt;0",$O$3:$O995,"&lt;=0"),"")</f>
        <v/>
      </c>
      <c r="Z995" s="30" t="n">
        <f aca="false">IF(OR('THÁNG 12'!$C102="",'THÁNG 12'!$B102=""),0,'THÁNG 12'!$B102)</f>
        <v>0</v>
      </c>
    </row>
    <row r="996" customFormat="false" ht="15" hidden="false" customHeight="false" outlineLevel="0" collapsed="false">
      <c r="A996" s="0" t="n">
        <v>12</v>
      </c>
      <c r="B996" s="29" t="str">
        <f aca="false">IF(OR('THÁNG 12'!$C103="",'THÁNG 12'!$B103=""),"",'THÁNG 12'!$B103)</f>
        <v/>
      </c>
      <c r="C996" s="0" t="str">
        <f aca="false">IF('THÁNG 12'!$C103="","",'THÁNG 12'!$C103)</f>
        <v/>
      </c>
      <c r="D996" s="0" t="str">
        <f aca="false">IF('THÁNG 12'!$C103="","",'THÁNG 12'!$D103&amp;"")</f>
        <v/>
      </c>
      <c r="E996" s="0" t="str">
        <f aca="false">IF('THÁNG 12'!$C103="","",'THÁNG 12'!$E103&amp;"")</f>
        <v/>
      </c>
      <c r="F996" s="0" t="str">
        <f aca="false">IF('THÁNG 12'!$C103="","",'THÁNG 12'!$F103&amp;"")</f>
        <v/>
      </c>
      <c r="G996" s="0" t="str">
        <f aca="false">IF('THÁNG 12'!$C103="","",'THÁNG 12'!$G103&amp;"")</f>
        <v/>
      </c>
      <c r="H996" s="0" t="str">
        <f aca="false">IF('THÁNG 12'!$C103="","",'THÁNG 12'!$H103&amp;"")</f>
        <v/>
      </c>
      <c r="I996" s="0" t="str">
        <f aca="false">IF('THÁNG 12'!$C103="","",N('THÁNG 12'!$I103))</f>
        <v/>
      </c>
      <c r="J996" s="0" t="str">
        <f aca="false">IF('THÁNG 12'!$C103="","",N('THÁNG 12'!$L103))</f>
        <v/>
      </c>
      <c r="K996" s="0" t="str">
        <f aca="false">IF('THÁNG 12'!$C103="","",N('THÁNG 12'!$N103))</f>
        <v/>
      </c>
      <c r="L996" s="0" t="str">
        <f aca="false">IF('THÁNG 12'!$C103="","",N('THÁNG 12'!$O103))</f>
        <v/>
      </c>
      <c r="M996" s="0" t="str">
        <f aca="false">IF('THÁNG 12'!$C103="","",N('THÁNG 12'!$P103))</f>
        <v/>
      </c>
      <c r="N996" s="0" t="str">
        <f aca="false">IF('THÁNG 12'!$C103="","",N('THÁNG 12'!$Q103))</f>
        <v/>
      </c>
      <c r="O996" s="0" t="str">
        <f aca="false">IF('THÁNG 12'!$C103="","",N('THÁNG 12'!$R103))</f>
        <v/>
      </c>
      <c r="P996" s="0" t="str">
        <f aca="false">IF(OR('THÁNG 12'!$C103="",'THÁNG 12'!$T103=""),"",'THÁNG 12'!$T103)</f>
        <v/>
      </c>
      <c r="Q996" s="0" t="str">
        <f aca="false">IF(OR('THÁNG 12'!$C103="",'THÁNG 12'!$U103=""),"",'THÁNG 12'!$U103)</f>
        <v/>
      </c>
      <c r="R996" s="0" t="str">
        <f aca="false">IF('THÁNG 12'!$C103="","",'THÁNG 12'!$W103&amp;"")</f>
        <v/>
      </c>
      <c r="S996" s="0" t="str">
        <f aca="false">IF('THÁNG 12'!$C103="","",'THÁNG 12'!$S103&amp;"")</f>
        <v/>
      </c>
      <c r="T996" s="0" t="str">
        <f aca="false">IF(N($O996)&gt;0,COUNTIF($O$3:$O996,"&gt;0"),"")</f>
        <v/>
      </c>
      <c r="U996" s="0" t="str">
        <f aca="false">IF(AND(N($J996)&gt;0,N($K996)&gt;0),COUNTIFS($J$3:$J996,"&gt;0",$K$3:$K996,"&gt;0"),"")</f>
        <v/>
      </c>
      <c r="V996" s="0" t="str">
        <f aca="false">IF(AND(N($J996)&gt;0,N($K996)=0),COUNTIFS($J$3:$J996,"&gt;0",$K$3:$K996,"&lt;=0"),"")</f>
        <v/>
      </c>
      <c r="W996" s="0" t="str">
        <f aca="false">IF($C996="","",IF(COUNTIF($C$3:$C996,$C996)&gt;1,"",MAX($W$2:W995)+1))</f>
        <v/>
      </c>
      <c r="X996" s="0" t="str">
        <f aca="false">IF($H996="","",IF(COUNTIF($H$3:$H996,$H996)&gt;1,"",MAX($X$2:X995)+1))</f>
        <v/>
      </c>
      <c r="Y996" s="0" t="str">
        <f aca="false">IF(AND(N($M996)&gt;0,N($O996)&lt;=0),COUNTIFS($M$3:$M996,"&gt;0",$O$3:$O996,"&lt;=0"),"")</f>
        <v/>
      </c>
      <c r="Z996" s="30" t="n">
        <f aca="false">IF(OR('THÁNG 12'!$C103="",'THÁNG 12'!$B103=""),0,'THÁNG 12'!$B103)</f>
        <v>0</v>
      </c>
    </row>
    <row r="997" customFormat="false" ht="15" hidden="false" customHeight="false" outlineLevel="0" collapsed="false">
      <c r="A997" s="0" t="n">
        <v>12</v>
      </c>
      <c r="B997" s="29" t="str">
        <f aca="false">IF(OR('THÁNG 12'!$C104="",'THÁNG 12'!$B104=""),"",'THÁNG 12'!$B104)</f>
        <v/>
      </c>
      <c r="C997" s="0" t="str">
        <f aca="false">IF('THÁNG 12'!$C104="","",'THÁNG 12'!$C104)</f>
        <v/>
      </c>
      <c r="D997" s="0" t="str">
        <f aca="false">IF('THÁNG 12'!$C104="","",'THÁNG 12'!$D104&amp;"")</f>
        <v/>
      </c>
      <c r="E997" s="0" t="str">
        <f aca="false">IF('THÁNG 12'!$C104="","",'THÁNG 12'!$E104&amp;"")</f>
        <v/>
      </c>
      <c r="F997" s="0" t="str">
        <f aca="false">IF('THÁNG 12'!$C104="","",'THÁNG 12'!$F104&amp;"")</f>
        <v/>
      </c>
      <c r="G997" s="0" t="str">
        <f aca="false">IF('THÁNG 12'!$C104="","",'THÁNG 12'!$G104&amp;"")</f>
        <v/>
      </c>
      <c r="H997" s="0" t="str">
        <f aca="false">IF('THÁNG 12'!$C104="","",'THÁNG 12'!$H104&amp;"")</f>
        <v/>
      </c>
      <c r="I997" s="0" t="str">
        <f aca="false">IF('THÁNG 12'!$C104="","",N('THÁNG 12'!$I104))</f>
        <v/>
      </c>
      <c r="J997" s="0" t="str">
        <f aca="false">IF('THÁNG 12'!$C104="","",N('THÁNG 12'!$L104))</f>
        <v/>
      </c>
      <c r="K997" s="0" t="str">
        <f aca="false">IF('THÁNG 12'!$C104="","",N('THÁNG 12'!$N104))</f>
        <v/>
      </c>
      <c r="L997" s="0" t="str">
        <f aca="false">IF('THÁNG 12'!$C104="","",N('THÁNG 12'!$O104))</f>
        <v/>
      </c>
      <c r="M997" s="0" t="str">
        <f aca="false">IF('THÁNG 12'!$C104="","",N('THÁNG 12'!$P104))</f>
        <v/>
      </c>
      <c r="N997" s="0" t="str">
        <f aca="false">IF('THÁNG 12'!$C104="","",N('THÁNG 12'!$Q104))</f>
        <v/>
      </c>
      <c r="O997" s="0" t="str">
        <f aca="false">IF('THÁNG 12'!$C104="","",N('THÁNG 12'!$R104))</f>
        <v/>
      </c>
      <c r="P997" s="0" t="str">
        <f aca="false">IF(OR('THÁNG 12'!$C104="",'THÁNG 12'!$T104=""),"",'THÁNG 12'!$T104)</f>
        <v/>
      </c>
      <c r="Q997" s="0" t="str">
        <f aca="false">IF(OR('THÁNG 12'!$C104="",'THÁNG 12'!$U104=""),"",'THÁNG 12'!$U104)</f>
        <v/>
      </c>
      <c r="R997" s="0" t="str">
        <f aca="false">IF('THÁNG 12'!$C104="","",'THÁNG 12'!$W104&amp;"")</f>
        <v/>
      </c>
      <c r="S997" s="0" t="str">
        <f aca="false">IF('THÁNG 12'!$C104="","",'THÁNG 12'!$S104&amp;"")</f>
        <v/>
      </c>
      <c r="T997" s="0" t="str">
        <f aca="false">IF(N($O997)&gt;0,COUNTIF($O$3:$O997,"&gt;0"),"")</f>
        <v/>
      </c>
      <c r="U997" s="0" t="str">
        <f aca="false">IF(AND(N($J997)&gt;0,N($K997)&gt;0),COUNTIFS($J$3:$J997,"&gt;0",$K$3:$K997,"&gt;0"),"")</f>
        <v/>
      </c>
      <c r="V997" s="0" t="str">
        <f aca="false">IF(AND(N($J997)&gt;0,N($K997)=0),COUNTIFS($J$3:$J997,"&gt;0",$K$3:$K997,"&lt;=0"),"")</f>
        <v/>
      </c>
      <c r="W997" s="0" t="str">
        <f aca="false">IF($C997="","",IF(COUNTIF($C$3:$C997,$C997)&gt;1,"",MAX($W$2:W996)+1))</f>
        <v/>
      </c>
      <c r="X997" s="0" t="str">
        <f aca="false">IF($H997="","",IF(COUNTIF($H$3:$H997,$H997)&gt;1,"",MAX($X$2:X996)+1))</f>
        <v/>
      </c>
      <c r="Y997" s="0" t="str">
        <f aca="false">IF(AND(N($M997)&gt;0,N($O997)&lt;=0),COUNTIFS($M$3:$M997,"&gt;0",$O$3:$O997,"&lt;=0"),"")</f>
        <v/>
      </c>
      <c r="Z997" s="30" t="n">
        <f aca="false">IF(OR('THÁNG 12'!$C104="",'THÁNG 12'!$B104=""),0,'THÁNG 12'!$B104)</f>
        <v>0</v>
      </c>
    </row>
    <row r="998" customFormat="false" ht="15" hidden="false" customHeight="false" outlineLevel="0" collapsed="false">
      <c r="A998" s="0" t="n">
        <v>12</v>
      </c>
      <c r="B998" s="29" t="str">
        <f aca="false">IF(OR('THÁNG 12'!$C105="",'THÁNG 12'!$B105=""),"",'THÁNG 12'!$B105)</f>
        <v/>
      </c>
      <c r="C998" s="0" t="str">
        <f aca="false">IF('THÁNG 12'!$C105="","",'THÁNG 12'!$C105)</f>
        <v/>
      </c>
      <c r="D998" s="0" t="str">
        <f aca="false">IF('THÁNG 12'!$C105="","",'THÁNG 12'!$D105&amp;"")</f>
        <v/>
      </c>
      <c r="E998" s="0" t="str">
        <f aca="false">IF('THÁNG 12'!$C105="","",'THÁNG 12'!$E105&amp;"")</f>
        <v/>
      </c>
      <c r="F998" s="0" t="str">
        <f aca="false">IF('THÁNG 12'!$C105="","",'THÁNG 12'!$F105&amp;"")</f>
        <v/>
      </c>
      <c r="G998" s="0" t="str">
        <f aca="false">IF('THÁNG 12'!$C105="","",'THÁNG 12'!$G105&amp;"")</f>
        <v/>
      </c>
      <c r="H998" s="0" t="str">
        <f aca="false">IF('THÁNG 12'!$C105="","",'THÁNG 12'!$H105&amp;"")</f>
        <v/>
      </c>
      <c r="I998" s="0" t="str">
        <f aca="false">IF('THÁNG 12'!$C105="","",N('THÁNG 12'!$I105))</f>
        <v/>
      </c>
      <c r="J998" s="0" t="str">
        <f aca="false">IF('THÁNG 12'!$C105="","",N('THÁNG 12'!$L105))</f>
        <v/>
      </c>
      <c r="K998" s="0" t="str">
        <f aca="false">IF('THÁNG 12'!$C105="","",N('THÁNG 12'!$N105))</f>
        <v/>
      </c>
      <c r="L998" s="0" t="str">
        <f aca="false">IF('THÁNG 12'!$C105="","",N('THÁNG 12'!$O105))</f>
        <v/>
      </c>
      <c r="M998" s="0" t="str">
        <f aca="false">IF('THÁNG 12'!$C105="","",N('THÁNG 12'!$P105))</f>
        <v/>
      </c>
      <c r="N998" s="0" t="str">
        <f aca="false">IF('THÁNG 12'!$C105="","",N('THÁNG 12'!$Q105))</f>
        <v/>
      </c>
      <c r="O998" s="0" t="str">
        <f aca="false">IF('THÁNG 12'!$C105="","",N('THÁNG 12'!$R105))</f>
        <v/>
      </c>
      <c r="P998" s="0" t="str">
        <f aca="false">IF(OR('THÁNG 12'!$C105="",'THÁNG 12'!$T105=""),"",'THÁNG 12'!$T105)</f>
        <v/>
      </c>
      <c r="Q998" s="0" t="str">
        <f aca="false">IF(OR('THÁNG 12'!$C105="",'THÁNG 12'!$U105=""),"",'THÁNG 12'!$U105)</f>
        <v/>
      </c>
      <c r="R998" s="0" t="str">
        <f aca="false">IF('THÁNG 12'!$C105="","",'THÁNG 12'!$W105&amp;"")</f>
        <v/>
      </c>
      <c r="S998" s="0" t="str">
        <f aca="false">IF('THÁNG 12'!$C105="","",'THÁNG 12'!$S105&amp;"")</f>
        <v/>
      </c>
      <c r="T998" s="0" t="str">
        <f aca="false">IF(N($O998)&gt;0,COUNTIF($O$3:$O998,"&gt;0"),"")</f>
        <v/>
      </c>
      <c r="U998" s="0" t="str">
        <f aca="false">IF(AND(N($J998)&gt;0,N($K998)&gt;0),COUNTIFS($J$3:$J998,"&gt;0",$K$3:$K998,"&gt;0"),"")</f>
        <v/>
      </c>
      <c r="V998" s="0" t="str">
        <f aca="false">IF(AND(N($J998)&gt;0,N($K998)=0),COUNTIFS($J$3:$J998,"&gt;0",$K$3:$K998,"&lt;=0"),"")</f>
        <v/>
      </c>
      <c r="W998" s="0" t="str">
        <f aca="false">IF($C998="","",IF(COUNTIF($C$3:$C998,$C998)&gt;1,"",MAX($W$2:W997)+1))</f>
        <v/>
      </c>
      <c r="X998" s="0" t="str">
        <f aca="false">IF($H998="","",IF(COUNTIF($H$3:$H998,$H998)&gt;1,"",MAX($X$2:X997)+1))</f>
        <v/>
      </c>
      <c r="Y998" s="0" t="str">
        <f aca="false">IF(AND(N($M998)&gt;0,N($O998)&lt;=0),COUNTIFS($M$3:$M998,"&gt;0",$O$3:$O998,"&lt;=0"),"")</f>
        <v/>
      </c>
      <c r="Z998" s="30" t="n">
        <f aca="false">IF(OR('THÁNG 12'!$C105="",'THÁNG 12'!$B105=""),0,'THÁNG 12'!$B105)</f>
        <v>0</v>
      </c>
    </row>
    <row r="999" customFormat="false" ht="15" hidden="false" customHeight="false" outlineLevel="0" collapsed="false">
      <c r="A999" s="0" t="n">
        <v>12</v>
      </c>
      <c r="B999" s="29" t="str">
        <f aca="false">IF(OR('THÁNG 12'!$C106="",'THÁNG 12'!$B106=""),"",'THÁNG 12'!$B106)</f>
        <v/>
      </c>
      <c r="C999" s="0" t="str">
        <f aca="false">IF('THÁNG 12'!$C106="","",'THÁNG 12'!$C106)</f>
        <v/>
      </c>
      <c r="D999" s="0" t="str">
        <f aca="false">IF('THÁNG 12'!$C106="","",'THÁNG 12'!$D106&amp;"")</f>
        <v/>
      </c>
      <c r="E999" s="0" t="str">
        <f aca="false">IF('THÁNG 12'!$C106="","",'THÁNG 12'!$E106&amp;"")</f>
        <v/>
      </c>
      <c r="F999" s="0" t="str">
        <f aca="false">IF('THÁNG 12'!$C106="","",'THÁNG 12'!$F106&amp;"")</f>
        <v/>
      </c>
      <c r="G999" s="0" t="str">
        <f aca="false">IF('THÁNG 12'!$C106="","",'THÁNG 12'!$G106&amp;"")</f>
        <v/>
      </c>
      <c r="H999" s="0" t="str">
        <f aca="false">IF('THÁNG 12'!$C106="","",'THÁNG 12'!$H106&amp;"")</f>
        <v/>
      </c>
      <c r="I999" s="0" t="str">
        <f aca="false">IF('THÁNG 12'!$C106="","",N('THÁNG 12'!$I106))</f>
        <v/>
      </c>
      <c r="J999" s="0" t="str">
        <f aca="false">IF('THÁNG 12'!$C106="","",N('THÁNG 12'!$L106))</f>
        <v/>
      </c>
      <c r="K999" s="0" t="str">
        <f aca="false">IF('THÁNG 12'!$C106="","",N('THÁNG 12'!$N106))</f>
        <v/>
      </c>
      <c r="L999" s="0" t="str">
        <f aca="false">IF('THÁNG 12'!$C106="","",N('THÁNG 12'!$O106))</f>
        <v/>
      </c>
      <c r="M999" s="0" t="str">
        <f aca="false">IF('THÁNG 12'!$C106="","",N('THÁNG 12'!$P106))</f>
        <v/>
      </c>
      <c r="N999" s="0" t="str">
        <f aca="false">IF('THÁNG 12'!$C106="","",N('THÁNG 12'!$Q106))</f>
        <v/>
      </c>
      <c r="O999" s="0" t="str">
        <f aca="false">IF('THÁNG 12'!$C106="","",N('THÁNG 12'!$R106))</f>
        <v/>
      </c>
      <c r="P999" s="0" t="str">
        <f aca="false">IF(OR('THÁNG 12'!$C106="",'THÁNG 12'!$T106=""),"",'THÁNG 12'!$T106)</f>
        <v/>
      </c>
      <c r="Q999" s="0" t="str">
        <f aca="false">IF(OR('THÁNG 12'!$C106="",'THÁNG 12'!$U106=""),"",'THÁNG 12'!$U106)</f>
        <v/>
      </c>
      <c r="R999" s="0" t="str">
        <f aca="false">IF('THÁNG 12'!$C106="","",'THÁNG 12'!$W106&amp;"")</f>
        <v/>
      </c>
      <c r="S999" s="0" t="str">
        <f aca="false">IF('THÁNG 12'!$C106="","",'THÁNG 12'!$S106&amp;"")</f>
        <v/>
      </c>
      <c r="T999" s="0" t="str">
        <f aca="false">IF(N($O999)&gt;0,COUNTIF($O$3:$O999,"&gt;0"),"")</f>
        <v/>
      </c>
      <c r="U999" s="0" t="str">
        <f aca="false">IF(AND(N($J999)&gt;0,N($K999)&gt;0),COUNTIFS($J$3:$J999,"&gt;0",$K$3:$K999,"&gt;0"),"")</f>
        <v/>
      </c>
      <c r="V999" s="0" t="str">
        <f aca="false">IF(AND(N($J999)&gt;0,N($K999)=0),COUNTIFS($J$3:$J999,"&gt;0",$K$3:$K999,"&lt;=0"),"")</f>
        <v/>
      </c>
      <c r="W999" s="0" t="str">
        <f aca="false">IF($C999="","",IF(COUNTIF($C$3:$C999,$C999)&gt;1,"",MAX($W$2:W998)+1))</f>
        <v/>
      </c>
      <c r="X999" s="0" t="str">
        <f aca="false">IF($H999="","",IF(COUNTIF($H$3:$H999,$H999)&gt;1,"",MAX($X$2:X998)+1))</f>
        <v/>
      </c>
      <c r="Y999" s="0" t="str">
        <f aca="false">IF(AND(N($M999)&gt;0,N($O999)&lt;=0),COUNTIFS($M$3:$M999,"&gt;0",$O$3:$O999,"&lt;=0"),"")</f>
        <v/>
      </c>
      <c r="Z999" s="30" t="n">
        <f aca="false">IF(OR('THÁNG 12'!$C106="",'THÁNG 12'!$B106=""),0,'THÁNG 12'!$B106)</f>
        <v>0</v>
      </c>
    </row>
    <row r="1000" customFormat="false" ht="15" hidden="false" customHeight="false" outlineLevel="0" collapsed="false">
      <c r="A1000" s="0" t="n">
        <v>12</v>
      </c>
      <c r="B1000" s="29" t="str">
        <f aca="false">IF(OR('THÁNG 12'!$C107="",'THÁNG 12'!$B107=""),"",'THÁNG 12'!$B107)</f>
        <v/>
      </c>
      <c r="C1000" s="0" t="str">
        <f aca="false">IF('THÁNG 12'!$C107="","",'THÁNG 12'!$C107)</f>
        <v/>
      </c>
      <c r="D1000" s="0" t="str">
        <f aca="false">IF('THÁNG 12'!$C107="","",'THÁNG 12'!$D107&amp;"")</f>
        <v/>
      </c>
      <c r="E1000" s="0" t="str">
        <f aca="false">IF('THÁNG 12'!$C107="","",'THÁNG 12'!$E107&amp;"")</f>
        <v/>
      </c>
      <c r="F1000" s="0" t="str">
        <f aca="false">IF('THÁNG 12'!$C107="","",'THÁNG 12'!$F107&amp;"")</f>
        <v/>
      </c>
      <c r="G1000" s="0" t="str">
        <f aca="false">IF('THÁNG 12'!$C107="","",'THÁNG 12'!$G107&amp;"")</f>
        <v/>
      </c>
      <c r="H1000" s="0" t="str">
        <f aca="false">IF('THÁNG 12'!$C107="","",'THÁNG 12'!$H107&amp;"")</f>
        <v/>
      </c>
      <c r="I1000" s="0" t="str">
        <f aca="false">IF('THÁNG 12'!$C107="","",N('THÁNG 12'!$I107))</f>
        <v/>
      </c>
      <c r="J1000" s="0" t="str">
        <f aca="false">IF('THÁNG 12'!$C107="","",N('THÁNG 12'!$L107))</f>
        <v/>
      </c>
      <c r="K1000" s="0" t="str">
        <f aca="false">IF('THÁNG 12'!$C107="","",N('THÁNG 12'!$N107))</f>
        <v/>
      </c>
      <c r="L1000" s="0" t="str">
        <f aca="false">IF('THÁNG 12'!$C107="","",N('THÁNG 12'!$O107))</f>
        <v/>
      </c>
      <c r="M1000" s="0" t="str">
        <f aca="false">IF('THÁNG 12'!$C107="","",N('THÁNG 12'!$P107))</f>
        <v/>
      </c>
      <c r="N1000" s="0" t="str">
        <f aca="false">IF('THÁNG 12'!$C107="","",N('THÁNG 12'!$Q107))</f>
        <v/>
      </c>
      <c r="O1000" s="0" t="str">
        <f aca="false">IF('THÁNG 12'!$C107="","",N('THÁNG 12'!$R107))</f>
        <v/>
      </c>
      <c r="P1000" s="0" t="str">
        <f aca="false">IF(OR('THÁNG 12'!$C107="",'THÁNG 12'!$T107=""),"",'THÁNG 12'!$T107)</f>
        <v/>
      </c>
      <c r="Q1000" s="0" t="str">
        <f aca="false">IF(OR('THÁNG 12'!$C107="",'THÁNG 12'!$U107=""),"",'THÁNG 12'!$U107)</f>
        <v/>
      </c>
      <c r="R1000" s="0" t="str">
        <f aca="false">IF('THÁNG 12'!$C107="","",'THÁNG 12'!$W107&amp;"")</f>
        <v/>
      </c>
      <c r="S1000" s="0" t="str">
        <f aca="false">IF('THÁNG 12'!$C107="","",'THÁNG 12'!$S107&amp;"")</f>
        <v/>
      </c>
      <c r="T1000" s="0" t="str">
        <f aca="false">IF(N($O1000)&gt;0,COUNTIF($O$3:$O1000,"&gt;0"),"")</f>
        <v/>
      </c>
      <c r="U1000" s="0" t="str">
        <f aca="false">IF(AND(N($J1000)&gt;0,N($K1000)&gt;0),COUNTIFS($J$3:$J1000,"&gt;0",$K$3:$K1000,"&gt;0"),"")</f>
        <v/>
      </c>
      <c r="V1000" s="0" t="str">
        <f aca="false">IF(AND(N($J1000)&gt;0,N($K1000)=0),COUNTIFS($J$3:$J1000,"&gt;0",$K$3:$K1000,"&lt;=0"),"")</f>
        <v/>
      </c>
      <c r="W1000" s="0" t="str">
        <f aca="false">IF($C1000="","",IF(COUNTIF($C$3:$C1000,$C1000)&gt;1,"",MAX($W$2:W999)+1))</f>
        <v/>
      </c>
      <c r="X1000" s="0" t="str">
        <f aca="false">IF($H1000="","",IF(COUNTIF($H$3:$H1000,$H1000)&gt;1,"",MAX($X$2:X999)+1))</f>
        <v/>
      </c>
      <c r="Y1000" s="0" t="str">
        <f aca="false">IF(AND(N($M1000)&gt;0,N($O1000)&lt;=0),COUNTIFS($M$3:$M1000,"&gt;0",$O$3:$O1000,"&lt;=0"),"")</f>
        <v/>
      </c>
      <c r="Z1000" s="30" t="n">
        <f aca="false">IF(OR('THÁNG 12'!$C107="",'THÁNG 12'!$B107=""),0,'THÁNG 12'!$B107)</f>
        <v>0</v>
      </c>
    </row>
    <row r="1001" customFormat="false" ht="15" hidden="false" customHeight="false" outlineLevel="0" collapsed="false">
      <c r="A1001" s="0" t="n">
        <v>12</v>
      </c>
      <c r="B1001" s="29" t="str">
        <f aca="false">IF(OR('THÁNG 12'!$C108="",'THÁNG 12'!$B108=""),"",'THÁNG 12'!$B108)</f>
        <v/>
      </c>
      <c r="C1001" s="0" t="str">
        <f aca="false">IF('THÁNG 12'!$C108="","",'THÁNG 12'!$C108)</f>
        <v/>
      </c>
      <c r="D1001" s="0" t="str">
        <f aca="false">IF('THÁNG 12'!$C108="","",'THÁNG 12'!$D108&amp;"")</f>
        <v/>
      </c>
      <c r="E1001" s="0" t="str">
        <f aca="false">IF('THÁNG 12'!$C108="","",'THÁNG 12'!$E108&amp;"")</f>
        <v/>
      </c>
      <c r="F1001" s="0" t="str">
        <f aca="false">IF('THÁNG 12'!$C108="","",'THÁNG 12'!$F108&amp;"")</f>
        <v/>
      </c>
      <c r="G1001" s="0" t="str">
        <f aca="false">IF('THÁNG 12'!$C108="","",'THÁNG 12'!$G108&amp;"")</f>
        <v/>
      </c>
      <c r="H1001" s="0" t="str">
        <f aca="false">IF('THÁNG 12'!$C108="","",'THÁNG 12'!$H108&amp;"")</f>
        <v/>
      </c>
      <c r="I1001" s="0" t="str">
        <f aca="false">IF('THÁNG 12'!$C108="","",N('THÁNG 12'!$I108))</f>
        <v/>
      </c>
      <c r="J1001" s="0" t="str">
        <f aca="false">IF('THÁNG 12'!$C108="","",N('THÁNG 12'!$L108))</f>
        <v/>
      </c>
      <c r="K1001" s="0" t="str">
        <f aca="false">IF('THÁNG 12'!$C108="","",N('THÁNG 12'!$N108))</f>
        <v/>
      </c>
      <c r="L1001" s="0" t="str">
        <f aca="false">IF('THÁNG 12'!$C108="","",N('THÁNG 12'!$O108))</f>
        <v/>
      </c>
      <c r="M1001" s="0" t="str">
        <f aca="false">IF('THÁNG 12'!$C108="","",N('THÁNG 12'!$P108))</f>
        <v/>
      </c>
      <c r="N1001" s="0" t="str">
        <f aca="false">IF('THÁNG 12'!$C108="","",N('THÁNG 12'!$Q108))</f>
        <v/>
      </c>
      <c r="O1001" s="0" t="str">
        <f aca="false">IF('THÁNG 12'!$C108="","",N('THÁNG 12'!$R108))</f>
        <v/>
      </c>
      <c r="P1001" s="0" t="str">
        <f aca="false">IF(OR('THÁNG 12'!$C108="",'THÁNG 12'!$T108=""),"",'THÁNG 12'!$T108)</f>
        <v/>
      </c>
      <c r="Q1001" s="0" t="str">
        <f aca="false">IF(OR('THÁNG 12'!$C108="",'THÁNG 12'!$U108=""),"",'THÁNG 12'!$U108)</f>
        <v/>
      </c>
      <c r="R1001" s="0" t="str">
        <f aca="false">IF('THÁNG 12'!$C108="","",'THÁNG 12'!$W108&amp;"")</f>
        <v/>
      </c>
      <c r="S1001" s="0" t="str">
        <f aca="false">IF('THÁNG 12'!$C108="","",'THÁNG 12'!$S108&amp;"")</f>
        <v/>
      </c>
      <c r="T1001" s="0" t="str">
        <f aca="false">IF(N($O1001)&gt;0,COUNTIF($O$3:$O1001,"&gt;0"),"")</f>
        <v/>
      </c>
      <c r="U1001" s="0" t="str">
        <f aca="false">IF(AND(N($J1001)&gt;0,N($K1001)&gt;0),COUNTIFS($J$3:$J1001,"&gt;0",$K$3:$K1001,"&gt;0"),"")</f>
        <v/>
      </c>
      <c r="V1001" s="0" t="str">
        <f aca="false">IF(AND(N($J1001)&gt;0,N($K1001)=0),COUNTIFS($J$3:$J1001,"&gt;0",$K$3:$K1001,"&lt;=0"),"")</f>
        <v/>
      </c>
      <c r="W1001" s="0" t="str">
        <f aca="false">IF($C1001="","",IF(COUNTIF($C$3:$C1001,$C1001)&gt;1,"",MAX($W$2:W1000)+1))</f>
        <v/>
      </c>
      <c r="X1001" s="0" t="str">
        <f aca="false">IF($H1001="","",IF(COUNTIF($H$3:$H1001,$H1001)&gt;1,"",MAX($X$2:X1000)+1))</f>
        <v/>
      </c>
      <c r="Y1001" s="0" t="str">
        <f aca="false">IF(AND(N($M1001)&gt;0,N($O1001)&lt;=0),COUNTIFS($M$3:$M1001,"&gt;0",$O$3:$O1001,"&lt;=0"),"")</f>
        <v/>
      </c>
      <c r="Z1001" s="30" t="n">
        <f aca="false">IF(OR('THÁNG 12'!$C108="",'THÁNG 12'!$B108=""),0,'THÁNG 12'!$B108)</f>
        <v>0</v>
      </c>
    </row>
    <row r="1002" customFormat="false" ht="15" hidden="false" customHeight="false" outlineLevel="0" collapsed="false">
      <c r="A1002" s="0" t="n">
        <v>12</v>
      </c>
      <c r="B1002" s="29" t="str">
        <f aca="false">IF(OR('THÁNG 12'!$C109="",'THÁNG 12'!$B109=""),"",'THÁNG 12'!$B109)</f>
        <v/>
      </c>
      <c r="C1002" s="0" t="str">
        <f aca="false">IF('THÁNG 12'!$C109="","",'THÁNG 12'!$C109)</f>
        <v/>
      </c>
      <c r="D1002" s="0" t="str">
        <f aca="false">IF('THÁNG 12'!$C109="","",'THÁNG 12'!$D109&amp;"")</f>
        <v/>
      </c>
      <c r="E1002" s="0" t="str">
        <f aca="false">IF('THÁNG 12'!$C109="","",'THÁNG 12'!$E109&amp;"")</f>
        <v/>
      </c>
      <c r="F1002" s="0" t="str">
        <f aca="false">IF('THÁNG 12'!$C109="","",'THÁNG 12'!$F109&amp;"")</f>
        <v/>
      </c>
      <c r="G1002" s="0" t="str">
        <f aca="false">IF('THÁNG 12'!$C109="","",'THÁNG 12'!$G109&amp;"")</f>
        <v/>
      </c>
      <c r="H1002" s="0" t="str">
        <f aca="false">IF('THÁNG 12'!$C109="","",'THÁNG 12'!$H109&amp;"")</f>
        <v/>
      </c>
      <c r="I1002" s="0" t="str">
        <f aca="false">IF('THÁNG 12'!$C109="","",N('THÁNG 12'!$I109))</f>
        <v/>
      </c>
      <c r="J1002" s="0" t="str">
        <f aca="false">IF('THÁNG 12'!$C109="","",N('THÁNG 12'!$L109))</f>
        <v/>
      </c>
      <c r="K1002" s="0" t="str">
        <f aca="false">IF('THÁNG 12'!$C109="","",N('THÁNG 12'!$N109))</f>
        <v/>
      </c>
      <c r="L1002" s="0" t="str">
        <f aca="false">IF('THÁNG 12'!$C109="","",N('THÁNG 12'!$O109))</f>
        <v/>
      </c>
      <c r="M1002" s="0" t="str">
        <f aca="false">IF('THÁNG 12'!$C109="","",N('THÁNG 12'!$P109))</f>
        <v/>
      </c>
      <c r="N1002" s="0" t="str">
        <f aca="false">IF('THÁNG 12'!$C109="","",N('THÁNG 12'!$Q109))</f>
        <v/>
      </c>
      <c r="O1002" s="0" t="str">
        <f aca="false">IF('THÁNG 12'!$C109="","",N('THÁNG 12'!$R109))</f>
        <v/>
      </c>
      <c r="P1002" s="0" t="str">
        <f aca="false">IF(OR('THÁNG 12'!$C109="",'THÁNG 12'!$T109=""),"",'THÁNG 12'!$T109)</f>
        <v/>
      </c>
      <c r="Q1002" s="0" t="str">
        <f aca="false">IF(OR('THÁNG 12'!$C109="",'THÁNG 12'!$U109=""),"",'THÁNG 12'!$U109)</f>
        <v/>
      </c>
      <c r="R1002" s="0" t="str">
        <f aca="false">IF('THÁNG 12'!$C109="","",'THÁNG 12'!$W109&amp;"")</f>
        <v/>
      </c>
      <c r="S1002" s="0" t="str">
        <f aca="false">IF('THÁNG 12'!$C109="","",'THÁNG 12'!$S109&amp;"")</f>
        <v/>
      </c>
      <c r="T1002" s="0" t="str">
        <f aca="false">IF(N($O1002)&gt;0,COUNTIF($O$3:$O1002,"&gt;0"),"")</f>
        <v/>
      </c>
      <c r="U1002" s="0" t="str">
        <f aca="false">IF(AND(N($J1002)&gt;0,N($K1002)&gt;0),COUNTIFS($J$3:$J1002,"&gt;0",$K$3:$K1002,"&gt;0"),"")</f>
        <v/>
      </c>
      <c r="V1002" s="0" t="str">
        <f aca="false">IF(AND(N($J1002)&gt;0,N($K1002)=0),COUNTIFS($J$3:$J1002,"&gt;0",$K$3:$K1002,"&lt;=0"),"")</f>
        <v/>
      </c>
      <c r="W1002" s="0" t="str">
        <f aca="false">IF($C1002="","",IF(COUNTIF($C$3:$C1002,$C1002)&gt;1,"",MAX($W$2:W1001)+1))</f>
        <v/>
      </c>
      <c r="X1002" s="0" t="str">
        <f aca="false">IF($H1002="","",IF(COUNTIF($H$3:$H1002,$H1002)&gt;1,"",MAX($X$2:X1001)+1))</f>
        <v/>
      </c>
      <c r="Y1002" s="0" t="str">
        <f aca="false">IF(AND(N($M1002)&gt;0,N($O1002)&lt;=0),COUNTIFS($M$3:$M1002,"&gt;0",$O$3:$O1002,"&lt;=0"),"")</f>
        <v/>
      </c>
      <c r="Z1002" s="30" t="n">
        <f aca="false">IF(OR('THÁNG 12'!$C109="",'THÁNG 12'!$B109=""),0,'THÁNG 12'!$B109)</f>
        <v>0</v>
      </c>
    </row>
    <row r="1003" customFormat="false" ht="15" hidden="false" customHeight="false" outlineLevel="0" collapsed="false">
      <c r="A1003" s="0" t="n">
        <v>12</v>
      </c>
      <c r="B1003" s="29" t="str">
        <f aca="false">IF(OR('THÁNG 12'!$C110="",'THÁNG 12'!$B110=""),"",'THÁNG 12'!$B110)</f>
        <v/>
      </c>
      <c r="C1003" s="0" t="str">
        <f aca="false">IF('THÁNG 12'!$C110="","",'THÁNG 12'!$C110)</f>
        <v/>
      </c>
      <c r="D1003" s="0" t="str">
        <f aca="false">IF('THÁNG 12'!$C110="","",'THÁNG 12'!$D110&amp;"")</f>
        <v/>
      </c>
      <c r="E1003" s="0" t="str">
        <f aca="false">IF('THÁNG 12'!$C110="","",'THÁNG 12'!$E110&amp;"")</f>
        <v/>
      </c>
      <c r="F1003" s="0" t="str">
        <f aca="false">IF('THÁNG 12'!$C110="","",'THÁNG 12'!$F110&amp;"")</f>
        <v/>
      </c>
      <c r="G1003" s="0" t="str">
        <f aca="false">IF('THÁNG 12'!$C110="","",'THÁNG 12'!$G110&amp;"")</f>
        <v/>
      </c>
      <c r="H1003" s="0" t="str">
        <f aca="false">IF('THÁNG 12'!$C110="","",'THÁNG 12'!$H110&amp;"")</f>
        <v/>
      </c>
      <c r="I1003" s="0" t="str">
        <f aca="false">IF('THÁNG 12'!$C110="","",N('THÁNG 12'!$I110))</f>
        <v/>
      </c>
      <c r="J1003" s="0" t="str">
        <f aca="false">IF('THÁNG 12'!$C110="","",N('THÁNG 12'!$L110))</f>
        <v/>
      </c>
      <c r="K1003" s="0" t="str">
        <f aca="false">IF('THÁNG 12'!$C110="","",N('THÁNG 12'!$N110))</f>
        <v/>
      </c>
      <c r="L1003" s="0" t="str">
        <f aca="false">IF('THÁNG 12'!$C110="","",N('THÁNG 12'!$O110))</f>
        <v/>
      </c>
      <c r="M1003" s="0" t="str">
        <f aca="false">IF('THÁNG 12'!$C110="","",N('THÁNG 12'!$P110))</f>
        <v/>
      </c>
      <c r="N1003" s="0" t="str">
        <f aca="false">IF('THÁNG 12'!$C110="","",N('THÁNG 12'!$Q110))</f>
        <v/>
      </c>
      <c r="O1003" s="0" t="str">
        <f aca="false">IF('THÁNG 12'!$C110="","",N('THÁNG 12'!$R110))</f>
        <v/>
      </c>
      <c r="P1003" s="0" t="str">
        <f aca="false">IF(OR('THÁNG 12'!$C110="",'THÁNG 12'!$T110=""),"",'THÁNG 12'!$T110)</f>
        <v/>
      </c>
      <c r="Q1003" s="0" t="str">
        <f aca="false">IF(OR('THÁNG 12'!$C110="",'THÁNG 12'!$U110=""),"",'THÁNG 12'!$U110)</f>
        <v/>
      </c>
      <c r="R1003" s="0" t="str">
        <f aca="false">IF('THÁNG 12'!$C110="","",'THÁNG 12'!$W110&amp;"")</f>
        <v/>
      </c>
      <c r="S1003" s="0" t="str">
        <f aca="false">IF('THÁNG 12'!$C110="","",'THÁNG 12'!$S110&amp;"")</f>
        <v/>
      </c>
      <c r="T1003" s="0" t="str">
        <f aca="false">IF(N($O1003)&gt;0,COUNTIF($O$3:$O1003,"&gt;0"),"")</f>
        <v/>
      </c>
      <c r="U1003" s="0" t="str">
        <f aca="false">IF(AND(N($J1003)&gt;0,N($K1003)&gt;0),COUNTIFS($J$3:$J1003,"&gt;0",$K$3:$K1003,"&gt;0"),"")</f>
        <v/>
      </c>
      <c r="V1003" s="0" t="str">
        <f aca="false">IF(AND(N($J1003)&gt;0,N($K1003)=0),COUNTIFS($J$3:$J1003,"&gt;0",$K$3:$K1003,"&lt;=0"),"")</f>
        <v/>
      </c>
      <c r="W1003" s="0" t="str">
        <f aca="false">IF($C1003="","",IF(COUNTIF($C$3:$C1003,$C1003)&gt;1,"",MAX($W$2:W1002)+1))</f>
        <v/>
      </c>
      <c r="X1003" s="0" t="str">
        <f aca="false">IF($H1003="","",IF(COUNTIF($H$3:$H1003,$H1003)&gt;1,"",MAX($X$2:X1002)+1))</f>
        <v/>
      </c>
      <c r="Y1003" s="0" t="str">
        <f aca="false">IF(AND(N($M1003)&gt;0,N($O1003)&lt;=0),COUNTIFS($M$3:$M1003,"&gt;0",$O$3:$O1003,"&lt;=0"),"")</f>
        <v/>
      </c>
      <c r="Z1003" s="30" t="n">
        <f aca="false">IF(OR('THÁNG 12'!$C110="",'THÁNG 12'!$B110=""),0,'THÁNG 12'!$B110)</f>
        <v>0</v>
      </c>
    </row>
    <row r="1004" customFormat="false" ht="15" hidden="false" customHeight="false" outlineLevel="0" collapsed="false">
      <c r="A1004" s="0" t="n">
        <v>12</v>
      </c>
      <c r="B1004" s="29" t="str">
        <f aca="false">IF(OR('THÁNG 12'!$C111="",'THÁNG 12'!$B111=""),"",'THÁNG 12'!$B111)</f>
        <v/>
      </c>
      <c r="C1004" s="0" t="str">
        <f aca="false">IF('THÁNG 12'!$C111="","",'THÁNG 12'!$C111)</f>
        <v/>
      </c>
      <c r="D1004" s="0" t="str">
        <f aca="false">IF('THÁNG 12'!$C111="","",'THÁNG 12'!$D111&amp;"")</f>
        <v/>
      </c>
      <c r="E1004" s="0" t="str">
        <f aca="false">IF('THÁNG 12'!$C111="","",'THÁNG 12'!$E111&amp;"")</f>
        <v/>
      </c>
      <c r="F1004" s="0" t="str">
        <f aca="false">IF('THÁNG 12'!$C111="","",'THÁNG 12'!$F111&amp;"")</f>
        <v/>
      </c>
      <c r="G1004" s="0" t="str">
        <f aca="false">IF('THÁNG 12'!$C111="","",'THÁNG 12'!$G111&amp;"")</f>
        <v/>
      </c>
      <c r="H1004" s="0" t="str">
        <f aca="false">IF('THÁNG 12'!$C111="","",'THÁNG 12'!$H111&amp;"")</f>
        <v/>
      </c>
      <c r="I1004" s="0" t="str">
        <f aca="false">IF('THÁNG 12'!$C111="","",N('THÁNG 12'!$I111))</f>
        <v/>
      </c>
      <c r="J1004" s="0" t="str">
        <f aca="false">IF('THÁNG 12'!$C111="","",N('THÁNG 12'!$L111))</f>
        <v/>
      </c>
      <c r="K1004" s="0" t="str">
        <f aca="false">IF('THÁNG 12'!$C111="","",N('THÁNG 12'!$N111))</f>
        <v/>
      </c>
      <c r="L1004" s="0" t="str">
        <f aca="false">IF('THÁNG 12'!$C111="","",N('THÁNG 12'!$O111))</f>
        <v/>
      </c>
      <c r="M1004" s="0" t="str">
        <f aca="false">IF('THÁNG 12'!$C111="","",N('THÁNG 12'!$P111))</f>
        <v/>
      </c>
      <c r="N1004" s="0" t="str">
        <f aca="false">IF('THÁNG 12'!$C111="","",N('THÁNG 12'!$Q111))</f>
        <v/>
      </c>
      <c r="O1004" s="0" t="str">
        <f aca="false">IF('THÁNG 12'!$C111="","",N('THÁNG 12'!$R111))</f>
        <v/>
      </c>
      <c r="P1004" s="0" t="str">
        <f aca="false">IF(OR('THÁNG 12'!$C111="",'THÁNG 12'!$T111=""),"",'THÁNG 12'!$T111)</f>
        <v/>
      </c>
      <c r="Q1004" s="0" t="str">
        <f aca="false">IF(OR('THÁNG 12'!$C111="",'THÁNG 12'!$U111=""),"",'THÁNG 12'!$U111)</f>
        <v/>
      </c>
      <c r="R1004" s="0" t="str">
        <f aca="false">IF('THÁNG 12'!$C111="","",'THÁNG 12'!$W111&amp;"")</f>
        <v/>
      </c>
      <c r="S1004" s="0" t="str">
        <f aca="false">IF('THÁNG 12'!$C111="","",'THÁNG 12'!$S111&amp;"")</f>
        <v/>
      </c>
      <c r="T1004" s="0" t="str">
        <f aca="false">IF(N($O1004)&gt;0,COUNTIF($O$3:$O1004,"&gt;0"),"")</f>
        <v/>
      </c>
      <c r="U1004" s="0" t="str">
        <f aca="false">IF(AND(N($J1004)&gt;0,N($K1004)&gt;0),COUNTIFS($J$3:$J1004,"&gt;0",$K$3:$K1004,"&gt;0"),"")</f>
        <v/>
      </c>
      <c r="V1004" s="0" t="str">
        <f aca="false">IF(AND(N($J1004)&gt;0,N($K1004)=0),COUNTIFS($J$3:$J1004,"&gt;0",$K$3:$K1004,"&lt;=0"),"")</f>
        <v/>
      </c>
      <c r="W1004" s="0" t="str">
        <f aca="false">IF($C1004="","",IF(COUNTIF($C$3:$C1004,$C1004)&gt;1,"",MAX($W$2:W1003)+1))</f>
        <v/>
      </c>
      <c r="X1004" s="0" t="str">
        <f aca="false">IF($H1004="","",IF(COUNTIF($H$3:$H1004,$H1004)&gt;1,"",MAX($X$2:X1003)+1))</f>
        <v/>
      </c>
      <c r="Y1004" s="0" t="str">
        <f aca="false">IF(AND(N($M1004)&gt;0,N($O1004)&lt;=0),COUNTIFS($M$3:$M1004,"&gt;0",$O$3:$O1004,"&lt;=0"),"")</f>
        <v/>
      </c>
      <c r="Z1004" s="30" t="n">
        <f aca="false">IF(OR('THÁNG 12'!$C111="",'THÁNG 12'!$B111=""),0,'THÁNG 12'!$B111)</f>
        <v>0</v>
      </c>
    </row>
    <row r="1005" customFormat="false" ht="15" hidden="false" customHeight="false" outlineLevel="0" collapsed="false">
      <c r="A1005" s="0" t="n">
        <v>12</v>
      </c>
      <c r="B1005" s="29" t="str">
        <f aca="false">IF(OR('THÁNG 12'!$C112="",'THÁNG 12'!$B112=""),"",'THÁNG 12'!$B112)</f>
        <v/>
      </c>
      <c r="C1005" s="0" t="str">
        <f aca="false">IF('THÁNG 12'!$C112="","",'THÁNG 12'!$C112)</f>
        <v/>
      </c>
      <c r="D1005" s="0" t="str">
        <f aca="false">IF('THÁNG 12'!$C112="","",'THÁNG 12'!$D112&amp;"")</f>
        <v/>
      </c>
      <c r="E1005" s="0" t="str">
        <f aca="false">IF('THÁNG 12'!$C112="","",'THÁNG 12'!$E112&amp;"")</f>
        <v/>
      </c>
      <c r="F1005" s="0" t="str">
        <f aca="false">IF('THÁNG 12'!$C112="","",'THÁNG 12'!$F112&amp;"")</f>
        <v/>
      </c>
      <c r="G1005" s="0" t="str">
        <f aca="false">IF('THÁNG 12'!$C112="","",'THÁNG 12'!$G112&amp;"")</f>
        <v/>
      </c>
      <c r="H1005" s="0" t="str">
        <f aca="false">IF('THÁNG 12'!$C112="","",'THÁNG 12'!$H112&amp;"")</f>
        <v/>
      </c>
      <c r="I1005" s="0" t="str">
        <f aca="false">IF('THÁNG 12'!$C112="","",N('THÁNG 12'!$I112))</f>
        <v/>
      </c>
      <c r="J1005" s="0" t="str">
        <f aca="false">IF('THÁNG 12'!$C112="","",N('THÁNG 12'!$L112))</f>
        <v/>
      </c>
      <c r="K1005" s="0" t="str">
        <f aca="false">IF('THÁNG 12'!$C112="","",N('THÁNG 12'!$N112))</f>
        <v/>
      </c>
      <c r="L1005" s="0" t="str">
        <f aca="false">IF('THÁNG 12'!$C112="","",N('THÁNG 12'!$O112))</f>
        <v/>
      </c>
      <c r="M1005" s="0" t="str">
        <f aca="false">IF('THÁNG 12'!$C112="","",N('THÁNG 12'!$P112))</f>
        <v/>
      </c>
      <c r="N1005" s="0" t="str">
        <f aca="false">IF('THÁNG 12'!$C112="","",N('THÁNG 12'!$Q112))</f>
        <v/>
      </c>
      <c r="O1005" s="0" t="str">
        <f aca="false">IF('THÁNG 12'!$C112="","",N('THÁNG 12'!$R112))</f>
        <v/>
      </c>
      <c r="P1005" s="0" t="str">
        <f aca="false">IF(OR('THÁNG 12'!$C112="",'THÁNG 12'!$T112=""),"",'THÁNG 12'!$T112)</f>
        <v/>
      </c>
      <c r="Q1005" s="0" t="str">
        <f aca="false">IF(OR('THÁNG 12'!$C112="",'THÁNG 12'!$U112=""),"",'THÁNG 12'!$U112)</f>
        <v/>
      </c>
      <c r="R1005" s="0" t="str">
        <f aca="false">IF('THÁNG 12'!$C112="","",'THÁNG 12'!$W112&amp;"")</f>
        <v/>
      </c>
      <c r="S1005" s="0" t="str">
        <f aca="false">IF('THÁNG 12'!$C112="","",'THÁNG 12'!$S112&amp;"")</f>
        <v/>
      </c>
      <c r="T1005" s="0" t="str">
        <f aca="false">IF(N($O1005)&gt;0,COUNTIF($O$3:$O1005,"&gt;0"),"")</f>
        <v/>
      </c>
      <c r="U1005" s="0" t="str">
        <f aca="false">IF(AND(N($J1005)&gt;0,N($K1005)&gt;0),COUNTIFS($J$3:$J1005,"&gt;0",$K$3:$K1005,"&gt;0"),"")</f>
        <v/>
      </c>
      <c r="V1005" s="0" t="str">
        <f aca="false">IF(AND(N($J1005)&gt;0,N($K1005)=0),COUNTIFS($J$3:$J1005,"&gt;0",$K$3:$K1005,"&lt;=0"),"")</f>
        <v/>
      </c>
      <c r="W1005" s="0" t="str">
        <f aca="false">IF($C1005="","",IF(COUNTIF($C$3:$C1005,$C1005)&gt;1,"",MAX($W$2:W1004)+1))</f>
        <v/>
      </c>
      <c r="X1005" s="0" t="str">
        <f aca="false">IF($H1005="","",IF(COUNTIF($H$3:$H1005,$H1005)&gt;1,"",MAX($X$2:X1004)+1))</f>
        <v/>
      </c>
      <c r="Y1005" s="0" t="str">
        <f aca="false">IF(AND(N($M1005)&gt;0,N($O1005)&lt;=0),COUNTIFS($M$3:$M1005,"&gt;0",$O$3:$O1005,"&lt;=0"),"")</f>
        <v/>
      </c>
      <c r="Z1005" s="30" t="n">
        <f aca="false">IF(OR('THÁNG 12'!$C112="",'THÁNG 12'!$B112=""),0,'THÁNG 12'!$B112)</f>
        <v>0</v>
      </c>
    </row>
    <row r="1006" customFormat="false" ht="15" hidden="false" customHeight="false" outlineLevel="0" collapsed="false">
      <c r="A1006" s="0" t="n">
        <v>12</v>
      </c>
      <c r="B1006" s="29" t="str">
        <f aca="false">IF(OR('THÁNG 12'!$C113="",'THÁNG 12'!$B113=""),"",'THÁNG 12'!$B113)</f>
        <v/>
      </c>
      <c r="C1006" s="0" t="str">
        <f aca="false">IF('THÁNG 12'!$C113="","",'THÁNG 12'!$C113)</f>
        <v/>
      </c>
      <c r="D1006" s="0" t="str">
        <f aca="false">IF('THÁNG 12'!$C113="","",'THÁNG 12'!$D113&amp;"")</f>
        <v/>
      </c>
      <c r="E1006" s="0" t="str">
        <f aca="false">IF('THÁNG 12'!$C113="","",'THÁNG 12'!$E113&amp;"")</f>
        <v/>
      </c>
      <c r="F1006" s="0" t="str">
        <f aca="false">IF('THÁNG 12'!$C113="","",'THÁNG 12'!$F113&amp;"")</f>
        <v/>
      </c>
      <c r="G1006" s="0" t="str">
        <f aca="false">IF('THÁNG 12'!$C113="","",'THÁNG 12'!$G113&amp;"")</f>
        <v/>
      </c>
      <c r="H1006" s="0" t="str">
        <f aca="false">IF('THÁNG 12'!$C113="","",'THÁNG 12'!$H113&amp;"")</f>
        <v/>
      </c>
      <c r="I1006" s="0" t="str">
        <f aca="false">IF('THÁNG 12'!$C113="","",N('THÁNG 12'!$I113))</f>
        <v/>
      </c>
      <c r="J1006" s="0" t="str">
        <f aca="false">IF('THÁNG 12'!$C113="","",N('THÁNG 12'!$L113))</f>
        <v/>
      </c>
      <c r="K1006" s="0" t="str">
        <f aca="false">IF('THÁNG 12'!$C113="","",N('THÁNG 12'!$N113))</f>
        <v/>
      </c>
      <c r="L1006" s="0" t="str">
        <f aca="false">IF('THÁNG 12'!$C113="","",N('THÁNG 12'!$O113))</f>
        <v/>
      </c>
      <c r="M1006" s="0" t="str">
        <f aca="false">IF('THÁNG 12'!$C113="","",N('THÁNG 12'!$P113))</f>
        <v/>
      </c>
      <c r="N1006" s="0" t="str">
        <f aca="false">IF('THÁNG 12'!$C113="","",N('THÁNG 12'!$Q113))</f>
        <v/>
      </c>
      <c r="O1006" s="0" t="str">
        <f aca="false">IF('THÁNG 12'!$C113="","",N('THÁNG 12'!$R113))</f>
        <v/>
      </c>
      <c r="P1006" s="0" t="str">
        <f aca="false">IF(OR('THÁNG 12'!$C113="",'THÁNG 12'!$T113=""),"",'THÁNG 12'!$T113)</f>
        <v/>
      </c>
      <c r="Q1006" s="0" t="str">
        <f aca="false">IF(OR('THÁNG 12'!$C113="",'THÁNG 12'!$U113=""),"",'THÁNG 12'!$U113)</f>
        <v/>
      </c>
      <c r="R1006" s="0" t="str">
        <f aca="false">IF('THÁNG 12'!$C113="","",'THÁNG 12'!$W113&amp;"")</f>
        <v/>
      </c>
      <c r="S1006" s="0" t="str">
        <f aca="false">IF('THÁNG 12'!$C113="","",'THÁNG 12'!$S113&amp;"")</f>
        <v/>
      </c>
      <c r="T1006" s="0" t="str">
        <f aca="false">IF(N($O1006)&gt;0,COUNTIF($O$3:$O1006,"&gt;0"),"")</f>
        <v/>
      </c>
      <c r="U1006" s="0" t="str">
        <f aca="false">IF(AND(N($J1006)&gt;0,N($K1006)&gt;0),COUNTIFS($J$3:$J1006,"&gt;0",$K$3:$K1006,"&gt;0"),"")</f>
        <v/>
      </c>
      <c r="V1006" s="0" t="str">
        <f aca="false">IF(AND(N($J1006)&gt;0,N($K1006)=0),COUNTIFS($J$3:$J1006,"&gt;0",$K$3:$K1006,"&lt;=0"),"")</f>
        <v/>
      </c>
      <c r="W1006" s="0" t="str">
        <f aca="false">IF($C1006="","",IF(COUNTIF($C$3:$C1006,$C1006)&gt;1,"",MAX($W$2:W1005)+1))</f>
        <v/>
      </c>
      <c r="X1006" s="0" t="str">
        <f aca="false">IF($H1006="","",IF(COUNTIF($H$3:$H1006,$H1006)&gt;1,"",MAX($X$2:X1005)+1))</f>
        <v/>
      </c>
      <c r="Y1006" s="0" t="str">
        <f aca="false">IF(AND(N($M1006)&gt;0,N($O1006)&lt;=0),COUNTIFS($M$3:$M1006,"&gt;0",$O$3:$O1006,"&lt;=0"),"")</f>
        <v/>
      </c>
      <c r="Z1006" s="30" t="n">
        <f aca="false">IF(OR('THÁNG 12'!$C113="",'THÁNG 12'!$B113=""),0,'THÁNG 12'!$B113)</f>
        <v>0</v>
      </c>
    </row>
    <row r="1007" customFormat="false" ht="15" hidden="false" customHeight="false" outlineLevel="0" collapsed="false">
      <c r="A1007" s="0" t="n">
        <v>12</v>
      </c>
      <c r="B1007" s="29" t="str">
        <f aca="false">IF(OR('THÁNG 12'!$C114="",'THÁNG 12'!$B114=""),"",'THÁNG 12'!$B114)</f>
        <v/>
      </c>
      <c r="C1007" s="0" t="str">
        <f aca="false">IF('THÁNG 12'!$C114="","",'THÁNG 12'!$C114)</f>
        <v/>
      </c>
      <c r="D1007" s="0" t="str">
        <f aca="false">IF('THÁNG 12'!$C114="","",'THÁNG 12'!$D114&amp;"")</f>
        <v/>
      </c>
      <c r="E1007" s="0" t="str">
        <f aca="false">IF('THÁNG 12'!$C114="","",'THÁNG 12'!$E114&amp;"")</f>
        <v/>
      </c>
      <c r="F1007" s="0" t="str">
        <f aca="false">IF('THÁNG 12'!$C114="","",'THÁNG 12'!$F114&amp;"")</f>
        <v/>
      </c>
      <c r="G1007" s="0" t="str">
        <f aca="false">IF('THÁNG 12'!$C114="","",'THÁNG 12'!$G114&amp;"")</f>
        <v/>
      </c>
      <c r="H1007" s="0" t="str">
        <f aca="false">IF('THÁNG 12'!$C114="","",'THÁNG 12'!$H114&amp;"")</f>
        <v/>
      </c>
      <c r="I1007" s="0" t="str">
        <f aca="false">IF('THÁNG 12'!$C114="","",N('THÁNG 12'!$I114))</f>
        <v/>
      </c>
      <c r="J1007" s="0" t="str">
        <f aca="false">IF('THÁNG 12'!$C114="","",N('THÁNG 12'!$L114))</f>
        <v/>
      </c>
      <c r="K1007" s="0" t="str">
        <f aca="false">IF('THÁNG 12'!$C114="","",N('THÁNG 12'!$N114))</f>
        <v/>
      </c>
      <c r="L1007" s="0" t="str">
        <f aca="false">IF('THÁNG 12'!$C114="","",N('THÁNG 12'!$O114))</f>
        <v/>
      </c>
      <c r="M1007" s="0" t="str">
        <f aca="false">IF('THÁNG 12'!$C114="","",N('THÁNG 12'!$P114))</f>
        <v/>
      </c>
      <c r="N1007" s="0" t="str">
        <f aca="false">IF('THÁNG 12'!$C114="","",N('THÁNG 12'!$Q114))</f>
        <v/>
      </c>
      <c r="O1007" s="0" t="str">
        <f aca="false">IF('THÁNG 12'!$C114="","",N('THÁNG 12'!$R114))</f>
        <v/>
      </c>
      <c r="P1007" s="0" t="str">
        <f aca="false">IF(OR('THÁNG 12'!$C114="",'THÁNG 12'!$T114=""),"",'THÁNG 12'!$T114)</f>
        <v/>
      </c>
      <c r="Q1007" s="0" t="str">
        <f aca="false">IF(OR('THÁNG 12'!$C114="",'THÁNG 12'!$U114=""),"",'THÁNG 12'!$U114)</f>
        <v/>
      </c>
      <c r="R1007" s="0" t="str">
        <f aca="false">IF('THÁNG 12'!$C114="","",'THÁNG 12'!$W114&amp;"")</f>
        <v/>
      </c>
      <c r="S1007" s="0" t="str">
        <f aca="false">IF('THÁNG 12'!$C114="","",'THÁNG 12'!$S114&amp;"")</f>
        <v/>
      </c>
      <c r="T1007" s="0" t="str">
        <f aca="false">IF(N($O1007)&gt;0,COUNTIF($O$3:$O1007,"&gt;0"),"")</f>
        <v/>
      </c>
      <c r="U1007" s="0" t="str">
        <f aca="false">IF(AND(N($J1007)&gt;0,N($K1007)&gt;0),COUNTIFS($J$3:$J1007,"&gt;0",$K$3:$K1007,"&gt;0"),"")</f>
        <v/>
      </c>
      <c r="V1007" s="0" t="str">
        <f aca="false">IF(AND(N($J1007)&gt;0,N($K1007)=0),COUNTIFS($J$3:$J1007,"&gt;0",$K$3:$K1007,"&lt;=0"),"")</f>
        <v/>
      </c>
      <c r="W1007" s="0" t="str">
        <f aca="false">IF($C1007="","",IF(COUNTIF($C$3:$C1007,$C1007)&gt;1,"",MAX($W$2:W1006)+1))</f>
        <v/>
      </c>
      <c r="X1007" s="0" t="str">
        <f aca="false">IF($H1007="","",IF(COUNTIF($H$3:$H1007,$H1007)&gt;1,"",MAX($X$2:X1006)+1))</f>
        <v/>
      </c>
      <c r="Y1007" s="0" t="str">
        <f aca="false">IF(AND(N($M1007)&gt;0,N($O1007)&lt;=0),COUNTIFS($M$3:$M1007,"&gt;0",$O$3:$O1007,"&lt;=0"),"")</f>
        <v/>
      </c>
      <c r="Z1007" s="30" t="n">
        <f aca="false">IF(OR('THÁNG 12'!$C114="",'THÁNG 12'!$B114=""),0,'THÁNG 12'!$B114)</f>
        <v>0</v>
      </c>
    </row>
    <row r="1008" customFormat="false" ht="15" hidden="false" customHeight="false" outlineLevel="0" collapsed="false">
      <c r="A1008" s="0" t="n">
        <v>12</v>
      </c>
      <c r="B1008" s="29" t="str">
        <f aca="false">IF(OR('THÁNG 12'!$C115="",'THÁNG 12'!$B115=""),"",'THÁNG 12'!$B115)</f>
        <v/>
      </c>
      <c r="C1008" s="0" t="str">
        <f aca="false">IF('THÁNG 12'!$C115="","",'THÁNG 12'!$C115)</f>
        <v/>
      </c>
      <c r="D1008" s="0" t="str">
        <f aca="false">IF('THÁNG 12'!$C115="","",'THÁNG 12'!$D115&amp;"")</f>
        <v/>
      </c>
      <c r="E1008" s="0" t="str">
        <f aca="false">IF('THÁNG 12'!$C115="","",'THÁNG 12'!$E115&amp;"")</f>
        <v/>
      </c>
      <c r="F1008" s="0" t="str">
        <f aca="false">IF('THÁNG 12'!$C115="","",'THÁNG 12'!$F115&amp;"")</f>
        <v/>
      </c>
      <c r="G1008" s="0" t="str">
        <f aca="false">IF('THÁNG 12'!$C115="","",'THÁNG 12'!$G115&amp;"")</f>
        <v/>
      </c>
      <c r="H1008" s="0" t="str">
        <f aca="false">IF('THÁNG 12'!$C115="","",'THÁNG 12'!$H115&amp;"")</f>
        <v/>
      </c>
      <c r="I1008" s="0" t="str">
        <f aca="false">IF('THÁNG 12'!$C115="","",N('THÁNG 12'!$I115))</f>
        <v/>
      </c>
      <c r="J1008" s="0" t="str">
        <f aca="false">IF('THÁNG 12'!$C115="","",N('THÁNG 12'!$L115))</f>
        <v/>
      </c>
      <c r="K1008" s="0" t="str">
        <f aca="false">IF('THÁNG 12'!$C115="","",N('THÁNG 12'!$N115))</f>
        <v/>
      </c>
      <c r="L1008" s="0" t="str">
        <f aca="false">IF('THÁNG 12'!$C115="","",N('THÁNG 12'!$O115))</f>
        <v/>
      </c>
      <c r="M1008" s="0" t="str">
        <f aca="false">IF('THÁNG 12'!$C115="","",N('THÁNG 12'!$P115))</f>
        <v/>
      </c>
      <c r="N1008" s="0" t="str">
        <f aca="false">IF('THÁNG 12'!$C115="","",N('THÁNG 12'!$Q115))</f>
        <v/>
      </c>
      <c r="O1008" s="0" t="str">
        <f aca="false">IF('THÁNG 12'!$C115="","",N('THÁNG 12'!$R115))</f>
        <v/>
      </c>
      <c r="P1008" s="0" t="str">
        <f aca="false">IF(OR('THÁNG 12'!$C115="",'THÁNG 12'!$T115=""),"",'THÁNG 12'!$T115)</f>
        <v/>
      </c>
      <c r="Q1008" s="0" t="str">
        <f aca="false">IF(OR('THÁNG 12'!$C115="",'THÁNG 12'!$U115=""),"",'THÁNG 12'!$U115)</f>
        <v/>
      </c>
      <c r="R1008" s="0" t="str">
        <f aca="false">IF('THÁNG 12'!$C115="","",'THÁNG 12'!$W115&amp;"")</f>
        <v/>
      </c>
      <c r="S1008" s="0" t="str">
        <f aca="false">IF('THÁNG 12'!$C115="","",'THÁNG 12'!$S115&amp;"")</f>
        <v/>
      </c>
      <c r="T1008" s="0" t="str">
        <f aca="false">IF(N($O1008)&gt;0,COUNTIF($O$3:$O1008,"&gt;0"),"")</f>
        <v/>
      </c>
      <c r="U1008" s="0" t="str">
        <f aca="false">IF(AND(N($J1008)&gt;0,N($K1008)&gt;0),COUNTIFS($J$3:$J1008,"&gt;0",$K$3:$K1008,"&gt;0"),"")</f>
        <v/>
      </c>
      <c r="V1008" s="0" t="str">
        <f aca="false">IF(AND(N($J1008)&gt;0,N($K1008)=0),COUNTIFS($J$3:$J1008,"&gt;0",$K$3:$K1008,"&lt;=0"),"")</f>
        <v/>
      </c>
      <c r="W1008" s="0" t="str">
        <f aca="false">IF($C1008="","",IF(COUNTIF($C$3:$C1008,$C1008)&gt;1,"",MAX($W$2:W1007)+1))</f>
        <v/>
      </c>
      <c r="X1008" s="0" t="str">
        <f aca="false">IF($H1008="","",IF(COUNTIF($H$3:$H1008,$H1008)&gt;1,"",MAX($X$2:X1007)+1))</f>
        <v/>
      </c>
      <c r="Y1008" s="0" t="str">
        <f aca="false">IF(AND(N($M1008)&gt;0,N($O1008)&lt;=0),COUNTIFS($M$3:$M1008,"&gt;0",$O$3:$O1008,"&lt;=0"),"")</f>
        <v/>
      </c>
      <c r="Z1008" s="30" t="n">
        <f aca="false">IF(OR('THÁNG 12'!$C115="",'THÁNG 12'!$B115=""),0,'THÁNG 12'!$B115)</f>
        <v>0</v>
      </c>
    </row>
    <row r="1009" customFormat="false" ht="15" hidden="false" customHeight="false" outlineLevel="0" collapsed="false">
      <c r="A1009" s="0" t="n">
        <v>12</v>
      </c>
      <c r="B1009" s="29" t="str">
        <f aca="false">IF(OR('THÁNG 12'!$C116="",'THÁNG 12'!$B116=""),"",'THÁNG 12'!$B116)</f>
        <v/>
      </c>
      <c r="C1009" s="0" t="str">
        <f aca="false">IF('THÁNG 12'!$C116="","",'THÁNG 12'!$C116)</f>
        <v/>
      </c>
      <c r="D1009" s="0" t="str">
        <f aca="false">IF('THÁNG 12'!$C116="","",'THÁNG 12'!$D116&amp;"")</f>
        <v/>
      </c>
      <c r="E1009" s="0" t="str">
        <f aca="false">IF('THÁNG 12'!$C116="","",'THÁNG 12'!$E116&amp;"")</f>
        <v/>
      </c>
      <c r="F1009" s="0" t="str">
        <f aca="false">IF('THÁNG 12'!$C116="","",'THÁNG 12'!$F116&amp;"")</f>
        <v/>
      </c>
      <c r="G1009" s="0" t="str">
        <f aca="false">IF('THÁNG 12'!$C116="","",'THÁNG 12'!$G116&amp;"")</f>
        <v/>
      </c>
      <c r="H1009" s="0" t="str">
        <f aca="false">IF('THÁNG 12'!$C116="","",'THÁNG 12'!$H116&amp;"")</f>
        <v/>
      </c>
      <c r="I1009" s="0" t="str">
        <f aca="false">IF('THÁNG 12'!$C116="","",N('THÁNG 12'!$I116))</f>
        <v/>
      </c>
      <c r="J1009" s="0" t="str">
        <f aca="false">IF('THÁNG 12'!$C116="","",N('THÁNG 12'!$L116))</f>
        <v/>
      </c>
      <c r="K1009" s="0" t="str">
        <f aca="false">IF('THÁNG 12'!$C116="","",N('THÁNG 12'!$N116))</f>
        <v/>
      </c>
      <c r="L1009" s="0" t="str">
        <f aca="false">IF('THÁNG 12'!$C116="","",N('THÁNG 12'!$O116))</f>
        <v/>
      </c>
      <c r="M1009" s="0" t="str">
        <f aca="false">IF('THÁNG 12'!$C116="","",N('THÁNG 12'!$P116))</f>
        <v/>
      </c>
      <c r="N1009" s="0" t="str">
        <f aca="false">IF('THÁNG 12'!$C116="","",N('THÁNG 12'!$Q116))</f>
        <v/>
      </c>
      <c r="O1009" s="0" t="str">
        <f aca="false">IF('THÁNG 12'!$C116="","",N('THÁNG 12'!$R116))</f>
        <v/>
      </c>
      <c r="P1009" s="0" t="str">
        <f aca="false">IF(OR('THÁNG 12'!$C116="",'THÁNG 12'!$T116=""),"",'THÁNG 12'!$T116)</f>
        <v/>
      </c>
      <c r="Q1009" s="0" t="str">
        <f aca="false">IF(OR('THÁNG 12'!$C116="",'THÁNG 12'!$U116=""),"",'THÁNG 12'!$U116)</f>
        <v/>
      </c>
      <c r="R1009" s="0" t="str">
        <f aca="false">IF('THÁNG 12'!$C116="","",'THÁNG 12'!$W116&amp;"")</f>
        <v/>
      </c>
      <c r="S1009" s="0" t="str">
        <f aca="false">IF('THÁNG 12'!$C116="","",'THÁNG 12'!$S116&amp;"")</f>
        <v/>
      </c>
      <c r="T1009" s="0" t="str">
        <f aca="false">IF(N($O1009)&gt;0,COUNTIF($O$3:$O1009,"&gt;0"),"")</f>
        <v/>
      </c>
      <c r="U1009" s="0" t="str">
        <f aca="false">IF(AND(N($J1009)&gt;0,N($K1009)&gt;0),COUNTIFS($J$3:$J1009,"&gt;0",$K$3:$K1009,"&gt;0"),"")</f>
        <v/>
      </c>
      <c r="V1009" s="0" t="str">
        <f aca="false">IF(AND(N($J1009)&gt;0,N($K1009)=0),COUNTIFS($J$3:$J1009,"&gt;0",$K$3:$K1009,"&lt;=0"),"")</f>
        <v/>
      </c>
      <c r="W1009" s="0" t="str">
        <f aca="false">IF($C1009="","",IF(COUNTIF($C$3:$C1009,$C1009)&gt;1,"",MAX($W$2:W1008)+1))</f>
        <v/>
      </c>
      <c r="X1009" s="0" t="str">
        <f aca="false">IF($H1009="","",IF(COUNTIF($H$3:$H1009,$H1009)&gt;1,"",MAX($X$2:X1008)+1))</f>
        <v/>
      </c>
      <c r="Y1009" s="0" t="str">
        <f aca="false">IF(AND(N($M1009)&gt;0,N($O1009)&lt;=0),COUNTIFS($M$3:$M1009,"&gt;0",$O$3:$O1009,"&lt;=0"),"")</f>
        <v/>
      </c>
      <c r="Z1009" s="30" t="n">
        <f aca="false">IF(OR('THÁNG 12'!$C116="",'THÁNG 12'!$B116=""),0,'THÁNG 12'!$B116)</f>
        <v>0</v>
      </c>
    </row>
    <row r="1010" customFormat="false" ht="15" hidden="false" customHeight="false" outlineLevel="0" collapsed="false">
      <c r="A1010" s="0" t="n">
        <v>12</v>
      </c>
      <c r="B1010" s="29" t="str">
        <f aca="false">IF(OR('THÁNG 12'!$C117="",'THÁNG 12'!$B117=""),"",'THÁNG 12'!$B117)</f>
        <v/>
      </c>
      <c r="C1010" s="0" t="str">
        <f aca="false">IF('THÁNG 12'!$C117="","",'THÁNG 12'!$C117)</f>
        <v/>
      </c>
      <c r="D1010" s="0" t="str">
        <f aca="false">IF('THÁNG 12'!$C117="","",'THÁNG 12'!$D117&amp;"")</f>
        <v/>
      </c>
      <c r="E1010" s="0" t="str">
        <f aca="false">IF('THÁNG 12'!$C117="","",'THÁNG 12'!$E117&amp;"")</f>
        <v/>
      </c>
      <c r="F1010" s="0" t="str">
        <f aca="false">IF('THÁNG 12'!$C117="","",'THÁNG 12'!$F117&amp;"")</f>
        <v/>
      </c>
      <c r="G1010" s="0" t="str">
        <f aca="false">IF('THÁNG 12'!$C117="","",'THÁNG 12'!$G117&amp;"")</f>
        <v/>
      </c>
      <c r="H1010" s="0" t="str">
        <f aca="false">IF('THÁNG 12'!$C117="","",'THÁNG 12'!$H117&amp;"")</f>
        <v/>
      </c>
      <c r="I1010" s="0" t="str">
        <f aca="false">IF('THÁNG 12'!$C117="","",N('THÁNG 12'!$I117))</f>
        <v/>
      </c>
      <c r="J1010" s="0" t="str">
        <f aca="false">IF('THÁNG 12'!$C117="","",N('THÁNG 12'!$L117))</f>
        <v/>
      </c>
      <c r="K1010" s="0" t="str">
        <f aca="false">IF('THÁNG 12'!$C117="","",N('THÁNG 12'!$N117))</f>
        <v/>
      </c>
      <c r="L1010" s="0" t="str">
        <f aca="false">IF('THÁNG 12'!$C117="","",N('THÁNG 12'!$O117))</f>
        <v/>
      </c>
      <c r="M1010" s="0" t="str">
        <f aca="false">IF('THÁNG 12'!$C117="","",N('THÁNG 12'!$P117))</f>
        <v/>
      </c>
      <c r="N1010" s="0" t="str">
        <f aca="false">IF('THÁNG 12'!$C117="","",N('THÁNG 12'!$Q117))</f>
        <v/>
      </c>
      <c r="O1010" s="0" t="str">
        <f aca="false">IF('THÁNG 12'!$C117="","",N('THÁNG 12'!$R117))</f>
        <v/>
      </c>
      <c r="P1010" s="0" t="str">
        <f aca="false">IF(OR('THÁNG 12'!$C117="",'THÁNG 12'!$T117=""),"",'THÁNG 12'!$T117)</f>
        <v/>
      </c>
      <c r="Q1010" s="0" t="str">
        <f aca="false">IF(OR('THÁNG 12'!$C117="",'THÁNG 12'!$U117=""),"",'THÁNG 12'!$U117)</f>
        <v/>
      </c>
      <c r="R1010" s="0" t="str">
        <f aca="false">IF('THÁNG 12'!$C117="","",'THÁNG 12'!$W117&amp;"")</f>
        <v/>
      </c>
      <c r="S1010" s="0" t="str">
        <f aca="false">IF('THÁNG 12'!$C117="","",'THÁNG 12'!$S117&amp;"")</f>
        <v/>
      </c>
      <c r="T1010" s="0" t="str">
        <f aca="false">IF(N($O1010)&gt;0,COUNTIF($O$3:$O1010,"&gt;0"),"")</f>
        <v/>
      </c>
      <c r="U1010" s="0" t="str">
        <f aca="false">IF(AND(N($J1010)&gt;0,N($K1010)&gt;0),COUNTIFS($J$3:$J1010,"&gt;0",$K$3:$K1010,"&gt;0"),"")</f>
        <v/>
      </c>
      <c r="V1010" s="0" t="str">
        <f aca="false">IF(AND(N($J1010)&gt;0,N($K1010)=0),COUNTIFS($J$3:$J1010,"&gt;0",$K$3:$K1010,"&lt;=0"),"")</f>
        <v/>
      </c>
      <c r="W1010" s="0" t="str">
        <f aca="false">IF($C1010="","",IF(COUNTIF($C$3:$C1010,$C1010)&gt;1,"",MAX($W$2:W1009)+1))</f>
        <v/>
      </c>
      <c r="X1010" s="0" t="str">
        <f aca="false">IF($H1010="","",IF(COUNTIF($H$3:$H1010,$H1010)&gt;1,"",MAX($X$2:X1009)+1))</f>
        <v/>
      </c>
      <c r="Y1010" s="0" t="str">
        <f aca="false">IF(AND(N($M1010)&gt;0,N($O1010)&lt;=0),COUNTIFS($M$3:$M1010,"&gt;0",$O$3:$O1010,"&lt;=0"),"")</f>
        <v/>
      </c>
      <c r="Z1010" s="30" t="n">
        <f aca="false">IF(OR('THÁNG 12'!$C117="",'THÁNG 12'!$B117=""),0,'THÁNG 12'!$B117)</f>
        <v>0</v>
      </c>
    </row>
    <row r="1011" customFormat="false" ht="15" hidden="false" customHeight="false" outlineLevel="0" collapsed="false">
      <c r="A1011" s="0" t="n">
        <v>12</v>
      </c>
      <c r="B1011" s="29" t="str">
        <f aca="false">IF(OR('THÁNG 12'!$C118="",'THÁNG 12'!$B118=""),"",'THÁNG 12'!$B118)</f>
        <v/>
      </c>
      <c r="C1011" s="0" t="str">
        <f aca="false">IF('THÁNG 12'!$C118="","",'THÁNG 12'!$C118)</f>
        <v/>
      </c>
      <c r="D1011" s="0" t="str">
        <f aca="false">IF('THÁNG 12'!$C118="","",'THÁNG 12'!$D118&amp;"")</f>
        <v/>
      </c>
      <c r="E1011" s="0" t="str">
        <f aca="false">IF('THÁNG 12'!$C118="","",'THÁNG 12'!$E118&amp;"")</f>
        <v/>
      </c>
      <c r="F1011" s="0" t="str">
        <f aca="false">IF('THÁNG 12'!$C118="","",'THÁNG 12'!$F118&amp;"")</f>
        <v/>
      </c>
      <c r="G1011" s="0" t="str">
        <f aca="false">IF('THÁNG 12'!$C118="","",'THÁNG 12'!$G118&amp;"")</f>
        <v/>
      </c>
      <c r="H1011" s="0" t="str">
        <f aca="false">IF('THÁNG 12'!$C118="","",'THÁNG 12'!$H118&amp;"")</f>
        <v/>
      </c>
      <c r="I1011" s="0" t="str">
        <f aca="false">IF('THÁNG 12'!$C118="","",N('THÁNG 12'!$I118))</f>
        <v/>
      </c>
      <c r="J1011" s="0" t="str">
        <f aca="false">IF('THÁNG 12'!$C118="","",N('THÁNG 12'!$L118))</f>
        <v/>
      </c>
      <c r="K1011" s="0" t="str">
        <f aca="false">IF('THÁNG 12'!$C118="","",N('THÁNG 12'!$N118))</f>
        <v/>
      </c>
      <c r="L1011" s="0" t="str">
        <f aca="false">IF('THÁNG 12'!$C118="","",N('THÁNG 12'!$O118))</f>
        <v/>
      </c>
      <c r="M1011" s="0" t="str">
        <f aca="false">IF('THÁNG 12'!$C118="","",N('THÁNG 12'!$P118))</f>
        <v/>
      </c>
      <c r="N1011" s="0" t="str">
        <f aca="false">IF('THÁNG 12'!$C118="","",N('THÁNG 12'!$Q118))</f>
        <v/>
      </c>
      <c r="O1011" s="0" t="str">
        <f aca="false">IF('THÁNG 12'!$C118="","",N('THÁNG 12'!$R118))</f>
        <v/>
      </c>
      <c r="P1011" s="0" t="str">
        <f aca="false">IF(OR('THÁNG 12'!$C118="",'THÁNG 12'!$T118=""),"",'THÁNG 12'!$T118)</f>
        <v/>
      </c>
      <c r="Q1011" s="0" t="str">
        <f aca="false">IF(OR('THÁNG 12'!$C118="",'THÁNG 12'!$U118=""),"",'THÁNG 12'!$U118)</f>
        <v/>
      </c>
      <c r="R1011" s="0" t="str">
        <f aca="false">IF('THÁNG 12'!$C118="","",'THÁNG 12'!$W118&amp;"")</f>
        <v/>
      </c>
      <c r="S1011" s="0" t="str">
        <f aca="false">IF('THÁNG 12'!$C118="","",'THÁNG 12'!$S118&amp;"")</f>
        <v/>
      </c>
      <c r="T1011" s="0" t="str">
        <f aca="false">IF(N($O1011)&gt;0,COUNTIF($O$3:$O1011,"&gt;0"),"")</f>
        <v/>
      </c>
      <c r="U1011" s="0" t="str">
        <f aca="false">IF(AND(N($J1011)&gt;0,N($K1011)&gt;0),COUNTIFS($J$3:$J1011,"&gt;0",$K$3:$K1011,"&gt;0"),"")</f>
        <v/>
      </c>
      <c r="V1011" s="0" t="str">
        <f aca="false">IF(AND(N($J1011)&gt;0,N($K1011)=0),COUNTIFS($J$3:$J1011,"&gt;0",$K$3:$K1011,"&lt;=0"),"")</f>
        <v/>
      </c>
      <c r="W1011" s="0" t="str">
        <f aca="false">IF($C1011="","",IF(COUNTIF($C$3:$C1011,$C1011)&gt;1,"",MAX($W$2:W1010)+1))</f>
        <v/>
      </c>
      <c r="X1011" s="0" t="str">
        <f aca="false">IF($H1011="","",IF(COUNTIF($H$3:$H1011,$H1011)&gt;1,"",MAX($X$2:X1010)+1))</f>
        <v/>
      </c>
      <c r="Y1011" s="0" t="str">
        <f aca="false">IF(AND(N($M1011)&gt;0,N($O1011)&lt;=0),COUNTIFS($M$3:$M1011,"&gt;0",$O$3:$O1011,"&lt;=0"),"")</f>
        <v/>
      </c>
      <c r="Z1011" s="30" t="n">
        <f aca="false">IF(OR('THÁNG 12'!$C118="",'THÁNG 12'!$B118=""),0,'THÁNG 12'!$B118)</f>
        <v>0</v>
      </c>
    </row>
    <row r="1012" customFormat="false" ht="15" hidden="false" customHeight="false" outlineLevel="0" collapsed="false">
      <c r="A1012" s="0" t="n">
        <v>12</v>
      </c>
      <c r="B1012" s="29" t="str">
        <f aca="false">IF(OR('THÁNG 12'!$C119="",'THÁNG 12'!$B119=""),"",'THÁNG 12'!$B119)</f>
        <v/>
      </c>
      <c r="C1012" s="0" t="str">
        <f aca="false">IF('THÁNG 12'!$C119="","",'THÁNG 12'!$C119)</f>
        <v/>
      </c>
      <c r="D1012" s="0" t="str">
        <f aca="false">IF('THÁNG 12'!$C119="","",'THÁNG 12'!$D119&amp;"")</f>
        <v/>
      </c>
      <c r="E1012" s="0" t="str">
        <f aca="false">IF('THÁNG 12'!$C119="","",'THÁNG 12'!$E119&amp;"")</f>
        <v/>
      </c>
      <c r="F1012" s="0" t="str">
        <f aca="false">IF('THÁNG 12'!$C119="","",'THÁNG 12'!$F119&amp;"")</f>
        <v/>
      </c>
      <c r="G1012" s="0" t="str">
        <f aca="false">IF('THÁNG 12'!$C119="","",'THÁNG 12'!$G119&amp;"")</f>
        <v/>
      </c>
      <c r="H1012" s="0" t="str">
        <f aca="false">IF('THÁNG 12'!$C119="","",'THÁNG 12'!$H119&amp;"")</f>
        <v/>
      </c>
      <c r="I1012" s="0" t="str">
        <f aca="false">IF('THÁNG 12'!$C119="","",N('THÁNG 12'!$I119))</f>
        <v/>
      </c>
      <c r="J1012" s="0" t="str">
        <f aca="false">IF('THÁNG 12'!$C119="","",N('THÁNG 12'!$L119))</f>
        <v/>
      </c>
      <c r="K1012" s="0" t="str">
        <f aca="false">IF('THÁNG 12'!$C119="","",N('THÁNG 12'!$N119))</f>
        <v/>
      </c>
      <c r="L1012" s="0" t="str">
        <f aca="false">IF('THÁNG 12'!$C119="","",N('THÁNG 12'!$O119))</f>
        <v/>
      </c>
      <c r="M1012" s="0" t="str">
        <f aca="false">IF('THÁNG 12'!$C119="","",N('THÁNG 12'!$P119))</f>
        <v/>
      </c>
      <c r="N1012" s="0" t="str">
        <f aca="false">IF('THÁNG 12'!$C119="","",N('THÁNG 12'!$Q119))</f>
        <v/>
      </c>
      <c r="O1012" s="0" t="str">
        <f aca="false">IF('THÁNG 12'!$C119="","",N('THÁNG 12'!$R119))</f>
        <v/>
      </c>
      <c r="P1012" s="0" t="str">
        <f aca="false">IF(OR('THÁNG 12'!$C119="",'THÁNG 12'!$T119=""),"",'THÁNG 12'!$T119)</f>
        <v/>
      </c>
      <c r="Q1012" s="0" t="str">
        <f aca="false">IF(OR('THÁNG 12'!$C119="",'THÁNG 12'!$U119=""),"",'THÁNG 12'!$U119)</f>
        <v/>
      </c>
      <c r="R1012" s="0" t="str">
        <f aca="false">IF('THÁNG 12'!$C119="","",'THÁNG 12'!$W119&amp;"")</f>
        <v/>
      </c>
      <c r="S1012" s="0" t="str">
        <f aca="false">IF('THÁNG 12'!$C119="","",'THÁNG 12'!$S119&amp;"")</f>
        <v/>
      </c>
      <c r="T1012" s="0" t="str">
        <f aca="false">IF(N($O1012)&gt;0,COUNTIF($O$3:$O1012,"&gt;0"),"")</f>
        <v/>
      </c>
      <c r="U1012" s="0" t="str">
        <f aca="false">IF(AND(N($J1012)&gt;0,N($K1012)&gt;0),COUNTIFS($J$3:$J1012,"&gt;0",$K$3:$K1012,"&gt;0"),"")</f>
        <v/>
      </c>
      <c r="V1012" s="0" t="str">
        <f aca="false">IF(AND(N($J1012)&gt;0,N($K1012)=0),COUNTIFS($J$3:$J1012,"&gt;0",$K$3:$K1012,"&lt;=0"),"")</f>
        <v/>
      </c>
      <c r="W1012" s="0" t="str">
        <f aca="false">IF($C1012="","",IF(COUNTIF($C$3:$C1012,$C1012)&gt;1,"",MAX($W$2:W1011)+1))</f>
        <v/>
      </c>
      <c r="X1012" s="0" t="str">
        <f aca="false">IF($H1012="","",IF(COUNTIF($H$3:$H1012,$H1012)&gt;1,"",MAX($X$2:X1011)+1))</f>
        <v/>
      </c>
      <c r="Y1012" s="0" t="str">
        <f aca="false">IF(AND(N($M1012)&gt;0,N($O1012)&lt;=0),COUNTIFS($M$3:$M1012,"&gt;0",$O$3:$O1012,"&lt;=0"),"")</f>
        <v/>
      </c>
      <c r="Z1012" s="30" t="n">
        <f aca="false">IF(OR('THÁNG 12'!$C119="",'THÁNG 12'!$B119=""),0,'THÁNG 12'!$B119)</f>
        <v>0</v>
      </c>
    </row>
    <row r="1013" customFormat="false" ht="15" hidden="false" customHeight="false" outlineLevel="0" collapsed="false">
      <c r="A1013" s="0" t="n">
        <v>12</v>
      </c>
      <c r="B1013" s="29" t="str">
        <f aca="false">IF(OR('THÁNG 12'!$C120="",'THÁNG 12'!$B120=""),"",'THÁNG 12'!$B120)</f>
        <v/>
      </c>
      <c r="C1013" s="0" t="str">
        <f aca="false">IF('THÁNG 12'!$C120="","",'THÁNG 12'!$C120)</f>
        <v/>
      </c>
      <c r="D1013" s="0" t="str">
        <f aca="false">IF('THÁNG 12'!$C120="","",'THÁNG 12'!$D120&amp;"")</f>
        <v/>
      </c>
      <c r="E1013" s="0" t="str">
        <f aca="false">IF('THÁNG 12'!$C120="","",'THÁNG 12'!$E120&amp;"")</f>
        <v/>
      </c>
      <c r="F1013" s="0" t="str">
        <f aca="false">IF('THÁNG 12'!$C120="","",'THÁNG 12'!$F120&amp;"")</f>
        <v/>
      </c>
      <c r="G1013" s="0" t="str">
        <f aca="false">IF('THÁNG 12'!$C120="","",'THÁNG 12'!$G120&amp;"")</f>
        <v/>
      </c>
      <c r="H1013" s="0" t="str">
        <f aca="false">IF('THÁNG 12'!$C120="","",'THÁNG 12'!$H120&amp;"")</f>
        <v/>
      </c>
      <c r="I1013" s="0" t="str">
        <f aca="false">IF('THÁNG 12'!$C120="","",N('THÁNG 12'!$I120))</f>
        <v/>
      </c>
      <c r="J1013" s="0" t="str">
        <f aca="false">IF('THÁNG 12'!$C120="","",N('THÁNG 12'!$L120))</f>
        <v/>
      </c>
      <c r="K1013" s="0" t="str">
        <f aca="false">IF('THÁNG 12'!$C120="","",N('THÁNG 12'!$N120))</f>
        <v/>
      </c>
      <c r="L1013" s="0" t="str">
        <f aca="false">IF('THÁNG 12'!$C120="","",N('THÁNG 12'!$O120))</f>
        <v/>
      </c>
      <c r="M1013" s="0" t="str">
        <f aca="false">IF('THÁNG 12'!$C120="","",N('THÁNG 12'!$P120))</f>
        <v/>
      </c>
      <c r="N1013" s="0" t="str">
        <f aca="false">IF('THÁNG 12'!$C120="","",N('THÁNG 12'!$Q120))</f>
        <v/>
      </c>
      <c r="O1013" s="0" t="str">
        <f aca="false">IF('THÁNG 12'!$C120="","",N('THÁNG 12'!$R120))</f>
        <v/>
      </c>
      <c r="P1013" s="0" t="str">
        <f aca="false">IF(OR('THÁNG 12'!$C120="",'THÁNG 12'!$T120=""),"",'THÁNG 12'!$T120)</f>
        <v/>
      </c>
      <c r="Q1013" s="0" t="str">
        <f aca="false">IF(OR('THÁNG 12'!$C120="",'THÁNG 12'!$U120=""),"",'THÁNG 12'!$U120)</f>
        <v/>
      </c>
      <c r="R1013" s="0" t="str">
        <f aca="false">IF('THÁNG 12'!$C120="","",'THÁNG 12'!$W120&amp;"")</f>
        <v/>
      </c>
      <c r="S1013" s="0" t="str">
        <f aca="false">IF('THÁNG 12'!$C120="","",'THÁNG 12'!$S120&amp;"")</f>
        <v/>
      </c>
      <c r="T1013" s="0" t="str">
        <f aca="false">IF(N($O1013)&gt;0,COUNTIF($O$3:$O1013,"&gt;0"),"")</f>
        <v/>
      </c>
      <c r="U1013" s="0" t="str">
        <f aca="false">IF(AND(N($J1013)&gt;0,N($K1013)&gt;0),COUNTIFS($J$3:$J1013,"&gt;0",$K$3:$K1013,"&gt;0"),"")</f>
        <v/>
      </c>
      <c r="V1013" s="0" t="str">
        <f aca="false">IF(AND(N($J1013)&gt;0,N($K1013)=0),COUNTIFS($J$3:$J1013,"&gt;0",$K$3:$K1013,"&lt;=0"),"")</f>
        <v/>
      </c>
      <c r="W1013" s="0" t="str">
        <f aca="false">IF($C1013="","",IF(COUNTIF($C$3:$C1013,$C1013)&gt;1,"",MAX($W$2:W1012)+1))</f>
        <v/>
      </c>
      <c r="X1013" s="0" t="str">
        <f aca="false">IF($H1013="","",IF(COUNTIF($H$3:$H1013,$H1013)&gt;1,"",MAX($X$2:X1012)+1))</f>
        <v/>
      </c>
      <c r="Y1013" s="0" t="str">
        <f aca="false">IF(AND(N($M1013)&gt;0,N($O1013)&lt;=0),COUNTIFS($M$3:$M1013,"&gt;0",$O$3:$O1013,"&lt;=0"),"")</f>
        <v/>
      </c>
      <c r="Z1013" s="30" t="n">
        <f aca="false">IF(OR('THÁNG 12'!$C120="",'THÁNG 12'!$B120=""),0,'THÁNG 12'!$B120)</f>
        <v>0</v>
      </c>
    </row>
    <row r="1014" customFormat="false" ht="15" hidden="false" customHeight="false" outlineLevel="0" collapsed="false">
      <c r="A1014" s="0" t="n">
        <v>12</v>
      </c>
      <c r="B1014" s="29" t="str">
        <f aca="false">IF(OR('THÁNG 12'!$C121="",'THÁNG 12'!$B121=""),"",'THÁNG 12'!$B121)</f>
        <v/>
      </c>
      <c r="C1014" s="0" t="str">
        <f aca="false">IF('THÁNG 12'!$C121="","",'THÁNG 12'!$C121)</f>
        <v/>
      </c>
      <c r="D1014" s="0" t="str">
        <f aca="false">IF('THÁNG 12'!$C121="","",'THÁNG 12'!$D121&amp;"")</f>
        <v/>
      </c>
      <c r="E1014" s="0" t="str">
        <f aca="false">IF('THÁNG 12'!$C121="","",'THÁNG 12'!$E121&amp;"")</f>
        <v/>
      </c>
      <c r="F1014" s="0" t="str">
        <f aca="false">IF('THÁNG 12'!$C121="","",'THÁNG 12'!$F121&amp;"")</f>
        <v/>
      </c>
      <c r="G1014" s="0" t="str">
        <f aca="false">IF('THÁNG 12'!$C121="","",'THÁNG 12'!$G121&amp;"")</f>
        <v/>
      </c>
      <c r="H1014" s="0" t="str">
        <f aca="false">IF('THÁNG 12'!$C121="","",'THÁNG 12'!$H121&amp;"")</f>
        <v/>
      </c>
      <c r="I1014" s="0" t="str">
        <f aca="false">IF('THÁNG 12'!$C121="","",N('THÁNG 12'!$I121))</f>
        <v/>
      </c>
      <c r="J1014" s="0" t="str">
        <f aca="false">IF('THÁNG 12'!$C121="","",N('THÁNG 12'!$L121))</f>
        <v/>
      </c>
      <c r="K1014" s="0" t="str">
        <f aca="false">IF('THÁNG 12'!$C121="","",N('THÁNG 12'!$N121))</f>
        <v/>
      </c>
      <c r="L1014" s="0" t="str">
        <f aca="false">IF('THÁNG 12'!$C121="","",N('THÁNG 12'!$O121))</f>
        <v/>
      </c>
      <c r="M1014" s="0" t="str">
        <f aca="false">IF('THÁNG 12'!$C121="","",N('THÁNG 12'!$P121))</f>
        <v/>
      </c>
      <c r="N1014" s="0" t="str">
        <f aca="false">IF('THÁNG 12'!$C121="","",N('THÁNG 12'!$Q121))</f>
        <v/>
      </c>
      <c r="O1014" s="0" t="str">
        <f aca="false">IF('THÁNG 12'!$C121="","",N('THÁNG 12'!$R121))</f>
        <v/>
      </c>
      <c r="P1014" s="0" t="str">
        <f aca="false">IF(OR('THÁNG 12'!$C121="",'THÁNG 12'!$T121=""),"",'THÁNG 12'!$T121)</f>
        <v/>
      </c>
      <c r="Q1014" s="0" t="str">
        <f aca="false">IF(OR('THÁNG 12'!$C121="",'THÁNG 12'!$U121=""),"",'THÁNG 12'!$U121)</f>
        <v/>
      </c>
      <c r="R1014" s="0" t="str">
        <f aca="false">IF('THÁNG 12'!$C121="","",'THÁNG 12'!$W121&amp;"")</f>
        <v/>
      </c>
      <c r="S1014" s="0" t="str">
        <f aca="false">IF('THÁNG 12'!$C121="","",'THÁNG 12'!$S121&amp;"")</f>
        <v/>
      </c>
      <c r="T1014" s="0" t="str">
        <f aca="false">IF(N($O1014)&gt;0,COUNTIF($O$3:$O1014,"&gt;0"),"")</f>
        <v/>
      </c>
      <c r="U1014" s="0" t="str">
        <f aca="false">IF(AND(N($J1014)&gt;0,N($K1014)&gt;0),COUNTIFS($J$3:$J1014,"&gt;0",$K$3:$K1014,"&gt;0"),"")</f>
        <v/>
      </c>
      <c r="V1014" s="0" t="str">
        <f aca="false">IF(AND(N($J1014)&gt;0,N($K1014)=0),COUNTIFS($J$3:$J1014,"&gt;0",$K$3:$K1014,"&lt;=0"),"")</f>
        <v/>
      </c>
      <c r="W1014" s="0" t="str">
        <f aca="false">IF($C1014="","",IF(COUNTIF($C$3:$C1014,$C1014)&gt;1,"",MAX($W$2:W1013)+1))</f>
        <v/>
      </c>
      <c r="X1014" s="0" t="str">
        <f aca="false">IF($H1014="","",IF(COUNTIF($H$3:$H1014,$H1014)&gt;1,"",MAX($X$2:X1013)+1))</f>
        <v/>
      </c>
      <c r="Y1014" s="0" t="str">
        <f aca="false">IF(AND(N($M1014)&gt;0,N($O1014)&lt;=0),COUNTIFS($M$3:$M1014,"&gt;0",$O$3:$O1014,"&lt;=0"),"")</f>
        <v/>
      </c>
      <c r="Z1014" s="30" t="n">
        <f aca="false">IF(OR('THÁNG 12'!$C121="",'THÁNG 12'!$B121=""),0,'THÁNG 12'!$B121)</f>
        <v>0</v>
      </c>
    </row>
    <row r="1015" customFormat="false" ht="15" hidden="false" customHeight="false" outlineLevel="0" collapsed="false">
      <c r="A1015" s="0" t="n">
        <v>12</v>
      </c>
      <c r="B1015" s="29" t="str">
        <f aca="false">IF(OR('THÁNG 12'!$C122="",'THÁNG 12'!$B122=""),"",'THÁNG 12'!$B122)</f>
        <v/>
      </c>
      <c r="C1015" s="0" t="str">
        <f aca="false">IF('THÁNG 12'!$C122="","",'THÁNG 12'!$C122)</f>
        <v/>
      </c>
      <c r="D1015" s="0" t="str">
        <f aca="false">IF('THÁNG 12'!$C122="","",'THÁNG 12'!$D122&amp;"")</f>
        <v/>
      </c>
      <c r="E1015" s="0" t="str">
        <f aca="false">IF('THÁNG 12'!$C122="","",'THÁNG 12'!$E122&amp;"")</f>
        <v/>
      </c>
      <c r="F1015" s="0" t="str">
        <f aca="false">IF('THÁNG 12'!$C122="","",'THÁNG 12'!$F122&amp;"")</f>
        <v/>
      </c>
      <c r="G1015" s="0" t="str">
        <f aca="false">IF('THÁNG 12'!$C122="","",'THÁNG 12'!$G122&amp;"")</f>
        <v/>
      </c>
      <c r="H1015" s="0" t="str">
        <f aca="false">IF('THÁNG 12'!$C122="","",'THÁNG 12'!$H122&amp;"")</f>
        <v/>
      </c>
      <c r="I1015" s="0" t="str">
        <f aca="false">IF('THÁNG 12'!$C122="","",N('THÁNG 12'!$I122))</f>
        <v/>
      </c>
      <c r="J1015" s="0" t="str">
        <f aca="false">IF('THÁNG 12'!$C122="","",N('THÁNG 12'!$L122))</f>
        <v/>
      </c>
      <c r="K1015" s="0" t="str">
        <f aca="false">IF('THÁNG 12'!$C122="","",N('THÁNG 12'!$N122))</f>
        <v/>
      </c>
      <c r="L1015" s="0" t="str">
        <f aca="false">IF('THÁNG 12'!$C122="","",N('THÁNG 12'!$O122))</f>
        <v/>
      </c>
      <c r="M1015" s="0" t="str">
        <f aca="false">IF('THÁNG 12'!$C122="","",N('THÁNG 12'!$P122))</f>
        <v/>
      </c>
      <c r="N1015" s="0" t="str">
        <f aca="false">IF('THÁNG 12'!$C122="","",N('THÁNG 12'!$Q122))</f>
        <v/>
      </c>
      <c r="O1015" s="0" t="str">
        <f aca="false">IF('THÁNG 12'!$C122="","",N('THÁNG 12'!$R122))</f>
        <v/>
      </c>
      <c r="P1015" s="0" t="str">
        <f aca="false">IF(OR('THÁNG 12'!$C122="",'THÁNG 12'!$T122=""),"",'THÁNG 12'!$T122)</f>
        <v/>
      </c>
      <c r="Q1015" s="0" t="str">
        <f aca="false">IF(OR('THÁNG 12'!$C122="",'THÁNG 12'!$U122=""),"",'THÁNG 12'!$U122)</f>
        <v/>
      </c>
      <c r="R1015" s="0" t="str">
        <f aca="false">IF('THÁNG 12'!$C122="","",'THÁNG 12'!$W122&amp;"")</f>
        <v/>
      </c>
      <c r="S1015" s="0" t="str">
        <f aca="false">IF('THÁNG 12'!$C122="","",'THÁNG 12'!$S122&amp;"")</f>
        <v/>
      </c>
      <c r="T1015" s="0" t="str">
        <f aca="false">IF(N($O1015)&gt;0,COUNTIF($O$3:$O1015,"&gt;0"),"")</f>
        <v/>
      </c>
      <c r="U1015" s="0" t="str">
        <f aca="false">IF(AND(N($J1015)&gt;0,N($K1015)&gt;0),COUNTIFS($J$3:$J1015,"&gt;0",$K$3:$K1015,"&gt;0"),"")</f>
        <v/>
      </c>
      <c r="V1015" s="0" t="str">
        <f aca="false">IF(AND(N($J1015)&gt;0,N($K1015)=0),COUNTIFS($J$3:$J1015,"&gt;0",$K$3:$K1015,"&lt;=0"),"")</f>
        <v/>
      </c>
      <c r="W1015" s="0" t="str">
        <f aca="false">IF($C1015="","",IF(COUNTIF($C$3:$C1015,$C1015)&gt;1,"",MAX($W$2:W1014)+1))</f>
        <v/>
      </c>
      <c r="X1015" s="0" t="str">
        <f aca="false">IF($H1015="","",IF(COUNTIF($H$3:$H1015,$H1015)&gt;1,"",MAX($X$2:X1014)+1))</f>
        <v/>
      </c>
      <c r="Y1015" s="0" t="str">
        <f aca="false">IF(AND(N($M1015)&gt;0,N($O1015)&lt;=0),COUNTIFS($M$3:$M1015,"&gt;0",$O$3:$O1015,"&lt;=0"),"")</f>
        <v/>
      </c>
      <c r="Z1015" s="30" t="n">
        <f aca="false">IF(OR('THÁNG 12'!$C122="",'THÁNG 12'!$B122=""),0,'THÁNG 12'!$B122)</f>
        <v>0</v>
      </c>
    </row>
    <row r="1016" customFormat="false" ht="15" hidden="false" customHeight="false" outlineLevel="0" collapsed="false">
      <c r="A1016" s="0" t="n">
        <v>12</v>
      </c>
      <c r="B1016" s="29" t="str">
        <f aca="false">IF(OR('THÁNG 12'!$C123="",'THÁNG 12'!$B123=""),"",'THÁNG 12'!$B123)</f>
        <v/>
      </c>
      <c r="C1016" s="0" t="str">
        <f aca="false">IF('THÁNG 12'!$C123="","",'THÁNG 12'!$C123)</f>
        <v/>
      </c>
      <c r="D1016" s="0" t="str">
        <f aca="false">IF('THÁNG 12'!$C123="","",'THÁNG 12'!$D123&amp;"")</f>
        <v/>
      </c>
      <c r="E1016" s="0" t="str">
        <f aca="false">IF('THÁNG 12'!$C123="","",'THÁNG 12'!$E123&amp;"")</f>
        <v/>
      </c>
      <c r="F1016" s="0" t="str">
        <f aca="false">IF('THÁNG 12'!$C123="","",'THÁNG 12'!$F123&amp;"")</f>
        <v/>
      </c>
      <c r="G1016" s="0" t="str">
        <f aca="false">IF('THÁNG 12'!$C123="","",'THÁNG 12'!$G123&amp;"")</f>
        <v/>
      </c>
      <c r="H1016" s="0" t="str">
        <f aca="false">IF('THÁNG 12'!$C123="","",'THÁNG 12'!$H123&amp;"")</f>
        <v/>
      </c>
      <c r="I1016" s="0" t="str">
        <f aca="false">IF('THÁNG 12'!$C123="","",N('THÁNG 12'!$I123))</f>
        <v/>
      </c>
      <c r="J1016" s="0" t="str">
        <f aca="false">IF('THÁNG 12'!$C123="","",N('THÁNG 12'!$L123))</f>
        <v/>
      </c>
      <c r="K1016" s="0" t="str">
        <f aca="false">IF('THÁNG 12'!$C123="","",N('THÁNG 12'!$N123))</f>
        <v/>
      </c>
      <c r="L1016" s="0" t="str">
        <f aca="false">IF('THÁNG 12'!$C123="","",N('THÁNG 12'!$O123))</f>
        <v/>
      </c>
      <c r="M1016" s="0" t="str">
        <f aca="false">IF('THÁNG 12'!$C123="","",N('THÁNG 12'!$P123))</f>
        <v/>
      </c>
      <c r="N1016" s="0" t="str">
        <f aca="false">IF('THÁNG 12'!$C123="","",N('THÁNG 12'!$Q123))</f>
        <v/>
      </c>
      <c r="O1016" s="0" t="str">
        <f aca="false">IF('THÁNG 12'!$C123="","",N('THÁNG 12'!$R123))</f>
        <v/>
      </c>
      <c r="P1016" s="0" t="str">
        <f aca="false">IF(OR('THÁNG 12'!$C123="",'THÁNG 12'!$T123=""),"",'THÁNG 12'!$T123)</f>
        <v/>
      </c>
      <c r="Q1016" s="0" t="str">
        <f aca="false">IF(OR('THÁNG 12'!$C123="",'THÁNG 12'!$U123=""),"",'THÁNG 12'!$U123)</f>
        <v/>
      </c>
      <c r="R1016" s="0" t="str">
        <f aca="false">IF('THÁNG 12'!$C123="","",'THÁNG 12'!$W123&amp;"")</f>
        <v/>
      </c>
      <c r="S1016" s="0" t="str">
        <f aca="false">IF('THÁNG 12'!$C123="","",'THÁNG 12'!$S123&amp;"")</f>
        <v/>
      </c>
      <c r="T1016" s="0" t="str">
        <f aca="false">IF(N($O1016)&gt;0,COUNTIF($O$3:$O1016,"&gt;0"),"")</f>
        <v/>
      </c>
      <c r="U1016" s="0" t="str">
        <f aca="false">IF(AND(N($J1016)&gt;0,N($K1016)&gt;0),COUNTIFS($J$3:$J1016,"&gt;0",$K$3:$K1016,"&gt;0"),"")</f>
        <v/>
      </c>
      <c r="V1016" s="0" t="str">
        <f aca="false">IF(AND(N($J1016)&gt;0,N($K1016)=0),COUNTIFS($J$3:$J1016,"&gt;0",$K$3:$K1016,"&lt;=0"),"")</f>
        <v/>
      </c>
      <c r="W1016" s="0" t="str">
        <f aca="false">IF($C1016="","",IF(COUNTIF($C$3:$C1016,$C1016)&gt;1,"",MAX($W$2:W1015)+1))</f>
        <v/>
      </c>
      <c r="X1016" s="0" t="str">
        <f aca="false">IF($H1016="","",IF(COUNTIF($H$3:$H1016,$H1016)&gt;1,"",MAX($X$2:X1015)+1))</f>
        <v/>
      </c>
      <c r="Y1016" s="0" t="str">
        <f aca="false">IF(AND(N($M1016)&gt;0,N($O1016)&lt;=0),COUNTIFS($M$3:$M1016,"&gt;0",$O$3:$O1016,"&lt;=0"),"")</f>
        <v/>
      </c>
      <c r="Z1016" s="30" t="n">
        <f aca="false">IF(OR('THÁNG 12'!$C123="",'THÁNG 12'!$B123=""),0,'THÁNG 12'!$B123)</f>
        <v>0</v>
      </c>
    </row>
    <row r="1017" customFormat="false" ht="15" hidden="false" customHeight="false" outlineLevel="0" collapsed="false">
      <c r="A1017" s="0" t="n">
        <v>12</v>
      </c>
      <c r="B1017" s="29" t="str">
        <f aca="false">IF(OR('THÁNG 12'!$C124="",'THÁNG 12'!$B124=""),"",'THÁNG 12'!$B124)</f>
        <v/>
      </c>
      <c r="C1017" s="0" t="str">
        <f aca="false">IF('THÁNG 12'!$C124="","",'THÁNG 12'!$C124)</f>
        <v/>
      </c>
      <c r="D1017" s="0" t="str">
        <f aca="false">IF('THÁNG 12'!$C124="","",'THÁNG 12'!$D124&amp;"")</f>
        <v/>
      </c>
      <c r="E1017" s="0" t="str">
        <f aca="false">IF('THÁNG 12'!$C124="","",'THÁNG 12'!$E124&amp;"")</f>
        <v/>
      </c>
      <c r="F1017" s="0" t="str">
        <f aca="false">IF('THÁNG 12'!$C124="","",'THÁNG 12'!$F124&amp;"")</f>
        <v/>
      </c>
      <c r="G1017" s="0" t="str">
        <f aca="false">IF('THÁNG 12'!$C124="","",'THÁNG 12'!$G124&amp;"")</f>
        <v/>
      </c>
      <c r="H1017" s="0" t="str">
        <f aca="false">IF('THÁNG 12'!$C124="","",'THÁNG 12'!$H124&amp;"")</f>
        <v/>
      </c>
      <c r="I1017" s="0" t="str">
        <f aca="false">IF('THÁNG 12'!$C124="","",N('THÁNG 12'!$I124))</f>
        <v/>
      </c>
      <c r="J1017" s="0" t="str">
        <f aca="false">IF('THÁNG 12'!$C124="","",N('THÁNG 12'!$L124))</f>
        <v/>
      </c>
      <c r="K1017" s="0" t="str">
        <f aca="false">IF('THÁNG 12'!$C124="","",N('THÁNG 12'!$N124))</f>
        <v/>
      </c>
      <c r="L1017" s="0" t="str">
        <f aca="false">IF('THÁNG 12'!$C124="","",N('THÁNG 12'!$O124))</f>
        <v/>
      </c>
      <c r="M1017" s="0" t="str">
        <f aca="false">IF('THÁNG 12'!$C124="","",N('THÁNG 12'!$P124))</f>
        <v/>
      </c>
      <c r="N1017" s="0" t="str">
        <f aca="false">IF('THÁNG 12'!$C124="","",N('THÁNG 12'!$Q124))</f>
        <v/>
      </c>
      <c r="O1017" s="0" t="str">
        <f aca="false">IF('THÁNG 12'!$C124="","",N('THÁNG 12'!$R124))</f>
        <v/>
      </c>
      <c r="P1017" s="0" t="str">
        <f aca="false">IF(OR('THÁNG 12'!$C124="",'THÁNG 12'!$T124=""),"",'THÁNG 12'!$T124)</f>
        <v/>
      </c>
      <c r="Q1017" s="0" t="str">
        <f aca="false">IF(OR('THÁNG 12'!$C124="",'THÁNG 12'!$U124=""),"",'THÁNG 12'!$U124)</f>
        <v/>
      </c>
      <c r="R1017" s="0" t="str">
        <f aca="false">IF('THÁNG 12'!$C124="","",'THÁNG 12'!$W124&amp;"")</f>
        <v/>
      </c>
      <c r="S1017" s="0" t="str">
        <f aca="false">IF('THÁNG 12'!$C124="","",'THÁNG 12'!$S124&amp;"")</f>
        <v/>
      </c>
      <c r="T1017" s="0" t="str">
        <f aca="false">IF(N($O1017)&gt;0,COUNTIF($O$3:$O1017,"&gt;0"),"")</f>
        <v/>
      </c>
      <c r="U1017" s="0" t="str">
        <f aca="false">IF(AND(N($J1017)&gt;0,N($K1017)&gt;0),COUNTIFS($J$3:$J1017,"&gt;0",$K$3:$K1017,"&gt;0"),"")</f>
        <v/>
      </c>
      <c r="V1017" s="0" t="str">
        <f aca="false">IF(AND(N($J1017)&gt;0,N($K1017)=0),COUNTIFS($J$3:$J1017,"&gt;0",$K$3:$K1017,"&lt;=0"),"")</f>
        <v/>
      </c>
      <c r="W1017" s="0" t="str">
        <f aca="false">IF($C1017="","",IF(COUNTIF($C$3:$C1017,$C1017)&gt;1,"",MAX($W$2:W1016)+1))</f>
        <v/>
      </c>
      <c r="X1017" s="0" t="str">
        <f aca="false">IF($H1017="","",IF(COUNTIF($H$3:$H1017,$H1017)&gt;1,"",MAX($X$2:X1016)+1))</f>
        <v/>
      </c>
      <c r="Y1017" s="0" t="str">
        <f aca="false">IF(AND(N($M1017)&gt;0,N($O1017)&lt;=0),COUNTIFS($M$3:$M1017,"&gt;0",$O$3:$O1017,"&lt;=0"),"")</f>
        <v/>
      </c>
      <c r="Z1017" s="30" t="n">
        <f aca="false">IF(OR('THÁNG 12'!$C124="",'THÁNG 12'!$B124=""),0,'THÁNG 12'!$B124)</f>
        <v>0</v>
      </c>
    </row>
    <row r="1018" customFormat="false" ht="15" hidden="false" customHeight="false" outlineLevel="0" collapsed="false">
      <c r="A1018" s="0" t="n">
        <v>12</v>
      </c>
      <c r="B1018" s="29" t="str">
        <f aca="false">IF(OR('THÁNG 12'!$C125="",'THÁNG 12'!$B125=""),"",'THÁNG 12'!$B125)</f>
        <v/>
      </c>
      <c r="C1018" s="0" t="str">
        <f aca="false">IF('THÁNG 12'!$C125="","",'THÁNG 12'!$C125)</f>
        <v/>
      </c>
      <c r="D1018" s="0" t="str">
        <f aca="false">IF('THÁNG 12'!$C125="","",'THÁNG 12'!$D125&amp;"")</f>
        <v/>
      </c>
      <c r="E1018" s="0" t="str">
        <f aca="false">IF('THÁNG 12'!$C125="","",'THÁNG 12'!$E125&amp;"")</f>
        <v/>
      </c>
      <c r="F1018" s="0" t="str">
        <f aca="false">IF('THÁNG 12'!$C125="","",'THÁNG 12'!$F125&amp;"")</f>
        <v/>
      </c>
      <c r="G1018" s="0" t="str">
        <f aca="false">IF('THÁNG 12'!$C125="","",'THÁNG 12'!$G125&amp;"")</f>
        <v/>
      </c>
      <c r="H1018" s="0" t="str">
        <f aca="false">IF('THÁNG 12'!$C125="","",'THÁNG 12'!$H125&amp;"")</f>
        <v/>
      </c>
      <c r="I1018" s="0" t="str">
        <f aca="false">IF('THÁNG 12'!$C125="","",N('THÁNG 12'!$I125))</f>
        <v/>
      </c>
      <c r="J1018" s="0" t="str">
        <f aca="false">IF('THÁNG 12'!$C125="","",N('THÁNG 12'!$L125))</f>
        <v/>
      </c>
      <c r="K1018" s="0" t="str">
        <f aca="false">IF('THÁNG 12'!$C125="","",N('THÁNG 12'!$N125))</f>
        <v/>
      </c>
      <c r="L1018" s="0" t="str">
        <f aca="false">IF('THÁNG 12'!$C125="","",N('THÁNG 12'!$O125))</f>
        <v/>
      </c>
      <c r="M1018" s="0" t="str">
        <f aca="false">IF('THÁNG 12'!$C125="","",N('THÁNG 12'!$P125))</f>
        <v/>
      </c>
      <c r="N1018" s="0" t="str">
        <f aca="false">IF('THÁNG 12'!$C125="","",N('THÁNG 12'!$Q125))</f>
        <v/>
      </c>
      <c r="O1018" s="0" t="str">
        <f aca="false">IF('THÁNG 12'!$C125="","",N('THÁNG 12'!$R125))</f>
        <v/>
      </c>
      <c r="P1018" s="0" t="str">
        <f aca="false">IF(OR('THÁNG 12'!$C125="",'THÁNG 12'!$T125=""),"",'THÁNG 12'!$T125)</f>
        <v/>
      </c>
      <c r="Q1018" s="0" t="str">
        <f aca="false">IF(OR('THÁNG 12'!$C125="",'THÁNG 12'!$U125=""),"",'THÁNG 12'!$U125)</f>
        <v/>
      </c>
      <c r="R1018" s="0" t="str">
        <f aca="false">IF('THÁNG 12'!$C125="","",'THÁNG 12'!$W125&amp;"")</f>
        <v/>
      </c>
      <c r="S1018" s="0" t="str">
        <f aca="false">IF('THÁNG 12'!$C125="","",'THÁNG 12'!$S125&amp;"")</f>
        <v/>
      </c>
      <c r="T1018" s="0" t="str">
        <f aca="false">IF(N($O1018)&gt;0,COUNTIF($O$3:$O1018,"&gt;0"),"")</f>
        <v/>
      </c>
      <c r="U1018" s="0" t="str">
        <f aca="false">IF(AND(N($J1018)&gt;0,N($K1018)&gt;0),COUNTIFS($J$3:$J1018,"&gt;0",$K$3:$K1018,"&gt;0"),"")</f>
        <v/>
      </c>
      <c r="V1018" s="0" t="str">
        <f aca="false">IF(AND(N($J1018)&gt;0,N($K1018)=0),COUNTIFS($J$3:$J1018,"&gt;0",$K$3:$K1018,"&lt;=0"),"")</f>
        <v/>
      </c>
      <c r="W1018" s="0" t="str">
        <f aca="false">IF($C1018="","",IF(COUNTIF($C$3:$C1018,$C1018)&gt;1,"",MAX($W$2:W1017)+1))</f>
        <v/>
      </c>
      <c r="X1018" s="0" t="str">
        <f aca="false">IF($H1018="","",IF(COUNTIF($H$3:$H1018,$H1018)&gt;1,"",MAX($X$2:X1017)+1))</f>
        <v/>
      </c>
      <c r="Y1018" s="0" t="str">
        <f aca="false">IF(AND(N($M1018)&gt;0,N($O1018)&lt;=0),COUNTIFS($M$3:$M1018,"&gt;0",$O$3:$O1018,"&lt;=0"),"")</f>
        <v/>
      </c>
      <c r="Z1018" s="30" t="n">
        <f aca="false">IF(OR('THÁNG 12'!$C125="",'THÁNG 12'!$B125=""),0,'THÁNG 12'!$B125)</f>
        <v>0</v>
      </c>
    </row>
    <row r="1019" customFormat="false" ht="15" hidden="false" customHeight="false" outlineLevel="0" collapsed="false">
      <c r="A1019" s="0" t="n">
        <v>12</v>
      </c>
      <c r="B1019" s="29" t="str">
        <f aca="false">IF(OR('THÁNG 12'!$C126="",'THÁNG 12'!$B126=""),"",'THÁNG 12'!$B126)</f>
        <v/>
      </c>
      <c r="C1019" s="0" t="str">
        <f aca="false">IF('THÁNG 12'!$C126="","",'THÁNG 12'!$C126)</f>
        <v/>
      </c>
      <c r="D1019" s="0" t="str">
        <f aca="false">IF('THÁNG 12'!$C126="","",'THÁNG 12'!$D126&amp;"")</f>
        <v/>
      </c>
      <c r="E1019" s="0" t="str">
        <f aca="false">IF('THÁNG 12'!$C126="","",'THÁNG 12'!$E126&amp;"")</f>
        <v/>
      </c>
      <c r="F1019" s="0" t="str">
        <f aca="false">IF('THÁNG 12'!$C126="","",'THÁNG 12'!$F126&amp;"")</f>
        <v/>
      </c>
      <c r="G1019" s="0" t="str">
        <f aca="false">IF('THÁNG 12'!$C126="","",'THÁNG 12'!$G126&amp;"")</f>
        <v/>
      </c>
      <c r="H1019" s="0" t="str">
        <f aca="false">IF('THÁNG 12'!$C126="","",'THÁNG 12'!$H126&amp;"")</f>
        <v/>
      </c>
      <c r="I1019" s="0" t="str">
        <f aca="false">IF('THÁNG 12'!$C126="","",N('THÁNG 12'!$I126))</f>
        <v/>
      </c>
      <c r="J1019" s="0" t="str">
        <f aca="false">IF('THÁNG 12'!$C126="","",N('THÁNG 12'!$L126))</f>
        <v/>
      </c>
      <c r="K1019" s="0" t="str">
        <f aca="false">IF('THÁNG 12'!$C126="","",N('THÁNG 12'!$N126))</f>
        <v/>
      </c>
      <c r="L1019" s="0" t="str">
        <f aca="false">IF('THÁNG 12'!$C126="","",N('THÁNG 12'!$O126))</f>
        <v/>
      </c>
      <c r="M1019" s="0" t="str">
        <f aca="false">IF('THÁNG 12'!$C126="","",N('THÁNG 12'!$P126))</f>
        <v/>
      </c>
      <c r="N1019" s="0" t="str">
        <f aca="false">IF('THÁNG 12'!$C126="","",N('THÁNG 12'!$Q126))</f>
        <v/>
      </c>
      <c r="O1019" s="0" t="str">
        <f aca="false">IF('THÁNG 12'!$C126="","",N('THÁNG 12'!$R126))</f>
        <v/>
      </c>
      <c r="P1019" s="0" t="str">
        <f aca="false">IF(OR('THÁNG 12'!$C126="",'THÁNG 12'!$T126=""),"",'THÁNG 12'!$T126)</f>
        <v/>
      </c>
      <c r="Q1019" s="0" t="str">
        <f aca="false">IF(OR('THÁNG 12'!$C126="",'THÁNG 12'!$U126=""),"",'THÁNG 12'!$U126)</f>
        <v/>
      </c>
      <c r="R1019" s="0" t="str">
        <f aca="false">IF('THÁNG 12'!$C126="","",'THÁNG 12'!$W126&amp;"")</f>
        <v/>
      </c>
      <c r="S1019" s="0" t="str">
        <f aca="false">IF('THÁNG 12'!$C126="","",'THÁNG 12'!$S126&amp;"")</f>
        <v/>
      </c>
      <c r="T1019" s="0" t="str">
        <f aca="false">IF(N($O1019)&gt;0,COUNTIF($O$3:$O1019,"&gt;0"),"")</f>
        <v/>
      </c>
      <c r="U1019" s="0" t="str">
        <f aca="false">IF(AND(N($J1019)&gt;0,N($K1019)&gt;0),COUNTIFS($J$3:$J1019,"&gt;0",$K$3:$K1019,"&gt;0"),"")</f>
        <v/>
      </c>
      <c r="V1019" s="0" t="str">
        <f aca="false">IF(AND(N($J1019)&gt;0,N($K1019)=0),COUNTIFS($J$3:$J1019,"&gt;0",$K$3:$K1019,"&lt;=0"),"")</f>
        <v/>
      </c>
      <c r="W1019" s="0" t="str">
        <f aca="false">IF($C1019="","",IF(COUNTIF($C$3:$C1019,$C1019)&gt;1,"",MAX($W$2:W1018)+1))</f>
        <v/>
      </c>
      <c r="X1019" s="0" t="str">
        <f aca="false">IF($H1019="","",IF(COUNTIF($H$3:$H1019,$H1019)&gt;1,"",MAX($X$2:X1018)+1))</f>
        <v/>
      </c>
      <c r="Y1019" s="0" t="str">
        <f aca="false">IF(AND(N($M1019)&gt;0,N($O1019)&lt;=0),COUNTIFS($M$3:$M1019,"&gt;0",$O$3:$O1019,"&lt;=0"),"")</f>
        <v/>
      </c>
      <c r="Z1019" s="30" t="n">
        <f aca="false">IF(OR('THÁNG 12'!$C126="",'THÁNG 12'!$B126=""),0,'THÁNG 12'!$B126)</f>
        <v>0</v>
      </c>
    </row>
    <row r="1020" customFormat="false" ht="15" hidden="false" customHeight="false" outlineLevel="0" collapsed="false">
      <c r="A1020" s="0" t="n">
        <v>12</v>
      </c>
      <c r="B1020" s="29" t="str">
        <f aca="false">IF(OR('THÁNG 12'!$C127="",'THÁNG 12'!$B127=""),"",'THÁNG 12'!$B127)</f>
        <v/>
      </c>
      <c r="C1020" s="0" t="str">
        <f aca="false">IF('THÁNG 12'!$C127="","",'THÁNG 12'!$C127)</f>
        <v/>
      </c>
      <c r="D1020" s="0" t="str">
        <f aca="false">IF('THÁNG 12'!$C127="","",'THÁNG 12'!$D127&amp;"")</f>
        <v/>
      </c>
      <c r="E1020" s="0" t="str">
        <f aca="false">IF('THÁNG 12'!$C127="","",'THÁNG 12'!$E127&amp;"")</f>
        <v/>
      </c>
      <c r="F1020" s="0" t="str">
        <f aca="false">IF('THÁNG 12'!$C127="","",'THÁNG 12'!$F127&amp;"")</f>
        <v/>
      </c>
      <c r="G1020" s="0" t="str">
        <f aca="false">IF('THÁNG 12'!$C127="","",'THÁNG 12'!$G127&amp;"")</f>
        <v/>
      </c>
      <c r="H1020" s="0" t="str">
        <f aca="false">IF('THÁNG 12'!$C127="","",'THÁNG 12'!$H127&amp;"")</f>
        <v/>
      </c>
      <c r="I1020" s="0" t="str">
        <f aca="false">IF('THÁNG 12'!$C127="","",N('THÁNG 12'!$I127))</f>
        <v/>
      </c>
      <c r="J1020" s="0" t="str">
        <f aca="false">IF('THÁNG 12'!$C127="","",N('THÁNG 12'!$L127))</f>
        <v/>
      </c>
      <c r="K1020" s="0" t="str">
        <f aca="false">IF('THÁNG 12'!$C127="","",N('THÁNG 12'!$N127))</f>
        <v/>
      </c>
      <c r="L1020" s="0" t="str">
        <f aca="false">IF('THÁNG 12'!$C127="","",N('THÁNG 12'!$O127))</f>
        <v/>
      </c>
      <c r="M1020" s="0" t="str">
        <f aca="false">IF('THÁNG 12'!$C127="","",N('THÁNG 12'!$P127))</f>
        <v/>
      </c>
      <c r="N1020" s="0" t="str">
        <f aca="false">IF('THÁNG 12'!$C127="","",N('THÁNG 12'!$Q127))</f>
        <v/>
      </c>
      <c r="O1020" s="0" t="str">
        <f aca="false">IF('THÁNG 12'!$C127="","",N('THÁNG 12'!$R127))</f>
        <v/>
      </c>
      <c r="P1020" s="0" t="str">
        <f aca="false">IF(OR('THÁNG 12'!$C127="",'THÁNG 12'!$T127=""),"",'THÁNG 12'!$T127)</f>
        <v/>
      </c>
      <c r="Q1020" s="0" t="str">
        <f aca="false">IF(OR('THÁNG 12'!$C127="",'THÁNG 12'!$U127=""),"",'THÁNG 12'!$U127)</f>
        <v/>
      </c>
      <c r="R1020" s="0" t="str">
        <f aca="false">IF('THÁNG 12'!$C127="","",'THÁNG 12'!$W127&amp;"")</f>
        <v/>
      </c>
      <c r="S1020" s="0" t="str">
        <f aca="false">IF('THÁNG 12'!$C127="","",'THÁNG 12'!$S127&amp;"")</f>
        <v/>
      </c>
      <c r="T1020" s="0" t="str">
        <f aca="false">IF(N($O1020)&gt;0,COUNTIF($O$3:$O1020,"&gt;0"),"")</f>
        <v/>
      </c>
      <c r="U1020" s="0" t="str">
        <f aca="false">IF(AND(N($J1020)&gt;0,N($K1020)&gt;0),COUNTIFS($J$3:$J1020,"&gt;0",$K$3:$K1020,"&gt;0"),"")</f>
        <v/>
      </c>
      <c r="V1020" s="0" t="str">
        <f aca="false">IF(AND(N($J1020)&gt;0,N($K1020)=0),COUNTIFS($J$3:$J1020,"&gt;0",$K$3:$K1020,"&lt;=0"),"")</f>
        <v/>
      </c>
      <c r="W1020" s="0" t="str">
        <f aca="false">IF($C1020="","",IF(COUNTIF($C$3:$C1020,$C1020)&gt;1,"",MAX($W$2:W1019)+1))</f>
        <v/>
      </c>
      <c r="X1020" s="0" t="str">
        <f aca="false">IF($H1020="","",IF(COUNTIF($H$3:$H1020,$H1020)&gt;1,"",MAX($X$2:X1019)+1))</f>
        <v/>
      </c>
      <c r="Y1020" s="0" t="str">
        <f aca="false">IF(AND(N($M1020)&gt;0,N($O1020)&lt;=0),COUNTIFS($M$3:$M1020,"&gt;0",$O$3:$O1020,"&lt;=0"),"")</f>
        <v/>
      </c>
      <c r="Z1020" s="30" t="n">
        <f aca="false">IF(OR('THÁNG 12'!$C127="",'THÁNG 12'!$B127=""),0,'THÁNG 12'!$B127)</f>
        <v>0</v>
      </c>
    </row>
    <row r="1021" customFormat="false" ht="15" hidden="false" customHeight="false" outlineLevel="0" collapsed="false">
      <c r="A1021" s="0" t="n">
        <v>12</v>
      </c>
      <c r="B1021" s="29" t="str">
        <f aca="false">IF(OR('THÁNG 12'!$C128="",'THÁNG 12'!$B128=""),"",'THÁNG 12'!$B128)</f>
        <v/>
      </c>
      <c r="C1021" s="0" t="str">
        <f aca="false">IF('THÁNG 12'!$C128="","",'THÁNG 12'!$C128)</f>
        <v/>
      </c>
      <c r="D1021" s="0" t="str">
        <f aca="false">IF('THÁNG 12'!$C128="","",'THÁNG 12'!$D128&amp;"")</f>
        <v/>
      </c>
      <c r="E1021" s="0" t="str">
        <f aca="false">IF('THÁNG 12'!$C128="","",'THÁNG 12'!$E128&amp;"")</f>
        <v/>
      </c>
      <c r="F1021" s="0" t="str">
        <f aca="false">IF('THÁNG 12'!$C128="","",'THÁNG 12'!$F128&amp;"")</f>
        <v/>
      </c>
      <c r="G1021" s="0" t="str">
        <f aca="false">IF('THÁNG 12'!$C128="","",'THÁNG 12'!$G128&amp;"")</f>
        <v/>
      </c>
      <c r="H1021" s="0" t="str">
        <f aca="false">IF('THÁNG 12'!$C128="","",'THÁNG 12'!$H128&amp;"")</f>
        <v/>
      </c>
      <c r="I1021" s="0" t="str">
        <f aca="false">IF('THÁNG 12'!$C128="","",N('THÁNG 12'!$I128))</f>
        <v/>
      </c>
      <c r="J1021" s="0" t="str">
        <f aca="false">IF('THÁNG 12'!$C128="","",N('THÁNG 12'!$L128))</f>
        <v/>
      </c>
      <c r="K1021" s="0" t="str">
        <f aca="false">IF('THÁNG 12'!$C128="","",N('THÁNG 12'!$N128))</f>
        <v/>
      </c>
      <c r="L1021" s="0" t="str">
        <f aca="false">IF('THÁNG 12'!$C128="","",N('THÁNG 12'!$O128))</f>
        <v/>
      </c>
      <c r="M1021" s="0" t="str">
        <f aca="false">IF('THÁNG 12'!$C128="","",N('THÁNG 12'!$P128))</f>
        <v/>
      </c>
      <c r="N1021" s="0" t="str">
        <f aca="false">IF('THÁNG 12'!$C128="","",N('THÁNG 12'!$Q128))</f>
        <v/>
      </c>
      <c r="O1021" s="0" t="str">
        <f aca="false">IF('THÁNG 12'!$C128="","",N('THÁNG 12'!$R128))</f>
        <v/>
      </c>
      <c r="P1021" s="0" t="str">
        <f aca="false">IF(OR('THÁNG 12'!$C128="",'THÁNG 12'!$T128=""),"",'THÁNG 12'!$T128)</f>
        <v/>
      </c>
      <c r="Q1021" s="0" t="str">
        <f aca="false">IF(OR('THÁNG 12'!$C128="",'THÁNG 12'!$U128=""),"",'THÁNG 12'!$U128)</f>
        <v/>
      </c>
      <c r="R1021" s="0" t="str">
        <f aca="false">IF('THÁNG 12'!$C128="","",'THÁNG 12'!$W128&amp;"")</f>
        <v/>
      </c>
      <c r="S1021" s="0" t="str">
        <f aca="false">IF('THÁNG 12'!$C128="","",'THÁNG 12'!$S128&amp;"")</f>
        <v/>
      </c>
      <c r="T1021" s="0" t="str">
        <f aca="false">IF(N($O1021)&gt;0,COUNTIF($O$3:$O1021,"&gt;0"),"")</f>
        <v/>
      </c>
      <c r="U1021" s="0" t="str">
        <f aca="false">IF(AND(N($J1021)&gt;0,N($K1021)&gt;0),COUNTIFS($J$3:$J1021,"&gt;0",$K$3:$K1021,"&gt;0"),"")</f>
        <v/>
      </c>
      <c r="V1021" s="0" t="str">
        <f aca="false">IF(AND(N($J1021)&gt;0,N($K1021)=0),COUNTIFS($J$3:$J1021,"&gt;0",$K$3:$K1021,"&lt;=0"),"")</f>
        <v/>
      </c>
      <c r="W1021" s="0" t="str">
        <f aca="false">IF($C1021="","",IF(COUNTIF($C$3:$C1021,$C1021)&gt;1,"",MAX($W$2:W1020)+1))</f>
        <v/>
      </c>
      <c r="X1021" s="0" t="str">
        <f aca="false">IF($H1021="","",IF(COUNTIF($H$3:$H1021,$H1021)&gt;1,"",MAX($X$2:X1020)+1))</f>
        <v/>
      </c>
      <c r="Y1021" s="0" t="str">
        <f aca="false">IF(AND(N($M1021)&gt;0,N($O1021)&lt;=0),COUNTIFS($M$3:$M1021,"&gt;0",$O$3:$O1021,"&lt;=0"),"")</f>
        <v/>
      </c>
      <c r="Z1021" s="30" t="n">
        <f aca="false">IF(OR('THÁNG 12'!$C128="",'THÁNG 12'!$B128=""),0,'THÁNG 12'!$B128)</f>
        <v>0</v>
      </c>
    </row>
    <row r="1022" customFormat="false" ht="15" hidden="false" customHeight="false" outlineLevel="0" collapsed="false">
      <c r="A1022" s="0" t="n">
        <v>12</v>
      </c>
      <c r="B1022" s="29" t="str">
        <f aca="false">IF(OR('THÁNG 12'!$C129="",'THÁNG 12'!$B129=""),"",'THÁNG 12'!$B129)</f>
        <v/>
      </c>
      <c r="C1022" s="0" t="str">
        <f aca="false">IF('THÁNG 12'!$C129="","",'THÁNG 12'!$C129)</f>
        <v/>
      </c>
      <c r="D1022" s="0" t="str">
        <f aca="false">IF('THÁNG 12'!$C129="","",'THÁNG 12'!$D129&amp;"")</f>
        <v/>
      </c>
      <c r="E1022" s="0" t="str">
        <f aca="false">IF('THÁNG 12'!$C129="","",'THÁNG 12'!$E129&amp;"")</f>
        <v/>
      </c>
      <c r="F1022" s="0" t="str">
        <f aca="false">IF('THÁNG 12'!$C129="","",'THÁNG 12'!$F129&amp;"")</f>
        <v/>
      </c>
      <c r="G1022" s="0" t="str">
        <f aca="false">IF('THÁNG 12'!$C129="","",'THÁNG 12'!$G129&amp;"")</f>
        <v/>
      </c>
      <c r="H1022" s="0" t="str">
        <f aca="false">IF('THÁNG 12'!$C129="","",'THÁNG 12'!$H129&amp;"")</f>
        <v/>
      </c>
      <c r="I1022" s="0" t="str">
        <f aca="false">IF('THÁNG 12'!$C129="","",N('THÁNG 12'!$I129))</f>
        <v/>
      </c>
      <c r="J1022" s="0" t="str">
        <f aca="false">IF('THÁNG 12'!$C129="","",N('THÁNG 12'!$L129))</f>
        <v/>
      </c>
      <c r="K1022" s="0" t="str">
        <f aca="false">IF('THÁNG 12'!$C129="","",N('THÁNG 12'!$N129))</f>
        <v/>
      </c>
      <c r="L1022" s="0" t="str">
        <f aca="false">IF('THÁNG 12'!$C129="","",N('THÁNG 12'!$O129))</f>
        <v/>
      </c>
      <c r="M1022" s="0" t="str">
        <f aca="false">IF('THÁNG 12'!$C129="","",N('THÁNG 12'!$P129))</f>
        <v/>
      </c>
      <c r="N1022" s="0" t="str">
        <f aca="false">IF('THÁNG 12'!$C129="","",N('THÁNG 12'!$Q129))</f>
        <v/>
      </c>
      <c r="O1022" s="0" t="str">
        <f aca="false">IF('THÁNG 12'!$C129="","",N('THÁNG 12'!$R129))</f>
        <v/>
      </c>
      <c r="P1022" s="0" t="str">
        <f aca="false">IF(OR('THÁNG 12'!$C129="",'THÁNG 12'!$T129=""),"",'THÁNG 12'!$T129)</f>
        <v/>
      </c>
      <c r="Q1022" s="0" t="str">
        <f aca="false">IF(OR('THÁNG 12'!$C129="",'THÁNG 12'!$U129=""),"",'THÁNG 12'!$U129)</f>
        <v/>
      </c>
      <c r="R1022" s="0" t="str">
        <f aca="false">IF('THÁNG 12'!$C129="","",'THÁNG 12'!$W129&amp;"")</f>
        <v/>
      </c>
      <c r="S1022" s="0" t="str">
        <f aca="false">IF('THÁNG 12'!$C129="","",'THÁNG 12'!$S129&amp;"")</f>
        <v/>
      </c>
      <c r="T1022" s="0" t="str">
        <f aca="false">IF(N($O1022)&gt;0,COUNTIF($O$3:$O1022,"&gt;0"),"")</f>
        <v/>
      </c>
      <c r="U1022" s="0" t="str">
        <f aca="false">IF(AND(N($J1022)&gt;0,N($K1022)&gt;0),COUNTIFS($J$3:$J1022,"&gt;0",$K$3:$K1022,"&gt;0"),"")</f>
        <v/>
      </c>
      <c r="V1022" s="0" t="str">
        <f aca="false">IF(AND(N($J1022)&gt;0,N($K1022)=0),COUNTIFS($J$3:$J1022,"&gt;0",$K$3:$K1022,"&lt;=0"),"")</f>
        <v/>
      </c>
      <c r="W1022" s="0" t="str">
        <f aca="false">IF($C1022="","",IF(COUNTIF($C$3:$C1022,$C1022)&gt;1,"",MAX($W$2:W1021)+1))</f>
        <v/>
      </c>
      <c r="X1022" s="0" t="str">
        <f aca="false">IF($H1022="","",IF(COUNTIF($H$3:$H1022,$H1022)&gt;1,"",MAX($X$2:X1021)+1))</f>
        <v/>
      </c>
      <c r="Y1022" s="0" t="str">
        <f aca="false">IF(AND(N($M1022)&gt;0,N($O1022)&lt;=0),COUNTIFS($M$3:$M1022,"&gt;0",$O$3:$O1022,"&lt;=0"),"")</f>
        <v/>
      </c>
      <c r="Z1022" s="30" t="n">
        <f aca="false">IF(OR('THÁNG 12'!$C129="",'THÁNG 12'!$B129=""),0,'THÁNG 12'!$B129)</f>
        <v>0</v>
      </c>
    </row>
    <row r="1023" customFormat="false" ht="15" hidden="false" customHeight="false" outlineLevel="0" collapsed="false">
      <c r="A1023" s="0" t="n">
        <v>12</v>
      </c>
      <c r="B1023" s="29" t="str">
        <f aca="false">IF(OR('THÁNG 12'!$C130="",'THÁNG 12'!$B130=""),"",'THÁNG 12'!$B130)</f>
        <v/>
      </c>
      <c r="C1023" s="0" t="str">
        <f aca="false">IF('THÁNG 12'!$C130="","",'THÁNG 12'!$C130)</f>
        <v/>
      </c>
      <c r="D1023" s="0" t="str">
        <f aca="false">IF('THÁNG 12'!$C130="","",'THÁNG 12'!$D130&amp;"")</f>
        <v/>
      </c>
      <c r="E1023" s="0" t="str">
        <f aca="false">IF('THÁNG 12'!$C130="","",'THÁNG 12'!$E130&amp;"")</f>
        <v/>
      </c>
      <c r="F1023" s="0" t="str">
        <f aca="false">IF('THÁNG 12'!$C130="","",'THÁNG 12'!$F130&amp;"")</f>
        <v/>
      </c>
      <c r="G1023" s="0" t="str">
        <f aca="false">IF('THÁNG 12'!$C130="","",'THÁNG 12'!$G130&amp;"")</f>
        <v/>
      </c>
      <c r="H1023" s="0" t="str">
        <f aca="false">IF('THÁNG 12'!$C130="","",'THÁNG 12'!$H130&amp;"")</f>
        <v/>
      </c>
      <c r="I1023" s="0" t="str">
        <f aca="false">IF('THÁNG 12'!$C130="","",N('THÁNG 12'!$I130))</f>
        <v/>
      </c>
      <c r="J1023" s="0" t="str">
        <f aca="false">IF('THÁNG 12'!$C130="","",N('THÁNG 12'!$L130))</f>
        <v/>
      </c>
      <c r="K1023" s="0" t="str">
        <f aca="false">IF('THÁNG 12'!$C130="","",N('THÁNG 12'!$N130))</f>
        <v/>
      </c>
      <c r="L1023" s="0" t="str">
        <f aca="false">IF('THÁNG 12'!$C130="","",N('THÁNG 12'!$O130))</f>
        <v/>
      </c>
      <c r="M1023" s="0" t="str">
        <f aca="false">IF('THÁNG 12'!$C130="","",N('THÁNG 12'!$P130))</f>
        <v/>
      </c>
      <c r="N1023" s="0" t="str">
        <f aca="false">IF('THÁNG 12'!$C130="","",N('THÁNG 12'!$Q130))</f>
        <v/>
      </c>
      <c r="O1023" s="0" t="str">
        <f aca="false">IF('THÁNG 12'!$C130="","",N('THÁNG 12'!$R130))</f>
        <v/>
      </c>
      <c r="P1023" s="0" t="str">
        <f aca="false">IF(OR('THÁNG 12'!$C130="",'THÁNG 12'!$T130=""),"",'THÁNG 12'!$T130)</f>
        <v/>
      </c>
      <c r="Q1023" s="0" t="str">
        <f aca="false">IF(OR('THÁNG 12'!$C130="",'THÁNG 12'!$U130=""),"",'THÁNG 12'!$U130)</f>
        <v/>
      </c>
      <c r="R1023" s="0" t="str">
        <f aca="false">IF('THÁNG 12'!$C130="","",'THÁNG 12'!$W130&amp;"")</f>
        <v/>
      </c>
      <c r="S1023" s="0" t="str">
        <f aca="false">IF('THÁNG 12'!$C130="","",'THÁNG 12'!$S130&amp;"")</f>
        <v/>
      </c>
      <c r="T1023" s="0" t="str">
        <f aca="false">IF(N($O1023)&gt;0,COUNTIF($O$3:$O1023,"&gt;0"),"")</f>
        <v/>
      </c>
      <c r="U1023" s="0" t="str">
        <f aca="false">IF(AND(N($J1023)&gt;0,N($K1023)&gt;0),COUNTIFS($J$3:$J1023,"&gt;0",$K$3:$K1023,"&gt;0"),"")</f>
        <v/>
      </c>
      <c r="V1023" s="0" t="str">
        <f aca="false">IF(AND(N($J1023)&gt;0,N($K1023)=0),COUNTIFS($J$3:$J1023,"&gt;0",$K$3:$K1023,"&lt;=0"),"")</f>
        <v/>
      </c>
      <c r="W1023" s="0" t="str">
        <f aca="false">IF($C1023="","",IF(COUNTIF($C$3:$C1023,$C1023)&gt;1,"",MAX($W$2:W1022)+1))</f>
        <v/>
      </c>
      <c r="X1023" s="0" t="str">
        <f aca="false">IF($H1023="","",IF(COUNTIF($H$3:$H1023,$H1023)&gt;1,"",MAX($X$2:X1022)+1))</f>
        <v/>
      </c>
      <c r="Y1023" s="0" t="str">
        <f aca="false">IF(AND(N($M1023)&gt;0,N($O1023)&lt;=0),COUNTIFS($M$3:$M1023,"&gt;0",$O$3:$O1023,"&lt;=0"),"")</f>
        <v/>
      </c>
      <c r="Z1023" s="30" t="n">
        <f aca="false">IF(OR('THÁNG 12'!$C130="",'THÁNG 12'!$B130=""),0,'THÁNG 12'!$B130)</f>
        <v>0</v>
      </c>
    </row>
    <row r="1024" customFormat="false" ht="15" hidden="false" customHeight="false" outlineLevel="0" collapsed="false">
      <c r="A1024" s="0" t="n">
        <v>12</v>
      </c>
      <c r="B1024" s="29" t="str">
        <f aca="false">IF(OR('THÁNG 12'!$C131="",'THÁNG 12'!$B131=""),"",'THÁNG 12'!$B131)</f>
        <v/>
      </c>
      <c r="C1024" s="0" t="str">
        <f aca="false">IF('THÁNG 12'!$C131="","",'THÁNG 12'!$C131)</f>
        <v/>
      </c>
      <c r="D1024" s="0" t="str">
        <f aca="false">IF('THÁNG 12'!$C131="","",'THÁNG 12'!$D131&amp;"")</f>
        <v/>
      </c>
      <c r="E1024" s="0" t="str">
        <f aca="false">IF('THÁNG 12'!$C131="","",'THÁNG 12'!$E131&amp;"")</f>
        <v/>
      </c>
      <c r="F1024" s="0" t="str">
        <f aca="false">IF('THÁNG 12'!$C131="","",'THÁNG 12'!$F131&amp;"")</f>
        <v/>
      </c>
      <c r="G1024" s="0" t="str">
        <f aca="false">IF('THÁNG 12'!$C131="","",'THÁNG 12'!$G131&amp;"")</f>
        <v/>
      </c>
      <c r="H1024" s="0" t="str">
        <f aca="false">IF('THÁNG 12'!$C131="","",'THÁNG 12'!$H131&amp;"")</f>
        <v/>
      </c>
      <c r="I1024" s="0" t="str">
        <f aca="false">IF('THÁNG 12'!$C131="","",N('THÁNG 12'!$I131))</f>
        <v/>
      </c>
      <c r="J1024" s="0" t="str">
        <f aca="false">IF('THÁNG 12'!$C131="","",N('THÁNG 12'!$L131))</f>
        <v/>
      </c>
      <c r="K1024" s="0" t="str">
        <f aca="false">IF('THÁNG 12'!$C131="","",N('THÁNG 12'!$N131))</f>
        <v/>
      </c>
      <c r="L1024" s="0" t="str">
        <f aca="false">IF('THÁNG 12'!$C131="","",N('THÁNG 12'!$O131))</f>
        <v/>
      </c>
      <c r="M1024" s="0" t="str">
        <f aca="false">IF('THÁNG 12'!$C131="","",N('THÁNG 12'!$P131))</f>
        <v/>
      </c>
      <c r="N1024" s="0" t="str">
        <f aca="false">IF('THÁNG 12'!$C131="","",N('THÁNG 12'!$Q131))</f>
        <v/>
      </c>
      <c r="O1024" s="0" t="str">
        <f aca="false">IF('THÁNG 12'!$C131="","",N('THÁNG 12'!$R131))</f>
        <v/>
      </c>
      <c r="P1024" s="0" t="str">
        <f aca="false">IF(OR('THÁNG 12'!$C131="",'THÁNG 12'!$T131=""),"",'THÁNG 12'!$T131)</f>
        <v/>
      </c>
      <c r="Q1024" s="0" t="str">
        <f aca="false">IF(OR('THÁNG 12'!$C131="",'THÁNG 12'!$U131=""),"",'THÁNG 12'!$U131)</f>
        <v/>
      </c>
      <c r="R1024" s="0" t="str">
        <f aca="false">IF('THÁNG 12'!$C131="","",'THÁNG 12'!$W131&amp;"")</f>
        <v/>
      </c>
      <c r="S1024" s="0" t="str">
        <f aca="false">IF('THÁNG 12'!$C131="","",'THÁNG 12'!$S131&amp;"")</f>
        <v/>
      </c>
      <c r="T1024" s="0" t="str">
        <f aca="false">IF(N($O1024)&gt;0,COUNTIF($O$3:$O1024,"&gt;0"),"")</f>
        <v/>
      </c>
      <c r="U1024" s="0" t="str">
        <f aca="false">IF(AND(N($J1024)&gt;0,N($K1024)&gt;0),COUNTIFS($J$3:$J1024,"&gt;0",$K$3:$K1024,"&gt;0"),"")</f>
        <v/>
      </c>
      <c r="V1024" s="0" t="str">
        <f aca="false">IF(AND(N($J1024)&gt;0,N($K1024)=0),COUNTIFS($J$3:$J1024,"&gt;0",$K$3:$K1024,"&lt;=0"),"")</f>
        <v/>
      </c>
      <c r="W1024" s="0" t="str">
        <f aca="false">IF($C1024="","",IF(COUNTIF($C$3:$C1024,$C1024)&gt;1,"",MAX($W$2:W1023)+1))</f>
        <v/>
      </c>
      <c r="X1024" s="0" t="str">
        <f aca="false">IF($H1024="","",IF(COUNTIF($H$3:$H1024,$H1024)&gt;1,"",MAX($X$2:X1023)+1))</f>
        <v/>
      </c>
      <c r="Y1024" s="0" t="str">
        <f aca="false">IF(AND(N($M1024)&gt;0,N($O1024)&lt;=0),COUNTIFS($M$3:$M1024,"&gt;0",$O$3:$O1024,"&lt;=0"),"")</f>
        <v/>
      </c>
      <c r="Z1024" s="30" t="n">
        <f aca="false">IF(OR('THÁNG 12'!$C131="",'THÁNG 12'!$B131=""),0,'THÁNG 12'!$B131)</f>
        <v>0</v>
      </c>
    </row>
    <row r="1025" customFormat="false" ht="15" hidden="false" customHeight="false" outlineLevel="0" collapsed="false">
      <c r="A1025" s="0" t="n">
        <v>12</v>
      </c>
      <c r="B1025" s="29" t="str">
        <f aca="false">IF(OR('THÁNG 12'!$C132="",'THÁNG 12'!$B132=""),"",'THÁNG 12'!$B132)</f>
        <v/>
      </c>
      <c r="C1025" s="0" t="str">
        <f aca="false">IF('THÁNG 12'!$C132="","",'THÁNG 12'!$C132)</f>
        <v/>
      </c>
      <c r="D1025" s="0" t="str">
        <f aca="false">IF('THÁNG 12'!$C132="","",'THÁNG 12'!$D132&amp;"")</f>
        <v/>
      </c>
      <c r="E1025" s="0" t="str">
        <f aca="false">IF('THÁNG 12'!$C132="","",'THÁNG 12'!$E132&amp;"")</f>
        <v/>
      </c>
      <c r="F1025" s="0" t="str">
        <f aca="false">IF('THÁNG 12'!$C132="","",'THÁNG 12'!$F132&amp;"")</f>
        <v/>
      </c>
      <c r="G1025" s="0" t="str">
        <f aca="false">IF('THÁNG 12'!$C132="","",'THÁNG 12'!$G132&amp;"")</f>
        <v/>
      </c>
      <c r="H1025" s="0" t="str">
        <f aca="false">IF('THÁNG 12'!$C132="","",'THÁNG 12'!$H132&amp;"")</f>
        <v/>
      </c>
      <c r="I1025" s="0" t="str">
        <f aca="false">IF('THÁNG 12'!$C132="","",N('THÁNG 12'!$I132))</f>
        <v/>
      </c>
      <c r="J1025" s="0" t="str">
        <f aca="false">IF('THÁNG 12'!$C132="","",N('THÁNG 12'!$L132))</f>
        <v/>
      </c>
      <c r="K1025" s="0" t="str">
        <f aca="false">IF('THÁNG 12'!$C132="","",N('THÁNG 12'!$N132))</f>
        <v/>
      </c>
      <c r="L1025" s="0" t="str">
        <f aca="false">IF('THÁNG 12'!$C132="","",N('THÁNG 12'!$O132))</f>
        <v/>
      </c>
      <c r="M1025" s="0" t="str">
        <f aca="false">IF('THÁNG 12'!$C132="","",N('THÁNG 12'!$P132))</f>
        <v/>
      </c>
      <c r="N1025" s="0" t="str">
        <f aca="false">IF('THÁNG 12'!$C132="","",N('THÁNG 12'!$Q132))</f>
        <v/>
      </c>
      <c r="O1025" s="0" t="str">
        <f aca="false">IF('THÁNG 12'!$C132="","",N('THÁNG 12'!$R132))</f>
        <v/>
      </c>
      <c r="P1025" s="0" t="str">
        <f aca="false">IF(OR('THÁNG 12'!$C132="",'THÁNG 12'!$T132=""),"",'THÁNG 12'!$T132)</f>
        <v/>
      </c>
      <c r="Q1025" s="0" t="str">
        <f aca="false">IF(OR('THÁNG 12'!$C132="",'THÁNG 12'!$U132=""),"",'THÁNG 12'!$U132)</f>
        <v/>
      </c>
      <c r="R1025" s="0" t="str">
        <f aca="false">IF('THÁNG 12'!$C132="","",'THÁNG 12'!$W132&amp;"")</f>
        <v/>
      </c>
      <c r="S1025" s="0" t="str">
        <f aca="false">IF('THÁNG 12'!$C132="","",'THÁNG 12'!$S132&amp;"")</f>
        <v/>
      </c>
      <c r="T1025" s="0" t="str">
        <f aca="false">IF(N($O1025)&gt;0,COUNTIF($O$3:$O1025,"&gt;0"),"")</f>
        <v/>
      </c>
      <c r="U1025" s="0" t="str">
        <f aca="false">IF(AND(N($J1025)&gt;0,N($K1025)&gt;0),COUNTIFS($J$3:$J1025,"&gt;0",$K$3:$K1025,"&gt;0"),"")</f>
        <v/>
      </c>
      <c r="V1025" s="0" t="str">
        <f aca="false">IF(AND(N($J1025)&gt;0,N($K1025)=0),COUNTIFS($J$3:$J1025,"&gt;0",$K$3:$K1025,"&lt;=0"),"")</f>
        <v/>
      </c>
      <c r="W1025" s="0" t="str">
        <f aca="false">IF($C1025="","",IF(COUNTIF($C$3:$C1025,$C1025)&gt;1,"",MAX($W$2:W1024)+1))</f>
        <v/>
      </c>
      <c r="X1025" s="0" t="str">
        <f aca="false">IF($H1025="","",IF(COUNTIF($H$3:$H1025,$H1025)&gt;1,"",MAX($X$2:X1024)+1))</f>
        <v/>
      </c>
      <c r="Y1025" s="0" t="str">
        <f aca="false">IF(AND(N($M1025)&gt;0,N($O1025)&lt;=0),COUNTIFS($M$3:$M1025,"&gt;0",$O$3:$O1025,"&lt;=0"),"")</f>
        <v/>
      </c>
      <c r="Z1025" s="30" t="n">
        <f aca="false">IF(OR('THÁNG 12'!$C132="",'THÁNG 12'!$B132=""),0,'THÁNG 12'!$B132)</f>
        <v>0</v>
      </c>
    </row>
    <row r="1026" customFormat="false" ht="15" hidden="false" customHeight="false" outlineLevel="0" collapsed="false">
      <c r="A1026" s="0" t="n">
        <v>12</v>
      </c>
      <c r="B1026" s="29" t="str">
        <f aca="false">IF(OR('THÁNG 12'!$C133="",'THÁNG 12'!$B133=""),"",'THÁNG 12'!$B133)</f>
        <v/>
      </c>
      <c r="C1026" s="0" t="str">
        <f aca="false">IF('THÁNG 12'!$C133="","",'THÁNG 12'!$C133)</f>
        <v/>
      </c>
      <c r="D1026" s="0" t="str">
        <f aca="false">IF('THÁNG 12'!$C133="","",'THÁNG 12'!$D133&amp;"")</f>
        <v/>
      </c>
      <c r="E1026" s="0" t="str">
        <f aca="false">IF('THÁNG 12'!$C133="","",'THÁNG 12'!$E133&amp;"")</f>
        <v/>
      </c>
      <c r="F1026" s="0" t="str">
        <f aca="false">IF('THÁNG 12'!$C133="","",'THÁNG 12'!$F133&amp;"")</f>
        <v/>
      </c>
      <c r="G1026" s="0" t="str">
        <f aca="false">IF('THÁNG 12'!$C133="","",'THÁNG 12'!$G133&amp;"")</f>
        <v/>
      </c>
      <c r="H1026" s="0" t="str">
        <f aca="false">IF('THÁNG 12'!$C133="","",'THÁNG 12'!$H133&amp;"")</f>
        <v/>
      </c>
      <c r="I1026" s="0" t="str">
        <f aca="false">IF('THÁNG 12'!$C133="","",N('THÁNG 12'!$I133))</f>
        <v/>
      </c>
      <c r="J1026" s="0" t="str">
        <f aca="false">IF('THÁNG 12'!$C133="","",N('THÁNG 12'!$L133))</f>
        <v/>
      </c>
      <c r="K1026" s="0" t="str">
        <f aca="false">IF('THÁNG 12'!$C133="","",N('THÁNG 12'!$N133))</f>
        <v/>
      </c>
      <c r="L1026" s="0" t="str">
        <f aca="false">IF('THÁNG 12'!$C133="","",N('THÁNG 12'!$O133))</f>
        <v/>
      </c>
      <c r="M1026" s="0" t="str">
        <f aca="false">IF('THÁNG 12'!$C133="","",N('THÁNG 12'!$P133))</f>
        <v/>
      </c>
      <c r="N1026" s="0" t="str">
        <f aca="false">IF('THÁNG 12'!$C133="","",N('THÁNG 12'!$Q133))</f>
        <v/>
      </c>
      <c r="O1026" s="0" t="str">
        <f aca="false">IF('THÁNG 12'!$C133="","",N('THÁNG 12'!$R133))</f>
        <v/>
      </c>
      <c r="P1026" s="0" t="str">
        <f aca="false">IF(OR('THÁNG 12'!$C133="",'THÁNG 12'!$T133=""),"",'THÁNG 12'!$T133)</f>
        <v/>
      </c>
      <c r="Q1026" s="0" t="str">
        <f aca="false">IF(OR('THÁNG 12'!$C133="",'THÁNG 12'!$U133=""),"",'THÁNG 12'!$U133)</f>
        <v/>
      </c>
      <c r="R1026" s="0" t="str">
        <f aca="false">IF('THÁNG 12'!$C133="","",'THÁNG 12'!$W133&amp;"")</f>
        <v/>
      </c>
      <c r="S1026" s="0" t="str">
        <f aca="false">IF('THÁNG 12'!$C133="","",'THÁNG 12'!$S133&amp;"")</f>
        <v/>
      </c>
      <c r="T1026" s="0" t="str">
        <f aca="false">IF(N($O1026)&gt;0,COUNTIF($O$3:$O1026,"&gt;0"),"")</f>
        <v/>
      </c>
      <c r="U1026" s="0" t="str">
        <f aca="false">IF(AND(N($J1026)&gt;0,N($K1026)&gt;0),COUNTIFS($J$3:$J1026,"&gt;0",$K$3:$K1026,"&gt;0"),"")</f>
        <v/>
      </c>
      <c r="V1026" s="0" t="str">
        <f aca="false">IF(AND(N($J1026)&gt;0,N($K1026)=0),COUNTIFS($J$3:$J1026,"&gt;0",$K$3:$K1026,"&lt;=0"),"")</f>
        <v/>
      </c>
      <c r="W1026" s="0" t="str">
        <f aca="false">IF($C1026="","",IF(COUNTIF($C$3:$C1026,$C1026)&gt;1,"",MAX($W$2:W1025)+1))</f>
        <v/>
      </c>
      <c r="X1026" s="0" t="str">
        <f aca="false">IF($H1026="","",IF(COUNTIF($H$3:$H1026,$H1026)&gt;1,"",MAX($X$2:X1025)+1))</f>
        <v/>
      </c>
      <c r="Y1026" s="0" t="str">
        <f aca="false">IF(AND(N($M1026)&gt;0,N($O1026)&lt;=0),COUNTIFS($M$3:$M1026,"&gt;0",$O$3:$O1026,"&lt;=0"),"")</f>
        <v/>
      </c>
      <c r="Z1026" s="30" t="n">
        <f aca="false">IF(OR('THÁNG 12'!$C133="",'THÁNG 12'!$B133=""),0,'THÁNG 12'!$B133)</f>
        <v>0</v>
      </c>
    </row>
    <row r="1027" customFormat="false" ht="15" hidden="false" customHeight="false" outlineLevel="0" collapsed="false">
      <c r="A1027" s="0" t="n">
        <v>12</v>
      </c>
      <c r="B1027" s="29" t="str">
        <f aca="false">IF(OR('THÁNG 12'!$C134="",'THÁNG 12'!$B134=""),"",'THÁNG 12'!$B134)</f>
        <v/>
      </c>
      <c r="C1027" s="0" t="str">
        <f aca="false">IF('THÁNG 12'!$C134="","",'THÁNG 12'!$C134)</f>
        <v/>
      </c>
      <c r="D1027" s="0" t="str">
        <f aca="false">IF('THÁNG 12'!$C134="","",'THÁNG 12'!$D134&amp;"")</f>
        <v/>
      </c>
      <c r="E1027" s="0" t="str">
        <f aca="false">IF('THÁNG 12'!$C134="","",'THÁNG 12'!$E134&amp;"")</f>
        <v/>
      </c>
      <c r="F1027" s="0" t="str">
        <f aca="false">IF('THÁNG 12'!$C134="","",'THÁNG 12'!$F134&amp;"")</f>
        <v/>
      </c>
      <c r="G1027" s="0" t="str">
        <f aca="false">IF('THÁNG 12'!$C134="","",'THÁNG 12'!$G134&amp;"")</f>
        <v/>
      </c>
      <c r="H1027" s="0" t="str">
        <f aca="false">IF('THÁNG 12'!$C134="","",'THÁNG 12'!$H134&amp;"")</f>
        <v/>
      </c>
      <c r="I1027" s="0" t="str">
        <f aca="false">IF('THÁNG 12'!$C134="","",N('THÁNG 12'!$I134))</f>
        <v/>
      </c>
      <c r="J1027" s="0" t="str">
        <f aca="false">IF('THÁNG 12'!$C134="","",N('THÁNG 12'!$L134))</f>
        <v/>
      </c>
      <c r="K1027" s="0" t="str">
        <f aca="false">IF('THÁNG 12'!$C134="","",N('THÁNG 12'!$N134))</f>
        <v/>
      </c>
      <c r="L1027" s="0" t="str">
        <f aca="false">IF('THÁNG 12'!$C134="","",N('THÁNG 12'!$O134))</f>
        <v/>
      </c>
      <c r="M1027" s="0" t="str">
        <f aca="false">IF('THÁNG 12'!$C134="","",N('THÁNG 12'!$P134))</f>
        <v/>
      </c>
      <c r="N1027" s="0" t="str">
        <f aca="false">IF('THÁNG 12'!$C134="","",N('THÁNG 12'!$Q134))</f>
        <v/>
      </c>
      <c r="O1027" s="0" t="str">
        <f aca="false">IF('THÁNG 12'!$C134="","",N('THÁNG 12'!$R134))</f>
        <v/>
      </c>
      <c r="P1027" s="0" t="str">
        <f aca="false">IF(OR('THÁNG 12'!$C134="",'THÁNG 12'!$T134=""),"",'THÁNG 12'!$T134)</f>
        <v/>
      </c>
      <c r="Q1027" s="0" t="str">
        <f aca="false">IF(OR('THÁNG 12'!$C134="",'THÁNG 12'!$U134=""),"",'THÁNG 12'!$U134)</f>
        <v/>
      </c>
      <c r="R1027" s="0" t="str">
        <f aca="false">IF('THÁNG 12'!$C134="","",'THÁNG 12'!$W134&amp;"")</f>
        <v/>
      </c>
      <c r="S1027" s="0" t="str">
        <f aca="false">IF('THÁNG 12'!$C134="","",'THÁNG 12'!$S134&amp;"")</f>
        <v/>
      </c>
      <c r="T1027" s="0" t="str">
        <f aca="false">IF(N($O1027)&gt;0,COUNTIF($O$3:$O1027,"&gt;0"),"")</f>
        <v/>
      </c>
      <c r="U1027" s="0" t="str">
        <f aca="false">IF(AND(N($J1027)&gt;0,N($K1027)&gt;0),COUNTIFS($J$3:$J1027,"&gt;0",$K$3:$K1027,"&gt;0"),"")</f>
        <v/>
      </c>
      <c r="V1027" s="0" t="str">
        <f aca="false">IF(AND(N($J1027)&gt;0,N($K1027)=0),COUNTIFS($J$3:$J1027,"&gt;0",$K$3:$K1027,"&lt;=0"),"")</f>
        <v/>
      </c>
      <c r="W1027" s="0" t="str">
        <f aca="false">IF($C1027="","",IF(COUNTIF($C$3:$C1027,$C1027)&gt;1,"",MAX($W$2:W1026)+1))</f>
        <v/>
      </c>
      <c r="X1027" s="0" t="str">
        <f aca="false">IF($H1027="","",IF(COUNTIF($H$3:$H1027,$H1027)&gt;1,"",MAX($X$2:X1026)+1))</f>
        <v/>
      </c>
      <c r="Y1027" s="0" t="str">
        <f aca="false">IF(AND(N($M1027)&gt;0,N($O1027)&lt;=0),COUNTIFS($M$3:$M1027,"&gt;0",$O$3:$O1027,"&lt;=0"),"")</f>
        <v/>
      </c>
      <c r="Z1027" s="30" t="n">
        <f aca="false">IF(OR('THÁNG 12'!$C134="",'THÁNG 12'!$B134=""),0,'THÁNG 12'!$B134)</f>
        <v>0</v>
      </c>
    </row>
    <row r="1028" customFormat="false" ht="15" hidden="false" customHeight="false" outlineLevel="0" collapsed="false">
      <c r="A1028" s="0" t="n">
        <v>12</v>
      </c>
      <c r="B1028" s="29" t="str">
        <f aca="false">IF(OR('THÁNG 12'!$C135="",'THÁNG 12'!$B135=""),"",'THÁNG 12'!$B135)</f>
        <v/>
      </c>
      <c r="C1028" s="0" t="str">
        <f aca="false">IF('THÁNG 12'!$C135="","",'THÁNG 12'!$C135)</f>
        <v/>
      </c>
      <c r="D1028" s="0" t="str">
        <f aca="false">IF('THÁNG 12'!$C135="","",'THÁNG 12'!$D135&amp;"")</f>
        <v/>
      </c>
      <c r="E1028" s="0" t="str">
        <f aca="false">IF('THÁNG 12'!$C135="","",'THÁNG 12'!$E135&amp;"")</f>
        <v/>
      </c>
      <c r="F1028" s="0" t="str">
        <f aca="false">IF('THÁNG 12'!$C135="","",'THÁNG 12'!$F135&amp;"")</f>
        <v/>
      </c>
      <c r="G1028" s="0" t="str">
        <f aca="false">IF('THÁNG 12'!$C135="","",'THÁNG 12'!$G135&amp;"")</f>
        <v/>
      </c>
      <c r="H1028" s="0" t="str">
        <f aca="false">IF('THÁNG 12'!$C135="","",'THÁNG 12'!$H135&amp;"")</f>
        <v/>
      </c>
      <c r="I1028" s="0" t="str">
        <f aca="false">IF('THÁNG 12'!$C135="","",N('THÁNG 12'!$I135))</f>
        <v/>
      </c>
      <c r="J1028" s="0" t="str">
        <f aca="false">IF('THÁNG 12'!$C135="","",N('THÁNG 12'!$L135))</f>
        <v/>
      </c>
      <c r="K1028" s="0" t="str">
        <f aca="false">IF('THÁNG 12'!$C135="","",N('THÁNG 12'!$N135))</f>
        <v/>
      </c>
      <c r="L1028" s="0" t="str">
        <f aca="false">IF('THÁNG 12'!$C135="","",N('THÁNG 12'!$O135))</f>
        <v/>
      </c>
      <c r="M1028" s="0" t="str">
        <f aca="false">IF('THÁNG 12'!$C135="","",N('THÁNG 12'!$P135))</f>
        <v/>
      </c>
      <c r="N1028" s="0" t="str">
        <f aca="false">IF('THÁNG 12'!$C135="","",N('THÁNG 12'!$Q135))</f>
        <v/>
      </c>
      <c r="O1028" s="0" t="str">
        <f aca="false">IF('THÁNG 12'!$C135="","",N('THÁNG 12'!$R135))</f>
        <v/>
      </c>
      <c r="P1028" s="0" t="str">
        <f aca="false">IF(OR('THÁNG 12'!$C135="",'THÁNG 12'!$T135=""),"",'THÁNG 12'!$T135)</f>
        <v/>
      </c>
      <c r="Q1028" s="0" t="str">
        <f aca="false">IF(OR('THÁNG 12'!$C135="",'THÁNG 12'!$U135=""),"",'THÁNG 12'!$U135)</f>
        <v/>
      </c>
      <c r="R1028" s="0" t="str">
        <f aca="false">IF('THÁNG 12'!$C135="","",'THÁNG 12'!$W135&amp;"")</f>
        <v/>
      </c>
      <c r="S1028" s="0" t="str">
        <f aca="false">IF('THÁNG 12'!$C135="","",'THÁNG 12'!$S135&amp;"")</f>
        <v/>
      </c>
      <c r="T1028" s="0" t="str">
        <f aca="false">IF(N($O1028)&gt;0,COUNTIF($O$3:$O1028,"&gt;0"),"")</f>
        <v/>
      </c>
      <c r="U1028" s="0" t="str">
        <f aca="false">IF(AND(N($J1028)&gt;0,N($K1028)&gt;0),COUNTIFS($J$3:$J1028,"&gt;0",$K$3:$K1028,"&gt;0"),"")</f>
        <v/>
      </c>
      <c r="V1028" s="0" t="str">
        <f aca="false">IF(AND(N($J1028)&gt;0,N($K1028)=0),COUNTIFS($J$3:$J1028,"&gt;0",$K$3:$K1028,"&lt;=0"),"")</f>
        <v/>
      </c>
      <c r="W1028" s="0" t="str">
        <f aca="false">IF($C1028="","",IF(COUNTIF($C$3:$C1028,$C1028)&gt;1,"",MAX($W$2:W1027)+1))</f>
        <v/>
      </c>
      <c r="X1028" s="0" t="str">
        <f aca="false">IF($H1028="","",IF(COUNTIF($H$3:$H1028,$H1028)&gt;1,"",MAX($X$2:X1027)+1))</f>
        <v/>
      </c>
      <c r="Y1028" s="0" t="str">
        <f aca="false">IF(AND(N($M1028)&gt;0,N($O1028)&lt;=0),COUNTIFS($M$3:$M1028,"&gt;0",$O$3:$O1028,"&lt;=0"),"")</f>
        <v/>
      </c>
      <c r="Z1028" s="30" t="n">
        <f aca="false">IF(OR('THÁNG 12'!$C135="",'THÁNG 12'!$B135=""),0,'THÁNG 12'!$B135)</f>
        <v>0</v>
      </c>
    </row>
    <row r="1029" customFormat="false" ht="15" hidden="false" customHeight="false" outlineLevel="0" collapsed="false">
      <c r="A1029" s="0" t="n">
        <v>12</v>
      </c>
      <c r="B1029" s="29" t="str">
        <f aca="false">IF(OR('THÁNG 12'!$C136="",'THÁNG 12'!$B136=""),"",'THÁNG 12'!$B136)</f>
        <v/>
      </c>
      <c r="C1029" s="0" t="str">
        <f aca="false">IF('THÁNG 12'!$C136="","",'THÁNG 12'!$C136)</f>
        <v/>
      </c>
      <c r="D1029" s="0" t="str">
        <f aca="false">IF('THÁNG 12'!$C136="","",'THÁNG 12'!$D136&amp;"")</f>
        <v/>
      </c>
      <c r="E1029" s="0" t="str">
        <f aca="false">IF('THÁNG 12'!$C136="","",'THÁNG 12'!$E136&amp;"")</f>
        <v/>
      </c>
      <c r="F1029" s="0" t="str">
        <f aca="false">IF('THÁNG 12'!$C136="","",'THÁNG 12'!$F136&amp;"")</f>
        <v/>
      </c>
      <c r="G1029" s="0" t="str">
        <f aca="false">IF('THÁNG 12'!$C136="","",'THÁNG 12'!$G136&amp;"")</f>
        <v/>
      </c>
      <c r="H1029" s="0" t="str">
        <f aca="false">IF('THÁNG 12'!$C136="","",'THÁNG 12'!$H136&amp;"")</f>
        <v/>
      </c>
      <c r="I1029" s="0" t="str">
        <f aca="false">IF('THÁNG 12'!$C136="","",N('THÁNG 12'!$I136))</f>
        <v/>
      </c>
      <c r="J1029" s="0" t="str">
        <f aca="false">IF('THÁNG 12'!$C136="","",N('THÁNG 12'!$L136))</f>
        <v/>
      </c>
      <c r="K1029" s="0" t="str">
        <f aca="false">IF('THÁNG 12'!$C136="","",N('THÁNG 12'!$N136))</f>
        <v/>
      </c>
      <c r="L1029" s="0" t="str">
        <f aca="false">IF('THÁNG 12'!$C136="","",N('THÁNG 12'!$O136))</f>
        <v/>
      </c>
      <c r="M1029" s="0" t="str">
        <f aca="false">IF('THÁNG 12'!$C136="","",N('THÁNG 12'!$P136))</f>
        <v/>
      </c>
      <c r="N1029" s="0" t="str">
        <f aca="false">IF('THÁNG 12'!$C136="","",N('THÁNG 12'!$Q136))</f>
        <v/>
      </c>
      <c r="O1029" s="0" t="str">
        <f aca="false">IF('THÁNG 12'!$C136="","",N('THÁNG 12'!$R136))</f>
        <v/>
      </c>
      <c r="P1029" s="0" t="str">
        <f aca="false">IF(OR('THÁNG 12'!$C136="",'THÁNG 12'!$T136=""),"",'THÁNG 12'!$T136)</f>
        <v/>
      </c>
      <c r="Q1029" s="0" t="str">
        <f aca="false">IF(OR('THÁNG 12'!$C136="",'THÁNG 12'!$U136=""),"",'THÁNG 12'!$U136)</f>
        <v/>
      </c>
      <c r="R1029" s="0" t="str">
        <f aca="false">IF('THÁNG 12'!$C136="","",'THÁNG 12'!$W136&amp;"")</f>
        <v/>
      </c>
      <c r="S1029" s="0" t="str">
        <f aca="false">IF('THÁNG 12'!$C136="","",'THÁNG 12'!$S136&amp;"")</f>
        <v/>
      </c>
      <c r="T1029" s="0" t="str">
        <f aca="false">IF(N($O1029)&gt;0,COUNTIF($O$3:$O1029,"&gt;0"),"")</f>
        <v/>
      </c>
      <c r="U1029" s="0" t="str">
        <f aca="false">IF(AND(N($J1029)&gt;0,N($K1029)&gt;0),COUNTIFS($J$3:$J1029,"&gt;0",$K$3:$K1029,"&gt;0"),"")</f>
        <v/>
      </c>
      <c r="V1029" s="0" t="str">
        <f aca="false">IF(AND(N($J1029)&gt;0,N($K1029)=0),COUNTIFS($J$3:$J1029,"&gt;0",$K$3:$K1029,"&lt;=0"),"")</f>
        <v/>
      </c>
      <c r="W1029" s="0" t="str">
        <f aca="false">IF($C1029="","",IF(COUNTIF($C$3:$C1029,$C1029)&gt;1,"",MAX($W$2:W1028)+1))</f>
        <v/>
      </c>
      <c r="X1029" s="0" t="str">
        <f aca="false">IF($H1029="","",IF(COUNTIF($H$3:$H1029,$H1029)&gt;1,"",MAX($X$2:X1028)+1))</f>
        <v/>
      </c>
      <c r="Y1029" s="0" t="str">
        <f aca="false">IF(AND(N($M1029)&gt;0,N($O1029)&lt;=0),COUNTIFS($M$3:$M1029,"&gt;0",$O$3:$O1029,"&lt;=0"),"")</f>
        <v/>
      </c>
      <c r="Z1029" s="30" t="n">
        <f aca="false">IF(OR('THÁNG 12'!$C136="",'THÁNG 12'!$B136=""),0,'THÁNG 12'!$B136)</f>
        <v>0</v>
      </c>
    </row>
    <row r="1030" customFormat="false" ht="15" hidden="false" customHeight="false" outlineLevel="0" collapsed="false">
      <c r="A1030" s="0" t="n">
        <v>12</v>
      </c>
      <c r="B1030" s="29" t="str">
        <f aca="false">IF(OR('THÁNG 12'!$C137="",'THÁNG 12'!$B137=""),"",'THÁNG 12'!$B137)</f>
        <v/>
      </c>
      <c r="C1030" s="0" t="str">
        <f aca="false">IF('THÁNG 12'!$C137="","",'THÁNG 12'!$C137)</f>
        <v/>
      </c>
      <c r="D1030" s="0" t="str">
        <f aca="false">IF('THÁNG 12'!$C137="","",'THÁNG 12'!$D137&amp;"")</f>
        <v/>
      </c>
      <c r="E1030" s="0" t="str">
        <f aca="false">IF('THÁNG 12'!$C137="","",'THÁNG 12'!$E137&amp;"")</f>
        <v/>
      </c>
      <c r="F1030" s="0" t="str">
        <f aca="false">IF('THÁNG 12'!$C137="","",'THÁNG 12'!$F137&amp;"")</f>
        <v/>
      </c>
      <c r="G1030" s="0" t="str">
        <f aca="false">IF('THÁNG 12'!$C137="","",'THÁNG 12'!$G137&amp;"")</f>
        <v/>
      </c>
      <c r="H1030" s="0" t="str">
        <f aca="false">IF('THÁNG 12'!$C137="","",'THÁNG 12'!$H137&amp;"")</f>
        <v/>
      </c>
      <c r="I1030" s="0" t="str">
        <f aca="false">IF('THÁNG 12'!$C137="","",N('THÁNG 12'!$I137))</f>
        <v/>
      </c>
      <c r="J1030" s="0" t="str">
        <f aca="false">IF('THÁNG 12'!$C137="","",N('THÁNG 12'!$L137))</f>
        <v/>
      </c>
      <c r="K1030" s="0" t="str">
        <f aca="false">IF('THÁNG 12'!$C137="","",N('THÁNG 12'!$N137))</f>
        <v/>
      </c>
      <c r="L1030" s="0" t="str">
        <f aca="false">IF('THÁNG 12'!$C137="","",N('THÁNG 12'!$O137))</f>
        <v/>
      </c>
      <c r="M1030" s="0" t="str">
        <f aca="false">IF('THÁNG 12'!$C137="","",N('THÁNG 12'!$P137))</f>
        <v/>
      </c>
      <c r="N1030" s="0" t="str">
        <f aca="false">IF('THÁNG 12'!$C137="","",N('THÁNG 12'!$Q137))</f>
        <v/>
      </c>
      <c r="O1030" s="0" t="str">
        <f aca="false">IF('THÁNG 12'!$C137="","",N('THÁNG 12'!$R137))</f>
        <v/>
      </c>
      <c r="P1030" s="0" t="str">
        <f aca="false">IF(OR('THÁNG 12'!$C137="",'THÁNG 12'!$T137=""),"",'THÁNG 12'!$T137)</f>
        <v/>
      </c>
      <c r="Q1030" s="0" t="str">
        <f aca="false">IF(OR('THÁNG 12'!$C137="",'THÁNG 12'!$U137=""),"",'THÁNG 12'!$U137)</f>
        <v/>
      </c>
      <c r="R1030" s="0" t="str">
        <f aca="false">IF('THÁNG 12'!$C137="","",'THÁNG 12'!$W137&amp;"")</f>
        <v/>
      </c>
      <c r="S1030" s="0" t="str">
        <f aca="false">IF('THÁNG 12'!$C137="","",'THÁNG 12'!$S137&amp;"")</f>
        <v/>
      </c>
      <c r="T1030" s="0" t="str">
        <f aca="false">IF(N($O1030)&gt;0,COUNTIF($O$3:$O1030,"&gt;0"),"")</f>
        <v/>
      </c>
      <c r="U1030" s="0" t="str">
        <f aca="false">IF(AND(N($J1030)&gt;0,N($K1030)&gt;0),COUNTIFS($J$3:$J1030,"&gt;0",$K$3:$K1030,"&gt;0"),"")</f>
        <v/>
      </c>
      <c r="V1030" s="0" t="str">
        <f aca="false">IF(AND(N($J1030)&gt;0,N($K1030)=0),COUNTIFS($J$3:$J1030,"&gt;0",$K$3:$K1030,"&lt;=0"),"")</f>
        <v/>
      </c>
      <c r="W1030" s="0" t="str">
        <f aca="false">IF($C1030="","",IF(COUNTIF($C$3:$C1030,$C1030)&gt;1,"",MAX($W$2:W1029)+1))</f>
        <v/>
      </c>
      <c r="X1030" s="0" t="str">
        <f aca="false">IF($H1030="","",IF(COUNTIF($H$3:$H1030,$H1030)&gt;1,"",MAX($X$2:X1029)+1))</f>
        <v/>
      </c>
      <c r="Y1030" s="0" t="str">
        <f aca="false">IF(AND(N($M1030)&gt;0,N($O1030)&lt;=0),COUNTIFS($M$3:$M1030,"&gt;0",$O$3:$O1030,"&lt;=0"),"")</f>
        <v/>
      </c>
      <c r="Z1030" s="30" t="n">
        <f aca="false">IF(OR('THÁNG 12'!$C137="",'THÁNG 12'!$B137=""),0,'THÁNG 12'!$B137)</f>
        <v>0</v>
      </c>
    </row>
    <row r="1031" customFormat="false" ht="15" hidden="false" customHeight="false" outlineLevel="0" collapsed="false">
      <c r="A1031" s="0" t="n">
        <v>12</v>
      </c>
      <c r="B1031" s="29" t="str">
        <f aca="false">IF(OR('THÁNG 12'!$C138="",'THÁNG 12'!$B138=""),"",'THÁNG 12'!$B138)</f>
        <v/>
      </c>
      <c r="C1031" s="0" t="str">
        <f aca="false">IF('THÁNG 12'!$C138="","",'THÁNG 12'!$C138)</f>
        <v/>
      </c>
      <c r="D1031" s="0" t="str">
        <f aca="false">IF('THÁNG 12'!$C138="","",'THÁNG 12'!$D138&amp;"")</f>
        <v/>
      </c>
      <c r="E1031" s="0" t="str">
        <f aca="false">IF('THÁNG 12'!$C138="","",'THÁNG 12'!$E138&amp;"")</f>
        <v/>
      </c>
      <c r="F1031" s="0" t="str">
        <f aca="false">IF('THÁNG 12'!$C138="","",'THÁNG 12'!$F138&amp;"")</f>
        <v/>
      </c>
      <c r="G1031" s="0" t="str">
        <f aca="false">IF('THÁNG 12'!$C138="","",'THÁNG 12'!$G138&amp;"")</f>
        <v/>
      </c>
      <c r="H1031" s="0" t="str">
        <f aca="false">IF('THÁNG 12'!$C138="","",'THÁNG 12'!$H138&amp;"")</f>
        <v/>
      </c>
      <c r="I1031" s="0" t="str">
        <f aca="false">IF('THÁNG 12'!$C138="","",N('THÁNG 12'!$I138))</f>
        <v/>
      </c>
      <c r="J1031" s="0" t="str">
        <f aca="false">IF('THÁNG 12'!$C138="","",N('THÁNG 12'!$L138))</f>
        <v/>
      </c>
      <c r="K1031" s="0" t="str">
        <f aca="false">IF('THÁNG 12'!$C138="","",N('THÁNG 12'!$N138))</f>
        <v/>
      </c>
      <c r="L1031" s="0" t="str">
        <f aca="false">IF('THÁNG 12'!$C138="","",N('THÁNG 12'!$O138))</f>
        <v/>
      </c>
      <c r="M1031" s="0" t="str">
        <f aca="false">IF('THÁNG 12'!$C138="","",N('THÁNG 12'!$P138))</f>
        <v/>
      </c>
      <c r="N1031" s="0" t="str">
        <f aca="false">IF('THÁNG 12'!$C138="","",N('THÁNG 12'!$Q138))</f>
        <v/>
      </c>
      <c r="O1031" s="0" t="str">
        <f aca="false">IF('THÁNG 12'!$C138="","",N('THÁNG 12'!$R138))</f>
        <v/>
      </c>
      <c r="P1031" s="0" t="str">
        <f aca="false">IF(OR('THÁNG 12'!$C138="",'THÁNG 12'!$T138=""),"",'THÁNG 12'!$T138)</f>
        <v/>
      </c>
      <c r="Q1031" s="0" t="str">
        <f aca="false">IF(OR('THÁNG 12'!$C138="",'THÁNG 12'!$U138=""),"",'THÁNG 12'!$U138)</f>
        <v/>
      </c>
      <c r="R1031" s="0" t="str">
        <f aca="false">IF('THÁNG 12'!$C138="","",'THÁNG 12'!$W138&amp;"")</f>
        <v/>
      </c>
      <c r="S1031" s="0" t="str">
        <f aca="false">IF('THÁNG 12'!$C138="","",'THÁNG 12'!$S138&amp;"")</f>
        <v/>
      </c>
      <c r="T1031" s="0" t="str">
        <f aca="false">IF(N($O1031)&gt;0,COUNTIF($O$3:$O1031,"&gt;0"),"")</f>
        <v/>
      </c>
      <c r="U1031" s="0" t="str">
        <f aca="false">IF(AND(N($J1031)&gt;0,N($K1031)&gt;0),COUNTIFS($J$3:$J1031,"&gt;0",$K$3:$K1031,"&gt;0"),"")</f>
        <v/>
      </c>
      <c r="V1031" s="0" t="str">
        <f aca="false">IF(AND(N($J1031)&gt;0,N($K1031)=0),COUNTIFS($J$3:$J1031,"&gt;0",$K$3:$K1031,"&lt;=0"),"")</f>
        <v/>
      </c>
      <c r="W1031" s="0" t="str">
        <f aca="false">IF($C1031="","",IF(COUNTIF($C$3:$C1031,$C1031)&gt;1,"",MAX($W$2:W1030)+1))</f>
        <v/>
      </c>
      <c r="X1031" s="0" t="str">
        <f aca="false">IF($H1031="","",IF(COUNTIF($H$3:$H1031,$H1031)&gt;1,"",MAX($X$2:X1030)+1))</f>
        <v/>
      </c>
      <c r="Y1031" s="0" t="str">
        <f aca="false">IF(AND(N($M1031)&gt;0,N($O1031)&lt;=0),COUNTIFS($M$3:$M1031,"&gt;0",$O$3:$O1031,"&lt;=0"),"")</f>
        <v/>
      </c>
      <c r="Z1031" s="30" t="n">
        <f aca="false">IF(OR('THÁNG 12'!$C138="",'THÁNG 12'!$B138=""),0,'THÁNG 12'!$B138)</f>
        <v>0</v>
      </c>
    </row>
    <row r="1032" customFormat="false" ht="15" hidden="false" customHeight="false" outlineLevel="0" collapsed="false">
      <c r="A1032" s="0" t="n">
        <v>12</v>
      </c>
      <c r="B1032" s="29" t="str">
        <f aca="false">IF(OR('THÁNG 12'!$C139="",'THÁNG 12'!$B139=""),"",'THÁNG 12'!$B139)</f>
        <v/>
      </c>
      <c r="C1032" s="0" t="str">
        <f aca="false">IF('THÁNG 12'!$C139="","",'THÁNG 12'!$C139)</f>
        <v/>
      </c>
      <c r="D1032" s="0" t="str">
        <f aca="false">IF('THÁNG 12'!$C139="","",'THÁNG 12'!$D139&amp;"")</f>
        <v/>
      </c>
      <c r="E1032" s="0" t="str">
        <f aca="false">IF('THÁNG 12'!$C139="","",'THÁNG 12'!$E139&amp;"")</f>
        <v/>
      </c>
      <c r="F1032" s="0" t="str">
        <f aca="false">IF('THÁNG 12'!$C139="","",'THÁNG 12'!$F139&amp;"")</f>
        <v/>
      </c>
      <c r="G1032" s="0" t="str">
        <f aca="false">IF('THÁNG 12'!$C139="","",'THÁNG 12'!$G139&amp;"")</f>
        <v/>
      </c>
      <c r="H1032" s="0" t="str">
        <f aca="false">IF('THÁNG 12'!$C139="","",'THÁNG 12'!$H139&amp;"")</f>
        <v/>
      </c>
      <c r="I1032" s="0" t="str">
        <f aca="false">IF('THÁNG 12'!$C139="","",N('THÁNG 12'!$I139))</f>
        <v/>
      </c>
      <c r="J1032" s="0" t="str">
        <f aca="false">IF('THÁNG 12'!$C139="","",N('THÁNG 12'!$L139))</f>
        <v/>
      </c>
      <c r="K1032" s="0" t="str">
        <f aca="false">IF('THÁNG 12'!$C139="","",N('THÁNG 12'!$N139))</f>
        <v/>
      </c>
      <c r="L1032" s="0" t="str">
        <f aca="false">IF('THÁNG 12'!$C139="","",N('THÁNG 12'!$O139))</f>
        <v/>
      </c>
      <c r="M1032" s="0" t="str">
        <f aca="false">IF('THÁNG 12'!$C139="","",N('THÁNG 12'!$P139))</f>
        <v/>
      </c>
      <c r="N1032" s="0" t="str">
        <f aca="false">IF('THÁNG 12'!$C139="","",N('THÁNG 12'!$Q139))</f>
        <v/>
      </c>
      <c r="O1032" s="0" t="str">
        <f aca="false">IF('THÁNG 12'!$C139="","",N('THÁNG 12'!$R139))</f>
        <v/>
      </c>
      <c r="P1032" s="0" t="str">
        <f aca="false">IF(OR('THÁNG 12'!$C139="",'THÁNG 12'!$T139=""),"",'THÁNG 12'!$T139)</f>
        <v/>
      </c>
      <c r="Q1032" s="0" t="str">
        <f aca="false">IF(OR('THÁNG 12'!$C139="",'THÁNG 12'!$U139=""),"",'THÁNG 12'!$U139)</f>
        <v/>
      </c>
      <c r="R1032" s="0" t="str">
        <f aca="false">IF('THÁNG 12'!$C139="","",'THÁNG 12'!$W139&amp;"")</f>
        <v/>
      </c>
      <c r="S1032" s="0" t="str">
        <f aca="false">IF('THÁNG 12'!$C139="","",'THÁNG 12'!$S139&amp;"")</f>
        <v/>
      </c>
      <c r="T1032" s="0" t="str">
        <f aca="false">IF(N($O1032)&gt;0,COUNTIF($O$3:$O1032,"&gt;0"),"")</f>
        <v/>
      </c>
      <c r="U1032" s="0" t="str">
        <f aca="false">IF(AND(N($J1032)&gt;0,N($K1032)&gt;0),COUNTIFS($J$3:$J1032,"&gt;0",$K$3:$K1032,"&gt;0"),"")</f>
        <v/>
      </c>
      <c r="V1032" s="0" t="str">
        <f aca="false">IF(AND(N($J1032)&gt;0,N($K1032)=0),COUNTIFS($J$3:$J1032,"&gt;0",$K$3:$K1032,"&lt;=0"),"")</f>
        <v/>
      </c>
      <c r="W1032" s="0" t="str">
        <f aca="false">IF($C1032="","",IF(COUNTIF($C$3:$C1032,$C1032)&gt;1,"",MAX($W$2:W1031)+1))</f>
        <v/>
      </c>
      <c r="X1032" s="0" t="str">
        <f aca="false">IF($H1032="","",IF(COUNTIF($H$3:$H1032,$H1032)&gt;1,"",MAX($X$2:X1031)+1))</f>
        <v/>
      </c>
      <c r="Y1032" s="0" t="str">
        <f aca="false">IF(AND(N($M1032)&gt;0,N($O1032)&lt;=0),COUNTIFS($M$3:$M1032,"&gt;0",$O$3:$O1032,"&lt;=0"),"")</f>
        <v/>
      </c>
      <c r="Z1032" s="30" t="n">
        <f aca="false">IF(OR('THÁNG 12'!$C139="",'THÁNG 12'!$B139=""),0,'THÁNG 12'!$B139)</f>
        <v>0</v>
      </c>
    </row>
    <row r="1033" customFormat="false" ht="15" hidden="false" customHeight="false" outlineLevel="0" collapsed="false">
      <c r="A1033" s="0" t="n">
        <v>12</v>
      </c>
      <c r="B1033" s="29" t="str">
        <f aca="false">IF(OR('THÁNG 12'!$C140="",'THÁNG 12'!$B140=""),"",'THÁNG 12'!$B140)</f>
        <v/>
      </c>
      <c r="C1033" s="0" t="str">
        <f aca="false">IF('THÁNG 12'!$C140="","",'THÁNG 12'!$C140)</f>
        <v/>
      </c>
      <c r="D1033" s="0" t="str">
        <f aca="false">IF('THÁNG 12'!$C140="","",'THÁNG 12'!$D140&amp;"")</f>
        <v/>
      </c>
      <c r="E1033" s="0" t="str">
        <f aca="false">IF('THÁNG 12'!$C140="","",'THÁNG 12'!$E140&amp;"")</f>
        <v/>
      </c>
      <c r="F1033" s="0" t="str">
        <f aca="false">IF('THÁNG 12'!$C140="","",'THÁNG 12'!$F140&amp;"")</f>
        <v/>
      </c>
      <c r="G1033" s="0" t="str">
        <f aca="false">IF('THÁNG 12'!$C140="","",'THÁNG 12'!$G140&amp;"")</f>
        <v/>
      </c>
      <c r="H1033" s="0" t="str">
        <f aca="false">IF('THÁNG 12'!$C140="","",'THÁNG 12'!$H140&amp;"")</f>
        <v/>
      </c>
      <c r="I1033" s="0" t="str">
        <f aca="false">IF('THÁNG 12'!$C140="","",N('THÁNG 12'!$I140))</f>
        <v/>
      </c>
      <c r="J1033" s="0" t="str">
        <f aca="false">IF('THÁNG 12'!$C140="","",N('THÁNG 12'!$L140))</f>
        <v/>
      </c>
      <c r="K1033" s="0" t="str">
        <f aca="false">IF('THÁNG 12'!$C140="","",N('THÁNG 12'!$N140))</f>
        <v/>
      </c>
      <c r="L1033" s="0" t="str">
        <f aca="false">IF('THÁNG 12'!$C140="","",N('THÁNG 12'!$O140))</f>
        <v/>
      </c>
      <c r="M1033" s="0" t="str">
        <f aca="false">IF('THÁNG 12'!$C140="","",N('THÁNG 12'!$P140))</f>
        <v/>
      </c>
      <c r="N1033" s="0" t="str">
        <f aca="false">IF('THÁNG 12'!$C140="","",N('THÁNG 12'!$Q140))</f>
        <v/>
      </c>
      <c r="O1033" s="0" t="str">
        <f aca="false">IF('THÁNG 12'!$C140="","",N('THÁNG 12'!$R140))</f>
        <v/>
      </c>
      <c r="P1033" s="0" t="str">
        <f aca="false">IF(OR('THÁNG 12'!$C140="",'THÁNG 12'!$T140=""),"",'THÁNG 12'!$T140)</f>
        <v/>
      </c>
      <c r="Q1033" s="0" t="str">
        <f aca="false">IF(OR('THÁNG 12'!$C140="",'THÁNG 12'!$U140=""),"",'THÁNG 12'!$U140)</f>
        <v/>
      </c>
      <c r="R1033" s="0" t="str">
        <f aca="false">IF('THÁNG 12'!$C140="","",'THÁNG 12'!$W140&amp;"")</f>
        <v/>
      </c>
      <c r="S1033" s="0" t="str">
        <f aca="false">IF('THÁNG 12'!$C140="","",'THÁNG 12'!$S140&amp;"")</f>
        <v/>
      </c>
      <c r="T1033" s="0" t="str">
        <f aca="false">IF(N($O1033)&gt;0,COUNTIF($O$3:$O1033,"&gt;0"),"")</f>
        <v/>
      </c>
      <c r="U1033" s="0" t="str">
        <f aca="false">IF(AND(N($J1033)&gt;0,N($K1033)&gt;0),COUNTIFS($J$3:$J1033,"&gt;0",$K$3:$K1033,"&gt;0"),"")</f>
        <v/>
      </c>
      <c r="V1033" s="0" t="str">
        <f aca="false">IF(AND(N($J1033)&gt;0,N($K1033)=0),COUNTIFS($J$3:$J1033,"&gt;0",$K$3:$K1033,"&lt;=0"),"")</f>
        <v/>
      </c>
      <c r="W1033" s="0" t="str">
        <f aca="false">IF($C1033="","",IF(COUNTIF($C$3:$C1033,$C1033)&gt;1,"",MAX($W$2:W1032)+1))</f>
        <v/>
      </c>
      <c r="X1033" s="0" t="str">
        <f aca="false">IF($H1033="","",IF(COUNTIF($H$3:$H1033,$H1033)&gt;1,"",MAX($X$2:X1032)+1))</f>
        <v/>
      </c>
      <c r="Y1033" s="0" t="str">
        <f aca="false">IF(AND(N($M1033)&gt;0,N($O1033)&lt;=0),COUNTIFS($M$3:$M1033,"&gt;0",$O$3:$O1033,"&lt;=0"),"")</f>
        <v/>
      </c>
      <c r="Z1033" s="30" t="n">
        <f aca="false">IF(OR('THÁNG 12'!$C140="",'THÁNG 12'!$B140=""),0,'THÁNG 12'!$B140)</f>
        <v>0</v>
      </c>
    </row>
    <row r="1034" customFormat="false" ht="15" hidden="false" customHeight="false" outlineLevel="0" collapsed="false">
      <c r="A1034" s="0" t="n">
        <v>12</v>
      </c>
      <c r="B1034" s="29" t="str">
        <f aca="false">IF(OR('THÁNG 12'!$C141="",'THÁNG 12'!$B141=""),"",'THÁNG 12'!$B141)</f>
        <v/>
      </c>
      <c r="C1034" s="0" t="str">
        <f aca="false">IF('THÁNG 12'!$C141="","",'THÁNG 12'!$C141)</f>
        <v/>
      </c>
      <c r="D1034" s="0" t="str">
        <f aca="false">IF('THÁNG 12'!$C141="","",'THÁNG 12'!$D141&amp;"")</f>
        <v/>
      </c>
      <c r="E1034" s="0" t="str">
        <f aca="false">IF('THÁNG 12'!$C141="","",'THÁNG 12'!$E141&amp;"")</f>
        <v/>
      </c>
      <c r="F1034" s="0" t="str">
        <f aca="false">IF('THÁNG 12'!$C141="","",'THÁNG 12'!$F141&amp;"")</f>
        <v/>
      </c>
      <c r="G1034" s="0" t="str">
        <f aca="false">IF('THÁNG 12'!$C141="","",'THÁNG 12'!$G141&amp;"")</f>
        <v/>
      </c>
      <c r="H1034" s="0" t="str">
        <f aca="false">IF('THÁNG 12'!$C141="","",'THÁNG 12'!$H141&amp;"")</f>
        <v/>
      </c>
      <c r="I1034" s="0" t="str">
        <f aca="false">IF('THÁNG 12'!$C141="","",N('THÁNG 12'!$I141))</f>
        <v/>
      </c>
      <c r="J1034" s="0" t="str">
        <f aca="false">IF('THÁNG 12'!$C141="","",N('THÁNG 12'!$L141))</f>
        <v/>
      </c>
      <c r="K1034" s="0" t="str">
        <f aca="false">IF('THÁNG 12'!$C141="","",N('THÁNG 12'!$N141))</f>
        <v/>
      </c>
      <c r="L1034" s="0" t="str">
        <f aca="false">IF('THÁNG 12'!$C141="","",N('THÁNG 12'!$O141))</f>
        <v/>
      </c>
      <c r="M1034" s="0" t="str">
        <f aca="false">IF('THÁNG 12'!$C141="","",N('THÁNG 12'!$P141))</f>
        <v/>
      </c>
      <c r="N1034" s="0" t="str">
        <f aca="false">IF('THÁNG 12'!$C141="","",N('THÁNG 12'!$Q141))</f>
        <v/>
      </c>
      <c r="O1034" s="0" t="str">
        <f aca="false">IF('THÁNG 12'!$C141="","",N('THÁNG 12'!$R141))</f>
        <v/>
      </c>
      <c r="P1034" s="0" t="str">
        <f aca="false">IF(OR('THÁNG 12'!$C141="",'THÁNG 12'!$T141=""),"",'THÁNG 12'!$T141)</f>
        <v/>
      </c>
      <c r="Q1034" s="0" t="str">
        <f aca="false">IF(OR('THÁNG 12'!$C141="",'THÁNG 12'!$U141=""),"",'THÁNG 12'!$U141)</f>
        <v/>
      </c>
      <c r="R1034" s="0" t="str">
        <f aca="false">IF('THÁNG 12'!$C141="","",'THÁNG 12'!$W141&amp;"")</f>
        <v/>
      </c>
      <c r="S1034" s="0" t="str">
        <f aca="false">IF('THÁNG 12'!$C141="","",'THÁNG 12'!$S141&amp;"")</f>
        <v/>
      </c>
      <c r="T1034" s="0" t="str">
        <f aca="false">IF(N($O1034)&gt;0,COUNTIF($O$3:$O1034,"&gt;0"),"")</f>
        <v/>
      </c>
      <c r="U1034" s="0" t="str">
        <f aca="false">IF(AND(N($J1034)&gt;0,N($K1034)&gt;0),COUNTIFS($J$3:$J1034,"&gt;0",$K$3:$K1034,"&gt;0"),"")</f>
        <v/>
      </c>
      <c r="V1034" s="0" t="str">
        <f aca="false">IF(AND(N($J1034)&gt;0,N($K1034)=0),COUNTIFS($J$3:$J1034,"&gt;0",$K$3:$K1034,"&lt;=0"),"")</f>
        <v/>
      </c>
      <c r="W1034" s="0" t="str">
        <f aca="false">IF($C1034="","",IF(COUNTIF($C$3:$C1034,$C1034)&gt;1,"",MAX($W$2:W1033)+1))</f>
        <v/>
      </c>
      <c r="X1034" s="0" t="str">
        <f aca="false">IF($H1034="","",IF(COUNTIF($H$3:$H1034,$H1034)&gt;1,"",MAX($X$2:X1033)+1))</f>
        <v/>
      </c>
      <c r="Y1034" s="0" t="str">
        <f aca="false">IF(AND(N($M1034)&gt;0,N($O1034)&lt;=0),COUNTIFS($M$3:$M1034,"&gt;0",$O$3:$O1034,"&lt;=0"),"")</f>
        <v/>
      </c>
      <c r="Z1034" s="30" t="n">
        <f aca="false">IF(OR('THÁNG 12'!$C141="",'THÁNG 12'!$B141=""),0,'THÁNG 12'!$B141)</f>
        <v>0</v>
      </c>
    </row>
    <row r="1035" customFormat="false" ht="15" hidden="false" customHeight="false" outlineLevel="0" collapsed="false">
      <c r="A1035" s="0" t="n">
        <v>12</v>
      </c>
      <c r="B1035" s="29" t="str">
        <f aca="false">IF(OR('THÁNG 12'!$C142="",'THÁNG 12'!$B142=""),"",'THÁNG 12'!$B142)</f>
        <v/>
      </c>
      <c r="C1035" s="0" t="str">
        <f aca="false">IF('THÁNG 12'!$C142="","",'THÁNG 12'!$C142)</f>
        <v/>
      </c>
      <c r="D1035" s="0" t="str">
        <f aca="false">IF('THÁNG 12'!$C142="","",'THÁNG 12'!$D142&amp;"")</f>
        <v/>
      </c>
      <c r="E1035" s="0" t="str">
        <f aca="false">IF('THÁNG 12'!$C142="","",'THÁNG 12'!$E142&amp;"")</f>
        <v/>
      </c>
      <c r="F1035" s="0" t="str">
        <f aca="false">IF('THÁNG 12'!$C142="","",'THÁNG 12'!$F142&amp;"")</f>
        <v/>
      </c>
      <c r="G1035" s="0" t="str">
        <f aca="false">IF('THÁNG 12'!$C142="","",'THÁNG 12'!$G142&amp;"")</f>
        <v/>
      </c>
      <c r="H1035" s="0" t="str">
        <f aca="false">IF('THÁNG 12'!$C142="","",'THÁNG 12'!$H142&amp;"")</f>
        <v/>
      </c>
      <c r="I1035" s="0" t="str">
        <f aca="false">IF('THÁNG 12'!$C142="","",N('THÁNG 12'!$I142))</f>
        <v/>
      </c>
      <c r="J1035" s="0" t="str">
        <f aca="false">IF('THÁNG 12'!$C142="","",N('THÁNG 12'!$L142))</f>
        <v/>
      </c>
      <c r="K1035" s="0" t="str">
        <f aca="false">IF('THÁNG 12'!$C142="","",N('THÁNG 12'!$N142))</f>
        <v/>
      </c>
      <c r="L1035" s="0" t="str">
        <f aca="false">IF('THÁNG 12'!$C142="","",N('THÁNG 12'!$O142))</f>
        <v/>
      </c>
      <c r="M1035" s="0" t="str">
        <f aca="false">IF('THÁNG 12'!$C142="","",N('THÁNG 12'!$P142))</f>
        <v/>
      </c>
      <c r="N1035" s="0" t="str">
        <f aca="false">IF('THÁNG 12'!$C142="","",N('THÁNG 12'!$Q142))</f>
        <v/>
      </c>
      <c r="O1035" s="0" t="str">
        <f aca="false">IF('THÁNG 12'!$C142="","",N('THÁNG 12'!$R142))</f>
        <v/>
      </c>
      <c r="P1035" s="0" t="str">
        <f aca="false">IF(OR('THÁNG 12'!$C142="",'THÁNG 12'!$T142=""),"",'THÁNG 12'!$T142)</f>
        <v/>
      </c>
      <c r="Q1035" s="0" t="str">
        <f aca="false">IF(OR('THÁNG 12'!$C142="",'THÁNG 12'!$U142=""),"",'THÁNG 12'!$U142)</f>
        <v/>
      </c>
      <c r="R1035" s="0" t="str">
        <f aca="false">IF('THÁNG 12'!$C142="","",'THÁNG 12'!$W142&amp;"")</f>
        <v/>
      </c>
      <c r="S1035" s="0" t="str">
        <f aca="false">IF('THÁNG 12'!$C142="","",'THÁNG 12'!$S142&amp;"")</f>
        <v/>
      </c>
      <c r="T1035" s="0" t="str">
        <f aca="false">IF(N($O1035)&gt;0,COUNTIF($O$3:$O1035,"&gt;0"),"")</f>
        <v/>
      </c>
      <c r="U1035" s="0" t="str">
        <f aca="false">IF(AND(N($J1035)&gt;0,N($K1035)&gt;0),COUNTIFS($J$3:$J1035,"&gt;0",$K$3:$K1035,"&gt;0"),"")</f>
        <v/>
      </c>
      <c r="V1035" s="0" t="str">
        <f aca="false">IF(AND(N($J1035)&gt;0,N($K1035)=0),COUNTIFS($J$3:$J1035,"&gt;0",$K$3:$K1035,"&lt;=0"),"")</f>
        <v/>
      </c>
      <c r="W1035" s="0" t="str">
        <f aca="false">IF($C1035="","",IF(COUNTIF($C$3:$C1035,$C1035)&gt;1,"",MAX($W$2:W1034)+1))</f>
        <v/>
      </c>
      <c r="X1035" s="0" t="str">
        <f aca="false">IF($H1035="","",IF(COUNTIF($H$3:$H1035,$H1035)&gt;1,"",MAX($X$2:X1034)+1))</f>
        <v/>
      </c>
      <c r="Y1035" s="0" t="str">
        <f aca="false">IF(AND(N($M1035)&gt;0,N($O1035)&lt;=0),COUNTIFS($M$3:$M1035,"&gt;0",$O$3:$O1035,"&lt;=0"),"")</f>
        <v/>
      </c>
      <c r="Z1035" s="30" t="n">
        <f aca="false">IF(OR('THÁNG 12'!$C142="",'THÁNG 12'!$B142=""),0,'THÁNG 12'!$B142)</f>
        <v>0</v>
      </c>
    </row>
    <row r="1036" customFormat="false" ht="15" hidden="false" customHeight="false" outlineLevel="0" collapsed="false">
      <c r="A1036" s="0" t="n">
        <v>12</v>
      </c>
      <c r="B1036" s="29" t="str">
        <f aca="false">IF(OR('THÁNG 12'!$C143="",'THÁNG 12'!$B143=""),"",'THÁNG 12'!$B143)</f>
        <v/>
      </c>
      <c r="C1036" s="0" t="str">
        <f aca="false">IF('THÁNG 12'!$C143="","",'THÁNG 12'!$C143)</f>
        <v/>
      </c>
      <c r="D1036" s="0" t="str">
        <f aca="false">IF('THÁNG 12'!$C143="","",'THÁNG 12'!$D143&amp;"")</f>
        <v/>
      </c>
      <c r="E1036" s="0" t="str">
        <f aca="false">IF('THÁNG 12'!$C143="","",'THÁNG 12'!$E143&amp;"")</f>
        <v/>
      </c>
      <c r="F1036" s="0" t="str">
        <f aca="false">IF('THÁNG 12'!$C143="","",'THÁNG 12'!$F143&amp;"")</f>
        <v/>
      </c>
      <c r="G1036" s="0" t="str">
        <f aca="false">IF('THÁNG 12'!$C143="","",'THÁNG 12'!$G143&amp;"")</f>
        <v/>
      </c>
      <c r="H1036" s="0" t="str">
        <f aca="false">IF('THÁNG 12'!$C143="","",'THÁNG 12'!$H143&amp;"")</f>
        <v/>
      </c>
      <c r="I1036" s="0" t="str">
        <f aca="false">IF('THÁNG 12'!$C143="","",N('THÁNG 12'!$I143))</f>
        <v/>
      </c>
      <c r="J1036" s="0" t="str">
        <f aca="false">IF('THÁNG 12'!$C143="","",N('THÁNG 12'!$L143))</f>
        <v/>
      </c>
      <c r="K1036" s="0" t="str">
        <f aca="false">IF('THÁNG 12'!$C143="","",N('THÁNG 12'!$N143))</f>
        <v/>
      </c>
      <c r="L1036" s="0" t="str">
        <f aca="false">IF('THÁNG 12'!$C143="","",N('THÁNG 12'!$O143))</f>
        <v/>
      </c>
      <c r="M1036" s="0" t="str">
        <f aca="false">IF('THÁNG 12'!$C143="","",N('THÁNG 12'!$P143))</f>
        <v/>
      </c>
      <c r="N1036" s="0" t="str">
        <f aca="false">IF('THÁNG 12'!$C143="","",N('THÁNG 12'!$Q143))</f>
        <v/>
      </c>
      <c r="O1036" s="0" t="str">
        <f aca="false">IF('THÁNG 12'!$C143="","",N('THÁNG 12'!$R143))</f>
        <v/>
      </c>
      <c r="P1036" s="0" t="str">
        <f aca="false">IF(OR('THÁNG 12'!$C143="",'THÁNG 12'!$T143=""),"",'THÁNG 12'!$T143)</f>
        <v/>
      </c>
      <c r="Q1036" s="0" t="str">
        <f aca="false">IF(OR('THÁNG 12'!$C143="",'THÁNG 12'!$U143=""),"",'THÁNG 12'!$U143)</f>
        <v/>
      </c>
      <c r="R1036" s="0" t="str">
        <f aca="false">IF('THÁNG 12'!$C143="","",'THÁNG 12'!$W143&amp;"")</f>
        <v/>
      </c>
      <c r="S1036" s="0" t="str">
        <f aca="false">IF('THÁNG 12'!$C143="","",'THÁNG 12'!$S143&amp;"")</f>
        <v/>
      </c>
      <c r="T1036" s="0" t="str">
        <f aca="false">IF(N($O1036)&gt;0,COUNTIF($O$3:$O1036,"&gt;0"),"")</f>
        <v/>
      </c>
      <c r="U1036" s="0" t="str">
        <f aca="false">IF(AND(N($J1036)&gt;0,N($K1036)&gt;0),COUNTIFS($J$3:$J1036,"&gt;0",$K$3:$K1036,"&gt;0"),"")</f>
        <v/>
      </c>
      <c r="V1036" s="0" t="str">
        <f aca="false">IF(AND(N($J1036)&gt;0,N($K1036)=0),COUNTIFS($J$3:$J1036,"&gt;0",$K$3:$K1036,"&lt;=0"),"")</f>
        <v/>
      </c>
      <c r="W1036" s="0" t="str">
        <f aca="false">IF($C1036="","",IF(COUNTIF($C$3:$C1036,$C1036)&gt;1,"",MAX($W$2:W1035)+1))</f>
        <v/>
      </c>
      <c r="X1036" s="0" t="str">
        <f aca="false">IF($H1036="","",IF(COUNTIF($H$3:$H1036,$H1036)&gt;1,"",MAX($X$2:X1035)+1))</f>
        <v/>
      </c>
      <c r="Y1036" s="0" t="str">
        <f aca="false">IF(AND(N($M1036)&gt;0,N($O1036)&lt;=0),COUNTIFS($M$3:$M1036,"&gt;0",$O$3:$O1036,"&lt;=0"),"")</f>
        <v/>
      </c>
      <c r="Z1036" s="30" t="n">
        <f aca="false">IF(OR('THÁNG 12'!$C143="",'THÁNG 12'!$B143=""),0,'THÁNG 12'!$B143)</f>
        <v>0</v>
      </c>
    </row>
    <row r="1037" customFormat="false" ht="15" hidden="false" customHeight="false" outlineLevel="0" collapsed="false">
      <c r="A1037" s="0" t="n">
        <v>12</v>
      </c>
      <c r="B1037" s="29" t="str">
        <f aca="false">IF(OR('THÁNG 12'!$C144="",'THÁNG 12'!$B144=""),"",'THÁNG 12'!$B144)</f>
        <v/>
      </c>
      <c r="C1037" s="0" t="str">
        <f aca="false">IF('THÁNG 12'!$C144="","",'THÁNG 12'!$C144)</f>
        <v/>
      </c>
      <c r="D1037" s="0" t="str">
        <f aca="false">IF('THÁNG 12'!$C144="","",'THÁNG 12'!$D144&amp;"")</f>
        <v/>
      </c>
      <c r="E1037" s="0" t="str">
        <f aca="false">IF('THÁNG 12'!$C144="","",'THÁNG 12'!$E144&amp;"")</f>
        <v/>
      </c>
      <c r="F1037" s="0" t="str">
        <f aca="false">IF('THÁNG 12'!$C144="","",'THÁNG 12'!$F144&amp;"")</f>
        <v/>
      </c>
      <c r="G1037" s="0" t="str">
        <f aca="false">IF('THÁNG 12'!$C144="","",'THÁNG 12'!$G144&amp;"")</f>
        <v/>
      </c>
      <c r="H1037" s="0" t="str">
        <f aca="false">IF('THÁNG 12'!$C144="","",'THÁNG 12'!$H144&amp;"")</f>
        <v/>
      </c>
      <c r="I1037" s="0" t="str">
        <f aca="false">IF('THÁNG 12'!$C144="","",N('THÁNG 12'!$I144))</f>
        <v/>
      </c>
      <c r="J1037" s="0" t="str">
        <f aca="false">IF('THÁNG 12'!$C144="","",N('THÁNG 12'!$L144))</f>
        <v/>
      </c>
      <c r="K1037" s="0" t="str">
        <f aca="false">IF('THÁNG 12'!$C144="","",N('THÁNG 12'!$N144))</f>
        <v/>
      </c>
      <c r="L1037" s="0" t="str">
        <f aca="false">IF('THÁNG 12'!$C144="","",N('THÁNG 12'!$O144))</f>
        <v/>
      </c>
      <c r="M1037" s="0" t="str">
        <f aca="false">IF('THÁNG 12'!$C144="","",N('THÁNG 12'!$P144))</f>
        <v/>
      </c>
      <c r="N1037" s="0" t="str">
        <f aca="false">IF('THÁNG 12'!$C144="","",N('THÁNG 12'!$Q144))</f>
        <v/>
      </c>
      <c r="O1037" s="0" t="str">
        <f aca="false">IF('THÁNG 12'!$C144="","",N('THÁNG 12'!$R144))</f>
        <v/>
      </c>
      <c r="P1037" s="0" t="str">
        <f aca="false">IF(OR('THÁNG 12'!$C144="",'THÁNG 12'!$T144=""),"",'THÁNG 12'!$T144)</f>
        <v/>
      </c>
      <c r="Q1037" s="0" t="str">
        <f aca="false">IF(OR('THÁNG 12'!$C144="",'THÁNG 12'!$U144=""),"",'THÁNG 12'!$U144)</f>
        <v/>
      </c>
      <c r="R1037" s="0" t="str">
        <f aca="false">IF('THÁNG 12'!$C144="","",'THÁNG 12'!$W144&amp;"")</f>
        <v/>
      </c>
      <c r="S1037" s="0" t="str">
        <f aca="false">IF('THÁNG 12'!$C144="","",'THÁNG 12'!$S144&amp;"")</f>
        <v/>
      </c>
      <c r="T1037" s="0" t="str">
        <f aca="false">IF(N($O1037)&gt;0,COUNTIF($O$3:$O1037,"&gt;0"),"")</f>
        <v/>
      </c>
      <c r="U1037" s="0" t="str">
        <f aca="false">IF(AND(N($J1037)&gt;0,N($K1037)&gt;0),COUNTIFS($J$3:$J1037,"&gt;0",$K$3:$K1037,"&gt;0"),"")</f>
        <v/>
      </c>
      <c r="V1037" s="0" t="str">
        <f aca="false">IF(AND(N($J1037)&gt;0,N($K1037)=0),COUNTIFS($J$3:$J1037,"&gt;0",$K$3:$K1037,"&lt;=0"),"")</f>
        <v/>
      </c>
      <c r="W1037" s="0" t="str">
        <f aca="false">IF($C1037="","",IF(COUNTIF($C$3:$C1037,$C1037)&gt;1,"",MAX($W$2:W1036)+1))</f>
        <v/>
      </c>
      <c r="X1037" s="0" t="str">
        <f aca="false">IF($H1037="","",IF(COUNTIF($H$3:$H1037,$H1037)&gt;1,"",MAX($X$2:X1036)+1))</f>
        <v/>
      </c>
      <c r="Y1037" s="0" t="str">
        <f aca="false">IF(AND(N($M1037)&gt;0,N($O1037)&lt;=0),COUNTIFS($M$3:$M1037,"&gt;0",$O$3:$O1037,"&lt;=0"),"")</f>
        <v/>
      </c>
      <c r="Z1037" s="30" t="n">
        <f aca="false">IF(OR('THÁNG 12'!$C144="",'THÁNG 12'!$B144=""),0,'THÁNG 12'!$B144)</f>
        <v>0</v>
      </c>
    </row>
    <row r="1038" customFormat="false" ht="15" hidden="false" customHeight="false" outlineLevel="0" collapsed="false">
      <c r="A1038" s="0" t="n">
        <v>12</v>
      </c>
      <c r="B1038" s="29" t="str">
        <f aca="false">IF(OR('THÁNG 12'!$C145="",'THÁNG 12'!$B145=""),"",'THÁNG 12'!$B145)</f>
        <v/>
      </c>
      <c r="C1038" s="0" t="str">
        <f aca="false">IF('THÁNG 12'!$C145="","",'THÁNG 12'!$C145)</f>
        <v/>
      </c>
      <c r="D1038" s="0" t="str">
        <f aca="false">IF('THÁNG 12'!$C145="","",'THÁNG 12'!$D145&amp;"")</f>
        <v/>
      </c>
      <c r="E1038" s="0" t="str">
        <f aca="false">IF('THÁNG 12'!$C145="","",'THÁNG 12'!$E145&amp;"")</f>
        <v/>
      </c>
      <c r="F1038" s="0" t="str">
        <f aca="false">IF('THÁNG 12'!$C145="","",'THÁNG 12'!$F145&amp;"")</f>
        <v/>
      </c>
      <c r="G1038" s="0" t="str">
        <f aca="false">IF('THÁNG 12'!$C145="","",'THÁNG 12'!$G145&amp;"")</f>
        <v/>
      </c>
      <c r="H1038" s="0" t="str">
        <f aca="false">IF('THÁNG 12'!$C145="","",'THÁNG 12'!$H145&amp;"")</f>
        <v/>
      </c>
      <c r="I1038" s="0" t="str">
        <f aca="false">IF('THÁNG 12'!$C145="","",N('THÁNG 12'!$I145))</f>
        <v/>
      </c>
      <c r="J1038" s="0" t="str">
        <f aca="false">IF('THÁNG 12'!$C145="","",N('THÁNG 12'!$L145))</f>
        <v/>
      </c>
      <c r="K1038" s="0" t="str">
        <f aca="false">IF('THÁNG 12'!$C145="","",N('THÁNG 12'!$N145))</f>
        <v/>
      </c>
      <c r="L1038" s="0" t="str">
        <f aca="false">IF('THÁNG 12'!$C145="","",N('THÁNG 12'!$O145))</f>
        <v/>
      </c>
      <c r="M1038" s="0" t="str">
        <f aca="false">IF('THÁNG 12'!$C145="","",N('THÁNG 12'!$P145))</f>
        <v/>
      </c>
      <c r="N1038" s="0" t="str">
        <f aca="false">IF('THÁNG 12'!$C145="","",N('THÁNG 12'!$Q145))</f>
        <v/>
      </c>
      <c r="O1038" s="0" t="str">
        <f aca="false">IF('THÁNG 12'!$C145="","",N('THÁNG 12'!$R145))</f>
        <v/>
      </c>
      <c r="P1038" s="0" t="str">
        <f aca="false">IF(OR('THÁNG 12'!$C145="",'THÁNG 12'!$T145=""),"",'THÁNG 12'!$T145)</f>
        <v/>
      </c>
      <c r="Q1038" s="0" t="str">
        <f aca="false">IF(OR('THÁNG 12'!$C145="",'THÁNG 12'!$U145=""),"",'THÁNG 12'!$U145)</f>
        <v/>
      </c>
      <c r="R1038" s="0" t="str">
        <f aca="false">IF('THÁNG 12'!$C145="","",'THÁNG 12'!$W145&amp;"")</f>
        <v/>
      </c>
      <c r="S1038" s="0" t="str">
        <f aca="false">IF('THÁNG 12'!$C145="","",'THÁNG 12'!$S145&amp;"")</f>
        <v/>
      </c>
      <c r="T1038" s="0" t="str">
        <f aca="false">IF(N($O1038)&gt;0,COUNTIF($O$3:$O1038,"&gt;0"),"")</f>
        <v/>
      </c>
      <c r="U1038" s="0" t="str">
        <f aca="false">IF(AND(N($J1038)&gt;0,N($K1038)&gt;0),COUNTIFS($J$3:$J1038,"&gt;0",$K$3:$K1038,"&gt;0"),"")</f>
        <v/>
      </c>
      <c r="V1038" s="0" t="str">
        <f aca="false">IF(AND(N($J1038)&gt;0,N($K1038)=0),COUNTIFS($J$3:$J1038,"&gt;0",$K$3:$K1038,"&lt;=0"),"")</f>
        <v/>
      </c>
      <c r="W1038" s="0" t="str">
        <f aca="false">IF($C1038="","",IF(COUNTIF($C$3:$C1038,$C1038)&gt;1,"",MAX($W$2:W1037)+1))</f>
        <v/>
      </c>
      <c r="X1038" s="0" t="str">
        <f aca="false">IF($H1038="","",IF(COUNTIF($H$3:$H1038,$H1038)&gt;1,"",MAX($X$2:X1037)+1))</f>
        <v/>
      </c>
      <c r="Y1038" s="0" t="str">
        <f aca="false">IF(AND(N($M1038)&gt;0,N($O1038)&lt;=0),COUNTIFS($M$3:$M1038,"&gt;0",$O$3:$O1038,"&lt;=0"),"")</f>
        <v/>
      </c>
      <c r="Z1038" s="30" t="n">
        <f aca="false">IF(OR('THÁNG 12'!$C145="",'THÁNG 12'!$B145=""),0,'THÁNG 12'!$B145)</f>
        <v>0</v>
      </c>
    </row>
    <row r="1039" customFormat="false" ht="15" hidden="false" customHeight="false" outlineLevel="0" collapsed="false">
      <c r="A1039" s="0" t="n">
        <v>12</v>
      </c>
      <c r="B1039" s="29" t="str">
        <f aca="false">IF(OR('THÁNG 12'!$C146="",'THÁNG 12'!$B146=""),"",'THÁNG 12'!$B146)</f>
        <v/>
      </c>
      <c r="C1039" s="0" t="str">
        <f aca="false">IF('THÁNG 12'!$C146="","",'THÁNG 12'!$C146)</f>
        <v/>
      </c>
      <c r="D1039" s="0" t="str">
        <f aca="false">IF('THÁNG 12'!$C146="","",'THÁNG 12'!$D146&amp;"")</f>
        <v/>
      </c>
      <c r="E1039" s="0" t="str">
        <f aca="false">IF('THÁNG 12'!$C146="","",'THÁNG 12'!$E146&amp;"")</f>
        <v/>
      </c>
      <c r="F1039" s="0" t="str">
        <f aca="false">IF('THÁNG 12'!$C146="","",'THÁNG 12'!$F146&amp;"")</f>
        <v/>
      </c>
      <c r="G1039" s="0" t="str">
        <f aca="false">IF('THÁNG 12'!$C146="","",'THÁNG 12'!$G146&amp;"")</f>
        <v/>
      </c>
      <c r="H1039" s="0" t="str">
        <f aca="false">IF('THÁNG 12'!$C146="","",'THÁNG 12'!$H146&amp;"")</f>
        <v/>
      </c>
      <c r="I1039" s="0" t="str">
        <f aca="false">IF('THÁNG 12'!$C146="","",N('THÁNG 12'!$I146))</f>
        <v/>
      </c>
      <c r="J1039" s="0" t="str">
        <f aca="false">IF('THÁNG 12'!$C146="","",N('THÁNG 12'!$L146))</f>
        <v/>
      </c>
      <c r="K1039" s="0" t="str">
        <f aca="false">IF('THÁNG 12'!$C146="","",N('THÁNG 12'!$N146))</f>
        <v/>
      </c>
      <c r="L1039" s="0" t="str">
        <f aca="false">IF('THÁNG 12'!$C146="","",N('THÁNG 12'!$O146))</f>
        <v/>
      </c>
      <c r="M1039" s="0" t="str">
        <f aca="false">IF('THÁNG 12'!$C146="","",N('THÁNG 12'!$P146))</f>
        <v/>
      </c>
      <c r="N1039" s="0" t="str">
        <f aca="false">IF('THÁNG 12'!$C146="","",N('THÁNG 12'!$Q146))</f>
        <v/>
      </c>
      <c r="O1039" s="0" t="str">
        <f aca="false">IF('THÁNG 12'!$C146="","",N('THÁNG 12'!$R146))</f>
        <v/>
      </c>
      <c r="P1039" s="0" t="str">
        <f aca="false">IF(OR('THÁNG 12'!$C146="",'THÁNG 12'!$T146=""),"",'THÁNG 12'!$T146)</f>
        <v/>
      </c>
      <c r="Q1039" s="0" t="str">
        <f aca="false">IF(OR('THÁNG 12'!$C146="",'THÁNG 12'!$U146=""),"",'THÁNG 12'!$U146)</f>
        <v/>
      </c>
      <c r="R1039" s="0" t="str">
        <f aca="false">IF('THÁNG 12'!$C146="","",'THÁNG 12'!$W146&amp;"")</f>
        <v/>
      </c>
      <c r="S1039" s="0" t="str">
        <f aca="false">IF('THÁNG 12'!$C146="","",'THÁNG 12'!$S146&amp;"")</f>
        <v/>
      </c>
      <c r="T1039" s="0" t="str">
        <f aca="false">IF(N($O1039)&gt;0,COUNTIF($O$3:$O1039,"&gt;0"),"")</f>
        <v/>
      </c>
      <c r="U1039" s="0" t="str">
        <f aca="false">IF(AND(N($J1039)&gt;0,N($K1039)&gt;0),COUNTIFS($J$3:$J1039,"&gt;0",$K$3:$K1039,"&gt;0"),"")</f>
        <v/>
      </c>
      <c r="V1039" s="0" t="str">
        <f aca="false">IF(AND(N($J1039)&gt;0,N($K1039)=0),COUNTIFS($J$3:$J1039,"&gt;0",$K$3:$K1039,"&lt;=0"),"")</f>
        <v/>
      </c>
      <c r="W1039" s="0" t="str">
        <f aca="false">IF($C1039="","",IF(COUNTIF($C$3:$C1039,$C1039)&gt;1,"",MAX($W$2:W1038)+1))</f>
        <v/>
      </c>
      <c r="X1039" s="0" t="str">
        <f aca="false">IF($H1039="","",IF(COUNTIF($H$3:$H1039,$H1039)&gt;1,"",MAX($X$2:X1038)+1))</f>
        <v/>
      </c>
      <c r="Y1039" s="0" t="str">
        <f aca="false">IF(AND(N($M1039)&gt;0,N($O1039)&lt;=0),COUNTIFS($M$3:$M1039,"&gt;0",$O$3:$O1039,"&lt;=0"),"")</f>
        <v/>
      </c>
      <c r="Z1039" s="30" t="n">
        <f aca="false">IF(OR('THÁNG 12'!$C146="",'THÁNG 12'!$B146=""),0,'THÁNG 12'!$B146)</f>
        <v>0</v>
      </c>
    </row>
    <row r="1040" customFormat="false" ht="15" hidden="false" customHeight="false" outlineLevel="0" collapsed="false">
      <c r="A1040" s="0" t="n">
        <v>12</v>
      </c>
      <c r="B1040" s="29" t="str">
        <f aca="false">IF(OR('THÁNG 12'!$C147="",'THÁNG 12'!$B147=""),"",'THÁNG 12'!$B147)</f>
        <v/>
      </c>
      <c r="C1040" s="0" t="str">
        <f aca="false">IF('THÁNG 12'!$C147="","",'THÁNG 12'!$C147)</f>
        <v/>
      </c>
      <c r="D1040" s="0" t="str">
        <f aca="false">IF('THÁNG 12'!$C147="","",'THÁNG 12'!$D147&amp;"")</f>
        <v/>
      </c>
      <c r="E1040" s="0" t="str">
        <f aca="false">IF('THÁNG 12'!$C147="","",'THÁNG 12'!$E147&amp;"")</f>
        <v/>
      </c>
      <c r="F1040" s="0" t="str">
        <f aca="false">IF('THÁNG 12'!$C147="","",'THÁNG 12'!$F147&amp;"")</f>
        <v/>
      </c>
      <c r="G1040" s="0" t="str">
        <f aca="false">IF('THÁNG 12'!$C147="","",'THÁNG 12'!$G147&amp;"")</f>
        <v/>
      </c>
      <c r="H1040" s="0" t="str">
        <f aca="false">IF('THÁNG 12'!$C147="","",'THÁNG 12'!$H147&amp;"")</f>
        <v/>
      </c>
      <c r="I1040" s="0" t="str">
        <f aca="false">IF('THÁNG 12'!$C147="","",N('THÁNG 12'!$I147))</f>
        <v/>
      </c>
      <c r="J1040" s="0" t="str">
        <f aca="false">IF('THÁNG 12'!$C147="","",N('THÁNG 12'!$L147))</f>
        <v/>
      </c>
      <c r="K1040" s="0" t="str">
        <f aca="false">IF('THÁNG 12'!$C147="","",N('THÁNG 12'!$N147))</f>
        <v/>
      </c>
      <c r="L1040" s="0" t="str">
        <f aca="false">IF('THÁNG 12'!$C147="","",N('THÁNG 12'!$O147))</f>
        <v/>
      </c>
      <c r="M1040" s="0" t="str">
        <f aca="false">IF('THÁNG 12'!$C147="","",N('THÁNG 12'!$P147))</f>
        <v/>
      </c>
      <c r="N1040" s="0" t="str">
        <f aca="false">IF('THÁNG 12'!$C147="","",N('THÁNG 12'!$Q147))</f>
        <v/>
      </c>
      <c r="O1040" s="0" t="str">
        <f aca="false">IF('THÁNG 12'!$C147="","",N('THÁNG 12'!$R147))</f>
        <v/>
      </c>
      <c r="P1040" s="0" t="str">
        <f aca="false">IF(OR('THÁNG 12'!$C147="",'THÁNG 12'!$T147=""),"",'THÁNG 12'!$T147)</f>
        <v/>
      </c>
      <c r="Q1040" s="0" t="str">
        <f aca="false">IF(OR('THÁNG 12'!$C147="",'THÁNG 12'!$U147=""),"",'THÁNG 12'!$U147)</f>
        <v/>
      </c>
      <c r="R1040" s="0" t="str">
        <f aca="false">IF('THÁNG 12'!$C147="","",'THÁNG 12'!$W147&amp;"")</f>
        <v/>
      </c>
      <c r="S1040" s="0" t="str">
        <f aca="false">IF('THÁNG 12'!$C147="","",'THÁNG 12'!$S147&amp;"")</f>
        <v/>
      </c>
      <c r="T1040" s="0" t="str">
        <f aca="false">IF(N($O1040)&gt;0,COUNTIF($O$3:$O1040,"&gt;0"),"")</f>
        <v/>
      </c>
      <c r="U1040" s="0" t="str">
        <f aca="false">IF(AND(N($J1040)&gt;0,N($K1040)&gt;0),COUNTIFS($J$3:$J1040,"&gt;0",$K$3:$K1040,"&gt;0"),"")</f>
        <v/>
      </c>
      <c r="V1040" s="0" t="str">
        <f aca="false">IF(AND(N($J1040)&gt;0,N($K1040)=0),COUNTIFS($J$3:$J1040,"&gt;0",$K$3:$K1040,"&lt;=0"),"")</f>
        <v/>
      </c>
      <c r="W1040" s="0" t="str">
        <f aca="false">IF($C1040="","",IF(COUNTIF($C$3:$C1040,$C1040)&gt;1,"",MAX($W$2:W1039)+1))</f>
        <v/>
      </c>
      <c r="X1040" s="0" t="str">
        <f aca="false">IF($H1040="","",IF(COUNTIF($H$3:$H1040,$H1040)&gt;1,"",MAX($X$2:X1039)+1))</f>
        <v/>
      </c>
      <c r="Y1040" s="0" t="str">
        <f aca="false">IF(AND(N($M1040)&gt;0,N($O1040)&lt;=0),COUNTIFS($M$3:$M1040,"&gt;0",$O$3:$O1040,"&lt;=0"),"")</f>
        <v/>
      </c>
      <c r="Z1040" s="30" t="n">
        <f aca="false">IF(OR('THÁNG 12'!$C147="",'THÁNG 12'!$B147=""),0,'THÁNG 12'!$B147)</f>
        <v>0</v>
      </c>
    </row>
    <row r="1041" customFormat="false" ht="15" hidden="false" customHeight="false" outlineLevel="0" collapsed="false">
      <c r="A1041" s="0" t="n">
        <v>12</v>
      </c>
      <c r="B1041" s="29" t="str">
        <f aca="false">IF(OR('THÁNG 12'!$C148="",'THÁNG 12'!$B148=""),"",'THÁNG 12'!$B148)</f>
        <v/>
      </c>
      <c r="C1041" s="0" t="str">
        <f aca="false">IF('THÁNG 12'!$C148="","",'THÁNG 12'!$C148)</f>
        <v/>
      </c>
      <c r="D1041" s="0" t="str">
        <f aca="false">IF('THÁNG 12'!$C148="","",'THÁNG 12'!$D148&amp;"")</f>
        <v/>
      </c>
      <c r="E1041" s="0" t="str">
        <f aca="false">IF('THÁNG 12'!$C148="","",'THÁNG 12'!$E148&amp;"")</f>
        <v/>
      </c>
      <c r="F1041" s="0" t="str">
        <f aca="false">IF('THÁNG 12'!$C148="","",'THÁNG 12'!$F148&amp;"")</f>
        <v/>
      </c>
      <c r="G1041" s="0" t="str">
        <f aca="false">IF('THÁNG 12'!$C148="","",'THÁNG 12'!$G148&amp;"")</f>
        <v/>
      </c>
      <c r="H1041" s="0" t="str">
        <f aca="false">IF('THÁNG 12'!$C148="","",'THÁNG 12'!$H148&amp;"")</f>
        <v/>
      </c>
      <c r="I1041" s="0" t="str">
        <f aca="false">IF('THÁNG 12'!$C148="","",N('THÁNG 12'!$I148))</f>
        <v/>
      </c>
      <c r="J1041" s="0" t="str">
        <f aca="false">IF('THÁNG 12'!$C148="","",N('THÁNG 12'!$L148))</f>
        <v/>
      </c>
      <c r="K1041" s="0" t="str">
        <f aca="false">IF('THÁNG 12'!$C148="","",N('THÁNG 12'!$N148))</f>
        <v/>
      </c>
      <c r="L1041" s="0" t="str">
        <f aca="false">IF('THÁNG 12'!$C148="","",N('THÁNG 12'!$O148))</f>
        <v/>
      </c>
      <c r="M1041" s="0" t="str">
        <f aca="false">IF('THÁNG 12'!$C148="","",N('THÁNG 12'!$P148))</f>
        <v/>
      </c>
      <c r="N1041" s="0" t="str">
        <f aca="false">IF('THÁNG 12'!$C148="","",N('THÁNG 12'!$Q148))</f>
        <v/>
      </c>
      <c r="O1041" s="0" t="str">
        <f aca="false">IF('THÁNG 12'!$C148="","",N('THÁNG 12'!$R148))</f>
        <v/>
      </c>
      <c r="P1041" s="0" t="str">
        <f aca="false">IF(OR('THÁNG 12'!$C148="",'THÁNG 12'!$T148=""),"",'THÁNG 12'!$T148)</f>
        <v/>
      </c>
      <c r="Q1041" s="0" t="str">
        <f aca="false">IF(OR('THÁNG 12'!$C148="",'THÁNG 12'!$U148=""),"",'THÁNG 12'!$U148)</f>
        <v/>
      </c>
      <c r="R1041" s="0" t="str">
        <f aca="false">IF('THÁNG 12'!$C148="","",'THÁNG 12'!$W148&amp;"")</f>
        <v/>
      </c>
      <c r="S1041" s="0" t="str">
        <f aca="false">IF('THÁNG 12'!$C148="","",'THÁNG 12'!$S148&amp;"")</f>
        <v/>
      </c>
      <c r="T1041" s="0" t="str">
        <f aca="false">IF(N($O1041)&gt;0,COUNTIF($O$3:$O1041,"&gt;0"),"")</f>
        <v/>
      </c>
      <c r="U1041" s="0" t="str">
        <f aca="false">IF(AND(N($J1041)&gt;0,N($K1041)&gt;0),COUNTIFS($J$3:$J1041,"&gt;0",$K$3:$K1041,"&gt;0"),"")</f>
        <v/>
      </c>
      <c r="V1041" s="0" t="str">
        <f aca="false">IF(AND(N($J1041)&gt;0,N($K1041)=0),COUNTIFS($J$3:$J1041,"&gt;0",$K$3:$K1041,"&lt;=0"),"")</f>
        <v/>
      </c>
      <c r="W1041" s="0" t="str">
        <f aca="false">IF($C1041="","",IF(COUNTIF($C$3:$C1041,$C1041)&gt;1,"",MAX($W$2:W1040)+1))</f>
        <v/>
      </c>
      <c r="X1041" s="0" t="str">
        <f aca="false">IF($H1041="","",IF(COUNTIF($H$3:$H1041,$H1041)&gt;1,"",MAX($X$2:X1040)+1))</f>
        <v/>
      </c>
      <c r="Y1041" s="0" t="str">
        <f aca="false">IF(AND(N($M1041)&gt;0,N($O1041)&lt;=0),COUNTIFS($M$3:$M1041,"&gt;0",$O$3:$O1041,"&lt;=0"),"")</f>
        <v/>
      </c>
      <c r="Z1041" s="30" t="n">
        <f aca="false">IF(OR('THÁNG 12'!$C148="",'THÁNG 12'!$B148=""),0,'THÁNG 12'!$B148)</f>
        <v>0</v>
      </c>
    </row>
    <row r="1042" customFormat="false" ht="15" hidden="false" customHeight="false" outlineLevel="0" collapsed="false">
      <c r="A1042" s="0" t="n">
        <v>12</v>
      </c>
      <c r="B1042" s="29" t="str">
        <f aca="false">IF(OR('THÁNG 12'!$C149="",'THÁNG 12'!$B149=""),"",'THÁNG 12'!$B149)</f>
        <v/>
      </c>
      <c r="C1042" s="0" t="str">
        <f aca="false">IF('THÁNG 12'!$C149="","",'THÁNG 12'!$C149)</f>
        <v/>
      </c>
      <c r="D1042" s="0" t="str">
        <f aca="false">IF('THÁNG 12'!$C149="","",'THÁNG 12'!$D149&amp;"")</f>
        <v/>
      </c>
      <c r="E1042" s="0" t="str">
        <f aca="false">IF('THÁNG 12'!$C149="","",'THÁNG 12'!$E149&amp;"")</f>
        <v/>
      </c>
      <c r="F1042" s="0" t="str">
        <f aca="false">IF('THÁNG 12'!$C149="","",'THÁNG 12'!$F149&amp;"")</f>
        <v/>
      </c>
      <c r="G1042" s="0" t="str">
        <f aca="false">IF('THÁNG 12'!$C149="","",'THÁNG 12'!$G149&amp;"")</f>
        <v/>
      </c>
      <c r="H1042" s="0" t="str">
        <f aca="false">IF('THÁNG 12'!$C149="","",'THÁNG 12'!$H149&amp;"")</f>
        <v/>
      </c>
      <c r="I1042" s="0" t="str">
        <f aca="false">IF('THÁNG 12'!$C149="","",N('THÁNG 12'!$I149))</f>
        <v/>
      </c>
      <c r="J1042" s="0" t="str">
        <f aca="false">IF('THÁNG 12'!$C149="","",N('THÁNG 12'!$L149))</f>
        <v/>
      </c>
      <c r="K1042" s="0" t="str">
        <f aca="false">IF('THÁNG 12'!$C149="","",N('THÁNG 12'!$N149))</f>
        <v/>
      </c>
      <c r="L1042" s="0" t="str">
        <f aca="false">IF('THÁNG 12'!$C149="","",N('THÁNG 12'!$O149))</f>
        <v/>
      </c>
      <c r="M1042" s="0" t="str">
        <f aca="false">IF('THÁNG 12'!$C149="","",N('THÁNG 12'!$P149))</f>
        <v/>
      </c>
      <c r="N1042" s="0" t="str">
        <f aca="false">IF('THÁNG 12'!$C149="","",N('THÁNG 12'!$Q149))</f>
        <v/>
      </c>
      <c r="O1042" s="0" t="str">
        <f aca="false">IF('THÁNG 12'!$C149="","",N('THÁNG 12'!$R149))</f>
        <v/>
      </c>
      <c r="P1042" s="0" t="str">
        <f aca="false">IF(OR('THÁNG 12'!$C149="",'THÁNG 12'!$T149=""),"",'THÁNG 12'!$T149)</f>
        <v/>
      </c>
      <c r="Q1042" s="0" t="str">
        <f aca="false">IF(OR('THÁNG 12'!$C149="",'THÁNG 12'!$U149=""),"",'THÁNG 12'!$U149)</f>
        <v/>
      </c>
      <c r="R1042" s="0" t="str">
        <f aca="false">IF('THÁNG 12'!$C149="","",'THÁNG 12'!$W149&amp;"")</f>
        <v/>
      </c>
      <c r="S1042" s="0" t="str">
        <f aca="false">IF('THÁNG 12'!$C149="","",'THÁNG 12'!$S149&amp;"")</f>
        <v/>
      </c>
      <c r="T1042" s="0" t="str">
        <f aca="false">IF(N($O1042)&gt;0,COUNTIF($O$3:$O1042,"&gt;0"),"")</f>
        <v/>
      </c>
      <c r="U1042" s="0" t="str">
        <f aca="false">IF(AND(N($J1042)&gt;0,N($K1042)&gt;0),COUNTIFS($J$3:$J1042,"&gt;0",$K$3:$K1042,"&gt;0"),"")</f>
        <v/>
      </c>
      <c r="V1042" s="0" t="str">
        <f aca="false">IF(AND(N($J1042)&gt;0,N($K1042)=0),COUNTIFS($J$3:$J1042,"&gt;0",$K$3:$K1042,"&lt;=0"),"")</f>
        <v/>
      </c>
      <c r="W1042" s="0" t="str">
        <f aca="false">IF($C1042="","",IF(COUNTIF($C$3:$C1042,$C1042)&gt;1,"",MAX($W$2:W1041)+1))</f>
        <v/>
      </c>
      <c r="X1042" s="0" t="str">
        <f aca="false">IF($H1042="","",IF(COUNTIF($H$3:$H1042,$H1042)&gt;1,"",MAX($X$2:X1041)+1))</f>
        <v/>
      </c>
      <c r="Y1042" s="0" t="str">
        <f aca="false">IF(AND(N($M1042)&gt;0,N($O1042)&lt;=0),COUNTIFS($M$3:$M1042,"&gt;0",$O$3:$O1042,"&lt;=0"),"")</f>
        <v/>
      </c>
      <c r="Z1042" s="30" t="n">
        <f aca="false">IF(OR('THÁNG 12'!$C149="",'THÁNG 12'!$B149=""),0,'THÁNG 12'!$B149)</f>
        <v>0</v>
      </c>
    </row>
    <row r="1043" customFormat="false" ht="15" hidden="false" customHeight="false" outlineLevel="0" collapsed="false">
      <c r="A1043" s="0" t="n">
        <v>12</v>
      </c>
      <c r="B1043" s="29" t="str">
        <f aca="false">IF(OR('THÁNG 12'!$C150="",'THÁNG 12'!$B150=""),"",'THÁNG 12'!$B150)</f>
        <v/>
      </c>
      <c r="C1043" s="0" t="str">
        <f aca="false">IF('THÁNG 12'!$C150="","",'THÁNG 12'!$C150)</f>
        <v/>
      </c>
      <c r="D1043" s="0" t="str">
        <f aca="false">IF('THÁNG 12'!$C150="","",'THÁNG 12'!$D150&amp;"")</f>
        <v/>
      </c>
      <c r="E1043" s="0" t="str">
        <f aca="false">IF('THÁNG 12'!$C150="","",'THÁNG 12'!$E150&amp;"")</f>
        <v/>
      </c>
      <c r="F1043" s="0" t="str">
        <f aca="false">IF('THÁNG 12'!$C150="","",'THÁNG 12'!$F150&amp;"")</f>
        <v/>
      </c>
      <c r="G1043" s="0" t="str">
        <f aca="false">IF('THÁNG 12'!$C150="","",'THÁNG 12'!$G150&amp;"")</f>
        <v/>
      </c>
      <c r="H1043" s="0" t="str">
        <f aca="false">IF('THÁNG 12'!$C150="","",'THÁNG 12'!$H150&amp;"")</f>
        <v/>
      </c>
      <c r="I1043" s="0" t="str">
        <f aca="false">IF('THÁNG 12'!$C150="","",N('THÁNG 12'!$I150))</f>
        <v/>
      </c>
      <c r="J1043" s="0" t="str">
        <f aca="false">IF('THÁNG 12'!$C150="","",N('THÁNG 12'!$L150))</f>
        <v/>
      </c>
      <c r="K1043" s="0" t="str">
        <f aca="false">IF('THÁNG 12'!$C150="","",N('THÁNG 12'!$N150))</f>
        <v/>
      </c>
      <c r="L1043" s="0" t="str">
        <f aca="false">IF('THÁNG 12'!$C150="","",N('THÁNG 12'!$O150))</f>
        <v/>
      </c>
      <c r="M1043" s="0" t="str">
        <f aca="false">IF('THÁNG 12'!$C150="","",N('THÁNG 12'!$P150))</f>
        <v/>
      </c>
      <c r="N1043" s="0" t="str">
        <f aca="false">IF('THÁNG 12'!$C150="","",N('THÁNG 12'!$Q150))</f>
        <v/>
      </c>
      <c r="O1043" s="0" t="str">
        <f aca="false">IF('THÁNG 12'!$C150="","",N('THÁNG 12'!$R150))</f>
        <v/>
      </c>
      <c r="P1043" s="0" t="str">
        <f aca="false">IF(OR('THÁNG 12'!$C150="",'THÁNG 12'!$T150=""),"",'THÁNG 12'!$T150)</f>
        <v/>
      </c>
      <c r="Q1043" s="0" t="str">
        <f aca="false">IF(OR('THÁNG 12'!$C150="",'THÁNG 12'!$U150=""),"",'THÁNG 12'!$U150)</f>
        <v/>
      </c>
      <c r="R1043" s="0" t="str">
        <f aca="false">IF('THÁNG 12'!$C150="","",'THÁNG 12'!$W150&amp;"")</f>
        <v/>
      </c>
      <c r="S1043" s="0" t="str">
        <f aca="false">IF('THÁNG 12'!$C150="","",'THÁNG 12'!$S150&amp;"")</f>
        <v/>
      </c>
      <c r="T1043" s="0" t="str">
        <f aca="false">IF(N($O1043)&gt;0,COUNTIF($O$3:$O1043,"&gt;0"),"")</f>
        <v/>
      </c>
      <c r="U1043" s="0" t="str">
        <f aca="false">IF(AND(N($J1043)&gt;0,N($K1043)&gt;0),COUNTIFS($J$3:$J1043,"&gt;0",$K$3:$K1043,"&gt;0"),"")</f>
        <v/>
      </c>
      <c r="V1043" s="0" t="str">
        <f aca="false">IF(AND(N($J1043)&gt;0,N($K1043)=0),COUNTIFS($J$3:$J1043,"&gt;0",$K$3:$K1043,"&lt;=0"),"")</f>
        <v/>
      </c>
      <c r="W1043" s="0" t="str">
        <f aca="false">IF($C1043="","",IF(COUNTIF($C$3:$C1043,$C1043)&gt;1,"",MAX($W$2:W1042)+1))</f>
        <v/>
      </c>
      <c r="X1043" s="0" t="str">
        <f aca="false">IF($H1043="","",IF(COUNTIF($H$3:$H1043,$H1043)&gt;1,"",MAX($X$2:X1042)+1))</f>
        <v/>
      </c>
      <c r="Y1043" s="0" t="str">
        <f aca="false">IF(AND(N($M1043)&gt;0,N($O1043)&lt;=0),COUNTIFS($M$3:$M1043,"&gt;0",$O$3:$O1043,"&lt;=0"),"")</f>
        <v/>
      </c>
      <c r="Z1043" s="30" t="n">
        <f aca="false">IF(OR('THÁNG 12'!$C150="",'THÁNG 12'!$B150=""),0,'THÁNG 12'!$B150)</f>
        <v>0</v>
      </c>
    </row>
    <row r="1044" customFormat="false" ht="15" hidden="false" customHeight="false" outlineLevel="0" collapsed="false">
      <c r="A1044" s="0" t="n">
        <v>12</v>
      </c>
      <c r="B1044" s="29" t="str">
        <f aca="false">IF(OR('THÁNG 12'!$C151="",'THÁNG 12'!$B151=""),"",'THÁNG 12'!$B151)</f>
        <v/>
      </c>
      <c r="C1044" s="0" t="str">
        <f aca="false">IF('THÁNG 12'!$C151="","",'THÁNG 12'!$C151)</f>
        <v/>
      </c>
      <c r="D1044" s="0" t="str">
        <f aca="false">IF('THÁNG 12'!$C151="","",'THÁNG 12'!$D151&amp;"")</f>
        <v/>
      </c>
      <c r="E1044" s="0" t="str">
        <f aca="false">IF('THÁNG 12'!$C151="","",'THÁNG 12'!$E151&amp;"")</f>
        <v/>
      </c>
      <c r="F1044" s="0" t="str">
        <f aca="false">IF('THÁNG 12'!$C151="","",'THÁNG 12'!$F151&amp;"")</f>
        <v/>
      </c>
      <c r="G1044" s="0" t="str">
        <f aca="false">IF('THÁNG 12'!$C151="","",'THÁNG 12'!$G151&amp;"")</f>
        <v/>
      </c>
      <c r="H1044" s="0" t="str">
        <f aca="false">IF('THÁNG 12'!$C151="","",'THÁNG 12'!$H151&amp;"")</f>
        <v/>
      </c>
      <c r="I1044" s="0" t="str">
        <f aca="false">IF('THÁNG 12'!$C151="","",N('THÁNG 12'!$I151))</f>
        <v/>
      </c>
      <c r="J1044" s="0" t="str">
        <f aca="false">IF('THÁNG 12'!$C151="","",N('THÁNG 12'!$L151))</f>
        <v/>
      </c>
      <c r="K1044" s="0" t="str">
        <f aca="false">IF('THÁNG 12'!$C151="","",N('THÁNG 12'!$N151))</f>
        <v/>
      </c>
      <c r="L1044" s="0" t="str">
        <f aca="false">IF('THÁNG 12'!$C151="","",N('THÁNG 12'!$O151))</f>
        <v/>
      </c>
      <c r="M1044" s="0" t="str">
        <f aca="false">IF('THÁNG 12'!$C151="","",N('THÁNG 12'!$P151))</f>
        <v/>
      </c>
      <c r="N1044" s="0" t="str">
        <f aca="false">IF('THÁNG 12'!$C151="","",N('THÁNG 12'!$Q151))</f>
        <v/>
      </c>
      <c r="O1044" s="0" t="str">
        <f aca="false">IF('THÁNG 12'!$C151="","",N('THÁNG 12'!$R151))</f>
        <v/>
      </c>
      <c r="P1044" s="0" t="str">
        <f aca="false">IF(OR('THÁNG 12'!$C151="",'THÁNG 12'!$T151=""),"",'THÁNG 12'!$T151)</f>
        <v/>
      </c>
      <c r="Q1044" s="0" t="str">
        <f aca="false">IF(OR('THÁNG 12'!$C151="",'THÁNG 12'!$U151=""),"",'THÁNG 12'!$U151)</f>
        <v/>
      </c>
      <c r="R1044" s="0" t="str">
        <f aca="false">IF('THÁNG 12'!$C151="","",'THÁNG 12'!$W151&amp;"")</f>
        <v/>
      </c>
      <c r="S1044" s="0" t="str">
        <f aca="false">IF('THÁNG 12'!$C151="","",'THÁNG 12'!$S151&amp;"")</f>
        <v/>
      </c>
      <c r="T1044" s="0" t="str">
        <f aca="false">IF(N($O1044)&gt;0,COUNTIF($O$3:$O1044,"&gt;0"),"")</f>
        <v/>
      </c>
      <c r="U1044" s="0" t="str">
        <f aca="false">IF(AND(N($J1044)&gt;0,N($K1044)&gt;0),COUNTIFS($J$3:$J1044,"&gt;0",$K$3:$K1044,"&gt;0"),"")</f>
        <v/>
      </c>
      <c r="V1044" s="0" t="str">
        <f aca="false">IF(AND(N($J1044)&gt;0,N($K1044)=0),COUNTIFS($J$3:$J1044,"&gt;0",$K$3:$K1044,"&lt;=0"),"")</f>
        <v/>
      </c>
      <c r="W1044" s="0" t="str">
        <f aca="false">IF($C1044="","",IF(COUNTIF($C$3:$C1044,$C1044)&gt;1,"",MAX($W$2:W1043)+1))</f>
        <v/>
      </c>
      <c r="X1044" s="0" t="str">
        <f aca="false">IF($H1044="","",IF(COUNTIF($H$3:$H1044,$H1044)&gt;1,"",MAX($X$2:X1043)+1))</f>
        <v/>
      </c>
      <c r="Y1044" s="0" t="str">
        <f aca="false">IF(AND(N($M1044)&gt;0,N($O1044)&lt;=0),COUNTIFS($M$3:$M1044,"&gt;0",$O$3:$O1044,"&lt;=0"),"")</f>
        <v/>
      </c>
      <c r="Z1044" s="30" t="n">
        <f aca="false">IF(OR('THÁNG 12'!$C151="",'THÁNG 12'!$B151=""),0,'THÁNG 12'!$B151)</f>
        <v>0</v>
      </c>
    </row>
    <row r="1045" customFormat="false" ht="15" hidden="false" customHeight="false" outlineLevel="0" collapsed="false">
      <c r="A1045" s="0" t="n">
        <v>12</v>
      </c>
      <c r="B1045" s="29" t="str">
        <f aca="false">IF(OR('THÁNG 12'!$C152="",'THÁNG 12'!$B152=""),"",'THÁNG 12'!$B152)</f>
        <v/>
      </c>
      <c r="C1045" s="0" t="str">
        <f aca="false">IF('THÁNG 12'!$C152="","",'THÁNG 12'!$C152)</f>
        <v/>
      </c>
      <c r="D1045" s="0" t="str">
        <f aca="false">IF('THÁNG 12'!$C152="","",'THÁNG 12'!$D152&amp;"")</f>
        <v/>
      </c>
      <c r="E1045" s="0" t="str">
        <f aca="false">IF('THÁNG 12'!$C152="","",'THÁNG 12'!$E152&amp;"")</f>
        <v/>
      </c>
      <c r="F1045" s="0" t="str">
        <f aca="false">IF('THÁNG 12'!$C152="","",'THÁNG 12'!$F152&amp;"")</f>
        <v/>
      </c>
      <c r="G1045" s="0" t="str">
        <f aca="false">IF('THÁNG 12'!$C152="","",'THÁNG 12'!$G152&amp;"")</f>
        <v/>
      </c>
      <c r="H1045" s="0" t="str">
        <f aca="false">IF('THÁNG 12'!$C152="","",'THÁNG 12'!$H152&amp;"")</f>
        <v/>
      </c>
      <c r="I1045" s="0" t="str">
        <f aca="false">IF('THÁNG 12'!$C152="","",N('THÁNG 12'!$I152))</f>
        <v/>
      </c>
      <c r="J1045" s="0" t="str">
        <f aca="false">IF('THÁNG 12'!$C152="","",N('THÁNG 12'!$L152))</f>
        <v/>
      </c>
      <c r="K1045" s="0" t="str">
        <f aca="false">IF('THÁNG 12'!$C152="","",N('THÁNG 12'!$N152))</f>
        <v/>
      </c>
      <c r="L1045" s="0" t="str">
        <f aca="false">IF('THÁNG 12'!$C152="","",N('THÁNG 12'!$O152))</f>
        <v/>
      </c>
      <c r="M1045" s="0" t="str">
        <f aca="false">IF('THÁNG 12'!$C152="","",N('THÁNG 12'!$P152))</f>
        <v/>
      </c>
      <c r="N1045" s="0" t="str">
        <f aca="false">IF('THÁNG 12'!$C152="","",N('THÁNG 12'!$Q152))</f>
        <v/>
      </c>
      <c r="O1045" s="0" t="str">
        <f aca="false">IF('THÁNG 12'!$C152="","",N('THÁNG 12'!$R152))</f>
        <v/>
      </c>
      <c r="P1045" s="0" t="str">
        <f aca="false">IF(OR('THÁNG 12'!$C152="",'THÁNG 12'!$T152=""),"",'THÁNG 12'!$T152)</f>
        <v/>
      </c>
      <c r="Q1045" s="0" t="str">
        <f aca="false">IF(OR('THÁNG 12'!$C152="",'THÁNG 12'!$U152=""),"",'THÁNG 12'!$U152)</f>
        <v/>
      </c>
      <c r="R1045" s="0" t="str">
        <f aca="false">IF('THÁNG 12'!$C152="","",'THÁNG 12'!$W152&amp;"")</f>
        <v/>
      </c>
      <c r="S1045" s="0" t="str">
        <f aca="false">IF('THÁNG 12'!$C152="","",'THÁNG 12'!$S152&amp;"")</f>
        <v/>
      </c>
      <c r="T1045" s="0" t="str">
        <f aca="false">IF(N($O1045)&gt;0,COUNTIF($O$3:$O1045,"&gt;0"),"")</f>
        <v/>
      </c>
      <c r="U1045" s="0" t="str">
        <f aca="false">IF(AND(N($J1045)&gt;0,N($K1045)&gt;0),COUNTIFS($J$3:$J1045,"&gt;0",$K$3:$K1045,"&gt;0"),"")</f>
        <v/>
      </c>
      <c r="V1045" s="0" t="str">
        <f aca="false">IF(AND(N($J1045)&gt;0,N($K1045)=0),COUNTIFS($J$3:$J1045,"&gt;0",$K$3:$K1045,"&lt;=0"),"")</f>
        <v/>
      </c>
      <c r="W1045" s="0" t="str">
        <f aca="false">IF($C1045="","",IF(COUNTIF($C$3:$C1045,$C1045)&gt;1,"",MAX($W$2:W1044)+1))</f>
        <v/>
      </c>
      <c r="X1045" s="0" t="str">
        <f aca="false">IF($H1045="","",IF(COUNTIF($H$3:$H1045,$H1045)&gt;1,"",MAX($X$2:X1044)+1))</f>
        <v/>
      </c>
      <c r="Y1045" s="0" t="str">
        <f aca="false">IF(AND(N($M1045)&gt;0,N($O1045)&lt;=0),COUNTIFS($M$3:$M1045,"&gt;0",$O$3:$O1045,"&lt;=0"),"")</f>
        <v/>
      </c>
      <c r="Z1045" s="30" t="n">
        <f aca="false">IF(OR('THÁNG 12'!$C152="",'THÁNG 12'!$B152=""),0,'THÁNG 12'!$B152)</f>
        <v>0</v>
      </c>
    </row>
    <row r="1046" customFormat="false" ht="15" hidden="false" customHeight="false" outlineLevel="0" collapsed="false">
      <c r="A1046" s="0" t="n">
        <v>12</v>
      </c>
      <c r="B1046" s="29" t="str">
        <f aca="false">IF(OR('THÁNG 12'!$C153="",'THÁNG 12'!$B153=""),"",'THÁNG 12'!$B153)</f>
        <v/>
      </c>
      <c r="C1046" s="0" t="str">
        <f aca="false">IF('THÁNG 12'!$C153="","",'THÁNG 12'!$C153)</f>
        <v/>
      </c>
      <c r="D1046" s="0" t="str">
        <f aca="false">IF('THÁNG 12'!$C153="","",'THÁNG 12'!$D153&amp;"")</f>
        <v/>
      </c>
      <c r="E1046" s="0" t="str">
        <f aca="false">IF('THÁNG 12'!$C153="","",'THÁNG 12'!$E153&amp;"")</f>
        <v/>
      </c>
      <c r="F1046" s="0" t="str">
        <f aca="false">IF('THÁNG 12'!$C153="","",'THÁNG 12'!$F153&amp;"")</f>
        <v/>
      </c>
      <c r="G1046" s="0" t="str">
        <f aca="false">IF('THÁNG 12'!$C153="","",'THÁNG 12'!$G153&amp;"")</f>
        <v/>
      </c>
      <c r="H1046" s="0" t="str">
        <f aca="false">IF('THÁNG 12'!$C153="","",'THÁNG 12'!$H153&amp;"")</f>
        <v/>
      </c>
      <c r="I1046" s="0" t="str">
        <f aca="false">IF('THÁNG 12'!$C153="","",N('THÁNG 12'!$I153))</f>
        <v/>
      </c>
      <c r="J1046" s="0" t="str">
        <f aca="false">IF('THÁNG 12'!$C153="","",N('THÁNG 12'!$L153))</f>
        <v/>
      </c>
      <c r="K1046" s="0" t="str">
        <f aca="false">IF('THÁNG 12'!$C153="","",N('THÁNG 12'!$N153))</f>
        <v/>
      </c>
      <c r="L1046" s="0" t="str">
        <f aca="false">IF('THÁNG 12'!$C153="","",N('THÁNG 12'!$O153))</f>
        <v/>
      </c>
      <c r="M1046" s="0" t="str">
        <f aca="false">IF('THÁNG 12'!$C153="","",N('THÁNG 12'!$P153))</f>
        <v/>
      </c>
      <c r="N1046" s="0" t="str">
        <f aca="false">IF('THÁNG 12'!$C153="","",N('THÁNG 12'!$Q153))</f>
        <v/>
      </c>
      <c r="O1046" s="0" t="str">
        <f aca="false">IF('THÁNG 12'!$C153="","",N('THÁNG 12'!$R153))</f>
        <v/>
      </c>
      <c r="P1046" s="0" t="str">
        <f aca="false">IF(OR('THÁNG 12'!$C153="",'THÁNG 12'!$T153=""),"",'THÁNG 12'!$T153)</f>
        <v/>
      </c>
      <c r="Q1046" s="0" t="str">
        <f aca="false">IF(OR('THÁNG 12'!$C153="",'THÁNG 12'!$U153=""),"",'THÁNG 12'!$U153)</f>
        <v/>
      </c>
      <c r="R1046" s="0" t="str">
        <f aca="false">IF('THÁNG 12'!$C153="","",'THÁNG 12'!$W153&amp;"")</f>
        <v/>
      </c>
      <c r="S1046" s="0" t="str">
        <f aca="false">IF('THÁNG 12'!$C153="","",'THÁNG 12'!$S153&amp;"")</f>
        <v/>
      </c>
      <c r="T1046" s="0" t="str">
        <f aca="false">IF(N($O1046)&gt;0,COUNTIF($O$3:$O1046,"&gt;0"),"")</f>
        <v/>
      </c>
      <c r="U1046" s="0" t="str">
        <f aca="false">IF(AND(N($J1046)&gt;0,N($K1046)&gt;0),COUNTIFS($J$3:$J1046,"&gt;0",$K$3:$K1046,"&gt;0"),"")</f>
        <v/>
      </c>
      <c r="V1046" s="0" t="str">
        <f aca="false">IF(AND(N($J1046)&gt;0,N($K1046)=0),COUNTIFS($J$3:$J1046,"&gt;0",$K$3:$K1046,"&lt;=0"),"")</f>
        <v/>
      </c>
      <c r="W1046" s="0" t="str">
        <f aca="false">IF($C1046="","",IF(COUNTIF($C$3:$C1046,$C1046)&gt;1,"",MAX($W$2:W1045)+1))</f>
        <v/>
      </c>
      <c r="X1046" s="0" t="str">
        <f aca="false">IF($H1046="","",IF(COUNTIF($H$3:$H1046,$H1046)&gt;1,"",MAX($X$2:X1045)+1))</f>
        <v/>
      </c>
      <c r="Y1046" s="0" t="str">
        <f aca="false">IF(AND(N($M1046)&gt;0,N($O1046)&lt;=0),COUNTIFS($M$3:$M1046,"&gt;0",$O$3:$O1046,"&lt;=0"),"")</f>
        <v/>
      </c>
      <c r="Z1046" s="30" t="n">
        <f aca="false">IF(OR('THÁNG 12'!$C153="",'THÁNG 12'!$B153=""),0,'THÁNG 12'!$B153)</f>
        <v>0</v>
      </c>
    </row>
    <row r="1047" customFormat="false" ht="15" hidden="false" customHeight="false" outlineLevel="0" collapsed="false">
      <c r="A1047" s="0" t="n">
        <v>12</v>
      </c>
      <c r="B1047" s="29" t="str">
        <f aca="false">IF(OR('THÁNG 12'!$C154="",'THÁNG 12'!$B154=""),"",'THÁNG 12'!$B154)</f>
        <v/>
      </c>
      <c r="C1047" s="0" t="str">
        <f aca="false">IF('THÁNG 12'!$C154="","",'THÁNG 12'!$C154)</f>
        <v/>
      </c>
      <c r="D1047" s="0" t="str">
        <f aca="false">IF('THÁNG 12'!$C154="","",'THÁNG 12'!$D154&amp;"")</f>
        <v/>
      </c>
      <c r="E1047" s="0" t="str">
        <f aca="false">IF('THÁNG 12'!$C154="","",'THÁNG 12'!$E154&amp;"")</f>
        <v/>
      </c>
      <c r="F1047" s="0" t="str">
        <f aca="false">IF('THÁNG 12'!$C154="","",'THÁNG 12'!$F154&amp;"")</f>
        <v/>
      </c>
      <c r="G1047" s="0" t="str">
        <f aca="false">IF('THÁNG 12'!$C154="","",'THÁNG 12'!$G154&amp;"")</f>
        <v/>
      </c>
      <c r="H1047" s="0" t="str">
        <f aca="false">IF('THÁNG 12'!$C154="","",'THÁNG 12'!$H154&amp;"")</f>
        <v/>
      </c>
      <c r="I1047" s="0" t="str">
        <f aca="false">IF('THÁNG 12'!$C154="","",N('THÁNG 12'!$I154))</f>
        <v/>
      </c>
      <c r="J1047" s="0" t="str">
        <f aca="false">IF('THÁNG 12'!$C154="","",N('THÁNG 12'!$L154))</f>
        <v/>
      </c>
      <c r="K1047" s="0" t="str">
        <f aca="false">IF('THÁNG 12'!$C154="","",N('THÁNG 12'!$N154))</f>
        <v/>
      </c>
      <c r="L1047" s="0" t="str">
        <f aca="false">IF('THÁNG 12'!$C154="","",N('THÁNG 12'!$O154))</f>
        <v/>
      </c>
      <c r="M1047" s="0" t="str">
        <f aca="false">IF('THÁNG 12'!$C154="","",N('THÁNG 12'!$P154))</f>
        <v/>
      </c>
      <c r="N1047" s="0" t="str">
        <f aca="false">IF('THÁNG 12'!$C154="","",N('THÁNG 12'!$Q154))</f>
        <v/>
      </c>
      <c r="O1047" s="0" t="str">
        <f aca="false">IF('THÁNG 12'!$C154="","",N('THÁNG 12'!$R154))</f>
        <v/>
      </c>
      <c r="P1047" s="0" t="str">
        <f aca="false">IF(OR('THÁNG 12'!$C154="",'THÁNG 12'!$T154=""),"",'THÁNG 12'!$T154)</f>
        <v/>
      </c>
      <c r="Q1047" s="0" t="str">
        <f aca="false">IF(OR('THÁNG 12'!$C154="",'THÁNG 12'!$U154=""),"",'THÁNG 12'!$U154)</f>
        <v/>
      </c>
      <c r="R1047" s="0" t="str">
        <f aca="false">IF('THÁNG 12'!$C154="","",'THÁNG 12'!$W154&amp;"")</f>
        <v/>
      </c>
      <c r="S1047" s="0" t="str">
        <f aca="false">IF('THÁNG 12'!$C154="","",'THÁNG 12'!$S154&amp;"")</f>
        <v/>
      </c>
      <c r="T1047" s="0" t="str">
        <f aca="false">IF(N($O1047)&gt;0,COUNTIF($O$3:$O1047,"&gt;0"),"")</f>
        <v/>
      </c>
      <c r="U1047" s="0" t="str">
        <f aca="false">IF(AND(N($J1047)&gt;0,N($K1047)&gt;0),COUNTIFS($J$3:$J1047,"&gt;0",$K$3:$K1047,"&gt;0"),"")</f>
        <v/>
      </c>
      <c r="V1047" s="0" t="str">
        <f aca="false">IF(AND(N($J1047)&gt;0,N($K1047)=0),COUNTIFS($J$3:$J1047,"&gt;0",$K$3:$K1047,"&lt;=0"),"")</f>
        <v/>
      </c>
      <c r="W1047" s="0" t="str">
        <f aca="false">IF($C1047="","",IF(COUNTIF($C$3:$C1047,$C1047)&gt;1,"",MAX($W$2:W1046)+1))</f>
        <v/>
      </c>
      <c r="X1047" s="0" t="str">
        <f aca="false">IF($H1047="","",IF(COUNTIF($H$3:$H1047,$H1047)&gt;1,"",MAX($X$2:X1046)+1))</f>
        <v/>
      </c>
      <c r="Y1047" s="0" t="str">
        <f aca="false">IF(AND(N($M1047)&gt;0,N($O1047)&lt;=0),COUNTIFS($M$3:$M1047,"&gt;0",$O$3:$O1047,"&lt;=0"),"")</f>
        <v/>
      </c>
      <c r="Z1047" s="30" t="n">
        <f aca="false">IF(OR('THÁNG 12'!$C154="",'THÁNG 12'!$B154=""),0,'THÁNG 12'!$B154)</f>
        <v>0</v>
      </c>
    </row>
    <row r="1048" customFormat="false" ht="15" hidden="false" customHeight="false" outlineLevel="0" collapsed="false">
      <c r="A1048" s="0" t="n">
        <v>12</v>
      </c>
      <c r="B1048" s="29" t="str">
        <f aca="false">IF(OR('THÁNG 12'!$C155="",'THÁNG 12'!$B155=""),"",'THÁNG 12'!$B155)</f>
        <v/>
      </c>
      <c r="C1048" s="0" t="str">
        <f aca="false">IF('THÁNG 12'!$C155="","",'THÁNG 12'!$C155)</f>
        <v/>
      </c>
      <c r="D1048" s="0" t="str">
        <f aca="false">IF('THÁNG 12'!$C155="","",'THÁNG 12'!$D155&amp;"")</f>
        <v/>
      </c>
      <c r="E1048" s="0" t="str">
        <f aca="false">IF('THÁNG 12'!$C155="","",'THÁNG 12'!$E155&amp;"")</f>
        <v/>
      </c>
      <c r="F1048" s="0" t="str">
        <f aca="false">IF('THÁNG 12'!$C155="","",'THÁNG 12'!$F155&amp;"")</f>
        <v/>
      </c>
      <c r="G1048" s="0" t="str">
        <f aca="false">IF('THÁNG 12'!$C155="","",'THÁNG 12'!$G155&amp;"")</f>
        <v/>
      </c>
      <c r="H1048" s="0" t="str">
        <f aca="false">IF('THÁNG 12'!$C155="","",'THÁNG 12'!$H155&amp;"")</f>
        <v/>
      </c>
      <c r="I1048" s="0" t="str">
        <f aca="false">IF('THÁNG 12'!$C155="","",N('THÁNG 12'!$I155))</f>
        <v/>
      </c>
      <c r="J1048" s="0" t="str">
        <f aca="false">IF('THÁNG 12'!$C155="","",N('THÁNG 12'!$L155))</f>
        <v/>
      </c>
      <c r="K1048" s="0" t="str">
        <f aca="false">IF('THÁNG 12'!$C155="","",N('THÁNG 12'!$N155))</f>
        <v/>
      </c>
      <c r="L1048" s="0" t="str">
        <f aca="false">IF('THÁNG 12'!$C155="","",N('THÁNG 12'!$O155))</f>
        <v/>
      </c>
      <c r="M1048" s="0" t="str">
        <f aca="false">IF('THÁNG 12'!$C155="","",N('THÁNG 12'!$P155))</f>
        <v/>
      </c>
      <c r="N1048" s="0" t="str">
        <f aca="false">IF('THÁNG 12'!$C155="","",N('THÁNG 12'!$Q155))</f>
        <v/>
      </c>
      <c r="O1048" s="0" t="str">
        <f aca="false">IF('THÁNG 12'!$C155="","",N('THÁNG 12'!$R155))</f>
        <v/>
      </c>
      <c r="P1048" s="0" t="str">
        <f aca="false">IF(OR('THÁNG 12'!$C155="",'THÁNG 12'!$T155=""),"",'THÁNG 12'!$T155)</f>
        <v/>
      </c>
      <c r="Q1048" s="0" t="str">
        <f aca="false">IF(OR('THÁNG 12'!$C155="",'THÁNG 12'!$U155=""),"",'THÁNG 12'!$U155)</f>
        <v/>
      </c>
      <c r="R1048" s="0" t="str">
        <f aca="false">IF('THÁNG 12'!$C155="","",'THÁNG 12'!$W155&amp;"")</f>
        <v/>
      </c>
      <c r="S1048" s="0" t="str">
        <f aca="false">IF('THÁNG 12'!$C155="","",'THÁNG 12'!$S155&amp;"")</f>
        <v/>
      </c>
      <c r="T1048" s="0" t="str">
        <f aca="false">IF(N($O1048)&gt;0,COUNTIF($O$3:$O1048,"&gt;0"),"")</f>
        <v/>
      </c>
      <c r="U1048" s="0" t="str">
        <f aca="false">IF(AND(N($J1048)&gt;0,N($K1048)&gt;0),COUNTIFS($J$3:$J1048,"&gt;0",$K$3:$K1048,"&gt;0"),"")</f>
        <v/>
      </c>
      <c r="V1048" s="0" t="str">
        <f aca="false">IF(AND(N($J1048)&gt;0,N($K1048)=0),COUNTIFS($J$3:$J1048,"&gt;0",$K$3:$K1048,"&lt;=0"),"")</f>
        <v/>
      </c>
      <c r="W1048" s="0" t="str">
        <f aca="false">IF($C1048="","",IF(COUNTIF($C$3:$C1048,$C1048)&gt;1,"",MAX($W$2:W1047)+1))</f>
        <v/>
      </c>
      <c r="X1048" s="0" t="str">
        <f aca="false">IF($H1048="","",IF(COUNTIF($H$3:$H1048,$H1048)&gt;1,"",MAX($X$2:X1047)+1))</f>
        <v/>
      </c>
      <c r="Y1048" s="0" t="str">
        <f aca="false">IF(AND(N($M1048)&gt;0,N($O1048)&lt;=0),COUNTIFS($M$3:$M1048,"&gt;0",$O$3:$O1048,"&lt;=0"),"")</f>
        <v/>
      </c>
      <c r="Z1048" s="30" t="n">
        <f aca="false">IF(OR('THÁNG 12'!$C155="",'THÁNG 12'!$B155=""),0,'THÁNG 12'!$B155)</f>
        <v>0</v>
      </c>
    </row>
    <row r="1049" customFormat="false" ht="15" hidden="false" customHeight="false" outlineLevel="0" collapsed="false">
      <c r="A1049" s="0" t="n">
        <v>12</v>
      </c>
      <c r="B1049" s="29" t="str">
        <f aca="false">IF(OR('THÁNG 12'!$C156="",'THÁNG 12'!$B156=""),"",'THÁNG 12'!$B156)</f>
        <v/>
      </c>
      <c r="C1049" s="0" t="str">
        <f aca="false">IF('THÁNG 12'!$C156="","",'THÁNG 12'!$C156)</f>
        <v/>
      </c>
      <c r="D1049" s="0" t="str">
        <f aca="false">IF('THÁNG 12'!$C156="","",'THÁNG 12'!$D156&amp;"")</f>
        <v/>
      </c>
      <c r="E1049" s="0" t="str">
        <f aca="false">IF('THÁNG 12'!$C156="","",'THÁNG 12'!$E156&amp;"")</f>
        <v/>
      </c>
      <c r="F1049" s="0" t="str">
        <f aca="false">IF('THÁNG 12'!$C156="","",'THÁNG 12'!$F156&amp;"")</f>
        <v/>
      </c>
      <c r="G1049" s="0" t="str">
        <f aca="false">IF('THÁNG 12'!$C156="","",'THÁNG 12'!$G156&amp;"")</f>
        <v/>
      </c>
      <c r="H1049" s="0" t="str">
        <f aca="false">IF('THÁNG 12'!$C156="","",'THÁNG 12'!$H156&amp;"")</f>
        <v/>
      </c>
      <c r="I1049" s="0" t="str">
        <f aca="false">IF('THÁNG 12'!$C156="","",N('THÁNG 12'!$I156))</f>
        <v/>
      </c>
      <c r="J1049" s="0" t="str">
        <f aca="false">IF('THÁNG 12'!$C156="","",N('THÁNG 12'!$L156))</f>
        <v/>
      </c>
      <c r="K1049" s="0" t="str">
        <f aca="false">IF('THÁNG 12'!$C156="","",N('THÁNG 12'!$N156))</f>
        <v/>
      </c>
      <c r="L1049" s="0" t="str">
        <f aca="false">IF('THÁNG 12'!$C156="","",N('THÁNG 12'!$O156))</f>
        <v/>
      </c>
      <c r="M1049" s="0" t="str">
        <f aca="false">IF('THÁNG 12'!$C156="","",N('THÁNG 12'!$P156))</f>
        <v/>
      </c>
      <c r="N1049" s="0" t="str">
        <f aca="false">IF('THÁNG 12'!$C156="","",N('THÁNG 12'!$Q156))</f>
        <v/>
      </c>
      <c r="O1049" s="0" t="str">
        <f aca="false">IF('THÁNG 12'!$C156="","",N('THÁNG 12'!$R156))</f>
        <v/>
      </c>
      <c r="P1049" s="0" t="str">
        <f aca="false">IF(OR('THÁNG 12'!$C156="",'THÁNG 12'!$T156=""),"",'THÁNG 12'!$T156)</f>
        <v/>
      </c>
      <c r="Q1049" s="0" t="str">
        <f aca="false">IF(OR('THÁNG 12'!$C156="",'THÁNG 12'!$U156=""),"",'THÁNG 12'!$U156)</f>
        <v/>
      </c>
      <c r="R1049" s="0" t="str">
        <f aca="false">IF('THÁNG 12'!$C156="","",'THÁNG 12'!$W156&amp;"")</f>
        <v/>
      </c>
      <c r="S1049" s="0" t="str">
        <f aca="false">IF('THÁNG 12'!$C156="","",'THÁNG 12'!$S156&amp;"")</f>
        <v/>
      </c>
      <c r="T1049" s="0" t="str">
        <f aca="false">IF(N($O1049)&gt;0,COUNTIF($O$3:$O1049,"&gt;0"),"")</f>
        <v/>
      </c>
      <c r="U1049" s="0" t="str">
        <f aca="false">IF(AND(N($J1049)&gt;0,N($K1049)&gt;0),COUNTIFS($J$3:$J1049,"&gt;0",$K$3:$K1049,"&gt;0"),"")</f>
        <v/>
      </c>
      <c r="V1049" s="0" t="str">
        <f aca="false">IF(AND(N($J1049)&gt;0,N($K1049)=0),COUNTIFS($J$3:$J1049,"&gt;0",$K$3:$K1049,"&lt;=0"),"")</f>
        <v/>
      </c>
      <c r="W1049" s="0" t="str">
        <f aca="false">IF($C1049="","",IF(COUNTIF($C$3:$C1049,$C1049)&gt;1,"",MAX($W$2:W1048)+1))</f>
        <v/>
      </c>
      <c r="X1049" s="0" t="str">
        <f aca="false">IF($H1049="","",IF(COUNTIF($H$3:$H1049,$H1049)&gt;1,"",MAX($X$2:X1048)+1))</f>
        <v/>
      </c>
      <c r="Y1049" s="0" t="str">
        <f aca="false">IF(AND(N($M1049)&gt;0,N($O1049)&lt;=0),COUNTIFS($M$3:$M1049,"&gt;0",$O$3:$O1049,"&lt;=0"),"")</f>
        <v/>
      </c>
      <c r="Z1049" s="30" t="n">
        <f aca="false">IF(OR('THÁNG 12'!$C156="",'THÁNG 12'!$B156=""),0,'THÁNG 12'!$B156)</f>
        <v>0</v>
      </c>
    </row>
    <row r="1050" customFormat="false" ht="15" hidden="false" customHeight="false" outlineLevel="0" collapsed="false">
      <c r="A1050" s="0" t="n">
        <v>12</v>
      </c>
      <c r="B1050" s="29" t="str">
        <f aca="false">IF(OR('THÁNG 12'!$C157="",'THÁNG 12'!$B157=""),"",'THÁNG 12'!$B157)</f>
        <v/>
      </c>
      <c r="C1050" s="0" t="str">
        <f aca="false">IF('THÁNG 12'!$C157="","",'THÁNG 12'!$C157)</f>
        <v/>
      </c>
      <c r="D1050" s="0" t="str">
        <f aca="false">IF('THÁNG 12'!$C157="","",'THÁNG 12'!$D157&amp;"")</f>
        <v/>
      </c>
      <c r="E1050" s="0" t="str">
        <f aca="false">IF('THÁNG 12'!$C157="","",'THÁNG 12'!$E157&amp;"")</f>
        <v/>
      </c>
      <c r="F1050" s="0" t="str">
        <f aca="false">IF('THÁNG 12'!$C157="","",'THÁNG 12'!$F157&amp;"")</f>
        <v/>
      </c>
      <c r="G1050" s="0" t="str">
        <f aca="false">IF('THÁNG 12'!$C157="","",'THÁNG 12'!$G157&amp;"")</f>
        <v/>
      </c>
      <c r="H1050" s="0" t="str">
        <f aca="false">IF('THÁNG 12'!$C157="","",'THÁNG 12'!$H157&amp;"")</f>
        <v/>
      </c>
      <c r="I1050" s="0" t="str">
        <f aca="false">IF('THÁNG 12'!$C157="","",N('THÁNG 12'!$I157))</f>
        <v/>
      </c>
      <c r="J1050" s="0" t="str">
        <f aca="false">IF('THÁNG 12'!$C157="","",N('THÁNG 12'!$L157))</f>
        <v/>
      </c>
      <c r="K1050" s="0" t="str">
        <f aca="false">IF('THÁNG 12'!$C157="","",N('THÁNG 12'!$N157))</f>
        <v/>
      </c>
      <c r="L1050" s="0" t="str">
        <f aca="false">IF('THÁNG 12'!$C157="","",N('THÁNG 12'!$O157))</f>
        <v/>
      </c>
      <c r="M1050" s="0" t="str">
        <f aca="false">IF('THÁNG 12'!$C157="","",N('THÁNG 12'!$P157))</f>
        <v/>
      </c>
      <c r="N1050" s="0" t="str">
        <f aca="false">IF('THÁNG 12'!$C157="","",N('THÁNG 12'!$Q157))</f>
        <v/>
      </c>
      <c r="O1050" s="0" t="str">
        <f aca="false">IF('THÁNG 12'!$C157="","",N('THÁNG 12'!$R157))</f>
        <v/>
      </c>
      <c r="P1050" s="0" t="str">
        <f aca="false">IF(OR('THÁNG 12'!$C157="",'THÁNG 12'!$T157=""),"",'THÁNG 12'!$T157)</f>
        <v/>
      </c>
      <c r="Q1050" s="0" t="str">
        <f aca="false">IF(OR('THÁNG 12'!$C157="",'THÁNG 12'!$U157=""),"",'THÁNG 12'!$U157)</f>
        <v/>
      </c>
      <c r="R1050" s="0" t="str">
        <f aca="false">IF('THÁNG 12'!$C157="","",'THÁNG 12'!$W157&amp;"")</f>
        <v/>
      </c>
      <c r="S1050" s="0" t="str">
        <f aca="false">IF('THÁNG 12'!$C157="","",'THÁNG 12'!$S157&amp;"")</f>
        <v/>
      </c>
      <c r="T1050" s="0" t="str">
        <f aca="false">IF(N($O1050)&gt;0,COUNTIF($O$3:$O1050,"&gt;0"),"")</f>
        <v/>
      </c>
      <c r="U1050" s="0" t="str">
        <f aca="false">IF(AND(N($J1050)&gt;0,N($K1050)&gt;0),COUNTIFS($J$3:$J1050,"&gt;0",$K$3:$K1050,"&gt;0"),"")</f>
        <v/>
      </c>
      <c r="V1050" s="0" t="str">
        <f aca="false">IF(AND(N($J1050)&gt;0,N($K1050)=0),COUNTIFS($J$3:$J1050,"&gt;0",$K$3:$K1050,"&lt;=0"),"")</f>
        <v/>
      </c>
      <c r="W1050" s="0" t="str">
        <f aca="false">IF($C1050="","",IF(COUNTIF($C$3:$C1050,$C1050)&gt;1,"",MAX($W$2:W1049)+1))</f>
        <v/>
      </c>
      <c r="X1050" s="0" t="str">
        <f aca="false">IF($H1050="","",IF(COUNTIF($H$3:$H1050,$H1050)&gt;1,"",MAX($X$2:X1049)+1))</f>
        <v/>
      </c>
      <c r="Y1050" s="0" t="str">
        <f aca="false">IF(AND(N($M1050)&gt;0,N($O1050)&lt;=0),COUNTIFS($M$3:$M1050,"&gt;0",$O$3:$O1050,"&lt;=0"),"")</f>
        <v/>
      </c>
      <c r="Z1050" s="30" t="n">
        <f aca="false">IF(OR('THÁNG 12'!$C157="",'THÁNG 12'!$B157=""),0,'THÁNG 12'!$B157)</f>
        <v>0</v>
      </c>
    </row>
    <row r="1051" customFormat="false" ht="15" hidden="false" customHeight="false" outlineLevel="0" collapsed="false">
      <c r="A1051" s="0" t="n">
        <v>12</v>
      </c>
      <c r="B1051" s="29" t="str">
        <f aca="false">IF(OR('THÁNG 12'!$C158="",'THÁNG 12'!$B158=""),"",'THÁNG 12'!$B158)</f>
        <v/>
      </c>
      <c r="C1051" s="0" t="str">
        <f aca="false">IF('THÁNG 12'!$C158="","",'THÁNG 12'!$C158)</f>
        <v/>
      </c>
      <c r="D1051" s="0" t="str">
        <f aca="false">IF('THÁNG 12'!$C158="","",'THÁNG 12'!$D158&amp;"")</f>
        <v/>
      </c>
      <c r="E1051" s="0" t="str">
        <f aca="false">IF('THÁNG 12'!$C158="","",'THÁNG 12'!$E158&amp;"")</f>
        <v/>
      </c>
      <c r="F1051" s="0" t="str">
        <f aca="false">IF('THÁNG 12'!$C158="","",'THÁNG 12'!$F158&amp;"")</f>
        <v/>
      </c>
      <c r="G1051" s="0" t="str">
        <f aca="false">IF('THÁNG 12'!$C158="","",'THÁNG 12'!$G158&amp;"")</f>
        <v/>
      </c>
      <c r="H1051" s="0" t="str">
        <f aca="false">IF('THÁNG 12'!$C158="","",'THÁNG 12'!$H158&amp;"")</f>
        <v/>
      </c>
      <c r="I1051" s="0" t="str">
        <f aca="false">IF('THÁNG 12'!$C158="","",N('THÁNG 12'!$I158))</f>
        <v/>
      </c>
      <c r="J1051" s="0" t="str">
        <f aca="false">IF('THÁNG 12'!$C158="","",N('THÁNG 12'!$L158))</f>
        <v/>
      </c>
      <c r="K1051" s="0" t="str">
        <f aca="false">IF('THÁNG 12'!$C158="","",N('THÁNG 12'!$N158))</f>
        <v/>
      </c>
      <c r="L1051" s="0" t="str">
        <f aca="false">IF('THÁNG 12'!$C158="","",N('THÁNG 12'!$O158))</f>
        <v/>
      </c>
      <c r="M1051" s="0" t="str">
        <f aca="false">IF('THÁNG 12'!$C158="","",N('THÁNG 12'!$P158))</f>
        <v/>
      </c>
      <c r="N1051" s="0" t="str">
        <f aca="false">IF('THÁNG 12'!$C158="","",N('THÁNG 12'!$Q158))</f>
        <v/>
      </c>
      <c r="O1051" s="0" t="str">
        <f aca="false">IF('THÁNG 12'!$C158="","",N('THÁNG 12'!$R158))</f>
        <v/>
      </c>
      <c r="P1051" s="0" t="str">
        <f aca="false">IF(OR('THÁNG 12'!$C158="",'THÁNG 12'!$T158=""),"",'THÁNG 12'!$T158)</f>
        <v/>
      </c>
      <c r="Q1051" s="0" t="str">
        <f aca="false">IF(OR('THÁNG 12'!$C158="",'THÁNG 12'!$U158=""),"",'THÁNG 12'!$U158)</f>
        <v/>
      </c>
      <c r="R1051" s="0" t="str">
        <f aca="false">IF('THÁNG 12'!$C158="","",'THÁNG 12'!$W158&amp;"")</f>
        <v/>
      </c>
      <c r="S1051" s="0" t="str">
        <f aca="false">IF('THÁNG 12'!$C158="","",'THÁNG 12'!$S158&amp;"")</f>
        <v/>
      </c>
      <c r="T1051" s="0" t="str">
        <f aca="false">IF(N($O1051)&gt;0,COUNTIF($O$3:$O1051,"&gt;0"),"")</f>
        <v/>
      </c>
      <c r="U1051" s="0" t="str">
        <f aca="false">IF(AND(N($J1051)&gt;0,N($K1051)&gt;0),COUNTIFS($J$3:$J1051,"&gt;0",$K$3:$K1051,"&gt;0"),"")</f>
        <v/>
      </c>
      <c r="V1051" s="0" t="str">
        <f aca="false">IF(AND(N($J1051)&gt;0,N($K1051)=0),COUNTIFS($J$3:$J1051,"&gt;0",$K$3:$K1051,"&lt;=0"),"")</f>
        <v/>
      </c>
      <c r="W1051" s="0" t="str">
        <f aca="false">IF($C1051="","",IF(COUNTIF($C$3:$C1051,$C1051)&gt;1,"",MAX($W$2:W1050)+1))</f>
        <v/>
      </c>
      <c r="X1051" s="0" t="str">
        <f aca="false">IF($H1051="","",IF(COUNTIF($H$3:$H1051,$H1051)&gt;1,"",MAX($X$2:X1050)+1))</f>
        <v/>
      </c>
      <c r="Y1051" s="0" t="str">
        <f aca="false">IF(AND(N($M1051)&gt;0,N($O1051)&lt;=0),COUNTIFS($M$3:$M1051,"&gt;0",$O$3:$O1051,"&lt;=0"),"")</f>
        <v/>
      </c>
      <c r="Z1051" s="30" t="n">
        <f aca="false">IF(OR('THÁNG 12'!$C158="",'THÁNG 12'!$B158=""),0,'THÁNG 12'!$B158)</f>
        <v>0</v>
      </c>
    </row>
    <row r="1052" customFormat="false" ht="15" hidden="false" customHeight="false" outlineLevel="0" collapsed="false">
      <c r="A1052" s="0" t="n">
        <v>12</v>
      </c>
      <c r="B1052" s="29" t="str">
        <f aca="false">IF(OR('THÁNG 12'!$C159="",'THÁNG 12'!$B159=""),"",'THÁNG 12'!$B159)</f>
        <v/>
      </c>
      <c r="C1052" s="0" t="str">
        <f aca="false">IF('THÁNG 12'!$C159="","",'THÁNG 12'!$C159)</f>
        <v/>
      </c>
      <c r="D1052" s="0" t="str">
        <f aca="false">IF('THÁNG 12'!$C159="","",'THÁNG 12'!$D159&amp;"")</f>
        <v/>
      </c>
      <c r="E1052" s="0" t="str">
        <f aca="false">IF('THÁNG 12'!$C159="","",'THÁNG 12'!$E159&amp;"")</f>
        <v/>
      </c>
      <c r="F1052" s="0" t="str">
        <f aca="false">IF('THÁNG 12'!$C159="","",'THÁNG 12'!$F159&amp;"")</f>
        <v/>
      </c>
      <c r="G1052" s="0" t="str">
        <f aca="false">IF('THÁNG 12'!$C159="","",'THÁNG 12'!$G159&amp;"")</f>
        <v/>
      </c>
      <c r="H1052" s="0" t="str">
        <f aca="false">IF('THÁNG 12'!$C159="","",'THÁNG 12'!$H159&amp;"")</f>
        <v/>
      </c>
      <c r="I1052" s="0" t="str">
        <f aca="false">IF('THÁNG 12'!$C159="","",N('THÁNG 12'!$I159))</f>
        <v/>
      </c>
      <c r="J1052" s="0" t="str">
        <f aca="false">IF('THÁNG 12'!$C159="","",N('THÁNG 12'!$L159))</f>
        <v/>
      </c>
      <c r="K1052" s="0" t="str">
        <f aca="false">IF('THÁNG 12'!$C159="","",N('THÁNG 12'!$N159))</f>
        <v/>
      </c>
      <c r="L1052" s="0" t="str">
        <f aca="false">IF('THÁNG 12'!$C159="","",N('THÁNG 12'!$O159))</f>
        <v/>
      </c>
      <c r="M1052" s="0" t="str">
        <f aca="false">IF('THÁNG 12'!$C159="","",N('THÁNG 12'!$P159))</f>
        <v/>
      </c>
      <c r="N1052" s="0" t="str">
        <f aca="false">IF('THÁNG 12'!$C159="","",N('THÁNG 12'!$Q159))</f>
        <v/>
      </c>
      <c r="O1052" s="0" t="str">
        <f aca="false">IF('THÁNG 12'!$C159="","",N('THÁNG 12'!$R159))</f>
        <v/>
      </c>
      <c r="P1052" s="0" t="str">
        <f aca="false">IF(OR('THÁNG 12'!$C159="",'THÁNG 12'!$T159=""),"",'THÁNG 12'!$T159)</f>
        <v/>
      </c>
      <c r="Q1052" s="0" t="str">
        <f aca="false">IF(OR('THÁNG 12'!$C159="",'THÁNG 12'!$U159=""),"",'THÁNG 12'!$U159)</f>
        <v/>
      </c>
      <c r="R1052" s="0" t="str">
        <f aca="false">IF('THÁNG 12'!$C159="","",'THÁNG 12'!$W159&amp;"")</f>
        <v/>
      </c>
      <c r="S1052" s="0" t="str">
        <f aca="false">IF('THÁNG 12'!$C159="","",'THÁNG 12'!$S159&amp;"")</f>
        <v/>
      </c>
      <c r="T1052" s="0" t="str">
        <f aca="false">IF(N($O1052)&gt;0,COUNTIF($O$3:$O1052,"&gt;0"),"")</f>
        <v/>
      </c>
      <c r="U1052" s="0" t="str">
        <f aca="false">IF(AND(N($J1052)&gt;0,N($K1052)&gt;0),COUNTIFS($J$3:$J1052,"&gt;0",$K$3:$K1052,"&gt;0"),"")</f>
        <v/>
      </c>
      <c r="V1052" s="0" t="str">
        <f aca="false">IF(AND(N($J1052)&gt;0,N($K1052)=0),COUNTIFS($J$3:$J1052,"&gt;0",$K$3:$K1052,"&lt;=0"),"")</f>
        <v/>
      </c>
      <c r="W1052" s="0" t="str">
        <f aca="false">IF($C1052="","",IF(COUNTIF($C$3:$C1052,$C1052)&gt;1,"",MAX($W$2:W1051)+1))</f>
        <v/>
      </c>
      <c r="X1052" s="0" t="str">
        <f aca="false">IF($H1052="","",IF(COUNTIF($H$3:$H1052,$H1052)&gt;1,"",MAX($X$2:X1051)+1))</f>
        <v/>
      </c>
      <c r="Y1052" s="0" t="str">
        <f aca="false">IF(AND(N($M1052)&gt;0,N($O1052)&lt;=0),COUNTIFS($M$3:$M1052,"&gt;0",$O$3:$O1052,"&lt;=0"),"")</f>
        <v/>
      </c>
      <c r="Z1052" s="30" t="n">
        <f aca="false">IF(OR('THÁNG 12'!$C159="",'THÁNG 12'!$B159=""),0,'THÁNG 12'!$B159)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10"/>
    <col collapsed="false" customWidth="true" hidden="false" outlineLevel="0" max="4" min="4" style="0" width="19"/>
    <col collapsed="false" customWidth="true" hidden="false" outlineLevel="0" max="5" min="5" style="0" width="14"/>
    <col collapsed="false" customWidth="true" hidden="false" outlineLevel="0" max="7" min="6" style="0" width="17"/>
    <col collapsed="false" customWidth="true" hidden="false" outlineLevel="0" max="9" min="8" style="0" width="18"/>
    <col collapsed="false" customWidth="true" hidden="false" outlineLevel="0" max="11" min="10" style="0" width="16"/>
    <col collapsed="false" customWidth="true" hidden="false" outlineLevel="0" max="12" min="12" style="0" width="17"/>
    <col collapsed="false" customWidth="true" hidden="false" outlineLevel="0" max="13" min="13" style="0" width="10"/>
  </cols>
  <sheetData>
    <row r="1" customFormat="false" ht="27.75" hidden="false" customHeight="true" outlineLevel="0" collapsed="false">
      <c r="A1" s="1" t="s">
        <v>434</v>
      </c>
      <c r="B1" s="1"/>
      <c r="C1" s="1"/>
      <c r="D1" s="1"/>
      <c r="E1" s="1"/>
      <c r="F1" s="1"/>
      <c r="G1" s="1"/>
      <c r="H1" s="1"/>
      <c r="I1" s="1"/>
      <c r="J1" s="1"/>
      <c r="K1" s="1"/>
      <c r="L1" s="1"/>
    </row>
    <row r="2" customFormat="false" ht="18.75" hidden="false" customHeight="true" outlineLevel="0" collapsed="false">
      <c r="A2" s="2" t="s">
        <v>435</v>
      </c>
      <c r="B2" s="2"/>
      <c r="C2" s="2"/>
      <c r="D2" s="2"/>
      <c r="E2" s="2"/>
      <c r="F2" s="2"/>
      <c r="G2" s="2"/>
      <c r="H2" s="2"/>
      <c r="I2" s="2"/>
      <c r="J2" s="2"/>
      <c r="K2" s="2"/>
      <c r="L2" s="2"/>
    </row>
    <row r="3" customFormat="false" ht="21.75" hidden="false" customHeight="true" outlineLevel="0" collapsed="false">
      <c r="A3" s="20" t="str">
        <f aca="false">IF(SUMPRODUCT(('DỮ LIỆU'!$H$3:$H$1052&lt;&gt;"")*('DỮ LIỆU'!$P$3:$P$1052=""))=0,"✔ Mọi đơn đã có GIÁ GỐC – lãi lỗ tính đủ.","⚠ CÓ "&amp;SUMPRODUCT(('DỮ LIỆU'!$H$3:$H$1052&lt;&gt;"")*('DỮ LIỆU'!$P$3:$P$1052=""))&amp;" ĐƠN CHƯA KHAI GIÁ GỐC → GIÁ VỐN và LÃI/LỖ dưới đây CHƯA ĐỦ (đang tính như thể giá vốn = 0). Vào sheet BẢNG GIÁ GỐC điền cột GIÁ GỐC/SP.")</f>
        <v>⚠ CÓ 58 ĐƠN CHƯA KHAI GIÁ GỐC → GIÁ VỐN và LÃI/LỖ dưới đây CHƯA ĐỦ (đang tính như thể giá vốn = 0). Vào sheet BẢNG GIÁ GỐC điền cột GIÁ GỐC/SP.</v>
      </c>
      <c r="B3" s="20"/>
      <c r="C3" s="20"/>
      <c r="D3" s="20"/>
      <c r="E3" s="20"/>
      <c r="F3" s="20"/>
      <c r="G3" s="20"/>
      <c r="H3" s="20"/>
      <c r="I3" s="20"/>
      <c r="J3" s="20"/>
      <c r="K3" s="20"/>
      <c r="L3" s="20"/>
      <c r="M3" s="20"/>
    </row>
    <row r="4" customFormat="false" ht="33.75" hidden="false" customHeight="true" outlineLevel="0" collapsed="false">
      <c r="A4" s="10" t="s">
        <v>421</v>
      </c>
      <c r="B4" s="10" t="s">
        <v>436</v>
      </c>
      <c r="C4" s="10" t="s">
        <v>437</v>
      </c>
      <c r="D4" s="10" t="s">
        <v>438</v>
      </c>
      <c r="E4" s="10" t="s">
        <v>123</v>
      </c>
      <c r="F4" s="10" t="s">
        <v>150</v>
      </c>
      <c r="G4" s="10" t="s">
        <v>151</v>
      </c>
      <c r="H4" s="10" t="s">
        <v>439</v>
      </c>
      <c r="I4" s="10" t="s">
        <v>440</v>
      </c>
      <c r="J4" s="10" t="s">
        <v>441</v>
      </c>
      <c r="K4" s="10" t="s">
        <v>442</v>
      </c>
      <c r="L4" s="10" t="s">
        <v>443</v>
      </c>
      <c r="M4" s="10" t="s">
        <v>156</v>
      </c>
    </row>
    <row r="5" customFormat="false" ht="15" hidden="false" customHeight="false" outlineLevel="0" collapsed="false">
      <c r="A5" s="21" t="s">
        <v>444</v>
      </c>
      <c r="B5" s="13" t="n">
        <f aca="false">'THÁNG 6'!$D$3</f>
        <v>3</v>
      </c>
      <c r="C5" s="13" t="n">
        <f aca="false">'THÁNG 6'!$D$4</f>
        <v>3</v>
      </c>
      <c r="D5" s="13" t="n">
        <f aca="false">'THÁNG 6'!$I$3</f>
        <v>21500000</v>
      </c>
      <c r="E5" s="13" t="n">
        <f aca="false">'THÁNG 6'!$I$4</f>
        <v>0</v>
      </c>
      <c r="F5" s="13" t="n">
        <f aca="false">'THÁNG 6'!$I$5</f>
        <v>21500000</v>
      </c>
      <c r="G5" s="13" t="n">
        <f aca="false">'THÁNG 6'!$I$6</f>
        <v>15500000</v>
      </c>
      <c r="H5" s="13" t="n">
        <f aca="false">'THÁNG 6'!$I$7</f>
        <v>6000000</v>
      </c>
      <c r="I5" s="13" t="n">
        <f aca="false">'THÁNG 6'!$P$3</f>
        <v>0</v>
      </c>
      <c r="J5" s="13" t="n">
        <f aca="false">'THÁNG 6'!$P$4</f>
        <v>0</v>
      </c>
      <c r="K5" s="13" t="n">
        <f aca="false">'THÁNG 6'!$P$5</f>
        <v>0</v>
      </c>
      <c r="L5" s="13" t="n">
        <f aca="false">'THÁNG 6'!$P$6</f>
        <v>21500000</v>
      </c>
      <c r="M5" s="14" t="n">
        <f aca="false">IF($D5=0,"",$L5/$D5)</f>
        <v>1</v>
      </c>
    </row>
    <row r="6" customFormat="false" ht="15" hidden="false" customHeight="false" outlineLevel="0" collapsed="false">
      <c r="A6" s="21" t="s">
        <v>445</v>
      </c>
      <c r="B6" s="13" t="n">
        <f aca="false">'THÁNG 7'!$D$3</f>
        <v>53</v>
      </c>
      <c r="C6" s="13" t="n">
        <f aca="false">'THÁNG 7'!$D$4</f>
        <v>52</v>
      </c>
      <c r="D6" s="13" t="n">
        <f aca="false">'THÁNG 7'!$I$3</f>
        <v>182995000</v>
      </c>
      <c r="E6" s="13" t="n">
        <f aca="false">'THÁNG 7'!$I$4</f>
        <v>4333200</v>
      </c>
      <c r="F6" s="13" t="n">
        <f aca="false">'THÁNG 7'!$I$5</f>
        <v>187328200</v>
      </c>
      <c r="G6" s="13" t="n">
        <f aca="false">'THÁNG 7'!$I$6</f>
        <v>167102200</v>
      </c>
      <c r="H6" s="13" t="n">
        <f aca="false">'THÁNG 7'!$I$7</f>
        <v>20226000</v>
      </c>
      <c r="I6" s="13" t="n">
        <f aca="false">'THÁNG 7'!$P$3</f>
        <v>1000000</v>
      </c>
      <c r="J6" s="13" t="n">
        <f aca="false">'THÁNG 7'!$P$4</f>
        <v>0</v>
      </c>
      <c r="K6" s="13" t="n">
        <f aca="false">'THÁNG 7'!$P$5</f>
        <v>1000000</v>
      </c>
      <c r="L6" s="13" t="n">
        <f aca="false">'THÁNG 7'!$P$6</f>
        <v>181995000</v>
      </c>
      <c r="M6" s="14" t="n">
        <f aca="false">IF($D6=0,"",$L6/$D6)</f>
        <v>0.994535369818848</v>
      </c>
    </row>
    <row r="7" customFormat="false" ht="15" hidden="false" customHeight="false" outlineLevel="0" collapsed="false">
      <c r="A7" s="21" t="s">
        <v>446</v>
      </c>
      <c r="B7" s="13" t="n">
        <f aca="false">'THÁNG 8'!$D$3</f>
        <v>3</v>
      </c>
      <c r="C7" s="13" t="n">
        <f aca="false">'THÁNG 8'!$D$4</f>
        <v>3</v>
      </c>
      <c r="D7" s="13" t="n">
        <f aca="false">'THÁNG 8'!$I$3</f>
        <v>4805000</v>
      </c>
      <c r="E7" s="13" t="n">
        <f aca="false">'THÁNG 8'!$I$4</f>
        <v>98000</v>
      </c>
      <c r="F7" s="13" t="n">
        <f aca="false">'THÁNG 8'!$I$5</f>
        <v>4903000</v>
      </c>
      <c r="G7" s="13" t="n">
        <f aca="false">'THÁNG 8'!$I$6</f>
        <v>2212000</v>
      </c>
      <c r="H7" s="13" t="n">
        <f aca="false">'THÁNG 8'!$I$7</f>
        <v>2691000</v>
      </c>
      <c r="I7" s="13" t="n">
        <f aca="false">'THÁNG 8'!$P$3</f>
        <v>1280000</v>
      </c>
      <c r="J7" s="13" t="n">
        <f aca="false">'THÁNG 8'!$P$4</f>
        <v>0</v>
      </c>
      <c r="K7" s="13" t="n">
        <f aca="false">'THÁNG 8'!$P$5</f>
        <v>1280000</v>
      </c>
      <c r="L7" s="13" t="n">
        <f aca="false">'THÁNG 8'!$P$6</f>
        <v>3525000</v>
      </c>
      <c r="M7" s="14" t="n">
        <f aca="false">IF($D7=0,"",$L7/$D7)</f>
        <v>0.733610822060354</v>
      </c>
    </row>
    <row r="8" customFormat="false" ht="15" hidden="false" customHeight="false" outlineLevel="0" collapsed="false">
      <c r="A8" s="21" t="s">
        <v>447</v>
      </c>
      <c r="B8" s="13" t="n">
        <f aca="false">'THÁNG 9'!$D$3</f>
        <v>0</v>
      </c>
      <c r="C8" s="13" t="n">
        <f aca="false">'THÁNG 9'!$D$4</f>
        <v>0</v>
      </c>
      <c r="D8" s="13" t="n">
        <f aca="false">'THÁNG 9'!$I$3</f>
        <v>0</v>
      </c>
      <c r="E8" s="13" t="n">
        <f aca="false">'THÁNG 9'!$I$4</f>
        <v>0</v>
      </c>
      <c r="F8" s="13" t="n">
        <f aca="false">'THÁNG 9'!$I$5</f>
        <v>0</v>
      </c>
      <c r="G8" s="13" t="n">
        <f aca="false">'THÁNG 9'!$I$6</f>
        <v>0</v>
      </c>
      <c r="H8" s="13" t="n">
        <f aca="false">'THÁNG 9'!$I$7</f>
        <v>0</v>
      </c>
      <c r="I8" s="13" t="n">
        <f aca="false">'THÁNG 9'!$P$3</f>
        <v>0</v>
      </c>
      <c r="J8" s="13" t="n">
        <f aca="false">'THÁNG 9'!$P$4</f>
        <v>0</v>
      </c>
      <c r="K8" s="13" t="n">
        <f aca="false">'THÁNG 9'!$P$5</f>
        <v>0</v>
      </c>
      <c r="L8" s="13" t="n">
        <f aca="false">'THÁNG 9'!$P$6</f>
        <v>0</v>
      </c>
      <c r="M8" s="14" t="str">
        <f aca="false">IF($D8=0,"",$L8/$D8)</f>
        <v/>
      </c>
    </row>
    <row r="9" customFormat="false" ht="15" hidden="false" customHeight="false" outlineLevel="0" collapsed="false">
      <c r="A9" s="21" t="s">
        <v>448</v>
      </c>
      <c r="B9" s="13" t="n">
        <f aca="false">'THÁNG 10'!$D$3</f>
        <v>0</v>
      </c>
      <c r="C9" s="13" t="n">
        <f aca="false">'THÁNG 10'!$D$4</f>
        <v>0</v>
      </c>
      <c r="D9" s="13" t="n">
        <f aca="false">'THÁNG 10'!$I$3</f>
        <v>0</v>
      </c>
      <c r="E9" s="13" t="n">
        <f aca="false">'THÁNG 10'!$I$4</f>
        <v>0</v>
      </c>
      <c r="F9" s="13" t="n">
        <f aca="false">'THÁNG 10'!$I$5</f>
        <v>0</v>
      </c>
      <c r="G9" s="13" t="n">
        <f aca="false">'THÁNG 10'!$I$6</f>
        <v>0</v>
      </c>
      <c r="H9" s="13" t="n">
        <f aca="false">'THÁNG 10'!$I$7</f>
        <v>0</v>
      </c>
      <c r="I9" s="13" t="n">
        <f aca="false">'THÁNG 10'!$P$3</f>
        <v>0</v>
      </c>
      <c r="J9" s="13" t="n">
        <f aca="false">'THÁNG 10'!$P$4</f>
        <v>0</v>
      </c>
      <c r="K9" s="13" t="n">
        <f aca="false">'THÁNG 10'!$P$5</f>
        <v>0</v>
      </c>
      <c r="L9" s="13" t="n">
        <f aca="false">'THÁNG 10'!$P$6</f>
        <v>0</v>
      </c>
      <c r="M9" s="14" t="str">
        <f aca="false">IF($D9=0,"",$L9/$D9)</f>
        <v/>
      </c>
    </row>
    <row r="10" customFormat="false" ht="15" hidden="false" customHeight="false" outlineLevel="0" collapsed="false">
      <c r="A10" s="21" t="s">
        <v>449</v>
      </c>
      <c r="B10" s="13" t="n">
        <f aca="false">'THÁNG 11'!$D$3</f>
        <v>0</v>
      </c>
      <c r="C10" s="13" t="n">
        <f aca="false">'THÁNG 11'!$D$4</f>
        <v>0</v>
      </c>
      <c r="D10" s="13" t="n">
        <f aca="false">'THÁNG 11'!$I$3</f>
        <v>0</v>
      </c>
      <c r="E10" s="13" t="n">
        <f aca="false">'THÁNG 11'!$I$4</f>
        <v>0</v>
      </c>
      <c r="F10" s="13" t="n">
        <f aca="false">'THÁNG 11'!$I$5</f>
        <v>0</v>
      </c>
      <c r="G10" s="13" t="n">
        <f aca="false">'THÁNG 11'!$I$6</f>
        <v>0</v>
      </c>
      <c r="H10" s="13" t="n">
        <f aca="false">'THÁNG 11'!$I$7</f>
        <v>0</v>
      </c>
      <c r="I10" s="13" t="n">
        <f aca="false">'THÁNG 11'!$P$3</f>
        <v>0</v>
      </c>
      <c r="J10" s="13" t="n">
        <f aca="false">'THÁNG 11'!$P$4</f>
        <v>0</v>
      </c>
      <c r="K10" s="13" t="n">
        <f aca="false">'THÁNG 11'!$P$5</f>
        <v>0</v>
      </c>
      <c r="L10" s="13" t="n">
        <f aca="false">'THÁNG 11'!$P$6</f>
        <v>0</v>
      </c>
      <c r="M10" s="14" t="str">
        <f aca="false">IF($D10=0,"",$L10/$D10)</f>
        <v/>
      </c>
    </row>
    <row r="11" customFormat="false" ht="15" hidden="false" customHeight="false" outlineLevel="0" collapsed="false">
      <c r="A11" s="21" t="s">
        <v>450</v>
      </c>
      <c r="B11" s="13" t="n">
        <f aca="false">'THÁNG 12'!$D$3</f>
        <v>0</v>
      </c>
      <c r="C11" s="13" t="n">
        <f aca="false">'THÁNG 12'!$D$4</f>
        <v>0</v>
      </c>
      <c r="D11" s="13" t="n">
        <f aca="false">'THÁNG 12'!$I$3</f>
        <v>0</v>
      </c>
      <c r="E11" s="13" t="n">
        <f aca="false">'THÁNG 12'!$I$4</f>
        <v>0</v>
      </c>
      <c r="F11" s="13" t="n">
        <f aca="false">'THÁNG 12'!$I$5</f>
        <v>0</v>
      </c>
      <c r="G11" s="13" t="n">
        <f aca="false">'THÁNG 12'!$I$6</f>
        <v>0</v>
      </c>
      <c r="H11" s="13" t="n">
        <f aca="false">'THÁNG 12'!$I$7</f>
        <v>0</v>
      </c>
      <c r="I11" s="13" t="n">
        <f aca="false">'THÁNG 12'!$P$3</f>
        <v>0</v>
      </c>
      <c r="J11" s="13" t="n">
        <f aca="false">'THÁNG 12'!$P$4</f>
        <v>0</v>
      </c>
      <c r="K11" s="13" t="n">
        <f aca="false">'THÁNG 12'!$P$5</f>
        <v>0</v>
      </c>
      <c r="L11" s="13" t="n">
        <f aca="false">'THÁNG 12'!$P$6</f>
        <v>0</v>
      </c>
      <c r="M11" s="14" t="str">
        <f aca="false">IF($D11=0,"",$L11/$D11)</f>
        <v/>
      </c>
    </row>
    <row r="12" customFormat="false" ht="15" hidden="false" customHeight="false" outlineLevel="0" collapsed="false">
      <c r="A12" s="32" t="s">
        <v>451</v>
      </c>
      <c r="B12" s="33" t="n">
        <f aca="false">SUM(B5:B11)</f>
        <v>59</v>
      </c>
      <c r="C12" s="33" t="n">
        <f aca="false">COUNT('DỮ LIỆU'!$W$3:$W$1052)</f>
        <v>58</v>
      </c>
      <c r="D12" s="33" t="n">
        <f aca="false">SUM(D5:D11)</f>
        <v>209300000</v>
      </c>
      <c r="E12" s="33" t="n">
        <f aca="false">SUM(E5:E11)</f>
        <v>4431200</v>
      </c>
      <c r="F12" s="33" t="n">
        <f aca="false">SUM(F5:F11)</f>
        <v>213731200</v>
      </c>
      <c r="G12" s="33" t="n">
        <f aca="false">SUM(G5:G11)</f>
        <v>184814200</v>
      </c>
      <c r="H12" s="33" t="n">
        <f aca="false">SUM(H5:H11)</f>
        <v>28917000</v>
      </c>
      <c r="I12" s="33" t="n">
        <f aca="false">SUM(I5:I11)</f>
        <v>2280000</v>
      </c>
      <c r="J12" s="33" t="n">
        <f aca="false">SUM(J5:J11)</f>
        <v>0</v>
      </c>
      <c r="K12" s="33" t="n">
        <f aca="false">SUM(K5:K11)</f>
        <v>2280000</v>
      </c>
      <c r="L12" s="33" t="n">
        <f aca="false">SUM(L5:L11)</f>
        <v>207020000</v>
      </c>
      <c r="M12" s="34" t="n">
        <f aca="false">IF($D12=0,"",$L12/$D12)</f>
        <v>0.989106545628285</v>
      </c>
    </row>
    <row r="14" customFormat="false" ht="15" hidden="false" customHeight="false" outlineLevel="0" collapsed="false">
      <c r="A14" s="35" t="s">
        <v>452</v>
      </c>
    </row>
  </sheetData>
  <mergeCells count="3">
    <mergeCell ref="A1:L1"/>
    <mergeCell ref="A2:L2"/>
    <mergeCell ref="A3:M3"/>
  </mergeCells>
  <conditionalFormatting sqref="L5:L11">
    <cfRule type="cellIs" priority="2" operator="lessThan" aboveAverage="0" equalAverage="0" bottom="0" percent="0" rank="0" text="" dxfId="8">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F1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15"/>
    <col collapsed="false" customWidth="true" hidden="false" outlineLevel="0" max="3" min="3" style="0" width="18"/>
    <col collapsed="false" customWidth="true" hidden="false" outlineLevel="0" max="5" min="4" style="0" width="17"/>
    <col collapsed="false" customWidth="true" hidden="false" outlineLevel="0" max="6" min="6" style="0" width="12"/>
  </cols>
  <sheetData>
    <row r="1" customFormat="false" ht="27.75" hidden="false" customHeight="true" outlineLevel="0" collapsed="false">
      <c r="A1" s="1" t="s">
        <v>453</v>
      </c>
      <c r="B1" s="1"/>
      <c r="C1" s="1"/>
      <c r="D1" s="1"/>
      <c r="E1" s="1"/>
      <c r="F1" s="1"/>
    </row>
    <row r="2" customFormat="false" ht="18.75" hidden="false" customHeight="true" outlineLevel="0" collapsed="false">
      <c r="A2" s="2" t="s">
        <v>454</v>
      </c>
      <c r="B2" s="2"/>
      <c r="C2" s="2"/>
      <c r="D2" s="2"/>
      <c r="E2" s="2"/>
      <c r="F2" s="2"/>
    </row>
    <row r="3" customFormat="false" ht="21.75" hidden="false" customHeight="true" outlineLevel="0" collapsed="false">
      <c r="A3" s="20" t="str">
        <f aca="false">IF(SUMPRODUCT(('DỮ LIỆU'!$H$3:$H$1052&lt;&gt;"")*('DỮ LIỆU'!$P$3:$P$1052=""))=0,"✔ Mọi đơn đã có GIÁ GỐC – lãi lỗ tính đủ.","⚠ CÓ "&amp;SUMPRODUCT(('DỮ LIỆU'!$H$3:$H$1052&lt;&gt;"")*('DỮ LIỆU'!$P$3:$P$1052=""))&amp;" ĐƠN CHƯA KHAI GIÁ GỐC → GIÁ VỐN và LÃI/LỖ dưới đây CHƯA ĐỦ (đang tính như thể giá vốn = 0). Vào sheet BẢNG GIÁ GỐC điền cột GIÁ GỐC/SP.")</f>
        <v>⚠ CÓ 58 ĐƠN CHƯA KHAI GIÁ GỐC → GIÁ VỐN và LÃI/LỖ dưới đây CHƯA ĐỦ (đang tính như thể giá vốn = 0). Vào sheet BẢNG GIÁ GỐC điền cột GIÁ GỐC/SP.</v>
      </c>
      <c r="B3" s="20"/>
      <c r="C3" s="20"/>
      <c r="D3" s="20"/>
      <c r="E3" s="20"/>
      <c r="F3" s="20"/>
    </row>
    <row r="4" customFormat="false" ht="21.75" hidden="false" customHeight="true" outlineLevel="0" collapsed="false">
      <c r="A4" s="36" t="s">
        <v>455</v>
      </c>
      <c r="B4" s="36"/>
      <c r="C4" s="36"/>
      <c r="D4" s="36"/>
      <c r="E4" s="36"/>
      <c r="F4" s="36"/>
    </row>
    <row r="5" customFormat="false" ht="15" hidden="false" customHeight="false" outlineLevel="0" collapsed="false">
      <c r="A5" s="37" t="s">
        <v>456</v>
      </c>
      <c r="B5" s="38" t="n">
        <f aca="false">'BÁO CÁO NĂM'!$D$12</f>
        <v>209300000</v>
      </c>
    </row>
    <row r="6" customFormat="false" ht="15" hidden="false" customHeight="false" outlineLevel="0" collapsed="false">
      <c r="A6" s="37" t="s">
        <v>457</v>
      </c>
      <c r="B6" s="38" t="n">
        <f aca="false">'BÁO CÁO NĂM'!$I$12</f>
        <v>2280000</v>
      </c>
    </row>
    <row r="7" customFormat="false" ht="15" hidden="false" customHeight="false" outlineLevel="0" collapsed="false">
      <c r="A7" s="37" t="s">
        <v>177</v>
      </c>
      <c r="B7" s="38" t="n">
        <f aca="false">'BÁO CÁO NĂM'!$J$12</f>
        <v>0</v>
      </c>
    </row>
    <row r="8" customFormat="false" ht="15" hidden="false" customHeight="false" outlineLevel="0" collapsed="false">
      <c r="A8" s="37" t="s">
        <v>458</v>
      </c>
      <c r="B8" s="38" t="n">
        <f aca="false">'BÁO CÁO NĂM'!$K$12</f>
        <v>2280000</v>
      </c>
    </row>
    <row r="9" customFormat="false" ht="15" hidden="false" customHeight="false" outlineLevel="0" collapsed="false">
      <c r="A9" s="37" t="s">
        <v>459</v>
      </c>
      <c r="B9" s="38" t="n">
        <f aca="false">'BÁO CÁO NĂM'!$L$12</f>
        <v>207020000</v>
      </c>
    </row>
    <row r="10" customFormat="false" ht="15" hidden="false" customHeight="false" outlineLevel="0" collapsed="false">
      <c r="A10" s="37" t="s">
        <v>137</v>
      </c>
      <c r="B10" s="39" t="n">
        <f aca="false">IF($B5=0,"",$B9/$B5)</f>
        <v>0.989106545628285</v>
      </c>
    </row>
    <row r="11" customFormat="false" ht="15" hidden="false" customHeight="false" outlineLevel="0" collapsed="false">
      <c r="A11" s="37" t="s">
        <v>460</v>
      </c>
      <c r="B11" s="38" t="n">
        <f aca="false">'BÁO CÁO NĂM'!$E$12</f>
        <v>4431200</v>
      </c>
    </row>
    <row r="12" customFormat="false" ht="15" hidden="false" customHeight="false" outlineLevel="0" collapsed="false">
      <c r="A12" s="37" t="s">
        <v>461</v>
      </c>
      <c r="B12" s="38" t="n">
        <f aca="false">'BÁO CÁO NĂM'!$F$12</f>
        <v>213731200</v>
      </c>
    </row>
    <row r="13" customFormat="false" ht="15" hidden="false" customHeight="false" outlineLevel="0" collapsed="false">
      <c r="A13" s="37" t="s">
        <v>462</v>
      </c>
      <c r="B13" s="38" t="n">
        <f aca="false">'BÁO CÁO NĂM'!$G$12</f>
        <v>184814200</v>
      </c>
    </row>
    <row r="14" customFormat="false" ht="15" hidden="false" customHeight="false" outlineLevel="0" collapsed="false">
      <c r="A14" s="37" t="s">
        <v>463</v>
      </c>
      <c r="B14" s="38" t="n">
        <f aca="false">'BÁO CÁO NĂM'!$H$12</f>
        <v>28917000</v>
      </c>
    </row>
    <row r="15" customFormat="false" ht="15" hidden="false" customHeight="false" outlineLevel="0" collapsed="false">
      <c r="A15" s="37" t="s">
        <v>464</v>
      </c>
      <c r="B15" s="38" t="n">
        <f aca="false">COUNTIFS('DỮ LIỆU'!$J$3:$J$1052,"&gt;0",'DỮ LIỆU'!$Q$3:$Q$1052,"&lt;0")</f>
        <v>0</v>
      </c>
    </row>
    <row r="17" customFormat="false" ht="21.75" hidden="false" customHeight="true" outlineLevel="0" collapsed="false">
      <c r="A17" s="36" t="s">
        <v>465</v>
      </c>
      <c r="B17" s="36"/>
      <c r="C17" s="36"/>
      <c r="D17" s="36"/>
      <c r="E17" s="36"/>
      <c r="F17" s="36"/>
    </row>
    <row r="18" customFormat="false" ht="33.75" hidden="false" customHeight="true" outlineLevel="0" collapsed="false">
      <c r="A18" s="10" t="s">
        <v>421</v>
      </c>
      <c r="B18" s="10" t="s">
        <v>466</v>
      </c>
      <c r="C18" s="10" t="s">
        <v>467</v>
      </c>
      <c r="D18" s="10" t="s">
        <v>441</v>
      </c>
      <c r="E18" s="10" t="s">
        <v>443</v>
      </c>
      <c r="F18" s="10" t="s">
        <v>156</v>
      </c>
    </row>
    <row r="19" customFormat="false" ht="15" hidden="false" customHeight="false" outlineLevel="0" collapsed="false">
      <c r="A19" s="21" t="str">
        <f aca="false">'BÁO CÁO NĂM'!$A$5</f>
        <v>Tháng 6/2026</v>
      </c>
      <c r="B19" s="13" t="n">
        <f aca="false">'BÁO CÁO NĂM'!$D$5</f>
        <v>21500000</v>
      </c>
      <c r="C19" s="13" t="n">
        <f aca="false">'BÁO CÁO NĂM'!$I$5</f>
        <v>0</v>
      </c>
      <c r="D19" s="13" t="n">
        <f aca="false">'BÁO CÁO NĂM'!$J$5</f>
        <v>0</v>
      </c>
      <c r="E19" s="13" t="n">
        <f aca="false">'BÁO CÁO NĂM'!$L$5</f>
        <v>21500000</v>
      </c>
      <c r="F19" s="14" t="n">
        <f aca="false">IF($B19=0,"",$E19/$B19)</f>
        <v>1</v>
      </c>
    </row>
    <row r="20" customFormat="false" ht="15" hidden="false" customHeight="false" outlineLevel="0" collapsed="false">
      <c r="A20" s="21" t="str">
        <f aca="false">'BÁO CÁO NĂM'!$A$6</f>
        <v>Tháng 7/2026</v>
      </c>
      <c r="B20" s="13" t="n">
        <f aca="false">'BÁO CÁO NĂM'!$D$6</f>
        <v>182995000</v>
      </c>
      <c r="C20" s="13" t="n">
        <f aca="false">'BÁO CÁO NĂM'!$I$6</f>
        <v>1000000</v>
      </c>
      <c r="D20" s="13" t="n">
        <f aca="false">'BÁO CÁO NĂM'!$J$6</f>
        <v>0</v>
      </c>
      <c r="E20" s="13" t="n">
        <f aca="false">'BÁO CÁO NĂM'!$L$6</f>
        <v>181995000</v>
      </c>
      <c r="F20" s="14" t="n">
        <f aca="false">IF($B20=0,"",$E20/$B20)</f>
        <v>0.994535369818848</v>
      </c>
    </row>
    <row r="21" customFormat="false" ht="15" hidden="false" customHeight="false" outlineLevel="0" collapsed="false">
      <c r="A21" s="21" t="str">
        <f aca="false">'BÁO CÁO NĂM'!$A$7</f>
        <v>Tháng 8/2026</v>
      </c>
      <c r="B21" s="13" t="n">
        <f aca="false">'BÁO CÁO NĂM'!$D$7</f>
        <v>4805000</v>
      </c>
      <c r="C21" s="13" t="n">
        <f aca="false">'BÁO CÁO NĂM'!$I$7</f>
        <v>1280000</v>
      </c>
      <c r="D21" s="13" t="n">
        <f aca="false">'BÁO CÁO NĂM'!$J$7</f>
        <v>0</v>
      </c>
      <c r="E21" s="13" t="n">
        <f aca="false">'BÁO CÁO NĂM'!$L$7</f>
        <v>3525000</v>
      </c>
      <c r="F21" s="14" t="n">
        <f aca="false">IF($B21=0,"",$E21/$B21)</f>
        <v>0.733610822060354</v>
      </c>
    </row>
    <row r="22" customFormat="false" ht="15" hidden="false" customHeight="false" outlineLevel="0" collapsed="false">
      <c r="A22" s="21" t="str">
        <f aca="false">'BÁO CÁO NĂM'!$A$8</f>
        <v>Tháng 9/2026</v>
      </c>
      <c r="B22" s="13" t="n">
        <f aca="false">'BÁO CÁO NĂM'!$D$8</f>
        <v>0</v>
      </c>
      <c r="C22" s="13" t="n">
        <f aca="false">'BÁO CÁO NĂM'!$I$8</f>
        <v>0</v>
      </c>
      <c r="D22" s="13" t="n">
        <f aca="false">'BÁO CÁO NĂM'!$J$8</f>
        <v>0</v>
      </c>
      <c r="E22" s="13" t="n">
        <f aca="false">'BÁO CÁO NĂM'!$L$8</f>
        <v>0</v>
      </c>
      <c r="F22" s="14" t="str">
        <f aca="false">IF($B22=0,"",$E22/$B22)</f>
        <v/>
      </c>
    </row>
    <row r="23" customFormat="false" ht="15" hidden="false" customHeight="false" outlineLevel="0" collapsed="false">
      <c r="A23" s="21" t="str">
        <f aca="false">'BÁO CÁO NĂM'!$A$9</f>
        <v>Tháng 10/2026</v>
      </c>
      <c r="B23" s="13" t="n">
        <f aca="false">'BÁO CÁO NĂM'!$D$9</f>
        <v>0</v>
      </c>
      <c r="C23" s="13" t="n">
        <f aca="false">'BÁO CÁO NĂM'!$I$9</f>
        <v>0</v>
      </c>
      <c r="D23" s="13" t="n">
        <f aca="false">'BÁO CÁO NĂM'!$J$9</f>
        <v>0</v>
      </c>
      <c r="E23" s="13" t="n">
        <f aca="false">'BÁO CÁO NĂM'!$L$9</f>
        <v>0</v>
      </c>
      <c r="F23" s="14" t="str">
        <f aca="false">IF($B23=0,"",$E23/$B23)</f>
        <v/>
      </c>
    </row>
    <row r="24" customFormat="false" ht="15" hidden="false" customHeight="false" outlineLevel="0" collapsed="false">
      <c r="A24" s="21" t="str">
        <f aca="false">'BÁO CÁO NĂM'!$A$10</f>
        <v>Tháng 11/2026</v>
      </c>
      <c r="B24" s="13" t="n">
        <f aca="false">'BÁO CÁO NĂM'!$D$10</f>
        <v>0</v>
      </c>
      <c r="C24" s="13" t="n">
        <f aca="false">'BÁO CÁO NĂM'!$I$10</f>
        <v>0</v>
      </c>
      <c r="D24" s="13" t="n">
        <f aca="false">'BÁO CÁO NĂM'!$J$10</f>
        <v>0</v>
      </c>
      <c r="E24" s="13" t="n">
        <f aca="false">'BÁO CÁO NĂM'!$L$10</f>
        <v>0</v>
      </c>
      <c r="F24" s="14" t="str">
        <f aca="false">IF($B24=0,"",$E24/$B24)</f>
        <v/>
      </c>
    </row>
    <row r="25" customFormat="false" ht="15" hidden="false" customHeight="false" outlineLevel="0" collapsed="false">
      <c r="A25" s="21" t="str">
        <f aca="false">'BÁO CÁO NĂM'!$A$11</f>
        <v>Tháng 12/2026</v>
      </c>
      <c r="B25" s="13" t="n">
        <f aca="false">'BÁO CÁO NĂM'!$D$11</f>
        <v>0</v>
      </c>
      <c r="C25" s="13" t="n">
        <f aca="false">'BÁO CÁO NĂM'!$I$11</f>
        <v>0</v>
      </c>
      <c r="D25" s="13" t="n">
        <f aca="false">'BÁO CÁO NĂM'!$J$11</f>
        <v>0</v>
      </c>
      <c r="E25" s="13" t="n">
        <f aca="false">'BÁO CÁO NĂM'!$L$11</f>
        <v>0</v>
      </c>
      <c r="F25" s="14" t="str">
        <f aca="false">IF($B25=0,"",$E25/$B25)</f>
        <v/>
      </c>
    </row>
    <row r="26" customFormat="false" ht="15" hidden="false" customHeight="false" outlineLevel="0" collapsed="false">
      <c r="A26" s="32" t="s">
        <v>451</v>
      </c>
      <c r="B26" s="33" t="n">
        <f aca="false">SUM(B19:B25)</f>
        <v>209300000</v>
      </c>
      <c r="C26" s="33" t="n">
        <f aca="false">SUM(C19:C25)</f>
        <v>2280000</v>
      </c>
      <c r="D26" s="33" t="n">
        <f aca="false">SUM(D19:D25)</f>
        <v>0</v>
      </c>
      <c r="E26" s="33" t="n">
        <f aca="false">SUM(E19:E25)</f>
        <v>207020000</v>
      </c>
      <c r="F26" s="34" t="n">
        <f aca="false">IF($B26=0,"",$E26/$B26)</f>
        <v>0.989106545628285</v>
      </c>
    </row>
    <row r="28" customFormat="false" ht="21.75" hidden="false" customHeight="true" outlineLevel="0" collapsed="false">
      <c r="A28" s="36" t="s">
        <v>468</v>
      </c>
      <c r="B28" s="36"/>
      <c r="C28" s="36"/>
      <c r="D28" s="36"/>
      <c r="E28" s="36"/>
      <c r="F28" s="36"/>
    </row>
    <row r="29" customFormat="false" ht="33.75" hidden="false" customHeight="true" outlineLevel="0" collapsed="false">
      <c r="A29" s="10" t="s">
        <v>59</v>
      </c>
      <c r="B29" s="10" t="s">
        <v>469</v>
      </c>
      <c r="C29" s="10" t="s">
        <v>466</v>
      </c>
      <c r="D29" s="10" t="s">
        <v>467</v>
      </c>
      <c r="E29" s="10" t="s">
        <v>155</v>
      </c>
      <c r="F29" s="10" t="s">
        <v>156</v>
      </c>
    </row>
    <row r="30" customFormat="false" ht="15" hidden="false" customHeight="false" outlineLevel="0" collapsed="false">
      <c r="A30" s="21" t="str">
        <f aca="false">IFERROR(INDEX('DỮ LIỆU'!$H$3:$H$1052,MATCH(1,'DỮ LIỆU'!$X$3:$X$1052,0)),"")</f>
        <v>Bình giữ nhiệt in logo</v>
      </c>
      <c r="B30" s="13" t="n">
        <f aca="false">IF($A30="","",SUMIF('DỮ LIỆU'!$H$3:$H$1052,$A30,'DỮ LIỆU'!$I$3:$I$1052))</f>
        <v>100</v>
      </c>
      <c r="C30" s="13" t="n">
        <f aca="false">IF($A30="","",SUMIF('DỮ LIỆU'!$H$3:$H$1052,$A30,'DỮ LIỆU'!$J$3:$J$1052))</f>
        <v>8500000</v>
      </c>
      <c r="D30" s="13" t="n">
        <f aca="false">IF($A30="","",SUMIF('DỮ LIỆU'!$H$3:$H$1052,$A30,'DỮ LIỆU'!$P$3:$P$1052))</f>
        <v>0</v>
      </c>
      <c r="E30" s="13" t="n">
        <f aca="false">IF($A30="","",SUMIF('DỮ LIỆU'!$H$3:$H$1052,$A30,'DỮ LIỆU'!$Q$3:$Q$1052))</f>
        <v>0</v>
      </c>
      <c r="F30" s="14" t="n">
        <f aca="false">IF(OR($A30="",$C30=0),"",$E30/$C30)</f>
        <v>0</v>
      </c>
    </row>
    <row r="31" customFormat="false" ht="15" hidden="false" customHeight="false" outlineLevel="0" collapsed="false">
      <c r="A31" s="21" t="str">
        <f aca="false">IFERROR(INDEX('DỮ LIỆU'!$H$3:$H$1052,MATCH(2,'DỮ LIỆU'!$X$3:$X$1052,0)),"")</f>
        <v>Sổ tay da in logo</v>
      </c>
      <c r="B31" s="13" t="n">
        <f aca="false">IF($A31="","",SUMIF('DỮ LIỆU'!$H$3:$H$1052,$A31,'DỮ LIỆU'!$I$3:$I$1052))</f>
        <v>50</v>
      </c>
      <c r="C31" s="13" t="n">
        <f aca="false">IF($A31="","",SUMIF('DỮ LIỆU'!$H$3:$H$1052,$A31,'DỮ LIỆU'!$J$3:$J$1052))</f>
        <v>6000000</v>
      </c>
      <c r="D31" s="13" t="n">
        <f aca="false">IF($A31="","",SUMIF('DỮ LIỆU'!$H$3:$H$1052,$A31,'DỮ LIỆU'!$P$3:$P$1052))</f>
        <v>0</v>
      </c>
      <c r="E31" s="13" t="n">
        <f aca="false">IF($A31="","",SUMIF('DỮ LIỆU'!$H$3:$H$1052,$A31,'DỮ LIỆU'!$Q$3:$Q$1052))</f>
        <v>0</v>
      </c>
      <c r="F31" s="14" t="n">
        <f aca="false">IF(OR($A31="",$C31=0),"",$E31/$C31)</f>
        <v>0</v>
      </c>
    </row>
    <row r="32" customFormat="false" ht="15" hidden="false" customHeight="false" outlineLevel="0" collapsed="false">
      <c r="A32" s="21" t="str">
        <f aca="false">IFERROR(INDEX('DỮ LIỆU'!$H$3:$H$1052,MATCH(3,'DỮ LIỆU'!$X$3:$X$1052,0)),"")</f>
        <v>Bút ký khắc tên</v>
      </c>
      <c r="B32" s="13" t="n">
        <f aca="false">IF($A32="","",SUMIF('DỮ LIỆU'!$H$3:$H$1052,$A32,'DỮ LIỆU'!$I$3:$I$1052))</f>
        <v>200</v>
      </c>
      <c r="C32" s="13" t="n">
        <f aca="false">IF($A32="","",SUMIF('DỮ LIỆU'!$H$3:$H$1052,$A32,'DỮ LIỆU'!$J$3:$J$1052))</f>
        <v>7000000</v>
      </c>
      <c r="D32" s="13" t="n">
        <f aca="false">IF($A32="","",SUMIF('DỮ LIỆU'!$H$3:$H$1052,$A32,'DỮ LIỆU'!$P$3:$P$1052))</f>
        <v>0</v>
      </c>
      <c r="E32" s="13" t="n">
        <f aca="false">IF($A32="","",SUMIF('DỮ LIỆU'!$H$3:$H$1052,$A32,'DỮ LIỆU'!$Q$3:$Q$1052))</f>
        <v>0</v>
      </c>
      <c r="F32" s="14" t="n">
        <f aca="false">IF(OR($A32="",$C32=0),"",$E32/$C32)</f>
        <v>0</v>
      </c>
    </row>
    <row r="33" customFormat="false" ht="15" hidden="false" customHeight="false" outlineLevel="0" collapsed="false">
      <c r="A33" s="21" t="str">
        <f aca="false">IFERROR(INDEX('DỮ LIỆU'!$H$3:$H$1052,MATCH(4,'DỮ LIỆU'!$X$3:$X$1052,0)),"")</f>
        <v>gấu teddy trắng</v>
      </c>
      <c r="B33" s="13" t="n">
        <f aca="false">IF($A33="","",SUMIF('DỮ LIỆU'!$H$3:$H$1052,$A33,'DỮ LIỆU'!$I$3:$I$1052))</f>
        <v>42</v>
      </c>
      <c r="C33" s="13" t="n">
        <f aca="false">IF($A33="","",SUMIF('DỮ LIỆU'!$H$3:$H$1052,$A33,'DỮ LIỆU'!$J$3:$J$1052))</f>
        <v>2100000</v>
      </c>
      <c r="D33" s="13" t="n">
        <f aca="false">IF($A33="","",SUMIF('DỮ LIỆU'!$H$3:$H$1052,$A33,'DỮ LIỆU'!$P$3:$P$1052))</f>
        <v>0</v>
      </c>
      <c r="E33" s="13" t="n">
        <f aca="false">IF($A33="","",SUMIF('DỮ LIỆU'!$H$3:$H$1052,$A33,'DỮ LIỆU'!$Q$3:$Q$1052))</f>
        <v>0</v>
      </c>
      <c r="F33" s="14" t="n">
        <f aca="false">IF(OR($A33="",$C33=0),"",$E33/$C33)</f>
        <v>0</v>
      </c>
    </row>
    <row r="34" customFormat="false" ht="15" hidden="false" customHeight="false" outlineLevel="0" collapsed="false">
      <c r="A34" s="21" t="str">
        <f aca="false">IFERROR(INDEX('DỮ LIỆU'!$H$3:$H$1052,MATCH(5,'DỮ LIỆU'!$X$3:$X$1052,0)),"")</f>
        <v>gấu nâu tốt nghiệp</v>
      </c>
      <c r="B34" s="13" t="n">
        <f aca="false">IF($A34="","",SUMIF('DỮ LIỆU'!$H$3:$H$1052,$A34,'DỮ LIỆU'!$I$3:$I$1052))</f>
        <v>20</v>
      </c>
      <c r="C34" s="13" t="n">
        <f aca="false">IF($A34="","",SUMIF('DỮ LIỆU'!$H$3:$H$1052,$A34,'DỮ LIỆU'!$J$3:$J$1052))</f>
        <v>1080000</v>
      </c>
      <c r="D34" s="13" t="n">
        <f aca="false">IF($A34="","",SUMIF('DỮ LIỆU'!$H$3:$H$1052,$A34,'DỮ LIỆU'!$P$3:$P$1052))</f>
        <v>0</v>
      </c>
      <c r="E34" s="13" t="n">
        <f aca="false">IF($A34="","",SUMIF('DỮ LIỆU'!$H$3:$H$1052,$A34,'DỮ LIỆU'!$Q$3:$Q$1052))</f>
        <v>0</v>
      </c>
      <c r="F34" s="14" t="n">
        <f aca="false">IF(OR($A34="",$C34=0),"",$E34/$C34)</f>
        <v>0</v>
      </c>
    </row>
    <row r="35" customFormat="false" ht="15" hidden="false" customHeight="false" outlineLevel="0" collapsed="false">
      <c r="A35" s="21" t="str">
        <f aca="false">IFERROR(INDEX('DỮ LIỆU'!$H$3:$H$1052,MATCH(6,'DỮ LIỆU'!$X$3:$X$1052,0)),"")</f>
        <v>gấu trắng</v>
      </c>
      <c r="B35" s="13" t="n">
        <f aca="false">IF($A35="","",SUMIF('DỮ LIỆU'!$H$3:$H$1052,$A35,'DỮ LIỆU'!$I$3:$I$1052))</f>
        <v>805</v>
      </c>
      <c r="C35" s="13" t="n">
        <f aca="false">IF($A35="","",SUMIF('DỮ LIỆU'!$H$3:$H$1052,$A35,'DỮ LIỆU'!$J$3:$J$1052))</f>
        <v>36780000</v>
      </c>
      <c r="D35" s="13" t="n">
        <f aca="false">IF($A35="","",SUMIF('DỮ LIỆU'!$H$3:$H$1052,$A35,'DỮ LIỆU'!$P$3:$P$1052))</f>
        <v>0</v>
      </c>
      <c r="E35" s="13" t="n">
        <f aca="false">IF($A35="","",SUMIF('DỮ LIỆU'!$H$3:$H$1052,$A35,'DỮ LIỆU'!$Q$3:$Q$1052))</f>
        <v>0</v>
      </c>
      <c r="F35" s="14" t="n">
        <f aca="false">IF(OR($A35="",$C35=0),"",$E35/$C35)</f>
        <v>0</v>
      </c>
    </row>
    <row r="36" customFormat="false" ht="15" hidden="false" customHeight="false" outlineLevel="0" collapsed="false">
      <c r="A36" s="21" t="str">
        <f aca="false">IFERROR(INDEX('DỮ LIỆU'!$H$3:$H$1052,MATCH(7,'DỮ LIỆU'!$X$3:$X$1052,0)),"")</f>
        <v>gấy nâu 25cm</v>
      </c>
      <c r="B36" s="13" t="n">
        <f aca="false">IF($A36="","",SUMIF('DỮ LIỆU'!$H$3:$H$1052,$A36,'DỮ LIỆU'!$I$3:$I$1052))</f>
        <v>50</v>
      </c>
      <c r="C36" s="13" t="n">
        <f aca="false">IF($A36="","",SUMIF('DỮ LIỆU'!$H$3:$H$1052,$A36,'DỮ LIỆU'!$J$3:$J$1052))</f>
        <v>2500000</v>
      </c>
      <c r="D36" s="13" t="n">
        <f aca="false">IF($A36="","",SUMIF('DỮ LIỆU'!$H$3:$H$1052,$A36,'DỮ LIỆU'!$P$3:$P$1052))</f>
        <v>0</v>
      </c>
      <c r="E36" s="13" t="n">
        <f aca="false">IF($A36="","",SUMIF('DỮ LIỆU'!$H$3:$H$1052,$A36,'DỮ LIỆU'!$Q$3:$Q$1052))</f>
        <v>0</v>
      </c>
      <c r="F36" s="14" t="n">
        <f aca="false">IF(OR($A36="",$C36=0),"",$E36/$C36)</f>
        <v>0</v>
      </c>
    </row>
    <row r="37" customFormat="false" ht="15" hidden="false" customHeight="false" outlineLevel="0" collapsed="false">
      <c r="A37" s="21" t="str">
        <f aca="false">IFERROR(INDEX('DỮ LIỆU'!$H$3:$H$1052,MATCH(8,'DỮ LIỆU'!$X$3:$X$1052,0)),"")</f>
        <v>gấu nâu 25cm</v>
      </c>
      <c r="B37" s="13" t="n">
        <f aca="false">IF($A37="","",SUMIF('DỮ LIỆU'!$H$3:$H$1052,$A37,'DỮ LIỆU'!$I$3:$I$1052))</f>
        <v>75</v>
      </c>
      <c r="C37" s="13" t="n">
        <f aca="false">IF($A37="","",SUMIF('DỮ LIỆU'!$H$3:$H$1052,$A37,'DỮ LIỆU'!$J$3:$J$1052))</f>
        <v>3850000</v>
      </c>
      <c r="D37" s="13" t="n">
        <f aca="false">IF($A37="","",SUMIF('DỮ LIỆU'!$H$3:$H$1052,$A37,'DỮ LIỆU'!$P$3:$P$1052))</f>
        <v>0</v>
      </c>
      <c r="E37" s="13" t="n">
        <f aca="false">IF($A37="","",SUMIF('DỮ LIỆU'!$H$3:$H$1052,$A37,'DỮ LIỆU'!$Q$3:$Q$1052))</f>
        <v>0</v>
      </c>
      <c r="F37" s="14" t="n">
        <f aca="false">IF(OR($A37="",$C37=0),"",$E37/$C37)</f>
        <v>0</v>
      </c>
    </row>
    <row r="38" customFormat="false" ht="15" hidden="false" customHeight="false" outlineLevel="0" collapsed="false">
      <c r="A38" s="21" t="str">
        <f aca="false">IFERROR(INDEX('DỮ LIỆU'!$H$3:$H$1052,MATCH(9,'DỮ LIỆU'!$X$3:$X$1052,0)),"")</f>
        <v>gấu ngồi lông mịn</v>
      </c>
      <c r="B38" s="13" t="n">
        <f aca="false">IF($A38="","",SUMIF('DỮ LIỆU'!$H$3:$H$1052,$A38,'DỮ LIỆU'!$I$3:$I$1052))</f>
        <v>45</v>
      </c>
      <c r="C38" s="13" t="n">
        <f aca="false">IF($A38="","",SUMIF('DỮ LIỆU'!$H$3:$H$1052,$A38,'DỮ LIỆU'!$J$3:$J$1052))</f>
        <v>2610000</v>
      </c>
      <c r="D38" s="13" t="n">
        <f aca="false">IF($A38="","",SUMIF('DỮ LIỆU'!$H$3:$H$1052,$A38,'DỮ LIỆU'!$P$3:$P$1052))</f>
        <v>0</v>
      </c>
      <c r="E38" s="13" t="n">
        <f aca="false">IF($A38="","",SUMIF('DỮ LIỆU'!$H$3:$H$1052,$A38,'DỮ LIỆU'!$Q$3:$Q$1052))</f>
        <v>0</v>
      </c>
      <c r="F38" s="14" t="n">
        <f aca="false">IF(OR($A38="",$C38=0),"",$E38/$C38)</f>
        <v>0</v>
      </c>
    </row>
    <row r="39" customFormat="false" ht="15" hidden="false" customHeight="false" outlineLevel="0" collapsed="false">
      <c r="A39" s="21" t="str">
        <f aca="false">IFERROR(INDEX('DỮ LIỆU'!$H$3:$H$1052,MATCH(10,'DỮ LIỆU'!$X$3:$X$1052,0)),"")</f>
        <v>gấu trắng, gấu nâu</v>
      </c>
      <c r="B39" s="13" t="n">
        <f aca="false">IF($A39="","",SUMIF('DỮ LIỆU'!$H$3:$H$1052,$A39,'DỮ LIỆU'!$I$3:$I$1052))</f>
        <v>200</v>
      </c>
      <c r="C39" s="13" t="n">
        <f aca="false">IF($A39="","",SUMIF('DỮ LIỆU'!$H$3:$H$1052,$A39,'DỮ LIỆU'!$J$3:$J$1052))</f>
        <v>9000000</v>
      </c>
      <c r="D39" s="13" t="n">
        <f aca="false">IF($A39="","",SUMIF('DỮ LIỆU'!$H$3:$H$1052,$A39,'DỮ LIỆU'!$P$3:$P$1052))</f>
        <v>0</v>
      </c>
      <c r="E39" s="13" t="n">
        <f aca="false">IF($A39="","",SUMIF('DỮ LIỆU'!$H$3:$H$1052,$A39,'DỮ LIỆU'!$Q$3:$Q$1052))</f>
        <v>0</v>
      </c>
      <c r="F39" s="14" t="n">
        <f aca="false">IF(OR($A39="",$C39=0),"",$E39/$C39)</f>
        <v>0</v>
      </c>
    </row>
    <row r="40" customFormat="false" ht="15" hidden="false" customHeight="false" outlineLevel="0" collapsed="false">
      <c r="A40" s="21" t="str">
        <f aca="false">IFERROR(INDEX('DỮ LIỆU'!$H$3:$H$1052,MATCH(11,'DỮ LIỆU'!$X$3:$X$1052,0)),"")</f>
        <v>gấu nâu ngồi</v>
      </c>
      <c r="B40" s="13" t="n">
        <f aca="false">IF($A40="","",SUMIF('DỮ LIỆU'!$H$3:$H$1052,$A40,'DỮ LIỆU'!$I$3:$I$1052))</f>
        <v>450</v>
      </c>
      <c r="C40" s="13" t="n">
        <f aca="false">IF($A40="","",SUMIF('DỮ LIỆU'!$H$3:$H$1052,$A40,'DỮ LIỆU'!$J$3:$J$1052))</f>
        <v>20500000</v>
      </c>
      <c r="D40" s="13" t="n">
        <f aca="false">IF($A40="","",SUMIF('DỮ LIỆU'!$H$3:$H$1052,$A40,'DỮ LIỆU'!$P$3:$P$1052))</f>
        <v>0</v>
      </c>
      <c r="E40" s="13" t="n">
        <f aca="false">IF($A40="","",SUMIF('DỮ LIỆU'!$H$3:$H$1052,$A40,'DỮ LIỆU'!$Q$3:$Q$1052))</f>
        <v>0</v>
      </c>
      <c r="F40" s="14" t="n">
        <f aca="false">IF(OR($A40="",$C40=0),"",$E40/$C40)</f>
        <v>0</v>
      </c>
    </row>
    <row r="41" customFormat="false" ht="15" hidden="false" customHeight="false" outlineLevel="0" collapsed="false">
      <c r="A41" s="21" t="str">
        <f aca="false">IFERROR(INDEX('DỮ LIỆU'!$H$3:$H$1052,MATCH(12,'DỮ LIỆU'!$X$3:$X$1052,0)),"")</f>
        <v>gấu nâu</v>
      </c>
      <c r="B41" s="13" t="n">
        <f aca="false">IF($A41="","",SUMIF('DỮ LIỆU'!$H$3:$H$1052,$A41,'DỮ LIỆU'!$I$3:$I$1052))</f>
        <v>442</v>
      </c>
      <c r="C41" s="13" t="n">
        <f aca="false">IF($A41="","",SUMIF('DỮ LIỆU'!$H$3:$H$1052,$A41,'DỮ LIỆU'!$J$3:$J$1052))</f>
        <v>21900000</v>
      </c>
      <c r="D41" s="13" t="n">
        <f aca="false">IF($A41="","",SUMIF('DỮ LIỆU'!$H$3:$H$1052,$A41,'DỮ LIỆU'!$P$3:$P$1052))</f>
        <v>0</v>
      </c>
      <c r="E41" s="13" t="n">
        <f aca="false">IF($A41="","",SUMIF('DỮ LIỆU'!$H$3:$H$1052,$A41,'DỮ LIỆU'!$Q$3:$Q$1052))</f>
        <v>0</v>
      </c>
      <c r="F41" s="14" t="n">
        <f aca="false">IF(OR($A41="",$C41=0),"",$E41/$C41)</f>
        <v>0</v>
      </c>
    </row>
    <row r="42" customFormat="false" ht="15" hidden="false" customHeight="false" outlineLevel="0" collapsed="false">
      <c r="A42" s="21" t="str">
        <f aca="false">IFERROR(INDEX('DỮ LIỆU'!$H$3:$H$1052,MATCH(13,'DỮ LIỆU'!$X$3:$X$1052,0)),"")</f>
        <v>gối chữ U</v>
      </c>
      <c r="B42" s="13" t="n">
        <f aca="false">IF($A42="","",SUMIF('DỮ LIỆU'!$H$3:$H$1052,$A42,'DỮ LIỆU'!$I$3:$I$1052))</f>
        <v>190</v>
      </c>
      <c r="C42" s="13" t="n">
        <f aca="false">IF($A42="","",SUMIF('DỮ LIỆU'!$H$3:$H$1052,$A42,'DỮ LIỆU'!$J$3:$J$1052))</f>
        <v>11110000</v>
      </c>
      <c r="D42" s="13" t="n">
        <f aca="false">IF($A42="","",SUMIF('DỮ LIỆU'!$H$3:$H$1052,$A42,'DỮ LIỆU'!$P$3:$P$1052))</f>
        <v>0</v>
      </c>
      <c r="E42" s="13" t="n">
        <f aca="false">IF($A42="","",SUMIF('DỮ LIỆU'!$H$3:$H$1052,$A42,'DỮ LIỆU'!$Q$3:$Q$1052))</f>
        <v>0</v>
      </c>
      <c r="F42" s="14" t="n">
        <f aca="false">IF(OR($A42="",$C42=0),"",$E42/$C42)</f>
        <v>0</v>
      </c>
    </row>
    <row r="43" customFormat="false" ht="15" hidden="false" customHeight="false" outlineLevel="0" collapsed="false">
      <c r="A43" s="21" t="str">
        <f aca="false">IFERROR(INDEX('DỮ LIỆU'!$H$3:$H$1052,MATCH(14,'DỮ LIỆU'!$X$3:$X$1052,0)),"")</f>
        <v>móc khóa</v>
      </c>
      <c r="B43" s="13" t="n">
        <f aca="false">IF($A43="","",SUMIF('DỮ LIỆU'!$H$3:$H$1052,$A43,'DỮ LIỆU'!$I$3:$I$1052))</f>
        <v>150</v>
      </c>
      <c r="C43" s="13" t="n">
        <f aca="false">IF($A43="","",SUMIF('DỮ LIỆU'!$H$3:$H$1052,$A43,'DỮ LIỆU'!$J$3:$J$1052))</f>
        <v>4400000</v>
      </c>
      <c r="D43" s="13" t="n">
        <f aca="false">IF($A43="","",SUMIF('DỮ LIỆU'!$H$3:$H$1052,$A43,'DỮ LIỆU'!$P$3:$P$1052))</f>
        <v>0</v>
      </c>
      <c r="E43" s="13" t="n">
        <f aca="false">IF($A43="","",SUMIF('DỮ LIỆU'!$H$3:$H$1052,$A43,'DỮ LIỆU'!$Q$3:$Q$1052))</f>
        <v>0</v>
      </c>
      <c r="F43" s="14" t="n">
        <f aca="false">IF(OR($A43="",$C43=0),"",$E43/$C43)</f>
        <v>0</v>
      </c>
    </row>
    <row r="44" customFormat="false" ht="15" hidden="false" customHeight="false" outlineLevel="0" collapsed="false">
      <c r="A44" s="21" t="str">
        <f aca="false">IFERROR(INDEX('DỮ LIỆU'!$H$3:$H$1052,MATCH(15,'DỮ LIỆU'!$X$3:$X$1052,0)),"")</f>
        <v>gấu nâu 30cm</v>
      </c>
      <c r="B44" s="13" t="n">
        <f aca="false">IF($A44="","",SUMIF('DỮ LIỆU'!$H$3:$H$1052,$A44,'DỮ LIỆU'!$I$3:$I$1052))</f>
        <v>550</v>
      </c>
      <c r="C44" s="13" t="n">
        <f aca="false">IF($A44="","",SUMIF('DỮ LIỆU'!$H$3:$H$1052,$A44,'DỮ LIỆU'!$J$3:$J$1052))</f>
        <v>26070000</v>
      </c>
      <c r="D44" s="13" t="n">
        <f aca="false">IF($A44="","",SUMIF('DỮ LIỆU'!$H$3:$H$1052,$A44,'DỮ LIỆU'!$P$3:$P$1052))</f>
        <v>0</v>
      </c>
      <c r="E44" s="13" t="n">
        <f aca="false">IF($A44="","",SUMIF('DỮ LIỆU'!$H$3:$H$1052,$A44,'DỮ LIỆU'!$Q$3:$Q$1052))</f>
        <v>0</v>
      </c>
      <c r="F44" s="14" t="n">
        <f aca="false">IF(OR($A44="",$C44=0),"",$E44/$C44)</f>
        <v>0</v>
      </c>
    </row>
    <row r="45" customFormat="false" ht="15" hidden="false" customHeight="false" outlineLevel="0" collapsed="false">
      <c r="A45" s="21" t="str">
        <f aca="false">IFERROR(INDEX('DỮ LIỆU'!$H$3:$H$1052,MATCH(16,'DỮ LIỆU'!$X$3:$X$1052,0)),"")</f>
        <v>gấu ngồi lông mịn, gấu panda</v>
      </c>
      <c r="B45" s="13" t="n">
        <f aca="false">IF($A45="","",SUMIF('DỮ LIỆU'!$H$3:$H$1052,$A45,'DỮ LIỆU'!$I$3:$I$1052))</f>
        <v>100</v>
      </c>
      <c r="C45" s="13" t="n">
        <f aca="false">IF($A45="","",SUMIF('DỮ LIỆU'!$H$3:$H$1052,$A45,'DỮ LIỆU'!$J$3:$J$1052))</f>
        <v>6250000</v>
      </c>
      <c r="D45" s="13" t="n">
        <f aca="false">IF($A45="","",SUMIF('DỮ LIỆU'!$H$3:$H$1052,$A45,'DỮ LIỆU'!$P$3:$P$1052))</f>
        <v>0</v>
      </c>
      <c r="E45" s="13" t="n">
        <f aca="false">IF($A45="","",SUMIF('DỮ LIỆU'!$H$3:$H$1052,$A45,'DỮ LIỆU'!$Q$3:$Q$1052))</f>
        <v>0</v>
      </c>
      <c r="F45" s="14" t="n">
        <f aca="false">IF(OR($A45="",$C45=0),"",$E45/$C45)</f>
        <v>0</v>
      </c>
    </row>
    <row r="46" customFormat="false" ht="15" hidden="false" customHeight="false" outlineLevel="0" collapsed="false">
      <c r="A46" s="21" t="str">
        <f aca="false">IFERROR(INDEX('DỮ LIỆU'!$H$3:$H$1052,MATCH(17,'DỮ LIỆU'!$X$3:$X$1052,0)),"")</f>
        <v>Gấu HT 30cm</v>
      </c>
      <c r="B46" s="13" t="n">
        <f aca="false">IF($A46="","",SUMIF('DỮ LIỆU'!$H$3:$H$1052,$A46,'DỮ LIỆU'!$I$3:$I$1052))</f>
        <v>90</v>
      </c>
      <c r="C46" s="13" t="n">
        <f aca="false">IF($A46="","",SUMIF('DỮ LIỆU'!$H$3:$H$1052,$A46,'DỮ LIỆU'!$J$3:$J$1052))</f>
        <v>5850000</v>
      </c>
      <c r="D46" s="13" t="n">
        <f aca="false">IF($A46="","",SUMIF('DỮ LIỆU'!$H$3:$H$1052,$A46,'DỮ LIỆU'!$P$3:$P$1052))</f>
        <v>0</v>
      </c>
      <c r="E46" s="13" t="n">
        <f aca="false">IF($A46="","",SUMIF('DỮ LIỆU'!$H$3:$H$1052,$A46,'DỮ LIỆU'!$Q$3:$Q$1052))</f>
        <v>0</v>
      </c>
      <c r="F46" s="14" t="n">
        <f aca="false">IF(OR($A46="",$C46=0),"",$E46/$C46)</f>
        <v>0</v>
      </c>
    </row>
    <row r="47" customFormat="false" ht="15" hidden="false" customHeight="false" outlineLevel="0" collapsed="false">
      <c r="A47" s="21" t="str">
        <f aca="false">IFERROR(INDEX('DỮ LIỆU'!$H$3:$H$1052,MATCH(18,'DỮ LIỆU'!$X$3:$X$1052,0)),"")</f>
        <v>CÁ BABY SHARK</v>
      </c>
      <c r="B47" s="13" t="n">
        <f aca="false">IF($A47="","",SUMIF('DỮ LIỆU'!$H$3:$H$1052,$A47,'DỮ LIỆU'!$I$3:$I$1052))</f>
        <v>60</v>
      </c>
      <c r="C47" s="13" t="n">
        <f aca="false">IF($A47="","",SUMIF('DỮ LIỆU'!$H$3:$H$1052,$A47,'DỮ LIỆU'!$J$3:$J$1052))</f>
        <v>2880000</v>
      </c>
      <c r="D47" s="13" t="n">
        <f aca="false">IF($A47="","",SUMIF('DỮ LIỆU'!$H$3:$H$1052,$A47,'DỮ LIỆU'!$P$3:$P$1052))</f>
        <v>0</v>
      </c>
      <c r="E47" s="13" t="n">
        <f aca="false">IF($A47="","",SUMIF('DỮ LIỆU'!$H$3:$H$1052,$A47,'DỮ LIỆU'!$Q$3:$Q$1052))</f>
        <v>0</v>
      </c>
      <c r="F47" s="14" t="n">
        <f aca="false">IF(OR($A47="",$C47=0),"",$E47/$C47)</f>
        <v>0</v>
      </c>
    </row>
    <row r="48" customFormat="false" ht="15" hidden="false" customHeight="false" outlineLevel="0" collapsed="false">
      <c r="A48" s="21" t="str">
        <f aca="false">IFERROR(INDEX('DỮ LIỆU'!$H$3:$H$1052,MATCH(19,'DỮ LIỆU'!$X$3:$X$1052,0)),"")</f>
        <v>gấu ngồi lông mịn kèm mũ tn</v>
      </c>
      <c r="B48" s="13" t="n">
        <f aca="false">IF($A48="","",SUMIF('DỮ LIỆU'!$H$3:$H$1052,$A48,'DỮ LIỆU'!$I$3:$I$1052))</f>
        <v>150</v>
      </c>
      <c r="C48" s="13" t="n">
        <f aca="false">IF($A48="","",SUMIF('DỮ LIỆU'!$H$3:$H$1052,$A48,'DỮ LIỆU'!$J$3:$J$1052))</f>
        <v>7550000</v>
      </c>
      <c r="D48" s="13" t="n">
        <f aca="false">IF($A48="","",SUMIF('DỮ LIỆU'!$H$3:$H$1052,$A48,'DỮ LIỆU'!$P$3:$P$1052))</f>
        <v>0</v>
      </c>
      <c r="E48" s="13" t="n">
        <f aca="false">IF($A48="","",SUMIF('DỮ LIỆU'!$H$3:$H$1052,$A48,'DỮ LIỆU'!$Q$3:$Q$1052))</f>
        <v>0</v>
      </c>
      <c r="F48" s="14" t="n">
        <f aca="false">IF(OR($A48="",$C48=0),"",$E48/$C48)</f>
        <v>0</v>
      </c>
    </row>
    <row r="49" customFormat="false" ht="15" hidden="false" customHeight="false" outlineLevel="0" collapsed="false">
      <c r="A49" s="21" t="str">
        <f aca="false">IFERROR(INDEX('DỮ LIỆU'!$H$3:$H$1052,MATCH(20,'DỮ LIỆU'!$X$3:$X$1052,0)),"")</f>
        <v>gấu mẫu</v>
      </c>
      <c r="B49" s="13" t="n">
        <f aca="false">IF($A49="","",SUMIF('DỮ LIỆU'!$H$3:$H$1052,$A49,'DỮ LIỆU'!$I$3:$I$1052))</f>
        <v>1</v>
      </c>
      <c r="C49" s="13" t="n">
        <f aca="false">IF($A49="","",SUMIF('DỮ LIỆU'!$H$3:$H$1052,$A49,'DỮ LIỆU'!$J$3:$J$1052))</f>
        <v>250000</v>
      </c>
      <c r="D49" s="13" t="n">
        <f aca="false">IF($A49="","",SUMIF('DỮ LIỆU'!$H$3:$H$1052,$A49,'DỮ LIỆU'!$P$3:$P$1052))</f>
        <v>0</v>
      </c>
      <c r="E49" s="13" t="n">
        <f aca="false">IF($A49="","",SUMIF('DỮ LIỆU'!$H$3:$H$1052,$A49,'DỮ LIỆU'!$Q$3:$Q$1052))</f>
        <v>0</v>
      </c>
      <c r="F49" s="14" t="n">
        <f aca="false">IF(OR($A49="",$C49=0),"",$E49/$C49)</f>
        <v>0</v>
      </c>
    </row>
    <row r="50" customFormat="false" ht="15" hidden="false" customHeight="false" outlineLevel="0" collapsed="false">
      <c r="A50" s="21" t="str">
        <f aca="false">IFERROR(INDEX('DỮ LIỆU'!$H$3:$H$1052,MATCH(21,'DỮ LIỆU'!$X$3:$X$1052,0)),"")</f>
        <v>móc khóa (ko lấy nữa do lâu quá)</v>
      </c>
      <c r="B50" s="13" t="n">
        <f aca="false">IF($A50="","",SUMIF('DỮ LIỆU'!$H$3:$H$1052,$A50,'DỮ LIỆU'!$I$3:$I$1052))</f>
        <v>50</v>
      </c>
      <c r="C50" s="13" t="n">
        <f aca="false">IF($A50="","",SUMIF('DỮ LIỆU'!$H$3:$H$1052,$A50,'DỮ LIỆU'!$J$3:$J$1052))</f>
        <v>0</v>
      </c>
      <c r="D50" s="13" t="n">
        <f aca="false">IF($A50="","",SUMIF('DỮ LIỆU'!$H$3:$H$1052,$A50,'DỮ LIỆU'!$P$3:$P$1052))</f>
        <v>0</v>
      </c>
      <c r="E50" s="13" t="n">
        <f aca="false">IF($A50="","",SUMIF('DỮ LIỆU'!$H$3:$H$1052,$A50,'DỮ LIỆU'!$Q$3:$Q$1052))</f>
        <v>0</v>
      </c>
      <c r="F50" s="14" t="str">
        <f aca="false">IF(OR($A50="",$C50=0),"",$E50/$C50)</f>
        <v/>
      </c>
    </row>
    <row r="51" customFormat="false" ht="15" hidden="false" customHeight="false" outlineLevel="0" collapsed="false">
      <c r="A51" s="21" t="str">
        <f aca="false">IFERROR(INDEX('DỮ LIỆU'!$H$3:$H$1052,MATCH(22,'DỮ LIỆU'!$X$3:$X$1052,0)),"")</f>
        <v>gối chữ U màu nâu</v>
      </c>
      <c r="B51" s="13" t="n">
        <f aca="false">IF($A51="","",SUMIF('DỮ LIỆU'!$H$3:$H$1052,$A51,'DỮ LIỆU'!$I$3:$I$1052))</f>
        <v>50</v>
      </c>
      <c r="C51" s="13" t="n">
        <f aca="false">IF($A51="","",SUMIF('DỮ LIỆU'!$H$3:$H$1052,$A51,'DỮ LIỆU'!$J$3:$J$1052))</f>
        <v>2750000</v>
      </c>
      <c r="D51" s="13" t="n">
        <f aca="false">IF($A51="","",SUMIF('DỮ LIỆU'!$H$3:$H$1052,$A51,'DỮ LIỆU'!$P$3:$P$1052))</f>
        <v>0</v>
      </c>
      <c r="E51" s="13" t="n">
        <f aca="false">IF($A51="","",SUMIF('DỮ LIỆU'!$H$3:$H$1052,$A51,'DỮ LIỆU'!$Q$3:$Q$1052))</f>
        <v>0</v>
      </c>
      <c r="F51" s="14" t="n">
        <f aca="false">IF(OR($A51="",$C51=0),"",$E51/$C51)</f>
        <v>0</v>
      </c>
    </row>
    <row r="52" customFormat="false" ht="15" hidden="false" customHeight="false" outlineLevel="0" collapsed="false">
      <c r="A52" s="21" t="str">
        <f aca="false">IFERROR(INDEX('DỮ LIỆU'!$H$3:$H$1052,MATCH(23,'DỮ LIỆU'!$X$3:$X$1052,0)),"")</f>
        <v>gấu 30 cm nhà HT</v>
      </c>
      <c r="B52" s="13" t="n">
        <f aca="false">IF($A52="","",SUMIF('DỮ LIỆU'!$H$3:$H$1052,$A52,'DỮ LIỆU'!$I$3:$I$1052))</f>
        <v>100</v>
      </c>
      <c r="C52" s="13" t="n">
        <f aca="false">IF($A52="","",SUMIF('DỮ LIỆU'!$H$3:$H$1052,$A52,'DỮ LIỆU'!$J$3:$J$1052))</f>
        <v>5500000</v>
      </c>
      <c r="D52" s="13" t="n">
        <f aca="false">IF($A52="","",SUMIF('DỮ LIỆU'!$H$3:$H$1052,$A52,'DỮ LIỆU'!$P$3:$P$1052))</f>
        <v>0</v>
      </c>
      <c r="E52" s="13" t="n">
        <f aca="false">IF($A52="","",SUMIF('DỮ LIỆU'!$H$3:$H$1052,$A52,'DỮ LIỆU'!$Q$3:$Q$1052))</f>
        <v>0</v>
      </c>
      <c r="F52" s="14" t="n">
        <f aca="false">IF(OR($A52="",$C52=0),"",$E52/$C52)</f>
        <v>0</v>
      </c>
    </row>
    <row r="53" customFormat="false" ht="15" hidden="false" customHeight="false" outlineLevel="0" collapsed="false">
      <c r="A53" s="21" t="str">
        <f aca="false">IFERROR(INDEX('DỮ LIỆU'!$H$3:$H$1052,MATCH(24,'DỮ LIỆU'!$X$3:$X$1052,0)),"")</f>
        <v>gấu 4 loại, mỗi loại 5 con</v>
      </c>
      <c r="B53" s="13" t="n">
        <f aca="false">IF($A53="","",SUMIF('DỮ LIỆU'!$H$3:$H$1052,$A53,'DỮ LIỆU'!$I$3:$I$1052))</f>
        <v>20</v>
      </c>
      <c r="C53" s="13" t="n">
        <f aca="false">IF($A53="","",SUMIF('DỮ LIỆU'!$H$3:$H$1052,$A53,'DỮ LIỆU'!$J$3:$J$1052))</f>
        <v>1100000</v>
      </c>
      <c r="D53" s="13" t="n">
        <f aca="false">IF($A53="","",SUMIF('DỮ LIỆU'!$H$3:$H$1052,$A53,'DỮ LIỆU'!$P$3:$P$1052))</f>
        <v>0</v>
      </c>
      <c r="E53" s="13" t="n">
        <f aca="false">IF($A53="","",SUMIF('DỮ LIỆU'!$H$3:$H$1052,$A53,'DỮ LIỆU'!$Q$3:$Q$1052))</f>
        <v>0</v>
      </c>
      <c r="F53" s="14" t="n">
        <f aca="false">IF(OR($A53="",$C53=0),"",$E53/$C53)</f>
        <v>0</v>
      </c>
    </row>
    <row r="54" customFormat="false" ht="15" hidden="false" customHeight="false" outlineLevel="0" collapsed="false">
      <c r="A54" s="21" t="str">
        <f aca="false">IFERROR(INDEX('DỮ LIỆU'!$H$3:$H$1052,MATCH(25,'DỮ LIỆU'!$X$3:$X$1052,0)),"")</f>
        <v>gấu 2 loại</v>
      </c>
      <c r="B54" s="13" t="n">
        <f aca="false">IF($A54="","",SUMIF('DỮ LIỆU'!$H$3:$H$1052,$A54,'DỮ LIỆU'!$I$3:$I$1052))</f>
        <v>50</v>
      </c>
      <c r="C54" s="13" t="n">
        <f aca="false">IF($A54="","",SUMIF('DỮ LIỆU'!$H$3:$H$1052,$A54,'DỮ LIỆU'!$J$3:$J$1052))</f>
        <v>2600000</v>
      </c>
      <c r="D54" s="13" t="n">
        <f aca="false">IF($A54="","",SUMIF('DỮ LIỆU'!$H$3:$H$1052,$A54,'DỮ LIỆU'!$P$3:$P$1052))</f>
        <v>0</v>
      </c>
      <c r="E54" s="13" t="n">
        <f aca="false">IF($A54="","",SUMIF('DỮ LIỆU'!$H$3:$H$1052,$A54,'DỮ LIỆU'!$Q$3:$Q$1052))</f>
        <v>0</v>
      </c>
      <c r="F54" s="14" t="n">
        <f aca="false">IF(OR($A54="",$C54=0),"",$E54/$C54)</f>
        <v>0</v>
      </c>
    </row>
    <row r="55" customFormat="false" ht="15" hidden="false" customHeight="false" outlineLevel="0" collapsed="false">
      <c r="A55" s="21" t="str">
        <f aca="false">IFERROR(INDEX('DỮ LIỆU'!$H$3:$H$1052,MATCH(26,'DỮ LIỆU'!$X$3:$X$1052,0)),"")</f>
        <v>gấu 30 cm nâu in 2 mặt</v>
      </c>
      <c r="B55" s="13" t="n">
        <f aca="false">IF($A55="","",SUMIF('DỮ LIỆU'!$H$3:$H$1052,$A55,'DỮ LIỆU'!$I$3:$I$1052))</f>
        <v>100</v>
      </c>
      <c r="C55" s="13" t="n">
        <f aca="false">IF($A55="","",SUMIF('DỮ LIỆU'!$H$3:$H$1052,$A55,'DỮ LIỆU'!$J$3:$J$1052))</f>
        <v>4700000</v>
      </c>
      <c r="D55" s="13" t="n">
        <f aca="false">IF($A55="","",SUMIF('DỮ LIỆU'!$H$3:$H$1052,$A55,'DỮ LIỆU'!$P$3:$P$1052))</f>
        <v>0</v>
      </c>
      <c r="E55" s="13" t="n">
        <f aca="false">IF($A55="","",SUMIF('DỮ LIỆU'!$H$3:$H$1052,$A55,'DỮ LIỆU'!$Q$3:$Q$1052))</f>
        <v>0</v>
      </c>
      <c r="F55" s="14" t="n">
        <f aca="false">IF(OR($A55="",$C55=0),"",$E55/$C55)</f>
        <v>0</v>
      </c>
    </row>
    <row r="56" customFormat="false" ht="15" hidden="false" customHeight="false" outlineLevel="0" collapsed="false">
      <c r="A56" s="21" t="str">
        <f aca="false">IFERROR(INDEX('DỮ LIỆU'!$H$3:$H$1052,MATCH(27,'DỮ LIỆU'!$X$3:$X$1052,0)),"")</f>
        <v>mẫu gấu</v>
      </c>
      <c r="B56" s="13" t="n">
        <f aca="false">IF($A56="","",SUMIF('DỮ LIỆU'!$H$3:$H$1052,$A56,'DỮ LIỆU'!$I$3:$I$1052))</f>
        <v>1</v>
      </c>
      <c r="C56" s="13" t="n">
        <f aca="false">IF($A56="","",SUMIF('DỮ LIỆU'!$H$3:$H$1052,$A56,'DỮ LIỆU'!$J$3:$J$1052))</f>
        <v>140000</v>
      </c>
      <c r="D56" s="13" t="n">
        <f aca="false">IF($A56="","",SUMIF('DỮ LIỆU'!$H$3:$H$1052,$A56,'DỮ LIỆU'!$P$3:$P$1052))</f>
        <v>0</v>
      </c>
      <c r="E56" s="13" t="n">
        <f aca="false">IF($A56="","",SUMIF('DỮ LIỆU'!$H$3:$H$1052,$A56,'DỮ LIỆU'!$Q$3:$Q$1052))</f>
        <v>0</v>
      </c>
      <c r="F56" s="14" t="n">
        <f aca="false">IF(OR($A56="",$C56=0),"",$E56/$C56)</f>
        <v>0</v>
      </c>
    </row>
    <row r="57" customFormat="false" ht="15" hidden="false" customHeight="false" outlineLevel="0" collapsed="false">
      <c r="A57" s="21" t="str">
        <f aca="false">IFERROR(INDEX('DỮ LIỆU'!$H$3:$H$1052,MATCH(28,'DỮ LIỆU'!$X$3:$X$1052,0)),"")</f>
        <v>gối chữ U màu xám</v>
      </c>
      <c r="B57" s="13" t="n">
        <f aca="false">IF($A57="","",SUMIF('DỮ LIỆU'!$H$3:$H$1052,$A57,'DỮ LIỆU'!$I$3:$I$1052))</f>
        <v>50</v>
      </c>
      <c r="C57" s="13" t="n">
        <f aca="false">IF($A57="","",SUMIF('DỮ LIỆU'!$H$3:$H$1052,$A57,'DỮ LIỆU'!$J$3:$J$1052))</f>
        <v>2750000</v>
      </c>
      <c r="D57" s="13" t="n">
        <f aca="false">IF($A57="","",SUMIF('DỮ LIỆU'!$H$3:$H$1052,$A57,'DỮ LIỆU'!$P$3:$P$1052))</f>
        <v>0</v>
      </c>
      <c r="E57" s="13" t="n">
        <f aca="false">IF($A57="","",SUMIF('DỮ LIỆU'!$H$3:$H$1052,$A57,'DỮ LIỆU'!$Q$3:$Q$1052))</f>
        <v>0</v>
      </c>
      <c r="F57" s="14" t="n">
        <f aca="false">IF(OR($A57="",$C57=0),"",$E57/$C57)</f>
        <v>0</v>
      </c>
    </row>
    <row r="58" customFormat="false" ht="15" hidden="false" customHeight="false" outlineLevel="0" collapsed="false">
      <c r="A58" s="21" t="str">
        <f aca="false">IFERROR(INDEX('DỮ LIỆU'!$H$3:$H$1052,MATCH(29,'DỮ LIỆU'!$X$3:$X$1052,0)),"")</f>
        <v>Gấu tốt nghiệp</v>
      </c>
      <c r="B58" s="13" t="n">
        <f aca="false">IF($A58="","",SUMIF('DỮ LIỆU'!$H$3:$H$1052,$A58,'DỮ LIỆU'!$I$3:$I$1052))</f>
        <v>57</v>
      </c>
      <c r="C58" s="13" t="n">
        <f aca="false">IF($A58="","",SUMIF('DỮ LIỆU'!$H$3:$H$1052,$A58,'DỮ LIỆU'!$J$3:$J$1052))</f>
        <v>3580000</v>
      </c>
      <c r="D58" s="13" t="n">
        <f aca="false">IF($A58="","",SUMIF('DỮ LIỆU'!$H$3:$H$1052,$A58,'DỮ LIỆU'!$P$3:$P$1052))</f>
        <v>2280000</v>
      </c>
      <c r="E58" s="13" t="n">
        <f aca="false">IF($A58="","",SUMIF('DỮ LIỆU'!$H$3:$H$1052,$A58,'DỮ LIỆU'!$Q$3:$Q$1052))</f>
        <v>1300000</v>
      </c>
      <c r="F58" s="14" t="n">
        <f aca="false">IF(OR($A58="",$C58=0),"",$E58/$C58)</f>
        <v>0.363128491620112</v>
      </c>
    </row>
    <row r="59" customFormat="false" ht="15" hidden="false" customHeight="false" outlineLevel="0" collapsed="false">
      <c r="A59" s="21" t="str">
        <f aca="false">IFERROR(INDEX('DỮ LIỆU'!$H$3:$H$1052,MATCH(30,'DỮ LIỆU'!$X$3:$X$1052,0)),"")</f>
        <v/>
      </c>
      <c r="B59" s="13" t="str">
        <f aca="false">IF($A59="","",SUMIF('DỮ LIỆU'!$H$3:$H$1052,$A59,'DỮ LIỆU'!$I$3:$I$1052))</f>
        <v/>
      </c>
      <c r="C59" s="13" t="str">
        <f aca="false">IF($A59="","",SUMIF('DỮ LIỆU'!$H$3:$H$1052,$A59,'DỮ LIỆU'!$J$3:$J$1052))</f>
        <v/>
      </c>
      <c r="D59" s="13" t="str">
        <f aca="false">IF($A59="","",SUMIF('DỮ LIỆU'!$H$3:$H$1052,$A59,'DỮ LIỆU'!$P$3:$P$1052))</f>
        <v/>
      </c>
      <c r="E59" s="13" t="str">
        <f aca="false">IF($A59="","",SUMIF('DỮ LIỆU'!$H$3:$H$1052,$A59,'DỮ LIỆU'!$Q$3:$Q$1052))</f>
        <v/>
      </c>
      <c r="F59" s="14" t="str">
        <f aca="false">IF(OR($A59="",$C59=0),"",$E59/$C59)</f>
        <v/>
      </c>
    </row>
    <row r="60" customFormat="false" ht="15" hidden="false" customHeight="false" outlineLevel="0" collapsed="false">
      <c r="A60" s="21" t="str">
        <f aca="false">IFERROR(INDEX('DỮ LIỆU'!$H$3:$H$1052,MATCH(31,'DỮ LIỆU'!$X$3:$X$1052,0)),"")</f>
        <v/>
      </c>
      <c r="B60" s="13" t="str">
        <f aca="false">IF($A60="","",SUMIF('DỮ LIỆU'!$H$3:$H$1052,$A60,'DỮ LIỆU'!$I$3:$I$1052))</f>
        <v/>
      </c>
      <c r="C60" s="13" t="str">
        <f aca="false">IF($A60="","",SUMIF('DỮ LIỆU'!$H$3:$H$1052,$A60,'DỮ LIỆU'!$J$3:$J$1052))</f>
        <v/>
      </c>
      <c r="D60" s="13" t="str">
        <f aca="false">IF($A60="","",SUMIF('DỮ LIỆU'!$H$3:$H$1052,$A60,'DỮ LIỆU'!$P$3:$P$1052))</f>
        <v/>
      </c>
      <c r="E60" s="13" t="str">
        <f aca="false">IF($A60="","",SUMIF('DỮ LIỆU'!$H$3:$H$1052,$A60,'DỮ LIỆU'!$Q$3:$Q$1052))</f>
        <v/>
      </c>
      <c r="F60" s="14" t="str">
        <f aca="false">IF(OR($A60="",$C60=0),"",$E60/$C60)</f>
        <v/>
      </c>
    </row>
    <row r="61" customFormat="false" ht="15" hidden="false" customHeight="false" outlineLevel="0" collapsed="false">
      <c r="A61" s="21" t="str">
        <f aca="false">IFERROR(INDEX('DỮ LIỆU'!$H$3:$H$1052,MATCH(32,'DỮ LIỆU'!$X$3:$X$1052,0)),"")</f>
        <v/>
      </c>
      <c r="B61" s="13" t="str">
        <f aca="false">IF($A61="","",SUMIF('DỮ LIỆU'!$H$3:$H$1052,$A61,'DỮ LIỆU'!$I$3:$I$1052))</f>
        <v/>
      </c>
      <c r="C61" s="13" t="str">
        <f aca="false">IF($A61="","",SUMIF('DỮ LIỆU'!$H$3:$H$1052,$A61,'DỮ LIỆU'!$J$3:$J$1052))</f>
        <v/>
      </c>
      <c r="D61" s="13" t="str">
        <f aca="false">IF($A61="","",SUMIF('DỮ LIỆU'!$H$3:$H$1052,$A61,'DỮ LIỆU'!$P$3:$P$1052))</f>
        <v/>
      </c>
      <c r="E61" s="13" t="str">
        <f aca="false">IF($A61="","",SUMIF('DỮ LIỆU'!$H$3:$H$1052,$A61,'DỮ LIỆU'!$Q$3:$Q$1052))</f>
        <v/>
      </c>
      <c r="F61" s="14" t="str">
        <f aca="false">IF(OR($A61="",$C61=0),"",$E61/$C61)</f>
        <v/>
      </c>
    </row>
    <row r="62" customFormat="false" ht="15" hidden="false" customHeight="false" outlineLevel="0" collapsed="false">
      <c r="A62" s="21" t="str">
        <f aca="false">IFERROR(INDEX('DỮ LIỆU'!$H$3:$H$1052,MATCH(33,'DỮ LIỆU'!$X$3:$X$1052,0)),"")</f>
        <v/>
      </c>
      <c r="B62" s="13" t="str">
        <f aca="false">IF($A62="","",SUMIF('DỮ LIỆU'!$H$3:$H$1052,$A62,'DỮ LIỆU'!$I$3:$I$1052))</f>
        <v/>
      </c>
      <c r="C62" s="13" t="str">
        <f aca="false">IF($A62="","",SUMIF('DỮ LIỆU'!$H$3:$H$1052,$A62,'DỮ LIỆU'!$J$3:$J$1052))</f>
        <v/>
      </c>
      <c r="D62" s="13" t="str">
        <f aca="false">IF($A62="","",SUMIF('DỮ LIỆU'!$H$3:$H$1052,$A62,'DỮ LIỆU'!$P$3:$P$1052))</f>
        <v/>
      </c>
      <c r="E62" s="13" t="str">
        <f aca="false">IF($A62="","",SUMIF('DỮ LIỆU'!$H$3:$H$1052,$A62,'DỮ LIỆU'!$Q$3:$Q$1052))</f>
        <v/>
      </c>
      <c r="F62" s="14" t="str">
        <f aca="false">IF(OR($A62="",$C62=0),"",$E62/$C62)</f>
        <v/>
      </c>
    </row>
    <row r="63" customFormat="false" ht="15" hidden="false" customHeight="false" outlineLevel="0" collapsed="false">
      <c r="A63" s="21" t="str">
        <f aca="false">IFERROR(INDEX('DỮ LIỆU'!$H$3:$H$1052,MATCH(34,'DỮ LIỆU'!$X$3:$X$1052,0)),"")</f>
        <v/>
      </c>
      <c r="B63" s="13" t="str">
        <f aca="false">IF($A63="","",SUMIF('DỮ LIỆU'!$H$3:$H$1052,$A63,'DỮ LIỆU'!$I$3:$I$1052))</f>
        <v/>
      </c>
      <c r="C63" s="13" t="str">
        <f aca="false">IF($A63="","",SUMIF('DỮ LIỆU'!$H$3:$H$1052,$A63,'DỮ LIỆU'!$J$3:$J$1052))</f>
        <v/>
      </c>
      <c r="D63" s="13" t="str">
        <f aca="false">IF($A63="","",SUMIF('DỮ LIỆU'!$H$3:$H$1052,$A63,'DỮ LIỆU'!$P$3:$P$1052))</f>
        <v/>
      </c>
      <c r="E63" s="13" t="str">
        <f aca="false">IF($A63="","",SUMIF('DỮ LIỆU'!$H$3:$H$1052,$A63,'DỮ LIỆU'!$Q$3:$Q$1052))</f>
        <v/>
      </c>
      <c r="F63" s="14" t="str">
        <f aca="false">IF(OR($A63="",$C63=0),"",$E63/$C63)</f>
        <v/>
      </c>
    </row>
    <row r="64" customFormat="false" ht="15" hidden="false" customHeight="false" outlineLevel="0" collapsed="false">
      <c r="A64" s="21" t="str">
        <f aca="false">IFERROR(INDEX('DỮ LIỆU'!$H$3:$H$1052,MATCH(35,'DỮ LIỆU'!$X$3:$X$1052,0)),"")</f>
        <v/>
      </c>
      <c r="B64" s="13" t="str">
        <f aca="false">IF($A64="","",SUMIF('DỮ LIỆU'!$H$3:$H$1052,$A64,'DỮ LIỆU'!$I$3:$I$1052))</f>
        <v/>
      </c>
      <c r="C64" s="13" t="str">
        <f aca="false">IF($A64="","",SUMIF('DỮ LIỆU'!$H$3:$H$1052,$A64,'DỮ LIỆU'!$J$3:$J$1052))</f>
        <v/>
      </c>
      <c r="D64" s="13" t="str">
        <f aca="false">IF($A64="","",SUMIF('DỮ LIỆU'!$H$3:$H$1052,$A64,'DỮ LIỆU'!$P$3:$P$1052))</f>
        <v/>
      </c>
      <c r="E64" s="13" t="str">
        <f aca="false">IF($A64="","",SUMIF('DỮ LIỆU'!$H$3:$H$1052,$A64,'DỮ LIỆU'!$Q$3:$Q$1052))</f>
        <v/>
      </c>
      <c r="F64" s="14" t="str">
        <f aca="false">IF(OR($A64="",$C64=0),"",$E64/$C64)</f>
        <v/>
      </c>
    </row>
    <row r="65" customFormat="false" ht="15" hidden="false" customHeight="false" outlineLevel="0" collapsed="false">
      <c r="A65" s="21" t="str">
        <f aca="false">IFERROR(INDEX('DỮ LIỆU'!$H$3:$H$1052,MATCH(36,'DỮ LIỆU'!$X$3:$X$1052,0)),"")</f>
        <v/>
      </c>
      <c r="B65" s="13" t="str">
        <f aca="false">IF($A65="","",SUMIF('DỮ LIỆU'!$H$3:$H$1052,$A65,'DỮ LIỆU'!$I$3:$I$1052))</f>
        <v/>
      </c>
      <c r="C65" s="13" t="str">
        <f aca="false">IF($A65="","",SUMIF('DỮ LIỆU'!$H$3:$H$1052,$A65,'DỮ LIỆU'!$J$3:$J$1052))</f>
        <v/>
      </c>
      <c r="D65" s="13" t="str">
        <f aca="false">IF($A65="","",SUMIF('DỮ LIỆU'!$H$3:$H$1052,$A65,'DỮ LIỆU'!$P$3:$P$1052))</f>
        <v/>
      </c>
      <c r="E65" s="13" t="str">
        <f aca="false">IF($A65="","",SUMIF('DỮ LIỆU'!$H$3:$H$1052,$A65,'DỮ LIỆU'!$Q$3:$Q$1052))</f>
        <v/>
      </c>
      <c r="F65" s="14" t="str">
        <f aca="false">IF(OR($A65="",$C65=0),"",$E65/$C65)</f>
        <v/>
      </c>
    </row>
    <row r="66" customFormat="false" ht="15" hidden="false" customHeight="false" outlineLevel="0" collapsed="false">
      <c r="A66" s="21" t="str">
        <f aca="false">IFERROR(INDEX('DỮ LIỆU'!$H$3:$H$1052,MATCH(37,'DỮ LIỆU'!$X$3:$X$1052,0)),"")</f>
        <v/>
      </c>
      <c r="B66" s="13" t="str">
        <f aca="false">IF($A66="","",SUMIF('DỮ LIỆU'!$H$3:$H$1052,$A66,'DỮ LIỆU'!$I$3:$I$1052))</f>
        <v/>
      </c>
      <c r="C66" s="13" t="str">
        <f aca="false">IF($A66="","",SUMIF('DỮ LIỆU'!$H$3:$H$1052,$A66,'DỮ LIỆU'!$J$3:$J$1052))</f>
        <v/>
      </c>
      <c r="D66" s="13" t="str">
        <f aca="false">IF($A66="","",SUMIF('DỮ LIỆU'!$H$3:$H$1052,$A66,'DỮ LIỆU'!$P$3:$P$1052))</f>
        <v/>
      </c>
      <c r="E66" s="13" t="str">
        <f aca="false">IF($A66="","",SUMIF('DỮ LIỆU'!$H$3:$H$1052,$A66,'DỮ LIỆU'!$Q$3:$Q$1052))</f>
        <v/>
      </c>
      <c r="F66" s="14" t="str">
        <f aca="false">IF(OR($A66="",$C66=0),"",$E66/$C66)</f>
        <v/>
      </c>
    </row>
    <row r="67" customFormat="false" ht="15" hidden="false" customHeight="false" outlineLevel="0" collapsed="false">
      <c r="A67" s="21" t="str">
        <f aca="false">IFERROR(INDEX('DỮ LIỆU'!$H$3:$H$1052,MATCH(38,'DỮ LIỆU'!$X$3:$X$1052,0)),"")</f>
        <v/>
      </c>
      <c r="B67" s="13" t="str">
        <f aca="false">IF($A67="","",SUMIF('DỮ LIỆU'!$H$3:$H$1052,$A67,'DỮ LIỆU'!$I$3:$I$1052))</f>
        <v/>
      </c>
      <c r="C67" s="13" t="str">
        <f aca="false">IF($A67="","",SUMIF('DỮ LIỆU'!$H$3:$H$1052,$A67,'DỮ LIỆU'!$J$3:$J$1052))</f>
        <v/>
      </c>
      <c r="D67" s="13" t="str">
        <f aca="false">IF($A67="","",SUMIF('DỮ LIỆU'!$H$3:$H$1052,$A67,'DỮ LIỆU'!$P$3:$P$1052))</f>
        <v/>
      </c>
      <c r="E67" s="13" t="str">
        <f aca="false">IF($A67="","",SUMIF('DỮ LIỆU'!$H$3:$H$1052,$A67,'DỮ LIỆU'!$Q$3:$Q$1052))</f>
        <v/>
      </c>
      <c r="F67" s="14" t="str">
        <f aca="false">IF(OR($A67="",$C67=0),"",$E67/$C67)</f>
        <v/>
      </c>
    </row>
    <row r="68" customFormat="false" ht="15" hidden="false" customHeight="false" outlineLevel="0" collapsed="false">
      <c r="A68" s="21" t="str">
        <f aca="false">IFERROR(INDEX('DỮ LIỆU'!$H$3:$H$1052,MATCH(39,'DỮ LIỆU'!$X$3:$X$1052,0)),"")</f>
        <v/>
      </c>
      <c r="B68" s="13" t="str">
        <f aca="false">IF($A68="","",SUMIF('DỮ LIỆU'!$H$3:$H$1052,$A68,'DỮ LIỆU'!$I$3:$I$1052))</f>
        <v/>
      </c>
      <c r="C68" s="13" t="str">
        <f aca="false">IF($A68="","",SUMIF('DỮ LIỆU'!$H$3:$H$1052,$A68,'DỮ LIỆU'!$J$3:$J$1052))</f>
        <v/>
      </c>
      <c r="D68" s="13" t="str">
        <f aca="false">IF($A68="","",SUMIF('DỮ LIỆU'!$H$3:$H$1052,$A68,'DỮ LIỆU'!$P$3:$P$1052))</f>
        <v/>
      </c>
      <c r="E68" s="13" t="str">
        <f aca="false">IF($A68="","",SUMIF('DỮ LIỆU'!$H$3:$H$1052,$A68,'DỮ LIỆU'!$Q$3:$Q$1052))</f>
        <v/>
      </c>
      <c r="F68" s="14" t="str">
        <f aca="false">IF(OR($A68="",$C68=0),"",$E68/$C68)</f>
        <v/>
      </c>
    </row>
    <row r="69" customFormat="false" ht="15" hidden="false" customHeight="false" outlineLevel="0" collapsed="false">
      <c r="A69" s="21" t="str">
        <f aca="false">IFERROR(INDEX('DỮ LIỆU'!$H$3:$H$1052,MATCH(40,'DỮ LIỆU'!$X$3:$X$1052,0)),"")</f>
        <v/>
      </c>
      <c r="B69" s="13" t="str">
        <f aca="false">IF($A69="","",SUMIF('DỮ LIỆU'!$H$3:$H$1052,$A69,'DỮ LIỆU'!$I$3:$I$1052))</f>
        <v/>
      </c>
      <c r="C69" s="13" t="str">
        <f aca="false">IF($A69="","",SUMIF('DỮ LIỆU'!$H$3:$H$1052,$A69,'DỮ LIỆU'!$J$3:$J$1052))</f>
        <v/>
      </c>
      <c r="D69" s="13" t="str">
        <f aca="false">IF($A69="","",SUMIF('DỮ LIỆU'!$H$3:$H$1052,$A69,'DỮ LIỆU'!$P$3:$P$1052))</f>
        <v/>
      </c>
      <c r="E69" s="13" t="str">
        <f aca="false">IF($A69="","",SUMIF('DỮ LIỆU'!$H$3:$H$1052,$A69,'DỮ LIỆU'!$Q$3:$Q$1052))</f>
        <v/>
      </c>
      <c r="F69" s="14" t="str">
        <f aca="false">IF(OR($A69="",$C69=0),"",$E69/$C69)</f>
        <v/>
      </c>
    </row>
    <row r="70" customFormat="false" ht="15" hidden="false" customHeight="false" outlineLevel="0" collapsed="false">
      <c r="A70" s="21" t="str">
        <f aca="false">IFERROR(INDEX('DỮ LIỆU'!$H$3:$H$1052,MATCH(41,'DỮ LIỆU'!$X$3:$X$1052,0)),"")</f>
        <v/>
      </c>
      <c r="B70" s="13" t="str">
        <f aca="false">IF($A70="","",SUMIF('DỮ LIỆU'!$H$3:$H$1052,$A70,'DỮ LIỆU'!$I$3:$I$1052))</f>
        <v/>
      </c>
      <c r="C70" s="13" t="str">
        <f aca="false">IF($A70="","",SUMIF('DỮ LIỆU'!$H$3:$H$1052,$A70,'DỮ LIỆU'!$J$3:$J$1052))</f>
        <v/>
      </c>
      <c r="D70" s="13" t="str">
        <f aca="false">IF($A70="","",SUMIF('DỮ LIỆU'!$H$3:$H$1052,$A70,'DỮ LIỆU'!$P$3:$P$1052))</f>
        <v/>
      </c>
      <c r="E70" s="13" t="str">
        <f aca="false">IF($A70="","",SUMIF('DỮ LIỆU'!$H$3:$H$1052,$A70,'DỮ LIỆU'!$Q$3:$Q$1052))</f>
        <v/>
      </c>
      <c r="F70" s="14" t="str">
        <f aca="false">IF(OR($A70="",$C70=0),"",$E70/$C70)</f>
        <v/>
      </c>
    </row>
    <row r="71" customFormat="false" ht="15" hidden="false" customHeight="false" outlineLevel="0" collapsed="false">
      <c r="A71" s="21" t="str">
        <f aca="false">IFERROR(INDEX('DỮ LIỆU'!$H$3:$H$1052,MATCH(42,'DỮ LIỆU'!$X$3:$X$1052,0)),"")</f>
        <v/>
      </c>
      <c r="B71" s="13" t="str">
        <f aca="false">IF($A71="","",SUMIF('DỮ LIỆU'!$H$3:$H$1052,$A71,'DỮ LIỆU'!$I$3:$I$1052))</f>
        <v/>
      </c>
      <c r="C71" s="13" t="str">
        <f aca="false">IF($A71="","",SUMIF('DỮ LIỆU'!$H$3:$H$1052,$A71,'DỮ LIỆU'!$J$3:$J$1052))</f>
        <v/>
      </c>
      <c r="D71" s="13" t="str">
        <f aca="false">IF($A71="","",SUMIF('DỮ LIỆU'!$H$3:$H$1052,$A71,'DỮ LIỆU'!$P$3:$P$1052))</f>
        <v/>
      </c>
      <c r="E71" s="13" t="str">
        <f aca="false">IF($A71="","",SUMIF('DỮ LIỆU'!$H$3:$H$1052,$A71,'DỮ LIỆU'!$Q$3:$Q$1052))</f>
        <v/>
      </c>
      <c r="F71" s="14" t="str">
        <f aca="false">IF(OR($A71="",$C71=0),"",$E71/$C71)</f>
        <v/>
      </c>
    </row>
    <row r="72" customFormat="false" ht="15" hidden="false" customHeight="false" outlineLevel="0" collapsed="false">
      <c r="A72" s="21" t="str">
        <f aca="false">IFERROR(INDEX('DỮ LIỆU'!$H$3:$H$1052,MATCH(43,'DỮ LIỆU'!$X$3:$X$1052,0)),"")</f>
        <v/>
      </c>
      <c r="B72" s="13" t="str">
        <f aca="false">IF($A72="","",SUMIF('DỮ LIỆU'!$H$3:$H$1052,$A72,'DỮ LIỆU'!$I$3:$I$1052))</f>
        <v/>
      </c>
      <c r="C72" s="13" t="str">
        <f aca="false">IF($A72="","",SUMIF('DỮ LIỆU'!$H$3:$H$1052,$A72,'DỮ LIỆU'!$J$3:$J$1052))</f>
        <v/>
      </c>
      <c r="D72" s="13" t="str">
        <f aca="false">IF($A72="","",SUMIF('DỮ LIỆU'!$H$3:$H$1052,$A72,'DỮ LIỆU'!$P$3:$P$1052))</f>
        <v/>
      </c>
      <c r="E72" s="13" t="str">
        <f aca="false">IF($A72="","",SUMIF('DỮ LIỆU'!$H$3:$H$1052,$A72,'DỮ LIỆU'!$Q$3:$Q$1052))</f>
        <v/>
      </c>
      <c r="F72" s="14" t="str">
        <f aca="false">IF(OR($A72="",$C72=0),"",$E72/$C72)</f>
        <v/>
      </c>
    </row>
    <row r="73" customFormat="false" ht="15" hidden="false" customHeight="false" outlineLevel="0" collapsed="false">
      <c r="A73" s="21" t="str">
        <f aca="false">IFERROR(INDEX('DỮ LIỆU'!$H$3:$H$1052,MATCH(44,'DỮ LIỆU'!$X$3:$X$1052,0)),"")</f>
        <v/>
      </c>
      <c r="B73" s="13" t="str">
        <f aca="false">IF($A73="","",SUMIF('DỮ LIỆU'!$H$3:$H$1052,$A73,'DỮ LIỆU'!$I$3:$I$1052))</f>
        <v/>
      </c>
      <c r="C73" s="13" t="str">
        <f aca="false">IF($A73="","",SUMIF('DỮ LIỆU'!$H$3:$H$1052,$A73,'DỮ LIỆU'!$J$3:$J$1052))</f>
        <v/>
      </c>
      <c r="D73" s="13" t="str">
        <f aca="false">IF($A73="","",SUMIF('DỮ LIỆU'!$H$3:$H$1052,$A73,'DỮ LIỆU'!$P$3:$P$1052))</f>
        <v/>
      </c>
      <c r="E73" s="13" t="str">
        <f aca="false">IF($A73="","",SUMIF('DỮ LIỆU'!$H$3:$H$1052,$A73,'DỮ LIỆU'!$Q$3:$Q$1052))</f>
        <v/>
      </c>
      <c r="F73" s="14" t="str">
        <f aca="false">IF(OR($A73="",$C73=0),"",$E73/$C73)</f>
        <v/>
      </c>
    </row>
    <row r="74" customFormat="false" ht="15" hidden="false" customHeight="false" outlineLevel="0" collapsed="false">
      <c r="A74" s="21" t="str">
        <f aca="false">IFERROR(INDEX('DỮ LIỆU'!$H$3:$H$1052,MATCH(45,'DỮ LIỆU'!$X$3:$X$1052,0)),"")</f>
        <v/>
      </c>
      <c r="B74" s="13" t="str">
        <f aca="false">IF($A74="","",SUMIF('DỮ LIỆU'!$H$3:$H$1052,$A74,'DỮ LIỆU'!$I$3:$I$1052))</f>
        <v/>
      </c>
      <c r="C74" s="13" t="str">
        <f aca="false">IF($A74="","",SUMIF('DỮ LIỆU'!$H$3:$H$1052,$A74,'DỮ LIỆU'!$J$3:$J$1052))</f>
        <v/>
      </c>
      <c r="D74" s="13" t="str">
        <f aca="false">IF($A74="","",SUMIF('DỮ LIỆU'!$H$3:$H$1052,$A74,'DỮ LIỆU'!$P$3:$P$1052))</f>
        <v/>
      </c>
      <c r="E74" s="13" t="str">
        <f aca="false">IF($A74="","",SUMIF('DỮ LIỆU'!$H$3:$H$1052,$A74,'DỮ LIỆU'!$Q$3:$Q$1052))</f>
        <v/>
      </c>
      <c r="F74" s="14" t="str">
        <f aca="false">IF(OR($A74="",$C74=0),"",$E74/$C74)</f>
        <v/>
      </c>
    </row>
    <row r="75" customFormat="false" ht="15" hidden="false" customHeight="false" outlineLevel="0" collapsed="false">
      <c r="A75" s="21" t="str">
        <f aca="false">IFERROR(INDEX('DỮ LIỆU'!$H$3:$H$1052,MATCH(46,'DỮ LIỆU'!$X$3:$X$1052,0)),"")</f>
        <v/>
      </c>
      <c r="B75" s="13" t="str">
        <f aca="false">IF($A75="","",SUMIF('DỮ LIỆU'!$H$3:$H$1052,$A75,'DỮ LIỆU'!$I$3:$I$1052))</f>
        <v/>
      </c>
      <c r="C75" s="13" t="str">
        <f aca="false">IF($A75="","",SUMIF('DỮ LIỆU'!$H$3:$H$1052,$A75,'DỮ LIỆU'!$J$3:$J$1052))</f>
        <v/>
      </c>
      <c r="D75" s="13" t="str">
        <f aca="false">IF($A75="","",SUMIF('DỮ LIỆU'!$H$3:$H$1052,$A75,'DỮ LIỆU'!$P$3:$P$1052))</f>
        <v/>
      </c>
      <c r="E75" s="13" t="str">
        <f aca="false">IF($A75="","",SUMIF('DỮ LIỆU'!$H$3:$H$1052,$A75,'DỮ LIỆU'!$Q$3:$Q$1052))</f>
        <v/>
      </c>
      <c r="F75" s="14" t="str">
        <f aca="false">IF(OR($A75="",$C75=0),"",$E75/$C75)</f>
        <v/>
      </c>
    </row>
    <row r="76" customFormat="false" ht="15" hidden="false" customHeight="false" outlineLevel="0" collapsed="false">
      <c r="A76" s="21" t="str">
        <f aca="false">IFERROR(INDEX('DỮ LIỆU'!$H$3:$H$1052,MATCH(47,'DỮ LIỆU'!$X$3:$X$1052,0)),"")</f>
        <v/>
      </c>
      <c r="B76" s="13" t="str">
        <f aca="false">IF($A76="","",SUMIF('DỮ LIỆU'!$H$3:$H$1052,$A76,'DỮ LIỆU'!$I$3:$I$1052))</f>
        <v/>
      </c>
      <c r="C76" s="13" t="str">
        <f aca="false">IF($A76="","",SUMIF('DỮ LIỆU'!$H$3:$H$1052,$A76,'DỮ LIỆU'!$J$3:$J$1052))</f>
        <v/>
      </c>
      <c r="D76" s="13" t="str">
        <f aca="false">IF($A76="","",SUMIF('DỮ LIỆU'!$H$3:$H$1052,$A76,'DỮ LIỆU'!$P$3:$P$1052))</f>
        <v/>
      </c>
      <c r="E76" s="13" t="str">
        <f aca="false">IF($A76="","",SUMIF('DỮ LIỆU'!$H$3:$H$1052,$A76,'DỮ LIỆU'!$Q$3:$Q$1052))</f>
        <v/>
      </c>
      <c r="F76" s="14" t="str">
        <f aca="false">IF(OR($A76="",$C76=0),"",$E76/$C76)</f>
        <v/>
      </c>
    </row>
    <row r="77" customFormat="false" ht="15" hidden="false" customHeight="false" outlineLevel="0" collapsed="false">
      <c r="A77" s="21" t="str">
        <f aca="false">IFERROR(INDEX('DỮ LIỆU'!$H$3:$H$1052,MATCH(48,'DỮ LIỆU'!$X$3:$X$1052,0)),"")</f>
        <v/>
      </c>
      <c r="B77" s="13" t="str">
        <f aca="false">IF($A77="","",SUMIF('DỮ LIỆU'!$H$3:$H$1052,$A77,'DỮ LIỆU'!$I$3:$I$1052))</f>
        <v/>
      </c>
      <c r="C77" s="13" t="str">
        <f aca="false">IF($A77="","",SUMIF('DỮ LIỆU'!$H$3:$H$1052,$A77,'DỮ LIỆU'!$J$3:$J$1052))</f>
        <v/>
      </c>
      <c r="D77" s="13" t="str">
        <f aca="false">IF($A77="","",SUMIF('DỮ LIỆU'!$H$3:$H$1052,$A77,'DỮ LIỆU'!$P$3:$P$1052))</f>
        <v/>
      </c>
      <c r="E77" s="13" t="str">
        <f aca="false">IF($A77="","",SUMIF('DỮ LIỆU'!$H$3:$H$1052,$A77,'DỮ LIỆU'!$Q$3:$Q$1052))</f>
        <v/>
      </c>
      <c r="F77" s="14" t="str">
        <f aca="false">IF(OR($A77="",$C77=0),"",$E77/$C77)</f>
        <v/>
      </c>
    </row>
    <row r="78" customFormat="false" ht="15" hidden="false" customHeight="false" outlineLevel="0" collapsed="false">
      <c r="A78" s="21" t="str">
        <f aca="false">IFERROR(INDEX('DỮ LIỆU'!$H$3:$H$1052,MATCH(49,'DỮ LIỆU'!$X$3:$X$1052,0)),"")</f>
        <v/>
      </c>
      <c r="B78" s="13" t="str">
        <f aca="false">IF($A78="","",SUMIF('DỮ LIỆU'!$H$3:$H$1052,$A78,'DỮ LIỆU'!$I$3:$I$1052))</f>
        <v/>
      </c>
      <c r="C78" s="13" t="str">
        <f aca="false">IF($A78="","",SUMIF('DỮ LIỆU'!$H$3:$H$1052,$A78,'DỮ LIỆU'!$J$3:$J$1052))</f>
        <v/>
      </c>
      <c r="D78" s="13" t="str">
        <f aca="false">IF($A78="","",SUMIF('DỮ LIỆU'!$H$3:$H$1052,$A78,'DỮ LIỆU'!$P$3:$P$1052))</f>
        <v/>
      </c>
      <c r="E78" s="13" t="str">
        <f aca="false">IF($A78="","",SUMIF('DỮ LIỆU'!$H$3:$H$1052,$A78,'DỮ LIỆU'!$Q$3:$Q$1052))</f>
        <v/>
      </c>
      <c r="F78" s="14" t="str">
        <f aca="false">IF(OR($A78="",$C78=0),"",$E78/$C78)</f>
        <v/>
      </c>
    </row>
    <row r="79" customFormat="false" ht="15" hidden="false" customHeight="false" outlineLevel="0" collapsed="false">
      <c r="A79" s="21" t="str">
        <f aca="false">IFERROR(INDEX('DỮ LIỆU'!$H$3:$H$1052,MATCH(50,'DỮ LIỆU'!$X$3:$X$1052,0)),"")</f>
        <v/>
      </c>
      <c r="B79" s="13" t="str">
        <f aca="false">IF($A79="","",SUMIF('DỮ LIỆU'!$H$3:$H$1052,$A79,'DỮ LIỆU'!$I$3:$I$1052))</f>
        <v/>
      </c>
      <c r="C79" s="13" t="str">
        <f aca="false">IF($A79="","",SUMIF('DỮ LIỆU'!$H$3:$H$1052,$A79,'DỮ LIỆU'!$J$3:$J$1052))</f>
        <v/>
      </c>
      <c r="D79" s="13" t="str">
        <f aca="false">IF($A79="","",SUMIF('DỮ LIỆU'!$H$3:$H$1052,$A79,'DỮ LIỆU'!$P$3:$P$1052))</f>
        <v/>
      </c>
      <c r="E79" s="13" t="str">
        <f aca="false">IF($A79="","",SUMIF('DỮ LIỆU'!$H$3:$H$1052,$A79,'DỮ LIỆU'!$Q$3:$Q$1052))</f>
        <v/>
      </c>
      <c r="F79" s="14" t="str">
        <f aca="false">IF(OR($A79="",$C79=0),"",$E79/$C79)</f>
        <v/>
      </c>
    </row>
    <row r="80" customFormat="false" ht="15" hidden="false" customHeight="false" outlineLevel="0" collapsed="false">
      <c r="A80" s="21" t="str">
        <f aca="false">IFERROR(INDEX('DỮ LIỆU'!$H$3:$H$1052,MATCH(51,'DỮ LIỆU'!$X$3:$X$1052,0)),"")</f>
        <v/>
      </c>
      <c r="B80" s="13" t="str">
        <f aca="false">IF($A80="","",SUMIF('DỮ LIỆU'!$H$3:$H$1052,$A80,'DỮ LIỆU'!$I$3:$I$1052))</f>
        <v/>
      </c>
      <c r="C80" s="13" t="str">
        <f aca="false">IF($A80="","",SUMIF('DỮ LIỆU'!$H$3:$H$1052,$A80,'DỮ LIỆU'!$J$3:$J$1052))</f>
        <v/>
      </c>
      <c r="D80" s="13" t="str">
        <f aca="false">IF($A80="","",SUMIF('DỮ LIỆU'!$H$3:$H$1052,$A80,'DỮ LIỆU'!$P$3:$P$1052))</f>
        <v/>
      </c>
      <c r="E80" s="13" t="str">
        <f aca="false">IF($A80="","",SUMIF('DỮ LIỆU'!$H$3:$H$1052,$A80,'DỮ LIỆU'!$Q$3:$Q$1052))</f>
        <v/>
      </c>
      <c r="F80" s="14" t="str">
        <f aca="false">IF(OR($A80="",$C80=0),"",$E80/$C80)</f>
        <v/>
      </c>
    </row>
    <row r="81" customFormat="false" ht="15" hidden="false" customHeight="false" outlineLevel="0" collapsed="false">
      <c r="A81" s="21" t="str">
        <f aca="false">IFERROR(INDEX('DỮ LIỆU'!$H$3:$H$1052,MATCH(52,'DỮ LIỆU'!$X$3:$X$1052,0)),"")</f>
        <v/>
      </c>
      <c r="B81" s="13" t="str">
        <f aca="false">IF($A81="","",SUMIF('DỮ LIỆU'!$H$3:$H$1052,$A81,'DỮ LIỆU'!$I$3:$I$1052))</f>
        <v/>
      </c>
      <c r="C81" s="13" t="str">
        <f aca="false">IF($A81="","",SUMIF('DỮ LIỆU'!$H$3:$H$1052,$A81,'DỮ LIỆU'!$J$3:$J$1052))</f>
        <v/>
      </c>
      <c r="D81" s="13" t="str">
        <f aca="false">IF($A81="","",SUMIF('DỮ LIỆU'!$H$3:$H$1052,$A81,'DỮ LIỆU'!$P$3:$P$1052))</f>
        <v/>
      </c>
      <c r="E81" s="13" t="str">
        <f aca="false">IF($A81="","",SUMIF('DỮ LIỆU'!$H$3:$H$1052,$A81,'DỮ LIỆU'!$Q$3:$Q$1052))</f>
        <v/>
      </c>
      <c r="F81" s="14" t="str">
        <f aca="false">IF(OR($A81="",$C81=0),"",$E81/$C81)</f>
        <v/>
      </c>
    </row>
    <row r="82" customFormat="false" ht="15" hidden="false" customHeight="false" outlineLevel="0" collapsed="false">
      <c r="A82" s="21" t="str">
        <f aca="false">IFERROR(INDEX('DỮ LIỆU'!$H$3:$H$1052,MATCH(53,'DỮ LIỆU'!$X$3:$X$1052,0)),"")</f>
        <v/>
      </c>
      <c r="B82" s="13" t="str">
        <f aca="false">IF($A82="","",SUMIF('DỮ LIỆU'!$H$3:$H$1052,$A82,'DỮ LIỆU'!$I$3:$I$1052))</f>
        <v/>
      </c>
      <c r="C82" s="13" t="str">
        <f aca="false">IF($A82="","",SUMIF('DỮ LIỆU'!$H$3:$H$1052,$A82,'DỮ LIỆU'!$J$3:$J$1052))</f>
        <v/>
      </c>
      <c r="D82" s="13" t="str">
        <f aca="false">IF($A82="","",SUMIF('DỮ LIỆU'!$H$3:$H$1052,$A82,'DỮ LIỆU'!$P$3:$P$1052))</f>
        <v/>
      </c>
      <c r="E82" s="13" t="str">
        <f aca="false">IF($A82="","",SUMIF('DỮ LIỆU'!$H$3:$H$1052,$A82,'DỮ LIỆU'!$Q$3:$Q$1052))</f>
        <v/>
      </c>
      <c r="F82" s="14" t="str">
        <f aca="false">IF(OR($A82="",$C82=0),"",$E82/$C82)</f>
        <v/>
      </c>
    </row>
    <row r="83" customFormat="false" ht="15" hidden="false" customHeight="false" outlineLevel="0" collapsed="false">
      <c r="A83" s="21" t="str">
        <f aca="false">IFERROR(INDEX('DỮ LIỆU'!$H$3:$H$1052,MATCH(54,'DỮ LIỆU'!$X$3:$X$1052,0)),"")</f>
        <v/>
      </c>
      <c r="B83" s="13" t="str">
        <f aca="false">IF($A83="","",SUMIF('DỮ LIỆU'!$H$3:$H$1052,$A83,'DỮ LIỆU'!$I$3:$I$1052))</f>
        <v/>
      </c>
      <c r="C83" s="13" t="str">
        <f aca="false">IF($A83="","",SUMIF('DỮ LIỆU'!$H$3:$H$1052,$A83,'DỮ LIỆU'!$J$3:$J$1052))</f>
        <v/>
      </c>
      <c r="D83" s="13" t="str">
        <f aca="false">IF($A83="","",SUMIF('DỮ LIỆU'!$H$3:$H$1052,$A83,'DỮ LIỆU'!$P$3:$P$1052))</f>
        <v/>
      </c>
      <c r="E83" s="13" t="str">
        <f aca="false">IF($A83="","",SUMIF('DỮ LIỆU'!$H$3:$H$1052,$A83,'DỮ LIỆU'!$Q$3:$Q$1052))</f>
        <v/>
      </c>
      <c r="F83" s="14" t="str">
        <f aca="false">IF(OR($A83="",$C83=0),"",$E83/$C83)</f>
        <v/>
      </c>
    </row>
    <row r="84" customFormat="false" ht="15" hidden="false" customHeight="false" outlineLevel="0" collapsed="false">
      <c r="A84" s="21" t="str">
        <f aca="false">IFERROR(INDEX('DỮ LIỆU'!$H$3:$H$1052,MATCH(55,'DỮ LIỆU'!$X$3:$X$1052,0)),"")</f>
        <v/>
      </c>
      <c r="B84" s="13" t="str">
        <f aca="false">IF($A84="","",SUMIF('DỮ LIỆU'!$H$3:$H$1052,$A84,'DỮ LIỆU'!$I$3:$I$1052))</f>
        <v/>
      </c>
      <c r="C84" s="13" t="str">
        <f aca="false">IF($A84="","",SUMIF('DỮ LIỆU'!$H$3:$H$1052,$A84,'DỮ LIỆU'!$J$3:$J$1052))</f>
        <v/>
      </c>
      <c r="D84" s="13" t="str">
        <f aca="false">IF($A84="","",SUMIF('DỮ LIỆU'!$H$3:$H$1052,$A84,'DỮ LIỆU'!$P$3:$P$1052))</f>
        <v/>
      </c>
      <c r="E84" s="13" t="str">
        <f aca="false">IF($A84="","",SUMIF('DỮ LIỆU'!$H$3:$H$1052,$A84,'DỮ LIỆU'!$Q$3:$Q$1052))</f>
        <v/>
      </c>
      <c r="F84" s="14" t="str">
        <f aca="false">IF(OR($A84="",$C84=0),"",$E84/$C84)</f>
        <v/>
      </c>
    </row>
    <row r="85" customFormat="false" ht="15" hidden="false" customHeight="false" outlineLevel="0" collapsed="false">
      <c r="A85" s="21" t="str">
        <f aca="false">IFERROR(INDEX('DỮ LIỆU'!$H$3:$H$1052,MATCH(56,'DỮ LIỆU'!$X$3:$X$1052,0)),"")</f>
        <v/>
      </c>
      <c r="B85" s="13" t="str">
        <f aca="false">IF($A85="","",SUMIF('DỮ LIỆU'!$H$3:$H$1052,$A85,'DỮ LIỆU'!$I$3:$I$1052))</f>
        <v/>
      </c>
      <c r="C85" s="13" t="str">
        <f aca="false">IF($A85="","",SUMIF('DỮ LIỆU'!$H$3:$H$1052,$A85,'DỮ LIỆU'!$J$3:$J$1052))</f>
        <v/>
      </c>
      <c r="D85" s="13" t="str">
        <f aca="false">IF($A85="","",SUMIF('DỮ LIỆU'!$H$3:$H$1052,$A85,'DỮ LIỆU'!$P$3:$P$1052))</f>
        <v/>
      </c>
      <c r="E85" s="13" t="str">
        <f aca="false">IF($A85="","",SUMIF('DỮ LIỆU'!$H$3:$H$1052,$A85,'DỮ LIỆU'!$Q$3:$Q$1052))</f>
        <v/>
      </c>
      <c r="F85" s="14" t="str">
        <f aca="false">IF(OR($A85="",$C85=0),"",$E85/$C85)</f>
        <v/>
      </c>
    </row>
    <row r="86" customFormat="false" ht="15" hidden="false" customHeight="false" outlineLevel="0" collapsed="false">
      <c r="A86" s="21" t="str">
        <f aca="false">IFERROR(INDEX('DỮ LIỆU'!$H$3:$H$1052,MATCH(57,'DỮ LIỆU'!$X$3:$X$1052,0)),"")</f>
        <v/>
      </c>
      <c r="B86" s="13" t="str">
        <f aca="false">IF($A86="","",SUMIF('DỮ LIỆU'!$H$3:$H$1052,$A86,'DỮ LIỆU'!$I$3:$I$1052))</f>
        <v/>
      </c>
      <c r="C86" s="13" t="str">
        <f aca="false">IF($A86="","",SUMIF('DỮ LIỆU'!$H$3:$H$1052,$A86,'DỮ LIỆU'!$J$3:$J$1052))</f>
        <v/>
      </c>
      <c r="D86" s="13" t="str">
        <f aca="false">IF($A86="","",SUMIF('DỮ LIỆU'!$H$3:$H$1052,$A86,'DỮ LIỆU'!$P$3:$P$1052))</f>
        <v/>
      </c>
      <c r="E86" s="13" t="str">
        <f aca="false">IF($A86="","",SUMIF('DỮ LIỆU'!$H$3:$H$1052,$A86,'DỮ LIỆU'!$Q$3:$Q$1052))</f>
        <v/>
      </c>
      <c r="F86" s="14" t="str">
        <f aca="false">IF(OR($A86="",$C86=0),"",$E86/$C86)</f>
        <v/>
      </c>
    </row>
    <row r="87" customFormat="false" ht="15" hidden="false" customHeight="false" outlineLevel="0" collapsed="false">
      <c r="A87" s="21" t="str">
        <f aca="false">IFERROR(INDEX('DỮ LIỆU'!$H$3:$H$1052,MATCH(58,'DỮ LIỆU'!$X$3:$X$1052,0)),"")</f>
        <v/>
      </c>
      <c r="B87" s="13" t="str">
        <f aca="false">IF($A87="","",SUMIF('DỮ LIỆU'!$H$3:$H$1052,$A87,'DỮ LIỆU'!$I$3:$I$1052))</f>
        <v/>
      </c>
      <c r="C87" s="13" t="str">
        <f aca="false">IF($A87="","",SUMIF('DỮ LIỆU'!$H$3:$H$1052,$A87,'DỮ LIỆU'!$J$3:$J$1052))</f>
        <v/>
      </c>
      <c r="D87" s="13" t="str">
        <f aca="false">IF($A87="","",SUMIF('DỮ LIỆU'!$H$3:$H$1052,$A87,'DỮ LIỆU'!$P$3:$P$1052))</f>
        <v/>
      </c>
      <c r="E87" s="13" t="str">
        <f aca="false">IF($A87="","",SUMIF('DỮ LIỆU'!$H$3:$H$1052,$A87,'DỮ LIỆU'!$Q$3:$Q$1052))</f>
        <v/>
      </c>
      <c r="F87" s="14" t="str">
        <f aca="false">IF(OR($A87="",$C87=0),"",$E87/$C87)</f>
        <v/>
      </c>
    </row>
    <row r="88" customFormat="false" ht="15" hidden="false" customHeight="false" outlineLevel="0" collapsed="false">
      <c r="A88" s="21" t="str">
        <f aca="false">IFERROR(INDEX('DỮ LIỆU'!$H$3:$H$1052,MATCH(59,'DỮ LIỆU'!$X$3:$X$1052,0)),"")</f>
        <v/>
      </c>
      <c r="B88" s="13" t="str">
        <f aca="false">IF($A88="","",SUMIF('DỮ LIỆU'!$H$3:$H$1052,$A88,'DỮ LIỆU'!$I$3:$I$1052))</f>
        <v/>
      </c>
      <c r="C88" s="13" t="str">
        <f aca="false">IF($A88="","",SUMIF('DỮ LIỆU'!$H$3:$H$1052,$A88,'DỮ LIỆU'!$J$3:$J$1052))</f>
        <v/>
      </c>
      <c r="D88" s="13" t="str">
        <f aca="false">IF($A88="","",SUMIF('DỮ LIỆU'!$H$3:$H$1052,$A88,'DỮ LIỆU'!$P$3:$P$1052))</f>
        <v/>
      </c>
      <c r="E88" s="13" t="str">
        <f aca="false">IF($A88="","",SUMIF('DỮ LIỆU'!$H$3:$H$1052,$A88,'DỮ LIỆU'!$Q$3:$Q$1052))</f>
        <v/>
      </c>
      <c r="F88" s="14" t="str">
        <f aca="false">IF(OR($A88="",$C88=0),"",$E88/$C88)</f>
        <v/>
      </c>
    </row>
    <row r="89" customFormat="false" ht="15" hidden="false" customHeight="false" outlineLevel="0" collapsed="false">
      <c r="A89" s="21" t="str">
        <f aca="false">IFERROR(INDEX('DỮ LIỆU'!$H$3:$H$1052,MATCH(60,'DỮ LIỆU'!$X$3:$X$1052,0)),"")</f>
        <v/>
      </c>
      <c r="B89" s="13" t="str">
        <f aca="false">IF($A89="","",SUMIF('DỮ LIỆU'!$H$3:$H$1052,$A89,'DỮ LIỆU'!$I$3:$I$1052))</f>
        <v/>
      </c>
      <c r="C89" s="13" t="str">
        <f aca="false">IF($A89="","",SUMIF('DỮ LIỆU'!$H$3:$H$1052,$A89,'DỮ LIỆU'!$J$3:$J$1052))</f>
        <v/>
      </c>
      <c r="D89" s="13" t="str">
        <f aca="false">IF($A89="","",SUMIF('DỮ LIỆU'!$H$3:$H$1052,$A89,'DỮ LIỆU'!$P$3:$P$1052))</f>
        <v/>
      </c>
      <c r="E89" s="13" t="str">
        <f aca="false">IF($A89="","",SUMIF('DỮ LIỆU'!$H$3:$H$1052,$A89,'DỮ LIỆU'!$Q$3:$Q$1052))</f>
        <v/>
      </c>
      <c r="F89" s="14" t="str">
        <f aca="false">IF(OR($A89="",$C89=0),"",$E89/$C89)</f>
        <v/>
      </c>
    </row>
    <row r="90" customFormat="false" ht="15" hidden="false" customHeight="false" outlineLevel="0" collapsed="false">
      <c r="A90" s="21" t="str">
        <f aca="false">IFERROR(INDEX('DỮ LIỆU'!$H$3:$H$1052,MATCH(61,'DỮ LIỆU'!$X$3:$X$1052,0)),"")</f>
        <v/>
      </c>
      <c r="B90" s="13" t="str">
        <f aca="false">IF($A90="","",SUMIF('DỮ LIỆU'!$H$3:$H$1052,$A90,'DỮ LIỆU'!$I$3:$I$1052))</f>
        <v/>
      </c>
      <c r="C90" s="13" t="str">
        <f aca="false">IF($A90="","",SUMIF('DỮ LIỆU'!$H$3:$H$1052,$A90,'DỮ LIỆU'!$J$3:$J$1052))</f>
        <v/>
      </c>
      <c r="D90" s="13" t="str">
        <f aca="false">IF($A90="","",SUMIF('DỮ LIỆU'!$H$3:$H$1052,$A90,'DỮ LIỆU'!$P$3:$P$1052))</f>
        <v/>
      </c>
      <c r="E90" s="13" t="str">
        <f aca="false">IF($A90="","",SUMIF('DỮ LIỆU'!$H$3:$H$1052,$A90,'DỮ LIỆU'!$Q$3:$Q$1052))</f>
        <v/>
      </c>
      <c r="F90" s="14" t="str">
        <f aca="false">IF(OR($A90="",$C90=0),"",$E90/$C90)</f>
        <v/>
      </c>
    </row>
    <row r="91" customFormat="false" ht="15" hidden="false" customHeight="false" outlineLevel="0" collapsed="false">
      <c r="A91" s="21" t="str">
        <f aca="false">IFERROR(INDEX('DỮ LIỆU'!$H$3:$H$1052,MATCH(62,'DỮ LIỆU'!$X$3:$X$1052,0)),"")</f>
        <v/>
      </c>
      <c r="B91" s="13" t="str">
        <f aca="false">IF($A91="","",SUMIF('DỮ LIỆU'!$H$3:$H$1052,$A91,'DỮ LIỆU'!$I$3:$I$1052))</f>
        <v/>
      </c>
      <c r="C91" s="13" t="str">
        <f aca="false">IF($A91="","",SUMIF('DỮ LIỆU'!$H$3:$H$1052,$A91,'DỮ LIỆU'!$J$3:$J$1052))</f>
        <v/>
      </c>
      <c r="D91" s="13" t="str">
        <f aca="false">IF($A91="","",SUMIF('DỮ LIỆU'!$H$3:$H$1052,$A91,'DỮ LIỆU'!$P$3:$P$1052))</f>
        <v/>
      </c>
      <c r="E91" s="13" t="str">
        <f aca="false">IF($A91="","",SUMIF('DỮ LIỆU'!$H$3:$H$1052,$A91,'DỮ LIỆU'!$Q$3:$Q$1052))</f>
        <v/>
      </c>
      <c r="F91" s="14" t="str">
        <f aca="false">IF(OR($A91="",$C91=0),"",$E91/$C91)</f>
        <v/>
      </c>
    </row>
    <row r="92" customFormat="false" ht="15" hidden="false" customHeight="false" outlineLevel="0" collapsed="false">
      <c r="A92" s="21" t="str">
        <f aca="false">IFERROR(INDEX('DỮ LIỆU'!$H$3:$H$1052,MATCH(63,'DỮ LIỆU'!$X$3:$X$1052,0)),"")</f>
        <v/>
      </c>
      <c r="B92" s="13" t="str">
        <f aca="false">IF($A92="","",SUMIF('DỮ LIỆU'!$H$3:$H$1052,$A92,'DỮ LIỆU'!$I$3:$I$1052))</f>
        <v/>
      </c>
      <c r="C92" s="13" t="str">
        <f aca="false">IF($A92="","",SUMIF('DỮ LIỆU'!$H$3:$H$1052,$A92,'DỮ LIỆU'!$J$3:$J$1052))</f>
        <v/>
      </c>
      <c r="D92" s="13" t="str">
        <f aca="false">IF($A92="","",SUMIF('DỮ LIỆU'!$H$3:$H$1052,$A92,'DỮ LIỆU'!$P$3:$P$1052))</f>
        <v/>
      </c>
      <c r="E92" s="13" t="str">
        <f aca="false">IF($A92="","",SUMIF('DỮ LIỆU'!$H$3:$H$1052,$A92,'DỮ LIỆU'!$Q$3:$Q$1052))</f>
        <v/>
      </c>
      <c r="F92" s="14" t="str">
        <f aca="false">IF(OR($A92="",$C92=0),"",$E92/$C92)</f>
        <v/>
      </c>
    </row>
    <row r="93" customFormat="false" ht="15" hidden="false" customHeight="false" outlineLevel="0" collapsed="false">
      <c r="A93" s="21" t="str">
        <f aca="false">IFERROR(INDEX('DỮ LIỆU'!$H$3:$H$1052,MATCH(64,'DỮ LIỆU'!$X$3:$X$1052,0)),"")</f>
        <v/>
      </c>
      <c r="B93" s="13" t="str">
        <f aca="false">IF($A93="","",SUMIF('DỮ LIỆU'!$H$3:$H$1052,$A93,'DỮ LIỆU'!$I$3:$I$1052))</f>
        <v/>
      </c>
      <c r="C93" s="13" t="str">
        <f aca="false">IF($A93="","",SUMIF('DỮ LIỆU'!$H$3:$H$1052,$A93,'DỮ LIỆU'!$J$3:$J$1052))</f>
        <v/>
      </c>
      <c r="D93" s="13" t="str">
        <f aca="false">IF($A93="","",SUMIF('DỮ LIỆU'!$H$3:$H$1052,$A93,'DỮ LIỆU'!$P$3:$P$1052))</f>
        <v/>
      </c>
      <c r="E93" s="13" t="str">
        <f aca="false">IF($A93="","",SUMIF('DỮ LIỆU'!$H$3:$H$1052,$A93,'DỮ LIỆU'!$Q$3:$Q$1052))</f>
        <v/>
      </c>
      <c r="F93" s="14" t="str">
        <f aca="false">IF(OR($A93="",$C93=0),"",$E93/$C93)</f>
        <v/>
      </c>
    </row>
    <row r="94" customFormat="false" ht="15" hidden="false" customHeight="false" outlineLevel="0" collapsed="false">
      <c r="A94" s="21" t="str">
        <f aca="false">IFERROR(INDEX('DỮ LIỆU'!$H$3:$H$1052,MATCH(65,'DỮ LIỆU'!$X$3:$X$1052,0)),"")</f>
        <v/>
      </c>
      <c r="B94" s="13" t="str">
        <f aca="false">IF($A94="","",SUMIF('DỮ LIỆU'!$H$3:$H$1052,$A94,'DỮ LIỆU'!$I$3:$I$1052))</f>
        <v/>
      </c>
      <c r="C94" s="13" t="str">
        <f aca="false">IF($A94="","",SUMIF('DỮ LIỆU'!$H$3:$H$1052,$A94,'DỮ LIỆU'!$J$3:$J$1052))</f>
        <v/>
      </c>
      <c r="D94" s="13" t="str">
        <f aca="false">IF($A94="","",SUMIF('DỮ LIỆU'!$H$3:$H$1052,$A94,'DỮ LIỆU'!$P$3:$P$1052))</f>
        <v/>
      </c>
      <c r="E94" s="13" t="str">
        <f aca="false">IF($A94="","",SUMIF('DỮ LIỆU'!$H$3:$H$1052,$A94,'DỮ LIỆU'!$Q$3:$Q$1052))</f>
        <v/>
      </c>
      <c r="F94" s="14" t="str">
        <f aca="false">IF(OR($A94="",$C94=0),"",$E94/$C94)</f>
        <v/>
      </c>
    </row>
    <row r="95" customFormat="false" ht="15" hidden="false" customHeight="false" outlineLevel="0" collapsed="false">
      <c r="A95" s="21" t="str">
        <f aca="false">IFERROR(INDEX('DỮ LIỆU'!$H$3:$H$1052,MATCH(66,'DỮ LIỆU'!$X$3:$X$1052,0)),"")</f>
        <v/>
      </c>
      <c r="B95" s="13" t="str">
        <f aca="false">IF($A95="","",SUMIF('DỮ LIỆU'!$H$3:$H$1052,$A95,'DỮ LIỆU'!$I$3:$I$1052))</f>
        <v/>
      </c>
      <c r="C95" s="13" t="str">
        <f aca="false">IF($A95="","",SUMIF('DỮ LIỆU'!$H$3:$H$1052,$A95,'DỮ LIỆU'!$J$3:$J$1052))</f>
        <v/>
      </c>
      <c r="D95" s="13" t="str">
        <f aca="false">IF($A95="","",SUMIF('DỮ LIỆU'!$H$3:$H$1052,$A95,'DỮ LIỆU'!$P$3:$P$1052))</f>
        <v/>
      </c>
      <c r="E95" s="13" t="str">
        <f aca="false">IF($A95="","",SUMIF('DỮ LIỆU'!$H$3:$H$1052,$A95,'DỮ LIỆU'!$Q$3:$Q$1052))</f>
        <v/>
      </c>
      <c r="F95" s="14" t="str">
        <f aca="false">IF(OR($A95="",$C95=0),"",$E95/$C95)</f>
        <v/>
      </c>
    </row>
    <row r="96" customFormat="false" ht="15" hidden="false" customHeight="false" outlineLevel="0" collapsed="false">
      <c r="A96" s="21" t="str">
        <f aca="false">IFERROR(INDEX('DỮ LIỆU'!$H$3:$H$1052,MATCH(67,'DỮ LIỆU'!$X$3:$X$1052,0)),"")</f>
        <v/>
      </c>
      <c r="B96" s="13" t="str">
        <f aca="false">IF($A96="","",SUMIF('DỮ LIỆU'!$H$3:$H$1052,$A96,'DỮ LIỆU'!$I$3:$I$1052))</f>
        <v/>
      </c>
      <c r="C96" s="13" t="str">
        <f aca="false">IF($A96="","",SUMIF('DỮ LIỆU'!$H$3:$H$1052,$A96,'DỮ LIỆU'!$J$3:$J$1052))</f>
        <v/>
      </c>
      <c r="D96" s="13" t="str">
        <f aca="false">IF($A96="","",SUMIF('DỮ LIỆU'!$H$3:$H$1052,$A96,'DỮ LIỆU'!$P$3:$P$1052))</f>
        <v/>
      </c>
      <c r="E96" s="13" t="str">
        <f aca="false">IF($A96="","",SUMIF('DỮ LIỆU'!$H$3:$H$1052,$A96,'DỮ LIỆU'!$Q$3:$Q$1052))</f>
        <v/>
      </c>
      <c r="F96" s="14" t="str">
        <f aca="false">IF(OR($A96="",$C96=0),"",$E96/$C96)</f>
        <v/>
      </c>
    </row>
    <row r="97" customFormat="false" ht="15" hidden="false" customHeight="false" outlineLevel="0" collapsed="false">
      <c r="A97" s="21" t="str">
        <f aca="false">IFERROR(INDEX('DỮ LIỆU'!$H$3:$H$1052,MATCH(68,'DỮ LIỆU'!$X$3:$X$1052,0)),"")</f>
        <v/>
      </c>
      <c r="B97" s="13" t="str">
        <f aca="false">IF($A97="","",SUMIF('DỮ LIỆU'!$H$3:$H$1052,$A97,'DỮ LIỆU'!$I$3:$I$1052))</f>
        <v/>
      </c>
      <c r="C97" s="13" t="str">
        <f aca="false">IF($A97="","",SUMIF('DỮ LIỆU'!$H$3:$H$1052,$A97,'DỮ LIỆU'!$J$3:$J$1052))</f>
        <v/>
      </c>
      <c r="D97" s="13" t="str">
        <f aca="false">IF($A97="","",SUMIF('DỮ LIỆU'!$H$3:$H$1052,$A97,'DỮ LIỆU'!$P$3:$P$1052))</f>
        <v/>
      </c>
      <c r="E97" s="13" t="str">
        <f aca="false">IF($A97="","",SUMIF('DỮ LIỆU'!$H$3:$H$1052,$A97,'DỮ LIỆU'!$Q$3:$Q$1052))</f>
        <v/>
      </c>
      <c r="F97" s="14" t="str">
        <f aca="false">IF(OR($A97="",$C97=0),"",$E97/$C97)</f>
        <v/>
      </c>
    </row>
    <row r="98" customFormat="false" ht="15" hidden="false" customHeight="false" outlineLevel="0" collapsed="false">
      <c r="A98" s="21" t="str">
        <f aca="false">IFERROR(INDEX('DỮ LIỆU'!$H$3:$H$1052,MATCH(69,'DỮ LIỆU'!$X$3:$X$1052,0)),"")</f>
        <v/>
      </c>
      <c r="B98" s="13" t="str">
        <f aca="false">IF($A98="","",SUMIF('DỮ LIỆU'!$H$3:$H$1052,$A98,'DỮ LIỆU'!$I$3:$I$1052))</f>
        <v/>
      </c>
      <c r="C98" s="13" t="str">
        <f aca="false">IF($A98="","",SUMIF('DỮ LIỆU'!$H$3:$H$1052,$A98,'DỮ LIỆU'!$J$3:$J$1052))</f>
        <v/>
      </c>
      <c r="D98" s="13" t="str">
        <f aca="false">IF($A98="","",SUMIF('DỮ LIỆU'!$H$3:$H$1052,$A98,'DỮ LIỆU'!$P$3:$P$1052))</f>
        <v/>
      </c>
      <c r="E98" s="13" t="str">
        <f aca="false">IF($A98="","",SUMIF('DỮ LIỆU'!$H$3:$H$1052,$A98,'DỮ LIỆU'!$Q$3:$Q$1052))</f>
        <v/>
      </c>
      <c r="F98" s="14" t="str">
        <f aca="false">IF(OR($A98="",$C98=0),"",$E98/$C98)</f>
        <v/>
      </c>
    </row>
    <row r="99" customFormat="false" ht="15" hidden="false" customHeight="false" outlineLevel="0" collapsed="false">
      <c r="A99" s="21" t="str">
        <f aca="false">IFERROR(INDEX('DỮ LIỆU'!$H$3:$H$1052,MATCH(70,'DỮ LIỆU'!$X$3:$X$1052,0)),"")</f>
        <v/>
      </c>
      <c r="B99" s="13" t="str">
        <f aca="false">IF($A99="","",SUMIF('DỮ LIỆU'!$H$3:$H$1052,$A99,'DỮ LIỆU'!$I$3:$I$1052))</f>
        <v/>
      </c>
      <c r="C99" s="13" t="str">
        <f aca="false">IF($A99="","",SUMIF('DỮ LIỆU'!$H$3:$H$1052,$A99,'DỮ LIỆU'!$J$3:$J$1052))</f>
        <v/>
      </c>
      <c r="D99" s="13" t="str">
        <f aca="false">IF($A99="","",SUMIF('DỮ LIỆU'!$H$3:$H$1052,$A99,'DỮ LIỆU'!$P$3:$P$1052))</f>
        <v/>
      </c>
      <c r="E99" s="13" t="str">
        <f aca="false">IF($A99="","",SUMIF('DỮ LIỆU'!$H$3:$H$1052,$A99,'DỮ LIỆU'!$Q$3:$Q$1052))</f>
        <v/>
      </c>
      <c r="F99" s="14" t="str">
        <f aca="false">IF(OR($A99="",$C99=0),"",$E99/$C99)</f>
        <v/>
      </c>
    </row>
    <row r="100" customFormat="false" ht="15" hidden="false" customHeight="false" outlineLevel="0" collapsed="false">
      <c r="A100" s="21" t="str">
        <f aca="false">IFERROR(INDEX('DỮ LIỆU'!$H$3:$H$1052,MATCH(71,'DỮ LIỆU'!$X$3:$X$1052,0)),"")</f>
        <v/>
      </c>
      <c r="B100" s="13" t="str">
        <f aca="false">IF($A100="","",SUMIF('DỮ LIỆU'!$H$3:$H$1052,$A100,'DỮ LIỆU'!$I$3:$I$1052))</f>
        <v/>
      </c>
      <c r="C100" s="13" t="str">
        <f aca="false">IF($A100="","",SUMIF('DỮ LIỆU'!$H$3:$H$1052,$A100,'DỮ LIỆU'!$J$3:$J$1052))</f>
        <v/>
      </c>
      <c r="D100" s="13" t="str">
        <f aca="false">IF($A100="","",SUMIF('DỮ LIỆU'!$H$3:$H$1052,$A100,'DỮ LIỆU'!$P$3:$P$1052))</f>
        <v/>
      </c>
      <c r="E100" s="13" t="str">
        <f aca="false">IF($A100="","",SUMIF('DỮ LIỆU'!$H$3:$H$1052,$A100,'DỮ LIỆU'!$Q$3:$Q$1052))</f>
        <v/>
      </c>
      <c r="F100" s="14" t="str">
        <f aca="false">IF(OR($A100="",$C100=0),"",$E100/$C100)</f>
        <v/>
      </c>
    </row>
    <row r="101" customFormat="false" ht="15" hidden="false" customHeight="false" outlineLevel="0" collapsed="false">
      <c r="A101" s="21" t="str">
        <f aca="false">IFERROR(INDEX('DỮ LIỆU'!$H$3:$H$1052,MATCH(72,'DỮ LIỆU'!$X$3:$X$1052,0)),"")</f>
        <v/>
      </c>
      <c r="B101" s="13" t="str">
        <f aca="false">IF($A101="","",SUMIF('DỮ LIỆU'!$H$3:$H$1052,$A101,'DỮ LIỆU'!$I$3:$I$1052))</f>
        <v/>
      </c>
      <c r="C101" s="13" t="str">
        <f aca="false">IF($A101="","",SUMIF('DỮ LIỆU'!$H$3:$H$1052,$A101,'DỮ LIỆU'!$J$3:$J$1052))</f>
        <v/>
      </c>
      <c r="D101" s="13" t="str">
        <f aca="false">IF($A101="","",SUMIF('DỮ LIỆU'!$H$3:$H$1052,$A101,'DỮ LIỆU'!$P$3:$P$1052))</f>
        <v/>
      </c>
      <c r="E101" s="13" t="str">
        <f aca="false">IF($A101="","",SUMIF('DỮ LIỆU'!$H$3:$H$1052,$A101,'DỮ LIỆU'!$Q$3:$Q$1052))</f>
        <v/>
      </c>
      <c r="F101" s="14" t="str">
        <f aca="false">IF(OR($A101="",$C101=0),"",$E101/$C101)</f>
        <v/>
      </c>
    </row>
    <row r="102" customFormat="false" ht="15" hidden="false" customHeight="false" outlineLevel="0" collapsed="false">
      <c r="A102" s="21" t="str">
        <f aca="false">IFERROR(INDEX('DỮ LIỆU'!$H$3:$H$1052,MATCH(73,'DỮ LIỆU'!$X$3:$X$1052,0)),"")</f>
        <v/>
      </c>
      <c r="B102" s="13" t="str">
        <f aca="false">IF($A102="","",SUMIF('DỮ LIỆU'!$H$3:$H$1052,$A102,'DỮ LIỆU'!$I$3:$I$1052))</f>
        <v/>
      </c>
      <c r="C102" s="13" t="str">
        <f aca="false">IF($A102="","",SUMIF('DỮ LIỆU'!$H$3:$H$1052,$A102,'DỮ LIỆU'!$J$3:$J$1052))</f>
        <v/>
      </c>
      <c r="D102" s="13" t="str">
        <f aca="false">IF($A102="","",SUMIF('DỮ LIỆU'!$H$3:$H$1052,$A102,'DỮ LIỆU'!$P$3:$P$1052))</f>
        <v/>
      </c>
      <c r="E102" s="13" t="str">
        <f aca="false">IF($A102="","",SUMIF('DỮ LIỆU'!$H$3:$H$1052,$A102,'DỮ LIỆU'!$Q$3:$Q$1052))</f>
        <v/>
      </c>
      <c r="F102" s="14" t="str">
        <f aca="false">IF(OR($A102="",$C102=0),"",$E102/$C102)</f>
        <v/>
      </c>
    </row>
    <row r="103" customFormat="false" ht="15" hidden="false" customHeight="false" outlineLevel="0" collapsed="false">
      <c r="A103" s="21" t="str">
        <f aca="false">IFERROR(INDEX('DỮ LIỆU'!$H$3:$H$1052,MATCH(74,'DỮ LIỆU'!$X$3:$X$1052,0)),"")</f>
        <v/>
      </c>
      <c r="B103" s="13" t="str">
        <f aca="false">IF($A103="","",SUMIF('DỮ LIỆU'!$H$3:$H$1052,$A103,'DỮ LIỆU'!$I$3:$I$1052))</f>
        <v/>
      </c>
      <c r="C103" s="13" t="str">
        <f aca="false">IF($A103="","",SUMIF('DỮ LIỆU'!$H$3:$H$1052,$A103,'DỮ LIỆU'!$J$3:$J$1052))</f>
        <v/>
      </c>
      <c r="D103" s="13" t="str">
        <f aca="false">IF($A103="","",SUMIF('DỮ LIỆU'!$H$3:$H$1052,$A103,'DỮ LIỆU'!$P$3:$P$1052))</f>
        <v/>
      </c>
      <c r="E103" s="13" t="str">
        <f aca="false">IF($A103="","",SUMIF('DỮ LIỆU'!$H$3:$H$1052,$A103,'DỮ LIỆU'!$Q$3:$Q$1052))</f>
        <v/>
      </c>
      <c r="F103" s="14" t="str">
        <f aca="false">IF(OR($A103="",$C103=0),"",$E103/$C103)</f>
        <v/>
      </c>
    </row>
    <row r="104" customFormat="false" ht="15" hidden="false" customHeight="false" outlineLevel="0" collapsed="false">
      <c r="A104" s="21" t="str">
        <f aca="false">IFERROR(INDEX('DỮ LIỆU'!$H$3:$H$1052,MATCH(75,'DỮ LIỆU'!$X$3:$X$1052,0)),"")</f>
        <v/>
      </c>
      <c r="B104" s="13" t="str">
        <f aca="false">IF($A104="","",SUMIF('DỮ LIỆU'!$H$3:$H$1052,$A104,'DỮ LIỆU'!$I$3:$I$1052))</f>
        <v/>
      </c>
      <c r="C104" s="13" t="str">
        <f aca="false">IF($A104="","",SUMIF('DỮ LIỆU'!$H$3:$H$1052,$A104,'DỮ LIỆU'!$J$3:$J$1052))</f>
        <v/>
      </c>
      <c r="D104" s="13" t="str">
        <f aca="false">IF($A104="","",SUMIF('DỮ LIỆU'!$H$3:$H$1052,$A104,'DỮ LIỆU'!$P$3:$P$1052))</f>
        <v/>
      </c>
      <c r="E104" s="13" t="str">
        <f aca="false">IF($A104="","",SUMIF('DỮ LIỆU'!$H$3:$H$1052,$A104,'DỮ LIỆU'!$Q$3:$Q$1052))</f>
        <v/>
      </c>
      <c r="F104" s="14" t="str">
        <f aca="false">IF(OR($A104="",$C104=0),"",$E104/$C104)</f>
        <v/>
      </c>
    </row>
    <row r="105" customFormat="false" ht="15" hidden="false" customHeight="false" outlineLevel="0" collapsed="false">
      <c r="A105" s="21" t="str">
        <f aca="false">IFERROR(INDEX('DỮ LIỆU'!$H$3:$H$1052,MATCH(76,'DỮ LIỆU'!$X$3:$X$1052,0)),"")</f>
        <v/>
      </c>
      <c r="B105" s="13" t="str">
        <f aca="false">IF($A105="","",SUMIF('DỮ LIỆU'!$H$3:$H$1052,$A105,'DỮ LIỆU'!$I$3:$I$1052))</f>
        <v/>
      </c>
      <c r="C105" s="13" t="str">
        <f aca="false">IF($A105="","",SUMIF('DỮ LIỆU'!$H$3:$H$1052,$A105,'DỮ LIỆU'!$J$3:$J$1052))</f>
        <v/>
      </c>
      <c r="D105" s="13" t="str">
        <f aca="false">IF($A105="","",SUMIF('DỮ LIỆU'!$H$3:$H$1052,$A105,'DỮ LIỆU'!$P$3:$P$1052))</f>
        <v/>
      </c>
      <c r="E105" s="13" t="str">
        <f aca="false">IF($A105="","",SUMIF('DỮ LIỆU'!$H$3:$H$1052,$A105,'DỮ LIỆU'!$Q$3:$Q$1052))</f>
        <v/>
      </c>
      <c r="F105" s="14" t="str">
        <f aca="false">IF(OR($A105="",$C105=0),"",$E105/$C105)</f>
        <v/>
      </c>
    </row>
    <row r="106" customFormat="false" ht="15" hidden="false" customHeight="false" outlineLevel="0" collapsed="false">
      <c r="A106" s="21" t="str">
        <f aca="false">IFERROR(INDEX('DỮ LIỆU'!$H$3:$H$1052,MATCH(77,'DỮ LIỆU'!$X$3:$X$1052,0)),"")</f>
        <v/>
      </c>
      <c r="B106" s="13" t="str">
        <f aca="false">IF($A106="","",SUMIF('DỮ LIỆU'!$H$3:$H$1052,$A106,'DỮ LIỆU'!$I$3:$I$1052))</f>
        <v/>
      </c>
      <c r="C106" s="13" t="str">
        <f aca="false">IF($A106="","",SUMIF('DỮ LIỆU'!$H$3:$H$1052,$A106,'DỮ LIỆU'!$J$3:$J$1052))</f>
        <v/>
      </c>
      <c r="D106" s="13" t="str">
        <f aca="false">IF($A106="","",SUMIF('DỮ LIỆU'!$H$3:$H$1052,$A106,'DỮ LIỆU'!$P$3:$P$1052))</f>
        <v/>
      </c>
      <c r="E106" s="13" t="str">
        <f aca="false">IF($A106="","",SUMIF('DỮ LIỆU'!$H$3:$H$1052,$A106,'DỮ LIỆU'!$Q$3:$Q$1052))</f>
        <v/>
      </c>
      <c r="F106" s="14" t="str">
        <f aca="false">IF(OR($A106="",$C106=0),"",$E106/$C106)</f>
        <v/>
      </c>
    </row>
    <row r="107" customFormat="false" ht="15" hidden="false" customHeight="false" outlineLevel="0" collapsed="false">
      <c r="A107" s="21" t="str">
        <f aca="false">IFERROR(INDEX('DỮ LIỆU'!$H$3:$H$1052,MATCH(78,'DỮ LIỆU'!$X$3:$X$1052,0)),"")</f>
        <v/>
      </c>
      <c r="B107" s="13" t="str">
        <f aca="false">IF($A107="","",SUMIF('DỮ LIỆU'!$H$3:$H$1052,$A107,'DỮ LIỆU'!$I$3:$I$1052))</f>
        <v/>
      </c>
      <c r="C107" s="13" t="str">
        <f aca="false">IF($A107="","",SUMIF('DỮ LIỆU'!$H$3:$H$1052,$A107,'DỮ LIỆU'!$J$3:$J$1052))</f>
        <v/>
      </c>
      <c r="D107" s="13" t="str">
        <f aca="false">IF($A107="","",SUMIF('DỮ LIỆU'!$H$3:$H$1052,$A107,'DỮ LIỆU'!$P$3:$P$1052))</f>
        <v/>
      </c>
      <c r="E107" s="13" t="str">
        <f aca="false">IF($A107="","",SUMIF('DỮ LIỆU'!$H$3:$H$1052,$A107,'DỮ LIỆU'!$Q$3:$Q$1052))</f>
        <v/>
      </c>
      <c r="F107" s="14" t="str">
        <f aca="false">IF(OR($A107="",$C107=0),"",$E107/$C107)</f>
        <v/>
      </c>
    </row>
    <row r="108" customFormat="false" ht="15" hidden="false" customHeight="false" outlineLevel="0" collapsed="false">
      <c r="A108" s="21" t="str">
        <f aca="false">IFERROR(INDEX('DỮ LIỆU'!$H$3:$H$1052,MATCH(79,'DỮ LIỆU'!$X$3:$X$1052,0)),"")</f>
        <v/>
      </c>
      <c r="B108" s="13" t="str">
        <f aca="false">IF($A108="","",SUMIF('DỮ LIỆU'!$H$3:$H$1052,$A108,'DỮ LIỆU'!$I$3:$I$1052))</f>
        <v/>
      </c>
      <c r="C108" s="13" t="str">
        <f aca="false">IF($A108="","",SUMIF('DỮ LIỆU'!$H$3:$H$1052,$A108,'DỮ LIỆU'!$J$3:$J$1052))</f>
        <v/>
      </c>
      <c r="D108" s="13" t="str">
        <f aca="false">IF($A108="","",SUMIF('DỮ LIỆU'!$H$3:$H$1052,$A108,'DỮ LIỆU'!$P$3:$P$1052))</f>
        <v/>
      </c>
      <c r="E108" s="13" t="str">
        <f aca="false">IF($A108="","",SUMIF('DỮ LIỆU'!$H$3:$H$1052,$A108,'DỮ LIỆU'!$Q$3:$Q$1052))</f>
        <v/>
      </c>
      <c r="F108" s="14" t="str">
        <f aca="false">IF(OR($A108="",$C108=0),"",$E108/$C108)</f>
        <v/>
      </c>
    </row>
    <row r="109" customFormat="false" ht="15" hidden="false" customHeight="false" outlineLevel="0" collapsed="false">
      <c r="A109" s="21" t="str">
        <f aca="false">IFERROR(INDEX('DỮ LIỆU'!$H$3:$H$1052,MATCH(80,'DỮ LIỆU'!$X$3:$X$1052,0)),"")</f>
        <v/>
      </c>
      <c r="B109" s="13" t="str">
        <f aca="false">IF($A109="","",SUMIF('DỮ LIỆU'!$H$3:$H$1052,$A109,'DỮ LIỆU'!$I$3:$I$1052))</f>
        <v/>
      </c>
      <c r="C109" s="13" t="str">
        <f aca="false">IF($A109="","",SUMIF('DỮ LIỆU'!$H$3:$H$1052,$A109,'DỮ LIỆU'!$J$3:$J$1052))</f>
        <v/>
      </c>
      <c r="D109" s="13" t="str">
        <f aca="false">IF($A109="","",SUMIF('DỮ LIỆU'!$H$3:$H$1052,$A109,'DỮ LIỆU'!$P$3:$P$1052))</f>
        <v/>
      </c>
      <c r="E109" s="13" t="str">
        <f aca="false">IF($A109="","",SUMIF('DỮ LIỆU'!$H$3:$H$1052,$A109,'DỮ LIỆU'!$Q$3:$Q$1052))</f>
        <v/>
      </c>
      <c r="F109" s="14" t="str">
        <f aca="false">IF(OR($A109="",$C109=0),"",$E109/$C109)</f>
        <v/>
      </c>
    </row>
    <row r="110" customFormat="false" ht="15" hidden="false" customHeight="false" outlineLevel="0" collapsed="false">
      <c r="A110" s="21" t="str">
        <f aca="false">IFERROR(INDEX('DỮ LIỆU'!$H$3:$H$1052,MATCH(81,'DỮ LIỆU'!$X$3:$X$1052,0)),"")</f>
        <v/>
      </c>
      <c r="B110" s="13" t="str">
        <f aca="false">IF($A110="","",SUMIF('DỮ LIỆU'!$H$3:$H$1052,$A110,'DỮ LIỆU'!$I$3:$I$1052))</f>
        <v/>
      </c>
      <c r="C110" s="13" t="str">
        <f aca="false">IF($A110="","",SUMIF('DỮ LIỆU'!$H$3:$H$1052,$A110,'DỮ LIỆU'!$J$3:$J$1052))</f>
        <v/>
      </c>
      <c r="D110" s="13" t="str">
        <f aca="false">IF($A110="","",SUMIF('DỮ LIỆU'!$H$3:$H$1052,$A110,'DỮ LIỆU'!$P$3:$P$1052))</f>
        <v/>
      </c>
      <c r="E110" s="13" t="str">
        <f aca="false">IF($A110="","",SUMIF('DỮ LIỆU'!$H$3:$H$1052,$A110,'DỮ LIỆU'!$Q$3:$Q$1052))</f>
        <v/>
      </c>
      <c r="F110" s="14" t="str">
        <f aca="false">IF(OR($A110="",$C110=0),"",$E110/$C110)</f>
        <v/>
      </c>
    </row>
    <row r="111" customFormat="false" ht="15" hidden="false" customHeight="false" outlineLevel="0" collapsed="false">
      <c r="A111" s="21" t="str">
        <f aca="false">IFERROR(INDEX('DỮ LIỆU'!$H$3:$H$1052,MATCH(82,'DỮ LIỆU'!$X$3:$X$1052,0)),"")</f>
        <v/>
      </c>
      <c r="B111" s="13" t="str">
        <f aca="false">IF($A111="","",SUMIF('DỮ LIỆU'!$H$3:$H$1052,$A111,'DỮ LIỆU'!$I$3:$I$1052))</f>
        <v/>
      </c>
      <c r="C111" s="13" t="str">
        <f aca="false">IF($A111="","",SUMIF('DỮ LIỆU'!$H$3:$H$1052,$A111,'DỮ LIỆU'!$J$3:$J$1052))</f>
        <v/>
      </c>
      <c r="D111" s="13" t="str">
        <f aca="false">IF($A111="","",SUMIF('DỮ LIỆU'!$H$3:$H$1052,$A111,'DỮ LIỆU'!$P$3:$P$1052))</f>
        <v/>
      </c>
      <c r="E111" s="13" t="str">
        <f aca="false">IF($A111="","",SUMIF('DỮ LIỆU'!$H$3:$H$1052,$A111,'DỮ LIỆU'!$Q$3:$Q$1052))</f>
        <v/>
      </c>
      <c r="F111" s="14" t="str">
        <f aca="false">IF(OR($A111="",$C111=0),"",$E111/$C111)</f>
        <v/>
      </c>
    </row>
    <row r="112" customFormat="false" ht="15" hidden="false" customHeight="false" outlineLevel="0" collapsed="false">
      <c r="A112" s="21" t="str">
        <f aca="false">IFERROR(INDEX('DỮ LIỆU'!$H$3:$H$1052,MATCH(83,'DỮ LIỆU'!$X$3:$X$1052,0)),"")</f>
        <v/>
      </c>
      <c r="B112" s="13" t="str">
        <f aca="false">IF($A112="","",SUMIF('DỮ LIỆU'!$H$3:$H$1052,$A112,'DỮ LIỆU'!$I$3:$I$1052))</f>
        <v/>
      </c>
      <c r="C112" s="13" t="str">
        <f aca="false">IF($A112="","",SUMIF('DỮ LIỆU'!$H$3:$H$1052,$A112,'DỮ LIỆU'!$J$3:$J$1052))</f>
        <v/>
      </c>
      <c r="D112" s="13" t="str">
        <f aca="false">IF($A112="","",SUMIF('DỮ LIỆU'!$H$3:$H$1052,$A112,'DỮ LIỆU'!$P$3:$P$1052))</f>
        <v/>
      </c>
      <c r="E112" s="13" t="str">
        <f aca="false">IF($A112="","",SUMIF('DỮ LIỆU'!$H$3:$H$1052,$A112,'DỮ LIỆU'!$Q$3:$Q$1052))</f>
        <v/>
      </c>
      <c r="F112" s="14" t="str">
        <f aca="false">IF(OR($A112="",$C112=0),"",$E112/$C112)</f>
        <v/>
      </c>
    </row>
    <row r="113" customFormat="false" ht="15" hidden="false" customHeight="false" outlineLevel="0" collapsed="false">
      <c r="A113" s="21" t="str">
        <f aca="false">IFERROR(INDEX('DỮ LIỆU'!$H$3:$H$1052,MATCH(84,'DỮ LIỆU'!$X$3:$X$1052,0)),"")</f>
        <v/>
      </c>
      <c r="B113" s="13" t="str">
        <f aca="false">IF($A113="","",SUMIF('DỮ LIỆU'!$H$3:$H$1052,$A113,'DỮ LIỆU'!$I$3:$I$1052))</f>
        <v/>
      </c>
      <c r="C113" s="13" t="str">
        <f aca="false">IF($A113="","",SUMIF('DỮ LIỆU'!$H$3:$H$1052,$A113,'DỮ LIỆU'!$J$3:$J$1052))</f>
        <v/>
      </c>
      <c r="D113" s="13" t="str">
        <f aca="false">IF($A113="","",SUMIF('DỮ LIỆU'!$H$3:$H$1052,$A113,'DỮ LIỆU'!$P$3:$P$1052))</f>
        <v/>
      </c>
      <c r="E113" s="13" t="str">
        <f aca="false">IF($A113="","",SUMIF('DỮ LIỆU'!$H$3:$H$1052,$A113,'DỮ LIỆU'!$Q$3:$Q$1052))</f>
        <v/>
      </c>
      <c r="F113" s="14" t="str">
        <f aca="false">IF(OR($A113="",$C113=0),"",$E113/$C113)</f>
        <v/>
      </c>
    </row>
    <row r="114" customFormat="false" ht="15" hidden="false" customHeight="false" outlineLevel="0" collapsed="false">
      <c r="A114" s="21" t="str">
        <f aca="false">IFERROR(INDEX('DỮ LIỆU'!$H$3:$H$1052,MATCH(85,'DỮ LIỆU'!$X$3:$X$1052,0)),"")</f>
        <v/>
      </c>
      <c r="B114" s="13" t="str">
        <f aca="false">IF($A114="","",SUMIF('DỮ LIỆU'!$H$3:$H$1052,$A114,'DỮ LIỆU'!$I$3:$I$1052))</f>
        <v/>
      </c>
      <c r="C114" s="13" t="str">
        <f aca="false">IF($A114="","",SUMIF('DỮ LIỆU'!$H$3:$H$1052,$A114,'DỮ LIỆU'!$J$3:$J$1052))</f>
        <v/>
      </c>
      <c r="D114" s="13" t="str">
        <f aca="false">IF($A114="","",SUMIF('DỮ LIỆU'!$H$3:$H$1052,$A114,'DỮ LIỆU'!$P$3:$P$1052))</f>
        <v/>
      </c>
      <c r="E114" s="13" t="str">
        <f aca="false">IF($A114="","",SUMIF('DỮ LIỆU'!$H$3:$H$1052,$A114,'DỮ LIỆU'!$Q$3:$Q$1052))</f>
        <v/>
      </c>
      <c r="F114" s="14" t="str">
        <f aca="false">IF(OR($A114="",$C114=0),"",$E114/$C114)</f>
        <v/>
      </c>
    </row>
    <row r="115" customFormat="false" ht="15" hidden="false" customHeight="false" outlineLevel="0" collapsed="false">
      <c r="A115" s="21" t="str">
        <f aca="false">IFERROR(INDEX('DỮ LIỆU'!$H$3:$H$1052,MATCH(86,'DỮ LIỆU'!$X$3:$X$1052,0)),"")</f>
        <v/>
      </c>
      <c r="B115" s="13" t="str">
        <f aca="false">IF($A115="","",SUMIF('DỮ LIỆU'!$H$3:$H$1052,$A115,'DỮ LIỆU'!$I$3:$I$1052))</f>
        <v/>
      </c>
      <c r="C115" s="13" t="str">
        <f aca="false">IF($A115="","",SUMIF('DỮ LIỆU'!$H$3:$H$1052,$A115,'DỮ LIỆU'!$J$3:$J$1052))</f>
        <v/>
      </c>
      <c r="D115" s="13" t="str">
        <f aca="false">IF($A115="","",SUMIF('DỮ LIỆU'!$H$3:$H$1052,$A115,'DỮ LIỆU'!$P$3:$P$1052))</f>
        <v/>
      </c>
      <c r="E115" s="13" t="str">
        <f aca="false">IF($A115="","",SUMIF('DỮ LIỆU'!$H$3:$H$1052,$A115,'DỮ LIỆU'!$Q$3:$Q$1052))</f>
        <v/>
      </c>
      <c r="F115" s="14" t="str">
        <f aca="false">IF(OR($A115="",$C115=0),"",$E115/$C115)</f>
        <v/>
      </c>
    </row>
    <row r="116" customFormat="false" ht="15" hidden="false" customHeight="false" outlineLevel="0" collapsed="false">
      <c r="A116" s="21" t="str">
        <f aca="false">IFERROR(INDEX('DỮ LIỆU'!$H$3:$H$1052,MATCH(87,'DỮ LIỆU'!$X$3:$X$1052,0)),"")</f>
        <v/>
      </c>
      <c r="B116" s="13" t="str">
        <f aca="false">IF($A116="","",SUMIF('DỮ LIỆU'!$H$3:$H$1052,$A116,'DỮ LIỆU'!$I$3:$I$1052))</f>
        <v/>
      </c>
      <c r="C116" s="13" t="str">
        <f aca="false">IF($A116="","",SUMIF('DỮ LIỆU'!$H$3:$H$1052,$A116,'DỮ LIỆU'!$J$3:$J$1052))</f>
        <v/>
      </c>
      <c r="D116" s="13" t="str">
        <f aca="false">IF($A116="","",SUMIF('DỮ LIỆU'!$H$3:$H$1052,$A116,'DỮ LIỆU'!$P$3:$P$1052))</f>
        <v/>
      </c>
      <c r="E116" s="13" t="str">
        <f aca="false">IF($A116="","",SUMIF('DỮ LIỆU'!$H$3:$H$1052,$A116,'DỮ LIỆU'!$Q$3:$Q$1052))</f>
        <v/>
      </c>
      <c r="F116" s="14" t="str">
        <f aca="false">IF(OR($A116="",$C116=0),"",$E116/$C116)</f>
        <v/>
      </c>
    </row>
    <row r="117" customFormat="false" ht="15" hidden="false" customHeight="false" outlineLevel="0" collapsed="false">
      <c r="A117" s="21" t="str">
        <f aca="false">IFERROR(INDEX('DỮ LIỆU'!$H$3:$H$1052,MATCH(88,'DỮ LIỆU'!$X$3:$X$1052,0)),"")</f>
        <v/>
      </c>
      <c r="B117" s="13" t="str">
        <f aca="false">IF($A117="","",SUMIF('DỮ LIỆU'!$H$3:$H$1052,$A117,'DỮ LIỆU'!$I$3:$I$1052))</f>
        <v/>
      </c>
      <c r="C117" s="13" t="str">
        <f aca="false">IF($A117="","",SUMIF('DỮ LIỆU'!$H$3:$H$1052,$A117,'DỮ LIỆU'!$J$3:$J$1052))</f>
        <v/>
      </c>
      <c r="D117" s="13" t="str">
        <f aca="false">IF($A117="","",SUMIF('DỮ LIỆU'!$H$3:$H$1052,$A117,'DỮ LIỆU'!$P$3:$P$1052))</f>
        <v/>
      </c>
      <c r="E117" s="13" t="str">
        <f aca="false">IF($A117="","",SUMIF('DỮ LIỆU'!$H$3:$H$1052,$A117,'DỮ LIỆU'!$Q$3:$Q$1052))</f>
        <v/>
      </c>
      <c r="F117" s="14" t="str">
        <f aca="false">IF(OR($A117="",$C117=0),"",$E117/$C117)</f>
        <v/>
      </c>
    </row>
    <row r="118" customFormat="false" ht="15" hidden="false" customHeight="false" outlineLevel="0" collapsed="false">
      <c r="A118" s="21" t="str">
        <f aca="false">IFERROR(INDEX('DỮ LIỆU'!$H$3:$H$1052,MATCH(89,'DỮ LIỆU'!$X$3:$X$1052,0)),"")</f>
        <v/>
      </c>
      <c r="B118" s="13" t="str">
        <f aca="false">IF($A118="","",SUMIF('DỮ LIỆU'!$H$3:$H$1052,$A118,'DỮ LIỆU'!$I$3:$I$1052))</f>
        <v/>
      </c>
      <c r="C118" s="13" t="str">
        <f aca="false">IF($A118="","",SUMIF('DỮ LIỆU'!$H$3:$H$1052,$A118,'DỮ LIỆU'!$J$3:$J$1052))</f>
        <v/>
      </c>
      <c r="D118" s="13" t="str">
        <f aca="false">IF($A118="","",SUMIF('DỮ LIỆU'!$H$3:$H$1052,$A118,'DỮ LIỆU'!$P$3:$P$1052))</f>
        <v/>
      </c>
      <c r="E118" s="13" t="str">
        <f aca="false">IF($A118="","",SUMIF('DỮ LIỆU'!$H$3:$H$1052,$A118,'DỮ LIỆU'!$Q$3:$Q$1052))</f>
        <v/>
      </c>
      <c r="F118" s="14" t="str">
        <f aca="false">IF(OR($A118="",$C118=0),"",$E118/$C118)</f>
        <v/>
      </c>
    </row>
    <row r="119" customFormat="false" ht="15" hidden="false" customHeight="false" outlineLevel="0" collapsed="false">
      <c r="A119" s="21" t="str">
        <f aca="false">IFERROR(INDEX('DỮ LIỆU'!$H$3:$H$1052,MATCH(90,'DỮ LIỆU'!$X$3:$X$1052,0)),"")</f>
        <v/>
      </c>
      <c r="B119" s="13" t="str">
        <f aca="false">IF($A119="","",SUMIF('DỮ LIỆU'!$H$3:$H$1052,$A119,'DỮ LIỆU'!$I$3:$I$1052))</f>
        <v/>
      </c>
      <c r="C119" s="13" t="str">
        <f aca="false">IF($A119="","",SUMIF('DỮ LIỆU'!$H$3:$H$1052,$A119,'DỮ LIỆU'!$J$3:$J$1052))</f>
        <v/>
      </c>
      <c r="D119" s="13" t="str">
        <f aca="false">IF($A119="","",SUMIF('DỮ LIỆU'!$H$3:$H$1052,$A119,'DỮ LIỆU'!$P$3:$P$1052))</f>
        <v/>
      </c>
      <c r="E119" s="13" t="str">
        <f aca="false">IF($A119="","",SUMIF('DỮ LIỆU'!$H$3:$H$1052,$A119,'DỮ LIỆU'!$Q$3:$Q$1052))</f>
        <v/>
      </c>
      <c r="F119" s="14" t="str">
        <f aca="false">IF(OR($A119="",$C119=0),"",$E119/$C119)</f>
        <v/>
      </c>
    </row>
    <row r="120" customFormat="false" ht="15" hidden="false" customHeight="false" outlineLevel="0" collapsed="false">
      <c r="A120" s="21" t="str">
        <f aca="false">IFERROR(INDEX('DỮ LIỆU'!$H$3:$H$1052,MATCH(91,'DỮ LIỆU'!$X$3:$X$1052,0)),"")</f>
        <v/>
      </c>
      <c r="B120" s="13" t="str">
        <f aca="false">IF($A120="","",SUMIF('DỮ LIỆU'!$H$3:$H$1052,$A120,'DỮ LIỆU'!$I$3:$I$1052))</f>
        <v/>
      </c>
      <c r="C120" s="13" t="str">
        <f aca="false">IF($A120="","",SUMIF('DỮ LIỆU'!$H$3:$H$1052,$A120,'DỮ LIỆU'!$J$3:$J$1052))</f>
        <v/>
      </c>
      <c r="D120" s="13" t="str">
        <f aca="false">IF($A120="","",SUMIF('DỮ LIỆU'!$H$3:$H$1052,$A120,'DỮ LIỆU'!$P$3:$P$1052))</f>
        <v/>
      </c>
      <c r="E120" s="13" t="str">
        <f aca="false">IF($A120="","",SUMIF('DỮ LIỆU'!$H$3:$H$1052,$A120,'DỮ LIỆU'!$Q$3:$Q$1052))</f>
        <v/>
      </c>
      <c r="F120" s="14" t="str">
        <f aca="false">IF(OR($A120="",$C120=0),"",$E120/$C120)</f>
        <v/>
      </c>
    </row>
    <row r="121" customFormat="false" ht="15" hidden="false" customHeight="false" outlineLevel="0" collapsed="false">
      <c r="A121" s="21" t="str">
        <f aca="false">IFERROR(INDEX('DỮ LIỆU'!$H$3:$H$1052,MATCH(92,'DỮ LIỆU'!$X$3:$X$1052,0)),"")</f>
        <v/>
      </c>
      <c r="B121" s="13" t="str">
        <f aca="false">IF($A121="","",SUMIF('DỮ LIỆU'!$H$3:$H$1052,$A121,'DỮ LIỆU'!$I$3:$I$1052))</f>
        <v/>
      </c>
      <c r="C121" s="13" t="str">
        <f aca="false">IF($A121="","",SUMIF('DỮ LIỆU'!$H$3:$H$1052,$A121,'DỮ LIỆU'!$J$3:$J$1052))</f>
        <v/>
      </c>
      <c r="D121" s="13" t="str">
        <f aca="false">IF($A121="","",SUMIF('DỮ LIỆU'!$H$3:$H$1052,$A121,'DỮ LIỆU'!$P$3:$P$1052))</f>
        <v/>
      </c>
      <c r="E121" s="13" t="str">
        <f aca="false">IF($A121="","",SUMIF('DỮ LIỆU'!$H$3:$H$1052,$A121,'DỮ LIỆU'!$Q$3:$Q$1052))</f>
        <v/>
      </c>
      <c r="F121" s="14" t="str">
        <f aca="false">IF(OR($A121="",$C121=0),"",$E121/$C121)</f>
        <v/>
      </c>
    </row>
    <row r="122" customFormat="false" ht="15" hidden="false" customHeight="false" outlineLevel="0" collapsed="false">
      <c r="A122" s="21" t="str">
        <f aca="false">IFERROR(INDEX('DỮ LIỆU'!$H$3:$H$1052,MATCH(93,'DỮ LIỆU'!$X$3:$X$1052,0)),"")</f>
        <v/>
      </c>
      <c r="B122" s="13" t="str">
        <f aca="false">IF($A122="","",SUMIF('DỮ LIỆU'!$H$3:$H$1052,$A122,'DỮ LIỆU'!$I$3:$I$1052))</f>
        <v/>
      </c>
      <c r="C122" s="13" t="str">
        <f aca="false">IF($A122="","",SUMIF('DỮ LIỆU'!$H$3:$H$1052,$A122,'DỮ LIỆU'!$J$3:$J$1052))</f>
        <v/>
      </c>
      <c r="D122" s="13" t="str">
        <f aca="false">IF($A122="","",SUMIF('DỮ LIỆU'!$H$3:$H$1052,$A122,'DỮ LIỆU'!$P$3:$P$1052))</f>
        <v/>
      </c>
      <c r="E122" s="13" t="str">
        <f aca="false">IF($A122="","",SUMIF('DỮ LIỆU'!$H$3:$H$1052,$A122,'DỮ LIỆU'!$Q$3:$Q$1052))</f>
        <v/>
      </c>
      <c r="F122" s="14" t="str">
        <f aca="false">IF(OR($A122="",$C122=0),"",$E122/$C122)</f>
        <v/>
      </c>
    </row>
    <row r="123" customFormat="false" ht="15" hidden="false" customHeight="false" outlineLevel="0" collapsed="false">
      <c r="A123" s="21" t="str">
        <f aca="false">IFERROR(INDEX('DỮ LIỆU'!$H$3:$H$1052,MATCH(94,'DỮ LIỆU'!$X$3:$X$1052,0)),"")</f>
        <v/>
      </c>
      <c r="B123" s="13" t="str">
        <f aca="false">IF($A123="","",SUMIF('DỮ LIỆU'!$H$3:$H$1052,$A123,'DỮ LIỆU'!$I$3:$I$1052))</f>
        <v/>
      </c>
      <c r="C123" s="13" t="str">
        <f aca="false">IF($A123="","",SUMIF('DỮ LIỆU'!$H$3:$H$1052,$A123,'DỮ LIỆU'!$J$3:$J$1052))</f>
        <v/>
      </c>
      <c r="D123" s="13" t="str">
        <f aca="false">IF($A123="","",SUMIF('DỮ LIỆU'!$H$3:$H$1052,$A123,'DỮ LIỆU'!$P$3:$P$1052))</f>
        <v/>
      </c>
      <c r="E123" s="13" t="str">
        <f aca="false">IF($A123="","",SUMIF('DỮ LIỆU'!$H$3:$H$1052,$A123,'DỮ LIỆU'!$Q$3:$Q$1052))</f>
        <v/>
      </c>
      <c r="F123" s="14" t="str">
        <f aca="false">IF(OR($A123="",$C123=0),"",$E123/$C123)</f>
        <v/>
      </c>
    </row>
    <row r="124" customFormat="false" ht="15" hidden="false" customHeight="false" outlineLevel="0" collapsed="false">
      <c r="A124" s="21" t="str">
        <f aca="false">IFERROR(INDEX('DỮ LIỆU'!$H$3:$H$1052,MATCH(95,'DỮ LIỆU'!$X$3:$X$1052,0)),"")</f>
        <v/>
      </c>
      <c r="B124" s="13" t="str">
        <f aca="false">IF($A124="","",SUMIF('DỮ LIỆU'!$H$3:$H$1052,$A124,'DỮ LIỆU'!$I$3:$I$1052))</f>
        <v/>
      </c>
      <c r="C124" s="13" t="str">
        <f aca="false">IF($A124="","",SUMIF('DỮ LIỆU'!$H$3:$H$1052,$A124,'DỮ LIỆU'!$J$3:$J$1052))</f>
        <v/>
      </c>
      <c r="D124" s="13" t="str">
        <f aca="false">IF($A124="","",SUMIF('DỮ LIỆU'!$H$3:$H$1052,$A124,'DỮ LIỆU'!$P$3:$P$1052))</f>
        <v/>
      </c>
      <c r="E124" s="13" t="str">
        <f aca="false">IF($A124="","",SUMIF('DỮ LIỆU'!$H$3:$H$1052,$A124,'DỮ LIỆU'!$Q$3:$Q$1052))</f>
        <v/>
      </c>
      <c r="F124" s="14" t="str">
        <f aca="false">IF(OR($A124="",$C124=0),"",$E124/$C124)</f>
        <v/>
      </c>
    </row>
    <row r="125" customFormat="false" ht="15" hidden="false" customHeight="false" outlineLevel="0" collapsed="false">
      <c r="A125" s="21" t="str">
        <f aca="false">IFERROR(INDEX('DỮ LIỆU'!$H$3:$H$1052,MATCH(96,'DỮ LIỆU'!$X$3:$X$1052,0)),"")</f>
        <v/>
      </c>
      <c r="B125" s="13" t="str">
        <f aca="false">IF($A125="","",SUMIF('DỮ LIỆU'!$H$3:$H$1052,$A125,'DỮ LIỆU'!$I$3:$I$1052))</f>
        <v/>
      </c>
      <c r="C125" s="13" t="str">
        <f aca="false">IF($A125="","",SUMIF('DỮ LIỆU'!$H$3:$H$1052,$A125,'DỮ LIỆU'!$J$3:$J$1052))</f>
        <v/>
      </c>
      <c r="D125" s="13" t="str">
        <f aca="false">IF($A125="","",SUMIF('DỮ LIỆU'!$H$3:$H$1052,$A125,'DỮ LIỆU'!$P$3:$P$1052))</f>
        <v/>
      </c>
      <c r="E125" s="13" t="str">
        <f aca="false">IF($A125="","",SUMIF('DỮ LIỆU'!$H$3:$H$1052,$A125,'DỮ LIỆU'!$Q$3:$Q$1052))</f>
        <v/>
      </c>
      <c r="F125" s="14" t="str">
        <f aca="false">IF(OR($A125="",$C125=0),"",$E125/$C125)</f>
        <v/>
      </c>
    </row>
    <row r="126" customFormat="false" ht="15" hidden="false" customHeight="false" outlineLevel="0" collapsed="false">
      <c r="A126" s="21" t="str">
        <f aca="false">IFERROR(INDEX('DỮ LIỆU'!$H$3:$H$1052,MATCH(97,'DỮ LIỆU'!$X$3:$X$1052,0)),"")</f>
        <v/>
      </c>
      <c r="B126" s="13" t="str">
        <f aca="false">IF($A126="","",SUMIF('DỮ LIỆU'!$H$3:$H$1052,$A126,'DỮ LIỆU'!$I$3:$I$1052))</f>
        <v/>
      </c>
      <c r="C126" s="13" t="str">
        <f aca="false">IF($A126="","",SUMIF('DỮ LIỆU'!$H$3:$H$1052,$A126,'DỮ LIỆU'!$J$3:$J$1052))</f>
        <v/>
      </c>
      <c r="D126" s="13" t="str">
        <f aca="false">IF($A126="","",SUMIF('DỮ LIỆU'!$H$3:$H$1052,$A126,'DỮ LIỆU'!$P$3:$P$1052))</f>
        <v/>
      </c>
      <c r="E126" s="13" t="str">
        <f aca="false">IF($A126="","",SUMIF('DỮ LIỆU'!$H$3:$H$1052,$A126,'DỮ LIỆU'!$Q$3:$Q$1052))</f>
        <v/>
      </c>
      <c r="F126" s="14" t="str">
        <f aca="false">IF(OR($A126="",$C126=0),"",$E126/$C126)</f>
        <v/>
      </c>
    </row>
    <row r="127" customFormat="false" ht="15" hidden="false" customHeight="false" outlineLevel="0" collapsed="false">
      <c r="A127" s="21" t="str">
        <f aca="false">IFERROR(INDEX('DỮ LIỆU'!$H$3:$H$1052,MATCH(98,'DỮ LIỆU'!$X$3:$X$1052,0)),"")</f>
        <v/>
      </c>
      <c r="B127" s="13" t="str">
        <f aca="false">IF($A127="","",SUMIF('DỮ LIỆU'!$H$3:$H$1052,$A127,'DỮ LIỆU'!$I$3:$I$1052))</f>
        <v/>
      </c>
      <c r="C127" s="13" t="str">
        <f aca="false">IF($A127="","",SUMIF('DỮ LIỆU'!$H$3:$H$1052,$A127,'DỮ LIỆU'!$J$3:$J$1052))</f>
        <v/>
      </c>
      <c r="D127" s="13" t="str">
        <f aca="false">IF($A127="","",SUMIF('DỮ LIỆU'!$H$3:$H$1052,$A127,'DỮ LIỆU'!$P$3:$P$1052))</f>
        <v/>
      </c>
      <c r="E127" s="13" t="str">
        <f aca="false">IF($A127="","",SUMIF('DỮ LIỆU'!$H$3:$H$1052,$A127,'DỮ LIỆU'!$Q$3:$Q$1052))</f>
        <v/>
      </c>
      <c r="F127" s="14" t="str">
        <f aca="false">IF(OR($A127="",$C127=0),"",$E127/$C127)</f>
        <v/>
      </c>
    </row>
    <row r="128" customFormat="false" ht="15" hidden="false" customHeight="false" outlineLevel="0" collapsed="false">
      <c r="A128" s="21" t="str">
        <f aca="false">IFERROR(INDEX('DỮ LIỆU'!$H$3:$H$1052,MATCH(99,'DỮ LIỆU'!$X$3:$X$1052,0)),"")</f>
        <v/>
      </c>
      <c r="B128" s="13" t="str">
        <f aca="false">IF($A128="","",SUMIF('DỮ LIỆU'!$H$3:$H$1052,$A128,'DỮ LIỆU'!$I$3:$I$1052))</f>
        <v/>
      </c>
      <c r="C128" s="13" t="str">
        <f aca="false">IF($A128="","",SUMIF('DỮ LIỆU'!$H$3:$H$1052,$A128,'DỮ LIỆU'!$J$3:$J$1052))</f>
        <v/>
      </c>
      <c r="D128" s="13" t="str">
        <f aca="false">IF($A128="","",SUMIF('DỮ LIỆU'!$H$3:$H$1052,$A128,'DỮ LIỆU'!$P$3:$P$1052))</f>
        <v/>
      </c>
      <c r="E128" s="13" t="str">
        <f aca="false">IF($A128="","",SUMIF('DỮ LIỆU'!$H$3:$H$1052,$A128,'DỮ LIỆU'!$Q$3:$Q$1052))</f>
        <v/>
      </c>
      <c r="F128" s="14" t="str">
        <f aca="false">IF(OR($A128="",$C128=0),"",$E128/$C128)</f>
        <v/>
      </c>
    </row>
    <row r="129" customFormat="false" ht="15" hidden="false" customHeight="false" outlineLevel="0" collapsed="false">
      <c r="A129" s="21" t="str">
        <f aca="false">IFERROR(INDEX('DỮ LIỆU'!$H$3:$H$1052,MATCH(100,'DỮ LIỆU'!$X$3:$X$1052,0)),"")</f>
        <v/>
      </c>
      <c r="B129" s="13" t="str">
        <f aca="false">IF($A129="","",SUMIF('DỮ LIỆU'!$H$3:$H$1052,$A129,'DỮ LIỆU'!$I$3:$I$1052))</f>
        <v/>
      </c>
      <c r="C129" s="13" t="str">
        <f aca="false">IF($A129="","",SUMIF('DỮ LIỆU'!$H$3:$H$1052,$A129,'DỮ LIỆU'!$J$3:$J$1052))</f>
        <v/>
      </c>
      <c r="D129" s="13" t="str">
        <f aca="false">IF($A129="","",SUMIF('DỮ LIỆU'!$H$3:$H$1052,$A129,'DỮ LIỆU'!$P$3:$P$1052))</f>
        <v/>
      </c>
      <c r="E129" s="13" t="str">
        <f aca="false">IF($A129="","",SUMIF('DỮ LIỆU'!$H$3:$H$1052,$A129,'DỮ LIỆU'!$Q$3:$Q$1052))</f>
        <v/>
      </c>
      <c r="F129" s="14" t="str">
        <f aca="false">IF(OR($A129="",$C129=0),"",$E129/$C129)</f>
        <v/>
      </c>
    </row>
    <row r="130" customFormat="false" ht="15" hidden="false" customHeight="false" outlineLevel="0" collapsed="false">
      <c r="A130" s="21" t="str">
        <f aca="false">IFERROR(INDEX('DỮ LIỆU'!$H$3:$H$1052,MATCH(101,'DỮ LIỆU'!$X$3:$X$1052,0)),"")</f>
        <v/>
      </c>
      <c r="B130" s="13" t="str">
        <f aca="false">IF($A130="","",SUMIF('DỮ LIỆU'!$H$3:$H$1052,$A130,'DỮ LIỆU'!$I$3:$I$1052))</f>
        <v/>
      </c>
      <c r="C130" s="13" t="str">
        <f aca="false">IF($A130="","",SUMIF('DỮ LIỆU'!$H$3:$H$1052,$A130,'DỮ LIỆU'!$J$3:$J$1052))</f>
        <v/>
      </c>
      <c r="D130" s="13" t="str">
        <f aca="false">IF($A130="","",SUMIF('DỮ LIỆU'!$H$3:$H$1052,$A130,'DỮ LIỆU'!$P$3:$P$1052))</f>
        <v/>
      </c>
      <c r="E130" s="13" t="str">
        <f aca="false">IF($A130="","",SUMIF('DỮ LIỆU'!$H$3:$H$1052,$A130,'DỮ LIỆU'!$Q$3:$Q$1052))</f>
        <v/>
      </c>
      <c r="F130" s="14" t="str">
        <f aca="false">IF(OR($A130="",$C130=0),"",$E130/$C130)</f>
        <v/>
      </c>
    </row>
    <row r="131" customFormat="false" ht="15" hidden="false" customHeight="false" outlineLevel="0" collapsed="false">
      <c r="A131" s="21" t="str">
        <f aca="false">IFERROR(INDEX('DỮ LIỆU'!$H$3:$H$1052,MATCH(102,'DỮ LIỆU'!$X$3:$X$1052,0)),"")</f>
        <v/>
      </c>
      <c r="B131" s="13" t="str">
        <f aca="false">IF($A131="","",SUMIF('DỮ LIỆU'!$H$3:$H$1052,$A131,'DỮ LIỆU'!$I$3:$I$1052))</f>
        <v/>
      </c>
      <c r="C131" s="13" t="str">
        <f aca="false">IF($A131="","",SUMIF('DỮ LIỆU'!$H$3:$H$1052,$A131,'DỮ LIỆU'!$J$3:$J$1052))</f>
        <v/>
      </c>
      <c r="D131" s="13" t="str">
        <f aca="false">IF($A131="","",SUMIF('DỮ LIỆU'!$H$3:$H$1052,$A131,'DỮ LIỆU'!$P$3:$P$1052))</f>
        <v/>
      </c>
      <c r="E131" s="13" t="str">
        <f aca="false">IF($A131="","",SUMIF('DỮ LIỆU'!$H$3:$H$1052,$A131,'DỮ LIỆU'!$Q$3:$Q$1052))</f>
        <v/>
      </c>
      <c r="F131" s="14" t="str">
        <f aca="false">IF(OR($A131="",$C131=0),"",$E131/$C131)</f>
        <v/>
      </c>
    </row>
    <row r="132" customFormat="false" ht="15" hidden="false" customHeight="false" outlineLevel="0" collapsed="false">
      <c r="A132" s="21" t="str">
        <f aca="false">IFERROR(INDEX('DỮ LIỆU'!$H$3:$H$1052,MATCH(103,'DỮ LIỆU'!$X$3:$X$1052,0)),"")</f>
        <v/>
      </c>
      <c r="B132" s="13" t="str">
        <f aca="false">IF($A132="","",SUMIF('DỮ LIỆU'!$H$3:$H$1052,$A132,'DỮ LIỆU'!$I$3:$I$1052))</f>
        <v/>
      </c>
      <c r="C132" s="13" t="str">
        <f aca="false">IF($A132="","",SUMIF('DỮ LIỆU'!$H$3:$H$1052,$A132,'DỮ LIỆU'!$J$3:$J$1052))</f>
        <v/>
      </c>
      <c r="D132" s="13" t="str">
        <f aca="false">IF($A132="","",SUMIF('DỮ LIỆU'!$H$3:$H$1052,$A132,'DỮ LIỆU'!$P$3:$P$1052))</f>
        <v/>
      </c>
      <c r="E132" s="13" t="str">
        <f aca="false">IF($A132="","",SUMIF('DỮ LIỆU'!$H$3:$H$1052,$A132,'DỮ LIỆU'!$Q$3:$Q$1052))</f>
        <v/>
      </c>
      <c r="F132" s="14" t="str">
        <f aca="false">IF(OR($A132="",$C132=0),"",$E132/$C132)</f>
        <v/>
      </c>
    </row>
    <row r="133" customFormat="false" ht="15" hidden="false" customHeight="false" outlineLevel="0" collapsed="false">
      <c r="A133" s="21" t="str">
        <f aca="false">IFERROR(INDEX('DỮ LIỆU'!$H$3:$H$1052,MATCH(104,'DỮ LIỆU'!$X$3:$X$1052,0)),"")</f>
        <v/>
      </c>
      <c r="B133" s="13" t="str">
        <f aca="false">IF($A133="","",SUMIF('DỮ LIỆU'!$H$3:$H$1052,$A133,'DỮ LIỆU'!$I$3:$I$1052))</f>
        <v/>
      </c>
      <c r="C133" s="13" t="str">
        <f aca="false">IF($A133="","",SUMIF('DỮ LIỆU'!$H$3:$H$1052,$A133,'DỮ LIỆU'!$J$3:$J$1052))</f>
        <v/>
      </c>
      <c r="D133" s="13" t="str">
        <f aca="false">IF($A133="","",SUMIF('DỮ LIỆU'!$H$3:$H$1052,$A133,'DỮ LIỆU'!$P$3:$P$1052))</f>
        <v/>
      </c>
      <c r="E133" s="13" t="str">
        <f aca="false">IF($A133="","",SUMIF('DỮ LIỆU'!$H$3:$H$1052,$A133,'DỮ LIỆU'!$Q$3:$Q$1052))</f>
        <v/>
      </c>
      <c r="F133" s="14" t="str">
        <f aca="false">IF(OR($A133="",$C133=0),"",$E133/$C133)</f>
        <v/>
      </c>
    </row>
    <row r="134" customFormat="false" ht="15" hidden="false" customHeight="false" outlineLevel="0" collapsed="false">
      <c r="A134" s="21" t="str">
        <f aca="false">IFERROR(INDEX('DỮ LIỆU'!$H$3:$H$1052,MATCH(105,'DỮ LIỆU'!$X$3:$X$1052,0)),"")</f>
        <v/>
      </c>
      <c r="B134" s="13" t="str">
        <f aca="false">IF($A134="","",SUMIF('DỮ LIỆU'!$H$3:$H$1052,$A134,'DỮ LIỆU'!$I$3:$I$1052))</f>
        <v/>
      </c>
      <c r="C134" s="13" t="str">
        <f aca="false">IF($A134="","",SUMIF('DỮ LIỆU'!$H$3:$H$1052,$A134,'DỮ LIỆU'!$J$3:$J$1052))</f>
        <v/>
      </c>
      <c r="D134" s="13" t="str">
        <f aca="false">IF($A134="","",SUMIF('DỮ LIỆU'!$H$3:$H$1052,$A134,'DỮ LIỆU'!$P$3:$P$1052))</f>
        <v/>
      </c>
      <c r="E134" s="13" t="str">
        <f aca="false">IF($A134="","",SUMIF('DỮ LIỆU'!$H$3:$H$1052,$A134,'DỮ LIỆU'!$Q$3:$Q$1052))</f>
        <v/>
      </c>
      <c r="F134" s="14" t="str">
        <f aca="false">IF(OR($A134="",$C134=0),"",$E134/$C134)</f>
        <v/>
      </c>
    </row>
    <row r="135" customFormat="false" ht="15" hidden="false" customHeight="false" outlineLevel="0" collapsed="false">
      <c r="A135" s="21" t="str">
        <f aca="false">IFERROR(INDEX('DỮ LIỆU'!$H$3:$H$1052,MATCH(106,'DỮ LIỆU'!$X$3:$X$1052,0)),"")</f>
        <v/>
      </c>
      <c r="B135" s="13" t="str">
        <f aca="false">IF($A135="","",SUMIF('DỮ LIỆU'!$H$3:$H$1052,$A135,'DỮ LIỆU'!$I$3:$I$1052))</f>
        <v/>
      </c>
      <c r="C135" s="13" t="str">
        <f aca="false">IF($A135="","",SUMIF('DỮ LIỆU'!$H$3:$H$1052,$A135,'DỮ LIỆU'!$J$3:$J$1052))</f>
        <v/>
      </c>
      <c r="D135" s="13" t="str">
        <f aca="false">IF($A135="","",SUMIF('DỮ LIỆU'!$H$3:$H$1052,$A135,'DỮ LIỆU'!$P$3:$P$1052))</f>
        <v/>
      </c>
      <c r="E135" s="13" t="str">
        <f aca="false">IF($A135="","",SUMIF('DỮ LIỆU'!$H$3:$H$1052,$A135,'DỮ LIỆU'!$Q$3:$Q$1052))</f>
        <v/>
      </c>
      <c r="F135" s="14" t="str">
        <f aca="false">IF(OR($A135="",$C135=0),"",$E135/$C135)</f>
        <v/>
      </c>
    </row>
    <row r="136" customFormat="false" ht="15" hidden="false" customHeight="false" outlineLevel="0" collapsed="false">
      <c r="A136" s="21" t="str">
        <f aca="false">IFERROR(INDEX('DỮ LIỆU'!$H$3:$H$1052,MATCH(107,'DỮ LIỆU'!$X$3:$X$1052,0)),"")</f>
        <v/>
      </c>
      <c r="B136" s="13" t="str">
        <f aca="false">IF($A136="","",SUMIF('DỮ LIỆU'!$H$3:$H$1052,$A136,'DỮ LIỆU'!$I$3:$I$1052))</f>
        <v/>
      </c>
      <c r="C136" s="13" t="str">
        <f aca="false">IF($A136="","",SUMIF('DỮ LIỆU'!$H$3:$H$1052,$A136,'DỮ LIỆU'!$J$3:$J$1052))</f>
        <v/>
      </c>
      <c r="D136" s="13" t="str">
        <f aca="false">IF($A136="","",SUMIF('DỮ LIỆU'!$H$3:$H$1052,$A136,'DỮ LIỆU'!$P$3:$P$1052))</f>
        <v/>
      </c>
      <c r="E136" s="13" t="str">
        <f aca="false">IF($A136="","",SUMIF('DỮ LIỆU'!$H$3:$H$1052,$A136,'DỮ LIỆU'!$Q$3:$Q$1052))</f>
        <v/>
      </c>
      <c r="F136" s="14" t="str">
        <f aca="false">IF(OR($A136="",$C136=0),"",$E136/$C136)</f>
        <v/>
      </c>
    </row>
    <row r="137" customFormat="false" ht="15" hidden="false" customHeight="false" outlineLevel="0" collapsed="false">
      <c r="A137" s="21" t="str">
        <f aca="false">IFERROR(INDEX('DỮ LIỆU'!$H$3:$H$1052,MATCH(108,'DỮ LIỆU'!$X$3:$X$1052,0)),"")</f>
        <v/>
      </c>
      <c r="B137" s="13" t="str">
        <f aca="false">IF($A137="","",SUMIF('DỮ LIỆU'!$H$3:$H$1052,$A137,'DỮ LIỆU'!$I$3:$I$1052))</f>
        <v/>
      </c>
      <c r="C137" s="13" t="str">
        <f aca="false">IF($A137="","",SUMIF('DỮ LIỆU'!$H$3:$H$1052,$A137,'DỮ LIỆU'!$J$3:$J$1052))</f>
        <v/>
      </c>
      <c r="D137" s="13" t="str">
        <f aca="false">IF($A137="","",SUMIF('DỮ LIỆU'!$H$3:$H$1052,$A137,'DỮ LIỆU'!$P$3:$P$1052))</f>
        <v/>
      </c>
      <c r="E137" s="13" t="str">
        <f aca="false">IF($A137="","",SUMIF('DỮ LIỆU'!$H$3:$H$1052,$A137,'DỮ LIỆU'!$Q$3:$Q$1052))</f>
        <v/>
      </c>
      <c r="F137" s="14" t="str">
        <f aca="false">IF(OR($A137="",$C137=0),"",$E137/$C137)</f>
        <v/>
      </c>
    </row>
    <row r="138" customFormat="false" ht="15" hidden="false" customHeight="false" outlineLevel="0" collapsed="false">
      <c r="A138" s="21" t="str">
        <f aca="false">IFERROR(INDEX('DỮ LIỆU'!$H$3:$H$1052,MATCH(109,'DỮ LIỆU'!$X$3:$X$1052,0)),"")</f>
        <v/>
      </c>
      <c r="B138" s="13" t="str">
        <f aca="false">IF($A138="","",SUMIF('DỮ LIỆU'!$H$3:$H$1052,$A138,'DỮ LIỆU'!$I$3:$I$1052))</f>
        <v/>
      </c>
      <c r="C138" s="13" t="str">
        <f aca="false">IF($A138="","",SUMIF('DỮ LIỆU'!$H$3:$H$1052,$A138,'DỮ LIỆU'!$J$3:$J$1052))</f>
        <v/>
      </c>
      <c r="D138" s="13" t="str">
        <f aca="false">IF($A138="","",SUMIF('DỮ LIỆU'!$H$3:$H$1052,$A138,'DỮ LIỆU'!$P$3:$P$1052))</f>
        <v/>
      </c>
      <c r="E138" s="13" t="str">
        <f aca="false">IF($A138="","",SUMIF('DỮ LIỆU'!$H$3:$H$1052,$A138,'DỮ LIỆU'!$Q$3:$Q$1052))</f>
        <v/>
      </c>
      <c r="F138" s="14" t="str">
        <f aca="false">IF(OR($A138="",$C138=0),"",$E138/$C138)</f>
        <v/>
      </c>
    </row>
    <row r="139" customFormat="false" ht="15" hidden="false" customHeight="false" outlineLevel="0" collapsed="false">
      <c r="A139" s="21" t="str">
        <f aca="false">IFERROR(INDEX('DỮ LIỆU'!$H$3:$H$1052,MATCH(110,'DỮ LIỆU'!$X$3:$X$1052,0)),"")</f>
        <v/>
      </c>
      <c r="B139" s="13" t="str">
        <f aca="false">IF($A139="","",SUMIF('DỮ LIỆU'!$H$3:$H$1052,$A139,'DỮ LIỆU'!$I$3:$I$1052))</f>
        <v/>
      </c>
      <c r="C139" s="13" t="str">
        <f aca="false">IF($A139="","",SUMIF('DỮ LIỆU'!$H$3:$H$1052,$A139,'DỮ LIỆU'!$J$3:$J$1052))</f>
        <v/>
      </c>
      <c r="D139" s="13" t="str">
        <f aca="false">IF($A139="","",SUMIF('DỮ LIỆU'!$H$3:$H$1052,$A139,'DỮ LIỆU'!$P$3:$P$1052))</f>
        <v/>
      </c>
      <c r="E139" s="13" t="str">
        <f aca="false">IF($A139="","",SUMIF('DỮ LIỆU'!$H$3:$H$1052,$A139,'DỮ LIỆU'!$Q$3:$Q$1052))</f>
        <v/>
      </c>
      <c r="F139" s="14" t="str">
        <f aca="false">IF(OR($A139="",$C139=0),"",$E139/$C139)</f>
        <v/>
      </c>
    </row>
    <row r="140" customFormat="false" ht="15" hidden="false" customHeight="false" outlineLevel="0" collapsed="false">
      <c r="A140" s="21" t="str">
        <f aca="false">IFERROR(INDEX('DỮ LIỆU'!$H$3:$H$1052,MATCH(111,'DỮ LIỆU'!$X$3:$X$1052,0)),"")</f>
        <v/>
      </c>
      <c r="B140" s="13" t="str">
        <f aca="false">IF($A140="","",SUMIF('DỮ LIỆU'!$H$3:$H$1052,$A140,'DỮ LIỆU'!$I$3:$I$1052))</f>
        <v/>
      </c>
      <c r="C140" s="13" t="str">
        <f aca="false">IF($A140="","",SUMIF('DỮ LIỆU'!$H$3:$H$1052,$A140,'DỮ LIỆU'!$J$3:$J$1052))</f>
        <v/>
      </c>
      <c r="D140" s="13" t="str">
        <f aca="false">IF($A140="","",SUMIF('DỮ LIỆU'!$H$3:$H$1052,$A140,'DỮ LIỆU'!$P$3:$P$1052))</f>
        <v/>
      </c>
      <c r="E140" s="13" t="str">
        <f aca="false">IF($A140="","",SUMIF('DỮ LIỆU'!$H$3:$H$1052,$A140,'DỮ LIỆU'!$Q$3:$Q$1052))</f>
        <v/>
      </c>
      <c r="F140" s="14" t="str">
        <f aca="false">IF(OR($A140="",$C140=0),"",$E140/$C140)</f>
        <v/>
      </c>
    </row>
    <row r="141" customFormat="false" ht="15" hidden="false" customHeight="false" outlineLevel="0" collapsed="false">
      <c r="A141" s="21" t="str">
        <f aca="false">IFERROR(INDEX('DỮ LIỆU'!$H$3:$H$1052,MATCH(112,'DỮ LIỆU'!$X$3:$X$1052,0)),"")</f>
        <v/>
      </c>
      <c r="B141" s="13" t="str">
        <f aca="false">IF($A141="","",SUMIF('DỮ LIỆU'!$H$3:$H$1052,$A141,'DỮ LIỆU'!$I$3:$I$1052))</f>
        <v/>
      </c>
      <c r="C141" s="13" t="str">
        <f aca="false">IF($A141="","",SUMIF('DỮ LIỆU'!$H$3:$H$1052,$A141,'DỮ LIỆU'!$J$3:$J$1052))</f>
        <v/>
      </c>
      <c r="D141" s="13" t="str">
        <f aca="false">IF($A141="","",SUMIF('DỮ LIỆU'!$H$3:$H$1052,$A141,'DỮ LIỆU'!$P$3:$P$1052))</f>
        <v/>
      </c>
      <c r="E141" s="13" t="str">
        <f aca="false">IF($A141="","",SUMIF('DỮ LIỆU'!$H$3:$H$1052,$A141,'DỮ LIỆU'!$Q$3:$Q$1052))</f>
        <v/>
      </c>
      <c r="F141" s="14" t="str">
        <f aca="false">IF(OR($A141="",$C141=0),"",$E141/$C141)</f>
        <v/>
      </c>
    </row>
    <row r="142" customFormat="false" ht="15" hidden="false" customHeight="false" outlineLevel="0" collapsed="false">
      <c r="A142" s="21" t="str">
        <f aca="false">IFERROR(INDEX('DỮ LIỆU'!$H$3:$H$1052,MATCH(113,'DỮ LIỆU'!$X$3:$X$1052,0)),"")</f>
        <v/>
      </c>
      <c r="B142" s="13" t="str">
        <f aca="false">IF($A142="","",SUMIF('DỮ LIỆU'!$H$3:$H$1052,$A142,'DỮ LIỆU'!$I$3:$I$1052))</f>
        <v/>
      </c>
      <c r="C142" s="13" t="str">
        <f aca="false">IF($A142="","",SUMIF('DỮ LIỆU'!$H$3:$H$1052,$A142,'DỮ LIỆU'!$J$3:$J$1052))</f>
        <v/>
      </c>
      <c r="D142" s="13" t="str">
        <f aca="false">IF($A142="","",SUMIF('DỮ LIỆU'!$H$3:$H$1052,$A142,'DỮ LIỆU'!$P$3:$P$1052))</f>
        <v/>
      </c>
      <c r="E142" s="13" t="str">
        <f aca="false">IF($A142="","",SUMIF('DỮ LIỆU'!$H$3:$H$1052,$A142,'DỮ LIỆU'!$Q$3:$Q$1052))</f>
        <v/>
      </c>
      <c r="F142" s="14" t="str">
        <f aca="false">IF(OR($A142="",$C142=0),"",$E142/$C142)</f>
        <v/>
      </c>
    </row>
    <row r="143" customFormat="false" ht="15" hidden="false" customHeight="false" outlineLevel="0" collapsed="false">
      <c r="A143" s="21" t="str">
        <f aca="false">IFERROR(INDEX('DỮ LIỆU'!$H$3:$H$1052,MATCH(114,'DỮ LIỆU'!$X$3:$X$1052,0)),"")</f>
        <v/>
      </c>
      <c r="B143" s="13" t="str">
        <f aca="false">IF($A143="","",SUMIF('DỮ LIỆU'!$H$3:$H$1052,$A143,'DỮ LIỆU'!$I$3:$I$1052))</f>
        <v/>
      </c>
      <c r="C143" s="13" t="str">
        <f aca="false">IF($A143="","",SUMIF('DỮ LIỆU'!$H$3:$H$1052,$A143,'DỮ LIỆU'!$J$3:$J$1052))</f>
        <v/>
      </c>
      <c r="D143" s="13" t="str">
        <f aca="false">IF($A143="","",SUMIF('DỮ LIỆU'!$H$3:$H$1052,$A143,'DỮ LIỆU'!$P$3:$P$1052))</f>
        <v/>
      </c>
      <c r="E143" s="13" t="str">
        <f aca="false">IF($A143="","",SUMIF('DỮ LIỆU'!$H$3:$H$1052,$A143,'DỮ LIỆU'!$Q$3:$Q$1052))</f>
        <v/>
      </c>
      <c r="F143" s="14" t="str">
        <f aca="false">IF(OR($A143="",$C143=0),"",$E143/$C143)</f>
        <v/>
      </c>
    </row>
    <row r="144" customFormat="false" ht="15" hidden="false" customHeight="false" outlineLevel="0" collapsed="false">
      <c r="A144" s="21" t="str">
        <f aca="false">IFERROR(INDEX('DỮ LIỆU'!$H$3:$H$1052,MATCH(115,'DỮ LIỆU'!$X$3:$X$1052,0)),"")</f>
        <v/>
      </c>
      <c r="B144" s="13" t="str">
        <f aca="false">IF($A144="","",SUMIF('DỮ LIỆU'!$H$3:$H$1052,$A144,'DỮ LIỆU'!$I$3:$I$1052))</f>
        <v/>
      </c>
      <c r="C144" s="13" t="str">
        <f aca="false">IF($A144="","",SUMIF('DỮ LIỆU'!$H$3:$H$1052,$A144,'DỮ LIỆU'!$J$3:$J$1052))</f>
        <v/>
      </c>
      <c r="D144" s="13" t="str">
        <f aca="false">IF($A144="","",SUMIF('DỮ LIỆU'!$H$3:$H$1052,$A144,'DỮ LIỆU'!$P$3:$P$1052))</f>
        <v/>
      </c>
      <c r="E144" s="13" t="str">
        <f aca="false">IF($A144="","",SUMIF('DỮ LIỆU'!$H$3:$H$1052,$A144,'DỮ LIỆU'!$Q$3:$Q$1052))</f>
        <v/>
      </c>
      <c r="F144" s="14" t="str">
        <f aca="false">IF(OR($A144="",$C144=0),"",$E144/$C144)</f>
        <v/>
      </c>
    </row>
    <row r="145" customFormat="false" ht="15" hidden="false" customHeight="false" outlineLevel="0" collapsed="false">
      <c r="A145" s="21" t="str">
        <f aca="false">IFERROR(INDEX('DỮ LIỆU'!$H$3:$H$1052,MATCH(116,'DỮ LIỆU'!$X$3:$X$1052,0)),"")</f>
        <v/>
      </c>
      <c r="B145" s="13" t="str">
        <f aca="false">IF($A145="","",SUMIF('DỮ LIỆU'!$H$3:$H$1052,$A145,'DỮ LIỆU'!$I$3:$I$1052))</f>
        <v/>
      </c>
      <c r="C145" s="13" t="str">
        <f aca="false">IF($A145="","",SUMIF('DỮ LIỆU'!$H$3:$H$1052,$A145,'DỮ LIỆU'!$J$3:$J$1052))</f>
        <v/>
      </c>
      <c r="D145" s="13" t="str">
        <f aca="false">IF($A145="","",SUMIF('DỮ LIỆU'!$H$3:$H$1052,$A145,'DỮ LIỆU'!$P$3:$P$1052))</f>
        <v/>
      </c>
      <c r="E145" s="13" t="str">
        <f aca="false">IF($A145="","",SUMIF('DỮ LIỆU'!$H$3:$H$1052,$A145,'DỮ LIỆU'!$Q$3:$Q$1052))</f>
        <v/>
      </c>
      <c r="F145" s="14" t="str">
        <f aca="false">IF(OR($A145="",$C145=0),"",$E145/$C145)</f>
        <v/>
      </c>
    </row>
    <row r="146" customFormat="false" ht="15" hidden="false" customHeight="false" outlineLevel="0" collapsed="false">
      <c r="A146" s="21" t="str">
        <f aca="false">IFERROR(INDEX('DỮ LIỆU'!$H$3:$H$1052,MATCH(117,'DỮ LIỆU'!$X$3:$X$1052,0)),"")</f>
        <v/>
      </c>
      <c r="B146" s="13" t="str">
        <f aca="false">IF($A146="","",SUMIF('DỮ LIỆU'!$H$3:$H$1052,$A146,'DỮ LIỆU'!$I$3:$I$1052))</f>
        <v/>
      </c>
      <c r="C146" s="13" t="str">
        <f aca="false">IF($A146="","",SUMIF('DỮ LIỆU'!$H$3:$H$1052,$A146,'DỮ LIỆU'!$J$3:$J$1052))</f>
        <v/>
      </c>
      <c r="D146" s="13" t="str">
        <f aca="false">IF($A146="","",SUMIF('DỮ LIỆU'!$H$3:$H$1052,$A146,'DỮ LIỆU'!$P$3:$P$1052))</f>
        <v/>
      </c>
      <c r="E146" s="13" t="str">
        <f aca="false">IF($A146="","",SUMIF('DỮ LIỆU'!$H$3:$H$1052,$A146,'DỮ LIỆU'!$Q$3:$Q$1052))</f>
        <v/>
      </c>
      <c r="F146" s="14" t="str">
        <f aca="false">IF(OR($A146="",$C146=0),"",$E146/$C146)</f>
        <v/>
      </c>
    </row>
    <row r="147" customFormat="false" ht="15" hidden="false" customHeight="false" outlineLevel="0" collapsed="false">
      <c r="A147" s="21" t="str">
        <f aca="false">IFERROR(INDEX('DỮ LIỆU'!$H$3:$H$1052,MATCH(118,'DỮ LIỆU'!$X$3:$X$1052,0)),"")</f>
        <v/>
      </c>
      <c r="B147" s="13" t="str">
        <f aca="false">IF($A147="","",SUMIF('DỮ LIỆU'!$H$3:$H$1052,$A147,'DỮ LIỆU'!$I$3:$I$1052))</f>
        <v/>
      </c>
      <c r="C147" s="13" t="str">
        <f aca="false">IF($A147="","",SUMIF('DỮ LIỆU'!$H$3:$H$1052,$A147,'DỮ LIỆU'!$J$3:$J$1052))</f>
        <v/>
      </c>
      <c r="D147" s="13" t="str">
        <f aca="false">IF($A147="","",SUMIF('DỮ LIỆU'!$H$3:$H$1052,$A147,'DỮ LIỆU'!$P$3:$P$1052))</f>
        <v/>
      </c>
      <c r="E147" s="13" t="str">
        <f aca="false">IF($A147="","",SUMIF('DỮ LIỆU'!$H$3:$H$1052,$A147,'DỮ LIỆU'!$Q$3:$Q$1052))</f>
        <v/>
      </c>
      <c r="F147" s="14" t="str">
        <f aca="false">IF(OR($A147="",$C147=0),"",$E147/$C147)</f>
        <v/>
      </c>
    </row>
    <row r="148" customFormat="false" ht="15" hidden="false" customHeight="false" outlineLevel="0" collapsed="false">
      <c r="A148" s="21" t="str">
        <f aca="false">IFERROR(INDEX('DỮ LIỆU'!$H$3:$H$1052,MATCH(119,'DỮ LIỆU'!$X$3:$X$1052,0)),"")</f>
        <v/>
      </c>
      <c r="B148" s="13" t="str">
        <f aca="false">IF($A148="","",SUMIF('DỮ LIỆU'!$H$3:$H$1052,$A148,'DỮ LIỆU'!$I$3:$I$1052))</f>
        <v/>
      </c>
      <c r="C148" s="13" t="str">
        <f aca="false">IF($A148="","",SUMIF('DỮ LIỆU'!$H$3:$H$1052,$A148,'DỮ LIỆU'!$J$3:$J$1052))</f>
        <v/>
      </c>
      <c r="D148" s="13" t="str">
        <f aca="false">IF($A148="","",SUMIF('DỮ LIỆU'!$H$3:$H$1052,$A148,'DỮ LIỆU'!$P$3:$P$1052))</f>
        <v/>
      </c>
      <c r="E148" s="13" t="str">
        <f aca="false">IF($A148="","",SUMIF('DỮ LIỆU'!$H$3:$H$1052,$A148,'DỮ LIỆU'!$Q$3:$Q$1052))</f>
        <v/>
      </c>
      <c r="F148" s="14" t="str">
        <f aca="false">IF(OR($A148="",$C148=0),"",$E148/$C148)</f>
        <v/>
      </c>
    </row>
    <row r="149" customFormat="false" ht="15" hidden="false" customHeight="false" outlineLevel="0" collapsed="false">
      <c r="A149" s="21" t="str">
        <f aca="false">IFERROR(INDEX('DỮ LIỆU'!$H$3:$H$1052,MATCH(120,'DỮ LIỆU'!$X$3:$X$1052,0)),"")</f>
        <v/>
      </c>
      <c r="B149" s="13" t="str">
        <f aca="false">IF($A149="","",SUMIF('DỮ LIỆU'!$H$3:$H$1052,$A149,'DỮ LIỆU'!$I$3:$I$1052))</f>
        <v/>
      </c>
      <c r="C149" s="13" t="str">
        <f aca="false">IF($A149="","",SUMIF('DỮ LIỆU'!$H$3:$H$1052,$A149,'DỮ LIỆU'!$J$3:$J$1052))</f>
        <v/>
      </c>
      <c r="D149" s="13" t="str">
        <f aca="false">IF($A149="","",SUMIF('DỮ LIỆU'!$H$3:$H$1052,$A149,'DỮ LIỆU'!$P$3:$P$1052))</f>
        <v/>
      </c>
      <c r="E149" s="13" t="str">
        <f aca="false">IF($A149="","",SUMIF('DỮ LIỆU'!$H$3:$H$1052,$A149,'DỮ LIỆU'!$Q$3:$Q$1052))</f>
        <v/>
      </c>
      <c r="F149" s="14" t="str">
        <f aca="false">IF(OR($A149="",$C149=0),"",$E149/$C149)</f>
        <v/>
      </c>
    </row>
    <row r="150" customFormat="false" ht="15" hidden="false" customHeight="false" outlineLevel="0" collapsed="false">
      <c r="A150" s="21" t="str">
        <f aca="false">IFERROR(INDEX('DỮ LIỆU'!$H$3:$H$1052,MATCH(121,'DỮ LIỆU'!$X$3:$X$1052,0)),"")</f>
        <v/>
      </c>
      <c r="B150" s="13" t="str">
        <f aca="false">IF($A150="","",SUMIF('DỮ LIỆU'!$H$3:$H$1052,$A150,'DỮ LIỆU'!$I$3:$I$1052))</f>
        <v/>
      </c>
      <c r="C150" s="13" t="str">
        <f aca="false">IF($A150="","",SUMIF('DỮ LIỆU'!$H$3:$H$1052,$A150,'DỮ LIỆU'!$J$3:$J$1052))</f>
        <v/>
      </c>
      <c r="D150" s="13" t="str">
        <f aca="false">IF($A150="","",SUMIF('DỮ LIỆU'!$H$3:$H$1052,$A150,'DỮ LIỆU'!$P$3:$P$1052))</f>
        <v/>
      </c>
      <c r="E150" s="13" t="str">
        <f aca="false">IF($A150="","",SUMIF('DỮ LIỆU'!$H$3:$H$1052,$A150,'DỮ LIỆU'!$Q$3:$Q$1052))</f>
        <v/>
      </c>
      <c r="F150" s="14" t="str">
        <f aca="false">IF(OR($A150="",$C150=0),"",$E150/$C150)</f>
        <v/>
      </c>
    </row>
    <row r="151" customFormat="false" ht="15" hidden="false" customHeight="false" outlineLevel="0" collapsed="false">
      <c r="A151" s="21" t="str">
        <f aca="false">IFERROR(INDEX('DỮ LIỆU'!$H$3:$H$1052,MATCH(122,'DỮ LIỆU'!$X$3:$X$1052,0)),"")</f>
        <v/>
      </c>
      <c r="B151" s="13" t="str">
        <f aca="false">IF($A151="","",SUMIF('DỮ LIỆU'!$H$3:$H$1052,$A151,'DỮ LIỆU'!$I$3:$I$1052))</f>
        <v/>
      </c>
      <c r="C151" s="13" t="str">
        <f aca="false">IF($A151="","",SUMIF('DỮ LIỆU'!$H$3:$H$1052,$A151,'DỮ LIỆU'!$J$3:$J$1052))</f>
        <v/>
      </c>
      <c r="D151" s="13" t="str">
        <f aca="false">IF($A151="","",SUMIF('DỮ LIỆU'!$H$3:$H$1052,$A151,'DỮ LIỆU'!$P$3:$P$1052))</f>
        <v/>
      </c>
      <c r="E151" s="13" t="str">
        <f aca="false">IF($A151="","",SUMIF('DỮ LIỆU'!$H$3:$H$1052,$A151,'DỮ LIỆU'!$Q$3:$Q$1052))</f>
        <v/>
      </c>
      <c r="F151" s="14" t="str">
        <f aca="false">IF(OR($A151="",$C151=0),"",$E151/$C151)</f>
        <v/>
      </c>
    </row>
    <row r="152" customFormat="false" ht="15" hidden="false" customHeight="false" outlineLevel="0" collapsed="false">
      <c r="A152" s="21" t="str">
        <f aca="false">IFERROR(INDEX('DỮ LIỆU'!$H$3:$H$1052,MATCH(123,'DỮ LIỆU'!$X$3:$X$1052,0)),"")</f>
        <v/>
      </c>
      <c r="B152" s="13" t="str">
        <f aca="false">IF($A152="","",SUMIF('DỮ LIỆU'!$H$3:$H$1052,$A152,'DỮ LIỆU'!$I$3:$I$1052))</f>
        <v/>
      </c>
      <c r="C152" s="13" t="str">
        <f aca="false">IF($A152="","",SUMIF('DỮ LIỆU'!$H$3:$H$1052,$A152,'DỮ LIỆU'!$J$3:$J$1052))</f>
        <v/>
      </c>
      <c r="D152" s="13" t="str">
        <f aca="false">IF($A152="","",SUMIF('DỮ LIỆU'!$H$3:$H$1052,$A152,'DỮ LIỆU'!$P$3:$P$1052))</f>
        <v/>
      </c>
      <c r="E152" s="13" t="str">
        <f aca="false">IF($A152="","",SUMIF('DỮ LIỆU'!$H$3:$H$1052,$A152,'DỮ LIỆU'!$Q$3:$Q$1052))</f>
        <v/>
      </c>
      <c r="F152" s="14" t="str">
        <f aca="false">IF(OR($A152="",$C152=0),"",$E152/$C152)</f>
        <v/>
      </c>
    </row>
    <row r="153" customFormat="false" ht="15" hidden="false" customHeight="false" outlineLevel="0" collapsed="false">
      <c r="A153" s="21" t="str">
        <f aca="false">IFERROR(INDEX('DỮ LIỆU'!$H$3:$H$1052,MATCH(124,'DỮ LIỆU'!$X$3:$X$1052,0)),"")</f>
        <v/>
      </c>
      <c r="B153" s="13" t="str">
        <f aca="false">IF($A153="","",SUMIF('DỮ LIỆU'!$H$3:$H$1052,$A153,'DỮ LIỆU'!$I$3:$I$1052))</f>
        <v/>
      </c>
      <c r="C153" s="13" t="str">
        <f aca="false">IF($A153="","",SUMIF('DỮ LIỆU'!$H$3:$H$1052,$A153,'DỮ LIỆU'!$J$3:$J$1052))</f>
        <v/>
      </c>
      <c r="D153" s="13" t="str">
        <f aca="false">IF($A153="","",SUMIF('DỮ LIỆU'!$H$3:$H$1052,$A153,'DỮ LIỆU'!$P$3:$P$1052))</f>
        <v/>
      </c>
      <c r="E153" s="13" t="str">
        <f aca="false">IF($A153="","",SUMIF('DỮ LIỆU'!$H$3:$H$1052,$A153,'DỮ LIỆU'!$Q$3:$Q$1052))</f>
        <v/>
      </c>
      <c r="F153" s="14" t="str">
        <f aca="false">IF(OR($A153="",$C153=0),"",$E153/$C153)</f>
        <v/>
      </c>
    </row>
    <row r="154" customFormat="false" ht="15" hidden="false" customHeight="false" outlineLevel="0" collapsed="false">
      <c r="A154" s="21" t="str">
        <f aca="false">IFERROR(INDEX('DỮ LIỆU'!$H$3:$H$1052,MATCH(125,'DỮ LIỆU'!$X$3:$X$1052,0)),"")</f>
        <v/>
      </c>
      <c r="B154" s="13" t="str">
        <f aca="false">IF($A154="","",SUMIF('DỮ LIỆU'!$H$3:$H$1052,$A154,'DỮ LIỆU'!$I$3:$I$1052))</f>
        <v/>
      </c>
      <c r="C154" s="13" t="str">
        <f aca="false">IF($A154="","",SUMIF('DỮ LIỆU'!$H$3:$H$1052,$A154,'DỮ LIỆU'!$J$3:$J$1052))</f>
        <v/>
      </c>
      <c r="D154" s="13" t="str">
        <f aca="false">IF($A154="","",SUMIF('DỮ LIỆU'!$H$3:$H$1052,$A154,'DỮ LIỆU'!$P$3:$P$1052))</f>
        <v/>
      </c>
      <c r="E154" s="13" t="str">
        <f aca="false">IF($A154="","",SUMIF('DỮ LIỆU'!$H$3:$H$1052,$A154,'DỮ LIỆU'!$Q$3:$Q$1052))</f>
        <v/>
      </c>
      <c r="F154" s="14" t="str">
        <f aca="false">IF(OR($A154="",$C154=0),"",$E154/$C154)</f>
        <v/>
      </c>
    </row>
    <row r="155" customFormat="false" ht="15" hidden="false" customHeight="false" outlineLevel="0" collapsed="false">
      <c r="A155" s="21" t="str">
        <f aca="false">IFERROR(INDEX('DỮ LIỆU'!$H$3:$H$1052,MATCH(126,'DỮ LIỆU'!$X$3:$X$1052,0)),"")</f>
        <v/>
      </c>
      <c r="B155" s="13" t="str">
        <f aca="false">IF($A155="","",SUMIF('DỮ LIỆU'!$H$3:$H$1052,$A155,'DỮ LIỆU'!$I$3:$I$1052))</f>
        <v/>
      </c>
      <c r="C155" s="13" t="str">
        <f aca="false">IF($A155="","",SUMIF('DỮ LIỆU'!$H$3:$H$1052,$A155,'DỮ LIỆU'!$J$3:$J$1052))</f>
        <v/>
      </c>
      <c r="D155" s="13" t="str">
        <f aca="false">IF($A155="","",SUMIF('DỮ LIỆU'!$H$3:$H$1052,$A155,'DỮ LIỆU'!$P$3:$P$1052))</f>
        <v/>
      </c>
      <c r="E155" s="13" t="str">
        <f aca="false">IF($A155="","",SUMIF('DỮ LIỆU'!$H$3:$H$1052,$A155,'DỮ LIỆU'!$Q$3:$Q$1052))</f>
        <v/>
      </c>
      <c r="F155" s="14" t="str">
        <f aca="false">IF(OR($A155="",$C155=0),"",$E155/$C155)</f>
        <v/>
      </c>
    </row>
    <row r="156" customFormat="false" ht="15" hidden="false" customHeight="false" outlineLevel="0" collapsed="false">
      <c r="A156" s="21" t="str">
        <f aca="false">IFERROR(INDEX('DỮ LIỆU'!$H$3:$H$1052,MATCH(127,'DỮ LIỆU'!$X$3:$X$1052,0)),"")</f>
        <v/>
      </c>
      <c r="B156" s="13" t="str">
        <f aca="false">IF($A156="","",SUMIF('DỮ LIỆU'!$H$3:$H$1052,$A156,'DỮ LIỆU'!$I$3:$I$1052))</f>
        <v/>
      </c>
      <c r="C156" s="13" t="str">
        <f aca="false">IF($A156="","",SUMIF('DỮ LIỆU'!$H$3:$H$1052,$A156,'DỮ LIỆU'!$J$3:$J$1052))</f>
        <v/>
      </c>
      <c r="D156" s="13" t="str">
        <f aca="false">IF($A156="","",SUMIF('DỮ LIỆU'!$H$3:$H$1052,$A156,'DỮ LIỆU'!$P$3:$P$1052))</f>
        <v/>
      </c>
      <c r="E156" s="13" t="str">
        <f aca="false">IF($A156="","",SUMIF('DỮ LIỆU'!$H$3:$H$1052,$A156,'DỮ LIỆU'!$Q$3:$Q$1052))</f>
        <v/>
      </c>
      <c r="F156" s="14" t="str">
        <f aca="false">IF(OR($A156="",$C156=0),"",$E156/$C156)</f>
        <v/>
      </c>
    </row>
    <row r="157" customFormat="false" ht="15" hidden="false" customHeight="false" outlineLevel="0" collapsed="false">
      <c r="A157" s="21" t="str">
        <f aca="false">IFERROR(INDEX('DỮ LIỆU'!$H$3:$H$1052,MATCH(128,'DỮ LIỆU'!$X$3:$X$1052,0)),"")</f>
        <v/>
      </c>
      <c r="B157" s="13" t="str">
        <f aca="false">IF($A157="","",SUMIF('DỮ LIỆU'!$H$3:$H$1052,$A157,'DỮ LIỆU'!$I$3:$I$1052))</f>
        <v/>
      </c>
      <c r="C157" s="13" t="str">
        <f aca="false">IF($A157="","",SUMIF('DỮ LIỆU'!$H$3:$H$1052,$A157,'DỮ LIỆU'!$J$3:$J$1052))</f>
        <v/>
      </c>
      <c r="D157" s="13" t="str">
        <f aca="false">IF($A157="","",SUMIF('DỮ LIỆU'!$H$3:$H$1052,$A157,'DỮ LIỆU'!$P$3:$P$1052))</f>
        <v/>
      </c>
      <c r="E157" s="13" t="str">
        <f aca="false">IF($A157="","",SUMIF('DỮ LIỆU'!$H$3:$H$1052,$A157,'DỮ LIỆU'!$Q$3:$Q$1052))</f>
        <v/>
      </c>
      <c r="F157" s="14" t="str">
        <f aca="false">IF(OR($A157="",$C157=0),"",$E157/$C157)</f>
        <v/>
      </c>
    </row>
    <row r="158" customFormat="false" ht="15" hidden="false" customHeight="false" outlineLevel="0" collapsed="false">
      <c r="A158" s="21" t="str">
        <f aca="false">IFERROR(INDEX('DỮ LIỆU'!$H$3:$H$1052,MATCH(129,'DỮ LIỆU'!$X$3:$X$1052,0)),"")</f>
        <v/>
      </c>
      <c r="B158" s="13" t="str">
        <f aca="false">IF($A158="","",SUMIF('DỮ LIỆU'!$H$3:$H$1052,$A158,'DỮ LIỆU'!$I$3:$I$1052))</f>
        <v/>
      </c>
      <c r="C158" s="13" t="str">
        <f aca="false">IF($A158="","",SUMIF('DỮ LIỆU'!$H$3:$H$1052,$A158,'DỮ LIỆU'!$J$3:$J$1052))</f>
        <v/>
      </c>
      <c r="D158" s="13" t="str">
        <f aca="false">IF($A158="","",SUMIF('DỮ LIỆU'!$H$3:$H$1052,$A158,'DỮ LIỆU'!$P$3:$P$1052))</f>
        <v/>
      </c>
      <c r="E158" s="13" t="str">
        <f aca="false">IF($A158="","",SUMIF('DỮ LIỆU'!$H$3:$H$1052,$A158,'DỮ LIỆU'!$Q$3:$Q$1052))</f>
        <v/>
      </c>
      <c r="F158" s="14" t="str">
        <f aca="false">IF(OR($A158="",$C158=0),"",$E158/$C158)</f>
        <v/>
      </c>
    </row>
    <row r="159" customFormat="false" ht="15" hidden="false" customHeight="false" outlineLevel="0" collapsed="false">
      <c r="A159" s="21" t="str">
        <f aca="false">IFERROR(INDEX('DỮ LIỆU'!$H$3:$H$1052,MATCH(130,'DỮ LIỆU'!$X$3:$X$1052,0)),"")</f>
        <v/>
      </c>
      <c r="B159" s="13" t="str">
        <f aca="false">IF($A159="","",SUMIF('DỮ LIỆU'!$H$3:$H$1052,$A159,'DỮ LIỆU'!$I$3:$I$1052))</f>
        <v/>
      </c>
      <c r="C159" s="13" t="str">
        <f aca="false">IF($A159="","",SUMIF('DỮ LIỆU'!$H$3:$H$1052,$A159,'DỮ LIỆU'!$J$3:$J$1052))</f>
        <v/>
      </c>
      <c r="D159" s="13" t="str">
        <f aca="false">IF($A159="","",SUMIF('DỮ LIỆU'!$H$3:$H$1052,$A159,'DỮ LIỆU'!$P$3:$P$1052))</f>
        <v/>
      </c>
      <c r="E159" s="13" t="str">
        <f aca="false">IF($A159="","",SUMIF('DỮ LIỆU'!$H$3:$H$1052,$A159,'DỮ LIỆU'!$Q$3:$Q$1052))</f>
        <v/>
      </c>
      <c r="F159" s="14" t="str">
        <f aca="false">IF(OR($A159="",$C159=0),"",$E159/$C159)</f>
        <v/>
      </c>
    </row>
    <row r="160" customFormat="false" ht="15" hidden="false" customHeight="false" outlineLevel="0" collapsed="false">
      <c r="A160" s="21" t="str">
        <f aca="false">IFERROR(INDEX('DỮ LIỆU'!$H$3:$H$1052,MATCH(131,'DỮ LIỆU'!$X$3:$X$1052,0)),"")</f>
        <v/>
      </c>
      <c r="B160" s="13" t="str">
        <f aca="false">IF($A160="","",SUMIF('DỮ LIỆU'!$H$3:$H$1052,$A160,'DỮ LIỆU'!$I$3:$I$1052))</f>
        <v/>
      </c>
      <c r="C160" s="13" t="str">
        <f aca="false">IF($A160="","",SUMIF('DỮ LIỆU'!$H$3:$H$1052,$A160,'DỮ LIỆU'!$J$3:$J$1052))</f>
        <v/>
      </c>
      <c r="D160" s="13" t="str">
        <f aca="false">IF($A160="","",SUMIF('DỮ LIỆU'!$H$3:$H$1052,$A160,'DỮ LIỆU'!$P$3:$P$1052))</f>
        <v/>
      </c>
      <c r="E160" s="13" t="str">
        <f aca="false">IF($A160="","",SUMIF('DỮ LIỆU'!$H$3:$H$1052,$A160,'DỮ LIỆU'!$Q$3:$Q$1052))</f>
        <v/>
      </c>
      <c r="F160" s="14" t="str">
        <f aca="false">IF(OR($A160="",$C160=0),"",$E160/$C160)</f>
        <v/>
      </c>
    </row>
    <row r="161" customFormat="false" ht="15" hidden="false" customHeight="false" outlineLevel="0" collapsed="false">
      <c r="A161" s="21" t="str">
        <f aca="false">IFERROR(INDEX('DỮ LIỆU'!$H$3:$H$1052,MATCH(132,'DỮ LIỆU'!$X$3:$X$1052,0)),"")</f>
        <v/>
      </c>
      <c r="B161" s="13" t="str">
        <f aca="false">IF($A161="","",SUMIF('DỮ LIỆU'!$H$3:$H$1052,$A161,'DỮ LIỆU'!$I$3:$I$1052))</f>
        <v/>
      </c>
      <c r="C161" s="13" t="str">
        <f aca="false">IF($A161="","",SUMIF('DỮ LIỆU'!$H$3:$H$1052,$A161,'DỮ LIỆU'!$J$3:$J$1052))</f>
        <v/>
      </c>
      <c r="D161" s="13" t="str">
        <f aca="false">IF($A161="","",SUMIF('DỮ LIỆU'!$H$3:$H$1052,$A161,'DỮ LIỆU'!$P$3:$P$1052))</f>
        <v/>
      </c>
      <c r="E161" s="13" t="str">
        <f aca="false">IF($A161="","",SUMIF('DỮ LIỆU'!$H$3:$H$1052,$A161,'DỮ LIỆU'!$Q$3:$Q$1052))</f>
        <v/>
      </c>
      <c r="F161" s="14" t="str">
        <f aca="false">IF(OR($A161="",$C161=0),"",$E161/$C161)</f>
        <v/>
      </c>
    </row>
    <row r="162" customFormat="false" ht="15" hidden="false" customHeight="false" outlineLevel="0" collapsed="false">
      <c r="A162" s="21" t="str">
        <f aca="false">IFERROR(INDEX('DỮ LIỆU'!$H$3:$H$1052,MATCH(133,'DỮ LIỆU'!$X$3:$X$1052,0)),"")</f>
        <v/>
      </c>
      <c r="B162" s="13" t="str">
        <f aca="false">IF($A162="","",SUMIF('DỮ LIỆU'!$H$3:$H$1052,$A162,'DỮ LIỆU'!$I$3:$I$1052))</f>
        <v/>
      </c>
      <c r="C162" s="13" t="str">
        <f aca="false">IF($A162="","",SUMIF('DỮ LIỆU'!$H$3:$H$1052,$A162,'DỮ LIỆU'!$J$3:$J$1052))</f>
        <v/>
      </c>
      <c r="D162" s="13" t="str">
        <f aca="false">IF($A162="","",SUMIF('DỮ LIỆU'!$H$3:$H$1052,$A162,'DỮ LIỆU'!$P$3:$P$1052))</f>
        <v/>
      </c>
      <c r="E162" s="13" t="str">
        <f aca="false">IF($A162="","",SUMIF('DỮ LIỆU'!$H$3:$H$1052,$A162,'DỮ LIỆU'!$Q$3:$Q$1052))</f>
        <v/>
      </c>
      <c r="F162" s="14" t="str">
        <f aca="false">IF(OR($A162="",$C162=0),"",$E162/$C162)</f>
        <v/>
      </c>
    </row>
    <row r="163" customFormat="false" ht="15" hidden="false" customHeight="false" outlineLevel="0" collapsed="false">
      <c r="A163" s="21" t="str">
        <f aca="false">IFERROR(INDEX('DỮ LIỆU'!$H$3:$H$1052,MATCH(134,'DỮ LIỆU'!$X$3:$X$1052,0)),"")</f>
        <v/>
      </c>
      <c r="B163" s="13" t="str">
        <f aca="false">IF($A163="","",SUMIF('DỮ LIỆU'!$H$3:$H$1052,$A163,'DỮ LIỆU'!$I$3:$I$1052))</f>
        <v/>
      </c>
      <c r="C163" s="13" t="str">
        <f aca="false">IF($A163="","",SUMIF('DỮ LIỆU'!$H$3:$H$1052,$A163,'DỮ LIỆU'!$J$3:$J$1052))</f>
        <v/>
      </c>
      <c r="D163" s="13" t="str">
        <f aca="false">IF($A163="","",SUMIF('DỮ LIỆU'!$H$3:$H$1052,$A163,'DỮ LIỆU'!$P$3:$P$1052))</f>
        <v/>
      </c>
      <c r="E163" s="13" t="str">
        <f aca="false">IF($A163="","",SUMIF('DỮ LIỆU'!$H$3:$H$1052,$A163,'DỮ LIỆU'!$Q$3:$Q$1052))</f>
        <v/>
      </c>
      <c r="F163" s="14" t="str">
        <f aca="false">IF(OR($A163="",$C163=0),"",$E163/$C163)</f>
        <v/>
      </c>
    </row>
    <row r="164" customFormat="false" ht="15" hidden="false" customHeight="false" outlineLevel="0" collapsed="false">
      <c r="A164" s="21" t="str">
        <f aca="false">IFERROR(INDEX('DỮ LIỆU'!$H$3:$H$1052,MATCH(135,'DỮ LIỆU'!$X$3:$X$1052,0)),"")</f>
        <v/>
      </c>
      <c r="B164" s="13" t="str">
        <f aca="false">IF($A164="","",SUMIF('DỮ LIỆU'!$H$3:$H$1052,$A164,'DỮ LIỆU'!$I$3:$I$1052))</f>
        <v/>
      </c>
      <c r="C164" s="13" t="str">
        <f aca="false">IF($A164="","",SUMIF('DỮ LIỆU'!$H$3:$H$1052,$A164,'DỮ LIỆU'!$J$3:$J$1052))</f>
        <v/>
      </c>
      <c r="D164" s="13" t="str">
        <f aca="false">IF($A164="","",SUMIF('DỮ LIỆU'!$H$3:$H$1052,$A164,'DỮ LIỆU'!$P$3:$P$1052))</f>
        <v/>
      </c>
      <c r="E164" s="13" t="str">
        <f aca="false">IF($A164="","",SUMIF('DỮ LIỆU'!$H$3:$H$1052,$A164,'DỮ LIỆU'!$Q$3:$Q$1052))</f>
        <v/>
      </c>
      <c r="F164" s="14" t="str">
        <f aca="false">IF(OR($A164="",$C164=0),"",$E164/$C164)</f>
        <v/>
      </c>
    </row>
    <row r="165" customFormat="false" ht="15" hidden="false" customHeight="false" outlineLevel="0" collapsed="false">
      <c r="A165" s="21" t="str">
        <f aca="false">IFERROR(INDEX('DỮ LIỆU'!$H$3:$H$1052,MATCH(136,'DỮ LIỆU'!$X$3:$X$1052,0)),"")</f>
        <v/>
      </c>
      <c r="B165" s="13" t="str">
        <f aca="false">IF($A165="","",SUMIF('DỮ LIỆU'!$H$3:$H$1052,$A165,'DỮ LIỆU'!$I$3:$I$1052))</f>
        <v/>
      </c>
      <c r="C165" s="13" t="str">
        <f aca="false">IF($A165="","",SUMIF('DỮ LIỆU'!$H$3:$H$1052,$A165,'DỮ LIỆU'!$J$3:$J$1052))</f>
        <v/>
      </c>
      <c r="D165" s="13" t="str">
        <f aca="false">IF($A165="","",SUMIF('DỮ LIỆU'!$H$3:$H$1052,$A165,'DỮ LIỆU'!$P$3:$P$1052))</f>
        <v/>
      </c>
      <c r="E165" s="13" t="str">
        <f aca="false">IF($A165="","",SUMIF('DỮ LIỆU'!$H$3:$H$1052,$A165,'DỮ LIỆU'!$Q$3:$Q$1052))</f>
        <v/>
      </c>
      <c r="F165" s="14" t="str">
        <f aca="false">IF(OR($A165="",$C165=0),"",$E165/$C165)</f>
        <v/>
      </c>
    </row>
    <row r="166" customFormat="false" ht="15" hidden="false" customHeight="false" outlineLevel="0" collapsed="false">
      <c r="A166" s="21" t="str">
        <f aca="false">IFERROR(INDEX('DỮ LIỆU'!$H$3:$H$1052,MATCH(137,'DỮ LIỆU'!$X$3:$X$1052,0)),"")</f>
        <v/>
      </c>
      <c r="B166" s="13" t="str">
        <f aca="false">IF($A166="","",SUMIF('DỮ LIỆU'!$H$3:$H$1052,$A166,'DỮ LIỆU'!$I$3:$I$1052))</f>
        <v/>
      </c>
      <c r="C166" s="13" t="str">
        <f aca="false">IF($A166="","",SUMIF('DỮ LIỆU'!$H$3:$H$1052,$A166,'DỮ LIỆU'!$J$3:$J$1052))</f>
        <v/>
      </c>
      <c r="D166" s="13" t="str">
        <f aca="false">IF($A166="","",SUMIF('DỮ LIỆU'!$H$3:$H$1052,$A166,'DỮ LIỆU'!$P$3:$P$1052))</f>
        <v/>
      </c>
      <c r="E166" s="13" t="str">
        <f aca="false">IF($A166="","",SUMIF('DỮ LIỆU'!$H$3:$H$1052,$A166,'DỮ LIỆU'!$Q$3:$Q$1052))</f>
        <v/>
      </c>
      <c r="F166" s="14" t="str">
        <f aca="false">IF(OR($A166="",$C166=0),"",$E166/$C166)</f>
        <v/>
      </c>
    </row>
    <row r="167" customFormat="false" ht="15" hidden="false" customHeight="false" outlineLevel="0" collapsed="false">
      <c r="A167" s="21" t="str">
        <f aca="false">IFERROR(INDEX('DỮ LIỆU'!$H$3:$H$1052,MATCH(138,'DỮ LIỆU'!$X$3:$X$1052,0)),"")</f>
        <v/>
      </c>
      <c r="B167" s="13" t="str">
        <f aca="false">IF($A167="","",SUMIF('DỮ LIỆU'!$H$3:$H$1052,$A167,'DỮ LIỆU'!$I$3:$I$1052))</f>
        <v/>
      </c>
      <c r="C167" s="13" t="str">
        <f aca="false">IF($A167="","",SUMIF('DỮ LIỆU'!$H$3:$H$1052,$A167,'DỮ LIỆU'!$J$3:$J$1052))</f>
        <v/>
      </c>
      <c r="D167" s="13" t="str">
        <f aca="false">IF($A167="","",SUMIF('DỮ LIỆU'!$H$3:$H$1052,$A167,'DỮ LIỆU'!$P$3:$P$1052))</f>
        <v/>
      </c>
      <c r="E167" s="13" t="str">
        <f aca="false">IF($A167="","",SUMIF('DỮ LIỆU'!$H$3:$H$1052,$A167,'DỮ LIỆU'!$Q$3:$Q$1052))</f>
        <v/>
      </c>
      <c r="F167" s="14" t="str">
        <f aca="false">IF(OR($A167="",$C167=0),"",$E167/$C167)</f>
        <v/>
      </c>
    </row>
    <row r="168" customFormat="false" ht="15" hidden="false" customHeight="false" outlineLevel="0" collapsed="false">
      <c r="A168" s="21" t="str">
        <f aca="false">IFERROR(INDEX('DỮ LIỆU'!$H$3:$H$1052,MATCH(139,'DỮ LIỆU'!$X$3:$X$1052,0)),"")</f>
        <v/>
      </c>
      <c r="B168" s="13" t="str">
        <f aca="false">IF($A168="","",SUMIF('DỮ LIỆU'!$H$3:$H$1052,$A168,'DỮ LIỆU'!$I$3:$I$1052))</f>
        <v/>
      </c>
      <c r="C168" s="13" t="str">
        <f aca="false">IF($A168="","",SUMIF('DỮ LIỆU'!$H$3:$H$1052,$A168,'DỮ LIỆU'!$J$3:$J$1052))</f>
        <v/>
      </c>
      <c r="D168" s="13" t="str">
        <f aca="false">IF($A168="","",SUMIF('DỮ LIỆU'!$H$3:$H$1052,$A168,'DỮ LIỆU'!$P$3:$P$1052))</f>
        <v/>
      </c>
      <c r="E168" s="13" t="str">
        <f aca="false">IF($A168="","",SUMIF('DỮ LIỆU'!$H$3:$H$1052,$A168,'DỮ LIỆU'!$Q$3:$Q$1052))</f>
        <v/>
      </c>
      <c r="F168" s="14" t="str">
        <f aca="false">IF(OR($A168="",$C168=0),"",$E168/$C168)</f>
        <v/>
      </c>
    </row>
    <row r="169" customFormat="false" ht="15" hidden="false" customHeight="false" outlineLevel="0" collapsed="false">
      <c r="A169" s="21" t="str">
        <f aca="false">IFERROR(INDEX('DỮ LIỆU'!$H$3:$H$1052,MATCH(140,'DỮ LIỆU'!$X$3:$X$1052,0)),"")</f>
        <v/>
      </c>
      <c r="B169" s="13" t="str">
        <f aca="false">IF($A169="","",SUMIF('DỮ LIỆU'!$H$3:$H$1052,$A169,'DỮ LIỆU'!$I$3:$I$1052))</f>
        <v/>
      </c>
      <c r="C169" s="13" t="str">
        <f aca="false">IF($A169="","",SUMIF('DỮ LIỆU'!$H$3:$H$1052,$A169,'DỮ LIỆU'!$J$3:$J$1052))</f>
        <v/>
      </c>
      <c r="D169" s="13" t="str">
        <f aca="false">IF($A169="","",SUMIF('DỮ LIỆU'!$H$3:$H$1052,$A169,'DỮ LIỆU'!$P$3:$P$1052))</f>
        <v/>
      </c>
      <c r="E169" s="13" t="str">
        <f aca="false">IF($A169="","",SUMIF('DỮ LIỆU'!$H$3:$H$1052,$A169,'DỮ LIỆU'!$Q$3:$Q$1052))</f>
        <v/>
      </c>
      <c r="F169" s="14" t="str">
        <f aca="false">IF(OR($A169="",$C169=0),"",$E169/$C169)</f>
        <v/>
      </c>
    </row>
    <row r="170" customFormat="false" ht="15" hidden="false" customHeight="false" outlineLevel="0" collapsed="false">
      <c r="A170" s="21" t="str">
        <f aca="false">IFERROR(INDEX('DỮ LIỆU'!$H$3:$H$1052,MATCH(141,'DỮ LIỆU'!$X$3:$X$1052,0)),"")</f>
        <v/>
      </c>
      <c r="B170" s="13" t="str">
        <f aca="false">IF($A170="","",SUMIF('DỮ LIỆU'!$H$3:$H$1052,$A170,'DỮ LIỆU'!$I$3:$I$1052))</f>
        <v/>
      </c>
      <c r="C170" s="13" t="str">
        <f aca="false">IF($A170="","",SUMIF('DỮ LIỆU'!$H$3:$H$1052,$A170,'DỮ LIỆU'!$J$3:$J$1052))</f>
        <v/>
      </c>
      <c r="D170" s="13" t="str">
        <f aca="false">IF($A170="","",SUMIF('DỮ LIỆU'!$H$3:$H$1052,$A170,'DỮ LIỆU'!$P$3:$P$1052))</f>
        <v/>
      </c>
      <c r="E170" s="13" t="str">
        <f aca="false">IF($A170="","",SUMIF('DỮ LIỆU'!$H$3:$H$1052,$A170,'DỮ LIỆU'!$Q$3:$Q$1052))</f>
        <v/>
      </c>
      <c r="F170" s="14" t="str">
        <f aca="false">IF(OR($A170="",$C170=0),"",$E170/$C170)</f>
        <v/>
      </c>
    </row>
    <row r="171" customFormat="false" ht="15" hidden="false" customHeight="false" outlineLevel="0" collapsed="false">
      <c r="A171" s="21" t="str">
        <f aca="false">IFERROR(INDEX('DỮ LIỆU'!$H$3:$H$1052,MATCH(142,'DỮ LIỆU'!$X$3:$X$1052,0)),"")</f>
        <v/>
      </c>
      <c r="B171" s="13" t="str">
        <f aca="false">IF($A171="","",SUMIF('DỮ LIỆU'!$H$3:$H$1052,$A171,'DỮ LIỆU'!$I$3:$I$1052))</f>
        <v/>
      </c>
      <c r="C171" s="13" t="str">
        <f aca="false">IF($A171="","",SUMIF('DỮ LIỆU'!$H$3:$H$1052,$A171,'DỮ LIỆU'!$J$3:$J$1052))</f>
        <v/>
      </c>
      <c r="D171" s="13" t="str">
        <f aca="false">IF($A171="","",SUMIF('DỮ LIỆU'!$H$3:$H$1052,$A171,'DỮ LIỆU'!$P$3:$P$1052))</f>
        <v/>
      </c>
      <c r="E171" s="13" t="str">
        <f aca="false">IF($A171="","",SUMIF('DỮ LIỆU'!$H$3:$H$1052,$A171,'DỮ LIỆU'!$Q$3:$Q$1052))</f>
        <v/>
      </c>
      <c r="F171" s="14" t="str">
        <f aca="false">IF(OR($A171="",$C171=0),"",$E171/$C171)</f>
        <v/>
      </c>
    </row>
    <row r="172" customFormat="false" ht="15" hidden="false" customHeight="false" outlineLevel="0" collapsed="false">
      <c r="A172" s="21" t="str">
        <f aca="false">IFERROR(INDEX('DỮ LIỆU'!$H$3:$H$1052,MATCH(143,'DỮ LIỆU'!$X$3:$X$1052,0)),"")</f>
        <v/>
      </c>
      <c r="B172" s="13" t="str">
        <f aca="false">IF($A172="","",SUMIF('DỮ LIỆU'!$H$3:$H$1052,$A172,'DỮ LIỆU'!$I$3:$I$1052))</f>
        <v/>
      </c>
      <c r="C172" s="13" t="str">
        <f aca="false">IF($A172="","",SUMIF('DỮ LIỆU'!$H$3:$H$1052,$A172,'DỮ LIỆU'!$J$3:$J$1052))</f>
        <v/>
      </c>
      <c r="D172" s="13" t="str">
        <f aca="false">IF($A172="","",SUMIF('DỮ LIỆU'!$H$3:$H$1052,$A172,'DỮ LIỆU'!$P$3:$P$1052))</f>
        <v/>
      </c>
      <c r="E172" s="13" t="str">
        <f aca="false">IF($A172="","",SUMIF('DỮ LIỆU'!$H$3:$H$1052,$A172,'DỮ LIỆU'!$Q$3:$Q$1052))</f>
        <v/>
      </c>
      <c r="F172" s="14" t="str">
        <f aca="false">IF(OR($A172="",$C172=0),"",$E172/$C172)</f>
        <v/>
      </c>
    </row>
    <row r="173" customFormat="false" ht="15" hidden="false" customHeight="false" outlineLevel="0" collapsed="false">
      <c r="A173" s="21" t="str">
        <f aca="false">IFERROR(INDEX('DỮ LIỆU'!$H$3:$H$1052,MATCH(144,'DỮ LIỆU'!$X$3:$X$1052,0)),"")</f>
        <v/>
      </c>
      <c r="B173" s="13" t="str">
        <f aca="false">IF($A173="","",SUMIF('DỮ LIỆU'!$H$3:$H$1052,$A173,'DỮ LIỆU'!$I$3:$I$1052))</f>
        <v/>
      </c>
      <c r="C173" s="13" t="str">
        <f aca="false">IF($A173="","",SUMIF('DỮ LIỆU'!$H$3:$H$1052,$A173,'DỮ LIỆU'!$J$3:$J$1052))</f>
        <v/>
      </c>
      <c r="D173" s="13" t="str">
        <f aca="false">IF($A173="","",SUMIF('DỮ LIỆU'!$H$3:$H$1052,$A173,'DỮ LIỆU'!$P$3:$P$1052))</f>
        <v/>
      </c>
      <c r="E173" s="13" t="str">
        <f aca="false">IF($A173="","",SUMIF('DỮ LIỆU'!$H$3:$H$1052,$A173,'DỮ LIỆU'!$Q$3:$Q$1052))</f>
        <v/>
      </c>
      <c r="F173" s="14" t="str">
        <f aca="false">IF(OR($A173="",$C173=0),"",$E173/$C173)</f>
        <v/>
      </c>
    </row>
    <row r="174" customFormat="false" ht="15" hidden="false" customHeight="false" outlineLevel="0" collapsed="false">
      <c r="A174" s="21" t="str">
        <f aca="false">IFERROR(INDEX('DỮ LIỆU'!$H$3:$H$1052,MATCH(145,'DỮ LIỆU'!$X$3:$X$1052,0)),"")</f>
        <v/>
      </c>
      <c r="B174" s="13" t="str">
        <f aca="false">IF($A174="","",SUMIF('DỮ LIỆU'!$H$3:$H$1052,$A174,'DỮ LIỆU'!$I$3:$I$1052))</f>
        <v/>
      </c>
      <c r="C174" s="13" t="str">
        <f aca="false">IF($A174="","",SUMIF('DỮ LIỆU'!$H$3:$H$1052,$A174,'DỮ LIỆU'!$J$3:$J$1052))</f>
        <v/>
      </c>
      <c r="D174" s="13" t="str">
        <f aca="false">IF($A174="","",SUMIF('DỮ LIỆU'!$H$3:$H$1052,$A174,'DỮ LIỆU'!$P$3:$P$1052))</f>
        <v/>
      </c>
      <c r="E174" s="13" t="str">
        <f aca="false">IF($A174="","",SUMIF('DỮ LIỆU'!$H$3:$H$1052,$A174,'DỮ LIỆU'!$Q$3:$Q$1052))</f>
        <v/>
      </c>
      <c r="F174" s="14" t="str">
        <f aca="false">IF(OR($A174="",$C174=0),"",$E174/$C174)</f>
        <v/>
      </c>
    </row>
    <row r="175" customFormat="false" ht="15" hidden="false" customHeight="false" outlineLevel="0" collapsed="false">
      <c r="A175" s="21" t="str">
        <f aca="false">IFERROR(INDEX('DỮ LIỆU'!$H$3:$H$1052,MATCH(146,'DỮ LIỆU'!$X$3:$X$1052,0)),"")</f>
        <v/>
      </c>
      <c r="B175" s="13" t="str">
        <f aca="false">IF($A175="","",SUMIF('DỮ LIỆU'!$H$3:$H$1052,$A175,'DỮ LIỆU'!$I$3:$I$1052))</f>
        <v/>
      </c>
      <c r="C175" s="13" t="str">
        <f aca="false">IF($A175="","",SUMIF('DỮ LIỆU'!$H$3:$H$1052,$A175,'DỮ LIỆU'!$J$3:$J$1052))</f>
        <v/>
      </c>
      <c r="D175" s="13" t="str">
        <f aca="false">IF($A175="","",SUMIF('DỮ LIỆU'!$H$3:$H$1052,$A175,'DỮ LIỆU'!$P$3:$P$1052))</f>
        <v/>
      </c>
      <c r="E175" s="13" t="str">
        <f aca="false">IF($A175="","",SUMIF('DỮ LIỆU'!$H$3:$H$1052,$A175,'DỮ LIỆU'!$Q$3:$Q$1052))</f>
        <v/>
      </c>
      <c r="F175" s="14" t="str">
        <f aca="false">IF(OR($A175="",$C175=0),"",$E175/$C175)</f>
        <v/>
      </c>
    </row>
    <row r="176" customFormat="false" ht="15" hidden="false" customHeight="false" outlineLevel="0" collapsed="false">
      <c r="A176" s="21" t="str">
        <f aca="false">IFERROR(INDEX('DỮ LIỆU'!$H$3:$H$1052,MATCH(147,'DỮ LIỆU'!$X$3:$X$1052,0)),"")</f>
        <v/>
      </c>
      <c r="B176" s="13" t="str">
        <f aca="false">IF($A176="","",SUMIF('DỮ LIỆU'!$H$3:$H$1052,$A176,'DỮ LIỆU'!$I$3:$I$1052))</f>
        <v/>
      </c>
      <c r="C176" s="13" t="str">
        <f aca="false">IF($A176="","",SUMIF('DỮ LIỆU'!$H$3:$H$1052,$A176,'DỮ LIỆU'!$J$3:$J$1052))</f>
        <v/>
      </c>
      <c r="D176" s="13" t="str">
        <f aca="false">IF($A176="","",SUMIF('DỮ LIỆU'!$H$3:$H$1052,$A176,'DỮ LIỆU'!$P$3:$P$1052))</f>
        <v/>
      </c>
      <c r="E176" s="13" t="str">
        <f aca="false">IF($A176="","",SUMIF('DỮ LIỆU'!$H$3:$H$1052,$A176,'DỮ LIỆU'!$Q$3:$Q$1052))</f>
        <v/>
      </c>
      <c r="F176" s="14" t="str">
        <f aca="false">IF(OR($A176="",$C176=0),"",$E176/$C176)</f>
        <v/>
      </c>
    </row>
    <row r="177" customFormat="false" ht="15" hidden="false" customHeight="false" outlineLevel="0" collapsed="false">
      <c r="A177" s="21" t="str">
        <f aca="false">IFERROR(INDEX('DỮ LIỆU'!$H$3:$H$1052,MATCH(148,'DỮ LIỆU'!$X$3:$X$1052,0)),"")</f>
        <v/>
      </c>
      <c r="B177" s="13" t="str">
        <f aca="false">IF($A177="","",SUMIF('DỮ LIỆU'!$H$3:$H$1052,$A177,'DỮ LIỆU'!$I$3:$I$1052))</f>
        <v/>
      </c>
      <c r="C177" s="13" t="str">
        <f aca="false">IF($A177="","",SUMIF('DỮ LIỆU'!$H$3:$H$1052,$A177,'DỮ LIỆU'!$J$3:$J$1052))</f>
        <v/>
      </c>
      <c r="D177" s="13" t="str">
        <f aca="false">IF($A177="","",SUMIF('DỮ LIỆU'!$H$3:$H$1052,$A177,'DỮ LIỆU'!$P$3:$P$1052))</f>
        <v/>
      </c>
      <c r="E177" s="13" t="str">
        <f aca="false">IF($A177="","",SUMIF('DỮ LIỆU'!$H$3:$H$1052,$A177,'DỮ LIỆU'!$Q$3:$Q$1052))</f>
        <v/>
      </c>
      <c r="F177" s="14" t="str">
        <f aca="false">IF(OR($A177="",$C177=0),"",$E177/$C177)</f>
        <v/>
      </c>
    </row>
    <row r="178" customFormat="false" ht="15" hidden="false" customHeight="false" outlineLevel="0" collapsed="false">
      <c r="A178" s="21" t="str">
        <f aca="false">IFERROR(INDEX('DỮ LIỆU'!$H$3:$H$1052,MATCH(149,'DỮ LIỆU'!$X$3:$X$1052,0)),"")</f>
        <v/>
      </c>
      <c r="B178" s="13" t="str">
        <f aca="false">IF($A178="","",SUMIF('DỮ LIỆU'!$H$3:$H$1052,$A178,'DỮ LIỆU'!$I$3:$I$1052))</f>
        <v/>
      </c>
      <c r="C178" s="13" t="str">
        <f aca="false">IF($A178="","",SUMIF('DỮ LIỆU'!$H$3:$H$1052,$A178,'DỮ LIỆU'!$J$3:$J$1052))</f>
        <v/>
      </c>
      <c r="D178" s="13" t="str">
        <f aca="false">IF($A178="","",SUMIF('DỮ LIỆU'!$H$3:$H$1052,$A178,'DỮ LIỆU'!$P$3:$P$1052))</f>
        <v/>
      </c>
      <c r="E178" s="13" t="str">
        <f aca="false">IF($A178="","",SUMIF('DỮ LIỆU'!$H$3:$H$1052,$A178,'DỮ LIỆU'!$Q$3:$Q$1052))</f>
        <v/>
      </c>
      <c r="F178" s="14" t="str">
        <f aca="false">IF(OR($A178="",$C178=0),"",$E178/$C178)</f>
        <v/>
      </c>
    </row>
    <row r="179" customFormat="false" ht="15" hidden="false" customHeight="false" outlineLevel="0" collapsed="false">
      <c r="A179" s="21" t="str">
        <f aca="false">IFERROR(INDEX('DỮ LIỆU'!$H$3:$H$1052,MATCH(150,'DỮ LIỆU'!$X$3:$X$1052,0)),"")</f>
        <v/>
      </c>
      <c r="B179" s="13" t="str">
        <f aca="false">IF($A179="","",SUMIF('DỮ LIỆU'!$H$3:$H$1052,$A179,'DỮ LIỆU'!$I$3:$I$1052))</f>
        <v/>
      </c>
      <c r="C179" s="13" t="str">
        <f aca="false">IF($A179="","",SUMIF('DỮ LIỆU'!$H$3:$H$1052,$A179,'DỮ LIỆU'!$J$3:$J$1052))</f>
        <v/>
      </c>
      <c r="D179" s="13" t="str">
        <f aca="false">IF($A179="","",SUMIF('DỮ LIỆU'!$H$3:$H$1052,$A179,'DỮ LIỆU'!$P$3:$P$1052))</f>
        <v/>
      </c>
      <c r="E179" s="13" t="str">
        <f aca="false">IF($A179="","",SUMIF('DỮ LIỆU'!$H$3:$H$1052,$A179,'DỮ LIỆU'!$Q$3:$Q$1052))</f>
        <v/>
      </c>
      <c r="F179" s="14" t="str">
        <f aca="false">IF(OR($A179="",$C179=0),"",$E179/$C179)</f>
        <v/>
      </c>
    </row>
  </sheetData>
  <mergeCells count="6">
    <mergeCell ref="A1:F1"/>
    <mergeCell ref="A2:F2"/>
    <mergeCell ref="A3:F3"/>
    <mergeCell ref="A4:F4"/>
    <mergeCell ref="A17:F17"/>
    <mergeCell ref="A28:F28"/>
  </mergeCells>
  <conditionalFormatting sqref="E19:E25">
    <cfRule type="cellIs" priority="2" operator="lessThan" aboveAverage="0" equalAverage="0" bottom="0" percent="0" rank="0" text="" dxfId="8">
      <formula>0</formula>
    </cfRule>
  </conditionalFormatting>
  <conditionalFormatting sqref="E30:E179">
    <cfRule type="cellIs" priority="3" operator="lessThan" aboveAverage="0" equalAverage="0" bottom="0" percent="0" rank="0" text="" dxfId="8">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J2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2"/>
    <col collapsed="false" customWidth="true" hidden="false" outlineLevel="0" max="4" min="4" style="0" width="30"/>
    <col collapsed="false" customWidth="true" hidden="false" outlineLevel="0" max="5" min="5" style="0" width="14"/>
    <col collapsed="false" customWidth="true" hidden="false" outlineLevel="0" max="6" min="6" style="0" width="30"/>
    <col collapsed="false" customWidth="true" hidden="false" outlineLevel="0" max="7" min="7" style="0" width="10"/>
    <col collapsed="false" customWidth="true" hidden="false" outlineLevel="0" max="9" min="8" style="0" width="17"/>
    <col collapsed="false" customWidth="true" hidden="true" outlineLevel="0" max="10" min="10" style="0" width="13"/>
  </cols>
  <sheetData>
    <row r="1" customFormat="false" ht="27.75" hidden="false" customHeight="true" outlineLevel="0" collapsed="false">
      <c r="A1" s="1" t="s">
        <v>470</v>
      </c>
      <c r="B1" s="1"/>
      <c r="C1" s="1"/>
      <c r="D1" s="1"/>
      <c r="E1" s="1"/>
      <c r="F1" s="1"/>
      <c r="G1" s="1"/>
      <c r="H1" s="1"/>
      <c r="I1" s="1"/>
      <c r="J1" s="1"/>
    </row>
    <row r="2" customFormat="false" ht="18.75" hidden="false" customHeight="true" outlineLevel="0" collapsed="false">
      <c r="A2" s="2" t="s">
        <v>471</v>
      </c>
      <c r="B2" s="2"/>
      <c r="C2" s="2"/>
      <c r="D2" s="2"/>
      <c r="E2" s="2"/>
      <c r="F2" s="2"/>
      <c r="G2" s="2"/>
      <c r="H2" s="2"/>
      <c r="I2" s="2"/>
      <c r="J2" s="2"/>
    </row>
    <row r="4" customFormat="false" ht="21.75" hidden="false" customHeight="true" outlineLevel="0" collapsed="false">
      <c r="A4" s="36" t="s">
        <v>472</v>
      </c>
      <c r="B4" s="36"/>
      <c r="C4" s="36"/>
      <c r="D4" s="36"/>
      <c r="E4" s="36"/>
      <c r="F4" s="36"/>
    </row>
    <row r="5" customFormat="false" ht="33.75" hidden="false" customHeight="true" outlineLevel="0" collapsed="false">
      <c r="A5" s="10" t="s">
        <v>421</v>
      </c>
      <c r="B5" s="10" t="s">
        <v>150</v>
      </c>
      <c r="C5" s="10" t="s">
        <v>151</v>
      </c>
      <c r="D5" s="10" t="s">
        <v>439</v>
      </c>
      <c r="E5" s="10" t="s">
        <v>135</v>
      </c>
      <c r="F5" s="10" t="s">
        <v>132</v>
      </c>
    </row>
    <row r="6" customFormat="false" ht="15" hidden="false" customHeight="false" outlineLevel="0" collapsed="false">
      <c r="A6" s="21" t="str">
        <f aca="false">'BÁO CÁO NĂM'!$A$5</f>
        <v>Tháng 6/2026</v>
      </c>
      <c r="B6" s="13" t="n">
        <f aca="false">'BÁO CÁO NĂM'!$F$5</f>
        <v>21500000</v>
      </c>
      <c r="C6" s="13" t="n">
        <f aca="false">'BÁO CÁO NĂM'!$G$5</f>
        <v>15500000</v>
      </c>
      <c r="D6" s="13" t="n">
        <f aca="false">'BÁO CÁO NĂM'!$H$5</f>
        <v>6000000</v>
      </c>
      <c r="E6" s="14" t="n">
        <f aca="false">IF($B6=0,"",$C6/$B6)</f>
        <v>0.72093023255814</v>
      </c>
      <c r="F6" s="13" t="n">
        <f aca="false">'THÁNG 6'!$D$6</f>
        <v>1</v>
      </c>
    </row>
    <row r="7" customFormat="false" ht="15" hidden="false" customHeight="false" outlineLevel="0" collapsed="false">
      <c r="A7" s="21" t="str">
        <f aca="false">'BÁO CÁO NĂM'!$A$6</f>
        <v>Tháng 7/2026</v>
      </c>
      <c r="B7" s="13" t="n">
        <f aca="false">'BÁO CÁO NĂM'!$F$6</f>
        <v>187328200</v>
      </c>
      <c r="C7" s="13" t="n">
        <f aca="false">'BÁO CÁO NĂM'!$G$6</f>
        <v>167102200</v>
      </c>
      <c r="D7" s="13" t="n">
        <f aca="false">'BÁO CÁO NĂM'!$H$6</f>
        <v>20226000</v>
      </c>
      <c r="E7" s="14" t="n">
        <f aca="false">IF($B7=0,"",$C7/$B7)</f>
        <v>0.892029069835722</v>
      </c>
      <c r="F7" s="13" t="n">
        <f aca="false">'THÁNG 7'!$D$6</f>
        <v>14</v>
      </c>
    </row>
    <row r="8" customFormat="false" ht="15" hidden="false" customHeight="false" outlineLevel="0" collapsed="false">
      <c r="A8" s="21" t="str">
        <f aca="false">'BÁO CÁO NĂM'!$A$7</f>
        <v>Tháng 8/2026</v>
      </c>
      <c r="B8" s="13" t="n">
        <f aca="false">'BÁO CÁO NĂM'!$F$7</f>
        <v>4903000</v>
      </c>
      <c r="C8" s="13" t="n">
        <f aca="false">'BÁO CÁO NĂM'!$G$7</f>
        <v>2212000</v>
      </c>
      <c r="D8" s="13" t="n">
        <f aca="false">'BÁO CÁO NĂM'!$H$7</f>
        <v>2691000</v>
      </c>
      <c r="E8" s="14" t="n">
        <f aca="false">IF($B8=0,"",$C8/$B8)</f>
        <v>0.451152355700592</v>
      </c>
      <c r="F8" s="13" t="n">
        <f aca="false">'THÁNG 8'!$D$6</f>
        <v>3</v>
      </c>
    </row>
    <row r="9" customFormat="false" ht="15" hidden="false" customHeight="false" outlineLevel="0" collapsed="false">
      <c r="A9" s="21" t="str">
        <f aca="false">'BÁO CÁO NĂM'!$A$8</f>
        <v>Tháng 9/2026</v>
      </c>
      <c r="B9" s="13" t="n">
        <f aca="false">'BÁO CÁO NĂM'!$F$8</f>
        <v>0</v>
      </c>
      <c r="C9" s="13" t="n">
        <f aca="false">'BÁO CÁO NĂM'!$G$8</f>
        <v>0</v>
      </c>
      <c r="D9" s="13" t="n">
        <f aca="false">'BÁO CÁO NĂM'!$H$8</f>
        <v>0</v>
      </c>
      <c r="E9" s="14" t="str">
        <f aca="false">IF($B9=0,"",$C9/$B9)</f>
        <v/>
      </c>
      <c r="F9" s="13" t="n">
        <f aca="false">'THÁNG 9'!$D$6</f>
        <v>0</v>
      </c>
    </row>
    <row r="10" customFormat="false" ht="15" hidden="false" customHeight="false" outlineLevel="0" collapsed="false">
      <c r="A10" s="21" t="str">
        <f aca="false">'BÁO CÁO NĂM'!$A$9</f>
        <v>Tháng 10/2026</v>
      </c>
      <c r="B10" s="13" t="n">
        <f aca="false">'BÁO CÁO NĂM'!$F$9</f>
        <v>0</v>
      </c>
      <c r="C10" s="13" t="n">
        <f aca="false">'BÁO CÁO NĂM'!$G$9</f>
        <v>0</v>
      </c>
      <c r="D10" s="13" t="n">
        <f aca="false">'BÁO CÁO NĂM'!$H$9</f>
        <v>0</v>
      </c>
      <c r="E10" s="14" t="str">
        <f aca="false">IF($B10=0,"",$C10/$B10)</f>
        <v/>
      </c>
      <c r="F10" s="13" t="n">
        <f aca="false">'THÁNG 10'!$D$6</f>
        <v>0</v>
      </c>
    </row>
    <row r="11" customFormat="false" ht="15" hidden="false" customHeight="false" outlineLevel="0" collapsed="false">
      <c r="A11" s="21" t="str">
        <f aca="false">'BÁO CÁO NĂM'!$A$10</f>
        <v>Tháng 11/2026</v>
      </c>
      <c r="B11" s="13" t="n">
        <f aca="false">'BÁO CÁO NĂM'!$F$10</f>
        <v>0</v>
      </c>
      <c r="C11" s="13" t="n">
        <f aca="false">'BÁO CÁO NĂM'!$G$10</f>
        <v>0</v>
      </c>
      <c r="D11" s="13" t="n">
        <f aca="false">'BÁO CÁO NĂM'!$H$10</f>
        <v>0</v>
      </c>
      <c r="E11" s="14" t="str">
        <f aca="false">IF($B11=0,"",$C11/$B11)</f>
        <v/>
      </c>
      <c r="F11" s="13" t="n">
        <f aca="false">'THÁNG 11'!$D$6</f>
        <v>0</v>
      </c>
    </row>
    <row r="12" customFormat="false" ht="15" hidden="false" customHeight="false" outlineLevel="0" collapsed="false">
      <c r="A12" s="21" t="str">
        <f aca="false">'BÁO CÁO NĂM'!$A$11</f>
        <v>Tháng 12/2026</v>
      </c>
      <c r="B12" s="13" t="n">
        <f aca="false">'BÁO CÁO NĂM'!$F$11</f>
        <v>0</v>
      </c>
      <c r="C12" s="13" t="n">
        <f aca="false">'BÁO CÁO NĂM'!$G$11</f>
        <v>0</v>
      </c>
      <c r="D12" s="13" t="n">
        <f aca="false">'BÁO CÁO NĂM'!$H$11</f>
        <v>0</v>
      </c>
      <c r="E12" s="14" t="str">
        <f aca="false">IF($B12=0,"",$C12/$B12)</f>
        <v/>
      </c>
      <c r="F12" s="13" t="n">
        <f aca="false">'THÁNG 12'!$D$6</f>
        <v>0</v>
      </c>
    </row>
    <row r="13" customFormat="false" ht="15" hidden="false" customHeight="false" outlineLevel="0" collapsed="false">
      <c r="A13" s="32" t="s">
        <v>451</v>
      </c>
      <c r="B13" s="33" t="n">
        <f aca="false">SUM(B6:B12)</f>
        <v>213731200</v>
      </c>
      <c r="C13" s="33" t="n">
        <f aca="false">SUM(C6:C12)</f>
        <v>184814200</v>
      </c>
      <c r="D13" s="33" t="n">
        <f aca="false">SUM(D6:D12)</f>
        <v>28917000</v>
      </c>
      <c r="E13" s="34" t="n">
        <f aca="false">IF($B13=0,"",$C13/$B13)</f>
        <v>0.864703889745624</v>
      </c>
      <c r="F13" s="33" t="n">
        <f aca="false">SUM(F6:F12)</f>
        <v>18</v>
      </c>
    </row>
    <row r="15" customFormat="false" ht="21.75" hidden="false" customHeight="true" outlineLevel="0" collapsed="false">
      <c r="A15" s="40" t="s">
        <v>473</v>
      </c>
      <c r="B15" s="40"/>
      <c r="C15" s="40"/>
      <c r="D15" s="40"/>
      <c r="E15" s="40"/>
      <c r="F15" s="40"/>
      <c r="G15" s="40"/>
      <c r="H15" s="40"/>
      <c r="I15" s="40"/>
    </row>
    <row r="16" customFormat="false" ht="33.75" hidden="false" customHeight="true" outlineLevel="0" collapsed="false">
      <c r="A16" s="10" t="s">
        <v>138</v>
      </c>
      <c r="B16" s="10" t="s">
        <v>421</v>
      </c>
      <c r="C16" s="10" t="s">
        <v>139</v>
      </c>
      <c r="D16" s="10" t="s">
        <v>140</v>
      </c>
      <c r="E16" s="10" t="s">
        <v>141</v>
      </c>
      <c r="F16" s="10" t="s">
        <v>59</v>
      </c>
      <c r="G16" s="10" t="s">
        <v>145</v>
      </c>
      <c r="H16" s="10" t="s">
        <v>150</v>
      </c>
      <c r="I16" s="10" t="s">
        <v>151</v>
      </c>
    </row>
    <row r="17" customFormat="false" ht="15" hidden="false" customHeight="false" outlineLevel="0" collapsed="false">
      <c r="A17" s="21" t="n">
        <f aca="false">IF($J17="","",1)</f>
        <v>1</v>
      </c>
      <c r="B17" s="13" t="n">
        <f aca="false">IF($J17="","",INDEX('DỮ LIỆU'!$A$3:$A$1052,$J17))</f>
        <v>6</v>
      </c>
      <c r="C17" s="41" t="n">
        <f aca="false">IF($J17="","",IF(INDEX('DỮ LIỆU'!$B$3:$B$1052,$J17)="","",INDEX('DỮ LIỆU'!$B$3:$B$1052,$J17)))</f>
        <v>46176</v>
      </c>
      <c r="D17" s="21" t="str">
        <f aca="false">IF($J17="","",IF(INDEX('DỮ LIỆU'!$C$3:$C$1052,$J17)="","",INDEX('DỮ LIỆU'!$C$3:$C$1052,$J17)))</f>
        <v>Nguyễn Văn An</v>
      </c>
      <c r="E17" s="21" t="str">
        <f aca="false">IF($J17="","",IF(INDEX('DỮ LIỆU'!$D$3:$D$1052,$J17)="","",INDEX('DỮ LIỆU'!$D$3:$D$1052,$J17)))</f>
        <v>0901234567</v>
      </c>
      <c r="F17" s="21" t="str">
        <f aca="false">IF($J17="","",IF(INDEX('DỮ LIỆU'!$H$3:$H$1052,$J17)="","",INDEX('DỮ LIỆU'!$H$3:$H$1052,$J17)))</f>
        <v>Bình giữ nhiệt in logo</v>
      </c>
      <c r="G17" s="13" t="n">
        <f aca="false">IF($J17="","",N(INDEX('DỮ LIỆU'!$I$3:$I$1052,$J17)))</f>
        <v>100</v>
      </c>
      <c r="H17" s="13" t="n">
        <f aca="false">IF($J17="","",N(INDEX('DỮ LIỆU'!$M$3:$M$1052,$J17)))</f>
        <v>8500000</v>
      </c>
      <c r="I17" s="13" t="n">
        <f aca="false">IF($J17="","",N(INDEX('DỮ LIỆU'!$N$3:$N$1052,$J17)))</f>
        <v>8500000</v>
      </c>
      <c r="J17" s="30" t="n">
        <f aca="false">IFERROR(MATCH(1,'DỮ LIỆU'!$Y$3:$Y$1052,0),"")</f>
        <v>1</v>
      </c>
    </row>
    <row r="18" customFormat="false" ht="15" hidden="false" customHeight="false" outlineLevel="0" collapsed="false">
      <c r="A18" s="21" t="n">
        <f aca="false">IF($J18="","",2)</f>
        <v>2</v>
      </c>
      <c r="B18" s="13" t="n">
        <f aca="false">IF($J18="","",INDEX('DỮ LIỆU'!$A$3:$A$1052,$J18))</f>
        <v>6</v>
      </c>
      <c r="C18" s="41" t="n">
        <f aca="false">IF($J18="","",IF(INDEX('DỮ LIỆU'!$B$3:$B$1052,$J18)="","",INDEX('DỮ LIỆU'!$B$3:$B$1052,$J18)))</f>
        <v>46188</v>
      </c>
      <c r="D18" s="21" t="str">
        <f aca="false">IF($J18="","",IF(INDEX('DỮ LIỆU'!$C$3:$C$1052,$J18)="","",INDEX('DỮ LIỆU'!$C$3:$C$1052,$J18)))</f>
        <v>Lê Minh Cường</v>
      </c>
      <c r="E18" s="21" t="str">
        <f aca="false">IF($J18="","",IF(INDEX('DỮ LIỆU'!$D$3:$D$1052,$J18)="","",INDEX('DỮ LIỆU'!$D$3:$D$1052,$J18)))</f>
        <v>0912345678</v>
      </c>
      <c r="F18" s="21" t="str">
        <f aca="false">IF($J18="","",IF(INDEX('DỮ LIỆU'!$H$3:$H$1052,$J18)="","",INDEX('DỮ LIỆU'!$H$3:$H$1052,$J18)))</f>
        <v>Bút ký khắc tên</v>
      </c>
      <c r="G18" s="13" t="n">
        <f aca="false">IF($J18="","",N(INDEX('DỮ LIỆU'!$I$3:$I$1052,$J18)))</f>
        <v>200</v>
      </c>
      <c r="H18" s="13" t="n">
        <f aca="false">IF($J18="","",N(INDEX('DỮ LIỆU'!$M$3:$M$1052,$J18)))</f>
        <v>7000000</v>
      </c>
      <c r="I18" s="13" t="n">
        <f aca="false">IF($J18="","",N(INDEX('DỮ LIỆU'!$N$3:$N$1052,$J18)))</f>
        <v>7000000</v>
      </c>
      <c r="J18" s="30" t="n">
        <f aca="false">IFERROR(MATCH(2,'DỮ LIỆU'!$Y$3:$Y$1052,0),"")</f>
        <v>3</v>
      </c>
    </row>
    <row r="19" customFormat="false" ht="15" hidden="false" customHeight="false" outlineLevel="0" collapsed="false">
      <c r="A19" s="21" t="n">
        <f aca="false">IF($J19="","",3)</f>
        <v>3</v>
      </c>
      <c r="B19" s="13" t="n">
        <f aca="false">IF($J19="","",INDEX('DỮ LIỆU'!$A$3:$A$1052,$J19))</f>
        <v>7</v>
      </c>
      <c r="C19" s="41" t="n">
        <f aca="false">IF($J19="","",IF(INDEX('DỮ LIỆU'!$B$3:$B$1052,$J19)="","",INDEX('DỮ LIỆU'!$B$3:$B$1052,$J19)))</f>
        <v>46204</v>
      </c>
      <c r="D19" s="21" t="str">
        <f aca="false">IF($J19="","",IF(INDEX('DỮ LIỆU'!$C$3:$C$1052,$J19)="","",INDEX('DỮ LIỆU'!$C$3:$C$1052,$J19)))</f>
        <v>A Tài - Huyndai - 20c</v>
      </c>
      <c r="E19" s="21" t="str">
        <f aca="false">IF($J19="","",IF(INDEX('DỮ LIỆU'!$D$3:$D$1052,$J19)="","",INDEX('DỮ LIỆU'!$D$3:$D$1052,$J19)))</f>
        <v>0935494005</v>
      </c>
      <c r="F19" s="21" t="str">
        <f aca="false">IF($J19="","",IF(INDEX('DỮ LIỆU'!$H$3:$H$1052,$J19)="","",INDEX('DỮ LIỆU'!$H$3:$H$1052,$J19)))</f>
        <v>gấu teddy trắng</v>
      </c>
      <c r="G19" s="13" t="n">
        <f aca="false">IF($J19="","",N(INDEX('DỮ LIỆU'!$I$3:$I$1052,$J19)))</f>
        <v>20</v>
      </c>
      <c r="H19" s="13" t="n">
        <f aca="false">IF($J19="","",N(INDEX('DỮ LIỆU'!$M$3:$M$1052,$J19)))</f>
        <v>1000000</v>
      </c>
      <c r="I19" s="13" t="n">
        <f aca="false">IF($J19="","",N(INDEX('DỮ LIỆU'!$N$3:$N$1052,$J19)))</f>
        <v>1000000</v>
      </c>
      <c r="J19" s="30" t="n">
        <f aca="false">IFERROR(MATCH(3,'DỮ LIỆU'!$Y$3:$Y$1052,0),"")</f>
        <v>151</v>
      </c>
    </row>
    <row r="20" customFormat="false" ht="15" hidden="false" customHeight="false" outlineLevel="0" collapsed="false">
      <c r="A20" s="21" t="n">
        <f aca="false">IF($J20="","",4)</f>
        <v>4</v>
      </c>
      <c r="B20" s="13" t="n">
        <f aca="false">IF($J20="","",INDEX('DỮ LIỆU'!$A$3:$A$1052,$J20))</f>
        <v>7</v>
      </c>
      <c r="C20" s="41" t="n">
        <f aca="false">IF($J20="","",IF(INDEX('DỮ LIỆU'!$B$3:$B$1052,$J20)="","",INDEX('DỮ LIỆU'!$B$3:$B$1052,$J20)))</f>
        <v>46205</v>
      </c>
      <c r="D20" s="21" t="str">
        <f aca="false">IF($J20="","",IF(INDEX('DỮ LIỆU'!$C$3:$C$1052,$J20)="","",INDEX('DỮ LIỆU'!$C$3:$C$1052,$J20)))</f>
        <v>BGB - Cô An Mến Tặng</v>
      </c>
      <c r="E20" s="21" t="str">
        <f aca="false">IF($J20="","",IF(INDEX('DỮ LIỆU'!$D$3:$D$1052,$J20)="","",INDEX('DỮ LIỆU'!$D$3:$D$1052,$J20)))</f>
        <v>0903535291</v>
      </c>
      <c r="F20" s="21" t="str">
        <f aca="false">IF($J20="","",IF(INDEX('DỮ LIỆU'!$H$3:$H$1052,$J20)="","",INDEX('DỮ LIỆU'!$H$3:$H$1052,$J20)))</f>
        <v>gấu teddy trắng</v>
      </c>
      <c r="G20" s="13" t="n">
        <f aca="false">IF($J20="","",N(INDEX('DỮ LIỆU'!$I$3:$I$1052,$J20)))</f>
        <v>22</v>
      </c>
      <c r="H20" s="13" t="n">
        <f aca="false">IF($J20="","",N(INDEX('DỮ LIỆU'!$M$3:$M$1052,$J20)))</f>
        <v>1100000</v>
      </c>
      <c r="I20" s="13" t="n">
        <f aca="false">IF($J20="","",N(INDEX('DỮ LIỆU'!$N$3:$N$1052,$J20)))</f>
        <v>1100000</v>
      </c>
      <c r="J20" s="30" t="n">
        <f aca="false">IFERROR(MATCH(4,'DỮ LIỆU'!$Y$3:$Y$1052,0),"")</f>
        <v>152</v>
      </c>
    </row>
    <row r="21" customFormat="false" ht="15" hidden="false" customHeight="false" outlineLevel="0" collapsed="false">
      <c r="A21" s="21" t="n">
        <f aca="false">IF($J21="","",5)</f>
        <v>5</v>
      </c>
      <c r="B21" s="13" t="n">
        <f aca="false">IF($J21="","",INDEX('DỮ LIỆU'!$A$3:$A$1052,$J21))</f>
        <v>7</v>
      </c>
      <c r="C21" s="41" t="n">
        <f aca="false">IF($J21="","",IF(INDEX('DỮ LIỆU'!$B$3:$B$1052,$J21)="","",INDEX('DỮ LIỆU'!$B$3:$B$1052,$J21)))</f>
        <v>46206</v>
      </c>
      <c r="D21" s="21" t="str">
        <f aca="false">IF($J21="","",IF(INDEX('DỮ LIỆU'!$C$3:$C$1052,$J21)="","",INDEX('DỮ LIỆU'!$C$3:$C$1052,$J21)))</f>
        <v>BGB - GẤU TỐT NGHIỆP AMES EL</v>
      </c>
      <c r="E21" s="21" t="str">
        <f aca="false">IF($J21="","",IF(INDEX('DỮ LIỆU'!$D$3:$D$1052,$J21)="","",INDEX('DỮ LIỆU'!$D$3:$D$1052,$J21)))</f>
        <v>0865895498</v>
      </c>
      <c r="F21" s="21" t="str">
        <f aca="false">IF($J21="","",IF(INDEX('DỮ LIỆU'!$H$3:$H$1052,$J21)="","",INDEX('DỮ LIỆU'!$H$3:$H$1052,$J21)))</f>
        <v>gấu nâu tốt nghiệp</v>
      </c>
      <c r="G21" s="13" t="n">
        <f aca="false">IF($J21="","",N(INDEX('DỮ LIỆU'!$I$3:$I$1052,$J21)))</f>
        <v>20</v>
      </c>
      <c r="H21" s="13" t="n">
        <f aca="false">IF($J21="","",N(INDEX('DỮ LIỆU'!$M$3:$M$1052,$J21)))</f>
        <v>1166400</v>
      </c>
      <c r="I21" s="13" t="n">
        <f aca="false">IF($J21="","",N(INDEX('DỮ LIỆU'!$N$3:$N$1052,$J21)))</f>
        <v>1166400</v>
      </c>
      <c r="J21" s="30" t="n">
        <f aca="false">IFERROR(MATCH(5,'DỮ LIỆU'!$Y$3:$Y$1052,0),"")</f>
        <v>153</v>
      </c>
    </row>
    <row r="22" customFormat="false" ht="15" hidden="false" customHeight="false" outlineLevel="0" collapsed="false">
      <c r="A22" s="21" t="n">
        <f aca="false">IF($J22="","",6)</f>
        <v>6</v>
      </c>
      <c r="B22" s="13" t="n">
        <f aca="false">IF($J22="","",INDEX('DỮ LIỆU'!$A$3:$A$1052,$J22))</f>
        <v>7</v>
      </c>
      <c r="C22" s="41" t="n">
        <f aca="false">IF($J22="","",IF(INDEX('DỮ LIỆU'!$B$3:$B$1052,$J22)="","",INDEX('DỮ LIỆU'!$B$3:$B$1052,$J22)))</f>
        <v>46207</v>
      </c>
      <c r="D22" s="21" t="str">
        <f aca="false">IF($J22="","",IF(INDEX('DỮ LIỆU'!$C$3:$C$1052,$J22)="","",INDEX('DỮ LIỆU'!$C$3:$C$1052,$J22)))</f>
        <v>C Trang Jade</v>
      </c>
      <c r="E22" s="21" t="str">
        <f aca="false">IF($J22="","",IF(INDEX('DỮ LIỆU'!$D$3:$D$1052,$J22)="","",INDEX('DỮ LIỆU'!$D$3:$D$1052,$J22)))</f>
        <v>0799740948</v>
      </c>
      <c r="F22" s="21" t="str">
        <f aca="false">IF($J22="","",IF(INDEX('DỮ LIỆU'!$H$3:$H$1052,$J22)="","",INDEX('DỮ LIỆU'!$H$3:$H$1052,$J22)))</f>
        <v>gấu trắng</v>
      </c>
      <c r="G22" s="13" t="n">
        <f aca="false">IF($J22="","",N(INDEX('DỮ LIỆU'!$I$3:$I$1052,$J22)))</f>
        <v>25</v>
      </c>
      <c r="H22" s="13" t="n">
        <f aca="false">IF($J22="","",N(INDEX('DỮ LIỆU'!$M$3:$M$1052,$J22)))</f>
        <v>1323000</v>
      </c>
      <c r="I22" s="13" t="n">
        <f aca="false">IF($J22="","",N(INDEX('DỮ LIỆU'!$N$3:$N$1052,$J22)))</f>
        <v>1323000</v>
      </c>
      <c r="J22" s="30" t="n">
        <f aca="false">IFERROR(MATCH(6,'DỮ LIỆU'!$Y$3:$Y$1052,0),"")</f>
        <v>154</v>
      </c>
    </row>
    <row r="23" customFormat="false" ht="15" hidden="false" customHeight="false" outlineLevel="0" collapsed="false">
      <c r="A23" s="21" t="n">
        <f aca="false">IF($J23="","",7)</f>
        <v>7</v>
      </c>
      <c r="B23" s="13" t="n">
        <f aca="false">IF($J23="","",INDEX('DỮ LIỆU'!$A$3:$A$1052,$J23))</f>
        <v>7</v>
      </c>
      <c r="C23" s="41" t="n">
        <f aca="false">IF($J23="","",IF(INDEX('DỮ LIỆU'!$B$3:$B$1052,$J23)="","",INDEX('DỮ LIỆU'!$B$3:$B$1052,$J23)))</f>
        <v>46207</v>
      </c>
      <c r="D23" s="21" t="str">
        <f aca="false">IF($J23="","",IF(INDEX('DỮ LIỆU'!$C$3:$C$1052,$J23)="","",INDEX('DỮ LIỆU'!$C$3:$C$1052,$J23)))</f>
        <v>Điện máy Ngọc Hiển</v>
      </c>
      <c r="E23" s="21" t="str">
        <f aca="false">IF($J23="","",IF(INDEX('DỮ LIỆU'!$D$3:$D$1052,$J23)="","",INDEX('DỮ LIỆU'!$D$3:$D$1052,$J23)))</f>
        <v>097579661</v>
      </c>
      <c r="F23" s="21" t="str">
        <f aca="false">IF($J23="","",IF(INDEX('DỮ LIỆU'!$H$3:$H$1052,$J23)="","",INDEX('DỮ LIỆU'!$H$3:$H$1052,$J23)))</f>
        <v>gấy nâu 25cm</v>
      </c>
      <c r="G23" s="13" t="n">
        <f aca="false">IF($J23="","",N(INDEX('DỮ LIỆU'!$I$3:$I$1052,$J23)))</f>
        <v>50</v>
      </c>
      <c r="H23" s="13" t="n">
        <f aca="false">IF($J23="","",N(INDEX('DỮ LIỆU'!$M$3:$M$1052,$J23)))</f>
        <v>2500000</v>
      </c>
      <c r="I23" s="13" t="n">
        <f aca="false">IF($J23="","",N(INDEX('DỮ LIỆU'!$N$3:$N$1052,$J23)))</f>
        <v>2500000</v>
      </c>
      <c r="J23" s="30" t="n">
        <f aca="false">IFERROR(MATCH(7,'DỮ LIỆU'!$Y$3:$Y$1052,0),"")</f>
        <v>155</v>
      </c>
    </row>
    <row r="24" customFormat="false" ht="15" hidden="false" customHeight="false" outlineLevel="0" collapsed="false">
      <c r="A24" s="21" t="n">
        <f aca="false">IF($J24="","",8)</f>
        <v>8</v>
      </c>
      <c r="B24" s="13" t="n">
        <f aca="false">IF($J24="","",INDEX('DỮ LIỆU'!$A$3:$A$1052,$J24))</f>
        <v>7</v>
      </c>
      <c r="C24" s="41" t="n">
        <f aca="false">IF($J24="","",IF(INDEX('DỮ LIỆU'!$B$3:$B$1052,$J24)="","",INDEX('DỮ LIỆU'!$B$3:$B$1052,$J24)))</f>
        <v>46209</v>
      </c>
      <c r="D24" s="21" t="str">
        <f aca="false">IF($J24="","",IF(INDEX('DỮ LIỆU'!$C$3:$C$1052,$J24)="","",INDEX('DỮ LIỆU'!$C$3:$C$1052,$J24)))</f>
        <v>Tạ Quang Bửu</v>
      </c>
      <c r="E24" s="21" t="str">
        <f aca="false">IF($J24="","",IF(INDEX('DỮ LIỆU'!$D$3:$D$1052,$J24)="","",INDEX('DỮ LIỆU'!$D$3:$D$1052,$J24)))</f>
        <v>0347713942</v>
      </c>
      <c r="F24" s="21" t="str">
        <f aca="false">IF($J24="","",IF(INDEX('DỮ LIỆU'!$H$3:$H$1052,$J24)="","",INDEX('DỮ LIỆU'!$H$3:$H$1052,$J24)))</f>
        <v>gấu nâu 25cm</v>
      </c>
      <c r="G24" s="13" t="n">
        <f aca="false">IF($J24="","",N(INDEX('DỮ LIỆU'!$I$3:$I$1052,$J24)))</f>
        <v>25</v>
      </c>
      <c r="H24" s="13" t="n">
        <f aca="false">IF($J24="","",N(INDEX('DỮ LIỆU'!$M$3:$M$1052,$J24)))</f>
        <v>1458000</v>
      </c>
      <c r="I24" s="13" t="n">
        <f aca="false">IF($J24="","",N(INDEX('DỮ LIỆU'!$N$3:$N$1052,$J24)))</f>
        <v>1458000</v>
      </c>
      <c r="J24" s="30" t="n">
        <f aca="false">IFERROR(MATCH(8,'DỮ LIỆU'!$Y$3:$Y$1052,0),"")</f>
        <v>156</v>
      </c>
    </row>
    <row r="25" customFormat="false" ht="15" hidden="false" customHeight="false" outlineLevel="0" collapsed="false">
      <c r="A25" s="21" t="n">
        <f aca="false">IF($J25="","",9)</f>
        <v>9</v>
      </c>
      <c r="B25" s="13" t="n">
        <f aca="false">IF($J25="","",INDEX('DỮ LIỆU'!$A$3:$A$1052,$J25))</f>
        <v>7</v>
      </c>
      <c r="C25" s="41" t="n">
        <f aca="false">IF($J25="","",IF(INDEX('DỮ LIỆU'!$B$3:$B$1052,$J25)="","",INDEX('DỮ LIỆU'!$B$3:$B$1052,$J25)))</f>
        <v>46210</v>
      </c>
      <c r="D25" s="21" t="str">
        <f aca="false">IF($J25="","",IF(INDEX('DỮ LIỆU'!$C$3:$C$1052,$J25)="","",INDEX('DỮ LIỆU'!$C$3:$C$1052,$J25)))</f>
        <v>C Lan Anh</v>
      </c>
      <c r="E25" s="21" t="str">
        <f aca="false">IF($J25="","",IF(INDEX('DỮ LIỆU'!$D$3:$D$1052,$J25)="","",INDEX('DỮ LIỆU'!$D$3:$D$1052,$J25)))</f>
        <v>0989472201</v>
      </c>
      <c r="F25" s="21" t="str">
        <f aca="false">IF($J25="","",IF(INDEX('DỮ LIỆU'!$H$3:$H$1052,$J25)="","",INDEX('DỮ LIỆU'!$H$3:$H$1052,$J25)))</f>
        <v>gấu ngồi lông mịn</v>
      </c>
      <c r="G25" s="13" t="n">
        <f aca="false">IF($J25="","",N(INDEX('DỮ LIỆU'!$I$3:$I$1052,$J25)))</f>
        <v>20</v>
      </c>
      <c r="H25" s="13" t="n">
        <f aca="false">IF($J25="","",N(INDEX('DỮ LIỆU'!$M$3:$M$1052,$J25)))</f>
        <v>1160000</v>
      </c>
      <c r="I25" s="13" t="n">
        <f aca="false">IF($J25="","",N(INDEX('DỮ LIỆU'!$N$3:$N$1052,$J25)))</f>
        <v>1160000</v>
      </c>
      <c r="J25" s="30" t="n">
        <f aca="false">IFERROR(MATCH(9,'DỮ LIỆU'!$Y$3:$Y$1052,0),"")</f>
        <v>157</v>
      </c>
    </row>
    <row r="26" customFormat="false" ht="15" hidden="false" customHeight="false" outlineLevel="0" collapsed="false">
      <c r="A26" s="21" t="n">
        <f aca="false">IF($J26="","",10)</f>
        <v>10</v>
      </c>
      <c r="B26" s="13" t="n">
        <f aca="false">IF($J26="","",INDEX('DỮ LIỆU'!$A$3:$A$1052,$J26))</f>
        <v>7</v>
      </c>
      <c r="C26" s="41" t="n">
        <f aca="false">IF($J26="","",IF(INDEX('DỮ LIỆU'!$B$3:$B$1052,$J26)="","",INDEX('DỮ LIỆU'!$B$3:$B$1052,$J26)))</f>
        <v>46210</v>
      </c>
      <c r="D26" s="21" t="str">
        <f aca="false">IF($J26="","",IF(INDEX('DỮ LIỆU'!$C$3:$C$1052,$J26)="","",INDEX('DỮ LIỆU'!$C$3:$C$1052,$J26)))</f>
        <v>BGB - SPA ĐẸP TPHCM</v>
      </c>
      <c r="E26" s="21" t="str">
        <f aca="false">IF($J26="","",IF(INDEX('DỮ LIỆU'!$D$3:$D$1052,$J26)="","",INDEX('DỮ LIỆU'!$D$3:$D$1052,$J26)))</f>
        <v>0399871317</v>
      </c>
      <c r="F26" s="21" t="str">
        <f aca="false">IF($J26="","",IF(INDEX('DỮ LIỆU'!$H$3:$H$1052,$J26)="","",INDEX('DỮ LIỆU'!$H$3:$H$1052,$J26)))</f>
        <v>gấu trắng, gấu nâu</v>
      </c>
      <c r="G26" s="13" t="n">
        <f aca="false">IF($J26="","",N(INDEX('DỮ LIỆU'!$I$3:$I$1052,$J26)))</f>
        <v>100</v>
      </c>
      <c r="H26" s="13" t="n">
        <f aca="false">IF($J26="","",N(INDEX('DỮ LIỆU'!$M$3:$M$1052,$J26)))</f>
        <v>4500000</v>
      </c>
      <c r="I26" s="13" t="n">
        <f aca="false">IF($J26="","",N(INDEX('DỮ LIỆU'!$N$3:$N$1052,$J26)))</f>
        <v>4500000</v>
      </c>
      <c r="J26" s="30" t="n">
        <f aca="false">IFERROR(MATCH(10,'DỮ LIỆU'!$Y$3:$Y$1052,0),"")</f>
        <v>158</v>
      </c>
    </row>
    <row r="27" customFormat="false" ht="15" hidden="false" customHeight="false" outlineLevel="0" collapsed="false">
      <c r="A27" s="21" t="n">
        <f aca="false">IF($J27="","",11)</f>
        <v>11</v>
      </c>
      <c r="B27" s="13" t="n">
        <f aca="false">IF($J27="","",INDEX('DỮ LIỆU'!$A$3:$A$1052,$J27))</f>
        <v>7</v>
      </c>
      <c r="C27" s="41" t="n">
        <f aca="false">IF($J27="","",IF(INDEX('DỮ LIỆU'!$B$3:$B$1052,$J27)="","",INDEX('DỮ LIỆU'!$B$3:$B$1052,$J27)))</f>
        <v>46211</v>
      </c>
      <c r="D27" s="21" t="str">
        <f aca="false">IF($J27="","",IF(INDEX('DỮ LIỆU'!$C$3:$C$1052,$J27)="","",INDEX('DỮ LIỆU'!$C$3:$C$1052,$J27)))</f>
        <v>SPA TUYẾT LISA</v>
      </c>
      <c r="E27" s="21" t="str">
        <f aca="false">IF($J27="","",IF(INDEX('DỮ LIỆU'!$D$3:$D$1052,$J27)="","",INDEX('DỮ LIỆU'!$D$3:$D$1052,$J27)))</f>
        <v>0975299444</v>
      </c>
      <c r="F27" s="21" t="str">
        <f aca="false">IF($J27="","",IF(INDEX('DỮ LIỆU'!$H$3:$H$1052,$J27)="","",INDEX('DỮ LIỆU'!$H$3:$H$1052,$J27)))</f>
        <v>gấu nâu 25cm</v>
      </c>
      <c r="G27" s="13" t="n">
        <f aca="false">IF($J27="","",N(INDEX('DỮ LIỆU'!$I$3:$I$1052,$J27)))</f>
        <v>50</v>
      </c>
      <c r="H27" s="13" t="n">
        <f aca="false">IF($J27="","",N(INDEX('DỮ LIỆU'!$M$3:$M$1052,$J27)))</f>
        <v>2500000</v>
      </c>
      <c r="I27" s="13" t="n">
        <f aca="false">IF($J27="","",N(INDEX('DỮ LIỆU'!$N$3:$N$1052,$J27)))</f>
        <v>2500000</v>
      </c>
      <c r="J27" s="30" t="n">
        <f aca="false">IFERROR(MATCH(11,'DỮ LIỆU'!$Y$3:$Y$1052,0),"")</f>
        <v>160</v>
      </c>
    </row>
    <row r="28" customFormat="false" ht="15" hidden="false" customHeight="false" outlineLevel="0" collapsed="false">
      <c r="A28" s="21" t="n">
        <f aca="false">IF($J28="","",12)</f>
        <v>12</v>
      </c>
      <c r="B28" s="13" t="n">
        <f aca="false">IF($J28="","",INDEX('DỮ LIỆU'!$A$3:$A$1052,$J28))</f>
        <v>7</v>
      </c>
      <c r="C28" s="41" t="n">
        <f aca="false">IF($J28="","",IF(INDEX('DỮ LIỆU'!$B$3:$B$1052,$J28)="","",INDEX('DỮ LIỆU'!$B$3:$B$1052,$J28)))</f>
        <v>46211</v>
      </c>
      <c r="D28" s="21" t="str">
        <f aca="false">IF($J28="","",IF(INDEX('DỮ LIỆU'!$C$3:$C$1052,$J28)="","",INDEX('DỮ LIỆU'!$C$3:$C$1052,$J28)))</f>
        <v>LÀM ĐẸP THỦY MỘC</v>
      </c>
      <c r="E28" s="21" t="str">
        <f aca="false">IF($J28="","",IF(INDEX('DỮ LIỆU'!$D$3:$D$1052,$J28)="","",INDEX('DỮ LIỆU'!$D$3:$D$1052,$J28)))</f>
        <v>0909377298</v>
      </c>
      <c r="F28" s="21" t="str">
        <f aca="false">IF($J28="","",IF(INDEX('DỮ LIỆU'!$H$3:$H$1052,$J28)="","",INDEX('DỮ LIỆU'!$H$3:$H$1052,$J28)))</f>
        <v>gấu trắng</v>
      </c>
      <c r="G28" s="13" t="n">
        <f aca="false">IF($J28="","",N(INDEX('DỮ LIỆU'!$I$3:$I$1052,$J28)))</f>
        <v>60</v>
      </c>
      <c r="H28" s="13" t="n">
        <f aca="false">IF($J28="","",N(INDEX('DỮ LIỆU'!$M$3:$M$1052,$J28)))</f>
        <v>2880000</v>
      </c>
      <c r="I28" s="13" t="n">
        <f aca="false">IF($J28="","",N(INDEX('DỮ LIỆU'!$N$3:$N$1052,$J28)))</f>
        <v>2880000</v>
      </c>
      <c r="J28" s="30" t="n">
        <f aca="false">IFERROR(MATCH(12,'DỮ LIỆU'!$Y$3:$Y$1052,0),"")</f>
        <v>161</v>
      </c>
    </row>
    <row r="29" customFormat="false" ht="15" hidden="false" customHeight="false" outlineLevel="0" collapsed="false">
      <c r="A29" s="21" t="n">
        <f aca="false">IF($J29="","",13)</f>
        <v>13</v>
      </c>
      <c r="B29" s="13" t="n">
        <f aca="false">IF($J29="","",INDEX('DỮ LIỆU'!$A$3:$A$1052,$J29))</f>
        <v>7</v>
      </c>
      <c r="C29" s="41" t="n">
        <f aca="false">IF($J29="","",IF(INDEX('DỮ LIỆU'!$B$3:$B$1052,$J29)="","",INDEX('DỮ LIỆU'!$B$3:$B$1052,$J29)))</f>
        <v>46212</v>
      </c>
      <c r="D29" s="21" t="str">
        <f aca="false">IF($J29="","",IF(INDEX('DỮ LIỆU'!$C$3:$C$1052,$J29)="","",INDEX('DỮ LIỆU'!$C$3:$C$1052,$J29)))</f>
        <v>HAU - ĐHKTHN</v>
      </c>
      <c r="E29" s="21" t="str">
        <f aca="false">IF($J29="","",IF(INDEX('DỮ LIỆU'!$D$3:$D$1052,$J29)="","",INDEX('DỮ LIỆU'!$D$3:$D$1052,$J29)))</f>
        <v/>
      </c>
      <c r="F29" s="21" t="str">
        <f aca="false">IF($J29="","",IF(INDEX('DỮ LIỆU'!$H$3:$H$1052,$J29)="","",INDEX('DỮ LIỆU'!$H$3:$H$1052,$J29)))</f>
        <v>gấu nâu</v>
      </c>
      <c r="G29" s="13" t="n">
        <f aca="false">IF($J29="","",N(INDEX('DỮ LIỆU'!$I$3:$I$1052,$J29)))</f>
        <v>312</v>
      </c>
      <c r="H29" s="13" t="n">
        <f aca="false">IF($J29="","",N(INDEX('DỮ LIỆU'!$M$3:$M$1052,$J29)))</f>
        <v>15600000</v>
      </c>
      <c r="I29" s="13" t="n">
        <f aca="false">IF($J29="","",N(INDEX('DỮ LIỆU'!$N$3:$N$1052,$J29)))</f>
        <v>15600000</v>
      </c>
      <c r="J29" s="30" t="n">
        <f aca="false">IFERROR(MATCH(13,'DỮ LIỆU'!$Y$3:$Y$1052,0),"")</f>
        <v>162</v>
      </c>
    </row>
    <row r="30" customFormat="false" ht="15" hidden="false" customHeight="false" outlineLevel="0" collapsed="false">
      <c r="A30" s="21" t="n">
        <f aca="false">IF($J30="","",14)</f>
        <v>14</v>
      </c>
      <c r="B30" s="13" t="n">
        <f aca="false">IF($J30="","",INDEX('DỮ LIỆU'!$A$3:$A$1052,$J30))</f>
        <v>7</v>
      </c>
      <c r="C30" s="41" t="n">
        <f aca="false">IF($J30="","",IF(INDEX('DỮ LIỆU'!$B$3:$B$1052,$J30)="","",INDEX('DỮ LIỆU'!$B$3:$B$1052,$J30)))</f>
        <v>46214</v>
      </c>
      <c r="D30" s="21" t="str">
        <f aca="false">IF($J30="","",IF(INDEX('DỮ LIỆU'!$C$3:$C$1052,$J30)="","",INDEX('DỮ LIỆU'!$C$3:$C$1052,$J30)))</f>
        <v>THCS - THPT HÀ THÀNH</v>
      </c>
      <c r="E30" s="21" t="str">
        <f aca="false">IF($J30="","",IF(INDEX('DỮ LIỆU'!$D$3:$D$1052,$J30)="","",INDEX('DỮ LIỆU'!$D$3:$D$1052,$J30)))</f>
        <v>0916283845</v>
      </c>
      <c r="F30" s="21" t="str">
        <f aca="false">IF($J30="","",IF(INDEX('DỮ LIỆU'!$H$3:$H$1052,$J30)="","",INDEX('DỮ LIỆU'!$H$3:$H$1052,$J30)))</f>
        <v>gấu nâu ngồi</v>
      </c>
      <c r="G30" s="13" t="n">
        <f aca="false">IF($J30="","",N(INDEX('DỮ LIỆU'!$I$3:$I$1052,$J30)))</f>
        <v>400</v>
      </c>
      <c r="H30" s="13" t="n">
        <f aca="false">IF($J30="","",N(INDEX('DỮ LIỆU'!$M$3:$M$1052,$J30)))</f>
        <v>19440000</v>
      </c>
      <c r="I30" s="13" t="n">
        <f aca="false">IF($J30="","",N(INDEX('DỮ LIỆU'!$N$3:$N$1052,$J30)))</f>
        <v>19440000</v>
      </c>
      <c r="J30" s="30" t="n">
        <f aca="false">IFERROR(MATCH(14,'DỮ LIỆU'!$Y$3:$Y$1052,0),"")</f>
        <v>163</v>
      </c>
    </row>
    <row r="31" customFormat="false" ht="15" hidden="false" customHeight="false" outlineLevel="0" collapsed="false">
      <c r="A31" s="21" t="n">
        <f aca="false">IF($J31="","",15)</f>
        <v>15</v>
      </c>
      <c r="B31" s="13" t="n">
        <f aca="false">IF($J31="","",INDEX('DỮ LIỆU'!$A$3:$A$1052,$J31))</f>
        <v>7</v>
      </c>
      <c r="C31" s="41" t="n">
        <f aca="false">IF($J31="","",IF(INDEX('DỮ LIỆU'!$B$3:$B$1052,$J31)="","",INDEX('DỮ LIỆU'!$B$3:$B$1052,$J31)))</f>
        <v>46214</v>
      </c>
      <c r="D31" s="21" t="str">
        <f aca="false">IF($J31="","",IF(INDEX('DỮ LIỆU'!$C$3:$C$1052,$J31)="","",INDEX('DỮ LIỆU'!$C$3:$C$1052,$J31)))</f>
        <v>VTV10</v>
      </c>
      <c r="E31" s="21" t="str">
        <f aca="false">IF($J31="","",IF(INDEX('DỮ LIỆU'!$D$3:$D$1052,$J31)="","",INDEX('DỮ LIỆU'!$D$3:$D$1052,$J31)))</f>
        <v>0962866186</v>
      </c>
      <c r="F31" s="21" t="str">
        <f aca="false">IF($J31="","",IF(INDEX('DỮ LIỆU'!$H$3:$H$1052,$J31)="","",INDEX('DỮ LIỆU'!$H$3:$H$1052,$J31)))</f>
        <v>gấu trắng</v>
      </c>
      <c r="G31" s="13" t="n">
        <f aca="false">IF($J31="","",N(INDEX('DỮ LIỆU'!$I$3:$I$1052,$J31)))</f>
        <v>50</v>
      </c>
      <c r="H31" s="13" t="n">
        <f aca="false">IF($J31="","",N(INDEX('DỮ LIỆU'!$M$3:$M$1052,$J31)))</f>
        <v>2500000</v>
      </c>
      <c r="I31" s="13" t="n">
        <f aca="false">IF($J31="","",N(INDEX('DỮ LIỆU'!$N$3:$N$1052,$J31)))</f>
        <v>2500000</v>
      </c>
      <c r="J31" s="30" t="n">
        <f aca="false">IFERROR(MATCH(15,'DỮ LIỆU'!$Y$3:$Y$1052,0),"")</f>
        <v>164</v>
      </c>
    </row>
    <row r="32" customFormat="false" ht="15" hidden="false" customHeight="false" outlineLevel="0" collapsed="false">
      <c r="A32" s="21" t="n">
        <f aca="false">IF($J32="","",16)</f>
        <v>16</v>
      </c>
      <c r="B32" s="13" t="n">
        <f aca="false">IF($J32="","",INDEX('DỮ LIỆU'!$A$3:$A$1052,$J32))</f>
        <v>7</v>
      </c>
      <c r="C32" s="41" t="n">
        <f aca="false">IF($J32="","",IF(INDEX('DỮ LIỆU'!$B$3:$B$1052,$J32)="","",INDEX('DỮ LIỆU'!$B$3:$B$1052,$J32)))</f>
        <v>46214</v>
      </c>
      <c r="D32" s="21" t="str">
        <f aca="false">IF($J32="","",IF(INDEX('DỮ LIỆU'!$C$3:$C$1052,$J32)="","",INDEX('DỮ LIỆU'!$C$3:$C$1052,$J32)))</f>
        <v>BGB - Melody</v>
      </c>
      <c r="E32" s="21" t="str">
        <f aca="false">IF($J32="","",IF(INDEX('DỮ LIỆU'!$D$3:$D$1052,$J32)="","",INDEX('DỮ LIỆU'!$D$3:$D$1052,$J32)))</f>
        <v/>
      </c>
      <c r="F32" s="21" t="str">
        <f aca="false">IF($J32="","",IF(INDEX('DỮ LIỆU'!$H$3:$H$1052,$J32)="","",INDEX('DỮ LIỆU'!$H$3:$H$1052,$J32)))</f>
        <v>gấu trắng</v>
      </c>
      <c r="G32" s="13" t="n">
        <f aca="false">IF($J32="","",N(INDEX('DỮ LIỆU'!$I$3:$I$1052,$J32)))</f>
        <v>250</v>
      </c>
      <c r="H32" s="13" t="n">
        <f aca="false">IF($J32="","",N(INDEX('DỮ LIỆU'!$M$3:$M$1052,$J32)))</f>
        <v>10000000</v>
      </c>
      <c r="I32" s="13" t="n">
        <f aca="false">IF($J32="","",N(INDEX('DỮ LIỆU'!$N$3:$N$1052,$J32)))</f>
        <v>10000000</v>
      </c>
      <c r="J32" s="30" t="n">
        <f aca="false">IFERROR(MATCH(16,'DỮ LIỆU'!$Y$3:$Y$1052,0),"")</f>
        <v>165</v>
      </c>
    </row>
    <row r="33" customFormat="false" ht="15" hidden="false" customHeight="false" outlineLevel="0" collapsed="false">
      <c r="A33" s="21" t="n">
        <f aca="false">IF($J33="","",17)</f>
        <v>17</v>
      </c>
      <c r="B33" s="13" t="n">
        <f aca="false">IF($J33="","",INDEX('DỮ LIỆU'!$A$3:$A$1052,$J33))</f>
        <v>7</v>
      </c>
      <c r="C33" s="41" t="n">
        <f aca="false">IF($J33="","",IF(INDEX('DỮ LIỆU'!$B$3:$B$1052,$J33)="","",INDEX('DỮ LIỆU'!$B$3:$B$1052,$J33)))</f>
        <v>46214</v>
      </c>
      <c r="D33" s="21" t="str">
        <f aca="false">IF($J33="","",IF(INDEX('DỮ LIỆU'!$C$3:$C$1052,$J33)="","",INDEX('DỮ LIỆU'!$C$3:$C$1052,$J33)))</f>
        <v>chị Sang Phú Quốc</v>
      </c>
      <c r="E33" s="21" t="str">
        <f aca="false">IF($J33="","",IF(INDEX('DỮ LIỆU'!$D$3:$D$1052,$J33)="","",INDEX('DỮ LIỆU'!$D$3:$D$1052,$J33)))</f>
        <v>0976166217</v>
      </c>
      <c r="F33" s="21" t="str">
        <f aca="false">IF($J33="","",IF(INDEX('DỮ LIỆU'!$H$3:$H$1052,$J33)="","",INDEX('DỮ LIỆU'!$H$3:$H$1052,$J33)))</f>
        <v>gối chữ U</v>
      </c>
      <c r="G33" s="13" t="n">
        <f aca="false">IF($J33="","",N(INDEX('DỮ LIỆU'!$I$3:$I$1052,$J33)))</f>
        <v>20</v>
      </c>
      <c r="H33" s="13" t="n">
        <f aca="false">IF($J33="","",N(INDEX('DỮ LIỆU'!$M$3:$M$1052,$J33)))</f>
        <v>1400000</v>
      </c>
      <c r="I33" s="13" t="n">
        <f aca="false">IF($J33="","",N(INDEX('DỮ LIỆU'!$N$3:$N$1052,$J33)))</f>
        <v>1400000</v>
      </c>
      <c r="J33" s="30" t="n">
        <f aca="false">IFERROR(MATCH(17,'DỮ LIỆU'!$Y$3:$Y$1052,0),"")</f>
        <v>166</v>
      </c>
    </row>
    <row r="34" customFormat="false" ht="15" hidden="false" customHeight="false" outlineLevel="0" collapsed="false">
      <c r="A34" s="21" t="n">
        <f aca="false">IF($J34="","",18)</f>
        <v>18</v>
      </c>
      <c r="B34" s="13" t="n">
        <f aca="false">IF($J34="","",INDEX('DỮ LIỆU'!$A$3:$A$1052,$J34))</f>
        <v>7</v>
      </c>
      <c r="C34" s="41" t="n">
        <f aca="false">IF($J34="","",IF(INDEX('DỮ LIỆU'!$B$3:$B$1052,$J34)="","",INDEX('DỮ LIỆU'!$B$3:$B$1052,$J34)))</f>
        <v>46216</v>
      </c>
      <c r="D34" s="21" t="str">
        <f aca="false">IF($J34="","",IF(INDEX('DỮ LIỆU'!$C$3:$C$1052,$J34)="","",INDEX('DỮ LIỆU'!$C$3:$C$1052,$J34)))</f>
        <v>Chị Thúy - Gối U</v>
      </c>
      <c r="E34" s="21" t="str">
        <f aca="false">IF($J34="","",IF(INDEX('DỮ LIỆU'!$D$3:$D$1052,$J34)="","",INDEX('DỮ LIỆU'!$D$3:$D$1052,$J34)))</f>
        <v>0978939891</v>
      </c>
      <c r="F34" s="21" t="str">
        <f aca="false">IF($J34="","",IF(INDEX('DỮ LIỆU'!$H$3:$H$1052,$J34)="","",INDEX('DỮ LIỆU'!$H$3:$H$1052,$J34)))</f>
        <v>gối chữ U</v>
      </c>
      <c r="G34" s="13" t="n">
        <f aca="false">IF($J34="","",N(INDEX('DỮ LIỆU'!$I$3:$I$1052,$J34)))</f>
        <v>50</v>
      </c>
      <c r="H34" s="13" t="n">
        <f aca="false">IF($J34="","",N(INDEX('DỮ LIỆU'!$M$3:$M$1052,$J34)))</f>
        <v>2750000</v>
      </c>
      <c r="I34" s="13" t="n">
        <f aca="false">IF($J34="","",N(INDEX('DỮ LIỆU'!$N$3:$N$1052,$J34)))</f>
        <v>2750000</v>
      </c>
      <c r="J34" s="30" t="n">
        <f aca="false">IFERROR(MATCH(18,'DỮ LIỆU'!$Y$3:$Y$1052,0),"")</f>
        <v>167</v>
      </c>
    </row>
    <row r="35" customFormat="false" ht="15" hidden="false" customHeight="false" outlineLevel="0" collapsed="false">
      <c r="A35" s="21" t="n">
        <f aca="false">IF($J35="","",19)</f>
        <v>19</v>
      </c>
      <c r="B35" s="13" t="n">
        <f aca="false">IF($J35="","",INDEX('DỮ LIỆU'!$A$3:$A$1052,$J35))</f>
        <v>7</v>
      </c>
      <c r="C35" s="41" t="n">
        <f aca="false">IF($J35="","",IF(INDEX('DỮ LIỆU'!$B$3:$B$1052,$J35)="","",INDEX('DỮ LIỆU'!$B$3:$B$1052,$J35)))</f>
        <v>46216</v>
      </c>
      <c r="D35" s="21" t="str">
        <f aca="false">IF($J35="","",IF(INDEX('DỮ LIỆU'!$C$3:$C$1052,$J35)="","",INDEX('DỮ LIỆU'!$C$3:$C$1052,$J35)))</f>
        <v>Anh Tài - Seabank</v>
      </c>
      <c r="E35" s="21" t="str">
        <f aca="false">IF($J35="","",IF(INDEX('DỮ LIỆU'!$D$3:$D$1052,$J35)="","",INDEX('DỮ LIỆU'!$D$3:$D$1052,$J35)))</f>
        <v>0983470862</v>
      </c>
      <c r="F35" s="21" t="str">
        <f aca="false">IF($J35="","",IF(INDEX('DỮ LIỆU'!$H$3:$H$1052,$J35)="","",INDEX('DỮ LIỆU'!$H$3:$H$1052,$J35)))</f>
        <v>gấu ngồi lông mịn</v>
      </c>
      <c r="G35" s="13" t="n">
        <f aca="false">IF($J35="","",N(INDEX('DỮ LIỆU'!$I$3:$I$1052,$J35)))</f>
        <v>25</v>
      </c>
      <c r="H35" s="13" t="n">
        <f aca="false">IF($J35="","",N(INDEX('DỮ LIỆU'!$M$3:$M$1052,$J35)))</f>
        <v>1450000</v>
      </c>
      <c r="I35" s="13" t="n">
        <f aca="false">IF($J35="","",N(INDEX('DỮ LIỆU'!$N$3:$N$1052,$J35)))</f>
        <v>1450000</v>
      </c>
      <c r="J35" s="30" t="n">
        <f aca="false">IFERROR(MATCH(19,'DỮ LIỆU'!$Y$3:$Y$1052,0),"")</f>
        <v>168</v>
      </c>
    </row>
    <row r="36" customFormat="false" ht="15" hidden="false" customHeight="false" outlineLevel="0" collapsed="false">
      <c r="A36" s="21" t="n">
        <f aca="false">IF($J36="","",20)</f>
        <v>20</v>
      </c>
      <c r="B36" s="13" t="n">
        <f aca="false">IF($J36="","",INDEX('DỮ LIỆU'!$A$3:$A$1052,$J36))</f>
        <v>7</v>
      </c>
      <c r="C36" s="41" t="n">
        <f aca="false">IF($J36="","",IF(INDEX('DỮ LIỆU'!$B$3:$B$1052,$J36)="","",INDEX('DỮ LIỆU'!$B$3:$B$1052,$J36)))</f>
        <v>46216</v>
      </c>
      <c r="D36" s="21" t="str">
        <f aca="false">IF($J36="","",IF(INDEX('DỮ LIỆU'!$C$3:$C$1052,$J36)="","",INDEX('DỮ LIỆU'!$C$3:$C$1052,$J36)))</f>
        <v>Mrs Thương - Du Lịch Trọn Gói</v>
      </c>
      <c r="E36" s="21" t="str">
        <f aca="false">IF($J36="","",IF(INDEX('DỮ LIỆU'!$D$3:$D$1052,$J36)="","",INDEX('DỮ LIỆU'!$D$3:$D$1052,$J36)))</f>
        <v>094.874.1368</v>
      </c>
      <c r="F36" s="21" t="str">
        <f aca="false">IF($J36="","",IF(INDEX('DỮ LIỆU'!$H$3:$H$1052,$J36)="","",INDEX('DỮ LIỆU'!$H$3:$H$1052,$J36)))</f>
        <v>gấu trắng</v>
      </c>
      <c r="G36" s="13" t="n">
        <f aca="false">IF($J36="","",N(INDEX('DỮ LIỆU'!$I$3:$I$1052,$J36)))</f>
        <v>30</v>
      </c>
      <c r="H36" s="13" t="n">
        <f aca="false">IF($J36="","",N(INDEX('DỮ LIỆU'!$M$3:$M$1052,$J36)))</f>
        <v>1440000</v>
      </c>
      <c r="I36" s="13" t="n">
        <f aca="false">IF($J36="","",N(INDEX('DỮ LIỆU'!$N$3:$N$1052,$J36)))</f>
        <v>1440000</v>
      </c>
      <c r="J36" s="30" t="n">
        <f aca="false">IFERROR(MATCH(20,'DỮ LIỆU'!$Y$3:$Y$1052,0),"")</f>
        <v>169</v>
      </c>
    </row>
    <row r="37" customFormat="false" ht="15" hidden="false" customHeight="false" outlineLevel="0" collapsed="false">
      <c r="A37" s="21" t="n">
        <f aca="false">IF($J37="","",21)</f>
        <v>21</v>
      </c>
      <c r="B37" s="13" t="n">
        <f aca="false">IF($J37="","",INDEX('DỮ LIỆU'!$A$3:$A$1052,$J37))</f>
        <v>7</v>
      </c>
      <c r="C37" s="41" t="n">
        <f aca="false">IF($J37="","",IF(INDEX('DỮ LIỆU'!$B$3:$B$1052,$J37)="","",INDEX('DỮ LIỆU'!$B$3:$B$1052,$J37)))</f>
        <v>46217</v>
      </c>
      <c r="D37" s="21" t="str">
        <f aca="false">IF($J37="","",IF(INDEX('DỮ LIỆU'!$C$3:$C$1052,$J37)="","",INDEX('DỮ LIỆU'!$C$3:$C$1052,$J37)))</f>
        <v>BGB - CHỊ QUỲNH 35C</v>
      </c>
      <c r="E37" s="21" t="str">
        <f aca="false">IF($J37="","",IF(INDEX('DỮ LIỆU'!$D$3:$D$1052,$J37)="","",INDEX('DỮ LIỆU'!$D$3:$D$1052,$J37)))</f>
        <v>0918479558</v>
      </c>
      <c r="F37" s="21" t="str">
        <f aca="false">IF($J37="","",IF(INDEX('DỮ LIỆU'!$H$3:$H$1052,$J37)="","",INDEX('DỮ LIỆU'!$H$3:$H$1052,$J37)))</f>
        <v>gấu trắng</v>
      </c>
      <c r="G37" s="13" t="n">
        <f aca="false">IF($J37="","",N(INDEX('DỮ LIỆU'!$I$3:$I$1052,$J37)))</f>
        <v>35</v>
      </c>
      <c r="H37" s="13" t="n">
        <f aca="false">IF($J37="","",N(INDEX('DỮ LIỆU'!$M$3:$M$1052,$J37)))</f>
        <v>1750000</v>
      </c>
      <c r="I37" s="13" t="n">
        <f aca="false">IF($J37="","",N(INDEX('DỮ LIỆU'!$N$3:$N$1052,$J37)))</f>
        <v>1750000</v>
      </c>
      <c r="J37" s="30" t="n">
        <f aca="false">IFERROR(MATCH(21,'DỮ LIỆU'!$Y$3:$Y$1052,0),"")</f>
        <v>171</v>
      </c>
    </row>
    <row r="38" customFormat="false" ht="15" hidden="false" customHeight="false" outlineLevel="0" collapsed="false">
      <c r="A38" s="21" t="n">
        <f aca="false">IF($J38="","",22)</f>
        <v>22</v>
      </c>
      <c r="B38" s="13" t="n">
        <f aca="false">IF($J38="","",INDEX('DỮ LIỆU'!$A$3:$A$1052,$J38))</f>
        <v>7</v>
      </c>
      <c r="C38" s="41" t="n">
        <f aca="false">IF($J38="","",IF(INDEX('DỮ LIỆU'!$B$3:$B$1052,$J38)="","",INDEX('DỮ LIỆU'!$B$3:$B$1052,$J38)))</f>
        <v>46217</v>
      </c>
      <c r="D38" s="21" t="str">
        <f aca="false">IF($J38="","",IF(INDEX('DỮ LIỆU'!$C$3:$C$1052,$J38)="","",INDEX('DỮ LIỆU'!$C$3:$C$1052,$J38)))</f>
        <v>BGB - ANH HẢI 20C</v>
      </c>
      <c r="E38" s="21" t="str">
        <f aca="false">IF($J38="","",IF(INDEX('DỮ LIỆU'!$D$3:$D$1052,$J38)="","",INDEX('DỮ LIỆU'!$D$3:$D$1052,$J38)))</f>
        <v>0907 188 988</v>
      </c>
      <c r="F38" s="21" t="str">
        <f aca="false">IF($J38="","",IF(INDEX('DỮ LIỆU'!$H$3:$H$1052,$J38)="","",INDEX('DỮ LIỆU'!$H$3:$H$1052,$J38)))</f>
        <v>gấu nâu 30cm</v>
      </c>
      <c r="G38" s="13" t="n">
        <f aca="false">IF($J38="","",N(INDEX('DỮ LIỆU'!$I$3:$I$1052,$J38)))</f>
        <v>20</v>
      </c>
      <c r="H38" s="13" t="n">
        <f aca="false">IF($J38="","",N(INDEX('DỮ LIỆU'!$M$3:$M$1052,$J38)))</f>
        <v>1000000</v>
      </c>
      <c r="I38" s="13" t="n">
        <f aca="false">IF($J38="","",N(INDEX('DỮ LIỆU'!$N$3:$N$1052,$J38)))</f>
        <v>1000000</v>
      </c>
      <c r="J38" s="30" t="n">
        <f aca="false">IFERROR(MATCH(22,'DỮ LIỆU'!$Y$3:$Y$1052,0),"")</f>
        <v>172</v>
      </c>
    </row>
    <row r="39" customFormat="false" ht="15" hidden="false" customHeight="false" outlineLevel="0" collapsed="false">
      <c r="A39" s="21" t="n">
        <f aca="false">IF($J39="","",23)</f>
        <v>23</v>
      </c>
      <c r="B39" s="13" t="n">
        <f aca="false">IF($J39="","",INDEX('DỮ LIỆU'!$A$3:$A$1052,$J39))</f>
        <v>7</v>
      </c>
      <c r="C39" s="41" t="n">
        <f aca="false">IF($J39="","",IF(INDEX('DỮ LIỆU'!$B$3:$B$1052,$J39)="","",INDEX('DỮ LIỆU'!$B$3:$B$1052,$J39)))</f>
        <v>46217</v>
      </c>
      <c r="D39" s="21" t="str">
        <f aca="false">IF($J39="","",IF(INDEX('DỮ LIỆU'!$C$3:$C$1052,$J39)="","",INDEX('DỮ LIỆU'!$C$3:$C$1052,$J39)))</f>
        <v>BGB - ANH KIỆT MEDIA</v>
      </c>
      <c r="E39" s="21" t="str">
        <f aca="false">IF($J39="","",IF(INDEX('DỮ LIỆU'!$D$3:$D$1052,$J39)="","",INDEX('DỮ LIỆU'!$D$3:$D$1052,$J39)))</f>
        <v>0354065678</v>
      </c>
      <c r="F39" s="21" t="str">
        <f aca="false">IF($J39="","",IF(INDEX('DỮ LIỆU'!$H$3:$H$1052,$J39)="","",INDEX('DỮ LIỆU'!$H$3:$H$1052,$J39)))</f>
        <v>gấu ngồi lông mịn, gấu panda</v>
      </c>
      <c r="G39" s="13" t="n">
        <f aca="false">IF($J39="","",N(INDEX('DỮ LIỆU'!$I$3:$I$1052,$J39)))</f>
        <v>100</v>
      </c>
      <c r="H39" s="13" t="n">
        <f aca="false">IF($J39="","",N(INDEX('DỮ LIỆU'!$M$3:$M$1052,$J39)))</f>
        <v>6250000</v>
      </c>
      <c r="I39" s="13" t="n">
        <f aca="false">IF($J39="","",N(INDEX('DỮ LIỆU'!$N$3:$N$1052,$J39)))</f>
        <v>6250000</v>
      </c>
      <c r="J39" s="30" t="n">
        <f aca="false">IFERROR(MATCH(23,'DỮ LIỆU'!$Y$3:$Y$1052,0),"")</f>
        <v>173</v>
      </c>
    </row>
    <row r="40" customFormat="false" ht="15" hidden="false" customHeight="false" outlineLevel="0" collapsed="false">
      <c r="A40" s="21" t="n">
        <f aca="false">IF($J40="","",24)</f>
        <v>24</v>
      </c>
      <c r="B40" s="13" t="n">
        <f aca="false">IF($J40="","",INDEX('DỮ LIỆU'!$A$3:$A$1052,$J40))</f>
        <v>7</v>
      </c>
      <c r="C40" s="41" t="n">
        <f aca="false">IF($J40="","",IF(INDEX('DỮ LIỆU'!$B$3:$B$1052,$J40)="","",INDEX('DỮ LIỆU'!$B$3:$B$1052,$J40)))</f>
        <v>46219</v>
      </c>
      <c r="D40" s="21" t="str">
        <f aca="false">IF($J40="","",IF(INDEX('DỮ LIỆU'!$C$3:$C$1052,$J40)="","",INDEX('DỮ LIỆU'!$C$3:$C$1052,$J40)))</f>
        <v>BGB - WEAUTOMATE 90C</v>
      </c>
      <c r="E40" s="21" t="str">
        <f aca="false">IF($J40="","",IF(INDEX('DỮ LIỆU'!$D$3:$D$1052,$J40)="","",INDEX('DỮ LIỆU'!$D$3:$D$1052,$J40)))</f>
        <v>0904415147</v>
      </c>
      <c r="F40" s="21" t="str">
        <f aca="false">IF($J40="","",IF(INDEX('DỮ LIỆU'!$H$3:$H$1052,$J40)="","",INDEX('DỮ LIỆU'!$H$3:$H$1052,$J40)))</f>
        <v>Gấu HT 30cm</v>
      </c>
      <c r="G40" s="13" t="n">
        <f aca="false">IF($J40="","",N(INDEX('DỮ LIỆU'!$I$3:$I$1052,$J40)))</f>
        <v>90</v>
      </c>
      <c r="H40" s="13" t="n">
        <f aca="false">IF($J40="","",N(INDEX('DỮ LIỆU'!$M$3:$M$1052,$J40)))</f>
        <v>6318000</v>
      </c>
      <c r="I40" s="13" t="n">
        <f aca="false">IF($J40="","",N(INDEX('DỮ LIỆU'!$N$3:$N$1052,$J40)))</f>
        <v>6318000</v>
      </c>
      <c r="J40" s="30" t="n">
        <f aca="false">IFERROR(MATCH(24,'DỮ LIỆU'!$Y$3:$Y$1052,0),"")</f>
        <v>174</v>
      </c>
    </row>
    <row r="41" customFormat="false" ht="15" hidden="false" customHeight="false" outlineLevel="0" collapsed="false">
      <c r="A41" s="21" t="n">
        <f aca="false">IF($J41="","",25)</f>
        <v>25</v>
      </c>
      <c r="B41" s="13" t="n">
        <f aca="false">IF($J41="","",INDEX('DỮ LIỆU'!$A$3:$A$1052,$J41))</f>
        <v>7</v>
      </c>
      <c r="C41" s="41" t="n">
        <f aca="false">IF($J41="","",IF(INDEX('DỮ LIỆU'!$B$3:$B$1052,$J41)="","",INDEX('DỮ LIỆU'!$B$3:$B$1052,$J41)))</f>
        <v>46219</v>
      </c>
      <c r="D41" s="21" t="str">
        <f aca="false">IF($J41="","",IF(INDEX('DỮ LIỆU'!$C$3:$C$1052,$J41)="","",INDEX('DỮ LIỆU'!$C$3:$C$1052,$J41)))</f>
        <v>Ánh Linh music</v>
      </c>
      <c r="E41" s="21" t="str">
        <f aca="false">IF($J41="","",IF(INDEX('DỮ LIỆU'!$D$3:$D$1052,$J41)="","",INDEX('DỮ LIỆU'!$D$3:$D$1052,$J41)))</f>
        <v>097 7102094</v>
      </c>
      <c r="F41" s="21" t="str">
        <f aca="false">IF($J41="","",IF(INDEX('DỮ LIỆU'!$H$3:$H$1052,$J41)="","",INDEX('DỮ LIỆU'!$H$3:$H$1052,$J41)))</f>
        <v>CÁ BABY SHARK</v>
      </c>
      <c r="G41" s="13" t="n">
        <f aca="false">IF($J41="","",N(INDEX('DỮ LIỆU'!$I$3:$I$1052,$J41)))</f>
        <v>60</v>
      </c>
      <c r="H41" s="13" t="n">
        <f aca="false">IF($J41="","",N(INDEX('DỮ LIỆU'!$M$3:$M$1052,$J41)))</f>
        <v>2880000</v>
      </c>
      <c r="I41" s="13" t="n">
        <f aca="false">IF($J41="","",N(INDEX('DỮ LIỆU'!$N$3:$N$1052,$J41)))</f>
        <v>2880000</v>
      </c>
      <c r="J41" s="30" t="n">
        <f aca="false">IFERROR(MATCH(25,'DỮ LIỆU'!$Y$3:$Y$1052,0),"")</f>
        <v>175</v>
      </c>
    </row>
    <row r="42" customFormat="false" ht="15" hidden="false" customHeight="false" outlineLevel="0" collapsed="false">
      <c r="A42" s="21" t="n">
        <f aca="false">IF($J42="","",26)</f>
        <v>26</v>
      </c>
      <c r="B42" s="13" t="n">
        <f aca="false">IF($J42="","",INDEX('DỮ LIỆU'!$A$3:$A$1052,$J42))</f>
        <v>7</v>
      </c>
      <c r="C42" s="41" t="n">
        <f aca="false">IF($J42="","",IF(INDEX('DỮ LIỆU'!$B$3:$B$1052,$J42)="","",INDEX('DỮ LIỆU'!$B$3:$B$1052,$J42)))</f>
        <v>46219</v>
      </c>
      <c r="D42" s="21" t="str">
        <f aca="false">IF($J42="","",IF(INDEX('DỮ LIỆU'!$C$3:$C$1052,$J42)="","",INDEX('DỮ LIỆU'!$C$3:$C$1052,$J42)))</f>
        <v>BGB - Chị LINH CAO 100G</v>
      </c>
      <c r="E42" s="21" t="str">
        <f aca="false">IF($J42="","",IF(INDEX('DỮ LIỆU'!$D$3:$D$1052,$J42)="","",INDEX('DỮ LIỆU'!$D$3:$D$1052,$J42)))</f>
        <v>078 833 2168</v>
      </c>
      <c r="F42" s="21" t="str">
        <f aca="false">IF($J42="","",IF(INDEX('DỮ LIỆU'!$H$3:$H$1052,$J42)="","",INDEX('DỮ LIỆU'!$H$3:$H$1052,$J42)))</f>
        <v>Gấu nâu</v>
      </c>
      <c r="G42" s="13" t="n">
        <f aca="false">IF($J42="","",N(INDEX('DỮ LIỆU'!$I$3:$I$1052,$J42)))</f>
        <v>100</v>
      </c>
      <c r="H42" s="13" t="n">
        <f aca="false">IF($J42="","",N(INDEX('DỮ LIỆU'!$M$3:$M$1052,$J42)))</f>
        <v>4800000</v>
      </c>
      <c r="I42" s="13" t="n">
        <f aca="false">IF($J42="","",N(INDEX('DỮ LIỆU'!$N$3:$N$1052,$J42)))</f>
        <v>4800000</v>
      </c>
      <c r="J42" s="30" t="n">
        <f aca="false">IFERROR(MATCH(26,'DỮ LIỆU'!$Y$3:$Y$1052,0),"")</f>
        <v>176</v>
      </c>
    </row>
    <row r="43" customFormat="false" ht="15" hidden="false" customHeight="false" outlineLevel="0" collapsed="false">
      <c r="A43" s="21" t="n">
        <f aca="false">IF($J43="","",27)</f>
        <v>27</v>
      </c>
      <c r="B43" s="13" t="n">
        <f aca="false">IF($J43="","",INDEX('DỮ LIỆU'!$A$3:$A$1052,$J43))</f>
        <v>7</v>
      </c>
      <c r="C43" s="41" t="n">
        <f aca="false">IF($J43="","",IF(INDEX('DỮ LIỆU'!$B$3:$B$1052,$J43)="","",INDEX('DỮ LIỆU'!$B$3:$B$1052,$J43)))</f>
        <v>46219</v>
      </c>
      <c r="D43" s="21" t="str">
        <f aca="false">IF($J43="","",IF(INDEX('DỮ LIỆU'!$C$3:$C$1052,$J43)="","",INDEX('DỮ LIỆU'!$C$3:$C$1052,$J43)))</f>
        <v>BGB - NHẬT ANH IQ 100C</v>
      </c>
      <c r="E43" s="21" t="str">
        <f aca="false">IF($J43="","",IF(INDEX('DỮ LIỆU'!$D$3:$D$1052,$J43)="","",INDEX('DỮ LIỆU'!$D$3:$D$1052,$J43)))</f>
        <v>0987999723</v>
      </c>
      <c r="F43" s="21" t="str">
        <f aca="false">IF($J43="","",IF(INDEX('DỮ LIỆU'!$H$3:$H$1052,$J43)="","",INDEX('DỮ LIỆU'!$H$3:$H$1052,$J43)))</f>
        <v>gấu trắng, gấu nâu</v>
      </c>
      <c r="G43" s="13" t="n">
        <f aca="false">IF($J43="","",N(INDEX('DỮ LIỆU'!$I$3:$I$1052,$J43)))</f>
        <v>100</v>
      </c>
      <c r="H43" s="13" t="n">
        <f aca="false">IF($J43="","",N(INDEX('DỮ LIỆU'!$M$3:$M$1052,$J43)))</f>
        <v>4500000</v>
      </c>
      <c r="I43" s="13" t="n">
        <f aca="false">IF($J43="","",N(INDEX('DỮ LIỆU'!$N$3:$N$1052,$J43)))</f>
        <v>4500000</v>
      </c>
      <c r="J43" s="30" t="n">
        <f aca="false">IFERROR(MATCH(27,'DỮ LIỆU'!$Y$3:$Y$1052,0),"")</f>
        <v>177</v>
      </c>
    </row>
    <row r="44" customFormat="false" ht="15" hidden="false" customHeight="false" outlineLevel="0" collapsed="false">
      <c r="A44" s="21" t="n">
        <f aca="false">IF($J44="","",28)</f>
        <v>28</v>
      </c>
      <c r="B44" s="13" t="n">
        <f aca="false">IF($J44="","",INDEX('DỮ LIỆU'!$A$3:$A$1052,$J44))</f>
        <v>7</v>
      </c>
      <c r="C44" s="41" t="n">
        <f aca="false">IF($J44="","",IF(INDEX('DỮ LIỆU'!$B$3:$B$1052,$J44)="","",INDEX('DỮ LIỆU'!$B$3:$B$1052,$J44)))</f>
        <v>46220</v>
      </c>
      <c r="D44" s="21" t="str">
        <f aca="false">IF($J44="","",IF(INDEX('DỮ LIỆU'!$C$3:$C$1052,$J44)="","",INDEX('DỮ LIỆU'!$C$3:$C$1052,$J44)))</f>
        <v>BGB - SOS 50C</v>
      </c>
      <c r="E44" s="21" t="str">
        <f aca="false">IF($J44="","",IF(INDEX('DỮ LIỆU'!$D$3:$D$1052,$J44)="","",INDEX('DỮ LIỆU'!$D$3:$D$1052,$J44)))</f>
        <v>0975.89.3388</v>
      </c>
      <c r="F44" s="21" t="str">
        <f aca="false">IF($J44="","",IF(INDEX('DỮ LIỆU'!$H$3:$H$1052,$J44)="","",INDEX('DỮ LIỆU'!$H$3:$H$1052,$J44)))</f>
        <v>gấu ngồi lông mịn kèm mũ tn</v>
      </c>
      <c r="G44" s="13" t="n">
        <f aca="false">IF($J44="","",N(INDEX('DỮ LIỆU'!$I$3:$I$1052,$J44)))</f>
        <v>50</v>
      </c>
      <c r="H44" s="13" t="n">
        <f aca="false">IF($J44="","",N(INDEX('DỮ LIỆU'!$M$3:$M$1052,$J44)))</f>
        <v>2750000</v>
      </c>
      <c r="I44" s="13" t="n">
        <f aca="false">IF($J44="","",N(INDEX('DỮ LIỆU'!$N$3:$N$1052,$J44)))</f>
        <v>2750000</v>
      </c>
      <c r="J44" s="30" t="n">
        <f aca="false">IFERROR(MATCH(28,'DỮ LIỆU'!$Y$3:$Y$1052,0),"")</f>
        <v>179</v>
      </c>
    </row>
    <row r="45" customFormat="false" ht="15" hidden="false" customHeight="false" outlineLevel="0" collapsed="false">
      <c r="A45" s="21" t="n">
        <f aca="false">IF($J45="","",29)</f>
        <v>29</v>
      </c>
      <c r="B45" s="13" t="n">
        <f aca="false">IF($J45="","",INDEX('DỮ LIỆU'!$A$3:$A$1052,$J45))</f>
        <v>7</v>
      </c>
      <c r="C45" s="41" t="n">
        <f aca="false">IF($J45="","",IF(INDEX('DỮ LIỆU'!$B$3:$B$1052,$J45)="","",INDEX('DỮ LIỆU'!$B$3:$B$1052,$J45)))</f>
        <v>46221</v>
      </c>
      <c r="D45" s="21" t="str">
        <f aca="false">IF($J45="","",IF(INDEX('DỮ LIỆU'!$C$3:$C$1052,$J45)="","",INDEX('DỮ LIỆU'!$C$3:$C$1052,$J45)))</f>
        <v>BGB - GOLF 20C</v>
      </c>
      <c r="E45" s="21" t="str">
        <f aca="false">IF($J45="","",IF(INDEX('DỮ LIỆU'!$D$3:$D$1052,$J45)="","",INDEX('DỮ LIỆU'!$D$3:$D$1052,$J45)))</f>
        <v>0396457248</v>
      </c>
      <c r="F45" s="21" t="str">
        <f aca="false">IF($J45="","",IF(INDEX('DỮ LIỆU'!$H$3:$H$1052,$J45)="","",INDEX('DỮ LIỆU'!$H$3:$H$1052,$J45)))</f>
        <v>gấu trắng</v>
      </c>
      <c r="G45" s="13" t="n">
        <f aca="false">IF($J45="","",N(INDEX('DỮ LIỆU'!$I$3:$I$1052,$J45)))</f>
        <v>20</v>
      </c>
      <c r="H45" s="13" t="n">
        <f aca="false">IF($J45="","",N(INDEX('DỮ LIỆU'!$M$3:$M$1052,$J45)))</f>
        <v>1188000</v>
      </c>
      <c r="I45" s="13" t="n">
        <f aca="false">IF($J45="","",N(INDEX('DỮ LIỆU'!$N$3:$N$1052,$J45)))</f>
        <v>1188000</v>
      </c>
      <c r="J45" s="30" t="n">
        <f aca="false">IFERROR(MATCH(29,'DỮ LIỆU'!$Y$3:$Y$1052,0),"")</f>
        <v>180</v>
      </c>
    </row>
    <row r="46" customFormat="false" ht="15" hidden="false" customHeight="false" outlineLevel="0" collapsed="false">
      <c r="A46" s="21" t="n">
        <f aca="false">IF($J46="","",30)</f>
        <v>30</v>
      </c>
      <c r="B46" s="13" t="n">
        <f aca="false">IF($J46="","",INDEX('DỮ LIỆU'!$A$3:$A$1052,$J46))</f>
        <v>7</v>
      </c>
      <c r="C46" s="41" t="n">
        <f aca="false">IF($J46="","",IF(INDEX('DỮ LIỆU'!$B$3:$B$1052,$J46)="","",INDEX('DỮ LIỆU'!$B$3:$B$1052,$J46)))</f>
        <v>46223</v>
      </c>
      <c r="D46" s="21" t="str">
        <f aca="false">IF($J46="","",IF(INDEX('DỮ LIỆU'!$C$3:$C$1052,$J46)="","",INDEX('DỮ LIỆU'!$C$3:$C$1052,$J46)))</f>
        <v>BGB - GOLF 20C</v>
      </c>
      <c r="E46" s="21" t="str">
        <f aca="false">IF($J46="","",IF(INDEX('DỮ LIỆU'!$D$3:$D$1052,$J46)="","",INDEX('DỮ LIỆU'!$D$3:$D$1052,$J46)))</f>
        <v>0396457249</v>
      </c>
      <c r="F46" s="21" t="str">
        <f aca="false">IF($J46="","",IF(INDEX('DỮ LIỆU'!$H$3:$H$1052,$J46)="","",INDEX('DỮ LIỆU'!$H$3:$H$1052,$J46)))</f>
        <v>gấu trắng</v>
      </c>
      <c r="G46" s="13" t="n">
        <f aca="false">IF($J46="","",N(INDEX('DỮ LIỆU'!$I$3:$I$1052,$J46)))</f>
        <v>30</v>
      </c>
      <c r="H46" s="13" t="n">
        <f aca="false">IF($J46="","",N(INDEX('DỮ LIỆU'!$M$3:$M$1052,$J46)))</f>
        <v>1684800</v>
      </c>
      <c r="I46" s="13" t="n">
        <f aca="false">IF($J46="","",N(INDEX('DỮ LIỆU'!$N$3:$N$1052,$J46)))</f>
        <v>1684800</v>
      </c>
      <c r="J46" s="30" t="n">
        <f aca="false">IFERROR(MATCH(30,'DỮ LIỆU'!$Y$3:$Y$1052,0),"")</f>
        <v>181</v>
      </c>
    </row>
    <row r="47" customFormat="false" ht="15" hidden="false" customHeight="false" outlineLevel="0" collapsed="false">
      <c r="A47" s="21" t="n">
        <f aca="false">IF($J47="","",31)</f>
        <v>31</v>
      </c>
      <c r="B47" s="13" t="n">
        <f aca="false">IF($J47="","",INDEX('DỮ LIỆU'!$A$3:$A$1052,$J47))</f>
        <v>7</v>
      </c>
      <c r="C47" s="41" t="n">
        <f aca="false">IF($J47="","",IF(INDEX('DỮ LIỆU'!$B$3:$B$1052,$J47)="","",INDEX('DỮ LIỆU'!$B$3:$B$1052,$J47)))</f>
        <v>46223</v>
      </c>
      <c r="D47" s="21" t="str">
        <f aca="false">IF($J47="","",IF(INDEX('DỮ LIỆU'!$C$3:$C$1052,$J47)="","",INDEX('DỮ LIỆU'!$C$3:$C$1052,$J47)))</f>
        <v>BGB - BGB - KIDS 80 GỐI, 80 GẤU</v>
      </c>
      <c r="E47" s="21" t="str">
        <f aca="false">IF($J47="","",IF(INDEX('DỮ LIỆU'!$D$3:$D$1052,$J47)="","",INDEX('DỮ LIỆU'!$D$3:$D$1052,$J47)))</f>
        <v>0986665266</v>
      </c>
      <c r="F47" s="21" t="str">
        <f aca="false">IF($J47="","",IF(INDEX('DỮ LIỆU'!$H$3:$H$1052,$J47)="","",INDEX('DỮ LIỆU'!$H$3:$H$1052,$J47)))</f>
        <v>gấu nâu 30cm</v>
      </c>
      <c r="G47" s="13" t="n">
        <f aca="false">IF($J47="","",N(INDEX('DỮ LIỆU'!$I$3:$I$1052,$J47)))</f>
        <v>80</v>
      </c>
      <c r="H47" s="13" t="n">
        <f aca="false">IF($J47="","",N(INDEX('DỮ LIỆU'!$M$3:$M$1052,$J47)))</f>
        <v>3760000</v>
      </c>
      <c r="I47" s="13" t="n">
        <f aca="false">IF($J47="","",N(INDEX('DỮ LIỆU'!$N$3:$N$1052,$J47)))</f>
        <v>3760000</v>
      </c>
      <c r="J47" s="30" t="n">
        <f aca="false">IFERROR(MATCH(31,'DỮ LIỆU'!$Y$3:$Y$1052,0),"")</f>
        <v>182</v>
      </c>
    </row>
    <row r="48" customFormat="false" ht="15" hidden="false" customHeight="false" outlineLevel="0" collapsed="false">
      <c r="A48" s="21" t="n">
        <f aca="false">IF($J48="","",32)</f>
        <v>32</v>
      </c>
      <c r="B48" s="13" t="n">
        <f aca="false">IF($J48="","",INDEX('DỮ LIỆU'!$A$3:$A$1052,$J48))</f>
        <v>7</v>
      </c>
      <c r="C48" s="41" t="n">
        <f aca="false">IF($J48="","",IF(INDEX('DỮ LIỆU'!$B$3:$B$1052,$J48)="","",INDEX('DỮ LIỆU'!$B$3:$B$1052,$J48)))</f>
        <v>46223</v>
      </c>
      <c r="D48" s="21" t="str">
        <f aca="false">IF($J48="","",IF(INDEX('DỮ LIỆU'!$C$3:$C$1052,$J48)="","",INDEX('DỮ LIỆU'!$C$3:$C$1052,$J48)))</f>
        <v>BGB - BGB - KIDS 80 GỐI, 80 GẤU</v>
      </c>
      <c r="E48" s="21" t="str">
        <f aca="false">IF($J48="","",IF(INDEX('DỮ LIỆU'!$D$3:$D$1052,$J48)="","",INDEX('DỮ LIỆU'!$D$3:$D$1052,$J48)))</f>
        <v>0986665267</v>
      </c>
      <c r="F48" s="21" t="str">
        <f aca="false">IF($J48="","",IF(INDEX('DỮ LIỆU'!$H$3:$H$1052,$J48)="","",INDEX('DỮ LIỆU'!$H$3:$H$1052,$J48)))</f>
        <v>gối chữ U</v>
      </c>
      <c r="G48" s="13" t="n">
        <f aca="false">IF($J48="","",N(INDEX('DỮ LIỆU'!$I$3:$I$1052,$J48)))</f>
        <v>80</v>
      </c>
      <c r="H48" s="13" t="n">
        <f aca="false">IF($J48="","",N(INDEX('DỮ LIỆU'!$M$3:$M$1052,$J48)))</f>
        <v>4160000</v>
      </c>
      <c r="I48" s="13" t="n">
        <f aca="false">IF($J48="","",N(INDEX('DỮ LIỆU'!$N$3:$N$1052,$J48)))</f>
        <v>4160000</v>
      </c>
      <c r="J48" s="30" t="n">
        <f aca="false">IFERROR(MATCH(32,'DỮ LIỆU'!$Y$3:$Y$1052,0),"")</f>
        <v>183</v>
      </c>
    </row>
    <row r="49" customFormat="false" ht="15" hidden="false" customHeight="false" outlineLevel="0" collapsed="false">
      <c r="A49" s="21" t="n">
        <f aca="false">IF($J49="","",33)</f>
        <v>33</v>
      </c>
      <c r="B49" s="13" t="n">
        <f aca="false">IF($J49="","",INDEX('DỮ LIỆU'!$A$3:$A$1052,$J49))</f>
        <v>7</v>
      </c>
      <c r="C49" s="41" t="n">
        <f aca="false">IF($J49="","",IF(INDEX('DỮ LIỆU'!$B$3:$B$1052,$J49)="","",INDEX('DỮ LIỆU'!$B$3:$B$1052,$J49)))</f>
        <v>46223</v>
      </c>
      <c r="D49" s="21" t="str">
        <f aca="false">IF($J49="","",IF(INDEX('DỮ LIỆU'!$C$3:$C$1052,$J49)="","",INDEX('DỮ LIỆU'!$C$3:$C$1052,$J49)))</f>
        <v>BGB - K2 NBK 130C</v>
      </c>
      <c r="E49" s="21" t="str">
        <f aca="false">IF($J49="","",IF(INDEX('DỮ LIỆU'!$D$3:$D$1052,$J49)="","",INDEX('DỮ LIỆU'!$D$3:$D$1052,$J49)))</f>
        <v>0914121088</v>
      </c>
      <c r="F49" s="21" t="str">
        <f aca="false">IF($J49="","",IF(INDEX('DỮ LIỆU'!$H$3:$H$1052,$J49)="","",INDEX('DỮ LIỆU'!$H$3:$H$1052,$J49)))</f>
        <v>gấu nâu 30cm</v>
      </c>
      <c r="G49" s="13" t="n">
        <f aca="false">IF($J49="","",N(INDEX('DỮ LIỆU'!$I$3:$I$1052,$J49)))</f>
        <v>130</v>
      </c>
      <c r="H49" s="13" t="n">
        <f aca="false">IF($J49="","",N(INDEX('DỮ LIỆU'!$M$3:$M$1052,$J49)))</f>
        <v>6110000</v>
      </c>
      <c r="I49" s="13" t="n">
        <f aca="false">IF($J49="","",N(INDEX('DỮ LIỆU'!$N$3:$N$1052,$J49)))</f>
        <v>6110000</v>
      </c>
      <c r="J49" s="30" t="n">
        <f aca="false">IFERROR(MATCH(33,'DỮ LIỆU'!$Y$3:$Y$1052,0),"")</f>
        <v>184</v>
      </c>
    </row>
    <row r="50" customFormat="false" ht="15" hidden="false" customHeight="false" outlineLevel="0" collapsed="false">
      <c r="A50" s="21" t="n">
        <f aca="false">IF($J50="","",34)</f>
        <v>34</v>
      </c>
      <c r="B50" s="13" t="n">
        <f aca="false">IF($J50="","",INDEX('DỮ LIỆU'!$A$3:$A$1052,$J50))</f>
        <v>7</v>
      </c>
      <c r="C50" s="41" t="n">
        <f aca="false">IF($J50="","",IF(INDEX('DỮ LIỆU'!$B$3:$B$1052,$J50)="","",INDEX('DỮ LIỆU'!$B$3:$B$1052,$J50)))</f>
        <v>46224</v>
      </c>
      <c r="D50" s="21" t="str">
        <f aca="false">IF($J50="","",IF(INDEX('DỮ LIỆU'!$C$3:$C$1052,$J50)="","",INDEX('DỮ LIỆU'!$C$3:$C$1052,$J50)))</f>
        <v>BGB - HÀO QUANG 30G</v>
      </c>
      <c r="E50" s="21" t="str">
        <f aca="false">IF($J50="","",IF(INDEX('DỮ LIỆU'!$D$3:$D$1052,$J50)="","",INDEX('DỮ LIỆU'!$D$3:$D$1052,$J50)))</f>
        <v>0941012666</v>
      </c>
      <c r="F50" s="21" t="str">
        <f aca="false">IF($J50="","",IF(INDEX('DỮ LIỆU'!$H$3:$H$1052,$J50)="","",INDEX('DỮ LIỆU'!$H$3:$H$1052,$J50)))</f>
        <v>gấu trắng</v>
      </c>
      <c r="G50" s="13" t="n">
        <f aca="false">IF($J50="","",N(INDEX('DỮ LIỆU'!$I$3:$I$1052,$J50)))</f>
        <v>30</v>
      </c>
      <c r="H50" s="13" t="n">
        <f aca="false">IF($J50="","",N(INDEX('DỮ LIỆU'!$M$3:$M$1052,$J50)))</f>
        <v>1620000</v>
      </c>
      <c r="I50" s="13" t="n">
        <f aca="false">IF($J50="","",N(INDEX('DỮ LIỆU'!$N$3:$N$1052,$J50)))</f>
        <v>1620000</v>
      </c>
      <c r="J50" s="30" t="n">
        <f aca="false">IFERROR(MATCH(34,'DỮ LIỆU'!$Y$3:$Y$1052,0),"")</f>
        <v>186</v>
      </c>
    </row>
    <row r="51" customFormat="false" ht="15" hidden="false" customHeight="false" outlineLevel="0" collapsed="false">
      <c r="A51" s="21" t="n">
        <f aca="false">IF($J51="","",35)</f>
        <v>35</v>
      </c>
      <c r="B51" s="13" t="n">
        <f aca="false">IF($J51="","",INDEX('DỮ LIỆU'!$A$3:$A$1052,$J51))</f>
        <v>7</v>
      </c>
      <c r="C51" s="41" t="n">
        <f aca="false">IF($J51="","",IF(INDEX('DỮ LIỆU'!$B$3:$B$1052,$J51)="","",INDEX('DỮ LIỆU'!$B$3:$B$1052,$J51)))</f>
        <v>46224</v>
      </c>
      <c r="D51" s="21" t="str">
        <f aca="false">IF($J51="","",IF(INDEX('DỮ LIỆU'!$C$3:$C$1052,$J51)="","",INDEX('DỮ LIỆU'!$C$3:$C$1052,$J51)))</f>
        <v>BGB - KIOT BV 30 GỐI</v>
      </c>
      <c r="E51" s="21" t="str">
        <f aca="false">IF($J51="","",IF(INDEX('DỮ LIỆU'!$D$3:$D$1052,$J51)="","",INDEX('DỮ LIỆU'!$D$3:$D$1052,$J51)))</f>
        <v>0395.254.610</v>
      </c>
      <c r="F51" s="21" t="str">
        <f aca="false">IF($J51="","",IF(INDEX('DỮ LIỆU'!$H$3:$H$1052,$J51)="","",INDEX('DỮ LIỆU'!$H$3:$H$1052,$J51)))</f>
        <v>gối chữ U</v>
      </c>
      <c r="G51" s="13" t="n">
        <f aca="false">IF($J51="","",N(INDEX('DỮ LIỆU'!$I$3:$I$1052,$J51)))</f>
        <v>30</v>
      </c>
      <c r="H51" s="13" t="n">
        <f aca="false">IF($J51="","",N(INDEX('DỮ LIỆU'!$M$3:$M$1052,$J51)))</f>
        <v>2268000</v>
      </c>
      <c r="I51" s="13" t="n">
        <f aca="false">IF($J51="","",N(INDEX('DỮ LIỆU'!$N$3:$N$1052,$J51)))</f>
        <v>2268000</v>
      </c>
      <c r="J51" s="30" t="n">
        <f aca="false">IFERROR(MATCH(35,'DỮ LIỆU'!$Y$3:$Y$1052,0),"")</f>
        <v>187</v>
      </c>
    </row>
    <row r="52" customFormat="false" ht="15" hidden="false" customHeight="false" outlineLevel="0" collapsed="false">
      <c r="A52" s="21" t="n">
        <f aca="false">IF($J52="","",36)</f>
        <v>36</v>
      </c>
      <c r="B52" s="13" t="n">
        <f aca="false">IF($J52="","",INDEX('DỮ LIỆU'!$A$3:$A$1052,$J52))</f>
        <v>7</v>
      </c>
      <c r="C52" s="41" t="n">
        <f aca="false">IF($J52="","",IF(INDEX('DỮ LIỆU'!$B$3:$B$1052,$J52)="","",INDEX('DỮ LIỆU'!$B$3:$B$1052,$J52)))</f>
        <v>46224</v>
      </c>
      <c r="D52" s="21" t="str">
        <f aca="false">IF($J52="","",IF(INDEX('DỮ LIỆU'!$C$3:$C$1052,$J52)="","",INDEX('DỮ LIỆU'!$C$3:$C$1052,$J52)))</f>
        <v>BGB - KIOT BV 30 GỐI - chị Hien Anh</v>
      </c>
      <c r="E52" s="21" t="str">
        <f aca="false">IF($J52="","",IF(INDEX('DỮ LIỆU'!$D$3:$D$1052,$J52)="","",INDEX('DỮ LIỆU'!$D$3:$D$1052,$J52)))</f>
        <v>0395.254.611</v>
      </c>
      <c r="F52" s="21" t="str">
        <f aca="false">IF($J52="","",IF(INDEX('DỮ LIỆU'!$H$3:$H$1052,$J52)="","",INDEX('DỮ LIỆU'!$H$3:$H$1052,$J52)))</f>
        <v>gối chữ U</v>
      </c>
      <c r="G52" s="13" t="n">
        <f aca="false">IF($J52="","",N(INDEX('DỮ LIỆU'!$I$3:$I$1052,$J52)))</f>
        <v>10</v>
      </c>
      <c r="H52" s="13" t="n">
        <f aca="false">IF($J52="","",N(INDEX('DỮ LIỆU'!$M$3:$M$1052,$J52)))</f>
        <v>700000</v>
      </c>
      <c r="I52" s="13" t="n">
        <f aca="false">IF($J52="","",N(INDEX('DỮ LIỆU'!$N$3:$N$1052,$J52)))</f>
        <v>700000</v>
      </c>
      <c r="J52" s="30" t="n">
        <f aca="false">IFERROR(MATCH(36,'DỮ LIỆU'!$Y$3:$Y$1052,0),"")</f>
        <v>188</v>
      </c>
    </row>
    <row r="53" customFormat="false" ht="15" hidden="false" customHeight="false" outlineLevel="0" collapsed="false">
      <c r="A53" s="21" t="n">
        <f aca="false">IF($J53="","",37)</f>
        <v>37</v>
      </c>
      <c r="B53" s="13" t="n">
        <f aca="false">IF($J53="","",INDEX('DỮ LIỆU'!$A$3:$A$1052,$J53))</f>
        <v>7</v>
      </c>
      <c r="C53" s="41" t="n">
        <f aca="false">IF($J53="","",IF(INDEX('DỮ LIỆU'!$B$3:$B$1052,$J53)="","",INDEX('DỮ LIỆU'!$B$3:$B$1052,$J53)))</f>
        <v>46224</v>
      </c>
      <c r="D53" s="21" t="str">
        <f aca="false">IF($J53="","",IF(INDEX('DỮ LIỆU'!$C$3:$C$1052,$J53)="","",INDEX('DỮ LIỆU'!$C$3:$C$1052,$J53)))</f>
        <v>chị Hậu</v>
      </c>
      <c r="E53" s="21" t="str">
        <f aca="false">IF($J53="","",IF(INDEX('DỮ LIỆU'!$D$3:$D$1052,$J53)="","",INDEX('DỮ LIỆU'!$D$3:$D$1052,$J53)))</f>
        <v>0989403759</v>
      </c>
      <c r="F53" s="21" t="str">
        <f aca="false">IF($J53="","",IF(INDEX('DỮ LIỆU'!$H$3:$H$1052,$J53)="","",INDEX('DỮ LIỆU'!$H$3:$H$1052,$J53)))</f>
        <v>gấu mẫu</v>
      </c>
      <c r="G53" s="13" t="n">
        <f aca="false">IF($J53="","",N(INDEX('DỮ LIỆU'!$I$3:$I$1052,$J53)))</f>
        <v>1</v>
      </c>
      <c r="H53" s="13" t="n">
        <f aca="false">IF($J53="","",N(INDEX('DỮ LIỆU'!$M$3:$M$1052,$J53)))</f>
        <v>250000</v>
      </c>
      <c r="I53" s="13" t="n">
        <f aca="false">IF($J53="","",N(INDEX('DỮ LIỆU'!$N$3:$N$1052,$J53)))</f>
        <v>250000</v>
      </c>
      <c r="J53" s="30" t="n">
        <f aca="false">IFERROR(MATCH(37,'DỮ LIỆU'!$Y$3:$Y$1052,0),"")</f>
        <v>189</v>
      </c>
    </row>
    <row r="54" customFormat="false" ht="15" hidden="false" customHeight="false" outlineLevel="0" collapsed="false">
      <c r="A54" s="21" t="n">
        <f aca="false">IF($J54="","",38)</f>
        <v>38</v>
      </c>
      <c r="B54" s="13" t="n">
        <f aca="false">IF($J54="","",INDEX('DỮ LIỆU'!$A$3:$A$1052,$J54))</f>
        <v>7</v>
      </c>
      <c r="C54" s="41" t="n">
        <f aca="false">IF($J54="","",IF(INDEX('DỮ LIỆU'!$B$3:$B$1052,$J54)="","",INDEX('DỮ LIỆU'!$B$3:$B$1052,$J54)))</f>
        <v>46225</v>
      </c>
      <c r="D54" s="21" t="str">
        <f aca="false">IF($J54="","",IF(INDEX('DỮ LIỆU'!$C$3:$C$1052,$J54)="","",INDEX('DỮ LIỆU'!$C$3:$C$1052,$J54)))</f>
        <v>BGB - CLUB 16 DAKLAK 200G</v>
      </c>
      <c r="E54" s="21" t="str">
        <f aca="false">IF($J54="","",IF(INDEX('DỮ LIỆU'!$D$3:$D$1052,$J54)="","",INDEX('DỮ LIỆU'!$D$3:$D$1052,$J54)))</f>
        <v>0933115335</v>
      </c>
      <c r="F54" s="21" t="str">
        <f aca="false">IF($J54="","",IF(INDEX('DỮ LIỆU'!$H$3:$H$1052,$J54)="","",INDEX('DỮ LIỆU'!$H$3:$H$1052,$J54)))</f>
        <v>gấu nâu 30cm</v>
      </c>
      <c r="G54" s="13" t="n">
        <f aca="false">IF($J54="","",N(INDEX('DỮ LIỆU'!$I$3:$I$1052,$J54)))</f>
        <v>200</v>
      </c>
      <c r="H54" s="13" t="n">
        <f aca="false">IF($J54="","",N(INDEX('DỮ LIỆU'!$M$3:$M$1052,$J54)))</f>
        <v>9400000</v>
      </c>
      <c r="I54" s="13" t="n">
        <f aca="false">IF($J54="","",N(INDEX('DỮ LIỆU'!$N$3:$N$1052,$J54)))</f>
        <v>9400000</v>
      </c>
      <c r="J54" s="30" t="n">
        <f aca="false">IFERROR(MATCH(38,'DỮ LIỆU'!$Y$3:$Y$1052,0),"")</f>
        <v>190</v>
      </c>
    </row>
    <row r="55" customFormat="false" ht="15" hidden="false" customHeight="false" outlineLevel="0" collapsed="false">
      <c r="A55" s="21" t="n">
        <f aca="false">IF($J55="","",39)</f>
        <v>39</v>
      </c>
      <c r="B55" s="13" t="n">
        <f aca="false">IF($J55="","",INDEX('DỮ LIỆU'!$A$3:$A$1052,$J55))</f>
        <v>7</v>
      </c>
      <c r="C55" s="41" t="n">
        <f aca="false">IF($J55="","",IF(INDEX('DỮ LIỆU'!$B$3:$B$1052,$J55)="","",INDEX('DỮ LIỆU'!$B$3:$B$1052,$J55)))</f>
        <v>46226</v>
      </c>
      <c r="D55" s="21" t="str">
        <f aca="false">IF($J55="","",IF(INDEX('DỮ LIỆU'!$C$3:$C$1052,$J55)="","",INDEX('DỮ LIỆU'!$C$3:$C$1052,$J55)))</f>
        <v>BGB - WULING 20C</v>
      </c>
      <c r="E55" s="21" t="str">
        <f aca="false">IF($J55="","",IF(INDEX('DỮ LIỆU'!$D$3:$D$1052,$J55)="","",INDEX('DỮ LIỆU'!$D$3:$D$1052,$J55)))</f>
        <v>0904568820</v>
      </c>
      <c r="F55" s="21" t="str">
        <f aca="false">IF($J55="","",IF(INDEX('DỮ LIỆU'!$H$3:$H$1052,$J55)="","",INDEX('DỮ LIỆU'!$H$3:$H$1052,$J55)))</f>
        <v>gấu nâu 30cm</v>
      </c>
      <c r="G55" s="13" t="n">
        <f aca="false">IF($J55="","",N(INDEX('DỮ LIỆU'!$I$3:$I$1052,$J55)))</f>
        <v>20</v>
      </c>
      <c r="H55" s="13" t="n">
        <f aca="false">IF($J55="","",N(INDEX('DỮ LIỆU'!$M$3:$M$1052,$J55)))</f>
        <v>1000000</v>
      </c>
      <c r="I55" s="13" t="n">
        <f aca="false">IF($J55="","",N(INDEX('DỮ LIỆU'!$N$3:$N$1052,$J55)))</f>
        <v>1000000</v>
      </c>
      <c r="J55" s="30" t="n">
        <f aca="false">IFERROR(MATCH(39,'DỮ LIỆU'!$Y$3:$Y$1052,0),"")</f>
        <v>193</v>
      </c>
    </row>
    <row r="56" customFormat="false" ht="15" hidden="false" customHeight="false" outlineLevel="0" collapsed="false">
      <c r="A56" s="21" t="n">
        <f aca="false">IF($J56="","",40)</f>
        <v>40</v>
      </c>
      <c r="B56" s="13" t="n">
        <f aca="false">IF($J56="","",INDEX('DỮ LIỆU'!$A$3:$A$1052,$J56))</f>
        <v>7</v>
      </c>
      <c r="C56" s="41" t="n">
        <f aca="false">IF($J56="","",IF(INDEX('DỮ LIỆU'!$B$3:$B$1052,$J56)="","",INDEX('DỮ LIỆU'!$B$3:$B$1052,$J56)))</f>
        <v>46230</v>
      </c>
      <c r="D56" s="21" t="str">
        <f aca="false">IF($J56="","",IF(INDEX('DỮ LIỆU'!$C$3:$C$1052,$J56)="","",INDEX('DỮ LIỆU'!$C$3:$C$1052,$J56)))</f>
        <v>BGB - CÔNG HIỀN TOUR 20G ĐỦ LOẠI</v>
      </c>
      <c r="E56" s="21" t="str">
        <f aca="false">IF($J56="","",IF(INDEX('DỮ LIỆU'!$D$3:$D$1052,$J56)="","",INDEX('DỮ LIỆU'!$D$3:$D$1052,$J56)))</f>
        <v>0984008644</v>
      </c>
      <c r="F56" s="21" t="str">
        <f aca="false">IF($J56="","",IF(INDEX('DỮ LIỆU'!$H$3:$H$1052,$J56)="","",INDEX('DỮ LIỆU'!$H$3:$H$1052,$J56)))</f>
        <v>gấu 4 loại, mỗi loại 5 con</v>
      </c>
      <c r="G56" s="13" t="n">
        <f aca="false">IF($J56="","",N(INDEX('DỮ LIỆU'!$I$3:$I$1052,$J56)))</f>
        <v>20</v>
      </c>
      <c r="H56" s="13" t="n">
        <f aca="false">IF($J56="","",N(INDEX('DỮ LIỆU'!$M$3:$M$1052,$J56)))</f>
        <v>1100000</v>
      </c>
      <c r="I56" s="13" t="n">
        <f aca="false">IF($J56="","",N(INDEX('DỮ LIỆU'!$N$3:$N$1052,$J56)))</f>
        <v>1100000</v>
      </c>
      <c r="J56" s="30" t="n">
        <f aca="false">IFERROR(MATCH(40,'DỮ LIỆU'!$Y$3:$Y$1052,0),"")</f>
        <v>196</v>
      </c>
    </row>
    <row r="57" customFormat="false" ht="15" hidden="false" customHeight="false" outlineLevel="0" collapsed="false">
      <c r="A57" s="21" t="n">
        <f aca="false">IF($J57="","",41)</f>
        <v>41</v>
      </c>
      <c r="B57" s="13" t="n">
        <f aca="false">IF($J57="","",INDEX('DỮ LIỆU'!$A$3:$A$1052,$J57))</f>
        <v>7</v>
      </c>
      <c r="C57" s="41" t="n">
        <f aca="false">IF($J57="","",IF(INDEX('DỮ LIỆU'!$B$3:$B$1052,$J57)="","",INDEX('DỮ LIỆU'!$B$3:$B$1052,$J57)))</f>
        <v>46230</v>
      </c>
      <c r="D57" s="21" t="str">
        <f aca="false">IF($J57="","",IF(INDEX('DỮ LIỆU'!$C$3:$C$1052,$J57)="","",INDEX('DỮ LIỆU'!$C$3:$C$1052,$J57)))</f>
        <v>BGB - GẤU BÔNG RUTA THÁI BÌNH 100G</v>
      </c>
      <c r="E57" s="21" t="str">
        <f aca="false">IF($J57="","",IF(INDEX('DỮ LIỆU'!$D$3:$D$1052,$J57)="","",INDEX('DỮ LIỆU'!$D$3:$D$1052,$J57)))</f>
        <v>0947930930</v>
      </c>
      <c r="F57" s="21" t="str">
        <f aca="false">IF($J57="","",IF(INDEX('DỮ LIỆU'!$H$3:$H$1052,$J57)="","",INDEX('DỮ LIỆU'!$H$3:$H$1052,$J57)))</f>
        <v>gấu 30 cm nâu in 2 mặt</v>
      </c>
      <c r="G57" s="13" t="n">
        <f aca="false">IF($J57="","",N(INDEX('DỮ LIỆU'!$I$3:$I$1052,$J57)))</f>
        <v>100</v>
      </c>
      <c r="H57" s="13" t="n">
        <f aca="false">IF($J57="","",N(INDEX('DỮ LIỆU'!$M$3:$M$1052,$J57)))</f>
        <v>4700000</v>
      </c>
      <c r="I57" s="13" t="n">
        <f aca="false">IF($J57="","",N(INDEX('DỮ LIỆU'!$N$3:$N$1052,$J57)))</f>
        <v>4700000</v>
      </c>
      <c r="J57" s="30" t="n">
        <f aca="false">IFERROR(MATCH(41,'DỮ LIỆU'!$Y$3:$Y$1052,0),"")</f>
        <v>198</v>
      </c>
    </row>
    <row r="58" customFormat="false" ht="15" hidden="false" customHeight="false" outlineLevel="0" collapsed="false">
      <c r="A58" s="21" t="str">
        <f aca="false">IF($J58="","",42)</f>
        <v/>
      </c>
      <c r="B58" s="13" t="str">
        <f aca="false">IF($J58="","",INDEX('DỮ LIỆU'!$A$3:$A$1052,$J58))</f>
        <v/>
      </c>
      <c r="C58" s="41" t="str">
        <f aca="false">IF($J58="","",IF(INDEX('DỮ LIỆU'!$B$3:$B$1052,$J58)="","",INDEX('DỮ LIỆU'!$B$3:$B$1052,$J58)))</f>
        <v/>
      </c>
      <c r="D58" s="21" t="str">
        <f aca="false">IF($J58="","",IF(INDEX('DỮ LIỆU'!$C$3:$C$1052,$J58)="","",INDEX('DỮ LIỆU'!$C$3:$C$1052,$J58)))</f>
        <v/>
      </c>
      <c r="E58" s="21" t="str">
        <f aca="false">IF($J58="","",IF(INDEX('DỮ LIỆU'!$D$3:$D$1052,$J58)="","",INDEX('DỮ LIỆU'!$D$3:$D$1052,$J58)))</f>
        <v/>
      </c>
      <c r="F58" s="21" t="str">
        <f aca="false">IF($J58="","",IF(INDEX('DỮ LIỆU'!$H$3:$H$1052,$J58)="","",INDEX('DỮ LIỆU'!$H$3:$H$1052,$J58)))</f>
        <v/>
      </c>
      <c r="G58" s="13" t="str">
        <f aca="false">IF($J58="","",N(INDEX('DỮ LIỆU'!$I$3:$I$1052,$J58)))</f>
        <v/>
      </c>
      <c r="H58" s="13" t="str">
        <f aca="false">IF($J58="","",N(INDEX('DỮ LIỆU'!$M$3:$M$1052,$J58)))</f>
        <v/>
      </c>
      <c r="I58" s="13" t="str">
        <f aca="false">IF($J58="","",N(INDEX('DỮ LIỆU'!$N$3:$N$1052,$J58)))</f>
        <v/>
      </c>
      <c r="J58" s="0" t="str">
        <f aca="false">IFERROR(MATCH(42,'DỮ LIỆU'!$Y$3:$Y$1052,0),"")</f>
        <v/>
      </c>
    </row>
    <row r="59" customFormat="false" ht="15" hidden="false" customHeight="false" outlineLevel="0" collapsed="false">
      <c r="A59" s="21" t="str">
        <f aca="false">IF($J59="","",43)</f>
        <v/>
      </c>
      <c r="B59" s="13" t="str">
        <f aca="false">IF($J59="","",INDEX('DỮ LIỆU'!$A$3:$A$1052,$J59))</f>
        <v/>
      </c>
      <c r="C59" s="41" t="str">
        <f aca="false">IF($J59="","",IF(INDEX('DỮ LIỆU'!$B$3:$B$1052,$J59)="","",INDEX('DỮ LIỆU'!$B$3:$B$1052,$J59)))</f>
        <v/>
      </c>
      <c r="D59" s="21" t="str">
        <f aca="false">IF($J59="","",IF(INDEX('DỮ LIỆU'!$C$3:$C$1052,$J59)="","",INDEX('DỮ LIỆU'!$C$3:$C$1052,$J59)))</f>
        <v/>
      </c>
      <c r="E59" s="21" t="str">
        <f aca="false">IF($J59="","",IF(INDEX('DỮ LIỆU'!$D$3:$D$1052,$J59)="","",INDEX('DỮ LIỆU'!$D$3:$D$1052,$J59)))</f>
        <v/>
      </c>
      <c r="F59" s="21" t="str">
        <f aca="false">IF($J59="","",IF(INDEX('DỮ LIỆU'!$H$3:$H$1052,$J59)="","",INDEX('DỮ LIỆU'!$H$3:$H$1052,$J59)))</f>
        <v/>
      </c>
      <c r="G59" s="13" t="str">
        <f aca="false">IF($J59="","",N(INDEX('DỮ LIỆU'!$I$3:$I$1052,$J59)))</f>
        <v/>
      </c>
      <c r="H59" s="13" t="str">
        <f aca="false">IF($J59="","",N(INDEX('DỮ LIỆU'!$M$3:$M$1052,$J59)))</f>
        <v/>
      </c>
      <c r="I59" s="13" t="str">
        <f aca="false">IF($J59="","",N(INDEX('DỮ LIỆU'!$N$3:$N$1052,$J59)))</f>
        <v/>
      </c>
      <c r="J59" s="0" t="str">
        <f aca="false">IFERROR(MATCH(43,'DỮ LIỆU'!$Y$3:$Y$1052,0),"")</f>
        <v/>
      </c>
    </row>
    <row r="60" customFormat="false" ht="15" hidden="false" customHeight="false" outlineLevel="0" collapsed="false">
      <c r="A60" s="21" t="str">
        <f aca="false">IF($J60="","",44)</f>
        <v/>
      </c>
      <c r="B60" s="13" t="str">
        <f aca="false">IF($J60="","",INDEX('DỮ LIỆU'!$A$3:$A$1052,$J60))</f>
        <v/>
      </c>
      <c r="C60" s="41" t="str">
        <f aca="false">IF($J60="","",IF(INDEX('DỮ LIỆU'!$B$3:$B$1052,$J60)="","",INDEX('DỮ LIỆU'!$B$3:$B$1052,$J60)))</f>
        <v/>
      </c>
      <c r="D60" s="21" t="str">
        <f aca="false">IF($J60="","",IF(INDEX('DỮ LIỆU'!$C$3:$C$1052,$J60)="","",INDEX('DỮ LIỆU'!$C$3:$C$1052,$J60)))</f>
        <v/>
      </c>
      <c r="E60" s="21" t="str">
        <f aca="false">IF($J60="","",IF(INDEX('DỮ LIỆU'!$D$3:$D$1052,$J60)="","",INDEX('DỮ LIỆU'!$D$3:$D$1052,$J60)))</f>
        <v/>
      </c>
      <c r="F60" s="21" t="str">
        <f aca="false">IF($J60="","",IF(INDEX('DỮ LIỆU'!$H$3:$H$1052,$J60)="","",INDEX('DỮ LIỆU'!$H$3:$H$1052,$J60)))</f>
        <v/>
      </c>
      <c r="G60" s="13" t="str">
        <f aca="false">IF($J60="","",N(INDEX('DỮ LIỆU'!$I$3:$I$1052,$J60)))</f>
        <v/>
      </c>
      <c r="H60" s="13" t="str">
        <f aca="false">IF($J60="","",N(INDEX('DỮ LIỆU'!$M$3:$M$1052,$J60)))</f>
        <v/>
      </c>
      <c r="I60" s="13" t="str">
        <f aca="false">IF($J60="","",N(INDEX('DỮ LIỆU'!$N$3:$N$1052,$J60)))</f>
        <v/>
      </c>
      <c r="J60" s="0" t="str">
        <f aca="false">IFERROR(MATCH(44,'DỮ LIỆU'!$Y$3:$Y$1052,0),"")</f>
        <v/>
      </c>
    </row>
    <row r="61" customFormat="false" ht="15" hidden="false" customHeight="false" outlineLevel="0" collapsed="false">
      <c r="A61" s="21" t="str">
        <f aca="false">IF($J61="","",45)</f>
        <v/>
      </c>
      <c r="B61" s="13" t="str">
        <f aca="false">IF($J61="","",INDEX('DỮ LIỆU'!$A$3:$A$1052,$J61))</f>
        <v/>
      </c>
      <c r="C61" s="41" t="str">
        <f aca="false">IF($J61="","",IF(INDEX('DỮ LIỆU'!$B$3:$B$1052,$J61)="","",INDEX('DỮ LIỆU'!$B$3:$B$1052,$J61)))</f>
        <v/>
      </c>
      <c r="D61" s="21" t="str">
        <f aca="false">IF($J61="","",IF(INDEX('DỮ LIỆU'!$C$3:$C$1052,$J61)="","",INDEX('DỮ LIỆU'!$C$3:$C$1052,$J61)))</f>
        <v/>
      </c>
      <c r="E61" s="21" t="str">
        <f aca="false">IF($J61="","",IF(INDEX('DỮ LIỆU'!$D$3:$D$1052,$J61)="","",INDEX('DỮ LIỆU'!$D$3:$D$1052,$J61)))</f>
        <v/>
      </c>
      <c r="F61" s="21" t="str">
        <f aca="false">IF($J61="","",IF(INDEX('DỮ LIỆU'!$H$3:$H$1052,$J61)="","",INDEX('DỮ LIỆU'!$H$3:$H$1052,$J61)))</f>
        <v/>
      </c>
      <c r="G61" s="13" t="str">
        <f aca="false">IF($J61="","",N(INDEX('DỮ LIỆU'!$I$3:$I$1052,$J61)))</f>
        <v/>
      </c>
      <c r="H61" s="13" t="str">
        <f aca="false">IF($J61="","",N(INDEX('DỮ LIỆU'!$M$3:$M$1052,$J61)))</f>
        <v/>
      </c>
      <c r="I61" s="13" t="str">
        <f aca="false">IF($J61="","",N(INDEX('DỮ LIỆU'!$N$3:$N$1052,$J61)))</f>
        <v/>
      </c>
      <c r="J61" s="0" t="str">
        <f aca="false">IFERROR(MATCH(45,'DỮ LIỆU'!$Y$3:$Y$1052,0),"")</f>
        <v/>
      </c>
    </row>
    <row r="62" customFormat="false" ht="15" hidden="false" customHeight="false" outlineLevel="0" collapsed="false">
      <c r="A62" s="21" t="str">
        <f aca="false">IF($J62="","",46)</f>
        <v/>
      </c>
      <c r="B62" s="13" t="str">
        <f aca="false">IF($J62="","",INDEX('DỮ LIỆU'!$A$3:$A$1052,$J62))</f>
        <v/>
      </c>
      <c r="C62" s="41" t="str">
        <f aca="false">IF($J62="","",IF(INDEX('DỮ LIỆU'!$B$3:$B$1052,$J62)="","",INDEX('DỮ LIỆU'!$B$3:$B$1052,$J62)))</f>
        <v/>
      </c>
      <c r="D62" s="21" t="str">
        <f aca="false">IF($J62="","",IF(INDEX('DỮ LIỆU'!$C$3:$C$1052,$J62)="","",INDEX('DỮ LIỆU'!$C$3:$C$1052,$J62)))</f>
        <v/>
      </c>
      <c r="E62" s="21" t="str">
        <f aca="false">IF($J62="","",IF(INDEX('DỮ LIỆU'!$D$3:$D$1052,$J62)="","",INDEX('DỮ LIỆU'!$D$3:$D$1052,$J62)))</f>
        <v/>
      </c>
      <c r="F62" s="21" t="str">
        <f aca="false">IF($J62="","",IF(INDEX('DỮ LIỆU'!$H$3:$H$1052,$J62)="","",INDEX('DỮ LIỆU'!$H$3:$H$1052,$J62)))</f>
        <v/>
      </c>
      <c r="G62" s="13" t="str">
        <f aca="false">IF($J62="","",N(INDEX('DỮ LIỆU'!$I$3:$I$1052,$J62)))</f>
        <v/>
      </c>
      <c r="H62" s="13" t="str">
        <f aca="false">IF($J62="","",N(INDEX('DỮ LIỆU'!$M$3:$M$1052,$J62)))</f>
        <v/>
      </c>
      <c r="I62" s="13" t="str">
        <f aca="false">IF($J62="","",N(INDEX('DỮ LIỆU'!$N$3:$N$1052,$J62)))</f>
        <v/>
      </c>
      <c r="J62" s="0" t="str">
        <f aca="false">IFERROR(MATCH(46,'DỮ LIỆU'!$Y$3:$Y$1052,0),"")</f>
        <v/>
      </c>
    </row>
    <row r="63" customFormat="false" ht="15" hidden="false" customHeight="false" outlineLevel="0" collapsed="false">
      <c r="A63" s="21" t="str">
        <f aca="false">IF($J63="","",47)</f>
        <v/>
      </c>
      <c r="B63" s="13" t="str">
        <f aca="false">IF($J63="","",INDEX('DỮ LIỆU'!$A$3:$A$1052,$J63))</f>
        <v/>
      </c>
      <c r="C63" s="41" t="str">
        <f aca="false">IF($J63="","",IF(INDEX('DỮ LIỆU'!$B$3:$B$1052,$J63)="","",INDEX('DỮ LIỆU'!$B$3:$B$1052,$J63)))</f>
        <v/>
      </c>
      <c r="D63" s="21" t="str">
        <f aca="false">IF($J63="","",IF(INDEX('DỮ LIỆU'!$C$3:$C$1052,$J63)="","",INDEX('DỮ LIỆU'!$C$3:$C$1052,$J63)))</f>
        <v/>
      </c>
      <c r="E63" s="21" t="str">
        <f aca="false">IF($J63="","",IF(INDEX('DỮ LIỆU'!$D$3:$D$1052,$J63)="","",INDEX('DỮ LIỆU'!$D$3:$D$1052,$J63)))</f>
        <v/>
      </c>
      <c r="F63" s="21" t="str">
        <f aca="false">IF($J63="","",IF(INDEX('DỮ LIỆU'!$H$3:$H$1052,$J63)="","",INDEX('DỮ LIỆU'!$H$3:$H$1052,$J63)))</f>
        <v/>
      </c>
      <c r="G63" s="13" t="str">
        <f aca="false">IF($J63="","",N(INDEX('DỮ LIỆU'!$I$3:$I$1052,$J63)))</f>
        <v/>
      </c>
      <c r="H63" s="13" t="str">
        <f aca="false">IF($J63="","",N(INDEX('DỮ LIỆU'!$M$3:$M$1052,$J63)))</f>
        <v/>
      </c>
      <c r="I63" s="13" t="str">
        <f aca="false">IF($J63="","",N(INDEX('DỮ LIỆU'!$N$3:$N$1052,$J63)))</f>
        <v/>
      </c>
      <c r="J63" s="0" t="str">
        <f aca="false">IFERROR(MATCH(47,'DỮ LIỆU'!$Y$3:$Y$1052,0),"")</f>
        <v/>
      </c>
    </row>
    <row r="64" customFormat="false" ht="15" hidden="false" customHeight="false" outlineLevel="0" collapsed="false">
      <c r="A64" s="21" t="str">
        <f aca="false">IF($J64="","",48)</f>
        <v/>
      </c>
      <c r="B64" s="13" t="str">
        <f aca="false">IF($J64="","",INDEX('DỮ LIỆU'!$A$3:$A$1052,$J64))</f>
        <v/>
      </c>
      <c r="C64" s="41" t="str">
        <f aca="false">IF($J64="","",IF(INDEX('DỮ LIỆU'!$B$3:$B$1052,$J64)="","",INDEX('DỮ LIỆU'!$B$3:$B$1052,$J64)))</f>
        <v/>
      </c>
      <c r="D64" s="21" t="str">
        <f aca="false">IF($J64="","",IF(INDEX('DỮ LIỆU'!$C$3:$C$1052,$J64)="","",INDEX('DỮ LIỆU'!$C$3:$C$1052,$J64)))</f>
        <v/>
      </c>
      <c r="E64" s="21" t="str">
        <f aca="false">IF($J64="","",IF(INDEX('DỮ LIỆU'!$D$3:$D$1052,$J64)="","",INDEX('DỮ LIỆU'!$D$3:$D$1052,$J64)))</f>
        <v/>
      </c>
      <c r="F64" s="21" t="str">
        <f aca="false">IF($J64="","",IF(INDEX('DỮ LIỆU'!$H$3:$H$1052,$J64)="","",INDEX('DỮ LIỆU'!$H$3:$H$1052,$J64)))</f>
        <v/>
      </c>
      <c r="G64" s="13" t="str">
        <f aca="false">IF($J64="","",N(INDEX('DỮ LIỆU'!$I$3:$I$1052,$J64)))</f>
        <v/>
      </c>
      <c r="H64" s="13" t="str">
        <f aca="false">IF($J64="","",N(INDEX('DỮ LIỆU'!$M$3:$M$1052,$J64)))</f>
        <v/>
      </c>
      <c r="I64" s="13" t="str">
        <f aca="false">IF($J64="","",N(INDEX('DỮ LIỆU'!$N$3:$N$1052,$J64)))</f>
        <v/>
      </c>
      <c r="J64" s="0" t="str">
        <f aca="false">IFERROR(MATCH(48,'DỮ LIỆU'!$Y$3:$Y$1052,0),"")</f>
        <v/>
      </c>
    </row>
    <row r="65" customFormat="false" ht="15" hidden="false" customHeight="false" outlineLevel="0" collapsed="false">
      <c r="A65" s="21" t="str">
        <f aca="false">IF($J65="","",49)</f>
        <v/>
      </c>
      <c r="B65" s="13" t="str">
        <f aca="false">IF($J65="","",INDEX('DỮ LIỆU'!$A$3:$A$1052,$J65))</f>
        <v/>
      </c>
      <c r="C65" s="41" t="str">
        <f aca="false">IF($J65="","",IF(INDEX('DỮ LIỆU'!$B$3:$B$1052,$J65)="","",INDEX('DỮ LIỆU'!$B$3:$B$1052,$J65)))</f>
        <v/>
      </c>
      <c r="D65" s="21" t="str">
        <f aca="false">IF($J65="","",IF(INDEX('DỮ LIỆU'!$C$3:$C$1052,$J65)="","",INDEX('DỮ LIỆU'!$C$3:$C$1052,$J65)))</f>
        <v/>
      </c>
      <c r="E65" s="21" t="str">
        <f aca="false">IF($J65="","",IF(INDEX('DỮ LIỆU'!$D$3:$D$1052,$J65)="","",INDEX('DỮ LIỆU'!$D$3:$D$1052,$J65)))</f>
        <v/>
      </c>
      <c r="F65" s="21" t="str">
        <f aca="false">IF($J65="","",IF(INDEX('DỮ LIỆU'!$H$3:$H$1052,$J65)="","",INDEX('DỮ LIỆU'!$H$3:$H$1052,$J65)))</f>
        <v/>
      </c>
      <c r="G65" s="13" t="str">
        <f aca="false">IF($J65="","",N(INDEX('DỮ LIỆU'!$I$3:$I$1052,$J65)))</f>
        <v/>
      </c>
      <c r="H65" s="13" t="str">
        <f aca="false">IF($J65="","",N(INDEX('DỮ LIỆU'!$M$3:$M$1052,$J65)))</f>
        <v/>
      </c>
      <c r="I65" s="13" t="str">
        <f aca="false">IF($J65="","",N(INDEX('DỮ LIỆU'!$N$3:$N$1052,$J65)))</f>
        <v/>
      </c>
      <c r="J65" s="0" t="str">
        <f aca="false">IFERROR(MATCH(49,'DỮ LIỆU'!$Y$3:$Y$1052,0),"")</f>
        <v/>
      </c>
    </row>
    <row r="66" customFormat="false" ht="15" hidden="false" customHeight="false" outlineLevel="0" collapsed="false">
      <c r="A66" s="21" t="str">
        <f aca="false">IF($J66="","",50)</f>
        <v/>
      </c>
      <c r="B66" s="13" t="str">
        <f aca="false">IF($J66="","",INDEX('DỮ LIỆU'!$A$3:$A$1052,$J66))</f>
        <v/>
      </c>
      <c r="C66" s="41" t="str">
        <f aca="false">IF($J66="","",IF(INDEX('DỮ LIỆU'!$B$3:$B$1052,$J66)="","",INDEX('DỮ LIỆU'!$B$3:$B$1052,$J66)))</f>
        <v/>
      </c>
      <c r="D66" s="21" t="str">
        <f aca="false">IF($J66="","",IF(INDEX('DỮ LIỆU'!$C$3:$C$1052,$J66)="","",INDEX('DỮ LIỆU'!$C$3:$C$1052,$J66)))</f>
        <v/>
      </c>
      <c r="E66" s="21" t="str">
        <f aca="false">IF($J66="","",IF(INDEX('DỮ LIỆU'!$D$3:$D$1052,$J66)="","",INDEX('DỮ LIỆU'!$D$3:$D$1052,$J66)))</f>
        <v/>
      </c>
      <c r="F66" s="21" t="str">
        <f aca="false">IF($J66="","",IF(INDEX('DỮ LIỆU'!$H$3:$H$1052,$J66)="","",INDEX('DỮ LIỆU'!$H$3:$H$1052,$J66)))</f>
        <v/>
      </c>
      <c r="G66" s="13" t="str">
        <f aca="false">IF($J66="","",N(INDEX('DỮ LIỆU'!$I$3:$I$1052,$J66)))</f>
        <v/>
      </c>
      <c r="H66" s="13" t="str">
        <f aca="false">IF($J66="","",N(INDEX('DỮ LIỆU'!$M$3:$M$1052,$J66)))</f>
        <v/>
      </c>
      <c r="I66" s="13" t="str">
        <f aca="false">IF($J66="","",N(INDEX('DỮ LIỆU'!$N$3:$N$1052,$J66)))</f>
        <v/>
      </c>
      <c r="J66" s="0" t="str">
        <f aca="false">IFERROR(MATCH(50,'DỮ LIỆU'!$Y$3:$Y$1052,0),"")</f>
        <v/>
      </c>
    </row>
    <row r="67" customFormat="false" ht="15" hidden="false" customHeight="false" outlineLevel="0" collapsed="false">
      <c r="A67" s="21" t="str">
        <f aca="false">IF($J67="","",51)</f>
        <v/>
      </c>
      <c r="B67" s="13" t="str">
        <f aca="false">IF($J67="","",INDEX('DỮ LIỆU'!$A$3:$A$1052,$J67))</f>
        <v/>
      </c>
      <c r="C67" s="41" t="str">
        <f aca="false">IF($J67="","",IF(INDEX('DỮ LIỆU'!$B$3:$B$1052,$J67)="","",INDEX('DỮ LIỆU'!$B$3:$B$1052,$J67)))</f>
        <v/>
      </c>
      <c r="D67" s="21" t="str">
        <f aca="false">IF($J67="","",IF(INDEX('DỮ LIỆU'!$C$3:$C$1052,$J67)="","",INDEX('DỮ LIỆU'!$C$3:$C$1052,$J67)))</f>
        <v/>
      </c>
      <c r="E67" s="21" t="str">
        <f aca="false">IF($J67="","",IF(INDEX('DỮ LIỆU'!$D$3:$D$1052,$J67)="","",INDEX('DỮ LIỆU'!$D$3:$D$1052,$J67)))</f>
        <v/>
      </c>
      <c r="F67" s="21" t="str">
        <f aca="false">IF($J67="","",IF(INDEX('DỮ LIỆU'!$H$3:$H$1052,$J67)="","",INDEX('DỮ LIỆU'!$H$3:$H$1052,$J67)))</f>
        <v/>
      </c>
      <c r="G67" s="13" t="str">
        <f aca="false">IF($J67="","",N(INDEX('DỮ LIỆU'!$I$3:$I$1052,$J67)))</f>
        <v/>
      </c>
      <c r="H67" s="13" t="str">
        <f aca="false">IF($J67="","",N(INDEX('DỮ LIỆU'!$M$3:$M$1052,$J67)))</f>
        <v/>
      </c>
      <c r="I67" s="13" t="str">
        <f aca="false">IF($J67="","",N(INDEX('DỮ LIỆU'!$N$3:$N$1052,$J67)))</f>
        <v/>
      </c>
      <c r="J67" s="0" t="str">
        <f aca="false">IFERROR(MATCH(51,'DỮ LIỆU'!$Y$3:$Y$1052,0),"")</f>
        <v/>
      </c>
    </row>
    <row r="68" customFormat="false" ht="15" hidden="false" customHeight="false" outlineLevel="0" collapsed="false">
      <c r="A68" s="21" t="str">
        <f aca="false">IF($J68="","",52)</f>
        <v/>
      </c>
      <c r="B68" s="13" t="str">
        <f aca="false">IF($J68="","",INDEX('DỮ LIỆU'!$A$3:$A$1052,$J68))</f>
        <v/>
      </c>
      <c r="C68" s="41" t="str">
        <f aca="false">IF($J68="","",IF(INDEX('DỮ LIỆU'!$B$3:$B$1052,$J68)="","",INDEX('DỮ LIỆU'!$B$3:$B$1052,$J68)))</f>
        <v/>
      </c>
      <c r="D68" s="21" t="str">
        <f aca="false">IF($J68="","",IF(INDEX('DỮ LIỆU'!$C$3:$C$1052,$J68)="","",INDEX('DỮ LIỆU'!$C$3:$C$1052,$J68)))</f>
        <v/>
      </c>
      <c r="E68" s="21" t="str">
        <f aca="false">IF($J68="","",IF(INDEX('DỮ LIỆU'!$D$3:$D$1052,$J68)="","",INDEX('DỮ LIỆU'!$D$3:$D$1052,$J68)))</f>
        <v/>
      </c>
      <c r="F68" s="21" t="str">
        <f aca="false">IF($J68="","",IF(INDEX('DỮ LIỆU'!$H$3:$H$1052,$J68)="","",INDEX('DỮ LIỆU'!$H$3:$H$1052,$J68)))</f>
        <v/>
      </c>
      <c r="G68" s="13" t="str">
        <f aca="false">IF($J68="","",N(INDEX('DỮ LIỆU'!$I$3:$I$1052,$J68)))</f>
        <v/>
      </c>
      <c r="H68" s="13" t="str">
        <f aca="false">IF($J68="","",N(INDEX('DỮ LIỆU'!$M$3:$M$1052,$J68)))</f>
        <v/>
      </c>
      <c r="I68" s="13" t="str">
        <f aca="false">IF($J68="","",N(INDEX('DỮ LIỆU'!$N$3:$N$1052,$J68)))</f>
        <v/>
      </c>
      <c r="J68" s="0" t="str">
        <f aca="false">IFERROR(MATCH(52,'DỮ LIỆU'!$Y$3:$Y$1052,0),"")</f>
        <v/>
      </c>
    </row>
    <row r="69" customFormat="false" ht="15" hidden="false" customHeight="false" outlineLevel="0" collapsed="false">
      <c r="A69" s="21" t="str">
        <f aca="false">IF($J69="","",53)</f>
        <v/>
      </c>
      <c r="B69" s="13" t="str">
        <f aca="false">IF($J69="","",INDEX('DỮ LIỆU'!$A$3:$A$1052,$J69))</f>
        <v/>
      </c>
      <c r="C69" s="41" t="str">
        <f aca="false">IF($J69="","",IF(INDEX('DỮ LIỆU'!$B$3:$B$1052,$J69)="","",INDEX('DỮ LIỆU'!$B$3:$B$1052,$J69)))</f>
        <v/>
      </c>
      <c r="D69" s="21" t="str">
        <f aca="false">IF($J69="","",IF(INDEX('DỮ LIỆU'!$C$3:$C$1052,$J69)="","",INDEX('DỮ LIỆU'!$C$3:$C$1052,$J69)))</f>
        <v/>
      </c>
      <c r="E69" s="21" t="str">
        <f aca="false">IF($J69="","",IF(INDEX('DỮ LIỆU'!$D$3:$D$1052,$J69)="","",INDEX('DỮ LIỆU'!$D$3:$D$1052,$J69)))</f>
        <v/>
      </c>
      <c r="F69" s="21" t="str">
        <f aca="false">IF($J69="","",IF(INDEX('DỮ LIỆU'!$H$3:$H$1052,$J69)="","",INDEX('DỮ LIỆU'!$H$3:$H$1052,$J69)))</f>
        <v/>
      </c>
      <c r="G69" s="13" t="str">
        <f aca="false">IF($J69="","",N(INDEX('DỮ LIỆU'!$I$3:$I$1052,$J69)))</f>
        <v/>
      </c>
      <c r="H69" s="13" t="str">
        <f aca="false">IF($J69="","",N(INDEX('DỮ LIỆU'!$M$3:$M$1052,$J69)))</f>
        <v/>
      </c>
      <c r="I69" s="13" t="str">
        <f aca="false">IF($J69="","",N(INDEX('DỮ LIỆU'!$N$3:$N$1052,$J69)))</f>
        <v/>
      </c>
      <c r="J69" s="0" t="str">
        <f aca="false">IFERROR(MATCH(53,'DỮ LIỆU'!$Y$3:$Y$1052,0),"")</f>
        <v/>
      </c>
    </row>
    <row r="70" customFormat="false" ht="15" hidden="false" customHeight="false" outlineLevel="0" collapsed="false">
      <c r="A70" s="21" t="str">
        <f aca="false">IF($J70="","",54)</f>
        <v/>
      </c>
      <c r="B70" s="13" t="str">
        <f aca="false">IF($J70="","",INDEX('DỮ LIỆU'!$A$3:$A$1052,$J70))</f>
        <v/>
      </c>
      <c r="C70" s="41" t="str">
        <f aca="false">IF($J70="","",IF(INDEX('DỮ LIỆU'!$B$3:$B$1052,$J70)="","",INDEX('DỮ LIỆU'!$B$3:$B$1052,$J70)))</f>
        <v/>
      </c>
      <c r="D70" s="21" t="str">
        <f aca="false">IF($J70="","",IF(INDEX('DỮ LIỆU'!$C$3:$C$1052,$J70)="","",INDEX('DỮ LIỆU'!$C$3:$C$1052,$J70)))</f>
        <v/>
      </c>
      <c r="E70" s="21" t="str">
        <f aca="false">IF($J70="","",IF(INDEX('DỮ LIỆU'!$D$3:$D$1052,$J70)="","",INDEX('DỮ LIỆU'!$D$3:$D$1052,$J70)))</f>
        <v/>
      </c>
      <c r="F70" s="21" t="str">
        <f aca="false">IF($J70="","",IF(INDEX('DỮ LIỆU'!$H$3:$H$1052,$J70)="","",INDEX('DỮ LIỆU'!$H$3:$H$1052,$J70)))</f>
        <v/>
      </c>
      <c r="G70" s="13" t="str">
        <f aca="false">IF($J70="","",N(INDEX('DỮ LIỆU'!$I$3:$I$1052,$J70)))</f>
        <v/>
      </c>
      <c r="H70" s="13" t="str">
        <f aca="false">IF($J70="","",N(INDEX('DỮ LIỆU'!$M$3:$M$1052,$J70)))</f>
        <v/>
      </c>
      <c r="I70" s="13" t="str">
        <f aca="false">IF($J70="","",N(INDEX('DỮ LIỆU'!$N$3:$N$1052,$J70)))</f>
        <v/>
      </c>
      <c r="J70" s="0" t="str">
        <f aca="false">IFERROR(MATCH(54,'DỮ LIỆU'!$Y$3:$Y$1052,0),"")</f>
        <v/>
      </c>
    </row>
    <row r="71" customFormat="false" ht="15" hidden="false" customHeight="false" outlineLevel="0" collapsed="false">
      <c r="A71" s="21" t="str">
        <f aca="false">IF($J71="","",55)</f>
        <v/>
      </c>
      <c r="B71" s="13" t="str">
        <f aca="false">IF($J71="","",INDEX('DỮ LIỆU'!$A$3:$A$1052,$J71))</f>
        <v/>
      </c>
      <c r="C71" s="41" t="str">
        <f aca="false">IF($J71="","",IF(INDEX('DỮ LIỆU'!$B$3:$B$1052,$J71)="","",INDEX('DỮ LIỆU'!$B$3:$B$1052,$J71)))</f>
        <v/>
      </c>
      <c r="D71" s="21" t="str">
        <f aca="false">IF($J71="","",IF(INDEX('DỮ LIỆU'!$C$3:$C$1052,$J71)="","",INDEX('DỮ LIỆU'!$C$3:$C$1052,$J71)))</f>
        <v/>
      </c>
      <c r="E71" s="21" t="str">
        <f aca="false">IF($J71="","",IF(INDEX('DỮ LIỆU'!$D$3:$D$1052,$J71)="","",INDEX('DỮ LIỆU'!$D$3:$D$1052,$J71)))</f>
        <v/>
      </c>
      <c r="F71" s="21" t="str">
        <f aca="false">IF($J71="","",IF(INDEX('DỮ LIỆU'!$H$3:$H$1052,$J71)="","",INDEX('DỮ LIỆU'!$H$3:$H$1052,$J71)))</f>
        <v/>
      </c>
      <c r="G71" s="13" t="str">
        <f aca="false">IF($J71="","",N(INDEX('DỮ LIỆU'!$I$3:$I$1052,$J71)))</f>
        <v/>
      </c>
      <c r="H71" s="13" t="str">
        <f aca="false">IF($J71="","",N(INDEX('DỮ LIỆU'!$M$3:$M$1052,$J71)))</f>
        <v/>
      </c>
      <c r="I71" s="13" t="str">
        <f aca="false">IF($J71="","",N(INDEX('DỮ LIỆU'!$N$3:$N$1052,$J71)))</f>
        <v/>
      </c>
      <c r="J71" s="0" t="str">
        <f aca="false">IFERROR(MATCH(55,'DỮ LIỆU'!$Y$3:$Y$1052,0),"")</f>
        <v/>
      </c>
    </row>
    <row r="72" customFormat="false" ht="15" hidden="false" customHeight="false" outlineLevel="0" collapsed="false">
      <c r="A72" s="21" t="str">
        <f aca="false">IF($J72="","",56)</f>
        <v/>
      </c>
      <c r="B72" s="13" t="str">
        <f aca="false">IF($J72="","",INDEX('DỮ LIỆU'!$A$3:$A$1052,$J72))</f>
        <v/>
      </c>
      <c r="C72" s="41" t="str">
        <f aca="false">IF($J72="","",IF(INDEX('DỮ LIỆU'!$B$3:$B$1052,$J72)="","",INDEX('DỮ LIỆU'!$B$3:$B$1052,$J72)))</f>
        <v/>
      </c>
      <c r="D72" s="21" t="str">
        <f aca="false">IF($J72="","",IF(INDEX('DỮ LIỆU'!$C$3:$C$1052,$J72)="","",INDEX('DỮ LIỆU'!$C$3:$C$1052,$J72)))</f>
        <v/>
      </c>
      <c r="E72" s="21" t="str">
        <f aca="false">IF($J72="","",IF(INDEX('DỮ LIỆU'!$D$3:$D$1052,$J72)="","",INDEX('DỮ LIỆU'!$D$3:$D$1052,$J72)))</f>
        <v/>
      </c>
      <c r="F72" s="21" t="str">
        <f aca="false">IF($J72="","",IF(INDEX('DỮ LIỆU'!$H$3:$H$1052,$J72)="","",INDEX('DỮ LIỆU'!$H$3:$H$1052,$J72)))</f>
        <v/>
      </c>
      <c r="G72" s="13" t="str">
        <f aca="false">IF($J72="","",N(INDEX('DỮ LIỆU'!$I$3:$I$1052,$J72)))</f>
        <v/>
      </c>
      <c r="H72" s="13" t="str">
        <f aca="false">IF($J72="","",N(INDEX('DỮ LIỆU'!$M$3:$M$1052,$J72)))</f>
        <v/>
      </c>
      <c r="I72" s="13" t="str">
        <f aca="false">IF($J72="","",N(INDEX('DỮ LIỆU'!$N$3:$N$1052,$J72)))</f>
        <v/>
      </c>
      <c r="J72" s="0" t="str">
        <f aca="false">IFERROR(MATCH(56,'DỮ LIỆU'!$Y$3:$Y$1052,0),"")</f>
        <v/>
      </c>
    </row>
    <row r="73" customFormat="false" ht="15" hidden="false" customHeight="false" outlineLevel="0" collapsed="false">
      <c r="A73" s="21" t="str">
        <f aca="false">IF($J73="","",57)</f>
        <v/>
      </c>
      <c r="B73" s="13" t="str">
        <f aca="false">IF($J73="","",INDEX('DỮ LIỆU'!$A$3:$A$1052,$J73))</f>
        <v/>
      </c>
      <c r="C73" s="41" t="str">
        <f aca="false">IF($J73="","",IF(INDEX('DỮ LIỆU'!$B$3:$B$1052,$J73)="","",INDEX('DỮ LIỆU'!$B$3:$B$1052,$J73)))</f>
        <v/>
      </c>
      <c r="D73" s="21" t="str">
        <f aca="false">IF($J73="","",IF(INDEX('DỮ LIỆU'!$C$3:$C$1052,$J73)="","",INDEX('DỮ LIỆU'!$C$3:$C$1052,$J73)))</f>
        <v/>
      </c>
      <c r="E73" s="21" t="str">
        <f aca="false">IF($J73="","",IF(INDEX('DỮ LIỆU'!$D$3:$D$1052,$J73)="","",INDEX('DỮ LIỆU'!$D$3:$D$1052,$J73)))</f>
        <v/>
      </c>
      <c r="F73" s="21" t="str">
        <f aca="false">IF($J73="","",IF(INDEX('DỮ LIỆU'!$H$3:$H$1052,$J73)="","",INDEX('DỮ LIỆU'!$H$3:$H$1052,$J73)))</f>
        <v/>
      </c>
      <c r="G73" s="13" t="str">
        <f aca="false">IF($J73="","",N(INDEX('DỮ LIỆU'!$I$3:$I$1052,$J73)))</f>
        <v/>
      </c>
      <c r="H73" s="13" t="str">
        <f aca="false">IF($J73="","",N(INDEX('DỮ LIỆU'!$M$3:$M$1052,$J73)))</f>
        <v/>
      </c>
      <c r="I73" s="13" t="str">
        <f aca="false">IF($J73="","",N(INDEX('DỮ LIỆU'!$N$3:$N$1052,$J73)))</f>
        <v/>
      </c>
      <c r="J73" s="0" t="str">
        <f aca="false">IFERROR(MATCH(57,'DỮ LIỆU'!$Y$3:$Y$1052,0),"")</f>
        <v/>
      </c>
    </row>
    <row r="74" customFormat="false" ht="15" hidden="false" customHeight="false" outlineLevel="0" collapsed="false">
      <c r="A74" s="21" t="str">
        <f aca="false">IF($J74="","",58)</f>
        <v/>
      </c>
      <c r="B74" s="13" t="str">
        <f aca="false">IF($J74="","",INDEX('DỮ LIỆU'!$A$3:$A$1052,$J74))</f>
        <v/>
      </c>
      <c r="C74" s="41" t="str">
        <f aca="false">IF($J74="","",IF(INDEX('DỮ LIỆU'!$B$3:$B$1052,$J74)="","",INDEX('DỮ LIỆU'!$B$3:$B$1052,$J74)))</f>
        <v/>
      </c>
      <c r="D74" s="21" t="str">
        <f aca="false">IF($J74="","",IF(INDEX('DỮ LIỆU'!$C$3:$C$1052,$J74)="","",INDEX('DỮ LIỆU'!$C$3:$C$1052,$J74)))</f>
        <v/>
      </c>
      <c r="E74" s="21" t="str">
        <f aca="false">IF($J74="","",IF(INDEX('DỮ LIỆU'!$D$3:$D$1052,$J74)="","",INDEX('DỮ LIỆU'!$D$3:$D$1052,$J74)))</f>
        <v/>
      </c>
      <c r="F74" s="21" t="str">
        <f aca="false">IF($J74="","",IF(INDEX('DỮ LIỆU'!$H$3:$H$1052,$J74)="","",INDEX('DỮ LIỆU'!$H$3:$H$1052,$J74)))</f>
        <v/>
      </c>
      <c r="G74" s="13" t="str">
        <f aca="false">IF($J74="","",N(INDEX('DỮ LIỆU'!$I$3:$I$1052,$J74)))</f>
        <v/>
      </c>
      <c r="H74" s="13" t="str">
        <f aca="false">IF($J74="","",N(INDEX('DỮ LIỆU'!$M$3:$M$1052,$J74)))</f>
        <v/>
      </c>
      <c r="I74" s="13" t="str">
        <f aca="false">IF($J74="","",N(INDEX('DỮ LIỆU'!$N$3:$N$1052,$J74)))</f>
        <v/>
      </c>
      <c r="J74" s="0" t="str">
        <f aca="false">IFERROR(MATCH(58,'DỮ LIỆU'!$Y$3:$Y$1052,0),"")</f>
        <v/>
      </c>
    </row>
    <row r="75" customFormat="false" ht="15" hidden="false" customHeight="false" outlineLevel="0" collapsed="false">
      <c r="A75" s="21" t="str">
        <f aca="false">IF($J75="","",59)</f>
        <v/>
      </c>
      <c r="B75" s="13" t="str">
        <f aca="false">IF($J75="","",INDEX('DỮ LIỆU'!$A$3:$A$1052,$J75))</f>
        <v/>
      </c>
      <c r="C75" s="41" t="str">
        <f aca="false">IF($J75="","",IF(INDEX('DỮ LIỆU'!$B$3:$B$1052,$J75)="","",INDEX('DỮ LIỆU'!$B$3:$B$1052,$J75)))</f>
        <v/>
      </c>
      <c r="D75" s="21" t="str">
        <f aca="false">IF($J75="","",IF(INDEX('DỮ LIỆU'!$C$3:$C$1052,$J75)="","",INDEX('DỮ LIỆU'!$C$3:$C$1052,$J75)))</f>
        <v/>
      </c>
      <c r="E75" s="21" t="str">
        <f aca="false">IF($J75="","",IF(INDEX('DỮ LIỆU'!$D$3:$D$1052,$J75)="","",INDEX('DỮ LIỆU'!$D$3:$D$1052,$J75)))</f>
        <v/>
      </c>
      <c r="F75" s="21" t="str">
        <f aca="false">IF($J75="","",IF(INDEX('DỮ LIỆU'!$H$3:$H$1052,$J75)="","",INDEX('DỮ LIỆU'!$H$3:$H$1052,$J75)))</f>
        <v/>
      </c>
      <c r="G75" s="13" t="str">
        <f aca="false">IF($J75="","",N(INDEX('DỮ LIỆU'!$I$3:$I$1052,$J75)))</f>
        <v/>
      </c>
      <c r="H75" s="13" t="str">
        <f aca="false">IF($J75="","",N(INDEX('DỮ LIỆU'!$M$3:$M$1052,$J75)))</f>
        <v/>
      </c>
      <c r="I75" s="13" t="str">
        <f aca="false">IF($J75="","",N(INDEX('DỮ LIỆU'!$N$3:$N$1052,$J75)))</f>
        <v/>
      </c>
      <c r="J75" s="0" t="str">
        <f aca="false">IFERROR(MATCH(59,'DỮ LIỆU'!$Y$3:$Y$1052,0),"")</f>
        <v/>
      </c>
    </row>
    <row r="76" customFormat="false" ht="15" hidden="false" customHeight="false" outlineLevel="0" collapsed="false">
      <c r="A76" s="21" t="str">
        <f aca="false">IF($J76="","",60)</f>
        <v/>
      </c>
      <c r="B76" s="13" t="str">
        <f aca="false">IF($J76="","",INDEX('DỮ LIỆU'!$A$3:$A$1052,$J76))</f>
        <v/>
      </c>
      <c r="C76" s="41" t="str">
        <f aca="false">IF($J76="","",IF(INDEX('DỮ LIỆU'!$B$3:$B$1052,$J76)="","",INDEX('DỮ LIỆU'!$B$3:$B$1052,$J76)))</f>
        <v/>
      </c>
      <c r="D76" s="21" t="str">
        <f aca="false">IF($J76="","",IF(INDEX('DỮ LIỆU'!$C$3:$C$1052,$J76)="","",INDEX('DỮ LIỆU'!$C$3:$C$1052,$J76)))</f>
        <v/>
      </c>
      <c r="E76" s="21" t="str">
        <f aca="false">IF($J76="","",IF(INDEX('DỮ LIỆU'!$D$3:$D$1052,$J76)="","",INDEX('DỮ LIỆU'!$D$3:$D$1052,$J76)))</f>
        <v/>
      </c>
      <c r="F76" s="21" t="str">
        <f aca="false">IF($J76="","",IF(INDEX('DỮ LIỆU'!$H$3:$H$1052,$J76)="","",INDEX('DỮ LIỆU'!$H$3:$H$1052,$J76)))</f>
        <v/>
      </c>
      <c r="G76" s="13" t="str">
        <f aca="false">IF($J76="","",N(INDEX('DỮ LIỆU'!$I$3:$I$1052,$J76)))</f>
        <v/>
      </c>
      <c r="H76" s="13" t="str">
        <f aca="false">IF($J76="","",N(INDEX('DỮ LIỆU'!$M$3:$M$1052,$J76)))</f>
        <v/>
      </c>
      <c r="I76" s="13" t="str">
        <f aca="false">IF($J76="","",N(INDEX('DỮ LIỆU'!$N$3:$N$1052,$J76)))</f>
        <v/>
      </c>
      <c r="J76" s="0" t="str">
        <f aca="false">IFERROR(MATCH(60,'DỮ LIỆU'!$Y$3:$Y$1052,0),"")</f>
        <v/>
      </c>
    </row>
    <row r="77" customFormat="false" ht="15" hidden="false" customHeight="false" outlineLevel="0" collapsed="false">
      <c r="A77" s="21" t="str">
        <f aca="false">IF($J77="","",61)</f>
        <v/>
      </c>
      <c r="B77" s="13" t="str">
        <f aca="false">IF($J77="","",INDEX('DỮ LIỆU'!$A$3:$A$1052,$J77))</f>
        <v/>
      </c>
      <c r="C77" s="41" t="str">
        <f aca="false">IF($J77="","",IF(INDEX('DỮ LIỆU'!$B$3:$B$1052,$J77)="","",INDEX('DỮ LIỆU'!$B$3:$B$1052,$J77)))</f>
        <v/>
      </c>
      <c r="D77" s="21" t="str">
        <f aca="false">IF($J77="","",IF(INDEX('DỮ LIỆU'!$C$3:$C$1052,$J77)="","",INDEX('DỮ LIỆU'!$C$3:$C$1052,$J77)))</f>
        <v/>
      </c>
      <c r="E77" s="21" t="str">
        <f aca="false">IF($J77="","",IF(INDEX('DỮ LIỆU'!$D$3:$D$1052,$J77)="","",INDEX('DỮ LIỆU'!$D$3:$D$1052,$J77)))</f>
        <v/>
      </c>
      <c r="F77" s="21" t="str">
        <f aca="false">IF($J77="","",IF(INDEX('DỮ LIỆU'!$H$3:$H$1052,$J77)="","",INDEX('DỮ LIỆU'!$H$3:$H$1052,$J77)))</f>
        <v/>
      </c>
      <c r="G77" s="13" t="str">
        <f aca="false">IF($J77="","",N(INDEX('DỮ LIỆU'!$I$3:$I$1052,$J77)))</f>
        <v/>
      </c>
      <c r="H77" s="13" t="str">
        <f aca="false">IF($J77="","",N(INDEX('DỮ LIỆU'!$M$3:$M$1052,$J77)))</f>
        <v/>
      </c>
      <c r="I77" s="13" t="str">
        <f aca="false">IF($J77="","",N(INDEX('DỮ LIỆU'!$N$3:$N$1052,$J77)))</f>
        <v/>
      </c>
      <c r="J77" s="0" t="str">
        <f aca="false">IFERROR(MATCH(61,'DỮ LIỆU'!$Y$3:$Y$1052,0),"")</f>
        <v/>
      </c>
    </row>
    <row r="78" customFormat="false" ht="15" hidden="false" customHeight="false" outlineLevel="0" collapsed="false">
      <c r="A78" s="21" t="str">
        <f aca="false">IF($J78="","",62)</f>
        <v/>
      </c>
      <c r="B78" s="13" t="str">
        <f aca="false">IF($J78="","",INDEX('DỮ LIỆU'!$A$3:$A$1052,$J78))</f>
        <v/>
      </c>
      <c r="C78" s="41" t="str">
        <f aca="false">IF($J78="","",IF(INDEX('DỮ LIỆU'!$B$3:$B$1052,$J78)="","",INDEX('DỮ LIỆU'!$B$3:$B$1052,$J78)))</f>
        <v/>
      </c>
      <c r="D78" s="21" t="str">
        <f aca="false">IF($J78="","",IF(INDEX('DỮ LIỆU'!$C$3:$C$1052,$J78)="","",INDEX('DỮ LIỆU'!$C$3:$C$1052,$J78)))</f>
        <v/>
      </c>
      <c r="E78" s="21" t="str">
        <f aca="false">IF($J78="","",IF(INDEX('DỮ LIỆU'!$D$3:$D$1052,$J78)="","",INDEX('DỮ LIỆU'!$D$3:$D$1052,$J78)))</f>
        <v/>
      </c>
      <c r="F78" s="21" t="str">
        <f aca="false">IF($J78="","",IF(INDEX('DỮ LIỆU'!$H$3:$H$1052,$J78)="","",INDEX('DỮ LIỆU'!$H$3:$H$1052,$J78)))</f>
        <v/>
      </c>
      <c r="G78" s="13" t="str">
        <f aca="false">IF($J78="","",N(INDEX('DỮ LIỆU'!$I$3:$I$1052,$J78)))</f>
        <v/>
      </c>
      <c r="H78" s="13" t="str">
        <f aca="false">IF($J78="","",N(INDEX('DỮ LIỆU'!$M$3:$M$1052,$J78)))</f>
        <v/>
      </c>
      <c r="I78" s="13" t="str">
        <f aca="false">IF($J78="","",N(INDEX('DỮ LIỆU'!$N$3:$N$1052,$J78)))</f>
        <v/>
      </c>
      <c r="J78" s="0" t="str">
        <f aca="false">IFERROR(MATCH(62,'DỮ LIỆU'!$Y$3:$Y$1052,0),"")</f>
        <v/>
      </c>
    </row>
    <row r="79" customFormat="false" ht="15" hidden="false" customHeight="false" outlineLevel="0" collapsed="false">
      <c r="A79" s="21" t="str">
        <f aca="false">IF($J79="","",63)</f>
        <v/>
      </c>
      <c r="B79" s="13" t="str">
        <f aca="false">IF($J79="","",INDEX('DỮ LIỆU'!$A$3:$A$1052,$J79))</f>
        <v/>
      </c>
      <c r="C79" s="41" t="str">
        <f aca="false">IF($J79="","",IF(INDEX('DỮ LIỆU'!$B$3:$B$1052,$J79)="","",INDEX('DỮ LIỆU'!$B$3:$B$1052,$J79)))</f>
        <v/>
      </c>
      <c r="D79" s="21" t="str">
        <f aca="false">IF($J79="","",IF(INDEX('DỮ LIỆU'!$C$3:$C$1052,$J79)="","",INDEX('DỮ LIỆU'!$C$3:$C$1052,$J79)))</f>
        <v/>
      </c>
      <c r="E79" s="21" t="str">
        <f aca="false">IF($J79="","",IF(INDEX('DỮ LIỆU'!$D$3:$D$1052,$J79)="","",INDEX('DỮ LIỆU'!$D$3:$D$1052,$J79)))</f>
        <v/>
      </c>
      <c r="F79" s="21" t="str">
        <f aca="false">IF($J79="","",IF(INDEX('DỮ LIỆU'!$H$3:$H$1052,$J79)="","",INDEX('DỮ LIỆU'!$H$3:$H$1052,$J79)))</f>
        <v/>
      </c>
      <c r="G79" s="13" t="str">
        <f aca="false">IF($J79="","",N(INDEX('DỮ LIỆU'!$I$3:$I$1052,$J79)))</f>
        <v/>
      </c>
      <c r="H79" s="13" t="str">
        <f aca="false">IF($J79="","",N(INDEX('DỮ LIỆU'!$M$3:$M$1052,$J79)))</f>
        <v/>
      </c>
      <c r="I79" s="13" t="str">
        <f aca="false">IF($J79="","",N(INDEX('DỮ LIỆU'!$N$3:$N$1052,$J79)))</f>
        <v/>
      </c>
      <c r="J79" s="0" t="str">
        <f aca="false">IFERROR(MATCH(63,'DỮ LIỆU'!$Y$3:$Y$1052,0),"")</f>
        <v/>
      </c>
    </row>
    <row r="80" customFormat="false" ht="15" hidden="false" customHeight="false" outlineLevel="0" collapsed="false">
      <c r="A80" s="21" t="str">
        <f aca="false">IF($J80="","",64)</f>
        <v/>
      </c>
      <c r="B80" s="13" t="str">
        <f aca="false">IF($J80="","",INDEX('DỮ LIỆU'!$A$3:$A$1052,$J80))</f>
        <v/>
      </c>
      <c r="C80" s="41" t="str">
        <f aca="false">IF($J80="","",IF(INDEX('DỮ LIỆU'!$B$3:$B$1052,$J80)="","",INDEX('DỮ LIỆU'!$B$3:$B$1052,$J80)))</f>
        <v/>
      </c>
      <c r="D80" s="21" t="str">
        <f aca="false">IF($J80="","",IF(INDEX('DỮ LIỆU'!$C$3:$C$1052,$J80)="","",INDEX('DỮ LIỆU'!$C$3:$C$1052,$J80)))</f>
        <v/>
      </c>
      <c r="E80" s="21" t="str">
        <f aca="false">IF($J80="","",IF(INDEX('DỮ LIỆU'!$D$3:$D$1052,$J80)="","",INDEX('DỮ LIỆU'!$D$3:$D$1052,$J80)))</f>
        <v/>
      </c>
      <c r="F80" s="21" t="str">
        <f aca="false">IF($J80="","",IF(INDEX('DỮ LIỆU'!$H$3:$H$1052,$J80)="","",INDEX('DỮ LIỆU'!$H$3:$H$1052,$J80)))</f>
        <v/>
      </c>
      <c r="G80" s="13" t="str">
        <f aca="false">IF($J80="","",N(INDEX('DỮ LIỆU'!$I$3:$I$1052,$J80)))</f>
        <v/>
      </c>
      <c r="H80" s="13" t="str">
        <f aca="false">IF($J80="","",N(INDEX('DỮ LIỆU'!$M$3:$M$1052,$J80)))</f>
        <v/>
      </c>
      <c r="I80" s="13" t="str">
        <f aca="false">IF($J80="","",N(INDEX('DỮ LIỆU'!$N$3:$N$1052,$J80)))</f>
        <v/>
      </c>
      <c r="J80" s="0" t="str">
        <f aca="false">IFERROR(MATCH(64,'DỮ LIỆU'!$Y$3:$Y$1052,0),"")</f>
        <v/>
      </c>
    </row>
    <row r="81" customFormat="false" ht="15" hidden="false" customHeight="false" outlineLevel="0" collapsed="false">
      <c r="A81" s="21" t="str">
        <f aca="false">IF($J81="","",65)</f>
        <v/>
      </c>
      <c r="B81" s="13" t="str">
        <f aca="false">IF($J81="","",INDEX('DỮ LIỆU'!$A$3:$A$1052,$J81))</f>
        <v/>
      </c>
      <c r="C81" s="41" t="str">
        <f aca="false">IF($J81="","",IF(INDEX('DỮ LIỆU'!$B$3:$B$1052,$J81)="","",INDEX('DỮ LIỆU'!$B$3:$B$1052,$J81)))</f>
        <v/>
      </c>
      <c r="D81" s="21" t="str">
        <f aca="false">IF($J81="","",IF(INDEX('DỮ LIỆU'!$C$3:$C$1052,$J81)="","",INDEX('DỮ LIỆU'!$C$3:$C$1052,$J81)))</f>
        <v/>
      </c>
      <c r="E81" s="21" t="str">
        <f aca="false">IF($J81="","",IF(INDEX('DỮ LIỆU'!$D$3:$D$1052,$J81)="","",INDEX('DỮ LIỆU'!$D$3:$D$1052,$J81)))</f>
        <v/>
      </c>
      <c r="F81" s="21" t="str">
        <f aca="false">IF($J81="","",IF(INDEX('DỮ LIỆU'!$H$3:$H$1052,$J81)="","",INDEX('DỮ LIỆU'!$H$3:$H$1052,$J81)))</f>
        <v/>
      </c>
      <c r="G81" s="13" t="str">
        <f aca="false">IF($J81="","",N(INDEX('DỮ LIỆU'!$I$3:$I$1052,$J81)))</f>
        <v/>
      </c>
      <c r="H81" s="13" t="str">
        <f aca="false">IF($J81="","",N(INDEX('DỮ LIỆU'!$M$3:$M$1052,$J81)))</f>
        <v/>
      </c>
      <c r="I81" s="13" t="str">
        <f aca="false">IF($J81="","",N(INDEX('DỮ LIỆU'!$N$3:$N$1052,$J81)))</f>
        <v/>
      </c>
      <c r="J81" s="0" t="str">
        <f aca="false">IFERROR(MATCH(65,'DỮ LIỆU'!$Y$3:$Y$1052,0),"")</f>
        <v/>
      </c>
    </row>
    <row r="82" customFormat="false" ht="15" hidden="false" customHeight="false" outlineLevel="0" collapsed="false">
      <c r="A82" s="21" t="str">
        <f aca="false">IF($J82="","",66)</f>
        <v/>
      </c>
      <c r="B82" s="13" t="str">
        <f aca="false">IF($J82="","",INDEX('DỮ LIỆU'!$A$3:$A$1052,$J82))</f>
        <v/>
      </c>
      <c r="C82" s="41" t="str">
        <f aca="false">IF($J82="","",IF(INDEX('DỮ LIỆU'!$B$3:$B$1052,$J82)="","",INDEX('DỮ LIỆU'!$B$3:$B$1052,$J82)))</f>
        <v/>
      </c>
      <c r="D82" s="21" t="str">
        <f aca="false">IF($J82="","",IF(INDEX('DỮ LIỆU'!$C$3:$C$1052,$J82)="","",INDEX('DỮ LIỆU'!$C$3:$C$1052,$J82)))</f>
        <v/>
      </c>
      <c r="E82" s="21" t="str">
        <f aca="false">IF($J82="","",IF(INDEX('DỮ LIỆU'!$D$3:$D$1052,$J82)="","",INDEX('DỮ LIỆU'!$D$3:$D$1052,$J82)))</f>
        <v/>
      </c>
      <c r="F82" s="21" t="str">
        <f aca="false">IF($J82="","",IF(INDEX('DỮ LIỆU'!$H$3:$H$1052,$J82)="","",INDEX('DỮ LIỆU'!$H$3:$H$1052,$J82)))</f>
        <v/>
      </c>
      <c r="G82" s="13" t="str">
        <f aca="false">IF($J82="","",N(INDEX('DỮ LIỆU'!$I$3:$I$1052,$J82)))</f>
        <v/>
      </c>
      <c r="H82" s="13" t="str">
        <f aca="false">IF($J82="","",N(INDEX('DỮ LIỆU'!$M$3:$M$1052,$J82)))</f>
        <v/>
      </c>
      <c r="I82" s="13" t="str">
        <f aca="false">IF($J82="","",N(INDEX('DỮ LIỆU'!$N$3:$N$1052,$J82)))</f>
        <v/>
      </c>
      <c r="J82" s="0" t="str">
        <f aca="false">IFERROR(MATCH(66,'DỮ LIỆU'!$Y$3:$Y$1052,0),"")</f>
        <v/>
      </c>
    </row>
    <row r="83" customFormat="false" ht="15" hidden="false" customHeight="false" outlineLevel="0" collapsed="false">
      <c r="A83" s="21" t="str">
        <f aca="false">IF($J83="","",67)</f>
        <v/>
      </c>
      <c r="B83" s="13" t="str">
        <f aca="false">IF($J83="","",INDEX('DỮ LIỆU'!$A$3:$A$1052,$J83))</f>
        <v/>
      </c>
      <c r="C83" s="41" t="str">
        <f aca="false">IF($J83="","",IF(INDEX('DỮ LIỆU'!$B$3:$B$1052,$J83)="","",INDEX('DỮ LIỆU'!$B$3:$B$1052,$J83)))</f>
        <v/>
      </c>
      <c r="D83" s="21" t="str">
        <f aca="false">IF($J83="","",IF(INDEX('DỮ LIỆU'!$C$3:$C$1052,$J83)="","",INDEX('DỮ LIỆU'!$C$3:$C$1052,$J83)))</f>
        <v/>
      </c>
      <c r="E83" s="21" t="str">
        <f aca="false">IF($J83="","",IF(INDEX('DỮ LIỆU'!$D$3:$D$1052,$J83)="","",INDEX('DỮ LIỆU'!$D$3:$D$1052,$J83)))</f>
        <v/>
      </c>
      <c r="F83" s="21" t="str">
        <f aca="false">IF($J83="","",IF(INDEX('DỮ LIỆU'!$H$3:$H$1052,$J83)="","",INDEX('DỮ LIỆU'!$H$3:$H$1052,$J83)))</f>
        <v/>
      </c>
      <c r="G83" s="13" t="str">
        <f aca="false">IF($J83="","",N(INDEX('DỮ LIỆU'!$I$3:$I$1052,$J83)))</f>
        <v/>
      </c>
      <c r="H83" s="13" t="str">
        <f aca="false">IF($J83="","",N(INDEX('DỮ LIỆU'!$M$3:$M$1052,$J83)))</f>
        <v/>
      </c>
      <c r="I83" s="13" t="str">
        <f aca="false">IF($J83="","",N(INDEX('DỮ LIỆU'!$N$3:$N$1052,$J83)))</f>
        <v/>
      </c>
      <c r="J83" s="0" t="str">
        <f aca="false">IFERROR(MATCH(67,'DỮ LIỆU'!$Y$3:$Y$1052,0),"")</f>
        <v/>
      </c>
    </row>
    <row r="84" customFormat="false" ht="15" hidden="false" customHeight="false" outlineLevel="0" collapsed="false">
      <c r="A84" s="21" t="str">
        <f aca="false">IF($J84="","",68)</f>
        <v/>
      </c>
      <c r="B84" s="13" t="str">
        <f aca="false">IF($J84="","",INDEX('DỮ LIỆU'!$A$3:$A$1052,$J84))</f>
        <v/>
      </c>
      <c r="C84" s="41" t="str">
        <f aca="false">IF($J84="","",IF(INDEX('DỮ LIỆU'!$B$3:$B$1052,$J84)="","",INDEX('DỮ LIỆU'!$B$3:$B$1052,$J84)))</f>
        <v/>
      </c>
      <c r="D84" s="21" t="str">
        <f aca="false">IF($J84="","",IF(INDEX('DỮ LIỆU'!$C$3:$C$1052,$J84)="","",INDEX('DỮ LIỆU'!$C$3:$C$1052,$J84)))</f>
        <v/>
      </c>
      <c r="E84" s="21" t="str">
        <f aca="false">IF($J84="","",IF(INDEX('DỮ LIỆU'!$D$3:$D$1052,$J84)="","",INDEX('DỮ LIỆU'!$D$3:$D$1052,$J84)))</f>
        <v/>
      </c>
      <c r="F84" s="21" t="str">
        <f aca="false">IF($J84="","",IF(INDEX('DỮ LIỆU'!$H$3:$H$1052,$J84)="","",INDEX('DỮ LIỆU'!$H$3:$H$1052,$J84)))</f>
        <v/>
      </c>
      <c r="G84" s="13" t="str">
        <f aca="false">IF($J84="","",N(INDEX('DỮ LIỆU'!$I$3:$I$1052,$J84)))</f>
        <v/>
      </c>
      <c r="H84" s="13" t="str">
        <f aca="false">IF($J84="","",N(INDEX('DỮ LIỆU'!$M$3:$M$1052,$J84)))</f>
        <v/>
      </c>
      <c r="I84" s="13" t="str">
        <f aca="false">IF($J84="","",N(INDEX('DỮ LIỆU'!$N$3:$N$1052,$J84)))</f>
        <v/>
      </c>
      <c r="J84" s="0" t="str">
        <f aca="false">IFERROR(MATCH(68,'DỮ LIỆU'!$Y$3:$Y$1052,0),"")</f>
        <v/>
      </c>
    </row>
    <row r="85" customFormat="false" ht="15" hidden="false" customHeight="false" outlineLevel="0" collapsed="false">
      <c r="A85" s="21" t="str">
        <f aca="false">IF($J85="","",69)</f>
        <v/>
      </c>
      <c r="B85" s="13" t="str">
        <f aca="false">IF($J85="","",INDEX('DỮ LIỆU'!$A$3:$A$1052,$J85))</f>
        <v/>
      </c>
      <c r="C85" s="41" t="str">
        <f aca="false">IF($J85="","",IF(INDEX('DỮ LIỆU'!$B$3:$B$1052,$J85)="","",INDEX('DỮ LIỆU'!$B$3:$B$1052,$J85)))</f>
        <v/>
      </c>
      <c r="D85" s="21" t="str">
        <f aca="false">IF($J85="","",IF(INDEX('DỮ LIỆU'!$C$3:$C$1052,$J85)="","",INDEX('DỮ LIỆU'!$C$3:$C$1052,$J85)))</f>
        <v/>
      </c>
      <c r="E85" s="21" t="str">
        <f aca="false">IF($J85="","",IF(INDEX('DỮ LIỆU'!$D$3:$D$1052,$J85)="","",INDEX('DỮ LIỆU'!$D$3:$D$1052,$J85)))</f>
        <v/>
      </c>
      <c r="F85" s="21" t="str">
        <f aca="false">IF($J85="","",IF(INDEX('DỮ LIỆU'!$H$3:$H$1052,$J85)="","",INDEX('DỮ LIỆU'!$H$3:$H$1052,$J85)))</f>
        <v/>
      </c>
      <c r="G85" s="13" t="str">
        <f aca="false">IF($J85="","",N(INDEX('DỮ LIỆU'!$I$3:$I$1052,$J85)))</f>
        <v/>
      </c>
      <c r="H85" s="13" t="str">
        <f aca="false">IF($J85="","",N(INDEX('DỮ LIỆU'!$M$3:$M$1052,$J85)))</f>
        <v/>
      </c>
      <c r="I85" s="13" t="str">
        <f aca="false">IF($J85="","",N(INDEX('DỮ LIỆU'!$N$3:$N$1052,$J85)))</f>
        <v/>
      </c>
      <c r="J85" s="0" t="str">
        <f aca="false">IFERROR(MATCH(69,'DỮ LIỆU'!$Y$3:$Y$1052,0),"")</f>
        <v/>
      </c>
    </row>
    <row r="86" customFormat="false" ht="15" hidden="false" customHeight="false" outlineLevel="0" collapsed="false">
      <c r="A86" s="21" t="str">
        <f aca="false">IF($J86="","",70)</f>
        <v/>
      </c>
      <c r="B86" s="13" t="str">
        <f aca="false">IF($J86="","",INDEX('DỮ LIỆU'!$A$3:$A$1052,$J86))</f>
        <v/>
      </c>
      <c r="C86" s="41" t="str">
        <f aca="false">IF($J86="","",IF(INDEX('DỮ LIỆU'!$B$3:$B$1052,$J86)="","",INDEX('DỮ LIỆU'!$B$3:$B$1052,$J86)))</f>
        <v/>
      </c>
      <c r="D86" s="21" t="str">
        <f aca="false">IF($J86="","",IF(INDEX('DỮ LIỆU'!$C$3:$C$1052,$J86)="","",INDEX('DỮ LIỆU'!$C$3:$C$1052,$J86)))</f>
        <v/>
      </c>
      <c r="E86" s="21" t="str">
        <f aca="false">IF($J86="","",IF(INDEX('DỮ LIỆU'!$D$3:$D$1052,$J86)="","",INDEX('DỮ LIỆU'!$D$3:$D$1052,$J86)))</f>
        <v/>
      </c>
      <c r="F86" s="21" t="str">
        <f aca="false">IF($J86="","",IF(INDEX('DỮ LIỆU'!$H$3:$H$1052,$J86)="","",INDEX('DỮ LIỆU'!$H$3:$H$1052,$J86)))</f>
        <v/>
      </c>
      <c r="G86" s="13" t="str">
        <f aca="false">IF($J86="","",N(INDEX('DỮ LIỆU'!$I$3:$I$1052,$J86)))</f>
        <v/>
      </c>
      <c r="H86" s="13" t="str">
        <f aca="false">IF($J86="","",N(INDEX('DỮ LIỆU'!$M$3:$M$1052,$J86)))</f>
        <v/>
      </c>
      <c r="I86" s="13" t="str">
        <f aca="false">IF($J86="","",N(INDEX('DỮ LIỆU'!$N$3:$N$1052,$J86)))</f>
        <v/>
      </c>
      <c r="J86" s="0" t="str">
        <f aca="false">IFERROR(MATCH(70,'DỮ LIỆU'!$Y$3:$Y$1052,0),"")</f>
        <v/>
      </c>
    </row>
    <row r="87" customFormat="false" ht="15" hidden="false" customHeight="false" outlineLevel="0" collapsed="false">
      <c r="A87" s="21" t="str">
        <f aca="false">IF($J87="","",71)</f>
        <v/>
      </c>
      <c r="B87" s="13" t="str">
        <f aca="false">IF($J87="","",INDEX('DỮ LIỆU'!$A$3:$A$1052,$J87))</f>
        <v/>
      </c>
      <c r="C87" s="41" t="str">
        <f aca="false">IF($J87="","",IF(INDEX('DỮ LIỆU'!$B$3:$B$1052,$J87)="","",INDEX('DỮ LIỆU'!$B$3:$B$1052,$J87)))</f>
        <v/>
      </c>
      <c r="D87" s="21" t="str">
        <f aca="false">IF($J87="","",IF(INDEX('DỮ LIỆU'!$C$3:$C$1052,$J87)="","",INDEX('DỮ LIỆU'!$C$3:$C$1052,$J87)))</f>
        <v/>
      </c>
      <c r="E87" s="21" t="str">
        <f aca="false">IF($J87="","",IF(INDEX('DỮ LIỆU'!$D$3:$D$1052,$J87)="","",INDEX('DỮ LIỆU'!$D$3:$D$1052,$J87)))</f>
        <v/>
      </c>
      <c r="F87" s="21" t="str">
        <f aca="false">IF($J87="","",IF(INDEX('DỮ LIỆU'!$H$3:$H$1052,$J87)="","",INDEX('DỮ LIỆU'!$H$3:$H$1052,$J87)))</f>
        <v/>
      </c>
      <c r="G87" s="13" t="str">
        <f aca="false">IF($J87="","",N(INDEX('DỮ LIỆU'!$I$3:$I$1052,$J87)))</f>
        <v/>
      </c>
      <c r="H87" s="13" t="str">
        <f aca="false">IF($J87="","",N(INDEX('DỮ LIỆU'!$M$3:$M$1052,$J87)))</f>
        <v/>
      </c>
      <c r="I87" s="13" t="str">
        <f aca="false">IF($J87="","",N(INDEX('DỮ LIỆU'!$N$3:$N$1052,$J87)))</f>
        <v/>
      </c>
      <c r="J87" s="0" t="str">
        <f aca="false">IFERROR(MATCH(71,'DỮ LIỆU'!$Y$3:$Y$1052,0),"")</f>
        <v/>
      </c>
    </row>
    <row r="88" customFormat="false" ht="15" hidden="false" customHeight="false" outlineLevel="0" collapsed="false">
      <c r="A88" s="21" t="str">
        <f aca="false">IF($J88="","",72)</f>
        <v/>
      </c>
      <c r="B88" s="13" t="str">
        <f aca="false">IF($J88="","",INDEX('DỮ LIỆU'!$A$3:$A$1052,$J88))</f>
        <v/>
      </c>
      <c r="C88" s="41" t="str">
        <f aca="false">IF($J88="","",IF(INDEX('DỮ LIỆU'!$B$3:$B$1052,$J88)="","",INDEX('DỮ LIỆU'!$B$3:$B$1052,$J88)))</f>
        <v/>
      </c>
      <c r="D88" s="21" t="str">
        <f aca="false">IF($J88="","",IF(INDEX('DỮ LIỆU'!$C$3:$C$1052,$J88)="","",INDEX('DỮ LIỆU'!$C$3:$C$1052,$J88)))</f>
        <v/>
      </c>
      <c r="E88" s="21" t="str">
        <f aca="false">IF($J88="","",IF(INDEX('DỮ LIỆU'!$D$3:$D$1052,$J88)="","",INDEX('DỮ LIỆU'!$D$3:$D$1052,$J88)))</f>
        <v/>
      </c>
      <c r="F88" s="21" t="str">
        <f aca="false">IF($J88="","",IF(INDEX('DỮ LIỆU'!$H$3:$H$1052,$J88)="","",INDEX('DỮ LIỆU'!$H$3:$H$1052,$J88)))</f>
        <v/>
      </c>
      <c r="G88" s="13" t="str">
        <f aca="false">IF($J88="","",N(INDEX('DỮ LIỆU'!$I$3:$I$1052,$J88)))</f>
        <v/>
      </c>
      <c r="H88" s="13" t="str">
        <f aca="false">IF($J88="","",N(INDEX('DỮ LIỆU'!$M$3:$M$1052,$J88)))</f>
        <v/>
      </c>
      <c r="I88" s="13" t="str">
        <f aca="false">IF($J88="","",N(INDEX('DỮ LIỆU'!$N$3:$N$1052,$J88)))</f>
        <v/>
      </c>
      <c r="J88" s="0" t="str">
        <f aca="false">IFERROR(MATCH(72,'DỮ LIỆU'!$Y$3:$Y$1052,0),"")</f>
        <v/>
      </c>
    </row>
    <row r="89" customFormat="false" ht="15" hidden="false" customHeight="false" outlineLevel="0" collapsed="false">
      <c r="A89" s="21" t="str">
        <f aca="false">IF($J89="","",73)</f>
        <v/>
      </c>
      <c r="B89" s="13" t="str">
        <f aca="false">IF($J89="","",INDEX('DỮ LIỆU'!$A$3:$A$1052,$J89))</f>
        <v/>
      </c>
      <c r="C89" s="41" t="str">
        <f aca="false">IF($J89="","",IF(INDEX('DỮ LIỆU'!$B$3:$B$1052,$J89)="","",INDEX('DỮ LIỆU'!$B$3:$B$1052,$J89)))</f>
        <v/>
      </c>
      <c r="D89" s="21" t="str">
        <f aca="false">IF($J89="","",IF(INDEX('DỮ LIỆU'!$C$3:$C$1052,$J89)="","",INDEX('DỮ LIỆU'!$C$3:$C$1052,$J89)))</f>
        <v/>
      </c>
      <c r="E89" s="21" t="str">
        <f aca="false">IF($J89="","",IF(INDEX('DỮ LIỆU'!$D$3:$D$1052,$J89)="","",INDEX('DỮ LIỆU'!$D$3:$D$1052,$J89)))</f>
        <v/>
      </c>
      <c r="F89" s="21" t="str">
        <f aca="false">IF($J89="","",IF(INDEX('DỮ LIỆU'!$H$3:$H$1052,$J89)="","",INDEX('DỮ LIỆU'!$H$3:$H$1052,$J89)))</f>
        <v/>
      </c>
      <c r="G89" s="13" t="str">
        <f aca="false">IF($J89="","",N(INDEX('DỮ LIỆU'!$I$3:$I$1052,$J89)))</f>
        <v/>
      </c>
      <c r="H89" s="13" t="str">
        <f aca="false">IF($J89="","",N(INDEX('DỮ LIỆU'!$M$3:$M$1052,$J89)))</f>
        <v/>
      </c>
      <c r="I89" s="13" t="str">
        <f aca="false">IF($J89="","",N(INDEX('DỮ LIỆU'!$N$3:$N$1052,$J89)))</f>
        <v/>
      </c>
      <c r="J89" s="0" t="str">
        <f aca="false">IFERROR(MATCH(73,'DỮ LIỆU'!$Y$3:$Y$1052,0),"")</f>
        <v/>
      </c>
    </row>
    <row r="90" customFormat="false" ht="15" hidden="false" customHeight="false" outlineLevel="0" collapsed="false">
      <c r="A90" s="21" t="str">
        <f aca="false">IF($J90="","",74)</f>
        <v/>
      </c>
      <c r="B90" s="13" t="str">
        <f aca="false">IF($J90="","",INDEX('DỮ LIỆU'!$A$3:$A$1052,$J90))</f>
        <v/>
      </c>
      <c r="C90" s="41" t="str">
        <f aca="false">IF($J90="","",IF(INDEX('DỮ LIỆU'!$B$3:$B$1052,$J90)="","",INDEX('DỮ LIỆU'!$B$3:$B$1052,$J90)))</f>
        <v/>
      </c>
      <c r="D90" s="21" t="str">
        <f aca="false">IF($J90="","",IF(INDEX('DỮ LIỆU'!$C$3:$C$1052,$J90)="","",INDEX('DỮ LIỆU'!$C$3:$C$1052,$J90)))</f>
        <v/>
      </c>
      <c r="E90" s="21" t="str">
        <f aca="false">IF($J90="","",IF(INDEX('DỮ LIỆU'!$D$3:$D$1052,$J90)="","",INDEX('DỮ LIỆU'!$D$3:$D$1052,$J90)))</f>
        <v/>
      </c>
      <c r="F90" s="21" t="str">
        <f aca="false">IF($J90="","",IF(INDEX('DỮ LIỆU'!$H$3:$H$1052,$J90)="","",INDEX('DỮ LIỆU'!$H$3:$H$1052,$J90)))</f>
        <v/>
      </c>
      <c r="G90" s="13" t="str">
        <f aca="false">IF($J90="","",N(INDEX('DỮ LIỆU'!$I$3:$I$1052,$J90)))</f>
        <v/>
      </c>
      <c r="H90" s="13" t="str">
        <f aca="false">IF($J90="","",N(INDEX('DỮ LIỆU'!$M$3:$M$1052,$J90)))</f>
        <v/>
      </c>
      <c r="I90" s="13" t="str">
        <f aca="false">IF($J90="","",N(INDEX('DỮ LIỆU'!$N$3:$N$1052,$J90)))</f>
        <v/>
      </c>
      <c r="J90" s="0" t="str">
        <f aca="false">IFERROR(MATCH(74,'DỮ LIỆU'!$Y$3:$Y$1052,0),"")</f>
        <v/>
      </c>
    </row>
    <row r="91" customFormat="false" ht="15" hidden="false" customHeight="false" outlineLevel="0" collapsed="false">
      <c r="A91" s="21" t="str">
        <f aca="false">IF($J91="","",75)</f>
        <v/>
      </c>
      <c r="B91" s="13" t="str">
        <f aca="false">IF($J91="","",INDEX('DỮ LIỆU'!$A$3:$A$1052,$J91))</f>
        <v/>
      </c>
      <c r="C91" s="41" t="str">
        <f aca="false">IF($J91="","",IF(INDEX('DỮ LIỆU'!$B$3:$B$1052,$J91)="","",INDEX('DỮ LIỆU'!$B$3:$B$1052,$J91)))</f>
        <v/>
      </c>
      <c r="D91" s="21" t="str">
        <f aca="false">IF($J91="","",IF(INDEX('DỮ LIỆU'!$C$3:$C$1052,$J91)="","",INDEX('DỮ LIỆU'!$C$3:$C$1052,$J91)))</f>
        <v/>
      </c>
      <c r="E91" s="21" t="str">
        <f aca="false">IF($J91="","",IF(INDEX('DỮ LIỆU'!$D$3:$D$1052,$J91)="","",INDEX('DỮ LIỆU'!$D$3:$D$1052,$J91)))</f>
        <v/>
      </c>
      <c r="F91" s="21" t="str">
        <f aca="false">IF($J91="","",IF(INDEX('DỮ LIỆU'!$H$3:$H$1052,$J91)="","",INDEX('DỮ LIỆU'!$H$3:$H$1052,$J91)))</f>
        <v/>
      </c>
      <c r="G91" s="13" t="str">
        <f aca="false">IF($J91="","",N(INDEX('DỮ LIỆU'!$I$3:$I$1052,$J91)))</f>
        <v/>
      </c>
      <c r="H91" s="13" t="str">
        <f aca="false">IF($J91="","",N(INDEX('DỮ LIỆU'!$M$3:$M$1052,$J91)))</f>
        <v/>
      </c>
      <c r="I91" s="13" t="str">
        <f aca="false">IF($J91="","",N(INDEX('DỮ LIỆU'!$N$3:$N$1052,$J91)))</f>
        <v/>
      </c>
      <c r="J91" s="0" t="str">
        <f aca="false">IFERROR(MATCH(75,'DỮ LIỆU'!$Y$3:$Y$1052,0),"")</f>
        <v/>
      </c>
    </row>
    <row r="92" customFormat="false" ht="15" hidden="false" customHeight="false" outlineLevel="0" collapsed="false">
      <c r="A92" s="21" t="str">
        <f aca="false">IF($J92="","",76)</f>
        <v/>
      </c>
      <c r="B92" s="13" t="str">
        <f aca="false">IF($J92="","",INDEX('DỮ LIỆU'!$A$3:$A$1052,$J92))</f>
        <v/>
      </c>
      <c r="C92" s="41" t="str">
        <f aca="false">IF($J92="","",IF(INDEX('DỮ LIỆU'!$B$3:$B$1052,$J92)="","",INDEX('DỮ LIỆU'!$B$3:$B$1052,$J92)))</f>
        <v/>
      </c>
      <c r="D92" s="21" t="str">
        <f aca="false">IF($J92="","",IF(INDEX('DỮ LIỆU'!$C$3:$C$1052,$J92)="","",INDEX('DỮ LIỆU'!$C$3:$C$1052,$J92)))</f>
        <v/>
      </c>
      <c r="E92" s="21" t="str">
        <f aca="false">IF($J92="","",IF(INDEX('DỮ LIỆU'!$D$3:$D$1052,$J92)="","",INDEX('DỮ LIỆU'!$D$3:$D$1052,$J92)))</f>
        <v/>
      </c>
      <c r="F92" s="21" t="str">
        <f aca="false">IF($J92="","",IF(INDEX('DỮ LIỆU'!$H$3:$H$1052,$J92)="","",INDEX('DỮ LIỆU'!$H$3:$H$1052,$J92)))</f>
        <v/>
      </c>
      <c r="G92" s="13" t="str">
        <f aca="false">IF($J92="","",N(INDEX('DỮ LIỆU'!$I$3:$I$1052,$J92)))</f>
        <v/>
      </c>
      <c r="H92" s="13" t="str">
        <f aca="false">IF($J92="","",N(INDEX('DỮ LIỆU'!$M$3:$M$1052,$J92)))</f>
        <v/>
      </c>
      <c r="I92" s="13" t="str">
        <f aca="false">IF($J92="","",N(INDEX('DỮ LIỆU'!$N$3:$N$1052,$J92)))</f>
        <v/>
      </c>
      <c r="J92" s="0" t="str">
        <f aca="false">IFERROR(MATCH(76,'DỮ LIỆU'!$Y$3:$Y$1052,0),"")</f>
        <v/>
      </c>
    </row>
    <row r="93" customFormat="false" ht="15" hidden="false" customHeight="false" outlineLevel="0" collapsed="false">
      <c r="A93" s="21" t="str">
        <f aca="false">IF($J93="","",77)</f>
        <v/>
      </c>
      <c r="B93" s="13" t="str">
        <f aca="false">IF($J93="","",INDEX('DỮ LIỆU'!$A$3:$A$1052,$J93))</f>
        <v/>
      </c>
      <c r="C93" s="41" t="str">
        <f aca="false">IF($J93="","",IF(INDEX('DỮ LIỆU'!$B$3:$B$1052,$J93)="","",INDEX('DỮ LIỆU'!$B$3:$B$1052,$J93)))</f>
        <v/>
      </c>
      <c r="D93" s="21" t="str">
        <f aca="false">IF($J93="","",IF(INDEX('DỮ LIỆU'!$C$3:$C$1052,$J93)="","",INDEX('DỮ LIỆU'!$C$3:$C$1052,$J93)))</f>
        <v/>
      </c>
      <c r="E93" s="21" t="str">
        <f aca="false">IF($J93="","",IF(INDEX('DỮ LIỆU'!$D$3:$D$1052,$J93)="","",INDEX('DỮ LIỆU'!$D$3:$D$1052,$J93)))</f>
        <v/>
      </c>
      <c r="F93" s="21" t="str">
        <f aca="false">IF($J93="","",IF(INDEX('DỮ LIỆU'!$H$3:$H$1052,$J93)="","",INDEX('DỮ LIỆU'!$H$3:$H$1052,$J93)))</f>
        <v/>
      </c>
      <c r="G93" s="13" t="str">
        <f aca="false">IF($J93="","",N(INDEX('DỮ LIỆU'!$I$3:$I$1052,$J93)))</f>
        <v/>
      </c>
      <c r="H93" s="13" t="str">
        <f aca="false">IF($J93="","",N(INDEX('DỮ LIỆU'!$M$3:$M$1052,$J93)))</f>
        <v/>
      </c>
      <c r="I93" s="13" t="str">
        <f aca="false">IF($J93="","",N(INDEX('DỮ LIỆU'!$N$3:$N$1052,$J93)))</f>
        <v/>
      </c>
      <c r="J93" s="0" t="str">
        <f aca="false">IFERROR(MATCH(77,'DỮ LIỆU'!$Y$3:$Y$1052,0),"")</f>
        <v/>
      </c>
    </row>
    <row r="94" customFormat="false" ht="15" hidden="false" customHeight="false" outlineLevel="0" collapsed="false">
      <c r="A94" s="21" t="str">
        <f aca="false">IF($J94="","",78)</f>
        <v/>
      </c>
      <c r="B94" s="13" t="str">
        <f aca="false">IF($J94="","",INDEX('DỮ LIỆU'!$A$3:$A$1052,$J94))</f>
        <v/>
      </c>
      <c r="C94" s="41" t="str">
        <f aca="false">IF($J94="","",IF(INDEX('DỮ LIỆU'!$B$3:$B$1052,$J94)="","",INDEX('DỮ LIỆU'!$B$3:$B$1052,$J94)))</f>
        <v/>
      </c>
      <c r="D94" s="21" t="str">
        <f aca="false">IF($J94="","",IF(INDEX('DỮ LIỆU'!$C$3:$C$1052,$J94)="","",INDEX('DỮ LIỆU'!$C$3:$C$1052,$J94)))</f>
        <v/>
      </c>
      <c r="E94" s="21" t="str">
        <f aca="false">IF($J94="","",IF(INDEX('DỮ LIỆU'!$D$3:$D$1052,$J94)="","",INDEX('DỮ LIỆU'!$D$3:$D$1052,$J94)))</f>
        <v/>
      </c>
      <c r="F94" s="21" t="str">
        <f aca="false">IF($J94="","",IF(INDEX('DỮ LIỆU'!$H$3:$H$1052,$J94)="","",INDEX('DỮ LIỆU'!$H$3:$H$1052,$J94)))</f>
        <v/>
      </c>
      <c r="G94" s="13" t="str">
        <f aca="false">IF($J94="","",N(INDEX('DỮ LIỆU'!$I$3:$I$1052,$J94)))</f>
        <v/>
      </c>
      <c r="H94" s="13" t="str">
        <f aca="false">IF($J94="","",N(INDEX('DỮ LIỆU'!$M$3:$M$1052,$J94)))</f>
        <v/>
      </c>
      <c r="I94" s="13" t="str">
        <f aca="false">IF($J94="","",N(INDEX('DỮ LIỆU'!$N$3:$N$1052,$J94)))</f>
        <v/>
      </c>
      <c r="J94" s="0" t="str">
        <f aca="false">IFERROR(MATCH(78,'DỮ LIỆU'!$Y$3:$Y$1052,0),"")</f>
        <v/>
      </c>
    </row>
    <row r="95" customFormat="false" ht="15" hidden="false" customHeight="false" outlineLevel="0" collapsed="false">
      <c r="A95" s="21" t="str">
        <f aca="false">IF($J95="","",79)</f>
        <v/>
      </c>
      <c r="B95" s="13" t="str">
        <f aca="false">IF($J95="","",INDEX('DỮ LIỆU'!$A$3:$A$1052,$J95))</f>
        <v/>
      </c>
      <c r="C95" s="41" t="str">
        <f aca="false">IF($J95="","",IF(INDEX('DỮ LIỆU'!$B$3:$B$1052,$J95)="","",INDEX('DỮ LIỆU'!$B$3:$B$1052,$J95)))</f>
        <v/>
      </c>
      <c r="D95" s="21" t="str">
        <f aca="false">IF($J95="","",IF(INDEX('DỮ LIỆU'!$C$3:$C$1052,$J95)="","",INDEX('DỮ LIỆU'!$C$3:$C$1052,$J95)))</f>
        <v/>
      </c>
      <c r="E95" s="21" t="str">
        <f aca="false">IF($J95="","",IF(INDEX('DỮ LIỆU'!$D$3:$D$1052,$J95)="","",INDEX('DỮ LIỆU'!$D$3:$D$1052,$J95)))</f>
        <v/>
      </c>
      <c r="F95" s="21" t="str">
        <f aca="false">IF($J95="","",IF(INDEX('DỮ LIỆU'!$H$3:$H$1052,$J95)="","",INDEX('DỮ LIỆU'!$H$3:$H$1052,$J95)))</f>
        <v/>
      </c>
      <c r="G95" s="13" t="str">
        <f aca="false">IF($J95="","",N(INDEX('DỮ LIỆU'!$I$3:$I$1052,$J95)))</f>
        <v/>
      </c>
      <c r="H95" s="13" t="str">
        <f aca="false">IF($J95="","",N(INDEX('DỮ LIỆU'!$M$3:$M$1052,$J95)))</f>
        <v/>
      </c>
      <c r="I95" s="13" t="str">
        <f aca="false">IF($J95="","",N(INDEX('DỮ LIỆU'!$N$3:$N$1052,$J95)))</f>
        <v/>
      </c>
      <c r="J95" s="0" t="str">
        <f aca="false">IFERROR(MATCH(79,'DỮ LIỆU'!$Y$3:$Y$1052,0),"")</f>
        <v/>
      </c>
    </row>
    <row r="96" customFormat="false" ht="15" hidden="false" customHeight="false" outlineLevel="0" collapsed="false">
      <c r="A96" s="21" t="str">
        <f aca="false">IF($J96="","",80)</f>
        <v/>
      </c>
      <c r="B96" s="13" t="str">
        <f aca="false">IF($J96="","",INDEX('DỮ LIỆU'!$A$3:$A$1052,$J96))</f>
        <v/>
      </c>
      <c r="C96" s="41" t="str">
        <f aca="false">IF($J96="","",IF(INDEX('DỮ LIỆU'!$B$3:$B$1052,$J96)="","",INDEX('DỮ LIỆU'!$B$3:$B$1052,$J96)))</f>
        <v/>
      </c>
      <c r="D96" s="21" t="str">
        <f aca="false">IF($J96="","",IF(INDEX('DỮ LIỆU'!$C$3:$C$1052,$J96)="","",INDEX('DỮ LIỆU'!$C$3:$C$1052,$J96)))</f>
        <v/>
      </c>
      <c r="E96" s="21" t="str">
        <f aca="false">IF($J96="","",IF(INDEX('DỮ LIỆU'!$D$3:$D$1052,$J96)="","",INDEX('DỮ LIỆU'!$D$3:$D$1052,$J96)))</f>
        <v/>
      </c>
      <c r="F96" s="21" t="str">
        <f aca="false">IF($J96="","",IF(INDEX('DỮ LIỆU'!$H$3:$H$1052,$J96)="","",INDEX('DỮ LIỆU'!$H$3:$H$1052,$J96)))</f>
        <v/>
      </c>
      <c r="G96" s="13" t="str">
        <f aca="false">IF($J96="","",N(INDEX('DỮ LIỆU'!$I$3:$I$1052,$J96)))</f>
        <v/>
      </c>
      <c r="H96" s="13" t="str">
        <f aca="false">IF($J96="","",N(INDEX('DỮ LIỆU'!$M$3:$M$1052,$J96)))</f>
        <v/>
      </c>
      <c r="I96" s="13" t="str">
        <f aca="false">IF($J96="","",N(INDEX('DỮ LIỆU'!$N$3:$N$1052,$J96)))</f>
        <v/>
      </c>
      <c r="J96" s="0" t="str">
        <f aca="false">IFERROR(MATCH(80,'DỮ LIỆU'!$Y$3:$Y$1052,0),"")</f>
        <v/>
      </c>
    </row>
    <row r="97" customFormat="false" ht="15" hidden="false" customHeight="false" outlineLevel="0" collapsed="false">
      <c r="A97" s="21" t="str">
        <f aca="false">IF($J97="","",81)</f>
        <v/>
      </c>
      <c r="B97" s="13" t="str">
        <f aca="false">IF($J97="","",INDEX('DỮ LIỆU'!$A$3:$A$1052,$J97))</f>
        <v/>
      </c>
      <c r="C97" s="41" t="str">
        <f aca="false">IF($J97="","",IF(INDEX('DỮ LIỆU'!$B$3:$B$1052,$J97)="","",INDEX('DỮ LIỆU'!$B$3:$B$1052,$J97)))</f>
        <v/>
      </c>
      <c r="D97" s="21" t="str">
        <f aca="false">IF($J97="","",IF(INDEX('DỮ LIỆU'!$C$3:$C$1052,$J97)="","",INDEX('DỮ LIỆU'!$C$3:$C$1052,$J97)))</f>
        <v/>
      </c>
      <c r="E97" s="21" t="str">
        <f aca="false">IF($J97="","",IF(INDEX('DỮ LIỆU'!$D$3:$D$1052,$J97)="","",INDEX('DỮ LIỆU'!$D$3:$D$1052,$J97)))</f>
        <v/>
      </c>
      <c r="F97" s="21" t="str">
        <f aca="false">IF($J97="","",IF(INDEX('DỮ LIỆU'!$H$3:$H$1052,$J97)="","",INDEX('DỮ LIỆU'!$H$3:$H$1052,$J97)))</f>
        <v/>
      </c>
      <c r="G97" s="13" t="str">
        <f aca="false">IF($J97="","",N(INDEX('DỮ LIỆU'!$I$3:$I$1052,$J97)))</f>
        <v/>
      </c>
      <c r="H97" s="13" t="str">
        <f aca="false">IF($J97="","",N(INDEX('DỮ LIỆU'!$M$3:$M$1052,$J97)))</f>
        <v/>
      </c>
      <c r="I97" s="13" t="str">
        <f aca="false">IF($J97="","",N(INDEX('DỮ LIỆU'!$N$3:$N$1052,$J97)))</f>
        <v/>
      </c>
      <c r="J97" s="0" t="str">
        <f aca="false">IFERROR(MATCH(81,'DỮ LIỆU'!$Y$3:$Y$1052,0),"")</f>
        <v/>
      </c>
    </row>
    <row r="98" customFormat="false" ht="15" hidden="false" customHeight="false" outlineLevel="0" collapsed="false">
      <c r="A98" s="21" t="str">
        <f aca="false">IF($J98="","",82)</f>
        <v/>
      </c>
      <c r="B98" s="13" t="str">
        <f aca="false">IF($J98="","",INDEX('DỮ LIỆU'!$A$3:$A$1052,$J98))</f>
        <v/>
      </c>
      <c r="C98" s="41" t="str">
        <f aca="false">IF($J98="","",IF(INDEX('DỮ LIỆU'!$B$3:$B$1052,$J98)="","",INDEX('DỮ LIỆU'!$B$3:$B$1052,$J98)))</f>
        <v/>
      </c>
      <c r="D98" s="21" t="str">
        <f aca="false">IF($J98="","",IF(INDEX('DỮ LIỆU'!$C$3:$C$1052,$J98)="","",INDEX('DỮ LIỆU'!$C$3:$C$1052,$J98)))</f>
        <v/>
      </c>
      <c r="E98" s="21" t="str">
        <f aca="false">IF($J98="","",IF(INDEX('DỮ LIỆU'!$D$3:$D$1052,$J98)="","",INDEX('DỮ LIỆU'!$D$3:$D$1052,$J98)))</f>
        <v/>
      </c>
      <c r="F98" s="21" t="str">
        <f aca="false">IF($J98="","",IF(INDEX('DỮ LIỆU'!$H$3:$H$1052,$J98)="","",INDEX('DỮ LIỆU'!$H$3:$H$1052,$J98)))</f>
        <v/>
      </c>
      <c r="G98" s="13" t="str">
        <f aca="false">IF($J98="","",N(INDEX('DỮ LIỆU'!$I$3:$I$1052,$J98)))</f>
        <v/>
      </c>
      <c r="H98" s="13" t="str">
        <f aca="false">IF($J98="","",N(INDEX('DỮ LIỆU'!$M$3:$M$1052,$J98)))</f>
        <v/>
      </c>
      <c r="I98" s="13" t="str">
        <f aca="false">IF($J98="","",N(INDEX('DỮ LIỆU'!$N$3:$N$1052,$J98)))</f>
        <v/>
      </c>
      <c r="J98" s="0" t="str">
        <f aca="false">IFERROR(MATCH(82,'DỮ LIỆU'!$Y$3:$Y$1052,0),"")</f>
        <v/>
      </c>
    </row>
    <row r="99" customFormat="false" ht="15" hidden="false" customHeight="false" outlineLevel="0" collapsed="false">
      <c r="A99" s="21" t="str">
        <f aca="false">IF($J99="","",83)</f>
        <v/>
      </c>
      <c r="B99" s="13" t="str">
        <f aca="false">IF($J99="","",INDEX('DỮ LIỆU'!$A$3:$A$1052,$J99))</f>
        <v/>
      </c>
      <c r="C99" s="41" t="str">
        <f aca="false">IF($J99="","",IF(INDEX('DỮ LIỆU'!$B$3:$B$1052,$J99)="","",INDEX('DỮ LIỆU'!$B$3:$B$1052,$J99)))</f>
        <v/>
      </c>
      <c r="D99" s="21" t="str">
        <f aca="false">IF($J99="","",IF(INDEX('DỮ LIỆU'!$C$3:$C$1052,$J99)="","",INDEX('DỮ LIỆU'!$C$3:$C$1052,$J99)))</f>
        <v/>
      </c>
      <c r="E99" s="21" t="str">
        <f aca="false">IF($J99="","",IF(INDEX('DỮ LIỆU'!$D$3:$D$1052,$J99)="","",INDEX('DỮ LIỆU'!$D$3:$D$1052,$J99)))</f>
        <v/>
      </c>
      <c r="F99" s="21" t="str">
        <f aca="false">IF($J99="","",IF(INDEX('DỮ LIỆU'!$H$3:$H$1052,$J99)="","",INDEX('DỮ LIỆU'!$H$3:$H$1052,$J99)))</f>
        <v/>
      </c>
      <c r="G99" s="13" t="str">
        <f aca="false">IF($J99="","",N(INDEX('DỮ LIỆU'!$I$3:$I$1052,$J99)))</f>
        <v/>
      </c>
      <c r="H99" s="13" t="str">
        <f aca="false">IF($J99="","",N(INDEX('DỮ LIỆU'!$M$3:$M$1052,$J99)))</f>
        <v/>
      </c>
      <c r="I99" s="13" t="str">
        <f aca="false">IF($J99="","",N(INDEX('DỮ LIỆU'!$N$3:$N$1052,$J99)))</f>
        <v/>
      </c>
      <c r="J99" s="0" t="str">
        <f aca="false">IFERROR(MATCH(83,'DỮ LIỆU'!$Y$3:$Y$1052,0),"")</f>
        <v/>
      </c>
    </row>
    <row r="100" customFormat="false" ht="15" hidden="false" customHeight="false" outlineLevel="0" collapsed="false">
      <c r="A100" s="21" t="str">
        <f aca="false">IF($J100="","",84)</f>
        <v/>
      </c>
      <c r="B100" s="13" t="str">
        <f aca="false">IF($J100="","",INDEX('DỮ LIỆU'!$A$3:$A$1052,$J100))</f>
        <v/>
      </c>
      <c r="C100" s="41" t="str">
        <f aca="false">IF($J100="","",IF(INDEX('DỮ LIỆU'!$B$3:$B$1052,$J100)="","",INDEX('DỮ LIỆU'!$B$3:$B$1052,$J100)))</f>
        <v/>
      </c>
      <c r="D100" s="21" t="str">
        <f aca="false">IF($J100="","",IF(INDEX('DỮ LIỆU'!$C$3:$C$1052,$J100)="","",INDEX('DỮ LIỆU'!$C$3:$C$1052,$J100)))</f>
        <v/>
      </c>
      <c r="E100" s="21" t="str">
        <f aca="false">IF($J100="","",IF(INDEX('DỮ LIỆU'!$D$3:$D$1052,$J100)="","",INDEX('DỮ LIỆU'!$D$3:$D$1052,$J100)))</f>
        <v/>
      </c>
      <c r="F100" s="21" t="str">
        <f aca="false">IF($J100="","",IF(INDEX('DỮ LIỆU'!$H$3:$H$1052,$J100)="","",INDEX('DỮ LIỆU'!$H$3:$H$1052,$J100)))</f>
        <v/>
      </c>
      <c r="G100" s="13" t="str">
        <f aca="false">IF($J100="","",N(INDEX('DỮ LIỆU'!$I$3:$I$1052,$J100)))</f>
        <v/>
      </c>
      <c r="H100" s="13" t="str">
        <f aca="false">IF($J100="","",N(INDEX('DỮ LIỆU'!$M$3:$M$1052,$J100)))</f>
        <v/>
      </c>
      <c r="I100" s="13" t="str">
        <f aca="false">IF($J100="","",N(INDEX('DỮ LIỆU'!$N$3:$N$1052,$J100)))</f>
        <v/>
      </c>
      <c r="J100" s="0" t="str">
        <f aca="false">IFERROR(MATCH(84,'DỮ LIỆU'!$Y$3:$Y$1052,0),"")</f>
        <v/>
      </c>
    </row>
    <row r="101" customFormat="false" ht="15" hidden="false" customHeight="false" outlineLevel="0" collapsed="false">
      <c r="A101" s="21" t="str">
        <f aca="false">IF($J101="","",85)</f>
        <v/>
      </c>
      <c r="B101" s="13" t="str">
        <f aca="false">IF($J101="","",INDEX('DỮ LIỆU'!$A$3:$A$1052,$J101))</f>
        <v/>
      </c>
      <c r="C101" s="41" t="str">
        <f aca="false">IF($J101="","",IF(INDEX('DỮ LIỆU'!$B$3:$B$1052,$J101)="","",INDEX('DỮ LIỆU'!$B$3:$B$1052,$J101)))</f>
        <v/>
      </c>
      <c r="D101" s="21" t="str">
        <f aca="false">IF($J101="","",IF(INDEX('DỮ LIỆU'!$C$3:$C$1052,$J101)="","",INDEX('DỮ LIỆU'!$C$3:$C$1052,$J101)))</f>
        <v/>
      </c>
      <c r="E101" s="21" t="str">
        <f aca="false">IF($J101="","",IF(INDEX('DỮ LIỆU'!$D$3:$D$1052,$J101)="","",INDEX('DỮ LIỆU'!$D$3:$D$1052,$J101)))</f>
        <v/>
      </c>
      <c r="F101" s="21" t="str">
        <f aca="false">IF($J101="","",IF(INDEX('DỮ LIỆU'!$H$3:$H$1052,$J101)="","",INDEX('DỮ LIỆU'!$H$3:$H$1052,$J101)))</f>
        <v/>
      </c>
      <c r="G101" s="13" t="str">
        <f aca="false">IF($J101="","",N(INDEX('DỮ LIỆU'!$I$3:$I$1052,$J101)))</f>
        <v/>
      </c>
      <c r="H101" s="13" t="str">
        <f aca="false">IF($J101="","",N(INDEX('DỮ LIỆU'!$M$3:$M$1052,$J101)))</f>
        <v/>
      </c>
      <c r="I101" s="13" t="str">
        <f aca="false">IF($J101="","",N(INDEX('DỮ LIỆU'!$N$3:$N$1052,$J101)))</f>
        <v/>
      </c>
      <c r="J101" s="0" t="str">
        <f aca="false">IFERROR(MATCH(85,'DỮ LIỆU'!$Y$3:$Y$1052,0),"")</f>
        <v/>
      </c>
    </row>
    <row r="102" customFormat="false" ht="15" hidden="false" customHeight="false" outlineLevel="0" collapsed="false">
      <c r="A102" s="21" t="str">
        <f aca="false">IF($J102="","",86)</f>
        <v/>
      </c>
      <c r="B102" s="13" t="str">
        <f aca="false">IF($J102="","",INDEX('DỮ LIỆU'!$A$3:$A$1052,$J102))</f>
        <v/>
      </c>
      <c r="C102" s="41" t="str">
        <f aca="false">IF($J102="","",IF(INDEX('DỮ LIỆU'!$B$3:$B$1052,$J102)="","",INDEX('DỮ LIỆU'!$B$3:$B$1052,$J102)))</f>
        <v/>
      </c>
      <c r="D102" s="21" t="str">
        <f aca="false">IF($J102="","",IF(INDEX('DỮ LIỆU'!$C$3:$C$1052,$J102)="","",INDEX('DỮ LIỆU'!$C$3:$C$1052,$J102)))</f>
        <v/>
      </c>
      <c r="E102" s="21" t="str">
        <f aca="false">IF($J102="","",IF(INDEX('DỮ LIỆU'!$D$3:$D$1052,$J102)="","",INDEX('DỮ LIỆU'!$D$3:$D$1052,$J102)))</f>
        <v/>
      </c>
      <c r="F102" s="21" t="str">
        <f aca="false">IF($J102="","",IF(INDEX('DỮ LIỆU'!$H$3:$H$1052,$J102)="","",INDEX('DỮ LIỆU'!$H$3:$H$1052,$J102)))</f>
        <v/>
      </c>
      <c r="G102" s="13" t="str">
        <f aca="false">IF($J102="","",N(INDEX('DỮ LIỆU'!$I$3:$I$1052,$J102)))</f>
        <v/>
      </c>
      <c r="H102" s="13" t="str">
        <f aca="false">IF($J102="","",N(INDEX('DỮ LIỆU'!$M$3:$M$1052,$J102)))</f>
        <v/>
      </c>
      <c r="I102" s="13" t="str">
        <f aca="false">IF($J102="","",N(INDEX('DỮ LIỆU'!$N$3:$N$1052,$J102)))</f>
        <v/>
      </c>
      <c r="J102" s="0" t="str">
        <f aca="false">IFERROR(MATCH(86,'DỮ LIỆU'!$Y$3:$Y$1052,0),"")</f>
        <v/>
      </c>
    </row>
    <row r="103" customFormat="false" ht="15" hidden="false" customHeight="false" outlineLevel="0" collapsed="false">
      <c r="A103" s="21" t="str">
        <f aca="false">IF($J103="","",87)</f>
        <v/>
      </c>
      <c r="B103" s="13" t="str">
        <f aca="false">IF($J103="","",INDEX('DỮ LIỆU'!$A$3:$A$1052,$J103))</f>
        <v/>
      </c>
      <c r="C103" s="41" t="str">
        <f aca="false">IF($J103="","",IF(INDEX('DỮ LIỆU'!$B$3:$B$1052,$J103)="","",INDEX('DỮ LIỆU'!$B$3:$B$1052,$J103)))</f>
        <v/>
      </c>
      <c r="D103" s="21" t="str">
        <f aca="false">IF($J103="","",IF(INDEX('DỮ LIỆU'!$C$3:$C$1052,$J103)="","",INDEX('DỮ LIỆU'!$C$3:$C$1052,$J103)))</f>
        <v/>
      </c>
      <c r="E103" s="21" t="str">
        <f aca="false">IF($J103="","",IF(INDEX('DỮ LIỆU'!$D$3:$D$1052,$J103)="","",INDEX('DỮ LIỆU'!$D$3:$D$1052,$J103)))</f>
        <v/>
      </c>
      <c r="F103" s="21" t="str">
        <f aca="false">IF($J103="","",IF(INDEX('DỮ LIỆU'!$H$3:$H$1052,$J103)="","",INDEX('DỮ LIỆU'!$H$3:$H$1052,$J103)))</f>
        <v/>
      </c>
      <c r="G103" s="13" t="str">
        <f aca="false">IF($J103="","",N(INDEX('DỮ LIỆU'!$I$3:$I$1052,$J103)))</f>
        <v/>
      </c>
      <c r="H103" s="13" t="str">
        <f aca="false">IF($J103="","",N(INDEX('DỮ LIỆU'!$M$3:$M$1052,$J103)))</f>
        <v/>
      </c>
      <c r="I103" s="13" t="str">
        <f aca="false">IF($J103="","",N(INDEX('DỮ LIỆU'!$N$3:$N$1052,$J103)))</f>
        <v/>
      </c>
      <c r="J103" s="0" t="str">
        <f aca="false">IFERROR(MATCH(87,'DỮ LIỆU'!$Y$3:$Y$1052,0),"")</f>
        <v/>
      </c>
    </row>
    <row r="104" customFormat="false" ht="15" hidden="false" customHeight="false" outlineLevel="0" collapsed="false">
      <c r="A104" s="21" t="str">
        <f aca="false">IF($J104="","",88)</f>
        <v/>
      </c>
      <c r="B104" s="13" t="str">
        <f aca="false">IF($J104="","",INDEX('DỮ LIỆU'!$A$3:$A$1052,$J104))</f>
        <v/>
      </c>
      <c r="C104" s="41" t="str">
        <f aca="false">IF($J104="","",IF(INDEX('DỮ LIỆU'!$B$3:$B$1052,$J104)="","",INDEX('DỮ LIỆU'!$B$3:$B$1052,$J104)))</f>
        <v/>
      </c>
      <c r="D104" s="21" t="str">
        <f aca="false">IF($J104="","",IF(INDEX('DỮ LIỆU'!$C$3:$C$1052,$J104)="","",INDEX('DỮ LIỆU'!$C$3:$C$1052,$J104)))</f>
        <v/>
      </c>
      <c r="E104" s="21" t="str">
        <f aca="false">IF($J104="","",IF(INDEX('DỮ LIỆU'!$D$3:$D$1052,$J104)="","",INDEX('DỮ LIỆU'!$D$3:$D$1052,$J104)))</f>
        <v/>
      </c>
      <c r="F104" s="21" t="str">
        <f aca="false">IF($J104="","",IF(INDEX('DỮ LIỆU'!$H$3:$H$1052,$J104)="","",INDEX('DỮ LIỆU'!$H$3:$H$1052,$J104)))</f>
        <v/>
      </c>
      <c r="G104" s="13" t="str">
        <f aca="false">IF($J104="","",N(INDEX('DỮ LIỆU'!$I$3:$I$1052,$J104)))</f>
        <v/>
      </c>
      <c r="H104" s="13" t="str">
        <f aca="false">IF($J104="","",N(INDEX('DỮ LIỆU'!$M$3:$M$1052,$J104)))</f>
        <v/>
      </c>
      <c r="I104" s="13" t="str">
        <f aca="false">IF($J104="","",N(INDEX('DỮ LIỆU'!$N$3:$N$1052,$J104)))</f>
        <v/>
      </c>
      <c r="J104" s="0" t="str">
        <f aca="false">IFERROR(MATCH(88,'DỮ LIỆU'!$Y$3:$Y$1052,0),"")</f>
        <v/>
      </c>
    </row>
    <row r="105" customFormat="false" ht="15" hidden="false" customHeight="false" outlineLevel="0" collapsed="false">
      <c r="A105" s="21" t="str">
        <f aca="false">IF($J105="","",89)</f>
        <v/>
      </c>
      <c r="B105" s="13" t="str">
        <f aca="false">IF($J105="","",INDEX('DỮ LIỆU'!$A$3:$A$1052,$J105))</f>
        <v/>
      </c>
      <c r="C105" s="41" t="str">
        <f aca="false">IF($J105="","",IF(INDEX('DỮ LIỆU'!$B$3:$B$1052,$J105)="","",INDEX('DỮ LIỆU'!$B$3:$B$1052,$J105)))</f>
        <v/>
      </c>
      <c r="D105" s="21" t="str">
        <f aca="false">IF($J105="","",IF(INDEX('DỮ LIỆU'!$C$3:$C$1052,$J105)="","",INDEX('DỮ LIỆU'!$C$3:$C$1052,$J105)))</f>
        <v/>
      </c>
      <c r="E105" s="21" t="str">
        <f aca="false">IF($J105="","",IF(INDEX('DỮ LIỆU'!$D$3:$D$1052,$J105)="","",INDEX('DỮ LIỆU'!$D$3:$D$1052,$J105)))</f>
        <v/>
      </c>
      <c r="F105" s="21" t="str">
        <f aca="false">IF($J105="","",IF(INDEX('DỮ LIỆU'!$H$3:$H$1052,$J105)="","",INDEX('DỮ LIỆU'!$H$3:$H$1052,$J105)))</f>
        <v/>
      </c>
      <c r="G105" s="13" t="str">
        <f aca="false">IF($J105="","",N(INDEX('DỮ LIỆU'!$I$3:$I$1052,$J105)))</f>
        <v/>
      </c>
      <c r="H105" s="13" t="str">
        <f aca="false">IF($J105="","",N(INDEX('DỮ LIỆU'!$M$3:$M$1052,$J105)))</f>
        <v/>
      </c>
      <c r="I105" s="13" t="str">
        <f aca="false">IF($J105="","",N(INDEX('DỮ LIỆU'!$N$3:$N$1052,$J105)))</f>
        <v/>
      </c>
      <c r="J105" s="0" t="str">
        <f aca="false">IFERROR(MATCH(89,'DỮ LIỆU'!$Y$3:$Y$1052,0),"")</f>
        <v/>
      </c>
    </row>
    <row r="106" customFormat="false" ht="15" hidden="false" customHeight="false" outlineLevel="0" collapsed="false">
      <c r="A106" s="21" t="str">
        <f aca="false">IF($J106="","",90)</f>
        <v/>
      </c>
      <c r="B106" s="13" t="str">
        <f aca="false">IF($J106="","",INDEX('DỮ LIỆU'!$A$3:$A$1052,$J106))</f>
        <v/>
      </c>
      <c r="C106" s="41" t="str">
        <f aca="false">IF($J106="","",IF(INDEX('DỮ LIỆU'!$B$3:$B$1052,$J106)="","",INDEX('DỮ LIỆU'!$B$3:$B$1052,$J106)))</f>
        <v/>
      </c>
      <c r="D106" s="21" t="str">
        <f aca="false">IF($J106="","",IF(INDEX('DỮ LIỆU'!$C$3:$C$1052,$J106)="","",INDEX('DỮ LIỆU'!$C$3:$C$1052,$J106)))</f>
        <v/>
      </c>
      <c r="E106" s="21" t="str">
        <f aca="false">IF($J106="","",IF(INDEX('DỮ LIỆU'!$D$3:$D$1052,$J106)="","",INDEX('DỮ LIỆU'!$D$3:$D$1052,$J106)))</f>
        <v/>
      </c>
      <c r="F106" s="21" t="str">
        <f aca="false">IF($J106="","",IF(INDEX('DỮ LIỆU'!$H$3:$H$1052,$J106)="","",INDEX('DỮ LIỆU'!$H$3:$H$1052,$J106)))</f>
        <v/>
      </c>
      <c r="G106" s="13" t="str">
        <f aca="false">IF($J106="","",N(INDEX('DỮ LIỆU'!$I$3:$I$1052,$J106)))</f>
        <v/>
      </c>
      <c r="H106" s="13" t="str">
        <f aca="false">IF($J106="","",N(INDEX('DỮ LIỆU'!$M$3:$M$1052,$J106)))</f>
        <v/>
      </c>
      <c r="I106" s="13" t="str">
        <f aca="false">IF($J106="","",N(INDEX('DỮ LIỆU'!$N$3:$N$1052,$J106)))</f>
        <v/>
      </c>
      <c r="J106" s="0" t="str">
        <f aca="false">IFERROR(MATCH(90,'DỮ LIỆU'!$Y$3:$Y$1052,0),"")</f>
        <v/>
      </c>
    </row>
    <row r="107" customFormat="false" ht="15" hidden="false" customHeight="false" outlineLevel="0" collapsed="false">
      <c r="A107" s="21" t="str">
        <f aca="false">IF($J107="","",91)</f>
        <v/>
      </c>
      <c r="B107" s="13" t="str">
        <f aca="false">IF($J107="","",INDEX('DỮ LIỆU'!$A$3:$A$1052,$J107))</f>
        <v/>
      </c>
      <c r="C107" s="41" t="str">
        <f aca="false">IF($J107="","",IF(INDEX('DỮ LIỆU'!$B$3:$B$1052,$J107)="","",INDEX('DỮ LIỆU'!$B$3:$B$1052,$J107)))</f>
        <v/>
      </c>
      <c r="D107" s="21" t="str">
        <f aca="false">IF($J107="","",IF(INDEX('DỮ LIỆU'!$C$3:$C$1052,$J107)="","",INDEX('DỮ LIỆU'!$C$3:$C$1052,$J107)))</f>
        <v/>
      </c>
      <c r="E107" s="21" t="str">
        <f aca="false">IF($J107="","",IF(INDEX('DỮ LIỆU'!$D$3:$D$1052,$J107)="","",INDEX('DỮ LIỆU'!$D$3:$D$1052,$J107)))</f>
        <v/>
      </c>
      <c r="F107" s="21" t="str">
        <f aca="false">IF($J107="","",IF(INDEX('DỮ LIỆU'!$H$3:$H$1052,$J107)="","",INDEX('DỮ LIỆU'!$H$3:$H$1052,$J107)))</f>
        <v/>
      </c>
      <c r="G107" s="13" t="str">
        <f aca="false">IF($J107="","",N(INDEX('DỮ LIỆU'!$I$3:$I$1052,$J107)))</f>
        <v/>
      </c>
      <c r="H107" s="13" t="str">
        <f aca="false">IF($J107="","",N(INDEX('DỮ LIỆU'!$M$3:$M$1052,$J107)))</f>
        <v/>
      </c>
      <c r="I107" s="13" t="str">
        <f aca="false">IF($J107="","",N(INDEX('DỮ LIỆU'!$N$3:$N$1052,$J107)))</f>
        <v/>
      </c>
      <c r="J107" s="0" t="str">
        <f aca="false">IFERROR(MATCH(91,'DỮ LIỆU'!$Y$3:$Y$1052,0),"")</f>
        <v/>
      </c>
    </row>
    <row r="108" customFormat="false" ht="15" hidden="false" customHeight="false" outlineLevel="0" collapsed="false">
      <c r="A108" s="21" t="str">
        <f aca="false">IF($J108="","",92)</f>
        <v/>
      </c>
      <c r="B108" s="13" t="str">
        <f aca="false">IF($J108="","",INDEX('DỮ LIỆU'!$A$3:$A$1052,$J108))</f>
        <v/>
      </c>
      <c r="C108" s="41" t="str">
        <f aca="false">IF($J108="","",IF(INDEX('DỮ LIỆU'!$B$3:$B$1052,$J108)="","",INDEX('DỮ LIỆU'!$B$3:$B$1052,$J108)))</f>
        <v/>
      </c>
      <c r="D108" s="21" t="str">
        <f aca="false">IF($J108="","",IF(INDEX('DỮ LIỆU'!$C$3:$C$1052,$J108)="","",INDEX('DỮ LIỆU'!$C$3:$C$1052,$J108)))</f>
        <v/>
      </c>
      <c r="E108" s="21" t="str">
        <f aca="false">IF($J108="","",IF(INDEX('DỮ LIỆU'!$D$3:$D$1052,$J108)="","",INDEX('DỮ LIỆU'!$D$3:$D$1052,$J108)))</f>
        <v/>
      </c>
      <c r="F108" s="21" t="str">
        <f aca="false">IF($J108="","",IF(INDEX('DỮ LIỆU'!$H$3:$H$1052,$J108)="","",INDEX('DỮ LIỆU'!$H$3:$H$1052,$J108)))</f>
        <v/>
      </c>
      <c r="G108" s="13" t="str">
        <f aca="false">IF($J108="","",N(INDEX('DỮ LIỆU'!$I$3:$I$1052,$J108)))</f>
        <v/>
      </c>
      <c r="H108" s="13" t="str">
        <f aca="false">IF($J108="","",N(INDEX('DỮ LIỆU'!$M$3:$M$1052,$J108)))</f>
        <v/>
      </c>
      <c r="I108" s="13" t="str">
        <f aca="false">IF($J108="","",N(INDEX('DỮ LIỆU'!$N$3:$N$1052,$J108)))</f>
        <v/>
      </c>
      <c r="J108" s="0" t="str">
        <f aca="false">IFERROR(MATCH(92,'DỮ LIỆU'!$Y$3:$Y$1052,0),"")</f>
        <v/>
      </c>
    </row>
    <row r="109" customFormat="false" ht="15" hidden="false" customHeight="false" outlineLevel="0" collapsed="false">
      <c r="A109" s="21" t="str">
        <f aca="false">IF($J109="","",93)</f>
        <v/>
      </c>
      <c r="B109" s="13" t="str">
        <f aca="false">IF($J109="","",INDEX('DỮ LIỆU'!$A$3:$A$1052,$J109))</f>
        <v/>
      </c>
      <c r="C109" s="41" t="str">
        <f aca="false">IF($J109="","",IF(INDEX('DỮ LIỆU'!$B$3:$B$1052,$J109)="","",INDEX('DỮ LIỆU'!$B$3:$B$1052,$J109)))</f>
        <v/>
      </c>
      <c r="D109" s="21" t="str">
        <f aca="false">IF($J109="","",IF(INDEX('DỮ LIỆU'!$C$3:$C$1052,$J109)="","",INDEX('DỮ LIỆU'!$C$3:$C$1052,$J109)))</f>
        <v/>
      </c>
      <c r="E109" s="21" t="str">
        <f aca="false">IF($J109="","",IF(INDEX('DỮ LIỆU'!$D$3:$D$1052,$J109)="","",INDEX('DỮ LIỆU'!$D$3:$D$1052,$J109)))</f>
        <v/>
      </c>
      <c r="F109" s="21" t="str">
        <f aca="false">IF($J109="","",IF(INDEX('DỮ LIỆU'!$H$3:$H$1052,$J109)="","",INDEX('DỮ LIỆU'!$H$3:$H$1052,$J109)))</f>
        <v/>
      </c>
      <c r="G109" s="13" t="str">
        <f aca="false">IF($J109="","",N(INDEX('DỮ LIỆU'!$I$3:$I$1052,$J109)))</f>
        <v/>
      </c>
      <c r="H109" s="13" t="str">
        <f aca="false">IF($J109="","",N(INDEX('DỮ LIỆU'!$M$3:$M$1052,$J109)))</f>
        <v/>
      </c>
      <c r="I109" s="13" t="str">
        <f aca="false">IF($J109="","",N(INDEX('DỮ LIỆU'!$N$3:$N$1052,$J109)))</f>
        <v/>
      </c>
      <c r="J109" s="0" t="str">
        <f aca="false">IFERROR(MATCH(93,'DỮ LIỆU'!$Y$3:$Y$1052,0),"")</f>
        <v/>
      </c>
    </row>
    <row r="110" customFormat="false" ht="15" hidden="false" customHeight="false" outlineLevel="0" collapsed="false">
      <c r="A110" s="21" t="str">
        <f aca="false">IF($J110="","",94)</f>
        <v/>
      </c>
      <c r="B110" s="13" t="str">
        <f aca="false">IF($J110="","",INDEX('DỮ LIỆU'!$A$3:$A$1052,$J110))</f>
        <v/>
      </c>
      <c r="C110" s="41" t="str">
        <f aca="false">IF($J110="","",IF(INDEX('DỮ LIỆU'!$B$3:$B$1052,$J110)="","",INDEX('DỮ LIỆU'!$B$3:$B$1052,$J110)))</f>
        <v/>
      </c>
      <c r="D110" s="21" t="str">
        <f aca="false">IF($J110="","",IF(INDEX('DỮ LIỆU'!$C$3:$C$1052,$J110)="","",INDEX('DỮ LIỆU'!$C$3:$C$1052,$J110)))</f>
        <v/>
      </c>
      <c r="E110" s="21" t="str">
        <f aca="false">IF($J110="","",IF(INDEX('DỮ LIỆU'!$D$3:$D$1052,$J110)="","",INDEX('DỮ LIỆU'!$D$3:$D$1052,$J110)))</f>
        <v/>
      </c>
      <c r="F110" s="21" t="str">
        <f aca="false">IF($J110="","",IF(INDEX('DỮ LIỆU'!$H$3:$H$1052,$J110)="","",INDEX('DỮ LIỆU'!$H$3:$H$1052,$J110)))</f>
        <v/>
      </c>
      <c r="G110" s="13" t="str">
        <f aca="false">IF($J110="","",N(INDEX('DỮ LIỆU'!$I$3:$I$1052,$J110)))</f>
        <v/>
      </c>
      <c r="H110" s="13" t="str">
        <f aca="false">IF($J110="","",N(INDEX('DỮ LIỆU'!$M$3:$M$1052,$J110)))</f>
        <v/>
      </c>
      <c r="I110" s="13" t="str">
        <f aca="false">IF($J110="","",N(INDEX('DỮ LIỆU'!$N$3:$N$1052,$J110)))</f>
        <v/>
      </c>
      <c r="J110" s="0" t="str">
        <f aca="false">IFERROR(MATCH(94,'DỮ LIỆU'!$Y$3:$Y$1052,0),"")</f>
        <v/>
      </c>
    </row>
    <row r="111" customFormat="false" ht="15" hidden="false" customHeight="false" outlineLevel="0" collapsed="false">
      <c r="A111" s="21" t="str">
        <f aca="false">IF($J111="","",95)</f>
        <v/>
      </c>
      <c r="B111" s="13" t="str">
        <f aca="false">IF($J111="","",INDEX('DỮ LIỆU'!$A$3:$A$1052,$J111))</f>
        <v/>
      </c>
      <c r="C111" s="41" t="str">
        <f aca="false">IF($J111="","",IF(INDEX('DỮ LIỆU'!$B$3:$B$1052,$J111)="","",INDEX('DỮ LIỆU'!$B$3:$B$1052,$J111)))</f>
        <v/>
      </c>
      <c r="D111" s="21" t="str">
        <f aca="false">IF($J111="","",IF(INDEX('DỮ LIỆU'!$C$3:$C$1052,$J111)="","",INDEX('DỮ LIỆU'!$C$3:$C$1052,$J111)))</f>
        <v/>
      </c>
      <c r="E111" s="21" t="str">
        <f aca="false">IF($J111="","",IF(INDEX('DỮ LIỆU'!$D$3:$D$1052,$J111)="","",INDEX('DỮ LIỆU'!$D$3:$D$1052,$J111)))</f>
        <v/>
      </c>
      <c r="F111" s="21" t="str">
        <f aca="false">IF($J111="","",IF(INDEX('DỮ LIỆU'!$H$3:$H$1052,$J111)="","",INDEX('DỮ LIỆU'!$H$3:$H$1052,$J111)))</f>
        <v/>
      </c>
      <c r="G111" s="13" t="str">
        <f aca="false">IF($J111="","",N(INDEX('DỮ LIỆU'!$I$3:$I$1052,$J111)))</f>
        <v/>
      </c>
      <c r="H111" s="13" t="str">
        <f aca="false">IF($J111="","",N(INDEX('DỮ LIỆU'!$M$3:$M$1052,$J111)))</f>
        <v/>
      </c>
      <c r="I111" s="13" t="str">
        <f aca="false">IF($J111="","",N(INDEX('DỮ LIỆU'!$N$3:$N$1052,$J111)))</f>
        <v/>
      </c>
      <c r="J111" s="0" t="str">
        <f aca="false">IFERROR(MATCH(95,'DỮ LIỆU'!$Y$3:$Y$1052,0),"")</f>
        <v/>
      </c>
    </row>
    <row r="112" customFormat="false" ht="15" hidden="false" customHeight="false" outlineLevel="0" collapsed="false">
      <c r="A112" s="21" t="str">
        <f aca="false">IF($J112="","",96)</f>
        <v/>
      </c>
      <c r="B112" s="13" t="str">
        <f aca="false">IF($J112="","",INDEX('DỮ LIỆU'!$A$3:$A$1052,$J112))</f>
        <v/>
      </c>
      <c r="C112" s="41" t="str">
        <f aca="false">IF($J112="","",IF(INDEX('DỮ LIỆU'!$B$3:$B$1052,$J112)="","",INDEX('DỮ LIỆU'!$B$3:$B$1052,$J112)))</f>
        <v/>
      </c>
      <c r="D112" s="21" t="str">
        <f aca="false">IF($J112="","",IF(INDEX('DỮ LIỆU'!$C$3:$C$1052,$J112)="","",INDEX('DỮ LIỆU'!$C$3:$C$1052,$J112)))</f>
        <v/>
      </c>
      <c r="E112" s="21" t="str">
        <f aca="false">IF($J112="","",IF(INDEX('DỮ LIỆU'!$D$3:$D$1052,$J112)="","",INDEX('DỮ LIỆU'!$D$3:$D$1052,$J112)))</f>
        <v/>
      </c>
      <c r="F112" s="21" t="str">
        <f aca="false">IF($J112="","",IF(INDEX('DỮ LIỆU'!$H$3:$H$1052,$J112)="","",INDEX('DỮ LIỆU'!$H$3:$H$1052,$J112)))</f>
        <v/>
      </c>
      <c r="G112" s="13" t="str">
        <f aca="false">IF($J112="","",N(INDEX('DỮ LIỆU'!$I$3:$I$1052,$J112)))</f>
        <v/>
      </c>
      <c r="H112" s="13" t="str">
        <f aca="false">IF($J112="","",N(INDEX('DỮ LIỆU'!$M$3:$M$1052,$J112)))</f>
        <v/>
      </c>
      <c r="I112" s="13" t="str">
        <f aca="false">IF($J112="","",N(INDEX('DỮ LIỆU'!$N$3:$N$1052,$J112)))</f>
        <v/>
      </c>
      <c r="J112" s="0" t="str">
        <f aca="false">IFERROR(MATCH(96,'DỮ LIỆU'!$Y$3:$Y$1052,0),"")</f>
        <v/>
      </c>
    </row>
    <row r="113" customFormat="false" ht="15" hidden="false" customHeight="false" outlineLevel="0" collapsed="false">
      <c r="A113" s="21" t="str">
        <f aca="false">IF($J113="","",97)</f>
        <v/>
      </c>
      <c r="B113" s="13" t="str">
        <f aca="false">IF($J113="","",INDEX('DỮ LIỆU'!$A$3:$A$1052,$J113))</f>
        <v/>
      </c>
      <c r="C113" s="41" t="str">
        <f aca="false">IF($J113="","",IF(INDEX('DỮ LIỆU'!$B$3:$B$1052,$J113)="","",INDEX('DỮ LIỆU'!$B$3:$B$1052,$J113)))</f>
        <v/>
      </c>
      <c r="D113" s="21" t="str">
        <f aca="false">IF($J113="","",IF(INDEX('DỮ LIỆU'!$C$3:$C$1052,$J113)="","",INDEX('DỮ LIỆU'!$C$3:$C$1052,$J113)))</f>
        <v/>
      </c>
      <c r="E113" s="21" t="str">
        <f aca="false">IF($J113="","",IF(INDEX('DỮ LIỆU'!$D$3:$D$1052,$J113)="","",INDEX('DỮ LIỆU'!$D$3:$D$1052,$J113)))</f>
        <v/>
      </c>
      <c r="F113" s="21" t="str">
        <f aca="false">IF($J113="","",IF(INDEX('DỮ LIỆU'!$H$3:$H$1052,$J113)="","",INDEX('DỮ LIỆU'!$H$3:$H$1052,$J113)))</f>
        <v/>
      </c>
      <c r="G113" s="13" t="str">
        <f aca="false">IF($J113="","",N(INDEX('DỮ LIỆU'!$I$3:$I$1052,$J113)))</f>
        <v/>
      </c>
      <c r="H113" s="13" t="str">
        <f aca="false">IF($J113="","",N(INDEX('DỮ LIỆU'!$M$3:$M$1052,$J113)))</f>
        <v/>
      </c>
      <c r="I113" s="13" t="str">
        <f aca="false">IF($J113="","",N(INDEX('DỮ LIỆU'!$N$3:$N$1052,$J113)))</f>
        <v/>
      </c>
      <c r="J113" s="0" t="str">
        <f aca="false">IFERROR(MATCH(97,'DỮ LIỆU'!$Y$3:$Y$1052,0),"")</f>
        <v/>
      </c>
    </row>
    <row r="114" customFormat="false" ht="15" hidden="false" customHeight="false" outlineLevel="0" collapsed="false">
      <c r="A114" s="21" t="str">
        <f aca="false">IF($J114="","",98)</f>
        <v/>
      </c>
      <c r="B114" s="13" t="str">
        <f aca="false">IF($J114="","",INDEX('DỮ LIỆU'!$A$3:$A$1052,$J114))</f>
        <v/>
      </c>
      <c r="C114" s="41" t="str">
        <f aca="false">IF($J114="","",IF(INDEX('DỮ LIỆU'!$B$3:$B$1052,$J114)="","",INDEX('DỮ LIỆU'!$B$3:$B$1052,$J114)))</f>
        <v/>
      </c>
      <c r="D114" s="21" t="str">
        <f aca="false">IF($J114="","",IF(INDEX('DỮ LIỆU'!$C$3:$C$1052,$J114)="","",INDEX('DỮ LIỆU'!$C$3:$C$1052,$J114)))</f>
        <v/>
      </c>
      <c r="E114" s="21" t="str">
        <f aca="false">IF($J114="","",IF(INDEX('DỮ LIỆU'!$D$3:$D$1052,$J114)="","",INDEX('DỮ LIỆU'!$D$3:$D$1052,$J114)))</f>
        <v/>
      </c>
      <c r="F114" s="21" t="str">
        <f aca="false">IF($J114="","",IF(INDEX('DỮ LIỆU'!$H$3:$H$1052,$J114)="","",INDEX('DỮ LIỆU'!$H$3:$H$1052,$J114)))</f>
        <v/>
      </c>
      <c r="G114" s="13" t="str">
        <f aca="false">IF($J114="","",N(INDEX('DỮ LIỆU'!$I$3:$I$1052,$J114)))</f>
        <v/>
      </c>
      <c r="H114" s="13" t="str">
        <f aca="false">IF($J114="","",N(INDEX('DỮ LIỆU'!$M$3:$M$1052,$J114)))</f>
        <v/>
      </c>
      <c r="I114" s="13" t="str">
        <f aca="false">IF($J114="","",N(INDEX('DỮ LIỆU'!$N$3:$N$1052,$J114)))</f>
        <v/>
      </c>
      <c r="J114" s="0" t="str">
        <f aca="false">IFERROR(MATCH(98,'DỮ LIỆU'!$Y$3:$Y$1052,0),"")</f>
        <v/>
      </c>
    </row>
    <row r="115" customFormat="false" ht="15" hidden="false" customHeight="false" outlineLevel="0" collapsed="false">
      <c r="A115" s="21" t="str">
        <f aca="false">IF($J115="","",99)</f>
        <v/>
      </c>
      <c r="B115" s="13" t="str">
        <f aca="false">IF($J115="","",INDEX('DỮ LIỆU'!$A$3:$A$1052,$J115))</f>
        <v/>
      </c>
      <c r="C115" s="41" t="str">
        <f aca="false">IF($J115="","",IF(INDEX('DỮ LIỆU'!$B$3:$B$1052,$J115)="","",INDEX('DỮ LIỆU'!$B$3:$B$1052,$J115)))</f>
        <v/>
      </c>
      <c r="D115" s="21" t="str">
        <f aca="false">IF($J115="","",IF(INDEX('DỮ LIỆU'!$C$3:$C$1052,$J115)="","",INDEX('DỮ LIỆU'!$C$3:$C$1052,$J115)))</f>
        <v/>
      </c>
      <c r="E115" s="21" t="str">
        <f aca="false">IF($J115="","",IF(INDEX('DỮ LIỆU'!$D$3:$D$1052,$J115)="","",INDEX('DỮ LIỆU'!$D$3:$D$1052,$J115)))</f>
        <v/>
      </c>
      <c r="F115" s="21" t="str">
        <f aca="false">IF($J115="","",IF(INDEX('DỮ LIỆU'!$H$3:$H$1052,$J115)="","",INDEX('DỮ LIỆU'!$H$3:$H$1052,$J115)))</f>
        <v/>
      </c>
      <c r="G115" s="13" t="str">
        <f aca="false">IF($J115="","",N(INDEX('DỮ LIỆU'!$I$3:$I$1052,$J115)))</f>
        <v/>
      </c>
      <c r="H115" s="13" t="str">
        <f aca="false">IF($J115="","",N(INDEX('DỮ LIỆU'!$M$3:$M$1052,$J115)))</f>
        <v/>
      </c>
      <c r="I115" s="13" t="str">
        <f aca="false">IF($J115="","",N(INDEX('DỮ LIỆU'!$N$3:$N$1052,$J115)))</f>
        <v/>
      </c>
      <c r="J115" s="0" t="str">
        <f aca="false">IFERROR(MATCH(99,'DỮ LIỆU'!$Y$3:$Y$1052,0),"")</f>
        <v/>
      </c>
    </row>
    <row r="116" customFormat="false" ht="15" hidden="false" customHeight="false" outlineLevel="0" collapsed="false">
      <c r="A116" s="21" t="str">
        <f aca="false">IF($J116="","",100)</f>
        <v/>
      </c>
      <c r="B116" s="13" t="str">
        <f aca="false">IF($J116="","",INDEX('DỮ LIỆU'!$A$3:$A$1052,$J116))</f>
        <v/>
      </c>
      <c r="C116" s="41" t="str">
        <f aca="false">IF($J116="","",IF(INDEX('DỮ LIỆU'!$B$3:$B$1052,$J116)="","",INDEX('DỮ LIỆU'!$B$3:$B$1052,$J116)))</f>
        <v/>
      </c>
      <c r="D116" s="21" t="str">
        <f aca="false">IF($J116="","",IF(INDEX('DỮ LIỆU'!$C$3:$C$1052,$J116)="","",INDEX('DỮ LIỆU'!$C$3:$C$1052,$J116)))</f>
        <v/>
      </c>
      <c r="E116" s="21" t="str">
        <f aca="false">IF($J116="","",IF(INDEX('DỮ LIỆU'!$D$3:$D$1052,$J116)="","",INDEX('DỮ LIỆU'!$D$3:$D$1052,$J116)))</f>
        <v/>
      </c>
      <c r="F116" s="21" t="str">
        <f aca="false">IF($J116="","",IF(INDEX('DỮ LIỆU'!$H$3:$H$1052,$J116)="","",INDEX('DỮ LIỆU'!$H$3:$H$1052,$J116)))</f>
        <v/>
      </c>
      <c r="G116" s="13" t="str">
        <f aca="false">IF($J116="","",N(INDEX('DỮ LIỆU'!$I$3:$I$1052,$J116)))</f>
        <v/>
      </c>
      <c r="H116" s="13" t="str">
        <f aca="false">IF($J116="","",N(INDEX('DỮ LIỆU'!$M$3:$M$1052,$J116)))</f>
        <v/>
      </c>
      <c r="I116" s="13" t="str">
        <f aca="false">IF($J116="","",N(INDEX('DỮ LIỆU'!$N$3:$N$1052,$J116)))</f>
        <v/>
      </c>
      <c r="J116" s="0" t="str">
        <f aca="false">IFERROR(MATCH(100,'DỮ LIỆU'!$Y$3:$Y$1052,0),"")</f>
        <v/>
      </c>
    </row>
    <row r="117" customFormat="false" ht="15" hidden="false" customHeight="false" outlineLevel="0" collapsed="false">
      <c r="A117" s="21" t="str">
        <f aca="false">IF($J117="","",101)</f>
        <v/>
      </c>
      <c r="B117" s="13" t="str">
        <f aca="false">IF($J117="","",INDEX('DỮ LIỆU'!$A$3:$A$1052,$J117))</f>
        <v/>
      </c>
      <c r="C117" s="41" t="str">
        <f aca="false">IF($J117="","",IF(INDEX('DỮ LIỆU'!$B$3:$B$1052,$J117)="","",INDEX('DỮ LIỆU'!$B$3:$B$1052,$J117)))</f>
        <v/>
      </c>
      <c r="D117" s="21" t="str">
        <f aca="false">IF($J117="","",IF(INDEX('DỮ LIỆU'!$C$3:$C$1052,$J117)="","",INDEX('DỮ LIỆU'!$C$3:$C$1052,$J117)))</f>
        <v/>
      </c>
      <c r="E117" s="21" t="str">
        <f aca="false">IF($J117="","",IF(INDEX('DỮ LIỆU'!$D$3:$D$1052,$J117)="","",INDEX('DỮ LIỆU'!$D$3:$D$1052,$J117)))</f>
        <v/>
      </c>
      <c r="F117" s="21" t="str">
        <f aca="false">IF($J117="","",IF(INDEX('DỮ LIỆU'!$H$3:$H$1052,$J117)="","",INDEX('DỮ LIỆU'!$H$3:$H$1052,$J117)))</f>
        <v/>
      </c>
      <c r="G117" s="13" t="str">
        <f aca="false">IF($J117="","",N(INDEX('DỮ LIỆU'!$I$3:$I$1052,$J117)))</f>
        <v/>
      </c>
      <c r="H117" s="13" t="str">
        <f aca="false">IF($J117="","",N(INDEX('DỮ LIỆU'!$M$3:$M$1052,$J117)))</f>
        <v/>
      </c>
      <c r="I117" s="13" t="str">
        <f aca="false">IF($J117="","",N(INDEX('DỮ LIỆU'!$N$3:$N$1052,$J117)))</f>
        <v/>
      </c>
      <c r="J117" s="0" t="str">
        <f aca="false">IFERROR(MATCH(101,'DỮ LIỆU'!$Y$3:$Y$1052,0),"")</f>
        <v/>
      </c>
    </row>
    <row r="118" customFormat="false" ht="15" hidden="false" customHeight="false" outlineLevel="0" collapsed="false">
      <c r="A118" s="21" t="str">
        <f aca="false">IF($J118="","",102)</f>
        <v/>
      </c>
      <c r="B118" s="13" t="str">
        <f aca="false">IF($J118="","",INDEX('DỮ LIỆU'!$A$3:$A$1052,$J118))</f>
        <v/>
      </c>
      <c r="C118" s="41" t="str">
        <f aca="false">IF($J118="","",IF(INDEX('DỮ LIỆU'!$B$3:$B$1052,$J118)="","",INDEX('DỮ LIỆU'!$B$3:$B$1052,$J118)))</f>
        <v/>
      </c>
      <c r="D118" s="21" t="str">
        <f aca="false">IF($J118="","",IF(INDEX('DỮ LIỆU'!$C$3:$C$1052,$J118)="","",INDEX('DỮ LIỆU'!$C$3:$C$1052,$J118)))</f>
        <v/>
      </c>
      <c r="E118" s="21" t="str">
        <f aca="false">IF($J118="","",IF(INDEX('DỮ LIỆU'!$D$3:$D$1052,$J118)="","",INDEX('DỮ LIỆU'!$D$3:$D$1052,$J118)))</f>
        <v/>
      </c>
      <c r="F118" s="21" t="str">
        <f aca="false">IF($J118="","",IF(INDEX('DỮ LIỆU'!$H$3:$H$1052,$J118)="","",INDEX('DỮ LIỆU'!$H$3:$H$1052,$J118)))</f>
        <v/>
      </c>
      <c r="G118" s="13" t="str">
        <f aca="false">IF($J118="","",N(INDEX('DỮ LIỆU'!$I$3:$I$1052,$J118)))</f>
        <v/>
      </c>
      <c r="H118" s="13" t="str">
        <f aca="false">IF($J118="","",N(INDEX('DỮ LIỆU'!$M$3:$M$1052,$J118)))</f>
        <v/>
      </c>
      <c r="I118" s="13" t="str">
        <f aca="false">IF($J118="","",N(INDEX('DỮ LIỆU'!$N$3:$N$1052,$J118)))</f>
        <v/>
      </c>
      <c r="J118" s="0" t="str">
        <f aca="false">IFERROR(MATCH(102,'DỮ LIỆU'!$Y$3:$Y$1052,0),"")</f>
        <v/>
      </c>
    </row>
    <row r="119" customFormat="false" ht="15" hidden="false" customHeight="false" outlineLevel="0" collapsed="false">
      <c r="A119" s="21" t="str">
        <f aca="false">IF($J119="","",103)</f>
        <v/>
      </c>
      <c r="B119" s="13" t="str">
        <f aca="false">IF($J119="","",INDEX('DỮ LIỆU'!$A$3:$A$1052,$J119))</f>
        <v/>
      </c>
      <c r="C119" s="41" t="str">
        <f aca="false">IF($J119="","",IF(INDEX('DỮ LIỆU'!$B$3:$B$1052,$J119)="","",INDEX('DỮ LIỆU'!$B$3:$B$1052,$J119)))</f>
        <v/>
      </c>
      <c r="D119" s="21" t="str">
        <f aca="false">IF($J119="","",IF(INDEX('DỮ LIỆU'!$C$3:$C$1052,$J119)="","",INDEX('DỮ LIỆU'!$C$3:$C$1052,$J119)))</f>
        <v/>
      </c>
      <c r="E119" s="21" t="str">
        <f aca="false">IF($J119="","",IF(INDEX('DỮ LIỆU'!$D$3:$D$1052,$J119)="","",INDEX('DỮ LIỆU'!$D$3:$D$1052,$J119)))</f>
        <v/>
      </c>
      <c r="F119" s="21" t="str">
        <f aca="false">IF($J119="","",IF(INDEX('DỮ LIỆU'!$H$3:$H$1052,$J119)="","",INDEX('DỮ LIỆU'!$H$3:$H$1052,$J119)))</f>
        <v/>
      </c>
      <c r="G119" s="13" t="str">
        <f aca="false">IF($J119="","",N(INDEX('DỮ LIỆU'!$I$3:$I$1052,$J119)))</f>
        <v/>
      </c>
      <c r="H119" s="13" t="str">
        <f aca="false">IF($J119="","",N(INDEX('DỮ LIỆU'!$M$3:$M$1052,$J119)))</f>
        <v/>
      </c>
      <c r="I119" s="13" t="str">
        <f aca="false">IF($J119="","",N(INDEX('DỮ LIỆU'!$N$3:$N$1052,$J119)))</f>
        <v/>
      </c>
      <c r="J119" s="0" t="str">
        <f aca="false">IFERROR(MATCH(103,'DỮ LIỆU'!$Y$3:$Y$1052,0),"")</f>
        <v/>
      </c>
    </row>
    <row r="120" customFormat="false" ht="15" hidden="false" customHeight="false" outlineLevel="0" collapsed="false">
      <c r="A120" s="21" t="str">
        <f aca="false">IF($J120="","",104)</f>
        <v/>
      </c>
      <c r="B120" s="13" t="str">
        <f aca="false">IF($J120="","",INDEX('DỮ LIỆU'!$A$3:$A$1052,$J120))</f>
        <v/>
      </c>
      <c r="C120" s="41" t="str">
        <f aca="false">IF($J120="","",IF(INDEX('DỮ LIỆU'!$B$3:$B$1052,$J120)="","",INDEX('DỮ LIỆU'!$B$3:$B$1052,$J120)))</f>
        <v/>
      </c>
      <c r="D120" s="21" t="str">
        <f aca="false">IF($J120="","",IF(INDEX('DỮ LIỆU'!$C$3:$C$1052,$J120)="","",INDEX('DỮ LIỆU'!$C$3:$C$1052,$J120)))</f>
        <v/>
      </c>
      <c r="E120" s="21" t="str">
        <f aca="false">IF($J120="","",IF(INDEX('DỮ LIỆU'!$D$3:$D$1052,$J120)="","",INDEX('DỮ LIỆU'!$D$3:$D$1052,$J120)))</f>
        <v/>
      </c>
      <c r="F120" s="21" t="str">
        <f aca="false">IF($J120="","",IF(INDEX('DỮ LIỆU'!$H$3:$H$1052,$J120)="","",INDEX('DỮ LIỆU'!$H$3:$H$1052,$J120)))</f>
        <v/>
      </c>
      <c r="G120" s="13" t="str">
        <f aca="false">IF($J120="","",N(INDEX('DỮ LIỆU'!$I$3:$I$1052,$J120)))</f>
        <v/>
      </c>
      <c r="H120" s="13" t="str">
        <f aca="false">IF($J120="","",N(INDEX('DỮ LIỆU'!$M$3:$M$1052,$J120)))</f>
        <v/>
      </c>
      <c r="I120" s="13" t="str">
        <f aca="false">IF($J120="","",N(INDEX('DỮ LIỆU'!$N$3:$N$1052,$J120)))</f>
        <v/>
      </c>
      <c r="J120" s="0" t="str">
        <f aca="false">IFERROR(MATCH(104,'DỮ LIỆU'!$Y$3:$Y$1052,0),"")</f>
        <v/>
      </c>
    </row>
    <row r="121" customFormat="false" ht="15" hidden="false" customHeight="false" outlineLevel="0" collapsed="false">
      <c r="A121" s="21" t="str">
        <f aca="false">IF($J121="","",105)</f>
        <v/>
      </c>
      <c r="B121" s="13" t="str">
        <f aca="false">IF($J121="","",INDEX('DỮ LIỆU'!$A$3:$A$1052,$J121))</f>
        <v/>
      </c>
      <c r="C121" s="41" t="str">
        <f aca="false">IF($J121="","",IF(INDEX('DỮ LIỆU'!$B$3:$B$1052,$J121)="","",INDEX('DỮ LIỆU'!$B$3:$B$1052,$J121)))</f>
        <v/>
      </c>
      <c r="D121" s="21" t="str">
        <f aca="false">IF($J121="","",IF(INDEX('DỮ LIỆU'!$C$3:$C$1052,$J121)="","",INDEX('DỮ LIỆU'!$C$3:$C$1052,$J121)))</f>
        <v/>
      </c>
      <c r="E121" s="21" t="str">
        <f aca="false">IF($J121="","",IF(INDEX('DỮ LIỆU'!$D$3:$D$1052,$J121)="","",INDEX('DỮ LIỆU'!$D$3:$D$1052,$J121)))</f>
        <v/>
      </c>
      <c r="F121" s="21" t="str">
        <f aca="false">IF($J121="","",IF(INDEX('DỮ LIỆU'!$H$3:$H$1052,$J121)="","",INDEX('DỮ LIỆU'!$H$3:$H$1052,$J121)))</f>
        <v/>
      </c>
      <c r="G121" s="13" t="str">
        <f aca="false">IF($J121="","",N(INDEX('DỮ LIỆU'!$I$3:$I$1052,$J121)))</f>
        <v/>
      </c>
      <c r="H121" s="13" t="str">
        <f aca="false">IF($J121="","",N(INDEX('DỮ LIỆU'!$M$3:$M$1052,$J121)))</f>
        <v/>
      </c>
      <c r="I121" s="13" t="str">
        <f aca="false">IF($J121="","",N(INDEX('DỮ LIỆU'!$N$3:$N$1052,$J121)))</f>
        <v/>
      </c>
      <c r="J121" s="0" t="str">
        <f aca="false">IFERROR(MATCH(105,'DỮ LIỆU'!$Y$3:$Y$1052,0),"")</f>
        <v/>
      </c>
    </row>
    <row r="122" customFormat="false" ht="15" hidden="false" customHeight="false" outlineLevel="0" collapsed="false">
      <c r="A122" s="21" t="str">
        <f aca="false">IF($J122="","",106)</f>
        <v/>
      </c>
      <c r="B122" s="13" t="str">
        <f aca="false">IF($J122="","",INDEX('DỮ LIỆU'!$A$3:$A$1052,$J122))</f>
        <v/>
      </c>
      <c r="C122" s="41" t="str">
        <f aca="false">IF($J122="","",IF(INDEX('DỮ LIỆU'!$B$3:$B$1052,$J122)="","",INDEX('DỮ LIỆU'!$B$3:$B$1052,$J122)))</f>
        <v/>
      </c>
      <c r="D122" s="21" t="str">
        <f aca="false">IF($J122="","",IF(INDEX('DỮ LIỆU'!$C$3:$C$1052,$J122)="","",INDEX('DỮ LIỆU'!$C$3:$C$1052,$J122)))</f>
        <v/>
      </c>
      <c r="E122" s="21" t="str">
        <f aca="false">IF($J122="","",IF(INDEX('DỮ LIỆU'!$D$3:$D$1052,$J122)="","",INDEX('DỮ LIỆU'!$D$3:$D$1052,$J122)))</f>
        <v/>
      </c>
      <c r="F122" s="21" t="str">
        <f aca="false">IF($J122="","",IF(INDEX('DỮ LIỆU'!$H$3:$H$1052,$J122)="","",INDEX('DỮ LIỆU'!$H$3:$H$1052,$J122)))</f>
        <v/>
      </c>
      <c r="G122" s="13" t="str">
        <f aca="false">IF($J122="","",N(INDEX('DỮ LIỆU'!$I$3:$I$1052,$J122)))</f>
        <v/>
      </c>
      <c r="H122" s="13" t="str">
        <f aca="false">IF($J122="","",N(INDEX('DỮ LIỆU'!$M$3:$M$1052,$J122)))</f>
        <v/>
      </c>
      <c r="I122" s="13" t="str">
        <f aca="false">IF($J122="","",N(INDEX('DỮ LIỆU'!$N$3:$N$1052,$J122)))</f>
        <v/>
      </c>
      <c r="J122" s="0" t="str">
        <f aca="false">IFERROR(MATCH(106,'DỮ LIỆU'!$Y$3:$Y$1052,0),"")</f>
        <v/>
      </c>
    </row>
    <row r="123" customFormat="false" ht="15" hidden="false" customHeight="false" outlineLevel="0" collapsed="false">
      <c r="A123" s="21" t="str">
        <f aca="false">IF($J123="","",107)</f>
        <v/>
      </c>
      <c r="B123" s="13" t="str">
        <f aca="false">IF($J123="","",INDEX('DỮ LIỆU'!$A$3:$A$1052,$J123))</f>
        <v/>
      </c>
      <c r="C123" s="41" t="str">
        <f aca="false">IF($J123="","",IF(INDEX('DỮ LIỆU'!$B$3:$B$1052,$J123)="","",INDEX('DỮ LIỆU'!$B$3:$B$1052,$J123)))</f>
        <v/>
      </c>
      <c r="D123" s="21" t="str">
        <f aca="false">IF($J123="","",IF(INDEX('DỮ LIỆU'!$C$3:$C$1052,$J123)="","",INDEX('DỮ LIỆU'!$C$3:$C$1052,$J123)))</f>
        <v/>
      </c>
      <c r="E123" s="21" t="str">
        <f aca="false">IF($J123="","",IF(INDEX('DỮ LIỆU'!$D$3:$D$1052,$J123)="","",INDEX('DỮ LIỆU'!$D$3:$D$1052,$J123)))</f>
        <v/>
      </c>
      <c r="F123" s="21" t="str">
        <f aca="false">IF($J123="","",IF(INDEX('DỮ LIỆU'!$H$3:$H$1052,$J123)="","",INDEX('DỮ LIỆU'!$H$3:$H$1052,$J123)))</f>
        <v/>
      </c>
      <c r="G123" s="13" t="str">
        <f aca="false">IF($J123="","",N(INDEX('DỮ LIỆU'!$I$3:$I$1052,$J123)))</f>
        <v/>
      </c>
      <c r="H123" s="13" t="str">
        <f aca="false">IF($J123="","",N(INDEX('DỮ LIỆU'!$M$3:$M$1052,$J123)))</f>
        <v/>
      </c>
      <c r="I123" s="13" t="str">
        <f aca="false">IF($J123="","",N(INDEX('DỮ LIỆU'!$N$3:$N$1052,$J123)))</f>
        <v/>
      </c>
      <c r="J123" s="0" t="str">
        <f aca="false">IFERROR(MATCH(107,'DỮ LIỆU'!$Y$3:$Y$1052,0),"")</f>
        <v/>
      </c>
    </row>
    <row r="124" customFormat="false" ht="15" hidden="false" customHeight="false" outlineLevel="0" collapsed="false">
      <c r="A124" s="21" t="str">
        <f aca="false">IF($J124="","",108)</f>
        <v/>
      </c>
      <c r="B124" s="13" t="str">
        <f aca="false">IF($J124="","",INDEX('DỮ LIỆU'!$A$3:$A$1052,$J124))</f>
        <v/>
      </c>
      <c r="C124" s="41" t="str">
        <f aca="false">IF($J124="","",IF(INDEX('DỮ LIỆU'!$B$3:$B$1052,$J124)="","",INDEX('DỮ LIỆU'!$B$3:$B$1052,$J124)))</f>
        <v/>
      </c>
      <c r="D124" s="21" t="str">
        <f aca="false">IF($J124="","",IF(INDEX('DỮ LIỆU'!$C$3:$C$1052,$J124)="","",INDEX('DỮ LIỆU'!$C$3:$C$1052,$J124)))</f>
        <v/>
      </c>
      <c r="E124" s="21" t="str">
        <f aca="false">IF($J124="","",IF(INDEX('DỮ LIỆU'!$D$3:$D$1052,$J124)="","",INDEX('DỮ LIỆU'!$D$3:$D$1052,$J124)))</f>
        <v/>
      </c>
      <c r="F124" s="21" t="str">
        <f aca="false">IF($J124="","",IF(INDEX('DỮ LIỆU'!$H$3:$H$1052,$J124)="","",INDEX('DỮ LIỆU'!$H$3:$H$1052,$J124)))</f>
        <v/>
      </c>
      <c r="G124" s="13" t="str">
        <f aca="false">IF($J124="","",N(INDEX('DỮ LIỆU'!$I$3:$I$1052,$J124)))</f>
        <v/>
      </c>
      <c r="H124" s="13" t="str">
        <f aca="false">IF($J124="","",N(INDEX('DỮ LIỆU'!$M$3:$M$1052,$J124)))</f>
        <v/>
      </c>
      <c r="I124" s="13" t="str">
        <f aca="false">IF($J124="","",N(INDEX('DỮ LIỆU'!$N$3:$N$1052,$J124)))</f>
        <v/>
      </c>
      <c r="J124" s="0" t="str">
        <f aca="false">IFERROR(MATCH(108,'DỮ LIỆU'!$Y$3:$Y$1052,0),"")</f>
        <v/>
      </c>
    </row>
    <row r="125" customFormat="false" ht="15" hidden="false" customHeight="false" outlineLevel="0" collapsed="false">
      <c r="A125" s="21" t="str">
        <f aca="false">IF($J125="","",109)</f>
        <v/>
      </c>
      <c r="B125" s="13" t="str">
        <f aca="false">IF($J125="","",INDEX('DỮ LIỆU'!$A$3:$A$1052,$J125))</f>
        <v/>
      </c>
      <c r="C125" s="41" t="str">
        <f aca="false">IF($J125="","",IF(INDEX('DỮ LIỆU'!$B$3:$B$1052,$J125)="","",INDEX('DỮ LIỆU'!$B$3:$B$1052,$J125)))</f>
        <v/>
      </c>
      <c r="D125" s="21" t="str">
        <f aca="false">IF($J125="","",IF(INDEX('DỮ LIỆU'!$C$3:$C$1052,$J125)="","",INDEX('DỮ LIỆU'!$C$3:$C$1052,$J125)))</f>
        <v/>
      </c>
      <c r="E125" s="21" t="str">
        <f aca="false">IF($J125="","",IF(INDEX('DỮ LIỆU'!$D$3:$D$1052,$J125)="","",INDEX('DỮ LIỆU'!$D$3:$D$1052,$J125)))</f>
        <v/>
      </c>
      <c r="F125" s="21" t="str">
        <f aca="false">IF($J125="","",IF(INDEX('DỮ LIỆU'!$H$3:$H$1052,$J125)="","",INDEX('DỮ LIỆU'!$H$3:$H$1052,$J125)))</f>
        <v/>
      </c>
      <c r="G125" s="13" t="str">
        <f aca="false">IF($J125="","",N(INDEX('DỮ LIỆU'!$I$3:$I$1052,$J125)))</f>
        <v/>
      </c>
      <c r="H125" s="13" t="str">
        <f aca="false">IF($J125="","",N(INDEX('DỮ LIỆU'!$M$3:$M$1052,$J125)))</f>
        <v/>
      </c>
      <c r="I125" s="13" t="str">
        <f aca="false">IF($J125="","",N(INDEX('DỮ LIỆU'!$N$3:$N$1052,$J125)))</f>
        <v/>
      </c>
      <c r="J125" s="0" t="str">
        <f aca="false">IFERROR(MATCH(109,'DỮ LIỆU'!$Y$3:$Y$1052,0),"")</f>
        <v/>
      </c>
    </row>
    <row r="126" customFormat="false" ht="15" hidden="false" customHeight="false" outlineLevel="0" collapsed="false">
      <c r="A126" s="21" t="str">
        <f aca="false">IF($J126="","",110)</f>
        <v/>
      </c>
      <c r="B126" s="13" t="str">
        <f aca="false">IF($J126="","",INDEX('DỮ LIỆU'!$A$3:$A$1052,$J126))</f>
        <v/>
      </c>
      <c r="C126" s="41" t="str">
        <f aca="false">IF($J126="","",IF(INDEX('DỮ LIỆU'!$B$3:$B$1052,$J126)="","",INDEX('DỮ LIỆU'!$B$3:$B$1052,$J126)))</f>
        <v/>
      </c>
      <c r="D126" s="21" t="str">
        <f aca="false">IF($J126="","",IF(INDEX('DỮ LIỆU'!$C$3:$C$1052,$J126)="","",INDEX('DỮ LIỆU'!$C$3:$C$1052,$J126)))</f>
        <v/>
      </c>
      <c r="E126" s="21" t="str">
        <f aca="false">IF($J126="","",IF(INDEX('DỮ LIỆU'!$D$3:$D$1052,$J126)="","",INDEX('DỮ LIỆU'!$D$3:$D$1052,$J126)))</f>
        <v/>
      </c>
      <c r="F126" s="21" t="str">
        <f aca="false">IF($J126="","",IF(INDEX('DỮ LIỆU'!$H$3:$H$1052,$J126)="","",INDEX('DỮ LIỆU'!$H$3:$H$1052,$J126)))</f>
        <v/>
      </c>
      <c r="G126" s="13" t="str">
        <f aca="false">IF($J126="","",N(INDEX('DỮ LIỆU'!$I$3:$I$1052,$J126)))</f>
        <v/>
      </c>
      <c r="H126" s="13" t="str">
        <f aca="false">IF($J126="","",N(INDEX('DỮ LIỆU'!$M$3:$M$1052,$J126)))</f>
        <v/>
      </c>
      <c r="I126" s="13" t="str">
        <f aca="false">IF($J126="","",N(INDEX('DỮ LIỆU'!$N$3:$N$1052,$J126)))</f>
        <v/>
      </c>
      <c r="J126" s="0" t="str">
        <f aca="false">IFERROR(MATCH(110,'DỮ LIỆU'!$Y$3:$Y$1052,0),"")</f>
        <v/>
      </c>
    </row>
    <row r="127" customFormat="false" ht="15" hidden="false" customHeight="false" outlineLevel="0" collapsed="false">
      <c r="A127" s="21" t="str">
        <f aca="false">IF($J127="","",111)</f>
        <v/>
      </c>
      <c r="B127" s="13" t="str">
        <f aca="false">IF($J127="","",INDEX('DỮ LIỆU'!$A$3:$A$1052,$J127))</f>
        <v/>
      </c>
      <c r="C127" s="41" t="str">
        <f aca="false">IF($J127="","",IF(INDEX('DỮ LIỆU'!$B$3:$B$1052,$J127)="","",INDEX('DỮ LIỆU'!$B$3:$B$1052,$J127)))</f>
        <v/>
      </c>
      <c r="D127" s="21" t="str">
        <f aca="false">IF($J127="","",IF(INDEX('DỮ LIỆU'!$C$3:$C$1052,$J127)="","",INDEX('DỮ LIỆU'!$C$3:$C$1052,$J127)))</f>
        <v/>
      </c>
      <c r="E127" s="21" t="str">
        <f aca="false">IF($J127="","",IF(INDEX('DỮ LIỆU'!$D$3:$D$1052,$J127)="","",INDEX('DỮ LIỆU'!$D$3:$D$1052,$J127)))</f>
        <v/>
      </c>
      <c r="F127" s="21" t="str">
        <f aca="false">IF($J127="","",IF(INDEX('DỮ LIỆU'!$H$3:$H$1052,$J127)="","",INDEX('DỮ LIỆU'!$H$3:$H$1052,$J127)))</f>
        <v/>
      </c>
      <c r="G127" s="13" t="str">
        <f aca="false">IF($J127="","",N(INDEX('DỮ LIỆU'!$I$3:$I$1052,$J127)))</f>
        <v/>
      </c>
      <c r="H127" s="13" t="str">
        <f aca="false">IF($J127="","",N(INDEX('DỮ LIỆU'!$M$3:$M$1052,$J127)))</f>
        <v/>
      </c>
      <c r="I127" s="13" t="str">
        <f aca="false">IF($J127="","",N(INDEX('DỮ LIỆU'!$N$3:$N$1052,$J127)))</f>
        <v/>
      </c>
      <c r="J127" s="0" t="str">
        <f aca="false">IFERROR(MATCH(111,'DỮ LIỆU'!$Y$3:$Y$1052,0),"")</f>
        <v/>
      </c>
    </row>
    <row r="128" customFormat="false" ht="15" hidden="false" customHeight="false" outlineLevel="0" collapsed="false">
      <c r="A128" s="21" t="str">
        <f aca="false">IF($J128="","",112)</f>
        <v/>
      </c>
      <c r="B128" s="13" t="str">
        <f aca="false">IF($J128="","",INDEX('DỮ LIỆU'!$A$3:$A$1052,$J128))</f>
        <v/>
      </c>
      <c r="C128" s="41" t="str">
        <f aca="false">IF($J128="","",IF(INDEX('DỮ LIỆU'!$B$3:$B$1052,$J128)="","",INDEX('DỮ LIỆU'!$B$3:$B$1052,$J128)))</f>
        <v/>
      </c>
      <c r="D128" s="21" t="str">
        <f aca="false">IF($J128="","",IF(INDEX('DỮ LIỆU'!$C$3:$C$1052,$J128)="","",INDEX('DỮ LIỆU'!$C$3:$C$1052,$J128)))</f>
        <v/>
      </c>
      <c r="E128" s="21" t="str">
        <f aca="false">IF($J128="","",IF(INDEX('DỮ LIỆU'!$D$3:$D$1052,$J128)="","",INDEX('DỮ LIỆU'!$D$3:$D$1052,$J128)))</f>
        <v/>
      </c>
      <c r="F128" s="21" t="str">
        <f aca="false">IF($J128="","",IF(INDEX('DỮ LIỆU'!$H$3:$H$1052,$J128)="","",INDEX('DỮ LIỆU'!$H$3:$H$1052,$J128)))</f>
        <v/>
      </c>
      <c r="G128" s="13" t="str">
        <f aca="false">IF($J128="","",N(INDEX('DỮ LIỆU'!$I$3:$I$1052,$J128)))</f>
        <v/>
      </c>
      <c r="H128" s="13" t="str">
        <f aca="false">IF($J128="","",N(INDEX('DỮ LIỆU'!$M$3:$M$1052,$J128)))</f>
        <v/>
      </c>
      <c r="I128" s="13" t="str">
        <f aca="false">IF($J128="","",N(INDEX('DỮ LIỆU'!$N$3:$N$1052,$J128)))</f>
        <v/>
      </c>
      <c r="J128" s="0" t="str">
        <f aca="false">IFERROR(MATCH(112,'DỮ LIỆU'!$Y$3:$Y$1052,0),"")</f>
        <v/>
      </c>
    </row>
    <row r="129" customFormat="false" ht="15" hidden="false" customHeight="false" outlineLevel="0" collapsed="false">
      <c r="A129" s="21" t="str">
        <f aca="false">IF($J129="","",113)</f>
        <v/>
      </c>
      <c r="B129" s="13" t="str">
        <f aca="false">IF($J129="","",INDEX('DỮ LIỆU'!$A$3:$A$1052,$J129))</f>
        <v/>
      </c>
      <c r="C129" s="41" t="str">
        <f aca="false">IF($J129="","",IF(INDEX('DỮ LIỆU'!$B$3:$B$1052,$J129)="","",INDEX('DỮ LIỆU'!$B$3:$B$1052,$J129)))</f>
        <v/>
      </c>
      <c r="D129" s="21" t="str">
        <f aca="false">IF($J129="","",IF(INDEX('DỮ LIỆU'!$C$3:$C$1052,$J129)="","",INDEX('DỮ LIỆU'!$C$3:$C$1052,$J129)))</f>
        <v/>
      </c>
      <c r="E129" s="21" t="str">
        <f aca="false">IF($J129="","",IF(INDEX('DỮ LIỆU'!$D$3:$D$1052,$J129)="","",INDEX('DỮ LIỆU'!$D$3:$D$1052,$J129)))</f>
        <v/>
      </c>
      <c r="F129" s="21" t="str">
        <f aca="false">IF($J129="","",IF(INDEX('DỮ LIỆU'!$H$3:$H$1052,$J129)="","",INDEX('DỮ LIỆU'!$H$3:$H$1052,$J129)))</f>
        <v/>
      </c>
      <c r="G129" s="13" t="str">
        <f aca="false">IF($J129="","",N(INDEX('DỮ LIỆU'!$I$3:$I$1052,$J129)))</f>
        <v/>
      </c>
      <c r="H129" s="13" t="str">
        <f aca="false">IF($J129="","",N(INDEX('DỮ LIỆU'!$M$3:$M$1052,$J129)))</f>
        <v/>
      </c>
      <c r="I129" s="13" t="str">
        <f aca="false">IF($J129="","",N(INDEX('DỮ LIỆU'!$N$3:$N$1052,$J129)))</f>
        <v/>
      </c>
      <c r="J129" s="0" t="str">
        <f aca="false">IFERROR(MATCH(113,'DỮ LIỆU'!$Y$3:$Y$1052,0),"")</f>
        <v/>
      </c>
    </row>
    <row r="130" customFormat="false" ht="15" hidden="false" customHeight="false" outlineLevel="0" collapsed="false">
      <c r="A130" s="21" t="str">
        <f aca="false">IF($J130="","",114)</f>
        <v/>
      </c>
      <c r="B130" s="13" t="str">
        <f aca="false">IF($J130="","",INDEX('DỮ LIỆU'!$A$3:$A$1052,$J130))</f>
        <v/>
      </c>
      <c r="C130" s="41" t="str">
        <f aca="false">IF($J130="","",IF(INDEX('DỮ LIỆU'!$B$3:$B$1052,$J130)="","",INDEX('DỮ LIỆU'!$B$3:$B$1052,$J130)))</f>
        <v/>
      </c>
      <c r="D130" s="21" t="str">
        <f aca="false">IF($J130="","",IF(INDEX('DỮ LIỆU'!$C$3:$C$1052,$J130)="","",INDEX('DỮ LIỆU'!$C$3:$C$1052,$J130)))</f>
        <v/>
      </c>
      <c r="E130" s="21" t="str">
        <f aca="false">IF($J130="","",IF(INDEX('DỮ LIỆU'!$D$3:$D$1052,$J130)="","",INDEX('DỮ LIỆU'!$D$3:$D$1052,$J130)))</f>
        <v/>
      </c>
      <c r="F130" s="21" t="str">
        <f aca="false">IF($J130="","",IF(INDEX('DỮ LIỆU'!$H$3:$H$1052,$J130)="","",INDEX('DỮ LIỆU'!$H$3:$H$1052,$J130)))</f>
        <v/>
      </c>
      <c r="G130" s="13" t="str">
        <f aca="false">IF($J130="","",N(INDEX('DỮ LIỆU'!$I$3:$I$1052,$J130)))</f>
        <v/>
      </c>
      <c r="H130" s="13" t="str">
        <f aca="false">IF($J130="","",N(INDEX('DỮ LIỆU'!$M$3:$M$1052,$J130)))</f>
        <v/>
      </c>
      <c r="I130" s="13" t="str">
        <f aca="false">IF($J130="","",N(INDEX('DỮ LIỆU'!$N$3:$N$1052,$J130)))</f>
        <v/>
      </c>
      <c r="J130" s="0" t="str">
        <f aca="false">IFERROR(MATCH(114,'DỮ LIỆU'!$Y$3:$Y$1052,0),"")</f>
        <v/>
      </c>
    </row>
    <row r="131" customFormat="false" ht="15" hidden="false" customHeight="false" outlineLevel="0" collapsed="false">
      <c r="A131" s="21" t="str">
        <f aca="false">IF($J131="","",115)</f>
        <v/>
      </c>
      <c r="B131" s="13" t="str">
        <f aca="false">IF($J131="","",INDEX('DỮ LIỆU'!$A$3:$A$1052,$J131))</f>
        <v/>
      </c>
      <c r="C131" s="41" t="str">
        <f aca="false">IF($J131="","",IF(INDEX('DỮ LIỆU'!$B$3:$B$1052,$J131)="","",INDEX('DỮ LIỆU'!$B$3:$B$1052,$J131)))</f>
        <v/>
      </c>
      <c r="D131" s="21" t="str">
        <f aca="false">IF($J131="","",IF(INDEX('DỮ LIỆU'!$C$3:$C$1052,$J131)="","",INDEX('DỮ LIỆU'!$C$3:$C$1052,$J131)))</f>
        <v/>
      </c>
      <c r="E131" s="21" t="str">
        <f aca="false">IF($J131="","",IF(INDEX('DỮ LIỆU'!$D$3:$D$1052,$J131)="","",INDEX('DỮ LIỆU'!$D$3:$D$1052,$J131)))</f>
        <v/>
      </c>
      <c r="F131" s="21" t="str">
        <f aca="false">IF($J131="","",IF(INDEX('DỮ LIỆU'!$H$3:$H$1052,$J131)="","",INDEX('DỮ LIỆU'!$H$3:$H$1052,$J131)))</f>
        <v/>
      </c>
      <c r="G131" s="13" t="str">
        <f aca="false">IF($J131="","",N(INDEX('DỮ LIỆU'!$I$3:$I$1052,$J131)))</f>
        <v/>
      </c>
      <c r="H131" s="13" t="str">
        <f aca="false">IF($J131="","",N(INDEX('DỮ LIỆU'!$M$3:$M$1052,$J131)))</f>
        <v/>
      </c>
      <c r="I131" s="13" t="str">
        <f aca="false">IF($J131="","",N(INDEX('DỮ LIỆU'!$N$3:$N$1052,$J131)))</f>
        <v/>
      </c>
      <c r="J131" s="0" t="str">
        <f aca="false">IFERROR(MATCH(115,'DỮ LIỆU'!$Y$3:$Y$1052,0),"")</f>
        <v/>
      </c>
    </row>
    <row r="132" customFormat="false" ht="15" hidden="false" customHeight="false" outlineLevel="0" collapsed="false">
      <c r="A132" s="21" t="str">
        <f aca="false">IF($J132="","",116)</f>
        <v/>
      </c>
      <c r="B132" s="13" t="str">
        <f aca="false">IF($J132="","",INDEX('DỮ LIỆU'!$A$3:$A$1052,$J132))</f>
        <v/>
      </c>
      <c r="C132" s="41" t="str">
        <f aca="false">IF($J132="","",IF(INDEX('DỮ LIỆU'!$B$3:$B$1052,$J132)="","",INDEX('DỮ LIỆU'!$B$3:$B$1052,$J132)))</f>
        <v/>
      </c>
      <c r="D132" s="21" t="str">
        <f aca="false">IF($J132="","",IF(INDEX('DỮ LIỆU'!$C$3:$C$1052,$J132)="","",INDEX('DỮ LIỆU'!$C$3:$C$1052,$J132)))</f>
        <v/>
      </c>
      <c r="E132" s="21" t="str">
        <f aca="false">IF($J132="","",IF(INDEX('DỮ LIỆU'!$D$3:$D$1052,$J132)="","",INDEX('DỮ LIỆU'!$D$3:$D$1052,$J132)))</f>
        <v/>
      </c>
      <c r="F132" s="21" t="str">
        <f aca="false">IF($J132="","",IF(INDEX('DỮ LIỆU'!$H$3:$H$1052,$J132)="","",INDEX('DỮ LIỆU'!$H$3:$H$1052,$J132)))</f>
        <v/>
      </c>
      <c r="G132" s="13" t="str">
        <f aca="false">IF($J132="","",N(INDEX('DỮ LIỆU'!$I$3:$I$1052,$J132)))</f>
        <v/>
      </c>
      <c r="H132" s="13" t="str">
        <f aca="false">IF($J132="","",N(INDEX('DỮ LIỆU'!$M$3:$M$1052,$J132)))</f>
        <v/>
      </c>
      <c r="I132" s="13" t="str">
        <f aca="false">IF($J132="","",N(INDEX('DỮ LIỆU'!$N$3:$N$1052,$J132)))</f>
        <v/>
      </c>
      <c r="J132" s="0" t="str">
        <f aca="false">IFERROR(MATCH(116,'DỮ LIỆU'!$Y$3:$Y$1052,0),"")</f>
        <v/>
      </c>
    </row>
    <row r="133" customFormat="false" ht="15" hidden="false" customHeight="false" outlineLevel="0" collapsed="false">
      <c r="A133" s="21" t="str">
        <f aca="false">IF($J133="","",117)</f>
        <v/>
      </c>
      <c r="B133" s="13" t="str">
        <f aca="false">IF($J133="","",INDEX('DỮ LIỆU'!$A$3:$A$1052,$J133))</f>
        <v/>
      </c>
      <c r="C133" s="41" t="str">
        <f aca="false">IF($J133="","",IF(INDEX('DỮ LIỆU'!$B$3:$B$1052,$J133)="","",INDEX('DỮ LIỆU'!$B$3:$B$1052,$J133)))</f>
        <v/>
      </c>
      <c r="D133" s="21" t="str">
        <f aca="false">IF($J133="","",IF(INDEX('DỮ LIỆU'!$C$3:$C$1052,$J133)="","",INDEX('DỮ LIỆU'!$C$3:$C$1052,$J133)))</f>
        <v/>
      </c>
      <c r="E133" s="21" t="str">
        <f aca="false">IF($J133="","",IF(INDEX('DỮ LIỆU'!$D$3:$D$1052,$J133)="","",INDEX('DỮ LIỆU'!$D$3:$D$1052,$J133)))</f>
        <v/>
      </c>
      <c r="F133" s="21" t="str">
        <f aca="false">IF($J133="","",IF(INDEX('DỮ LIỆU'!$H$3:$H$1052,$J133)="","",INDEX('DỮ LIỆU'!$H$3:$H$1052,$J133)))</f>
        <v/>
      </c>
      <c r="G133" s="13" t="str">
        <f aca="false">IF($J133="","",N(INDEX('DỮ LIỆU'!$I$3:$I$1052,$J133)))</f>
        <v/>
      </c>
      <c r="H133" s="13" t="str">
        <f aca="false">IF($J133="","",N(INDEX('DỮ LIỆU'!$M$3:$M$1052,$J133)))</f>
        <v/>
      </c>
      <c r="I133" s="13" t="str">
        <f aca="false">IF($J133="","",N(INDEX('DỮ LIỆU'!$N$3:$N$1052,$J133)))</f>
        <v/>
      </c>
      <c r="J133" s="0" t="str">
        <f aca="false">IFERROR(MATCH(117,'DỮ LIỆU'!$Y$3:$Y$1052,0),"")</f>
        <v/>
      </c>
    </row>
    <row r="134" customFormat="false" ht="15" hidden="false" customHeight="false" outlineLevel="0" collapsed="false">
      <c r="A134" s="21" t="str">
        <f aca="false">IF($J134="","",118)</f>
        <v/>
      </c>
      <c r="B134" s="13" t="str">
        <f aca="false">IF($J134="","",INDEX('DỮ LIỆU'!$A$3:$A$1052,$J134))</f>
        <v/>
      </c>
      <c r="C134" s="41" t="str">
        <f aca="false">IF($J134="","",IF(INDEX('DỮ LIỆU'!$B$3:$B$1052,$J134)="","",INDEX('DỮ LIỆU'!$B$3:$B$1052,$J134)))</f>
        <v/>
      </c>
      <c r="D134" s="21" t="str">
        <f aca="false">IF($J134="","",IF(INDEX('DỮ LIỆU'!$C$3:$C$1052,$J134)="","",INDEX('DỮ LIỆU'!$C$3:$C$1052,$J134)))</f>
        <v/>
      </c>
      <c r="E134" s="21" t="str">
        <f aca="false">IF($J134="","",IF(INDEX('DỮ LIỆU'!$D$3:$D$1052,$J134)="","",INDEX('DỮ LIỆU'!$D$3:$D$1052,$J134)))</f>
        <v/>
      </c>
      <c r="F134" s="21" t="str">
        <f aca="false">IF($J134="","",IF(INDEX('DỮ LIỆU'!$H$3:$H$1052,$J134)="","",INDEX('DỮ LIỆU'!$H$3:$H$1052,$J134)))</f>
        <v/>
      </c>
      <c r="G134" s="13" t="str">
        <f aca="false">IF($J134="","",N(INDEX('DỮ LIỆU'!$I$3:$I$1052,$J134)))</f>
        <v/>
      </c>
      <c r="H134" s="13" t="str">
        <f aca="false">IF($J134="","",N(INDEX('DỮ LIỆU'!$M$3:$M$1052,$J134)))</f>
        <v/>
      </c>
      <c r="I134" s="13" t="str">
        <f aca="false">IF($J134="","",N(INDEX('DỮ LIỆU'!$N$3:$N$1052,$J134)))</f>
        <v/>
      </c>
      <c r="J134" s="0" t="str">
        <f aca="false">IFERROR(MATCH(118,'DỮ LIỆU'!$Y$3:$Y$1052,0),"")</f>
        <v/>
      </c>
    </row>
    <row r="135" customFormat="false" ht="15" hidden="false" customHeight="false" outlineLevel="0" collapsed="false">
      <c r="A135" s="21" t="str">
        <f aca="false">IF($J135="","",119)</f>
        <v/>
      </c>
      <c r="B135" s="13" t="str">
        <f aca="false">IF($J135="","",INDEX('DỮ LIỆU'!$A$3:$A$1052,$J135))</f>
        <v/>
      </c>
      <c r="C135" s="41" t="str">
        <f aca="false">IF($J135="","",IF(INDEX('DỮ LIỆU'!$B$3:$B$1052,$J135)="","",INDEX('DỮ LIỆU'!$B$3:$B$1052,$J135)))</f>
        <v/>
      </c>
      <c r="D135" s="21" t="str">
        <f aca="false">IF($J135="","",IF(INDEX('DỮ LIỆU'!$C$3:$C$1052,$J135)="","",INDEX('DỮ LIỆU'!$C$3:$C$1052,$J135)))</f>
        <v/>
      </c>
      <c r="E135" s="21" t="str">
        <f aca="false">IF($J135="","",IF(INDEX('DỮ LIỆU'!$D$3:$D$1052,$J135)="","",INDEX('DỮ LIỆU'!$D$3:$D$1052,$J135)))</f>
        <v/>
      </c>
      <c r="F135" s="21" t="str">
        <f aca="false">IF($J135="","",IF(INDEX('DỮ LIỆU'!$H$3:$H$1052,$J135)="","",INDEX('DỮ LIỆU'!$H$3:$H$1052,$J135)))</f>
        <v/>
      </c>
      <c r="G135" s="13" t="str">
        <f aca="false">IF($J135="","",N(INDEX('DỮ LIỆU'!$I$3:$I$1052,$J135)))</f>
        <v/>
      </c>
      <c r="H135" s="13" t="str">
        <f aca="false">IF($J135="","",N(INDEX('DỮ LIỆU'!$M$3:$M$1052,$J135)))</f>
        <v/>
      </c>
      <c r="I135" s="13" t="str">
        <f aca="false">IF($J135="","",N(INDEX('DỮ LIỆU'!$N$3:$N$1052,$J135)))</f>
        <v/>
      </c>
      <c r="J135" s="0" t="str">
        <f aca="false">IFERROR(MATCH(119,'DỮ LIỆU'!$Y$3:$Y$1052,0),"")</f>
        <v/>
      </c>
    </row>
    <row r="136" customFormat="false" ht="15" hidden="false" customHeight="false" outlineLevel="0" collapsed="false">
      <c r="A136" s="21" t="str">
        <f aca="false">IF($J136="","",120)</f>
        <v/>
      </c>
      <c r="B136" s="13" t="str">
        <f aca="false">IF($J136="","",INDEX('DỮ LIỆU'!$A$3:$A$1052,$J136))</f>
        <v/>
      </c>
      <c r="C136" s="41" t="str">
        <f aca="false">IF($J136="","",IF(INDEX('DỮ LIỆU'!$B$3:$B$1052,$J136)="","",INDEX('DỮ LIỆU'!$B$3:$B$1052,$J136)))</f>
        <v/>
      </c>
      <c r="D136" s="21" t="str">
        <f aca="false">IF($J136="","",IF(INDEX('DỮ LIỆU'!$C$3:$C$1052,$J136)="","",INDEX('DỮ LIỆU'!$C$3:$C$1052,$J136)))</f>
        <v/>
      </c>
      <c r="E136" s="21" t="str">
        <f aca="false">IF($J136="","",IF(INDEX('DỮ LIỆU'!$D$3:$D$1052,$J136)="","",INDEX('DỮ LIỆU'!$D$3:$D$1052,$J136)))</f>
        <v/>
      </c>
      <c r="F136" s="21" t="str">
        <f aca="false">IF($J136="","",IF(INDEX('DỮ LIỆU'!$H$3:$H$1052,$J136)="","",INDEX('DỮ LIỆU'!$H$3:$H$1052,$J136)))</f>
        <v/>
      </c>
      <c r="G136" s="13" t="str">
        <f aca="false">IF($J136="","",N(INDEX('DỮ LIỆU'!$I$3:$I$1052,$J136)))</f>
        <v/>
      </c>
      <c r="H136" s="13" t="str">
        <f aca="false">IF($J136="","",N(INDEX('DỮ LIỆU'!$M$3:$M$1052,$J136)))</f>
        <v/>
      </c>
      <c r="I136" s="13" t="str">
        <f aca="false">IF($J136="","",N(INDEX('DỮ LIỆU'!$N$3:$N$1052,$J136)))</f>
        <v/>
      </c>
      <c r="J136" s="0" t="str">
        <f aca="false">IFERROR(MATCH(120,'DỮ LIỆU'!$Y$3:$Y$1052,0),"")</f>
        <v/>
      </c>
    </row>
    <row r="137" customFormat="false" ht="15" hidden="false" customHeight="false" outlineLevel="0" collapsed="false">
      <c r="A137" s="21" t="str">
        <f aca="false">IF($J137="","",121)</f>
        <v/>
      </c>
      <c r="B137" s="13" t="str">
        <f aca="false">IF($J137="","",INDEX('DỮ LIỆU'!$A$3:$A$1052,$J137))</f>
        <v/>
      </c>
      <c r="C137" s="41" t="str">
        <f aca="false">IF($J137="","",IF(INDEX('DỮ LIỆU'!$B$3:$B$1052,$J137)="","",INDEX('DỮ LIỆU'!$B$3:$B$1052,$J137)))</f>
        <v/>
      </c>
      <c r="D137" s="21" t="str">
        <f aca="false">IF($J137="","",IF(INDEX('DỮ LIỆU'!$C$3:$C$1052,$J137)="","",INDEX('DỮ LIỆU'!$C$3:$C$1052,$J137)))</f>
        <v/>
      </c>
      <c r="E137" s="21" t="str">
        <f aca="false">IF($J137="","",IF(INDEX('DỮ LIỆU'!$D$3:$D$1052,$J137)="","",INDEX('DỮ LIỆU'!$D$3:$D$1052,$J137)))</f>
        <v/>
      </c>
      <c r="F137" s="21" t="str">
        <f aca="false">IF($J137="","",IF(INDEX('DỮ LIỆU'!$H$3:$H$1052,$J137)="","",INDEX('DỮ LIỆU'!$H$3:$H$1052,$J137)))</f>
        <v/>
      </c>
      <c r="G137" s="13" t="str">
        <f aca="false">IF($J137="","",N(INDEX('DỮ LIỆU'!$I$3:$I$1052,$J137)))</f>
        <v/>
      </c>
      <c r="H137" s="13" t="str">
        <f aca="false">IF($J137="","",N(INDEX('DỮ LIỆU'!$M$3:$M$1052,$J137)))</f>
        <v/>
      </c>
      <c r="I137" s="13" t="str">
        <f aca="false">IF($J137="","",N(INDEX('DỮ LIỆU'!$N$3:$N$1052,$J137)))</f>
        <v/>
      </c>
      <c r="J137" s="0" t="str">
        <f aca="false">IFERROR(MATCH(121,'DỮ LIỆU'!$Y$3:$Y$1052,0),"")</f>
        <v/>
      </c>
    </row>
    <row r="138" customFormat="false" ht="15" hidden="false" customHeight="false" outlineLevel="0" collapsed="false">
      <c r="A138" s="21" t="str">
        <f aca="false">IF($J138="","",122)</f>
        <v/>
      </c>
      <c r="B138" s="13" t="str">
        <f aca="false">IF($J138="","",INDEX('DỮ LIỆU'!$A$3:$A$1052,$J138))</f>
        <v/>
      </c>
      <c r="C138" s="41" t="str">
        <f aca="false">IF($J138="","",IF(INDEX('DỮ LIỆU'!$B$3:$B$1052,$J138)="","",INDEX('DỮ LIỆU'!$B$3:$B$1052,$J138)))</f>
        <v/>
      </c>
      <c r="D138" s="21" t="str">
        <f aca="false">IF($J138="","",IF(INDEX('DỮ LIỆU'!$C$3:$C$1052,$J138)="","",INDEX('DỮ LIỆU'!$C$3:$C$1052,$J138)))</f>
        <v/>
      </c>
      <c r="E138" s="21" t="str">
        <f aca="false">IF($J138="","",IF(INDEX('DỮ LIỆU'!$D$3:$D$1052,$J138)="","",INDEX('DỮ LIỆU'!$D$3:$D$1052,$J138)))</f>
        <v/>
      </c>
      <c r="F138" s="21" t="str">
        <f aca="false">IF($J138="","",IF(INDEX('DỮ LIỆU'!$H$3:$H$1052,$J138)="","",INDEX('DỮ LIỆU'!$H$3:$H$1052,$J138)))</f>
        <v/>
      </c>
      <c r="G138" s="13" t="str">
        <f aca="false">IF($J138="","",N(INDEX('DỮ LIỆU'!$I$3:$I$1052,$J138)))</f>
        <v/>
      </c>
      <c r="H138" s="13" t="str">
        <f aca="false">IF($J138="","",N(INDEX('DỮ LIỆU'!$M$3:$M$1052,$J138)))</f>
        <v/>
      </c>
      <c r="I138" s="13" t="str">
        <f aca="false">IF($J138="","",N(INDEX('DỮ LIỆU'!$N$3:$N$1052,$J138)))</f>
        <v/>
      </c>
      <c r="J138" s="0" t="str">
        <f aca="false">IFERROR(MATCH(122,'DỮ LIỆU'!$Y$3:$Y$1052,0),"")</f>
        <v/>
      </c>
    </row>
    <row r="139" customFormat="false" ht="15" hidden="false" customHeight="false" outlineLevel="0" collapsed="false">
      <c r="A139" s="21" t="str">
        <f aca="false">IF($J139="","",123)</f>
        <v/>
      </c>
      <c r="B139" s="13" t="str">
        <f aca="false">IF($J139="","",INDEX('DỮ LIỆU'!$A$3:$A$1052,$J139))</f>
        <v/>
      </c>
      <c r="C139" s="41" t="str">
        <f aca="false">IF($J139="","",IF(INDEX('DỮ LIỆU'!$B$3:$B$1052,$J139)="","",INDEX('DỮ LIỆU'!$B$3:$B$1052,$J139)))</f>
        <v/>
      </c>
      <c r="D139" s="21" t="str">
        <f aca="false">IF($J139="","",IF(INDEX('DỮ LIỆU'!$C$3:$C$1052,$J139)="","",INDEX('DỮ LIỆU'!$C$3:$C$1052,$J139)))</f>
        <v/>
      </c>
      <c r="E139" s="21" t="str">
        <f aca="false">IF($J139="","",IF(INDEX('DỮ LIỆU'!$D$3:$D$1052,$J139)="","",INDEX('DỮ LIỆU'!$D$3:$D$1052,$J139)))</f>
        <v/>
      </c>
      <c r="F139" s="21" t="str">
        <f aca="false">IF($J139="","",IF(INDEX('DỮ LIỆU'!$H$3:$H$1052,$J139)="","",INDEX('DỮ LIỆU'!$H$3:$H$1052,$J139)))</f>
        <v/>
      </c>
      <c r="G139" s="13" t="str">
        <f aca="false">IF($J139="","",N(INDEX('DỮ LIỆU'!$I$3:$I$1052,$J139)))</f>
        <v/>
      </c>
      <c r="H139" s="13" t="str">
        <f aca="false">IF($J139="","",N(INDEX('DỮ LIỆU'!$M$3:$M$1052,$J139)))</f>
        <v/>
      </c>
      <c r="I139" s="13" t="str">
        <f aca="false">IF($J139="","",N(INDEX('DỮ LIỆU'!$N$3:$N$1052,$J139)))</f>
        <v/>
      </c>
      <c r="J139" s="0" t="str">
        <f aca="false">IFERROR(MATCH(123,'DỮ LIỆU'!$Y$3:$Y$1052,0),"")</f>
        <v/>
      </c>
    </row>
    <row r="140" customFormat="false" ht="15" hidden="false" customHeight="false" outlineLevel="0" collapsed="false">
      <c r="A140" s="21" t="str">
        <f aca="false">IF($J140="","",124)</f>
        <v/>
      </c>
      <c r="B140" s="13" t="str">
        <f aca="false">IF($J140="","",INDEX('DỮ LIỆU'!$A$3:$A$1052,$J140))</f>
        <v/>
      </c>
      <c r="C140" s="41" t="str">
        <f aca="false">IF($J140="","",IF(INDEX('DỮ LIỆU'!$B$3:$B$1052,$J140)="","",INDEX('DỮ LIỆU'!$B$3:$B$1052,$J140)))</f>
        <v/>
      </c>
      <c r="D140" s="21" t="str">
        <f aca="false">IF($J140="","",IF(INDEX('DỮ LIỆU'!$C$3:$C$1052,$J140)="","",INDEX('DỮ LIỆU'!$C$3:$C$1052,$J140)))</f>
        <v/>
      </c>
      <c r="E140" s="21" t="str">
        <f aca="false">IF($J140="","",IF(INDEX('DỮ LIỆU'!$D$3:$D$1052,$J140)="","",INDEX('DỮ LIỆU'!$D$3:$D$1052,$J140)))</f>
        <v/>
      </c>
      <c r="F140" s="21" t="str">
        <f aca="false">IF($J140="","",IF(INDEX('DỮ LIỆU'!$H$3:$H$1052,$J140)="","",INDEX('DỮ LIỆU'!$H$3:$H$1052,$J140)))</f>
        <v/>
      </c>
      <c r="G140" s="13" t="str">
        <f aca="false">IF($J140="","",N(INDEX('DỮ LIỆU'!$I$3:$I$1052,$J140)))</f>
        <v/>
      </c>
      <c r="H140" s="13" t="str">
        <f aca="false">IF($J140="","",N(INDEX('DỮ LIỆU'!$M$3:$M$1052,$J140)))</f>
        <v/>
      </c>
      <c r="I140" s="13" t="str">
        <f aca="false">IF($J140="","",N(INDEX('DỮ LIỆU'!$N$3:$N$1052,$J140)))</f>
        <v/>
      </c>
      <c r="J140" s="0" t="str">
        <f aca="false">IFERROR(MATCH(124,'DỮ LIỆU'!$Y$3:$Y$1052,0),"")</f>
        <v/>
      </c>
    </row>
    <row r="141" customFormat="false" ht="15" hidden="false" customHeight="false" outlineLevel="0" collapsed="false">
      <c r="A141" s="21" t="str">
        <f aca="false">IF($J141="","",125)</f>
        <v/>
      </c>
      <c r="B141" s="13" t="str">
        <f aca="false">IF($J141="","",INDEX('DỮ LIỆU'!$A$3:$A$1052,$J141))</f>
        <v/>
      </c>
      <c r="C141" s="41" t="str">
        <f aca="false">IF($J141="","",IF(INDEX('DỮ LIỆU'!$B$3:$B$1052,$J141)="","",INDEX('DỮ LIỆU'!$B$3:$B$1052,$J141)))</f>
        <v/>
      </c>
      <c r="D141" s="21" t="str">
        <f aca="false">IF($J141="","",IF(INDEX('DỮ LIỆU'!$C$3:$C$1052,$J141)="","",INDEX('DỮ LIỆU'!$C$3:$C$1052,$J141)))</f>
        <v/>
      </c>
      <c r="E141" s="21" t="str">
        <f aca="false">IF($J141="","",IF(INDEX('DỮ LIỆU'!$D$3:$D$1052,$J141)="","",INDEX('DỮ LIỆU'!$D$3:$D$1052,$J141)))</f>
        <v/>
      </c>
      <c r="F141" s="21" t="str">
        <f aca="false">IF($J141="","",IF(INDEX('DỮ LIỆU'!$H$3:$H$1052,$J141)="","",INDEX('DỮ LIỆU'!$H$3:$H$1052,$J141)))</f>
        <v/>
      </c>
      <c r="G141" s="13" t="str">
        <f aca="false">IF($J141="","",N(INDEX('DỮ LIỆU'!$I$3:$I$1052,$J141)))</f>
        <v/>
      </c>
      <c r="H141" s="13" t="str">
        <f aca="false">IF($J141="","",N(INDEX('DỮ LIỆU'!$M$3:$M$1052,$J141)))</f>
        <v/>
      </c>
      <c r="I141" s="13" t="str">
        <f aca="false">IF($J141="","",N(INDEX('DỮ LIỆU'!$N$3:$N$1052,$J141)))</f>
        <v/>
      </c>
      <c r="J141" s="0" t="str">
        <f aca="false">IFERROR(MATCH(125,'DỮ LIỆU'!$Y$3:$Y$1052,0),"")</f>
        <v/>
      </c>
    </row>
    <row r="142" customFormat="false" ht="15" hidden="false" customHeight="false" outlineLevel="0" collapsed="false">
      <c r="A142" s="21" t="str">
        <f aca="false">IF($J142="","",126)</f>
        <v/>
      </c>
      <c r="B142" s="13" t="str">
        <f aca="false">IF($J142="","",INDEX('DỮ LIỆU'!$A$3:$A$1052,$J142))</f>
        <v/>
      </c>
      <c r="C142" s="41" t="str">
        <f aca="false">IF($J142="","",IF(INDEX('DỮ LIỆU'!$B$3:$B$1052,$J142)="","",INDEX('DỮ LIỆU'!$B$3:$B$1052,$J142)))</f>
        <v/>
      </c>
      <c r="D142" s="21" t="str">
        <f aca="false">IF($J142="","",IF(INDEX('DỮ LIỆU'!$C$3:$C$1052,$J142)="","",INDEX('DỮ LIỆU'!$C$3:$C$1052,$J142)))</f>
        <v/>
      </c>
      <c r="E142" s="21" t="str">
        <f aca="false">IF($J142="","",IF(INDEX('DỮ LIỆU'!$D$3:$D$1052,$J142)="","",INDEX('DỮ LIỆU'!$D$3:$D$1052,$J142)))</f>
        <v/>
      </c>
      <c r="F142" s="21" t="str">
        <f aca="false">IF($J142="","",IF(INDEX('DỮ LIỆU'!$H$3:$H$1052,$J142)="","",INDEX('DỮ LIỆU'!$H$3:$H$1052,$J142)))</f>
        <v/>
      </c>
      <c r="G142" s="13" t="str">
        <f aca="false">IF($J142="","",N(INDEX('DỮ LIỆU'!$I$3:$I$1052,$J142)))</f>
        <v/>
      </c>
      <c r="H142" s="13" t="str">
        <f aca="false">IF($J142="","",N(INDEX('DỮ LIỆU'!$M$3:$M$1052,$J142)))</f>
        <v/>
      </c>
      <c r="I142" s="13" t="str">
        <f aca="false">IF($J142="","",N(INDEX('DỮ LIỆU'!$N$3:$N$1052,$J142)))</f>
        <v/>
      </c>
      <c r="J142" s="0" t="str">
        <f aca="false">IFERROR(MATCH(126,'DỮ LIỆU'!$Y$3:$Y$1052,0),"")</f>
        <v/>
      </c>
    </row>
    <row r="143" customFormat="false" ht="15" hidden="false" customHeight="false" outlineLevel="0" collapsed="false">
      <c r="A143" s="21" t="str">
        <f aca="false">IF($J143="","",127)</f>
        <v/>
      </c>
      <c r="B143" s="13" t="str">
        <f aca="false">IF($J143="","",INDEX('DỮ LIỆU'!$A$3:$A$1052,$J143))</f>
        <v/>
      </c>
      <c r="C143" s="41" t="str">
        <f aca="false">IF($J143="","",IF(INDEX('DỮ LIỆU'!$B$3:$B$1052,$J143)="","",INDEX('DỮ LIỆU'!$B$3:$B$1052,$J143)))</f>
        <v/>
      </c>
      <c r="D143" s="21" t="str">
        <f aca="false">IF($J143="","",IF(INDEX('DỮ LIỆU'!$C$3:$C$1052,$J143)="","",INDEX('DỮ LIỆU'!$C$3:$C$1052,$J143)))</f>
        <v/>
      </c>
      <c r="E143" s="21" t="str">
        <f aca="false">IF($J143="","",IF(INDEX('DỮ LIỆU'!$D$3:$D$1052,$J143)="","",INDEX('DỮ LIỆU'!$D$3:$D$1052,$J143)))</f>
        <v/>
      </c>
      <c r="F143" s="21" t="str">
        <f aca="false">IF($J143="","",IF(INDEX('DỮ LIỆU'!$H$3:$H$1052,$J143)="","",INDEX('DỮ LIỆU'!$H$3:$H$1052,$J143)))</f>
        <v/>
      </c>
      <c r="G143" s="13" t="str">
        <f aca="false">IF($J143="","",N(INDEX('DỮ LIỆU'!$I$3:$I$1052,$J143)))</f>
        <v/>
      </c>
      <c r="H143" s="13" t="str">
        <f aca="false">IF($J143="","",N(INDEX('DỮ LIỆU'!$M$3:$M$1052,$J143)))</f>
        <v/>
      </c>
      <c r="I143" s="13" t="str">
        <f aca="false">IF($J143="","",N(INDEX('DỮ LIỆU'!$N$3:$N$1052,$J143)))</f>
        <v/>
      </c>
      <c r="J143" s="0" t="str">
        <f aca="false">IFERROR(MATCH(127,'DỮ LIỆU'!$Y$3:$Y$1052,0),"")</f>
        <v/>
      </c>
    </row>
    <row r="144" customFormat="false" ht="15" hidden="false" customHeight="false" outlineLevel="0" collapsed="false">
      <c r="A144" s="21" t="str">
        <f aca="false">IF($J144="","",128)</f>
        <v/>
      </c>
      <c r="B144" s="13" t="str">
        <f aca="false">IF($J144="","",INDEX('DỮ LIỆU'!$A$3:$A$1052,$J144))</f>
        <v/>
      </c>
      <c r="C144" s="41" t="str">
        <f aca="false">IF($J144="","",IF(INDEX('DỮ LIỆU'!$B$3:$B$1052,$J144)="","",INDEX('DỮ LIỆU'!$B$3:$B$1052,$J144)))</f>
        <v/>
      </c>
      <c r="D144" s="21" t="str">
        <f aca="false">IF($J144="","",IF(INDEX('DỮ LIỆU'!$C$3:$C$1052,$J144)="","",INDEX('DỮ LIỆU'!$C$3:$C$1052,$J144)))</f>
        <v/>
      </c>
      <c r="E144" s="21" t="str">
        <f aca="false">IF($J144="","",IF(INDEX('DỮ LIỆU'!$D$3:$D$1052,$J144)="","",INDEX('DỮ LIỆU'!$D$3:$D$1052,$J144)))</f>
        <v/>
      </c>
      <c r="F144" s="21" t="str">
        <f aca="false">IF($J144="","",IF(INDEX('DỮ LIỆU'!$H$3:$H$1052,$J144)="","",INDEX('DỮ LIỆU'!$H$3:$H$1052,$J144)))</f>
        <v/>
      </c>
      <c r="G144" s="13" t="str">
        <f aca="false">IF($J144="","",N(INDEX('DỮ LIỆU'!$I$3:$I$1052,$J144)))</f>
        <v/>
      </c>
      <c r="H144" s="13" t="str">
        <f aca="false">IF($J144="","",N(INDEX('DỮ LIỆU'!$M$3:$M$1052,$J144)))</f>
        <v/>
      </c>
      <c r="I144" s="13" t="str">
        <f aca="false">IF($J144="","",N(INDEX('DỮ LIỆU'!$N$3:$N$1052,$J144)))</f>
        <v/>
      </c>
      <c r="J144" s="0" t="str">
        <f aca="false">IFERROR(MATCH(128,'DỮ LIỆU'!$Y$3:$Y$1052,0),"")</f>
        <v/>
      </c>
    </row>
    <row r="145" customFormat="false" ht="15" hidden="false" customHeight="false" outlineLevel="0" collapsed="false">
      <c r="A145" s="21" t="str">
        <f aca="false">IF($J145="","",129)</f>
        <v/>
      </c>
      <c r="B145" s="13" t="str">
        <f aca="false">IF($J145="","",INDEX('DỮ LIỆU'!$A$3:$A$1052,$J145))</f>
        <v/>
      </c>
      <c r="C145" s="41" t="str">
        <f aca="false">IF($J145="","",IF(INDEX('DỮ LIỆU'!$B$3:$B$1052,$J145)="","",INDEX('DỮ LIỆU'!$B$3:$B$1052,$J145)))</f>
        <v/>
      </c>
      <c r="D145" s="21" t="str">
        <f aca="false">IF($J145="","",IF(INDEX('DỮ LIỆU'!$C$3:$C$1052,$J145)="","",INDEX('DỮ LIỆU'!$C$3:$C$1052,$J145)))</f>
        <v/>
      </c>
      <c r="E145" s="21" t="str">
        <f aca="false">IF($J145="","",IF(INDEX('DỮ LIỆU'!$D$3:$D$1052,$J145)="","",INDEX('DỮ LIỆU'!$D$3:$D$1052,$J145)))</f>
        <v/>
      </c>
      <c r="F145" s="21" t="str">
        <f aca="false">IF($J145="","",IF(INDEX('DỮ LIỆU'!$H$3:$H$1052,$J145)="","",INDEX('DỮ LIỆU'!$H$3:$H$1052,$J145)))</f>
        <v/>
      </c>
      <c r="G145" s="13" t="str">
        <f aca="false">IF($J145="","",N(INDEX('DỮ LIỆU'!$I$3:$I$1052,$J145)))</f>
        <v/>
      </c>
      <c r="H145" s="13" t="str">
        <f aca="false">IF($J145="","",N(INDEX('DỮ LIỆU'!$M$3:$M$1052,$J145)))</f>
        <v/>
      </c>
      <c r="I145" s="13" t="str">
        <f aca="false">IF($J145="","",N(INDEX('DỮ LIỆU'!$N$3:$N$1052,$J145)))</f>
        <v/>
      </c>
      <c r="J145" s="0" t="str">
        <f aca="false">IFERROR(MATCH(129,'DỮ LIỆU'!$Y$3:$Y$1052,0),"")</f>
        <v/>
      </c>
    </row>
    <row r="146" customFormat="false" ht="15" hidden="false" customHeight="false" outlineLevel="0" collapsed="false">
      <c r="A146" s="21" t="str">
        <f aca="false">IF($J146="","",130)</f>
        <v/>
      </c>
      <c r="B146" s="13" t="str">
        <f aca="false">IF($J146="","",INDEX('DỮ LIỆU'!$A$3:$A$1052,$J146))</f>
        <v/>
      </c>
      <c r="C146" s="41" t="str">
        <f aca="false">IF($J146="","",IF(INDEX('DỮ LIỆU'!$B$3:$B$1052,$J146)="","",INDEX('DỮ LIỆU'!$B$3:$B$1052,$J146)))</f>
        <v/>
      </c>
      <c r="D146" s="21" t="str">
        <f aca="false">IF($J146="","",IF(INDEX('DỮ LIỆU'!$C$3:$C$1052,$J146)="","",INDEX('DỮ LIỆU'!$C$3:$C$1052,$J146)))</f>
        <v/>
      </c>
      <c r="E146" s="21" t="str">
        <f aca="false">IF($J146="","",IF(INDEX('DỮ LIỆU'!$D$3:$D$1052,$J146)="","",INDEX('DỮ LIỆU'!$D$3:$D$1052,$J146)))</f>
        <v/>
      </c>
      <c r="F146" s="21" t="str">
        <f aca="false">IF($J146="","",IF(INDEX('DỮ LIỆU'!$H$3:$H$1052,$J146)="","",INDEX('DỮ LIỆU'!$H$3:$H$1052,$J146)))</f>
        <v/>
      </c>
      <c r="G146" s="13" t="str">
        <f aca="false">IF($J146="","",N(INDEX('DỮ LIỆU'!$I$3:$I$1052,$J146)))</f>
        <v/>
      </c>
      <c r="H146" s="13" t="str">
        <f aca="false">IF($J146="","",N(INDEX('DỮ LIỆU'!$M$3:$M$1052,$J146)))</f>
        <v/>
      </c>
      <c r="I146" s="13" t="str">
        <f aca="false">IF($J146="","",N(INDEX('DỮ LIỆU'!$N$3:$N$1052,$J146)))</f>
        <v/>
      </c>
      <c r="J146" s="0" t="str">
        <f aca="false">IFERROR(MATCH(130,'DỮ LIỆU'!$Y$3:$Y$1052,0),"")</f>
        <v/>
      </c>
    </row>
    <row r="147" customFormat="false" ht="15" hidden="false" customHeight="false" outlineLevel="0" collapsed="false">
      <c r="A147" s="21" t="str">
        <f aca="false">IF($J147="","",131)</f>
        <v/>
      </c>
      <c r="B147" s="13" t="str">
        <f aca="false">IF($J147="","",INDEX('DỮ LIỆU'!$A$3:$A$1052,$J147))</f>
        <v/>
      </c>
      <c r="C147" s="41" t="str">
        <f aca="false">IF($J147="","",IF(INDEX('DỮ LIỆU'!$B$3:$B$1052,$J147)="","",INDEX('DỮ LIỆU'!$B$3:$B$1052,$J147)))</f>
        <v/>
      </c>
      <c r="D147" s="21" t="str">
        <f aca="false">IF($J147="","",IF(INDEX('DỮ LIỆU'!$C$3:$C$1052,$J147)="","",INDEX('DỮ LIỆU'!$C$3:$C$1052,$J147)))</f>
        <v/>
      </c>
      <c r="E147" s="21" t="str">
        <f aca="false">IF($J147="","",IF(INDEX('DỮ LIỆU'!$D$3:$D$1052,$J147)="","",INDEX('DỮ LIỆU'!$D$3:$D$1052,$J147)))</f>
        <v/>
      </c>
      <c r="F147" s="21" t="str">
        <f aca="false">IF($J147="","",IF(INDEX('DỮ LIỆU'!$H$3:$H$1052,$J147)="","",INDEX('DỮ LIỆU'!$H$3:$H$1052,$J147)))</f>
        <v/>
      </c>
      <c r="G147" s="13" t="str">
        <f aca="false">IF($J147="","",N(INDEX('DỮ LIỆU'!$I$3:$I$1052,$J147)))</f>
        <v/>
      </c>
      <c r="H147" s="13" t="str">
        <f aca="false">IF($J147="","",N(INDEX('DỮ LIỆU'!$M$3:$M$1052,$J147)))</f>
        <v/>
      </c>
      <c r="I147" s="13" t="str">
        <f aca="false">IF($J147="","",N(INDEX('DỮ LIỆU'!$N$3:$N$1052,$J147)))</f>
        <v/>
      </c>
      <c r="J147" s="0" t="str">
        <f aca="false">IFERROR(MATCH(131,'DỮ LIỆU'!$Y$3:$Y$1052,0),"")</f>
        <v/>
      </c>
    </row>
    <row r="148" customFormat="false" ht="15" hidden="false" customHeight="false" outlineLevel="0" collapsed="false">
      <c r="A148" s="21" t="str">
        <f aca="false">IF($J148="","",132)</f>
        <v/>
      </c>
      <c r="B148" s="13" t="str">
        <f aca="false">IF($J148="","",INDEX('DỮ LIỆU'!$A$3:$A$1052,$J148))</f>
        <v/>
      </c>
      <c r="C148" s="41" t="str">
        <f aca="false">IF($J148="","",IF(INDEX('DỮ LIỆU'!$B$3:$B$1052,$J148)="","",INDEX('DỮ LIỆU'!$B$3:$B$1052,$J148)))</f>
        <v/>
      </c>
      <c r="D148" s="21" t="str">
        <f aca="false">IF($J148="","",IF(INDEX('DỮ LIỆU'!$C$3:$C$1052,$J148)="","",INDEX('DỮ LIỆU'!$C$3:$C$1052,$J148)))</f>
        <v/>
      </c>
      <c r="E148" s="21" t="str">
        <f aca="false">IF($J148="","",IF(INDEX('DỮ LIỆU'!$D$3:$D$1052,$J148)="","",INDEX('DỮ LIỆU'!$D$3:$D$1052,$J148)))</f>
        <v/>
      </c>
      <c r="F148" s="21" t="str">
        <f aca="false">IF($J148="","",IF(INDEX('DỮ LIỆU'!$H$3:$H$1052,$J148)="","",INDEX('DỮ LIỆU'!$H$3:$H$1052,$J148)))</f>
        <v/>
      </c>
      <c r="G148" s="13" t="str">
        <f aca="false">IF($J148="","",N(INDEX('DỮ LIỆU'!$I$3:$I$1052,$J148)))</f>
        <v/>
      </c>
      <c r="H148" s="13" t="str">
        <f aca="false">IF($J148="","",N(INDEX('DỮ LIỆU'!$M$3:$M$1052,$J148)))</f>
        <v/>
      </c>
      <c r="I148" s="13" t="str">
        <f aca="false">IF($J148="","",N(INDEX('DỮ LIỆU'!$N$3:$N$1052,$J148)))</f>
        <v/>
      </c>
      <c r="J148" s="0" t="str">
        <f aca="false">IFERROR(MATCH(132,'DỮ LIỆU'!$Y$3:$Y$1052,0),"")</f>
        <v/>
      </c>
    </row>
    <row r="149" customFormat="false" ht="15" hidden="false" customHeight="false" outlineLevel="0" collapsed="false">
      <c r="A149" s="21" t="str">
        <f aca="false">IF($J149="","",133)</f>
        <v/>
      </c>
      <c r="B149" s="13" t="str">
        <f aca="false">IF($J149="","",INDEX('DỮ LIỆU'!$A$3:$A$1052,$J149))</f>
        <v/>
      </c>
      <c r="C149" s="41" t="str">
        <f aca="false">IF($J149="","",IF(INDEX('DỮ LIỆU'!$B$3:$B$1052,$J149)="","",INDEX('DỮ LIỆU'!$B$3:$B$1052,$J149)))</f>
        <v/>
      </c>
      <c r="D149" s="21" t="str">
        <f aca="false">IF($J149="","",IF(INDEX('DỮ LIỆU'!$C$3:$C$1052,$J149)="","",INDEX('DỮ LIỆU'!$C$3:$C$1052,$J149)))</f>
        <v/>
      </c>
      <c r="E149" s="21" t="str">
        <f aca="false">IF($J149="","",IF(INDEX('DỮ LIỆU'!$D$3:$D$1052,$J149)="","",INDEX('DỮ LIỆU'!$D$3:$D$1052,$J149)))</f>
        <v/>
      </c>
      <c r="F149" s="21" t="str">
        <f aca="false">IF($J149="","",IF(INDEX('DỮ LIỆU'!$H$3:$H$1052,$J149)="","",INDEX('DỮ LIỆU'!$H$3:$H$1052,$J149)))</f>
        <v/>
      </c>
      <c r="G149" s="13" t="str">
        <f aca="false">IF($J149="","",N(INDEX('DỮ LIỆU'!$I$3:$I$1052,$J149)))</f>
        <v/>
      </c>
      <c r="H149" s="13" t="str">
        <f aca="false">IF($J149="","",N(INDEX('DỮ LIỆU'!$M$3:$M$1052,$J149)))</f>
        <v/>
      </c>
      <c r="I149" s="13" t="str">
        <f aca="false">IF($J149="","",N(INDEX('DỮ LIỆU'!$N$3:$N$1052,$J149)))</f>
        <v/>
      </c>
      <c r="J149" s="0" t="str">
        <f aca="false">IFERROR(MATCH(133,'DỮ LIỆU'!$Y$3:$Y$1052,0),"")</f>
        <v/>
      </c>
    </row>
    <row r="150" customFormat="false" ht="15" hidden="false" customHeight="false" outlineLevel="0" collapsed="false">
      <c r="A150" s="21" t="str">
        <f aca="false">IF($J150="","",134)</f>
        <v/>
      </c>
      <c r="B150" s="13" t="str">
        <f aca="false">IF($J150="","",INDEX('DỮ LIỆU'!$A$3:$A$1052,$J150))</f>
        <v/>
      </c>
      <c r="C150" s="41" t="str">
        <f aca="false">IF($J150="","",IF(INDEX('DỮ LIỆU'!$B$3:$B$1052,$J150)="","",INDEX('DỮ LIỆU'!$B$3:$B$1052,$J150)))</f>
        <v/>
      </c>
      <c r="D150" s="21" t="str">
        <f aca="false">IF($J150="","",IF(INDEX('DỮ LIỆU'!$C$3:$C$1052,$J150)="","",INDEX('DỮ LIỆU'!$C$3:$C$1052,$J150)))</f>
        <v/>
      </c>
      <c r="E150" s="21" t="str">
        <f aca="false">IF($J150="","",IF(INDEX('DỮ LIỆU'!$D$3:$D$1052,$J150)="","",INDEX('DỮ LIỆU'!$D$3:$D$1052,$J150)))</f>
        <v/>
      </c>
      <c r="F150" s="21" t="str">
        <f aca="false">IF($J150="","",IF(INDEX('DỮ LIỆU'!$H$3:$H$1052,$J150)="","",INDEX('DỮ LIỆU'!$H$3:$H$1052,$J150)))</f>
        <v/>
      </c>
      <c r="G150" s="13" t="str">
        <f aca="false">IF($J150="","",N(INDEX('DỮ LIỆU'!$I$3:$I$1052,$J150)))</f>
        <v/>
      </c>
      <c r="H150" s="13" t="str">
        <f aca="false">IF($J150="","",N(INDEX('DỮ LIỆU'!$M$3:$M$1052,$J150)))</f>
        <v/>
      </c>
      <c r="I150" s="13" t="str">
        <f aca="false">IF($J150="","",N(INDEX('DỮ LIỆU'!$N$3:$N$1052,$J150)))</f>
        <v/>
      </c>
      <c r="J150" s="0" t="str">
        <f aca="false">IFERROR(MATCH(134,'DỮ LIỆU'!$Y$3:$Y$1052,0),"")</f>
        <v/>
      </c>
    </row>
    <row r="151" customFormat="false" ht="15" hidden="false" customHeight="false" outlineLevel="0" collapsed="false">
      <c r="A151" s="21" t="str">
        <f aca="false">IF($J151="","",135)</f>
        <v/>
      </c>
      <c r="B151" s="13" t="str">
        <f aca="false">IF($J151="","",INDEX('DỮ LIỆU'!$A$3:$A$1052,$J151))</f>
        <v/>
      </c>
      <c r="C151" s="41" t="str">
        <f aca="false">IF($J151="","",IF(INDEX('DỮ LIỆU'!$B$3:$B$1052,$J151)="","",INDEX('DỮ LIỆU'!$B$3:$B$1052,$J151)))</f>
        <v/>
      </c>
      <c r="D151" s="21" t="str">
        <f aca="false">IF($J151="","",IF(INDEX('DỮ LIỆU'!$C$3:$C$1052,$J151)="","",INDEX('DỮ LIỆU'!$C$3:$C$1052,$J151)))</f>
        <v/>
      </c>
      <c r="E151" s="21" t="str">
        <f aca="false">IF($J151="","",IF(INDEX('DỮ LIỆU'!$D$3:$D$1052,$J151)="","",INDEX('DỮ LIỆU'!$D$3:$D$1052,$J151)))</f>
        <v/>
      </c>
      <c r="F151" s="21" t="str">
        <f aca="false">IF($J151="","",IF(INDEX('DỮ LIỆU'!$H$3:$H$1052,$J151)="","",INDEX('DỮ LIỆU'!$H$3:$H$1052,$J151)))</f>
        <v/>
      </c>
      <c r="G151" s="13" t="str">
        <f aca="false">IF($J151="","",N(INDEX('DỮ LIỆU'!$I$3:$I$1052,$J151)))</f>
        <v/>
      </c>
      <c r="H151" s="13" t="str">
        <f aca="false">IF($J151="","",N(INDEX('DỮ LIỆU'!$M$3:$M$1052,$J151)))</f>
        <v/>
      </c>
      <c r="I151" s="13" t="str">
        <f aca="false">IF($J151="","",N(INDEX('DỮ LIỆU'!$N$3:$N$1052,$J151)))</f>
        <v/>
      </c>
      <c r="J151" s="0" t="str">
        <f aca="false">IFERROR(MATCH(135,'DỮ LIỆU'!$Y$3:$Y$1052,0),"")</f>
        <v/>
      </c>
    </row>
    <row r="152" customFormat="false" ht="15" hidden="false" customHeight="false" outlineLevel="0" collapsed="false">
      <c r="A152" s="21" t="str">
        <f aca="false">IF($J152="","",136)</f>
        <v/>
      </c>
      <c r="B152" s="13" t="str">
        <f aca="false">IF($J152="","",INDEX('DỮ LIỆU'!$A$3:$A$1052,$J152))</f>
        <v/>
      </c>
      <c r="C152" s="41" t="str">
        <f aca="false">IF($J152="","",IF(INDEX('DỮ LIỆU'!$B$3:$B$1052,$J152)="","",INDEX('DỮ LIỆU'!$B$3:$B$1052,$J152)))</f>
        <v/>
      </c>
      <c r="D152" s="21" t="str">
        <f aca="false">IF($J152="","",IF(INDEX('DỮ LIỆU'!$C$3:$C$1052,$J152)="","",INDEX('DỮ LIỆU'!$C$3:$C$1052,$J152)))</f>
        <v/>
      </c>
      <c r="E152" s="21" t="str">
        <f aca="false">IF($J152="","",IF(INDEX('DỮ LIỆU'!$D$3:$D$1052,$J152)="","",INDEX('DỮ LIỆU'!$D$3:$D$1052,$J152)))</f>
        <v/>
      </c>
      <c r="F152" s="21" t="str">
        <f aca="false">IF($J152="","",IF(INDEX('DỮ LIỆU'!$H$3:$H$1052,$J152)="","",INDEX('DỮ LIỆU'!$H$3:$H$1052,$J152)))</f>
        <v/>
      </c>
      <c r="G152" s="13" t="str">
        <f aca="false">IF($J152="","",N(INDEX('DỮ LIỆU'!$I$3:$I$1052,$J152)))</f>
        <v/>
      </c>
      <c r="H152" s="13" t="str">
        <f aca="false">IF($J152="","",N(INDEX('DỮ LIỆU'!$M$3:$M$1052,$J152)))</f>
        <v/>
      </c>
      <c r="I152" s="13" t="str">
        <f aca="false">IF($J152="","",N(INDEX('DỮ LIỆU'!$N$3:$N$1052,$J152)))</f>
        <v/>
      </c>
      <c r="J152" s="0" t="str">
        <f aca="false">IFERROR(MATCH(136,'DỮ LIỆU'!$Y$3:$Y$1052,0),"")</f>
        <v/>
      </c>
    </row>
    <row r="153" customFormat="false" ht="15" hidden="false" customHeight="false" outlineLevel="0" collapsed="false">
      <c r="A153" s="21" t="str">
        <f aca="false">IF($J153="","",137)</f>
        <v/>
      </c>
      <c r="B153" s="13" t="str">
        <f aca="false">IF($J153="","",INDEX('DỮ LIỆU'!$A$3:$A$1052,$J153))</f>
        <v/>
      </c>
      <c r="C153" s="41" t="str">
        <f aca="false">IF($J153="","",IF(INDEX('DỮ LIỆU'!$B$3:$B$1052,$J153)="","",INDEX('DỮ LIỆU'!$B$3:$B$1052,$J153)))</f>
        <v/>
      </c>
      <c r="D153" s="21" t="str">
        <f aca="false">IF($J153="","",IF(INDEX('DỮ LIỆU'!$C$3:$C$1052,$J153)="","",INDEX('DỮ LIỆU'!$C$3:$C$1052,$J153)))</f>
        <v/>
      </c>
      <c r="E153" s="21" t="str">
        <f aca="false">IF($J153="","",IF(INDEX('DỮ LIỆU'!$D$3:$D$1052,$J153)="","",INDEX('DỮ LIỆU'!$D$3:$D$1052,$J153)))</f>
        <v/>
      </c>
      <c r="F153" s="21" t="str">
        <f aca="false">IF($J153="","",IF(INDEX('DỮ LIỆU'!$H$3:$H$1052,$J153)="","",INDEX('DỮ LIỆU'!$H$3:$H$1052,$J153)))</f>
        <v/>
      </c>
      <c r="G153" s="13" t="str">
        <f aca="false">IF($J153="","",N(INDEX('DỮ LIỆU'!$I$3:$I$1052,$J153)))</f>
        <v/>
      </c>
      <c r="H153" s="13" t="str">
        <f aca="false">IF($J153="","",N(INDEX('DỮ LIỆU'!$M$3:$M$1052,$J153)))</f>
        <v/>
      </c>
      <c r="I153" s="13" t="str">
        <f aca="false">IF($J153="","",N(INDEX('DỮ LIỆU'!$N$3:$N$1052,$J153)))</f>
        <v/>
      </c>
      <c r="J153" s="0" t="str">
        <f aca="false">IFERROR(MATCH(137,'DỮ LIỆU'!$Y$3:$Y$1052,0),"")</f>
        <v/>
      </c>
    </row>
    <row r="154" customFormat="false" ht="15" hidden="false" customHeight="false" outlineLevel="0" collapsed="false">
      <c r="A154" s="21" t="str">
        <f aca="false">IF($J154="","",138)</f>
        <v/>
      </c>
      <c r="B154" s="13" t="str">
        <f aca="false">IF($J154="","",INDEX('DỮ LIỆU'!$A$3:$A$1052,$J154))</f>
        <v/>
      </c>
      <c r="C154" s="41" t="str">
        <f aca="false">IF($J154="","",IF(INDEX('DỮ LIỆU'!$B$3:$B$1052,$J154)="","",INDEX('DỮ LIỆU'!$B$3:$B$1052,$J154)))</f>
        <v/>
      </c>
      <c r="D154" s="21" t="str">
        <f aca="false">IF($J154="","",IF(INDEX('DỮ LIỆU'!$C$3:$C$1052,$J154)="","",INDEX('DỮ LIỆU'!$C$3:$C$1052,$J154)))</f>
        <v/>
      </c>
      <c r="E154" s="21" t="str">
        <f aca="false">IF($J154="","",IF(INDEX('DỮ LIỆU'!$D$3:$D$1052,$J154)="","",INDEX('DỮ LIỆU'!$D$3:$D$1052,$J154)))</f>
        <v/>
      </c>
      <c r="F154" s="21" t="str">
        <f aca="false">IF($J154="","",IF(INDEX('DỮ LIỆU'!$H$3:$H$1052,$J154)="","",INDEX('DỮ LIỆU'!$H$3:$H$1052,$J154)))</f>
        <v/>
      </c>
      <c r="G154" s="13" t="str">
        <f aca="false">IF($J154="","",N(INDEX('DỮ LIỆU'!$I$3:$I$1052,$J154)))</f>
        <v/>
      </c>
      <c r="H154" s="13" t="str">
        <f aca="false">IF($J154="","",N(INDEX('DỮ LIỆU'!$M$3:$M$1052,$J154)))</f>
        <v/>
      </c>
      <c r="I154" s="13" t="str">
        <f aca="false">IF($J154="","",N(INDEX('DỮ LIỆU'!$N$3:$N$1052,$J154)))</f>
        <v/>
      </c>
      <c r="J154" s="0" t="str">
        <f aca="false">IFERROR(MATCH(138,'DỮ LIỆU'!$Y$3:$Y$1052,0),"")</f>
        <v/>
      </c>
    </row>
    <row r="155" customFormat="false" ht="15" hidden="false" customHeight="false" outlineLevel="0" collapsed="false">
      <c r="A155" s="21" t="str">
        <f aca="false">IF($J155="","",139)</f>
        <v/>
      </c>
      <c r="B155" s="13" t="str">
        <f aca="false">IF($J155="","",INDEX('DỮ LIỆU'!$A$3:$A$1052,$J155))</f>
        <v/>
      </c>
      <c r="C155" s="41" t="str">
        <f aca="false">IF($J155="","",IF(INDEX('DỮ LIỆU'!$B$3:$B$1052,$J155)="","",INDEX('DỮ LIỆU'!$B$3:$B$1052,$J155)))</f>
        <v/>
      </c>
      <c r="D155" s="21" t="str">
        <f aca="false">IF($J155="","",IF(INDEX('DỮ LIỆU'!$C$3:$C$1052,$J155)="","",INDEX('DỮ LIỆU'!$C$3:$C$1052,$J155)))</f>
        <v/>
      </c>
      <c r="E155" s="21" t="str">
        <f aca="false">IF($J155="","",IF(INDEX('DỮ LIỆU'!$D$3:$D$1052,$J155)="","",INDEX('DỮ LIỆU'!$D$3:$D$1052,$J155)))</f>
        <v/>
      </c>
      <c r="F155" s="21" t="str">
        <f aca="false">IF($J155="","",IF(INDEX('DỮ LIỆU'!$H$3:$H$1052,$J155)="","",INDEX('DỮ LIỆU'!$H$3:$H$1052,$J155)))</f>
        <v/>
      </c>
      <c r="G155" s="13" t="str">
        <f aca="false">IF($J155="","",N(INDEX('DỮ LIỆU'!$I$3:$I$1052,$J155)))</f>
        <v/>
      </c>
      <c r="H155" s="13" t="str">
        <f aca="false">IF($J155="","",N(INDEX('DỮ LIỆU'!$M$3:$M$1052,$J155)))</f>
        <v/>
      </c>
      <c r="I155" s="13" t="str">
        <f aca="false">IF($J155="","",N(INDEX('DỮ LIỆU'!$N$3:$N$1052,$J155)))</f>
        <v/>
      </c>
      <c r="J155" s="0" t="str">
        <f aca="false">IFERROR(MATCH(139,'DỮ LIỆU'!$Y$3:$Y$1052,0),"")</f>
        <v/>
      </c>
    </row>
    <row r="156" customFormat="false" ht="15" hidden="false" customHeight="false" outlineLevel="0" collapsed="false">
      <c r="A156" s="21" t="str">
        <f aca="false">IF($J156="","",140)</f>
        <v/>
      </c>
      <c r="B156" s="13" t="str">
        <f aca="false">IF($J156="","",INDEX('DỮ LIỆU'!$A$3:$A$1052,$J156))</f>
        <v/>
      </c>
      <c r="C156" s="41" t="str">
        <f aca="false">IF($J156="","",IF(INDEX('DỮ LIỆU'!$B$3:$B$1052,$J156)="","",INDEX('DỮ LIỆU'!$B$3:$B$1052,$J156)))</f>
        <v/>
      </c>
      <c r="D156" s="21" t="str">
        <f aca="false">IF($J156="","",IF(INDEX('DỮ LIỆU'!$C$3:$C$1052,$J156)="","",INDEX('DỮ LIỆU'!$C$3:$C$1052,$J156)))</f>
        <v/>
      </c>
      <c r="E156" s="21" t="str">
        <f aca="false">IF($J156="","",IF(INDEX('DỮ LIỆU'!$D$3:$D$1052,$J156)="","",INDEX('DỮ LIỆU'!$D$3:$D$1052,$J156)))</f>
        <v/>
      </c>
      <c r="F156" s="21" t="str">
        <f aca="false">IF($J156="","",IF(INDEX('DỮ LIỆU'!$H$3:$H$1052,$J156)="","",INDEX('DỮ LIỆU'!$H$3:$H$1052,$J156)))</f>
        <v/>
      </c>
      <c r="G156" s="13" t="str">
        <f aca="false">IF($J156="","",N(INDEX('DỮ LIỆU'!$I$3:$I$1052,$J156)))</f>
        <v/>
      </c>
      <c r="H156" s="13" t="str">
        <f aca="false">IF($J156="","",N(INDEX('DỮ LIỆU'!$M$3:$M$1052,$J156)))</f>
        <v/>
      </c>
      <c r="I156" s="13" t="str">
        <f aca="false">IF($J156="","",N(INDEX('DỮ LIỆU'!$N$3:$N$1052,$J156)))</f>
        <v/>
      </c>
      <c r="J156" s="0" t="str">
        <f aca="false">IFERROR(MATCH(140,'DỮ LIỆU'!$Y$3:$Y$1052,0),"")</f>
        <v/>
      </c>
    </row>
    <row r="157" customFormat="false" ht="15" hidden="false" customHeight="false" outlineLevel="0" collapsed="false">
      <c r="A157" s="21" t="str">
        <f aca="false">IF($J157="","",141)</f>
        <v/>
      </c>
      <c r="B157" s="13" t="str">
        <f aca="false">IF($J157="","",INDEX('DỮ LIỆU'!$A$3:$A$1052,$J157))</f>
        <v/>
      </c>
      <c r="C157" s="41" t="str">
        <f aca="false">IF($J157="","",IF(INDEX('DỮ LIỆU'!$B$3:$B$1052,$J157)="","",INDEX('DỮ LIỆU'!$B$3:$B$1052,$J157)))</f>
        <v/>
      </c>
      <c r="D157" s="21" t="str">
        <f aca="false">IF($J157="","",IF(INDEX('DỮ LIỆU'!$C$3:$C$1052,$J157)="","",INDEX('DỮ LIỆU'!$C$3:$C$1052,$J157)))</f>
        <v/>
      </c>
      <c r="E157" s="21" t="str">
        <f aca="false">IF($J157="","",IF(INDEX('DỮ LIỆU'!$D$3:$D$1052,$J157)="","",INDEX('DỮ LIỆU'!$D$3:$D$1052,$J157)))</f>
        <v/>
      </c>
      <c r="F157" s="21" t="str">
        <f aca="false">IF($J157="","",IF(INDEX('DỮ LIỆU'!$H$3:$H$1052,$J157)="","",INDEX('DỮ LIỆU'!$H$3:$H$1052,$J157)))</f>
        <v/>
      </c>
      <c r="G157" s="13" t="str">
        <f aca="false">IF($J157="","",N(INDEX('DỮ LIỆU'!$I$3:$I$1052,$J157)))</f>
        <v/>
      </c>
      <c r="H157" s="13" t="str">
        <f aca="false">IF($J157="","",N(INDEX('DỮ LIỆU'!$M$3:$M$1052,$J157)))</f>
        <v/>
      </c>
      <c r="I157" s="13" t="str">
        <f aca="false">IF($J157="","",N(INDEX('DỮ LIỆU'!$N$3:$N$1052,$J157)))</f>
        <v/>
      </c>
      <c r="J157" s="0" t="str">
        <f aca="false">IFERROR(MATCH(141,'DỮ LIỆU'!$Y$3:$Y$1052,0),"")</f>
        <v/>
      </c>
    </row>
    <row r="158" customFormat="false" ht="15" hidden="false" customHeight="false" outlineLevel="0" collapsed="false">
      <c r="A158" s="21" t="str">
        <f aca="false">IF($J158="","",142)</f>
        <v/>
      </c>
      <c r="B158" s="13" t="str">
        <f aca="false">IF($J158="","",INDEX('DỮ LIỆU'!$A$3:$A$1052,$J158))</f>
        <v/>
      </c>
      <c r="C158" s="41" t="str">
        <f aca="false">IF($J158="","",IF(INDEX('DỮ LIỆU'!$B$3:$B$1052,$J158)="","",INDEX('DỮ LIỆU'!$B$3:$B$1052,$J158)))</f>
        <v/>
      </c>
      <c r="D158" s="21" t="str">
        <f aca="false">IF($J158="","",IF(INDEX('DỮ LIỆU'!$C$3:$C$1052,$J158)="","",INDEX('DỮ LIỆU'!$C$3:$C$1052,$J158)))</f>
        <v/>
      </c>
      <c r="E158" s="21" t="str">
        <f aca="false">IF($J158="","",IF(INDEX('DỮ LIỆU'!$D$3:$D$1052,$J158)="","",INDEX('DỮ LIỆU'!$D$3:$D$1052,$J158)))</f>
        <v/>
      </c>
      <c r="F158" s="21" t="str">
        <f aca="false">IF($J158="","",IF(INDEX('DỮ LIỆU'!$H$3:$H$1052,$J158)="","",INDEX('DỮ LIỆU'!$H$3:$H$1052,$J158)))</f>
        <v/>
      </c>
      <c r="G158" s="13" t="str">
        <f aca="false">IF($J158="","",N(INDEX('DỮ LIỆU'!$I$3:$I$1052,$J158)))</f>
        <v/>
      </c>
      <c r="H158" s="13" t="str">
        <f aca="false">IF($J158="","",N(INDEX('DỮ LIỆU'!$M$3:$M$1052,$J158)))</f>
        <v/>
      </c>
      <c r="I158" s="13" t="str">
        <f aca="false">IF($J158="","",N(INDEX('DỮ LIỆU'!$N$3:$N$1052,$J158)))</f>
        <v/>
      </c>
      <c r="J158" s="0" t="str">
        <f aca="false">IFERROR(MATCH(142,'DỮ LIỆU'!$Y$3:$Y$1052,0),"")</f>
        <v/>
      </c>
    </row>
    <row r="159" customFormat="false" ht="15" hidden="false" customHeight="false" outlineLevel="0" collapsed="false">
      <c r="A159" s="21" t="str">
        <f aca="false">IF($J159="","",143)</f>
        <v/>
      </c>
      <c r="B159" s="13" t="str">
        <f aca="false">IF($J159="","",INDEX('DỮ LIỆU'!$A$3:$A$1052,$J159))</f>
        <v/>
      </c>
      <c r="C159" s="41" t="str">
        <f aca="false">IF($J159="","",IF(INDEX('DỮ LIỆU'!$B$3:$B$1052,$J159)="","",INDEX('DỮ LIỆU'!$B$3:$B$1052,$J159)))</f>
        <v/>
      </c>
      <c r="D159" s="21" t="str">
        <f aca="false">IF($J159="","",IF(INDEX('DỮ LIỆU'!$C$3:$C$1052,$J159)="","",INDEX('DỮ LIỆU'!$C$3:$C$1052,$J159)))</f>
        <v/>
      </c>
      <c r="E159" s="21" t="str">
        <f aca="false">IF($J159="","",IF(INDEX('DỮ LIỆU'!$D$3:$D$1052,$J159)="","",INDEX('DỮ LIỆU'!$D$3:$D$1052,$J159)))</f>
        <v/>
      </c>
      <c r="F159" s="21" t="str">
        <f aca="false">IF($J159="","",IF(INDEX('DỮ LIỆU'!$H$3:$H$1052,$J159)="","",INDEX('DỮ LIỆU'!$H$3:$H$1052,$J159)))</f>
        <v/>
      </c>
      <c r="G159" s="13" t="str">
        <f aca="false">IF($J159="","",N(INDEX('DỮ LIỆU'!$I$3:$I$1052,$J159)))</f>
        <v/>
      </c>
      <c r="H159" s="13" t="str">
        <f aca="false">IF($J159="","",N(INDEX('DỮ LIỆU'!$M$3:$M$1052,$J159)))</f>
        <v/>
      </c>
      <c r="I159" s="13" t="str">
        <f aca="false">IF($J159="","",N(INDEX('DỮ LIỆU'!$N$3:$N$1052,$J159)))</f>
        <v/>
      </c>
      <c r="J159" s="0" t="str">
        <f aca="false">IFERROR(MATCH(143,'DỮ LIỆU'!$Y$3:$Y$1052,0),"")</f>
        <v/>
      </c>
    </row>
    <row r="160" customFormat="false" ht="15" hidden="false" customHeight="false" outlineLevel="0" collapsed="false">
      <c r="A160" s="21" t="str">
        <f aca="false">IF($J160="","",144)</f>
        <v/>
      </c>
      <c r="B160" s="13" t="str">
        <f aca="false">IF($J160="","",INDEX('DỮ LIỆU'!$A$3:$A$1052,$J160))</f>
        <v/>
      </c>
      <c r="C160" s="41" t="str">
        <f aca="false">IF($J160="","",IF(INDEX('DỮ LIỆU'!$B$3:$B$1052,$J160)="","",INDEX('DỮ LIỆU'!$B$3:$B$1052,$J160)))</f>
        <v/>
      </c>
      <c r="D160" s="21" t="str">
        <f aca="false">IF($J160="","",IF(INDEX('DỮ LIỆU'!$C$3:$C$1052,$J160)="","",INDEX('DỮ LIỆU'!$C$3:$C$1052,$J160)))</f>
        <v/>
      </c>
      <c r="E160" s="21" t="str">
        <f aca="false">IF($J160="","",IF(INDEX('DỮ LIỆU'!$D$3:$D$1052,$J160)="","",INDEX('DỮ LIỆU'!$D$3:$D$1052,$J160)))</f>
        <v/>
      </c>
      <c r="F160" s="21" t="str">
        <f aca="false">IF($J160="","",IF(INDEX('DỮ LIỆU'!$H$3:$H$1052,$J160)="","",INDEX('DỮ LIỆU'!$H$3:$H$1052,$J160)))</f>
        <v/>
      </c>
      <c r="G160" s="13" t="str">
        <f aca="false">IF($J160="","",N(INDEX('DỮ LIỆU'!$I$3:$I$1052,$J160)))</f>
        <v/>
      </c>
      <c r="H160" s="13" t="str">
        <f aca="false">IF($J160="","",N(INDEX('DỮ LIỆU'!$M$3:$M$1052,$J160)))</f>
        <v/>
      </c>
      <c r="I160" s="13" t="str">
        <f aca="false">IF($J160="","",N(INDEX('DỮ LIỆU'!$N$3:$N$1052,$J160)))</f>
        <v/>
      </c>
      <c r="J160" s="0" t="str">
        <f aca="false">IFERROR(MATCH(144,'DỮ LIỆU'!$Y$3:$Y$1052,0),"")</f>
        <v/>
      </c>
    </row>
    <row r="161" customFormat="false" ht="15" hidden="false" customHeight="false" outlineLevel="0" collapsed="false">
      <c r="A161" s="21" t="str">
        <f aca="false">IF($J161="","",145)</f>
        <v/>
      </c>
      <c r="B161" s="13" t="str">
        <f aca="false">IF($J161="","",INDEX('DỮ LIỆU'!$A$3:$A$1052,$J161))</f>
        <v/>
      </c>
      <c r="C161" s="41" t="str">
        <f aca="false">IF($J161="","",IF(INDEX('DỮ LIỆU'!$B$3:$B$1052,$J161)="","",INDEX('DỮ LIỆU'!$B$3:$B$1052,$J161)))</f>
        <v/>
      </c>
      <c r="D161" s="21" t="str">
        <f aca="false">IF($J161="","",IF(INDEX('DỮ LIỆU'!$C$3:$C$1052,$J161)="","",INDEX('DỮ LIỆU'!$C$3:$C$1052,$J161)))</f>
        <v/>
      </c>
      <c r="E161" s="21" t="str">
        <f aca="false">IF($J161="","",IF(INDEX('DỮ LIỆU'!$D$3:$D$1052,$J161)="","",INDEX('DỮ LIỆU'!$D$3:$D$1052,$J161)))</f>
        <v/>
      </c>
      <c r="F161" s="21" t="str">
        <f aca="false">IF($J161="","",IF(INDEX('DỮ LIỆU'!$H$3:$H$1052,$J161)="","",INDEX('DỮ LIỆU'!$H$3:$H$1052,$J161)))</f>
        <v/>
      </c>
      <c r="G161" s="13" t="str">
        <f aca="false">IF($J161="","",N(INDEX('DỮ LIỆU'!$I$3:$I$1052,$J161)))</f>
        <v/>
      </c>
      <c r="H161" s="13" t="str">
        <f aca="false">IF($J161="","",N(INDEX('DỮ LIỆU'!$M$3:$M$1052,$J161)))</f>
        <v/>
      </c>
      <c r="I161" s="13" t="str">
        <f aca="false">IF($J161="","",N(INDEX('DỮ LIỆU'!$N$3:$N$1052,$J161)))</f>
        <v/>
      </c>
      <c r="J161" s="0" t="str">
        <f aca="false">IFERROR(MATCH(145,'DỮ LIỆU'!$Y$3:$Y$1052,0),"")</f>
        <v/>
      </c>
    </row>
    <row r="162" customFormat="false" ht="15" hidden="false" customHeight="false" outlineLevel="0" collapsed="false">
      <c r="A162" s="21" t="str">
        <f aca="false">IF($J162="","",146)</f>
        <v/>
      </c>
      <c r="B162" s="13" t="str">
        <f aca="false">IF($J162="","",INDEX('DỮ LIỆU'!$A$3:$A$1052,$J162))</f>
        <v/>
      </c>
      <c r="C162" s="41" t="str">
        <f aca="false">IF($J162="","",IF(INDEX('DỮ LIỆU'!$B$3:$B$1052,$J162)="","",INDEX('DỮ LIỆU'!$B$3:$B$1052,$J162)))</f>
        <v/>
      </c>
      <c r="D162" s="21" t="str">
        <f aca="false">IF($J162="","",IF(INDEX('DỮ LIỆU'!$C$3:$C$1052,$J162)="","",INDEX('DỮ LIỆU'!$C$3:$C$1052,$J162)))</f>
        <v/>
      </c>
      <c r="E162" s="21" t="str">
        <f aca="false">IF($J162="","",IF(INDEX('DỮ LIỆU'!$D$3:$D$1052,$J162)="","",INDEX('DỮ LIỆU'!$D$3:$D$1052,$J162)))</f>
        <v/>
      </c>
      <c r="F162" s="21" t="str">
        <f aca="false">IF($J162="","",IF(INDEX('DỮ LIỆU'!$H$3:$H$1052,$J162)="","",INDEX('DỮ LIỆU'!$H$3:$H$1052,$J162)))</f>
        <v/>
      </c>
      <c r="G162" s="13" t="str">
        <f aca="false">IF($J162="","",N(INDEX('DỮ LIỆU'!$I$3:$I$1052,$J162)))</f>
        <v/>
      </c>
      <c r="H162" s="13" t="str">
        <f aca="false">IF($J162="","",N(INDEX('DỮ LIỆU'!$M$3:$M$1052,$J162)))</f>
        <v/>
      </c>
      <c r="I162" s="13" t="str">
        <f aca="false">IF($J162="","",N(INDEX('DỮ LIỆU'!$N$3:$N$1052,$J162)))</f>
        <v/>
      </c>
      <c r="J162" s="0" t="str">
        <f aca="false">IFERROR(MATCH(146,'DỮ LIỆU'!$Y$3:$Y$1052,0),"")</f>
        <v/>
      </c>
    </row>
    <row r="163" customFormat="false" ht="15" hidden="false" customHeight="false" outlineLevel="0" collapsed="false">
      <c r="A163" s="21" t="str">
        <f aca="false">IF($J163="","",147)</f>
        <v/>
      </c>
      <c r="B163" s="13" t="str">
        <f aca="false">IF($J163="","",INDEX('DỮ LIỆU'!$A$3:$A$1052,$J163))</f>
        <v/>
      </c>
      <c r="C163" s="41" t="str">
        <f aca="false">IF($J163="","",IF(INDEX('DỮ LIỆU'!$B$3:$B$1052,$J163)="","",INDEX('DỮ LIỆU'!$B$3:$B$1052,$J163)))</f>
        <v/>
      </c>
      <c r="D163" s="21" t="str">
        <f aca="false">IF($J163="","",IF(INDEX('DỮ LIỆU'!$C$3:$C$1052,$J163)="","",INDEX('DỮ LIỆU'!$C$3:$C$1052,$J163)))</f>
        <v/>
      </c>
      <c r="E163" s="21" t="str">
        <f aca="false">IF($J163="","",IF(INDEX('DỮ LIỆU'!$D$3:$D$1052,$J163)="","",INDEX('DỮ LIỆU'!$D$3:$D$1052,$J163)))</f>
        <v/>
      </c>
      <c r="F163" s="21" t="str">
        <f aca="false">IF($J163="","",IF(INDEX('DỮ LIỆU'!$H$3:$H$1052,$J163)="","",INDEX('DỮ LIỆU'!$H$3:$H$1052,$J163)))</f>
        <v/>
      </c>
      <c r="G163" s="13" t="str">
        <f aca="false">IF($J163="","",N(INDEX('DỮ LIỆU'!$I$3:$I$1052,$J163)))</f>
        <v/>
      </c>
      <c r="H163" s="13" t="str">
        <f aca="false">IF($J163="","",N(INDEX('DỮ LIỆU'!$M$3:$M$1052,$J163)))</f>
        <v/>
      </c>
      <c r="I163" s="13" t="str">
        <f aca="false">IF($J163="","",N(INDEX('DỮ LIỆU'!$N$3:$N$1052,$J163)))</f>
        <v/>
      </c>
      <c r="J163" s="0" t="str">
        <f aca="false">IFERROR(MATCH(147,'DỮ LIỆU'!$Y$3:$Y$1052,0),"")</f>
        <v/>
      </c>
    </row>
    <row r="164" customFormat="false" ht="15" hidden="false" customHeight="false" outlineLevel="0" collapsed="false">
      <c r="A164" s="21" t="str">
        <f aca="false">IF($J164="","",148)</f>
        <v/>
      </c>
      <c r="B164" s="13" t="str">
        <f aca="false">IF($J164="","",INDEX('DỮ LIỆU'!$A$3:$A$1052,$J164))</f>
        <v/>
      </c>
      <c r="C164" s="41" t="str">
        <f aca="false">IF($J164="","",IF(INDEX('DỮ LIỆU'!$B$3:$B$1052,$J164)="","",INDEX('DỮ LIỆU'!$B$3:$B$1052,$J164)))</f>
        <v/>
      </c>
      <c r="D164" s="21" t="str">
        <f aca="false">IF($J164="","",IF(INDEX('DỮ LIỆU'!$C$3:$C$1052,$J164)="","",INDEX('DỮ LIỆU'!$C$3:$C$1052,$J164)))</f>
        <v/>
      </c>
      <c r="E164" s="21" t="str">
        <f aca="false">IF($J164="","",IF(INDEX('DỮ LIỆU'!$D$3:$D$1052,$J164)="","",INDEX('DỮ LIỆU'!$D$3:$D$1052,$J164)))</f>
        <v/>
      </c>
      <c r="F164" s="21" t="str">
        <f aca="false">IF($J164="","",IF(INDEX('DỮ LIỆU'!$H$3:$H$1052,$J164)="","",INDEX('DỮ LIỆU'!$H$3:$H$1052,$J164)))</f>
        <v/>
      </c>
      <c r="G164" s="13" t="str">
        <f aca="false">IF($J164="","",N(INDEX('DỮ LIỆU'!$I$3:$I$1052,$J164)))</f>
        <v/>
      </c>
      <c r="H164" s="13" t="str">
        <f aca="false">IF($J164="","",N(INDEX('DỮ LIỆU'!$M$3:$M$1052,$J164)))</f>
        <v/>
      </c>
      <c r="I164" s="13" t="str">
        <f aca="false">IF($J164="","",N(INDEX('DỮ LIỆU'!$N$3:$N$1052,$J164)))</f>
        <v/>
      </c>
      <c r="J164" s="0" t="str">
        <f aca="false">IFERROR(MATCH(148,'DỮ LIỆU'!$Y$3:$Y$1052,0),"")</f>
        <v/>
      </c>
    </row>
    <row r="165" customFormat="false" ht="15" hidden="false" customHeight="false" outlineLevel="0" collapsed="false">
      <c r="A165" s="21" t="str">
        <f aca="false">IF($J165="","",149)</f>
        <v/>
      </c>
      <c r="B165" s="13" t="str">
        <f aca="false">IF($J165="","",INDEX('DỮ LIỆU'!$A$3:$A$1052,$J165))</f>
        <v/>
      </c>
      <c r="C165" s="41" t="str">
        <f aca="false">IF($J165="","",IF(INDEX('DỮ LIỆU'!$B$3:$B$1052,$J165)="","",INDEX('DỮ LIỆU'!$B$3:$B$1052,$J165)))</f>
        <v/>
      </c>
      <c r="D165" s="21" t="str">
        <f aca="false">IF($J165="","",IF(INDEX('DỮ LIỆU'!$C$3:$C$1052,$J165)="","",INDEX('DỮ LIỆU'!$C$3:$C$1052,$J165)))</f>
        <v/>
      </c>
      <c r="E165" s="21" t="str">
        <f aca="false">IF($J165="","",IF(INDEX('DỮ LIỆU'!$D$3:$D$1052,$J165)="","",INDEX('DỮ LIỆU'!$D$3:$D$1052,$J165)))</f>
        <v/>
      </c>
      <c r="F165" s="21" t="str">
        <f aca="false">IF($J165="","",IF(INDEX('DỮ LIỆU'!$H$3:$H$1052,$J165)="","",INDEX('DỮ LIỆU'!$H$3:$H$1052,$J165)))</f>
        <v/>
      </c>
      <c r="G165" s="13" t="str">
        <f aca="false">IF($J165="","",N(INDEX('DỮ LIỆU'!$I$3:$I$1052,$J165)))</f>
        <v/>
      </c>
      <c r="H165" s="13" t="str">
        <f aca="false">IF($J165="","",N(INDEX('DỮ LIỆU'!$M$3:$M$1052,$J165)))</f>
        <v/>
      </c>
      <c r="I165" s="13" t="str">
        <f aca="false">IF($J165="","",N(INDEX('DỮ LIỆU'!$N$3:$N$1052,$J165)))</f>
        <v/>
      </c>
      <c r="J165" s="0" t="str">
        <f aca="false">IFERROR(MATCH(149,'DỮ LIỆU'!$Y$3:$Y$1052,0),"")</f>
        <v/>
      </c>
    </row>
    <row r="166" customFormat="false" ht="15" hidden="false" customHeight="false" outlineLevel="0" collapsed="false">
      <c r="A166" s="21" t="str">
        <f aca="false">IF($J166="","",150)</f>
        <v/>
      </c>
      <c r="B166" s="13" t="str">
        <f aca="false">IF($J166="","",INDEX('DỮ LIỆU'!$A$3:$A$1052,$J166))</f>
        <v/>
      </c>
      <c r="C166" s="41" t="str">
        <f aca="false">IF($J166="","",IF(INDEX('DỮ LIỆU'!$B$3:$B$1052,$J166)="","",INDEX('DỮ LIỆU'!$B$3:$B$1052,$J166)))</f>
        <v/>
      </c>
      <c r="D166" s="21" t="str">
        <f aca="false">IF($J166="","",IF(INDEX('DỮ LIỆU'!$C$3:$C$1052,$J166)="","",INDEX('DỮ LIỆU'!$C$3:$C$1052,$J166)))</f>
        <v/>
      </c>
      <c r="E166" s="21" t="str">
        <f aca="false">IF($J166="","",IF(INDEX('DỮ LIỆU'!$D$3:$D$1052,$J166)="","",INDEX('DỮ LIỆU'!$D$3:$D$1052,$J166)))</f>
        <v/>
      </c>
      <c r="F166" s="21" t="str">
        <f aca="false">IF($J166="","",IF(INDEX('DỮ LIỆU'!$H$3:$H$1052,$J166)="","",INDEX('DỮ LIỆU'!$H$3:$H$1052,$J166)))</f>
        <v/>
      </c>
      <c r="G166" s="13" t="str">
        <f aca="false">IF($J166="","",N(INDEX('DỮ LIỆU'!$I$3:$I$1052,$J166)))</f>
        <v/>
      </c>
      <c r="H166" s="13" t="str">
        <f aca="false">IF($J166="","",N(INDEX('DỮ LIỆU'!$M$3:$M$1052,$J166)))</f>
        <v/>
      </c>
      <c r="I166" s="13" t="str">
        <f aca="false">IF($J166="","",N(INDEX('DỮ LIỆU'!$N$3:$N$1052,$J166)))</f>
        <v/>
      </c>
      <c r="J166" s="0" t="str">
        <f aca="false">IFERROR(MATCH(150,'DỮ LIỆU'!$Y$3:$Y$1052,0),"")</f>
        <v/>
      </c>
    </row>
    <row r="167" customFormat="false" ht="15" hidden="false" customHeight="false" outlineLevel="0" collapsed="false">
      <c r="A167" s="21" t="str">
        <f aca="false">IF($J167="","",151)</f>
        <v/>
      </c>
      <c r="B167" s="13" t="str">
        <f aca="false">IF($J167="","",INDEX('DỮ LIỆU'!$A$3:$A$1052,$J167))</f>
        <v/>
      </c>
      <c r="C167" s="41" t="str">
        <f aca="false">IF($J167="","",IF(INDEX('DỮ LIỆU'!$B$3:$B$1052,$J167)="","",INDEX('DỮ LIỆU'!$B$3:$B$1052,$J167)))</f>
        <v/>
      </c>
      <c r="D167" s="21" t="str">
        <f aca="false">IF($J167="","",IF(INDEX('DỮ LIỆU'!$C$3:$C$1052,$J167)="","",INDEX('DỮ LIỆU'!$C$3:$C$1052,$J167)))</f>
        <v/>
      </c>
      <c r="E167" s="21" t="str">
        <f aca="false">IF($J167="","",IF(INDEX('DỮ LIỆU'!$D$3:$D$1052,$J167)="","",INDEX('DỮ LIỆU'!$D$3:$D$1052,$J167)))</f>
        <v/>
      </c>
      <c r="F167" s="21" t="str">
        <f aca="false">IF($J167="","",IF(INDEX('DỮ LIỆU'!$H$3:$H$1052,$J167)="","",INDEX('DỮ LIỆU'!$H$3:$H$1052,$J167)))</f>
        <v/>
      </c>
      <c r="G167" s="13" t="str">
        <f aca="false">IF($J167="","",N(INDEX('DỮ LIỆU'!$I$3:$I$1052,$J167)))</f>
        <v/>
      </c>
      <c r="H167" s="13" t="str">
        <f aca="false">IF($J167="","",N(INDEX('DỮ LIỆU'!$M$3:$M$1052,$J167)))</f>
        <v/>
      </c>
      <c r="I167" s="13" t="str">
        <f aca="false">IF($J167="","",N(INDEX('DỮ LIỆU'!$N$3:$N$1052,$J167)))</f>
        <v/>
      </c>
      <c r="J167" s="0" t="str">
        <f aca="false">IFERROR(MATCH(151,'DỮ LIỆU'!$Y$3:$Y$1052,0),"")</f>
        <v/>
      </c>
    </row>
    <row r="168" customFormat="false" ht="15" hidden="false" customHeight="false" outlineLevel="0" collapsed="false">
      <c r="A168" s="21" t="str">
        <f aca="false">IF($J168="","",152)</f>
        <v/>
      </c>
      <c r="B168" s="13" t="str">
        <f aca="false">IF($J168="","",INDEX('DỮ LIỆU'!$A$3:$A$1052,$J168))</f>
        <v/>
      </c>
      <c r="C168" s="41" t="str">
        <f aca="false">IF($J168="","",IF(INDEX('DỮ LIỆU'!$B$3:$B$1052,$J168)="","",INDEX('DỮ LIỆU'!$B$3:$B$1052,$J168)))</f>
        <v/>
      </c>
      <c r="D168" s="21" t="str">
        <f aca="false">IF($J168="","",IF(INDEX('DỮ LIỆU'!$C$3:$C$1052,$J168)="","",INDEX('DỮ LIỆU'!$C$3:$C$1052,$J168)))</f>
        <v/>
      </c>
      <c r="E168" s="21" t="str">
        <f aca="false">IF($J168="","",IF(INDEX('DỮ LIỆU'!$D$3:$D$1052,$J168)="","",INDEX('DỮ LIỆU'!$D$3:$D$1052,$J168)))</f>
        <v/>
      </c>
      <c r="F168" s="21" t="str">
        <f aca="false">IF($J168="","",IF(INDEX('DỮ LIỆU'!$H$3:$H$1052,$J168)="","",INDEX('DỮ LIỆU'!$H$3:$H$1052,$J168)))</f>
        <v/>
      </c>
      <c r="G168" s="13" t="str">
        <f aca="false">IF($J168="","",N(INDEX('DỮ LIỆU'!$I$3:$I$1052,$J168)))</f>
        <v/>
      </c>
      <c r="H168" s="13" t="str">
        <f aca="false">IF($J168="","",N(INDEX('DỮ LIỆU'!$M$3:$M$1052,$J168)))</f>
        <v/>
      </c>
      <c r="I168" s="13" t="str">
        <f aca="false">IF($J168="","",N(INDEX('DỮ LIỆU'!$N$3:$N$1052,$J168)))</f>
        <v/>
      </c>
      <c r="J168" s="0" t="str">
        <f aca="false">IFERROR(MATCH(152,'DỮ LIỆU'!$Y$3:$Y$1052,0),"")</f>
        <v/>
      </c>
    </row>
    <row r="169" customFormat="false" ht="15" hidden="false" customHeight="false" outlineLevel="0" collapsed="false">
      <c r="A169" s="21" t="str">
        <f aca="false">IF($J169="","",153)</f>
        <v/>
      </c>
      <c r="B169" s="13" t="str">
        <f aca="false">IF($J169="","",INDEX('DỮ LIỆU'!$A$3:$A$1052,$J169))</f>
        <v/>
      </c>
      <c r="C169" s="41" t="str">
        <f aca="false">IF($J169="","",IF(INDEX('DỮ LIỆU'!$B$3:$B$1052,$J169)="","",INDEX('DỮ LIỆU'!$B$3:$B$1052,$J169)))</f>
        <v/>
      </c>
      <c r="D169" s="21" t="str">
        <f aca="false">IF($J169="","",IF(INDEX('DỮ LIỆU'!$C$3:$C$1052,$J169)="","",INDEX('DỮ LIỆU'!$C$3:$C$1052,$J169)))</f>
        <v/>
      </c>
      <c r="E169" s="21" t="str">
        <f aca="false">IF($J169="","",IF(INDEX('DỮ LIỆU'!$D$3:$D$1052,$J169)="","",INDEX('DỮ LIỆU'!$D$3:$D$1052,$J169)))</f>
        <v/>
      </c>
      <c r="F169" s="21" t="str">
        <f aca="false">IF($J169="","",IF(INDEX('DỮ LIỆU'!$H$3:$H$1052,$J169)="","",INDEX('DỮ LIỆU'!$H$3:$H$1052,$J169)))</f>
        <v/>
      </c>
      <c r="G169" s="13" t="str">
        <f aca="false">IF($J169="","",N(INDEX('DỮ LIỆU'!$I$3:$I$1052,$J169)))</f>
        <v/>
      </c>
      <c r="H169" s="13" t="str">
        <f aca="false">IF($J169="","",N(INDEX('DỮ LIỆU'!$M$3:$M$1052,$J169)))</f>
        <v/>
      </c>
      <c r="I169" s="13" t="str">
        <f aca="false">IF($J169="","",N(INDEX('DỮ LIỆU'!$N$3:$N$1052,$J169)))</f>
        <v/>
      </c>
      <c r="J169" s="0" t="str">
        <f aca="false">IFERROR(MATCH(153,'DỮ LIỆU'!$Y$3:$Y$1052,0),"")</f>
        <v/>
      </c>
    </row>
    <row r="170" customFormat="false" ht="15" hidden="false" customHeight="false" outlineLevel="0" collapsed="false">
      <c r="A170" s="21" t="str">
        <f aca="false">IF($J170="","",154)</f>
        <v/>
      </c>
      <c r="B170" s="13" t="str">
        <f aca="false">IF($J170="","",INDEX('DỮ LIỆU'!$A$3:$A$1052,$J170))</f>
        <v/>
      </c>
      <c r="C170" s="41" t="str">
        <f aca="false">IF($J170="","",IF(INDEX('DỮ LIỆU'!$B$3:$B$1052,$J170)="","",INDEX('DỮ LIỆU'!$B$3:$B$1052,$J170)))</f>
        <v/>
      </c>
      <c r="D170" s="21" t="str">
        <f aca="false">IF($J170="","",IF(INDEX('DỮ LIỆU'!$C$3:$C$1052,$J170)="","",INDEX('DỮ LIỆU'!$C$3:$C$1052,$J170)))</f>
        <v/>
      </c>
      <c r="E170" s="21" t="str">
        <f aca="false">IF($J170="","",IF(INDEX('DỮ LIỆU'!$D$3:$D$1052,$J170)="","",INDEX('DỮ LIỆU'!$D$3:$D$1052,$J170)))</f>
        <v/>
      </c>
      <c r="F170" s="21" t="str">
        <f aca="false">IF($J170="","",IF(INDEX('DỮ LIỆU'!$H$3:$H$1052,$J170)="","",INDEX('DỮ LIỆU'!$H$3:$H$1052,$J170)))</f>
        <v/>
      </c>
      <c r="G170" s="13" t="str">
        <f aca="false">IF($J170="","",N(INDEX('DỮ LIỆU'!$I$3:$I$1052,$J170)))</f>
        <v/>
      </c>
      <c r="H170" s="13" t="str">
        <f aca="false">IF($J170="","",N(INDEX('DỮ LIỆU'!$M$3:$M$1052,$J170)))</f>
        <v/>
      </c>
      <c r="I170" s="13" t="str">
        <f aca="false">IF($J170="","",N(INDEX('DỮ LIỆU'!$N$3:$N$1052,$J170)))</f>
        <v/>
      </c>
      <c r="J170" s="0" t="str">
        <f aca="false">IFERROR(MATCH(154,'DỮ LIỆU'!$Y$3:$Y$1052,0),"")</f>
        <v/>
      </c>
    </row>
    <row r="171" customFormat="false" ht="15" hidden="false" customHeight="false" outlineLevel="0" collapsed="false">
      <c r="A171" s="21" t="str">
        <f aca="false">IF($J171="","",155)</f>
        <v/>
      </c>
      <c r="B171" s="13" t="str">
        <f aca="false">IF($J171="","",INDEX('DỮ LIỆU'!$A$3:$A$1052,$J171))</f>
        <v/>
      </c>
      <c r="C171" s="41" t="str">
        <f aca="false">IF($J171="","",IF(INDEX('DỮ LIỆU'!$B$3:$B$1052,$J171)="","",INDEX('DỮ LIỆU'!$B$3:$B$1052,$J171)))</f>
        <v/>
      </c>
      <c r="D171" s="21" t="str">
        <f aca="false">IF($J171="","",IF(INDEX('DỮ LIỆU'!$C$3:$C$1052,$J171)="","",INDEX('DỮ LIỆU'!$C$3:$C$1052,$J171)))</f>
        <v/>
      </c>
      <c r="E171" s="21" t="str">
        <f aca="false">IF($J171="","",IF(INDEX('DỮ LIỆU'!$D$3:$D$1052,$J171)="","",INDEX('DỮ LIỆU'!$D$3:$D$1052,$J171)))</f>
        <v/>
      </c>
      <c r="F171" s="21" t="str">
        <f aca="false">IF($J171="","",IF(INDEX('DỮ LIỆU'!$H$3:$H$1052,$J171)="","",INDEX('DỮ LIỆU'!$H$3:$H$1052,$J171)))</f>
        <v/>
      </c>
      <c r="G171" s="13" t="str">
        <f aca="false">IF($J171="","",N(INDEX('DỮ LIỆU'!$I$3:$I$1052,$J171)))</f>
        <v/>
      </c>
      <c r="H171" s="13" t="str">
        <f aca="false">IF($J171="","",N(INDEX('DỮ LIỆU'!$M$3:$M$1052,$J171)))</f>
        <v/>
      </c>
      <c r="I171" s="13" t="str">
        <f aca="false">IF($J171="","",N(INDEX('DỮ LIỆU'!$N$3:$N$1052,$J171)))</f>
        <v/>
      </c>
      <c r="J171" s="0" t="str">
        <f aca="false">IFERROR(MATCH(155,'DỮ LIỆU'!$Y$3:$Y$1052,0),"")</f>
        <v/>
      </c>
    </row>
    <row r="172" customFormat="false" ht="15" hidden="false" customHeight="false" outlineLevel="0" collapsed="false">
      <c r="A172" s="21" t="str">
        <f aca="false">IF($J172="","",156)</f>
        <v/>
      </c>
      <c r="B172" s="13" t="str">
        <f aca="false">IF($J172="","",INDEX('DỮ LIỆU'!$A$3:$A$1052,$J172))</f>
        <v/>
      </c>
      <c r="C172" s="41" t="str">
        <f aca="false">IF($J172="","",IF(INDEX('DỮ LIỆU'!$B$3:$B$1052,$J172)="","",INDEX('DỮ LIỆU'!$B$3:$B$1052,$J172)))</f>
        <v/>
      </c>
      <c r="D172" s="21" t="str">
        <f aca="false">IF($J172="","",IF(INDEX('DỮ LIỆU'!$C$3:$C$1052,$J172)="","",INDEX('DỮ LIỆU'!$C$3:$C$1052,$J172)))</f>
        <v/>
      </c>
      <c r="E172" s="21" t="str">
        <f aca="false">IF($J172="","",IF(INDEX('DỮ LIỆU'!$D$3:$D$1052,$J172)="","",INDEX('DỮ LIỆU'!$D$3:$D$1052,$J172)))</f>
        <v/>
      </c>
      <c r="F172" s="21" t="str">
        <f aca="false">IF($J172="","",IF(INDEX('DỮ LIỆU'!$H$3:$H$1052,$J172)="","",INDEX('DỮ LIỆU'!$H$3:$H$1052,$J172)))</f>
        <v/>
      </c>
      <c r="G172" s="13" t="str">
        <f aca="false">IF($J172="","",N(INDEX('DỮ LIỆU'!$I$3:$I$1052,$J172)))</f>
        <v/>
      </c>
      <c r="H172" s="13" t="str">
        <f aca="false">IF($J172="","",N(INDEX('DỮ LIỆU'!$M$3:$M$1052,$J172)))</f>
        <v/>
      </c>
      <c r="I172" s="13" t="str">
        <f aca="false">IF($J172="","",N(INDEX('DỮ LIỆU'!$N$3:$N$1052,$J172)))</f>
        <v/>
      </c>
      <c r="J172" s="0" t="str">
        <f aca="false">IFERROR(MATCH(156,'DỮ LIỆU'!$Y$3:$Y$1052,0),"")</f>
        <v/>
      </c>
    </row>
    <row r="173" customFormat="false" ht="15" hidden="false" customHeight="false" outlineLevel="0" collapsed="false">
      <c r="A173" s="21" t="str">
        <f aca="false">IF($J173="","",157)</f>
        <v/>
      </c>
      <c r="B173" s="13" t="str">
        <f aca="false">IF($J173="","",INDEX('DỮ LIỆU'!$A$3:$A$1052,$J173))</f>
        <v/>
      </c>
      <c r="C173" s="41" t="str">
        <f aca="false">IF($J173="","",IF(INDEX('DỮ LIỆU'!$B$3:$B$1052,$J173)="","",INDEX('DỮ LIỆU'!$B$3:$B$1052,$J173)))</f>
        <v/>
      </c>
      <c r="D173" s="21" t="str">
        <f aca="false">IF($J173="","",IF(INDEX('DỮ LIỆU'!$C$3:$C$1052,$J173)="","",INDEX('DỮ LIỆU'!$C$3:$C$1052,$J173)))</f>
        <v/>
      </c>
      <c r="E173" s="21" t="str">
        <f aca="false">IF($J173="","",IF(INDEX('DỮ LIỆU'!$D$3:$D$1052,$J173)="","",INDEX('DỮ LIỆU'!$D$3:$D$1052,$J173)))</f>
        <v/>
      </c>
      <c r="F173" s="21" t="str">
        <f aca="false">IF($J173="","",IF(INDEX('DỮ LIỆU'!$H$3:$H$1052,$J173)="","",INDEX('DỮ LIỆU'!$H$3:$H$1052,$J173)))</f>
        <v/>
      </c>
      <c r="G173" s="13" t="str">
        <f aca="false">IF($J173="","",N(INDEX('DỮ LIỆU'!$I$3:$I$1052,$J173)))</f>
        <v/>
      </c>
      <c r="H173" s="13" t="str">
        <f aca="false">IF($J173="","",N(INDEX('DỮ LIỆU'!$M$3:$M$1052,$J173)))</f>
        <v/>
      </c>
      <c r="I173" s="13" t="str">
        <f aca="false">IF($J173="","",N(INDEX('DỮ LIỆU'!$N$3:$N$1052,$J173)))</f>
        <v/>
      </c>
      <c r="J173" s="0" t="str">
        <f aca="false">IFERROR(MATCH(157,'DỮ LIỆU'!$Y$3:$Y$1052,0),"")</f>
        <v/>
      </c>
    </row>
    <row r="174" customFormat="false" ht="15" hidden="false" customHeight="false" outlineLevel="0" collapsed="false">
      <c r="A174" s="21" t="str">
        <f aca="false">IF($J174="","",158)</f>
        <v/>
      </c>
      <c r="B174" s="13" t="str">
        <f aca="false">IF($J174="","",INDEX('DỮ LIỆU'!$A$3:$A$1052,$J174))</f>
        <v/>
      </c>
      <c r="C174" s="41" t="str">
        <f aca="false">IF($J174="","",IF(INDEX('DỮ LIỆU'!$B$3:$B$1052,$J174)="","",INDEX('DỮ LIỆU'!$B$3:$B$1052,$J174)))</f>
        <v/>
      </c>
      <c r="D174" s="21" t="str">
        <f aca="false">IF($J174="","",IF(INDEX('DỮ LIỆU'!$C$3:$C$1052,$J174)="","",INDEX('DỮ LIỆU'!$C$3:$C$1052,$J174)))</f>
        <v/>
      </c>
      <c r="E174" s="21" t="str">
        <f aca="false">IF($J174="","",IF(INDEX('DỮ LIỆU'!$D$3:$D$1052,$J174)="","",INDEX('DỮ LIỆU'!$D$3:$D$1052,$J174)))</f>
        <v/>
      </c>
      <c r="F174" s="21" t="str">
        <f aca="false">IF($J174="","",IF(INDEX('DỮ LIỆU'!$H$3:$H$1052,$J174)="","",INDEX('DỮ LIỆU'!$H$3:$H$1052,$J174)))</f>
        <v/>
      </c>
      <c r="G174" s="13" t="str">
        <f aca="false">IF($J174="","",N(INDEX('DỮ LIỆU'!$I$3:$I$1052,$J174)))</f>
        <v/>
      </c>
      <c r="H174" s="13" t="str">
        <f aca="false">IF($J174="","",N(INDEX('DỮ LIỆU'!$M$3:$M$1052,$J174)))</f>
        <v/>
      </c>
      <c r="I174" s="13" t="str">
        <f aca="false">IF($J174="","",N(INDEX('DỮ LIỆU'!$N$3:$N$1052,$J174)))</f>
        <v/>
      </c>
      <c r="J174" s="0" t="str">
        <f aca="false">IFERROR(MATCH(158,'DỮ LIỆU'!$Y$3:$Y$1052,0),"")</f>
        <v/>
      </c>
    </row>
    <row r="175" customFormat="false" ht="15" hidden="false" customHeight="false" outlineLevel="0" collapsed="false">
      <c r="A175" s="21" t="str">
        <f aca="false">IF($J175="","",159)</f>
        <v/>
      </c>
      <c r="B175" s="13" t="str">
        <f aca="false">IF($J175="","",INDEX('DỮ LIỆU'!$A$3:$A$1052,$J175))</f>
        <v/>
      </c>
      <c r="C175" s="41" t="str">
        <f aca="false">IF($J175="","",IF(INDEX('DỮ LIỆU'!$B$3:$B$1052,$J175)="","",INDEX('DỮ LIỆU'!$B$3:$B$1052,$J175)))</f>
        <v/>
      </c>
      <c r="D175" s="21" t="str">
        <f aca="false">IF($J175="","",IF(INDEX('DỮ LIỆU'!$C$3:$C$1052,$J175)="","",INDEX('DỮ LIỆU'!$C$3:$C$1052,$J175)))</f>
        <v/>
      </c>
      <c r="E175" s="21" t="str">
        <f aca="false">IF($J175="","",IF(INDEX('DỮ LIỆU'!$D$3:$D$1052,$J175)="","",INDEX('DỮ LIỆU'!$D$3:$D$1052,$J175)))</f>
        <v/>
      </c>
      <c r="F175" s="21" t="str">
        <f aca="false">IF($J175="","",IF(INDEX('DỮ LIỆU'!$H$3:$H$1052,$J175)="","",INDEX('DỮ LIỆU'!$H$3:$H$1052,$J175)))</f>
        <v/>
      </c>
      <c r="G175" s="13" t="str">
        <f aca="false">IF($J175="","",N(INDEX('DỮ LIỆU'!$I$3:$I$1052,$J175)))</f>
        <v/>
      </c>
      <c r="H175" s="13" t="str">
        <f aca="false">IF($J175="","",N(INDEX('DỮ LIỆU'!$M$3:$M$1052,$J175)))</f>
        <v/>
      </c>
      <c r="I175" s="13" t="str">
        <f aca="false">IF($J175="","",N(INDEX('DỮ LIỆU'!$N$3:$N$1052,$J175)))</f>
        <v/>
      </c>
      <c r="J175" s="0" t="str">
        <f aca="false">IFERROR(MATCH(159,'DỮ LIỆU'!$Y$3:$Y$1052,0),"")</f>
        <v/>
      </c>
    </row>
    <row r="176" customFormat="false" ht="15" hidden="false" customHeight="false" outlineLevel="0" collapsed="false">
      <c r="A176" s="21" t="str">
        <f aca="false">IF($J176="","",160)</f>
        <v/>
      </c>
      <c r="B176" s="13" t="str">
        <f aca="false">IF($J176="","",INDEX('DỮ LIỆU'!$A$3:$A$1052,$J176))</f>
        <v/>
      </c>
      <c r="C176" s="41" t="str">
        <f aca="false">IF($J176="","",IF(INDEX('DỮ LIỆU'!$B$3:$B$1052,$J176)="","",INDEX('DỮ LIỆU'!$B$3:$B$1052,$J176)))</f>
        <v/>
      </c>
      <c r="D176" s="21" t="str">
        <f aca="false">IF($J176="","",IF(INDEX('DỮ LIỆU'!$C$3:$C$1052,$J176)="","",INDEX('DỮ LIỆU'!$C$3:$C$1052,$J176)))</f>
        <v/>
      </c>
      <c r="E176" s="21" t="str">
        <f aca="false">IF($J176="","",IF(INDEX('DỮ LIỆU'!$D$3:$D$1052,$J176)="","",INDEX('DỮ LIỆU'!$D$3:$D$1052,$J176)))</f>
        <v/>
      </c>
      <c r="F176" s="21" t="str">
        <f aca="false">IF($J176="","",IF(INDEX('DỮ LIỆU'!$H$3:$H$1052,$J176)="","",INDEX('DỮ LIỆU'!$H$3:$H$1052,$J176)))</f>
        <v/>
      </c>
      <c r="G176" s="13" t="str">
        <f aca="false">IF($J176="","",N(INDEX('DỮ LIỆU'!$I$3:$I$1052,$J176)))</f>
        <v/>
      </c>
      <c r="H176" s="13" t="str">
        <f aca="false">IF($J176="","",N(INDEX('DỮ LIỆU'!$M$3:$M$1052,$J176)))</f>
        <v/>
      </c>
      <c r="I176" s="13" t="str">
        <f aca="false">IF($J176="","",N(INDEX('DỮ LIỆU'!$N$3:$N$1052,$J176)))</f>
        <v/>
      </c>
      <c r="J176" s="0" t="str">
        <f aca="false">IFERROR(MATCH(160,'DỮ LIỆU'!$Y$3:$Y$1052,0),"")</f>
        <v/>
      </c>
    </row>
    <row r="177" customFormat="false" ht="15" hidden="false" customHeight="false" outlineLevel="0" collapsed="false">
      <c r="A177" s="21" t="str">
        <f aca="false">IF($J177="","",161)</f>
        <v/>
      </c>
      <c r="B177" s="13" t="str">
        <f aca="false">IF($J177="","",INDEX('DỮ LIỆU'!$A$3:$A$1052,$J177))</f>
        <v/>
      </c>
      <c r="C177" s="41" t="str">
        <f aca="false">IF($J177="","",IF(INDEX('DỮ LIỆU'!$B$3:$B$1052,$J177)="","",INDEX('DỮ LIỆU'!$B$3:$B$1052,$J177)))</f>
        <v/>
      </c>
      <c r="D177" s="21" t="str">
        <f aca="false">IF($J177="","",IF(INDEX('DỮ LIỆU'!$C$3:$C$1052,$J177)="","",INDEX('DỮ LIỆU'!$C$3:$C$1052,$J177)))</f>
        <v/>
      </c>
      <c r="E177" s="21" t="str">
        <f aca="false">IF($J177="","",IF(INDEX('DỮ LIỆU'!$D$3:$D$1052,$J177)="","",INDEX('DỮ LIỆU'!$D$3:$D$1052,$J177)))</f>
        <v/>
      </c>
      <c r="F177" s="21" t="str">
        <f aca="false">IF($J177="","",IF(INDEX('DỮ LIỆU'!$H$3:$H$1052,$J177)="","",INDEX('DỮ LIỆU'!$H$3:$H$1052,$J177)))</f>
        <v/>
      </c>
      <c r="G177" s="13" t="str">
        <f aca="false">IF($J177="","",N(INDEX('DỮ LIỆU'!$I$3:$I$1052,$J177)))</f>
        <v/>
      </c>
      <c r="H177" s="13" t="str">
        <f aca="false">IF($J177="","",N(INDEX('DỮ LIỆU'!$M$3:$M$1052,$J177)))</f>
        <v/>
      </c>
      <c r="I177" s="13" t="str">
        <f aca="false">IF($J177="","",N(INDEX('DỮ LIỆU'!$N$3:$N$1052,$J177)))</f>
        <v/>
      </c>
      <c r="J177" s="0" t="str">
        <f aca="false">IFERROR(MATCH(161,'DỮ LIỆU'!$Y$3:$Y$1052,0),"")</f>
        <v/>
      </c>
    </row>
    <row r="178" customFormat="false" ht="15" hidden="false" customHeight="false" outlineLevel="0" collapsed="false">
      <c r="A178" s="21" t="str">
        <f aca="false">IF($J178="","",162)</f>
        <v/>
      </c>
      <c r="B178" s="13" t="str">
        <f aca="false">IF($J178="","",INDEX('DỮ LIỆU'!$A$3:$A$1052,$J178))</f>
        <v/>
      </c>
      <c r="C178" s="41" t="str">
        <f aca="false">IF($J178="","",IF(INDEX('DỮ LIỆU'!$B$3:$B$1052,$J178)="","",INDEX('DỮ LIỆU'!$B$3:$B$1052,$J178)))</f>
        <v/>
      </c>
      <c r="D178" s="21" t="str">
        <f aca="false">IF($J178="","",IF(INDEX('DỮ LIỆU'!$C$3:$C$1052,$J178)="","",INDEX('DỮ LIỆU'!$C$3:$C$1052,$J178)))</f>
        <v/>
      </c>
      <c r="E178" s="21" t="str">
        <f aca="false">IF($J178="","",IF(INDEX('DỮ LIỆU'!$D$3:$D$1052,$J178)="","",INDEX('DỮ LIỆU'!$D$3:$D$1052,$J178)))</f>
        <v/>
      </c>
      <c r="F178" s="21" t="str">
        <f aca="false">IF($J178="","",IF(INDEX('DỮ LIỆU'!$H$3:$H$1052,$J178)="","",INDEX('DỮ LIỆU'!$H$3:$H$1052,$J178)))</f>
        <v/>
      </c>
      <c r="G178" s="13" t="str">
        <f aca="false">IF($J178="","",N(INDEX('DỮ LIỆU'!$I$3:$I$1052,$J178)))</f>
        <v/>
      </c>
      <c r="H178" s="13" t="str">
        <f aca="false">IF($J178="","",N(INDEX('DỮ LIỆU'!$M$3:$M$1052,$J178)))</f>
        <v/>
      </c>
      <c r="I178" s="13" t="str">
        <f aca="false">IF($J178="","",N(INDEX('DỮ LIỆU'!$N$3:$N$1052,$J178)))</f>
        <v/>
      </c>
      <c r="J178" s="0" t="str">
        <f aca="false">IFERROR(MATCH(162,'DỮ LIỆU'!$Y$3:$Y$1052,0),"")</f>
        <v/>
      </c>
    </row>
    <row r="179" customFormat="false" ht="15" hidden="false" customHeight="false" outlineLevel="0" collapsed="false">
      <c r="A179" s="21" t="str">
        <f aca="false">IF($J179="","",163)</f>
        <v/>
      </c>
      <c r="B179" s="13" t="str">
        <f aca="false">IF($J179="","",INDEX('DỮ LIỆU'!$A$3:$A$1052,$J179))</f>
        <v/>
      </c>
      <c r="C179" s="41" t="str">
        <f aca="false">IF($J179="","",IF(INDEX('DỮ LIỆU'!$B$3:$B$1052,$J179)="","",INDEX('DỮ LIỆU'!$B$3:$B$1052,$J179)))</f>
        <v/>
      </c>
      <c r="D179" s="21" t="str">
        <f aca="false">IF($J179="","",IF(INDEX('DỮ LIỆU'!$C$3:$C$1052,$J179)="","",INDEX('DỮ LIỆU'!$C$3:$C$1052,$J179)))</f>
        <v/>
      </c>
      <c r="E179" s="21" t="str">
        <f aca="false">IF($J179="","",IF(INDEX('DỮ LIỆU'!$D$3:$D$1052,$J179)="","",INDEX('DỮ LIỆU'!$D$3:$D$1052,$J179)))</f>
        <v/>
      </c>
      <c r="F179" s="21" t="str">
        <f aca="false">IF($J179="","",IF(INDEX('DỮ LIỆU'!$H$3:$H$1052,$J179)="","",INDEX('DỮ LIỆU'!$H$3:$H$1052,$J179)))</f>
        <v/>
      </c>
      <c r="G179" s="13" t="str">
        <f aca="false">IF($J179="","",N(INDEX('DỮ LIỆU'!$I$3:$I$1052,$J179)))</f>
        <v/>
      </c>
      <c r="H179" s="13" t="str">
        <f aca="false">IF($J179="","",N(INDEX('DỮ LIỆU'!$M$3:$M$1052,$J179)))</f>
        <v/>
      </c>
      <c r="I179" s="13" t="str">
        <f aca="false">IF($J179="","",N(INDEX('DỮ LIỆU'!$N$3:$N$1052,$J179)))</f>
        <v/>
      </c>
      <c r="J179" s="0" t="str">
        <f aca="false">IFERROR(MATCH(163,'DỮ LIỆU'!$Y$3:$Y$1052,0),"")</f>
        <v/>
      </c>
    </row>
    <row r="180" customFormat="false" ht="15" hidden="false" customHeight="false" outlineLevel="0" collapsed="false">
      <c r="A180" s="21" t="str">
        <f aca="false">IF($J180="","",164)</f>
        <v/>
      </c>
      <c r="B180" s="13" t="str">
        <f aca="false">IF($J180="","",INDEX('DỮ LIỆU'!$A$3:$A$1052,$J180))</f>
        <v/>
      </c>
      <c r="C180" s="41" t="str">
        <f aca="false">IF($J180="","",IF(INDEX('DỮ LIỆU'!$B$3:$B$1052,$J180)="","",INDEX('DỮ LIỆU'!$B$3:$B$1052,$J180)))</f>
        <v/>
      </c>
      <c r="D180" s="21" t="str">
        <f aca="false">IF($J180="","",IF(INDEX('DỮ LIỆU'!$C$3:$C$1052,$J180)="","",INDEX('DỮ LIỆU'!$C$3:$C$1052,$J180)))</f>
        <v/>
      </c>
      <c r="E180" s="21" t="str">
        <f aca="false">IF($J180="","",IF(INDEX('DỮ LIỆU'!$D$3:$D$1052,$J180)="","",INDEX('DỮ LIỆU'!$D$3:$D$1052,$J180)))</f>
        <v/>
      </c>
      <c r="F180" s="21" t="str">
        <f aca="false">IF($J180="","",IF(INDEX('DỮ LIỆU'!$H$3:$H$1052,$J180)="","",INDEX('DỮ LIỆU'!$H$3:$H$1052,$J180)))</f>
        <v/>
      </c>
      <c r="G180" s="13" t="str">
        <f aca="false">IF($J180="","",N(INDEX('DỮ LIỆU'!$I$3:$I$1052,$J180)))</f>
        <v/>
      </c>
      <c r="H180" s="13" t="str">
        <f aca="false">IF($J180="","",N(INDEX('DỮ LIỆU'!$M$3:$M$1052,$J180)))</f>
        <v/>
      </c>
      <c r="I180" s="13" t="str">
        <f aca="false">IF($J180="","",N(INDEX('DỮ LIỆU'!$N$3:$N$1052,$J180)))</f>
        <v/>
      </c>
      <c r="J180" s="0" t="str">
        <f aca="false">IFERROR(MATCH(164,'DỮ LIỆU'!$Y$3:$Y$1052,0),"")</f>
        <v/>
      </c>
    </row>
    <row r="181" customFormat="false" ht="15" hidden="false" customHeight="false" outlineLevel="0" collapsed="false">
      <c r="A181" s="21" t="str">
        <f aca="false">IF($J181="","",165)</f>
        <v/>
      </c>
      <c r="B181" s="13" t="str">
        <f aca="false">IF($J181="","",INDEX('DỮ LIỆU'!$A$3:$A$1052,$J181))</f>
        <v/>
      </c>
      <c r="C181" s="41" t="str">
        <f aca="false">IF($J181="","",IF(INDEX('DỮ LIỆU'!$B$3:$B$1052,$J181)="","",INDEX('DỮ LIỆU'!$B$3:$B$1052,$J181)))</f>
        <v/>
      </c>
      <c r="D181" s="21" t="str">
        <f aca="false">IF($J181="","",IF(INDEX('DỮ LIỆU'!$C$3:$C$1052,$J181)="","",INDEX('DỮ LIỆU'!$C$3:$C$1052,$J181)))</f>
        <v/>
      </c>
      <c r="E181" s="21" t="str">
        <f aca="false">IF($J181="","",IF(INDEX('DỮ LIỆU'!$D$3:$D$1052,$J181)="","",INDEX('DỮ LIỆU'!$D$3:$D$1052,$J181)))</f>
        <v/>
      </c>
      <c r="F181" s="21" t="str">
        <f aca="false">IF($J181="","",IF(INDEX('DỮ LIỆU'!$H$3:$H$1052,$J181)="","",INDEX('DỮ LIỆU'!$H$3:$H$1052,$J181)))</f>
        <v/>
      </c>
      <c r="G181" s="13" t="str">
        <f aca="false">IF($J181="","",N(INDEX('DỮ LIỆU'!$I$3:$I$1052,$J181)))</f>
        <v/>
      </c>
      <c r="H181" s="13" t="str">
        <f aca="false">IF($J181="","",N(INDEX('DỮ LIỆU'!$M$3:$M$1052,$J181)))</f>
        <v/>
      </c>
      <c r="I181" s="13" t="str">
        <f aca="false">IF($J181="","",N(INDEX('DỮ LIỆU'!$N$3:$N$1052,$J181)))</f>
        <v/>
      </c>
      <c r="J181" s="0" t="str">
        <f aca="false">IFERROR(MATCH(165,'DỮ LIỆU'!$Y$3:$Y$1052,0),"")</f>
        <v/>
      </c>
    </row>
    <row r="182" customFormat="false" ht="15" hidden="false" customHeight="false" outlineLevel="0" collapsed="false">
      <c r="A182" s="21" t="str">
        <f aca="false">IF($J182="","",166)</f>
        <v/>
      </c>
      <c r="B182" s="13" t="str">
        <f aca="false">IF($J182="","",INDEX('DỮ LIỆU'!$A$3:$A$1052,$J182))</f>
        <v/>
      </c>
      <c r="C182" s="41" t="str">
        <f aca="false">IF($J182="","",IF(INDEX('DỮ LIỆU'!$B$3:$B$1052,$J182)="","",INDEX('DỮ LIỆU'!$B$3:$B$1052,$J182)))</f>
        <v/>
      </c>
      <c r="D182" s="21" t="str">
        <f aca="false">IF($J182="","",IF(INDEX('DỮ LIỆU'!$C$3:$C$1052,$J182)="","",INDEX('DỮ LIỆU'!$C$3:$C$1052,$J182)))</f>
        <v/>
      </c>
      <c r="E182" s="21" t="str">
        <f aca="false">IF($J182="","",IF(INDEX('DỮ LIỆU'!$D$3:$D$1052,$J182)="","",INDEX('DỮ LIỆU'!$D$3:$D$1052,$J182)))</f>
        <v/>
      </c>
      <c r="F182" s="21" t="str">
        <f aca="false">IF($J182="","",IF(INDEX('DỮ LIỆU'!$H$3:$H$1052,$J182)="","",INDEX('DỮ LIỆU'!$H$3:$H$1052,$J182)))</f>
        <v/>
      </c>
      <c r="G182" s="13" t="str">
        <f aca="false">IF($J182="","",N(INDEX('DỮ LIỆU'!$I$3:$I$1052,$J182)))</f>
        <v/>
      </c>
      <c r="H182" s="13" t="str">
        <f aca="false">IF($J182="","",N(INDEX('DỮ LIỆU'!$M$3:$M$1052,$J182)))</f>
        <v/>
      </c>
      <c r="I182" s="13" t="str">
        <f aca="false">IF($J182="","",N(INDEX('DỮ LIỆU'!$N$3:$N$1052,$J182)))</f>
        <v/>
      </c>
      <c r="J182" s="0" t="str">
        <f aca="false">IFERROR(MATCH(166,'DỮ LIỆU'!$Y$3:$Y$1052,0),"")</f>
        <v/>
      </c>
    </row>
    <row r="183" customFormat="false" ht="15" hidden="false" customHeight="false" outlineLevel="0" collapsed="false">
      <c r="A183" s="21" t="str">
        <f aca="false">IF($J183="","",167)</f>
        <v/>
      </c>
      <c r="B183" s="13" t="str">
        <f aca="false">IF($J183="","",INDEX('DỮ LIỆU'!$A$3:$A$1052,$J183))</f>
        <v/>
      </c>
      <c r="C183" s="41" t="str">
        <f aca="false">IF($J183="","",IF(INDEX('DỮ LIỆU'!$B$3:$B$1052,$J183)="","",INDEX('DỮ LIỆU'!$B$3:$B$1052,$J183)))</f>
        <v/>
      </c>
      <c r="D183" s="21" t="str">
        <f aca="false">IF($J183="","",IF(INDEX('DỮ LIỆU'!$C$3:$C$1052,$J183)="","",INDEX('DỮ LIỆU'!$C$3:$C$1052,$J183)))</f>
        <v/>
      </c>
      <c r="E183" s="21" t="str">
        <f aca="false">IF($J183="","",IF(INDEX('DỮ LIỆU'!$D$3:$D$1052,$J183)="","",INDEX('DỮ LIỆU'!$D$3:$D$1052,$J183)))</f>
        <v/>
      </c>
      <c r="F183" s="21" t="str">
        <f aca="false">IF($J183="","",IF(INDEX('DỮ LIỆU'!$H$3:$H$1052,$J183)="","",INDEX('DỮ LIỆU'!$H$3:$H$1052,$J183)))</f>
        <v/>
      </c>
      <c r="G183" s="13" t="str">
        <f aca="false">IF($J183="","",N(INDEX('DỮ LIỆU'!$I$3:$I$1052,$J183)))</f>
        <v/>
      </c>
      <c r="H183" s="13" t="str">
        <f aca="false">IF($J183="","",N(INDEX('DỮ LIỆU'!$M$3:$M$1052,$J183)))</f>
        <v/>
      </c>
      <c r="I183" s="13" t="str">
        <f aca="false">IF($J183="","",N(INDEX('DỮ LIỆU'!$N$3:$N$1052,$J183)))</f>
        <v/>
      </c>
      <c r="J183" s="0" t="str">
        <f aca="false">IFERROR(MATCH(167,'DỮ LIỆU'!$Y$3:$Y$1052,0),"")</f>
        <v/>
      </c>
    </row>
    <row r="184" customFormat="false" ht="15" hidden="false" customHeight="false" outlineLevel="0" collapsed="false">
      <c r="A184" s="21" t="str">
        <f aca="false">IF($J184="","",168)</f>
        <v/>
      </c>
      <c r="B184" s="13" t="str">
        <f aca="false">IF($J184="","",INDEX('DỮ LIỆU'!$A$3:$A$1052,$J184))</f>
        <v/>
      </c>
      <c r="C184" s="41" t="str">
        <f aca="false">IF($J184="","",IF(INDEX('DỮ LIỆU'!$B$3:$B$1052,$J184)="","",INDEX('DỮ LIỆU'!$B$3:$B$1052,$J184)))</f>
        <v/>
      </c>
      <c r="D184" s="21" t="str">
        <f aca="false">IF($J184="","",IF(INDEX('DỮ LIỆU'!$C$3:$C$1052,$J184)="","",INDEX('DỮ LIỆU'!$C$3:$C$1052,$J184)))</f>
        <v/>
      </c>
      <c r="E184" s="21" t="str">
        <f aca="false">IF($J184="","",IF(INDEX('DỮ LIỆU'!$D$3:$D$1052,$J184)="","",INDEX('DỮ LIỆU'!$D$3:$D$1052,$J184)))</f>
        <v/>
      </c>
      <c r="F184" s="21" t="str">
        <f aca="false">IF($J184="","",IF(INDEX('DỮ LIỆU'!$H$3:$H$1052,$J184)="","",INDEX('DỮ LIỆU'!$H$3:$H$1052,$J184)))</f>
        <v/>
      </c>
      <c r="G184" s="13" t="str">
        <f aca="false">IF($J184="","",N(INDEX('DỮ LIỆU'!$I$3:$I$1052,$J184)))</f>
        <v/>
      </c>
      <c r="H184" s="13" t="str">
        <f aca="false">IF($J184="","",N(INDEX('DỮ LIỆU'!$M$3:$M$1052,$J184)))</f>
        <v/>
      </c>
      <c r="I184" s="13" t="str">
        <f aca="false">IF($J184="","",N(INDEX('DỮ LIỆU'!$N$3:$N$1052,$J184)))</f>
        <v/>
      </c>
      <c r="J184" s="0" t="str">
        <f aca="false">IFERROR(MATCH(168,'DỮ LIỆU'!$Y$3:$Y$1052,0),"")</f>
        <v/>
      </c>
    </row>
    <row r="185" customFormat="false" ht="15" hidden="false" customHeight="false" outlineLevel="0" collapsed="false">
      <c r="A185" s="21" t="str">
        <f aca="false">IF($J185="","",169)</f>
        <v/>
      </c>
      <c r="B185" s="13" t="str">
        <f aca="false">IF($J185="","",INDEX('DỮ LIỆU'!$A$3:$A$1052,$J185))</f>
        <v/>
      </c>
      <c r="C185" s="41" t="str">
        <f aca="false">IF($J185="","",IF(INDEX('DỮ LIỆU'!$B$3:$B$1052,$J185)="","",INDEX('DỮ LIỆU'!$B$3:$B$1052,$J185)))</f>
        <v/>
      </c>
      <c r="D185" s="21" t="str">
        <f aca="false">IF($J185="","",IF(INDEX('DỮ LIỆU'!$C$3:$C$1052,$J185)="","",INDEX('DỮ LIỆU'!$C$3:$C$1052,$J185)))</f>
        <v/>
      </c>
      <c r="E185" s="21" t="str">
        <f aca="false">IF($J185="","",IF(INDEX('DỮ LIỆU'!$D$3:$D$1052,$J185)="","",INDEX('DỮ LIỆU'!$D$3:$D$1052,$J185)))</f>
        <v/>
      </c>
      <c r="F185" s="21" t="str">
        <f aca="false">IF($J185="","",IF(INDEX('DỮ LIỆU'!$H$3:$H$1052,$J185)="","",INDEX('DỮ LIỆU'!$H$3:$H$1052,$J185)))</f>
        <v/>
      </c>
      <c r="G185" s="13" t="str">
        <f aca="false">IF($J185="","",N(INDEX('DỮ LIỆU'!$I$3:$I$1052,$J185)))</f>
        <v/>
      </c>
      <c r="H185" s="13" t="str">
        <f aca="false">IF($J185="","",N(INDEX('DỮ LIỆU'!$M$3:$M$1052,$J185)))</f>
        <v/>
      </c>
      <c r="I185" s="13" t="str">
        <f aca="false">IF($J185="","",N(INDEX('DỮ LIỆU'!$N$3:$N$1052,$J185)))</f>
        <v/>
      </c>
      <c r="J185" s="0" t="str">
        <f aca="false">IFERROR(MATCH(169,'DỮ LIỆU'!$Y$3:$Y$1052,0),"")</f>
        <v/>
      </c>
    </row>
    <row r="186" customFormat="false" ht="15" hidden="false" customHeight="false" outlineLevel="0" collapsed="false">
      <c r="A186" s="21" t="str">
        <f aca="false">IF($J186="","",170)</f>
        <v/>
      </c>
      <c r="B186" s="13" t="str">
        <f aca="false">IF($J186="","",INDEX('DỮ LIỆU'!$A$3:$A$1052,$J186))</f>
        <v/>
      </c>
      <c r="C186" s="41" t="str">
        <f aca="false">IF($J186="","",IF(INDEX('DỮ LIỆU'!$B$3:$B$1052,$J186)="","",INDEX('DỮ LIỆU'!$B$3:$B$1052,$J186)))</f>
        <v/>
      </c>
      <c r="D186" s="21" t="str">
        <f aca="false">IF($J186="","",IF(INDEX('DỮ LIỆU'!$C$3:$C$1052,$J186)="","",INDEX('DỮ LIỆU'!$C$3:$C$1052,$J186)))</f>
        <v/>
      </c>
      <c r="E186" s="21" t="str">
        <f aca="false">IF($J186="","",IF(INDEX('DỮ LIỆU'!$D$3:$D$1052,$J186)="","",INDEX('DỮ LIỆU'!$D$3:$D$1052,$J186)))</f>
        <v/>
      </c>
      <c r="F186" s="21" t="str">
        <f aca="false">IF($J186="","",IF(INDEX('DỮ LIỆU'!$H$3:$H$1052,$J186)="","",INDEX('DỮ LIỆU'!$H$3:$H$1052,$J186)))</f>
        <v/>
      </c>
      <c r="G186" s="13" t="str">
        <f aca="false">IF($J186="","",N(INDEX('DỮ LIỆU'!$I$3:$I$1052,$J186)))</f>
        <v/>
      </c>
      <c r="H186" s="13" t="str">
        <f aca="false">IF($J186="","",N(INDEX('DỮ LIỆU'!$M$3:$M$1052,$J186)))</f>
        <v/>
      </c>
      <c r="I186" s="13" t="str">
        <f aca="false">IF($J186="","",N(INDEX('DỮ LIỆU'!$N$3:$N$1052,$J186)))</f>
        <v/>
      </c>
      <c r="J186" s="0" t="str">
        <f aca="false">IFERROR(MATCH(170,'DỮ LIỆU'!$Y$3:$Y$1052,0),"")</f>
        <v/>
      </c>
    </row>
    <row r="187" customFormat="false" ht="15" hidden="false" customHeight="false" outlineLevel="0" collapsed="false">
      <c r="A187" s="21" t="str">
        <f aca="false">IF($J187="","",171)</f>
        <v/>
      </c>
      <c r="B187" s="13" t="str">
        <f aca="false">IF($J187="","",INDEX('DỮ LIỆU'!$A$3:$A$1052,$J187))</f>
        <v/>
      </c>
      <c r="C187" s="41" t="str">
        <f aca="false">IF($J187="","",IF(INDEX('DỮ LIỆU'!$B$3:$B$1052,$J187)="","",INDEX('DỮ LIỆU'!$B$3:$B$1052,$J187)))</f>
        <v/>
      </c>
      <c r="D187" s="21" t="str">
        <f aca="false">IF($J187="","",IF(INDEX('DỮ LIỆU'!$C$3:$C$1052,$J187)="","",INDEX('DỮ LIỆU'!$C$3:$C$1052,$J187)))</f>
        <v/>
      </c>
      <c r="E187" s="21" t="str">
        <f aca="false">IF($J187="","",IF(INDEX('DỮ LIỆU'!$D$3:$D$1052,$J187)="","",INDEX('DỮ LIỆU'!$D$3:$D$1052,$J187)))</f>
        <v/>
      </c>
      <c r="F187" s="21" t="str">
        <f aca="false">IF($J187="","",IF(INDEX('DỮ LIỆU'!$H$3:$H$1052,$J187)="","",INDEX('DỮ LIỆU'!$H$3:$H$1052,$J187)))</f>
        <v/>
      </c>
      <c r="G187" s="13" t="str">
        <f aca="false">IF($J187="","",N(INDEX('DỮ LIỆU'!$I$3:$I$1052,$J187)))</f>
        <v/>
      </c>
      <c r="H187" s="13" t="str">
        <f aca="false">IF($J187="","",N(INDEX('DỮ LIỆU'!$M$3:$M$1052,$J187)))</f>
        <v/>
      </c>
      <c r="I187" s="13" t="str">
        <f aca="false">IF($J187="","",N(INDEX('DỮ LIỆU'!$N$3:$N$1052,$J187)))</f>
        <v/>
      </c>
      <c r="J187" s="0" t="str">
        <f aca="false">IFERROR(MATCH(171,'DỮ LIỆU'!$Y$3:$Y$1052,0),"")</f>
        <v/>
      </c>
    </row>
    <row r="188" customFormat="false" ht="15" hidden="false" customHeight="false" outlineLevel="0" collapsed="false">
      <c r="A188" s="21" t="str">
        <f aca="false">IF($J188="","",172)</f>
        <v/>
      </c>
      <c r="B188" s="13" t="str">
        <f aca="false">IF($J188="","",INDEX('DỮ LIỆU'!$A$3:$A$1052,$J188))</f>
        <v/>
      </c>
      <c r="C188" s="41" t="str">
        <f aca="false">IF($J188="","",IF(INDEX('DỮ LIỆU'!$B$3:$B$1052,$J188)="","",INDEX('DỮ LIỆU'!$B$3:$B$1052,$J188)))</f>
        <v/>
      </c>
      <c r="D188" s="21" t="str">
        <f aca="false">IF($J188="","",IF(INDEX('DỮ LIỆU'!$C$3:$C$1052,$J188)="","",INDEX('DỮ LIỆU'!$C$3:$C$1052,$J188)))</f>
        <v/>
      </c>
      <c r="E188" s="21" t="str">
        <f aca="false">IF($J188="","",IF(INDEX('DỮ LIỆU'!$D$3:$D$1052,$J188)="","",INDEX('DỮ LIỆU'!$D$3:$D$1052,$J188)))</f>
        <v/>
      </c>
      <c r="F188" s="21" t="str">
        <f aca="false">IF($J188="","",IF(INDEX('DỮ LIỆU'!$H$3:$H$1052,$J188)="","",INDEX('DỮ LIỆU'!$H$3:$H$1052,$J188)))</f>
        <v/>
      </c>
      <c r="G188" s="13" t="str">
        <f aca="false">IF($J188="","",N(INDEX('DỮ LIỆU'!$I$3:$I$1052,$J188)))</f>
        <v/>
      </c>
      <c r="H188" s="13" t="str">
        <f aca="false">IF($J188="","",N(INDEX('DỮ LIỆU'!$M$3:$M$1052,$J188)))</f>
        <v/>
      </c>
      <c r="I188" s="13" t="str">
        <f aca="false">IF($J188="","",N(INDEX('DỮ LIỆU'!$N$3:$N$1052,$J188)))</f>
        <v/>
      </c>
      <c r="J188" s="0" t="str">
        <f aca="false">IFERROR(MATCH(172,'DỮ LIỆU'!$Y$3:$Y$1052,0),"")</f>
        <v/>
      </c>
    </row>
    <row r="189" customFormat="false" ht="15" hidden="false" customHeight="false" outlineLevel="0" collapsed="false">
      <c r="A189" s="21" t="str">
        <f aca="false">IF($J189="","",173)</f>
        <v/>
      </c>
      <c r="B189" s="13" t="str">
        <f aca="false">IF($J189="","",INDEX('DỮ LIỆU'!$A$3:$A$1052,$J189))</f>
        <v/>
      </c>
      <c r="C189" s="41" t="str">
        <f aca="false">IF($J189="","",IF(INDEX('DỮ LIỆU'!$B$3:$B$1052,$J189)="","",INDEX('DỮ LIỆU'!$B$3:$B$1052,$J189)))</f>
        <v/>
      </c>
      <c r="D189" s="21" t="str">
        <f aca="false">IF($J189="","",IF(INDEX('DỮ LIỆU'!$C$3:$C$1052,$J189)="","",INDEX('DỮ LIỆU'!$C$3:$C$1052,$J189)))</f>
        <v/>
      </c>
      <c r="E189" s="21" t="str">
        <f aca="false">IF($J189="","",IF(INDEX('DỮ LIỆU'!$D$3:$D$1052,$J189)="","",INDEX('DỮ LIỆU'!$D$3:$D$1052,$J189)))</f>
        <v/>
      </c>
      <c r="F189" s="21" t="str">
        <f aca="false">IF($J189="","",IF(INDEX('DỮ LIỆU'!$H$3:$H$1052,$J189)="","",INDEX('DỮ LIỆU'!$H$3:$H$1052,$J189)))</f>
        <v/>
      </c>
      <c r="G189" s="13" t="str">
        <f aca="false">IF($J189="","",N(INDEX('DỮ LIỆU'!$I$3:$I$1052,$J189)))</f>
        <v/>
      </c>
      <c r="H189" s="13" t="str">
        <f aca="false">IF($J189="","",N(INDEX('DỮ LIỆU'!$M$3:$M$1052,$J189)))</f>
        <v/>
      </c>
      <c r="I189" s="13" t="str">
        <f aca="false">IF($J189="","",N(INDEX('DỮ LIỆU'!$N$3:$N$1052,$J189)))</f>
        <v/>
      </c>
      <c r="J189" s="0" t="str">
        <f aca="false">IFERROR(MATCH(173,'DỮ LIỆU'!$Y$3:$Y$1052,0),"")</f>
        <v/>
      </c>
    </row>
    <row r="190" customFormat="false" ht="15" hidden="false" customHeight="false" outlineLevel="0" collapsed="false">
      <c r="A190" s="21" t="str">
        <f aca="false">IF($J190="","",174)</f>
        <v/>
      </c>
      <c r="B190" s="13" t="str">
        <f aca="false">IF($J190="","",INDEX('DỮ LIỆU'!$A$3:$A$1052,$J190))</f>
        <v/>
      </c>
      <c r="C190" s="41" t="str">
        <f aca="false">IF($J190="","",IF(INDEX('DỮ LIỆU'!$B$3:$B$1052,$J190)="","",INDEX('DỮ LIỆU'!$B$3:$B$1052,$J190)))</f>
        <v/>
      </c>
      <c r="D190" s="21" t="str">
        <f aca="false">IF($J190="","",IF(INDEX('DỮ LIỆU'!$C$3:$C$1052,$J190)="","",INDEX('DỮ LIỆU'!$C$3:$C$1052,$J190)))</f>
        <v/>
      </c>
      <c r="E190" s="21" t="str">
        <f aca="false">IF($J190="","",IF(INDEX('DỮ LIỆU'!$D$3:$D$1052,$J190)="","",INDEX('DỮ LIỆU'!$D$3:$D$1052,$J190)))</f>
        <v/>
      </c>
      <c r="F190" s="21" t="str">
        <f aca="false">IF($J190="","",IF(INDEX('DỮ LIỆU'!$H$3:$H$1052,$J190)="","",INDEX('DỮ LIỆU'!$H$3:$H$1052,$J190)))</f>
        <v/>
      </c>
      <c r="G190" s="13" t="str">
        <f aca="false">IF($J190="","",N(INDEX('DỮ LIỆU'!$I$3:$I$1052,$J190)))</f>
        <v/>
      </c>
      <c r="H190" s="13" t="str">
        <f aca="false">IF($J190="","",N(INDEX('DỮ LIỆU'!$M$3:$M$1052,$J190)))</f>
        <v/>
      </c>
      <c r="I190" s="13" t="str">
        <f aca="false">IF($J190="","",N(INDEX('DỮ LIỆU'!$N$3:$N$1052,$J190)))</f>
        <v/>
      </c>
      <c r="J190" s="0" t="str">
        <f aca="false">IFERROR(MATCH(174,'DỮ LIỆU'!$Y$3:$Y$1052,0),"")</f>
        <v/>
      </c>
    </row>
    <row r="191" customFormat="false" ht="15" hidden="false" customHeight="false" outlineLevel="0" collapsed="false">
      <c r="A191" s="21" t="str">
        <f aca="false">IF($J191="","",175)</f>
        <v/>
      </c>
      <c r="B191" s="13" t="str">
        <f aca="false">IF($J191="","",INDEX('DỮ LIỆU'!$A$3:$A$1052,$J191))</f>
        <v/>
      </c>
      <c r="C191" s="41" t="str">
        <f aca="false">IF($J191="","",IF(INDEX('DỮ LIỆU'!$B$3:$B$1052,$J191)="","",INDEX('DỮ LIỆU'!$B$3:$B$1052,$J191)))</f>
        <v/>
      </c>
      <c r="D191" s="21" t="str">
        <f aca="false">IF($J191="","",IF(INDEX('DỮ LIỆU'!$C$3:$C$1052,$J191)="","",INDEX('DỮ LIỆU'!$C$3:$C$1052,$J191)))</f>
        <v/>
      </c>
      <c r="E191" s="21" t="str">
        <f aca="false">IF($J191="","",IF(INDEX('DỮ LIỆU'!$D$3:$D$1052,$J191)="","",INDEX('DỮ LIỆU'!$D$3:$D$1052,$J191)))</f>
        <v/>
      </c>
      <c r="F191" s="21" t="str">
        <f aca="false">IF($J191="","",IF(INDEX('DỮ LIỆU'!$H$3:$H$1052,$J191)="","",INDEX('DỮ LIỆU'!$H$3:$H$1052,$J191)))</f>
        <v/>
      </c>
      <c r="G191" s="13" t="str">
        <f aca="false">IF($J191="","",N(INDEX('DỮ LIỆU'!$I$3:$I$1052,$J191)))</f>
        <v/>
      </c>
      <c r="H191" s="13" t="str">
        <f aca="false">IF($J191="","",N(INDEX('DỮ LIỆU'!$M$3:$M$1052,$J191)))</f>
        <v/>
      </c>
      <c r="I191" s="13" t="str">
        <f aca="false">IF($J191="","",N(INDEX('DỮ LIỆU'!$N$3:$N$1052,$J191)))</f>
        <v/>
      </c>
      <c r="J191" s="0" t="str">
        <f aca="false">IFERROR(MATCH(175,'DỮ LIỆU'!$Y$3:$Y$1052,0),"")</f>
        <v/>
      </c>
    </row>
    <row r="192" customFormat="false" ht="15" hidden="false" customHeight="false" outlineLevel="0" collapsed="false">
      <c r="A192" s="21" t="str">
        <f aca="false">IF($J192="","",176)</f>
        <v/>
      </c>
      <c r="B192" s="13" t="str">
        <f aca="false">IF($J192="","",INDEX('DỮ LIỆU'!$A$3:$A$1052,$J192))</f>
        <v/>
      </c>
      <c r="C192" s="41" t="str">
        <f aca="false">IF($J192="","",IF(INDEX('DỮ LIỆU'!$B$3:$B$1052,$J192)="","",INDEX('DỮ LIỆU'!$B$3:$B$1052,$J192)))</f>
        <v/>
      </c>
      <c r="D192" s="21" t="str">
        <f aca="false">IF($J192="","",IF(INDEX('DỮ LIỆU'!$C$3:$C$1052,$J192)="","",INDEX('DỮ LIỆU'!$C$3:$C$1052,$J192)))</f>
        <v/>
      </c>
      <c r="E192" s="21" t="str">
        <f aca="false">IF($J192="","",IF(INDEX('DỮ LIỆU'!$D$3:$D$1052,$J192)="","",INDEX('DỮ LIỆU'!$D$3:$D$1052,$J192)))</f>
        <v/>
      </c>
      <c r="F192" s="21" t="str">
        <f aca="false">IF($J192="","",IF(INDEX('DỮ LIỆU'!$H$3:$H$1052,$J192)="","",INDEX('DỮ LIỆU'!$H$3:$H$1052,$J192)))</f>
        <v/>
      </c>
      <c r="G192" s="13" t="str">
        <f aca="false">IF($J192="","",N(INDEX('DỮ LIỆU'!$I$3:$I$1052,$J192)))</f>
        <v/>
      </c>
      <c r="H192" s="13" t="str">
        <f aca="false">IF($J192="","",N(INDEX('DỮ LIỆU'!$M$3:$M$1052,$J192)))</f>
        <v/>
      </c>
      <c r="I192" s="13" t="str">
        <f aca="false">IF($J192="","",N(INDEX('DỮ LIỆU'!$N$3:$N$1052,$J192)))</f>
        <v/>
      </c>
      <c r="J192" s="0" t="str">
        <f aca="false">IFERROR(MATCH(176,'DỮ LIỆU'!$Y$3:$Y$1052,0),"")</f>
        <v/>
      </c>
    </row>
    <row r="193" customFormat="false" ht="15" hidden="false" customHeight="false" outlineLevel="0" collapsed="false">
      <c r="A193" s="21" t="str">
        <f aca="false">IF($J193="","",177)</f>
        <v/>
      </c>
      <c r="B193" s="13" t="str">
        <f aca="false">IF($J193="","",INDEX('DỮ LIỆU'!$A$3:$A$1052,$J193))</f>
        <v/>
      </c>
      <c r="C193" s="41" t="str">
        <f aca="false">IF($J193="","",IF(INDEX('DỮ LIỆU'!$B$3:$B$1052,$J193)="","",INDEX('DỮ LIỆU'!$B$3:$B$1052,$J193)))</f>
        <v/>
      </c>
      <c r="D193" s="21" t="str">
        <f aca="false">IF($J193="","",IF(INDEX('DỮ LIỆU'!$C$3:$C$1052,$J193)="","",INDEX('DỮ LIỆU'!$C$3:$C$1052,$J193)))</f>
        <v/>
      </c>
      <c r="E193" s="21" t="str">
        <f aca="false">IF($J193="","",IF(INDEX('DỮ LIỆU'!$D$3:$D$1052,$J193)="","",INDEX('DỮ LIỆU'!$D$3:$D$1052,$J193)))</f>
        <v/>
      </c>
      <c r="F193" s="21" t="str">
        <f aca="false">IF($J193="","",IF(INDEX('DỮ LIỆU'!$H$3:$H$1052,$J193)="","",INDEX('DỮ LIỆU'!$H$3:$H$1052,$J193)))</f>
        <v/>
      </c>
      <c r="G193" s="13" t="str">
        <f aca="false">IF($J193="","",N(INDEX('DỮ LIỆU'!$I$3:$I$1052,$J193)))</f>
        <v/>
      </c>
      <c r="H193" s="13" t="str">
        <f aca="false">IF($J193="","",N(INDEX('DỮ LIỆU'!$M$3:$M$1052,$J193)))</f>
        <v/>
      </c>
      <c r="I193" s="13" t="str">
        <f aca="false">IF($J193="","",N(INDEX('DỮ LIỆU'!$N$3:$N$1052,$J193)))</f>
        <v/>
      </c>
      <c r="J193" s="0" t="str">
        <f aca="false">IFERROR(MATCH(177,'DỮ LIỆU'!$Y$3:$Y$1052,0),"")</f>
        <v/>
      </c>
    </row>
    <row r="194" customFormat="false" ht="15" hidden="false" customHeight="false" outlineLevel="0" collapsed="false">
      <c r="A194" s="21" t="str">
        <f aca="false">IF($J194="","",178)</f>
        <v/>
      </c>
      <c r="B194" s="13" t="str">
        <f aca="false">IF($J194="","",INDEX('DỮ LIỆU'!$A$3:$A$1052,$J194))</f>
        <v/>
      </c>
      <c r="C194" s="41" t="str">
        <f aca="false">IF($J194="","",IF(INDEX('DỮ LIỆU'!$B$3:$B$1052,$J194)="","",INDEX('DỮ LIỆU'!$B$3:$B$1052,$J194)))</f>
        <v/>
      </c>
      <c r="D194" s="21" t="str">
        <f aca="false">IF($J194="","",IF(INDEX('DỮ LIỆU'!$C$3:$C$1052,$J194)="","",INDEX('DỮ LIỆU'!$C$3:$C$1052,$J194)))</f>
        <v/>
      </c>
      <c r="E194" s="21" t="str">
        <f aca="false">IF($J194="","",IF(INDEX('DỮ LIỆU'!$D$3:$D$1052,$J194)="","",INDEX('DỮ LIỆU'!$D$3:$D$1052,$J194)))</f>
        <v/>
      </c>
      <c r="F194" s="21" t="str">
        <f aca="false">IF($J194="","",IF(INDEX('DỮ LIỆU'!$H$3:$H$1052,$J194)="","",INDEX('DỮ LIỆU'!$H$3:$H$1052,$J194)))</f>
        <v/>
      </c>
      <c r="G194" s="13" t="str">
        <f aca="false">IF($J194="","",N(INDEX('DỮ LIỆU'!$I$3:$I$1052,$J194)))</f>
        <v/>
      </c>
      <c r="H194" s="13" t="str">
        <f aca="false">IF($J194="","",N(INDEX('DỮ LIỆU'!$M$3:$M$1052,$J194)))</f>
        <v/>
      </c>
      <c r="I194" s="13" t="str">
        <f aca="false">IF($J194="","",N(INDEX('DỮ LIỆU'!$N$3:$N$1052,$J194)))</f>
        <v/>
      </c>
      <c r="J194" s="0" t="str">
        <f aca="false">IFERROR(MATCH(178,'DỮ LIỆU'!$Y$3:$Y$1052,0),"")</f>
        <v/>
      </c>
    </row>
    <row r="195" customFormat="false" ht="15" hidden="false" customHeight="false" outlineLevel="0" collapsed="false">
      <c r="A195" s="21" t="str">
        <f aca="false">IF($J195="","",179)</f>
        <v/>
      </c>
      <c r="B195" s="13" t="str">
        <f aca="false">IF($J195="","",INDEX('DỮ LIỆU'!$A$3:$A$1052,$J195))</f>
        <v/>
      </c>
      <c r="C195" s="41" t="str">
        <f aca="false">IF($J195="","",IF(INDEX('DỮ LIỆU'!$B$3:$B$1052,$J195)="","",INDEX('DỮ LIỆU'!$B$3:$B$1052,$J195)))</f>
        <v/>
      </c>
      <c r="D195" s="21" t="str">
        <f aca="false">IF($J195="","",IF(INDEX('DỮ LIỆU'!$C$3:$C$1052,$J195)="","",INDEX('DỮ LIỆU'!$C$3:$C$1052,$J195)))</f>
        <v/>
      </c>
      <c r="E195" s="21" t="str">
        <f aca="false">IF($J195="","",IF(INDEX('DỮ LIỆU'!$D$3:$D$1052,$J195)="","",INDEX('DỮ LIỆU'!$D$3:$D$1052,$J195)))</f>
        <v/>
      </c>
      <c r="F195" s="21" t="str">
        <f aca="false">IF($J195="","",IF(INDEX('DỮ LIỆU'!$H$3:$H$1052,$J195)="","",INDEX('DỮ LIỆU'!$H$3:$H$1052,$J195)))</f>
        <v/>
      </c>
      <c r="G195" s="13" t="str">
        <f aca="false">IF($J195="","",N(INDEX('DỮ LIỆU'!$I$3:$I$1052,$J195)))</f>
        <v/>
      </c>
      <c r="H195" s="13" t="str">
        <f aca="false">IF($J195="","",N(INDEX('DỮ LIỆU'!$M$3:$M$1052,$J195)))</f>
        <v/>
      </c>
      <c r="I195" s="13" t="str">
        <f aca="false">IF($J195="","",N(INDEX('DỮ LIỆU'!$N$3:$N$1052,$J195)))</f>
        <v/>
      </c>
      <c r="J195" s="0" t="str">
        <f aca="false">IFERROR(MATCH(179,'DỮ LIỆU'!$Y$3:$Y$1052,0),"")</f>
        <v/>
      </c>
    </row>
    <row r="196" customFormat="false" ht="15" hidden="false" customHeight="false" outlineLevel="0" collapsed="false">
      <c r="A196" s="21" t="str">
        <f aca="false">IF($J196="","",180)</f>
        <v/>
      </c>
      <c r="B196" s="13" t="str">
        <f aca="false">IF($J196="","",INDEX('DỮ LIỆU'!$A$3:$A$1052,$J196))</f>
        <v/>
      </c>
      <c r="C196" s="41" t="str">
        <f aca="false">IF($J196="","",IF(INDEX('DỮ LIỆU'!$B$3:$B$1052,$J196)="","",INDEX('DỮ LIỆU'!$B$3:$B$1052,$J196)))</f>
        <v/>
      </c>
      <c r="D196" s="21" t="str">
        <f aca="false">IF($J196="","",IF(INDEX('DỮ LIỆU'!$C$3:$C$1052,$J196)="","",INDEX('DỮ LIỆU'!$C$3:$C$1052,$J196)))</f>
        <v/>
      </c>
      <c r="E196" s="21" t="str">
        <f aca="false">IF($J196="","",IF(INDEX('DỮ LIỆU'!$D$3:$D$1052,$J196)="","",INDEX('DỮ LIỆU'!$D$3:$D$1052,$J196)))</f>
        <v/>
      </c>
      <c r="F196" s="21" t="str">
        <f aca="false">IF($J196="","",IF(INDEX('DỮ LIỆU'!$H$3:$H$1052,$J196)="","",INDEX('DỮ LIỆU'!$H$3:$H$1052,$J196)))</f>
        <v/>
      </c>
      <c r="G196" s="13" t="str">
        <f aca="false">IF($J196="","",N(INDEX('DỮ LIỆU'!$I$3:$I$1052,$J196)))</f>
        <v/>
      </c>
      <c r="H196" s="13" t="str">
        <f aca="false">IF($J196="","",N(INDEX('DỮ LIỆU'!$M$3:$M$1052,$J196)))</f>
        <v/>
      </c>
      <c r="I196" s="13" t="str">
        <f aca="false">IF($J196="","",N(INDEX('DỮ LIỆU'!$N$3:$N$1052,$J196)))</f>
        <v/>
      </c>
      <c r="J196" s="0" t="str">
        <f aca="false">IFERROR(MATCH(180,'DỮ LIỆU'!$Y$3:$Y$1052,0),"")</f>
        <v/>
      </c>
    </row>
    <row r="197" customFormat="false" ht="15" hidden="false" customHeight="false" outlineLevel="0" collapsed="false">
      <c r="A197" s="21" t="str">
        <f aca="false">IF($J197="","",181)</f>
        <v/>
      </c>
      <c r="B197" s="13" t="str">
        <f aca="false">IF($J197="","",INDEX('DỮ LIỆU'!$A$3:$A$1052,$J197))</f>
        <v/>
      </c>
      <c r="C197" s="41" t="str">
        <f aca="false">IF($J197="","",IF(INDEX('DỮ LIỆU'!$B$3:$B$1052,$J197)="","",INDEX('DỮ LIỆU'!$B$3:$B$1052,$J197)))</f>
        <v/>
      </c>
      <c r="D197" s="21" t="str">
        <f aca="false">IF($J197="","",IF(INDEX('DỮ LIỆU'!$C$3:$C$1052,$J197)="","",INDEX('DỮ LIỆU'!$C$3:$C$1052,$J197)))</f>
        <v/>
      </c>
      <c r="E197" s="21" t="str">
        <f aca="false">IF($J197="","",IF(INDEX('DỮ LIỆU'!$D$3:$D$1052,$J197)="","",INDEX('DỮ LIỆU'!$D$3:$D$1052,$J197)))</f>
        <v/>
      </c>
      <c r="F197" s="21" t="str">
        <f aca="false">IF($J197="","",IF(INDEX('DỮ LIỆU'!$H$3:$H$1052,$J197)="","",INDEX('DỮ LIỆU'!$H$3:$H$1052,$J197)))</f>
        <v/>
      </c>
      <c r="G197" s="13" t="str">
        <f aca="false">IF($J197="","",N(INDEX('DỮ LIỆU'!$I$3:$I$1052,$J197)))</f>
        <v/>
      </c>
      <c r="H197" s="13" t="str">
        <f aca="false">IF($J197="","",N(INDEX('DỮ LIỆU'!$M$3:$M$1052,$J197)))</f>
        <v/>
      </c>
      <c r="I197" s="13" t="str">
        <f aca="false">IF($J197="","",N(INDEX('DỮ LIỆU'!$N$3:$N$1052,$J197)))</f>
        <v/>
      </c>
      <c r="J197" s="0" t="str">
        <f aca="false">IFERROR(MATCH(181,'DỮ LIỆU'!$Y$3:$Y$1052,0),"")</f>
        <v/>
      </c>
    </row>
    <row r="198" customFormat="false" ht="15" hidden="false" customHeight="false" outlineLevel="0" collapsed="false">
      <c r="A198" s="21" t="str">
        <f aca="false">IF($J198="","",182)</f>
        <v/>
      </c>
      <c r="B198" s="13" t="str">
        <f aca="false">IF($J198="","",INDEX('DỮ LIỆU'!$A$3:$A$1052,$J198))</f>
        <v/>
      </c>
      <c r="C198" s="41" t="str">
        <f aca="false">IF($J198="","",IF(INDEX('DỮ LIỆU'!$B$3:$B$1052,$J198)="","",INDEX('DỮ LIỆU'!$B$3:$B$1052,$J198)))</f>
        <v/>
      </c>
      <c r="D198" s="21" t="str">
        <f aca="false">IF($J198="","",IF(INDEX('DỮ LIỆU'!$C$3:$C$1052,$J198)="","",INDEX('DỮ LIỆU'!$C$3:$C$1052,$J198)))</f>
        <v/>
      </c>
      <c r="E198" s="21" t="str">
        <f aca="false">IF($J198="","",IF(INDEX('DỮ LIỆU'!$D$3:$D$1052,$J198)="","",INDEX('DỮ LIỆU'!$D$3:$D$1052,$J198)))</f>
        <v/>
      </c>
      <c r="F198" s="21" t="str">
        <f aca="false">IF($J198="","",IF(INDEX('DỮ LIỆU'!$H$3:$H$1052,$J198)="","",INDEX('DỮ LIỆU'!$H$3:$H$1052,$J198)))</f>
        <v/>
      </c>
      <c r="G198" s="13" t="str">
        <f aca="false">IF($J198="","",N(INDEX('DỮ LIỆU'!$I$3:$I$1052,$J198)))</f>
        <v/>
      </c>
      <c r="H198" s="13" t="str">
        <f aca="false">IF($J198="","",N(INDEX('DỮ LIỆU'!$M$3:$M$1052,$J198)))</f>
        <v/>
      </c>
      <c r="I198" s="13" t="str">
        <f aca="false">IF($J198="","",N(INDEX('DỮ LIỆU'!$N$3:$N$1052,$J198)))</f>
        <v/>
      </c>
      <c r="J198" s="0" t="str">
        <f aca="false">IFERROR(MATCH(182,'DỮ LIỆU'!$Y$3:$Y$1052,0),"")</f>
        <v/>
      </c>
    </row>
    <row r="199" customFormat="false" ht="15" hidden="false" customHeight="false" outlineLevel="0" collapsed="false">
      <c r="A199" s="21" t="str">
        <f aca="false">IF($J199="","",183)</f>
        <v/>
      </c>
      <c r="B199" s="13" t="str">
        <f aca="false">IF($J199="","",INDEX('DỮ LIỆU'!$A$3:$A$1052,$J199))</f>
        <v/>
      </c>
      <c r="C199" s="41" t="str">
        <f aca="false">IF($J199="","",IF(INDEX('DỮ LIỆU'!$B$3:$B$1052,$J199)="","",INDEX('DỮ LIỆU'!$B$3:$B$1052,$J199)))</f>
        <v/>
      </c>
      <c r="D199" s="21" t="str">
        <f aca="false">IF($J199="","",IF(INDEX('DỮ LIỆU'!$C$3:$C$1052,$J199)="","",INDEX('DỮ LIỆU'!$C$3:$C$1052,$J199)))</f>
        <v/>
      </c>
      <c r="E199" s="21" t="str">
        <f aca="false">IF($J199="","",IF(INDEX('DỮ LIỆU'!$D$3:$D$1052,$J199)="","",INDEX('DỮ LIỆU'!$D$3:$D$1052,$J199)))</f>
        <v/>
      </c>
      <c r="F199" s="21" t="str">
        <f aca="false">IF($J199="","",IF(INDEX('DỮ LIỆU'!$H$3:$H$1052,$J199)="","",INDEX('DỮ LIỆU'!$H$3:$H$1052,$J199)))</f>
        <v/>
      </c>
      <c r="G199" s="13" t="str">
        <f aca="false">IF($J199="","",N(INDEX('DỮ LIỆU'!$I$3:$I$1052,$J199)))</f>
        <v/>
      </c>
      <c r="H199" s="13" t="str">
        <f aca="false">IF($J199="","",N(INDEX('DỮ LIỆU'!$M$3:$M$1052,$J199)))</f>
        <v/>
      </c>
      <c r="I199" s="13" t="str">
        <f aca="false">IF($J199="","",N(INDEX('DỮ LIỆU'!$N$3:$N$1052,$J199)))</f>
        <v/>
      </c>
      <c r="J199" s="0" t="str">
        <f aca="false">IFERROR(MATCH(183,'DỮ LIỆU'!$Y$3:$Y$1052,0),"")</f>
        <v/>
      </c>
    </row>
    <row r="200" customFormat="false" ht="15" hidden="false" customHeight="false" outlineLevel="0" collapsed="false">
      <c r="A200" s="21" t="str">
        <f aca="false">IF($J200="","",184)</f>
        <v/>
      </c>
      <c r="B200" s="13" t="str">
        <f aca="false">IF($J200="","",INDEX('DỮ LIỆU'!$A$3:$A$1052,$J200))</f>
        <v/>
      </c>
      <c r="C200" s="41" t="str">
        <f aca="false">IF($J200="","",IF(INDEX('DỮ LIỆU'!$B$3:$B$1052,$J200)="","",INDEX('DỮ LIỆU'!$B$3:$B$1052,$J200)))</f>
        <v/>
      </c>
      <c r="D200" s="21" t="str">
        <f aca="false">IF($J200="","",IF(INDEX('DỮ LIỆU'!$C$3:$C$1052,$J200)="","",INDEX('DỮ LIỆU'!$C$3:$C$1052,$J200)))</f>
        <v/>
      </c>
      <c r="E200" s="21" t="str">
        <f aca="false">IF($J200="","",IF(INDEX('DỮ LIỆU'!$D$3:$D$1052,$J200)="","",INDEX('DỮ LIỆU'!$D$3:$D$1052,$J200)))</f>
        <v/>
      </c>
      <c r="F200" s="21" t="str">
        <f aca="false">IF($J200="","",IF(INDEX('DỮ LIỆU'!$H$3:$H$1052,$J200)="","",INDEX('DỮ LIỆU'!$H$3:$H$1052,$J200)))</f>
        <v/>
      </c>
      <c r="G200" s="13" t="str">
        <f aca="false">IF($J200="","",N(INDEX('DỮ LIỆU'!$I$3:$I$1052,$J200)))</f>
        <v/>
      </c>
      <c r="H200" s="13" t="str">
        <f aca="false">IF($J200="","",N(INDEX('DỮ LIỆU'!$M$3:$M$1052,$J200)))</f>
        <v/>
      </c>
      <c r="I200" s="13" t="str">
        <f aca="false">IF($J200="","",N(INDEX('DỮ LIỆU'!$N$3:$N$1052,$J200)))</f>
        <v/>
      </c>
      <c r="J200" s="0" t="str">
        <f aca="false">IFERROR(MATCH(184,'DỮ LIỆU'!$Y$3:$Y$1052,0),"")</f>
        <v/>
      </c>
    </row>
    <row r="201" customFormat="false" ht="15" hidden="false" customHeight="false" outlineLevel="0" collapsed="false">
      <c r="A201" s="21" t="str">
        <f aca="false">IF($J201="","",185)</f>
        <v/>
      </c>
      <c r="B201" s="13" t="str">
        <f aca="false">IF($J201="","",INDEX('DỮ LIỆU'!$A$3:$A$1052,$J201))</f>
        <v/>
      </c>
      <c r="C201" s="41" t="str">
        <f aca="false">IF($J201="","",IF(INDEX('DỮ LIỆU'!$B$3:$B$1052,$J201)="","",INDEX('DỮ LIỆU'!$B$3:$B$1052,$J201)))</f>
        <v/>
      </c>
      <c r="D201" s="21" t="str">
        <f aca="false">IF($J201="","",IF(INDEX('DỮ LIỆU'!$C$3:$C$1052,$J201)="","",INDEX('DỮ LIỆU'!$C$3:$C$1052,$J201)))</f>
        <v/>
      </c>
      <c r="E201" s="21" t="str">
        <f aca="false">IF($J201="","",IF(INDEX('DỮ LIỆU'!$D$3:$D$1052,$J201)="","",INDEX('DỮ LIỆU'!$D$3:$D$1052,$J201)))</f>
        <v/>
      </c>
      <c r="F201" s="21" t="str">
        <f aca="false">IF($J201="","",IF(INDEX('DỮ LIỆU'!$H$3:$H$1052,$J201)="","",INDEX('DỮ LIỆU'!$H$3:$H$1052,$J201)))</f>
        <v/>
      </c>
      <c r="G201" s="13" t="str">
        <f aca="false">IF($J201="","",N(INDEX('DỮ LIỆU'!$I$3:$I$1052,$J201)))</f>
        <v/>
      </c>
      <c r="H201" s="13" t="str">
        <f aca="false">IF($J201="","",N(INDEX('DỮ LIỆU'!$M$3:$M$1052,$J201)))</f>
        <v/>
      </c>
      <c r="I201" s="13" t="str">
        <f aca="false">IF($J201="","",N(INDEX('DỮ LIỆU'!$N$3:$N$1052,$J201)))</f>
        <v/>
      </c>
      <c r="J201" s="0" t="str">
        <f aca="false">IFERROR(MATCH(185,'DỮ LIỆU'!$Y$3:$Y$1052,0),"")</f>
        <v/>
      </c>
    </row>
    <row r="202" customFormat="false" ht="15" hidden="false" customHeight="false" outlineLevel="0" collapsed="false">
      <c r="A202" s="21" t="str">
        <f aca="false">IF($J202="","",186)</f>
        <v/>
      </c>
      <c r="B202" s="13" t="str">
        <f aca="false">IF($J202="","",INDEX('DỮ LIỆU'!$A$3:$A$1052,$J202))</f>
        <v/>
      </c>
      <c r="C202" s="41" t="str">
        <f aca="false">IF($J202="","",IF(INDEX('DỮ LIỆU'!$B$3:$B$1052,$J202)="","",INDEX('DỮ LIỆU'!$B$3:$B$1052,$J202)))</f>
        <v/>
      </c>
      <c r="D202" s="21" t="str">
        <f aca="false">IF($J202="","",IF(INDEX('DỮ LIỆU'!$C$3:$C$1052,$J202)="","",INDEX('DỮ LIỆU'!$C$3:$C$1052,$J202)))</f>
        <v/>
      </c>
      <c r="E202" s="21" t="str">
        <f aca="false">IF($J202="","",IF(INDEX('DỮ LIỆU'!$D$3:$D$1052,$J202)="","",INDEX('DỮ LIỆU'!$D$3:$D$1052,$J202)))</f>
        <v/>
      </c>
      <c r="F202" s="21" t="str">
        <f aca="false">IF($J202="","",IF(INDEX('DỮ LIỆU'!$H$3:$H$1052,$J202)="","",INDEX('DỮ LIỆU'!$H$3:$H$1052,$J202)))</f>
        <v/>
      </c>
      <c r="G202" s="13" t="str">
        <f aca="false">IF($J202="","",N(INDEX('DỮ LIỆU'!$I$3:$I$1052,$J202)))</f>
        <v/>
      </c>
      <c r="H202" s="13" t="str">
        <f aca="false">IF($J202="","",N(INDEX('DỮ LIỆU'!$M$3:$M$1052,$J202)))</f>
        <v/>
      </c>
      <c r="I202" s="13" t="str">
        <f aca="false">IF($J202="","",N(INDEX('DỮ LIỆU'!$N$3:$N$1052,$J202)))</f>
        <v/>
      </c>
      <c r="J202" s="0" t="str">
        <f aca="false">IFERROR(MATCH(186,'DỮ LIỆU'!$Y$3:$Y$1052,0),"")</f>
        <v/>
      </c>
    </row>
    <row r="203" customFormat="false" ht="15" hidden="false" customHeight="false" outlineLevel="0" collapsed="false">
      <c r="A203" s="21" t="str">
        <f aca="false">IF($J203="","",187)</f>
        <v/>
      </c>
      <c r="B203" s="13" t="str">
        <f aca="false">IF($J203="","",INDEX('DỮ LIỆU'!$A$3:$A$1052,$J203))</f>
        <v/>
      </c>
      <c r="C203" s="41" t="str">
        <f aca="false">IF($J203="","",IF(INDEX('DỮ LIỆU'!$B$3:$B$1052,$J203)="","",INDEX('DỮ LIỆU'!$B$3:$B$1052,$J203)))</f>
        <v/>
      </c>
      <c r="D203" s="21" t="str">
        <f aca="false">IF($J203="","",IF(INDEX('DỮ LIỆU'!$C$3:$C$1052,$J203)="","",INDEX('DỮ LIỆU'!$C$3:$C$1052,$J203)))</f>
        <v/>
      </c>
      <c r="E203" s="21" t="str">
        <f aca="false">IF($J203="","",IF(INDEX('DỮ LIỆU'!$D$3:$D$1052,$J203)="","",INDEX('DỮ LIỆU'!$D$3:$D$1052,$J203)))</f>
        <v/>
      </c>
      <c r="F203" s="21" t="str">
        <f aca="false">IF($J203="","",IF(INDEX('DỮ LIỆU'!$H$3:$H$1052,$J203)="","",INDEX('DỮ LIỆU'!$H$3:$H$1052,$J203)))</f>
        <v/>
      </c>
      <c r="G203" s="13" t="str">
        <f aca="false">IF($J203="","",N(INDEX('DỮ LIỆU'!$I$3:$I$1052,$J203)))</f>
        <v/>
      </c>
      <c r="H203" s="13" t="str">
        <f aca="false">IF($J203="","",N(INDEX('DỮ LIỆU'!$M$3:$M$1052,$J203)))</f>
        <v/>
      </c>
      <c r="I203" s="13" t="str">
        <f aca="false">IF($J203="","",N(INDEX('DỮ LIỆU'!$N$3:$N$1052,$J203)))</f>
        <v/>
      </c>
      <c r="J203" s="0" t="str">
        <f aca="false">IFERROR(MATCH(187,'DỮ LIỆU'!$Y$3:$Y$1052,0),"")</f>
        <v/>
      </c>
    </row>
    <row r="204" customFormat="false" ht="15" hidden="false" customHeight="false" outlineLevel="0" collapsed="false">
      <c r="A204" s="21" t="str">
        <f aca="false">IF($J204="","",188)</f>
        <v/>
      </c>
      <c r="B204" s="13" t="str">
        <f aca="false">IF($J204="","",INDEX('DỮ LIỆU'!$A$3:$A$1052,$J204))</f>
        <v/>
      </c>
      <c r="C204" s="41" t="str">
        <f aca="false">IF($J204="","",IF(INDEX('DỮ LIỆU'!$B$3:$B$1052,$J204)="","",INDEX('DỮ LIỆU'!$B$3:$B$1052,$J204)))</f>
        <v/>
      </c>
      <c r="D204" s="21" t="str">
        <f aca="false">IF($J204="","",IF(INDEX('DỮ LIỆU'!$C$3:$C$1052,$J204)="","",INDEX('DỮ LIỆU'!$C$3:$C$1052,$J204)))</f>
        <v/>
      </c>
      <c r="E204" s="21" t="str">
        <f aca="false">IF($J204="","",IF(INDEX('DỮ LIỆU'!$D$3:$D$1052,$J204)="","",INDEX('DỮ LIỆU'!$D$3:$D$1052,$J204)))</f>
        <v/>
      </c>
      <c r="F204" s="21" t="str">
        <f aca="false">IF($J204="","",IF(INDEX('DỮ LIỆU'!$H$3:$H$1052,$J204)="","",INDEX('DỮ LIỆU'!$H$3:$H$1052,$J204)))</f>
        <v/>
      </c>
      <c r="G204" s="13" t="str">
        <f aca="false">IF($J204="","",N(INDEX('DỮ LIỆU'!$I$3:$I$1052,$J204)))</f>
        <v/>
      </c>
      <c r="H204" s="13" t="str">
        <f aca="false">IF($J204="","",N(INDEX('DỮ LIỆU'!$M$3:$M$1052,$J204)))</f>
        <v/>
      </c>
      <c r="I204" s="13" t="str">
        <f aca="false">IF($J204="","",N(INDEX('DỮ LIỆU'!$N$3:$N$1052,$J204)))</f>
        <v/>
      </c>
      <c r="J204" s="0" t="str">
        <f aca="false">IFERROR(MATCH(188,'DỮ LIỆU'!$Y$3:$Y$1052,0),"")</f>
        <v/>
      </c>
    </row>
    <row r="205" customFormat="false" ht="15" hidden="false" customHeight="false" outlineLevel="0" collapsed="false">
      <c r="A205" s="21" t="str">
        <f aca="false">IF($J205="","",189)</f>
        <v/>
      </c>
      <c r="B205" s="13" t="str">
        <f aca="false">IF($J205="","",INDEX('DỮ LIỆU'!$A$3:$A$1052,$J205))</f>
        <v/>
      </c>
      <c r="C205" s="41" t="str">
        <f aca="false">IF($J205="","",IF(INDEX('DỮ LIỆU'!$B$3:$B$1052,$J205)="","",INDEX('DỮ LIỆU'!$B$3:$B$1052,$J205)))</f>
        <v/>
      </c>
      <c r="D205" s="21" t="str">
        <f aca="false">IF($J205="","",IF(INDEX('DỮ LIỆU'!$C$3:$C$1052,$J205)="","",INDEX('DỮ LIỆU'!$C$3:$C$1052,$J205)))</f>
        <v/>
      </c>
      <c r="E205" s="21" t="str">
        <f aca="false">IF($J205="","",IF(INDEX('DỮ LIỆU'!$D$3:$D$1052,$J205)="","",INDEX('DỮ LIỆU'!$D$3:$D$1052,$J205)))</f>
        <v/>
      </c>
      <c r="F205" s="21" t="str">
        <f aca="false">IF($J205="","",IF(INDEX('DỮ LIỆU'!$H$3:$H$1052,$J205)="","",INDEX('DỮ LIỆU'!$H$3:$H$1052,$J205)))</f>
        <v/>
      </c>
      <c r="G205" s="13" t="str">
        <f aca="false">IF($J205="","",N(INDEX('DỮ LIỆU'!$I$3:$I$1052,$J205)))</f>
        <v/>
      </c>
      <c r="H205" s="13" t="str">
        <f aca="false">IF($J205="","",N(INDEX('DỮ LIỆU'!$M$3:$M$1052,$J205)))</f>
        <v/>
      </c>
      <c r="I205" s="13" t="str">
        <f aca="false">IF($J205="","",N(INDEX('DỮ LIỆU'!$N$3:$N$1052,$J205)))</f>
        <v/>
      </c>
      <c r="J205" s="0" t="str">
        <f aca="false">IFERROR(MATCH(189,'DỮ LIỆU'!$Y$3:$Y$1052,0),"")</f>
        <v/>
      </c>
    </row>
    <row r="206" customFormat="false" ht="15" hidden="false" customHeight="false" outlineLevel="0" collapsed="false">
      <c r="A206" s="21" t="str">
        <f aca="false">IF($J206="","",190)</f>
        <v/>
      </c>
      <c r="B206" s="13" t="str">
        <f aca="false">IF($J206="","",INDEX('DỮ LIỆU'!$A$3:$A$1052,$J206))</f>
        <v/>
      </c>
      <c r="C206" s="41" t="str">
        <f aca="false">IF($J206="","",IF(INDEX('DỮ LIỆU'!$B$3:$B$1052,$J206)="","",INDEX('DỮ LIỆU'!$B$3:$B$1052,$J206)))</f>
        <v/>
      </c>
      <c r="D206" s="21" t="str">
        <f aca="false">IF($J206="","",IF(INDEX('DỮ LIỆU'!$C$3:$C$1052,$J206)="","",INDEX('DỮ LIỆU'!$C$3:$C$1052,$J206)))</f>
        <v/>
      </c>
      <c r="E206" s="21" t="str">
        <f aca="false">IF($J206="","",IF(INDEX('DỮ LIỆU'!$D$3:$D$1052,$J206)="","",INDEX('DỮ LIỆU'!$D$3:$D$1052,$J206)))</f>
        <v/>
      </c>
      <c r="F206" s="21" t="str">
        <f aca="false">IF($J206="","",IF(INDEX('DỮ LIỆU'!$H$3:$H$1052,$J206)="","",INDEX('DỮ LIỆU'!$H$3:$H$1052,$J206)))</f>
        <v/>
      </c>
      <c r="G206" s="13" t="str">
        <f aca="false">IF($J206="","",N(INDEX('DỮ LIỆU'!$I$3:$I$1052,$J206)))</f>
        <v/>
      </c>
      <c r="H206" s="13" t="str">
        <f aca="false">IF($J206="","",N(INDEX('DỮ LIỆU'!$M$3:$M$1052,$J206)))</f>
        <v/>
      </c>
      <c r="I206" s="13" t="str">
        <f aca="false">IF($J206="","",N(INDEX('DỮ LIỆU'!$N$3:$N$1052,$J206)))</f>
        <v/>
      </c>
      <c r="J206" s="0" t="str">
        <f aca="false">IFERROR(MATCH(190,'DỮ LIỆU'!$Y$3:$Y$1052,0),"")</f>
        <v/>
      </c>
    </row>
    <row r="207" customFormat="false" ht="15" hidden="false" customHeight="false" outlineLevel="0" collapsed="false">
      <c r="A207" s="21" t="str">
        <f aca="false">IF($J207="","",191)</f>
        <v/>
      </c>
      <c r="B207" s="13" t="str">
        <f aca="false">IF($J207="","",INDEX('DỮ LIỆU'!$A$3:$A$1052,$J207))</f>
        <v/>
      </c>
      <c r="C207" s="41" t="str">
        <f aca="false">IF($J207="","",IF(INDEX('DỮ LIỆU'!$B$3:$B$1052,$J207)="","",INDEX('DỮ LIỆU'!$B$3:$B$1052,$J207)))</f>
        <v/>
      </c>
      <c r="D207" s="21" t="str">
        <f aca="false">IF($J207="","",IF(INDEX('DỮ LIỆU'!$C$3:$C$1052,$J207)="","",INDEX('DỮ LIỆU'!$C$3:$C$1052,$J207)))</f>
        <v/>
      </c>
      <c r="E207" s="21" t="str">
        <f aca="false">IF($J207="","",IF(INDEX('DỮ LIỆU'!$D$3:$D$1052,$J207)="","",INDEX('DỮ LIỆU'!$D$3:$D$1052,$J207)))</f>
        <v/>
      </c>
      <c r="F207" s="21" t="str">
        <f aca="false">IF($J207="","",IF(INDEX('DỮ LIỆU'!$H$3:$H$1052,$J207)="","",INDEX('DỮ LIỆU'!$H$3:$H$1052,$J207)))</f>
        <v/>
      </c>
      <c r="G207" s="13" t="str">
        <f aca="false">IF($J207="","",N(INDEX('DỮ LIỆU'!$I$3:$I$1052,$J207)))</f>
        <v/>
      </c>
      <c r="H207" s="13" t="str">
        <f aca="false">IF($J207="","",N(INDEX('DỮ LIỆU'!$M$3:$M$1052,$J207)))</f>
        <v/>
      </c>
      <c r="I207" s="13" t="str">
        <f aca="false">IF($J207="","",N(INDEX('DỮ LIỆU'!$N$3:$N$1052,$J207)))</f>
        <v/>
      </c>
      <c r="J207" s="0" t="str">
        <f aca="false">IFERROR(MATCH(191,'DỮ LIỆU'!$Y$3:$Y$1052,0),"")</f>
        <v/>
      </c>
    </row>
    <row r="208" customFormat="false" ht="15" hidden="false" customHeight="false" outlineLevel="0" collapsed="false">
      <c r="A208" s="21" t="str">
        <f aca="false">IF($J208="","",192)</f>
        <v/>
      </c>
      <c r="B208" s="13" t="str">
        <f aca="false">IF($J208="","",INDEX('DỮ LIỆU'!$A$3:$A$1052,$J208))</f>
        <v/>
      </c>
      <c r="C208" s="41" t="str">
        <f aca="false">IF($J208="","",IF(INDEX('DỮ LIỆU'!$B$3:$B$1052,$J208)="","",INDEX('DỮ LIỆU'!$B$3:$B$1052,$J208)))</f>
        <v/>
      </c>
      <c r="D208" s="21" t="str">
        <f aca="false">IF($J208="","",IF(INDEX('DỮ LIỆU'!$C$3:$C$1052,$J208)="","",INDEX('DỮ LIỆU'!$C$3:$C$1052,$J208)))</f>
        <v/>
      </c>
      <c r="E208" s="21" t="str">
        <f aca="false">IF($J208="","",IF(INDEX('DỮ LIỆU'!$D$3:$D$1052,$J208)="","",INDEX('DỮ LIỆU'!$D$3:$D$1052,$J208)))</f>
        <v/>
      </c>
      <c r="F208" s="21" t="str">
        <f aca="false">IF($J208="","",IF(INDEX('DỮ LIỆU'!$H$3:$H$1052,$J208)="","",INDEX('DỮ LIỆU'!$H$3:$H$1052,$J208)))</f>
        <v/>
      </c>
      <c r="G208" s="13" t="str">
        <f aca="false">IF($J208="","",N(INDEX('DỮ LIỆU'!$I$3:$I$1052,$J208)))</f>
        <v/>
      </c>
      <c r="H208" s="13" t="str">
        <f aca="false">IF($J208="","",N(INDEX('DỮ LIỆU'!$M$3:$M$1052,$J208)))</f>
        <v/>
      </c>
      <c r="I208" s="13" t="str">
        <f aca="false">IF($J208="","",N(INDEX('DỮ LIỆU'!$N$3:$N$1052,$J208)))</f>
        <v/>
      </c>
      <c r="J208" s="0" t="str">
        <f aca="false">IFERROR(MATCH(192,'DỮ LIỆU'!$Y$3:$Y$1052,0),"")</f>
        <v/>
      </c>
    </row>
    <row r="209" customFormat="false" ht="15" hidden="false" customHeight="false" outlineLevel="0" collapsed="false">
      <c r="A209" s="21" t="str">
        <f aca="false">IF($J209="","",193)</f>
        <v/>
      </c>
      <c r="B209" s="13" t="str">
        <f aca="false">IF($J209="","",INDEX('DỮ LIỆU'!$A$3:$A$1052,$J209))</f>
        <v/>
      </c>
      <c r="C209" s="41" t="str">
        <f aca="false">IF($J209="","",IF(INDEX('DỮ LIỆU'!$B$3:$B$1052,$J209)="","",INDEX('DỮ LIỆU'!$B$3:$B$1052,$J209)))</f>
        <v/>
      </c>
      <c r="D209" s="21" t="str">
        <f aca="false">IF($J209="","",IF(INDEX('DỮ LIỆU'!$C$3:$C$1052,$J209)="","",INDEX('DỮ LIỆU'!$C$3:$C$1052,$J209)))</f>
        <v/>
      </c>
      <c r="E209" s="21" t="str">
        <f aca="false">IF($J209="","",IF(INDEX('DỮ LIỆU'!$D$3:$D$1052,$J209)="","",INDEX('DỮ LIỆU'!$D$3:$D$1052,$J209)))</f>
        <v/>
      </c>
      <c r="F209" s="21" t="str">
        <f aca="false">IF($J209="","",IF(INDEX('DỮ LIỆU'!$H$3:$H$1052,$J209)="","",INDEX('DỮ LIỆU'!$H$3:$H$1052,$J209)))</f>
        <v/>
      </c>
      <c r="G209" s="13" t="str">
        <f aca="false">IF($J209="","",N(INDEX('DỮ LIỆU'!$I$3:$I$1052,$J209)))</f>
        <v/>
      </c>
      <c r="H209" s="13" t="str">
        <f aca="false">IF($J209="","",N(INDEX('DỮ LIỆU'!$M$3:$M$1052,$J209)))</f>
        <v/>
      </c>
      <c r="I209" s="13" t="str">
        <f aca="false">IF($J209="","",N(INDEX('DỮ LIỆU'!$N$3:$N$1052,$J209)))</f>
        <v/>
      </c>
      <c r="J209" s="0" t="str">
        <f aca="false">IFERROR(MATCH(193,'DỮ LIỆU'!$Y$3:$Y$1052,0),"")</f>
        <v/>
      </c>
    </row>
    <row r="210" customFormat="false" ht="15" hidden="false" customHeight="false" outlineLevel="0" collapsed="false">
      <c r="A210" s="21" t="str">
        <f aca="false">IF($J210="","",194)</f>
        <v/>
      </c>
      <c r="B210" s="13" t="str">
        <f aca="false">IF($J210="","",INDEX('DỮ LIỆU'!$A$3:$A$1052,$J210))</f>
        <v/>
      </c>
      <c r="C210" s="41" t="str">
        <f aca="false">IF($J210="","",IF(INDEX('DỮ LIỆU'!$B$3:$B$1052,$J210)="","",INDEX('DỮ LIỆU'!$B$3:$B$1052,$J210)))</f>
        <v/>
      </c>
      <c r="D210" s="21" t="str">
        <f aca="false">IF($J210="","",IF(INDEX('DỮ LIỆU'!$C$3:$C$1052,$J210)="","",INDEX('DỮ LIỆU'!$C$3:$C$1052,$J210)))</f>
        <v/>
      </c>
      <c r="E210" s="21" t="str">
        <f aca="false">IF($J210="","",IF(INDEX('DỮ LIỆU'!$D$3:$D$1052,$J210)="","",INDEX('DỮ LIỆU'!$D$3:$D$1052,$J210)))</f>
        <v/>
      </c>
      <c r="F210" s="21" t="str">
        <f aca="false">IF($J210="","",IF(INDEX('DỮ LIỆU'!$H$3:$H$1052,$J210)="","",INDEX('DỮ LIỆU'!$H$3:$H$1052,$J210)))</f>
        <v/>
      </c>
      <c r="G210" s="13" t="str">
        <f aca="false">IF($J210="","",N(INDEX('DỮ LIỆU'!$I$3:$I$1052,$J210)))</f>
        <v/>
      </c>
      <c r="H210" s="13" t="str">
        <f aca="false">IF($J210="","",N(INDEX('DỮ LIỆU'!$M$3:$M$1052,$J210)))</f>
        <v/>
      </c>
      <c r="I210" s="13" t="str">
        <f aca="false">IF($J210="","",N(INDEX('DỮ LIỆU'!$N$3:$N$1052,$J210)))</f>
        <v/>
      </c>
      <c r="J210" s="0" t="str">
        <f aca="false">IFERROR(MATCH(194,'DỮ LIỆU'!$Y$3:$Y$1052,0),"")</f>
        <v/>
      </c>
    </row>
    <row r="211" customFormat="false" ht="15" hidden="false" customHeight="false" outlineLevel="0" collapsed="false">
      <c r="A211" s="21" t="str">
        <f aca="false">IF($J211="","",195)</f>
        <v/>
      </c>
      <c r="B211" s="13" t="str">
        <f aca="false">IF($J211="","",INDEX('DỮ LIỆU'!$A$3:$A$1052,$J211))</f>
        <v/>
      </c>
      <c r="C211" s="41" t="str">
        <f aca="false">IF($J211="","",IF(INDEX('DỮ LIỆU'!$B$3:$B$1052,$J211)="","",INDEX('DỮ LIỆU'!$B$3:$B$1052,$J211)))</f>
        <v/>
      </c>
      <c r="D211" s="21" t="str">
        <f aca="false">IF($J211="","",IF(INDEX('DỮ LIỆU'!$C$3:$C$1052,$J211)="","",INDEX('DỮ LIỆU'!$C$3:$C$1052,$J211)))</f>
        <v/>
      </c>
      <c r="E211" s="21" t="str">
        <f aca="false">IF($J211="","",IF(INDEX('DỮ LIỆU'!$D$3:$D$1052,$J211)="","",INDEX('DỮ LIỆU'!$D$3:$D$1052,$J211)))</f>
        <v/>
      </c>
      <c r="F211" s="21" t="str">
        <f aca="false">IF($J211="","",IF(INDEX('DỮ LIỆU'!$H$3:$H$1052,$J211)="","",INDEX('DỮ LIỆU'!$H$3:$H$1052,$J211)))</f>
        <v/>
      </c>
      <c r="G211" s="13" t="str">
        <f aca="false">IF($J211="","",N(INDEX('DỮ LIỆU'!$I$3:$I$1052,$J211)))</f>
        <v/>
      </c>
      <c r="H211" s="13" t="str">
        <f aca="false">IF($J211="","",N(INDEX('DỮ LIỆU'!$M$3:$M$1052,$J211)))</f>
        <v/>
      </c>
      <c r="I211" s="13" t="str">
        <f aca="false">IF($J211="","",N(INDEX('DỮ LIỆU'!$N$3:$N$1052,$J211)))</f>
        <v/>
      </c>
      <c r="J211" s="0" t="str">
        <f aca="false">IFERROR(MATCH(195,'DỮ LIỆU'!$Y$3:$Y$1052,0),"")</f>
        <v/>
      </c>
    </row>
    <row r="212" customFormat="false" ht="15" hidden="false" customHeight="false" outlineLevel="0" collapsed="false">
      <c r="A212" s="21" t="str">
        <f aca="false">IF($J212="","",196)</f>
        <v/>
      </c>
      <c r="B212" s="13" t="str">
        <f aca="false">IF($J212="","",INDEX('DỮ LIỆU'!$A$3:$A$1052,$J212))</f>
        <v/>
      </c>
      <c r="C212" s="41" t="str">
        <f aca="false">IF($J212="","",IF(INDEX('DỮ LIỆU'!$B$3:$B$1052,$J212)="","",INDEX('DỮ LIỆU'!$B$3:$B$1052,$J212)))</f>
        <v/>
      </c>
      <c r="D212" s="21" t="str">
        <f aca="false">IF($J212="","",IF(INDEX('DỮ LIỆU'!$C$3:$C$1052,$J212)="","",INDEX('DỮ LIỆU'!$C$3:$C$1052,$J212)))</f>
        <v/>
      </c>
      <c r="E212" s="21" t="str">
        <f aca="false">IF($J212="","",IF(INDEX('DỮ LIỆU'!$D$3:$D$1052,$J212)="","",INDEX('DỮ LIỆU'!$D$3:$D$1052,$J212)))</f>
        <v/>
      </c>
      <c r="F212" s="21" t="str">
        <f aca="false">IF($J212="","",IF(INDEX('DỮ LIỆU'!$H$3:$H$1052,$J212)="","",INDEX('DỮ LIỆU'!$H$3:$H$1052,$J212)))</f>
        <v/>
      </c>
      <c r="G212" s="13" t="str">
        <f aca="false">IF($J212="","",N(INDEX('DỮ LIỆU'!$I$3:$I$1052,$J212)))</f>
        <v/>
      </c>
      <c r="H212" s="13" t="str">
        <f aca="false">IF($J212="","",N(INDEX('DỮ LIỆU'!$M$3:$M$1052,$J212)))</f>
        <v/>
      </c>
      <c r="I212" s="13" t="str">
        <f aca="false">IF($J212="","",N(INDEX('DỮ LIỆU'!$N$3:$N$1052,$J212)))</f>
        <v/>
      </c>
      <c r="J212" s="0" t="str">
        <f aca="false">IFERROR(MATCH(196,'DỮ LIỆU'!$Y$3:$Y$1052,0),"")</f>
        <v/>
      </c>
    </row>
    <row r="213" customFormat="false" ht="15" hidden="false" customHeight="false" outlineLevel="0" collapsed="false">
      <c r="A213" s="21" t="str">
        <f aca="false">IF($J213="","",197)</f>
        <v/>
      </c>
      <c r="B213" s="13" t="str">
        <f aca="false">IF($J213="","",INDEX('DỮ LIỆU'!$A$3:$A$1052,$J213))</f>
        <v/>
      </c>
      <c r="C213" s="41" t="str">
        <f aca="false">IF($J213="","",IF(INDEX('DỮ LIỆU'!$B$3:$B$1052,$J213)="","",INDEX('DỮ LIỆU'!$B$3:$B$1052,$J213)))</f>
        <v/>
      </c>
      <c r="D213" s="21" t="str">
        <f aca="false">IF($J213="","",IF(INDEX('DỮ LIỆU'!$C$3:$C$1052,$J213)="","",INDEX('DỮ LIỆU'!$C$3:$C$1052,$J213)))</f>
        <v/>
      </c>
      <c r="E213" s="21" t="str">
        <f aca="false">IF($J213="","",IF(INDEX('DỮ LIỆU'!$D$3:$D$1052,$J213)="","",INDEX('DỮ LIỆU'!$D$3:$D$1052,$J213)))</f>
        <v/>
      </c>
      <c r="F213" s="21" t="str">
        <f aca="false">IF($J213="","",IF(INDEX('DỮ LIỆU'!$H$3:$H$1052,$J213)="","",INDEX('DỮ LIỆU'!$H$3:$H$1052,$J213)))</f>
        <v/>
      </c>
      <c r="G213" s="13" t="str">
        <f aca="false">IF($J213="","",N(INDEX('DỮ LIỆU'!$I$3:$I$1052,$J213)))</f>
        <v/>
      </c>
      <c r="H213" s="13" t="str">
        <f aca="false">IF($J213="","",N(INDEX('DỮ LIỆU'!$M$3:$M$1052,$J213)))</f>
        <v/>
      </c>
      <c r="I213" s="13" t="str">
        <f aca="false">IF($J213="","",N(INDEX('DỮ LIỆU'!$N$3:$N$1052,$J213)))</f>
        <v/>
      </c>
      <c r="J213" s="0" t="str">
        <f aca="false">IFERROR(MATCH(197,'DỮ LIỆU'!$Y$3:$Y$1052,0),"")</f>
        <v/>
      </c>
    </row>
    <row r="214" customFormat="false" ht="15" hidden="false" customHeight="false" outlineLevel="0" collapsed="false">
      <c r="A214" s="21" t="str">
        <f aca="false">IF($J214="","",198)</f>
        <v/>
      </c>
      <c r="B214" s="13" t="str">
        <f aca="false">IF($J214="","",INDEX('DỮ LIỆU'!$A$3:$A$1052,$J214))</f>
        <v/>
      </c>
      <c r="C214" s="41" t="str">
        <f aca="false">IF($J214="","",IF(INDEX('DỮ LIỆU'!$B$3:$B$1052,$J214)="","",INDEX('DỮ LIỆU'!$B$3:$B$1052,$J214)))</f>
        <v/>
      </c>
      <c r="D214" s="21" t="str">
        <f aca="false">IF($J214="","",IF(INDEX('DỮ LIỆU'!$C$3:$C$1052,$J214)="","",INDEX('DỮ LIỆU'!$C$3:$C$1052,$J214)))</f>
        <v/>
      </c>
      <c r="E214" s="21" t="str">
        <f aca="false">IF($J214="","",IF(INDEX('DỮ LIỆU'!$D$3:$D$1052,$J214)="","",INDEX('DỮ LIỆU'!$D$3:$D$1052,$J214)))</f>
        <v/>
      </c>
      <c r="F214" s="21" t="str">
        <f aca="false">IF($J214="","",IF(INDEX('DỮ LIỆU'!$H$3:$H$1052,$J214)="","",INDEX('DỮ LIỆU'!$H$3:$H$1052,$J214)))</f>
        <v/>
      </c>
      <c r="G214" s="13" t="str">
        <f aca="false">IF($J214="","",N(INDEX('DỮ LIỆU'!$I$3:$I$1052,$J214)))</f>
        <v/>
      </c>
      <c r="H214" s="13" t="str">
        <f aca="false">IF($J214="","",N(INDEX('DỮ LIỆU'!$M$3:$M$1052,$J214)))</f>
        <v/>
      </c>
      <c r="I214" s="13" t="str">
        <f aca="false">IF($J214="","",N(INDEX('DỮ LIỆU'!$N$3:$N$1052,$J214)))</f>
        <v/>
      </c>
      <c r="J214" s="0" t="str">
        <f aca="false">IFERROR(MATCH(198,'DỮ LIỆU'!$Y$3:$Y$1052,0),"")</f>
        <v/>
      </c>
    </row>
    <row r="215" customFormat="false" ht="15" hidden="false" customHeight="false" outlineLevel="0" collapsed="false">
      <c r="A215" s="21" t="str">
        <f aca="false">IF($J215="","",199)</f>
        <v/>
      </c>
      <c r="B215" s="13" t="str">
        <f aca="false">IF($J215="","",INDEX('DỮ LIỆU'!$A$3:$A$1052,$J215))</f>
        <v/>
      </c>
      <c r="C215" s="41" t="str">
        <f aca="false">IF($J215="","",IF(INDEX('DỮ LIỆU'!$B$3:$B$1052,$J215)="","",INDEX('DỮ LIỆU'!$B$3:$B$1052,$J215)))</f>
        <v/>
      </c>
      <c r="D215" s="21" t="str">
        <f aca="false">IF($J215="","",IF(INDEX('DỮ LIỆU'!$C$3:$C$1052,$J215)="","",INDEX('DỮ LIỆU'!$C$3:$C$1052,$J215)))</f>
        <v/>
      </c>
      <c r="E215" s="21" t="str">
        <f aca="false">IF($J215="","",IF(INDEX('DỮ LIỆU'!$D$3:$D$1052,$J215)="","",INDEX('DỮ LIỆU'!$D$3:$D$1052,$J215)))</f>
        <v/>
      </c>
      <c r="F215" s="21" t="str">
        <f aca="false">IF($J215="","",IF(INDEX('DỮ LIỆU'!$H$3:$H$1052,$J215)="","",INDEX('DỮ LIỆU'!$H$3:$H$1052,$J215)))</f>
        <v/>
      </c>
      <c r="G215" s="13" t="str">
        <f aca="false">IF($J215="","",N(INDEX('DỮ LIỆU'!$I$3:$I$1052,$J215)))</f>
        <v/>
      </c>
      <c r="H215" s="13" t="str">
        <f aca="false">IF($J215="","",N(INDEX('DỮ LIỆU'!$M$3:$M$1052,$J215)))</f>
        <v/>
      </c>
      <c r="I215" s="13" t="str">
        <f aca="false">IF($J215="","",N(INDEX('DỮ LIỆU'!$N$3:$N$1052,$J215)))</f>
        <v/>
      </c>
      <c r="J215" s="0" t="str">
        <f aca="false">IFERROR(MATCH(199,'DỮ LIỆU'!$Y$3:$Y$1052,0),"")</f>
        <v/>
      </c>
    </row>
    <row r="216" customFormat="false" ht="15" hidden="false" customHeight="false" outlineLevel="0" collapsed="false">
      <c r="A216" s="21" t="str">
        <f aca="false">IF($J216="","",200)</f>
        <v/>
      </c>
      <c r="B216" s="13" t="str">
        <f aca="false">IF($J216="","",INDEX('DỮ LIỆU'!$A$3:$A$1052,$J216))</f>
        <v/>
      </c>
      <c r="C216" s="41" t="str">
        <f aca="false">IF($J216="","",IF(INDEX('DỮ LIỆU'!$B$3:$B$1052,$J216)="","",INDEX('DỮ LIỆU'!$B$3:$B$1052,$J216)))</f>
        <v/>
      </c>
      <c r="D216" s="21" t="str">
        <f aca="false">IF($J216="","",IF(INDEX('DỮ LIỆU'!$C$3:$C$1052,$J216)="","",INDEX('DỮ LIỆU'!$C$3:$C$1052,$J216)))</f>
        <v/>
      </c>
      <c r="E216" s="21" t="str">
        <f aca="false">IF($J216="","",IF(INDEX('DỮ LIỆU'!$D$3:$D$1052,$J216)="","",INDEX('DỮ LIỆU'!$D$3:$D$1052,$J216)))</f>
        <v/>
      </c>
      <c r="F216" s="21" t="str">
        <f aca="false">IF($J216="","",IF(INDEX('DỮ LIỆU'!$H$3:$H$1052,$J216)="","",INDEX('DỮ LIỆU'!$H$3:$H$1052,$J216)))</f>
        <v/>
      </c>
      <c r="G216" s="13" t="str">
        <f aca="false">IF($J216="","",N(INDEX('DỮ LIỆU'!$I$3:$I$1052,$J216)))</f>
        <v/>
      </c>
      <c r="H216" s="13" t="str">
        <f aca="false">IF($J216="","",N(INDEX('DỮ LIỆU'!$M$3:$M$1052,$J216)))</f>
        <v/>
      </c>
      <c r="I216" s="13" t="str">
        <f aca="false">IF($J216="","",N(INDEX('DỮ LIỆU'!$N$3:$N$1052,$J216)))</f>
        <v/>
      </c>
      <c r="J216" s="0" t="str">
        <f aca="false">IFERROR(MATCH(200,'DỮ LIỆU'!$Y$3:$Y$1052,0),"")</f>
        <v/>
      </c>
    </row>
    <row r="217" customFormat="false" ht="15" hidden="false" customHeight="false" outlineLevel="0" collapsed="false">
      <c r="A217" s="21" t="str">
        <f aca="false">IF($J217="","",201)</f>
        <v/>
      </c>
      <c r="B217" s="13" t="str">
        <f aca="false">IF($J217="","",INDEX('DỮ LIỆU'!$A$3:$A$1052,$J217))</f>
        <v/>
      </c>
      <c r="C217" s="41" t="str">
        <f aca="false">IF($J217="","",IF(INDEX('DỮ LIỆU'!$B$3:$B$1052,$J217)="","",INDEX('DỮ LIỆU'!$B$3:$B$1052,$J217)))</f>
        <v/>
      </c>
      <c r="D217" s="21" t="str">
        <f aca="false">IF($J217="","",IF(INDEX('DỮ LIỆU'!$C$3:$C$1052,$J217)="","",INDEX('DỮ LIỆU'!$C$3:$C$1052,$J217)))</f>
        <v/>
      </c>
      <c r="E217" s="21" t="str">
        <f aca="false">IF($J217="","",IF(INDEX('DỮ LIỆU'!$D$3:$D$1052,$J217)="","",INDEX('DỮ LIỆU'!$D$3:$D$1052,$J217)))</f>
        <v/>
      </c>
      <c r="F217" s="21" t="str">
        <f aca="false">IF($J217="","",IF(INDEX('DỮ LIỆU'!$H$3:$H$1052,$J217)="","",INDEX('DỮ LIỆU'!$H$3:$H$1052,$J217)))</f>
        <v/>
      </c>
      <c r="G217" s="13" t="str">
        <f aca="false">IF($J217="","",N(INDEX('DỮ LIỆU'!$I$3:$I$1052,$J217)))</f>
        <v/>
      </c>
      <c r="H217" s="13" t="str">
        <f aca="false">IF($J217="","",N(INDEX('DỮ LIỆU'!$M$3:$M$1052,$J217)))</f>
        <v/>
      </c>
      <c r="I217" s="13" t="str">
        <f aca="false">IF($J217="","",N(INDEX('DỮ LIỆU'!$N$3:$N$1052,$J217)))</f>
        <v/>
      </c>
      <c r="J217" s="0" t="str">
        <f aca="false">IFERROR(MATCH(201,'DỮ LIỆU'!$Y$3:$Y$1052,0),"")</f>
        <v/>
      </c>
    </row>
    <row r="218" customFormat="false" ht="15" hidden="false" customHeight="false" outlineLevel="0" collapsed="false">
      <c r="A218" s="21" t="str">
        <f aca="false">IF($J218="","",202)</f>
        <v/>
      </c>
      <c r="B218" s="13" t="str">
        <f aca="false">IF($J218="","",INDEX('DỮ LIỆU'!$A$3:$A$1052,$J218))</f>
        <v/>
      </c>
      <c r="C218" s="41" t="str">
        <f aca="false">IF($J218="","",IF(INDEX('DỮ LIỆU'!$B$3:$B$1052,$J218)="","",INDEX('DỮ LIỆU'!$B$3:$B$1052,$J218)))</f>
        <v/>
      </c>
      <c r="D218" s="21" t="str">
        <f aca="false">IF($J218="","",IF(INDEX('DỮ LIỆU'!$C$3:$C$1052,$J218)="","",INDEX('DỮ LIỆU'!$C$3:$C$1052,$J218)))</f>
        <v/>
      </c>
      <c r="E218" s="21" t="str">
        <f aca="false">IF($J218="","",IF(INDEX('DỮ LIỆU'!$D$3:$D$1052,$J218)="","",INDEX('DỮ LIỆU'!$D$3:$D$1052,$J218)))</f>
        <v/>
      </c>
      <c r="F218" s="21" t="str">
        <f aca="false">IF($J218="","",IF(INDEX('DỮ LIỆU'!$H$3:$H$1052,$J218)="","",INDEX('DỮ LIỆU'!$H$3:$H$1052,$J218)))</f>
        <v/>
      </c>
      <c r="G218" s="13" t="str">
        <f aca="false">IF($J218="","",N(INDEX('DỮ LIỆU'!$I$3:$I$1052,$J218)))</f>
        <v/>
      </c>
      <c r="H218" s="13" t="str">
        <f aca="false">IF($J218="","",N(INDEX('DỮ LIỆU'!$M$3:$M$1052,$J218)))</f>
        <v/>
      </c>
      <c r="I218" s="13" t="str">
        <f aca="false">IF($J218="","",N(INDEX('DỮ LIỆU'!$N$3:$N$1052,$J218)))</f>
        <v/>
      </c>
      <c r="J218" s="0" t="str">
        <f aca="false">IFERROR(MATCH(202,'DỮ LIỆU'!$Y$3:$Y$1052,0),"")</f>
        <v/>
      </c>
    </row>
    <row r="219" customFormat="false" ht="15" hidden="false" customHeight="false" outlineLevel="0" collapsed="false">
      <c r="A219" s="21" t="str">
        <f aca="false">IF($J219="","",203)</f>
        <v/>
      </c>
      <c r="B219" s="13" t="str">
        <f aca="false">IF($J219="","",INDEX('DỮ LIỆU'!$A$3:$A$1052,$J219))</f>
        <v/>
      </c>
      <c r="C219" s="41" t="str">
        <f aca="false">IF($J219="","",IF(INDEX('DỮ LIỆU'!$B$3:$B$1052,$J219)="","",INDEX('DỮ LIỆU'!$B$3:$B$1052,$J219)))</f>
        <v/>
      </c>
      <c r="D219" s="21" t="str">
        <f aca="false">IF($J219="","",IF(INDEX('DỮ LIỆU'!$C$3:$C$1052,$J219)="","",INDEX('DỮ LIỆU'!$C$3:$C$1052,$J219)))</f>
        <v/>
      </c>
      <c r="E219" s="21" t="str">
        <f aca="false">IF($J219="","",IF(INDEX('DỮ LIỆU'!$D$3:$D$1052,$J219)="","",INDEX('DỮ LIỆU'!$D$3:$D$1052,$J219)))</f>
        <v/>
      </c>
      <c r="F219" s="21" t="str">
        <f aca="false">IF($J219="","",IF(INDEX('DỮ LIỆU'!$H$3:$H$1052,$J219)="","",INDEX('DỮ LIỆU'!$H$3:$H$1052,$J219)))</f>
        <v/>
      </c>
      <c r="G219" s="13" t="str">
        <f aca="false">IF($J219="","",N(INDEX('DỮ LIỆU'!$I$3:$I$1052,$J219)))</f>
        <v/>
      </c>
      <c r="H219" s="13" t="str">
        <f aca="false">IF($J219="","",N(INDEX('DỮ LIỆU'!$M$3:$M$1052,$J219)))</f>
        <v/>
      </c>
      <c r="I219" s="13" t="str">
        <f aca="false">IF($J219="","",N(INDEX('DỮ LIỆU'!$N$3:$N$1052,$J219)))</f>
        <v/>
      </c>
      <c r="J219" s="0" t="str">
        <f aca="false">IFERROR(MATCH(203,'DỮ LIỆU'!$Y$3:$Y$1052,0),"")</f>
        <v/>
      </c>
    </row>
    <row r="220" customFormat="false" ht="15" hidden="false" customHeight="false" outlineLevel="0" collapsed="false">
      <c r="A220" s="21" t="str">
        <f aca="false">IF($J220="","",204)</f>
        <v/>
      </c>
      <c r="B220" s="13" t="str">
        <f aca="false">IF($J220="","",INDEX('DỮ LIỆU'!$A$3:$A$1052,$J220))</f>
        <v/>
      </c>
      <c r="C220" s="41" t="str">
        <f aca="false">IF($J220="","",IF(INDEX('DỮ LIỆU'!$B$3:$B$1052,$J220)="","",INDEX('DỮ LIỆU'!$B$3:$B$1052,$J220)))</f>
        <v/>
      </c>
      <c r="D220" s="21" t="str">
        <f aca="false">IF($J220="","",IF(INDEX('DỮ LIỆU'!$C$3:$C$1052,$J220)="","",INDEX('DỮ LIỆU'!$C$3:$C$1052,$J220)))</f>
        <v/>
      </c>
      <c r="E220" s="21" t="str">
        <f aca="false">IF($J220="","",IF(INDEX('DỮ LIỆU'!$D$3:$D$1052,$J220)="","",INDEX('DỮ LIỆU'!$D$3:$D$1052,$J220)))</f>
        <v/>
      </c>
      <c r="F220" s="21" t="str">
        <f aca="false">IF($J220="","",IF(INDEX('DỮ LIỆU'!$H$3:$H$1052,$J220)="","",INDEX('DỮ LIỆU'!$H$3:$H$1052,$J220)))</f>
        <v/>
      </c>
      <c r="G220" s="13" t="str">
        <f aca="false">IF($J220="","",N(INDEX('DỮ LIỆU'!$I$3:$I$1052,$J220)))</f>
        <v/>
      </c>
      <c r="H220" s="13" t="str">
        <f aca="false">IF($J220="","",N(INDEX('DỮ LIỆU'!$M$3:$M$1052,$J220)))</f>
        <v/>
      </c>
      <c r="I220" s="13" t="str">
        <f aca="false">IF($J220="","",N(INDEX('DỮ LIỆU'!$N$3:$N$1052,$J220)))</f>
        <v/>
      </c>
      <c r="J220" s="0" t="str">
        <f aca="false">IFERROR(MATCH(204,'DỮ LIỆU'!$Y$3:$Y$1052,0),"")</f>
        <v/>
      </c>
    </row>
    <row r="221" customFormat="false" ht="15" hidden="false" customHeight="false" outlineLevel="0" collapsed="false">
      <c r="A221" s="21" t="str">
        <f aca="false">IF($J221="","",205)</f>
        <v/>
      </c>
      <c r="B221" s="13" t="str">
        <f aca="false">IF($J221="","",INDEX('DỮ LIỆU'!$A$3:$A$1052,$J221))</f>
        <v/>
      </c>
      <c r="C221" s="41" t="str">
        <f aca="false">IF($J221="","",IF(INDEX('DỮ LIỆU'!$B$3:$B$1052,$J221)="","",INDEX('DỮ LIỆU'!$B$3:$B$1052,$J221)))</f>
        <v/>
      </c>
      <c r="D221" s="21" t="str">
        <f aca="false">IF($J221="","",IF(INDEX('DỮ LIỆU'!$C$3:$C$1052,$J221)="","",INDEX('DỮ LIỆU'!$C$3:$C$1052,$J221)))</f>
        <v/>
      </c>
      <c r="E221" s="21" t="str">
        <f aca="false">IF($J221="","",IF(INDEX('DỮ LIỆU'!$D$3:$D$1052,$J221)="","",INDEX('DỮ LIỆU'!$D$3:$D$1052,$J221)))</f>
        <v/>
      </c>
      <c r="F221" s="21" t="str">
        <f aca="false">IF($J221="","",IF(INDEX('DỮ LIỆU'!$H$3:$H$1052,$J221)="","",INDEX('DỮ LIỆU'!$H$3:$H$1052,$J221)))</f>
        <v/>
      </c>
      <c r="G221" s="13" t="str">
        <f aca="false">IF($J221="","",N(INDEX('DỮ LIỆU'!$I$3:$I$1052,$J221)))</f>
        <v/>
      </c>
      <c r="H221" s="13" t="str">
        <f aca="false">IF($J221="","",N(INDEX('DỮ LIỆU'!$M$3:$M$1052,$J221)))</f>
        <v/>
      </c>
      <c r="I221" s="13" t="str">
        <f aca="false">IF($J221="","",N(INDEX('DỮ LIỆU'!$N$3:$N$1052,$J221)))</f>
        <v/>
      </c>
      <c r="J221" s="0" t="str">
        <f aca="false">IFERROR(MATCH(205,'DỮ LIỆU'!$Y$3:$Y$1052,0),"")</f>
        <v/>
      </c>
    </row>
    <row r="222" customFormat="false" ht="15" hidden="false" customHeight="false" outlineLevel="0" collapsed="false">
      <c r="A222" s="21" t="str">
        <f aca="false">IF($J222="","",206)</f>
        <v/>
      </c>
      <c r="B222" s="13" t="str">
        <f aca="false">IF($J222="","",INDEX('DỮ LIỆU'!$A$3:$A$1052,$J222))</f>
        <v/>
      </c>
      <c r="C222" s="41" t="str">
        <f aca="false">IF($J222="","",IF(INDEX('DỮ LIỆU'!$B$3:$B$1052,$J222)="","",INDEX('DỮ LIỆU'!$B$3:$B$1052,$J222)))</f>
        <v/>
      </c>
      <c r="D222" s="21" t="str">
        <f aca="false">IF($J222="","",IF(INDEX('DỮ LIỆU'!$C$3:$C$1052,$J222)="","",INDEX('DỮ LIỆU'!$C$3:$C$1052,$J222)))</f>
        <v/>
      </c>
      <c r="E222" s="21" t="str">
        <f aca="false">IF($J222="","",IF(INDEX('DỮ LIỆU'!$D$3:$D$1052,$J222)="","",INDEX('DỮ LIỆU'!$D$3:$D$1052,$J222)))</f>
        <v/>
      </c>
      <c r="F222" s="21" t="str">
        <f aca="false">IF($J222="","",IF(INDEX('DỮ LIỆU'!$H$3:$H$1052,$J222)="","",INDEX('DỮ LIỆU'!$H$3:$H$1052,$J222)))</f>
        <v/>
      </c>
      <c r="G222" s="13" t="str">
        <f aca="false">IF($J222="","",N(INDEX('DỮ LIỆU'!$I$3:$I$1052,$J222)))</f>
        <v/>
      </c>
      <c r="H222" s="13" t="str">
        <f aca="false">IF($J222="","",N(INDEX('DỮ LIỆU'!$M$3:$M$1052,$J222)))</f>
        <v/>
      </c>
      <c r="I222" s="13" t="str">
        <f aca="false">IF($J222="","",N(INDEX('DỮ LIỆU'!$N$3:$N$1052,$J222)))</f>
        <v/>
      </c>
      <c r="J222" s="0" t="str">
        <f aca="false">IFERROR(MATCH(206,'DỮ LIỆU'!$Y$3:$Y$1052,0),"")</f>
        <v/>
      </c>
    </row>
    <row r="223" customFormat="false" ht="15" hidden="false" customHeight="false" outlineLevel="0" collapsed="false">
      <c r="A223" s="21" t="str">
        <f aca="false">IF($J223="","",207)</f>
        <v/>
      </c>
      <c r="B223" s="13" t="str">
        <f aca="false">IF($J223="","",INDEX('DỮ LIỆU'!$A$3:$A$1052,$J223))</f>
        <v/>
      </c>
      <c r="C223" s="41" t="str">
        <f aca="false">IF($J223="","",IF(INDEX('DỮ LIỆU'!$B$3:$B$1052,$J223)="","",INDEX('DỮ LIỆU'!$B$3:$B$1052,$J223)))</f>
        <v/>
      </c>
      <c r="D223" s="21" t="str">
        <f aca="false">IF($J223="","",IF(INDEX('DỮ LIỆU'!$C$3:$C$1052,$J223)="","",INDEX('DỮ LIỆU'!$C$3:$C$1052,$J223)))</f>
        <v/>
      </c>
      <c r="E223" s="21" t="str">
        <f aca="false">IF($J223="","",IF(INDEX('DỮ LIỆU'!$D$3:$D$1052,$J223)="","",INDEX('DỮ LIỆU'!$D$3:$D$1052,$J223)))</f>
        <v/>
      </c>
      <c r="F223" s="21" t="str">
        <f aca="false">IF($J223="","",IF(INDEX('DỮ LIỆU'!$H$3:$H$1052,$J223)="","",INDEX('DỮ LIỆU'!$H$3:$H$1052,$J223)))</f>
        <v/>
      </c>
      <c r="G223" s="13" t="str">
        <f aca="false">IF($J223="","",N(INDEX('DỮ LIỆU'!$I$3:$I$1052,$J223)))</f>
        <v/>
      </c>
      <c r="H223" s="13" t="str">
        <f aca="false">IF($J223="","",N(INDEX('DỮ LIỆU'!$M$3:$M$1052,$J223)))</f>
        <v/>
      </c>
      <c r="I223" s="13" t="str">
        <f aca="false">IF($J223="","",N(INDEX('DỮ LIỆU'!$N$3:$N$1052,$J223)))</f>
        <v/>
      </c>
      <c r="J223" s="0" t="str">
        <f aca="false">IFERROR(MATCH(207,'DỮ LIỆU'!$Y$3:$Y$1052,0),"")</f>
        <v/>
      </c>
    </row>
    <row r="224" customFormat="false" ht="15" hidden="false" customHeight="false" outlineLevel="0" collapsed="false">
      <c r="A224" s="21" t="str">
        <f aca="false">IF($J224="","",208)</f>
        <v/>
      </c>
      <c r="B224" s="13" t="str">
        <f aca="false">IF($J224="","",INDEX('DỮ LIỆU'!$A$3:$A$1052,$J224))</f>
        <v/>
      </c>
      <c r="C224" s="41" t="str">
        <f aca="false">IF($J224="","",IF(INDEX('DỮ LIỆU'!$B$3:$B$1052,$J224)="","",INDEX('DỮ LIỆU'!$B$3:$B$1052,$J224)))</f>
        <v/>
      </c>
      <c r="D224" s="21" t="str">
        <f aca="false">IF($J224="","",IF(INDEX('DỮ LIỆU'!$C$3:$C$1052,$J224)="","",INDEX('DỮ LIỆU'!$C$3:$C$1052,$J224)))</f>
        <v/>
      </c>
      <c r="E224" s="21" t="str">
        <f aca="false">IF($J224="","",IF(INDEX('DỮ LIỆU'!$D$3:$D$1052,$J224)="","",INDEX('DỮ LIỆU'!$D$3:$D$1052,$J224)))</f>
        <v/>
      </c>
      <c r="F224" s="21" t="str">
        <f aca="false">IF($J224="","",IF(INDEX('DỮ LIỆU'!$H$3:$H$1052,$J224)="","",INDEX('DỮ LIỆU'!$H$3:$H$1052,$J224)))</f>
        <v/>
      </c>
      <c r="G224" s="13" t="str">
        <f aca="false">IF($J224="","",N(INDEX('DỮ LIỆU'!$I$3:$I$1052,$J224)))</f>
        <v/>
      </c>
      <c r="H224" s="13" t="str">
        <f aca="false">IF($J224="","",N(INDEX('DỮ LIỆU'!$M$3:$M$1052,$J224)))</f>
        <v/>
      </c>
      <c r="I224" s="13" t="str">
        <f aca="false">IF($J224="","",N(INDEX('DỮ LIỆU'!$N$3:$N$1052,$J224)))</f>
        <v/>
      </c>
      <c r="J224" s="0" t="str">
        <f aca="false">IFERROR(MATCH(208,'DỮ LIỆU'!$Y$3:$Y$1052,0),"")</f>
        <v/>
      </c>
    </row>
    <row r="225" customFormat="false" ht="15" hidden="false" customHeight="false" outlineLevel="0" collapsed="false">
      <c r="A225" s="21" t="str">
        <f aca="false">IF($J225="","",209)</f>
        <v/>
      </c>
      <c r="B225" s="13" t="str">
        <f aca="false">IF($J225="","",INDEX('DỮ LIỆU'!$A$3:$A$1052,$J225))</f>
        <v/>
      </c>
      <c r="C225" s="41" t="str">
        <f aca="false">IF($J225="","",IF(INDEX('DỮ LIỆU'!$B$3:$B$1052,$J225)="","",INDEX('DỮ LIỆU'!$B$3:$B$1052,$J225)))</f>
        <v/>
      </c>
      <c r="D225" s="21" t="str">
        <f aca="false">IF($J225="","",IF(INDEX('DỮ LIỆU'!$C$3:$C$1052,$J225)="","",INDEX('DỮ LIỆU'!$C$3:$C$1052,$J225)))</f>
        <v/>
      </c>
      <c r="E225" s="21" t="str">
        <f aca="false">IF($J225="","",IF(INDEX('DỮ LIỆU'!$D$3:$D$1052,$J225)="","",INDEX('DỮ LIỆU'!$D$3:$D$1052,$J225)))</f>
        <v/>
      </c>
      <c r="F225" s="21" t="str">
        <f aca="false">IF($J225="","",IF(INDEX('DỮ LIỆU'!$H$3:$H$1052,$J225)="","",INDEX('DỮ LIỆU'!$H$3:$H$1052,$J225)))</f>
        <v/>
      </c>
      <c r="G225" s="13" t="str">
        <f aca="false">IF($J225="","",N(INDEX('DỮ LIỆU'!$I$3:$I$1052,$J225)))</f>
        <v/>
      </c>
      <c r="H225" s="13" t="str">
        <f aca="false">IF($J225="","",N(INDEX('DỮ LIỆU'!$M$3:$M$1052,$J225)))</f>
        <v/>
      </c>
      <c r="I225" s="13" t="str">
        <f aca="false">IF($J225="","",N(INDEX('DỮ LIỆU'!$N$3:$N$1052,$J225)))</f>
        <v/>
      </c>
      <c r="J225" s="0" t="str">
        <f aca="false">IFERROR(MATCH(209,'DỮ LIỆU'!$Y$3:$Y$1052,0),"")</f>
        <v/>
      </c>
    </row>
    <row r="226" customFormat="false" ht="15" hidden="false" customHeight="false" outlineLevel="0" collapsed="false">
      <c r="A226" s="21" t="str">
        <f aca="false">IF($J226="","",210)</f>
        <v/>
      </c>
      <c r="B226" s="13" t="str">
        <f aca="false">IF($J226="","",INDEX('DỮ LIỆU'!$A$3:$A$1052,$J226))</f>
        <v/>
      </c>
      <c r="C226" s="41" t="str">
        <f aca="false">IF($J226="","",IF(INDEX('DỮ LIỆU'!$B$3:$B$1052,$J226)="","",INDEX('DỮ LIỆU'!$B$3:$B$1052,$J226)))</f>
        <v/>
      </c>
      <c r="D226" s="21" t="str">
        <f aca="false">IF($J226="","",IF(INDEX('DỮ LIỆU'!$C$3:$C$1052,$J226)="","",INDEX('DỮ LIỆU'!$C$3:$C$1052,$J226)))</f>
        <v/>
      </c>
      <c r="E226" s="21" t="str">
        <f aca="false">IF($J226="","",IF(INDEX('DỮ LIỆU'!$D$3:$D$1052,$J226)="","",INDEX('DỮ LIỆU'!$D$3:$D$1052,$J226)))</f>
        <v/>
      </c>
      <c r="F226" s="21" t="str">
        <f aca="false">IF($J226="","",IF(INDEX('DỮ LIỆU'!$H$3:$H$1052,$J226)="","",INDEX('DỮ LIỆU'!$H$3:$H$1052,$J226)))</f>
        <v/>
      </c>
      <c r="G226" s="13" t="str">
        <f aca="false">IF($J226="","",N(INDEX('DỮ LIỆU'!$I$3:$I$1052,$J226)))</f>
        <v/>
      </c>
      <c r="H226" s="13" t="str">
        <f aca="false">IF($J226="","",N(INDEX('DỮ LIỆU'!$M$3:$M$1052,$J226)))</f>
        <v/>
      </c>
      <c r="I226" s="13" t="str">
        <f aca="false">IF($J226="","",N(INDEX('DỮ LIỆU'!$N$3:$N$1052,$J226)))</f>
        <v/>
      </c>
      <c r="J226" s="0" t="str">
        <f aca="false">IFERROR(MATCH(210,'DỮ LIỆU'!$Y$3:$Y$1052,0),"")</f>
        <v/>
      </c>
    </row>
    <row r="227" customFormat="false" ht="15" hidden="false" customHeight="false" outlineLevel="0" collapsed="false">
      <c r="A227" s="21" t="str">
        <f aca="false">IF($J227="","",211)</f>
        <v/>
      </c>
      <c r="B227" s="13" t="str">
        <f aca="false">IF($J227="","",INDEX('DỮ LIỆU'!$A$3:$A$1052,$J227))</f>
        <v/>
      </c>
      <c r="C227" s="41" t="str">
        <f aca="false">IF($J227="","",IF(INDEX('DỮ LIỆU'!$B$3:$B$1052,$J227)="","",INDEX('DỮ LIỆU'!$B$3:$B$1052,$J227)))</f>
        <v/>
      </c>
      <c r="D227" s="21" t="str">
        <f aca="false">IF($J227="","",IF(INDEX('DỮ LIỆU'!$C$3:$C$1052,$J227)="","",INDEX('DỮ LIỆU'!$C$3:$C$1052,$J227)))</f>
        <v/>
      </c>
      <c r="E227" s="21" t="str">
        <f aca="false">IF($J227="","",IF(INDEX('DỮ LIỆU'!$D$3:$D$1052,$J227)="","",INDEX('DỮ LIỆU'!$D$3:$D$1052,$J227)))</f>
        <v/>
      </c>
      <c r="F227" s="21" t="str">
        <f aca="false">IF($J227="","",IF(INDEX('DỮ LIỆU'!$H$3:$H$1052,$J227)="","",INDEX('DỮ LIỆU'!$H$3:$H$1052,$J227)))</f>
        <v/>
      </c>
      <c r="G227" s="13" t="str">
        <f aca="false">IF($J227="","",N(INDEX('DỮ LIỆU'!$I$3:$I$1052,$J227)))</f>
        <v/>
      </c>
      <c r="H227" s="13" t="str">
        <f aca="false">IF($J227="","",N(INDEX('DỮ LIỆU'!$M$3:$M$1052,$J227)))</f>
        <v/>
      </c>
      <c r="I227" s="13" t="str">
        <f aca="false">IF($J227="","",N(INDEX('DỮ LIỆU'!$N$3:$N$1052,$J227)))</f>
        <v/>
      </c>
      <c r="J227" s="0" t="str">
        <f aca="false">IFERROR(MATCH(211,'DỮ LIỆU'!$Y$3:$Y$1052,0),"")</f>
        <v/>
      </c>
    </row>
    <row r="228" customFormat="false" ht="15" hidden="false" customHeight="false" outlineLevel="0" collapsed="false">
      <c r="A228" s="21" t="str">
        <f aca="false">IF($J228="","",212)</f>
        <v/>
      </c>
      <c r="B228" s="13" t="str">
        <f aca="false">IF($J228="","",INDEX('DỮ LIỆU'!$A$3:$A$1052,$J228))</f>
        <v/>
      </c>
      <c r="C228" s="41" t="str">
        <f aca="false">IF($J228="","",IF(INDEX('DỮ LIỆU'!$B$3:$B$1052,$J228)="","",INDEX('DỮ LIỆU'!$B$3:$B$1052,$J228)))</f>
        <v/>
      </c>
      <c r="D228" s="21" t="str">
        <f aca="false">IF($J228="","",IF(INDEX('DỮ LIỆU'!$C$3:$C$1052,$J228)="","",INDEX('DỮ LIỆU'!$C$3:$C$1052,$J228)))</f>
        <v/>
      </c>
      <c r="E228" s="21" t="str">
        <f aca="false">IF($J228="","",IF(INDEX('DỮ LIỆU'!$D$3:$D$1052,$J228)="","",INDEX('DỮ LIỆU'!$D$3:$D$1052,$J228)))</f>
        <v/>
      </c>
      <c r="F228" s="21" t="str">
        <f aca="false">IF($J228="","",IF(INDEX('DỮ LIỆU'!$H$3:$H$1052,$J228)="","",INDEX('DỮ LIỆU'!$H$3:$H$1052,$J228)))</f>
        <v/>
      </c>
      <c r="G228" s="13" t="str">
        <f aca="false">IF($J228="","",N(INDEX('DỮ LIỆU'!$I$3:$I$1052,$J228)))</f>
        <v/>
      </c>
      <c r="H228" s="13" t="str">
        <f aca="false">IF($J228="","",N(INDEX('DỮ LIỆU'!$M$3:$M$1052,$J228)))</f>
        <v/>
      </c>
      <c r="I228" s="13" t="str">
        <f aca="false">IF($J228="","",N(INDEX('DỮ LIỆU'!$N$3:$N$1052,$J228)))</f>
        <v/>
      </c>
      <c r="J228" s="0" t="str">
        <f aca="false">IFERROR(MATCH(212,'DỮ LIỆU'!$Y$3:$Y$1052,0),"")</f>
        <v/>
      </c>
    </row>
    <row r="229" customFormat="false" ht="15" hidden="false" customHeight="false" outlineLevel="0" collapsed="false">
      <c r="A229" s="21" t="str">
        <f aca="false">IF($J229="","",213)</f>
        <v/>
      </c>
      <c r="B229" s="13" t="str">
        <f aca="false">IF($J229="","",INDEX('DỮ LIỆU'!$A$3:$A$1052,$J229))</f>
        <v/>
      </c>
      <c r="C229" s="41" t="str">
        <f aca="false">IF($J229="","",IF(INDEX('DỮ LIỆU'!$B$3:$B$1052,$J229)="","",INDEX('DỮ LIỆU'!$B$3:$B$1052,$J229)))</f>
        <v/>
      </c>
      <c r="D229" s="21" t="str">
        <f aca="false">IF($J229="","",IF(INDEX('DỮ LIỆU'!$C$3:$C$1052,$J229)="","",INDEX('DỮ LIỆU'!$C$3:$C$1052,$J229)))</f>
        <v/>
      </c>
      <c r="E229" s="21" t="str">
        <f aca="false">IF($J229="","",IF(INDEX('DỮ LIỆU'!$D$3:$D$1052,$J229)="","",INDEX('DỮ LIỆU'!$D$3:$D$1052,$J229)))</f>
        <v/>
      </c>
      <c r="F229" s="21" t="str">
        <f aca="false">IF($J229="","",IF(INDEX('DỮ LIỆU'!$H$3:$H$1052,$J229)="","",INDEX('DỮ LIỆU'!$H$3:$H$1052,$J229)))</f>
        <v/>
      </c>
      <c r="G229" s="13" t="str">
        <f aca="false">IF($J229="","",N(INDEX('DỮ LIỆU'!$I$3:$I$1052,$J229)))</f>
        <v/>
      </c>
      <c r="H229" s="13" t="str">
        <f aca="false">IF($J229="","",N(INDEX('DỮ LIỆU'!$M$3:$M$1052,$J229)))</f>
        <v/>
      </c>
      <c r="I229" s="13" t="str">
        <f aca="false">IF($J229="","",N(INDEX('DỮ LIỆU'!$N$3:$N$1052,$J229)))</f>
        <v/>
      </c>
      <c r="J229" s="0" t="str">
        <f aca="false">IFERROR(MATCH(213,'DỮ LIỆU'!$Y$3:$Y$1052,0),"")</f>
        <v/>
      </c>
    </row>
    <row r="230" customFormat="false" ht="15" hidden="false" customHeight="false" outlineLevel="0" collapsed="false">
      <c r="A230" s="21" t="str">
        <f aca="false">IF($J230="","",214)</f>
        <v/>
      </c>
      <c r="B230" s="13" t="str">
        <f aca="false">IF($J230="","",INDEX('DỮ LIỆU'!$A$3:$A$1052,$J230))</f>
        <v/>
      </c>
      <c r="C230" s="41" t="str">
        <f aca="false">IF($J230="","",IF(INDEX('DỮ LIỆU'!$B$3:$B$1052,$J230)="","",INDEX('DỮ LIỆU'!$B$3:$B$1052,$J230)))</f>
        <v/>
      </c>
      <c r="D230" s="21" t="str">
        <f aca="false">IF($J230="","",IF(INDEX('DỮ LIỆU'!$C$3:$C$1052,$J230)="","",INDEX('DỮ LIỆU'!$C$3:$C$1052,$J230)))</f>
        <v/>
      </c>
      <c r="E230" s="21" t="str">
        <f aca="false">IF($J230="","",IF(INDEX('DỮ LIỆU'!$D$3:$D$1052,$J230)="","",INDEX('DỮ LIỆU'!$D$3:$D$1052,$J230)))</f>
        <v/>
      </c>
      <c r="F230" s="21" t="str">
        <f aca="false">IF($J230="","",IF(INDEX('DỮ LIỆU'!$H$3:$H$1052,$J230)="","",INDEX('DỮ LIỆU'!$H$3:$H$1052,$J230)))</f>
        <v/>
      </c>
      <c r="G230" s="13" t="str">
        <f aca="false">IF($J230="","",N(INDEX('DỮ LIỆU'!$I$3:$I$1052,$J230)))</f>
        <v/>
      </c>
      <c r="H230" s="13" t="str">
        <f aca="false">IF($J230="","",N(INDEX('DỮ LIỆU'!$M$3:$M$1052,$J230)))</f>
        <v/>
      </c>
      <c r="I230" s="13" t="str">
        <f aca="false">IF($J230="","",N(INDEX('DỮ LIỆU'!$N$3:$N$1052,$J230)))</f>
        <v/>
      </c>
      <c r="J230" s="0" t="str">
        <f aca="false">IFERROR(MATCH(214,'DỮ LIỆU'!$Y$3:$Y$1052,0),"")</f>
        <v/>
      </c>
    </row>
    <row r="231" customFormat="false" ht="15" hidden="false" customHeight="false" outlineLevel="0" collapsed="false">
      <c r="A231" s="21" t="str">
        <f aca="false">IF($J231="","",215)</f>
        <v/>
      </c>
      <c r="B231" s="13" t="str">
        <f aca="false">IF($J231="","",INDEX('DỮ LIỆU'!$A$3:$A$1052,$J231))</f>
        <v/>
      </c>
      <c r="C231" s="41" t="str">
        <f aca="false">IF($J231="","",IF(INDEX('DỮ LIỆU'!$B$3:$B$1052,$J231)="","",INDEX('DỮ LIỆU'!$B$3:$B$1052,$J231)))</f>
        <v/>
      </c>
      <c r="D231" s="21" t="str">
        <f aca="false">IF($J231="","",IF(INDEX('DỮ LIỆU'!$C$3:$C$1052,$J231)="","",INDEX('DỮ LIỆU'!$C$3:$C$1052,$J231)))</f>
        <v/>
      </c>
      <c r="E231" s="21" t="str">
        <f aca="false">IF($J231="","",IF(INDEX('DỮ LIỆU'!$D$3:$D$1052,$J231)="","",INDEX('DỮ LIỆU'!$D$3:$D$1052,$J231)))</f>
        <v/>
      </c>
      <c r="F231" s="21" t="str">
        <f aca="false">IF($J231="","",IF(INDEX('DỮ LIỆU'!$H$3:$H$1052,$J231)="","",INDEX('DỮ LIỆU'!$H$3:$H$1052,$J231)))</f>
        <v/>
      </c>
      <c r="G231" s="13" t="str">
        <f aca="false">IF($J231="","",N(INDEX('DỮ LIỆU'!$I$3:$I$1052,$J231)))</f>
        <v/>
      </c>
      <c r="H231" s="13" t="str">
        <f aca="false">IF($J231="","",N(INDEX('DỮ LIỆU'!$M$3:$M$1052,$J231)))</f>
        <v/>
      </c>
      <c r="I231" s="13" t="str">
        <f aca="false">IF($J231="","",N(INDEX('DỮ LIỆU'!$N$3:$N$1052,$J231)))</f>
        <v/>
      </c>
      <c r="J231" s="0" t="str">
        <f aca="false">IFERROR(MATCH(215,'DỮ LIỆU'!$Y$3:$Y$1052,0),"")</f>
        <v/>
      </c>
    </row>
    <row r="232" customFormat="false" ht="15" hidden="false" customHeight="false" outlineLevel="0" collapsed="false">
      <c r="A232" s="21" t="str">
        <f aca="false">IF($J232="","",216)</f>
        <v/>
      </c>
      <c r="B232" s="13" t="str">
        <f aca="false">IF($J232="","",INDEX('DỮ LIỆU'!$A$3:$A$1052,$J232))</f>
        <v/>
      </c>
      <c r="C232" s="41" t="str">
        <f aca="false">IF($J232="","",IF(INDEX('DỮ LIỆU'!$B$3:$B$1052,$J232)="","",INDEX('DỮ LIỆU'!$B$3:$B$1052,$J232)))</f>
        <v/>
      </c>
      <c r="D232" s="21" t="str">
        <f aca="false">IF($J232="","",IF(INDEX('DỮ LIỆU'!$C$3:$C$1052,$J232)="","",INDEX('DỮ LIỆU'!$C$3:$C$1052,$J232)))</f>
        <v/>
      </c>
      <c r="E232" s="21" t="str">
        <f aca="false">IF($J232="","",IF(INDEX('DỮ LIỆU'!$D$3:$D$1052,$J232)="","",INDEX('DỮ LIỆU'!$D$3:$D$1052,$J232)))</f>
        <v/>
      </c>
      <c r="F232" s="21" t="str">
        <f aca="false">IF($J232="","",IF(INDEX('DỮ LIỆU'!$H$3:$H$1052,$J232)="","",INDEX('DỮ LIỆU'!$H$3:$H$1052,$J232)))</f>
        <v/>
      </c>
      <c r="G232" s="13" t="str">
        <f aca="false">IF($J232="","",N(INDEX('DỮ LIỆU'!$I$3:$I$1052,$J232)))</f>
        <v/>
      </c>
      <c r="H232" s="13" t="str">
        <f aca="false">IF($J232="","",N(INDEX('DỮ LIỆU'!$M$3:$M$1052,$J232)))</f>
        <v/>
      </c>
      <c r="I232" s="13" t="str">
        <f aca="false">IF($J232="","",N(INDEX('DỮ LIỆU'!$N$3:$N$1052,$J232)))</f>
        <v/>
      </c>
      <c r="J232" s="0" t="str">
        <f aca="false">IFERROR(MATCH(216,'DỮ LIỆU'!$Y$3:$Y$1052,0),"")</f>
        <v/>
      </c>
    </row>
    <row r="233" customFormat="false" ht="15" hidden="false" customHeight="false" outlineLevel="0" collapsed="false">
      <c r="A233" s="21" t="str">
        <f aca="false">IF($J233="","",217)</f>
        <v/>
      </c>
      <c r="B233" s="13" t="str">
        <f aca="false">IF($J233="","",INDEX('DỮ LIỆU'!$A$3:$A$1052,$J233))</f>
        <v/>
      </c>
      <c r="C233" s="41" t="str">
        <f aca="false">IF($J233="","",IF(INDEX('DỮ LIỆU'!$B$3:$B$1052,$J233)="","",INDEX('DỮ LIỆU'!$B$3:$B$1052,$J233)))</f>
        <v/>
      </c>
      <c r="D233" s="21" t="str">
        <f aca="false">IF($J233="","",IF(INDEX('DỮ LIỆU'!$C$3:$C$1052,$J233)="","",INDEX('DỮ LIỆU'!$C$3:$C$1052,$J233)))</f>
        <v/>
      </c>
      <c r="E233" s="21" t="str">
        <f aca="false">IF($J233="","",IF(INDEX('DỮ LIỆU'!$D$3:$D$1052,$J233)="","",INDEX('DỮ LIỆU'!$D$3:$D$1052,$J233)))</f>
        <v/>
      </c>
      <c r="F233" s="21" t="str">
        <f aca="false">IF($J233="","",IF(INDEX('DỮ LIỆU'!$H$3:$H$1052,$J233)="","",INDEX('DỮ LIỆU'!$H$3:$H$1052,$J233)))</f>
        <v/>
      </c>
      <c r="G233" s="13" t="str">
        <f aca="false">IF($J233="","",N(INDEX('DỮ LIỆU'!$I$3:$I$1052,$J233)))</f>
        <v/>
      </c>
      <c r="H233" s="13" t="str">
        <f aca="false">IF($J233="","",N(INDEX('DỮ LIỆU'!$M$3:$M$1052,$J233)))</f>
        <v/>
      </c>
      <c r="I233" s="13" t="str">
        <f aca="false">IF($J233="","",N(INDEX('DỮ LIỆU'!$N$3:$N$1052,$J233)))</f>
        <v/>
      </c>
      <c r="J233" s="0" t="str">
        <f aca="false">IFERROR(MATCH(217,'DỮ LIỆU'!$Y$3:$Y$1052,0),"")</f>
        <v/>
      </c>
    </row>
    <row r="234" customFormat="false" ht="15" hidden="false" customHeight="false" outlineLevel="0" collapsed="false">
      <c r="A234" s="21" t="str">
        <f aca="false">IF($J234="","",218)</f>
        <v/>
      </c>
      <c r="B234" s="13" t="str">
        <f aca="false">IF($J234="","",INDEX('DỮ LIỆU'!$A$3:$A$1052,$J234))</f>
        <v/>
      </c>
      <c r="C234" s="41" t="str">
        <f aca="false">IF($J234="","",IF(INDEX('DỮ LIỆU'!$B$3:$B$1052,$J234)="","",INDEX('DỮ LIỆU'!$B$3:$B$1052,$J234)))</f>
        <v/>
      </c>
      <c r="D234" s="21" t="str">
        <f aca="false">IF($J234="","",IF(INDEX('DỮ LIỆU'!$C$3:$C$1052,$J234)="","",INDEX('DỮ LIỆU'!$C$3:$C$1052,$J234)))</f>
        <v/>
      </c>
      <c r="E234" s="21" t="str">
        <f aca="false">IF($J234="","",IF(INDEX('DỮ LIỆU'!$D$3:$D$1052,$J234)="","",INDEX('DỮ LIỆU'!$D$3:$D$1052,$J234)))</f>
        <v/>
      </c>
      <c r="F234" s="21" t="str">
        <f aca="false">IF($J234="","",IF(INDEX('DỮ LIỆU'!$H$3:$H$1052,$J234)="","",INDEX('DỮ LIỆU'!$H$3:$H$1052,$J234)))</f>
        <v/>
      </c>
      <c r="G234" s="13" t="str">
        <f aca="false">IF($J234="","",N(INDEX('DỮ LIỆU'!$I$3:$I$1052,$J234)))</f>
        <v/>
      </c>
      <c r="H234" s="13" t="str">
        <f aca="false">IF($J234="","",N(INDEX('DỮ LIỆU'!$M$3:$M$1052,$J234)))</f>
        <v/>
      </c>
      <c r="I234" s="13" t="str">
        <f aca="false">IF($J234="","",N(INDEX('DỮ LIỆU'!$N$3:$N$1052,$J234)))</f>
        <v/>
      </c>
      <c r="J234" s="0" t="str">
        <f aca="false">IFERROR(MATCH(218,'DỮ LIỆU'!$Y$3:$Y$1052,0),"")</f>
        <v/>
      </c>
    </row>
    <row r="235" customFormat="false" ht="15" hidden="false" customHeight="false" outlineLevel="0" collapsed="false">
      <c r="A235" s="21" t="str">
        <f aca="false">IF($J235="","",219)</f>
        <v/>
      </c>
      <c r="B235" s="13" t="str">
        <f aca="false">IF($J235="","",INDEX('DỮ LIỆU'!$A$3:$A$1052,$J235))</f>
        <v/>
      </c>
      <c r="C235" s="41" t="str">
        <f aca="false">IF($J235="","",IF(INDEX('DỮ LIỆU'!$B$3:$B$1052,$J235)="","",INDEX('DỮ LIỆU'!$B$3:$B$1052,$J235)))</f>
        <v/>
      </c>
      <c r="D235" s="21" t="str">
        <f aca="false">IF($J235="","",IF(INDEX('DỮ LIỆU'!$C$3:$C$1052,$J235)="","",INDEX('DỮ LIỆU'!$C$3:$C$1052,$J235)))</f>
        <v/>
      </c>
      <c r="E235" s="21" t="str">
        <f aca="false">IF($J235="","",IF(INDEX('DỮ LIỆU'!$D$3:$D$1052,$J235)="","",INDEX('DỮ LIỆU'!$D$3:$D$1052,$J235)))</f>
        <v/>
      </c>
      <c r="F235" s="21" t="str">
        <f aca="false">IF($J235="","",IF(INDEX('DỮ LIỆU'!$H$3:$H$1052,$J235)="","",INDEX('DỮ LIỆU'!$H$3:$H$1052,$J235)))</f>
        <v/>
      </c>
      <c r="G235" s="13" t="str">
        <f aca="false">IF($J235="","",N(INDEX('DỮ LIỆU'!$I$3:$I$1052,$J235)))</f>
        <v/>
      </c>
      <c r="H235" s="13" t="str">
        <f aca="false">IF($J235="","",N(INDEX('DỮ LIỆU'!$M$3:$M$1052,$J235)))</f>
        <v/>
      </c>
      <c r="I235" s="13" t="str">
        <f aca="false">IF($J235="","",N(INDEX('DỮ LIỆU'!$N$3:$N$1052,$J235)))</f>
        <v/>
      </c>
      <c r="J235" s="0" t="str">
        <f aca="false">IFERROR(MATCH(219,'DỮ LIỆU'!$Y$3:$Y$1052,0),"")</f>
        <v/>
      </c>
    </row>
    <row r="236" customFormat="false" ht="15" hidden="false" customHeight="false" outlineLevel="0" collapsed="false">
      <c r="A236" s="21" t="str">
        <f aca="false">IF($J236="","",220)</f>
        <v/>
      </c>
      <c r="B236" s="13" t="str">
        <f aca="false">IF($J236="","",INDEX('DỮ LIỆU'!$A$3:$A$1052,$J236))</f>
        <v/>
      </c>
      <c r="C236" s="41" t="str">
        <f aca="false">IF($J236="","",IF(INDEX('DỮ LIỆU'!$B$3:$B$1052,$J236)="","",INDEX('DỮ LIỆU'!$B$3:$B$1052,$J236)))</f>
        <v/>
      </c>
      <c r="D236" s="21" t="str">
        <f aca="false">IF($J236="","",IF(INDEX('DỮ LIỆU'!$C$3:$C$1052,$J236)="","",INDEX('DỮ LIỆU'!$C$3:$C$1052,$J236)))</f>
        <v/>
      </c>
      <c r="E236" s="21" t="str">
        <f aca="false">IF($J236="","",IF(INDEX('DỮ LIỆU'!$D$3:$D$1052,$J236)="","",INDEX('DỮ LIỆU'!$D$3:$D$1052,$J236)))</f>
        <v/>
      </c>
      <c r="F236" s="21" t="str">
        <f aca="false">IF($J236="","",IF(INDEX('DỮ LIỆU'!$H$3:$H$1052,$J236)="","",INDEX('DỮ LIỆU'!$H$3:$H$1052,$J236)))</f>
        <v/>
      </c>
      <c r="G236" s="13" t="str">
        <f aca="false">IF($J236="","",N(INDEX('DỮ LIỆU'!$I$3:$I$1052,$J236)))</f>
        <v/>
      </c>
      <c r="H236" s="13" t="str">
        <f aca="false">IF($J236="","",N(INDEX('DỮ LIỆU'!$M$3:$M$1052,$J236)))</f>
        <v/>
      </c>
      <c r="I236" s="13" t="str">
        <f aca="false">IF($J236="","",N(INDEX('DỮ LIỆU'!$N$3:$N$1052,$J236)))</f>
        <v/>
      </c>
      <c r="J236" s="0" t="str">
        <f aca="false">IFERROR(MATCH(220,'DỮ LIỆU'!$Y$3:$Y$1052,0),"")</f>
        <v/>
      </c>
    </row>
    <row r="237" customFormat="false" ht="15" hidden="false" customHeight="false" outlineLevel="0" collapsed="false">
      <c r="A237" s="21" t="str">
        <f aca="false">IF($J237="","",221)</f>
        <v/>
      </c>
      <c r="B237" s="13" t="str">
        <f aca="false">IF($J237="","",INDEX('DỮ LIỆU'!$A$3:$A$1052,$J237))</f>
        <v/>
      </c>
      <c r="C237" s="41" t="str">
        <f aca="false">IF($J237="","",IF(INDEX('DỮ LIỆU'!$B$3:$B$1052,$J237)="","",INDEX('DỮ LIỆU'!$B$3:$B$1052,$J237)))</f>
        <v/>
      </c>
      <c r="D237" s="21" t="str">
        <f aca="false">IF($J237="","",IF(INDEX('DỮ LIỆU'!$C$3:$C$1052,$J237)="","",INDEX('DỮ LIỆU'!$C$3:$C$1052,$J237)))</f>
        <v/>
      </c>
      <c r="E237" s="21" t="str">
        <f aca="false">IF($J237="","",IF(INDEX('DỮ LIỆU'!$D$3:$D$1052,$J237)="","",INDEX('DỮ LIỆU'!$D$3:$D$1052,$J237)))</f>
        <v/>
      </c>
      <c r="F237" s="21" t="str">
        <f aca="false">IF($J237="","",IF(INDEX('DỮ LIỆU'!$H$3:$H$1052,$J237)="","",INDEX('DỮ LIỆU'!$H$3:$H$1052,$J237)))</f>
        <v/>
      </c>
      <c r="G237" s="13" t="str">
        <f aca="false">IF($J237="","",N(INDEX('DỮ LIỆU'!$I$3:$I$1052,$J237)))</f>
        <v/>
      </c>
      <c r="H237" s="13" t="str">
        <f aca="false">IF($J237="","",N(INDEX('DỮ LIỆU'!$M$3:$M$1052,$J237)))</f>
        <v/>
      </c>
      <c r="I237" s="13" t="str">
        <f aca="false">IF($J237="","",N(INDEX('DỮ LIỆU'!$N$3:$N$1052,$J237)))</f>
        <v/>
      </c>
      <c r="J237" s="0" t="str">
        <f aca="false">IFERROR(MATCH(221,'DỮ LIỆU'!$Y$3:$Y$1052,0),"")</f>
        <v/>
      </c>
    </row>
    <row r="238" customFormat="false" ht="15" hidden="false" customHeight="false" outlineLevel="0" collapsed="false">
      <c r="A238" s="21" t="str">
        <f aca="false">IF($J238="","",222)</f>
        <v/>
      </c>
      <c r="B238" s="13" t="str">
        <f aca="false">IF($J238="","",INDEX('DỮ LIỆU'!$A$3:$A$1052,$J238))</f>
        <v/>
      </c>
      <c r="C238" s="41" t="str">
        <f aca="false">IF($J238="","",IF(INDEX('DỮ LIỆU'!$B$3:$B$1052,$J238)="","",INDEX('DỮ LIỆU'!$B$3:$B$1052,$J238)))</f>
        <v/>
      </c>
      <c r="D238" s="21" t="str">
        <f aca="false">IF($J238="","",IF(INDEX('DỮ LIỆU'!$C$3:$C$1052,$J238)="","",INDEX('DỮ LIỆU'!$C$3:$C$1052,$J238)))</f>
        <v/>
      </c>
      <c r="E238" s="21" t="str">
        <f aca="false">IF($J238="","",IF(INDEX('DỮ LIỆU'!$D$3:$D$1052,$J238)="","",INDEX('DỮ LIỆU'!$D$3:$D$1052,$J238)))</f>
        <v/>
      </c>
      <c r="F238" s="21" t="str">
        <f aca="false">IF($J238="","",IF(INDEX('DỮ LIỆU'!$H$3:$H$1052,$J238)="","",INDEX('DỮ LIỆU'!$H$3:$H$1052,$J238)))</f>
        <v/>
      </c>
      <c r="G238" s="13" t="str">
        <f aca="false">IF($J238="","",N(INDEX('DỮ LIỆU'!$I$3:$I$1052,$J238)))</f>
        <v/>
      </c>
      <c r="H238" s="13" t="str">
        <f aca="false">IF($J238="","",N(INDEX('DỮ LIỆU'!$M$3:$M$1052,$J238)))</f>
        <v/>
      </c>
      <c r="I238" s="13" t="str">
        <f aca="false">IF($J238="","",N(INDEX('DỮ LIỆU'!$N$3:$N$1052,$J238)))</f>
        <v/>
      </c>
      <c r="J238" s="0" t="str">
        <f aca="false">IFERROR(MATCH(222,'DỮ LIỆU'!$Y$3:$Y$1052,0),"")</f>
        <v/>
      </c>
    </row>
    <row r="239" customFormat="false" ht="15" hidden="false" customHeight="false" outlineLevel="0" collapsed="false">
      <c r="A239" s="21" t="str">
        <f aca="false">IF($J239="","",223)</f>
        <v/>
      </c>
      <c r="B239" s="13" t="str">
        <f aca="false">IF($J239="","",INDEX('DỮ LIỆU'!$A$3:$A$1052,$J239))</f>
        <v/>
      </c>
      <c r="C239" s="41" t="str">
        <f aca="false">IF($J239="","",IF(INDEX('DỮ LIỆU'!$B$3:$B$1052,$J239)="","",INDEX('DỮ LIỆU'!$B$3:$B$1052,$J239)))</f>
        <v/>
      </c>
      <c r="D239" s="21" t="str">
        <f aca="false">IF($J239="","",IF(INDEX('DỮ LIỆU'!$C$3:$C$1052,$J239)="","",INDEX('DỮ LIỆU'!$C$3:$C$1052,$J239)))</f>
        <v/>
      </c>
      <c r="E239" s="21" t="str">
        <f aca="false">IF($J239="","",IF(INDEX('DỮ LIỆU'!$D$3:$D$1052,$J239)="","",INDEX('DỮ LIỆU'!$D$3:$D$1052,$J239)))</f>
        <v/>
      </c>
      <c r="F239" s="21" t="str">
        <f aca="false">IF($J239="","",IF(INDEX('DỮ LIỆU'!$H$3:$H$1052,$J239)="","",INDEX('DỮ LIỆU'!$H$3:$H$1052,$J239)))</f>
        <v/>
      </c>
      <c r="G239" s="13" t="str">
        <f aca="false">IF($J239="","",N(INDEX('DỮ LIỆU'!$I$3:$I$1052,$J239)))</f>
        <v/>
      </c>
      <c r="H239" s="13" t="str">
        <f aca="false">IF($J239="","",N(INDEX('DỮ LIỆU'!$M$3:$M$1052,$J239)))</f>
        <v/>
      </c>
      <c r="I239" s="13" t="str">
        <f aca="false">IF($J239="","",N(INDEX('DỮ LIỆU'!$N$3:$N$1052,$J239)))</f>
        <v/>
      </c>
      <c r="J239" s="0" t="str">
        <f aca="false">IFERROR(MATCH(223,'DỮ LIỆU'!$Y$3:$Y$1052,0),"")</f>
        <v/>
      </c>
    </row>
    <row r="240" customFormat="false" ht="15" hidden="false" customHeight="false" outlineLevel="0" collapsed="false">
      <c r="A240" s="21" t="str">
        <f aca="false">IF($J240="","",224)</f>
        <v/>
      </c>
      <c r="B240" s="13" t="str">
        <f aca="false">IF($J240="","",INDEX('DỮ LIỆU'!$A$3:$A$1052,$J240))</f>
        <v/>
      </c>
      <c r="C240" s="41" t="str">
        <f aca="false">IF($J240="","",IF(INDEX('DỮ LIỆU'!$B$3:$B$1052,$J240)="","",INDEX('DỮ LIỆU'!$B$3:$B$1052,$J240)))</f>
        <v/>
      </c>
      <c r="D240" s="21" t="str">
        <f aca="false">IF($J240="","",IF(INDEX('DỮ LIỆU'!$C$3:$C$1052,$J240)="","",INDEX('DỮ LIỆU'!$C$3:$C$1052,$J240)))</f>
        <v/>
      </c>
      <c r="E240" s="21" t="str">
        <f aca="false">IF($J240="","",IF(INDEX('DỮ LIỆU'!$D$3:$D$1052,$J240)="","",INDEX('DỮ LIỆU'!$D$3:$D$1052,$J240)))</f>
        <v/>
      </c>
      <c r="F240" s="21" t="str">
        <f aca="false">IF($J240="","",IF(INDEX('DỮ LIỆU'!$H$3:$H$1052,$J240)="","",INDEX('DỮ LIỆU'!$H$3:$H$1052,$J240)))</f>
        <v/>
      </c>
      <c r="G240" s="13" t="str">
        <f aca="false">IF($J240="","",N(INDEX('DỮ LIỆU'!$I$3:$I$1052,$J240)))</f>
        <v/>
      </c>
      <c r="H240" s="13" t="str">
        <f aca="false">IF($J240="","",N(INDEX('DỮ LIỆU'!$M$3:$M$1052,$J240)))</f>
        <v/>
      </c>
      <c r="I240" s="13" t="str">
        <f aca="false">IF($J240="","",N(INDEX('DỮ LIỆU'!$N$3:$N$1052,$J240)))</f>
        <v/>
      </c>
      <c r="J240" s="0" t="str">
        <f aca="false">IFERROR(MATCH(224,'DỮ LIỆU'!$Y$3:$Y$1052,0),"")</f>
        <v/>
      </c>
    </row>
    <row r="241" customFormat="false" ht="15" hidden="false" customHeight="false" outlineLevel="0" collapsed="false">
      <c r="A241" s="21" t="str">
        <f aca="false">IF($J241="","",225)</f>
        <v/>
      </c>
      <c r="B241" s="13" t="str">
        <f aca="false">IF($J241="","",INDEX('DỮ LIỆU'!$A$3:$A$1052,$J241))</f>
        <v/>
      </c>
      <c r="C241" s="41" t="str">
        <f aca="false">IF($J241="","",IF(INDEX('DỮ LIỆU'!$B$3:$B$1052,$J241)="","",INDEX('DỮ LIỆU'!$B$3:$B$1052,$J241)))</f>
        <v/>
      </c>
      <c r="D241" s="21" t="str">
        <f aca="false">IF($J241="","",IF(INDEX('DỮ LIỆU'!$C$3:$C$1052,$J241)="","",INDEX('DỮ LIỆU'!$C$3:$C$1052,$J241)))</f>
        <v/>
      </c>
      <c r="E241" s="21" t="str">
        <f aca="false">IF($J241="","",IF(INDEX('DỮ LIỆU'!$D$3:$D$1052,$J241)="","",INDEX('DỮ LIỆU'!$D$3:$D$1052,$J241)))</f>
        <v/>
      </c>
      <c r="F241" s="21" t="str">
        <f aca="false">IF($J241="","",IF(INDEX('DỮ LIỆU'!$H$3:$H$1052,$J241)="","",INDEX('DỮ LIỆU'!$H$3:$H$1052,$J241)))</f>
        <v/>
      </c>
      <c r="G241" s="13" t="str">
        <f aca="false">IF($J241="","",N(INDEX('DỮ LIỆU'!$I$3:$I$1052,$J241)))</f>
        <v/>
      </c>
      <c r="H241" s="13" t="str">
        <f aca="false">IF($J241="","",N(INDEX('DỮ LIỆU'!$M$3:$M$1052,$J241)))</f>
        <v/>
      </c>
      <c r="I241" s="13" t="str">
        <f aca="false">IF($J241="","",N(INDEX('DỮ LIỆU'!$N$3:$N$1052,$J241)))</f>
        <v/>
      </c>
      <c r="J241" s="0" t="str">
        <f aca="false">IFERROR(MATCH(225,'DỮ LIỆU'!$Y$3:$Y$1052,0),"")</f>
        <v/>
      </c>
    </row>
    <row r="242" customFormat="false" ht="15" hidden="false" customHeight="false" outlineLevel="0" collapsed="false">
      <c r="A242" s="21" t="str">
        <f aca="false">IF($J242="","",226)</f>
        <v/>
      </c>
      <c r="B242" s="13" t="str">
        <f aca="false">IF($J242="","",INDEX('DỮ LIỆU'!$A$3:$A$1052,$J242))</f>
        <v/>
      </c>
      <c r="C242" s="41" t="str">
        <f aca="false">IF($J242="","",IF(INDEX('DỮ LIỆU'!$B$3:$B$1052,$J242)="","",INDEX('DỮ LIỆU'!$B$3:$B$1052,$J242)))</f>
        <v/>
      </c>
      <c r="D242" s="21" t="str">
        <f aca="false">IF($J242="","",IF(INDEX('DỮ LIỆU'!$C$3:$C$1052,$J242)="","",INDEX('DỮ LIỆU'!$C$3:$C$1052,$J242)))</f>
        <v/>
      </c>
      <c r="E242" s="21" t="str">
        <f aca="false">IF($J242="","",IF(INDEX('DỮ LIỆU'!$D$3:$D$1052,$J242)="","",INDEX('DỮ LIỆU'!$D$3:$D$1052,$J242)))</f>
        <v/>
      </c>
      <c r="F242" s="21" t="str">
        <f aca="false">IF($J242="","",IF(INDEX('DỮ LIỆU'!$H$3:$H$1052,$J242)="","",INDEX('DỮ LIỆU'!$H$3:$H$1052,$J242)))</f>
        <v/>
      </c>
      <c r="G242" s="13" t="str">
        <f aca="false">IF($J242="","",N(INDEX('DỮ LIỆU'!$I$3:$I$1052,$J242)))</f>
        <v/>
      </c>
      <c r="H242" s="13" t="str">
        <f aca="false">IF($J242="","",N(INDEX('DỮ LIỆU'!$M$3:$M$1052,$J242)))</f>
        <v/>
      </c>
      <c r="I242" s="13" t="str">
        <f aca="false">IF($J242="","",N(INDEX('DỮ LIỆU'!$N$3:$N$1052,$J242)))</f>
        <v/>
      </c>
      <c r="J242" s="0" t="str">
        <f aca="false">IFERROR(MATCH(226,'DỮ LIỆU'!$Y$3:$Y$1052,0),"")</f>
        <v/>
      </c>
    </row>
    <row r="243" customFormat="false" ht="15" hidden="false" customHeight="false" outlineLevel="0" collapsed="false">
      <c r="A243" s="21" t="str">
        <f aca="false">IF($J243="","",227)</f>
        <v/>
      </c>
      <c r="B243" s="13" t="str">
        <f aca="false">IF($J243="","",INDEX('DỮ LIỆU'!$A$3:$A$1052,$J243))</f>
        <v/>
      </c>
      <c r="C243" s="41" t="str">
        <f aca="false">IF($J243="","",IF(INDEX('DỮ LIỆU'!$B$3:$B$1052,$J243)="","",INDEX('DỮ LIỆU'!$B$3:$B$1052,$J243)))</f>
        <v/>
      </c>
      <c r="D243" s="21" t="str">
        <f aca="false">IF($J243="","",IF(INDEX('DỮ LIỆU'!$C$3:$C$1052,$J243)="","",INDEX('DỮ LIỆU'!$C$3:$C$1052,$J243)))</f>
        <v/>
      </c>
      <c r="E243" s="21" t="str">
        <f aca="false">IF($J243="","",IF(INDEX('DỮ LIỆU'!$D$3:$D$1052,$J243)="","",INDEX('DỮ LIỆU'!$D$3:$D$1052,$J243)))</f>
        <v/>
      </c>
      <c r="F243" s="21" t="str">
        <f aca="false">IF($J243="","",IF(INDEX('DỮ LIỆU'!$H$3:$H$1052,$J243)="","",INDEX('DỮ LIỆU'!$H$3:$H$1052,$J243)))</f>
        <v/>
      </c>
      <c r="G243" s="13" t="str">
        <f aca="false">IF($J243="","",N(INDEX('DỮ LIỆU'!$I$3:$I$1052,$J243)))</f>
        <v/>
      </c>
      <c r="H243" s="13" t="str">
        <f aca="false">IF($J243="","",N(INDEX('DỮ LIỆU'!$M$3:$M$1052,$J243)))</f>
        <v/>
      </c>
      <c r="I243" s="13" t="str">
        <f aca="false">IF($J243="","",N(INDEX('DỮ LIỆU'!$N$3:$N$1052,$J243)))</f>
        <v/>
      </c>
      <c r="J243" s="0" t="str">
        <f aca="false">IFERROR(MATCH(227,'DỮ LIỆU'!$Y$3:$Y$1052,0),"")</f>
        <v/>
      </c>
    </row>
    <row r="244" customFormat="false" ht="15" hidden="false" customHeight="false" outlineLevel="0" collapsed="false">
      <c r="A244" s="21" t="str">
        <f aca="false">IF($J244="","",228)</f>
        <v/>
      </c>
      <c r="B244" s="13" t="str">
        <f aca="false">IF($J244="","",INDEX('DỮ LIỆU'!$A$3:$A$1052,$J244))</f>
        <v/>
      </c>
      <c r="C244" s="41" t="str">
        <f aca="false">IF($J244="","",IF(INDEX('DỮ LIỆU'!$B$3:$B$1052,$J244)="","",INDEX('DỮ LIỆU'!$B$3:$B$1052,$J244)))</f>
        <v/>
      </c>
      <c r="D244" s="21" t="str">
        <f aca="false">IF($J244="","",IF(INDEX('DỮ LIỆU'!$C$3:$C$1052,$J244)="","",INDEX('DỮ LIỆU'!$C$3:$C$1052,$J244)))</f>
        <v/>
      </c>
      <c r="E244" s="21" t="str">
        <f aca="false">IF($J244="","",IF(INDEX('DỮ LIỆU'!$D$3:$D$1052,$J244)="","",INDEX('DỮ LIỆU'!$D$3:$D$1052,$J244)))</f>
        <v/>
      </c>
      <c r="F244" s="21" t="str">
        <f aca="false">IF($J244="","",IF(INDEX('DỮ LIỆU'!$H$3:$H$1052,$J244)="","",INDEX('DỮ LIỆU'!$H$3:$H$1052,$J244)))</f>
        <v/>
      </c>
      <c r="G244" s="13" t="str">
        <f aca="false">IF($J244="","",N(INDEX('DỮ LIỆU'!$I$3:$I$1052,$J244)))</f>
        <v/>
      </c>
      <c r="H244" s="13" t="str">
        <f aca="false">IF($J244="","",N(INDEX('DỮ LIỆU'!$M$3:$M$1052,$J244)))</f>
        <v/>
      </c>
      <c r="I244" s="13" t="str">
        <f aca="false">IF($J244="","",N(INDEX('DỮ LIỆU'!$N$3:$N$1052,$J244)))</f>
        <v/>
      </c>
      <c r="J244" s="0" t="str">
        <f aca="false">IFERROR(MATCH(228,'DỮ LIỆU'!$Y$3:$Y$1052,0),"")</f>
        <v/>
      </c>
    </row>
    <row r="245" customFormat="false" ht="15" hidden="false" customHeight="false" outlineLevel="0" collapsed="false">
      <c r="A245" s="21" t="str">
        <f aca="false">IF($J245="","",229)</f>
        <v/>
      </c>
      <c r="B245" s="13" t="str">
        <f aca="false">IF($J245="","",INDEX('DỮ LIỆU'!$A$3:$A$1052,$J245))</f>
        <v/>
      </c>
      <c r="C245" s="41" t="str">
        <f aca="false">IF($J245="","",IF(INDEX('DỮ LIỆU'!$B$3:$B$1052,$J245)="","",INDEX('DỮ LIỆU'!$B$3:$B$1052,$J245)))</f>
        <v/>
      </c>
      <c r="D245" s="21" t="str">
        <f aca="false">IF($J245="","",IF(INDEX('DỮ LIỆU'!$C$3:$C$1052,$J245)="","",INDEX('DỮ LIỆU'!$C$3:$C$1052,$J245)))</f>
        <v/>
      </c>
      <c r="E245" s="21" t="str">
        <f aca="false">IF($J245="","",IF(INDEX('DỮ LIỆU'!$D$3:$D$1052,$J245)="","",INDEX('DỮ LIỆU'!$D$3:$D$1052,$J245)))</f>
        <v/>
      </c>
      <c r="F245" s="21" t="str">
        <f aca="false">IF($J245="","",IF(INDEX('DỮ LIỆU'!$H$3:$H$1052,$J245)="","",INDEX('DỮ LIỆU'!$H$3:$H$1052,$J245)))</f>
        <v/>
      </c>
      <c r="G245" s="13" t="str">
        <f aca="false">IF($J245="","",N(INDEX('DỮ LIỆU'!$I$3:$I$1052,$J245)))</f>
        <v/>
      </c>
      <c r="H245" s="13" t="str">
        <f aca="false">IF($J245="","",N(INDEX('DỮ LIỆU'!$M$3:$M$1052,$J245)))</f>
        <v/>
      </c>
      <c r="I245" s="13" t="str">
        <f aca="false">IF($J245="","",N(INDEX('DỮ LIỆU'!$N$3:$N$1052,$J245)))</f>
        <v/>
      </c>
      <c r="J245" s="0" t="str">
        <f aca="false">IFERROR(MATCH(229,'DỮ LIỆU'!$Y$3:$Y$1052,0),"")</f>
        <v/>
      </c>
    </row>
    <row r="246" customFormat="false" ht="15" hidden="false" customHeight="false" outlineLevel="0" collapsed="false">
      <c r="A246" s="21" t="str">
        <f aca="false">IF($J246="","",230)</f>
        <v/>
      </c>
      <c r="B246" s="13" t="str">
        <f aca="false">IF($J246="","",INDEX('DỮ LIỆU'!$A$3:$A$1052,$J246))</f>
        <v/>
      </c>
      <c r="C246" s="41" t="str">
        <f aca="false">IF($J246="","",IF(INDEX('DỮ LIỆU'!$B$3:$B$1052,$J246)="","",INDEX('DỮ LIỆU'!$B$3:$B$1052,$J246)))</f>
        <v/>
      </c>
      <c r="D246" s="21" t="str">
        <f aca="false">IF($J246="","",IF(INDEX('DỮ LIỆU'!$C$3:$C$1052,$J246)="","",INDEX('DỮ LIỆU'!$C$3:$C$1052,$J246)))</f>
        <v/>
      </c>
      <c r="E246" s="21" t="str">
        <f aca="false">IF($J246="","",IF(INDEX('DỮ LIỆU'!$D$3:$D$1052,$J246)="","",INDEX('DỮ LIỆU'!$D$3:$D$1052,$J246)))</f>
        <v/>
      </c>
      <c r="F246" s="21" t="str">
        <f aca="false">IF($J246="","",IF(INDEX('DỮ LIỆU'!$H$3:$H$1052,$J246)="","",INDEX('DỮ LIỆU'!$H$3:$H$1052,$J246)))</f>
        <v/>
      </c>
      <c r="G246" s="13" t="str">
        <f aca="false">IF($J246="","",N(INDEX('DỮ LIỆU'!$I$3:$I$1052,$J246)))</f>
        <v/>
      </c>
      <c r="H246" s="13" t="str">
        <f aca="false">IF($J246="","",N(INDEX('DỮ LIỆU'!$M$3:$M$1052,$J246)))</f>
        <v/>
      </c>
      <c r="I246" s="13" t="str">
        <f aca="false">IF($J246="","",N(INDEX('DỮ LIỆU'!$N$3:$N$1052,$J246)))</f>
        <v/>
      </c>
      <c r="J246" s="0" t="str">
        <f aca="false">IFERROR(MATCH(230,'DỮ LIỆU'!$Y$3:$Y$1052,0),"")</f>
        <v/>
      </c>
    </row>
    <row r="247" customFormat="false" ht="15" hidden="false" customHeight="false" outlineLevel="0" collapsed="false">
      <c r="A247" s="21" t="str">
        <f aca="false">IF($J247="","",231)</f>
        <v/>
      </c>
      <c r="B247" s="13" t="str">
        <f aca="false">IF($J247="","",INDEX('DỮ LIỆU'!$A$3:$A$1052,$J247))</f>
        <v/>
      </c>
      <c r="C247" s="41" t="str">
        <f aca="false">IF($J247="","",IF(INDEX('DỮ LIỆU'!$B$3:$B$1052,$J247)="","",INDEX('DỮ LIỆU'!$B$3:$B$1052,$J247)))</f>
        <v/>
      </c>
      <c r="D247" s="21" t="str">
        <f aca="false">IF($J247="","",IF(INDEX('DỮ LIỆU'!$C$3:$C$1052,$J247)="","",INDEX('DỮ LIỆU'!$C$3:$C$1052,$J247)))</f>
        <v/>
      </c>
      <c r="E247" s="21" t="str">
        <f aca="false">IF($J247="","",IF(INDEX('DỮ LIỆU'!$D$3:$D$1052,$J247)="","",INDEX('DỮ LIỆU'!$D$3:$D$1052,$J247)))</f>
        <v/>
      </c>
      <c r="F247" s="21" t="str">
        <f aca="false">IF($J247="","",IF(INDEX('DỮ LIỆU'!$H$3:$H$1052,$J247)="","",INDEX('DỮ LIỆU'!$H$3:$H$1052,$J247)))</f>
        <v/>
      </c>
      <c r="G247" s="13" t="str">
        <f aca="false">IF($J247="","",N(INDEX('DỮ LIỆU'!$I$3:$I$1052,$J247)))</f>
        <v/>
      </c>
      <c r="H247" s="13" t="str">
        <f aca="false">IF($J247="","",N(INDEX('DỮ LIỆU'!$M$3:$M$1052,$J247)))</f>
        <v/>
      </c>
      <c r="I247" s="13" t="str">
        <f aca="false">IF($J247="","",N(INDEX('DỮ LIỆU'!$N$3:$N$1052,$J247)))</f>
        <v/>
      </c>
      <c r="J247" s="0" t="str">
        <f aca="false">IFERROR(MATCH(231,'DỮ LIỆU'!$Y$3:$Y$1052,0),"")</f>
        <v/>
      </c>
    </row>
    <row r="248" customFormat="false" ht="15" hidden="false" customHeight="false" outlineLevel="0" collapsed="false">
      <c r="A248" s="21" t="str">
        <f aca="false">IF($J248="","",232)</f>
        <v/>
      </c>
      <c r="B248" s="13" t="str">
        <f aca="false">IF($J248="","",INDEX('DỮ LIỆU'!$A$3:$A$1052,$J248))</f>
        <v/>
      </c>
      <c r="C248" s="41" t="str">
        <f aca="false">IF($J248="","",IF(INDEX('DỮ LIỆU'!$B$3:$B$1052,$J248)="","",INDEX('DỮ LIỆU'!$B$3:$B$1052,$J248)))</f>
        <v/>
      </c>
      <c r="D248" s="21" t="str">
        <f aca="false">IF($J248="","",IF(INDEX('DỮ LIỆU'!$C$3:$C$1052,$J248)="","",INDEX('DỮ LIỆU'!$C$3:$C$1052,$J248)))</f>
        <v/>
      </c>
      <c r="E248" s="21" t="str">
        <f aca="false">IF($J248="","",IF(INDEX('DỮ LIỆU'!$D$3:$D$1052,$J248)="","",INDEX('DỮ LIỆU'!$D$3:$D$1052,$J248)))</f>
        <v/>
      </c>
      <c r="F248" s="21" t="str">
        <f aca="false">IF($J248="","",IF(INDEX('DỮ LIỆU'!$H$3:$H$1052,$J248)="","",INDEX('DỮ LIỆU'!$H$3:$H$1052,$J248)))</f>
        <v/>
      </c>
      <c r="G248" s="13" t="str">
        <f aca="false">IF($J248="","",N(INDEX('DỮ LIỆU'!$I$3:$I$1052,$J248)))</f>
        <v/>
      </c>
      <c r="H248" s="13" t="str">
        <f aca="false">IF($J248="","",N(INDEX('DỮ LIỆU'!$M$3:$M$1052,$J248)))</f>
        <v/>
      </c>
      <c r="I248" s="13" t="str">
        <f aca="false">IF($J248="","",N(INDEX('DỮ LIỆU'!$N$3:$N$1052,$J248)))</f>
        <v/>
      </c>
      <c r="J248" s="0" t="str">
        <f aca="false">IFERROR(MATCH(232,'DỮ LIỆU'!$Y$3:$Y$1052,0),"")</f>
        <v/>
      </c>
    </row>
    <row r="249" customFormat="false" ht="15" hidden="false" customHeight="false" outlineLevel="0" collapsed="false">
      <c r="A249" s="21" t="str">
        <f aca="false">IF($J249="","",233)</f>
        <v/>
      </c>
      <c r="B249" s="13" t="str">
        <f aca="false">IF($J249="","",INDEX('DỮ LIỆU'!$A$3:$A$1052,$J249))</f>
        <v/>
      </c>
      <c r="C249" s="41" t="str">
        <f aca="false">IF($J249="","",IF(INDEX('DỮ LIỆU'!$B$3:$B$1052,$J249)="","",INDEX('DỮ LIỆU'!$B$3:$B$1052,$J249)))</f>
        <v/>
      </c>
      <c r="D249" s="21" t="str">
        <f aca="false">IF($J249="","",IF(INDEX('DỮ LIỆU'!$C$3:$C$1052,$J249)="","",INDEX('DỮ LIỆU'!$C$3:$C$1052,$J249)))</f>
        <v/>
      </c>
      <c r="E249" s="21" t="str">
        <f aca="false">IF($J249="","",IF(INDEX('DỮ LIỆU'!$D$3:$D$1052,$J249)="","",INDEX('DỮ LIỆU'!$D$3:$D$1052,$J249)))</f>
        <v/>
      </c>
      <c r="F249" s="21" t="str">
        <f aca="false">IF($J249="","",IF(INDEX('DỮ LIỆU'!$H$3:$H$1052,$J249)="","",INDEX('DỮ LIỆU'!$H$3:$H$1052,$J249)))</f>
        <v/>
      </c>
      <c r="G249" s="13" t="str">
        <f aca="false">IF($J249="","",N(INDEX('DỮ LIỆU'!$I$3:$I$1052,$J249)))</f>
        <v/>
      </c>
      <c r="H249" s="13" t="str">
        <f aca="false">IF($J249="","",N(INDEX('DỮ LIỆU'!$M$3:$M$1052,$J249)))</f>
        <v/>
      </c>
      <c r="I249" s="13" t="str">
        <f aca="false">IF($J249="","",N(INDEX('DỮ LIỆU'!$N$3:$N$1052,$J249)))</f>
        <v/>
      </c>
      <c r="J249" s="0" t="str">
        <f aca="false">IFERROR(MATCH(233,'DỮ LIỆU'!$Y$3:$Y$1052,0),"")</f>
        <v/>
      </c>
    </row>
    <row r="250" customFormat="false" ht="15" hidden="false" customHeight="false" outlineLevel="0" collapsed="false">
      <c r="A250" s="21" t="str">
        <f aca="false">IF($J250="","",234)</f>
        <v/>
      </c>
      <c r="B250" s="13" t="str">
        <f aca="false">IF($J250="","",INDEX('DỮ LIỆU'!$A$3:$A$1052,$J250))</f>
        <v/>
      </c>
      <c r="C250" s="41" t="str">
        <f aca="false">IF($J250="","",IF(INDEX('DỮ LIỆU'!$B$3:$B$1052,$J250)="","",INDEX('DỮ LIỆU'!$B$3:$B$1052,$J250)))</f>
        <v/>
      </c>
      <c r="D250" s="21" t="str">
        <f aca="false">IF($J250="","",IF(INDEX('DỮ LIỆU'!$C$3:$C$1052,$J250)="","",INDEX('DỮ LIỆU'!$C$3:$C$1052,$J250)))</f>
        <v/>
      </c>
      <c r="E250" s="21" t="str">
        <f aca="false">IF($J250="","",IF(INDEX('DỮ LIỆU'!$D$3:$D$1052,$J250)="","",INDEX('DỮ LIỆU'!$D$3:$D$1052,$J250)))</f>
        <v/>
      </c>
      <c r="F250" s="21" t="str">
        <f aca="false">IF($J250="","",IF(INDEX('DỮ LIỆU'!$H$3:$H$1052,$J250)="","",INDEX('DỮ LIỆU'!$H$3:$H$1052,$J250)))</f>
        <v/>
      </c>
      <c r="G250" s="13" t="str">
        <f aca="false">IF($J250="","",N(INDEX('DỮ LIỆU'!$I$3:$I$1052,$J250)))</f>
        <v/>
      </c>
      <c r="H250" s="13" t="str">
        <f aca="false">IF($J250="","",N(INDEX('DỮ LIỆU'!$M$3:$M$1052,$J250)))</f>
        <v/>
      </c>
      <c r="I250" s="13" t="str">
        <f aca="false">IF($J250="","",N(INDEX('DỮ LIỆU'!$N$3:$N$1052,$J250)))</f>
        <v/>
      </c>
      <c r="J250" s="0" t="str">
        <f aca="false">IFERROR(MATCH(234,'DỮ LIỆU'!$Y$3:$Y$1052,0),"")</f>
        <v/>
      </c>
    </row>
    <row r="251" customFormat="false" ht="15" hidden="false" customHeight="false" outlineLevel="0" collapsed="false">
      <c r="A251" s="21" t="str">
        <f aca="false">IF($J251="","",235)</f>
        <v/>
      </c>
      <c r="B251" s="13" t="str">
        <f aca="false">IF($J251="","",INDEX('DỮ LIỆU'!$A$3:$A$1052,$J251))</f>
        <v/>
      </c>
      <c r="C251" s="41" t="str">
        <f aca="false">IF($J251="","",IF(INDEX('DỮ LIỆU'!$B$3:$B$1052,$J251)="","",INDEX('DỮ LIỆU'!$B$3:$B$1052,$J251)))</f>
        <v/>
      </c>
      <c r="D251" s="21" t="str">
        <f aca="false">IF($J251="","",IF(INDEX('DỮ LIỆU'!$C$3:$C$1052,$J251)="","",INDEX('DỮ LIỆU'!$C$3:$C$1052,$J251)))</f>
        <v/>
      </c>
      <c r="E251" s="21" t="str">
        <f aca="false">IF($J251="","",IF(INDEX('DỮ LIỆU'!$D$3:$D$1052,$J251)="","",INDEX('DỮ LIỆU'!$D$3:$D$1052,$J251)))</f>
        <v/>
      </c>
      <c r="F251" s="21" t="str">
        <f aca="false">IF($J251="","",IF(INDEX('DỮ LIỆU'!$H$3:$H$1052,$J251)="","",INDEX('DỮ LIỆU'!$H$3:$H$1052,$J251)))</f>
        <v/>
      </c>
      <c r="G251" s="13" t="str">
        <f aca="false">IF($J251="","",N(INDEX('DỮ LIỆU'!$I$3:$I$1052,$J251)))</f>
        <v/>
      </c>
      <c r="H251" s="13" t="str">
        <f aca="false">IF($J251="","",N(INDEX('DỮ LIỆU'!$M$3:$M$1052,$J251)))</f>
        <v/>
      </c>
      <c r="I251" s="13" t="str">
        <f aca="false">IF($J251="","",N(INDEX('DỮ LIỆU'!$N$3:$N$1052,$J251)))</f>
        <v/>
      </c>
      <c r="J251" s="0" t="str">
        <f aca="false">IFERROR(MATCH(235,'DỮ LIỆU'!$Y$3:$Y$1052,0),"")</f>
        <v/>
      </c>
    </row>
    <row r="252" customFormat="false" ht="15" hidden="false" customHeight="false" outlineLevel="0" collapsed="false">
      <c r="A252" s="21" t="str">
        <f aca="false">IF($J252="","",236)</f>
        <v/>
      </c>
      <c r="B252" s="13" t="str">
        <f aca="false">IF($J252="","",INDEX('DỮ LIỆU'!$A$3:$A$1052,$J252))</f>
        <v/>
      </c>
      <c r="C252" s="41" t="str">
        <f aca="false">IF($J252="","",IF(INDEX('DỮ LIỆU'!$B$3:$B$1052,$J252)="","",INDEX('DỮ LIỆU'!$B$3:$B$1052,$J252)))</f>
        <v/>
      </c>
      <c r="D252" s="21" t="str">
        <f aca="false">IF($J252="","",IF(INDEX('DỮ LIỆU'!$C$3:$C$1052,$J252)="","",INDEX('DỮ LIỆU'!$C$3:$C$1052,$J252)))</f>
        <v/>
      </c>
      <c r="E252" s="21" t="str">
        <f aca="false">IF($J252="","",IF(INDEX('DỮ LIỆU'!$D$3:$D$1052,$J252)="","",INDEX('DỮ LIỆU'!$D$3:$D$1052,$J252)))</f>
        <v/>
      </c>
      <c r="F252" s="21" t="str">
        <f aca="false">IF($J252="","",IF(INDEX('DỮ LIỆU'!$H$3:$H$1052,$J252)="","",INDEX('DỮ LIỆU'!$H$3:$H$1052,$J252)))</f>
        <v/>
      </c>
      <c r="G252" s="13" t="str">
        <f aca="false">IF($J252="","",N(INDEX('DỮ LIỆU'!$I$3:$I$1052,$J252)))</f>
        <v/>
      </c>
      <c r="H252" s="13" t="str">
        <f aca="false">IF($J252="","",N(INDEX('DỮ LIỆU'!$M$3:$M$1052,$J252)))</f>
        <v/>
      </c>
      <c r="I252" s="13" t="str">
        <f aca="false">IF($J252="","",N(INDEX('DỮ LIỆU'!$N$3:$N$1052,$J252)))</f>
        <v/>
      </c>
      <c r="J252" s="0" t="str">
        <f aca="false">IFERROR(MATCH(236,'DỮ LIỆU'!$Y$3:$Y$1052,0),"")</f>
        <v/>
      </c>
    </row>
    <row r="253" customFormat="false" ht="15" hidden="false" customHeight="false" outlineLevel="0" collapsed="false">
      <c r="A253" s="21" t="str">
        <f aca="false">IF($J253="","",237)</f>
        <v/>
      </c>
      <c r="B253" s="13" t="str">
        <f aca="false">IF($J253="","",INDEX('DỮ LIỆU'!$A$3:$A$1052,$J253))</f>
        <v/>
      </c>
      <c r="C253" s="41" t="str">
        <f aca="false">IF($J253="","",IF(INDEX('DỮ LIỆU'!$B$3:$B$1052,$J253)="","",INDEX('DỮ LIỆU'!$B$3:$B$1052,$J253)))</f>
        <v/>
      </c>
      <c r="D253" s="21" t="str">
        <f aca="false">IF($J253="","",IF(INDEX('DỮ LIỆU'!$C$3:$C$1052,$J253)="","",INDEX('DỮ LIỆU'!$C$3:$C$1052,$J253)))</f>
        <v/>
      </c>
      <c r="E253" s="21" t="str">
        <f aca="false">IF($J253="","",IF(INDEX('DỮ LIỆU'!$D$3:$D$1052,$J253)="","",INDEX('DỮ LIỆU'!$D$3:$D$1052,$J253)))</f>
        <v/>
      </c>
      <c r="F253" s="21" t="str">
        <f aca="false">IF($J253="","",IF(INDEX('DỮ LIỆU'!$H$3:$H$1052,$J253)="","",INDEX('DỮ LIỆU'!$H$3:$H$1052,$J253)))</f>
        <v/>
      </c>
      <c r="G253" s="13" t="str">
        <f aca="false">IF($J253="","",N(INDEX('DỮ LIỆU'!$I$3:$I$1052,$J253)))</f>
        <v/>
      </c>
      <c r="H253" s="13" t="str">
        <f aca="false">IF($J253="","",N(INDEX('DỮ LIỆU'!$M$3:$M$1052,$J253)))</f>
        <v/>
      </c>
      <c r="I253" s="13" t="str">
        <f aca="false">IF($J253="","",N(INDEX('DỮ LIỆU'!$N$3:$N$1052,$J253)))</f>
        <v/>
      </c>
      <c r="J253" s="0" t="str">
        <f aca="false">IFERROR(MATCH(237,'DỮ LIỆU'!$Y$3:$Y$1052,0),"")</f>
        <v/>
      </c>
    </row>
    <row r="254" customFormat="false" ht="15" hidden="false" customHeight="false" outlineLevel="0" collapsed="false">
      <c r="A254" s="21" t="str">
        <f aca="false">IF($J254="","",238)</f>
        <v/>
      </c>
      <c r="B254" s="13" t="str">
        <f aca="false">IF($J254="","",INDEX('DỮ LIỆU'!$A$3:$A$1052,$J254))</f>
        <v/>
      </c>
      <c r="C254" s="41" t="str">
        <f aca="false">IF($J254="","",IF(INDEX('DỮ LIỆU'!$B$3:$B$1052,$J254)="","",INDEX('DỮ LIỆU'!$B$3:$B$1052,$J254)))</f>
        <v/>
      </c>
      <c r="D254" s="21" t="str">
        <f aca="false">IF($J254="","",IF(INDEX('DỮ LIỆU'!$C$3:$C$1052,$J254)="","",INDEX('DỮ LIỆU'!$C$3:$C$1052,$J254)))</f>
        <v/>
      </c>
      <c r="E254" s="21" t="str">
        <f aca="false">IF($J254="","",IF(INDEX('DỮ LIỆU'!$D$3:$D$1052,$J254)="","",INDEX('DỮ LIỆU'!$D$3:$D$1052,$J254)))</f>
        <v/>
      </c>
      <c r="F254" s="21" t="str">
        <f aca="false">IF($J254="","",IF(INDEX('DỮ LIỆU'!$H$3:$H$1052,$J254)="","",INDEX('DỮ LIỆU'!$H$3:$H$1052,$J254)))</f>
        <v/>
      </c>
      <c r="G254" s="13" t="str">
        <f aca="false">IF($J254="","",N(INDEX('DỮ LIỆU'!$I$3:$I$1052,$J254)))</f>
        <v/>
      </c>
      <c r="H254" s="13" t="str">
        <f aca="false">IF($J254="","",N(INDEX('DỮ LIỆU'!$M$3:$M$1052,$J254)))</f>
        <v/>
      </c>
      <c r="I254" s="13" t="str">
        <f aca="false">IF($J254="","",N(INDEX('DỮ LIỆU'!$N$3:$N$1052,$J254)))</f>
        <v/>
      </c>
      <c r="J254" s="0" t="str">
        <f aca="false">IFERROR(MATCH(238,'DỮ LIỆU'!$Y$3:$Y$1052,0),"")</f>
        <v/>
      </c>
    </row>
    <row r="255" customFormat="false" ht="15" hidden="false" customHeight="false" outlineLevel="0" collapsed="false">
      <c r="A255" s="21" t="str">
        <f aca="false">IF($J255="","",239)</f>
        <v/>
      </c>
      <c r="B255" s="13" t="str">
        <f aca="false">IF($J255="","",INDEX('DỮ LIỆU'!$A$3:$A$1052,$J255))</f>
        <v/>
      </c>
      <c r="C255" s="41" t="str">
        <f aca="false">IF($J255="","",IF(INDEX('DỮ LIỆU'!$B$3:$B$1052,$J255)="","",INDEX('DỮ LIỆU'!$B$3:$B$1052,$J255)))</f>
        <v/>
      </c>
      <c r="D255" s="21" t="str">
        <f aca="false">IF($J255="","",IF(INDEX('DỮ LIỆU'!$C$3:$C$1052,$J255)="","",INDEX('DỮ LIỆU'!$C$3:$C$1052,$J255)))</f>
        <v/>
      </c>
      <c r="E255" s="21" t="str">
        <f aca="false">IF($J255="","",IF(INDEX('DỮ LIỆU'!$D$3:$D$1052,$J255)="","",INDEX('DỮ LIỆU'!$D$3:$D$1052,$J255)))</f>
        <v/>
      </c>
      <c r="F255" s="21" t="str">
        <f aca="false">IF($J255="","",IF(INDEX('DỮ LIỆU'!$H$3:$H$1052,$J255)="","",INDEX('DỮ LIỆU'!$H$3:$H$1052,$J255)))</f>
        <v/>
      </c>
      <c r="G255" s="13" t="str">
        <f aca="false">IF($J255="","",N(INDEX('DỮ LIỆU'!$I$3:$I$1052,$J255)))</f>
        <v/>
      </c>
      <c r="H255" s="13" t="str">
        <f aca="false">IF($J255="","",N(INDEX('DỮ LIỆU'!$M$3:$M$1052,$J255)))</f>
        <v/>
      </c>
      <c r="I255" s="13" t="str">
        <f aca="false">IF($J255="","",N(INDEX('DỮ LIỆU'!$N$3:$N$1052,$J255)))</f>
        <v/>
      </c>
      <c r="J255" s="0" t="str">
        <f aca="false">IFERROR(MATCH(239,'DỮ LIỆU'!$Y$3:$Y$1052,0),"")</f>
        <v/>
      </c>
    </row>
    <row r="256" customFormat="false" ht="15" hidden="false" customHeight="false" outlineLevel="0" collapsed="false">
      <c r="A256" s="21" t="str">
        <f aca="false">IF($J256="","",240)</f>
        <v/>
      </c>
      <c r="B256" s="13" t="str">
        <f aca="false">IF($J256="","",INDEX('DỮ LIỆU'!$A$3:$A$1052,$J256))</f>
        <v/>
      </c>
      <c r="C256" s="41" t="str">
        <f aca="false">IF($J256="","",IF(INDEX('DỮ LIỆU'!$B$3:$B$1052,$J256)="","",INDEX('DỮ LIỆU'!$B$3:$B$1052,$J256)))</f>
        <v/>
      </c>
      <c r="D256" s="21" t="str">
        <f aca="false">IF($J256="","",IF(INDEX('DỮ LIỆU'!$C$3:$C$1052,$J256)="","",INDEX('DỮ LIỆU'!$C$3:$C$1052,$J256)))</f>
        <v/>
      </c>
      <c r="E256" s="21" t="str">
        <f aca="false">IF($J256="","",IF(INDEX('DỮ LIỆU'!$D$3:$D$1052,$J256)="","",INDEX('DỮ LIỆU'!$D$3:$D$1052,$J256)))</f>
        <v/>
      </c>
      <c r="F256" s="21" t="str">
        <f aca="false">IF($J256="","",IF(INDEX('DỮ LIỆU'!$H$3:$H$1052,$J256)="","",INDEX('DỮ LIỆU'!$H$3:$H$1052,$J256)))</f>
        <v/>
      </c>
      <c r="G256" s="13" t="str">
        <f aca="false">IF($J256="","",N(INDEX('DỮ LIỆU'!$I$3:$I$1052,$J256)))</f>
        <v/>
      </c>
      <c r="H256" s="13" t="str">
        <f aca="false">IF($J256="","",N(INDEX('DỮ LIỆU'!$M$3:$M$1052,$J256)))</f>
        <v/>
      </c>
      <c r="I256" s="13" t="str">
        <f aca="false">IF($J256="","",N(INDEX('DỮ LIỆU'!$N$3:$N$1052,$J256)))</f>
        <v/>
      </c>
      <c r="J256" s="0" t="str">
        <f aca="false">IFERROR(MATCH(240,'DỮ LIỆU'!$Y$3:$Y$1052,0),"")</f>
        <v/>
      </c>
    </row>
    <row r="257" customFormat="false" ht="15" hidden="false" customHeight="false" outlineLevel="0" collapsed="false">
      <c r="A257" s="21" t="str">
        <f aca="false">IF($J257="","",241)</f>
        <v/>
      </c>
      <c r="B257" s="13" t="str">
        <f aca="false">IF($J257="","",INDEX('DỮ LIỆU'!$A$3:$A$1052,$J257))</f>
        <v/>
      </c>
      <c r="C257" s="41" t="str">
        <f aca="false">IF($J257="","",IF(INDEX('DỮ LIỆU'!$B$3:$B$1052,$J257)="","",INDEX('DỮ LIỆU'!$B$3:$B$1052,$J257)))</f>
        <v/>
      </c>
      <c r="D257" s="21" t="str">
        <f aca="false">IF($J257="","",IF(INDEX('DỮ LIỆU'!$C$3:$C$1052,$J257)="","",INDEX('DỮ LIỆU'!$C$3:$C$1052,$J257)))</f>
        <v/>
      </c>
      <c r="E257" s="21" t="str">
        <f aca="false">IF($J257="","",IF(INDEX('DỮ LIỆU'!$D$3:$D$1052,$J257)="","",INDEX('DỮ LIỆU'!$D$3:$D$1052,$J257)))</f>
        <v/>
      </c>
      <c r="F257" s="21" t="str">
        <f aca="false">IF($J257="","",IF(INDEX('DỮ LIỆU'!$H$3:$H$1052,$J257)="","",INDEX('DỮ LIỆU'!$H$3:$H$1052,$J257)))</f>
        <v/>
      </c>
      <c r="G257" s="13" t="str">
        <f aca="false">IF($J257="","",N(INDEX('DỮ LIỆU'!$I$3:$I$1052,$J257)))</f>
        <v/>
      </c>
      <c r="H257" s="13" t="str">
        <f aca="false">IF($J257="","",N(INDEX('DỮ LIỆU'!$M$3:$M$1052,$J257)))</f>
        <v/>
      </c>
      <c r="I257" s="13" t="str">
        <f aca="false">IF($J257="","",N(INDEX('DỮ LIỆU'!$N$3:$N$1052,$J257)))</f>
        <v/>
      </c>
      <c r="J257" s="0" t="str">
        <f aca="false">IFERROR(MATCH(241,'DỮ LIỆU'!$Y$3:$Y$1052,0),"")</f>
        <v/>
      </c>
    </row>
    <row r="258" customFormat="false" ht="15" hidden="false" customHeight="false" outlineLevel="0" collapsed="false">
      <c r="A258" s="21" t="str">
        <f aca="false">IF($J258="","",242)</f>
        <v/>
      </c>
      <c r="B258" s="13" t="str">
        <f aca="false">IF($J258="","",INDEX('DỮ LIỆU'!$A$3:$A$1052,$J258))</f>
        <v/>
      </c>
      <c r="C258" s="41" t="str">
        <f aca="false">IF($J258="","",IF(INDEX('DỮ LIỆU'!$B$3:$B$1052,$J258)="","",INDEX('DỮ LIỆU'!$B$3:$B$1052,$J258)))</f>
        <v/>
      </c>
      <c r="D258" s="21" t="str">
        <f aca="false">IF($J258="","",IF(INDEX('DỮ LIỆU'!$C$3:$C$1052,$J258)="","",INDEX('DỮ LIỆU'!$C$3:$C$1052,$J258)))</f>
        <v/>
      </c>
      <c r="E258" s="21" t="str">
        <f aca="false">IF($J258="","",IF(INDEX('DỮ LIỆU'!$D$3:$D$1052,$J258)="","",INDEX('DỮ LIỆU'!$D$3:$D$1052,$J258)))</f>
        <v/>
      </c>
      <c r="F258" s="21" t="str">
        <f aca="false">IF($J258="","",IF(INDEX('DỮ LIỆU'!$H$3:$H$1052,$J258)="","",INDEX('DỮ LIỆU'!$H$3:$H$1052,$J258)))</f>
        <v/>
      </c>
      <c r="G258" s="13" t="str">
        <f aca="false">IF($J258="","",N(INDEX('DỮ LIỆU'!$I$3:$I$1052,$J258)))</f>
        <v/>
      </c>
      <c r="H258" s="13" t="str">
        <f aca="false">IF($J258="","",N(INDEX('DỮ LIỆU'!$M$3:$M$1052,$J258)))</f>
        <v/>
      </c>
      <c r="I258" s="13" t="str">
        <f aca="false">IF($J258="","",N(INDEX('DỮ LIỆU'!$N$3:$N$1052,$J258)))</f>
        <v/>
      </c>
      <c r="J258" s="0" t="str">
        <f aca="false">IFERROR(MATCH(242,'DỮ LIỆU'!$Y$3:$Y$1052,0),"")</f>
        <v/>
      </c>
    </row>
    <row r="259" customFormat="false" ht="15" hidden="false" customHeight="false" outlineLevel="0" collapsed="false">
      <c r="A259" s="21" t="str">
        <f aca="false">IF($J259="","",243)</f>
        <v/>
      </c>
      <c r="B259" s="13" t="str">
        <f aca="false">IF($J259="","",INDEX('DỮ LIỆU'!$A$3:$A$1052,$J259))</f>
        <v/>
      </c>
      <c r="C259" s="41" t="str">
        <f aca="false">IF($J259="","",IF(INDEX('DỮ LIỆU'!$B$3:$B$1052,$J259)="","",INDEX('DỮ LIỆU'!$B$3:$B$1052,$J259)))</f>
        <v/>
      </c>
      <c r="D259" s="21" t="str">
        <f aca="false">IF($J259="","",IF(INDEX('DỮ LIỆU'!$C$3:$C$1052,$J259)="","",INDEX('DỮ LIỆU'!$C$3:$C$1052,$J259)))</f>
        <v/>
      </c>
      <c r="E259" s="21" t="str">
        <f aca="false">IF($J259="","",IF(INDEX('DỮ LIỆU'!$D$3:$D$1052,$J259)="","",INDEX('DỮ LIỆU'!$D$3:$D$1052,$J259)))</f>
        <v/>
      </c>
      <c r="F259" s="21" t="str">
        <f aca="false">IF($J259="","",IF(INDEX('DỮ LIỆU'!$H$3:$H$1052,$J259)="","",INDEX('DỮ LIỆU'!$H$3:$H$1052,$J259)))</f>
        <v/>
      </c>
      <c r="G259" s="13" t="str">
        <f aca="false">IF($J259="","",N(INDEX('DỮ LIỆU'!$I$3:$I$1052,$J259)))</f>
        <v/>
      </c>
      <c r="H259" s="13" t="str">
        <f aca="false">IF($J259="","",N(INDEX('DỮ LIỆU'!$M$3:$M$1052,$J259)))</f>
        <v/>
      </c>
      <c r="I259" s="13" t="str">
        <f aca="false">IF($J259="","",N(INDEX('DỮ LIỆU'!$N$3:$N$1052,$J259)))</f>
        <v/>
      </c>
      <c r="J259" s="0" t="str">
        <f aca="false">IFERROR(MATCH(243,'DỮ LIỆU'!$Y$3:$Y$1052,0),"")</f>
        <v/>
      </c>
    </row>
    <row r="260" customFormat="false" ht="15" hidden="false" customHeight="false" outlineLevel="0" collapsed="false">
      <c r="A260" s="21" t="str">
        <f aca="false">IF($J260="","",244)</f>
        <v/>
      </c>
      <c r="B260" s="13" t="str">
        <f aca="false">IF($J260="","",INDEX('DỮ LIỆU'!$A$3:$A$1052,$J260))</f>
        <v/>
      </c>
      <c r="C260" s="41" t="str">
        <f aca="false">IF($J260="","",IF(INDEX('DỮ LIỆU'!$B$3:$B$1052,$J260)="","",INDEX('DỮ LIỆU'!$B$3:$B$1052,$J260)))</f>
        <v/>
      </c>
      <c r="D260" s="21" t="str">
        <f aca="false">IF($J260="","",IF(INDEX('DỮ LIỆU'!$C$3:$C$1052,$J260)="","",INDEX('DỮ LIỆU'!$C$3:$C$1052,$J260)))</f>
        <v/>
      </c>
      <c r="E260" s="21" t="str">
        <f aca="false">IF($J260="","",IF(INDEX('DỮ LIỆU'!$D$3:$D$1052,$J260)="","",INDEX('DỮ LIỆU'!$D$3:$D$1052,$J260)))</f>
        <v/>
      </c>
      <c r="F260" s="21" t="str">
        <f aca="false">IF($J260="","",IF(INDEX('DỮ LIỆU'!$H$3:$H$1052,$J260)="","",INDEX('DỮ LIỆU'!$H$3:$H$1052,$J260)))</f>
        <v/>
      </c>
      <c r="G260" s="13" t="str">
        <f aca="false">IF($J260="","",N(INDEX('DỮ LIỆU'!$I$3:$I$1052,$J260)))</f>
        <v/>
      </c>
      <c r="H260" s="13" t="str">
        <f aca="false">IF($J260="","",N(INDEX('DỮ LIỆU'!$M$3:$M$1052,$J260)))</f>
        <v/>
      </c>
      <c r="I260" s="13" t="str">
        <f aca="false">IF($J260="","",N(INDEX('DỮ LIỆU'!$N$3:$N$1052,$J260)))</f>
        <v/>
      </c>
      <c r="J260" s="0" t="str">
        <f aca="false">IFERROR(MATCH(244,'DỮ LIỆU'!$Y$3:$Y$1052,0),"")</f>
        <v/>
      </c>
    </row>
    <row r="261" customFormat="false" ht="15" hidden="false" customHeight="false" outlineLevel="0" collapsed="false">
      <c r="A261" s="21" t="str">
        <f aca="false">IF($J261="","",245)</f>
        <v/>
      </c>
      <c r="B261" s="13" t="str">
        <f aca="false">IF($J261="","",INDEX('DỮ LIỆU'!$A$3:$A$1052,$J261))</f>
        <v/>
      </c>
      <c r="C261" s="41" t="str">
        <f aca="false">IF($J261="","",IF(INDEX('DỮ LIỆU'!$B$3:$B$1052,$J261)="","",INDEX('DỮ LIỆU'!$B$3:$B$1052,$J261)))</f>
        <v/>
      </c>
      <c r="D261" s="21" t="str">
        <f aca="false">IF($J261="","",IF(INDEX('DỮ LIỆU'!$C$3:$C$1052,$J261)="","",INDEX('DỮ LIỆU'!$C$3:$C$1052,$J261)))</f>
        <v/>
      </c>
      <c r="E261" s="21" t="str">
        <f aca="false">IF($J261="","",IF(INDEX('DỮ LIỆU'!$D$3:$D$1052,$J261)="","",INDEX('DỮ LIỆU'!$D$3:$D$1052,$J261)))</f>
        <v/>
      </c>
      <c r="F261" s="21" t="str">
        <f aca="false">IF($J261="","",IF(INDEX('DỮ LIỆU'!$H$3:$H$1052,$J261)="","",INDEX('DỮ LIỆU'!$H$3:$H$1052,$J261)))</f>
        <v/>
      </c>
      <c r="G261" s="13" t="str">
        <f aca="false">IF($J261="","",N(INDEX('DỮ LIỆU'!$I$3:$I$1052,$J261)))</f>
        <v/>
      </c>
      <c r="H261" s="13" t="str">
        <f aca="false">IF($J261="","",N(INDEX('DỮ LIỆU'!$M$3:$M$1052,$J261)))</f>
        <v/>
      </c>
      <c r="I261" s="13" t="str">
        <f aca="false">IF($J261="","",N(INDEX('DỮ LIỆU'!$N$3:$N$1052,$J261)))</f>
        <v/>
      </c>
      <c r="J261" s="0" t="str">
        <f aca="false">IFERROR(MATCH(245,'DỮ LIỆU'!$Y$3:$Y$1052,0),"")</f>
        <v/>
      </c>
    </row>
    <row r="262" customFormat="false" ht="15" hidden="false" customHeight="false" outlineLevel="0" collapsed="false">
      <c r="A262" s="21" t="str">
        <f aca="false">IF($J262="","",246)</f>
        <v/>
      </c>
      <c r="B262" s="13" t="str">
        <f aca="false">IF($J262="","",INDEX('DỮ LIỆU'!$A$3:$A$1052,$J262))</f>
        <v/>
      </c>
      <c r="C262" s="41" t="str">
        <f aca="false">IF($J262="","",IF(INDEX('DỮ LIỆU'!$B$3:$B$1052,$J262)="","",INDEX('DỮ LIỆU'!$B$3:$B$1052,$J262)))</f>
        <v/>
      </c>
      <c r="D262" s="21" t="str">
        <f aca="false">IF($J262="","",IF(INDEX('DỮ LIỆU'!$C$3:$C$1052,$J262)="","",INDEX('DỮ LIỆU'!$C$3:$C$1052,$J262)))</f>
        <v/>
      </c>
      <c r="E262" s="21" t="str">
        <f aca="false">IF($J262="","",IF(INDEX('DỮ LIỆU'!$D$3:$D$1052,$J262)="","",INDEX('DỮ LIỆU'!$D$3:$D$1052,$J262)))</f>
        <v/>
      </c>
      <c r="F262" s="21" t="str">
        <f aca="false">IF($J262="","",IF(INDEX('DỮ LIỆU'!$H$3:$H$1052,$J262)="","",INDEX('DỮ LIỆU'!$H$3:$H$1052,$J262)))</f>
        <v/>
      </c>
      <c r="G262" s="13" t="str">
        <f aca="false">IF($J262="","",N(INDEX('DỮ LIỆU'!$I$3:$I$1052,$J262)))</f>
        <v/>
      </c>
      <c r="H262" s="13" t="str">
        <f aca="false">IF($J262="","",N(INDEX('DỮ LIỆU'!$M$3:$M$1052,$J262)))</f>
        <v/>
      </c>
      <c r="I262" s="13" t="str">
        <f aca="false">IF($J262="","",N(INDEX('DỮ LIỆU'!$N$3:$N$1052,$J262)))</f>
        <v/>
      </c>
      <c r="J262" s="0" t="str">
        <f aca="false">IFERROR(MATCH(246,'DỮ LIỆU'!$Y$3:$Y$1052,0),"")</f>
        <v/>
      </c>
    </row>
    <row r="263" customFormat="false" ht="15" hidden="false" customHeight="false" outlineLevel="0" collapsed="false">
      <c r="A263" s="21" t="str">
        <f aca="false">IF($J263="","",247)</f>
        <v/>
      </c>
      <c r="B263" s="13" t="str">
        <f aca="false">IF($J263="","",INDEX('DỮ LIỆU'!$A$3:$A$1052,$J263))</f>
        <v/>
      </c>
      <c r="C263" s="41" t="str">
        <f aca="false">IF($J263="","",IF(INDEX('DỮ LIỆU'!$B$3:$B$1052,$J263)="","",INDEX('DỮ LIỆU'!$B$3:$B$1052,$J263)))</f>
        <v/>
      </c>
      <c r="D263" s="21" t="str">
        <f aca="false">IF($J263="","",IF(INDEX('DỮ LIỆU'!$C$3:$C$1052,$J263)="","",INDEX('DỮ LIỆU'!$C$3:$C$1052,$J263)))</f>
        <v/>
      </c>
      <c r="E263" s="21" t="str">
        <f aca="false">IF($J263="","",IF(INDEX('DỮ LIỆU'!$D$3:$D$1052,$J263)="","",INDEX('DỮ LIỆU'!$D$3:$D$1052,$J263)))</f>
        <v/>
      </c>
      <c r="F263" s="21" t="str">
        <f aca="false">IF($J263="","",IF(INDEX('DỮ LIỆU'!$H$3:$H$1052,$J263)="","",INDEX('DỮ LIỆU'!$H$3:$H$1052,$J263)))</f>
        <v/>
      </c>
      <c r="G263" s="13" t="str">
        <f aca="false">IF($J263="","",N(INDEX('DỮ LIỆU'!$I$3:$I$1052,$J263)))</f>
        <v/>
      </c>
      <c r="H263" s="13" t="str">
        <f aca="false">IF($J263="","",N(INDEX('DỮ LIỆU'!$M$3:$M$1052,$J263)))</f>
        <v/>
      </c>
      <c r="I263" s="13" t="str">
        <f aca="false">IF($J263="","",N(INDEX('DỮ LIỆU'!$N$3:$N$1052,$J263)))</f>
        <v/>
      </c>
      <c r="J263" s="0" t="str">
        <f aca="false">IFERROR(MATCH(247,'DỮ LIỆU'!$Y$3:$Y$1052,0),"")</f>
        <v/>
      </c>
    </row>
    <row r="264" customFormat="false" ht="15" hidden="false" customHeight="false" outlineLevel="0" collapsed="false">
      <c r="A264" s="21" t="str">
        <f aca="false">IF($J264="","",248)</f>
        <v/>
      </c>
      <c r="B264" s="13" t="str">
        <f aca="false">IF($J264="","",INDEX('DỮ LIỆU'!$A$3:$A$1052,$J264))</f>
        <v/>
      </c>
      <c r="C264" s="41" t="str">
        <f aca="false">IF($J264="","",IF(INDEX('DỮ LIỆU'!$B$3:$B$1052,$J264)="","",INDEX('DỮ LIỆU'!$B$3:$B$1052,$J264)))</f>
        <v/>
      </c>
      <c r="D264" s="21" t="str">
        <f aca="false">IF($J264="","",IF(INDEX('DỮ LIỆU'!$C$3:$C$1052,$J264)="","",INDEX('DỮ LIỆU'!$C$3:$C$1052,$J264)))</f>
        <v/>
      </c>
      <c r="E264" s="21" t="str">
        <f aca="false">IF($J264="","",IF(INDEX('DỮ LIỆU'!$D$3:$D$1052,$J264)="","",INDEX('DỮ LIỆU'!$D$3:$D$1052,$J264)))</f>
        <v/>
      </c>
      <c r="F264" s="21" t="str">
        <f aca="false">IF($J264="","",IF(INDEX('DỮ LIỆU'!$H$3:$H$1052,$J264)="","",INDEX('DỮ LIỆU'!$H$3:$H$1052,$J264)))</f>
        <v/>
      </c>
      <c r="G264" s="13" t="str">
        <f aca="false">IF($J264="","",N(INDEX('DỮ LIỆU'!$I$3:$I$1052,$J264)))</f>
        <v/>
      </c>
      <c r="H264" s="13" t="str">
        <f aca="false">IF($J264="","",N(INDEX('DỮ LIỆU'!$M$3:$M$1052,$J264)))</f>
        <v/>
      </c>
      <c r="I264" s="13" t="str">
        <f aca="false">IF($J264="","",N(INDEX('DỮ LIỆU'!$N$3:$N$1052,$J264)))</f>
        <v/>
      </c>
      <c r="J264" s="0" t="str">
        <f aca="false">IFERROR(MATCH(248,'DỮ LIỆU'!$Y$3:$Y$1052,0),"")</f>
        <v/>
      </c>
    </row>
    <row r="265" customFormat="false" ht="15" hidden="false" customHeight="false" outlineLevel="0" collapsed="false">
      <c r="A265" s="21" t="str">
        <f aca="false">IF($J265="","",249)</f>
        <v/>
      </c>
      <c r="B265" s="13" t="str">
        <f aca="false">IF($J265="","",INDEX('DỮ LIỆU'!$A$3:$A$1052,$J265))</f>
        <v/>
      </c>
      <c r="C265" s="41" t="str">
        <f aca="false">IF($J265="","",IF(INDEX('DỮ LIỆU'!$B$3:$B$1052,$J265)="","",INDEX('DỮ LIỆU'!$B$3:$B$1052,$J265)))</f>
        <v/>
      </c>
      <c r="D265" s="21" t="str">
        <f aca="false">IF($J265="","",IF(INDEX('DỮ LIỆU'!$C$3:$C$1052,$J265)="","",INDEX('DỮ LIỆU'!$C$3:$C$1052,$J265)))</f>
        <v/>
      </c>
      <c r="E265" s="21" t="str">
        <f aca="false">IF($J265="","",IF(INDEX('DỮ LIỆU'!$D$3:$D$1052,$J265)="","",INDEX('DỮ LIỆU'!$D$3:$D$1052,$J265)))</f>
        <v/>
      </c>
      <c r="F265" s="21" t="str">
        <f aca="false">IF($J265="","",IF(INDEX('DỮ LIỆU'!$H$3:$H$1052,$J265)="","",INDEX('DỮ LIỆU'!$H$3:$H$1052,$J265)))</f>
        <v/>
      </c>
      <c r="G265" s="13" t="str">
        <f aca="false">IF($J265="","",N(INDEX('DỮ LIỆU'!$I$3:$I$1052,$J265)))</f>
        <v/>
      </c>
      <c r="H265" s="13" t="str">
        <f aca="false">IF($J265="","",N(INDEX('DỮ LIỆU'!$M$3:$M$1052,$J265)))</f>
        <v/>
      </c>
      <c r="I265" s="13" t="str">
        <f aca="false">IF($J265="","",N(INDEX('DỮ LIỆU'!$N$3:$N$1052,$J265)))</f>
        <v/>
      </c>
      <c r="J265" s="0" t="str">
        <f aca="false">IFERROR(MATCH(249,'DỮ LIỆU'!$Y$3:$Y$1052,0),"")</f>
        <v/>
      </c>
    </row>
    <row r="266" customFormat="false" ht="15" hidden="false" customHeight="false" outlineLevel="0" collapsed="false">
      <c r="A266" s="21" t="str">
        <f aca="false">IF($J266="","",250)</f>
        <v/>
      </c>
      <c r="B266" s="13" t="str">
        <f aca="false">IF($J266="","",INDEX('DỮ LIỆU'!$A$3:$A$1052,$J266))</f>
        <v/>
      </c>
      <c r="C266" s="41" t="str">
        <f aca="false">IF($J266="","",IF(INDEX('DỮ LIỆU'!$B$3:$B$1052,$J266)="","",INDEX('DỮ LIỆU'!$B$3:$B$1052,$J266)))</f>
        <v/>
      </c>
      <c r="D266" s="21" t="str">
        <f aca="false">IF($J266="","",IF(INDEX('DỮ LIỆU'!$C$3:$C$1052,$J266)="","",INDEX('DỮ LIỆU'!$C$3:$C$1052,$J266)))</f>
        <v/>
      </c>
      <c r="E266" s="21" t="str">
        <f aca="false">IF($J266="","",IF(INDEX('DỮ LIỆU'!$D$3:$D$1052,$J266)="","",INDEX('DỮ LIỆU'!$D$3:$D$1052,$J266)))</f>
        <v/>
      </c>
      <c r="F266" s="21" t="str">
        <f aca="false">IF($J266="","",IF(INDEX('DỮ LIỆU'!$H$3:$H$1052,$J266)="","",INDEX('DỮ LIỆU'!$H$3:$H$1052,$J266)))</f>
        <v/>
      </c>
      <c r="G266" s="13" t="str">
        <f aca="false">IF($J266="","",N(INDEX('DỮ LIỆU'!$I$3:$I$1052,$J266)))</f>
        <v/>
      </c>
      <c r="H266" s="13" t="str">
        <f aca="false">IF($J266="","",N(INDEX('DỮ LIỆU'!$M$3:$M$1052,$J266)))</f>
        <v/>
      </c>
      <c r="I266" s="13" t="str">
        <f aca="false">IF($J266="","",N(INDEX('DỮ LIỆU'!$N$3:$N$1052,$J266)))</f>
        <v/>
      </c>
      <c r="J266" s="0" t="str">
        <f aca="false">IFERROR(MATCH(250,'DỮ LIỆU'!$Y$3:$Y$1052,0),"")</f>
        <v/>
      </c>
    </row>
  </sheetData>
  <mergeCells count="4">
    <mergeCell ref="A1:J1"/>
    <mergeCell ref="A2:J2"/>
    <mergeCell ref="A4:F4"/>
    <mergeCell ref="A15:I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M2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2"/>
    <col collapsed="false" customWidth="true" hidden="false" outlineLevel="0" max="4" min="4" style="0" width="30"/>
    <col collapsed="false" customWidth="true" hidden="false" outlineLevel="0" max="5" min="5" style="0" width="14"/>
    <col collapsed="false" customWidth="true" hidden="false" outlineLevel="0" max="6" min="6" style="0" width="30"/>
    <col collapsed="false" customWidth="true" hidden="false" outlineLevel="0" max="7" min="7" style="0" width="10"/>
    <col collapsed="false" customWidth="true" hidden="false" outlineLevel="0" max="9" min="8" style="0" width="17"/>
    <col collapsed="false" customWidth="true" hidden="false" outlineLevel="0" max="10" min="10" style="0" width="15"/>
    <col collapsed="false" customWidth="true" hidden="false" outlineLevel="0" max="11" min="11" style="0" width="14"/>
    <col collapsed="false" customWidth="true" hidden="false" outlineLevel="0" max="12" min="12" style="0" width="30"/>
    <col collapsed="false" customWidth="true" hidden="true" outlineLevel="0" max="13" min="13" style="0" width="13"/>
  </cols>
  <sheetData>
    <row r="1" customFormat="false" ht="27.75" hidden="false" customHeight="true" outlineLevel="0" collapsed="false">
      <c r="A1" s="1" t="s">
        <v>474</v>
      </c>
      <c r="B1" s="1"/>
      <c r="C1" s="1"/>
      <c r="D1" s="1"/>
      <c r="E1" s="1"/>
      <c r="F1" s="1"/>
      <c r="G1" s="1"/>
      <c r="H1" s="1"/>
      <c r="I1" s="1"/>
      <c r="J1" s="1"/>
      <c r="K1" s="1"/>
      <c r="L1" s="1"/>
    </row>
    <row r="2" customFormat="false" ht="18.75" hidden="false" customHeight="true" outlineLevel="0" collapsed="false">
      <c r="A2" s="2" t="s">
        <v>475</v>
      </c>
      <c r="B2" s="2"/>
      <c r="C2" s="2"/>
      <c r="D2" s="2"/>
      <c r="E2" s="2"/>
      <c r="F2" s="2"/>
      <c r="G2" s="2"/>
      <c r="H2" s="2"/>
      <c r="I2" s="2"/>
      <c r="J2" s="2"/>
      <c r="K2" s="2"/>
      <c r="L2" s="2"/>
    </row>
    <row r="3" customFormat="false" ht="16.15" hidden="false" customHeight="false" outlineLevel="0" collapsed="false">
      <c r="A3" s="42" t="s">
        <v>476</v>
      </c>
      <c r="B3" s="43" t="n">
        <f aca="false">'BÁO CÁO NĂM'!$H$12</f>
        <v>28917000</v>
      </c>
      <c r="C3" s="42" t="s">
        <v>477</v>
      </c>
      <c r="D3" s="43" t="n">
        <f aca="false">'THANH TOÁN'!$F$13</f>
        <v>18</v>
      </c>
    </row>
    <row r="5" customFormat="false" ht="33.75" hidden="false" customHeight="true" outlineLevel="0" collapsed="false">
      <c r="A5" s="10" t="s">
        <v>138</v>
      </c>
      <c r="B5" s="10" t="s">
        <v>421</v>
      </c>
      <c r="C5" s="10" t="s">
        <v>139</v>
      </c>
      <c r="D5" s="10" t="s">
        <v>140</v>
      </c>
      <c r="E5" s="10" t="s">
        <v>141</v>
      </c>
      <c r="F5" s="10" t="s">
        <v>59</v>
      </c>
      <c r="G5" s="10" t="s">
        <v>145</v>
      </c>
      <c r="H5" s="10" t="s">
        <v>150</v>
      </c>
      <c r="I5" s="10" t="s">
        <v>151</v>
      </c>
      <c r="J5" s="10" t="s">
        <v>152</v>
      </c>
      <c r="K5" s="10" t="s">
        <v>478</v>
      </c>
      <c r="L5" s="10" t="s">
        <v>65</v>
      </c>
    </row>
    <row r="6" customFormat="false" ht="15" hidden="false" customHeight="false" outlineLevel="0" collapsed="false">
      <c r="A6" s="21" t="n">
        <f aca="false">IF($M6="","",1)</f>
        <v>1</v>
      </c>
      <c r="B6" s="13" t="n">
        <f aca="false">IF($M6="","",INDEX('DỮ LIỆU'!$A$3:$A$1052,$M6))</f>
        <v>6</v>
      </c>
      <c r="C6" s="41" t="n">
        <f aca="false">IF($M6="","",IF(INDEX('DỮ LIỆU'!$B$3:$B$1052,$M6)="","",INDEX('DỮ LIỆU'!$B$3:$B$1052,$M6)))</f>
        <v>46183</v>
      </c>
      <c r="D6" s="21" t="str">
        <f aca="false">IF($M6="","",IF(INDEX('DỮ LIỆU'!$C$3:$C$1052,$M6)="","",INDEX('DỮ LIỆU'!$C$3:$C$1052,$M6)))</f>
        <v>Trần Thị Bích</v>
      </c>
      <c r="E6" s="21" t="str">
        <f aca="false">IF($M6="","",IF(INDEX('DỮ LIỆU'!$D$3:$D$1052,$M6)="","",INDEX('DỮ LIỆU'!$D$3:$D$1052,$M6)))</f>
        <v>0987654321</v>
      </c>
      <c r="F6" s="21" t="str">
        <f aca="false">IF($M6="","",IF(INDEX('DỮ LIỆU'!$H$3:$H$1052,$M6)="","",INDEX('DỮ LIỆU'!$H$3:$H$1052,$M6)))</f>
        <v>Sổ tay da in logo</v>
      </c>
      <c r="G6" s="13" t="n">
        <f aca="false">IF($M6="","",N(INDEX('DỮ LIỆU'!$I$3:$I$1052,$M6)))</f>
        <v>50</v>
      </c>
      <c r="H6" s="13" t="n">
        <f aca="false">IF($M6="","",N(INDEX('DỮ LIỆU'!$M$3:$M$1052,$M6)))</f>
        <v>6000000</v>
      </c>
      <c r="I6" s="13" t="n">
        <f aca="false">IF($M6="","",N(INDEX('DỮ LIỆU'!$N$3:$N$1052,$M6)))</f>
        <v>0</v>
      </c>
      <c r="J6" s="13" t="n">
        <f aca="false">IF($M6="","",N(INDEX('DỮ LIỆU'!$O$3:$O$1052,$M6)))</f>
        <v>6000000</v>
      </c>
      <c r="K6" s="13" t="n">
        <f aca="true">IF(OR($M6="",$C6=""),"",MAX(0,TODAY()-$C6))</f>
        <v>54</v>
      </c>
      <c r="L6" s="21" t="str">
        <f aca="false">IF($M6="","",IF(INDEX('DỮ LIỆU'!$R$3:$R$1052,$M6)="","",INDEX('DỮ LIỆU'!$R$3:$R$1052,$M6)))</f>
        <v>(VÍ DỤ MẪU) | chuyển từ Tháng 6 dòng 92</v>
      </c>
      <c r="M6" s="30" t="n">
        <f aca="false">IFERROR(MATCH(1,'DỮ LIỆU'!$T$3:$T$1052,0),"")</f>
        <v>2</v>
      </c>
    </row>
    <row r="7" customFormat="false" ht="15" hidden="false" customHeight="false" outlineLevel="0" collapsed="false">
      <c r="A7" s="21" t="n">
        <f aca="false">IF($M7="","",2)</f>
        <v>2</v>
      </c>
      <c r="B7" s="13" t="n">
        <f aca="false">IF($M7="","",INDEX('DỮ LIỆU'!$A$3:$A$1052,$M7))</f>
        <v>7</v>
      </c>
      <c r="C7" s="41" t="n">
        <f aca="false">IF($M7="","",IF(INDEX('DỮ LIỆU'!$B$3:$B$1052,$M7)="","",INDEX('DỮ LIỆU'!$B$3:$B$1052,$M7)))</f>
        <v>46211</v>
      </c>
      <c r="D7" s="21" t="str">
        <f aca="false">IF($M7="","",IF(INDEX('DỮ LIỆU'!$C$3:$C$1052,$M7)="","",INDEX('DỮ LIỆU'!$C$3:$C$1052,$M7)))</f>
        <v>NHA KHOA VÂN ANH</v>
      </c>
      <c r="E7" s="21" t="str">
        <f aca="false">IF($M7="","",IF(INDEX('DỮ LIỆU'!$D$3:$D$1052,$M7)="","",INDEX('DỮ LIỆU'!$D$3:$D$1052,$M7)))</f>
        <v>0943599705</v>
      </c>
      <c r="F7" s="21" t="str">
        <f aca="false">IF($M7="","",IF(INDEX('DỮ LIỆU'!$H$3:$H$1052,$M7)="","",INDEX('DỮ LIỆU'!$H$3:$H$1052,$M7)))</f>
        <v>gấu nâu ngồi</v>
      </c>
      <c r="G7" s="13" t="n">
        <f aca="false">IF($M7="","",N(INDEX('DỮ LIỆU'!$I$3:$I$1052,$M7)))</f>
        <v>50</v>
      </c>
      <c r="H7" s="13" t="n">
        <f aca="false">IF($M7="","",N(INDEX('DỮ LIỆU'!$M$3:$M$1052,$M7)))</f>
        <v>2700000</v>
      </c>
      <c r="I7" s="13" t="n">
        <f aca="false">IF($M7="","",N(INDEX('DỮ LIỆU'!$N$3:$N$1052,$M7)))</f>
        <v>2500000</v>
      </c>
      <c r="J7" s="13" t="n">
        <f aca="false">IF($M7="","",N(INDEX('DỮ LIỆU'!$O$3:$O$1052,$M7)))</f>
        <v>200000</v>
      </c>
      <c r="K7" s="13" t="n">
        <f aca="true">IF(OR($M7="",$C7=""),"",MAX(0,TODAY()-$C7))</f>
        <v>26</v>
      </c>
      <c r="L7" s="21" t="str">
        <f aca="false">IF($M7="","",IF(INDEX('DỮ LIỆU'!$R$3:$R$1052,$M7)="","",INDEX('DỮ LIỆU'!$R$3:$R$1052,$M7)))</f>
        <v>lỗi logo trả lại cho khách 200k | chuyển từ Tháng 7 dòng 41</v>
      </c>
      <c r="M7" s="30" t="n">
        <f aca="false">IFERROR(MATCH(2,'DỮ LIỆU'!$T$3:$T$1052,0),"")</f>
        <v>159</v>
      </c>
    </row>
    <row r="8" customFormat="false" ht="15" hidden="false" customHeight="false" outlineLevel="0" collapsed="false">
      <c r="A8" s="21" t="n">
        <f aca="false">IF($M8="","",3)</f>
        <v>3</v>
      </c>
      <c r="B8" s="13" t="n">
        <f aca="false">IF($M8="","",INDEX('DỮ LIỆU'!$A$3:$A$1052,$M8))</f>
        <v>7</v>
      </c>
      <c r="C8" s="41" t="n">
        <f aca="false">IF($M8="","",IF(INDEX('DỮ LIỆU'!$B$3:$B$1052,$M8)="","",INDEX('DỮ LIỆU'!$B$3:$B$1052,$M8)))</f>
        <v>46216</v>
      </c>
      <c r="D8" s="21" t="str">
        <f aca="false">IF($M8="","",IF(INDEX('DỮ LIỆU'!$C$3:$C$1052,$M8)="","",INDEX('DỮ LIỆU'!$C$3:$C$1052,$M8)))</f>
        <v>MÓC KHÓA BGB - ANH NGỮ WIN</v>
      </c>
      <c r="E8" s="21" t="str">
        <f aca="false">IF($M8="","",IF(INDEX('DỮ LIỆU'!$D$3:$D$1052,$M8)="","",INDEX('DỮ LIỆU'!$D$3:$D$1052,$M8)))</f>
        <v>0909828699</v>
      </c>
      <c r="F8" s="21" t="str">
        <f aca="false">IF($M8="","",IF(INDEX('DỮ LIỆU'!$H$3:$H$1052,$M8)="","",INDEX('DỮ LIỆU'!$H$3:$H$1052,$M8)))</f>
        <v>móc khóa</v>
      </c>
      <c r="G8" s="13" t="n">
        <f aca="false">IF($M8="","",N(INDEX('DỮ LIỆU'!$I$3:$I$1052,$M8)))</f>
        <v>50</v>
      </c>
      <c r="H8" s="13" t="n">
        <f aca="false">IF($M8="","",N(INDEX('DỮ LIỆU'!$M$3:$M$1052,$M8)))</f>
        <v>1450000</v>
      </c>
      <c r="I8" s="13" t="n">
        <f aca="false">IF($M8="","",N(INDEX('DỮ LIỆU'!$N$3:$N$1052,$M8)))</f>
        <v>725000</v>
      </c>
      <c r="J8" s="13" t="n">
        <f aca="false">IF($M8="","",N(INDEX('DỮ LIỆU'!$O$3:$O$1052,$M8)))</f>
        <v>725000</v>
      </c>
      <c r="K8" s="13" t="n">
        <f aca="true">IF(OR($M8="",$C8=""),"",MAX(0,TODAY()-$C8))</f>
        <v>21</v>
      </c>
      <c r="L8" s="21" t="str">
        <f aca="false">IF($M8="","",IF(INDEX('DỮ LIỆU'!$R$3:$R$1052,$M8)="","",INDEX('DỮ LIỆU'!$R$3:$R$1052,$M8)))</f>
        <v>chuyển từ Tháng 7 dòng 52</v>
      </c>
      <c r="M8" s="30" t="n">
        <f aca="false">IFERROR(MATCH(3,'DỮ LIỆU'!$T$3:$T$1052,0),"")</f>
        <v>170</v>
      </c>
    </row>
    <row r="9" customFormat="false" ht="15" hidden="false" customHeight="false" outlineLevel="0" collapsed="false">
      <c r="A9" s="21" t="n">
        <f aca="false">IF($M9="","",4)</f>
        <v>4</v>
      </c>
      <c r="B9" s="13" t="n">
        <f aca="false">IF($M9="","",INDEX('DỮ LIỆU'!$A$3:$A$1052,$M9))</f>
        <v>7</v>
      </c>
      <c r="C9" s="41" t="n">
        <f aca="false">IF($M9="","",IF(INDEX('DỮ LIỆU'!$B$3:$B$1052,$M9)="","",INDEX('DỮ LIỆU'!$B$3:$B$1052,$M9)))</f>
        <v>46220</v>
      </c>
      <c r="D9" s="21" t="str">
        <f aca="false">IF($M9="","",IF(INDEX('DỮ LIỆU'!$C$3:$C$1052,$M9)="","",INDEX('DỮ LIỆU'!$C$3:$C$1052,$M9)))</f>
        <v>BGB - VIAEL 100g</v>
      </c>
      <c r="E9" s="21" t="str">
        <f aca="false">IF($M9="","",IF(INDEX('DỮ LIỆU'!$D$3:$D$1052,$M9)="","",INDEX('DỮ LIỆU'!$D$3:$D$1052,$M9)))</f>
        <v>0968747832</v>
      </c>
      <c r="F9" s="21" t="str">
        <f aca="false">IF($M9="","",IF(INDEX('DỮ LIỆU'!$H$3:$H$1052,$M9)="","",INDEX('DỮ LIỆU'!$H$3:$H$1052,$M9)))</f>
        <v>gấu ngồi lông mịn kèm mũ tn</v>
      </c>
      <c r="G9" s="13" t="n">
        <f aca="false">IF($M9="","",N(INDEX('DỮ LIỆU'!$I$3:$I$1052,$M9)))</f>
        <v>100</v>
      </c>
      <c r="H9" s="13" t="n">
        <f aca="false">IF($M9="","",N(INDEX('DỮ LIỆU'!$M$3:$M$1052,$M9)))</f>
        <v>5184000</v>
      </c>
      <c r="I9" s="13" t="n">
        <f aca="false">IF($M9="","",N(INDEX('DỮ LIỆU'!$N$3:$N$1052,$M9)))</f>
        <v>2600000</v>
      </c>
      <c r="J9" s="13" t="n">
        <f aca="false">IF($M9="","",N(INDEX('DỮ LIỆU'!$O$3:$O$1052,$M9)))</f>
        <v>2584000</v>
      </c>
      <c r="K9" s="13" t="n">
        <f aca="true">IF(OR($M9="",$C9=""),"",MAX(0,TODAY()-$C9))</f>
        <v>17</v>
      </c>
      <c r="L9" s="21" t="str">
        <f aca="false">IF($M9="","",IF(INDEX('DỮ LIỆU'!$R$3:$R$1052,$M9)="","",INDEX('DỮ LIỆU'!$R$3:$R$1052,$M9)))</f>
        <v>kh đang báo đi lại lệnh chuyển nốt tiền hàng | chuyển từ Tháng 7 dòng 127</v>
      </c>
      <c r="M9" s="30" t="n">
        <f aca="false">IFERROR(MATCH(4,'DỮ LIỆU'!$T$3:$T$1052,0),"")</f>
        <v>178</v>
      </c>
    </row>
    <row r="10" customFormat="false" ht="15" hidden="false" customHeight="false" outlineLevel="0" collapsed="false">
      <c r="A10" s="21" t="n">
        <f aca="false">IF($M10="","",5)</f>
        <v>5</v>
      </c>
      <c r="B10" s="13" t="n">
        <f aca="false">IF($M10="","",INDEX('DỮ LIỆU'!$A$3:$A$1052,$M10))</f>
        <v>7</v>
      </c>
      <c r="C10" s="41" t="n">
        <f aca="false">IF($M10="","",IF(INDEX('DỮ LIỆU'!$B$3:$B$1052,$M10)="","",INDEX('DỮ LIỆU'!$B$3:$B$1052,$M10)))</f>
        <v>46223</v>
      </c>
      <c r="D10" s="21" t="str">
        <f aca="false">IF($M10="","",IF(INDEX('DỮ LIỆU'!$C$3:$C$1052,$M10)="","",INDEX('DỮ LIỆU'!$C$3:$C$1052,$M10)))</f>
        <v>BGB - RAIN 50G</v>
      </c>
      <c r="E10" s="21" t="str">
        <f aca="false">IF($M10="","",IF(INDEX('DỮ LIỆU'!$D$3:$D$1052,$M10)="","",INDEX('DỮ LIỆU'!$D$3:$D$1052,$M10)))</f>
        <v>0394305093</v>
      </c>
      <c r="F10" s="21" t="str">
        <f aca="false">IF($M10="","",IF(INDEX('DỮ LIỆU'!$H$3:$H$1052,$M10)="","",INDEX('DỮ LIỆU'!$H$3:$H$1052,$M10)))</f>
        <v>gấu trắng</v>
      </c>
      <c r="G10" s="13" t="n">
        <f aca="false">IF($M10="","",N(INDEX('DỮ LIỆU'!$I$3:$I$1052,$M10)))</f>
        <v>50</v>
      </c>
      <c r="H10" s="13" t="n">
        <f aca="false">IF($M10="","",N(INDEX('DỮ LIỆU'!$M$3:$M$1052,$M10)))</f>
        <v>2592000</v>
      </c>
      <c r="I10" s="13" t="n">
        <f aca="false">IF($M10="","",N(INDEX('DỮ LIỆU'!$N$3:$N$1052,$M10)))</f>
        <v>2400000</v>
      </c>
      <c r="J10" s="13" t="n">
        <f aca="false">IF($M10="","",N(INDEX('DỮ LIỆU'!$O$3:$O$1052,$M10)))</f>
        <v>192000</v>
      </c>
      <c r="K10" s="13" t="n">
        <f aca="true">IF(OR($M10="",$C10=""),"",MAX(0,TODAY()-$C10))</f>
        <v>14</v>
      </c>
      <c r="L10" s="21" t="str">
        <f aca="false">IF($M10="","",IF(INDEX('DỮ LIỆU'!$R$3:$R$1052,$M10)="","",INDEX('DỮ LIỆU'!$R$3:$R$1052,$M10)))</f>
        <v>chuyển từ Tháng 7 dòng 134</v>
      </c>
      <c r="M10" s="30" t="n">
        <f aca="false">IFERROR(MATCH(5,'DỮ LIỆU'!$T$3:$T$1052,0),"")</f>
        <v>185</v>
      </c>
    </row>
    <row r="11" customFormat="false" ht="15" hidden="false" customHeight="false" outlineLevel="0" collapsed="false">
      <c r="A11" s="21" t="n">
        <f aca="false">IF($M11="","",6)</f>
        <v>6</v>
      </c>
      <c r="B11" s="13" t="n">
        <f aca="false">IF($M11="","",INDEX('DỮ LIỆU'!$A$3:$A$1052,$M11))</f>
        <v>7</v>
      </c>
      <c r="C11" s="41" t="n">
        <f aca="false">IF($M11="","",IF(INDEX('DỮ LIỆU'!$B$3:$B$1052,$M11)="","",INDEX('DỮ LIỆU'!$B$3:$B$1052,$M11)))</f>
        <v>46225</v>
      </c>
      <c r="D11" s="21" t="str">
        <f aca="false">IF($M11="","",IF(INDEX('DỮ LIỆU'!$C$3:$C$1052,$M11)="","",INDEX('DỮ LIỆU'!$C$3:$C$1052,$M11)))</f>
        <v>BGB - MK VINFAST NGỌC CHÂU THÀNH 50C</v>
      </c>
      <c r="E11" s="21" t="str">
        <f aca="false">IF($M11="","",IF(INDEX('DỮ LIỆU'!$D$3:$D$1052,$M11)="","",INDEX('DỮ LIỆU'!$D$3:$D$1052,$M11)))</f>
        <v>0828388882</v>
      </c>
      <c r="F11" s="21" t="str">
        <f aca="false">IF($M11="","",IF(INDEX('DỮ LIỆU'!$H$3:$H$1052,$M11)="","",INDEX('DỮ LIỆU'!$H$3:$H$1052,$M11)))</f>
        <v>móc khóa</v>
      </c>
      <c r="G11" s="13" t="n">
        <f aca="false">IF($M11="","",N(INDEX('DỮ LIỆU'!$I$3:$I$1052,$M11)))</f>
        <v>50</v>
      </c>
      <c r="H11" s="13" t="n">
        <f aca="false">IF($M11="","",N(INDEX('DỮ LIỆU'!$M$3:$M$1052,$M11)))</f>
        <v>1450000</v>
      </c>
      <c r="I11" s="13" t="n">
        <f aca="false">IF($M11="","",N(INDEX('DỮ LIỆU'!$N$3:$N$1052,$M11)))</f>
        <v>750000</v>
      </c>
      <c r="J11" s="13" t="n">
        <f aca="false">IF($M11="","",N(INDEX('DỮ LIỆU'!$O$3:$O$1052,$M11)))</f>
        <v>700000</v>
      </c>
      <c r="K11" s="13" t="n">
        <f aca="true">IF(OR($M11="",$C11=""),"",MAX(0,TODAY()-$C11))</f>
        <v>12</v>
      </c>
      <c r="L11" s="21" t="str">
        <f aca="false">IF($M11="","",IF(INDEX('DỮ LIỆU'!$R$3:$R$1052,$M11)="","",INDEX('DỮ LIỆU'!$R$3:$R$1052,$M11)))</f>
        <v>chuyển từ Tháng 7 dòng 142</v>
      </c>
      <c r="M11" s="30" t="n">
        <f aca="false">IFERROR(MATCH(6,'DỮ LIỆU'!$T$3:$T$1052,0),"")</f>
        <v>191</v>
      </c>
    </row>
    <row r="12" customFormat="false" ht="15" hidden="false" customHeight="false" outlineLevel="0" collapsed="false">
      <c r="A12" s="21" t="n">
        <f aca="false">IF($M12="","",7)</f>
        <v>7</v>
      </c>
      <c r="B12" s="13" t="n">
        <f aca="false">IF($M12="","",INDEX('DỮ LIỆU'!$A$3:$A$1052,$M12))</f>
        <v>7</v>
      </c>
      <c r="C12" s="41" t="n">
        <f aca="false">IF($M12="","",IF(INDEX('DỮ LIỆU'!$B$3:$B$1052,$M12)="","",INDEX('DỮ LIỆU'!$B$3:$B$1052,$M12)))</f>
        <v>46228</v>
      </c>
      <c r="D12" s="21" t="str">
        <f aca="false">IF($M12="","",IF(INDEX('DỮ LIỆU'!$C$3:$C$1052,$M12)="","",INDEX('DỮ LIỆU'!$C$3:$C$1052,$M12)))</f>
        <v>BGB - TRƯỜNG GIANG TOURIST GỐI U 50C</v>
      </c>
      <c r="E12" s="21" t="str">
        <f aca="false">IF($M12="","",IF(INDEX('DỮ LIỆU'!$D$3:$D$1052,$M12)="","",INDEX('DỮ LIỆU'!$D$3:$D$1052,$M12)))</f>
        <v>0353330284</v>
      </c>
      <c r="F12" s="21" t="str">
        <f aca="false">IF($M12="","",IF(INDEX('DỮ LIỆU'!$H$3:$H$1052,$M12)="","",INDEX('DỮ LIỆU'!$H$3:$H$1052,$M12)))</f>
        <v>gối chữ U màu nâu</v>
      </c>
      <c r="G12" s="13" t="n">
        <f aca="false">IF($M12="","",N(INDEX('DỮ LIỆU'!$I$3:$I$1052,$M12)))</f>
        <v>50</v>
      </c>
      <c r="H12" s="13" t="n">
        <f aca="false">IF($M12="","",N(INDEX('DỮ LIỆU'!$M$3:$M$1052,$M12)))</f>
        <v>2750000</v>
      </c>
      <c r="I12" s="13" t="n">
        <f aca="false">IF($M12="","",N(INDEX('DỮ LIỆU'!$N$3:$N$1052,$M12)))</f>
        <v>1500000</v>
      </c>
      <c r="J12" s="13" t="n">
        <f aca="false">IF($M12="","",N(INDEX('DỮ LIỆU'!$O$3:$O$1052,$M12)))</f>
        <v>1250000</v>
      </c>
      <c r="K12" s="13" t="n">
        <f aca="true">IF(OR($M12="",$C12=""),"",MAX(0,TODAY()-$C12))</f>
        <v>9</v>
      </c>
      <c r="L12" s="21" t="str">
        <f aca="false">IF($M12="","",IF(INDEX('DỮ LIỆU'!$R$3:$R$1052,$M12)="","",INDEX('DỮ LIỆU'!$R$3:$R$1052,$M12)))</f>
        <v>chuyển từ Tháng 7 dòng 145</v>
      </c>
      <c r="M12" s="30" t="n">
        <f aca="false">IFERROR(MATCH(7,'DỮ LIỆU'!$T$3:$T$1052,0),"")</f>
        <v>194</v>
      </c>
    </row>
    <row r="13" customFormat="false" ht="15" hidden="false" customHeight="false" outlineLevel="0" collapsed="false">
      <c r="A13" s="21" t="n">
        <f aca="false">IF($M13="","",8)</f>
        <v>8</v>
      </c>
      <c r="B13" s="13" t="n">
        <f aca="false">IF($M13="","",INDEX('DỮ LIỆU'!$A$3:$A$1052,$M13))</f>
        <v>7</v>
      </c>
      <c r="C13" s="41" t="n">
        <f aca="false">IF($M13="","",IF(INDEX('DỮ LIỆU'!$B$3:$B$1052,$M13)="","",INDEX('DỮ LIỆU'!$B$3:$B$1052,$M13)))</f>
        <v>46228</v>
      </c>
      <c r="D13" s="21" t="str">
        <f aca="false">IF($M13="","",IF(INDEX('DỮ LIỆU'!$C$3:$C$1052,$M13)="","",INDEX('DỮ LIỆU'!$C$3:$C$1052,$M13)))</f>
        <v>BGB - ANH TÀI 100G HT</v>
      </c>
      <c r="E13" s="21" t="str">
        <f aca="false">IF($M13="","",IF(INDEX('DỮ LIỆU'!$D$3:$D$1052,$M13)="","",INDEX('DỮ LIỆU'!$D$3:$D$1052,$M13)))</f>
        <v>0368349339</v>
      </c>
      <c r="F13" s="21" t="str">
        <f aca="false">IF($M13="","",IF(INDEX('DỮ LIỆU'!$H$3:$H$1052,$M13)="","",INDEX('DỮ LIỆU'!$H$3:$H$1052,$M13)))</f>
        <v>gấu 30 cm nhà HT</v>
      </c>
      <c r="G13" s="13" t="n">
        <f aca="false">IF($M13="","",N(INDEX('DỮ LIỆU'!$I$3:$I$1052,$M13)))</f>
        <v>100</v>
      </c>
      <c r="H13" s="13" t="n">
        <f aca="false">IF($M13="","",N(INDEX('DỮ LIỆU'!$M$3:$M$1052,$M13)))</f>
        <v>5500000</v>
      </c>
      <c r="I13" s="13" t="n">
        <f aca="false">IF($M13="","",N(INDEX('DỮ LIỆU'!$N$3:$N$1052,$M13)))</f>
        <v>2750000</v>
      </c>
      <c r="J13" s="13" t="n">
        <f aca="false">IF($M13="","",N(INDEX('DỮ LIỆU'!$O$3:$O$1052,$M13)))</f>
        <v>2750000</v>
      </c>
      <c r="K13" s="13" t="n">
        <f aca="true">IF(OR($M13="",$C13=""),"",MAX(0,TODAY()-$C13))</f>
        <v>9</v>
      </c>
      <c r="L13" s="21" t="str">
        <f aca="false">IF($M13="","",IF(INDEX('DỮ LIỆU'!$R$3:$R$1052,$M13)="","",INDEX('DỮ LIỆU'!$R$3:$R$1052,$M13)))</f>
        <v>chuyển từ Tháng 7 dòng 146</v>
      </c>
      <c r="M13" s="30" t="n">
        <f aca="false">IFERROR(MATCH(8,'DỮ LIỆU'!$T$3:$T$1052,0),"")</f>
        <v>195</v>
      </c>
    </row>
    <row r="14" customFormat="false" ht="15" hidden="false" customHeight="false" outlineLevel="0" collapsed="false">
      <c r="A14" s="21" t="n">
        <f aca="false">IF($M14="","",9)</f>
        <v>9</v>
      </c>
      <c r="B14" s="13" t="n">
        <f aca="false">IF($M14="","",INDEX('DỮ LIỆU'!$A$3:$A$1052,$M14))</f>
        <v>7</v>
      </c>
      <c r="C14" s="41" t="n">
        <f aca="false">IF($M14="","",IF(INDEX('DỮ LIỆU'!$B$3:$B$1052,$M14)="","",INDEX('DỮ LIỆU'!$B$3:$B$1052,$M14)))</f>
        <v>46230</v>
      </c>
      <c r="D14" s="21" t="str">
        <f aca="false">IF($M14="","",IF(INDEX('DỮ LIỆU'!$C$3:$C$1052,$M14)="","",INDEX('DỮ LIỆU'!$C$3:$C$1052,$M14)))</f>
        <v>BGB - HẠ LONG 50G</v>
      </c>
      <c r="E14" s="21" t="str">
        <f aca="false">IF($M14="","",IF(INDEX('DỮ LIỆU'!$D$3:$D$1052,$M14)="","",INDEX('DỮ LIỆU'!$D$3:$D$1052,$M14)))</f>
        <v>0376290595</v>
      </c>
      <c r="F14" s="21" t="str">
        <f aca="false">IF($M14="","",IF(INDEX('DỮ LIỆU'!$H$3:$H$1052,$M14)="","",INDEX('DỮ LIỆU'!$H$3:$H$1052,$M14)))</f>
        <v>gấu 2 loại</v>
      </c>
      <c r="G14" s="13" t="n">
        <f aca="false">IF($M14="","",N(INDEX('DỮ LIỆU'!$I$3:$I$1052,$M14)))</f>
        <v>50</v>
      </c>
      <c r="H14" s="13" t="n">
        <f aca="false">IF($M14="","",N(INDEX('DỮ LIỆU'!$M$3:$M$1052,$M14)))</f>
        <v>2600000</v>
      </c>
      <c r="I14" s="13" t="n">
        <f aca="false">IF($M14="","",N(INDEX('DỮ LIỆU'!$N$3:$N$1052,$M14)))</f>
        <v>1300000</v>
      </c>
      <c r="J14" s="13" t="n">
        <f aca="false">IF($M14="","",N(INDEX('DỮ LIỆU'!$O$3:$O$1052,$M14)))</f>
        <v>1300000</v>
      </c>
      <c r="K14" s="13" t="n">
        <f aca="true">IF(OR($M14="",$C14=""),"",MAX(0,TODAY()-$C14))</f>
        <v>7</v>
      </c>
      <c r="L14" s="21" t="str">
        <f aca="false">IF($M14="","",IF(INDEX('DỮ LIỆU'!$R$3:$R$1052,$M14)="","",INDEX('DỮ LIỆU'!$R$3:$R$1052,$M14)))</f>
        <v>chuyển từ Tháng 7 dòng 148 | file cũ gõ đè thành tiền, đơn giá tính lại = thành tiền / số lượng</v>
      </c>
      <c r="M14" s="30" t="n">
        <f aca="false">IFERROR(MATCH(9,'DỮ LIỆU'!$T$3:$T$1052,0),"")</f>
        <v>197</v>
      </c>
    </row>
    <row r="15" customFormat="false" ht="15" hidden="false" customHeight="false" outlineLevel="0" collapsed="false">
      <c r="A15" s="21" t="n">
        <f aca="false">IF($M15="","",10)</f>
        <v>10</v>
      </c>
      <c r="B15" s="13" t="n">
        <f aca="false">IF($M15="","",INDEX('DỮ LIỆU'!$A$3:$A$1052,$M15))</f>
        <v>7</v>
      </c>
      <c r="C15" s="41" t="n">
        <f aca="false">IF($M15="","",IF(INDEX('DỮ LIỆU'!$B$3:$B$1052,$M15)="","",INDEX('DỮ LIỆU'!$B$3:$B$1052,$M15)))</f>
        <v>46230</v>
      </c>
      <c r="D15" s="21" t="str">
        <f aca="false">IF($M15="","",IF(INDEX('DỮ LIỆU'!$C$3:$C$1052,$M15)="","",INDEX('DỮ LIỆU'!$C$3:$C$1052,$M15)))</f>
        <v>BGB - MK DTTH 50C</v>
      </c>
      <c r="E15" s="21" t="str">
        <f aca="false">IF($M15="","",IF(INDEX('DỮ LIỆU'!$D$3:$D$1052,$M15)="","",INDEX('DỮ LIỆU'!$D$3:$D$1052,$M15)))</f>
        <v>0388376911</v>
      </c>
      <c r="F15" s="21" t="str">
        <f aca="false">IF($M15="","",IF(INDEX('DỮ LIỆU'!$H$3:$H$1052,$M15)="","",INDEX('DỮ LIỆU'!$H$3:$H$1052,$M15)))</f>
        <v>móc khóa</v>
      </c>
      <c r="G15" s="13" t="n">
        <f aca="false">IF($M15="","",N(INDEX('DỮ LIỆU'!$I$3:$I$1052,$M15)))</f>
        <v>50</v>
      </c>
      <c r="H15" s="13" t="n">
        <f aca="false">IF($M15="","",N(INDEX('DỮ LIỆU'!$M$3:$M$1052,$M15)))</f>
        <v>1500000</v>
      </c>
      <c r="I15" s="13" t="n">
        <f aca="false">IF($M15="","",N(INDEX('DỮ LIỆU'!$N$3:$N$1052,$M15)))</f>
        <v>750000</v>
      </c>
      <c r="J15" s="13" t="n">
        <f aca="false">IF($M15="","",N(INDEX('DỮ LIỆU'!$O$3:$O$1052,$M15)))</f>
        <v>750000</v>
      </c>
      <c r="K15" s="13" t="n">
        <f aca="true">IF(OR($M15="",$C15=""),"",MAX(0,TODAY()-$C15))</f>
        <v>7</v>
      </c>
      <c r="L15" s="21" t="str">
        <f aca="false">IF($M15="","",IF(INDEX('DỮ LIỆU'!$R$3:$R$1052,$M15)="","",INDEX('DỮ LIỆU'!$R$3:$R$1052,$M15)))</f>
        <v>chuyển từ Tháng 7 dòng 150</v>
      </c>
      <c r="M15" s="30" t="n">
        <f aca="false">IFERROR(MATCH(10,'DỮ LIỆU'!$T$3:$T$1052,0),"")</f>
        <v>199</v>
      </c>
    </row>
    <row r="16" customFormat="false" ht="15" hidden="false" customHeight="false" outlineLevel="0" collapsed="false">
      <c r="A16" s="21" t="n">
        <f aca="false">IF($M16="","",11)</f>
        <v>11</v>
      </c>
      <c r="B16" s="13" t="n">
        <f aca="false">IF($M16="","",INDEX('DỮ LIỆU'!$A$3:$A$1052,$M16))</f>
        <v>7</v>
      </c>
      <c r="C16" s="41" t="n">
        <f aca="false">IF($M16="","",IF(INDEX('DỮ LIỆU'!$B$3:$B$1052,$M16)="","",INDEX('DỮ LIỆU'!$B$3:$B$1052,$M16)))</f>
        <v>46231</v>
      </c>
      <c r="D16" s="21" t="str">
        <f aca="false">IF($M16="","",IF(INDEX('DỮ LIỆU'!$C$3:$C$1052,$M16)="","",INDEX('DỮ LIỆU'!$C$3:$C$1052,$M16)))</f>
        <v>BGB - THIÊN LONG BĐS 100G</v>
      </c>
      <c r="E16" s="21" t="str">
        <f aca="false">IF($M16="","",IF(INDEX('DỮ LIỆU'!$D$3:$D$1052,$M16)="","",INDEX('DỮ LIỆU'!$D$3:$D$1052,$M16)))</f>
        <v>0878202959</v>
      </c>
      <c r="F16" s="21" t="str">
        <f aca="false">IF($M16="","",IF(INDEX('DỮ LIỆU'!$H$3:$H$1052,$M16)="","",INDEX('DỮ LIỆU'!$H$3:$H$1052,$M16)))</f>
        <v>gấu nâu 30cm</v>
      </c>
      <c r="G16" s="13" t="n">
        <f aca="false">IF($M16="","",N(INDEX('DỮ LIỆU'!$I$3:$I$1052,$M16)))</f>
        <v>100</v>
      </c>
      <c r="H16" s="13" t="n">
        <f aca="false">IF($M16="","",N(INDEX('DỮ LIỆU'!$M$3:$M$1052,$M16)))</f>
        <v>4800000</v>
      </c>
      <c r="I16" s="13" t="n">
        <f aca="false">IF($M16="","",N(INDEX('DỮ LIỆU'!$N$3:$N$1052,$M16)))</f>
        <v>2400000</v>
      </c>
      <c r="J16" s="13" t="n">
        <f aca="false">IF($M16="","",N(INDEX('DỮ LIỆU'!$O$3:$O$1052,$M16)))</f>
        <v>2400000</v>
      </c>
      <c r="K16" s="13" t="n">
        <f aca="true">IF(OR($M16="",$C16=""),"",MAX(0,TODAY()-$C16))</f>
        <v>6</v>
      </c>
      <c r="L16" s="21" t="str">
        <f aca="false">IF($M16="","",IF(INDEX('DỮ LIỆU'!$R$3:$R$1052,$M16)="","",INDEX('DỮ LIỆU'!$R$3:$R$1052,$M16)))</f>
        <v>chuyển từ Tháng 7 dòng 151</v>
      </c>
      <c r="M16" s="30" t="n">
        <f aca="false">IFERROR(MATCH(11,'DỮ LIỆU'!$T$3:$T$1052,0),"")</f>
        <v>200</v>
      </c>
    </row>
    <row r="17" customFormat="false" ht="15" hidden="false" customHeight="false" outlineLevel="0" collapsed="false">
      <c r="A17" s="21" t="n">
        <f aca="false">IF($M17="","",12)</f>
        <v>12</v>
      </c>
      <c r="B17" s="13" t="n">
        <f aca="false">IF($M17="","",INDEX('DỮ LIỆU'!$A$3:$A$1052,$M17))</f>
        <v>7</v>
      </c>
      <c r="C17" s="41" t="n">
        <f aca="false">IF($M17="","",IF(INDEX('DỮ LIỆU'!$B$3:$B$1052,$M17)="","",INDEX('DỮ LIỆU'!$B$3:$B$1052,$M17)))</f>
        <v>46231</v>
      </c>
      <c r="D17" s="21" t="str">
        <f aca="false">IF($M17="","",IF(INDEX('DỮ LIỆU'!$C$3:$C$1052,$M17)="","",INDEX('DỮ LIỆU'!$C$3:$C$1052,$M17)))</f>
        <v>anh Tuyên</v>
      </c>
      <c r="E17" s="21" t="str">
        <f aca="false">IF($M17="","",IF(INDEX('DỮ LIỆU'!$D$3:$D$1052,$M17)="","",INDEX('DỮ LIỆU'!$D$3:$D$1052,$M17)))</f>
        <v>0987323121</v>
      </c>
      <c r="F17" s="21" t="str">
        <f aca="false">IF($M17="","",IF(INDEX('DỮ LIỆU'!$H$3:$H$1052,$M17)="","",INDEX('DỮ LIỆU'!$H$3:$H$1052,$M17)))</f>
        <v>mẫu gấu</v>
      </c>
      <c r="G17" s="13" t="n">
        <f aca="false">IF($M17="","",N(INDEX('DỮ LIỆU'!$I$3:$I$1052,$M17)))</f>
        <v>1</v>
      </c>
      <c r="H17" s="13" t="n">
        <f aca="false">IF($M17="","",N(INDEX('DỮ LIỆU'!$M$3:$M$1052,$M17)))</f>
        <v>140000</v>
      </c>
      <c r="I17" s="13" t="n">
        <f aca="false">IF($M17="","",N(INDEX('DỮ LIỆU'!$N$3:$N$1052,$M17)))</f>
        <v>0</v>
      </c>
      <c r="J17" s="13" t="n">
        <f aca="false">IF($M17="","",N(INDEX('DỮ LIỆU'!$O$3:$O$1052,$M17)))</f>
        <v>140000</v>
      </c>
      <c r="K17" s="13" t="n">
        <f aca="true">IF(OR($M17="",$C17=""),"",MAX(0,TODAY()-$C17))</f>
        <v>6</v>
      </c>
      <c r="L17" s="21" t="str">
        <f aca="false">IF($M17="","",IF(INDEX('DỮ LIỆU'!$R$3:$R$1052,$M17)="","",INDEX('DỮ LIỆU'!$R$3:$R$1052,$M17)))</f>
        <v>chuyển từ Tháng 7 dòng 152 | file cũ không ghi số lượng, quy về 1 x thành tiền</v>
      </c>
      <c r="M17" s="30" t="n">
        <f aca="false">IFERROR(MATCH(12,'DỮ LIỆU'!$T$3:$T$1052,0),"")</f>
        <v>201</v>
      </c>
    </row>
    <row r="18" customFormat="false" ht="15" hidden="false" customHeight="false" outlineLevel="0" collapsed="false">
      <c r="A18" s="21" t="n">
        <f aca="false">IF($M18="","",13)</f>
        <v>13</v>
      </c>
      <c r="B18" s="13" t="n">
        <f aca="false">IF($M18="","",INDEX('DỮ LIỆU'!$A$3:$A$1052,$M18))</f>
        <v>7</v>
      </c>
      <c r="C18" s="41" t="n">
        <f aca="false">IF($M18="","",IF(INDEX('DỮ LIỆU'!$B$3:$B$1052,$M18)="","",INDEX('DỮ LIỆU'!$B$3:$B$1052,$M18)))</f>
        <v>46233</v>
      </c>
      <c r="D18" s="21" t="str">
        <f aca="false">IF($M18="","",IF(INDEX('DỮ LIỆU'!$C$3:$C$1052,$M18)="","",INDEX('DỮ LIỆU'!$C$3:$C$1052,$M18)))</f>
        <v>anh Tomsong</v>
      </c>
      <c r="E18" s="21" t="str">
        <f aca="false">IF($M18="","",IF(INDEX('DỮ LIỆU'!$D$3:$D$1052,$M18)="","",INDEX('DỮ LIỆU'!$D$3:$D$1052,$M18)))</f>
        <v>0326397762</v>
      </c>
      <c r="F18" s="21" t="str">
        <f aca="false">IF($M18="","",IF(INDEX('DỮ LIỆU'!$H$3:$H$1052,$M18)="","",INDEX('DỮ LIỆU'!$H$3:$H$1052,$M18)))</f>
        <v>gối chữ U màu xám</v>
      </c>
      <c r="G18" s="13" t="n">
        <f aca="false">IF($M18="","",N(INDEX('DỮ LIỆU'!$I$3:$I$1052,$M18)))</f>
        <v>50</v>
      </c>
      <c r="H18" s="13" t="n">
        <f aca="false">IF($M18="","",N(INDEX('DỮ LIỆU'!$M$3:$M$1052,$M18)))</f>
        <v>2750000</v>
      </c>
      <c r="I18" s="13" t="n">
        <f aca="false">IF($M18="","",N(INDEX('DỮ LIỆU'!$N$3:$N$1052,$M18)))</f>
        <v>1375000</v>
      </c>
      <c r="J18" s="13" t="n">
        <f aca="false">IF($M18="","",N(INDEX('DỮ LIỆU'!$O$3:$O$1052,$M18)))</f>
        <v>1375000</v>
      </c>
      <c r="K18" s="13" t="n">
        <f aca="true">IF(OR($M18="",$C18=""),"",MAX(0,TODAY()-$C18))</f>
        <v>4</v>
      </c>
      <c r="L18" s="21" t="str">
        <f aca="false">IF($M18="","",IF(INDEX('DỮ LIỆU'!$R$3:$R$1052,$M18)="","",INDEX('DỮ LIỆU'!$R$3:$R$1052,$M18)))</f>
        <v>chuyển từ Tháng 7 dòng 153</v>
      </c>
      <c r="M18" s="30" t="n">
        <f aca="false">IFERROR(MATCH(13,'DỮ LIỆU'!$T$3:$T$1052,0),"")</f>
        <v>202</v>
      </c>
    </row>
    <row r="19" customFormat="false" ht="15" hidden="false" customHeight="false" outlineLevel="0" collapsed="false">
      <c r="A19" s="21" t="n">
        <f aca="false">IF($M19="","",14)</f>
        <v>14</v>
      </c>
      <c r="B19" s="13" t="n">
        <f aca="false">IF($M19="","",INDEX('DỮ LIỆU'!$A$3:$A$1052,$M19))</f>
        <v>7</v>
      </c>
      <c r="C19" s="41" t="n">
        <f aca="false">IF($M19="","",IF(INDEX('DỮ LIỆU'!$B$3:$B$1052,$M19)="","",INDEX('DỮ LIỆU'!$B$3:$B$1052,$M19)))</f>
        <v>46233</v>
      </c>
      <c r="D19" s="21" t="str">
        <f aca="false">IF($M19="","",IF(INDEX('DỮ LIỆU'!$C$3:$C$1052,$M19)="","",INDEX('DỮ LIỆU'!$C$3:$C$1052,$M19)))</f>
        <v>chị Nga Vũ</v>
      </c>
      <c r="E19" s="21" t="str">
        <f aca="false">IF($M19="","",IF(INDEX('DỮ LIỆU'!$D$3:$D$1052,$M19)="","",INDEX('DỮ LIỆU'!$D$3:$D$1052,$M19)))</f>
        <v>0977597222</v>
      </c>
      <c r="F19" s="21" t="str">
        <f aca="false">IF($M19="","",IF(INDEX('DỮ LIỆU'!$H$3:$H$1052,$M19)="","",INDEX('DỮ LIỆU'!$H$3:$H$1052,$M19)))</f>
        <v>gấu trắng</v>
      </c>
      <c r="G19" s="13" t="n">
        <f aca="false">IF($M19="","",N(INDEX('DỮ LIỆU'!$I$3:$I$1052,$M19)))</f>
        <v>200</v>
      </c>
      <c r="H19" s="13" t="n">
        <f aca="false">IF($M19="","",N(INDEX('DỮ LIỆU'!$M$3:$M$1052,$M19)))</f>
        <v>9936000</v>
      </c>
      <c r="I19" s="13" t="n">
        <f aca="false">IF($M19="","",N(INDEX('DỮ LIỆU'!$N$3:$N$1052,$M19)))</f>
        <v>4968000</v>
      </c>
      <c r="J19" s="13" t="n">
        <f aca="false">IF($M19="","",N(INDEX('DỮ LIỆU'!$O$3:$O$1052,$M19)))</f>
        <v>4968000</v>
      </c>
      <c r="K19" s="13" t="n">
        <f aca="true">IF(OR($M19="",$C19=""),"",MAX(0,TODAY()-$C19))</f>
        <v>4</v>
      </c>
      <c r="L19" s="21" t="str">
        <f aca="false">IF($M19="","",IF(INDEX('DỮ LIỆU'!$R$3:$R$1052,$M19)="","",INDEX('DỮ LIỆU'!$R$3:$R$1052,$M19)))</f>
        <v>chuyển từ Tháng 7 dòng 154</v>
      </c>
      <c r="M19" s="30" t="n">
        <f aca="false">IFERROR(MATCH(14,'DỮ LIỆU'!$T$3:$T$1052,0),"")</f>
        <v>203</v>
      </c>
    </row>
    <row r="20" customFormat="false" ht="15" hidden="false" customHeight="false" outlineLevel="0" collapsed="false">
      <c r="A20" s="21" t="n">
        <f aca="false">IF($M20="","",15)</f>
        <v>15</v>
      </c>
      <c r="B20" s="13" t="n">
        <f aca="false">IF($M20="","",INDEX('DỮ LIỆU'!$A$3:$A$1052,$M20))</f>
        <v>7</v>
      </c>
      <c r="C20" s="41" t="n">
        <f aca="false">IF($M20="","",IF(INDEX('DỮ LIỆU'!$B$3:$B$1052,$M20)="","",INDEX('DỮ LIỆU'!$B$3:$B$1052,$M20)))</f>
        <v>46234</v>
      </c>
      <c r="D20" s="21" t="str">
        <f aca="false">IF($M20="","",IF(INDEX('DỮ LIỆU'!$C$3:$C$1052,$M20)="","",INDEX('DỮ LIỆU'!$C$3:$C$1052,$M20)))</f>
        <v>BGB - Dược Hậu Giang 25G TN</v>
      </c>
      <c r="E20" s="21" t="str">
        <f aca="false">IF($M20="","",IF(INDEX('DỮ LIỆU'!$D$3:$D$1052,$M20)="","",INDEX('DỮ LIỆU'!$D$3:$D$1052,$M20)))</f>
        <v>0973393695</v>
      </c>
      <c r="F20" s="21" t="str">
        <f aca="false">IF($M20="","",IF(INDEX('DỮ LIỆU'!$H$3:$H$1052,$M20)="","",INDEX('DỮ LIỆU'!$H$3:$H$1052,$M20)))</f>
        <v>Gấu tốt nghiệp</v>
      </c>
      <c r="G20" s="13" t="n">
        <f aca="false">IF($M20="","",N(INDEX('DỮ LIỆU'!$I$3:$I$1052,$M20)))</f>
        <v>25</v>
      </c>
      <c r="H20" s="13" t="n">
        <f aca="false">IF($M20="","",N(INDEX('DỮ LIỆU'!$M$3:$M$1052,$M20)))</f>
        <v>1620000</v>
      </c>
      <c r="I20" s="13" t="n">
        <f aca="false">IF($M20="","",N(INDEX('DỮ LIỆU'!$N$3:$N$1052,$M20)))</f>
        <v>728000</v>
      </c>
      <c r="J20" s="13" t="n">
        <f aca="false">IF($M20="","",N(INDEX('DỮ LIỆU'!$O$3:$O$1052,$M20)))</f>
        <v>892000</v>
      </c>
      <c r="K20" s="13" t="n">
        <f aca="true">IF(OR($M20="",$C20=""),"",MAX(0,TODAY()-$C20))</f>
        <v>3</v>
      </c>
      <c r="L20" s="21" t="str">
        <f aca="false">IF($M20="","",IF(INDEX('DỮ LIỆU'!$R$3:$R$1052,$M20)="","",INDEX('DỮ LIỆU'!$R$3:$R$1052,$M20)))</f>
        <v>chuyển từ Tháng 7 dòng 155</v>
      </c>
      <c r="M20" s="30" t="n">
        <f aca="false">IFERROR(MATCH(15,'DỮ LIỆU'!$T$3:$T$1052,0),"")</f>
        <v>204</v>
      </c>
    </row>
    <row r="21" customFormat="false" ht="15" hidden="false" customHeight="false" outlineLevel="0" collapsed="false">
      <c r="A21" s="21" t="n">
        <f aca="false">IF($M21="","",16)</f>
        <v>16</v>
      </c>
      <c r="B21" s="13" t="n">
        <f aca="false">IF($M21="","",INDEX('DỮ LIỆU'!$A$3:$A$1052,$M21))</f>
        <v>8</v>
      </c>
      <c r="C21" s="41" t="n">
        <f aca="false">IF($M21="","",IF(INDEX('DỮ LIỆU'!$B$3:$B$1052,$M21)="","",INDEX('DỮ LIỆU'!$B$3:$B$1052,$M21)))</f>
        <v>46235</v>
      </c>
      <c r="D21" s="21" t="str">
        <f aca="false">IF($M21="","",IF(INDEX('DỮ LIỆU'!$C$3:$C$1052,$M21)="","",INDEX('DỮ LIỆU'!$C$3:$C$1052,$M21)))</f>
        <v>Chị Hồng Liên</v>
      </c>
      <c r="E21" s="21" t="str">
        <f aca="false">IF($M21="","",IF(INDEX('DỮ LIỆU'!$D$3:$D$1052,$M21)="","",INDEX('DỮ LIỆU'!$D$3:$D$1052,$M21)))</f>
        <v>0941379111</v>
      </c>
      <c r="F21" s="21" t="str">
        <f aca="false">IF($M21="","",IF(INDEX('DỮ LIỆU'!$H$3:$H$1052,$M21)="","",INDEX('DỮ LIỆU'!$H$3:$H$1052,$M21)))</f>
        <v>gấu tốt nghiệp</v>
      </c>
      <c r="G21" s="13" t="n">
        <f aca="false">IF($M21="","",N(INDEX('DỮ LIỆU'!$I$3:$I$1052,$M21)))</f>
        <v>32</v>
      </c>
      <c r="H21" s="13" t="n">
        <f aca="false">IF($M21="","",N(INDEX('DỮ LIỆU'!$M$3:$M$1052,$M21)))</f>
        <v>2080000</v>
      </c>
      <c r="I21" s="13" t="n">
        <f aca="false">IF($M21="","",N(INDEX('DỮ LIỆU'!$N$3:$N$1052,$M21)))</f>
        <v>1050000</v>
      </c>
      <c r="J21" s="13" t="n">
        <f aca="false">IF($M21="","",N(INDEX('DỮ LIỆU'!$O$3:$O$1052,$M21)))</f>
        <v>1030000</v>
      </c>
      <c r="K21" s="13" t="n">
        <f aca="true">IF(OR($M21="",$C21=""),"",MAX(0,TODAY()-$C21))</f>
        <v>2</v>
      </c>
      <c r="L21" s="21" t="str">
        <f aca="false">IF($M21="","",IF(INDEX('DỮ LIỆU'!$R$3:$R$1052,$M21)="","",INDEX('DỮ LIỆU'!$R$3:$R$1052,$M21)))</f>
        <v>chuyển từ Tháng 8 dòng 10</v>
      </c>
      <c r="M21" s="30" t="n">
        <f aca="false">IFERROR(MATCH(16,'DỮ LIỆU'!$T$3:$T$1052,0),"")</f>
        <v>301</v>
      </c>
    </row>
    <row r="22" customFormat="false" ht="15" hidden="false" customHeight="false" outlineLevel="0" collapsed="false">
      <c r="A22" s="21" t="n">
        <f aca="false">IF($M22="","",17)</f>
        <v>17</v>
      </c>
      <c r="B22" s="13" t="n">
        <f aca="false">IF($M22="","",INDEX('DỮ LIỆU'!$A$3:$A$1052,$M22))</f>
        <v>8</v>
      </c>
      <c r="C22" s="41" t="n">
        <f aca="false">IF($M22="","",IF(INDEX('DỮ LIỆU'!$B$3:$B$1052,$M22)="","",INDEX('DỮ LIỆU'!$B$3:$B$1052,$M22)))</f>
        <v>46235</v>
      </c>
      <c r="D22" s="21" t="str">
        <f aca="false">IF($M22="","",IF(INDEX('DỮ LIỆU'!$C$3:$C$1052,$M22)="","",INDEX('DỮ LIỆU'!$C$3:$C$1052,$M22)))</f>
        <v>chị Trang Jade</v>
      </c>
      <c r="E22" s="21" t="str">
        <f aca="false">IF($M22="","",IF(INDEX('DỮ LIỆU'!$D$3:$D$1052,$M22)="","",INDEX('DỮ LIỆU'!$D$3:$D$1052,$M22)))</f>
        <v>0799740948</v>
      </c>
      <c r="F22" s="21" t="str">
        <f aca="false">IF($M22="","",IF(INDEX('DỮ LIỆU'!$H$3:$H$1052,$M22)="","",INDEX('DỮ LIỆU'!$H$3:$H$1052,$M22)))</f>
        <v>gấu trắng</v>
      </c>
      <c r="G22" s="13" t="n">
        <f aca="false">IF($M22="","",N(INDEX('DỮ LIỆU'!$I$3:$I$1052,$M22)))</f>
        <v>25</v>
      </c>
      <c r="H22" s="13" t="n">
        <f aca="false">IF($M22="","",N(INDEX('DỮ LIỆU'!$M$3:$M$1052,$M22)))</f>
        <v>1323000</v>
      </c>
      <c r="I22" s="13" t="n">
        <f aca="false">IF($M22="","",N(INDEX('DỮ LIỆU'!$N$3:$N$1052,$M22)))</f>
        <v>662000</v>
      </c>
      <c r="J22" s="13" t="n">
        <f aca="false">IF($M22="","",N(INDEX('DỮ LIỆU'!$O$3:$O$1052,$M22)))</f>
        <v>661000</v>
      </c>
      <c r="K22" s="13" t="n">
        <f aca="true">IF(OR($M22="",$C22=""),"",MAX(0,TODAY()-$C22))</f>
        <v>2</v>
      </c>
      <c r="L22" s="21" t="str">
        <f aca="false">IF($M22="","",IF(INDEX('DỮ LIỆU'!$R$3:$R$1052,$M22)="","",INDEX('DỮ LIỆU'!$R$3:$R$1052,$M22)))</f>
        <v>chuyển từ Tháng 8 dòng 11</v>
      </c>
      <c r="M22" s="30" t="n">
        <f aca="false">IFERROR(MATCH(17,'DỮ LIỆU'!$T$3:$T$1052,0),"")</f>
        <v>302</v>
      </c>
    </row>
    <row r="23" customFormat="false" ht="15" hidden="false" customHeight="false" outlineLevel="0" collapsed="false">
      <c r="A23" s="21" t="n">
        <f aca="false">IF($M23="","",18)</f>
        <v>18</v>
      </c>
      <c r="B23" s="13" t="n">
        <f aca="false">IF($M23="","",INDEX('DỮ LIỆU'!$A$3:$A$1052,$M23))</f>
        <v>8</v>
      </c>
      <c r="C23" s="41" t="n">
        <f aca="false">IF($M23="","",IF(INDEX('DỮ LIỆU'!$B$3:$B$1052,$M23)="","",INDEX('DỮ LIỆU'!$B$3:$B$1052,$M23)))</f>
        <v>46235</v>
      </c>
      <c r="D23" s="21" t="str">
        <f aca="false">IF($M23="","",IF(INDEX('DỮ LIỆU'!$C$3:$C$1052,$M23)="","",INDEX('DỮ LIỆU'!$C$3:$C$1052,$M23)))</f>
        <v>BGB - HOÀNG HẢI TRAVEL 30G</v>
      </c>
      <c r="E23" s="21" t="str">
        <f aca="false">IF($M23="","",IF(INDEX('DỮ LIỆU'!$D$3:$D$1052,$M23)="","",INDEX('DỮ LIỆU'!$D$3:$D$1052,$M23)))</f>
        <v>0967840505</v>
      </c>
      <c r="F23" s="21" t="str">
        <f aca="false">IF($M23="","",IF(INDEX('DỮ LIỆU'!$H$3:$H$1052,$M23)="","",INDEX('DỮ LIỆU'!$H$3:$H$1052,$M23)))</f>
        <v>gấu nâu</v>
      </c>
      <c r="G23" s="13" t="n">
        <f aca="false">IF($M23="","",N(INDEX('DỮ LIỆU'!$I$3:$I$1052,$M23)))</f>
        <v>30</v>
      </c>
      <c r="H23" s="13" t="n">
        <f aca="false">IF($M23="","",N(INDEX('DỮ LIỆU'!$M$3:$M$1052,$M23)))</f>
        <v>1500000</v>
      </c>
      <c r="I23" s="13" t="n">
        <f aca="false">IF($M23="","",N(INDEX('DỮ LIỆU'!$N$3:$N$1052,$M23)))</f>
        <v>500000</v>
      </c>
      <c r="J23" s="13" t="n">
        <f aca="false">IF($M23="","",N(INDEX('DỮ LIỆU'!$O$3:$O$1052,$M23)))</f>
        <v>1000000</v>
      </c>
      <c r="K23" s="13" t="n">
        <f aca="true">IF(OR($M23="",$C23=""),"",MAX(0,TODAY()-$C23))</f>
        <v>2</v>
      </c>
      <c r="L23" s="21" t="str">
        <f aca="false">IF($M23="","",IF(INDEX('DỮ LIỆU'!$R$3:$R$1052,$M23)="","",INDEX('DỮ LIỆU'!$R$3:$R$1052,$M23)))</f>
        <v>chuyển từ Tháng 8 dòng 12</v>
      </c>
      <c r="M23" s="30" t="n">
        <f aca="false">IFERROR(MATCH(18,'DỮ LIỆU'!$T$3:$T$1052,0),"")</f>
        <v>303</v>
      </c>
    </row>
    <row r="24" customFormat="false" ht="15" hidden="false" customHeight="false" outlineLevel="0" collapsed="false">
      <c r="A24" s="21" t="str">
        <f aca="false">IF($M24="","",19)</f>
        <v/>
      </c>
      <c r="B24" s="13" t="str">
        <f aca="false">IF($M24="","",INDEX('DỮ LIỆU'!$A$3:$A$1052,$M24))</f>
        <v/>
      </c>
      <c r="C24" s="41" t="str">
        <f aca="false">IF($M24="","",IF(INDEX('DỮ LIỆU'!$B$3:$B$1052,$M24)="","",INDEX('DỮ LIỆU'!$B$3:$B$1052,$M24)))</f>
        <v/>
      </c>
      <c r="D24" s="21" t="str">
        <f aca="false">IF($M24="","",IF(INDEX('DỮ LIỆU'!$C$3:$C$1052,$M24)="","",INDEX('DỮ LIỆU'!$C$3:$C$1052,$M24)))</f>
        <v/>
      </c>
      <c r="E24" s="21" t="str">
        <f aca="false">IF($M24="","",IF(INDEX('DỮ LIỆU'!$D$3:$D$1052,$M24)="","",INDEX('DỮ LIỆU'!$D$3:$D$1052,$M24)))</f>
        <v/>
      </c>
      <c r="F24" s="21" t="str">
        <f aca="false">IF($M24="","",IF(INDEX('DỮ LIỆU'!$H$3:$H$1052,$M24)="","",INDEX('DỮ LIỆU'!$H$3:$H$1052,$M24)))</f>
        <v/>
      </c>
      <c r="G24" s="13" t="str">
        <f aca="false">IF($M24="","",N(INDEX('DỮ LIỆU'!$I$3:$I$1052,$M24)))</f>
        <v/>
      </c>
      <c r="H24" s="13" t="str">
        <f aca="false">IF($M24="","",N(INDEX('DỮ LIỆU'!$M$3:$M$1052,$M24)))</f>
        <v/>
      </c>
      <c r="I24" s="13" t="str">
        <f aca="false">IF($M24="","",N(INDEX('DỮ LIỆU'!$N$3:$N$1052,$M24)))</f>
        <v/>
      </c>
      <c r="J24" s="13" t="str">
        <f aca="false">IF($M24="","",N(INDEX('DỮ LIỆU'!$O$3:$O$1052,$M24)))</f>
        <v/>
      </c>
      <c r="K24" s="13" t="str">
        <f aca="true">IF(OR($M24="",$C24=""),"",MAX(0,TODAY()-$C24))</f>
        <v/>
      </c>
      <c r="L24" s="21" t="str">
        <f aca="false">IF($M24="","",IF(INDEX('DỮ LIỆU'!$R$3:$R$1052,$M24)="","",INDEX('DỮ LIỆU'!$R$3:$R$1052,$M24)))</f>
        <v/>
      </c>
      <c r="M24" s="0" t="str">
        <f aca="false">IFERROR(MATCH(19,'DỮ LIỆU'!$T$3:$T$1052,0),"")</f>
        <v/>
      </c>
    </row>
    <row r="25" customFormat="false" ht="15" hidden="false" customHeight="false" outlineLevel="0" collapsed="false">
      <c r="A25" s="21" t="str">
        <f aca="false">IF($M25="","",20)</f>
        <v/>
      </c>
      <c r="B25" s="13" t="str">
        <f aca="false">IF($M25="","",INDEX('DỮ LIỆU'!$A$3:$A$1052,$M25))</f>
        <v/>
      </c>
      <c r="C25" s="41" t="str">
        <f aca="false">IF($M25="","",IF(INDEX('DỮ LIỆU'!$B$3:$B$1052,$M25)="","",INDEX('DỮ LIỆU'!$B$3:$B$1052,$M25)))</f>
        <v/>
      </c>
      <c r="D25" s="21" t="str">
        <f aca="false">IF($M25="","",IF(INDEX('DỮ LIỆU'!$C$3:$C$1052,$M25)="","",INDEX('DỮ LIỆU'!$C$3:$C$1052,$M25)))</f>
        <v/>
      </c>
      <c r="E25" s="21" t="str">
        <f aca="false">IF($M25="","",IF(INDEX('DỮ LIỆU'!$D$3:$D$1052,$M25)="","",INDEX('DỮ LIỆU'!$D$3:$D$1052,$M25)))</f>
        <v/>
      </c>
      <c r="F25" s="21" t="str">
        <f aca="false">IF($M25="","",IF(INDEX('DỮ LIỆU'!$H$3:$H$1052,$M25)="","",INDEX('DỮ LIỆU'!$H$3:$H$1052,$M25)))</f>
        <v/>
      </c>
      <c r="G25" s="13" t="str">
        <f aca="false">IF($M25="","",N(INDEX('DỮ LIỆU'!$I$3:$I$1052,$M25)))</f>
        <v/>
      </c>
      <c r="H25" s="13" t="str">
        <f aca="false">IF($M25="","",N(INDEX('DỮ LIỆU'!$M$3:$M$1052,$M25)))</f>
        <v/>
      </c>
      <c r="I25" s="13" t="str">
        <f aca="false">IF($M25="","",N(INDEX('DỮ LIỆU'!$N$3:$N$1052,$M25)))</f>
        <v/>
      </c>
      <c r="J25" s="13" t="str">
        <f aca="false">IF($M25="","",N(INDEX('DỮ LIỆU'!$O$3:$O$1052,$M25)))</f>
        <v/>
      </c>
      <c r="K25" s="13" t="str">
        <f aca="true">IF(OR($M25="",$C25=""),"",MAX(0,TODAY()-$C25))</f>
        <v/>
      </c>
      <c r="L25" s="21" t="str">
        <f aca="false">IF($M25="","",IF(INDEX('DỮ LIỆU'!$R$3:$R$1052,$M25)="","",INDEX('DỮ LIỆU'!$R$3:$R$1052,$M25)))</f>
        <v/>
      </c>
      <c r="M25" s="0" t="str">
        <f aca="false">IFERROR(MATCH(20,'DỮ LIỆU'!$T$3:$T$1052,0),"")</f>
        <v/>
      </c>
    </row>
    <row r="26" customFormat="false" ht="15" hidden="false" customHeight="false" outlineLevel="0" collapsed="false">
      <c r="A26" s="21" t="str">
        <f aca="false">IF($M26="","",21)</f>
        <v/>
      </c>
      <c r="B26" s="13" t="str">
        <f aca="false">IF($M26="","",INDEX('DỮ LIỆU'!$A$3:$A$1052,$M26))</f>
        <v/>
      </c>
      <c r="C26" s="41" t="str">
        <f aca="false">IF($M26="","",IF(INDEX('DỮ LIỆU'!$B$3:$B$1052,$M26)="","",INDEX('DỮ LIỆU'!$B$3:$B$1052,$M26)))</f>
        <v/>
      </c>
      <c r="D26" s="21" t="str">
        <f aca="false">IF($M26="","",IF(INDEX('DỮ LIỆU'!$C$3:$C$1052,$M26)="","",INDEX('DỮ LIỆU'!$C$3:$C$1052,$M26)))</f>
        <v/>
      </c>
      <c r="E26" s="21" t="str">
        <f aca="false">IF($M26="","",IF(INDEX('DỮ LIỆU'!$D$3:$D$1052,$M26)="","",INDEX('DỮ LIỆU'!$D$3:$D$1052,$M26)))</f>
        <v/>
      </c>
      <c r="F26" s="21" t="str">
        <f aca="false">IF($M26="","",IF(INDEX('DỮ LIỆU'!$H$3:$H$1052,$M26)="","",INDEX('DỮ LIỆU'!$H$3:$H$1052,$M26)))</f>
        <v/>
      </c>
      <c r="G26" s="13" t="str">
        <f aca="false">IF($M26="","",N(INDEX('DỮ LIỆU'!$I$3:$I$1052,$M26)))</f>
        <v/>
      </c>
      <c r="H26" s="13" t="str">
        <f aca="false">IF($M26="","",N(INDEX('DỮ LIỆU'!$M$3:$M$1052,$M26)))</f>
        <v/>
      </c>
      <c r="I26" s="13" t="str">
        <f aca="false">IF($M26="","",N(INDEX('DỮ LIỆU'!$N$3:$N$1052,$M26)))</f>
        <v/>
      </c>
      <c r="J26" s="13" t="str">
        <f aca="false">IF($M26="","",N(INDEX('DỮ LIỆU'!$O$3:$O$1052,$M26)))</f>
        <v/>
      </c>
      <c r="K26" s="13" t="str">
        <f aca="true">IF(OR($M26="",$C26=""),"",MAX(0,TODAY()-$C26))</f>
        <v/>
      </c>
      <c r="L26" s="21" t="str">
        <f aca="false">IF($M26="","",IF(INDEX('DỮ LIỆU'!$R$3:$R$1052,$M26)="","",INDEX('DỮ LIỆU'!$R$3:$R$1052,$M26)))</f>
        <v/>
      </c>
      <c r="M26" s="0" t="str">
        <f aca="false">IFERROR(MATCH(21,'DỮ LIỆU'!$T$3:$T$1052,0),"")</f>
        <v/>
      </c>
    </row>
    <row r="27" customFormat="false" ht="15" hidden="false" customHeight="false" outlineLevel="0" collapsed="false">
      <c r="A27" s="21" t="str">
        <f aca="false">IF($M27="","",22)</f>
        <v/>
      </c>
      <c r="B27" s="13" t="str">
        <f aca="false">IF($M27="","",INDEX('DỮ LIỆU'!$A$3:$A$1052,$M27))</f>
        <v/>
      </c>
      <c r="C27" s="41" t="str">
        <f aca="false">IF($M27="","",IF(INDEX('DỮ LIỆU'!$B$3:$B$1052,$M27)="","",INDEX('DỮ LIỆU'!$B$3:$B$1052,$M27)))</f>
        <v/>
      </c>
      <c r="D27" s="21" t="str">
        <f aca="false">IF($M27="","",IF(INDEX('DỮ LIỆU'!$C$3:$C$1052,$M27)="","",INDEX('DỮ LIỆU'!$C$3:$C$1052,$M27)))</f>
        <v/>
      </c>
      <c r="E27" s="21" t="str">
        <f aca="false">IF($M27="","",IF(INDEX('DỮ LIỆU'!$D$3:$D$1052,$M27)="","",INDEX('DỮ LIỆU'!$D$3:$D$1052,$M27)))</f>
        <v/>
      </c>
      <c r="F27" s="21" t="str">
        <f aca="false">IF($M27="","",IF(INDEX('DỮ LIỆU'!$H$3:$H$1052,$M27)="","",INDEX('DỮ LIỆU'!$H$3:$H$1052,$M27)))</f>
        <v/>
      </c>
      <c r="G27" s="13" t="str">
        <f aca="false">IF($M27="","",N(INDEX('DỮ LIỆU'!$I$3:$I$1052,$M27)))</f>
        <v/>
      </c>
      <c r="H27" s="13" t="str">
        <f aca="false">IF($M27="","",N(INDEX('DỮ LIỆU'!$M$3:$M$1052,$M27)))</f>
        <v/>
      </c>
      <c r="I27" s="13" t="str">
        <f aca="false">IF($M27="","",N(INDEX('DỮ LIỆU'!$N$3:$N$1052,$M27)))</f>
        <v/>
      </c>
      <c r="J27" s="13" t="str">
        <f aca="false">IF($M27="","",N(INDEX('DỮ LIỆU'!$O$3:$O$1052,$M27)))</f>
        <v/>
      </c>
      <c r="K27" s="13" t="str">
        <f aca="true">IF(OR($M27="",$C27=""),"",MAX(0,TODAY()-$C27))</f>
        <v/>
      </c>
      <c r="L27" s="21" t="str">
        <f aca="false">IF($M27="","",IF(INDEX('DỮ LIỆU'!$R$3:$R$1052,$M27)="","",INDEX('DỮ LIỆU'!$R$3:$R$1052,$M27)))</f>
        <v/>
      </c>
      <c r="M27" s="0" t="str">
        <f aca="false">IFERROR(MATCH(22,'DỮ LIỆU'!$T$3:$T$1052,0),"")</f>
        <v/>
      </c>
    </row>
    <row r="28" customFormat="false" ht="15" hidden="false" customHeight="false" outlineLevel="0" collapsed="false">
      <c r="A28" s="21" t="str">
        <f aca="false">IF($M28="","",23)</f>
        <v/>
      </c>
      <c r="B28" s="13" t="str">
        <f aca="false">IF($M28="","",INDEX('DỮ LIỆU'!$A$3:$A$1052,$M28))</f>
        <v/>
      </c>
      <c r="C28" s="41" t="str">
        <f aca="false">IF($M28="","",IF(INDEX('DỮ LIỆU'!$B$3:$B$1052,$M28)="","",INDEX('DỮ LIỆU'!$B$3:$B$1052,$M28)))</f>
        <v/>
      </c>
      <c r="D28" s="21" t="str">
        <f aca="false">IF($M28="","",IF(INDEX('DỮ LIỆU'!$C$3:$C$1052,$M28)="","",INDEX('DỮ LIỆU'!$C$3:$C$1052,$M28)))</f>
        <v/>
      </c>
      <c r="E28" s="21" t="str">
        <f aca="false">IF($M28="","",IF(INDEX('DỮ LIỆU'!$D$3:$D$1052,$M28)="","",INDEX('DỮ LIỆU'!$D$3:$D$1052,$M28)))</f>
        <v/>
      </c>
      <c r="F28" s="21" t="str">
        <f aca="false">IF($M28="","",IF(INDEX('DỮ LIỆU'!$H$3:$H$1052,$M28)="","",INDEX('DỮ LIỆU'!$H$3:$H$1052,$M28)))</f>
        <v/>
      </c>
      <c r="G28" s="13" t="str">
        <f aca="false">IF($M28="","",N(INDEX('DỮ LIỆU'!$I$3:$I$1052,$M28)))</f>
        <v/>
      </c>
      <c r="H28" s="13" t="str">
        <f aca="false">IF($M28="","",N(INDEX('DỮ LIỆU'!$M$3:$M$1052,$M28)))</f>
        <v/>
      </c>
      <c r="I28" s="13" t="str">
        <f aca="false">IF($M28="","",N(INDEX('DỮ LIỆU'!$N$3:$N$1052,$M28)))</f>
        <v/>
      </c>
      <c r="J28" s="13" t="str">
        <f aca="false">IF($M28="","",N(INDEX('DỮ LIỆU'!$O$3:$O$1052,$M28)))</f>
        <v/>
      </c>
      <c r="K28" s="13" t="str">
        <f aca="true">IF(OR($M28="",$C28=""),"",MAX(0,TODAY()-$C28))</f>
        <v/>
      </c>
      <c r="L28" s="21" t="str">
        <f aca="false">IF($M28="","",IF(INDEX('DỮ LIỆU'!$R$3:$R$1052,$M28)="","",INDEX('DỮ LIỆU'!$R$3:$R$1052,$M28)))</f>
        <v/>
      </c>
      <c r="M28" s="0" t="str">
        <f aca="false">IFERROR(MATCH(23,'DỮ LIỆU'!$T$3:$T$1052,0),"")</f>
        <v/>
      </c>
    </row>
    <row r="29" customFormat="false" ht="15" hidden="false" customHeight="false" outlineLevel="0" collapsed="false">
      <c r="A29" s="21" t="str">
        <f aca="false">IF($M29="","",24)</f>
        <v/>
      </c>
      <c r="B29" s="13" t="str">
        <f aca="false">IF($M29="","",INDEX('DỮ LIỆU'!$A$3:$A$1052,$M29))</f>
        <v/>
      </c>
      <c r="C29" s="41" t="str">
        <f aca="false">IF($M29="","",IF(INDEX('DỮ LIỆU'!$B$3:$B$1052,$M29)="","",INDEX('DỮ LIỆU'!$B$3:$B$1052,$M29)))</f>
        <v/>
      </c>
      <c r="D29" s="21" t="str">
        <f aca="false">IF($M29="","",IF(INDEX('DỮ LIỆU'!$C$3:$C$1052,$M29)="","",INDEX('DỮ LIỆU'!$C$3:$C$1052,$M29)))</f>
        <v/>
      </c>
      <c r="E29" s="21" t="str">
        <f aca="false">IF($M29="","",IF(INDEX('DỮ LIỆU'!$D$3:$D$1052,$M29)="","",INDEX('DỮ LIỆU'!$D$3:$D$1052,$M29)))</f>
        <v/>
      </c>
      <c r="F29" s="21" t="str">
        <f aca="false">IF($M29="","",IF(INDEX('DỮ LIỆU'!$H$3:$H$1052,$M29)="","",INDEX('DỮ LIỆU'!$H$3:$H$1052,$M29)))</f>
        <v/>
      </c>
      <c r="G29" s="13" t="str">
        <f aca="false">IF($M29="","",N(INDEX('DỮ LIỆU'!$I$3:$I$1052,$M29)))</f>
        <v/>
      </c>
      <c r="H29" s="13" t="str">
        <f aca="false">IF($M29="","",N(INDEX('DỮ LIỆU'!$M$3:$M$1052,$M29)))</f>
        <v/>
      </c>
      <c r="I29" s="13" t="str">
        <f aca="false">IF($M29="","",N(INDEX('DỮ LIỆU'!$N$3:$N$1052,$M29)))</f>
        <v/>
      </c>
      <c r="J29" s="13" t="str">
        <f aca="false">IF($M29="","",N(INDEX('DỮ LIỆU'!$O$3:$O$1052,$M29)))</f>
        <v/>
      </c>
      <c r="K29" s="13" t="str">
        <f aca="true">IF(OR($M29="",$C29=""),"",MAX(0,TODAY()-$C29))</f>
        <v/>
      </c>
      <c r="L29" s="21" t="str">
        <f aca="false">IF($M29="","",IF(INDEX('DỮ LIỆU'!$R$3:$R$1052,$M29)="","",INDEX('DỮ LIỆU'!$R$3:$R$1052,$M29)))</f>
        <v/>
      </c>
      <c r="M29" s="0" t="str">
        <f aca="false">IFERROR(MATCH(24,'DỮ LIỆU'!$T$3:$T$1052,0),"")</f>
        <v/>
      </c>
    </row>
    <row r="30" customFormat="false" ht="15" hidden="false" customHeight="false" outlineLevel="0" collapsed="false">
      <c r="A30" s="21" t="str">
        <f aca="false">IF($M30="","",25)</f>
        <v/>
      </c>
      <c r="B30" s="13" t="str">
        <f aca="false">IF($M30="","",INDEX('DỮ LIỆU'!$A$3:$A$1052,$M30))</f>
        <v/>
      </c>
      <c r="C30" s="41" t="str">
        <f aca="false">IF($M30="","",IF(INDEX('DỮ LIỆU'!$B$3:$B$1052,$M30)="","",INDEX('DỮ LIỆU'!$B$3:$B$1052,$M30)))</f>
        <v/>
      </c>
      <c r="D30" s="21" t="str">
        <f aca="false">IF($M30="","",IF(INDEX('DỮ LIỆU'!$C$3:$C$1052,$M30)="","",INDEX('DỮ LIỆU'!$C$3:$C$1052,$M30)))</f>
        <v/>
      </c>
      <c r="E30" s="21" t="str">
        <f aca="false">IF($M30="","",IF(INDEX('DỮ LIỆU'!$D$3:$D$1052,$M30)="","",INDEX('DỮ LIỆU'!$D$3:$D$1052,$M30)))</f>
        <v/>
      </c>
      <c r="F30" s="21" t="str">
        <f aca="false">IF($M30="","",IF(INDEX('DỮ LIỆU'!$H$3:$H$1052,$M30)="","",INDEX('DỮ LIỆU'!$H$3:$H$1052,$M30)))</f>
        <v/>
      </c>
      <c r="G30" s="13" t="str">
        <f aca="false">IF($M30="","",N(INDEX('DỮ LIỆU'!$I$3:$I$1052,$M30)))</f>
        <v/>
      </c>
      <c r="H30" s="13" t="str">
        <f aca="false">IF($M30="","",N(INDEX('DỮ LIỆU'!$M$3:$M$1052,$M30)))</f>
        <v/>
      </c>
      <c r="I30" s="13" t="str">
        <f aca="false">IF($M30="","",N(INDEX('DỮ LIỆU'!$N$3:$N$1052,$M30)))</f>
        <v/>
      </c>
      <c r="J30" s="13" t="str">
        <f aca="false">IF($M30="","",N(INDEX('DỮ LIỆU'!$O$3:$O$1052,$M30)))</f>
        <v/>
      </c>
      <c r="K30" s="13" t="str">
        <f aca="true">IF(OR($M30="",$C30=""),"",MAX(0,TODAY()-$C30))</f>
        <v/>
      </c>
      <c r="L30" s="21" t="str">
        <f aca="false">IF($M30="","",IF(INDEX('DỮ LIỆU'!$R$3:$R$1052,$M30)="","",INDEX('DỮ LIỆU'!$R$3:$R$1052,$M30)))</f>
        <v/>
      </c>
      <c r="M30" s="0" t="str">
        <f aca="false">IFERROR(MATCH(25,'DỮ LIỆU'!$T$3:$T$1052,0),"")</f>
        <v/>
      </c>
    </row>
    <row r="31" customFormat="false" ht="15" hidden="false" customHeight="false" outlineLevel="0" collapsed="false">
      <c r="A31" s="21" t="str">
        <f aca="false">IF($M31="","",26)</f>
        <v/>
      </c>
      <c r="B31" s="13" t="str">
        <f aca="false">IF($M31="","",INDEX('DỮ LIỆU'!$A$3:$A$1052,$M31))</f>
        <v/>
      </c>
      <c r="C31" s="41" t="str">
        <f aca="false">IF($M31="","",IF(INDEX('DỮ LIỆU'!$B$3:$B$1052,$M31)="","",INDEX('DỮ LIỆU'!$B$3:$B$1052,$M31)))</f>
        <v/>
      </c>
      <c r="D31" s="21" t="str">
        <f aca="false">IF($M31="","",IF(INDEX('DỮ LIỆU'!$C$3:$C$1052,$M31)="","",INDEX('DỮ LIỆU'!$C$3:$C$1052,$M31)))</f>
        <v/>
      </c>
      <c r="E31" s="21" t="str">
        <f aca="false">IF($M31="","",IF(INDEX('DỮ LIỆU'!$D$3:$D$1052,$M31)="","",INDEX('DỮ LIỆU'!$D$3:$D$1052,$M31)))</f>
        <v/>
      </c>
      <c r="F31" s="21" t="str">
        <f aca="false">IF($M31="","",IF(INDEX('DỮ LIỆU'!$H$3:$H$1052,$M31)="","",INDEX('DỮ LIỆU'!$H$3:$H$1052,$M31)))</f>
        <v/>
      </c>
      <c r="G31" s="13" t="str">
        <f aca="false">IF($M31="","",N(INDEX('DỮ LIỆU'!$I$3:$I$1052,$M31)))</f>
        <v/>
      </c>
      <c r="H31" s="13" t="str">
        <f aca="false">IF($M31="","",N(INDEX('DỮ LIỆU'!$M$3:$M$1052,$M31)))</f>
        <v/>
      </c>
      <c r="I31" s="13" t="str">
        <f aca="false">IF($M31="","",N(INDEX('DỮ LIỆU'!$N$3:$N$1052,$M31)))</f>
        <v/>
      </c>
      <c r="J31" s="13" t="str">
        <f aca="false">IF($M31="","",N(INDEX('DỮ LIỆU'!$O$3:$O$1052,$M31)))</f>
        <v/>
      </c>
      <c r="K31" s="13" t="str">
        <f aca="true">IF(OR($M31="",$C31=""),"",MAX(0,TODAY()-$C31))</f>
        <v/>
      </c>
      <c r="L31" s="21" t="str">
        <f aca="false">IF($M31="","",IF(INDEX('DỮ LIỆU'!$R$3:$R$1052,$M31)="","",INDEX('DỮ LIỆU'!$R$3:$R$1052,$M31)))</f>
        <v/>
      </c>
      <c r="M31" s="0" t="str">
        <f aca="false">IFERROR(MATCH(26,'DỮ LIỆU'!$T$3:$T$1052,0),"")</f>
        <v/>
      </c>
    </row>
    <row r="32" customFormat="false" ht="15" hidden="false" customHeight="false" outlineLevel="0" collapsed="false">
      <c r="A32" s="21" t="str">
        <f aca="false">IF($M32="","",27)</f>
        <v/>
      </c>
      <c r="B32" s="13" t="str">
        <f aca="false">IF($M32="","",INDEX('DỮ LIỆU'!$A$3:$A$1052,$M32))</f>
        <v/>
      </c>
      <c r="C32" s="41" t="str">
        <f aca="false">IF($M32="","",IF(INDEX('DỮ LIỆU'!$B$3:$B$1052,$M32)="","",INDEX('DỮ LIỆU'!$B$3:$B$1052,$M32)))</f>
        <v/>
      </c>
      <c r="D32" s="21" t="str">
        <f aca="false">IF($M32="","",IF(INDEX('DỮ LIỆU'!$C$3:$C$1052,$M32)="","",INDEX('DỮ LIỆU'!$C$3:$C$1052,$M32)))</f>
        <v/>
      </c>
      <c r="E32" s="21" t="str">
        <f aca="false">IF($M32="","",IF(INDEX('DỮ LIỆU'!$D$3:$D$1052,$M32)="","",INDEX('DỮ LIỆU'!$D$3:$D$1052,$M32)))</f>
        <v/>
      </c>
      <c r="F32" s="21" t="str">
        <f aca="false">IF($M32="","",IF(INDEX('DỮ LIỆU'!$H$3:$H$1052,$M32)="","",INDEX('DỮ LIỆU'!$H$3:$H$1052,$M32)))</f>
        <v/>
      </c>
      <c r="G32" s="13" t="str">
        <f aca="false">IF($M32="","",N(INDEX('DỮ LIỆU'!$I$3:$I$1052,$M32)))</f>
        <v/>
      </c>
      <c r="H32" s="13" t="str">
        <f aca="false">IF($M32="","",N(INDEX('DỮ LIỆU'!$M$3:$M$1052,$M32)))</f>
        <v/>
      </c>
      <c r="I32" s="13" t="str">
        <f aca="false">IF($M32="","",N(INDEX('DỮ LIỆU'!$N$3:$N$1052,$M32)))</f>
        <v/>
      </c>
      <c r="J32" s="13" t="str">
        <f aca="false">IF($M32="","",N(INDEX('DỮ LIỆU'!$O$3:$O$1052,$M32)))</f>
        <v/>
      </c>
      <c r="K32" s="13" t="str">
        <f aca="true">IF(OR($M32="",$C32=""),"",MAX(0,TODAY()-$C32))</f>
        <v/>
      </c>
      <c r="L32" s="21" t="str">
        <f aca="false">IF($M32="","",IF(INDEX('DỮ LIỆU'!$R$3:$R$1052,$M32)="","",INDEX('DỮ LIỆU'!$R$3:$R$1052,$M32)))</f>
        <v/>
      </c>
      <c r="M32" s="0" t="str">
        <f aca="false">IFERROR(MATCH(27,'DỮ LIỆU'!$T$3:$T$1052,0),"")</f>
        <v/>
      </c>
    </row>
    <row r="33" customFormat="false" ht="15" hidden="false" customHeight="false" outlineLevel="0" collapsed="false">
      <c r="A33" s="21" t="str">
        <f aca="false">IF($M33="","",28)</f>
        <v/>
      </c>
      <c r="B33" s="13" t="str">
        <f aca="false">IF($M33="","",INDEX('DỮ LIỆU'!$A$3:$A$1052,$M33))</f>
        <v/>
      </c>
      <c r="C33" s="41" t="str">
        <f aca="false">IF($M33="","",IF(INDEX('DỮ LIỆU'!$B$3:$B$1052,$M33)="","",INDEX('DỮ LIỆU'!$B$3:$B$1052,$M33)))</f>
        <v/>
      </c>
      <c r="D33" s="21" t="str">
        <f aca="false">IF($M33="","",IF(INDEX('DỮ LIỆU'!$C$3:$C$1052,$M33)="","",INDEX('DỮ LIỆU'!$C$3:$C$1052,$M33)))</f>
        <v/>
      </c>
      <c r="E33" s="21" t="str">
        <f aca="false">IF($M33="","",IF(INDEX('DỮ LIỆU'!$D$3:$D$1052,$M33)="","",INDEX('DỮ LIỆU'!$D$3:$D$1052,$M33)))</f>
        <v/>
      </c>
      <c r="F33" s="21" t="str">
        <f aca="false">IF($M33="","",IF(INDEX('DỮ LIỆU'!$H$3:$H$1052,$M33)="","",INDEX('DỮ LIỆU'!$H$3:$H$1052,$M33)))</f>
        <v/>
      </c>
      <c r="G33" s="13" t="str">
        <f aca="false">IF($M33="","",N(INDEX('DỮ LIỆU'!$I$3:$I$1052,$M33)))</f>
        <v/>
      </c>
      <c r="H33" s="13" t="str">
        <f aca="false">IF($M33="","",N(INDEX('DỮ LIỆU'!$M$3:$M$1052,$M33)))</f>
        <v/>
      </c>
      <c r="I33" s="13" t="str">
        <f aca="false">IF($M33="","",N(INDEX('DỮ LIỆU'!$N$3:$N$1052,$M33)))</f>
        <v/>
      </c>
      <c r="J33" s="13" t="str">
        <f aca="false">IF($M33="","",N(INDEX('DỮ LIỆU'!$O$3:$O$1052,$M33)))</f>
        <v/>
      </c>
      <c r="K33" s="13" t="str">
        <f aca="true">IF(OR($M33="",$C33=""),"",MAX(0,TODAY()-$C33))</f>
        <v/>
      </c>
      <c r="L33" s="21" t="str">
        <f aca="false">IF($M33="","",IF(INDEX('DỮ LIỆU'!$R$3:$R$1052,$M33)="","",INDEX('DỮ LIỆU'!$R$3:$R$1052,$M33)))</f>
        <v/>
      </c>
      <c r="M33" s="0" t="str">
        <f aca="false">IFERROR(MATCH(28,'DỮ LIỆU'!$T$3:$T$1052,0),"")</f>
        <v/>
      </c>
    </row>
    <row r="34" customFormat="false" ht="15" hidden="false" customHeight="false" outlineLevel="0" collapsed="false">
      <c r="A34" s="21" t="str">
        <f aca="false">IF($M34="","",29)</f>
        <v/>
      </c>
      <c r="B34" s="13" t="str">
        <f aca="false">IF($M34="","",INDEX('DỮ LIỆU'!$A$3:$A$1052,$M34))</f>
        <v/>
      </c>
      <c r="C34" s="41" t="str">
        <f aca="false">IF($M34="","",IF(INDEX('DỮ LIỆU'!$B$3:$B$1052,$M34)="","",INDEX('DỮ LIỆU'!$B$3:$B$1052,$M34)))</f>
        <v/>
      </c>
      <c r="D34" s="21" t="str">
        <f aca="false">IF($M34="","",IF(INDEX('DỮ LIỆU'!$C$3:$C$1052,$M34)="","",INDEX('DỮ LIỆU'!$C$3:$C$1052,$M34)))</f>
        <v/>
      </c>
      <c r="E34" s="21" t="str">
        <f aca="false">IF($M34="","",IF(INDEX('DỮ LIỆU'!$D$3:$D$1052,$M34)="","",INDEX('DỮ LIỆU'!$D$3:$D$1052,$M34)))</f>
        <v/>
      </c>
      <c r="F34" s="21" t="str">
        <f aca="false">IF($M34="","",IF(INDEX('DỮ LIỆU'!$H$3:$H$1052,$M34)="","",INDEX('DỮ LIỆU'!$H$3:$H$1052,$M34)))</f>
        <v/>
      </c>
      <c r="G34" s="13" t="str">
        <f aca="false">IF($M34="","",N(INDEX('DỮ LIỆU'!$I$3:$I$1052,$M34)))</f>
        <v/>
      </c>
      <c r="H34" s="13" t="str">
        <f aca="false">IF($M34="","",N(INDEX('DỮ LIỆU'!$M$3:$M$1052,$M34)))</f>
        <v/>
      </c>
      <c r="I34" s="13" t="str">
        <f aca="false">IF($M34="","",N(INDEX('DỮ LIỆU'!$N$3:$N$1052,$M34)))</f>
        <v/>
      </c>
      <c r="J34" s="13" t="str">
        <f aca="false">IF($M34="","",N(INDEX('DỮ LIỆU'!$O$3:$O$1052,$M34)))</f>
        <v/>
      </c>
      <c r="K34" s="13" t="str">
        <f aca="true">IF(OR($M34="",$C34=""),"",MAX(0,TODAY()-$C34))</f>
        <v/>
      </c>
      <c r="L34" s="21" t="str">
        <f aca="false">IF($M34="","",IF(INDEX('DỮ LIỆU'!$R$3:$R$1052,$M34)="","",INDEX('DỮ LIỆU'!$R$3:$R$1052,$M34)))</f>
        <v/>
      </c>
      <c r="M34" s="0" t="str">
        <f aca="false">IFERROR(MATCH(29,'DỮ LIỆU'!$T$3:$T$1052,0),"")</f>
        <v/>
      </c>
    </row>
    <row r="35" customFormat="false" ht="15" hidden="false" customHeight="false" outlineLevel="0" collapsed="false">
      <c r="A35" s="21" t="str">
        <f aca="false">IF($M35="","",30)</f>
        <v/>
      </c>
      <c r="B35" s="13" t="str">
        <f aca="false">IF($M35="","",INDEX('DỮ LIỆU'!$A$3:$A$1052,$M35))</f>
        <v/>
      </c>
      <c r="C35" s="41" t="str">
        <f aca="false">IF($M35="","",IF(INDEX('DỮ LIỆU'!$B$3:$B$1052,$M35)="","",INDEX('DỮ LIỆU'!$B$3:$B$1052,$M35)))</f>
        <v/>
      </c>
      <c r="D35" s="21" t="str">
        <f aca="false">IF($M35="","",IF(INDEX('DỮ LIỆU'!$C$3:$C$1052,$M35)="","",INDEX('DỮ LIỆU'!$C$3:$C$1052,$M35)))</f>
        <v/>
      </c>
      <c r="E35" s="21" t="str">
        <f aca="false">IF($M35="","",IF(INDEX('DỮ LIỆU'!$D$3:$D$1052,$M35)="","",INDEX('DỮ LIỆU'!$D$3:$D$1052,$M35)))</f>
        <v/>
      </c>
      <c r="F35" s="21" t="str">
        <f aca="false">IF($M35="","",IF(INDEX('DỮ LIỆU'!$H$3:$H$1052,$M35)="","",INDEX('DỮ LIỆU'!$H$3:$H$1052,$M35)))</f>
        <v/>
      </c>
      <c r="G35" s="13" t="str">
        <f aca="false">IF($M35="","",N(INDEX('DỮ LIỆU'!$I$3:$I$1052,$M35)))</f>
        <v/>
      </c>
      <c r="H35" s="13" t="str">
        <f aca="false">IF($M35="","",N(INDEX('DỮ LIỆU'!$M$3:$M$1052,$M35)))</f>
        <v/>
      </c>
      <c r="I35" s="13" t="str">
        <f aca="false">IF($M35="","",N(INDEX('DỮ LIỆU'!$N$3:$N$1052,$M35)))</f>
        <v/>
      </c>
      <c r="J35" s="13" t="str">
        <f aca="false">IF($M35="","",N(INDEX('DỮ LIỆU'!$O$3:$O$1052,$M35)))</f>
        <v/>
      </c>
      <c r="K35" s="13" t="str">
        <f aca="true">IF(OR($M35="",$C35=""),"",MAX(0,TODAY()-$C35))</f>
        <v/>
      </c>
      <c r="L35" s="21" t="str">
        <f aca="false">IF($M35="","",IF(INDEX('DỮ LIỆU'!$R$3:$R$1052,$M35)="","",INDEX('DỮ LIỆU'!$R$3:$R$1052,$M35)))</f>
        <v/>
      </c>
      <c r="M35" s="0" t="str">
        <f aca="false">IFERROR(MATCH(30,'DỮ LIỆU'!$T$3:$T$1052,0),"")</f>
        <v/>
      </c>
    </row>
    <row r="36" customFormat="false" ht="15" hidden="false" customHeight="false" outlineLevel="0" collapsed="false">
      <c r="A36" s="21" t="str">
        <f aca="false">IF($M36="","",31)</f>
        <v/>
      </c>
      <c r="B36" s="13" t="str">
        <f aca="false">IF($M36="","",INDEX('DỮ LIỆU'!$A$3:$A$1052,$M36))</f>
        <v/>
      </c>
      <c r="C36" s="41" t="str">
        <f aca="false">IF($M36="","",IF(INDEX('DỮ LIỆU'!$B$3:$B$1052,$M36)="","",INDEX('DỮ LIỆU'!$B$3:$B$1052,$M36)))</f>
        <v/>
      </c>
      <c r="D36" s="21" t="str">
        <f aca="false">IF($M36="","",IF(INDEX('DỮ LIỆU'!$C$3:$C$1052,$M36)="","",INDEX('DỮ LIỆU'!$C$3:$C$1052,$M36)))</f>
        <v/>
      </c>
      <c r="E36" s="21" t="str">
        <f aca="false">IF($M36="","",IF(INDEX('DỮ LIỆU'!$D$3:$D$1052,$M36)="","",INDEX('DỮ LIỆU'!$D$3:$D$1052,$M36)))</f>
        <v/>
      </c>
      <c r="F36" s="21" t="str">
        <f aca="false">IF($M36="","",IF(INDEX('DỮ LIỆU'!$H$3:$H$1052,$M36)="","",INDEX('DỮ LIỆU'!$H$3:$H$1052,$M36)))</f>
        <v/>
      </c>
      <c r="G36" s="13" t="str">
        <f aca="false">IF($M36="","",N(INDEX('DỮ LIỆU'!$I$3:$I$1052,$M36)))</f>
        <v/>
      </c>
      <c r="H36" s="13" t="str">
        <f aca="false">IF($M36="","",N(INDEX('DỮ LIỆU'!$M$3:$M$1052,$M36)))</f>
        <v/>
      </c>
      <c r="I36" s="13" t="str">
        <f aca="false">IF($M36="","",N(INDEX('DỮ LIỆU'!$N$3:$N$1052,$M36)))</f>
        <v/>
      </c>
      <c r="J36" s="13" t="str">
        <f aca="false">IF($M36="","",N(INDEX('DỮ LIỆU'!$O$3:$O$1052,$M36)))</f>
        <v/>
      </c>
      <c r="K36" s="13" t="str">
        <f aca="true">IF(OR($M36="",$C36=""),"",MAX(0,TODAY()-$C36))</f>
        <v/>
      </c>
      <c r="L36" s="21" t="str">
        <f aca="false">IF($M36="","",IF(INDEX('DỮ LIỆU'!$R$3:$R$1052,$M36)="","",INDEX('DỮ LIỆU'!$R$3:$R$1052,$M36)))</f>
        <v/>
      </c>
      <c r="M36" s="0" t="str">
        <f aca="false">IFERROR(MATCH(31,'DỮ LIỆU'!$T$3:$T$1052,0),"")</f>
        <v/>
      </c>
    </row>
    <row r="37" customFormat="false" ht="15" hidden="false" customHeight="false" outlineLevel="0" collapsed="false">
      <c r="A37" s="21" t="str">
        <f aca="false">IF($M37="","",32)</f>
        <v/>
      </c>
      <c r="B37" s="13" t="str">
        <f aca="false">IF($M37="","",INDEX('DỮ LIỆU'!$A$3:$A$1052,$M37))</f>
        <v/>
      </c>
      <c r="C37" s="41" t="str">
        <f aca="false">IF($M37="","",IF(INDEX('DỮ LIỆU'!$B$3:$B$1052,$M37)="","",INDEX('DỮ LIỆU'!$B$3:$B$1052,$M37)))</f>
        <v/>
      </c>
      <c r="D37" s="21" t="str">
        <f aca="false">IF($M37="","",IF(INDEX('DỮ LIỆU'!$C$3:$C$1052,$M37)="","",INDEX('DỮ LIỆU'!$C$3:$C$1052,$M37)))</f>
        <v/>
      </c>
      <c r="E37" s="21" t="str">
        <f aca="false">IF($M37="","",IF(INDEX('DỮ LIỆU'!$D$3:$D$1052,$M37)="","",INDEX('DỮ LIỆU'!$D$3:$D$1052,$M37)))</f>
        <v/>
      </c>
      <c r="F37" s="21" t="str">
        <f aca="false">IF($M37="","",IF(INDEX('DỮ LIỆU'!$H$3:$H$1052,$M37)="","",INDEX('DỮ LIỆU'!$H$3:$H$1052,$M37)))</f>
        <v/>
      </c>
      <c r="G37" s="13" t="str">
        <f aca="false">IF($M37="","",N(INDEX('DỮ LIỆU'!$I$3:$I$1052,$M37)))</f>
        <v/>
      </c>
      <c r="H37" s="13" t="str">
        <f aca="false">IF($M37="","",N(INDEX('DỮ LIỆU'!$M$3:$M$1052,$M37)))</f>
        <v/>
      </c>
      <c r="I37" s="13" t="str">
        <f aca="false">IF($M37="","",N(INDEX('DỮ LIỆU'!$N$3:$N$1052,$M37)))</f>
        <v/>
      </c>
      <c r="J37" s="13" t="str">
        <f aca="false">IF($M37="","",N(INDEX('DỮ LIỆU'!$O$3:$O$1052,$M37)))</f>
        <v/>
      </c>
      <c r="K37" s="13" t="str">
        <f aca="true">IF(OR($M37="",$C37=""),"",MAX(0,TODAY()-$C37))</f>
        <v/>
      </c>
      <c r="L37" s="21" t="str">
        <f aca="false">IF($M37="","",IF(INDEX('DỮ LIỆU'!$R$3:$R$1052,$M37)="","",INDEX('DỮ LIỆU'!$R$3:$R$1052,$M37)))</f>
        <v/>
      </c>
      <c r="M37" s="0" t="str">
        <f aca="false">IFERROR(MATCH(32,'DỮ LIỆU'!$T$3:$T$1052,0),"")</f>
        <v/>
      </c>
    </row>
    <row r="38" customFormat="false" ht="15" hidden="false" customHeight="false" outlineLevel="0" collapsed="false">
      <c r="A38" s="21" t="str">
        <f aca="false">IF($M38="","",33)</f>
        <v/>
      </c>
      <c r="B38" s="13" t="str">
        <f aca="false">IF($M38="","",INDEX('DỮ LIỆU'!$A$3:$A$1052,$M38))</f>
        <v/>
      </c>
      <c r="C38" s="41" t="str">
        <f aca="false">IF($M38="","",IF(INDEX('DỮ LIỆU'!$B$3:$B$1052,$M38)="","",INDEX('DỮ LIỆU'!$B$3:$B$1052,$M38)))</f>
        <v/>
      </c>
      <c r="D38" s="21" t="str">
        <f aca="false">IF($M38="","",IF(INDEX('DỮ LIỆU'!$C$3:$C$1052,$M38)="","",INDEX('DỮ LIỆU'!$C$3:$C$1052,$M38)))</f>
        <v/>
      </c>
      <c r="E38" s="21" t="str">
        <f aca="false">IF($M38="","",IF(INDEX('DỮ LIỆU'!$D$3:$D$1052,$M38)="","",INDEX('DỮ LIỆU'!$D$3:$D$1052,$M38)))</f>
        <v/>
      </c>
      <c r="F38" s="21" t="str">
        <f aca="false">IF($M38="","",IF(INDEX('DỮ LIỆU'!$H$3:$H$1052,$M38)="","",INDEX('DỮ LIỆU'!$H$3:$H$1052,$M38)))</f>
        <v/>
      </c>
      <c r="G38" s="13" t="str">
        <f aca="false">IF($M38="","",N(INDEX('DỮ LIỆU'!$I$3:$I$1052,$M38)))</f>
        <v/>
      </c>
      <c r="H38" s="13" t="str">
        <f aca="false">IF($M38="","",N(INDEX('DỮ LIỆU'!$M$3:$M$1052,$M38)))</f>
        <v/>
      </c>
      <c r="I38" s="13" t="str">
        <f aca="false">IF($M38="","",N(INDEX('DỮ LIỆU'!$N$3:$N$1052,$M38)))</f>
        <v/>
      </c>
      <c r="J38" s="13" t="str">
        <f aca="false">IF($M38="","",N(INDEX('DỮ LIỆU'!$O$3:$O$1052,$M38)))</f>
        <v/>
      </c>
      <c r="K38" s="13" t="str">
        <f aca="true">IF(OR($M38="",$C38=""),"",MAX(0,TODAY()-$C38))</f>
        <v/>
      </c>
      <c r="L38" s="21" t="str">
        <f aca="false">IF($M38="","",IF(INDEX('DỮ LIỆU'!$R$3:$R$1052,$M38)="","",INDEX('DỮ LIỆU'!$R$3:$R$1052,$M38)))</f>
        <v/>
      </c>
      <c r="M38" s="0" t="str">
        <f aca="false">IFERROR(MATCH(33,'DỮ LIỆU'!$T$3:$T$1052,0),"")</f>
        <v/>
      </c>
    </row>
    <row r="39" customFormat="false" ht="15" hidden="false" customHeight="false" outlineLevel="0" collapsed="false">
      <c r="A39" s="21" t="str">
        <f aca="false">IF($M39="","",34)</f>
        <v/>
      </c>
      <c r="B39" s="13" t="str">
        <f aca="false">IF($M39="","",INDEX('DỮ LIỆU'!$A$3:$A$1052,$M39))</f>
        <v/>
      </c>
      <c r="C39" s="41" t="str">
        <f aca="false">IF($M39="","",IF(INDEX('DỮ LIỆU'!$B$3:$B$1052,$M39)="","",INDEX('DỮ LIỆU'!$B$3:$B$1052,$M39)))</f>
        <v/>
      </c>
      <c r="D39" s="21" t="str">
        <f aca="false">IF($M39="","",IF(INDEX('DỮ LIỆU'!$C$3:$C$1052,$M39)="","",INDEX('DỮ LIỆU'!$C$3:$C$1052,$M39)))</f>
        <v/>
      </c>
      <c r="E39" s="21" t="str">
        <f aca="false">IF($M39="","",IF(INDEX('DỮ LIỆU'!$D$3:$D$1052,$M39)="","",INDEX('DỮ LIỆU'!$D$3:$D$1052,$M39)))</f>
        <v/>
      </c>
      <c r="F39" s="21" t="str">
        <f aca="false">IF($M39="","",IF(INDEX('DỮ LIỆU'!$H$3:$H$1052,$M39)="","",INDEX('DỮ LIỆU'!$H$3:$H$1052,$M39)))</f>
        <v/>
      </c>
      <c r="G39" s="13" t="str">
        <f aca="false">IF($M39="","",N(INDEX('DỮ LIỆU'!$I$3:$I$1052,$M39)))</f>
        <v/>
      </c>
      <c r="H39" s="13" t="str">
        <f aca="false">IF($M39="","",N(INDEX('DỮ LIỆU'!$M$3:$M$1052,$M39)))</f>
        <v/>
      </c>
      <c r="I39" s="13" t="str">
        <f aca="false">IF($M39="","",N(INDEX('DỮ LIỆU'!$N$3:$N$1052,$M39)))</f>
        <v/>
      </c>
      <c r="J39" s="13" t="str">
        <f aca="false">IF($M39="","",N(INDEX('DỮ LIỆU'!$O$3:$O$1052,$M39)))</f>
        <v/>
      </c>
      <c r="K39" s="13" t="str">
        <f aca="true">IF(OR($M39="",$C39=""),"",MAX(0,TODAY()-$C39))</f>
        <v/>
      </c>
      <c r="L39" s="21" t="str">
        <f aca="false">IF($M39="","",IF(INDEX('DỮ LIỆU'!$R$3:$R$1052,$M39)="","",INDEX('DỮ LIỆU'!$R$3:$R$1052,$M39)))</f>
        <v/>
      </c>
      <c r="M39" s="0" t="str">
        <f aca="false">IFERROR(MATCH(34,'DỮ LIỆU'!$T$3:$T$1052,0),"")</f>
        <v/>
      </c>
    </row>
    <row r="40" customFormat="false" ht="15" hidden="false" customHeight="false" outlineLevel="0" collapsed="false">
      <c r="A40" s="21" t="str">
        <f aca="false">IF($M40="","",35)</f>
        <v/>
      </c>
      <c r="B40" s="13" t="str">
        <f aca="false">IF($M40="","",INDEX('DỮ LIỆU'!$A$3:$A$1052,$M40))</f>
        <v/>
      </c>
      <c r="C40" s="41" t="str">
        <f aca="false">IF($M40="","",IF(INDEX('DỮ LIỆU'!$B$3:$B$1052,$M40)="","",INDEX('DỮ LIỆU'!$B$3:$B$1052,$M40)))</f>
        <v/>
      </c>
      <c r="D40" s="21" t="str">
        <f aca="false">IF($M40="","",IF(INDEX('DỮ LIỆU'!$C$3:$C$1052,$M40)="","",INDEX('DỮ LIỆU'!$C$3:$C$1052,$M40)))</f>
        <v/>
      </c>
      <c r="E40" s="21" t="str">
        <f aca="false">IF($M40="","",IF(INDEX('DỮ LIỆU'!$D$3:$D$1052,$M40)="","",INDEX('DỮ LIỆU'!$D$3:$D$1052,$M40)))</f>
        <v/>
      </c>
      <c r="F40" s="21" t="str">
        <f aca="false">IF($M40="","",IF(INDEX('DỮ LIỆU'!$H$3:$H$1052,$M40)="","",INDEX('DỮ LIỆU'!$H$3:$H$1052,$M40)))</f>
        <v/>
      </c>
      <c r="G40" s="13" t="str">
        <f aca="false">IF($M40="","",N(INDEX('DỮ LIỆU'!$I$3:$I$1052,$M40)))</f>
        <v/>
      </c>
      <c r="H40" s="13" t="str">
        <f aca="false">IF($M40="","",N(INDEX('DỮ LIỆU'!$M$3:$M$1052,$M40)))</f>
        <v/>
      </c>
      <c r="I40" s="13" t="str">
        <f aca="false">IF($M40="","",N(INDEX('DỮ LIỆU'!$N$3:$N$1052,$M40)))</f>
        <v/>
      </c>
      <c r="J40" s="13" t="str">
        <f aca="false">IF($M40="","",N(INDEX('DỮ LIỆU'!$O$3:$O$1052,$M40)))</f>
        <v/>
      </c>
      <c r="K40" s="13" t="str">
        <f aca="true">IF(OR($M40="",$C40=""),"",MAX(0,TODAY()-$C40))</f>
        <v/>
      </c>
      <c r="L40" s="21" t="str">
        <f aca="false">IF($M40="","",IF(INDEX('DỮ LIỆU'!$R$3:$R$1052,$M40)="","",INDEX('DỮ LIỆU'!$R$3:$R$1052,$M40)))</f>
        <v/>
      </c>
      <c r="M40" s="0" t="str">
        <f aca="false">IFERROR(MATCH(35,'DỮ LIỆU'!$T$3:$T$1052,0),"")</f>
        <v/>
      </c>
    </row>
    <row r="41" customFormat="false" ht="15" hidden="false" customHeight="false" outlineLevel="0" collapsed="false">
      <c r="A41" s="21" t="str">
        <f aca="false">IF($M41="","",36)</f>
        <v/>
      </c>
      <c r="B41" s="13" t="str">
        <f aca="false">IF($M41="","",INDEX('DỮ LIỆU'!$A$3:$A$1052,$M41))</f>
        <v/>
      </c>
      <c r="C41" s="41" t="str">
        <f aca="false">IF($M41="","",IF(INDEX('DỮ LIỆU'!$B$3:$B$1052,$M41)="","",INDEX('DỮ LIỆU'!$B$3:$B$1052,$M41)))</f>
        <v/>
      </c>
      <c r="D41" s="21" t="str">
        <f aca="false">IF($M41="","",IF(INDEX('DỮ LIỆU'!$C$3:$C$1052,$M41)="","",INDEX('DỮ LIỆU'!$C$3:$C$1052,$M41)))</f>
        <v/>
      </c>
      <c r="E41" s="21" t="str">
        <f aca="false">IF($M41="","",IF(INDEX('DỮ LIỆU'!$D$3:$D$1052,$M41)="","",INDEX('DỮ LIỆU'!$D$3:$D$1052,$M41)))</f>
        <v/>
      </c>
      <c r="F41" s="21" t="str">
        <f aca="false">IF($M41="","",IF(INDEX('DỮ LIỆU'!$H$3:$H$1052,$M41)="","",INDEX('DỮ LIỆU'!$H$3:$H$1052,$M41)))</f>
        <v/>
      </c>
      <c r="G41" s="13" t="str">
        <f aca="false">IF($M41="","",N(INDEX('DỮ LIỆU'!$I$3:$I$1052,$M41)))</f>
        <v/>
      </c>
      <c r="H41" s="13" t="str">
        <f aca="false">IF($M41="","",N(INDEX('DỮ LIỆU'!$M$3:$M$1052,$M41)))</f>
        <v/>
      </c>
      <c r="I41" s="13" t="str">
        <f aca="false">IF($M41="","",N(INDEX('DỮ LIỆU'!$N$3:$N$1052,$M41)))</f>
        <v/>
      </c>
      <c r="J41" s="13" t="str">
        <f aca="false">IF($M41="","",N(INDEX('DỮ LIỆU'!$O$3:$O$1052,$M41)))</f>
        <v/>
      </c>
      <c r="K41" s="13" t="str">
        <f aca="true">IF(OR($M41="",$C41=""),"",MAX(0,TODAY()-$C41))</f>
        <v/>
      </c>
      <c r="L41" s="21" t="str">
        <f aca="false">IF($M41="","",IF(INDEX('DỮ LIỆU'!$R$3:$R$1052,$M41)="","",INDEX('DỮ LIỆU'!$R$3:$R$1052,$M41)))</f>
        <v/>
      </c>
      <c r="M41" s="0" t="str">
        <f aca="false">IFERROR(MATCH(36,'DỮ LIỆU'!$T$3:$T$1052,0),"")</f>
        <v/>
      </c>
    </row>
    <row r="42" customFormat="false" ht="15" hidden="false" customHeight="false" outlineLevel="0" collapsed="false">
      <c r="A42" s="21" t="str">
        <f aca="false">IF($M42="","",37)</f>
        <v/>
      </c>
      <c r="B42" s="13" t="str">
        <f aca="false">IF($M42="","",INDEX('DỮ LIỆU'!$A$3:$A$1052,$M42))</f>
        <v/>
      </c>
      <c r="C42" s="41" t="str">
        <f aca="false">IF($M42="","",IF(INDEX('DỮ LIỆU'!$B$3:$B$1052,$M42)="","",INDEX('DỮ LIỆU'!$B$3:$B$1052,$M42)))</f>
        <v/>
      </c>
      <c r="D42" s="21" t="str">
        <f aca="false">IF($M42="","",IF(INDEX('DỮ LIỆU'!$C$3:$C$1052,$M42)="","",INDEX('DỮ LIỆU'!$C$3:$C$1052,$M42)))</f>
        <v/>
      </c>
      <c r="E42" s="21" t="str">
        <f aca="false">IF($M42="","",IF(INDEX('DỮ LIỆU'!$D$3:$D$1052,$M42)="","",INDEX('DỮ LIỆU'!$D$3:$D$1052,$M42)))</f>
        <v/>
      </c>
      <c r="F42" s="21" t="str">
        <f aca="false">IF($M42="","",IF(INDEX('DỮ LIỆU'!$H$3:$H$1052,$M42)="","",INDEX('DỮ LIỆU'!$H$3:$H$1052,$M42)))</f>
        <v/>
      </c>
      <c r="G42" s="13" t="str">
        <f aca="false">IF($M42="","",N(INDEX('DỮ LIỆU'!$I$3:$I$1052,$M42)))</f>
        <v/>
      </c>
      <c r="H42" s="13" t="str">
        <f aca="false">IF($M42="","",N(INDEX('DỮ LIỆU'!$M$3:$M$1052,$M42)))</f>
        <v/>
      </c>
      <c r="I42" s="13" t="str">
        <f aca="false">IF($M42="","",N(INDEX('DỮ LIỆU'!$N$3:$N$1052,$M42)))</f>
        <v/>
      </c>
      <c r="J42" s="13" t="str">
        <f aca="false">IF($M42="","",N(INDEX('DỮ LIỆU'!$O$3:$O$1052,$M42)))</f>
        <v/>
      </c>
      <c r="K42" s="13" t="str">
        <f aca="true">IF(OR($M42="",$C42=""),"",MAX(0,TODAY()-$C42))</f>
        <v/>
      </c>
      <c r="L42" s="21" t="str">
        <f aca="false">IF($M42="","",IF(INDEX('DỮ LIỆU'!$R$3:$R$1052,$M42)="","",INDEX('DỮ LIỆU'!$R$3:$R$1052,$M42)))</f>
        <v/>
      </c>
      <c r="M42" s="0" t="str">
        <f aca="false">IFERROR(MATCH(37,'DỮ LIỆU'!$T$3:$T$1052,0),"")</f>
        <v/>
      </c>
    </row>
    <row r="43" customFormat="false" ht="15" hidden="false" customHeight="false" outlineLevel="0" collapsed="false">
      <c r="A43" s="21" t="str">
        <f aca="false">IF($M43="","",38)</f>
        <v/>
      </c>
      <c r="B43" s="13" t="str">
        <f aca="false">IF($M43="","",INDEX('DỮ LIỆU'!$A$3:$A$1052,$M43))</f>
        <v/>
      </c>
      <c r="C43" s="41" t="str">
        <f aca="false">IF($M43="","",IF(INDEX('DỮ LIỆU'!$B$3:$B$1052,$M43)="","",INDEX('DỮ LIỆU'!$B$3:$B$1052,$M43)))</f>
        <v/>
      </c>
      <c r="D43" s="21" t="str">
        <f aca="false">IF($M43="","",IF(INDEX('DỮ LIỆU'!$C$3:$C$1052,$M43)="","",INDEX('DỮ LIỆU'!$C$3:$C$1052,$M43)))</f>
        <v/>
      </c>
      <c r="E43" s="21" t="str">
        <f aca="false">IF($M43="","",IF(INDEX('DỮ LIỆU'!$D$3:$D$1052,$M43)="","",INDEX('DỮ LIỆU'!$D$3:$D$1052,$M43)))</f>
        <v/>
      </c>
      <c r="F43" s="21" t="str">
        <f aca="false">IF($M43="","",IF(INDEX('DỮ LIỆU'!$H$3:$H$1052,$M43)="","",INDEX('DỮ LIỆU'!$H$3:$H$1052,$M43)))</f>
        <v/>
      </c>
      <c r="G43" s="13" t="str">
        <f aca="false">IF($M43="","",N(INDEX('DỮ LIỆU'!$I$3:$I$1052,$M43)))</f>
        <v/>
      </c>
      <c r="H43" s="13" t="str">
        <f aca="false">IF($M43="","",N(INDEX('DỮ LIỆU'!$M$3:$M$1052,$M43)))</f>
        <v/>
      </c>
      <c r="I43" s="13" t="str">
        <f aca="false">IF($M43="","",N(INDEX('DỮ LIỆU'!$N$3:$N$1052,$M43)))</f>
        <v/>
      </c>
      <c r="J43" s="13" t="str">
        <f aca="false">IF($M43="","",N(INDEX('DỮ LIỆU'!$O$3:$O$1052,$M43)))</f>
        <v/>
      </c>
      <c r="K43" s="13" t="str">
        <f aca="true">IF(OR($M43="",$C43=""),"",MAX(0,TODAY()-$C43))</f>
        <v/>
      </c>
      <c r="L43" s="21" t="str">
        <f aca="false">IF($M43="","",IF(INDEX('DỮ LIỆU'!$R$3:$R$1052,$M43)="","",INDEX('DỮ LIỆU'!$R$3:$R$1052,$M43)))</f>
        <v/>
      </c>
      <c r="M43" s="0" t="str">
        <f aca="false">IFERROR(MATCH(38,'DỮ LIỆU'!$T$3:$T$1052,0),"")</f>
        <v/>
      </c>
    </row>
    <row r="44" customFormat="false" ht="15" hidden="false" customHeight="false" outlineLevel="0" collapsed="false">
      <c r="A44" s="21" t="str">
        <f aca="false">IF($M44="","",39)</f>
        <v/>
      </c>
      <c r="B44" s="13" t="str">
        <f aca="false">IF($M44="","",INDEX('DỮ LIỆU'!$A$3:$A$1052,$M44))</f>
        <v/>
      </c>
      <c r="C44" s="41" t="str">
        <f aca="false">IF($M44="","",IF(INDEX('DỮ LIỆU'!$B$3:$B$1052,$M44)="","",INDEX('DỮ LIỆU'!$B$3:$B$1052,$M44)))</f>
        <v/>
      </c>
      <c r="D44" s="21" t="str">
        <f aca="false">IF($M44="","",IF(INDEX('DỮ LIỆU'!$C$3:$C$1052,$M44)="","",INDEX('DỮ LIỆU'!$C$3:$C$1052,$M44)))</f>
        <v/>
      </c>
      <c r="E44" s="21" t="str">
        <f aca="false">IF($M44="","",IF(INDEX('DỮ LIỆU'!$D$3:$D$1052,$M44)="","",INDEX('DỮ LIỆU'!$D$3:$D$1052,$M44)))</f>
        <v/>
      </c>
      <c r="F44" s="21" t="str">
        <f aca="false">IF($M44="","",IF(INDEX('DỮ LIỆU'!$H$3:$H$1052,$M44)="","",INDEX('DỮ LIỆU'!$H$3:$H$1052,$M44)))</f>
        <v/>
      </c>
      <c r="G44" s="13" t="str">
        <f aca="false">IF($M44="","",N(INDEX('DỮ LIỆU'!$I$3:$I$1052,$M44)))</f>
        <v/>
      </c>
      <c r="H44" s="13" t="str">
        <f aca="false">IF($M44="","",N(INDEX('DỮ LIỆU'!$M$3:$M$1052,$M44)))</f>
        <v/>
      </c>
      <c r="I44" s="13" t="str">
        <f aca="false">IF($M44="","",N(INDEX('DỮ LIỆU'!$N$3:$N$1052,$M44)))</f>
        <v/>
      </c>
      <c r="J44" s="13" t="str">
        <f aca="false">IF($M44="","",N(INDEX('DỮ LIỆU'!$O$3:$O$1052,$M44)))</f>
        <v/>
      </c>
      <c r="K44" s="13" t="str">
        <f aca="true">IF(OR($M44="",$C44=""),"",MAX(0,TODAY()-$C44))</f>
        <v/>
      </c>
      <c r="L44" s="21" t="str">
        <f aca="false">IF($M44="","",IF(INDEX('DỮ LIỆU'!$R$3:$R$1052,$M44)="","",INDEX('DỮ LIỆU'!$R$3:$R$1052,$M44)))</f>
        <v/>
      </c>
      <c r="M44" s="0" t="str">
        <f aca="false">IFERROR(MATCH(39,'DỮ LIỆU'!$T$3:$T$1052,0),"")</f>
        <v/>
      </c>
    </row>
    <row r="45" customFormat="false" ht="15" hidden="false" customHeight="false" outlineLevel="0" collapsed="false">
      <c r="A45" s="21" t="str">
        <f aca="false">IF($M45="","",40)</f>
        <v/>
      </c>
      <c r="B45" s="13" t="str">
        <f aca="false">IF($M45="","",INDEX('DỮ LIỆU'!$A$3:$A$1052,$M45))</f>
        <v/>
      </c>
      <c r="C45" s="41" t="str">
        <f aca="false">IF($M45="","",IF(INDEX('DỮ LIỆU'!$B$3:$B$1052,$M45)="","",INDEX('DỮ LIỆU'!$B$3:$B$1052,$M45)))</f>
        <v/>
      </c>
      <c r="D45" s="21" t="str">
        <f aca="false">IF($M45="","",IF(INDEX('DỮ LIỆU'!$C$3:$C$1052,$M45)="","",INDEX('DỮ LIỆU'!$C$3:$C$1052,$M45)))</f>
        <v/>
      </c>
      <c r="E45" s="21" t="str">
        <f aca="false">IF($M45="","",IF(INDEX('DỮ LIỆU'!$D$3:$D$1052,$M45)="","",INDEX('DỮ LIỆU'!$D$3:$D$1052,$M45)))</f>
        <v/>
      </c>
      <c r="F45" s="21" t="str">
        <f aca="false">IF($M45="","",IF(INDEX('DỮ LIỆU'!$H$3:$H$1052,$M45)="","",INDEX('DỮ LIỆU'!$H$3:$H$1052,$M45)))</f>
        <v/>
      </c>
      <c r="G45" s="13" t="str">
        <f aca="false">IF($M45="","",N(INDEX('DỮ LIỆU'!$I$3:$I$1052,$M45)))</f>
        <v/>
      </c>
      <c r="H45" s="13" t="str">
        <f aca="false">IF($M45="","",N(INDEX('DỮ LIỆU'!$M$3:$M$1052,$M45)))</f>
        <v/>
      </c>
      <c r="I45" s="13" t="str">
        <f aca="false">IF($M45="","",N(INDEX('DỮ LIỆU'!$N$3:$N$1052,$M45)))</f>
        <v/>
      </c>
      <c r="J45" s="13" t="str">
        <f aca="false">IF($M45="","",N(INDEX('DỮ LIỆU'!$O$3:$O$1052,$M45)))</f>
        <v/>
      </c>
      <c r="K45" s="13" t="str">
        <f aca="true">IF(OR($M45="",$C45=""),"",MAX(0,TODAY()-$C45))</f>
        <v/>
      </c>
      <c r="L45" s="21" t="str">
        <f aca="false">IF($M45="","",IF(INDEX('DỮ LIỆU'!$R$3:$R$1052,$M45)="","",INDEX('DỮ LIỆU'!$R$3:$R$1052,$M45)))</f>
        <v/>
      </c>
      <c r="M45" s="0" t="str">
        <f aca="false">IFERROR(MATCH(40,'DỮ LIỆU'!$T$3:$T$1052,0),"")</f>
        <v/>
      </c>
    </row>
    <row r="46" customFormat="false" ht="15" hidden="false" customHeight="false" outlineLevel="0" collapsed="false">
      <c r="A46" s="21" t="str">
        <f aca="false">IF($M46="","",41)</f>
        <v/>
      </c>
      <c r="B46" s="13" t="str">
        <f aca="false">IF($M46="","",INDEX('DỮ LIỆU'!$A$3:$A$1052,$M46))</f>
        <v/>
      </c>
      <c r="C46" s="41" t="str">
        <f aca="false">IF($M46="","",IF(INDEX('DỮ LIỆU'!$B$3:$B$1052,$M46)="","",INDEX('DỮ LIỆU'!$B$3:$B$1052,$M46)))</f>
        <v/>
      </c>
      <c r="D46" s="21" t="str">
        <f aca="false">IF($M46="","",IF(INDEX('DỮ LIỆU'!$C$3:$C$1052,$M46)="","",INDEX('DỮ LIỆU'!$C$3:$C$1052,$M46)))</f>
        <v/>
      </c>
      <c r="E46" s="21" t="str">
        <f aca="false">IF($M46="","",IF(INDEX('DỮ LIỆU'!$D$3:$D$1052,$M46)="","",INDEX('DỮ LIỆU'!$D$3:$D$1052,$M46)))</f>
        <v/>
      </c>
      <c r="F46" s="21" t="str">
        <f aca="false">IF($M46="","",IF(INDEX('DỮ LIỆU'!$H$3:$H$1052,$M46)="","",INDEX('DỮ LIỆU'!$H$3:$H$1052,$M46)))</f>
        <v/>
      </c>
      <c r="G46" s="13" t="str">
        <f aca="false">IF($M46="","",N(INDEX('DỮ LIỆU'!$I$3:$I$1052,$M46)))</f>
        <v/>
      </c>
      <c r="H46" s="13" t="str">
        <f aca="false">IF($M46="","",N(INDEX('DỮ LIỆU'!$M$3:$M$1052,$M46)))</f>
        <v/>
      </c>
      <c r="I46" s="13" t="str">
        <f aca="false">IF($M46="","",N(INDEX('DỮ LIỆU'!$N$3:$N$1052,$M46)))</f>
        <v/>
      </c>
      <c r="J46" s="13" t="str">
        <f aca="false">IF($M46="","",N(INDEX('DỮ LIỆU'!$O$3:$O$1052,$M46)))</f>
        <v/>
      </c>
      <c r="K46" s="13" t="str">
        <f aca="true">IF(OR($M46="",$C46=""),"",MAX(0,TODAY()-$C46))</f>
        <v/>
      </c>
      <c r="L46" s="21" t="str">
        <f aca="false">IF($M46="","",IF(INDEX('DỮ LIỆU'!$R$3:$R$1052,$M46)="","",INDEX('DỮ LIỆU'!$R$3:$R$1052,$M46)))</f>
        <v/>
      </c>
      <c r="M46" s="0" t="str">
        <f aca="false">IFERROR(MATCH(41,'DỮ LIỆU'!$T$3:$T$1052,0),"")</f>
        <v/>
      </c>
    </row>
    <row r="47" customFormat="false" ht="15" hidden="false" customHeight="false" outlineLevel="0" collapsed="false">
      <c r="A47" s="21" t="str">
        <f aca="false">IF($M47="","",42)</f>
        <v/>
      </c>
      <c r="B47" s="13" t="str">
        <f aca="false">IF($M47="","",INDEX('DỮ LIỆU'!$A$3:$A$1052,$M47))</f>
        <v/>
      </c>
      <c r="C47" s="41" t="str">
        <f aca="false">IF($M47="","",IF(INDEX('DỮ LIỆU'!$B$3:$B$1052,$M47)="","",INDEX('DỮ LIỆU'!$B$3:$B$1052,$M47)))</f>
        <v/>
      </c>
      <c r="D47" s="21" t="str">
        <f aca="false">IF($M47="","",IF(INDEX('DỮ LIỆU'!$C$3:$C$1052,$M47)="","",INDEX('DỮ LIỆU'!$C$3:$C$1052,$M47)))</f>
        <v/>
      </c>
      <c r="E47" s="21" t="str">
        <f aca="false">IF($M47="","",IF(INDEX('DỮ LIỆU'!$D$3:$D$1052,$M47)="","",INDEX('DỮ LIỆU'!$D$3:$D$1052,$M47)))</f>
        <v/>
      </c>
      <c r="F47" s="21" t="str">
        <f aca="false">IF($M47="","",IF(INDEX('DỮ LIỆU'!$H$3:$H$1052,$M47)="","",INDEX('DỮ LIỆU'!$H$3:$H$1052,$M47)))</f>
        <v/>
      </c>
      <c r="G47" s="13" t="str">
        <f aca="false">IF($M47="","",N(INDEX('DỮ LIỆU'!$I$3:$I$1052,$M47)))</f>
        <v/>
      </c>
      <c r="H47" s="13" t="str">
        <f aca="false">IF($M47="","",N(INDEX('DỮ LIỆU'!$M$3:$M$1052,$M47)))</f>
        <v/>
      </c>
      <c r="I47" s="13" t="str">
        <f aca="false">IF($M47="","",N(INDEX('DỮ LIỆU'!$N$3:$N$1052,$M47)))</f>
        <v/>
      </c>
      <c r="J47" s="13" t="str">
        <f aca="false">IF($M47="","",N(INDEX('DỮ LIỆU'!$O$3:$O$1052,$M47)))</f>
        <v/>
      </c>
      <c r="K47" s="13" t="str">
        <f aca="true">IF(OR($M47="",$C47=""),"",MAX(0,TODAY()-$C47))</f>
        <v/>
      </c>
      <c r="L47" s="21" t="str">
        <f aca="false">IF($M47="","",IF(INDEX('DỮ LIỆU'!$R$3:$R$1052,$M47)="","",INDEX('DỮ LIỆU'!$R$3:$R$1052,$M47)))</f>
        <v/>
      </c>
      <c r="M47" s="0" t="str">
        <f aca="false">IFERROR(MATCH(42,'DỮ LIỆU'!$T$3:$T$1052,0),"")</f>
        <v/>
      </c>
    </row>
    <row r="48" customFormat="false" ht="15" hidden="false" customHeight="false" outlineLevel="0" collapsed="false">
      <c r="A48" s="21" t="str">
        <f aca="false">IF($M48="","",43)</f>
        <v/>
      </c>
      <c r="B48" s="13" t="str">
        <f aca="false">IF($M48="","",INDEX('DỮ LIỆU'!$A$3:$A$1052,$M48))</f>
        <v/>
      </c>
      <c r="C48" s="41" t="str">
        <f aca="false">IF($M48="","",IF(INDEX('DỮ LIỆU'!$B$3:$B$1052,$M48)="","",INDEX('DỮ LIỆU'!$B$3:$B$1052,$M48)))</f>
        <v/>
      </c>
      <c r="D48" s="21" t="str">
        <f aca="false">IF($M48="","",IF(INDEX('DỮ LIỆU'!$C$3:$C$1052,$M48)="","",INDEX('DỮ LIỆU'!$C$3:$C$1052,$M48)))</f>
        <v/>
      </c>
      <c r="E48" s="21" t="str">
        <f aca="false">IF($M48="","",IF(INDEX('DỮ LIỆU'!$D$3:$D$1052,$M48)="","",INDEX('DỮ LIỆU'!$D$3:$D$1052,$M48)))</f>
        <v/>
      </c>
      <c r="F48" s="21" t="str">
        <f aca="false">IF($M48="","",IF(INDEX('DỮ LIỆU'!$H$3:$H$1052,$M48)="","",INDEX('DỮ LIỆU'!$H$3:$H$1052,$M48)))</f>
        <v/>
      </c>
      <c r="G48" s="13" t="str">
        <f aca="false">IF($M48="","",N(INDEX('DỮ LIỆU'!$I$3:$I$1052,$M48)))</f>
        <v/>
      </c>
      <c r="H48" s="13" t="str">
        <f aca="false">IF($M48="","",N(INDEX('DỮ LIỆU'!$M$3:$M$1052,$M48)))</f>
        <v/>
      </c>
      <c r="I48" s="13" t="str">
        <f aca="false">IF($M48="","",N(INDEX('DỮ LIỆU'!$N$3:$N$1052,$M48)))</f>
        <v/>
      </c>
      <c r="J48" s="13" t="str">
        <f aca="false">IF($M48="","",N(INDEX('DỮ LIỆU'!$O$3:$O$1052,$M48)))</f>
        <v/>
      </c>
      <c r="K48" s="13" t="str">
        <f aca="true">IF(OR($M48="",$C48=""),"",MAX(0,TODAY()-$C48))</f>
        <v/>
      </c>
      <c r="L48" s="21" t="str">
        <f aca="false">IF($M48="","",IF(INDEX('DỮ LIỆU'!$R$3:$R$1052,$M48)="","",INDEX('DỮ LIỆU'!$R$3:$R$1052,$M48)))</f>
        <v/>
      </c>
      <c r="M48" s="0" t="str">
        <f aca="false">IFERROR(MATCH(43,'DỮ LIỆU'!$T$3:$T$1052,0),"")</f>
        <v/>
      </c>
    </row>
    <row r="49" customFormat="false" ht="15" hidden="false" customHeight="false" outlineLevel="0" collapsed="false">
      <c r="A49" s="21" t="str">
        <f aca="false">IF($M49="","",44)</f>
        <v/>
      </c>
      <c r="B49" s="13" t="str">
        <f aca="false">IF($M49="","",INDEX('DỮ LIỆU'!$A$3:$A$1052,$M49))</f>
        <v/>
      </c>
      <c r="C49" s="41" t="str">
        <f aca="false">IF($M49="","",IF(INDEX('DỮ LIỆU'!$B$3:$B$1052,$M49)="","",INDEX('DỮ LIỆU'!$B$3:$B$1052,$M49)))</f>
        <v/>
      </c>
      <c r="D49" s="21" t="str">
        <f aca="false">IF($M49="","",IF(INDEX('DỮ LIỆU'!$C$3:$C$1052,$M49)="","",INDEX('DỮ LIỆU'!$C$3:$C$1052,$M49)))</f>
        <v/>
      </c>
      <c r="E49" s="21" t="str">
        <f aca="false">IF($M49="","",IF(INDEX('DỮ LIỆU'!$D$3:$D$1052,$M49)="","",INDEX('DỮ LIỆU'!$D$3:$D$1052,$M49)))</f>
        <v/>
      </c>
      <c r="F49" s="21" t="str">
        <f aca="false">IF($M49="","",IF(INDEX('DỮ LIỆU'!$H$3:$H$1052,$M49)="","",INDEX('DỮ LIỆU'!$H$3:$H$1052,$M49)))</f>
        <v/>
      </c>
      <c r="G49" s="13" t="str">
        <f aca="false">IF($M49="","",N(INDEX('DỮ LIỆU'!$I$3:$I$1052,$M49)))</f>
        <v/>
      </c>
      <c r="H49" s="13" t="str">
        <f aca="false">IF($M49="","",N(INDEX('DỮ LIỆU'!$M$3:$M$1052,$M49)))</f>
        <v/>
      </c>
      <c r="I49" s="13" t="str">
        <f aca="false">IF($M49="","",N(INDEX('DỮ LIỆU'!$N$3:$N$1052,$M49)))</f>
        <v/>
      </c>
      <c r="J49" s="13" t="str">
        <f aca="false">IF($M49="","",N(INDEX('DỮ LIỆU'!$O$3:$O$1052,$M49)))</f>
        <v/>
      </c>
      <c r="K49" s="13" t="str">
        <f aca="true">IF(OR($M49="",$C49=""),"",MAX(0,TODAY()-$C49))</f>
        <v/>
      </c>
      <c r="L49" s="21" t="str">
        <f aca="false">IF($M49="","",IF(INDEX('DỮ LIỆU'!$R$3:$R$1052,$M49)="","",INDEX('DỮ LIỆU'!$R$3:$R$1052,$M49)))</f>
        <v/>
      </c>
      <c r="M49" s="0" t="str">
        <f aca="false">IFERROR(MATCH(44,'DỮ LIỆU'!$T$3:$T$1052,0),"")</f>
        <v/>
      </c>
    </row>
    <row r="50" customFormat="false" ht="15" hidden="false" customHeight="false" outlineLevel="0" collapsed="false">
      <c r="A50" s="21" t="str">
        <f aca="false">IF($M50="","",45)</f>
        <v/>
      </c>
      <c r="B50" s="13" t="str">
        <f aca="false">IF($M50="","",INDEX('DỮ LIỆU'!$A$3:$A$1052,$M50))</f>
        <v/>
      </c>
      <c r="C50" s="41" t="str">
        <f aca="false">IF($M50="","",IF(INDEX('DỮ LIỆU'!$B$3:$B$1052,$M50)="","",INDEX('DỮ LIỆU'!$B$3:$B$1052,$M50)))</f>
        <v/>
      </c>
      <c r="D50" s="21" t="str">
        <f aca="false">IF($M50="","",IF(INDEX('DỮ LIỆU'!$C$3:$C$1052,$M50)="","",INDEX('DỮ LIỆU'!$C$3:$C$1052,$M50)))</f>
        <v/>
      </c>
      <c r="E50" s="21" t="str">
        <f aca="false">IF($M50="","",IF(INDEX('DỮ LIỆU'!$D$3:$D$1052,$M50)="","",INDEX('DỮ LIỆU'!$D$3:$D$1052,$M50)))</f>
        <v/>
      </c>
      <c r="F50" s="21" t="str">
        <f aca="false">IF($M50="","",IF(INDEX('DỮ LIỆU'!$H$3:$H$1052,$M50)="","",INDEX('DỮ LIỆU'!$H$3:$H$1052,$M50)))</f>
        <v/>
      </c>
      <c r="G50" s="13" t="str">
        <f aca="false">IF($M50="","",N(INDEX('DỮ LIỆU'!$I$3:$I$1052,$M50)))</f>
        <v/>
      </c>
      <c r="H50" s="13" t="str">
        <f aca="false">IF($M50="","",N(INDEX('DỮ LIỆU'!$M$3:$M$1052,$M50)))</f>
        <v/>
      </c>
      <c r="I50" s="13" t="str">
        <f aca="false">IF($M50="","",N(INDEX('DỮ LIỆU'!$N$3:$N$1052,$M50)))</f>
        <v/>
      </c>
      <c r="J50" s="13" t="str">
        <f aca="false">IF($M50="","",N(INDEX('DỮ LIỆU'!$O$3:$O$1052,$M50)))</f>
        <v/>
      </c>
      <c r="K50" s="13" t="str">
        <f aca="true">IF(OR($M50="",$C50=""),"",MAX(0,TODAY()-$C50))</f>
        <v/>
      </c>
      <c r="L50" s="21" t="str">
        <f aca="false">IF($M50="","",IF(INDEX('DỮ LIỆU'!$R$3:$R$1052,$M50)="","",INDEX('DỮ LIỆU'!$R$3:$R$1052,$M50)))</f>
        <v/>
      </c>
      <c r="M50" s="0" t="str">
        <f aca="false">IFERROR(MATCH(45,'DỮ LIỆU'!$T$3:$T$1052,0),"")</f>
        <v/>
      </c>
    </row>
    <row r="51" customFormat="false" ht="15" hidden="false" customHeight="false" outlineLevel="0" collapsed="false">
      <c r="A51" s="21" t="str">
        <f aca="false">IF($M51="","",46)</f>
        <v/>
      </c>
      <c r="B51" s="13" t="str">
        <f aca="false">IF($M51="","",INDEX('DỮ LIỆU'!$A$3:$A$1052,$M51))</f>
        <v/>
      </c>
      <c r="C51" s="41" t="str">
        <f aca="false">IF($M51="","",IF(INDEX('DỮ LIỆU'!$B$3:$B$1052,$M51)="","",INDEX('DỮ LIỆU'!$B$3:$B$1052,$M51)))</f>
        <v/>
      </c>
      <c r="D51" s="21" t="str">
        <f aca="false">IF($M51="","",IF(INDEX('DỮ LIỆU'!$C$3:$C$1052,$M51)="","",INDEX('DỮ LIỆU'!$C$3:$C$1052,$M51)))</f>
        <v/>
      </c>
      <c r="E51" s="21" t="str">
        <f aca="false">IF($M51="","",IF(INDEX('DỮ LIỆU'!$D$3:$D$1052,$M51)="","",INDEX('DỮ LIỆU'!$D$3:$D$1052,$M51)))</f>
        <v/>
      </c>
      <c r="F51" s="21" t="str">
        <f aca="false">IF($M51="","",IF(INDEX('DỮ LIỆU'!$H$3:$H$1052,$M51)="","",INDEX('DỮ LIỆU'!$H$3:$H$1052,$M51)))</f>
        <v/>
      </c>
      <c r="G51" s="13" t="str">
        <f aca="false">IF($M51="","",N(INDEX('DỮ LIỆU'!$I$3:$I$1052,$M51)))</f>
        <v/>
      </c>
      <c r="H51" s="13" t="str">
        <f aca="false">IF($M51="","",N(INDEX('DỮ LIỆU'!$M$3:$M$1052,$M51)))</f>
        <v/>
      </c>
      <c r="I51" s="13" t="str">
        <f aca="false">IF($M51="","",N(INDEX('DỮ LIỆU'!$N$3:$N$1052,$M51)))</f>
        <v/>
      </c>
      <c r="J51" s="13" t="str">
        <f aca="false">IF($M51="","",N(INDEX('DỮ LIỆU'!$O$3:$O$1052,$M51)))</f>
        <v/>
      </c>
      <c r="K51" s="13" t="str">
        <f aca="true">IF(OR($M51="",$C51=""),"",MAX(0,TODAY()-$C51))</f>
        <v/>
      </c>
      <c r="L51" s="21" t="str">
        <f aca="false">IF($M51="","",IF(INDEX('DỮ LIỆU'!$R$3:$R$1052,$M51)="","",INDEX('DỮ LIỆU'!$R$3:$R$1052,$M51)))</f>
        <v/>
      </c>
      <c r="M51" s="0" t="str">
        <f aca="false">IFERROR(MATCH(46,'DỮ LIỆU'!$T$3:$T$1052,0),"")</f>
        <v/>
      </c>
    </row>
    <row r="52" customFormat="false" ht="15" hidden="false" customHeight="false" outlineLevel="0" collapsed="false">
      <c r="A52" s="21" t="str">
        <f aca="false">IF($M52="","",47)</f>
        <v/>
      </c>
      <c r="B52" s="13" t="str">
        <f aca="false">IF($M52="","",INDEX('DỮ LIỆU'!$A$3:$A$1052,$M52))</f>
        <v/>
      </c>
      <c r="C52" s="41" t="str">
        <f aca="false">IF($M52="","",IF(INDEX('DỮ LIỆU'!$B$3:$B$1052,$M52)="","",INDEX('DỮ LIỆU'!$B$3:$B$1052,$M52)))</f>
        <v/>
      </c>
      <c r="D52" s="21" t="str">
        <f aca="false">IF($M52="","",IF(INDEX('DỮ LIỆU'!$C$3:$C$1052,$M52)="","",INDEX('DỮ LIỆU'!$C$3:$C$1052,$M52)))</f>
        <v/>
      </c>
      <c r="E52" s="21" t="str">
        <f aca="false">IF($M52="","",IF(INDEX('DỮ LIỆU'!$D$3:$D$1052,$M52)="","",INDEX('DỮ LIỆU'!$D$3:$D$1052,$M52)))</f>
        <v/>
      </c>
      <c r="F52" s="21" t="str">
        <f aca="false">IF($M52="","",IF(INDEX('DỮ LIỆU'!$H$3:$H$1052,$M52)="","",INDEX('DỮ LIỆU'!$H$3:$H$1052,$M52)))</f>
        <v/>
      </c>
      <c r="G52" s="13" t="str">
        <f aca="false">IF($M52="","",N(INDEX('DỮ LIỆU'!$I$3:$I$1052,$M52)))</f>
        <v/>
      </c>
      <c r="H52" s="13" t="str">
        <f aca="false">IF($M52="","",N(INDEX('DỮ LIỆU'!$M$3:$M$1052,$M52)))</f>
        <v/>
      </c>
      <c r="I52" s="13" t="str">
        <f aca="false">IF($M52="","",N(INDEX('DỮ LIỆU'!$N$3:$N$1052,$M52)))</f>
        <v/>
      </c>
      <c r="J52" s="13" t="str">
        <f aca="false">IF($M52="","",N(INDEX('DỮ LIỆU'!$O$3:$O$1052,$M52)))</f>
        <v/>
      </c>
      <c r="K52" s="13" t="str">
        <f aca="true">IF(OR($M52="",$C52=""),"",MAX(0,TODAY()-$C52))</f>
        <v/>
      </c>
      <c r="L52" s="21" t="str">
        <f aca="false">IF($M52="","",IF(INDEX('DỮ LIỆU'!$R$3:$R$1052,$M52)="","",INDEX('DỮ LIỆU'!$R$3:$R$1052,$M52)))</f>
        <v/>
      </c>
      <c r="M52" s="0" t="str">
        <f aca="false">IFERROR(MATCH(47,'DỮ LIỆU'!$T$3:$T$1052,0),"")</f>
        <v/>
      </c>
    </row>
    <row r="53" customFormat="false" ht="15" hidden="false" customHeight="false" outlineLevel="0" collapsed="false">
      <c r="A53" s="21" t="str">
        <f aca="false">IF($M53="","",48)</f>
        <v/>
      </c>
      <c r="B53" s="13" t="str">
        <f aca="false">IF($M53="","",INDEX('DỮ LIỆU'!$A$3:$A$1052,$M53))</f>
        <v/>
      </c>
      <c r="C53" s="41" t="str">
        <f aca="false">IF($M53="","",IF(INDEX('DỮ LIỆU'!$B$3:$B$1052,$M53)="","",INDEX('DỮ LIỆU'!$B$3:$B$1052,$M53)))</f>
        <v/>
      </c>
      <c r="D53" s="21" t="str">
        <f aca="false">IF($M53="","",IF(INDEX('DỮ LIỆU'!$C$3:$C$1052,$M53)="","",INDEX('DỮ LIỆU'!$C$3:$C$1052,$M53)))</f>
        <v/>
      </c>
      <c r="E53" s="21" t="str">
        <f aca="false">IF($M53="","",IF(INDEX('DỮ LIỆU'!$D$3:$D$1052,$M53)="","",INDEX('DỮ LIỆU'!$D$3:$D$1052,$M53)))</f>
        <v/>
      </c>
      <c r="F53" s="21" t="str">
        <f aca="false">IF($M53="","",IF(INDEX('DỮ LIỆU'!$H$3:$H$1052,$M53)="","",INDEX('DỮ LIỆU'!$H$3:$H$1052,$M53)))</f>
        <v/>
      </c>
      <c r="G53" s="13" t="str">
        <f aca="false">IF($M53="","",N(INDEX('DỮ LIỆU'!$I$3:$I$1052,$M53)))</f>
        <v/>
      </c>
      <c r="H53" s="13" t="str">
        <f aca="false">IF($M53="","",N(INDEX('DỮ LIỆU'!$M$3:$M$1052,$M53)))</f>
        <v/>
      </c>
      <c r="I53" s="13" t="str">
        <f aca="false">IF($M53="","",N(INDEX('DỮ LIỆU'!$N$3:$N$1052,$M53)))</f>
        <v/>
      </c>
      <c r="J53" s="13" t="str">
        <f aca="false">IF($M53="","",N(INDEX('DỮ LIỆU'!$O$3:$O$1052,$M53)))</f>
        <v/>
      </c>
      <c r="K53" s="13" t="str">
        <f aca="true">IF(OR($M53="",$C53=""),"",MAX(0,TODAY()-$C53))</f>
        <v/>
      </c>
      <c r="L53" s="21" t="str">
        <f aca="false">IF($M53="","",IF(INDEX('DỮ LIỆU'!$R$3:$R$1052,$M53)="","",INDEX('DỮ LIỆU'!$R$3:$R$1052,$M53)))</f>
        <v/>
      </c>
      <c r="M53" s="0" t="str">
        <f aca="false">IFERROR(MATCH(48,'DỮ LIỆU'!$T$3:$T$1052,0),"")</f>
        <v/>
      </c>
    </row>
    <row r="54" customFormat="false" ht="15" hidden="false" customHeight="false" outlineLevel="0" collapsed="false">
      <c r="A54" s="21" t="str">
        <f aca="false">IF($M54="","",49)</f>
        <v/>
      </c>
      <c r="B54" s="13" t="str">
        <f aca="false">IF($M54="","",INDEX('DỮ LIỆU'!$A$3:$A$1052,$M54))</f>
        <v/>
      </c>
      <c r="C54" s="41" t="str">
        <f aca="false">IF($M54="","",IF(INDEX('DỮ LIỆU'!$B$3:$B$1052,$M54)="","",INDEX('DỮ LIỆU'!$B$3:$B$1052,$M54)))</f>
        <v/>
      </c>
      <c r="D54" s="21" t="str">
        <f aca="false">IF($M54="","",IF(INDEX('DỮ LIỆU'!$C$3:$C$1052,$M54)="","",INDEX('DỮ LIỆU'!$C$3:$C$1052,$M54)))</f>
        <v/>
      </c>
      <c r="E54" s="21" t="str">
        <f aca="false">IF($M54="","",IF(INDEX('DỮ LIỆU'!$D$3:$D$1052,$M54)="","",INDEX('DỮ LIỆU'!$D$3:$D$1052,$M54)))</f>
        <v/>
      </c>
      <c r="F54" s="21" t="str">
        <f aca="false">IF($M54="","",IF(INDEX('DỮ LIỆU'!$H$3:$H$1052,$M54)="","",INDEX('DỮ LIỆU'!$H$3:$H$1052,$M54)))</f>
        <v/>
      </c>
      <c r="G54" s="13" t="str">
        <f aca="false">IF($M54="","",N(INDEX('DỮ LIỆU'!$I$3:$I$1052,$M54)))</f>
        <v/>
      </c>
      <c r="H54" s="13" t="str">
        <f aca="false">IF($M54="","",N(INDEX('DỮ LIỆU'!$M$3:$M$1052,$M54)))</f>
        <v/>
      </c>
      <c r="I54" s="13" t="str">
        <f aca="false">IF($M54="","",N(INDEX('DỮ LIỆU'!$N$3:$N$1052,$M54)))</f>
        <v/>
      </c>
      <c r="J54" s="13" t="str">
        <f aca="false">IF($M54="","",N(INDEX('DỮ LIỆU'!$O$3:$O$1052,$M54)))</f>
        <v/>
      </c>
      <c r="K54" s="13" t="str">
        <f aca="true">IF(OR($M54="",$C54=""),"",MAX(0,TODAY()-$C54))</f>
        <v/>
      </c>
      <c r="L54" s="21" t="str">
        <f aca="false">IF($M54="","",IF(INDEX('DỮ LIỆU'!$R$3:$R$1052,$M54)="","",INDEX('DỮ LIỆU'!$R$3:$R$1052,$M54)))</f>
        <v/>
      </c>
      <c r="M54" s="0" t="str">
        <f aca="false">IFERROR(MATCH(49,'DỮ LIỆU'!$T$3:$T$1052,0),"")</f>
        <v/>
      </c>
    </row>
    <row r="55" customFormat="false" ht="15" hidden="false" customHeight="false" outlineLevel="0" collapsed="false">
      <c r="A55" s="21" t="str">
        <f aca="false">IF($M55="","",50)</f>
        <v/>
      </c>
      <c r="B55" s="13" t="str">
        <f aca="false">IF($M55="","",INDEX('DỮ LIỆU'!$A$3:$A$1052,$M55))</f>
        <v/>
      </c>
      <c r="C55" s="41" t="str">
        <f aca="false">IF($M55="","",IF(INDEX('DỮ LIỆU'!$B$3:$B$1052,$M55)="","",INDEX('DỮ LIỆU'!$B$3:$B$1052,$M55)))</f>
        <v/>
      </c>
      <c r="D55" s="21" t="str">
        <f aca="false">IF($M55="","",IF(INDEX('DỮ LIỆU'!$C$3:$C$1052,$M55)="","",INDEX('DỮ LIỆU'!$C$3:$C$1052,$M55)))</f>
        <v/>
      </c>
      <c r="E55" s="21" t="str">
        <f aca="false">IF($M55="","",IF(INDEX('DỮ LIỆU'!$D$3:$D$1052,$M55)="","",INDEX('DỮ LIỆU'!$D$3:$D$1052,$M55)))</f>
        <v/>
      </c>
      <c r="F55" s="21" t="str">
        <f aca="false">IF($M55="","",IF(INDEX('DỮ LIỆU'!$H$3:$H$1052,$M55)="","",INDEX('DỮ LIỆU'!$H$3:$H$1052,$M55)))</f>
        <v/>
      </c>
      <c r="G55" s="13" t="str">
        <f aca="false">IF($M55="","",N(INDEX('DỮ LIỆU'!$I$3:$I$1052,$M55)))</f>
        <v/>
      </c>
      <c r="H55" s="13" t="str">
        <f aca="false">IF($M55="","",N(INDEX('DỮ LIỆU'!$M$3:$M$1052,$M55)))</f>
        <v/>
      </c>
      <c r="I55" s="13" t="str">
        <f aca="false">IF($M55="","",N(INDEX('DỮ LIỆU'!$N$3:$N$1052,$M55)))</f>
        <v/>
      </c>
      <c r="J55" s="13" t="str">
        <f aca="false">IF($M55="","",N(INDEX('DỮ LIỆU'!$O$3:$O$1052,$M55)))</f>
        <v/>
      </c>
      <c r="K55" s="13" t="str">
        <f aca="true">IF(OR($M55="",$C55=""),"",MAX(0,TODAY()-$C55))</f>
        <v/>
      </c>
      <c r="L55" s="21" t="str">
        <f aca="false">IF($M55="","",IF(INDEX('DỮ LIỆU'!$R$3:$R$1052,$M55)="","",INDEX('DỮ LIỆU'!$R$3:$R$1052,$M55)))</f>
        <v/>
      </c>
      <c r="M55" s="0" t="str">
        <f aca="false">IFERROR(MATCH(50,'DỮ LIỆU'!$T$3:$T$1052,0),"")</f>
        <v/>
      </c>
    </row>
    <row r="56" customFormat="false" ht="15" hidden="false" customHeight="false" outlineLevel="0" collapsed="false">
      <c r="A56" s="21" t="str">
        <f aca="false">IF($M56="","",51)</f>
        <v/>
      </c>
      <c r="B56" s="13" t="str">
        <f aca="false">IF($M56="","",INDEX('DỮ LIỆU'!$A$3:$A$1052,$M56))</f>
        <v/>
      </c>
      <c r="C56" s="41" t="str">
        <f aca="false">IF($M56="","",IF(INDEX('DỮ LIỆU'!$B$3:$B$1052,$M56)="","",INDEX('DỮ LIỆU'!$B$3:$B$1052,$M56)))</f>
        <v/>
      </c>
      <c r="D56" s="21" t="str">
        <f aca="false">IF($M56="","",IF(INDEX('DỮ LIỆU'!$C$3:$C$1052,$M56)="","",INDEX('DỮ LIỆU'!$C$3:$C$1052,$M56)))</f>
        <v/>
      </c>
      <c r="E56" s="21" t="str">
        <f aca="false">IF($M56="","",IF(INDEX('DỮ LIỆU'!$D$3:$D$1052,$M56)="","",INDEX('DỮ LIỆU'!$D$3:$D$1052,$M56)))</f>
        <v/>
      </c>
      <c r="F56" s="21" t="str">
        <f aca="false">IF($M56="","",IF(INDEX('DỮ LIỆU'!$H$3:$H$1052,$M56)="","",INDEX('DỮ LIỆU'!$H$3:$H$1052,$M56)))</f>
        <v/>
      </c>
      <c r="G56" s="13" t="str">
        <f aca="false">IF($M56="","",N(INDEX('DỮ LIỆU'!$I$3:$I$1052,$M56)))</f>
        <v/>
      </c>
      <c r="H56" s="13" t="str">
        <f aca="false">IF($M56="","",N(INDEX('DỮ LIỆU'!$M$3:$M$1052,$M56)))</f>
        <v/>
      </c>
      <c r="I56" s="13" t="str">
        <f aca="false">IF($M56="","",N(INDEX('DỮ LIỆU'!$N$3:$N$1052,$M56)))</f>
        <v/>
      </c>
      <c r="J56" s="13" t="str">
        <f aca="false">IF($M56="","",N(INDEX('DỮ LIỆU'!$O$3:$O$1052,$M56)))</f>
        <v/>
      </c>
      <c r="K56" s="13" t="str">
        <f aca="true">IF(OR($M56="",$C56=""),"",MAX(0,TODAY()-$C56))</f>
        <v/>
      </c>
      <c r="L56" s="21" t="str">
        <f aca="false">IF($M56="","",IF(INDEX('DỮ LIỆU'!$R$3:$R$1052,$M56)="","",INDEX('DỮ LIỆU'!$R$3:$R$1052,$M56)))</f>
        <v/>
      </c>
      <c r="M56" s="0" t="str">
        <f aca="false">IFERROR(MATCH(51,'DỮ LIỆU'!$T$3:$T$1052,0),"")</f>
        <v/>
      </c>
    </row>
    <row r="57" customFormat="false" ht="15" hidden="false" customHeight="false" outlineLevel="0" collapsed="false">
      <c r="A57" s="21" t="str">
        <f aca="false">IF($M57="","",52)</f>
        <v/>
      </c>
      <c r="B57" s="13" t="str">
        <f aca="false">IF($M57="","",INDEX('DỮ LIỆU'!$A$3:$A$1052,$M57))</f>
        <v/>
      </c>
      <c r="C57" s="41" t="str">
        <f aca="false">IF($M57="","",IF(INDEX('DỮ LIỆU'!$B$3:$B$1052,$M57)="","",INDEX('DỮ LIỆU'!$B$3:$B$1052,$M57)))</f>
        <v/>
      </c>
      <c r="D57" s="21" t="str">
        <f aca="false">IF($M57="","",IF(INDEX('DỮ LIỆU'!$C$3:$C$1052,$M57)="","",INDEX('DỮ LIỆU'!$C$3:$C$1052,$M57)))</f>
        <v/>
      </c>
      <c r="E57" s="21" t="str">
        <f aca="false">IF($M57="","",IF(INDEX('DỮ LIỆU'!$D$3:$D$1052,$M57)="","",INDEX('DỮ LIỆU'!$D$3:$D$1052,$M57)))</f>
        <v/>
      </c>
      <c r="F57" s="21" t="str">
        <f aca="false">IF($M57="","",IF(INDEX('DỮ LIỆU'!$H$3:$H$1052,$M57)="","",INDEX('DỮ LIỆU'!$H$3:$H$1052,$M57)))</f>
        <v/>
      </c>
      <c r="G57" s="13" t="str">
        <f aca="false">IF($M57="","",N(INDEX('DỮ LIỆU'!$I$3:$I$1052,$M57)))</f>
        <v/>
      </c>
      <c r="H57" s="13" t="str">
        <f aca="false">IF($M57="","",N(INDEX('DỮ LIỆU'!$M$3:$M$1052,$M57)))</f>
        <v/>
      </c>
      <c r="I57" s="13" t="str">
        <f aca="false">IF($M57="","",N(INDEX('DỮ LIỆU'!$N$3:$N$1052,$M57)))</f>
        <v/>
      </c>
      <c r="J57" s="13" t="str">
        <f aca="false">IF($M57="","",N(INDEX('DỮ LIỆU'!$O$3:$O$1052,$M57)))</f>
        <v/>
      </c>
      <c r="K57" s="13" t="str">
        <f aca="true">IF(OR($M57="",$C57=""),"",MAX(0,TODAY()-$C57))</f>
        <v/>
      </c>
      <c r="L57" s="21" t="str">
        <f aca="false">IF($M57="","",IF(INDEX('DỮ LIỆU'!$R$3:$R$1052,$M57)="","",INDEX('DỮ LIỆU'!$R$3:$R$1052,$M57)))</f>
        <v/>
      </c>
      <c r="M57" s="0" t="str">
        <f aca="false">IFERROR(MATCH(52,'DỮ LIỆU'!$T$3:$T$1052,0),"")</f>
        <v/>
      </c>
    </row>
    <row r="58" customFormat="false" ht="15" hidden="false" customHeight="false" outlineLevel="0" collapsed="false">
      <c r="A58" s="21" t="str">
        <f aca="false">IF($M58="","",53)</f>
        <v/>
      </c>
      <c r="B58" s="13" t="str">
        <f aca="false">IF($M58="","",INDEX('DỮ LIỆU'!$A$3:$A$1052,$M58))</f>
        <v/>
      </c>
      <c r="C58" s="41" t="str">
        <f aca="false">IF($M58="","",IF(INDEX('DỮ LIỆU'!$B$3:$B$1052,$M58)="","",INDEX('DỮ LIỆU'!$B$3:$B$1052,$M58)))</f>
        <v/>
      </c>
      <c r="D58" s="21" t="str">
        <f aca="false">IF($M58="","",IF(INDEX('DỮ LIỆU'!$C$3:$C$1052,$M58)="","",INDEX('DỮ LIỆU'!$C$3:$C$1052,$M58)))</f>
        <v/>
      </c>
      <c r="E58" s="21" t="str">
        <f aca="false">IF($M58="","",IF(INDEX('DỮ LIỆU'!$D$3:$D$1052,$M58)="","",INDEX('DỮ LIỆU'!$D$3:$D$1052,$M58)))</f>
        <v/>
      </c>
      <c r="F58" s="21" t="str">
        <f aca="false">IF($M58="","",IF(INDEX('DỮ LIỆU'!$H$3:$H$1052,$M58)="","",INDEX('DỮ LIỆU'!$H$3:$H$1052,$M58)))</f>
        <v/>
      </c>
      <c r="G58" s="13" t="str">
        <f aca="false">IF($M58="","",N(INDEX('DỮ LIỆU'!$I$3:$I$1052,$M58)))</f>
        <v/>
      </c>
      <c r="H58" s="13" t="str">
        <f aca="false">IF($M58="","",N(INDEX('DỮ LIỆU'!$M$3:$M$1052,$M58)))</f>
        <v/>
      </c>
      <c r="I58" s="13" t="str">
        <f aca="false">IF($M58="","",N(INDEX('DỮ LIỆU'!$N$3:$N$1052,$M58)))</f>
        <v/>
      </c>
      <c r="J58" s="13" t="str">
        <f aca="false">IF($M58="","",N(INDEX('DỮ LIỆU'!$O$3:$O$1052,$M58)))</f>
        <v/>
      </c>
      <c r="K58" s="13" t="str">
        <f aca="true">IF(OR($M58="",$C58=""),"",MAX(0,TODAY()-$C58))</f>
        <v/>
      </c>
      <c r="L58" s="21" t="str">
        <f aca="false">IF($M58="","",IF(INDEX('DỮ LIỆU'!$R$3:$R$1052,$M58)="","",INDEX('DỮ LIỆU'!$R$3:$R$1052,$M58)))</f>
        <v/>
      </c>
      <c r="M58" s="0" t="str">
        <f aca="false">IFERROR(MATCH(53,'DỮ LIỆU'!$T$3:$T$1052,0),"")</f>
        <v/>
      </c>
    </row>
    <row r="59" customFormat="false" ht="15" hidden="false" customHeight="false" outlineLevel="0" collapsed="false">
      <c r="A59" s="21" t="str">
        <f aca="false">IF($M59="","",54)</f>
        <v/>
      </c>
      <c r="B59" s="13" t="str">
        <f aca="false">IF($M59="","",INDEX('DỮ LIỆU'!$A$3:$A$1052,$M59))</f>
        <v/>
      </c>
      <c r="C59" s="41" t="str">
        <f aca="false">IF($M59="","",IF(INDEX('DỮ LIỆU'!$B$3:$B$1052,$M59)="","",INDEX('DỮ LIỆU'!$B$3:$B$1052,$M59)))</f>
        <v/>
      </c>
      <c r="D59" s="21" t="str">
        <f aca="false">IF($M59="","",IF(INDEX('DỮ LIỆU'!$C$3:$C$1052,$M59)="","",INDEX('DỮ LIỆU'!$C$3:$C$1052,$M59)))</f>
        <v/>
      </c>
      <c r="E59" s="21" t="str">
        <f aca="false">IF($M59="","",IF(INDEX('DỮ LIỆU'!$D$3:$D$1052,$M59)="","",INDEX('DỮ LIỆU'!$D$3:$D$1052,$M59)))</f>
        <v/>
      </c>
      <c r="F59" s="21" t="str">
        <f aca="false">IF($M59="","",IF(INDEX('DỮ LIỆU'!$H$3:$H$1052,$M59)="","",INDEX('DỮ LIỆU'!$H$3:$H$1052,$M59)))</f>
        <v/>
      </c>
      <c r="G59" s="13" t="str">
        <f aca="false">IF($M59="","",N(INDEX('DỮ LIỆU'!$I$3:$I$1052,$M59)))</f>
        <v/>
      </c>
      <c r="H59" s="13" t="str">
        <f aca="false">IF($M59="","",N(INDEX('DỮ LIỆU'!$M$3:$M$1052,$M59)))</f>
        <v/>
      </c>
      <c r="I59" s="13" t="str">
        <f aca="false">IF($M59="","",N(INDEX('DỮ LIỆU'!$N$3:$N$1052,$M59)))</f>
        <v/>
      </c>
      <c r="J59" s="13" t="str">
        <f aca="false">IF($M59="","",N(INDEX('DỮ LIỆU'!$O$3:$O$1052,$M59)))</f>
        <v/>
      </c>
      <c r="K59" s="13" t="str">
        <f aca="true">IF(OR($M59="",$C59=""),"",MAX(0,TODAY()-$C59))</f>
        <v/>
      </c>
      <c r="L59" s="21" t="str">
        <f aca="false">IF($M59="","",IF(INDEX('DỮ LIỆU'!$R$3:$R$1052,$M59)="","",INDEX('DỮ LIỆU'!$R$3:$R$1052,$M59)))</f>
        <v/>
      </c>
      <c r="M59" s="0" t="str">
        <f aca="false">IFERROR(MATCH(54,'DỮ LIỆU'!$T$3:$T$1052,0),"")</f>
        <v/>
      </c>
    </row>
    <row r="60" customFormat="false" ht="15" hidden="false" customHeight="false" outlineLevel="0" collapsed="false">
      <c r="A60" s="21" t="str">
        <f aca="false">IF($M60="","",55)</f>
        <v/>
      </c>
      <c r="B60" s="13" t="str">
        <f aca="false">IF($M60="","",INDEX('DỮ LIỆU'!$A$3:$A$1052,$M60))</f>
        <v/>
      </c>
      <c r="C60" s="41" t="str">
        <f aca="false">IF($M60="","",IF(INDEX('DỮ LIỆU'!$B$3:$B$1052,$M60)="","",INDEX('DỮ LIỆU'!$B$3:$B$1052,$M60)))</f>
        <v/>
      </c>
      <c r="D60" s="21" t="str">
        <f aca="false">IF($M60="","",IF(INDEX('DỮ LIỆU'!$C$3:$C$1052,$M60)="","",INDEX('DỮ LIỆU'!$C$3:$C$1052,$M60)))</f>
        <v/>
      </c>
      <c r="E60" s="21" t="str">
        <f aca="false">IF($M60="","",IF(INDEX('DỮ LIỆU'!$D$3:$D$1052,$M60)="","",INDEX('DỮ LIỆU'!$D$3:$D$1052,$M60)))</f>
        <v/>
      </c>
      <c r="F60" s="21" t="str">
        <f aca="false">IF($M60="","",IF(INDEX('DỮ LIỆU'!$H$3:$H$1052,$M60)="","",INDEX('DỮ LIỆU'!$H$3:$H$1052,$M60)))</f>
        <v/>
      </c>
      <c r="G60" s="13" t="str">
        <f aca="false">IF($M60="","",N(INDEX('DỮ LIỆU'!$I$3:$I$1052,$M60)))</f>
        <v/>
      </c>
      <c r="H60" s="13" t="str">
        <f aca="false">IF($M60="","",N(INDEX('DỮ LIỆU'!$M$3:$M$1052,$M60)))</f>
        <v/>
      </c>
      <c r="I60" s="13" t="str">
        <f aca="false">IF($M60="","",N(INDEX('DỮ LIỆU'!$N$3:$N$1052,$M60)))</f>
        <v/>
      </c>
      <c r="J60" s="13" t="str">
        <f aca="false">IF($M60="","",N(INDEX('DỮ LIỆU'!$O$3:$O$1052,$M60)))</f>
        <v/>
      </c>
      <c r="K60" s="13" t="str">
        <f aca="true">IF(OR($M60="",$C60=""),"",MAX(0,TODAY()-$C60))</f>
        <v/>
      </c>
      <c r="L60" s="21" t="str">
        <f aca="false">IF($M60="","",IF(INDEX('DỮ LIỆU'!$R$3:$R$1052,$M60)="","",INDEX('DỮ LIỆU'!$R$3:$R$1052,$M60)))</f>
        <v/>
      </c>
      <c r="M60" s="0" t="str">
        <f aca="false">IFERROR(MATCH(55,'DỮ LIỆU'!$T$3:$T$1052,0),"")</f>
        <v/>
      </c>
    </row>
    <row r="61" customFormat="false" ht="15" hidden="false" customHeight="false" outlineLevel="0" collapsed="false">
      <c r="A61" s="21" t="str">
        <f aca="false">IF($M61="","",56)</f>
        <v/>
      </c>
      <c r="B61" s="13" t="str">
        <f aca="false">IF($M61="","",INDEX('DỮ LIỆU'!$A$3:$A$1052,$M61))</f>
        <v/>
      </c>
      <c r="C61" s="41" t="str">
        <f aca="false">IF($M61="","",IF(INDEX('DỮ LIỆU'!$B$3:$B$1052,$M61)="","",INDEX('DỮ LIỆU'!$B$3:$B$1052,$M61)))</f>
        <v/>
      </c>
      <c r="D61" s="21" t="str">
        <f aca="false">IF($M61="","",IF(INDEX('DỮ LIỆU'!$C$3:$C$1052,$M61)="","",INDEX('DỮ LIỆU'!$C$3:$C$1052,$M61)))</f>
        <v/>
      </c>
      <c r="E61" s="21" t="str">
        <f aca="false">IF($M61="","",IF(INDEX('DỮ LIỆU'!$D$3:$D$1052,$M61)="","",INDEX('DỮ LIỆU'!$D$3:$D$1052,$M61)))</f>
        <v/>
      </c>
      <c r="F61" s="21" t="str">
        <f aca="false">IF($M61="","",IF(INDEX('DỮ LIỆU'!$H$3:$H$1052,$M61)="","",INDEX('DỮ LIỆU'!$H$3:$H$1052,$M61)))</f>
        <v/>
      </c>
      <c r="G61" s="13" t="str">
        <f aca="false">IF($M61="","",N(INDEX('DỮ LIỆU'!$I$3:$I$1052,$M61)))</f>
        <v/>
      </c>
      <c r="H61" s="13" t="str">
        <f aca="false">IF($M61="","",N(INDEX('DỮ LIỆU'!$M$3:$M$1052,$M61)))</f>
        <v/>
      </c>
      <c r="I61" s="13" t="str">
        <f aca="false">IF($M61="","",N(INDEX('DỮ LIỆU'!$N$3:$N$1052,$M61)))</f>
        <v/>
      </c>
      <c r="J61" s="13" t="str">
        <f aca="false">IF($M61="","",N(INDEX('DỮ LIỆU'!$O$3:$O$1052,$M61)))</f>
        <v/>
      </c>
      <c r="K61" s="13" t="str">
        <f aca="true">IF(OR($M61="",$C61=""),"",MAX(0,TODAY()-$C61))</f>
        <v/>
      </c>
      <c r="L61" s="21" t="str">
        <f aca="false">IF($M61="","",IF(INDEX('DỮ LIỆU'!$R$3:$R$1052,$M61)="","",INDEX('DỮ LIỆU'!$R$3:$R$1052,$M61)))</f>
        <v/>
      </c>
      <c r="M61" s="0" t="str">
        <f aca="false">IFERROR(MATCH(56,'DỮ LIỆU'!$T$3:$T$1052,0),"")</f>
        <v/>
      </c>
    </row>
    <row r="62" customFormat="false" ht="15" hidden="false" customHeight="false" outlineLevel="0" collapsed="false">
      <c r="A62" s="21" t="str">
        <f aca="false">IF($M62="","",57)</f>
        <v/>
      </c>
      <c r="B62" s="13" t="str">
        <f aca="false">IF($M62="","",INDEX('DỮ LIỆU'!$A$3:$A$1052,$M62))</f>
        <v/>
      </c>
      <c r="C62" s="41" t="str">
        <f aca="false">IF($M62="","",IF(INDEX('DỮ LIỆU'!$B$3:$B$1052,$M62)="","",INDEX('DỮ LIỆU'!$B$3:$B$1052,$M62)))</f>
        <v/>
      </c>
      <c r="D62" s="21" t="str">
        <f aca="false">IF($M62="","",IF(INDEX('DỮ LIỆU'!$C$3:$C$1052,$M62)="","",INDEX('DỮ LIỆU'!$C$3:$C$1052,$M62)))</f>
        <v/>
      </c>
      <c r="E62" s="21" t="str">
        <f aca="false">IF($M62="","",IF(INDEX('DỮ LIỆU'!$D$3:$D$1052,$M62)="","",INDEX('DỮ LIỆU'!$D$3:$D$1052,$M62)))</f>
        <v/>
      </c>
      <c r="F62" s="21" t="str">
        <f aca="false">IF($M62="","",IF(INDEX('DỮ LIỆU'!$H$3:$H$1052,$M62)="","",INDEX('DỮ LIỆU'!$H$3:$H$1052,$M62)))</f>
        <v/>
      </c>
      <c r="G62" s="13" t="str">
        <f aca="false">IF($M62="","",N(INDEX('DỮ LIỆU'!$I$3:$I$1052,$M62)))</f>
        <v/>
      </c>
      <c r="H62" s="13" t="str">
        <f aca="false">IF($M62="","",N(INDEX('DỮ LIỆU'!$M$3:$M$1052,$M62)))</f>
        <v/>
      </c>
      <c r="I62" s="13" t="str">
        <f aca="false">IF($M62="","",N(INDEX('DỮ LIỆU'!$N$3:$N$1052,$M62)))</f>
        <v/>
      </c>
      <c r="J62" s="13" t="str">
        <f aca="false">IF($M62="","",N(INDEX('DỮ LIỆU'!$O$3:$O$1052,$M62)))</f>
        <v/>
      </c>
      <c r="K62" s="13" t="str">
        <f aca="true">IF(OR($M62="",$C62=""),"",MAX(0,TODAY()-$C62))</f>
        <v/>
      </c>
      <c r="L62" s="21" t="str">
        <f aca="false">IF($M62="","",IF(INDEX('DỮ LIỆU'!$R$3:$R$1052,$M62)="","",INDEX('DỮ LIỆU'!$R$3:$R$1052,$M62)))</f>
        <v/>
      </c>
      <c r="M62" s="0" t="str">
        <f aca="false">IFERROR(MATCH(57,'DỮ LIỆU'!$T$3:$T$1052,0),"")</f>
        <v/>
      </c>
    </row>
    <row r="63" customFormat="false" ht="15" hidden="false" customHeight="false" outlineLevel="0" collapsed="false">
      <c r="A63" s="21" t="str">
        <f aca="false">IF($M63="","",58)</f>
        <v/>
      </c>
      <c r="B63" s="13" t="str">
        <f aca="false">IF($M63="","",INDEX('DỮ LIỆU'!$A$3:$A$1052,$M63))</f>
        <v/>
      </c>
      <c r="C63" s="41" t="str">
        <f aca="false">IF($M63="","",IF(INDEX('DỮ LIỆU'!$B$3:$B$1052,$M63)="","",INDEX('DỮ LIỆU'!$B$3:$B$1052,$M63)))</f>
        <v/>
      </c>
      <c r="D63" s="21" t="str">
        <f aca="false">IF($M63="","",IF(INDEX('DỮ LIỆU'!$C$3:$C$1052,$M63)="","",INDEX('DỮ LIỆU'!$C$3:$C$1052,$M63)))</f>
        <v/>
      </c>
      <c r="E63" s="21" t="str">
        <f aca="false">IF($M63="","",IF(INDEX('DỮ LIỆU'!$D$3:$D$1052,$M63)="","",INDEX('DỮ LIỆU'!$D$3:$D$1052,$M63)))</f>
        <v/>
      </c>
      <c r="F63" s="21" t="str">
        <f aca="false">IF($M63="","",IF(INDEX('DỮ LIỆU'!$H$3:$H$1052,$M63)="","",INDEX('DỮ LIỆU'!$H$3:$H$1052,$M63)))</f>
        <v/>
      </c>
      <c r="G63" s="13" t="str">
        <f aca="false">IF($M63="","",N(INDEX('DỮ LIỆU'!$I$3:$I$1052,$M63)))</f>
        <v/>
      </c>
      <c r="H63" s="13" t="str">
        <f aca="false">IF($M63="","",N(INDEX('DỮ LIỆU'!$M$3:$M$1052,$M63)))</f>
        <v/>
      </c>
      <c r="I63" s="13" t="str">
        <f aca="false">IF($M63="","",N(INDEX('DỮ LIỆU'!$N$3:$N$1052,$M63)))</f>
        <v/>
      </c>
      <c r="J63" s="13" t="str">
        <f aca="false">IF($M63="","",N(INDEX('DỮ LIỆU'!$O$3:$O$1052,$M63)))</f>
        <v/>
      </c>
      <c r="K63" s="13" t="str">
        <f aca="true">IF(OR($M63="",$C63=""),"",MAX(0,TODAY()-$C63))</f>
        <v/>
      </c>
      <c r="L63" s="21" t="str">
        <f aca="false">IF($M63="","",IF(INDEX('DỮ LIỆU'!$R$3:$R$1052,$M63)="","",INDEX('DỮ LIỆU'!$R$3:$R$1052,$M63)))</f>
        <v/>
      </c>
      <c r="M63" s="0" t="str">
        <f aca="false">IFERROR(MATCH(58,'DỮ LIỆU'!$T$3:$T$1052,0),"")</f>
        <v/>
      </c>
    </row>
    <row r="64" customFormat="false" ht="15" hidden="false" customHeight="false" outlineLevel="0" collapsed="false">
      <c r="A64" s="21" t="str">
        <f aca="false">IF($M64="","",59)</f>
        <v/>
      </c>
      <c r="B64" s="13" t="str">
        <f aca="false">IF($M64="","",INDEX('DỮ LIỆU'!$A$3:$A$1052,$M64))</f>
        <v/>
      </c>
      <c r="C64" s="41" t="str">
        <f aca="false">IF($M64="","",IF(INDEX('DỮ LIỆU'!$B$3:$B$1052,$M64)="","",INDEX('DỮ LIỆU'!$B$3:$B$1052,$M64)))</f>
        <v/>
      </c>
      <c r="D64" s="21" t="str">
        <f aca="false">IF($M64="","",IF(INDEX('DỮ LIỆU'!$C$3:$C$1052,$M64)="","",INDEX('DỮ LIỆU'!$C$3:$C$1052,$M64)))</f>
        <v/>
      </c>
      <c r="E64" s="21" t="str">
        <f aca="false">IF($M64="","",IF(INDEX('DỮ LIỆU'!$D$3:$D$1052,$M64)="","",INDEX('DỮ LIỆU'!$D$3:$D$1052,$M64)))</f>
        <v/>
      </c>
      <c r="F64" s="21" t="str">
        <f aca="false">IF($M64="","",IF(INDEX('DỮ LIỆU'!$H$3:$H$1052,$M64)="","",INDEX('DỮ LIỆU'!$H$3:$H$1052,$M64)))</f>
        <v/>
      </c>
      <c r="G64" s="13" t="str">
        <f aca="false">IF($M64="","",N(INDEX('DỮ LIỆU'!$I$3:$I$1052,$M64)))</f>
        <v/>
      </c>
      <c r="H64" s="13" t="str">
        <f aca="false">IF($M64="","",N(INDEX('DỮ LIỆU'!$M$3:$M$1052,$M64)))</f>
        <v/>
      </c>
      <c r="I64" s="13" t="str">
        <f aca="false">IF($M64="","",N(INDEX('DỮ LIỆU'!$N$3:$N$1052,$M64)))</f>
        <v/>
      </c>
      <c r="J64" s="13" t="str">
        <f aca="false">IF($M64="","",N(INDEX('DỮ LIỆU'!$O$3:$O$1052,$M64)))</f>
        <v/>
      </c>
      <c r="K64" s="13" t="str">
        <f aca="true">IF(OR($M64="",$C64=""),"",MAX(0,TODAY()-$C64))</f>
        <v/>
      </c>
      <c r="L64" s="21" t="str">
        <f aca="false">IF($M64="","",IF(INDEX('DỮ LIỆU'!$R$3:$R$1052,$M64)="","",INDEX('DỮ LIỆU'!$R$3:$R$1052,$M64)))</f>
        <v/>
      </c>
      <c r="M64" s="0" t="str">
        <f aca="false">IFERROR(MATCH(59,'DỮ LIỆU'!$T$3:$T$1052,0),"")</f>
        <v/>
      </c>
    </row>
    <row r="65" customFormat="false" ht="15" hidden="false" customHeight="false" outlineLevel="0" collapsed="false">
      <c r="A65" s="21" t="str">
        <f aca="false">IF($M65="","",60)</f>
        <v/>
      </c>
      <c r="B65" s="13" t="str">
        <f aca="false">IF($M65="","",INDEX('DỮ LIỆU'!$A$3:$A$1052,$M65))</f>
        <v/>
      </c>
      <c r="C65" s="41" t="str">
        <f aca="false">IF($M65="","",IF(INDEX('DỮ LIỆU'!$B$3:$B$1052,$M65)="","",INDEX('DỮ LIỆU'!$B$3:$B$1052,$M65)))</f>
        <v/>
      </c>
      <c r="D65" s="21" t="str">
        <f aca="false">IF($M65="","",IF(INDEX('DỮ LIỆU'!$C$3:$C$1052,$M65)="","",INDEX('DỮ LIỆU'!$C$3:$C$1052,$M65)))</f>
        <v/>
      </c>
      <c r="E65" s="21" t="str">
        <f aca="false">IF($M65="","",IF(INDEX('DỮ LIỆU'!$D$3:$D$1052,$M65)="","",INDEX('DỮ LIỆU'!$D$3:$D$1052,$M65)))</f>
        <v/>
      </c>
      <c r="F65" s="21" t="str">
        <f aca="false">IF($M65="","",IF(INDEX('DỮ LIỆU'!$H$3:$H$1052,$M65)="","",INDEX('DỮ LIỆU'!$H$3:$H$1052,$M65)))</f>
        <v/>
      </c>
      <c r="G65" s="13" t="str">
        <f aca="false">IF($M65="","",N(INDEX('DỮ LIỆU'!$I$3:$I$1052,$M65)))</f>
        <v/>
      </c>
      <c r="H65" s="13" t="str">
        <f aca="false">IF($M65="","",N(INDEX('DỮ LIỆU'!$M$3:$M$1052,$M65)))</f>
        <v/>
      </c>
      <c r="I65" s="13" t="str">
        <f aca="false">IF($M65="","",N(INDEX('DỮ LIỆU'!$N$3:$N$1052,$M65)))</f>
        <v/>
      </c>
      <c r="J65" s="13" t="str">
        <f aca="false">IF($M65="","",N(INDEX('DỮ LIỆU'!$O$3:$O$1052,$M65)))</f>
        <v/>
      </c>
      <c r="K65" s="13" t="str">
        <f aca="true">IF(OR($M65="",$C65=""),"",MAX(0,TODAY()-$C65))</f>
        <v/>
      </c>
      <c r="L65" s="21" t="str">
        <f aca="false">IF($M65="","",IF(INDEX('DỮ LIỆU'!$R$3:$R$1052,$M65)="","",INDEX('DỮ LIỆU'!$R$3:$R$1052,$M65)))</f>
        <v/>
      </c>
      <c r="M65" s="0" t="str">
        <f aca="false">IFERROR(MATCH(60,'DỮ LIỆU'!$T$3:$T$1052,0),"")</f>
        <v/>
      </c>
    </row>
    <row r="66" customFormat="false" ht="15" hidden="false" customHeight="false" outlineLevel="0" collapsed="false">
      <c r="A66" s="21" t="str">
        <f aca="false">IF($M66="","",61)</f>
        <v/>
      </c>
      <c r="B66" s="13" t="str">
        <f aca="false">IF($M66="","",INDEX('DỮ LIỆU'!$A$3:$A$1052,$M66))</f>
        <v/>
      </c>
      <c r="C66" s="41" t="str">
        <f aca="false">IF($M66="","",IF(INDEX('DỮ LIỆU'!$B$3:$B$1052,$M66)="","",INDEX('DỮ LIỆU'!$B$3:$B$1052,$M66)))</f>
        <v/>
      </c>
      <c r="D66" s="21" t="str">
        <f aca="false">IF($M66="","",IF(INDEX('DỮ LIỆU'!$C$3:$C$1052,$M66)="","",INDEX('DỮ LIỆU'!$C$3:$C$1052,$M66)))</f>
        <v/>
      </c>
      <c r="E66" s="21" t="str">
        <f aca="false">IF($M66="","",IF(INDEX('DỮ LIỆU'!$D$3:$D$1052,$M66)="","",INDEX('DỮ LIỆU'!$D$3:$D$1052,$M66)))</f>
        <v/>
      </c>
      <c r="F66" s="21" t="str">
        <f aca="false">IF($M66="","",IF(INDEX('DỮ LIỆU'!$H$3:$H$1052,$M66)="","",INDEX('DỮ LIỆU'!$H$3:$H$1052,$M66)))</f>
        <v/>
      </c>
      <c r="G66" s="13" t="str">
        <f aca="false">IF($M66="","",N(INDEX('DỮ LIỆU'!$I$3:$I$1052,$M66)))</f>
        <v/>
      </c>
      <c r="H66" s="13" t="str">
        <f aca="false">IF($M66="","",N(INDEX('DỮ LIỆU'!$M$3:$M$1052,$M66)))</f>
        <v/>
      </c>
      <c r="I66" s="13" t="str">
        <f aca="false">IF($M66="","",N(INDEX('DỮ LIỆU'!$N$3:$N$1052,$M66)))</f>
        <v/>
      </c>
      <c r="J66" s="13" t="str">
        <f aca="false">IF($M66="","",N(INDEX('DỮ LIỆU'!$O$3:$O$1052,$M66)))</f>
        <v/>
      </c>
      <c r="K66" s="13" t="str">
        <f aca="true">IF(OR($M66="",$C66=""),"",MAX(0,TODAY()-$C66))</f>
        <v/>
      </c>
      <c r="L66" s="21" t="str">
        <f aca="false">IF($M66="","",IF(INDEX('DỮ LIỆU'!$R$3:$R$1052,$M66)="","",INDEX('DỮ LIỆU'!$R$3:$R$1052,$M66)))</f>
        <v/>
      </c>
      <c r="M66" s="0" t="str">
        <f aca="false">IFERROR(MATCH(61,'DỮ LIỆU'!$T$3:$T$1052,0),"")</f>
        <v/>
      </c>
    </row>
    <row r="67" customFormat="false" ht="15" hidden="false" customHeight="false" outlineLevel="0" collapsed="false">
      <c r="A67" s="21" t="str">
        <f aca="false">IF($M67="","",62)</f>
        <v/>
      </c>
      <c r="B67" s="13" t="str">
        <f aca="false">IF($M67="","",INDEX('DỮ LIỆU'!$A$3:$A$1052,$M67))</f>
        <v/>
      </c>
      <c r="C67" s="41" t="str">
        <f aca="false">IF($M67="","",IF(INDEX('DỮ LIỆU'!$B$3:$B$1052,$M67)="","",INDEX('DỮ LIỆU'!$B$3:$B$1052,$M67)))</f>
        <v/>
      </c>
      <c r="D67" s="21" t="str">
        <f aca="false">IF($M67="","",IF(INDEX('DỮ LIỆU'!$C$3:$C$1052,$M67)="","",INDEX('DỮ LIỆU'!$C$3:$C$1052,$M67)))</f>
        <v/>
      </c>
      <c r="E67" s="21" t="str">
        <f aca="false">IF($M67="","",IF(INDEX('DỮ LIỆU'!$D$3:$D$1052,$M67)="","",INDEX('DỮ LIỆU'!$D$3:$D$1052,$M67)))</f>
        <v/>
      </c>
      <c r="F67" s="21" t="str">
        <f aca="false">IF($M67="","",IF(INDEX('DỮ LIỆU'!$H$3:$H$1052,$M67)="","",INDEX('DỮ LIỆU'!$H$3:$H$1052,$M67)))</f>
        <v/>
      </c>
      <c r="G67" s="13" t="str">
        <f aca="false">IF($M67="","",N(INDEX('DỮ LIỆU'!$I$3:$I$1052,$M67)))</f>
        <v/>
      </c>
      <c r="H67" s="13" t="str">
        <f aca="false">IF($M67="","",N(INDEX('DỮ LIỆU'!$M$3:$M$1052,$M67)))</f>
        <v/>
      </c>
      <c r="I67" s="13" t="str">
        <f aca="false">IF($M67="","",N(INDEX('DỮ LIỆU'!$N$3:$N$1052,$M67)))</f>
        <v/>
      </c>
      <c r="J67" s="13" t="str">
        <f aca="false">IF($M67="","",N(INDEX('DỮ LIỆU'!$O$3:$O$1052,$M67)))</f>
        <v/>
      </c>
      <c r="K67" s="13" t="str">
        <f aca="true">IF(OR($M67="",$C67=""),"",MAX(0,TODAY()-$C67))</f>
        <v/>
      </c>
      <c r="L67" s="21" t="str">
        <f aca="false">IF($M67="","",IF(INDEX('DỮ LIỆU'!$R$3:$R$1052,$M67)="","",INDEX('DỮ LIỆU'!$R$3:$R$1052,$M67)))</f>
        <v/>
      </c>
      <c r="M67" s="0" t="str">
        <f aca="false">IFERROR(MATCH(62,'DỮ LIỆU'!$T$3:$T$1052,0),"")</f>
        <v/>
      </c>
    </row>
    <row r="68" customFormat="false" ht="15" hidden="false" customHeight="false" outlineLevel="0" collapsed="false">
      <c r="A68" s="21" t="str">
        <f aca="false">IF($M68="","",63)</f>
        <v/>
      </c>
      <c r="B68" s="13" t="str">
        <f aca="false">IF($M68="","",INDEX('DỮ LIỆU'!$A$3:$A$1052,$M68))</f>
        <v/>
      </c>
      <c r="C68" s="41" t="str">
        <f aca="false">IF($M68="","",IF(INDEX('DỮ LIỆU'!$B$3:$B$1052,$M68)="","",INDEX('DỮ LIỆU'!$B$3:$B$1052,$M68)))</f>
        <v/>
      </c>
      <c r="D68" s="21" t="str">
        <f aca="false">IF($M68="","",IF(INDEX('DỮ LIỆU'!$C$3:$C$1052,$M68)="","",INDEX('DỮ LIỆU'!$C$3:$C$1052,$M68)))</f>
        <v/>
      </c>
      <c r="E68" s="21" t="str">
        <f aca="false">IF($M68="","",IF(INDEX('DỮ LIỆU'!$D$3:$D$1052,$M68)="","",INDEX('DỮ LIỆU'!$D$3:$D$1052,$M68)))</f>
        <v/>
      </c>
      <c r="F68" s="21" t="str">
        <f aca="false">IF($M68="","",IF(INDEX('DỮ LIỆU'!$H$3:$H$1052,$M68)="","",INDEX('DỮ LIỆU'!$H$3:$H$1052,$M68)))</f>
        <v/>
      </c>
      <c r="G68" s="13" t="str">
        <f aca="false">IF($M68="","",N(INDEX('DỮ LIỆU'!$I$3:$I$1052,$M68)))</f>
        <v/>
      </c>
      <c r="H68" s="13" t="str">
        <f aca="false">IF($M68="","",N(INDEX('DỮ LIỆU'!$M$3:$M$1052,$M68)))</f>
        <v/>
      </c>
      <c r="I68" s="13" t="str">
        <f aca="false">IF($M68="","",N(INDEX('DỮ LIỆU'!$N$3:$N$1052,$M68)))</f>
        <v/>
      </c>
      <c r="J68" s="13" t="str">
        <f aca="false">IF($M68="","",N(INDEX('DỮ LIỆU'!$O$3:$O$1052,$M68)))</f>
        <v/>
      </c>
      <c r="K68" s="13" t="str">
        <f aca="true">IF(OR($M68="",$C68=""),"",MAX(0,TODAY()-$C68))</f>
        <v/>
      </c>
      <c r="L68" s="21" t="str">
        <f aca="false">IF($M68="","",IF(INDEX('DỮ LIỆU'!$R$3:$R$1052,$M68)="","",INDEX('DỮ LIỆU'!$R$3:$R$1052,$M68)))</f>
        <v/>
      </c>
      <c r="M68" s="0" t="str">
        <f aca="false">IFERROR(MATCH(63,'DỮ LIỆU'!$T$3:$T$1052,0),"")</f>
        <v/>
      </c>
    </row>
    <row r="69" customFormat="false" ht="15" hidden="false" customHeight="false" outlineLevel="0" collapsed="false">
      <c r="A69" s="21" t="str">
        <f aca="false">IF($M69="","",64)</f>
        <v/>
      </c>
      <c r="B69" s="13" t="str">
        <f aca="false">IF($M69="","",INDEX('DỮ LIỆU'!$A$3:$A$1052,$M69))</f>
        <v/>
      </c>
      <c r="C69" s="41" t="str">
        <f aca="false">IF($M69="","",IF(INDEX('DỮ LIỆU'!$B$3:$B$1052,$M69)="","",INDEX('DỮ LIỆU'!$B$3:$B$1052,$M69)))</f>
        <v/>
      </c>
      <c r="D69" s="21" t="str">
        <f aca="false">IF($M69="","",IF(INDEX('DỮ LIỆU'!$C$3:$C$1052,$M69)="","",INDEX('DỮ LIỆU'!$C$3:$C$1052,$M69)))</f>
        <v/>
      </c>
      <c r="E69" s="21" t="str">
        <f aca="false">IF($M69="","",IF(INDEX('DỮ LIỆU'!$D$3:$D$1052,$M69)="","",INDEX('DỮ LIỆU'!$D$3:$D$1052,$M69)))</f>
        <v/>
      </c>
      <c r="F69" s="21" t="str">
        <f aca="false">IF($M69="","",IF(INDEX('DỮ LIỆU'!$H$3:$H$1052,$M69)="","",INDEX('DỮ LIỆU'!$H$3:$H$1052,$M69)))</f>
        <v/>
      </c>
      <c r="G69" s="13" t="str">
        <f aca="false">IF($M69="","",N(INDEX('DỮ LIỆU'!$I$3:$I$1052,$M69)))</f>
        <v/>
      </c>
      <c r="H69" s="13" t="str">
        <f aca="false">IF($M69="","",N(INDEX('DỮ LIỆU'!$M$3:$M$1052,$M69)))</f>
        <v/>
      </c>
      <c r="I69" s="13" t="str">
        <f aca="false">IF($M69="","",N(INDEX('DỮ LIỆU'!$N$3:$N$1052,$M69)))</f>
        <v/>
      </c>
      <c r="J69" s="13" t="str">
        <f aca="false">IF($M69="","",N(INDEX('DỮ LIỆU'!$O$3:$O$1052,$M69)))</f>
        <v/>
      </c>
      <c r="K69" s="13" t="str">
        <f aca="true">IF(OR($M69="",$C69=""),"",MAX(0,TODAY()-$C69))</f>
        <v/>
      </c>
      <c r="L69" s="21" t="str">
        <f aca="false">IF($M69="","",IF(INDEX('DỮ LIỆU'!$R$3:$R$1052,$M69)="","",INDEX('DỮ LIỆU'!$R$3:$R$1052,$M69)))</f>
        <v/>
      </c>
      <c r="M69" s="0" t="str">
        <f aca="false">IFERROR(MATCH(64,'DỮ LIỆU'!$T$3:$T$1052,0),"")</f>
        <v/>
      </c>
    </row>
    <row r="70" customFormat="false" ht="15" hidden="false" customHeight="false" outlineLevel="0" collapsed="false">
      <c r="A70" s="21" t="str">
        <f aca="false">IF($M70="","",65)</f>
        <v/>
      </c>
      <c r="B70" s="13" t="str">
        <f aca="false">IF($M70="","",INDEX('DỮ LIỆU'!$A$3:$A$1052,$M70))</f>
        <v/>
      </c>
      <c r="C70" s="41" t="str">
        <f aca="false">IF($M70="","",IF(INDEX('DỮ LIỆU'!$B$3:$B$1052,$M70)="","",INDEX('DỮ LIỆU'!$B$3:$B$1052,$M70)))</f>
        <v/>
      </c>
      <c r="D70" s="21" t="str">
        <f aca="false">IF($M70="","",IF(INDEX('DỮ LIỆU'!$C$3:$C$1052,$M70)="","",INDEX('DỮ LIỆU'!$C$3:$C$1052,$M70)))</f>
        <v/>
      </c>
      <c r="E70" s="21" t="str">
        <f aca="false">IF($M70="","",IF(INDEX('DỮ LIỆU'!$D$3:$D$1052,$M70)="","",INDEX('DỮ LIỆU'!$D$3:$D$1052,$M70)))</f>
        <v/>
      </c>
      <c r="F70" s="21" t="str">
        <f aca="false">IF($M70="","",IF(INDEX('DỮ LIỆU'!$H$3:$H$1052,$M70)="","",INDEX('DỮ LIỆU'!$H$3:$H$1052,$M70)))</f>
        <v/>
      </c>
      <c r="G70" s="13" t="str">
        <f aca="false">IF($M70="","",N(INDEX('DỮ LIỆU'!$I$3:$I$1052,$M70)))</f>
        <v/>
      </c>
      <c r="H70" s="13" t="str">
        <f aca="false">IF($M70="","",N(INDEX('DỮ LIỆU'!$M$3:$M$1052,$M70)))</f>
        <v/>
      </c>
      <c r="I70" s="13" t="str">
        <f aca="false">IF($M70="","",N(INDEX('DỮ LIỆU'!$N$3:$N$1052,$M70)))</f>
        <v/>
      </c>
      <c r="J70" s="13" t="str">
        <f aca="false">IF($M70="","",N(INDEX('DỮ LIỆU'!$O$3:$O$1052,$M70)))</f>
        <v/>
      </c>
      <c r="K70" s="13" t="str">
        <f aca="true">IF(OR($M70="",$C70=""),"",MAX(0,TODAY()-$C70))</f>
        <v/>
      </c>
      <c r="L70" s="21" t="str">
        <f aca="false">IF($M70="","",IF(INDEX('DỮ LIỆU'!$R$3:$R$1052,$M70)="","",INDEX('DỮ LIỆU'!$R$3:$R$1052,$M70)))</f>
        <v/>
      </c>
      <c r="M70" s="0" t="str">
        <f aca="false">IFERROR(MATCH(65,'DỮ LIỆU'!$T$3:$T$1052,0),"")</f>
        <v/>
      </c>
    </row>
    <row r="71" customFormat="false" ht="15" hidden="false" customHeight="false" outlineLevel="0" collapsed="false">
      <c r="A71" s="21" t="str">
        <f aca="false">IF($M71="","",66)</f>
        <v/>
      </c>
      <c r="B71" s="13" t="str">
        <f aca="false">IF($M71="","",INDEX('DỮ LIỆU'!$A$3:$A$1052,$M71))</f>
        <v/>
      </c>
      <c r="C71" s="41" t="str">
        <f aca="false">IF($M71="","",IF(INDEX('DỮ LIỆU'!$B$3:$B$1052,$M71)="","",INDEX('DỮ LIỆU'!$B$3:$B$1052,$M71)))</f>
        <v/>
      </c>
      <c r="D71" s="21" t="str">
        <f aca="false">IF($M71="","",IF(INDEX('DỮ LIỆU'!$C$3:$C$1052,$M71)="","",INDEX('DỮ LIỆU'!$C$3:$C$1052,$M71)))</f>
        <v/>
      </c>
      <c r="E71" s="21" t="str">
        <f aca="false">IF($M71="","",IF(INDEX('DỮ LIỆU'!$D$3:$D$1052,$M71)="","",INDEX('DỮ LIỆU'!$D$3:$D$1052,$M71)))</f>
        <v/>
      </c>
      <c r="F71" s="21" t="str">
        <f aca="false">IF($M71="","",IF(INDEX('DỮ LIỆU'!$H$3:$H$1052,$M71)="","",INDEX('DỮ LIỆU'!$H$3:$H$1052,$M71)))</f>
        <v/>
      </c>
      <c r="G71" s="13" t="str">
        <f aca="false">IF($M71="","",N(INDEX('DỮ LIỆU'!$I$3:$I$1052,$M71)))</f>
        <v/>
      </c>
      <c r="H71" s="13" t="str">
        <f aca="false">IF($M71="","",N(INDEX('DỮ LIỆU'!$M$3:$M$1052,$M71)))</f>
        <v/>
      </c>
      <c r="I71" s="13" t="str">
        <f aca="false">IF($M71="","",N(INDEX('DỮ LIỆU'!$N$3:$N$1052,$M71)))</f>
        <v/>
      </c>
      <c r="J71" s="13" t="str">
        <f aca="false">IF($M71="","",N(INDEX('DỮ LIỆU'!$O$3:$O$1052,$M71)))</f>
        <v/>
      </c>
      <c r="K71" s="13" t="str">
        <f aca="true">IF(OR($M71="",$C71=""),"",MAX(0,TODAY()-$C71))</f>
        <v/>
      </c>
      <c r="L71" s="21" t="str">
        <f aca="false">IF($M71="","",IF(INDEX('DỮ LIỆU'!$R$3:$R$1052,$M71)="","",INDEX('DỮ LIỆU'!$R$3:$R$1052,$M71)))</f>
        <v/>
      </c>
      <c r="M71" s="0" t="str">
        <f aca="false">IFERROR(MATCH(66,'DỮ LIỆU'!$T$3:$T$1052,0),"")</f>
        <v/>
      </c>
    </row>
    <row r="72" customFormat="false" ht="15" hidden="false" customHeight="false" outlineLevel="0" collapsed="false">
      <c r="A72" s="21" t="str">
        <f aca="false">IF($M72="","",67)</f>
        <v/>
      </c>
      <c r="B72" s="13" t="str">
        <f aca="false">IF($M72="","",INDEX('DỮ LIỆU'!$A$3:$A$1052,$M72))</f>
        <v/>
      </c>
      <c r="C72" s="41" t="str">
        <f aca="false">IF($M72="","",IF(INDEX('DỮ LIỆU'!$B$3:$B$1052,$M72)="","",INDEX('DỮ LIỆU'!$B$3:$B$1052,$M72)))</f>
        <v/>
      </c>
      <c r="D72" s="21" t="str">
        <f aca="false">IF($M72="","",IF(INDEX('DỮ LIỆU'!$C$3:$C$1052,$M72)="","",INDEX('DỮ LIỆU'!$C$3:$C$1052,$M72)))</f>
        <v/>
      </c>
      <c r="E72" s="21" t="str">
        <f aca="false">IF($M72="","",IF(INDEX('DỮ LIỆU'!$D$3:$D$1052,$M72)="","",INDEX('DỮ LIỆU'!$D$3:$D$1052,$M72)))</f>
        <v/>
      </c>
      <c r="F72" s="21" t="str">
        <f aca="false">IF($M72="","",IF(INDEX('DỮ LIỆU'!$H$3:$H$1052,$M72)="","",INDEX('DỮ LIỆU'!$H$3:$H$1052,$M72)))</f>
        <v/>
      </c>
      <c r="G72" s="13" t="str">
        <f aca="false">IF($M72="","",N(INDEX('DỮ LIỆU'!$I$3:$I$1052,$M72)))</f>
        <v/>
      </c>
      <c r="H72" s="13" t="str">
        <f aca="false">IF($M72="","",N(INDEX('DỮ LIỆU'!$M$3:$M$1052,$M72)))</f>
        <v/>
      </c>
      <c r="I72" s="13" t="str">
        <f aca="false">IF($M72="","",N(INDEX('DỮ LIỆU'!$N$3:$N$1052,$M72)))</f>
        <v/>
      </c>
      <c r="J72" s="13" t="str">
        <f aca="false">IF($M72="","",N(INDEX('DỮ LIỆU'!$O$3:$O$1052,$M72)))</f>
        <v/>
      </c>
      <c r="K72" s="13" t="str">
        <f aca="true">IF(OR($M72="",$C72=""),"",MAX(0,TODAY()-$C72))</f>
        <v/>
      </c>
      <c r="L72" s="21" t="str">
        <f aca="false">IF($M72="","",IF(INDEX('DỮ LIỆU'!$R$3:$R$1052,$M72)="","",INDEX('DỮ LIỆU'!$R$3:$R$1052,$M72)))</f>
        <v/>
      </c>
      <c r="M72" s="0" t="str">
        <f aca="false">IFERROR(MATCH(67,'DỮ LIỆU'!$T$3:$T$1052,0),"")</f>
        <v/>
      </c>
    </row>
    <row r="73" customFormat="false" ht="15" hidden="false" customHeight="false" outlineLevel="0" collapsed="false">
      <c r="A73" s="21" t="str">
        <f aca="false">IF($M73="","",68)</f>
        <v/>
      </c>
      <c r="B73" s="13" t="str">
        <f aca="false">IF($M73="","",INDEX('DỮ LIỆU'!$A$3:$A$1052,$M73))</f>
        <v/>
      </c>
      <c r="C73" s="41" t="str">
        <f aca="false">IF($M73="","",IF(INDEX('DỮ LIỆU'!$B$3:$B$1052,$M73)="","",INDEX('DỮ LIỆU'!$B$3:$B$1052,$M73)))</f>
        <v/>
      </c>
      <c r="D73" s="21" t="str">
        <f aca="false">IF($M73="","",IF(INDEX('DỮ LIỆU'!$C$3:$C$1052,$M73)="","",INDEX('DỮ LIỆU'!$C$3:$C$1052,$M73)))</f>
        <v/>
      </c>
      <c r="E73" s="21" t="str">
        <f aca="false">IF($M73="","",IF(INDEX('DỮ LIỆU'!$D$3:$D$1052,$M73)="","",INDEX('DỮ LIỆU'!$D$3:$D$1052,$M73)))</f>
        <v/>
      </c>
      <c r="F73" s="21" t="str">
        <f aca="false">IF($M73="","",IF(INDEX('DỮ LIỆU'!$H$3:$H$1052,$M73)="","",INDEX('DỮ LIỆU'!$H$3:$H$1052,$M73)))</f>
        <v/>
      </c>
      <c r="G73" s="13" t="str">
        <f aca="false">IF($M73="","",N(INDEX('DỮ LIỆU'!$I$3:$I$1052,$M73)))</f>
        <v/>
      </c>
      <c r="H73" s="13" t="str">
        <f aca="false">IF($M73="","",N(INDEX('DỮ LIỆU'!$M$3:$M$1052,$M73)))</f>
        <v/>
      </c>
      <c r="I73" s="13" t="str">
        <f aca="false">IF($M73="","",N(INDEX('DỮ LIỆU'!$N$3:$N$1052,$M73)))</f>
        <v/>
      </c>
      <c r="J73" s="13" t="str">
        <f aca="false">IF($M73="","",N(INDEX('DỮ LIỆU'!$O$3:$O$1052,$M73)))</f>
        <v/>
      </c>
      <c r="K73" s="13" t="str">
        <f aca="true">IF(OR($M73="",$C73=""),"",MAX(0,TODAY()-$C73))</f>
        <v/>
      </c>
      <c r="L73" s="21" t="str">
        <f aca="false">IF($M73="","",IF(INDEX('DỮ LIỆU'!$R$3:$R$1052,$M73)="","",INDEX('DỮ LIỆU'!$R$3:$R$1052,$M73)))</f>
        <v/>
      </c>
      <c r="M73" s="0" t="str">
        <f aca="false">IFERROR(MATCH(68,'DỮ LIỆU'!$T$3:$T$1052,0),"")</f>
        <v/>
      </c>
    </row>
    <row r="74" customFormat="false" ht="15" hidden="false" customHeight="false" outlineLevel="0" collapsed="false">
      <c r="A74" s="21" t="str">
        <f aca="false">IF($M74="","",69)</f>
        <v/>
      </c>
      <c r="B74" s="13" t="str">
        <f aca="false">IF($M74="","",INDEX('DỮ LIỆU'!$A$3:$A$1052,$M74))</f>
        <v/>
      </c>
      <c r="C74" s="41" t="str">
        <f aca="false">IF($M74="","",IF(INDEX('DỮ LIỆU'!$B$3:$B$1052,$M74)="","",INDEX('DỮ LIỆU'!$B$3:$B$1052,$M74)))</f>
        <v/>
      </c>
      <c r="D74" s="21" t="str">
        <f aca="false">IF($M74="","",IF(INDEX('DỮ LIỆU'!$C$3:$C$1052,$M74)="","",INDEX('DỮ LIỆU'!$C$3:$C$1052,$M74)))</f>
        <v/>
      </c>
      <c r="E74" s="21" t="str">
        <f aca="false">IF($M74="","",IF(INDEX('DỮ LIỆU'!$D$3:$D$1052,$M74)="","",INDEX('DỮ LIỆU'!$D$3:$D$1052,$M74)))</f>
        <v/>
      </c>
      <c r="F74" s="21" t="str">
        <f aca="false">IF($M74="","",IF(INDEX('DỮ LIỆU'!$H$3:$H$1052,$M74)="","",INDEX('DỮ LIỆU'!$H$3:$H$1052,$M74)))</f>
        <v/>
      </c>
      <c r="G74" s="13" t="str">
        <f aca="false">IF($M74="","",N(INDEX('DỮ LIỆU'!$I$3:$I$1052,$M74)))</f>
        <v/>
      </c>
      <c r="H74" s="13" t="str">
        <f aca="false">IF($M74="","",N(INDEX('DỮ LIỆU'!$M$3:$M$1052,$M74)))</f>
        <v/>
      </c>
      <c r="I74" s="13" t="str">
        <f aca="false">IF($M74="","",N(INDEX('DỮ LIỆU'!$N$3:$N$1052,$M74)))</f>
        <v/>
      </c>
      <c r="J74" s="13" t="str">
        <f aca="false">IF($M74="","",N(INDEX('DỮ LIỆU'!$O$3:$O$1052,$M74)))</f>
        <v/>
      </c>
      <c r="K74" s="13" t="str">
        <f aca="true">IF(OR($M74="",$C74=""),"",MAX(0,TODAY()-$C74))</f>
        <v/>
      </c>
      <c r="L74" s="21" t="str">
        <f aca="false">IF($M74="","",IF(INDEX('DỮ LIỆU'!$R$3:$R$1052,$M74)="","",INDEX('DỮ LIỆU'!$R$3:$R$1052,$M74)))</f>
        <v/>
      </c>
      <c r="M74" s="0" t="str">
        <f aca="false">IFERROR(MATCH(69,'DỮ LIỆU'!$T$3:$T$1052,0),"")</f>
        <v/>
      </c>
    </row>
    <row r="75" customFormat="false" ht="15" hidden="false" customHeight="false" outlineLevel="0" collapsed="false">
      <c r="A75" s="21" t="str">
        <f aca="false">IF($M75="","",70)</f>
        <v/>
      </c>
      <c r="B75" s="13" t="str">
        <f aca="false">IF($M75="","",INDEX('DỮ LIỆU'!$A$3:$A$1052,$M75))</f>
        <v/>
      </c>
      <c r="C75" s="41" t="str">
        <f aca="false">IF($M75="","",IF(INDEX('DỮ LIỆU'!$B$3:$B$1052,$M75)="","",INDEX('DỮ LIỆU'!$B$3:$B$1052,$M75)))</f>
        <v/>
      </c>
      <c r="D75" s="21" t="str">
        <f aca="false">IF($M75="","",IF(INDEX('DỮ LIỆU'!$C$3:$C$1052,$M75)="","",INDEX('DỮ LIỆU'!$C$3:$C$1052,$M75)))</f>
        <v/>
      </c>
      <c r="E75" s="21" t="str">
        <f aca="false">IF($M75="","",IF(INDEX('DỮ LIỆU'!$D$3:$D$1052,$M75)="","",INDEX('DỮ LIỆU'!$D$3:$D$1052,$M75)))</f>
        <v/>
      </c>
      <c r="F75" s="21" t="str">
        <f aca="false">IF($M75="","",IF(INDEX('DỮ LIỆU'!$H$3:$H$1052,$M75)="","",INDEX('DỮ LIỆU'!$H$3:$H$1052,$M75)))</f>
        <v/>
      </c>
      <c r="G75" s="13" t="str">
        <f aca="false">IF($M75="","",N(INDEX('DỮ LIỆU'!$I$3:$I$1052,$M75)))</f>
        <v/>
      </c>
      <c r="H75" s="13" t="str">
        <f aca="false">IF($M75="","",N(INDEX('DỮ LIỆU'!$M$3:$M$1052,$M75)))</f>
        <v/>
      </c>
      <c r="I75" s="13" t="str">
        <f aca="false">IF($M75="","",N(INDEX('DỮ LIỆU'!$N$3:$N$1052,$M75)))</f>
        <v/>
      </c>
      <c r="J75" s="13" t="str">
        <f aca="false">IF($M75="","",N(INDEX('DỮ LIỆU'!$O$3:$O$1052,$M75)))</f>
        <v/>
      </c>
      <c r="K75" s="13" t="str">
        <f aca="true">IF(OR($M75="",$C75=""),"",MAX(0,TODAY()-$C75))</f>
        <v/>
      </c>
      <c r="L75" s="21" t="str">
        <f aca="false">IF($M75="","",IF(INDEX('DỮ LIỆU'!$R$3:$R$1052,$M75)="","",INDEX('DỮ LIỆU'!$R$3:$R$1052,$M75)))</f>
        <v/>
      </c>
      <c r="M75" s="0" t="str">
        <f aca="false">IFERROR(MATCH(70,'DỮ LIỆU'!$T$3:$T$1052,0),"")</f>
        <v/>
      </c>
    </row>
    <row r="76" customFormat="false" ht="15" hidden="false" customHeight="false" outlineLevel="0" collapsed="false">
      <c r="A76" s="21" t="str">
        <f aca="false">IF($M76="","",71)</f>
        <v/>
      </c>
      <c r="B76" s="13" t="str">
        <f aca="false">IF($M76="","",INDEX('DỮ LIỆU'!$A$3:$A$1052,$M76))</f>
        <v/>
      </c>
      <c r="C76" s="41" t="str">
        <f aca="false">IF($M76="","",IF(INDEX('DỮ LIỆU'!$B$3:$B$1052,$M76)="","",INDEX('DỮ LIỆU'!$B$3:$B$1052,$M76)))</f>
        <v/>
      </c>
      <c r="D76" s="21" t="str">
        <f aca="false">IF($M76="","",IF(INDEX('DỮ LIỆU'!$C$3:$C$1052,$M76)="","",INDEX('DỮ LIỆU'!$C$3:$C$1052,$M76)))</f>
        <v/>
      </c>
      <c r="E76" s="21" t="str">
        <f aca="false">IF($M76="","",IF(INDEX('DỮ LIỆU'!$D$3:$D$1052,$M76)="","",INDEX('DỮ LIỆU'!$D$3:$D$1052,$M76)))</f>
        <v/>
      </c>
      <c r="F76" s="21" t="str">
        <f aca="false">IF($M76="","",IF(INDEX('DỮ LIỆU'!$H$3:$H$1052,$M76)="","",INDEX('DỮ LIỆU'!$H$3:$H$1052,$M76)))</f>
        <v/>
      </c>
      <c r="G76" s="13" t="str">
        <f aca="false">IF($M76="","",N(INDEX('DỮ LIỆU'!$I$3:$I$1052,$M76)))</f>
        <v/>
      </c>
      <c r="H76" s="13" t="str">
        <f aca="false">IF($M76="","",N(INDEX('DỮ LIỆU'!$M$3:$M$1052,$M76)))</f>
        <v/>
      </c>
      <c r="I76" s="13" t="str">
        <f aca="false">IF($M76="","",N(INDEX('DỮ LIỆU'!$N$3:$N$1052,$M76)))</f>
        <v/>
      </c>
      <c r="J76" s="13" t="str">
        <f aca="false">IF($M76="","",N(INDEX('DỮ LIỆU'!$O$3:$O$1052,$M76)))</f>
        <v/>
      </c>
      <c r="K76" s="13" t="str">
        <f aca="true">IF(OR($M76="",$C76=""),"",MAX(0,TODAY()-$C76))</f>
        <v/>
      </c>
      <c r="L76" s="21" t="str">
        <f aca="false">IF($M76="","",IF(INDEX('DỮ LIỆU'!$R$3:$R$1052,$M76)="","",INDEX('DỮ LIỆU'!$R$3:$R$1052,$M76)))</f>
        <v/>
      </c>
      <c r="M76" s="0" t="str">
        <f aca="false">IFERROR(MATCH(71,'DỮ LIỆU'!$T$3:$T$1052,0),"")</f>
        <v/>
      </c>
    </row>
    <row r="77" customFormat="false" ht="15" hidden="false" customHeight="false" outlineLevel="0" collapsed="false">
      <c r="A77" s="21" t="str">
        <f aca="false">IF($M77="","",72)</f>
        <v/>
      </c>
      <c r="B77" s="13" t="str">
        <f aca="false">IF($M77="","",INDEX('DỮ LIỆU'!$A$3:$A$1052,$M77))</f>
        <v/>
      </c>
      <c r="C77" s="41" t="str">
        <f aca="false">IF($M77="","",IF(INDEX('DỮ LIỆU'!$B$3:$B$1052,$M77)="","",INDEX('DỮ LIỆU'!$B$3:$B$1052,$M77)))</f>
        <v/>
      </c>
      <c r="D77" s="21" t="str">
        <f aca="false">IF($M77="","",IF(INDEX('DỮ LIỆU'!$C$3:$C$1052,$M77)="","",INDEX('DỮ LIỆU'!$C$3:$C$1052,$M77)))</f>
        <v/>
      </c>
      <c r="E77" s="21" t="str">
        <f aca="false">IF($M77="","",IF(INDEX('DỮ LIỆU'!$D$3:$D$1052,$M77)="","",INDEX('DỮ LIỆU'!$D$3:$D$1052,$M77)))</f>
        <v/>
      </c>
      <c r="F77" s="21" t="str">
        <f aca="false">IF($M77="","",IF(INDEX('DỮ LIỆU'!$H$3:$H$1052,$M77)="","",INDEX('DỮ LIỆU'!$H$3:$H$1052,$M77)))</f>
        <v/>
      </c>
      <c r="G77" s="13" t="str">
        <f aca="false">IF($M77="","",N(INDEX('DỮ LIỆU'!$I$3:$I$1052,$M77)))</f>
        <v/>
      </c>
      <c r="H77" s="13" t="str">
        <f aca="false">IF($M77="","",N(INDEX('DỮ LIỆU'!$M$3:$M$1052,$M77)))</f>
        <v/>
      </c>
      <c r="I77" s="13" t="str">
        <f aca="false">IF($M77="","",N(INDEX('DỮ LIỆU'!$N$3:$N$1052,$M77)))</f>
        <v/>
      </c>
      <c r="J77" s="13" t="str">
        <f aca="false">IF($M77="","",N(INDEX('DỮ LIỆU'!$O$3:$O$1052,$M77)))</f>
        <v/>
      </c>
      <c r="K77" s="13" t="str">
        <f aca="true">IF(OR($M77="",$C77=""),"",MAX(0,TODAY()-$C77))</f>
        <v/>
      </c>
      <c r="L77" s="21" t="str">
        <f aca="false">IF($M77="","",IF(INDEX('DỮ LIỆU'!$R$3:$R$1052,$M77)="","",INDEX('DỮ LIỆU'!$R$3:$R$1052,$M77)))</f>
        <v/>
      </c>
      <c r="M77" s="0" t="str">
        <f aca="false">IFERROR(MATCH(72,'DỮ LIỆU'!$T$3:$T$1052,0),"")</f>
        <v/>
      </c>
    </row>
    <row r="78" customFormat="false" ht="15" hidden="false" customHeight="false" outlineLevel="0" collapsed="false">
      <c r="A78" s="21" t="str">
        <f aca="false">IF($M78="","",73)</f>
        <v/>
      </c>
      <c r="B78" s="13" t="str">
        <f aca="false">IF($M78="","",INDEX('DỮ LIỆU'!$A$3:$A$1052,$M78))</f>
        <v/>
      </c>
      <c r="C78" s="41" t="str">
        <f aca="false">IF($M78="","",IF(INDEX('DỮ LIỆU'!$B$3:$B$1052,$M78)="","",INDEX('DỮ LIỆU'!$B$3:$B$1052,$M78)))</f>
        <v/>
      </c>
      <c r="D78" s="21" t="str">
        <f aca="false">IF($M78="","",IF(INDEX('DỮ LIỆU'!$C$3:$C$1052,$M78)="","",INDEX('DỮ LIỆU'!$C$3:$C$1052,$M78)))</f>
        <v/>
      </c>
      <c r="E78" s="21" t="str">
        <f aca="false">IF($M78="","",IF(INDEX('DỮ LIỆU'!$D$3:$D$1052,$M78)="","",INDEX('DỮ LIỆU'!$D$3:$D$1052,$M78)))</f>
        <v/>
      </c>
      <c r="F78" s="21" t="str">
        <f aca="false">IF($M78="","",IF(INDEX('DỮ LIỆU'!$H$3:$H$1052,$M78)="","",INDEX('DỮ LIỆU'!$H$3:$H$1052,$M78)))</f>
        <v/>
      </c>
      <c r="G78" s="13" t="str">
        <f aca="false">IF($M78="","",N(INDEX('DỮ LIỆU'!$I$3:$I$1052,$M78)))</f>
        <v/>
      </c>
      <c r="H78" s="13" t="str">
        <f aca="false">IF($M78="","",N(INDEX('DỮ LIỆU'!$M$3:$M$1052,$M78)))</f>
        <v/>
      </c>
      <c r="I78" s="13" t="str">
        <f aca="false">IF($M78="","",N(INDEX('DỮ LIỆU'!$N$3:$N$1052,$M78)))</f>
        <v/>
      </c>
      <c r="J78" s="13" t="str">
        <f aca="false">IF($M78="","",N(INDEX('DỮ LIỆU'!$O$3:$O$1052,$M78)))</f>
        <v/>
      </c>
      <c r="K78" s="13" t="str">
        <f aca="true">IF(OR($M78="",$C78=""),"",MAX(0,TODAY()-$C78))</f>
        <v/>
      </c>
      <c r="L78" s="21" t="str">
        <f aca="false">IF($M78="","",IF(INDEX('DỮ LIỆU'!$R$3:$R$1052,$M78)="","",INDEX('DỮ LIỆU'!$R$3:$R$1052,$M78)))</f>
        <v/>
      </c>
      <c r="M78" s="0" t="str">
        <f aca="false">IFERROR(MATCH(73,'DỮ LIỆU'!$T$3:$T$1052,0),"")</f>
        <v/>
      </c>
    </row>
    <row r="79" customFormat="false" ht="15" hidden="false" customHeight="false" outlineLevel="0" collapsed="false">
      <c r="A79" s="21" t="str">
        <f aca="false">IF($M79="","",74)</f>
        <v/>
      </c>
      <c r="B79" s="13" t="str">
        <f aca="false">IF($M79="","",INDEX('DỮ LIỆU'!$A$3:$A$1052,$M79))</f>
        <v/>
      </c>
      <c r="C79" s="41" t="str">
        <f aca="false">IF($M79="","",IF(INDEX('DỮ LIỆU'!$B$3:$B$1052,$M79)="","",INDEX('DỮ LIỆU'!$B$3:$B$1052,$M79)))</f>
        <v/>
      </c>
      <c r="D79" s="21" t="str">
        <f aca="false">IF($M79="","",IF(INDEX('DỮ LIỆU'!$C$3:$C$1052,$M79)="","",INDEX('DỮ LIỆU'!$C$3:$C$1052,$M79)))</f>
        <v/>
      </c>
      <c r="E79" s="21" t="str">
        <f aca="false">IF($M79="","",IF(INDEX('DỮ LIỆU'!$D$3:$D$1052,$M79)="","",INDEX('DỮ LIỆU'!$D$3:$D$1052,$M79)))</f>
        <v/>
      </c>
      <c r="F79" s="21" t="str">
        <f aca="false">IF($M79="","",IF(INDEX('DỮ LIỆU'!$H$3:$H$1052,$M79)="","",INDEX('DỮ LIỆU'!$H$3:$H$1052,$M79)))</f>
        <v/>
      </c>
      <c r="G79" s="13" t="str">
        <f aca="false">IF($M79="","",N(INDEX('DỮ LIỆU'!$I$3:$I$1052,$M79)))</f>
        <v/>
      </c>
      <c r="H79" s="13" t="str">
        <f aca="false">IF($M79="","",N(INDEX('DỮ LIỆU'!$M$3:$M$1052,$M79)))</f>
        <v/>
      </c>
      <c r="I79" s="13" t="str">
        <f aca="false">IF($M79="","",N(INDEX('DỮ LIỆU'!$N$3:$N$1052,$M79)))</f>
        <v/>
      </c>
      <c r="J79" s="13" t="str">
        <f aca="false">IF($M79="","",N(INDEX('DỮ LIỆU'!$O$3:$O$1052,$M79)))</f>
        <v/>
      </c>
      <c r="K79" s="13" t="str">
        <f aca="true">IF(OR($M79="",$C79=""),"",MAX(0,TODAY()-$C79))</f>
        <v/>
      </c>
      <c r="L79" s="21" t="str">
        <f aca="false">IF($M79="","",IF(INDEX('DỮ LIỆU'!$R$3:$R$1052,$M79)="","",INDEX('DỮ LIỆU'!$R$3:$R$1052,$M79)))</f>
        <v/>
      </c>
      <c r="M79" s="0" t="str">
        <f aca="false">IFERROR(MATCH(74,'DỮ LIỆU'!$T$3:$T$1052,0),"")</f>
        <v/>
      </c>
    </row>
    <row r="80" customFormat="false" ht="15" hidden="false" customHeight="false" outlineLevel="0" collapsed="false">
      <c r="A80" s="21" t="str">
        <f aca="false">IF($M80="","",75)</f>
        <v/>
      </c>
      <c r="B80" s="13" t="str">
        <f aca="false">IF($M80="","",INDEX('DỮ LIỆU'!$A$3:$A$1052,$M80))</f>
        <v/>
      </c>
      <c r="C80" s="41" t="str">
        <f aca="false">IF($M80="","",IF(INDEX('DỮ LIỆU'!$B$3:$B$1052,$M80)="","",INDEX('DỮ LIỆU'!$B$3:$B$1052,$M80)))</f>
        <v/>
      </c>
      <c r="D80" s="21" t="str">
        <f aca="false">IF($M80="","",IF(INDEX('DỮ LIỆU'!$C$3:$C$1052,$M80)="","",INDEX('DỮ LIỆU'!$C$3:$C$1052,$M80)))</f>
        <v/>
      </c>
      <c r="E80" s="21" t="str">
        <f aca="false">IF($M80="","",IF(INDEX('DỮ LIỆU'!$D$3:$D$1052,$M80)="","",INDEX('DỮ LIỆU'!$D$3:$D$1052,$M80)))</f>
        <v/>
      </c>
      <c r="F80" s="21" t="str">
        <f aca="false">IF($M80="","",IF(INDEX('DỮ LIỆU'!$H$3:$H$1052,$M80)="","",INDEX('DỮ LIỆU'!$H$3:$H$1052,$M80)))</f>
        <v/>
      </c>
      <c r="G80" s="13" t="str">
        <f aca="false">IF($M80="","",N(INDEX('DỮ LIỆU'!$I$3:$I$1052,$M80)))</f>
        <v/>
      </c>
      <c r="H80" s="13" t="str">
        <f aca="false">IF($M80="","",N(INDEX('DỮ LIỆU'!$M$3:$M$1052,$M80)))</f>
        <v/>
      </c>
      <c r="I80" s="13" t="str">
        <f aca="false">IF($M80="","",N(INDEX('DỮ LIỆU'!$N$3:$N$1052,$M80)))</f>
        <v/>
      </c>
      <c r="J80" s="13" t="str">
        <f aca="false">IF($M80="","",N(INDEX('DỮ LIỆU'!$O$3:$O$1052,$M80)))</f>
        <v/>
      </c>
      <c r="K80" s="13" t="str">
        <f aca="true">IF(OR($M80="",$C80=""),"",MAX(0,TODAY()-$C80))</f>
        <v/>
      </c>
      <c r="L80" s="21" t="str">
        <f aca="false">IF($M80="","",IF(INDEX('DỮ LIỆU'!$R$3:$R$1052,$M80)="","",INDEX('DỮ LIỆU'!$R$3:$R$1052,$M80)))</f>
        <v/>
      </c>
      <c r="M80" s="0" t="str">
        <f aca="false">IFERROR(MATCH(75,'DỮ LIỆU'!$T$3:$T$1052,0),"")</f>
        <v/>
      </c>
    </row>
    <row r="81" customFormat="false" ht="15" hidden="false" customHeight="false" outlineLevel="0" collapsed="false">
      <c r="A81" s="21" t="str">
        <f aca="false">IF($M81="","",76)</f>
        <v/>
      </c>
      <c r="B81" s="13" t="str">
        <f aca="false">IF($M81="","",INDEX('DỮ LIỆU'!$A$3:$A$1052,$M81))</f>
        <v/>
      </c>
      <c r="C81" s="41" t="str">
        <f aca="false">IF($M81="","",IF(INDEX('DỮ LIỆU'!$B$3:$B$1052,$M81)="","",INDEX('DỮ LIỆU'!$B$3:$B$1052,$M81)))</f>
        <v/>
      </c>
      <c r="D81" s="21" t="str">
        <f aca="false">IF($M81="","",IF(INDEX('DỮ LIỆU'!$C$3:$C$1052,$M81)="","",INDEX('DỮ LIỆU'!$C$3:$C$1052,$M81)))</f>
        <v/>
      </c>
      <c r="E81" s="21" t="str">
        <f aca="false">IF($M81="","",IF(INDEX('DỮ LIỆU'!$D$3:$D$1052,$M81)="","",INDEX('DỮ LIỆU'!$D$3:$D$1052,$M81)))</f>
        <v/>
      </c>
      <c r="F81" s="21" t="str">
        <f aca="false">IF($M81="","",IF(INDEX('DỮ LIỆU'!$H$3:$H$1052,$M81)="","",INDEX('DỮ LIỆU'!$H$3:$H$1052,$M81)))</f>
        <v/>
      </c>
      <c r="G81" s="13" t="str">
        <f aca="false">IF($M81="","",N(INDEX('DỮ LIỆU'!$I$3:$I$1052,$M81)))</f>
        <v/>
      </c>
      <c r="H81" s="13" t="str">
        <f aca="false">IF($M81="","",N(INDEX('DỮ LIỆU'!$M$3:$M$1052,$M81)))</f>
        <v/>
      </c>
      <c r="I81" s="13" t="str">
        <f aca="false">IF($M81="","",N(INDEX('DỮ LIỆU'!$N$3:$N$1052,$M81)))</f>
        <v/>
      </c>
      <c r="J81" s="13" t="str">
        <f aca="false">IF($M81="","",N(INDEX('DỮ LIỆU'!$O$3:$O$1052,$M81)))</f>
        <v/>
      </c>
      <c r="K81" s="13" t="str">
        <f aca="true">IF(OR($M81="",$C81=""),"",MAX(0,TODAY()-$C81))</f>
        <v/>
      </c>
      <c r="L81" s="21" t="str">
        <f aca="false">IF($M81="","",IF(INDEX('DỮ LIỆU'!$R$3:$R$1052,$M81)="","",INDEX('DỮ LIỆU'!$R$3:$R$1052,$M81)))</f>
        <v/>
      </c>
      <c r="M81" s="0" t="str">
        <f aca="false">IFERROR(MATCH(76,'DỮ LIỆU'!$T$3:$T$1052,0),"")</f>
        <v/>
      </c>
    </row>
    <row r="82" customFormat="false" ht="15" hidden="false" customHeight="false" outlineLevel="0" collapsed="false">
      <c r="A82" s="21" t="str">
        <f aca="false">IF($M82="","",77)</f>
        <v/>
      </c>
      <c r="B82" s="13" t="str">
        <f aca="false">IF($M82="","",INDEX('DỮ LIỆU'!$A$3:$A$1052,$M82))</f>
        <v/>
      </c>
      <c r="C82" s="41" t="str">
        <f aca="false">IF($M82="","",IF(INDEX('DỮ LIỆU'!$B$3:$B$1052,$M82)="","",INDEX('DỮ LIỆU'!$B$3:$B$1052,$M82)))</f>
        <v/>
      </c>
      <c r="D82" s="21" t="str">
        <f aca="false">IF($M82="","",IF(INDEX('DỮ LIỆU'!$C$3:$C$1052,$M82)="","",INDEX('DỮ LIỆU'!$C$3:$C$1052,$M82)))</f>
        <v/>
      </c>
      <c r="E82" s="21" t="str">
        <f aca="false">IF($M82="","",IF(INDEX('DỮ LIỆU'!$D$3:$D$1052,$M82)="","",INDEX('DỮ LIỆU'!$D$3:$D$1052,$M82)))</f>
        <v/>
      </c>
      <c r="F82" s="21" t="str">
        <f aca="false">IF($M82="","",IF(INDEX('DỮ LIỆU'!$H$3:$H$1052,$M82)="","",INDEX('DỮ LIỆU'!$H$3:$H$1052,$M82)))</f>
        <v/>
      </c>
      <c r="G82" s="13" t="str">
        <f aca="false">IF($M82="","",N(INDEX('DỮ LIỆU'!$I$3:$I$1052,$M82)))</f>
        <v/>
      </c>
      <c r="H82" s="13" t="str">
        <f aca="false">IF($M82="","",N(INDEX('DỮ LIỆU'!$M$3:$M$1052,$M82)))</f>
        <v/>
      </c>
      <c r="I82" s="13" t="str">
        <f aca="false">IF($M82="","",N(INDEX('DỮ LIỆU'!$N$3:$N$1052,$M82)))</f>
        <v/>
      </c>
      <c r="J82" s="13" t="str">
        <f aca="false">IF($M82="","",N(INDEX('DỮ LIỆU'!$O$3:$O$1052,$M82)))</f>
        <v/>
      </c>
      <c r="K82" s="13" t="str">
        <f aca="true">IF(OR($M82="",$C82=""),"",MAX(0,TODAY()-$C82))</f>
        <v/>
      </c>
      <c r="L82" s="21" t="str">
        <f aca="false">IF($M82="","",IF(INDEX('DỮ LIỆU'!$R$3:$R$1052,$M82)="","",INDEX('DỮ LIỆU'!$R$3:$R$1052,$M82)))</f>
        <v/>
      </c>
      <c r="M82" s="0" t="str">
        <f aca="false">IFERROR(MATCH(77,'DỮ LIỆU'!$T$3:$T$1052,0),"")</f>
        <v/>
      </c>
    </row>
    <row r="83" customFormat="false" ht="15" hidden="false" customHeight="false" outlineLevel="0" collapsed="false">
      <c r="A83" s="21" t="str">
        <f aca="false">IF($M83="","",78)</f>
        <v/>
      </c>
      <c r="B83" s="13" t="str">
        <f aca="false">IF($M83="","",INDEX('DỮ LIỆU'!$A$3:$A$1052,$M83))</f>
        <v/>
      </c>
      <c r="C83" s="41" t="str">
        <f aca="false">IF($M83="","",IF(INDEX('DỮ LIỆU'!$B$3:$B$1052,$M83)="","",INDEX('DỮ LIỆU'!$B$3:$B$1052,$M83)))</f>
        <v/>
      </c>
      <c r="D83" s="21" t="str">
        <f aca="false">IF($M83="","",IF(INDEX('DỮ LIỆU'!$C$3:$C$1052,$M83)="","",INDEX('DỮ LIỆU'!$C$3:$C$1052,$M83)))</f>
        <v/>
      </c>
      <c r="E83" s="21" t="str">
        <f aca="false">IF($M83="","",IF(INDEX('DỮ LIỆU'!$D$3:$D$1052,$M83)="","",INDEX('DỮ LIỆU'!$D$3:$D$1052,$M83)))</f>
        <v/>
      </c>
      <c r="F83" s="21" t="str">
        <f aca="false">IF($M83="","",IF(INDEX('DỮ LIỆU'!$H$3:$H$1052,$M83)="","",INDEX('DỮ LIỆU'!$H$3:$H$1052,$M83)))</f>
        <v/>
      </c>
      <c r="G83" s="13" t="str">
        <f aca="false">IF($M83="","",N(INDEX('DỮ LIỆU'!$I$3:$I$1052,$M83)))</f>
        <v/>
      </c>
      <c r="H83" s="13" t="str">
        <f aca="false">IF($M83="","",N(INDEX('DỮ LIỆU'!$M$3:$M$1052,$M83)))</f>
        <v/>
      </c>
      <c r="I83" s="13" t="str">
        <f aca="false">IF($M83="","",N(INDEX('DỮ LIỆU'!$N$3:$N$1052,$M83)))</f>
        <v/>
      </c>
      <c r="J83" s="13" t="str">
        <f aca="false">IF($M83="","",N(INDEX('DỮ LIỆU'!$O$3:$O$1052,$M83)))</f>
        <v/>
      </c>
      <c r="K83" s="13" t="str">
        <f aca="true">IF(OR($M83="",$C83=""),"",MAX(0,TODAY()-$C83))</f>
        <v/>
      </c>
      <c r="L83" s="21" t="str">
        <f aca="false">IF($M83="","",IF(INDEX('DỮ LIỆU'!$R$3:$R$1052,$M83)="","",INDEX('DỮ LIỆU'!$R$3:$R$1052,$M83)))</f>
        <v/>
      </c>
      <c r="M83" s="0" t="str">
        <f aca="false">IFERROR(MATCH(78,'DỮ LIỆU'!$T$3:$T$1052,0),"")</f>
        <v/>
      </c>
    </row>
    <row r="84" customFormat="false" ht="15" hidden="false" customHeight="false" outlineLevel="0" collapsed="false">
      <c r="A84" s="21" t="str">
        <f aca="false">IF($M84="","",79)</f>
        <v/>
      </c>
      <c r="B84" s="13" t="str">
        <f aca="false">IF($M84="","",INDEX('DỮ LIỆU'!$A$3:$A$1052,$M84))</f>
        <v/>
      </c>
      <c r="C84" s="41" t="str">
        <f aca="false">IF($M84="","",IF(INDEX('DỮ LIỆU'!$B$3:$B$1052,$M84)="","",INDEX('DỮ LIỆU'!$B$3:$B$1052,$M84)))</f>
        <v/>
      </c>
      <c r="D84" s="21" t="str">
        <f aca="false">IF($M84="","",IF(INDEX('DỮ LIỆU'!$C$3:$C$1052,$M84)="","",INDEX('DỮ LIỆU'!$C$3:$C$1052,$M84)))</f>
        <v/>
      </c>
      <c r="E84" s="21" t="str">
        <f aca="false">IF($M84="","",IF(INDEX('DỮ LIỆU'!$D$3:$D$1052,$M84)="","",INDEX('DỮ LIỆU'!$D$3:$D$1052,$M84)))</f>
        <v/>
      </c>
      <c r="F84" s="21" t="str">
        <f aca="false">IF($M84="","",IF(INDEX('DỮ LIỆU'!$H$3:$H$1052,$M84)="","",INDEX('DỮ LIỆU'!$H$3:$H$1052,$M84)))</f>
        <v/>
      </c>
      <c r="G84" s="13" t="str">
        <f aca="false">IF($M84="","",N(INDEX('DỮ LIỆU'!$I$3:$I$1052,$M84)))</f>
        <v/>
      </c>
      <c r="H84" s="13" t="str">
        <f aca="false">IF($M84="","",N(INDEX('DỮ LIỆU'!$M$3:$M$1052,$M84)))</f>
        <v/>
      </c>
      <c r="I84" s="13" t="str">
        <f aca="false">IF($M84="","",N(INDEX('DỮ LIỆU'!$N$3:$N$1052,$M84)))</f>
        <v/>
      </c>
      <c r="J84" s="13" t="str">
        <f aca="false">IF($M84="","",N(INDEX('DỮ LIỆU'!$O$3:$O$1052,$M84)))</f>
        <v/>
      </c>
      <c r="K84" s="13" t="str">
        <f aca="true">IF(OR($M84="",$C84=""),"",MAX(0,TODAY()-$C84))</f>
        <v/>
      </c>
      <c r="L84" s="21" t="str">
        <f aca="false">IF($M84="","",IF(INDEX('DỮ LIỆU'!$R$3:$R$1052,$M84)="","",INDEX('DỮ LIỆU'!$R$3:$R$1052,$M84)))</f>
        <v/>
      </c>
      <c r="M84" s="0" t="str">
        <f aca="false">IFERROR(MATCH(79,'DỮ LIỆU'!$T$3:$T$1052,0),"")</f>
        <v/>
      </c>
    </row>
    <row r="85" customFormat="false" ht="15" hidden="false" customHeight="false" outlineLevel="0" collapsed="false">
      <c r="A85" s="21" t="str">
        <f aca="false">IF($M85="","",80)</f>
        <v/>
      </c>
      <c r="B85" s="13" t="str">
        <f aca="false">IF($M85="","",INDEX('DỮ LIỆU'!$A$3:$A$1052,$M85))</f>
        <v/>
      </c>
      <c r="C85" s="41" t="str">
        <f aca="false">IF($M85="","",IF(INDEX('DỮ LIỆU'!$B$3:$B$1052,$M85)="","",INDEX('DỮ LIỆU'!$B$3:$B$1052,$M85)))</f>
        <v/>
      </c>
      <c r="D85" s="21" t="str">
        <f aca="false">IF($M85="","",IF(INDEX('DỮ LIỆU'!$C$3:$C$1052,$M85)="","",INDEX('DỮ LIỆU'!$C$3:$C$1052,$M85)))</f>
        <v/>
      </c>
      <c r="E85" s="21" t="str">
        <f aca="false">IF($M85="","",IF(INDEX('DỮ LIỆU'!$D$3:$D$1052,$M85)="","",INDEX('DỮ LIỆU'!$D$3:$D$1052,$M85)))</f>
        <v/>
      </c>
      <c r="F85" s="21" t="str">
        <f aca="false">IF($M85="","",IF(INDEX('DỮ LIỆU'!$H$3:$H$1052,$M85)="","",INDEX('DỮ LIỆU'!$H$3:$H$1052,$M85)))</f>
        <v/>
      </c>
      <c r="G85" s="13" t="str">
        <f aca="false">IF($M85="","",N(INDEX('DỮ LIỆU'!$I$3:$I$1052,$M85)))</f>
        <v/>
      </c>
      <c r="H85" s="13" t="str">
        <f aca="false">IF($M85="","",N(INDEX('DỮ LIỆU'!$M$3:$M$1052,$M85)))</f>
        <v/>
      </c>
      <c r="I85" s="13" t="str">
        <f aca="false">IF($M85="","",N(INDEX('DỮ LIỆU'!$N$3:$N$1052,$M85)))</f>
        <v/>
      </c>
      <c r="J85" s="13" t="str">
        <f aca="false">IF($M85="","",N(INDEX('DỮ LIỆU'!$O$3:$O$1052,$M85)))</f>
        <v/>
      </c>
      <c r="K85" s="13" t="str">
        <f aca="true">IF(OR($M85="",$C85=""),"",MAX(0,TODAY()-$C85))</f>
        <v/>
      </c>
      <c r="L85" s="21" t="str">
        <f aca="false">IF($M85="","",IF(INDEX('DỮ LIỆU'!$R$3:$R$1052,$M85)="","",INDEX('DỮ LIỆU'!$R$3:$R$1052,$M85)))</f>
        <v/>
      </c>
      <c r="M85" s="0" t="str">
        <f aca="false">IFERROR(MATCH(80,'DỮ LIỆU'!$T$3:$T$1052,0),"")</f>
        <v/>
      </c>
    </row>
    <row r="86" customFormat="false" ht="15" hidden="false" customHeight="false" outlineLevel="0" collapsed="false">
      <c r="A86" s="21" t="str">
        <f aca="false">IF($M86="","",81)</f>
        <v/>
      </c>
      <c r="B86" s="13" t="str">
        <f aca="false">IF($M86="","",INDEX('DỮ LIỆU'!$A$3:$A$1052,$M86))</f>
        <v/>
      </c>
      <c r="C86" s="41" t="str">
        <f aca="false">IF($M86="","",IF(INDEX('DỮ LIỆU'!$B$3:$B$1052,$M86)="","",INDEX('DỮ LIỆU'!$B$3:$B$1052,$M86)))</f>
        <v/>
      </c>
      <c r="D86" s="21" t="str">
        <f aca="false">IF($M86="","",IF(INDEX('DỮ LIỆU'!$C$3:$C$1052,$M86)="","",INDEX('DỮ LIỆU'!$C$3:$C$1052,$M86)))</f>
        <v/>
      </c>
      <c r="E86" s="21" t="str">
        <f aca="false">IF($M86="","",IF(INDEX('DỮ LIỆU'!$D$3:$D$1052,$M86)="","",INDEX('DỮ LIỆU'!$D$3:$D$1052,$M86)))</f>
        <v/>
      </c>
      <c r="F86" s="21" t="str">
        <f aca="false">IF($M86="","",IF(INDEX('DỮ LIỆU'!$H$3:$H$1052,$M86)="","",INDEX('DỮ LIỆU'!$H$3:$H$1052,$M86)))</f>
        <v/>
      </c>
      <c r="G86" s="13" t="str">
        <f aca="false">IF($M86="","",N(INDEX('DỮ LIỆU'!$I$3:$I$1052,$M86)))</f>
        <v/>
      </c>
      <c r="H86" s="13" t="str">
        <f aca="false">IF($M86="","",N(INDEX('DỮ LIỆU'!$M$3:$M$1052,$M86)))</f>
        <v/>
      </c>
      <c r="I86" s="13" t="str">
        <f aca="false">IF($M86="","",N(INDEX('DỮ LIỆU'!$N$3:$N$1052,$M86)))</f>
        <v/>
      </c>
      <c r="J86" s="13" t="str">
        <f aca="false">IF($M86="","",N(INDEX('DỮ LIỆU'!$O$3:$O$1052,$M86)))</f>
        <v/>
      </c>
      <c r="K86" s="13" t="str">
        <f aca="true">IF(OR($M86="",$C86=""),"",MAX(0,TODAY()-$C86))</f>
        <v/>
      </c>
      <c r="L86" s="21" t="str">
        <f aca="false">IF($M86="","",IF(INDEX('DỮ LIỆU'!$R$3:$R$1052,$M86)="","",INDEX('DỮ LIỆU'!$R$3:$R$1052,$M86)))</f>
        <v/>
      </c>
      <c r="M86" s="0" t="str">
        <f aca="false">IFERROR(MATCH(81,'DỮ LIỆU'!$T$3:$T$1052,0),"")</f>
        <v/>
      </c>
    </row>
    <row r="87" customFormat="false" ht="15" hidden="false" customHeight="false" outlineLevel="0" collapsed="false">
      <c r="A87" s="21" t="str">
        <f aca="false">IF($M87="","",82)</f>
        <v/>
      </c>
      <c r="B87" s="13" t="str">
        <f aca="false">IF($M87="","",INDEX('DỮ LIỆU'!$A$3:$A$1052,$M87))</f>
        <v/>
      </c>
      <c r="C87" s="41" t="str">
        <f aca="false">IF($M87="","",IF(INDEX('DỮ LIỆU'!$B$3:$B$1052,$M87)="","",INDEX('DỮ LIỆU'!$B$3:$B$1052,$M87)))</f>
        <v/>
      </c>
      <c r="D87" s="21" t="str">
        <f aca="false">IF($M87="","",IF(INDEX('DỮ LIỆU'!$C$3:$C$1052,$M87)="","",INDEX('DỮ LIỆU'!$C$3:$C$1052,$M87)))</f>
        <v/>
      </c>
      <c r="E87" s="21" t="str">
        <f aca="false">IF($M87="","",IF(INDEX('DỮ LIỆU'!$D$3:$D$1052,$M87)="","",INDEX('DỮ LIỆU'!$D$3:$D$1052,$M87)))</f>
        <v/>
      </c>
      <c r="F87" s="21" t="str">
        <f aca="false">IF($M87="","",IF(INDEX('DỮ LIỆU'!$H$3:$H$1052,$M87)="","",INDEX('DỮ LIỆU'!$H$3:$H$1052,$M87)))</f>
        <v/>
      </c>
      <c r="G87" s="13" t="str">
        <f aca="false">IF($M87="","",N(INDEX('DỮ LIỆU'!$I$3:$I$1052,$M87)))</f>
        <v/>
      </c>
      <c r="H87" s="13" t="str">
        <f aca="false">IF($M87="","",N(INDEX('DỮ LIỆU'!$M$3:$M$1052,$M87)))</f>
        <v/>
      </c>
      <c r="I87" s="13" t="str">
        <f aca="false">IF($M87="","",N(INDEX('DỮ LIỆU'!$N$3:$N$1052,$M87)))</f>
        <v/>
      </c>
      <c r="J87" s="13" t="str">
        <f aca="false">IF($M87="","",N(INDEX('DỮ LIỆU'!$O$3:$O$1052,$M87)))</f>
        <v/>
      </c>
      <c r="K87" s="13" t="str">
        <f aca="true">IF(OR($M87="",$C87=""),"",MAX(0,TODAY()-$C87))</f>
        <v/>
      </c>
      <c r="L87" s="21" t="str">
        <f aca="false">IF($M87="","",IF(INDEX('DỮ LIỆU'!$R$3:$R$1052,$M87)="","",INDEX('DỮ LIỆU'!$R$3:$R$1052,$M87)))</f>
        <v/>
      </c>
      <c r="M87" s="0" t="str">
        <f aca="false">IFERROR(MATCH(82,'DỮ LIỆU'!$T$3:$T$1052,0),"")</f>
        <v/>
      </c>
    </row>
    <row r="88" customFormat="false" ht="15" hidden="false" customHeight="false" outlineLevel="0" collapsed="false">
      <c r="A88" s="21" t="str">
        <f aca="false">IF($M88="","",83)</f>
        <v/>
      </c>
      <c r="B88" s="13" t="str">
        <f aca="false">IF($M88="","",INDEX('DỮ LIỆU'!$A$3:$A$1052,$M88))</f>
        <v/>
      </c>
      <c r="C88" s="41" t="str">
        <f aca="false">IF($M88="","",IF(INDEX('DỮ LIỆU'!$B$3:$B$1052,$M88)="","",INDEX('DỮ LIỆU'!$B$3:$B$1052,$M88)))</f>
        <v/>
      </c>
      <c r="D88" s="21" t="str">
        <f aca="false">IF($M88="","",IF(INDEX('DỮ LIỆU'!$C$3:$C$1052,$M88)="","",INDEX('DỮ LIỆU'!$C$3:$C$1052,$M88)))</f>
        <v/>
      </c>
      <c r="E88" s="21" t="str">
        <f aca="false">IF($M88="","",IF(INDEX('DỮ LIỆU'!$D$3:$D$1052,$M88)="","",INDEX('DỮ LIỆU'!$D$3:$D$1052,$M88)))</f>
        <v/>
      </c>
      <c r="F88" s="21" t="str">
        <f aca="false">IF($M88="","",IF(INDEX('DỮ LIỆU'!$H$3:$H$1052,$M88)="","",INDEX('DỮ LIỆU'!$H$3:$H$1052,$M88)))</f>
        <v/>
      </c>
      <c r="G88" s="13" t="str">
        <f aca="false">IF($M88="","",N(INDEX('DỮ LIỆU'!$I$3:$I$1052,$M88)))</f>
        <v/>
      </c>
      <c r="H88" s="13" t="str">
        <f aca="false">IF($M88="","",N(INDEX('DỮ LIỆU'!$M$3:$M$1052,$M88)))</f>
        <v/>
      </c>
      <c r="I88" s="13" t="str">
        <f aca="false">IF($M88="","",N(INDEX('DỮ LIỆU'!$N$3:$N$1052,$M88)))</f>
        <v/>
      </c>
      <c r="J88" s="13" t="str">
        <f aca="false">IF($M88="","",N(INDEX('DỮ LIỆU'!$O$3:$O$1052,$M88)))</f>
        <v/>
      </c>
      <c r="K88" s="13" t="str">
        <f aca="true">IF(OR($M88="",$C88=""),"",MAX(0,TODAY()-$C88))</f>
        <v/>
      </c>
      <c r="L88" s="21" t="str">
        <f aca="false">IF($M88="","",IF(INDEX('DỮ LIỆU'!$R$3:$R$1052,$M88)="","",INDEX('DỮ LIỆU'!$R$3:$R$1052,$M88)))</f>
        <v/>
      </c>
      <c r="M88" s="0" t="str">
        <f aca="false">IFERROR(MATCH(83,'DỮ LIỆU'!$T$3:$T$1052,0),"")</f>
        <v/>
      </c>
    </row>
    <row r="89" customFormat="false" ht="15" hidden="false" customHeight="false" outlineLevel="0" collapsed="false">
      <c r="A89" s="21" t="str">
        <f aca="false">IF($M89="","",84)</f>
        <v/>
      </c>
      <c r="B89" s="13" t="str">
        <f aca="false">IF($M89="","",INDEX('DỮ LIỆU'!$A$3:$A$1052,$M89))</f>
        <v/>
      </c>
      <c r="C89" s="41" t="str">
        <f aca="false">IF($M89="","",IF(INDEX('DỮ LIỆU'!$B$3:$B$1052,$M89)="","",INDEX('DỮ LIỆU'!$B$3:$B$1052,$M89)))</f>
        <v/>
      </c>
      <c r="D89" s="21" t="str">
        <f aca="false">IF($M89="","",IF(INDEX('DỮ LIỆU'!$C$3:$C$1052,$M89)="","",INDEX('DỮ LIỆU'!$C$3:$C$1052,$M89)))</f>
        <v/>
      </c>
      <c r="E89" s="21" t="str">
        <f aca="false">IF($M89="","",IF(INDEX('DỮ LIỆU'!$D$3:$D$1052,$M89)="","",INDEX('DỮ LIỆU'!$D$3:$D$1052,$M89)))</f>
        <v/>
      </c>
      <c r="F89" s="21" t="str">
        <f aca="false">IF($M89="","",IF(INDEX('DỮ LIỆU'!$H$3:$H$1052,$M89)="","",INDEX('DỮ LIỆU'!$H$3:$H$1052,$M89)))</f>
        <v/>
      </c>
      <c r="G89" s="13" t="str">
        <f aca="false">IF($M89="","",N(INDEX('DỮ LIỆU'!$I$3:$I$1052,$M89)))</f>
        <v/>
      </c>
      <c r="H89" s="13" t="str">
        <f aca="false">IF($M89="","",N(INDEX('DỮ LIỆU'!$M$3:$M$1052,$M89)))</f>
        <v/>
      </c>
      <c r="I89" s="13" t="str">
        <f aca="false">IF($M89="","",N(INDEX('DỮ LIỆU'!$N$3:$N$1052,$M89)))</f>
        <v/>
      </c>
      <c r="J89" s="13" t="str">
        <f aca="false">IF($M89="","",N(INDEX('DỮ LIỆU'!$O$3:$O$1052,$M89)))</f>
        <v/>
      </c>
      <c r="K89" s="13" t="str">
        <f aca="true">IF(OR($M89="",$C89=""),"",MAX(0,TODAY()-$C89))</f>
        <v/>
      </c>
      <c r="L89" s="21" t="str">
        <f aca="false">IF($M89="","",IF(INDEX('DỮ LIỆU'!$R$3:$R$1052,$M89)="","",INDEX('DỮ LIỆU'!$R$3:$R$1052,$M89)))</f>
        <v/>
      </c>
      <c r="M89" s="0" t="str">
        <f aca="false">IFERROR(MATCH(84,'DỮ LIỆU'!$T$3:$T$1052,0),"")</f>
        <v/>
      </c>
    </row>
    <row r="90" customFormat="false" ht="15" hidden="false" customHeight="false" outlineLevel="0" collapsed="false">
      <c r="A90" s="21" t="str">
        <f aca="false">IF($M90="","",85)</f>
        <v/>
      </c>
      <c r="B90" s="13" t="str">
        <f aca="false">IF($M90="","",INDEX('DỮ LIỆU'!$A$3:$A$1052,$M90))</f>
        <v/>
      </c>
      <c r="C90" s="41" t="str">
        <f aca="false">IF($M90="","",IF(INDEX('DỮ LIỆU'!$B$3:$B$1052,$M90)="","",INDEX('DỮ LIỆU'!$B$3:$B$1052,$M90)))</f>
        <v/>
      </c>
      <c r="D90" s="21" t="str">
        <f aca="false">IF($M90="","",IF(INDEX('DỮ LIỆU'!$C$3:$C$1052,$M90)="","",INDEX('DỮ LIỆU'!$C$3:$C$1052,$M90)))</f>
        <v/>
      </c>
      <c r="E90" s="21" t="str">
        <f aca="false">IF($M90="","",IF(INDEX('DỮ LIỆU'!$D$3:$D$1052,$M90)="","",INDEX('DỮ LIỆU'!$D$3:$D$1052,$M90)))</f>
        <v/>
      </c>
      <c r="F90" s="21" t="str">
        <f aca="false">IF($M90="","",IF(INDEX('DỮ LIỆU'!$H$3:$H$1052,$M90)="","",INDEX('DỮ LIỆU'!$H$3:$H$1052,$M90)))</f>
        <v/>
      </c>
      <c r="G90" s="13" t="str">
        <f aca="false">IF($M90="","",N(INDEX('DỮ LIỆU'!$I$3:$I$1052,$M90)))</f>
        <v/>
      </c>
      <c r="H90" s="13" t="str">
        <f aca="false">IF($M90="","",N(INDEX('DỮ LIỆU'!$M$3:$M$1052,$M90)))</f>
        <v/>
      </c>
      <c r="I90" s="13" t="str">
        <f aca="false">IF($M90="","",N(INDEX('DỮ LIỆU'!$N$3:$N$1052,$M90)))</f>
        <v/>
      </c>
      <c r="J90" s="13" t="str">
        <f aca="false">IF($M90="","",N(INDEX('DỮ LIỆU'!$O$3:$O$1052,$M90)))</f>
        <v/>
      </c>
      <c r="K90" s="13" t="str">
        <f aca="true">IF(OR($M90="",$C90=""),"",MAX(0,TODAY()-$C90))</f>
        <v/>
      </c>
      <c r="L90" s="21" t="str">
        <f aca="false">IF($M90="","",IF(INDEX('DỮ LIỆU'!$R$3:$R$1052,$M90)="","",INDEX('DỮ LIỆU'!$R$3:$R$1052,$M90)))</f>
        <v/>
      </c>
      <c r="M90" s="0" t="str">
        <f aca="false">IFERROR(MATCH(85,'DỮ LIỆU'!$T$3:$T$1052,0),"")</f>
        <v/>
      </c>
    </row>
    <row r="91" customFormat="false" ht="15" hidden="false" customHeight="false" outlineLevel="0" collapsed="false">
      <c r="A91" s="21" t="str">
        <f aca="false">IF($M91="","",86)</f>
        <v/>
      </c>
      <c r="B91" s="13" t="str">
        <f aca="false">IF($M91="","",INDEX('DỮ LIỆU'!$A$3:$A$1052,$M91))</f>
        <v/>
      </c>
      <c r="C91" s="41" t="str">
        <f aca="false">IF($M91="","",IF(INDEX('DỮ LIỆU'!$B$3:$B$1052,$M91)="","",INDEX('DỮ LIỆU'!$B$3:$B$1052,$M91)))</f>
        <v/>
      </c>
      <c r="D91" s="21" t="str">
        <f aca="false">IF($M91="","",IF(INDEX('DỮ LIỆU'!$C$3:$C$1052,$M91)="","",INDEX('DỮ LIỆU'!$C$3:$C$1052,$M91)))</f>
        <v/>
      </c>
      <c r="E91" s="21" t="str">
        <f aca="false">IF($M91="","",IF(INDEX('DỮ LIỆU'!$D$3:$D$1052,$M91)="","",INDEX('DỮ LIỆU'!$D$3:$D$1052,$M91)))</f>
        <v/>
      </c>
      <c r="F91" s="21" t="str">
        <f aca="false">IF($M91="","",IF(INDEX('DỮ LIỆU'!$H$3:$H$1052,$M91)="","",INDEX('DỮ LIỆU'!$H$3:$H$1052,$M91)))</f>
        <v/>
      </c>
      <c r="G91" s="13" t="str">
        <f aca="false">IF($M91="","",N(INDEX('DỮ LIỆU'!$I$3:$I$1052,$M91)))</f>
        <v/>
      </c>
      <c r="H91" s="13" t="str">
        <f aca="false">IF($M91="","",N(INDEX('DỮ LIỆU'!$M$3:$M$1052,$M91)))</f>
        <v/>
      </c>
      <c r="I91" s="13" t="str">
        <f aca="false">IF($M91="","",N(INDEX('DỮ LIỆU'!$N$3:$N$1052,$M91)))</f>
        <v/>
      </c>
      <c r="J91" s="13" t="str">
        <f aca="false">IF($M91="","",N(INDEX('DỮ LIỆU'!$O$3:$O$1052,$M91)))</f>
        <v/>
      </c>
      <c r="K91" s="13" t="str">
        <f aca="true">IF(OR($M91="",$C91=""),"",MAX(0,TODAY()-$C91))</f>
        <v/>
      </c>
      <c r="L91" s="21" t="str">
        <f aca="false">IF($M91="","",IF(INDEX('DỮ LIỆU'!$R$3:$R$1052,$M91)="","",INDEX('DỮ LIỆU'!$R$3:$R$1052,$M91)))</f>
        <v/>
      </c>
      <c r="M91" s="0" t="str">
        <f aca="false">IFERROR(MATCH(86,'DỮ LIỆU'!$T$3:$T$1052,0),"")</f>
        <v/>
      </c>
    </row>
    <row r="92" customFormat="false" ht="15" hidden="false" customHeight="false" outlineLevel="0" collapsed="false">
      <c r="A92" s="21" t="str">
        <f aca="false">IF($M92="","",87)</f>
        <v/>
      </c>
      <c r="B92" s="13" t="str">
        <f aca="false">IF($M92="","",INDEX('DỮ LIỆU'!$A$3:$A$1052,$M92))</f>
        <v/>
      </c>
      <c r="C92" s="41" t="str">
        <f aca="false">IF($M92="","",IF(INDEX('DỮ LIỆU'!$B$3:$B$1052,$M92)="","",INDEX('DỮ LIỆU'!$B$3:$B$1052,$M92)))</f>
        <v/>
      </c>
      <c r="D92" s="21" t="str">
        <f aca="false">IF($M92="","",IF(INDEX('DỮ LIỆU'!$C$3:$C$1052,$M92)="","",INDEX('DỮ LIỆU'!$C$3:$C$1052,$M92)))</f>
        <v/>
      </c>
      <c r="E92" s="21" t="str">
        <f aca="false">IF($M92="","",IF(INDEX('DỮ LIỆU'!$D$3:$D$1052,$M92)="","",INDEX('DỮ LIỆU'!$D$3:$D$1052,$M92)))</f>
        <v/>
      </c>
      <c r="F92" s="21" t="str">
        <f aca="false">IF($M92="","",IF(INDEX('DỮ LIỆU'!$H$3:$H$1052,$M92)="","",INDEX('DỮ LIỆU'!$H$3:$H$1052,$M92)))</f>
        <v/>
      </c>
      <c r="G92" s="13" t="str">
        <f aca="false">IF($M92="","",N(INDEX('DỮ LIỆU'!$I$3:$I$1052,$M92)))</f>
        <v/>
      </c>
      <c r="H92" s="13" t="str">
        <f aca="false">IF($M92="","",N(INDEX('DỮ LIỆU'!$M$3:$M$1052,$M92)))</f>
        <v/>
      </c>
      <c r="I92" s="13" t="str">
        <f aca="false">IF($M92="","",N(INDEX('DỮ LIỆU'!$N$3:$N$1052,$M92)))</f>
        <v/>
      </c>
      <c r="J92" s="13" t="str">
        <f aca="false">IF($M92="","",N(INDEX('DỮ LIỆU'!$O$3:$O$1052,$M92)))</f>
        <v/>
      </c>
      <c r="K92" s="13" t="str">
        <f aca="true">IF(OR($M92="",$C92=""),"",MAX(0,TODAY()-$C92))</f>
        <v/>
      </c>
      <c r="L92" s="21" t="str">
        <f aca="false">IF($M92="","",IF(INDEX('DỮ LIỆU'!$R$3:$R$1052,$M92)="","",INDEX('DỮ LIỆU'!$R$3:$R$1052,$M92)))</f>
        <v/>
      </c>
      <c r="M92" s="0" t="str">
        <f aca="false">IFERROR(MATCH(87,'DỮ LIỆU'!$T$3:$T$1052,0),"")</f>
        <v/>
      </c>
    </row>
    <row r="93" customFormat="false" ht="15" hidden="false" customHeight="false" outlineLevel="0" collapsed="false">
      <c r="A93" s="21" t="str">
        <f aca="false">IF($M93="","",88)</f>
        <v/>
      </c>
      <c r="B93" s="13" t="str">
        <f aca="false">IF($M93="","",INDEX('DỮ LIỆU'!$A$3:$A$1052,$M93))</f>
        <v/>
      </c>
      <c r="C93" s="41" t="str">
        <f aca="false">IF($M93="","",IF(INDEX('DỮ LIỆU'!$B$3:$B$1052,$M93)="","",INDEX('DỮ LIỆU'!$B$3:$B$1052,$M93)))</f>
        <v/>
      </c>
      <c r="D93" s="21" t="str">
        <f aca="false">IF($M93="","",IF(INDEX('DỮ LIỆU'!$C$3:$C$1052,$M93)="","",INDEX('DỮ LIỆU'!$C$3:$C$1052,$M93)))</f>
        <v/>
      </c>
      <c r="E93" s="21" t="str">
        <f aca="false">IF($M93="","",IF(INDEX('DỮ LIỆU'!$D$3:$D$1052,$M93)="","",INDEX('DỮ LIỆU'!$D$3:$D$1052,$M93)))</f>
        <v/>
      </c>
      <c r="F93" s="21" t="str">
        <f aca="false">IF($M93="","",IF(INDEX('DỮ LIỆU'!$H$3:$H$1052,$M93)="","",INDEX('DỮ LIỆU'!$H$3:$H$1052,$M93)))</f>
        <v/>
      </c>
      <c r="G93" s="13" t="str">
        <f aca="false">IF($M93="","",N(INDEX('DỮ LIỆU'!$I$3:$I$1052,$M93)))</f>
        <v/>
      </c>
      <c r="H93" s="13" t="str">
        <f aca="false">IF($M93="","",N(INDEX('DỮ LIỆU'!$M$3:$M$1052,$M93)))</f>
        <v/>
      </c>
      <c r="I93" s="13" t="str">
        <f aca="false">IF($M93="","",N(INDEX('DỮ LIỆU'!$N$3:$N$1052,$M93)))</f>
        <v/>
      </c>
      <c r="J93" s="13" t="str">
        <f aca="false">IF($M93="","",N(INDEX('DỮ LIỆU'!$O$3:$O$1052,$M93)))</f>
        <v/>
      </c>
      <c r="K93" s="13" t="str">
        <f aca="true">IF(OR($M93="",$C93=""),"",MAX(0,TODAY()-$C93))</f>
        <v/>
      </c>
      <c r="L93" s="21" t="str">
        <f aca="false">IF($M93="","",IF(INDEX('DỮ LIỆU'!$R$3:$R$1052,$M93)="","",INDEX('DỮ LIỆU'!$R$3:$R$1052,$M93)))</f>
        <v/>
      </c>
      <c r="M93" s="0" t="str">
        <f aca="false">IFERROR(MATCH(88,'DỮ LIỆU'!$T$3:$T$1052,0),"")</f>
        <v/>
      </c>
    </row>
    <row r="94" customFormat="false" ht="15" hidden="false" customHeight="false" outlineLevel="0" collapsed="false">
      <c r="A94" s="21" t="str">
        <f aca="false">IF($M94="","",89)</f>
        <v/>
      </c>
      <c r="B94" s="13" t="str">
        <f aca="false">IF($M94="","",INDEX('DỮ LIỆU'!$A$3:$A$1052,$M94))</f>
        <v/>
      </c>
      <c r="C94" s="41" t="str">
        <f aca="false">IF($M94="","",IF(INDEX('DỮ LIỆU'!$B$3:$B$1052,$M94)="","",INDEX('DỮ LIỆU'!$B$3:$B$1052,$M94)))</f>
        <v/>
      </c>
      <c r="D94" s="21" t="str">
        <f aca="false">IF($M94="","",IF(INDEX('DỮ LIỆU'!$C$3:$C$1052,$M94)="","",INDEX('DỮ LIỆU'!$C$3:$C$1052,$M94)))</f>
        <v/>
      </c>
      <c r="E94" s="21" t="str">
        <f aca="false">IF($M94="","",IF(INDEX('DỮ LIỆU'!$D$3:$D$1052,$M94)="","",INDEX('DỮ LIỆU'!$D$3:$D$1052,$M94)))</f>
        <v/>
      </c>
      <c r="F94" s="21" t="str">
        <f aca="false">IF($M94="","",IF(INDEX('DỮ LIỆU'!$H$3:$H$1052,$M94)="","",INDEX('DỮ LIỆU'!$H$3:$H$1052,$M94)))</f>
        <v/>
      </c>
      <c r="G94" s="13" t="str">
        <f aca="false">IF($M94="","",N(INDEX('DỮ LIỆU'!$I$3:$I$1052,$M94)))</f>
        <v/>
      </c>
      <c r="H94" s="13" t="str">
        <f aca="false">IF($M94="","",N(INDEX('DỮ LIỆU'!$M$3:$M$1052,$M94)))</f>
        <v/>
      </c>
      <c r="I94" s="13" t="str">
        <f aca="false">IF($M94="","",N(INDEX('DỮ LIỆU'!$N$3:$N$1052,$M94)))</f>
        <v/>
      </c>
      <c r="J94" s="13" t="str">
        <f aca="false">IF($M94="","",N(INDEX('DỮ LIỆU'!$O$3:$O$1052,$M94)))</f>
        <v/>
      </c>
      <c r="K94" s="13" t="str">
        <f aca="true">IF(OR($M94="",$C94=""),"",MAX(0,TODAY()-$C94))</f>
        <v/>
      </c>
      <c r="L94" s="21" t="str">
        <f aca="false">IF($M94="","",IF(INDEX('DỮ LIỆU'!$R$3:$R$1052,$M94)="","",INDEX('DỮ LIỆU'!$R$3:$R$1052,$M94)))</f>
        <v/>
      </c>
      <c r="M94" s="0" t="str">
        <f aca="false">IFERROR(MATCH(89,'DỮ LIỆU'!$T$3:$T$1052,0),"")</f>
        <v/>
      </c>
    </row>
    <row r="95" customFormat="false" ht="15" hidden="false" customHeight="false" outlineLevel="0" collapsed="false">
      <c r="A95" s="21" t="str">
        <f aca="false">IF($M95="","",90)</f>
        <v/>
      </c>
      <c r="B95" s="13" t="str">
        <f aca="false">IF($M95="","",INDEX('DỮ LIỆU'!$A$3:$A$1052,$M95))</f>
        <v/>
      </c>
      <c r="C95" s="41" t="str">
        <f aca="false">IF($M95="","",IF(INDEX('DỮ LIỆU'!$B$3:$B$1052,$M95)="","",INDEX('DỮ LIỆU'!$B$3:$B$1052,$M95)))</f>
        <v/>
      </c>
      <c r="D95" s="21" t="str">
        <f aca="false">IF($M95="","",IF(INDEX('DỮ LIỆU'!$C$3:$C$1052,$M95)="","",INDEX('DỮ LIỆU'!$C$3:$C$1052,$M95)))</f>
        <v/>
      </c>
      <c r="E95" s="21" t="str">
        <f aca="false">IF($M95="","",IF(INDEX('DỮ LIỆU'!$D$3:$D$1052,$M95)="","",INDEX('DỮ LIỆU'!$D$3:$D$1052,$M95)))</f>
        <v/>
      </c>
      <c r="F95" s="21" t="str">
        <f aca="false">IF($M95="","",IF(INDEX('DỮ LIỆU'!$H$3:$H$1052,$M95)="","",INDEX('DỮ LIỆU'!$H$3:$H$1052,$M95)))</f>
        <v/>
      </c>
      <c r="G95" s="13" t="str">
        <f aca="false">IF($M95="","",N(INDEX('DỮ LIỆU'!$I$3:$I$1052,$M95)))</f>
        <v/>
      </c>
      <c r="H95" s="13" t="str">
        <f aca="false">IF($M95="","",N(INDEX('DỮ LIỆU'!$M$3:$M$1052,$M95)))</f>
        <v/>
      </c>
      <c r="I95" s="13" t="str">
        <f aca="false">IF($M95="","",N(INDEX('DỮ LIỆU'!$N$3:$N$1052,$M95)))</f>
        <v/>
      </c>
      <c r="J95" s="13" t="str">
        <f aca="false">IF($M95="","",N(INDEX('DỮ LIỆU'!$O$3:$O$1052,$M95)))</f>
        <v/>
      </c>
      <c r="K95" s="13" t="str">
        <f aca="true">IF(OR($M95="",$C95=""),"",MAX(0,TODAY()-$C95))</f>
        <v/>
      </c>
      <c r="L95" s="21" t="str">
        <f aca="false">IF($M95="","",IF(INDEX('DỮ LIỆU'!$R$3:$R$1052,$M95)="","",INDEX('DỮ LIỆU'!$R$3:$R$1052,$M95)))</f>
        <v/>
      </c>
      <c r="M95" s="0" t="str">
        <f aca="false">IFERROR(MATCH(90,'DỮ LIỆU'!$T$3:$T$1052,0),"")</f>
        <v/>
      </c>
    </row>
    <row r="96" customFormat="false" ht="15" hidden="false" customHeight="false" outlineLevel="0" collapsed="false">
      <c r="A96" s="21" t="str">
        <f aca="false">IF($M96="","",91)</f>
        <v/>
      </c>
      <c r="B96" s="13" t="str">
        <f aca="false">IF($M96="","",INDEX('DỮ LIỆU'!$A$3:$A$1052,$M96))</f>
        <v/>
      </c>
      <c r="C96" s="41" t="str">
        <f aca="false">IF($M96="","",IF(INDEX('DỮ LIỆU'!$B$3:$B$1052,$M96)="","",INDEX('DỮ LIỆU'!$B$3:$B$1052,$M96)))</f>
        <v/>
      </c>
      <c r="D96" s="21" t="str">
        <f aca="false">IF($M96="","",IF(INDEX('DỮ LIỆU'!$C$3:$C$1052,$M96)="","",INDEX('DỮ LIỆU'!$C$3:$C$1052,$M96)))</f>
        <v/>
      </c>
      <c r="E96" s="21" t="str">
        <f aca="false">IF($M96="","",IF(INDEX('DỮ LIỆU'!$D$3:$D$1052,$M96)="","",INDEX('DỮ LIỆU'!$D$3:$D$1052,$M96)))</f>
        <v/>
      </c>
      <c r="F96" s="21" t="str">
        <f aca="false">IF($M96="","",IF(INDEX('DỮ LIỆU'!$H$3:$H$1052,$M96)="","",INDEX('DỮ LIỆU'!$H$3:$H$1052,$M96)))</f>
        <v/>
      </c>
      <c r="G96" s="13" t="str">
        <f aca="false">IF($M96="","",N(INDEX('DỮ LIỆU'!$I$3:$I$1052,$M96)))</f>
        <v/>
      </c>
      <c r="H96" s="13" t="str">
        <f aca="false">IF($M96="","",N(INDEX('DỮ LIỆU'!$M$3:$M$1052,$M96)))</f>
        <v/>
      </c>
      <c r="I96" s="13" t="str">
        <f aca="false">IF($M96="","",N(INDEX('DỮ LIỆU'!$N$3:$N$1052,$M96)))</f>
        <v/>
      </c>
      <c r="J96" s="13" t="str">
        <f aca="false">IF($M96="","",N(INDEX('DỮ LIỆU'!$O$3:$O$1052,$M96)))</f>
        <v/>
      </c>
      <c r="K96" s="13" t="str">
        <f aca="true">IF(OR($M96="",$C96=""),"",MAX(0,TODAY()-$C96))</f>
        <v/>
      </c>
      <c r="L96" s="21" t="str">
        <f aca="false">IF($M96="","",IF(INDEX('DỮ LIỆU'!$R$3:$R$1052,$M96)="","",INDEX('DỮ LIỆU'!$R$3:$R$1052,$M96)))</f>
        <v/>
      </c>
      <c r="M96" s="0" t="str">
        <f aca="false">IFERROR(MATCH(91,'DỮ LIỆU'!$T$3:$T$1052,0),"")</f>
        <v/>
      </c>
    </row>
    <row r="97" customFormat="false" ht="15" hidden="false" customHeight="false" outlineLevel="0" collapsed="false">
      <c r="A97" s="21" t="str">
        <f aca="false">IF($M97="","",92)</f>
        <v/>
      </c>
      <c r="B97" s="13" t="str">
        <f aca="false">IF($M97="","",INDEX('DỮ LIỆU'!$A$3:$A$1052,$M97))</f>
        <v/>
      </c>
      <c r="C97" s="41" t="str">
        <f aca="false">IF($M97="","",IF(INDEX('DỮ LIỆU'!$B$3:$B$1052,$M97)="","",INDEX('DỮ LIỆU'!$B$3:$B$1052,$M97)))</f>
        <v/>
      </c>
      <c r="D97" s="21" t="str">
        <f aca="false">IF($M97="","",IF(INDEX('DỮ LIỆU'!$C$3:$C$1052,$M97)="","",INDEX('DỮ LIỆU'!$C$3:$C$1052,$M97)))</f>
        <v/>
      </c>
      <c r="E97" s="21" t="str">
        <f aca="false">IF($M97="","",IF(INDEX('DỮ LIỆU'!$D$3:$D$1052,$M97)="","",INDEX('DỮ LIỆU'!$D$3:$D$1052,$M97)))</f>
        <v/>
      </c>
      <c r="F97" s="21" t="str">
        <f aca="false">IF($M97="","",IF(INDEX('DỮ LIỆU'!$H$3:$H$1052,$M97)="","",INDEX('DỮ LIỆU'!$H$3:$H$1052,$M97)))</f>
        <v/>
      </c>
      <c r="G97" s="13" t="str">
        <f aca="false">IF($M97="","",N(INDEX('DỮ LIỆU'!$I$3:$I$1052,$M97)))</f>
        <v/>
      </c>
      <c r="H97" s="13" t="str">
        <f aca="false">IF($M97="","",N(INDEX('DỮ LIỆU'!$M$3:$M$1052,$M97)))</f>
        <v/>
      </c>
      <c r="I97" s="13" t="str">
        <f aca="false">IF($M97="","",N(INDEX('DỮ LIỆU'!$N$3:$N$1052,$M97)))</f>
        <v/>
      </c>
      <c r="J97" s="13" t="str">
        <f aca="false">IF($M97="","",N(INDEX('DỮ LIỆU'!$O$3:$O$1052,$M97)))</f>
        <v/>
      </c>
      <c r="K97" s="13" t="str">
        <f aca="true">IF(OR($M97="",$C97=""),"",MAX(0,TODAY()-$C97))</f>
        <v/>
      </c>
      <c r="L97" s="21" t="str">
        <f aca="false">IF($M97="","",IF(INDEX('DỮ LIỆU'!$R$3:$R$1052,$M97)="","",INDEX('DỮ LIỆU'!$R$3:$R$1052,$M97)))</f>
        <v/>
      </c>
      <c r="M97" s="0" t="str">
        <f aca="false">IFERROR(MATCH(92,'DỮ LIỆU'!$T$3:$T$1052,0),"")</f>
        <v/>
      </c>
    </row>
    <row r="98" customFormat="false" ht="15" hidden="false" customHeight="false" outlineLevel="0" collapsed="false">
      <c r="A98" s="21" t="str">
        <f aca="false">IF($M98="","",93)</f>
        <v/>
      </c>
      <c r="B98" s="13" t="str">
        <f aca="false">IF($M98="","",INDEX('DỮ LIỆU'!$A$3:$A$1052,$M98))</f>
        <v/>
      </c>
      <c r="C98" s="41" t="str">
        <f aca="false">IF($M98="","",IF(INDEX('DỮ LIỆU'!$B$3:$B$1052,$M98)="","",INDEX('DỮ LIỆU'!$B$3:$B$1052,$M98)))</f>
        <v/>
      </c>
      <c r="D98" s="21" t="str">
        <f aca="false">IF($M98="","",IF(INDEX('DỮ LIỆU'!$C$3:$C$1052,$M98)="","",INDEX('DỮ LIỆU'!$C$3:$C$1052,$M98)))</f>
        <v/>
      </c>
      <c r="E98" s="21" t="str">
        <f aca="false">IF($M98="","",IF(INDEX('DỮ LIỆU'!$D$3:$D$1052,$M98)="","",INDEX('DỮ LIỆU'!$D$3:$D$1052,$M98)))</f>
        <v/>
      </c>
      <c r="F98" s="21" t="str">
        <f aca="false">IF($M98="","",IF(INDEX('DỮ LIỆU'!$H$3:$H$1052,$M98)="","",INDEX('DỮ LIỆU'!$H$3:$H$1052,$M98)))</f>
        <v/>
      </c>
      <c r="G98" s="13" t="str">
        <f aca="false">IF($M98="","",N(INDEX('DỮ LIỆU'!$I$3:$I$1052,$M98)))</f>
        <v/>
      </c>
      <c r="H98" s="13" t="str">
        <f aca="false">IF($M98="","",N(INDEX('DỮ LIỆU'!$M$3:$M$1052,$M98)))</f>
        <v/>
      </c>
      <c r="I98" s="13" t="str">
        <f aca="false">IF($M98="","",N(INDEX('DỮ LIỆU'!$N$3:$N$1052,$M98)))</f>
        <v/>
      </c>
      <c r="J98" s="13" t="str">
        <f aca="false">IF($M98="","",N(INDEX('DỮ LIỆU'!$O$3:$O$1052,$M98)))</f>
        <v/>
      </c>
      <c r="K98" s="13" t="str">
        <f aca="true">IF(OR($M98="",$C98=""),"",MAX(0,TODAY()-$C98))</f>
        <v/>
      </c>
      <c r="L98" s="21" t="str">
        <f aca="false">IF($M98="","",IF(INDEX('DỮ LIỆU'!$R$3:$R$1052,$M98)="","",INDEX('DỮ LIỆU'!$R$3:$R$1052,$M98)))</f>
        <v/>
      </c>
      <c r="M98" s="0" t="str">
        <f aca="false">IFERROR(MATCH(93,'DỮ LIỆU'!$T$3:$T$1052,0),"")</f>
        <v/>
      </c>
    </row>
    <row r="99" customFormat="false" ht="15" hidden="false" customHeight="false" outlineLevel="0" collapsed="false">
      <c r="A99" s="21" t="str">
        <f aca="false">IF($M99="","",94)</f>
        <v/>
      </c>
      <c r="B99" s="13" t="str">
        <f aca="false">IF($M99="","",INDEX('DỮ LIỆU'!$A$3:$A$1052,$M99))</f>
        <v/>
      </c>
      <c r="C99" s="41" t="str">
        <f aca="false">IF($M99="","",IF(INDEX('DỮ LIỆU'!$B$3:$B$1052,$M99)="","",INDEX('DỮ LIỆU'!$B$3:$B$1052,$M99)))</f>
        <v/>
      </c>
      <c r="D99" s="21" t="str">
        <f aca="false">IF($M99="","",IF(INDEX('DỮ LIỆU'!$C$3:$C$1052,$M99)="","",INDEX('DỮ LIỆU'!$C$3:$C$1052,$M99)))</f>
        <v/>
      </c>
      <c r="E99" s="21" t="str">
        <f aca="false">IF($M99="","",IF(INDEX('DỮ LIỆU'!$D$3:$D$1052,$M99)="","",INDEX('DỮ LIỆU'!$D$3:$D$1052,$M99)))</f>
        <v/>
      </c>
      <c r="F99" s="21" t="str">
        <f aca="false">IF($M99="","",IF(INDEX('DỮ LIỆU'!$H$3:$H$1052,$M99)="","",INDEX('DỮ LIỆU'!$H$3:$H$1052,$M99)))</f>
        <v/>
      </c>
      <c r="G99" s="13" t="str">
        <f aca="false">IF($M99="","",N(INDEX('DỮ LIỆU'!$I$3:$I$1052,$M99)))</f>
        <v/>
      </c>
      <c r="H99" s="13" t="str">
        <f aca="false">IF($M99="","",N(INDEX('DỮ LIỆU'!$M$3:$M$1052,$M99)))</f>
        <v/>
      </c>
      <c r="I99" s="13" t="str">
        <f aca="false">IF($M99="","",N(INDEX('DỮ LIỆU'!$N$3:$N$1052,$M99)))</f>
        <v/>
      </c>
      <c r="J99" s="13" t="str">
        <f aca="false">IF($M99="","",N(INDEX('DỮ LIỆU'!$O$3:$O$1052,$M99)))</f>
        <v/>
      </c>
      <c r="K99" s="13" t="str">
        <f aca="true">IF(OR($M99="",$C99=""),"",MAX(0,TODAY()-$C99))</f>
        <v/>
      </c>
      <c r="L99" s="21" t="str">
        <f aca="false">IF($M99="","",IF(INDEX('DỮ LIỆU'!$R$3:$R$1052,$M99)="","",INDEX('DỮ LIỆU'!$R$3:$R$1052,$M99)))</f>
        <v/>
      </c>
      <c r="M99" s="0" t="str">
        <f aca="false">IFERROR(MATCH(94,'DỮ LIỆU'!$T$3:$T$1052,0),"")</f>
        <v/>
      </c>
    </row>
    <row r="100" customFormat="false" ht="15" hidden="false" customHeight="false" outlineLevel="0" collapsed="false">
      <c r="A100" s="21" t="str">
        <f aca="false">IF($M100="","",95)</f>
        <v/>
      </c>
      <c r="B100" s="13" t="str">
        <f aca="false">IF($M100="","",INDEX('DỮ LIỆU'!$A$3:$A$1052,$M100))</f>
        <v/>
      </c>
      <c r="C100" s="41" t="str">
        <f aca="false">IF($M100="","",IF(INDEX('DỮ LIỆU'!$B$3:$B$1052,$M100)="","",INDEX('DỮ LIỆU'!$B$3:$B$1052,$M100)))</f>
        <v/>
      </c>
      <c r="D100" s="21" t="str">
        <f aca="false">IF($M100="","",IF(INDEX('DỮ LIỆU'!$C$3:$C$1052,$M100)="","",INDEX('DỮ LIỆU'!$C$3:$C$1052,$M100)))</f>
        <v/>
      </c>
      <c r="E100" s="21" t="str">
        <f aca="false">IF($M100="","",IF(INDEX('DỮ LIỆU'!$D$3:$D$1052,$M100)="","",INDEX('DỮ LIỆU'!$D$3:$D$1052,$M100)))</f>
        <v/>
      </c>
      <c r="F100" s="21" t="str">
        <f aca="false">IF($M100="","",IF(INDEX('DỮ LIỆU'!$H$3:$H$1052,$M100)="","",INDEX('DỮ LIỆU'!$H$3:$H$1052,$M100)))</f>
        <v/>
      </c>
      <c r="G100" s="13" t="str">
        <f aca="false">IF($M100="","",N(INDEX('DỮ LIỆU'!$I$3:$I$1052,$M100)))</f>
        <v/>
      </c>
      <c r="H100" s="13" t="str">
        <f aca="false">IF($M100="","",N(INDEX('DỮ LIỆU'!$M$3:$M$1052,$M100)))</f>
        <v/>
      </c>
      <c r="I100" s="13" t="str">
        <f aca="false">IF($M100="","",N(INDEX('DỮ LIỆU'!$N$3:$N$1052,$M100)))</f>
        <v/>
      </c>
      <c r="J100" s="13" t="str">
        <f aca="false">IF($M100="","",N(INDEX('DỮ LIỆU'!$O$3:$O$1052,$M100)))</f>
        <v/>
      </c>
      <c r="K100" s="13" t="str">
        <f aca="true">IF(OR($M100="",$C100=""),"",MAX(0,TODAY()-$C100))</f>
        <v/>
      </c>
      <c r="L100" s="21" t="str">
        <f aca="false">IF($M100="","",IF(INDEX('DỮ LIỆU'!$R$3:$R$1052,$M100)="","",INDEX('DỮ LIỆU'!$R$3:$R$1052,$M100)))</f>
        <v/>
      </c>
      <c r="M100" s="0" t="str">
        <f aca="false">IFERROR(MATCH(95,'DỮ LIỆU'!$T$3:$T$1052,0),"")</f>
        <v/>
      </c>
    </row>
    <row r="101" customFormat="false" ht="15" hidden="false" customHeight="false" outlineLevel="0" collapsed="false">
      <c r="A101" s="21" t="str">
        <f aca="false">IF($M101="","",96)</f>
        <v/>
      </c>
      <c r="B101" s="13" t="str">
        <f aca="false">IF($M101="","",INDEX('DỮ LIỆU'!$A$3:$A$1052,$M101))</f>
        <v/>
      </c>
      <c r="C101" s="41" t="str">
        <f aca="false">IF($M101="","",IF(INDEX('DỮ LIỆU'!$B$3:$B$1052,$M101)="","",INDEX('DỮ LIỆU'!$B$3:$B$1052,$M101)))</f>
        <v/>
      </c>
      <c r="D101" s="21" t="str">
        <f aca="false">IF($M101="","",IF(INDEX('DỮ LIỆU'!$C$3:$C$1052,$M101)="","",INDEX('DỮ LIỆU'!$C$3:$C$1052,$M101)))</f>
        <v/>
      </c>
      <c r="E101" s="21" t="str">
        <f aca="false">IF($M101="","",IF(INDEX('DỮ LIỆU'!$D$3:$D$1052,$M101)="","",INDEX('DỮ LIỆU'!$D$3:$D$1052,$M101)))</f>
        <v/>
      </c>
      <c r="F101" s="21" t="str">
        <f aca="false">IF($M101="","",IF(INDEX('DỮ LIỆU'!$H$3:$H$1052,$M101)="","",INDEX('DỮ LIỆU'!$H$3:$H$1052,$M101)))</f>
        <v/>
      </c>
      <c r="G101" s="13" t="str">
        <f aca="false">IF($M101="","",N(INDEX('DỮ LIỆU'!$I$3:$I$1052,$M101)))</f>
        <v/>
      </c>
      <c r="H101" s="13" t="str">
        <f aca="false">IF($M101="","",N(INDEX('DỮ LIỆU'!$M$3:$M$1052,$M101)))</f>
        <v/>
      </c>
      <c r="I101" s="13" t="str">
        <f aca="false">IF($M101="","",N(INDEX('DỮ LIỆU'!$N$3:$N$1052,$M101)))</f>
        <v/>
      </c>
      <c r="J101" s="13" t="str">
        <f aca="false">IF($M101="","",N(INDEX('DỮ LIỆU'!$O$3:$O$1052,$M101)))</f>
        <v/>
      </c>
      <c r="K101" s="13" t="str">
        <f aca="true">IF(OR($M101="",$C101=""),"",MAX(0,TODAY()-$C101))</f>
        <v/>
      </c>
      <c r="L101" s="21" t="str">
        <f aca="false">IF($M101="","",IF(INDEX('DỮ LIỆU'!$R$3:$R$1052,$M101)="","",INDEX('DỮ LIỆU'!$R$3:$R$1052,$M101)))</f>
        <v/>
      </c>
      <c r="M101" s="0" t="str">
        <f aca="false">IFERROR(MATCH(96,'DỮ LIỆU'!$T$3:$T$1052,0),"")</f>
        <v/>
      </c>
    </row>
    <row r="102" customFormat="false" ht="15" hidden="false" customHeight="false" outlineLevel="0" collapsed="false">
      <c r="A102" s="21" t="str">
        <f aca="false">IF($M102="","",97)</f>
        <v/>
      </c>
      <c r="B102" s="13" t="str">
        <f aca="false">IF($M102="","",INDEX('DỮ LIỆU'!$A$3:$A$1052,$M102))</f>
        <v/>
      </c>
      <c r="C102" s="41" t="str">
        <f aca="false">IF($M102="","",IF(INDEX('DỮ LIỆU'!$B$3:$B$1052,$M102)="","",INDEX('DỮ LIỆU'!$B$3:$B$1052,$M102)))</f>
        <v/>
      </c>
      <c r="D102" s="21" t="str">
        <f aca="false">IF($M102="","",IF(INDEX('DỮ LIỆU'!$C$3:$C$1052,$M102)="","",INDEX('DỮ LIỆU'!$C$3:$C$1052,$M102)))</f>
        <v/>
      </c>
      <c r="E102" s="21" t="str">
        <f aca="false">IF($M102="","",IF(INDEX('DỮ LIỆU'!$D$3:$D$1052,$M102)="","",INDEX('DỮ LIỆU'!$D$3:$D$1052,$M102)))</f>
        <v/>
      </c>
      <c r="F102" s="21" t="str">
        <f aca="false">IF($M102="","",IF(INDEX('DỮ LIỆU'!$H$3:$H$1052,$M102)="","",INDEX('DỮ LIỆU'!$H$3:$H$1052,$M102)))</f>
        <v/>
      </c>
      <c r="G102" s="13" t="str">
        <f aca="false">IF($M102="","",N(INDEX('DỮ LIỆU'!$I$3:$I$1052,$M102)))</f>
        <v/>
      </c>
      <c r="H102" s="13" t="str">
        <f aca="false">IF($M102="","",N(INDEX('DỮ LIỆU'!$M$3:$M$1052,$M102)))</f>
        <v/>
      </c>
      <c r="I102" s="13" t="str">
        <f aca="false">IF($M102="","",N(INDEX('DỮ LIỆU'!$N$3:$N$1052,$M102)))</f>
        <v/>
      </c>
      <c r="J102" s="13" t="str">
        <f aca="false">IF($M102="","",N(INDEX('DỮ LIỆU'!$O$3:$O$1052,$M102)))</f>
        <v/>
      </c>
      <c r="K102" s="13" t="str">
        <f aca="true">IF(OR($M102="",$C102=""),"",MAX(0,TODAY()-$C102))</f>
        <v/>
      </c>
      <c r="L102" s="21" t="str">
        <f aca="false">IF($M102="","",IF(INDEX('DỮ LIỆU'!$R$3:$R$1052,$M102)="","",INDEX('DỮ LIỆU'!$R$3:$R$1052,$M102)))</f>
        <v/>
      </c>
      <c r="M102" s="0" t="str">
        <f aca="false">IFERROR(MATCH(97,'DỮ LIỆU'!$T$3:$T$1052,0),"")</f>
        <v/>
      </c>
    </row>
    <row r="103" customFormat="false" ht="15" hidden="false" customHeight="false" outlineLevel="0" collapsed="false">
      <c r="A103" s="21" t="str">
        <f aca="false">IF($M103="","",98)</f>
        <v/>
      </c>
      <c r="B103" s="13" t="str">
        <f aca="false">IF($M103="","",INDEX('DỮ LIỆU'!$A$3:$A$1052,$M103))</f>
        <v/>
      </c>
      <c r="C103" s="41" t="str">
        <f aca="false">IF($M103="","",IF(INDEX('DỮ LIỆU'!$B$3:$B$1052,$M103)="","",INDEX('DỮ LIỆU'!$B$3:$B$1052,$M103)))</f>
        <v/>
      </c>
      <c r="D103" s="21" t="str">
        <f aca="false">IF($M103="","",IF(INDEX('DỮ LIỆU'!$C$3:$C$1052,$M103)="","",INDEX('DỮ LIỆU'!$C$3:$C$1052,$M103)))</f>
        <v/>
      </c>
      <c r="E103" s="21" t="str">
        <f aca="false">IF($M103="","",IF(INDEX('DỮ LIỆU'!$D$3:$D$1052,$M103)="","",INDEX('DỮ LIỆU'!$D$3:$D$1052,$M103)))</f>
        <v/>
      </c>
      <c r="F103" s="21" t="str">
        <f aca="false">IF($M103="","",IF(INDEX('DỮ LIỆU'!$H$3:$H$1052,$M103)="","",INDEX('DỮ LIỆU'!$H$3:$H$1052,$M103)))</f>
        <v/>
      </c>
      <c r="G103" s="13" t="str">
        <f aca="false">IF($M103="","",N(INDEX('DỮ LIỆU'!$I$3:$I$1052,$M103)))</f>
        <v/>
      </c>
      <c r="H103" s="13" t="str">
        <f aca="false">IF($M103="","",N(INDEX('DỮ LIỆU'!$M$3:$M$1052,$M103)))</f>
        <v/>
      </c>
      <c r="I103" s="13" t="str">
        <f aca="false">IF($M103="","",N(INDEX('DỮ LIỆU'!$N$3:$N$1052,$M103)))</f>
        <v/>
      </c>
      <c r="J103" s="13" t="str">
        <f aca="false">IF($M103="","",N(INDEX('DỮ LIỆU'!$O$3:$O$1052,$M103)))</f>
        <v/>
      </c>
      <c r="K103" s="13" t="str">
        <f aca="true">IF(OR($M103="",$C103=""),"",MAX(0,TODAY()-$C103))</f>
        <v/>
      </c>
      <c r="L103" s="21" t="str">
        <f aca="false">IF($M103="","",IF(INDEX('DỮ LIỆU'!$R$3:$R$1052,$M103)="","",INDEX('DỮ LIỆU'!$R$3:$R$1052,$M103)))</f>
        <v/>
      </c>
      <c r="M103" s="0" t="str">
        <f aca="false">IFERROR(MATCH(98,'DỮ LIỆU'!$T$3:$T$1052,0),"")</f>
        <v/>
      </c>
    </row>
    <row r="104" customFormat="false" ht="15" hidden="false" customHeight="false" outlineLevel="0" collapsed="false">
      <c r="A104" s="21" t="str">
        <f aca="false">IF($M104="","",99)</f>
        <v/>
      </c>
      <c r="B104" s="13" t="str">
        <f aca="false">IF($M104="","",INDEX('DỮ LIỆU'!$A$3:$A$1052,$M104))</f>
        <v/>
      </c>
      <c r="C104" s="41" t="str">
        <f aca="false">IF($M104="","",IF(INDEX('DỮ LIỆU'!$B$3:$B$1052,$M104)="","",INDEX('DỮ LIỆU'!$B$3:$B$1052,$M104)))</f>
        <v/>
      </c>
      <c r="D104" s="21" t="str">
        <f aca="false">IF($M104="","",IF(INDEX('DỮ LIỆU'!$C$3:$C$1052,$M104)="","",INDEX('DỮ LIỆU'!$C$3:$C$1052,$M104)))</f>
        <v/>
      </c>
      <c r="E104" s="21" t="str">
        <f aca="false">IF($M104="","",IF(INDEX('DỮ LIỆU'!$D$3:$D$1052,$M104)="","",INDEX('DỮ LIỆU'!$D$3:$D$1052,$M104)))</f>
        <v/>
      </c>
      <c r="F104" s="21" t="str">
        <f aca="false">IF($M104="","",IF(INDEX('DỮ LIỆU'!$H$3:$H$1052,$M104)="","",INDEX('DỮ LIỆU'!$H$3:$H$1052,$M104)))</f>
        <v/>
      </c>
      <c r="G104" s="13" t="str">
        <f aca="false">IF($M104="","",N(INDEX('DỮ LIỆU'!$I$3:$I$1052,$M104)))</f>
        <v/>
      </c>
      <c r="H104" s="13" t="str">
        <f aca="false">IF($M104="","",N(INDEX('DỮ LIỆU'!$M$3:$M$1052,$M104)))</f>
        <v/>
      </c>
      <c r="I104" s="13" t="str">
        <f aca="false">IF($M104="","",N(INDEX('DỮ LIỆU'!$N$3:$N$1052,$M104)))</f>
        <v/>
      </c>
      <c r="J104" s="13" t="str">
        <f aca="false">IF($M104="","",N(INDEX('DỮ LIỆU'!$O$3:$O$1052,$M104)))</f>
        <v/>
      </c>
      <c r="K104" s="13" t="str">
        <f aca="true">IF(OR($M104="",$C104=""),"",MAX(0,TODAY()-$C104))</f>
        <v/>
      </c>
      <c r="L104" s="21" t="str">
        <f aca="false">IF($M104="","",IF(INDEX('DỮ LIỆU'!$R$3:$R$1052,$M104)="","",INDEX('DỮ LIỆU'!$R$3:$R$1052,$M104)))</f>
        <v/>
      </c>
      <c r="M104" s="0" t="str">
        <f aca="false">IFERROR(MATCH(99,'DỮ LIỆU'!$T$3:$T$1052,0),"")</f>
        <v/>
      </c>
    </row>
    <row r="105" customFormat="false" ht="15" hidden="false" customHeight="false" outlineLevel="0" collapsed="false">
      <c r="A105" s="21" t="str">
        <f aca="false">IF($M105="","",100)</f>
        <v/>
      </c>
      <c r="B105" s="13" t="str">
        <f aca="false">IF($M105="","",INDEX('DỮ LIỆU'!$A$3:$A$1052,$M105))</f>
        <v/>
      </c>
      <c r="C105" s="41" t="str">
        <f aca="false">IF($M105="","",IF(INDEX('DỮ LIỆU'!$B$3:$B$1052,$M105)="","",INDEX('DỮ LIỆU'!$B$3:$B$1052,$M105)))</f>
        <v/>
      </c>
      <c r="D105" s="21" t="str">
        <f aca="false">IF($M105="","",IF(INDEX('DỮ LIỆU'!$C$3:$C$1052,$M105)="","",INDEX('DỮ LIỆU'!$C$3:$C$1052,$M105)))</f>
        <v/>
      </c>
      <c r="E105" s="21" t="str">
        <f aca="false">IF($M105="","",IF(INDEX('DỮ LIỆU'!$D$3:$D$1052,$M105)="","",INDEX('DỮ LIỆU'!$D$3:$D$1052,$M105)))</f>
        <v/>
      </c>
      <c r="F105" s="21" t="str">
        <f aca="false">IF($M105="","",IF(INDEX('DỮ LIỆU'!$H$3:$H$1052,$M105)="","",INDEX('DỮ LIỆU'!$H$3:$H$1052,$M105)))</f>
        <v/>
      </c>
      <c r="G105" s="13" t="str">
        <f aca="false">IF($M105="","",N(INDEX('DỮ LIỆU'!$I$3:$I$1052,$M105)))</f>
        <v/>
      </c>
      <c r="H105" s="13" t="str">
        <f aca="false">IF($M105="","",N(INDEX('DỮ LIỆU'!$M$3:$M$1052,$M105)))</f>
        <v/>
      </c>
      <c r="I105" s="13" t="str">
        <f aca="false">IF($M105="","",N(INDEX('DỮ LIỆU'!$N$3:$N$1052,$M105)))</f>
        <v/>
      </c>
      <c r="J105" s="13" t="str">
        <f aca="false">IF($M105="","",N(INDEX('DỮ LIỆU'!$O$3:$O$1052,$M105)))</f>
        <v/>
      </c>
      <c r="K105" s="13" t="str">
        <f aca="true">IF(OR($M105="",$C105=""),"",MAX(0,TODAY()-$C105))</f>
        <v/>
      </c>
      <c r="L105" s="21" t="str">
        <f aca="false">IF($M105="","",IF(INDEX('DỮ LIỆU'!$R$3:$R$1052,$M105)="","",INDEX('DỮ LIỆU'!$R$3:$R$1052,$M105)))</f>
        <v/>
      </c>
      <c r="M105" s="0" t="str">
        <f aca="false">IFERROR(MATCH(100,'DỮ LIỆU'!$T$3:$T$1052,0),"")</f>
        <v/>
      </c>
    </row>
    <row r="106" customFormat="false" ht="15" hidden="false" customHeight="false" outlineLevel="0" collapsed="false">
      <c r="A106" s="21" t="str">
        <f aca="false">IF($M106="","",101)</f>
        <v/>
      </c>
      <c r="B106" s="13" t="str">
        <f aca="false">IF($M106="","",INDEX('DỮ LIỆU'!$A$3:$A$1052,$M106))</f>
        <v/>
      </c>
      <c r="C106" s="41" t="str">
        <f aca="false">IF($M106="","",IF(INDEX('DỮ LIỆU'!$B$3:$B$1052,$M106)="","",INDEX('DỮ LIỆU'!$B$3:$B$1052,$M106)))</f>
        <v/>
      </c>
      <c r="D106" s="21" t="str">
        <f aca="false">IF($M106="","",IF(INDEX('DỮ LIỆU'!$C$3:$C$1052,$M106)="","",INDEX('DỮ LIỆU'!$C$3:$C$1052,$M106)))</f>
        <v/>
      </c>
      <c r="E106" s="21" t="str">
        <f aca="false">IF($M106="","",IF(INDEX('DỮ LIỆU'!$D$3:$D$1052,$M106)="","",INDEX('DỮ LIỆU'!$D$3:$D$1052,$M106)))</f>
        <v/>
      </c>
      <c r="F106" s="21" t="str">
        <f aca="false">IF($M106="","",IF(INDEX('DỮ LIỆU'!$H$3:$H$1052,$M106)="","",INDEX('DỮ LIỆU'!$H$3:$H$1052,$M106)))</f>
        <v/>
      </c>
      <c r="G106" s="13" t="str">
        <f aca="false">IF($M106="","",N(INDEX('DỮ LIỆU'!$I$3:$I$1052,$M106)))</f>
        <v/>
      </c>
      <c r="H106" s="13" t="str">
        <f aca="false">IF($M106="","",N(INDEX('DỮ LIỆU'!$M$3:$M$1052,$M106)))</f>
        <v/>
      </c>
      <c r="I106" s="13" t="str">
        <f aca="false">IF($M106="","",N(INDEX('DỮ LIỆU'!$N$3:$N$1052,$M106)))</f>
        <v/>
      </c>
      <c r="J106" s="13" t="str">
        <f aca="false">IF($M106="","",N(INDEX('DỮ LIỆU'!$O$3:$O$1052,$M106)))</f>
        <v/>
      </c>
      <c r="K106" s="13" t="str">
        <f aca="true">IF(OR($M106="",$C106=""),"",MAX(0,TODAY()-$C106))</f>
        <v/>
      </c>
      <c r="L106" s="21" t="str">
        <f aca="false">IF($M106="","",IF(INDEX('DỮ LIỆU'!$R$3:$R$1052,$M106)="","",INDEX('DỮ LIỆU'!$R$3:$R$1052,$M106)))</f>
        <v/>
      </c>
      <c r="M106" s="0" t="str">
        <f aca="false">IFERROR(MATCH(101,'DỮ LIỆU'!$T$3:$T$1052,0),"")</f>
        <v/>
      </c>
    </row>
    <row r="107" customFormat="false" ht="15" hidden="false" customHeight="false" outlineLevel="0" collapsed="false">
      <c r="A107" s="21" t="str">
        <f aca="false">IF($M107="","",102)</f>
        <v/>
      </c>
      <c r="B107" s="13" t="str">
        <f aca="false">IF($M107="","",INDEX('DỮ LIỆU'!$A$3:$A$1052,$M107))</f>
        <v/>
      </c>
      <c r="C107" s="41" t="str">
        <f aca="false">IF($M107="","",IF(INDEX('DỮ LIỆU'!$B$3:$B$1052,$M107)="","",INDEX('DỮ LIỆU'!$B$3:$B$1052,$M107)))</f>
        <v/>
      </c>
      <c r="D107" s="21" t="str">
        <f aca="false">IF($M107="","",IF(INDEX('DỮ LIỆU'!$C$3:$C$1052,$M107)="","",INDEX('DỮ LIỆU'!$C$3:$C$1052,$M107)))</f>
        <v/>
      </c>
      <c r="E107" s="21" t="str">
        <f aca="false">IF($M107="","",IF(INDEX('DỮ LIỆU'!$D$3:$D$1052,$M107)="","",INDEX('DỮ LIỆU'!$D$3:$D$1052,$M107)))</f>
        <v/>
      </c>
      <c r="F107" s="21" t="str">
        <f aca="false">IF($M107="","",IF(INDEX('DỮ LIỆU'!$H$3:$H$1052,$M107)="","",INDEX('DỮ LIỆU'!$H$3:$H$1052,$M107)))</f>
        <v/>
      </c>
      <c r="G107" s="13" t="str">
        <f aca="false">IF($M107="","",N(INDEX('DỮ LIỆU'!$I$3:$I$1052,$M107)))</f>
        <v/>
      </c>
      <c r="H107" s="13" t="str">
        <f aca="false">IF($M107="","",N(INDEX('DỮ LIỆU'!$M$3:$M$1052,$M107)))</f>
        <v/>
      </c>
      <c r="I107" s="13" t="str">
        <f aca="false">IF($M107="","",N(INDEX('DỮ LIỆU'!$N$3:$N$1052,$M107)))</f>
        <v/>
      </c>
      <c r="J107" s="13" t="str">
        <f aca="false">IF($M107="","",N(INDEX('DỮ LIỆU'!$O$3:$O$1052,$M107)))</f>
        <v/>
      </c>
      <c r="K107" s="13" t="str">
        <f aca="true">IF(OR($M107="",$C107=""),"",MAX(0,TODAY()-$C107))</f>
        <v/>
      </c>
      <c r="L107" s="21" t="str">
        <f aca="false">IF($M107="","",IF(INDEX('DỮ LIỆU'!$R$3:$R$1052,$M107)="","",INDEX('DỮ LIỆU'!$R$3:$R$1052,$M107)))</f>
        <v/>
      </c>
      <c r="M107" s="0" t="str">
        <f aca="false">IFERROR(MATCH(102,'DỮ LIỆU'!$T$3:$T$1052,0),"")</f>
        <v/>
      </c>
    </row>
    <row r="108" customFormat="false" ht="15" hidden="false" customHeight="false" outlineLevel="0" collapsed="false">
      <c r="A108" s="21" t="str">
        <f aca="false">IF($M108="","",103)</f>
        <v/>
      </c>
      <c r="B108" s="13" t="str">
        <f aca="false">IF($M108="","",INDEX('DỮ LIỆU'!$A$3:$A$1052,$M108))</f>
        <v/>
      </c>
      <c r="C108" s="41" t="str">
        <f aca="false">IF($M108="","",IF(INDEX('DỮ LIỆU'!$B$3:$B$1052,$M108)="","",INDEX('DỮ LIỆU'!$B$3:$B$1052,$M108)))</f>
        <v/>
      </c>
      <c r="D108" s="21" t="str">
        <f aca="false">IF($M108="","",IF(INDEX('DỮ LIỆU'!$C$3:$C$1052,$M108)="","",INDEX('DỮ LIỆU'!$C$3:$C$1052,$M108)))</f>
        <v/>
      </c>
      <c r="E108" s="21" t="str">
        <f aca="false">IF($M108="","",IF(INDEX('DỮ LIỆU'!$D$3:$D$1052,$M108)="","",INDEX('DỮ LIỆU'!$D$3:$D$1052,$M108)))</f>
        <v/>
      </c>
      <c r="F108" s="21" t="str">
        <f aca="false">IF($M108="","",IF(INDEX('DỮ LIỆU'!$H$3:$H$1052,$M108)="","",INDEX('DỮ LIỆU'!$H$3:$H$1052,$M108)))</f>
        <v/>
      </c>
      <c r="G108" s="13" t="str">
        <f aca="false">IF($M108="","",N(INDEX('DỮ LIỆU'!$I$3:$I$1052,$M108)))</f>
        <v/>
      </c>
      <c r="H108" s="13" t="str">
        <f aca="false">IF($M108="","",N(INDEX('DỮ LIỆU'!$M$3:$M$1052,$M108)))</f>
        <v/>
      </c>
      <c r="I108" s="13" t="str">
        <f aca="false">IF($M108="","",N(INDEX('DỮ LIỆU'!$N$3:$N$1052,$M108)))</f>
        <v/>
      </c>
      <c r="J108" s="13" t="str">
        <f aca="false">IF($M108="","",N(INDEX('DỮ LIỆU'!$O$3:$O$1052,$M108)))</f>
        <v/>
      </c>
      <c r="K108" s="13" t="str">
        <f aca="true">IF(OR($M108="",$C108=""),"",MAX(0,TODAY()-$C108))</f>
        <v/>
      </c>
      <c r="L108" s="21" t="str">
        <f aca="false">IF($M108="","",IF(INDEX('DỮ LIỆU'!$R$3:$R$1052,$M108)="","",INDEX('DỮ LIỆU'!$R$3:$R$1052,$M108)))</f>
        <v/>
      </c>
      <c r="M108" s="0" t="str">
        <f aca="false">IFERROR(MATCH(103,'DỮ LIỆU'!$T$3:$T$1052,0),"")</f>
        <v/>
      </c>
    </row>
    <row r="109" customFormat="false" ht="15" hidden="false" customHeight="false" outlineLevel="0" collapsed="false">
      <c r="A109" s="21" t="str">
        <f aca="false">IF($M109="","",104)</f>
        <v/>
      </c>
      <c r="B109" s="13" t="str">
        <f aca="false">IF($M109="","",INDEX('DỮ LIỆU'!$A$3:$A$1052,$M109))</f>
        <v/>
      </c>
      <c r="C109" s="41" t="str">
        <f aca="false">IF($M109="","",IF(INDEX('DỮ LIỆU'!$B$3:$B$1052,$M109)="","",INDEX('DỮ LIỆU'!$B$3:$B$1052,$M109)))</f>
        <v/>
      </c>
      <c r="D109" s="21" t="str">
        <f aca="false">IF($M109="","",IF(INDEX('DỮ LIỆU'!$C$3:$C$1052,$M109)="","",INDEX('DỮ LIỆU'!$C$3:$C$1052,$M109)))</f>
        <v/>
      </c>
      <c r="E109" s="21" t="str">
        <f aca="false">IF($M109="","",IF(INDEX('DỮ LIỆU'!$D$3:$D$1052,$M109)="","",INDEX('DỮ LIỆU'!$D$3:$D$1052,$M109)))</f>
        <v/>
      </c>
      <c r="F109" s="21" t="str">
        <f aca="false">IF($M109="","",IF(INDEX('DỮ LIỆU'!$H$3:$H$1052,$M109)="","",INDEX('DỮ LIỆU'!$H$3:$H$1052,$M109)))</f>
        <v/>
      </c>
      <c r="G109" s="13" t="str">
        <f aca="false">IF($M109="","",N(INDEX('DỮ LIỆU'!$I$3:$I$1052,$M109)))</f>
        <v/>
      </c>
      <c r="H109" s="13" t="str">
        <f aca="false">IF($M109="","",N(INDEX('DỮ LIỆU'!$M$3:$M$1052,$M109)))</f>
        <v/>
      </c>
      <c r="I109" s="13" t="str">
        <f aca="false">IF($M109="","",N(INDEX('DỮ LIỆU'!$N$3:$N$1052,$M109)))</f>
        <v/>
      </c>
      <c r="J109" s="13" t="str">
        <f aca="false">IF($M109="","",N(INDEX('DỮ LIỆU'!$O$3:$O$1052,$M109)))</f>
        <v/>
      </c>
      <c r="K109" s="13" t="str">
        <f aca="true">IF(OR($M109="",$C109=""),"",MAX(0,TODAY()-$C109))</f>
        <v/>
      </c>
      <c r="L109" s="21" t="str">
        <f aca="false">IF($M109="","",IF(INDEX('DỮ LIỆU'!$R$3:$R$1052,$M109)="","",INDEX('DỮ LIỆU'!$R$3:$R$1052,$M109)))</f>
        <v/>
      </c>
      <c r="M109" s="0" t="str">
        <f aca="false">IFERROR(MATCH(104,'DỮ LIỆU'!$T$3:$T$1052,0),"")</f>
        <v/>
      </c>
    </row>
    <row r="110" customFormat="false" ht="15" hidden="false" customHeight="false" outlineLevel="0" collapsed="false">
      <c r="A110" s="21" t="str">
        <f aca="false">IF($M110="","",105)</f>
        <v/>
      </c>
      <c r="B110" s="13" t="str">
        <f aca="false">IF($M110="","",INDEX('DỮ LIỆU'!$A$3:$A$1052,$M110))</f>
        <v/>
      </c>
      <c r="C110" s="41" t="str">
        <f aca="false">IF($M110="","",IF(INDEX('DỮ LIỆU'!$B$3:$B$1052,$M110)="","",INDEX('DỮ LIỆU'!$B$3:$B$1052,$M110)))</f>
        <v/>
      </c>
      <c r="D110" s="21" t="str">
        <f aca="false">IF($M110="","",IF(INDEX('DỮ LIỆU'!$C$3:$C$1052,$M110)="","",INDEX('DỮ LIỆU'!$C$3:$C$1052,$M110)))</f>
        <v/>
      </c>
      <c r="E110" s="21" t="str">
        <f aca="false">IF($M110="","",IF(INDEX('DỮ LIỆU'!$D$3:$D$1052,$M110)="","",INDEX('DỮ LIỆU'!$D$3:$D$1052,$M110)))</f>
        <v/>
      </c>
      <c r="F110" s="21" t="str">
        <f aca="false">IF($M110="","",IF(INDEX('DỮ LIỆU'!$H$3:$H$1052,$M110)="","",INDEX('DỮ LIỆU'!$H$3:$H$1052,$M110)))</f>
        <v/>
      </c>
      <c r="G110" s="13" t="str">
        <f aca="false">IF($M110="","",N(INDEX('DỮ LIỆU'!$I$3:$I$1052,$M110)))</f>
        <v/>
      </c>
      <c r="H110" s="13" t="str">
        <f aca="false">IF($M110="","",N(INDEX('DỮ LIỆU'!$M$3:$M$1052,$M110)))</f>
        <v/>
      </c>
      <c r="I110" s="13" t="str">
        <f aca="false">IF($M110="","",N(INDEX('DỮ LIỆU'!$N$3:$N$1052,$M110)))</f>
        <v/>
      </c>
      <c r="J110" s="13" t="str">
        <f aca="false">IF($M110="","",N(INDEX('DỮ LIỆU'!$O$3:$O$1052,$M110)))</f>
        <v/>
      </c>
      <c r="K110" s="13" t="str">
        <f aca="true">IF(OR($M110="",$C110=""),"",MAX(0,TODAY()-$C110))</f>
        <v/>
      </c>
      <c r="L110" s="21" t="str">
        <f aca="false">IF($M110="","",IF(INDEX('DỮ LIỆU'!$R$3:$R$1052,$M110)="","",INDEX('DỮ LIỆU'!$R$3:$R$1052,$M110)))</f>
        <v/>
      </c>
      <c r="M110" s="0" t="str">
        <f aca="false">IFERROR(MATCH(105,'DỮ LIỆU'!$T$3:$T$1052,0),"")</f>
        <v/>
      </c>
    </row>
    <row r="111" customFormat="false" ht="15" hidden="false" customHeight="false" outlineLevel="0" collapsed="false">
      <c r="A111" s="21" t="str">
        <f aca="false">IF($M111="","",106)</f>
        <v/>
      </c>
      <c r="B111" s="13" t="str">
        <f aca="false">IF($M111="","",INDEX('DỮ LIỆU'!$A$3:$A$1052,$M111))</f>
        <v/>
      </c>
      <c r="C111" s="41" t="str">
        <f aca="false">IF($M111="","",IF(INDEX('DỮ LIỆU'!$B$3:$B$1052,$M111)="","",INDEX('DỮ LIỆU'!$B$3:$B$1052,$M111)))</f>
        <v/>
      </c>
      <c r="D111" s="21" t="str">
        <f aca="false">IF($M111="","",IF(INDEX('DỮ LIỆU'!$C$3:$C$1052,$M111)="","",INDEX('DỮ LIỆU'!$C$3:$C$1052,$M111)))</f>
        <v/>
      </c>
      <c r="E111" s="21" t="str">
        <f aca="false">IF($M111="","",IF(INDEX('DỮ LIỆU'!$D$3:$D$1052,$M111)="","",INDEX('DỮ LIỆU'!$D$3:$D$1052,$M111)))</f>
        <v/>
      </c>
      <c r="F111" s="21" t="str">
        <f aca="false">IF($M111="","",IF(INDEX('DỮ LIỆU'!$H$3:$H$1052,$M111)="","",INDEX('DỮ LIỆU'!$H$3:$H$1052,$M111)))</f>
        <v/>
      </c>
      <c r="G111" s="13" t="str">
        <f aca="false">IF($M111="","",N(INDEX('DỮ LIỆU'!$I$3:$I$1052,$M111)))</f>
        <v/>
      </c>
      <c r="H111" s="13" t="str">
        <f aca="false">IF($M111="","",N(INDEX('DỮ LIỆU'!$M$3:$M$1052,$M111)))</f>
        <v/>
      </c>
      <c r="I111" s="13" t="str">
        <f aca="false">IF($M111="","",N(INDEX('DỮ LIỆU'!$N$3:$N$1052,$M111)))</f>
        <v/>
      </c>
      <c r="J111" s="13" t="str">
        <f aca="false">IF($M111="","",N(INDEX('DỮ LIỆU'!$O$3:$O$1052,$M111)))</f>
        <v/>
      </c>
      <c r="K111" s="13" t="str">
        <f aca="true">IF(OR($M111="",$C111=""),"",MAX(0,TODAY()-$C111))</f>
        <v/>
      </c>
      <c r="L111" s="21" t="str">
        <f aca="false">IF($M111="","",IF(INDEX('DỮ LIỆU'!$R$3:$R$1052,$M111)="","",INDEX('DỮ LIỆU'!$R$3:$R$1052,$M111)))</f>
        <v/>
      </c>
      <c r="M111" s="0" t="str">
        <f aca="false">IFERROR(MATCH(106,'DỮ LIỆU'!$T$3:$T$1052,0),"")</f>
        <v/>
      </c>
    </row>
    <row r="112" customFormat="false" ht="15" hidden="false" customHeight="false" outlineLevel="0" collapsed="false">
      <c r="A112" s="21" t="str">
        <f aca="false">IF($M112="","",107)</f>
        <v/>
      </c>
      <c r="B112" s="13" t="str">
        <f aca="false">IF($M112="","",INDEX('DỮ LIỆU'!$A$3:$A$1052,$M112))</f>
        <v/>
      </c>
      <c r="C112" s="41" t="str">
        <f aca="false">IF($M112="","",IF(INDEX('DỮ LIỆU'!$B$3:$B$1052,$M112)="","",INDEX('DỮ LIỆU'!$B$3:$B$1052,$M112)))</f>
        <v/>
      </c>
      <c r="D112" s="21" t="str">
        <f aca="false">IF($M112="","",IF(INDEX('DỮ LIỆU'!$C$3:$C$1052,$M112)="","",INDEX('DỮ LIỆU'!$C$3:$C$1052,$M112)))</f>
        <v/>
      </c>
      <c r="E112" s="21" t="str">
        <f aca="false">IF($M112="","",IF(INDEX('DỮ LIỆU'!$D$3:$D$1052,$M112)="","",INDEX('DỮ LIỆU'!$D$3:$D$1052,$M112)))</f>
        <v/>
      </c>
      <c r="F112" s="21" t="str">
        <f aca="false">IF($M112="","",IF(INDEX('DỮ LIỆU'!$H$3:$H$1052,$M112)="","",INDEX('DỮ LIỆU'!$H$3:$H$1052,$M112)))</f>
        <v/>
      </c>
      <c r="G112" s="13" t="str">
        <f aca="false">IF($M112="","",N(INDEX('DỮ LIỆU'!$I$3:$I$1052,$M112)))</f>
        <v/>
      </c>
      <c r="H112" s="13" t="str">
        <f aca="false">IF($M112="","",N(INDEX('DỮ LIỆU'!$M$3:$M$1052,$M112)))</f>
        <v/>
      </c>
      <c r="I112" s="13" t="str">
        <f aca="false">IF($M112="","",N(INDEX('DỮ LIỆU'!$N$3:$N$1052,$M112)))</f>
        <v/>
      </c>
      <c r="J112" s="13" t="str">
        <f aca="false">IF($M112="","",N(INDEX('DỮ LIỆU'!$O$3:$O$1052,$M112)))</f>
        <v/>
      </c>
      <c r="K112" s="13" t="str">
        <f aca="true">IF(OR($M112="",$C112=""),"",MAX(0,TODAY()-$C112))</f>
        <v/>
      </c>
      <c r="L112" s="21" t="str">
        <f aca="false">IF($M112="","",IF(INDEX('DỮ LIỆU'!$R$3:$R$1052,$M112)="","",INDEX('DỮ LIỆU'!$R$3:$R$1052,$M112)))</f>
        <v/>
      </c>
      <c r="M112" s="0" t="str">
        <f aca="false">IFERROR(MATCH(107,'DỮ LIỆU'!$T$3:$T$1052,0),"")</f>
        <v/>
      </c>
    </row>
    <row r="113" customFormat="false" ht="15" hidden="false" customHeight="false" outlineLevel="0" collapsed="false">
      <c r="A113" s="21" t="str">
        <f aca="false">IF($M113="","",108)</f>
        <v/>
      </c>
      <c r="B113" s="13" t="str">
        <f aca="false">IF($M113="","",INDEX('DỮ LIỆU'!$A$3:$A$1052,$M113))</f>
        <v/>
      </c>
      <c r="C113" s="41" t="str">
        <f aca="false">IF($M113="","",IF(INDEX('DỮ LIỆU'!$B$3:$B$1052,$M113)="","",INDEX('DỮ LIỆU'!$B$3:$B$1052,$M113)))</f>
        <v/>
      </c>
      <c r="D113" s="21" t="str">
        <f aca="false">IF($M113="","",IF(INDEX('DỮ LIỆU'!$C$3:$C$1052,$M113)="","",INDEX('DỮ LIỆU'!$C$3:$C$1052,$M113)))</f>
        <v/>
      </c>
      <c r="E113" s="21" t="str">
        <f aca="false">IF($M113="","",IF(INDEX('DỮ LIỆU'!$D$3:$D$1052,$M113)="","",INDEX('DỮ LIỆU'!$D$3:$D$1052,$M113)))</f>
        <v/>
      </c>
      <c r="F113" s="21" t="str">
        <f aca="false">IF($M113="","",IF(INDEX('DỮ LIỆU'!$H$3:$H$1052,$M113)="","",INDEX('DỮ LIỆU'!$H$3:$H$1052,$M113)))</f>
        <v/>
      </c>
      <c r="G113" s="13" t="str">
        <f aca="false">IF($M113="","",N(INDEX('DỮ LIỆU'!$I$3:$I$1052,$M113)))</f>
        <v/>
      </c>
      <c r="H113" s="13" t="str">
        <f aca="false">IF($M113="","",N(INDEX('DỮ LIỆU'!$M$3:$M$1052,$M113)))</f>
        <v/>
      </c>
      <c r="I113" s="13" t="str">
        <f aca="false">IF($M113="","",N(INDEX('DỮ LIỆU'!$N$3:$N$1052,$M113)))</f>
        <v/>
      </c>
      <c r="J113" s="13" t="str">
        <f aca="false">IF($M113="","",N(INDEX('DỮ LIỆU'!$O$3:$O$1052,$M113)))</f>
        <v/>
      </c>
      <c r="K113" s="13" t="str">
        <f aca="true">IF(OR($M113="",$C113=""),"",MAX(0,TODAY()-$C113))</f>
        <v/>
      </c>
      <c r="L113" s="21" t="str">
        <f aca="false">IF($M113="","",IF(INDEX('DỮ LIỆU'!$R$3:$R$1052,$M113)="","",INDEX('DỮ LIỆU'!$R$3:$R$1052,$M113)))</f>
        <v/>
      </c>
      <c r="M113" s="0" t="str">
        <f aca="false">IFERROR(MATCH(108,'DỮ LIỆU'!$T$3:$T$1052,0),"")</f>
        <v/>
      </c>
    </row>
    <row r="114" customFormat="false" ht="15" hidden="false" customHeight="false" outlineLevel="0" collapsed="false">
      <c r="A114" s="21" t="str">
        <f aca="false">IF($M114="","",109)</f>
        <v/>
      </c>
      <c r="B114" s="13" t="str">
        <f aca="false">IF($M114="","",INDEX('DỮ LIỆU'!$A$3:$A$1052,$M114))</f>
        <v/>
      </c>
      <c r="C114" s="41" t="str">
        <f aca="false">IF($M114="","",IF(INDEX('DỮ LIỆU'!$B$3:$B$1052,$M114)="","",INDEX('DỮ LIỆU'!$B$3:$B$1052,$M114)))</f>
        <v/>
      </c>
      <c r="D114" s="21" t="str">
        <f aca="false">IF($M114="","",IF(INDEX('DỮ LIỆU'!$C$3:$C$1052,$M114)="","",INDEX('DỮ LIỆU'!$C$3:$C$1052,$M114)))</f>
        <v/>
      </c>
      <c r="E114" s="21" t="str">
        <f aca="false">IF($M114="","",IF(INDEX('DỮ LIỆU'!$D$3:$D$1052,$M114)="","",INDEX('DỮ LIỆU'!$D$3:$D$1052,$M114)))</f>
        <v/>
      </c>
      <c r="F114" s="21" t="str">
        <f aca="false">IF($M114="","",IF(INDEX('DỮ LIỆU'!$H$3:$H$1052,$M114)="","",INDEX('DỮ LIỆU'!$H$3:$H$1052,$M114)))</f>
        <v/>
      </c>
      <c r="G114" s="13" t="str">
        <f aca="false">IF($M114="","",N(INDEX('DỮ LIỆU'!$I$3:$I$1052,$M114)))</f>
        <v/>
      </c>
      <c r="H114" s="13" t="str">
        <f aca="false">IF($M114="","",N(INDEX('DỮ LIỆU'!$M$3:$M$1052,$M114)))</f>
        <v/>
      </c>
      <c r="I114" s="13" t="str">
        <f aca="false">IF($M114="","",N(INDEX('DỮ LIỆU'!$N$3:$N$1052,$M114)))</f>
        <v/>
      </c>
      <c r="J114" s="13" t="str">
        <f aca="false">IF($M114="","",N(INDEX('DỮ LIỆU'!$O$3:$O$1052,$M114)))</f>
        <v/>
      </c>
      <c r="K114" s="13" t="str">
        <f aca="true">IF(OR($M114="",$C114=""),"",MAX(0,TODAY()-$C114))</f>
        <v/>
      </c>
      <c r="L114" s="21" t="str">
        <f aca="false">IF($M114="","",IF(INDEX('DỮ LIỆU'!$R$3:$R$1052,$M114)="","",INDEX('DỮ LIỆU'!$R$3:$R$1052,$M114)))</f>
        <v/>
      </c>
      <c r="M114" s="0" t="str">
        <f aca="false">IFERROR(MATCH(109,'DỮ LIỆU'!$T$3:$T$1052,0),"")</f>
        <v/>
      </c>
    </row>
    <row r="115" customFormat="false" ht="15" hidden="false" customHeight="false" outlineLevel="0" collapsed="false">
      <c r="A115" s="21" t="str">
        <f aca="false">IF($M115="","",110)</f>
        <v/>
      </c>
      <c r="B115" s="13" t="str">
        <f aca="false">IF($M115="","",INDEX('DỮ LIỆU'!$A$3:$A$1052,$M115))</f>
        <v/>
      </c>
      <c r="C115" s="41" t="str">
        <f aca="false">IF($M115="","",IF(INDEX('DỮ LIỆU'!$B$3:$B$1052,$M115)="","",INDEX('DỮ LIỆU'!$B$3:$B$1052,$M115)))</f>
        <v/>
      </c>
      <c r="D115" s="21" t="str">
        <f aca="false">IF($M115="","",IF(INDEX('DỮ LIỆU'!$C$3:$C$1052,$M115)="","",INDEX('DỮ LIỆU'!$C$3:$C$1052,$M115)))</f>
        <v/>
      </c>
      <c r="E115" s="21" t="str">
        <f aca="false">IF($M115="","",IF(INDEX('DỮ LIỆU'!$D$3:$D$1052,$M115)="","",INDEX('DỮ LIỆU'!$D$3:$D$1052,$M115)))</f>
        <v/>
      </c>
      <c r="F115" s="21" t="str">
        <f aca="false">IF($M115="","",IF(INDEX('DỮ LIỆU'!$H$3:$H$1052,$M115)="","",INDEX('DỮ LIỆU'!$H$3:$H$1052,$M115)))</f>
        <v/>
      </c>
      <c r="G115" s="13" t="str">
        <f aca="false">IF($M115="","",N(INDEX('DỮ LIỆU'!$I$3:$I$1052,$M115)))</f>
        <v/>
      </c>
      <c r="H115" s="13" t="str">
        <f aca="false">IF($M115="","",N(INDEX('DỮ LIỆU'!$M$3:$M$1052,$M115)))</f>
        <v/>
      </c>
      <c r="I115" s="13" t="str">
        <f aca="false">IF($M115="","",N(INDEX('DỮ LIỆU'!$N$3:$N$1052,$M115)))</f>
        <v/>
      </c>
      <c r="J115" s="13" t="str">
        <f aca="false">IF($M115="","",N(INDEX('DỮ LIỆU'!$O$3:$O$1052,$M115)))</f>
        <v/>
      </c>
      <c r="K115" s="13" t="str">
        <f aca="true">IF(OR($M115="",$C115=""),"",MAX(0,TODAY()-$C115))</f>
        <v/>
      </c>
      <c r="L115" s="21" t="str">
        <f aca="false">IF($M115="","",IF(INDEX('DỮ LIỆU'!$R$3:$R$1052,$M115)="","",INDEX('DỮ LIỆU'!$R$3:$R$1052,$M115)))</f>
        <v/>
      </c>
      <c r="M115" s="0" t="str">
        <f aca="false">IFERROR(MATCH(110,'DỮ LIỆU'!$T$3:$T$1052,0),"")</f>
        <v/>
      </c>
    </row>
    <row r="116" customFormat="false" ht="15" hidden="false" customHeight="false" outlineLevel="0" collapsed="false">
      <c r="A116" s="21" t="str">
        <f aca="false">IF($M116="","",111)</f>
        <v/>
      </c>
      <c r="B116" s="13" t="str">
        <f aca="false">IF($M116="","",INDEX('DỮ LIỆU'!$A$3:$A$1052,$M116))</f>
        <v/>
      </c>
      <c r="C116" s="41" t="str">
        <f aca="false">IF($M116="","",IF(INDEX('DỮ LIỆU'!$B$3:$B$1052,$M116)="","",INDEX('DỮ LIỆU'!$B$3:$B$1052,$M116)))</f>
        <v/>
      </c>
      <c r="D116" s="21" t="str">
        <f aca="false">IF($M116="","",IF(INDEX('DỮ LIỆU'!$C$3:$C$1052,$M116)="","",INDEX('DỮ LIỆU'!$C$3:$C$1052,$M116)))</f>
        <v/>
      </c>
      <c r="E116" s="21" t="str">
        <f aca="false">IF($M116="","",IF(INDEX('DỮ LIỆU'!$D$3:$D$1052,$M116)="","",INDEX('DỮ LIỆU'!$D$3:$D$1052,$M116)))</f>
        <v/>
      </c>
      <c r="F116" s="21" t="str">
        <f aca="false">IF($M116="","",IF(INDEX('DỮ LIỆU'!$H$3:$H$1052,$M116)="","",INDEX('DỮ LIỆU'!$H$3:$H$1052,$M116)))</f>
        <v/>
      </c>
      <c r="G116" s="13" t="str">
        <f aca="false">IF($M116="","",N(INDEX('DỮ LIỆU'!$I$3:$I$1052,$M116)))</f>
        <v/>
      </c>
      <c r="H116" s="13" t="str">
        <f aca="false">IF($M116="","",N(INDEX('DỮ LIỆU'!$M$3:$M$1052,$M116)))</f>
        <v/>
      </c>
      <c r="I116" s="13" t="str">
        <f aca="false">IF($M116="","",N(INDEX('DỮ LIỆU'!$N$3:$N$1052,$M116)))</f>
        <v/>
      </c>
      <c r="J116" s="13" t="str">
        <f aca="false">IF($M116="","",N(INDEX('DỮ LIỆU'!$O$3:$O$1052,$M116)))</f>
        <v/>
      </c>
      <c r="K116" s="13" t="str">
        <f aca="true">IF(OR($M116="",$C116=""),"",MAX(0,TODAY()-$C116))</f>
        <v/>
      </c>
      <c r="L116" s="21" t="str">
        <f aca="false">IF($M116="","",IF(INDEX('DỮ LIỆU'!$R$3:$R$1052,$M116)="","",INDEX('DỮ LIỆU'!$R$3:$R$1052,$M116)))</f>
        <v/>
      </c>
      <c r="M116" s="0" t="str">
        <f aca="false">IFERROR(MATCH(111,'DỮ LIỆU'!$T$3:$T$1052,0),"")</f>
        <v/>
      </c>
    </row>
    <row r="117" customFormat="false" ht="15" hidden="false" customHeight="false" outlineLevel="0" collapsed="false">
      <c r="A117" s="21" t="str">
        <f aca="false">IF($M117="","",112)</f>
        <v/>
      </c>
      <c r="B117" s="13" t="str">
        <f aca="false">IF($M117="","",INDEX('DỮ LIỆU'!$A$3:$A$1052,$M117))</f>
        <v/>
      </c>
      <c r="C117" s="41" t="str">
        <f aca="false">IF($M117="","",IF(INDEX('DỮ LIỆU'!$B$3:$B$1052,$M117)="","",INDEX('DỮ LIỆU'!$B$3:$B$1052,$M117)))</f>
        <v/>
      </c>
      <c r="D117" s="21" t="str">
        <f aca="false">IF($M117="","",IF(INDEX('DỮ LIỆU'!$C$3:$C$1052,$M117)="","",INDEX('DỮ LIỆU'!$C$3:$C$1052,$M117)))</f>
        <v/>
      </c>
      <c r="E117" s="21" t="str">
        <f aca="false">IF($M117="","",IF(INDEX('DỮ LIỆU'!$D$3:$D$1052,$M117)="","",INDEX('DỮ LIỆU'!$D$3:$D$1052,$M117)))</f>
        <v/>
      </c>
      <c r="F117" s="21" t="str">
        <f aca="false">IF($M117="","",IF(INDEX('DỮ LIỆU'!$H$3:$H$1052,$M117)="","",INDEX('DỮ LIỆU'!$H$3:$H$1052,$M117)))</f>
        <v/>
      </c>
      <c r="G117" s="13" t="str">
        <f aca="false">IF($M117="","",N(INDEX('DỮ LIỆU'!$I$3:$I$1052,$M117)))</f>
        <v/>
      </c>
      <c r="H117" s="13" t="str">
        <f aca="false">IF($M117="","",N(INDEX('DỮ LIỆU'!$M$3:$M$1052,$M117)))</f>
        <v/>
      </c>
      <c r="I117" s="13" t="str">
        <f aca="false">IF($M117="","",N(INDEX('DỮ LIỆU'!$N$3:$N$1052,$M117)))</f>
        <v/>
      </c>
      <c r="J117" s="13" t="str">
        <f aca="false">IF($M117="","",N(INDEX('DỮ LIỆU'!$O$3:$O$1052,$M117)))</f>
        <v/>
      </c>
      <c r="K117" s="13" t="str">
        <f aca="true">IF(OR($M117="",$C117=""),"",MAX(0,TODAY()-$C117))</f>
        <v/>
      </c>
      <c r="L117" s="21" t="str">
        <f aca="false">IF($M117="","",IF(INDEX('DỮ LIỆU'!$R$3:$R$1052,$M117)="","",INDEX('DỮ LIỆU'!$R$3:$R$1052,$M117)))</f>
        <v/>
      </c>
      <c r="M117" s="0" t="str">
        <f aca="false">IFERROR(MATCH(112,'DỮ LIỆU'!$T$3:$T$1052,0),"")</f>
        <v/>
      </c>
    </row>
    <row r="118" customFormat="false" ht="15" hidden="false" customHeight="false" outlineLevel="0" collapsed="false">
      <c r="A118" s="21" t="str">
        <f aca="false">IF($M118="","",113)</f>
        <v/>
      </c>
      <c r="B118" s="13" t="str">
        <f aca="false">IF($M118="","",INDEX('DỮ LIỆU'!$A$3:$A$1052,$M118))</f>
        <v/>
      </c>
      <c r="C118" s="41" t="str">
        <f aca="false">IF($M118="","",IF(INDEX('DỮ LIỆU'!$B$3:$B$1052,$M118)="","",INDEX('DỮ LIỆU'!$B$3:$B$1052,$M118)))</f>
        <v/>
      </c>
      <c r="D118" s="21" t="str">
        <f aca="false">IF($M118="","",IF(INDEX('DỮ LIỆU'!$C$3:$C$1052,$M118)="","",INDEX('DỮ LIỆU'!$C$3:$C$1052,$M118)))</f>
        <v/>
      </c>
      <c r="E118" s="21" t="str">
        <f aca="false">IF($M118="","",IF(INDEX('DỮ LIỆU'!$D$3:$D$1052,$M118)="","",INDEX('DỮ LIỆU'!$D$3:$D$1052,$M118)))</f>
        <v/>
      </c>
      <c r="F118" s="21" t="str">
        <f aca="false">IF($M118="","",IF(INDEX('DỮ LIỆU'!$H$3:$H$1052,$M118)="","",INDEX('DỮ LIỆU'!$H$3:$H$1052,$M118)))</f>
        <v/>
      </c>
      <c r="G118" s="13" t="str">
        <f aca="false">IF($M118="","",N(INDEX('DỮ LIỆU'!$I$3:$I$1052,$M118)))</f>
        <v/>
      </c>
      <c r="H118" s="13" t="str">
        <f aca="false">IF($M118="","",N(INDEX('DỮ LIỆU'!$M$3:$M$1052,$M118)))</f>
        <v/>
      </c>
      <c r="I118" s="13" t="str">
        <f aca="false">IF($M118="","",N(INDEX('DỮ LIỆU'!$N$3:$N$1052,$M118)))</f>
        <v/>
      </c>
      <c r="J118" s="13" t="str">
        <f aca="false">IF($M118="","",N(INDEX('DỮ LIỆU'!$O$3:$O$1052,$M118)))</f>
        <v/>
      </c>
      <c r="K118" s="13" t="str">
        <f aca="true">IF(OR($M118="",$C118=""),"",MAX(0,TODAY()-$C118))</f>
        <v/>
      </c>
      <c r="L118" s="21" t="str">
        <f aca="false">IF($M118="","",IF(INDEX('DỮ LIỆU'!$R$3:$R$1052,$M118)="","",INDEX('DỮ LIỆU'!$R$3:$R$1052,$M118)))</f>
        <v/>
      </c>
      <c r="M118" s="0" t="str">
        <f aca="false">IFERROR(MATCH(113,'DỮ LIỆU'!$T$3:$T$1052,0),"")</f>
        <v/>
      </c>
    </row>
    <row r="119" customFormat="false" ht="15" hidden="false" customHeight="false" outlineLevel="0" collapsed="false">
      <c r="A119" s="21" t="str">
        <f aca="false">IF($M119="","",114)</f>
        <v/>
      </c>
      <c r="B119" s="13" t="str">
        <f aca="false">IF($M119="","",INDEX('DỮ LIỆU'!$A$3:$A$1052,$M119))</f>
        <v/>
      </c>
      <c r="C119" s="41" t="str">
        <f aca="false">IF($M119="","",IF(INDEX('DỮ LIỆU'!$B$3:$B$1052,$M119)="","",INDEX('DỮ LIỆU'!$B$3:$B$1052,$M119)))</f>
        <v/>
      </c>
      <c r="D119" s="21" t="str">
        <f aca="false">IF($M119="","",IF(INDEX('DỮ LIỆU'!$C$3:$C$1052,$M119)="","",INDEX('DỮ LIỆU'!$C$3:$C$1052,$M119)))</f>
        <v/>
      </c>
      <c r="E119" s="21" t="str">
        <f aca="false">IF($M119="","",IF(INDEX('DỮ LIỆU'!$D$3:$D$1052,$M119)="","",INDEX('DỮ LIỆU'!$D$3:$D$1052,$M119)))</f>
        <v/>
      </c>
      <c r="F119" s="21" t="str">
        <f aca="false">IF($M119="","",IF(INDEX('DỮ LIỆU'!$H$3:$H$1052,$M119)="","",INDEX('DỮ LIỆU'!$H$3:$H$1052,$M119)))</f>
        <v/>
      </c>
      <c r="G119" s="13" t="str">
        <f aca="false">IF($M119="","",N(INDEX('DỮ LIỆU'!$I$3:$I$1052,$M119)))</f>
        <v/>
      </c>
      <c r="H119" s="13" t="str">
        <f aca="false">IF($M119="","",N(INDEX('DỮ LIỆU'!$M$3:$M$1052,$M119)))</f>
        <v/>
      </c>
      <c r="I119" s="13" t="str">
        <f aca="false">IF($M119="","",N(INDEX('DỮ LIỆU'!$N$3:$N$1052,$M119)))</f>
        <v/>
      </c>
      <c r="J119" s="13" t="str">
        <f aca="false">IF($M119="","",N(INDEX('DỮ LIỆU'!$O$3:$O$1052,$M119)))</f>
        <v/>
      </c>
      <c r="K119" s="13" t="str">
        <f aca="true">IF(OR($M119="",$C119=""),"",MAX(0,TODAY()-$C119))</f>
        <v/>
      </c>
      <c r="L119" s="21" t="str">
        <f aca="false">IF($M119="","",IF(INDEX('DỮ LIỆU'!$R$3:$R$1052,$M119)="","",INDEX('DỮ LIỆU'!$R$3:$R$1052,$M119)))</f>
        <v/>
      </c>
      <c r="M119" s="0" t="str">
        <f aca="false">IFERROR(MATCH(114,'DỮ LIỆU'!$T$3:$T$1052,0),"")</f>
        <v/>
      </c>
    </row>
    <row r="120" customFormat="false" ht="15" hidden="false" customHeight="false" outlineLevel="0" collapsed="false">
      <c r="A120" s="21" t="str">
        <f aca="false">IF($M120="","",115)</f>
        <v/>
      </c>
      <c r="B120" s="13" t="str">
        <f aca="false">IF($M120="","",INDEX('DỮ LIỆU'!$A$3:$A$1052,$M120))</f>
        <v/>
      </c>
      <c r="C120" s="41" t="str">
        <f aca="false">IF($M120="","",IF(INDEX('DỮ LIỆU'!$B$3:$B$1052,$M120)="","",INDEX('DỮ LIỆU'!$B$3:$B$1052,$M120)))</f>
        <v/>
      </c>
      <c r="D120" s="21" t="str">
        <f aca="false">IF($M120="","",IF(INDEX('DỮ LIỆU'!$C$3:$C$1052,$M120)="","",INDEX('DỮ LIỆU'!$C$3:$C$1052,$M120)))</f>
        <v/>
      </c>
      <c r="E120" s="21" t="str">
        <f aca="false">IF($M120="","",IF(INDEX('DỮ LIỆU'!$D$3:$D$1052,$M120)="","",INDEX('DỮ LIỆU'!$D$3:$D$1052,$M120)))</f>
        <v/>
      </c>
      <c r="F120" s="21" t="str">
        <f aca="false">IF($M120="","",IF(INDEX('DỮ LIỆU'!$H$3:$H$1052,$M120)="","",INDEX('DỮ LIỆU'!$H$3:$H$1052,$M120)))</f>
        <v/>
      </c>
      <c r="G120" s="13" t="str">
        <f aca="false">IF($M120="","",N(INDEX('DỮ LIỆU'!$I$3:$I$1052,$M120)))</f>
        <v/>
      </c>
      <c r="H120" s="13" t="str">
        <f aca="false">IF($M120="","",N(INDEX('DỮ LIỆU'!$M$3:$M$1052,$M120)))</f>
        <v/>
      </c>
      <c r="I120" s="13" t="str">
        <f aca="false">IF($M120="","",N(INDEX('DỮ LIỆU'!$N$3:$N$1052,$M120)))</f>
        <v/>
      </c>
      <c r="J120" s="13" t="str">
        <f aca="false">IF($M120="","",N(INDEX('DỮ LIỆU'!$O$3:$O$1052,$M120)))</f>
        <v/>
      </c>
      <c r="K120" s="13" t="str">
        <f aca="true">IF(OR($M120="",$C120=""),"",MAX(0,TODAY()-$C120))</f>
        <v/>
      </c>
      <c r="L120" s="21" t="str">
        <f aca="false">IF($M120="","",IF(INDEX('DỮ LIỆU'!$R$3:$R$1052,$M120)="","",INDEX('DỮ LIỆU'!$R$3:$R$1052,$M120)))</f>
        <v/>
      </c>
      <c r="M120" s="0" t="str">
        <f aca="false">IFERROR(MATCH(115,'DỮ LIỆU'!$T$3:$T$1052,0),"")</f>
        <v/>
      </c>
    </row>
    <row r="121" customFormat="false" ht="15" hidden="false" customHeight="false" outlineLevel="0" collapsed="false">
      <c r="A121" s="21" t="str">
        <f aca="false">IF($M121="","",116)</f>
        <v/>
      </c>
      <c r="B121" s="13" t="str">
        <f aca="false">IF($M121="","",INDEX('DỮ LIỆU'!$A$3:$A$1052,$M121))</f>
        <v/>
      </c>
      <c r="C121" s="41" t="str">
        <f aca="false">IF($M121="","",IF(INDEX('DỮ LIỆU'!$B$3:$B$1052,$M121)="","",INDEX('DỮ LIỆU'!$B$3:$B$1052,$M121)))</f>
        <v/>
      </c>
      <c r="D121" s="21" t="str">
        <f aca="false">IF($M121="","",IF(INDEX('DỮ LIỆU'!$C$3:$C$1052,$M121)="","",INDEX('DỮ LIỆU'!$C$3:$C$1052,$M121)))</f>
        <v/>
      </c>
      <c r="E121" s="21" t="str">
        <f aca="false">IF($M121="","",IF(INDEX('DỮ LIỆU'!$D$3:$D$1052,$M121)="","",INDEX('DỮ LIỆU'!$D$3:$D$1052,$M121)))</f>
        <v/>
      </c>
      <c r="F121" s="21" t="str">
        <f aca="false">IF($M121="","",IF(INDEX('DỮ LIỆU'!$H$3:$H$1052,$M121)="","",INDEX('DỮ LIỆU'!$H$3:$H$1052,$M121)))</f>
        <v/>
      </c>
      <c r="G121" s="13" t="str">
        <f aca="false">IF($M121="","",N(INDEX('DỮ LIỆU'!$I$3:$I$1052,$M121)))</f>
        <v/>
      </c>
      <c r="H121" s="13" t="str">
        <f aca="false">IF($M121="","",N(INDEX('DỮ LIỆU'!$M$3:$M$1052,$M121)))</f>
        <v/>
      </c>
      <c r="I121" s="13" t="str">
        <f aca="false">IF($M121="","",N(INDEX('DỮ LIỆU'!$N$3:$N$1052,$M121)))</f>
        <v/>
      </c>
      <c r="J121" s="13" t="str">
        <f aca="false">IF($M121="","",N(INDEX('DỮ LIỆU'!$O$3:$O$1052,$M121)))</f>
        <v/>
      </c>
      <c r="K121" s="13" t="str">
        <f aca="true">IF(OR($M121="",$C121=""),"",MAX(0,TODAY()-$C121))</f>
        <v/>
      </c>
      <c r="L121" s="21" t="str">
        <f aca="false">IF($M121="","",IF(INDEX('DỮ LIỆU'!$R$3:$R$1052,$M121)="","",INDEX('DỮ LIỆU'!$R$3:$R$1052,$M121)))</f>
        <v/>
      </c>
      <c r="M121" s="0" t="str">
        <f aca="false">IFERROR(MATCH(116,'DỮ LIỆU'!$T$3:$T$1052,0),"")</f>
        <v/>
      </c>
    </row>
    <row r="122" customFormat="false" ht="15" hidden="false" customHeight="false" outlineLevel="0" collapsed="false">
      <c r="A122" s="21" t="str">
        <f aca="false">IF($M122="","",117)</f>
        <v/>
      </c>
      <c r="B122" s="13" t="str">
        <f aca="false">IF($M122="","",INDEX('DỮ LIỆU'!$A$3:$A$1052,$M122))</f>
        <v/>
      </c>
      <c r="C122" s="41" t="str">
        <f aca="false">IF($M122="","",IF(INDEX('DỮ LIỆU'!$B$3:$B$1052,$M122)="","",INDEX('DỮ LIỆU'!$B$3:$B$1052,$M122)))</f>
        <v/>
      </c>
      <c r="D122" s="21" t="str">
        <f aca="false">IF($M122="","",IF(INDEX('DỮ LIỆU'!$C$3:$C$1052,$M122)="","",INDEX('DỮ LIỆU'!$C$3:$C$1052,$M122)))</f>
        <v/>
      </c>
      <c r="E122" s="21" t="str">
        <f aca="false">IF($M122="","",IF(INDEX('DỮ LIỆU'!$D$3:$D$1052,$M122)="","",INDEX('DỮ LIỆU'!$D$3:$D$1052,$M122)))</f>
        <v/>
      </c>
      <c r="F122" s="21" t="str">
        <f aca="false">IF($M122="","",IF(INDEX('DỮ LIỆU'!$H$3:$H$1052,$M122)="","",INDEX('DỮ LIỆU'!$H$3:$H$1052,$M122)))</f>
        <v/>
      </c>
      <c r="G122" s="13" t="str">
        <f aca="false">IF($M122="","",N(INDEX('DỮ LIỆU'!$I$3:$I$1052,$M122)))</f>
        <v/>
      </c>
      <c r="H122" s="13" t="str">
        <f aca="false">IF($M122="","",N(INDEX('DỮ LIỆU'!$M$3:$M$1052,$M122)))</f>
        <v/>
      </c>
      <c r="I122" s="13" t="str">
        <f aca="false">IF($M122="","",N(INDEX('DỮ LIỆU'!$N$3:$N$1052,$M122)))</f>
        <v/>
      </c>
      <c r="J122" s="13" t="str">
        <f aca="false">IF($M122="","",N(INDEX('DỮ LIỆU'!$O$3:$O$1052,$M122)))</f>
        <v/>
      </c>
      <c r="K122" s="13" t="str">
        <f aca="true">IF(OR($M122="",$C122=""),"",MAX(0,TODAY()-$C122))</f>
        <v/>
      </c>
      <c r="L122" s="21" t="str">
        <f aca="false">IF($M122="","",IF(INDEX('DỮ LIỆU'!$R$3:$R$1052,$M122)="","",INDEX('DỮ LIỆU'!$R$3:$R$1052,$M122)))</f>
        <v/>
      </c>
      <c r="M122" s="0" t="str">
        <f aca="false">IFERROR(MATCH(117,'DỮ LIỆU'!$T$3:$T$1052,0),"")</f>
        <v/>
      </c>
    </row>
    <row r="123" customFormat="false" ht="15" hidden="false" customHeight="false" outlineLevel="0" collapsed="false">
      <c r="A123" s="21" t="str">
        <f aca="false">IF($M123="","",118)</f>
        <v/>
      </c>
      <c r="B123" s="13" t="str">
        <f aca="false">IF($M123="","",INDEX('DỮ LIỆU'!$A$3:$A$1052,$M123))</f>
        <v/>
      </c>
      <c r="C123" s="41" t="str">
        <f aca="false">IF($M123="","",IF(INDEX('DỮ LIỆU'!$B$3:$B$1052,$M123)="","",INDEX('DỮ LIỆU'!$B$3:$B$1052,$M123)))</f>
        <v/>
      </c>
      <c r="D123" s="21" t="str">
        <f aca="false">IF($M123="","",IF(INDEX('DỮ LIỆU'!$C$3:$C$1052,$M123)="","",INDEX('DỮ LIỆU'!$C$3:$C$1052,$M123)))</f>
        <v/>
      </c>
      <c r="E123" s="21" t="str">
        <f aca="false">IF($M123="","",IF(INDEX('DỮ LIỆU'!$D$3:$D$1052,$M123)="","",INDEX('DỮ LIỆU'!$D$3:$D$1052,$M123)))</f>
        <v/>
      </c>
      <c r="F123" s="21" t="str">
        <f aca="false">IF($M123="","",IF(INDEX('DỮ LIỆU'!$H$3:$H$1052,$M123)="","",INDEX('DỮ LIỆU'!$H$3:$H$1052,$M123)))</f>
        <v/>
      </c>
      <c r="G123" s="13" t="str">
        <f aca="false">IF($M123="","",N(INDEX('DỮ LIỆU'!$I$3:$I$1052,$M123)))</f>
        <v/>
      </c>
      <c r="H123" s="13" t="str">
        <f aca="false">IF($M123="","",N(INDEX('DỮ LIỆU'!$M$3:$M$1052,$M123)))</f>
        <v/>
      </c>
      <c r="I123" s="13" t="str">
        <f aca="false">IF($M123="","",N(INDEX('DỮ LIỆU'!$N$3:$N$1052,$M123)))</f>
        <v/>
      </c>
      <c r="J123" s="13" t="str">
        <f aca="false">IF($M123="","",N(INDEX('DỮ LIỆU'!$O$3:$O$1052,$M123)))</f>
        <v/>
      </c>
      <c r="K123" s="13" t="str">
        <f aca="true">IF(OR($M123="",$C123=""),"",MAX(0,TODAY()-$C123))</f>
        <v/>
      </c>
      <c r="L123" s="21" t="str">
        <f aca="false">IF($M123="","",IF(INDEX('DỮ LIỆU'!$R$3:$R$1052,$M123)="","",INDEX('DỮ LIỆU'!$R$3:$R$1052,$M123)))</f>
        <v/>
      </c>
      <c r="M123" s="0" t="str">
        <f aca="false">IFERROR(MATCH(118,'DỮ LIỆU'!$T$3:$T$1052,0),"")</f>
        <v/>
      </c>
    </row>
    <row r="124" customFormat="false" ht="15" hidden="false" customHeight="false" outlineLevel="0" collapsed="false">
      <c r="A124" s="21" t="str">
        <f aca="false">IF($M124="","",119)</f>
        <v/>
      </c>
      <c r="B124" s="13" t="str">
        <f aca="false">IF($M124="","",INDEX('DỮ LIỆU'!$A$3:$A$1052,$M124))</f>
        <v/>
      </c>
      <c r="C124" s="41" t="str">
        <f aca="false">IF($M124="","",IF(INDEX('DỮ LIỆU'!$B$3:$B$1052,$M124)="","",INDEX('DỮ LIỆU'!$B$3:$B$1052,$M124)))</f>
        <v/>
      </c>
      <c r="D124" s="21" t="str">
        <f aca="false">IF($M124="","",IF(INDEX('DỮ LIỆU'!$C$3:$C$1052,$M124)="","",INDEX('DỮ LIỆU'!$C$3:$C$1052,$M124)))</f>
        <v/>
      </c>
      <c r="E124" s="21" t="str">
        <f aca="false">IF($M124="","",IF(INDEX('DỮ LIỆU'!$D$3:$D$1052,$M124)="","",INDEX('DỮ LIỆU'!$D$3:$D$1052,$M124)))</f>
        <v/>
      </c>
      <c r="F124" s="21" t="str">
        <f aca="false">IF($M124="","",IF(INDEX('DỮ LIỆU'!$H$3:$H$1052,$M124)="","",INDEX('DỮ LIỆU'!$H$3:$H$1052,$M124)))</f>
        <v/>
      </c>
      <c r="G124" s="13" t="str">
        <f aca="false">IF($M124="","",N(INDEX('DỮ LIỆU'!$I$3:$I$1052,$M124)))</f>
        <v/>
      </c>
      <c r="H124" s="13" t="str">
        <f aca="false">IF($M124="","",N(INDEX('DỮ LIỆU'!$M$3:$M$1052,$M124)))</f>
        <v/>
      </c>
      <c r="I124" s="13" t="str">
        <f aca="false">IF($M124="","",N(INDEX('DỮ LIỆU'!$N$3:$N$1052,$M124)))</f>
        <v/>
      </c>
      <c r="J124" s="13" t="str">
        <f aca="false">IF($M124="","",N(INDEX('DỮ LIỆU'!$O$3:$O$1052,$M124)))</f>
        <v/>
      </c>
      <c r="K124" s="13" t="str">
        <f aca="true">IF(OR($M124="",$C124=""),"",MAX(0,TODAY()-$C124))</f>
        <v/>
      </c>
      <c r="L124" s="21" t="str">
        <f aca="false">IF($M124="","",IF(INDEX('DỮ LIỆU'!$R$3:$R$1052,$M124)="","",INDEX('DỮ LIỆU'!$R$3:$R$1052,$M124)))</f>
        <v/>
      </c>
      <c r="M124" s="0" t="str">
        <f aca="false">IFERROR(MATCH(119,'DỮ LIỆU'!$T$3:$T$1052,0),"")</f>
        <v/>
      </c>
    </row>
    <row r="125" customFormat="false" ht="15" hidden="false" customHeight="false" outlineLevel="0" collapsed="false">
      <c r="A125" s="21" t="str">
        <f aca="false">IF($M125="","",120)</f>
        <v/>
      </c>
      <c r="B125" s="13" t="str">
        <f aca="false">IF($M125="","",INDEX('DỮ LIỆU'!$A$3:$A$1052,$M125))</f>
        <v/>
      </c>
      <c r="C125" s="41" t="str">
        <f aca="false">IF($M125="","",IF(INDEX('DỮ LIỆU'!$B$3:$B$1052,$M125)="","",INDEX('DỮ LIỆU'!$B$3:$B$1052,$M125)))</f>
        <v/>
      </c>
      <c r="D125" s="21" t="str">
        <f aca="false">IF($M125="","",IF(INDEX('DỮ LIỆU'!$C$3:$C$1052,$M125)="","",INDEX('DỮ LIỆU'!$C$3:$C$1052,$M125)))</f>
        <v/>
      </c>
      <c r="E125" s="21" t="str">
        <f aca="false">IF($M125="","",IF(INDEX('DỮ LIỆU'!$D$3:$D$1052,$M125)="","",INDEX('DỮ LIỆU'!$D$3:$D$1052,$M125)))</f>
        <v/>
      </c>
      <c r="F125" s="21" t="str">
        <f aca="false">IF($M125="","",IF(INDEX('DỮ LIỆU'!$H$3:$H$1052,$M125)="","",INDEX('DỮ LIỆU'!$H$3:$H$1052,$M125)))</f>
        <v/>
      </c>
      <c r="G125" s="13" t="str">
        <f aca="false">IF($M125="","",N(INDEX('DỮ LIỆU'!$I$3:$I$1052,$M125)))</f>
        <v/>
      </c>
      <c r="H125" s="13" t="str">
        <f aca="false">IF($M125="","",N(INDEX('DỮ LIỆU'!$M$3:$M$1052,$M125)))</f>
        <v/>
      </c>
      <c r="I125" s="13" t="str">
        <f aca="false">IF($M125="","",N(INDEX('DỮ LIỆU'!$N$3:$N$1052,$M125)))</f>
        <v/>
      </c>
      <c r="J125" s="13" t="str">
        <f aca="false">IF($M125="","",N(INDEX('DỮ LIỆU'!$O$3:$O$1052,$M125)))</f>
        <v/>
      </c>
      <c r="K125" s="13" t="str">
        <f aca="true">IF(OR($M125="",$C125=""),"",MAX(0,TODAY()-$C125))</f>
        <v/>
      </c>
      <c r="L125" s="21" t="str">
        <f aca="false">IF($M125="","",IF(INDEX('DỮ LIỆU'!$R$3:$R$1052,$M125)="","",INDEX('DỮ LIỆU'!$R$3:$R$1052,$M125)))</f>
        <v/>
      </c>
      <c r="M125" s="0" t="str">
        <f aca="false">IFERROR(MATCH(120,'DỮ LIỆU'!$T$3:$T$1052,0),"")</f>
        <v/>
      </c>
    </row>
    <row r="126" customFormat="false" ht="15" hidden="false" customHeight="false" outlineLevel="0" collapsed="false">
      <c r="A126" s="21" t="str">
        <f aca="false">IF($M126="","",121)</f>
        <v/>
      </c>
      <c r="B126" s="13" t="str">
        <f aca="false">IF($M126="","",INDEX('DỮ LIỆU'!$A$3:$A$1052,$M126))</f>
        <v/>
      </c>
      <c r="C126" s="41" t="str">
        <f aca="false">IF($M126="","",IF(INDEX('DỮ LIỆU'!$B$3:$B$1052,$M126)="","",INDEX('DỮ LIỆU'!$B$3:$B$1052,$M126)))</f>
        <v/>
      </c>
      <c r="D126" s="21" t="str">
        <f aca="false">IF($M126="","",IF(INDEX('DỮ LIỆU'!$C$3:$C$1052,$M126)="","",INDEX('DỮ LIỆU'!$C$3:$C$1052,$M126)))</f>
        <v/>
      </c>
      <c r="E126" s="21" t="str">
        <f aca="false">IF($M126="","",IF(INDEX('DỮ LIỆU'!$D$3:$D$1052,$M126)="","",INDEX('DỮ LIỆU'!$D$3:$D$1052,$M126)))</f>
        <v/>
      </c>
      <c r="F126" s="21" t="str">
        <f aca="false">IF($M126="","",IF(INDEX('DỮ LIỆU'!$H$3:$H$1052,$M126)="","",INDEX('DỮ LIỆU'!$H$3:$H$1052,$M126)))</f>
        <v/>
      </c>
      <c r="G126" s="13" t="str">
        <f aca="false">IF($M126="","",N(INDEX('DỮ LIỆU'!$I$3:$I$1052,$M126)))</f>
        <v/>
      </c>
      <c r="H126" s="13" t="str">
        <f aca="false">IF($M126="","",N(INDEX('DỮ LIỆU'!$M$3:$M$1052,$M126)))</f>
        <v/>
      </c>
      <c r="I126" s="13" t="str">
        <f aca="false">IF($M126="","",N(INDEX('DỮ LIỆU'!$N$3:$N$1052,$M126)))</f>
        <v/>
      </c>
      <c r="J126" s="13" t="str">
        <f aca="false">IF($M126="","",N(INDEX('DỮ LIỆU'!$O$3:$O$1052,$M126)))</f>
        <v/>
      </c>
      <c r="K126" s="13" t="str">
        <f aca="true">IF(OR($M126="",$C126=""),"",MAX(0,TODAY()-$C126))</f>
        <v/>
      </c>
      <c r="L126" s="21" t="str">
        <f aca="false">IF($M126="","",IF(INDEX('DỮ LIỆU'!$R$3:$R$1052,$M126)="","",INDEX('DỮ LIỆU'!$R$3:$R$1052,$M126)))</f>
        <v/>
      </c>
      <c r="M126" s="0" t="str">
        <f aca="false">IFERROR(MATCH(121,'DỮ LIỆU'!$T$3:$T$1052,0),"")</f>
        <v/>
      </c>
    </row>
    <row r="127" customFormat="false" ht="15" hidden="false" customHeight="false" outlineLevel="0" collapsed="false">
      <c r="A127" s="21" t="str">
        <f aca="false">IF($M127="","",122)</f>
        <v/>
      </c>
      <c r="B127" s="13" t="str">
        <f aca="false">IF($M127="","",INDEX('DỮ LIỆU'!$A$3:$A$1052,$M127))</f>
        <v/>
      </c>
      <c r="C127" s="41" t="str">
        <f aca="false">IF($M127="","",IF(INDEX('DỮ LIỆU'!$B$3:$B$1052,$M127)="","",INDEX('DỮ LIỆU'!$B$3:$B$1052,$M127)))</f>
        <v/>
      </c>
      <c r="D127" s="21" t="str">
        <f aca="false">IF($M127="","",IF(INDEX('DỮ LIỆU'!$C$3:$C$1052,$M127)="","",INDEX('DỮ LIỆU'!$C$3:$C$1052,$M127)))</f>
        <v/>
      </c>
      <c r="E127" s="21" t="str">
        <f aca="false">IF($M127="","",IF(INDEX('DỮ LIỆU'!$D$3:$D$1052,$M127)="","",INDEX('DỮ LIỆU'!$D$3:$D$1052,$M127)))</f>
        <v/>
      </c>
      <c r="F127" s="21" t="str">
        <f aca="false">IF($M127="","",IF(INDEX('DỮ LIỆU'!$H$3:$H$1052,$M127)="","",INDEX('DỮ LIỆU'!$H$3:$H$1052,$M127)))</f>
        <v/>
      </c>
      <c r="G127" s="13" t="str">
        <f aca="false">IF($M127="","",N(INDEX('DỮ LIỆU'!$I$3:$I$1052,$M127)))</f>
        <v/>
      </c>
      <c r="H127" s="13" t="str">
        <f aca="false">IF($M127="","",N(INDEX('DỮ LIỆU'!$M$3:$M$1052,$M127)))</f>
        <v/>
      </c>
      <c r="I127" s="13" t="str">
        <f aca="false">IF($M127="","",N(INDEX('DỮ LIỆU'!$N$3:$N$1052,$M127)))</f>
        <v/>
      </c>
      <c r="J127" s="13" t="str">
        <f aca="false">IF($M127="","",N(INDEX('DỮ LIỆU'!$O$3:$O$1052,$M127)))</f>
        <v/>
      </c>
      <c r="K127" s="13" t="str">
        <f aca="true">IF(OR($M127="",$C127=""),"",MAX(0,TODAY()-$C127))</f>
        <v/>
      </c>
      <c r="L127" s="21" t="str">
        <f aca="false">IF($M127="","",IF(INDEX('DỮ LIỆU'!$R$3:$R$1052,$M127)="","",INDEX('DỮ LIỆU'!$R$3:$R$1052,$M127)))</f>
        <v/>
      </c>
      <c r="M127" s="0" t="str">
        <f aca="false">IFERROR(MATCH(122,'DỮ LIỆU'!$T$3:$T$1052,0),"")</f>
        <v/>
      </c>
    </row>
    <row r="128" customFormat="false" ht="15" hidden="false" customHeight="false" outlineLevel="0" collapsed="false">
      <c r="A128" s="21" t="str">
        <f aca="false">IF($M128="","",123)</f>
        <v/>
      </c>
      <c r="B128" s="13" t="str">
        <f aca="false">IF($M128="","",INDEX('DỮ LIỆU'!$A$3:$A$1052,$M128))</f>
        <v/>
      </c>
      <c r="C128" s="41" t="str">
        <f aca="false">IF($M128="","",IF(INDEX('DỮ LIỆU'!$B$3:$B$1052,$M128)="","",INDEX('DỮ LIỆU'!$B$3:$B$1052,$M128)))</f>
        <v/>
      </c>
      <c r="D128" s="21" t="str">
        <f aca="false">IF($M128="","",IF(INDEX('DỮ LIỆU'!$C$3:$C$1052,$M128)="","",INDEX('DỮ LIỆU'!$C$3:$C$1052,$M128)))</f>
        <v/>
      </c>
      <c r="E128" s="21" t="str">
        <f aca="false">IF($M128="","",IF(INDEX('DỮ LIỆU'!$D$3:$D$1052,$M128)="","",INDEX('DỮ LIỆU'!$D$3:$D$1052,$M128)))</f>
        <v/>
      </c>
      <c r="F128" s="21" t="str">
        <f aca="false">IF($M128="","",IF(INDEX('DỮ LIỆU'!$H$3:$H$1052,$M128)="","",INDEX('DỮ LIỆU'!$H$3:$H$1052,$M128)))</f>
        <v/>
      </c>
      <c r="G128" s="13" t="str">
        <f aca="false">IF($M128="","",N(INDEX('DỮ LIỆU'!$I$3:$I$1052,$M128)))</f>
        <v/>
      </c>
      <c r="H128" s="13" t="str">
        <f aca="false">IF($M128="","",N(INDEX('DỮ LIỆU'!$M$3:$M$1052,$M128)))</f>
        <v/>
      </c>
      <c r="I128" s="13" t="str">
        <f aca="false">IF($M128="","",N(INDEX('DỮ LIỆU'!$N$3:$N$1052,$M128)))</f>
        <v/>
      </c>
      <c r="J128" s="13" t="str">
        <f aca="false">IF($M128="","",N(INDEX('DỮ LIỆU'!$O$3:$O$1052,$M128)))</f>
        <v/>
      </c>
      <c r="K128" s="13" t="str">
        <f aca="true">IF(OR($M128="",$C128=""),"",MAX(0,TODAY()-$C128))</f>
        <v/>
      </c>
      <c r="L128" s="21" t="str">
        <f aca="false">IF($M128="","",IF(INDEX('DỮ LIỆU'!$R$3:$R$1052,$M128)="","",INDEX('DỮ LIỆU'!$R$3:$R$1052,$M128)))</f>
        <v/>
      </c>
      <c r="M128" s="0" t="str">
        <f aca="false">IFERROR(MATCH(123,'DỮ LIỆU'!$T$3:$T$1052,0),"")</f>
        <v/>
      </c>
    </row>
    <row r="129" customFormat="false" ht="15" hidden="false" customHeight="false" outlineLevel="0" collapsed="false">
      <c r="A129" s="21" t="str">
        <f aca="false">IF($M129="","",124)</f>
        <v/>
      </c>
      <c r="B129" s="13" t="str">
        <f aca="false">IF($M129="","",INDEX('DỮ LIỆU'!$A$3:$A$1052,$M129))</f>
        <v/>
      </c>
      <c r="C129" s="41" t="str">
        <f aca="false">IF($M129="","",IF(INDEX('DỮ LIỆU'!$B$3:$B$1052,$M129)="","",INDEX('DỮ LIỆU'!$B$3:$B$1052,$M129)))</f>
        <v/>
      </c>
      <c r="D129" s="21" t="str">
        <f aca="false">IF($M129="","",IF(INDEX('DỮ LIỆU'!$C$3:$C$1052,$M129)="","",INDEX('DỮ LIỆU'!$C$3:$C$1052,$M129)))</f>
        <v/>
      </c>
      <c r="E129" s="21" t="str">
        <f aca="false">IF($M129="","",IF(INDEX('DỮ LIỆU'!$D$3:$D$1052,$M129)="","",INDEX('DỮ LIỆU'!$D$3:$D$1052,$M129)))</f>
        <v/>
      </c>
      <c r="F129" s="21" t="str">
        <f aca="false">IF($M129="","",IF(INDEX('DỮ LIỆU'!$H$3:$H$1052,$M129)="","",INDEX('DỮ LIỆU'!$H$3:$H$1052,$M129)))</f>
        <v/>
      </c>
      <c r="G129" s="13" t="str">
        <f aca="false">IF($M129="","",N(INDEX('DỮ LIỆU'!$I$3:$I$1052,$M129)))</f>
        <v/>
      </c>
      <c r="H129" s="13" t="str">
        <f aca="false">IF($M129="","",N(INDEX('DỮ LIỆU'!$M$3:$M$1052,$M129)))</f>
        <v/>
      </c>
      <c r="I129" s="13" t="str">
        <f aca="false">IF($M129="","",N(INDEX('DỮ LIỆU'!$N$3:$N$1052,$M129)))</f>
        <v/>
      </c>
      <c r="J129" s="13" t="str">
        <f aca="false">IF($M129="","",N(INDEX('DỮ LIỆU'!$O$3:$O$1052,$M129)))</f>
        <v/>
      </c>
      <c r="K129" s="13" t="str">
        <f aca="true">IF(OR($M129="",$C129=""),"",MAX(0,TODAY()-$C129))</f>
        <v/>
      </c>
      <c r="L129" s="21" t="str">
        <f aca="false">IF($M129="","",IF(INDEX('DỮ LIỆU'!$R$3:$R$1052,$M129)="","",INDEX('DỮ LIỆU'!$R$3:$R$1052,$M129)))</f>
        <v/>
      </c>
      <c r="M129" s="0" t="str">
        <f aca="false">IFERROR(MATCH(124,'DỮ LIỆU'!$T$3:$T$1052,0),"")</f>
        <v/>
      </c>
    </row>
    <row r="130" customFormat="false" ht="15" hidden="false" customHeight="false" outlineLevel="0" collapsed="false">
      <c r="A130" s="21" t="str">
        <f aca="false">IF($M130="","",125)</f>
        <v/>
      </c>
      <c r="B130" s="13" t="str">
        <f aca="false">IF($M130="","",INDEX('DỮ LIỆU'!$A$3:$A$1052,$M130))</f>
        <v/>
      </c>
      <c r="C130" s="41" t="str">
        <f aca="false">IF($M130="","",IF(INDEX('DỮ LIỆU'!$B$3:$B$1052,$M130)="","",INDEX('DỮ LIỆU'!$B$3:$B$1052,$M130)))</f>
        <v/>
      </c>
      <c r="D130" s="21" t="str">
        <f aca="false">IF($M130="","",IF(INDEX('DỮ LIỆU'!$C$3:$C$1052,$M130)="","",INDEX('DỮ LIỆU'!$C$3:$C$1052,$M130)))</f>
        <v/>
      </c>
      <c r="E130" s="21" t="str">
        <f aca="false">IF($M130="","",IF(INDEX('DỮ LIỆU'!$D$3:$D$1052,$M130)="","",INDEX('DỮ LIỆU'!$D$3:$D$1052,$M130)))</f>
        <v/>
      </c>
      <c r="F130" s="21" t="str">
        <f aca="false">IF($M130="","",IF(INDEX('DỮ LIỆU'!$H$3:$H$1052,$M130)="","",INDEX('DỮ LIỆU'!$H$3:$H$1052,$M130)))</f>
        <v/>
      </c>
      <c r="G130" s="13" t="str">
        <f aca="false">IF($M130="","",N(INDEX('DỮ LIỆU'!$I$3:$I$1052,$M130)))</f>
        <v/>
      </c>
      <c r="H130" s="13" t="str">
        <f aca="false">IF($M130="","",N(INDEX('DỮ LIỆU'!$M$3:$M$1052,$M130)))</f>
        <v/>
      </c>
      <c r="I130" s="13" t="str">
        <f aca="false">IF($M130="","",N(INDEX('DỮ LIỆU'!$N$3:$N$1052,$M130)))</f>
        <v/>
      </c>
      <c r="J130" s="13" t="str">
        <f aca="false">IF($M130="","",N(INDEX('DỮ LIỆU'!$O$3:$O$1052,$M130)))</f>
        <v/>
      </c>
      <c r="K130" s="13" t="str">
        <f aca="true">IF(OR($M130="",$C130=""),"",MAX(0,TODAY()-$C130))</f>
        <v/>
      </c>
      <c r="L130" s="21" t="str">
        <f aca="false">IF($M130="","",IF(INDEX('DỮ LIỆU'!$R$3:$R$1052,$M130)="","",INDEX('DỮ LIỆU'!$R$3:$R$1052,$M130)))</f>
        <v/>
      </c>
      <c r="M130" s="0" t="str">
        <f aca="false">IFERROR(MATCH(125,'DỮ LIỆU'!$T$3:$T$1052,0),"")</f>
        <v/>
      </c>
    </row>
    <row r="131" customFormat="false" ht="15" hidden="false" customHeight="false" outlineLevel="0" collapsed="false">
      <c r="A131" s="21" t="str">
        <f aca="false">IF($M131="","",126)</f>
        <v/>
      </c>
      <c r="B131" s="13" t="str">
        <f aca="false">IF($M131="","",INDEX('DỮ LIỆU'!$A$3:$A$1052,$M131))</f>
        <v/>
      </c>
      <c r="C131" s="41" t="str">
        <f aca="false">IF($M131="","",IF(INDEX('DỮ LIỆU'!$B$3:$B$1052,$M131)="","",INDEX('DỮ LIỆU'!$B$3:$B$1052,$M131)))</f>
        <v/>
      </c>
      <c r="D131" s="21" t="str">
        <f aca="false">IF($M131="","",IF(INDEX('DỮ LIỆU'!$C$3:$C$1052,$M131)="","",INDEX('DỮ LIỆU'!$C$3:$C$1052,$M131)))</f>
        <v/>
      </c>
      <c r="E131" s="21" t="str">
        <f aca="false">IF($M131="","",IF(INDEX('DỮ LIỆU'!$D$3:$D$1052,$M131)="","",INDEX('DỮ LIỆU'!$D$3:$D$1052,$M131)))</f>
        <v/>
      </c>
      <c r="F131" s="21" t="str">
        <f aca="false">IF($M131="","",IF(INDEX('DỮ LIỆU'!$H$3:$H$1052,$M131)="","",INDEX('DỮ LIỆU'!$H$3:$H$1052,$M131)))</f>
        <v/>
      </c>
      <c r="G131" s="13" t="str">
        <f aca="false">IF($M131="","",N(INDEX('DỮ LIỆU'!$I$3:$I$1052,$M131)))</f>
        <v/>
      </c>
      <c r="H131" s="13" t="str">
        <f aca="false">IF($M131="","",N(INDEX('DỮ LIỆU'!$M$3:$M$1052,$M131)))</f>
        <v/>
      </c>
      <c r="I131" s="13" t="str">
        <f aca="false">IF($M131="","",N(INDEX('DỮ LIỆU'!$N$3:$N$1052,$M131)))</f>
        <v/>
      </c>
      <c r="J131" s="13" t="str">
        <f aca="false">IF($M131="","",N(INDEX('DỮ LIỆU'!$O$3:$O$1052,$M131)))</f>
        <v/>
      </c>
      <c r="K131" s="13" t="str">
        <f aca="true">IF(OR($M131="",$C131=""),"",MAX(0,TODAY()-$C131))</f>
        <v/>
      </c>
      <c r="L131" s="21" t="str">
        <f aca="false">IF($M131="","",IF(INDEX('DỮ LIỆU'!$R$3:$R$1052,$M131)="","",INDEX('DỮ LIỆU'!$R$3:$R$1052,$M131)))</f>
        <v/>
      </c>
      <c r="M131" s="0" t="str">
        <f aca="false">IFERROR(MATCH(126,'DỮ LIỆU'!$T$3:$T$1052,0),"")</f>
        <v/>
      </c>
    </row>
    <row r="132" customFormat="false" ht="15" hidden="false" customHeight="false" outlineLevel="0" collapsed="false">
      <c r="A132" s="21" t="str">
        <f aca="false">IF($M132="","",127)</f>
        <v/>
      </c>
      <c r="B132" s="13" t="str">
        <f aca="false">IF($M132="","",INDEX('DỮ LIỆU'!$A$3:$A$1052,$M132))</f>
        <v/>
      </c>
      <c r="C132" s="41" t="str">
        <f aca="false">IF($M132="","",IF(INDEX('DỮ LIỆU'!$B$3:$B$1052,$M132)="","",INDEX('DỮ LIỆU'!$B$3:$B$1052,$M132)))</f>
        <v/>
      </c>
      <c r="D132" s="21" t="str">
        <f aca="false">IF($M132="","",IF(INDEX('DỮ LIỆU'!$C$3:$C$1052,$M132)="","",INDEX('DỮ LIỆU'!$C$3:$C$1052,$M132)))</f>
        <v/>
      </c>
      <c r="E132" s="21" t="str">
        <f aca="false">IF($M132="","",IF(INDEX('DỮ LIỆU'!$D$3:$D$1052,$M132)="","",INDEX('DỮ LIỆU'!$D$3:$D$1052,$M132)))</f>
        <v/>
      </c>
      <c r="F132" s="21" t="str">
        <f aca="false">IF($M132="","",IF(INDEX('DỮ LIỆU'!$H$3:$H$1052,$M132)="","",INDEX('DỮ LIỆU'!$H$3:$H$1052,$M132)))</f>
        <v/>
      </c>
      <c r="G132" s="13" t="str">
        <f aca="false">IF($M132="","",N(INDEX('DỮ LIỆU'!$I$3:$I$1052,$M132)))</f>
        <v/>
      </c>
      <c r="H132" s="13" t="str">
        <f aca="false">IF($M132="","",N(INDEX('DỮ LIỆU'!$M$3:$M$1052,$M132)))</f>
        <v/>
      </c>
      <c r="I132" s="13" t="str">
        <f aca="false">IF($M132="","",N(INDEX('DỮ LIỆU'!$N$3:$N$1052,$M132)))</f>
        <v/>
      </c>
      <c r="J132" s="13" t="str">
        <f aca="false">IF($M132="","",N(INDEX('DỮ LIỆU'!$O$3:$O$1052,$M132)))</f>
        <v/>
      </c>
      <c r="K132" s="13" t="str">
        <f aca="true">IF(OR($M132="",$C132=""),"",MAX(0,TODAY()-$C132))</f>
        <v/>
      </c>
      <c r="L132" s="21" t="str">
        <f aca="false">IF($M132="","",IF(INDEX('DỮ LIỆU'!$R$3:$R$1052,$M132)="","",INDEX('DỮ LIỆU'!$R$3:$R$1052,$M132)))</f>
        <v/>
      </c>
      <c r="M132" s="0" t="str">
        <f aca="false">IFERROR(MATCH(127,'DỮ LIỆU'!$T$3:$T$1052,0),"")</f>
        <v/>
      </c>
    </row>
    <row r="133" customFormat="false" ht="15" hidden="false" customHeight="false" outlineLevel="0" collapsed="false">
      <c r="A133" s="21" t="str">
        <f aca="false">IF($M133="","",128)</f>
        <v/>
      </c>
      <c r="B133" s="13" t="str">
        <f aca="false">IF($M133="","",INDEX('DỮ LIỆU'!$A$3:$A$1052,$M133))</f>
        <v/>
      </c>
      <c r="C133" s="41" t="str">
        <f aca="false">IF($M133="","",IF(INDEX('DỮ LIỆU'!$B$3:$B$1052,$M133)="","",INDEX('DỮ LIỆU'!$B$3:$B$1052,$M133)))</f>
        <v/>
      </c>
      <c r="D133" s="21" t="str">
        <f aca="false">IF($M133="","",IF(INDEX('DỮ LIỆU'!$C$3:$C$1052,$M133)="","",INDEX('DỮ LIỆU'!$C$3:$C$1052,$M133)))</f>
        <v/>
      </c>
      <c r="E133" s="21" t="str">
        <f aca="false">IF($M133="","",IF(INDEX('DỮ LIỆU'!$D$3:$D$1052,$M133)="","",INDEX('DỮ LIỆU'!$D$3:$D$1052,$M133)))</f>
        <v/>
      </c>
      <c r="F133" s="21" t="str">
        <f aca="false">IF($M133="","",IF(INDEX('DỮ LIỆU'!$H$3:$H$1052,$M133)="","",INDEX('DỮ LIỆU'!$H$3:$H$1052,$M133)))</f>
        <v/>
      </c>
      <c r="G133" s="13" t="str">
        <f aca="false">IF($M133="","",N(INDEX('DỮ LIỆU'!$I$3:$I$1052,$M133)))</f>
        <v/>
      </c>
      <c r="H133" s="13" t="str">
        <f aca="false">IF($M133="","",N(INDEX('DỮ LIỆU'!$M$3:$M$1052,$M133)))</f>
        <v/>
      </c>
      <c r="I133" s="13" t="str">
        <f aca="false">IF($M133="","",N(INDEX('DỮ LIỆU'!$N$3:$N$1052,$M133)))</f>
        <v/>
      </c>
      <c r="J133" s="13" t="str">
        <f aca="false">IF($M133="","",N(INDEX('DỮ LIỆU'!$O$3:$O$1052,$M133)))</f>
        <v/>
      </c>
      <c r="K133" s="13" t="str">
        <f aca="true">IF(OR($M133="",$C133=""),"",MAX(0,TODAY()-$C133))</f>
        <v/>
      </c>
      <c r="L133" s="21" t="str">
        <f aca="false">IF($M133="","",IF(INDEX('DỮ LIỆU'!$R$3:$R$1052,$M133)="","",INDEX('DỮ LIỆU'!$R$3:$R$1052,$M133)))</f>
        <v/>
      </c>
      <c r="M133" s="0" t="str">
        <f aca="false">IFERROR(MATCH(128,'DỮ LIỆU'!$T$3:$T$1052,0),"")</f>
        <v/>
      </c>
    </row>
    <row r="134" customFormat="false" ht="15" hidden="false" customHeight="false" outlineLevel="0" collapsed="false">
      <c r="A134" s="21" t="str">
        <f aca="false">IF($M134="","",129)</f>
        <v/>
      </c>
      <c r="B134" s="13" t="str">
        <f aca="false">IF($M134="","",INDEX('DỮ LIỆU'!$A$3:$A$1052,$M134))</f>
        <v/>
      </c>
      <c r="C134" s="41" t="str">
        <f aca="false">IF($M134="","",IF(INDEX('DỮ LIỆU'!$B$3:$B$1052,$M134)="","",INDEX('DỮ LIỆU'!$B$3:$B$1052,$M134)))</f>
        <v/>
      </c>
      <c r="D134" s="21" t="str">
        <f aca="false">IF($M134="","",IF(INDEX('DỮ LIỆU'!$C$3:$C$1052,$M134)="","",INDEX('DỮ LIỆU'!$C$3:$C$1052,$M134)))</f>
        <v/>
      </c>
      <c r="E134" s="21" t="str">
        <f aca="false">IF($M134="","",IF(INDEX('DỮ LIỆU'!$D$3:$D$1052,$M134)="","",INDEX('DỮ LIỆU'!$D$3:$D$1052,$M134)))</f>
        <v/>
      </c>
      <c r="F134" s="21" t="str">
        <f aca="false">IF($M134="","",IF(INDEX('DỮ LIỆU'!$H$3:$H$1052,$M134)="","",INDEX('DỮ LIỆU'!$H$3:$H$1052,$M134)))</f>
        <v/>
      </c>
      <c r="G134" s="13" t="str">
        <f aca="false">IF($M134="","",N(INDEX('DỮ LIỆU'!$I$3:$I$1052,$M134)))</f>
        <v/>
      </c>
      <c r="H134" s="13" t="str">
        <f aca="false">IF($M134="","",N(INDEX('DỮ LIỆU'!$M$3:$M$1052,$M134)))</f>
        <v/>
      </c>
      <c r="I134" s="13" t="str">
        <f aca="false">IF($M134="","",N(INDEX('DỮ LIỆU'!$N$3:$N$1052,$M134)))</f>
        <v/>
      </c>
      <c r="J134" s="13" t="str">
        <f aca="false">IF($M134="","",N(INDEX('DỮ LIỆU'!$O$3:$O$1052,$M134)))</f>
        <v/>
      </c>
      <c r="K134" s="13" t="str">
        <f aca="true">IF(OR($M134="",$C134=""),"",MAX(0,TODAY()-$C134))</f>
        <v/>
      </c>
      <c r="L134" s="21" t="str">
        <f aca="false">IF($M134="","",IF(INDEX('DỮ LIỆU'!$R$3:$R$1052,$M134)="","",INDEX('DỮ LIỆU'!$R$3:$R$1052,$M134)))</f>
        <v/>
      </c>
      <c r="M134" s="0" t="str">
        <f aca="false">IFERROR(MATCH(129,'DỮ LIỆU'!$T$3:$T$1052,0),"")</f>
        <v/>
      </c>
    </row>
    <row r="135" customFormat="false" ht="15" hidden="false" customHeight="false" outlineLevel="0" collapsed="false">
      <c r="A135" s="21" t="str">
        <f aca="false">IF($M135="","",130)</f>
        <v/>
      </c>
      <c r="B135" s="13" t="str">
        <f aca="false">IF($M135="","",INDEX('DỮ LIỆU'!$A$3:$A$1052,$M135))</f>
        <v/>
      </c>
      <c r="C135" s="41" t="str">
        <f aca="false">IF($M135="","",IF(INDEX('DỮ LIỆU'!$B$3:$B$1052,$M135)="","",INDEX('DỮ LIỆU'!$B$3:$B$1052,$M135)))</f>
        <v/>
      </c>
      <c r="D135" s="21" t="str">
        <f aca="false">IF($M135="","",IF(INDEX('DỮ LIỆU'!$C$3:$C$1052,$M135)="","",INDEX('DỮ LIỆU'!$C$3:$C$1052,$M135)))</f>
        <v/>
      </c>
      <c r="E135" s="21" t="str">
        <f aca="false">IF($M135="","",IF(INDEX('DỮ LIỆU'!$D$3:$D$1052,$M135)="","",INDEX('DỮ LIỆU'!$D$3:$D$1052,$M135)))</f>
        <v/>
      </c>
      <c r="F135" s="21" t="str">
        <f aca="false">IF($M135="","",IF(INDEX('DỮ LIỆU'!$H$3:$H$1052,$M135)="","",INDEX('DỮ LIỆU'!$H$3:$H$1052,$M135)))</f>
        <v/>
      </c>
      <c r="G135" s="13" t="str">
        <f aca="false">IF($M135="","",N(INDEX('DỮ LIỆU'!$I$3:$I$1052,$M135)))</f>
        <v/>
      </c>
      <c r="H135" s="13" t="str">
        <f aca="false">IF($M135="","",N(INDEX('DỮ LIỆU'!$M$3:$M$1052,$M135)))</f>
        <v/>
      </c>
      <c r="I135" s="13" t="str">
        <f aca="false">IF($M135="","",N(INDEX('DỮ LIỆU'!$N$3:$N$1052,$M135)))</f>
        <v/>
      </c>
      <c r="J135" s="13" t="str">
        <f aca="false">IF($M135="","",N(INDEX('DỮ LIỆU'!$O$3:$O$1052,$M135)))</f>
        <v/>
      </c>
      <c r="K135" s="13" t="str">
        <f aca="true">IF(OR($M135="",$C135=""),"",MAX(0,TODAY()-$C135))</f>
        <v/>
      </c>
      <c r="L135" s="21" t="str">
        <f aca="false">IF($M135="","",IF(INDEX('DỮ LIỆU'!$R$3:$R$1052,$M135)="","",INDEX('DỮ LIỆU'!$R$3:$R$1052,$M135)))</f>
        <v/>
      </c>
      <c r="M135" s="0" t="str">
        <f aca="false">IFERROR(MATCH(130,'DỮ LIỆU'!$T$3:$T$1052,0),"")</f>
        <v/>
      </c>
    </row>
    <row r="136" customFormat="false" ht="15" hidden="false" customHeight="false" outlineLevel="0" collapsed="false">
      <c r="A136" s="21" t="str">
        <f aca="false">IF($M136="","",131)</f>
        <v/>
      </c>
      <c r="B136" s="13" t="str">
        <f aca="false">IF($M136="","",INDEX('DỮ LIỆU'!$A$3:$A$1052,$M136))</f>
        <v/>
      </c>
      <c r="C136" s="41" t="str">
        <f aca="false">IF($M136="","",IF(INDEX('DỮ LIỆU'!$B$3:$B$1052,$M136)="","",INDEX('DỮ LIỆU'!$B$3:$B$1052,$M136)))</f>
        <v/>
      </c>
      <c r="D136" s="21" t="str">
        <f aca="false">IF($M136="","",IF(INDEX('DỮ LIỆU'!$C$3:$C$1052,$M136)="","",INDEX('DỮ LIỆU'!$C$3:$C$1052,$M136)))</f>
        <v/>
      </c>
      <c r="E136" s="21" t="str">
        <f aca="false">IF($M136="","",IF(INDEX('DỮ LIỆU'!$D$3:$D$1052,$M136)="","",INDEX('DỮ LIỆU'!$D$3:$D$1052,$M136)))</f>
        <v/>
      </c>
      <c r="F136" s="21" t="str">
        <f aca="false">IF($M136="","",IF(INDEX('DỮ LIỆU'!$H$3:$H$1052,$M136)="","",INDEX('DỮ LIỆU'!$H$3:$H$1052,$M136)))</f>
        <v/>
      </c>
      <c r="G136" s="13" t="str">
        <f aca="false">IF($M136="","",N(INDEX('DỮ LIỆU'!$I$3:$I$1052,$M136)))</f>
        <v/>
      </c>
      <c r="H136" s="13" t="str">
        <f aca="false">IF($M136="","",N(INDEX('DỮ LIỆU'!$M$3:$M$1052,$M136)))</f>
        <v/>
      </c>
      <c r="I136" s="13" t="str">
        <f aca="false">IF($M136="","",N(INDEX('DỮ LIỆU'!$N$3:$N$1052,$M136)))</f>
        <v/>
      </c>
      <c r="J136" s="13" t="str">
        <f aca="false">IF($M136="","",N(INDEX('DỮ LIỆU'!$O$3:$O$1052,$M136)))</f>
        <v/>
      </c>
      <c r="K136" s="13" t="str">
        <f aca="true">IF(OR($M136="",$C136=""),"",MAX(0,TODAY()-$C136))</f>
        <v/>
      </c>
      <c r="L136" s="21" t="str">
        <f aca="false">IF($M136="","",IF(INDEX('DỮ LIỆU'!$R$3:$R$1052,$M136)="","",INDEX('DỮ LIỆU'!$R$3:$R$1052,$M136)))</f>
        <v/>
      </c>
      <c r="M136" s="0" t="str">
        <f aca="false">IFERROR(MATCH(131,'DỮ LIỆU'!$T$3:$T$1052,0),"")</f>
        <v/>
      </c>
    </row>
    <row r="137" customFormat="false" ht="15" hidden="false" customHeight="false" outlineLevel="0" collapsed="false">
      <c r="A137" s="21" t="str">
        <f aca="false">IF($M137="","",132)</f>
        <v/>
      </c>
      <c r="B137" s="13" t="str">
        <f aca="false">IF($M137="","",INDEX('DỮ LIỆU'!$A$3:$A$1052,$M137))</f>
        <v/>
      </c>
      <c r="C137" s="41" t="str">
        <f aca="false">IF($M137="","",IF(INDEX('DỮ LIỆU'!$B$3:$B$1052,$M137)="","",INDEX('DỮ LIỆU'!$B$3:$B$1052,$M137)))</f>
        <v/>
      </c>
      <c r="D137" s="21" t="str">
        <f aca="false">IF($M137="","",IF(INDEX('DỮ LIỆU'!$C$3:$C$1052,$M137)="","",INDEX('DỮ LIỆU'!$C$3:$C$1052,$M137)))</f>
        <v/>
      </c>
      <c r="E137" s="21" t="str">
        <f aca="false">IF($M137="","",IF(INDEX('DỮ LIỆU'!$D$3:$D$1052,$M137)="","",INDEX('DỮ LIỆU'!$D$3:$D$1052,$M137)))</f>
        <v/>
      </c>
      <c r="F137" s="21" t="str">
        <f aca="false">IF($M137="","",IF(INDEX('DỮ LIỆU'!$H$3:$H$1052,$M137)="","",INDEX('DỮ LIỆU'!$H$3:$H$1052,$M137)))</f>
        <v/>
      </c>
      <c r="G137" s="13" t="str">
        <f aca="false">IF($M137="","",N(INDEX('DỮ LIỆU'!$I$3:$I$1052,$M137)))</f>
        <v/>
      </c>
      <c r="H137" s="13" t="str">
        <f aca="false">IF($M137="","",N(INDEX('DỮ LIỆU'!$M$3:$M$1052,$M137)))</f>
        <v/>
      </c>
      <c r="I137" s="13" t="str">
        <f aca="false">IF($M137="","",N(INDEX('DỮ LIỆU'!$N$3:$N$1052,$M137)))</f>
        <v/>
      </c>
      <c r="J137" s="13" t="str">
        <f aca="false">IF($M137="","",N(INDEX('DỮ LIỆU'!$O$3:$O$1052,$M137)))</f>
        <v/>
      </c>
      <c r="K137" s="13" t="str">
        <f aca="true">IF(OR($M137="",$C137=""),"",MAX(0,TODAY()-$C137))</f>
        <v/>
      </c>
      <c r="L137" s="21" t="str">
        <f aca="false">IF($M137="","",IF(INDEX('DỮ LIỆU'!$R$3:$R$1052,$M137)="","",INDEX('DỮ LIỆU'!$R$3:$R$1052,$M137)))</f>
        <v/>
      </c>
      <c r="M137" s="0" t="str">
        <f aca="false">IFERROR(MATCH(132,'DỮ LIỆU'!$T$3:$T$1052,0),"")</f>
        <v/>
      </c>
    </row>
    <row r="138" customFormat="false" ht="15" hidden="false" customHeight="false" outlineLevel="0" collapsed="false">
      <c r="A138" s="21" t="str">
        <f aca="false">IF($M138="","",133)</f>
        <v/>
      </c>
      <c r="B138" s="13" t="str">
        <f aca="false">IF($M138="","",INDEX('DỮ LIỆU'!$A$3:$A$1052,$M138))</f>
        <v/>
      </c>
      <c r="C138" s="41" t="str">
        <f aca="false">IF($M138="","",IF(INDEX('DỮ LIỆU'!$B$3:$B$1052,$M138)="","",INDEX('DỮ LIỆU'!$B$3:$B$1052,$M138)))</f>
        <v/>
      </c>
      <c r="D138" s="21" t="str">
        <f aca="false">IF($M138="","",IF(INDEX('DỮ LIỆU'!$C$3:$C$1052,$M138)="","",INDEX('DỮ LIỆU'!$C$3:$C$1052,$M138)))</f>
        <v/>
      </c>
      <c r="E138" s="21" t="str">
        <f aca="false">IF($M138="","",IF(INDEX('DỮ LIỆU'!$D$3:$D$1052,$M138)="","",INDEX('DỮ LIỆU'!$D$3:$D$1052,$M138)))</f>
        <v/>
      </c>
      <c r="F138" s="21" t="str">
        <f aca="false">IF($M138="","",IF(INDEX('DỮ LIỆU'!$H$3:$H$1052,$M138)="","",INDEX('DỮ LIỆU'!$H$3:$H$1052,$M138)))</f>
        <v/>
      </c>
      <c r="G138" s="13" t="str">
        <f aca="false">IF($M138="","",N(INDEX('DỮ LIỆU'!$I$3:$I$1052,$M138)))</f>
        <v/>
      </c>
      <c r="H138" s="13" t="str">
        <f aca="false">IF($M138="","",N(INDEX('DỮ LIỆU'!$M$3:$M$1052,$M138)))</f>
        <v/>
      </c>
      <c r="I138" s="13" t="str">
        <f aca="false">IF($M138="","",N(INDEX('DỮ LIỆU'!$N$3:$N$1052,$M138)))</f>
        <v/>
      </c>
      <c r="J138" s="13" t="str">
        <f aca="false">IF($M138="","",N(INDEX('DỮ LIỆU'!$O$3:$O$1052,$M138)))</f>
        <v/>
      </c>
      <c r="K138" s="13" t="str">
        <f aca="true">IF(OR($M138="",$C138=""),"",MAX(0,TODAY()-$C138))</f>
        <v/>
      </c>
      <c r="L138" s="21" t="str">
        <f aca="false">IF($M138="","",IF(INDEX('DỮ LIỆU'!$R$3:$R$1052,$M138)="","",INDEX('DỮ LIỆU'!$R$3:$R$1052,$M138)))</f>
        <v/>
      </c>
      <c r="M138" s="0" t="str">
        <f aca="false">IFERROR(MATCH(133,'DỮ LIỆU'!$T$3:$T$1052,0),"")</f>
        <v/>
      </c>
    </row>
    <row r="139" customFormat="false" ht="15" hidden="false" customHeight="false" outlineLevel="0" collapsed="false">
      <c r="A139" s="21" t="str">
        <f aca="false">IF($M139="","",134)</f>
        <v/>
      </c>
      <c r="B139" s="13" t="str">
        <f aca="false">IF($M139="","",INDEX('DỮ LIỆU'!$A$3:$A$1052,$M139))</f>
        <v/>
      </c>
      <c r="C139" s="41" t="str">
        <f aca="false">IF($M139="","",IF(INDEX('DỮ LIỆU'!$B$3:$B$1052,$M139)="","",INDEX('DỮ LIỆU'!$B$3:$B$1052,$M139)))</f>
        <v/>
      </c>
      <c r="D139" s="21" t="str">
        <f aca="false">IF($M139="","",IF(INDEX('DỮ LIỆU'!$C$3:$C$1052,$M139)="","",INDEX('DỮ LIỆU'!$C$3:$C$1052,$M139)))</f>
        <v/>
      </c>
      <c r="E139" s="21" t="str">
        <f aca="false">IF($M139="","",IF(INDEX('DỮ LIỆU'!$D$3:$D$1052,$M139)="","",INDEX('DỮ LIỆU'!$D$3:$D$1052,$M139)))</f>
        <v/>
      </c>
      <c r="F139" s="21" t="str">
        <f aca="false">IF($M139="","",IF(INDEX('DỮ LIỆU'!$H$3:$H$1052,$M139)="","",INDEX('DỮ LIỆU'!$H$3:$H$1052,$M139)))</f>
        <v/>
      </c>
      <c r="G139" s="13" t="str">
        <f aca="false">IF($M139="","",N(INDEX('DỮ LIỆU'!$I$3:$I$1052,$M139)))</f>
        <v/>
      </c>
      <c r="H139" s="13" t="str">
        <f aca="false">IF($M139="","",N(INDEX('DỮ LIỆU'!$M$3:$M$1052,$M139)))</f>
        <v/>
      </c>
      <c r="I139" s="13" t="str">
        <f aca="false">IF($M139="","",N(INDEX('DỮ LIỆU'!$N$3:$N$1052,$M139)))</f>
        <v/>
      </c>
      <c r="J139" s="13" t="str">
        <f aca="false">IF($M139="","",N(INDEX('DỮ LIỆU'!$O$3:$O$1052,$M139)))</f>
        <v/>
      </c>
      <c r="K139" s="13" t="str">
        <f aca="true">IF(OR($M139="",$C139=""),"",MAX(0,TODAY()-$C139))</f>
        <v/>
      </c>
      <c r="L139" s="21" t="str">
        <f aca="false">IF($M139="","",IF(INDEX('DỮ LIỆU'!$R$3:$R$1052,$M139)="","",INDEX('DỮ LIỆU'!$R$3:$R$1052,$M139)))</f>
        <v/>
      </c>
      <c r="M139" s="0" t="str">
        <f aca="false">IFERROR(MATCH(134,'DỮ LIỆU'!$T$3:$T$1052,0),"")</f>
        <v/>
      </c>
    </row>
    <row r="140" customFormat="false" ht="15" hidden="false" customHeight="false" outlineLevel="0" collapsed="false">
      <c r="A140" s="21" t="str">
        <f aca="false">IF($M140="","",135)</f>
        <v/>
      </c>
      <c r="B140" s="13" t="str">
        <f aca="false">IF($M140="","",INDEX('DỮ LIỆU'!$A$3:$A$1052,$M140))</f>
        <v/>
      </c>
      <c r="C140" s="41" t="str">
        <f aca="false">IF($M140="","",IF(INDEX('DỮ LIỆU'!$B$3:$B$1052,$M140)="","",INDEX('DỮ LIỆU'!$B$3:$B$1052,$M140)))</f>
        <v/>
      </c>
      <c r="D140" s="21" t="str">
        <f aca="false">IF($M140="","",IF(INDEX('DỮ LIỆU'!$C$3:$C$1052,$M140)="","",INDEX('DỮ LIỆU'!$C$3:$C$1052,$M140)))</f>
        <v/>
      </c>
      <c r="E140" s="21" t="str">
        <f aca="false">IF($M140="","",IF(INDEX('DỮ LIỆU'!$D$3:$D$1052,$M140)="","",INDEX('DỮ LIỆU'!$D$3:$D$1052,$M140)))</f>
        <v/>
      </c>
      <c r="F140" s="21" t="str">
        <f aca="false">IF($M140="","",IF(INDEX('DỮ LIỆU'!$H$3:$H$1052,$M140)="","",INDEX('DỮ LIỆU'!$H$3:$H$1052,$M140)))</f>
        <v/>
      </c>
      <c r="G140" s="13" t="str">
        <f aca="false">IF($M140="","",N(INDEX('DỮ LIỆU'!$I$3:$I$1052,$M140)))</f>
        <v/>
      </c>
      <c r="H140" s="13" t="str">
        <f aca="false">IF($M140="","",N(INDEX('DỮ LIỆU'!$M$3:$M$1052,$M140)))</f>
        <v/>
      </c>
      <c r="I140" s="13" t="str">
        <f aca="false">IF($M140="","",N(INDEX('DỮ LIỆU'!$N$3:$N$1052,$M140)))</f>
        <v/>
      </c>
      <c r="J140" s="13" t="str">
        <f aca="false">IF($M140="","",N(INDEX('DỮ LIỆU'!$O$3:$O$1052,$M140)))</f>
        <v/>
      </c>
      <c r="K140" s="13" t="str">
        <f aca="true">IF(OR($M140="",$C140=""),"",MAX(0,TODAY()-$C140))</f>
        <v/>
      </c>
      <c r="L140" s="21" t="str">
        <f aca="false">IF($M140="","",IF(INDEX('DỮ LIỆU'!$R$3:$R$1052,$M140)="","",INDEX('DỮ LIỆU'!$R$3:$R$1052,$M140)))</f>
        <v/>
      </c>
      <c r="M140" s="0" t="str">
        <f aca="false">IFERROR(MATCH(135,'DỮ LIỆU'!$T$3:$T$1052,0),"")</f>
        <v/>
      </c>
    </row>
    <row r="141" customFormat="false" ht="15" hidden="false" customHeight="false" outlineLevel="0" collapsed="false">
      <c r="A141" s="21" t="str">
        <f aca="false">IF($M141="","",136)</f>
        <v/>
      </c>
      <c r="B141" s="13" t="str">
        <f aca="false">IF($M141="","",INDEX('DỮ LIỆU'!$A$3:$A$1052,$M141))</f>
        <v/>
      </c>
      <c r="C141" s="41" t="str">
        <f aca="false">IF($M141="","",IF(INDEX('DỮ LIỆU'!$B$3:$B$1052,$M141)="","",INDEX('DỮ LIỆU'!$B$3:$B$1052,$M141)))</f>
        <v/>
      </c>
      <c r="D141" s="21" t="str">
        <f aca="false">IF($M141="","",IF(INDEX('DỮ LIỆU'!$C$3:$C$1052,$M141)="","",INDEX('DỮ LIỆU'!$C$3:$C$1052,$M141)))</f>
        <v/>
      </c>
      <c r="E141" s="21" t="str">
        <f aca="false">IF($M141="","",IF(INDEX('DỮ LIỆU'!$D$3:$D$1052,$M141)="","",INDEX('DỮ LIỆU'!$D$3:$D$1052,$M141)))</f>
        <v/>
      </c>
      <c r="F141" s="21" t="str">
        <f aca="false">IF($M141="","",IF(INDEX('DỮ LIỆU'!$H$3:$H$1052,$M141)="","",INDEX('DỮ LIỆU'!$H$3:$H$1052,$M141)))</f>
        <v/>
      </c>
      <c r="G141" s="13" t="str">
        <f aca="false">IF($M141="","",N(INDEX('DỮ LIỆU'!$I$3:$I$1052,$M141)))</f>
        <v/>
      </c>
      <c r="H141" s="13" t="str">
        <f aca="false">IF($M141="","",N(INDEX('DỮ LIỆU'!$M$3:$M$1052,$M141)))</f>
        <v/>
      </c>
      <c r="I141" s="13" t="str">
        <f aca="false">IF($M141="","",N(INDEX('DỮ LIỆU'!$N$3:$N$1052,$M141)))</f>
        <v/>
      </c>
      <c r="J141" s="13" t="str">
        <f aca="false">IF($M141="","",N(INDEX('DỮ LIỆU'!$O$3:$O$1052,$M141)))</f>
        <v/>
      </c>
      <c r="K141" s="13" t="str">
        <f aca="true">IF(OR($M141="",$C141=""),"",MAX(0,TODAY()-$C141))</f>
        <v/>
      </c>
      <c r="L141" s="21" t="str">
        <f aca="false">IF($M141="","",IF(INDEX('DỮ LIỆU'!$R$3:$R$1052,$M141)="","",INDEX('DỮ LIỆU'!$R$3:$R$1052,$M141)))</f>
        <v/>
      </c>
      <c r="M141" s="0" t="str">
        <f aca="false">IFERROR(MATCH(136,'DỮ LIỆU'!$T$3:$T$1052,0),"")</f>
        <v/>
      </c>
    </row>
    <row r="142" customFormat="false" ht="15" hidden="false" customHeight="false" outlineLevel="0" collapsed="false">
      <c r="A142" s="21" t="str">
        <f aca="false">IF($M142="","",137)</f>
        <v/>
      </c>
      <c r="B142" s="13" t="str">
        <f aca="false">IF($M142="","",INDEX('DỮ LIỆU'!$A$3:$A$1052,$M142))</f>
        <v/>
      </c>
      <c r="C142" s="41" t="str">
        <f aca="false">IF($M142="","",IF(INDEX('DỮ LIỆU'!$B$3:$B$1052,$M142)="","",INDEX('DỮ LIỆU'!$B$3:$B$1052,$M142)))</f>
        <v/>
      </c>
      <c r="D142" s="21" t="str">
        <f aca="false">IF($M142="","",IF(INDEX('DỮ LIỆU'!$C$3:$C$1052,$M142)="","",INDEX('DỮ LIỆU'!$C$3:$C$1052,$M142)))</f>
        <v/>
      </c>
      <c r="E142" s="21" t="str">
        <f aca="false">IF($M142="","",IF(INDEX('DỮ LIỆU'!$D$3:$D$1052,$M142)="","",INDEX('DỮ LIỆU'!$D$3:$D$1052,$M142)))</f>
        <v/>
      </c>
      <c r="F142" s="21" t="str">
        <f aca="false">IF($M142="","",IF(INDEX('DỮ LIỆU'!$H$3:$H$1052,$M142)="","",INDEX('DỮ LIỆU'!$H$3:$H$1052,$M142)))</f>
        <v/>
      </c>
      <c r="G142" s="13" t="str">
        <f aca="false">IF($M142="","",N(INDEX('DỮ LIỆU'!$I$3:$I$1052,$M142)))</f>
        <v/>
      </c>
      <c r="H142" s="13" t="str">
        <f aca="false">IF($M142="","",N(INDEX('DỮ LIỆU'!$M$3:$M$1052,$M142)))</f>
        <v/>
      </c>
      <c r="I142" s="13" t="str">
        <f aca="false">IF($M142="","",N(INDEX('DỮ LIỆU'!$N$3:$N$1052,$M142)))</f>
        <v/>
      </c>
      <c r="J142" s="13" t="str">
        <f aca="false">IF($M142="","",N(INDEX('DỮ LIỆU'!$O$3:$O$1052,$M142)))</f>
        <v/>
      </c>
      <c r="K142" s="13" t="str">
        <f aca="true">IF(OR($M142="",$C142=""),"",MAX(0,TODAY()-$C142))</f>
        <v/>
      </c>
      <c r="L142" s="21" t="str">
        <f aca="false">IF($M142="","",IF(INDEX('DỮ LIỆU'!$R$3:$R$1052,$M142)="","",INDEX('DỮ LIỆU'!$R$3:$R$1052,$M142)))</f>
        <v/>
      </c>
      <c r="M142" s="0" t="str">
        <f aca="false">IFERROR(MATCH(137,'DỮ LIỆU'!$T$3:$T$1052,0),"")</f>
        <v/>
      </c>
    </row>
    <row r="143" customFormat="false" ht="15" hidden="false" customHeight="false" outlineLevel="0" collapsed="false">
      <c r="A143" s="21" t="str">
        <f aca="false">IF($M143="","",138)</f>
        <v/>
      </c>
      <c r="B143" s="13" t="str">
        <f aca="false">IF($M143="","",INDEX('DỮ LIỆU'!$A$3:$A$1052,$M143))</f>
        <v/>
      </c>
      <c r="C143" s="41" t="str">
        <f aca="false">IF($M143="","",IF(INDEX('DỮ LIỆU'!$B$3:$B$1052,$M143)="","",INDEX('DỮ LIỆU'!$B$3:$B$1052,$M143)))</f>
        <v/>
      </c>
      <c r="D143" s="21" t="str">
        <f aca="false">IF($M143="","",IF(INDEX('DỮ LIỆU'!$C$3:$C$1052,$M143)="","",INDEX('DỮ LIỆU'!$C$3:$C$1052,$M143)))</f>
        <v/>
      </c>
      <c r="E143" s="21" t="str">
        <f aca="false">IF($M143="","",IF(INDEX('DỮ LIỆU'!$D$3:$D$1052,$M143)="","",INDEX('DỮ LIỆU'!$D$3:$D$1052,$M143)))</f>
        <v/>
      </c>
      <c r="F143" s="21" t="str">
        <f aca="false">IF($M143="","",IF(INDEX('DỮ LIỆU'!$H$3:$H$1052,$M143)="","",INDEX('DỮ LIỆU'!$H$3:$H$1052,$M143)))</f>
        <v/>
      </c>
      <c r="G143" s="13" t="str">
        <f aca="false">IF($M143="","",N(INDEX('DỮ LIỆU'!$I$3:$I$1052,$M143)))</f>
        <v/>
      </c>
      <c r="H143" s="13" t="str">
        <f aca="false">IF($M143="","",N(INDEX('DỮ LIỆU'!$M$3:$M$1052,$M143)))</f>
        <v/>
      </c>
      <c r="I143" s="13" t="str">
        <f aca="false">IF($M143="","",N(INDEX('DỮ LIỆU'!$N$3:$N$1052,$M143)))</f>
        <v/>
      </c>
      <c r="J143" s="13" t="str">
        <f aca="false">IF($M143="","",N(INDEX('DỮ LIỆU'!$O$3:$O$1052,$M143)))</f>
        <v/>
      </c>
      <c r="K143" s="13" t="str">
        <f aca="true">IF(OR($M143="",$C143=""),"",MAX(0,TODAY()-$C143))</f>
        <v/>
      </c>
      <c r="L143" s="21" t="str">
        <f aca="false">IF($M143="","",IF(INDEX('DỮ LIỆU'!$R$3:$R$1052,$M143)="","",INDEX('DỮ LIỆU'!$R$3:$R$1052,$M143)))</f>
        <v/>
      </c>
      <c r="M143" s="0" t="str">
        <f aca="false">IFERROR(MATCH(138,'DỮ LIỆU'!$T$3:$T$1052,0),"")</f>
        <v/>
      </c>
    </row>
    <row r="144" customFormat="false" ht="15" hidden="false" customHeight="false" outlineLevel="0" collapsed="false">
      <c r="A144" s="21" t="str">
        <f aca="false">IF($M144="","",139)</f>
        <v/>
      </c>
      <c r="B144" s="13" t="str">
        <f aca="false">IF($M144="","",INDEX('DỮ LIỆU'!$A$3:$A$1052,$M144))</f>
        <v/>
      </c>
      <c r="C144" s="41" t="str">
        <f aca="false">IF($M144="","",IF(INDEX('DỮ LIỆU'!$B$3:$B$1052,$M144)="","",INDEX('DỮ LIỆU'!$B$3:$B$1052,$M144)))</f>
        <v/>
      </c>
      <c r="D144" s="21" t="str">
        <f aca="false">IF($M144="","",IF(INDEX('DỮ LIỆU'!$C$3:$C$1052,$M144)="","",INDEX('DỮ LIỆU'!$C$3:$C$1052,$M144)))</f>
        <v/>
      </c>
      <c r="E144" s="21" t="str">
        <f aca="false">IF($M144="","",IF(INDEX('DỮ LIỆU'!$D$3:$D$1052,$M144)="","",INDEX('DỮ LIỆU'!$D$3:$D$1052,$M144)))</f>
        <v/>
      </c>
      <c r="F144" s="21" t="str">
        <f aca="false">IF($M144="","",IF(INDEX('DỮ LIỆU'!$H$3:$H$1052,$M144)="","",INDEX('DỮ LIỆU'!$H$3:$H$1052,$M144)))</f>
        <v/>
      </c>
      <c r="G144" s="13" t="str">
        <f aca="false">IF($M144="","",N(INDEX('DỮ LIỆU'!$I$3:$I$1052,$M144)))</f>
        <v/>
      </c>
      <c r="H144" s="13" t="str">
        <f aca="false">IF($M144="","",N(INDEX('DỮ LIỆU'!$M$3:$M$1052,$M144)))</f>
        <v/>
      </c>
      <c r="I144" s="13" t="str">
        <f aca="false">IF($M144="","",N(INDEX('DỮ LIỆU'!$N$3:$N$1052,$M144)))</f>
        <v/>
      </c>
      <c r="J144" s="13" t="str">
        <f aca="false">IF($M144="","",N(INDEX('DỮ LIỆU'!$O$3:$O$1052,$M144)))</f>
        <v/>
      </c>
      <c r="K144" s="13" t="str">
        <f aca="true">IF(OR($M144="",$C144=""),"",MAX(0,TODAY()-$C144))</f>
        <v/>
      </c>
      <c r="L144" s="21" t="str">
        <f aca="false">IF($M144="","",IF(INDEX('DỮ LIỆU'!$R$3:$R$1052,$M144)="","",INDEX('DỮ LIỆU'!$R$3:$R$1052,$M144)))</f>
        <v/>
      </c>
      <c r="M144" s="0" t="str">
        <f aca="false">IFERROR(MATCH(139,'DỮ LIỆU'!$T$3:$T$1052,0),"")</f>
        <v/>
      </c>
    </row>
    <row r="145" customFormat="false" ht="15" hidden="false" customHeight="false" outlineLevel="0" collapsed="false">
      <c r="A145" s="21" t="str">
        <f aca="false">IF($M145="","",140)</f>
        <v/>
      </c>
      <c r="B145" s="13" t="str">
        <f aca="false">IF($M145="","",INDEX('DỮ LIỆU'!$A$3:$A$1052,$M145))</f>
        <v/>
      </c>
      <c r="C145" s="41" t="str">
        <f aca="false">IF($M145="","",IF(INDEX('DỮ LIỆU'!$B$3:$B$1052,$M145)="","",INDEX('DỮ LIỆU'!$B$3:$B$1052,$M145)))</f>
        <v/>
      </c>
      <c r="D145" s="21" t="str">
        <f aca="false">IF($M145="","",IF(INDEX('DỮ LIỆU'!$C$3:$C$1052,$M145)="","",INDEX('DỮ LIỆU'!$C$3:$C$1052,$M145)))</f>
        <v/>
      </c>
      <c r="E145" s="21" t="str">
        <f aca="false">IF($M145="","",IF(INDEX('DỮ LIỆU'!$D$3:$D$1052,$M145)="","",INDEX('DỮ LIỆU'!$D$3:$D$1052,$M145)))</f>
        <v/>
      </c>
      <c r="F145" s="21" t="str">
        <f aca="false">IF($M145="","",IF(INDEX('DỮ LIỆU'!$H$3:$H$1052,$M145)="","",INDEX('DỮ LIỆU'!$H$3:$H$1052,$M145)))</f>
        <v/>
      </c>
      <c r="G145" s="13" t="str">
        <f aca="false">IF($M145="","",N(INDEX('DỮ LIỆU'!$I$3:$I$1052,$M145)))</f>
        <v/>
      </c>
      <c r="H145" s="13" t="str">
        <f aca="false">IF($M145="","",N(INDEX('DỮ LIỆU'!$M$3:$M$1052,$M145)))</f>
        <v/>
      </c>
      <c r="I145" s="13" t="str">
        <f aca="false">IF($M145="","",N(INDEX('DỮ LIỆU'!$N$3:$N$1052,$M145)))</f>
        <v/>
      </c>
      <c r="J145" s="13" t="str">
        <f aca="false">IF($M145="","",N(INDEX('DỮ LIỆU'!$O$3:$O$1052,$M145)))</f>
        <v/>
      </c>
      <c r="K145" s="13" t="str">
        <f aca="true">IF(OR($M145="",$C145=""),"",MAX(0,TODAY()-$C145))</f>
        <v/>
      </c>
      <c r="L145" s="21" t="str">
        <f aca="false">IF($M145="","",IF(INDEX('DỮ LIỆU'!$R$3:$R$1052,$M145)="","",INDEX('DỮ LIỆU'!$R$3:$R$1052,$M145)))</f>
        <v/>
      </c>
      <c r="M145" s="0" t="str">
        <f aca="false">IFERROR(MATCH(140,'DỮ LIỆU'!$T$3:$T$1052,0),"")</f>
        <v/>
      </c>
    </row>
    <row r="146" customFormat="false" ht="15" hidden="false" customHeight="false" outlineLevel="0" collapsed="false">
      <c r="A146" s="21" t="str">
        <f aca="false">IF($M146="","",141)</f>
        <v/>
      </c>
      <c r="B146" s="13" t="str">
        <f aca="false">IF($M146="","",INDEX('DỮ LIỆU'!$A$3:$A$1052,$M146))</f>
        <v/>
      </c>
      <c r="C146" s="41" t="str">
        <f aca="false">IF($M146="","",IF(INDEX('DỮ LIỆU'!$B$3:$B$1052,$M146)="","",INDEX('DỮ LIỆU'!$B$3:$B$1052,$M146)))</f>
        <v/>
      </c>
      <c r="D146" s="21" t="str">
        <f aca="false">IF($M146="","",IF(INDEX('DỮ LIỆU'!$C$3:$C$1052,$M146)="","",INDEX('DỮ LIỆU'!$C$3:$C$1052,$M146)))</f>
        <v/>
      </c>
      <c r="E146" s="21" t="str">
        <f aca="false">IF($M146="","",IF(INDEX('DỮ LIỆU'!$D$3:$D$1052,$M146)="","",INDEX('DỮ LIỆU'!$D$3:$D$1052,$M146)))</f>
        <v/>
      </c>
      <c r="F146" s="21" t="str">
        <f aca="false">IF($M146="","",IF(INDEX('DỮ LIỆU'!$H$3:$H$1052,$M146)="","",INDEX('DỮ LIỆU'!$H$3:$H$1052,$M146)))</f>
        <v/>
      </c>
      <c r="G146" s="13" t="str">
        <f aca="false">IF($M146="","",N(INDEX('DỮ LIỆU'!$I$3:$I$1052,$M146)))</f>
        <v/>
      </c>
      <c r="H146" s="13" t="str">
        <f aca="false">IF($M146="","",N(INDEX('DỮ LIỆU'!$M$3:$M$1052,$M146)))</f>
        <v/>
      </c>
      <c r="I146" s="13" t="str">
        <f aca="false">IF($M146="","",N(INDEX('DỮ LIỆU'!$N$3:$N$1052,$M146)))</f>
        <v/>
      </c>
      <c r="J146" s="13" t="str">
        <f aca="false">IF($M146="","",N(INDEX('DỮ LIỆU'!$O$3:$O$1052,$M146)))</f>
        <v/>
      </c>
      <c r="K146" s="13" t="str">
        <f aca="true">IF(OR($M146="",$C146=""),"",MAX(0,TODAY()-$C146))</f>
        <v/>
      </c>
      <c r="L146" s="21" t="str">
        <f aca="false">IF($M146="","",IF(INDEX('DỮ LIỆU'!$R$3:$R$1052,$M146)="","",INDEX('DỮ LIỆU'!$R$3:$R$1052,$M146)))</f>
        <v/>
      </c>
      <c r="M146" s="0" t="str">
        <f aca="false">IFERROR(MATCH(141,'DỮ LIỆU'!$T$3:$T$1052,0),"")</f>
        <v/>
      </c>
    </row>
    <row r="147" customFormat="false" ht="15" hidden="false" customHeight="false" outlineLevel="0" collapsed="false">
      <c r="A147" s="21" t="str">
        <f aca="false">IF($M147="","",142)</f>
        <v/>
      </c>
      <c r="B147" s="13" t="str">
        <f aca="false">IF($M147="","",INDEX('DỮ LIỆU'!$A$3:$A$1052,$M147))</f>
        <v/>
      </c>
      <c r="C147" s="41" t="str">
        <f aca="false">IF($M147="","",IF(INDEX('DỮ LIỆU'!$B$3:$B$1052,$M147)="","",INDEX('DỮ LIỆU'!$B$3:$B$1052,$M147)))</f>
        <v/>
      </c>
      <c r="D147" s="21" t="str">
        <f aca="false">IF($M147="","",IF(INDEX('DỮ LIỆU'!$C$3:$C$1052,$M147)="","",INDEX('DỮ LIỆU'!$C$3:$C$1052,$M147)))</f>
        <v/>
      </c>
      <c r="E147" s="21" t="str">
        <f aca="false">IF($M147="","",IF(INDEX('DỮ LIỆU'!$D$3:$D$1052,$M147)="","",INDEX('DỮ LIỆU'!$D$3:$D$1052,$M147)))</f>
        <v/>
      </c>
      <c r="F147" s="21" t="str">
        <f aca="false">IF($M147="","",IF(INDEX('DỮ LIỆU'!$H$3:$H$1052,$M147)="","",INDEX('DỮ LIỆU'!$H$3:$H$1052,$M147)))</f>
        <v/>
      </c>
      <c r="G147" s="13" t="str">
        <f aca="false">IF($M147="","",N(INDEX('DỮ LIỆU'!$I$3:$I$1052,$M147)))</f>
        <v/>
      </c>
      <c r="H147" s="13" t="str">
        <f aca="false">IF($M147="","",N(INDEX('DỮ LIỆU'!$M$3:$M$1052,$M147)))</f>
        <v/>
      </c>
      <c r="I147" s="13" t="str">
        <f aca="false">IF($M147="","",N(INDEX('DỮ LIỆU'!$N$3:$N$1052,$M147)))</f>
        <v/>
      </c>
      <c r="J147" s="13" t="str">
        <f aca="false">IF($M147="","",N(INDEX('DỮ LIỆU'!$O$3:$O$1052,$M147)))</f>
        <v/>
      </c>
      <c r="K147" s="13" t="str">
        <f aca="true">IF(OR($M147="",$C147=""),"",MAX(0,TODAY()-$C147))</f>
        <v/>
      </c>
      <c r="L147" s="21" t="str">
        <f aca="false">IF($M147="","",IF(INDEX('DỮ LIỆU'!$R$3:$R$1052,$M147)="","",INDEX('DỮ LIỆU'!$R$3:$R$1052,$M147)))</f>
        <v/>
      </c>
      <c r="M147" s="0" t="str">
        <f aca="false">IFERROR(MATCH(142,'DỮ LIỆU'!$T$3:$T$1052,0),"")</f>
        <v/>
      </c>
    </row>
    <row r="148" customFormat="false" ht="15" hidden="false" customHeight="false" outlineLevel="0" collapsed="false">
      <c r="A148" s="21" t="str">
        <f aca="false">IF($M148="","",143)</f>
        <v/>
      </c>
      <c r="B148" s="13" t="str">
        <f aca="false">IF($M148="","",INDEX('DỮ LIỆU'!$A$3:$A$1052,$M148))</f>
        <v/>
      </c>
      <c r="C148" s="41" t="str">
        <f aca="false">IF($M148="","",IF(INDEX('DỮ LIỆU'!$B$3:$B$1052,$M148)="","",INDEX('DỮ LIỆU'!$B$3:$B$1052,$M148)))</f>
        <v/>
      </c>
      <c r="D148" s="21" t="str">
        <f aca="false">IF($M148="","",IF(INDEX('DỮ LIỆU'!$C$3:$C$1052,$M148)="","",INDEX('DỮ LIỆU'!$C$3:$C$1052,$M148)))</f>
        <v/>
      </c>
      <c r="E148" s="21" t="str">
        <f aca="false">IF($M148="","",IF(INDEX('DỮ LIỆU'!$D$3:$D$1052,$M148)="","",INDEX('DỮ LIỆU'!$D$3:$D$1052,$M148)))</f>
        <v/>
      </c>
      <c r="F148" s="21" t="str">
        <f aca="false">IF($M148="","",IF(INDEX('DỮ LIỆU'!$H$3:$H$1052,$M148)="","",INDEX('DỮ LIỆU'!$H$3:$H$1052,$M148)))</f>
        <v/>
      </c>
      <c r="G148" s="13" t="str">
        <f aca="false">IF($M148="","",N(INDEX('DỮ LIỆU'!$I$3:$I$1052,$M148)))</f>
        <v/>
      </c>
      <c r="H148" s="13" t="str">
        <f aca="false">IF($M148="","",N(INDEX('DỮ LIỆU'!$M$3:$M$1052,$M148)))</f>
        <v/>
      </c>
      <c r="I148" s="13" t="str">
        <f aca="false">IF($M148="","",N(INDEX('DỮ LIỆU'!$N$3:$N$1052,$M148)))</f>
        <v/>
      </c>
      <c r="J148" s="13" t="str">
        <f aca="false">IF($M148="","",N(INDEX('DỮ LIỆU'!$O$3:$O$1052,$M148)))</f>
        <v/>
      </c>
      <c r="K148" s="13" t="str">
        <f aca="true">IF(OR($M148="",$C148=""),"",MAX(0,TODAY()-$C148))</f>
        <v/>
      </c>
      <c r="L148" s="21" t="str">
        <f aca="false">IF($M148="","",IF(INDEX('DỮ LIỆU'!$R$3:$R$1052,$M148)="","",INDEX('DỮ LIỆU'!$R$3:$R$1052,$M148)))</f>
        <v/>
      </c>
      <c r="M148" s="0" t="str">
        <f aca="false">IFERROR(MATCH(143,'DỮ LIỆU'!$T$3:$T$1052,0),"")</f>
        <v/>
      </c>
    </row>
    <row r="149" customFormat="false" ht="15" hidden="false" customHeight="false" outlineLevel="0" collapsed="false">
      <c r="A149" s="21" t="str">
        <f aca="false">IF($M149="","",144)</f>
        <v/>
      </c>
      <c r="B149" s="13" t="str">
        <f aca="false">IF($M149="","",INDEX('DỮ LIỆU'!$A$3:$A$1052,$M149))</f>
        <v/>
      </c>
      <c r="C149" s="41" t="str">
        <f aca="false">IF($M149="","",IF(INDEX('DỮ LIỆU'!$B$3:$B$1052,$M149)="","",INDEX('DỮ LIỆU'!$B$3:$B$1052,$M149)))</f>
        <v/>
      </c>
      <c r="D149" s="21" t="str">
        <f aca="false">IF($M149="","",IF(INDEX('DỮ LIỆU'!$C$3:$C$1052,$M149)="","",INDEX('DỮ LIỆU'!$C$3:$C$1052,$M149)))</f>
        <v/>
      </c>
      <c r="E149" s="21" t="str">
        <f aca="false">IF($M149="","",IF(INDEX('DỮ LIỆU'!$D$3:$D$1052,$M149)="","",INDEX('DỮ LIỆU'!$D$3:$D$1052,$M149)))</f>
        <v/>
      </c>
      <c r="F149" s="21" t="str">
        <f aca="false">IF($M149="","",IF(INDEX('DỮ LIỆU'!$H$3:$H$1052,$M149)="","",INDEX('DỮ LIỆU'!$H$3:$H$1052,$M149)))</f>
        <v/>
      </c>
      <c r="G149" s="13" t="str">
        <f aca="false">IF($M149="","",N(INDEX('DỮ LIỆU'!$I$3:$I$1052,$M149)))</f>
        <v/>
      </c>
      <c r="H149" s="13" t="str">
        <f aca="false">IF($M149="","",N(INDEX('DỮ LIỆU'!$M$3:$M$1052,$M149)))</f>
        <v/>
      </c>
      <c r="I149" s="13" t="str">
        <f aca="false">IF($M149="","",N(INDEX('DỮ LIỆU'!$N$3:$N$1052,$M149)))</f>
        <v/>
      </c>
      <c r="J149" s="13" t="str">
        <f aca="false">IF($M149="","",N(INDEX('DỮ LIỆU'!$O$3:$O$1052,$M149)))</f>
        <v/>
      </c>
      <c r="K149" s="13" t="str">
        <f aca="true">IF(OR($M149="",$C149=""),"",MAX(0,TODAY()-$C149))</f>
        <v/>
      </c>
      <c r="L149" s="21" t="str">
        <f aca="false">IF($M149="","",IF(INDEX('DỮ LIỆU'!$R$3:$R$1052,$M149)="","",INDEX('DỮ LIỆU'!$R$3:$R$1052,$M149)))</f>
        <v/>
      </c>
      <c r="M149" s="0" t="str">
        <f aca="false">IFERROR(MATCH(144,'DỮ LIỆU'!$T$3:$T$1052,0),"")</f>
        <v/>
      </c>
    </row>
    <row r="150" customFormat="false" ht="15" hidden="false" customHeight="false" outlineLevel="0" collapsed="false">
      <c r="A150" s="21" t="str">
        <f aca="false">IF($M150="","",145)</f>
        <v/>
      </c>
      <c r="B150" s="13" t="str">
        <f aca="false">IF($M150="","",INDEX('DỮ LIỆU'!$A$3:$A$1052,$M150))</f>
        <v/>
      </c>
      <c r="C150" s="41" t="str">
        <f aca="false">IF($M150="","",IF(INDEX('DỮ LIỆU'!$B$3:$B$1052,$M150)="","",INDEX('DỮ LIỆU'!$B$3:$B$1052,$M150)))</f>
        <v/>
      </c>
      <c r="D150" s="21" t="str">
        <f aca="false">IF($M150="","",IF(INDEX('DỮ LIỆU'!$C$3:$C$1052,$M150)="","",INDEX('DỮ LIỆU'!$C$3:$C$1052,$M150)))</f>
        <v/>
      </c>
      <c r="E150" s="21" t="str">
        <f aca="false">IF($M150="","",IF(INDEX('DỮ LIỆU'!$D$3:$D$1052,$M150)="","",INDEX('DỮ LIỆU'!$D$3:$D$1052,$M150)))</f>
        <v/>
      </c>
      <c r="F150" s="21" t="str">
        <f aca="false">IF($M150="","",IF(INDEX('DỮ LIỆU'!$H$3:$H$1052,$M150)="","",INDEX('DỮ LIỆU'!$H$3:$H$1052,$M150)))</f>
        <v/>
      </c>
      <c r="G150" s="13" t="str">
        <f aca="false">IF($M150="","",N(INDEX('DỮ LIỆU'!$I$3:$I$1052,$M150)))</f>
        <v/>
      </c>
      <c r="H150" s="13" t="str">
        <f aca="false">IF($M150="","",N(INDEX('DỮ LIỆU'!$M$3:$M$1052,$M150)))</f>
        <v/>
      </c>
      <c r="I150" s="13" t="str">
        <f aca="false">IF($M150="","",N(INDEX('DỮ LIỆU'!$N$3:$N$1052,$M150)))</f>
        <v/>
      </c>
      <c r="J150" s="13" t="str">
        <f aca="false">IF($M150="","",N(INDEX('DỮ LIỆU'!$O$3:$O$1052,$M150)))</f>
        <v/>
      </c>
      <c r="K150" s="13" t="str">
        <f aca="true">IF(OR($M150="",$C150=""),"",MAX(0,TODAY()-$C150))</f>
        <v/>
      </c>
      <c r="L150" s="21" t="str">
        <f aca="false">IF($M150="","",IF(INDEX('DỮ LIỆU'!$R$3:$R$1052,$M150)="","",INDEX('DỮ LIỆU'!$R$3:$R$1052,$M150)))</f>
        <v/>
      </c>
      <c r="M150" s="0" t="str">
        <f aca="false">IFERROR(MATCH(145,'DỮ LIỆU'!$T$3:$T$1052,0),"")</f>
        <v/>
      </c>
    </row>
    <row r="151" customFormat="false" ht="15" hidden="false" customHeight="false" outlineLevel="0" collapsed="false">
      <c r="A151" s="21" t="str">
        <f aca="false">IF($M151="","",146)</f>
        <v/>
      </c>
      <c r="B151" s="13" t="str">
        <f aca="false">IF($M151="","",INDEX('DỮ LIỆU'!$A$3:$A$1052,$M151))</f>
        <v/>
      </c>
      <c r="C151" s="41" t="str">
        <f aca="false">IF($M151="","",IF(INDEX('DỮ LIỆU'!$B$3:$B$1052,$M151)="","",INDEX('DỮ LIỆU'!$B$3:$B$1052,$M151)))</f>
        <v/>
      </c>
      <c r="D151" s="21" t="str">
        <f aca="false">IF($M151="","",IF(INDEX('DỮ LIỆU'!$C$3:$C$1052,$M151)="","",INDEX('DỮ LIỆU'!$C$3:$C$1052,$M151)))</f>
        <v/>
      </c>
      <c r="E151" s="21" t="str">
        <f aca="false">IF($M151="","",IF(INDEX('DỮ LIỆU'!$D$3:$D$1052,$M151)="","",INDEX('DỮ LIỆU'!$D$3:$D$1052,$M151)))</f>
        <v/>
      </c>
      <c r="F151" s="21" t="str">
        <f aca="false">IF($M151="","",IF(INDEX('DỮ LIỆU'!$H$3:$H$1052,$M151)="","",INDEX('DỮ LIỆU'!$H$3:$H$1052,$M151)))</f>
        <v/>
      </c>
      <c r="G151" s="13" t="str">
        <f aca="false">IF($M151="","",N(INDEX('DỮ LIỆU'!$I$3:$I$1052,$M151)))</f>
        <v/>
      </c>
      <c r="H151" s="13" t="str">
        <f aca="false">IF($M151="","",N(INDEX('DỮ LIỆU'!$M$3:$M$1052,$M151)))</f>
        <v/>
      </c>
      <c r="I151" s="13" t="str">
        <f aca="false">IF($M151="","",N(INDEX('DỮ LIỆU'!$N$3:$N$1052,$M151)))</f>
        <v/>
      </c>
      <c r="J151" s="13" t="str">
        <f aca="false">IF($M151="","",N(INDEX('DỮ LIỆU'!$O$3:$O$1052,$M151)))</f>
        <v/>
      </c>
      <c r="K151" s="13" t="str">
        <f aca="true">IF(OR($M151="",$C151=""),"",MAX(0,TODAY()-$C151))</f>
        <v/>
      </c>
      <c r="L151" s="21" t="str">
        <f aca="false">IF($M151="","",IF(INDEX('DỮ LIỆU'!$R$3:$R$1052,$M151)="","",INDEX('DỮ LIỆU'!$R$3:$R$1052,$M151)))</f>
        <v/>
      </c>
      <c r="M151" s="0" t="str">
        <f aca="false">IFERROR(MATCH(146,'DỮ LIỆU'!$T$3:$T$1052,0),"")</f>
        <v/>
      </c>
    </row>
    <row r="152" customFormat="false" ht="15" hidden="false" customHeight="false" outlineLevel="0" collapsed="false">
      <c r="A152" s="21" t="str">
        <f aca="false">IF($M152="","",147)</f>
        <v/>
      </c>
      <c r="B152" s="13" t="str">
        <f aca="false">IF($M152="","",INDEX('DỮ LIỆU'!$A$3:$A$1052,$M152))</f>
        <v/>
      </c>
      <c r="C152" s="41" t="str">
        <f aca="false">IF($M152="","",IF(INDEX('DỮ LIỆU'!$B$3:$B$1052,$M152)="","",INDEX('DỮ LIỆU'!$B$3:$B$1052,$M152)))</f>
        <v/>
      </c>
      <c r="D152" s="21" t="str">
        <f aca="false">IF($M152="","",IF(INDEX('DỮ LIỆU'!$C$3:$C$1052,$M152)="","",INDEX('DỮ LIỆU'!$C$3:$C$1052,$M152)))</f>
        <v/>
      </c>
      <c r="E152" s="21" t="str">
        <f aca="false">IF($M152="","",IF(INDEX('DỮ LIỆU'!$D$3:$D$1052,$M152)="","",INDEX('DỮ LIỆU'!$D$3:$D$1052,$M152)))</f>
        <v/>
      </c>
      <c r="F152" s="21" t="str">
        <f aca="false">IF($M152="","",IF(INDEX('DỮ LIỆU'!$H$3:$H$1052,$M152)="","",INDEX('DỮ LIỆU'!$H$3:$H$1052,$M152)))</f>
        <v/>
      </c>
      <c r="G152" s="13" t="str">
        <f aca="false">IF($M152="","",N(INDEX('DỮ LIỆU'!$I$3:$I$1052,$M152)))</f>
        <v/>
      </c>
      <c r="H152" s="13" t="str">
        <f aca="false">IF($M152="","",N(INDEX('DỮ LIỆU'!$M$3:$M$1052,$M152)))</f>
        <v/>
      </c>
      <c r="I152" s="13" t="str">
        <f aca="false">IF($M152="","",N(INDEX('DỮ LIỆU'!$N$3:$N$1052,$M152)))</f>
        <v/>
      </c>
      <c r="J152" s="13" t="str">
        <f aca="false">IF($M152="","",N(INDEX('DỮ LIỆU'!$O$3:$O$1052,$M152)))</f>
        <v/>
      </c>
      <c r="K152" s="13" t="str">
        <f aca="true">IF(OR($M152="",$C152=""),"",MAX(0,TODAY()-$C152))</f>
        <v/>
      </c>
      <c r="L152" s="21" t="str">
        <f aca="false">IF($M152="","",IF(INDEX('DỮ LIỆU'!$R$3:$R$1052,$M152)="","",INDEX('DỮ LIỆU'!$R$3:$R$1052,$M152)))</f>
        <v/>
      </c>
      <c r="M152" s="0" t="str">
        <f aca="false">IFERROR(MATCH(147,'DỮ LIỆU'!$T$3:$T$1052,0),"")</f>
        <v/>
      </c>
    </row>
    <row r="153" customFormat="false" ht="15" hidden="false" customHeight="false" outlineLevel="0" collapsed="false">
      <c r="A153" s="21" t="str">
        <f aca="false">IF($M153="","",148)</f>
        <v/>
      </c>
      <c r="B153" s="13" t="str">
        <f aca="false">IF($M153="","",INDEX('DỮ LIỆU'!$A$3:$A$1052,$M153))</f>
        <v/>
      </c>
      <c r="C153" s="41" t="str">
        <f aca="false">IF($M153="","",IF(INDEX('DỮ LIỆU'!$B$3:$B$1052,$M153)="","",INDEX('DỮ LIỆU'!$B$3:$B$1052,$M153)))</f>
        <v/>
      </c>
      <c r="D153" s="21" t="str">
        <f aca="false">IF($M153="","",IF(INDEX('DỮ LIỆU'!$C$3:$C$1052,$M153)="","",INDEX('DỮ LIỆU'!$C$3:$C$1052,$M153)))</f>
        <v/>
      </c>
      <c r="E153" s="21" t="str">
        <f aca="false">IF($M153="","",IF(INDEX('DỮ LIỆU'!$D$3:$D$1052,$M153)="","",INDEX('DỮ LIỆU'!$D$3:$D$1052,$M153)))</f>
        <v/>
      </c>
      <c r="F153" s="21" t="str">
        <f aca="false">IF($M153="","",IF(INDEX('DỮ LIỆU'!$H$3:$H$1052,$M153)="","",INDEX('DỮ LIỆU'!$H$3:$H$1052,$M153)))</f>
        <v/>
      </c>
      <c r="G153" s="13" t="str">
        <f aca="false">IF($M153="","",N(INDEX('DỮ LIỆU'!$I$3:$I$1052,$M153)))</f>
        <v/>
      </c>
      <c r="H153" s="13" t="str">
        <f aca="false">IF($M153="","",N(INDEX('DỮ LIỆU'!$M$3:$M$1052,$M153)))</f>
        <v/>
      </c>
      <c r="I153" s="13" t="str">
        <f aca="false">IF($M153="","",N(INDEX('DỮ LIỆU'!$N$3:$N$1052,$M153)))</f>
        <v/>
      </c>
      <c r="J153" s="13" t="str">
        <f aca="false">IF($M153="","",N(INDEX('DỮ LIỆU'!$O$3:$O$1052,$M153)))</f>
        <v/>
      </c>
      <c r="K153" s="13" t="str">
        <f aca="true">IF(OR($M153="",$C153=""),"",MAX(0,TODAY()-$C153))</f>
        <v/>
      </c>
      <c r="L153" s="21" t="str">
        <f aca="false">IF($M153="","",IF(INDEX('DỮ LIỆU'!$R$3:$R$1052,$M153)="","",INDEX('DỮ LIỆU'!$R$3:$R$1052,$M153)))</f>
        <v/>
      </c>
      <c r="M153" s="0" t="str">
        <f aca="false">IFERROR(MATCH(148,'DỮ LIỆU'!$T$3:$T$1052,0),"")</f>
        <v/>
      </c>
    </row>
    <row r="154" customFormat="false" ht="15" hidden="false" customHeight="false" outlineLevel="0" collapsed="false">
      <c r="A154" s="21" t="str">
        <f aca="false">IF($M154="","",149)</f>
        <v/>
      </c>
      <c r="B154" s="13" t="str">
        <f aca="false">IF($M154="","",INDEX('DỮ LIỆU'!$A$3:$A$1052,$M154))</f>
        <v/>
      </c>
      <c r="C154" s="41" t="str">
        <f aca="false">IF($M154="","",IF(INDEX('DỮ LIỆU'!$B$3:$B$1052,$M154)="","",INDEX('DỮ LIỆU'!$B$3:$B$1052,$M154)))</f>
        <v/>
      </c>
      <c r="D154" s="21" t="str">
        <f aca="false">IF($M154="","",IF(INDEX('DỮ LIỆU'!$C$3:$C$1052,$M154)="","",INDEX('DỮ LIỆU'!$C$3:$C$1052,$M154)))</f>
        <v/>
      </c>
      <c r="E154" s="21" t="str">
        <f aca="false">IF($M154="","",IF(INDEX('DỮ LIỆU'!$D$3:$D$1052,$M154)="","",INDEX('DỮ LIỆU'!$D$3:$D$1052,$M154)))</f>
        <v/>
      </c>
      <c r="F154" s="21" t="str">
        <f aca="false">IF($M154="","",IF(INDEX('DỮ LIỆU'!$H$3:$H$1052,$M154)="","",INDEX('DỮ LIỆU'!$H$3:$H$1052,$M154)))</f>
        <v/>
      </c>
      <c r="G154" s="13" t="str">
        <f aca="false">IF($M154="","",N(INDEX('DỮ LIỆU'!$I$3:$I$1052,$M154)))</f>
        <v/>
      </c>
      <c r="H154" s="13" t="str">
        <f aca="false">IF($M154="","",N(INDEX('DỮ LIỆU'!$M$3:$M$1052,$M154)))</f>
        <v/>
      </c>
      <c r="I154" s="13" t="str">
        <f aca="false">IF($M154="","",N(INDEX('DỮ LIỆU'!$N$3:$N$1052,$M154)))</f>
        <v/>
      </c>
      <c r="J154" s="13" t="str">
        <f aca="false">IF($M154="","",N(INDEX('DỮ LIỆU'!$O$3:$O$1052,$M154)))</f>
        <v/>
      </c>
      <c r="K154" s="13" t="str">
        <f aca="true">IF(OR($M154="",$C154=""),"",MAX(0,TODAY()-$C154))</f>
        <v/>
      </c>
      <c r="L154" s="21" t="str">
        <f aca="false">IF($M154="","",IF(INDEX('DỮ LIỆU'!$R$3:$R$1052,$M154)="","",INDEX('DỮ LIỆU'!$R$3:$R$1052,$M154)))</f>
        <v/>
      </c>
      <c r="M154" s="0" t="str">
        <f aca="false">IFERROR(MATCH(149,'DỮ LIỆU'!$T$3:$T$1052,0),"")</f>
        <v/>
      </c>
    </row>
    <row r="155" customFormat="false" ht="15" hidden="false" customHeight="false" outlineLevel="0" collapsed="false">
      <c r="A155" s="21" t="str">
        <f aca="false">IF($M155="","",150)</f>
        <v/>
      </c>
      <c r="B155" s="13" t="str">
        <f aca="false">IF($M155="","",INDEX('DỮ LIỆU'!$A$3:$A$1052,$M155))</f>
        <v/>
      </c>
      <c r="C155" s="41" t="str">
        <f aca="false">IF($M155="","",IF(INDEX('DỮ LIỆU'!$B$3:$B$1052,$M155)="","",INDEX('DỮ LIỆU'!$B$3:$B$1052,$M155)))</f>
        <v/>
      </c>
      <c r="D155" s="21" t="str">
        <f aca="false">IF($M155="","",IF(INDEX('DỮ LIỆU'!$C$3:$C$1052,$M155)="","",INDEX('DỮ LIỆU'!$C$3:$C$1052,$M155)))</f>
        <v/>
      </c>
      <c r="E155" s="21" t="str">
        <f aca="false">IF($M155="","",IF(INDEX('DỮ LIỆU'!$D$3:$D$1052,$M155)="","",INDEX('DỮ LIỆU'!$D$3:$D$1052,$M155)))</f>
        <v/>
      </c>
      <c r="F155" s="21" t="str">
        <f aca="false">IF($M155="","",IF(INDEX('DỮ LIỆU'!$H$3:$H$1052,$M155)="","",INDEX('DỮ LIỆU'!$H$3:$H$1052,$M155)))</f>
        <v/>
      </c>
      <c r="G155" s="13" t="str">
        <f aca="false">IF($M155="","",N(INDEX('DỮ LIỆU'!$I$3:$I$1052,$M155)))</f>
        <v/>
      </c>
      <c r="H155" s="13" t="str">
        <f aca="false">IF($M155="","",N(INDEX('DỮ LIỆU'!$M$3:$M$1052,$M155)))</f>
        <v/>
      </c>
      <c r="I155" s="13" t="str">
        <f aca="false">IF($M155="","",N(INDEX('DỮ LIỆU'!$N$3:$N$1052,$M155)))</f>
        <v/>
      </c>
      <c r="J155" s="13" t="str">
        <f aca="false">IF($M155="","",N(INDEX('DỮ LIỆU'!$O$3:$O$1052,$M155)))</f>
        <v/>
      </c>
      <c r="K155" s="13" t="str">
        <f aca="true">IF(OR($M155="",$C155=""),"",MAX(0,TODAY()-$C155))</f>
        <v/>
      </c>
      <c r="L155" s="21" t="str">
        <f aca="false">IF($M155="","",IF(INDEX('DỮ LIỆU'!$R$3:$R$1052,$M155)="","",INDEX('DỮ LIỆU'!$R$3:$R$1052,$M155)))</f>
        <v/>
      </c>
      <c r="M155" s="0" t="str">
        <f aca="false">IFERROR(MATCH(150,'DỮ LIỆU'!$T$3:$T$1052,0),"")</f>
        <v/>
      </c>
    </row>
    <row r="156" customFormat="false" ht="15" hidden="false" customHeight="false" outlineLevel="0" collapsed="false">
      <c r="A156" s="21" t="str">
        <f aca="false">IF($M156="","",151)</f>
        <v/>
      </c>
      <c r="B156" s="13" t="str">
        <f aca="false">IF($M156="","",INDEX('DỮ LIỆU'!$A$3:$A$1052,$M156))</f>
        <v/>
      </c>
      <c r="C156" s="41" t="str">
        <f aca="false">IF($M156="","",IF(INDEX('DỮ LIỆU'!$B$3:$B$1052,$M156)="","",INDEX('DỮ LIỆU'!$B$3:$B$1052,$M156)))</f>
        <v/>
      </c>
      <c r="D156" s="21" t="str">
        <f aca="false">IF($M156="","",IF(INDEX('DỮ LIỆU'!$C$3:$C$1052,$M156)="","",INDEX('DỮ LIỆU'!$C$3:$C$1052,$M156)))</f>
        <v/>
      </c>
      <c r="E156" s="21" t="str">
        <f aca="false">IF($M156="","",IF(INDEX('DỮ LIỆU'!$D$3:$D$1052,$M156)="","",INDEX('DỮ LIỆU'!$D$3:$D$1052,$M156)))</f>
        <v/>
      </c>
      <c r="F156" s="21" t="str">
        <f aca="false">IF($M156="","",IF(INDEX('DỮ LIỆU'!$H$3:$H$1052,$M156)="","",INDEX('DỮ LIỆU'!$H$3:$H$1052,$M156)))</f>
        <v/>
      </c>
      <c r="G156" s="13" t="str">
        <f aca="false">IF($M156="","",N(INDEX('DỮ LIỆU'!$I$3:$I$1052,$M156)))</f>
        <v/>
      </c>
      <c r="H156" s="13" t="str">
        <f aca="false">IF($M156="","",N(INDEX('DỮ LIỆU'!$M$3:$M$1052,$M156)))</f>
        <v/>
      </c>
      <c r="I156" s="13" t="str">
        <f aca="false">IF($M156="","",N(INDEX('DỮ LIỆU'!$N$3:$N$1052,$M156)))</f>
        <v/>
      </c>
      <c r="J156" s="13" t="str">
        <f aca="false">IF($M156="","",N(INDEX('DỮ LIỆU'!$O$3:$O$1052,$M156)))</f>
        <v/>
      </c>
      <c r="K156" s="13" t="str">
        <f aca="true">IF(OR($M156="",$C156=""),"",MAX(0,TODAY()-$C156))</f>
        <v/>
      </c>
      <c r="L156" s="21" t="str">
        <f aca="false">IF($M156="","",IF(INDEX('DỮ LIỆU'!$R$3:$R$1052,$M156)="","",INDEX('DỮ LIỆU'!$R$3:$R$1052,$M156)))</f>
        <v/>
      </c>
      <c r="M156" s="0" t="str">
        <f aca="false">IFERROR(MATCH(151,'DỮ LIỆU'!$T$3:$T$1052,0),"")</f>
        <v/>
      </c>
    </row>
    <row r="157" customFormat="false" ht="15" hidden="false" customHeight="false" outlineLevel="0" collapsed="false">
      <c r="A157" s="21" t="str">
        <f aca="false">IF($M157="","",152)</f>
        <v/>
      </c>
      <c r="B157" s="13" t="str">
        <f aca="false">IF($M157="","",INDEX('DỮ LIỆU'!$A$3:$A$1052,$M157))</f>
        <v/>
      </c>
      <c r="C157" s="41" t="str">
        <f aca="false">IF($M157="","",IF(INDEX('DỮ LIỆU'!$B$3:$B$1052,$M157)="","",INDEX('DỮ LIỆU'!$B$3:$B$1052,$M157)))</f>
        <v/>
      </c>
      <c r="D157" s="21" t="str">
        <f aca="false">IF($M157="","",IF(INDEX('DỮ LIỆU'!$C$3:$C$1052,$M157)="","",INDEX('DỮ LIỆU'!$C$3:$C$1052,$M157)))</f>
        <v/>
      </c>
      <c r="E157" s="21" t="str">
        <f aca="false">IF($M157="","",IF(INDEX('DỮ LIỆU'!$D$3:$D$1052,$M157)="","",INDEX('DỮ LIỆU'!$D$3:$D$1052,$M157)))</f>
        <v/>
      </c>
      <c r="F157" s="21" t="str">
        <f aca="false">IF($M157="","",IF(INDEX('DỮ LIỆU'!$H$3:$H$1052,$M157)="","",INDEX('DỮ LIỆU'!$H$3:$H$1052,$M157)))</f>
        <v/>
      </c>
      <c r="G157" s="13" t="str">
        <f aca="false">IF($M157="","",N(INDEX('DỮ LIỆU'!$I$3:$I$1052,$M157)))</f>
        <v/>
      </c>
      <c r="H157" s="13" t="str">
        <f aca="false">IF($M157="","",N(INDEX('DỮ LIỆU'!$M$3:$M$1052,$M157)))</f>
        <v/>
      </c>
      <c r="I157" s="13" t="str">
        <f aca="false">IF($M157="","",N(INDEX('DỮ LIỆU'!$N$3:$N$1052,$M157)))</f>
        <v/>
      </c>
      <c r="J157" s="13" t="str">
        <f aca="false">IF($M157="","",N(INDEX('DỮ LIỆU'!$O$3:$O$1052,$M157)))</f>
        <v/>
      </c>
      <c r="K157" s="13" t="str">
        <f aca="true">IF(OR($M157="",$C157=""),"",MAX(0,TODAY()-$C157))</f>
        <v/>
      </c>
      <c r="L157" s="21" t="str">
        <f aca="false">IF($M157="","",IF(INDEX('DỮ LIỆU'!$R$3:$R$1052,$M157)="","",INDEX('DỮ LIỆU'!$R$3:$R$1052,$M157)))</f>
        <v/>
      </c>
      <c r="M157" s="0" t="str">
        <f aca="false">IFERROR(MATCH(152,'DỮ LIỆU'!$T$3:$T$1052,0),"")</f>
        <v/>
      </c>
    </row>
    <row r="158" customFormat="false" ht="15" hidden="false" customHeight="false" outlineLevel="0" collapsed="false">
      <c r="A158" s="21" t="str">
        <f aca="false">IF($M158="","",153)</f>
        <v/>
      </c>
      <c r="B158" s="13" t="str">
        <f aca="false">IF($M158="","",INDEX('DỮ LIỆU'!$A$3:$A$1052,$M158))</f>
        <v/>
      </c>
      <c r="C158" s="41" t="str">
        <f aca="false">IF($M158="","",IF(INDEX('DỮ LIỆU'!$B$3:$B$1052,$M158)="","",INDEX('DỮ LIỆU'!$B$3:$B$1052,$M158)))</f>
        <v/>
      </c>
      <c r="D158" s="21" t="str">
        <f aca="false">IF($M158="","",IF(INDEX('DỮ LIỆU'!$C$3:$C$1052,$M158)="","",INDEX('DỮ LIỆU'!$C$3:$C$1052,$M158)))</f>
        <v/>
      </c>
      <c r="E158" s="21" t="str">
        <f aca="false">IF($M158="","",IF(INDEX('DỮ LIỆU'!$D$3:$D$1052,$M158)="","",INDEX('DỮ LIỆU'!$D$3:$D$1052,$M158)))</f>
        <v/>
      </c>
      <c r="F158" s="21" t="str">
        <f aca="false">IF($M158="","",IF(INDEX('DỮ LIỆU'!$H$3:$H$1052,$M158)="","",INDEX('DỮ LIỆU'!$H$3:$H$1052,$M158)))</f>
        <v/>
      </c>
      <c r="G158" s="13" t="str">
        <f aca="false">IF($M158="","",N(INDEX('DỮ LIỆU'!$I$3:$I$1052,$M158)))</f>
        <v/>
      </c>
      <c r="H158" s="13" t="str">
        <f aca="false">IF($M158="","",N(INDEX('DỮ LIỆU'!$M$3:$M$1052,$M158)))</f>
        <v/>
      </c>
      <c r="I158" s="13" t="str">
        <f aca="false">IF($M158="","",N(INDEX('DỮ LIỆU'!$N$3:$N$1052,$M158)))</f>
        <v/>
      </c>
      <c r="J158" s="13" t="str">
        <f aca="false">IF($M158="","",N(INDEX('DỮ LIỆU'!$O$3:$O$1052,$M158)))</f>
        <v/>
      </c>
      <c r="K158" s="13" t="str">
        <f aca="true">IF(OR($M158="",$C158=""),"",MAX(0,TODAY()-$C158))</f>
        <v/>
      </c>
      <c r="L158" s="21" t="str">
        <f aca="false">IF($M158="","",IF(INDEX('DỮ LIỆU'!$R$3:$R$1052,$M158)="","",INDEX('DỮ LIỆU'!$R$3:$R$1052,$M158)))</f>
        <v/>
      </c>
      <c r="M158" s="0" t="str">
        <f aca="false">IFERROR(MATCH(153,'DỮ LIỆU'!$T$3:$T$1052,0),"")</f>
        <v/>
      </c>
    </row>
    <row r="159" customFormat="false" ht="15" hidden="false" customHeight="false" outlineLevel="0" collapsed="false">
      <c r="A159" s="21" t="str">
        <f aca="false">IF($M159="","",154)</f>
        <v/>
      </c>
      <c r="B159" s="13" t="str">
        <f aca="false">IF($M159="","",INDEX('DỮ LIỆU'!$A$3:$A$1052,$M159))</f>
        <v/>
      </c>
      <c r="C159" s="41" t="str">
        <f aca="false">IF($M159="","",IF(INDEX('DỮ LIỆU'!$B$3:$B$1052,$M159)="","",INDEX('DỮ LIỆU'!$B$3:$B$1052,$M159)))</f>
        <v/>
      </c>
      <c r="D159" s="21" t="str">
        <f aca="false">IF($M159="","",IF(INDEX('DỮ LIỆU'!$C$3:$C$1052,$M159)="","",INDEX('DỮ LIỆU'!$C$3:$C$1052,$M159)))</f>
        <v/>
      </c>
      <c r="E159" s="21" t="str">
        <f aca="false">IF($M159="","",IF(INDEX('DỮ LIỆU'!$D$3:$D$1052,$M159)="","",INDEX('DỮ LIỆU'!$D$3:$D$1052,$M159)))</f>
        <v/>
      </c>
      <c r="F159" s="21" t="str">
        <f aca="false">IF($M159="","",IF(INDEX('DỮ LIỆU'!$H$3:$H$1052,$M159)="","",INDEX('DỮ LIỆU'!$H$3:$H$1052,$M159)))</f>
        <v/>
      </c>
      <c r="G159" s="13" t="str">
        <f aca="false">IF($M159="","",N(INDEX('DỮ LIỆU'!$I$3:$I$1052,$M159)))</f>
        <v/>
      </c>
      <c r="H159" s="13" t="str">
        <f aca="false">IF($M159="","",N(INDEX('DỮ LIỆU'!$M$3:$M$1052,$M159)))</f>
        <v/>
      </c>
      <c r="I159" s="13" t="str">
        <f aca="false">IF($M159="","",N(INDEX('DỮ LIỆU'!$N$3:$N$1052,$M159)))</f>
        <v/>
      </c>
      <c r="J159" s="13" t="str">
        <f aca="false">IF($M159="","",N(INDEX('DỮ LIỆU'!$O$3:$O$1052,$M159)))</f>
        <v/>
      </c>
      <c r="K159" s="13" t="str">
        <f aca="true">IF(OR($M159="",$C159=""),"",MAX(0,TODAY()-$C159))</f>
        <v/>
      </c>
      <c r="L159" s="21" t="str">
        <f aca="false">IF($M159="","",IF(INDEX('DỮ LIỆU'!$R$3:$R$1052,$M159)="","",INDEX('DỮ LIỆU'!$R$3:$R$1052,$M159)))</f>
        <v/>
      </c>
      <c r="M159" s="0" t="str">
        <f aca="false">IFERROR(MATCH(154,'DỮ LIỆU'!$T$3:$T$1052,0),"")</f>
        <v/>
      </c>
    </row>
    <row r="160" customFormat="false" ht="15" hidden="false" customHeight="false" outlineLevel="0" collapsed="false">
      <c r="A160" s="21" t="str">
        <f aca="false">IF($M160="","",155)</f>
        <v/>
      </c>
      <c r="B160" s="13" t="str">
        <f aca="false">IF($M160="","",INDEX('DỮ LIỆU'!$A$3:$A$1052,$M160))</f>
        <v/>
      </c>
      <c r="C160" s="41" t="str">
        <f aca="false">IF($M160="","",IF(INDEX('DỮ LIỆU'!$B$3:$B$1052,$M160)="","",INDEX('DỮ LIỆU'!$B$3:$B$1052,$M160)))</f>
        <v/>
      </c>
      <c r="D160" s="21" t="str">
        <f aca="false">IF($M160="","",IF(INDEX('DỮ LIỆU'!$C$3:$C$1052,$M160)="","",INDEX('DỮ LIỆU'!$C$3:$C$1052,$M160)))</f>
        <v/>
      </c>
      <c r="E160" s="21" t="str">
        <f aca="false">IF($M160="","",IF(INDEX('DỮ LIỆU'!$D$3:$D$1052,$M160)="","",INDEX('DỮ LIỆU'!$D$3:$D$1052,$M160)))</f>
        <v/>
      </c>
      <c r="F160" s="21" t="str">
        <f aca="false">IF($M160="","",IF(INDEX('DỮ LIỆU'!$H$3:$H$1052,$M160)="","",INDEX('DỮ LIỆU'!$H$3:$H$1052,$M160)))</f>
        <v/>
      </c>
      <c r="G160" s="13" t="str">
        <f aca="false">IF($M160="","",N(INDEX('DỮ LIỆU'!$I$3:$I$1052,$M160)))</f>
        <v/>
      </c>
      <c r="H160" s="13" t="str">
        <f aca="false">IF($M160="","",N(INDEX('DỮ LIỆU'!$M$3:$M$1052,$M160)))</f>
        <v/>
      </c>
      <c r="I160" s="13" t="str">
        <f aca="false">IF($M160="","",N(INDEX('DỮ LIỆU'!$N$3:$N$1052,$M160)))</f>
        <v/>
      </c>
      <c r="J160" s="13" t="str">
        <f aca="false">IF($M160="","",N(INDEX('DỮ LIỆU'!$O$3:$O$1052,$M160)))</f>
        <v/>
      </c>
      <c r="K160" s="13" t="str">
        <f aca="true">IF(OR($M160="",$C160=""),"",MAX(0,TODAY()-$C160))</f>
        <v/>
      </c>
      <c r="L160" s="21" t="str">
        <f aca="false">IF($M160="","",IF(INDEX('DỮ LIỆU'!$R$3:$R$1052,$M160)="","",INDEX('DỮ LIỆU'!$R$3:$R$1052,$M160)))</f>
        <v/>
      </c>
      <c r="M160" s="0" t="str">
        <f aca="false">IFERROR(MATCH(155,'DỮ LIỆU'!$T$3:$T$1052,0),"")</f>
        <v/>
      </c>
    </row>
    <row r="161" customFormat="false" ht="15" hidden="false" customHeight="false" outlineLevel="0" collapsed="false">
      <c r="A161" s="21" t="str">
        <f aca="false">IF($M161="","",156)</f>
        <v/>
      </c>
      <c r="B161" s="13" t="str">
        <f aca="false">IF($M161="","",INDEX('DỮ LIỆU'!$A$3:$A$1052,$M161))</f>
        <v/>
      </c>
      <c r="C161" s="41" t="str">
        <f aca="false">IF($M161="","",IF(INDEX('DỮ LIỆU'!$B$3:$B$1052,$M161)="","",INDEX('DỮ LIỆU'!$B$3:$B$1052,$M161)))</f>
        <v/>
      </c>
      <c r="D161" s="21" t="str">
        <f aca="false">IF($M161="","",IF(INDEX('DỮ LIỆU'!$C$3:$C$1052,$M161)="","",INDEX('DỮ LIỆU'!$C$3:$C$1052,$M161)))</f>
        <v/>
      </c>
      <c r="E161" s="21" t="str">
        <f aca="false">IF($M161="","",IF(INDEX('DỮ LIỆU'!$D$3:$D$1052,$M161)="","",INDEX('DỮ LIỆU'!$D$3:$D$1052,$M161)))</f>
        <v/>
      </c>
      <c r="F161" s="21" t="str">
        <f aca="false">IF($M161="","",IF(INDEX('DỮ LIỆU'!$H$3:$H$1052,$M161)="","",INDEX('DỮ LIỆU'!$H$3:$H$1052,$M161)))</f>
        <v/>
      </c>
      <c r="G161" s="13" t="str">
        <f aca="false">IF($M161="","",N(INDEX('DỮ LIỆU'!$I$3:$I$1052,$M161)))</f>
        <v/>
      </c>
      <c r="H161" s="13" t="str">
        <f aca="false">IF($M161="","",N(INDEX('DỮ LIỆU'!$M$3:$M$1052,$M161)))</f>
        <v/>
      </c>
      <c r="I161" s="13" t="str">
        <f aca="false">IF($M161="","",N(INDEX('DỮ LIỆU'!$N$3:$N$1052,$M161)))</f>
        <v/>
      </c>
      <c r="J161" s="13" t="str">
        <f aca="false">IF($M161="","",N(INDEX('DỮ LIỆU'!$O$3:$O$1052,$M161)))</f>
        <v/>
      </c>
      <c r="K161" s="13" t="str">
        <f aca="true">IF(OR($M161="",$C161=""),"",MAX(0,TODAY()-$C161))</f>
        <v/>
      </c>
      <c r="L161" s="21" t="str">
        <f aca="false">IF($M161="","",IF(INDEX('DỮ LIỆU'!$R$3:$R$1052,$M161)="","",INDEX('DỮ LIỆU'!$R$3:$R$1052,$M161)))</f>
        <v/>
      </c>
      <c r="M161" s="0" t="str">
        <f aca="false">IFERROR(MATCH(156,'DỮ LIỆU'!$T$3:$T$1052,0),"")</f>
        <v/>
      </c>
    </row>
    <row r="162" customFormat="false" ht="15" hidden="false" customHeight="false" outlineLevel="0" collapsed="false">
      <c r="A162" s="21" t="str">
        <f aca="false">IF($M162="","",157)</f>
        <v/>
      </c>
      <c r="B162" s="13" t="str">
        <f aca="false">IF($M162="","",INDEX('DỮ LIỆU'!$A$3:$A$1052,$M162))</f>
        <v/>
      </c>
      <c r="C162" s="41" t="str">
        <f aca="false">IF($M162="","",IF(INDEX('DỮ LIỆU'!$B$3:$B$1052,$M162)="","",INDEX('DỮ LIỆU'!$B$3:$B$1052,$M162)))</f>
        <v/>
      </c>
      <c r="D162" s="21" t="str">
        <f aca="false">IF($M162="","",IF(INDEX('DỮ LIỆU'!$C$3:$C$1052,$M162)="","",INDEX('DỮ LIỆU'!$C$3:$C$1052,$M162)))</f>
        <v/>
      </c>
      <c r="E162" s="21" t="str">
        <f aca="false">IF($M162="","",IF(INDEX('DỮ LIỆU'!$D$3:$D$1052,$M162)="","",INDEX('DỮ LIỆU'!$D$3:$D$1052,$M162)))</f>
        <v/>
      </c>
      <c r="F162" s="21" t="str">
        <f aca="false">IF($M162="","",IF(INDEX('DỮ LIỆU'!$H$3:$H$1052,$M162)="","",INDEX('DỮ LIỆU'!$H$3:$H$1052,$M162)))</f>
        <v/>
      </c>
      <c r="G162" s="13" t="str">
        <f aca="false">IF($M162="","",N(INDEX('DỮ LIỆU'!$I$3:$I$1052,$M162)))</f>
        <v/>
      </c>
      <c r="H162" s="13" t="str">
        <f aca="false">IF($M162="","",N(INDEX('DỮ LIỆU'!$M$3:$M$1052,$M162)))</f>
        <v/>
      </c>
      <c r="I162" s="13" t="str">
        <f aca="false">IF($M162="","",N(INDEX('DỮ LIỆU'!$N$3:$N$1052,$M162)))</f>
        <v/>
      </c>
      <c r="J162" s="13" t="str">
        <f aca="false">IF($M162="","",N(INDEX('DỮ LIỆU'!$O$3:$O$1052,$M162)))</f>
        <v/>
      </c>
      <c r="K162" s="13" t="str">
        <f aca="true">IF(OR($M162="",$C162=""),"",MAX(0,TODAY()-$C162))</f>
        <v/>
      </c>
      <c r="L162" s="21" t="str">
        <f aca="false">IF($M162="","",IF(INDEX('DỮ LIỆU'!$R$3:$R$1052,$M162)="","",INDEX('DỮ LIỆU'!$R$3:$R$1052,$M162)))</f>
        <v/>
      </c>
      <c r="M162" s="0" t="str">
        <f aca="false">IFERROR(MATCH(157,'DỮ LIỆU'!$T$3:$T$1052,0),"")</f>
        <v/>
      </c>
    </row>
    <row r="163" customFormat="false" ht="15" hidden="false" customHeight="false" outlineLevel="0" collapsed="false">
      <c r="A163" s="21" t="str">
        <f aca="false">IF($M163="","",158)</f>
        <v/>
      </c>
      <c r="B163" s="13" t="str">
        <f aca="false">IF($M163="","",INDEX('DỮ LIỆU'!$A$3:$A$1052,$M163))</f>
        <v/>
      </c>
      <c r="C163" s="41" t="str">
        <f aca="false">IF($M163="","",IF(INDEX('DỮ LIỆU'!$B$3:$B$1052,$M163)="","",INDEX('DỮ LIỆU'!$B$3:$B$1052,$M163)))</f>
        <v/>
      </c>
      <c r="D163" s="21" t="str">
        <f aca="false">IF($M163="","",IF(INDEX('DỮ LIỆU'!$C$3:$C$1052,$M163)="","",INDEX('DỮ LIỆU'!$C$3:$C$1052,$M163)))</f>
        <v/>
      </c>
      <c r="E163" s="21" t="str">
        <f aca="false">IF($M163="","",IF(INDEX('DỮ LIỆU'!$D$3:$D$1052,$M163)="","",INDEX('DỮ LIỆU'!$D$3:$D$1052,$M163)))</f>
        <v/>
      </c>
      <c r="F163" s="21" t="str">
        <f aca="false">IF($M163="","",IF(INDEX('DỮ LIỆU'!$H$3:$H$1052,$M163)="","",INDEX('DỮ LIỆU'!$H$3:$H$1052,$M163)))</f>
        <v/>
      </c>
      <c r="G163" s="13" t="str">
        <f aca="false">IF($M163="","",N(INDEX('DỮ LIỆU'!$I$3:$I$1052,$M163)))</f>
        <v/>
      </c>
      <c r="H163" s="13" t="str">
        <f aca="false">IF($M163="","",N(INDEX('DỮ LIỆU'!$M$3:$M$1052,$M163)))</f>
        <v/>
      </c>
      <c r="I163" s="13" t="str">
        <f aca="false">IF($M163="","",N(INDEX('DỮ LIỆU'!$N$3:$N$1052,$M163)))</f>
        <v/>
      </c>
      <c r="J163" s="13" t="str">
        <f aca="false">IF($M163="","",N(INDEX('DỮ LIỆU'!$O$3:$O$1052,$M163)))</f>
        <v/>
      </c>
      <c r="K163" s="13" t="str">
        <f aca="true">IF(OR($M163="",$C163=""),"",MAX(0,TODAY()-$C163))</f>
        <v/>
      </c>
      <c r="L163" s="21" t="str">
        <f aca="false">IF($M163="","",IF(INDEX('DỮ LIỆU'!$R$3:$R$1052,$M163)="","",INDEX('DỮ LIỆU'!$R$3:$R$1052,$M163)))</f>
        <v/>
      </c>
      <c r="M163" s="0" t="str">
        <f aca="false">IFERROR(MATCH(158,'DỮ LIỆU'!$T$3:$T$1052,0),"")</f>
        <v/>
      </c>
    </row>
    <row r="164" customFormat="false" ht="15" hidden="false" customHeight="false" outlineLevel="0" collapsed="false">
      <c r="A164" s="21" t="str">
        <f aca="false">IF($M164="","",159)</f>
        <v/>
      </c>
      <c r="B164" s="13" t="str">
        <f aca="false">IF($M164="","",INDEX('DỮ LIỆU'!$A$3:$A$1052,$M164))</f>
        <v/>
      </c>
      <c r="C164" s="41" t="str">
        <f aca="false">IF($M164="","",IF(INDEX('DỮ LIỆU'!$B$3:$B$1052,$M164)="","",INDEX('DỮ LIỆU'!$B$3:$B$1052,$M164)))</f>
        <v/>
      </c>
      <c r="D164" s="21" t="str">
        <f aca="false">IF($M164="","",IF(INDEX('DỮ LIỆU'!$C$3:$C$1052,$M164)="","",INDEX('DỮ LIỆU'!$C$3:$C$1052,$M164)))</f>
        <v/>
      </c>
      <c r="E164" s="21" t="str">
        <f aca="false">IF($M164="","",IF(INDEX('DỮ LIỆU'!$D$3:$D$1052,$M164)="","",INDEX('DỮ LIỆU'!$D$3:$D$1052,$M164)))</f>
        <v/>
      </c>
      <c r="F164" s="21" t="str">
        <f aca="false">IF($M164="","",IF(INDEX('DỮ LIỆU'!$H$3:$H$1052,$M164)="","",INDEX('DỮ LIỆU'!$H$3:$H$1052,$M164)))</f>
        <v/>
      </c>
      <c r="G164" s="13" t="str">
        <f aca="false">IF($M164="","",N(INDEX('DỮ LIỆU'!$I$3:$I$1052,$M164)))</f>
        <v/>
      </c>
      <c r="H164" s="13" t="str">
        <f aca="false">IF($M164="","",N(INDEX('DỮ LIỆU'!$M$3:$M$1052,$M164)))</f>
        <v/>
      </c>
      <c r="I164" s="13" t="str">
        <f aca="false">IF($M164="","",N(INDEX('DỮ LIỆU'!$N$3:$N$1052,$M164)))</f>
        <v/>
      </c>
      <c r="J164" s="13" t="str">
        <f aca="false">IF($M164="","",N(INDEX('DỮ LIỆU'!$O$3:$O$1052,$M164)))</f>
        <v/>
      </c>
      <c r="K164" s="13" t="str">
        <f aca="true">IF(OR($M164="",$C164=""),"",MAX(0,TODAY()-$C164))</f>
        <v/>
      </c>
      <c r="L164" s="21" t="str">
        <f aca="false">IF($M164="","",IF(INDEX('DỮ LIỆU'!$R$3:$R$1052,$M164)="","",INDEX('DỮ LIỆU'!$R$3:$R$1052,$M164)))</f>
        <v/>
      </c>
      <c r="M164" s="0" t="str">
        <f aca="false">IFERROR(MATCH(159,'DỮ LIỆU'!$T$3:$T$1052,0),"")</f>
        <v/>
      </c>
    </row>
    <row r="165" customFormat="false" ht="15" hidden="false" customHeight="false" outlineLevel="0" collapsed="false">
      <c r="A165" s="21" t="str">
        <f aca="false">IF($M165="","",160)</f>
        <v/>
      </c>
      <c r="B165" s="13" t="str">
        <f aca="false">IF($M165="","",INDEX('DỮ LIỆU'!$A$3:$A$1052,$M165))</f>
        <v/>
      </c>
      <c r="C165" s="41" t="str">
        <f aca="false">IF($M165="","",IF(INDEX('DỮ LIỆU'!$B$3:$B$1052,$M165)="","",INDEX('DỮ LIỆU'!$B$3:$B$1052,$M165)))</f>
        <v/>
      </c>
      <c r="D165" s="21" t="str">
        <f aca="false">IF($M165="","",IF(INDEX('DỮ LIỆU'!$C$3:$C$1052,$M165)="","",INDEX('DỮ LIỆU'!$C$3:$C$1052,$M165)))</f>
        <v/>
      </c>
      <c r="E165" s="21" t="str">
        <f aca="false">IF($M165="","",IF(INDEX('DỮ LIỆU'!$D$3:$D$1052,$M165)="","",INDEX('DỮ LIỆU'!$D$3:$D$1052,$M165)))</f>
        <v/>
      </c>
      <c r="F165" s="21" t="str">
        <f aca="false">IF($M165="","",IF(INDEX('DỮ LIỆU'!$H$3:$H$1052,$M165)="","",INDEX('DỮ LIỆU'!$H$3:$H$1052,$M165)))</f>
        <v/>
      </c>
      <c r="G165" s="13" t="str">
        <f aca="false">IF($M165="","",N(INDEX('DỮ LIỆU'!$I$3:$I$1052,$M165)))</f>
        <v/>
      </c>
      <c r="H165" s="13" t="str">
        <f aca="false">IF($M165="","",N(INDEX('DỮ LIỆU'!$M$3:$M$1052,$M165)))</f>
        <v/>
      </c>
      <c r="I165" s="13" t="str">
        <f aca="false">IF($M165="","",N(INDEX('DỮ LIỆU'!$N$3:$N$1052,$M165)))</f>
        <v/>
      </c>
      <c r="J165" s="13" t="str">
        <f aca="false">IF($M165="","",N(INDEX('DỮ LIỆU'!$O$3:$O$1052,$M165)))</f>
        <v/>
      </c>
      <c r="K165" s="13" t="str">
        <f aca="true">IF(OR($M165="",$C165=""),"",MAX(0,TODAY()-$C165))</f>
        <v/>
      </c>
      <c r="L165" s="21" t="str">
        <f aca="false">IF($M165="","",IF(INDEX('DỮ LIỆU'!$R$3:$R$1052,$M165)="","",INDEX('DỮ LIỆU'!$R$3:$R$1052,$M165)))</f>
        <v/>
      </c>
      <c r="M165" s="0" t="str">
        <f aca="false">IFERROR(MATCH(160,'DỮ LIỆU'!$T$3:$T$1052,0),"")</f>
        <v/>
      </c>
    </row>
    <row r="166" customFormat="false" ht="15" hidden="false" customHeight="false" outlineLevel="0" collapsed="false">
      <c r="A166" s="21" t="str">
        <f aca="false">IF($M166="","",161)</f>
        <v/>
      </c>
      <c r="B166" s="13" t="str">
        <f aca="false">IF($M166="","",INDEX('DỮ LIỆU'!$A$3:$A$1052,$M166))</f>
        <v/>
      </c>
      <c r="C166" s="41" t="str">
        <f aca="false">IF($M166="","",IF(INDEX('DỮ LIỆU'!$B$3:$B$1052,$M166)="","",INDEX('DỮ LIỆU'!$B$3:$B$1052,$M166)))</f>
        <v/>
      </c>
      <c r="D166" s="21" t="str">
        <f aca="false">IF($M166="","",IF(INDEX('DỮ LIỆU'!$C$3:$C$1052,$M166)="","",INDEX('DỮ LIỆU'!$C$3:$C$1052,$M166)))</f>
        <v/>
      </c>
      <c r="E166" s="21" t="str">
        <f aca="false">IF($M166="","",IF(INDEX('DỮ LIỆU'!$D$3:$D$1052,$M166)="","",INDEX('DỮ LIỆU'!$D$3:$D$1052,$M166)))</f>
        <v/>
      </c>
      <c r="F166" s="21" t="str">
        <f aca="false">IF($M166="","",IF(INDEX('DỮ LIỆU'!$H$3:$H$1052,$M166)="","",INDEX('DỮ LIỆU'!$H$3:$H$1052,$M166)))</f>
        <v/>
      </c>
      <c r="G166" s="13" t="str">
        <f aca="false">IF($M166="","",N(INDEX('DỮ LIỆU'!$I$3:$I$1052,$M166)))</f>
        <v/>
      </c>
      <c r="H166" s="13" t="str">
        <f aca="false">IF($M166="","",N(INDEX('DỮ LIỆU'!$M$3:$M$1052,$M166)))</f>
        <v/>
      </c>
      <c r="I166" s="13" t="str">
        <f aca="false">IF($M166="","",N(INDEX('DỮ LIỆU'!$N$3:$N$1052,$M166)))</f>
        <v/>
      </c>
      <c r="J166" s="13" t="str">
        <f aca="false">IF($M166="","",N(INDEX('DỮ LIỆU'!$O$3:$O$1052,$M166)))</f>
        <v/>
      </c>
      <c r="K166" s="13" t="str">
        <f aca="true">IF(OR($M166="",$C166=""),"",MAX(0,TODAY()-$C166))</f>
        <v/>
      </c>
      <c r="L166" s="21" t="str">
        <f aca="false">IF($M166="","",IF(INDEX('DỮ LIỆU'!$R$3:$R$1052,$M166)="","",INDEX('DỮ LIỆU'!$R$3:$R$1052,$M166)))</f>
        <v/>
      </c>
      <c r="M166" s="0" t="str">
        <f aca="false">IFERROR(MATCH(161,'DỮ LIỆU'!$T$3:$T$1052,0),"")</f>
        <v/>
      </c>
    </row>
    <row r="167" customFormat="false" ht="15" hidden="false" customHeight="false" outlineLevel="0" collapsed="false">
      <c r="A167" s="21" t="str">
        <f aca="false">IF($M167="","",162)</f>
        <v/>
      </c>
      <c r="B167" s="13" t="str">
        <f aca="false">IF($M167="","",INDEX('DỮ LIỆU'!$A$3:$A$1052,$M167))</f>
        <v/>
      </c>
      <c r="C167" s="41" t="str">
        <f aca="false">IF($M167="","",IF(INDEX('DỮ LIỆU'!$B$3:$B$1052,$M167)="","",INDEX('DỮ LIỆU'!$B$3:$B$1052,$M167)))</f>
        <v/>
      </c>
      <c r="D167" s="21" t="str">
        <f aca="false">IF($M167="","",IF(INDEX('DỮ LIỆU'!$C$3:$C$1052,$M167)="","",INDEX('DỮ LIỆU'!$C$3:$C$1052,$M167)))</f>
        <v/>
      </c>
      <c r="E167" s="21" t="str">
        <f aca="false">IF($M167="","",IF(INDEX('DỮ LIỆU'!$D$3:$D$1052,$M167)="","",INDEX('DỮ LIỆU'!$D$3:$D$1052,$M167)))</f>
        <v/>
      </c>
      <c r="F167" s="21" t="str">
        <f aca="false">IF($M167="","",IF(INDEX('DỮ LIỆU'!$H$3:$H$1052,$M167)="","",INDEX('DỮ LIỆU'!$H$3:$H$1052,$M167)))</f>
        <v/>
      </c>
      <c r="G167" s="13" t="str">
        <f aca="false">IF($M167="","",N(INDEX('DỮ LIỆU'!$I$3:$I$1052,$M167)))</f>
        <v/>
      </c>
      <c r="H167" s="13" t="str">
        <f aca="false">IF($M167="","",N(INDEX('DỮ LIỆU'!$M$3:$M$1052,$M167)))</f>
        <v/>
      </c>
      <c r="I167" s="13" t="str">
        <f aca="false">IF($M167="","",N(INDEX('DỮ LIỆU'!$N$3:$N$1052,$M167)))</f>
        <v/>
      </c>
      <c r="J167" s="13" t="str">
        <f aca="false">IF($M167="","",N(INDEX('DỮ LIỆU'!$O$3:$O$1052,$M167)))</f>
        <v/>
      </c>
      <c r="K167" s="13" t="str">
        <f aca="true">IF(OR($M167="",$C167=""),"",MAX(0,TODAY()-$C167))</f>
        <v/>
      </c>
      <c r="L167" s="21" t="str">
        <f aca="false">IF($M167="","",IF(INDEX('DỮ LIỆU'!$R$3:$R$1052,$M167)="","",INDEX('DỮ LIỆU'!$R$3:$R$1052,$M167)))</f>
        <v/>
      </c>
      <c r="M167" s="0" t="str">
        <f aca="false">IFERROR(MATCH(162,'DỮ LIỆU'!$T$3:$T$1052,0),"")</f>
        <v/>
      </c>
    </row>
    <row r="168" customFormat="false" ht="15" hidden="false" customHeight="false" outlineLevel="0" collapsed="false">
      <c r="A168" s="21" t="str">
        <f aca="false">IF($M168="","",163)</f>
        <v/>
      </c>
      <c r="B168" s="13" t="str">
        <f aca="false">IF($M168="","",INDEX('DỮ LIỆU'!$A$3:$A$1052,$M168))</f>
        <v/>
      </c>
      <c r="C168" s="41" t="str">
        <f aca="false">IF($M168="","",IF(INDEX('DỮ LIỆU'!$B$3:$B$1052,$M168)="","",INDEX('DỮ LIỆU'!$B$3:$B$1052,$M168)))</f>
        <v/>
      </c>
      <c r="D168" s="21" t="str">
        <f aca="false">IF($M168="","",IF(INDEX('DỮ LIỆU'!$C$3:$C$1052,$M168)="","",INDEX('DỮ LIỆU'!$C$3:$C$1052,$M168)))</f>
        <v/>
      </c>
      <c r="E168" s="21" t="str">
        <f aca="false">IF($M168="","",IF(INDEX('DỮ LIỆU'!$D$3:$D$1052,$M168)="","",INDEX('DỮ LIỆU'!$D$3:$D$1052,$M168)))</f>
        <v/>
      </c>
      <c r="F168" s="21" t="str">
        <f aca="false">IF($M168="","",IF(INDEX('DỮ LIỆU'!$H$3:$H$1052,$M168)="","",INDEX('DỮ LIỆU'!$H$3:$H$1052,$M168)))</f>
        <v/>
      </c>
      <c r="G168" s="13" t="str">
        <f aca="false">IF($M168="","",N(INDEX('DỮ LIỆU'!$I$3:$I$1052,$M168)))</f>
        <v/>
      </c>
      <c r="H168" s="13" t="str">
        <f aca="false">IF($M168="","",N(INDEX('DỮ LIỆU'!$M$3:$M$1052,$M168)))</f>
        <v/>
      </c>
      <c r="I168" s="13" t="str">
        <f aca="false">IF($M168="","",N(INDEX('DỮ LIỆU'!$N$3:$N$1052,$M168)))</f>
        <v/>
      </c>
      <c r="J168" s="13" t="str">
        <f aca="false">IF($M168="","",N(INDEX('DỮ LIỆU'!$O$3:$O$1052,$M168)))</f>
        <v/>
      </c>
      <c r="K168" s="13" t="str">
        <f aca="true">IF(OR($M168="",$C168=""),"",MAX(0,TODAY()-$C168))</f>
        <v/>
      </c>
      <c r="L168" s="21" t="str">
        <f aca="false">IF($M168="","",IF(INDEX('DỮ LIỆU'!$R$3:$R$1052,$M168)="","",INDEX('DỮ LIỆU'!$R$3:$R$1052,$M168)))</f>
        <v/>
      </c>
      <c r="M168" s="0" t="str">
        <f aca="false">IFERROR(MATCH(163,'DỮ LIỆU'!$T$3:$T$1052,0),"")</f>
        <v/>
      </c>
    </row>
    <row r="169" customFormat="false" ht="15" hidden="false" customHeight="false" outlineLevel="0" collapsed="false">
      <c r="A169" s="21" t="str">
        <f aca="false">IF($M169="","",164)</f>
        <v/>
      </c>
      <c r="B169" s="13" t="str">
        <f aca="false">IF($M169="","",INDEX('DỮ LIỆU'!$A$3:$A$1052,$M169))</f>
        <v/>
      </c>
      <c r="C169" s="41" t="str">
        <f aca="false">IF($M169="","",IF(INDEX('DỮ LIỆU'!$B$3:$B$1052,$M169)="","",INDEX('DỮ LIỆU'!$B$3:$B$1052,$M169)))</f>
        <v/>
      </c>
      <c r="D169" s="21" t="str">
        <f aca="false">IF($M169="","",IF(INDEX('DỮ LIỆU'!$C$3:$C$1052,$M169)="","",INDEX('DỮ LIỆU'!$C$3:$C$1052,$M169)))</f>
        <v/>
      </c>
      <c r="E169" s="21" t="str">
        <f aca="false">IF($M169="","",IF(INDEX('DỮ LIỆU'!$D$3:$D$1052,$M169)="","",INDEX('DỮ LIỆU'!$D$3:$D$1052,$M169)))</f>
        <v/>
      </c>
      <c r="F169" s="21" t="str">
        <f aca="false">IF($M169="","",IF(INDEX('DỮ LIỆU'!$H$3:$H$1052,$M169)="","",INDEX('DỮ LIỆU'!$H$3:$H$1052,$M169)))</f>
        <v/>
      </c>
      <c r="G169" s="13" t="str">
        <f aca="false">IF($M169="","",N(INDEX('DỮ LIỆU'!$I$3:$I$1052,$M169)))</f>
        <v/>
      </c>
      <c r="H169" s="13" t="str">
        <f aca="false">IF($M169="","",N(INDEX('DỮ LIỆU'!$M$3:$M$1052,$M169)))</f>
        <v/>
      </c>
      <c r="I169" s="13" t="str">
        <f aca="false">IF($M169="","",N(INDEX('DỮ LIỆU'!$N$3:$N$1052,$M169)))</f>
        <v/>
      </c>
      <c r="J169" s="13" t="str">
        <f aca="false">IF($M169="","",N(INDEX('DỮ LIỆU'!$O$3:$O$1052,$M169)))</f>
        <v/>
      </c>
      <c r="K169" s="13" t="str">
        <f aca="true">IF(OR($M169="",$C169=""),"",MAX(0,TODAY()-$C169))</f>
        <v/>
      </c>
      <c r="L169" s="21" t="str">
        <f aca="false">IF($M169="","",IF(INDEX('DỮ LIỆU'!$R$3:$R$1052,$M169)="","",INDEX('DỮ LIỆU'!$R$3:$R$1052,$M169)))</f>
        <v/>
      </c>
      <c r="M169" s="0" t="str">
        <f aca="false">IFERROR(MATCH(164,'DỮ LIỆU'!$T$3:$T$1052,0),"")</f>
        <v/>
      </c>
    </row>
    <row r="170" customFormat="false" ht="15" hidden="false" customHeight="false" outlineLevel="0" collapsed="false">
      <c r="A170" s="21" t="str">
        <f aca="false">IF($M170="","",165)</f>
        <v/>
      </c>
      <c r="B170" s="13" t="str">
        <f aca="false">IF($M170="","",INDEX('DỮ LIỆU'!$A$3:$A$1052,$M170))</f>
        <v/>
      </c>
      <c r="C170" s="41" t="str">
        <f aca="false">IF($M170="","",IF(INDEX('DỮ LIỆU'!$B$3:$B$1052,$M170)="","",INDEX('DỮ LIỆU'!$B$3:$B$1052,$M170)))</f>
        <v/>
      </c>
      <c r="D170" s="21" t="str">
        <f aca="false">IF($M170="","",IF(INDEX('DỮ LIỆU'!$C$3:$C$1052,$M170)="","",INDEX('DỮ LIỆU'!$C$3:$C$1052,$M170)))</f>
        <v/>
      </c>
      <c r="E170" s="21" t="str">
        <f aca="false">IF($M170="","",IF(INDEX('DỮ LIỆU'!$D$3:$D$1052,$M170)="","",INDEX('DỮ LIỆU'!$D$3:$D$1052,$M170)))</f>
        <v/>
      </c>
      <c r="F170" s="21" t="str">
        <f aca="false">IF($M170="","",IF(INDEX('DỮ LIỆU'!$H$3:$H$1052,$M170)="","",INDEX('DỮ LIỆU'!$H$3:$H$1052,$M170)))</f>
        <v/>
      </c>
      <c r="G170" s="13" t="str">
        <f aca="false">IF($M170="","",N(INDEX('DỮ LIỆU'!$I$3:$I$1052,$M170)))</f>
        <v/>
      </c>
      <c r="H170" s="13" t="str">
        <f aca="false">IF($M170="","",N(INDEX('DỮ LIỆU'!$M$3:$M$1052,$M170)))</f>
        <v/>
      </c>
      <c r="I170" s="13" t="str">
        <f aca="false">IF($M170="","",N(INDEX('DỮ LIỆU'!$N$3:$N$1052,$M170)))</f>
        <v/>
      </c>
      <c r="J170" s="13" t="str">
        <f aca="false">IF($M170="","",N(INDEX('DỮ LIỆU'!$O$3:$O$1052,$M170)))</f>
        <v/>
      </c>
      <c r="K170" s="13" t="str">
        <f aca="true">IF(OR($M170="",$C170=""),"",MAX(0,TODAY()-$C170))</f>
        <v/>
      </c>
      <c r="L170" s="21" t="str">
        <f aca="false">IF($M170="","",IF(INDEX('DỮ LIỆU'!$R$3:$R$1052,$M170)="","",INDEX('DỮ LIỆU'!$R$3:$R$1052,$M170)))</f>
        <v/>
      </c>
      <c r="M170" s="0" t="str">
        <f aca="false">IFERROR(MATCH(165,'DỮ LIỆU'!$T$3:$T$1052,0),"")</f>
        <v/>
      </c>
    </row>
    <row r="171" customFormat="false" ht="15" hidden="false" customHeight="false" outlineLevel="0" collapsed="false">
      <c r="A171" s="21" t="str">
        <f aca="false">IF($M171="","",166)</f>
        <v/>
      </c>
      <c r="B171" s="13" t="str">
        <f aca="false">IF($M171="","",INDEX('DỮ LIỆU'!$A$3:$A$1052,$M171))</f>
        <v/>
      </c>
      <c r="C171" s="41" t="str">
        <f aca="false">IF($M171="","",IF(INDEX('DỮ LIỆU'!$B$3:$B$1052,$M171)="","",INDEX('DỮ LIỆU'!$B$3:$B$1052,$M171)))</f>
        <v/>
      </c>
      <c r="D171" s="21" t="str">
        <f aca="false">IF($M171="","",IF(INDEX('DỮ LIỆU'!$C$3:$C$1052,$M171)="","",INDEX('DỮ LIỆU'!$C$3:$C$1052,$M171)))</f>
        <v/>
      </c>
      <c r="E171" s="21" t="str">
        <f aca="false">IF($M171="","",IF(INDEX('DỮ LIỆU'!$D$3:$D$1052,$M171)="","",INDEX('DỮ LIỆU'!$D$3:$D$1052,$M171)))</f>
        <v/>
      </c>
      <c r="F171" s="21" t="str">
        <f aca="false">IF($M171="","",IF(INDEX('DỮ LIỆU'!$H$3:$H$1052,$M171)="","",INDEX('DỮ LIỆU'!$H$3:$H$1052,$M171)))</f>
        <v/>
      </c>
      <c r="G171" s="13" t="str">
        <f aca="false">IF($M171="","",N(INDEX('DỮ LIỆU'!$I$3:$I$1052,$M171)))</f>
        <v/>
      </c>
      <c r="H171" s="13" t="str">
        <f aca="false">IF($M171="","",N(INDEX('DỮ LIỆU'!$M$3:$M$1052,$M171)))</f>
        <v/>
      </c>
      <c r="I171" s="13" t="str">
        <f aca="false">IF($M171="","",N(INDEX('DỮ LIỆU'!$N$3:$N$1052,$M171)))</f>
        <v/>
      </c>
      <c r="J171" s="13" t="str">
        <f aca="false">IF($M171="","",N(INDEX('DỮ LIỆU'!$O$3:$O$1052,$M171)))</f>
        <v/>
      </c>
      <c r="K171" s="13" t="str">
        <f aca="true">IF(OR($M171="",$C171=""),"",MAX(0,TODAY()-$C171))</f>
        <v/>
      </c>
      <c r="L171" s="21" t="str">
        <f aca="false">IF($M171="","",IF(INDEX('DỮ LIỆU'!$R$3:$R$1052,$M171)="","",INDEX('DỮ LIỆU'!$R$3:$R$1052,$M171)))</f>
        <v/>
      </c>
      <c r="M171" s="0" t="str">
        <f aca="false">IFERROR(MATCH(166,'DỮ LIỆU'!$T$3:$T$1052,0),"")</f>
        <v/>
      </c>
    </row>
    <row r="172" customFormat="false" ht="15" hidden="false" customHeight="false" outlineLevel="0" collapsed="false">
      <c r="A172" s="21" t="str">
        <f aca="false">IF($M172="","",167)</f>
        <v/>
      </c>
      <c r="B172" s="13" t="str">
        <f aca="false">IF($M172="","",INDEX('DỮ LIỆU'!$A$3:$A$1052,$M172))</f>
        <v/>
      </c>
      <c r="C172" s="41" t="str">
        <f aca="false">IF($M172="","",IF(INDEX('DỮ LIỆU'!$B$3:$B$1052,$M172)="","",INDEX('DỮ LIỆU'!$B$3:$B$1052,$M172)))</f>
        <v/>
      </c>
      <c r="D172" s="21" t="str">
        <f aca="false">IF($M172="","",IF(INDEX('DỮ LIỆU'!$C$3:$C$1052,$M172)="","",INDEX('DỮ LIỆU'!$C$3:$C$1052,$M172)))</f>
        <v/>
      </c>
      <c r="E172" s="21" t="str">
        <f aca="false">IF($M172="","",IF(INDEX('DỮ LIỆU'!$D$3:$D$1052,$M172)="","",INDEX('DỮ LIỆU'!$D$3:$D$1052,$M172)))</f>
        <v/>
      </c>
      <c r="F172" s="21" t="str">
        <f aca="false">IF($M172="","",IF(INDEX('DỮ LIỆU'!$H$3:$H$1052,$M172)="","",INDEX('DỮ LIỆU'!$H$3:$H$1052,$M172)))</f>
        <v/>
      </c>
      <c r="G172" s="13" t="str">
        <f aca="false">IF($M172="","",N(INDEX('DỮ LIỆU'!$I$3:$I$1052,$M172)))</f>
        <v/>
      </c>
      <c r="H172" s="13" t="str">
        <f aca="false">IF($M172="","",N(INDEX('DỮ LIỆU'!$M$3:$M$1052,$M172)))</f>
        <v/>
      </c>
      <c r="I172" s="13" t="str">
        <f aca="false">IF($M172="","",N(INDEX('DỮ LIỆU'!$N$3:$N$1052,$M172)))</f>
        <v/>
      </c>
      <c r="J172" s="13" t="str">
        <f aca="false">IF($M172="","",N(INDEX('DỮ LIỆU'!$O$3:$O$1052,$M172)))</f>
        <v/>
      </c>
      <c r="K172" s="13" t="str">
        <f aca="true">IF(OR($M172="",$C172=""),"",MAX(0,TODAY()-$C172))</f>
        <v/>
      </c>
      <c r="L172" s="21" t="str">
        <f aca="false">IF($M172="","",IF(INDEX('DỮ LIỆU'!$R$3:$R$1052,$M172)="","",INDEX('DỮ LIỆU'!$R$3:$R$1052,$M172)))</f>
        <v/>
      </c>
      <c r="M172" s="0" t="str">
        <f aca="false">IFERROR(MATCH(167,'DỮ LIỆU'!$T$3:$T$1052,0),"")</f>
        <v/>
      </c>
    </row>
    <row r="173" customFormat="false" ht="15" hidden="false" customHeight="false" outlineLevel="0" collapsed="false">
      <c r="A173" s="21" t="str">
        <f aca="false">IF($M173="","",168)</f>
        <v/>
      </c>
      <c r="B173" s="13" t="str">
        <f aca="false">IF($M173="","",INDEX('DỮ LIỆU'!$A$3:$A$1052,$M173))</f>
        <v/>
      </c>
      <c r="C173" s="41" t="str">
        <f aca="false">IF($M173="","",IF(INDEX('DỮ LIỆU'!$B$3:$B$1052,$M173)="","",INDEX('DỮ LIỆU'!$B$3:$B$1052,$M173)))</f>
        <v/>
      </c>
      <c r="D173" s="21" t="str">
        <f aca="false">IF($M173="","",IF(INDEX('DỮ LIỆU'!$C$3:$C$1052,$M173)="","",INDEX('DỮ LIỆU'!$C$3:$C$1052,$M173)))</f>
        <v/>
      </c>
      <c r="E173" s="21" t="str">
        <f aca="false">IF($M173="","",IF(INDEX('DỮ LIỆU'!$D$3:$D$1052,$M173)="","",INDEX('DỮ LIỆU'!$D$3:$D$1052,$M173)))</f>
        <v/>
      </c>
      <c r="F173" s="21" t="str">
        <f aca="false">IF($M173="","",IF(INDEX('DỮ LIỆU'!$H$3:$H$1052,$M173)="","",INDEX('DỮ LIỆU'!$H$3:$H$1052,$M173)))</f>
        <v/>
      </c>
      <c r="G173" s="13" t="str">
        <f aca="false">IF($M173="","",N(INDEX('DỮ LIỆU'!$I$3:$I$1052,$M173)))</f>
        <v/>
      </c>
      <c r="H173" s="13" t="str">
        <f aca="false">IF($M173="","",N(INDEX('DỮ LIỆU'!$M$3:$M$1052,$M173)))</f>
        <v/>
      </c>
      <c r="I173" s="13" t="str">
        <f aca="false">IF($M173="","",N(INDEX('DỮ LIỆU'!$N$3:$N$1052,$M173)))</f>
        <v/>
      </c>
      <c r="J173" s="13" t="str">
        <f aca="false">IF($M173="","",N(INDEX('DỮ LIỆU'!$O$3:$O$1052,$M173)))</f>
        <v/>
      </c>
      <c r="K173" s="13" t="str">
        <f aca="true">IF(OR($M173="",$C173=""),"",MAX(0,TODAY()-$C173))</f>
        <v/>
      </c>
      <c r="L173" s="21" t="str">
        <f aca="false">IF($M173="","",IF(INDEX('DỮ LIỆU'!$R$3:$R$1052,$M173)="","",INDEX('DỮ LIỆU'!$R$3:$R$1052,$M173)))</f>
        <v/>
      </c>
      <c r="M173" s="0" t="str">
        <f aca="false">IFERROR(MATCH(168,'DỮ LIỆU'!$T$3:$T$1052,0),"")</f>
        <v/>
      </c>
    </row>
    <row r="174" customFormat="false" ht="15" hidden="false" customHeight="false" outlineLevel="0" collapsed="false">
      <c r="A174" s="21" t="str">
        <f aca="false">IF($M174="","",169)</f>
        <v/>
      </c>
      <c r="B174" s="13" t="str">
        <f aca="false">IF($M174="","",INDEX('DỮ LIỆU'!$A$3:$A$1052,$M174))</f>
        <v/>
      </c>
      <c r="C174" s="41" t="str">
        <f aca="false">IF($M174="","",IF(INDEX('DỮ LIỆU'!$B$3:$B$1052,$M174)="","",INDEX('DỮ LIỆU'!$B$3:$B$1052,$M174)))</f>
        <v/>
      </c>
      <c r="D174" s="21" t="str">
        <f aca="false">IF($M174="","",IF(INDEX('DỮ LIỆU'!$C$3:$C$1052,$M174)="","",INDEX('DỮ LIỆU'!$C$3:$C$1052,$M174)))</f>
        <v/>
      </c>
      <c r="E174" s="21" t="str">
        <f aca="false">IF($M174="","",IF(INDEX('DỮ LIỆU'!$D$3:$D$1052,$M174)="","",INDEX('DỮ LIỆU'!$D$3:$D$1052,$M174)))</f>
        <v/>
      </c>
      <c r="F174" s="21" t="str">
        <f aca="false">IF($M174="","",IF(INDEX('DỮ LIỆU'!$H$3:$H$1052,$M174)="","",INDEX('DỮ LIỆU'!$H$3:$H$1052,$M174)))</f>
        <v/>
      </c>
      <c r="G174" s="13" t="str">
        <f aca="false">IF($M174="","",N(INDEX('DỮ LIỆU'!$I$3:$I$1052,$M174)))</f>
        <v/>
      </c>
      <c r="H174" s="13" t="str">
        <f aca="false">IF($M174="","",N(INDEX('DỮ LIỆU'!$M$3:$M$1052,$M174)))</f>
        <v/>
      </c>
      <c r="I174" s="13" t="str">
        <f aca="false">IF($M174="","",N(INDEX('DỮ LIỆU'!$N$3:$N$1052,$M174)))</f>
        <v/>
      </c>
      <c r="J174" s="13" t="str">
        <f aca="false">IF($M174="","",N(INDEX('DỮ LIỆU'!$O$3:$O$1052,$M174)))</f>
        <v/>
      </c>
      <c r="K174" s="13" t="str">
        <f aca="true">IF(OR($M174="",$C174=""),"",MAX(0,TODAY()-$C174))</f>
        <v/>
      </c>
      <c r="L174" s="21" t="str">
        <f aca="false">IF($M174="","",IF(INDEX('DỮ LIỆU'!$R$3:$R$1052,$M174)="","",INDEX('DỮ LIỆU'!$R$3:$R$1052,$M174)))</f>
        <v/>
      </c>
      <c r="M174" s="0" t="str">
        <f aca="false">IFERROR(MATCH(169,'DỮ LIỆU'!$T$3:$T$1052,0),"")</f>
        <v/>
      </c>
    </row>
    <row r="175" customFormat="false" ht="15" hidden="false" customHeight="false" outlineLevel="0" collapsed="false">
      <c r="A175" s="21" t="str">
        <f aca="false">IF($M175="","",170)</f>
        <v/>
      </c>
      <c r="B175" s="13" t="str">
        <f aca="false">IF($M175="","",INDEX('DỮ LIỆU'!$A$3:$A$1052,$M175))</f>
        <v/>
      </c>
      <c r="C175" s="41" t="str">
        <f aca="false">IF($M175="","",IF(INDEX('DỮ LIỆU'!$B$3:$B$1052,$M175)="","",INDEX('DỮ LIỆU'!$B$3:$B$1052,$M175)))</f>
        <v/>
      </c>
      <c r="D175" s="21" t="str">
        <f aca="false">IF($M175="","",IF(INDEX('DỮ LIỆU'!$C$3:$C$1052,$M175)="","",INDEX('DỮ LIỆU'!$C$3:$C$1052,$M175)))</f>
        <v/>
      </c>
      <c r="E175" s="21" t="str">
        <f aca="false">IF($M175="","",IF(INDEX('DỮ LIỆU'!$D$3:$D$1052,$M175)="","",INDEX('DỮ LIỆU'!$D$3:$D$1052,$M175)))</f>
        <v/>
      </c>
      <c r="F175" s="21" t="str">
        <f aca="false">IF($M175="","",IF(INDEX('DỮ LIỆU'!$H$3:$H$1052,$M175)="","",INDEX('DỮ LIỆU'!$H$3:$H$1052,$M175)))</f>
        <v/>
      </c>
      <c r="G175" s="13" t="str">
        <f aca="false">IF($M175="","",N(INDEX('DỮ LIỆU'!$I$3:$I$1052,$M175)))</f>
        <v/>
      </c>
      <c r="H175" s="13" t="str">
        <f aca="false">IF($M175="","",N(INDEX('DỮ LIỆU'!$M$3:$M$1052,$M175)))</f>
        <v/>
      </c>
      <c r="I175" s="13" t="str">
        <f aca="false">IF($M175="","",N(INDEX('DỮ LIỆU'!$N$3:$N$1052,$M175)))</f>
        <v/>
      </c>
      <c r="J175" s="13" t="str">
        <f aca="false">IF($M175="","",N(INDEX('DỮ LIỆU'!$O$3:$O$1052,$M175)))</f>
        <v/>
      </c>
      <c r="K175" s="13" t="str">
        <f aca="true">IF(OR($M175="",$C175=""),"",MAX(0,TODAY()-$C175))</f>
        <v/>
      </c>
      <c r="L175" s="21" t="str">
        <f aca="false">IF($M175="","",IF(INDEX('DỮ LIỆU'!$R$3:$R$1052,$M175)="","",INDEX('DỮ LIỆU'!$R$3:$R$1052,$M175)))</f>
        <v/>
      </c>
      <c r="M175" s="0" t="str">
        <f aca="false">IFERROR(MATCH(170,'DỮ LIỆU'!$T$3:$T$1052,0),"")</f>
        <v/>
      </c>
    </row>
    <row r="176" customFormat="false" ht="15" hidden="false" customHeight="false" outlineLevel="0" collapsed="false">
      <c r="A176" s="21" t="str">
        <f aca="false">IF($M176="","",171)</f>
        <v/>
      </c>
      <c r="B176" s="13" t="str">
        <f aca="false">IF($M176="","",INDEX('DỮ LIỆU'!$A$3:$A$1052,$M176))</f>
        <v/>
      </c>
      <c r="C176" s="41" t="str">
        <f aca="false">IF($M176="","",IF(INDEX('DỮ LIỆU'!$B$3:$B$1052,$M176)="","",INDEX('DỮ LIỆU'!$B$3:$B$1052,$M176)))</f>
        <v/>
      </c>
      <c r="D176" s="21" t="str">
        <f aca="false">IF($M176="","",IF(INDEX('DỮ LIỆU'!$C$3:$C$1052,$M176)="","",INDEX('DỮ LIỆU'!$C$3:$C$1052,$M176)))</f>
        <v/>
      </c>
      <c r="E176" s="21" t="str">
        <f aca="false">IF($M176="","",IF(INDEX('DỮ LIỆU'!$D$3:$D$1052,$M176)="","",INDEX('DỮ LIỆU'!$D$3:$D$1052,$M176)))</f>
        <v/>
      </c>
      <c r="F176" s="21" t="str">
        <f aca="false">IF($M176="","",IF(INDEX('DỮ LIỆU'!$H$3:$H$1052,$M176)="","",INDEX('DỮ LIỆU'!$H$3:$H$1052,$M176)))</f>
        <v/>
      </c>
      <c r="G176" s="13" t="str">
        <f aca="false">IF($M176="","",N(INDEX('DỮ LIỆU'!$I$3:$I$1052,$M176)))</f>
        <v/>
      </c>
      <c r="H176" s="13" t="str">
        <f aca="false">IF($M176="","",N(INDEX('DỮ LIỆU'!$M$3:$M$1052,$M176)))</f>
        <v/>
      </c>
      <c r="I176" s="13" t="str">
        <f aca="false">IF($M176="","",N(INDEX('DỮ LIỆU'!$N$3:$N$1052,$M176)))</f>
        <v/>
      </c>
      <c r="J176" s="13" t="str">
        <f aca="false">IF($M176="","",N(INDEX('DỮ LIỆU'!$O$3:$O$1052,$M176)))</f>
        <v/>
      </c>
      <c r="K176" s="13" t="str">
        <f aca="true">IF(OR($M176="",$C176=""),"",MAX(0,TODAY()-$C176))</f>
        <v/>
      </c>
      <c r="L176" s="21" t="str">
        <f aca="false">IF($M176="","",IF(INDEX('DỮ LIỆU'!$R$3:$R$1052,$M176)="","",INDEX('DỮ LIỆU'!$R$3:$R$1052,$M176)))</f>
        <v/>
      </c>
      <c r="M176" s="0" t="str">
        <f aca="false">IFERROR(MATCH(171,'DỮ LIỆU'!$T$3:$T$1052,0),"")</f>
        <v/>
      </c>
    </row>
    <row r="177" customFormat="false" ht="15" hidden="false" customHeight="false" outlineLevel="0" collapsed="false">
      <c r="A177" s="21" t="str">
        <f aca="false">IF($M177="","",172)</f>
        <v/>
      </c>
      <c r="B177" s="13" t="str">
        <f aca="false">IF($M177="","",INDEX('DỮ LIỆU'!$A$3:$A$1052,$M177))</f>
        <v/>
      </c>
      <c r="C177" s="41" t="str">
        <f aca="false">IF($M177="","",IF(INDEX('DỮ LIỆU'!$B$3:$B$1052,$M177)="","",INDEX('DỮ LIỆU'!$B$3:$B$1052,$M177)))</f>
        <v/>
      </c>
      <c r="D177" s="21" t="str">
        <f aca="false">IF($M177="","",IF(INDEX('DỮ LIỆU'!$C$3:$C$1052,$M177)="","",INDEX('DỮ LIỆU'!$C$3:$C$1052,$M177)))</f>
        <v/>
      </c>
      <c r="E177" s="21" t="str">
        <f aca="false">IF($M177="","",IF(INDEX('DỮ LIỆU'!$D$3:$D$1052,$M177)="","",INDEX('DỮ LIỆU'!$D$3:$D$1052,$M177)))</f>
        <v/>
      </c>
      <c r="F177" s="21" t="str">
        <f aca="false">IF($M177="","",IF(INDEX('DỮ LIỆU'!$H$3:$H$1052,$M177)="","",INDEX('DỮ LIỆU'!$H$3:$H$1052,$M177)))</f>
        <v/>
      </c>
      <c r="G177" s="13" t="str">
        <f aca="false">IF($M177="","",N(INDEX('DỮ LIỆU'!$I$3:$I$1052,$M177)))</f>
        <v/>
      </c>
      <c r="H177" s="13" t="str">
        <f aca="false">IF($M177="","",N(INDEX('DỮ LIỆU'!$M$3:$M$1052,$M177)))</f>
        <v/>
      </c>
      <c r="I177" s="13" t="str">
        <f aca="false">IF($M177="","",N(INDEX('DỮ LIỆU'!$N$3:$N$1052,$M177)))</f>
        <v/>
      </c>
      <c r="J177" s="13" t="str">
        <f aca="false">IF($M177="","",N(INDEX('DỮ LIỆU'!$O$3:$O$1052,$M177)))</f>
        <v/>
      </c>
      <c r="K177" s="13" t="str">
        <f aca="true">IF(OR($M177="",$C177=""),"",MAX(0,TODAY()-$C177))</f>
        <v/>
      </c>
      <c r="L177" s="21" t="str">
        <f aca="false">IF($M177="","",IF(INDEX('DỮ LIỆU'!$R$3:$R$1052,$M177)="","",INDEX('DỮ LIỆU'!$R$3:$R$1052,$M177)))</f>
        <v/>
      </c>
      <c r="M177" s="0" t="str">
        <f aca="false">IFERROR(MATCH(172,'DỮ LIỆU'!$T$3:$T$1052,0),"")</f>
        <v/>
      </c>
    </row>
    <row r="178" customFormat="false" ht="15" hidden="false" customHeight="false" outlineLevel="0" collapsed="false">
      <c r="A178" s="21" t="str">
        <f aca="false">IF($M178="","",173)</f>
        <v/>
      </c>
      <c r="B178" s="13" t="str">
        <f aca="false">IF($M178="","",INDEX('DỮ LIỆU'!$A$3:$A$1052,$M178))</f>
        <v/>
      </c>
      <c r="C178" s="41" t="str">
        <f aca="false">IF($M178="","",IF(INDEX('DỮ LIỆU'!$B$3:$B$1052,$M178)="","",INDEX('DỮ LIỆU'!$B$3:$B$1052,$M178)))</f>
        <v/>
      </c>
      <c r="D178" s="21" t="str">
        <f aca="false">IF($M178="","",IF(INDEX('DỮ LIỆU'!$C$3:$C$1052,$M178)="","",INDEX('DỮ LIỆU'!$C$3:$C$1052,$M178)))</f>
        <v/>
      </c>
      <c r="E178" s="21" t="str">
        <f aca="false">IF($M178="","",IF(INDEX('DỮ LIỆU'!$D$3:$D$1052,$M178)="","",INDEX('DỮ LIỆU'!$D$3:$D$1052,$M178)))</f>
        <v/>
      </c>
      <c r="F178" s="21" t="str">
        <f aca="false">IF($M178="","",IF(INDEX('DỮ LIỆU'!$H$3:$H$1052,$M178)="","",INDEX('DỮ LIỆU'!$H$3:$H$1052,$M178)))</f>
        <v/>
      </c>
      <c r="G178" s="13" t="str">
        <f aca="false">IF($M178="","",N(INDEX('DỮ LIỆU'!$I$3:$I$1052,$M178)))</f>
        <v/>
      </c>
      <c r="H178" s="13" t="str">
        <f aca="false">IF($M178="","",N(INDEX('DỮ LIỆU'!$M$3:$M$1052,$M178)))</f>
        <v/>
      </c>
      <c r="I178" s="13" t="str">
        <f aca="false">IF($M178="","",N(INDEX('DỮ LIỆU'!$N$3:$N$1052,$M178)))</f>
        <v/>
      </c>
      <c r="J178" s="13" t="str">
        <f aca="false">IF($M178="","",N(INDEX('DỮ LIỆU'!$O$3:$O$1052,$M178)))</f>
        <v/>
      </c>
      <c r="K178" s="13" t="str">
        <f aca="true">IF(OR($M178="",$C178=""),"",MAX(0,TODAY()-$C178))</f>
        <v/>
      </c>
      <c r="L178" s="21" t="str">
        <f aca="false">IF($M178="","",IF(INDEX('DỮ LIỆU'!$R$3:$R$1052,$M178)="","",INDEX('DỮ LIỆU'!$R$3:$R$1052,$M178)))</f>
        <v/>
      </c>
      <c r="M178" s="0" t="str">
        <f aca="false">IFERROR(MATCH(173,'DỮ LIỆU'!$T$3:$T$1052,0),"")</f>
        <v/>
      </c>
    </row>
    <row r="179" customFormat="false" ht="15" hidden="false" customHeight="false" outlineLevel="0" collapsed="false">
      <c r="A179" s="21" t="str">
        <f aca="false">IF($M179="","",174)</f>
        <v/>
      </c>
      <c r="B179" s="13" t="str">
        <f aca="false">IF($M179="","",INDEX('DỮ LIỆU'!$A$3:$A$1052,$M179))</f>
        <v/>
      </c>
      <c r="C179" s="41" t="str">
        <f aca="false">IF($M179="","",IF(INDEX('DỮ LIỆU'!$B$3:$B$1052,$M179)="","",INDEX('DỮ LIỆU'!$B$3:$B$1052,$M179)))</f>
        <v/>
      </c>
      <c r="D179" s="21" t="str">
        <f aca="false">IF($M179="","",IF(INDEX('DỮ LIỆU'!$C$3:$C$1052,$M179)="","",INDEX('DỮ LIỆU'!$C$3:$C$1052,$M179)))</f>
        <v/>
      </c>
      <c r="E179" s="21" t="str">
        <f aca="false">IF($M179="","",IF(INDEX('DỮ LIỆU'!$D$3:$D$1052,$M179)="","",INDEX('DỮ LIỆU'!$D$3:$D$1052,$M179)))</f>
        <v/>
      </c>
      <c r="F179" s="21" t="str">
        <f aca="false">IF($M179="","",IF(INDEX('DỮ LIỆU'!$H$3:$H$1052,$M179)="","",INDEX('DỮ LIỆU'!$H$3:$H$1052,$M179)))</f>
        <v/>
      </c>
      <c r="G179" s="13" t="str">
        <f aca="false">IF($M179="","",N(INDEX('DỮ LIỆU'!$I$3:$I$1052,$M179)))</f>
        <v/>
      </c>
      <c r="H179" s="13" t="str">
        <f aca="false">IF($M179="","",N(INDEX('DỮ LIỆU'!$M$3:$M$1052,$M179)))</f>
        <v/>
      </c>
      <c r="I179" s="13" t="str">
        <f aca="false">IF($M179="","",N(INDEX('DỮ LIỆU'!$N$3:$N$1052,$M179)))</f>
        <v/>
      </c>
      <c r="J179" s="13" t="str">
        <f aca="false">IF($M179="","",N(INDEX('DỮ LIỆU'!$O$3:$O$1052,$M179)))</f>
        <v/>
      </c>
      <c r="K179" s="13" t="str">
        <f aca="true">IF(OR($M179="",$C179=""),"",MAX(0,TODAY()-$C179))</f>
        <v/>
      </c>
      <c r="L179" s="21" t="str">
        <f aca="false">IF($M179="","",IF(INDEX('DỮ LIỆU'!$R$3:$R$1052,$M179)="","",INDEX('DỮ LIỆU'!$R$3:$R$1052,$M179)))</f>
        <v/>
      </c>
      <c r="M179" s="0" t="str">
        <f aca="false">IFERROR(MATCH(174,'DỮ LIỆU'!$T$3:$T$1052,0),"")</f>
        <v/>
      </c>
    </row>
    <row r="180" customFormat="false" ht="15" hidden="false" customHeight="false" outlineLevel="0" collapsed="false">
      <c r="A180" s="21" t="str">
        <f aca="false">IF($M180="","",175)</f>
        <v/>
      </c>
      <c r="B180" s="13" t="str">
        <f aca="false">IF($M180="","",INDEX('DỮ LIỆU'!$A$3:$A$1052,$M180))</f>
        <v/>
      </c>
      <c r="C180" s="41" t="str">
        <f aca="false">IF($M180="","",IF(INDEX('DỮ LIỆU'!$B$3:$B$1052,$M180)="","",INDEX('DỮ LIỆU'!$B$3:$B$1052,$M180)))</f>
        <v/>
      </c>
      <c r="D180" s="21" t="str">
        <f aca="false">IF($M180="","",IF(INDEX('DỮ LIỆU'!$C$3:$C$1052,$M180)="","",INDEX('DỮ LIỆU'!$C$3:$C$1052,$M180)))</f>
        <v/>
      </c>
      <c r="E180" s="21" t="str">
        <f aca="false">IF($M180="","",IF(INDEX('DỮ LIỆU'!$D$3:$D$1052,$M180)="","",INDEX('DỮ LIỆU'!$D$3:$D$1052,$M180)))</f>
        <v/>
      </c>
      <c r="F180" s="21" t="str">
        <f aca="false">IF($M180="","",IF(INDEX('DỮ LIỆU'!$H$3:$H$1052,$M180)="","",INDEX('DỮ LIỆU'!$H$3:$H$1052,$M180)))</f>
        <v/>
      </c>
      <c r="G180" s="13" t="str">
        <f aca="false">IF($M180="","",N(INDEX('DỮ LIỆU'!$I$3:$I$1052,$M180)))</f>
        <v/>
      </c>
      <c r="H180" s="13" t="str">
        <f aca="false">IF($M180="","",N(INDEX('DỮ LIỆU'!$M$3:$M$1052,$M180)))</f>
        <v/>
      </c>
      <c r="I180" s="13" t="str">
        <f aca="false">IF($M180="","",N(INDEX('DỮ LIỆU'!$N$3:$N$1052,$M180)))</f>
        <v/>
      </c>
      <c r="J180" s="13" t="str">
        <f aca="false">IF($M180="","",N(INDEX('DỮ LIỆU'!$O$3:$O$1052,$M180)))</f>
        <v/>
      </c>
      <c r="K180" s="13" t="str">
        <f aca="true">IF(OR($M180="",$C180=""),"",MAX(0,TODAY()-$C180))</f>
        <v/>
      </c>
      <c r="L180" s="21" t="str">
        <f aca="false">IF($M180="","",IF(INDEX('DỮ LIỆU'!$R$3:$R$1052,$M180)="","",INDEX('DỮ LIỆU'!$R$3:$R$1052,$M180)))</f>
        <v/>
      </c>
      <c r="M180" s="0" t="str">
        <f aca="false">IFERROR(MATCH(175,'DỮ LIỆU'!$T$3:$T$1052,0),"")</f>
        <v/>
      </c>
    </row>
    <row r="181" customFormat="false" ht="15" hidden="false" customHeight="false" outlineLevel="0" collapsed="false">
      <c r="A181" s="21" t="str">
        <f aca="false">IF($M181="","",176)</f>
        <v/>
      </c>
      <c r="B181" s="13" t="str">
        <f aca="false">IF($M181="","",INDEX('DỮ LIỆU'!$A$3:$A$1052,$M181))</f>
        <v/>
      </c>
      <c r="C181" s="41" t="str">
        <f aca="false">IF($M181="","",IF(INDEX('DỮ LIỆU'!$B$3:$B$1052,$M181)="","",INDEX('DỮ LIỆU'!$B$3:$B$1052,$M181)))</f>
        <v/>
      </c>
      <c r="D181" s="21" t="str">
        <f aca="false">IF($M181="","",IF(INDEX('DỮ LIỆU'!$C$3:$C$1052,$M181)="","",INDEX('DỮ LIỆU'!$C$3:$C$1052,$M181)))</f>
        <v/>
      </c>
      <c r="E181" s="21" t="str">
        <f aca="false">IF($M181="","",IF(INDEX('DỮ LIỆU'!$D$3:$D$1052,$M181)="","",INDEX('DỮ LIỆU'!$D$3:$D$1052,$M181)))</f>
        <v/>
      </c>
      <c r="F181" s="21" t="str">
        <f aca="false">IF($M181="","",IF(INDEX('DỮ LIỆU'!$H$3:$H$1052,$M181)="","",INDEX('DỮ LIỆU'!$H$3:$H$1052,$M181)))</f>
        <v/>
      </c>
      <c r="G181" s="13" t="str">
        <f aca="false">IF($M181="","",N(INDEX('DỮ LIỆU'!$I$3:$I$1052,$M181)))</f>
        <v/>
      </c>
      <c r="H181" s="13" t="str">
        <f aca="false">IF($M181="","",N(INDEX('DỮ LIỆU'!$M$3:$M$1052,$M181)))</f>
        <v/>
      </c>
      <c r="I181" s="13" t="str">
        <f aca="false">IF($M181="","",N(INDEX('DỮ LIỆU'!$N$3:$N$1052,$M181)))</f>
        <v/>
      </c>
      <c r="J181" s="13" t="str">
        <f aca="false">IF($M181="","",N(INDEX('DỮ LIỆU'!$O$3:$O$1052,$M181)))</f>
        <v/>
      </c>
      <c r="K181" s="13" t="str">
        <f aca="true">IF(OR($M181="",$C181=""),"",MAX(0,TODAY()-$C181))</f>
        <v/>
      </c>
      <c r="L181" s="21" t="str">
        <f aca="false">IF($M181="","",IF(INDEX('DỮ LIỆU'!$R$3:$R$1052,$M181)="","",INDEX('DỮ LIỆU'!$R$3:$R$1052,$M181)))</f>
        <v/>
      </c>
      <c r="M181" s="0" t="str">
        <f aca="false">IFERROR(MATCH(176,'DỮ LIỆU'!$T$3:$T$1052,0),"")</f>
        <v/>
      </c>
    </row>
    <row r="182" customFormat="false" ht="15" hidden="false" customHeight="false" outlineLevel="0" collapsed="false">
      <c r="A182" s="21" t="str">
        <f aca="false">IF($M182="","",177)</f>
        <v/>
      </c>
      <c r="B182" s="13" t="str">
        <f aca="false">IF($M182="","",INDEX('DỮ LIỆU'!$A$3:$A$1052,$M182))</f>
        <v/>
      </c>
      <c r="C182" s="41" t="str">
        <f aca="false">IF($M182="","",IF(INDEX('DỮ LIỆU'!$B$3:$B$1052,$M182)="","",INDEX('DỮ LIỆU'!$B$3:$B$1052,$M182)))</f>
        <v/>
      </c>
      <c r="D182" s="21" t="str">
        <f aca="false">IF($M182="","",IF(INDEX('DỮ LIỆU'!$C$3:$C$1052,$M182)="","",INDEX('DỮ LIỆU'!$C$3:$C$1052,$M182)))</f>
        <v/>
      </c>
      <c r="E182" s="21" t="str">
        <f aca="false">IF($M182="","",IF(INDEX('DỮ LIỆU'!$D$3:$D$1052,$M182)="","",INDEX('DỮ LIỆU'!$D$3:$D$1052,$M182)))</f>
        <v/>
      </c>
      <c r="F182" s="21" t="str">
        <f aca="false">IF($M182="","",IF(INDEX('DỮ LIỆU'!$H$3:$H$1052,$M182)="","",INDEX('DỮ LIỆU'!$H$3:$H$1052,$M182)))</f>
        <v/>
      </c>
      <c r="G182" s="13" t="str">
        <f aca="false">IF($M182="","",N(INDEX('DỮ LIỆU'!$I$3:$I$1052,$M182)))</f>
        <v/>
      </c>
      <c r="H182" s="13" t="str">
        <f aca="false">IF($M182="","",N(INDEX('DỮ LIỆU'!$M$3:$M$1052,$M182)))</f>
        <v/>
      </c>
      <c r="I182" s="13" t="str">
        <f aca="false">IF($M182="","",N(INDEX('DỮ LIỆU'!$N$3:$N$1052,$M182)))</f>
        <v/>
      </c>
      <c r="J182" s="13" t="str">
        <f aca="false">IF($M182="","",N(INDEX('DỮ LIỆU'!$O$3:$O$1052,$M182)))</f>
        <v/>
      </c>
      <c r="K182" s="13" t="str">
        <f aca="true">IF(OR($M182="",$C182=""),"",MAX(0,TODAY()-$C182))</f>
        <v/>
      </c>
      <c r="L182" s="21" t="str">
        <f aca="false">IF($M182="","",IF(INDEX('DỮ LIỆU'!$R$3:$R$1052,$M182)="","",INDEX('DỮ LIỆU'!$R$3:$R$1052,$M182)))</f>
        <v/>
      </c>
      <c r="M182" s="0" t="str">
        <f aca="false">IFERROR(MATCH(177,'DỮ LIỆU'!$T$3:$T$1052,0),"")</f>
        <v/>
      </c>
    </row>
    <row r="183" customFormat="false" ht="15" hidden="false" customHeight="false" outlineLevel="0" collapsed="false">
      <c r="A183" s="21" t="str">
        <f aca="false">IF($M183="","",178)</f>
        <v/>
      </c>
      <c r="B183" s="13" t="str">
        <f aca="false">IF($M183="","",INDEX('DỮ LIỆU'!$A$3:$A$1052,$M183))</f>
        <v/>
      </c>
      <c r="C183" s="41" t="str">
        <f aca="false">IF($M183="","",IF(INDEX('DỮ LIỆU'!$B$3:$B$1052,$M183)="","",INDEX('DỮ LIỆU'!$B$3:$B$1052,$M183)))</f>
        <v/>
      </c>
      <c r="D183" s="21" t="str">
        <f aca="false">IF($M183="","",IF(INDEX('DỮ LIỆU'!$C$3:$C$1052,$M183)="","",INDEX('DỮ LIỆU'!$C$3:$C$1052,$M183)))</f>
        <v/>
      </c>
      <c r="E183" s="21" t="str">
        <f aca="false">IF($M183="","",IF(INDEX('DỮ LIỆU'!$D$3:$D$1052,$M183)="","",INDEX('DỮ LIỆU'!$D$3:$D$1052,$M183)))</f>
        <v/>
      </c>
      <c r="F183" s="21" t="str">
        <f aca="false">IF($M183="","",IF(INDEX('DỮ LIỆU'!$H$3:$H$1052,$M183)="","",INDEX('DỮ LIỆU'!$H$3:$H$1052,$M183)))</f>
        <v/>
      </c>
      <c r="G183" s="13" t="str">
        <f aca="false">IF($M183="","",N(INDEX('DỮ LIỆU'!$I$3:$I$1052,$M183)))</f>
        <v/>
      </c>
      <c r="H183" s="13" t="str">
        <f aca="false">IF($M183="","",N(INDEX('DỮ LIỆU'!$M$3:$M$1052,$M183)))</f>
        <v/>
      </c>
      <c r="I183" s="13" t="str">
        <f aca="false">IF($M183="","",N(INDEX('DỮ LIỆU'!$N$3:$N$1052,$M183)))</f>
        <v/>
      </c>
      <c r="J183" s="13" t="str">
        <f aca="false">IF($M183="","",N(INDEX('DỮ LIỆU'!$O$3:$O$1052,$M183)))</f>
        <v/>
      </c>
      <c r="K183" s="13" t="str">
        <f aca="true">IF(OR($M183="",$C183=""),"",MAX(0,TODAY()-$C183))</f>
        <v/>
      </c>
      <c r="L183" s="21" t="str">
        <f aca="false">IF($M183="","",IF(INDEX('DỮ LIỆU'!$R$3:$R$1052,$M183)="","",INDEX('DỮ LIỆU'!$R$3:$R$1052,$M183)))</f>
        <v/>
      </c>
      <c r="M183" s="0" t="str">
        <f aca="false">IFERROR(MATCH(178,'DỮ LIỆU'!$T$3:$T$1052,0),"")</f>
        <v/>
      </c>
    </row>
    <row r="184" customFormat="false" ht="15" hidden="false" customHeight="false" outlineLevel="0" collapsed="false">
      <c r="A184" s="21" t="str">
        <f aca="false">IF($M184="","",179)</f>
        <v/>
      </c>
      <c r="B184" s="13" t="str">
        <f aca="false">IF($M184="","",INDEX('DỮ LIỆU'!$A$3:$A$1052,$M184))</f>
        <v/>
      </c>
      <c r="C184" s="41" t="str">
        <f aca="false">IF($M184="","",IF(INDEX('DỮ LIỆU'!$B$3:$B$1052,$M184)="","",INDEX('DỮ LIỆU'!$B$3:$B$1052,$M184)))</f>
        <v/>
      </c>
      <c r="D184" s="21" t="str">
        <f aca="false">IF($M184="","",IF(INDEX('DỮ LIỆU'!$C$3:$C$1052,$M184)="","",INDEX('DỮ LIỆU'!$C$3:$C$1052,$M184)))</f>
        <v/>
      </c>
      <c r="E184" s="21" t="str">
        <f aca="false">IF($M184="","",IF(INDEX('DỮ LIỆU'!$D$3:$D$1052,$M184)="","",INDEX('DỮ LIỆU'!$D$3:$D$1052,$M184)))</f>
        <v/>
      </c>
      <c r="F184" s="21" t="str">
        <f aca="false">IF($M184="","",IF(INDEX('DỮ LIỆU'!$H$3:$H$1052,$M184)="","",INDEX('DỮ LIỆU'!$H$3:$H$1052,$M184)))</f>
        <v/>
      </c>
      <c r="G184" s="13" t="str">
        <f aca="false">IF($M184="","",N(INDEX('DỮ LIỆU'!$I$3:$I$1052,$M184)))</f>
        <v/>
      </c>
      <c r="H184" s="13" t="str">
        <f aca="false">IF($M184="","",N(INDEX('DỮ LIỆU'!$M$3:$M$1052,$M184)))</f>
        <v/>
      </c>
      <c r="I184" s="13" t="str">
        <f aca="false">IF($M184="","",N(INDEX('DỮ LIỆU'!$N$3:$N$1052,$M184)))</f>
        <v/>
      </c>
      <c r="J184" s="13" t="str">
        <f aca="false">IF($M184="","",N(INDEX('DỮ LIỆU'!$O$3:$O$1052,$M184)))</f>
        <v/>
      </c>
      <c r="K184" s="13" t="str">
        <f aca="true">IF(OR($M184="",$C184=""),"",MAX(0,TODAY()-$C184))</f>
        <v/>
      </c>
      <c r="L184" s="21" t="str">
        <f aca="false">IF($M184="","",IF(INDEX('DỮ LIỆU'!$R$3:$R$1052,$M184)="","",INDEX('DỮ LIỆU'!$R$3:$R$1052,$M184)))</f>
        <v/>
      </c>
      <c r="M184" s="0" t="str">
        <f aca="false">IFERROR(MATCH(179,'DỮ LIỆU'!$T$3:$T$1052,0),"")</f>
        <v/>
      </c>
    </row>
    <row r="185" customFormat="false" ht="15" hidden="false" customHeight="false" outlineLevel="0" collapsed="false">
      <c r="A185" s="21" t="str">
        <f aca="false">IF($M185="","",180)</f>
        <v/>
      </c>
      <c r="B185" s="13" t="str">
        <f aca="false">IF($M185="","",INDEX('DỮ LIỆU'!$A$3:$A$1052,$M185))</f>
        <v/>
      </c>
      <c r="C185" s="41" t="str">
        <f aca="false">IF($M185="","",IF(INDEX('DỮ LIỆU'!$B$3:$B$1052,$M185)="","",INDEX('DỮ LIỆU'!$B$3:$B$1052,$M185)))</f>
        <v/>
      </c>
      <c r="D185" s="21" t="str">
        <f aca="false">IF($M185="","",IF(INDEX('DỮ LIỆU'!$C$3:$C$1052,$M185)="","",INDEX('DỮ LIỆU'!$C$3:$C$1052,$M185)))</f>
        <v/>
      </c>
      <c r="E185" s="21" t="str">
        <f aca="false">IF($M185="","",IF(INDEX('DỮ LIỆU'!$D$3:$D$1052,$M185)="","",INDEX('DỮ LIỆU'!$D$3:$D$1052,$M185)))</f>
        <v/>
      </c>
      <c r="F185" s="21" t="str">
        <f aca="false">IF($M185="","",IF(INDEX('DỮ LIỆU'!$H$3:$H$1052,$M185)="","",INDEX('DỮ LIỆU'!$H$3:$H$1052,$M185)))</f>
        <v/>
      </c>
      <c r="G185" s="13" t="str">
        <f aca="false">IF($M185="","",N(INDEX('DỮ LIỆU'!$I$3:$I$1052,$M185)))</f>
        <v/>
      </c>
      <c r="H185" s="13" t="str">
        <f aca="false">IF($M185="","",N(INDEX('DỮ LIỆU'!$M$3:$M$1052,$M185)))</f>
        <v/>
      </c>
      <c r="I185" s="13" t="str">
        <f aca="false">IF($M185="","",N(INDEX('DỮ LIỆU'!$N$3:$N$1052,$M185)))</f>
        <v/>
      </c>
      <c r="J185" s="13" t="str">
        <f aca="false">IF($M185="","",N(INDEX('DỮ LIỆU'!$O$3:$O$1052,$M185)))</f>
        <v/>
      </c>
      <c r="K185" s="13" t="str">
        <f aca="true">IF(OR($M185="",$C185=""),"",MAX(0,TODAY()-$C185))</f>
        <v/>
      </c>
      <c r="L185" s="21" t="str">
        <f aca="false">IF($M185="","",IF(INDEX('DỮ LIỆU'!$R$3:$R$1052,$M185)="","",INDEX('DỮ LIỆU'!$R$3:$R$1052,$M185)))</f>
        <v/>
      </c>
      <c r="M185" s="0" t="str">
        <f aca="false">IFERROR(MATCH(180,'DỮ LIỆU'!$T$3:$T$1052,0),"")</f>
        <v/>
      </c>
    </row>
    <row r="186" customFormat="false" ht="15" hidden="false" customHeight="false" outlineLevel="0" collapsed="false">
      <c r="A186" s="21" t="str">
        <f aca="false">IF($M186="","",181)</f>
        <v/>
      </c>
      <c r="B186" s="13" t="str">
        <f aca="false">IF($M186="","",INDEX('DỮ LIỆU'!$A$3:$A$1052,$M186))</f>
        <v/>
      </c>
      <c r="C186" s="41" t="str">
        <f aca="false">IF($M186="","",IF(INDEX('DỮ LIỆU'!$B$3:$B$1052,$M186)="","",INDEX('DỮ LIỆU'!$B$3:$B$1052,$M186)))</f>
        <v/>
      </c>
      <c r="D186" s="21" t="str">
        <f aca="false">IF($M186="","",IF(INDEX('DỮ LIỆU'!$C$3:$C$1052,$M186)="","",INDEX('DỮ LIỆU'!$C$3:$C$1052,$M186)))</f>
        <v/>
      </c>
      <c r="E186" s="21" t="str">
        <f aca="false">IF($M186="","",IF(INDEX('DỮ LIỆU'!$D$3:$D$1052,$M186)="","",INDEX('DỮ LIỆU'!$D$3:$D$1052,$M186)))</f>
        <v/>
      </c>
      <c r="F186" s="21" t="str">
        <f aca="false">IF($M186="","",IF(INDEX('DỮ LIỆU'!$H$3:$H$1052,$M186)="","",INDEX('DỮ LIỆU'!$H$3:$H$1052,$M186)))</f>
        <v/>
      </c>
      <c r="G186" s="13" t="str">
        <f aca="false">IF($M186="","",N(INDEX('DỮ LIỆU'!$I$3:$I$1052,$M186)))</f>
        <v/>
      </c>
      <c r="H186" s="13" t="str">
        <f aca="false">IF($M186="","",N(INDEX('DỮ LIỆU'!$M$3:$M$1052,$M186)))</f>
        <v/>
      </c>
      <c r="I186" s="13" t="str">
        <f aca="false">IF($M186="","",N(INDEX('DỮ LIỆU'!$N$3:$N$1052,$M186)))</f>
        <v/>
      </c>
      <c r="J186" s="13" t="str">
        <f aca="false">IF($M186="","",N(INDEX('DỮ LIỆU'!$O$3:$O$1052,$M186)))</f>
        <v/>
      </c>
      <c r="K186" s="13" t="str">
        <f aca="true">IF(OR($M186="",$C186=""),"",MAX(0,TODAY()-$C186))</f>
        <v/>
      </c>
      <c r="L186" s="21" t="str">
        <f aca="false">IF($M186="","",IF(INDEX('DỮ LIỆU'!$R$3:$R$1052,$M186)="","",INDEX('DỮ LIỆU'!$R$3:$R$1052,$M186)))</f>
        <v/>
      </c>
      <c r="M186" s="0" t="str">
        <f aca="false">IFERROR(MATCH(181,'DỮ LIỆU'!$T$3:$T$1052,0),"")</f>
        <v/>
      </c>
    </row>
    <row r="187" customFormat="false" ht="15" hidden="false" customHeight="false" outlineLevel="0" collapsed="false">
      <c r="A187" s="21" t="str">
        <f aca="false">IF($M187="","",182)</f>
        <v/>
      </c>
      <c r="B187" s="13" t="str">
        <f aca="false">IF($M187="","",INDEX('DỮ LIỆU'!$A$3:$A$1052,$M187))</f>
        <v/>
      </c>
      <c r="C187" s="41" t="str">
        <f aca="false">IF($M187="","",IF(INDEX('DỮ LIỆU'!$B$3:$B$1052,$M187)="","",INDEX('DỮ LIỆU'!$B$3:$B$1052,$M187)))</f>
        <v/>
      </c>
      <c r="D187" s="21" t="str">
        <f aca="false">IF($M187="","",IF(INDEX('DỮ LIỆU'!$C$3:$C$1052,$M187)="","",INDEX('DỮ LIỆU'!$C$3:$C$1052,$M187)))</f>
        <v/>
      </c>
      <c r="E187" s="21" t="str">
        <f aca="false">IF($M187="","",IF(INDEX('DỮ LIỆU'!$D$3:$D$1052,$M187)="","",INDEX('DỮ LIỆU'!$D$3:$D$1052,$M187)))</f>
        <v/>
      </c>
      <c r="F187" s="21" t="str">
        <f aca="false">IF($M187="","",IF(INDEX('DỮ LIỆU'!$H$3:$H$1052,$M187)="","",INDEX('DỮ LIỆU'!$H$3:$H$1052,$M187)))</f>
        <v/>
      </c>
      <c r="G187" s="13" t="str">
        <f aca="false">IF($M187="","",N(INDEX('DỮ LIỆU'!$I$3:$I$1052,$M187)))</f>
        <v/>
      </c>
      <c r="H187" s="13" t="str">
        <f aca="false">IF($M187="","",N(INDEX('DỮ LIỆU'!$M$3:$M$1052,$M187)))</f>
        <v/>
      </c>
      <c r="I187" s="13" t="str">
        <f aca="false">IF($M187="","",N(INDEX('DỮ LIỆU'!$N$3:$N$1052,$M187)))</f>
        <v/>
      </c>
      <c r="J187" s="13" t="str">
        <f aca="false">IF($M187="","",N(INDEX('DỮ LIỆU'!$O$3:$O$1052,$M187)))</f>
        <v/>
      </c>
      <c r="K187" s="13" t="str">
        <f aca="true">IF(OR($M187="",$C187=""),"",MAX(0,TODAY()-$C187))</f>
        <v/>
      </c>
      <c r="L187" s="21" t="str">
        <f aca="false">IF($M187="","",IF(INDEX('DỮ LIỆU'!$R$3:$R$1052,$M187)="","",INDEX('DỮ LIỆU'!$R$3:$R$1052,$M187)))</f>
        <v/>
      </c>
      <c r="M187" s="0" t="str">
        <f aca="false">IFERROR(MATCH(182,'DỮ LIỆU'!$T$3:$T$1052,0),"")</f>
        <v/>
      </c>
    </row>
    <row r="188" customFormat="false" ht="15" hidden="false" customHeight="false" outlineLevel="0" collapsed="false">
      <c r="A188" s="21" t="str">
        <f aca="false">IF($M188="","",183)</f>
        <v/>
      </c>
      <c r="B188" s="13" t="str">
        <f aca="false">IF($M188="","",INDEX('DỮ LIỆU'!$A$3:$A$1052,$M188))</f>
        <v/>
      </c>
      <c r="C188" s="41" t="str">
        <f aca="false">IF($M188="","",IF(INDEX('DỮ LIỆU'!$B$3:$B$1052,$M188)="","",INDEX('DỮ LIỆU'!$B$3:$B$1052,$M188)))</f>
        <v/>
      </c>
      <c r="D188" s="21" t="str">
        <f aca="false">IF($M188="","",IF(INDEX('DỮ LIỆU'!$C$3:$C$1052,$M188)="","",INDEX('DỮ LIỆU'!$C$3:$C$1052,$M188)))</f>
        <v/>
      </c>
      <c r="E188" s="21" t="str">
        <f aca="false">IF($M188="","",IF(INDEX('DỮ LIỆU'!$D$3:$D$1052,$M188)="","",INDEX('DỮ LIỆU'!$D$3:$D$1052,$M188)))</f>
        <v/>
      </c>
      <c r="F188" s="21" t="str">
        <f aca="false">IF($M188="","",IF(INDEX('DỮ LIỆU'!$H$3:$H$1052,$M188)="","",INDEX('DỮ LIỆU'!$H$3:$H$1052,$M188)))</f>
        <v/>
      </c>
      <c r="G188" s="13" t="str">
        <f aca="false">IF($M188="","",N(INDEX('DỮ LIỆU'!$I$3:$I$1052,$M188)))</f>
        <v/>
      </c>
      <c r="H188" s="13" t="str">
        <f aca="false">IF($M188="","",N(INDEX('DỮ LIỆU'!$M$3:$M$1052,$M188)))</f>
        <v/>
      </c>
      <c r="I188" s="13" t="str">
        <f aca="false">IF($M188="","",N(INDEX('DỮ LIỆU'!$N$3:$N$1052,$M188)))</f>
        <v/>
      </c>
      <c r="J188" s="13" t="str">
        <f aca="false">IF($M188="","",N(INDEX('DỮ LIỆU'!$O$3:$O$1052,$M188)))</f>
        <v/>
      </c>
      <c r="K188" s="13" t="str">
        <f aca="true">IF(OR($M188="",$C188=""),"",MAX(0,TODAY()-$C188))</f>
        <v/>
      </c>
      <c r="L188" s="21" t="str">
        <f aca="false">IF($M188="","",IF(INDEX('DỮ LIỆU'!$R$3:$R$1052,$M188)="","",INDEX('DỮ LIỆU'!$R$3:$R$1052,$M188)))</f>
        <v/>
      </c>
      <c r="M188" s="0" t="str">
        <f aca="false">IFERROR(MATCH(183,'DỮ LIỆU'!$T$3:$T$1052,0),"")</f>
        <v/>
      </c>
    </row>
    <row r="189" customFormat="false" ht="15" hidden="false" customHeight="false" outlineLevel="0" collapsed="false">
      <c r="A189" s="21" t="str">
        <f aca="false">IF($M189="","",184)</f>
        <v/>
      </c>
      <c r="B189" s="13" t="str">
        <f aca="false">IF($M189="","",INDEX('DỮ LIỆU'!$A$3:$A$1052,$M189))</f>
        <v/>
      </c>
      <c r="C189" s="41" t="str">
        <f aca="false">IF($M189="","",IF(INDEX('DỮ LIỆU'!$B$3:$B$1052,$M189)="","",INDEX('DỮ LIỆU'!$B$3:$B$1052,$M189)))</f>
        <v/>
      </c>
      <c r="D189" s="21" t="str">
        <f aca="false">IF($M189="","",IF(INDEX('DỮ LIỆU'!$C$3:$C$1052,$M189)="","",INDEX('DỮ LIỆU'!$C$3:$C$1052,$M189)))</f>
        <v/>
      </c>
      <c r="E189" s="21" t="str">
        <f aca="false">IF($M189="","",IF(INDEX('DỮ LIỆU'!$D$3:$D$1052,$M189)="","",INDEX('DỮ LIỆU'!$D$3:$D$1052,$M189)))</f>
        <v/>
      </c>
      <c r="F189" s="21" t="str">
        <f aca="false">IF($M189="","",IF(INDEX('DỮ LIỆU'!$H$3:$H$1052,$M189)="","",INDEX('DỮ LIỆU'!$H$3:$H$1052,$M189)))</f>
        <v/>
      </c>
      <c r="G189" s="13" t="str">
        <f aca="false">IF($M189="","",N(INDEX('DỮ LIỆU'!$I$3:$I$1052,$M189)))</f>
        <v/>
      </c>
      <c r="H189" s="13" t="str">
        <f aca="false">IF($M189="","",N(INDEX('DỮ LIỆU'!$M$3:$M$1052,$M189)))</f>
        <v/>
      </c>
      <c r="I189" s="13" t="str">
        <f aca="false">IF($M189="","",N(INDEX('DỮ LIỆU'!$N$3:$N$1052,$M189)))</f>
        <v/>
      </c>
      <c r="J189" s="13" t="str">
        <f aca="false">IF($M189="","",N(INDEX('DỮ LIỆU'!$O$3:$O$1052,$M189)))</f>
        <v/>
      </c>
      <c r="K189" s="13" t="str">
        <f aca="true">IF(OR($M189="",$C189=""),"",MAX(0,TODAY()-$C189))</f>
        <v/>
      </c>
      <c r="L189" s="21" t="str">
        <f aca="false">IF($M189="","",IF(INDEX('DỮ LIỆU'!$R$3:$R$1052,$M189)="","",INDEX('DỮ LIỆU'!$R$3:$R$1052,$M189)))</f>
        <v/>
      </c>
      <c r="M189" s="0" t="str">
        <f aca="false">IFERROR(MATCH(184,'DỮ LIỆU'!$T$3:$T$1052,0),"")</f>
        <v/>
      </c>
    </row>
    <row r="190" customFormat="false" ht="15" hidden="false" customHeight="false" outlineLevel="0" collapsed="false">
      <c r="A190" s="21" t="str">
        <f aca="false">IF($M190="","",185)</f>
        <v/>
      </c>
      <c r="B190" s="13" t="str">
        <f aca="false">IF($M190="","",INDEX('DỮ LIỆU'!$A$3:$A$1052,$M190))</f>
        <v/>
      </c>
      <c r="C190" s="41" t="str">
        <f aca="false">IF($M190="","",IF(INDEX('DỮ LIỆU'!$B$3:$B$1052,$M190)="","",INDEX('DỮ LIỆU'!$B$3:$B$1052,$M190)))</f>
        <v/>
      </c>
      <c r="D190" s="21" t="str">
        <f aca="false">IF($M190="","",IF(INDEX('DỮ LIỆU'!$C$3:$C$1052,$M190)="","",INDEX('DỮ LIỆU'!$C$3:$C$1052,$M190)))</f>
        <v/>
      </c>
      <c r="E190" s="21" t="str">
        <f aca="false">IF($M190="","",IF(INDEX('DỮ LIỆU'!$D$3:$D$1052,$M190)="","",INDEX('DỮ LIỆU'!$D$3:$D$1052,$M190)))</f>
        <v/>
      </c>
      <c r="F190" s="21" t="str">
        <f aca="false">IF($M190="","",IF(INDEX('DỮ LIỆU'!$H$3:$H$1052,$M190)="","",INDEX('DỮ LIỆU'!$H$3:$H$1052,$M190)))</f>
        <v/>
      </c>
      <c r="G190" s="13" t="str">
        <f aca="false">IF($M190="","",N(INDEX('DỮ LIỆU'!$I$3:$I$1052,$M190)))</f>
        <v/>
      </c>
      <c r="H190" s="13" t="str">
        <f aca="false">IF($M190="","",N(INDEX('DỮ LIỆU'!$M$3:$M$1052,$M190)))</f>
        <v/>
      </c>
      <c r="I190" s="13" t="str">
        <f aca="false">IF($M190="","",N(INDEX('DỮ LIỆU'!$N$3:$N$1052,$M190)))</f>
        <v/>
      </c>
      <c r="J190" s="13" t="str">
        <f aca="false">IF($M190="","",N(INDEX('DỮ LIỆU'!$O$3:$O$1052,$M190)))</f>
        <v/>
      </c>
      <c r="K190" s="13" t="str">
        <f aca="true">IF(OR($M190="",$C190=""),"",MAX(0,TODAY()-$C190))</f>
        <v/>
      </c>
      <c r="L190" s="21" t="str">
        <f aca="false">IF($M190="","",IF(INDEX('DỮ LIỆU'!$R$3:$R$1052,$M190)="","",INDEX('DỮ LIỆU'!$R$3:$R$1052,$M190)))</f>
        <v/>
      </c>
      <c r="M190" s="0" t="str">
        <f aca="false">IFERROR(MATCH(185,'DỮ LIỆU'!$T$3:$T$1052,0),"")</f>
        <v/>
      </c>
    </row>
    <row r="191" customFormat="false" ht="15" hidden="false" customHeight="false" outlineLevel="0" collapsed="false">
      <c r="A191" s="21" t="str">
        <f aca="false">IF($M191="","",186)</f>
        <v/>
      </c>
      <c r="B191" s="13" t="str">
        <f aca="false">IF($M191="","",INDEX('DỮ LIỆU'!$A$3:$A$1052,$M191))</f>
        <v/>
      </c>
      <c r="C191" s="41" t="str">
        <f aca="false">IF($M191="","",IF(INDEX('DỮ LIỆU'!$B$3:$B$1052,$M191)="","",INDEX('DỮ LIỆU'!$B$3:$B$1052,$M191)))</f>
        <v/>
      </c>
      <c r="D191" s="21" t="str">
        <f aca="false">IF($M191="","",IF(INDEX('DỮ LIỆU'!$C$3:$C$1052,$M191)="","",INDEX('DỮ LIỆU'!$C$3:$C$1052,$M191)))</f>
        <v/>
      </c>
      <c r="E191" s="21" t="str">
        <f aca="false">IF($M191="","",IF(INDEX('DỮ LIỆU'!$D$3:$D$1052,$M191)="","",INDEX('DỮ LIỆU'!$D$3:$D$1052,$M191)))</f>
        <v/>
      </c>
      <c r="F191" s="21" t="str">
        <f aca="false">IF($M191="","",IF(INDEX('DỮ LIỆU'!$H$3:$H$1052,$M191)="","",INDEX('DỮ LIỆU'!$H$3:$H$1052,$M191)))</f>
        <v/>
      </c>
      <c r="G191" s="13" t="str">
        <f aca="false">IF($M191="","",N(INDEX('DỮ LIỆU'!$I$3:$I$1052,$M191)))</f>
        <v/>
      </c>
      <c r="H191" s="13" t="str">
        <f aca="false">IF($M191="","",N(INDEX('DỮ LIỆU'!$M$3:$M$1052,$M191)))</f>
        <v/>
      </c>
      <c r="I191" s="13" t="str">
        <f aca="false">IF($M191="","",N(INDEX('DỮ LIỆU'!$N$3:$N$1052,$M191)))</f>
        <v/>
      </c>
      <c r="J191" s="13" t="str">
        <f aca="false">IF($M191="","",N(INDEX('DỮ LIỆU'!$O$3:$O$1052,$M191)))</f>
        <v/>
      </c>
      <c r="K191" s="13" t="str">
        <f aca="true">IF(OR($M191="",$C191=""),"",MAX(0,TODAY()-$C191))</f>
        <v/>
      </c>
      <c r="L191" s="21" t="str">
        <f aca="false">IF($M191="","",IF(INDEX('DỮ LIỆU'!$R$3:$R$1052,$M191)="","",INDEX('DỮ LIỆU'!$R$3:$R$1052,$M191)))</f>
        <v/>
      </c>
      <c r="M191" s="0" t="str">
        <f aca="false">IFERROR(MATCH(186,'DỮ LIỆU'!$T$3:$T$1052,0),"")</f>
        <v/>
      </c>
    </row>
    <row r="192" customFormat="false" ht="15" hidden="false" customHeight="false" outlineLevel="0" collapsed="false">
      <c r="A192" s="21" t="str">
        <f aca="false">IF($M192="","",187)</f>
        <v/>
      </c>
      <c r="B192" s="13" t="str">
        <f aca="false">IF($M192="","",INDEX('DỮ LIỆU'!$A$3:$A$1052,$M192))</f>
        <v/>
      </c>
      <c r="C192" s="41" t="str">
        <f aca="false">IF($M192="","",IF(INDEX('DỮ LIỆU'!$B$3:$B$1052,$M192)="","",INDEX('DỮ LIỆU'!$B$3:$B$1052,$M192)))</f>
        <v/>
      </c>
      <c r="D192" s="21" t="str">
        <f aca="false">IF($M192="","",IF(INDEX('DỮ LIỆU'!$C$3:$C$1052,$M192)="","",INDEX('DỮ LIỆU'!$C$3:$C$1052,$M192)))</f>
        <v/>
      </c>
      <c r="E192" s="21" t="str">
        <f aca="false">IF($M192="","",IF(INDEX('DỮ LIỆU'!$D$3:$D$1052,$M192)="","",INDEX('DỮ LIỆU'!$D$3:$D$1052,$M192)))</f>
        <v/>
      </c>
      <c r="F192" s="21" t="str">
        <f aca="false">IF($M192="","",IF(INDEX('DỮ LIỆU'!$H$3:$H$1052,$M192)="","",INDEX('DỮ LIỆU'!$H$3:$H$1052,$M192)))</f>
        <v/>
      </c>
      <c r="G192" s="13" t="str">
        <f aca="false">IF($M192="","",N(INDEX('DỮ LIỆU'!$I$3:$I$1052,$M192)))</f>
        <v/>
      </c>
      <c r="H192" s="13" t="str">
        <f aca="false">IF($M192="","",N(INDEX('DỮ LIỆU'!$M$3:$M$1052,$M192)))</f>
        <v/>
      </c>
      <c r="I192" s="13" t="str">
        <f aca="false">IF($M192="","",N(INDEX('DỮ LIỆU'!$N$3:$N$1052,$M192)))</f>
        <v/>
      </c>
      <c r="J192" s="13" t="str">
        <f aca="false">IF($M192="","",N(INDEX('DỮ LIỆU'!$O$3:$O$1052,$M192)))</f>
        <v/>
      </c>
      <c r="K192" s="13" t="str">
        <f aca="true">IF(OR($M192="",$C192=""),"",MAX(0,TODAY()-$C192))</f>
        <v/>
      </c>
      <c r="L192" s="21" t="str">
        <f aca="false">IF($M192="","",IF(INDEX('DỮ LIỆU'!$R$3:$R$1052,$M192)="","",INDEX('DỮ LIỆU'!$R$3:$R$1052,$M192)))</f>
        <v/>
      </c>
      <c r="M192" s="0" t="str">
        <f aca="false">IFERROR(MATCH(187,'DỮ LIỆU'!$T$3:$T$1052,0),"")</f>
        <v/>
      </c>
    </row>
    <row r="193" customFormat="false" ht="15" hidden="false" customHeight="false" outlineLevel="0" collapsed="false">
      <c r="A193" s="21" t="str">
        <f aca="false">IF($M193="","",188)</f>
        <v/>
      </c>
      <c r="B193" s="13" t="str">
        <f aca="false">IF($M193="","",INDEX('DỮ LIỆU'!$A$3:$A$1052,$M193))</f>
        <v/>
      </c>
      <c r="C193" s="41" t="str">
        <f aca="false">IF($M193="","",IF(INDEX('DỮ LIỆU'!$B$3:$B$1052,$M193)="","",INDEX('DỮ LIỆU'!$B$3:$B$1052,$M193)))</f>
        <v/>
      </c>
      <c r="D193" s="21" t="str">
        <f aca="false">IF($M193="","",IF(INDEX('DỮ LIỆU'!$C$3:$C$1052,$M193)="","",INDEX('DỮ LIỆU'!$C$3:$C$1052,$M193)))</f>
        <v/>
      </c>
      <c r="E193" s="21" t="str">
        <f aca="false">IF($M193="","",IF(INDEX('DỮ LIỆU'!$D$3:$D$1052,$M193)="","",INDEX('DỮ LIỆU'!$D$3:$D$1052,$M193)))</f>
        <v/>
      </c>
      <c r="F193" s="21" t="str">
        <f aca="false">IF($M193="","",IF(INDEX('DỮ LIỆU'!$H$3:$H$1052,$M193)="","",INDEX('DỮ LIỆU'!$H$3:$H$1052,$M193)))</f>
        <v/>
      </c>
      <c r="G193" s="13" t="str">
        <f aca="false">IF($M193="","",N(INDEX('DỮ LIỆU'!$I$3:$I$1052,$M193)))</f>
        <v/>
      </c>
      <c r="H193" s="13" t="str">
        <f aca="false">IF($M193="","",N(INDEX('DỮ LIỆU'!$M$3:$M$1052,$M193)))</f>
        <v/>
      </c>
      <c r="I193" s="13" t="str">
        <f aca="false">IF($M193="","",N(INDEX('DỮ LIỆU'!$N$3:$N$1052,$M193)))</f>
        <v/>
      </c>
      <c r="J193" s="13" t="str">
        <f aca="false">IF($M193="","",N(INDEX('DỮ LIỆU'!$O$3:$O$1052,$M193)))</f>
        <v/>
      </c>
      <c r="K193" s="13" t="str">
        <f aca="true">IF(OR($M193="",$C193=""),"",MAX(0,TODAY()-$C193))</f>
        <v/>
      </c>
      <c r="L193" s="21" t="str">
        <f aca="false">IF($M193="","",IF(INDEX('DỮ LIỆU'!$R$3:$R$1052,$M193)="","",INDEX('DỮ LIỆU'!$R$3:$R$1052,$M193)))</f>
        <v/>
      </c>
      <c r="M193" s="0" t="str">
        <f aca="false">IFERROR(MATCH(188,'DỮ LIỆU'!$T$3:$T$1052,0),"")</f>
        <v/>
      </c>
    </row>
    <row r="194" customFormat="false" ht="15" hidden="false" customHeight="false" outlineLevel="0" collapsed="false">
      <c r="A194" s="21" t="str">
        <f aca="false">IF($M194="","",189)</f>
        <v/>
      </c>
      <c r="B194" s="13" t="str">
        <f aca="false">IF($M194="","",INDEX('DỮ LIỆU'!$A$3:$A$1052,$M194))</f>
        <v/>
      </c>
      <c r="C194" s="41" t="str">
        <f aca="false">IF($M194="","",IF(INDEX('DỮ LIỆU'!$B$3:$B$1052,$M194)="","",INDEX('DỮ LIỆU'!$B$3:$B$1052,$M194)))</f>
        <v/>
      </c>
      <c r="D194" s="21" t="str">
        <f aca="false">IF($M194="","",IF(INDEX('DỮ LIỆU'!$C$3:$C$1052,$M194)="","",INDEX('DỮ LIỆU'!$C$3:$C$1052,$M194)))</f>
        <v/>
      </c>
      <c r="E194" s="21" t="str">
        <f aca="false">IF($M194="","",IF(INDEX('DỮ LIỆU'!$D$3:$D$1052,$M194)="","",INDEX('DỮ LIỆU'!$D$3:$D$1052,$M194)))</f>
        <v/>
      </c>
      <c r="F194" s="21" t="str">
        <f aca="false">IF($M194="","",IF(INDEX('DỮ LIỆU'!$H$3:$H$1052,$M194)="","",INDEX('DỮ LIỆU'!$H$3:$H$1052,$M194)))</f>
        <v/>
      </c>
      <c r="G194" s="13" t="str">
        <f aca="false">IF($M194="","",N(INDEX('DỮ LIỆU'!$I$3:$I$1052,$M194)))</f>
        <v/>
      </c>
      <c r="H194" s="13" t="str">
        <f aca="false">IF($M194="","",N(INDEX('DỮ LIỆU'!$M$3:$M$1052,$M194)))</f>
        <v/>
      </c>
      <c r="I194" s="13" t="str">
        <f aca="false">IF($M194="","",N(INDEX('DỮ LIỆU'!$N$3:$N$1052,$M194)))</f>
        <v/>
      </c>
      <c r="J194" s="13" t="str">
        <f aca="false">IF($M194="","",N(INDEX('DỮ LIỆU'!$O$3:$O$1052,$M194)))</f>
        <v/>
      </c>
      <c r="K194" s="13" t="str">
        <f aca="true">IF(OR($M194="",$C194=""),"",MAX(0,TODAY()-$C194))</f>
        <v/>
      </c>
      <c r="L194" s="21" t="str">
        <f aca="false">IF($M194="","",IF(INDEX('DỮ LIỆU'!$R$3:$R$1052,$M194)="","",INDEX('DỮ LIỆU'!$R$3:$R$1052,$M194)))</f>
        <v/>
      </c>
      <c r="M194" s="0" t="str">
        <f aca="false">IFERROR(MATCH(189,'DỮ LIỆU'!$T$3:$T$1052,0),"")</f>
        <v/>
      </c>
    </row>
    <row r="195" customFormat="false" ht="15" hidden="false" customHeight="false" outlineLevel="0" collapsed="false">
      <c r="A195" s="21" t="str">
        <f aca="false">IF($M195="","",190)</f>
        <v/>
      </c>
      <c r="B195" s="13" t="str">
        <f aca="false">IF($M195="","",INDEX('DỮ LIỆU'!$A$3:$A$1052,$M195))</f>
        <v/>
      </c>
      <c r="C195" s="41" t="str">
        <f aca="false">IF($M195="","",IF(INDEX('DỮ LIỆU'!$B$3:$B$1052,$M195)="","",INDEX('DỮ LIỆU'!$B$3:$B$1052,$M195)))</f>
        <v/>
      </c>
      <c r="D195" s="21" t="str">
        <f aca="false">IF($M195="","",IF(INDEX('DỮ LIỆU'!$C$3:$C$1052,$M195)="","",INDEX('DỮ LIỆU'!$C$3:$C$1052,$M195)))</f>
        <v/>
      </c>
      <c r="E195" s="21" t="str">
        <f aca="false">IF($M195="","",IF(INDEX('DỮ LIỆU'!$D$3:$D$1052,$M195)="","",INDEX('DỮ LIỆU'!$D$3:$D$1052,$M195)))</f>
        <v/>
      </c>
      <c r="F195" s="21" t="str">
        <f aca="false">IF($M195="","",IF(INDEX('DỮ LIỆU'!$H$3:$H$1052,$M195)="","",INDEX('DỮ LIỆU'!$H$3:$H$1052,$M195)))</f>
        <v/>
      </c>
      <c r="G195" s="13" t="str">
        <f aca="false">IF($M195="","",N(INDEX('DỮ LIỆU'!$I$3:$I$1052,$M195)))</f>
        <v/>
      </c>
      <c r="H195" s="13" t="str">
        <f aca="false">IF($M195="","",N(INDEX('DỮ LIỆU'!$M$3:$M$1052,$M195)))</f>
        <v/>
      </c>
      <c r="I195" s="13" t="str">
        <f aca="false">IF($M195="","",N(INDEX('DỮ LIỆU'!$N$3:$N$1052,$M195)))</f>
        <v/>
      </c>
      <c r="J195" s="13" t="str">
        <f aca="false">IF($M195="","",N(INDEX('DỮ LIỆU'!$O$3:$O$1052,$M195)))</f>
        <v/>
      </c>
      <c r="K195" s="13" t="str">
        <f aca="true">IF(OR($M195="",$C195=""),"",MAX(0,TODAY()-$C195))</f>
        <v/>
      </c>
      <c r="L195" s="21" t="str">
        <f aca="false">IF($M195="","",IF(INDEX('DỮ LIỆU'!$R$3:$R$1052,$M195)="","",INDEX('DỮ LIỆU'!$R$3:$R$1052,$M195)))</f>
        <v/>
      </c>
      <c r="M195" s="0" t="str">
        <f aca="false">IFERROR(MATCH(190,'DỮ LIỆU'!$T$3:$T$1052,0),"")</f>
        <v/>
      </c>
    </row>
    <row r="196" customFormat="false" ht="15" hidden="false" customHeight="false" outlineLevel="0" collapsed="false">
      <c r="A196" s="21" t="str">
        <f aca="false">IF($M196="","",191)</f>
        <v/>
      </c>
      <c r="B196" s="13" t="str">
        <f aca="false">IF($M196="","",INDEX('DỮ LIỆU'!$A$3:$A$1052,$M196))</f>
        <v/>
      </c>
      <c r="C196" s="41" t="str">
        <f aca="false">IF($M196="","",IF(INDEX('DỮ LIỆU'!$B$3:$B$1052,$M196)="","",INDEX('DỮ LIỆU'!$B$3:$B$1052,$M196)))</f>
        <v/>
      </c>
      <c r="D196" s="21" t="str">
        <f aca="false">IF($M196="","",IF(INDEX('DỮ LIỆU'!$C$3:$C$1052,$M196)="","",INDEX('DỮ LIỆU'!$C$3:$C$1052,$M196)))</f>
        <v/>
      </c>
      <c r="E196" s="21" t="str">
        <f aca="false">IF($M196="","",IF(INDEX('DỮ LIỆU'!$D$3:$D$1052,$M196)="","",INDEX('DỮ LIỆU'!$D$3:$D$1052,$M196)))</f>
        <v/>
      </c>
      <c r="F196" s="21" t="str">
        <f aca="false">IF($M196="","",IF(INDEX('DỮ LIỆU'!$H$3:$H$1052,$M196)="","",INDEX('DỮ LIỆU'!$H$3:$H$1052,$M196)))</f>
        <v/>
      </c>
      <c r="G196" s="13" t="str">
        <f aca="false">IF($M196="","",N(INDEX('DỮ LIỆU'!$I$3:$I$1052,$M196)))</f>
        <v/>
      </c>
      <c r="H196" s="13" t="str">
        <f aca="false">IF($M196="","",N(INDEX('DỮ LIỆU'!$M$3:$M$1052,$M196)))</f>
        <v/>
      </c>
      <c r="I196" s="13" t="str">
        <f aca="false">IF($M196="","",N(INDEX('DỮ LIỆU'!$N$3:$N$1052,$M196)))</f>
        <v/>
      </c>
      <c r="J196" s="13" t="str">
        <f aca="false">IF($M196="","",N(INDEX('DỮ LIỆU'!$O$3:$O$1052,$M196)))</f>
        <v/>
      </c>
      <c r="K196" s="13" t="str">
        <f aca="true">IF(OR($M196="",$C196=""),"",MAX(0,TODAY()-$C196))</f>
        <v/>
      </c>
      <c r="L196" s="21" t="str">
        <f aca="false">IF($M196="","",IF(INDEX('DỮ LIỆU'!$R$3:$R$1052,$M196)="","",INDEX('DỮ LIỆU'!$R$3:$R$1052,$M196)))</f>
        <v/>
      </c>
      <c r="M196" s="0" t="str">
        <f aca="false">IFERROR(MATCH(191,'DỮ LIỆU'!$T$3:$T$1052,0),"")</f>
        <v/>
      </c>
    </row>
    <row r="197" customFormat="false" ht="15" hidden="false" customHeight="false" outlineLevel="0" collapsed="false">
      <c r="A197" s="21" t="str">
        <f aca="false">IF($M197="","",192)</f>
        <v/>
      </c>
      <c r="B197" s="13" t="str">
        <f aca="false">IF($M197="","",INDEX('DỮ LIỆU'!$A$3:$A$1052,$M197))</f>
        <v/>
      </c>
      <c r="C197" s="41" t="str">
        <f aca="false">IF($M197="","",IF(INDEX('DỮ LIỆU'!$B$3:$B$1052,$M197)="","",INDEX('DỮ LIỆU'!$B$3:$B$1052,$M197)))</f>
        <v/>
      </c>
      <c r="D197" s="21" t="str">
        <f aca="false">IF($M197="","",IF(INDEX('DỮ LIỆU'!$C$3:$C$1052,$M197)="","",INDEX('DỮ LIỆU'!$C$3:$C$1052,$M197)))</f>
        <v/>
      </c>
      <c r="E197" s="21" t="str">
        <f aca="false">IF($M197="","",IF(INDEX('DỮ LIỆU'!$D$3:$D$1052,$M197)="","",INDEX('DỮ LIỆU'!$D$3:$D$1052,$M197)))</f>
        <v/>
      </c>
      <c r="F197" s="21" t="str">
        <f aca="false">IF($M197="","",IF(INDEX('DỮ LIỆU'!$H$3:$H$1052,$M197)="","",INDEX('DỮ LIỆU'!$H$3:$H$1052,$M197)))</f>
        <v/>
      </c>
      <c r="G197" s="13" t="str">
        <f aca="false">IF($M197="","",N(INDEX('DỮ LIỆU'!$I$3:$I$1052,$M197)))</f>
        <v/>
      </c>
      <c r="H197" s="13" t="str">
        <f aca="false">IF($M197="","",N(INDEX('DỮ LIỆU'!$M$3:$M$1052,$M197)))</f>
        <v/>
      </c>
      <c r="I197" s="13" t="str">
        <f aca="false">IF($M197="","",N(INDEX('DỮ LIỆU'!$N$3:$N$1052,$M197)))</f>
        <v/>
      </c>
      <c r="J197" s="13" t="str">
        <f aca="false">IF($M197="","",N(INDEX('DỮ LIỆU'!$O$3:$O$1052,$M197)))</f>
        <v/>
      </c>
      <c r="K197" s="13" t="str">
        <f aca="true">IF(OR($M197="",$C197=""),"",MAX(0,TODAY()-$C197))</f>
        <v/>
      </c>
      <c r="L197" s="21" t="str">
        <f aca="false">IF($M197="","",IF(INDEX('DỮ LIỆU'!$R$3:$R$1052,$M197)="","",INDEX('DỮ LIỆU'!$R$3:$R$1052,$M197)))</f>
        <v/>
      </c>
      <c r="M197" s="0" t="str">
        <f aca="false">IFERROR(MATCH(192,'DỮ LIỆU'!$T$3:$T$1052,0),"")</f>
        <v/>
      </c>
    </row>
    <row r="198" customFormat="false" ht="15" hidden="false" customHeight="false" outlineLevel="0" collapsed="false">
      <c r="A198" s="21" t="str">
        <f aca="false">IF($M198="","",193)</f>
        <v/>
      </c>
      <c r="B198" s="13" t="str">
        <f aca="false">IF($M198="","",INDEX('DỮ LIỆU'!$A$3:$A$1052,$M198))</f>
        <v/>
      </c>
      <c r="C198" s="41" t="str">
        <f aca="false">IF($M198="","",IF(INDEX('DỮ LIỆU'!$B$3:$B$1052,$M198)="","",INDEX('DỮ LIỆU'!$B$3:$B$1052,$M198)))</f>
        <v/>
      </c>
      <c r="D198" s="21" t="str">
        <f aca="false">IF($M198="","",IF(INDEX('DỮ LIỆU'!$C$3:$C$1052,$M198)="","",INDEX('DỮ LIỆU'!$C$3:$C$1052,$M198)))</f>
        <v/>
      </c>
      <c r="E198" s="21" t="str">
        <f aca="false">IF($M198="","",IF(INDEX('DỮ LIỆU'!$D$3:$D$1052,$M198)="","",INDEX('DỮ LIỆU'!$D$3:$D$1052,$M198)))</f>
        <v/>
      </c>
      <c r="F198" s="21" t="str">
        <f aca="false">IF($M198="","",IF(INDEX('DỮ LIỆU'!$H$3:$H$1052,$M198)="","",INDEX('DỮ LIỆU'!$H$3:$H$1052,$M198)))</f>
        <v/>
      </c>
      <c r="G198" s="13" t="str">
        <f aca="false">IF($M198="","",N(INDEX('DỮ LIỆU'!$I$3:$I$1052,$M198)))</f>
        <v/>
      </c>
      <c r="H198" s="13" t="str">
        <f aca="false">IF($M198="","",N(INDEX('DỮ LIỆU'!$M$3:$M$1052,$M198)))</f>
        <v/>
      </c>
      <c r="I198" s="13" t="str">
        <f aca="false">IF($M198="","",N(INDEX('DỮ LIỆU'!$N$3:$N$1052,$M198)))</f>
        <v/>
      </c>
      <c r="J198" s="13" t="str">
        <f aca="false">IF($M198="","",N(INDEX('DỮ LIỆU'!$O$3:$O$1052,$M198)))</f>
        <v/>
      </c>
      <c r="K198" s="13" t="str">
        <f aca="true">IF(OR($M198="",$C198=""),"",MAX(0,TODAY()-$C198))</f>
        <v/>
      </c>
      <c r="L198" s="21" t="str">
        <f aca="false">IF($M198="","",IF(INDEX('DỮ LIỆU'!$R$3:$R$1052,$M198)="","",INDEX('DỮ LIỆU'!$R$3:$R$1052,$M198)))</f>
        <v/>
      </c>
      <c r="M198" s="0" t="str">
        <f aca="false">IFERROR(MATCH(193,'DỮ LIỆU'!$T$3:$T$1052,0),"")</f>
        <v/>
      </c>
    </row>
    <row r="199" customFormat="false" ht="15" hidden="false" customHeight="false" outlineLevel="0" collapsed="false">
      <c r="A199" s="21" t="str">
        <f aca="false">IF($M199="","",194)</f>
        <v/>
      </c>
      <c r="B199" s="13" t="str">
        <f aca="false">IF($M199="","",INDEX('DỮ LIỆU'!$A$3:$A$1052,$M199))</f>
        <v/>
      </c>
      <c r="C199" s="41" t="str">
        <f aca="false">IF($M199="","",IF(INDEX('DỮ LIỆU'!$B$3:$B$1052,$M199)="","",INDEX('DỮ LIỆU'!$B$3:$B$1052,$M199)))</f>
        <v/>
      </c>
      <c r="D199" s="21" t="str">
        <f aca="false">IF($M199="","",IF(INDEX('DỮ LIỆU'!$C$3:$C$1052,$M199)="","",INDEX('DỮ LIỆU'!$C$3:$C$1052,$M199)))</f>
        <v/>
      </c>
      <c r="E199" s="21" t="str">
        <f aca="false">IF($M199="","",IF(INDEX('DỮ LIỆU'!$D$3:$D$1052,$M199)="","",INDEX('DỮ LIỆU'!$D$3:$D$1052,$M199)))</f>
        <v/>
      </c>
      <c r="F199" s="21" t="str">
        <f aca="false">IF($M199="","",IF(INDEX('DỮ LIỆU'!$H$3:$H$1052,$M199)="","",INDEX('DỮ LIỆU'!$H$3:$H$1052,$M199)))</f>
        <v/>
      </c>
      <c r="G199" s="13" t="str">
        <f aca="false">IF($M199="","",N(INDEX('DỮ LIỆU'!$I$3:$I$1052,$M199)))</f>
        <v/>
      </c>
      <c r="H199" s="13" t="str">
        <f aca="false">IF($M199="","",N(INDEX('DỮ LIỆU'!$M$3:$M$1052,$M199)))</f>
        <v/>
      </c>
      <c r="I199" s="13" t="str">
        <f aca="false">IF($M199="","",N(INDEX('DỮ LIỆU'!$N$3:$N$1052,$M199)))</f>
        <v/>
      </c>
      <c r="J199" s="13" t="str">
        <f aca="false">IF($M199="","",N(INDEX('DỮ LIỆU'!$O$3:$O$1052,$M199)))</f>
        <v/>
      </c>
      <c r="K199" s="13" t="str">
        <f aca="true">IF(OR($M199="",$C199=""),"",MAX(0,TODAY()-$C199))</f>
        <v/>
      </c>
      <c r="L199" s="21" t="str">
        <f aca="false">IF($M199="","",IF(INDEX('DỮ LIỆU'!$R$3:$R$1052,$M199)="","",INDEX('DỮ LIỆU'!$R$3:$R$1052,$M199)))</f>
        <v/>
      </c>
      <c r="M199" s="0" t="str">
        <f aca="false">IFERROR(MATCH(194,'DỮ LIỆU'!$T$3:$T$1052,0),"")</f>
        <v/>
      </c>
    </row>
    <row r="200" customFormat="false" ht="15" hidden="false" customHeight="false" outlineLevel="0" collapsed="false">
      <c r="A200" s="21" t="str">
        <f aca="false">IF($M200="","",195)</f>
        <v/>
      </c>
      <c r="B200" s="13" t="str">
        <f aca="false">IF($M200="","",INDEX('DỮ LIỆU'!$A$3:$A$1052,$M200))</f>
        <v/>
      </c>
      <c r="C200" s="41" t="str">
        <f aca="false">IF($M200="","",IF(INDEX('DỮ LIỆU'!$B$3:$B$1052,$M200)="","",INDEX('DỮ LIỆU'!$B$3:$B$1052,$M200)))</f>
        <v/>
      </c>
      <c r="D200" s="21" t="str">
        <f aca="false">IF($M200="","",IF(INDEX('DỮ LIỆU'!$C$3:$C$1052,$M200)="","",INDEX('DỮ LIỆU'!$C$3:$C$1052,$M200)))</f>
        <v/>
      </c>
      <c r="E200" s="21" t="str">
        <f aca="false">IF($M200="","",IF(INDEX('DỮ LIỆU'!$D$3:$D$1052,$M200)="","",INDEX('DỮ LIỆU'!$D$3:$D$1052,$M200)))</f>
        <v/>
      </c>
      <c r="F200" s="21" t="str">
        <f aca="false">IF($M200="","",IF(INDEX('DỮ LIỆU'!$H$3:$H$1052,$M200)="","",INDEX('DỮ LIỆU'!$H$3:$H$1052,$M200)))</f>
        <v/>
      </c>
      <c r="G200" s="13" t="str">
        <f aca="false">IF($M200="","",N(INDEX('DỮ LIỆU'!$I$3:$I$1052,$M200)))</f>
        <v/>
      </c>
      <c r="H200" s="13" t="str">
        <f aca="false">IF($M200="","",N(INDEX('DỮ LIỆU'!$M$3:$M$1052,$M200)))</f>
        <v/>
      </c>
      <c r="I200" s="13" t="str">
        <f aca="false">IF($M200="","",N(INDEX('DỮ LIỆU'!$N$3:$N$1052,$M200)))</f>
        <v/>
      </c>
      <c r="J200" s="13" t="str">
        <f aca="false">IF($M200="","",N(INDEX('DỮ LIỆU'!$O$3:$O$1052,$M200)))</f>
        <v/>
      </c>
      <c r="K200" s="13" t="str">
        <f aca="true">IF(OR($M200="",$C200=""),"",MAX(0,TODAY()-$C200))</f>
        <v/>
      </c>
      <c r="L200" s="21" t="str">
        <f aca="false">IF($M200="","",IF(INDEX('DỮ LIỆU'!$R$3:$R$1052,$M200)="","",INDEX('DỮ LIỆU'!$R$3:$R$1052,$M200)))</f>
        <v/>
      </c>
      <c r="M200" s="0" t="str">
        <f aca="false">IFERROR(MATCH(195,'DỮ LIỆU'!$T$3:$T$1052,0),"")</f>
        <v/>
      </c>
    </row>
    <row r="201" customFormat="false" ht="15" hidden="false" customHeight="false" outlineLevel="0" collapsed="false">
      <c r="A201" s="21" t="str">
        <f aca="false">IF($M201="","",196)</f>
        <v/>
      </c>
      <c r="B201" s="13" t="str">
        <f aca="false">IF($M201="","",INDEX('DỮ LIỆU'!$A$3:$A$1052,$M201))</f>
        <v/>
      </c>
      <c r="C201" s="41" t="str">
        <f aca="false">IF($M201="","",IF(INDEX('DỮ LIỆU'!$B$3:$B$1052,$M201)="","",INDEX('DỮ LIỆU'!$B$3:$B$1052,$M201)))</f>
        <v/>
      </c>
      <c r="D201" s="21" t="str">
        <f aca="false">IF($M201="","",IF(INDEX('DỮ LIỆU'!$C$3:$C$1052,$M201)="","",INDEX('DỮ LIỆU'!$C$3:$C$1052,$M201)))</f>
        <v/>
      </c>
      <c r="E201" s="21" t="str">
        <f aca="false">IF($M201="","",IF(INDEX('DỮ LIỆU'!$D$3:$D$1052,$M201)="","",INDEX('DỮ LIỆU'!$D$3:$D$1052,$M201)))</f>
        <v/>
      </c>
      <c r="F201" s="21" t="str">
        <f aca="false">IF($M201="","",IF(INDEX('DỮ LIỆU'!$H$3:$H$1052,$M201)="","",INDEX('DỮ LIỆU'!$H$3:$H$1052,$M201)))</f>
        <v/>
      </c>
      <c r="G201" s="13" t="str">
        <f aca="false">IF($M201="","",N(INDEX('DỮ LIỆU'!$I$3:$I$1052,$M201)))</f>
        <v/>
      </c>
      <c r="H201" s="13" t="str">
        <f aca="false">IF($M201="","",N(INDEX('DỮ LIỆU'!$M$3:$M$1052,$M201)))</f>
        <v/>
      </c>
      <c r="I201" s="13" t="str">
        <f aca="false">IF($M201="","",N(INDEX('DỮ LIỆU'!$N$3:$N$1052,$M201)))</f>
        <v/>
      </c>
      <c r="J201" s="13" t="str">
        <f aca="false">IF($M201="","",N(INDEX('DỮ LIỆU'!$O$3:$O$1052,$M201)))</f>
        <v/>
      </c>
      <c r="K201" s="13" t="str">
        <f aca="true">IF(OR($M201="",$C201=""),"",MAX(0,TODAY()-$C201))</f>
        <v/>
      </c>
      <c r="L201" s="21" t="str">
        <f aca="false">IF($M201="","",IF(INDEX('DỮ LIỆU'!$R$3:$R$1052,$M201)="","",INDEX('DỮ LIỆU'!$R$3:$R$1052,$M201)))</f>
        <v/>
      </c>
      <c r="M201" s="0" t="str">
        <f aca="false">IFERROR(MATCH(196,'DỮ LIỆU'!$T$3:$T$1052,0),"")</f>
        <v/>
      </c>
    </row>
    <row r="202" customFormat="false" ht="15" hidden="false" customHeight="false" outlineLevel="0" collapsed="false">
      <c r="A202" s="21" t="str">
        <f aca="false">IF($M202="","",197)</f>
        <v/>
      </c>
      <c r="B202" s="13" t="str">
        <f aca="false">IF($M202="","",INDEX('DỮ LIỆU'!$A$3:$A$1052,$M202))</f>
        <v/>
      </c>
      <c r="C202" s="41" t="str">
        <f aca="false">IF($M202="","",IF(INDEX('DỮ LIỆU'!$B$3:$B$1052,$M202)="","",INDEX('DỮ LIỆU'!$B$3:$B$1052,$M202)))</f>
        <v/>
      </c>
      <c r="D202" s="21" t="str">
        <f aca="false">IF($M202="","",IF(INDEX('DỮ LIỆU'!$C$3:$C$1052,$M202)="","",INDEX('DỮ LIỆU'!$C$3:$C$1052,$M202)))</f>
        <v/>
      </c>
      <c r="E202" s="21" t="str">
        <f aca="false">IF($M202="","",IF(INDEX('DỮ LIỆU'!$D$3:$D$1052,$M202)="","",INDEX('DỮ LIỆU'!$D$3:$D$1052,$M202)))</f>
        <v/>
      </c>
      <c r="F202" s="21" t="str">
        <f aca="false">IF($M202="","",IF(INDEX('DỮ LIỆU'!$H$3:$H$1052,$M202)="","",INDEX('DỮ LIỆU'!$H$3:$H$1052,$M202)))</f>
        <v/>
      </c>
      <c r="G202" s="13" t="str">
        <f aca="false">IF($M202="","",N(INDEX('DỮ LIỆU'!$I$3:$I$1052,$M202)))</f>
        <v/>
      </c>
      <c r="H202" s="13" t="str">
        <f aca="false">IF($M202="","",N(INDEX('DỮ LIỆU'!$M$3:$M$1052,$M202)))</f>
        <v/>
      </c>
      <c r="I202" s="13" t="str">
        <f aca="false">IF($M202="","",N(INDEX('DỮ LIỆU'!$N$3:$N$1052,$M202)))</f>
        <v/>
      </c>
      <c r="J202" s="13" t="str">
        <f aca="false">IF($M202="","",N(INDEX('DỮ LIỆU'!$O$3:$O$1052,$M202)))</f>
        <v/>
      </c>
      <c r="K202" s="13" t="str">
        <f aca="true">IF(OR($M202="",$C202=""),"",MAX(0,TODAY()-$C202))</f>
        <v/>
      </c>
      <c r="L202" s="21" t="str">
        <f aca="false">IF($M202="","",IF(INDEX('DỮ LIỆU'!$R$3:$R$1052,$M202)="","",INDEX('DỮ LIỆU'!$R$3:$R$1052,$M202)))</f>
        <v/>
      </c>
      <c r="M202" s="0" t="str">
        <f aca="false">IFERROR(MATCH(197,'DỮ LIỆU'!$T$3:$T$1052,0),"")</f>
        <v/>
      </c>
    </row>
    <row r="203" customFormat="false" ht="15" hidden="false" customHeight="false" outlineLevel="0" collapsed="false">
      <c r="A203" s="21" t="str">
        <f aca="false">IF($M203="","",198)</f>
        <v/>
      </c>
      <c r="B203" s="13" t="str">
        <f aca="false">IF($M203="","",INDEX('DỮ LIỆU'!$A$3:$A$1052,$M203))</f>
        <v/>
      </c>
      <c r="C203" s="41" t="str">
        <f aca="false">IF($M203="","",IF(INDEX('DỮ LIỆU'!$B$3:$B$1052,$M203)="","",INDEX('DỮ LIỆU'!$B$3:$B$1052,$M203)))</f>
        <v/>
      </c>
      <c r="D203" s="21" t="str">
        <f aca="false">IF($M203="","",IF(INDEX('DỮ LIỆU'!$C$3:$C$1052,$M203)="","",INDEX('DỮ LIỆU'!$C$3:$C$1052,$M203)))</f>
        <v/>
      </c>
      <c r="E203" s="21" t="str">
        <f aca="false">IF($M203="","",IF(INDEX('DỮ LIỆU'!$D$3:$D$1052,$M203)="","",INDEX('DỮ LIỆU'!$D$3:$D$1052,$M203)))</f>
        <v/>
      </c>
      <c r="F203" s="21" t="str">
        <f aca="false">IF($M203="","",IF(INDEX('DỮ LIỆU'!$H$3:$H$1052,$M203)="","",INDEX('DỮ LIỆU'!$H$3:$H$1052,$M203)))</f>
        <v/>
      </c>
      <c r="G203" s="13" t="str">
        <f aca="false">IF($M203="","",N(INDEX('DỮ LIỆU'!$I$3:$I$1052,$M203)))</f>
        <v/>
      </c>
      <c r="H203" s="13" t="str">
        <f aca="false">IF($M203="","",N(INDEX('DỮ LIỆU'!$M$3:$M$1052,$M203)))</f>
        <v/>
      </c>
      <c r="I203" s="13" t="str">
        <f aca="false">IF($M203="","",N(INDEX('DỮ LIỆU'!$N$3:$N$1052,$M203)))</f>
        <v/>
      </c>
      <c r="J203" s="13" t="str">
        <f aca="false">IF($M203="","",N(INDEX('DỮ LIỆU'!$O$3:$O$1052,$M203)))</f>
        <v/>
      </c>
      <c r="K203" s="13" t="str">
        <f aca="true">IF(OR($M203="",$C203=""),"",MAX(0,TODAY()-$C203))</f>
        <v/>
      </c>
      <c r="L203" s="21" t="str">
        <f aca="false">IF($M203="","",IF(INDEX('DỮ LIỆU'!$R$3:$R$1052,$M203)="","",INDEX('DỮ LIỆU'!$R$3:$R$1052,$M203)))</f>
        <v/>
      </c>
      <c r="M203" s="0" t="str">
        <f aca="false">IFERROR(MATCH(198,'DỮ LIỆU'!$T$3:$T$1052,0),"")</f>
        <v/>
      </c>
    </row>
    <row r="204" customFormat="false" ht="15" hidden="false" customHeight="false" outlineLevel="0" collapsed="false">
      <c r="A204" s="21" t="str">
        <f aca="false">IF($M204="","",199)</f>
        <v/>
      </c>
      <c r="B204" s="13" t="str">
        <f aca="false">IF($M204="","",INDEX('DỮ LIỆU'!$A$3:$A$1052,$M204))</f>
        <v/>
      </c>
      <c r="C204" s="41" t="str">
        <f aca="false">IF($M204="","",IF(INDEX('DỮ LIỆU'!$B$3:$B$1052,$M204)="","",INDEX('DỮ LIỆU'!$B$3:$B$1052,$M204)))</f>
        <v/>
      </c>
      <c r="D204" s="21" t="str">
        <f aca="false">IF($M204="","",IF(INDEX('DỮ LIỆU'!$C$3:$C$1052,$M204)="","",INDEX('DỮ LIỆU'!$C$3:$C$1052,$M204)))</f>
        <v/>
      </c>
      <c r="E204" s="21" t="str">
        <f aca="false">IF($M204="","",IF(INDEX('DỮ LIỆU'!$D$3:$D$1052,$M204)="","",INDEX('DỮ LIỆU'!$D$3:$D$1052,$M204)))</f>
        <v/>
      </c>
      <c r="F204" s="21" t="str">
        <f aca="false">IF($M204="","",IF(INDEX('DỮ LIỆU'!$H$3:$H$1052,$M204)="","",INDEX('DỮ LIỆU'!$H$3:$H$1052,$M204)))</f>
        <v/>
      </c>
      <c r="G204" s="13" t="str">
        <f aca="false">IF($M204="","",N(INDEX('DỮ LIỆU'!$I$3:$I$1052,$M204)))</f>
        <v/>
      </c>
      <c r="H204" s="13" t="str">
        <f aca="false">IF($M204="","",N(INDEX('DỮ LIỆU'!$M$3:$M$1052,$M204)))</f>
        <v/>
      </c>
      <c r="I204" s="13" t="str">
        <f aca="false">IF($M204="","",N(INDEX('DỮ LIỆU'!$N$3:$N$1052,$M204)))</f>
        <v/>
      </c>
      <c r="J204" s="13" t="str">
        <f aca="false">IF($M204="","",N(INDEX('DỮ LIỆU'!$O$3:$O$1052,$M204)))</f>
        <v/>
      </c>
      <c r="K204" s="13" t="str">
        <f aca="true">IF(OR($M204="",$C204=""),"",MAX(0,TODAY()-$C204))</f>
        <v/>
      </c>
      <c r="L204" s="21" t="str">
        <f aca="false">IF($M204="","",IF(INDEX('DỮ LIỆU'!$R$3:$R$1052,$M204)="","",INDEX('DỮ LIỆU'!$R$3:$R$1052,$M204)))</f>
        <v/>
      </c>
      <c r="M204" s="0" t="str">
        <f aca="false">IFERROR(MATCH(199,'DỮ LIỆU'!$T$3:$T$1052,0),"")</f>
        <v/>
      </c>
    </row>
    <row r="205" customFormat="false" ht="15" hidden="false" customHeight="false" outlineLevel="0" collapsed="false">
      <c r="A205" s="21" t="str">
        <f aca="false">IF($M205="","",200)</f>
        <v/>
      </c>
      <c r="B205" s="13" t="str">
        <f aca="false">IF($M205="","",INDEX('DỮ LIỆU'!$A$3:$A$1052,$M205))</f>
        <v/>
      </c>
      <c r="C205" s="41" t="str">
        <f aca="false">IF($M205="","",IF(INDEX('DỮ LIỆU'!$B$3:$B$1052,$M205)="","",INDEX('DỮ LIỆU'!$B$3:$B$1052,$M205)))</f>
        <v/>
      </c>
      <c r="D205" s="21" t="str">
        <f aca="false">IF($M205="","",IF(INDEX('DỮ LIỆU'!$C$3:$C$1052,$M205)="","",INDEX('DỮ LIỆU'!$C$3:$C$1052,$M205)))</f>
        <v/>
      </c>
      <c r="E205" s="21" t="str">
        <f aca="false">IF($M205="","",IF(INDEX('DỮ LIỆU'!$D$3:$D$1052,$M205)="","",INDEX('DỮ LIỆU'!$D$3:$D$1052,$M205)))</f>
        <v/>
      </c>
      <c r="F205" s="21" t="str">
        <f aca="false">IF($M205="","",IF(INDEX('DỮ LIỆU'!$H$3:$H$1052,$M205)="","",INDEX('DỮ LIỆU'!$H$3:$H$1052,$M205)))</f>
        <v/>
      </c>
      <c r="G205" s="13" t="str">
        <f aca="false">IF($M205="","",N(INDEX('DỮ LIỆU'!$I$3:$I$1052,$M205)))</f>
        <v/>
      </c>
      <c r="H205" s="13" t="str">
        <f aca="false">IF($M205="","",N(INDEX('DỮ LIỆU'!$M$3:$M$1052,$M205)))</f>
        <v/>
      </c>
      <c r="I205" s="13" t="str">
        <f aca="false">IF($M205="","",N(INDEX('DỮ LIỆU'!$N$3:$N$1052,$M205)))</f>
        <v/>
      </c>
      <c r="J205" s="13" t="str">
        <f aca="false">IF($M205="","",N(INDEX('DỮ LIỆU'!$O$3:$O$1052,$M205)))</f>
        <v/>
      </c>
      <c r="K205" s="13" t="str">
        <f aca="true">IF(OR($M205="",$C205=""),"",MAX(0,TODAY()-$C205))</f>
        <v/>
      </c>
      <c r="L205" s="21" t="str">
        <f aca="false">IF($M205="","",IF(INDEX('DỮ LIỆU'!$R$3:$R$1052,$M205)="","",INDEX('DỮ LIỆU'!$R$3:$R$1052,$M205)))</f>
        <v/>
      </c>
      <c r="M205" s="0" t="str">
        <f aca="false">IFERROR(MATCH(200,'DỮ LIỆU'!$T$3:$T$1052,0),"")</f>
        <v/>
      </c>
    </row>
    <row r="206" customFormat="false" ht="15" hidden="false" customHeight="false" outlineLevel="0" collapsed="false">
      <c r="A206" s="21" t="str">
        <f aca="false">IF($M206="","",201)</f>
        <v/>
      </c>
      <c r="B206" s="13" t="str">
        <f aca="false">IF($M206="","",INDEX('DỮ LIỆU'!$A$3:$A$1052,$M206))</f>
        <v/>
      </c>
      <c r="C206" s="41" t="str">
        <f aca="false">IF($M206="","",IF(INDEX('DỮ LIỆU'!$B$3:$B$1052,$M206)="","",INDEX('DỮ LIỆU'!$B$3:$B$1052,$M206)))</f>
        <v/>
      </c>
      <c r="D206" s="21" t="str">
        <f aca="false">IF($M206="","",IF(INDEX('DỮ LIỆU'!$C$3:$C$1052,$M206)="","",INDEX('DỮ LIỆU'!$C$3:$C$1052,$M206)))</f>
        <v/>
      </c>
      <c r="E206" s="21" t="str">
        <f aca="false">IF($M206="","",IF(INDEX('DỮ LIỆU'!$D$3:$D$1052,$M206)="","",INDEX('DỮ LIỆU'!$D$3:$D$1052,$M206)))</f>
        <v/>
      </c>
      <c r="F206" s="21" t="str">
        <f aca="false">IF($M206="","",IF(INDEX('DỮ LIỆU'!$H$3:$H$1052,$M206)="","",INDEX('DỮ LIỆU'!$H$3:$H$1052,$M206)))</f>
        <v/>
      </c>
      <c r="G206" s="13" t="str">
        <f aca="false">IF($M206="","",N(INDEX('DỮ LIỆU'!$I$3:$I$1052,$M206)))</f>
        <v/>
      </c>
      <c r="H206" s="13" t="str">
        <f aca="false">IF($M206="","",N(INDEX('DỮ LIỆU'!$M$3:$M$1052,$M206)))</f>
        <v/>
      </c>
      <c r="I206" s="13" t="str">
        <f aca="false">IF($M206="","",N(INDEX('DỮ LIỆU'!$N$3:$N$1052,$M206)))</f>
        <v/>
      </c>
      <c r="J206" s="13" t="str">
        <f aca="false">IF($M206="","",N(INDEX('DỮ LIỆU'!$O$3:$O$1052,$M206)))</f>
        <v/>
      </c>
      <c r="K206" s="13" t="str">
        <f aca="true">IF(OR($M206="",$C206=""),"",MAX(0,TODAY()-$C206))</f>
        <v/>
      </c>
      <c r="L206" s="21" t="str">
        <f aca="false">IF($M206="","",IF(INDEX('DỮ LIỆU'!$R$3:$R$1052,$M206)="","",INDEX('DỮ LIỆU'!$R$3:$R$1052,$M206)))</f>
        <v/>
      </c>
      <c r="M206" s="0" t="str">
        <f aca="false">IFERROR(MATCH(201,'DỮ LIỆU'!$T$3:$T$1052,0),"")</f>
        <v/>
      </c>
    </row>
    <row r="207" customFormat="false" ht="15" hidden="false" customHeight="false" outlineLevel="0" collapsed="false">
      <c r="A207" s="21" t="str">
        <f aca="false">IF($M207="","",202)</f>
        <v/>
      </c>
      <c r="B207" s="13" t="str">
        <f aca="false">IF($M207="","",INDEX('DỮ LIỆU'!$A$3:$A$1052,$M207))</f>
        <v/>
      </c>
      <c r="C207" s="41" t="str">
        <f aca="false">IF($M207="","",IF(INDEX('DỮ LIỆU'!$B$3:$B$1052,$M207)="","",INDEX('DỮ LIỆU'!$B$3:$B$1052,$M207)))</f>
        <v/>
      </c>
      <c r="D207" s="21" t="str">
        <f aca="false">IF($M207="","",IF(INDEX('DỮ LIỆU'!$C$3:$C$1052,$M207)="","",INDEX('DỮ LIỆU'!$C$3:$C$1052,$M207)))</f>
        <v/>
      </c>
      <c r="E207" s="21" t="str">
        <f aca="false">IF($M207="","",IF(INDEX('DỮ LIỆU'!$D$3:$D$1052,$M207)="","",INDEX('DỮ LIỆU'!$D$3:$D$1052,$M207)))</f>
        <v/>
      </c>
      <c r="F207" s="21" t="str">
        <f aca="false">IF($M207="","",IF(INDEX('DỮ LIỆU'!$H$3:$H$1052,$M207)="","",INDEX('DỮ LIỆU'!$H$3:$H$1052,$M207)))</f>
        <v/>
      </c>
      <c r="G207" s="13" t="str">
        <f aca="false">IF($M207="","",N(INDEX('DỮ LIỆU'!$I$3:$I$1052,$M207)))</f>
        <v/>
      </c>
      <c r="H207" s="13" t="str">
        <f aca="false">IF($M207="","",N(INDEX('DỮ LIỆU'!$M$3:$M$1052,$M207)))</f>
        <v/>
      </c>
      <c r="I207" s="13" t="str">
        <f aca="false">IF($M207="","",N(INDEX('DỮ LIỆU'!$N$3:$N$1052,$M207)))</f>
        <v/>
      </c>
      <c r="J207" s="13" t="str">
        <f aca="false">IF($M207="","",N(INDEX('DỮ LIỆU'!$O$3:$O$1052,$M207)))</f>
        <v/>
      </c>
      <c r="K207" s="13" t="str">
        <f aca="true">IF(OR($M207="",$C207=""),"",MAX(0,TODAY()-$C207))</f>
        <v/>
      </c>
      <c r="L207" s="21" t="str">
        <f aca="false">IF($M207="","",IF(INDEX('DỮ LIỆU'!$R$3:$R$1052,$M207)="","",INDEX('DỮ LIỆU'!$R$3:$R$1052,$M207)))</f>
        <v/>
      </c>
      <c r="M207" s="0" t="str">
        <f aca="false">IFERROR(MATCH(202,'DỮ LIỆU'!$T$3:$T$1052,0),"")</f>
        <v/>
      </c>
    </row>
    <row r="208" customFormat="false" ht="15" hidden="false" customHeight="false" outlineLevel="0" collapsed="false">
      <c r="A208" s="21" t="str">
        <f aca="false">IF($M208="","",203)</f>
        <v/>
      </c>
      <c r="B208" s="13" t="str">
        <f aca="false">IF($M208="","",INDEX('DỮ LIỆU'!$A$3:$A$1052,$M208))</f>
        <v/>
      </c>
      <c r="C208" s="41" t="str">
        <f aca="false">IF($M208="","",IF(INDEX('DỮ LIỆU'!$B$3:$B$1052,$M208)="","",INDEX('DỮ LIỆU'!$B$3:$B$1052,$M208)))</f>
        <v/>
      </c>
      <c r="D208" s="21" t="str">
        <f aca="false">IF($M208="","",IF(INDEX('DỮ LIỆU'!$C$3:$C$1052,$M208)="","",INDEX('DỮ LIỆU'!$C$3:$C$1052,$M208)))</f>
        <v/>
      </c>
      <c r="E208" s="21" t="str">
        <f aca="false">IF($M208="","",IF(INDEX('DỮ LIỆU'!$D$3:$D$1052,$M208)="","",INDEX('DỮ LIỆU'!$D$3:$D$1052,$M208)))</f>
        <v/>
      </c>
      <c r="F208" s="21" t="str">
        <f aca="false">IF($M208="","",IF(INDEX('DỮ LIỆU'!$H$3:$H$1052,$M208)="","",INDEX('DỮ LIỆU'!$H$3:$H$1052,$M208)))</f>
        <v/>
      </c>
      <c r="G208" s="13" t="str">
        <f aca="false">IF($M208="","",N(INDEX('DỮ LIỆU'!$I$3:$I$1052,$M208)))</f>
        <v/>
      </c>
      <c r="H208" s="13" t="str">
        <f aca="false">IF($M208="","",N(INDEX('DỮ LIỆU'!$M$3:$M$1052,$M208)))</f>
        <v/>
      </c>
      <c r="I208" s="13" t="str">
        <f aca="false">IF($M208="","",N(INDEX('DỮ LIỆU'!$N$3:$N$1052,$M208)))</f>
        <v/>
      </c>
      <c r="J208" s="13" t="str">
        <f aca="false">IF($M208="","",N(INDEX('DỮ LIỆU'!$O$3:$O$1052,$M208)))</f>
        <v/>
      </c>
      <c r="K208" s="13" t="str">
        <f aca="true">IF(OR($M208="",$C208=""),"",MAX(0,TODAY()-$C208))</f>
        <v/>
      </c>
      <c r="L208" s="21" t="str">
        <f aca="false">IF($M208="","",IF(INDEX('DỮ LIỆU'!$R$3:$R$1052,$M208)="","",INDEX('DỮ LIỆU'!$R$3:$R$1052,$M208)))</f>
        <v/>
      </c>
      <c r="M208" s="0" t="str">
        <f aca="false">IFERROR(MATCH(203,'DỮ LIỆU'!$T$3:$T$1052,0),"")</f>
        <v/>
      </c>
    </row>
    <row r="209" customFormat="false" ht="15" hidden="false" customHeight="false" outlineLevel="0" collapsed="false">
      <c r="A209" s="21" t="str">
        <f aca="false">IF($M209="","",204)</f>
        <v/>
      </c>
      <c r="B209" s="13" t="str">
        <f aca="false">IF($M209="","",INDEX('DỮ LIỆU'!$A$3:$A$1052,$M209))</f>
        <v/>
      </c>
      <c r="C209" s="41" t="str">
        <f aca="false">IF($M209="","",IF(INDEX('DỮ LIỆU'!$B$3:$B$1052,$M209)="","",INDEX('DỮ LIỆU'!$B$3:$B$1052,$M209)))</f>
        <v/>
      </c>
      <c r="D209" s="21" t="str">
        <f aca="false">IF($M209="","",IF(INDEX('DỮ LIỆU'!$C$3:$C$1052,$M209)="","",INDEX('DỮ LIỆU'!$C$3:$C$1052,$M209)))</f>
        <v/>
      </c>
      <c r="E209" s="21" t="str">
        <f aca="false">IF($M209="","",IF(INDEX('DỮ LIỆU'!$D$3:$D$1052,$M209)="","",INDEX('DỮ LIỆU'!$D$3:$D$1052,$M209)))</f>
        <v/>
      </c>
      <c r="F209" s="21" t="str">
        <f aca="false">IF($M209="","",IF(INDEX('DỮ LIỆU'!$H$3:$H$1052,$M209)="","",INDEX('DỮ LIỆU'!$H$3:$H$1052,$M209)))</f>
        <v/>
      </c>
      <c r="G209" s="13" t="str">
        <f aca="false">IF($M209="","",N(INDEX('DỮ LIỆU'!$I$3:$I$1052,$M209)))</f>
        <v/>
      </c>
      <c r="H209" s="13" t="str">
        <f aca="false">IF($M209="","",N(INDEX('DỮ LIỆU'!$M$3:$M$1052,$M209)))</f>
        <v/>
      </c>
      <c r="I209" s="13" t="str">
        <f aca="false">IF($M209="","",N(INDEX('DỮ LIỆU'!$N$3:$N$1052,$M209)))</f>
        <v/>
      </c>
      <c r="J209" s="13" t="str">
        <f aca="false">IF($M209="","",N(INDEX('DỮ LIỆU'!$O$3:$O$1052,$M209)))</f>
        <v/>
      </c>
      <c r="K209" s="13" t="str">
        <f aca="true">IF(OR($M209="",$C209=""),"",MAX(0,TODAY()-$C209))</f>
        <v/>
      </c>
      <c r="L209" s="21" t="str">
        <f aca="false">IF($M209="","",IF(INDEX('DỮ LIỆU'!$R$3:$R$1052,$M209)="","",INDEX('DỮ LIỆU'!$R$3:$R$1052,$M209)))</f>
        <v/>
      </c>
      <c r="M209" s="0" t="str">
        <f aca="false">IFERROR(MATCH(204,'DỮ LIỆU'!$T$3:$T$1052,0),"")</f>
        <v/>
      </c>
    </row>
    <row r="210" customFormat="false" ht="15" hidden="false" customHeight="false" outlineLevel="0" collapsed="false">
      <c r="A210" s="21" t="str">
        <f aca="false">IF($M210="","",205)</f>
        <v/>
      </c>
      <c r="B210" s="13" t="str">
        <f aca="false">IF($M210="","",INDEX('DỮ LIỆU'!$A$3:$A$1052,$M210))</f>
        <v/>
      </c>
      <c r="C210" s="41" t="str">
        <f aca="false">IF($M210="","",IF(INDEX('DỮ LIỆU'!$B$3:$B$1052,$M210)="","",INDEX('DỮ LIỆU'!$B$3:$B$1052,$M210)))</f>
        <v/>
      </c>
      <c r="D210" s="21" t="str">
        <f aca="false">IF($M210="","",IF(INDEX('DỮ LIỆU'!$C$3:$C$1052,$M210)="","",INDEX('DỮ LIỆU'!$C$3:$C$1052,$M210)))</f>
        <v/>
      </c>
      <c r="E210" s="21" t="str">
        <f aca="false">IF($M210="","",IF(INDEX('DỮ LIỆU'!$D$3:$D$1052,$M210)="","",INDEX('DỮ LIỆU'!$D$3:$D$1052,$M210)))</f>
        <v/>
      </c>
      <c r="F210" s="21" t="str">
        <f aca="false">IF($M210="","",IF(INDEX('DỮ LIỆU'!$H$3:$H$1052,$M210)="","",INDEX('DỮ LIỆU'!$H$3:$H$1052,$M210)))</f>
        <v/>
      </c>
      <c r="G210" s="13" t="str">
        <f aca="false">IF($M210="","",N(INDEX('DỮ LIỆU'!$I$3:$I$1052,$M210)))</f>
        <v/>
      </c>
      <c r="H210" s="13" t="str">
        <f aca="false">IF($M210="","",N(INDEX('DỮ LIỆU'!$M$3:$M$1052,$M210)))</f>
        <v/>
      </c>
      <c r="I210" s="13" t="str">
        <f aca="false">IF($M210="","",N(INDEX('DỮ LIỆU'!$N$3:$N$1052,$M210)))</f>
        <v/>
      </c>
      <c r="J210" s="13" t="str">
        <f aca="false">IF($M210="","",N(INDEX('DỮ LIỆU'!$O$3:$O$1052,$M210)))</f>
        <v/>
      </c>
      <c r="K210" s="13" t="str">
        <f aca="true">IF(OR($M210="",$C210=""),"",MAX(0,TODAY()-$C210))</f>
        <v/>
      </c>
      <c r="L210" s="21" t="str">
        <f aca="false">IF($M210="","",IF(INDEX('DỮ LIỆU'!$R$3:$R$1052,$M210)="","",INDEX('DỮ LIỆU'!$R$3:$R$1052,$M210)))</f>
        <v/>
      </c>
      <c r="M210" s="0" t="str">
        <f aca="false">IFERROR(MATCH(205,'DỮ LIỆU'!$T$3:$T$1052,0),"")</f>
        <v/>
      </c>
    </row>
    <row r="211" customFormat="false" ht="15" hidden="false" customHeight="false" outlineLevel="0" collapsed="false">
      <c r="A211" s="21" t="str">
        <f aca="false">IF($M211="","",206)</f>
        <v/>
      </c>
      <c r="B211" s="13" t="str">
        <f aca="false">IF($M211="","",INDEX('DỮ LIỆU'!$A$3:$A$1052,$M211))</f>
        <v/>
      </c>
      <c r="C211" s="41" t="str">
        <f aca="false">IF($M211="","",IF(INDEX('DỮ LIỆU'!$B$3:$B$1052,$M211)="","",INDEX('DỮ LIỆU'!$B$3:$B$1052,$M211)))</f>
        <v/>
      </c>
      <c r="D211" s="21" t="str">
        <f aca="false">IF($M211="","",IF(INDEX('DỮ LIỆU'!$C$3:$C$1052,$M211)="","",INDEX('DỮ LIỆU'!$C$3:$C$1052,$M211)))</f>
        <v/>
      </c>
      <c r="E211" s="21" t="str">
        <f aca="false">IF($M211="","",IF(INDEX('DỮ LIỆU'!$D$3:$D$1052,$M211)="","",INDEX('DỮ LIỆU'!$D$3:$D$1052,$M211)))</f>
        <v/>
      </c>
      <c r="F211" s="21" t="str">
        <f aca="false">IF($M211="","",IF(INDEX('DỮ LIỆU'!$H$3:$H$1052,$M211)="","",INDEX('DỮ LIỆU'!$H$3:$H$1052,$M211)))</f>
        <v/>
      </c>
      <c r="G211" s="13" t="str">
        <f aca="false">IF($M211="","",N(INDEX('DỮ LIỆU'!$I$3:$I$1052,$M211)))</f>
        <v/>
      </c>
      <c r="H211" s="13" t="str">
        <f aca="false">IF($M211="","",N(INDEX('DỮ LIỆU'!$M$3:$M$1052,$M211)))</f>
        <v/>
      </c>
      <c r="I211" s="13" t="str">
        <f aca="false">IF($M211="","",N(INDEX('DỮ LIỆU'!$N$3:$N$1052,$M211)))</f>
        <v/>
      </c>
      <c r="J211" s="13" t="str">
        <f aca="false">IF($M211="","",N(INDEX('DỮ LIỆU'!$O$3:$O$1052,$M211)))</f>
        <v/>
      </c>
      <c r="K211" s="13" t="str">
        <f aca="true">IF(OR($M211="",$C211=""),"",MAX(0,TODAY()-$C211))</f>
        <v/>
      </c>
      <c r="L211" s="21" t="str">
        <f aca="false">IF($M211="","",IF(INDEX('DỮ LIỆU'!$R$3:$R$1052,$M211)="","",INDEX('DỮ LIỆU'!$R$3:$R$1052,$M211)))</f>
        <v/>
      </c>
      <c r="M211" s="0" t="str">
        <f aca="false">IFERROR(MATCH(206,'DỮ LIỆU'!$T$3:$T$1052,0),"")</f>
        <v/>
      </c>
    </row>
    <row r="212" customFormat="false" ht="15" hidden="false" customHeight="false" outlineLevel="0" collapsed="false">
      <c r="A212" s="21" t="str">
        <f aca="false">IF($M212="","",207)</f>
        <v/>
      </c>
      <c r="B212" s="13" t="str">
        <f aca="false">IF($M212="","",INDEX('DỮ LIỆU'!$A$3:$A$1052,$M212))</f>
        <v/>
      </c>
      <c r="C212" s="41" t="str">
        <f aca="false">IF($M212="","",IF(INDEX('DỮ LIỆU'!$B$3:$B$1052,$M212)="","",INDEX('DỮ LIỆU'!$B$3:$B$1052,$M212)))</f>
        <v/>
      </c>
      <c r="D212" s="21" t="str">
        <f aca="false">IF($M212="","",IF(INDEX('DỮ LIỆU'!$C$3:$C$1052,$M212)="","",INDEX('DỮ LIỆU'!$C$3:$C$1052,$M212)))</f>
        <v/>
      </c>
      <c r="E212" s="21" t="str">
        <f aca="false">IF($M212="","",IF(INDEX('DỮ LIỆU'!$D$3:$D$1052,$M212)="","",INDEX('DỮ LIỆU'!$D$3:$D$1052,$M212)))</f>
        <v/>
      </c>
      <c r="F212" s="21" t="str">
        <f aca="false">IF($M212="","",IF(INDEX('DỮ LIỆU'!$H$3:$H$1052,$M212)="","",INDEX('DỮ LIỆU'!$H$3:$H$1052,$M212)))</f>
        <v/>
      </c>
      <c r="G212" s="13" t="str">
        <f aca="false">IF($M212="","",N(INDEX('DỮ LIỆU'!$I$3:$I$1052,$M212)))</f>
        <v/>
      </c>
      <c r="H212" s="13" t="str">
        <f aca="false">IF($M212="","",N(INDEX('DỮ LIỆU'!$M$3:$M$1052,$M212)))</f>
        <v/>
      </c>
      <c r="I212" s="13" t="str">
        <f aca="false">IF($M212="","",N(INDEX('DỮ LIỆU'!$N$3:$N$1052,$M212)))</f>
        <v/>
      </c>
      <c r="J212" s="13" t="str">
        <f aca="false">IF($M212="","",N(INDEX('DỮ LIỆU'!$O$3:$O$1052,$M212)))</f>
        <v/>
      </c>
      <c r="K212" s="13" t="str">
        <f aca="true">IF(OR($M212="",$C212=""),"",MAX(0,TODAY()-$C212))</f>
        <v/>
      </c>
      <c r="L212" s="21" t="str">
        <f aca="false">IF($M212="","",IF(INDEX('DỮ LIỆU'!$R$3:$R$1052,$M212)="","",INDEX('DỮ LIỆU'!$R$3:$R$1052,$M212)))</f>
        <v/>
      </c>
      <c r="M212" s="0" t="str">
        <f aca="false">IFERROR(MATCH(207,'DỮ LIỆU'!$T$3:$T$1052,0),"")</f>
        <v/>
      </c>
    </row>
    <row r="213" customFormat="false" ht="15" hidden="false" customHeight="false" outlineLevel="0" collapsed="false">
      <c r="A213" s="21" t="str">
        <f aca="false">IF($M213="","",208)</f>
        <v/>
      </c>
      <c r="B213" s="13" t="str">
        <f aca="false">IF($M213="","",INDEX('DỮ LIỆU'!$A$3:$A$1052,$M213))</f>
        <v/>
      </c>
      <c r="C213" s="41" t="str">
        <f aca="false">IF($M213="","",IF(INDEX('DỮ LIỆU'!$B$3:$B$1052,$M213)="","",INDEX('DỮ LIỆU'!$B$3:$B$1052,$M213)))</f>
        <v/>
      </c>
      <c r="D213" s="21" t="str">
        <f aca="false">IF($M213="","",IF(INDEX('DỮ LIỆU'!$C$3:$C$1052,$M213)="","",INDEX('DỮ LIỆU'!$C$3:$C$1052,$M213)))</f>
        <v/>
      </c>
      <c r="E213" s="21" t="str">
        <f aca="false">IF($M213="","",IF(INDEX('DỮ LIỆU'!$D$3:$D$1052,$M213)="","",INDEX('DỮ LIỆU'!$D$3:$D$1052,$M213)))</f>
        <v/>
      </c>
      <c r="F213" s="21" t="str">
        <f aca="false">IF($M213="","",IF(INDEX('DỮ LIỆU'!$H$3:$H$1052,$M213)="","",INDEX('DỮ LIỆU'!$H$3:$H$1052,$M213)))</f>
        <v/>
      </c>
      <c r="G213" s="13" t="str">
        <f aca="false">IF($M213="","",N(INDEX('DỮ LIỆU'!$I$3:$I$1052,$M213)))</f>
        <v/>
      </c>
      <c r="H213" s="13" t="str">
        <f aca="false">IF($M213="","",N(INDEX('DỮ LIỆU'!$M$3:$M$1052,$M213)))</f>
        <v/>
      </c>
      <c r="I213" s="13" t="str">
        <f aca="false">IF($M213="","",N(INDEX('DỮ LIỆU'!$N$3:$N$1052,$M213)))</f>
        <v/>
      </c>
      <c r="J213" s="13" t="str">
        <f aca="false">IF($M213="","",N(INDEX('DỮ LIỆU'!$O$3:$O$1052,$M213)))</f>
        <v/>
      </c>
      <c r="K213" s="13" t="str">
        <f aca="true">IF(OR($M213="",$C213=""),"",MAX(0,TODAY()-$C213))</f>
        <v/>
      </c>
      <c r="L213" s="21" t="str">
        <f aca="false">IF($M213="","",IF(INDEX('DỮ LIỆU'!$R$3:$R$1052,$M213)="","",INDEX('DỮ LIỆU'!$R$3:$R$1052,$M213)))</f>
        <v/>
      </c>
      <c r="M213" s="0" t="str">
        <f aca="false">IFERROR(MATCH(208,'DỮ LIỆU'!$T$3:$T$1052,0),"")</f>
        <v/>
      </c>
    </row>
    <row r="214" customFormat="false" ht="15" hidden="false" customHeight="false" outlineLevel="0" collapsed="false">
      <c r="A214" s="21" t="str">
        <f aca="false">IF($M214="","",209)</f>
        <v/>
      </c>
      <c r="B214" s="13" t="str">
        <f aca="false">IF($M214="","",INDEX('DỮ LIỆU'!$A$3:$A$1052,$M214))</f>
        <v/>
      </c>
      <c r="C214" s="41" t="str">
        <f aca="false">IF($M214="","",IF(INDEX('DỮ LIỆU'!$B$3:$B$1052,$M214)="","",INDEX('DỮ LIỆU'!$B$3:$B$1052,$M214)))</f>
        <v/>
      </c>
      <c r="D214" s="21" t="str">
        <f aca="false">IF($M214="","",IF(INDEX('DỮ LIỆU'!$C$3:$C$1052,$M214)="","",INDEX('DỮ LIỆU'!$C$3:$C$1052,$M214)))</f>
        <v/>
      </c>
      <c r="E214" s="21" t="str">
        <f aca="false">IF($M214="","",IF(INDEX('DỮ LIỆU'!$D$3:$D$1052,$M214)="","",INDEX('DỮ LIỆU'!$D$3:$D$1052,$M214)))</f>
        <v/>
      </c>
      <c r="F214" s="21" t="str">
        <f aca="false">IF($M214="","",IF(INDEX('DỮ LIỆU'!$H$3:$H$1052,$M214)="","",INDEX('DỮ LIỆU'!$H$3:$H$1052,$M214)))</f>
        <v/>
      </c>
      <c r="G214" s="13" t="str">
        <f aca="false">IF($M214="","",N(INDEX('DỮ LIỆU'!$I$3:$I$1052,$M214)))</f>
        <v/>
      </c>
      <c r="H214" s="13" t="str">
        <f aca="false">IF($M214="","",N(INDEX('DỮ LIỆU'!$M$3:$M$1052,$M214)))</f>
        <v/>
      </c>
      <c r="I214" s="13" t="str">
        <f aca="false">IF($M214="","",N(INDEX('DỮ LIỆU'!$N$3:$N$1052,$M214)))</f>
        <v/>
      </c>
      <c r="J214" s="13" t="str">
        <f aca="false">IF($M214="","",N(INDEX('DỮ LIỆU'!$O$3:$O$1052,$M214)))</f>
        <v/>
      </c>
      <c r="K214" s="13" t="str">
        <f aca="true">IF(OR($M214="",$C214=""),"",MAX(0,TODAY()-$C214))</f>
        <v/>
      </c>
      <c r="L214" s="21" t="str">
        <f aca="false">IF($M214="","",IF(INDEX('DỮ LIỆU'!$R$3:$R$1052,$M214)="","",INDEX('DỮ LIỆU'!$R$3:$R$1052,$M214)))</f>
        <v/>
      </c>
      <c r="M214" s="0" t="str">
        <f aca="false">IFERROR(MATCH(209,'DỮ LIỆU'!$T$3:$T$1052,0),"")</f>
        <v/>
      </c>
    </row>
    <row r="215" customFormat="false" ht="15" hidden="false" customHeight="false" outlineLevel="0" collapsed="false">
      <c r="A215" s="21" t="str">
        <f aca="false">IF($M215="","",210)</f>
        <v/>
      </c>
      <c r="B215" s="13" t="str">
        <f aca="false">IF($M215="","",INDEX('DỮ LIỆU'!$A$3:$A$1052,$M215))</f>
        <v/>
      </c>
      <c r="C215" s="41" t="str">
        <f aca="false">IF($M215="","",IF(INDEX('DỮ LIỆU'!$B$3:$B$1052,$M215)="","",INDEX('DỮ LIỆU'!$B$3:$B$1052,$M215)))</f>
        <v/>
      </c>
      <c r="D215" s="21" t="str">
        <f aca="false">IF($M215="","",IF(INDEX('DỮ LIỆU'!$C$3:$C$1052,$M215)="","",INDEX('DỮ LIỆU'!$C$3:$C$1052,$M215)))</f>
        <v/>
      </c>
      <c r="E215" s="21" t="str">
        <f aca="false">IF($M215="","",IF(INDEX('DỮ LIỆU'!$D$3:$D$1052,$M215)="","",INDEX('DỮ LIỆU'!$D$3:$D$1052,$M215)))</f>
        <v/>
      </c>
      <c r="F215" s="21" t="str">
        <f aca="false">IF($M215="","",IF(INDEX('DỮ LIỆU'!$H$3:$H$1052,$M215)="","",INDEX('DỮ LIỆU'!$H$3:$H$1052,$M215)))</f>
        <v/>
      </c>
      <c r="G215" s="13" t="str">
        <f aca="false">IF($M215="","",N(INDEX('DỮ LIỆU'!$I$3:$I$1052,$M215)))</f>
        <v/>
      </c>
      <c r="H215" s="13" t="str">
        <f aca="false">IF($M215="","",N(INDEX('DỮ LIỆU'!$M$3:$M$1052,$M215)))</f>
        <v/>
      </c>
      <c r="I215" s="13" t="str">
        <f aca="false">IF($M215="","",N(INDEX('DỮ LIỆU'!$N$3:$N$1052,$M215)))</f>
        <v/>
      </c>
      <c r="J215" s="13" t="str">
        <f aca="false">IF($M215="","",N(INDEX('DỮ LIỆU'!$O$3:$O$1052,$M215)))</f>
        <v/>
      </c>
      <c r="K215" s="13" t="str">
        <f aca="true">IF(OR($M215="",$C215=""),"",MAX(0,TODAY()-$C215))</f>
        <v/>
      </c>
      <c r="L215" s="21" t="str">
        <f aca="false">IF($M215="","",IF(INDEX('DỮ LIỆU'!$R$3:$R$1052,$M215)="","",INDEX('DỮ LIỆU'!$R$3:$R$1052,$M215)))</f>
        <v/>
      </c>
      <c r="M215" s="0" t="str">
        <f aca="false">IFERROR(MATCH(210,'DỮ LIỆU'!$T$3:$T$1052,0),"")</f>
        <v/>
      </c>
    </row>
    <row r="216" customFormat="false" ht="15" hidden="false" customHeight="false" outlineLevel="0" collapsed="false">
      <c r="A216" s="21" t="str">
        <f aca="false">IF($M216="","",211)</f>
        <v/>
      </c>
      <c r="B216" s="13" t="str">
        <f aca="false">IF($M216="","",INDEX('DỮ LIỆU'!$A$3:$A$1052,$M216))</f>
        <v/>
      </c>
      <c r="C216" s="41" t="str">
        <f aca="false">IF($M216="","",IF(INDEX('DỮ LIỆU'!$B$3:$B$1052,$M216)="","",INDEX('DỮ LIỆU'!$B$3:$B$1052,$M216)))</f>
        <v/>
      </c>
      <c r="D216" s="21" t="str">
        <f aca="false">IF($M216="","",IF(INDEX('DỮ LIỆU'!$C$3:$C$1052,$M216)="","",INDEX('DỮ LIỆU'!$C$3:$C$1052,$M216)))</f>
        <v/>
      </c>
      <c r="E216" s="21" t="str">
        <f aca="false">IF($M216="","",IF(INDEX('DỮ LIỆU'!$D$3:$D$1052,$M216)="","",INDEX('DỮ LIỆU'!$D$3:$D$1052,$M216)))</f>
        <v/>
      </c>
      <c r="F216" s="21" t="str">
        <f aca="false">IF($M216="","",IF(INDEX('DỮ LIỆU'!$H$3:$H$1052,$M216)="","",INDEX('DỮ LIỆU'!$H$3:$H$1052,$M216)))</f>
        <v/>
      </c>
      <c r="G216" s="13" t="str">
        <f aca="false">IF($M216="","",N(INDEX('DỮ LIỆU'!$I$3:$I$1052,$M216)))</f>
        <v/>
      </c>
      <c r="H216" s="13" t="str">
        <f aca="false">IF($M216="","",N(INDEX('DỮ LIỆU'!$M$3:$M$1052,$M216)))</f>
        <v/>
      </c>
      <c r="I216" s="13" t="str">
        <f aca="false">IF($M216="","",N(INDEX('DỮ LIỆU'!$N$3:$N$1052,$M216)))</f>
        <v/>
      </c>
      <c r="J216" s="13" t="str">
        <f aca="false">IF($M216="","",N(INDEX('DỮ LIỆU'!$O$3:$O$1052,$M216)))</f>
        <v/>
      </c>
      <c r="K216" s="13" t="str">
        <f aca="true">IF(OR($M216="",$C216=""),"",MAX(0,TODAY()-$C216))</f>
        <v/>
      </c>
      <c r="L216" s="21" t="str">
        <f aca="false">IF($M216="","",IF(INDEX('DỮ LIỆU'!$R$3:$R$1052,$M216)="","",INDEX('DỮ LIỆU'!$R$3:$R$1052,$M216)))</f>
        <v/>
      </c>
      <c r="M216" s="0" t="str">
        <f aca="false">IFERROR(MATCH(211,'DỮ LIỆU'!$T$3:$T$1052,0),"")</f>
        <v/>
      </c>
    </row>
    <row r="217" customFormat="false" ht="15" hidden="false" customHeight="false" outlineLevel="0" collapsed="false">
      <c r="A217" s="21" t="str">
        <f aca="false">IF($M217="","",212)</f>
        <v/>
      </c>
      <c r="B217" s="13" t="str">
        <f aca="false">IF($M217="","",INDEX('DỮ LIỆU'!$A$3:$A$1052,$M217))</f>
        <v/>
      </c>
      <c r="C217" s="41" t="str">
        <f aca="false">IF($M217="","",IF(INDEX('DỮ LIỆU'!$B$3:$B$1052,$M217)="","",INDEX('DỮ LIỆU'!$B$3:$B$1052,$M217)))</f>
        <v/>
      </c>
      <c r="D217" s="21" t="str">
        <f aca="false">IF($M217="","",IF(INDEX('DỮ LIỆU'!$C$3:$C$1052,$M217)="","",INDEX('DỮ LIỆU'!$C$3:$C$1052,$M217)))</f>
        <v/>
      </c>
      <c r="E217" s="21" t="str">
        <f aca="false">IF($M217="","",IF(INDEX('DỮ LIỆU'!$D$3:$D$1052,$M217)="","",INDEX('DỮ LIỆU'!$D$3:$D$1052,$M217)))</f>
        <v/>
      </c>
      <c r="F217" s="21" t="str">
        <f aca="false">IF($M217="","",IF(INDEX('DỮ LIỆU'!$H$3:$H$1052,$M217)="","",INDEX('DỮ LIỆU'!$H$3:$H$1052,$M217)))</f>
        <v/>
      </c>
      <c r="G217" s="13" t="str">
        <f aca="false">IF($M217="","",N(INDEX('DỮ LIỆU'!$I$3:$I$1052,$M217)))</f>
        <v/>
      </c>
      <c r="H217" s="13" t="str">
        <f aca="false">IF($M217="","",N(INDEX('DỮ LIỆU'!$M$3:$M$1052,$M217)))</f>
        <v/>
      </c>
      <c r="I217" s="13" t="str">
        <f aca="false">IF($M217="","",N(INDEX('DỮ LIỆU'!$N$3:$N$1052,$M217)))</f>
        <v/>
      </c>
      <c r="J217" s="13" t="str">
        <f aca="false">IF($M217="","",N(INDEX('DỮ LIỆU'!$O$3:$O$1052,$M217)))</f>
        <v/>
      </c>
      <c r="K217" s="13" t="str">
        <f aca="true">IF(OR($M217="",$C217=""),"",MAX(0,TODAY()-$C217))</f>
        <v/>
      </c>
      <c r="L217" s="21" t="str">
        <f aca="false">IF($M217="","",IF(INDEX('DỮ LIỆU'!$R$3:$R$1052,$M217)="","",INDEX('DỮ LIỆU'!$R$3:$R$1052,$M217)))</f>
        <v/>
      </c>
      <c r="M217" s="0" t="str">
        <f aca="false">IFERROR(MATCH(212,'DỮ LIỆU'!$T$3:$T$1052,0),"")</f>
        <v/>
      </c>
    </row>
    <row r="218" customFormat="false" ht="15" hidden="false" customHeight="false" outlineLevel="0" collapsed="false">
      <c r="A218" s="21" t="str">
        <f aca="false">IF($M218="","",213)</f>
        <v/>
      </c>
      <c r="B218" s="13" t="str">
        <f aca="false">IF($M218="","",INDEX('DỮ LIỆU'!$A$3:$A$1052,$M218))</f>
        <v/>
      </c>
      <c r="C218" s="41" t="str">
        <f aca="false">IF($M218="","",IF(INDEX('DỮ LIỆU'!$B$3:$B$1052,$M218)="","",INDEX('DỮ LIỆU'!$B$3:$B$1052,$M218)))</f>
        <v/>
      </c>
      <c r="D218" s="21" t="str">
        <f aca="false">IF($M218="","",IF(INDEX('DỮ LIỆU'!$C$3:$C$1052,$M218)="","",INDEX('DỮ LIỆU'!$C$3:$C$1052,$M218)))</f>
        <v/>
      </c>
      <c r="E218" s="21" t="str">
        <f aca="false">IF($M218="","",IF(INDEX('DỮ LIỆU'!$D$3:$D$1052,$M218)="","",INDEX('DỮ LIỆU'!$D$3:$D$1052,$M218)))</f>
        <v/>
      </c>
      <c r="F218" s="21" t="str">
        <f aca="false">IF($M218="","",IF(INDEX('DỮ LIỆU'!$H$3:$H$1052,$M218)="","",INDEX('DỮ LIỆU'!$H$3:$H$1052,$M218)))</f>
        <v/>
      </c>
      <c r="G218" s="13" t="str">
        <f aca="false">IF($M218="","",N(INDEX('DỮ LIỆU'!$I$3:$I$1052,$M218)))</f>
        <v/>
      </c>
      <c r="H218" s="13" t="str">
        <f aca="false">IF($M218="","",N(INDEX('DỮ LIỆU'!$M$3:$M$1052,$M218)))</f>
        <v/>
      </c>
      <c r="I218" s="13" t="str">
        <f aca="false">IF($M218="","",N(INDEX('DỮ LIỆU'!$N$3:$N$1052,$M218)))</f>
        <v/>
      </c>
      <c r="J218" s="13" t="str">
        <f aca="false">IF($M218="","",N(INDEX('DỮ LIỆU'!$O$3:$O$1052,$M218)))</f>
        <v/>
      </c>
      <c r="K218" s="13" t="str">
        <f aca="true">IF(OR($M218="",$C218=""),"",MAX(0,TODAY()-$C218))</f>
        <v/>
      </c>
      <c r="L218" s="21" t="str">
        <f aca="false">IF($M218="","",IF(INDEX('DỮ LIỆU'!$R$3:$R$1052,$M218)="","",INDEX('DỮ LIỆU'!$R$3:$R$1052,$M218)))</f>
        <v/>
      </c>
      <c r="M218" s="0" t="str">
        <f aca="false">IFERROR(MATCH(213,'DỮ LIỆU'!$T$3:$T$1052,0),"")</f>
        <v/>
      </c>
    </row>
    <row r="219" customFormat="false" ht="15" hidden="false" customHeight="false" outlineLevel="0" collapsed="false">
      <c r="A219" s="21" t="str">
        <f aca="false">IF($M219="","",214)</f>
        <v/>
      </c>
      <c r="B219" s="13" t="str">
        <f aca="false">IF($M219="","",INDEX('DỮ LIỆU'!$A$3:$A$1052,$M219))</f>
        <v/>
      </c>
      <c r="C219" s="41" t="str">
        <f aca="false">IF($M219="","",IF(INDEX('DỮ LIỆU'!$B$3:$B$1052,$M219)="","",INDEX('DỮ LIỆU'!$B$3:$B$1052,$M219)))</f>
        <v/>
      </c>
      <c r="D219" s="21" t="str">
        <f aca="false">IF($M219="","",IF(INDEX('DỮ LIỆU'!$C$3:$C$1052,$M219)="","",INDEX('DỮ LIỆU'!$C$3:$C$1052,$M219)))</f>
        <v/>
      </c>
      <c r="E219" s="21" t="str">
        <f aca="false">IF($M219="","",IF(INDEX('DỮ LIỆU'!$D$3:$D$1052,$M219)="","",INDEX('DỮ LIỆU'!$D$3:$D$1052,$M219)))</f>
        <v/>
      </c>
      <c r="F219" s="21" t="str">
        <f aca="false">IF($M219="","",IF(INDEX('DỮ LIỆU'!$H$3:$H$1052,$M219)="","",INDEX('DỮ LIỆU'!$H$3:$H$1052,$M219)))</f>
        <v/>
      </c>
      <c r="G219" s="13" t="str">
        <f aca="false">IF($M219="","",N(INDEX('DỮ LIỆU'!$I$3:$I$1052,$M219)))</f>
        <v/>
      </c>
      <c r="H219" s="13" t="str">
        <f aca="false">IF($M219="","",N(INDEX('DỮ LIỆU'!$M$3:$M$1052,$M219)))</f>
        <v/>
      </c>
      <c r="I219" s="13" t="str">
        <f aca="false">IF($M219="","",N(INDEX('DỮ LIỆU'!$N$3:$N$1052,$M219)))</f>
        <v/>
      </c>
      <c r="J219" s="13" t="str">
        <f aca="false">IF($M219="","",N(INDEX('DỮ LIỆU'!$O$3:$O$1052,$M219)))</f>
        <v/>
      </c>
      <c r="K219" s="13" t="str">
        <f aca="true">IF(OR($M219="",$C219=""),"",MAX(0,TODAY()-$C219))</f>
        <v/>
      </c>
      <c r="L219" s="21" t="str">
        <f aca="false">IF($M219="","",IF(INDEX('DỮ LIỆU'!$R$3:$R$1052,$M219)="","",INDEX('DỮ LIỆU'!$R$3:$R$1052,$M219)))</f>
        <v/>
      </c>
      <c r="M219" s="0" t="str">
        <f aca="false">IFERROR(MATCH(214,'DỮ LIỆU'!$T$3:$T$1052,0),"")</f>
        <v/>
      </c>
    </row>
    <row r="220" customFormat="false" ht="15" hidden="false" customHeight="false" outlineLevel="0" collapsed="false">
      <c r="A220" s="21" t="str">
        <f aca="false">IF($M220="","",215)</f>
        <v/>
      </c>
      <c r="B220" s="13" t="str">
        <f aca="false">IF($M220="","",INDEX('DỮ LIỆU'!$A$3:$A$1052,$M220))</f>
        <v/>
      </c>
      <c r="C220" s="41" t="str">
        <f aca="false">IF($M220="","",IF(INDEX('DỮ LIỆU'!$B$3:$B$1052,$M220)="","",INDEX('DỮ LIỆU'!$B$3:$B$1052,$M220)))</f>
        <v/>
      </c>
      <c r="D220" s="21" t="str">
        <f aca="false">IF($M220="","",IF(INDEX('DỮ LIỆU'!$C$3:$C$1052,$M220)="","",INDEX('DỮ LIỆU'!$C$3:$C$1052,$M220)))</f>
        <v/>
      </c>
      <c r="E220" s="21" t="str">
        <f aca="false">IF($M220="","",IF(INDEX('DỮ LIỆU'!$D$3:$D$1052,$M220)="","",INDEX('DỮ LIỆU'!$D$3:$D$1052,$M220)))</f>
        <v/>
      </c>
      <c r="F220" s="21" t="str">
        <f aca="false">IF($M220="","",IF(INDEX('DỮ LIỆU'!$H$3:$H$1052,$M220)="","",INDEX('DỮ LIỆU'!$H$3:$H$1052,$M220)))</f>
        <v/>
      </c>
      <c r="G220" s="13" t="str">
        <f aca="false">IF($M220="","",N(INDEX('DỮ LIỆU'!$I$3:$I$1052,$M220)))</f>
        <v/>
      </c>
      <c r="H220" s="13" t="str">
        <f aca="false">IF($M220="","",N(INDEX('DỮ LIỆU'!$M$3:$M$1052,$M220)))</f>
        <v/>
      </c>
      <c r="I220" s="13" t="str">
        <f aca="false">IF($M220="","",N(INDEX('DỮ LIỆU'!$N$3:$N$1052,$M220)))</f>
        <v/>
      </c>
      <c r="J220" s="13" t="str">
        <f aca="false">IF($M220="","",N(INDEX('DỮ LIỆU'!$O$3:$O$1052,$M220)))</f>
        <v/>
      </c>
      <c r="K220" s="13" t="str">
        <f aca="true">IF(OR($M220="",$C220=""),"",MAX(0,TODAY()-$C220))</f>
        <v/>
      </c>
      <c r="L220" s="21" t="str">
        <f aca="false">IF($M220="","",IF(INDEX('DỮ LIỆU'!$R$3:$R$1052,$M220)="","",INDEX('DỮ LIỆU'!$R$3:$R$1052,$M220)))</f>
        <v/>
      </c>
      <c r="M220" s="0" t="str">
        <f aca="false">IFERROR(MATCH(215,'DỮ LIỆU'!$T$3:$T$1052,0),"")</f>
        <v/>
      </c>
    </row>
    <row r="221" customFormat="false" ht="15" hidden="false" customHeight="false" outlineLevel="0" collapsed="false">
      <c r="A221" s="21" t="str">
        <f aca="false">IF($M221="","",216)</f>
        <v/>
      </c>
      <c r="B221" s="13" t="str">
        <f aca="false">IF($M221="","",INDEX('DỮ LIỆU'!$A$3:$A$1052,$M221))</f>
        <v/>
      </c>
      <c r="C221" s="41" t="str">
        <f aca="false">IF($M221="","",IF(INDEX('DỮ LIỆU'!$B$3:$B$1052,$M221)="","",INDEX('DỮ LIỆU'!$B$3:$B$1052,$M221)))</f>
        <v/>
      </c>
      <c r="D221" s="21" t="str">
        <f aca="false">IF($M221="","",IF(INDEX('DỮ LIỆU'!$C$3:$C$1052,$M221)="","",INDEX('DỮ LIỆU'!$C$3:$C$1052,$M221)))</f>
        <v/>
      </c>
      <c r="E221" s="21" t="str">
        <f aca="false">IF($M221="","",IF(INDEX('DỮ LIỆU'!$D$3:$D$1052,$M221)="","",INDEX('DỮ LIỆU'!$D$3:$D$1052,$M221)))</f>
        <v/>
      </c>
      <c r="F221" s="21" t="str">
        <f aca="false">IF($M221="","",IF(INDEX('DỮ LIỆU'!$H$3:$H$1052,$M221)="","",INDEX('DỮ LIỆU'!$H$3:$H$1052,$M221)))</f>
        <v/>
      </c>
      <c r="G221" s="13" t="str">
        <f aca="false">IF($M221="","",N(INDEX('DỮ LIỆU'!$I$3:$I$1052,$M221)))</f>
        <v/>
      </c>
      <c r="H221" s="13" t="str">
        <f aca="false">IF($M221="","",N(INDEX('DỮ LIỆU'!$M$3:$M$1052,$M221)))</f>
        <v/>
      </c>
      <c r="I221" s="13" t="str">
        <f aca="false">IF($M221="","",N(INDEX('DỮ LIỆU'!$N$3:$N$1052,$M221)))</f>
        <v/>
      </c>
      <c r="J221" s="13" t="str">
        <f aca="false">IF($M221="","",N(INDEX('DỮ LIỆU'!$O$3:$O$1052,$M221)))</f>
        <v/>
      </c>
      <c r="K221" s="13" t="str">
        <f aca="true">IF(OR($M221="",$C221=""),"",MAX(0,TODAY()-$C221))</f>
        <v/>
      </c>
      <c r="L221" s="21" t="str">
        <f aca="false">IF($M221="","",IF(INDEX('DỮ LIỆU'!$R$3:$R$1052,$M221)="","",INDEX('DỮ LIỆU'!$R$3:$R$1052,$M221)))</f>
        <v/>
      </c>
      <c r="M221" s="0" t="str">
        <f aca="false">IFERROR(MATCH(216,'DỮ LIỆU'!$T$3:$T$1052,0),"")</f>
        <v/>
      </c>
    </row>
    <row r="222" customFormat="false" ht="15" hidden="false" customHeight="false" outlineLevel="0" collapsed="false">
      <c r="A222" s="21" t="str">
        <f aca="false">IF($M222="","",217)</f>
        <v/>
      </c>
      <c r="B222" s="13" t="str">
        <f aca="false">IF($M222="","",INDEX('DỮ LIỆU'!$A$3:$A$1052,$M222))</f>
        <v/>
      </c>
      <c r="C222" s="41" t="str">
        <f aca="false">IF($M222="","",IF(INDEX('DỮ LIỆU'!$B$3:$B$1052,$M222)="","",INDEX('DỮ LIỆU'!$B$3:$B$1052,$M222)))</f>
        <v/>
      </c>
      <c r="D222" s="21" t="str">
        <f aca="false">IF($M222="","",IF(INDEX('DỮ LIỆU'!$C$3:$C$1052,$M222)="","",INDEX('DỮ LIỆU'!$C$3:$C$1052,$M222)))</f>
        <v/>
      </c>
      <c r="E222" s="21" t="str">
        <f aca="false">IF($M222="","",IF(INDEX('DỮ LIỆU'!$D$3:$D$1052,$M222)="","",INDEX('DỮ LIỆU'!$D$3:$D$1052,$M222)))</f>
        <v/>
      </c>
      <c r="F222" s="21" t="str">
        <f aca="false">IF($M222="","",IF(INDEX('DỮ LIỆU'!$H$3:$H$1052,$M222)="","",INDEX('DỮ LIỆU'!$H$3:$H$1052,$M222)))</f>
        <v/>
      </c>
      <c r="G222" s="13" t="str">
        <f aca="false">IF($M222="","",N(INDEX('DỮ LIỆU'!$I$3:$I$1052,$M222)))</f>
        <v/>
      </c>
      <c r="H222" s="13" t="str">
        <f aca="false">IF($M222="","",N(INDEX('DỮ LIỆU'!$M$3:$M$1052,$M222)))</f>
        <v/>
      </c>
      <c r="I222" s="13" t="str">
        <f aca="false">IF($M222="","",N(INDEX('DỮ LIỆU'!$N$3:$N$1052,$M222)))</f>
        <v/>
      </c>
      <c r="J222" s="13" t="str">
        <f aca="false">IF($M222="","",N(INDEX('DỮ LIỆU'!$O$3:$O$1052,$M222)))</f>
        <v/>
      </c>
      <c r="K222" s="13" t="str">
        <f aca="true">IF(OR($M222="",$C222=""),"",MAX(0,TODAY()-$C222))</f>
        <v/>
      </c>
      <c r="L222" s="21" t="str">
        <f aca="false">IF($M222="","",IF(INDEX('DỮ LIỆU'!$R$3:$R$1052,$M222)="","",INDEX('DỮ LIỆU'!$R$3:$R$1052,$M222)))</f>
        <v/>
      </c>
      <c r="M222" s="0" t="str">
        <f aca="false">IFERROR(MATCH(217,'DỮ LIỆU'!$T$3:$T$1052,0),"")</f>
        <v/>
      </c>
    </row>
    <row r="223" customFormat="false" ht="15" hidden="false" customHeight="false" outlineLevel="0" collapsed="false">
      <c r="A223" s="21" t="str">
        <f aca="false">IF($M223="","",218)</f>
        <v/>
      </c>
      <c r="B223" s="13" t="str">
        <f aca="false">IF($M223="","",INDEX('DỮ LIỆU'!$A$3:$A$1052,$M223))</f>
        <v/>
      </c>
      <c r="C223" s="41" t="str">
        <f aca="false">IF($M223="","",IF(INDEX('DỮ LIỆU'!$B$3:$B$1052,$M223)="","",INDEX('DỮ LIỆU'!$B$3:$B$1052,$M223)))</f>
        <v/>
      </c>
      <c r="D223" s="21" t="str">
        <f aca="false">IF($M223="","",IF(INDEX('DỮ LIỆU'!$C$3:$C$1052,$M223)="","",INDEX('DỮ LIỆU'!$C$3:$C$1052,$M223)))</f>
        <v/>
      </c>
      <c r="E223" s="21" t="str">
        <f aca="false">IF($M223="","",IF(INDEX('DỮ LIỆU'!$D$3:$D$1052,$M223)="","",INDEX('DỮ LIỆU'!$D$3:$D$1052,$M223)))</f>
        <v/>
      </c>
      <c r="F223" s="21" t="str">
        <f aca="false">IF($M223="","",IF(INDEX('DỮ LIỆU'!$H$3:$H$1052,$M223)="","",INDEX('DỮ LIỆU'!$H$3:$H$1052,$M223)))</f>
        <v/>
      </c>
      <c r="G223" s="13" t="str">
        <f aca="false">IF($M223="","",N(INDEX('DỮ LIỆU'!$I$3:$I$1052,$M223)))</f>
        <v/>
      </c>
      <c r="H223" s="13" t="str">
        <f aca="false">IF($M223="","",N(INDEX('DỮ LIỆU'!$M$3:$M$1052,$M223)))</f>
        <v/>
      </c>
      <c r="I223" s="13" t="str">
        <f aca="false">IF($M223="","",N(INDEX('DỮ LIỆU'!$N$3:$N$1052,$M223)))</f>
        <v/>
      </c>
      <c r="J223" s="13" t="str">
        <f aca="false">IF($M223="","",N(INDEX('DỮ LIỆU'!$O$3:$O$1052,$M223)))</f>
        <v/>
      </c>
      <c r="K223" s="13" t="str">
        <f aca="true">IF(OR($M223="",$C223=""),"",MAX(0,TODAY()-$C223))</f>
        <v/>
      </c>
      <c r="L223" s="21" t="str">
        <f aca="false">IF($M223="","",IF(INDEX('DỮ LIỆU'!$R$3:$R$1052,$M223)="","",INDEX('DỮ LIỆU'!$R$3:$R$1052,$M223)))</f>
        <v/>
      </c>
      <c r="M223" s="0" t="str">
        <f aca="false">IFERROR(MATCH(218,'DỮ LIỆU'!$T$3:$T$1052,0),"")</f>
        <v/>
      </c>
    </row>
    <row r="224" customFormat="false" ht="15" hidden="false" customHeight="false" outlineLevel="0" collapsed="false">
      <c r="A224" s="21" t="str">
        <f aca="false">IF($M224="","",219)</f>
        <v/>
      </c>
      <c r="B224" s="13" t="str">
        <f aca="false">IF($M224="","",INDEX('DỮ LIỆU'!$A$3:$A$1052,$M224))</f>
        <v/>
      </c>
      <c r="C224" s="41" t="str">
        <f aca="false">IF($M224="","",IF(INDEX('DỮ LIỆU'!$B$3:$B$1052,$M224)="","",INDEX('DỮ LIỆU'!$B$3:$B$1052,$M224)))</f>
        <v/>
      </c>
      <c r="D224" s="21" t="str">
        <f aca="false">IF($M224="","",IF(INDEX('DỮ LIỆU'!$C$3:$C$1052,$M224)="","",INDEX('DỮ LIỆU'!$C$3:$C$1052,$M224)))</f>
        <v/>
      </c>
      <c r="E224" s="21" t="str">
        <f aca="false">IF($M224="","",IF(INDEX('DỮ LIỆU'!$D$3:$D$1052,$M224)="","",INDEX('DỮ LIỆU'!$D$3:$D$1052,$M224)))</f>
        <v/>
      </c>
      <c r="F224" s="21" t="str">
        <f aca="false">IF($M224="","",IF(INDEX('DỮ LIỆU'!$H$3:$H$1052,$M224)="","",INDEX('DỮ LIỆU'!$H$3:$H$1052,$M224)))</f>
        <v/>
      </c>
      <c r="G224" s="13" t="str">
        <f aca="false">IF($M224="","",N(INDEX('DỮ LIỆU'!$I$3:$I$1052,$M224)))</f>
        <v/>
      </c>
      <c r="H224" s="13" t="str">
        <f aca="false">IF($M224="","",N(INDEX('DỮ LIỆU'!$M$3:$M$1052,$M224)))</f>
        <v/>
      </c>
      <c r="I224" s="13" t="str">
        <f aca="false">IF($M224="","",N(INDEX('DỮ LIỆU'!$N$3:$N$1052,$M224)))</f>
        <v/>
      </c>
      <c r="J224" s="13" t="str">
        <f aca="false">IF($M224="","",N(INDEX('DỮ LIỆU'!$O$3:$O$1052,$M224)))</f>
        <v/>
      </c>
      <c r="K224" s="13" t="str">
        <f aca="true">IF(OR($M224="",$C224=""),"",MAX(0,TODAY()-$C224))</f>
        <v/>
      </c>
      <c r="L224" s="21" t="str">
        <f aca="false">IF($M224="","",IF(INDEX('DỮ LIỆU'!$R$3:$R$1052,$M224)="","",INDEX('DỮ LIỆU'!$R$3:$R$1052,$M224)))</f>
        <v/>
      </c>
      <c r="M224" s="0" t="str">
        <f aca="false">IFERROR(MATCH(219,'DỮ LIỆU'!$T$3:$T$1052,0),"")</f>
        <v/>
      </c>
    </row>
    <row r="225" customFormat="false" ht="15" hidden="false" customHeight="false" outlineLevel="0" collapsed="false">
      <c r="A225" s="21" t="str">
        <f aca="false">IF($M225="","",220)</f>
        <v/>
      </c>
      <c r="B225" s="13" t="str">
        <f aca="false">IF($M225="","",INDEX('DỮ LIỆU'!$A$3:$A$1052,$M225))</f>
        <v/>
      </c>
      <c r="C225" s="41" t="str">
        <f aca="false">IF($M225="","",IF(INDEX('DỮ LIỆU'!$B$3:$B$1052,$M225)="","",INDEX('DỮ LIỆU'!$B$3:$B$1052,$M225)))</f>
        <v/>
      </c>
      <c r="D225" s="21" t="str">
        <f aca="false">IF($M225="","",IF(INDEX('DỮ LIỆU'!$C$3:$C$1052,$M225)="","",INDEX('DỮ LIỆU'!$C$3:$C$1052,$M225)))</f>
        <v/>
      </c>
      <c r="E225" s="21" t="str">
        <f aca="false">IF($M225="","",IF(INDEX('DỮ LIỆU'!$D$3:$D$1052,$M225)="","",INDEX('DỮ LIỆU'!$D$3:$D$1052,$M225)))</f>
        <v/>
      </c>
      <c r="F225" s="21" t="str">
        <f aca="false">IF($M225="","",IF(INDEX('DỮ LIỆU'!$H$3:$H$1052,$M225)="","",INDEX('DỮ LIỆU'!$H$3:$H$1052,$M225)))</f>
        <v/>
      </c>
      <c r="G225" s="13" t="str">
        <f aca="false">IF($M225="","",N(INDEX('DỮ LIỆU'!$I$3:$I$1052,$M225)))</f>
        <v/>
      </c>
      <c r="H225" s="13" t="str">
        <f aca="false">IF($M225="","",N(INDEX('DỮ LIỆU'!$M$3:$M$1052,$M225)))</f>
        <v/>
      </c>
      <c r="I225" s="13" t="str">
        <f aca="false">IF($M225="","",N(INDEX('DỮ LIỆU'!$N$3:$N$1052,$M225)))</f>
        <v/>
      </c>
      <c r="J225" s="13" t="str">
        <f aca="false">IF($M225="","",N(INDEX('DỮ LIỆU'!$O$3:$O$1052,$M225)))</f>
        <v/>
      </c>
      <c r="K225" s="13" t="str">
        <f aca="true">IF(OR($M225="",$C225=""),"",MAX(0,TODAY()-$C225))</f>
        <v/>
      </c>
      <c r="L225" s="21" t="str">
        <f aca="false">IF($M225="","",IF(INDEX('DỮ LIỆU'!$R$3:$R$1052,$M225)="","",INDEX('DỮ LIỆU'!$R$3:$R$1052,$M225)))</f>
        <v/>
      </c>
      <c r="M225" s="0" t="str">
        <f aca="false">IFERROR(MATCH(220,'DỮ LIỆU'!$T$3:$T$1052,0),"")</f>
        <v/>
      </c>
    </row>
    <row r="226" customFormat="false" ht="15" hidden="false" customHeight="false" outlineLevel="0" collapsed="false">
      <c r="A226" s="21" t="str">
        <f aca="false">IF($M226="","",221)</f>
        <v/>
      </c>
      <c r="B226" s="13" t="str">
        <f aca="false">IF($M226="","",INDEX('DỮ LIỆU'!$A$3:$A$1052,$M226))</f>
        <v/>
      </c>
      <c r="C226" s="41" t="str">
        <f aca="false">IF($M226="","",IF(INDEX('DỮ LIỆU'!$B$3:$B$1052,$M226)="","",INDEX('DỮ LIỆU'!$B$3:$B$1052,$M226)))</f>
        <v/>
      </c>
      <c r="D226" s="21" t="str">
        <f aca="false">IF($M226="","",IF(INDEX('DỮ LIỆU'!$C$3:$C$1052,$M226)="","",INDEX('DỮ LIỆU'!$C$3:$C$1052,$M226)))</f>
        <v/>
      </c>
      <c r="E226" s="21" t="str">
        <f aca="false">IF($M226="","",IF(INDEX('DỮ LIỆU'!$D$3:$D$1052,$M226)="","",INDEX('DỮ LIỆU'!$D$3:$D$1052,$M226)))</f>
        <v/>
      </c>
      <c r="F226" s="21" t="str">
        <f aca="false">IF($M226="","",IF(INDEX('DỮ LIỆU'!$H$3:$H$1052,$M226)="","",INDEX('DỮ LIỆU'!$H$3:$H$1052,$M226)))</f>
        <v/>
      </c>
      <c r="G226" s="13" t="str">
        <f aca="false">IF($M226="","",N(INDEX('DỮ LIỆU'!$I$3:$I$1052,$M226)))</f>
        <v/>
      </c>
      <c r="H226" s="13" t="str">
        <f aca="false">IF($M226="","",N(INDEX('DỮ LIỆU'!$M$3:$M$1052,$M226)))</f>
        <v/>
      </c>
      <c r="I226" s="13" t="str">
        <f aca="false">IF($M226="","",N(INDEX('DỮ LIỆU'!$N$3:$N$1052,$M226)))</f>
        <v/>
      </c>
      <c r="J226" s="13" t="str">
        <f aca="false">IF($M226="","",N(INDEX('DỮ LIỆU'!$O$3:$O$1052,$M226)))</f>
        <v/>
      </c>
      <c r="K226" s="13" t="str">
        <f aca="true">IF(OR($M226="",$C226=""),"",MAX(0,TODAY()-$C226))</f>
        <v/>
      </c>
      <c r="L226" s="21" t="str">
        <f aca="false">IF($M226="","",IF(INDEX('DỮ LIỆU'!$R$3:$R$1052,$M226)="","",INDEX('DỮ LIỆU'!$R$3:$R$1052,$M226)))</f>
        <v/>
      </c>
      <c r="M226" s="0" t="str">
        <f aca="false">IFERROR(MATCH(221,'DỮ LIỆU'!$T$3:$T$1052,0),"")</f>
        <v/>
      </c>
    </row>
    <row r="227" customFormat="false" ht="15" hidden="false" customHeight="false" outlineLevel="0" collapsed="false">
      <c r="A227" s="21" t="str">
        <f aca="false">IF($M227="","",222)</f>
        <v/>
      </c>
      <c r="B227" s="13" t="str">
        <f aca="false">IF($M227="","",INDEX('DỮ LIỆU'!$A$3:$A$1052,$M227))</f>
        <v/>
      </c>
      <c r="C227" s="41" t="str">
        <f aca="false">IF($M227="","",IF(INDEX('DỮ LIỆU'!$B$3:$B$1052,$M227)="","",INDEX('DỮ LIỆU'!$B$3:$B$1052,$M227)))</f>
        <v/>
      </c>
      <c r="D227" s="21" t="str">
        <f aca="false">IF($M227="","",IF(INDEX('DỮ LIỆU'!$C$3:$C$1052,$M227)="","",INDEX('DỮ LIỆU'!$C$3:$C$1052,$M227)))</f>
        <v/>
      </c>
      <c r="E227" s="21" t="str">
        <f aca="false">IF($M227="","",IF(INDEX('DỮ LIỆU'!$D$3:$D$1052,$M227)="","",INDEX('DỮ LIỆU'!$D$3:$D$1052,$M227)))</f>
        <v/>
      </c>
      <c r="F227" s="21" t="str">
        <f aca="false">IF($M227="","",IF(INDEX('DỮ LIỆU'!$H$3:$H$1052,$M227)="","",INDEX('DỮ LIỆU'!$H$3:$H$1052,$M227)))</f>
        <v/>
      </c>
      <c r="G227" s="13" t="str">
        <f aca="false">IF($M227="","",N(INDEX('DỮ LIỆU'!$I$3:$I$1052,$M227)))</f>
        <v/>
      </c>
      <c r="H227" s="13" t="str">
        <f aca="false">IF($M227="","",N(INDEX('DỮ LIỆU'!$M$3:$M$1052,$M227)))</f>
        <v/>
      </c>
      <c r="I227" s="13" t="str">
        <f aca="false">IF($M227="","",N(INDEX('DỮ LIỆU'!$N$3:$N$1052,$M227)))</f>
        <v/>
      </c>
      <c r="J227" s="13" t="str">
        <f aca="false">IF($M227="","",N(INDEX('DỮ LIỆU'!$O$3:$O$1052,$M227)))</f>
        <v/>
      </c>
      <c r="K227" s="13" t="str">
        <f aca="true">IF(OR($M227="",$C227=""),"",MAX(0,TODAY()-$C227))</f>
        <v/>
      </c>
      <c r="L227" s="21" t="str">
        <f aca="false">IF($M227="","",IF(INDEX('DỮ LIỆU'!$R$3:$R$1052,$M227)="","",INDEX('DỮ LIỆU'!$R$3:$R$1052,$M227)))</f>
        <v/>
      </c>
      <c r="M227" s="0" t="str">
        <f aca="false">IFERROR(MATCH(222,'DỮ LIỆU'!$T$3:$T$1052,0),"")</f>
        <v/>
      </c>
    </row>
    <row r="228" customFormat="false" ht="15" hidden="false" customHeight="false" outlineLevel="0" collapsed="false">
      <c r="A228" s="21" t="str">
        <f aca="false">IF($M228="","",223)</f>
        <v/>
      </c>
      <c r="B228" s="13" t="str">
        <f aca="false">IF($M228="","",INDEX('DỮ LIỆU'!$A$3:$A$1052,$M228))</f>
        <v/>
      </c>
      <c r="C228" s="41" t="str">
        <f aca="false">IF($M228="","",IF(INDEX('DỮ LIỆU'!$B$3:$B$1052,$M228)="","",INDEX('DỮ LIỆU'!$B$3:$B$1052,$M228)))</f>
        <v/>
      </c>
      <c r="D228" s="21" t="str">
        <f aca="false">IF($M228="","",IF(INDEX('DỮ LIỆU'!$C$3:$C$1052,$M228)="","",INDEX('DỮ LIỆU'!$C$3:$C$1052,$M228)))</f>
        <v/>
      </c>
      <c r="E228" s="21" t="str">
        <f aca="false">IF($M228="","",IF(INDEX('DỮ LIỆU'!$D$3:$D$1052,$M228)="","",INDEX('DỮ LIỆU'!$D$3:$D$1052,$M228)))</f>
        <v/>
      </c>
      <c r="F228" s="21" t="str">
        <f aca="false">IF($M228="","",IF(INDEX('DỮ LIỆU'!$H$3:$H$1052,$M228)="","",INDEX('DỮ LIỆU'!$H$3:$H$1052,$M228)))</f>
        <v/>
      </c>
      <c r="G228" s="13" t="str">
        <f aca="false">IF($M228="","",N(INDEX('DỮ LIỆU'!$I$3:$I$1052,$M228)))</f>
        <v/>
      </c>
      <c r="H228" s="13" t="str">
        <f aca="false">IF($M228="","",N(INDEX('DỮ LIỆU'!$M$3:$M$1052,$M228)))</f>
        <v/>
      </c>
      <c r="I228" s="13" t="str">
        <f aca="false">IF($M228="","",N(INDEX('DỮ LIỆU'!$N$3:$N$1052,$M228)))</f>
        <v/>
      </c>
      <c r="J228" s="13" t="str">
        <f aca="false">IF($M228="","",N(INDEX('DỮ LIỆU'!$O$3:$O$1052,$M228)))</f>
        <v/>
      </c>
      <c r="K228" s="13" t="str">
        <f aca="true">IF(OR($M228="",$C228=""),"",MAX(0,TODAY()-$C228))</f>
        <v/>
      </c>
      <c r="L228" s="21" t="str">
        <f aca="false">IF($M228="","",IF(INDEX('DỮ LIỆU'!$R$3:$R$1052,$M228)="","",INDEX('DỮ LIỆU'!$R$3:$R$1052,$M228)))</f>
        <v/>
      </c>
      <c r="M228" s="0" t="str">
        <f aca="false">IFERROR(MATCH(223,'DỮ LIỆU'!$T$3:$T$1052,0),"")</f>
        <v/>
      </c>
    </row>
    <row r="229" customFormat="false" ht="15" hidden="false" customHeight="false" outlineLevel="0" collapsed="false">
      <c r="A229" s="21" t="str">
        <f aca="false">IF($M229="","",224)</f>
        <v/>
      </c>
      <c r="B229" s="13" t="str">
        <f aca="false">IF($M229="","",INDEX('DỮ LIỆU'!$A$3:$A$1052,$M229))</f>
        <v/>
      </c>
      <c r="C229" s="41" t="str">
        <f aca="false">IF($M229="","",IF(INDEX('DỮ LIỆU'!$B$3:$B$1052,$M229)="","",INDEX('DỮ LIỆU'!$B$3:$B$1052,$M229)))</f>
        <v/>
      </c>
      <c r="D229" s="21" t="str">
        <f aca="false">IF($M229="","",IF(INDEX('DỮ LIỆU'!$C$3:$C$1052,$M229)="","",INDEX('DỮ LIỆU'!$C$3:$C$1052,$M229)))</f>
        <v/>
      </c>
      <c r="E229" s="21" t="str">
        <f aca="false">IF($M229="","",IF(INDEX('DỮ LIỆU'!$D$3:$D$1052,$M229)="","",INDEX('DỮ LIỆU'!$D$3:$D$1052,$M229)))</f>
        <v/>
      </c>
      <c r="F229" s="21" t="str">
        <f aca="false">IF($M229="","",IF(INDEX('DỮ LIỆU'!$H$3:$H$1052,$M229)="","",INDEX('DỮ LIỆU'!$H$3:$H$1052,$M229)))</f>
        <v/>
      </c>
      <c r="G229" s="13" t="str">
        <f aca="false">IF($M229="","",N(INDEX('DỮ LIỆU'!$I$3:$I$1052,$M229)))</f>
        <v/>
      </c>
      <c r="H229" s="13" t="str">
        <f aca="false">IF($M229="","",N(INDEX('DỮ LIỆU'!$M$3:$M$1052,$M229)))</f>
        <v/>
      </c>
      <c r="I229" s="13" t="str">
        <f aca="false">IF($M229="","",N(INDEX('DỮ LIỆU'!$N$3:$N$1052,$M229)))</f>
        <v/>
      </c>
      <c r="J229" s="13" t="str">
        <f aca="false">IF($M229="","",N(INDEX('DỮ LIỆU'!$O$3:$O$1052,$M229)))</f>
        <v/>
      </c>
      <c r="K229" s="13" t="str">
        <f aca="true">IF(OR($M229="",$C229=""),"",MAX(0,TODAY()-$C229))</f>
        <v/>
      </c>
      <c r="L229" s="21" t="str">
        <f aca="false">IF($M229="","",IF(INDEX('DỮ LIỆU'!$R$3:$R$1052,$M229)="","",INDEX('DỮ LIỆU'!$R$3:$R$1052,$M229)))</f>
        <v/>
      </c>
      <c r="M229" s="0" t="str">
        <f aca="false">IFERROR(MATCH(224,'DỮ LIỆU'!$T$3:$T$1052,0),"")</f>
        <v/>
      </c>
    </row>
    <row r="230" customFormat="false" ht="15" hidden="false" customHeight="false" outlineLevel="0" collapsed="false">
      <c r="A230" s="21" t="str">
        <f aca="false">IF($M230="","",225)</f>
        <v/>
      </c>
      <c r="B230" s="13" t="str">
        <f aca="false">IF($M230="","",INDEX('DỮ LIỆU'!$A$3:$A$1052,$M230))</f>
        <v/>
      </c>
      <c r="C230" s="41" t="str">
        <f aca="false">IF($M230="","",IF(INDEX('DỮ LIỆU'!$B$3:$B$1052,$M230)="","",INDEX('DỮ LIỆU'!$B$3:$B$1052,$M230)))</f>
        <v/>
      </c>
      <c r="D230" s="21" t="str">
        <f aca="false">IF($M230="","",IF(INDEX('DỮ LIỆU'!$C$3:$C$1052,$M230)="","",INDEX('DỮ LIỆU'!$C$3:$C$1052,$M230)))</f>
        <v/>
      </c>
      <c r="E230" s="21" t="str">
        <f aca="false">IF($M230="","",IF(INDEX('DỮ LIỆU'!$D$3:$D$1052,$M230)="","",INDEX('DỮ LIỆU'!$D$3:$D$1052,$M230)))</f>
        <v/>
      </c>
      <c r="F230" s="21" t="str">
        <f aca="false">IF($M230="","",IF(INDEX('DỮ LIỆU'!$H$3:$H$1052,$M230)="","",INDEX('DỮ LIỆU'!$H$3:$H$1052,$M230)))</f>
        <v/>
      </c>
      <c r="G230" s="13" t="str">
        <f aca="false">IF($M230="","",N(INDEX('DỮ LIỆU'!$I$3:$I$1052,$M230)))</f>
        <v/>
      </c>
      <c r="H230" s="13" t="str">
        <f aca="false">IF($M230="","",N(INDEX('DỮ LIỆU'!$M$3:$M$1052,$M230)))</f>
        <v/>
      </c>
      <c r="I230" s="13" t="str">
        <f aca="false">IF($M230="","",N(INDEX('DỮ LIỆU'!$N$3:$N$1052,$M230)))</f>
        <v/>
      </c>
      <c r="J230" s="13" t="str">
        <f aca="false">IF($M230="","",N(INDEX('DỮ LIỆU'!$O$3:$O$1052,$M230)))</f>
        <v/>
      </c>
      <c r="K230" s="13" t="str">
        <f aca="true">IF(OR($M230="",$C230=""),"",MAX(0,TODAY()-$C230))</f>
        <v/>
      </c>
      <c r="L230" s="21" t="str">
        <f aca="false">IF($M230="","",IF(INDEX('DỮ LIỆU'!$R$3:$R$1052,$M230)="","",INDEX('DỮ LIỆU'!$R$3:$R$1052,$M230)))</f>
        <v/>
      </c>
      <c r="M230" s="0" t="str">
        <f aca="false">IFERROR(MATCH(225,'DỮ LIỆU'!$T$3:$T$1052,0),"")</f>
        <v/>
      </c>
    </row>
    <row r="231" customFormat="false" ht="15" hidden="false" customHeight="false" outlineLevel="0" collapsed="false">
      <c r="A231" s="21" t="str">
        <f aca="false">IF($M231="","",226)</f>
        <v/>
      </c>
      <c r="B231" s="13" t="str">
        <f aca="false">IF($M231="","",INDEX('DỮ LIỆU'!$A$3:$A$1052,$M231))</f>
        <v/>
      </c>
      <c r="C231" s="41" t="str">
        <f aca="false">IF($M231="","",IF(INDEX('DỮ LIỆU'!$B$3:$B$1052,$M231)="","",INDEX('DỮ LIỆU'!$B$3:$B$1052,$M231)))</f>
        <v/>
      </c>
      <c r="D231" s="21" t="str">
        <f aca="false">IF($M231="","",IF(INDEX('DỮ LIỆU'!$C$3:$C$1052,$M231)="","",INDEX('DỮ LIỆU'!$C$3:$C$1052,$M231)))</f>
        <v/>
      </c>
      <c r="E231" s="21" t="str">
        <f aca="false">IF($M231="","",IF(INDEX('DỮ LIỆU'!$D$3:$D$1052,$M231)="","",INDEX('DỮ LIỆU'!$D$3:$D$1052,$M231)))</f>
        <v/>
      </c>
      <c r="F231" s="21" t="str">
        <f aca="false">IF($M231="","",IF(INDEX('DỮ LIỆU'!$H$3:$H$1052,$M231)="","",INDEX('DỮ LIỆU'!$H$3:$H$1052,$M231)))</f>
        <v/>
      </c>
      <c r="G231" s="13" t="str">
        <f aca="false">IF($M231="","",N(INDEX('DỮ LIỆU'!$I$3:$I$1052,$M231)))</f>
        <v/>
      </c>
      <c r="H231" s="13" t="str">
        <f aca="false">IF($M231="","",N(INDEX('DỮ LIỆU'!$M$3:$M$1052,$M231)))</f>
        <v/>
      </c>
      <c r="I231" s="13" t="str">
        <f aca="false">IF($M231="","",N(INDEX('DỮ LIỆU'!$N$3:$N$1052,$M231)))</f>
        <v/>
      </c>
      <c r="J231" s="13" t="str">
        <f aca="false">IF($M231="","",N(INDEX('DỮ LIỆU'!$O$3:$O$1052,$M231)))</f>
        <v/>
      </c>
      <c r="K231" s="13" t="str">
        <f aca="true">IF(OR($M231="",$C231=""),"",MAX(0,TODAY()-$C231))</f>
        <v/>
      </c>
      <c r="L231" s="21" t="str">
        <f aca="false">IF($M231="","",IF(INDEX('DỮ LIỆU'!$R$3:$R$1052,$M231)="","",INDEX('DỮ LIỆU'!$R$3:$R$1052,$M231)))</f>
        <v/>
      </c>
      <c r="M231" s="0" t="str">
        <f aca="false">IFERROR(MATCH(226,'DỮ LIỆU'!$T$3:$T$1052,0),"")</f>
        <v/>
      </c>
    </row>
    <row r="232" customFormat="false" ht="15" hidden="false" customHeight="false" outlineLevel="0" collapsed="false">
      <c r="A232" s="21" t="str">
        <f aca="false">IF($M232="","",227)</f>
        <v/>
      </c>
      <c r="B232" s="13" t="str">
        <f aca="false">IF($M232="","",INDEX('DỮ LIỆU'!$A$3:$A$1052,$M232))</f>
        <v/>
      </c>
      <c r="C232" s="41" t="str">
        <f aca="false">IF($M232="","",IF(INDEX('DỮ LIỆU'!$B$3:$B$1052,$M232)="","",INDEX('DỮ LIỆU'!$B$3:$B$1052,$M232)))</f>
        <v/>
      </c>
      <c r="D232" s="21" t="str">
        <f aca="false">IF($M232="","",IF(INDEX('DỮ LIỆU'!$C$3:$C$1052,$M232)="","",INDEX('DỮ LIỆU'!$C$3:$C$1052,$M232)))</f>
        <v/>
      </c>
      <c r="E232" s="21" t="str">
        <f aca="false">IF($M232="","",IF(INDEX('DỮ LIỆU'!$D$3:$D$1052,$M232)="","",INDEX('DỮ LIỆU'!$D$3:$D$1052,$M232)))</f>
        <v/>
      </c>
      <c r="F232" s="21" t="str">
        <f aca="false">IF($M232="","",IF(INDEX('DỮ LIỆU'!$H$3:$H$1052,$M232)="","",INDEX('DỮ LIỆU'!$H$3:$H$1052,$M232)))</f>
        <v/>
      </c>
      <c r="G232" s="13" t="str">
        <f aca="false">IF($M232="","",N(INDEX('DỮ LIỆU'!$I$3:$I$1052,$M232)))</f>
        <v/>
      </c>
      <c r="H232" s="13" t="str">
        <f aca="false">IF($M232="","",N(INDEX('DỮ LIỆU'!$M$3:$M$1052,$M232)))</f>
        <v/>
      </c>
      <c r="I232" s="13" t="str">
        <f aca="false">IF($M232="","",N(INDEX('DỮ LIỆU'!$N$3:$N$1052,$M232)))</f>
        <v/>
      </c>
      <c r="J232" s="13" t="str">
        <f aca="false">IF($M232="","",N(INDEX('DỮ LIỆU'!$O$3:$O$1052,$M232)))</f>
        <v/>
      </c>
      <c r="K232" s="13" t="str">
        <f aca="true">IF(OR($M232="",$C232=""),"",MAX(0,TODAY()-$C232))</f>
        <v/>
      </c>
      <c r="L232" s="21" t="str">
        <f aca="false">IF($M232="","",IF(INDEX('DỮ LIỆU'!$R$3:$R$1052,$M232)="","",INDEX('DỮ LIỆU'!$R$3:$R$1052,$M232)))</f>
        <v/>
      </c>
      <c r="M232" s="0" t="str">
        <f aca="false">IFERROR(MATCH(227,'DỮ LIỆU'!$T$3:$T$1052,0),"")</f>
        <v/>
      </c>
    </row>
    <row r="233" customFormat="false" ht="15" hidden="false" customHeight="false" outlineLevel="0" collapsed="false">
      <c r="A233" s="21" t="str">
        <f aca="false">IF($M233="","",228)</f>
        <v/>
      </c>
      <c r="B233" s="13" t="str">
        <f aca="false">IF($M233="","",INDEX('DỮ LIỆU'!$A$3:$A$1052,$M233))</f>
        <v/>
      </c>
      <c r="C233" s="41" t="str">
        <f aca="false">IF($M233="","",IF(INDEX('DỮ LIỆU'!$B$3:$B$1052,$M233)="","",INDEX('DỮ LIỆU'!$B$3:$B$1052,$M233)))</f>
        <v/>
      </c>
      <c r="D233" s="21" t="str">
        <f aca="false">IF($M233="","",IF(INDEX('DỮ LIỆU'!$C$3:$C$1052,$M233)="","",INDEX('DỮ LIỆU'!$C$3:$C$1052,$M233)))</f>
        <v/>
      </c>
      <c r="E233" s="21" t="str">
        <f aca="false">IF($M233="","",IF(INDEX('DỮ LIỆU'!$D$3:$D$1052,$M233)="","",INDEX('DỮ LIỆU'!$D$3:$D$1052,$M233)))</f>
        <v/>
      </c>
      <c r="F233" s="21" t="str">
        <f aca="false">IF($M233="","",IF(INDEX('DỮ LIỆU'!$H$3:$H$1052,$M233)="","",INDEX('DỮ LIỆU'!$H$3:$H$1052,$M233)))</f>
        <v/>
      </c>
      <c r="G233" s="13" t="str">
        <f aca="false">IF($M233="","",N(INDEX('DỮ LIỆU'!$I$3:$I$1052,$M233)))</f>
        <v/>
      </c>
      <c r="H233" s="13" t="str">
        <f aca="false">IF($M233="","",N(INDEX('DỮ LIỆU'!$M$3:$M$1052,$M233)))</f>
        <v/>
      </c>
      <c r="I233" s="13" t="str">
        <f aca="false">IF($M233="","",N(INDEX('DỮ LIỆU'!$N$3:$N$1052,$M233)))</f>
        <v/>
      </c>
      <c r="J233" s="13" t="str">
        <f aca="false">IF($M233="","",N(INDEX('DỮ LIỆU'!$O$3:$O$1052,$M233)))</f>
        <v/>
      </c>
      <c r="K233" s="13" t="str">
        <f aca="true">IF(OR($M233="",$C233=""),"",MAX(0,TODAY()-$C233))</f>
        <v/>
      </c>
      <c r="L233" s="21" t="str">
        <f aca="false">IF($M233="","",IF(INDEX('DỮ LIỆU'!$R$3:$R$1052,$M233)="","",INDEX('DỮ LIỆU'!$R$3:$R$1052,$M233)))</f>
        <v/>
      </c>
      <c r="M233" s="0" t="str">
        <f aca="false">IFERROR(MATCH(228,'DỮ LIỆU'!$T$3:$T$1052,0),"")</f>
        <v/>
      </c>
    </row>
    <row r="234" customFormat="false" ht="15" hidden="false" customHeight="false" outlineLevel="0" collapsed="false">
      <c r="A234" s="21" t="str">
        <f aca="false">IF($M234="","",229)</f>
        <v/>
      </c>
      <c r="B234" s="13" t="str">
        <f aca="false">IF($M234="","",INDEX('DỮ LIỆU'!$A$3:$A$1052,$M234))</f>
        <v/>
      </c>
      <c r="C234" s="41" t="str">
        <f aca="false">IF($M234="","",IF(INDEX('DỮ LIỆU'!$B$3:$B$1052,$M234)="","",INDEX('DỮ LIỆU'!$B$3:$B$1052,$M234)))</f>
        <v/>
      </c>
      <c r="D234" s="21" t="str">
        <f aca="false">IF($M234="","",IF(INDEX('DỮ LIỆU'!$C$3:$C$1052,$M234)="","",INDEX('DỮ LIỆU'!$C$3:$C$1052,$M234)))</f>
        <v/>
      </c>
      <c r="E234" s="21" t="str">
        <f aca="false">IF($M234="","",IF(INDEX('DỮ LIỆU'!$D$3:$D$1052,$M234)="","",INDEX('DỮ LIỆU'!$D$3:$D$1052,$M234)))</f>
        <v/>
      </c>
      <c r="F234" s="21" t="str">
        <f aca="false">IF($M234="","",IF(INDEX('DỮ LIỆU'!$H$3:$H$1052,$M234)="","",INDEX('DỮ LIỆU'!$H$3:$H$1052,$M234)))</f>
        <v/>
      </c>
      <c r="G234" s="13" t="str">
        <f aca="false">IF($M234="","",N(INDEX('DỮ LIỆU'!$I$3:$I$1052,$M234)))</f>
        <v/>
      </c>
      <c r="H234" s="13" t="str">
        <f aca="false">IF($M234="","",N(INDEX('DỮ LIỆU'!$M$3:$M$1052,$M234)))</f>
        <v/>
      </c>
      <c r="I234" s="13" t="str">
        <f aca="false">IF($M234="","",N(INDEX('DỮ LIỆU'!$N$3:$N$1052,$M234)))</f>
        <v/>
      </c>
      <c r="J234" s="13" t="str">
        <f aca="false">IF($M234="","",N(INDEX('DỮ LIỆU'!$O$3:$O$1052,$M234)))</f>
        <v/>
      </c>
      <c r="K234" s="13" t="str">
        <f aca="true">IF(OR($M234="",$C234=""),"",MAX(0,TODAY()-$C234))</f>
        <v/>
      </c>
      <c r="L234" s="21" t="str">
        <f aca="false">IF($M234="","",IF(INDEX('DỮ LIỆU'!$R$3:$R$1052,$M234)="","",INDEX('DỮ LIỆU'!$R$3:$R$1052,$M234)))</f>
        <v/>
      </c>
      <c r="M234" s="0" t="str">
        <f aca="false">IFERROR(MATCH(229,'DỮ LIỆU'!$T$3:$T$1052,0),"")</f>
        <v/>
      </c>
    </row>
    <row r="235" customFormat="false" ht="15" hidden="false" customHeight="false" outlineLevel="0" collapsed="false">
      <c r="A235" s="21" t="str">
        <f aca="false">IF($M235="","",230)</f>
        <v/>
      </c>
      <c r="B235" s="13" t="str">
        <f aca="false">IF($M235="","",INDEX('DỮ LIỆU'!$A$3:$A$1052,$M235))</f>
        <v/>
      </c>
      <c r="C235" s="41" t="str">
        <f aca="false">IF($M235="","",IF(INDEX('DỮ LIỆU'!$B$3:$B$1052,$M235)="","",INDEX('DỮ LIỆU'!$B$3:$B$1052,$M235)))</f>
        <v/>
      </c>
      <c r="D235" s="21" t="str">
        <f aca="false">IF($M235="","",IF(INDEX('DỮ LIỆU'!$C$3:$C$1052,$M235)="","",INDEX('DỮ LIỆU'!$C$3:$C$1052,$M235)))</f>
        <v/>
      </c>
      <c r="E235" s="21" t="str">
        <f aca="false">IF($M235="","",IF(INDEX('DỮ LIỆU'!$D$3:$D$1052,$M235)="","",INDEX('DỮ LIỆU'!$D$3:$D$1052,$M235)))</f>
        <v/>
      </c>
      <c r="F235" s="21" t="str">
        <f aca="false">IF($M235="","",IF(INDEX('DỮ LIỆU'!$H$3:$H$1052,$M235)="","",INDEX('DỮ LIỆU'!$H$3:$H$1052,$M235)))</f>
        <v/>
      </c>
      <c r="G235" s="13" t="str">
        <f aca="false">IF($M235="","",N(INDEX('DỮ LIỆU'!$I$3:$I$1052,$M235)))</f>
        <v/>
      </c>
      <c r="H235" s="13" t="str">
        <f aca="false">IF($M235="","",N(INDEX('DỮ LIỆU'!$M$3:$M$1052,$M235)))</f>
        <v/>
      </c>
      <c r="I235" s="13" t="str">
        <f aca="false">IF($M235="","",N(INDEX('DỮ LIỆU'!$N$3:$N$1052,$M235)))</f>
        <v/>
      </c>
      <c r="J235" s="13" t="str">
        <f aca="false">IF($M235="","",N(INDEX('DỮ LIỆU'!$O$3:$O$1052,$M235)))</f>
        <v/>
      </c>
      <c r="K235" s="13" t="str">
        <f aca="true">IF(OR($M235="",$C235=""),"",MAX(0,TODAY()-$C235))</f>
        <v/>
      </c>
      <c r="L235" s="21" t="str">
        <f aca="false">IF($M235="","",IF(INDEX('DỮ LIỆU'!$R$3:$R$1052,$M235)="","",INDEX('DỮ LIỆU'!$R$3:$R$1052,$M235)))</f>
        <v/>
      </c>
      <c r="M235" s="0" t="str">
        <f aca="false">IFERROR(MATCH(230,'DỮ LIỆU'!$T$3:$T$1052,0),"")</f>
        <v/>
      </c>
    </row>
    <row r="236" customFormat="false" ht="15" hidden="false" customHeight="false" outlineLevel="0" collapsed="false">
      <c r="A236" s="21" t="str">
        <f aca="false">IF($M236="","",231)</f>
        <v/>
      </c>
      <c r="B236" s="13" t="str">
        <f aca="false">IF($M236="","",INDEX('DỮ LIỆU'!$A$3:$A$1052,$M236))</f>
        <v/>
      </c>
      <c r="C236" s="41" t="str">
        <f aca="false">IF($M236="","",IF(INDEX('DỮ LIỆU'!$B$3:$B$1052,$M236)="","",INDEX('DỮ LIỆU'!$B$3:$B$1052,$M236)))</f>
        <v/>
      </c>
      <c r="D236" s="21" t="str">
        <f aca="false">IF($M236="","",IF(INDEX('DỮ LIỆU'!$C$3:$C$1052,$M236)="","",INDEX('DỮ LIỆU'!$C$3:$C$1052,$M236)))</f>
        <v/>
      </c>
      <c r="E236" s="21" t="str">
        <f aca="false">IF($M236="","",IF(INDEX('DỮ LIỆU'!$D$3:$D$1052,$M236)="","",INDEX('DỮ LIỆU'!$D$3:$D$1052,$M236)))</f>
        <v/>
      </c>
      <c r="F236" s="21" t="str">
        <f aca="false">IF($M236="","",IF(INDEX('DỮ LIỆU'!$H$3:$H$1052,$M236)="","",INDEX('DỮ LIỆU'!$H$3:$H$1052,$M236)))</f>
        <v/>
      </c>
      <c r="G236" s="13" t="str">
        <f aca="false">IF($M236="","",N(INDEX('DỮ LIỆU'!$I$3:$I$1052,$M236)))</f>
        <v/>
      </c>
      <c r="H236" s="13" t="str">
        <f aca="false">IF($M236="","",N(INDEX('DỮ LIỆU'!$M$3:$M$1052,$M236)))</f>
        <v/>
      </c>
      <c r="I236" s="13" t="str">
        <f aca="false">IF($M236="","",N(INDEX('DỮ LIỆU'!$N$3:$N$1052,$M236)))</f>
        <v/>
      </c>
      <c r="J236" s="13" t="str">
        <f aca="false">IF($M236="","",N(INDEX('DỮ LIỆU'!$O$3:$O$1052,$M236)))</f>
        <v/>
      </c>
      <c r="K236" s="13" t="str">
        <f aca="true">IF(OR($M236="",$C236=""),"",MAX(0,TODAY()-$C236))</f>
        <v/>
      </c>
      <c r="L236" s="21" t="str">
        <f aca="false">IF($M236="","",IF(INDEX('DỮ LIỆU'!$R$3:$R$1052,$M236)="","",INDEX('DỮ LIỆU'!$R$3:$R$1052,$M236)))</f>
        <v/>
      </c>
      <c r="M236" s="0" t="str">
        <f aca="false">IFERROR(MATCH(231,'DỮ LIỆU'!$T$3:$T$1052,0),"")</f>
        <v/>
      </c>
    </row>
    <row r="237" customFormat="false" ht="15" hidden="false" customHeight="false" outlineLevel="0" collapsed="false">
      <c r="A237" s="21" t="str">
        <f aca="false">IF($M237="","",232)</f>
        <v/>
      </c>
      <c r="B237" s="13" t="str">
        <f aca="false">IF($M237="","",INDEX('DỮ LIỆU'!$A$3:$A$1052,$M237))</f>
        <v/>
      </c>
      <c r="C237" s="41" t="str">
        <f aca="false">IF($M237="","",IF(INDEX('DỮ LIỆU'!$B$3:$B$1052,$M237)="","",INDEX('DỮ LIỆU'!$B$3:$B$1052,$M237)))</f>
        <v/>
      </c>
      <c r="D237" s="21" t="str">
        <f aca="false">IF($M237="","",IF(INDEX('DỮ LIỆU'!$C$3:$C$1052,$M237)="","",INDEX('DỮ LIỆU'!$C$3:$C$1052,$M237)))</f>
        <v/>
      </c>
      <c r="E237" s="21" t="str">
        <f aca="false">IF($M237="","",IF(INDEX('DỮ LIỆU'!$D$3:$D$1052,$M237)="","",INDEX('DỮ LIỆU'!$D$3:$D$1052,$M237)))</f>
        <v/>
      </c>
      <c r="F237" s="21" t="str">
        <f aca="false">IF($M237="","",IF(INDEX('DỮ LIỆU'!$H$3:$H$1052,$M237)="","",INDEX('DỮ LIỆU'!$H$3:$H$1052,$M237)))</f>
        <v/>
      </c>
      <c r="G237" s="13" t="str">
        <f aca="false">IF($M237="","",N(INDEX('DỮ LIỆU'!$I$3:$I$1052,$M237)))</f>
        <v/>
      </c>
      <c r="H237" s="13" t="str">
        <f aca="false">IF($M237="","",N(INDEX('DỮ LIỆU'!$M$3:$M$1052,$M237)))</f>
        <v/>
      </c>
      <c r="I237" s="13" t="str">
        <f aca="false">IF($M237="","",N(INDEX('DỮ LIỆU'!$N$3:$N$1052,$M237)))</f>
        <v/>
      </c>
      <c r="J237" s="13" t="str">
        <f aca="false">IF($M237="","",N(INDEX('DỮ LIỆU'!$O$3:$O$1052,$M237)))</f>
        <v/>
      </c>
      <c r="K237" s="13" t="str">
        <f aca="true">IF(OR($M237="",$C237=""),"",MAX(0,TODAY()-$C237))</f>
        <v/>
      </c>
      <c r="L237" s="21" t="str">
        <f aca="false">IF($M237="","",IF(INDEX('DỮ LIỆU'!$R$3:$R$1052,$M237)="","",INDEX('DỮ LIỆU'!$R$3:$R$1052,$M237)))</f>
        <v/>
      </c>
      <c r="M237" s="0" t="str">
        <f aca="false">IFERROR(MATCH(232,'DỮ LIỆU'!$T$3:$T$1052,0),"")</f>
        <v/>
      </c>
    </row>
    <row r="238" customFormat="false" ht="15" hidden="false" customHeight="false" outlineLevel="0" collapsed="false">
      <c r="A238" s="21" t="str">
        <f aca="false">IF($M238="","",233)</f>
        <v/>
      </c>
      <c r="B238" s="13" t="str">
        <f aca="false">IF($M238="","",INDEX('DỮ LIỆU'!$A$3:$A$1052,$M238))</f>
        <v/>
      </c>
      <c r="C238" s="41" t="str">
        <f aca="false">IF($M238="","",IF(INDEX('DỮ LIỆU'!$B$3:$B$1052,$M238)="","",INDEX('DỮ LIỆU'!$B$3:$B$1052,$M238)))</f>
        <v/>
      </c>
      <c r="D238" s="21" t="str">
        <f aca="false">IF($M238="","",IF(INDEX('DỮ LIỆU'!$C$3:$C$1052,$M238)="","",INDEX('DỮ LIỆU'!$C$3:$C$1052,$M238)))</f>
        <v/>
      </c>
      <c r="E238" s="21" t="str">
        <f aca="false">IF($M238="","",IF(INDEX('DỮ LIỆU'!$D$3:$D$1052,$M238)="","",INDEX('DỮ LIỆU'!$D$3:$D$1052,$M238)))</f>
        <v/>
      </c>
      <c r="F238" s="21" t="str">
        <f aca="false">IF($M238="","",IF(INDEX('DỮ LIỆU'!$H$3:$H$1052,$M238)="","",INDEX('DỮ LIỆU'!$H$3:$H$1052,$M238)))</f>
        <v/>
      </c>
      <c r="G238" s="13" t="str">
        <f aca="false">IF($M238="","",N(INDEX('DỮ LIỆU'!$I$3:$I$1052,$M238)))</f>
        <v/>
      </c>
      <c r="H238" s="13" t="str">
        <f aca="false">IF($M238="","",N(INDEX('DỮ LIỆU'!$M$3:$M$1052,$M238)))</f>
        <v/>
      </c>
      <c r="I238" s="13" t="str">
        <f aca="false">IF($M238="","",N(INDEX('DỮ LIỆU'!$N$3:$N$1052,$M238)))</f>
        <v/>
      </c>
      <c r="J238" s="13" t="str">
        <f aca="false">IF($M238="","",N(INDEX('DỮ LIỆU'!$O$3:$O$1052,$M238)))</f>
        <v/>
      </c>
      <c r="K238" s="13" t="str">
        <f aca="true">IF(OR($M238="",$C238=""),"",MAX(0,TODAY()-$C238))</f>
        <v/>
      </c>
      <c r="L238" s="21" t="str">
        <f aca="false">IF($M238="","",IF(INDEX('DỮ LIỆU'!$R$3:$R$1052,$M238)="","",INDEX('DỮ LIỆU'!$R$3:$R$1052,$M238)))</f>
        <v/>
      </c>
      <c r="M238" s="0" t="str">
        <f aca="false">IFERROR(MATCH(233,'DỮ LIỆU'!$T$3:$T$1052,0),"")</f>
        <v/>
      </c>
    </row>
    <row r="239" customFormat="false" ht="15" hidden="false" customHeight="false" outlineLevel="0" collapsed="false">
      <c r="A239" s="21" t="str">
        <f aca="false">IF($M239="","",234)</f>
        <v/>
      </c>
      <c r="B239" s="13" t="str">
        <f aca="false">IF($M239="","",INDEX('DỮ LIỆU'!$A$3:$A$1052,$M239))</f>
        <v/>
      </c>
      <c r="C239" s="41" t="str">
        <f aca="false">IF($M239="","",IF(INDEX('DỮ LIỆU'!$B$3:$B$1052,$M239)="","",INDEX('DỮ LIỆU'!$B$3:$B$1052,$M239)))</f>
        <v/>
      </c>
      <c r="D239" s="21" t="str">
        <f aca="false">IF($M239="","",IF(INDEX('DỮ LIỆU'!$C$3:$C$1052,$M239)="","",INDEX('DỮ LIỆU'!$C$3:$C$1052,$M239)))</f>
        <v/>
      </c>
      <c r="E239" s="21" t="str">
        <f aca="false">IF($M239="","",IF(INDEX('DỮ LIỆU'!$D$3:$D$1052,$M239)="","",INDEX('DỮ LIỆU'!$D$3:$D$1052,$M239)))</f>
        <v/>
      </c>
      <c r="F239" s="21" t="str">
        <f aca="false">IF($M239="","",IF(INDEX('DỮ LIỆU'!$H$3:$H$1052,$M239)="","",INDEX('DỮ LIỆU'!$H$3:$H$1052,$M239)))</f>
        <v/>
      </c>
      <c r="G239" s="13" t="str">
        <f aca="false">IF($M239="","",N(INDEX('DỮ LIỆU'!$I$3:$I$1052,$M239)))</f>
        <v/>
      </c>
      <c r="H239" s="13" t="str">
        <f aca="false">IF($M239="","",N(INDEX('DỮ LIỆU'!$M$3:$M$1052,$M239)))</f>
        <v/>
      </c>
      <c r="I239" s="13" t="str">
        <f aca="false">IF($M239="","",N(INDEX('DỮ LIỆU'!$N$3:$N$1052,$M239)))</f>
        <v/>
      </c>
      <c r="J239" s="13" t="str">
        <f aca="false">IF($M239="","",N(INDEX('DỮ LIỆU'!$O$3:$O$1052,$M239)))</f>
        <v/>
      </c>
      <c r="K239" s="13" t="str">
        <f aca="true">IF(OR($M239="",$C239=""),"",MAX(0,TODAY()-$C239))</f>
        <v/>
      </c>
      <c r="L239" s="21" t="str">
        <f aca="false">IF($M239="","",IF(INDEX('DỮ LIỆU'!$R$3:$R$1052,$M239)="","",INDEX('DỮ LIỆU'!$R$3:$R$1052,$M239)))</f>
        <v/>
      </c>
      <c r="M239" s="0" t="str">
        <f aca="false">IFERROR(MATCH(234,'DỮ LIỆU'!$T$3:$T$1052,0),"")</f>
        <v/>
      </c>
    </row>
    <row r="240" customFormat="false" ht="15" hidden="false" customHeight="false" outlineLevel="0" collapsed="false">
      <c r="A240" s="21" t="str">
        <f aca="false">IF($M240="","",235)</f>
        <v/>
      </c>
      <c r="B240" s="13" t="str">
        <f aca="false">IF($M240="","",INDEX('DỮ LIỆU'!$A$3:$A$1052,$M240))</f>
        <v/>
      </c>
      <c r="C240" s="41" t="str">
        <f aca="false">IF($M240="","",IF(INDEX('DỮ LIỆU'!$B$3:$B$1052,$M240)="","",INDEX('DỮ LIỆU'!$B$3:$B$1052,$M240)))</f>
        <v/>
      </c>
      <c r="D240" s="21" t="str">
        <f aca="false">IF($M240="","",IF(INDEX('DỮ LIỆU'!$C$3:$C$1052,$M240)="","",INDEX('DỮ LIỆU'!$C$3:$C$1052,$M240)))</f>
        <v/>
      </c>
      <c r="E240" s="21" t="str">
        <f aca="false">IF($M240="","",IF(INDEX('DỮ LIỆU'!$D$3:$D$1052,$M240)="","",INDEX('DỮ LIỆU'!$D$3:$D$1052,$M240)))</f>
        <v/>
      </c>
      <c r="F240" s="21" t="str">
        <f aca="false">IF($M240="","",IF(INDEX('DỮ LIỆU'!$H$3:$H$1052,$M240)="","",INDEX('DỮ LIỆU'!$H$3:$H$1052,$M240)))</f>
        <v/>
      </c>
      <c r="G240" s="13" t="str">
        <f aca="false">IF($M240="","",N(INDEX('DỮ LIỆU'!$I$3:$I$1052,$M240)))</f>
        <v/>
      </c>
      <c r="H240" s="13" t="str">
        <f aca="false">IF($M240="","",N(INDEX('DỮ LIỆU'!$M$3:$M$1052,$M240)))</f>
        <v/>
      </c>
      <c r="I240" s="13" t="str">
        <f aca="false">IF($M240="","",N(INDEX('DỮ LIỆU'!$N$3:$N$1052,$M240)))</f>
        <v/>
      </c>
      <c r="J240" s="13" t="str">
        <f aca="false">IF($M240="","",N(INDEX('DỮ LIỆU'!$O$3:$O$1052,$M240)))</f>
        <v/>
      </c>
      <c r="K240" s="13" t="str">
        <f aca="true">IF(OR($M240="",$C240=""),"",MAX(0,TODAY()-$C240))</f>
        <v/>
      </c>
      <c r="L240" s="21" t="str">
        <f aca="false">IF($M240="","",IF(INDEX('DỮ LIỆU'!$R$3:$R$1052,$M240)="","",INDEX('DỮ LIỆU'!$R$3:$R$1052,$M240)))</f>
        <v/>
      </c>
      <c r="M240" s="0" t="str">
        <f aca="false">IFERROR(MATCH(235,'DỮ LIỆU'!$T$3:$T$1052,0),"")</f>
        <v/>
      </c>
    </row>
    <row r="241" customFormat="false" ht="15" hidden="false" customHeight="false" outlineLevel="0" collapsed="false">
      <c r="A241" s="21" t="str">
        <f aca="false">IF($M241="","",236)</f>
        <v/>
      </c>
      <c r="B241" s="13" t="str">
        <f aca="false">IF($M241="","",INDEX('DỮ LIỆU'!$A$3:$A$1052,$M241))</f>
        <v/>
      </c>
      <c r="C241" s="41" t="str">
        <f aca="false">IF($M241="","",IF(INDEX('DỮ LIỆU'!$B$3:$B$1052,$M241)="","",INDEX('DỮ LIỆU'!$B$3:$B$1052,$M241)))</f>
        <v/>
      </c>
      <c r="D241" s="21" t="str">
        <f aca="false">IF($M241="","",IF(INDEX('DỮ LIỆU'!$C$3:$C$1052,$M241)="","",INDEX('DỮ LIỆU'!$C$3:$C$1052,$M241)))</f>
        <v/>
      </c>
      <c r="E241" s="21" t="str">
        <f aca="false">IF($M241="","",IF(INDEX('DỮ LIỆU'!$D$3:$D$1052,$M241)="","",INDEX('DỮ LIỆU'!$D$3:$D$1052,$M241)))</f>
        <v/>
      </c>
      <c r="F241" s="21" t="str">
        <f aca="false">IF($M241="","",IF(INDEX('DỮ LIỆU'!$H$3:$H$1052,$M241)="","",INDEX('DỮ LIỆU'!$H$3:$H$1052,$M241)))</f>
        <v/>
      </c>
      <c r="G241" s="13" t="str">
        <f aca="false">IF($M241="","",N(INDEX('DỮ LIỆU'!$I$3:$I$1052,$M241)))</f>
        <v/>
      </c>
      <c r="H241" s="13" t="str">
        <f aca="false">IF($M241="","",N(INDEX('DỮ LIỆU'!$M$3:$M$1052,$M241)))</f>
        <v/>
      </c>
      <c r="I241" s="13" t="str">
        <f aca="false">IF($M241="","",N(INDEX('DỮ LIỆU'!$N$3:$N$1052,$M241)))</f>
        <v/>
      </c>
      <c r="J241" s="13" t="str">
        <f aca="false">IF($M241="","",N(INDEX('DỮ LIỆU'!$O$3:$O$1052,$M241)))</f>
        <v/>
      </c>
      <c r="K241" s="13" t="str">
        <f aca="true">IF(OR($M241="",$C241=""),"",MAX(0,TODAY()-$C241))</f>
        <v/>
      </c>
      <c r="L241" s="21" t="str">
        <f aca="false">IF($M241="","",IF(INDEX('DỮ LIỆU'!$R$3:$R$1052,$M241)="","",INDEX('DỮ LIỆU'!$R$3:$R$1052,$M241)))</f>
        <v/>
      </c>
      <c r="M241" s="0" t="str">
        <f aca="false">IFERROR(MATCH(236,'DỮ LIỆU'!$T$3:$T$1052,0),"")</f>
        <v/>
      </c>
    </row>
    <row r="242" customFormat="false" ht="15" hidden="false" customHeight="false" outlineLevel="0" collapsed="false">
      <c r="A242" s="21" t="str">
        <f aca="false">IF($M242="","",237)</f>
        <v/>
      </c>
      <c r="B242" s="13" t="str">
        <f aca="false">IF($M242="","",INDEX('DỮ LIỆU'!$A$3:$A$1052,$M242))</f>
        <v/>
      </c>
      <c r="C242" s="41" t="str">
        <f aca="false">IF($M242="","",IF(INDEX('DỮ LIỆU'!$B$3:$B$1052,$M242)="","",INDEX('DỮ LIỆU'!$B$3:$B$1052,$M242)))</f>
        <v/>
      </c>
      <c r="D242" s="21" t="str">
        <f aca="false">IF($M242="","",IF(INDEX('DỮ LIỆU'!$C$3:$C$1052,$M242)="","",INDEX('DỮ LIỆU'!$C$3:$C$1052,$M242)))</f>
        <v/>
      </c>
      <c r="E242" s="21" t="str">
        <f aca="false">IF($M242="","",IF(INDEX('DỮ LIỆU'!$D$3:$D$1052,$M242)="","",INDEX('DỮ LIỆU'!$D$3:$D$1052,$M242)))</f>
        <v/>
      </c>
      <c r="F242" s="21" t="str">
        <f aca="false">IF($M242="","",IF(INDEX('DỮ LIỆU'!$H$3:$H$1052,$M242)="","",INDEX('DỮ LIỆU'!$H$3:$H$1052,$M242)))</f>
        <v/>
      </c>
      <c r="G242" s="13" t="str">
        <f aca="false">IF($M242="","",N(INDEX('DỮ LIỆU'!$I$3:$I$1052,$M242)))</f>
        <v/>
      </c>
      <c r="H242" s="13" t="str">
        <f aca="false">IF($M242="","",N(INDEX('DỮ LIỆU'!$M$3:$M$1052,$M242)))</f>
        <v/>
      </c>
      <c r="I242" s="13" t="str">
        <f aca="false">IF($M242="","",N(INDEX('DỮ LIỆU'!$N$3:$N$1052,$M242)))</f>
        <v/>
      </c>
      <c r="J242" s="13" t="str">
        <f aca="false">IF($M242="","",N(INDEX('DỮ LIỆU'!$O$3:$O$1052,$M242)))</f>
        <v/>
      </c>
      <c r="K242" s="13" t="str">
        <f aca="true">IF(OR($M242="",$C242=""),"",MAX(0,TODAY()-$C242))</f>
        <v/>
      </c>
      <c r="L242" s="21" t="str">
        <f aca="false">IF($M242="","",IF(INDEX('DỮ LIỆU'!$R$3:$R$1052,$M242)="","",INDEX('DỮ LIỆU'!$R$3:$R$1052,$M242)))</f>
        <v/>
      </c>
      <c r="M242" s="0" t="str">
        <f aca="false">IFERROR(MATCH(237,'DỮ LIỆU'!$T$3:$T$1052,0),"")</f>
        <v/>
      </c>
    </row>
    <row r="243" customFormat="false" ht="15" hidden="false" customHeight="false" outlineLevel="0" collapsed="false">
      <c r="A243" s="21" t="str">
        <f aca="false">IF($M243="","",238)</f>
        <v/>
      </c>
      <c r="B243" s="13" t="str">
        <f aca="false">IF($M243="","",INDEX('DỮ LIỆU'!$A$3:$A$1052,$M243))</f>
        <v/>
      </c>
      <c r="C243" s="41" t="str">
        <f aca="false">IF($M243="","",IF(INDEX('DỮ LIỆU'!$B$3:$B$1052,$M243)="","",INDEX('DỮ LIỆU'!$B$3:$B$1052,$M243)))</f>
        <v/>
      </c>
      <c r="D243" s="21" t="str">
        <f aca="false">IF($M243="","",IF(INDEX('DỮ LIỆU'!$C$3:$C$1052,$M243)="","",INDEX('DỮ LIỆU'!$C$3:$C$1052,$M243)))</f>
        <v/>
      </c>
      <c r="E243" s="21" t="str">
        <f aca="false">IF($M243="","",IF(INDEX('DỮ LIỆU'!$D$3:$D$1052,$M243)="","",INDEX('DỮ LIỆU'!$D$3:$D$1052,$M243)))</f>
        <v/>
      </c>
      <c r="F243" s="21" t="str">
        <f aca="false">IF($M243="","",IF(INDEX('DỮ LIỆU'!$H$3:$H$1052,$M243)="","",INDEX('DỮ LIỆU'!$H$3:$H$1052,$M243)))</f>
        <v/>
      </c>
      <c r="G243" s="13" t="str">
        <f aca="false">IF($M243="","",N(INDEX('DỮ LIỆU'!$I$3:$I$1052,$M243)))</f>
        <v/>
      </c>
      <c r="H243" s="13" t="str">
        <f aca="false">IF($M243="","",N(INDEX('DỮ LIỆU'!$M$3:$M$1052,$M243)))</f>
        <v/>
      </c>
      <c r="I243" s="13" t="str">
        <f aca="false">IF($M243="","",N(INDEX('DỮ LIỆU'!$N$3:$N$1052,$M243)))</f>
        <v/>
      </c>
      <c r="J243" s="13" t="str">
        <f aca="false">IF($M243="","",N(INDEX('DỮ LIỆU'!$O$3:$O$1052,$M243)))</f>
        <v/>
      </c>
      <c r="K243" s="13" t="str">
        <f aca="true">IF(OR($M243="",$C243=""),"",MAX(0,TODAY()-$C243))</f>
        <v/>
      </c>
      <c r="L243" s="21" t="str">
        <f aca="false">IF($M243="","",IF(INDEX('DỮ LIỆU'!$R$3:$R$1052,$M243)="","",INDEX('DỮ LIỆU'!$R$3:$R$1052,$M243)))</f>
        <v/>
      </c>
      <c r="M243" s="0" t="str">
        <f aca="false">IFERROR(MATCH(238,'DỮ LIỆU'!$T$3:$T$1052,0),"")</f>
        <v/>
      </c>
    </row>
    <row r="244" customFormat="false" ht="15" hidden="false" customHeight="false" outlineLevel="0" collapsed="false">
      <c r="A244" s="21" t="str">
        <f aca="false">IF($M244="","",239)</f>
        <v/>
      </c>
      <c r="B244" s="13" t="str">
        <f aca="false">IF($M244="","",INDEX('DỮ LIỆU'!$A$3:$A$1052,$M244))</f>
        <v/>
      </c>
      <c r="C244" s="41" t="str">
        <f aca="false">IF($M244="","",IF(INDEX('DỮ LIỆU'!$B$3:$B$1052,$M244)="","",INDEX('DỮ LIỆU'!$B$3:$B$1052,$M244)))</f>
        <v/>
      </c>
      <c r="D244" s="21" t="str">
        <f aca="false">IF($M244="","",IF(INDEX('DỮ LIỆU'!$C$3:$C$1052,$M244)="","",INDEX('DỮ LIỆU'!$C$3:$C$1052,$M244)))</f>
        <v/>
      </c>
      <c r="E244" s="21" t="str">
        <f aca="false">IF($M244="","",IF(INDEX('DỮ LIỆU'!$D$3:$D$1052,$M244)="","",INDEX('DỮ LIỆU'!$D$3:$D$1052,$M244)))</f>
        <v/>
      </c>
      <c r="F244" s="21" t="str">
        <f aca="false">IF($M244="","",IF(INDEX('DỮ LIỆU'!$H$3:$H$1052,$M244)="","",INDEX('DỮ LIỆU'!$H$3:$H$1052,$M244)))</f>
        <v/>
      </c>
      <c r="G244" s="13" t="str">
        <f aca="false">IF($M244="","",N(INDEX('DỮ LIỆU'!$I$3:$I$1052,$M244)))</f>
        <v/>
      </c>
      <c r="H244" s="13" t="str">
        <f aca="false">IF($M244="","",N(INDEX('DỮ LIỆU'!$M$3:$M$1052,$M244)))</f>
        <v/>
      </c>
      <c r="I244" s="13" t="str">
        <f aca="false">IF($M244="","",N(INDEX('DỮ LIỆU'!$N$3:$N$1052,$M244)))</f>
        <v/>
      </c>
      <c r="J244" s="13" t="str">
        <f aca="false">IF($M244="","",N(INDEX('DỮ LIỆU'!$O$3:$O$1052,$M244)))</f>
        <v/>
      </c>
      <c r="K244" s="13" t="str">
        <f aca="true">IF(OR($M244="",$C244=""),"",MAX(0,TODAY()-$C244))</f>
        <v/>
      </c>
      <c r="L244" s="21" t="str">
        <f aca="false">IF($M244="","",IF(INDEX('DỮ LIỆU'!$R$3:$R$1052,$M244)="","",INDEX('DỮ LIỆU'!$R$3:$R$1052,$M244)))</f>
        <v/>
      </c>
      <c r="M244" s="0" t="str">
        <f aca="false">IFERROR(MATCH(239,'DỮ LIỆU'!$T$3:$T$1052,0),"")</f>
        <v/>
      </c>
    </row>
    <row r="245" customFormat="false" ht="15" hidden="false" customHeight="false" outlineLevel="0" collapsed="false">
      <c r="A245" s="21" t="str">
        <f aca="false">IF($M245="","",240)</f>
        <v/>
      </c>
      <c r="B245" s="13" t="str">
        <f aca="false">IF($M245="","",INDEX('DỮ LIỆU'!$A$3:$A$1052,$M245))</f>
        <v/>
      </c>
      <c r="C245" s="41" t="str">
        <f aca="false">IF($M245="","",IF(INDEX('DỮ LIỆU'!$B$3:$B$1052,$M245)="","",INDEX('DỮ LIỆU'!$B$3:$B$1052,$M245)))</f>
        <v/>
      </c>
      <c r="D245" s="21" t="str">
        <f aca="false">IF($M245="","",IF(INDEX('DỮ LIỆU'!$C$3:$C$1052,$M245)="","",INDEX('DỮ LIỆU'!$C$3:$C$1052,$M245)))</f>
        <v/>
      </c>
      <c r="E245" s="21" t="str">
        <f aca="false">IF($M245="","",IF(INDEX('DỮ LIỆU'!$D$3:$D$1052,$M245)="","",INDEX('DỮ LIỆU'!$D$3:$D$1052,$M245)))</f>
        <v/>
      </c>
      <c r="F245" s="21" t="str">
        <f aca="false">IF($M245="","",IF(INDEX('DỮ LIỆU'!$H$3:$H$1052,$M245)="","",INDEX('DỮ LIỆU'!$H$3:$H$1052,$M245)))</f>
        <v/>
      </c>
      <c r="G245" s="13" t="str">
        <f aca="false">IF($M245="","",N(INDEX('DỮ LIỆU'!$I$3:$I$1052,$M245)))</f>
        <v/>
      </c>
      <c r="H245" s="13" t="str">
        <f aca="false">IF($M245="","",N(INDEX('DỮ LIỆU'!$M$3:$M$1052,$M245)))</f>
        <v/>
      </c>
      <c r="I245" s="13" t="str">
        <f aca="false">IF($M245="","",N(INDEX('DỮ LIỆU'!$N$3:$N$1052,$M245)))</f>
        <v/>
      </c>
      <c r="J245" s="13" t="str">
        <f aca="false">IF($M245="","",N(INDEX('DỮ LIỆU'!$O$3:$O$1052,$M245)))</f>
        <v/>
      </c>
      <c r="K245" s="13" t="str">
        <f aca="true">IF(OR($M245="",$C245=""),"",MAX(0,TODAY()-$C245))</f>
        <v/>
      </c>
      <c r="L245" s="21" t="str">
        <f aca="false">IF($M245="","",IF(INDEX('DỮ LIỆU'!$R$3:$R$1052,$M245)="","",INDEX('DỮ LIỆU'!$R$3:$R$1052,$M245)))</f>
        <v/>
      </c>
      <c r="M245" s="0" t="str">
        <f aca="false">IFERROR(MATCH(240,'DỮ LIỆU'!$T$3:$T$1052,0),"")</f>
        <v/>
      </c>
    </row>
    <row r="246" customFormat="false" ht="15" hidden="false" customHeight="false" outlineLevel="0" collapsed="false">
      <c r="A246" s="21" t="str">
        <f aca="false">IF($M246="","",241)</f>
        <v/>
      </c>
      <c r="B246" s="13" t="str">
        <f aca="false">IF($M246="","",INDEX('DỮ LIỆU'!$A$3:$A$1052,$M246))</f>
        <v/>
      </c>
      <c r="C246" s="41" t="str">
        <f aca="false">IF($M246="","",IF(INDEX('DỮ LIỆU'!$B$3:$B$1052,$M246)="","",INDEX('DỮ LIỆU'!$B$3:$B$1052,$M246)))</f>
        <v/>
      </c>
      <c r="D246" s="21" t="str">
        <f aca="false">IF($M246="","",IF(INDEX('DỮ LIỆU'!$C$3:$C$1052,$M246)="","",INDEX('DỮ LIỆU'!$C$3:$C$1052,$M246)))</f>
        <v/>
      </c>
      <c r="E246" s="21" t="str">
        <f aca="false">IF($M246="","",IF(INDEX('DỮ LIỆU'!$D$3:$D$1052,$M246)="","",INDEX('DỮ LIỆU'!$D$3:$D$1052,$M246)))</f>
        <v/>
      </c>
      <c r="F246" s="21" t="str">
        <f aca="false">IF($M246="","",IF(INDEX('DỮ LIỆU'!$H$3:$H$1052,$M246)="","",INDEX('DỮ LIỆU'!$H$3:$H$1052,$M246)))</f>
        <v/>
      </c>
      <c r="G246" s="13" t="str">
        <f aca="false">IF($M246="","",N(INDEX('DỮ LIỆU'!$I$3:$I$1052,$M246)))</f>
        <v/>
      </c>
      <c r="H246" s="13" t="str">
        <f aca="false">IF($M246="","",N(INDEX('DỮ LIỆU'!$M$3:$M$1052,$M246)))</f>
        <v/>
      </c>
      <c r="I246" s="13" t="str">
        <f aca="false">IF($M246="","",N(INDEX('DỮ LIỆU'!$N$3:$N$1052,$M246)))</f>
        <v/>
      </c>
      <c r="J246" s="13" t="str">
        <f aca="false">IF($M246="","",N(INDEX('DỮ LIỆU'!$O$3:$O$1052,$M246)))</f>
        <v/>
      </c>
      <c r="K246" s="13" t="str">
        <f aca="true">IF(OR($M246="",$C246=""),"",MAX(0,TODAY()-$C246))</f>
        <v/>
      </c>
      <c r="L246" s="21" t="str">
        <f aca="false">IF($M246="","",IF(INDEX('DỮ LIỆU'!$R$3:$R$1052,$M246)="","",INDEX('DỮ LIỆU'!$R$3:$R$1052,$M246)))</f>
        <v/>
      </c>
      <c r="M246" s="0" t="str">
        <f aca="false">IFERROR(MATCH(241,'DỮ LIỆU'!$T$3:$T$1052,0),"")</f>
        <v/>
      </c>
    </row>
    <row r="247" customFormat="false" ht="15" hidden="false" customHeight="false" outlineLevel="0" collapsed="false">
      <c r="A247" s="21" t="str">
        <f aca="false">IF($M247="","",242)</f>
        <v/>
      </c>
      <c r="B247" s="13" t="str">
        <f aca="false">IF($M247="","",INDEX('DỮ LIỆU'!$A$3:$A$1052,$M247))</f>
        <v/>
      </c>
      <c r="C247" s="41" t="str">
        <f aca="false">IF($M247="","",IF(INDEX('DỮ LIỆU'!$B$3:$B$1052,$M247)="","",INDEX('DỮ LIỆU'!$B$3:$B$1052,$M247)))</f>
        <v/>
      </c>
      <c r="D247" s="21" t="str">
        <f aca="false">IF($M247="","",IF(INDEX('DỮ LIỆU'!$C$3:$C$1052,$M247)="","",INDEX('DỮ LIỆU'!$C$3:$C$1052,$M247)))</f>
        <v/>
      </c>
      <c r="E247" s="21" t="str">
        <f aca="false">IF($M247="","",IF(INDEX('DỮ LIỆU'!$D$3:$D$1052,$M247)="","",INDEX('DỮ LIỆU'!$D$3:$D$1052,$M247)))</f>
        <v/>
      </c>
      <c r="F247" s="21" t="str">
        <f aca="false">IF($M247="","",IF(INDEX('DỮ LIỆU'!$H$3:$H$1052,$M247)="","",INDEX('DỮ LIỆU'!$H$3:$H$1052,$M247)))</f>
        <v/>
      </c>
      <c r="G247" s="13" t="str">
        <f aca="false">IF($M247="","",N(INDEX('DỮ LIỆU'!$I$3:$I$1052,$M247)))</f>
        <v/>
      </c>
      <c r="H247" s="13" t="str">
        <f aca="false">IF($M247="","",N(INDEX('DỮ LIỆU'!$M$3:$M$1052,$M247)))</f>
        <v/>
      </c>
      <c r="I247" s="13" t="str">
        <f aca="false">IF($M247="","",N(INDEX('DỮ LIỆU'!$N$3:$N$1052,$M247)))</f>
        <v/>
      </c>
      <c r="J247" s="13" t="str">
        <f aca="false">IF($M247="","",N(INDEX('DỮ LIỆU'!$O$3:$O$1052,$M247)))</f>
        <v/>
      </c>
      <c r="K247" s="13" t="str">
        <f aca="true">IF(OR($M247="",$C247=""),"",MAX(0,TODAY()-$C247))</f>
        <v/>
      </c>
      <c r="L247" s="21" t="str">
        <f aca="false">IF($M247="","",IF(INDEX('DỮ LIỆU'!$R$3:$R$1052,$M247)="","",INDEX('DỮ LIỆU'!$R$3:$R$1052,$M247)))</f>
        <v/>
      </c>
      <c r="M247" s="0" t="str">
        <f aca="false">IFERROR(MATCH(242,'DỮ LIỆU'!$T$3:$T$1052,0),"")</f>
        <v/>
      </c>
    </row>
    <row r="248" customFormat="false" ht="15" hidden="false" customHeight="false" outlineLevel="0" collapsed="false">
      <c r="A248" s="21" t="str">
        <f aca="false">IF($M248="","",243)</f>
        <v/>
      </c>
      <c r="B248" s="13" t="str">
        <f aca="false">IF($M248="","",INDEX('DỮ LIỆU'!$A$3:$A$1052,$M248))</f>
        <v/>
      </c>
      <c r="C248" s="41" t="str">
        <f aca="false">IF($M248="","",IF(INDEX('DỮ LIỆU'!$B$3:$B$1052,$M248)="","",INDEX('DỮ LIỆU'!$B$3:$B$1052,$M248)))</f>
        <v/>
      </c>
      <c r="D248" s="21" t="str">
        <f aca="false">IF($M248="","",IF(INDEX('DỮ LIỆU'!$C$3:$C$1052,$M248)="","",INDEX('DỮ LIỆU'!$C$3:$C$1052,$M248)))</f>
        <v/>
      </c>
      <c r="E248" s="21" t="str">
        <f aca="false">IF($M248="","",IF(INDEX('DỮ LIỆU'!$D$3:$D$1052,$M248)="","",INDEX('DỮ LIỆU'!$D$3:$D$1052,$M248)))</f>
        <v/>
      </c>
      <c r="F248" s="21" t="str">
        <f aca="false">IF($M248="","",IF(INDEX('DỮ LIỆU'!$H$3:$H$1052,$M248)="","",INDEX('DỮ LIỆU'!$H$3:$H$1052,$M248)))</f>
        <v/>
      </c>
      <c r="G248" s="13" t="str">
        <f aca="false">IF($M248="","",N(INDEX('DỮ LIỆU'!$I$3:$I$1052,$M248)))</f>
        <v/>
      </c>
      <c r="H248" s="13" t="str">
        <f aca="false">IF($M248="","",N(INDEX('DỮ LIỆU'!$M$3:$M$1052,$M248)))</f>
        <v/>
      </c>
      <c r="I248" s="13" t="str">
        <f aca="false">IF($M248="","",N(INDEX('DỮ LIỆU'!$N$3:$N$1052,$M248)))</f>
        <v/>
      </c>
      <c r="J248" s="13" t="str">
        <f aca="false">IF($M248="","",N(INDEX('DỮ LIỆU'!$O$3:$O$1052,$M248)))</f>
        <v/>
      </c>
      <c r="K248" s="13" t="str">
        <f aca="true">IF(OR($M248="",$C248=""),"",MAX(0,TODAY()-$C248))</f>
        <v/>
      </c>
      <c r="L248" s="21" t="str">
        <f aca="false">IF($M248="","",IF(INDEX('DỮ LIỆU'!$R$3:$R$1052,$M248)="","",INDEX('DỮ LIỆU'!$R$3:$R$1052,$M248)))</f>
        <v/>
      </c>
      <c r="M248" s="0" t="str">
        <f aca="false">IFERROR(MATCH(243,'DỮ LIỆU'!$T$3:$T$1052,0),"")</f>
        <v/>
      </c>
    </row>
    <row r="249" customFormat="false" ht="15" hidden="false" customHeight="false" outlineLevel="0" collapsed="false">
      <c r="A249" s="21" t="str">
        <f aca="false">IF($M249="","",244)</f>
        <v/>
      </c>
      <c r="B249" s="13" t="str">
        <f aca="false">IF($M249="","",INDEX('DỮ LIỆU'!$A$3:$A$1052,$M249))</f>
        <v/>
      </c>
      <c r="C249" s="41" t="str">
        <f aca="false">IF($M249="","",IF(INDEX('DỮ LIỆU'!$B$3:$B$1052,$M249)="","",INDEX('DỮ LIỆU'!$B$3:$B$1052,$M249)))</f>
        <v/>
      </c>
      <c r="D249" s="21" t="str">
        <f aca="false">IF($M249="","",IF(INDEX('DỮ LIỆU'!$C$3:$C$1052,$M249)="","",INDEX('DỮ LIỆU'!$C$3:$C$1052,$M249)))</f>
        <v/>
      </c>
      <c r="E249" s="21" t="str">
        <f aca="false">IF($M249="","",IF(INDEX('DỮ LIỆU'!$D$3:$D$1052,$M249)="","",INDEX('DỮ LIỆU'!$D$3:$D$1052,$M249)))</f>
        <v/>
      </c>
      <c r="F249" s="21" t="str">
        <f aca="false">IF($M249="","",IF(INDEX('DỮ LIỆU'!$H$3:$H$1052,$M249)="","",INDEX('DỮ LIỆU'!$H$3:$H$1052,$M249)))</f>
        <v/>
      </c>
      <c r="G249" s="13" t="str">
        <f aca="false">IF($M249="","",N(INDEX('DỮ LIỆU'!$I$3:$I$1052,$M249)))</f>
        <v/>
      </c>
      <c r="H249" s="13" t="str">
        <f aca="false">IF($M249="","",N(INDEX('DỮ LIỆU'!$M$3:$M$1052,$M249)))</f>
        <v/>
      </c>
      <c r="I249" s="13" t="str">
        <f aca="false">IF($M249="","",N(INDEX('DỮ LIỆU'!$N$3:$N$1052,$M249)))</f>
        <v/>
      </c>
      <c r="J249" s="13" t="str">
        <f aca="false">IF($M249="","",N(INDEX('DỮ LIỆU'!$O$3:$O$1052,$M249)))</f>
        <v/>
      </c>
      <c r="K249" s="13" t="str">
        <f aca="true">IF(OR($M249="",$C249=""),"",MAX(0,TODAY()-$C249))</f>
        <v/>
      </c>
      <c r="L249" s="21" t="str">
        <f aca="false">IF($M249="","",IF(INDEX('DỮ LIỆU'!$R$3:$R$1052,$M249)="","",INDEX('DỮ LIỆU'!$R$3:$R$1052,$M249)))</f>
        <v/>
      </c>
      <c r="M249" s="0" t="str">
        <f aca="false">IFERROR(MATCH(244,'DỮ LIỆU'!$T$3:$T$1052,0),"")</f>
        <v/>
      </c>
    </row>
    <row r="250" customFormat="false" ht="15" hidden="false" customHeight="false" outlineLevel="0" collapsed="false">
      <c r="A250" s="21" t="str">
        <f aca="false">IF($M250="","",245)</f>
        <v/>
      </c>
      <c r="B250" s="13" t="str">
        <f aca="false">IF($M250="","",INDEX('DỮ LIỆU'!$A$3:$A$1052,$M250))</f>
        <v/>
      </c>
      <c r="C250" s="41" t="str">
        <f aca="false">IF($M250="","",IF(INDEX('DỮ LIỆU'!$B$3:$B$1052,$M250)="","",INDEX('DỮ LIỆU'!$B$3:$B$1052,$M250)))</f>
        <v/>
      </c>
      <c r="D250" s="21" t="str">
        <f aca="false">IF($M250="","",IF(INDEX('DỮ LIỆU'!$C$3:$C$1052,$M250)="","",INDEX('DỮ LIỆU'!$C$3:$C$1052,$M250)))</f>
        <v/>
      </c>
      <c r="E250" s="21" t="str">
        <f aca="false">IF($M250="","",IF(INDEX('DỮ LIỆU'!$D$3:$D$1052,$M250)="","",INDEX('DỮ LIỆU'!$D$3:$D$1052,$M250)))</f>
        <v/>
      </c>
      <c r="F250" s="21" t="str">
        <f aca="false">IF($M250="","",IF(INDEX('DỮ LIỆU'!$H$3:$H$1052,$M250)="","",INDEX('DỮ LIỆU'!$H$3:$H$1052,$M250)))</f>
        <v/>
      </c>
      <c r="G250" s="13" t="str">
        <f aca="false">IF($M250="","",N(INDEX('DỮ LIỆU'!$I$3:$I$1052,$M250)))</f>
        <v/>
      </c>
      <c r="H250" s="13" t="str">
        <f aca="false">IF($M250="","",N(INDEX('DỮ LIỆU'!$M$3:$M$1052,$M250)))</f>
        <v/>
      </c>
      <c r="I250" s="13" t="str">
        <f aca="false">IF($M250="","",N(INDEX('DỮ LIỆU'!$N$3:$N$1052,$M250)))</f>
        <v/>
      </c>
      <c r="J250" s="13" t="str">
        <f aca="false">IF($M250="","",N(INDEX('DỮ LIỆU'!$O$3:$O$1052,$M250)))</f>
        <v/>
      </c>
      <c r="K250" s="13" t="str">
        <f aca="true">IF(OR($M250="",$C250=""),"",MAX(0,TODAY()-$C250))</f>
        <v/>
      </c>
      <c r="L250" s="21" t="str">
        <f aca="false">IF($M250="","",IF(INDEX('DỮ LIỆU'!$R$3:$R$1052,$M250)="","",INDEX('DỮ LIỆU'!$R$3:$R$1052,$M250)))</f>
        <v/>
      </c>
      <c r="M250" s="0" t="str">
        <f aca="false">IFERROR(MATCH(245,'DỮ LIỆU'!$T$3:$T$1052,0),"")</f>
        <v/>
      </c>
    </row>
    <row r="251" customFormat="false" ht="15" hidden="false" customHeight="false" outlineLevel="0" collapsed="false">
      <c r="A251" s="21" t="str">
        <f aca="false">IF($M251="","",246)</f>
        <v/>
      </c>
      <c r="B251" s="13" t="str">
        <f aca="false">IF($M251="","",INDEX('DỮ LIỆU'!$A$3:$A$1052,$M251))</f>
        <v/>
      </c>
      <c r="C251" s="41" t="str">
        <f aca="false">IF($M251="","",IF(INDEX('DỮ LIỆU'!$B$3:$B$1052,$M251)="","",INDEX('DỮ LIỆU'!$B$3:$B$1052,$M251)))</f>
        <v/>
      </c>
      <c r="D251" s="21" t="str">
        <f aca="false">IF($M251="","",IF(INDEX('DỮ LIỆU'!$C$3:$C$1052,$M251)="","",INDEX('DỮ LIỆU'!$C$3:$C$1052,$M251)))</f>
        <v/>
      </c>
      <c r="E251" s="21" t="str">
        <f aca="false">IF($M251="","",IF(INDEX('DỮ LIỆU'!$D$3:$D$1052,$M251)="","",INDEX('DỮ LIỆU'!$D$3:$D$1052,$M251)))</f>
        <v/>
      </c>
      <c r="F251" s="21" t="str">
        <f aca="false">IF($M251="","",IF(INDEX('DỮ LIỆU'!$H$3:$H$1052,$M251)="","",INDEX('DỮ LIỆU'!$H$3:$H$1052,$M251)))</f>
        <v/>
      </c>
      <c r="G251" s="13" t="str">
        <f aca="false">IF($M251="","",N(INDEX('DỮ LIỆU'!$I$3:$I$1052,$M251)))</f>
        <v/>
      </c>
      <c r="H251" s="13" t="str">
        <f aca="false">IF($M251="","",N(INDEX('DỮ LIỆU'!$M$3:$M$1052,$M251)))</f>
        <v/>
      </c>
      <c r="I251" s="13" t="str">
        <f aca="false">IF($M251="","",N(INDEX('DỮ LIỆU'!$N$3:$N$1052,$M251)))</f>
        <v/>
      </c>
      <c r="J251" s="13" t="str">
        <f aca="false">IF($M251="","",N(INDEX('DỮ LIỆU'!$O$3:$O$1052,$M251)))</f>
        <v/>
      </c>
      <c r="K251" s="13" t="str">
        <f aca="true">IF(OR($M251="",$C251=""),"",MAX(0,TODAY()-$C251))</f>
        <v/>
      </c>
      <c r="L251" s="21" t="str">
        <f aca="false">IF($M251="","",IF(INDEX('DỮ LIỆU'!$R$3:$R$1052,$M251)="","",INDEX('DỮ LIỆU'!$R$3:$R$1052,$M251)))</f>
        <v/>
      </c>
      <c r="M251" s="0" t="str">
        <f aca="false">IFERROR(MATCH(246,'DỮ LIỆU'!$T$3:$T$1052,0),"")</f>
        <v/>
      </c>
    </row>
    <row r="252" customFormat="false" ht="15" hidden="false" customHeight="false" outlineLevel="0" collapsed="false">
      <c r="A252" s="21" t="str">
        <f aca="false">IF($M252="","",247)</f>
        <v/>
      </c>
      <c r="B252" s="13" t="str">
        <f aca="false">IF($M252="","",INDEX('DỮ LIỆU'!$A$3:$A$1052,$M252))</f>
        <v/>
      </c>
      <c r="C252" s="41" t="str">
        <f aca="false">IF($M252="","",IF(INDEX('DỮ LIỆU'!$B$3:$B$1052,$M252)="","",INDEX('DỮ LIỆU'!$B$3:$B$1052,$M252)))</f>
        <v/>
      </c>
      <c r="D252" s="21" t="str">
        <f aca="false">IF($M252="","",IF(INDEX('DỮ LIỆU'!$C$3:$C$1052,$M252)="","",INDEX('DỮ LIỆU'!$C$3:$C$1052,$M252)))</f>
        <v/>
      </c>
      <c r="E252" s="21" t="str">
        <f aca="false">IF($M252="","",IF(INDEX('DỮ LIỆU'!$D$3:$D$1052,$M252)="","",INDEX('DỮ LIỆU'!$D$3:$D$1052,$M252)))</f>
        <v/>
      </c>
      <c r="F252" s="21" t="str">
        <f aca="false">IF($M252="","",IF(INDEX('DỮ LIỆU'!$H$3:$H$1052,$M252)="","",INDEX('DỮ LIỆU'!$H$3:$H$1052,$M252)))</f>
        <v/>
      </c>
      <c r="G252" s="13" t="str">
        <f aca="false">IF($M252="","",N(INDEX('DỮ LIỆU'!$I$3:$I$1052,$M252)))</f>
        <v/>
      </c>
      <c r="H252" s="13" t="str">
        <f aca="false">IF($M252="","",N(INDEX('DỮ LIỆU'!$M$3:$M$1052,$M252)))</f>
        <v/>
      </c>
      <c r="I252" s="13" t="str">
        <f aca="false">IF($M252="","",N(INDEX('DỮ LIỆU'!$N$3:$N$1052,$M252)))</f>
        <v/>
      </c>
      <c r="J252" s="13" t="str">
        <f aca="false">IF($M252="","",N(INDEX('DỮ LIỆU'!$O$3:$O$1052,$M252)))</f>
        <v/>
      </c>
      <c r="K252" s="13" t="str">
        <f aca="true">IF(OR($M252="",$C252=""),"",MAX(0,TODAY()-$C252))</f>
        <v/>
      </c>
      <c r="L252" s="21" t="str">
        <f aca="false">IF($M252="","",IF(INDEX('DỮ LIỆU'!$R$3:$R$1052,$M252)="","",INDEX('DỮ LIỆU'!$R$3:$R$1052,$M252)))</f>
        <v/>
      </c>
      <c r="M252" s="0" t="str">
        <f aca="false">IFERROR(MATCH(247,'DỮ LIỆU'!$T$3:$T$1052,0),"")</f>
        <v/>
      </c>
    </row>
    <row r="253" customFormat="false" ht="15" hidden="false" customHeight="false" outlineLevel="0" collapsed="false">
      <c r="A253" s="21" t="str">
        <f aca="false">IF($M253="","",248)</f>
        <v/>
      </c>
      <c r="B253" s="13" t="str">
        <f aca="false">IF($M253="","",INDEX('DỮ LIỆU'!$A$3:$A$1052,$M253))</f>
        <v/>
      </c>
      <c r="C253" s="41" t="str">
        <f aca="false">IF($M253="","",IF(INDEX('DỮ LIỆU'!$B$3:$B$1052,$M253)="","",INDEX('DỮ LIỆU'!$B$3:$B$1052,$M253)))</f>
        <v/>
      </c>
      <c r="D253" s="21" t="str">
        <f aca="false">IF($M253="","",IF(INDEX('DỮ LIỆU'!$C$3:$C$1052,$M253)="","",INDEX('DỮ LIỆU'!$C$3:$C$1052,$M253)))</f>
        <v/>
      </c>
      <c r="E253" s="21" t="str">
        <f aca="false">IF($M253="","",IF(INDEX('DỮ LIỆU'!$D$3:$D$1052,$M253)="","",INDEX('DỮ LIỆU'!$D$3:$D$1052,$M253)))</f>
        <v/>
      </c>
      <c r="F253" s="21" t="str">
        <f aca="false">IF($M253="","",IF(INDEX('DỮ LIỆU'!$H$3:$H$1052,$M253)="","",INDEX('DỮ LIỆU'!$H$3:$H$1052,$M253)))</f>
        <v/>
      </c>
      <c r="G253" s="13" t="str">
        <f aca="false">IF($M253="","",N(INDEX('DỮ LIỆU'!$I$3:$I$1052,$M253)))</f>
        <v/>
      </c>
      <c r="H253" s="13" t="str">
        <f aca="false">IF($M253="","",N(INDEX('DỮ LIỆU'!$M$3:$M$1052,$M253)))</f>
        <v/>
      </c>
      <c r="I253" s="13" t="str">
        <f aca="false">IF($M253="","",N(INDEX('DỮ LIỆU'!$N$3:$N$1052,$M253)))</f>
        <v/>
      </c>
      <c r="J253" s="13" t="str">
        <f aca="false">IF($M253="","",N(INDEX('DỮ LIỆU'!$O$3:$O$1052,$M253)))</f>
        <v/>
      </c>
      <c r="K253" s="13" t="str">
        <f aca="true">IF(OR($M253="",$C253=""),"",MAX(0,TODAY()-$C253))</f>
        <v/>
      </c>
      <c r="L253" s="21" t="str">
        <f aca="false">IF($M253="","",IF(INDEX('DỮ LIỆU'!$R$3:$R$1052,$M253)="","",INDEX('DỮ LIỆU'!$R$3:$R$1052,$M253)))</f>
        <v/>
      </c>
      <c r="M253" s="0" t="str">
        <f aca="false">IFERROR(MATCH(248,'DỮ LIỆU'!$T$3:$T$1052,0),"")</f>
        <v/>
      </c>
    </row>
    <row r="254" customFormat="false" ht="15" hidden="false" customHeight="false" outlineLevel="0" collapsed="false">
      <c r="A254" s="21" t="str">
        <f aca="false">IF($M254="","",249)</f>
        <v/>
      </c>
      <c r="B254" s="13" t="str">
        <f aca="false">IF($M254="","",INDEX('DỮ LIỆU'!$A$3:$A$1052,$M254))</f>
        <v/>
      </c>
      <c r="C254" s="41" t="str">
        <f aca="false">IF($M254="","",IF(INDEX('DỮ LIỆU'!$B$3:$B$1052,$M254)="","",INDEX('DỮ LIỆU'!$B$3:$B$1052,$M254)))</f>
        <v/>
      </c>
      <c r="D254" s="21" t="str">
        <f aca="false">IF($M254="","",IF(INDEX('DỮ LIỆU'!$C$3:$C$1052,$M254)="","",INDEX('DỮ LIỆU'!$C$3:$C$1052,$M254)))</f>
        <v/>
      </c>
      <c r="E254" s="21" t="str">
        <f aca="false">IF($M254="","",IF(INDEX('DỮ LIỆU'!$D$3:$D$1052,$M254)="","",INDEX('DỮ LIỆU'!$D$3:$D$1052,$M254)))</f>
        <v/>
      </c>
      <c r="F254" s="21" t="str">
        <f aca="false">IF($M254="","",IF(INDEX('DỮ LIỆU'!$H$3:$H$1052,$M254)="","",INDEX('DỮ LIỆU'!$H$3:$H$1052,$M254)))</f>
        <v/>
      </c>
      <c r="G254" s="13" t="str">
        <f aca="false">IF($M254="","",N(INDEX('DỮ LIỆU'!$I$3:$I$1052,$M254)))</f>
        <v/>
      </c>
      <c r="H254" s="13" t="str">
        <f aca="false">IF($M254="","",N(INDEX('DỮ LIỆU'!$M$3:$M$1052,$M254)))</f>
        <v/>
      </c>
      <c r="I254" s="13" t="str">
        <f aca="false">IF($M254="","",N(INDEX('DỮ LIỆU'!$N$3:$N$1052,$M254)))</f>
        <v/>
      </c>
      <c r="J254" s="13" t="str">
        <f aca="false">IF($M254="","",N(INDEX('DỮ LIỆU'!$O$3:$O$1052,$M254)))</f>
        <v/>
      </c>
      <c r="K254" s="13" t="str">
        <f aca="true">IF(OR($M254="",$C254=""),"",MAX(0,TODAY()-$C254))</f>
        <v/>
      </c>
      <c r="L254" s="21" t="str">
        <f aca="false">IF($M254="","",IF(INDEX('DỮ LIỆU'!$R$3:$R$1052,$M254)="","",INDEX('DỮ LIỆU'!$R$3:$R$1052,$M254)))</f>
        <v/>
      </c>
      <c r="M254" s="0" t="str">
        <f aca="false">IFERROR(MATCH(249,'DỮ LIỆU'!$T$3:$T$1052,0),"")</f>
        <v/>
      </c>
    </row>
    <row r="255" customFormat="false" ht="15" hidden="false" customHeight="false" outlineLevel="0" collapsed="false">
      <c r="A255" s="21" t="str">
        <f aca="false">IF($M255="","",250)</f>
        <v/>
      </c>
      <c r="B255" s="13" t="str">
        <f aca="false">IF($M255="","",INDEX('DỮ LIỆU'!$A$3:$A$1052,$M255))</f>
        <v/>
      </c>
      <c r="C255" s="41" t="str">
        <f aca="false">IF($M255="","",IF(INDEX('DỮ LIỆU'!$B$3:$B$1052,$M255)="","",INDEX('DỮ LIỆU'!$B$3:$B$1052,$M255)))</f>
        <v/>
      </c>
      <c r="D255" s="21" t="str">
        <f aca="false">IF($M255="","",IF(INDEX('DỮ LIỆU'!$C$3:$C$1052,$M255)="","",INDEX('DỮ LIỆU'!$C$3:$C$1052,$M255)))</f>
        <v/>
      </c>
      <c r="E255" s="21" t="str">
        <f aca="false">IF($M255="","",IF(INDEX('DỮ LIỆU'!$D$3:$D$1052,$M255)="","",INDEX('DỮ LIỆU'!$D$3:$D$1052,$M255)))</f>
        <v/>
      </c>
      <c r="F255" s="21" t="str">
        <f aca="false">IF($M255="","",IF(INDEX('DỮ LIỆU'!$H$3:$H$1052,$M255)="","",INDEX('DỮ LIỆU'!$H$3:$H$1052,$M255)))</f>
        <v/>
      </c>
      <c r="G255" s="13" t="str">
        <f aca="false">IF($M255="","",N(INDEX('DỮ LIỆU'!$I$3:$I$1052,$M255)))</f>
        <v/>
      </c>
      <c r="H255" s="13" t="str">
        <f aca="false">IF($M255="","",N(INDEX('DỮ LIỆU'!$M$3:$M$1052,$M255)))</f>
        <v/>
      </c>
      <c r="I255" s="13" t="str">
        <f aca="false">IF($M255="","",N(INDEX('DỮ LIỆU'!$N$3:$N$1052,$M255)))</f>
        <v/>
      </c>
      <c r="J255" s="13" t="str">
        <f aca="false">IF($M255="","",N(INDEX('DỮ LIỆU'!$O$3:$O$1052,$M255)))</f>
        <v/>
      </c>
      <c r="K255" s="13" t="str">
        <f aca="true">IF(OR($M255="",$C255=""),"",MAX(0,TODAY()-$C255))</f>
        <v/>
      </c>
      <c r="L255" s="21" t="str">
        <f aca="false">IF($M255="","",IF(INDEX('DỮ LIỆU'!$R$3:$R$1052,$M255)="","",INDEX('DỮ LIỆU'!$R$3:$R$1052,$M255)))</f>
        <v/>
      </c>
      <c r="M255" s="0" t="str">
        <f aca="false">IFERROR(MATCH(250,'DỮ LIỆU'!$T$3:$T$1052,0),"")</f>
        <v/>
      </c>
    </row>
  </sheetData>
  <autoFilter ref="A5:L255"/>
  <mergeCells count="2">
    <mergeCell ref="A1:L1"/>
    <mergeCell ref="A2:L2"/>
  </mergeCells>
  <conditionalFormatting sqref="K6:K255">
    <cfRule type="cellIs" priority="2" operator="greaterThan" aboveAverage="0" equalAverage="0" bottom="0" percent="0" rank="0" text="" dxfId="8">
      <formula>30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N3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5"/>
    <col collapsed="false" customWidth="true" hidden="false" outlineLevel="0" max="4" min="4" style="0" width="3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18"/>
    <col collapsed="false" customWidth="true" hidden="false" outlineLevel="0" max="10" min="9" style="0" width="17"/>
    <col collapsed="false" customWidth="true" hidden="false" outlineLevel="0" max="11" min="11" style="0" width="15"/>
    <col collapsed="false" customWidth="true" hidden="false" outlineLevel="0" max="12" min="12" style="0" width="16"/>
    <col collapsed="false" customWidth="true" hidden="false" outlineLevel="0" max="13" min="13" style="0" width="15"/>
    <col collapsed="false" customWidth="true" hidden="false" outlineLevel="0" max="14" min="14" style="0" width="17"/>
  </cols>
  <sheetData>
    <row r="1" customFormat="false" ht="27.75" hidden="false" customHeight="true" outlineLevel="0" collapsed="false">
      <c r="A1" s="1" t="s">
        <v>479</v>
      </c>
      <c r="B1" s="1"/>
      <c r="C1" s="1"/>
      <c r="D1" s="1"/>
      <c r="E1" s="1"/>
      <c r="F1" s="1"/>
      <c r="G1" s="1"/>
      <c r="H1" s="1"/>
      <c r="I1" s="1"/>
      <c r="J1" s="1"/>
      <c r="K1" s="1"/>
      <c r="L1" s="1"/>
      <c r="M1" s="1"/>
      <c r="N1" s="1"/>
    </row>
    <row r="2" customFormat="false" ht="18.75" hidden="false" customHeight="true" outlineLevel="0" collapsed="false">
      <c r="A2" s="2" t="s">
        <v>480</v>
      </c>
      <c r="B2" s="2"/>
      <c r="C2" s="2"/>
      <c r="D2" s="2"/>
      <c r="E2" s="2"/>
      <c r="F2" s="2"/>
      <c r="G2" s="2"/>
      <c r="H2" s="2"/>
      <c r="I2" s="2"/>
      <c r="J2" s="2"/>
      <c r="K2" s="2"/>
      <c r="L2" s="2"/>
      <c r="M2" s="2"/>
      <c r="N2" s="2"/>
    </row>
    <row r="3" customFormat="false" ht="16.15" hidden="false" customHeight="false" outlineLevel="0" collapsed="false">
      <c r="A3" s="42" t="s">
        <v>481</v>
      </c>
      <c r="B3" s="43" t="n">
        <f aca="false">COUNT('DỮ LIỆU'!$W$3:$W$1052)</f>
        <v>58</v>
      </c>
    </row>
    <row r="5" customFormat="false" ht="33.75" hidden="false" customHeight="true" outlineLevel="0" collapsed="false">
      <c r="A5" s="10" t="s">
        <v>138</v>
      </c>
      <c r="B5" s="10" t="s">
        <v>140</v>
      </c>
      <c r="C5" s="10" t="s">
        <v>141</v>
      </c>
      <c r="D5" s="10" t="s">
        <v>422</v>
      </c>
      <c r="E5" s="10" t="s">
        <v>143</v>
      </c>
      <c r="F5" s="10" t="s">
        <v>144</v>
      </c>
      <c r="G5" s="10" t="s">
        <v>436</v>
      </c>
      <c r="H5" s="10" t="s">
        <v>482</v>
      </c>
      <c r="I5" s="10" t="s">
        <v>150</v>
      </c>
      <c r="J5" s="10" t="s">
        <v>151</v>
      </c>
      <c r="K5" s="10" t="s">
        <v>152</v>
      </c>
      <c r="L5" s="10" t="s">
        <v>483</v>
      </c>
      <c r="M5" s="10" t="s">
        <v>484</v>
      </c>
      <c r="N5" s="10" t="s">
        <v>485</v>
      </c>
    </row>
    <row r="6" customFormat="false" ht="15" hidden="false" customHeight="false" outlineLevel="0" collapsed="false">
      <c r="A6" s="21" t="n">
        <f aca="false">IF($B6="","",1)</f>
        <v>1</v>
      </c>
      <c r="B6" s="21" t="str">
        <f aca="false">IFERROR(INDEX('DỮ LIỆU'!$C$3:$C$1052,MATCH(1,'DỮ LIỆU'!$W$3:$W$1052,0)),"")</f>
        <v>Nguyễn Văn An</v>
      </c>
      <c r="C6" s="21" t="str">
        <f aca="false">IF($B6="","",IFERROR(IF(INDEX('DỮ LIỆU'!$D$3:$D$1052,MATCH($B6,'DỮ LIỆU'!$C$3:$C$1052,0))="","",INDEX('DỮ LIỆU'!$D$3:$D$1052,MATCH($B6,'DỮ LIỆU'!$C$3:$C$1052,0))),""))</f>
        <v>0901234567</v>
      </c>
      <c r="D6" s="21" t="str">
        <f aca="false">IF($B6="","",IFERROR(IF(INDEX('DỮ LIỆU'!$E$3:$E$1052,MATCH($B6,'DỮ LIỆU'!$C$3:$C$1052,0))="","",INDEX('DỮ LIỆU'!$E$3:$E$1052,MATCH($B6,'DỮ LIỆU'!$C$3:$C$1052,0))),""))</f>
        <v>Công ty TNHH Thương Mại ABC</v>
      </c>
      <c r="E6" s="21" t="str">
        <f aca="false">IF($B6="","",IFERROR(IF(INDEX('DỮ LIỆU'!$F$3:$F$1052,MATCH($B6,'DỮ LIỆU'!$C$3:$C$1052,0))="","",INDEX('DỮ LIỆU'!$F$3:$F$1052,MATCH($B6,'DỮ LIỆU'!$C$3:$C$1052,0))),""))</f>
        <v>0312345678</v>
      </c>
      <c r="F6" s="21" t="str">
        <f aca="false">IF($B6="","",IFERROR(IF(INDEX('DỮ LIỆU'!$G$3:$G$1052,MATCH($B6,'DỮ LIỆU'!$C$3:$C$1052,0))="","",INDEX('DỮ LIỆU'!$G$3:$G$1052,MATCH($B6,'DỮ LIỆU'!$C$3:$C$1052,0))),""))</f>
        <v>12 Nguyễn Trãi, Thanh Xuân, Hà Nội</v>
      </c>
      <c r="G6" s="13" t="n">
        <f aca="false">IF($B6="","",COUNTIFS('DỮ LIỆU'!$C$3:$C$1052,$B6,'DỮ LIỆU'!$J$3:$J$1052,"&gt;0"))</f>
        <v>1</v>
      </c>
      <c r="H6" s="13" t="n">
        <f aca="false">IF($B6="","",SUMIF('DỮ LIỆU'!$C$3:$C$1052,$B6,'DỮ LIỆU'!$J$3:$J$1052))</f>
        <v>8500000</v>
      </c>
      <c r="I6" s="13" t="n">
        <f aca="false">IF($B6="","",SUMIF('DỮ LIỆU'!$C$3:$C$1052,$B6,'DỮ LIỆU'!$M$3:$M$1052))</f>
        <v>8500000</v>
      </c>
      <c r="J6" s="13" t="n">
        <f aca="false">IF($B6="","",SUMIF('DỮ LIỆU'!$C$3:$C$1052,$B6,'DỮ LIỆU'!$N$3:$N$1052))</f>
        <v>8500000</v>
      </c>
      <c r="K6" s="13" t="n">
        <f aca="false">IF($B6="","",SUMIF('DỮ LIỆU'!$C$3:$C$1052,$B6,'DỮ LIỆU'!$O$3:$O$1052))</f>
        <v>0</v>
      </c>
      <c r="L6" s="13" t="n">
        <f aca="false">IF($B6="","",SUMIF('DỮ LIỆU'!$C$3:$C$1052,$B6,'DỮ LIỆU'!$Q$3:$Q$1052))</f>
        <v>0</v>
      </c>
      <c r="M6" s="41" t="n">
        <f aca="false">IF($B6="","",IF(SUMPRODUCT(MAX(('DỮ LIỆU'!$C$3:$C$1052=$B6)*'DỮ LIỆU'!$Z$3:$Z$1052))=0,"",SUMPRODUCT(MAX(('DỮ LIỆU'!$C$3:$C$1052=$B6)*'DỮ LIỆU'!$Z$3:$Z$1052))))</f>
        <v>46176</v>
      </c>
      <c r="N6" s="21" t="str">
        <f aca="false">IF($B6="","",IF($G6=0,"Chưa có đơn",IF(COUNTIFS('DỮ LIỆU'!$C$3:$C$1052,$B6,'DỮ LIỆU'!$K$3:$K$1052,"&gt;0")&gt;0,"Có lấy VAT","Không lấy VAT")))</f>
        <v>Không lấy VAT</v>
      </c>
    </row>
    <row r="7" customFormat="false" ht="15" hidden="false" customHeight="false" outlineLevel="0" collapsed="false">
      <c r="A7" s="21" t="n">
        <f aca="false">IF($B7="","",2)</f>
        <v>2</v>
      </c>
      <c r="B7" s="21" t="str">
        <f aca="false">IFERROR(INDEX('DỮ LIỆU'!$C$3:$C$1052,MATCH(2,'DỮ LIỆU'!$W$3:$W$1052,0)),"")</f>
        <v>Trần Thị Bích</v>
      </c>
      <c r="C7" s="21" t="str">
        <f aca="false">IF($B7="","",IFERROR(IF(INDEX('DỮ LIỆU'!$D$3:$D$1052,MATCH($B7,'DỮ LIỆU'!$C$3:$C$1052,0))="","",INDEX('DỮ LIỆU'!$D$3:$D$1052,MATCH($B7,'DỮ LIỆU'!$C$3:$C$1052,0))),""))</f>
        <v>0987654321</v>
      </c>
      <c r="D7" s="21" t="str">
        <f aca="false">IF($B7="","",IFERROR(IF(INDEX('DỮ LIỆU'!$E$3:$E$1052,MATCH($B7,'DỮ LIỆU'!$C$3:$C$1052,0))="","",INDEX('DỮ LIỆU'!$E$3:$E$1052,MATCH($B7,'DỮ LIỆU'!$C$3:$C$1052,0))),""))</f>
        <v>Công ty CP Đầu Tư XYZ</v>
      </c>
      <c r="E7" s="21" t="str">
        <f aca="false">IF($B7="","",IFERROR(IF(INDEX('DỮ LIỆU'!$F$3:$F$1052,MATCH($B7,'DỮ LIỆU'!$C$3:$C$1052,0))="","",INDEX('DỮ LIỆU'!$F$3:$F$1052,MATCH($B7,'DỮ LIỆU'!$C$3:$C$1052,0))),""))</f>
        <v>0109876543</v>
      </c>
      <c r="F7" s="21" t="str">
        <f aca="false">IF($B7="","",IFERROR(IF(INDEX('DỮ LIỆU'!$G$3:$G$1052,MATCH($B7,'DỮ LIỆU'!$C$3:$C$1052,0))="","",INDEX('DỮ LIỆU'!$G$3:$G$1052,MATCH($B7,'DỮ LIỆU'!$C$3:$C$1052,0))),""))</f>
        <v>45 Lê Lợi, Quận 1, TP.HCM</v>
      </c>
      <c r="G7" s="13" t="n">
        <f aca="false">IF($B7="","",COUNTIFS('DỮ LIỆU'!$C$3:$C$1052,$B7,'DỮ LIỆU'!$J$3:$J$1052,"&gt;0"))</f>
        <v>1</v>
      </c>
      <c r="H7" s="13" t="n">
        <f aca="false">IF($B7="","",SUMIF('DỮ LIỆU'!$C$3:$C$1052,$B7,'DỮ LIỆU'!$J$3:$J$1052))</f>
        <v>6000000</v>
      </c>
      <c r="I7" s="13" t="n">
        <f aca="false">IF($B7="","",SUMIF('DỮ LIỆU'!$C$3:$C$1052,$B7,'DỮ LIỆU'!$M$3:$M$1052))</f>
        <v>6000000</v>
      </c>
      <c r="J7" s="13" t="n">
        <f aca="false">IF($B7="","",SUMIF('DỮ LIỆU'!$C$3:$C$1052,$B7,'DỮ LIỆU'!$N$3:$N$1052))</f>
        <v>0</v>
      </c>
      <c r="K7" s="13" t="n">
        <f aca="false">IF($B7="","",SUMIF('DỮ LIỆU'!$C$3:$C$1052,$B7,'DỮ LIỆU'!$O$3:$O$1052))</f>
        <v>6000000</v>
      </c>
      <c r="L7" s="13" t="n">
        <f aca="false">IF($B7="","",SUMIF('DỮ LIỆU'!$C$3:$C$1052,$B7,'DỮ LIỆU'!$Q$3:$Q$1052))</f>
        <v>0</v>
      </c>
      <c r="M7" s="41" t="n">
        <f aca="false">IF($B7="","",IF(SUMPRODUCT(MAX(('DỮ LIỆU'!$C$3:$C$1052=$B7)*'DỮ LIỆU'!$Z$3:$Z$1052))=0,"",SUMPRODUCT(MAX(('DỮ LIỆU'!$C$3:$C$1052=$B7)*'DỮ LIỆU'!$Z$3:$Z$1052))))</f>
        <v>46183</v>
      </c>
      <c r="N7" s="21" t="str">
        <f aca="false">IF($B7="","",IF($G7=0,"Chưa có đơn",IF(COUNTIFS('DỮ LIỆU'!$C$3:$C$1052,$B7,'DỮ LIỆU'!$K$3:$K$1052,"&gt;0")&gt;0,"Có lấy VAT","Không lấy VAT")))</f>
        <v>Không lấy VAT</v>
      </c>
    </row>
    <row r="8" customFormat="false" ht="15" hidden="false" customHeight="false" outlineLevel="0" collapsed="false">
      <c r="A8" s="21" t="n">
        <f aca="false">IF($B8="","",3)</f>
        <v>3</v>
      </c>
      <c r="B8" s="21" t="str">
        <f aca="false">IFERROR(INDEX('DỮ LIỆU'!$C$3:$C$1052,MATCH(3,'DỮ LIỆU'!$W$3:$W$1052,0)),"")</f>
        <v>Lê Minh Cường</v>
      </c>
      <c r="C8" s="21" t="str">
        <f aca="false">IF($B8="","",IFERROR(IF(INDEX('DỮ LIỆU'!$D$3:$D$1052,MATCH($B8,'DỮ LIỆU'!$C$3:$C$1052,0))="","",INDEX('DỮ LIỆU'!$D$3:$D$1052,MATCH($B8,'DỮ LIỆU'!$C$3:$C$1052,0))),""))</f>
        <v>0912345678</v>
      </c>
      <c r="D8" s="21" t="str">
        <f aca="false">IF($B8="","",IFERROR(IF(INDEX('DỮ LIỆU'!$E$3:$E$1052,MATCH($B8,'DỮ LIỆU'!$C$3:$C$1052,0))="","",INDEX('DỮ LIỆU'!$E$3:$E$1052,MATCH($B8,'DỮ LIỆU'!$C$3:$C$1052,0))),""))</f>
        <v>Công ty TNHH DEF</v>
      </c>
      <c r="E8" s="21" t="str">
        <f aca="false">IF($B8="","",IFERROR(IF(INDEX('DỮ LIỆU'!$F$3:$F$1052,MATCH($B8,'DỮ LIỆU'!$C$3:$C$1052,0))="","",INDEX('DỮ LIỆU'!$F$3:$F$1052,MATCH($B8,'DỮ LIỆU'!$C$3:$C$1052,0))),""))</f>
        <v>0301122334</v>
      </c>
      <c r="F8" s="21" t="str">
        <f aca="false">IF($B8="","",IFERROR(IF(INDEX('DỮ LIỆU'!$G$3:$G$1052,MATCH($B8,'DỮ LIỆU'!$C$3:$C$1052,0))="","",INDEX('DỮ LIỆU'!$G$3:$G$1052,MATCH($B8,'DỮ LIỆU'!$C$3:$C$1052,0))),""))</f>
        <v>88 Trần Phú, Hải Châu, Đà Nẵng</v>
      </c>
      <c r="G8" s="13" t="n">
        <f aca="false">IF($B8="","",COUNTIFS('DỮ LIỆU'!$C$3:$C$1052,$B8,'DỮ LIỆU'!$J$3:$J$1052,"&gt;0"))</f>
        <v>1</v>
      </c>
      <c r="H8" s="13" t="n">
        <f aca="false">IF($B8="","",SUMIF('DỮ LIỆU'!$C$3:$C$1052,$B8,'DỮ LIỆU'!$J$3:$J$1052))</f>
        <v>7000000</v>
      </c>
      <c r="I8" s="13" t="n">
        <f aca="false">IF($B8="","",SUMIF('DỮ LIỆU'!$C$3:$C$1052,$B8,'DỮ LIỆU'!$M$3:$M$1052))</f>
        <v>7000000</v>
      </c>
      <c r="J8" s="13" t="n">
        <f aca="false">IF($B8="","",SUMIF('DỮ LIỆU'!$C$3:$C$1052,$B8,'DỮ LIỆU'!$N$3:$N$1052))</f>
        <v>7000000</v>
      </c>
      <c r="K8" s="13" t="n">
        <f aca="false">IF($B8="","",SUMIF('DỮ LIỆU'!$C$3:$C$1052,$B8,'DỮ LIỆU'!$O$3:$O$1052))</f>
        <v>0</v>
      </c>
      <c r="L8" s="13" t="n">
        <f aca="false">IF($B8="","",SUMIF('DỮ LIỆU'!$C$3:$C$1052,$B8,'DỮ LIỆU'!$Q$3:$Q$1052))</f>
        <v>0</v>
      </c>
      <c r="M8" s="41" t="n">
        <f aca="false">IF($B8="","",IF(SUMPRODUCT(MAX(('DỮ LIỆU'!$C$3:$C$1052=$B8)*'DỮ LIỆU'!$Z$3:$Z$1052))=0,"",SUMPRODUCT(MAX(('DỮ LIỆU'!$C$3:$C$1052=$B8)*'DỮ LIỆU'!$Z$3:$Z$1052))))</f>
        <v>46188</v>
      </c>
      <c r="N8" s="21" t="str">
        <f aca="false">IF($B8="","",IF($G8=0,"Chưa có đơn",IF(COUNTIFS('DỮ LIỆU'!$C$3:$C$1052,$B8,'DỮ LIỆU'!$K$3:$K$1052,"&gt;0")&gt;0,"Có lấy VAT","Không lấy VAT")))</f>
        <v>Không lấy VAT</v>
      </c>
    </row>
    <row r="9" customFormat="false" ht="15" hidden="false" customHeight="false" outlineLevel="0" collapsed="false">
      <c r="A9" s="21" t="n">
        <f aca="false">IF($B9="","",4)</f>
        <v>4</v>
      </c>
      <c r="B9" s="21" t="str">
        <f aca="false">IFERROR(INDEX('DỮ LIỆU'!$C$3:$C$1052,MATCH(4,'DỮ LIỆU'!$W$3:$W$1052,0)),"")</f>
        <v>A Tài - Huyndai - 20c</v>
      </c>
      <c r="C9" s="21" t="str">
        <f aca="false">IF($B9="","",IFERROR(IF(INDEX('DỮ LIỆU'!$D$3:$D$1052,MATCH($B9,'DỮ LIỆU'!$C$3:$C$1052,0))="","",INDEX('DỮ LIỆU'!$D$3:$D$1052,MATCH($B9,'DỮ LIỆU'!$C$3:$C$1052,0))),""))</f>
        <v>0935494005</v>
      </c>
      <c r="D9" s="21" t="str">
        <f aca="false">IF($B9="","",IFERROR(IF(INDEX('DỮ LIỆU'!$E$3:$E$1052,MATCH($B9,'DỮ LIỆU'!$C$3:$C$1052,0))="","",INDEX('DỮ LIỆU'!$E$3:$E$1052,MATCH($B9,'DỮ LIỆU'!$C$3:$C$1052,0))),""))</f>
        <v/>
      </c>
      <c r="E9" s="21" t="str">
        <f aca="false">IF($B9="","",IFERROR(IF(INDEX('DỮ LIỆU'!$F$3:$F$1052,MATCH($B9,'DỮ LIỆU'!$C$3:$C$1052,0))="","",INDEX('DỮ LIỆU'!$F$3:$F$1052,MATCH($B9,'DỮ LIỆU'!$C$3:$C$1052,0))),""))</f>
        <v/>
      </c>
      <c r="F9" s="21" t="str">
        <f aca="false">IF($B9="","",IFERROR(IF(INDEX('DỮ LIỆU'!$G$3:$G$1052,MATCH($B9,'DỮ LIỆU'!$C$3:$C$1052,0))="","",INDEX('DỮ LIỆU'!$G$3:$G$1052,MATCH($B9,'DỮ LIỆU'!$C$3:$C$1052,0))),""))</f>
        <v>461 Tây sơn, Quy Nhơn Nam, Gia lai</v>
      </c>
      <c r="G9" s="13" t="n">
        <f aca="false">IF($B9="","",COUNTIFS('DỮ LIỆU'!$C$3:$C$1052,$B9,'DỮ LIỆU'!$J$3:$J$1052,"&gt;0"))</f>
        <v>1</v>
      </c>
      <c r="H9" s="13" t="n">
        <f aca="false">IF($B9="","",SUMIF('DỮ LIỆU'!$C$3:$C$1052,$B9,'DỮ LIỆU'!$J$3:$J$1052))</f>
        <v>1000000</v>
      </c>
      <c r="I9" s="13" t="n">
        <f aca="false">IF($B9="","",SUMIF('DỮ LIỆU'!$C$3:$C$1052,$B9,'DỮ LIỆU'!$M$3:$M$1052))</f>
        <v>1000000</v>
      </c>
      <c r="J9" s="13" t="n">
        <f aca="false">IF($B9="","",SUMIF('DỮ LIỆU'!$C$3:$C$1052,$B9,'DỮ LIỆU'!$N$3:$N$1052))</f>
        <v>1000000</v>
      </c>
      <c r="K9" s="13" t="n">
        <f aca="false">IF($B9="","",SUMIF('DỮ LIỆU'!$C$3:$C$1052,$B9,'DỮ LIỆU'!$O$3:$O$1052))</f>
        <v>0</v>
      </c>
      <c r="L9" s="13" t="n">
        <f aca="false">IF($B9="","",SUMIF('DỮ LIỆU'!$C$3:$C$1052,$B9,'DỮ LIỆU'!$Q$3:$Q$1052))</f>
        <v>0</v>
      </c>
      <c r="M9" s="41" t="n">
        <f aca="false">IF($B9="","",IF(SUMPRODUCT(MAX(('DỮ LIỆU'!$C$3:$C$1052=$B9)*'DỮ LIỆU'!$Z$3:$Z$1052))=0,"",SUMPRODUCT(MAX(('DỮ LIỆU'!$C$3:$C$1052=$B9)*'DỮ LIỆU'!$Z$3:$Z$1052))))</f>
        <v>46204</v>
      </c>
      <c r="N9" s="21" t="str">
        <f aca="false">IF($B9="","",IF($G9=0,"Chưa có đơn",IF(COUNTIFS('DỮ LIỆU'!$C$3:$C$1052,$B9,'DỮ LIỆU'!$K$3:$K$1052,"&gt;0")&gt;0,"Có lấy VAT","Không lấy VAT")))</f>
        <v>Không lấy VAT</v>
      </c>
    </row>
    <row r="10" customFormat="false" ht="15" hidden="false" customHeight="false" outlineLevel="0" collapsed="false">
      <c r="A10" s="21" t="n">
        <f aca="false">IF($B10="","",5)</f>
        <v>5</v>
      </c>
      <c r="B10" s="21" t="str">
        <f aca="false">IFERROR(INDEX('DỮ LIỆU'!$C$3:$C$1052,MATCH(5,'DỮ LIỆU'!$W$3:$W$1052,0)),"")</f>
        <v>BGB - Cô An Mến Tặng</v>
      </c>
      <c r="C10" s="21" t="str">
        <f aca="false">IF($B10="","",IFERROR(IF(INDEX('DỮ LIỆU'!$D$3:$D$1052,MATCH($B10,'DỮ LIỆU'!$C$3:$C$1052,0))="","",INDEX('DỮ LIỆU'!$D$3:$D$1052,MATCH($B10,'DỮ LIỆU'!$C$3:$C$1052,0))),""))</f>
        <v>0903535291</v>
      </c>
      <c r="D10" s="21" t="str">
        <f aca="false">IF($B10="","",IFERROR(IF(INDEX('DỮ LIỆU'!$E$3:$E$1052,MATCH($B10,'DỮ LIỆU'!$C$3:$C$1052,0))="","",INDEX('DỮ LIỆU'!$E$3:$E$1052,MATCH($B10,'DỮ LIỆU'!$C$3:$C$1052,0))),""))</f>
        <v/>
      </c>
      <c r="E10" s="21" t="str">
        <f aca="false">IF($B10="","",IFERROR(IF(INDEX('DỮ LIỆU'!$F$3:$F$1052,MATCH($B10,'DỮ LIỆU'!$C$3:$C$1052,0))="","",INDEX('DỮ LIỆU'!$F$3:$F$1052,MATCH($B10,'DỮ LIỆU'!$C$3:$C$1052,0))),""))</f>
        <v/>
      </c>
      <c r="F10" s="21" t="str">
        <f aca="false">IF($B10="","",IFERROR(IF(INDEX('DỮ LIỆU'!$G$3:$G$1052,MATCH($B10,'DỮ LIỆU'!$C$3:$C$1052,0))="","",INDEX('DỮ LIỆU'!$G$3:$G$1052,MATCH($B10,'DỮ LIỆU'!$C$3:$C$1052,0))),""))</f>
        <v>658 đường 2/9 Hải châu - Đà Nẵng</v>
      </c>
      <c r="G10" s="13" t="n">
        <f aca="false">IF($B10="","",COUNTIFS('DỮ LIỆU'!$C$3:$C$1052,$B10,'DỮ LIỆU'!$J$3:$J$1052,"&gt;0"))</f>
        <v>1</v>
      </c>
      <c r="H10" s="13" t="n">
        <f aca="false">IF($B10="","",SUMIF('DỮ LIỆU'!$C$3:$C$1052,$B10,'DỮ LIỆU'!$J$3:$J$1052))</f>
        <v>1100000</v>
      </c>
      <c r="I10" s="13" t="n">
        <f aca="false">IF($B10="","",SUMIF('DỮ LIỆU'!$C$3:$C$1052,$B10,'DỮ LIỆU'!$M$3:$M$1052))</f>
        <v>1100000</v>
      </c>
      <c r="J10" s="13" t="n">
        <f aca="false">IF($B10="","",SUMIF('DỮ LIỆU'!$C$3:$C$1052,$B10,'DỮ LIỆU'!$N$3:$N$1052))</f>
        <v>1100000</v>
      </c>
      <c r="K10" s="13" t="n">
        <f aca="false">IF($B10="","",SUMIF('DỮ LIỆU'!$C$3:$C$1052,$B10,'DỮ LIỆU'!$O$3:$O$1052))</f>
        <v>0</v>
      </c>
      <c r="L10" s="13" t="n">
        <f aca="false">IF($B10="","",SUMIF('DỮ LIỆU'!$C$3:$C$1052,$B10,'DỮ LIỆU'!$Q$3:$Q$1052))</f>
        <v>0</v>
      </c>
      <c r="M10" s="41" t="n">
        <f aca="false">IF($B10="","",IF(SUMPRODUCT(MAX(('DỮ LIỆU'!$C$3:$C$1052=$B10)*'DỮ LIỆU'!$Z$3:$Z$1052))=0,"",SUMPRODUCT(MAX(('DỮ LIỆU'!$C$3:$C$1052=$B10)*'DỮ LIỆU'!$Z$3:$Z$1052))))</f>
        <v>46205</v>
      </c>
      <c r="N10" s="21" t="str">
        <f aca="false">IF($B10="","",IF($G10=0,"Chưa có đơn",IF(COUNTIFS('DỮ LIỆU'!$C$3:$C$1052,$B10,'DỮ LIỆU'!$K$3:$K$1052,"&gt;0")&gt;0,"Có lấy VAT","Không lấy VAT")))</f>
        <v>Không lấy VAT</v>
      </c>
    </row>
    <row r="11" customFormat="false" ht="15" hidden="false" customHeight="false" outlineLevel="0" collapsed="false">
      <c r="A11" s="21" t="n">
        <f aca="false">IF($B11="","",6)</f>
        <v>6</v>
      </c>
      <c r="B11" s="21" t="str">
        <f aca="false">IFERROR(INDEX('DỮ LIỆU'!$C$3:$C$1052,MATCH(6,'DỮ LIỆU'!$W$3:$W$1052,0)),"")</f>
        <v>BGB - GẤU TỐT NGHIỆP AMES EL</v>
      </c>
      <c r="C11" s="21" t="str">
        <f aca="false">IF($B11="","",IFERROR(IF(INDEX('DỮ LIỆU'!$D$3:$D$1052,MATCH($B11,'DỮ LIỆU'!$C$3:$C$1052,0))="","",INDEX('DỮ LIỆU'!$D$3:$D$1052,MATCH($B11,'DỮ LIỆU'!$C$3:$C$1052,0))),""))</f>
        <v>0865895498</v>
      </c>
      <c r="D11" s="21" t="str">
        <f aca="false">IF($B11="","",IFERROR(IF(INDEX('DỮ LIỆU'!$E$3:$E$1052,MATCH($B11,'DỮ LIỆU'!$C$3:$C$1052,0))="","",INDEX('DỮ LIỆU'!$E$3:$E$1052,MATCH($B11,'DỮ LIỆU'!$C$3:$C$1052,0))),""))</f>
        <v/>
      </c>
      <c r="E11" s="21" t="str">
        <f aca="false">IF($B11="","",IFERROR(IF(INDEX('DỮ LIỆU'!$F$3:$F$1052,MATCH($B11,'DỮ LIỆU'!$C$3:$C$1052,0))="","",INDEX('DỮ LIỆU'!$F$3:$F$1052,MATCH($B11,'DỮ LIỆU'!$C$3:$C$1052,0))),""))</f>
        <v/>
      </c>
      <c r="F11" s="21" t="str">
        <f aca="false">IF($B11="","",IFERROR(IF(INDEX('DỮ LIỆU'!$G$3:$G$1052,MATCH($B11,'DỮ LIỆU'!$C$3:$C$1052,0))="","",INDEX('DỮ LIỆU'!$G$3:$G$1052,MATCH($B11,'DỮ LIỆU'!$C$3:$C$1052,0))),""))</f>
        <v>18 Phan Chu Trinh, Hạc Thành, Thanh Hóa</v>
      </c>
      <c r="G11" s="13" t="n">
        <f aca="false">IF($B11="","",COUNTIFS('DỮ LIỆU'!$C$3:$C$1052,$B11,'DỮ LIỆU'!$J$3:$J$1052,"&gt;0"))</f>
        <v>1</v>
      </c>
      <c r="H11" s="13" t="n">
        <f aca="false">IF($B11="","",SUMIF('DỮ LIỆU'!$C$3:$C$1052,$B11,'DỮ LIỆU'!$J$3:$J$1052))</f>
        <v>1080000</v>
      </c>
      <c r="I11" s="13" t="n">
        <f aca="false">IF($B11="","",SUMIF('DỮ LIỆU'!$C$3:$C$1052,$B11,'DỮ LIỆU'!$M$3:$M$1052))</f>
        <v>1166400</v>
      </c>
      <c r="J11" s="13" t="n">
        <f aca="false">IF($B11="","",SUMIF('DỮ LIỆU'!$C$3:$C$1052,$B11,'DỮ LIỆU'!$N$3:$N$1052))</f>
        <v>1166400</v>
      </c>
      <c r="K11" s="13" t="n">
        <f aca="false">IF($B11="","",SUMIF('DỮ LIỆU'!$C$3:$C$1052,$B11,'DỮ LIỆU'!$O$3:$O$1052))</f>
        <v>0</v>
      </c>
      <c r="L11" s="13" t="n">
        <f aca="false">IF($B11="","",SUMIF('DỮ LIỆU'!$C$3:$C$1052,$B11,'DỮ LIỆU'!$Q$3:$Q$1052))</f>
        <v>0</v>
      </c>
      <c r="M11" s="41" t="n">
        <f aca="false">IF($B11="","",IF(SUMPRODUCT(MAX(('DỮ LIỆU'!$C$3:$C$1052=$B11)*'DỮ LIỆU'!$Z$3:$Z$1052))=0,"",SUMPRODUCT(MAX(('DỮ LIỆU'!$C$3:$C$1052=$B11)*'DỮ LIỆU'!$Z$3:$Z$1052))))</f>
        <v>46206</v>
      </c>
      <c r="N11" s="21" t="str">
        <f aca="false">IF($B11="","",IF($G11=0,"Chưa có đơn",IF(COUNTIFS('DỮ LIỆU'!$C$3:$C$1052,$B11,'DỮ LIỆU'!$K$3:$K$1052,"&gt;0")&gt;0,"Có lấy VAT","Không lấy VAT")))</f>
        <v>Có lấy VAT</v>
      </c>
    </row>
    <row r="12" customFormat="false" ht="15" hidden="false" customHeight="false" outlineLevel="0" collapsed="false">
      <c r="A12" s="21" t="n">
        <f aca="false">IF($B12="","",7)</f>
        <v>7</v>
      </c>
      <c r="B12" s="21" t="str">
        <f aca="false">IFERROR(INDEX('DỮ LIỆU'!$C$3:$C$1052,MATCH(7,'DỮ LIỆU'!$W$3:$W$1052,0)),"")</f>
        <v>C Trang Jade</v>
      </c>
      <c r="C12" s="21" t="str">
        <f aca="false">IF($B12="","",IFERROR(IF(INDEX('DỮ LIỆU'!$D$3:$D$1052,MATCH($B12,'DỮ LIỆU'!$C$3:$C$1052,0))="","",INDEX('DỮ LIỆU'!$D$3:$D$1052,MATCH($B12,'DỮ LIỆU'!$C$3:$C$1052,0))),""))</f>
        <v>0799740948</v>
      </c>
      <c r="D12" s="21" t="str">
        <f aca="false">IF($B12="","",IFERROR(IF(INDEX('DỮ LIỆU'!$E$3:$E$1052,MATCH($B12,'DỮ LIỆU'!$C$3:$C$1052,0))="","",INDEX('DỮ LIỆU'!$E$3:$E$1052,MATCH($B12,'DỮ LIỆU'!$C$3:$C$1052,0))),""))</f>
        <v/>
      </c>
      <c r="E12" s="21" t="str">
        <f aca="false">IF($B12="","",IFERROR(IF(INDEX('DỮ LIỆU'!$F$3:$F$1052,MATCH($B12,'DỮ LIỆU'!$C$3:$C$1052,0))="","",INDEX('DỮ LIỆU'!$F$3:$F$1052,MATCH($B12,'DỮ LIỆU'!$C$3:$C$1052,0))),""))</f>
        <v/>
      </c>
      <c r="F12" s="21" t="str">
        <f aca="false">IF($B12="","",IFERROR(IF(INDEX('DỮ LIỆU'!$G$3:$G$1052,MATCH($B12,'DỮ LIỆU'!$C$3:$C$1052,0))="","",INDEX('DỮ LIỆU'!$G$3:$G$1052,MATCH($B12,'DỮ LIỆU'!$C$3:$C$1052,0))),""))</f>
        <v>số 9 đường Trương Vĩnh Kỳ, Vùng Tàu, HCM</v>
      </c>
      <c r="G12" s="13" t="n">
        <f aca="false">IF($B12="","",COUNTIFS('DỮ LIỆU'!$C$3:$C$1052,$B12,'DỮ LIỆU'!$J$3:$J$1052,"&gt;0"))</f>
        <v>1</v>
      </c>
      <c r="H12" s="13" t="n">
        <f aca="false">IF($B12="","",SUMIF('DỮ LIỆU'!$C$3:$C$1052,$B12,'DỮ LIỆU'!$J$3:$J$1052))</f>
        <v>1225000</v>
      </c>
      <c r="I12" s="13" t="n">
        <f aca="false">IF($B12="","",SUMIF('DỮ LIỆU'!$C$3:$C$1052,$B12,'DỮ LIỆU'!$M$3:$M$1052))</f>
        <v>1323000</v>
      </c>
      <c r="J12" s="13" t="n">
        <f aca="false">IF($B12="","",SUMIF('DỮ LIỆU'!$C$3:$C$1052,$B12,'DỮ LIỆU'!$N$3:$N$1052))</f>
        <v>1323000</v>
      </c>
      <c r="K12" s="13" t="n">
        <f aca="false">IF($B12="","",SUMIF('DỮ LIỆU'!$C$3:$C$1052,$B12,'DỮ LIỆU'!$O$3:$O$1052))</f>
        <v>0</v>
      </c>
      <c r="L12" s="13" t="n">
        <f aca="false">IF($B12="","",SUMIF('DỮ LIỆU'!$C$3:$C$1052,$B12,'DỮ LIỆU'!$Q$3:$Q$1052))</f>
        <v>0</v>
      </c>
      <c r="M12" s="41" t="n">
        <f aca="false">IF($B12="","",IF(SUMPRODUCT(MAX(('DỮ LIỆU'!$C$3:$C$1052=$B12)*'DỮ LIỆU'!$Z$3:$Z$1052))=0,"",SUMPRODUCT(MAX(('DỮ LIỆU'!$C$3:$C$1052=$B12)*'DỮ LIỆU'!$Z$3:$Z$1052))))</f>
        <v>46207</v>
      </c>
      <c r="N12" s="21" t="str">
        <f aca="false">IF($B12="","",IF($G12=0,"Chưa có đơn",IF(COUNTIFS('DỮ LIỆU'!$C$3:$C$1052,$B12,'DỮ LIỆU'!$K$3:$K$1052,"&gt;0")&gt;0,"Có lấy VAT","Không lấy VAT")))</f>
        <v>Có lấy VAT</v>
      </c>
    </row>
    <row r="13" customFormat="false" ht="15" hidden="false" customHeight="false" outlineLevel="0" collapsed="false">
      <c r="A13" s="21" t="n">
        <f aca="false">IF($B13="","",8)</f>
        <v>8</v>
      </c>
      <c r="B13" s="21" t="str">
        <f aca="false">IFERROR(INDEX('DỮ LIỆU'!$C$3:$C$1052,MATCH(8,'DỮ LIỆU'!$W$3:$W$1052,0)),"")</f>
        <v>Điện máy Ngọc Hiển</v>
      </c>
      <c r="C13" s="21" t="str">
        <f aca="false">IF($B13="","",IFERROR(IF(INDEX('DỮ LIỆU'!$D$3:$D$1052,MATCH($B13,'DỮ LIỆU'!$C$3:$C$1052,0))="","",INDEX('DỮ LIỆU'!$D$3:$D$1052,MATCH($B13,'DỮ LIỆU'!$C$3:$C$1052,0))),""))</f>
        <v>097579661</v>
      </c>
      <c r="D13" s="21" t="str">
        <f aca="false">IF($B13="","",IFERROR(IF(INDEX('DỮ LIỆU'!$E$3:$E$1052,MATCH($B13,'DỮ LIỆU'!$C$3:$C$1052,0))="","",INDEX('DỮ LIỆU'!$E$3:$E$1052,MATCH($B13,'DỮ LIỆU'!$C$3:$C$1052,0))),""))</f>
        <v/>
      </c>
      <c r="E13" s="21" t="str">
        <f aca="false">IF($B13="","",IFERROR(IF(INDEX('DỮ LIỆU'!$F$3:$F$1052,MATCH($B13,'DỮ LIỆU'!$C$3:$C$1052,0))="","",INDEX('DỮ LIỆU'!$F$3:$F$1052,MATCH($B13,'DỮ LIỆU'!$C$3:$C$1052,0))),""))</f>
        <v/>
      </c>
      <c r="F13" s="21" t="str">
        <f aca="false">IF($B13="","",IFERROR(IF(INDEX('DỮ LIỆU'!$G$3:$G$1052,MATCH($B13,'DỮ LIỆU'!$C$3:$C$1052,0))="","",INDEX('DỮ LIỆU'!$G$3:$G$1052,MATCH($B13,'DỮ LIỆU'!$C$3:$C$1052,0))),""))</f>
        <v>Cổng chợ Phú Cường - Xã Phú Thịnh - Tỉnh Thái Nguyên</v>
      </c>
      <c r="G13" s="13" t="n">
        <f aca="false">IF($B13="","",COUNTIFS('DỮ LIỆU'!$C$3:$C$1052,$B13,'DỮ LIỆU'!$J$3:$J$1052,"&gt;0"))</f>
        <v>1</v>
      </c>
      <c r="H13" s="13" t="n">
        <f aca="false">IF($B13="","",SUMIF('DỮ LIỆU'!$C$3:$C$1052,$B13,'DỮ LIỆU'!$J$3:$J$1052))</f>
        <v>2500000</v>
      </c>
      <c r="I13" s="13" t="n">
        <f aca="false">IF($B13="","",SUMIF('DỮ LIỆU'!$C$3:$C$1052,$B13,'DỮ LIỆU'!$M$3:$M$1052))</f>
        <v>2500000</v>
      </c>
      <c r="J13" s="13" t="n">
        <f aca="false">IF($B13="","",SUMIF('DỮ LIỆU'!$C$3:$C$1052,$B13,'DỮ LIỆU'!$N$3:$N$1052))</f>
        <v>2500000</v>
      </c>
      <c r="K13" s="13" t="n">
        <f aca="false">IF($B13="","",SUMIF('DỮ LIỆU'!$C$3:$C$1052,$B13,'DỮ LIỆU'!$O$3:$O$1052))</f>
        <v>0</v>
      </c>
      <c r="L13" s="13" t="n">
        <f aca="false">IF($B13="","",SUMIF('DỮ LIỆU'!$C$3:$C$1052,$B13,'DỮ LIỆU'!$Q$3:$Q$1052))</f>
        <v>0</v>
      </c>
      <c r="M13" s="41" t="n">
        <f aca="false">IF($B13="","",IF(SUMPRODUCT(MAX(('DỮ LIỆU'!$C$3:$C$1052=$B13)*'DỮ LIỆU'!$Z$3:$Z$1052))=0,"",SUMPRODUCT(MAX(('DỮ LIỆU'!$C$3:$C$1052=$B13)*'DỮ LIỆU'!$Z$3:$Z$1052))))</f>
        <v>46207</v>
      </c>
      <c r="N13" s="21" t="str">
        <f aca="false">IF($B13="","",IF($G13=0,"Chưa có đơn",IF(COUNTIFS('DỮ LIỆU'!$C$3:$C$1052,$B13,'DỮ LIỆU'!$K$3:$K$1052,"&gt;0")&gt;0,"Có lấy VAT","Không lấy VAT")))</f>
        <v>Không lấy VAT</v>
      </c>
    </row>
    <row r="14" customFormat="false" ht="15" hidden="false" customHeight="false" outlineLevel="0" collapsed="false">
      <c r="A14" s="21" t="n">
        <f aca="false">IF($B14="","",9)</f>
        <v>9</v>
      </c>
      <c r="B14" s="21" t="str">
        <f aca="false">IFERROR(INDEX('DỮ LIỆU'!$C$3:$C$1052,MATCH(9,'DỮ LIỆU'!$W$3:$W$1052,0)),"")</f>
        <v>Tạ Quang Bửu</v>
      </c>
      <c r="C14" s="21" t="str">
        <f aca="false">IF($B14="","",IFERROR(IF(INDEX('DỮ LIỆU'!$D$3:$D$1052,MATCH($B14,'DỮ LIỆU'!$C$3:$C$1052,0))="","",INDEX('DỮ LIỆU'!$D$3:$D$1052,MATCH($B14,'DỮ LIỆU'!$C$3:$C$1052,0))),""))</f>
        <v>0347713942</v>
      </c>
      <c r="D14" s="21" t="str">
        <f aca="false">IF($B14="","",IFERROR(IF(INDEX('DỮ LIỆU'!$E$3:$E$1052,MATCH($B14,'DỮ LIỆU'!$C$3:$C$1052,0))="","",INDEX('DỮ LIỆU'!$E$3:$E$1052,MATCH($B14,'DỮ LIỆU'!$C$3:$C$1052,0))),""))</f>
        <v>TRƯỜNG THCS-THPT TẠ QUANG BỬU</v>
      </c>
      <c r="E14" s="21" t="str">
        <f aca="false">IF($B14="","",IFERROR(IF(INDEX('DỮ LIỆU'!$F$3:$F$1052,MATCH($B14,'DỮ LIỆU'!$C$3:$C$1052,0))="","",INDEX('DỮ LIỆU'!$F$3:$F$1052,MATCH($B14,'DỮ LIỆU'!$C$3:$C$1052,0))),""))</f>
        <v>0106193778</v>
      </c>
      <c r="F14" s="21" t="str">
        <f aca="false">IF($B14="","",IFERROR(IF(INDEX('DỮ LIỆU'!$G$3:$G$1052,MATCH($B14,'DỮ LIỆU'!$C$3:$C$1052,0))="","",INDEX('DỮ LIỆU'!$G$3:$G$1052,MATCH($B14,'DỮ LIỆU'!$C$3:$C$1052,0))),""))</f>
        <v>"94A Lê Thanh Nghị, Hà Nội Đối diện sân vân động bách khoa "</v>
      </c>
      <c r="G14" s="13" t="n">
        <f aca="false">IF($B14="","",COUNTIFS('DỮ LIỆU'!$C$3:$C$1052,$B14,'DỮ LIỆU'!$J$3:$J$1052,"&gt;0"))</f>
        <v>1</v>
      </c>
      <c r="H14" s="13" t="n">
        <f aca="false">IF($B14="","",SUMIF('DỮ LIỆU'!$C$3:$C$1052,$B14,'DỮ LIỆU'!$J$3:$J$1052))</f>
        <v>1350000</v>
      </c>
      <c r="I14" s="13" t="n">
        <f aca="false">IF($B14="","",SUMIF('DỮ LIỆU'!$C$3:$C$1052,$B14,'DỮ LIỆU'!$M$3:$M$1052))</f>
        <v>1458000</v>
      </c>
      <c r="J14" s="13" t="n">
        <f aca="false">IF($B14="","",SUMIF('DỮ LIỆU'!$C$3:$C$1052,$B14,'DỮ LIỆU'!$N$3:$N$1052))</f>
        <v>1458000</v>
      </c>
      <c r="K14" s="13" t="n">
        <f aca="false">IF($B14="","",SUMIF('DỮ LIỆU'!$C$3:$C$1052,$B14,'DỮ LIỆU'!$O$3:$O$1052))</f>
        <v>0</v>
      </c>
      <c r="L14" s="13" t="n">
        <f aca="false">IF($B14="","",SUMIF('DỮ LIỆU'!$C$3:$C$1052,$B14,'DỮ LIỆU'!$Q$3:$Q$1052))</f>
        <v>0</v>
      </c>
      <c r="M14" s="41" t="n">
        <f aca="false">IF($B14="","",IF(SUMPRODUCT(MAX(('DỮ LIỆU'!$C$3:$C$1052=$B14)*'DỮ LIỆU'!$Z$3:$Z$1052))=0,"",SUMPRODUCT(MAX(('DỮ LIỆU'!$C$3:$C$1052=$B14)*'DỮ LIỆU'!$Z$3:$Z$1052))))</f>
        <v>46209</v>
      </c>
      <c r="N14" s="21" t="str">
        <f aca="false">IF($B14="","",IF($G14=0,"Chưa có đơn",IF(COUNTIFS('DỮ LIỆU'!$C$3:$C$1052,$B14,'DỮ LIỆU'!$K$3:$K$1052,"&gt;0")&gt;0,"Có lấy VAT","Không lấy VAT")))</f>
        <v>Có lấy VAT</v>
      </c>
    </row>
    <row r="15" customFormat="false" ht="15" hidden="false" customHeight="false" outlineLevel="0" collapsed="false">
      <c r="A15" s="21" t="n">
        <f aca="false">IF($B15="","",10)</f>
        <v>10</v>
      </c>
      <c r="B15" s="21" t="str">
        <f aca="false">IFERROR(INDEX('DỮ LIỆU'!$C$3:$C$1052,MATCH(10,'DỮ LIỆU'!$W$3:$W$1052,0)),"")</f>
        <v>C Lan Anh</v>
      </c>
      <c r="C15" s="21" t="str">
        <f aca="false">IF($B15="","",IFERROR(IF(INDEX('DỮ LIỆU'!$D$3:$D$1052,MATCH($B15,'DỮ LIỆU'!$C$3:$C$1052,0))="","",INDEX('DỮ LIỆU'!$D$3:$D$1052,MATCH($B15,'DỮ LIỆU'!$C$3:$C$1052,0))),""))</f>
        <v>0989472201</v>
      </c>
      <c r="D15" s="21" t="str">
        <f aca="false">IF($B15="","",IFERROR(IF(INDEX('DỮ LIỆU'!$E$3:$E$1052,MATCH($B15,'DỮ LIỆU'!$C$3:$C$1052,0))="","",INDEX('DỮ LIỆU'!$E$3:$E$1052,MATCH($B15,'DỮ LIỆU'!$C$3:$C$1052,0))),""))</f>
        <v/>
      </c>
      <c r="E15" s="21" t="str">
        <f aca="false">IF($B15="","",IFERROR(IF(INDEX('DỮ LIỆU'!$F$3:$F$1052,MATCH($B15,'DỮ LIỆU'!$C$3:$C$1052,0))="","",INDEX('DỮ LIỆU'!$F$3:$F$1052,MATCH($B15,'DỮ LIỆU'!$C$3:$C$1052,0))),""))</f>
        <v/>
      </c>
      <c r="F15" s="21" t="str">
        <f aca="false">IF($B15="","",IFERROR(IF(INDEX('DỮ LIỆU'!$G$3:$G$1052,MATCH($B15,'DỮ LIỆU'!$C$3:$C$1052,0))="","",INDEX('DỮ LIỆU'!$G$3:$G$1052,MATCH($B15,'DỮ LIỆU'!$C$3:$C$1052,0))),""))</f>
        <v>thôn Bình Phú, xã Việt Yên, tỉnh Hưng Yên.</v>
      </c>
      <c r="G15" s="13" t="n">
        <f aca="false">IF($B15="","",COUNTIFS('DỮ LIỆU'!$C$3:$C$1052,$B15,'DỮ LIỆU'!$J$3:$J$1052,"&gt;0"))</f>
        <v>1</v>
      </c>
      <c r="H15" s="13" t="n">
        <f aca="false">IF($B15="","",SUMIF('DỮ LIỆU'!$C$3:$C$1052,$B15,'DỮ LIỆU'!$J$3:$J$1052))</f>
        <v>1160000</v>
      </c>
      <c r="I15" s="13" t="n">
        <f aca="false">IF($B15="","",SUMIF('DỮ LIỆU'!$C$3:$C$1052,$B15,'DỮ LIỆU'!$M$3:$M$1052))</f>
        <v>1160000</v>
      </c>
      <c r="J15" s="13" t="n">
        <f aca="false">IF($B15="","",SUMIF('DỮ LIỆU'!$C$3:$C$1052,$B15,'DỮ LIỆU'!$N$3:$N$1052))</f>
        <v>1160000</v>
      </c>
      <c r="K15" s="13" t="n">
        <f aca="false">IF($B15="","",SUMIF('DỮ LIỆU'!$C$3:$C$1052,$B15,'DỮ LIỆU'!$O$3:$O$1052))</f>
        <v>0</v>
      </c>
      <c r="L15" s="13" t="n">
        <f aca="false">IF($B15="","",SUMIF('DỮ LIỆU'!$C$3:$C$1052,$B15,'DỮ LIỆU'!$Q$3:$Q$1052))</f>
        <v>0</v>
      </c>
      <c r="M15" s="41" t="n">
        <f aca="false">IF($B15="","",IF(SUMPRODUCT(MAX(('DỮ LIỆU'!$C$3:$C$1052=$B15)*'DỮ LIỆU'!$Z$3:$Z$1052))=0,"",SUMPRODUCT(MAX(('DỮ LIỆU'!$C$3:$C$1052=$B15)*'DỮ LIỆU'!$Z$3:$Z$1052))))</f>
        <v>46210</v>
      </c>
      <c r="N15" s="21" t="str">
        <f aca="false">IF($B15="","",IF($G15=0,"Chưa có đơn",IF(COUNTIFS('DỮ LIỆU'!$C$3:$C$1052,$B15,'DỮ LIỆU'!$K$3:$K$1052,"&gt;0")&gt;0,"Có lấy VAT","Không lấy VAT")))</f>
        <v>Không lấy VAT</v>
      </c>
    </row>
    <row r="16" customFormat="false" ht="15" hidden="false" customHeight="false" outlineLevel="0" collapsed="false">
      <c r="A16" s="21" t="n">
        <f aca="false">IF($B16="","",11)</f>
        <v>11</v>
      </c>
      <c r="B16" s="21" t="str">
        <f aca="false">IFERROR(INDEX('DỮ LIỆU'!$C$3:$C$1052,MATCH(11,'DỮ LIỆU'!$W$3:$W$1052,0)),"")</f>
        <v>BGB - SPA ĐẸP TPHCM</v>
      </c>
      <c r="C16" s="21" t="str">
        <f aca="false">IF($B16="","",IFERROR(IF(INDEX('DỮ LIỆU'!$D$3:$D$1052,MATCH($B16,'DỮ LIỆU'!$C$3:$C$1052,0))="","",INDEX('DỮ LIỆU'!$D$3:$D$1052,MATCH($B16,'DỮ LIỆU'!$C$3:$C$1052,0))),""))</f>
        <v>0399871317</v>
      </c>
      <c r="D16" s="21" t="str">
        <f aca="false">IF($B16="","",IFERROR(IF(INDEX('DỮ LIỆU'!$E$3:$E$1052,MATCH($B16,'DỮ LIỆU'!$C$3:$C$1052,0))="","",INDEX('DỮ LIỆU'!$E$3:$E$1052,MATCH($B16,'DỮ LIỆU'!$C$3:$C$1052,0))),""))</f>
        <v/>
      </c>
      <c r="E16" s="21" t="str">
        <f aca="false">IF($B16="","",IFERROR(IF(INDEX('DỮ LIỆU'!$F$3:$F$1052,MATCH($B16,'DỮ LIỆU'!$C$3:$C$1052,0))="","",INDEX('DỮ LIỆU'!$F$3:$F$1052,MATCH($B16,'DỮ LIỆU'!$C$3:$C$1052,0))),""))</f>
        <v/>
      </c>
      <c r="F16" s="21" t="str">
        <f aca="false">IF($B16="","",IFERROR(IF(INDEX('DỮ LIỆU'!$G$3:$G$1052,MATCH($B16,'DỮ LIỆU'!$C$3:$C$1052,0))="","",INDEX('DỮ LIỆU'!$G$3:$G$1052,MATCH($B16,'DỮ LIỆU'!$C$3:$C$1052,0))),""))</f>
        <v>134 Liêu Bình Dương, Thị trấn Củ Chi, TPHCM</v>
      </c>
      <c r="G16" s="13" t="n">
        <f aca="false">IF($B16="","",COUNTIFS('DỮ LIỆU'!$C$3:$C$1052,$B16,'DỮ LIỆU'!$J$3:$J$1052,"&gt;0"))</f>
        <v>1</v>
      </c>
      <c r="H16" s="13" t="n">
        <f aca="false">IF($B16="","",SUMIF('DỮ LIỆU'!$C$3:$C$1052,$B16,'DỮ LIỆU'!$J$3:$J$1052))</f>
        <v>4500000</v>
      </c>
      <c r="I16" s="13" t="n">
        <f aca="false">IF($B16="","",SUMIF('DỮ LIỆU'!$C$3:$C$1052,$B16,'DỮ LIỆU'!$M$3:$M$1052))</f>
        <v>4500000</v>
      </c>
      <c r="J16" s="13" t="n">
        <f aca="false">IF($B16="","",SUMIF('DỮ LIỆU'!$C$3:$C$1052,$B16,'DỮ LIỆU'!$N$3:$N$1052))</f>
        <v>4500000</v>
      </c>
      <c r="K16" s="13" t="n">
        <f aca="false">IF($B16="","",SUMIF('DỮ LIỆU'!$C$3:$C$1052,$B16,'DỮ LIỆU'!$O$3:$O$1052))</f>
        <v>0</v>
      </c>
      <c r="L16" s="13" t="n">
        <f aca="false">IF($B16="","",SUMIF('DỮ LIỆU'!$C$3:$C$1052,$B16,'DỮ LIỆU'!$Q$3:$Q$1052))</f>
        <v>0</v>
      </c>
      <c r="M16" s="41" t="n">
        <f aca="false">IF($B16="","",IF(SUMPRODUCT(MAX(('DỮ LIỆU'!$C$3:$C$1052=$B16)*'DỮ LIỆU'!$Z$3:$Z$1052))=0,"",SUMPRODUCT(MAX(('DỮ LIỆU'!$C$3:$C$1052=$B16)*'DỮ LIỆU'!$Z$3:$Z$1052))))</f>
        <v>46210</v>
      </c>
      <c r="N16" s="21" t="str">
        <f aca="false">IF($B16="","",IF($G16=0,"Chưa có đơn",IF(COUNTIFS('DỮ LIỆU'!$C$3:$C$1052,$B16,'DỮ LIỆU'!$K$3:$K$1052,"&gt;0")&gt;0,"Có lấy VAT","Không lấy VAT")))</f>
        <v>Không lấy VAT</v>
      </c>
    </row>
    <row r="17" customFormat="false" ht="15" hidden="false" customHeight="false" outlineLevel="0" collapsed="false">
      <c r="A17" s="21" t="n">
        <f aca="false">IF($B17="","",12)</f>
        <v>12</v>
      </c>
      <c r="B17" s="21" t="str">
        <f aca="false">IFERROR(INDEX('DỮ LIỆU'!$C$3:$C$1052,MATCH(12,'DỮ LIỆU'!$W$3:$W$1052,0)),"")</f>
        <v>NHA KHOA VÂN ANH</v>
      </c>
      <c r="C17" s="21" t="str">
        <f aca="false">IF($B17="","",IFERROR(IF(INDEX('DỮ LIỆU'!$D$3:$D$1052,MATCH($B17,'DỮ LIỆU'!$C$3:$C$1052,0))="","",INDEX('DỮ LIỆU'!$D$3:$D$1052,MATCH($B17,'DỮ LIỆU'!$C$3:$C$1052,0))),""))</f>
        <v>0943599705</v>
      </c>
      <c r="D17" s="21" t="str">
        <f aca="false">IF($B17="","",IFERROR(IF(INDEX('DỮ LIỆU'!$E$3:$E$1052,MATCH($B17,'DỮ LIỆU'!$C$3:$C$1052,0))="","",INDEX('DỮ LIỆU'!$E$3:$E$1052,MATCH($B17,'DỮ LIỆU'!$C$3:$C$1052,0))),""))</f>
        <v>CÔNG TY CỔ PHẦN TPA DENTAL</v>
      </c>
      <c r="E17" s="21" t="str">
        <f aca="false">IF($B17="","",IFERROR(IF(INDEX('DỮ LIỆU'!$F$3:$F$1052,MATCH($B17,'DỮ LIỆU'!$C$3:$C$1052,0))="","",INDEX('DỮ LIỆU'!$F$3:$F$1052,MATCH($B17,'DỮ LIỆU'!$C$3:$C$1052,0))),""))</f>
        <v>0901232239</v>
      </c>
      <c r="F17" s="21" t="str">
        <f aca="false">IF($B17="","",IFERROR(IF(INDEX('DỮ LIỆU'!$G$3:$G$1052,MATCH($B17,'DỮ LIỆU'!$C$3:$C$1052,0))="","",INDEX('DỮ LIỆU'!$G$3:$G$1052,MATCH($B17,'DỮ LIỆU'!$C$3:$C$1052,0))),""))</f>
        <v>nha khoa Vân Anh, 301 Minh Khai, Từ Sơn, Bắc Ninh</v>
      </c>
      <c r="G17" s="13" t="n">
        <f aca="false">IF($B17="","",COUNTIFS('DỮ LIỆU'!$C$3:$C$1052,$B17,'DỮ LIỆU'!$J$3:$J$1052,"&gt;0"))</f>
        <v>1</v>
      </c>
      <c r="H17" s="13" t="n">
        <f aca="false">IF($B17="","",SUMIF('DỮ LIỆU'!$C$3:$C$1052,$B17,'DỮ LIỆU'!$J$3:$J$1052))</f>
        <v>2500000</v>
      </c>
      <c r="I17" s="13" t="n">
        <f aca="false">IF($B17="","",SUMIF('DỮ LIỆU'!$C$3:$C$1052,$B17,'DỮ LIỆU'!$M$3:$M$1052))</f>
        <v>2700000</v>
      </c>
      <c r="J17" s="13" t="n">
        <f aca="false">IF($B17="","",SUMIF('DỮ LIỆU'!$C$3:$C$1052,$B17,'DỮ LIỆU'!$N$3:$N$1052))</f>
        <v>2500000</v>
      </c>
      <c r="K17" s="13" t="n">
        <f aca="false">IF($B17="","",SUMIF('DỮ LIỆU'!$C$3:$C$1052,$B17,'DỮ LIỆU'!$O$3:$O$1052))</f>
        <v>200000</v>
      </c>
      <c r="L17" s="13" t="n">
        <f aca="false">IF($B17="","",SUMIF('DỮ LIỆU'!$C$3:$C$1052,$B17,'DỮ LIỆU'!$Q$3:$Q$1052))</f>
        <v>0</v>
      </c>
      <c r="M17" s="41" t="n">
        <f aca="false">IF($B17="","",IF(SUMPRODUCT(MAX(('DỮ LIỆU'!$C$3:$C$1052=$B17)*'DỮ LIỆU'!$Z$3:$Z$1052))=0,"",SUMPRODUCT(MAX(('DỮ LIỆU'!$C$3:$C$1052=$B17)*'DỮ LIỆU'!$Z$3:$Z$1052))))</f>
        <v>46211</v>
      </c>
      <c r="N17" s="21" t="str">
        <f aca="false">IF($B17="","",IF($G17=0,"Chưa có đơn",IF(COUNTIFS('DỮ LIỆU'!$C$3:$C$1052,$B17,'DỮ LIỆU'!$K$3:$K$1052,"&gt;0")&gt;0,"Có lấy VAT","Không lấy VAT")))</f>
        <v>Có lấy VAT</v>
      </c>
    </row>
    <row r="18" customFormat="false" ht="15" hidden="false" customHeight="false" outlineLevel="0" collapsed="false">
      <c r="A18" s="21" t="n">
        <f aca="false">IF($B18="","",13)</f>
        <v>13</v>
      </c>
      <c r="B18" s="21" t="str">
        <f aca="false">IFERROR(INDEX('DỮ LIỆU'!$C$3:$C$1052,MATCH(13,'DỮ LIỆU'!$W$3:$W$1052,0)),"")</f>
        <v>SPA TUYẾT LISA</v>
      </c>
      <c r="C18" s="21" t="str">
        <f aca="false">IF($B18="","",IFERROR(IF(INDEX('DỮ LIỆU'!$D$3:$D$1052,MATCH($B18,'DỮ LIỆU'!$C$3:$C$1052,0))="","",INDEX('DỮ LIỆU'!$D$3:$D$1052,MATCH($B18,'DỮ LIỆU'!$C$3:$C$1052,0))),""))</f>
        <v>0975299444</v>
      </c>
      <c r="D18" s="21" t="str">
        <f aca="false">IF($B18="","",IFERROR(IF(INDEX('DỮ LIỆU'!$E$3:$E$1052,MATCH($B18,'DỮ LIỆU'!$C$3:$C$1052,0))="","",INDEX('DỮ LIỆU'!$E$3:$E$1052,MATCH($B18,'DỮ LIỆU'!$C$3:$C$1052,0))),""))</f>
        <v/>
      </c>
      <c r="E18" s="21" t="str">
        <f aca="false">IF($B18="","",IFERROR(IF(INDEX('DỮ LIỆU'!$F$3:$F$1052,MATCH($B18,'DỮ LIỆU'!$C$3:$C$1052,0))="","",INDEX('DỮ LIỆU'!$F$3:$F$1052,MATCH($B18,'DỮ LIỆU'!$C$3:$C$1052,0))),""))</f>
        <v/>
      </c>
      <c r="F18" s="21" t="str">
        <f aca="false">IF($B18="","",IFERROR(IF(INDEX('DỮ LIỆU'!$G$3:$G$1052,MATCH($B18,'DỮ LIỆU'!$C$3:$C$1052,0))="","",INDEX('DỮ LIỆU'!$G$3:$G$1052,MATCH($B18,'DỮ LIỆU'!$C$3:$C$1052,0))),""))</f>
        <v>53 nguyễn văn bổng phường Khuê Trung đà nẵng</v>
      </c>
      <c r="G18" s="13" t="n">
        <f aca="false">IF($B18="","",COUNTIFS('DỮ LIỆU'!$C$3:$C$1052,$B18,'DỮ LIỆU'!$J$3:$J$1052,"&gt;0"))</f>
        <v>1</v>
      </c>
      <c r="H18" s="13" t="n">
        <f aca="false">IF($B18="","",SUMIF('DỮ LIỆU'!$C$3:$C$1052,$B18,'DỮ LIỆU'!$J$3:$J$1052))</f>
        <v>2500000</v>
      </c>
      <c r="I18" s="13" t="n">
        <f aca="false">IF($B18="","",SUMIF('DỮ LIỆU'!$C$3:$C$1052,$B18,'DỮ LIỆU'!$M$3:$M$1052))</f>
        <v>2500000</v>
      </c>
      <c r="J18" s="13" t="n">
        <f aca="false">IF($B18="","",SUMIF('DỮ LIỆU'!$C$3:$C$1052,$B18,'DỮ LIỆU'!$N$3:$N$1052))</f>
        <v>2500000</v>
      </c>
      <c r="K18" s="13" t="n">
        <f aca="false">IF($B18="","",SUMIF('DỮ LIỆU'!$C$3:$C$1052,$B18,'DỮ LIỆU'!$O$3:$O$1052))</f>
        <v>0</v>
      </c>
      <c r="L18" s="13" t="n">
        <f aca="false">IF($B18="","",SUMIF('DỮ LIỆU'!$C$3:$C$1052,$B18,'DỮ LIỆU'!$Q$3:$Q$1052))</f>
        <v>0</v>
      </c>
      <c r="M18" s="41" t="n">
        <f aca="false">IF($B18="","",IF(SUMPRODUCT(MAX(('DỮ LIỆU'!$C$3:$C$1052=$B18)*'DỮ LIỆU'!$Z$3:$Z$1052))=0,"",SUMPRODUCT(MAX(('DỮ LIỆU'!$C$3:$C$1052=$B18)*'DỮ LIỆU'!$Z$3:$Z$1052))))</f>
        <v>46211</v>
      </c>
      <c r="N18" s="21" t="str">
        <f aca="false">IF($B18="","",IF($G18=0,"Chưa có đơn",IF(COUNTIFS('DỮ LIỆU'!$C$3:$C$1052,$B18,'DỮ LIỆU'!$K$3:$K$1052,"&gt;0")&gt;0,"Có lấy VAT","Không lấy VAT")))</f>
        <v>Không lấy VAT</v>
      </c>
    </row>
    <row r="19" customFormat="false" ht="15" hidden="false" customHeight="false" outlineLevel="0" collapsed="false">
      <c r="A19" s="21" t="n">
        <f aca="false">IF($B19="","",14)</f>
        <v>14</v>
      </c>
      <c r="B19" s="21" t="str">
        <f aca="false">IFERROR(INDEX('DỮ LIỆU'!$C$3:$C$1052,MATCH(14,'DỮ LIỆU'!$W$3:$W$1052,0)),"")</f>
        <v>LÀM ĐẸP THỦY MỘC</v>
      </c>
      <c r="C19" s="21" t="str">
        <f aca="false">IF($B19="","",IFERROR(IF(INDEX('DỮ LIỆU'!$D$3:$D$1052,MATCH($B19,'DỮ LIỆU'!$C$3:$C$1052,0))="","",INDEX('DỮ LIỆU'!$D$3:$D$1052,MATCH($B19,'DỮ LIỆU'!$C$3:$C$1052,0))),""))</f>
        <v>0909377298</v>
      </c>
      <c r="D19" s="21" t="str">
        <f aca="false">IF($B19="","",IFERROR(IF(INDEX('DỮ LIỆU'!$E$3:$E$1052,MATCH($B19,'DỮ LIỆU'!$C$3:$C$1052,0))="","",INDEX('DỮ LIỆU'!$E$3:$E$1052,MATCH($B19,'DỮ LIỆU'!$C$3:$C$1052,0))),""))</f>
        <v/>
      </c>
      <c r="E19" s="21" t="str">
        <f aca="false">IF($B19="","",IFERROR(IF(INDEX('DỮ LIỆU'!$F$3:$F$1052,MATCH($B19,'DỮ LIỆU'!$C$3:$C$1052,0))="","",INDEX('DỮ LIỆU'!$F$3:$F$1052,MATCH($B19,'DỮ LIỆU'!$C$3:$C$1052,0))),""))</f>
        <v/>
      </c>
      <c r="F19" s="21" t="str">
        <f aca="false">IF($B19="","",IFERROR(IF(INDEX('DỮ LIỆU'!$G$3:$G$1052,MATCH($B19,'DỮ LIỆU'!$C$3:$C$1052,0))="","",INDEX('DỮ LIỆU'!$G$3:$G$1052,MATCH($B19,'DỮ LIỆU'!$C$3:$C$1052,0))),""))</f>
        <v>F12/21 Quách Điêu - tổ 25 - Vĩnh Lộc - tpHCM</v>
      </c>
      <c r="G19" s="13" t="n">
        <f aca="false">IF($B19="","",COUNTIFS('DỮ LIỆU'!$C$3:$C$1052,$B19,'DỮ LIỆU'!$J$3:$J$1052,"&gt;0"))</f>
        <v>1</v>
      </c>
      <c r="H19" s="13" t="n">
        <f aca="false">IF($B19="","",SUMIF('DỮ LIỆU'!$C$3:$C$1052,$B19,'DỮ LIỆU'!$J$3:$J$1052))</f>
        <v>2880000</v>
      </c>
      <c r="I19" s="13" t="n">
        <f aca="false">IF($B19="","",SUMIF('DỮ LIỆU'!$C$3:$C$1052,$B19,'DỮ LIỆU'!$M$3:$M$1052))</f>
        <v>2880000</v>
      </c>
      <c r="J19" s="13" t="n">
        <f aca="false">IF($B19="","",SUMIF('DỮ LIỆU'!$C$3:$C$1052,$B19,'DỮ LIỆU'!$N$3:$N$1052))</f>
        <v>2880000</v>
      </c>
      <c r="K19" s="13" t="n">
        <f aca="false">IF($B19="","",SUMIF('DỮ LIỆU'!$C$3:$C$1052,$B19,'DỮ LIỆU'!$O$3:$O$1052))</f>
        <v>0</v>
      </c>
      <c r="L19" s="13" t="n">
        <f aca="false">IF($B19="","",SUMIF('DỮ LIỆU'!$C$3:$C$1052,$B19,'DỮ LIỆU'!$Q$3:$Q$1052))</f>
        <v>0</v>
      </c>
      <c r="M19" s="41" t="n">
        <f aca="false">IF($B19="","",IF(SUMPRODUCT(MAX(('DỮ LIỆU'!$C$3:$C$1052=$B19)*'DỮ LIỆU'!$Z$3:$Z$1052))=0,"",SUMPRODUCT(MAX(('DỮ LIỆU'!$C$3:$C$1052=$B19)*'DỮ LIỆU'!$Z$3:$Z$1052))))</f>
        <v>46211</v>
      </c>
      <c r="N19" s="21" t="str">
        <f aca="false">IF($B19="","",IF($G19=0,"Chưa có đơn",IF(COUNTIFS('DỮ LIỆU'!$C$3:$C$1052,$B19,'DỮ LIỆU'!$K$3:$K$1052,"&gt;0")&gt;0,"Có lấy VAT","Không lấy VAT")))</f>
        <v>Không lấy VAT</v>
      </c>
    </row>
    <row r="20" customFormat="false" ht="15" hidden="false" customHeight="false" outlineLevel="0" collapsed="false">
      <c r="A20" s="21" t="n">
        <f aca="false">IF($B20="","",15)</f>
        <v>15</v>
      </c>
      <c r="B20" s="21" t="str">
        <f aca="false">IFERROR(INDEX('DỮ LIỆU'!$C$3:$C$1052,MATCH(15,'DỮ LIỆU'!$W$3:$W$1052,0)),"")</f>
        <v>HAU - ĐHKTHN</v>
      </c>
      <c r="C20" s="21" t="str">
        <f aca="false">IF($B20="","",IFERROR(IF(INDEX('DỮ LIỆU'!$D$3:$D$1052,MATCH($B20,'DỮ LIỆU'!$C$3:$C$1052,0))="","",INDEX('DỮ LIỆU'!$D$3:$D$1052,MATCH($B20,'DỮ LIỆU'!$C$3:$C$1052,0))),""))</f>
        <v/>
      </c>
      <c r="D20" s="21" t="str">
        <f aca="false">IF($B20="","",IFERROR(IF(INDEX('DỮ LIỆU'!$E$3:$E$1052,MATCH($B20,'DỮ LIỆU'!$C$3:$C$1052,0))="","",INDEX('DỮ LIỆU'!$E$3:$E$1052,MATCH($B20,'DỮ LIỆU'!$C$3:$C$1052,0))),""))</f>
        <v/>
      </c>
      <c r="E20" s="21" t="str">
        <f aca="false">IF($B20="","",IFERROR(IF(INDEX('DỮ LIỆU'!$F$3:$F$1052,MATCH($B20,'DỮ LIỆU'!$C$3:$C$1052,0))="","",INDEX('DỮ LIỆU'!$F$3:$F$1052,MATCH($B20,'DỮ LIỆU'!$C$3:$C$1052,0))),""))</f>
        <v/>
      </c>
      <c r="F20" s="21" t="str">
        <f aca="false">IF($B20="","",IFERROR(IF(INDEX('DỮ LIỆU'!$G$3:$G$1052,MATCH($B20,'DỮ LIỆU'!$C$3:$C$1052,0))="","",INDEX('DỮ LIỆU'!$G$3:$G$1052,MATCH($B20,'DỮ LIỆU'!$C$3:$C$1052,0))),""))</f>
        <v>ĐHKTHN</v>
      </c>
      <c r="G20" s="13" t="n">
        <f aca="false">IF($B20="","",COUNTIFS('DỮ LIỆU'!$C$3:$C$1052,$B20,'DỮ LIỆU'!$J$3:$J$1052,"&gt;0"))</f>
        <v>1</v>
      </c>
      <c r="H20" s="13" t="n">
        <f aca="false">IF($B20="","",SUMIF('DỮ LIỆU'!$C$3:$C$1052,$B20,'DỮ LIỆU'!$J$3:$J$1052))</f>
        <v>15600000</v>
      </c>
      <c r="I20" s="13" t="n">
        <f aca="false">IF($B20="","",SUMIF('DỮ LIỆU'!$C$3:$C$1052,$B20,'DỮ LIỆU'!$M$3:$M$1052))</f>
        <v>15600000</v>
      </c>
      <c r="J20" s="13" t="n">
        <f aca="false">IF($B20="","",SUMIF('DỮ LIỆU'!$C$3:$C$1052,$B20,'DỮ LIỆU'!$N$3:$N$1052))</f>
        <v>15600000</v>
      </c>
      <c r="K20" s="13" t="n">
        <f aca="false">IF($B20="","",SUMIF('DỮ LIỆU'!$C$3:$C$1052,$B20,'DỮ LIỆU'!$O$3:$O$1052))</f>
        <v>0</v>
      </c>
      <c r="L20" s="13" t="n">
        <f aca="false">IF($B20="","",SUMIF('DỮ LIỆU'!$C$3:$C$1052,$B20,'DỮ LIỆU'!$Q$3:$Q$1052))</f>
        <v>0</v>
      </c>
      <c r="M20" s="41" t="n">
        <f aca="false">IF($B20="","",IF(SUMPRODUCT(MAX(('DỮ LIỆU'!$C$3:$C$1052=$B20)*'DỮ LIỆU'!$Z$3:$Z$1052))=0,"",SUMPRODUCT(MAX(('DỮ LIỆU'!$C$3:$C$1052=$B20)*'DỮ LIỆU'!$Z$3:$Z$1052))))</f>
        <v>46212</v>
      </c>
      <c r="N20" s="21" t="str">
        <f aca="false">IF($B20="","",IF($G20=0,"Chưa có đơn",IF(COUNTIFS('DỮ LIỆU'!$C$3:$C$1052,$B20,'DỮ LIỆU'!$K$3:$K$1052,"&gt;0")&gt;0,"Có lấy VAT","Không lấy VAT")))</f>
        <v>Không lấy VAT</v>
      </c>
    </row>
    <row r="21" customFormat="false" ht="15" hidden="false" customHeight="false" outlineLevel="0" collapsed="false">
      <c r="A21" s="21" t="n">
        <f aca="false">IF($B21="","",16)</f>
        <v>16</v>
      </c>
      <c r="B21" s="21" t="str">
        <f aca="false">IFERROR(INDEX('DỮ LIỆU'!$C$3:$C$1052,MATCH(16,'DỮ LIỆU'!$W$3:$W$1052,0)),"")</f>
        <v>THCS - THPT HÀ THÀNH</v>
      </c>
      <c r="C21" s="21" t="str">
        <f aca="false">IF($B21="","",IFERROR(IF(INDEX('DỮ LIỆU'!$D$3:$D$1052,MATCH($B21,'DỮ LIỆU'!$C$3:$C$1052,0))="","",INDEX('DỮ LIỆU'!$D$3:$D$1052,MATCH($B21,'DỮ LIỆU'!$C$3:$C$1052,0))),""))</f>
        <v>0916283845</v>
      </c>
      <c r="D21" s="21" t="str">
        <f aca="false">IF($B21="","",IFERROR(IF(INDEX('DỮ LIỆU'!$E$3:$E$1052,MATCH($B21,'DỮ LIỆU'!$C$3:$C$1052,0))="","",INDEX('DỮ LIỆU'!$E$3:$E$1052,MATCH($B21,'DỮ LIỆU'!$C$3:$C$1052,0))),""))</f>
        <v>Trường THCS - THPT Hà Thành</v>
      </c>
      <c r="E21" s="21" t="str">
        <f aca="false">IF($B21="","",IFERROR(IF(INDEX('DỮ LIỆU'!$F$3:$F$1052,MATCH($B21,'DỮ LIỆU'!$C$3:$C$1052,0))="","",INDEX('DỮ LIỆU'!$F$3:$F$1052,MATCH($B21,'DỮ LIỆU'!$C$3:$C$1052,0))),""))</f>
        <v>0104102366</v>
      </c>
      <c r="F21" s="21" t="str">
        <f aca="false">IF($B21="","",IFERROR(IF(INDEX('DỮ LIỆU'!$G$3:$G$1052,MATCH($B21,'DỮ LIỆU'!$C$3:$C$1052,0))="","",INDEX('DỮ LIỆU'!$G$3:$G$1052,MATCH($B21,'DỮ LIỆU'!$C$3:$C$1052,0))),""))</f>
        <v>36A Phạm Văn Đồng, Phường Nghĩa Đô, Hà Nội</v>
      </c>
      <c r="G21" s="13" t="n">
        <f aca="false">IF($B21="","",COUNTIFS('DỮ LIỆU'!$C$3:$C$1052,$B21,'DỮ LIỆU'!$J$3:$J$1052,"&gt;0"))</f>
        <v>1</v>
      </c>
      <c r="H21" s="13" t="n">
        <f aca="false">IF($B21="","",SUMIF('DỮ LIỆU'!$C$3:$C$1052,$B21,'DỮ LIỆU'!$J$3:$J$1052))</f>
        <v>18000000</v>
      </c>
      <c r="I21" s="13" t="n">
        <f aca="false">IF($B21="","",SUMIF('DỮ LIỆU'!$C$3:$C$1052,$B21,'DỮ LIỆU'!$M$3:$M$1052))</f>
        <v>19440000</v>
      </c>
      <c r="J21" s="13" t="n">
        <f aca="false">IF($B21="","",SUMIF('DỮ LIỆU'!$C$3:$C$1052,$B21,'DỮ LIỆU'!$N$3:$N$1052))</f>
        <v>19440000</v>
      </c>
      <c r="K21" s="13" t="n">
        <f aca="false">IF($B21="","",SUMIF('DỮ LIỆU'!$C$3:$C$1052,$B21,'DỮ LIỆU'!$O$3:$O$1052))</f>
        <v>0</v>
      </c>
      <c r="L21" s="13" t="n">
        <f aca="false">IF($B21="","",SUMIF('DỮ LIỆU'!$C$3:$C$1052,$B21,'DỮ LIỆU'!$Q$3:$Q$1052))</f>
        <v>0</v>
      </c>
      <c r="M21" s="41" t="n">
        <f aca="false">IF($B21="","",IF(SUMPRODUCT(MAX(('DỮ LIỆU'!$C$3:$C$1052=$B21)*'DỮ LIỆU'!$Z$3:$Z$1052))=0,"",SUMPRODUCT(MAX(('DỮ LIỆU'!$C$3:$C$1052=$B21)*'DỮ LIỆU'!$Z$3:$Z$1052))))</f>
        <v>46214</v>
      </c>
      <c r="N21" s="21" t="str">
        <f aca="false">IF($B21="","",IF($G21=0,"Chưa có đơn",IF(COUNTIFS('DỮ LIỆU'!$C$3:$C$1052,$B21,'DỮ LIỆU'!$K$3:$K$1052,"&gt;0")&gt;0,"Có lấy VAT","Không lấy VAT")))</f>
        <v>Có lấy VAT</v>
      </c>
    </row>
    <row r="22" customFormat="false" ht="15" hidden="false" customHeight="false" outlineLevel="0" collapsed="false">
      <c r="A22" s="21" t="n">
        <f aca="false">IF($B22="","",17)</f>
        <v>17</v>
      </c>
      <c r="B22" s="21" t="str">
        <f aca="false">IFERROR(INDEX('DỮ LIỆU'!$C$3:$C$1052,MATCH(17,'DỮ LIỆU'!$W$3:$W$1052,0)),"")</f>
        <v>VTV10</v>
      </c>
      <c r="C22" s="21" t="str">
        <f aca="false">IF($B22="","",IFERROR(IF(INDEX('DỮ LIỆU'!$D$3:$D$1052,MATCH($B22,'DỮ LIỆU'!$C$3:$C$1052,0))="","",INDEX('DỮ LIỆU'!$D$3:$D$1052,MATCH($B22,'DỮ LIỆU'!$C$3:$C$1052,0))),""))</f>
        <v>0962866186</v>
      </c>
      <c r="D22" s="21" t="str">
        <f aca="false">IF($B22="","",IFERROR(IF(INDEX('DỮ LIỆU'!$E$3:$E$1052,MATCH($B22,'DỮ LIỆU'!$C$3:$C$1052,0))="","",INDEX('DỮ LIỆU'!$E$3:$E$1052,MATCH($B22,'DỮ LIỆU'!$C$3:$C$1052,0))),""))</f>
        <v/>
      </c>
      <c r="E22" s="21" t="str">
        <f aca="false">IF($B22="","",IFERROR(IF(INDEX('DỮ LIỆU'!$F$3:$F$1052,MATCH($B22,'DỮ LIỆU'!$C$3:$C$1052,0))="","",INDEX('DỮ LIỆU'!$F$3:$F$1052,MATCH($B22,'DỮ LIỆU'!$C$3:$C$1052,0))),""))</f>
        <v/>
      </c>
      <c r="F22" s="21" t="str">
        <f aca="false">IF($B22="","",IFERROR(IF(INDEX('DỮ LIỆU'!$G$3:$G$1052,MATCH($B22,'DỮ LIỆU'!$C$3:$C$1052,0))="","",INDEX('DỮ LIỆU'!$G$3:$G$1052,MATCH($B22,'DỮ LIỆU'!$C$3:$C$1052,0))),""))</f>
        <v>PGĐ VTV10 - 407 đường 30/4, Phường Tân An, TP Cần Thơ</v>
      </c>
      <c r="G22" s="13" t="n">
        <f aca="false">IF($B22="","",COUNTIFS('DỮ LIỆU'!$C$3:$C$1052,$B22,'DỮ LIỆU'!$J$3:$J$1052,"&gt;0"))</f>
        <v>1</v>
      </c>
      <c r="H22" s="13" t="n">
        <f aca="false">IF($B22="","",SUMIF('DỮ LIỆU'!$C$3:$C$1052,$B22,'DỮ LIỆU'!$J$3:$J$1052))</f>
        <v>2500000</v>
      </c>
      <c r="I22" s="13" t="n">
        <f aca="false">IF($B22="","",SUMIF('DỮ LIỆU'!$C$3:$C$1052,$B22,'DỮ LIỆU'!$M$3:$M$1052))</f>
        <v>2500000</v>
      </c>
      <c r="J22" s="13" t="n">
        <f aca="false">IF($B22="","",SUMIF('DỮ LIỆU'!$C$3:$C$1052,$B22,'DỮ LIỆU'!$N$3:$N$1052))</f>
        <v>2500000</v>
      </c>
      <c r="K22" s="13" t="n">
        <f aca="false">IF($B22="","",SUMIF('DỮ LIỆU'!$C$3:$C$1052,$B22,'DỮ LIỆU'!$O$3:$O$1052))</f>
        <v>0</v>
      </c>
      <c r="L22" s="13" t="n">
        <f aca="false">IF($B22="","",SUMIF('DỮ LIỆU'!$C$3:$C$1052,$B22,'DỮ LIỆU'!$Q$3:$Q$1052))</f>
        <v>0</v>
      </c>
      <c r="M22" s="41" t="n">
        <f aca="false">IF($B22="","",IF(SUMPRODUCT(MAX(('DỮ LIỆU'!$C$3:$C$1052=$B22)*'DỮ LIỆU'!$Z$3:$Z$1052))=0,"",SUMPRODUCT(MAX(('DỮ LIỆU'!$C$3:$C$1052=$B22)*'DỮ LIỆU'!$Z$3:$Z$1052))))</f>
        <v>46214</v>
      </c>
      <c r="N22" s="21" t="str">
        <f aca="false">IF($B22="","",IF($G22=0,"Chưa có đơn",IF(COUNTIFS('DỮ LIỆU'!$C$3:$C$1052,$B22,'DỮ LIỆU'!$K$3:$K$1052,"&gt;0")&gt;0,"Có lấy VAT","Không lấy VAT")))</f>
        <v>Không lấy VAT</v>
      </c>
    </row>
    <row r="23" customFormat="false" ht="15" hidden="false" customHeight="false" outlineLevel="0" collapsed="false">
      <c r="A23" s="21" t="n">
        <f aca="false">IF($B23="","",18)</f>
        <v>18</v>
      </c>
      <c r="B23" s="21" t="str">
        <f aca="false">IFERROR(INDEX('DỮ LIỆU'!$C$3:$C$1052,MATCH(18,'DỮ LIỆU'!$W$3:$W$1052,0)),"")</f>
        <v>BGB - Melody</v>
      </c>
      <c r="C23" s="21" t="str">
        <f aca="false">IF($B23="","",IFERROR(IF(INDEX('DỮ LIỆU'!$D$3:$D$1052,MATCH($B23,'DỮ LIỆU'!$C$3:$C$1052,0))="","",INDEX('DỮ LIỆU'!$D$3:$D$1052,MATCH($B23,'DỮ LIỆU'!$C$3:$C$1052,0))),""))</f>
        <v/>
      </c>
      <c r="D23" s="21" t="str">
        <f aca="false">IF($B23="","",IFERROR(IF(INDEX('DỮ LIỆU'!$E$3:$E$1052,MATCH($B23,'DỮ LIỆU'!$C$3:$C$1052,0))="","",INDEX('DỮ LIỆU'!$E$3:$E$1052,MATCH($B23,'DỮ LIỆU'!$C$3:$C$1052,0))),""))</f>
        <v/>
      </c>
      <c r="E23" s="21" t="str">
        <f aca="false">IF($B23="","",IFERROR(IF(INDEX('DỮ LIỆU'!$F$3:$F$1052,MATCH($B23,'DỮ LIỆU'!$C$3:$C$1052,0))="","",INDEX('DỮ LIỆU'!$F$3:$F$1052,MATCH($B23,'DỮ LIỆU'!$C$3:$C$1052,0))),""))</f>
        <v/>
      </c>
      <c r="F23" s="21" t="str">
        <f aca="false">IF($B23="","",IFERROR(IF(INDEX('DỮ LIỆU'!$G$3:$G$1052,MATCH($B23,'DỮ LIỆU'!$C$3:$C$1052,0))="","",INDEX('DỮ LIỆU'!$G$3:$G$1052,MATCH($B23,'DỮ LIỆU'!$C$3:$C$1052,0))),""))</f>
        <v/>
      </c>
      <c r="G23" s="13" t="n">
        <f aca="false">IF($B23="","",COUNTIFS('DỮ LIỆU'!$C$3:$C$1052,$B23,'DỮ LIỆU'!$J$3:$J$1052,"&gt;0"))</f>
        <v>1</v>
      </c>
      <c r="H23" s="13" t="n">
        <f aca="false">IF($B23="","",SUMIF('DỮ LIỆU'!$C$3:$C$1052,$B23,'DỮ LIỆU'!$J$3:$J$1052))</f>
        <v>10000000</v>
      </c>
      <c r="I23" s="13" t="n">
        <f aca="false">IF($B23="","",SUMIF('DỮ LIỆU'!$C$3:$C$1052,$B23,'DỮ LIỆU'!$M$3:$M$1052))</f>
        <v>10000000</v>
      </c>
      <c r="J23" s="13" t="n">
        <f aca="false">IF($B23="","",SUMIF('DỮ LIỆU'!$C$3:$C$1052,$B23,'DỮ LIỆU'!$N$3:$N$1052))</f>
        <v>10000000</v>
      </c>
      <c r="K23" s="13" t="n">
        <f aca="false">IF($B23="","",SUMIF('DỮ LIỆU'!$C$3:$C$1052,$B23,'DỮ LIỆU'!$O$3:$O$1052))</f>
        <v>0</v>
      </c>
      <c r="L23" s="13" t="n">
        <f aca="false">IF($B23="","",SUMIF('DỮ LIỆU'!$C$3:$C$1052,$B23,'DỮ LIỆU'!$Q$3:$Q$1052))</f>
        <v>0</v>
      </c>
      <c r="M23" s="41" t="n">
        <f aca="false">IF($B23="","",IF(SUMPRODUCT(MAX(('DỮ LIỆU'!$C$3:$C$1052=$B23)*'DỮ LIỆU'!$Z$3:$Z$1052))=0,"",SUMPRODUCT(MAX(('DỮ LIỆU'!$C$3:$C$1052=$B23)*'DỮ LIỆU'!$Z$3:$Z$1052))))</f>
        <v>46214</v>
      </c>
      <c r="N23" s="21" t="str">
        <f aca="false">IF($B23="","",IF($G23=0,"Chưa có đơn",IF(COUNTIFS('DỮ LIỆU'!$C$3:$C$1052,$B23,'DỮ LIỆU'!$K$3:$K$1052,"&gt;0")&gt;0,"Có lấy VAT","Không lấy VAT")))</f>
        <v>Không lấy VAT</v>
      </c>
    </row>
    <row r="24" customFormat="false" ht="15" hidden="false" customHeight="false" outlineLevel="0" collapsed="false">
      <c r="A24" s="21" t="n">
        <f aca="false">IF($B24="","",19)</f>
        <v>19</v>
      </c>
      <c r="B24" s="21" t="str">
        <f aca="false">IFERROR(INDEX('DỮ LIỆU'!$C$3:$C$1052,MATCH(19,'DỮ LIỆU'!$W$3:$W$1052,0)),"")</f>
        <v>chị Sang Phú Quốc</v>
      </c>
      <c r="C24" s="21" t="str">
        <f aca="false">IF($B24="","",IFERROR(IF(INDEX('DỮ LIỆU'!$D$3:$D$1052,MATCH($B24,'DỮ LIỆU'!$C$3:$C$1052,0))="","",INDEX('DỮ LIỆU'!$D$3:$D$1052,MATCH($B24,'DỮ LIỆU'!$C$3:$C$1052,0))),""))</f>
        <v>0976166217</v>
      </c>
      <c r="D24" s="21" t="str">
        <f aca="false">IF($B24="","",IFERROR(IF(INDEX('DỮ LIỆU'!$E$3:$E$1052,MATCH($B24,'DỮ LIỆU'!$C$3:$C$1052,0))="","",INDEX('DỮ LIỆU'!$E$3:$E$1052,MATCH($B24,'DỮ LIỆU'!$C$3:$C$1052,0))),""))</f>
        <v/>
      </c>
      <c r="E24" s="21" t="str">
        <f aca="false">IF($B24="","",IFERROR(IF(INDEX('DỮ LIỆU'!$F$3:$F$1052,MATCH($B24,'DỮ LIỆU'!$C$3:$C$1052,0))="","",INDEX('DỮ LIỆU'!$F$3:$F$1052,MATCH($B24,'DỮ LIỆU'!$C$3:$C$1052,0))),""))</f>
        <v/>
      </c>
      <c r="F24" s="21" t="str">
        <f aca="false">IF($B24="","",IFERROR(IF(INDEX('DỮ LIỆU'!$G$3:$G$1052,MATCH($B24,'DỮ LIỆU'!$C$3:$C$1052,0))="","",INDEX('DỮ LIỆU'!$G$3:$G$1052,MATCH($B24,'DỮ LIỆU'!$C$3:$C$1052,0))),""))</f>
        <v>Căn TH1-11, GrandWorld Khu Bãi Dài, X.Gành Dầu, H.Phú Quốc, T.Kiên Giang</v>
      </c>
      <c r="G24" s="13" t="n">
        <f aca="false">IF($B24="","",COUNTIFS('DỮ LIỆU'!$C$3:$C$1052,$B24,'DỮ LIỆU'!$J$3:$J$1052,"&gt;0"))</f>
        <v>1</v>
      </c>
      <c r="H24" s="13" t="n">
        <f aca="false">IF($B24="","",SUMIF('DỮ LIỆU'!$C$3:$C$1052,$B24,'DỮ LIỆU'!$J$3:$J$1052))</f>
        <v>1400000</v>
      </c>
      <c r="I24" s="13" t="n">
        <f aca="false">IF($B24="","",SUMIF('DỮ LIỆU'!$C$3:$C$1052,$B24,'DỮ LIỆU'!$M$3:$M$1052))</f>
        <v>1400000</v>
      </c>
      <c r="J24" s="13" t="n">
        <f aca="false">IF($B24="","",SUMIF('DỮ LIỆU'!$C$3:$C$1052,$B24,'DỮ LIỆU'!$N$3:$N$1052))</f>
        <v>1400000</v>
      </c>
      <c r="K24" s="13" t="n">
        <f aca="false">IF($B24="","",SUMIF('DỮ LIỆU'!$C$3:$C$1052,$B24,'DỮ LIỆU'!$O$3:$O$1052))</f>
        <v>0</v>
      </c>
      <c r="L24" s="13" t="n">
        <f aca="false">IF($B24="","",SUMIF('DỮ LIỆU'!$C$3:$C$1052,$B24,'DỮ LIỆU'!$Q$3:$Q$1052))</f>
        <v>0</v>
      </c>
      <c r="M24" s="41" t="n">
        <f aca="false">IF($B24="","",IF(SUMPRODUCT(MAX(('DỮ LIỆU'!$C$3:$C$1052=$B24)*'DỮ LIỆU'!$Z$3:$Z$1052))=0,"",SUMPRODUCT(MAX(('DỮ LIỆU'!$C$3:$C$1052=$B24)*'DỮ LIỆU'!$Z$3:$Z$1052))))</f>
        <v>46214</v>
      </c>
      <c r="N24" s="21" t="str">
        <f aca="false">IF($B24="","",IF($G24=0,"Chưa có đơn",IF(COUNTIFS('DỮ LIỆU'!$C$3:$C$1052,$B24,'DỮ LIỆU'!$K$3:$K$1052,"&gt;0")&gt;0,"Có lấy VAT","Không lấy VAT")))</f>
        <v>Không lấy VAT</v>
      </c>
    </row>
    <row r="25" customFormat="false" ht="15" hidden="false" customHeight="false" outlineLevel="0" collapsed="false">
      <c r="A25" s="21" t="n">
        <f aca="false">IF($B25="","",20)</f>
        <v>20</v>
      </c>
      <c r="B25" s="21" t="str">
        <f aca="false">IFERROR(INDEX('DỮ LIỆU'!$C$3:$C$1052,MATCH(20,'DỮ LIỆU'!$W$3:$W$1052,0)),"")</f>
        <v>Chị Thúy - Gối U</v>
      </c>
      <c r="C25" s="21" t="str">
        <f aca="false">IF($B25="","",IFERROR(IF(INDEX('DỮ LIỆU'!$D$3:$D$1052,MATCH($B25,'DỮ LIỆU'!$C$3:$C$1052,0))="","",INDEX('DỮ LIỆU'!$D$3:$D$1052,MATCH($B25,'DỮ LIỆU'!$C$3:$C$1052,0))),""))</f>
        <v>0978939891</v>
      </c>
      <c r="D25" s="21" t="str">
        <f aca="false">IF($B25="","",IFERROR(IF(INDEX('DỮ LIỆU'!$E$3:$E$1052,MATCH($B25,'DỮ LIỆU'!$C$3:$C$1052,0))="","",INDEX('DỮ LIỆU'!$E$3:$E$1052,MATCH($B25,'DỮ LIỆU'!$C$3:$C$1052,0))),""))</f>
        <v/>
      </c>
      <c r="E25" s="21" t="str">
        <f aca="false">IF($B25="","",IFERROR(IF(INDEX('DỮ LIỆU'!$F$3:$F$1052,MATCH($B25,'DỮ LIỆU'!$C$3:$C$1052,0))="","",INDEX('DỮ LIỆU'!$F$3:$F$1052,MATCH($B25,'DỮ LIỆU'!$C$3:$C$1052,0))),""))</f>
        <v/>
      </c>
      <c r="F25" s="21" t="str">
        <f aca="false">IF($B25="","",IFERROR(IF(INDEX('DỮ LIỆU'!$G$3:$G$1052,MATCH($B25,'DỮ LIỆU'!$C$3:$C$1052,0))="","",INDEX('DỮ LIỆU'!$G$3:$G$1052,MATCH($B25,'DỮ LIỆU'!$C$3:$C$1052,0))),""))</f>
        <v>Toà GS1- vinhome smart city - Tây Mỗ - Hà Nội</v>
      </c>
      <c r="G25" s="13" t="n">
        <f aca="false">IF($B25="","",COUNTIFS('DỮ LIỆU'!$C$3:$C$1052,$B25,'DỮ LIỆU'!$J$3:$J$1052,"&gt;0"))</f>
        <v>1</v>
      </c>
      <c r="H25" s="13" t="n">
        <f aca="false">IF($B25="","",SUMIF('DỮ LIỆU'!$C$3:$C$1052,$B25,'DỮ LIỆU'!$J$3:$J$1052))</f>
        <v>2750000</v>
      </c>
      <c r="I25" s="13" t="n">
        <f aca="false">IF($B25="","",SUMIF('DỮ LIỆU'!$C$3:$C$1052,$B25,'DỮ LIỆU'!$M$3:$M$1052))</f>
        <v>2750000</v>
      </c>
      <c r="J25" s="13" t="n">
        <f aca="false">IF($B25="","",SUMIF('DỮ LIỆU'!$C$3:$C$1052,$B25,'DỮ LIỆU'!$N$3:$N$1052))</f>
        <v>2750000</v>
      </c>
      <c r="K25" s="13" t="n">
        <f aca="false">IF($B25="","",SUMIF('DỮ LIỆU'!$C$3:$C$1052,$B25,'DỮ LIỆU'!$O$3:$O$1052))</f>
        <v>0</v>
      </c>
      <c r="L25" s="13" t="n">
        <f aca="false">IF($B25="","",SUMIF('DỮ LIỆU'!$C$3:$C$1052,$B25,'DỮ LIỆU'!$Q$3:$Q$1052))</f>
        <v>0</v>
      </c>
      <c r="M25" s="41" t="n">
        <f aca="false">IF($B25="","",IF(SUMPRODUCT(MAX(('DỮ LIỆU'!$C$3:$C$1052=$B25)*'DỮ LIỆU'!$Z$3:$Z$1052))=0,"",SUMPRODUCT(MAX(('DỮ LIỆU'!$C$3:$C$1052=$B25)*'DỮ LIỆU'!$Z$3:$Z$1052))))</f>
        <v>46216</v>
      </c>
      <c r="N25" s="21" t="str">
        <f aca="false">IF($B25="","",IF($G25=0,"Chưa có đơn",IF(COUNTIFS('DỮ LIỆU'!$C$3:$C$1052,$B25,'DỮ LIỆU'!$K$3:$K$1052,"&gt;0")&gt;0,"Có lấy VAT","Không lấy VAT")))</f>
        <v>Không lấy VAT</v>
      </c>
    </row>
    <row r="26" customFormat="false" ht="15" hidden="false" customHeight="false" outlineLevel="0" collapsed="false">
      <c r="A26" s="21" t="n">
        <f aca="false">IF($B26="","",21)</f>
        <v>21</v>
      </c>
      <c r="B26" s="21" t="str">
        <f aca="false">IFERROR(INDEX('DỮ LIỆU'!$C$3:$C$1052,MATCH(21,'DỮ LIỆU'!$W$3:$W$1052,0)),"")</f>
        <v>Anh Tài - Seabank</v>
      </c>
      <c r="C26" s="21" t="str">
        <f aca="false">IF($B26="","",IFERROR(IF(INDEX('DỮ LIỆU'!$D$3:$D$1052,MATCH($B26,'DỮ LIỆU'!$C$3:$C$1052,0))="","",INDEX('DỮ LIỆU'!$D$3:$D$1052,MATCH($B26,'DỮ LIỆU'!$C$3:$C$1052,0))),""))</f>
        <v>0983470862</v>
      </c>
      <c r="D26" s="21" t="str">
        <f aca="false">IF($B26="","",IFERROR(IF(INDEX('DỮ LIỆU'!$E$3:$E$1052,MATCH($B26,'DỮ LIỆU'!$C$3:$C$1052,0))="","",INDEX('DỮ LIỆU'!$E$3:$E$1052,MATCH($B26,'DỮ LIỆU'!$C$3:$C$1052,0))),""))</f>
        <v/>
      </c>
      <c r="E26" s="21" t="str">
        <f aca="false">IF($B26="","",IFERROR(IF(INDEX('DỮ LIỆU'!$F$3:$F$1052,MATCH($B26,'DỮ LIỆU'!$C$3:$C$1052,0))="","",INDEX('DỮ LIỆU'!$F$3:$F$1052,MATCH($B26,'DỮ LIỆU'!$C$3:$C$1052,0))),""))</f>
        <v/>
      </c>
      <c r="F26" s="21" t="str">
        <f aca="false">IF($B26="","",IFERROR(IF(INDEX('DỮ LIỆU'!$G$3:$G$1052,MATCH($B26,'DỮ LIỆU'!$C$3:$C$1052,0))="","",INDEX('DỮ LIỆU'!$G$3:$G$1052,MATCH($B26,'DỮ LIỆU'!$C$3:$C$1052,0))),""))</f>
        <v>tòa BRG, 198 Đ. Trần Quang Khải, Hoàn Kiếm, Hà Nội</v>
      </c>
      <c r="G26" s="13" t="n">
        <f aca="false">IF($B26="","",COUNTIFS('DỮ LIỆU'!$C$3:$C$1052,$B26,'DỮ LIỆU'!$J$3:$J$1052,"&gt;0"))</f>
        <v>1</v>
      </c>
      <c r="H26" s="13" t="n">
        <f aca="false">IF($B26="","",SUMIF('DỮ LIỆU'!$C$3:$C$1052,$B26,'DỮ LIỆU'!$J$3:$J$1052))</f>
        <v>1450000</v>
      </c>
      <c r="I26" s="13" t="n">
        <f aca="false">IF($B26="","",SUMIF('DỮ LIỆU'!$C$3:$C$1052,$B26,'DỮ LIỆU'!$M$3:$M$1052))</f>
        <v>1450000</v>
      </c>
      <c r="J26" s="13" t="n">
        <f aca="false">IF($B26="","",SUMIF('DỮ LIỆU'!$C$3:$C$1052,$B26,'DỮ LIỆU'!$N$3:$N$1052))</f>
        <v>1450000</v>
      </c>
      <c r="K26" s="13" t="n">
        <f aca="false">IF($B26="","",SUMIF('DỮ LIỆU'!$C$3:$C$1052,$B26,'DỮ LIỆU'!$O$3:$O$1052))</f>
        <v>0</v>
      </c>
      <c r="L26" s="13" t="n">
        <f aca="false">IF($B26="","",SUMIF('DỮ LIỆU'!$C$3:$C$1052,$B26,'DỮ LIỆU'!$Q$3:$Q$1052))</f>
        <v>0</v>
      </c>
      <c r="M26" s="41" t="n">
        <f aca="false">IF($B26="","",IF(SUMPRODUCT(MAX(('DỮ LIỆU'!$C$3:$C$1052=$B26)*'DỮ LIỆU'!$Z$3:$Z$1052))=0,"",SUMPRODUCT(MAX(('DỮ LIỆU'!$C$3:$C$1052=$B26)*'DỮ LIỆU'!$Z$3:$Z$1052))))</f>
        <v>46216</v>
      </c>
      <c r="N26" s="21" t="str">
        <f aca="false">IF($B26="","",IF($G26=0,"Chưa có đơn",IF(COUNTIFS('DỮ LIỆU'!$C$3:$C$1052,$B26,'DỮ LIỆU'!$K$3:$K$1052,"&gt;0")&gt;0,"Có lấy VAT","Không lấy VAT")))</f>
        <v>Không lấy VAT</v>
      </c>
    </row>
    <row r="27" customFormat="false" ht="15" hidden="false" customHeight="false" outlineLevel="0" collapsed="false">
      <c r="A27" s="21" t="n">
        <f aca="false">IF($B27="","",22)</f>
        <v>22</v>
      </c>
      <c r="B27" s="21" t="str">
        <f aca="false">IFERROR(INDEX('DỮ LIỆU'!$C$3:$C$1052,MATCH(22,'DỮ LIỆU'!$W$3:$W$1052,0)),"")</f>
        <v>Mrs Thương - Du Lịch Trọn Gói</v>
      </c>
      <c r="C27" s="21" t="str">
        <f aca="false">IF($B27="","",IFERROR(IF(INDEX('DỮ LIỆU'!$D$3:$D$1052,MATCH($B27,'DỮ LIỆU'!$C$3:$C$1052,0))="","",INDEX('DỮ LIỆU'!$D$3:$D$1052,MATCH($B27,'DỮ LIỆU'!$C$3:$C$1052,0))),""))</f>
        <v>094.874.1368</v>
      </c>
      <c r="D27" s="21" t="str">
        <f aca="false">IF($B27="","",IFERROR(IF(INDEX('DỮ LIỆU'!$E$3:$E$1052,MATCH($B27,'DỮ LIỆU'!$C$3:$C$1052,0))="","",INDEX('DỮ LIỆU'!$E$3:$E$1052,MATCH($B27,'DỮ LIỆU'!$C$3:$C$1052,0))),""))</f>
        <v/>
      </c>
      <c r="E27" s="21" t="str">
        <f aca="false">IF($B27="","",IFERROR(IF(INDEX('DỮ LIỆU'!$F$3:$F$1052,MATCH($B27,'DỮ LIỆU'!$C$3:$C$1052,0))="","",INDEX('DỮ LIỆU'!$F$3:$F$1052,MATCH($B27,'DỮ LIỆU'!$C$3:$C$1052,0))),""))</f>
        <v/>
      </c>
      <c r="F27" s="21" t="str">
        <f aca="false">IF($B27="","",IFERROR(IF(INDEX('DỮ LIỆU'!$G$3:$G$1052,MATCH($B27,'DỮ LIỆU'!$C$3:$C$1052,0))="","",INDEX('DỮ LIỆU'!$G$3:$G$1052,MATCH($B27,'DỮ LIỆU'!$C$3:$C$1052,0))),""))</f>
        <v/>
      </c>
      <c r="G27" s="13" t="n">
        <f aca="false">IF($B27="","",COUNTIFS('DỮ LIỆU'!$C$3:$C$1052,$B27,'DỮ LIỆU'!$J$3:$J$1052,"&gt;0"))</f>
        <v>1</v>
      </c>
      <c r="H27" s="13" t="n">
        <f aca="false">IF($B27="","",SUMIF('DỮ LIỆU'!$C$3:$C$1052,$B27,'DỮ LIỆU'!$J$3:$J$1052))</f>
        <v>1440000</v>
      </c>
      <c r="I27" s="13" t="n">
        <f aca="false">IF($B27="","",SUMIF('DỮ LIỆU'!$C$3:$C$1052,$B27,'DỮ LIỆU'!$M$3:$M$1052))</f>
        <v>1440000</v>
      </c>
      <c r="J27" s="13" t="n">
        <f aca="false">IF($B27="","",SUMIF('DỮ LIỆU'!$C$3:$C$1052,$B27,'DỮ LIỆU'!$N$3:$N$1052))</f>
        <v>1440000</v>
      </c>
      <c r="K27" s="13" t="n">
        <f aca="false">IF($B27="","",SUMIF('DỮ LIỆU'!$C$3:$C$1052,$B27,'DỮ LIỆU'!$O$3:$O$1052))</f>
        <v>0</v>
      </c>
      <c r="L27" s="13" t="n">
        <f aca="false">IF($B27="","",SUMIF('DỮ LIỆU'!$C$3:$C$1052,$B27,'DỮ LIỆU'!$Q$3:$Q$1052))</f>
        <v>0</v>
      </c>
      <c r="M27" s="41" t="n">
        <f aca="false">IF($B27="","",IF(SUMPRODUCT(MAX(('DỮ LIỆU'!$C$3:$C$1052=$B27)*'DỮ LIỆU'!$Z$3:$Z$1052))=0,"",SUMPRODUCT(MAX(('DỮ LIỆU'!$C$3:$C$1052=$B27)*'DỮ LIỆU'!$Z$3:$Z$1052))))</f>
        <v>46216</v>
      </c>
      <c r="N27" s="21" t="str">
        <f aca="false">IF($B27="","",IF($G27=0,"Chưa có đơn",IF(COUNTIFS('DỮ LIỆU'!$C$3:$C$1052,$B27,'DỮ LIỆU'!$K$3:$K$1052,"&gt;0")&gt;0,"Có lấy VAT","Không lấy VAT")))</f>
        <v>Không lấy VAT</v>
      </c>
    </row>
    <row r="28" customFormat="false" ht="15" hidden="false" customHeight="false" outlineLevel="0" collapsed="false">
      <c r="A28" s="21" t="n">
        <f aca="false">IF($B28="","",23)</f>
        <v>23</v>
      </c>
      <c r="B28" s="21" t="str">
        <f aca="false">IFERROR(INDEX('DỮ LIỆU'!$C$3:$C$1052,MATCH(23,'DỮ LIỆU'!$W$3:$W$1052,0)),"")</f>
        <v>MÓC KHÓA BGB - ANH NGỮ WIN</v>
      </c>
      <c r="C28" s="21" t="str">
        <f aca="false">IF($B28="","",IFERROR(IF(INDEX('DỮ LIỆU'!$D$3:$D$1052,MATCH($B28,'DỮ LIỆU'!$C$3:$C$1052,0))="","",INDEX('DỮ LIỆU'!$D$3:$D$1052,MATCH($B28,'DỮ LIỆU'!$C$3:$C$1052,0))),""))</f>
        <v>0909828699</v>
      </c>
      <c r="D28" s="21" t="str">
        <f aca="false">IF($B28="","",IFERROR(IF(INDEX('DỮ LIỆU'!$E$3:$E$1052,MATCH($B28,'DỮ LIỆU'!$C$3:$C$1052,0))="","",INDEX('DỮ LIỆU'!$E$3:$E$1052,MATCH($B28,'DỮ LIỆU'!$C$3:$C$1052,0))),""))</f>
        <v/>
      </c>
      <c r="E28" s="21" t="str">
        <f aca="false">IF($B28="","",IFERROR(IF(INDEX('DỮ LIỆU'!$F$3:$F$1052,MATCH($B28,'DỮ LIỆU'!$C$3:$C$1052,0))="","",INDEX('DỮ LIỆU'!$F$3:$F$1052,MATCH($B28,'DỮ LIỆU'!$C$3:$C$1052,0))),""))</f>
        <v/>
      </c>
      <c r="F28" s="21" t="str">
        <f aca="false">IF($B28="","",IFERROR(IF(INDEX('DỮ LIỆU'!$G$3:$G$1052,MATCH($B28,'DỮ LIỆU'!$C$3:$C$1052,0))="","",INDEX('DỮ LIỆU'!$G$3:$G$1052,MATCH($B28,'DỮ LIỆU'!$C$3:$C$1052,0))),""))</f>
        <v>276 hùng vương, thôn 4a, xã Đạ Tẻh, Lâm Đồng.</v>
      </c>
      <c r="G28" s="13" t="n">
        <f aca="false">IF($B28="","",COUNTIFS('DỮ LIỆU'!$C$3:$C$1052,$B28,'DỮ LIỆU'!$J$3:$J$1052,"&gt;0"))</f>
        <v>1</v>
      </c>
      <c r="H28" s="13" t="n">
        <f aca="false">IF($B28="","",SUMIF('DỮ LIỆU'!$C$3:$C$1052,$B28,'DỮ LIỆU'!$J$3:$J$1052))</f>
        <v>1450000</v>
      </c>
      <c r="I28" s="13" t="n">
        <f aca="false">IF($B28="","",SUMIF('DỮ LIỆU'!$C$3:$C$1052,$B28,'DỮ LIỆU'!$M$3:$M$1052))</f>
        <v>1450000</v>
      </c>
      <c r="J28" s="13" t="n">
        <f aca="false">IF($B28="","",SUMIF('DỮ LIỆU'!$C$3:$C$1052,$B28,'DỮ LIỆU'!$N$3:$N$1052))</f>
        <v>725000</v>
      </c>
      <c r="K28" s="13" t="n">
        <f aca="false">IF($B28="","",SUMIF('DỮ LIỆU'!$C$3:$C$1052,$B28,'DỮ LIỆU'!$O$3:$O$1052))</f>
        <v>725000</v>
      </c>
      <c r="L28" s="13" t="n">
        <f aca="false">IF($B28="","",SUMIF('DỮ LIỆU'!$C$3:$C$1052,$B28,'DỮ LIỆU'!$Q$3:$Q$1052))</f>
        <v>0</v>
      </c>
      <c r="M28" s="41" t="n">
        <f aca="false">IF($B28="","",IF(SUMPRODUCT(MAX(('DỮ LIỆU'!$C$3:$C$1052=$B28)*'DỮ LIỆU'!$Z$3:$Z$1052))=0,"",SUMPRODUCT(MAX(('DỮ LIỆU'!$C$3:$C$1052=$B28)*'DỮ LIỆU'!$Z$3:$Z$1052))))</f>
        <v>46216</v>
      </c>
      <c r="N28" s="21" t="str">
        <f aca="false">IF($B28="","",IF($G28=0,"Chưa có đơn",IF(COUNTIFS('DỮ LIỆU'!$C$3:$C$1052,$B28,'DỮ LIỆU'!$K$3:$K$1052,"&gt;0")&gt;0,"Có lấy VAT","Không lấy VAT")))</f>
        <v>Không lấy VAT</v>
      </c>
    </row>
    <row r="29" customFormat="false" ht="15" hidden="false" customHeight="false" outlineLevel="0" collapsed="false">
      <c r="A29" s="21" t="n">
        <f aca="false">IF($B29="","",24)</f>
        <v>24</v>
      </c>
      <c r="B29" s="21" t="str">
        <f aca="false">IFERROR(INDEX('DỮ LIỆU'!$C$3:$C$1052,MATCH(24,'DỮ LIỆU'!$W$3:$W$1052,0)),"")</f>
        <v>BGB - CHỊ QUỲNH 35C</v>
      </c>
      <c r="C29" s="21" t="str">
        <f aca="false">IF($B29="","",IFERROR(IF(INDEX('DỮ LIỆU'!$D$3:$D$1052,MATCH($B29,'DỮ LIỆU'!$C$3:$C$1052,0))="","",INDEX('DỮ LIỆU'!$D$3:$D$1052,MATCH($B29,'DỮ LIỆU'!$C$3:$C$1052,0))),""))</f>
        <v>0918479558</v>
      </c>
      <c r="D29" s="21" t="str">
        <f aca="false">IF($B29="","",IFERROR(IF(INDEX('DỮ LIỆU'!$E$3:$E$1052,MATCH($B29,'DỮ LIỆU'!$C$3:$C$1052,0))="","",INDEX('DỮ LIỆU'!$E$3:$E$1052,MATCH($B29,'DỮ LIỆU'!$C$3:$C$1052,0))),""))</f>
        <v/>
      </c>
      <c r="E29" s="21" t="str">
        <f aca="false">IF($B29="","",IFERROR(IF(INDEX('DỮ LIỆU'!$F$3:$F$1052,MATCH($B29,'DỮ LIỆU'!$C$3:$C$1052,0))="","",INDEX('DỮ LIỆU'!$F$3:$F$1052,MATCH($B29,'DỮ LIỆU'!$C$3:$C$1052,0))),""))</f>
        <v/>
      </c>
      <c r="F29" s="21" t="str">
        <f aca="false">IF($B29="","",IFERROR(IF(INDEX('DỮ LIỆU'!$G$3:$G$1052,MATCH($B29,'DỮ LIỆU'!$C$3:$C$1052,0))="","",INDEX('DỮ LIỆU'!$G$3:$G$1052,MATCH($B29,'DỮ LIỆU'!$C$3:$C$1052,0))),""))</f>
        <v>Tòa Nhà Viễn Thông 9, Số 641 Đường Phạm Văn Đồng, Phường Nghĩa Đô, Thành Phố Hà Nội</v>
      </c>
      <c r="G29" s="13" t="n">
        <f aca="false">IF($B29="","",COUNTIFS('DỮ LIỆU'!$C$3:$C$1052,$B29,'DỮ LIỆU'!$J$3:$J$1052,"&gt;0"))</f>
        <v>1</v>
      </c>
      <c r="H29" s="13" t="n">
        <f aca="false">IF($B29="","",SUMIF('DỮ LIỆU'!$C$3:$C$1052,$B29,'DỮ LIỆU'!$J$3:$J$1052))</f>
        <v>1750000</v>
      </c>
      <c r="I29" s="13" t="n">
        <f aca="false">IF($B29="","",SUMIF('DỮ LIỆU'!$C$3:$C$1052,$B29,'DỮ LIỆU'!$M$3:$M$1052))</f>
        <v>1750000</v>
      </c>
      <c r="J29" s="13" t="n">
        <f aca="false">IF($B29="","",SUMIF('DỮ LIỆU'!$C$3:$C$1052,$B29,'DỮ LIỆU'!$N$3:$N$1052))</f>
        <v>1750000</v>
      </c>
      <c r="K29" s="13" t="n">
        <f aca="false">IF($B29="","",SUMIF('DỮ LIỆU'!$C$3:$C$1052,$B29,'DỮ LIỆU'!$O$3:$O$1052))</f>
        <v>0</v>
      </c>
      <c r="L29" s="13" t="n">
        <f aca="false">IF($B29="","",SUMIF('DỮ LIỆU'!$C$3:$C$1052,$B29,'DỮ LIỆU'!$Q$3:$Q$1052))</f>
        <v>0</v>
      </c>
      <c r="M29" s="41" t="n">
        <f aca="false">IF($B29="","",IF(SUMPRODUCT(MAX(('DỮ LIỆU'!$C$3:$C$1052=$B29)*'DỮ LIỆU'!$Z$3:$Z$1052))=0,"",SUMPRODUCT(MAX(('DỮ LIỆU'!$C$3:$C$1052=$B29)*'DỮ LIỆU'!$Z$3:$Z$1052))))</f>
        <v>46217</v>
      </c>
      <c r="N29" s="21" t="str">
        <f aca="false">IF($B29="","",IF($G29=0,"Chưa có đơn",IF(COUNTIFS('DỮ LIỆU'!$C$3:$C$1052,$B29,'DỮ LIỆU'!$K$3:$K$1052,"&gt;0")&gt;0,"Có lấy VAT","Không lấy VAT")))</f>
        <v>Không lấy VAT</v>
      </c>
    </row>
    <row r="30" customFormat="false" ht="15" hidden="false" customHeight="false" outlineLevel="0" collapsed="false">
      <c r="A30" s="21" t="n">
        <f aca="false">IF($B30="","",25)</f>
        <v>25</v>
      </c>
      <c r="B30" s="21" t="str">
        <f aca="false">IFERROR(INDEX('DỮ LIỆU'!$C$3:$C$1052,MATCH(25,'DỮ LIỆU'!$W$3:$W$1052,0)),"")</f>
        <v>BGB - ANH HẢI 20C</v>
      </c>
      <c r="C30" s="21" t="str">
        <f aca="false">IF($B30="","",IFERROR(IF(INDEX('DỮ LIỆU'!$D$3:$D$1052,MATCH($B30,'DỮ LIỆU'!$C$3:$C$1052,0))="","",INDEX('DỮ LIỆU'!$D$3:$D$1052,MATCH($B30,'DỮ LIỆU'!$C$3:$C$1052,0))),""))</f>
        <v>0907 188 988</v>
      </c>
      <c r="D30" s="21" t="str">
        <f aca="false">IF($B30="","",IFERROR(IF(INDEX('DỮ LIỆU'!$E$3:$E$1052,MATCH($B30,'DỮ LIỆU'!$C$3:$C$1052,0))="","",INDEX('DỮ LIỆU'!$E$3:$E$1052,MATCH($B30,'DỮ LIỆU'!$C$3:$C$1052,0))),""))</f>
        <v/>
      </c>
      <c r="E30" s="21" t="str">
        <f aca="false">IF($B30="","",IFERROR(IF(INDEX('DỮ LIỆU'!$F$3:$F$1052,MATCH($B30,'DỮ LIỆU'!$C$3:$C$1052,0))="","",INDEX('DỮ LIỆU'!$F$3:$F$1052,MATCH($B30,'DỮ LIỆU'!$C$3:$C$1052,0))),""))</f>
        <v/>
      </c>
      <c r="F30" s="21" t="str">
        <f aca="false">IF($B30="","",IFERROR(IF(INDEX('DỮ LIỆU'!$G$3:$G$1052,MATCH($B30,'DỮ LIỆU'!$C$3:$C$1052,0))="","",INDEX('DỮ LIỆU'!$G$3:$G$1052,MATCH($B30,'DỮ LIỆU'!$C$3:$C$1052,0))),""))</f>
        <v>68/10/08 Hoàng Việt, Phường Đạo Thạnh, tỉnh Đồng Tháp</v>
      </c>
      <c r="G30" s="13" t="n">
        <f aca="false">IF($B30="","",COUNTIFS('DỮ LIỆU'!$C$3:$C$1052,$B30,'DỮ LIỆU'!$J$3:$J$1052,"&gt;0"))</f>
        <v>1</v>
      </c>
      <c r="H30" s="13" t="n">
        <f aca="false">IF($B30="","",SUMIF('DỮ LIỆU'!$C$3:$C$1052,$B30,'DỮ LIỆU'!$J$3:$J$1052))</f>
        <v>1000000</v>
      </c>
      <c r="I30" s="13" t="n">
        <f aca="false">IF($B30="","",SUMIF('DỮ LIỆU'!$C$3:$C$1052,$B30,'DỮ LIỆU'!$M$3:$M$1052))</f>
        <v>1000000</v>
      </c>
      <c r="J30" s="13" t="n">
        <f aca="false">IF($B30="","",SUMIF('DỮ LIỆU'!$C$3:$C$1052,$B30,'DỮ LIỆU'!$N$3:$N$1052))</f>
        <v>1000000</v>
      </c>
      <c r="K30" s="13" t="n">
        <f aca="false">IF($B30="","",SUMIF('DỮ LIỆU'!$C$3:$C$1052,$B30,'DỮ LIỆU'!$O$3:$O$1052))</f>
        <v>0</v>
      </c>
      <c r="L30" s="13" t="n">
        <f aca="false">IF($B30="","",SUMIF('DỮ LIỆU'!$C$3:$C$1052,$B30,'DỮ LIỆU'!$Q$3:$Q$1052))</f>
        <v>0</v>
      </c>
      <c r="M30" s="41" t="n">
        <f aca="false">IF($B30="","",IF(SUMPRODUCT(MAX(('DỮ LIỆU'!$C$3:$C$1052=$B30)*'DỮ LIỆU'!$Z$3:$Z$1052))=0,"",SUMPRODUCT(MAX(('DỮ LIỆU'!$C$3:$C$1052=$B30)*'DỮ LIỆU'!$Z$3:$Z$1052))))</f>
        <v>46217</v>
      </c>
      <c r="N30" s="21" t="str">
        <f aca="false">IF($B30="","",IF($G30=0,"Chưa có đơn",IF(COUNTIFS('DỮ LIỆU'!$C$3:$C$1052,$B30,'DỮ LIỆU'!$K$3:$K$1052,"&gt;0")&gt;0,"Có lấy VAT","Không lấy VAT")))</f>
        <v>Không lấy VAT</v>
      </c>
    </row>
    <row r="31" customFormat="false" ht="15" hidden="false" customHeight="false" outlineLevel="0" collapsed="false">
      <c r="A31" s="21" t="n">
        <f aca="false">IF($B31="","",26)</f>
        <v>26</v>
      </c>
      <c r="B31" s="21" t="str">
        <f aca="false">IFERROR(INDEX('DỮ LIỆU'!$C$3:$C$1052,MATCH(26,'DỮ LIỆU'!$W$3:$W$1052,0)),"")</f>
        <v>BGB - ANH KIỆT MEDIA</v>
      </c>
      <c r="C31" s="21" t="str">
        <f aca="false">IF($B31="","",IFERROR(IF(INDEX('DỮ LIỆU'!$D$3:$D$1052,MATCH($B31,'DỮ LIỆU'!$C$3:$C$1052,0))="","",INDEX('DỮ LIỆU'!$D$3:$D$1052,MATCH($B31,'DỮ LIỆU'!$C$3:$C$1052,0))),""))</f>
        <v>0354065678</v>
      </c>
      <c r="D31" s="21" t="str">
        <f aca="false">IF($B31="","",IFERROR(IF(INDEX('DỮ LIỆU'!$E$3:$E$1052,MATCH($B31,'DỮ LIỆU'!$C$3:$C$1052,0))="","",INDEX('DỮ LIỆU'!$E$3:$E$1052,MATCH($B31,'DỮ LIỆU'!$C$3:$C$1052,0))),""))</f>
        <v/>
      </c>
      <c r="E31" s="21" t="str">
        <f aca="false">IF($B31="","",IFERROR(IF(INDEX('DỮ LIỆU'!$F$3:$F$1052,MATCH($B31,'DỮ LIỆU'!$C$3:$C$1052,0))="","",INDEX('DỮ LIỆU'!$F$3:$F$1052,MATCH($B31,'DỮ LIỆU'!$C$3:$C$1052,0))),""))</f>
        <v/>
      </c>
      <c r="F31" s="21" t="str">
        <f aca="false">IF($B31="","",IFERROR(IF(INDEX('DỮ LIỆU'!$G$3:$G$1052,MATCH($B31,'DỮ LIỆU'!$C$3:$C$1052,0))="","",INDEX('DỮ LIỆU'!$G$3:$G$1052,MATCH($B31,'DỮ LIỆU'!$C$3:$C$1052,0))),""))</f>
        <v>208 nguyễn tất thành - thành phố pleiku</v>
      </c>
      <c r="G31" s="13" t="n">
        <f aca="false">IF($B31="","",COUNTIFS('DỮ LIỆU'!$C$3:$C$1052,$B31,'DỮ LIỆU'!$J$3:$J$1052,"&gt;0"))</f>
        <v>1</v>
      </c>
      <c r="H31" s="13" t="n">
        <f aca="false">IF($B31="","",SUMIF('DỮ LIỆU'!$C$3:$C$1052,$B31,'DỮ LIỆU'!$J$3:$J$1052))</f>
        <v>6250000</v>
      </c>
      <c r="I31" s="13" t="n">
        <f aca="false">IF($B31="","",SUMIF('DỮ LIỆU'!$C$3:$C$1052,$B31,'DỮ LIỆU'!$M$3:$M$1052))</f>
        <v>6250000</v>
      </c>
      <c r="J31" s="13" t="n">
        <f aca="false">IF($B31="","",SUMIF('DỮ LIỆU'!$C$3:$C$1052,$B31,'DỮ LIỆU'!$N$3:$N$1052))</f>
        <v>6250000</v>
      </c>
      <c r="K31" s="13" t="n">
        <f aca="false">IF($B31="","",SUMIF('DỮ LIỆU'!$C$3:$C$1052,$B31,'DỮ LIỆU'!$O$3:$O$1052))</f>
        <v>0</v>
      </c>
      <c r="L31" s="13" t="n">
        <f aca="false">IF($B31="","",SUMIF('DỮ LIỆU'!$C$3:$C$1052,$B31,'DỮ LIỆU'!$Q$3:$Q$1052))</f>
        <v>0</v>
      </c>
      <c r="M31" s="41" t="n">
        <f aca="false">IF($B31="","",IF(SUMPRODUCT(MAX(('DỮ LIỆU'!$C$3:$C$1052=$B31)*'DỮ LIỆU'!$Z$3:$Z$1052))=0,"",SUMPRODUCT(MAX(('DỮ LIỆU'!$C$3:$C$1052=$B31)*'DỮ LIỆU'!$Z$3:$Z$1052))))</f>
        <v>46217</v>
      </c>
      <c r="N31" s="21" t="str">
        <f aca="false">IF($B31="","",IF($G31=0,"Chưa có đơn",IF(COUNTIFS('DỮ LIỆU'!$C$3:$C$1052,$B31,'DỮ LIỆU'!$K$3:$K$1052,"&gt;0")&gt;0,"Có lấy VAT","Không lấy VAT")))</f>
        <v>Không lấy VAT</v>
      </c>
    </row>
    <row r="32" customFormat="false" ht="15" hidden="false" customHeight="false" outlineLevel="0" collapsed="false">
      <c r="A32" s="21" t="n">
        <f aca="false">IF($B32="","",27)</f>
        <v>27</v>
      </c>
      <c r="B32" s="21" t="str">
        <f aca="false">IFERROR(INDEX('DỮ LIỆU'!$C$3:$C$1052,MATCH(27,'DỮ LIỆU'!$W$3:$W$1052,0)),"")</f>
        <v>BGB - WEAUTOMATE 90C</v>
      </c>
      <c r="C32" s="21" t="str">
        <f aca="false">IF($B32="","",IFERROR(IF(INDEX('DỮ LIỆU'!$D$3:$D$1052,MATCH($B32,'DỮ LIỆU'!$C$3:$C$1052,0))="","",INDEX('DỮ LIỆU'!$D$3:$D$1052,MATCH($B32,'DỮ LIỆU'!$C$3:$C$1052,0))),""))</f>
        <v>0904415147</v>
      </c>
      <c r="D32" s="21" t="str">
        <f aca="false">IF($B32="","",IFERROR(IF(INDEX('DỮ LIỆU'!$E$3:$E$1052,MATCH($B32,'DỮ LIỆU'!$C$3:$C$1052,0))="","",INDEX('DỮ LIỆU'!$E$3:$E$1052,MATCH($B32,'DỮ LIỆU'!$C$3:$C$1052,0))),""))</f>
        <v/>
      </c>
      <c r="E32" s="21" t="str">
        <f aca="false">IF($B32="","",IFERROR(IF(INDEX('DỮ LIỆU'!$F$3:$F$1052,MATCH($B32,'DỮ LIỆU'!$C$3:$C$1052,0))="","",INDEX('DỮ LIỆU'!$F$3:$F$1052,MATCH($B32,'DỮ LIỆU'!$C$3:$C$1052,0))),""))</f>
        <v/>
      </c>
      <c r="F32" s="21" t="str">
        <f aca="false">IF($B32="","",IFERROR(IF(INDEX('DỮ LIỆU'!$G$3:$G$1052,MATCH($B32,'DỮ LIỆU'!$C$3:$C$1052,0))="","",INDEX('DỮ LIỆU'!$G$3:$G$1052,MATCH($B32,'DỮ LIỆU'!$C$3:$C$1052,0))),""))</f>
        <v/>
      </c>
      <c r="G32" s="13" t="n">
        <f aca="false">IF($B32="","",COUNTIFS('DỮ LIỆU'!$C$3:$C$1052,$B32,'DỮ LIỆU'!$J$3:$J$1052,"&gt;0"))</f>
        <v>1</v>
      </c>
      <c r="H32" s="13" t="n">
        <f aca="false">IF($B32="","",SUMIF('DỮ LIỆU'!$C$3:$C$1052,$B32,'DỮ LIỆU'!$J$3:$J$1052))</f>
        <v>5850000</v>
      </c>
      <c r="I32" s="13" t="n">
        <f aca="false">IF($B32="","",SUMIF('DỮ LIỆU'!$C$3:$C$1052,$B32,'DỮ LIỆU'!$M$3:$M$1052))</f>
        <v>6318000</v>
      </c>
      <c r="J32" s="13" t="n">
        <f aca="false">IF($B32="","",SUMIF('DỮ LIỆU'!$C$3:$C$1052,$B32,'DỮ LIỆU'!$N$3:$N$1052))</f>
        <v>6318000</v>
      </c>
      <c r="K32" s="13" t="n">
        <f aca="false">IF($B32="","",SUMIF('DỮ LIỆU'!$C$3:$C$1052,$B32,'DỮ LIỆU'!$O$3:$O$1052))</f>
        <v>0</v>
      </c>
      <c r="L32" s="13" t="n">
        <f aca="false">IF($B32="","",SUMIF('DỮ LIỆU'!$C$3:$C$1052,$B32,'DỮ LIỆU'!$Q$3:$Q$1052))</f>
        <v>0</v>
      </c>
      <c r="M32" s="41" t="n">
        <f aca="false">IF($B32="","",IF(SUMPRODUCT(MAX(('DỮ LIỆU'!$C$3:$C$1052=$B32)*'DỮ LIỆU'!$Z$3:$Z$1052))=0,"",SUMPRODUCT(MAX(('DỮ LIỆU'!$C$3:$C$1052=$B32)*'DỮ LIỆU'!$Z$3:$Z$1052))))</f>
        <v>46219</v>
      </c>
      <c r="N32" s="21" t="str">
        <f aca="false">IF($B32="","",IF($G32=0,"Chưa có đơn",IF(COUNTIFS('DỮ LIỆU'!$C$3:$C$1052,$B32,'DỮ LIỆU'!$K$3:$K$1052,"&gt;0")&gt;0,"Có lấy VAT","Không lấy VAT")))</f>
        <v>Có lấy VAT</v>
      </c>
    </row>
    <row r="33" customFormat="false" ht="15" hidden="false" customHeight="false" outlineLevel="0" collapsed="false">
      <c r="A33" s="21" t="n">
        <f aca="false">IF($B33="","",28)</f>
        <v>28</v>
      </c>
      <c r="B33" s="21" t="str">
        <f aca="false">IFERROR(INDEX('DỮ LIỆU'!$C$3:$C$1052,MATCH(28,'DỮ LIỆU'!$W$3:$W$1052,0)),"")</f>
        <v>Ánh Linh music</v>
      </c>
      <c r="C33" s="21" t="str">
        <f aca="false">IF($B33="","",IFERROR(IF(INDEX('DỮ LIỆU'!$D$3:$D$1052,MATCH($B33,'DỮ LIỆU'!$C$3:$C$1052,0))="","",INDEX('DỮ LIỆU'!$D$3:$D$1052,MATCH($B33,'DỮ LIỆU'!$C$3:$C$1052,0))),""))</f>
        <v>097 7102094</v>
      </c>
      <c r="D33" s="21" t="str">
        <f aca="false">IF($B33="","",IFERROR(IF(INDEX('DỮ LIỆU'!$E$3:$E$1052,MATCH($B33,'DỮ LIỆU'!$C$3:$C$1052,0))="","",INDEX('DỮ LIỆU'!$E$3:$E$1052,MATCH($B33,'DỮ LIỆU'!$C$3:$C$1052,0))),""))</f>
        <v/>
      </c>
      <c r="E33" s="21" t="str">
        <f aca="false">IF($B33="","",IFERROR(IF(INDEX('DỮ LIỆU'!$F$3:$F$1052,MATCH($B33,'DỮ LIỆU'!$C$3:$C$1052,0))="","",INDEX('DỮ LIỆU'!$F$3:$F$1052,MATCH($B33,'DỮ LIỆU'!$C$3:$C$1052,0))),""))</f>
        <v/>
      </c>
      <c r="F33" s="21" t="str">
        <f aca="false">IF($B33="","",IFERROR(IF(INDEX('DỮ LIỆU'!$G$3:$G$1052,MATCH($B33,'DỮ LIỆU'!$C$3:$C$1052,0))="","",INDEX('DỮ LIỆU'!$G$3:$G$1052,MATCH($B33,'DỮ LIỆU'!$C$3:$C$1052,0))),""))</f>
        <v>đền thờ Hai Bà Trưng - Thôn 2 Hạ Lôi - xã Mê Linh - Tp Hà Nội</v>
      </c>
      <c r="G33" s="13" t="n">
        <f aca="false">IF($B33="","",COUNTIFS('DỮ LIỆU'!$C$3:$C$1052,$B33,'DỮ LIỆU'!$J$3:$J$1052,"&gt;0"))</f>
        <v>1</v>
      </c>
      <c r="H33" s="13" t="n">
        <f aca="false">IF($B33="","",SUMIF('DỮ LIỆU'!$C$3:$C$1052,$B33,'DỮ LIỆU'!$J$3:$J$1052))</f>
        <v>2880000</v>
      </c>
      <c r="I33" s="13" t="n">
        <f aca="false">IF($B33="","",SUMIF('DỮ LIỆU'!$C$3:$C$1052,$B33,'DỮ LIỆU'!$M$3:$M$1052))</f>
        <v>2880000</v>
      </c>
      <c r="J33" s="13" t="n">
        <f aca="false">IF($B33="","",SUMIF('DỮ LIỆU'!$C$3:$C$1052,$B33,'DỮ LIỆU'!$N$3:$N$1052))</f>
        <v>2880000</v>
      </c>
      <c r="K33" s="13" t="n">
        <f aca="false">IF($B33="","",SUMIF('DỮ LIỆU'!$C$3:$C$1052,$B33,'DỮ LIỆU'!$O$3:$O$1052))</f>
        <v>0</v>
      </c>
      <c r="L33" s="13" t="n">
        <f aca="false">IF($B33="","",SUMIF('DỮ LIỆU'!$C$3:$C$1052,$B33,'DỮ LIỆU'!$Q$3:$Q$1052))</f>
        <v>0</v>
      </c>
      <c r="M33" s="41" t="n">
        <f aca="false">IF($B33="","",IF(SUMPRODUCT(MAX(('DỮ LIỆU'!$C$3:$C$1052=$B33)*'DỮ LIỆU'!$Z$3:$Z$1052))=0,"",SUMPRODUCT(MAX(('DỮ LIỆU'!$C$3:$C$1052=$B33)*'DỮ LIỆU'!$Z$3:$Z$1052))))</f>
        <v>46219</v>
      </c>
      <c r="N33" s="21" t="str">
        <f aca="false">IF($B33="","",IF($G33=0,"Chưa có đơn",IF(COUNTIFS('DỮ LIỆU'!$C$3:$C$1052,$B33,'DỮ LIỆU'!$K$3:$K$1052,"&gt;0")&gt;0,"Có lấy VAT","Không lấy VAT")))</f>
        <v>Không lấy VAT</v>
      </c>
    </row>
    <row r="34" customFormat="false" ht="15" hidden="false" customHeight="false" outlineLevel="0" collapsed="false">
      <c r="A34" s="21" t="n">
        <f aca="false">IF($B34="","",29)</f>
        <v>29</v>
      </c>
      <c r="B34" s="21" t="str">
        <f aca="false">IFERROR(INDEX('DỮ LIỆU'!$C$3:$C$1052,MATCH(29,'DỮ LIỆU'!$W$3:$W$1052,0)),"")</f>
        <v>BGB - Chị LINH CAO 100G</v>
      </c>
      <c r="C34" s="21" t="str">
        <f aca="false">IF($B34="","",IFERROR(IF(INDEX('DỮ LIỆU'!$D$3:$D$1052,MATCH($B34,'DỮ LIỆU'!$C$3:$C$1052,0))="","",INDEX('DỮ LIỆU'!$D$3:$D$1052,MATCH($B34,'DỮ LIỆU'!$C$3:$C$1052,0))),""))</f>
        <v>078 833 2168</v>
      </c>
      <c r="D34" s="21" t="str">
        <f aca="false">IF($B34="","",IFERROR(IF(INDEX('DỮ LIỆU'!$E$3:$E$1052,MATCH($B34,'DỮ LIỆU'!$C$3:$C$1052,0))="","",INDEX('DỮ LIỆU'!$E$3:$E$1052,MATCH($B34,'DỮ LIỆU'!$C$3:$C$1052,0))),""))</f>
        <v/>
      </c>
      <c r="E34" s="21" t="str">
        <f aca="false">IF($B34="","",IFERROR(IF(INDEX('DỮ LIỆU'!$F$3:$F$1052,MATCH($B34,'DỮ LIỆU'!$C$3:$C$1052,0))="","",INDEX('DỮ LIỆU'!$F$3:$F$1052,MATCH($B34,'DỮ LIỆU'!$C$3:$C$1052,0))),""))</f>
        <v/>
      </c>
      <c r="F34" s="21" t="str">
        <f aca="false">IF($B34="","",IFERROR(IF(INDEX('DỮ LIỆU'!$G$3:$G$1052,MATCH($B34,'DỮ LIỆU'!$C$3:$C$1052,0))="","",INDEX('DỮ LIỆU'!$G$3:$G$1052,MATCH($B34,'DỮ LIỆU'!$C$3:$C$1052,0))),""))</f>
        <v>115 Hai Bà Trưng, Lê Chân, Hải Phòng</v>
      </c>
      <c r="G34" s="13" t="n">
        <f aca="false">IF($B34="","",COUNTIFS('DỮ LIỆU'!$C$3:$C$1052,$B34,'DỮ LIỆU'!$J$3:$J$1052,"&gt;0"))</f>
        <v>1</v>
      </c>
      <c r="H34" s="13" t="n">
        <f aca="false">IF($B34="","",SUMIF('DỮ LIỆU'!$C$3:$C$1052,$B34,'DỮ LIỆU'!$J$3:$J$1052))</f>
        <v>4800000</v>
      </c>
      <c r="I34" s="13" t="n">
        <f aca="false">IF($B34="","",SUMIF('DỮ LIỆU'!$C$3:$C$1052,$B34,'DỮ LIỆU'!$M$3:$M$1052))</f>
        <v>4800000</v>
      </c>
      <c r="J34" s="13" t="n">
        <f aca="false">IF($B34="","",SUMIF('DỮ LIỆU'!$C$3:$C$1052,$B34,'DỮ LIỆU'!$N$3:$N$1052))</f>
        <v>4800000</v>
      </c>
      <c r="K34" s="13" t="n">
        <f aca="false">IF($B34="","",SUMIF('DỮ LIỆU'!$C$3:$C$1052,$B34,'DỮ LIỆU'!$O$3:$O$1052))</f>
        <v>0</v>
      </c>
      <c r="L34" s="13" t="n">
        <f aca="false">IF($B34="","",SUMIF('DỮ LIỆU'!$C$3:$C$1052,$B34,'DỮ LIỆU'!$Q$3:$Q$1052))</f>
        <v>0</v>
      </c>
      <c r="M34" s="41" t="n">
        <f aca="false">IF($B34="","",IF(SUMPRODUCT(MAX(('DỮ LIỆU'!$C$3:$C$1052=$B34)*'DỮ LIỆU'!$Z$3:$Z$1052))=0,"",SUMPRODUCT(MAX(('DỮ LIỆU'!$C$3:$C$1052=$B34)*'DỮ LIỆU'!$Z$3:$Z$1052))))</f>
        <v>46219</v>
      </c>
      <c r="N34" s="21" t="str">
        <f aca="false">IF($B34="","",IF($G34=0,"Chưa có đơn",IF(COUNTIFS('DỮ LIỆU'!$C$3:$C$1052,$B34,'DỮ LIỆU'!$K$3:$K$1052,"&gt;0")&gt;0,"Có lấy VAT","Không lấy VAT")))</f>
        <v>Không lấy VAT</v>
      </c>
    </row>
    <row r="35" customFormat="false" ht="15" hidden="false" customHeight="false" outlineLevel="0" collapsed="false">
      <c r="A35" s="21" t="n">
        <f aca="false">IF($B35="","",30)</f>
        <v>30</v>
      </c>
      <c r="B35" s="21" t="str">
        <f aca="false">IFERROR(INDEX('DỮ LIỆU'!$C$3:$C$1052,MATCH(30,'DỮ LIỆU'!$W$3:$W$1052,0)),"")</f>
        <v>BGB - NHẬT ANH IQ 100C</v>
      </c>
      <c r="C35" s="21" t="str">
        <f aca="false">IF($B35="","",IFERROR(IF(INDEX('DỮ LIỆU'!$D$3:$D$1052,MATCH($B35,'DỮ LIỆU'!$C$3:$C$1052,0))="","",INDEX('DỮ LIỆU'!$D$3:$D$1052,MATCH($B35,'DỮ LIỆU'!$C$3:$C$1052,0))),""))</f>
        <v>0987999723</v>
      </c>
      <c r="D35" s="21" t="str">
        <f aca="false">IF($B35="","",IFERROR(IF(INDEX('DỮ LIỆU'!$E$3:$E$1052,MATCH($B35,'DỮ LIỆU'!$C$3:$C$1052,0))="","",INDEX('DỮ LIỆU'!$E$3:$E$1052,MATCH($B35,'DỮ LIỆU'!$C$3:$C$1052,0))),""))</f>
        <v/>
      </c>
      <c r="E35" s="21" t="str">
        <f aca="false">IF($B35="","",IFERROR(IF(INDEX('DỮ LIỆU'!$F$3:$F$1052,MATCH($B35,'DỮ LIỆU'!$C$3:$C$1052,0))="","",INDEX('DỮ LIỆU'!$F$3:$F$1052,MATCH($B35,'DỮ LIỆU'!$C$3:$C$1052,0))),""))</f>
        <v/>
      </c>
      <c r="F35" s="21" t="str">
        <f aca="false">IF($B35="","",IFERROR(IF(INDEX('DỮ LIỆU'!$G$3:$G$1052,MATCH($B35,'DỮ LIỆU'!$C$3:$C$1052,0))="","",INDEX('DỮ LIỆU'!$G$3:$G$1052,MATCH($B35,'DỮ LIỆU'!$C$3:$C$1052,0))),""))</f>
        <v>12 liền kề 2 số 90 Nguyễn Tuân, phường Thanh Xuân, Hà Nội</v>
      </c>
      <c r="G35" s="13" t="n">
        <f aca="false">IF($B35="","",COUNTIFS('DỮ LIỆU'!$C$3:$C$1052,$B35,'DỮ LIỆU'!$J$3:$J$1052,"&gt;0"))</f>
        <v>1</v>
      </c>
      <c r="H35" s="13" t="n">
        <f aca="false">IF($B35="","",SUMIF('DỮ LIỆU'!$C$3:$C$1052,$B35,'DỮ LIỆU'!$J$3:$J$1052))</f>
        <v>4500000</v>
      </c>
      <c r="I35" s="13" t="n">
        <f aca="false">IF($B35="","",SUMIF('DỮ LIỆU'!$C$3:$C$1052,$B35,'DỮ LIỆU'!$M$3:$M$1052))</f>
        <v>4500000</v>
      </c>
      <c r="J35" s="13" t="n">
        <f aca="false">IF($B35="","",SUMIF('DỮ LIỆU'!$C$3:$C$1052,$B35,'DỮ LIỆU'!$N$3:$N$1052))</f>
        <v>4500000</v>
      </c>
      <c r="K35" s="13" t="n">
        <f aca="false">IF($B35="","",SUMIF('DỮ LIỆU'!$C$3:$C$1052,$B35,'DỮ LIỆU'!$O$3:$O$1052))</f>
        <v>0</v>
      </c>
      <c r="L35" s="13" t="n">
        <f aca="false">IF($B35="","",SUMIF('DỮ LIỆU'!$C$3:$C$1052,$B35,'DỮ LIỆU'!$Q$3:$Q$1052))</f>
        <v>0</v>
      </c>
      <c r="M35" s="41" t="n">
        <f aca="false">IF($B35="","",IF(SUMPRODUCT(MAX(('DỮ LIỆU'!$C$3:$C$1052=$B35)*'DỮ LIỆU'!$Z$3:$Z$1052))=0,"",SUMPRODUCT(MAX(('DỮ LIỆU'!$C$3:$C$1052=$B35)*'DỮ LIỆU'!$Z$3:$Z$1052))))</f>
        <v>46219</v>
      </c>
      <c r="N35" s="21" t="str">
        <f aca="false">IF($B35="","",IF($G35=0,"Chưa có đơn",IF(COUNTIFS('DỮ LIỆU'!$C$3:$C$1052,$B35,'DỮ LIỆU'!$K$3:$K$1052,"&gt;0")&gt;0,"Có lấy VAT","Không lấy VAT")))</f>
        <v>Không lấy VAT</v>
      </c>
    </row>
    <row r="36" customFormat="false" ht="15" hidden="false" customHeight="false" outlineLevel="0" collapsed="false">
      <c r="A36" s="21" t="n">
        <f aca="false">IF($B36="","",31)</f>
        <v>31</v>
      </c>
      <c r="B36" s="21" t="str">
        <f aca="false">IFERROR(INDEX('DỮ LIỆU'!$C$3:$C$1052,MATCH(31,'DỮ LIỆU'!$W$3:$W$1052,0)),"")</f>
        <v>BGB - VIAEL 100g</v>
      </c>
      <c r="C36" s="21" t="str">
        <f aca="false">IF($B36="","",IFERROR(IF(INDEX('DỮ LIỆU'!$D$3:$D$1052,MATCH($B36,'DỮ LIỆU'!$C$3:$C$1052,0))="","",INDEX('DỮ LIỆU'!$D$3:$D$1052,MATCH($B36,'DỮ LIỆU'!$C$3:$C$1052,0))),""))</f>
        <v>0968747832</v>
      </c>
      <c r="D36" s="21" t="str">
        <f aca="false">IF($B36="","",IFERROR(IF(INDEX('DỮ LIỆU'!$E$3:$E$1052,MATCH($B36,'DỮ LIỆU'!$C$3:$C$1052,0))="","",INDEX('DỮ LIỆU'!$E$3:$E$1052,MATCH($B36,'DỮ LIỆU'!$C$3:$C$1052,0))),""))</f>
        <v/>
      </c>
      <c r="E36" s="21" t="str">
        <f aca="false">IF($B36="","",IFERROR(IF(INDEX('DỮ LIỆU'!$F$3:$F$1052,MATCH($B36,'DỮ LIỆU'!$C$3:$C$1052,0))="","",INDEX('DỮ LIỆU'!$F$3:$F$1052,MATCH($B36,'DỮ LIỆU'!$C$3:$C$1052,0))),""))</f>
        <v/>
      </c>
      <c r="F36" s="21" t="str">
        <f aca="false">IF($B36="","",IFERROR(IF(INDEX('DỮ LIỆU'!$G$3:$G$1052,MATCH($B36,'DỮ LIỆU'!$C$3:$C$1052,0))="","",INDEX('DỮ LIỆU'!$G$3:$G$1052,MATCH($B36,'DỮ LIỆU'!$C$3:$C$1052,0))),""))</f>
        <v>VIA English - GTMTT 02, K1 Khai Sơn city, Nguyễn Gia Bồng, Bồ Đề, HN em ạ</v>
      </c>
      <c r="G36" s="13" t="n">
        <f aca="false">IF($B36="","",COUNTIFS('DỮ LIỆU'!$C$3:$C$1052,$B36,'DỮ LIỆU'!$J$3:$J$1052,"&gt;0"))</f>
        <v>1</v>
      </c>
      <c r="H36" s="13" t="n">
        <f aca="false">IF($B36="","",SUMIF('DỮ LIỆU'!$C$3:$C$1052,$B36,'DỮ LIỆU'!$J$3:$J$1052))</f>
        <v>4800000</v>
      </c>
      <c r="I36" s="13" t="n">
        <f aca="false">IF($B36="","",SUMIF('DỮ LIỆU'!$C$3:$C$1052,$B36,'DỮ LIỆU'!$M$3:$M$1052))</f>
        <v>5184000</v>
      </c>
      <c r="J36" s="13" t="n">
        <f aca="false">IF($B36="","",SUMIF('DỮ LIỆU'!$C$3:$C$1052,$B36,'DỮ LIỆU'!$N$3:$N$1052))</f>
        <v>2600000</v>
      </c>
      <c r="K36" s="13" t="n">
        <f aca="false">IF($B36="","",SUMIF('DỮ LIỆU'!$C$3:$C$1052,$B36,'DỮ LIỆU'!$O$3:$O$1052))</f>
        <v>2584000</v>
      </c>
      <c r="L36" s="13" t="n">
        <f aca="false">IF($B36="","",SUMIF('DỮ LIỆU'!$C$3:$C$1052,$B36,'DỮ LIỆU'!$Q$3:$Q$1052))</f>
        <v>0</v>
      </c>
      <c r="M36" s="41" t="n">
        <f aca="false">IF($B36="","",IF(SUMPRODUCT(MAX(('DỮ LIỆU'!$C$3:$C$1052=$B36)*'DỮ LIỆU'!$Z$3:$Z$1052))=0,"",SUMPRODUCT(MAX(('DỮ LIỆU'!$C$3:$C$1052=$B36)*'DỮ LIỆU'!$Z$3:$Z$1052))))</f>
        <v>46220</v>
      </c>
      <c r="N36" s="21" t="str">
        <f aca="false">IF($B36="","",IF($G36=0,"Chưa có đơn",IF(COUNTIFS('DỮ LIỆU'!$C$3:$C$1052,$B36,'DỮ LIỆU'!$K$3:$K$1052,"&gt;0")&gt;0,"Có lấy VAT","Không lấy VAT")))</f>
        <v>Có lấy VAT</v>
      </c>
    </row>
    <row r="37" customFormat="false" ht="15" hidden="false" customHeight="false" outlineLevel="0" collapsed="false">
      <c r="A37" s="21" t="n">
        <f aca="false">IF($B37="","",32)</f>
        <v>32</v>
      </c>
      <c r="B37" s="21" t="str">
        <f aca="false">IFERROR(INDEX('DỮ LIỆU'!$C$3:$C$1052,MATCH(32,'DỮ LIỆU'!$W$3:$W$1052,0)),"")</f>
        <v>BGB - SOS 50C</v>
      </c>
      <c r="C37" s="21" t="str">
        <f aca="false">IF($B37="","",IFERROR(IF(INDEX('DỮ LIỆU'!$D$3:$D$1052,MATCH($B37,'DỮ LIỆU'!$C$3:$C$1052,0))="","",INDEX('DỮ LIỆU'!$D$3:$D$1052,MATCH($B37,'DỮ LIỆU'!$C$3:$C$1052,0))),""))</f>
        <v>0975.89.3388</v>
      </c>
      <c r="D37" s="21" t="str">
        <f aca="false">IF($B37="","",IFERROR(IF(INDEX('DỮ LIỆU'!$E$3:$E$1052,MATCH($B37,'DỮ LIỆU'!$C$3:$C$1052,0))="","",INDEX('DỮ LIỆU'!$E$3:$E$1052,MATCH($B37,'DỮ LIỆU'!$C$3:$C$1052,0))),""))</f>
        <v/>
      </c>
      <c r="E37" s="21" t="str">
        <f aca="false">IF($B37="","",IFERROR(IF(INDEX('DỮ LIỆU'!$F$3:$F$1052,MATCH($B37,'DỮ LIỆU'!$C$3:$C$1052,0))="","",INDEX('DỮ LIỆU'!$F$3:$F$1052,MATCH($B37,'DỮ LIỆU'!$C$3:$C$1052,0))),""))</f>
        <v/>
      </c>
      <c r="F37" s="21" t="str">
        <f aca="false">IF($B37="","",IFERROR(IF(INDEX('DỮ LIỆU'!$G$3:$G$1052,MATCH($B37,'DỮ LIỆU'!$C$3:$C$1052,0))="","",INDEX('DỮ LIỆU'!$G$3:$G$1052,MATCH($B37,'DỮ LIỆU'!$C$3:$C$1052,0))),""))</f>
        <v>49, ngõ 58A, Hoàng Đạo Thành, Kim Giang, Thanh Xuân</v>
      </c>
      <c r="G37" s="13" t="n">
        <f aca="false">IF($B37="","",COUNTIFS('DỮ LIỆU'!$C$3:$C$1052,$B37,'DỮ LIỆU'!$J$3:$J$1052,"&gt;0"))</f>
        <v>1</v>
      </c>
      <c r="H37" s="13" t="n">
        <f aca="false">IF($B37="","",SUMIF('DỮ LIỆU'!$C$3:$C$1052,$B37,'DỮ LIỆU'!$J$3:$J$1052))</f>
        <v>2750000</v>
      </c>
      <c r="I37" s="13" t="n">
        <f aca="false">IF($B37="","",SUMIF('DỮ LIỆU'!$C$3:$C$1052,$B37,'DỮ LIỆU'!$M$3:$M$1052))</f>
        <v>2750000</v>
      </c>
      <c r="J37" s="13" t="n">
        <f aca="false">IF($B37="","",SUMIF('DỮ LIỆU'!$C$3:$C$1052,$B37,'DỮ LIỆU'!$N$3:$N$1052))</f>
        <v>2750000</v>
      </c>
      <c r="K37" s="13" t="n">
        <f aca="false">IF($B37="","",SUMIF('DỮ LIỆU'!$C$3:$C$1052,$B37,'DỮ LIỆU'!$O$3:$O$1052))</f>
        <v>0</v>
      </c>
      <c r="L37" s="13" t="n">
        <f aca="false">IF($B37="","",SUMIF('DỮ LIỆU'!$C$3:$C$1052,$B37,'DỮ LIỆU'!$Q$3:$Q$1052))</f>
        <v>0</v>
      </c>
      <c r="M37" s="41" t="n">
        <f aca="false">IF($B37="","",IF(SUMPRODUCT(MAX(('DỮ LIỆU'!$C$3:$C$1052=$B37)*'DỮ LIỆU'!$Z$3:$Z$1052))=0,"",SUMPRODUCT(MAX(('DỮ LIỆU'!$C$3:$C$1052=$B37)*'DỮ LIỆU'!$Z$3:$Z$1052))))</f>
        <v>46220</v>
      </c>
      <c r="N37" s="21" t="str">
        <f aca="false">IF($B37="","",IF($G37=0,"Chưa có đơn",IF(COUNTIFS('DỮ LIỆU'!$C$3:$C$1052,$B37,'DỮ LIỆU'!$K$3:$K$1052,"&gt;0")&gt;0,"Có lấy VAT","Không lấy VAT")))</f>
        <v>Không lấy VAT</v>
      </c>
    </row>
    <row r="38" customFormat="false" ht="15" hidden="false" customHeight="false" outlineLevel="0" collapsed="false">
      <c r="A38" s="21" t="n">
        <f aca="false">IF($B38="","",33)</f>
        <v>33</v>
      </c>
      <c r="B38" s="21" t="str">
        <f aca="false">IFERROR(INDEX('DỮ LIỆU'!$C$3:$C$1052,MATCH(33,'DỮ LIỆU'!$W$3:$W$1052,0)),"")</f>
        <v>BGB - GOLF 20C</v>
      </c>
      <c r="C38" s="21" t="str">
        <f aca="false">IF($B38="","",IFERROR(IF(INDEX('DỮ LIỆU'!$D$3:$D$1052,MATCH($B38,'DỮ LIỆU'!$C$3:$C$1052,0))="","",INDEX('DỮ LIỆU'!$D$3:$D$1052,MATCH($B38,'DỮ LIỆU'!$C$3:$C$1052,0))),""))</f>
        <v>0396457248</v>
      </c>
      <c r="D38" s="21" t="str">
        <f aca="false">IF($B38="","",IFERROR(IF(INDEX('DỮ LIỆU'!$E$3:$E$1052,MATCH($B38,'DỮ LIỆU'!$C$3:$C$1052,0))="","",INDEX('DỮ LIỆU'!$E$3:$E$1052,MATCH($B38,'DỮ LIỆU'!$C$3:$C$1052,0))),""))</f>
        <v/>
      </c>
      <c r="E38" s="21" t="str">
        <f aca="false">IF($B38="","",IFERROR(IF(INDEX('DỮ LIỆU'!$F$3:$F$1052,MATCH($B38,'DỮ LIỆU'!$C$3:$C$1052,0))="","",INDEX('DỮ LIỆU'!$F$3:$F$1052,MATCH($B38,'DỮ LIỆU'!$C$3:$C$1052,0))),""))</f>
        <v/>
      </c>
      <c r="F38" s="21" t="str">
        <f aca="false">IF($B38="","",IFERROR(IF(INDEX('DỮ LIỆU'!$G$3:$G$1052,MATCH($B38,'DỮ LIỆU'!$C$3:$C$1052,0))="","",INDEX('DỮ LIỆU'!$G$3:$G$1052,MATCH($B38,'DỮ LIỆU'!$C$3:$C$1052,0))),""))</f>
        <v>Sân golf Đầm Vạc, đường Đinh Tiên Hoàng, phường Vĩnh Phúc, Phú Thọ</v>
      </c>
      <c r="G38" s="13" t="n">
        <f aca="false">IF($B38="","",COUNTIFS('DỮ LIỆU'!$C$3:$C$1052,$B38,'DỮ LIỆU'!$J$3:$J$1052,"&gt;0"))</f>
        <v>2</v>
      </c>
      <c r="H38" s="13" t="n">
        <f aca="false">IF($B38="","",SUMIF('DỮ LIỆU'!$C$3:$C$1052,$B38,'DỮ LIỆU'!$J$3:$J$1052))</f>
        <v>2660000</v>
      </c>
      <c r="I38" s="13" t="n">
        <f aca="false">IF($B38="","",SUMIF('DỮ LIỆU'!$C$3:$C$1052,$B38,'DỮ LIỆU'!$M$3:$M$1052))</f>
        <v>2872800</v>
      </c>
      <c r="J38" s="13" t="n">
        <f aca="false">IF($B38="","",SUMIF('DỮ LIỆU'!$C$3:$C$1052,$B38,'DỮ LIỆU'!$N$3:$N$1052))</f>
        <v>2872800</v>
      </c>
      <c r="K38" s="13" t="n">
        <f aca="false">IF($B38="","",SUMIF('DỮ LIỆU'!$C$3:$C$1052,$B38,'DỮ LIỆU'!$O$3:$O$1052))</f>
        <v>0</v>
      </c>
      <c r="L38" s="13" t="n">
        <f aca="false">IF($B38="","",SUMIF('DỮ LIỆU'!$C$3:$C$1052,$B38,'DỮ LIỆU'!$Q$3:$Q$1052))</f>
        <v>0</v>
      </c>
      <c r="M38" s="41" t="n">
        <f aca="false">IF($B38="","",IF(SUMPRODUCT(MAX(('DỮ LIỆU'!$C$3:$C$1052=$B38)*'DỮ LIỆU'!$Z$3:$Z$1052))=0,"",SUMPRODUCT(MAX(('DỮ LIỆU'!$C$3:$C$1052=$B38)*'DỮ LIỆU'!$Z$3:$Z$1052))))</f>
        <v>46223</v>
      </c>
      <c r="N38" s="21" t="str">
        <f aca="false">IF($B38="","",IF($G38=0,"Chưa có đơn",IF(COUNTIFS('DỮ LIỆU'!$C$3:$C$1052,$B38,'DỮ LIỆU'!$K$3:$K$1052,"&gt;0")&gt;0,"Có lấy VAT","Không lấy VAT")))</f>
        <v>Có lấy VAT</v>
      </c>
    </row>
    <row r="39" customFormat="false" ht="15" hidden="false" customHeight="false" outlineLevel="0" collapsed="false">
      <c r="A39" s="21" t="n">
        <f aca="false">IF($B39="","",34)</f>
        <v>34</v>
      </c>
      <c r="B39" s="21" t="str">
        <f aca="false">IFERROR(INDEX('DỮ LIỆU'!$C$3:$C$1052,MATCH(34,'DỮ LIỆU'!$W$3:$W$1052,0)),"")</f>
        <v>BGB - BGB - KIDS 80 GỐI, 80 GẤU</v>
      </c>
      <c r="C39" s="21" t="str">
        <f aca="false">IF($B39="","",IFERROR(IF(INDEX('DỮ LIỆU'!$D$3:$D$1052,MATCH($B39,'DỮ LIỆU'!$C$3:$C$1052,0))="","",INDEX('DỮ LIỆU'!$D$3:$D$1052,MATCH($B39,'DỮ LIỆU'!$C$3:$C$1052,0))),""))</f>
        <v>0986665266</v>
      </c>
      <c r="D39" s="21" t="str">
        <f aca="false">IF($B39="","",IFERROR(IF(INDEX('DỮ LIỆU'!$E$3:$E$1052,MATCH($B39,'DỮ LIỆU'!$C$3:$C$1052,0))="","",INDEX('DỮ LIỆU'!$E$3:$E$1052,MATCH($B39,'DỮ LIỆU'!$C$3:$C$1052,0))),""))</f>
        <v/>
      </c>
      <c r="E39" s="21" t="str">
        <f aca="false">IF($B39="","",IFERROR(IF(INDEX('DỮ LIỆU'!$F$3:$F$1052,MATCH($B39,'DỮ LIỆU'!$C$3:$C$1052,0))="","",INDEX('DỮ LIỆU'!$F$3:$F$1052,MATCH($B39,'DỮ LIỆU'!$C$3:$C$1052,0))),""))</f>
        <v/>
      </c>
      <c r="F39" s="21" t="str">
        <f aca="false">IF($B39="","",IFERROR(IF(INDEX('DỮ LIỆU'!$G$3:$G$1052,MATCH($B39,'DỮ LIỆU'!$C$3:$C$1052,0))="","",INDEX('DỮ LIỆU'!$G$3:$G$1052,MATCH($B39,'DỮ LIỆU'!$C$3:$C$1052,0))),""))</f>
        <v>số 70- cầu thang C- Chung cư Suối Hoa- Phường Suối Hoa- TP Bắc Ninh.</v>
      </c>
      <c r="G39" s="13" t="n">
        <f aca="false">IF($B39="","",COUNTIFS('DỮ LIỆU'!$C$3:$C$1052,$B39,'DỮ LIỆU'!$J$3:$J$1052,"&gt;0"))</f>
        <v>2</v>
      </c>
      <c r="H39" s="13" t="n">
        <f aca="false">IF($B39="","",SUMIF('DỮ LIỆU'!$C$3:$C$1052,$B39,'DỮ LIỆU'!$J$3:$J$1052))</f>
        <v>7920000</v>
      </c>
      <c r="I39" s="13" t="n">
        <f aca="false">IF($B39="","",SUMIF('DỮ LIỆU'!$C$3:$C$1052,$B39,'DỮ LIỆU'!$M$3:$M$1052))</f>
        <v>7920000</v>
      </c>
      <c r="J39" s="13" t="n">
        <f aca="false">IF($B39="","",SUMIF('DỮ LIỆU'!$C$3:$C$1052,$B39,'DỮ LIỆU'!$N$3:$N$1052))</f>
        <v>7920000</v>
      </c>
      <c r="K39" s="13" t="n">
        <f aca="false">IF($B39="","",SUMIF('DỮ LIỆU'!$C$3:$C$1052,$B39,'DỮ LIỆU'!$O$3:$O$1052))</f>
        <v>0</v>
      </c>
      <c r="L39" s="13" t="n">
        <f aca="false">IF($B39="","",SUMIF('DỮ LIỆU'!$C$3:$C$1052,$B39,'DỮ LIỆU'!$Q$3:$Q$1052))</f>
        <v>0</v>
      </c>
      <c r="M39" s="41" t="n">
        <f aca="false">IF($B39="","",IF(SUMPRODUCT(MAX(('DỮ LIỆU'!$C$3:$C$1052=$B39)*'DỮ LIỆU'!$Z$3:$Z$1052))=0,"",SUMPRODUCT(MAX(('DỮ LIỆU'!$C$3:$C$1052=$B39)*'DỮ LIỆU'!$Z$3:$Z$1052))))</f>
        <v>46223</v>
      </c>
      <c r="N39" s="21" t="str">
        <f aca="false">IF($B39="","",IF($G39=0,"Chưa có đơn",IF(COUNTIFS('DỮ LIỆU'!$C$3:$C$1052,$B39,'DỮ LIỆU'!$K$3:$K$1052,"&gt;0")&gt;0,"Có lấy VAT","Không lấy VAT")))</f>
        <v>Không lấy VAT</v>
      </c>
    </row>
    <row r="40" customFormat="false" ht="15" hidden="false" customHeight="false" outlineLevel="0" collapsed="false">
      <c r="A40" s="21" t="n">
        <f aca="false">IF($B40="","",35)</f>
        <v>35</v>
      </c>
      <c r="B40" s="21" t="str">
        <f aca="false">IFERROR(INDEX('DỮ LIỆU'!$C$3:$C$1052,MATCH(35,'DỮ LIỆU'!$W$3:$W$1052,0)),"")</f>
        <v>BGB - K2 NBK 130C</v>
      </c>
      <c r="C40" s="21" t="str">
        <f aca="false">IF($B40="","",IFERROR(IF(INDEX('DỮ LIỆU'!$D$3:$D$1052,MATCH($B40,'DỮ LIỆU'!$C$3:$C$1052,0))="","",INDEX('DỮ LIỆU'!$D$3:$D$1052,MATCH($B40,'DỮ LIỆU'!$C$3:$C$1052,0))),""))</f>
        <v>0914121088</v>
      </c>
      <c r="D40" s="21" t="str">
        <f aca="false">IF($B40="","",IFERROR(IF(INDEX('DỮ LIỆU'!$E$3:$E$1052,MATCH($B40,'DỮ LIỆU'!$C$3:$C$1052,0))="","",INDEX('DỮ LIỆU'!$E$3:$E$1052,MATCH($B40,'DỮ LIỆU'!$C$3:$C$1052,0))),""))</f>
        <v/>
      </c>
      <c r="E40" s="21" t="str">
        <f aca="false">IF($B40="","",IFERROR(IF(INDEX('DỮ LIỆU'!$F$3:$F$1052,MATCH($B40,'DỮ LIỆU'!$C$3:$C$1052,0))="","",INDEX('DỮ LIỆU'!$F$3:$F$1052,MATCH($B40,'DỮ LIỆU'!$C$3:$C$1052,0))),""))</f>
        <v/>
      </c>
      <c r="F40" s="21" t="str">
        <f aca="false">IF($B40="","",IFERROR(IF(INDEX('DỮ LIỆU'!$G$3:$G$1052,MATCH($B40,'DỮ LIỆU'!$C$3:$C$1052,0))="","",INDEX('DỮ LIỆU'!$G$3:$G$1052,MATCH($B40,'DỮ LIỆU'!$C$3:$C$1052,0))),""))</f>
        <v>Gần Nguyễn Hoàng (đoạn đường tránh qua TP. Tam Kỳ)</v>
      </c>
      <c r="G40" s="13" t="n">
        <f aca="false">IF($B40="","",COUNTIFS('DỮ LIỆU'!$C$3:$C$1052,$B40,'DỮ LIỆU'!$J$3:$J$1052,"&gt;0"))</f>
        <v>1</v>
      </c>
      <c r="H40" s="13" t="n">
        <f aca="false">IF($B40="","",SUMIF('DỮ LIỆU'!$C$3:$C$1052,$B40,'DỮ LIỆU'!$J$3:$J$1052))</f>
        <v>6110000</v>
      </c>
      <c r="I40" s="13" t="n">
        <f aca="false">IF($B40="","",SUMIF('DỮ LIỆU'!$C$3:$C$1052,$B40,'DỮ LIỆU'!$M$3:$M$1052))</f>
        <v>6110000</v>
      </c>
      <c r="J40" s="13" t="n">
        <f aca="false">IF($B40="","",SUMIF('DỮ LIỆU'!$C$3:$C$1052,$B40,'DỮ LIỆU'!$N$3:$N$1052))</f>
        <v>6110000</v>
      </c>
      <c r="K40" s="13" t="n">
        <f aca="false">IF($B40="","",SUMIF('DỮ LIỆU'!$C$3:$C$1052,$B40,'DỮ LIỆU'!$O$3:$O$1052))</f>
        <v>0</v>
      </c>
      <c r="L40" s="13" t="n">
        <f aca="false">IF($B40="","",SUMIF('DỮ LIỆU'!$C$3:$C$1052,$B40,'DỮ LIỆU'!$Q$3:$Q$1052))</f>
        <v>0</v>
      </c>
      <c r="M40" s="41" t="n">
        <f aca="false">IF($B40="","",IF(SUMPRODUCT(MAX(('DỮ LIỆU'!$C$3:$C$1052=$B40)*'DỮ LIỆU'!$Z$3:$Z$1052))=0,"",SUMPRODUCT(MAX(('DỮ LIỆU'!$C$3:$C$1052=$B40)*'DỮ LIỆU'!$Z$3:$Z$1052))))</f>
        <v>46223</v>
      </c>
      <c r="N40" s="21" t="str">
        <f aca="false">IF($B40="","",IF($G40=0,"Chưa có đơn",IF(COUNTIFS('DỮ LIỆU'!$C$3:$C$1052,$B40,'DỮ LIỆU'!$K$3:$K$1052,"&gt;0")&gt;0,"Có lấy VAT","Không lấy VAT")))</f>
        <v>Không lấy VAT</v>
      </c>
    </row>
    <row r="41" customFormat="false" ht="15" hidden="false" customHeight="false" outlineLevel="0" collapsed="false">
      <c r="A41" s="21" t="n">
        <f aca="false">IF($B41="","",36)</f>
        <v>36</v>
      </c>
      <c r="B41" s="21" t="str">
        <f aca="false">IFERROR(INDEX('DỮ LIỆU'!$C$3:$C$1052,MATCH(36,'DỮ LIỆU'!$W$3:$W$1052,0)),"")</f>
        <v>BGB - RAIN 50G</v>
      </c>
      <c r="C41" s="21" t="str">
        <f aca="false">IF($B41="","",IFERROR(IF(INDEX('DỮ LIỆU'!$D$3:$D$1052,MATCH($B41,'DỮ LIỆU'!$C$3:$C$1052,0))="","",INDEX('DỮ LIỆU'!$D$3:$D$1052,MATCH($B41,'DỮ LIỆU'!$C$3:$C$1052,0))),""))</f>
        <v>0394305093</v>
      </c>
      <c r="D41" s="21" t="str">
        <f aca="false">IF($B41="","",IFERROR(IF(INDEX('DỮ LIỆU'!$E$3:$E$1052,MATCH($B41,'DỮ LIỆU'!$C$3:$C$1052,0))="","",INDEX('DỮ LIỆU'!$E$3:$E$1052,MATCH($B41,'DỮ LIỆU'!$C$3:$C$1052,0))),""))</f>
        <v>babinh.ho@gmail.com</v>
      </c>
      <c r="E41" s="21" t="str">
        <f aca="false">IF($B41="","",IFERROR(IF(INDEX('DỮ LIỆU'!$F$3:$F$1052,MATCH($B41,'DỮ LIỆU'!$C$3:$C$1052,0))="","",INDEX('DỮ LIỆU'!$F$3:$F$1052,MATCH($B41,'DỮ LIỆU'!$C$3:$C$1052,0))),""))</f>
        <v>3801300120</v>
      </c>
      <c r="F41" s="21" t="str">
        <f aca="false">IF($B41="","",IFERROR(IF(INDEX('DỮ LIỆU'!$G$3:$G$1052,MATCH($B41,'DỮ LIỆU'!$C$3:$C$1052,0))="","",INDEX('DỮ LIỆU'!$G$3:$G$1052,MATCH($B41,'DỮ LIỆU'!$C$3:$C$1052,0))),""))</f>
        <v>TỔ 3 ẤP ĐỒNG NƠ 5, PHƯỜNG TÂN KHAI, TP ĐỒNG NAI</v>
      </c>
      <c r="G41" s="13" t="n">
        <f aca="false">IF($B41="","",COUNTIFS('DỮ LIỆU'!$C$3:$C$1052,$B41,'DỮ LIỆU'!$J$3:$J$1052,"&gt;0"))</f>
        <v>1</v>
      </c>
      <c r="H41" s="13" t="n">
        <f aca="false">IF($B41="","",SUMIF('DỮ LIỆU'!$C$3:$C$1052,$B41,'DỮ LIỆU'!$J$3:$J$1052))</f>
        <v>2400000</v>
      </c>
      <c r="I41" s="13" t="n">
        <f aca="false">IF($B41="","",SUMIF('DỮ LIỆU'!$C$3:$C$1052,$B41,'DỮ LIỆU'!$M$3:$M$1052))</f>
        <v>2592000</v>
      </c>
      <c r="J41" s="13" t="n">
        <f aca="false">IF($B41="","",SUMIF('DỮ LIỆU'!$C$3:$C$1052,$B41,'DỮ LIỆU'!$N$3:$N$1052))</f>
        <v>2400000</v>
      </c>
      <c r="K41" s="13" t="n">
        <f aca="false">IF($B41="","",SUMIF('DỮ LIỆU'!$C$3:$C$1052,$B41,'DỮ LIỆU'!$O$3:$O$1052))</f>
        <v>192000</v>
      </c>
      <c r="L41" s="13" t="n">
        <f aca="false">IF($B41="","",SUMIF('DỮ LIỆU'!$C$3:$C$1052,$B41,'DỮ LIỆU'!$Q$3:$Q$1052))</f>
        <v>0</v>
      </c>
      <c r="M41" s="41" t="n">
        <f aca="false">IF($B41="","",IF(SUMPRODUCT(MAX(('DỮ LIỆU'!$C$3:$C$1052=$B41)*'DỮ LIỆU'!$Z$3:$Z$1052))=0,"",SUMPRODUCT(MAX(('DỮ LIỆU'!$C$3:$C$1052=$B41)*'DỮ LIỆU'!$Z$3:$Z$1052))))</f>
        <v>46223</v>
      </c>
      <c r="N41" s="21" t="str">
        <f aca="false">IF($B41="","",IF($G41=0,"Chưa có đơn",IF(COUNTIFS('DỮ LIỆU'!$C$3:$C$1052,$B41,'DỮ LIỆU'!$K$3:$K$1052,"&gt;0")&gt;0,"Có lấy VAT","Không lấy VAT")))</f>
        <v>Có lấy VAT</v>
      </c>
    </row>
    <row r="42" customFormat="false" ht="15" hidden="false" customHeight="false" outlineLevel="0" collapsed="false">
      <c r="A42" s="21" t="n">
        <f aca="false">IF($B42="","",37)</f>
        <v>37</v>
      </c>
      <c r="B42" s="21" t="str">
        <f aca="false">IFERROR(INDEX('DỮ LIỆU'!$C$3:$C$1052,MATCH(37,'DỮ LIỆU'!$W$3:$W$1052,0)),"")</f>
        <v>BGB - HÀO QUANG 30G</v>
      </c>
      <c r="C42" s="21" t="str">
        <f aca="false">IF($B42="","",IFERROR(IF(INDEX('DỮ LIỆU'!$D$3:$D$1052,MATCH($B42,'DỮ LIỆU'!$C$3:$C$1052,0))="","",INDEX('DỮ LIỆU'!$D$3:$D$1052,MATCH($B42,'DỮ LIỆU'!$C$3:$C$1052,0))),""))</f>
        <v>0941012666</v>
      </c>
      <c r="D42" s="21" t="str">
        <f aca="false">IF($B42="","",IFERROR(IF(INDEX('DỮ LIỆU'!$E$3:$E$1052,MATCH($B42,'DỮ LIỆU'!$C$3:$C$1052,0))="","",INDEX('DỮ LIỆU'!$E$3:$E$1052,MATCH($B42,'DỮ LIỆU'!$C$3:$C$1052,0))),""))</f>
        <v>gohaoquang@gmail.com</v>
      </c>
      <c r="E42" s="21" t="str">
        <f aca="false">IF($B42="","",IFERROR(IF(INDEX('DỮ LIỆU'!$F$3:$F$1052,MATCH($B42,'DỮ LIỆU'!$C$3:$C$1052,0))="","",INDEX('DỮ LIỆU'!$F$3:$F$1052,MATCH($B42,'DỮ LIỆU'!$C$3:$C$1052,0))),""))</f>
        <v>3000 380 533</v>
      </c>
      <c r="F42" s="21" t="str">
        <f aca="false">IF($B42="","",IFERROR(IF(INDEX('DỮ LIỆU'!$G$3:$G$1052,MATCH($B42,'DỮ LIỆU'!$C$3:$C$1052,0))="","",INDEX('DỮ LIỆU'!$G$3:$G$1052,MATCH($B42,'DỮ LIỆU'!$C$3:$C$1052,0))),""))</f>
        <v>số 5, đường 26/3, phường Thành Sen, Hà Tĩnh</v>
      </c>
      <c r="G42" s="13" t="n">
        <f aca="false">IF($B42="","",COUNTIFS('DỮ LIỆU'!$C$3:$C$1052,$B42,'DỮ LIỆU'!$J$3:$J$1052,"&gt;0"))</f>
        <v>1</v>
      </c>
      <c r="H42" s="13" t="n">
        <f aca="false">IF($B42="","",SUMIF('DỮ LIỆU'!$C$3:$C$1052,$B42,'DỮ LIỆU'!$J$3:$J$1052))</f>
        <v>1500000</v>
      </c>
      <c r="I42" s="13" t="n">
        <f aca="false">IF($B42="","",SUMIF('DỮ LIỆU'!$C$3:$C$1052,$B42,'DỮ LIỆU'!$M$3:$M$1052))</f>
        <v>1620000</v>
      </c>
      <c r="J42" s="13" t="n">
        <f aca="false">IF($B42="","",SUMIF('DỮ LIỆU'!$C$3:$C$1052,$B42,'DỮ LIỆU'!$N$3:$N$1052))</f>
        <v>1620000</v>
      </c>
      <c r="K42" s="13" t="n">
        <f aca="false">IF($B42="","",SUMIF('DỮ LIỆU'!$C$3:$C$1052,$B42,'DỮ LIỆU'!$O$3:$O$1052))</f>
        <v>0</v>
      </c>
      <c r="L42" s="13" t="n">
        <f aca="false">IF($B42="","",SUMIF('DỮ LIỆU'!$C$3:$C$1052,$B42,'DỮ LIỆU'!$Q$3:$Q$1052))</f>
        <v>0</v>
      </c>
      <c r="M42" s="41" t="n">
        <f aca="false">IF($B42="","",IF(SUMPRODUCT(MAX(('DỮ LIỆU'!$C$3:$C$1052=$B42)*'DỮ LIỆU'!$Z$3:$Z$1052))=0,"",SUMPRODUCT(MAX(('DỮ LIỆU'!$C$3:$C$1052=$B42)*'DỮ LIỆU'!$Z$3:$Z$1052))))</f>
        <v>46224</v>
      </c>
      <c r="N42" s="21" t="str">
        <f aca="false">IF($B42="","",IF($G42=0,"Chưa có đơn",IF(COUNTIFS('DỮ LIỆU'!$C$3:$C$1052,$B42,'DỮ LIỆU'!$K$3:$K$1052,"&gt;0")&gt;0,"Có lấy VAT","Không lấy VAT")))</f>
        <v>Có lấy VAT</v>
      </c>
    </row>
    <row r="43" customFormat="false" ht="15" hidden="false" customHeight="false" outlineLevel="0" collapsed="false">
      <c r="A43" s="21" t="n">
        <f aca="false">IF($B43="","",38)</f>
        <v>38</v>
      </c>
      <c r="B43" s="21" t="str">
        <f aca="false">IFERROR(INDEX('DỮ LIỆU'!$C$3:$C$1052,MATCH(38,'DỮ LIỆU'!$W$3:$W$1052,0)),"")</f>
        <v>BGB - KIOT BV 30 GỐI</v>
      </c>
      <c r="C43" s="21" t="str">
        <f aca="false">IF($B43="","",IFERROR(IF(INDEX('DỮ LIỆU'!$D$3:$D$1052,MATCH($B43,'DỮ LIỆU'!$C$3:$C$1052,0))="","",INDEX('DỮ LIỆU'!$D$3:$D$1052,MATCH($B43,'DỮ LIỆU'!$C$3:$C$1052,0))),""))</f>
        <v>0395.254.610</v>
      </c>
      <c r="D43" s="21" t="str">
        <f aca="false">IF($B43="","",IFERROR(IF(INDEX('DỮ LIỆU'!$E$3:$E$1052,MATCH($B43,'DỮ LIỆU'!$C$3:$C$1052,0))="","",INDEX('DỮ LIỆU'!$E$3:$E$1052,MATCH($B43,'DỮ LIỆU'!$C$3:$C$1052,0))),""))</f>
        <v/>
      </c>
      <c r="E43" s="21" t="str">
        <f aca="false">IF($B43="","",IFERROR(IF(INDEX('DỮ LIỆU'!$F$3:$F$1052,MATCH($B43,'DỮ LIỆU'!$C$3:$C$1052,0))="","",INDEX('DỮ LIỆU'!$F$3:$F$1052,MATCH($B43,'DỮ LIỆU'!$C$3:$C$1052,0))),""))</f>
        <v/>
      </c>
      <c r="F43" s="21" t="str">
        <f aca="false">IF($B43="","",IFERROR(IF(INDEX('DỮ LIỆU'!$G$3:$G$1052,MATCH($B43,'DỮ LIỆU'!$C$3:$C$1052,0))="","",INDEX('DỮ LIỆU'!$G$3:$G$1052,MATCH($B43,'DỮ LIỆU'!$C$3:$C$1052,0))),""))</f>
        <v>Số nhà 3/144 Trung Kính, Phường Yên Hòa, Quận Cầu Giấy, Hà Nội</v>
      </c>
      <c r="G43" s="13" t="n">
        <f aca="false">IF($B43="","",COUNTIFS('DỮ LIỆU'!$C$3:$C$1052,$B43,'DỮ LIỆU'!$J$3:$J$1052,"&gt;0"))</f>
        <v>1</v>
      </c>
      <c r="H43" s="13" t="n">
        <f aca="false">IF($B43="","",SUMIF('DỮ LIỆU'!$C$3:$C$1052,$B43,'DỮ LIỆU'!$J$3:$J$1052))</f>
        <v>2100000</v>
      </c>
      <c r="I43" s="13" t="n">
        <f aca="false">IF($B43="","",SUMIF('DỮ LIỆU'!$C$3:$C$1052,$B43,'DỮ LIỆU'!$M$3:$M$1052))</f>
        <v>2268000</v>
      </c>
      <c r="J43" s="13" t="n">
        <f aca="false">IF($B43="","",SUMIF('DỮ LIỆU'!$C$3:$C$1052,$B43,'DỮ LIỆU'!$N$3:$N$1052))</f>
        <v>2268000</v>
      </c>
      <c r="K43" s="13" t="n">
        <f aca="false">IF($B43="","",SUMIF('DỮ LIỆU'!$C$3:$C$1052,$B43,'DỮ LIỆU'!$O$3:$O$1052))</f>
        <v>0</v>
      </c>
      <c r="L43" s="13" t="n">
        <f aca="false">IF($B43="","",SUMIF('DỮ LIỆU'!$C$3:$C$1052,$B43,'DỮ LIỆU'!$Q$3:$Q$1052))</f>
        <v>0</v>
      </c>
      <c r="M43" s="41" t="n">
        <f aca="false">IF($B43="","",IF(SUMPRODUCT(MAX(('DỮ LIỆU'!$C$3:$C$1052=$B43)*'DỮ LIỆU'!$Z$3:$Z$1052))=0,"",SUMPRODUCT(MAX(('DỮ LIỆU'!$C$3:$C$1052=$B43)*'DỮ LIỆU'!$Z$3:$Z$1052))))</f>
        <v>46224</v>
      </c>
      <c r="N43" s="21" t="str">
        <f aca="false">IF($B43="","",IF($G43=0,"Chưa có đơn",IF(COUNTIFS('DỮ LIỆU'!$C$3:$C$1052,$B43,'DỮ LIỆU'!$K$3:$K$1052,"&gt;0")&gt;0,"Có lấy VAT","Không lấy VAT")))</f>
        <v>Có lấy VAT</v>
      </c>
    </row>
    <row r="44" customFormat="false" ht="15" hidden="false" customHeight="false" outlineLevel="0" collapsed="false">
      <c r="A44" s="21" t="n">
        <f aca="false">IF($B44="","",39)</f>
        <v>39</v>
      </c>
      <c r="B44" s="21" t="str">
        <f aca="false">IFERROR(INDEX('DỮ LIỆU'!$C$3:$C$1052,MATCH(39,'DỮ LIỆU'!$W$3:$W$1052,0)),"")</f>
        <v>BGB - KIOT BV 30 GỐI - chị Hien Anh</v>
      </c>
      <c r="C44" s="21" t="str">
        <f aca="false">IF($B44="","",IFERROR(IF(INDEX('DỮ LIỆU'!$D$3:$D$1052,MATCH($B44,'DỮ LIỆU'!$C$3:$C$1052,0))="","",INDEX('DỮ LIỆU'!$D$3:$D$1052,MATCH($B44,'DỮ LIỆU'!$C$3:$C$1052,0))),""))</f>
        <v>0395.254.611</v>
      </c>
      <c r="D44" s="21" t="str">
        <f aca="false">IF($B44="","",IFERROR(IF(INDEX('DỮ LIỆU'!$E$3:$E$1052,MATCH($B44,'DỮ LIỆU'!$C$3:$C$1052,0))="","",INDEX('DỮ LIỆU'!$E$3:$E$1052,MATCH($B44,'DỮ LIỆU'!$C$3:$C$1052,0))),""))</f>
        <v/>
      </c>
      <c r="E44" s="21" t="str">
        <f aca="false">IF($B44="","",IFERROR(IF(INDEX('DỮ LIỆU'!$F$3:$F$1052,MATCH($B44,'DỮ LIỆU'!$C$3:$C$1052,0))="","",INDEX('DỮ LIỆU'!$F$3:$F$1052,MATCH($B44,'DỮ LIỆU'!$C$3:$C$1052,0))),""))</f>
        <v/>
      </c>
      <c r="F44" s="21" t="str">
        <f aca="false">IF($B44="","",IFERROR(IF(INDEX('DỮ LIỆU'!$G$3:$G$1052,MATCH($B44,'DỮ LIỆU'!$C$3:$C$1052,0))="","",INDEX('DỮ LIỆU'!$G$3:$G$1052,MATCH($B44,'DỮ LIỆU'!$C$3:$C$1052,0))),""))</f>
        <v>Số nhà 3/144 Trung Kính, Phường Yên Hòa, Quận Cầu Giấy, Hà Nội</v>
      </c>
      <c r="G44" s="13" t="n">
        <f aca="false">IF($B44="","",COUNTIFS('DỮ LIỆU'!$C$3:$C$1052,$B44,'DỮ LIỆU'!$J$3:$J$1052,"&gt;0"))</f>
        <v>1</v>
      </c>
      <c r="H44" s="13" t="n">
        <f aca="false">IF($B44="","",SUMIF('DỮ LIỆU'!$C$3:$C$1052,$B44,'DỮ LIỆU'!$J$3:$J$1052))</f>
        <v>700000</v>
      </c>
      <c r="I44" s="13" t="n">
        <f aca="false">IF($B44="","",SUMIF('DỮ LIỆU'!$C$3:$C$1052,$B44,'DỮ LIỆU'!$M$3:$M$1052))</f>
        <v>700000</v>
      </c>
      <c r="J44" s="13" t="n">
        <f aca="false">IF($B44="","",SUMIF('DỮ LIỆU'!$C$3:$C$1052,$B44,'DỮ LIỆU'!$N$3:$N$1052))</f>
        <v>700000</v>
      </c>
      <c r="K44" s="13" t="n">
        <f aca="false">IF($B44="","",SUMIF('DỮ LIỆU'!$C$3:$C$1052,$B44,'DỮ LIỆU'!$O$3:$O$1052))</f>
        <v>0</v>
      </c>
      <c r="L44" s="13" t="n">
        <f aca="false">IF($B44="","",SUMIF('DỮ LIỆU'!$C$3:$C$1052,$B44,'DỮ LIỆU'!$Q$3:$Q$1052))</f>
        <v>0</v>
      </c>
      <c r="M44" s="41" t="n">
        <f aca="false">IF($B44="","",IF(SUMPRODUCT(MAX(('DỮ LIỆU'!$C$3:$C$1052=$B44)*'DỮ LIỆU'!$Z$3:$Z$1052))=0,"",SUMPRODUCT(MAX(('DỮ LIỆU'!$C$3:$C$1052=$B44)*'DỮ LIỆU'!$Z$3:$Z$1052))))</f>
        <v>46224</v>
      </c>
      <c r="N44" s="21" t="str">
        <f aca="false">IF($B44="","",IF($G44=0,"Chưa có đơn",IF(COUNTIFS('DỮ LIỆU'!$C$3:$C$1052,$B44,'DỮ LIỆU'!$K$3:$K$1052,"&gt;0")&gt;0,"Có lấy VAT","Không lấy VAT")))</f>
        <v>Không lấy VAT</v>
      </c>
    </row>
    <row r="45" customFormat="false" ht="15" hidden="false" customHeight="false" outlineLevel="0" collapsed="false">
      <c r="A45" s="21" t="n">
        <f aca="false">IF($B45="","",40)</f>
        <v>40</v>
      </c>
      <c r="B45" s="21" t="str">
        <f aca="false">IFERROR(INDEX('DỮ LIỆU'!$C$3:$C$1052,MATCH(40,'DỮ LIỆU'!$W$3:$W$1052,0)),"")</f>
        <v>chị Hậu</v>
      </c>
      <c r="C45" s="21" t="str">
        <f aca="false">IF($B45="","",IFERROR(IF(INDEX('DỮ LIỆU'!$D$3:$D$1052,MATCH($B45,'DỮ LIỆU'!$C$3:$C$1052,0))="","",INDEX('DỮ LIỆU'!$D$3:$D$1052,MATCH($B45,'DỮ LIỆU'!$C$3:$C$1052,0))),""))</f>
        <v>0989403759</v>
      </c>
      <c r="D45" s="21" t="str">
        <f aca="false">IF($B45="","",IFERROR(IF(INDEX('DỮ LIỆU'!$E$3:$E$1052,MATCH($B45,'DỮ LIỆU'!$C$3:$C$1052,0))="","",INDEX('DỮ LIỆU'!$E$3:$E$1052,MATCH($B45,'DỮ LIỆU'!$C$3:$C$1052,0))),""))</f>
        <v/>
      </c>
      <c r="E45" s="21" t="str">
        <f aca="false">IF($B45="","",IFERROR(IF(INDEX('DỮ LIỆU'!$F$3:$F$1052,MATCH($B45,'DỮ LIỆU'!$C$3:$C$1052,0))="","",INDEX('DỮ LIỆU'!$F$3:$F$1052,MATCH($B45,'DỮ LIỆU'!$C$3:$C$1052,0))),""))</f>
        <v/>
      </c>
      <c r="F45" s="21" t="str">
        <f aca="false">IF($B45="","",IFERROR(IF(INDEX('DỮ LIỆU'!$G$3:$G$1052,MATCH($B45,'DỮ LIỆU'!$C$3:$C$1052,0))="","",INDEX('DỮ LIỆU'!$G$3:$G$1052,MATCH($B45,'DỮ LIỆU'!$C$3:$C$1052,0))),""))</f>
        <v>Phòng Công đoàn - Công Ty TNHH Sao Vàng Ngã 3 An Tràng, TT.Trường Sơn, H.An Lão, TP.Hải Phòng</v>
      </c>
      <c r="G45" s="13" t="n">
        <f aca="false">IF($B45="","",COUNTIFS('DỮ LIỆU'!$C$3:$C$1052,$B45,'DỮ LIỆU'!$J$3:$J$1052,"&gt;0"))</f>
        <v>1</v>
      </c>
      <c r="H45" s="13" t="n">
        <f aca="false">IF($B45="","",SUMIF('DỮ LIỆU'!$C$3:$C$1052,$B45,'DỮ LIỆU'!$J$3:$J$1052))</f>
        <v>250000</v>
      </c>
      <c r="I45" s="13" t="n">
        <f aca="false">IF($B45="","",SUMIF('DỮ LIỆU'!$C$3:$C$1052,$B45,'DỮ LIỆU'!$M$3:$M$1052))</f>
        <v>250000</v>
      </c>
      <c r="J45" s="13" t="n">
        <f aca="false">IF($B45="","",SUMIF('DỮ LIỆU'!$C$3:$C$1052,$B45,'DỮ LIỆU'!$N$3:$N$1052))</f>
        <v>250000</v>
      </c>
      <c r="K45" s="13" t="n">
        <f aca="false">IF($B45="","",SUMIF('DỮ LIỆU'!$C$3:$C$1052,$B45,'DỮ LIỆU'!$O$3:$O$1052))</f>
        <v>0</v>
      </c>
      <c r="L45" s="13" t="n">
        <f aca="false">IF($B45="","",SUMIF('DỮ LIỆU'!$C$3:$C$1052,$B45,'DỮ LIỆU'!$Q$3:$Q$1052))</f>
        <v>0</v>
      </c>
      <c r="M45" s="41" t="n">
        <f aca="false">IF($B45="","",IF(SUMPRODUCT(MAX(('DỮ LIỆU'!$C$3:$C$1052=$B45)*'DỮ LIỆU'!$Z$3:$Z$1052))=0,"",SUMPRODUCT(MAX(('DỮ LIỆU'!$C$3:$C$1052=$B45)*'DỮ LIỆU'!$Z$3:$Z$1052))))</f>
        <v>46224</v>
      </c>
      <c r="N45" s="21" t="str">
        <f aca="false">IF($B45="","",IF($G45=0,"Chưa có đơn",IF(COUNTIFS('DỮ LIỆU'!$C$3:$C$1052,$B45,'DỮ LIỆU'!$K$3:$K$1052,"&gt;0")&gt;0,"Có lấy VAT","Không lấy VAT")))</f>
        <v>Không lấy VAT</v>
      </c>
    </row>
    <row r="46" customFormat="false" ht="15" hidden="false" customHeight="false" outlineLevel="0" collapsed="false">
      <c r="A46" s="21" t="n">
        <f aca="false">IF($B46="","",41)</f>
        <v>41</v>
      </c>
      <c r="B46" s="21" t="str">
        <f aca="false">IFERROR(INDEX('DỮ LIỆU'!$C$3:$C$1052,MATCH(41,'DỮ LIỆU'!$W$3:$W$1052,0)),"")</f>
        <v>BGB - CLUB 16 DAKLAK 200G</v>
      </c>
      <c r="C46" s="21" t="str">
        <f aca="false">IF($B46="","",IFERROR(IF(INDEX('DỮ LIỆU'!$D$3:$D$1052,MATCH($B46,'DỮ LIỆU'!$C$3:$C$1052,0))="","",INDEX('DỮ LIỆU'!$D$3:$D$1052,MATCH($B46,'DỮ LIỆU'!$C$3:$C$1052,0))),""))</f>
        <v>0933115335</v>
      </c>
      <c r="D46" s="21" t="str">
        <f aca="false">IF($B46="","",IFERROR(IF(INDEX('DỮ LIỆU'!$E$3:$E$1052,MATCH($B46,'DỮ LIỆU'!$C$3:$C$1052,0))="","",INDEX('DỮ LIỆU'!$E$3:$E$1052,MATCH($B46,'DỮ LIỆU'!$C$3:$C$1052,0))),""))</f>
        <v/>
      </c>
      <c r="E46" s="21" t="str">
        <f aca="false">IF($B46="","",IFERROR(IF(INDEX('DỮ LIỆU'!$F$3:$F$1052,MATCH($B46,'DỮ LIỆU'!$C$3:$C$1052,0))="","",INDEX('DỮ LIỆU'!$F$3:$F$1052,MATCH($B46,'DỮ LIỆU'!$C$3:$C$1052,0))),""))</f>
        <v/>
      </c>
      <c r="F46" s="21" t="str">
        <f aca="false">IF($B46="","",IFERROR(IF(INDEX('DỮ LIỆU'!$G$3:$G$1052,MATCH($B46,'DỮ LIỆU'!$C$3:$C$1052,0))="","",INDEX('DỮ LIỆU'!$G$3:$G$1052,MATCH($B46,'DỮ LIỆU'!$C$3:$C$1052,0))),""))</f>
        <v>93 quốc lộ 14 ( trà sữa cana ) , thôn 5 , xã hoà thuận , tp bmt , daklak !</v>
      </c>
      <c r="G46" s="13" t="n">
        <f aca="false">IF($B46="","",COUNTIFS('DỮ LIỆU'!$C$3:$C$1052,$B46,'DỮ LIỆU'!$J$3:$J$1052,"&gt;0"))</f>
        <v>1</v>
      </c>
      <c r="H46" s="13" t="n">
        <f aca="false">IF($B46="","",SUMIF('DỮ LIỆU'!$C$3:$C$1052,$B46,'DỮ LIỆU'!$J$3:$J$1052))</f>
        <v>9400000</v>
      </c>
      <c r="I46" s="13" t="n">
        <f aca="false">IF($B46="","",SUMIF('DỮ LIỆU'!$C$3:$C$1052,$B46,'DỮ LIỆU'!$M$3:$M$1052))</f>
        <v>9400000</v>
      </c>
      <c r="J46" s="13" t="n">
        <f aca="false">IF($B46="","",SUMIF('DỮ LIỆU'!$C$3:$C$1052,$B46,'DỮ LIỆU'!$N$3:$N$1052))</f>
        <v>9400000</v>
      </c>
      <c r="K46" s="13" t="n">
        <f aca="false">IF($B46="","",SUMIF('DỮ LIỆU'!$C$3:$C$1052,$B46,'DỮ LIỆU'!$O$3:$O$1052))</f>
        <v>0</v>
      </c>
      <c r="L46" s="13" t="n">
        <f aca="false">IF($B46="","",SUMIF('DỮ LIỆU'!$C$3:$C$1052,$B46,'DỮ LIỆU'!$Q$3:$Q$1052))</f>
        <v>0</v>
      </c>
      <c r="M46" s="41" t="n">
        <f aca="false">IF($B46="","",IF(SUMPRODUCT(MAX(('DỮ LIỆU'!$C$3:$C$1052=$B46)*'DỮ LIỆU'!$Z$3:$Z$1052))=0,"",SUMPRODUCT(MAX(('DỮ LIỆU'!$C$3:$C$1052=$B46)*'DỮ LIỆU'!$Z$3:$Z$1052))))</f>
        <v>46225</v>
      </c>
      <c r="N46" s="21" t="str">
        <f aca="false">IF($B46="","",IF($G46=0,"Chưa có đơn",IF(COUNTIFS('DỮ LIỆU'!$C$3:$C$1052,$B46,'DỮ LIỆU'!$K$3:$K$1052,"&gt;0")&gt;0,"Có lấy VAT","Không lấy VAT")))</f>
        <v>Không lấy VAT</v>
      </c>
    </row>
    <row r="47" customFormat="false" ht="15" hidden="false" customHeight="false" outlineLevel="0" collapsed="false">
      <c r="A47" s="21" t="n">
        <f aca="false">IF($B47="","",42)</f>
        <v>42</v>
      </c>
      <c r="B47" s="21" t="str">
        <f aca="false">IFERROR(INDEX('DỮ LIỆU'!$C$3:$C$1052,MATCH(42,'DỮ LIỆU'!$W$3:$W$1052,0)),"")</f>
        <v>BGB - MK VINFAST NGỌC CHÂU THÀNH 50C</v>
      </c>
      <c r="C47" s="21" t="str">
        <f aca="false">IF($B47="","",IFERROR(IF(INDEX('DỮ LIỆU'!$D$3:$D$1052,MATCH($B47,'DỮ LIỆU'!$C$3:$C$1052,0))="","",INDEX('DỮ LIỆU'!$D$3:$D$1052,MATCH($B47,'DỮ LIỆU'!$C$3:$C$1052,0))),""))</f>
        <v>0828388882</v>
      </c>
      <c r="D47" s="21" t="str">
        <f aca="false">IF($B47="","",IFERROR(IF(INDEX('DỮ LIỆU'!$E$3:$E$1052,MATCH($B47,'DỮ LIỆU'!$C$3:$C$1052,0))="","",INDEX('DỮ LIỆU'!$E$3:$E$1052,MATCH($B47,'DỮ LIỆU'!$C$3:$C$1052,0))),""))</f>
        <v/>
      </c>
      <c r="E47" s="21" t="str">
        <f aca="false">IF($B47="","",IFERROR(IF(INDEX('DỮ LIỆU'!$F$3:$F$1052,MATCH($B47,'DỮ LIỆU'!$C$3:$C$1052,0))="","",INDEX('DỮ LIỆU'!$F$3:$F$1052,MATCH($B47,'DỮ LIỆU'!$C$3:$C$1052,0))),""))</f>
        <v/>
      </c>
      <c r="F47" s="21" t="str">
        <f aca="false">IF($B47="","",IFERROR(IF(INDEX('DỮ LIỆU'!$G$3:$G$1052,MATCH($B47,'DỮ LIỆU'!$C$3:$C$1052,0))="","",INDEX('DỮ LIỆU'!$G$3:$G$1052,MATCH($B47,'DỮ LIỆU'!$C$3:$C$1052,0))),""))</f>
        <v>Ql 63 - An phước- Bình an - châu thành - kiên giang</v>
      </c>
      <c r="G47" s="13" t="n">
        <f aca="false">IF($B47="","",COUNTIFS('DỮ LIỆU'!$C$3:$C$1052,$B47,'DỮ LIỆU'!$J$3:$J$1052,"&gt;0"))</f>
        <v>1</v>
      </c>
      <c r="H47" s="13" t="n">
        <f aca="false">IF($B47="","",SUMIF('DỮ LIỆU'!$C$3:$C$1052,$B47,'DỮ LIỆU'!$J$3:$J$1052))</f>
        <v>1450000</v>
      </c>
      <c r="I47" s="13" t="n">
        <f aca="false">IF($B47="","",SUMIF('DỮ LIỆU'!$C$3:$C$1052,$B47,'DỮ LIỆU'!$M$3:$M$1052))</f>
        <v>1450000</v>
      </c>
      <c r="J47" s="13" t="n">
        <f aca="false">IF($B47="","",SUMIF('DỮ LIỆU'!$C$3:$C$1052,$B47,'DỮ LIỆU'!$N$3:$N$1052))</f>
        <v>750000</v>
      </c>
      <c r="K47" s="13" t="n">
        <f aca="false">IF($B47="","",SUMIF('DỮ LIỆU'!$C$3:$C$1052,$B47,'DỮ LIỆU'!$O$3:$O$1052))</f>
        <v>700000</v>
      </c>
      <c r="L47" s="13" t="n">
        <f aca="false">IF($B47="","",SUMIF('DỮ LIỆU'!$C$3:$C$1052,$B47,'DỮ LIỆU'!$Q$3:$Q$1052))</f>
        <v>0</v>
      </c>
      <c r="M47" s="41" t="n">
        <f aca="false">IF($B47="","",IF(SUMPRODUCT(MAX(('DỮ LIỆU'!$C$3:$C$1052=$B47)*'DỮ LIỆU'!$Z$3:$Z$1052))=0,"",SUMPRODUCT(MAX(('DỮ LIỆU'!$C$3:$C$1052=$B47)*'DỮ LIỆU'!$Z$3:$Z$1052))))</f>
        <v>46225</v>
      </c>
      <c r="N47" s="21" t="str">
        <f aca="false">IF($B47="","",IF($G47=0,"Chưa có đơn",IF(COUNTIFS('DỮ LIỆU'!$C$3:$C$1052,$B47,'DỮ LIỆU'!$K$3:$K$1052,"&gt;0")&gt;0,"Có lấy VAT","Không lấy VAT")))</f>
        <v>Không lấy VAT</v>
      </c>
    </row>
    <row r="48" customFormat="false" ht="15" hidden="false" customHeight="false" outlineLevel="0" collapsed="false">
      <c r="A48" s="21" t="n">
        <f aca="false">IF($B48="","",43)</f>
        <v>43</v>
      </c>
      <c r="B48" s="21" t="str">
        <f aca="false">IFERROR(INDEX('DỮ LIỆU'!$C$3:$C$1052,MATCH(43,'DỮ LIỆU'!$W$3:$W$1052,0)),"")</f>
        <v>BGB - MK ĐÌNH KHÔI 50C</v>
      </c>
      <c r="C48" s="21" t="str">
        <f aca="false">IF($B48="","",IFERROR(IF(INDEX('DỮ LIỆU'!$D$3:$D$1052,MATCH($B48,'DỮ LIỆU'!$C$3:$C$1052,0))="","",INDEX('DỮ LIỆU'!$D$3:$D$1052,MATCH($B48,'DỮ LIỆU'!$C$3:$C$1052,0))),""))</f>
        <v>0869760626</v>
      </c>
      <c r="D48" s="21" t="str">
        <f aca="false">IF($B48="","",IFERROR(IF(INDEX('DỮ LIỆU'!$E$3:$E$1052,MATCH($B48,'DỮ LIỆU'!$C$3:$C$1052,0))="","",INDEX('DỮ LIỆU'!$E$3:$E$1052,MATCH($B48,'DỮ LIỆU'!$C$3:$C$1052,0))),""))</f>
        <v/>
      </c>
      <c r="E48" s="21" t="str">
        <f aca="false">IF($B48="","",IFERROR(IF(INDEX('DỮ LIỆU'!$F$3:$F$1052,MATCH($B48,'DỮ LIỆU'!$C$3:$C$1052,0))="","",INDEX('DỮ LIỆU'!$F$3:$F$1052,MATCH($B48,'DỮ LIỆU'!$C$3:$C$1052,0))),""))</f>
        <v/>
      </c>
      <c r="F48" s="21" t="str">
        <f aca="false">IF($B48="","",IFERROR(IF(INDEX('DỮ LIỆU'!$G$3:$G$1052,MATCH($B48,'DỮ LIỆU'!$C$3:$C$1052,0))="","",INDEX('DỮ LIỆU'!$G$3:$G$1052,MATCH($B48,'DỮ LIỆU'!$C$3:$C$1052,0))),""))</f>
        <v>B1-51 khu đô thị mới lý thường kiệt . Phường 1 bảo lộc</v>
      </c>
      <c r="G48" s="13" t="n">
        <f aca="false">IF($B48="","",COUNTIFS('DỮ LIỆU'!$C$3:$C$1052,$B48,'DỮ LIỆU'!$J$3:$J$1052,"&gt;0"))</f>
        <v>0</v>
      </c>
      <c r="H48" s="13" t="n">
        <f aca="false">IF($B48="","",SUMIF('DỮ LIỆU'!$C$3:$C$1052,$B48,'DỮ LIỆU'!$J$3:$J$1052))</f>
        <v>0</v>
      </c>
      <c r="I48" s="13" t="n">
        <f aca="false">IF($B48="","",SUMIF('DỮ LIỆU'!$C$3:$C$1052,$B48,'DỮ LIỆU'!$M$3:$M$1052))</f>
        <v>0</v>
      </c>
      <c r="J48" s="13" t="n">
        <f aca="false">IF($B48="","",SUMIF('DỮ LIỆU'!$C$3:$C$1052,$B48,'DỮ LIỆU'!$N$3:$N$1052))</f>
        <v>0</v>
      </c>
      <c r="K48" s="13" t="n">
        <f aca="false">IF($B48="","",SUMIF('DỮ LIỆU'!$C$3:$C$1052,$B48,'DỮ LIỆU'!$O$3:$O$1052))</f>
        <v>0</v>
      </c>
      <c r="L48" s="13" t="n">
        <f aca="false">IF($B48="","",SUMIF('DỮ LIỆU'!$C$3:$C$1052,$B48,'DỮ LIỆU'!$Q$3:$Q$1052))</f>
        <v>0</v>
      </c>
      <c r="M48" s="41" t="n">
        <f aca="false">IF($B48="","",IF(SUMPRODUCT(MAX(('DỮ LIỆU'!$C$3:$C$1052=$B48)*'DỮ LIỆU'!$Z$3:$Z$1052))=0,"",SUMPRODUCT(MAX(('DỮ LIỆU'!$C$3:$C$1052=$B48)*'DỮ LIỆU'!$Z$3:$Z$1052))))</f>
        <v>46225</v>
      </c>
      <c r="N48" s="21" t="str">
        <f aca="false">IF($B48="","",IF($G48=0,"Chưa có đơn",IF(COUNTIFS('DỮ LIỆU'!$C$3:$C$1052,$B48,'DỮ LIỆU'!$K$3:$K$1052,"&gt;0")&gt;0,"Có lấy VAT","Không lấy VAT")))</f>
        <v>Chưa có đơn</v>
      </c>
    </row>
    <row r="49" customFormat="false" ht="15" hidden="false" customHeight="false" outlineLevel="0" collapsed="false">
      <c r="A49" s="21" t="n">
        <f aca="false">IF($B49="","",44)</f>
        <v>44</v>
      </c>
      <c r="B49" s="21" t="str">
        <f aca="false">IFERROR(INDEX('DỮ LIỆU'!$C$3:$C$1052,MATCH(44,'DỮ LIỆU'!$W$3:$W$1052,0)),"")</f>
        <v>BGB - WULING 20C</v>
      </c>
      <c r="C49" s="21" t="str">
        <f aca="false">IF($B49="","",IFERROR(IF(INDEX('DỮ LIỆU'!$D$3:$D$1052,MATCH($B49,'DỮ LIỆU'!$C$3:$C$1052,0))="","",INDEX('DỮ LIỆU'!$D$3:$D$1052,MATCH($B49,'DỮ LIỆU'!$C$3:$C$1052,0))),""))</f>
        <v>0904568820</v>
      </c>
      <c r="D49" s="21" t="str">
        <f aca="false">IF($B49="","",IFERROR(IF(INDEX('DỮ LIỆU'!$E$3:$E$1052,MATCH($B49,'DỮ LIỆU'!$C$3:$C$1052,0))="","",INDEX('DỮ LIỆU'!$E$3:$E$1052,MATCH($B49,'DỮ LIỆU'!$C$3:$C$1052,0))),""))</f>
        <v/>
      </c>
      <c r="E49" s="21" t="str">
        <f aca="false">IF($B49="","",IFERROR(IF(INDEX('DỮ LIỆU'!$F$3:$F$1052,MATCH($B49,'DỮ LIỆU'!$C$3:$C$1052,0))="","",INDEX('DỮ LIỆU'!$F$3:$F$1052,MATCH($B49,'DỮ LIỆU'!$C$3:$C$1052,0))),""))</f>
        <v/>
      </c>
      <c r="F49" s="21" t="str">
        <f aca="false">IF($B49="","",IFERROR(IF(INDEX('DỮ LIỆU'!$G$3:$G$1052,MATCH($B49,'DỮ LIỆU'!$C$3:$C$1052,0))="","",INDEX('DỮ LIỆU'!$G$3:$G$1052,MATCH($B49,'DỮ LIỆU'!$C$3:$C$1052,0))),""))</f>
        <v>Wuling HTA Long Biên - số 3-5 Nguyen Van</v>
      </c>
      <c r="G49" s="13" t="n">
        <f aca="false">IF($B49="","",COUNTIFS('DỮ LIỆU'!$C$3:$C$1052,$B49,'DỮ LIỆU'!$J$3:$J$1052,"&gt;0"))</f>
        <v>1</v>
      </c>
      <c r="H49" s="13" t="n">
        <f aca="false">IF($B49="","",SUMIF('DỮ LIỆU'!$C$3:$C$1052,$B49,'DỮ LIỆU'!$J$3:$J$1052))</f>
        <v>1000000</v>
      </c>
      <c r="I49" s="13" t="n">
        <f aca="false">IF($B49="","",SUMIF('DỮ LIỆU'!$C$3:$C$1052,$B49,'DỮ LIỆU'!$M$3:$M$1052))</f>
        <v>1000000</v>
      </c>
      <c r="J49" s="13" t="n">
        <f aca="false">IF($B49="","",SUMIF('DỮ LIỆU'!$C$3:$C$1052,$B49,'DỮ LIỆU'!$N$3:$N$1052))</f>
        <v>1000000</v>
      </c>
      <c r="K49" s="13" t="n">
        <f aca="false">IF($B49="","",SUMIF('DỮ LIỆU'!$C$3:$C$1052,$B49,'DỮ LIỆU'!$O$3:$O$1052))</f>
        <v>0</v>
      </c>
      <c r="L49" s="13" t="n">
        <f aca="false">IF($B49="","",SUMIF('DỮ LIỆU'!$C$3:$C$1052,$B49,'DỮ LIỆU'!$Q$3:$Q$1052))</f>
        <v>0</v>
      </c>
      <c r="M49" s="41" t="n">
        <f aca="false">IF($B49="","",IF(SUMPRODUCT(MAX(('DỮ LIỆU'!$C$3:$C$1052=$B49)*'DỮ LIỆU'!$Z$3:$Z$1052))=0,"",SUMPRODUCT(MAX(('DỮ LIỆU'!$C$3:$C$1052=$B49)*'DỮ LIỆU'!$Z$3:$Z$1052))))</f>
        <v>46226</v>
      </c>
      <c r="N49" s="21" t="str">
        <f aca="false">IF($B49="","",IF($G49=0,"Chưa có đơn",IF(COUNTIFS('DỮ LIỆU'!$C$3:$C$1052,$B49,'DỮ LIỆU'!$K$3:$K$1052,"&gt;0")&gt;0,"Có lấy VAT","Không lấy VAT")))</f>
        <v>Không lấy VAT</v>
      </c>
    </row>
    <row r="50" customFormat="false" ht="15" hidden="false" customHeight="false" outlineLevel="0" collapsed="false">
      <c r="A50" s="21" t="n">
        <f aca="false">IF($B50="","",45)</f>
        <v>45</v>
      </c>
      <c r="B50" s="21" t="str">
        <f aca="false">IFERROR(INDEX('DỮ LIỆU'!$C$3:$C$1052,MATCH(45,'DỮ LIỆU'!$W$3:$W$1052,0)),"")</f>
        <v>BGB - TRƯỜNG GIANG TOURIST GỐI U 50C</v>
      </c>
      <c r="C50" s="21" t="str">
        <f aca="false">IF($B50="","",IFERROR(IF(INDEX('DỮ LIỆU'!$D$3:$D$1052,MATCH($B50,'DỮ LIỆU'!$C$3:$C$1052,0))="","",INDEX('DỮ LIỆU'!$D$3:$D$1052,MATCH($B50,'DỮ LIỆU'!$C$3:$C$1052,0))),""))</f>
        <v>0353330284</v>
      </c>
      <c r="D50" s="21" t="str">
        <f aca="false">IF($B50="","",IFERROR(IF(INDEX('DỮ LIỆU'!$E$3:$E$1052,MATCH($B50,'DỮ LIỆU'!$C$3:$C$1052,0))="","",INDEX('DỮ LIỆU'!$E$3:$E$1052,MATCH($B50,'DỮ LIỆU'!$C$3:$C$1052,0))),""))</f>
        <v/>
      </c>
      <c r="E50" s="21" t="str">
        <f aca="false">IF($B50="","",IFERROR(IF(INDEX('DỮ LIỆU'!$F$3:$F$1052,MATCH($B50,'DỮ LIỆU'!$C$3:$C$1052,0))="","",INDEX('DỮ LIỆU'!$F$3:$F$1052,MATCH($B50,'DỮ LIỆU'!$C$3:$C$1052,0))),""))</f>
        <v/>
      </c>
      <c r="F50" s="21" t="str">
        <f aca="false">IF($B50="","",IFERROR(IF(INDEX('DỮ LIỆU'!$G$3:$G$1052,MATCH($B50,'DỮ LIỆU'!$C$3:$C$1052,0))="","",INDEX('DỮ LIỆU'!$G$3:$G$1052,MATCH($B50,'DỮ LIỆU'!$C$3:$C$1052,0))),""))</f>
        <v>Chung Cư Kim oanh Group - eastgate - 43 Tân Lập - phường Đông Hoà - Dĩ An ( Ngay L</v>
      </c>
      <c r="G50" s="13" t="n">
        <f aca="false">IF($B50="","",COUNTIFS('DỮ LIỆU'!$C$3:$C$1052,$B50,'DỮ LIỆU'!$J$3:$J$1052,"&gt;0"))</f>
        <v>1</v>
      </c>
      <c r="H50" s="13" t="n">
        <f aca="false">IF($B50="","",SUMIF('DỮ LIỆU'!$C$3:$C$1052,$B50,'DỮ LIỆU'!$J$3:$J$1052))</f>
        <v>2750000</v>
      </c>
      <c r="I50" s="13" t="n">
        <f aca="false">IF($B50="","",SUMIF('DỮ LIỆU'!$C$3:$C$1052,$B50,'DỮ LIỆU'!$M$3:$M$1052))</f>
        <v>2750000</v>
      </c>
      <c r="J50" s="13" t="n">
        <f aca="false">IF($B50="","",SUMIF('DỮ LIỆU'!$C$3:$C$1052,$B50,'DỮ LIỆU'!$N$3:$N$1052))</f>
        <v>1500000</v>
      </c>
      <c r="K50" s="13" t="n">
        <f aca="false">IF($B50="","",SUMIF('DỮ LIỆU'!$C$3:$C$1052,$B50,'DỮ LIỆU'!$O$3:$O$1052))</f>
        <v>1250000</v>
      </c>
      <c r="L50" s="13" t="n">
        <f aca="false">IF($B50="","",SUMIF('DỮ LIỆU'!$C$3:$C$1052,$B50,'DỮ LIỆU'!$Q$3:$Q$1052))</f>
        <v>0</v>
      </c>
      <c r="M50" s="41" t="n">
        <f aca="false">IF($B50="","",IF(SUMPRODUCT(MAX(('DỮ LIỆU'!$C$3:$C$1052=$B50)*'DỮ LIỆU'!$Z$3:$Z$1052))=0,"",SUMPRODUCT(MAX(('DỮ LIỆU'!$C$3:$C$1052=$B50)*'DỮ LIỆU'!$Z$3:$Z$1052))))</f>
        <v>46228</v>
      </c>
      <c r="N50" s="21" t="str">
        <f aca="false">IF($B50="","",IF($G50=0,"Chưa có đơn",IF(COUNTIFS('DỮ LIỆU'!$C$3:$C$1052,$B50,'DỮ LIỆU'!$K$3:$K$1052,"&gt;0")&gt;0,"Có lấy VAT","Không lấy VAT")))</f>
        <v>Không lấy VAT</v>
      </c>
    </row>
    <row r="51" customFormat="false" ht="15" hidden="false" customHeight="false" outlineLevel="0" collapsed="false">
      <c r="A51" s="21" t="n">
        <f aca="false">IF($B51="","",46)</f>
        <v>46</v>
      </c>
      <c r="B51" s="21" t="str">
        <f aca="false">IFERROR(INDEX('DỮ LIỆU'!$C$3:$C$1052,MATCH(46,'DỮ LIỆU'!$W$3:$W$1052,0)),"")</f>
        <v>BGB - ANH TÀI 100G HT</v>
      </c>
      <c r="C51" s="21" t="str">
        <f aca="false">IF($B51="","",IFERROR(IF(INDEX('DỮ LIỆU'!$D$3:$D$1052,MATCH($B51,'DỮ LIỆU'!$C$3:$C$1052,0))="","",INDEX('DỮ LIỆU'!$D$3:$D$1052,MATCH($B51,'DỮ LIỆU'!$C$3:$C$1052,0))),""))</f>
        <v>0368349339</v>
      </c>
      <c r="D51" s="21" t="str">
        <f aca="false">IF($B51="","",IFERROR(IF(INDEX('DỮ LIỆU'!$E$3:$E$1052,MATCH($B51,'DỮ LIỆU'!$C$3:$C$1052,0))="","",INDEX('DỮ LIỆU'!$E$3:$E$1052,MATCH($B51,'DỮ LIỆU'!$C$3:$C$1052,0))),""))</f>
        <v/>
      </c>
      <c r="E51" s="21" t="str">
        <f aca="false">IF($B51="","",IFERROR(IF(INDEX('DỮ LIỆU'!$F$3:$F$1052,MATCH($B51,'DỮ LIỆU'!$C$3:$C$1052,0))="","",INDEX('DỮ LIỆU'!$F$3:$F$1052,MATCH($B51,'DỮ LIỆU'!$C$3:$C$1052,0))),""))</f>
        <v/>
      </c>
      <c r="F51" s="21" t="str">
        <f aca="false">IF($B51="","",IFERROR(IF(INDEX('DỮ LIỆU'!$G$3:$G$1052,MATCH($B51,'DỮ LIỆU'!$C$3:$C$1052,0))="","",INDEX('DỮ LIỆU'!$G$3:$G$1052,MATCH($B51,'DỮ LIỆU'!$C$3:$C$1052,0))),""))</f>
        <v>B-TT9-2, KĐT Him Lam, Vạn Phúc. Hà Đông, Hà Nội.</v>
      </c>
      <c r="G51" s="13" t="n">
        <f aca="false">IF($B51="","",COUNTIFS('DỮ LIỆU'!$C$3:$C$1052,$B51,'DỮ LIỆU'!$J$3:$J$1052,"&gt;0"))</f>
        <v>1</v>
      </c>
      <c r="H51" s="13" t="n">
        <f aca="false">IF($B51="","",SUMIF('DỮ LIỆU'!$C$3:$C$1052,$B51,'DỮ LIỆU'!$J$3:$J$1052))</f>
        <v>5500000</v>
      </c>
      <c r="I51" s="13" t="n">
        <f aca="false">IF($B51="","",SUMIF('DỮ LIỆU'!$C$3:$C$1052,$B51,'DỮ LIỆU'!$M$3:$M$1052))</f>
        <v>5500000</v>
      </c>
      <c r="J51" s="13" t="n">
        <f aca="false">IF($B51="","",SUMIF('DỮ LIỆU'!$C$3:$C$1052,$B51,'DỮ LIỆU'!$N$3:$N$1052))</f>
        <v>2750000</v>
      </c>
      <c r="K51" s="13" t="n">
        <f aca="false">IF($B51="","",SUMIF('DỮ LIỆU'!$C$3:$C$1052,$B51,'DỮ LIỆU'!$O$3:$O$1052))</f>
        <v>2750000</v>
      </c>
      <c r="L51" s="13" t="n">
        <f aca="false">IF($B51="","",SUMIF('DỮ LIỆU'!$C$3:$C$1052,$B51,'DỮ LIỆU'!$Q$3:$Q$1052))</f>
        <v>0</v>
      </c>
      <c r="M51" s="41" t="n">
        <f aca="false">IF($B51="","",IF(SUMPRODUCT(MAX(('DỮ LIỆU'!$C$3:$C$1052=$B51)*'DỮ LIỆU'!$Z$3:$Z$1052))=0,"",SUMPRODUCT(MAX(('DỮ LIỆU'!$C$3:$C$1052=$B51)*'DỮ LIỆU'!$Z$3:$Z$1052))))</f>
        <v>46228</v>
      </c>
      <c r="N51" s="21" t="str">
        <f aca="false">IF($B51="","",IF($G51=0,"Chưa có đơn",IF(COUNTIFS('DỮ LIỆU'!$C$3:$C$1052,$B51,'DỮ LIỆU'!$K$3:$K$1052,"&gt;0")&gt;0,"Có lấy VAT","Không lấy VAT")))</f>
        <v>Không lấy VAT</v>
      </c>
    </row>
    <row r="52" customFormat="false" ht="15" hidden="false" customHeight="false" outlineLevel="0" collapsed="false">
      <c r="A52" s="21" t="n">
        <f aca="false">IF($B52="","",47)</f>
        <v>47</v>
      </c>
      <c r="B52" s="21" t="str">
        <f aca="false">IFERROR(INDEX('DỮ LIỆU'!$C$3:$C$1052,MATCH(47,'DỮ LIỆU'!$W$3:$W$1052,0)),"")</f>
        <v>BGB - CÔNG HIỀN TOUR 20G ĐỦ LOẠI</v>
      </c>
      <c r="C52" s="21" t="str">
        <f aca="false">IF($B52="","",IFERROR(IF(INDEX('DỮ LIỆU'!$D$3:$D$1052,MATCH($B52,'DỮ LIỆU'!$C$3:$C$1052,0))="","",INDEX('DỮ LIỆU'!$D$3:$D$1052,MATCH($B52,'DỮ LIỆU'!$C$3:$C$1052,0))),""))</f>
        <v>0984008644</v>
      </c>
      <c r="D52" s="21" t="str">
        <f aca="false">IF($B52="","",IFERROR(IF(INDEX('DỮ LIỆU'!$E$3:$E$1052,MATCH($B52,'DỮ LIỆU'!$C$3:$C$1052,0))="","",INDEX('DỮ LIỆU'!$E$3:$E$1052,MATCH($B52,'DỮ LIỆU'!$C$3:$C$1052,0))),""))</f>
        <v/>
      </c>
      <c r="E52" s="21" t="str">
        <f aca="false">IF($B52="","",IFERROR(IF(INDEX('DỮ LIỆU'!$F$3:$F$1052,MATCH($B52,'DỮ LIỆU'!$C$3:$C$1052,0))="","",INDEX('DỮ LIỆU'!$F$3:$F$1052,MATCH($B52,'DỮ LIỆU'!$C$3:$C$1052,0))),""))</f>
        <v/>
      </c>
      <c r="F52" s="21" t="str">
        <f aca="false">IF($B52="","",IFERROR(IF(INDEX('DỮ LIỆU'!$G$3:$G$1052,MATCH($B52,'DỮ LIỆU'!$C$3:$C$1052,0))="","",INDEX('DỮ LIỆU'!$G$3:$G$1052,MATCH($B52,'DỮ LIỆU'!$C$3:$C$1052,0))),""))</f>
        <v>đội xe văn phòng cty cổ phần than hà tu phường hà tu tp hạ long tỉnh quảng ninh</v>
      </c>
      <c r="G52" s="13" t="n">
        <f aca="false">IF($B52="","",COUNTIFS('DỮ LIỆU'!$C$3:$C$1052,$B52,'DỮ LIỆU'!$J$3:$J$1052,"&gt;0"))</f>
        <v>1</v>
      </c>
      <c r="H52" s="13" t="n">
        <f aca="false">IF($B52="","",SUMIF('DỮ LIỆU'!$C$3:$C$1052,$B52,'DỮ LIỆU'!$J$3:$J$1052))</f>
        <v>1100000</v>
      </c>
      <c r="I52" s="13" t="n">
        <f aca="false">IF($B52="","",SUMIF('DỮ LIỆU'!$C$3:$C$1052,$B52,'DỮ LIỆU'!$M$3:$M$1052))</f>
        <v>1100000</v>
      </c>
      <c r="J52" s="13" t="n">
        <f aca="false">IF($B52="","",SUMIF('DỮ LIỆU'!$C$3:$C$1052,$B52,'DỮ LIỆU'!$N$3:$N$1052))</f>
        <v>1100000</v>
      </c>
      <c r="K52" s="13" t="n">
        <f aca="false">IF($B52="","",SUMIF('DỮ LIỆU'!$C$3:$C$1052,$B52,'DỮ LIỆU'!$O$3:$O$1052))</f>
        <v>0</v>
      </c>
      <c r="L52" s="13" t="n">
        <f aca="false">IF($B52="","",SUMIF('DỮ LIỆU'!$C$3:$C$1052,$B52,'DỮ LIỆU'!$Q$3:$Q$1052))</f>
        <v>0</v>
      </c>
      <c r="M52" s="41" t="n">
        <f aca="false">IF($B52="","",IF(SUMPRODUCT(MAX(('DỮ LIỆU'!$C$3:$C$1052=$B52)*'DỮ LIỆU'!$Z$3:$Z$1052))=0,"",SUMPRODUCT(MAX(('DỮ LIỆU'!$C$3:$C$1052=$B52)*'DỮ LIỆU'!$Z$3:$Z$1052))))</f>
        <v>46230</v>
      </c>
      <c r="N52" s="21" t="str">
        <f aca="false">IF($B52="","",IF($G52=0,"Chưa có đơn",IF(COUNTIFS('DỮ LIỆU'!$C$3:$C$1052,$B52,'DỮ LIỆU'!$K$3:$K$1052,"&gt;0")&gt;0,"Có lấy VAT","Không lấy VAT")))</f>
        <v>Không lấy VAT</v>
      </c>
    </row>
    <row r="53" customFormat="false" ht="15" hidden="false" customHeight="false" outlineLevel="0" collapsed="false">
      <c r="A53" s="21" t="n">
        <f aca="false">IF($B53="","",48)</f>
        <v>48</v>
      </c>
      <c r="B53" s="21" t="str">
        <f aca="false">IFERROR(INDEX('DỮ LIỆU'!$C$3:$C$1052,MATCH(48,'DỮ LIỆU'!$W$3:$W$1052,0)),"")</f>
        <v>BGB - HẠ LONG 50G</v>
      </c>
      <c r="C53" s="21" t="str">
        <f aca="false">IF($B53="","",IFERROR(IF(INDEX('DỮ LIỆU'!$D$3:$D$1052,MATCH($B53,'DỮ LIỆU'!$C$3:$C$1052,0))="","",INDEX('DỮ LIỆU'!$D$3:$D$1052,MATCH($B53,'DỮ LIỆU'!$C$3:$C$1052,0))),""))</f>
        <v>0376290595</v>
      </c>
      <c r="D53" s="21" t="str">
        <f aca="false">IF($B53="","",IFERROR(IF(INDEX('DỮ LIỆU'!$E$3:$E$1052,MATCH($B53,'DỮ LIỆU'!$C$3:$C$1052,0))="","",INDEX('DỮ LIỆU'!$E$3:$E$1052,MATCH($B53,'DỮ LIỆU'!$C$3:$C$1052,0))),""))</f>
        <v/>
      </c>
      <c r="E53" s="21" t="str">
        <f aca="false">IF($B53="","",IFERROR(IF(INDEX('DỮ LIỆU'!$F$3:$F$1052,MATCH($B53,'DỮ LIỆU'!$C$3:$C$1052,0))="","",INDEX('DỮ LIỆU'!$F$3:$F$1052,MATCH($B53,'DỮ LIỆU'!$C$3:$C$1052,0))),""))</f>
        <v/>
      </c>
      <c r="F53" s="21" t="str">
        <f aca="false">IF($B53="","",IFERROR(IF(INDEX('DỮ LIỆU'!$G$3:$G$1052,MATCH($B53,'DỮ LIỆU'!$C$3:$C$1052,0))="","",INDEX('DỮ LIỆU'!$G$3:$G$1052,MATCH($B53,'DỮ LIỆU'!$C$3:$C$1052,0))),""))</f>
        <v>lô k8. Tổ 5. Khu 7. Bãi cháy. Hạ Long . QN</v>
      </c>
      <c r="G53" s="13" t="n">
        <f aca="false">IF($B53="","",COUNTIFS('DỮ LIỆU'!$C$3:$C$1052,$B53,'DỮ LIỆU'!$J$3:$J$1052,"&gt;0"))</f>
        <v>1</v>
      </c>
      <c r="H53" s="13" t="n">
        <f aca="false">IF($B53="","",SUMIF('DỮ LIỆU'!$C$3:$C$1052,$B53,'DỮ LIỆU'!$J$3:$J$1052))</f>
        <v>2600000</v>
      </c>
      <c r="I53" s="13" t="n">
        <f aca="false">IF($B53="","",SUMIF('DỮ LIỆU'!$C$3:$C$1052,$B53,'DỮ LIỆU'!$M$3:$M$1052))</f>
        <v>2600000</v>
      </c>
      <c r="J53" s="13" t="n">
        <f aca="false">IF($B53="","",SUMIF('DỮ LIỆU'!$C$3:$C$1052,$B53,'DỮ LIỆU'!$N$3:$N$1052))</f>
        <v>1300000</v>
      </c>
      <c r="K53" s="13" t="n">
        <f aca="false">IF($B53="","",SUMIF('DỮ LIỆU'!$C$3:$C$1052,$B53,'DỮ LIỆU'!$O$3:$O$1052))</f>
        <v>1300000</v>
      </c>
      <c r="L53" s="13" t="n">
        <f aca="false">IF($B53="","",SUMIF('DỮ LIỆU'!$C$3:$C$1052,$B53,'DỮ LIỆU'!$Q$3:$Q$1052))</f>
        <v>0</v>
      </c>
      <c r="M53" s="41" t="n">
        <f aca="false">IF($B53="","",IF(SUMPRODUCT(MAX(('DỮ LIỆU'!$C$3:$C$1052=$B53)*'DỮ LIỆU'!$Z$3:$Z$1052))=0,"",SUMPRODUCT(MAX(('DỮ LIỆU'!$C$3:$C$1052=$B53)*'DỮ LIỆU'!$Z$3:$Z$1052))))</f>
        <v>46230</v>
      </c>
      <c r="N53" s="21" t="str">
        <f aca="false">IF($B53="","",IF($G53=0,"Chưa có đơn",IF(COUNTIFS('DỮ LIỆU'!$C$3:$C$1052,$B53,'DỮ LIỆU'!$K$3:$K$1052,"&gt;0")&gt;0,"Có lấy VAT","Không lấy VAT")))</f>
        <v>Không lấy VAT</v>
      </c>
    </row>
    <row r="54" customFormat="false" ht="15" hidden="false" customHeight="false" outlineLevel="0" collapsed="false">
      <c r="A54" s="21" t="n">
        <f aca="false">IF($B54="","",49)</f>
        <v>49</v>
      </c>
      <c r="B54" s="21" t="str">
        <f aca="false">IFERROR(INDEX('DỮ LIỆU'!$C$3:$C$1052,MATCH(49,'DỮ LIỆU'!$W$3:$W$1052,0)),"")</f>
        <v>BGB - GẤU BÔNG RUTA THÁI BÌNH 100G</v>
      </c>
      <c r="C54" s="21" t="str">
        <f aca="false">IF($B54="","",IFERROR(IF(INDEX('DỮ LIỆU'!$D$3:$D$1052,MATCH($B54,'DỮ LIỆU'!$C$3:$C$1052,0))="","",INDEX('DỮ LIỆU'!$D$3:$D$1052,MATCH($B54,'DỮ LIỆU'!$C$3:$C$1052,0))),""))</f>
        <v>0947930930</v>
      </c>
      <c r="D54" s="21" t="str">
        <f aca="false">IF($B54="","",IFERROR(IF(INDEX('DỮ LIỆU'!$E$3:$E$1052,MATCH($B54,'DỮ LIỆU'!$C$3:$C$1052,0))="","",INDEX('DỮ LIỆU'!$E$3:$E$1052,MATCH($B54,'DỮ LIỆU'!$C$3:$C$1052,0))),""))</f>
        <v/>
      </c>
      <c r="E54" s="21" t="str">
        <f aca="false">IF($B54="","",IFERROR(IF(INDEX('DỮ LIỆU'!$F$3:$F$1052,MATCH($B54,'DỮ LIỆU'!$C$3:$C$1052,0))="","",INDEX('DỮ LIỆU'!$F$3:$F$1052,MATCH($B54,'DỮ LIỆU'!$C$3:$C$1052,0))),""))</f>
        <v/>
      </c>
      <c r="F54" s="21" t="str">
        <f aca="false">IF($B54="","",IFERROR(IF(INDEX('DỮ LIỆU'!$G$3:$G$1052,MATCH($B54,'DỮ LIỆU'!$C$3:$C$1052,0))="","",INDEX('DỮ LIỆU'!$G$3:$G$1052,MATCH($B54,'DỮ LIỆU'!$C$3:$C$1052,0))),""))</f>
        <v>20 Chu Văn An - thành phố thái bình</v>
      </c>
      <c r="G54" s="13" t="n">
        <f aca="false">IF($B54="","",COUNTIFS('DỮ LIỆU'!$C$3:$C$1052,$B54,'DỮ LIỆU'!$J$3:$J$1052,"&gt;0"))</f>
        <v>1</v>
      </c>
      <c r="H54" s="13" t="n">
        <f aca="false">IF($B54="","",SUMIF('DỮ LIỆU'!$C$3:$C$1052,$B54,'DỮ LIỆU'!$J$3:$J$1052))</f>
        <v>4700000</v>
      </c>
      <c r="I54" s="13" t="n">
        <f aca="false">IF($B54="","",SUMIF('DỮ LIỆU'!$C$3:$C$1052,$B54,'DỮ LIỆU'!$M$3:$M$1052))</f>
        <v>4700000</v>
      </c>
      <c r="J54" s="13" t="n">
        <f aca="false">IF($B54="","",SUMIF('DỮ LIỆU'!$C$3:$C$1052,$B54,'DỮ LIỆU'!$N$3:$N$1052))</f>
        <v>4700000</v>
      </c>
      <c r="K54" s="13" t="n">
        <f aca="false">IF($B54="","",SUMIF('DỮ LIỆU'!$C$3:$C$1052,$B54,'DỮ LIỆU'!$O$3:$O$1052))</f>
        <v>0</v>
      </c>
      <c r="L54" s="13" t="n">
        <f aca="false">IF($B54="","",SUMIF('DỮ LIỆU'!$C$3:$C$1052,$B54,'DỮ LIỆU'!$Q$3:$Q$1052))</f>
        <v>0</v>
      </c>
      <c r="M54" s="41" t="n">
        <f aca="false">IF($B54="","",IF(SUMPRODUCT(MAX(('DỮ LIỆU'!$C$3:$C$1052=$B54)*'DỮ LIỆU'!$Z$3:$Z$1052))=0,"",SUMPRODUCT(MAX(('DỮ LIỆU'!$C$3:$C$1052=$B54)*'DỮ LIỆU'!$Z$3:$Z$1052))))</f>
        <v>46230</v>
      </c>
      <c r="N54" s="21" t="str">
        <f aca="false">IF($B54="","",IF($G54=0,"Chưa có đơn",IF(COUNTIFS('DỮ LIỆU'!$C$3:$C$1052,$B54,'DỮ LIỆU'!$K$3:$K$1052,"&gt;0")&gt;0,"Có lấy VAT","Không lấy VAT")))</f>
        <v>Không lấy VAT</v>
      </c>
    </row>
    <row r="55" customFormat="false" ht="15" hidden="false" customHeight="false" outlineLevel="0" collapsed="false">
      <c r="A55" s="21" t="n">
        <f aca="false">IF($B55="","",50)</f>
        <v>50</v>
      </c>
      <c r="B55" s="21" t="str">
        <f aca="false">IFERROR(INDEX('DỮ LIỆU'!$C$3:$C$1052,MATCH(50,'DỮ LIỆU'!$W$3:$W$1052,0)),"")</f>
        <v>BGB - MK DTTH 50C</v>
      </c>
      <c r="C55" s="21" t="str">
        <f aca="false">IF($B55="","",IFERROR(IF(INDEX('DỮ LIỆU'!$D$3:$D$1052,MATCH($B55,'DỮ LIỆU'!$C$3:$C$1052,0))="","",INDEX('DỮ LIỆU'!$D$3:$D$1052,MATCH($B55,'DỮ LIỆU'!$C$3:$C$1052,0))),""))</f>
        <v>0388376911</v>
      </c>
      <c r="D55" s="21" t="str">
        <f aca="false">IF($B55="","",IFERROR(IF(INDEX('DỮ LIỆU'!$E$3:$E$1052,MATCH($B55,'DỮ LIỆU'!$C$3:$C$1052,0))="","",INDEX('DỮ LIỆU'!$E$3:$E$1052,MATCH($B55,'DỮ LIỆU'!$C$3:$C$1052,0))),""))</f>
        <v/>
      </c>
      <c r="E55" s="21" t="str">
        <f aca="false">IF($B55="","",IFERROR(IF(INDEX('DỮ LIỆU'!$F$3:$F$1052,MATCH($B55,'DỮ LIỆU'!$C$3:$C$1052,0))="","",INDEX('DỮ LIỆU'!$F$3:$F$1052,MATCH($B55,'DỮ LIỆU'!$C$3:$C$1052,0))),""))</f>
        <v/>
      </c>
      <c r="F55" s="21" t="str">
        <f aca="false">IF($B55="","",IFERROR(IF(INDEX('DỮ LIỆU'!$G$3:$G$1052,MATCH($B55,'DỮ LIỆU'!$C$3:$C$1052,0))="","",INDEX('DỮ LIỆU'!$G$3:$G$1052,MATCH($B55,'DỮ LIỆU'!$C$3:$C$1052,0))),""))</f>
        <v>124/3 đường Long Thuận phường Long Phước Q9, Tp Thủ Đức</v>
      </c>
      <c r="G55" s="13" t="n">
        <f aca="false">IF($B55="","",COUNTIFS('DỮ LIỆU'!$C$3:$C$1052,$B55,'DỮ LIỆU'!$J$3:$J$1052,"&gt;0"))</f>
        <v>1</v>
      </c>
      <c r="H55" s="13" t="n">
        <f aca="false">IF($B55="","",SUMIF('DỮ LIỆU'!$C$3:$C$1052,$B55,'DỮ LIỆU'!$J$3:$J$1052))</f>
        <v>1500000</v>
      </c>
      <c r="I55" s="13" t="n">
        <f aca="false">IF($B55="","",SUMIF('DỮ LIỆU'!$C$3:$C$1052,$B55,'DỮ LIỆU'!$M$3:$M$1052))</f>
        <v>1500000</v>
      </c>
      <c r="J55" s="13" t="n">
        <f aca="false">IF($B55="","",SUMIF('DỮ LIỆU'!$C$3:$C$1052,$B55,'DỮ LIỆU'!$N$3:$N$1052))</f>
        <v>750000</v>
      </c>
      <c r="K55" s="13" t="n">
        <f aca="false">IF($B55="","",SUMIF('DỮ LIỆU'!$C$3:$C$1052,$B55,'DỮ LIỆU'!$O$3:$O$1052))</f>
        <v>750000</v>
      </c>
      <c r="L55" s="13" t="n">
        <f aca="false">IF($B55="","",SUMIF('DỮ LIỆU'!$C$3:$C$1052,$B55,'DỮ LIỆU'!$Q$3:$Q$1052))</f>
        <v>0</v>
      </c>
      <c r="M55" s="41" t="n">
        <f aca="false">IF($B55="","",IF(SUMPRODUCT(MAX(('DỮ LIỆU'!$C$3:$C$1052=$B55)*'DỮ LIỆU'!$Z$3:$Z$1052))=0,"",SUMPRODUCT(MAX(('DỮ LIỆU'!$C$3:$C$1052=$B55)*'DỮ LIỆU'!$Z$3:$Z$1052))))</f>
        <v>46230</v>
      </c>
      <c r="N55" s="21" t="str">
        <f aca="false">IF($B55="","",IF($G55=0,"Chưa có đơn",IF(COUNTIFS('DỮ LIỆU'!$C$3:$C$1052,$B55,'DỮ LIỆU'!$K$3:$K$1052,"&gt;0")&gt;0,"Có lấy VAT","Không lấy VAT")))</f>
        <v>Không lấy VAT</v>
      </c>
    </row>
    <row r="56" customFormat="false" ht="15" hidden="false" customHeight="false" outlineLevel="0" collapsed="false">
      <c r="A56" s="21" t="n">
        <f aca="false">IF($B56="","",51)</f>
        <v>51</v>
      </c>
      <c r="B56" s="21" t="str">
        <f aca="false">IFERROR(INDEX('DỮ LIỆU'!$C$3:$C$1052,MATCH(51,'DỮ LIỆU'!$W$3:$W$1052,0)),"")</f>
        <v>BGB - THIÊN LONG BĐS 100G</v>
      </c>
      <c r="C56" s="21" t="str">
        <f aca="false">IF($B56="","",IFERROR(IF(INDEX('DỮ LIỆU'!$D$3:$D$1052,MATCH($B56,'DỮ LIỆU'!$C$3:$C$1052,0))="","",INDEX('DỮ LIỆU'!$D$3:$D$1052,MATCH($B56,'DỮ LIỆU'!$C$3:$C$1052,0))),""))</f>
        <v>0878202959</v>
      </c>
      <c r="D56" s="21" t="str">
        <f aca="false">IF($B56="","",IFERROR(IF(INDEX('DỮ LIỆU'!$E$3:$E$1052,MATCH($B56,'DỮ LIỆU'!$C$3:$C$1052,0))="","",INDEX('DỮ LIỆU'!$E$3:$E$1052,MATCH($B56,'DỮ LIỆU'!$C$3:$C$1052,0))),""))</f>
        <v/>
      </c>
      <c r="E56" s="21" t="str">
        <f aca="false">IF($B56="","",IFERROR(IF(INDEX('DỮ LIỆU'!$F$3:$F$1052,MATCH($B56,'DỮ LIỆU'!$C$3:$C$1052,0))="","",INDEX('DỮ LIỆU'!$F$3:$F$1052,MATCH($B56,'DỮ LIỆU'!$C$3:$C$1052,0))),""))</f>
        <v/>
      </c>
      <c r="F56" s="21" t="str">
        <f aca="false">IF($B56="","",IFERROR(IF(INDEX('DỮ LIỆU'!$G$3:$G$1052,MATCH($B56,'DỮ LIỆU'!$C$3:$C$1052,0))="","",INDEX('DỮ LIỆU'!$G$3:$G$1052,MATCH($B56,'DỮ LIỆU'!$C$3:$C$1052,0))),""))</f>
        <v>Nam Việt Group - Số 55 Vũ Tông Phan, Phường Bình Trưng, HCM</v>
      </c>
      <c r="G56" s="13" t="n">
        <f aca="false">IF($B56="","",COUNTIFS('DỮ LIỆU'!$C$3:$C$1052,$B56,'DỮ LIỆU'!$J$3:$J$1052,"&gt;0"))</f>
        <v>1</v>
      </c>
      <c r="H56" s="13" t="n">
        <f aca="false">IF($B56="","",SUMIF('DỮ LIỆU'!$C$3:$C$1052,$B56,'DỮ LIỆU'!$J$3:$J$1052))</f>
        <v>4800000</v>
      </c>
      <c r="I56" s="13" t="n">
        <f aca="false">IF($B56="","",SUMIF('DỮ LIỆU'!$C$3:$C$1052,$B56,'DỮ LIỆU'!$M$3:$M$1052))</f>
        <v>4800000</v>
      </c>
      <c r="J56" s="13" t="n">
        <f aca="false">IF($B56="","",SUMIF('DỮ LIỆU'!$C$3:$C$1052,$B56,'DỮ LIỆU'!$N$3:$N$1052))</f>
        <v>2400000</v>
      </c>
      <c r="K56" s="13" t="n">
        <f aca="false">IF($B56="","",SUMIF('DỮ LIỆU'!$C$3:$C$1052,$B56,'DỮ LIỆU'!$O$3:$O$1052))</f>
        <v>2400000</v>
      </c>
      <c r="L56" s="13" t="n">
        <f aca="false">IF($B56="","",SUMIF('DỮ LIỆU'!$C$3:$C$1052,$B56,'DỮ LIỆU'!$Q$3:$Q$1052))</f>
        <v>0</v>
      </c>
      <c r="M56" s="41" t="n">
        <f aca="false">IF($B56="","",IF(SUMPRODUCT(MAX(('DỮ LIỆU'!$C$3:$C$1052=$B56)*'DỮ LIỆU'!$Z$3:$Z$1052))=0,"",SUMPRODUCT(MAX(('DỮ LIỆU'!$C$3:$C$1052=$B56)*'DỮ LIỆU'!$Z$3:$Z$1052))))</f>
        <v>46231</v>
      </c>
      <c r="N56" s="21" t="str">
        <f aca="false">IF($B56="","",IF($G56=0,"Chưa có đơn",IF(COUNTIFS('DỮ LIỆU'!$C$3:$C$1052,$B56,'DỮ LIỆU'!$K$3:$K$1052,"&gt;0")&gt;0,"Có lấy VAT","Không lấy VAT")))</f>
        <v>Không lấy VAT</v>
      </c>
    </row>
    <row r="57" customFormat="false" ht="15" hidden="false" customHeight="false" outlineLevel="0" collapsed="false">
      <c r="A57" s="21" t="n">
        <f aca="false">IF($B57="","",52)</f>
        <v>52</v>
      </c>
      <c r="B57" s="21" t="str">
        <f aca="false">IFERROR(INDEX('DỮ LIỆU'!$C$3:$C$1052,MATCH(52,'DỮ LIỆU'!$W$3:$W$1052,0)),"")</f>
        <v>anh Tuyên</v>
      </c>
      <c r="C57" s="21" t="str">
        <f aca="false">IF($B57="","",IFERROR(IF(INDEX('DỮ LIỆU'!$D$3:$D$1052,MATCH($B57,'DỮ LIỆU'!$C$3:$C$1052,0))="","",INDEX('DỮ LIỆU'!$D$3:$D$1052,MATCH($B57,'DỮ LIỆU'!$C$3:$C$1052,0))),""))</f>
        <v>0987323121</v>
      </c>
      <c r="D57" s="21" t="str">
        <f aca="false">IF($B57="","",IFERROR(IF(INDEX('DỮ LIỆU'!$E$3:$E$1052,MATCH($B57,'DỮ LIỆU'!$C$3:$C$1052,0))="","",INDEX('DỮ LIỆU'!$E$3:$E$1052,MATCH($B57,'DỮ LIỆU'!$C$3:$C$1052,0))),""))</f>
        <v/>
      </c>
      <c r="E57" s="21" t="str">
        <f aca="false">IF($B57="","",IFERROR(IF(INDEX('DỮ LIỆU'!$F$3:$F$1052,MATCH($B57,'DỮ LIỆU'!$C$3:$C$1052,0))="","",INDEX('DỮ LIỆU'!$F$3:$F$1052,MATCH($B57,'DỮ LIỆU'!$C$3:$C$1052,0))),""))</f>
        <v/>
      </c>
      <c r="F57" s="21" t="str">
        <f aca="false">IF($B57="","",IFERROR(IF(INDEX('DỮ LIỆU'!$G$3:$G$1052,MATCH($B57,'DỮ LIỆU'!$C$3:$C$1052,0))="","",INDEX('DỮ LIỆU'!$G$3:$G$1052,MATCH($B57,'DỮ LIỆU'!$C$3:$C$1052,0))),""))</f>
        <v>Nhà văn hóa xóm Diễn , xã tân đức , phú bình , thái nguyên</v>
      </c>
      <c r="G57" s="13" t="n">
        <f aca="false">IF($B57="","",COUNTIFS('DỮ LIỆU'!$C$3:$C$1052,$B57,'DỮ LIỆU'!$J$3:$J$1052,"&gt;0"))</f>
        <v>1</v>
      </c>
      <c r="H57" s="13" t="n">
        <f aca="false">IF($B57="","",SUMIF('DỮ LIỆU'!$C$3:$C$1052,$B57,'DỮ LIỆU'!$J$3:$J$1052))</f>
        <v>140000</v>
      </c>
      <c r="I57" s="13" t="n">
        <f aca="false">IF($B57="","",SUMIF('DỮ LIỆU'!$C$3:$C$1052,$B57,'DỮ LIỆU'!$M$3:$M$1052))</f>
        <v>140000</v>
      </c>
      <c r="J57" s="13" t="n">
        <f aca="false">IF($B57="","",SUMIF('DỮ LIỆU'!$C$3:$C$1052,$B57,'DỮ LIỆU'!$N$3:$N$1052))</f>
        <v>0</v>
      </c>
      <c r="K57" s="13" t="n">
        <f aca="false">IF($B57="","",SUMIF('DỮ LIỆU'!$C$3:$C$1052,$B57,'DỮ LIỆU'!$O$3:$O$1052))</f>
        <v>140000</v>
      </c>
      <c r="L57" s="13" t="n">
        <f aca="false">IF($B57="","",SUMIF('DỮ LIỆU'!$C$3:$C$1052,$B57,'DỮ LIỆU'!$Q$3:$Q$1052))</f>
        <v>0</v>
      </c>
      <c r="M57" s="41" t="n">
        <f aca="false">IF($B57="","",IF(SUMPRODUCT(MAX(('DỮ LIỆU'!$C$3:$C$1052=$B57)*'DỮ LIỆU'!$Z$3:$Z$1052))=0,"",SUMPRODUCT(MAX(('DỮ LIỆU'!$C$3:$C$1052=$B57)*'DỮ LIỆU'!$Z$3:$Z$1052))))</f>
        <v>46231</v>
      </c>
      <c r="N57" s="21" t="str">
        <f aca="false">IF($B57="","",IF($G57=0,"Chưa có đơn",IF(COUNTIFS('DỮ LIỆU'!$C$3:$C$1052,$B57,'DỮ LIỆU'!$K$3:$K$1052,"&gt;0")&gt;0,"Có lấy VAT","Không lấy VAT")))</f>
        <v>Không lấy VAT</v>
      </c>
    </row>
    <row r="58" customFormat="false" ht="15" hidden="false" customHeight="false" outlineLevel="0" collapsed="false">
      <c r="A58" s="21" t="n">
        <f aca="false">IF($B58="","",53)</f>
        <v>53</v>
      </c>
      <c r="B58" s="21" t="str">
        <f aca="false">IFERROR(INDEX('DỮ LIỆU'!$C$3:$C$1052,MATCH(53,'DỮ LIỆU'!$W$3:$W$1052,0)),"")</f>
        <v>anh Tomsong</v>
      </c>
      <c r="C58" s="21" t="str">
        <f aca="false">IF($B58="","",IFERROR(IF(INDEX('DỮ LIỆU'!$D$3:$D$1052,MATCH($B58,'DỮ LIỆU'!$C$3:$C$1052,0))="","",INDEX('DỮ LIỆU'!$D$3:$D$1052,MATCH($B58,'DỮ LIỆU'!$C$3:$C$1052,0))),""))</f>
        <v>0326397762</v>
      </c>
      <c r="D58" s="21" t="str">
        <f aca="false">IF($B58="","",IFERROR(IF(INDEX('DỮ LIỆU'!$E$3:$E$1052,MATCH($B58,'DỮ LIỆU'!$C$3:$C$1052,0))="","",INDEX('DỮ LIỆU'!$E$3:$E$1052,MATCH($B58,'DỮ LIỆU'!$C$3:$C$1052,0))),""))</f>
        <v/>
      </c>
      <c r="E58" s="21" t="str">
        <f aca="false">IF($B58="","",IFERROR(IF(INDEX('DỮ LIỆU'!$F$3:$F$1052,MATCH($B58,'DỮ LIỆU'!$C$3:$C$1052,0))="","",INDEX('DỮ LIỆU'!$F$3:$F$1052,MATCH($B58,'DỮ LIỆU'!$C$3:$C$1052,0))),""))</f>
        <v/>
      </c>
      <c r="F58" s="21" t="str">
        <f aca="false">IF($B58="","",IFERROR(IF(INDEX('DỮ LIỆU'!$G$3:$G$1052,MATCH($B58,'DỮ LIỆU'!$C$3:$C$1052,0))="","",INDEX('DỮ LIỆU'!$G$3:$G$1052,MATCH($B58,'DỮ LIỆU'!$C$3:$C$1052,0))),""))</f>
        <v>Giếng Hố, Lệ Thuỷ, Vạn Tường ,Quảng Ngãi</v>
      </c>
      <c r="G58" s="13" t="n">
        <f aca="false">IF($B58="","",COUNTIFS('DỮ LIỆU'!$C$3:$C$1052,$B58,'DỮ LIỆU'!$J$3:$J$1052,"&gt;0"))</f>
        <v>1</v>
      </c>
      <c r="H58" s="13" t="n">
        <f aca="false">IF($B58="","",SUMIF('DỮ LIỆU'!$C$3:$C$1052,$B58,'DỮ LIỆU'!$J$3:$J$1052))</f>
        <v>2750000</v>
      </c>
      <c r="I58" s="13" t="n">
        <f aca="false">IF($B58="","",SUMIF('DỮ LIỆU'!$C$3:$C$1052,$B58,'DỮ LIỆU'!$M$3:$M$1052))</f>
        <v>2750000</v>
      </c>
      <c r="J58" s="13" t="n">
        <f aca="false">IF($B58="","",SUMIF('DỮ LIỆU'!$C$3:$C$1052,$B58,'DỮ LIỆU'!$N$3:$N$1052))</f>
        <v>1375000</v>
      </c>
      <c r="K58" s="13" t="n">
        <f aca="false">IF($B58="","",SUMIF('DỮ LIỆU'!$C$3:$C$1052,$B58,'DỮ LIỆU'!$O$3:$O$1052))</f>
        <v>1375000</v>
      </c>
      <c r="L58" s="13" t="n">
        <f aca="false">IF($B58="","",SUMIF('DỮ LIỆU'!$C$3:$C$1052,$B58,'DỮ LIỆU'!$Q$3:$Q$1052))</f>
        <v>0</v>
      </c>
      <c r="M58" s="41" t="n">
        <f aca="false">IF($B58="","",IF(SUMPRODUCT(MAX(('DỮ LIỆU'!$C$3:$C$1052=$B58)*'DỮ LIỆU'!$Z$3:$Z$1052))=0,"",SUMPRODUCT(MAX(('DỮ LIỆU'!$C$3:$C$1052=$B58)*'DỮ LIỆU'!$Z$3:$Z$1052))))</f>
        <v>46233</v>
      </c>
      <c r="N58" s="21" t="str">
        <f aca="false">IF($B58="","",IF($G58=0,"Chưa có đơn",IF(COUNTIFS('DỮ LIỆU'!$C$3:$C$1052,$B58,'DỮ LIỆU'!$K$3:$K$1052,"&gt;0")&gt;0,"Có lấy VAT","Không lấy VAT")))</f>
        <v>Không lấy VAT</v>
      </c>
    </row>
    <row r="59" customFormat="false" ht="15" hidden="false" customHeight="false" outlineLevel="0" collapsed="false">
      <c r="A59" s="21" t="n">
        <f aca="false">IF($B59="","",54)</f>
        <v>54</v>
      </c>
      <c r="B59" s="21" t="str">
        <f aca="false">IFERROR(INDEX('DỮ LIỆU'!$C$3:$C$1052,MATCH(54,'DỮ LIỆU'!$W$3:$W$1052,0)),"")</f>
        <v>chị Nga Vũ</v>
      </c>
      <c r="C59" s="21" t="str">
        <f aca="false">IF($B59="","",IFERROR(IF(INDEX('DỮ LIỆU'!$D$3:$D$1052,MATCH($B59,'DỮ LIỆU'!$C$3:$C$1052,0))="","",INDEX('DỮ LIỆU'!$D$3:$D$1052,MATCH($B59,'DỮ LIỆU'!$C$3:$C$1052,0))),""))</f>
        <v>0977597222</v>
      </c>
      <c r="D59" s="21" t="str">
        <f aca="false">IF($B59="","",IFERROR(IF(INDEX('DỮ LIỆU'!$E$3:$E$1052,MATCH($B59,'DỮ LIỆU'!$C$3:$C$1052,0))="","",INDEX('DỮ LIỆU'!$E$3:$E$1052,MATCH($B59,'DỮ LIỆU'!$C$3:$C$1052,0))),""))</f>
        <v/>
      </c>
      <c r="E59" s="21" t="str">
        <f aca="false">IF($B59="","",IFERROR(IF(INDEX('DỮ LIỆU'!$F$3:$F$1052,MATCH($B59,'DỮ LIỆU'!$C$3:$C$1052,0))="","",INDEX('DỮ LIỆU'!$F$3:$F$1052,MATCH($B59,'DỮ LIỆU'!$C$3:$C$1052,0))),""))</f>
        <v/>
      </c>
      <c r="F59" s="21" t="str">
        <f aca="false">IF($B59="","",IFERROR(IF(INDEX('DỮ LIỆU'!$G$3:$G$1052,MATCH($B59,'DỮ LIỆU'!$C$3:$C$1052,0))="","",INDEX('DỮ LIỆU'!$G$3:$G$1052,MATCH($B59,'DỮ LIỆU'!$C$3:$C$1052,0))),""))</f>
        <v>H34 khu đấu giá Ngô Thì Nhậm Hà Đông Hà Nội</v>
      </c>
      <c r="G59" s="13" t="n">
        <f aca="false">IF($B59="","",COUNTIFS('DỮ LIỆU'!$C$3:$C$1052,$B59,'DỮ LIỆU'!$J$3:$J$1052,"&gt;0"))</f>
        <v>1</v>
      </c>
      <c r="H59" s="13" t="n">
        <f aca="false">IF($B59="","",SUMIF('DỮ LIỆU'!$C$3:$C$1052,$B59,'DỮ LIỆU'!$J$3:$J$1052))</f>
        <v>9200000</v>
      </c>
      <c r="I59" s="13" t="n">
        <f aca="false">IF($B59="","",SUMIF('DỮ LIỆU'!$C$3:$C$1052,$B59,'DỮ LIỆU'!$M$3:$M$1052))</f>
        <v>9936000</v>
      </c>
      <c r="J59" s="13" t="n">
        <f aca="false">IF($B59="","",SUMIF('DỮ LIỆU'!$C$3:$C$1052,$B59,'DỮ LIỆU'!$N$3:$N$1052))</f>
        <v>4968000</v>
      </c>
      <c r="K59" s="13" t="n">
        <f aca="false">IF($B59="","",SUMIF('DỮ LIỆU'!$C$3:$C$1052,$B59,'DỮ LIỆU'!$O$3:$O$1052))</f>
        <v>4968000</v>
      </c>
      <c r="L59" s="13" t="n">
        <f aca="false">IF($B59="","",SUMIF('DỮ LIỆU'!$C$3:$C$1052,$B59,'DỮ LIỆU'!$Q$3:$Q$1052))</f>
        <v>0</v>
      </c>
      <c r="M59" s="41" t="n">
        <f aca="false">IF($B59="","",IF(SUMPRODUCT(MAX(('DỮ LIỆU'!$C$3:$C$1052=$B59)*'DỮ LIỆU'!$Z$3:$Z$1052))=0,"",SUMPRODUCT(MAX(('DỮ LIỆU'!$C$3:$C$1052=$B59)*'DỮ LIỆU'!$Z$3:$Z$1052))))</f>
        <v>46233</v>
      </c>
      <c r="N59" s="21" t="str">
        <f aca="false">IF($B59="","",IF($G59=0,"Chưa có đơn",IF(COUNTIFS('DỮ LIỆU'!$C$3:$C$1052,$B59,'DỮ LIỆU'!$K$3:$K$1052,"&gt;0")&gt;0,"Có lấy VAT","Không lấy VAT")))</f>
        <v>Có lấy VAT</v>
      </c>
    </row>
    <row r="60" customFormat="false" ht="15" hidden="false" customHeight="false" outlineLevel="0" collapsed="false">
      <c r="A60" s="21" t="n">
        <f aca="false">IF($B60="","",55)</f>
        <v>55</v>
      </c>
      <c r="B60" s="21" t="str">
        <f aca="false">IFERROR(INDEX('DỮ LIỆU'!$C$3:$C$1052,MATCH(55,'DỮ LIỆU'!$W$3:$W$1052,0)),"")</f>
        <v>BGB - Dược Hậu Giang 25G TN</v>
      </c>
      <c r="C60" s="21" t="str">
        <f aca="false">IF($B60="","",IFERROR(IF(INDEX('DỮ LIỆU'!$D$3:$D$1052,MATCH($B60,'DỮ LIỆU'!$C$3:$C$1052,0))="","",INDEX('DỮ LIỆU'!$D$3:$D$1052,MATCH($B60,'DỮ LIỆU'!$C$3:$C$1052,0))),""))</f>
        <v>0973393695</v>
      </c>
      <c r="D60" s="21" t="str">
        <f aca="false">IF($B60="","",IFERROR(IF(INDEX('DỮ LIỆU'!$E$3:$E$1052,MATCH($B60,'DỮ LIỆU'!$C$3:$C$1052,0))="","",INDEX('DỮ LIỆU'!$E$3:$E$1052,MATCH($B60,'DỮ LIỆU'!$C$3:$C$1052,0))),""))</f>
        <v/>
      </c>
      <c r="E60" s="21" t="str">
        <f aca="false">IF($B60="","",IFERROR(IF(INDEX('DỮ LIỆU'!$F$3:$F$1052,MATCH($B60,'DỮ LIỆU'!$C$3:$C$1052,0))="","",INDEX('DỮ LIỆU'!$F$3:$F$1052,MATCH($B60,'DỮ LIỆU'!$C$3:$C$1052,0))),""))</f>
        <v/>
      </c>
      <c r="F60" s="21" t="str">
        <f aca="false">IF($B60="","",IFERROR(IF(INDEX('DỮ LIỆU'!$G$3:$G$1052,MATCH($B60,'DỮ LIỆU'!$C$3:$C$1052,0))="","",INDEX('DỮ LIỆU'!$G$3:$G$1052,MATCH($B60,'DỮ LIỆU'!$C$3:$C$1052,0))),""))</f>
        <v>288 Bis Nguyễn Văn Cừ, P.Cái Khế, TP Cần Thơ</v>
      </c>
      <c r="G60" s="13" t="n">
        <f aca="false">IF($B60="","",COUNTIFS('DỮ LIỆU'!$C$3:$C$1052,$B60,'DỮ LIỆU'!$J$3:$J$1052,"&gt;0"))</f>
        <v>1</v>
      </c>
      <c r="H60" s="13" t="n">
        <f aca="false">IF($B60="","",SUMIF('DỮ LIỆU'!$C$3:$C$1052,$B60,'DỮ LIỆU'!$J$3:$J$1052))</f>
        <v>1500000</v>
      </c>
      <c r="I60" s="13" t="n">
        <f aca="false">IF($B60="","",SUMIF('DỮ LIỆU'!$C$3:$C$1052,$B60,'DỮ LIỆU'!$M$3:$M$1052))</f>
        <v>1620000</v>
      </c>
      <c r="J60" s="13" t="n">
        <f aca="false">IF($B60="","",SUMIF('DỮ LIỆU'!$C$3:$C$1052,$B60,'DỮ LIỆU'!$N$3:$N$1052))</f>
        <v>728000</v>
      </c>
      <c r="K60" s="13" t="n">
        <f aca="false">IF($B60="","",SUMIF('DỮ LIỆU'!$C$3:$C$1052,$B60,'DỮ LIỆU'!$O$3:$O$1052))</f>
        <v>892000</v>
      </c>
      <c r="L60" s="13" t="n">
        <f aca="false">IF($B60="","",SUMIF('DỮ LIỆU'!$C$3:$C$1052,$B60,'DỮ LIỆU'!$Q$3:$Q$1052))</f>
        <v>500000</v>
      </c>
      <c r="M60" s="41" t="n">
        <f aca="false">IF($B60="","",IF(SUMPRODUCT(MAX(('DỮ LIỆU'!$C$3:$C$1052=$B60)*'DỮ LIỆU'!$Z$3:$Z$1052))=0,"",SUMPRODUCT(MAX(('DỮ LIỆU'!$C$3:$C$1052=$B60)*'DỮ LIỆU'!$Z$3:$Z$1052))))</f>
        <v>46234</v>
      </c>
      <c r="N60" s="21" t="str">
        <f aca="false">IF($B60="","",IF($G60=0,"Chưa có đơn",IF(COUNTIFS('DỮ LIỆU'!$C$3:$C$1052,$B60,'DỮ LIỆU'!$K$3:$K$1052,"&gt;0")&gt;0,"Có lấy VAT","Không lấy VAT")))</f>
        <v>Có lấy VAT</v>
      </c>
    </row>
    <row r="61" customFormat="false" ht="15" hidden="false" customHeight="false" outlineLevel="0" collapsed="false">
      <c r="A61" s="21" t="n">
        <f aca="false">IF($B61="","",56)</f>
        <v>56</v>
      </c>
      <c r="B61" s="21" t="str">
        <f aca="false">IFERROR(INDEX('DỮ LIỆU'!$C$3:$C$1052,MATCH(56,'DỮ LIỆU'!$W$3:$W$1052,0)),"")</f>
        <v>Chị Hồng Liên</v>
      </c>
      <c r="C61" s="21" t="str">
        <f aca="false">IF($B61="","",IFERROR(IF(INDEX('DỮ LIỆU'!$D$3:$D$1052,MATCH($B61,'DỮ LIỆU'!$C$3:$C$1052,0))="","",INDEX('DỮ LIỆU'!$D$3:$D$1052,MATCH($B61,'DỮ LIỆU'!$C$3:$C$1052,0))),""))</f>
        <v>0941379111</v>
      </c>
      <c r="D61" s="21" t="str">
        <f aca="false">IF($B61="","",IFERROR(IF(INDEX('DỮ LIỆU'!$E$3:$E$1052,MATCH($B61,'DỮ LIỆU'!$C$3:$C$1052,0))="","",INDEX('DỮ LIỆU'!$E$3:$E$1052,MATCH($B61,'DỮ LIỆU'!$C$3:$C$1052,0))),""))</f>
        <v/>
      </c>
      <c r="E61" s="21" t="str">
        <f aca="false">IF($B61="","",IFERROR(IF(INDEX('DỮ LIỆU'!$F$3:$F$1052,MATCH($B61,'DỮ LIỆU'!$C$3:$C$1052,0))="","",INDEX('DỮ LIỆU'!$F$3:$F$1052,MATCH($B61,'DỮ LIỆU'!$C$3:$C$1052,0))),""))</f>
        <v/>
      </c>
      <c r="F61" s="21" t="str">
        <f aca="false">IF($B61="","",IFERROR(IF(INDEX('DỮ LIỆU'!$G$3:$G$1052,MATCH($B61,'DỮ LIỆU'!$C$3:$C$1052,0))="","",INDEX('DỮ LIỆU'!$G$3:$G$1052,MATCH($B61,'DỮ LIỆU'!$C$3:$C$1052,0))),""))</f>
        <v/>
      </c>
      <c r="G61" s="13" t="n">
        <f aca="false">IF($B61="","",COUNTIFS('DỮ LIỆU'!$C$3:$C$1052,$B61,'DỮ LIỆU'!$J$3:$J$1052,"&gt;0"))</f>
        <v>1</v>
      </c>
      <c r="H61" s="13" t="n">
        <f aca="false">IF($B61="","",SUMIF('DỮ LIỆU'!$C$3:$C$1052,$B61,'DỮ LIỆU'!$J$3:$J$1052))</f>
        <v>2080000</v>
      </c>
      <c r="I61" s="13" t="n">
        <f aca="false">IF($B61="","",SUMIF('DỮ LIỆU'!$C$3:$C$1052,$B61,'DỮ LIỆU'!$M$3:$M$1052))</f>
        <v>2080000</v>
      </c>
      <c r="J61" s="13" t="n">
        <f aca="false">IF($B61="","",SUMIF('DỮ LIỆU'!$C$3:$C$1052,$B61,'DỮ LIỆU'!$N$3:$N$1052))</f>
        <v>1050000</v>
      </c>
      <c r="K61" s="13" t="n">
        <f aca="false">IF($B61="","",SUMIF('DỮ LIỆU'!$C$3:$C$1052,$B61,'DỮ LIỆU'!$O$3:$O$1052))</f>
        <v>1030000</v>
      </c>
      <c r="L61" s="13" t="n">
        <f aca="false">IF($B61="","",SUMIF('DỮ LIỆU'!$C$3:$C$1052,$B61,'DỮ LIỆU'!$Q$3:$Q$1052))</f>
        <v>800000</v>
      </c>
      <c r="M61" s="41" t="n">
        <f aca="false">IF($B61="","",IF(SUMPRODUCT(MAX(('DỮ LIỆU'!$C$3:$C$1052=$B61)*'DỮ LIỆU'!$Z$3:$Z$1052))=0,"",SUMPRODUCT(MAX(('DỮ LIỆU'!$C$3:$C$1052=$B61)*'DỮ LIỆU'!$Z$3:$Z$1052))))</f>
        <v>46235</v>
      </c>
      <c r="N61" s="21" t="str">
        <f aca="false">IF($B61="","",IF($G61=0,"Chưa có đơn",IF(COUNTIFS('DỮ LIỆU'!$C$3:$C$1052,$B61,'DỮ LIỆU'!$K$3:$K$1052,"&gt;0")&gt;0,"Có lấy VAT","Không lấy VAT")))</f>
        <v>Không lấy VAT</v>
      </c>
    </row>
    <row r="62" customFormat="false" ht="15" hidden="false" customHeight="false" outlineLevel="0" collapsed="false">
      <c r="A62" s="21" t="n">
        <f aca="false">IF($B62="","",57)</f>
        <v>57</v>
      </c>
      <c r="B62" s="21" t="str">
        <f aca="false">IFERROR(INDEX('DỮ LIỆU'!$C$3:$C$1052,MATCH(57,'DỮ LIỆU'!$W$3:$W$1052,0)),"")</f>
        <v>chị Trang Jade</v>
      </c>
      <c r="C62" s="21" t="str">
        <f aca="false">IF($B62="","",IFERROR(IF(INDEX('DỮ LIỆU'!$D$3:$D$1052,MATCH($B62,'DỮ LIỆU'!$C$3:$C$1052,0))="","",INDEX('DỮ LIỆU'!$D$3:$D$1052,MATCH($B62,'DỮ LIỆU'!$C$3:$C$1052,0))),""))</f>
        <v>0799740948</v>
      </c>
      <c r="D62" s="21" t="str">
        <f aca="false">IF($B62="","",IFERROR(IF(INDEX('DỮ LIỆU'!$E$3:$E$1052,MATCH($B62,'DỮ LIỆU'!$C$3:$C$1052,0))="","",INDEX('DỮ LIỆU'!$E$3:$E$1052,MATCH($B62,'DỮ LIỆU'!$C$3:$C$1052,0))),""))</f>
        <v/>
      </c>
      <c r="E62" s="21" t="str">
        <f aca="false">IF($B62="","",IFERROR(IF(INDEX('DỮ LIỆU'!$F$3:$F$1052,MATCH($B62,'DỮ LIỆU'!$C$3:$C$1052,0))="","",INDEX('DỮ LIỆU'!$F$3:$F$1052,MATCH($B62,'DỮ LIỆU'!$C$3:$C$1052,0))),""))</f>
        <v>3500780970</v>
      </c>
      <c r="F62" s="21" t="str">
        <f aca="false">IF($B62="","",IFERROR(IF(INDEX('DỮ LIỆU'!$G$3:$G$1052,MATCH($B62,'DỮ LIỆU'!$C$3:$C$1052,0))="","",INDEX('DỮ LIỆU'!$G$3:$G$1052,MATCH($B62,'DỮ LIỆU'!$C$3:$C$1052,0))),""))</f>
        <v>số 9 đường Trương Vĩnh Kỳ, Vùng Tàu, HCM</v>
      </c>
      <c r="G62" s="13" t="n">
        <f aca="false">IF($B62="","",COUNTIFS('DỮ LIỆU'!$C$3:$C$1052,$B62,'DỮ LIỆU'!$J$3:$J$1052,"&gt;0"))</f>
        <v>1</v>
      </c>
      <c r="H62" s="13" t="n">
        <f aca="false">IF($B62="","",SUMIF('DỮ LIỆU'!$C$3:$C$1052,$B62,'DỮ LIỆU'!$J$3:$J$1052))</f>
        <v>1225000</v>
      </c>
      <c r="I62" s="13" t="n">
        <f aca="false">IF($B62="","",SUMIF('DỮ LIỆU'!$C$3:$C$1052,$B62,'DỮ LIỆU'!$M$3:$M$1052))</f>
        <v>1323000</v>
      </c>
      <c r="J62" s="13" t="n">
        <f aca="false">IF($B62="","",SUMIF('DỮ LIỆU'!$C$3:$C$1052,$B62,'DỮ LIỆU'!$N$3:$N$1052))</f>
        <v>662000</v>
      </c>
      <c r="K62" s="13" t="n">
        <f aca="false">IF($B62="","",SUMIF('DỮ LIỆU'!$C$3:$C$1052,$B62,'DỮ LIỆU'!$O$3:$O$1052))</f>
        <v>661000</v>
      </c>
      <c r="L62" s="13" t="n">
        <f aca="false">IF($B62="","",SUMIF('DỮ LIỆU'!$C$3:$C$1052,$B62,'DỮ LIỆU'!$Q$3:$Q$1052))</f>
        <v>0</v>
      </c>
      <c r="M62" s="41" t="n">
        <f aca="false">IF($B62="","",IF(SUMPRODUCT(MAX(('DỮ LIỆU'!$C$3:$C$1052=$B62)*'DỮ LIỆU'!$Z$3:$Z$1052))=0,"",SUMPRODUCT(MAX(('DỮ LIỆU'!$C$3:$C$1052=$B62)*'DỮ LIỆU'!$Z$3:$Z$1052))))</f>
        <v>46235</v>
      </c>
      <c r="N62" s="21" t="str">
        <f aca="false">IF($B62="","",IF($G62=0,"Chưa có đơn",IF(COUNTIFS('DỮ LIỆU'!$C$3:$C$1052,$B62,'DỮ LIỆU'!$K$3:$K$1052,"&gt;0")&gt;0,"Có lấy VAT","Không lấy VAT")))</f>
        <v>Có lấy VAT</v>
      </c>
    </row>
    <row r="63" customFormat="false" ht="15" hidden="false" customHeight="false" outlineLevel="0" collapsed="false">
      <c r="A63" s="21" t="n">
        <f aca="false">IF($B63="","",58)</f>
        <v>58</v>
      </c>
      <c r="B63" s="21" t="str">
        <f aca="false">IFERROR(INDEX('DỮ LIỆU'!$C$3:$C$1052,MATCH(58,'DỮ LIỆU'!$W$3:$W$1052,0)),"")</f>
        <v>BGB - HOÀNG HẢI TRAVEL 30G</v>
      </c>
      <c r="C63" s="21" t="str">
        <f aca="false">IF($B63="","",IFERROR(IF(INDEX('DỮ LIỆU'!$D$3:$D$1052,MATCH($B63,'DỮ LIỆU'!$C$3:$C$1052,0))="","",INDEX('DỮ LIỆU'!$D$3:$D$1052,MATCH($B63,'DỮ LIỆU'!$C$3:$C$1052,0))),""))</f>
        <v>0967840505</v>
      </c>
      <c r="D63" s="21" t="str">
        <f aca="false">IF($B63="","",IFERROR(IF(INDEX('DỮ LIỆU'!$E$3:$E$1052,MATCH($B63,'DỮ LIỆU'!$C$3:$C$1052,0))="","",INDEX('DỮ LIỆU'!$E$3:$E$1052,MATCH($B63,'DỮ LIỆU'!$C$3:$C$1052,0))),""))</f>
        <v/>
      </c>
      <c r="E63" s="21" t="str">
        <f aca="false">IF($B63="","",IFERROR(IF(INDEX('DỮ LIỆU'!$F$3:$F$1052,MATCH($B63,'DỮ LIỆU'!$C$3:$C$1052,0))="","",INDEX('DỮ LIỆU'!$F$3:$F$1052,MATCH($B63,'DỮ LIỆU'!$C$3:$C$1052,0))),""))</f>
        <v/>
      </c>
      <c r="F63" s="21" t="str">
        <f aca="false">IF($B63="","",IFERROR(IF(INDEX('DỮ LIỆU'!$G$3:$G$1052,MATCH($B63,'DỮ LIỆU'!$C$3:$C$1052,0))="","",INDEX('DỮ LIỆU'!$G$3:$G$1052,MATCH($B63,'DỮ LIỆU'!$C$3:$C$1052,0))),""))</f>
        <v>Thôn thượng trì ấp Hoài thượng Thuận thành Bắc Ninh</v>
      </c>
      <c r="G63" s="13" t="n">
        <f aca="false">IF($B63="","",COUNTIFS('DỮ LIỆU'!$C$3:$C$1052,$B63,'DỮ LIỆU'!$J$3:$J$1052,"&gt;0"))</f>
        <v>1</v>
      </c>
      <c r="H63" s="13" t="n">
        <f aca="false">IF($B63="","",SUMIF('DỮ LIỆU'!$C$3:$C$1052,$B63,'DỮ LIỆU'!$J$3:$J$1052))</f>
        <v>1500000</v>
      </c>
      <c r="I63" s="13" t="n">
        <f aca="false">IF($B63="","",SUMIF('DỮ LIỆU'!$C$3:$C$1052,$B63,'DỮ LIỆU'!$M$3:$M$1052))</f>
        <v>1500000</v>
      </c>
      <c r="J63" s="13" t="n">
        <f aca="false">IF($B63="","",SUMIF('DỮ LIỆU'!$C$3:$C$1052,$B63,'DỮ LIỆU'!$N$3:$N$1052))</f>
        <v>500000</v>
      </c>
      <c r="K63" s="13" t="n">
        <f aca="false">IF($B63="","",SUMIF('DỮ LIỆU'!$C$3:$C$1052,$B63,'DỮ LIỆU'!$O$3:$O$1052))</f>
        <v>1000000</v>
      </c>
      <c r="L63" s="13" t="n">
        <f aca="false">IF($B63="","",SUMIF('DỮ LIỆU'!$C$3:$C$1052,$B63,'DỮ LIỆU'!$Q$3:$Q$1052))</f>
        <v>0</v>
      </c>
      <c r="M63" s="41" t="n">
        <f aca="false">IF($B63="","",IF(SUMPRODUCT(MAX(('DỮ LIỆU'!$C$3:$C$1052=$B63)*'DỮ LIỆU'!$Z$3:$Z$1052))=0,"",SUMPRODUCT(MAX(('DỮ LIỆU'!$C$3:$C$1052=$B63)*'DỮ LIỆU'!$Z$3:$Z$1052))))</f>
        <v>46235</v>
      </c>
      <c r="N63" s="21" t="str">
        <f aca="false">IF($B63="","",IF($G63=0,"Chưa có đơn",IF(COUNTIFS('DỮ LIỆU'!$C$3:$C$1052,$B63,'DỮ LIỆU'!$K$3:$K$1052,"&gt;0")&gt;0,"Có lấy VAT","Không lấy VAT")))</f>
        <v>Không lấy VAT</v>
      </c>
    </row>
    <row r="64" customFormat="false" ht="15" hidden="false" customHeight="false" outlineLevel="0" collapsed="false">
      <c r="A64" s="21" t="str">
        <f aca="false">IF($B64="","",59)</f>
        <v/>
      </c>
      <c r="B64" s="21" t="str">
        <f aca="false">IFERROR(INDEX('DỮ LIỆU'!$C$3:$C$1052,MATCH(59,'DỮ LIỆU'!$W$3:$W$1052,0)),"")</f>
        <v/>
      </c>
      <c r="C64" s="21" t="str">
        <f aca="false">IF($B64="","",IFERROR(IF(INDEX('DỮ LIỆU'!$D$3:$D$1052,MATCH($B64,'DỮ LIỆU'!$C$3:$C$1052,0))="","",INDEX('DỮ LIỆU'!$D$3:$D$1052,MATCH($B64,'DỮ LIỆU'!$C$3:$C$1052,0))),""))</f>
        <v/>
      </c>
      <c r="D64" s="21" t="str">
        <f aca="false">IF($B64="","",IFERROR(IF(INDEX('DỮ LIỆU'!$E$3:$E$1052,MATCH($B64,'DỮ LIỆU'!$C$3:$C$1052,0))="","",INDEX('DỮ LIỆU'!$E$3:$E$1052,MATCH($B64,'DỮ LIỆU'!$C$3:$C$1052,0))),""))</f>
        <v/>
      </c>
      <c r="E64" s="21" t="str">
        <f aca="false">IF($B64="","",IFERROR(IF(INDEX('DỮ LIỆU'!$F$3:$F$1052,MATCH($B64,'DỮ LIỆU'!$C$3:$C$1052,0))="","",INDEX('DỮ LIỆU'!$F$3:$F$1052,MATCH($B64,'DỮ LIỆU'!$C$3:$C$1052,0))),""))</f>
        <v/>
      </c>
      <c r="F64" s="21" t="str">
        <f aca="false">IF($B64="","",IFERROR(IF(INDEX('DỮ LIỆU'!$G$3:$G$1052,MATCH($B64,'DỮ LIỆU'!$C$3:$C$1052,0))="","",INDEX('DỮ LIỆU'!$G$3:$G$1052,MATCH($B64,'DỮ LIỆU'!$C$3:$C$1052,0))),""))</f>
        <v/>
      </c>
      <c r="G64" s="13" t="str">
        <f aca="false">IF($B64="","",COUNTIFS('DỮ LIỆU'!$C$3:$C$1052,$B64,'DỮ LIỆU'!$J$3:$J$1052,"&gt;0"))</f>
        <v/>
      </c>
      <c r="H64" s="13" t="str">
        <f aca="false">IF($B64="","",SUMIF('DỮ LIỆU'!$C$3:$C$1052,$B64,'DỮ LIỆU'!$J$3:$J$1052))</f>
        <v/>
      </c>
      <c r="I64" s="13" t="str">
        <f aca="false">IF($B64="","",SUMIF('DỮ LIỆU'!$C$3:$C$1052,$B64,'DỮ LIỆU'!$M$3:$M$1052))</f>
        <v/>
      </c>
      <c r="J64" s="13" t="str">
        <f aca="false">IF($B64="","",SUMIF('DỮ LIỆU'!$C$3:$C$1052,$B64,'DỮ LIỆU'!$N$3:$N$1052))</f>
        <v/>
      </c>
      <c r="K64" s="13" t="str">
        <f aca="false">IF($B64="","",SUMIF('DỮ LIỆU'!$C$3:$C$1052,$B64,'DỮ LIỆU'!$O$3:$O$1052))</f>
        <v/>
      </c>
      <c r="L64" s="13" t="str">
        <f aca="false">IF($B64="","",SUMIF('DỮ LIỆU'!$C$3:$C$1052,$B64,'DỮ LIỆU'!$Q$3:$Q$1052))</f>
        <v/>
      </c>
      <c r="M64" s="41" t="str">
        <f aca="false">IF($B64="","",IF(SUMPRODUCT(MAX(('DỮ LIỆU'!$C$3:$C$1052=$B64)*'DỮ LIỆU'!$Z$3:$Z$1052))=0,"",SUMPRODUCT(MAX(('DỮ LIỆU'!$C$3:$C$1052=$B64)*'DỮ LIỆU'!$Z$3:$Z$1052))))</f>
        <v/>
      </c>
      <c r="N64" s="21" t="str">
        <f aca="false">IF($B64="","",IF($G64=0,"Chưa có đơn",IF(COUNTIFS('DỮ LIỆU'!$C$3:$C$1052,$B64,'DỮ LIỆU'!$K$3:$K$1052,"&gt;0")&gt;0,"Có lấy VAT","Không lấy VAT")))</f>
        <v/>
      </c>
    </row>
    <row r="65" customFormat="false" ht="15" hidden="false" customHeight="false" outlineLevel="0" collapsed="false">
      <c r="A65" s="21" t="str">
        <f aca="false">IF($B65="","",60)</f>
        <v/>
      </c>
      <c r="B65" s="21" t="str">
        <f aca="false">IFERROR(INDEX('DỮ LIỆU'!$C$3:$C$1052,MATCH(60,'DỮ LIỆU'!$W$3:$W$1052,0)),"")</f>
        <v/>
      </c>
      <c r="C65" s="21" t="str">
        <f aca="false">IF($B65="","",IFERROR(IF(INDEX('DỮ LIỆU'!$D$3:$D$1052,MATCH($B65,'DỮ LIỆU'!$C$3:$C$1052,0))="","",INDEX('DỮ LIỆU'!$D$3:$D$1052,MATCH($B65,'DỮ LIỆU'!$C$3:$C$1052,0))),""))</f>
        <v/>
      </c>
      <c r="D65" s="21" t="str">
        <f aca="false">IF($B65="","",IFERROR(IF(INDEX('DỮ LIỆU'!$E$3:$E$1052,MATCH($B65,'DỮ LIỆU'!$C$3:$C$1052,0))="","",INDEX('DỮ LIỆU'!$E$3:$E$1052,MATCH($B65,'DỮ LIỆU'!$C$3:$C$1052,0))),""))</f>
        <v/>
      </c>
      <c r="E65" s="21" t="str">
        <f aca="false">IF($B65="","",IFERROR(IF(INDEX('DỮ LIỆU'!$F$3:$F$1052,MATCH($B65,'DỮ LIỆU'!$C$3:$C$1052,0))="","",INDEX('DỮ LIỆU'!$F$3:$F$1052,MATCH($B65,'DỮ LIỆU'!$C$3:$C$1052,0))),""))</f>
        <v/>
      </c>
      <c r="F65" s="21" t="str">
        <f aca="false">IF($B65="","",IFERROR(IF(INDEX('DỮ LIỆU'!$G$3:$G$1052,MATCH($B65,'DỮ LIỆU'!$C$3:$C$1052,0))="","",INDEX('DỮ LIỆU'!$G$3:$G$1052,MATCH($B65,'DỮ LIỆU'!$C$3:$C$1052,0))),""))</f>
        <v/>
      </c>
      <c r="G65" s="13" t="str">
        <f aca="false">IF($B65="","",COUNTIFS('DỮ LIỆU'!$C$3:$C$1052,$B65,'DỮ LIỆU'!$J$3:$J$1052,"&gt;0"))</f>
        <v/>
      </c>
      <c r="H65" s="13" t="str">
        <f aca="false">IF($B65="","",SUMIF('DỮ LIỆU'!$C$3:$C$1052,$B65,'DỮ LIỆU'!$J$3:$J$1052))</f>
        <v/>
      </c>
      <c r="I65" s="13" t="str">
        <f aca="false">IF($B65="","",SUMIF('DỮ LIỆU'!$C$3:$C$1052,$B65,'DỮ LIỆU'!$M$3:$M$1052))</f>
        <v/>
      </c>
      <c r="J65" s="13" t="str">
        <f aca="false">IF($B65="","",SUMIF('DỮ LIỆU'!$C$3:$C$1052,$B65,'DỮ LIỆU'!$N$3:$N$1052))</f>
        <v/>
      </c>
      <c r="K65" s="13" t="str">
        <f aca="false">IF($B65="","",SUMIF('DỮ LIỆU'!$C$3:$C$1052,$B65,'DỮ LIỆU'!$O$3:$O$1052))</f>
        <v/>
      </c>
      <c r="L65" s="13" t="str">
        <f aca="false">IF($B65="","",SUMIF('DỮ LIỆU'!$C$3:$C$1052,$B65,'DỮ LIỆU'!$Q$3:$Q$1052))</f>
        <v/>
      </c>
      <c r="M65" s="41" t="str">
        <f aca="false">IF($B65="","",IF(SUMPRODUCT(MAX(('DỮ LIỆU'!$C$3:$C$1052=$B65)*'DỮ LIỆU'!$Z$3:$Z$1052))=0,"",SUMPRODUCT(MAX(('DỮ LIỆU'!$C$3:$C$1052=$B65)*'DỮ LIỆU'!$Z$3:$Z$1052))))</f>
        <v/>
      </c>
      <c r="N65" s="21" t="str">
        <f aca="false">IF($B65="","",IF($G65=0,"Chưa có đơn",IF(COUNTIFS('DỮ LIỆU'!$C$3:$C$1052,$B65,'DỮ LIỆU'!$K$3:$K$1052,"&gt;0")&gt;0,"Có lấy VAT","Không lấy VAT")))</f>
        <v/>
      </c>
    </row>
    <row r="66" customFormat="false" ht="15" hidden="false" customHeight="false" outlineLevel="0" collapsed="false">
      <c r="A66" s="21" t="str">
        <f aca="false">IF($B66="","",61)</f>
        <v/>
      </c>
      <c r="B66" s="21" t="str">
        <f aca="false">IFERROR(INDEX('DỮ LIỆU'!$C$3:$C$1052,MATCH(61,'DỮ LIỆU'!$W$3:$W$1052,0)),"")</f>
        <v/>
      </c>
      <c r="C66" s="21" t="str">
        <f aca="false">IF($B66="","",IFERROR(IF(INDEX('DỮ LIỆU'!$D$3:$D$1052,MATCH($B66,'DỮ LIỆU'!$C$3:$C$1052,0))="","",INDEX('DỮ LIỆU'!$D$3:$D$1052,MATCH($B66,'DỮ LIỆU'!$C$3:$C$1052,0))),""))</f>
        <v/>
      </c>
      <c r="D66" s="21" t="str">
        <f aca="false">IF($B66="","",IFERROR(IF(INDEX('DỮ LIỆU'!$E$3:$E$1052,MATCH($B66,'DỮ LIỆU'!$C$3:$C$1052,0))="","",INDEX('DỮ LIỆU'!$E$3:$E$1052,MATCH($B66,'DỮ LIỆU'!$C$3:$C$1052,0))),""))</f>
        <v/>
      </c>
      <c r="E66" s="21" t="str">
        <f aca="false">IF($B66="","",IFERROR(IF(INDEX('DỮ LIỆU'!$F$3:$F$1052,MATCH($B66,'DỮ LIỆU'!$C$3:$C$1052,0))="","",INDEX('DỮ LIỆU'!$F$3:$F$1052,MATCH($B66,'DỮ LIỆU'!$C$3:$C$1052,0))),""))</f>
        <v/>
      </c>
      <c r="F66" s="21" t="str">
        <f aca="false">IF($B66="","",IFERROR(IF(INDEX('DỮ LIỆU'!$G$3:$G$1052,MATCH($B66,'DỮ LIỆU'!$C$3:$C$1052,0))="","",INDEX('DỮ LIỆU'!$G$3:$G$1052,MATCH($B66,'DỮ LIỆU'!$C$3:$C$1052,0))),""))</f>
        <v/>
      </c>
      <c r="G66" s="13" t="str">
        <f aca="false">IF($B66="","",COUNTIFS('DỮ LIỆU'!$C$3:$C$1052,$B66,'DỮ LIỆU'!$J$3:$J$1052,"&gt;0"))</f>
        <v/>
      </c>
      <c r="H66" s="13" t="str">
        <f aca="false">IF($B66="","",SUMIF('DỮ LIỆU'!$C$3:$C$1052,$B66,'DỮ LIỆU'!$J$3:$J$1052))</f>
        <v/>
      </c>
      <c r="I66" s="13" t="str">
        <f aca="false">IF($B66="","",SUMIF('DỮ LIỆU'!$C$3:$C$1052,$B66,'DỮ LIỆU'!$M$3:$M$1052))</f>
        <v/>
      </c>
      <c r="J66" s="13" t="str">
        <f aca="false">IF($B66="","",SUMIF('DỮ LIỆU'!$C$3:$C$1052,$B66,'DỮ LIỆU'!$N$3:$N$1052))</f>
        <v/>
      </c>
      <c r="K66" s="13" t="str">
        <f aca="false">IF($B66="","",SUMIF('DỮ LIỆU'!$C$3:$C$1052,$B66,'DỮ LIỆU'!$O$3:$O$1052))</f>
        <v/>
      </c>
      <c r="L66" s="13" t="str">
        <f aca="false">IF($B66="","",SUMIF('DỮ LIỆU'!$C$3:$C$1052,$B66,'DỮ LIỆU'!$Q$3:$Q$1052))</f>
        <v/>
      </c>
      <c r="M66" s="41" t="str">
        <f aca="false">IF($B66="","",IF(SUMPRODUCT(MAX(('DỮ LIỆU'!$C$3:$C$1052=$B66)*'DỮ LIỆU'!$Z$3:$Z$1052))=0,"",SUMPRODUCT(MAX(('DỮ LIỆU'!$C$3:$C$1052=$B66)*'DỮ LIỆU'!$Z$3:$Z$1052))))</f>
        <v/>
      </c>
      <c r="N66" s="21" t="str">
        <f aca="false">IF($B66="","",IF($G66=0,"Chưa có đơn",IF(COUNTIFS('DỮ LIỆU'!$C$3:$C$1052,$B66,'DỮ LIỆU'!$K$3:$K$1052,"&gt;0")&gt;0,"Có lấy VAT","Không lấy VAT")))</f>
        <v/>
      </c>
    </row>
    <row r="67" customFormat="false" ht="15" hidden="false" customHeight="false" outlineLevel="0" collapsed="false">
      <c r="A67" s="21" t="str">
        <f aca="false">IF($B67="","",62)</f>
        <v/>
      </c>
      <c r="B67" s="21" t="str">
        <f aca="false">IFERROR(INDEX('DỮ LIỆU'!$C$3:$C$1052,MATCH(62,'DỮ LIỆU'!$W$3:$W$1052,0)),"")</f>
        <v/>
      </c>
      <c r="C67" s="21" t="str">
        <f aca="false">IF($B67="","",IFERROR(IF(INDEX('DỮ LIỆU'!$D$3:$D$1052,MATCH($B67,'DỮ LIỆU'!$C$3:$C$1052,0))="","",INDEX('DỮ LIỆU'!$D$3:$D$1052,MATCH($B67,'DỮ LIỆU'!$C$3:$C$1052,0))),""))</f>
        <v/>
      </c>
      <c r="D67" s="21" t="str">
        <f aca="false">IF($B67="","",IFERROR(IF(INDEX('DỮ LIỆU'!$E$3:$E$1052,MATCH($B67,'DỮ LIỆU'!$C$3:$C$1052,0))="","",INDEX('DỮ LIỆU'!$E$3:$E$1052,MATCH($B67,'DỮ LIỆU'!$C$3:$C$1052,0))),""))</f>
        <v/>
      </c>
      <c r="E67" s="21" t="str">
        <f aca="false">IF($B67="","",IFERROR(IF(INDEX('DỮ LIỆU'!$F$3:$F$1052,MATCH($B67,'DỮ LIỆU'!$C$3:$C$1052,0))="","",INDEX('DỮ LIỆU'!$F$3:$F$1052,MATCH($B67,'DỮ LIỆU'!$C$3:$C$1052,0))),""))</f>
        <v/>
      </c>
      <c r="F67" s="21" t="str">
        <f aca="false">IF($B67="","",IFERROR(IF(INDEX('DỮ LIỆU'!$G$3:$G$1052,MATCH($B67,'DỮ LIỆU'!$C$3:$C$1052,0))="","",INDEX('DỮ LIỆU'!$G$3:$G$1052,MATCH($B67,'DỮ LIỆU'!$C$3:$C$1052,0))),""))</f>
        <v/>
      </c>
      <c r="G67" s="13" t="str">
        <f aca="false">IF($B67="","",COUNTIFS('DỮ LIỆU'!$C$3:$C$1052,$B67,'DỮ LIỆU'!$J$3:$J$1052,"&gt;0"))</f>
        <v/>
      </c>
      <c r="H67" s="13" t="str">
        <f aca="false">IF($B67="","",SUMIF('DỮ LIỆU'!$C$3:$C$1052,$B67,'DỮ LIỆU'!$J$3:$J$1052))</f>
        <v/>
      </c>
      <c r="I67" s="13" t="str">
        <f aca="false">IF($B67="","",SUMIF('DỮ LIỆU'!$C$3:$C$1052,$B67,'DỮ LIỆU'!$M$3:$M$1052))</f>
        <v/>
      </c>
      <c r="J67" s="13" t="str">
        <f aca="false">IF($B67="","",SUMIF('DỮ LIỆU'!$C$3:$C$1052,$B67,'DỮ LIỆU'!$N$3:$N$1052))</f>
        <v/>
      </c>
      <c r="K67" s="13" t="str">
        <f aca="false">IF($B67="","",SUMIF('DỮ LIỆU'!$C$3:$C$1052,$B67,'DỮ LIỆU'!$O$3:$O$1052))</f>
        <v/>
      </c>
      <c r="L67" s="13" t="str">
        <f aca="false">IF($B67="","",SUMIF('DỮ LIỆU'!$C$3:$C$1052,$B67,'DỮ LIỆU'!$Q$3:$Q$1052))</f>
        <v/>
      </c>
      <c r="M67" s="41" t="str">
        <f aca="false">IF($B67="","",IF(SUMPRODUCT(MAX(('DỮ LIỆU'!$C$3:$C$1052=$B67)*'DỮ LIỆU'!$Z$3:$Z$1052))=0,"",SUMPRODUCT(MAX(('DỮ LIỆU'!$C$3:$C$1052=$B67)*'DỮ LIỆU'!$Z$3:$Z$1052))))</f>
        <v/>
      </c>
      <c r="N67" s="21" t="str">
        <f aca="false">IF($B67="","",IF($G67=0,"Chưa có đơn",IF(COUNTIFS('DỮ LIỆU'!$C$3:$C$1052,$B67,'DỮ LIỆU'!$K$3:$K$1052,"&gt;0")&gt;0,"Có lấy VAT","Không lấy VAT")))</f>
        <v/>
      </c>
    </row>
    <row r="68" customFormat="false" ht="15" hidden="false" customHeight="false" outlineLevel="0" collapsed="false">
      <c r="A68" s="21" t="str">
        <f aca="false">IF($B68="","",63)</f>
        <v/>
      </c>
      <c r="B68" s="21" t="str">
        <f aca="false">IFERROR(INDEX('DỮ LIỆU'!$C$3:$C$1052,MATCH(63,'DỮ LIỆU'!$W$3:$W$1052,0)),"")</f>
        <v/>
      </c>
      <c r="C68" s="21" t="str">
        <f aca="false">IF($B68="","",IFERROR(IF(INDEX('DỮ LIỆU'!$D$3:$D$1052,MATCH($B68,'DỮ LIỆU'!$C$3:$C$1052,0))="","",INDEX('DỮ LIỆU'!$D$3:$D$1052,MATCH($B68,'DỮ LIỆU'!$C$3:$C$1052,0))),""))</f>
        <v/>
      </c>
      <c r="D68" s="21" t="str">
        <f aca="false">IF($B68="","",IFERROR(IF(INDEX('DỮ LIỆU'!$E$3:$E$1052,MATCH($B68,'DỮ LIỆU'!$C$3:$C$1052,0))="","",INDEX('DỮ LIỆU'!$E$3:$E$1052,MATCH($B68,'DỮ LIỆU'!$C$3:$C$1052,0))),""))</f>
        <v/>
      </c>
      <c r="E68" s="21" t="str">
        <f aca="false">IF($B68="","",IFERROR(IF(INDEX('DỮ LIỆU'!$F$3:$F$1052,MATCH($B68,'DỮ LIỆU'!$C$3:$C$1052,0))="","",INDEX('DỮ LIỆU'!$F$3:$F$1052,MATCH($B68,'DỮ LIỆU'!$C$3:$C$1052,0))),""))</f>
        <v/>
      </c>
      <c r="F68" s="21" t="str">
        <f aca="false">IF($B68="","",IFERROR(IF(INDEX('DỮ LIỆU'!$G$3:$G$1052,MATCH($B68,'DỮ LIỆU'!$C$3:$C$1052,0))="","",INDEX('DỮ LIỆU'!$G$3:$G$1052,MATCH($B68,'DỮ LIỆU'!$C$3:$C$1052,0))),""))</f>
        <v/>
      </c>
      <c r="G68" s="13" t="str">
        <f aca="false">IF($B68="","",COUNTIFS('DỮ LIỆU'!$C$3:$C$1052,$B68,'DỮ LIỆU'!$J$3:$J$1052,"&gt;0"))</f>
        <v/>
      </c>
      <c r="H68" s="13" t="str">
        <f aca="false">IF($B68="","",SUMIF('DỮ LIỆU'!$C$3:$C$1052,$B68,'DỮ LIỆU'!$J$3:$J$1052))</f>
        <v/>
      </c>
      <c r="I68" s="13" t="str">
        <f aca="false">IF($B68="","",SUMIF('DỮ LIỆU'!$C$3:$C$1052,$B68,'DỮ LIỆU'!$M$3:$M$1052))</f>
        <v/>
      </c>
      <c r="J68" s="13" t="str">
        <f aca="false">IF($B68="","",SUMIF('DỮ LIỆU'!$C$3:$C$1052,$B68,'DỮ LIỆU'!$N$3:$N$1052))</f>
        <v/>
      </c>
      <c r="K68" s="13" t="str">
        <f aca="false">IF($B68="","",SUMIF('DỮ LIỆU'!$C$3:$C$1052,$B68,'DỮ LIỆU'!$O$3:$O$1052))</f>
        <v/>
      </c>
      <c r="L68" s="13" t="str">
        <f aca="false">IF($B68="","",SUMIF('DỮ LIỆU'!$C$3:$C$1052,$B68,'DỮ LIỆU'!$Q$3:$Q$1052))</f>
        <v/>
      </c>
      <c r="M68" s="41" t="str">
        <f aca="false">IF($B68="","",IF(SUMPRODUCT(MAX(('DỮ LIỆU'!$C$3:$C$1052=$B68)*'DỮ LIỆU'!$Z$3:$Z$1052))=0,"",SUMPRODUCT(MAX(('DỮ LIỆU'!$C$3:$C$1052=$B68)*'DỮ LIỆU'!$Z$3:$Z$1052))))</f>
        <v/>
      </c>
      <c r="N68" s="21" t="str">
        <f aca="false">IF($B68="","",IF($G68=0,"Chưa có đơn",IF(COUNTIFS('DỮ LIỆU'!$C$3:$C$1052,$B68,'DỮ LIỆU'!$K$3:$K$1052,"&gt;0")&gt;0,"Có lấy VAT","Không lấy VAT")))</f>
        <v/>
      </c>
    </row>
    <row r="69" customFormat="false" ht="15" hidden="false" customHeight="false" outlineLevel="0" collapsed="false">
      <c r="A69" s="21" t="str">
        <f aca="false">IF($B69="","",64)</f>
        <v/>
      </c>
      <c r="B69" s="21" t="str">
        <f aca="false">IFERROR(INDEX('DỮ LIỆU'!$C$3:$C$1052,MATCH(64,'DỮ LIỆU'!$W$3:$W$1052,0)),"")</f>
        <v/>
      </c>
      <c r="C69" s="21" t="str">
        <f aca="false">IF($B69="","",IFERROR(IF(INDEX('DỮ LIỆU'!$D$3:$D$1052,MATCH($B69,'DỮ LIỆU'!$C$3:$C$1052,0))="","",INDEX('DỮ LIỆU'!$D$3:$D$1052,MATCH($B69,'DỮ LIỆU'!$C$3:$C$1052,0))),""))</f>
        <v/>
      </c>
      <c r="D69" s="21" t="str">
        <f aca="false">IF($B69="","",IFERROR(IF(INDEX('DỮ LIỆU'!$E$3:$E$1052,MATCH($B69,'DỮ LIỆU'!$C$3:$C$1052,0))="","",INDEX('DỮ LIỆU'!$E$3:$E$1052,MATCH($B69,'DỮ LIỆU'!$C$3:$C$1052,0))),""))</f>
        <v/>
      </c>
      <c r="E69" s="21" t="str">
        <f aca="false">IF($B69="","",IFERROR(IF(INDEX('DỮ LIỆU'!$F$3:$F$1052,MATCH($B69,'DỮ LIỆU'!$C$3:$C$1052,0))="","",INDEX('DỮ LIỆU'!$F$3:$F$1052,MATCH($B69,'DỮ LIỆU'!$C$3:$C$1052,0))),""))</f>
        <v/>
      </c>
      <c r="F69" s="21" t="str">
        <f aca="false">IF($B69="","",IFERROR(IF(INDEX('DỮ LIỆU'!$G$3:$G$1052,MATCH($B69,'DỮ LIỆU'!$C$3:$C$1052,0))="","",INDEX('DỮ LIỆU'!$G$3:$G$1052,MATCH($B69,'DỮ LIỆU'!$C$3:$C$1052,0))),""))</f>
        <v/>
      </c>
      <c r="G69" s="13" t="str">
        <f aca="false">IF($B69="","",COUNTIFS('DỮ LIỆU'!$C$3:$C$1052,$B69,'DỮ LIỆU'!$J$3:$J$1052,"&gt;0"))</f>
        <v/>
      </c>
      <c r="H69" s="13" t="str">
        <f aca="false">IF($B69="","",SUMIF('DỮ LIỆU'!$C$3:$C$1052,$B69,'DỮ LIỆU'!$J$3:$J$1052))</f>
        <v/>
      </c>
      <c r="I69" s="13" t="str">
        <f aca="false">IF($B69="","",SUMIF('DỮ LIỆU'!$C$3:$C$1052,$B69,'DỮ LIỆU'!$M$3:$M$1052))</f>
        <v/>
      </c>
      <c r="J69" s="13" t="str">
        <f aca="false">IF($B69="","",SUMIF('DỮ LIỆU'!$C$3:$C$1052,$B69,'DỮ LIỆU'!$N$3:$N$1052))</f>
        <v/>
      </c>
      <c r="K69" s="13" t="str">
        <f aca="false">IF($B69="","",SUMIF('DỮ LIỆU'!$C$3:$C$1052,$B69,'DỮ LIỆU'!$O$3:$O$1052))</f>
        <v/>
      </c>
      <c r="L69" s="13" t="str">
        <f aca="false">IF($B69="","",SUMIF('DỮ LIỆU'!$C$3:$C$1052,$B69,'DỮ LIỆU'!$Q$3:$Q$1052))</f>
        <v/>
      </c>
      <c r="M69" s="41" t="str">
        <f aca="false">IF($B69="","",IF(SUMPRODUCT(MAX(('DỮ LIỆU'!$C$3:$C$1052=$B69)*'DỮ LIỆU'!$Z$3:$Z$1052))=0,"",SUMPRODUCT(MAX(('DỮ LIỆU'!$C$3:$C$1052=$B69)*'DỮ LIỆU'!$Z$3:$Z$1052))))</f>
        <v/>
      </c>
      <c r="N69" s="21" t="str">
        <f aca="false">IF($B69="","",IF($G69=0,"Chưa có đơn",IF(COUNTIFS('DỮ LIỆU'!$C$3:$C$1052,$B69,'DỮ LIỆU'!$K$3:$K$1052,"&gt;0")&gt;0,"Có lấy VAT","Không lấy VAT")))</f>
        <v/>
      </c>
    </row>
    <row r="70" customFormat="false" ht="15" hidden="false" customHeight="false" outlineLevel="0" collapsed="false">
      <c r="A70" s="21" t="str">
        <f aca="false">IF($B70="","",65)</f>
        <v/>
      </c>
      <c r="B70" s="21" t="str">
        <f aca="false">IFERROR(INDEX('DỮ LIỆU'!$C$3:$C$1052,MATCH(65,'DỮ LIỆU'!$W$3:$W$1052,0)),"")</f>
        <v/>
      </c>
      <c r="C70" s="21" t="str">
        <f aca="false">IF($B70="","",IFERROR(IF(INDEX('DỮ LIỆU'!$D$3:$D$1052,MATCH($B70,'DỮ LIỆU'!$C$3:$C$1052,0))="","",INDEX('DỮ LIỆU'!$D$3:$D$1052,MATCH($B70,'DỮ LIỆU'!$C$3:$C$1052,0))),""))</f>
        <v/>
      </c>
      <c r="D70" s="21" t="str">
        <f aca="false">IF($B70="","",IFERROR(IF(INDEX('DỮ LIỆU'!$E$3:$E$1052,MATCH($B70,'DỮ LIỆU'!$C$3:$C$1052,0))="","",INDEX('DỮ LIỆU'!$E$3:$E$1052,MATCH($B70,'DỮ LIỆU'!$C$3:$C$1052,0))),""))</f>
        <v/>
      </c>
      <c r="E70" s="21" t="str">
        <f aca="false">IF($B70="","",IFERROR(IF(INDEX('DỮ LIỆU'!$F$3:$F$1052,MATCH($B70,'DỮ LIỆU'!$C$3:$C$1052,0))="","",INDEX('DỮ LIỆU'!$F$3:$F$1052,MATCH($B70,'DỮ LIỆU'!$C$3:$C$1052,0))),""))</f>
        <v/>
      </c>
      <c r="F70" s="21" t="str">
        <f aca="false">IF($B70="","",IFERROR(IF(INDEX('DỮ LIỆU'!$G$3:$G$1052,MATCH($B70,'DỮ LIỆU'!$C$3:$C$1052,0))="","",INDEX('DỮ LIỆU'!$G$3:$G$1052,MATCH($B70,'DỮ LIỆU'!$C$3:$C$1052,0))),""))</f>
        <v/>
      </c>
      <c r="G70" s="13" t="str">
        <f aca="false">IF($B70="","",COUNTIFS('DỮ LIỆU'!$C$3:$C$1052,$B70,'DỮ LIỆU'!$J$3:$J$1052,"&gt;0"))</f>
        <v/>
      </c>
      <c r="H70" s="13" t="str">
        <f aca="false">IF($B70="","",SUMIF('DỮ LIỆU'!$C$3:$C$1052,$B70,'DỮ LIỆU'!$J$3:$J$1052))</f>
        <v/>
      </c>
      <c r="I70" s="13" t="str">
        <f aca="false">IF($B70="","",SUMIF('DỮ LIỆU'!$C$3:$C$1052,$B70,'DỮ LIỆU'!$M$3:$M$1052))</f>
        <v/>
      </c>
      <c r="J70" s="13" t="str">
        <f aca="false">IF($B70="","",SUMIF('DỮ LIỆU'!$C$3:$C$1052,$B70,'DỮ LIỆU'!$N$3:$N$1052))</f>
        <v/>
      </c>
      <c r="K70" s="13" t="str">
        <f aca="false">IF($B70="","",SUMIF('DỮ LIỆU'!$C$3:$C$1052,$B70,'DỮ LIỆU'!$O$3:$O$1052))</f>
        <v/>
      </c>
      <c r="L70" s="13" t="str">
        <f aca="false">IF($B70="","",SUMIF('DỮ LIỆU'!$C$3:$C$1052,$B70,'DỮ LIỆU'!$Q$3:$Q$1052))</f>
        <v/>
      </c>
      <c r="M70" s="41" t="str">
        <f aca="false">IF($B70="","",IF(SUMPRODUCT(MAX(('DỮ LIỆU'!$C$3:$C$1052=$B70)*'DỮ LIỆU'!$Z$3:$Z$1052))=0,"",SUMPRODUCT(MAX(('DỮ LIỆU'!$C$3:$C$1052=$B70)*'DỮ LIỆU'!$Z$3:$Z$1052))))</f>
        <v/>
      </c>
      <c r="N70" s="21" t="str">
        <f aca="false">IF($B70="","",IF($G70=0,"Chưa có đơn",IF(COUNTIFS('DỮ LIỆU'!$C$3:$C$1052,$B70,'DỮ LIỆU'!$K$3:$K$1052,"&gt;0")&gt;0,"Có lấy VAT","Không lấy VAT")))</f>
        <v/>
      </c>
    </row>
    <row r="71" customFormat="false" ht="15" hidden="false" customHeight="false" outlineLevel="0" collapsed="false">
      <c r="A71" s="21" t="str">
        <f aca="false">IF($B71="","",66)</f>
        <v/>
      </c>
      <c r="B71" s="21" t="str">
        <f aca="false">IFERROR(INDEX('DỮ LIỆU'!$C$3:$C$1052,MATCH(66,'DỮ LIỆU'!$W$3:$W$1052,0)),"")</f>
        <v/>
      </c>
      <c r="C71" s="21" t="str">
        <f aca="false">IF($B71="","",IFERROR(IF(INDEX('DỮ LIỆU'!$D$3:$D$1052,MATCH($B71,'DỮ LIỆU'!$C$3:$C$1052,0))="","",INDEX('DỮ LIỆU'!$D$3:$D$1052,MATCH($B71,'DỮ LIỆU'!$C$3:$C$1052,0))),""))</f>
        <v/>
      </c>
      <c r="D71" s="21" t="str">
        <f aca="false">IF($B71="","",IFERROR(IF(INDEX('DỮ LIỆU'!$E$3:$E$1052,MATCH($B71,'DỮ LIỆU'!$C$3:$C$1052,0))="","",INDEX('DỮ LIỆU'!$E$3:$E$1052,MATCH($B71,'DỮ LIỆU'!$C$3:$C$1052,0))),""))</f>
        <v/>
      </c>
      <c r="E71" s="21" t="str">
        <f aca="false">IF($B71="","",IFERROR(IF(INDEX('DỮ LIỆU'!$F$3:$F$1052,MATCH($B71,'DỮ LIỆU'!$C$3:$C$1052,0))="","",INDEX('DỮ LIỆU'!$F$3:$F$1052,MATCH($B71,'DỮ LIỆU'!$C$3:$C$1052,0))),""))</f>
        <v/>
      </c>
      <c r="F71" s="21" t="str">
        <f aca="false">IF($B71="","",IFERROR(IF(INDEX('DỮ LIỆU'!$G$3:$G$1052,MATCH($B71,'DỮ LIỆU'!$C$3:$C$1052,0))="","",INDEX('DỮ LIỆU'!$G$3:$G$1052,MATCH($B71,'DỮ LIỆU'!$C$3:$C$1052,0))),""))</f>
        <v/>
      </c>
      <c r="G71" s="13" t="str">
        <f aca="false">IF($B71="","",COUNTIFS('DỮ LIỆU'!$C$3:$C$1052,$B71,'DỮ LIỆU'!$J$3:$J$1052,"&gt;0"))</f>
        <v/>
      </c>
      <c r="H71" s="13" t="str">
        <f aca="false">IF($B71="","",SUMIF('DỮ LIỆU'!$C$3:$C$1052,$B71,'DỮ LIỆU'!$J$3:$J$1052))</f>
        <v/>
      </c>
      <c r="I71" s="13" t="str">
        <f aca="false">IF($B71="","",SUMIF('DỮ LIỆU'!$C$3:$C$1052,$B71,'DỮ LIỆU'!$M$3:$M$1052))</f>
        <v/>
      </c>
      <c r="J71" s="13" t="str">
        <f aca="false">IF($B71="","",SUMIF('DỮ LIỆU'!$C$3:$C$1052,$B71,'DỮ LIỆU'!$N$3:$N$1052))</f>
        <v/>
      </c>
      <c r="K71" s="13" t="str">
        <f aca="false">IF($B71="","",SUMIF('DỮ LIỆU'!$C$3:$C$1052,$B71,'DỮ LIỆU'!$O$3:$O$1052))</f>
        <v/>
      </c>
      <c r="L71" s="13" t="str">
        <f aca="false">IF($B71="","",SUMIF('DỮ LIỆU'!$C$3:$C$1052,$B71,'DỮ LIỆU'!$Q$3:$Q$1052))</f>
        <v/>
      </c>
      <c r="M71" s="41" t="str">
        <f aca="false">IF($B71="","",IF(SUMPRODUCT(MAX(('DỮ LIỆU'!$C$3:$C$1052=$B71)*'DỮ LIỆU'!$Z$3:$Z$1052))=0,"",SUMPRODUCT(MAX(('DỮ LIỆU'!$C$3:$C$1052=$B71)*'DỮ LIỆU'!$Z$3:$Z$1052))))</f>
        <v/>
      </c>
      <c r="N71" s="21" t="str">
        <f aca="false">IF($B71="","",IF($G71=0,"Chưa có đơn",IF(COUNTIFS('DỮ LIỆU'!$C$3:$C$1052,$B71,'DỮ LIỆU'!$K$3:$K$1052,"&gt;0")&gt;0,"Có lấy VAT","Không lấy VAT")))</f>
        <v/>
      </c>
    </row>
    <row r="72" customFormat="false" ht="15" hidden="false" customHeight="false" outlineLevel="0" collapsed="false">
      <c r="A72" s="21" t="str">
        <f aca="false">IF($B72="","",67)</f>
        <v/>
      </c>
      <c r="B72" s="21" t="str">
        <f aca="false">IFERROR(INDEX('DỮ LIỆU'!$C$3:$C$1052,MATCH(67,'DỮ LIỆU'!$W$3:$W$1052,0)),"")</f>
        <v/>
      </c>
      <c r="C72" s="21" t="str">
        <f aca="false">IF($B72="","",IFERROR(IF(INDEX('DỮ LIỆU'!$D$3:$D$1052,MATCH($B72,'DỮ LIỆU'!$C$3:$C$1052,0))="","",INDEX('DỮ LIỆU'!$D$3:$D$1052,MATCH($B72,'DỮ LIỆU'!$C$3:$C$1052,0))),""))</f>
        <v/>
      </c>
      <c r="D72" s="21" t="str">
        <f aca="false">IF($B72="","",IFERROR(IF(INDEX('DỮ LIỆU'!$E$3:$E$1052,MATCH($B72,'DỮ LIỆU'!$C$3:$C$1052,0))="","",INDEX('DỮ LIỆU'!$E$3:$E$1052,MATCH($B72,'DỮ LIỆU'!$C$3:$C$1052,0))),""))</f>
        <v/>
      </c>
      <c r="E72" s="21" t="str">
        <f aca="false">IF($B72="","",IFERROR(IF(INDEX('DỮ LIỆU'!$F$3:$F$1052,MATCH($B72,'DỮ LIỆU'!$C$3:$C$1052,0))="","",INDEX('DỮ LIỆU'!$F$3:$F$1052,MATCH($B72,'DỮ LIỆU'!$C$3:$C$1052,0))),""))</f>
        <v/>
      </c>
      <c r="F72" s="21" t="str">
        <f aca="false">IF($B72="","",IFERROR(IF(INDEX('DỮ LIỆU'!$G$3:$G$1052,MATCH($B72,'DỮ LIỆU'!$C$3:$C$1052,0))="","",INDEX('DỮ LIỆU'!$G$3:$G$1052,MATCH($B72,'DỮ LIỆU'!$C$3:$C$1052,0))),""))</f>
        <v/>
      </c>
      <c r="G72" s="13" t="str">
        <f aca="false">IF($B72="","",COUNTIFS('DỮ LIỆU'!$C$3:$C$1052,$B72,'DỮ LIỆU'!$J$3:$J$1052,"&gt;0"))</f>
        <v/>
      </c>
      <c r="H72" s="13" t="str">
        <f aca="false">IF($B72="","",SUMIF('DỮ LIỆU'!$C$3:$C$1052,$B72,'DỮ LIỆU'!$J$3:$J$1052))</f>
        <v/>
      </c>
      <c r="I72" s="13" t="str">
        <f aca="false">IF($B72="","",SUMIF('DỮ LIỆU'!$C$3:$C$1052,$B72,'DỮ LIỆU'!$M$3:$M$1052))</f>
        <v/>
      </c>
      <c r="J72" s="13" t="str">
        <f aca="false">IF($B72="","",SUMIF('DỮ LIỆU'!$C$3:$C$1052,$B72,'DỮ LIỆU'!$N$3:$N$1052))</f>
        <v/>
      </c>
      <c r="K72" s="13" t="str">
        <f aca="false">IF($B72="","",SUMIF('DỮ LIỆU'!$C$3:$C$1052,$B72,'DỮ LIỆU'!$O$3:$O$1052))</f>
        <v/>
      </c>
      <c r="L72" s="13" t="str">
        <f aca="false">IF($B72="","",SUMIF('DỮ LIỆU'!$C$3:$C$1052,$B72,'DỮ LIỆU'!$Q$3:$Q$1052))</f>
        <v/>
      </c>
      <c r="M72" s="41" t="str">
        <f aca="false">IF($B72="","",IF(SUMPRODUCT(MAX(('DỮ LIỆU'!$C$3:$C$1052=$B72)*'DỮ LIỆU'!$Z$3:$Z$1052))=0,"",SUMPRODUCT(MAX(('DỮ LIỆU'!$C$3:$C$1052=$B72)*'DỮ LIỆU'!$Z$3:$Z$1052))))</f>
        <v/>
      </c>
      <c r="N72" s="21" t="str">
        <f aca="false">IF($B72="","",IF($G72=0,"Chưa có đơn",IF(COUNTIFS('DỮ LIỆU'!$C$3:$C$1052,$B72,'DỮ LIỆU'!$K$3:$K$1052,"&gt;0")&gt;0,"Có lấy VAT","Không lấy VAT")))</f>
        <v/>
      </c>
    </row>
    <row r="73" customFormat="false" ht="15" hidden="false" customHeight="false" outlineLevel="0" collapsed="false">
      <c r="A73" s="21" t="str">
        <f aca="false">IF($B73="","",68)</f>
        <v/>
      </c>
      <c r="B73" s="21" t="str">
        <f aca="false">IFERROR(INDEX('DỮ LIỆU'!$C$3:$C$1052,MATCH(68,'DỮ LIỆU'!$W$3:$W$1052,0)),"")</f>
        <v/>
      </c>
      <c r="C73" s="21" t="str">
        <f aca="false">IF($B73="","",IFERROR(IF(INDEX('DỮ LIỆU'!$D$3:$D$1052,MATCH($B73,'DỮ LIỆU'!$C$3:$C$1052,0))="","",INDEX('DỮ LIỆU'!$D$3:$D$1052,MATCH($B73,'DỮ LIỆU'!$C$3:$C$1052,0))),""))</f>
        <v/>
      </c>
      <c r="D73" s="21" t="str">
        <f aca="false">IF($B73="","",IFERROR(IF(INDEX('DỮ LIỆU'!$E$3:$E$1052,MATCH($B73,'DỮ LIỆU'!$C$3:$C$1052,0))="","",INDEX('DỮ LIỆU'!$E$3:$E$1052,MATCH($B73,'DỮ LIỆU'!$C$3:$C$1052,0))),""))</f>
        <v/>
      </c>
      <c r="E73" s="21" t="str">
        <f aca="false">IF($B73="","",IFERROR(IF(INDEX('DỮ LIỆU'!$F$3:$F$1052,MATCH($B73,'DỮ LIỆU'!$C$3:$C$1052,0))="","",INDEX('DỮ LIỆU'!$F$3:$F$1052,MATCH($B73,'DỮ LIỆU'!$C$3:$C$1052,0))),""))</f>
        <v/>
      </c>
      <c r="F73" s="21" t="str">
        <f aca="false">IF($B73="","",IFERROR(IF(INDEX('DỮ LIỆU'!$G$3:$G$1052,MATCH($B73,'DỮ LIỆU'!$C$3:$C$1052,0))="","",INDEX('DỮ LIỆU'!$G$3:$G$1052,MATCH($B73,'DỮ LIỆU'!$C$3:$C$1052,0))),""))</f>
        <v/>
      </c>
      <c r="G73" s="13" t="str">
        <f aca="false">IF($B73="","",COUNTIFS('DỮ LIỆU'!$C$3:$C$1052,$B73,'DỮ LIỆU'!$J$3:$J$1052,"&gt;0"))</f>
        <v/>
      </c>
      <c r="H73" s="13" t="str">
        <f aca="false">IF($B73="","",SUMIF('DỮ LIỆU'!$C$3:$C$1052,$B73,'DỮ LIỆU'!$J$3:$J$1052))</f>
        <v/>
      </c>
      <c r="I73" s="13" t="str">
        <f aca="false">IF($B73="","",SUMIF('DỮ LIỆU'!$C$3:$C$1052,$B73,'DỮ LIỆU'!$M$3:$M$1052))</f>
        <v/>
      </c>
      <c r="J73" s="13" t="str">
        <f aca="false">IF($B73="","",SUMIF('DỮ LIỆU'!$C$3:$C$1052,$B73,'DỮ LIỆU'!$N$3:$N$1052))</f>
        <v/>
      </c>
      <c r="K73" s="13" t="str">
        <f aca="false">IF($B73="","",SUMIF('DỮ LIỆU'!$C$3:$C$1052,$B73,'DỮ LIỆU'!$O$3:$O$1052))</f>
        <v/>
      </c>
      <c r="L73" s="13" t="str">
        <f aca="false">IF($B73="","",SUMIF('DỮ LIỆU'!$C$3:$C$1052,$B73,'DỮ LIỆU'!$Q$3:$Q$1052))</f>
        <v/>
      </c>
      <c r="M73" s="41" t="str">
        <f aca="false">IF($B73="","",IF(SUMPRODUCT(MAX(('DỮ LIỆU'!$C$3:$C$1052=$B73)*'DỮ LIỆU'!$Z$3:$Z$1052))=0,"",SUMPRODUCT(MAX(('DỮ LIỆU'!$C$3:$C$1052=$B73)*'DỮ LIỆU'!$Z$3:$Z$1052))))</f>
        <v/>
      </c>
      <c r="N73" s="21" t="str">
        <f aca="false">IF($B73="","",IF($G73=0,"Chưa có đơn",IF(COUNTIFS('DỮ LIỆU'!$C$3:$C$1052,$B73,'DỮ LIỆU'!$K$3:$K$1052,"&gt;0")&gt;0,"Có lấy VAT","Không lấy VAT")))</f>
        <v/>
      </c>
    </row>
    <row r="74" customFormat="false" ht="15" hidden="false" customHeight="false" outlineLevel="0" collapsed="false">
      <c r="A74" s="21" t="str">
        <f aca="false">IF($B74="","",69)</f>
        <v/>
      </c>
      <c r="B74" s="21" t="str">
        <f aca="false">IFERROR(INDEX('DỮ LIỆU'!$C$3:$C$1052,MATCH(69,'DỮ LIỆU'!$W$3:$W$1052,0)),"")</f>
        <v/>
      </c>
      <c r="C74" s="21" t="str">
        <f aca="false">IF($B74="","",IFERROR(IF(INDEX('DỮ LIỆU'!$D$3:$D$1052,MATCH($B74,'DỮ LIỆU'!$C$3:$C$1052,0))="","",INDEX('DỮ LIỆU'!$D$3:$D$1052,MATCH($B74,'DỮ LIỆU'!$C$3:$C$1052,0))),""))</f>
        <v/>
      </c>
      <c r="D74" s="21" t="str">
        <f aca="false">IF($B74="","",IFERROR(IF(INDEX('DỮ LIỆU'!$E$3:$E$1052,MATCH($B74,'DỮ LIỆU'!$C$3:$C$1052,0))="","",INDEX('DỮ LIỆU'!$E$3:$E$1052,MATCH($B74,'DỮ LIỆU'!$C$3:$C$1052,0))),""))</f>
        <v/>
      </c>
      <c r="E74" s="21" t="str">
        <f aca="false">IF($B74="","",IFERROR(IF(INDEX('DỮ LIỆU'!$F$3:$F$1052,MATCH($B74,'DỮ LIỆU'!$C$3:$C$1052,0))="","",INDEX('DỮ LIỆU'!$F$3:$F$1052,MATCH($B74,'DỮ LIỆU'!$C$3:$C$1052,0))),""))</f>
        <v/>
      </c>
      <c r="F74" s="21" t="str">
        <f aca="false">IF($B74="","",IFERROR(IF(INDEX('DỮ LIỆU'!$G$3:$G$1052,MATCH($B74,'DỮ LIỆU'!$C$3:$C$1052,0))="","",INDEX('DỮ LIỆU'!$G$3:$G$1052,MATCH($B74,'DỮ LIỆU'!$C$3:$C$1052,0))),""))</f>
        <v/>
      </c>
      <c r="G74" s="13" t="str">
        <f aca="false">IF($B74="","",COUNTIFS('DỮ LIỆU'!$C$3:$C$1052,$B74,'DỮ LIỆU'!$J$3:$J$1052,"&gt;0"))</f>
        <v/>
      </c>
      <c r="H74" s="13" t="str">
        <f aca="false">IF($B74="","",SUMIF('DỮ LIỆU'!$C$3:$C$1052,$B74,'DỮ LIỆU'!$J$3:$J$1052))</f>
        <v/>
      </c>
      <c r="I74" s="13" t="str">
        <f aca="false">IF($B74="","",SUMIF('DỮ LIỆU'!$C$3:$C$1052,$B74,'DỮ LIỆU'!$M$3:$M$1052))</f>
        <v/>
      </c>
      <c r="J74" s="13" t="str">
        <f aca="false">IF($B74="","",SUMIF('DỮ LIỆU'!$C$3:$C$1052,$B74,'DỮ LIỆU'!$N$3:$N$1052))</f>
        <v/>
      </c>
      <c r="K74" s="13" t="str">
        <f aca="false">IF($B74="","",SUMIF('DỮ LIỆU'!$C$3:$C$1052,$B74,'DỮ LIỆU'!$O$3:$O$1052))</f>
        <v/>
      </c>
      <c r="L74" s="13" t="str">
        <f aca="false">IF($B74="","",SUMIF('DỮ LIỆU'!$C$3:$C$1052,$B74,'DỮ LIỆU'!$Q$3:$Q$1052))</f>
        <v/>
      </c>
      <c r="M74" s="41" t="str">
        <f aca="false">IF($B74="","",IF(SUMPRODUCT(MAX(('DỮ LIỆU'!$C$3:$C$1052=$B74)*'DỮ LIỆU'!$Z$3:$Z$1052))=0,"",SUMPRODUCT(MAX(('DỮ LIỆU'!$C$3:$C$1052=$B74)*'DỮ LIỆU'!$Z$3:$Z$1052))))</f>
        <v/>
      </c>
      <c r="N74" s="21" t="str">
        <f aca="false">IF($B74="","",IF($G74=0,"Chưa có đơn",IF(COUNTIFS('DỮ LIỆU'!$C$3:$C$1052,$B74,'DỮ LIỆU'!$K$3:$K$1052,"&gt;0")&gt;0,"Có lấy VAT","Không lấy VAT")))</f>
        <v/>
      </c>
    </row>
    <row r="75" customFormat="false" ht="15" hidden="false" customHeight="false" outlineLevel="0" collapsed="false">
      <c r="A75" s="21" t="str">
        <f aca="false">IF($B75="","",70)</f>
        <v/>
      </c>
      <c r="B75" s="21" t="str">
        <f aca="false">IFERROR(INDEX('DỮ LIỆU'!$C$3:$C$1052,MATCH(70,'DỮ LIỆU'!$W$3:$W$1052,0)),"")</f>
        <v/>
      </c>
      <c r="C75" s="21" t="str">
        <f aca="false">IF($B75="","",IFERROR(IF(INDEX('DỮ LIỆU'!$D$3:$D$1052,MATCH($B75,'DỮ LIỆU'!$C$3:$C$1052,0))="","",INDEX('DỮ LIỆU'!$D$3:$D$1052,MATCH($B75,'DỮ LIỆU'!$C$3:$C$1052,0))),""))</f>
        <v/>
      </c>
      <c r="D75" s="21" t="str">
        <f aca="false">IF($B75="","",IFERROR(IF(INDEX('DỮ LIỆU'!$E$3:$E$1052,MATCH($B75,'DỮ LIỆU'!$C$3:$C$1052,0))="","",INDEX('DỮ LIỆU'!$E$3:$E$1052,MATCH($B75,'DỮ LIỆU'!$C$3:$C$1052,0))),""))</f>
        <v/>
      </c>
      <c r="E75" s="21" t="str">
        <f aca="false">IF($B75="","",IFERROR(IF(INDEX('DỮ LIỆU'!$F$3:$F$1052,MATCH($B75,'DỮ LIỆU'!$C$3:$C$1052,0))="","",INDEX('DỮ LIỆU'!$F$3:$F$1052,MATCH($B75,'DỮ LIỆU'!$C$3:$C$1052,0))),""))</f>
        <v/>
      </c>
      <c r="F75" s="21" t="str">
        <f aca="false">IF($B75="","",IFERROR(IF(INDEX('DỮ LIỆU'!$G$3:$G$1052,MATCH($B75,'DỮ LIỆU'!$C$3:$C$1052,0))="","",INDEX('DỮ LIỆU'!$G$3:$G$1052,MATCH($B75,'DỮ LIỆU'!$C$3:$C$1052,0))),""))</f>
        <v/>
      </c>
      <c r="G75" s="13" t="str">
        <f aca="false">IF($B75="","",COUNTIFS('DỮ LIỆU'!$C$3:$C$1052,$B75,'DỮ LIỆU'!$J$3:$J$1052,"&gt;0"))</f>
        <v/>
      </c>
      <c r="H75" s="13" t="str">
        <f aca="false">IF($B75="","",SUMIF('DỮ LIỆU'!$C$3:$C$1052,$B75,'DỮ LIỆU'!$J$3:$J$1052))</f>
        <v/>
      </c>
      <c r="I75" s="13" t="str">
        <f aca="false">IF($B75="","",SUMIF('DỮ LIỆU'!$C$3:$C$1052,$B75,'DỮ LIỆU'!$M$3:$M$1052))</f>
        <v/>
      </c>
      <c r="J75" s="13" t="str">
        <f aca="false">IF($B75="","",SUMIF('DỮ LIỆU'!$C$3:$C$1052,$B75,'DỮ LIỆU'!$N$3:$N$1052))</f>
        <v/>
      </c>
      <c r="K75" s="13" t="str">
        <f aca="false">IF($B75="","",SUMIF('DỮ LIỆU'!$C$3:$C$1052,$B75,'DỮ LIỆU'!$O$3:$O$1052))</f>
        <v/>
      </c>
      <c r="L75" s="13" t="str">
        <f aca="false">IF($B75="","",SUMIF('DỮ LIỆU'!$C$3:$C$1052,$B75,'DỮ LIỆU'!$Q$3:$Q$1052))</f>
        <v/>
      </c>
      <c r="M75" s="41" t="str">
        <f aca="false">IF($B75="","",IF(SUMPRODUCT(MAX(('DỮ LIỆU'!$C$3:$C$1052=$B75)*'DỮ LIỆU'!$Z$3:$Z$1052))=0,"",SUMPRODUCT(MAX(('DỮ LIỆU'!$C$3:$C$1052=$B75)*'DỮ LIỆU'!$Z$3:$Z$1052))))</f>
        <v/>
      </c>
      <c r="N75" s="21" t="str">
        <f aca="false">IF($B75="","",IF($G75=0,"Chưa có đơn",IF(COUNTIFS('DỮ LIỆU'!$C$3:$C$1052,$B75,'DỮ LIỆU'!$K$3:$K$1052,"&gt;0")&gt;0,"Có lấy VAT","Không lấy VAT")))</f>
        <v/>
      </c>
    </row>
    <row r="76" customFormat="false" ht="15" hidden="false" customHeight="false" outlineLevel="0" collapsed="false">
      <c r="A76" s="21" t="str">
        <f aca="false">IF($B76="","",71)</f>
        <v/>
      </c>
      <c r="B76" s="21" t="str">
        <f aca="false">IFERROR(INDEX('DỮ LIỆU'!$C$3:$C$1052,MATCH(71,'DỮ LIỆU'!$W$3:$W$1052,0)),"")</f>
        <v/>
      </c>
      <c r="C76" s="21" t="str">
        <f aca="false">IF($B76="","",IFERROR(IF(INDEX('DỮ LIỆU'!$D$3:$D$1052,MATCH($B76,'DỮ LIỆU'!$C$3:$C$1052,0))="","",INDEX('DỮ LIỆU'!$D$3:$D$1052,MATCH($B76,'DỮ LIỆU'!$C$3:$C$1052,0))),""))</f>
        <v/>
      </c>
      <c r="D76" s="21" t="str">
        <f aca="false">IF($B76="","",IFERROR(IF(INDEX('DỮ LIỆU'!$E$3:$E$1052,MATCH($B76,'DỮ LIỆU'!$C$3:$C$1052,0))="","",INDEX('DỮ LIỆU'!$E$3:$E$1052,MATCH($B76,'DỮ LIỆU'!$C$3:$C$1052,0))),""))</f>
        <v/>
      </c>
      <c r="E76" s="21" t="str">
        <f aca="false">IF($B76="","",IFERROR(IF(INDEX('DỮ LIỆU'!$F$3:$F$1052,MATCH($B76,'DỮ LIỆU'!$C$3:$C$1052,0))="","",INDEX('DỮ LIỆU'!$F$3:$F$1052,MATCH($B76,'DỮ LIỆU'!$C$3:$C$1052,0))),""))</f>
        <v/>
      </c>
      <c r="F76" s="21" t="str">
        <f aca="false">IF($B76="","",IFERROR(IF(INDEX('DỮ LIỆU'!$G$3:$G$1052,MATCH($B76,'DỮ LIỆU'!$C$3:$C$1052,0))="","",INDEX('DỮ LIỆU'!$G$3:$G$1052,MATCH($B76,'DỮ LIỆU'!$C$3:$C$1052,0))),""))</f>
        <v/>
      </c>
      <c r="G76" s="13" t="str">
        <f aca="false">IF($B76="","",COUNTIFS('DỮ LIỆU'!$C$3:$C$1052,$B76,'DỮ LIỆU'!$J$3:$J$1052,"&gt;0"))</f>
        <v/>
      </c>
      <c r="H76" s="13" t="str">
        <f aca="false">IF($B76="","",SUMIF('DỮ LIỆU'!$C$3:$C$1052,$B76,'DỮ LIỆU'!$J$3:$J$1052))</f>
        <v/>
      </c>
      <c r="I76" s="13" t="str">
        <f aca="false">IF($B76="","",SUMIF('DỮ LIỆU'!$C$3:$C$1052,$B76,'DỮ LIỆU'!$M$3:$M$1052))</f>
        <v/>
      </c>
      <c r="J76" s="13" t="str">
        <f aca="false">IF($B76="","",SUMIF('DỮ LIỆU'!$C$3:$C$1052,$B76,'DỮ LIỆU'!$N$3:$N$1052))</f>
        <v/>
      </c>
      <c r="K76" s="13" t="str">
        <f aca="false">IF($B76="","",SUMIF('DỮ LIỆU'!$C$3:$C$1052,$B76,'DỮ LIỆU'!$O$3:$O$1052))</f>
        <v/>
      </c>
      <c r="L76" s="13" t="str">
        <f aca="false">IF($B76="","",SUMIF('DỮ LIỆU'!$C$3:$C$1052,$B76,'DỮ LIỆU'!$Q$3:$Q$1052))</f>
        <v/>
      </c>
      <c r="M76" s="41" t="str">
        <f aca="false">IF($B76="","",IF(SUMPRODUCT(MAX(('DỮ LIỆU'!$C$3:$C$1052=$B76)*'DỮ LIỆU'!$Z$3:$Z$1052))=0,"",SUMPRODUCT(MAX(('DỮ LIỆU'!$C$3:$C$1052=$B76)*'DỮ LIỆU'!$Z$3:$Z$1052))))</f>
        <v/>
      </c>
      <c r="N76" s="21" t="str">
        <f aca="false">IF($B76="","",IF($G76=0,"Chưa có đơn",IF(COUNTIFS('DỮ LIỆU'!$C$3:$C$1052,$B76,'DỮ LIỆU'!$K$3:$K$1052,"&gt;0")&gt;0,"Có lấy VAT","Không lấy VAT")))</f>
        <v/>
      </c>
    </row>
    <row r="77" customFormat="false" ht="15" hidden="false" customHeight="false" outlineLevel="0" collapsed="false">
      <c r="A77" s="21" t="str">
        <f aca="false">IF($B77="","",72)</f>
        <v/>
      </c>
      <c r="B77" s="21" t="str">
        <f aca="false">IFERROR(INDEX('DỮ LIỆU'!$C$3:$C$1052,MATCH(72,'DỮ LIỆU'!$W$3:$W$1052,0)),"")</f>
        <v/>
      </c>
      <c r="C77" s="21" t="str">
        <f aca="false">IF($B77="","",IFERROR(IF(INDEX('DỮ LIỆU'!$D$3:$D$1052,MATCH($B77,'DỮ LIỆU'!$C$3:$C$1052,0))="","",INDEX('DỮ LIỆU'!$D$3:$D$1052,MATCH($B77,'DỮ LIỆU'!$C$3:$C$1052,0))),""))</f>
        <v/>
      </c>
      <c r="D77" s="21" t="str">
        <f aca="false">IF($B77="","",IFERROR(IF(INDEX('DỮ LIỆU'!$E$3:$E$1052,MATCH($B77,'DỮ LIỆU'!$C$3:$C$1052,0))="","",INDEX('DỮ LIỆU'!$E$3:$E$1052,MATCH($B77,'DỮ LIỆU'!$C$3:$C$1052,0))),""))</f>
        <v/>
      </c>
      <c r="E77" s="21" t="str">
        <f aca="false">IF($B77="","",IFERROR(IF(INDEX('DỮ LIỆU'!$F$3:$F$1052,MATCH($B77,'DỮ LIỆU'!$C$3:$C$1052,0))="","",INDEX('DỮ LIỆU'!$F$3:$F$1052,MATCH($B77,'DỮ LIỆU'!$C$3:$C$1052,0))),""))</f>
        <v/>
      </c>
      <c r="F77" s="21" t="str">
        <f aca="false">IF($B77="","",IFERROR(IF(INDEX('DỮ LIỆU'!$G$3:$G$1052,MATCH($B77,'DỮ LIỆU'!$C$3:$C$1052,0))="","",INDEX('DỮ LIỆU'!$G$3:$G$1052,MATCH($B77,'DỮ LIỆU'!$C$3:$C$1052,0))),""))</f>
        <v/>
      </c>
      <c r="G77" s="13" t="str">
        <f aca="false">IF($B77="","",COUNTIFS('DỮ LIỆU'!$C$3:$C$1052,$B77,'DỮ LIỆU'!$J$3:$J$1052,"&gt;0"))</f>
        <v/>
      </c>
      <c r="H77" s="13" t="str">
        <f aca="false">IF($B77="","",SUMIF('DỮ LIỆU'!$C$3:$C$1052,$B77,'DỮ LIỆU'!$J$3:$J$1052))</f>
        <v/>
      </c>
      <c r="I77" s="13" t="str">
        <f aca="false">IF($B77="","",SUMIF('DỮ LIỆU'!$C$3:$C$1052,$B77,'DỮ LIỆU'!$M$3:$M$1052))</f>
        <v/>
      </c>
      <c r="J77" s="13" t="str">
        <f aca="false">IF($B77="","",SUMIF('DỮ LIỆU'!$C$3:$C$1052,$B77,'DỮ LIỆU'!$N$3:$N$1052))</f>
        <v/>
      </c>
      <c r="K77" s="13" t="str">
        <f aca="false">IF($B77="","",SUMIF('DỮ LIỆU'!$C$3:$C$1052,$B77,'DỮ LIỆU'!$O$3:$O$1052))</f>
        <v/>
      </c>
      <c r="L77" s="13" t="str">
        <f aca="false">IF($B77="","",SUMIF('DỮ LIỆU'!$C$3:$C$1052,$B77,'DỮ LIỆU'!$Q$3:$Q$1052))</f>
        <v/>
      </c>
      <c r="M77" s="41" t="str">
        <f aca="false">IF($B77="","",IF(SUMPRODUCT(MAX(('DỮ LIỆU'!$C$3:$C$1052=$B77)*'DỮ LIỆU'!$Z$3:$Z$1052))=0,"",SUMPRODUCT(MAX(('DỮ LIỆU'!$C$3:$C$1052=$B77)*'DỮ LIỆU'!$Z$3:$Z$1052))))</f>
        <v/>
      </c>
      <c r="N77" s="21" t="str">
        <f aca="false">IF($B77="","",IF($G77=0,"Chưa có đơn",IF(COUNTIFS('DỮ LIỆU'!$C$3:$C$1052,$B77,'DỮ LIỆU'!$K$3:$K$1052,"&gt;0")&gt;0,"Có lấy VAT","Không lấy VAT")))</f>
        <v/>
      </c>
    </row>
    <row r="78" customFormat="false" ht="15" hidden="false" customHeight="false" outlineLevel="0" collapsed="false">
      <c r="A78" s="21" t="str">
        <f aca="false">IF($B78="","",73)</f>
        <v/>
      </c>
      <c r="B78" s="21" t="str">
        <f aca="false">IFERROR(INDEX('DỮ LIỆU'!$C$3:$C$1052,MATCH(73,'DỮ LIỆU'!$W$3:$W$1052,0)),"")</f>
        <v/>
      </c>
      <c r="C78" s="21" t="str">
        <f aca="false">IF($B78="","",IFERROR(IF(INDEX('DỮ LIỆU'!$D$3:$D$1052,MATCH($B78,'DỮ LIỆU'!$C$3:$C$1052,0))="","",INDEX('DỮ LIỆU'!$D$3:$D$1052,MATCH($B78,'DỮ LIỆU'!$C$3:$C$1052,0))),""))</f>
        <v/>
      </c>
      <c r="D78" s="21" t="str">
        <f aca="false">IF($B78="","",IFERROR(IF(INDEX('DỮ LIỆU'!$E$3:$E$1052,MATCH($B78,'DỮ LIỆU'!$C$3:$C$1052,0))="","",INDEX('DỮ LIỆU'!$E$3:$E$1052,MATCH($B78,'DỮ LIỆU'!$C$3:$C$1052,0))),""))</f>
        <v/>
      </c>
      <c r="E78" s="21" t="str">
        <f aca="false">IF($B78="","",IFERROR(IF(INDEX('DỮ LIỆU'!$F$3:$F$1052,MATCH($B78,'DỮ LIỆU'!$C$3:$C$1052,0))="","",INDEX('DỮ LIỆU'!$F$3:$F$1052,MATCH($B78,'DỮ LIỆU'!$C$3:$C$1052,0))),""))</f>
        <v/>
      </c>
      <c r="F78" s="21" t="str">
        <f aca="false">IF($B78="","",IFERROR(IF(INDEX('DỮ LIỆU'!$G$3:$G$1052,MATCH($B78,'DỮ LIỆU'!$C$3:$C$1052,0))="","",INDEX('DỮ LIỆU'!$G$3:$G$1052,MATCH($B78,'DỮ LIỆU'!$C$3:$C$1052,0))),""))</f>
        <v/>
      </c>
      <c r="G78" s="13" t="str">
        <f aca="false">IF($B78="","",COUNTIFS('DỮ LIỆU'!$C$3:$C$1052,$B78,'DỮ LIỆU'!$J$3:$J$1052,"&gt;0"))</f>
        <v/>
      </c>
      <c r="H78" s="13" t="str">
        <f aca="false">IF($B78="","",SUMIF('DỮ LIỆU'!$C$3:$C$1052,$B78,'DỮ LIỆU'!$J$3:$J$1052))</f>
        <v/>
      </c>
      <c r="I78" s="13" t="str">
        <f aca="false">IF($B78="","",SUMIF('DỮ LIỆU'!$C$3:$C$1052,$B78,'DỮ LIỆU'!$M$3:$M$1052))</f>
        <v/>
      </c>
      <c r="J78" s="13" t="str">
        <f aca="false">IF($B78="","",SUMIF('DỮ LIỆU'!$C$3:$C$1052,$B78,'DỮ LIỆU'!$N$3:$N$1052))</f>
        <v/>
      </c>
      <c r="K78" s="13" t="str">
        <f aca="false">IF($B78="","",SUMIF('DỮ LIỆU'!$C$3:$C$1052,$B78,'DỮ LIỆU'!$O$3:$O$1052))</f>
        <v/>
      </c>
      <c r="L78" s="13" t="str">
        <f aca="false">IF($B78="","",SUMIF('DỮ LIỆU'!$C$3:$C$1052,$B78,'DỮ LIỆU'!$Q$3:$Q$1052))</f>
        <v/>
      </c>
      <c r="M78" s="41" t="str">
        <f aca="false">IF($B78="","",IF(SUMPRODUCT(MAX(('DỮ LIỆU'!$C$3:$C$1052=$B78)*'DỮ LIỆU'!$Z$3:$Z$1052))=0,"",SUMPRODUCT(MAX(('DỮ LIỆU'!$C$3:$C$1052=$B78)*'DỮ LIỆU'!$Z$3:$Z$1052))))</f>
        <v/>
      </c>
      <c r="N78" s="21" t="str">
        <f aca="false">IF($B78="","",IF($G78=0,"Chưa có đơn",IF(COUNTIFS('DỮ LIỆU'!$C$3:$C$1052,$B78,'DỮ LIỆU'!$K$3:$K$1052,"&gt;0")&gt;0,"Có lấy VAT","Không lấy VAT")))</f>
        <v/>
      </c>
    </row>
    <row r="79" customFormat="false" ht="15" hidden="false" customHeight="false" outlineLevel="0" collapsed="false">
      <c r="A79" s="21" t="str">
        <f aca="false">IF($B79="","",74)</f>
        <v/>
      </c>
      <c r="B79" s="21" t="str">
        <f aca="false">IFERROR(INDEX('DỮ LIỆU'!$C$3:$C$1052,MATCH(74,'DỮ LIỆU'!$W$3:$W$1052,0)),"")</f>
        <v/>
      </c>
      <c r="C79" s="21" t="str">
        <f aca="false">IF($B79="","",IFERROR(IF(INDEX('DỮ LIỆU'!$D$3:$D$1052,MATCH($B79,'DỮ LIỆU'!$C$3:$C$1052,0))="","",INDEX('DỮ LIỆU'!$D$3:$D$1052,MATCH($B79,'DỮ LIỆU'!$C$3:$C$1052,0))),""))</f>
        <v/>
      </c>
      <c r="D79" s="21" t="str">
        <f aca="false">IF($B79="","",IFERROR(IF(INDEX('DỮ LIỆU'!$E$3:$E$1052,MATCH($B79,'DỮ LIỆU'!$C$3:$C$1052,0))="","",INDEX('DỮ LIỆU'!$E$3:$E$1052,MATCH($B79,'DỮ LIỆU'!$C$3:$C$1052,0))),""))</f>
        <v/>
      </c>
      <c r="E79" s="21" t="str">
        <f aca="false">IF($B79="","",IFERROR(IF(INDEX('DỮ LIỆU'!$F$3:$F$1052,MATCH($B79,'DỮ LIỆU'!$C$3:$C$1052,0))="","",INDEX('DỮ LIỆU'!$F$3:$F$1052,MATCH($B79,'DỮ LIỆU'!$C$3:$C$1052,0))),""))</f>
        <v/>
      </c>
      <c r="F79" s="21" t="str">
        <f aca="false">IF($B79="","",IFERROR(IF(INDEX('DỮ LIỆU'!$G$3:$G$1052,MATCH($B79,'DỮ LIỆU'!$C$3:$C$1052,0))="","",INDEX('DỮ LIỆU'!$G$3:$G$1052,MATCH($B79,'DỮ LIỆU'!$C$3:$C$1052,0))),""))</f>
        <v/>
      </c>
      <c r="G79" s="13" t="str">
        <f aca="false">IF($B79="","",COUNTIFS('DỮ LIỆU'!$C$3:$C$1052,$B79,'DỮ LIỆU'!$J$3:$J$1052,"&gt;0"))</f>
        <v/>
      </c>
      <c r="H79" s="13" t="str">
        <f aca="false">IF($B79="","",SUMIF('DỮ LIỆU'!$C$3:$C$1052,$B79,'DỮ LIỆU'!$J$3:$J$1052))</f>
        <v/>
      </c>
      <c r="I79" s="13" t="str">
        <f aca="false">IF($B79="","",SUMIF('DỮ LIỆU'!$C$3:$C$1052,$B79,'DỮ LIỆU'!$M$3:$M$1052))</f>
        <v/>
      </c>
      <c r="J79" s="13" t="str">
        <f aca="false">IF($B79="","",SUMIF('DỮ LIỆU'!$C$3:$C$1052,$B79,'DỮ LIỆU'!$N$3:$N$1052))</f>
        <v/>
      </c>
      <c r="K79" s="13" t="str">
        <f aca="false">IF($B79="","",SUMIF('DỮ LIỆU'!$C$3:$C$1052,$B79,'DỮ LIỆU'!$O$3:$O$1052))</f>
        <v/>
      </c>
      <c r="L79" s="13" t="str">
        <f aca="false">IF($B79="","",SUMIF('DỮ LIỆU'!$C$3:$C$1052,$B79,'DỮ LIỆU'!$Q$3:$Q$1052))</f>
        <v/>
      </c>
      <c r="M79" s="41" t="str">
        <f aca="false">IF($B79="","",IF(SUMPRODUCT(MAX(('DỮ LIỆU'!$C$3:$C$1052=$B79)*'DỮ LIỆU'!$Z$3:$Z$1052))=0,"",SUMPRODUCT(MAX(('DỮ LIỆU'!$C$3:$C$1052=$B79)*'DỮ LIỆU'!$Z$3:$Z$1052))))</f>
        <v/>
      </c>
      <c r="N79" s="21" t="str">
        <f aca="false">IF($B79="","",IF($G79=0,"Chưa có đơn",IF(COUNTIFS('DỮ LIỆU'!$C$3:$C$1052,$B79,'DỮ LIỆU'!$K$3:$K$1052,"&gt;0")&gt;0,"Có lấy VAT","Không lấy VAT")))</f>
        <v/>
      </c>
    </row>
    <row r="80" customFormat="false" ht="15" hidden="false" customHeight="false" outlineLevel="0" collapsed="false">
      <c r="A80" s="21" t="str">
        <f aca="false">IF($B80="","",75)</f>
        <v/>
      </c>
      <c r="B80" s="21" t="str">
        <f aca="false">IFERROR(INDEX('DỮ LIỆU'!$C$3:$C$1052,MATCH(75,'DỮ LIỆU'!$W$3:$W$1052,0)),"")</f>
        <v/>
      </c>
      <c r="C80" s="21" t="str">
        <f aca="false">IF($B80="","",IFERROR(IF(INDEX('DỮ LIỆU'!$D$3:$D$1052,MATCH($B80,'DỮ LIỆU'!$C$3:$C$1052,0))="","",INDEX('DỮ LIỆU'!$D$3:$D$1052,MATCH($B80,'DỮ LIỆU'!$C$3:$C$1052,0))),""))</f>
        <v/>
      </c>
      <c r="D80" s="21" t="str">
        <f aca="false">IF($B80="","",IFERROR(IF(INDEX('DỮ LIỆU'!$E$3:$E$1052,MATCH($B80,'DỮ LIỆU'!$C$3:$C$1052,0))="","",INDEX('DỮ LIỆU'!$E$3:$E$1052,MATCH($B80,'DỮ LIỆU'!$C$3:$C$1052,0))),""))</f>
        <v/>
      </c>
      <c r="E80" s="21" t="str">
        <f aca="false">IF($B80="","",IFERROR(IF(INDEX('DỮ LIỆU'!$F$3:$F$1052,MATCH($B80,'DỮ LIỆU'!$C$3:$C$1052,0))="","",INDEX('DỮ LIỆU'!$F$3:$F$1052,MATCH($B80,'DỮ LIỆU'!$C$3:$C$1052,0))),""))</f>
        <v/>
      </c>
      <c r="F80" s="21" t="str">
        <f aca="false">IF($B80="","",IFERROR(IF(INDEX('DỮ LIỆU'!$G$3:$G$1052,MATCH($B80,'DỮ LIỆU'!$C$3:$C$1052,0))="","",INDEX('DỮ LIỆU'!$G$3:$G$1052,MATCH($B80,'DỮ LIỆU'!$C$3:$C$1052,0))),""))</f>
        <v/>
      </c>
      <c r="G80" s="13" t="str">
        <f aca="false">IF($B80="","",COUNTIFS('DỮ LIỆU'!$C$3:$C$1052,$B80,'DỮ LIỆU'!$J$3:$J$1052,"&gt;0"))</f>
        <v/>
      </c>
      <c r="H80" s="13" t="str">
        <f aca="false">IF($B80="","",SUMIF('DỮ LIỆU'!$C$3:$C$1052,$B80,'DỮ LIỆU'!$J$3:$J$1052))</f>
        <v/>
      </c>
      <c r="I80" s="13" t="str">
        <f aca="false">IF($B80="","",SUMIF('DỮ LIỆU'!$C$3:$C$1052,$B80,'DỮ LIỆU'!$M$3:$M$1052))</f>
        <v/>
      </c>
      <c r="J80" s="13" t="str">
        <f aca="false">IF($B80="","",SUMIF('DỮ LIỆU'!$C$3:$C$1052,$B80,'DỮ LIỆU'!$N$3:$N$1052))</f>
        <v/>
      </c>
      <c r="K80" s="13" t="str">
        <f aca="false">IF($B80="","",SUMIF('DỮ LIỆU'!$C$3:$C$1052,$B80,'DỮ LIỆU'!$O$3:$O$1052))</f>
        <v/>
      </c>
      <c r="L80" s="13" t="str">
        <f aca="false">IF($B80="","",SUMIF('DỮ LIỆU'!$C$3:$C$1052,$B80,'DỮ LIỆU'!$Q$3:$Q$1052))</f>
        <v/>
      </c>
      <c r="M80" s="41" t="str">
        <f aca="false">IF($B80="","",IF(SUMPRODUCT(MAX(('DỮ LIỆU'!$C$3:$C$1052=$B80)*'DỮ LIỆU'!$Z$3:$Z$1052))=0,"",SUMPRODUCT(MAX(('DỮ LIỆU'!$C$3:$C$1052=$B80)*'DỮ LIỆU'!$Z$3:$Z$1052))))</f>
        <v/>
      </c>
      <c r="N80" s="21" t="str">
        <f aca="false">IF($B80="","",IF($G80=0,"Chưa có đơn",IF(COUNTIFS('DỮ LIỆU'!$C$3:$C$1052,$B80,'DỮ LIỆU'!$K$3:$K$1052,"&gt;0")&gt;0,"Có lấy VAT","Không lấy VAT")))</f>
        <v/>
      </c>
    </row>
    <row r="81" customFormat="false" ht="15" hidden="false" customHeight="false" outlineLevel="0" collapsed="false">
      <c r="A81" s="21" t="str">
        <f aca="false">IF($B81="","",76)</f>
        <v/>
      </c>
      <c r="B81" s="21" t="str">
        <f aca="false">IFERROR(INDEX('DỮ LIỆU'!$C$3:$C$1052,MATCH(76,'DỮ LIỆU'!$W$3:$W$1052,0)),"")</f>
        <v/>
      </c>
      <c r="C81" s="21" t="str">
        <f aca="false">IF($B81="","",IFERROR(IF(INDEX('DỮ LIỆU'!$D$3:$D$1052,MATCH($B81,'DỮ LIỆU'!$C$3:$C$1052,0))="","",INDEX('DỮ LIỆU'!$D$3:$D$1052,MATCH($B81,'DỮ LIỆU'!$C$3:$C$1052,0))),""))</f>
        <v/>
      </c>
      <c r="D81" s="21" t="str">
        <f aca="false">IF($B81="","",IFERROR(IF(INDEX('DỮ LIỆU'!$E$3:$E$1052,MATCH($B81,'DỮ LIỆU'!$C$3:$C$1052,0))="","",INDEX('DỮ LIỆU'!$E$3:$E$1052,MATCH($B81,'DỮ LIỆU'!$C$3:$C$1052,0))),""))</f>
        <v/>
      </c>
      <c r="E81" s="21" t="str">
        <f aca="false">IF($B81="","",IFERROR(IF(INDEX('DỮ LIỆU'!$F$3:$F$1052,MATCH($B81,'DỮ LIỆU'!$C$3:$C$1052,0))="","",INDEX('DỮ LIỆU'!$F$3:$F$1052,MATCH($B81,'DỮ LIỆU'!$C$3:$C$1052,0))),""))</f>
        <v/>
      </c>
      <c r="F81" s="21" t="str">
        <f aca="false">IF($B81="","",IFERROR(IF(INDEX('DỮ LIỆU'!$G$3:$G$1052,MATCH($B81,'DỮ LIỆU'!$C$3:$C$1052,0))="","",INDEX('DỮ LIỆU'!$G$3:$G$1052,MATCH($B81,'DỮ LIỆU'!$C$3:$C$1052,0))),""))</f>
        <v/>
      </c>
      <c r="G81" s="13" t="str">
        <f aca="false">IF($B81="","",COUNTIFS('DỮ LIỆU'!$C$3:$C$1052,$B81,'DỮ LIỆU'!$J$3:$J$1052,"&gt;0"))</f>
        <v/>
      </c>
      <c r="H81" s="13" t="str">
        <f aca="false">IF($B81="","",SUMIF('DỮ LIỆU'!$C$3:$C$1052,$B81,'DỮ LIỆU'!$J$3:$J$1052))</f>
        <v/>
      </c>
      <c r="I81" s="13" t="str">
        <f aca="false">IF($B81="","",SUMIF('DỮ LIỆU'!$C$3:$C$1052,$B81,'DỮ LIỆU'!$M$3:$M$1052))</f>
        <v/>
      </c>
      <c r="J81" s="13" t="str">
        <f aca="false">IF($B81="","",SUMIF('DỮ LIỆU'!$C$3:$C$1052,$B81,'DỮ LIỆU'!$N$3:$N$1052))</f>
        <v/>
      </c>
      <c r="K81" s="13" t="str">
        <f aca="false">IF($B81="","",SUMIF('DỮ LIỆU'!$C$3:$C$1052,$B81,'DỮ LIỆU'!$O$3:$O$1052))</f>
        <v/>
      </c>
      <c r="L81" s="13" t="str">
        <f aca="false">IF($B81="","",SUMIF('DỮ LIỆU'!$C$3:$C$1052,$B81,'DỮ LIỆU'!$Q$3:$Q$1052))</f>
        <v/>
      </c>
      <c r="M81" s="41" t="str">
        <f aca="false">IF($B81="","",IF(SUMPRODUCT(MAX(('DỮ LIỆU'!$C$3:$C$1052=$B81)*'DỮ LIỆU'!$Z$3:$Z$1052))=0,"",SUMPRODUCT(MAX(('DỮ LIỆU'!$C$3:$C$1052=$B81)*'DỮ LIỆU'!$Z$3:$Z$1052))))</f>
        <v/>
      </c>
      <c r="N81" s="21" t="str">
        <f aca="false">IF($B81="","",IF($G81=0,"Chưa có đơn",IF(COUNTIFS('DỮ LIỆU'!$C$3:$C$1052,$B81,'DỮ LIỆU'!$K$3:$K$1052,"&gt;0")&gt;0,"Có lấy VAT","Không lấy VAT")))</f>
        <v/>
      </c>
    </row>
    <row r="82" customFormat="false" ht="15" hidden="false" customHeight="false" outlineLevel="0" collapsed="false">
      <c r="A82" s="21" t="str">
        <f aca="false">IF($B82="","",77)</f>
        <v/>
      </c>
      <c r="B82" s="21" t="str">
        <f aca="false">IFERROR(INDEX('DỮ LIỆU'!$C$3:$C$1052,MATCH(77,'DỮ LIỆU'!$W$3:$W$1052,0)),"")</f>
        <v/>
      </c>
      <c r="C82" s="21" t="str">
        <f aca="false">IF($B82="","",IFERROR(IF(INDEX('DỮ LIỆU'!$D$3:$D$1052,MATCH($B82,'DỮ LIỆU'!$C$3:$C$1052,0))="","",INDEX('DỮ LIỆU'!$D$3:$D$1052,MATCH($B82,'DỮ LIỆU'!$C$3:$C$1052,0))),""))</f>
        <v/>
      </c>
      <c r="D82" s="21" t="str">
        <f aca="false">IF($B82="","",IFERROR(IF(INDEX('DỮ LIỆU'!$E$3:$E$1052,MATCH($B82,'DỮ LIỆU'!$C$3:$C$1052,0))="","",INDEX('DỮ LIỆU'!$E$3:$E$1052,MATCH($B82,'DỮ LIỆU'!$C$3:$C$1052,0))),""))</f>
        <v/>
      </c>
      <c r="E82" s="21" t="str">
        <f aca="false">IF($B82="","",IFERROR(IF(INDEX('DỮ LIỆU'!$F$3:$F$1052,MATCH($B82,'DỮ LIỆU'!$C$3:$C$1052,0))="","",INDEX('DỮ LIỆU'!$F$3:$F$1052,MATCH($B82,'DỮ LIỆU'!$C$3:$C$1052,0))),""))</f>
        <v/>
      </c>
      <c r="F82" s="21" t="str">
        <f aca="false">IF($B82="","",IFERROR(IF(INDEX('DỮ LIỆU'!$G$3:$G$1052,MATCH($B82,'DỮ LIỆU'!$C$3:$C$1052,0))="","",INDEX('DỮ LIỆU'!$G$3:$G$1052,MATCH($B82,'DỮ LIỆU'!$C$3:$C$1052,0))),""))</f>
        <v/>
      </c>
      <c r="G82" s="13" t="str">
        <f aca="false">IF($B82="","",COUNTIFS('DỮ LIỆU'!$C$3:$C$1052,$B82,'DỮ LIỆU'!$J$3:$J$1052,"&gt;0"))</f>
        <v/>
      </c>
      <c r="H82" s="13" t="str">
        <f aca="false">IF($B82="","",SUMIF('DỮ LIỆU'!$C$3:$C$1052,$B82,'DỮ LIỆU'!$J$3:$J$1052))</f>
        <v/>
      </c>
      <c r="I82" s="13" t="str">
        <f aca="false">IF($B82="","",SUMIF('DỮ LIỆU'!$C$3:$C$1052,$B82,'DỮ LIỆU'!$M$3:$M$1052))</f>
        <v/>
      </c>
      <c r="J82" s="13" t="str">
        <f aca="false">IF($B82="","",SUMIF('DỮ LIỆU'!$C$3:$C$1052,$B82,'DỮ LIỆU'!$N$3:$N$1052))</f>
        <v/>
      </c>
      <c r="K82" s="13" t="str">
        <f aca="false">IF($B82="","",SUMIF('DỮ LIỆU'!$C$3:$C$1052,$B82,'DỮ LIỆU'!$O$3:$O$1052))</f>
        <v/>
      </c>
      <c r="L82" s="13" t="str">
        <f aca="false">IF($B82="","",SUMIF('DỮ LIỆU'!$C$3:$C$1052,$B82,'DỮ LIỆU'!$Q$3:$Q$1052))</f>
        <v/>
      </c>
      <c r="M82" s="41" t="str">
        <f aca="false">IF($B82="","",IF(SUMPRODUCT(MAX(('DỮ LIỆU'!$C$3:$C$1052=$B82)*'DỮ LIỆU'!$Z$3:$Z$1052))=0,"",SUMPRODUCT(MAX(('DỮ LIỆU'!$C$3:$C$1052=$B82)*'DỮ LIỆU'!$Z$3:$Z$1052))))</f>
        <v/>
      </c>
      <c r="N82" s="21" t="str">
        <f aca="false">IF($B82="","",IF($G82=0,"Chưa có đơn",IF(COUNTIFS('DỮ LIỆU'!$C$3:$C$1052,$B82,'DỮ LIỆU'!$K$3:$K$1052,"&gt;0")&gt;0,"Có lấy VAT","Không lấy VAT")))</f>
        <v/>
      </c>
    </row>
    <row r="83" customFormat="false" ht="15" hidden="false" customHeight="false" outlineLevel="0" collapsed="false">
      <c r="A83" s="21" t="str">
        <f aca="false">IF($B83="","",78)</f>
        <v/>
      </c>
      <c r="B83" s="21" t="str">
        <f aca="false">IFERROR(INDEX('DỮ LIỆU'!$C$3:$C$1052,MATCH(78,'DỮ LIỆU'!$W$3:$W$1052,0)),"")</f>
        <v/>
      </c>
      <c r="C83" s="21" t="str">
        <f aca="false">IF($B83="","",IFERROR(IF(INDEX('DỮ LIỆU'!$D$3:$D$1052,MATCH($B83,'DỮ LIỆU'!$C$3:$C$1052,0))="","",INDEX('DỮ LIỆU'!$D$3:$D$1052,MATCH($B83,'DỮ LIỆU'!$C$3:$C$1052,0))),""))</f>
        <v/>
      </c>
      <c r="D83" s="21" t="str">
        <f aca="false">IF($B83="","",IFERROR(IF(INDEX('DỮ LIỆU'!$E$3:$E$1052,MATCH($B83,'DỮ LIỆU'!$C$3:$C$1052,0))="","",INDEX('DỮ LIỆU'!$E$3:$E$1052,MATCH($B83,'DỮ LIỆU'!$C$3:$C$1052,0))),""))</f>
        <v/>
      </c>
      <c r="E83" s="21" t="str">
        <f aca="false">IF($B83="","",IFERROR(IF(INDEX('DỮ LIỆU'!$F$3:$F$1052,MATCH($B83,'DỮ LIỆU'!$C$3:$C$1052,0))="","",INDEX('DỮ LIỆU'!$F$3:$F$1052,MATCH($B83,'DỮ LIỆU'!$C$3:$C$1052,0))),""))</f>
        <v/>
      </c>
      <c r="F83" s="21" t="str">
        <f aca="false">IF($B83="","",IFERROR(IF(INDEX('DỮ LIỆU'!$G$3:$G$1052,MATCH($B83,'DỮ LIỆU'!$C$3:$C$1052,0))="","",INDEX('DỮ LIỆU'!$G$3:$G$1052,MATCH($B83,'DỮ LIỆU'!$C$3:$C$1052,0))),""))</f>
        <v/>
      </c>
      <c r="G83" s="13" t="str">
        <f aca="false">IF($B83="","",COUNTIFS('DỮ LIỆU'!$C$3:$C$1052,$B83,'DỮ LIỆU'!$J$3:$J$1052,"&gt;0"))</f>
        <v/>
      </c>
      <c r="H83" s="13" t="str">
        <f aca="false">IF($B83="","",SUMIF('DỮ LIỆU'!$C$3:$C$1052,$B83,'DỮ LIỆU'!$J$3:$J$1052))</f>
        <v/>
      </c>
      <c r="I83" s="13" t="str">
        <f aca="false">IF($B83="","",SUMIF('DỮ LIỆU'!$C$3:$C$1052,$B83,'DỮ LIỆU'!$M$3:$M$1052))</f>
        <v/>
      </c>
      <c r="J83" s="13" t="str">
        <f aca="false">IF($B83="","",SUMIF('DỮ LIỆU'!$C$3:$C$1052,$B83,'DỮ LIỆU'!$N$3:$N$1052))</f>
        <v/>
      </c>
      <c r="K83" s="13" t="str">
        <f aca="false">IF($B83="","",SUMIF('DỮ LIỆU'!$C$3:$C$1052,$B83,'DỮ LIỆU'!$O$3:$O$1052))</f>
        <v/>
      </c>
      <c r="L83" s="13" t="str">
        <f aca="false">IF($B83="","",SUMIF('DỮ LIỆU'!$C$3:$C$1052,$B83,'DỮ LIỆU'!$Q$3:$Q$1052))</f>
        <v/>
      </c>
      <c r="M83" s="41" t="str">
        <f aca="false">IF($B83="","",IF(SUMPRODUCT(MAX(('DỮ LIỆU'!$C$3:$C$1052=$B83)*'DỮ LIỆU'!$Z$3:$Z$1052))=0,"",SUMPRODUCT(MAX(('DỮ LIỆU'!$C$3:$C$1052=$B83)*'DỮ LIỆU'!$Z$3:$Z$1052))))</f>
        <v/>
      </c>
      <c r="N83" s="21" t="str">
        <f aca="false">IF($B83="","",IF($G83=0,"Chưa có đơn",IF(COUNTIFS('DỮ LIỆU'!$C$3:$C$1052,$B83,'DỮ LIỆU'!$K$3:$K$1052,"&gt;0")&gt;0,"Có lấy VAT","Không lấy VAT")))</f>
        <v/>
      </c>
    </row>
    <row r="84" customFormat="false" ht="15" hidden="false" customHeight="false" outlineLevel="0" collapsed="false">
      <c r="A84" s="21" t="str">
        <f aca="false">IF($B84="","",79)</f>
        <v/>
      </c>
      <c r="B84" s="21" t="str">
        <f aca="false">IFERROR(INDEX('DỮ LIỆU'!$C$3:$C$1052,MATCH(79,'DỮ LIỆU'!$W$3:$W$1052,0)),"")</f>
        <v/>
      </c>
      <c r="C84" s="21" t="str">
        <f aca="false">IF($B84="","",IFERROR(IF(INDEX('DỮ LIỆU'!$D$3:$D$1052,MATCH($B84,'DỮ LIỆU'!$C$3:$C$1052,0))="","",INDEX('DỮ LIỆU'!$D$3:$D$1052,MATCH($B84,'DỮ LIỆU'!$C$3:$C$1052,0))),""))</f>
        <v/>
      </c>
      <c r="D84" s="21" t="str">
        <f aca="false">IF($B84="","",IFERROR(IF(INDEX('DỮ LIỆU'!$E$3:$E$1052,MATCH($B84,'DỮ LIỆU'!$C$3:$C$1052,0))="","",INDEX('DỮ LIỆU'!$E$3:$E$1052,MATCH($B84,'DỮ LIỆU'!$C$3:$C$1052,0))),""))</f>
        <v/>
      </c>
      <c r="E84" s="21" t="str">
        <f aca="false">IF($B84="","",IFERROR(IF(INDEX('DỮ LIỆU'!$F$3:$F$1052,MATCH($B84,'DỮ LIỆU'!$C$3:$C$1052,0))="","",INDEX('DỮ LIỆU'!$F$3:$F$1052,MATCH($B84,'DỮ LIỆU'!$C$3:$C$1052,0))),""))</f>
        <v/>
      </c>
      <c r="F84" s="21" t="str">
        <f aca="false">IF($B84="","",IFERROR(IF(INDEX('DỮ LIỆU'!$G$3:$G$1052,MATCH($B84,'DỮ LIỆU'!$C$3:$C$1052,0))="","",INDEX('DỮ LIỆU'!$G$3:$G$1052,MATCH($B84,'DỮ LIỆU'!$C$3:$C$1052,0))),""))</f>
        <v/>
      </c>
      <c r="G84" s="13" t="str">
        <f aca="false">IF($B84="","",COUNTIFS('DỮ LIỆU'!$C$3:$C$1052,$B84,'DỮ LIỆU'!$J$3:$J$1052,"&gt;0"))</f>
        <v/>
      </c>
      <c r="H84" s="13" t="str">
        <f aca="false">IF($B84="","",SUMIF('DỮ LIỆU'!$C$3:$C$1052,$B84,'DỮ LIỆU'!$J$3:$J$1052))</f>
        <v/>
      </c>
      <c r="I84" s="13" t="str">
        <f aca="false">IF($B84="","",SUMIF('DỮ LIỆU'!$C$3:$C$1052,$B84,'DỮ LIỆU'!$M$3:$M$1052))</f>
        <v/>
      </c>
      <c r="J84" s="13" t="str">
        <f aca="false">IF($B84="","",SUMIF('DỮ LIỆU'!$C$3:$C$1052,$B84,'DỮ LIỆU'!$N$3:$N$1052))</f>
        <v/>
      </c>
      <c r="K84" s="13" t="str">
        <f aca="false">IF($B84="","",SUMIF('DỮ LIỆU'!$C$3:$C$1052,$B84,'DỮ LIỆU'!$O$3:$O$1052))</f>
        <v/>
      </c>
      <c r="L84" s="13" t="str">
        <f aca="false">IF($B84="","",SUMIF('DỮ LIỆU'!$C$3:$C$1052,$B84,'DỮ LIỆU'!$Q$3:$Q$1052))</f>
        <v/>
      </c>
      <c r="M84" s="41" t="str">
        <f aca="false">IF($B84="","",IF(SUMPRODUCT(MAX(('DỮ LIỆU'!$C$3:$C$1052=$B84)*'DỮ LIỆU'!$Z$3:$Z$1052))=0,"",SUMPRODUCT(MAX(('DỮ LIỆU'!$C$3:$C$1052=$B84)*'DỮ LIỆU'!$Z$3:$Z$1052))))</f>
        <v/>
      </c>
      <c r="N84" s="21" t="str">
        <f aca="false">IF($B84="","",IF($G84=0,"Chưa có đơn",IF(COUNTIFS('DỮ LIỆU'!$C$3:$C$1052,$B84,'DỮ LIỆU'!$K$3:$K$1052,"&gt;0")&gt;0,"Có lấy VAT","Không lấy VAT")))</f>
        <v/>
      </c>
    </row>
    <row r="85" customFormat="false" ht="15" hidden="false" customHeight="false" outlineLevel="0" collapsed="false">
      <c r="A85" s="21" t="str">
        <f aca="false">IF($B85="","",80)</f>
        <v/>
      </c>
      <c r="B85" s="21" t="str">
        <f aca="false">IFERROR(INDEX('DỮ LIỆU'!$C$3:$C$1052,MATCH(80,'DỮ LIỆU'!$W$3:$W$1052,0)),"")</f>
        <v/>
      </c>
      <c r="C85" s="21" t="str">
        <f aca="false">IF($B85="","",IFERROR(IF(INDEX('DỮ LIỆU'!$D$3:$D$1052,MATCH($B85,'DỮ LIỆU'!$C$3:$C$1052,0))="","",INDEX('DỮ LIỆU'!$D$3:$D$1052,MATCH($B85,'DỮ LIỆU'!$C$3:$C$1052,0))),""))</f>
        <v/>
      </c>
      <c r="D85" s="21" t="str">
        <f aca="false">IF($B85="","",IFERROR(IF(INDEX('DỮ LIỆU'!$E$3:$E$1052,MATCH($B85,'DỮ LIỆU'!$C$3:$C$1052,0))="","",INDEX('DỮ LIỆU'!$E$3:$E$1052,MATCH($B85,'DỮ LIỆU'!$C$3:$C$1052,0))),""))</f>
        <v/>
      </c>
      <c r="E85" s="21" t="str">
        <f aca="false">IF($B85="","",IFERROR(IF(INDEX('DỮ LIỆU'!$F$3:$F$1052,MATCH($B85,'DỮ LIỆU'!$C$3:$C$1052,0))="","",INDEX('DỮ LIỆU'!$F$3:$F$1052,MATCH($B85,'DỮ LIỆU'!$C$3:$C$1052,0))),""))</f>
        <v/>
      </c>
      <c r="F85" s="21" t="str">
        <f aca="false">IF($B85="","",IFERROR(IF(INDEX('DỮ LIỆU'!$G$3:$G$1052,MATCH($B85,'DỮ LIỆU'!$C$3:$C$1052,0))="","",INDEX('DỮ LIỆU'!$G$3:$G$1052,MATCH($B85,'DỮ LIỆU'!$C$3:$C$1052,0))),""))</f>
        <v/>
      </c>
      <c r="G85" s="13" t="str">
        <f aca="false">IF($B85="","",COUNTIFS('DỮ LIỆU'!$C$3:$C$1052,$B85,'DỮ LIỆU'!$J$3:$J$1052,"&gt;0"))</f>
        <v/>
      </c>
      <c r="H85" s="13" t="str">
        <f aca="false">IF($B85="","",SUMIF('DỮ LIỆU'!$C$3:$C$1052,$B85,'DỮ LIỆU'!$J$3:$J$1052))</f>
        <v/>
      </c>
      <c r="I85" s="13" t="str">
        <f aca="false">IF($B85="","",SUMIF('DỮ LIỆU'!$C$3:$C$1052,$B85,'DỮ LIỆU'!$M$3:$M$1052))</f>
        <v/>
      </c>
      <c r="J85" s="13" t="str">
        <f aca="false">IF($B85="","",SUMIF('DỮ LIỆU'!$C$3:$C$1052,$B85,'DỮ LIỆU'!$N$3:$N$1052))</f>
        <v/>
      </c>
      <c r="K85" s="13" t="str">
        <f aca="false">IF($B85="","",SUMIF('DỮ LIỆU'!$C$3:$C$1052,$B85,'DỮ LIỆU'!$O$3:$O$1052))</f>
        <v/>
      </c>
      <c r="L85" s="13" t="str">
        <f aca="false">IF($B85="","",SUMIF('DỮ LIỆU'!$C$3:$C$1052,$B85,'DỮ LIỆU'!$Q$3:$Q$1052))</f>
        <v/>
      </c>
      <c r="M85" s="41" t="str">
        <f aca="false">IF($B85="","",IF(SUMPRODUCT(MAX(('DỮ LIỆU'!$C$3:$C$1052=$B85)*'DỮ LIỆU'!$Z$3:$Z$1052))=0,"",SUMPRODUCT(MAX(('DỮ LIỆU'!$C$3:$C$1052=$B85)*'DỮ LIỆU'!$Z$3:$Z$1052))))</f>
        <v/>
      </c>
      <c r="N85" s="21" t="str">
        <f aca="false">IF($B85="","",IF($G85=0,"Chưa có đơn",IF(COUNTIFS('DỮ LIỆU'!$C$3:$C$1052,$B85,'DỮ LIỆU'!$K$3:$K$1052,"&gt;0")&gt;0,"Có lấy VAT","Không lấy VAT")))</f>
        <v/>
      </c>
    </row>
    <row r="86" customFormat="false" ht="15" hidden="false" customHeight="false" outlineLevel="0" collapsed="false">
      <c r="A86" s="21" t="str">
        <f aca="false">IF($B86="","",81)</f>
        <v/>
      </c>
      <c r="B86" s="21" t="str">
        <f aca="false">IFERROR(INDEX('DỮ LIỆU'!$C$3:$C$1052,MATCH(81,'DỮ LIỆU'!$W$3:$W$1052,0)),"")</f>
        <v/>
      </c>
      <c r="C86" s="21" t="str">
        <f aca="false">IF($B86="","",IFERROR(IF(INDEX('DỮ LIỆU'!$D$3:$D$1052,MATCH($B86,'DỮ LIỆU'!$C$3:$C$1052,0))="","",INDEX('DỮ LIỆU'!$D$3:$D$1052,MATCH($B86,'DỮ LIỆU'!$C$3:$C$1052,0))),""))</f>
        <v/>
      </c>
      <c r="D86" s="21" t="str">
        <f aca="false">IF($B86="","",IFERROR(IF(INDEX('DỮ LIỆU'!$E$3:$E$1052,MATCH($B86,'DỮ LIỆU'!$C$3:$C$1052,0))="","",INDEX('DỮ LIỆU'!$E$3:$E$1052,MATCH($B86,'DỮ LIỆU'!$C$3:$C$1052,0))),""))</f>
        <v/>
      </c>
      <c r="E86" s="21" t="str">
        <f aca="false">IF($B86="","",IFERROR(IF(INDEX('DỮ LIỆU'!$F$3:$F$1052,MATCH($B86,'DỮ LIỆU'!$C$3:$C$1052,0))="","",INDEX('DỮ LIỆU'!$F$3:$F$1052,MATCH($B86,'DỮ LIỆU'!$C$3:$C$1052,0))),""))</f>
        <v/>
      </c>
      <c r="F86" s="21" t="str">
        <f aca="false">IF($B86="","",IFERROR(IF(INDEX('DỮ LIỆU'!$G$3:$G$1052,MATCH($B86,'DỮ LIỆU'!$C$3:$C$1052,0))="","",INDEX('DỮ LIỆU'!$G$3:$G$1052,MATCH($B86,'DỮ LIỆU'!$C$3:$C$1052,0))),""))</f>
        <v/>
      </c>
      <c r="G86" s="13" t="str">
        <f aca="false">IF($B86="","",COUNTIFS('DỮ LIỆU'!$C$3:$C$1052,$B86,'DỮ LIỆU'!$J$3:$J$1052,"&gt;0"))</f>
        <v/>
      </c>
      <c r="H86" s="13" t="str">
        <f aca="false">IF($B86="","",SUMIF('DỮ LIỆU'!$C$3:$C$1052,$B86,'DỮ LIỆU'!$J$3:$J$1052))</f>
        <v/>
      </c>
      <c r="I86" s="13" t="str">
        <f aca="false">IF($B86="","",SUMIF('DỮ LIỆU'!$C$3:$C$1052,$B86,'DỮ LIỆU'!$M$3:$M$1052))</f>
        <v/>
      </c>
      <c r="J86" s="13" t="str">
        <f aca="false">IF($B86="","",SUMIF('DỮ LIỆU'!$C$3:$C$1052,$B86,'DỮ LIỆU'!$N$3:$N$1052))</f>
        <v/>
      </c>
      <c r="K86" s="13" t="str">
        <f aca="false">IF($B86="","",SUMIF('DỮ LIỆU'!$C$3:$C$1052,$B86,'DỮ LIỆU'!$O$3:$O$1052))</f>
        <v/>
      </c>
      <c r="L86" s="13" t="str">
        <f aca="false">IF($B86="","",SUMIF('DỮ LIỆU'!$C$3:$C$1052,$B86,'DỮ LIỆU'!$Q$3:$Q$1052))</f>
        <v/>
      </c>
      <c r="M86" s="41" t="str">
        <f aca="false">IF($B86="","",IF(SUMPRODUCT(MAX(('DỮ LIỆU'!$C$3:$C$1052=$B86)*'DỮ LIỆU'!$Z$3:$Z$1052))=0,"",SUMPRODUCT(MAX(('DỮ LIỆU'!$C$3:$C$1052=$B86)*'DỮ LIỆU'!$Z$3:$Z$1052))))</f>
        <v/>
      </c>
      <c r="N86" s="21" t="str">
        <f aca="false">IF($B86="","",IF($G86=0,"Chưa có đơn",IF(COUNTIFS('DỮ LIỆU'!$C$3:$C$1052,$B86,'DỮ LIỆU'!$K$3:$K$1052,"&gt;0")&gt;0,"Có lấy VAT","Không lấy VAT")))</f>
        <v/>
      </c>
    </row>
    <row r="87" customFormat="false" ht="15" hidden="false" customHeight="false" outlineLevel="0" collapsed="false">
      <c r="A87" s="21" t="str">
        <f aca="false">IF($B87="","",82)</f>
        <v/>
      </c>
      <c r="B87" s="21" t="str">
        <f aca="false">IFERROR(INDEX('DỮ LIỆU'!$C$3:$C$1052,MATCH(82,'DỮ LIỆU'!$W$3:$W$1052,0)),"")</f>
        <v/>
      </c>
      <c r="C87" s="21" t="str">
        <f aca="false">IF($B87="","",IFERROR(IF(INDEX('DỮ LIỆU'!$D$3:$D$1052,MATCH($B87,'DỮ LIỆU'!$C$3:$C$1052,0))="","",INDEX('DỮ LIỆU'!$D$3:$D$1052,MATCH($B87,'DỮ LIỆU'!$C$3:$C$1052,0))),""))</f>
        <v/>
      </c>
      <c r="D87" s="21" t="str">
        <f aca="false">IF($B87="","",IFERROR(IF(INDEX('DỮ LIỆU'!$E$3:$E$1052,MATCH($B87,'DỮ LIỆU'!$C$3:$C$1052,0))="","",INDEX('DỮ LIỆU'!$E$3:$E$1052,MATCH($B87,'DỮ LIỆU'!$C$3:$C$1052,0))),""))</f>
        <v/>
      </c>
      <c r="E87" s="21" t="str">
        <f aca="false">IF($B87="","",IFERROR(IF(INDEX('DỮ LIỆU'!$F$3:$F$1052,MATCH($B87,'DỮ LIỆU'!$C$3:$C$1052,0))="","",INDEX('DỮ LIỆU'!$F$3:$F$1052,MATCH($B87,'DỮ LIỆU'!$C$3:$C$1052,0))),""))</f>
        <v/>
      </c>
      <c r="F87" s="21" t="str">
        <f aca="false">IF($B87="","",IFERROR(IF(INDEX('DỮ LIỆU'!$G$3:$G$1052,MATCH($B87,'DỮ LIỆU'!$C$3:$C$1052,0))="","",INDEX('DỮ LIỆU'!$G$3:$G$1052,MATCH($B87,'DỮ LIỆU'!$C$3:$C$1052,0))),""))</f>
        <v/>
      </c>
      <c r="G87" s="13" t="str">
        <f aca="false">IF($B87="","",COUNTIFS('DỮ LIỆU'!$C$3:$C$1052,$B87,'DỮ LIỆU'!$J$3:$J$1052,"&gt;0"))</f>
        <v/>
      </c>
      <c r="H87" s="13" t="str">
        <f aca="false">IF($B87="","",SUMIF('DỮ LIỆU'!$C$3:$C$1052,$B87,'DỮ LIỆU'!$J$3:$J$1052))</f>
        <v/>
      </c>
      <c r="I87" s="13" t="str">
        <f aca="false">IF($B87="","",SUMIF('DỮ LIỆU'!$C$3:$C$1052,$B87,'DỮ LIỆU'!$M$3:$M$1052))</f>
        <v/>
      </c>
      <c r="J87" s="13" t="str">
        <f aca="false">IF($B87="","",SUMIF('DỮ LIỆU'!$C$3:$C$1052,$B87,'DỮ LIỆU'!$N$3:$N$1052))</f>
        <v/>
      </c>
      <c r="K87" s="13" t="str">
        <f aca="false">IF($B87="","",SUMIF('DỮ LIỆU'!$C$3:$C$1052,$B87,'DỮ LIỆU'!$O$3:$O$1052))</f>
        <v/>
      </c>
      <c r="L87" s="13" t="str">
        <f aca="false">IF($B87="","",SUMIF('DỮ LIỆU'!$C$3:$C$1052,$B87,'DỮ LIỆU'!$Q$3:$Q$1052))</f>
        <v/>
      </c>
      <c r="M87" s="41" t="str">
        <f aca="false">IF($B87="","",IF(SUMPRODUCT(MAX(('DỮ LIỆU'!$C$3:$C$1052=$B87)*'DỮ LIỆU'!$Z$3:$Z$1052))=0,"",SUMPRODUCT(MAX(('DỮ LIỆU'!$C$3:$C$1052=$B87)*'DỮ LIỆU'!$Z$3:$Z$1052))))</f>
        <v/>
      </c>
      <c r="N87" s="21" t="str">
        <f aca="false">IF($B87="","",IF($G87=0,"Chưa có đơn",IF(COUNTIFS('DỮ LIỆU'!$C$3:$C$1052,$B87,'DỮ LIỆU'!$K$3:$K$1052,"&gt;0")&gt;0,"Có lấy VAT","Không lấy VAT")))</f>
        <v/>
      </c>
    </row>
    <row r="88" customFormat="false" ht="15" hidden="false" customHeight="false" outlineLevel="0" collapsed="false">
      <c r="A88" s="21" t="str">
        <f aca="false">IF($B88="","",83)</f>
        <v/>
      </c>
      <c r="B88" s="21" t="str">
        <f aca="false">IFERROR(INDEX('DỮ LIỆU'!$C$3:$C$1052,MATCH(83,'DỮ LIỆU'!$W$3:$W$1052,0)),"")</f>
        <v/>
      </c>
      <c r="C88" s="21" t="str">
        <f aca="false">IF($B88="","",IFERROR(IF(INDEX('DỮ LIỆU'!$D$3:$D$1052,MATCH($B88,'DỮ LIỆU'!$C$3:$C$1052,0))="","",INDEX('DỮ LIỆU'!$D$3:$D$1052,MATCH($B88,'DỮ LIỆU'!$C$3:$C$1052,0))),""))</f>
        <v/>
      </c>
      <c r="D88" s="21" t="str">
        <f aca="false">IF($B88="","",IFERROR(IF(INDEX('DỮ LIỆU'!$E$3:$E$1052,MATCH($B88,'DỮ LIỆU'!$C$3:$C$1052,0))="","",INDEX('DỮ LIỆU'!$E$3:$E$1052,MATCH($B88,'DỮ LIỆU'!$C$3:$C$1052,0))),""))</f>
        <v/>
      </c>
      <c r="E88" s="21" t="str">
        <f aca="false">IF($B88="","",IFERROR(IF(INDEX('DỮ LIỆU'!$F$3:$F$1052,MATCH($B88,'DỮ LIỆU'!$C$3:$C$1052,0))="","",INDEX('DỮ LIỆU'!$F$3:$F$1052,MATCH($B88,'DỮ LIỆU'!$C$3:$C$1052,0))),""))</f>
        <v/>
      </c>
      <c r="F88" s="21" t="str">
        <f aca="false">IF($B88="","",IFERROR(IF(INDEX('DỮ LIỆU'!$G$3:$G$1052,MATCH($B88,'DỮ LIỆU'!$C$3:$C$1052,0))="","",INDEX('DỮ LIỆU'!$G$3:$G$1052,MATCH($B88,'DỮ LIỆU'!$C$3:$C$1052,0))),""))</f>
        <v/>
      </c>
      <c r="G88" s="13" t="str">
        <f aca="false">IF($B88="","",COUNTIFS('DỮ LIỆU'!$C$3:$C$1052,$B88,'DỮ LIỆU'!$J$3:$J$1052,"&gt;0"))</f>
        <v/>
      </c>
      <c r="H88" s="13" t="str">
        <f aca="false">IF($B88="","",SUMIF('DỮ LIỆU'!$C$3:$C$1052,$B88,'DỮ LIỆU'!$J$3:$J$1052))</f>
        <v/>
      </c>
      <c r="I88" s="13" t="str">
        <f aca="false">IF($B88="","",SUMIF('DỮ LIỆU'!$C$3:$C$1052,$B88,'DỮ LIỆU'!$M$3:$M$1052))</f>
        <v/>
      </c>
      <c r="J88" s="13" t="str">
        <f aca="false">IF($B88="","",SUMIF('DỮ LIỆU'!$C$3:$C$1052,$B88,'DỮ LIỆU'!$N$3:$N$1052))</f>
        <v/>
      </c>
      <c r="K88" s="13" t="str">
        <f aca="false">IF($B88="","",SUMIF('DỮ LIỆU'!$C$3:$C$1052,$B88,'DỮ LIỆU'!$O$3:$O$1052))</f>
        <v/>
      </c>
      <c r="L88" s="13" t="str">
        <f aca="false">IF($B88="","",SUMIF('DỮ LIỆU'!$C$3:$C$1052,$B88,'DỮ LIỆU'!$Q$3:$Q$1052))</f>
        <v/>
      </c>
      <c r="M88" s="41" t="str">
        <f aca="false">IF($B88="","",IF(SUMPRODUCT(MAX(('DỮ LIỆU'!$C$3:$C$1052=$B88)*'DỮ LIỆU'!$Z$3:$Z$1052))=0,"",SUMPRODUCT(MAX(('DỮ LIỆU'!$C$3:$C$1052=$B88)*'DỮ LIỆU'!$Z$3:$Z$1052))))</f>
        <v/>
      </c>
      <c r="N88" s="21" t="str">
        <f aca="false">IF($B88="","",IF($G88=0,"Chưa có đơn",IF(COUNTIFS('DỮ LIỆU'!$C$3:$C$1052,$B88,'DỮ LIỆU'!$K$3:$K$1052,"&gt;0")&gt;0,"Có lấy VAT","Không lấy VAT")))</f>
        <v/>
      </c>
    </row>
    <row r="89" customFormat="false" ht="15" hidden="false" customHeight="false" outlineLevel="0" collapsed="false">
      <c r="A89" s="21" t="str">
        <f aca="false">IF($B89="","",84)</f>
        <v/>
      </c>
      <c r="B89" s="21" t="str">
        <f aca="false">IFERROR(INDEX('DỮ LIỆU'!$C$3:$C$1052,MATCH(84,'DỮ LIỆU'!$W$3:$W$1052,0)),"")</f>
        <v/>
      </c>
      <c r="C89" s="21" t="str">
        <f aca="false">IF($B89="","",IFERROR(IF(INDEX('DỮ LIỆU'!$D$3:$D$1052,MATCH($B89,'DỮ LIỆU'!$C$3:$C$1052,0))="","",INDEX('DỮ LIỆU'!$D$3:$D$1052,MATCH($B89,'DỮ LIỆU'!$C$3:$C$1052,0))),""))</f>
        <v/>
      </c>
      <c r="D89" s="21" t="str">
        <f aca="false">IF($B89="","",IFERROR(IF(INDEX('DỮ LIỆU'!$E$3:$E$1052,MATCH($B89,'DỮ LIỆU'!$C$3:$C$1052,0))="","",INDEX('DỮ LIỆU'!$E$3:$E$1052,MATCH($B89,'DỮ LIỆU'!$C$3:$C$1052,0))),""))</f>
        <v/>
      </c>
      <c r="E89" s="21" t="str">
        <f aca="false">IF($B89="","",IFERROR(IF(INDEX('DỮ LIỆU'!$F$3:$F$1052,MATCH($B89,'DỮ LIỆU'!$C$3:$C$1052,0))="","",INDEX('DỮ LIỆU'!$F$3:$F$1052,MATCH($B89,'DỮ LIỆU'!$C$3:$C$1052,0))),""))</f>
        <v/>
      </c>
      <c r="F89" s="21" t="str">
        <f aca="false">IF($B89="","",IFERROR(IF(INDEX('DỮ LIỆU'!$G$3:$G$1052,MATCH($B89,'DỮ LIỆU'!$C$3:$C$1052,0))="","",INDEX('DỮ LIỆU'!$G$3:$G$1052,MATCH($B89,'DỮ LIỆU'!$C$3:$C$1052,0))),""))</f>
        <v/>
      </c>
      <c r="G89" s="13" t="str">
        <f aca="false">IF($B89="","",COUNTIFS('DỮ LIỆU'!$C$3:$C$1052,$B89,'DỮ LIỆU'!$J$3:$J$1052,"&gt;0"))</f>
        <v/>
      </c>
      <c r="H89" s="13" t="str">
        <f aca="false">IF($B89="","",SUMIF('DỮ LIỆU'!$C$3:$C$1052,$B89,'DỮ LIỆU'!$J$3:$J$1052))</f>
        <v/>
      </c>
      <c r="I89" s="13" t="str">
        <f aca="false">IF($B89="","",SUMIF('DỮ LIỆU'!$C$3:$C$1052,$B89,'DỮ LIỆU'!$M$3:$M$1052))</f>
        <v/>
      </c>
      <c r="J89" s="13" t="str">
        <f aca="false">IF($B89="","",SUMIF('DỮ LIỆU'!$C$3:$C$1052,$B89,'DỮ LIỆU'!$N$3:$N$1052))</f>
        <v/>
      </c>
      <c r="K89" s="13" t="str">
        <f aca="false">IF($B89="","",SUMIF('DỮ LIỆU'!$C$3:$C$1052,$B89,'DỮ LIỆU'!$O$3:$O$1052))</f>
        <v/>
      </c>
      <c r="L89" s="13" t="str">
        <f aca="false">IF($B89="","",SUMIF('DỮ LIỆU'!$C$3:$C$1052,$B89,'DỮ LIỆU'!$Q$3:$Q$1052))</f>
        <v/>
      </c>
      <c r="M89" s="41" t="str">
        <f aca="false">IF($B89="","",IF(SUMPRODUCT(MAX(('DỮ LIỆU'!$C$3:$C$1052=$B89)*'DỮ LIỆU'!$Z$3:$Z$1052))=0,"",SUMPRODUCT(MAX(('DỮ LIỆU'!$C$3:$C$1052=$B89)*'DỮ LIỆU'!$Z$3:$Z$1052))))</f>
        <v/>
      </c>
      <c r="N89" s="21" t="str">
        <f aca="false">IF($B89="","",IF($G89=0,"Chưa có đơn",IF(COUNTIFS('DỮ LIỆU'!$C$3:$C$1052,$B89,'DỮ LIỆU'!$K$3:$K$1052,"&gt;0")&gt;0,"Có lấy VAT","Không lấy VAT")))</f>
        <v/>
      </c>
    </row>
    <row r="90" customFormat="false" ht="15" hidden="false" customHeight="false" outlineLevel="0" collapsed="false">
      <c r="A90" s="21" t="str">
        <f aca="false">IF($B90="","",85)</f>
        <v/>
      </c>
      <c r="B90" s="21" t="str">
        <f aca="false">IFERROR(INDEX('DỮ LIỆU'!$C$3:$C$1052,MATCH(85,'DỮ LIỆU'!$W$3:$W$1052,0)),"")</f>
        <v/>
      </c>
      <c r="C90" s="21" t="str">
        <f aca="false">IF($B90="","",IFERROR(IF(INDEX('DỮ LIỆU'!$D$3:$D$1052,MATCH($B90,'DỮ LIỆU'!$C$3:$C$1052,0))="","",INDEX('DỮ LIỆU'!$D$3:$D$1052,MATCH($B90,'DỮ LIỆU'!$C$3:$C$1052,0))),""))</f>
        <v/>
      </c>
      <c r="D90" s="21" t="str">
        <f aca="false">IF($B90="","",IFERROR(IF(INDEX('DỮ LIỆU'!$E$3:$E$1052,MATCH($B90,'DỮ LIỆU'!$C$3:$C$1052,0))="","",INDEX('DỮ LIỆU'!$E$3:$E$1052,MATCH($B90,'DỮ LIỆU'!$C$3:$C$1052,0))),""))</f>
        <v/>
      </c>
      <c r="E90" s="21" t="str">
        <f aca="false">IF($B90="","",IFERROR(IF(INDEX('DỮ LIỆU'!$F$3:$F$1052,MATCH($B90,'DỮ LIỆU'!$C$3:$C$1052,0))="","",INDEX('DỮ LIỆU'!$F$3:$F$1052,MATCH($B90,'DỮ LIỆU'!$C$3:$C$1052,0))),""))</f>
        <v/>
      </c>
      <c r="F90" s="21" t="str">
        <f aca="false">IF($B90="","",IFERROR(IF(INDEX('DỮ LIỆU'!$G$3:$G$1052,MATCH($B90,'DỮ LIỆU'!$C$3:$C$1052,0))="","",INDEX('DỮ LIỆU'!$G$3:$G$1052,MATCH($B90,'DỮ LIỆU'!$C$3:$C$1052,0))),""))</f>
        <v/>
      </c>
      <c r="G90" s="13" t="str">
        <f aca="false">IF($B90="","",COUNTIFS('DỮ LIỆU'!$C$3:$C$1052,$B90,'DỮ LIỆU'!$J$3:$J$1052,"&gt;0"))</f>
        <v/>
      </c>
      <c r="H90" s="13" t="str">
        <f aca="false">IF($B90="","",SUMIF('DỮ LIỆU'!$C$3:$C$1052,$B90,'DỮ LIỆU'!$J$3:$J$1052))</f>
        <v/>
      </c>
      <c r="I90" s="13" t="str">
        <f aca="false">IF($B90="","",SUMIF('DỮ LIỆU'!$C$3:$C$1052,$B90,'DỮ LIỆU'!$M$3:$M$1052))</f>
        <v/>
      </c>
      <c r="J90" s="13" t="str">
        <f aca="false">IF($B90="","",SUMIF('DỮ LIỆU'!$C$3:$C$1052,$B90,'DỮ LIỆU'!$N$3:$N$1052))</f>
        <v/>
      </c>
      <c r="K90" s="13" t="str">
        <f aca="false">IF($B90="","",SUMIF('DỮ LIỆU'!$C$3:$C$1052,$B90,'DỮ LIỆU'!$O$3:$O$1052))</f>
        <v/>
      </c>
      <c r="L90" s="13" t="str">
        <f aca="false">IF($B90="","",SUMIF('DỮ LIỆU'!$C$3:$C$1052,$B90,'DỮ LIỆU'!$Q$3:$Q$1052))</f>
        <v/>
      </c>
      <c r="M90" s="41" t="str">
        <f aca="false">IF($B90="","",IF(SUMPRODUCT(MAX(('DỮ LIỆU'!$C$3:$C$1052=$B90)*'DỮ LIỆU'!$Z$3:$Z$1052))=0,"",SUMPRODUCT(MAX(('DỮ LIỆU'!$C$3:$C$1052=$B90)*'DỮ LIỆU'!$Z$3:$Z$1052))))</f>
        <v/>
      </c>
      <c r="N90" s="21" t="str">
        <f aca="false">IF($B90="","",IF($G90=0,"Chưa có đơn",IF(COUNTIFS('DỮ LIỆU'!$C$3:$C$1052,$B90,'DỮ LIỆU'!$K$3:$K$1052,"&gt;0")&gt;0,"Có lấy VAT","Không lấy VAT")))</f>
        <v/>
      </c>
    </row>
    <row r="91" customFormat="false" ht="15" hidden="false" customHeight="false" outlineLevel="0" collapsed="false">
      <c r="A91" s="21" t="str">
        <f aca="false">IF($B91="","",86)</f>
        <v/>
      </c>
      <c r="B91" s="21" t="str">
        <f aca="false">IFERROR(INDEX('DỮ LIỆU'!$C$3:$C$1052,MATCH(86,'DỮ LIỆU'!$W$3:$W$1052,0)),"")</f>
        <v/>
      </c>
      <c r="C91" s="21" t="str">
        <f aca="false">IF($B91="","",IFERROR(IF(INDEX('DỮ LIỆU'!$D$3:$D$1052,MATCH($B91,'DỮ LIỆU'!$C$3:$C$1052,0))="","",INDEX('DỮ LIỆU'!$D$3:$D$1052,MATCH($B91,'DỮ LIỆU'!$C$3:$C$1052,0))),""))</f>
        <v/>
      </c>
      <c r="D91" s="21" t="str">
        <f aca="false">IF($B91="","",IFERROR(IF(INDEX('DỮ LIỆU'!$E$3:$E$1052,MATCH($B91,'DỮ LIỆU'!$C$3:$C$1052,0))="","",INDEX('DỮ LIỆU'!$E$3:$E$1052,MATCH($B91,'DỮ LIỆU'!$C$3:$C$1052,0))),""))</f>
        <v/>
      </c>
      <c r="E91" s="21" t="str">
        <f aca="false">IF($B91="","",IFERROR(IF(INDEX('DỮ LIỆU'!$F$3:$F$1052,MATCH($B91,'DỮ LIỆU'!$C$3:$C$1052,0))="","",INDEX('DỮ LIỆU'!$F$3:$F$1052,MATCH($B91,'DỮ LIỆU'!$C$3:$C$1052,0))),""))</f>
        <v/>
      </c>
      <c r="F91" s="21" t="str">
        <f aca="false">IF($B91="","",IFERROR(IF(INDEX('DỮ LIỆU'!$G$3:$G$1052,MATCH($B91,'DỮ LIỆU'!$C$3:$C$1052,0))="","",INDEX('DỮ LIỆU'!$G$3:$G$1052,MATCH($B91,'DỮ LIỆU'!$C$3:$C$1052,0))),""))</f>
        <v/>
      </c>
      <c r="G91" s="13" t="str">
        <f aca="false">IF($B91="","",COUNTIFS('DỮ LIỆU'!$C$3:$C$1052,$B91,'DỮ LIỆU'!$J$3:$J$1052,"&gt;0"))</f>
        <v/>
      </c>
      <c r="H91" s="13" t="str">
        <f aca="false">IF($B91="","",SUMIF('DỮ LIỆU'!$C$3:$C$1052,$B91,'DỮ LIỆU'!$J$3:$J$1052))</f>
        <v/>
      </c>
      <c r="I91" s="13" t="str">
        <f aca="false">IF($B91="","",SUMIF('DỮ LIỆU'!$C$3:$C$1052,$B91,'DỮ LIỆU'!$M$3:$M$1052))</f>
        <v/>
      </c>
      <c r="J91" s="13" t="str">
        <f aca="false">IF($B91="","",SUMIF('DỮ LIỆU'!$C$3:$C$1052,$B91,'DỮ LIỆU'!$N$3:$N$1052))</f>
        <v/>
      </c>
      <c r="K91" s="13" t="str">
        <f aca="false">IF($B91="","",SUMIF('DỮ LIỆU'!$C$3:$C$1052,$B91,'DỮ LIỆU'!$O$3:$O$1052))</f>
        <v/>
      </c>
      <c r="L91" s="13" t="str">
        <f aca="false">IF($B91="","",SUMIF('DỮ LIỆU'!$C$3:$C$1052,$B91,'DỮ LIỆU'!$Q$3:$Q$1052))</f>
        <v/>
      </c>
      <c r="M91" s="41" t="str">
        <f aca="false">IF($B91="","",IF(SUMPRODUCT(MAX(('DỮ LIỆU'!$C$3:$C$1052=$B91)*'DỮ LIỆU'!$Z$3:$Z$1052))=0,"",SUMPRODUCT(MAX(('DỮ LIỆU'!$C$3:$C$1052=$B91)*'DỮ LIỆU'!$Z$3:$Z$1052))))</f>
        <v/>
      </c>
      <c r="N91" s="21" t="str">
        <f aca="false">IF($B91="","",IF($G91=0,"Chưa có đơn",IF(COUNTIFS('DỮ LIỆU'!$C$3:$C$1052,$B91,'DỮ LIỆU'!$K$3:$K$1052,"&gt;0")&gt;0,"Có lấy VAT","Không lấy VAT")))</f>
        <v/>
      </c>
    </row>
    <row r="92" customFormat="false" ht="15" hidden="false" customHeight="false" outlineLevel="0" collapsed="false">
      <c r="A92" s="21" t="str">
        <f aca="false">IF($B92="","",87)</f>
        <v/>
      </c>
      <c r="B92" s="21" t="str">
        <f aca="false">IFERROR(INDEX('DỮ LIỆU'!$C$3:$C$1052,MATCH(87,'DỮ LIỆU'!$W$3:$W$1052,0)),"")</f>
        <v/>
      </c>
      <c r="C92" s="21" t="str">
        <f aca="false">IF($B92="","",IFERROR(IF(INDEX('DỮ LIỆU'!$D$3:$D$1052,MATCH($B92,'DỮ LIỆU'!$C$3:$C$1052,0))="","",INDEX('DỮ LIỆU'!$D$3:$D$1052,MATCH($B92,'DỮ LIỆU'!$C$3:$C$1052,0))),""))</f>
        <v/>
      </c>
      <c r="D92" s="21" t="str">
        <f aca="false">IF($B92="","",IFERROR(IF(INDEX('DỮ LIỆU'!$E$3:$E$1052,MATCH($B92,'DỮ LIỆU'!$C$3:$C$1052,0))="","",INDEX('DỮ LIỆU'!$E$3:$E$1052,MATCH($B92,'DỮ LIỆU'!$C$3:$C$1052,0))),""))</f>
        <v/>
      </c>
      <c r="E92" s="21" t="str">
        <f aca="false">IF($B92="","",IFERROR(IF(INDEX('DỮ LIỆU'!$F$3:$F$1052,MATCH($B92,'DỮ LIỆU'!$C$3:$C$1052,0))="","",INDEX('DỮ LIỆU'!$F$3:$F$1052,MATCH($B92,'DỮ LIỆU'!$C$3:$C$1052,0))),""))</f>
        <v/>
      </c>
      <c r="F92" s="21" t="str">
        <f aca="false">IF($B92="","",IFERROR(IF(INDEX('DỮ LIỆU'!$G$3:$G$1052,MATCH($B92,'DỮ LIỆU'!$C$3:$C$1052,0))="","",INDEX('DỮ LIỆU'!$G$3:$G$1052,MATCH($B92,'DỮ LIỆU'!$C$3:$C$1052,0))),""))</f>
        <v/>
      </c>
      <c r="G92" s="13" t="str">
        <f aca="false">IF($B92="","",COUNTIFS('DỮ LIỆU'!$C$3:$C$1052,$B92,'DỮ LIỆU'!$J$3:$J$1052,"&gt;0"))</f>
        <v/>
      </c>
      <c r="H92" s="13" t="str">
        <f aca="false">IF($B92="","",SUMIF('DỮ LIỆU'!$C$3:$C$1052,$B92,'DỮ LIỆU'!$J$3:$J$1052))</f>
        <v/>
      </c>
      <c r="I92" s="13" t="str">
        <f aca="false">IF($B92="","",SUMIF('DỮ LIỆU'!$C$3:$C$1052,$B92,'DỮ LIỆU'!$M$3:$M$1052))</f>
        <v/>
      </c>
      <c r="J92" s="13" t="str">
        <f aca="false">IF($B92="","",SUMIF('DỮ LIỆU'!$C$3:$C$1052,$B92,'DỮ LIỆU'!$N$3:$N$1052))</f>
        <v/>
      </c>
      <c r="K92" s="13" t="str">
        <f aca="false">IF($B92="","",SUMIF('DỮ LIỆU'!$C$3:$C$1052,$B92,'DỮ LIỆU'!$O$3:$O$1052))</f>
        <v/>
      </c>
      <c r="L92" s="13" t="str">
        <f aca="false">IF($B92="","",SUMIF('DỮ LIỆU'!$C$3:$C$1052,$B92,'DỮ LIỆU'!$Q$3:$Q$1052))</f>
        <v/>
      </c>
      <c r="M92" s="41" t="str">
        <f aca="false">IF($B92="","",IF(SUMPRODUCT(MAX(('DỮ LIỆU'!$C$3:$C$1052=$B92)*'DỮ LIỆU'!$Z$3:$Z$1052))=0,"",SUMPRODUCT(MAX(('DỮ LIỆU'!$C$3:$C$1052=$B92)*'DỮ LIỆU'!$Z$3:$Z$1052))))</f>
        <v/>
      </c>
      <c r="N92" s="21" t="str">
        <f aca="false">IF($B92="","",IF($G92=0,"Chưa có đơn",IF(COUNTIFS('DỮ LIỆU'!$C$3:$C$1052,$B92,'DỮ LIỆU'!$K$3:$K$1052,"&gt;0")&gt;0,"Có lấy VAT","Không lấy VAT")))</f>
        <v/>
      </c>
    </row>
    <row r="93" customFormat="false" ht="15" hidden="false" customHeight="false" outlineLevel="0" collapsed="false">
      <c r="A93" s="21" t="str">
        <f aca="false">IF($B93="","",88)</f>
        <v/>
      </c>
      <c r="B93" s="21" t="str">
        <f aca="false">IFERROR(INDEX('DỮ LIỆU'!$C$3:$C$1052,MATCH(88,'DỮ LIỆU'!$W$3:$W$1052,0)),"")</f>
        <v/>
      </c>
      <c r="C93" s="21" t="str">
        <f aca="false">IF($B93="","",IFERROR(IF(INDEX('DỮ LIỆU'!$D$3:$D$1052,MATCH($B93,'DỮ LIỆU'!$C$3:$C$1052,0))="","",INDEX('DỮ LIỆU'!$D$3:$D$1052,MATCH($B93,'DỮ LIỆU'!$C$3:$C$1052,0))),""))</f>
        <v/>
      </c>
      <c r="D93" s="21" t="str">
        <f aca="false">IF($B93="","",IFERROR(IF(INDEX('DỮ LIỆU'!$E$3:$E$1052,MATCH($B93,'DỮ LIỆU'!$C$3:$C$1052,0))="","",INDEX('DỮ LIỆU'!$E$3:$E$1052,MATCH($B93,'DỮ LIỆU'!$C$3:$C$1052,0))),""))</f>
        <v/>
      </c>
      <c r="E93" s="21" t="str">
        <f aca="false">IF($B93="","",IFERROR(IF(INDEX('DỮ LIỆU'!$F$3:$F$1052,MATCH($B93,'DỮ LIỆU'!$C$3:$C$1052,0))="","",INDEX('DỮ LIỆU'!$F$3:$F$1052,MATCH($B93,'DỮ LIỆU'!$C$3:$C$1052,0))),""))</f>
        <v/>
      </c>
      <c r="F93" s="21" t="str">
        <f aca="false">IF($B93="","",IFERROR(IF(INDEX('DỮ LIỆU'!$G$3:$G$1052,MATCH($B93,'DỮ LIỆU'!$C$3:$C$1052,0))="","",INDEX('DỮ LIỆU'!$G$3:$G$1052,MATCH($B93,'DỮ LIỆU'!$C$3:$C$1052,0))),""))</f>
        <v/>
      </c>
      <c r="G93" s="13" t="str">
        <f aca="false">IF($B93="","",COUNTIFS('DỮ LIỆU'!$C$3:$C$1052,$B93,'DỮ LIỆU'!$J$3:$J$1052,"&gt;0"))</f>
        <v/>
      </c>
      <c r="H93" s="13" t="str">
        <f aca="false">IF($B93="","",SUMIF('DỮ LIỆU'!$C$3:$C$1052,$B93,'DỮ LIỆU'!$J$3:$J$1052))</f>
        <v/>
      </c>
      <c r="I93" s="13" t="str">
        <f aca="false">IF($B93="","",SUMIF('DỮ LIỆU'!$C$3:$C$1052,$B93,'DỮ LIỆU'!$M$3:$M$1052))</f>
        <v/>
      </c>
      <c r="J93" s="13" t="str">
        <f aca="false">IF($B93="","",SUMIF('DỮ LIỆU'!$C$3:$C$1052,$B93,'DỮ LIỆU'!$N$3:$N$1052))</f>
        <v/>
      </c>
      <c r="K93" s="13" t="str">
        <f aca="false">IF($B93="","",SUMIF('DỮ LIỆU'!$C$3:$C$1052,$B93,'DỮ LIỆU'!$O$3:$O$1052))</f>
        <v/>
      </c>
      <c r="L93" s="13" t="str">
        <f aca="false">IF($B93="","",SUMIF('DỮ LIỆU'!$C$3:$C$1052,$B93,'DỮ LIỆU'!$Q$3:$Q$1052))</f>
        <v/>
      </c>
      <c r="M93" s="41" t="str">
        <f aca="false">IF($B93="","",IF(SUMPRODUCT(MAX(('DỮ LIỆU'!$C$3:$C$1052=$B93)*'DỮ LIỆU'!$Z$3:$Z$1052))=0,"",SUMPRODUCT(MAX(('DỮ LIỆU'!$C$3:$C$1052=$B93)*'DỮ LIỆU'!$Z$3:$Z$1052))))</f>
        <v/>
      </c>
      <c r="N93" s="21" t="str">
        <f aca="false">IF($B93="","",IF($G93=0,"Chưa có đơn",IF(COUNTIFS('DỮ LIỆU'!$C$3:$C$1052,$B93,'DỮ LIỆU'!$K$3:$K$1052,"&gt;0")&gt;0,"Có lấy VAT","Không lấy VAT")))</f>
        <v/>
      </c>
    </row>
    <row r="94" customFormat="false" ht="15" hidden="false" customHeight="false" outlineLevel="0" collapsed="false">
      <c r="A94" s="21" t="str">
        <f aca="false">IF($B94="","",89)</f>
        <v/>
      </c>
      <c r="B94" s="21" t="str">
        <f aca="false">IFERROR(INDEX('DỮ LIỆU'!$C$3:$C$1052,MATCH(89,'DỮ LIỆU'!$W$3:$W$1052,0)),"")</f>
        <v/>
      </c>
      <c r="C94" s="21" t="str">
        <f aca="false">IF($B94="","",IFERROR(IF(INDEX('DỮ LIỆU'!$D$3:$D$1052,MATCH($B94,'DỮ LIỆU'!$C$3:$C$1052,0))="","",INDEX('DỮ LIỆU'!$D$3:$D$1052,MATCH($B94,'DỮ LIỆU'!$C$3:$C$1052,0))),""))</f>
        <v/>
      </c>
      <c r="D94" s="21" t="str">
        <f aca="false">IF($B94="","",IFERROR(IF(INDEX('DỮ LIỆU'!$E$3:$E$1052,MATCH($B94,'DỮ LIỆU'!$C$3:$C$1052,0))="","",INDEX('DỮ LIỆU'!$E$3:$E$1052,MATCH($B94,'DỮ LIỆU'!$C$3:$C$1052,0))),""))</f>
        <v/>
      </c>
      <c r="E94" s="21" t="str">
        <f aca="false">IF($B94="","",IFERROR(IF(INDEX('DỮ LIỆU'!$F$3:$F$1052,MATCH($B94,'DỮ LIỆU'!$C$3:$C$1052,0))="","",INDEX('DỮ LIỆU'!$F$3:$F$1052,MATCH($B94,'DỮ LIỆU'!$C$3:$C$1052,0))),""))</f>
        <v/>
      </c>
      <c r="F94" s="21" t="str">
        <f aca="false">IF($B94="","",IFERROR(IF(INDEX('DỮ LIỆU'!$G$3:$G$1052,MATCH($B94,'DỮ LIỆU'!$C$3:$C$1052,0))="","",INDEX('DỮ LIỆU'!$G$3:$G$1052,MATCH($B94,'DỮ LIỆU'!$C$3:$C$1052,0))),""))</f>
        <v/>
      </c>
      <c r="G94" s="13" t="str">
        <f aca="false">IF($B94="","",COUNTIFS('DỮ LIỆU'!$C$3:$C$1052,$B94,'DỮ LIỆU'!$J$3:$J$1052,"&gt;0"))</f>
        <v/>
      </c>
      <c r="H94" s="13" t="str">
        <f aca="false">IF($B94="","",SUMIF('DỮ LIỆU'!$C$3:$C$1052,$B94,'DỮ LIỆU'!$J$3:$J$1052))</f>
        <v/>
      </c>
      <c r="I94" s="13" t="str">
        <f aca="false">IF($B94="","",SUMIF('DỮ LIỆU'!$C$3:$C$1052,$B94,'DỮ LIỆU'!$M$3:$M$1052))</f>
        <v/>
      </c>
      <c r="J94" s="13" t="str">
        <f aca="false">IF($B94="","",SUMIF('DỮ LIỆU'!$C$3:$C$1052,$B94,'DỮ LIỆU'!$N$3:$N$1052))</f>
        <v/>
      </c>
      <c r="K94" s="13" t="str">
        <f aca="false">IF($B94="","",SUMIF('DỮ LIỆU'!$C$3:$C$1052,$B94,'DỮ LIỆU'!$O$3:$O$1052))</f>
        <v/>
      </c>
      <c r="L94" s="13" t="str">
        <f aca="false">IF($B94="","",SUMIF('DỮ LIỆU'!$C$3:$C$1052,$B94,'DỮ LIỆU'!$Q$3:$Q$1052))</f>
        <v/>
      </c>
      <c r="M94" s="41" t="str">
        <f aca="false">IF($B94="","",IF(SUMPRODUCT(MAX(('DỮ LIỆU'!$C$3:$C$1052=$B94)*'DỮ LIỆU'!$Z$3:$Z$1052))=0,"",SUMPRODUCT(MAX(('DỮ LIỆU'!$C$3:$C$1052=$B94)*'DỮ LIỆU'!$Z$3:$Z$1052))))</f>
        <v/>
      </c>
      <c r="N94" s="21" t="str">
        <f aca="false">IF($B94="","",IF($G94=0,"Chưa có đơn",IF(COUNTIFS('DỮ LIỆU'!$C$3:$C$1052,$B94,'DỮ LIỆU'!$K$3:$K$1052,"&gt;0")&gt;0,"Có lấy VAT","Không lấy VAT")))</f>
        <v/>
      </c>
    </row>
    <row r="95" customFormat="false" ht="15" hidden="false" customHeight="false" outlineLevel="0" collapsed="false">
      <c r="A95" s="21" t="str">
        <f aca="false">IF($B95="","",90)</f>
        <v/>
      </c>
      <c r="B95" s="21" t="str">
        <f aca="false">IFERROR(INDEX('DỮ LIỆU'!$C$3:$C$1052,MATCH(90,'DỮ LIỆU'!$W$3:$W$1052,0)),"")</f>
        <v/>
      </c>
      <c r="C95" s="21" t="str">
        <f aca="false">IF($B95="","",IFERROR(IF(INDEX('DỮ LIỆU'!$D$3:$D$1052,MATCH($B95,'DỮ LIỆU'!$C$3:$C$1052,0))="","",INDEX('DỮ LIỆU'!$D$3:$D$1052,MATCH($B95,'DỮ LIỆU'!$C$3:$C$1052,0))),""))</f>
        <v/>
      </c>
      <c r="D95" s="21" t="str">
        <f aca="false">IF($B95="","",IFERROR(IF(INDEX('DỮ LIỆU'!$E$3:$E$1052,MATCH($B95,'DỮ LIỆU'!$C$3:$C$1052,0))="","",INDEX('DỮ LIỆU'!$E$3:$E$1052,MATCH($B95,'DỮ LIỆU'!$C$3:$C$1052,0))),""))</f>
        <v/>
      </c>
      <c r="E95" s="21" t="str">
        <f aca="false">IF($B95="","",IFERROR(IF(INDEX('DỮ LIỆU'!$F$3:$F$1052,MATCH($B95,'DỮ LIỆU'!$C$3:$C$1052,0))="","",INDEX('DỮ LIỆU'!$F$3:$F$1052,MATCH($B95,'DỮ LIỆU'!$C$3:$C$1052,0))),""))</f>
        <v/>
      </c>
      <c r="F95" s="21" t="str">
        <f aca="false">IF($B95="","",IFERROR(IF(INDEX('DỮ LIỆU'!$G$3:$G$1052,MATCH($B95,'DỮ LIỆU'!$C$3:$C$1052,0))="","",INDEX('DỮ LIỆU'!$G$3:$G$1052,MATCH($B95,'DỮ LIỆU'!$C$3:$C$1052,0))),""))</f>
        <v/>
      </c>
      <c r="G95" s="13" t="str">
        <f aca="false">IF($B95="","",COUNTIFS('DỮ LIỆU'!$C$3:$C$1052,$B95,'DỮ LIỆU'!$J$3:$J$1052,"&gt;0"))</f>
        <v/>
      </c>
      <c r="H95" s="13" t="str">
        <f aca="false">IF($B95="","",SUMIF('DỮ LIỆU'!$C$3:$C$1052,$B95,'DỮ LIỆU'!$J$3:$J$1052))</f>
        <v/>
      </c>
      <c r="I95" s="13" t="str">
        <f aca="false">IF($B95="","",SUMIF('DỮ LIỆU'!$C$3:$C$1052,$B95,'DỮ LIỆU'!$M$3:$M$1052))</f>
        <v/>
      </c>
      <c r="J95" s="13" t="str">
        <f aca="false">IF($B95="","",SUMIF('DỮ LIỆU'!$C$3:$C$1052,$B95,'DỮ LIỆU'!$N$3:$N$1052))</f>
        <v/>
      </c>
      <c r="K95" s="13" t="str">
        <f aca="false">IF($B95="","",SUMIF('DỮ LIỆU'!$C$3:$C$1052,$B95,'DỮ LIỆU'!$O$3:$O$1052))</f>
        <v/>
      </c>
      <c r="L95" s="13" t="str">
        <f aca="false">IF($B95="","",SUMIF('DỮ LIỆU'!$C$3:$C$1052,$B95,'DỮ LIỆU'!$Q$3:$Q$1052))</f>
        <v/>
      </c>
      <c r="M95" s="41" t="str">
        <f aca="false">IF($B95="","",IF(SUMPRODUCT(MAX(('DỮ LIỆU'!$C$3:$C$1052=$B95)*'DỮ LIỆU'!$Z$3:$Z$1052))=0,"",SUMPRODUCT(MAX(('DỮ LIỆU'!$C$3:$C$1052=$B95)*'DỮ LIỆU'!$Z$3:$Z$1052))))</f>
        <v/>
      </c>
      <c r="N95" s="21" t="str">
        <f aca="false">IF($B95="","",IF($G95=0,"Chưa có đơn",IF(COUNTIFS('DỮ LIỆU'!$C$3:$C$1052,$B95,'DỮ LIỆU'!$K$3:$K$1052,"&gt;0")&gt;0,"Có lấy VAT","Không lấy VAT")))</f>
        <v/>
      </c>
    </row>
    <row r="96" customFormat="false" ht="15" hidden="false" customHeight="false" outlineLevel="0" collapsed="false">
      <c r="A96" s="21" t="str">
        <f aca="false">IF($B96="","",91)</f>
        <v/>
      </c>
      <c r="B96" s="21" t="str">
        <f aca="false">IFERROR(INDEX('DỮ LIỆU'!$C$3:$C$1052,MATCH(91,'DỮ LIỆU'!$W$3:$W$1052,0)),"")</f>
        <v/>
      </c>
      <c r="C96" s="21" t="str">
        <f aca="false">IF($B96="","",IFERROR(IF(INDEX('DỮ LIỆU'!$D$3:$D$1052,MATCH($B96,'DỮ LIỆU'!$C$3:$C$1052,0))="","",INDEX('DỮ LIỆU'!$D$3:$D$1052,MATCH($B96,'DỮ LIỆU'!$C$3:$C$1052,0))),""))</f>
        <v/>
      </c>
      <c r="D96" s="21" t="str">
        <f aca="false">IF($B96="","",IFERROR(IF(INDEX('DỮ LIỆU'!$E$3:$E$1052,MATCH($B96,'DỮ LIỆU'!$C$3:$C$1052,0))="","",INDEX('DỮ LIỆU'!$E$3:$E$1052,MATCH($B96,'DỮ LIỆU'!$C$3:$C$1052,0))),""))</f>
        <v/>
      </c>
      <c r="E96" s="21" t="str">
        <f aca="false">IF($B96="","",IFERROR(IF(INDEX('DỮ LIỆU'!$F$3:$F$1052,MATCH($B96,'DỮ LIỆU'!$C$3:$C$1052,0))="","",INDEX('DỮ LIỆU'!$F$3:$F$1052,MATCH($B96,'DỮ LIỆU'!$C$3:$C$1052,0))),""))</f>
        <v/>
      </c>
      <c r="F96" s="21" t="str">
        <f aca="false">IF($B96="","",IFERROR(IF(INDEX('DỮ LIỆU'!$G$3:$G$1052,MATCH($B96,'DỮ LIỆU'!$C$3:$C$1052,0))="","",INDEX('DỮ LIỆU'!$G$3:$G$1052,MATCH($B96,'DỮ LIỆU'!$C$3:$C$1052,0))),""))</f>
        <v/>
      </c>
      <c r="G96" s="13" t="str">
        <f aca="false">IF($B96="","",COUNTIFS('DỮ LIỆU'!$C$3:$C$1052,$B96,'DỮ LIỆU'!$J$3:$J$1052,"&gt;0"))</f>
        <v/>
      </c>
      <c r="H96" s="13" t="str">
        <f aca="false">IF($B96="","",SUMIF('DỮ LIỆU'!$C$3:$C$1052,$B96,'DỮ LIỆU'!$J$3:$J$1052))</f>
        <v/>
      </c>
      <c r="I96" s="13" t="str">
        <f aca="false">IF($B96="","",SUMIF('DỮ LIỆU'!$C$3:$C$1052,$B96,'DỮ LIỆU'!$M$3:$M$1052))</f>
        <v/>
      </c>
      <c r="J96" s="13" t="str">
        <f aca="false">IF($B96="","",SUMIF('DỮ LIỆU'!$C$3:$C$1052,$B96,'DỮ LIỆU'!$N$3:$N$1052))</f>
        <v/>
      </c>
      <c r="K96" s="13" t="str">
        <f aca="false">IF($B96="","",SUMIF('DỮ LIỆU'!$C$3:$C$1052,$B96,'DỮ LIỆU'!$O$3:$O$1052))</f>
        <v/>
      </c>
      <c r="L96" s="13" t="str">
        <f aca="false">IF($B96="","",SUMIF('DỮ LIỆU'!$C$3:$C$1052,$B96,'DỮ LIỆU'!$Q$3:$Q$1052))</f>
        <v/>
      </c>
      <c r="M96" s="41" t="str">
        <f aca="false">IF($B96="","",IF(SUMPRODUCT(MAX(('DỮ LIỆU'!$C$3:$C$1052=$B96)*'DỮ LIỆU'!$Z$3:$Z$1052))=0,"",SUMPRODUCT(MAX(('DỮ LIỆU'!$C$3:$C$1052=$B96)*'DỮ LIỆU'!$Z$3:$Z$1052))))</f>
        <v/>
      </c>
      <c r="N96" s="21" t="str">
        <f aca="false">IF($B96="","",IF($G96=0,"Chưa có đơn",IF(COUNTIFS('DỮ LIỆU'!$C$3:$C$1052,$B96,'DỮ LIỆU'!$K$3:$K$1052,"&gt;0")&gt;0,"Có lấy VAT","Không lấy VAT")))</f>
        <v/>
      </c>
    </row>
    <row r="97" customFormat="false" ht="15" hidden="false" customHeight="false" outlineLevel="0" collapsed="false">
      <c r="A97" s="21" t="str">
        <f aca="false">IF($B97="","",92)</f>
        <v/>
      </c>
      <c r="B97" s="21" t="str">
        <f aca="false">IFERROR(INDEX('DỮ LIỆU'!$C$3:$C$1052,MATCH(92,'DỮ LIỆU'!$W$3:$W$1052,0)),"")</f>
        <v/>
      </c>
      <c r="C97" s="21" t="str">
        <f aca="false">IF($B97="","",IFERROR(IF(INDEX('DỮ LIỆU'!$D$3:$D$1052,MATCH($B97,'DỮ LIỆU'!$C$3:$C$1052,0))="","",INDEX('DỮ LIỆU'!$D$3:$D$1052,MATCH($B97,'DỮ LIỆU'!$C$3:$C$1052,0))),""))</f>
        <v/>
      </c>
      <c r="D97" s="21" t="str">
        <f aca="false">IF($B97="","",IFERROR(IF(INDEX('DỮ LIỆU'!$E$3:$E$1052,MATCH($B97,'DỮ LIỆU'!$C$3:$C$1052,0))="","",INDEX('DỮ LIỆU'!$E$3:$E$1052,MATCH($B97,'DỮ LIỆU'!$C$3:$C$1052,0))),""))</f>
        <v/>
      </c>
      <c r="E97" s="21" t="str">
        <f aca="false">IF($B97="","",IFERROR(IF(INDEX('DỮ LIỆU'!$F$3:$F$1052,MATCH($B97,'DỮ LIỆU'!$C$3:$C$1052,0))="","",INDEX('DỮ LIỆU'!$F$3:$F$1052,MATCH($B97,'DỮ LIỆU'!$C$3:$C$1052,0))),""))</f>
        <v/>
      </c>
      <c r="F97" s="21" t="str">
        <f aca="false">IF($B97="","",IFERROR(IF(INDEX('DỮ LIỆU'!$G$3:$G$1052,MATCH($B97,'DỮ LIỆU'!$C$3:$C$1052,0))="","",INDEX('DỮ LIỆU'!$G$3:$G$1052,MATCH($B97,'DỮ LIỆU'!$C$3:$C$1052,0))),""))</f>
        <v/>
      </c>
      <c r="G97" s="13" t="str">
        <f aca="false">IF($B97="","",COUNTIFS('DỮ LIỆU'!$C$3:$C$1052,$B97,'DỮ LIỆU'!$J$3:$J$1052,"&gt;0"))</f>
        <v/>
      </c>
      <c r="H97" s="13" t="str">
        <f aca="false">IF($B97="","",SUMIF('DỮ LIỆU'!$C$3:$C$1052,$B97,'DỮ LIỆU'!$J$3:$J$1052))</f>
        <v/>
      </c>
      <c r="I97" s="13" t="str">
        <f aca="false">IF($B97="","",SUMIF('DỮ LIỆU'!$C$3:$C$1052,$B97,'DỮ LIỆU'!$M$3:$M$1052))</f>
        <v/>
      </c>
      <c r="J97" s="13" t="str">
        <f aca="false">IF($B97="","",SUMIF('DỮ LIỆU'!$C$3:$C$1052,$B97,'DỮ LIỆU'!$N$3:$N$1052))</f>
        <v/>
      </c>
      <c r="K97" s="13" t="str">
        <f aca="false">IF($B97="","",SUMIF('DỮ LIỆU'!$C$3:$C$1052,$B97,'DỮ LIỆU'!$O$3:$O$1052))</f>
        <v/>
      </c>
      <c r="L97" s="13" t="str">
        <f aca="false">IF($B97="","",SUMIF('DỮ LIỆU'!$C$3:$C$1052,$B97,'DỮ LIỆU'!$Q$3:$Q$1052))</f>
        <v/>
      </c>
      <c r="M97" s="41" t="str">
        <f aca="false">IF($B97="","",IF(SUMPRODUCT(MAX(('DỮ LIỆU'!$C$3:$C$1052=$B97)*'DỮ LIỆU'!$Z$3:$Z$1052))=0,"",SUMPRODUCT(MAX(('DỮ LIỆU'!$C$3:$C$1052=$B97)*'DỮ LIỆU'!$Z$3:$Z$1052))))</f>
        <v/>
      </c>
      <c r="N97" s="21" t="str">
        <f aca="false">IF($B97="","",IF($G97=0,"Chưa có đơn",IF(COUNTIFS('DỮ LIỆU'!$C$3:$C$1052,$B97,'DỮ LIỆU'!$K$3:$K$1052,"&gt;0")&gt;0,"Có lấy VAT","Không lấy VAT")))</f>
        <v/>
      </c>
    </row>
    <row r="98" customFormat="false" ht="15" hidden="false" customHeight="false" outlineLevel="0" collapsed="false">
      <c r="A98" s="21" t="str">
        <f aca="false">IF($B98="","",93)</f>
        <v/>
      </c>
      <c r="B98" s="21" t="str">
        <f aca="false">IFERROR(INDEX('DỮ LIỆU'!$C$3:$C$1052,MATCH(93,'DỮ LIỆU'!$W$3:$W$1052,0)),"")</f>
        <v/>
      </c>
      <c r="C98" s="21" t="str">
        <f aca="false">IF($B98="","",IFERROR(IF(INDEX('DỮ LIỆU'!$D$3:$D$1052,MATCH($B98,'DỮ LIỆU'!$C$3:$C$1052,0))="","",INDEX('DỮ LIỆU'!$D$3:$D$1052,MATCH($B98,'DỮ LIỆU'!$C$3:$C$1052,0))),""))</f>
        <v/>
      </c>
      <c r="D98" s="21" t="str">
        <f aca="false">IF($B98="","",IFERROR(IF(INDEX('DỮ LIỆU'!$E$3:$E$1052,MATCH($B98,'DỮ LIỆU'!$C$3:$C$1052,0))="","",INDEX('DỮ LIỆU'!$E$3:$E$1052,MATCH($B98,'DỮ LIỆU'!$C$3:$C$1052,0))),""))</f>
        <v/>
      </c>
      <c r="E98" s="21" t="str">
        <f aca="false">IF($B98="","",IFERROR(IF(INDEX('DỮ LIỆU'!$F$3:$F$1052,MATCH($B98,'DỮ LIỆU'!$C$3:$C$1052,0))="","",INDEX('DỮ LIỆU'!$F$3:$F$1052,MATCH($B98,'DỮ LIỆU'!$C$3:$C$1052,0))),""))</f>
        <v/>
      </c>
      <c r="F98" s="21" t="str">
        <f aca="false">IF($B98="","",IFERROR(IF(INDEX('DỮ LIỆU'!$G$3:$G$1052,MATCH($B98,'DỮ LIỆU'!$C$3:$C$1052,0))="","",INDEX('DỮ LIỆU'!$G$3:$G$1052,MATCH($B98,'DỮ LIỆU'!$C$3:$C$1052,0))),""))</f>
        <v/>
      </c>
      <c r="G98" s="13" t="str">
        <f aca="false">IF($B98="","",COUNTIFS('DỮ LIỆU'!$C$3:$C$1052,$B98,'DỮ LIỆU'!$J$3:$J$1052,"&gt;0"))</f>
        <v/>
      </c>
      <c r="H98" s="13" t="str">
        <f aca="false">IF($B98="","",SUMIF('DỮ LIỆU'!$C$3:$C$1052,$B98,'DỮ LIỆU'!$J$3:$J$1052))</f>
        <v/>
      </c>
      <c r="I98" s="13" t="str">
        <f aca="false">IF($B98="","",SUMIF('DỮ LIỆU'!$C$3:$C$1052,$B98,'DỮ LIỆU'!$M$3:$M$1052))</f>
        <v/>
      </c>
      <c r="J98" s="13" t="str">
        <f aca="false">IF($B98="","",SUMIF('DỮ LIỆU'!$C$3:$C$1052,$B98,'DỮ LIỆU'!$N$3:$N$1052))</f>
        <v/>
      </c>
      <c r="K98" s="13" t="str">
        <f aca="false">IF($B98="","",SUMIF('DỮ LIỆU'!$C$3:$C$1052,$B98,'DỮ LIỆU'!$O$3:$O$1052))</f>
        <v/>
      </c>
      <c r="L98" s="13" t="str">
        <f aca="false">IF($B98="","",SUMIF('DỮ LIỆU'!$C$3:$C$1052,$B98,'DỮ LIỆU'!$Q$3:$Q$1052))</f>
        <v/>
      </c>
      <c r="M98" s="41" t="str">
        <f aca="false">IF($B98="","",IF(SUMPRODUCT(MAX(('DỮ LIỆU'!$C$3:$C$1052=$B98)*'DỮ LIỆU'!$Z$3:$Z$1052))=0,"",SUMPRODUCT(MAX(('DỮ LIỆU'!$C$3:$C$1052=$B98)*'DỮ LIỆU'!$Z$3:$Z$1052))))</f>
        <v/>
      </c>
      <c r="N98" s="21" t="str">
        <f aca="false">IF($B98="","",IF($G98=0,"Chưa có đơn",IF(COUNTIFS('DỮ LIỆU'!$C$3:$C$1052,$B98,'DỮ LIỆU'!$K$3:$K$1052,"&gt;0")&gt;0,"Có lấy VAT","Không lấy VAT")))</f>
        <v/>
      </c>
    </row>
    <row r="99" customFormat="false" ht="15" hidden="false" customHeight="false" outlineLevel="0" collapsed="false">
      <c r="A99" s="21" t="str">
        <f aca="false">IF($B99="","",94)</f>
        <v/>
      </c>
      <c r="B99" s="21" t="str">
        <f aca="false">IFERROR(INDEX('DỮ LIỆU'!$C$3:$C$1052,MATCH(94,'DỮ LIỆU'!$W$3:$W$1052,0)),"")</f>
        <v/>
      </c>
      <c r="C99" s="21" t="str">
        <f aca="false">IF($B99="","",IFERROR(IF(INDEX('DỮ LIỆU'!$D$3:$D$1052,MATCH($B99,'DỮ LIỆU'!$C$3:$C$1052,0))="","",INDEX('DỮ LIỆU'!$D$3:$D$1052,MATCH($B99,'DỮ LIỆU'!$C$3:$C$1052,0))),""))</f>
        <v/>
      </c>
      <c r="D99" s="21" t="str">
        <f aca="false">IF($B99="","",IFERROR(IF(INDEX('DỮ LIỆU'!$E$3:$E$1052,MATCH($B99,'DỮ LIỆU'!$C$3:$C$1052,0))="","",INDEX('DỮ LIỆU'!$E$3:$E$1052,MATCH($B99,'DỮ LIỆU'!$C$3:$C$1052,0))),""))</f>
        <v/>
      </c>
      <c r="E99" s="21" t="str">
        <f aca="false">IF($B99="","",IFERROR(IF(INDEX('DỮ LIỆU'!$F$3:$F$1052,MATCH($B99,'DỮ LIỆU'!$C$3:$C$1052,0))="","",INDEX('DỮ LIỆU'!$F$3:$F$1052,MATCH($B99,'DỮ LIỆU'!$C$3:$C$1052,0))),""))</f>
        <v/>
      </c>
      <c r="F99" s="21" t="str">
        <f aca="false">IF($B99="","",IFERROR(IF(INDEX('DỮ LIỆU'!$G$3:$G$1052,MATCH($B99,'DỮ LIỆU'!$C$3:$C$1052,0))="","",INDEX('DỮ LIỆU'!$G$3:$G$1052,MATCH($B99,'DỮ LIỆU'!$C$3:$C$1052,0))),""))</f>
        <v/>
      </c>
      <c r="G99" s="13" t="str">
        <f aca="false">IF($B99="","",COUNTIFS('DỮ LIỆU'!$C$3:$C$1052,$B99,'DỮ LIỆU'!$J$3:$J$1052,"&gt;0"))</f>
        <v/>
      </c>
      <c r="H99" s="13" t="str">
        <f aca="false">IF($B99="","",SUMIF('DỮ LIỆU'!$C$3:$C$1052,$B99,'DỮ LIỆU'!$J$3:$J$1052))</f>
        <v/>
      </c>
      <c r="I99" s="13" t="str">
        <f aca="false">IF($B99="","",SUMIF('DỮ LIỆU'!$C$3:$C$1052,$B99,'DỮ LIỆU'!$M$3:$M$1052))</f>
        <v/>
      </c>
      <c r="J99" s="13" t="str">
        <f aca="false">IF($B99="","",SUMIF('DỮ LIỆU'!$C$3:$C$1052,$B99,'DỮ LIỆU'!$N$3:$N$1052))</f>
        <v/>
      </c>
      <c r="K99" s="13" t="str">
        <f aca="false">IF($B99="","",SUMIF('DỮ LIỆU'!$C$3:$C$1052,$B99,'DỮ LIỆU'!$O$3:$O$1052))</f>
        <v/>
      </c>
      <c r="L99" s="13" t="str">
        <f aca="false">IF($B99="","",SUMIF('DỮ LIỆU'!$C$3:$C$1052,$B99,'DỮ LIỆU'!$Q$3:$Q$1052))</f>
        <v/>
      </c>
      <c r="M99" s="41" t="str">
        <f aca="false">IF($B99="","",IF(SUMPRODUCT(MAX(('DỮ LIỆU'!$C$3:$C$1052=$B99)*'DỮ LIỆU'!$Z$3:$Z$1052))=0,"",SUMPRODUCT(MAX(('DỮ LIỆU'!$C$3:$C$1052=$B99)*'DỮ LIỆU'!$Z$3:$Z$1052))))</f>
        <v/>
      </c>
      <c r="N99" s="21" t="str">
        <f aca="false">IF($B99="","",IF($G99=0,"Chưa có đơn",IF(COUNTIFS('DỮ LIỆU'!$C$3:$C$1052,$B99,'DỮ LIỆU'!$K$3:$K$1052,"&gt;0")&gt;0,"Có lấy VAT","Không lấy VAT")))</f>
        <v/>
      </c>
    </row>
    <row r="100" customFormat="false" ht="15" hidden="false" customHeight="false" outlineLevel="0" collapsed="false">
      <c r="A100" s="21" t="str">
        <f aca="false">IF($B100="","",95)</f>
        <v/>
      </c>
      <c r="B100" s="21" t="str">
        <f aca="false">IFERROR(INDEX('DỮ LIỆU'!$C$3:$C$1052,MATCH(95,'DỮ LIỆU'!$W$3:$W$1052,0)),"")</f>
        <v/>
      </c>
      <c r="C100" s="21" t="str">
        <f aca="false">IF($B100="","",IFERROR(IF(INDEX('DỮ LIỆU'!$D$3:$D$1052,MATCH($B100,'DỮ LIỆU'!$C$3:$C$1052,0))="","",INDEX('DỮ LIỆU'!$D$3:$D$1052,MATCH($B100,'DỮ LIỆU'!$C$3:$C$1052,0))),""))</f>
        <v/>
      </c>
      <c r="D100" s="21" t="str">
        <f aca="false">IF($B100="","",IFERROR(IF(INDEX('DỮ LIỆU'!$E$3:$E$1052,MATCH($B100,'DỮ LIỆU'!$C$3:$C$1052,0))="","",INDEX('DỮ LIỆU'!$E$3:$E$1052,MATCH($B100,'DỮ LIỆU'!$C$3:$C$1052,0))),""))</f>
        <v/>
      </c>
      <c r="E100" s="21" t="str">
        <f aca="false">IF($B100="","",IFERROR(IF(INDEX('DỮ LIỆU'!$F$3:$F$1052,MATCH($B100,'DỮ LIỆU'!$C$3:$C$1052,0))="","",INDEX('DỮ LIỆU'!$F$3:$F$1052,MATCH($B100,'DỮ LIỆU'!$C$3:$C$1052,0))),""))</f>
        <v/>
      </c>
      <c r="F100" s="21" t="str">
        <f aca="false">IF($B100="","",IFERROR(IF(INDEX('DỮ LIỆU'!$G$3:$G$1052,MATCH($B100,'DỮ LIỆU'!$C$3:$C$1052,0))="","",INDEX('DỮ LIỆU'!$G$3:$G$1052,MATCH($B100,'DỮ LIỆU'!$C$3:$C$1052,0))),""))</f>
        <v/>
      </c>
      <c r="G100" s="13" t="str">
        <f aca="false">IF($B100="","",COUNTIFS('DỮ LIỆU'!$C$3:$C$1052,$B100,'DỮ LIỆU'!$J$3:$J$1052,"&gt;0"))</f>
        <v/>
      </c>
      <c r="H100" s="13" t="str">
        <f aca="false">IF($B100="","",SUMIF('DỮ LIỆU'!$C$3:$C$1052,$B100,'DỮ LIỆU'!$J$3:$J$1052))</f>
        <v/>
      </c>
      <c r="I100" s="13" t="str">
        <f aca="false">IF($B100="","",SUMIF('DỮ LIỆU'!$C$3:$C$1052,$B100,'DỮ LIỆU'!$M$3:$M$1052))</f>
        <v/>
      </c>
      <c r="J100" s="13" t="str">
        <f aca="false">IF($B100="","",SUMIF('DỮ LIỆU'!$C$3:$C$1052,$B100,'DỮ LIỆU'!$N$3:$N$1052))</f>
        <v/>
      </c>
      <c r="K100" s="13" t="str">
        <f aca="false">IF($B100="","",SUMIF('DỮ LIỆU'!$C$3:$C$1052,$B100,'DỮ LIỆU'!$O$3:$O$1052))</f>
        <v/>
      </c>
      <c r="L100" s="13" t="str">
        <f aca="false">IF($B100="","",SUMIF('DỮ LIỆU'!$C$3:$C$1052,$B100,'DỮ LIỆU'!$Q$3:$Q$1052))</f>
        <v/>
      </c>
      <c r="M100" s="41" t="str">
        <f aca="false">IF($B100="","",IF(SUMPRODUCT(MAX(('DỮ LIỆU'!$C$3:$C$1052=$B100)*'DỮ LIỆU'!$Z$3:$Z$1052))=0,"",SUMPRODUCT(MAX(('DỮ LIỆU'!$C$3:$C$1052=$B100)*'DỮ LIỆU'!$Z$3:$Z$1052))))</f>
        <v/>
      </c>
      <c r="N100" s="21" t="str">
        <f aca="false">IF($B100="","",IF($G100=0,"Chưa có đơn",IF(COUNTIFS('DỮ LIỆU'!$C$3:$C$1052,$B100,'DỮ LIỆU'!$K$3:$K$1052,"&gt;0")&gt;0,"Có lấy VAT","Không lấy VAT")))</f>
        <v/>
      </c>
    </row>
    <row r="101" customFormat="false" ht="15" hidden="false" customHeight="false" outlineLevel="0" collapsed="false">
      <c r="A101" s="21" t="str">
        <f aca="false">IF($B101="","",96)</f>
        <v/>
      </c>
      <c r="B101" s="21" t="str">
        <f aca="false">IFERROR(INDEX('DỮ LIỆU'!$C$3:$C$1052,MATCH(96,'DỮ LIỆU'!$W$3:$W$1052,0)),"")</f>
        <v/>
      </c>
      <c r="C101" s="21" t="str">
        <f aca="false">IF($B101="","",IFERROR(IF(INDEX('DỮ LIỆU'!$D$3:$D$1052,MATCH($B101,'DỮ LIỆU'!$C$3:$C$1052,0))="","",INDEX('DỮ LIỆU'!$D$3:$D$1052,MATCH($B101,'DỮ LIỆU'!$C$3:$C$1052,0))),""))</f>
        <v/>
      </c>
      <c r="D101" s="21" t="str">
        <f aca="false">IF($B101="","",IFERROR(IF(INDEX('DỮ LIỆU'!$E$3:$E$1052,MATCH($B101,'DỮ LIỆU'!$C$3:$C$1052,0))="","",INDEX('DỮ LIỆU'!$E$3:$E$1052,MATCH($B101,'DỮ LIỆU'!$C$3:$C$1052,0))),""))</f>
        <v/>
      </c>
      <c r="E101" s="21" t="str">
        <f aca="false">IF($B101="","",IFERROR(IF(INDEX('DỮ LIỆU'!$F$3:$F$1052,MATCH($B101,'DỮ LIỆU'!$C$3:$C$1052,0))="","",INDEX('DỮ LIỆU'!$F$3:$F$1052,MATCH($B101,'DỮ LIỆU'!$C$3:$C$1052,0))),""))</f>
        <v/>
      </c>
      <c r="F101" s="21" t="str">
        <f aca="false">IF($B101="","",IFERROR(IF(INDEX('DỮ LIỆU'!$G$3:$G$1052,MATCH($B101,'DỮ LIỆU'!$C$3:$C$1052,0))="","",INDEX('DỮ LIỆU'!$G$3:$G$1052,MATCH($B101,'DỮ LIỆU'!$C$3:$C$1052,0))),""))</f>
        <v/>
      </c>
      <c r="G101" s="13" t="str">
        <f aca="false">IF($B101="","",COUNTIFS('DỮ LIỆU'!$C$3:$C$1052,$B101,'DỮ LIỆU'!$J$3:$J$1052,"&gt;0"))</f>
        <v/>
      </c>
      <c r="H101" s="13" t="str">
        <f aca="false">IF($B101="","",SUMIF('DỮ LIỆU'!$C$3:$C$1052,$B101,'DỮ LIỆU'!$J$3:$J$1052))</f>
        <v/>
      </c>
      <c r="I101" s="13" t="str">
        <f aca="false">IF($B101="","",SUMIF('DỮ LIỆU'!$C$3:$C$1052,$B101,'DỮ LIỆU'!$M$3:$M$1052))</f>
        <v/>
      </c>
      <c r="J101" s="13" t="str">
        <f aca="false">IF($B101="","",SUMIF('DỮ LIỆU'!$C$3:$C$1052,$B101,'DỮ LIỆU'!$N$3:$N$1052))</f>
        <v/>
      </c>
      <c r="K101" s="13" t="str">
        <f aca="false">IF($B101="","",SUMIF('DỮ LIỆU'!$C$3:$C$1052,$B101,'DỮ LIỆU'!$O$3:$O$1052))</f>
        <v/>
      </c>
      <c r="L101" s="13" t="str">
        <f aca="false">IF($B101="","",SUMIF('DỮ LIỆU'!$C$3:$C$1052,$B101,'DỮ LIỆU'!$Q$3:$Q$1052))</f>
        <v/>
      </c>
      <c r="M101" s="41" t="str">
        <f aca="false">IF($B101="","",IF(SUMPRODUCT(MAX(('DỮ LIỆU'!$C$3:$C$1052=$B101)*'DỮ LIỆU'!$Z$3:$Z$1052))=0,"",SUMPRODUCT(MAX(('DỮ LIỆU'!$C$3:$C$1052=$B101)*'DỮ LIỆU'!$Z$3:$Z$1052))))</f>
        <v/>
      </c>
      <c r="N101" s="21" t="str">
        <f aca="false">IF($B101="","",IF($G101=0,"Chưa có đơn",IF(COUNTIFS('DỮ LIỆU'!$C$3:$C$1052,$B101,'DỮ LIỆU'!$K$3:$K$1052,"&gt;0")&gt;0,"Có lấy VAT","Không lấy VAT")))</f>
        <v/>
      </c>
    </row>
    <row r="102" customFormat="false" ht="15" hidden="false" customHeight="false" outlineLevel="0" collapsed="false">
      <c r="A102" s="21" t="str">
        <f aca="false">IF($B102="","",97)</f>
        <v/>
      </c>
      <c r="B102" s="21" t="str">
        <f aca="false">IFERROR(INDEX('DỮ LIỆU'!$C$3:$C$1052,MATCH(97,'DỮ LIỆU'!$W$3:$W$1052,0)),"")</f>
        <v/>
      </c>
      <c r="C102" s="21" t="str">
        <f aca="false">IF($B102="","",IFERROR(IF(INDEX('DỮ LIỆU'!$D$3:$D$1052,MATCH($B102,'DỮ LIỆU'!$C$3:$C$1052,0))="","",INDEX('DỮ LIỆU'!$D$3:$D$1052,MATCH($B102,'DỮ LIỆU'!$C$3:$C$1052,0))),""))</f>
        <v/>
      </c>
      <c r="D102" s="21" t="str">
        <f aca="false">IF($B102="","",IFERROR(IF(INDEX('DỮ LIỆU'!$E$3:$E$1052,MATCH($B102,'DỮ LIỆU'!$C$3:$C$1052,0))="","",INDEX('DỮ LIỆU'!$E$3:$E$1052,MATCH($B102,'DỮ LIỆU'!$C$3:$C$1052,0))),""))</f>
        <v/>
      </c>
      <c r="E102" s="21" t="str">
        <f aca="false">IF($B102="","",IFERROR(IF(INDEX('DỮ LIỆU'!$F$3:$F$1052,MATCH($B102,'DỮ LIỆU'!$C$3:$C$1052,0))="","",INDEX('DỮ LIỆU'!$F$3:$F$1052,MATCH($B102,'DỮ LIỆU'!$C$3:$C$1052,0))),""))</f>
        <v/>
      </c>
      <c r="F102" s="21" t="str">
        <f aca="false">IF($B102="","",IFERROR(IF(INDEX('DỮ LIỆU'!$G$3:$G$1052,MATCH($B102,'DỮ LIỆU'!$C$3:$C$1052,0))="","",INDEX('DỮ LIỆU'!$G$3:$G$1052,MATCH($B102,'DỮ LIỆU'!$C$3:$C$1052,0))),""))</f>
        <v/>
      </c>
      <c r="G102" s="13" t="str">
        <f aca="false">IF($B102="","",COUNTIFS('DỮ LIỆU'!$C$3:$C$1052,$B102,'DỮ LIỆU'!$J$3:$J$1052,"&gt;0"))</f>
        <v/>
      </c>
      <c r="H102" s="13" t="str">
        <f aca="false">IF($B102="","",SUMIF('DỮ LIỆU'!$C$3:$C$1052,$B102,'DỮ LIỆU'!$J$3:$J$1052))</f>
        <v/>
      </c>
      <c r="I102" s="13" t="str">
        <f aca="false">IF($B102="","",SUMIF('DỮ LIỆU'!$C$3:$C$1052,$B102,'DỮ LIỆU'!$M$3:$M$1052))</f>
        <v/>
      </c>
      <c r="J102" s="13" t="str">
        <f aca="false">IF($B102="","",SUMIF('DỮ LIỆU'!$C$3:$C$1052,$B102,'DỮ LIỆU'!$N$3:$N$1052))</f>
        <v/>
      </c>
      <c r="K102" s="13" t="str">
        <f aca="false">IF($B102="","",SUMIF('DỮ LIỆU'!$C$3:$C$1052,$B102,'DỮ LIỆU'!$O$3:$O$1052))</f>
        <v/>
      </c>
      <c r="L102" s="13" t="str">
        <f aca="false">IF($B102="","",SUMIF('DỮ LIỆU'!$C$3:$C$1052,$B102,'DỮ LIỆU'!$Q$3:$Q$1052))</f>
        <v/>
      </c>
      <c r="M102" s="41" t="str">
        <f aca="false">IF($B102="","",IF(SUMPRODUCT(MAX(('DỮ LIỆU'!$C$3:$C$1052=$B102)*'DỮ LIỆU'!$Z$3:$Z$1052))=0,"",SUMPRODUCT(MAX(('DỮ LIỆU'!$C$3:$C$1052=$B102)*'DỮ LIỆU'!$Z$3:$Z$1052))))</f>
        <v/>
      </c>
      <c r="N102" s="21" t="str">
        <f aca="false">IF($B102="","",IF($G102=0,"Chưa có đơn",IF(COUNTIFS('DỮ LIỆU'!$C$3:$C$1052,$B102,'DỮ LIỆU'!$K$3:$K$1052,"&gt;0")&gt;0,"Có lấy VAT","Không lấy VAT")))</f>
        <v/>
      </c>
    </row>
    <row r="103" customFormat="false" ht="15" hidden="false" customHeight="false" outlineLevel="0" collapsed="false">
      <c r="A103" s="21" t="str">
        <f aca="false">IF($B103="","",98)</f>
        <v/>
      </c>
      <c r="B103" s="21" t="str">
        <f aca="false">IFERROR(INDEX('DỮ LIỆU'!$C$3:$C$1052,MATCH(98,'DỮ LIỆU'!$W$3:$W$1052,0)),"")</f>
        <v/>
      </c>
      <c r="C103" s="21" t="str">
        <f aca="false">IF($B103="","",IFERROR(IF(INDEX('DỮ LIỆU'!$D$3:$D$1052,MATCH($B103,'DỮ LIỆU'!$C$3:$C$1052,0))="","",INDEX('DỮ LIỆU'!$D$3:$D$1052,MATCH($B103,'DỮ LIỆU'!$C$3:$C$1052,0))),""))</f>
        <v/>
      </c>
      <c r="D103" s="21" t="str">
        <f aca="false">IF($B103="","",IFERROR(IF(INDEX('DỮ LIỆU'!$E$3:$E$1052,MATCH($B103,'DỮ LIỆU'!$C$3:$C$1052,0))="","",INDEX('DỮ LIỆU'!$E$3:$E$1052,MATCH($B103,'DỮ LIỆU'!$C$3:$C$1052,0))),""))</f>
        <v/>
      </c>
      <c r="E103" s="21" t="str">
        <f aca="false">IF($B103="","",IFERROR(IF(INDEX('DỮ LIỆU'!$F$3:$F$1052,MATCH($B103,'DỮ LIỆU'!$C$3:$C$1052,0))="","",INDEX('DỮ LIỆU'!$F$3:$F$1052,MATCH($B103,'DỮ LIỆU'!$C$3:$C$1052,0))),""))</f>
        <v/>
      </c>
      <c r="F103" s="21" t="str">
        <f aca="false">IF($B103="","",IFERROR(IF(INDEX('DỮ LIỆU'!$G$3:$G$1052,MATCH($B103,'DỮ LIỆU'!$C$3:$C$1052,0))="","",INDEX('DỮ LIỆU'!$G$3:$G$1052,MATCH($B103,'DỮ LIỆU'!$C$3:$C$1052,0))),""))</f>
        <v/>
      </c>
      <c r="G103" s="13" t="str">
        <f aca="false">IF($B103="","",COUNTIFS('DỮ LIỆU'!$C$3:$C$1052,$B103,'DỮ LIỆU'!$J$3:$J$1052,"&gt;0"))</f>
        <v/>
      </c>
      <c r="H103" s="13" t="str">
        <f aca="false">IF($B103="","",SUMIF('DỮ LIỆU'!$C$3:$C$1052,$B103,'DỮ LIỆU'!$J$3:$J$1052))</f>
        <v/>
      </c>
      <c r="I103" s="13" t="str">
        <f aca="false">IF($B103="","",SUMIF('DỮ LIỆU'!$C$3:$C$1052,$B103,'DỮ LIỆU'!$M$3:$M$1052))</f>
        <v/>
      </c>
      <c r="J103" s="13" t="str">
        <f aca="false">IF($B103="","",SUMIF('DỮ LIỆU'!$C$3:$C$1052,$B103,'DỮ LIỆU'!$N$3:$N$1052))</f>
        <v/>
      </c>
      <c r="K103" s="13" t="str">
        <f aca="false">IF($B103="","",SUMIF('DỮ LIỆU'!$C$3:$C$1052,$B103,'DỮ LIỆU'!$O$3:$O$1052))</f>
        <v/>
      </c>
      <c r="L103" s="13" t="str">
        <f aca="false">IF($B103="","",SUMIF('DỮ LIỆU'!$C$3:$C$1052,$B103,'DỮ LIỆU'!$Q$3:$Q$1052))</f>
        <v/>
      </c>
      <c r="M103" s="41" t="str">
        <f aca="false">IF($B103="","",IF(SUMPRODUCT(MAX(('DỮ LIỆU'!$C$3:$C$1052=$B103)*'DỮ LIỆU'!$Z$3:$Z$1052))=0,"",SUMPRODUCT(MAX(('DỮ LIỆU'!$C$3:$C$1052=$B103)*'DỮ LIỆU'!$Z$3:$Z$1052))))</f>
        <v/>
      </c>
      <c r="N103" s="21" t="str">
        <f aca="false">IF($B103="","",IF($G103=0,"Chưa có đơn",IF(COUNTIFS('DỮ LIỆU'!$C$3:$C$1052,$B103,'DỮ LIỆU'!$K$3:$K$1052,"&gt;0")&gt;0,"Có lấy VAT","Không lấy VAT")))</f>
        <v/>
      </c>
    </row>
    <row r="104" customFormat="false" ht="15" hidden="false" customHeight="false" outlineLevel="0" collapsed="false">
      <c r="A104" s="21" t="str">
        <f aca="false">IF($B104="","",99)</f>
        <v/>
      </c>
      <c r="B104" s="21" t="str">
        <f aca="false">IFERROR(INDEX('DỮ LIỆU'!$C$3:$C$1052,MATCH(99,'DỮ LIỆU'!$W$3:$W$1052,0)),"")</f>
        <v/>
      </c>
      <c r="C104" s="21" t="str">
        <f aca="false">IF($B104="","",IFERROR(IF(INDEX('DỮ LIỆU'!$D$3:$D$1052,MATCH($B104,'DỮ LIỆU'!$C$3:$C$1052,0))="","",INDEX('DỮ LIỆU'!$D$3:$D$1052,MATCH($B104,'DỮ LIỆU'!$C$3:$C$1052,0))),""))</f>
        <v/>
      </c>
      <c r="D104" s="21" t="str">
        <f aca="false">IF($B104="","",IFERROR(IF(INDEX('DỮ LIỆU'!$E$3:$E$1052,MATCH($B104,'DỮ LIỆU'!$C$3:$C$1052,0))="","",INDEX('DỮ LIỆU'!$E$3:$E$1052,MATCH($B104,'DỮ LIỆU'!$C$3:$C$1052,0))),""))</f>
        <v/>
      </c>
      <c r="E104" s="21" t="str">
        <f aca="false">IF($B104="","",IFERROR(IF(INDEX('DỮ LIỆU'!$F$3:$F$1052,MATCH($B104,'DỮ LIỆU'!$C$3:$C$1052,0))="","",INDEX('DỮ LIỆU'!$F$3:$F$1052,MATCH($B104,'DỮ LIỆU'!$C$3:$C$1052,0))),""))</f>
        <v/>
      </c>
      <c r="F104" s="21" t="str">
        <f aca="false">IF($B104="","",IFERROR(IF(INDEX('DỮ LIỆU'!$G$3:$G$1052,MATCH($B104,'DỮ LIỆU'!$C$3:$C$1052,0))="","",INDEX('DỮ LIỆU'!$G$3:$G$1052,MATCH($B104,'DỮ LIỆU'!$C$3:$C$1052,0))),""))</f>
        <v/>
      </c>
      <c r="G104" s="13" t="str">
        <f aca="false">IF($B104="","",COUNTIFS('DỮ LIỆU'!$C$3:$C$1052,$B104,'DỮ LIỆU'!$J$3:$J$1052,"&gt;0"))</f>
        <v/>
      </c>
      <c r="H104" s="13" t="str">
        <f aca="false">IF($B104="","",SUMIF('DỮ LIỆU'!$C$3:$C$1052,$B104,'DỮ LIỆU'!$J$3:$J$1052))</f>
        <v/>
      </c>
      <c r="I104" s="13" t="str">
        <f aca="false">IF($B104="","",SUMIF('DỮ LIỆU'!$C$3:$C$1052,$B104,'DỮ LIỆU'!$M$3:$M$1052))</f>
        <v/>
      </c>
      <c r="J104" s="13" t="str">
        <f aca="false">IF($B104="","",SUMIF('DỮ LIỆU'!$C$3:$C$1052,$B104,'DỮ LIỆU'!$N$3:$N$1052))</f>
        <v/>
      </c>
      <c r="K104" s="13" t="str">
        <f aca="false">IF($B104="","",SUMIF('DỮ LIỆU'!$C$3:$C$1052,$B104,'DỮ LIỆU'!$O$3:$O$1052))</f>
        <v/>
      </c>
      <c r="L104" s="13" t="str">
        <f aca="false">IF($B104="","",SUMIF('DỮ LIỆU'!$C$3:$C$1052,$B104,'DỮ LIỆU'!$Q$3:$Q$1052))</f>
        <v/>
      </c>
      <c r="M104" s="41" t="str">
        <f aca="false">IF($B104="","",IF(SUMPRODUCT(MAX(('DỮ LIỆU'!$C$3:$C$1052=$B104)*'DỮ LIỆU'!$Z$3:$Z$1052))=0,"",SUMPRODUCT(MAX(('DỮ LIỆU'!$C$3:$C$1052=$B104)*'DỮ LIỆU'!$Z$3:$Z$1052))))</f>
        <v/>
      </c>
      <c r="N104" s="21" t="str">
        <f aca="false">IF($B104="","",IF($G104=0,"Chưa có đơn",IF(COUNTIFS('DỮ LIỆU'!$C$3:$C$1052,$B104,'DỮ LIỆU'!$K$3:$K$1052,"&gt;0")&gt;0,"Có lấy VAT","Không lấy VAT")))</f>
        <v/>
      </c>
    </row>
    <row r="105" customFormat="false" ht="15" hidden="false" customHeight="false" outlineLevel="0" collapsed="false">
      <c r="A105" s="21" t="str">
        <f aca="false">IF($B105="","",100)</f>
        <v/>
      </c>
      <c r="B105" s="21" t="str">
        <f aca="false">IFERROR(INDEX('DỮ LIỆU'!$C$3:$C$1052,MATCH(100,'DỮ LIỆU'!$W$3:$W$1052,0)),"")</f>
        <v/>
      </c>
      <c r="C105" s="21" t="str">
        <f aca="false">IF($B105="","",IFERROR(IF(INDEX('DỮ LIỆU'!$D$3:$D$1052,MATCH($B105,'DỮ LIỆU'!$C$3:$C$1052,0))="","",INDEX('DỮ LIỆU'!$D$3:$D$1052,MATCH($B105,'DỮ LIỆU'!$C$3:$C$1052,0))),""))</f>
        <v/>
      </c>
      <c r="D105" s="21" t="str">
        <f aca="false">IF($B105="","",IFERROR(IF(INDEX('DỮ LIỆU'!$E$3:$E$1052,MATCH($B105,'DỮ LIỆU'!$C$3:$C$1052,0))="","",INDEX('DỮ LIỆU'!$E$3:$E$1052,MATCH($B105,'DỮ LIỆU'!$C$3:$C$1052,0))),""))</f>
        <v/>
      </c>
      <c r="E105" s="21" t="str">
        <f aca="false">IF($B105="","",IFERROR(IF(INDEX('DỮ LIỆU'!$F$3:$F$1052,MATCH($B105,'DỮ LIỆU'!$C$3:$C$1052,0))="","",INDEX('DỮ LIỆU'!$F$3:$F$1052,MATCH($B105,'DỮ LIỆU'!$C$3:$C$1052,0))),""))</f>
        <v/>
      </c>
      <c r="F105" s="21" t="str">
        <f aca="false">IF($B105="","",IFERROR(IF(INDEX('DỮ LIỆU'!$G$3:$G$1052,MATCH($B105,'DỮ LIỆU'!$C$3:$C$1052,0))="","",INDEX('DỮ LIỆU'!$G$3:$G$1052,MATCH($B105,'DỮ LIỆU'!$C$3:$C$1052,0))),""))</f>
        <v/>
      </c>
      <c r="G105" s="13" t="str">
        <f aca="false">IF($B105="","",COUNTIFS('DỮ LIỆU'!$C$3:$C$1052,$B105,'DỮ LIỆU'!$J$3:$J$1052,"&gt;0"))</f>
        <v/>
      </c>
      <c r="H105" s="13" t="str">
        <f aca="false">IF($B105="","",SUMIF('DỮ LIỆU'!$C$3:$C$1052,$B105,'DỮ LIỆU'!$J$3:$J$1052))</f>
        <v/>
      </c>
      <c r="I105" s="13" t="str">
        <f aca="false">IF($B105="","",SUMIF('DỮ LIỆU'!$C$3:$C$1052,$B105,'DỮ LIỆU'!$M$3:$M$1052))</f>
        <v/>
      </c>
      <c r="J105" s="13" t="str">
        <f aca="false">IF($B105="","",SUMIF('DỮ LIỆU'!$C$3:$C$1052,$B105,'DỮ LIỆU'!$N$3:$N$1052))</f>
        <v/>
      </c>
      <c r="K105" s="13" t="str">
        <f aca="false">IF($B105="","",SUMIF('DỮ LIỆU'!$C$3:$C$1052,$B105,'DỮ LIỆU'!$O$3:$O$1052))</f>
        <v/>
      </c>
      <c r="L105" s="13" t="str">
        <f aca="false">IF($B105="","",SUMIF('DỮ LIỆU'!$C$3:$C$1052,$B105,'DỮ LIỆU'!$Q$3:$Q$1052))</f>
        <v/>
      </c>
      <c r="M105" s="41" t="str">
        <f aca="false">IF($B105="","",IF(SUMPRODUCT(MAX(('DỮ LIỆU'!$C$3:$C$1052=$B105)*'DỮ LIỆU'!$Z$3:$Z$1052))=0,"",SUMPRODUCT(MAX(('DỮ LIỆU'!$C$3:$C$1052=$B105)*'DỮ LIỆU'!$Z$3:$Z$1052))))</f>
        <v/>
      </c>
      <c r="N105" s="21" t="str">
        <f aca="false">IF($B105="","",IF($G105=0,"Chưa có đơn",IF(COUNTIFS('DỮ LIỆU'!$C$3:$C$1052,$B105,'DỮ LIỆU'!$K$3:$K$1052,"&gt;0")&gt;0,"Có lấy VAT","Không lấy VAT")))</f>
        <v/>
      </c>
    </row>
    <row r="106" customFormat="false" ht="15" hidden="false" customHeight="false" outlineLevel="0" collapsed="false">
      <c r="A106" s="21" t="str">
        <f aca="false">IF($B106="","",101)</f>
        <v/>
      </c>
      <c r="B106" s="21" t="str">
        <f aca="false">IFERROR(INDEX('DỮ LIỆU'!$C$3:$C$1052,MATCH(101,'DỮ LIỆU'!$W$3:$W$1052,0)),"")</f>
        <v/>
      </c>
      <c r="C106" s="21" t="str">
        <f aca="false">IF($B106="","",IFERROR(IF(INDEX('DỮ LIỆU'!$D$3:$D$1052,MATCH($B106,'DỮ LIỆU'!$C$3:$C$1052,0))="","",INDEX('DỮ LIỆU'!$D$3:$D$1052,MATCH($B106,'DỮ LIỆU'!$C$3:$C$1052,0))),""))</f>
        <v/>
      </c>
      <c r="D106" s="21" t="str">
        <f aca="false">IF($B106="","",IFERROR(IF(INDEX('DỮ LIỆU'!$E$3:$E$1052,MATCH($B106,'DỮ LIỆU'!$C$3:$C$1052,0))="","",INDEX('DỮ LIỆU'!$E$3:$E$1052,MATCH($B106,'DỮ LIỆU'!$C$3:$C$1052,0))),""))</f>
        <v/>
      </c>
      <c r="E106" s="21" t="str">
        <f aca="false">IF($B106="","",IFERROR(IF(INDEX('DỮ LIỆU'!$F$3:$F$1052,MATCH($B106,'DỮ LIỆU'!$C$3:$C$1052,0))="","",INDEX('DỮ LIỆU'!$F$3:$F$1052,MATCH($B106,'DỮ LIỆU'!$C$3:$C$1052,0))),""))</f>
        <v/>
      </c>
      <c r="F106" s="21" t="str">
        <f aca="false">IF($B106="","",IFERROR(IF(INDEX('DỮ LIỆU'!$G$3:$G$1052,MATCH($B106,'DỮ LIỆU'!$C$3:$C$1052,0))="","",INDEX('DỮ LIỆU'!$G$3:$G$1052,MATCH($B106,'DỮ LIỆU'!$C$3:$C$1052,0))),""))</f>
        <v/>
      </c>
      <c r="G106" s="13" t="str">
        <f aca="false">IF($B106="","",COUNTIFS('DỮ LIỆU'!$C$3:$C$1052,$B106,'DỮ LIỆU'!$J$3:$J$1052,"&gt;0"))</f>
        <v/>
      </c>
      <c r="H106" s="13" t="str">
        <f aca="false">IF($B106="","",SUMIF('DỮ LIỆU'!$C$3:$C$1052,$B106,'DỮ LIỆU'!$J$3:$J$1052))</f>
        <v/>
      </c>
      <c r="I106" s="13" t="str">
        <f aca="false">IF($B106="","",SUMIF('DỮ LIỆU'!$C$3:$C$1052,$B106,'DỮ LIỆU'!$M$3:$M$1052))</f>
        <v/>
      </c>
      <c r="J106" s="13" t="str">
        <f aca="false">IF($B106="","",SUMIF('DỮ LIỆU'!$C$3:$C$1052,$B106,'DỮ LIỆU'!$N$3:$N$1052))</f>
        <v/>
      </c>
      <c r="K106" s="13" t="str">
        <f aca="false">IF($B106="","",SUMIF('DỮ LIỆU'!$C$3:$C$1052,$B106,'DỮ LIỆU'!$O$3:$O$1052))</f>
        <v/>
      </c>
      <c r="L106" s="13" t="str">
        <f aca="false">IF($B106="","",SUMIF('DỮ LIỆU'!$C$3:$C$1052,$B106,'DỮ LIỆU'!$Q$3:$Q$1052))</f>
        <v/>
      </c>
      <c r="M106" s="41" t="str">
        <f aca="false">IF($B106="","",IF(SUMPRODUCT(MAX(('DỮ LIỆU'!$C$3:$C$1052=$B106)*'DỮ LIỆU'!$Z$3:$Z$1052))=0,"",SUMPRODUCT(MAX(('DỮ LIỆU'!$C$3:$C$1052=$B106)*'DỮ LIỆU'!$Z$3:$Z$1052))))</f>
        <v/>
      </c>
      <c r="N106" s="21" t="str">
        <f aca="false">IF($B106="","",IF($G106=0,"Chưa có đơn",IF(COUNTIFS('DỮ LIỆU'!$C$3:$C$1052,$B106,'DỮ LIỆU'!$K$3:$K$1052,"&gt;0")&gt;0,"Có lấy VAT","Không lấy VAT")))</f>
        <v/>
      </c>
    </row>
    <row r="107" customFormat="false" ht="15" hidden="false" customHeight="false" outlineLevel="0" collapsed="false">
      <c r="A107" s="21" t="str">
        <f aca="false">IF($B107="","",102)</f>
        <v/>
      </c>
      <c r="B107" s="21" t="str">
        <f aca="false">IFERROR(INDEX('DỮ LIỆU'!$C$3:$C$1052,MATCH(102,'DỮ LIỆU'!$W$3:$W$1052,0)),"")</f>
        <v/>
      </c>
      <c r="C107" s="21" t="str">
        <f aca="false">IF($B107="","",IFERROR(IF(INDEX('DỮ LIỆU'!$D$3:$D$1052,MATCH($B107,'DỮ LIỆU'!$C$3:$C$1052,0))="","",INDEX('DỮ LIỆU'!$D$3:$D$1052,MATCH($B107,'DỮ LIỆU'!$C$3:$C$1052,0))),""))</f>
        <v/>
      </c>
      <c r="D107" s="21" t="str">
        <f aca="false">IF($B107="","",IFERROR(IF(INDEX('DỮ LIỆU'!$E$3:$E$1052,MATCH($B107,'DỮ LIỆU'!$C$3:$C$1052,0))="","",INDEX('DỮ LIỆU'!$E$3:$E$1052,MATCH($B107,'DỮ LIỆU'!$C$3:$C$1052,0))),""))</f>
        <v/>
      </c>
      <c r="E107" s="21" t="str">
        <f aca="false">IF($B107="","",IFERROR(IF(INDEX('DỮ LIỆU'!$F$3:$F$1052,MATCH($B107,'DỮ LIỆU'!$C$3:$C$1052,0))="","",INDEX('DỮ LIỆU'!$F$3:$F$1052,MATCH($B107,'DỮ LIỆU'!$C$3:$C$1052,0))),""))</f>
        <v/>
      </c>
      <c r="F107" s="21" t="str">
        <f aca="false">IF($B107="","",IFERROR(IF(INDEX('DỮ LIỆU'!$G$3:$G$1052,MATCH($B107,'DỮ LIỆU'!$C$3:$C$1052,0))="","",INDEX('DỮ LIỆU'!$G$3:$G$1052,MATCH($B107,'DỮ LIỆU'!$C$3:$C$1052,0))),""))</f>
        <v/>
      </c>
      <c r="G107" s="13" t="str">
        <f aca="false">IF($B107="","",COUNTIFS('DỮ LIỆU'!$C$3:$C$1052,$B107,'DỮ LIỆU'!$J$3:$J$1052,"&gt;0"))</f>
        <v/>
      </c>
      <c r="H107" s="13" t="str">
        <f aca="false">IF($B107="","",SUMIF('DỮ LIỆU'!$C$3:$C$1052,$B107,'DỮ LIỆU'!$J$3:$J$1052))</f>
        <v/>
      </c>
      <c r="I107" s="13" t="str">
        <f aca="false">IF($B107="","",SUMIF('DỮ LIỆU'!$C$3:$C$1052,$B107,'DỮ LIỆU'!$M$3:$M$1052))</f>
        <v/>
      </c>
      <c r="J107" s="13" t="str">
        <f aca="false">IF($B107="","",SUMIF('DỮ LIỆU'!$C$3:$C$1052,$B107,'DỮ LIỆU'!$N$3:$N$1052))</f>
        <v/>
      </c>
      <c r="K107" s="13" t="str">
        <f aca="false">IF($B107="","",SUMIF('DỮ LIỆU'!$C$3:$C$1052,$B107,'DỮ LIỆU'!$O$3:$O$1052))</f>
        <v/>
      </c>
      <c r="L107" s="13" t="str">
        <f aca="false">IF($B107="","",SUMIF('DỮ LIỆU'!$C$3:$C$1052,$B107,'DỮ LIỆU'!$Q$3:$Q$1052))</f>
        <v/>
      </c>
      <c r="M107" s="41" t="str">
        <f aca="false">IF($B107="","",IF(SUMPRODUCT(MAX(('DỮ LIỆU'!$C$3:$C$1052=$B107)*'DỮ LIỆU'!$Z$3:$Z$1052))=0,"",SUMPRODUCT(MAX(('DỮ LIỆU'!$C$3:$C$1052=$B107)*'DỮ LIỆU'!$Z$3:$Z$1052))))</f>
        <v/>
      </c>
      <c r="N107" s="21" t="str">
        <f aca="false">IF($B107="","",IF($G107=0,"Chưa có đơn",IF(COUNTIFS('DỮ LIỆU'!$C$3:$C$1052,$B107,'DỮ LIỆU'!$K$3:$K$1052,"&gt;0")&gt;0,"Có lấy VAT","Không lấy VAT")))</f>
        <v/>
      </c>
    </row>
    <row r="108" customFormat="false" ht="15" hidden="false" customHeight="false" outlineLevel="0" collapsed="false">
      <c r="A108" s="21" t="str">
        <f aca="false">IF($B108="","",103)</f>
        <v/>
      </c>
      <c r="B108" s="21" t="str">
        <f aca="false">IFERROR(INDEX('DỮ LIỆU'!$C$3:$C$1052,MATCH(103,'DỮ LIỆU'!$W$3:$W$1052,0)),"")</f>
        <v/>
      </c>
      <c r="C108" s="21" t="str">
        <f aca="false">IF($B108="","",IFERROR(IF(INDEX('DỮ LIỆU'!$D$3:$D$1052,MATCH($B108,'DỮ LIỆU'!$C$3:$C$1052,0))="","",INDEX('DỮ LIỆU'!$D$3:$D$1052,MATCH($B108,'DỮ LIỆU'!$C$3:$C$1052,0))),""))</f>
        <v/>
      </c>
      <c r="D108" s="21" t="str">
        <f aca="false">IF($B108="","",IFERROR(IF(INDEX('DỮ LIỆU'!$E$3:$E$1052,MATCH($B108,'DỮ LIỆU'!$C$3:$C$1052,0))="","",INDEX('DỮ LIỆU'!$E$3:$E$1052,MATCH($B108,'DỮ LIỆU'!$C$3:$C$1052,0))),""))</f>
        <v/>
      </c>
      <c r="E108" s="21" t="str">
        <f aca="false">IF($B108="","",IFERROR(IF(INDEX('DỮ LIỆU'!$F$3:$F$1052,MATCH($B108,'DỮ LIỆU'!$C$3:$C$1052,0))="","",INDEX('DỮ LIỆU'!$F$3:$F$1052,MATCH($B108,'DỮ LIỆU'!$C$3:$C$1052,0))),""))</f>
        <v/>
      </c>
      <c r="F108" s="21" t="str">
        <f aca="false">IF($B108="","",IFERROR(IF(INDEX('DỮ LIỆU'!$G$3:$G$1052,MATCH($B108,'DỮ LIỆU'!$C$3:$C$1052,0))="","",INDEX('DỮ LIỆU'!$G$3:$G$1052,MATCH($B108,'DỮ LIỆU'!$C$3:$C$1052,0))),""))</f>
        <v/>
      </c>
      <c r="G108" s="13" t="str">
        <f aca="false">IF($B108="","",COUNTIFS('DỮ LIỆU'!$C$3:$C$1052,$B108,'DỮ LIỆU'!$J$3:$J$1052,"&gt;0"))</f>
        <v/>
      </c>
      <c r="H108" s="13" t="str">
        <f aca="false">IF($B108="","",SUMIF('DỮ LIỆU'!$C$3:$C$1052,$B108,'DỮ LIỆU'!$J$3:$J$1052))</f>
        <v/>
      </c>
      <c r="I108" s="13" t="str">
        <f aca="false">IF($B108="","",SUMIF('DỮ LIỆU'!$C$3:$C$1052,$B108,'DỮ LIỆU'!$M$3:$M$1052))</f>
        <v/>
      </c>
      <c r="J108" s="13" t="str">
        <f aca="false">IF($B108="","",SUMIF('DỮ LIỆU'!$C$3:$C$1052,$B108,'DỮ LIỆU'!$N$3:$N$1052))</f>
        <v/>
      </c>
      <c r="K108" s="13" t="str">
        <f aca="false">IF($B108="","",SUMIF('DỮ LIỆU'!$C$3:$C$1052,$B108,'DỮ LIỆU'!$O$3:$O$1052))</f>
        <v/>
      </c>
      <c r="L108" s="13" t="str">
        <f aca="false">IF($B108="","",SUMIF('DỮ LIỆU'!$C$3:$C$1052,$B108,'DỮ LIỆU'!$Q$3:$Q$1052))</f>
        <v/>
      </c>
      <c r="M108" s="41" t="str">
        <f aca="false">IF($B108="","",IF(SUMPRODUCT(MAX(('DỮ LIỆU'!$C$3:$C$1052=$B108)*'DỮ LIỆU'!$Z$3:$Z$1052))=0,"",SUMPRODUCT(MAX(('DỮ LIỆU'!$C$3:$C$1052=$B108)*'DỮ LIỆU'!$Z$3:$Z$1052))))</f>
        <v/>
      </c>
      <c r="N108" s="21" t="str">
        <f aca="false">IF($B108="","",IF($G108=0,"Chưa có đơn",IF(COUNTIFS('DỮ LIỆU'!$C$3:$C$1052,$B108,'DỮ LIỆU'!$K$3:$K$1052,"&gt;0")&gt;0,"Có lấy VAT","Không lấy VAT")))</f>
        <v/>
      </c>
    </row>
    <row r="109" customFormat="false" ht="15" hidden="false" customHeight="false" outlineLevel="0" collapsed="false">
      <c r="A109" s="21" t="str">
        <f aca="false">IF($B109="","",104)</f>
        <v/>
      </c>
      <c r="B109" s="21" t="str">
        <f aca="false">IFERROR(INDEX('DỮ LIỆU'!$C$3:$C$1052,MATCH(104,'DỮ LIỆU'!$W$3:$W$1052,0)),"")</f>
        <v/>
      </c>
      <c r="C109" s="21" t="str">
        <f aca="false">IF($B109="","",IFERROR(IF(INDEX('DỮ LIỆU'!$D$3:$D$1052,MATCH($B109,'DỮ LIỆU'!$C$3:$C$1052,0))="","",INDEX('DỮ LIỆU'!$D$3:$D$1052,MATCH($B109,'DỮ LIỆU'!$C$3:$C$1052,0))),""))</f>
        <v/>
      </c>
      <c r="D109" s="21" t="str">
        <f aca="false">IF($B109="","",IFERROR(IF(INDEX('DỮ LIỆU'!$E$3:$E$1052,MATCH($B109,'DỮ LIỆU'!$C$3:$C$1052,0))="","",INDEX('DỮ LIỆU'!$E$3:$E$1052,MATCH($B109,'DỮ LIỆU'!$C$3:$C$1052,0))),""))</f>
        <v/>
      </c>
      <c r="E109" s="21" t="str">
        <f aca="false">IF($B109="","",IFERROR(IF(INDEX('DỮ LIỆU'!$F$3:$F$1052,MATCH($B109,'DỮ LIỆU'!$C$3:$C$1052,0))="","",INDEX('DỮ LIỆU'!$F$3:$F$1052,MATCH($B109,'DỮ LIỆU'!$C$3:$C$1052,0))),""))</f>
        <v/>
      </c>
      <c r="F109" s="21" t="str">
        <f aca="false">IF($B109="","",IFERROR(IF(INDEX('DỮ LIỆU'!$G$3:$G$1052,MATCH($B109,'DỮ LIỆU'!$C$3:$C$1052,0))="","",INDEX('DỮ LIỆU'!$G$3:$G$1052,MATCH($B109,'DỮ LIỆU'!$C$3:$C$1052,0))),""))</f>
        <v/>
      </c>
      <c r="G109" s="13" t="str">
        <f aca="false">IF($B109="","",COUNTIFS('DỮ LIỆU'!$C$3:$C$1052,$B109,'DỮ LIỆU'!$J$3:$J$1052,"&gt;0"))</f>
        <v/>
      </c>
      <c r="H109" s="13" t="str">
        <f aca="false">IF($B109="","",SUMIF('DỮ LIỆU'!$C$3:$C$1052,$B109,'DỮ LIỆU'!$J$3:$J$1052))</f>
        <v/>
      </c>
      <c r="I109" s="13" t="str">
        <f aca="false">IF($B109="","",SUMIF('DỮ LIỆU'!$C$3:$C$1052,$B109,'DỮ LIỆU'!$M$3:$M$1052))</f>
        <v/>
      </c>
      <c r="J109" s="13" t="str">
        <f aca="false">IF($B109="","",SUMIF('DỮ LIỆU'!$C$3:$C$1052,$B109,'DỮ LIỆU'!$N$3:$N$1052))</f>
        <v/>
      </c>
      <c r="K109" s="13" t="str">
        <f aca="false">IF($B109="","",SUMIF('DỮ LIỆU'!$C$3:$C$1052,$B109,'DỮ LIỆU'!$O$3:$O$1052))</f>
        <v/>
      </c>
      <c r="L109" s="13" t="str">
        <f aca="false">IF($B109="","",SUMIF('DỮ LIỆU'!$C$3:$C$1052,$B109,'DỮ LIỆU'!$Q$3:$Q$1052))</f>
        <v/>
      </c>
      <c r="M109" s="41" t="str">
        <f aca="false">IF($B109="","",IF(SUMPRODUCT(MAX(('DỮ LIỆU'!$C$3:$C$1052=$B109)*'DỮ LIỆU'!$Z$3:$Z$1052))=0,"",SUMPRODUCT(MAX(('DỮ LIỆU'!$C$3:$C$1052=$B109)*'DỮ LIỆU'!$Z$3:$Z$1052))))</f>
        <v/>
      </c>
      <c r="N109" s="21" t="str">
        <f aca="false">IF($B109="","",IF($G109=0,"Chưa có đơn",IF(COUNTIFS('DỮ LIỆU'!$C$3:$C$1052,$B109,'DỮ LIỆU'!$K$3:$K$1052,"&gt;0")&gt;0,"Có lấy VAT","Không lấy VAT")))</f>
        <v/>
      </c>
    </row>
    <row r="110" customFormat="false" ht="15" hidden="false" customHeight="false" outlineLevel="0" collapsed="false">
      <c r="A110" s="21" t="str">
        <f aca="false">IF($B110="","",105)</f>
        <v/>
      </c>
      <c r="B110" s="21" t="str">
        <f aca="false">IFERROR(INDEX('DỮ LIỆU'!$C$3:$C$1052,MATCH(105,'DỮ LIỆU'!$W$3:$W$1052,0)),"")</f>
        <v/>
      </c>
      <c r="C110" s="21" t="str">
        <f aca="false">IF($B110="","",IFERROR(IF(INDEX('DỮ LIỆU'!$D$3:$D$1052,MATCH($B110,'DỮ LIỆU'!$C$3:$C$1052,0))="","",INDEX('DỮ LIỆU'!$D$3:$D$1052,MATCH($B110,'DỮ LIỆU'!$C$3:$C$1052,0))),""))</f>
        <v/>
      </c>
      <c r="D110" s="21" t="str">
        <f aca="false">IF($B110="","",IFERROR(IF(INDEX('DỮ LIỆU'!$E$3:$E$1052,MATCH($B110,'DỮ LIỆU'!$C$3:$C$1052,0))="","",INDEX('DỮ LIỆU'!$E$3:$E$1052,MATCH($B110,'DỮ LIỆU'!$C$3:$C$1052,0))),""))</f>
        <v/>
      </c>
      <c r="E110" s="21" t="str">
        <f aca="false">IF($B110="","",IFERROR(IF(INDEX('DỮ LIỆU'!$F$3:$F$1052,MATCH($B110,'DỮ LIỆU'!$C$3:$C$1052,0))="","",INDEX('DỮ LIỆU'!$F$3:$F$1052,MATCH($B110,'DỮ LIỆU'!$C$3:$C$1052,0))),""))</f>
        <v/>
      </c>
      <c r="F110" s="21" t="str">
        <f aca="false">IF($B110="","",IFERROR(IF(INDEX('DỮ LIỆU'!$G$3:$G$1052,MATCH($B110,'DỮ LIỆU'!$C$3:$C$1052,0))="","",INDEX('DỮ LIỆU'!$G$3:$G$1052,MATCH($B110,'DỮ LIỆU'!$C$3:$C$1052,0))),""))</f>
        <v/>
      </c>
      <c r="G110" s="13" t="str">
        <f aca="false">IF($B110="","",COUNTIFS('DỮ LIỆU'!$C$3:$C$1052,$B110,'DỮ LIỆU'!$J$3:$J$1052,"&gt;0"))</f>
        <v/>
      </c>
      <c r="H110" s="13" t="str">
        <f aca="false">IF($B110="","",SUMIF('DỮ LIỆU'!$C$3:$C$1052,$B110,'DỮ LIỆU'!$J$3:$J$1052))</f>
        <v/>
      </c>
      <c r="I110" s="13" t="str">
        <f aca="false">IF($B110="","",SUMIF('DỮ LIỆU'!$C$3:$C$1052,$B110,'DỮ LIỆU'!$M$3:$M$1052))</f>
        <v/>
      </c>
      <c r="J110" s="13" t="str">
        <f aca="false">IF($B110="","",SUMIF('DỮ LIỆU'!$C$3:$C$1052,$B110,'DỮ LIỆU'!$N$3:$N$1052))</f>
        <v/>
      </c>
      <c r="K110" s="13" t="str">
        <f aca="false">IF($B110="","",SUMIF('DỮ LIỆU'!$C$3:$C$1052,$B110,'DỮ LIỆU'!$O$3:$O$1052))</f>
        <v/>
      </c>
      <c r="L110" s="13" t="str">
        <f aca="false">IF($B110="","",SUMIF('DỮ LIỆU'!$C$3:$C$1052,$B110,'DỮ LIỆU'!$Q$3:$Q$1052))</f>
        <v/>
      </c>
      <c r="M110" s="41" t="str">
        <f aca="false">IF($B110="","",IF(SUMPRODUCT(MAX(('DỮ LIỆU'!$C$3:$C$1052=$B110)*'DỮ LIỆU'!$Z$3:$Z$1052))=0,"",SUMPRODUCT(MAX(('DỮ LIỆU'!$C$3:$C$1052=$B110)*'DỮ LIỆU'!$Z$3:$Z$1052))))</f>
        <v/>
      </c>
      <c r="N110" s="21" t="str">
        <f aca="false">IF($B110="","",IF($G110=0,"Chưa có đơn",IF(COUNTIFS('DỮ LIỆU'!$C$3:$C$1052,$B110,'DỮ LIỆU'!$K$3:$K$1052,"&gt;0")&gt;0,"Có lấy VAT","Không lấy VAT")))</f>
        <v/>
      </c>
    </row>
    <row r="111" customFormat="false" ht="15" hidden="false" customHeight="false" outlineLevel="0" collapsed="false">
      <c r="A111" s="21" t="str">
        <f aca="false">IF($B111="","",106)</f>
        <v/>
      </c>
      <c r="B111" s="21" t="str">
        <f aca="false">IFERROR(INDEX('DỮ LIỆU'!$C$3:$C$1052,MATCH(106,'DỮ LIỆU'!$W$3:$W$1052,0)),"")</f>
        <v/>
      </c>
      <c r="C111" s="21" t="str">
        <f aca="false">IF($B111="","",IFERROR(IF(INDEX('DỮ LIỆU'!$D$3:$D$1052,MATCH($B111,'DỮ LIỆU'!$C$3:$C$1052,0))="","",INDEX('DỮ LIỆU'!$D$3:$D$1052,MATCH($B111,'DỮ LIỆU'!$C$3:$C$1052,0))),""))</f>
        <v/>
      </c>
      <c r="D111" s="21" t="str">
        <f aca="false">IF($B111="","",IFERROR(IF(INDEX('DỮ LIỆU'!$E$3:$E$1052,MATCH($B111,'DỮ LIỆU'!$C$3:$C$1052,0))="","",INDEX('DỮ LIỆU'!$E$3:$E$1052,MATCH($B111,'DỮ LIỆU'!$C$3:$C$1052,0))),""))</f>
        <v/>
      </c>
      <c r="E111" s="21" t="str">
        <f aca="false">IF($B111="","",IFERROR(IF(INDEX('DỮ LIỆU'!$F$3:$F$1052,MATCH($B111,'DỮ LIỆU'!$C$3:$C$1052,0))="","",INDEX('DỮ LIỆU'!$F$3:$F$1052,MATCH($B111,'DỮ LIỆU'!$C$3:$C$1052,0))),""))</f>
        <v/>
      </c>
      <c r="F111" s="21" t="str">
        <f aca="false">IF($B111="","",IFERROR(IF(INDEX('DỮ LIỆU'!$G$3:$G$1052,MATCH($B111,'DỮ LIỆU'!$C$3:$C$1052,0))="","",INDEX('DỮ LIỆU'!$G$3:$G$1052,MATCH($B111,'DỮ LIỆU'!$C$3:$C$1052,0))),""))</f>
        <v/>
      </c>
      <c r="G111" s="13" t="str">
        <f aca="false">IF($B111="","",COUNTIFS('DỮ LIỆU'!$C$3:$C$1052,$B111,'DỮ LIỆU'!$J$3:$J$1052,"&gt;0"))</f>
        <v/>
      </c>
      <c r="H111" s="13" t="str">
        <f aca="false">IF($B111="","",SUMIF('DỮ LIỆU'!$C$3:$C$1052,$B111,'DỮ LIỆU'!$J$3:$J$1052))</f>
        <v/>
      </c>
      <c r="I111" s="13" t="str">
        <f aca="false">IF($B111="","",SUMIF('DỮ LIỆU'!$C$3:$C$1052,$B111,'DỮ LIỆU'!$M$3:$M$1052))</f>
        <v/>
      </c>
      <c r="J111" s="13" t="str">
        <f aca="false">IF($B111="","",SUMIF('DỮ LIỆU'!$C$3:$C$1052,$B111,'DỮ LIỆU'!$N$3:$N$1052))</f>
        <v/>
      </c>
      <c r="K111" s="13" t="str">
        <f aca="false">IF($B111="","",SUMIF('DỮ LIỆU'!$C$3:$C$1052,$B111,'DỮ LIỆU'!$O$3:$O$1052))</f>
        <v/>
      </c>
      <c r="L111" s="13" t="str">
        <f aca="false">IF($B111="","",SUMIF('DỮ LIỆU'!$C$3:$C$1052,$B111,'DỮ LIỆU'!$Q$3:$Q$1052))</f>
        <v/>
      </c>
      <c r="M111" s="41" t="str">
        <f aca="false">IF($B111="","",IF(SUMPRODUCT(MAX(('DỮ LIỆU'!$C$3:$C$1052=$B111)*'DỮ LIỆU'!$Z$3:$Z$1052))=0,"",SUMPRODUCT(MAX(('DỮ LIỆU'!$C$3:$C$1052=$B111)*'DỮ LIỆU'!$Z$3:$Z$1052))))</f>
        <v/>
      </c>
      <c r="N111" s="21" t="str">
        <f aca="false">IF($B111="","",IF($G111=0,"Chưa có đơn",IF(COUNTIFS('DỮ LIỆU'!$C$3:$C$1052,$B111,'DỮ LIỆU'!$K$3:$K$1052,"&gt;0")&gt;0,"Có lấy VAT","Không lấy VAT")))</f>
        <v/>
      </c>
    </row>
    <row r="112" customFormat="false" ht="15" hidden="false" customHeight="false" outlineLevel="0" collapsed="false">
      <c r="A112" s="21" t="str">
        <f aca="false">IF($B112="","",107)</f>
        <v/>
      </c>
      <c r="B112" s="21" t="str">
        <f aca="false">IFERROR(INDEX('DỮ LIỆU'!$C$3:$C$1052,MATCH(107,'DỮ LIỆU'!$W$3:$W$1052,0)),"")</f>
        <v/>
      </c>
      <c r="C112" s="21" t="str">
        <f aca="false">IF($B112="","",IFERROR(IF(INDEX('DỮ LIỆU'!$D$3:$D$1052,MATCH($B112,'DỮ LIỆU'!$C$3:$C$1052,0))="","",INDEX('DỮ LIỆU'!$D$3:$D$1052,MATCH($B112,'DỮ LIỆU'!$C$3:$C$1052,0))),""))</f>
        <v/>
      </c>
      <c r="D112" s="21" t="str">
        <f aca="false">IF($B112="","",IFERROR(IF(INDEX('DỮ LIỆU'!$E$3:$E$1052,MATCH($B112,'DỮ LIỆU'!$C$3:$C$1052,0))="","",INDEX('DỮ LIỆU'!$E$3:$E$1052,MATCH($B112,'DỮ LIỆU'!$C$3:$C$1052,0))),""))</f>
        <v/>
      </c>
      <c r="E112" s="21" t="str">
        <f aca="false">IF($B112="","",IFERROR(IF(INDEX('DỮ LIỆU'!$F$3:$F$1052,MATCH($B112,'DỮ LIỆU'!$C$3:$C$1052,0))="","",INDEX('DỮ LIỆU'!$F$3:$F$1052,MATCH($B112,'DỮ LIỆU'!$C$3:$C$1052,0))),""))</f>
        <v/>
      </c>
      <c r="F112" s="21" t="str">
        <f aca="false">IF($B112="","",IFERROR(IF(INDEX('DỮ LIỆU'!$G$3:$G$1052,MATCH($B112,'DỮ LIỆU'!$C$3:$C$1052,0))="","",INDEX('DỮ LIỆU'!$G$3:$G$1052,MATCH($B112,'DỮ LIỆU'!$C$3:$C$1052,0))),""))</f>
        <v/>
      </c>
      <c r="G112" s="13" t="str">
        <f aca="false">IF($B112="","",COUNTIFS('DỮ LIỆU'!$C$3:$C$1052,$B112,'DỮ LIỆU'!$J$3:$J$1052,"&gt;0"))</f>
        <v/>
      </c>
      <c r="H112" s="13" t="str">
        <f aca="false">IF($B112="","",SUMIF('DỮ LIỆU'!$C$3:$C$1052,$B112,'DỮ LIỆU'!$J$3:$J$1052))</f>
        <v/>
      </c>
      <c r="I112" s="13" t="str">
        <f aca="false">IF($B112="","",SUMIF('DỮ LIỆU'!$C$3:$C$1052,$B112,'DỮ LIỆU'!$M$3:$M$1052))</f>
        <v/>
      </c>
      <c r="J112" s="13" t="str">
        <f aca="false">IF($B112="","",SUMIF('DỮ LIỆU'!$C$3:$C$1052,$B112,'DỮ LIỆU'!$N$3:$N$1052))</f>
        <v/>
      </c>
      <c r="K112" s="13" t="str">
        <f aca="false">IF($B112="","",SUMIF('DỮ LIỆU'!$C$3:$C$1052,$B112,'DỮ LIỆU'!$O$3:$O$1052))</f>
        <v/>
      </c>
      <c r="L112" s="13" t="str">
        <f aca="false">IF($B112="","",SUMIF('DỮ LIỆU'!$C$3:$C$1052,$B112,'DỮ LIỆU'!$Q$3:$Q$1052))</f>
        <v/>
      </c>
      <c r="M112" s="41" t="str">
        <f aca="false">IF($B112="","",IF(SUMPRODUCT(MAX(('DỮ LIỆU'!$C$3:$C$1052=$B112)*'DỮ LIỆU'!$Z$3:$Z$1052))=0,"",SUMPRODUCT(MAX(('DỮ LIỆU'!$C$3:$C$1052=$B112)*'DỮ LIỆU'!$Z$3:$Z$1052))))</f>
        <v/>
      </c>
      <c r="N112" s="21" t="str">
        <f aca="false">IF($B112="","",IF($G112=0,"Chưa có đơn",IF(COUNTIFS('DỮ LIỆU'!$C$3:$C$1052,$B112,'DỮ LIỆU'!$K$3:$K$1052,"&gt;0")&gt;0,"Có lấy VAT","Không lấy VAT")))</f>
        <v/>
      </c>
    </row>
    <row r="113" customFormat="false" ht="15" hidden="false" customHeight="false" outlineLevel="0" collapsed="false">
      <c r="A113" s="21" t="str">
        <f aca="false">IF($B113="","",108)</f>
        <v/>
      </c>
      <c r="B113" s="21" t="str">
        <f aca="false">IFERROR(INDEX('DỮ LIỆU'!$C$3:$C$1052,MATCH(108,'DỮ LIỆU'!$W$3:$W$1052,0)),"")</f>
        <v/>
      </c>
      <c r="C113" s="21" t="str">
        <f aca="false">IF($B113="","",IFERROR(IF(INDEX('DỮ LIỆU'!$D$3:$D$1052,MATCH($B113,'DỮ LIỆU'!$C$3:$C$1052,0))="","",INDEX('DỮ LIỆU'!$D$3:$D$1052,MATCH($B113,'DỮ LIỆU'!$C$3:$C$1052,0))),""))</f>
        <v/>
      </c>
      <c r="D113" s="21" t="str">
        <f aca="false">IF($B113="","",IFERROR(IF(INDEX('DỮ LIỆU'!$E$3:$E$1052,MATCH($B113,'DỮ LIỆU'!$C$3:$C$1052,0))="","",INDEX('DỮ LIỆU'!$E$3:$E$1052,MATCH($B113,'DỮ LIỆU'!$C$3:$C$1052,0))),""))</f>
        <v/>
      </c>
      <c r="E113" s="21" t="str">
        <f aca="false">IF($B113="","",IFERROR(IF(INDEX('DỮ LIỆU'!$F$3:$F$1052,MATCH($B113,'DỮ LIỆU'!$C$3:$C$1052,0))="","",INDEX('DỮ LIỆU'!$F$3:$F$1052,MATCH($B113,'DỮ LIỆU'!$C$3:$C$1052,0))),""))</f>
        <v/>
      </c>
      <c r="F113" s="21" t="str">
        <f aca="false">IF($B113="","",IFERROR(IF(INDEX('DỮ LIỆU'!$G$3:$G$1052,MATCH($B113,'DỮ LIỆU'!$C$3:$C$1052,0))="","",INDEX('DỮ LIỆU'!$G$3:$G$1052,MATCH($B113,'DỮ LIỆU'!$C$3:$C$1052,0))),""))</f>
        <v/>
      </c>
      <c r="G113" s="13" t="str">
        <f aca="false">IF($B113="","",COUNTIFS('DỮ LIỆU'!$C$3:$C$1052,$B113,'DỮ LIỆU'!$J$3:$J$1052,"&gt;0"))</f>
        <v/>
      </c>
      <c r="H113" s="13" t="str">
        <f aca="false">IF($B113="","",SUMIF('DỮ LIỆU'!$C$3:$C$1052,$B113,'DỮ LIỆU'!$J$3:$J$1052))</f>
        <v/>
      </c>
      <c r="I113" s="13" t="str">
        <f aca="false">IF($B113="","",SUMIF('DỮ LIỆU'!$C$3:$C$1052,$B113,'DỮ LIỆU'!$M$3:$M$1052))</f>
        <v/>
      </c>
      <c r="J113" s="13" t="str">
        <f aca="false">IF($B113="","",SUMIF('DỮ LIỆU'!$C$3:$C$1052,$B113,'DỮ LIỆU'!$N$3:$N$1052))</f>
        <v/>
      </c>
      <c r="K113" s="13" t="str">
        <f aca="false">IF($B113="","",SUMIF('DỮ LIỆU'!$C$3:$C$1052,$B113,'DỮ LIỆU'!$O$3:$O$1052))</f>
        <v/>
      </c>
      <c r="L113" s="13" t="str">
        <f aca="false">IF($B113="","",SUMIF('DỮ LIỆU'!$C$3:$C$1052,$B113,'DỮ LIỆU'!$Q$3:$Q$1052))</f>
        <v/>
      </c>
      <c r="M113" s="41" t="str">
        <f aca="false">IF($B113="","",IF(SUMPRODUCT(MAX(('DỮ LIỆU'!$C$3:$C$1052=$B113)*'DỮ LIỆU'!$Z$3:$Z$1052))=0,"",SUMPRODUCT(MAX(('DỮ LIỆU'!$C$3:$C$1052=$B113)*'DỮ LIỆU'!$Z$3:$Z$1052))))</f>
        <v/>
      </c>
      <c r="N113" s="21" t="str">
        <f aca="false">IF($B113="","",IF($G113=0,"Chưa có đơn",IF(COUNTIFS('DỮ LIỆU'!$C$3:$C$1052,$B113,'DỮ LIỆU'!$K$3:$K$1052,"&gt;0")&gt;0,"Có lấy VAT","Không lấy VAT")))</f>
        <v/>
      </c>
    </row>
    <row r="114" customFormat="false" ht="15" hidden="false" customHeight="false" outlineLevel="0" collapsed="false">
      <c r="A114" s="21" t="str">
        <f aca="false">IF($B114="","",109)</f>
        <v/>
      </c>
      <c r="B114" s="21" t="str">
        <f aca="false">IFERROR(INDEX('DỮ LIỆU'!$C$3:$C$1052,MATCH(109,'DỮ LIỆU'!$W$3:$W$1052,0)),"")</f>
        <v/>
      </c>
      <c r="C114" s="21" t="str">
        <f aca="false">IF($B114="","",IFERROR(IF(INDEX('DỮ LIỆU'!$D$3:$D$1052,MATCH($B114,'DỮ LIỆU'!$C$3:$C$1052,0))="","",INDEX('DỮ LIỆU'!$D$3:$D$1052,MATCH($B114,'DỮ LIỆU'!$C$3:$C$1052,0))),""))</f>
        <v/>
      </c>
      <c r="D114" s="21" t="str">
        <f aca="false">IF($B114="","",IFERROR(IF(INDEX('DỮ LIỆU'!$E$3:$E$1052,MATCH($B114,'DỮ LIỆU'!$C$3:$C$1052,0))="","",INDEX('DỮ LIỆU'!$E$3:$E$1052,MATCH($B114,'DỮ LIỆU'!$C$3:$C$1052,0))),""))</f>
        <v/>
      </c>
      <c r="E114" s="21" t="str">
        <f aca="false">IF($B114="","",IFERROR(IF(INDEX('DỮ LIỆU'!$F$3:$F$1052,MATCH($B114,'DỮ LIỆU'!$C$3:$C$1052,0))="","",INDEX('DỮ LIỆU'!$F$3:$F$1052,MATCH($B114,'DỮ LIỆU'!$C$3:$C$1052,0))),""))</f>
        <v/>
      </c>
      <c r="F114" s="21" t="str">
        <f aca="false">IF($B114="","",IFERROR(IF(INDEX('DỮ LIỆU'!$G$3:$G$1052,MATCH($B114,'DỮ LIỆU'!$C$3:$C$1052,0))="","",INDEX('DỮ LIỆU'!$G$3:$G$1052,MATCH($B114,'DỮ LIỆU'!$C$3:$C$1052,0))),""))</f>
        <v/>
      </c>
      <c r="G114" s="13" t="str">
        <f aca="false">IF($B114="","",COUNTIFS('DỮ LIỆU'!$C$3:$C$1052,$B114,'DỮ LIỆU'!$J$3:$J$1052,"&gt;0"))</f>
        <v/>
      </c>
      <c r="H114" s="13" t="str">
        <f aca="false">IF($B114="","",SUMIF('DỮ LIỆU'!$C$3:$C$1052,$B114,'DỮ LIỆU'!$J$3:$J$1052))</f>
        <v/>
      </c>
      <c r="I114" s="13" t="str">
        <f aca="false">IF($B114="","",SUMIF('DỮ LIỆU'!$C$3:$C$1052,$B114,'DỮ LIỆU'!$M$3:$M$1052))</f>
        <v/>
      </c>
      <c r="J114" s="13" t="str">
        <f aca="false">IF($B114="","",SUMIF('DỮ LIỆU'!$C$3:$C$1052,$B114,'DỮ LIỆU'!$N$3:$N$1052))</f>
        <v/>
      </c>
      <c r="K114" s="13" t="str">
        <f aca="false">IF($B114="","",SUMIF('DỮ LIỆU'!$C$3:$C$1052,$B114,'DỮ LIỆU'!$O$3:$O$1052))</f>
        <v/>
      </c>
      <c r="L114" s="13" t="str">
        <f aca="false">IF($B114="","",SUMIF('DỮ LIỆU'!$C$3:$C$1052,$B114,'DỮ LIỆU'!$Q$3:$Q$1052))</f>
        <v/>
      </c>
      <c r="M114" s="41" t="str">
        <f aca="false">IF($B114="","",IF(SUMPRODUCT(MAX(('DỮ LIỆU'!$C$3:$C$1052=$B114)*'DỮ LIỆU'!$Z$3:$Z$1052))=0,"",SUMPRODUCT(MAX(('DỮ LIỆU'!$C$3:$C$1052=$B114)*'DỮ LIỆU'!$Z$3:$Z$1052))))</f>
        <v/>
      </c>
      <c r="N114" s="21" t="str">
        <f aca="false">IF($B114="","",IF($G114=0,"Chưa có đơn",IF(COUNTIFS('DỮ LIỆU'!$C$3:$C$1052,$B114,'DỮ LIỆU'!$K$3:$K$1052,"&gt;0")&gt;0,"Có lấy VAT","Không lấy VAT")))</f>
        <v/>
      </c>
    </row>
    <row r="115" customFormat="false" ht="15" hidden="false" customHeight="false" outlineLevel="0" collapsed="false">
      <c r="A115" s="21" t="str">
        <f aca="false">IF($B115="","",110)</f>
        <v/>
      </c>
      <c r="B115" s="21" t="str">
        <f aca="false">IFERROR(INDEX('DỮ LIỆU'!$C$3:$C$1052,MATCH(110,'DỮ LIỆU'!$W$3:$W$1052,0)),"")</f>
        <v/>
      </c>
      <c r="C115" s="21" t="str">
        <f aca="false">IF($B115="","",IFERROR(IF(INDEX('DỮ LIỆU'!$D$3:$D$1052,MATCH($B115,'DỮ LIỆU'!$C$3:$C$1052,0))="","",INDEX('DỮ LIỆU'!$D$3:$D$1052,MATCH($B115,'DỮ LIỆU'!$C$3:$C$1052,0))),""))</f>
        <v/>
      </c>
      <c r="D115" s="21" t="str">
        <f aca="false">IF($B115="","",IFERROR(IF(INDEX('DỮ LIỆU'!$E$3:$E$1052,MATCH($B115,'DỮ LIỆU'!$C$3:$C$1052,0))="","",INDEX('DỮ LIỆU'!$E$3:$E$1052,MATCH($B115,'DỮ LIỆU'!$C$3:$C$1052,0))),""))</f>
        <v/>
      </c>
      <c r="E115" s="21" t="str">
        <f aca="false">IF($B115="","",IFERROR(IF(INDEX('DỮ LIỆU'!$F$3:$F$1052,MATCH($B115,'DỮ LIỆU'!$C$3:$C$1052,0))="","",INDEX('DỮ LIỆU'!$F$3:$F$1052,MATCH($B115,'DỮ LIỆU'!$C$3:$C$1052,0))),""))</f>
        <v/>
      </c>
      <c r="F115" s="21" t="str">
        <f aca="false">IF($B115="","",IFERROR(IF(INDEX('DỮ LIỆU'!$G$3:$G$1052,MATCH($B115,'DỮ LIỆU'!$C$3:$C$1052,0))="","",INDEX('DỮ LIỆU'!$G$3:$G$1052,MATCH($B115,'DỮ LIỆU'!$C$3:$C$1052,0))),""))</f>
        <v/>
      </c>
      <c r="G115" s="13" t="str">
        <f aca="false">IF($B115="","",COUNTIFS('DỮ LIỆU'!$C$3:$C$1052,$B115,'DỮ LIỆU'!$J$3:$J$1052,"&gt;0"))</f>
        <v/>
      </c>
      <c r="H115" s="13" t="str">
        <f aca="false">IF($B115="","",SUMIF('DỮ LIỆU'!$C$3:$C$1052,$B115,'DỮ LIỆU'!$J$3:$J$1052))</f>
        <v/>
      </c>
      <c r="I115" s="13" t="str">
        <f aca="false">IF($B115="","",SUMIF('DỮ LIỆU'!$C$3:$C$1052,$B115,'DỮ LIỆU'!$M$3:$M$1052))</f>
        <v/>
      </c>
      <c r="J115" s="13" t="str">
        <f aca="false">IF($B115="","",SUMIF('DỮ LIỆU'!$C$3:$C$1052,$B115,'DỮ LIỆU'!$N$3:$N$1052))</f>
        <v/>
      </c>
      <c r="K115" s="13" t="str">
        <f aca="false">IF($B115="","",SUMIF('DỮ LIỆU'!$C$3:$C$1052,$B115,'DỮ LIỆU'!$O$3:$O$1052))</f>
        <v/>
      </c>
      <c r="L115" s="13" t="str">
        <f aca="false">IF($B115="","",SUMIF('DỮ LIỆU'!$C$3:$C$1052,$B115,'DỮ LIỆU'!$Q$3:$Q$1052))</f>
        <v/>
      </c>
      <c r="M115" s="41" t="str">
        <f aca="false">IF($B115="","",IF(SUMPRODUCT(MAX(('DỮ LIỆU'!$C$3:$C$1052=$B115)*'DỮ LIỆU'!$Z$3:$Z$1052))=0,"",SUMPRODUCT(MAX(('DỮ LIỆU'!$C$3:$C$1052=$B115)*'DỮ LIỆU'!$Z$3:$Z$1052))))</f>
        <v/>
      </c>
      <c r="N115" s="21" t="str">
        <f aca="false">IF($B115="","",IF($G115=0,"Chưa có đơn",IF(COUNTIFS('DỮ LIỆU'!$C$3:$C$1052,$B115,'DỮ LIỆU'!$K$3:$K$1052,"&gt;0")&gt;0,"Có lấy VAT","Không lấy VAT")))</f>
        <v/>
      </c>
    </row>
    <row r="116" customFormat="false" ht="15" hidden="false" customHeight="false" outlineLevel="0" collapsed="false">
      <c r="A116" s="21" t="str">
        <f aca="false">IF($B116="","",111)</f>
        <v/>
      </c>
      <c r="B116" s="21" t="str">
        <f aca="false">IFERROR(INDEX('DỮ LIỆU'!$C$3:$C$1052,MATCH(111,'DỮ LIỆU'!$W$3:$W$1052,0)),"")</f>
        <v/>
      </c>
      <c r="C116" s="21" t="str">
        <f aca="false">IF($B116="","",IFERROR(IF(INDEX('DỮ LIỆU'!$D$3:$D$1052,MATCH($B116,'DỮ LIỆU'!$C$3:$C$1052,0))="","",INDEX('DỮ LIỆU'!$D$3:$D$1052,MATCH($B116,'DỮ LIỆU'!$C$3:$C$1052,0))),""))</f>
        <v/>
      </c>
      <c r="D116" s="21" t="str">
        <f aca="false">IF($B116="","",IFERROR(IF(INDEX('DỮ LIỆU'!$E$3:$E$1052,MATCH($B116,'DỮ LIỆU'!$C$3:$C$1052,0))="","",INDEX('DỮ LIỆU'!$E$3:$E$1052,MATCH($B116,'DỮ LIỆU'!$C$3:$C$1052,0))),""))</f>
        <v/>
      </c>
      <c r="E116" s="21" t="str">
        <f aca="false">IF($B116="","",IFERROR(IF(INDEX('DỮ LIỆU'!$F$3:$F$1052,MATCH($B116,'DỮ LIỆU'!$C$3:$C$1052,0))="","",INDEX('DỮ LIỆU'!$F$3:$F$1052,MATCH($B116,'DỮ LIỆU'!$C$3:$C$1052,0))),""))</f>
        <v/>
      </c>
      <c r="F116" s="21" t="str">
        <f aca="false">IF($B116="","",IFERROR(IF(INDEX('DỮ LIỆU'!$G$3:$G$1052,MATCH($B116,'DỮ LIỆU'!$C$3:$C$1052,0))="","",INDEX('DỮ LIỆU'!$G$3:$G$1052,MATCH($B116,'DỮ LIỆU'!$C$3:$C$1052,0))),""))</f>
        <v/>
      </c>
      <c r="G116" s="13" t="str">
        <f aca="false">IF($B116="","",COUNTIFS('DỮ LIỆU'!$C$3:$C$1052,$B116,'DỮ LIỆU'!$J$3:$J$1052,"&gt;0"))</f>
        <v/>
      </c>
      <c r="H116" s="13" t="str">
        <f aca="false">IF($B116="","",SUMIF('DỮ LIỆU'!$C$3:$C$1052,$B116,'DỮ LIỆU'!$J$3:$J$1052))</f>
        <v/>
      </c>
      <c r="I116" s="13" t="str">
        <f aca="false">IF($B116="","",SUMIF('DỮ LIỆU'!$C$3:$C$1052,$B116,'DỮ LIỆU'!$M$3:$M$1052))</f>
        <v/>
      </c>
      <c r="J116" s="13" t="str">
        <f aca="false">IF($B116="","",SUMIF('DỮ LIỆU'!$C$3:$C$1052,$B116,'DỮ LIỆU'!$N$3:$N$1052))</f>
        <v/>
      </c>
      <c r="K116" s="13" t="str">
        <f aca="false">IF($B116="","",SUMIF('DỮ LIỆU'!$C$3:$C$1052,$B116,'DỮ LIỆU'!$O$3:$O$1052))</f>
        <v/>
      </c>
      <c r="L116" s="13" t="str">
        <f aca="false">IF($B116="","",SUMIF('DỮ LIỆU'!$C$3:$C$1052,$B116,'DỮ LIỆU'!$Q$3:$Q$1052))</f>
        <v/>
      </c>
      <c r="M116" s="41" t="str">
        <f aca="false">IF($B116="","",IF(SUMPRODUCT(MAX(('DỮ LIỆU'!$C$3:$C$1052=$B116)*'DỮ LIỆU'!$Z$3:$Z$1052))=0,"",SUMPRODUCT(MAX(('DỮ LIỆU'!$C$3:$C$1052=$B116)*'DỮ LIỆU'!$Z$3:$Z$1052))))</f>
        <v/>
      </c>
      <c r="N116" s="21" t="str">
        <f aca="false">IF($B116="","",IF($G116=0,"Chưa có đơn",IF(COUNTIFS('DỮ LIỆU'!$C$3:$C$1052,$B116,'DỮ LIỆU'!$K$3:$K$1052,"&gt;0")&gt;0,"Có lấy VAT","Không lấy VAT")))</f>
        <v/>
      </c>
    </row>
    <row r="117" customFormat="false" ht="15" hidden="false" customHeight="false" outlineLevel="0" collapsed="false">
      <c r="A117" s="21" t="str">
        <f aca="false">IF($B117="","",112)</f>
        <v/>
      </c>
      <c r="B117" s="21" t="str">
        <f aca="false">IFERROR(INDEX('DỮ LIỆU'!$C$3:$C$1052,MATCH(112,'DỮ LIỆU'!$W$3:$W$1052,0)),"")</f>
        <v/>
      </c>
      <c r="C117" s="21" t="str">
        <f aca="false">IF($B117="","",IFERROR(IF(INDEX('DỮ LIỆU'!$D$3:$D$1052,MATCH($B117,'DỮ LIỆU'!$C$3:$C$1052,0))="","",INDEX('DỮ LIỆU'!$D$3:$D$1052,MATCH($B117,'DỮ LIỆU'!$C$3:$C$1052,0))),""))</f>
        <v/>
      </c>
      <c r="D117" s="21" t="str">
        <f aca="false">IF($B117="","",IFERROR(IF(INDEX('DỮ LIỆU'!$E$3:$E$1052,MATCH($B117,'DỮ LIỆU'!$C$3:$C$1052,0))="","",INDEX('DỮ LIỆU'!$E$3:$E$1052,MATCH($B117,'DỮ LIỆU'!$C$3:$C$1052,0))),""))</f>
        <v/>
      </c>
      <c r="E117" s="21" t="str">
        <f aca="false">IF($B117="","",IFERROR(IF(INDEX('DỮ LIỆU'!$F$3:$F$1052,MATCH($B117,'DỮ LIỆU'!$C$3:$C$1052,0))="","",INDEX('DỮ LIỆU'!$F$3:$F$1052,MATCH($B117,'DỮ LIỆU'!$C$3:$C$1052,0))),""))</f>
        <v/>
      </c>
      <c r="F117" s="21" t="str">
        <f aca="false">IF($B117="","",IFERROR(IF(INDEX('DỮ LIỆU'!$G$3:$G$1052,MATCH($B117,'DỮ LIỆU'!$C$3:$C$1052,0))="","",INDEX('DỮ LIỆU'!$G$3:$G$1052,MATCH($B117,'DỮ LIỆU'!$C$3:$C$1052,0))),""))</f>
        <v/>
      </c>
      <c r="G117" s="13" t="str">
        <f aca="false">IF($B117="","",COUNTIFS('DỮ LIỆU'!$C$3:$C$1052,$B117,'DỮ LIỆU'!$J$3:$J$1052,"&gt;0"))</f>
        <v/>
      </c>
      <c r="H117" s="13" t="str">
        <f aca="false">IF($B117="","",SUMIF('DỮ LIỆU'!$C$3:$C$1052,$B117,'DỮ LIỆU'!$J$3:$J$1052))</f>
        <v/>
      </c>
      <c r="I117" s="13" t="str">
        <f aca="false">IF($B117="","",SUMIF('DỮ LIỆU'!$C$3:$C$1052,$B117,'DỮ LIỆU'!$M$3:$M$1052))</f>
        <v/>
      </c>
      <c r="J117" s="13" t="str">
        <f aca="false">IF($B117="","",SUMIF('DỮ LIỆU'!$C$3:$C$1052,$B117,'DỮ LIỆU'!$N$3:$N$1052))</f>
        <v/>
      </c>
      <c r="K117" s="13" t="str">
        <f aca="false">IF($B117="","",SUMIF('DỮ LIỆU'!$C$3:$C$1052,$B117,'DỮ LIỆU'!$O$3:$O$1052))</f>
        <v/>
      </c>
      <c r="L117" s="13" t="str">
        <f aca="false">IF($B117="","",SUMIF('DỮ LIỆU'!$C$3:$C$1052,$B117,'DỮ LIỆU'!$Q$3:$Q$1052))</f>
        <v/>
      </c>
      <c r="M117" s="41" t="str">
        <f aca="false">IF($B117="","",IF(SUMPRODUCT(MAX(('DỮ LIỆU'!$C$3:$C$1052=$B117)*'DỮ LIỆU'!$Z$3:$Z$1052))=0,"",SUMPRODUCT(MAX(('DỮ LIỆU'!$C$3:$C$1052=$B117)*'DỮ LIỆU'!$Z$3:$Z$1052))))</f>
        <v/>
      </c>
      <c r="N117" s="21" t="str">
        <f aca="false">IF($B117="","",IF($G117=0,"Chưa có đơn",IF(COUNTIFS('DỮ LIỆU'!$C$3:$C$1052,$B117,'DỮ LIỆU'!$K$3:$K$1052,"&gt;0")&gt;0,"Có lấy VAT","Không lấy VAT")))</f>
        <v/>
      </c>
    </row>
    <row r="118" customFormat="false" ht="15" hidden="false" customHeight="false" outlineLevel="0" collapsed="false">
      <c r="A118" s="21" t="str">
        <f aca="false">IF($B118="","",113)</f>
        <v/>
      </c>
      <c r="B118" s="21" t="str">
        <f aca="false">IFERROR(INDEX('DỮ LIỆU'!$C$3:$C$1052,MATCH(113,'DỮ LIỆU'!$W$3:$W$1052,0)),"")</f>
        <v/>
      </c>
      <c r="C118" s="21" t="str">
        <f aca="false">IF($B118="","",IFERROR(IF(INDEX('DỮ LIỆU'!$D$3:$D$1052,MATCH($B118,'DỮ LIỆU'!$C$3:$C$1052,0))="","",INDEX('DỮ LIỆU'!$D$3:$D$1052,MATCH($B118,'DỮ LIỆU'!$C$3:$C$1052,0))),""))</f>
        <v/>
      </c>
      <c r="D118" s="21" t="str">
        <f aca="false">IF($B118="","",IFERROR(IF(INDEX('DỮ LIỆU'!$E$3:$E$1052,MATCH($B118,'DỮ LIỆU'!$C$3:$C$1052,0))="","",INDEX('DỮ LIỆU'!$E$3:$E$1052,MATCH($B118,'DỮ LIỆU'!$C$3:$C$1052,0))),""))</f>
        <v/>
      </c>
      <c r="E118" s="21" t="str">
        <f aca="false">IF($B118="","",IFERROR(IF(INDEX('DỮ LIỆU'!$F$3:$F$1052,MATCH($B118,'DỮ LIỆU'!$C$3:$C$1052,0))="","",INDEX('DỮ LIỆU'!$F$3:$F$1052,MATCH($B118,'DỮ LIỆU'!$C$3:$C$1052,0))),""))</f>
        <v/>
      </c>
      <c r="F118" s="21" t="str">
        <f aca="false">IF($B118="","",IFERROR(IF(INDEX('DỮ LIỆU'!$G$3:$G$1052,MATCH($B118,'DỮ LIỆU'!$C$3:$C$1052,0))="","",INDEX('DỮ LIỆU'!$G$3:$G$1052,MATCH($B118,'DỮ LIỆU'!$C$3:$C$1052,0))),""))</f>
        <v/>
      </c>
      <c r="G118" s="13" t="str">
        <f aca="false">IF($B118="","",COUNTIFS('DỮ LIỆU'!$C$3:$C$1052,$B118,'DỮ LIỆU'!$J$3:$J$1052,"&gt;0"))</f>
        <v/>
      </c>
      <c r="H118" s="13" t="str">
        <f aca="false">IF($B118="","",SUMIF('DỮ LIỆU'!$C$3:$C$1052,$B118,'DỮ LIỆU'!$J$3:$J$1052))</f>
        <v/>
      </c>
      <c r="I118" s="13" t="str">
        <f aca="false">IF($B118="","",SUMIF('DỮ LIỆU'!$C$3:$C$1052,$B118,'DỮ LIỆU'!$M$3:$M$1052))</f>
        <v/>
      </c>
      <c r="J118" s="13" t="str">
        <f aca="false">IF($B118="","",SUMIF('DỮ LIỆU'!$C$3:$C$1052,$B118,'DỮ LIỆU'!$N$3:$N$1052))</f>
        <v/>
      </c>
      <c r="K118" s="13" t="str">
        <f aca="false">IF($B118="","",SUMIF('DỮ LIỆU'!$C$3:$C$1052,$B118,'DỮ LIỆU'!$O$3:$O$1052))</f>
        <v/>
      </c>
      <c r="L118" s="13" t="str">
        <f aca="false">IF($B118="","",SUMIF('DỮ LIỆU'!$C$3:$C$1052,$B118,'DỮ LIỆU'!$Q$3:$Q$1052))</f>
        <v/>
      </c>
      <c r="M118" s="41" t="str">
        <f aca="false">IF($B118="","",IF(SUMPRODUCT(MAX(('DỮ LIỆU'!$C$3:$C$1052=$B118)*'DỮ LIỆU'!$Z$3:$Z$1052))=0,"",SUMPRODUCT(MAX(('DỮ LIỆU'!$C$3:$C$1052=$B118)*'DỮ LIỆU'!$Z$3:$Z$1052))))</f>
        <v/>
      </c>
      <c r="N118" s="21" t="str">
        <f aca="false">IF($B118="","",IF($G118=0,"Chưa có đơn",IF(COUNTIFS('DỮ LIỆU'!$C$3:$C$1052,$B118,'DỮ LIỆU'!$K$3:$K$1052,"&gt;0")&gt;0,"Có lấy VAT","Không lấy VAT")))</f>
        <v/>
      </c>
    </row>
    <row r="119" customFormat="false" ht="15" hidden="false" customHeight="false" outlineLevel="0" collapsed="false">
      <c r="A119" s="21" t="str">
        <f aca="false">IF($B119="","",114)</f>
        <v/>
      </c>
      <c r="B119" s="21" t="str">
        <f aca="false">IFERROR(INDEX('DỮ LIỆU'!$C$3:$C$1052,MATCH(114,'DỮ LIỆU'!$W$3:$W$1052,0)),"")</f>
        <v/>
      </c>
      <c r="C119" s="21" t="str">
        <f aca="false">IF($B119="","",IFERROR(IF(INDEX('DỮ LIỆU'!$D$3:$D$1052,MATCH($B119,'DỮ LIỆU'!$C$3:$C$1052,0))="","",INDEX('DỮ LIỆU'!$D$3:$D$1052,MATCH($B119,'DỮ LIỆU'!$C$3:$C$1052,0))),""))</f>
        <v/>
      </c>
      <c r="D119" s="21" t="str">
        <f aca="false">IF($B119="","",IFERROR(IF(INDEX('DỮ LIỆU'!$E$3:$E$1052,MATCH($B119,'DỮ LIỆU'!$C$3:$C$1052,0))="","",INDEX('DỮ LIỆU'!$E$3:$E$1052,MATCH($B119,'DỮ LIỆU'!$C$3:$C$1052,0))),""))</f>
        <v/>
      </c>
      <c r="E119" s="21" t="str">
        <f aca="false">IF($B119="","",IFERROR(IF(INDEX('DỮ LIỆU'!$F$3:$F$1052,MATCH($B119,'DỮ LIỆU'!$C$3:$C$1052,0))="","",INDEX('DỮ LIỆU'!$F$3:$F$1052,MATCH($B119,'DỮ LIỆU'!$C$3:$C$1052,0))),""))</f>
        <v/>
      </c>
      <c r="F119" s="21" t="str">
        <f aca="false">IF($B119="","",IFERROR(IF(INDEX('DỮ LIỆU'!$G$3:$G$1052,MATCH($B119,'DỮ LIỆU'!$C$3:$C$1052,0))="","",INDEX('DỮ LIỆU'!$G$3:$G$1052,MATCH($B119,'DỮ LIỆU'!$C$3:$C$1052,0))),""))</f>
        <v/>
      </c>
      <c r="G119" s="13" t="str">
        <f aca="false">IF($B119="","",COUNTIFS('DỮ LIỆU'!$C$3:$C$1052,$B119,'DỮ LIỆU'!$J$3:$J$1052,"&gt;0"))</f>
        <v/>
      </c>
      <c r="H119" s="13" t="str">
        <f aca="false">IF($B119="","",SUMIF('DỮ LIỆU'!$C$3:$C$1052,$B119,'DỮ LIỆU'!$J$3:$J$1052))</f>
        <v/>
      </c>
      <c r="I119" s="13" t="str">
        <f aca="false">IF($B119="","",SUMIF('DỮ LIỆU'!$C$3:$C$1052,$B119,'DỮ LIỆU'!$M$3:$M$1052))</f>
        <v/>
      </c>
      <c r="J119" s="13" t="str">
        <f aca="false">IF($B119="","",SUMIF('DỮ LIỆU'!$C$3:$C$1052,$B119,'DỮ LIỆU'!$N$3:$N$1052))</f>
        <v/>
      </c>
      <c r="K119" s="13" t="str">
        <f aca="false">IF($B119="","",SUMIF('DỮ LIỆU'!$C$3:$C$1052,$B119,'DỮ LIỆU'!$O$3:$O$1052))</f>
        <v/>
      </c>
      <c r="L119" s="13" t="str">
        <f aca="false">IF($B119="","",SUMIF('DỮ LIỆU'!$C$3:$C$1052,$B119,'DỮ LIỆU'!$Q$3:$Q$1052))</f>
        <v/>
      </c>
      <c r="M119" s="41" t="str">
        <f aca="false">IF($B119="","",IF(SUMPRODUCT(MAX(('DỮ LIỆU'!$C$3:$C$1052=$B119)*'DỮ LIỆU'!$Z$3:$Z$1052))=0,"",SUMPRODUCT(MAX(('DỮ LIỆU'!$C$3:$C$1052=$B119)*'DỮ LIỆU'!$Z$3:$Z$1052))))</f>
        <v/>
      </c>
      <c r="N119" s="21" t="str">
        <f aca="false">IF($B119="","",IF($G119=0,"Chưa có đơn",IF(COUNTIFS('DỮ LIỆU'!$C$3:$C$1052,$B119,'DỮ LIỆU'!$K$3:$K$1052,"&gt;0")&gt;0,"Có lấy VAT","Không lấy VAT")))</f>
        <v/>
      </c>
    </row>
    <row r="120" customFormat="false" ht="15" hidden="false" customHeight="false" outlineLevel="0" collapsed="false">
      <c r="A120" s="21" t="str">
        <f aca="false">IF($B120="","",115)</f>
        <v/>
      </c>
      <c r="B120" s="21" t="str">
        <f aca="false">IFERROR(INDEX('DỮ LIỆU'!$C$3:$C$1052,MATCH(115,'DỮ LIỆU'!$W$3:$W$1052,0)),"")</f>
        <v/>
      </c>
      <c r="C120" s="21" t="str">
        <f aca="false">IF($B120="","",IFERROR(IF(INDEX('DỮ LIỆU'!$D$3:$D$1052,MATCH($B120,'DỮ LIỆU'!$C$3:$C$1052,0))="","",INDEX('DỮ LIỆU'!$D$3:$D$1052,MATCH($B120,'DỮ LIỆU'!$C$3:$C$1052,0))),""))</f>
        <v/>
      </c>
      <c r="D120" s="21" t="str">
        <f aca="false">IF($B120="","",IFERROR(IF(INDEX('DỮ LIỆU'!$E$3:$E$1052,MATCH($B120,'DỮ LIỆU'!$C$3:$C$1052,0))="","",INDEX('DỮ LIỆU'!$E$3:$E$1052,MATCH($B120,'DỮ LIỆU'!$C$3:$C$1052,0))),""))</f>
        <v/>
      </c>
      <c r="E120" s="21" t="str">
        <f aca="false">IF($B120="","",IFERROR(IF(INDEX('DỮ LIỆU'!$F$3:$F$1052,MATCH($B120,'DỮ LIỆU'!$C$3:$C$1052,0))="","",INDEX('DỮ LIỆU'!$F$3:$F$1052,MATCH($B120,'DỮ LIỆU'!$C$3:$C$1052,0))),""))</f>
        <v/>
      </c>
      <c r="F120" s="21" t="str">
        <f aca="false">IF($B120="","",IFERROR(IF(INDEX('DỮ LIỆU'!$G$3:$G$1052,MATCH($B120,'DỮ LIỆU'!$C$3:$C$1052,0))="","",INDEX('DỮ LIỆU'!$G$3:$G$1052,MATCH($B120,'DỮ LIỆU'!$C$3:$C$1052,0))),""))</f>
        <v/>
      </c>
      <c r="G120" s="13" t="str">
        <f aca="false">IF($B120="","",COUNTIFS('DỮ LIỆU'!$C$3:$C$1052,$B120,'DỮ LIỆU'!$J$3:$J$1052,"&gt;0"))</f>
        <v/>
      </c>
      <c r="H120" s="13" t="str">
        <f aca="false">IF($B120="","",SUMIF('DỮ LIỆU'!$C$3:$C$1052,$B120,'DỮ LIỆU'!$J$3:$J$1052))</f>
        <v/>
      </c>
      <c r="I120" s="13" t="str">
        <f aca="false">IF($B120="","",SUMIF('DỮ LIỆU'!$C$3:$C$1052,$B120,'DỮ LIỆU'!$M$3:$M$1052))</f>
        <v/>
      </c>
      <c r="J120" s="13" t="str">
        <f aca="false">IF($B120="","",SUMIF('DỮ LIỆU'!$C$3:$C$1052,$B120,'DỮ LIỆU'!$N$3:$N$1052))</f>
        <v/>
      </c>
      <c r="K120" s="13" t="str">
        <f aca="false">IF($B120="","",SUMIF('DỮ LIỆU'!$C$3:$C$1052,$B120,'DỮ LIỆU'!$O$3:$O$1052))</f>
        <v/>
      </c>
      <c r="L120" s="13" t="str">
        <f aca="false">IF($B120="","",SUMIF('DỮ LIỆU'!$C$3:$C$1052,$B120,'DỮ LIỆU'!$Q$3:$Q$1052))</f>
        <v/>
      </c>
      <c r="M120" s="41" t="str">
        <f aca="false">IF($B120="","",IF(SUMPRODUCT(MAX(('DỮ LIỆU'!$C$3:$C$1052=$B120)*'DỮ LIỆU'!$Z$3:$Z$1052))=0,"",SUMPRODUCT(MAX(('DỮ LIỆU'!$C$3:$C$1052=$B120)*'DỮ LIỆU'!$Z$3:$Z$1052))))</f>
        <v/>
      </c>
      <c r="N120" s="21" t="str">
        <f aca="false">IF($B120="","",IF($G120=0,"Chưa có đơn",IF(COUNTIFS('DỮ LIỆU'!$C$3:$C$1052,$B120,'DỮ LIỆU'!$K$3:$K$1052,"&gt;0")&gt;0,"Có lấy VAT","Không lấy VAT")))</f>
        <v/>
      </c>
    </row>
    <row r="121" customFormat="false" ht="15" hidden="false" customHeight="false" outlineLevel="0" collapsed="false">
      <c r="A121" s="21" t="str">
        <f aca="false">IF($B121="","",116)</f>
        <v/>
      </c>
      <c r="B121" s="21" t="str">
        <f aca="false">IFERROR(INDEX('DỮ LIỆU'!$C$3:$C$1052,MATCH(116,'DỮ LIỆU'!$W$3:$W$1052,0)),"")</f>
        <v/>
      </c>
      <c r="C121" s="21" t="str">
        <f aca="false">IF($B121="","",IFERROR(IF(INDEX('DỮ LIỆU'!$D$3:$D$1052,MATCH($B121,'DỮ LIỆU'!$C$3:$C$1052,0))="","",INDEX('DỮ LIỆU'!$D$3:$D$1052,MATCH($B121,'DỮ LIỆU'!$C$3:$C$1052,0))),""))</f>
        <v/>
      </c>
      <c r="D121" s="21" t="str">
        <f aca="false">IF($B121="","",IFERROR(IF(INDEX('DỮ LIỆU'!$E$3:$E$1052,MATCH($B121,'DỮ LIỆU'!$C$3:$C$1052,0))="","",INDEX('DỮ LIỆU'!$E$3:$E$1052,MATCH($B121,'DỮ LIỆU'!$C$3:$C$1052,0))),""))</f>
        <v/>
      </c>
      <c r="E121" s="21" t="str">
        <f aca="false">IF($B121="","",IFERROR(IF(INDEX('DỮ LIỆU'!$F$3:$F$1052,MATCH($B121,'DỮ LIỆU'!$C$3:$C$1052,0))="","",INDEX('DỮ LIỆU'!$F$3:$F$1052,MATCH($B121,'DỮ LIỆU'!$C$3:$C$1052,0))),""))</f>
        <v/>
      </c>
      <c r="F121" s="21" t="str">
        <f aca="false">IF($B121="","",IFERROR(IF(INDEX('DỮ LIỆU'!$G$3:$G$1052,MATCH($B121,'DỮ LIỆU'!$C$3:$C$1052,0))="","",INDEX('DỮ LIỆU'!$G$3:$G$1052,MATCH($B121,'DỮ LIỆU'!$C$3:$C$1052,0))),""))</f>
        <v/>
      </c>
      <c r="G121" s="13" t="str">
        <f aca="false">IF($B121="","",COUNTIFS('DỮ LIỆU'!$C$3:$C$1052,$B121,'DỮ LIỆU'!$J$3:$J$1052,"&gt;0"))</f>
        <v/>
      </c>
      <c r="H121" s="13" t="str">
        <f aca="false">IF($B121="","",SUMIF('DỮ LIỆU'!$C$3:$C$1052,$B121,'DỮ LIỆU'!$J$3:$J$1052))</f>
        <v/>
      </c>
      <c r="I121" s="13" t="str">
        <f aca="false">IF($B121="","",SUMIF('DỮ LIỆU'!$C$3:$C$1052,$B121,'DỮ LIỆU'!$M$3:$M$1052))</f>
        <v/>
      </c>
      <c r="J121" s="13" t="str">
        <f aca="false">IF($B121="","",SUMIF('DỮ LIỆU'!$C$3:$C$1052,$B121,'DỮ LIỆU'!$N$3:$N$1052))</f>
        <v/>
      </c>
      <c r="K121" s="13" t="str">
        <f aca="false">IF($B121="","",SUMIF('DỮ LIỆU'!$C$3:$C$1052,$B121,'DỮ LIỆU'!$O$3:$O$1052))</f>
        <v/>
      </c>
      <c r="L121" s="13" t="str">
        <f aca="false">IF($B121="","",SUMIF('DỮ LIỆU'!$C$3:$C$1052,$B121,'DỮ LIỆU'!$Q$3:$Q$1052))</f>
        <v/>
      </c>
      <c r="M121" s="41" t="str">
        <f aca="false">IF($B121="","",IF(SUMPRODUCT(MAX(('DỮ LIỆU'!$C$3:$C$1052=$B121)*'DỮ LIỆU'!$Z$3:$Z$1052))=0,"",SUMPRODUCT(MAX(('DỮ LIỆU'!$C$3:$C$1052=$B121)*'DỮ LIỆU'!$Z$3:$Z$1052))))</f>
        <v/>
      </c>
      <c r="N121" s="21" t="str">
        <f aca="false">IF($B121="","",IF($G121=0,"Chưa có đơn",IF(COUNTIFS('DỮ LIỆU'!$C$3:$C$1052,$B121,'DỮ LIỆU'!$K$3:$K$1052,"&gt;0")&gt;0,"Có lấy VAT","Không lấy VAT")))</f>
        <v/>
      </c>
    </row>
    <row r="122" customFormat="false" ht="15" hidden="false" customHeight="false" outlineLevel="0" collapsed="false">
      <c r="A122" s="21" t="str">
        <f aca="false">IF($B122="","",117)</f>
        <v/>
      </c>
      <c r="B122" s="21" t="str">
        <f aca="false">IFERROR(INDEX('DỮ LIỆU'!$C$3:$C$1052,MATCH(117,'DỮ LIỆU'!$W$3:$W$1052,0)),"")</f>
        <v/>
      </c>
      <c r="C122" s="21" t="str">
        <f aca="false">IF($B122="","",IFERROR(IF(INDEX('DỮ LIỆU'!$D$3:$D$1052,MATCH($B122,'DỮ LIỆU'!$C$3:$C$1052,0))="","",INDEX('DỮ LIỆU'!$D$3:$D$1052,MATCH($B122,'DỮ LIỆU'!$C$3:$C$1052,0))),""))</f>
        <v/>
      </c>
      <c r="D122" s="21" t="str">
        <f aca="false">IF($B122="","",IFERROR(IF(INDEX('DỮ LIỆU'!$E$3:$E$1052,MATCH($B122,'DỮ LIỆU'!$C$3:$C$1052,0))="","",INDEX('DỮ LIỆU'!$E$3:$E$1052,MATCH($B122,'DỮ LIỆU'!$C$3:$C$1052,0))),""))</f>
        <v/>
      </c>
      <c r="E122" s="21" t="str">
        <f aca="false">IF($B122="","",IFERROR(IF(INDEX('DỮ LIỆU'!$F$3:$F$1052,MATCH($B122,'DỮ LIỆU'!$C$3:$C$1052,0))="","",INDEX('DỮ LIỆU'!$F$3:$F$1052,MATCH($B122,'DỮ LIỆU'!$C$3:$C$1052,0))),""))</f>
        <v/>
      </c>
      <c r="F122" s="21" t="str">
        <f aca="false">IF($B122="","",IFERROR(IF(INDEX('DỮ LIỆU'!$G$3:$G$1052,MATCH($B122,'DỮ LIỆU'!$C$3:$C$1052,0))="","",INDEX('DỮ LIỆU'!$G$3:$G$1052,MATCH($B122,'DỮ LIỆU'!$C$3:$C$1052,0))),""))</f>
        <v/>
      </c>
      <c r="G122" s="13" t="str">
        <f aca="false">IF($B122="","",COUNTIFS('DỮ LIỆU'!$C$3:$C$1052,$B122,'DỮ LIỆU'!$J$3:$J$1052,"&gt;0"))</f>
        <v/>
      </c>
      <c r="H122" s="13" t="str">
        <f aca="false">IF($B122="","",SUMIF('DỮ LIỆU'!$C$3:$C$1052,$B122,'DỮ LIỆU'!$J$3:$J$1052))</f>
        <v/>
      </c>
      <c r="I122" s="13" t="str">
        <f aca="false">IF($B122="","",SUMIF('DỮ LIỆU'!$C$3:$C$1052,$B122,'DỮ LIỆU'!$M$3:$M$1052))</f>
        <v/>
      </c>
      <c r="J122" s="13" t="str">
        <f aca="false">IF($B122="","",SUMIF('DỮ LIỆU'!$C$3:$C$1052,$B122,'DỮ LIỆU'!$N$3:$N$1052))</f>
        <v/>
      </c>
      <c r="K122" s="13" t="str">
        <f aca="false">IF($B122="","",SUMIF('DỮ LIỆU'!$C$3:$C$1052,$B122,'DỮ LIỆU'!$O$3:$O$1052))</f>
        <v/>
      </c>
      <c r="L122" s="13" t="str">
        <f aca="false">IF($B122="","",SUMIF('DỮ LIỆU'!$C$3:$C$1052,$B122,'DỮ LIỆU'!$Q$3:$Q$1052))</f>
        <v/>
      </c>
      <c r="M122" s="41" t="str">
        <f aca="false">IF($B122="","",IF(SUMPRODUCT(MAX(('DỮ LIỆU'!$C$3:$C$1052=$B122)*'DỮ LIỆU'!$Z$3:$Z$1052))=0,"",SUMPRODUCT(MAX(('DỮ LIỆU'!$C$3:$C$1052=$B122)*'DỮ LIỆU'!$Z$3:$Z$1052))))</f>
        <v/>
      </c>
      <c r="N122" s="21" t="str">
        <f aca="false">IF($B122="","",IF($G122=0,"Chưa có đơn",IF(COUNTIFS('DỮ LIỆU'!$C$3:$C$1052,$B122,'DỮ LIỆU'!$K$3:$K$1052,"&gt;0")&gt;0,"Có lấy VAT","Không lấy VAT")))</f>
        <v/>
      </c>
    </row>
    <row r="123" customFormat="false" ht="15" hidden="false" customHeight="false" outlineLevel="0" collapsed="false">
      <c r="A123" s="21" t="str">
        <f aca="false">IF($B123="","",118)</f>
        <v/>
      </c>
      <c r="B123" s="21" t="str">
        <f aca="false">IFERROR(INDEX('DỮ LIỆU'!$C$3:$C$1052,MATCH(118,'DỮ LIỆU'!$W$3:$W$1052,0)),"")</f>
        <v/>
      </c>
      <c r="C123" s="21" t="str">
        <f aca="false">IF($B123="","",IFERROR(IF(INDEX('DỮ LIỆU'!$D$3:$D$1052,MATCH($B123,'DỮ LIỆU'!$C$3:$C$1052,0))="","",INDEX('DỮ LIỆU'!$D$3:$D$1052,MATCH($B123,'DỮ LIỆU'!$C$3:$C$1052,0))),""))</f>
        <v/>
      </c>
      <c r="D123" s="21" t="str">
        <f aca="false">IF($B123="","",IFERROR(IF(INDEX('DỮ LIỆU'!$E$3:$E$1052,MATCH($B123,'DỮ LIỆU'!$C$3:$C$1052,0))="","",INDEX('DỮ LIỆU'!$E$3:$E$1052,MATCH($B123,'DỮ LIỆU'!$C$3:$C$1052,0))),""))</f>
        <v/>
      </c>
      <c r="E123" s="21" t="str">
        <f aca="false">IF($B123="","",IFERROR(IF(INDEX('DỮ LIỆU'!$F$3:$F$1052,MATCH($B123,'DỮ LIỆU'!$C$3:$C$1052,0))="","",INDEX('DỮ LIỆU'!$F$3:$F$1052,MATCH($B123,'DỮ LIỆU'!$C$3:$C$1052,0))),""))</f>
        <v/>
      </c>
      <c r="F123" s="21" t="str">
        <f aca="false">IF($B123="","",IFERROR(IF(INDEX('DỮ LIỆU'!$G$3:$G$1052,MATCH($B123,'DỮ LIỆU'!$C$3:$C$1052,0))="","",INDEX('DỮ LIỆU'!$G$3:$G$1052,MATCH($B123,'DỮ LIỆU'!$C$3:$C$1052,0))),""))</f>
        <v/>
      </c>
      <c r="G123" s="13" t="str">
        <f aca="false">IF($B123="","",COUNTIFS('DỮ LIỆU'!$C$3:$C$1052,$B123,'DỮ LIỆU'!$J$3:$J$1052,"&gt;0"))</f>
        <v/>
      </c>
      <c r="H123" s="13" t="str">
        <f aca="false">IF($B123="","",SUMIF('DỮ LIỆU'!$C$3:$C$1052,$B123,'DỮ LIỆU'!$J$3:$J$1052))</f>
        <v/>
      </c>
      <c r="I123" s="13" t="str">
        <f aca="false">IF($B123="","",SUMIF('DỮ LIỆU'!$C$3:$C$1052,$B123,'DỮ LIỆU'!$M$3:$M$1052))</f>
        <v/>
      </c>
      <c r="J123" s="13" t="str">
        <f aca="false">IF($B123="","",SUMIF('DỮ LIỆU'!$C$3:$C$1052,$B123,'DỮ LIỆU'!$N$3:$N$1052))</f>
        <v/>
      </c>
      <c r="K123" s="13" t="str">
        <f aca="false">IF($B123="","",SUMIF('DỮ LIỆU'!$C$3:$C$1052,$B123,'DỮ LIỆU'!$O$3:$O$1052))</f>
        <v/>
      </c>
      <c r="L123" s="13" t="str">
        <f aca="false">IF($B123="","",SUMIF('DỮ LIỆU'!$C$3:$C$1052,$B123,'DỮ LIỆU'!$Q$3:$Q$1052))</f>
        <v/>
      </c>
      <c r="M123" s="41" t="str">
        <f aca="false">IF($B123="","",IF(SUMPRODUCT(MAX(('DỮ LIỆU'!$C$3:$C$1052=$B123)*'DỮ LIỆU'!$Z$3:$Z$1052))=0,"",SUMPRODUCT(MAX(('DỮ LIỆU'!$C$3:$C$1052=$B123)*'DỮ LIỆU'!$Z$3:$Z$1052))))</f>
        <v/>
      </c>
      <c r="N123" s="21" t="str">
        <f aca="false">IF($B123="","",IF($G123=0,"Chưa có đơn",IF(COUNTIFS('DỮ LIỆU'!$C$3:$C$1052,$B123,'DỮ LIỆU'!$K$3:$K$1052,"&gt;0")&gt;0,"Có lấy VAT","Không lấy VAT")))</f>
        <v/>
      </c>
    </row>
    <row r="124" customFormat="false" ht="15" hidden="false" customHeight="false" outlineLevel="0" collapsed="false">
      <c r="A124" s="21" t="str">
        <f aca="false">IF($B124="","",119)</f>
        <v/>
      </c>
      <c r="B124" s="21" t="str">
        <f aca="false">IFERROR(INDEX('DỮ LIỆU'!$C$3:$C$1052,MATCH(119,'DỮ LIỆU'!$W$3:$W$1052,0)),"")</f>
        <v/>
      </c>
      <c r="C124" s="21" t="str">
        <f aca="false">IF($B124="","",IFERROR(IF(INDEX('DỮ LIỆU'!$D$3:$D$1052,MATCH($B124,'DỮ LIỆU'!$C$3:$C$1052,0))="","",INDEX('DỮ LIỆU'!$D$3:$D$1052,MATCH($B124,'DỮ LIỆU'!$C$3:$C$1052,0))),""))</f>
        <v/>
      </c>
      <c r="D124" s="21" t="str">
        <f aca="false">IF($B124="","",IFERROR(IF(INDEX('DỮ LIỆU'!$E$3:$E$1052,MATCH($B124,'DỮ LIỆU'!$C$3:$C$1052,0))="","",INDEX('DỮ LIỆU'!$E$3:$E$1052,MATCH($B124,'DỮ LIỆU'!$C$3:$C$1052,0))),""))</f>
        <v/>
      </c>
      <c r="E124" s="21" t="str">
        <f aca="false">IF($B124="","",IFERROR(IF(INDEX('DỮ LIỆU'!$F$3:$F$1052,MATCH($B124,'DỮ LIỆU'!$C$3:$C$1052,0))="","",INDEX('DỮ LIỆU'!$F$3:$F$1052,MATCH($B124,'DỮ LIỆU'!$C$3:$C$1052,0))),""))</f>
        <v/>
      </c>
      <c r="F124" s="21" t="str">
        <f aca="false">IF($B124="","",IFERROR(IF(INDEX('DỮ LIỆU'!$G$3:$G$1052,MATCH($B124,'DỮ LIỆU'!$C$3:$C$1052,0))="","",INDEX('DỮ LIỆU'!$G$3:$G$1052,MATCH($B124,'DỮ LIỆU'!$C$3:$C$1052,0))),""))</f>
        <v/>
      </c>
      <c r="G124" s="13" t="str">
        <f aca="false">IF($B124="","",COUNTIFS('DỮ LIỆU'!$C$3:$C$1052,$B124,'DỮ LIỆU'!$J$3:$J$1052,"&gt;0"))</f>
        <v/>
      </c>
      <c r="H124" s="13" t="str">
        <f aca="false">IF($B124="","",SUMIF('DỮ LIỆU'!$C$3:$C$1052,$B124,'DỮ LIỆU'!$J$3:$J$1052))</f>
        <v/>
      </c>
      <c r="I124" s="13" t="str">
        <f aca="false">IF($B124="","",SUMIF('DỮ LIỆU'!$C$3:$C$1052,$B124,'DỮ LIỆU'!$M$3:$M$1052))</f>
        <v/>
      </c>
      <c r="J124" s="13" t="str">
        <f aca="false">IF($B124="","",SUMIF('DỮ LIỆU'!$C$3:$C$1052,$B124,'DỮ LIỆU'!$N$3:$N$1052))</f>
        <v/>
      </c>
      <c r="K124" s="13" t="str">
        <f aca="false">IF($B124="","",SUMIF('DỮ LIỆU'!$C$3:$C$1052,$B124,'DỮ LIỆU'!$O$3:$O$1052))</f>
        <v/>
      </c>
      <c r="L124" s="13" t="str">
        <f aca="false">IF($B124="","",SUMIF('DỮ LIỆU'!$C$3:$C$1052,$B124,'DỮ LIỆU'!$Q$3:$Q$1052))</f>
        <v/>
      </c>
      <c r="M124" s="41" t="str">
        <f aca="false">IF($B124="","",IF(SUMPRODUCT(MAX(('DỮ LIỆU'!$C$3:$C$1052=$B124)*'DỮ LIỆU'!$Z$3:$Z$1052))=0,"",SUMPRODUCT(MAX(('DỮ LIỆU'!$C$3:$C$1052=$B124)*'DỮ LIỆU'!$Z$3:$Z$1052))))</f>
        <v/>
      </c>
      <c r="N124" s="21" t="str">
        <f aca="false">IF($B124="","",IF($G124=0,"Chưa có đơn",IF(COUNTIFS('DỮ LIỆU'!$C$3:$C$1052,$B124,'DỮ LIỆU'!$K$3:$K$1052,"&gt;0")&gt;0,"Có lấy VAT","Không lấy VAT")))</f>
        <v/>
      </c>
    </row>
    <row r="125" customFormat="false" ht="15" hidden="false" customHeight="false" outlineLevel="0" collapsed="false">
      <c r="A125" s="21" t="str">
        <f aca="false">IF($B125="","",120)</f>
        <v/>
      </c>
      <c r="B125" s="21" t="str">
        <f aca="false">IFERROR(INDEX('DỮ LIỆU'!$C$3:$C$1052,MATCH(120,'DỮ LIỆU'!$W$3:$W$1052,0)),"")</f>
        <v/>
      </c>
      <c r="C125" s="21" t="str">
        <f aca="false">IF($B125="","",IFERROR(IF(INDEX('DỮ LIỆU'!$D$3:$D$1052,MATCH($B125,'DỮ LIỆU'!$C$3:$C$1052,0))="","",INDEX('DỮ LIỆU'!$D$3:$D$1052,MATCH($B125,'DỮ LIỆU'!$C$3:$C$1052,0))),""))</f>
        <v/>
      </c>
      <c r="D125" s="21" t="str">
        <f aca="false">IF($B125="","",IFERROR(IF(INDEX('DỮ LIỆU'!$E$3:$E$1052,MATCH($B125,'DỮ LIỆU'!$C$3:$C$1052,0))="","",INDEX('DỮ LIỆU'!$E$3:$E$1052,MATCH($B125,'DỮ LIỆU'!$C$3:$C$1052,0))),""))</f>
        <v/>
      </c>
      <c r="E125" s="21" t="str">
        <f aca="false">IF($B125="","",IFERROR(IF(INDEX('DỮ LIỆU'!$F$3:$F$1052,MATCH($B125,'DỮ LIỆU'!$C$3:$C$1052,0))="","",INDEX('DỮ LIỆU'!$F$3:$F$1052,MATCH($B125,'DỮ LIỆU'!$C$3:$C$1052,0))),""))</f>
        <v/>
      </c>
      <c r="F125" s="21" t="str">
        <f aca="false">IF($B125="","",IFERROR(IF(INDEX('DỮ LIỆU'!$G$3:$G$1052,MATCH($B125,'DỮ LIỆU'!$C$3:$C$1052,0))="","",INDEX('DỮ LIỆU'!$G$3:$G$1052,MATCH($B125,'DỮ LIỆU'!$C$3:$C$1052,0))),""))</f>
        <v/>
      </c>
      <c r="G125" s="13" t="str">
        <f aca="false">IF($B125="","",COUNTIFS('DỮ LIỆU'!$C$3:$C$1052,$B125,'DỮ LIỆU'!$J$3:$J$1052,"&gt;0"))</f>
        <v/>
      </c>
      <c r="H125" s="13" t="str">
        <f aca="false">IF($B125="","",SUMIF('DỮ LIỆU'!$C$3:$C$1052,$B125,'DỮ LIỆU'!$J$3:$J$1052))</f>
        <v/>
      </c>
      <c r="I125" s="13" t="str">
        <f aca="false">IF($B125="","",SUMIF('DỮ LIỆU'!$C$3:$C$1052,$B125,'DỮ LIỆU'!$M$3:$M$1052))</f>
        <v/>
      </c>
      <c r="J125" s="13" t="str">
        <f aca="false">IF($B125="","",SUMIF('DỮ LIỆU'!$C$3:$C$1052,$B125,'DỮ LIỆU'!$N$3:$N$1052))</f>
        <v/>
      </c>
      <c r="K125" s="13" t="str">
        <f aca="false">IF($B125="","",SUMIF('DỮ LIỆU'!$C$3:$C$1052,$B125,'DỮ LIỆU'!$O$3:$O$1052))</f>
        <v/>
      </c>
      <c r="L125" s="13" t="str">
        <f aca="false">IF($B125="","",SUMIF('DỮ LIỆU'!$C$3:$C$1052,$B125,'DỮ LIỆU'!$Q$3:$Q$1052))</f>
        <v/>
      </c>
      <c r="M125" s="41" t="str">
        <f aca="false">IF($B125="","",IF(SUMPRODUCT(MAX(('DỮ LIỆU'!$C$3:$C$1052=$B125)*'DỮ LIỆU'!$Z$3:$Z$1052))=0,"",SUMPRODUCT(MAX(('DỮ LIỆU'!$C$3:$C$1052=$B125)*'DỮ LIỆU'!$Z$3:$Z$1052))))</f>
        <v/>
      </c>
      <c r="N125" s="21" t="str">
        <f aca="false">IF($B125="","",IF($G125=0,"Chưa có đơn",IF(COUNTIFS('DỮ LIỆU'!$C$3:$C$1052,$B125,'DỮ LIỆU'!$K$3:$K$1052,"&gt;0")&gt;0,"Có lấy VAT","Không lấy VAT")))</f>
        <v/>
      </c>
    </row>
    <row r="126" customFormat="false" ht="15" hidden="false" customHeight="false" outlineLevel="0" collapsed="false">
      <c r="A126" s="21" t="str">
        <f aca="false">IF($B126="","",121)</f>
        <v/>
      </c>
      <c r="B126" s="21" t="str">
        <f aca="false">IFERROR(INDEX('DỮ LIỆU'!$C$3:$C$1052,MATCH(121,'DỮ LIỆU'!$W$3:$W$1052,0)),"")</f>
        <v/>
      </c>
      <c r="C126" s="21" t="str">
        <f aca="false">IF($B126="","",IFERROR(IF(INDEX('DỮ LIỆU'!$D$3:$D$1052,MATCH($B126,'DỮ LIỆU'!$C$3:$C$1052,0))="","",INDEX('DỮ LIỆU'!$D$3:$D$1052,MATCH($B126,'DỮ LIỆU'!$C$3:$C$1052,0))),""))</f>
        <v/>
      </c>
      <c r="D126" s="21" t="str">
        <f aca="false">IF($B126="","",IFERROR(IF(INDEX('DỮ LIỆU'!$E$3:$E$1052,MATCH($B126,'DỮ LIỆU'!$C$3:$C$1052,0))="","",INDEX('DỮ LIỆU'!$E$3:$E$1052,MATCH($B126,'DỮ LIỆU'!$C$3:$C$1052,0))),""))</f>
        <v/>
      </c>
      <c r="E126" s="21" t="str">
        <f aca="false">IF($B126="","",IFERROR(IF(INDEX('DỮ LIỆU'!$F$3:$F$1052,MATCH($B126,'DỮ LIỆU'!$C$3:$C$1052,0))="","",INDEX('DỮ LIỆU'!$F$3:$F$1052,MATCH($B126,'DỮ LIỆU'!$C$3:$C$1052,0))),""))</f>
        <v/>
      </c>
      <c r="F126" s="21" t="str">
        <f aca="false">IF($B126="","",IFERROR(IF(INDEX('DỮ LIỆU'!$G$3:$G$1052,MATCH($B126,'DỮ LIỆU'!$C$3:$C$1052,0))="","",INDEX('DỮ LIỆU'!$G$3:$G$1052,MATCH($B126,'DỮ LIỆU'!$C$3:$C$1052,0))),""))</f>
        <v/>
      </c>
      <c r="G126" s="13" t="str">
        <f aca="false">IF($B126="","",COUNTIFS('DỮ LIỆU'!$C$3:$C$1052,$B126,'DỮ LIỆU'!$J$3:$J$1052,"&gt;0"))</f>
        <v/>
      </c>
      <c r="H126" s="13" t="str">
        <f aca="false">IF($B126="","",SUMIF('DỮ LIỆU'!$C$3:$C$1052,$B126,'DỮ LIỆU'!$J$3:$J$1052))</f>
        <v/>
      </c>
      <c r="I126" s="13" t="str">
        <f aca="false">IF($B126="","",SUMIF('DỮ LIỆU'!$C$3:$C$1052,$B126,'DỮ LIỆU'!$M$3:$M$1052))</f>
        <v/>
      </c>
      <c r="J126" s="13" t="str">
        <f aca="false">IF($B126="","",SUMIF('DỮ LIỆU'!$C$3:$C$1052,$B126,'DỮ LIỆU'!$N$3:$N$1052))</f>
        <v/>
      </c>
      <c r="K126" s="13" t="str">
        <f aca="false">IF($B126="","",SUMIF('DỮ LIỆU'!$C$3:$C$1052,$B126,'DỮ LIỆU'!$O$3:$O$1052))</f>
        <v/>
      </c>
      <c r="L126" s="13" t="str">
        <f aca="false">IF($B126="","",SUMIF('DỮ LIỆU'!$C$3:$C$1052,$B126,'DỮ LIỆU'!$Q$3:$Q$1052))</f>
        <v/>
      </c>
      <c r="M126" s="41" t="str">
        <f aca="false">IF($B126="","",IF(SUMPRODUCT(MAX(('DỮ LIỆU'!$C$3:$C$1052=$B126)*'DỮ LIỆU'!$Z$3:$Z$1052))=0,"",SUMPRODUCT(MAX(('DỮ LIỆU'!$C$3:$C$1052=$B126)*'DỮ LIỆU'!$Z$3:$Z$1052))))</f>
        <v/>
      </c>
      <c r="N126" s="21" t="str">
        <f aca="false">IF($B126="","",IF($G126=0,"Chưa có đơn",IF(COUNTIFS('DỮ LIỆU'!$C$3:$C$1052,$B126,'DỮ LIỆU'!$K$3:$K$1052,"&gt;0")&gt;0,"Có lấy VAT","Không lấy VAT")))</f>
        <v/>
      </c>
    </row>
    <row r="127" customFormat="false" ht="15" hidden="false" customHeight="false" outlineLevel="0" collapsed="false">
      <c r="A127" s="21" t="str">
        <f aca="false">IF($B127="","",122)</f>
        <v/>
      </c>
      <c r="B127" s="21" t="str">
        <f aca="false">IFERROR(INDEX('DỮ LIỆU'!$C$3:$C$1052,MATCH(122,'DỮ LIỆU'!$W$3:$W$1052,0)),"")</f>
        <v/>
      </c>
      <c r="C127" s="21" t="str">
        <f aca="false">IF($B127="","",IFERROR(IF(INDEX('DỮ LIỆU'!$D$3:$D$1052,MATCH($B127,'DỮ LIỆU'!$C$3:$C$1052,0))="","",INDEX('DỮ LIỆU'!$D$3:$D$1052,MATCH($B127,'DỮ LIỆU'!$C$3:$C$1052,0))),""))</f>
        <v/>
      </c>
      <c r="D127" s="21" t="str">
        <f aca="false">IF($B127="","",IFERROR(IF(INDEX('DỮ LIỆU'!$E$3:$E$1052,MATCH($B127,'DỮ LIỆU'!$C$3:$C$1052,0))="","",INDEX('DỮ LIỆU'!$E$3:$E$1052,MATCH($B127,'DỮ LIỆU'!$C$3:$C$1052,0))),""))</f>
        <v/>
      </c>
      <c r="E127" s="21" t="str">
        <f aca="false">IF($B127="","",IFERROR(IF(INDEX('DỮ LIỆU'!$F$3:$F$1052,MATCH($B127,'DỮ LIỆU'!$C$3:$C$1052,0))="","",INDEX('DỮ LIỆU'!$F$3:$F$1052,MATCH($B127,'DỮ LIỆU'!$C$3:$C$1052,0))),""))</f>
        <v/>
      </c>
      <c r="F127" s="21" t="str">
        <f aca="false">IF($B127="","",IFERROR(IF(INDEX('DỮ LIỆU'!$G$3:$G$1052,MATCH($B127,'DỮ LIỆU'!$C$3:$C$1052,0))="","",INDEX('DỮ LIỆU'!$G$3:$G$1052,MATCH($B127,'DỮ LIỆU'!$C$3:$C$1052,0))),""))</f>
        <v/>
      </c>
      <c r="G127" s="13" t="str">
        <f aca="false">IF($B127="","",COUNTIFS('DỮ LIỆU'!$C$3:$C$1052,$B127,'DỮ LIỆU'!$J$3:$J$1052,"&gt;0"))</f>
        <v/>
      </c>
      <c r="H127" s="13" t="str">
        <f aca="false">IF($B127="","",SUMIF('DỮ LIỆU'!$C$3:$C$1052,$B127,'DỮ LIỆU'!$J$3:$J$1052))</f>
        <v/>
      </c>
      <c r="I127" s="13" t="str">
        <f aca="false">IF($B127="","",SUMIF('DỮ LIỆU'!$C$3:$C$1052,$B127,'DỮ LIỆU'!$M$3:$M$1052))</f>
        <v/>
      </c>
      <c r="J127" s="13" t="str">
        <f aca="false">IF($B127="","",SUMIF('DỮ LIỆU'!$C$3:$C$1052,$B127,'DỮ LIỆU'!$N$3:$N$1052))</f>
        <v/>
      </c>
      <c r="K127" s="13" t="str">
        <f aca="false">IF($B127="","",SUMIF('DỮ LIỆU'!$C$3:$C$1052,$B127,'DỮ LIỆU'!$O$3:$O$1052))</f>
        <v/>
      </c>
      <c r="L127" s="13" t="str">
        <f aca="false">IF($B127="","",SUMIF('DỮ LIỆU'!$C$3:$C$1052,$B127,'DỮ LIỆU'!$Q$3:$Q$1052))</f>
        <v/>
      </c>
      <c r="M127" s="41" t="str">
        <f aca="false">IF($B127="","",IF(SUMPRODUCT(MAX(('DỮ LIỆU'!$C$3:$C$1052=$B127)*'DỮ LIỆU'!$Z$3:$Z$1052))=0,"",SUMPRODUCT(MAX(('DỮ LIỆU'!$C$3:$C$1052=$B127)*'DỮ LIỆU'!$Z$3:$Z$1052))))</f>
        <v/>
      </c>
      <c r="N127" s="21" t="str">
        <f aca="false">IF($B127="","",IF($G127=0,"Chưa có đơn",IF(COUNTIFS('DỮ LIỆU'!$C$3:$C$1052,$B127,'DỮ LIỆU'!$K$3:$K$1052,"&gt;0")&gt;0,"Có lấy VAT","Không lấy VAT")))</f>
        <v/>
      </c>
    </row>
    <row r="128" customFormat="false" ht="15" hidden="false" customHeight="false" outlineLevel="0" collapsed="false">
      <c r="A128" s="21" t="str">
        <f aca="false">IF($B128="","",123)</f>
        <v/>
      </c>
      <c r="B128" s="21" t="str">
        <f aca="false">IFERROR(INDEX('DỮ LIỆU'!$C$3:$C$1052,MATCH(123,'DỮ LIỆU'!$W$3:$W$1052,0)),"")</f>
        <v/>
      </c>
      <c r="C128" s="21" t="str">
        <f aca="false">IF($B128="","",IFERROR(IF(INDEX('DỮ LIỆU'!$D$3:$D$1052,MATCH($B128,'DỮ LIỆU'!$C$3:$C$1052,0))="","",INDEX('DỮ LIỆU'!$D$3:$D$1052,MATCH($B128,'DỮ LIỆU'!$C$3:$C$1052,0))),""))</f>
        <v/>
      </c>
      <c r="D128" s="21" t="str">
        <f aca="false">IF($B128="","",IFERROR(IF(INDEX('DỮ LIỆU'!$E$3:$E$1052,MATCH($B128,'DỮ LIỆU'!$C$3:$C$1052,0))="","",INDEX('DỮ LIỆU'!$E$3:$E$1052,MATCH($B128,'DỮ LIỆU'!$C$3:$C$1052,0))),""))</f>
        <v/>
      </c>
      <c r="E128" s="21" t="str">
        <f aca="false">IF($B128="","",IFERROR(IF(INDEX('DỮ LIỆU'!$F$3:$F$1052,MATCH($B128,'DỮ LIỆU'!$C$3:$C$1052,0))="","",INDEX('DỮ LIỆU'!$F$3:$F$1052,MATCH($B128,'DỮ LIỆU'!$C$3:$C$1052,0))),""))</f>
        <v/>
      </c>
      <c r="F128" s="21" t="str">
        <f aca="false">IF($B128="","",IFERROR(IF(INDEX('DỮ LIỆU'!$G$3:$G$1052,MATCH($B128,'DỮ LIỆU'!$C$3:$C$1052,0))="","",INDEX('DỮ LIỆU'!$G$3:$G$1052,MATCH($B128,'DỮ LIỆU'!$C$3:$C$1052,0))),""))</f>
        <v/>
      </c>
      <c r="G128" s="13" t="str">
        <f aca="false">IF($B128="","",COUNTIFS('DỮ LIỆU'!$C$3:$C$1052,$B128,'DỮ LIỆU'!$J$3:$J$1052,"&gt;0"))</f>
        <v/>
      </c>
      <c r="H128" s="13" t="str">
        <f aca="false">IF($B128="","",SUMIF('DỮ LIỆU'!$C$3:$C$1052,$B128,'DỮ LIỆU'!$J$3:$J$1052))</f>
        <v/>
      </c>
      <c r="I128" s="13" t="str">
        <f aca="false">IF($B128="","",SUMIF('DỮ LIỆU'!$C$3:$C$1052,$B128,'DỮ LIỆU'!$M$3:$M$1052))</f>
        <v/>
      </c>
      <c r="J128" s="13" t="str">
        <f aca="false">IF($B128="","",SUMIF('DỮ LIỆU'!$C$3:$C$1052,$B128,'DỮ LIỆU'!$N$3:$N$1052))</f>
        <v/>
      </c>
      <c r="K128" s="13" t="str">
        <f aca="false">IF($B128="","",SUMIF('DỮ LIỆU'!$C$3:$C$1052,$B128,'DỮ LIỆU'!$O$3:$O$1052))</f>
        <v/>
      </c>
      <c r="L128" s="13" t="str">
        <f aca="false">IF($B128="","",SUMIF('DỮ LIỆU'!$C$3:$C$1052,$B128,'DỮ LIỆU'!$Q$3:$Q$1052))</f>
        <v/>
      </c>
      <c r="M128" s="41" t="str">
        <f aca="false">IF($B128="","",IF(SUMPRODUCT(MAX(('DỮ LIỆU'!$C$3:$C$1052=$B128)*'DỮ LIỆU'!$Z$3:$Z$1052))=0,"",SUMPRODUCT(MAX(('DỮ LIỆU'!$C$3:$C$1052=$B128)*'DỮ LIỆU'!$Z$3:$Z$1052))))</f>
        <v/>
      </c>
      <c r="N128" s="21" t="str">
        <f aca="false">IF($B128="","",IF($G128=0,"Chưa có đơn",IF(COUNTIFS('DỮ LIỆU'!$C$3:$C$1052,$B128,'DỮ LIỆU'!$K$3:$K$1052,"&gt;0")&gt;0,"Có lấy VAT","Không lấy VAT")))</f>
        <v/>
      </c>
    </row>
    <row r="129" customFormat="false" ht="15" hidden="false" customHeight="false" outlineLevel="0" collapsed="false">
      <c r="A129" s="21" t="str">
        <f aca="false">IF($B129="","",124)</f>
        <v/>
      </c>
      <c r="B129" s="21" t="str">
        <f aca="false">IFERROR(INDEX('DỮ LIỆU'!$C$3:$C$1052,MATCH(124,'DỮ LIỆU'!$W$3:$W$1052,0)),"")</f>
        <v/>
      </c>
      <c r="C129" s="21" t="str">
        <f aca="false">IF($B129="","",IFERROR(IF(INDEX('DỮ LIỆU'!$D$3:$D$1052,MATCH($B129,'DỮ LIỆU'!$C$3:$C$1052,0))="","",INDEX('DỮ LIỆU'!$D$3:$D$1052,MATCH($B129,'DỮ LIỆU'!$C$3:$C$1052,0))),""))</f>
        <v/>
      </c>
      <c r="D129" s="21" t="str">
        <f aca="false">IF($B129="","",IFERROR(IF(INDEX('DỮ LIỆU'!$E$3:$E$1052,MATCH($B129,'DỮ LIỆU'!$C$3:$C$1052,0))="","",INDEX('DỮ LIỆU'!$E$3:$E$1052,MATCH($B129,'DỮ LIỆU'!$C$3:$C$1052,0))),""))</f>
        <v/>
      </c>
      <c r="E129" s="21" t="str">
        <f aca="false">IF($B129="","",IFERROR(IF(INDEX('DỮ LIỆU'!$F$3:$F$1052,MATCH($B129,'DỮ LIỆU'!$C$3:$C$1052,0))="","",INDEX('DỮ LIỆU'!$F$3:$F$1052,MATCH($B129,'DỮ LIỆU'!$C$3:$C$1052,0))),""))</f>
        <v/>
      </c>
      <c r="F129" s="21" t="str">
        <f aca="false">IF($B129="","",IFERROR(IF(INDEX('DỮ LIỆU'!$G$3:$G$1052,MATCH($B129,'DỮ LIỆU'!$C$3:$C$1052,0))="","",INDEX('DỮ LIỆU'!$G$3:$G$1052,MATCH($B129,'DỮ LIỆU'!$C$3:$C$1052,0))),""))</f>
        <v/>
      </c>
      <c r="G129" s="13" t="str">
        <f aca="false">IF($B129="","",COUNTIFS('DỮ LIỆU'!$C$3:$C$1052,$B129,'DỮ LIỆU'!$J$3:$J$1052,"&gt;0"))</f>
        <v/>
      </c>
      <c r="H129" s="13" t="str">
        <f aca="false">IF($B129="","",SUMIF('DỮ LIỆU'!$C$3:$C$1052,$B129,'DỮ LIỆU'!$J$3:$J$1052))</f>
        <v/>
      </c>
      <c r="I129" s="13" t="str">
        <f aca="false">IF($B129="","",SUMIF('DỮ LIỆU'!$C$3:$C$1052,$B129,'DỮ LIỆU'!$M$3:$M$1052))</f>
        <v/>
      </c>
      <c r="J129" s="13" t="str">
        <f aca="false">IF($B129="","",SUMIF('DỮ LIỆU'!$C$3:$C$1052,$B129,'DỮ LIỆU'!$N$3:$N$1052))</f>
        <v/>
      </c>
      <c r="K129" s="13" t="str">
        <f aca="false">IF($B129="","",SUMIF('DỮ LIỆU'!$C$3:$C$1052,$B129,'DỮ LIỆU'!$O$3:$O$1052))</f>
        <v/>
      </c>
      <c r="L129" s="13" t="str">
        <f aca="false">IF($B129="","",SUMIF('DỮ LIỆU'!$C$3:$C$1052,$B129,'DỮ LIỆU'!$Q$3:$Q$1052))</f>
        <v/>
      </c>
      <c r="M129" s="41" t="str">
        <f aca="false">IF($B129="","",IF(SUMPRODUCT(MAX(('DỮ LIỆU'!$C$3:$C$1052=$B129)*'DỮ LIỆU'!$Z$3:$Z$1052))=0,"",SUMPRODUCT(MAX(('DỮ LIỆU'!$C$3:$C$1052=$B129)*'DỮ LIỆU'!$Z$3:$Z$1052))))</f>
        <v/>
      </c>
      <c r="N129" s="21" t="str">
        <f aca="false">IF($B129="","",IF($G129=0,"Chưa có đơn",IF(COUNTIFS('DỮ LIỆU'!$C$3:$C$1052,$B129,'DỮ LIỆU'!$K$3:$K$1052,"&gt;0")&gt;0,"Có lấy VAT","Không lấy VAT")))</f>
        <v/>
      </c>
    </row>
    <row r="130" customFormat="false" ht="15" hidden="false" customHeight="false" outlineLevel="0" collapsed="false">
      <c r="A130" s="21" t="str">
        <f aca="false">IF($B130="","",125)</f>
        <v/>
      </c>
      <c r="B130" s="21" t="str">
        <f aca="false">IFERROR(INDEX('DỮ LIỆU'!$C$3:$C$1052,MATCH(125,'DỮ LIỆU'!$W$3:$W$1052,0)),"")</f>
        <v/>
      </c>
      <c r="C130" s="21" t="str">
        <f aca="false">IF($B130="","",IFERROR(IF(INDEX('DỮ LIỆU'!$D$3:$D$1052,MATCH($B130,'DỮ LIỆU'!$C$3:$C$1052,0))="","",INDEX('DỮ LIỆU'!$D$3:$D$1052,MATCH($B130,'DỮ LIỆU'!$C$3:$C$1052,0))),""))</f>
        <v/>
      </c>
      <c r="D130" s="21" t="str">
        <f aca="false">IF($B130="","",IFERROR(IF(INDEX('DỮ LIỆU'!$E$3:$E$1052,MATCH($B130,'DỮ LIỆU'!$C$3:$C$1052,0))="","",INDEX('DỮ LIỆU'!$E$3:$E$1052,MATCH($B130,'DỮ LIỆU'!$C$3:$C$1052,0))),""))</f>
        <v/>
      </c>
      <c r="E130" s="21" t="str">
        <f aca="false">IF($B130="","",IFERROR(IF(INDEX('DỮ LIỆU'!$F$3:$F$1052,MATCH($B130,'DỮ LIỆU'!$C$3:$C$1052,0))="","",INDEX('DỮ LIỆU'!$F$3:$F$1052,MATCH($B130,'DỮ LIỆU'!$C$3:$C$1052,0))),""))</f>
        <v/>
      </c>
      <c r="F130" s="21" t="str">
        <f aca="false">IF($B130="","",IFERROR(IF(INDEX('DỮ LIỆU'!$G$3:$G$1052,MATCH($B130,'DỮ LIỆU'!$C$3:$C$1052,0))="","",INDEX('DỮ LIỆU'!$G$3:$G$1052,MATCH($B130,'DỮ LIỆU'!$C$3:$C$1052,0))),""))</f>
        <v/>
      </c>
      <c r="G130" s="13" t="str">
        <f aca="false">IF($B130="","",COUNTIFS('DỮ LIỆU'!$C$3:$C$1052,$B130,'DỮ LIỆU'!$J$3:$J$1052,"&gt;0"))</f>
        <v/>
      </c>
      <c r="H130" s="13" t="str">
        <f aca="false">IF($B130="","",SUMIF('DỮ LIỆU'!$C$3:$C$1052,$B130,'DỮ LIỆU'!$J$3:$J$1052))</f>
        <v/>
      </c>
      <c r="I130" s="13" t="str">
        <f aca="false">IF($B130="","",SUMIF('DỮ LIỆU'!$C$3:$C$1052,$B130,'DỮ LIỆU'!$M$3:$M$1052))</f>
        <v/>
      </c>
      <c r="J130" s="13" t="str">
        <f aca="false">IF($B130="","",SUMIF('DỮ LIỆU'!$C$3:$C$1052,$B130,'DỮ LIỆU'!$N$3:$N$1052))</f>
        <v/>
      </c>
      <c r="K130" s="13" t="str">
        <f aca="false">IF($B130="","",SUMIF('DỮ LIỆU'!$C$3:$C$1052,$B130,'DỮ LIỆU'!$O$3:$O$1052))</f>
        <v/>
      </c>
      <c r="L130" s="13" t="str">
        <f aca="false">IF($B130="","",SUMIF('DỮ LIỆU'!$C$3:$C$1052,$B130,'DỮ LIỆU'!$Q$3:$Q$1052))</f>
        <v/>
      </c>
      <c r="M130" s="41" t="str">
        <f aca="false">IF($B130="","",IF(SUMPRODUCT(MAX(('DỮ LIỆU'!$C$3:$C$1052=$B130)*'DỮ LIỆU'!$Z$3:$Z$1052))=0,"",SUMPRODUCT(MAX(('DỮ LIỆU'!$C$3:$C$1052=$B130)*'DỮ LIỆU'!$Z$3:$Z$1052))))</f>
        <v/>
      </c>
      <c r="N130" s="21" t="str">
        <f aca="false">IF($B130="","",IF($G130=0,"Chưa có đơn",IF(COUNTIFS('DỮ LIỆU'!$C$3:$C$1052,$B130,'DỮ LIỆU'!$K$3:$K$1052,"&gt;0")&gt;0,"Có lấy VAT","Không lấy VAT")))</f>
        <v/>
      </c>
    </row>
    <row r="131" customFormat="false" ht="15" hidden="false" customHeight="false" outlineLevel="0" collapsed="false">
      <c r="A131" s="21" t="str">
        <f aca="false">IF($B131="","",126)</f>
        <v/>
      </c>
      <c r="B131" s="21" t="str">
        <f aca="false">IFERROR(INDEX('DỮ LIỆU'!$C$3:$C$1052,MATCH(126,'DỮ LIỆU'!$W$3:$W$1052,0)),"")</f>
        <v/>
      </c>
      <c r="C131" s="21" t="str">
        <f aca="false">IF($B131="","",IFERROR(IF(INDEX('DỮ LIỆU'!$D$3:$D$1052,MATCH($B131,'DỮ LIỆU'!$C$3:$C$1052,0))="","",INDEX('DỮ LIỆU'!$D$3:$D$1052,MATCH($B131,'DỮ LIỆU'!$C$3:$C$1052,0))),""))</f>
        <v/>
      </c>
      <c r="D131" s="21" t="str">
        <f aca="false">IF($B131="","",IFERROR(IF(INDEX('DỮ LIỆU'!$E$3:$E$1052,MATCH($B131,'DỮ LIỆU'!$C$3:$C$1052,0))="","",INDEX('DỮ LIỆU'!$E$3:$E$1052,MATCH($B131,'DỮ LIỆU'!$C$3:$C$1052,0))),""))</f>
        <v/>
      </c>
      <c r="E131" s="21" t="str">
        <f aca="false">IF($B131="","",IFERROR(IF(INDEX('DỮ LIỆU'!$F$3:$F$1052,MATCH($B131,'DỮ LIỆU'!$C$3:$C$1052,0))="","",INDEX('DỮ LIỆU'!$F$3:$F$1052,MATCH($B131,'DỮ LIỆU'!$C$3:$C$1052,0))),""))</f>
        <v/>
      </c>
      <c r="F131" s="21" t="str">
        <f aca="false">IF($B131="","",IFERROR(IF(INDEX('DỮ LIỆU'!$G$3:$G$1052,MATCH($B131,'DỮ LIỆU'!$C$3:$C$1052,0))="","",INDEX('DỮ LIỆU'!$G$3:$G$1052,MATCH($B131,'DỮ LIỆU'!$C$3:$C$1052,0))),""))</f>
        <v/>
      </c>
      <c r="G131" s="13" t="str">
        <f aca="false">IF($B131="","",COUNTIFS('DỮ LIỆU'!$C$3:$C$1052,$B131,'DỮ LIỆU'!$J$3:$J$1052,"&gt;0"))</f>
        <v/>
      </c>
      <c r="H131" s="13" t="str">
        <f aca="false">IF($B131="","",SUMIF('DỮ LIỆU'!$C$3:$C$1052,$B131,'DỮ LIỆU'!$J$3:$J$1052))</f>
        <v/>
      </c>
      <c r="I131" s="13" t="str">
        <f aca="false">IF($B131="","",SUMIF('DỮ LIỆU'!$C$3:$C$1052,$B131,'DỮ LIỆU'!$M$3:$M$1052))</f>
        <v/>
      </c>
      <c r="J131" s="13" t="str">
        <f aca="false">IF($B131="","",SUMIF('DỮ LIỆU'!$C$3:$C$1052,$B131,'DỮ LIỆU'!$N$3:$N$1052))</f>
        <v/>
      </c>
      <c r="K131" s="13" t="str">
        <f aca="false">IF($B131="","",SUMIF('DỮ LIỆU'!$C$3:$C$1052,$B131,'DỮ LIỆU'!$O$3:$O$1052))</f>
        <v/>
      </c>
      <c r="L131" s="13" t="str">
        <f aca="false">IF($B131="","",SUMIF('DỮ LIỆU'!$C$3:$C$1052,$B131,'DỮ LIỆU'!$Q$3:$Q$1052))</f>
        <v/>
      </c>
      <c r="M131" s="41" t="str">
        <f aca="false">IF($B131="","",IF(SUMPRODUCT(MAX(('DỮ LIỆU'!$C$3:$C$1052=$B131)*'DỮ LIỆU'!$Z$3:$Z$1052))=0,"",SUMPRODUCT(MAX(('DỮ LIỆU'!$C$3:$C$1052=$B131)*'DỮ LIỆU'!$Z$3:$Z$1052))))</f>
        <v/>
      </c>
      <c r="N131" s="21" t="str">
        <f aca="false">IF($B131="","",IF($G131=0,"Chưa có đơn",IF(COUNTIFS('DỮ LIỆU'!$C$3:$C$1052,$B131,'DỮ LIỆU'!$K$3:$K$1052,"&gt;0")&gt;0,"Có lấy VAT","Không lấy VAT")))</f>
        <v/>
      </c>
    </row>
    <row r="132" customFormat="false" ht="15" hidden="false" customHeight="false" outlineLevel="0" collapsed="false">
      <c r="A132" s="21" t="str">
        <f aca="false">IF($B132="","",127)</f>
        <v/>
      </c>
      <c r="B132" s="21" t="str">
        <f aca="false">IFERROR(INDEX('DỮ LIỆU'!$C$3:$C$1052,MATCH(127,'DỮ LIỆU'!$W$3:$W$1052,0)),"")</f>
        <v/>
      </c>
      <c r="C132" s="21" t="str">
        <f aca="false">IF($B132="","",IFERROR(IF(INDEX('DỮ LIỆU'!$D$3:$D$1052,MATCH($B132,'DỮ LIỆU'!$C$3:$C$1052,0))="","",INDEX('DỮ LIỆU'!$D$3:$D$1052,MATCH($B132,'DỮ LIỆU'!$C$3:$C$1052,0))),""))</f>
        <v/>
      </c>
      <c r="D132" s="21" t="str">
        <f aca="false">IF($B132="","",IFERROR(IF(INDEX('DỮ LIỆU'!$E$3:$E$1052,MATCH($B132,'DỮ LIỆU'!$C$3:$C$1052,0))="","",INDEX('DỮ LIỆU'!$E$3:$E$1052,MATCH($B132,'DỮ LIỆU'!$C$3:$C$1052,0))),""))</f>
        <v/>
      </c>
      <c r="E132" s="21" t="str">
        <f aca="false">IF($B132="","",IFERROR(IF(INDEX('DỮ LIỆU'!$F$3:$F$1052,MATCH($B132,'DỮ LIỆU'!$C$3:$C$1052,0))="","",INDEX('DỮ LIỆU'!$F$3:$F$1052,MATCH($B132,'DỮ LIỆU'!$C$3:$C$1052,0))),""))</f>
        <v/>
      </c>
      <c r="F132" s="21" t="str">
        <f aca="false">IF($B132="","",IFERROR(IF(INDEX('DỮ LIỆU'!$G$3:$G$1052,MATCH($B132,'DỮ LIỆU'!$C$3:$C$1052,0))="","",INDEX('DỮ LIỆU'!$G$3:$G$1052,MATCH($B132,'DỮ LIỆU'!$C$3:$C$1052,0))),""))</f>
        <v/>
      </c>
      <c r="G132" s="13" t="str">
        <f aca="false">IF($B132="","",COUNTIFS('DỮ LIỆU'!$C$3:$C$1052,$B132,'DỮ LIỆU'!$J$3:$J$1052,"&gt;0"))</f>
        <v/>
      </c>
      <c r="H132" s="13" t="str">
        <f aca="false">IF($B132="","",SUMIF('DỮ LIỆU'!$C$3:$C$1052,$B132,'DỮ LIỆU'!$J$3:$J$1052))</f>
        <v/>
      </c>
      <c r="I132" s="13" t="str">
        <f aca="false">IF($B132="","",SUMIF('DỮ LIỆU'!$C$3:$C$1052,$B132,'DỮ LIỆU'!$M$3:$M$1052))</f>
        <v/>
      </c>
      <c r="J132" s="13" t="str">
        <f aca="false">IF($B132="","",SUMIF('DỮ LIỆU'!$C$3:$C$1052,$B132,'DỮ LIỆU'!$N$3:$N$1052))</f>
        <v/>
      </c>
      <c r="K132" s="13" t="str">
        <f aca="false">IF($B132="","",SUMIF('DỮ LIỆU'!$C$3:$C$1052,$B132,'DỮ LIỆU'!$O$3:$O$1052))</f>
        <v/>
      </c>
      <c r="L132" s="13" t="str">
        <f aca="false">IF($B132="","",SUMIF('DỮ LIỆU'!$C$3:$C$1052,$B132,'DỮ LIỆU'!$Q$3:$Q$1052))</f>
        <v/>
      </c>
      <c r="M132" s="41" t="str">
        <f aca="false">IF($B132="","",IF(SUMPRODUCT(MAX(('DỮ LIỆU'!$C$3:$C$1052=$B132)*'DỮ LIỆU'!$Z$3:$Z$1052))=0,"",SUMPRODUCT(MAX(('DỮ LIỆU'!$C$3:$C$1052=$B132)*'DỮ LIỆU'!$Z$3:$Z$1052))))</f>
        <v/>
      </c>
      <c r="N132" s="21" t="str">
        <f aca="false">IF($B132="","",IF($G132=0,"Chưa có đơn",IF(COUNTIFS('DỮ LIỆU'!$C$3:$C$1052,$B132,'DỮ LIỆU'!$K$3:$K$1052,"&gt;0")&gt;0,"Có lấy VAT","Không lấy VAT")))</f>
        <v/>
      </c>
    </row>
    <row r="133" customFormat="false" ht="15" hidden="false" customHeight="false" outlineLevel="0" collapsed="false">
      <c r="A133" s="21" t="str">
        <f aca="false">IF($B133="","",128)</f>
        <v/>
      </c>
      <c r="B133" s="21" t="str">
        <f aca="false">IFERROR(INDEX('DỮ LIỆU'!$C$3:$C$1052,MATCH(128,'DỮ LIỆU'!$W$3:$W$1052,0)),"")</f>
        <v/>
      </c>
      <c r="C133" s="21" t="str">
        <f aca="false">IF($B133="","",IFERROR(IF(INDEX('DỮ LIỆU'!$D$3:$D$1052,MATCH($B133,'DỮ LIỆU'!$C$3:$C$1052,0))="","",INDEX('DỮ LIỆU'!$D$3:$D$1052,MATCH($B133,'DỮ LIỆU'!$C$3:$C$1052,0))),""))</f>
        <v/>
      </c>
      <c r="D133" s="21" t="str">
        <f aca="false">IF($B133="","",IFERROR(IF(INDEX('DỮ LIỆU'!$E$3:$E$1052,MATCH($B133,'DỮ LIỆU'!$C$3:$C$1052,0))="","",INDEX('DỮ LIỆU'!$E$3:$E$1052,MATCH($B133,'DỮ LIỆU'!$C$3:$C$1052,0))),""))</f>
        <v/>
      </c>
      <c r="E133" s="21" t="str">
        <f aca="false">IF($B133="","",IFERROR(IF(INDEX('DỮ LIỆU'!$F$3:$F$1052,MATCH($B133,'DỮ LIỆU'!$C$3:$C$1052,0))="","",INDEX('DỮ LIỆU'!$F$3:$F$1052,MATCH($B133,'DỮ LIỆU'!$C$3:$C$1052,0))),""))</f>
        <v/>
      </c>
      <c r="F133" s="21" t="str">
        <f aca="false">IF($B133="","",IFERROR(IF(INDEX('DỮ LIỆU'!$G$3:$G$1052,MATCH($B133,'DỮ LIỆU'!$C$3:$C$1052,0))="","",INDEX('DỮ LIỆU'!$G$3:$G$1052,MATCH($B133,'DỮ LIỆU'!$C$3:$C$1052,0))),""))</f>
        <v/>
      </c>
      <c r="G133" s="13" t="str">
        <f aca="false">IF($B133="","",COUNTIFS('DỮ LIỆU'!$C$3:$C$1052,$B133,'DỮ LIỆU'!$J$3:$J$1052,"&gt;0"))</f>
        <v/>
      </c>
      <c r="H133" s="13" t="str">
        <f aca="false">IF($B133="","",SUMIF('DỮ LIỆU'!$C$3:$C$1052,$B133,'DỮ LIỆU'!$J$3:$J$1052))</f>
        <v/>
      </c>
      <c r="I133" s="13" t="str">
        <f aca="false">IF($B133="","",SUMIF('DỮ LIỆU'!$C$3:$C$1052,$B133,'DỮ LIỆU'!$M$3:$M$1052))</f>
        <v/>
      </c>
      <c r="J133" s="13" t="str">
        <f aca="false">IF($B133="","",SUMIF('DỮ LIỆU'!$C$3:$C$1052,$B133,'DỮ LIỆU'!$N$3:$N$1052))</f>
        <v/>
      </c>
      <c r="K133" s="13" t="str">
        <f aca="false">IF($B133="","",SUMIF('DỮ LIỆU'!$C$3:$C$1052,$B133,'DỮ LIỆU'!$O$3:$O$1052))</f>
        <v/>
      </c>
      <c r="L133" s="13" t="str">
        <f aca="false">IF($B133="","",SUMIF('DỮ LIỆU'!$C$3:$C$1052,$B133,'DỮ LIỆU'!$Q$3:$Q$1052))</f>
        <v/>
      </c>
      <c r="M133" s="41" t="str">
        <f aca="false">IF($B133="","",IF(SUMPRODUCT(MAX(('DỮ LIỆU'!$C$3:$C$1052=$B133)*'DỮ LIỆU'!$Z$3:$Z$1052))=0,"",SUMPRODUCT(MAX(('DỮ LIỆU'!$C$3:$C$1052=$B133)*'DỮ LIỆU'!$Z$3:$Z$1052))))</f>
        <v/>
      </c>
      <c r="N133" s="21" t="str">
        <f aca="false">IF($B133="","",IF($G133=0,"Chưa có đơn",IF(COUNTIFS('DỮ LIỆU'!$C$3:$C$1052,$B133,'DỮ LIỆU'!$K$3:$K$1052,"&gt;0")&gt;0,"Có lấy VAT","Không lấy VAT")))</f>
        <v/>
      </c>
    </row>
    <row r="134" customFormat="false" ht="15" hidden="false" customHeight="false" outlineLevel="0" collapsed="false">
      <c r="A134" s="21" t="str">
        <f aca="false">IF($B134="","",129)</f>
        <v/>
      </c>
      <c r="B134" s="21" t="str">
        <f aca="false">IFERROR(INDEX('DỮ LIỆU'!$C$3:$C$1052,MATCH(129,'DỮ LIỆU'!$W$3:$W$1052,0)),"")</f>
        <v/>
      </c>
      <c r="C134" s="21" t="str">
        <f aca="false">IF($B134="","",IFERROR(IF(INDEX('DỮ LIỆU'!$D$3:$D$1052,MATCH($B134,'DỮ LIỆU'!$C$3:$C$1052,0))="","",INDEX('DỮ LIỆU'!$D$3:$D$1052,MATCH($B134,'DỮ LIỆU'!$C$3:$C$1052,0))),""))</f>
        <v/>
      </c>
      <c r="D134" s="21" t="str">
        <f aca="false">IF($B134="","",IFERROR(IF(INDEX('DỮ LIỆU'!$E$3:$E$1052,MATCH($B134,'DỮ LIỆU'!$C$3:$C$1052,0))="","",INDEX('DỮ LIỆU'!$E$3:$E$1052,MATCH($B134,'DỮ LIỆU'!$C$3:$C$1052,0))),""))</f>
        <v/>
      </c>
      <c r="E134" s="21" t="str">
        <f aca="false">IF($B134="","",IFERROR(IF(INDEX('DỮ LIỆU'!$F$3:$F$1052,MATCH($B134,'DỮ LIỆU'!$C$3:$C$1052,0))="","",INDEX('DỮ LIỆU'!$F$3:$F$1052,MATCH($B134,'DỮ LIỆU'!$C$3:$C$1052,0))),""))</f>
        <v/>
      </c>
      <c r="F134" s="21" t="str">
        <f aca="false">IF($B134="","",IFERROR(IF(INDEX('DỮ LIỆU'!$G$3:$G$1052,MATCH($B134,'DỮ LIỆU'!$C$3:$C$1052,0))="","",INDEX('DỮ LIỆU'!$G$3:$G$1052,MATCH($B134,'DỮ LIỆU'!$C$3:$C$1052,0))),""))</f>
        <v/>
      </c>
      <c r="G134" s="13" t="str">
        <f aca="false">IF($B134="","",COUNTIFS('DỮ LIỆU'!$C$3:$C$1052,$B134,'DỮ LIỆU'!$J$3:$J$1052,"&gt;0"))</f>
        <v/>
      </c>
      <c r="H134" s="13" t="str">
        <f aca="false">IF($B134="","",SUMIF('DỮ LIỆU'!$C$3:$C$1052,$B134,'DỮ LIỆU'!$J$3:$J$1052))</f>
        <v/>
      </c>
      <c r="I134" s="13" t="str">
        <f aca="false">IF($B134="","",SUMIF('DỮ LIỆU'!$C$3:$C$1052,$B134,'DỮ LIỆU'!$M$3:$M$1052))</f>
        <v/>
      </c>
      <c r="J134" s="13" t="str">
        <f aca="false">IF($B134="","",SUMIF('DỮ LIỆU'!$C$3:$C$1052,$B134,'DỮ LIỆU'!$N$3:$N$1052))</f>
        <v/>
      </c>
      <c r="K134" s="13" t="str">
        <f aca="false">IF($B134="","",SUMIF('DỮ LIỆU'!$C$3:$C$1052,$B134,'DỮ LIỆU'!$O$3:$O$1052))</f>
        <v/>
      </c>
      <c r="L134" s="13" t="str">
        <f aca="false">IF($B134="","",SUMIF('DỮ LIỆU'!$C$3:$C$1052,$B134,'DỮ LIỆU'!$Q$3:$Q$1052))</f>
        <v/>
      </c>
      <c r="M134" s="41" t="str">
        <f aca="false">IF($B134="","",IF(SUMPRODUCT(MAX(('DỮ LIỆU'!$C$3:$C$1052=$B134)*'DỮ LIỆU'!$Z$3:$Z$1052))=0,"",SUMPRODUCT(MAX(('DỮ LIỆU'!$C$3:$C$1052=$B134)*'DỮ LIỆU'!$Z$3:$Z$1052))))</f>
        <v/>
      </c>
      <c r="N134" s="21" t="str">
        <f aca="false">IF($B134="","",IF($G134=0,"Chưa có đơn",IF(COUNTIFS('DỮ LIỆU'!$C$3:$C$1052,$B134,'DỮ LIỆU'!$K$3:$K$1052,"&gt;0")&gt;0,"Có lấy VAT","Không lấy VAT")))</f>
        <v/>
      </c>
    </row>
    <row r="135" customFormat="false" ht="15" hidden="false" customHeight="false" outlineLevel="0" collapsed="false">
      <c r="A135" s="21" t="str">
        <f aca="false">IF($B135="","",130)</f>
        <v/>
      </c>
      <c r="B135" s="21" t="str">
        <f aca="false">IFERROR(INDEX('DỮ LIỆU'!$C$3:$C$1052,MATCH(130,'DỮ LIỆU'!$W$3:$W$1052,0)),"")</f>
        <v/>
      </c>
      <c r="C135" s="21" t="str">
        <f aca="false">IF($B135="","",IFERROR(IF(INDEX('DỮ LIỆU'!$D$3:$D$1052,MATCH($B135,'DỮ LIỆU'!$C$3:$C$1052,0))="","",INDEX('DỮ LIỆU'!$D$3:$D$1052,MATCH($B135,'DỮ LIỆU'!$C$3:$C$1052,0))),""))</f>
        <v/>
      </c>
      <c r="D135" s="21" t="str">
        <f aca="false">IF($B135="","",IFERROR(IF(INDEX('DỮ LIỆU'!$E$3:$E$1052,MATCH($B135,'DỮ LIỆU'!$C$3:$C$1052,0))="","",INDEX('DỮ LIỆU'!$E$3:$E$1052,MATCH($B135,'DỮ LIỆU'!$C$3:$C$1052,0))),""))</f>
        <v/>
      </c>
      <c r="E135" s="21" t="str">
        <f aca="false">IF($B135="","",IFERROR(IF(INDEX('DỮ LIỆU'!$F$3:$F$1052,MATCH($B135,'DỮ LIỆU'!$C$3:$C$1052,0))="","",INDEX('DỮ LIỆU'!$F$3:$F$1052,MATCH($B135,'DỮ LIỆU'!$C$3:$C$1052,0))),""))</f>
        <v/>
      </c>
      <c r="F135" s="21" t="str">
        <f aca="false">IF($B135="","",IFERROR(IF(INDEX('DỮ LIỆU'!$G$3:$G$1052,MATCH($B135,'DỮ LIỆU'!$C$3:$C$1052,0))="","",INDEX('DỮ LIỆU'!$G$3:$G$1052,MATCH($B135,'DỮ LIỆU'!$C$3:$C$1052,0))),""))</f>
        <v/>
      </c>
      <c r="G135" s="13" t="str">
        <f aca="false">IF($B135="","",COUNTIFS('DỮ LIỆU'!$C$3:$C$1052,$B135,'DỮ LIỆU'!$J$3:$J$1052,"&gt;0"))</f>
        <v/>
      </c>
      <c r="H135" s="13" t="str">
        <f aca="false">IF($B135="","",SUMIF('DỮ LIỆU'!$C$3:$C$1052,$B135,'DỮ LIỆU'!$J$3:$J$1052))</f>
        <v/>
      </c>
      <c r="I135" s="13" t="str">
        <f aca="false">IF($B135="","",SUMIF('DỮ LIỆU'!$C$3:$C$1052,$B135,'DỮ LIỆU'!$M$3:$M$1052))</f>
        <v/>
      </c>
      <c r="J135" s="13" t="str">
        <f aca="false">IF($B135="","",SUMIF('DỮ LIỆU'!$C$3:$C$1052,$B135,'DỮ LIỆU'!$N$3:$N$1052))</f>
        <v/>
      </c>
      <c r="K135" s="13" t="str">
        <f aca="false">IF($B135="","",SUMIF('DỮ LIỆU'!$C$3:$C$1052,$B135,'DỮ LIỆU'!$O$3:$O$1052))</f>
        <v/>
      </c>
      <c r="L135" s="13" t="str">
        <f aca="false">IF($B135="","",SUMIF('DỮ LIỆU'!$C$3:$C$1052,$B135,'DỮ LIỆU'!$Q$3:$Q$1052))</f>
        <v/>
      </c>
      <c r="M135" s="41" t="str">
        <f aca="false">IF($B135="","",IF(SUMPRODUCT(MAX(('DỮ LIỆU'!$C$3:$C$1052=$B135)*'DỮ LIỆU'!$Z$3:$Z$1052))=0,"",SUMPRODUCT(MAX(('DỮ LIỆU'!$C$3:$C$1052=$B135)*'DỮ LIỆU'!$Z$3:$Z$1052))))</f>
        <v/>
      </c>
      <c r="N135" s="21" t="str">
        <f aca="false">IF($B135="","",IF($G135=0,"Chưa có đơn",IF(COUNTIFS('DỮ LIỆU'!$C$3:$C$1052,$B135,'DỮ LIỆU'!$K$3:$K$1052,"&gt;0")&gt;0,"Có lấy VAT","Không lấy VAT")))</f>
        <v/>
      </c>
    </row>
    <row r="136" customFormat="false" ht="15" hidden="false" customHeight="false" outlineLevel="0" collapsed="false">
      <c r="A136" s="21" t="str">
        <f aca="false">IF($B136="","",131)</f>
        <v/>
      </c>
      <c r="B136" s="21" t="str">
        <f aca="false">IFERROR(INDEX('DỮ LIỆU'!$C$3:$C$1052,MATCH(131,'DỮ LIỆU'!$W$3:$W$1052,0)),"")</f>
        <v/>
      </c>
      <c r="C136" s="21" t="str">
        <f aca="false">IF($B136="","",IFERROR(IF(INDEX('DỮ LIỆU'!$D$3:$D$1052,MATCH($B136,'DỮ LIỆU'!$C$3:$C$1052,0))="","",INDEX('DỮ LIỆU'!$D$3:$D$1052,MATCH($B136,'DỮ LIỆU'!$C$3:$C$1052,0))),""))</f>
        <v/>
      </c>
      <c r="D136" s="21" t="str">
        <f aca="false">IF($B136="","",IFERROR(IF(INDEX('DỮ LIỆU'!$E$3:$E$1052,MATCH($B136,'DỮ LIỆU'!$C$3:$C$1052,0))="","",INDEX('DỮ LIỆU'!$E$3:$E$1052,MATCH($B136,'DỮ LIỆU'!$C$3:$C$1052,0))),""))</f>
        <v/>
      </c>
      <c r="E136" s="21" t="str">
        <f aca="false">IF($B136="","",IFERROR(IF(INDEX('DỮ LIỆU'!$F$3:$F$1052,MATCH($B136,'DỮ LIỆU'!$C$3:$C$1052,0))="","",INDEX('DỮ LIỆU'!$F$3:$F$1052,MATCH($B136,'DỮ LIỆU'!$C$3:$C$1052,0))),""))</f>
        <v/>
      </c>
      <c r="F136" s="21" t="str">
        <f aca="false">IF($B136="","",IFERROR(IF(INDEX('DỮ LIỆU'!$G$3:$G$1052,MATCH($B136,'DỮ LIỆU'!$C$3:$C$1052,0))="","",INDEX('DỮ LIỆU'!$G$3:$G$1052,MATCH($B136,'DỮ LIỆU'!$C$3:$C$1052,0))),""))</f>
        <v/>
      </c>
      <c r="G136" s="13" t="str">
        <f aca="false">IF($B136="","",COUNTIFS('DỮ LIỆU'!$C$3:$C$1052,$B136,'DỮ LIỆU'!$J$3:$J$1052,"&gt;0"))</f>
        <v/>
      </c>
      <c r="H136" s="13" t="str">
        <f aca="false">IF($B136="","",SUMIF('DỮ LIỆU'!$C$3:$C$1052,$B136,'DỮ LIỆU'!$J$3:$J$1052))</f>
        <v/>
      </c>
      <c r="I136" s="13" t="str">
        <f aca="false">IF($B136="","",SUMIF('DỮ LIỆU'!$C$3:$C$1052,$B136,'DỮ LIỆU'!$M$3:$M$1052))</f>
        <v/>
      </c>
      <c r="J136" s="13" t="str">
        <f aca="false">IF($B136="","",SUMIF('DỮ LIỆU'!$C$3:$C$1052,$B136,'DỮ LIỆU'!$N$3:$N$1052))</f>
        <v/>
      </c>
      <c r="K136" s="13" t="str">
        <f aca="false">IF($B136="","",SUMIF('DỮ LIỆU'!$C$3:$C$1052,$B136,'DỮ LIỆU'!$O$3:$O$1052))</f>
        <v/>
      </c>
      <c r="L136" s="13" t="str">
        <f aca="false">IF($B136="","",SUMIF('DỮ LIỆU'!$C$3:$C$1052,$B136,'DỮ LIỆU'!$Q$3:$Q$1052))</f>
        <v/>
      </c>
      <c r="M136" s="41" t="str">
        <f aca="false">IF($B136="","",IF(SUMPRODUCT(MAX(('DỮ LIỆU'!$C$3:$C$1052=$B136)*'DỮ LIỆU'!$Z$3:$Z$1052))=0,"",SUMPRODUCT(MAX(('DỮ LIỆU'!$C$3:$C$1052=$B136)*'DỮ LIỆU'!$Z$3:$Z$1052))))</f>
        <v/>
      </c>
      <c r="N136" s="21" t="str">
        <f aca="false">IF($B136="","",IF($G136=0,"Chưa có đơn",IF(COUNTIFS('DỮ LIỆU'!$C$3:$C$1052,$B136,'DỮ LIỆU'!$K$3:$K$1052,"&gt;0")&gt;0,"Có lấy VAT","Không lấy VAT")))</f>
        <v/>
      </c>
    </row>
    <row r="137" customFormat="false" ht="15" hidden="false" customHeight="false" outlineLevel="0" collapsed="false">
      <c r="A137" s="21" t="str">
        <f aca="false">IF($B137="","",132)</f>
        <v/>
      </c>
      <c r="B137" s="21" t="str">
        <f aca="false">IFERROR(INDEX('DỮ LIỆU'!$C$3:$C$1052,MATCH(132,'DỮ LIỆU'!$W$3:$W$1052,0)),"")</f>
        <v/>
      </c>
      <c r="C137" s="21" t="str">
        <f aca="false">IF($B137="","",IFERROR(IF(INDEX('DỮ LIỆU'!$D$3:$D$1052,MATCH($B137,'DỮ LIỆU'!$C$3:$C$1052,0))="","",INDEX('DỮ LIỆU'!$D$3:$D$1052,MATCH($B137,'DỮ LIỆU'!$C$3:$C$1052,0))),""))</f>
        <v/>
      </c>
      <c r="D137" s="21" t="str">
        <f aca="false">IF($B137="","",IFERROR(IF(INDEX('DỮ LIỆU'!$E$3:$E$1052,MATCH($B137,'DỮ LIỆU'!$C$3:$C$1052,0))="","",INDEX('DỮ LIỆU'!$E$3:$E$1052,MATCH($B137,'DỮ LIỆU'!$C$3:$C$1052,0))),""))</f>
        <v/>
      </c>
      <c r="E137" s="21" t="str">
        <f aca="false">IF($B137="","",IFERROR(IF(INDEX('DỮ LIỆU'!$F$3:$F$1052,MATCH($B137,'DỮ LIỆU'!$C$3:$C$1052,0))="","",INDEX('DỮ LIỆU'!$F$3:$F$1052,MATCH($B137,'DỮ LIỆU'!$C$3:$C$1052,0))),""))</f>
        <v/>
      </c>
      <c r="F137" s="21" t="str">
        <f aca="false">IF($B137="","",IFERROR(IF(INDEX('DỮ LIỆU'!$G$3:$G$1052,MATCH($B137,'DỮ LIỆU'!$C$3:$C$1052,0))="","",INDEX('DỮ LIỆU'!$G$3:$G$1052,MATCH($B137,'DỮ LIỆU'!$C$3:$C$1052,0))),""))</f>
        <v/>
      </c>
      <c r="G137" s="13" t="str">
        <f aca="false">IF($B137="","",COUNTIFS('DỮ LIỆU'!$C$3:$C$1052,$B137,'DỮ LIỆU'!$J$3:$J$1052,"&gt;0"))</f>
        <v/>
      </c>
      <c r="H137" s="13" t="str">
        <f aca="false">IF($B137="","",SUMIF('DỮ LIỆU'!$C$3:$C$1052,$B137,'DỮ LIỆU'!$J$3:$J$1052))</f>
        <v/>
      </c>
      <c r="I137" s="13" t="str">
        <f aca="false">IF($B137="","",SUMIF('DỮ LIỆU'!$C$3:$C$1052,$B137,'DỮ LIỆU'!$M$3:$M$1052))</f>
        <v/>
      </c>
      <c r="J137" s="13" t="str">
        <f aca="false">IF($B137="","",SUMIF('DỮ LIỆU'!$C$3:$C$1052,$B137,'DỮ LIỆU'!$N$3:$N$1052))</f>
        <v/>
      </c>
      <c r="K137" s="13" t="str">
        <f aca="false">IF($B137="","",SUMIF('DỮ LIỆU'!$C$3:$C$1052,$B137,'DỮ LIỆU'!$O$3:$O$1052))</f>
        <v/>
      </c>
      <c r="L137" s="13" t="str">
        <f aca="false">IF($B137="","",SUMIF('DỮ LIỆU'!$C$3:$C$1052,$B137,'DỮ LIỆU'!$Q$3:$Q$1052))</f>
        <v/>
      </c>
      <c r="M137" s="41" t="str">
        <f aca="false">IF($B137="","",IF(SUMPRODUCT(MAX(('DỮ LIỆU'!$C$3:$C$1052=$B137)*'DỮ LIỆU'!$Z$3:$Z$1052))=0,"",SUMPRODUCT(MAX(('DỮ LIỆU'!$C$3:$C$1052=$B137)*'DỮ LIỆU'!$Z$3:$Z$1052))))</f>
        <v/>
      </c>
      <c r="N137" s="21" t="str">
        <f aca="false">IF($B137="","",IF($G137=0,"Chưa có đơn",IF(COUNTIFS('DỮ LIỆU'!$C$3:$C$1052,$B137,'DỮ LIỆU'!$K$3:$K$1052,"&gt;0")&gt;0,"Có lấy VAT","Không lấy VAT")))</f>
        <v/>
      </c>
    </row>
    <row r="138" customFormat="false" ht="15" hidden="false" customHeight="false" outlineLevel="0" collapsed="false">
      <c r="A138" s="21" t="str">
        <f aca="false">IF($B138="","",133)</f>
        <v/>
      </c>
      <c r="B138" s="21" t="str">
        <f aca="false">IFERROR(INDEX('DỮ LIỆU'!$C$3:$C$1052,MATCH(133,'DỮ LIỆU'!$W$3:$W$1052,0)),"")</f>
        <v/>
      </c>
      <c r="C138" s="21" t="str">
        <f aca="false">IF($B138="","",IFERROR(IF(INDEX('DỮ LIỆU'!$D$3:$D$1052,MATCH($B138,'DỮ LIỆU'!$C$3:$C$1052,0))="","",INDEX('DỮ LIỆU'!$D$3:$D$1052,MATCH($B138,'DỮ LIỆU'!$C$3:$C$1052,0))),""))</f>
        <v/>
      </c>
      <c r="D138" s="21" t="str">
        <f aca="false">IF($B138="","",IFERROR(IF(INDEX('DỮ LIỆU'!$E$3:$E$1052,MATCH($B138,'DỮ LIỆU'!$C$3:$C$1052,0))="","",INDEX('DỮ LIỆU'!$E$3:$E$1052,MATCH($B138,'DỮ LIỆU'!$C$3:$C$1052,0))),""))</f>
        <v/>
      </c>
      <c r="E138" s="21" t="str">
        <f aca="false">IF($B138="","",IFERROR(IF(INDEX('DỮ LIỆU'!$F$3:$F$1052,MATCH($B138,'DỮ LIỆU'!$C$3:$C$1052,0))="","",INDEX('DỮ LIỆU'!$F$3:$F$1052,MATCH($B138,'DỮ LIỆU'!$C$3:$C$1052,0))),""))</f>
        <v/>
      </c>
      <c r="F138" s="21" t="str">
        <f aca="false">IF($B138="","",IFERROR(IF(INDEX('DỮ LIỆU'!$G$3:$G$1052,MATCH($B138,'DỮ LIỆU'!$C$3:$C$1052,0))="","",INDEX('DỮ LIỆU'!$G$3:$G$1052,MATCH($B138,'DỮ LIỆU'!$C$3:$C$1052,0))),""))</f>
        <v/>
      </c>
      <c r="G138" s="13" t="str">
        <f aca="false">IF($B138="","",COUNTIFS('DỮ LIỆU'!$C$3:$C$1052,$B138,'DỮ LIỆU'!$J$3:$J$1052,"&gt;0"))</f>
        <v/>
      </c>
      <c r="H138" s="13" t="str">
        <f aca="false">IF($B138="","",SUMIF('DỮ LIỆU'!$C$3:$C$1052,$B138,'DỮ LIỆU'!$J$3:$J$1052))</f>
        <v/>
      </c>
      <c r="I138" s="13" t="str">
        <f aca="false">IF($B138="","",SUMIF('DỮ LIỆU'!$C$3:$C$1052,$B138,'DỮ LIỆU'!$M$3:$M$1052))</f>
        <v/>
      </c>
      <c r="J138" s="13" t="str">
        <f aca="false">IF($B138="","",SUMIF('DỮ LIỆU'!$C$3:$C$1052,$B138,'DỮ LIỆU'!$N$3:$N$1052))</f>
        <v/>
      </c>
      <c r="K138" s="13" t="str">
        <f aca="false">IF($B138="","",SUMIF('DỮ LIỆU'!$C$3:$C$1052,$B138,'DỮ LIỆU'!$O$3:$O$1052))</f>
        <v/>
      </c>
      <c r="L138" s="13" t="str">
        <f aca="false">IF($B138="","",SUMIF('DỮ LIỆU'!$C$3:$C$1052,$B138,'DỮ LIỆU'!$Q$3:$Q$1052))</f>
        <v/>
      </c>
      <c r="M138" s="41" t="str">
        <f aca="false">IF($B138="","",IF(SUMPRODUCT(MAX(('DỮ LIỆU'!$C$3:$C$1052=$B138)*'DỮ LIỆU'!$Z$3:$Z$1052))=0,"",SUMPRODUCT(MAX(('DỮ LIỆU'!$C$3:$C$1052=$B138)*'DỮ LIỆU'!$Z$3:$Z$1052))))</f>
        <v/>
      </c>
      <c r="N138" s="21" t="str">
        <f aca="false">IF($B138="","",IF($G138=0,"Chưa có đơn",IF(COUNTIFS('DỮ LIỆU'!$C$3:$C$1052,$B138,'DỮ LIỆU'!$K$3:$K$1052,"&gt;0")&gt;0,"Có lấy VAT","Không lấy VAT")))</f>
        <v/>
      </c>
    </row>
    <row r="139" customFormat="false" ht="15" hidden="false" customHeight="false" outlineLevel="0" collapsed="false">
      <c r="A139" s="21" t="str">
        <f aca="false">IF($B139="","",134)</f>
        <v/>
      </c>
      <c r="B139" s="21" t="str">
        <f aca="false">IFERROR(INDEX('DỮ LIỆU'!$C$3:$C$1052,MATCH(134,'DỮ LIỆU'!$W$3:$W$1052,0)),"")</f>
        <v/>
      </c>
      <c r="C139" s="21" t="str">
        <f aca="false">IF($B139="","",IFERROR(IF(INDEX('DỮ LIỆU'!$D$3:$D$1052,MATCH($B139,'DỮ LIỆU'!$C$3:$C$1052,0))="","",INDEX('DỮ LIỆU'!$D$3:$D$1052,MATCH($B139,'DỮ LIỆU'!$C$3:$C$1052,0))),""))</f>
        <v/>
      </c>
      <c r="D139" s="21" t="str">
        <f aca="false">IF($B139="","",IFERROR(IF(INDEX('DỮ LIỆU'!$E$3:$E$1052,MATCH($B139,'DỮ LIỆU'!$C$3:$C$1052,0))="","",INDEX('DỮ LIỆU'!$E$3:$E$1052,MATCH($B139,'DỮ LIỆU'!$C$3:$C$1052,0))),""))</f>
        <v/>
      </c>
      <c r="E139" s="21" t="str">
        <f aca="false">IF($B139="","",IFERROR(IF(INDEX('DỮ LIỆU'!$F$3:$F$1052,MATCH($B139,'DỮ LIỆU'!$C$3:$C$1052,0))="","",INDEX('DỮ LIỆU'!$F$3:$F$1052,MATCH($B139,'DỮ LIỆU'!$C$3:$C$1052,0))),""))</f>
        <v/>
      </c>
      <c r="F139" s="21" t="str">
        <f aca="false">IF($B139="","",IFERROR(IF(INDEX('DỮ LIỆU'!$G$3:$G$1052,MATCH($B139,'DỮ LIỆU'!$C$3:$C$1052,0))="","",INDEX('DỮ LIỆU'!$G$3:$G$1052,MATCH($B139,'DỮ LIỆU'!$C$3:$C$1052,0))),""))</f>
        <v/>
      </c>
      <c r="G139" s="13" t="str">
        <f aca="false">IF($B139="","",COUNTIFS('DỮ LIỆU'!$C$3:$C$1052,$B139,'DỮ LIỆU'!$J$3:$J$1052,"&gt;0"))</f>
        <v/>
      </c>
      <c r="H139" s="13" t="str">
        <f aca="false">IF($B139="","",SUMIF('DỮ LIỆU'!$C$3:$C$1052,$B139,'DỮ LIỆU'!$J$3:$J$1052))</f>
        <v/>
      </c>
      <c r="I139" s="13" t="str">
        <f aca="false">IF($B139="","",SUMIF('DỮ LIỆU'!$C$3:$C$1052,$B139,'DỮ LIỆU'!$M$3:$M$1052))</f>
        <v/>
      </c>
      <c r="J139" s="13" t="str">
        <f aca="false">IF($B139="","",SUMIF('DỮ LIỆU'!$C$3:$C$1052,$B139,'DỮ LIỆU'!$N$3:$N$1052))</f>
        <v/>
      </c>
      <c r="K139" s="13" t="str">
        <f aca="false">IF($B139="","",SUMIF('DỮ LIỆU'!$C$3:$C$1052,$B139,'DỮ LIỆU'!$O$3:$O$1052))</f>
        <v/>
      </c>
      <c r="L139" s="13" t="str">
        <f aca="false">IF($B139="","",SUMIF('DỮ LIỆU'!$C$3:$C$1052,$B139,'DỮ LIỆU'!$Q$3:$Q$1052))</f>
        <v/>
      </c>
      <c r="M139" s="41" t="str">
        <f aca="false">IF($B139="","",IF(SUMPRODUCT(MAX(('DỮ LIỆU'!$C$3:$C$1052=$B139)*'DỮ LIỆU'!$Z$3:$Z$1052))=0,"",SUMPRODUCT(MAX(('DỮ LIỆU'!$C$3:$C$1052=$B139)*'DỮ LIỆU'!$Z$3:$Z$1052))))</f>
        <v/>
      </c>
      <c r="N139" s="21" t="str">
        <f aca="false">IF($B139="","",IF($G139=0,"Chưa có đơn",IF(COUNTIFS('DỮ LIỆU'!$C$3:$C$1052,$B139,'DỮ LIỆU'!$K$3:$K$1052,"&gt;0")&gt;0,"Có lấy VAT","Không lấy VAT")))</f>
        <v/>
      </c>
    </row>
    <row r="140" customFormat="false" ht="15" hidden="false" customHeight="false" outlineLevel="0" collapsed="false">
      <c r="A140" s="21" t="str">
        <f aca="false">IF($B140="","",135)</f>
        <v/>
      </c>
      <c r="B140" s="21" t="str">
        <f aca="false">IFERROR(INDEX('DỮ LIỆU'!$C$3:$C$1052,MATCH(135,'DỮ LIỆU'!$W$3:$W$1052,0)),"")</f>
        <v/>
      </c>
      <c r="C140" s="21" t="str">
        <f aca="false">IF($B140="","",IFERROR(IF(INDEX('DỮ LIỆU'!$D$3:$D$1052,MATCH($B140,'DỮ LIỆU'!$C$3:$C$1052,0))="","",INDEX('DỮ LIỆU'!$D$3:$D$1052,MATCH($B140,'DỮ LIỆU'!$C$3:$C$1052,0))),""))</f>
        <v/>
      </c>
      <c r="D140" s="21" t="str">
        <f aca="false">IF($B140="","",IFERROR(IF(INDEX('DỮ LIỆU'!$E$3:$E$1052,MATCH($B140,'DỮ LIỆU'!$C$3:$C$1052,0))="","",INDEX('DỮ LIỆU'!$E$3:$E$1052,MATCH($B140,'DỮ LIỆU'!$C$3:$C$1052,0))),""))</f>
        <v/>
      </c>
      <c r="E140" s="21" t="str">
        <f aca="false">IF($B140="","",IFERROR(IF(INDEX('DỮ LIỆU'!$F$3:$F$1052,MATCH($B140,'DỮ LIỆU'!$C$3:$C$1052,0))="","",INDEX('DỮ LIỆU'!$F$3:$F$1052,MATCH($B140,'DỮ LIỆU'!$C$3:$C$1052,0))),""))</f>
        <v/>
      </c>
      <c r="F140" s="21" t="str">
        <f aca="false">IF($B140="","",IFERROR(IF(INDEX('DỮ LIỆU'!$G$3:$G$1052,MATCH($B140,'DỮ LIỆU'!$C$3:$C$1052,0))="","",INDEX('DỮ LIỆU'!$G$3:$G$1052,MATCH($B140,'DỮ LIỆU'!$C$3:$C$1052,0))),""))</f>
        <v/>
      </c>
      <c r="G140" s="13" t="str">
        <f aca="false">IF($B140="","",COUNTIFS('DỮ LIỆU'!$C$3:$C$1052,$B140,'DỮ LIỆU'!$J$3:$J$1052,"&gt;0"))</f>
        <v/>
      </c>
      <c r="H140" s="13" t="str">
        <f aca="false">IF($B140="","",SUMIF('DỮ LIỆU'!$C$3:$C$1052,$B140,'DỮ LIỆU'!$J$3:$J$1052))</f>
        <v/>
      </c>
      <c r="I140" s="13" t="str">
        <f aca="false">IF($B140="","",SUMIF('DỮ LIỆU'!$C$3:$C$1052,$B140,'DỮ LIỆU'!$M$3:$M$1052))</f>
        <v/>
      </c>
      <c r="J140" s="13" t="str">
        <f aca="false">IF($B140="","",SUMIF('DỮ LIỆU'!$C$3:$C$1052,$B140,'DỮ LIỆU'!$N$3:$N$1052))</f>
        <v/>
      </c>
      <c r="K140" s="13" t="str">
        <f aca="false">IF($B140="","",SUMIF('DỮ LIỆU'!$C$3:$C$1052,$B140,'DỮ LIỆU'!$O$3:$O$1052))</f>
        <v/>
      </c>
      <c r="L140" s="13" t="str">
        <f aca="false">IF($B140="","",SUMIF('DỮ LIỆU'!$C$3:$C$1052,$B140,'DỮ LIỆU'!$Q$3:$Q$1052))</f>
        <v/>
      </c>
      <c r="M140" s="41" t="str">
        <f aca="false">IF($B140="","",IF(SUMPRODUCT(MAX(('DỮ LIỆU'!$C$3:$C$1052=$B140)*'DỮ LIỆU'!$Z$3:$Z$1052))=0,"",SUMPRODUCT(MAX(('DỮ LIỆU'!$C$3:$C$1052=$B140)*'DỮ LIỆU'!$Z$3:$Z$1052))))</f>
        <v/>
      </c>
      <c r="N140" s="21" t="str">
        <f aca="false">IF($B140="","",IF($G140=0,"Chưa có đơn",IF(COUNTIFS('DỮ LIỆU'!$C$3:$C$1052,$B140,'DỮ LIỆU'!$K$3:$K$1052,"&gt;0")&gt;0,"Có lấy VAT","Không lấy VAT")))</f>
        <v/>
      </c>
    </row>
    <row r="141" customFormat="false" ht="15" hidden="false" customHeight="false" outlineLevel="0" collapsed="false">
      <c r="A141" s="21" t="str">
        <f aca="false">IF($B141="","",136)</f>
        <v/>
      </c>
      <c r="B141" s="21" t="str">
        <f aca="false">IFERROR(INDEX('DỮ LIỆU'!$C$3:$C$1052,MATCH(136,'DỮ LIỆU'!$W$3:$W$1052,0)),"")</f>
        <v/>
      </c>
      <c r="C141" s="21" t="str">
        <f aca="false">IF($B141="","",IFERROR(IF(INDEX('DỮ LIỆU'!$D$3:$D$1052,MATCH($B141,'DỮ LIỆU'!$C$3:$C$1052,0))="","",INDEX('DỮ LIỆU'!$D$3:$D$1052,MATCH($B141,'DỮ LIỆU'!$C$3:$C$1052,0))),""))</f>
        <v/>
      </c>
      <c r="D141" s="21" t="str">
        <f aca="false">IF($B141="","",IFERROR(IF(INDEX('DỮ LIỆU'!$E$3:$E$1052,MATCH($B141,'DỮ LIỆU'!$C$3:$C$1052,0))="","",INDEX('DỮ LIỆU'!$E$3:$E$1052,MATCH($B141,'DỮ LIỆU'!$C$3:$C$1052,0))),""))</f>
        <v/>
      </c>
      <c r="E141" s="21" t="str">
        <f aca="false">IF($B141="","",IFERROR(IF(INDEX('DỮ LIỆU'!$F$3:$F$1052,MATCH($B141,'DỮ LIỆU'!$C$3:$C$1052,0))="","",INDEX('DỮ LIỆU'!$F$3:$F$1052,MATCH($B141,'DỮ LIỆU'!$C$3:$C$1052,0))),""))</f>
        <v/>
      </c>
      <c r="F141" s="21" t="str">
        <f aca="false">IF($B141="","",IFERROR(IF(INDEX('DỮ LIỆU'!$G$3:$G$1052,MATCH($B141,'DỮ LIỆU'!$C$3:$C$1052,0))="","",INDEX('DỮ LIỆU'!$G$3:$G$1052,MATCH($B141,'DỮ LIỆU'!$C$3:$C$1052,0))),""))</f>
        <v/>
      </c>
      <c r="G141" s="13" t="str">
        <f aca="false">IF($B141="","",COUNTIFS('DỮ LIỆU'!$C$3:$C$1052,$B141,'DỮ LIỆU'!$J$3:$J$1052,"&gt;0"))</f>
        <v/>
      </c>
      <c r="H141" s="13" t="str">
        <f aca="false">IF($B141="","",SUMIF('DỮ LIỆU'!$C$3:$C$1052,$B141,'DỮ LIỆU'!$J$3:$J$1052))</f>
        <v/>
      </c>
      <c r="I141" s="13" t="str">
        <f aca="false">IF($B141="","",SUMIF('DỮ LIỆU'!$C$3:$C$1052,$B141,'DỮ LIỆU'!$M$3:$M$1052))</f>
        <v/>
      </c>
      <c r="J141" s="13" t="str">
        <f aca="false">IF($B141="","",SUMIF('DỮ LIỆU'!$C$3:$C$1052,$B141,'DỮ LIỆU'!$N$3:$N$1052))</f>
        <v/>
      </c>
      <c r="K141" s="13" t="str">
        <f aca="false">IF($B141="","",SUMIF('DỮ LIỆU'!$C$3:$C$1052,$B141,'DỮ LIỆU'!$O$3:$O$1052))</f>
        <v/>
      </c>
      <c r="L141" s="13" t="str">
        <f aca="false">IF($B141="","",SUMIF('DỮ LIỆU'!$C$3:$C$1052,$B141,'DỮ LIỆU'!$Q$3:$Q$1052))</f>
        <v/>
      </c>
      <c r="M141" s="41" t="str">
        <f aca="false">IF($B141="","",IF(SUMPRODUCT(MAX(('DỮ LIỆU'!$C$3:$C$1052=$B141)*'DỮ LIỆU'!$Z$3:$Z$1052))=0,"",SUMPRODUCT(MAX(('DỮ LIỆU'!$C$3:$C$1052=$B141)*'DỮ LIỆU'!$Z$3:$Z$1052))))</f>
        <v/>
      </c>
      <c r="N141" s="21" t="str">
        <f aca="false">IF($B141="","",IF($G141=0,"Chưa có đơn",IF(COUNTIFS('DỮ LIỆU'!$C$3:$C$1052,$B141,'DỮ LIỆU'!$K$3:$K$1052,"&gt;0")&gt;0,"Có lấy VAT","Không lấy VAT")))</f>
        <v/>
      </c>
    </row>
    <row r="142" customFormat="false" ht="15" hidden="false" customHeight="false" outlineLevel="0" collapsed="false">
      <c r="A142" s="21" t="str">
        <f aca="false">IF($B142="","",137)</f>
        <v/>
      </c>
      <c r="B142" s="21" t="str">
        <f aca="false">IFERROR(INDEX('DỮ LIỆU'!$C$3:$C$1052,MATCH(137,'DỮ LIỆU'!$W$3:$W$1052,0)),"")</f>
        <v/>
      </c>
      <c r="C142" s="21" t="str">
        <f aca="false">IF($B142="","",IFERROR(IF(INDEX('DỮ LIỆU'!$D$3:$D$1052,MATCH($B142,'DỮ LIỆU'!$C$3:$C$1052,0))="","",INDEX('DỮ LIỆU'!$D$3:$D$1052,MATCH($B142,'DỮ LIỆU'!$C$3:$C$1052,0))),""))</f>
        <v/>
      </c>
      <c r="D142" s="21" t="str">
        <f aca="false">IF($B142="","",IFERROR(IF(INDEX('DỮ LIỆU'!$E$3:$E$1052,MATCH($B142,'DỮ LIỆU'!$C$3:$C$1052,0))="","",INDEX('DỮ LIỆU'!$E$3:$E$1052,MATCH($B142,'DỮ LIỆU'!$C$3:$C$1052,0))),""))</f>
        <v/>
      </c>
      <c r="E142" s="21" t="str">
        <f aca="false">IF($B142="","",IFERROR(IF(INDEX('DỮ LIỆU'!$F$3:$F$1052,MATCH($B142,'DỮ LIỆU'!$C$3:$C$1052,0))="","",INDEX('DỮ LIỆU'!$F$3:$F$1052,MATCH($B142,'DỮ LIỆU'!$C$3:$C$1052,0))),""))</f>
        <v/>
      </c>
      <c r="F142" s="21" t="str">
        <f aca="false">IF($B142="","",IFERROR(IF(INDEX('DỮ LIỆU'!$G$3:$G$1052,MATCH($B142,'DỮ LIỆU'!$C$3:$C$1052,0))="","",INDEX('DỮ LIỆU'!$G$3:$G$1052,MATCH($B142,'DỮ LIỆU'!$C$3:$C$1052,0))),""))</f>
        <v/>
      </c>
      <c r="G142" s="13" t="str">
        <f aca="false">IF($B142="","",COUNTIFS('DỮ LIỆU'!$C$3:$C$1052,$B142,'DỮ LIỆU'!$J$3:$J$1052,"&gt;0"))</f>
        <v/>
      </c>
      <c r="H142" s="13" t="str">
        <f aca="false">IF($B142="","",SUMIF('DỮ LIỆU'!$C$3:$C$1052,$B142,'DỮ LIỆU'!$J$3:$J$1052))</f>
        <v/>
      </c>
      <c r="I142" s="13" t="str">
        <f aca="false">IF($B142="","",SUMIF('DỮ LIỆU'!$C$3:$C$1052,$B142,'DỮ LIỆU'!$M$3:$M$1052))</f>
        <v/>
      </c>
      <c r="J142" s="13" t="str">
        <f aca="false">IF($B142="","",SUMIF('DỮ LIỆU'!$C$3:$C$1052,$B142,'DỮ LIỆU'!$N$3:$N$1052))</f>
        <v/>
      </c>
      <c r="K142" s="13" t="str">
        <f aca="false">IF($B142="","",SUMIF('DỮ LIỆU'!$C$3:$C$1052,$B142,'DỮ LIỆU'!$O$3:$O$1052))</f>
        <v/>
      </c>
      <c r="L142" s="13" t="str">
        <f aca="false">IF($B142="","",SUMIF('DỮ LIỆU'!$C$3:$C$1052,$B142,'DỮ LIỆU'!$Q$3:$Q$1052))</f>
        <v/>
      </c>
      <c r="M142" s="41" t="str">
        <f aca="false">IF($B142="","",IF(SUMPRODUCT(MAX(('DỮ LIỆU'!$C$3:$C$1052=$B142)*'DỮ LIỆU'!$Z$3:$Z$1052))=0,"",SUMPRODUCT(MAX(('DỮ LIỆU'!$C$3:$C$1052=$B142)*'DỮ LIỆU'!$Z$3:$Z$1052))))</f>
        <v/>
      </c>
      <c r="N142" s="21" t="str">
        <f aca="false">IF($B142="","",IF($G142=0,"Chưa có đơn",IF(COUNTIFS('DỮ LIỆU'!$C$3:$C$1052,$B142,'DỮ LIỆU'!$K$3:$K$1052,"&gt;0")&gt;0,"Có lấy VAT","Không lấy VAT")))</f>
        <v/>
      </c>
    </row>
    <row r="143" customFormat="false" ht="15" hidden="false" customHeight="false" outlineLevel="0" collapsed="false">
      <c r="A143" s="21" t="str">
        <f aca="false">IF($B143="","",138)</f>
        <v/>
      </c>
      <c r="B143" s="21" t="str">
        <f aca="false">IFERROR(INDEX('DỮ LIỆU'!$C$3:$C$1052,MATCH(138,'DỮ LIỆU'!$W$3:$W$1052,0)),"")</f>
        <v/>
      </c>
      <c r="C143" s="21" t="str">
        <f aca="false">IF($B143="","",IFERROR(IF(INDEX('DỮ LIỆU'!$D$3:$D$1052,MATCH($B143,'DỮ LIỆU'!$C$3:$C$1052,0))="","",INDEX('DỮ LIỆU'!$D$3:$D$1052,MATCH($B143,'DỮ LIỆU'!$C$3:$C$1052,0))),""))</f>
        <v/>
      </c>
      <c r="D143" s="21" t="str">
        <f aca="false">IF($B143="","",IFERROR(IF(INDEX('DỮ LIỆU'!$E$3:$E$1052,MATCH($B143,'DỮ LIỆU'!$C$3:$C$1052,0))="","",INDEX('DỮ LIỆU'!$E$3:$E$1052,MATCH($B143,'DỮ LIỆU'!$C$3:$C$1052,0))),""))</f>
        <v/>
      </c>
      <c r="E143" s="21" t="str">
        <f aca="false">IF($B143="","",IFERROR(IF(INDEX('DỮ LIỆU'!$F$3:$F$1052,MATCH($B143,'DỮ LIỆU'!$C$3:$C$1052,0))="","",INDEX('DỮ LIỆU'!$F$3:$F$1052,MATCH($B143,'DỮ LIỆU'!$C$3:$C$1052,0))),""))</f>
        <v/>
      </c>
      <c r="F143" s="21" t="str">
        <f aca="false">IF($B143="","",IFERROR(IF(INDEX('DỮ LIỆU'!$G$3:$G$1052,MATCH($B143,'DỮ LIỆU'!$C$3:$C$1052,0))="","",INDEX('DỮ LIỆU'!$G$3:$G$1052,MATCH($B143,'DỮ LIỆU'!$C$3:$C$1052,0))),""))</f>
        <v/>
      </c>
      <c r="G143" s="13" t="str">
        <f aca="false">IF($B143="","",COUNTIFS('DỮ LIỆU'!$C$3:$C$1052,$B143,'DỮ LIỆU'!$J$3:$J$1052,"&gt;0"))</f>
        <v/>
      </c>
      <c r="H143" s="13" t="str">
        <f aca="false">IF($B143="","",SUMIF('DỮ LIỆU'!$C$3:$C$1052,$B143,'DỮ LIỆU'!$J$3:$J$1052))</f>
        <v/>
      </c>
      <c r="I143" s="13" t="str">
        <f aca="false">IF($B143="","",SUMIF('DỮ LIỆU'!$C$3:$C$1052,$B143,'DỮ LIỆU'!$M$3:$M$1052))</f>
        <v/>
      </c>
      <c r="J143" s="13" t="str">
        <f aca="false">IF($B143="","",SUMIF('DỮ LIỆU'!$C$3:$C$1052,$B143,'DỮ LIỆU'!$N$3:$N$1052))</f>
        <v/>
      </c>
      <c r="K143" s="13" t="str">
        <f aca="false">IF($B143="","",SUMIF('DỮ LIỆU'!$C$3:$C$1052,$B143,'DỮ LIỆU'!$O$3:$O$1052))</f>
        <v/>
      </c>
      <c r="L143" s="13" t="str">
        <f aca="false">IF($B143="","",SUMIF('DỮ LIỆU'!$C$3:$C$1052,$B143,'DỮ LIỆU'!$Q$3:$Q$1052))</f>
        <v/>
      </c>
      <c r="M143" s="41" t="str">
        <f aca="false">IF($B143="","",IF(SUMPRODUCT(MAX(('DỮ LIỆU'!$C$3:$C$1052=$B143)*'DỮ LIỆU'!$Z$3:$Z$1052))=0,"",SUMPRODUCT(MAX(('DỮ LIỆU'!$C$3:$C$1052=$B143)*'DỮ LIỆU'!$Z$3:$Z$1052))))</f>
        <v/>
      </c>
      <c r="N143" s="21" t="str">
        <f aca="false">IF($B143="","",IF($G143=0,"Chưa có đơn",IF(COUNTIFS('DỮ LIỆU'!$C$3:$C$1052,$B143,'DỮ LIỆU'!$K$3:$K$1052,"&gt;0")&gt;0,"Có lấy VAT","Không lấy VAT")))</f>
        <v/>
      </c>
    </row>
    <row r="144" customFormat="false" ht="15" hidden="false" customHeight="false" outlineLevel="0" collapsed="false">
      <c r="A144" s="21" t="str">
        <f aca="false">IF($B144="","",139)</f>
        <v/>
      </c>
      <c r="B144" s="21" t="str">
        <f aca="false">IFERROR(INDEX('DỮ LIỆU'!$C$3:$C$1052,MATCH(139,'DỮ LIỆU'!$W$3:$W$1052,0)),"")</f>
        <v/>
      </c>
      <c r="C144" s="21" t="str">
        <f aca="false">IF($B144="","",IFERROR(IF(INDEX('DỮ LIỆU'!$D$3:$D$1052,MATCH($B144,'DỮ LIỆU'!$C$3:$C$1052,0))="","",INDEX('DỮ LIỆU'!$D$3:$D$1052,MATCH($B144,'DỮ LIỆU'!$C$3:$C$1052,0))),""))</f>
        <v/>
      </c>
      <c r="D144" s="21" t="str">
        <f aca="false">IF($B144="","",IFERROR(IF(INDEX('DỮ LIỆU'!$E$3:$E$1052,MATCH($B144,'DỮ LIỆU'!$C$3:$C$1052,0))="","",INDEX('DỮ LIỆU'!$E$3:$E$1052,MATCH($B144,'DỮ LIỆU'!$C$3:$C$1052,0))),""))</f>
        <v/>
      </c>
      <c r="E144" s="21" t="str">
        <f aca="false">IF($B144="","",IFERROR(IF(INDEX('DỮ LIỆU'!$F$3:$F$1052,MATCH($B144,'DỮ LIỆU'!$C$3:$C$1052,0))="","",INDEX('DỮ LIỆU'!$F$3:$F$1052,MATCH($B144,'DỮ LIỆU'!$C$3:$C$1052,0))),""))</f>
        <v/>
      </c>
      <c r="F144" s="21" t="str">
        <f aca="false">IF($B144="","",IFERROR(IF(INDEX('DỮ LIỆU'!$G$3:$G$1052,MATCH($B144,'DỮ LIỆU'!$C$3:$C$1052,0))="","",INDEX('DỮ LIỆU'!$G$3:$G$1052,MATCH($B144,'DỮ LIỆU'!$C$3:$C$1052,0))),""))</f>
        <v/>
      </c>
      <c r="G144" s="13" t="str">
        <f aca="false">IF($B144="","",COUNTIFS('DỮ LIỆU'!$C$3:$C$1052,$B144,'DỮ LIỆU'!$J$3:$J$1052,"&gt;0"))</f>
        <v/>
      </c>
      <c r="H144" s="13" t="str">
        <f aca="false">IF($B144="","",SUMIF('DỮ LIỆU'!$C$3:$C$1052,$B144,'DỮ LIỆU'!$J$3:$J$1052))</f>
        <v/>
      </c>
      <c r="I144" s="13" t="str">
        <f aca="false">IF($B144="","",SUMIF('DỮ LIỆU'!$C$3:$C$1052,$B144,'DỮ LIỆU'!$M$3:$M$1052))</f>
        <v/>
      </c>
      <c r="J144" s="13" t="str">
        <f aca="false">IF($B144="","",SUMIF('DỮ LIỆU'!$C$3:$C$1052,$B144,'DỮ LIỆU'!$N$3:$N$1052))</f>
        <v/>
      </c>
      <c r="K144" s="13" t="str">
        <f aca="false">IF($B144="","",SUMIF('DỮ LIỆU'!$C$3:$C$1052,$B144,'DỮ LIỆU'!$O$3:$O$1052))</f>
        <v/>
      </c>
      <c r="L144" s="13" t="str">
        <f aca="false">IF($B144="","",SUMIF('DỮ LIỆU'!$C$3:$C$1052,$B144,'DỮ LIỆU'!$Q$3:$Q$1052))</f>
        <v/>
      </c>
      <c r="M144" s="41" t="str">
        <f aca="false">IF($B144="","",IF(SUMPRODUCT(MAX(('DỮ LIỆU'!$C$3:$C$1052=$B144)*'DỮ LIỆU'!$Z$3:$Z$1052))=0,"",SUMPRODUCT(MAX(('DỮ LIỆU'!$C$3:$C$1052=$B144)*'DỮ LIỆU'!$Z$3:$Z$1052))))</f>
        <v/>
      </c>
      <c r="N144" s="21" t="str">
        <f aca="false">IF($B144="","",IF($G144=0,"Chưa có đơn",IF(COUNTIFS('DỮ LIỆU'!$C$3:$C$1052,$B144,'DỮ LIỆU'!$K$3:$K$1052,"&gt;0")&gt;0,"Có lấy VAT","Không lấy VAT")))</f>
        <v/>
      </c>
    </row>
    <row r="145" customFormat="false" ht="15" hidden="false" customHeight="false" outlineLevel="0" collapsed="false">
      <c r="A145" s="21" t="str">
        <f aca="false">IF($B145="","",140)</f>
        <v/>
      </c>
      <c r="B145" s="21" t="str">
        <f aca="false">IFERROR(INDEX('DỮ LIỆU'!$C$3:$C$1052,MATCH(140,'DỮ LIỆU'!$W$3:$W$1052,0)),"")</f>
        <v/>
      </c>
      <c r="C145" s="21" t="str">
        <f aca="false">IF($B145="","",IFERROR(IF(INDEX('DỮ LIỆU'!$D$3:$D$1052,MATCH($B145,'DỮ LIỆU'!$C$3:$C$1052,0))="","",INDEX('DỮ LIỆU'!$D$3:$D$1052,MATCH($B145,'DỮ LIỆU'!$C$3:$C$1052,0))),""))</f>
        <v/>
      </c>
      <c r="D145" s="21" t="str">
        <f aca="false">IF($B145="","",IFERROR(IF(INDEX('DỮ LIỆU'!$E$3:$E$1052,MATCH($B145,'DỮ LIỆU'!$C$3:$C$1052,0))="","",INDEX('DỮ LIỆU'!$E$3:$E$1052,MATCH($B145,'DỮ LIỆU'!$C$3:$C$1052,0))),""))</f>
        <v/>
      </c>
      <c r="E145" s="21" t="str">
        <f aca="false">IF($B145="","",IFERROR(IF(INDEX('DỮ LIỆU'!$F$3:$F$1052,MATCH($B145,'DỮ LIỆU'!$C$3:$C$1052,0))="","",INDEX('DỮ LIỆU'!$F$3:$F$1052,MATCH($B145,'DỮ LIỆU'!$C$3:$C$1052,0))),""))</f>
        <v/>
      </c>
      <c r="F145" s="21" t="str">
        <f aca="false">IF($B145="","",IFERROR(IF(INDEX('DỮ LIỆU'!$G$3:$G$1052,MATCH($B145,'DỮ LIỆU'!$C$3:$C$1052,0))="","",INDEX('DỮ LIỆU'!$G$3:$G$1052,MATCH($B145,'DỮ LIỆU'!$C$3:$C$1052,0))),""))</f>
        <v/>
      </c>
      <c r="G145" s="13" t="str">
        <f aca="false">IF($B145="","",COUNTIFS('DỮ LIỆU'!$C$3:$C$1052,$B145,'DỮ LIỆU'!$J$3:$J$1052,"&gt;0"))</f>
        <v/>
      </c>
      <c r="H145" s="13" t="str">
        <f aca="false">IF($B145="","",SUMIF('DỮ LIỆU'!$C$3:$C$1052,$B145,'DỮ LIỆU'!$J$3:$J$1052))</f>
        <v/>
      </c>
      <c r="I145" s="13" t="str">
        <f aca="false">IF($B145="","",SUMIF('DỮ LIỆU'!$C$3:$C$1052,$B145,'DỮ LIỆU'!$M$3:$M$1052))</f>
        <v/>
      </c>
      <c r="J145" s="13" t="str">
        <f aca="false">IF($B145="","",SUMIF('DỮ LIỆU'!$C$3:$C$1052,$B145,'DỮ LIỆU'!$N$3:$N$1052))</f>
        <v/>
      </c>
      <c r="K145" s="13" t="str">
        <f aca="false">IF($B145="","",SUMIF('DỮ LIỆU'!$C$3:$C$1052,$B145,'DỮ LIỆU'!$O$3:$O$1052))</f>
        <v/>
      </c>
      <c r="L145" s="13" t="str">
        <f aca="false">IF($B145="","",SUMIF('DỮ LIỆU'!$C$3:$C$1052,$B145,'DỮ LIỆU'!$Q$3:$Q$1052))</f>
        <v/>
      </c>
      <c r="M145" s="41" t="str">
        <f aca="false">IF($B145="","",IF(SUMPRODUCT(MAX(('DỮ LIỆU'!$C$3:$C$1052=$B145)*'DỮ LIỆU'!$Z$3:$Z$1052))=0,"",SUMPRODUCT(MAX(('DỮ LIỆU'!$C$3:$C$1052=$B145)*'DỮ LIỆU'!$Z$3:$Z$1052))))</f>
        <v/>
      </c>
      <c r="N145" s="21" t="str">
        <f aca="false">IF($B145="","",IF($G145=0,"Chưa có đơn",IF(COUNTIFS('DỮ LIỆU'!$C$3:$C$1052,$B145,'DỮ LIỆU'!$K$3:$K$1052,"&gt;0")&gt;0,"Có lấy VAT","Không lấy VAT")))</f>
        <v/>
      </c>
    </row>
    <row r="146" customFormat="false" ht="15" hidden="false" customHeight="false" outlineLevel="0" collapsed="false">
      <c r="A146" s="21" t="str">
        <f aca="false">IF($B146="","",141)</f>
        <v/>
      </c>
      <c r="B146" s="21" t="str">
        <f aca="false">IFERROR(INDEX('DỮ LIỆU'!$C$3:$C$1052,MATCH(141,'DỮ LIỆU'!$W$3:$W$1052,0)),"")</f>
        <v/>
      </c>
      <c r="C146" s="21" t="str">
        <f aca="false">IF($B146="","",IFERROR(IF(INDEX('DỮ LIỆU'!$D$3:$D$1052,MATCH($B146,'DỮ LIỆU'!$C$3:$C$1052,0))="","",INDEX('DỮ LIỆU'!$D$3:$D$1052,MATCH($B146,'DỮ LIỆU'!$C$3:$C$1052,0))),""))</f>
        <v/>
      </c>
      <c r="D146" s="21" t="str">
        <f aca="false">IF($B146="","",IFERROR(IF(INDEX('DỮ LIỆU'!$E$3:$E$1052,MATCH($B146,'DỮ LIỆU'!$C$3:$C$1052,0))="","",INDEX('DỮ LIỆU'!$E$3:$E$1052,MATCH($B146,'DỮ LIỆU'!$C$3:$C$1052,0))),""))</f>
        <v/>
      </c>
      <c r="E146" s="21" t="str">
        <f aca="false">IF($B146="","",IFERROR(IF(INDEX('DỮ LIỆU'!$F$3:$F$1052,MATCH($B146,'DỮ LIỆU'!$C$3:$C$1052,0))="","",INDEX('DỮ LIỆU'!$F$3:$F$1052,MATCH($B146,'DỮ LIỆU'!$C$3:$C$1052,0))),""))</f>
        <v/>
      </c>
      <c r="F146" s="21" t="str">
        <f aca="false">IF($B146="","",IFERROR(IF(INDEX('DỮ LIỆU'!$G$3:$G$1052,MATCH($B146,'DỮ LIỆU'!$C$3:$C$1052,0))="","",INDEX('DỮ LIỆU'!$G$3:$G$1052,MATCH($B146,'DỮ LIỆU'!$C$3:$C$1052,0))),""))</f>
        <v/>
      </c>
      <c r="G146" s="13" t="str">
        <f aca="false">IF($B146="","",COUNTIFS('DỮ LIỆU'!$C$3:$C$1052,$B146,'DỮ LIỆU'!$J$3:$J$1052,"&gt;0"))</f>
        <v/>
      </c>
      <c r="H146" s="13" t="str">
        <f aca="false">IF($B146="","",SUMIF('DỮ LIỆU'!$C$3:$C$1052,$B146,'DỮ LIỆU'!$J$3:$J$1052))</f>
        <v/>
      </c>
      <c r="I146" s="13" t="str">
        <f aca="false">IF($B146="","",SUMIF('DỮ LIỆU'!$C$3:$C$1052,$B146,'DỮ LIỆU'!$M$3:$M$1052))</f>
        <v/>
      </c>
      <c r="J146" s="13" t="str">
        <f aca="false">IF($B146="","",SUMIF('DỮ LIỆU'!$C$3:$C$1052,$B146,'DỮ LIỆU'!$N$3:$N$1052))</f>
        <v/>
      </c>
      <c r="K146" s="13" t="str">
        <f aca="false">IF($B146="","",SUMIF('DỮ LIỆU'!$C$3:$C$1052,$B146,'DỮ LIỆU'!$O$3:$O$1052))</f>
        <v/>
      </c>
      <c r="L146" s="13" t="str">
        <f aca="false">IF($B146="","",SUMIF('DỮ LIỆU'!$C$3:$C$1052,$B146,'DỮ LIỆU'!$Q$3:$Q$1052))</f>
        <v/>
      </c>
      <c r="M146" s="41" t="str">
        <f aca="false">IF($B146="","",IF(SUMPRODUCT(MAX(('DỮ LIỆU'!$C$3:$C$1052=$B146)*'DỮ LIỆU'!$Z$3:$Z$1052))=0,"",SUMPRODUCT(MAX(('DỮ LIỆU'!$C$3:$C$1052=$B146)*'DỮ LIỆU'!$Z$3:$Z$1052))))</f>
        <v/>
      </c>
      <c r="N146" s="21" t="str">
        <f aca="false">IF($B146="","",IF($G146=0,"Chưa có đơn",IF(COUNTIFS('DỮ LIỆU'!$C$3:$C$1052,$B146,'DỮ LIỆU'!$K$3:$K$1052,"&gt;0")&gt;0,"Có lấy VAT","Không lấy VAT")))</f>
        <v/>
      </c>
    </row>
    <row r="147" customFormat="false" ht="15" hidden="false" customHeight="false" outlineLevel="0" collapsed="false">
      <c r="A147" s="21" t="str">
        <f aca="false">IF($B147="","",142)</f>
        <v/>
      </c>
      <c r="B147" s="21" t="str">
        <f aca="false">IFERROR(INDEX('DỮ LIỆU'!$C$3:$C$1052,MATCH(142,'DỮ LIỆU'!$W$3:$W$1052,0)),"")</f>
        <v/>
      </c>
      <c r="C147" s="21" t="str">
        <f aca="false">IF($B147="","",IFERROR(IF(INDEX('DỮ LIỆU'!$D$3:$D$1052,MATCH($B147,'DỮ LIỆU'!$C$3:$C$1052,0))="","",INDEX('DỮ LIỆU'!$D$3:$D$1052,MATCH($B147,'DỮ LIỆU'!$C$3:$C$1052,0))),""))</f>
        <v/>
      </c>
      <c r="D147" s="21" t="str">
        <f aca="false">IF($B147="","",IFERROR(IF(INDEX('DỮ LIỆU'!$E$3:$E$1052,MATCH($B147,'DỮ LIỆU'!$C$3:$C$1052,0))="","",INDEX('DỮ LIỆU'!$E$3:$E$1052,MATCH($B147,'DỮ LIỆU'!$C$3:$C$1052,0))),""))</f>
        <v/>
      </c>
      <c r="E147" s="21" t="str">
        <f aca="false">IF($B147="","",IFERROR(IF(INDEX('DỮ LIỆU'!$F$3:$F$1052,MATCH($B147,'DỮ LIỆU'!$C$3:$C$1052,0))="","",INDEX('DỮ LIỆU'!$F$3:$F$1052,MATCH($B147,'DỮ LIỆU'!$C$3:$C$1052,0))),""))</f>
        <v/>
      </c>
      <c r="F147" s="21" t="str">
        <f aca="false">IF($B147="","",IFERROR(IF(INDEX('DỮ LIỆU'!$G$3:$G$1052,MATCH($B147,'DỮ LIỆU'!$C$3:$C$1052,0))="","",INDEX('DỮ LIỆU'!$G$3:$G$1052,MATCH($B147,'DỮ LIỆU'!$C$3:$C$1052,0))),""))</f>
        <v/>
      </c>
      <c r="G147" s="13" t="str">
        <f aca="false">IF($B147="","",COUNTIFS('DỮ LIỆU'!$C$3:$C$1052,$B147,'DỮ LIỆU'!$J$3:$J$1052,"&gt;0"))</f>
        <v/>
      </c>
      <c r="H147" s="13" t="str">
        <f aca="false">IF($B147="","",SUMIF('DỮ LIỆU'!$C$3:$C$1052,$B147,'DỮ LIỆU'!$J$3:$J$1052))</f>
        <v/>
      </c>
      <c r="I147" s="13" t="str">
        <f aca="false">IF($B147="","",SUMIF('DỮ LIỆU'!$C$3:$C$1052,$B147,'DỮ LIỆU'!$M$3:$M$1052))</f>
        <v/>
      </c>
      <c r="J147" s="13" t="str">
        <f aca="false">IF($B147="","",SUMIF('DỮ LIỆU'!$C$3:$C$1052,$B147,'DỮ LIỆU'!$N$3:$N$1052))</f>
        <v/>
      </c>
      <c r="K147" s="13" t="str">
        <f aca="false">IF($B147="","",SUMIF('DỮ LIỆU'!$C$3:$C$1052,$B147,'DỮ LIỆU'!$O$3:$O$1052))</f>
        <v/>
      </c>
      <c r="L147" s="13" t="str">
        <f aca="false">IF($B147="","",SUMIF('DỮ LIỆU'!$C$3:$C$1052,$B147,'DỮ LIỆU'!$Q$3:$Q$1052))</f>
        <v/>
      </c>
      <c r="M147" s="41" t="str">
        <f aca="false">IF($B147="","",IF(SUMPRODUCT(MAX(('DỮ LIỆU'!$C$3:$C$1052=$B147)*'DỮ LIỆU'!$Z$3:$Z$1052))=0,"",SUMPRODUCT(MAX(('DỮ LIỆU'!$C$3:$C$1052=$B147)*'DỮ LIỆU'!$Z$3:$Z$1052))))</f>
        <v/>
      </c>
      <c r="N147" s="21" t="str">
        <f aca="false">IF($B147="","",IF($G147=0,"Chưa có đơn",IF(COUNTIFS('DỮ LIỆU'!$C$3:$C$1052,$B147,'DỮ LIỆU'!$K$3:$K$1052,"&gt;0")&gt;0,"Có lấy VAT","Không lấy VAT")))</f>
        <v/>
      </c>
    </row>
    <row r="148" customFormat="false" ht="15" hidden="false" customHeight="false" outlineLevel="0" collapsed="false">
      <c r="A148" s="21" t="str">
        <f aca="false">IF($B148="","",143)</f>
        <v/>
      </c>
      <c r="B148" s="21" t="str">
        <f aca="false">IFERROR(INDEX('DỮ LIỆU'!$C$3:$C$1052,MATCH(143,'DỮ LIỆU'!$W$3:$W$1052,0)),"")</f>
        <v/>
      </c>
      <c r="C148" s="21" t="str">
        <f aca="false">IF($B148="","",IFERROR(IF(INDEX('DỮ LIỆU'!$D$3:$D$1052,MATCH($B148,'DỮ LIỆU'!$C$3:$C$1052,0))="","",INDEX('DỮ LIỆU'!$D$3:$D$1052,MATCH($B148,'DỮ LIỆU'!$C$3:$C$1052,0))),""))</f>
        <v/>
      </c>
      <c r="D148" s="21" t="str">
        <f aca="false">IF($B148="","",IFERROR(IF(INDEX('DỮ LIỆU'!$E$3:$E$1052,MATCH($B148,'DỮ LIỆU'!$C$3:$C$1052,0))="","",INDEX('DỮ LIỆU'!$E$3:$E$1052,MATCH($B148,'DỮ LIỆU'!$C$3:$C$1052,0))),""))</f>
        <v/>
      </c>
      <c r="E148" s="21" t="str">
        <f aca="false">IF($B148="","",IFERROR(IF(INDEX('DỮ LIỆU'!$F$3:$F$1052,MATCH($B148,'DỮ LIỆU'!$C$3:$C$1052,0))="","",INDEX('DỮ LIỆU'!$F$3:$F$1052,MATCH($B148,'DỮ LIỆU'!$C$3:$C$1052,0))),""))</f>
        <v/>
      </c>
      <c r="F148" s="21" t="str">
        <f aca="false">IF($B148="","",IFERROR(IF(INDEX('DỮ LIỆU'!$G$3:$G$1052,MATCH($B148,'DỮ LIỆU'!$C$3:$C$1052,0))="","",INDEX('DỮ LIỆU'!$G$3:$G$1052,MATCH($B148,'DỮ LIỆU'!$C$3:$C$1052,0))),""))</f>
        <v/>
      </c>
      <c r="G148" s="13" t="str">
        <f aca="false">IF($B148="","",COUNTIFS('DỮ LIỆU'!$C$3:$C$1052,$B148,'DỮ LIỆU'!$J$3:$J$1052,"&gt;0"))</f>
        <v/>
      </c>
      <c r="H148" s="13" t="str">
        <f aca="false">IF($B148="","",SUMIF('DỮ LIỆU'!$C$3:$C$1052,$B148,'DỮ LIỆU'!$J$3:$J$1052))</f>
        <v/>
      </c>
      <c r="I148" s="13" t="str">
        <f aca="false">IF($B148="","",SUMIF('DỮ LIỆU'!$C$3:$C$1052,$B148,'DỮ LIỆU'!$M$3:$M$1052))</f>
        <v/>
      </c>
      <c r="J148" s="13" t="str">
        <f aca="false">IF($B148="","",SUMIF('DỮ LIỆU'!$C$3:$C$1052,$B148,'DỮ LIỆU'!$N$3:$N$1052))</f>
        <v/>
      </c>
      <c r="K148" s="13" t="str">
        <f aca="false">IF($B148="","",SUMIF('DỮ LIỆU'!$C$3:$C$1052,$B148,'DỮ LIỆU'!$O$3:$O$1052))</f>
        <v/>
      </c>
      <c r="L148" s="13" t="str">
        <f aca="false">IF($B148="","",SUMIF('DỮ LIỆU'!$C$3:$C$1052,$B148,'DỮ LIỆU'!$Q$3:$Q$1052))</f>
        <v/>
      </c>
      <c r="M148" s="41" t="str">
        <f aca="false">IF($B148="","",IF(SUMPRODUCT(MAX(('DỮ LIỆU'!$C$3:$C$1052=$B148)*'DỮ LIỆU'!$Z$3:$Z$1052))=0,"",SUMPRODUCT(MAX(('DỮ LIỆU'!$C$3:$C$1052=$B148)*'DỮ LIỆU'!$Z$3:$Z$1052))))</f>
        <v/>
      </c>
      <c r="N148" s="21" t="str">
        <f aca="false">IF($B148="","",IF($G148=0,"Chưa có đơn",IF(COUNTIFS('DỮ LIỆU'!$C$3:$C$1052,$B148,'DỮ LIỆU'!$K$3:$K$1052,"&gt;0")&gt;0,"Có lấy VAT","Không lấy VAT")))</f>
        <v/>
      </c>
    </row>
    <row r="149" customFormat="false" ht="15" hidden="false" customHeight="false" outlineLevel="0" collapsed="false">
      <c r="A149" s="21" t="str">
        <f aca="false">IF($B149="","",144)</f>
        <v/>
      </c>
      <c r="B149" s="21" t="str">
        <f aca="false">IFERROR(INDEX('DỮ LIỆU'!$C$3:$C$1052,MATCH(144,'DỮ LIỆU'!$W$3:$W$1052,0)),"")</f>
        <v/>
      </c>
      <c r="C149" s="21" t="str">
        <f aca="false">IF($B149="","",IFERROR(IF(INDEX('DỮ LIỆU'!$D$3:$D$1052,MATCH($B149,'DỮ LIỆU'!$C$3:$C$1052,0))="","",INDEX('DỮ LIỆU'!$D$3:$D$1052,MATCH($B149,'DỮ LIỆU'!$C$3:$C$1052,0))),""))</f>
        <v/>
      </c>
      <c r="D149" s="21" t="str">
        <f aca="false">IF($B149="","",IFERROR(IF(INDEX('DỮ LIỆU'!$E$3:$E$1052,MATCH($B149,'DỮ LIỆU'!$C$3:$C$1052,0))="","",INDEX('DỮ LIỆU'!$E$3:$E$1052,MATCH($B149,'DỮ LIỆU'!$C$3:$C$1052,0))),""))</f>
        <v/>
      </c>
      <c r="E149" s="21" t="str">
        <f aca="false">IF($B149="","",IFERROR(IF(INDEX('DỮ LIỆU'!$F$3:$F$1052,MATCH($B149,'DỮ LIỆU'!$C$3:$C$1052,0))="","",INDEX('DỮ LIỆU'!$F$3:$F$1052,MATCH($B149,'DỮ LIỆU'!$C$3:$C$1052,0))),""))</f>
        <v/>
      </c>
      <c r="F149" s="21" t="str">
        <f aca="false">IF($B149="","",IFERROR(IF(INDEX('DỮ LIỆU'!$G$3:$G$1052,MATCH($B149,'DỮ LIỆU'!$C$3:$C$1052,0))="","",INDEX('DỮ LIỆU'!$G$3:$G$1052,MATCH($B149,'DỮ LIỆU'!$C$3:$C$1052,0))),""))</f>
        <v/>
      </c>
      <c r="G149" s="13" t="str">
        <f aca="false">IF($B149="","",COUNTIFS('DỮ LIỆU'!$C$3:$C$1052,$B149,'DỮ LIỆU'!$J$3:$J$1052,"&gt;0"))</f>
        <v/>
      </c>
      <c r="H149" s="13" t="str">
        <f aca="false">IF($B149="","",SUMIF('DỮ LIỆU'!$C$3:$C$1052,$B149,'DỮ LIỆU'!$J$3:$J$1052))</f>
        <v/>
      </c>
      <c r="I149" s="13" t="str">
        <f aca="false">IF($B149="","",SUMIF('DỮ LIỆU'!$C$3:$C$1052,$B149,'DỮ LIỆU'!$M$3:$M$1052))</f>
        <v/>
      </c>
      <c r="J149" s="13" t="str">
        <f aca="false">IF($B149="","",SUMIF('DỮ LIỆU'!$C$3:$C$1052,$B149,'DỮ LIỆU'!$N$3:$N$1052))</f>
        <v/>
      </c>
      <c r="K149" s="13" t="str">
        <f aca="false">IF($B149="","",SUMIF('DỮ LIỆU'!$C$3:$C$1052,$B149,'DỮ LIỆU'!$O$3:$O$1052))</f>
        <v/>
      </c>
      <c r="L149" s="13" t="str">
        <f aca="false">IF($B149="","",SUMIF('DỮ LIỆU'!$C$3:$C$1052,$B149,'DỮ LIỆU'!$Q$3:$Q$1052))</f>
        <v/>
      </c>
      <c r="M149" s="41" t="str">
        <f aca="false">IF($B149="","",IF(SUMPRODUCT(MAX(('DỮ LIỆU'!$C$3:$C$1052=$B149)*'DỮ LIỆU'!$Z$3:$Z$1052))=0,"",SUMPRODUCT(MAX(('DỮ LIỆU'!$C$3:$C$1052=$B149)*'DỮ LIỆU'!$Z$3:$Z$1052))))</f>
        <v/>
      </c>
      <c r="N149" s="21" t="str">
        <f aca="false">IF($B149="","",IF($G149=0,"Chưa có đơn",IF(COUNTIFS('DỮ LIỆU'!$C$3:$C$1052,$B149,'DỮ LIỆU'!$K$3:$K$1052,"&gt;0")&gt;0,"Có lấy VAT","Không lấy VAT")))</f>
        <v/>
      </c>
    </row>
    <row r="150" customFormat="false" ht="15" hidden="false" customHeight="false" outlineLevel="0" collapsed="false">
      <c r="A150" s="21" t="str">
        <f aca="false">IF($B150="","",145)</f>
        <v/>
      </c>
      <c r="B150" s="21" t="str">
        <f aca="false">IFERROR(INDEX('DỮ LIỆU'!$C$3:$C$1052,MATCH(145,'DỮ LIỆU'!$W$3:$W$1052,0)),"")</f>
        <v/>
      </c>
      <c r="C150" s="21" t="str">
        <f aca="false">IF($B150="","",IFERROR(IF(INDEX('DỮ LIỆU'!$D$3:$D$1052,MATCH($B150,'DỮ LIỆU'!$C$3:$C$1052,0))="","",INDEX('DỮ LIỆU'!$D$3:$D$1052,MATCH($B150,'DỮ LIỆU'!$C$3:$C$1052,0))),""))</f>
        <v/>
      </c>
      <c r="D150" s="21" t="str">
        <f aca="false">IF($B150="","",IFERROR(IF(INDEX('DỮ LIỆU'!$E$3:$E$1052,MATCH($B150,'DỮ LIỆU'!$C$3:$C$1052,0))="","",INDEX('DỮ LIỆU'!$E$3:$E$1052,MATCH($B150,'DỮ LIỆU'!$C$3:$C$1052,0))),""))</f>
        <v/>
      </c>
      <c r="E150" s="21" t="str">
        <f aca="false">IF($B150="","",IFERROR(IF(INDEX('DỮ LIỆU'!$F$3:$F$1052,MATCH($B150,'DỮ LIỆU'!$C$3:$C$1052,0))="","",INDEX('DỮ LIỆU'!$F$3:$F$1052,MATCH($B150,'DỮ LIỆU'!$C$3:$C$1052,0))),""))</f>
        <v/>
      </c>
      <c r="F150" s="21" t="str">
        <f aca="false">IF($B150="","",IFERROR(IF(INDEX('DỮ LIỆU'!$G$3:$G$1052,MATCH($B150,'DỮ LIỆU'!$C$3:$C$1052,0))="","",INDEX('DỮ LIỆU'!$G$3:$G$1052,MATCH($B150,'DỮ LIỆU'!$C$3:$C$1052,0))),""))</f>
        <v/>
      </c>
      <c r="G150" s="13" t="str">
        <f aca="false">IF($B150="","",COUNTIFS('DỮ LIỆU'!$C$3:$C$1052,$B150,'DỮ LIỆU'!$J$3:$J$1052,"&gt;0"))</f>
        <v/>
      </c>
      <c r="H150" s="13" t="str">
        <f aca="false">IF($B150="","",SUMIF('DỮ LIỆU'!$C$3:$C$1052,$B150,'DỮ LIỆU'!$J$3:$J$1052))</f>
        <v/>
      </c>
      <c r="I150" s="13" t="str">
        <f aca="false">IF($B150="","",SUMIF('DỮ LIỆU'!$C$3:$C$1052,$B150,'DỮ LIỆU'!$M$3:$M$1052))</f>
        <v/>
      </c>
      <c r="J150" s="13" t="str">
        <f aca="false">IF($B150="","",SUMIF('DỮ LIỆU'!$C$3:$C$1052,$B150,'DỮ LIỆU'!$N$3:$N$1052))</f>
        <v/>
      </c>
      <c r="K150" s="13" t="str">
        <f aca="false">IF($B150="","",SUMIF('DỮ LIỆU'!$C$3:$C$1052,$B150,'DỮ LIỆU'!$O$3:$O$1052))</f>
        <v/>
      </c>
      <c r="L150" s="13" t="str">
        <f aca="false">IF($B150="","",SUMIF('DỮ LIỆU'!$C$3:$C$1052,$B150,'DỮ LIỆU'!$Q$3:$Q$1052))</f>
        <v/>
      </c>
      <c r="M150" s="41" t="str">
        <f aca="false">IF($B150="","",IF(SUMPRODUCT(MAX(('DỮ LIỆU'!$C$3:$C$1052=$B150)*'DỮ LIỆU'!$Z$3:$Z$1052))=0,"",SUMPRODUCT(MAX(('DỮ LIỆU'!$C$3:$C$1052=$B150)*'DỮ LIỆU'!$Z$3:$Z$1052))))</f>
        <v/>
      </c>
      <c r="N150" s="21" t="str">
        <f aca="false">IF($B150="","",IF($G150=0,"Chưa có đơn",IF(COUNTIFS('DỮ LIỆU'!$C$3:$C$1052,$B150,'DỮ LIỆU'!$K$3:$K$1052,"&gt;0")&gt;0,"Có lấy VAT","Không lấy VAT")))</f>
        <v/>
      </c>
    </row>
    <row r="151" customFormat="false" ht="15" hidden="false" customHeight="false" outlineLevel="0" collapsed="false">
      <c r="A151" s="21" t="str">
        <f aca="false">IF($B151="","",146)</f>
        <v/>
      </c>
      <c r="B151" s="21" t="str">
        <f aca="false">IFERROR(INDEX('DỮ LIỆU'!$C$3:$C$1052,MATCH(146,'DỮ LIỆU'!$W$3:$W$1052,0)),"")</f>
        <v/>
      </c>
      <c r="C151" s="21" t="str">
        <f aca="false">IF($B151="","",IFERROR(IF(INDEX('DỮ LIỆU'!$D$3:$D$1052,MATCH($B151,'DỮ LIỆU'!$C$3:$C$1052,0))="","",INDEX('DỮ LIỆU'!$D$3:$D$1052,MATCH($B151,'DỮ LIỆU'!$C$3:$C$1052,0))),""))</f>
        <v/>
      </c>
      <c r="D151" s="21" t="str">
        <f aca="false">IF($B151="","",IFERROR(IF(INDEX('DỮ LIỆU'!$E$3:$E$1052,MATCH($B151,'DỮ LIỆU'!$C$3:$C$1052,0))="","",INDEX('DỮ LIỆU'!$E$3:$E$1052,MATCH($B151,'DỮ LIỆU'!$C$3:$C$1052,0))),""))</f>
        <v/>
      </c>
      <c r="E151" s="21" t="str">
        <f aca="false">IF($B151="","",IFERROR(IF(INDEX('DỮ LIỆU'!$F$3:$F$1052,MATCH($B151,'DỮ LIỆU'!$C$3:$C$1052,0))="","",INDEX('DỮ LIỆU'!$F$3:$F$1052,MATCH($B151,'DỮ LIỆU'!$C$3:$C$1052,0))),""))</f>
        <v/>
      </c>
      <c r="F151" s="21" t="str">
        <f aca="false">IF($B151="","",IFERROR(IF(INDEX('DỮ LIỆU'!$G$3:$G$1052,MATCH($B151,'DỮ LIỆU'!$C$3:$C$1052,0))="","",INDEX('DỮ LIỆU'!$G$3:$G$1052,MATCH($B151,'DỮ LIỆU'!$C$3:$C$1052,0))),""))</f>
        <v/>
      </c>
      <c r="G151" s="13" t="str">
        <f aca="false">IF($B151="","",COUNTIFS('DỮ LIỆU'!$C$3:$C$1052,$B151,'DỮ LIỆU'!$J$3:$J$1052,"&gt;0"))</f>
        <v/>
      </c>
      <c r="H151" s="13" t="str">
        <f aca="false">IF($B151="","",SUMIF('DỮ LIỆU'!$C$3:$C$1052,$B151,'DỮ LIỆU'!$J$3:$J$1052))</f>
        <v/>
      </c>
      <c r="I151" s="13" t="str">
        <f aca="false">IF($B151="","",SUMIF('DỮ LIỆU'!$C$3:$C$1052,$B151,'DỮ LIỆU'!$M$3:$M$1052))</f>
        <v/>
      </c>
      <c r="J151" s="13" t="str">
        <f aca="false">IF($B151="","",SUMIF('DỮ LIỆU'!$C$3:$C$1052,$B151,'DỮ LIỆU'!$N$3:$N$1052))</f>
        <v/>
      </c>
      <c r="K151" s="13" t="str">
        <f aca="false">IF($B151="","",SUMIF('DỮ LIỆU'!$C$3:$C$1052,$B151,'DỮ LIỆU'!$O$3:$O$1052))</f>
        <v/>
      </c>
      <c r="L151" s="13" t="str">
        <f aca="false">IF($B151="","",SUMIF('DỮ LIỆU'!$C$3:$C$1052,$B151,'DỮ LIỆU'!$Q$3:$Q$1052))</f>
        <v/>
      </c>
      <c r="M151" s="41" t="str">
        <f aca="false">IF($B151="","",IF(SUMPRODUCT(MAX(('DỮ LIỆU'!$C$3:$C$1052=$B151)*'DỮ LIỆU'!$Z$3:$Z$1052))=0,"",SUMPRODUCT(MAX(('DỮ LIỆU'!$C$3:$C$1052=$B151)*'DỮ LIỆU'!$Z$3:$Z$1052))))</f>
        <v/>
      </c>
      <c r="N151" s="21" t="str">
        <f aca="false">IF($B151="","",IF($G151=0,"Chưa có đơn",IF(COUNTIFS('DỮ LIỆU'!$C$3:$C$1052,$B151,'DỮ LIỆU'!$K$3:$K$1052,"&gt;0")&gt;0,"Có lấy VAT","Không lấy VAT")))</f>
        <v/>
      </c>
    </row>
    <row r="152" customFormat="false" ht="15" hidden="false" customHeight="false" outlineLevel="0" collapsed="false">
      <c r="A152" s="21" t="str">
        <f aca="false">IF($B152="","",147)</f>
        <v/>
      </c>
      <c r="B152" s="21" t="str">
        <f aca="false">IFERROR(INDEX('DỮ LIỆU'!$C$3:$C$1052,MATCH(147,'DỮ LIỆU'!$W$3:$W$1052,0)),"")</f>
        <v/>
      </c>
      <c r="C152" s="21" t="str">
        <f aca="false">IF($B152="","",IFERROR(IF(INDEX('DỮ LIỆU'!$D$3:$D$1052,MATCH($B152,'DỮ LIỆU'!$C$3:$C$1052,0))="","",INDEX('DỮ LIỆU'!$D$3:$D$1052,MATCH($B152,'DỮ LIỆU'!$C$3:$C$1052,0))),""))</f>
        <v/>
      </c>
      <c r="D152" s="21" t="str">
        <f aca="false">IF($B152="","",IFERROR(IF(INDEX('DỮ LIỆU'!$E$3:$E$1052,MATCH($B152,'DỮ LIỆU'!$C$3:$C$1052,0))="","",INDEX('DỮ LIỆU'!$E$3:$E$1052,MATCH($B152,'DỮ LIỆU'!$C$3:$C$1052,0))),""))</f>
        <v/>
      </c>
      <c r="E152" s="21" t="str">
        <f aca="false">IF($B152="","",IFERROR(IF(INDEX('DỮ LIỆU'!$F$3:$F$1052,MATCH($B152,'DỮ LIỆU'!$C$3:$C$1052,0))="","",INDEX('DỮ LIỆU'!$F$3:$F$1052,MATCH($B152,'DỮ LIỆU'!$C$3:$C$1052,0))),""))</f>
        <v/>
      </c>
      <c r="F152" s="21" t="str">
        <f aca="false">IF($B152="","",IFERROR(IF(INDEX('DỮ LIỆU'!$G$3:$G$1052,MATCH($B152,'DỮ LIỆU'!$C$3:$C$1052,0))="","",INDEX('DỮ LIỆU'!$G$3:$G$1052,MATCH($B152,'DỮ LIỆU'!$C$3:$C$1052,0))),""))</f>
        <v/>
      </c>
      <c r="G152" s="13" t="str">
        <f aca="false">IF($B152="","",COUNTIFS('DỮ LIỆU'!$C$3:$C$1052,$B152,'DỮ LIỆU'!$J$3:$J$1052,"&gt;0"))</f>
        <v/>
      </c>
      <c r="H152" s="13" t="str">
        <f aca="false">IF($B152="","",SUMIF('DỮ LIỆU'!$C$3:$C$1052,$B152,'DỮ LIỆU'!$J$3:$J$1052))</f>
        <v/>
      </c>
      <c r="I152" s="13" t="str">
        <f aca="false">IF($B152="","",SUMIF('DỮ LIỆU'!$C$3:$C$1052,$B152,'DỮ LIỆU'!$M$3:$M$1052))</f>
        <v/>
      </c>
      <c r="J152" s="13" t="str">
        <f aca="false">IF($B152="","",SUMIF('DỮ LIỆU'!$C$3:$C$1052,$B152,'DỮ LIỆU'!$N$3:$N$1052))</f>
        <v/>
      </c>
      <c r="K152" s="13" t="str">
        <f aca="false">IF($B152="","",SUMIF('DỮ LIỆU'!$C$3:$C$1052,$B152,'DỮ LIỆU'!$O$3:$O$1052))</f>
        <v/>
      </c>
      <c r="L152" s="13" t="str">
        <f aca="false">IF($B152="","",SUMIF('DỮ LIỆU'!$C$3:$C$1052,$B152,'DỮ LIỆU'!$Q$3:$Q$1052))</f>
        <v/>
      </c>
      <c r="M152" s="41" t="str">
        <f aca="false">IF($B152="","",IF(SUMPRODUCT(MAX(('DỮ LIỆU'!$C$3:$C$1052=$B152)*'DỮ LIỆU'!$Z$3:$Z$1052))=0,"",SUMPRODUCT(MAX(('DỮ LIỆU'!$C$3:$C$1052=$B152)*'DỮ LIỆU'!$Z$3:$Z$1052))))</f>
        <v/>
      </c>
      <c r="N152" s="21" t="str">
        <f aca="false">IF($B152="","",IF($G152=0,"Chưa có đơn",IF(COUNTIFS('DỮ LIỆU'!$C$3:$C$1052,$B152,'DỮ LIỆU'!$K$3:$K$1052,"&gt;0")&gt;0,"Có lấy VAT","Không lấy VAT")))</f>
        <v/>
      </c>
    </row>
    <row r="153" customFormat="false" ht="15" hidden="false" customHeight="false" outlineLevel="0" collapsed="false">
      <c r="A153" s="21" t="str">
        <f aca="false">IF($B153="","",148)</f>
        <v/>
      </c>
      <c r="B153" s="21" t="str">
        <f aca="false">IFERROR(INDEX('DỮ LIỆU'!$C$3:$C$1052,MATCH(148,'DỮ LIỆU'!$W$3:$W$1052,0)),"")</f>
        <v/>
      </c>
      <c r="C153" s="21" t="str">
        <f aca="false">IF($B153="","",IFERROR(IF(INDEX('DỮ LIỆU'!$D$3:$D$1052,MATCH($B153,'DỮ LIỆU'!$C$3:$C$1052,0))="","",INDEX('DỮ LIỆU'!$D$3:$D$1052,MATCH($B153,'DỮ LIỆU'!$C$3:$C$1052,0))),""))</f>
        <v/>
      </c>
      <c r="D153" s="21" t="str">
        <f aca="false">IF($B153="","",IFERROR(IF(INDEX('DỮ LIỆU'!$E$3:$E$1052,MATCH($B153,'DỮ LIỆU'!$C$3:$C$1052,0))="","",INDEX('DỮ LIỆU'!$E$3:$E$1052,MATCH($B153,'DỮ LIỆU'!$C$3:$C$1052,0))),""))</f>
        <v/>
      </c>
      <c r="E153" s="21" t="str">
        <f aca="false">IF($B153="","",IFERROR(IF(INDEX('DỮ LIỆU'!$F$3:$F$1052,MATCH($B153,'DỮ LIỆU'!$C$3:$C$1052,0))="","",INDEX('DỮ LIỆU'!$F$3:$F$1052,MATCH($B153,'DỮ LIỆU'!$C$3:$C$1052,0))),""))</f>
        <v/>
      </c>
      <c r="F153" s="21" t="str">
        <f aca="false">IF($B153="","",IFERROR(IF(INDEX('DỮ LIỆU'!$G$3:$G$1052,MATCH($B153,'DỮ LIỆU'!$C$3:$C$1052,0))="","",INDEX('DỮ LIỆU'!$G$3:$G$1052,MATCH($B153,'DỮ LIỆU'!$C$3:$C$1052,0))),""))</f>
        <v/>
      </c>
      <c r="G153" s="13" t="str">
        <f aca="false">IF($B153="","",COUNTIFS('DỮ LIỆU'!$C$3:$C$1052,$B153,'DỮ LIỆU'!$J$3:$J$1052,"&gt;0"))</f>
        <v/>
      </c>
      <c r="H153" s="13" t="str">
        <f aca="false">IF($B153="","",SUMIF('DỮ LIỆU'!$C$3:$C$1052,$B153,'DỮ LIỆU'!$J$3:$J$1052))</f>
        <v/>
      </c>
      <c r="I153" s="13" t="str">
        <f aca="false">IF($B153="","",SUMIF('DỮ LIỆU'!$C$3:$C$1052,$B153,'DỮ LIỆU'!$M$3:$M$1052))</f>
        <v/>
      </c>
      <c r="J153" s="13" t="str">
        <f aca="false">IF($B153="","",SUMIF('DỮ LIỆU'!$C$3:$C$1052,$B153,'DỮ LIỆU'!$N$3:$N$1052))</f>
        <v/>
      </c>
      <c r="K153" s="13" t="str">
        <f aca="false">IF($B153="","",SUMIF('DỮ LIỆU'!$C$3:$C$1052,$B153,'DỮ LIỆU'!$O$3:$O$1052))</f>
        <v/>
      </c>
      <c r="L153" s="13" t="str">
        <f aca="false">IF($B153="","",SUMIF('DỮ LIỆU'!$C$3:$C$1052,$B153,'DỮ LIỆU'!$Q$3:$Q$1052))</f>
        <v/>
      </c>
      <c r="M153" s="41" t="str">
        <f aca="false">IF($B153="","",IF(SUMPRODUCT(MAX(('DỮ LIỆU'!$C$3:$C$1052=$B153)*'DỮ LIỆU'!$Z$3:$Z$1052))=0,"",SUMPRODUCT(MAX(('DỮ LIỆU'!$C$3:$C$1052=$B153)*'DỮ LIỆU'!$Z$3:$Z$1052))))</f>
        <v/>
      </c>
      <c r="N153" s="21" t="str">
        <f aca="false">IF($B153="","",IF($G153=0,"Chưa có đơn",IF(COUNTIFS('DỮ LIỆU'!$C$3:$C$1052,$B153,'DỮ LIỆU'!$K$3:$K$1052,"&gt;0")&gt;0,"Có lấy VAT","Không lấy VAT")))</f>
        <v/>
      </c>
    </row>
    <row r="154" customFormat="false" ht="15" hidden="false" customHeight="false" outlineLevel="0" collapsed="false">
      <c r="A154" s="21" t="str">
        <f aca="false">IF($B154="","",149)</f>
        <v/>
      </c>
      <c r="B154" s="21" t="str">
        <f aca="false">IFERROR(INDEX('DỮ LIỆU'!$C$3:$C$1052,MATCH(149,'DỮ LIỆU'!$W$3:$W$1052,0)),"")</f>
        <v/>
      </c>
      <c r="C154" s="21" t="str">
        <f aca="false">IF($B154="","",IFERROR(IF(INDEX('DỮ LIỆU'!$D$3:$D$1052,MATCH($B154,'DỮ LIỆU'!$C$3:$C$1052,0))="","",INDEX('DỮ LIỆU'!$D$3:$D$1052,MATCH($B154,'DỮ LIỆU'!$C$3:$C$1052,0))),""))</f>
        <v/>
      </c>
      <c r="D154" s="21" t="str">
        <f aca="false">IF($B154="","",IFERROR(IF(INDEX('DỮ LIỆU'!$E$3:$E$1052,MATCH($B154,'DỮ LIỆU'!$C$3:$C$1052,0))="","",INDEX('DỮ LIỆU'!$E$3:$E$1052,MATCH($B154,'DỮ LIỆU'!$C$3:$C$1052,0))),""))</f>
        <v/>
      </c>
      <c r="E154" s="21" t="str">
        <f aca="false">IF($B154="","",IFERROR(IF(INDEX('DỮ LIỆU'!$F$3:$F$1052,MATCH($B154,'DỮ LIỆU'!$C$3:$C$1052,0))="","",INDEX('DỮ LIỆU'!$F$3:$F$1052,MATCH($B154,'DỮ LIỆU'!$C$3:$C$1052,0))),""))</f>
        <v/>
      </c>
      <c r="F154" s="21" t="str">
        <f aca="false">IF($B154="","",IFERROR(IF(INDEX('DỮ LIỆU'!$G$3:$G$1052,MATCH($B154,'DỮ LIỆU'!$C$3:$C$1052,0))="","",INDEX('DỮ LIỆU'!$G$3:$G$1052,MATCH($B154,'DỮ LIỆU'!$C$3:$C$1052,0))),""))</f>
        <v/>
      </c>
      <c r="G154" s="13" t="str">
        <f aca="false">IF($B154="","",COUNTIFS('DỮ LIỆU'!$C$3:$C$1052,$B154,'DỮ LIỆU'!$J$3:$J$1052,"&gt;0"))</f>
        <v/>
      </c>
      <c r="H154" s="13" t="str">
        <f aca="false">IF($B154="","",SUMIF('DỮ LIỆU'!$C$3:$C$1052,$B154,'DỮ LIỆU'!$J$3:$J$1052))</f>
        <v/>
      </c>
      <c r="I154" s="13" t="str">
        <f aca="false">IF($B154="","",SUMIF('DỮ LIỆU'!$C$3:$C$1052,$B154,'DỮ LIỆU'!$M$3:$M$1052))</f>
        <v/>
      </c>
      <c r="J154" s="13" t="str">
        <f aca="false">IF($B154="","",SUMIF('DỮ LIỆU'!$C$3:$C$1052,$B154,'DỮ LIỆU'!$N$3:$N$1052))</f>
        <v/>
      </c>
      <c r="K154" s="13" t="str">
        <f aca="false">IF($B154="","",SUMIF('DỮ LIỆU'!$C$3:$C$1052,$B154,'DỮ LIỆU'!$O$3:$O$1052))</f>
        <v/>
      </c>
      <c r="L154" s="13" t="str">
        <f aca="false">IF($B154="","",SUMIF('DỮ LIỆU'!$C$3:$C$1052,$B154,'DỮ LIỆU'!$Q$3:$Q$1052))</f>
        <v/>
      </c>
      <c r="M154" s="41" t="str">
        <f aca="false">IF($B154="","",IF(SUMPRODUCT(MAX(('DỮ LIỆU'!$C$3:$C$1052=$B154)*'DỮ LIỆU'!$Z$3:$Z$1052))=0,"",SUMPRODUCT(MAX(('DỮ LIỆU'!$C$3:$C$1052=$B154)*'DỮ LIỆU'!$Z$3:$Z$1052))))</f>
        <v/>
      </c>
      <c r="N154" s="21" t="str">
        <f aca="false">IF($B154="","",IF($G154=0,"Chưa có đơn",IF(COUNTIFS('DỮ LIỆU'!$C$3:$C$1052,$B154,'DỮ LIỆU'!$K$3:$K$1052,"&gt;0")&gt;0,"Có lấy VAT","Không lấy VAT")))</f>
        <v/>
      </c>
    </row>
    <row r="155" customFormat="false" ht="15" hidden="false" customHeight="false" outlineLevel="0" collapsed="false">
      <c r="A155" s="21" t="str">
        <f aca="false">IF($B155="","",150)</f>
        <v/>
      </c>
      <c r="B155" s="21" t="str">
        <f aca="false">IFERROR(INDEX('DỮ LIỆU'!$C$3:$C$1052,MATCH(150,'DỮ LIỆU'!$W$3:$W$1052,0)),"")</f>
        <v/>
      </c>
      <c r="C155" s="21" t="str">
        <f aca="false">IF($B155="","",IFERROR(IF(INDEX('DỮ LIỆU'!$D$3:$D$1052,MATCH($B155,'DỮ LIỆU'!$C$3:$C$1052,0))="","",INDEX('DỮ LIỆU'!$D$3:$D$1052,MATCH($B155,'DỮ LIỆU'!$C$3:$C$1052,0))),""))</f>
        <v/>
      </c>
      <c r="D155" s="21" t="str">
        <f aca="false">IF($B155="","",IFERROR(IF(INDEX('DỮ LIỆU'!$E$3:$E$1052,MATCH($B155,'DỮ LIỆU'!$C$3:$C$1052,0))="","",INDEX('DỮ LIỆU'!$E$3:$E$1052,MATCH($B155,'DỮ LIỆU'!$C$3:$C$1052,0))),""))</f>
        <v/>
      </c>
      <c r="E155" s="21" t="str">
        <f aca="false">IF($B155="","",IFERROR(IF(INDEX('DỮ LIỆU'!$F$3:$F$1052,MATCH($B155,'DỮ LIỆU'!$C$3:$C$1052,0))="","",INDEX('DỮ LIỆU'!$F$3:$F$1052,MATCH($B155,'DỮ LIỆU'!$C$3:$C$1052,0))),""))</f>
        <v/>
      </c>
      <c r="F155" s="21" t="str">
        <f aca="false">IF($B155="","",IFERROR(IF(INDEX('DỮ LIỆU'!$G$3:$G$1052,MATCH($B155,'DỮ LIỆU'!$C$3:$C$1052,0))="","",INDEX('DỮ LIỆU'!$G$3:$G$1052,MATCH($B155,'DỮ LIỆU'!$C$3:$C$1052,0))),""))</f>
        <v/>
      </c>
      <c r="G155" s="13" t="str">
        <f aca="false">IF($B155="","",COUNTIFS('DỮ LIỆU'!$C$3:$C$1052,$B155,'DỮ LIỆU'!$J$3:$J$1052,"&gt;0"))</f>
        <v/>
      </c>
      <c r="H155" s="13" t="str">
        <f aca="false">IF($B155="","",SUMIF('DỮ LIỆU'!$C$3:$C$1052,$B155,'DỮ LIỆU'!$J$3:$J$1052))</f>
        <v/>
      </c>
      <c r="I155" s="13" t="str">
        <f aca="false">IF($B155="","",SUMIF('DỮ LIỆU'!$C$3:$C$1052,$B155,'DỮ LIỆU'!$M$3:$M$1052))</f>
        <v/>
      </c>
      <c r="J155" s="13" t="str">
        <f aca="false">IF($B155="","",SUMIF('DỮ LIỆU'!$C$3:$C$1052,$B155,'DỮ LIỆU'!$N$3:$N$1052))</f>
        <v/>
      </c>
      <c r="K155" s="13" t="str">
        <f aca="false">IF($B155="","",SUMIF('DỮ LIỆU'!$C$3:$C$1052,$B155,'DỮ LIỆU'!$O$3:$O$1052))</f>
        <v/>
      </c>
      <c r="L155" s="13" t="str">
        <f aca="false">IF($B155="","",SUMIF('DỮ LIỆU'!$C$3:$C$1052,$B155,'DỮ LIỆU'!$Q$3:$Q$1052))</f>
        <v/>
      </c>
      <c r="M155" s="41" t="str">
        <f aca="false">IF($B155="","",IF(SUMPRODUCT(MAX(('DỮ LIỆU'!$C$3:$C$1052=$B155)*'DỮ LIỆU'!$Z$3:$Z$1052))=0,"",SUMPRODUCT(MAX(('DỮ LIỆU'!$C$3:$C$1052=$B155)*'DỮ LIỆU'!$Z$3:$Z$1052))))</f>
        <v/>
      </c>
      <c r="N155" s="21" t="str">
        <f aca="false">IF($B155="","",IF($G155=0,"Chưa có đơn",IF(COUNTIFS('DỮ LIỆU'!$C$3:$C$1052,$B155,'DỮ LIỆU'!$K$3:$K$1052,"&gt;0")&gt;0,"Có lấy VAT","Không lấy VAT")))</f>
        <v/>
      </c>
    </row>
    <row r="156" customFormat="false" ht="15" hidden="false" customHeight="false" outlineLevel="0" collapsed="false">
      <c r="A156" s="21" t="str">
        <f aca="false">IF($B156="","",151)</f>
        <v/>
      </c>
      <c r="B156" s="21" t="str">
        <f aca="false">IFERROR(INDEX('DỮ LIỆU'!$C$3:$C$1052,MATCH(151,'DỮ LIỆU'!$W$3:$W$1052,0)),"")</f>
        <v/>
      </c>
      <c r="C156" s="21" t="str">
        <f aca="false">IF($B156="","",IFERROR(IF(INDEX('DỮ LIỆU'!$D$3:$D$1052,MATCH($B156,'DỮ LIỆU'!$C$3:$C$1052,0))="","",INDEX('DỮ LIỆU'!$D$3:$D$1052,MATCH($B156,'DỮ LIỆU'!$C$3:$C$1052,0))),""))</f>
        <v/>
      </c>
      <c r="D156" s="21" t="str">
        <f aca="false">IF($B156="","",IFERROR(IF(INDEX('DỮ LIỆU'!$E$3:$E$1052,MATCH($B156,'DỮ LIỆU'!$C$3:$C$1052,0))="","",INDEX('DỮ LIỆU'!$E$3:$E$1052,MATCH($B156,'DỮ LIỆU'!$C$3:$C$1052,0))),""))</f>
        <v/>
      </c>
      <c r="E156" s="21" t="str">
        <f aca="false">IF($B156="","",IFERROR(IF(INDEX('DỮ LIỆU'!$F$3:$F$1052,MATCH($B156,'DỮ LIỆU'!$C$3:$C$1052,0))="","",INDEX('DỮ LIỆU'!$F$3:$F$1052,MATCH($B156,'DỮ LIỆU'!$C$3:$C$1052,0))),""))</f>
        <v/>
      </c>
      <c r="F156" s="21" t="str">
        <f aca="false">IF($B156="","",IFERROR(IF(INDEX('DỮ LIỆU'!$G$3:$G$1052,MATCH($B156,'DỮ LIỆU'!$C$3:$C$1052,0))="","",INDEX('DỮ LIỆU'!$G$3:$G$1052,MATCH($B156,'DỮ LIỆU'!$C$3:$C$1052,0))),""))</f>
        <v/>
      </c>
      <c r="G156" s="13" t="str">
        <f aca="false">IF($B156="","",COUNTIFS('DỮ LIỆU'!$C$3:$C$1052,$B156,'DỮ LIỆU'!$J$3:$J$1052,"&gt;0"))</f>
        <v/>
      </c>
      <c r="H156" s="13" t="str">
        <f aca="false">IF($B156="","",SUMIF('DỮ LIỆU'!$C$3:$C$1052,$B156,'DỮ LIỆU'!$J$3:$J$1052))</f>
        <v/>
      </c>
      <c r="I156" s="13" t="str">
        <f aca="false">IF($B156="","",SUMIF('DỮ LIỆU'!$C$3:$C$1052,$B156,'DỮ LIỆU'!$M$3:$M$1052))</f>
        <v/>
      </c>
      <c r="J156" s="13" t="str">
        <f aca="false">IF($B156="","",SUMIF('DỮ LIỆU'!$C$3:$C$1052,$B156,'DỮ LIỆU'!$N$3:$N$1052))</f>
        <v/>
      </c>
      <c r="K156" s="13" t="str">
        <f aca="false">IF($B156="","",SUMIF('DỮ LIỆU'!$C$3:$C$1052,$B156,'DỮ LIỆU'!$O$3:$O$1052))</f>
        <v/>
      </c>
      <c r="L156" s="13" t="str">
        <f aca="false">IF($B156="","",SUMIF('DỮ LIỆU'!$C$3:$C$1052,$B156,'DỮ LIỆU'!$Q$3:$Q$1052))</f>
        <v/>
      </c>
      <c r="M156" s="41" t="str">
        <f aca="false">IF($B156="","",IF(SUMPRODUCT(MAX(('DỮ LIỆU'!$C$3:$C$1052=$B156)*'DỮ LIỆU'!$Z$3:$Z$1052))=0,"",SUMPRODUCT(MAX(('DỮ LIỆU'!$C$3:$C$1052=$B156)*'DỮ LIỆU'!$Z$3:$Z$1052))))</f>
        <v/>
      </c>
      <c r="N156" s="21" t="str">
        <f aca="false">IF($B156="","",IF($G156=0,"Chưa có đơn",IF(COUNTIFS('DỮ LIỆU'!$C$3:$C$1052,$B156,'DỮ LIỆU'!$K$3:$K$1052,"&gt;0")&gt;0,"Có lấy VAT","Không lấy VAT")))</f>
        <v/>
      </c>
    </row>
    <row r="157" customFormat="false" ht="15" hidden="false" customHeight="false" outlineLevel="0" collapsed="false">
      <c r="A157" s="21" t="str">
        <f aca="false">IF($B157="","",152)</f>
        <v/>
      </c>
      <c r="B157" s="21" t="str">
        <f aca="false">IFERROR(INDEX('DỮ LIỆU'!$C$3:$C$1052,MATCH(152,'DỮ LIỆU'!$W$3:$W$1052,0)),"")</f>
        <v/>
      </c>
      <c r="C157" s="21" t="str">
        <f aca="false">IF($B157="","",IFERROR(IF(INDEX('DỮ LIỆU'!$D$3:$D$1052,MATCH($B157,'DỮ LIỆU'!$C$3:$C$1052,0))="","",INDEX('DỮ LIỆU'!$D$3:$D$1052,MATCH($B157,'DỮ LIỆU'!$C$3:$C$1052,0))),""))</f>
        <v/>
      </c>
      <c r="D157" s="21" t="str">
        <f aca="false">IF($B157="","",IFERROR(IF(INDEX('DỮ LIỆU'!$E$3:$E$1052,MATCH($B157,'DỮ LIỆU'!$C$3:$C$1052,0))="","",INDEX('DỮ LIỆU'!$E$3:$E$1052,MATCH($B157,'DỮ LIỆU'!$C$3:$C$1052,0))),""))</f>
        <v/>
      </c>
      <c r="E157" s="21" t="str">
        <f aca="false">IF($B157="","",IFERROR(IF(INDEX('DỮ LIỆU'!$F$3:$F$1052,MATCH($B157,'DỮ LIỆU'!$C$3:$C$1052,0))="","",INDEX('DỮ LIỆU'!$F$3:$F$1052,MATCH($B157,'DỮ LIỆU'!$C$3:$C$1052,0))),""))</f>
        <v/>
      </c>
      <c r="F157" s="21" t="str">
        <f aca="false">IF($B157="","",IFERROR(IF(INDEX('DỮ LIỆU'!$G$3:$G$1052,MATCH($B157,'DỮ LIỆU'!$C$3:$C$1052,0))="","",INDEX('DỮ LIỆU'!$G$3:$G$1052,MATCH($B157,'DỮ LIỆU'!$C$3:$C$1052,0))),""))</f>
        <v/>
      </c>
      <c r="G157" s="13" t="str">
        <f aca="false">IF($B157="","",COUNTIFS('DỮ LIỆU'!$C$3:$C$1052,$B157,'DỮ LIỆU'!$J$3:$J$1052,"&gt;0"))</f>
        <v/>
      </c>
      <c r="H157" s="13" t="str">
        <f aca="false">IF($B157="","",SUMIF('DỮ LIỆU'!$C$3:$C$1052,$B157,'DỮ LIỆU'!$J$3:$J$1052))</f>
        <v/>
      </c>
      <c r="I157" s="13" t="str">
        <f aca="false">IF($B157="","",SUMIF('DỮ LIỆU'!$C$3:$C$1052,$B157,'DỮ LIỆU'!$M$3:$M$1052))</f>
        <v/>
      </c>
      <c r="J157" s="13" t="str">
        <f aca="false">IF($B157="","",SUMIF('DỮ LIỆU'!$C$3:$C$1052,$B157,'DỮ LIỆU'!$N$3:$N$1052))</f>
        <v/>
      </c>
      <c r="K157" s="13" t="str">
        <f aca="false">IF($B157="","",SUMIF('DỮ LIỆU'!$C$3:$C$1052,$B157,'DỮ LIỆU'!$O$3:$O$1052))</f>
        <v/>
      </c>
      <c r="L157" s="13" t="str">
        <f aca="false">IF($B157="","",SUMIF('DỮ LIỆU'!$C$3:$C$1052,$B157,'DỮ LIỆU'!$Q$3:$Q$1052))</f>
        <v/>
      </c>
      <c r="M157" s="41" t="str">
        <f aca="false">IF($B157="","",IF(SUMPRODUCT(MAX(('DỮ LIỆU'!$C$3:$C$1052=$B157)*'DỮ LIỆU'!$Z$3:$Z$1052))=0,"",SUMPRODUCT(MAX(('DỮ LIỆU'!$C$3:$C$1052=$B157)*'DỮ LIỆU'!$Z$3:$Z$1052))))</f>
        <v/>
      </c>
      <c r="N157" s="21" t="str">
        <f aca="false">IF($B157="","",IF($G157=0,"Chưa có đơn",IF(COUNTIFS('DỮ LIỆU'!$C$3:$C$1052,$B157,'DỮ LIỆU'!$K$3:$K$1052,"&gt;0")&gt;0,"Có lấy VAT","Không lấy VAT")))</f>
        <v/>
      </c>
    </row>
    <row r="158" customFormat="false" ht="15" hidden="false" customHeight="false" outlineLevel="0" collapsed="false">
      <c r="A158" s="21" t="str">
        <f aca="false">IF($B158="","",153)</f>
        <v/>
      </c>
      <c r="B158" s="21" t="str">
        <f aca="false">IFERROR(INDEX('DỮ LIỆU'!$C$3:$C$1052,MATCH(153,'DỮ LIỆU'!$W$3:$W$1052,0)),"")</f>
        <v/>
      </c>
      <c r="C158" s="21" t="str">
        <f aca="false">IF($B158="","",IFERROR(IF(INDEX('DỮ LIỆU'!$D$3:$D$1052,MATCH($B158,'DỮ LIỆU'!$C$3:$C$1052,0))="","",INDEX('DỮ LIỆU'!$D$3:$D$1052,MATCH($B158,'DỮ LIỆU'!$C$3:$C$1052,0))),""))</f>
        <v/>
      </c>
      <c r="D158" s="21" t="str">
        <f aca="false">IF($B158="","",IFERROR(IF(INDEX('DỮ LIỆU'!$E$3:$E$1052,MATCH($B158,'DỮ LIỆU'!$C$3:$C$1052,0))="","",INDEX('DỮ LIỆU'!$E$3:$E$1052,MATCH($B158,'DỮ LIỆU'!$C$3:$C$1052,0))),""))</f>
        <v/>
      </c>
      <c r="E158" s="21" t="str">
        <f aca="false">IF($B158="","",IFERROR(IF(INDEX('DỮ LIỆU'!$F$3:$F$1052,MATCH($B158,'DỮ LIỆU'!$C$3:$C$1052,0))="","",INDEX('DỮ LIỆU'!$F$3:$F$1052,MATCH($B158,'DỮ LIỆU'!$C$3:$C$1052,0))),""))</f>
        <v/>
      </c>
      <c r="F158" s="21" t="str">
        <f aca="false">IF($B158="","",IFERROR(IF(INDEX('DỮ LIỆU'!$G$3:$G$1052,MATCH($B158,'DỮ LIỆU'!$C$3:$C$1052,0))="","",INDEX('DỮ LIỆU'!$G$3:$G$1052,MATCH($B158,'DỮ LIỆU'!$C$3:$C$1052,0))),""))</f>
        <v/>
      </c>
      <c r="G158" s="13" t="str">
        <f aca="false">IF($B158="","",COUNTIFS('DỮ LIỆU'!$C$3:$C$1052,$B158,'DỮ LIỆU'!$J$3:$J$1052,"&gt;0"))</f>
        <v/>
      </c>
      <c r="H158" s="13" t="str">
        <f aca="false">IF($B158="","",SUMIF('DỮ LIỆU'!$C$3:$C$1052,$B158,'DỮ LIỆU'!$J$3:$J$1052))</f>
        <v/>
      </c>
      <c r="I158" s="13" t="str">
        <f aca="false">IF($B158="","",SUMIF('DỮ LIỆU'!$C$3:$C$1052,$B158,'DỮ LIỆU'!$M$3:$M$1052))</f>
        <v/>
      </c>
      <c r="J158" s="13" t="str">
        <f aca="false">IF($B158="","",SUMIF('DỮ LIỆU'!$C$3:$C$1052,$B158,'DỮ LIỆU'!$N$3:$N$1052))</f>
        <v/>
      </c>
      <c r="K158" s="13" t="str">
        <f aca="false">IF($B158="","",SUMIF('DỮ LIỆU'!$C$3:$C$1052,$B158,'DỮ LIỆU'!$O$3:$O$1052))</f>
        <v/>
      </c>
      <c r="L158" s="13" t="str">
        <f aca="false">IF($B158="","",SUMIF('DỮ LIỆU'!$C$3:$C$1052,$B158,'DỮ LIỆU'!$Q$3:$Q$1052))</f>
        <v/>
      </c>
      <c r="M158" s="41" t="str">
        <f aca="false">IF($B158="","",IF(SUMPRODUCT(MAX(('DỮ LIỆU'!$C$3:$C$1052=$B158)*'DỮ LIỆU'!$Z$3:$Z$1052))=0,"",SUMPRODUCT(MAX(('DỮ LIỆU'!$C$3:$C$1052=$B158)*'DỮ LIỆU'!$Z$3:$Z$1052))))</f>
        <v/>
      </c>
      <c r="N158" s="21" t="str">
        <f aca="false">IF($B158="","",IF($G158=0,"Chưa có đơn",IF(COUNTIFS('DỮ LIỆU'!$C$3:$C$1052,$B158,'DỮ LIỆU'!$K$3:$K$1052,"&gt;0")&gt;0,"Có lấy VAT","Không lấy VAT")))</f>
        <v/>
      </c>
    </row>
    <row r="159" customFormat="false" ht="15" hidden="false" customHeight="false" outlineLevel="0" collapsed="false">
      <c r="A159" s="21" t="str">
        <f aca="false">IF($B159="","",154)</f>
        <v/>
      </c>
      <c r="B159" s="21" t="str">
        <f aca="false">IFERROR(INDEX('DỮ LIỆU'!$C$3:$C$1052,MATCH(154,'DỮ LIỆU'!$W$3:$W$1052,0)),"")</f>
        <v/>
      </c>
      <c r="C159" s="21" t="str">
        <f aca="false">IF($B159="","",IFERROR(IF(INDEX('DỮ LIỆU'!$D$3:$D$1052,MATCH($B159,'DỮ LIỆU'!$C$3:$C$1052,0))="","",INDEX('DỮ LIỆU'!$D$3:$D$1052,MATCH($B159,'DỮ LIỆU'!$C$3:$C$1052,0))),""))</f>
        <v/>
      </c>
      <c r="D159" s="21" t="str">
        <f aca="false">IF($B159="","",IFERROR(IF(INDEX('DỮ LIỆU'!$E$3:$E$1052,MATCH($B159,'DỮ LIỆU'!$C$3:$C$1052,0))="","",INDEX('DỮ LIỆU'!$E$3:$E$1052,MATCH($B159,'DỮ LIỆU'!$C$3:$C$1052,0))),""))</f>
        <v/>
      </c>
      <c r="E159" s="21" t="str">
        <f aca="false">IF($B159="","",IFERROR(IF(INDEX('DỮ LIỆU'!$F$3:$F$1052,MATCH($B159,'DỮ LIỆU'!$C$3:$C$1052,0))="","",INDEX('DỮ LIỆU'!$F$3:$F$1052,MATCH($B159,'DỮ LIỆU'!$C$3:$C$1052,0))),""))</f>
        <v/>
      </c>
      <c r="F159" s="21" t="str">
        <f aca="false">IF($B159="","",IFERROR(IF(INDEX('DỮ LIỆU'!$G$3:$G$1052,MATCH($B159,'DỮ LIỆU'!$C$3:$C$1052,0))="","",INDEX('DỮ LIỆU'!$G$3:$G$1052,MATCH($B159,'DỮ LIỆU'!$C$3:$C$1052,0))),""))</f>
        <v/>
      </c>
      <c r="G159" s="13" t="str">
        <f aca="false">IF($B159="","",COUNTIFS('DỮ LIỆU'!$C$3:$C$1052,$B159,'DỮ LIỆU'!$J$3:$J$1052,"&gt;0"))</f>
        <v/>
      </c>
      <c r="H159" s="13" t="str">
        <f aca="false">IF($B159="","",SUMIF('DỮ LIỆU'!$C$3:$C$1052,$B159,'DỮ LIỆU'!$J$3:$J$1052))</f>
        <v/>
      </c>
      <c r="I159" s="13" t="str">
        <f aca="false">IF($B159="","",SUMIF('DỮ LIỆU'!$C$3:$C$1052,$B159,'DỮ LIỆU'!$M$3:$M$1052))</f>
        <v/>
      </c>
      <c r="J159" s="13" t="str">
        <f aca="false">IF($B159="","",SUMIF('DỮ LIỆU'!$C$3:$C$1052,$B159,'DỮ LIỆU'!$N$3:$N$1052))</f>
        <v/>
      </c>
      <c r="K159" s="13" t="str">
        <f aca="false">IF($B159="","",SUMIF('DỮ LIỆU'!$C$3:$C$1052,$B159,'DỮ LIỆU'!$O$3:$O$1052))</f>
        <v/>
      </c>
      <c r="L159" s="13" t="str">
        <f aca="false">IF($B159="","",SUMIF('DỮ LIỆU'!$C$3:$C$1052,$B159,'DỮ LIỆU'!$Q$3:$Q$1052))</f>
        <v/>
      </c>
      <c r="M159" s="41" t="str">
        <f aca="false">IF($B159="","",IF(SUMPRODUCT(MAX(('DỮ LIỆU'!$C$3:$C$1052=$B159)*'DỮ LIỆU'!$Z$3:$Z$1052))=0,"",SUMPRODUCT(MAX(('DỮ LIỆU'!$C$3:$C$1052=$B159)*'DỮ LIỆU'!$Z$3:$Z$1052))))</f>
        <v/>
      </c>
      <c r="N159" s="21" t="str">
        <f aca="false">IF($B159="","",IF($G159=0,"Chưa có đơn",IF(COUNTIFS('DỮ LIỆU'!$C$3:$C$1052,$B159,'DỮ LIỆU'!$K$3:$K$1052,"&gt;0")&gt;0,"Có lấy VAT","Không lấy VAT")))</f>
        <v/>
      </c>
    </row>
    <row r="160" customFormat="false" ht="15" hidden="false" customHeight="false" outlineLevel="0" collapsed="false">
      <c r="A160" s="21" t="str">
        <f aca="false">IF($B160="","",155)</f>
        <v/>
      </c>
      <c r="B160" s="21" t="str">
        <f aca="false">IFERROR(INDEX('DỮ LIỆU'!$C$3:$C$1052,MATCH(155,'DỮ LIỆU'!$W$3:$W$1052,0)),"")</f>
        <v/>
      </c>
      <c r="C160" s="21" t="str">
        <f aca="false">IF($B160="","",IFERROR(IF(INDEX('DỮ LIỆU'!$D$3:$D$1052,MATCH($B160,'DỮ LIỆU'!$C$3:$C$1052,0))="","",INDEX('DỮ LIỆU'!$D$3:$D$1052,MATCH($B160,'DỮ LIỆU'!$C$3:$C$1052,0))),""))</f>
        <v/>
      </c>
      <c r="D160" s="21" t="str">
        <f aca="false">IF($B160="","",IFERROR(IF(INDEX('DỮ LIỆU'!$E$3:$E$1052,MATCH($B160,'DỮ LIỆU'!$C$3:$C$1052,0))="","",INDEX('DỮ LIỆU'!$E$3:$E$1052,MATCH($B160,'DỮ LIỆU'!$C$3:$C$1052,0))),""))</f>
        <v/>
      </c>
      <c r="E160" s="21" t="str">
        <f aca="false">IF($B160="","",IFERROR(IF(INDEX('DỮ LIỆU'!$F$3:$F$1052,MATCH($B160,'DỮ LIỆU'!$C$3:$C$1052,0))="","",INDEX('DỮ LIỆU'!$F$3:$F$1052,MATCH($B160,'DỮ LIỆU'!$C$3:$C$1052,0))),""))</f>
        <v/>
      </c>
      <c r="F160" s="21" t="str">
        <f aca="false">IF($B160="","",IFERROR(IF(INDEX('DỮ LIỆU'!$G$3:$G$1052,MATCH($B160,'DỮ LIỆU'!$C$3:$C$1052,0))="","",INDEX('DỮ LIỆU'!$G$3:$G$1052,MATCH($B160,'DỮ LIỆU'!$C$3:$C$1052,0))),""))</f>
        <v/>
      </c>
      <c r="G160" s="13" t="str">
        <f aca="false">IF($B160="","",COUNTIFS('DỮ LIỆU'!$C$3:$C$1052,$B160,'DỮ LIỆU'!$J$3:$J$1052,"&gt;0"))</f>
        <v/>
      </c>
      <c r="H160" s="13" t="str">
        <f aca="false">IF($B160="","",SUMIF('DỮ LIỆU'!$C$3:$C$1052,$B160,'DỮ LIỆU'!$J$3:$J$1052))</f>
        <v/>
      </c>
      <c r="I160" s="13" t="str">
        <f aca="false">IF($B160="","",SUMIF('DỮ LIỆU'!$C$3:$C$1052,$B160,'DỮ LIỆU'!$M$3:$M$1052))</f>
        <v/>
      </c>
      <c r="J160" s="13" t="str">
        <f aca="false">IF($B160="","",SUMIF('DỮ LIỆU'!$C$3:$C$1052,$B160,'DỮ LIỆU'!$N$3:$N$1052))</f>
        <v/>
      </c>
      <c r="K160" s="13" t="str">
        <f aca="false">IF($B160="","",SUMIF('DỮ LIỆU'!$C$3:$C$1052,$B160,'DỮ LIỆU'!$O$3:$O$1052))</f>
        <v/>
      </c>
      <c r="L160" s="13" t="str">
        <f aca="false">IF($B160="","",SUMIF('DỮ LIỆU'!$C$3:$C$1052,$B160,'DỮ LIỆU'!$Q$3:$Q$1052))</f>
        <v/>
      </c>
      <c r="M160" s="41" t="str">
        <f aca="false">IF($B160="","",IF(SUMPRODUCT(MAX(('DỮ LIỆU'!$C$3:$C$1052=$B160)*'DỮ LIỆU'!$Z$3:$Z$1052))=0,"",SUMPRODUCT(MAX(('DỮ LIỆU'!$C$3:$C$1052=$B160)*'DỮ LIỆU'!$Z$3:$Z$1052))))</f>
        <v/>
      </c>
      <c r="N160" s="21" t="str">
        <f aca="false">IF($B160="","",IF($G160=0,"Chưa có đơn",IF(COUNTIFS('DỮ LIỆU'!$C$3:$C$1052,$B160,'DỮ LIỆU'!$K$3:$K$1052,"&gt;0")&gt;0,"Có lấy VAT","Không lấy VAT")))</f>
        <v/>
      </c>
    </row>
    <row r="161" customFormat="false" ht="15" hidden="false" customHeight="false" outlineLevel="0" collapsed="false">
      <c r="A161" s="21" t="str">
        <f aca="false">IF($B161="","",156)</f>
        <v/>
      </c>
      <c r="B161" s="21" t="str">
        <f aca="false">IFERROR(INDEX('DỮ LIỆU'!$C$3:$C$1052,MATCH(156,'DỮ LIỆU'!$W$3:$W$1052,0)),"")</f>
        <v/>
      </c>
      <c r="C161" s="21" t="str">
        <f aca="false">IF($B161="","",IFERROR(IF(INDEX('DỮ LIỆU'!$D$3:$D$1052,MATCH($B161,'DỮ LIỆU'!$C$3:$C$1052,0))="","",INDEX('DỮ LIỆU'!$D$3:$D$1052,MATCH($B161,'DỮ LIỆU'!$C$3:$C$1052,0))),""))</f>
        <v/>
      </c>
      <c r="D161" s="21" t="str">
        <f aca="false">IF($B161="","",IFERROR(IF(INDEX('DỮ LIỆU'!$E$3:$E$1052,MATCH($B161,'DỮ LIỆU'!$C$3:$C$1052,0))="","",INDEX('DỮ LIỆU'!$E$3:$E$1052,MATCH($B161,'DỮ LIỆU'!$C$3:$C$1052,0))),""))</f>
        <v/>
      </c>
      <c r="E161" s="21" t="str">
        <f aca="false">IF($B161="","",IFERROR(IF(INDEX('DỮ LIỆU'!$F$3:$F$1052,MATCH($B161,'DỮ LIỆU'!$C$3:$C$1052,0))="","",INDEX('DỮ LIỆU'!$F$3:$F$1052,MATCH($B161,'DỮ LIỆU'!$C$3:$C$1052,0))),""))</f>
        <v/>
      </c>
      <c r="F161" s="21" t="str">
        <f aca="false">IF($B161="","",IFERROR(IF(INDEX('DỮ LIỆU'!$G$3:$G$1052,MATCH($B161,'DỮ LIỆU'!$C$3:$C$1052,0))="","",INDEX('DỮ LIỆU'!$G$3:$G$1052,MATCH($B161,'DỮ LIỆU'!$C$3:$C$1052,0))),""))</f>
        <v/>
      </c>
      <c r="G161" s="13" t="str">
        <f aca="false">IF($B161="","",COUNTIFS('DỮ LIỆU'!$C$3:$C$1052,$B161,'DỮ LIỆU'!$J$3:$J$1052,"&gt;0"))</f>
        <v/>
      </c>
      <c r="H161" s="13" t="str">
        <f aca="false">IF($B161="","",SUMIF('DỮ LIỆU'!$C$3:$C$1052,$B161,'DỮ LIỆU'!$J$3:$J$1052))</f>
        <v/>
      </c>
      <c r="I161" s="13" t="str">
        <f aca="false">IF($B161="","",SUMIF('DỮ LIỆU'!$C$3:$C$1052,$B161,'DỮ LIỆU'!$M$3:$M$1052))</f>
        <v/>
      </c>
      <c r="J161" s="13" t="str">
        <f aca="false">IF($B161="","",SUMIF('DỮ LIỆU'!$C$3:$C$1052,$B161,'DỮ LIỆU'!$N$3:$N$1052))</f>
        <v/>
      </c>
      <c r="K161" s="13" t="str">
        <f aca="false">IF($B161="","",SUMIF('DỮ LIỆU'!$C$3:$C$1052,$B161,'DỮ LIỆU'!$O$3:$O$1052))</f>
        <v/>
      </c>
      <c r="L161" s="13" t="str">
        <f aca="false">IF($B161="","",SUMIF('DỮ LIỆU'!$C$3:$C$1052,$B161,'DỮ LIỆU'!$Q$3:$Q$1052))</f>
        <v/>
      </c>
      <c r="M161" s="41" t="str">
        <f aca="false">IF($B161="","",IF(SUMPRODUCT(MAX(('DỮ LIỆU'!$C$3:$C$1052=$B161)*'DỮ LIỆU'!$Z$3:$Z$1052))=0,"",SUMPRODUCT(MAX(('DỮ LIỆU'!$C$3:$C$1052=$B161)*'DỮ LIỆU'!$Z$3:$Z$1052))))</f>
        <v/>
      </c>
      <c r="N161" s="21" t="str">
        <f aca="false">IF($B161="","",IF($G161=0,"Chưa có đơn",IF(COUNTIFS('DỮ LIỆU'!$C$3:$C$1052,$B161,'DỮ LIỆU'!$K$3:$K$1052,"&gt;0")&gt;0,"Có lấy VAT","Không lấy VAT")))</f>
        <v/>
      </c>
    </row>
    <row r="162" customFormat="false" ht="15" hidden="false" customHeight="false" outlineLevel="0" collapsed="false">
      <c r="A162" s="21" t="str">
        <f aca="false">IF($B162="","",157)</f>
        <v/>
      </c>
      <c r="B162" s="21" t="str">
        <f aca="false">IFERROR(INDEX('DỮ LIỆU'!$C$3:$C$1052,MATCH(157,'DỮ LIỆU'!$W$3:$W$1052,0)),"")</f>
        <v/>
      </c>
      <c r="C162" s="21" t="str">
        <f aca="false">IF($B162="","",IFERROR(IF(INDEX('DỮ LIỆU'!$D$3:$D$1052,MATCH($B162,'DỮ LIỆU'!$C$3:$C$1052,0))="","",INDEX('DỮ LIỆU'!$D$3:$D$1052,MATCH($B162,'DỮ LIỆU'!$C$3:$C$1052,0))),""))</f>
        <v/>
      </c>
      <c r="D162" s="21" t="str">
        <f aca="false">IF($B162="","",IFERROR(IF(INDEX('DỮ LIỆU'!$E$3:$E$1052,MATCH($B162,'DỮ LIỆU'!$C$3:$C$1052,0))="","",INDEX('DỮ LIỆU'!$E$3:$E$1052,MATCH($B162,'DỮ LIỆU'!$C$3:$C$1052,0))),""))</f>
        <v/>
      </c>
      <c r="E162" s="21" t="str">
        <f aca="false">IF($B162="","",IFERROR(IF(INDEX('DỮ LIỆU'!$F$3:$F$1052,MATCH($B162,'DỮ LIỆU'!$C$3:$C$1052,0))="","",INDEX('DỮ LIỆU'!$F$3:$F$1052,MATCH($B162,'DỮ LIỆU'!$C$3:$C$1052,0))),""))</f>
        <v/>
      </c>
      <c r="F162" s="21" t="str">
        <f aca="false">IF($B162="","",IFERROR(IF(INDEX('DỮ LIỆU'!$G$3:$G$1052,MATCH($B162,'DỮ LIỆU'!$C$3:$C$1052,0))="","",INDEX('DỮ LIỆU'!$G$3:$G$1052,MATCH($B162,'DỮ LIỆU'!$C$3:$C$1052,0))),""))</f>
        <v/>
      </c>
      <c r="G162" s="13" t="str">
        <f aca="false">IF($B162="","",COUNTIFS('DỮ LIỆU'!$C$3:$C$1052,$B162,'DỮ LIỆU'!$J$3:$J$1052,"&gt;0"))</f>
        <v/>
      </c>
      <c r="H162" s="13" t="str">
        <f aca="false">IF($B162="","",SUMIF('DỮ LIỆU'!$C$3:$C$1052,$B162,'DỮ LIỆU'!$J$3:$J$1052))</f>
        <v/>
      </c>
      <c r="I162" s="13" t="str">
        <f aca="false">IF($B162="","",SUMIF('DỮ LIỆU'!$C$3:$C$1052,$B162,'DỮ LIỆU'!$M$3:$M$1052))</f>
        <v/>
      </c>
      <c r="J162" s="13" t="str">
        <f aca="false">IF($B162="","",SUMIF('DỮ LIỆU'!$C$3:$C$1052,$B162,'DỮ LIỆU'!$N$3:$N$1052))</f>
        <v/>
      </c>
      <c r="K162" s="13" t="str">
        <f aca="false">IF($B162="","",SUMIF('DỮ LIỆU'!$C$3:$C$1052,$B162,'DỮ LIỆU'!$O$3:$O$1052))</f>
        <v/>
      </c>
      <c r="L162" s="13" t="str">
        <f aca="false">IF($B162="","",SUMIF('DỮ LIỆU'!$C$3:$C$1052,$B162,'DỮ LIỆU'!$Q$3:$Q$1052))</f>
        <v/>
      </c>
      <c r="M162" s="41" t="str">
        <f aca="false">IF($B162="","",IF(SUMPRODUCT(MAX(('DỮ LIỆU'!$C$3:$C$1052=$B162)*'DỮ LIỆU'!$Z$3:$Z$1052))=0,"",SUMPRODUCT(MAX(('DỮ LIỆU'!$C$3:$C$1052=$B162)*'DỮ LIỆU'!$Z$3:$Z$1052))))</f>
        <v/>
      </c>
      <c r="N162" s="21" t="str">
        <f aca="false">IF($B162="","",IF($G162=0,"Chưa có đơn",IF(COUNTIFS('DỮ LIỆU'!$C$3:$C$1052,$B162,'DỮ LIỆU'!$K$3:$K$1052,"&gt;0")&gt;0,"Có lấy VAT","Không lấy VAT")))</f>
        <v/>
      </c>
    </row>
    <row r="163" customFormat="false" ht="15" hidden="false" customHeight="false" outlineLevel="0" collapsed="false">
      <c r="A163" s="21" t="str">
        <f aca="false">IF($B163="","",158)</f>
        <v/>
      </c>
      <c r="B163" s="21" t="str">
        <f aca="false">IFERROR(INDEX('DỮ LIỆU'!$C$3:$C$1052,MATCH(158,'DỮ LIỆU'!$W$3:$W$1052,0)),"")</f>
        <v/>
      </c>
      <c r="C163" s="21" t="str">
        <f aca="false">IF($B163="","",IFERROR(IF(INDEX('DỮ LIỆU'!$D$3:$D$1052,MATCH($B163,'DỮ LIỆU'!$C$3:$C$1052,0))="","",INDEX('DỮ LIỆU'!$D$3:$D$1052,MATCH($B163,'DỮ LIỆU'!$C$3:$C$1052,0))),""))</f>
        <v/>
      </c>
      <c r="D163" s="21" t="str">
        <f aca="false">IF($B163="","",IFERROR(IF(INDEX('DỮ LIỆU'!$E$3:$E$1052,MATCH($B163,'DỮ LIỆU'!$C$3:$C$1052,0))="","",INDEX('DỮ LIỆU'!$E$3:$E$1052,MATCH($B163,'DỮ LIỆU'!$C$3:$C$1052,0))),""))</f>
        <v/>
      </c>
      <c r="E163" s="21" t="str">
        <f aca="false">IF($B163="","",IFERROR(IF(INDEX('DỮ LIỆU'!$F$3:$F$1052,MATCH($B163,'DỮ LIỆU'!$C$3:$C$1052,0))="","",INDEX('DỮ LIỆU'!$F$3:$F$1052,MATCH($B163,'DỮ LIỆU'!$C$3:$C$1052,0))),""))</f>
        <v/>
      </c>
      <c r="F163" s="21" t="str">
        <f aca="false">IF($B163="","",IFERROR(IF(INDEX('DỮ LIỆU'!$G$3:$G$1052,MATCH($B163,'DỮ LIỆU'!$C$3:$C$1052,0))="","",INDEX('DỮ LIỆU'!$G$3:$G$1052,MATCH($B163,'DỮ LIỆU'!$C$3:$C$1052,0))),""))</f>
        <v/>
      </c>
      <c r="G163" s="13" t="str">
        <f aca="false">IF($B163="","",COUNTIFS('DỮ LIỆU'!$C$3:$C$1052,$B163,'DỮ LIỆU'!$J$3:$J$1052,"&gt;0"))</f>
        <v/>
      </c>
      <c r="H163" s="13" t="str">
        <f aca="false">IF($B163="","",SUMIF('DỮ LIỆU'!$C$3:$C$1052,$B163,'DỮ LIỆU'!$J$3:$J$1052))</f>
        <v/>
      </c>
      <c r="I163" s="13" t="str">
        <f aca="false">IF($B163="","",SUMIF('DỮ LIỆU'!$C$3:$C$1052,$B163,'DỮ LIỆU'!$M$3:$M$1052))</f>
        <v/>
      </c>
      <c r="J163" s="13" t="str">
        <f aca="false">IF($B163="","",SUMIF('DỮ LIỆU'!$C$3:$C$1052,$B163,'DỮ LIỆU'!$N$3:$N$1052))</f>
        <v/>
      </c>
      <c r="K163" s="13" t="str">
        <f aca="false">IF($B163="","",SUMIF('DỮ LIỆU'!$C$3:$C$1052,$B163,'DỮ LIỆU'!$O$3:$O$1052))</f>
        <v/>
      </c>
      <c r="L163" s="13" t="str">
        <f aca="false">IF($B163="","",SUMIF('DỮ LIỆU'!$C$3:$C$1052,$B163,'DỮ LIỆU'!$Q$3:$Q$1052))</f>
        <v/>
      </c>
      <c r="M163" s="41" t="str">
        <f aca="false">IF($B163="","",IF(SUMPRODUCT(MAX(('DỮ LIỆU'!$C$3:$C$1052=$B163)*'DỮ LIỆU'!$Z$3:$Z$1052))=0,"",SUMPRODUCT(MAX(('DỮ LIỆU'!$C$3:$C$1052=$B163)*'DỮ LIỆU'!$Z$3:$Z$1052))))</f>
        <v/>
      </c>
      <c r="N163" s="21" t="str">
        <f aca="false">IF($B163="","",IF($G163=0,"Chưa có đơn",IF(COUNTIFS('DỮ LIỆU'!$C$3:$C$1052,$B163,'DỮ LIỆU'!$K$3:$K$1052,"&gt;0")&gt;0,"Có lấy VAT","Không lấy VAT")))</f>
        <v/>
      </c>
    </row>
    <row r="164" customFormat="false" ht="15" hidden="false" customHeight="false" outlineLevel="0" collapsed="false">
      <c r="A164" s="21" t="str">
        <f aca="false">IF($B164="","",159)</f>
        <v/>
      </c>
      <c r="B164" s="21" t="str">
        <f aca="false">IFERROR(INDEX('DỮ LIỆU'!$C$3:$C$1052,MATCH(159,'DỮ LIỆU'!$W$3:$W$1052,0)),"")</f>
        <v/>
      </c>
      <c r="C164" s="21" t="str">
        <f aca="false">IF($B164="","",IFERROR(IF(INDEX('DỮ LIỆU'!$D$3:$D$1052,MATCH($B164,'DỮ LIỆU'!$C$3:$C$1052,0))="","",INDEX('DỮ LIỆU'!$D$3:$D$1052,MATCH($B164,'DỮ LIỆU'!$C$3:$C$1052,0))),""))</f>
        <v/>
      </c>
      <c r="D164" s="21" t="str">
        <f aca="false">IF($B164="","",IFERROR(IF(INDEX('DỮ LIỆU'!$E$3:$E$1052,MATCH($B164,'DỮ LIỆU'!$C$3:$C$1052,0))="","",INDEX('DỮ LIỆU'!$E$3:$E$1052,MATCH($B164,'DỮ LIỆU'!$C$3:$C$1052,0))),""))</f>
        <v/>
      </c>
      <c r="E164" s="21" t="str">
        <f aca="false">IF($B164="","",IFERROR(IF(INDEX('DỮ LIỆU'!$F$3:$F$1052,MATCH($B164,'DỮ LIỆU'!$C$3:$C$1052,0))="","",INDEX('DỮ LIỆU'!$F$3:$F$1052,MATCH($B164,'DỮ LIỆU'!$C$3:$C$1052,0))),""))</f>
        <v/>
      </c>
      <c r="F164" s="21" t="str">
        <f aca="false">IF($B164="","",IFERROR(IF(INDEX('DỮ LIỆU'!$G$3:$G$1052,MATCH($B164,'DỮ LIỆU'!$C$3:$C$1052,0))="","",INDEX('DỮ LIỆU'!$G$3:$G$1052,MATCH($B164,'DỮ LIỆU'!$C$3:$C$1052,0))),""))</f>
        <v/>
      </c>
      <c r="G164" s="13" t="str">
        <f aca="false">IF($B164="","",COUNTIFS('DỮ LIỆU'!$C$3:$C$1052,$B164,'DỮ LIỆU'!$J$3:$J$1052,"&gt;0"))</f>
        <v/>
      </c>
      <c r="H164" s="13" t="str">
        <f aca="false">IF($B164="","",SUMIF('DỮ LIỆU'!$C$3:$C$1052,$B164,'DỮ LIỆU'!$J$3:$J$1052))</f>
        <v/>
      </c>
      <c r="I164" s="13" t="str">
        <f aca="false">IF($B164="","",SUMIF('DỮ LIỆU'!$C$3:$C$1052,$B164,'DỮ LIỆU'!$M$3:$M$1052))</f>
        <v/>
      </c>
      <c r="J164" s="13" t="str">
        <f aca="false">IF($B164="","",SUMIF('DỮ LIỆU'!$C$3:$C$1052,$B164,'DỮ LIỆU'!$N$3:$N$1052))</f>
        <v/>
      </c>
      <c r="K164" s="13" t="str">
        <f aca="false">IF($B164="","",SUMIF('DỮ LIỆU'!$C$3:$C$1052,$B164,'DỮ LIỆU'!$O$3:$O$1052))</f>
        <v/>
      </c>
      <c r="L164" s="13" t="str">
        <f aca="false">IF($B164="","",SUMIF('DỮ LIỆU'!$C$3:$C$1052,$B164,'DỮ LIỆU'!$Q$3:$Q$1052))</f>
        <v/>
      </c>
      <c r="M164" s="41" t="str">
        <f aca="false">IF($B164="","",IF(SUMPRODUCT(MAX(('DỮ LIỆU'!$C$3:$C$1052=$B164)*'DỮ LIỆU'!$Z$3:$Z$1052))=0,"",SUMPRODUCT(MAX(('DỮ LIỆU'!$C$3:$C$1052=$B164)*'DỮ LIỆU'!$Z$3:$Z$1052))))</f>
        <v/>
      </c>
      <c r="N164" s="21" t="str">
        <f aca="false">IF($B164="","",IF($G164=0,"Chưa có đơn",IF(COUNTIFS('DỮ LIỆU'!$C$3:$C$1052,$B164,'DỮ LIỆU'!$K$3:$K$1052,"&gt;0")&gt;0,"Có lấy VAT","Không lấy VAT")))</f>
        <v/>
      </c>
    </row>
    <row r="165" customFormat="false" ht="15" hidden="false" customHeight="false" outlineLevel="0" collapsed="false">
      <c r="A165" s="21" t="str">
        <f aca="false">IF($B165="","",160)</f>
        <v/>
      </c>
      <c r="B165" s="21" t="str">
        <f aca="false">IFERROR(INDEX('DỮ LIỆU'!$C$3:$C$1052,MATCH(160,'DỮ LIỆU'!$W$3:$W$1052,0)),"")</f>
        <v/>
      </c>
      <c r="C165" s="21" t="str">
        <f aca="false">IF($B165="","",IFERROR(IF(INDEX('DỮ LIỆU'!$D$3:$D$1052,MATCH($B165,'DỮ LIỆU'!$C$3:$C$1052,0))="","",INDEX('DỮ LIỆU'!$D$3:$D$1052,MATCH($B165,'DỮ LIỆU'!$C$3:$C$1052,0))),""))</f>
        <v/>
      </c>
      <c r="D165" s="21" t="str">
        <f aca="false">IF($B165="","",IFERROR(IF(INDEX('DỮ LIỆU'!$E$3:$E$1052,MATCH($B165,'DỮ LIỆU'!$C$3:$C$1052,0))="","",INDEX('DỮ LIỆU'!$E$3:$E$1052,MATCH($B165,'DỮ LIỆU'!$C$3:$C$1052,0))),""))</f>
        <v/>
      </c>
      <c r="E165" s="21" t="str">
        <f aca="false">IF($B165="","",IFERROR(IF(INDEX('DỮ LIỆU'!$F$3:$F$1052,MATCH($B165,'DỮ LIỆU'!$C$3:$C$1052,0))="","",INDEX('DỮ LIỆU'!$F$3:$F$1052,MATCH($B165,'DỮ LIỆU'!$C$3:$C$1052,0))),""))</f>
        <v/>
      </c>
      <c r="F165" s="21" t="str">
        <f aca="false">IF($B165="","",IFERROR(IF(INDEX('DỮ LIỆU'!$G$3:$G$1052,MATCH($B165,'DỮ LIỆU'!$C$3:$C$1052,0))="","",INDEX('DỮ LIỆU'!$G$3:$G$1052,MATCH($B165,'DỮ LIỆU'!$C$3:$C$1052,0))),""))</f>
        <v/>
      </c>
      <c r="G165" s="13" t="str">
        <f aca="false">IF($B165="","",COUNTIFS('DỮ LIỆU'!$C$3:$C$1052,$B165,'DỮ LIỆU'!$J$3:$J$1052,"&gt;0"))</f>
        <v/>
      </c>
      <c r="H165" s="13" t="str">
        <f aca="false">IF($B165="","",SUMIF('DỮ LIỆU'!$C$3:$C$1052,$B165,'DỮ LIỆU'!$J$3:$J$1052))</f>
        <v/>
      </c>
      <c r="I165" s="13" t="str">
        <f aca="false">IF($B165="","",SUMIF('DỮ LIỆU'!$C$3:$C$1052,$B165,'DỮ LIỆU'!$M$3:$M$1052))</f>
        <v/>
      </c>
      <c r="J165" s="13" t="str">
        <f aca="false">IF($B165="","",SUMIF('DỮ LIỆU'!$C$3:$C$1052,$B165,'DỮ LIỆU'!$N$3:$N$1052))</f>
        <v/>
      </c>
      <c r="K165" s="13" t="str">
        <f aca="false">IF($B165="","",SUMIF('DỮ LIỆU'!$C$3:$C$1052,$B165,'DỮ LIỆU'!$O$3:$O$1052))</f>
        <v/>
      </c>
      <c r="L165" s="13" t="str">
        <f aca="false">IF($B165="","",SUMIF('DỮ LIỆU'!$C$3:$C$1052,$B165,'DỮ LIỆU'!$Q$3:$Q$1052))</f>
        <v/>
      </c>
      <c r="M165" s="41" t="str">
        <f aca="false">IF($B165="","",IF(SUMPRODUCT(MAX(('DỮ LIỆU'!$C$3:$C$1052=$B165)*'DỮ LIỆU'!$Z$3:$Z$1052))=0,"",SUMPRODUCT(MAX(('DỮ LIỆU'!$C$3:$C$1052=$B165)*'DỮ LIỆU'!$Z$3:$Z$1052))))</f>
        <v/>
      </c>
      <c r="N165" s="21" t="str">
        <f aca="false">IF($B165="","",IF($G165=0,"Chưa có đơn",IF(COUNTIFS('DỮ LIỆU'!$C$3:$C$1052,$B165,'DỮ LIỆU'!$K$3:$K$1052,"&gt;0")&gt;0,"Có lấy VAT","Không lấy VAT")))</f>
        <v/>
      </c>
    </row>
    <row r="166" customFormat="false" ht="15" hidden="false" customHeight="false" outlineLevel="0" collapsed="false">
      <c r="A166" s="21" t="str">
        <f aca="false">IF($B166="","",161)</f>
        <v/>
      </c>
      <c r="B166" s="21" t="str">
        <f aca="false">IFERROR(INDEX('DỮ LIỆU'!$C$3:$C$1052,MATCH(161,'DỮ LIỆU'!$W$3:$W$1052,0)),"")</f>
        <v/>
      </c>
      <c r="C166" s="21" t="str">
        <f aca="false">IF($B166="","",IFERROR(IF(INDEX('DỮ LIỆU'!$D$3:$D$1052,MATCH($B166,'DỮ LIỆU'!$C$3:$C$1052,0))="","",INDEX('DỮ LIỆU'!$D$3:$D$1052,MATCH($B166,'DỮ LIỆU'!$C$3:$C$1052,0))),""))</f>
        <v/>
      </c>
      <c r="D166" s="21" t="str">
        <f aca="false">IF($B166="","",IFERROR(IF(INDEX('DỮ LIỆU'!$E$3:$E$1052,MATCH($B166,'DỮ LIỆU'!$C$3:$C$1052,0))="","",INDEX('DỮ LIỆU'!$E$3:$E$1052,MATCH($B166,'DỮ LIỆU'!$C$3:$C$1052,0))),""))</f>
        <v/>
      </c>
      <c r="E166" s="21" t="str">
        <f aca="false">IF($B166="","",IFERROR(IF(INDEX('DỮ LIỆU'!$F$3:$F$1052,MATCH($B166,'DỮ LIỆU'!$C$3:$C$1052,0))="","",INDEX('DỮ LIỆU'!$F$3:$F$1052,MATCH($B166,'DỮ LIỆU'!$C$3:$C$1052,0))),""))</f>
        <v/>
      </c>
      <c r="F166" s="21" t="str">
        <f aca="false">IF($B166="","",IFERROR(IF(INDEX('DỮ LIỆU'!$G$3:$G$1052,MATCH($B166,'DỮ LIỆU'!$C$3:$C$1052,0))="","",INDEX('DỮ LIỆU'!$G$3:$G$1052,MATCH($B166,'DỮ LIỆU'!$C$3:$C$1052,0))),""))</f>
        <v/>
      </c>
      <c r="G166" s="13" t="str">
        <f aca="false">IF($B166="","",COUNTIFS('DỮ LIỆU'!$C$3:$C$1052,$B166,'DỮ LIỆU'!$J$3:$J$1052,"&gt;0"))</f>
        <v/>
      </c>
      <c r="H166" s="13" t="str">
        <f aca="false">IF($B166="","",SUMIF('DỮ LIỆU'!$C$3:$C$1052,$B166,'DỮ LIỆU'!$J$3:$J$1052))</f>
        <v/>
      </c>
      <c r="I166" s="13" t="str">
        <f aca="false">IF($B166="","",SUMIF('DỮ LIỆU'!$C$3:$C$1052,$B166,'DỮ LIỆU'!$M$3:$M$1052))</f>
        <v/>
      </c>
      <c r="J166" s="13" t="str">
        <f aca="false">IF($B166="","",SUMIF('DỮ LIỆU'!$C$3:$C$1052,$B166,'DỮ LIỆU'!$N$3:$N$1052))</f>
        <v/>
      </c>
      <c r="K166" s="13" t="str">
        <f aca="false">IF($B166="","",SUMIF('DỮ LIỆU'!$C$3:$C$1052,$B166,'DỮ LIỆU'!$O$3:$O$1052))</f>
        <v/>
      </c>
      <c r="L166" s="13" t="str">
        <f aca="false">IF($B166="","",SUMIF('DỮ LIỆU'!$C$3:$C$1052,$B166,'DỮ LIỆU'!$Q$3:$Q$1052))</f>
        <v/>
      </c>
      <c r="M166" s="41" t="str">
        <f aca="false">IF($B166="","",IF(SUMPRODUCT(MAX(('DỮ LIỆU'!$C$3:$C$1052=$B166)*'DỮ LIỆU'!$Z$3:$Z$1052))=0,"",SUMPRODUCT(MAX(('DỮ LIỆU'!$C$3:$C$1052=$B166)*'DỮ LIỆU'!$Z$3:$Z$1052))))</f>
        <v/>
      </c>
      <c r="N166" s="21" t="str">
        <f aca="false">IF($B166="","",IF($G166=0,"Chưa có đơn",IF(COUNTIFS('DỮ LIỆU'!$C$3:$C$1052,$B166,'DỮ LIỆU'!$K$3:$K$1052,"&gt;0")&gt;0,"Có lấy VAT","Không lấy VAT")))</f>
        <v/>
      </c>
    </row>
    <row r="167" customFormat="false" ht="15" hidden="false" customHeight="false" outlineLevel="0" collapsed="false">
      <c r="A167" s="21" t="str">
        <f aca="false">IF($B167="","",162)</f>
        <v/>
      </c>
      <c r="B167" s="21" t="str">
        <f aca="false">IFERROR(INDEX('DỮ LIỆU'!$C$3:$C$1052,MATCH(162,'DỮ LIỆU'!$W$3:$W$1052,0)),"")</f>
        <v/>
      </c>
      <c r="C167" s="21" t="str">
        <f aca="false">IF($B167="","",IFERROR(IF(INDEX('DỮ LIỆU'!$D$3:$D$1052,MATCH($B167,'DỮ LIỆU'!$C$3:$C$1052,0))="","",INDEX('DỮ LIỆU'!$D$3:$D$1052,MATCH($B167,'DỮ LIỆU'!$C$3:$C$1052,0))),""))</f>
        <v/>
      </c>
      <c r="D167" s="21" t="str">
        <f aca="false">IF($B167="","",IFERROR(IF(INDEX('DỮ LIỆU'!$E$3:$E$1052,MATCH($B167,'DỮ LIỆU'!$C$3:$C$1052,0))="","",INDEX('DỮ LIỆU'!$E$3:$E$1052,MATCH($B167,'DỮ LIỆU'!$C$3:$C$1052,0))),""))</f>
        <v/>
      </c>
      <c r="E167" s="21" t="str">
        <f aca="false">IF($B167="","",IFERROR(IF(INDEX('DỮ LIỆU'!$F$3:$F$1052,MATCH($B167,'DỮ LIỆU'!$C$3:$C$1052,0))="","",INDEX('DỮ LIỆU'!$F$3:$F$1052,MATCH($B167,'DỮ LIỆU'!$C$3:$C$1052,0))),""))</f>
        <v/>
      </c>
      <c r="F167" s="21" t="str">
        <f aca="false">IF($B167="","",IFERROR(IF(INDEX('DỮ LIỆU'!$G$3:$G$1052,MATCH($B167,'DỮ LIỆU'!$C$3:$C$1052,0))="","",INDEX('DỮ LIỆU'!$G$3:$G$1052,MATCH($B167,'DỮ LIỆU'!$C$3:$C$1052,0))),""))</f>
        <v/>
      </c>
      <c r="G167" s="13" t="str">
        <f aca="false">IF($B167="","",COUNTIFS('DỮ LIỆU'!$C$3:$C$1052,$B167,'DỮ LIỆU'!$J$3:$J$1052,"&gt;0"))</f>
        <v/>
      </c>
      <c r="H167" s="13" t="str">
        <f aca="false">IF($B167="","",SUMIF('DỮ LIỆU'!$C$3:$C$1052,$B167,'DỮ LIỆU'!$J$3:$J$1052))</f>
        <v/>
      </c>
      <c r="I167" s="13" t="str">
        <f aca="false">IF($B167="","",SUMIF('DỮ LIỆU'!$C$3:$C$1052,$B167,'DỮ LIỆU'!$M$3:$M$1052))</f>
        <v/>
      </c>
      <c r="J167" s="13" t="str">
        <f aca="false">IF($B167="","",SUMIF('DỮ LIỆU'!$C$3:$C$1052,$B167,'DỮ LIỆU'!$N$3:$N$1052))</f>
        <v/>
      </c>
      <c r="K167" s="13" t="str">
        <f aca="false">IF($B167="","",SUMIF('DỮ LIỆU'!$C$3:$C$1052,$B167,'DỮ LIỆU'!$O$3:$O$1052))</f>
        <v/>
      </c>
      <c r="L167" s="13" t="str">
        <f aca="false">IF($B167="","",SUMIF('DỮ LIỆU'!$C$3:$C$1052,$B167,'DỮ LIỆU'!$Q$3:$Q$1052))</f>
        <v/>
      </c>
      <c r="M167" s="41" t="str">
        <f aca="false">IF($B167="","",IF(SUMPRODUCT(MAX(('DỮ LIỆU'!$C$3:$C$1052=$B167)*'DỮ LIỆU'!$Z$3:$Z$1052))=0,"",SUMPRODUCT(MAX(('DỮ LIỆU'!$C$3:$C$1052=$B167)*'DỮ LIỆU'!$Z$3:$Z$1052))))</f>
        <v/>
      </c>
      <c r="N167" s="21" t="str">
        <f aca="false">IF($B167="","",IF($G167=0,"Chưa có đơn",IF(COUNTIFS('DỮ LIỆU'!$C$3:$C$1052,$B167,'DỮ LIỆU'!$K$3:$K$1052,"&gt;0")&gt;0,"Có lấy VAT","Không lấy VAT")))</f>
        <v/>
      </c>
    </row>
    <row r="168" customFormat="false" ht="15" hidden="false" customHeight="false" outlineLevel="0" collapsed="false">
      <c r="A168" s="21" t="str">
        <f aca="false">IF($B168="","",163)</f>
        <v/>
      </c>
      <c r="B168" s="21" t="str">
        <f aca="false">IFERROR(INDEX('DỮ LIỆU'!$C$3:$C$1052,MATCH(163,'DỮ LIỆU'!$W$3:$W$1052,0)),"")</f>
        <v/>
      </c>
      <c r="C168" s="21" t="str">
        <f aca="false">IF($B168="","",IFERROR(IF(INDEX('DỮ LIỆU'!$D$3:$D$1052,MATCH($B168,'DỮ LIỆU'!$C$3:$C$1052,0))="","",INDEX('DỮ LIỆU'!$D$3:$D$1052,MATCH($B168,'DỮ LIỆU'!$C$3:$C$1052,0))),""))</f>
        <v/>
      </c>
      <c r="D168" s="21" t="str">
        <f aca="false">IF($B168="","",IFERROR(IF(INDEX('DỮ LIỆU'!$E$3:$E$1052,MATCH($B168,'DỮ LIỆU'!$C$3:$C$1052,0))="","",INDEX('DỮ LIỆU'!$E$3:$E$1052,MATCH($B168,'DỮ LIỆU'!$C$3:$C$1052,0))),""))</f>
        <v/>
      </c>
      <c r="E168" s="21" t="str">
        <f aca="false">IF($B168="","",IFERROR(IF(INDEX('DỮ LIỆU'!$F$3:$F$1052,MATCH($B168,'DỮ LIỆU'!$C$3:$C$1052,0))="","",INDEX('DỮ LIỆU'!$F$3:$F$1052,MATCH($B168,'DỮ LIỆU'!$C$3:$C$1052,0))),""))</f>
        <v/>
      </c>
      <c r="F168" s="21" t="str">
        <f aca="false">IF($B168="","",IFERROR(IF(INDEX('DỮ LIỆU'!$G$3:$G$1052,MATCH($B168,'DỮ LIỆU'!$C$3:$C$1052,0))="","",INDEX('DỮ LIỆU'!$G$3:$G$1052,MATCH($B168,'DỮ LIỆU'!$C$3:$C$1052,0))),""))</f>
        <v/>
      </c>
      <c r="G168" s="13" t="str">
        <f aca="false">IF($B168="","",COUNTIFS('DỮ LIỆU'!$C$3:$C$1052,$B168,'DỮ LIỆU'!$J$3:$J$1052,"&gt;0"))</f>
        <v/>
      </c>
      <c r="H168" s="13" t="str">
        <f aca="false">IF($B168="","",SUMIF('DỮ LIỆU'!$C$3:$C$1052,$B168,'DỮ LIỆU'!$J$3:$J$1052))</f>
        <v/>
      </c>
      <c r="I168" s="13" t="str">
        <f aca="false">IF($B168="","",SUMIF('DỮ LIỆU'!$C$3:$C$1052,$B168,'DỮ LIỆU'!$M$3:$M$1052))</f>
        <v/>
      </c>
      <c r="J168" s="13" t="str">
        <f aca="false">IF($B168="","",SUMIF('DỮ LIỆU'!$C$3:$C$1052,$B168,'DỮ LIỆU'!$N$3:$N$1052))</f>
        <v/>
      </c>
      <c r="K168" s="13" t="str">
        <f aca="false">IF($B168="","",SUMIF('DỮ LIỆU'!$C$3:$C$1052,$B168,'DỮ LIỆU'!$O$3:$O$1052))</f>
        <v/>
      </c>
      <c r="L168" s="13" t="str">
        <f aca="false">IF($B168="","",SUMIF('DỮ LIỆU'!$C$3:$C$1052,$B168,'DỮ LIỆU'!$Q$3:$Q$1052))</f>
        <v/>
      </c>
      <c r="M168" s="41" t="str">
        <f aca="false">IF($B168="","",IF(SUMPRODUCT(MAX(('DỮ LIỆU'!$C$3:$C$1052=$B168)*'DỮ LIỆU'!$Z$3:$Z$1052))=0,"",SUMPRODUCT(MAX(('DỮ LIỆU'!$C$3:$C$1052=$B168)*'DỮ LIỆU'!$Z$3:$Z$1052))))</f>
        <v/>
      </c>
      <c r="N168" s="21" t="str">
        <f aca="false">IF($B168="","",IF($G168=0,"Chưa có đơn",IF(COUNTIFS('DỮ LIỆU'!$C$3:$C$1052,$B168,'DỮ LIỆU'!$K$3:$K$1052,"&gt;0")&gt;0,"Có lấy VAT","Không lấy VAT")))</f>
        <v/>
      </c>
    </row>
    <row r="169" customFormat="false" ht="15" hidden="false" customHeight="false" outlineLevel="0" collapsed="false">
      <c r="A169" s="21" t="str">
        <f aca="false">IF($B169="","",164)</f>
        <v/>
      </c>
      <c r="B169" s="21" t="str">
        <f aca="false">IFERROR(INDEX('DỮ LIỆU'!$C$3:$C$1052,MATCH(164,'DỮ LIỆU'!$W$3:$W$1052,0)),"")</f>
        <v/>
      </c>
      <c r="C169" s="21" t="str">
        <f aca="false">IF($B169="","",IFERROR(IF(INDEX('DỮ LIỆU'!$D$3:$D$1052,MATCH($B169,'DỮ LIỆU'!$C$3:$C$1052,0))="","",INDEX('DỮ LIỆU'!$D$3:$D$1052,MATCH($B169,'DỮ LIỆU'!$C$3:$C$1052,0))),""))</f>
        <v/>
      </c>
      <c r="D169" s="21" t="str">
        <f aca="false">IF($B169="","",IFERROR(IF(INDEX('DỮ LIỆU'!$E$3:$E$1052,MATCH($B169,'DỮ LIỆU'!$C$3:$C$1052,0))="","",INDEX('DỮ LIỆU'!$E$3:$E$1052,MATCH($B169,'DỮ LIỆU'!$C$3:$C$1052,0))),""))</f>
        <v/>
      </c>
      <c r="E169" s="21" t="str">
        <f aca="false">IF($B169="","",IFERROR(IF(INDEX('DỮ LIỆU'!$F$3:$F$1052,MATCH($B169,'DỮ LIỆU'!$C$3:$C$1052,0))="","",INDEX('DỮ LIỆU'!$F$3:$F$1052,MATCH($B169,'DỮ LIỆU'!$C$3:$C$1052,0))),""))</f>
        <v/>
      </c>
      <c r="F169" s="21" t="str">
        <f aca="false">IF($B169="","",IFERROR(IF(INDEX('DỮ LIỆU'!$G$3:$G$1052,MATCH($B169,'DỮ LIỆU'!$C$3:$C$1052,0))="","",INDEX('DỮ LIỆU'!$G$3:$G$1052,MATCH($B169,'DỮ LIỆU'!$C$3:$C$1052,0))),""))</f>
        <v/>
      </c>
      <c r="G169" s="13" t="str">
        <f aca="false">IF($B169="","",COUNTIFS('DỮ LIỆU'!$C$3:$C$1052,$B169,'DỮ LIỆU'!$J$3:$J$1052,"&gt;0"))</f>
        <v/>
      </c>
      <c r="H169" s="13" t="str">
        <f aca="false">IF($B169="","",SUMIF('DỮ LIỆU'!$C$3:$C$1052,$B169,'DỮ LIỆU'!$J$3:$J$1052))</f>
        <v/>
      </c>
      <c r="I169" s="13" t="str">
        <f aca="false">IF($B169="","",SUMIF('DỮ LIỆU'!$C$3:$C$1052,$B169,'DỮ LIỆU'!$M$3:$M$1052))</f>
        <v/>
      </c>
      <c r="J169" s="13" t="str">
        <f aca="false">IF($B169="","",SUMIF('DỮ LIỆU'!$C$3:$C$1052,$B169,'DỮ LIỆU'!$N$3:$N$1052))</f>
        <v/>
      </c>
      <c r="K169" s="13" t="str">
        <f aca="false">IF($B169="","",SUMIF('DỮ LIỆU'!$C$3:$C$1052,$B169,'DỮ LIỆU'!$O$3:$O$1052))</f>
        <v/>
      </c>
      <c r="L169" s="13" t="str">
        <f aca="false">IF($B169="","",SUMIF('DỮ LIỆU'!$C$3:$C$1052,$B169,'DỮ LIỆU'!$Q$3:$Q$1052))</f>
        <v/>
      </c>
      <c r="M169" s="41" t="str">
        <f aca="false">IF($B169="","",IF(SUMPRODUCT(MAX(('DỮ LIỆU'!$C$3:$C$1052=$B169)*'DỮ LIỆU'!$Z$3:$Z$1052))=0,"",SUMPRODUCT(MAX(('DỮ LIỆU'!$C$3:$C$1052=$B169)*'DỮ LIỆU'!$Z$3:$Z$1052))))</f>
        <v/>
      </c>
      <c r="N169" s="21" t="str">
        <f aca="false">IF($B169="","",IF($G169=0,"Chưa có đơn",IF(COUNTIFS('DỮ LIỆU'!$C$3:$C$1052,$B169,'DỮ LIỆU'!$K$3:$K$1052,"&gt;0")&gt;0,"Có lấy VAT","Không lấy VAT")))</f>
        <v/>
      </c>
    </row>
    <row r="170" customFormat="false" ht="15" hidden="false" customHeight="false" outlineLevel="0" collapsed="false">
      <c r="A170" s="21" t="str">
        <f aca="false">IF($B170="","",165)</f>
        <v/>
      </c>
      <c r="B170" s="21" t="str">
        <f aca="false">IFERROR(INDEX('DỮ LIỆU'!$C$3:$C$1052,MATCH(165,'DỮ LIỆU'!$W$3:$W$1052,0)),"")</f>
        <v/>
      </c>
      <c r="C170" s="21" t="str">
        <f aca="false">IF($B170="","",IFERROR(IF(INDEX('DỮ LIỆU'!$D$3:$D$1052,MATCH($B170,'DỮ LIỆU'!$C$3:$C$1052,0))="","",INDEX('DỮ LIỆU'!$D$3:$D$1052,MATCH($B170,'DỮ LIỆU'!$C$3:$C$1052,0))),""))</f>
        <v/>
      </c>
      <c r="D170" s="21" t="str">
        <f aca="false">IF($B170="","",IFERROR(IF(INDEX('DỮ LIỆU'!$E$3:$E$1052,MATCH($B170,'DỮ LIỆU'!$C$3:$C$1052,0))="","",INDEX('DỮ LIỆU'!$E$3:$E$1052,MATCH($B170,'DỮ LIỆU'!$C$3:$C$1052,0))),""))</f>
        <v/>
      </c>
      <c r="E170" s="21" t="str">
        <f aca="false">IF($B170="","",IFERROR(IF(INDEX('DỮ LIỆU'!$F$3:$F$1052,MATCH($B170,'DỮ LIỆU'!$C$3:$C$1052,0))="","",INDEX('DỮ LIỆU'!$F$3:$F$1052,MATCH($B170,'DỮ LIỆU'!$C$3:$C$1052,0))),""))</f>
        <v/>
      </c>
      <c r="F170" s="21" t="str">
        <f aca="false">IF($B170="","",IFERROR(IF(INDEX('DỮ LIỆU'!$G$3:$G$1052,MATCH($B170,'DỮ LIỆU'!$C$3:$C$1052,0))="","",INDEX('DỮ LIỆU'!$G$3:$G$1052,MATCH($B170,'DỮ LIỆU'!$C$3:$C$1052,0))),""))</f>
        <v/>
      </c>
      <c r="G170" s="13" t="str">
        <f aca="false">IF($B170="","",COUNTIFS('DỮ LIỆU'!$C$3:$C$1052,$B170,'DỮ LIỆU'!$J$3:$J$1052,"&gt;0"))</f>
        <v/>
      </c>
      <c r="H170" s="13" t="str">
        <f aca="false">IF($B170="","",SUMIF('DỮ LIỆU'!$C$3:$C$1052,$B170,'DỮ LIỆU'!$J$3:$J$1052))</f>
        <v/>
      </c>
      <c r="I170" s="13" t="str">
        <f aca="false">IF($B170="","",SUMIF('DỮ LIỆU'!$C$3:$C$1052,$B170,'DỮ LIỆU'!$M$3:$M$1052))</f>
        <v/>
      </c>
      <c r="J170" s="13" t="str">
        <f aca="false">IF($B170="","",SUMIF('DỮ LIỆU'!$C$3:$C$1052,$B170,'DỮ LIỆU'!$N$3:$N$1052))</f>
        <v/>
      </c>
      <c r="K170" s="13" t="str">
        <f aca="false">IF($B170="","",SUMIF('DỮ LIỆU'!$C$3:$C$1052,$B170,'DỮ LIỆU'!$O$3:$O$1052))</f>
        <v/>
      </c>
      <c r="L170" s="13" t="str">
        <f aca="false">IF($B170="","",SUMIF('DỮ LIỆU'!$C$3:$C$1052,$B170,'DỮ LIỆU'!$Q$3:$Q$1052))</f>
        <v/>
      </c>
      <c r="M170" s="41" t="str">
        <f aca="false">IF($B170="","",IF(SUMPRODUCT(MAX(('DỮ LIỆU'!$C$3:$C$1052=$B170)*'DỮ LIỆU'!$Z$3:$Z$1052))=0,"",SUMPRODUCT(MAX(('DỮ LIỆU'!$C$3:$C$1052=$B170)*'DỮ LIỆU'!$Z$3:$Z$1052))))</f>
        <v/>
      </c>
      <c r="N170" s="21" t="str">
        <f aca="false">IF($B170="","",IF($G170=0,"Chưa có đơn",IF(COUNTIFS('DỮ LIỆU'!$C$3:$C$1052,$B170,'DỮ LIỆU'!$K$3:$K$1052,"&gt;0")&gt;0,"Có lấy VAT","Không lấy VAT")))</f>
        <v/>
      </c>
    </row>
    <row r="171" customFormat="false" ht="15" hidden="false" customHeight="false" outlineLevel="0" collapsed="false">
      <c r="A171" s="21" t="str">
        <f aca="false">IF($B171="","",166)</f>
        <v/>
      </c>
      <c r="B171" s="21" t="str">
        <f aca="false">IFERROR(INDEX('DỮ LIỆU'!$C$3:$C$1052,MATCH(166,'DỮ LIỆU'!$W$3:$W$1052,0)),"")</f>
        <v/>
      </c>
      <c r="C171" s="21" t="str">
        <f aca="false">IF($B171="","",IFERROR(IF(INDEX('DỮ LIỆU'!$D$3:$D$1052,MATCH($B171,'DỮ LIỆU'!$C$3:$C$1052,0))="","",INDEX('DỮ LIỆU'!$D$3:$D$1052,MATCH($B171,'DỮ LIỆU'!$C$3:$C$1052,0))),""))</f>
        <v/>
      </c>
      <c r="D171" s="21" t="str">
        <f aca="false">IF($B171="","",IFERROR(IF(INDEX('DỮ LIỆU'!$E$3:$E$1052,MATCH($B171,'DỮ LIỆU'!$C$3:$C$1052,0))="","",INDEX('DỮ LIỆU'!$E$3:$E$1052,MATCH($B171,'DỮ LIỆU'!$C$3:$C$1052,0))),""))</f>
        <v/>
      </c>
      <c r="E171" s="21" t="str">
        <f aca="false">IF($B171="","",IFERROR(IF(INDEX('DỮ LIỆU'!$F$3:$F$1052,MATCH($B171,'DỮ LIỆU'!$C$3:$C$1052,0))="","",INDEX('DỮ LIỆU'!$F$3:$F$1052,MATCH($B171,'DỮ LIỆU'!$C$3:$C$1052,0))),""))</f>
        <v/>
      </c>
      <c r="F171" s="21" t="str">
        <f aca="false">IF($B171="","",IFERROR(IF(INDEX('DỮ LIỆU'!$G$3:$G$1052,MATCH($B171,'DỮ LIỆU'!$C$3:$C$1052,0))="","",INDEX('DỮ LIỆU'!$G$3:$G$1052,MATCH($B171,'DỮ LIỆU'!$C$3:$C$1052,0))),""))</f>
        <v/>
      </c>
      <c r="G171" s="13" t="str">
        <f aca="false">IF($B171="","",COUNTIFS('DỮ LIỆU'!$C$3:$C$1052,$B171,'DỮ LIỆU'!$J$3:$J$1052,"&gt;0"))</f>
        <v/>
      </c>
      <c r="H171" s="13" t="str">
        <f aca="false">IF($B171="","",SUMIF('DỮ LIỆU'!$C$3:$C$1052,$B171,'DỮ LIỆU'!$J$3:$J$1052))</f>
        <v/>
      </c>
      <c r="I171" s="13" t="str">
        <f aca="false">IF($B171="","",SUMIF('DỮ LIỆU'!$C$3:$C$1052,$B171,'DỮ LIỆU'!$M$3:$M$1052))</f>
        <v/>
      </c>
      <c r="J171" s="13" t="str">
        <f aca="false">IF($B171="","",SUMIF('DỮ LIỆU'!$C$3:$C$1052,$B171,'DỮ LIỆU'!$N$3:$N$1052))</f>
        <v/>
      </c>
      <c r="K171" s="13" t="str">
        <f aca="false">IF($B171="","",SUMIF('DỮ LIỆU'!$C$3:$C$1052,$B171,'DỮ LIỆU'!$O$3:$O$1052))</f>
        <v/>
      </c>
      <c r="L171" s="13" t="str">
        <f aca="false">IF($B171="","",SUMIF('DỮ LIỆU'!$C$3:$C$1052,$B171,'DỮ LIỆU'!$Q$3:$Q$1052))</f>
        <v/>
      </c>
      <c r="M171" s="41" t="str">
        <f aca="false">IF($B171="","",IF(SUMPRODUCT(MAX(('DỮ LIỆU'!$C$3:$C$1052=$B171)*'DỮ LIỆU'!$Z$3:$Z$1052))=0,"",SUMPRODUCT(MAX(('DỮ LIỆU'!$C$3:$C$1052=$B171)*'DỮ LIỆU'!$Z$3:$Z$1052))))</f>
        <v/>
      </c>
      <c r="N171" s="21" t="str">
        <f aca="false">IF($B171="","",IF($G171=0,"Chưa có đơn",IF(COUNTIFS('DỮ LIỆU'!$C$3:$C$1052,$B171,'DỮ LIỆU'!$K$3:$K$1052,"&gt;0")&gt;0,"Có lấy VAT","Không lấy VAT")))</f>
        <v/>
      </c>
    </row>
    <row r="172" customFormat="false" ht="15" hidden="false" customHeight="false" outlineLevel="0" collapsed="false">
      <c r="A172" s="21" t="str">
        <f aca="false">IF($B172="","",167)</f>
        <v/>
      </c>
      <c r="B172" s="21" t="str">
        <f aca="false">IFERROR(INDEX('DỮ LIỆU'!$C$3:$C$1052,MATCH(167,'DỮ LIỆU'!$W$3:$W$1052,0)),"")</f>
        <v/>
      </c>
      <c r="C172" s="21" t="str">
        <f aca="false">IF($B172="","",IFERROR(IF(INDEX('DỮ LIỆU'!$D$3:$D$1052,MATCH($B172,'DỮ LIỆU'!$C$3:$C$1052,0))="","",INDEX('DỮ LIỆU'!$D$3:$D$1052,MATCH($B172,'DỮ LIỆU'!$C$3:$C$1052,0))),""))</f>
        <v/>
      </c>
      <c r="D172" s="21" t="str">
        <f aca="false">IF($B172="","",IFERROR(IF(INDEX('DỮ LIỆU'!$E$3:$E$1052,MATCH($B172,'DỮ LIỆU'!$C$3:$C$1052,0))="","",INDEX('DỮ LIỆU'!$E$3:$E$1052,MATCH($B172,'DỮ LIỆU'!$C$3:$C$1052,0))),""))</f>
        <v/>
      </c>
      <c r="E172" s="21" t="str">
        <f aca="false">IF($B172="","",IFERROR(IF(INDEX('DỮ LIỆU'!$F$3:$F$1052,MATCH($B172,'DỮ LIỆU'!$C$3:$C$1052,0))="","",INDEX('DỮ LIỆU'!$F$3:$F$1052,MATCH($B172,'DỮ LIỆU'!$C$3:$C$1052,0))),""))</f>
        <v/>
      </c>
      <c r="F172" s="21" t="str">
        <f aca="false">IF($B172="","",IFERROR(IF(INDEX('DỮ LIỆU'!$G$3:$G$1052,MATCH($B172,'DỮ LIỆU'!$C$3:$C$1052,0))="","",INDEX('DỮ LIỆU'!$G$3:$G$1052,MATCH($B172,'DỮ LIỆU'!$C$3:$C$1052,0))),""))</f>
        <v/>
      </c>
      <c r="G172" s="13" t="str">
        <f aca="false">IF($B172="","",COUNTIFS('DỮ LIỆU'!$C$3:$C$1052,$B172,'DỮ LIỆU'!$J$3:$J$1052,"&gt;0"))</f>
        <v/>
      </c>
      <c r="H172" s="13" t="str">
        <f aca="false">IF($B172="","",SUMIF('DỮ LIỆU'!$C$3:$C$1052,$B172,'DỮ LIỆU'!$J$3:$J$1052))</f>
        <v/>
      </c>
      <c r="I172" s="13" t="str">
        <f aca="false">IF($B172="","",SUMIF('DỮ LIỆU'!$C$3:$C$1052,$B172,'DỮ LIỆU'!$M$3:$M$1052))</f>
        <v/>
      </c>
      <c r="J172" s="13" t="str">
        <f aca="false">IF($B172="","",SUMIF('DỮ LIỆU'!$C$3:$C$1052,$B172,'DỮ LIỆU'!$N$3:$N$1052))</f>
        <v/>
      </c>
      <c r="K172" s="13" t="str">
        <f aca="false">IF($B172="","",SUMIF('DỮ LIỆU'!$C$3:$C$1052,$B172,'DỮ LIỆU'!$O$3:$O$1052))</f>
        <v/>
      </c>
      <c r="L172" s="13" t="str">
        <f aca="false">IF($B172="","",SUMIF('DỮ LIỆU'!$C$3:$C$1052,$B172,'DỮ LIỆU'!$Q$3:$Q$1052))</f>
        <v/>
      </c>
      <c r="M172" s="41" t="str">
        <f aca="false">IF($B172="","",IF(SUMPRODUCT(MAX(('DỮ LIỆU'!$C$3:$C$1052=$B172)*'DỮ LIỆU'!$Z$3:$Z$1052))=0,"",SUMPRODUCT(MAX(('DỮ LIỆU'!$C$3:$C$1052=$B172)*'DỮ LIỆU'!$Z$3:$Z$1052))))</f>
        <v/>
      </c>
      <c r="N172" s="21" t="str">
        <f aca="false">IF($B172="","",IF($G172=0,"Chưa có đơn",IF(COUNTIFS('DỮ LIỆU'!$C$3:$C$1052,$B172,'DỮ LIỆU'!$K$3:$K$1052,"&gt;0")&gt;0,"Có lấy VAT","Không lấy VAT")))</f>
        <v/>
      </c>
    </row>
    <row r="173" customFormat="false" ht="15" hidden="false" customHeight="false" outlineLevel="0" collapsed="false">
      <c r="A173" s="21" t="str">
        <f aca="false">IF($B173="","",168)</f>
        <v/>
      </c>
      <c r="B173" s="21" t="str">
        <f aca="false">IFERROR(INDEX('DỮ LIỆU'!$C$3:$C$1052,MATCH(168,'DỮ LIỆU'!$W$3:$W$1052,0)),"")</f>
        <v/>
      </c>
      <c r="C173" s="21" t="str">
        <f aca="false">IF($B173="","",IFERROR(IF(INDEX('DỮ LIỆU'!$D$3:$D$1052,MATCH($B173,'DỮ LIỆU'!$C$3:$C$1052,0))="","",INDEX('DỮ LIỆU'!$D$3:$D$1052,MATCH($B173,'DỮ LIỆU'!$C$3:$C$1052,0))),""))</f>
        <v/>
      </c>
      <c r="D173" s="21" t="str">
        <f aca="false">IF($B173="","",IFERROR(IF(INDEX('DỮ LIỆU'!$E$3:$E$1052,MATCH($B173,'DỮ LIỆU'!$C$3:$C$1052,0))="","",INDEX('DỮ LIỆU'!$E$3:$E$1052,MATCH($B173,'DỮ LIỆU'!$C$3:$C$1052,0))),""))</f>
        <v/>
      </c>
      <c r="E173" s="21" t="str">
        <f aca="false">IF($B173="","",IFERROR(IF(INDEX('DỮ LIỆU'!$F$3:$F$1052,MATCH($B173,'DỮ LIỆU'!$C$3:$C$1052,0))="","",INDEX('DỮ LIỆU'!$F$3:$F$1052,MATCH($B173,'DỮ LIỆU'!$C$3:$C$1052,0))),""))</f>
        <v/>
      </c>
      <c r="F173" s="21" t="str">
        <f aca="false">IF($B173="","",IFERROR(IF(INDEX('DỮ LIỆU'!$G$3:$G$1052,MATCH($B173,'DỮ LIỆU'!$C$3:$C$1052,0))="","",INDEX('DỮ LIỆU'!$G$3:$G$1052,MATCH($B173,'DỮ LIỆU'!$C$3:$C$1052,0))),""))</f>
        <v/>
      </c>
      <c r="G173" s="13" t="str">
        <f aca="false">IF($B173="","",COUNTIFS('DỮ LIỆU'!$C$3:$C$1052,$B173,'DỮ LIỆU'!$J$3:$J$1052,"&gt;0"))</f>
        <v/>
      </c>
      <c r="H173" s="13" t="str">
        <f aca="false">IF($B173="","",SUMIF('DỮ LIỆU'!$C$3:$C$1052,$B173,'DỮ LIỆU'!$J$3:$J$1052))</f>
        <v/>
      </c>
      <c r="I173" s="13" t="str">
        <f aca="false">IF($B173="","",SUMIF('DỮ LIỆU'!$C$3:$C$1052,$B173,'DỮ LIỆU'!$M$3:$M$1052))</f>
        <v/>
      </c>
      <c r="J173" s="13" t="str">
        <f aca="false">IF($B173="","",SUMIF('DỮ LIỆU'!$C$3:$C$1052,$B173,'DỮ LIỆU'!$N$3:$N$1052))</f>
        <v/>
      </c>
      <c r="K173" s="13" t="str">
        <f aca="false">IF($B173="","",SUMIF('DỮ LIỆU'!$C$3:$C$1052,$B173,'DỮ LIỆU'!$O$3:$O$1052))</f>
        <v/>
      </c>
      <c r="L173" s="13" t="str">
        <f aca="false">IF($B173="","",SUMIF('DỮ LIỆU'!$C$3:$C$1052,$B173,'DỮ LIỆU'!$Q$3:$Q$1052))</f>
        <v/>
      </c>
      <c r="M173" s="41" t="str">
        <f aca="false">IF($B173="","",IF(SUMPRODUCT(MAX(('DỮ LIỆU'!$C$3:$C$1052=$B173)*'DỮ LIỆU'!$Z$3:$Z$1052))=0,"",SUMPRODUCT(MAX(('DỮ LIỆU'!$C$3:$C$1052=$B173)*'DỮ LIỆU'!$Z$3:$Z$1052))))</f>
        <v/>
      </c>
      <c r="N173" s="21" t="str">
        <f aca="false">IF($B173="","",IF($G173=0,"Chưa có đơn",IF(COUNTIFS('DỮ LIỆU'!$C$3:$C$1052,$B173,'DỮ LIỆU'!$K$3:$K$1052,"&gt;0")&gt;0,"Có lấy VAT","Không lấy VAT")))</f>
        <v/>
      </c>
    </row>
    <row r="174" customFormat="false" ht="15" hidden="false" customHeight="false" outlineLevel="0" collapsed="false">
      <c r="A174" s="21" t="str">
        <f aca="false">IF($B174="","",169)</f>
        <v/>
      </c>
      <c r="B174" s="21" t="str">
        <f aca="false">IFERROR(INDEX('DỮ LIỆU'!$C$3:$C$1052,MATCH(169,'DỮ LIỆU'!$W$3:$W$1052,0)),"")</f>
        <v/>
      </c>
      <c r="C174" s="21" t="str">
        <f aca="false">IF($B174="","",IFERROR(IF(INDEX('DỮ LIỆU'!$D$3:$D$1052,MATCH($B174,'DỮ LIỆU'!$C$3:$C$1052,0))="","",INDEX('DỮ LIỆU'!$D$3:$D$1052,MATCH($B174,'DỮ LIỆU'!$C$3:$C$1052,0))),""))</f>
        <v/>
      </c>
      <c r="D174" s="21" t="str">
        <f aca="false">IF($B174="","",IFERROR(IF(INDEX('DỮ LIỆU'!$E$3:$E$1052,MATCH($B174,'DỮ LIỆU'!$C$3:$C$1052,0))="","",INDEX('DỮ LIỆU'!$E$3:$E$1052,MATCH($B174,'DỮ LIỆU'!$C$3:$C$1052,0))),""))</f>
        <v/>
      </c>
      <c r="E174" s="21" t="str">
        <f aca="false">IF($B174="","",IFERROR(IF(INDEX('DỮ LIỆU'!$F$3:$F$1052,MATCH($B174,'DỮ LIỆU'!$C$3:$C$1052,0))="","",INDEX('DỮ LIỆU'!$F$3:$F$1052,MATCH($B174,'DỮ LIỆU'!$C$3:$C$1052,0))),""))</f>
        <v/>
      </c>
      <c r="F174" s="21" t="str">
        <f aca="false">IF($B174="","",IFERROR(IF(INDEX('DỮ LIỆU'!$G$3:$G$1052,MATCH($B174,'DỮ LIỆU'!$C$3:$C$1052,0))="","",INDEX('DỮ LIỆU'!$G$3:$G$1052,MATCH($B174,'DỮ LIỆU'!$C$3:$C$1052,0))),""))</f>
        <v/>
      </c>
      <c r="G174" s="13" t="str">
        <f aca="false">IF($B174="","",COUNTIFS('DỮ LIỆU'!$C$3:$C$1052,$B174,'DỮ LIỆU'!$J$3:$J$1052,"&gt;0"))</f>
        <v/>
      </c>
      <c r="H174" s="13" t="str">
        <f aca="false">IF($B174="","",SUMIF('DỮ LIỆU'!$C$3:$C$1052,$B174,'DỮ LIỆU'!$J$3:$J$1052))</f>
        <v/>
      </c>
      <c r="I174" s="13" t="str">
        <f aca="false">IF($B174="","",SUMIF('DỮ LIỆU'!$C$3:$C$1052,$B174,'DỮ LIỆU'!$M$3:$M$1052))</f>
        <v/>
      </c>
      <c r="J174" s="13" t="str">
        <f aca="false">IF($B174="","",SUMIF('DỮ LIỆU'!$C$3:$C$1052,$B174,'DỮ LIỆU'!$N$3:$N$1052))</f>
        <v/>
      </c>
      <c r="K174" s="13" t="str">
        <f aca="false">IF($B174="","",SUMIF('DỮ LIỆU'!$C$3:$C$1052,$B174,'DỮ LIỆU'!$O$3:$O$1052))</f>
        <v/>
      </c>
      <c r="L174" s="13" t="str">
        <f aca="false">IF($B174="","",SUMIF('DỮ LIỆU'!$C$3:$C$1052,$B174,'DỮ LIỆU'!$Q$3:$Q$1052))</f>
        <v/>
      </c>
      <c r="M174" s="41" t="str">
        <f aca="false">IF($B174="","",IF(SUMPRODUCT(MAX(('DỮ LIỆU'!$C$3:$C$1052=$B174)*'DỮ LIỆU'!$Z$3:$Z$1052))=0,"",SUMPRODUCT(MAX(('DỮ LIỆU'!$C$3:$C$1052=$B174)*'DỮ LIỆU'!$Z$3:$Z$1052))))</f>
        <v/>
      </c>
      <c r="N174" s="21" t="str">
        <f aca="false">IF($B174="","",IF($G174=0,"Chưa có đơn",IF(COUNTIFS('DỮ LIỆU'!$C$3:$C$1052,$B174,'DỮ LIỆU'!$K$3:$K$1052,"&gt;0")&gt;0,"Có lấy VAT","Không lấy VAT")))</f>
        <v/>
      </c>
    </row>
    <row r="175" customFormat="false" ht="15" hidden="false" customHeight="false" outlineLevel="0" collapsed="false">
      <c r="A175" s="21" t="str">
        <f aca="false">IF($B175="","",170)</f>
        <v/>
      </c>
      <c r="B175" s="21" t="str">
        <f aca="false">IFERROR(INDEX('DỮ LIỆU'!$C$3:$C$1052,MATCH(170,'DỮ LIỆU'!$W$3:$W$1052,0)),"")</f>
        <v/>
      </c>
      <c r="C175" s="21" t="str">
        <f aca="false">IF($B175="","",IFERROR(IF(INDEX('DỮ LIỆU'!$D$3:$D$1052,MATCH($B175,'DỮ LIỆU'!$C$3:$C$1052,0))="","",INDEX('DỮ LIỆU'!$D$3:$D$1052,MATCH($B175,'DỮ LIỆU'!$C$3:$C$1052,0))),""))</f>
        <v/>
      </c>
      <c r="D175" s="21" t="str">
        <f aca="false">IF($B175="","",IFERROR(IF(INDEX('DỮ LIỆU'!$E$3:$E$1052,MATCH($B175,'DỮ LIỆU'!$C$3:$C$1052,0))="","",INDEX('DỮ LIỆU'!$E$3:$E$1052,MATCH($B175,'DỮ LIỆU'!$C$3:$C$1052,0))),""))</f>
        <v/>
      </c>
      <c r="E175" s="21" t="str">
        <f aca="false">IF($B175="","",IFERROR(IF(INDEX('DỮ LIỆU'!$F$3:$F$1052,MATCH($B175,'DỮ LIỆU'!$C$3:$C$1052,0))="","",INDEX('DỮ LIỆU'!$F$3:$F$1052,MATCH($B175,'DỮ LIỆU'!$C$3:$C$1052,0))),""))</f>
        <v/>
      </c>
      <c r="F175" s="21" t="str">
        <f aca="false">IF($B175="","",IFERROR(IF(INDEX('DỮ LIỆU'!$G$3:$G$1052,MATCH($B175,'DỮ LIỆU'!$C$3:$C$1052,0))="","",INDEX('DỮ LIỆU'!$G$3:$G$1052,MATCH($B175,'DỮ LIỆU'!$C$3:$C$1052,0))),""))</f>
        <v/>
      </c>
      <c r="G175" s="13" t="str">
        <f aca="false">IF($B175="","",COUNTIFS('DỮ LIỆU'!$C$3:$C$1052,$B175,'DỮ LIỆU'!$J$3:$J$1052,"&gt;0"))</f>
        <v/>
      </c>
      <c r="H175" s="13" t="str">
        <f aca="false">IF($B175="","",SUMIF('DỮ LIỆU'!$C$3:$C$1052,$B175,'DỮ LIỆU'!$J$3:$J$1052))</f>
        <v/>
      </c>
      <c r="I175" s="13" t="str">
        <f aca="false">IF($B175="","",SUMIF('DỮ LIỆU'!$C$3:$C$1052,$B175,'DỮ LIỆU'!$M$3:$M$1052))</f>
        <v/>
      </c>
      <c r="J175" s="13" t="str">
        <f aca="false">IF($B175="","",SUMIF('DỮ LIỆU'!$C$3:$C$1052,$B175,'DỮ LIỆU'!$N$3:$N$1052))</f>
        <v/>
      </c>
      <c r="K175" s="13" t="str">
        <f aca="false">IF($B175="","",SUMIF('DỮ LIỆU'!$C$3:$C$1052,$B175,'DỮ LIỆU'!$O$3:$O$1052))</f>
        <v/>
      </c>
      <c r="L175" s="13" t="str">
        <f aca="false">IF($B175="","",SUMIF('DỮ LIỆU'!$C$3:$C$1052,$B175,'DỮ LIỆU'!$Q$3:$Q$1052))</f>
        <v/>
      </c>
      <c r="M175" s="41" t="str">
        <f aca="false">IF($B175="","",IF(SUMPRODUCT(MAX(('DỮ LIỆU'!$C$3:$C$1052=$B175)*'DỮ LIỆU'!$Z$3:$Z$1052))=0,"",SUMPRODUCT(MAX(('DỮ LIỆU'!$C$3:$C$1052=$B175)*'DỮ LIỆU'!$Z$3:$Z$1052))))</f>
        <v/>
      </c>
      <c r="N175" s="21" t="str">
        <f aca="false">IF($B175="","",IF($G175=0,"Chưa có đơn",IF(COUNTIFS('DỮ LIỆU'!$C$3:$C$1052,$B175,'DỮ LIỆU'!$K$3:$K$1052,"&gt;0")&gt;0,"Có lấy VAT","Không lấy VAT")))</f>
        <v/>
      </c>
    </row>
    <row r="176" customFormat="false" ht="15" hidden="false" customHeight="false" outlineLevel="0" collapsed="false">
      <c r="A176" s="21" t="str">
        <f aca="false">IF($B176="","",171)</f>
        <v/>
      </c>
      <c r="B176" s="21" t="str">
        <f aca="false">IFERROR(INDEX('DỮ LIỆU'!$C$3:$C$1052,MATCH(171,'DỮ LIỆU'!$W$3:$W$1052,0)),"")</f>
        <v/>
      </c>
      <c r="C176" s="21" t="str">
        <f aca="false">IF($B176="","",IFERROR(IF(INDEX('DỮ LIỆU'!$D$3:$D$1052,MATCH($B176,'DỮ LIỆU'!$C$3:$C$1052,0))="","",INDEX('DỮ LIỆU'!$D$3:$D$1052,MATCH($B176,'DỮ LIỆU'!$C$3:$C$1052,0))),""))</f>
        <v/>
      </c>
      <c r="D176" s="21" t="str">
        <f aca="false">IF($B176="","",IFERROR(IF(INDEX('DỮ LIỆU'!$E$3:$E$1052,MATCH($B176,'DỮ LIỆU'!$C$3:$C$1052,0))="","",INDEX('DỮ LIỆU'!$E$3:$E$1052,MATCH($B176,'DỮ LIỆU'!$C$3:$C$1052,0))),""))</f>
        <v/>
      </c>
      <c r="E176" s="21" t="str">
        <f aca="false">IF($B176="","",IFERROR(IF(INDEX('DỮ LIỆU'!$F$3:$F$1052,MATCH($B176,'DỮ LIỆU'!$C$3:$C$1052,0))="","",INDEX('DỮ LIỆU'!$F$3:$F$1052,MATCH($B176,'DỮ LIỆU'!$C$3:$C$1052,0))),""))</f>
        <v/>
      </c>
      <c r="F176" s="21" t="str">
        <f aca="false">IF($B176="","",IFERROR(IF(INDEX('DỮ LIỆU'!$G$3:$G$1052,MATCH($B176,'DỮ LIỆU'!$C$3:$C$1052,0))="","",INDEX('DỮ LIỆU'!$G$3:$G$1052,MATCH($B176,'DỮ LIỆU'!$C$3:$C$1052,0))),""))</f>
        <v/>
      </c>
      <c r="G176" s="13" t="str">
        <f aca="false">IF($B176="","",COUNTIFS('DỮ LIỆU'!$C$3:$C$1052,$B176,'DỮ LIỆU'!$J$3:$J$1052,"&gt;0"))</f>
        <v/>
      </c>
      <c r="H176" s="13" t="str">
        <f aca="false">IF($B176="","",SUMIF('DỮ LIỆU'!$C$3:$C$1052,$B176,'DỮ LIỆU'!$J$3:$J$1052))</f>
        <v/>
      </c>
      <c r="I176" s="13" t="str">
        <f aca="false">IF($B176="","",SUMIF('DỮ LIỆU'!$C$3:$C$1052,$B176,'DỮ LIỆU'!$M$3:$M$1052))</f>
        <v/>
      </c>
      <c r="J176" s="13" t="str">
        <f aca="false">IF($B176="","",SUMIF('DỮ LIỆU'!$C$3:$C$1052,$B176,'DỮ LIỆU'!$N$3:$N$1052))</f>
        <v/>
      </c>
      <c r="K176" s="13" t="str">
        <f aca="false">IF($B176="","",SUMIF('DỮ LIỆU'!$C$3:$C$1052,$B176,'DỮ LIỆU'!$O$3:$O$1052))</f>
        <v/>
      </c>
      <c r="L176" s="13" t="str">
        <f aca="false">IF($B176="","",SUMIF('DỮ LIỆU'!$C$3:$C$1052,$B176,'DỮ LIỆU'!$Q$3:$Q$1052))</f>
        <v/>
      </c>
      <c r="M176" s="41" t="str">
        <f aca="false">IF($B176="","",IF(SUMPRODUCT(MAX(('DỮ LIỆU'!$C$3:$C$1052=$B176)*'DỮ LIỆU'!$Z$3:$Z$1052))=0,"",SUMPRODUCT(MAX(('DỮ LIỆU'!$C$3:$C$1052=$B176)*'DỮ LIỆU'!$Z$3:$Z$1052))))</f>
        <v/>
      </c>
      <c r="N176" s="21" t="str">
        <f aca="false">IF($B176="","",IF($G176=0,"Chưa có đơn",IF(COUNTIFS('DỮ LIỆU'!$C$3:$C$1052,$B176,'DỮ LIỆU'!$K$3:$K$1052,"&gt;0")&gt;0,"Có lấy VAT","Không lấy VAT")))</f>
        <v/>
      </c>
    </row>
    <row r="177" customFormat="false" ht="15" hidden="false" customHeight="false" outlineLevel="0" collapsed="false">
      <c r="A177" s="21" t="str">
        <f aca="false">IF($B177="","",172)</f>
        <v/>
      </c>
      <c r="B177" s="21" t="str">
        <f aca="false">IFERROR(INDEX('DỮ LIỆU'!$C$3:$C$1052,MATCH(172,'DỮ LIỆU'!$W$3:$W$1052,0)),"")</f>
        <v/>
      </c>
      <c r="C177" s="21" t="str">
        <f aca="false">IF($B177="","",IFERROR(IF(INDEX('DỮ LIỆU'!$D$3:$D$1052,MATCH($B177,'DỮ LIỆU'!$C$3:$C$1052,0))="","",INDEX('DỮ LIỆU'!$D$3:$D$1052,MATCH($B177,'DỮ LIỆU'!$C$3:$C$1052,0))),""))</f>
        <v/>
      </c>
      <c r="D177" s="21" t="str">
        <f aca="false">IF($B177="","",IFERROR(IF(INDEX('DỮ LIỆU'!$E$3:$E$1052,MATCH($B177,'DỮ LIỆU'!$C$3:$C$1052,0))="","",INDEX('DỮ LIỆU'!$E$3:$E$1052,MATCH($B177,'DỮ LIỆU'!$C$3:$C$1052,0))),""))</f>
        <v/>
      </c>
      <c r="E177" s="21" t="str">
        <f aca="false">IF($B177="","",IFERROR(IF(INDEX('DỮ LIỆU'!$F$3:$F$1052,MATCH($B177,'DỮ LIỆU'!$C$3:$C$1052,0))="","",INDEX('DỮ LIỆU'!$F$3:$F$1052,MATCH($B177,'DỮ LIỆU'!$C$3:$C$1052,0))),""))</f>
        <v/>
      </c>
      <c r="F177" s="21" t="str">
        <f aca="false">IF($B177="","",IFERROR(IF(INDEX('DỮ LIỆU'!$G$3:$G$1052,MATCH($B177,'DỮ LIỆU'!$C$3:$C$1052,0))="","",INDEX('DỮ LIỆU'!$G$3:$G$1052,MATCH($B177,'DỮ LIỆU'!$C$3:$C$1052,0))),""))</f>
        <v/>
      </c>
      <c r="G177" s="13" t="str">
        <f aca="false">IF($B177="","",COUNTIFS('DỮ LIỆU'!$C$3:$C$1052,$B177,'DỮ LIỆU'!$J$3:$J$1052,"&gt;0"))</f>
        <v/>
      </c>
      <c r="H177" s="13" t="str">
        <f aca="false">IF($B177="","",SUMIF('DỮ LIỆU'!$C$3:$C$1052,$B177,'DỮ LIỆU'!$J$3:$J$1052))</f>
        <v/>
      </c>
      <c r="I177" s="13" t="str">
        <f aca="false">IF($B177="","",SUMIF('DỮ LIỆU'!$C$3:$C$1052,$B177,'DỮ LIỆU'!$M$3:$M$1052))</f>
        <v/>
      </c>
      <c r="J177" s="13" t="str">
        <f aca="false">IF($B177="","",SUMIF('DỮ LIỆU'!$C$3:$C$1052,$B177,'DỮ LIỆU'!$N$3:$N$1052))</f>
        <v/>
      </c>
      <c r="K177" s="13" t="str">
        <f aca="false">IF($B177="","",SUMIF('DỮ LIỆU'!$C$3:$C$1052,$B177,'DỮ LIỆU'!$O$3:$O$1052))</f>
        <v/>
      </c>
      <c r="L177" s="13" t="str">
        <f aca="false">IF($B177="","",SUMIF('DỮ LIỆU'!$C$3:$C$1052,$B177,'DỮ LIỆU'!$Q$3:$Q$1052))</f>
        <v/>
      </c>
      <c r="M177" s="41" t="str">
        <f aca="false">IF($B177="","",IF(SUMPRODUCT(MAX(('DỮ LIỆU'!$C$3:$C$1052=$B177)*'DỮ LIỆU'!$Z$3:$Z$1052))=0,"",SUMPRODUCT(MAX(('DỮ LIỆU'!$C$3:$C$1052=$B177)*'DỮ LIỆU'!$Z$3:$Z$1052))))</f>
        <v/>
      </c>
      <c r="N177" s="21" t="str">
        <f aca="false">IF($B177="","",IF($G177=0,"Chưa có đơn",IF(COUNTIFS('DỮ LIỆU'!$C$3:$C$1052,$B177,'DỮ LIỆU'!$K$3:$K$1052,"&gt;0")&gt;0,"Có lấy VAT","Không lấy VAT")))</f>
        <v/>
      </c>
    </row>
    <row r="178" customFormat="false" ht="15" hidden="false" customHeight="false" outlineLevel="0" collapsed="false">
      <c r="A178" s="21" t="str">
        <f aca="false">IF($B178="","",173)</f>
        <v/>
      </c>
      <c r="B178" s="21" t="str">
        <f aca="false">IFERROR(INDEX('DỮ LIỆU'!$C$3:$C$1052,MATCH(173,'DỮ LIỆU'!$W$3:$W$1052,0)),"")</f>
        <v/>
      </c>
      <c r="C178" s="21" t="str">
        <f aca="false">IF($B178="","",IFERROR(IF(INDEX('DỮ LIỆU'!$D$3:$D$1052,MATCH($B178,'DỮ LIỆU'!$C$3:$C$1052,0))="","",INDEX('DỮ LIỆU'!$D$3:$D$1052,MATCH($B178,'DỮ LIỆU'!$C$3:$C$1052,0))),""))</f>
        <v/>
      </c>
      <c r="D178" s="21" t="str">
        <f aca="false">IF($B178="","",IFERROR(IF(INDEX('DỮ LIỆU'!$E$3:$E$1052,MATCH($B178,'DỮ LIỆU'!$C$3:$C$1052,0))="","",INDEX('DỮ LIỆU'!$E$3:$E$1052,MATCH($B178,'DỮ LIỆU'!$C$3:$C$1052,0))),""))</f>
        <v/>
      </c>
      <c r="E178" s="21" t="str">
        <f aca="false">IF($B178="","",IFERROR(IF(INDEX('DỮ LIỆU'!$F$3:$F$1052,MATCH($B178,'DỮ LIỆU'!$C$3:$C$1052,0))="","",INDEX('DỮ LIỆU'!$F$3:$F$1052,MATCH($B178,'DỮ LIỆU'!$C$3:$C$1052,0))),""))</f>
        <v/>
      </c>
      <c r="F178" s="21" t="str">
        <f aca="false">IF($B178="","",IFERROR(IF(INDEX('DỮ LIỆU'!$G$3:$G$1052,MATCH($B178,'DỮ LIỆU'!$C$3:$C$1052,0))="","",INDEX('DỮ LIỆU'!$G$3:$G$1052,MATCH($B178,'DỮ LIỆU'!$C$3:$C$1052,0))),""))</f>
        <v/>
      </c>
      <c r="G178" s="13" t="str">
        <f aca="false">IF($B178="","",COUNTIFS('DỮ LIỆU'!$C$3:$C$1052,$B178,'DỮ LIỆU'!$J$3:$J$1052,"&gt;0"))</f>
        <v/>
      </c>
      <c r="H178" s="13" t="str">
        <f aca="false">IF($B178="","",SUMIF('DỮ LIỆU'!$C$3:$C$1052,$B178,'DỮ LIỆU'!$J$3:$J$1052))</f>
        <v/>
      </c>
      <c r="I178" s="13" t="str">
        <f aca="false">IF($B178="","",SUMIF('DỮ LIỆU'!$C$3:$C$1052,$B178,'DỮ LIỆU'!$M$3:$M$1052))</f>
        <v/>
      </c>
      <c r="J178" s="13" t="str">
        <f aca="false">IF($B178="","",SUMIF('DỮ LIỆU'!$C$3:$C$1052,$B178,'DỮ LIỆU'!$N$3:$N$1052))</f>
        <v/>
      </c>
      <c r="K178" s="13" t="str">
        <f aca="false">IF($B178="","",SUMIF('DỮ LIỆU'!$C$3:$C$1052,$B178,'DỮ LIỆU'!$O$3:$O$1052))</f>
        <v/>
      </c>
      <c r="L178" s="13" t="str">
        <f aca="false">IF($B178="","",SUMIF('DỮ LIỆU'!$C$3:$C$1052,$B178,'DỮ LIỆU'!$Q$3:$Q$1052))</f>
        <v/>
      </c>
      <c r="M178" s="41" t="str">
        <f aca="false">IF($B178="","",IF(SUMPRODUCT(MAX(('DỮ LIỆU'!$C$3:$C$1052=$B178)*'DỮ LIỆU'!$Z$3:$Z$1052))=0,"",SUMPRODUCT(MAX(('DỮ LIỆU'!$C$3:$C$1052=$B178)*'DỮ LIỆU'!$Z$3:$Z$1052))))</f>
        <v/>
      </c>
      <c r="N178" s="21" t="str">
        <f aca="false">IF($B178="","",IF($G178=0,"Chưa có đơn",IF(COUNTIFS('DỮ LIỆU'!$C$3:$C$1052,$B178,'DỮ LIỆU'!$K$3:$K$1052,"&gt;0")&gt;0,"Có lấy VAT","Không lấy VAT")))</f>
        <v/>
      </c>
    </row>
    <row r="179" customFormat="false" ht="15" hidden="false" customHeight="false" outlineLevel="0" collapsed="false">
      <c r="A179" s="21" t="str">
        <f aca="false">IF($B179="","",174)</f>
        <v/>
      </c>
      <c r="B179" s="21" t="str">
        <f aca="false">IFERROR(INDEX('DỮ LIỆU'!$C$3:$C$1052,MATCH(174,'DỮ LIỆU'!$W$3:$W$1052,0)),"")</f>
        <v/>
      </c>
      <c r="C179" s="21" t="str">
        <f aca="false">IF($B179="","",IFERROR(IF(INDEX('DỮ LIỆU'!$D$3:$D$1052,MATCH($B179,'DỮ LIỆU'!$C$3:$C$1052,0))="","",INDEX('DỮ LIỆU'!$D$3:$D$1052,MATCH($B179,'DỮ LIỆU'!$C$3:$C$1052,0))),""))</f>
        <v/>
      </c>
      <c r="D179" s="21" t="str">
        <f aca="false">IF($B179="","",IFERROR(IF(INDEX('DỮ LIỆU'!$E$3:$E$1052,MATCH($B179,'DỮ LIỆU'!$C$3:$C$1052,0))="","",INDEX('DỮ LIỆU'!$E$3:$E$1052,MATCH($B179,'DỮ LIỆU'!$C$3:$C$1052,0))),""))</f>
        <v/>
      </c>
      <c r="E179" s="21" t="str">
        <f aca="false">IF($B179="","",IFERROR(IF(INDEX('DỮ LIỆU'!$F$3:$F$1052,MATCH($B179,'DỮ LIỆU'!$C$3:$C$1052,0))="","",INDEX('DỮ LIỆU'!$F$3:$F$1052,MATCH($B179,'DỮ LIỆU'!$C$3:$C$1052,0))),""))</f>
        <v/>
      </c>
      <c r="F179" s="21" t="str">
        <f aca="false">IF($B179="","",IFERROR(IF(INDEX('DỮ LIỆU'!$G$3:$G$1052,MATCH($B179,'DỮ LIỆU'!$C$3:$C$1052,0))="","",INDEX('DỮ LIỆU'!$G$3:$G$1052,MATCH($B179,'DỮ LIỆU'!$C$3:$C$1052,0))),""))</f>
        <v/>
      </c>
      <c r="G179" s="13" t="str">
        <f aca="false">IF($B179="","",COUNTIFS('DỮ LIỆU'!$C$3:$C$1052,$B179,'DỮ LIỆU'!$J$3:$J$1052,"&gt;0"))</f>
        <v/>
      </c>
      <c r="H179" s="13" t="str">
        <f aca="false">IF($B179="","",SUMIF('DỮ LIỆU'!$C$3:$C$1052,$B179,'DỮ LIỆU'!$J$3:$J$1052))</f>
        <v/>
      </c>
      <c r="I179" s="13" t="str">
        <f aca="false">IF($B179="","",SUMIF('DỮ LIỆU'!$C$3:$C$1052,$B179,'DỮ LIỆU'!$M$3:$M$1052))</f>
        <v/>
      </c>
      <c r="J179" s="13" t="str">
        <f aca="false">IF($B179="","",SUMIF('DỮ LIỆU'!$C$3:$C$1052,$B179,'DỮ LIỆU'!$N$3:$N$1052))</f>
        <v/>
      </c>
      <c r="K179" s="13" t="str">
        <f aca="false">IF($B179="","",SUMIF('DỮ LIỆU'!$C$3:$C$1052,$B179,'DỮ LIỆU'!$O$3:$O$1052))</f>
        <v/>
      </c>
      <c r="L179" s="13" t="str">
        <f aca="false">IF($B179="","",SUMIF('DỮ LIỆU'!$C$3:$C$1052,$B179,'DỮ LIỆU'!$Q$3:$Q$1052))</f>
        <v/>
      </c>
      <c r="M179" s="41" t="str">
        <f aca="false">IF($B179="","",IF(SUMPRODUCT(MAX(('DỮ LIỆU'!$C$3:$C$1052=$B179)*'DỮ LIỆU'!$Z$3:$Z$1052))=0,"",SUMPRODUCT(MAX(('DỮ LIỆU'!$C$3:$C$1052=$B179)*'DỮ LIỆU'!$Z$3:$Z$1052))))</f>
        <v/>
      </c>
      <c r="N179" s="21" t="str">
        <f aca="false">IF($B179="","",IF($G179=0,"Chưa có đơn",IF(COUNTIFS('DỮ LIỆU'!$C$3:$C$1052,$B179,'DỮ LIỆU'!$K$3:$K$1052,"&gt;0")&gt;0,"Có lấy VAT","Không lấy VAT")))</f>
        <v/>
      </c>
    </row>
    <row r="180" customFormat="false" ht="15" hidden="false" customHeight="false" outlineLevel="0" collapsed="false">
      <c r="A180" s="21" t="str">
        <f aca="false">IF($B180="","",175)</f>
        <v/>
      </c>
      <c r="B180" s="21" t="str">
        <f aca="false">IFERROR(INDEX('DỮ LIỆU'!$C$3:$C$1052,MATCH(175,'DỮ LIỆU'!$W$3:$W$1052,0)),"")</f>
        <v/>
      </c>
      <c r="C180" s="21" t="str">
        <f aca="false">IF($B180="","",IFERROR(IF(INDEX('DỮ LIỆU'!$D$3:$D$1052,MATCH($B180,'DỮ LIỆU'!$C$3:$C$1052,0))="","",INDEX('DỮ LIỆU'!$D$3:$D$1052,MATCH($B180,'DỮ LIỆU'!$C$3:$C$1052,0))),""))</f>
        <v/>
      </c>
      <c r="D180" s="21" t="str">
        <f aca="false">IF($B180="","",IFERROR(IF(INDEX('DỮ LIỆU'!$E$3:$E$1052,MATCH($B180,'DỮ LIỆU'!$C$3:$C$1052,0))="","",INDEX('DỮ LIỆU'!$E$3:$E$1052,MATCH($B180,'DỮ LIỆU'!$C$3:$C$1052,0))),""))</f>
        <v/>
      </c>
      <c r="E180" s="21" t="str">
        <f aca="false">IF($B180="","",IFERROR(IF(INDEX('DỮ LIỆU'!$F$3:$F$1052,MATCH($B180,'DỮ LIỆU'!$C$3:$C$1052,0))="","",INDEX('DỮ LIỆU'!$F$3:$F$1052,MATCH($B180,'DỮ LIỆU'!$C$3:$C$1052,0))),""))</f>
        <v/>
      </c>
      <c r="F180" s="21" t="str">
        <f aca="false">IF($B180="","",IFERROR(IF(INDEX('DỮ LIỆU'!$G$3:$G$1052,MATCH($B180,'DỮ LIỆU'!$C$3:$C$1052,0))="","",INDEX('DỮ LIỆU'!$G$3:$G$1052,MATCH($B180,'DỮ LIỆU'!$C$3:$C$1052,0))),""))</f>
        <v/>
      </c>
      <c r="G180" s="13" t="str">
        <f aca="false">IF($B180="","",COUNTIFS('DỮ LIỆU'!$C$3:$C$1052,$B180,'DỮ LIỆU'!$J$3:$J$1052,"&gt;0"))</f>
        <v/>
      </c>
      <c r="H180" s="13" t="str">
        <f aca="false">IF($B180="","",SUMIF('DỮ LIỆU'!$C$3:$C$1052,$B180,'DỮ LIỆU'!$J$3:$J$1052))</f>
        <v/>
      </c>
      <c r="I180" s="13" t="str">
        <f aca="false">IF($B180="","",SUMIF('DỮ LIỆU'!$C$3:$C$1052,$B180,'DỮ LIỆU'!$M$3:$M$1052))</f>
        <v/>
      </c>
      <c r="J180" s="13" t="str">
        <f aca="false">IF($B180="","",SUMIF('DỮ LIỆU'!$C$3:$C$1052,$B180,'DỮ LIỆU'!$N$3:$N$1052))</f>
        <v/>
      </c>
      <c r="K180" s="13" t="str">
        <f aca="false">IF($B180="","",SUMIF('DỮ LIỆU'!$C$3:$C$1052,$B180,'DỮ LIỆU'!$O$3:$O$1052))</f>
        <v/>
      </c>
      <c r="L180" s="13" t="str">
        <f aca="false">IF($B180="","",SUMIF('DỮ LIỆU'!$C$3:$C$1052,$B180,'DỮ LIỆU'!$Q$3:$Q$1052))</f>
        <v/>
      </c>
      <c r="M180" s="41" t="str">
        <f aca="false">IF($B180="","",IF(SUMPRODUCT(MAX(('DỮ LIỆU'!$C$3:$C$1052=$B180)*'DỮ LIỆU'!$Z$3:$Z$1052))=0,"",SUMPRODUCT(MAX(('DỮ LIỆU'!$C$3:$C$1052=$B180)*'DỮ LIỆU'!$Z$3:$Z$1052))))</f>
        <v/>
      </c>
      <c r="N180" s="21" t="str">
        <f aca="false">IF($B180="","",IF($G180=0,"Chưa có đơn",IF(COUNTIFS('DỮ LIỆU'!$C$3:$C$1052,$B180,'DỮ LIỆU'!$K$3:$K$1052,"&gt;0")&gt;0,"Có lấy VAT","Không lấy VAT")))</f>
        <v/>
      </c>
    </row>
    <row r="181" customFormat="false" ht="15" hidden="false" customHeight="false" outlineLevel="0" collapsed="false">
      <c r="A181" s="21" t="str">
        <f aca="false">IF($B181="","",176)</f>
        <v/>
      </c>
      <c r="B181" s="21" t="str">
        <f aca="false">IFERROR(INDEX('DỮ LIỆU'!$C$3:$C$1052,MATCH(176,'DỮ LIỆU'!$W$3:$W$1052,0)),"")</f>
        <v/>
      </c>
      <c r="C181" s="21" t="str">
        <f aca="false">IF($B181="","",IFERROR(IF(INDEX('DỮ LIỆU'!$D$3:$D$1052,MATCH($B181,'DỮ LIỆU'!$C$3:$C$1052,0))="","",INDEX('DỮ LIỆU'!$D$3:$D$1052,MATCH($B181,'DỮ LIỆU'!$C$3:$C$1052,0))),""))</f>
        <v/>
      </c>
      <c r="D181" s="21" t="str">
        <f aca="false">IF($B181="","",IFERROR(IF(INDEX('DỮ LIỆU'!$E$3:$E$1052,MATCH($B181,'DỮ LIỆU'!$C$3:$C$1052,0))="","",INDEX('DỮ LIỆU'!$E$3:$E$1052,MATCH($B181,'DỮ LIỆU'!$C$3:$C$1052,0))),""))</f>
        <v/>
      </c>
      <c r="E181" s="21" t="str">
        <f aca="false">IF($B181="","",IFERROR(IF(INDEX('DỮ LIỆU'!$F$3:$F$1052,MATCH($B181,'DỮ LIỆU'!$C$3:$C$1052,0))="","",INDEX('DỮ LIỆU'!$F$3:$F$1052,MATCH($B181,'DỮ LIỆU'!$C$3:$C$1052,0))),""))</f>
        <v/>
      </c>
      <c r="F181" s="21" t="str">
        <f aca="false">IF($B181="","",IFERROR(IF(INDEX('DỮ LIỆU'!$G$3:$G$1052,MATCH($B181,'DỮ LIỆU'!$C$3:$C$1052,0))="","",INDEX('DỮ LIỆU'!$G$3:$G$1052,MATCH($B181,'DỮ LIỆU'!$C$3:$C$1052,0))),""))</f>
        <v/>
      </c>
      <c r="G181" s="13" t="str">
        <f aca="false">IF($B181="","",COUNTIFS('DỮ LIỆU'!$C$3:$C$1052,$B181,'DỮ LIỆU'!$J$3:$J$1052,"&gt;0"))</f>
        <v/>
      </c>
      <c r="H181" s="13" t="str">
        <f aca="false">IF($B181="","",SUMIF('DỮ LIỆU'!$C$3:$C$1052,$B181,'DỮ LIỆU'!$J$3:$J$1052))</f>
        <v/>
      </c>
      <c r="I181" s="13" t="str">
        <f aca="false">IF($B181="","",SUMIF('DỮ LIỆU'!$C$3:$C$1052,$B181,'DỮ LIỆU'!$M$3:$M$1052))</f>
        <v/>
      </c>
      <c r="J181" s="13" t="str">
        <f aca="false">IF($B181="","",SUMIF('DỮ LIỆU'!$C$3:$C$1052,$B181,'DỮ LIỆU'!$N$3:$N$1052))</f>
        <v/>
      </c>
      <c r="K181" s="13" t="str">
        <f aca="false">IF($B181="","",SUMIF('DỮ LIỆU'!$C$3:$C$1052,$B181,'DỮ LIỆU'!$O$3:$O$1052))</f>
        <v/>
      </c>
      <c r="L181" s="13" t="str">
        <f aca="false">IF($B181="","",SUMIF('DỮ LIỆU'!$C$3:$C$1052,$B181,'DỮ LIỆU'!$Q$3:$Q$1052))</f>
        <v/>
      </c>
      <c r="M181" s="41" t="str">
        <f aca="false">IF($B181="","",IF(SUMPRODUCT(MAX(('DỮ LIỆU'!$C$3:$C$1052=$B181)*'DỮ LIỆU'!$Z$3:$Z$1052))=0,"",SUMPRODUCT(MAX(('DỮ LIỆU'!$C$3:$C$1052=$B181)*'DỮ LIỆU'!$Z$3:$Z$1052))))</f>
        <v/>
      </c>
      <c r="N181" s="21" t="str">
        <f aca="false">IF($B181="","",IF($G181=0,"Chưa có đơn",IF(COUNTIFS('DỮ LIỆU'!$C$3:$C$1052,$B181,'DỮ LIỆU'!$K$3:$K$1052,"&gt;0")&gt;0,"Có lấy VAT","Không lấy VAT")))</f>
        <v/>
      </c>
    </row>
    <row r="182" customFormat="false" ht="15" hidden="false" customHeight="false" outlineLevel="0" collapsed="false">
      <c r="A182" s="21" t="str">
        <f aca="false">IF($B182="","",177)</f>
        <v/>
      </c>
      <c r="B182" s="21" t="str">
        <f aca="false">IFERROR(INDEX('DỮ LIỆU'!$C$3:$C$1052,MATCH(177,'DỮ LIỆU'!$W$3:$W$1052,0)),"")</f>
        <v/>
      </c>
      <c r="C182" s="21" t="str">
        <f aca="false">IF($B182="","",IFERROR(IF(INDEX('DỮ LIỆU'!$D$3:$D$1052,MATCH($B182,'DỮ LIỆU'!$C$3:$C$1052,0))="","",INDEX('DỮ LIỆU'!$D$3:$D$1052,MATCH($B182,'DỮ LIỆU'!$C$3:$C$1052,0))),""))</f>
        <v/>
      </c>
      <c r="D182" s="21" t="str">
        <f aca="false">IF($B182="","",IFERROR(IF(INDEX('DỮ LIỆU'!$E$3:$E$1052,MATCH($B182,'DỮ LIỆU'!$C$3:$C$1052,0))="","",INDEX('DỮ LIỆU'!$E$3:$E$1052,MATCH($B182,'DỮ LIỆU'!$C$3:$C$1052,0))),""))</f>
        <v/>
      </c>
      <c r="E182" s="21" t="str">
        <f aca="false">IF($B182="","",IFERROR(IF(INDEX('DỮ LIỆU'!$F$3:$F$1052,MATCH($B182,'DỮ LIỆU'!$C$3:$C$1052,0))="","",INDEX('DỮ LIỆU'!$F$3:$F$1052,MATCH($B182,'DỮ LIỆU'!$C$3:$C$1052,0))),""))</f>
        <v/>
      </c>
      <c r="F182" s="21" t="str">
        <f aca="false">IF($B182="","",IFERROR(IF(INDEX('DỮ LIỆU'!$G$3:$G$1052,MATCH($B182,'DỮ LIỆU'!$C$3:$C$1052,0))="","",INDEX('DỮ LIỆU'!$G$3:$G$1052,MATCH($B182,'DỮ LIỆU'!$C$3:$C$1052,0))),""))</f>
        <v/>
      </c>
      <c r="G182" s="13" t="str">
        <f aca="false">IF($B182="","",COUNTIFS('DỮ LIỆU'!$C$3:$C$1052,$B182,'DỮ LIỆU'!$J$3:$J$1052,"&gt;0"))</f>
        <v/>
      </c>
      <c r="H182" s="13" t="str">
        <f aca="false">IF($B182="","",SUMIF('DỮ LIỆU'!$C$3:$C$1052,$B182,'DỮ LIỆU'!$J$3:$J$1052))</f>
        <v/>
      </c>
      <c r="I182" s="13" t="str">
        <f aca="false">IF($B182="","",SUMIF('DỮ LIỆU'!$C$3:$C$1052,$B182,'DỮ LIỆU'!$M$3:$M$1052))</f>
        <v/>
      </c>
      <c r="J182" s="13" t="str">
        <f aca="false">IF($B182="","",SUMIF('DỮ LIỆU'!$C$3:$C$1052,$B182,'DỮ LIỆU'!$N$3:$N$1052))</f>
        <v/>
      </c>
      <c r="K182" s="13" t="str">
        <f aca="false">IF($B182="","",SUMIF('DỮ LIỆU'!$C$3:$C$1052,$B182,'DỮ LIỆU'!$O$3:$O$1052))</f>
        <v/>
      </c>
      <c r="L182" s="13" t="str">
        <f aca="false">IF($B182="","",SUMIF('DỮ LIỆU'!$C$3:$C$1052,$B182,'DỮ LIỆU'!$Q$3:$Q$1052))</f>
        <v/>
      </c>
      <c r="M182" s="41" t="str">
        <f aca="false">IF($B182="","",IF(SUMPRODUCT(MAX(('DỮ LIỆU'!$C$3:$C$1052=$B182)*'DỮ LIỆU'!$Z$3:$Z$1052))=0,"",SUMPRODUCT(MAX(('DỮ LIỆU'!$C$3:$C$1052=$B182)*'DỮ LIỆU'!$Z$3:$Z$1052))))</f>
        <v/>
      </c>
      <c r="N182" s="21" t="str">
        <f aca="false">IF($B182="","",IF($G182=0,"Chưa có đơn",IF(COUNTIFS('DỮ LIỆU'!$C$3:$C$1052,$B182,'DỮ LIỆU'!$K$3:$K$1052,"&gt;0")&gt;0,"Có lấy VAT","Không lấy VAT")))</f>
        <v/>
      </c>
    </row>
    <row r="183" customFormat="false" ht="15" hidden="false" customHeight="false" outlineLevel="0" collapsed="false">
      <c r="A183" s="21" t="str">
        <f aca="false">IF($B183="","",178)</f>
        <v/>
      </c>
      <c r="B183" s="21" t="str">
        <f aca="false">IFERROR(INDEX('DỮ LIỆU'!$C$3:$C$1052,MATCH(178,'DỮ LIỆU'!$W$3:$W$1052,0)),"")</f>
        <v/>
      </c>
      <c r="C183" s="21" t="str">
        <f aca="false">IF($B183="","",IFERROR(IF(INDEX('DỮ LIỆU'!$D$3:$D$1052,MATCH($B183,'DỮ LIỆU'!$C$3:$C$1052,0))="","",INDEX('DỮ LIỆU'!$D$3:$D$1052,MATCH($B183,'DỮ LIỆU'!$C$3:$C$1052,0))),""))</f>
        <v/>
      </c>
      <c r="D183" s="21" t="str">
        <f aca="false">IF($B183="","",IFERROR(IF(INDEX('DỮ LIỆU'!$E$3:$E$1052,MATCH($B183,'DỮ LIỆU'!$C$3:$C$1052,0))="","",INDEX('DỮ LIỆU'!$E$3:$E$1052,MATCH($B183,'DỮ LIỆU'!$C$3:$C$1052,0))),""))</f>
        <v/>
      </c>
      <c r="E183" s="21" t="str">
        <f aca="false">IF($B183="","",IFERROR(IF(INDEX('DỮ LIỆU'!$F$3:$F$1052,MATCH($B183,'DỮ LIỆU'!$C$3:$C$1052,0))="","",INDEX('DỮ LIỆU'!$F$3:$F$1052,MATCH($B183,'DỮ LIỆU'!$C$3:$C$1052,0))),""))</f>
        <v/>
      </c>
      <c r="F183" s="21" t="str">
        <f aca="false">IF($B183="","",IFERROR(IF(INDEX('DỮ LIỆU'!$G$3:$G$1052,MATCH($B183,'DỮ LIỆU'!$C$3:$C$1052,0))="","",INDEX('DỮ LIỆU'!$G$3:$G$1052,MATCH($B183,'DỮ LIỆU'!$C$3:$C$1052,0))),""))</f>
        <v/>
      </c>
      <c r="G183" s="13" t="str">
        <f aca="false">IF($B183="","",COUNTIFS('DỮ LIỆU'!$C$3:$C$1052,$B183,'DỮ LIỆU'!$J$3:$J$1052,"&gt;0"))</f>
        <v/>
      </c>
      <c r="H183" s="13" t="str">
        <f aca="false">IF($B183="","",SUMIF('DỮ LIỆU'!$C$3:$C$1052,$B183,'DỮ LIỆU'!$J$3:$J$1052))</f>
        <v/>
      </c>
      <c r="I183" s="13" t="str">
        <f aca="false">IF($B183="","",SUMIF('DỮ LIỆU'!$C$3:$C$1052,$B183,'DỮ LIỆU'!$M$3:$M$1052))</f>
        <v/>
      </c>
      <c r="J183" s="13" t="str">
        <f aca="false">IF($B183="","",SUMIF('DỮ LIỆU'!$C$3:$C$1052,$B183,'DỮ LIỆU'!$N$3:$N$1052))</f>
        <v/>
      </c>
      <c r="K183" s="13" t="str">
        <f aca="false">IF($B183="","",SUMIF('DỮ LIỆU'!$C$3:$C$1052,$B183,'DỮ LIỆU'!$O$3:$O$1052))</f>
        <v/>
      </c>
      <c r="L183" s="13" t="str">
        <f aca="false">IF($B183="","",SUMIF('DỮ LIỆU'!$C$3:$C$1052,$B183,'DỮ LIỆU'!$Q$3:$Q$1052))</f>
        <v/>
      </c>
      <c r="M183" s="41" t="str">
        <f aca="false">IF($B183="","",IF(SUMPRODUCT(MAX(('DỮ LIỆU'!$C$3:$C$1052=$B183)*'DỮ LIỆU'!$Z$3:$Z$1052))=0,"",SUMPRODUCT(MAX(('DỮ LIỆU'!$C$3:$C$1052=$B183)*'DỮ LIỆU'!$Z$3:$Z$1052))))</f>
        <v/>
      </c>
      <c r="N183" s="21" t="str">
        <f aca="false">IF($B183="","",IF($G183=0,"Chưa có đơn",IF(COUNTIFS('DỮ LIỆU'!$C$3:$C$1052,$B183,'DỮ LIỆU'!$K$3:$K$1052,"&gt;0")&gt;0,"Có lấy VAT","Không lấy VAT")))</f>
        <v/>
      </c>
    </row>
    <row r="184" customFormat="false" ht="15" hidden="false" customHeight="false" outlineLevel="0" collapsed="false">
      <c r="A184" s="21" t="str">
        <f aca="false">IF($B184="","",179)</f>
        <v/>
      </c>
      <c r="B184" s="21" t="str">
        <f aca="false">IFERROR(INDEX('DỮ LIỆU'!$C$3:$C$1052,MATCH(179,'DỮ LIỆU'!$W$3:$W$1052,0)),"")</f>
        <v/>
      </c>
      <c r="C184" s="21" t="str">
        <f aca="false">IF($B184="","",IFERROR(IF(INDEX('DỮ LIỆU'!$D$3:$D$1052,MATCH($B184,'DỮ LIỆU'!$C$3:$C$1052,0))="","",INDEX('DỮ LIỆU'!$D$3:$D$1052,MATCH($B184,'DỮ LIỆU'!$C$3:$C$1052,0))),""))</f>
        <v/>
      </c>
      <c r="D184" s="21" t="str">
        <f aca="false">IF($B184="","",IFERROR(IF(INDEX('DỮ LIỆU'!$E$3:$E$1052,MATCH($B184,'DỮ LIỆU'!$C$3:$C$1052,0))="","",INDEX('DỮ LIỆU'!$E$3:$E$1052,MATCH($B184,'DỮ LIỆU'!$C$3:$C$1052,0))),""))</f>
        <v/>
      </c>
      <c r="E184" s="21" t="str">
        <f aca="false">IF($B184="","",IFERROR(IF(INDEX('DỮ LIỆU'!$F$3:$F$1052,MATCH($B184,'DỮ LIỆU'!$C$3:$C$1052,0))="","",INDEX('DỮ LIỆU'!$F$3:$F$1052,MATCH($B184,'DỮ LIỆU'!$C$3:$C$1052,0))),""))</f>
        <v/>
      </c>
      <c r="F184" s="21" t="str">
        <f aca="false">IF($B184="","",IFERROR(IF(INDEX('DỮ LIỆU'!$G$3:$G$1052,MATCH($B184,'DỮ LIỆU'!$C$3:$C$1052,0))="","",INDEX('DỮ LIỆU'!$G$3:$G$1052,MATCH($B184,'DỮ LIỆU'!$C$3:$C$1052,0))),""))</f>
        <v/>
      </c>
      <c r="G184" s="13" t="str">
        <f aca="false">IF($B184="","",COUNTIFS('DỮ LIỆU'!$C$3:$C$1052,$B184,'DỮ LIỆU'!$J$3:$J$1052,"&gt;0"))</f>
        <v/>
      </c>
      <c r="H184" s="13" t="str">
        <f aca="false">IF($B184="","",SUMIF('DỮ LIỆU'!$C$3:$C$1052,$B184,'DỮ LIỆU'!$J$3:$J$1052))</f>
        <v/>
      </c>
      <c r="I184" s="13" t="str">
        <f aca="false">IF($B184="","",SUMIF('DỮ LIỆU'!$C$3:$C$1052,$B184,'DỮ LIỆU'!$M$3:$M$1052))</f>
        <v/>
      </c>
      <c r="J184" s="13" t="str">
        <f aca="false">IF($B184="","",SUMIF('DỮ LIỆU'!$C$3:$C$1052,$B184,'DỮ LIỆU'!$N$3:$N$1052))</f>
        <v/>
      </c>
      <c r="K184" s="13" t="str">
        <f aca="false">IF($B184="","",SUMIF('DỮ LIỆU'!$C$3:$C$1052,$B184,'DỮ LIỆU'!$O$3:$O$1052))</f>
        <v/>
      </c>
      <c r="L184" s="13" t="str">
        <f aca="false">IF($B184="","",SUMIF('DỮ LIỆU'!$C$3:$C$1052,$B184,'DỮ LIỆU'!$Q$3:$Q$1052))</f>
        <v/>
      </c>
      <c r="M184" s="41" t="str">
        <f aca="false">IF($B184="","",IF(SUMPRODUCT(MAX(('DỮ LIỆU'!$C$3:$C$1052=$B184)*'DỮ LIỆU'!$Z$3:$Z$1052))=0,"",SUMPRODUCT(MAX(('DỮ LIỆU'!$C$3:$C$1052=$B184)*'DỮ LIỆU'!$Z$3:$Z$1052))))</f>
        <v/>
      </c>
      <c r="N184" s="21" t="str">
        <f aca="false">IF($B184="","",IF($G184=0,"Chưa có đơn",IF(COUNTIFS('DỮ LIỆU'!$C$3:$C$1052,$B184,'DỮ LIỆU'!$K$3:$K$1052,"&gt;0")&gt;0,"Có lấy VAT","Không lấy VAT")))</f>
        <v/>
      </c>
    </row>
    <row r="185" customFormat="false" ht="15" hidden="false" customHeight="false" outlineLevel="0" collapsed="false">
      <c r="A185" s="21" t="str">
        <f aca="false">IF($B185="","",180)</f>
        <v/>
      </c>
      <c r="B185" s="21" t="str">
        <f aca="false">IFERROR(INDEX('DỮ LIỆU'!$C$3:$C$1052,MATCH(180,'DỮ LIỆU'!$W$3:$W$1052,0)),"")</f>
        <v/>
      </c>
      <c r="C185" s="21" t="str">
        <f aca="false">IF($B185="","",IFERROR(IF(INDEX('DỮ LIỆU'!$D$3:$D$1052,MATCH($B185,'DỮ LIỆU'!$C$3:$C$1052,0))="","",INDEX('DỮ LIỆU'!$D$3:$D$1052,MATCH($B185,'DỮ LIỆU'!$C$3:$C$1052,0))),""))</f>
        <v/>
      </c>
      <c r="D185" s="21" t="str">
        <f aca="false">IF($B185="","",IFERROR(IF(INDEX('DỮ LIỆU'!$E$3:$E$1052,MATCH($B185,'DỮ LIỆU'!$C$3:$C$1052,0))="","",INDEX('DỮ LIỆU'!$E$3:$E$1052,MATCH($B185,'DỮ LIỆU'!$C$3:$C$1052,0))),""))</f>
        <v/>
      </c>
      <c r="E185" s="21" t="str">
        <f aca="false">IF($B185="","",IFERROR(IF(INDEX('DỮ LIỆU'!$F$3:$F$1052,MATCH($B185,'DỮ LIỆU'!$C$3:$C$1052,0))="","",INDEX('DỮ LIỆU'!$F$3:$F$1052,MATCH($B185,'DỮ LIỆU'!$C$3:$C$1052,0))),""))</f>
        <v/>
      </c>
      <c r="F185" s="21" t="str">
        <f aca="false">IF($B185="","",IFERROR(IF(INDEX('DỮ LIỆU'!$G$3:$G$1052,MATCH($B185,'DỮ LIỆU'!$C$3:$C$1052,0))="","",INDEX('DỮ LIỆU'!$G$3:$G$1052,MATCH($B185,'DỮ LIỆU'!$C$3:$C$1052,0))),""))</f>
        <v/>
      </c>
      <c r="G185" s="13" t="str">
        <f aca="false">IF($B185="","",COUNTIFS('DỮ LIỆU'!$C$3:$C$1052,$B185,'DỮ LIỆU'!$J$3:$J$1052,"&gt;0"))</f>
        <v/>
      </c>
      <c r="H185" s="13" t="str">
        <f aca="false">IF($B185="","",SUMIF('DỮ LIỆU'!$C$3:$C$1052,$B185,'DỮ LIỆU'!$J$3:$J$1052))</f>
        <v/>
      </c>
      <c r="I185" s="13" t="str">
        <f aca="false">IF($B185="","",SUMIF('DỮ LIỆU'!$C$3:$C$1052,$B185,'DỮ LIỆU'!$M$3:$M$1052))</f>
        <v/>
      </c>
      <c r="J185" s="13" t="str">
        <f aca="false">IF($B185="","",SUMIF('DỮ LIỆU'!$C$3:$C$1052,$B185,'DỮ LIỆU'!$N$3:$N$1052))</f>
        <v/>
      </c>
      <c r="K185" s="13" t="str">
        <f aca="false">IF($B185="","",SUMIF('DỮ LIỆU'!$C$3:$C$1052,$B185,'DỮ LIỆU'!$O$3:$O$1052))</f>
        <v/>
      </c>
      <c r="L185" s="13" t="str">
        <f aca="false">IF($B185="","",SUMIF('DỮ LIỆU'!$C$3:$C$1052,$B185,'DỮ LIỆU'!$Q$3:$Q$1052))</f>
        <v/>
      </c>
      <c r="M185" s="41" t="str">
        <f aca="false">IF($B185="","",IF(SUMPRODUCT(MAX(('DỮ LIỆU'!$C$3:$C$1052=$B185)*'DỮ LIỆU'!$Z$3:$Z$1052))=0,"",SUMPRODUCT(MAX(('DỮ LIỆU'!$C$3:$C$1052=$B185)*'DỮ LIỆU'!$Z$3:$Z$1052))))</f>
        <v/>
      </c>
      <c r="N185" s="21" t="str">
        <f aca="false">IF($B185="","",IF($G185=0,"Chưa có đơn",IF(COUNTIFS('DỮ LIỆU'!$C$3:$C$1052,$B185,'DỮ LIỆU'!$K$3:$K$1052,"&gt;0")&gt;0,"Có lấy VAT","Không lấy VAT")))</f>
        <v/>
      </c>
    </row>
    <row r="186" customFormat="false" ht="15" hidden="false" customHeight="false" outlineLevel="0" collapsed="false">
      <c r="A186" s="21" t="str">
        <f aca="false">IF($B186="","",181)</f>
        <v/>
      </c>
      <c r="B186" s="21" t="str">
        <f aca="false">IFERROR(INDEX('DỮ LIỆU'!$C$3:$C$1052,MATCH(181,'DỮ LIỆU'!$W$3:$W$1052,0)),"")</f>
        <v/>
      </c>
      <c r="C186" s="21" t="str">
        <f aca="false">IF($B186="","",IFERROR(IF(INDEX('DỮ LIỆU'!$D$3:$D$1052,MATCH($B186,'DỮ LIỆU'!$C$3:$C$1052,0))="","",INDEX('DỮ LIỆU'!$D$3:$D$1052,MATCH($B186,'DỮ LIỆU'!$C$3:$C$1052,0))),""))</f>
        <v/>
      </c>
      <c r="D186" s="21" t="str">
        <f aca="false">IF($B186="","",IFERROR(IF(INDEX('DỮ LIỆU'!$E$3:$E$1052,MATCH($B186,'DỮ LIỆU'!$C$3:$C$1052,0))="","",INDEX('DỮ LIỆU'!$E$3:$E$1052,MATCH($B186,'DỮ LIỆU'!$C$3:$C$1052,0))),""))</f>
        <v/>
      </c>
      <c r="E186" s="21" t="str">
        <f aca="false">IF($B186="","",IFERROR(IF(INDEX('DỮ LIỆU'!$F$3:$F$1052,MATCH($B186,'DỮ LIỆU'!$C$3:$C$1052,0))="","",INDEX('DỮ LIỆU'!$F$3:$F$1052,MATCH($B186,'DỮ LIỆU'!$C$3:$C$1052,0))),""))</f>
        <v/>
      </c>
      <c r="F186" s="21" t="str">
        <f aca="false">IF($B186="","",IFERROR(IF(INDEX('DỮ LIỆU'!$G$3:$G$1052,MATCH($B186,'DỮ LIỆU'!$C$3:$C$1052,0))="","",INDEX('DỮ LIỆU'!$G$3:$G$1052,MATCH($B186,'DỮ LIỆU'!$C$3:$C$1052,0))),""))</f>
        <v/>
      </c>
      <c r="G186" s="13" t="str">
        <f aca="false">IF($B186="","",COUNTIFS('DỮ LIỆU'!$C$3:$C$1052,$B186,'DỮ LIỆU'!$J$3:$J$1052,"&gt;0"))</f>
        <v/>
      </c>
      <c r="H186" s="13" t="str">
        <f aca="false">IF($B186="","",SUMIF('DỮ LIỆU'!$C$3:$C$1052,$B186,'DỮ LIỆU'!$J$3:$J$1052))</f>
        <v/>
      </c>
      <c r="I186" s="13" t="str">
        <f aca="false">IF($B186="","",SUMIF('DỮ LIỆU'!$C$3:$C$1052,$B186,'DỮ LIỆU'!$M$3:$M$1052))</f>
        <v/>
      </c>
      <c r="J186" s="13" t="str">
        <f aca="false">IF($B186="","",SUMIF('DỮ LIỆU'!$C$3:$C$1052,$B186,'DỮ LIỆU'!$N$3:$N$1052))</f>
        <v/>
      </c>
      <c r="K186" s="13" t="str">
        <f aca="false">IF($B186="","",SUMIF('DỮ LIỆU'!$C$3:$C$1052,$B186,'DỮ LIỆU'!$O$3:$O$1052))</f>
        <v/>
      </c>
      <c r="L186" s="13" t="str">
        <f aca="false">IF($B186="","",SUMIF('DỮ LIỆU'!$C$3:$C$1052,$B186,'DỮ LIỆU'!$Q$3:$Q$1052))</f>
        <v/>
      </c>
      <c r="M186" s="41" t="str">
        <f aca="false">IF($B186="","",IF(SUMPRODUCT(MAX(('DỮ LIỆU'!$C$3:$C$1052=$B186)*'DỮ LIỆU'!$Z$3:$Z$1052))=0,"",SUMPRODUCT(MAX(('DỮ LIỆU'!$C$3:$C$1052=$B186)*'DỮ LIỆU'!$Z$3:$Z$1052))))</f>
        <v/>
      </c>
      <c r="N186" s="21" t="str">
        <f aca="false">IF($B186="","",IF($G186=0,"Chưa có đơn",IF(COUNTIFS('DỮ LIỆU'!$C$3:$C$1052,$B186,'DỮ LIỆU'!$K$3:$K$1052,"&gt;0")&gt;0,"Có lấy VAT","Không lấy VAT")))</f>
        <v/>
      </c>
    </row>
    <row r="187" customFormat="false" ht="15" hidden="false" customHeight="false" outlineLevel="0" collapsed="false">
      <c r="A187" s="21" t="str">
        <f aca="false">IF($B187="","",182)</f>
        <v/>
      </c>
      <c r="B187" s="21" t="str">
        <f aca="false">IFERROR(INDEX('DỮ LIỆU'!$C$3:$C$1052,MATCH(182,'DỮ LIỆU'!$W$3:$W$1052,0)),"")</f>
        <v/>
      </c>
      <c r="C187" s="21" t="str">
        <f aca="false">IF($B187="","",IFERROR(IF(INDEX('DỮ LIỆU'!$D$3:$D$1052,MATCH($B187,'DỮ LIỆU'!$C$3:$C$1052,0))="","",INDEX('DỮ LIỆU'!$D$3:$D$1052,MATCH($B187,'DỮ LIỆU'!$C$3:$C$1052,0))),""))</f>
        <v/>
      </c>
      <c r="D187" s="21" t="str">
        <f aca="false">IF($B187="","",IFERROR(IF(INDEX('DỮ LIỆU'!$E$3:$E$1052,MATCH($B187,'DỮ LIỆU'!$C$3:$C$1052,0))="","",INDEX('DỮ LIỆU'!$E$3:$E$1052,MATCH($B187,'DỮ LIỆU'!$C$3:$C$1052,0))),""))</f>
        <v/>
      </c>
      <c r="E187" s="21" t="str">
        <f aca="false">IF($B187="","",IFERROR(IF(INDEX('DỮ LIỆU'!$F$3:$F$1052,MATCH($B187,'DỮ LIỆU'!$C$3:$C$1052,0))="","",INDEX('DỮ LIỆU'!$F$3:$F$1052,MATCH($B187,'DỮ LIỆU'!$C$3:$C$1052,0))),""))</f>
        <v/>
      </c>
      <c r="F187" s="21" t="str">
        <f aca="false">IF($B187="","",IFERROR(IF(INDEX('DỮ LIỆU'!$G$3:$G$1052,MATCH($B187,'DỮ LIỆU'!$C$3:$C$1052,0))="","",INDEX('DỮ LIỆU'!$G$3:$G$1052,MATCH($B187,'DỮ LIỆU'!$C$3:$C$1052,0))),""))</f>
        <v/>
      </c>
      <c r="G187" s="13" t="str">
        <f aca="false">IF($B187="","",COUNTIFS('DỮ LIỆU'!$C$3:$C$1052,$B187,'DỮ LIỆU'!$J$3:$J$1052,"&gt;0"))</f>
        <v/>
      </c>
      <c r="H187" s="13" t="str">
        <f aca="false">IF($B187="","",SUMIF('DỮ LIỆU'!$C$3:$C$1052,$B187,'DỮ LIỆU'!$J$3:$J$1052))</f>
        <v/>
      </c>
      <c r="I187" s="13" t="str">
        <f aca="false">IF($B187="","",SUMIF('DỮ LIỆU'!$C$3:$C$1052,$B187,'DỮ LIỆU'!$M$3:$M$1052))</f>
        <v/>
      </c>
      <c r="J187" s="13" t="str">
        <f aca="false">IF($B187="","",SUMIF('DỮ LIỆU'!$C$3:$C$1052,$B187,'DỮ LIỆU'!$N$3:$N$1052))</f>
        <v/>
      </c>
      <c r="K187" s="13" t="str">
        <f aca="false">IF($B187="","",SUMIF('DỮ LIỆU'!$C$3:$C$1052,$B187,'DỮ LIỆU'!$O$3:$O$1052))</f>
        <v/>
      </c>
      <c r="L187" s="13" t="str">
        <f aca="false">IF($B187="","",SUMIF('DỮ LIỆU'!$C$3:$C$1052,$B187,'DỮ LIỆU'!$Q$3:$Q$1052))</f>
        <v/>
      </c>
      <c r="M187" s="41" t="str">
        <f aca="false">IF($B187="","",IF(SUMPRODUCT(MAX(('DỮ LIỆU'!$C$3:$C$1052=$B187)*'DỮ LIỆU'!$Z$3:$Z$1052))=0,"",SUMPRODUCT(MAX(('DỮ LIỆU'!$C$3:$C$1052=$B187)*'DỮ LIỆU'!$Z$3:$Z$1052))))</f>
        <v/>
      </c>
      <c r="N187" s="21" t="str">
        <f aca="false">IF($B187="","",IF($G187=0,"Chưa có đơn",IF(COUNTIFS('DỮ LIỆU'!$C$3:$C$1052,$B187,'DỮ LIỆU'!$K$3:$K$1052,"&gt;0")&gt;0,"Có lấy VAT","Không lấy VAT")))</f>
        <v/>
      </c>
    </row>
    <row r="188" customFormat="false" ht="15" hidden="false" customHeight="false" outlineLevel="0" collapsed="false">
      <c r="A188" s="21" t="str">
        <f aca="false">IF($B188="","",183)</f>
        <v/>
      </c>
      <c r="B188" s="21" t="str">
        <f aca="false">IFERROR(INDEX('DỮ LIỆU'!$C$3:$C$1052,MATCH(183,'DỮ LIỆU'!$W$3:$W$1052,0)),"")</f>
        <v/>
      </c>
      <c r="C188" s="21" t="str">
        <f aca="false">IF($B188="","",IFERROR(IF(INDEX('DỮ LIỆU'!$D$3:$D$1052,MATCH($B188,'DỮ LIỆU'!$C$3:$C$1052,0))="","",INDEX('DỮ LIỆU'!$D$3:$D$1052,MATCH($B188,'DỮ LIỆU'!$C$3:$C$1052,0))),""))</f>
        <v/>
      </c>
      <c r="D188" s="21" t="str">
        <f aca="false">IF($B188="","",IFERROR(IF(INDEX('DỮ LIỆU'!$E$3:$E$1052,MATCH($B188,'DỮ LIỆU'!$C$3:$C$1052,0))="","",INDEX('DỮ LIỆU'!$E$3:$E$1052,MATCH($B188,'DỮ LIỆU'!$C$3:$C$1052,0))),""))</f>
        <v/>
      </c>
      <c r="E188" s="21" t="str">
        <f aca="false">IF($B188="","",IFERROR(IF(INDEX('DỮ LIỆU'!$F$3:$F$1052,MATCH($B188,'DỮ LIỆU'!$C$3:$C$1052,0))="","",INDEX('DỮ LIỆU'!$F$3:$F$1052,MATCH($B188,'DỮ LIỆU'!$C$3:$C$1052,0))),""))</f>
        <v/>
      </c>
      <c r="F188" s="21" t="str">
        <f aca="false">IF($B188="","",IFERROR(IF(INDEX('DỮ LIỆU'!$G$3:$G$1052,MATCH($B188,'DỮ LIỆU'!$C$3:$C$1052,0))="","",INDEX('DỮ LIỆU'!$G$3:$G$1052,MATCH($B188,'DỮ LIỆU'!$C$3:$C$1052,0))),""))</f>
        <v/>
      </c>
      <c r="G188" s="13" t="str">
        <f aca="false">IF($B188="","",COUNTIFS('DỮ LIỆU'!$C$3:$C$1052,$B188,'DỮ LIỆU'!$J$3:$J$1052,"&gt;0"))</f>
        <v/>
      </c>
      <c r="H188" s="13" t="str">
        <f aca="false">IF($B188="","",SUMIF('DỮ LIỆU'!$C$3:$C$1052,$B188,'DỮ LIỆU'!$J$3:$J$1052))</f>
        <v/>
      </c>
      <c r="I188" s="13" t="str">
        <f aca="false">IF($B188="","",SUMIF('DỮ LIỆU'!$C$3:$C$1052,$B188,'DỮ LIỆU'!$M$3:$M$1052))</f>
        <v/>
      </c>
      <c r="J188" s="13" t="str">
        <f aca="false">IF($B188="","",SUMIF('DỮ LIỆU'!$C$3:$C$1052,$B188,'DỮ LIỆU'!$N$3:$N$1052))</f>
        <v/>
      </c>
      <c r="K188" s="13" t="str">
        <f aca="false">IF($B188="","",SUMIF('DỮ LIỆU'!$C$3:$C$1052,$B188,'DỮ LIỆU'!$O$3:$O$1052))</f>
        <v/>
      </c>
      <c r="L188" s="13" t="str">
        <f aca="false">IF($B188="","",SUMIF('DỮ LIỆU'!$C$3:$C$1052,$B188,'DỮ LIỆU'!$Q$3:$Q$1052))</f>
        <v/>
      </c>
      <c r="M188" s="41" t="str">
        <f aca="false">IF($B188="","",IF(SUMPRODUCT(MAX(('DỮ LIỆU'!$C$3:$C$1052=$B188)*'DỮ LIỆU'!$Z$3:$Z$1052))=0,"",SUMPRODUCT(MAX(('DỮ LIỆU'!$C$3:$C$1052=$B188)*'DỮ LIỆU'!$Z$3:$Z$1052))))</f>
        <v/>
      </c>
      <c r="N188" s="21" t="str">
        <f aca="false">IF($B188="","",IF($G188=0,"Chưa có đơn",IF(COUNTIFS('DỮ LIỆU'!$C$3:$C$1052,$B188,'DỮ LIỆU'!$K$3:$K$1052,"&gt;0")&gt;0,"Có lấy VAT","Không lấy VAT")))</f>
        <v/>
      </c>
    </row>
    <row r="189" customFormat="false" ht="15" hidden="false" customHeight="false" outlineLevel="0" collapsed="false">
      <c r="A189" s="21" t="str">
        <f aca="false">IF($B189="","",184)</f>
        <v/>
      </c>
      <c r="B189" s="21" t="str">
        <f aca="false">IFERROR(INDEX('DỮ LIỆU'!$C$3:$C$1052,MATCH(184,'DỮ LIỆU'!$W$3:$W$1052,0)),"")</f>
        <v/>
      </c>
      <c r="C189" s="21" t="str">
        <f aca="false">IF($B189="","",IFERROR(IF(INDEX('DỮ LIỆU'!$D$3:$D$1052,MATCH($B189,'DỮ LIỆU'!$C$3:$C$1052,0))="","",INDEX('DỮ LIỆU'!$D$3:$D$1052,MATCH($B189,'DỮ LIỆU'!$C$3:$C$1052,0))),""))</f>
        <v/>
      </c>
      <c r="D189" s="21" t="str">
        <f aca="false">IF($B189="","",IFERROR(IF(INDEX('DỮ LIỆU'!$E$3:$E$1052,MATCH($B189,'DỮ LIỆU'!$C$3:$C$1052,0))="","",INDEX('DỮ LIỆU'!$E$3:$E$1052,MATCH($B189,'DỮ LIỆU'!$C$3:$C$1052,0))),""))</f>
        <v/>
      </c>
      <c r="E189" s="21" t="str">
        <f aca="false">IF($B189="","",IFERROR(IF(INDEX('DỮ LIỆU'!$F$3:$F$1052,MATCH($B189,'DỮ LIỆU'!$C$3:$C$1052,0))="","",INDEX('DỮ LIỆU'!$F$3:$F$1052,MATCH($B189,'DỮ LIỆU'!$C$3:$C$1052,0))),""))</f>
        <v/>
      </c>
      <c r="F189" s="21" t="str">
        <f aca="false">IF($B189="","",IFERROR(IF(INDEX('DỮ LIỆU'!$G$3:$G$1052,MATCH($B189,'DỮ LIỆU'!$C$3:$C$1052,0))="","",INDEX('DỮ LIỆU'!$G$3:$G$1052,MATCH($B189,'DỮ LIỆU'!$C$3:$C$1052,0))),""))</f>
        <v/>
      </c>
      <c r="G189" s="13" t="str">
        <f aca="false">IF($B189="","",COUNTIFS('DỮ LIỆU'!$C$3:$C$1052,$B189,'DỮ LIỆU'!$J$3:$J$1052,"&gt;0"))</f>
        <v/>
      </c>
      <c r="H189" s="13" t="str">
        <f aca="false">IF($B189="","",SUMIF('DỮ LIỆU'!$C$3:$C$1052,$B189,'DỮ LIỆU'!$J$3:$J$1052))</f>
        <v/>
      </c>
      <c r="I189" s="13" t="str">
        <f aca="false">IF($B189="","",SUMIF('DỮ LIỆU'!$C$3:$C$1052,$B189,'DỮ LIỆU'!$M$3:$M$1052))</f>
        <v/>
      </c>
      <c r="J189" s="13" t="str">
        <f aca="false">IF($B189="","",SUMIF('DỮ LIỆU'!$C$3:$C$1052,$B189,'DỮ LIỆU'!$N$3:$N$1052))</f>
        <v/>
      </c>
      <c r="K189" s="13" t="str">
        <f aca="false">IF($B189="","",SUMIF('DỮ LIỆU'!$C$3:$C$1052,$B189,'DỮ LIỆU'!$O$3:$O$1052))</f>
        <v/>
      </c>
      <c r="L189" s="13" t="str">
        <f aca="false">IF($B189="","",SUMIF('DỮ LIỆU'!$C$3:$C$1052,$B189,'DỮ LIỆU'!$Q$3:$Q$1052))</f>
        <v/>
      </c>
      <c r="M189" s="41" t="str">
        <f aca="false">IF($B189="","",IF(SUMPRODUCT(MAX(('DỮ LIỆU'!$C$3:$C$1052=$B189)*'DỮ LIỆU'!$Z$3:$Z$1052))=0,"",SUMPRODUCT(MAX(('DỮ LIỆU'!$C$3:$C$1052=$B189)*'DỮ LIỆU'!$Z$3:$Z$1052))))</f>
        <v/>
      </c>
      <c r="N189" s="21" t="str">
        <f aca="false">IF($B189="","",IF($G189=0,"Chưa có đơn",IF(COUNTIFS('DỮ LIỆU'!$C$3:$C$1052,$B189,'DỮ LIỆU'!$K$3:$K$1052,"&gt;0")&gt;0,"Có lấy VAT","Không lấy VAT")))</f>
        <v/>
      </c>
    </row>
    <row r="190" customFormat="false" ht="15" hidden="false" customHeight="false" outlineLevel="0" collapsed="false">
      <c r="A190" s="21" t="str">
        <f aca="false">IF($B190="","",185)</f>
        <v/>
      </c>
      <c r="B190" s="21" t="str">
        <f aca="false">IFERROR(INDEX('DỮ LIỆU'!$C$3:$C$1052,MATCH(185,'DỮ LIỆU'!$W$3:$W$1052,0)),"")</f>
        <v/>
      </c>
      <c r="C190" s="21" t="str">
        <f aca="false">IF($B190="","",IFERROR(IF(INDEX('DỮ LIỆU'!$D$3:$D$1052,MATCH($B190,'DỮ LIỆU'!$C$3:$C$1052,0))="","",INDEX('DỮ LIỆU'!$D$3:$D$1052,MATCH($B190,'DỮ LIỆU'!$C$3:$C$1052,0))),""))</f>
        <v/>
      </c>
      <c r="D190" s="21" t="str">
        <f aca="false">IF($B190="","",IFERROR(IF(INDEX('DỮ LIỆU'!$E$3:$E$1052,MATCH($B190,'DỮ LIỆU'!$C$3:$C$1052,0))="","",INDEX('DỮ LIỆU'!$E$3:$E$1052,MATCH($B190,'DỮ LIỆU'!$C$3:$C$1052,0))),""))</f>
        <v/>
      </c>
      <c r="E190" s="21" t="str">
        <f aca="false">IF($B190="","",IFERROR(IF(INDEX('DỮ LIỆU'!$F$3:$F$1052,MATCH($B190,'DỮ LIỆU'!$C$3:$C$1052,0))="","",INDEX('DỮ LIỆU'!$F$3:$F$1052,MATCH($B190,'DỮ LIỆU'!$C$3:$C$1052,0))),""))</f>
        <v/>
      </c>
      <c r="F190" s="21" t="str">
        <f aca="false">IF($B190="","",IFERROR(IF(INDEX('DỮ LIỆU'!$G$3:$G$1052,MATCH($B190,'DỮ LIỆU'!$C$3:$C$1052,0))="","",INDEX('DỮ LIỆU'!$G$3:$G$1052,MATCH($B190,'DỮ LIỆU'!$C$3:$C$1052,0))),""))</f>
        <v/>
      </c>
      <c r="G190" s="13" t="str">
        <f aca="false">IF($B190="","",COUNTIFS('DỮ LIỆU'!$C$3:$C$1052,$B190,'DỮ LIỆU'!$J$3:$J$1052,"&gt;0"))</f>
        <v/>
      </c>
      <c r="H190" s="13" t="str">
        <f aca="false">IF($B190="","",SUMIF('DỮ LIỆU'!$C$3:$C$1052,$B190,'DỮ LIỆU'!$J$3:$J$1052))</f>
        <v/>
      </c>
      <c r="I190" s="13" t="str">
        <f aca="false">IF($B190="","",SUMIF('DỮ LIỆU'!$C$3:$C$1052,$B190,'DỮ LIỆU'!$M$3:$M$1052))</f>
        <v/>
      </c>
      <c r="J190" s="13" t="str">
        <f aca="false">IF($B190="","",SUMIF('DỮ LIỆU'!$C$3:$C$1052,$B190,'DỮ LIỆU'!$N$3:$N$1052))</f>
        <v/>
      </c>
      <c r="K190" s="13" t="str">
        <f aca="false">IF($B190="","",SUMIF('DỮ LIỆU'!$C$3:$C$1052,$B190,'DỮ LIỆU'!$O$3:$O$1052))</f>
        <v/>
      </c>
      <c r="L190" s="13" t="str">
        <f aca="false">IF($B190="","",SUMIF('DỮ LIỆU'!$C$3:$C$1052,$B190,'DỮ LIỆU'!$Q$3:$Q$1052))</f>
        <v/>
      </c>
      <c r="M190" s="41" t="str">
        <f aca="false">IF($B190="","",IF(SUMPRODUCT(MAX(('DỮ LIỆU'!$C$3:$C$1052=$B190)*'DỮ LIỆU'!$Z$3:$Z$1052))=0,"",SUMPRODUCT(MAX(('DỮ LIỆU'!$C$3:$C$1052=$B190)*'DỮ LIỆU'!$Z$3:$Z$1052))))</f>
        <v/>
      </c>
      <c r="N190" s="21" t="str">
        <f aca="false">IF($B190="","",IF($G190=0,"Chưa có đơn",IF(COUNTIFS('DỮ LIỆU'!$C$3:$C$1052,$B190,'DỮ LIỆU'!$K$3:$K$1052,"&gt;0")&gt;0,"Có lấy VAT","Không lấy VAT")))</f>
        <v/>
      </c>
    </row>
    <row r="191" customFormat="false" ht="15" hidden="false" customHeight="false" outlineLevel="0" collapsed="false">
      <c r="A191" s="21" t="str">
        <f aca="false">IF($B191="","",186)</f>
        <v/>
      </c>
      <c r="B191" s="21" t="str">
        <f aca="false">IFERROR(INDEX('DỮ LIỆU'!$C$3:$C$1052,MATCH(186,'DỮ LIỆU'!$W$3:$W$1052,0)),"")</f>
        <v/>
      </c>
      <c r="C191" s="21" t="str">
        <f aca="false">IF($B191="","",IFERROR(IF(INDEX('DỮ LIỆU'!$D$3:$D$1052,MATCH($B191,'DỮ LIỆU'!$C$3:$C$1052,0))="","",INDEX('DỮ LIỆU'!$D$3:$D$1052,MATCH($B191,'DỮ LIỆU'!$C$3:$C$1052,0))),""))</f>
        <v/>
      </c>
      <c r="D191" s="21" t="str">
        <f aca="false">IF($B191="","",IFERROR(IF(INDEX('DỮ LIỆU'!$E$3:$E$1052,MATCH($B191,'DỮ LIỆU'!$C$3:$C$1052,0))="","",INDEX('DỮ LIỆU'!$E$3:$E$1052,MATCH($B191,'DỮ LIỆU'!$C$3:$C$1052,0))),""))</f>
        <v/>
      </c>
      <c r="E191" s="21" t="str">
        <f aca="false">IF($B191="","",IFERROR(IF(INDEX('DỮ LIỆU'!$F$3:$F$1052,MATCH($B191,'DỮ LIỆU'!$C$3:$C$1052,0))="","",INDEX('DỮ LIỆU'!$F$3:$F$1052,MATCH($B191,'DỮ LIỆU'!$C$3:$C$1052,0))),""))</f>
        <v/>
      </c>
      <c r="F191" s="21" t="str">
        <f aca="false">IF($B191="","",IFERROR(IF(INDEX('DỮ LIỆU'!$G$3:$G$1052,MATCH($B191,'DỮ LIỆU'!$C$3:$C$1052,0))="","",INDEX('DỮ LIỆU'!$G$3:$G$1052,MATCH($B191,'DỮ LIỆU'!$C$3:$C$1052,0))),""))</f>
        <v/>
      </c>
      <c r="G191" s="13" t="str">
        <f aca="false">IF($B191="","",COUNTIFS('DỮ LIỆU'!$C$3:$C$1052,$B191,'DỮ LIỆU'!$J$3:$J$1052,"&gt;0"))</f>
        <v/>
      </c>
      <c r="H191" s="13" t="str">
        <f aca="false">IF($B191="","",SUMIF('DỮ LIỆU'!$C$3:$C$1052,$B191,'DỮ LIỆU'!$J$3:$J$1052))</f>
        <v/>
      </c>
      <c r="I191" s="13" t="str">
        <f aca="false">IF($B191="","",SUMIF('DỮ LIỆU'!$C$3:$C$1052,$B191,'DỮ LIỆU'!$M$3:$M$1052))</f>
        <v/>
      </c>
      <c r="J191" s="13" t="str">
        <f aca="false">IF($B191="","",SUMIF('DỮ LIỆU'!$C$3:$C$1052,$B191,'DỮ LIỆU'!$N$3:$N$1052))</f>
        <v/>
      </c>
      <c r="K191" s="13" t="str">
        <f aca="false">IF($B191="","",SUMIF('DỮ LIỆU'!$C$3:$C$1052,$B191,'DỮ LIỆU'!$O$3:$O$1052))</f>
        <v/>
      </c>
      <c r="L191" s="13" t="str">
        <f aca="false">IF($B191="","",SUMIF('DỮ LIỆU'!$C$3:$C$1052,$B191,'DỮ LIỆU'!$Q$3:$Q$1052))</f>
        <v/>
      </c>
      <c r="M191" s="41" t="str">
        <f aca="false">IF($B191="","",IF(SUMPRODUCT(MAX(('DỮ LIỆU'!$C$3:$C$1052=$B191)*'DỮ LIỆU'!$Z$3:$Z$1052))=0,"",SUMPRODUCT(MAX(('DỮ LIỆU'!$C$3:$C$1052=$B191)*'DỮ LIỆU'!$Z$3:$Z$1052))))</f>
        <v/>
      </c>
      <c r="N191" s="21" t="str">
        <f aca="false">IF($B191="","",IF($G191=0,"Chưa có đơn",IF(COUNTIFS('DỮ LIỆU'!$C$3:$C$1052,$B191,'DỮ LIỆU'!$K$3:$K$1052,"&gt;0")&gt;0,"Có lấy VAT","Không lấy VAT")))</f>
        <v/>
      </c>
    </row>
    <row r="192" customFormat="false" ht="15" hidden="false" customHeight="false" outlineLevel="0" collapsed="false">
      <c r="A192" s="21" t="str">
        <f aca="false">IF($B192="","",187)</f>
        <v/>
      </c>
      <c r="B192" s="21" t="str">
        <f aca="false">IFERROR(INDEX('DỮ LIỆU'!$C$3:$C$1052,MATCH(187,'DỮ LIỆU'!$W$3:$W$1052,0)),"")</f>
        <v/>
      </c>
      <c r="C192" s="21" t="str">
        <f aca="false">IF($B192="","",IFERROR(IF(INDEX('DỮ LIỆU'!$D$3:$D$1052,MATCH($B192,'DỮ LIỆU'!$C$3:$C$1052,0))="","",INDEX('DỮ LIỆU'!$D$3:$D$1052,MATCH($B192,'DỮ LIỆU'!$C$3:$C$1052,0))),""))</f>
        <v/>
      </c>
      <c r="D192" s="21" t="str">
        <f aca="false">IF($B192="","",IFERROR(IF(INDEX('DỮ LIỆU'!$E$3:$E$1052,MATCH($B192,'DỮ LIỆU'!$C$3:$C$1052,0))="","",INDEX('DỮ LIỆU'!$E$3:$E$1052,MATCH($B192,'DỮ LIỆU'!$C$3:$C$1052,0))),""))</f>
        <v/>
      </c>
      <c r="E192" s="21" t="str">
        <f aca="false">IF($B192="","",IFERROR(IF(INDEX('DỮ LIỆU'!$F$3:$F$1052,MATCH($B192,'DỮ LIỆU'!$C$3:$C$1052,0))="","",INDEX('DỮ LIỆU'!$F$3:$F$1052,MATCH($B192,'DỮ LIỆU'!$C$3:$C$1052,0))),""))</f>
        <v/>
      </c>
      <c r="F192" s="21" t="str">
        <f aca="false">IF($B192="","",IFERROR(IF(INDEX('DỮ LIỆU'!$G$3:$G$1052,MATCH($B192,'DỮ LIỆU'!$C$3:$C$1052,0))="","",INDEX('DỮ LIỆU'!$G$3:$G$1052,MATCH($B192,'DỮ LIỆU'!$C$3:$C$1052,0))),""))</f>
        <v/>
      </c>
      <c r="G192" s="13" t="str">
        <f aca="false">IF($B192="","",COUNTIFS('DỮ LIỆU'!$C$3:$C$1052,$B192,'DỮ LIỆU'!$J$3:$J$1052,"&gt;0"))</f>
        <v/>
      </c>
      <c r="H192" s="13" t="str">
        <f aca="false">IF($B192="","",SUMIF('DỮ LIỆU'!$C$3:$C$1052,$B192,'DỮ LIỆU'!$J$3:$J$1052))</f>
        <v/>
      </c>
      <c r="I192" s="13" t="str">
        <f aca="false">IF($B192="","",SUMIF('DỮ LIỆU'!$C$3:$C$1052,$B192,'DỮ LIỆU'!$M$3:$M$1052))</f>
        <v/>
      </c>
      <c r="J192" s="13" t="str">
        <f aca="false">IF($B192="","",SUMIF('DỮ LIỆU'!$C$3:$C$1052,$B192,'DỮ LIỆU'!$N$3:$N$1052))</f>
        <v/>
      </c>
      <c r="K192" s="13" t="str">
        <f aca="false">IF($B192="","",SUMIF('DỮ LIỆU'!$C$3:$C$1052,$B192,'DỮ LIỆU'!$O$3:$O$1052))</f>
        <v/>
      </c>
      <c r="L192" s="13" t="str">
        <f aca="false">IF($B192="","",SUMIF('DỮ LIỆU'!$C$3:$C$1052,$B192,'DỮ LIỆU'!$Q$3:$Q$1052))</f>
        <v/>
      </c>
      <c r="M192" s="41" t="str">
        <f aca="false">IF($B192="","",IF(SUMPRODUCT(MAX(('DỮ LIỆU'!$C$3:$C$1052=$B192)*'DỮ LIỆU'!$Z$3:$Z$1052))=0,"",SUMPRODUCT(MAX(('DỮ LIỆU'!$C$3:$C$1052=$B192)*'DỮ LIỆU'!$Z$3:$Z$1052))))</f>
        <v/>
      </c>
      <c r="N192" s="21" t="str">
        <f aca="false">IF($B192="","",IF($G192=0,"Chưa có đơn",IF(COUNTIFS('DỮ LIỆU'!$C$3:$C$1052,$B192,'DỮ LIỆU'!$K$3:$K$1052,"&gt;0")&gt;0,"Có lấy VAT","Không lấy VAT")))</f>
        <v/>
      </c>
    </row>
    <row r="193" customFormat="false" ht="15" hidden="false" customHeight="false" outlineLevel="0" collapsed="false">
      <c r="A193" s="21" t="str">
        <f aca="false">IF($B193="","",188)</f>
        <v/>
      </c>
      <c r="B193" s="21" t="str">
        <f aca="false">IFERROR(INDEX('DỮ LIỆU'!$C$3:$C$1052,MATCH(188,'DỮ LIỆU'!$W$3:$W$1052,0)),"")</f>
        <v/>
      </c>
      <c r="C193" s="21" t="str">
        <f aca="false">IF($B193="","",IFERROR(IF(INDEX('DỮ LIỆU'!$D$3:$D$1052,MATCH($B193,'DỮ LIỆU'!$C$3:$C$1052,0))="","",INDEX('DỮ LIỆU'!$D$3:$D$1052,MATCH($B193,'DỮ LIỆU'!$C$3:$C$1052,0))),""))</f>
        <v/>
      </c>
      <c r="D193" s="21" t="str">
        <f aca="false">IF($B193="","",IFERROR(IF(INDEX('DỮ LIỆU'!$E$3:$E$1052,MATCH($B193,'DỮ LIỆU'!$C$3:$C$1052,0))="","",INDEX('DỮ LIỆU'!$E$3:$E$1052,MATCH($B193,'DỮ LIỆU'!$C$3:$C$1052,0))),""))</f>
        <v/>
      </c>
      <c r="E193" s="21" t="str">
        <f aca="false">IF($B193="","",IFERROR(IF(INDEX('DỮ LIỆU'!$F$3:$F$1052,MATCH($B193,'DỮ LIỆU'!$C$3:$C$1052,0))="","",INDEX('DỮ LIỆU'!$F$3:$F$1052,MATCH($B193,'DỮ LIỆU'!$C$3:$C$1052,0))),""))</f>
        <v/>
      </c>
      <c r="F193" s="21" t="str">
        <f aca="false">IF($B193="","",IFERROR(IF(INDEX('DỮ LIỆU'!$G$3:$G$1052,MATCH($B193,'DỮ LIỆU'!$C$3:$C$1052,0))="","",INDEX('DỮ LIỆU'!$G$3:$G$1052,MATCH($B193,'DỮ LIỆU'!$C$3:$C$1052,0))),""))</f>
        <v/>
      </c>
      <c r="G193" s="13" t="str">
        <f aca="false">IF($B193="","",COUNTIFS('DỮ LIỆU'!$C$3:$C$1052,$B193,'DỮ LIỆU'!$J$3:$J$1052,"&gt;0"))</f>
        <v/>
      </c>
      <c r="H193" s="13" t="str">
        <f aca="false">IF($B193="","",SUMIF('DỮ LIỆU'!$C$3:$C$1052,$B193,'DỮ LIỆU'!$J$3:$J$1052))</f>
        <v/>
      </c>
      <c r="I193" s="13" t="str">
        <f aca="false">IF($B193="","",SUMIF('DỮ LIỆU'!$C$3:$C$1052,$B193,'DỮ LIỆU'!$M$3:$M$1052))</f>
        <v/>
      </c>
      <c r="J193" s="13" t="str">
        <f aca="false">IF($B193="","",SUMIF('DỮ LIỆU'!$C$3:$C$1052,$B193,'DỮ LIỆU'!$N$3:$N$1052))</f>
        <v/>
      </c>
      <c r="K193" s="13" t="str">
        <f aca="false">IF($B193="","",SUMIF('DỮ LIỆU'!$C$3:$C$1052,$B193,'DỮ LIỆU'!$O$3:$O$1052))</f>
        <v/>
      </c>
      <c r="L193" s="13" t="str">
        <f aca="false">IF($B193="","",SUMIF('DỮ LIỆU'!$C$3:$C$1052,$B193,'DỮ LIỆU'!$Q$3:$Q$1052))</f>
        <v/>
      </c>
      <c r="M193" s="41" t="str">
        <f aca="false">IF($B193="","",IF(SUMPRODUCT(MAX(('DỮ LIỆU'!$C$3:$C$1052=$B193)*'DỮ LIỆU'!$Z$3:$Z$1052))=0,"",SUMPRODUCT(MAX(('DỮ LIỆU'!$C$3:$C$1052=$B193)*'DỮ LIỆU'!$Z$3:$Z$1052))))</f>
        <v/>
      </c>
      <c r="N193" s="21" t="str">
        <f aca="false">IF($B193="","",IF($G193=0,"Chưa có đơn",IF(COUNTIFS('DỮ LIỆU'!$C$3:$C$1052,$B193,'DỮ LIỆU'!$K$3:$K$1052,"&gt;0")&gt;0,"Có lấy VAT","Không lấy VAT")))</f>
        <v/>
      </c>
    </row>
    <row r="194" customFormat="false" ht="15" hidden="false" customHeight="false" outlineLevel="0" collapsed="false">
      <c r="A194" s="21" t="str">
        <f aca="false">IF($B194="","",189)</f>
        <v/>
      </c>
      <c r="B194" s="21" t="str">
        <f aca="false">IFERROR(INDEX('DỮ LIỆU'!$C$3:$C$1052,MATCH(189,'DỮ LIỆU'!$W$3:$W$1052,0)),"")</f>
        <v/>
      </c>
      <c r="C194" s="21" t="str">
        <f aca="false">IF($B194="","",IFERROR(IF(INDEX('DỮ LIỆU'!$D$3:$D$1052,MATCH($B194,'DỮ LIỆU'!$C$3:$C$1052,0))="","",INDEX('DỮ LIỆU'!$D$3:$D$1052,MATCH($B194,'DỮ LIỆU'!$C$3:$C$1052,0))),""))</f>
        <v/>
      </c>
      <c r="D194" s="21" t="str">
        <f aca="false">IF($B194="","",IFERROR(IF(INDEX('DỮ LIỆU'!$E$3:$E$1052,MATCH($B194,'DỮ LIỆU'!$C$3:$C$1052,0))="","",INDEX('DỮ LIỆU'!$E$3:$E$1052,MATCH($B194,'DỮ LIỆU'!$C$3:$C$1052,0))),""))</f>
        <v/>
      </c>
      <c r="E194" s="21" t="str">
        <f aca="false">IF($B194="","",IFERROR(IF(INDEX('DỮ LIỆU'!$F$3:$F$1052,MATCH($B194,'DỮ LIỆU'!$C$3:$C$1052,0))="","",INDEX('DỮ LIỆU'!$F$3:$F$1052,MATCH($B194,'DỮ LIỆU'!$C$3:$C$1052,0))),""))</f>
        <v/>
      </c>
      <c r="F194" s="21" t="str">
        <f aca="false">IF($B194="","",IFERROR(IF(INDEX('DỮ LIỆU'!$G$3:$G$1052,MATCH($B194,'DỮ LIỆU'!$C$3:$C$1052,0))="","",INDEX('DỮ LIỆU'!$G$3:$G$1052,MATCH($B194,'DỮ LIỆU'!$C$3:$C$1052,0))),""))</f>
        <v/>
      </c>
      <c r="G194" s="13" t="str">
        <f aca="false">IF($B194="","",COUNTIFS('DỮ LIỆU'!$C$3:$C$1052,$B194,'DỮ LIỆU'!$J$3:$J$1052,"&gt;0"))</f>
        <v/>
      </c>
      <c r="H194" s="13" t="str">
        <f aca="false">IF($B194="","",SUMIF('DỮ LIỆU'!$C$3:$C$1052,$B194,'DỮ LIỆU'!$J$3:$J$1052))</f>
        <v/>
      </c>
      <c r="I194" s="13" t="str">
        <f aca="false">IF($B194="","",SUMIF('DỮ LIỆU'!$C$3:$C$1052,$B194,'DỮ LIỆU'!$M$3:$M$1052))</f>
        <v/>
      </c>
      <c r="J194" s="13" t="str">
        <f aca="false">IF($B194="","",SUMIF('DỮ LIỆU'!$C$3:$C$1052,$B194,'DỮ LIỆU'!$N$3:$N$1052))</f>
        <v/>
      </c>
      <c r="K194" s="13" t="str">
        <f aca="false">IF($B194="","",SUMIF('DỮ LIỆU'!$C$3:$C$1052,$B194,'DỮ LIỆU'!$O$3:$O$1052))</f>
        <v/>
      </c>
      <c r="L194" s="13" t="str">
        <f aca="false">IF($B194="","",SUMIF('DỮ LIỆU'!$C$3:$C$1052,$B194,'DỮ LIỆU'!$Q$3:$Q$1052))</f>
        <v/>
      </c>
      <c r="M194" s="41" t="str">
        <f aca="false">IF($B194="","",IF(SUMPRODUCT(MAX(('DỮ LIỆU'!$C$3:$C$1052=$B194)*'DỮ LIỆU'!$Z$3:$Z$1052))=0,"",SUMPRODUCT(MAX(('DỮ LIỆU'!$C$3:$C$1052=$B194)*'DỮ LIỆU'!$Z$3:$Z$1052))))</f>
        <v/>
      </c>
      <c r="N194" s="21" t="str">
        <f aca="false">IF($B194="","",IF($G194=0,"Chưa có đơn",IF(COUNTIFS('DỮ LIỆU'!$C$3:$C$1052,$B194,'DỮ LIỆU'!$K$3:$K$1052,"&gt;0")&gt;0,"Có lấy VAT","Không lấy VAT")))</f>
        <v/>
      </c>
    </row>
    <row r="195" customFormat="false" ht="15" hidden="false" customHeight="false" outlineLevel="0" collapsed="false">
      <c r="A195" s="21" t="str">
        <f aca="false">IF($B195="","",190)</f>
        <v/>
      </c>
      <c r="B195" s="21" t="str">
        <f aca="false">IFERROR(INDEX('DỮ LIỆU'!$C$3:$C$1052,MATCH(190,'DỮ LIỆU'!$W$3:$W$1052,0)),"")</f>
        <v/>
      </c>
      <c r="C195" s="21" t="str">
        <f aca="false">IF($B195="","",IFERROR(IF(INDEX('DỮ LIỆU'!$D$3:$D$1052,MATCH($B195,'DỮ LIỆU'!$C$3:$C$1052,0))="","",INDEX('DỮ LIỆU'!$D$3:$D$1052,MATCH($B195,'DỮ LIỆU'!$C$3:$C$1052,0))),""))</f>
        <v/>
      </c>
      <c r="D195" s="21" t="str">
        <f aca="false">IF($B195="","",IFERROR(IF(INDEX('DỮ LIỆU'!$E$3:$E$1052,MATCH($B195,'DỮ LIỆU'!$C$3:$C$1052,0))="","",INDEX('DỮ LIỆU'!$E$3:$E$1052,MATCH($B195,'DỮ LIỆU'!$C$3:$C$1052,0))),""))</f>
        <v/>
      </c>
      <c r="E195" s="21" t="str">
        <f aca="false">IF($B195="","",IFERROR(IF(INDEX('DỮ LIỆU'!$F$3:$F$1052,MATCH($B195,'DỮ LIỆU'!$C$3:$C$1052,0))="","",INDEX('DỮ LIỆU'!$F$3:$F$1052,MATCH($B195,'DỮ LIỆU'!$C$3:$C$1052,0))),""))</f>
        <v/>
      </c>
      <c r="F195" s="21" t="str">
        <f aca="false">IF($B195="","",IFERROR(IF(INDEX('DỮ LIỆU'!$G$3:$G$1052,MATCH($B195,'DỮ LIỆU'!$C$3:$C$1052,0))="","",INDEX('DỮ LIỆU'!$G$3:$G$1052,MATCH($B195,'DỮ LIỆU'!$C$3:$C$1052,0))),""))</f>
        <v/>
      </c>
      <c r="G195" s="13" t="str">
        <f aca="false">IF($B195="","",COUNTIFS('DỮ LIỆU'!$C$3:$C$1052,$B195,'DỮ LIỆU'!$J$3:$J$1052,"&gt;0"))</f>
        <v/>
      </c>
      <c r="H195" s="13" t="str">
        <f aca="false">IF($B195="","",SUMIF('DỮ LIỆU'!$C$3:$C$1052,$B195,'DỮ LIỆU'!$J$3:$J$1052))</f>
        <v/>
      </c>
      <c r="I195" s="13" t="str">
        <f aca="false">IF($B195="","",SUMIF('DỮ LIỆU'!$C$3:$C$1052,$B195,'DỮ LIỆU'!$M$3:$M$1052))</f>
        <v/>
      </c>
      <c r="J195" s="13" t="str">
        <f aca="false">IF($B195="","",SUMIF('DỮ LIỆU'!$C$3:$C$1052,$B195,'DỮ LIỆU'!$N$3:$N$1052))</f>
        <v/>
      </c>
      <c r="K195" s="13" t="str">
        <f aca="false">IF($B195="","",SUMIF('DỮ LIỆU'!$C$3:$C$1052,$B195,'DỮ LIỆU'!$O$3:$O$1052))</f>
        <v/>
      </c>
      <c r="L195" s="13" t="str">
        <f aca="false">IF($B195="","",SUMIF('DỮ LIỆU'!$C$3:$C$1052,$B195,'DỮ LIỆU'!$Q$3:$Q$1052))</f>
        <v/>
      </c>
      <c r="M195" s="41" t="str">
        <f aca="false">IF($B195="","",IF(SUMPRODUCT(MAX(('DỮ LIỆU'!$C$3:$C$1052=$B195)*'DỮ LIỆU'!$Z$3:$Z$1052))=0,"",SUMPRODUCT(MAX(('DỮ LIỆU'!$C$3:$C$1052=$B195)*'DỮ LIỆU'!$Z$3:$Z$1052))))</f>
        <v/>
      </c>
      <c r="N195" s="21" t="str">
        <f aca="false">IF($B195="","",IF($G195=0,"Chưa có đơn",IF(COUNTIFS('DỮ LIỆU'!$C$3:$C$1052,$B195,'DỮ LIỆU'!$K$3:$K$1052,"&gt;0")&gt;0,"Có lấy VAT","Không lấy VAT")))</f>
        <v/>
      </c>
    </row>
    <row r="196" customFormat="false" ht="15" hidden="false" customHeight="false" outlineLevel="0" collapsed="false">
      <c r="A196" s="21" t="str">
        <f aca="false">IF($B196="","",191)</f>
        <v/>
      </c>
      <c r="B196" s="21" t="str">
        <f aca="false">IFERROR(INDEX('DỮ LIỆU'!$C$3:$C$1052,MATCH(191,'DỮ LIỆU'!$W$3:$W$1052,0)),"")</f>
        <v/>
      </c>
      <c r="C196" s="21" t="str">
        <f aca="false">IF($B196="","",IFERROR(IF(INDEX('DỮ LIỆU'!$D$3:$D$1052,MATCH($B196,'DỮ LIỆU'!$C$3:$C$1052,0))="","",INDEX('DỮ LIỆU'!$D$3:$D$1052,MATCH($B196,'DỮ LIỆU'!$C$3:$C$1052,0))),""))</f>
        <v/>
      </c>
      <c r="D196" s="21" t="str">
        <f aca="false">IF($B196="","",IFERROR(IF(INDEX('DỮ LIỆU'!$E$3:$E$1052,MATCH($B196,'DỮ LIỆU'!$C$3:$C$1052,0))="","",INDEX('DỮ LIỆU'!$E$3:$E$1052,MATCH($B196,'DỮ LIỆU'!$C$3:$C$1052,0))),""))</f>
        <v/>
      </c>
      <c r="E196" s="21" t="str">
        <f aca="false">IF($B196="","",IFERROR(IF(INDEX('DỮ LIỆU'!$F$3:$F$1052,MATCH($B196,'DỮ LIỆU'!$C$3:$C$1052,0))="","",INDEX('DỮ LIỆU'!$F$3:$F$1052,MATCH($B196,'DỮ LIỆU'!$C$3:$C$1052,0))),""))</f>
        <v/>
      </c>
      <c r="F196" s="21" t="str">
        <f aca="false">IF($B196="","",IFERROR(IF(INDEX('DỮ LIỆU'!$G$3:$G$1052,MATCH($B196,'DỮ LIỆU'!$C$3:$C$1052,0))="","",INDEX('DỮ LIỆU'!$G$3:$G$1052,MATCH($B196,'DỮ LIỆU'!$C$3:$C$1052,0))),""))</f>
        <v/>
      </c>
      <c r="G196" s="13" t="str">
        <f aca="false">IF($B196="","",COUNTIFS('DỮ LIỆU'!$C$3:$C$1052,$B196,'DỮ LIỆU'!$J$3:$J$1052,"&gt;0"))</f>
        <v/>
      </c>
      <c r="H196" s="13" t="str">
        <f aca="false">IF($B196="","",SUMIF('DỮ LIỆU'!$C$3:$C$1052,$B196,'DỮ LIỆU'!$J$3:$J$1052))</f>
        <v/>
      </c>
      <c r="I196" s="13" t="str">
        <f aca="false">IF($B196="","",SUMIF('DỮ LIỆU'!$C$3:$C$1052,$B196,'DỮ LIỆU'!$M$3:$M$1052))</f>
        <v/>
      </c>
      <c r="J196" s="13" t="str">
        <f aca="false">IF($B196="","",SUMIF('DỮ LIỆU'!$C$3:$C$1052,$B196,'DỮ LIỆU'!$N$3:$N$1052))</f>
        <v/>
      </c>
      <c r="K196" s="13" t="str">
        <f aca="false">IF($B196="","",SUMIF('DỮ LIỆU'!$C$3:$C$1052,$B196,'DỮ LIỆU'!$O$3:$O$1052))</f>
        <v/>
      </c>
      <c r="L196" s="13" t="str">
        <f aca="false">IF($B196="","",SUMIF('DỮ LIỆU'!$C$3:$C$1052,$B196,'DỮ LIỆU'!$Q$3:$Q$1052))</f>
        <v/>
      </c>
      <c r="M196" s="41" t="str">
        <f aca="false">IF($B196="","",IF(SUMPRODUCT(MAX(('DỮ LIỆU'!$C$3:$C$1052=$B196)*'DỮ LIỆU'!$Z$3:$Z$1052))=0,"",SUMPRODUCT(MAX(('DỮ LIỆU'!$C$3:$C$1052=$B196)*'DỮ LIỆU'!$Z$3:$Z$1052))))</f>
        <v/>
      </c>
      <c r="N196" s="21" t="str">
        <f aca="false">IF($B196="","",IF($G196=0,"Chưa có đơn",IF(COUNTIFS('DỮ LIỆU'!$C$3:$C$1052,$B196,'DỮ LIỆU'!$K$3:$K$1052,"&gt;0")&gt;0,"Có lấy VAT","Không lấy VAT")))</f>
        <v/>
      </c>
    </row>
    <row r="197" customFormat="false" ht="15" hidden="false" customHeight="false" outlineLevel="0" collapsed="false">
      <c r="A197" s="21" t="str">
        <f aca="false">IF($B197="","",192)</f>
        <v/>
      </c>
      <c r="B197" s="21" t="str">
        <f aca="false">IFERROR(INDEX('DỮ LIỆU'!$C$3:$C$1052,MATCH(192,'DỮ LIỆU'!$W$3:$W$1052,0)),"")</f>
        <v/>
      </c>
      <c r="C197" s="21" t="str">
        <f aca="false">IF($B197="","",IFERROR(IF(INDEX('DỮ LIỆU'!$D$3:$D$1052,MATCH($B197,'DỮ LIỆU'!$C$3:$C$1052,0))="","",INDEX('DỮ LIỆU'!$D$3:$D$1052,MATCH($B197,'DỮ LIỆU'!$C$3:$C$1052,0))),""))</f>
        <v/>
      </c>
      <c r="D197" s="21" t="str">
        <f aca="false">IF($B197="","",IFERROR(IF(INDEX('DỮ LIỆU'!$E$3:$E$1052,MATCH($B197,'DỮ LIỆU'!$C$3:$C$1052,0))="","",INDEX('DỮ LIỆU'!$E$3:$E$1052,MATCH($B197,'DỮ LIỆU'!$C$3:$C$1052,0))),""))</f>
        <v/>
      </c>
      <c r="E197" s="21" t="str">
        <f aca="false">IF($B197="","",IFERROR(IF(INDEX('DỮ LIỆU'!$F$3:$F$1052,MATCH($B197,'DỮ LIỆU'!$C$3:$C$1052,0))="","",INDEX('DỮ LIỆU'!$F$3:$F$1052,MATCH($B197,'DỮ LIỆU'!$C$3:$C$1052,0))),""))</f>
        <v/>
      </c>
      <c r="F197" s="21" t="str">
        <f aca="false">IF($B197="","",IFERROR(IF(INDEX('DỮ LIỆU'!$G$3:$G$1052,MATCH($B197,'DỮ LIỆU'!$C$3:$C$1052,0))="","",INDEX('DỮ LIỆU'!$G$3:$G$1052,MATCH($B197,'DỮ LIỆU'!$C$3:$C$1052,0))),""))</f>
        <v/>
      </c>
      <c r="G197" s="13" t="str">
        <f aca="false">IF($B197="","",COUNTIFS('DỮ LIỆU'!$C$3:$C$1052,$B197,'DỮ LIỆU'!$J$3:$J$1052,"&gt;0"))</f>
        <v/>
      </c>
      <c r="H197" s="13" t="str">
        <f aca="false">IF($B197="","",SUMIF('DỮ LIỆU'!$C$3:$C$1052,$B197,'DỮ LIỆU'!$J$3:$J$1052))</f>
        <v/>
      </c>
      <c r="I197" s="13" t="str">
        <f aca="false">IF($B197="","",SUMIF('DỮ LIỆU'!$C$3:$C$1052,$B197,'DỮ LIỆU'!$M$3:$M$1052))</f>
        <v/>
      </c>
      <c r="J197" s="13" t="str">
        <f aca="false">IF($B197="","",SUMIF('DỮ LIỆU'!$C$3:$C$1052,$B197,'DỮ LIỆU'!$N$3:$N$1052))</f>
        <v/>
      </c>
      <c r="K197" s="13" t="str">
        <f aca="false">IF($B197="","",SUMIF('DỮ LIỆU'!$C$3:$C$1052,$B197,'DỮ LIỆU'!$O$3:$O$1052))</f>
        <v/>
      </c>
      <c r="L197" s="13" t="str">
        <f aca="false">IF($B197="","",SUMIF('DỮ LIỆU'!$C$3:$C$1052,$B197,'DỮ LIỆU'!$Q$3:$Q$1052))</f>
        <v/>
      </c>
      <c r="M197" s="41" t="str">
        <f aca="false">IF($B197="","",IF(SUMPRODUCT(MAX(('DỮ LIỆU'!$C$3:$C$1052=$B197)*'DỮ LIỆU'!$Z$3:$Z$1052))=0,"",SUMPRODUCT(MAX(('DỮ LIỆU'!$C$3:$C$1052=$B197)*'DỮ LIỆU'!$Z$3:$Z$1052))))</f>
        <v/>
      </c>
      <c r="N197" s="21" t="str">
        <f aca="false">IF($B197="","",IF($G197=0,"Chưa có đơn",IF(COUNTIFS('DỮ LIỆU'!$C$3:$C$1052,$B197,'DỮ LIỆU'!$K$3:$K$1052,"&gt;0")&gt;0,"Có lấy VAT","Không lấy VAT")))</f>
        <v/>
      </c>
    </row>
    <row r="198" customFormat="false" ht="15" hidden="false" customHeight="false" outlineLevel="0" collapsed="false">
      <c r="A198" s="21" t="str">
        <f aca="false">IF($B198="","",193)</f>
        <v/>
      </c>
      <c r="B198" s="21" t="str">
        <f aca="false">IFERROR(INDEX('DỮ LIỆU'!$C$3:$C$1052,MATCH(193,'DỮ LIỆU'!$W$3:$W$1052,0)),"")</f>
        <v/>
      </c>
      <c r="C198" s="21" t="str">
        <f aca="false">IF($B198="","",IFERROR(IF(INDEX('DỮ LIỆU'!$D$3:$D$1052,MATCH($B198,'DỮ LIỆU'!$C$3:$C$1052,0))="","",INDEX('DỮ LIỆU'!$D$3:$D$1052,MATCH($B198,'DỮ LIỆU'!$C$3:$C$1052,0))),""))</f>
        <v/>
      </c>
      <c r="D198" s="21" t="str">
        <f aca="false">IF($B198="","",IFERROR(IF(INDEX('DỮ LIỆU'!$E$3:$E$1052,MATCH($B198,'DỮ LIỆU'!$C$3:$C$1052,0))="","",INDEX('DỮ LIỆU'!$E$3:$E$1052,MATCH($B198,'DỮ LIỆU'!$C$3:$C$1052,0))),""))</f>
        <v/>
      </c>
      <c r="E198" s="21" t="str">
        <f aca="false">IF($B198="","",IFERROR(IF(INDEX('DỮ LIỆU'!$F$3:$F$1052,MATCH($B198,'DỮ LIỆU'!$C$3:$C$1052,0))="","",INDEX('DỮ LIỆU'!$F$3:$F$1052,MATCH($B198,'DỮ LIỆU'!$C$3:$C$1052,0))),""))</f>
        <v/>
      </c>
      <c r="F198" s="21" t="str">
        <f aca="false">IF($B198="","",IFERROR(IF(INDEX('DỮ LIỆU'!$G$3:$G$1052,MATCH($B198,'DỮ LIỆU'!$C$3:$C$1052,0))="","",INDEX('DỮ LIỆU'!$G$3:$G$1052,MATCH($B198,'DỮ LIỆU'!$C$3:$C$1052,0))),""))</f>
        <v/>
      </c>
      <c r="G198" s="13" t="str">
        <f aca="false">IF($B198="","",COUNTIFS('DỮ LIỆU'!$C$3:$C$1052,$B198,'DỮ LIỆU'!$J$3:$J$1052,"&gt;0"))</f>
        <v/>
      </c>
      <c r="H198" s="13" t="str">
        <f aca="false">IF($B198="","",SUMIF('DỮ LIỆU'!$C$3:$C$1052,$B198,'DỮ LIỆU'!$J$3:$J$1052))</f>
        <v/>
      </c>
      <c r="I198" s="13" t="str">
        <f aca="false">IF($B198="","",SUMIF('DỮ LIỆU'!$C$3:$C$1052,$B198,'DỮ LIỆU'!$M$3:$M$1052))</f>
        <v/>
      </c>
      <c r="J198" s="13" t="str">
        <f aca="false">IF($B198="","",SUMIF('DỮ LIỆU'!$C$3:$C$1052,$B198,'DỮ LIỆU'!$N$3:$N$1052))</f>
        <v/>
      </c>
      <c r="K198" s="13" t="str">
        <f aca="false">IF($B198="","",SUMIF('DỮ LIỆU'!$C$3:$C$1052,$B198,'DỮ LIỆU'!$O$3:$O$1052))</f>
        <v/>
      </c>
      <c r="L198" s="13" t="str">
        <f aca="false">IF($B198="","",SUMIF('DỮ LIỆU'!$C$3:$C$1052,$B198,'DỮ LIỆU'!$Q$3:$Q$1052))</f>
        <v/>
      </c>
      <c r="M198" s="41" t="str">
        <f aca="false">IF($B198="","",IF(SUMPRODUCT(MAX(('DỮ LIỆU'!$C$3:$C$1052=$B198)*'DỮ LIỆU'!$Z$3:$Z$1052))=0,"",SUMPRODUCT(MAX(('DỮ LIỆU'!$C$3:$C$1052=$B198)*'DỮ LIỆU'!$Z$3:$Z$1052))))</f>
        <v/>
      </c>
      <c r="N198" s="21" t="str">
        <f aca="false">IF($B198="","",IF($G198=0,"Chưa có đơn",IF(COUNTIFS('DỮ LIỆU'!$C$3:$C$1052,$B198,'DỮ LIỆU'!$K$3:$K$1052,"&gt;0")&gt;0,"Có lấy VAT","Không lấy VAT")))</f>
        <v/>
      </c>
    </row>
    <row r="199" customFormat="false" ht="15" hidden="false" customHeight="false" outlineLevel="0" collapsed="false">
      <c r="A199" s="21" t="str">
        <f aca="false">IF($B199="","",194)</f>
        <v/>
      </c>
      <c r="B199" s="21" t="str">
        <f aca="false">IFERROR(INDEX('DỮ LIỆU'!$C$3:$C$1052,MATCH(194,'DỮ LIỆU'!$W$3:$W$1052,0)),"")</f>
        <v/>
      </c>
      <c r="C199" s="21" t="str">
        <f aca="false">IF($B199="","",IFERROR(IF(INDEX('DỮ LIỆU'!$D$3:$D$1052,MATCH($B199,'DỮ LIỆU'!$C$3:$C$1052,0))="","",INDEX('DỮ LIỆU'!$D$3:$D$1052,MATCH($B199,'DỮ LIỆU'!$C$3:$C$1052,0))),""))</f>
        <v/>
      </c>
      <c r="D199" s="21" t="str">
        <f aca="false">IF($B199="","",IFERROR(IF(INDEX('DỮ LIỆU'!$E$3:$E$1052,MATCH($B199,'DỮ LIỆU'!$C$3:$C$1052,0))="","",INDEX('DỮ LIỆU'!$E$3:$E$1052,MATCH($B199,'DỮ LIỆU'!$C$3:$C$1052,0))),""))</f>
        <v/>
      </c>
      <c r="E199" s="21" t="str">
        <f aca="false">IF($B199="","",IFERROR(IF(INDEX('DỮ LIỆU'!$F$3:$F$1052,MATCH($B199,'DỮ LIỆU'!$C$3:$C$1052,0))="","",INDEX('DỮ LIỆU'!$F$3:$F$1052,MATCH($B199,'DỮ LIỆU'!$C$3:$C$1052,0))),""))</f>
        <v/>
      </c>
      <c r="F199" s="21" t="str">
        <f aca="false">IF($B199="","",IFERROR(IF(INDEX('DỮ LIỆU'!$G$3:$G$1052,MATCH($B199,'DỮ LIỆU'!$C$3:$C$1052,0))="","",INDEX('DỮ LIỆU'!$G$3:$G$1052,MATCH($B199,'DỮ LIỆU'!$C$3:$C$1052,0))),""))</f>
        <v/>
      </c>
      <c r="G199" s="13" t="str">
        <f aca="false">IF($B199="","",COUNTIFS('DỮ LIỆU'!$C$3:$C$1052,$B199,'DỮ LIỆU'!$J$3:$J$1052,"&gt;0"))</f>
        <v/>
      </c>
      <c r="H199" s="13" t="str">
        <f aca="false">IF($B199="","",SUMIF('DỮ LIỆU'!$C$3:$C$1052,$B199,'DỮ LIỆU'!$J$3:$J$1052))</f>
        <v/>
      </c>
      <c r="I199" s="13" t="str">
        <f aca="false">IF($B199="","",SUMIF('DỮ LIỆU'!$C$3:$C$1052,$B199,'DỮ LIỆU'!$M$3:$M$1052))</f>
        <v/>
      </c>
      <c r="J199" s="13" t="str">
        <f aca="false">IF($B199="","",SUMIF('DỮ LIỆU'!$C$3:$C$1052,$B199,'DỮ LIỆU'!$N$3:$N$1052))</f>
        <v/>
      </c>
      <c r="K199" s="13" t="str">
        <f aca="false">IF($B199="","",SUMIF('DỮ LIỆU'!$C$3:$C$1052,$B199,'DỮ LIỆU'!$O$3:$O$1052))</f>
        <v/>
      </c>
      <c r="L199" s="13" t="str">
        <f aca="false">IF($B199="","",SUMIF('DỮ LIỆU'!$C$3:$C$1052,$B199,'DỮ LIỆU'!$Q$3:$Q$1052))</f>
        <v/>
      </c>
      <c r="M199" s="41" t="str">
        <f aca="false">IF($B199="","",IF(SUMPRODUCT(MAX(('DỮ LIỆU'!$C$3:$C$1052=$B199)*'DỮ LIỆU'!$Z$3:$Z$1052))=0,"",SUMPRODUCT(MAX(('DỮ LIỆU'!$C$3:$C$1052=$B199)*'DỮ LIỆU'!$Z$3:$Z$1052))))</f>
        <v/>
      </c>
      <c r="N199" s="21" t="str">
        <f aca="false">IF($B199="","",IF($G199=0,"Chưa có đơn",IF(COUNTIFS('DỮ LIỆU'!$C$3:$C$1052,$B199,'DỮ LIỆU'!$K$3:$K$1052,"&gt;0")&gt;0,"Có lấy VAT","Không lấy VAT")))</f>
        <v/>
      </c>
    </row>
    <row r="200" customFormat="false" ht="15" hidden="false" customHeight="false" outlineLevel="0" collapsed="false">
      <c r="A200" s="21" t="str">
        <f aca="false">IF($B200="","",195)</f>
        <v/>
      </c>
      <c r="B200" s="21" t="str">
        <f aca="false">IFERROR(INDEX('DỮ LIỆU'!$C$3:$C$1052,MATCH(195,'DỮ LIỆU'!$W$3:$W$1052,0)),"")</f>
        <v/>
      </c>
      <c r="C200" s="21" t="str">
        <f aca="false">IF($B200="","",IFERROR(IF(INDEX('DỮ LIỆU'!$D$3:$D$1052,MATCH($B200,'DỮ LIỆU'!$C$3:$C$1052,0))="","",INDEX('DỮ LIỆU'!$D$3:$D$1052,MATCH($B200,'DỮ LIỆU'!$C$3:$C$1052,0))),""))</f>
        <v/>
      </c>
      <c r="D200" s="21" t="str">
        <f aca="false">IF($B200="","",IFERROR(IF(INDEX('DỮ LIỆU'!$E$3:$E$1052,MATCH($B200,'DỮ LIỆU'!$C$3:$C$1052,0))="","",INDEX('DỮ LIỆU'!$E$3:$E$1052,MATCH($B200,'DỮ LIỆU'!$C$3:$C$1052,0))),""))</f>
        <v/>
      </c>
      <c r="E200" s="21" t="str">
        <f aca="false">IF($B200="","",IFERROR(IF(INDEX('DỮ LIỆU'!$F$3:$F$1052,MATCH($B200,'DỮ LIỆU'!$C$3:$C$1052,0))="","",INDEX('DỮ LIỆU'!$F$3:$F$1052,MATCH($B200,'DỮ LIỆU'!$C$3:$C$1052,0))),""))</f>
        <v/>
      </c>
      <c r="F200" s="21" t="str">
        <f aca="false">IF($B200="","",IFERROR(IF(INDEX('DỮ LIỆU'!$G$3:$G$1052,MATCH($B200,'DỮ LIỆU'!$C$3:$C$1052,0))="","",INDEX('DỮ LIỆU'!$G$3:$G$1052,MATCH($B200,'DỮ LIỆU'!$C$3:$C$1052,0))),""))</f>
        <v/>
      </c>
      <c r="G200" s="13" t="str">
        <f aca="false">IF($B200="","",COUNTIFS('DỮ LIỆU'!$C$3:$C$1052,$B200,'DỮ LIỆU'!$J$3:$J$1052,"&gt;0"))</f>
        <v/>
      </c>
      <c r="H200" s="13" t="str">
        <f aca="false">IF($B200="","",SUMIF('DỮ LIỆU'!$C$3:$C$1052,$B200,'DỮ LIỆU'!$J$3:$J$1052))</f>
        <v/>
      </c>
      <c r="I200" s="13" t="str">
        <f aca="false">IF($B200="","",SUMIF('DỮ LIỆU'!$C$3:$C$1052,$B200,'DỮ LIỆU'!$M$3:$M$1052))</f>
        <v/>
      </c>
      <c r="J200" s="13" t="str">
        <f aca="false">IF($B200="","",SUMIF('DỮ LIỆU'!$C$3:$C$1052,$B200,'DỮ LIỆU'!$N$3:$N$1052))</f>
        <v/>
      </c>
      <c r="K200" s="13" t="str">
        <f aca="false">IF($B200="","",SUMIF('DỮ LIỆU'!$C$3:$C$1052,$B200,'DỮ LIỆU'!$O$3:$O$1052))</f>
        <v/>
      </c>
      <c r="L200" s="13" t="str">
        <f aca="false">IF($B200="","",SUMIF('DỮ LIỆU'!$C$3:$C$1052,$B200,'DỮ LIỆU'!$Q$3:$Q$1052))</f>
        <v/>
      </c>
      <c r="M200" s="41" t="str">
        <f aca="false">IF($B200="","",IF(SUMPRODUCT(MAX(('DỮ LIỆU'!$C$3:$C$1052=$B200)*'DỮ LIỆU'!$Z$3:$Z$1052))=0,"",SUMPRODUCT(MAX(('DỮ LIỆU'!$C$3:$C$1052=$B200)*'DỮ LIỆU'!$Z$3:$Z$1052))))</f>
        <v/>
      </c>
      <c r="N200" s="21" t="str">
        <f aca="false">IF($B200="","",IF($G200=0,"Chưa có đơn",IF(COUNTIFS('DỮ LIỆU'!$C$3:$C$1052,$B200,'DỮ LIỆU'!$K$3:$K$1052,"&gt;0")&gt;0,"Có lấy VAT","Không lấy VAT")))</f>
        <v/>
      </c>
    </row>
    <row r="201" customFormat="false" ht="15" hidden="false" customHeight="false" outlineLevel="0" collapsed="false">
      <c r="A201" s="21" t="str">
        <f aca="false">IF($B201="","",196)</f>
        <v/>
      </c>
      <c r="B201" s="21" t="str">
        <f aca="false">IFERROR(INDEX('DỮ LIỆU'!$C$3:$C$1052,MATCH(196,'DỮ LIỆU'!$W$3:$W$1052,0)),"")</f>
        <v/>
      </c>
      <c r="C201" s="21" t="str">
        <f aca="false">IF($B201="","",IFERROR(IF(INDEX('DỮ LIỆU'!$D$3:$D$1052,MATCH($B201,'DỮ LIỆU'!$C$3:$C$1052,0))="","",INDEX('DỮ LIỆU'!$D$3:$D$1052,MATCH($B201,'DỮ LIỆU'!$C$3:$C$1052,0))),""))</f>
        <v/>
      </c>
      <c r="D201" s="21" t="str">
        <f aca="false">IF($B201="","",IFERROR(IF(INDEX('DỮ LIỆU'!$E$3:$E$1052,MATCH($B201,'DỮ LIỆU'!$C$3:$C$1052,0))="","",INDEX('DỮ LIỆU'!$E$3:$E$1052,MATCH($B201,'DỮ LIỆU'!$C$3:$C$1052,0))),""))</f>
        <v/>
      </c>
      <c r="E201" s="21" t="str">
        <f aca="false">IF($B201="","",IFERROR(IF(INDEX('DỮ LIỆU'!$F$3:$F$1052,MATCH($B201,'DỮ LIỆU'!$C$3:$C$1052,0))="","",INDEX('DỮ LIỆU'!$F$3:$F$1052,MATCH($B201,'DỮ LIỆU'!$C$3:$C$1052,0))),""))</f>
        <v/>
      </c>
      <c r="F201" s="21" t="str">
        <f aca="false">IF($B201="","",IFERROR(IF(INDEX('DỮ LIỆU'!$G$3:$G$1052,MATCH($B201,'DỮ LIỆU'!$C$3:$C$1052,0))="","",INDEX('DỮ LIỆU'!$G$3:$G$1052,MATCH($B201,'DỮ LIỆU'!$C$3:$C$1052,0))),""))</f>
        <v/>
      </c>
      <c r="G201" s="13" t="str">
        <f aca="false">IF($B201="","",COUNTIFS('DỮ LIỆU'!$C$3:$C$1052,$B201,'DỮ LIỆU'!$J$3:$J$1052,"&gt;0"))</f>
        <v/>
      </c>
      <c r="H201" s="13" t="str">
        <f aca="false">IF($B201="","",SUMIF('DỮ LIỆU'!$C$3:$C$1052,$B201,'DỮ LIỆU'!$J$3:$J$1052))</f>
        <v/>
      </c>
      <c r="I201" s="13" t="str">
        <f aca="false">IF($B201="","",SUMIF('DỮ LIỆU'!$C$3:$C$1052,$B201,'DỮ LIỆU'!$M$3:$M$1052))</f>
        <v/>
      </c>
      <c r="J201" s="13" t="str">
        <f aca="false">IF($B201="","",SUMIF('DỮ LIỆU'!$C$3:$C$1052,$B201,'DỮ LIỆU'!$N$3:$N$1052))</f>
        <v/>
      </c>
      <c r="K201" s="13" t="str">
        <f aca="false">IF($B201="","",SUMIF('DỮ LIỆU'!$C$3:$C$1052,$B201,'DỮ LIỆU'!$O$3:$O$1052))</f>
        <v/>
      </c>
      <c r="L201" s="13" t="str">
        <f aca="false">IF($B201="","",SUMIF('DỮ LIỆU'!$C$3:$C$1052,$B201,'DỮ LIỆU'!$Q$3:$Q$1052))</f>
        <v/>
      </c>
      <c r="M201" s="41" t="str">
        <f aca="false">IF($B201="","",IF(SUMPRODUCT(MAX(('DỮ LIỆU'!$C$3:$C$1052=$B201)*'DỮ LIỆU'!$Z$3:$Z$1052))=0,"",SUMPRODUCT(MAX(('DỮ LIỆU'!$C$3:$C$1052=$B201)*'DỮ LIỆU'!$Z$3:$Z$1052))))</f>
        <v/>
      </c>
      <c r="N201" s="21" t="str">
        <f aca="false">IF($B201="","",IF($G201=0,"Chưa có đơn",IF(COUNTIFS('DỮ LIỆU'!$C$3:$C$1052,$B201,'DỮ LIỆU'!$K$3:$K$1052,"&gt;0")&gt;0,"Có lấy VAT","Không lấy VAT")))</f>
        <v/>
      </c>
    </row>
    <row r="202" customFormat="false" ht="15" hidden="false" customHeight="false" outlineLevel="0" collapsed="false">
      <c r="A202" s="21" t="str">
        <f aca="false">IF($B202="","",197)</f>
        <v/>
      </c>
      <c r="B202" s="21" t="str">
        <f aca="false">IFERROR(INDEX('DỮ LIỆU'!$C$3:$C$1052,MATCH(197,'DỮ LIỆU'!$W$3:$W$1052,0)),"")</f>
        <v/>
      </c>
      <c r="C202" s="21" t="str">
        <f aca="false">IF($B202="","",IFERROR(IF(INDEX('DỮ LIỆU'!$D$3:$D$1052,MATCH($B202,'DỮ LIỆU'!$C$3:$C$1052,0))="","",INDEX('DỮ LIỆU'!$D$3:$D$1052,MATCH($B202,'DỮ LIỆU'!$C$3:$C$1052,0))),""))</f>
        <v/>
      </c>
      <c r="D202" s="21" t="str">
        <f aca="false">IF($B202="","",IFERROR(IF(INDEX('DỮ LIỆU'!$E$3:$E$1052,MATCH($B202,'DỮ LIỆU'!$C$3:$C$1052,0))="","",INDEX('DỮ LIỆU'!$E$3:$E$1052,MATCH($B202,'DỮ LIỆU'!$C$3:$C$1052,0))),""))</f>
        <v/>
      </c>
      <c r="E202" s="21" t="str">
        <f aca="false">IF($B202="","",IFERROR(IF(INDEX('DỮ LIỆU'!$F$3:$F$1052,MATCH($B202,'DỮ LIỆU'!$C$3:$C$1052,0))="","",INDEX('DỮ LIỆU'!$F$3:$F$1052,MATCH($B202,'DỮ LIỆU'!$C$3:$C$1052,0))),""))</f>
        <v/>
      </c>
      <c r="F202" s="21" t="str">
        <f aca="false">IF($B202="","",IFERROR(IF(INDEX('DỮ LIỆU'!$G$3:$G$1052,MATCH($B202,'DỮ LIỆU'!$C$3:$C$1052,0))="","",INDEX('DỮ LIỆU'!$G$3:$G$1052,MATCH($B202,'DỮ LIỆU'!$C$3:$C$1052,0))),""))</f>
        <v/>
      </c>
      <c r="G202" s="13" t="str">
        <f aca="false">IF($B202="","",COUNTIFS('DỮ LIỆU'!$C$3:$C$1052,$B202,'DỮ LIỆU'!$J$3:$J$1052,"&gt;0"))</f>
        <v/>
      </c>
      <c r="H202" s="13" t="str">
        <f aca="false">IF($B202="","",SUMIF('DỮ LIỆU'!$C$3:$C$1052,$B202,'DỮ LIỆU'!$J$3:$J$1052))</f>
        <v/>
      </c>
      <c r="I202" s="13" t="str">
        <f aca="false">IF($B202="","",SUMIF('DỮ LIỆU'!$C$3:$C$1052,$B202,'DỮ LIỆU'!$M$3:$M$1052))</f>
        <v/>
      </c>
      <c r="J202" s="13" t="str">
        <f aca="false">IF($B202="","",SUMIF('DỮ LIỆU'!$C$3:$C$1052,$B202,'DỮ LIỆU'!$N$3:$N$1052))</f>
        <v/>
      </c>
      <c r="K202" s="13" t="str">
        <f aca="false">IF($B202="","",SUMIF('DỮ LIỆU'!$C$3:$C$1052,$B202,'DỮ LIỆU'!$O$3:$O$1052))</f>
        <v/>
      </c>
      <c r="L202" s="13" t="str">
        <f aca="false">IF($B202="","",SUMIF('DỮ LIỆU'!$C$3:$C$1052,$B202,'DỮ LIỆU'!$Q$3:$Q$1052))</f>
        <v/>
      </c>
      <c r="M202" s="41" t="str">
        <f aca="false">IF($B202="","",IF(SUMPRODUCT(MAX(('DỮ LIỆU'!$C$3:$C$1052=$B202)*'DỮ LIỆU'!$Z$3:$Z$1052))=0,"",SUMPRODUCT(MAX(('DỮ LIỆU'!$C$3:$C$1052=$B202)*'DỮ LIỆU'!$Z$3:$Z$1052))))</f>
        <v/>
      </c>
      <c r="N202" s="21" t="str">
        <f aca="false">IF($B202="","",IF($G202=0,"Chưa có đơn",IF(COUNTIFS('DỮ LIỆU'!$C$3:$C$1052,$B202,'DỮ LIỆU'!$K$3:$K$1052,"&gt;0")&gt;0,"Có lấy VAT","Không lấy VAT")))</f>
        <v/>
      </c>
    </row>
    <row r="203" customFormat="false" ht="15" hidden="false" customHeight="false" outlineLevel="0" collapsed="false">
      <c r="A203" s="21" t="str">
        <f aca="false">IF($B203="","",198)</f>
        <v/>
      </c>
      <c r="B203" s="21" t="str">
        <f aca="false">IFERROR(INDEX('DỮ LIỆU'!$C$3:$C$1052,MATCH(198,'DỮ LIỆU'!$W$3:$W$1052,0)),"")</f>
        <v/>
      </c>
      <c r="C203" s="21" t="str">
        <f aca="false">IF($B203="","",IFERROR(IF(INDEX('DỮ LIỆU'!$D$3:$D$1052,MATCH($B203,'DỮ LIỆU'!$C$3:$C$1052,0))="","",INDEX('DỮ LIỆU'!$D$3:$D$1052,MATCH($B203,'DỮ LIỆU'!$C$3:$C$1052,0))),""))</f>
        <v/>
      </c>
      <c r="D203" s="21" t="str">
        <f aca="false">IF($B203="","",IFERROR(IF(INDEX('DỮ LIỆU'!$E$3:$E$1052,MATCH($B203,'DỮ LIỆU'!$C$3:$C$1052,0))="","",INDEX('DỮ LIỆU'!$E$3:$E$1052,MATCH($B203,'DỮ LIỆU'!$C$3:$C$1052,0))),""))</f>
        <v/>
      </c>
      <c r="E203" s="21" t="str">
        <f aca="false">IF($B203="","",IFERROR(IF(INDEX('DỮ LIỆU'!$F$3:$F$1052,MATCH($B203,'DỮ LIỆU'!$C$3:$C$1052,0))="","",INDEX('DỮ LIỆU'!$F$3:$F$1052,MATCH($B203,'DỮ LIỆU'!$C$3:$C$1052,0))),""))</f>
        <v/>
      </c>
      <c r="F203" s="21" t="str">
        <f aca="false">IF($B203="","",IFERROR(IF(INDEX('DỮ LIỆU'!$G$3:$G$1052,MATCH($B203,'DỮ LIỆU'!$C$3:$C$1052,0))="","",INDEX('DỮ LIỆU'!$G$3:$G$1052,MATCH($B203,'DỮ LIỆU'!$C$3:$C$1052,0))),""))</f>
        <v/>
      </c>
      <c r="G203" s="13" t="str">
        <f aca="false">IF($B203="","",COUNTIFS('DỮ LIỆU'!$C$3:$C$1052,$B203,'DỮ LIỆU'!$J$3:$J$1052,"&gt;0"))</f>
        <v/>
      </c>
      <c r="H203" s="13" t="str">
        <f aca="false">IF($B203="","",SUMIF('DỮ LIỆU'!$C$3:$C$1052,$B203,'DỮ LIỆU'!$J$3:$J$1052))</f>
        <v/>
      </c>
      <c r="I203" s="13" t="str">
        <f aca="false">IF($B203="","",SUMIF('DỮ LIỆU'!$C$3:$C$1052,$B203,'DỮ LIỆU'!$M$3:$M$1052))</f>
        <v/>
      </c>
      <c r="J203" s="13" t="str">
        <f aca="false">IF($B203="","",SUMIF('DỮ LIỆU'!$C$3:$C$1052,$B203,'DỮ LIỆU'!$N$3:$N$1052))</f>
        <v/>
      </c>
      <c r="K203" s="13" t="str">
        <f aca="false">IF($B203="","",SUMIF('DỮ LIỆU'!$C$3:$C$1052,$B203,'DỮ LIỆU'!$O$3:$O$1052))</f>
        <v/>
      </c>
      <c r="L203" s="13" t="str">
        <f aca="false">IF($B203="","",SUMIF('DỮ LIỆU'!$C$3:$C$1052,$B203,'DỮ LIỆU'!$Q$3:$Q$1052))</f>
        <v/>
      </c>
      <c r="M203" s="41" t="str">
        <f aca="false">IF($B203="","",IF(SUMPRODUCT(MAX(('DỮ LIỆU'!$C$3:$C$1052=$B203)*'DỮ LIỆU'!$Z$3:$Z$1052))=0,"",SUMPRODUCT(MAX(('DỮ LIỆU'!$C$3:$C$1052=$B203)*'DỮ LIỆU'!$Z$3:$Z$1052))))</f>
        <v/>
      </c>
      <c r="N203" s="21" t="str">
        <f aca="false">IF($B203="","",IF($G203=0,"Chưa có đơn",IF(COUNTIFS('DỮ LIỆU'!$C$3:$C$1052,$B203,'DỮ LIỆU'!$K$3:$K$1052,"&gt;0")&gt;0,"Có lấy VAT","Không lấy VAT")))</f>
        <v/>
      </c>
    </row>
    <row r="204" customFormat="false" ht="15" hidden="false" customHeight="false" outlineLevel="0" collapsed="false">
      <c r="A204" s="21" t="str">
        <f aca="false">IF($B204="","",199)</f>
        <v/>
      </c>
      <c r="B204" s="21" t="str">
        <f aca="false">IFERROR(INDEX('DỮ LIỆU'!$C$3:$C$1052,MATCH(199,'DỮ LIỆU'!$W$3:$W$1052,0)),"")</f>
        <v/>
      </c>
      <c r="C204" s="21" t="str">
        <f aca="false">IF($B204="","",IFERROR(IF(INDEX('DỮ LIỆU'!$D$3:$D$1052,MATCH($B204,'DỮ LIỆU'!$C$3:$C$1052,0))="","",INDEX('DỮ LIỆU'!$D$3:$D$1052,MATCH($B204,'DỮ LIỆU'!$C$3:$C$1052,0))),""))</f>
        <v/>
      </c>
      <c r="D204" s="21" t="str">
        <f aca="false">IF($B204="","",IFERROR(IF(INDEX('DỮ LIỆU'!$E$3:$E$1052,MATCH($B204,'DỮ LIỆU'!$C$3:$C$1052,0))="","",INDEX('DỮ LIỆU'!$E$3:$E$1052,MATCH($B204,'DỮ LIỆU'!$C$3:$C$1052,0))),""))</f>
        <v/>
      </c>
      <c r="E204" s="21" t="str">
        <f aca="false">IF($B204="","",IFERROR(IF(INDEX('DỮ LIỆU'!$F$3:$F$1052,MATCH($B204,'DỮ LIỆU'!$C$3:$C$1052,0))="","",INDEX('DỮ LIỆU'!$F$3:$F$1052,MATCH($B204,'DỮ LIỆU'!$C$3:$C$1052,0))),""))</f>
        <v/>
      </c>
      <c r="F204" s="21" t="str">
        <f aca="false">IF($B204="","",IFERROR(IF(INDEX('DỮ LIỆU'!$G$3:$G$1052,MATCH($B204,'DỮ LIỆU'!$C$3:$C$1052,0))="","",INDEX('DỮ LIỆU'!$G$3:$G$1052,MATCH($B204,'DỮ LIỆU'!$C$3:$C$1052,0))),""))</f>
        <v/>
      </c>
      <c r="G204" s="13" t="str">
        <f aca="false">IF($B204="","",COUNTIFS('DỮ LIỆU'!$C$3:$C$1052,$B204,'DỮ LIỆU'!$J$3:$J$1052,"&gt;0"))</f>
        <v/>
      </c>
      <c r="H204" s="13" t="str">
        <f aca="false">IF($B204="","",SUMIF('DỮ LIỆU'!$C$3:$C$1052,$B204,'DỮ LIỆU'!$J$3:$J$1052))</f>
        <v/>
      </c>
      <c r="I204" s="13" t="str">
        <f aca="false">IF($B204="","",SUMIF('DỮ LIỆU'!$C$3:$C$1052,$B204,'DỮ LIỆU'!$M$3:$M$1052))</f>
        <v/>
      </c>
      <c r="J204" s="13" t="str">
        <f aca="false">IF($B204="","",SUMIF('DỮ LIỆU'!$C$3:$C$1052,$B204,'DỮ LIỆU'!$N$3:$N$1052))</f>
        <v/>
      </c>
      <c r="K204" s="13" t="str">
        <f aca="false">IF($B204="","",SUMIF('DỮ LIỆU'!$C$3:$C$1052,$B204,'DỮ LIỆU'!$O$3:$O$1052))</f>
        <v/>
      </c>
      <c r="L204" s="13" t="str">
        <f aca="false">IF($B204="","",SUMIF('DỮ LIỆU'!$C$3:$C$1052,$B204,'DỮ LIỆU'!$Q$3:$Q$1052))</f>
        <v/>
      </c>
      <c r="M204" s="41" t="str">
        <f aca="false">IF($B204="","",IF(SUMPRODUCT(MAX(('DỮ LIỆU'!$C$3:$C$1052=$B204)*'DỮ LIỆU'!$Z$3:$Z$1052))=0,"",SUMPRODUCT(MAX(('DỮ LIỆU'!$C$3:$C$1052=$B204)*'DỮ LIỆU'!$Z$3:$Z$1052))))</f>
        <v/>
      </c>
      <c r="N204" s="21" t="str">
        <f aca="false">IF($B204="","",IF($G204=0,"Chưa có đơn",IF(COUNTIFS('DỮ LIỆU'!$C$3:$C$1052,$B204,'DỮ LIỆU'!$K$3:$K$1052,"&gt;0")&gt;0,"Có lấy VAT","Không lấy VAT")))</f>
        <v/>
      </c>
    </row>
    <row r="205" customFormat="false" ht="15" hidden="false" customHeight="false" outlineLevel="0" collapsed="false">
      <c r="A205" s="21" t="str">
        <f aca="false">IF($B205="","",200)</f>
        <v/>
      </c>
      <c r="B205" s="21" t="str">
        <f aca="false">IFERROR(INDEX('DỮ LIỆU'!$C$3:$C$1052,MATCH(200,'DỮ LIỆU'!$W$3:$W$1052,0)),"")</f>
        <v/>
      </c>
      <c r="C205" s="21" t="str">
        <f aca="false">IF($B205="","",IFERROR(IF(INDEX('DỮ LIỆU'!$D$3:$D$1052,MATCH($B205,'DỮ LIỆU'!$C$3:$C$1052,0))="","",INDEX('DỮ LIỆU'!$D$3:$D$1052,MATCH($B205,'DỮ LIỆU'!$C$3:$C$1052,0))),""))</f>
        <v/>
      </c>
      <c r="D205" s="21" t="str">
        <f aca="false">IF($B205="","",IFERROR(IF(INDEX('DỮ LIỆU'!$E$3:$E$1052,MATCH($B205,'DỮ LIỆU'!$C$3:$C$1052,0))="","",INDEX('DỮ LIỆU'!$E$3:$E$1052,MATCH($B205,'DỮ LIỆU'!$C$3:$C$1052,0))),""))</f>
        <v/>
      </c>
      <c r="E205" s="21" t="str">
        <f aca="false">IF($B205="","",IFERROR(IF(INDEX('DỮ LIỆU'!$F$3:$F$1052,MATCH($B205,'DỮ LIỆU'!$C$3:$C$1052,0))="","",INDEX('DỮ LIỆU'!$F$3:$F$1052,MATCH($B205,'DỮ LIỆU'!$C$3:$C$1052,0))),""))</f>
        <v/>
      </c>
      <c r="F205" s="21" t="str">
        <f aca="false">IF($B205="","",IFERROR(IF(INDEX('DỮ LIỆU'!$G$3:$G$1052,MATCH($B205,'DỮ LIỆU'!$C$3:$C$1052,0))="","",INDEX('DỮ LIỆU'!$G$3:$G$1052,MATCH($B205,'DỮ LIỆU'!$C$3:$C$1052,0))),""))</f>
        <v/>
      </c>
      <c r="G205" s="13" t="str">
        <f aca="false">IF($B205="","",COUNTIFS('DỮ LIỆU'!$C$3:$C$1052,$B205,'DỮ LIỆU'!$J$3:$J$1052,"&gt;0"))</f>
        <v/>
      </c>
      <c r="H205" s="13" t="str">
        <f aca="false">IF($B205="","",SUMIF('DỮ LIỆU'!$C$3:$C$1052,$B205,'DỮ LIỆU'!$J$3:$J$1052))</f>
        <v/>
      </c>
      <c r="I205" s="13" t="str">
        <f aca="false">IF($B205="","",SUMIF('DỮ LIỆU'!$C$3:$C$1052,$B205,'DỮ LIỆU'!$M$3:$M$1052))</f>
        <v/>
      </c>
      <c r="J205" s="13" t="str">
        <f aca="false">IF($B205="","",SUMIF('DỮ LIỆU'!$C$3:$C$1052,$B205,'DỮ LIỆU'!$N$3:$N$1052))</f>
        <v/>
      </c>
      <c r="K205" s="13" t="str">
        <f aca="false">IF($B205="","",SUMIF('DỮ LIỆU'!$C$3:$C$1052,$B205,'DỮ LIỆU'!$O$3:$O$1052))</f>
        <v/>
      </c>
      <c r="L205" s="13" t="str">
        <f aca="false">IF($B205="","",SUMIF('DỮ LIỆU'!$C$3:$C$1052,$B205,'DỮ LIỆU'!$Q$3:$Q$1052))</f>
        <v/>
      </c>
      <c r="M205" s="41" t="str">
        <f aca="false">IF($B205="","",IF(SUMPRODUCT(MAX(('DỮ LIỆU'!$C$3:$C$1052=$B205)*'DỮ LIỆU'!$Z$3:$Z$1052))=0,"",SUMPRODUCT(MAX(('DỮ LIỆU'!$C$3:$C$1052=$B205)*'DỮ LIỆU'!$Z$3:$Z$1052))))</f>
        <v/>
      </c>
      <c r="N205" s="21" t="str">
        <f aca="false">IF($B205="","",IF($G205=0,"Chưa có đơn",IF(COUNTIFS('DỮ LIỆU'!$C$3:$C$1052,$B205,'DỮ LIỆU'!$K$3:$K$1052,"&gt;0")&gt;0,"Có lấy VAT","Không lấy VAT")))</f>
        <v/>
      </c>
    </row>
    <row r="206" customFormat="false" ht="15" hidden="false" customHeight="false" outlineLevel="0" collapsed="false">
      <c r="A206" s="21" t="str">
        <f aca="false">IF($B206="","",201)</f>
        <v/>
      </c>
      <c r="B206" s="21" t="str">
        <f aca="false">IFERROR(INDEX('DỮ LIỆU'!$C$3:$C$1052,MATCH(201,'DỮ LIỆU'!$W$3:$W$1052,0)),"")</f>
        <v/>
      </c>
      <c r="C206" s="21" t="str">
        <f aca="false">IF($B206="","",IFERROR(IF(INDEX('DỮ LIỆU'!$D$3:$D$1052,MATCH($B206,'DỮ LIỆU'!$C$3:$C$1052,0))="","",INDEX('DỮ LIỆU'!$D$3:$D$1052,MATCH($B206,'DỮ LIỆU'!$C$3:$C$1052,0))),""))</f>
        <v/>
      </c>
      <c r="D206" s="21" t="str">
        <f aca="false">IF($B206="","",IFERROR(IF(INDEX('DỮ LIỆU'!$E$3:$E$1052,MATCH($B206,'DỮ LIỆU'!$C$3:$C$1052,0))="","",INDEX('DỮ LIỆU'!$E$3:$E$1052,MATCH($B206,'DỮ LIỆU'!$C$3:$C$1052,0))),""))</f>
        <v/>
      </c>
      <c r="E206" s="21" t="str">
        <f aca="false">IF($B206="","",IFERROR(IF(INDEX('DỮ LIỆU'!$F$3:$F$1052,MATCH($B206,'DỮ LIỆU'!$C$3:$C$1052,0))="","",INDEX('DỮ LIỆU'!$F$3:$F$1052,MATCH($B206,'DỮ LIỆU'!$C$3:$C$1052,0))),""))</f>
        <v/>
      </c>
      <c r="F206" s="21" t="str">
        <f aca="false">IF($B206="","",IFERROR(IF(INDEX('DỮ LIỆU'!$G$3:$G$1052,MATCH($B206,'DỮ LIỆU'!$C$3:$C$1052,0))="","",INDEX('DỮ LIỆU'!$G$3:$G$1052,MATCH($B206,'DỮ LIỆU'!$C$3:$C$1052,0))),""))</f>
        <v/>
      </c>
      <c r="G206" s="13" t="str">
        <f aca="false">IF($B206="","",COUNTIFS('DỮ LIỆU'!$C$3:$C$1052,$B206,'DỮ LIỆU'!$J$3:$J$1052,"&gt;0"))</f>
        <v/>
      </c>
      <c r="H206" s="13" t="str">
        <f aca="false">IF($B206="","",SUMIF('DỮ LIỆU'!$C$3:$C$1052,$B206,'DỮ LIỆU'!$J$3:$J$1052))</f>
        <v/>
      </c>
      <c r="I206" s="13" t="str">
        <f aca="false">IF($B206="","",SUMIF('DỮ LIỆU'!$C$3:$C$1052,$B206,'DỮ LIỆU'!$M$3:$M$1052))</f>
        <v/>
      </c>
      <c r="J206" s="13" t="str">
        <f aca="false">IF($B206="","",SUMIF('DỮ LIỆU'!$C$3:$C$1052,$B206,'DỮ LIỆU'!$N$3:$N$1052))</f>
        <v/>
      </c>
      <c r="K206" s="13" t="str">
        <f aca="false">IF($B206="","",SUMIF('DỮ LIỆU'!$C$3:$C$1052,$B206,'DỮ LIỆU'!$O$3:$O$1052))</f>
        <v/>
      </c>
      <c r="L206" s="13" t="str">
        <f aca="false">IF($B206="","",SUMIF('DỮ LIỆU'!$C$3:$C$1052,$B206,'DỮ LIỆU'!$Q$3:$Q$1052))</f>
        <v/>
      </c>
      <c r="M206" s="41" t="str">
        <f aca="false">IF($B206="","",IF(SUMPRODUCT(MAX(('DỮ LIỆU'!$C$3:$C$1052=$B206)*'DỮ LIỆU'!$Z$3:$Z$1052))=0,"",SUMPRODUCT(MAX(('DỮ LIỆU'!$C$3:$C$1052=$B206)*'DỮ LIỆU'!$Z$3:$Z$1052))))</f>
        <v/>
      </c>
      <c r="N206" s="21" t="str">
        <f aca="false">IF($B206="","",IF($G206=0,"Chưa có đơn",IF(COUNTIFS('DỮ LIỆU'!$C$3:$C$1052,$B206,'DỮ LIỆU'!$K$3:$K$1052,"&gt;0")&gt;0,"Có lấy VAT","Không lấy VAT")))</f>
        <v/>
      </c>
    </row>
    <row r="207" customFormat="false" ht="15" hidden="false" customHeight="false" outlineLevel="0" collapsed="false">
      <c r="A207" s="21" t="str">
        <f aca="false">IF($B207="","",202)</f>
        <v/>
      </c>
      <c r="B207" s="21" t="str">
        <f aca="false">IFERROR(INDEX('DỮ LIỆU'!$C$3:$C$1052,MATCH(202,'DỮ LIỆU'!$W$3:$W$1052,0)),"")</f>
        <v/>
      </c>
      <c r="C207" s="21" t="str">
        <f aca="false">IF($B207="","",IFERROR(IF(INDEX('DỮ LIỆU'!$D$3:$D$1052,MATCH($B207,'DỮ LIỆU'!$C$3:$C$1052,0))="","",INDEX('DỮ LIỆU'!$D$3:$D$1052,MATCH($B207,'DỮ LIỆU'!$C$3:$C$1052,0))),""))</f>
        <v/>
      </c>
      <c r="D207" s="21" t="str">
        <f aca="false">IF($B207="","",IFERROR(IF(INDEX('DỮ LIỆU'!$E$3:$E$1052,MATCH($B207,'DỮ LIỆU'!$C$3:$C$1052,0))="","",INDEX('DỮ LIỆU'!$E$3:$E$1052,MATCH($B207,'DỮ LIỆU'!$C$3:$C$1052,0))),""))</f>
        <v/>
      </c>
      <c r="E207" s="21" t="str">
        <f aca="false">IF($B207="","",IFERROR(IF(INDEX('DỮ LIỆU'!$F$3:$F$1052,MATCH($B207,'DỮ LIỆU'!$C$3:$C$1052,0))="","",INDEX('DỮ LIỆU'!$F$3:$F$1052,MATCH($B207,'DỮ LIỆU'!$C$3:$C$1052,0))),""))</f>
        <v/>
      </c>
      <c r="F207" s="21" t="str">
        <f aca="false">IF($B207="","",IFERROR(IF(INDEX('DỮ LIỆU'!$G$3:$G$1052,MATCH($B207,'DỮ LIỆU'!$C$3:$C$1052,0))="","",INDEX('DỮ LIỆU'!$G$3:$G$1052,MATCH($B207,'DỮ LIỆU'!$C$3:$C$1052,0))),""))</f>
        <v/>
      </c>
      <c r="G207" s="13" t="str">
        <f aca="false">IF($B207="","",COUNTIFS('DỮ LIỆU'!$C$3:$C$1052,$B207,'DỮ LIỆU'!$J$3:$J$1052,"&gt;0"))</f>
        <v/>
      </c>
      <c r="H207" s="13" t="str">
        <f aca="false">IF($B207="","",SUMIF('DỮ LIỆU'!$C$3:$C$1052,$B207,'DỮ LIỆU'!$J$3:$J$1052))</f>
        <v/>
      </c>
      <c r="I207" s="13" t="str">
        <f aca="false">IF($B207="","",SUMIF('DỮ LIỆU'!$C$3:$C$1052,$B207,'DỮ LIỆU'!$M$3:$M$1052))</f>
        <v/>
      </c>
      <c r="J207" s="13" t="str">
        <f aca="false">IF($B207="","",SUMIF('DỮ LIỆU'!$C$3:$C$1052,$B207,'DỮ LIỆU'!$N$3:$N$1052))</f>
        <v/>
      </c>
      <c r="K207" s="13" t="str">
        <f aca="false">IF($B207="","",SUMIF('DỮ LIỆU'!$C$3:$C$1052,$B207,'DỮ LIỆU'!$O$3:$O$1052))</f>
        <v/>
      </c>
      <c r="L207" s="13" t="str">
        <f aca="false">IF($B207="","",SUMIF('DỮ LIỆU'!$C$3:$C$1052,$B207,'DỮ LIỆU'!$Q$3:$Q$1052))</f>
        <v/>
      </c>
      <c r="M207" s="41" t="str">
        <f aca="false">IF($B207="","",IF(SUMPRODUCT(MAX(('DỮ LIỆU'!$C$3:$C$1052=$B207)*'DỮ LIỆU'!$Z$3:$Z$1052))=0,"",SUMPRODUCT(MAX(('DỮ LIỆU'!$C$3:$C$1052=$B207)*'DỮ LIỆU'!$Z$3:$Z$1052))))</f>
        <v/>
      </c>
      <c r="N207" s="21" t="str">
        <f aca="false">IF($B207="","",IF($G207=0,"Chưa có đơn",IF(COUNTIFS('DỮ LIỆU'!$C$3:$C$1052,$B207,'DỮ LIỆU'!$K$3:$K$1052,"&gt;0")&gt;0,"Có lấy VAT","Không lấy VAT")))</f>
        <v/>
      </c>
    </row>
    <row r="208" customFormat="false" ht="15" hidden="false" customHeight="false" outlineLevel="0" collapsed="false">
      <c r="A208" s="21" t="str">
        <f aca="false">IF($B208="","",203)</f>
        <v/>
      </c>
      <c r="B208" s="21" t="str">
        <f aca="false">IFERROR(INDEX('DỮ LIỆU'!$C$3:$C$1052,MATCH(203,'DỮ LIỆU'!$W$3:$W$1052,0)),"")</f>
        <v/>
      </c>
      <c r="C208" s="21" t="str">
        <f aca="false">IF($B208="","",IFERROR(IF(INDEX('DỮ LIỆU'!$D$3:$D$1052,MATCH($B208,'DỮ LIỆU'!$C$3:$C$1052,0))="","",INDEX('DỮ LIỆU'!$D$3:$D$1052,MATCH($B208,'DỮ LIỆU'!$C$3:$C$1052,0))),""))</f>
        <v/>
      </c>
      <c r="D208" s="21" t="str">
        <f aca="false">IF($B208="","",IFERROR(IF(INDEX('DỮ LIỆU'!$E$3:$E$1052,MATCH($B208,'DỮ LIỆU'!$C$3:$C$1052,0))="","",INDEX('DỮ LIỆU'!$E$3:$E$1052,MATCH($B208,'DỮ LIỆU'!$C$3:$C$1052,0))),""))</f>
        <v/>
      </c>
      <c r="E208" s="21" t="str">
        <f aca="false">IF($B208="","",IFERROR(IF(INDEX('DỮ LIỆU'!$F$3:$F$1052,MATCH($B208,'DỮ LIỆU'!$C$3:$C$1052,0))="","",INDEX('DỮ LIỆU'!$F$3:$F$1052,MATCH($B208,'DỮ LIỆU'!$C$3:$C$1052,0))),""))</f>
        <v/>
      </c>
      <c r="F208" s="21" t="str">
        <f aca="false">IF($B208="","",IFERROR(IF(INDEX('DỮ LIỆU'!$G$3:$G$1052,MATCH($B208,'DỮ LIỆU'!$C$3:$C$1052,0))="","",INDEX('DỮ LIỆU'!$G$3:$G$1052,MATCH($B208,'DỮ LIỆU'!$C$3:$C$1052,0))),""))</f>
        <v/>
      </c>
      <c r="G208" s="13" t="str">
        <f aca="false">IF($B208="","",COUNTIFS('DỮ LIỆU'!$C$3:$C$1052,$B208,'DỮ LIỆU'!$J$3:$J$1052,"&gt;0"))</f>
        <v/>
      </c>
      <c r="H208" s="13" t="str">
        <f aca="false">IF($B208="","",SUMIF('DỮ LIỆU'!$C$3:$C$1052,$B208,'DỮ LIỆU'!$J$3:$J$1052))</f>
        <v/>
      </c>
      <c r="I208" s="13" t="str">
        <f aca="false">IF($B208="","",SUMIF('DỮ LIỆU'!$C$3:$C$1052,$B208,'DỮ LIỆU'!$M$3:$M$1052))</f>
        <v/>
      </c>
      <c r="J208" s="13" t="str">
        <f aca="false">IF($B208="","",SUMIF('DỮ LIỆU'!$C$3:$C$1052,$B208,'DỮ LIỆU'!$N$3:$N$1052))</f>
        <v/>
      </c>
      <c r="K208" s="13" t="str">
        <f aca="false">IF($B208="","",SUMIF('DỮ LIỆU'!$C$3:$C$1052,$B208,'DỮ LIỆU'!$O$3:$O$1052))</f>
        <v/>
      </c>
      <c r="L208" s="13" t="str">
        <f aca="false">IF($B208="","",SUMIF('DỮ LIỆU'!$C$3:$C$1052,$B208,'DỮ LIỆU'!$Q$3:$Q$1052))</f>
        <v/>
      </c>
      <c r="M208" s="41" t="str">
        <f aca="false">IF($B208="","",IF(SUMPRODUCT(MAX(('DỮ LIỆU'!$C$3:$C$1052=$B208)*'DỮ LIỆU'!$Z$3:$Z$1052))=0,"",SUMPRODUCT(MAX(('DỮ LIỆU'!$C$3:$C$1052=$B208)*'DỮ LIỆU'!$Z$3:$Z$1052))))</f>
        <v/>
      </c>
      <c r="N208" s="21" t="str">
        <f aca="false">IF($B208="","",IF($G208=0,"Chưa có đơn",IF(COUNTIFS('DỮ LIỆU'!$C$3:$C$1052,$B208,'DỮ LIỆU'!$K$3:$K$1052,"&gt;0")&gt;0,"Có lấy VAT","Không lấy VAT")))</f>
        <v/>
      </c>
    </row>
    <row r="209" customFormat="false" ht="15" hidden="false" customHeight="false" outlineLevel="0" collapsed="false">
      <c r="A209" s="21" t="str">
        <f aca="false">IF($B209="","",204)</f>
        <v/>
      </c>
      <c r="B209" s="21" t="str">
        <f aca="false">IFERROR(INDEX('DỮ LIỆU'!$C$3:$C$1052,MATCH(204,'DỮ LIỆU'!$W$3:$W$1052,0)),"")</f>
        <v/>
      </c>
      <c r="C209" s="21" t="str">
        <f aca="false">IF($B209="","",IFERROR(IF(INDEX('DỮ LIỆU'!$D$3:$D$1052,MATCH($B209,'DỮ LIỆU'!$C$3:$C$1052,0))="","",INDEX('DỮ LIỆU'!$D$3:$D$1052,MATCH($B209,'DỮ LIỆU'!$C$3:$C$1052,0))),""))</f>
        <v/>
      </c>
      <c r="D209" s="21" t="str">
        <f aca="false">IF($B209="","",IFERROR(IF(INDEX('DỮ LIỆU'!$E$3:$E$1052,MATCH($B209,'DỮ LIỆU'!$C$3:$C$1052,0))="","",INDEX('DỮ LIỆU'!$E$3:$E$1052,MATCH($B209,'DỮ LIỆU'!$C$3:$C$1052,0))),""))</f>
        <v/>
      </c>
      <c r="E209" s="21" t="str">
        <f aca="false">IF($B209="","",IFERROR(IF(INDEX('DỮ LIỆU'!$F$3:$F$1052,MATCH($B209,'DỮ LIỆU'!$C$3:$C$1052,0))="","",INDEX('DỮ LIỆU'!$F$3:$F$1052,MATCH($B209,'DỮ LIỆU'!$C$3:$C$1052,0))),""))</f>
        <v/>
      </c>
      <c r="F209" s="21" t="str">
        <f aca="false">IF($B209="","",IFERROR(IF(INDEX('DỮ LIỆU'!$G$3:$G$1052,MATCH($B209,'DỮ LIỆU'!$C$3:$C$1052,0))="","",INDEX('DỮ LIỆU'!$G$3:$G$1052,MATCH($B209,'DỮ LIỆU'!$C$3:$C$1052,0))),""))</f>
        <v/>
      </c>
      <c r="G209" s="13" t="str">
        <f aca="false">IF($B209="","",COUNTIFS('DỮ LIỆU'!$C$3:$C$1052,$B209,'DỮ LIỆU'!$J$3:$J$1052,"&gt;0"))</f>
        <v/>
      </c>
      <c r="H209" s="13" t="str">
        <f aca="false">IF($B209="","",SUMIF('DỮ LIỆU'!$C$3:$C$1052,$B209,'DỮ LIỆU'!$J$3:$J$1052))</f>
        <v/>
      </c>
      <c r="I209" s="13" t="str">
        <f aca="false">IF($B209="","",SUMIF('DỮ LIỆU'!$C$3:$C$1052,$B209,'DỮ LIỆU'!$M$3:$M$1052))</f>
        <v/>
      </c>
      <c r="J209" s="13" t="str">
        <f aca="false">IF($B209="","",SUMIF('DỮ LIỆU'!$C$3:$C$1052,$B209,'DỮ LIỆU'!$N$3:$N$1052))</f>
        <v/>
      </c>
      <c r="K209" s="13" t="str">
        <f aca="false">IF($B209="","",SUMIF('DỮ LIỆU'!$C$3:$C$1052,$B209,'DỮ LIỆU'!$O$3:$O$1052))</f>
        <v/>
      </c>
      <c r="L209" s="13" t="str">
        <f aca="false">IF($B209="","",SUMIF('DỮ LIỆU'!$C$3:$C$1052,$B209,'DỮ LIỆU'!$Q$3:$Q$1052))</f>
        <v/>
      </c>
      <c r="M209" s="41" t="str">
        <f aca="false">IF($B209="","",IF(SUMPRODUCT(MAX(('DỮ LIỆU'!$C$3:$C$1052=$B209)*'DỮ LIỆU'!$Z$3:$Z$1052))=0,"",SUMPRODUCT(MAX(('DỮ LIỆU'!$C$3:$C$1052=$B209)*'DỮ LIỆU'!$Z$3:$Z$1052))))</f>
        <v/>
      </c>
      <c r="N209" s="21" t="str">
        <f aca="false">IF($B209="","",IF($G209=0,"Chưa có đơn",IF(COUNTIFS('DỮ LIỆU'!$C$3:$C$1052,$B209,'DỮ LIỆU'!$K$3:$K$1052,"&gt;0")&gt;0,"Có lấy VAT","Không lấy VAT")))</f>
        <v/>
      </c>
    </row>
    <row r="210" customFormat="false" ht="15" hidden="false" customHeight="false" outlineLevel="0" collapsed="false">
      <c r="A210" s="21" t="str">
        <f aca="false">IF($B210="","",205)</f>
        <v/>
      </c>
      <c r="B210" s="21" t="str">
        <f aca="false">IFERROR(INDEX('DỮ LIỆU'!$C$3:$C$1052,MATCH(205,'DỮ LIỆU'!$W$3:$W$1052,0)),"")</f>
        <v/>
      </c>
      <c r="C210" s="21" t="str">
        <f aca="false">IF($B210="","",IFERROR(IF(INDEX('DỮ LIỆU'!$D$3:$D$1052,MATCH($B210,'DỮ LIỆU'!$C$3:$C$1052,0))="","",INDEX('DỮ LIỆU'!$D$3:$D$1052,MATCH($B210,'DỮ LIỆU'!$C$3:$C$1052,0))),""))</f>
        <v/>
      </c>
      <c r="D210" s="21" t="str">
        <f aca="false">IF($B210="","",IFERROR(IF(INDEX('DỮ LIỆU'!$E$3:$E$1052,MATCH($B210,'DỮ LIỆU'!$C$3:$C$1052,0))="","",INDEX('DỮ LIỆU'!$E$3:$E$1052,MATCH($B210,'DỮ LIỆU'!$C$3:$C$1052,0))),""))</f>
        <v/>
      </c>
      <c r="E210" s="21" t="str">
        <f aca="false">IF($B210="","",IFERROR(IF(INDEX('DỮ LIỆU'!$F$3:$F$1052,MATCH($B210,'DỮ LIỆU'!$C$3:$C$1052,0))="","",INDEX('DỮ LIỆU'!$F$3:$F$1052,MATCH($B210,'DỮ LIỆU'!$C$3:$C$1052,0))),""))</f>
        <v/>
      </c>
      <c r="F210" s="21" t="str">
        <f aca="false">IF($B210="","",IFERROR(IF(INDEX('DỮ LIỆU'!$G$3:$G$1052,MATCH($B210,'DỮ LIỆU'!$C$3:$C$1052,0))="","",INDEX('DỮ LIỆU'!$G$3:$G$1052,MATCH($B210,'DỮ LIỆU'!$C$3:$C$1052,0))),""))</f>
        <v/>
      </c>
      <c r="G210" s="13" t="str">
        <f aca="false">IF($B210="","",COUNTIFS('DỮ LIỆU'!$C$3:$C$1052,$B210,'DỮ LIỆU'!$J$3:$J$1052,"&gt;0"))</f>
        <v/>
      </c>
      <c r="H210" s="13" t="str">
        <f aca="false">IF($B210="","",SUMIF('DỮ LIỆU'!$C$3:$C$1052,$B210,'DỮ LIỆU'!$J$3:$J$1052))</f>
        <v/>
      </c>
      <c r="I210" s="13" t="str">
        <f aca="false">IF($B210="","",SUMIF('DỮ LIỆU'!$C$3:$C$1052,$B210,'DỮ LIỆU'!$M$3:$M$1052))</f>
        <v/>
      </c>
      <c r="J210" s="13" t="str">
        <f aca="false">IF($B210="","",SUMIF('DỮ LIỆU'!$C$3:$C$1052,$B210,'DỮ LIỆU'!$N$3:$N$1052))</f>
        <v/>
      </c>
      <c r="K210" s="13" t="str">
        <f aca="false">IF($B210="","",SUMIF('DỮ LIỆU'!$C$3:$C$1052,$B210,'DỮ LIỆU'!$O$3:$O$1052))</f>
        <v/>
      </c>
      <c r="L210" s="13" t="str">
        <f aca="false">IF($B210="","",SUMIF('DỮ LIỆU'!$C$3:$C$1052,$B210,'DỮ LIỆU'!$Q$3:$Q$1052))</f>
        <v/>
      </c>
      <c r="M210" s="41" t="str">
        <f aca="false">IF($B210="","",IF(SUMPRODUCT(MAX(('DỮ LIỆU'!$C$3:$C$1052=$B210)*'DỮ LIỆU'!$Z$3:$Z$1052))=0,"",SUMPRODUCT(MAX(('DỮ LIỆU'!$C$3:$C$1052=$B210)*'DỮ LIỆU'!$Z$3:$Z$1052))))</f>
        <v/>
      </c>
      <c r="N210" s="21" t="str">
        <f aca="false">IF($B210="","",IF($G210=0,"Chưa có đơn",IF(COUNTIFS('DỮ LIỆU'!$C$3:$C$1052,$B210,'DỮ LIỆU'!$K$3:$K$1052,"&gt;0")&gt;0,"Có lấy VAT","Không lấy VAT")))</f>
        <v/>
      </c>
    </row>
    <row r="211" customFormat="false" ht="15" hidden="false" customHeight="false" outlineLevel="0" collapsed="false">
      <c r="A211" s="21" t="str">
        <f aca="false">IF($B211="","",206)</f>
        <v/>
      </c>
      <c r="B211" s="21" t="str">
        <f aca="false">IFERROR(INDEX('DỮ LIỆU'!$C$3:$C$1052,MATCH(206,'DỮ LIỆU'!$W$3:$W$1052,0)),"")</f>
        <v/>
      </c>
      <c r="C211" s="21" t="str">
        <f aca="false">IF($B211="","",IFERROR(IF(INDEX('DỮ LIỆU'!$D$3:$D$1052,MATCH($B211,'DỮ LIỆU'!$C$3:$C$1052,0))="","",INDEX('DỮ LIỆU'!$D$3:$D$1052,MATCH($B211,'DỮ LIỆU'!$C$3:$C$1052,0))),""))</f>
        <v/>
      </c>
      <c r="D211" s="21" t="str">
        <f aca="false">IF($B211="","",IFERROR(IF(INDEX('DỮ LIỆU'!$E$3:$E$1052,MATCH($B211,'DỮ LIỆU'!$C$3:$C$1052,0))="","",INDEX('DỮ LIỆU'!$E$3:$E$1052,MATCH($B211,'DỮ LIỆU'!$C$3:$C$1052,0))),""))</f>
        <v/>
      </c>
      <c r="E211" s="21" t="str">
        <f aca="false">IF($B211="","",IFERROR(IF(INDEX('DỮ LIỆU'!$F$3:$F$1052,MATCH($B211,'DỮ LIỆU'!$C$3:$C$1052,0))="","",INDEX('DỮ LIỆU'!$F$3:$F$1052,MATCH($B211,'DỮ LIỆU'!$C$3:$C$1052,0))),""))</f>
        <v/>
      </c>
      <c r="F211" s="21" t="str">
        <f aca="false">IF($B211="","",IFERROR(IF(INDEX('DỮ LIỆU'!$G$3:$G$1052,MATCH($B211,'DỮ LIỆU'!$C$3:$C$1052,0))="","",INDEX('DỮ LIỆU'!$G$3:$G$1052,MATCH($B211,'DỮ LIỆU'!$C$3:$C$1052,0))),""))</f>
        <v/>
      </c>
      <c r="G211" s="13" t="str">
        <f aca="false">IF($B211="","",COUNTIFS('DỮ LIỆU'!$C$3:$C$1052,$B211,'DỮ LIỆU'!$J$3:$J$1052,"&gt;0"))</f>
        <v/>
      </c>
      <c r="H211" s="13" t="str">
        <f aca="false">IF($B211="","",SUMIF('DỮ LIỆU'!$C$3:$C$1052,$B211,'DỮ LIỆU'!$J$3:$J$1052))</f>
        <v/>
      </c>
      <c r="I211" s="13" t="str">
        <f aca="false">IF($B211="","",SUMIF('DỮ LIỆU'!$C$3:$C$1052,$B211,'DỮ LIỆU'!$M$3:$M$1052))</f>
        <v/>
      </c>
      <c r="J211" s="13" t="str">
        <f aca="false">IF($B211="","",SUMIF('DỮ LIỆU'!$C$3:$C$1052,$B211,'DỮ LIỆU'!$N$3:$N$1052))</f>
        <v/>
      </c>
      <c r="K211" s="13" t="str">
        <f aca="false">IF($B211="","",SUMIF('DỮ LIỆU'!$C$3:$C$1052,$B211,'DỮ LIỆU'!$O$3:$O$1052))</f>
        <v/>
      </c>
      <c r="L211" s="13" t="str">
        <f aca="false">IF($B211="","",SUMIF('DỮ LIỆU'!$C$3:$C$1052,$B211,'DỮ LIỆU'!$Q$3:$Q$1052))</f>
        <v/>
      </c>
      <c r="M211" s="41" t="str">
        <f aca="false">IF($B211="","",IF(SUMPRODUCT(MAX(('DỮ LIỆU'!$C$3:$C$1052=$B211)*'DỮ LIỆU'!$Z$3:$Z$1052))=0,"",SUMPRODUCT(MAX(('DỮ LIỆU'!$C$3:$C$1052=$B211)*'DỮ LIỆU'!$Z$3:$Z$1052))))</f>
        <v/>
      </c>
      <c r="N211" s="21" t="str">
        <f aca="false">IF($B211="","",IF($G211=0,"Chưa có đơn",IF(COUNTIFS('DỮ LIỆU'!$C$3:$C$1052,$B211,'DỮ LIỆU'!$K$3:$K$1052,"&gt;0")&gt;0,"Có lấy VAT","Không lấy VAT")))</f>
        <v/>
      </c>
    </row>
    <row r="212" customFormat="false" ht="15" hidden="false" customHeight="false" outlineLevel="0" collapsed="false">
      <c r="A212" s="21" t="str">
        <f aca="false">IF($B212="","",207)</f>
        <v/>
      </c>
      <c r="B212" s="21" t="str">
        <f aca="false">IFERROR(INDEX('DỮ LIỆU'!$C$3:$C$1052,MATCH(207,'DỮ LIỆU'!$W$3:$W$1052,0)),"")</f>
        <v/>
      </c>
      <c r="C212" s="21" t="str">
        <f aca="false">IF($B212="","",IFERROR(IF(INDEX('DỮ LIỆU'!$D$3:$D$1052,MATCH($B212,'DỮ LIỆU'!$C$3:$C$1052,0))="","",INDEX('DỮ LIỆU'!$D$3:$D$1052,MATCH($B212,'DỮ LIỆU'!$C$3:$C$1052,0))),""))</f>
        <v/>
      </c>
      <c r="D212" s="21" t="str">
        <f aca="false">IF($B212="","",IFERROR(IF(INDEX('DỮ LIỆU'!$E$3:$E$1052,MATCH($B212,'DỮ LIỆU'!$C$3:$C$1052,0))="","",INDEX('DỮ LIỆU'!$E$3:$E$1052,MATCH($B212,'DỮ LIỆU'!$C$3:$C$1052,0))),""))</f>
        <v/>
      </c>
      <c r="E212" s="21" t="str">
        <f aca="false">IF($B212="","",IFERROR(IF(INDEX('DỮ LIỆU'!$F$3:$F$1052,MATCH($B212,'DỮ LIỆU'!$C$3:$C$1052,0))="","",INDEX('DỮ LIỆU'!$F$3:$F$1052,MATCH($B212,'DỮ LIỆU'!$C$3:$C$1052,0))),""))</f>
        <v/>
      </c>
      <c r="F212" s="21" t="str">
        <f aca="false">IF($B212="","",IFERROR(IF(INDEX('DỮ LIỆU'!$G$3:$G$1052,MATCH($B212,'DỮ LIỆU'!$C$3:$C$1052,0))="","",INDEX('DỮ LIỆU'!$G$3:$G$1052,MATCH($B212,'DỮ LIỆU'!$C$3:$C$1052,0))),""))</f>
        <v/>
      </c>
      <c r="G212" s="13" t="str">
        <f aca="false">IF($B212="","",COUNTIFS('DỮ LIỆU'!$C$3:$C$1052,$B212,'DỮ LIỆU'!$J$3:$J$1052,"&gt;0"))</f>
        <v/>
      </c>
      <c r="H212" s="13" t="str">
        <f aca="false">IF($B212="","",SUMIF('DỮ LIỆU'!$C$3:$C$1052,$B212,'DỮ LIỆU'!$J$3:$J$1052))</f>
        <v/>
      </c>
      <c r="I212" s="13" t="str">
        <f aca="false">IF($B212="","",SUMIF('DỮ LIỆU'!$C$3:$C$1052,$B212,'DỮ LIỆU'!$M$3:$M$1052))</f>
        <v/>
      </c>
      <c r="J212" s="13" t="str">
        <f aca="false">IF($B212="","",SUMIF('DỮ LIỆU'!$C$3:$C$1052,$B212,'DỮ LIỆU'!$N$3:$N$1052))</f>
        <v/>
      </c>
      <c r="K212" s="13" t="str">
        <f aca="false">IF($B212="","",SUMIF('DỮ LIỆU'!$C$3:$C$1052,$B212,'DỮ LIỆU'!$O$3:$O$1052))</f>
        <v/>
      </c>
      <c r="L212" s="13" t="str">
        <f aca="false">IF($B212="","",SUMIF('DỮ LIỆU'!$C$3:$C$1052,$B212,'DỮ LIỆU'!$Q$3:$Q$1052))</f>
        <v/>
      </c>
      <c r="M212" s="41" t="str">
        <f aca="false">IF($B212="","",IF(SUMPRODUCT(MAX(('DỮ LIỆU'!$C$3:$C$1052=$B212)*'DỮ LIỆU'!$Z$3:$Z$1052))=0,"",SUMPRODUCT(MAX(('DỮ LIỆU'!$C$3:$C$1052=$B212)*'DỮ LIỆU'!$Z$3:$Z$1052))))</f>
        <v/>
      </c>
      <c r="N212" s="21" t="str">
        <f aca="false">IF($B212="","",IF($G212=0,"Chưa có đơn",IF(COUNTIFS('DỮ LIỆU'!$C$3:$C$1052,$B212,'DỮ LIỆU'!$K$3:$K$1052,"&gt;0")&gt;0,"Có lấy VAT","Không lấy VAT")))</f>
        <v/>
      </c>
    </row>
    <row r="213" customFormat="false" ht="15" hidden="false" customHeight="false" outlineLevel="0" collapsed="false">
      <c r="A213" s="21" t="str">
        <f aca="false">IF($B213="","",208)</f>
        <v/>
      </c>
      <c r="B213" s="21" t="str">
        <f aca="false">IFERROR(INDEX('DỮ LIỆU'!$C$3:$C$1052,MATCH(208,'DỮ LIỆU'!$W$3:$W$1052,0)),"")</f>
        <v/>
      </c>
      <c r="C213" s="21" t="str">
        <f aca="false">IF($B213="","",IFERROR(IF(INDEX('DỮ LIỆU'!$D$3:$D$1052,MATCH($B213,'DỮ LIỆU'!$C$3:$C$1052,0))="","",INDEX('DỮ LIỆU'!$D$3:$D$1052,MATCH($B213,'DỮ LIỆU'!$C$3:$C$1052,0))),""))</f>
        <v/>
      </c>
      <c r="D213" s="21" t="str">
        <f aca="false">IF($B213="","",IFERROR(IF(INDEX('DỮ LIỆU'!$E$3:$E$1052,MATCH($B213,'DỮ LIỆU'!$C$3:$C$1052,0))="","",INDEX('DỮ LIỆU'!$E$3:$E$1052,MATCH($B213,'DỮ LIỆU'!$C$3:$C$1052,0))),""))</f>
        <v/>
      </c>
      <c r="E213" s="21" t="str">
        <f aca="false">IF($B213="","",IFERROR(IF(INDEX('DỮ LIỆU'!$F$3:$F$1052,MATCH($B213,'DỮ LIỆU'!$C$3:$C$1052,0))="","",INDEX('DỮ LIỆU'!$F$3:$F$1052,MATCH($B213,'DỮ LIỆU'!$C$3:$C$1052,0))),""))</f>
        <v/>
      </c>
      <c r="F213" s="21" t="str">
        <f aca="false">IF($B213="","",IFERROR(IF(INDEX('DỮ LIỆU'!$G$3:$G$1052,MATCH($B213,'DỮ LIỆU'!$C$3:$C$1052,0))="","",INDEX('DỮ LIỆU'!$G$3:$G$1052,MATCH($B213,'DỮ LIỆU'!$C$3:$C$1052,0))),""))</f>
        <v/>
      </c>
      <c r="G213" s="13" t="str">
        <f aca="false">IF($B213="","",COUNTIFS('DỮ LIỆU'!$C$3:$C$1052,$B213,'DỮ LIỆU'!$J$3:$J$1052,"&gt;0"))</f>
        <v/>
      </c>
      <c r="H213" s="13" t="str">
        <f aca="false">IF($B213="","",SUMIF('DỮ LIỆU'!$C$3:$C$1052,$B213,'DỮ LIỆU'!$J$3:$J$1052))</f>
        <v/>
      </c>
      <c r="I213" s="13" t="str">
        <f aca="false">IF($B213="","",SUMIF('DỮ LIỆU'!$C$3:$C$1052,$B213,'DỮ LIỆU'!$M$3:$M$1052))</f>
        <v/>
      </c>
      <c r="J213" s="13" t="str">
        <f aca="false">IF($B213="","",SUMIF('DỮ LIỆU'!$C$3:$C$1052,$B213,'DỮ LIỆU'!$N$3:$N$1052))</f>
        <v/>
      </c>
      <c r="K213" s="13" t="str">
        <f aca="false">IF($B213="","",SUMIF('DỮ LIỆU'!$C$3:$C$1052,$B213,'DỮ LIỆU'!$O$3:$O$1052))</f>
        <v/>
      </c>
      <c r="L213" s="13" t="str">
        <f aca="false">IF($B213="","",SUMIF('DỮ LIỆU'!$C$3:$C$1052,$B213,'DỮ LIỆU'!$Q$3:$Q$1052))</f>
        <v/>
      </c>
      <c r="M213" s="41" t="str">
        <f aca="false">IF($B213="","",IF(SUMPRODUCT(MAX(('DỮ LIỆU'!$C$3:$C$1052=$B213)*'DỮ LIỆU'!$Z$3:$Z$1052))=0,"",SUMPRODUCT(MAX(('DỮ LIỆU'!$C$3:$C$1052=$B213)*'DỮ LIỆU'!$Z$3:$Z$1052))))</f>
        <v/>
      </c>
      <c r="N213" s="21" t="str">
        <f aca="false">IF($B213="","",IF($G213=0,"Chưa có đơn",IF(COUNTIFS('DỮ LIỆU'!$C$3:$C$1052,$B213,'DỮ LIỆU'!$K$3:$K$1052,"&gt;0")&gt;0,"Có lấy VAT","Không lấy VAT")))</f>
        <v/>
      </c>
    </row>
    <row r="214" customFormat="false" ht="15" hidden="false" customHeight="false" outlineLevel="0" collapsed="false">
      <c r="A214" s="21" t="str">
        <f aca="false">IF($B214="","",209)</f>
        <v/>
      </c>
      <c r="B214" s="21" t="str">
        <f aca="false">IFERROR(INDEX('DỮ LIỆU'!$C$3:$C$1052,MATCH(209,'DỮ LIỆU'!$W$3:$W$1052,0)),"")</f>
        <v/>
      </c>
      <c r="C214" s="21" t="str">
        <f aca="false">IF($B214="","",IFERROR(IF(INDEX('DỮ LIỆU'!$D$3:$D$1052,MATCH($B214,'DỮ LIỆU'!$C$3:$C$1052,0))="","",INDEX('DỮ LIỆU'!$D$3:$D$1052,MATCH($B214,'DỮ LIỆU'!$C$3:$C$1052,0))),""))</f>
        <v/>
      </c>
      <c r="D214" s="21" t="str">
        <f aca="false">IF($B214="","",IFERROR(IF(INDEX('DỮ LIỆU'!$E$3:$E$1052,MATCH($B214,'DỮ LIỆU'!$C$3:$C$1052,0))="","",INDEX('DỮ LIỆU'!$E$3:$E$1052,MATCH($B214,'DỮ LIỆU'!$C$3:$C$1052,0))),""))</f>
        <v/>
      </c>
      <c r="E214" s="21" t="str">
        <f aca="false">IF($B214="","",IFERROR(IF(INDEX('DỮ LIỆU'!$F$3:$F$1052,MATCH($B214,'DỮ LIỆU'!$C$3:$C$1052,0))="","",INDEX('DỮ LIỆU'!$F$3:$F$1052,MATCH($B214,'DỮ LIỆU'!$C$3:$C$1052,0))),""))</f>
        <v/>
      </c>
      <c r="F214" s="21" t="str">
        <f aca="false">IF($B214="","",IFERROR(IF(INDEX('DỮ LIỆU'!$G$3:$G$1052,MATCH($B214,'DỮ LIỆU'!$C$3:$C$1052,0))="","",INDEX('DỮ LIỆU'!$G$3:$G$1052,MATCH($B214,'DỮ LIỆU'!$C$3:$C$1052,0))),""))</f>
        <v/>
      </c>
      <c r="G214" s="13" t="str">
        <f aca="false">IF($B214="","",COUNTIFS('DỮ LIỆU'!$C$3:$C$1052,$B214,'DỮ LIỆU'!$J$3:$J$1052,"&gt;0"))</f>
        <v/>
      </c>
      <c r="H214" s="13" t="str">
        <f aca="false">IF($B214="","",SUMIF('DỮ LIỆU'!$C$3:$C$1052,$B214,'DỮ LIỆU'!$J$3:$J$1052))</f>
        <v/>
      </c>
      <c r="I214" s="13" t="str">
        <f aca="false">IF($B214="","",SUMIF('DỮ LIỆU'!$C$3:$C$1052,$B214,'DỮ LIỆU'!$M$3:$M$1052))</f>
        <v/>
      </c>
      <c r="J214" s="13" t="str">
        <f aca="false">IF($B214="","",SUMIF('DỮ LIỆU'!$C$3:$C$1052,$B214,'DỮ LIỆU'!$N$3:$N$1052))</f>
        <v/>
      </c>
      <c r="K214" s="13" t="str">
        <f aca="false">IF($B214="","",SUMIF('DỮ LIỆU'!$C$3:$C$1052,$B214,'DỮ LIỆU'!$O$3:$O$1052))</f>
        <v/>
      </c>
      <c r="L214" s="13" t="str">
        <f aca="false">IF($B214="","",SUMIF('DỮ LIỆU'!$C$3:$C$1052,$B214,'DỮ LIỆU'!$Q$3:$Q$1052))</f>
        <v/>
      </c>
      <c r="M214" s="41" t="str">
        <f aca="false">IF($B214="","",IF(SUMPRODUCT(MAX(('DỮ LIỆU'!$C$3:$C$1052=$B214)*'DỮ LIỆU'!$Z$3:$Z$1052))=0,"",SUMPRODUCT(MAX(('DỮ LIỆU'!$C$3:$C$1052=$B214)*'DỮ LIỆU'!$Z$3:$Z$1052))))</f>
        <v/>
      </c>
      <c r="N214" s="21" t="str">
        <f aca="false">IF($B214="","",IF($G214=0,"Chưa có đơn",IF(COUNTIFS('DỮ LIỆU'!$C$3:$C$1052,$B214,'DỮ LIỆU'!$K$3:$K$1052,"&gt;0")&gt;0,"Có lấy VAT","Không lấy VAT")))</f>
        <v/>
      </c>
    </row>
    <row r="215" customFormat="false" ht="15" hidden="false" customHeight="false" outlineLevel="0" collapsed="false">
      <c r="A215" s="21" t="str">
        <f aca="false">IF($B215="","",210)</f>
        <v/>
      </c>
      <c r="B215" s="21" t="str">
        <f aca="false">IFERROR(INDEX('DỮ LIỆU'!$C$3:$C$1052,MATCH(210,'DỮ LIỆU'!$W$3:$W$1052,0)),"")</f>
        <v/>
      </c>
      <c r="C215" s="21" t="str">
        <f aca="false">IF($B215="","",IFERROR(IF(INDEX('DỮ LIỆU'!$D$3:$D$1052,MATCH($B215,'DỮ LIỆU'!$C$3:$C$1052,0))="","",INDEX('DỮ LIỆU'!$D$3:$D$1052,MATCH($B215,'DỮ LIỆU'!$C$3:$C$1052,0))),""))</f>
        <v/>
      </c>
      <c r="D215" s="21" t="str">
        <f aca="false">IF($B215="","",IFERROR(IF(INDEX('DỮ LIỆU'!$E$3:$E$1052,MATCH($B215,'DỮ LIỆU'!$C$3:$C$1052,0))="","",INDEX('DỮ LIỆU'!$E$3:$E$1052,MATCH($B215,'DỮ LIỆU'!$C$3:$C$1052,0))),""))</f>
        <v/>
      </c>
      <c r="E215" s="21" t="str">
        <f aca="false">IF($B215="","",IFERROR(IF(INDEX('DỮ LIỆU'!$F$3:$F$1052,MATCH($B215,'DỮ LIỆU'!$C$3:$C$1052,0))="","",INDEX('DỮ LIỆU'!$F$3:$F$1052,MATCH($B215,'DỮ LIỆU'!$C$3:$C$1052,0))),""))</f>
        <v/>
      </c>
      <c r="F215" s="21" t="str">
        <f aca="false">IF($B215="","",IFERROR(IF(INDEX('DỮ LIỆU'!$G$3:$G$1052,MATCH($B215,'DỮ LIỆU'!$C$3:$C$1052,0))="","",INDEX('DỮ LIỆU'!$G$3:$G$1052,MATCH($B215,'DỮ LIỆU'!$C$3:$C$1052,0))),""))</f>
        <v/>
      </c>
      <c r="G215" s="13" t="str">
        <f aca="false">IF($B215="","",COUNTIFS('DỮ LIỆU'!$C$3:$C$1052,$B215,'DỮ LIỆU'!$J$3:$J$1052,"&gt;0"))</f>
        <v/>
      </c>
      <c r="H215" s="13" t="str">
        <f aca="false">IF($B215="","",SUMIF('DỮ LIỆU'!$C$3:$C$1052,$B215,'DỮ LIỆU'!$J$3:$J$1052))</f>
        <v/>
      </c>
      <c r="I215" s="13" t="str">
        <f aca="false">IF($B215="","",SUMIF('DỮ LIỆU'!$C$3:$C$1052,$B215,'DỮ LIỆU'!$M$3:$M$1052))</f>
        <v/>
      </c>
      <c r="J215" s="13" t="str">
        <f aca="false">IF($B215="","",SUMIF('DỮ LIỆU'!$C$3:$C$1052,$B215,'DỮ LIỆU'!$N$3:$N$1052))</f>
        <v/>
      </c>
      <c r="K215" s="13" t="str">
        <f aca="false">IF($B215="","",SUMIF('DỮ LIỆU'!$C$3:$C$1052,$B215,'DỮ LIỆU'!$O$3:$O$1052))</f>
        <v/>
      </c>
      <c r="L215" s="13" t="str">
        <f aca="false">IF($B215="","",SUMIF('DỮ LIỆU'!$C$3:$C$1052,$B215,'DỮ LIỆU'!$Q$3:$Q$1052))</f>
        <v/>
      </c>
      <c r="M215" s="41" t="str">
        <f aca="false">IF($B215="","",IF(SUMPRODUCT(MAX(('DỮ LIỆU'!$C$3:$C$1052=$B215)*'DỮ LIỆU'!$Z$3:$Z$1052))=0,"",SUMPRODUCT(MAX(('DỮ LIỆU'!$C$3:$C$1052=$B215)*'DỮ LIỆU'!$Z$3:$Z$1052))))</f>
        <v/>
      </c>
      <c r="N215" s="21" t="str">
        <f aca="false">IF($B215="","",IF($G215=0,"Chưa có đơn",IF(COUNTIFS('DỮ LIỆU'!$C$3:$C$1052,$B215,'DỮ LIỆU'!$K$3:$K$1052,"&gt;0")&gt;0,"Có lấy VAT","Không lấy VAT")))</f>
        <v/>
      </c>
    </row>
    <row r="216" customFormat="false" ht="15" hidden="false" customHeight="false" outlineLevel="0" collapsed="false">
      <c r="A216" s="21" t="str">
        <f aca="false">IF($B216="","",211)</f>
        <v/>
      </c>
      <c r="B216" s="21" t="str">
        <f aca="false">IFERROR(INDEX('DỮ LIỆU'!$C$3:$C$1052,MATCH(211,'DỮ LIỆU'!$W$3:$W$1052,0)),"")</f>
        <v/>
      </c>
      <c r="C216" s="21" t="str">
        <f aca="false">IF($B216="","",IFERROR(IF(INDEX('DỮ LIỆU'!$D$3:$D$1052,MATCH($B216,'DỮ LIỆU'!$C$3:$C$1052,0))="","",INDEX('DỮ LIỆU'!$D$3:$D$1052,MATCH($B216,'DỮ LIỆU'!$C$3:$C$1052,0))),""))</f>
        <v/>
      </c>
      <c r="D216" s="21" t="str">
        <f aca="false">IF($B216="","",IFERROR(IF(INDEX('DỮ LIỆU'!$E$3:$E$1052,MATCH($B216,'DỮ LIỆU'!$C$3:$C$1052,0))="","",INDEX('DỮ LIỆU'!$E$3:$E$1052,MATCH($B216,'DỮ LIỆU'!$C$3:$C$1052,0))),""))</f>
        <v/>
      </c>
      <c r="E216" s="21" t="str">
        <f aca="false">IF($B216="","",IFERROR(IF(INDEX('DỮ LIỆU'!$F$3:$F$1052,MATCH($B216,'DỮ LIỆU'!$C$3:$C$1052,0))="","",INDEX('DỮ LIỆU'!$F$3:$F$1052,MATCH($B216,'DỮ LIỆU'!$C$3:$C$1052,0))),""))</f>
        <v/>
      </c>
      <c r="F216" s="21" t="str">
        <f aca="false">IF($B216="","",IFERROR(IF(INDEX('DỮ LIỆU'!$G$3:$G$1052,MATCH($B216,'DỮ LIỆU'!$C$3:$C$1052,0))="","",INDEX('DỮ LIỆU'!$G$3:$G$1052,MATCH($B216,'DỮ LIỆU'!$C$3:$C$1052,0))),""))</f>
        <v/>
      </c>
      <c r="G216" s="13" t="str">
        <f aca="false">IF($B216="","",COUNTIFS('DỮ LIỆU'!$C$3:$C$1052,$B216,'DỮ LIỆU'!$J$3:$J$1052,"&gt;0"))</f>
        <v/>
      </c>
      <c r="H216" s="13" t="str">
        <f aca="false">IF($B216="","",SUMIF('DỮ LIỆU'!$C$3:$C$1052,$B216,'DỮ LIỆU'!$J$3:$J$1052))</f>
        <v/>
      </c>
      <c r="I216" s="13" t="str">
        <f aca="false">IF($B216="","",SUMIF('DỮ LIỆU'!$C$3:$C$1052,$B216,'DỮ LIỆU'!$M$3:$M$1052))</f>
        <v/>
      </c>
      <c r="J216" s="13" t="str">
        <f aca="false">IF($B216="","",SUMIF('DỮ LIỆU'!$C$3:$C$1052,$B216,'DỮ LIỆU'!$N$3:$N$1052))</f>
        <v/>
      </c>
      <c r="K216" s="13" t="str">
        <f aca="false">IF($B216="","",SUMIF('DỮ LIỆU'!$C$3:$C$1052,$B216,'DỮ LIỆU'!$O$3:$O$1052))</f>
        <v/>
      </c>
      <c r="L216" s="13" t="str">
        <f aca="false">IF($B216="","",SUMIF('DỮ LIỆU'!$C$3:$C$1052,$B216,'DỮ LIỆU'!$Q$3:$Q$1052))</f>
        <v/>
      </c>
      <c r="M216" s="41" t="str">
        <f aca="false">IF($B216="","",IF(SUMPRODUCT(MAX(('DỮ LIỆU'!$C$3:$C$1052=$B216)*'DỮ LIỆU'!$Z$3:$Z$1052))=0,"",SUMPRODUCT(MAX(('DỮ LIỆU'!$C$3:$C$1052=$B216)*'DỮ LIỆU'!$Z$3:$Z$1052))))</f>
        <v/>
      </c>
      <c r="N216" s="21" t="str">
        <f aca="false">IF($B216="","",IF($G216=0,"Chưa có đơn",IF(COUNTIFS('DỮ LIỆU'!$C$3:$C$1052,$B216,'DỮ LIỆU'!$K$3:$K$1052,"&gt;0")&gt;0,"Có lấy VAT","Không lấy VAT")))</f>
        <v/>
      </c>
    </row>
    <row r="217" customFormat="false" ht="15" hidden="false" customHeight="false" outlineLevel="0" collapsed="false">
      <c r="A217" s="21" t="str">
        <f aca="false">IF($B217="","",212)</f>
        <v/>
      </c>
      <c r="B217" s="21" t="str">
        <f aca="false">IFERROR(INDEX('DỮ LIỆU'!$C$3:$C$1052,MATCH(212,'DỮ LIỆU'!$W$3:$W$1052,0)),"")</f>
        <v/>
      </c>
      <c r="C217" s="21" t="str">
        <f aca="false">IF($B217="","",IFERROR(IF(INDEX('DỮ LIỆU'!$D$3:$D$1052,MATCH($B217,'DỮ LIỆU'!$C$3:$C$1052,0))="","",INDEX('DỮ LIỆU'!$D$3:$D$1052,MATCH($B217,'DỮ LIỆU'!$C$3:$C$1052,0))),""))</f>
        <v/>
      </c>
      <c r="D217" s="21" t="str">
        <f aca="false">IF($B217="","",IFERROR(IF(INDEX('DỮ LIỆU'!$E$3:$E$1052,MATCH($B217,'DỮ LIỆU'!$C$3:$C$1052,0))="","",INDEX('DỮ LIỆU'!$E$3:$E$1052,MATCH($B217,'DỮ LIỆU'!$C$3:$C$1052,0))),""))</f>
        <v/>
      </c>
      <c r="E217" s="21" t="str">
        <f aca="false">IF($B217="","",IFERROR(IF(INDEX('DỮ LIỆU'!$F$3:$F$1052,MATCH($B217,'DỮ LIỆU'!$C$3:$C$1052,0))="","",INDEX('DỮ LIỆU'!$F$3:$F$1052,MATCH($B217,'DỮ LIỆU'!$C$3:$C$1052,0))),""))</f>
        <v/>
      </c>
      <c r="F217" s="21" t="str">
        <f aca="false">IF($B217="","",IFERROR(IF(INDEX('DỮ LIỆU'!$G$3:$G$1052,MATCH($B217,'DỮ LIỆU'!$C$3:$C$1052,0))="","",INDEX('DỮ LIỆU'!$G$3:$G$1052,MATCH($B217,'DỮ LIỆU'!$C$3:$C$1052,0))),""))</f>
        <v/>
      </c>
      <c r="G217" s="13" t="str">
        <f aca="false">IF($B217="","",COUNTIFS('DỮ LIỆU'!$C$3:$C$1052,$B217,'DỮ LIỆU'!$J$3:$J$1052,"&gt;0"))</f>
        <v/>
      </c>
      <c r="H217" s="13" t="str">
        <f aca="false">IF($B217="","",SUMIF('DỮ LIỆU'!$C$3:$C$1052,$B217,'DỮ LIỆU'!$J$3:$J$1052))</f>
        <v/>
      </c>
      <c r="I217" s="13" t="str">
        <f aca="false">IF($B217="","",SUMIF('DỮ LIỆU'!$C$3:$C$1052,$B217,'DỮ LIỆU'!$M$3:$M$1052))</f>
        <v/>
      </c>
      <c r="J217" s="13" t="str">
        <f aca="false">IF($B217="","",SUMIF('DỮ LIỆU'!$C$3:$C$1052,$B217,'DỮ LIỆU'!$N$3:$N$1052))</f>
        <v/>
      </c>
      <c r="K217" s="13" t="str">
        <f aca="false">IF($B217="","",SUMIF('DỮ LIỆU'!$C$3:$C$1052,$B217,'DỮ LIỆU'!$O$3:$O$1052))</f>
        <v/>
      </c>
      <c r="L217" s="13" t="str">
        <f aca="false">IF($B217="","",SUMIF('DỮ LIỆU'!$C$3:$C$1052,$B217,'DỮ LIỆU'!$Q$3:$Q$1052))</f>
        <v/>
      </c>
      <c r="M217" s="41" t="str">
        <f aca="false">IF($B217="","",IF(SUMPRODUCT(MAX(('DỮ LIỆU'!$C$3:$C$1052=$B217)*'DỮ LIỆU'!$Z$3:$Z$1052))=0,"",SUMPRODUCT(MAX(('DỮ LIỆU'!$C$3:$C$1052=$B217)*'DỮ LIỆU'!$Z$3:$Z$1052))))</f>
        <v/>
      </c>
      <c r="N217" s="21" t="str">
        <f aca="false">IF($B217="","",IF($G217=0,"Chưa có đơn",IF(COUNTIFS('DỮ LIỆU'!$C$3:$C$1052,$B217,'DỮ LIỆU'!$K$3:$K$1052,"&gt;0")&gt;0,"Có lấy VAT","Không lấy VAT")))</f>
        <v/>
      </c>
    </row>
    <row r="218" customFormat="false" ht="15" hidden="false" customHeight="false" outlineLevel="0" collapsed="false">
      <c r="A218" s="21" t="str">
        <f aca="false">IF($B218="","",213)</f>
        <v/>
      </c>
      <c r="B218" s="21" t="str">
        <f aca="false">IFERROR(INDEX('DỮ LIỆU'!$C$3:$C$1052,MATCH(213,'DỮ LIỆU'!$W$3:$W$1052,0)),"")</f>
        <v/>
      </c>
      <c r="C218" s="21" t="str">
        <f aca="false">IF($B218="","",IFERROR(IF(INDEX('DỮ LIỆU'!$D$3:$D$1052,MATCH($B218,'DỮ LIỆU'!$C$3:$C$1052,0))="","",INDEX('DỮ LIỆU'!$D$3:$D$1052,MATCH($B218,'DỮ LIỆU'!$C$3:$C$1052,0))),""))</f>
        <v/>
      </c>
      <c r="D218" s="21" t="str">
        <f aca="false">IF($B218="","",IFERROR(IF(INDEX('DỮ LIỆU'!$E$3:$E$1052,MATCH($B218,'DỮ LIỆU'!$C$3:$C$1052,0))="","",INDEX('DỮ LIỆU'!$E$3:$E$1052,MATCH($B218,'DỮ LIỆU'!$C$3:$C$1052,0))),""))</f>
        <v/>
      </c>
      <c r="E218" s="21" t="str">
        <f aca="false">IF($B218="","",IFERROR(IF(INDEX('DỮ LIỆU'!$F$3:$F$1052,MATCH($B218,'DỮ LIỆU'!$C$3:$C$1052,0))="","",INDEX('DỮ LIỆU'!$F$3:$F$1052,MATCH($B218,'DỮ LIỆU'!$C$3:$C$1052,0))),""))</f>
        <v/>
      </c>
      <c r="F218" s="21" t="str">
        <f aca="false">IF($B218="","",IFERROR(IF(INDEX('DỮ LIỆU'!$G$3:$G$1052,MATCH($B218,'DỮ LIỆU'!$C$3:$C$1052,0))="","",INDEX('DỮ LIỆU'!$G$3:$G$1052,MATCH($B218,'DỮ LIỆU'!$C$3:$C$1052,0))),""))</f>
        <v/>
      </c>
      <c r="G218" s="13" t="str">
        <f aca="false">IF($B218="","",COUNTIFS('DỮ LIỆU'!$C$3:$C$1052,$B218,'DỮ LIỆU'!$J$3:$J$1052,"&gt;0"))</f>
        <v/>
      </c>
      <c r="H218" s="13" t="str">
        <f aca="false">IF($B218="","",SUMIF('DỮ LIỆU'!$C$3:$C$1052,$B218,'DỮ LIỆU'!$J$3:$J$1052))</f>
        <v/>
      </c>
      <c r="I218" s="13" t="str">
        <f aca="false">IF($B218="","",SUMIF('DỮ LIỆU'!$C$3:$C$1052,$B218,'DỮ LIỆU'!$M$3:$M$1052))</f>
        <v/>
      </c>
      <c r="J218" s="13" t="str">
        <f aca="false">IF($B218="","",SUMIF('DỮ LIỆU'!$C$3:$C$1052,$B218,'DỮ LIỆU'!$N$3:$N$1052))</f>
        <v/>
      </c>
      <c r="K218" s="13" t="str">
        <f aca="false">IF($B218="","",SUMIF('DỮ LIỆU'!$C$3:$C$1052,$B218,'DỮ LIỆU'!$O$3:$O$1052))</f>
        <v/>
      </c>
      <c r="L218" s="13" t="str">
        <f aca="false">IF($B218="","",SUMIF('DỮ LIỆU'!$C$3:$C$1052,$B218,'DỮ LIỆU'!$Q$3:$Q$1052))</f>
        <v/>
      </c>
      <c r="M218" s="41" t="str">
        <f aca="false">IF($B218="","",IF(SUMPRODUCT(MAX(('DỮ LIỆU'!$C$3:$C$1052=$B218)*'DỮ LIỆU'!$Z$3:$Z$1052))=0,"",SUMPRODUCT(MAX(('DỮ LIỆU'!$C$3:$C$1052=$B218)*'DỮ LIỆU'!$Z$3:$Z$1052))))</f>
        <v/>
      </c>
      <c r="N218" s="21" t="str">
        <f aca="false">IF($B218="","",IF($G218=0,"Chưa có đơn",IF(COUNTIFS('DỮ LIỆU'!$C$3:$C$1052,$B218,'DỮ LIỆU'!$K$3:$K$1052,"&gt;0")&gt;0,"Có lấy VAT","Không lấy VAT")))</f>
        <v/>
      </c>
    </row>
    <row r="219" customFormat="false" ht="15" hidden="false" customHeight="false" outlineLevel="0" collapsed="false">
      <c r="A219" s="21" t="str">
        <f aca="false">IF($B219="","",214)</f>
        <v/>
      </c>
      <c r="B219" s="21" t="str">
        <f aca="false">IFERROR(INDEX('DỮ LIỆU'!$C$3:$C$1052,MATCH(214,'DỮ LIỆU'!$W$3:$W$1052,0)),"")</f>
        <v/>
      </c>
      <c r="C219" s="21" t="str">
        <f aca="false">IF($B219="","",IFERROR(IF(INDEX('DỮ LIỆU'!$D$3:$D$1052,MATCH($B219,'DỮ LIỆU'!$C$3:$C$1052,0))="","",INDEX('DỮ LIỆU'!$D$3:$D$1052,MATCH($B219,'DỮ LIỆU'!$C$3:$C$1052,0))),""))</f>
        <v/>
      </c>
      <c r="D219" s="21" t="str">
        <f aca="false">IF($B219="","",IFERROR(IF(INDEX('DỮ LIỆU'!$E$3:$E$1052,MATCH($B219,'DỮ LIỆU'!$C$3:$C$1052,0))="","",INDEX('DỮ LIỆU'!$E$3:$E$1052,MATCH($B219,'DỮ LIỆU'!$C$3:$C$1052,0))),""))</f>
        <v/>
      </c>
      <c r="E219" s="21" t="str">
        <f aca="false">IF($B219="","",IFERROR(IF(INDEX('DỮ LIỆU'!$F$3:$F$1052,MATCH($B219,'DỮ LIỆU'!$C$3:$C$1052,0))="","",INDEX('DỮ LIỆU'!$F$3:$F$1052,MATCH($B219,'DỮ LIỆU'!$C$3:$C$1052,0))),""))</f>
        <v/>
      </c>
      <c r="F219" s="21" t="str">
        <f aca="false">IF($B219="","",IFERROR(IF(INDEX('DỮ LIỆU'!$G$3:$G$1052,MATCH($B219,'DỮ LIỆU'!$C$3:$C$1052,0))="","",INDEX('DỮ LIỆU'!$G$3:$G$1052,MATCH($B219,'DỮ LIỆU'!$C$3:$C$1052,0))),""))</f>
        <v/>
      </c>
      <c r="G219" s="13" t="str">
        <f aca="false">IF($B219="","",COUNTIFS('DỮ LIỆU'!$C$3:$C$1052,$B219,'DỮ LIỆU'!$J$3:$J$1052,"&gt;0"))</f>
        <v/>
      </c>
      <c r="H219" s="13" t="str">
        <f aca="false">IF($B219="","",SUMIF('DỮ LIỆU'!$C$3:$C$1052,$B219,'DỮ LIỆU'!$J$3:$J$1052))</f>
        <v/>
      </c>
      <c r="I219" s="13" t="str">
        <f aca="false">IF($B219="","",SUMIF('DỮ LIỆU'!$C$3:$C$1052,$B219,'DỮ LIỆU'!$M$3:$M$1052))</f>
        <v/>
      </c>
      <c r="J219" s="13" t="str">
        <f aca="false">IF($B219="","",SUMIF('DỮ LIỆU'!$C$3:$C$1052,$B219,'DỮ LIỆU'!$N$3:$N$1052))</f>
        <v/>
      </c>
      <c r="K219" s="13" t="str">
        <f aca="false">IF($B219="","",SUMIF('DỮ LIỆU'!$C$3:$C$1052,$B219,'DỮ LIỆU'!$O$3:$O$1052))</f>
        <v/>
      </c>
      <c r="L219" s="13" t="str">
        <f aca="false">IF($B219="","",SUMIF('DỮ LIỆU'!$C$3:$C$1052,$B219,'DỮ LIỆU'!$Q$3:$Q$1052))</f>
        <v/>
      </c>
      <c r="M219" s="41" t="str">
        <f aca="false">IF($B219="","",IF(SUMPRODUCT(MAX(('DỮ LIỆU'!$C$3:$C$1052=$B219)*'DỮ LIỆU'!$Z$3:$Z$1052))=0,"",SUMPRODUCT(MAX(('DỮ LIỆU'!$C$3:$C$1052=$B219)*'DỮ LIỆU'!$Z$3:$Z$1052))))</f>
        <v/>
      </c>
      <c r="N219" s="21" t="str">
        <f aca="false">IF($B219="","",IF($G219=0,"Chưa có đơn",IF(COUNTIFS('DỮ LIỆU'!$C$3:$C$1052,$B219,'DỮ LIỆU'!$K$3:$K$1052,"&gt;0")&gt;0,"Có lấy VAT","Không lấy VAT")))</f>
        <v/>
      </c>
    </row>
    <row r="220" customFormat="false" ht="15" hidden="false" customHeight="false" outlineLevel="0" collapsed="false">
      <c r="A220" s="21" t="str">
        <f aca="false">IF($B220="","",215)</f>
        <v/>
      </c>
      <c r="B220" s="21" t="str">
        <f aca="false">IFERROR(INDEX('DỮ LIỆU'!$C$3:$C$1052,MATCH(215,'DỮ LIỆU'!$W$3:$W$1052,0)),"")</f>
        <v/>
      </c>
      <c r="C220" s="21" t="str">
        <f aca="false">IF($B220="","",IFERROR(IF(INDEX('DỮ LIỆU'!$D$3:$D$1052,MATCH($B220,'DỮ LIỆU'!$C$3:$C$1052,0))="","",INDEX('DỮ LIỆU'!$D$3:$D$1052,MATCH($B220,'DỮ LIỆU'!$C$3:$C$1052,0))),""))</f>
        <v/>
      </c>
      <c r="D220" s="21" t="str">
        <f aca="false">IF($B220="","",IFERROR(IF(INDEX('DỮ LIỆU'!$E$3:$E$1052,MATCH($B220,'DỮ LIỆU'!$C$3:$C$1052,0))="","",INDEX('DỮ LIỆU'!$E$3:$E$1052,MATCH($B220,'DỮ LIỆU'!$C$3:$C$1052,0))),""))</f>
        <v/>
      </c>
      <c r="E220" s="21" t="str">
        <f aca="false">IF($B220="","",IFERROR(IF(INDEX('DỮ LIỆU'!$F$3:$F$1052,MATCH($B220,'DỮ LIỆU'!$C$3:$C$1052,0))="","",INDEX('DỮ LIỆU'!$F$3:$F$1052,MATCH($B220,'DỮ LIỆU'!$C$3:$C$1052,0))),""))</f>
        <v/>
      </c>
      <c r="F220" s="21" t="str">
        <f aca="false">IF($B220="","",IFERROR(IF(INDEX('DỮ LIỆU'!$G$3:$G$1052,MATCH($B220,'DỮ LIỆU'!$C$3:$C$1052,0))="","",INDEX('DỮ LIỆU'!$G$3:$G$1052,MATCH($B220,'DỮ LIỆU'!$C$3:$C$1052,0))),""))</f>
        <v/>
      </c>
      <c r="G220" s="13" t="str">
        <f aca="false">IF($B220="","",COUNTIFS('DỮ LIỆU'!$C$3:$C$1052,$B220,'DỮ LIỆU'!$J$3:$J$1052,"&gt;0"))</f>
        <v/>
      </c>
      <c r="H220" s="13" t="str">
        <f aca="false">IF($B220="","",SUMIF('DỮ LIỆU'!$C$3:$C$1052,$B220,'DỮ LIỆU'!$J$3:$J$1052))</f>
        <v/>
      </c>
      <c r="I220" s="13" t="str">
        <f aca="false">IF($B220="","",SUMIF('DỮ LIỆU'!$C$3:$C$1052,$B220,'DỮ LIỆU'!$M$3:$M$1052))</f>
        <v/>
      </c>
      <c r="J220" s="13" t="str">
        <f aca="false">IF($B220="","",SUMIF('DỮ LIỆU'!$C$3:$C$1052,$B220,'DỮ LIỆU'!$N$3:$N$1052))</f>
        <v/>
      </c>
      <c r="K220" s="13" t="str">
        <f aca="false">IF($B220="","",SUMIF('DỮ LIỆU'!$C$3:$C$1052,$B220,'DỮ LIỆU'!$O$3:$O$1052))</f>
        <v/>
      </c>
      <c r="L220" s="13" t="str">
        <f aca="false">IF($B220="","",SUMIF('DỮ LIỆU'!$C$3:$C$1052,$B220,'DỮ LIỆU'!$Q$3:$Q$1052))</f>
        <v/>
      </c>
      <c r="M220" s="41" t="str">
        <f aca="false">IF($B220="","",IF(SUMPRODUCT(MAX(('DỮ LIỆU'!$C$3:$C$1052=$B220)*'DỮ LIỆU'!$Z$3:$Z$1052))=0,"",SUMPRODUCT(MAX(('DỮ LIỆU'!$C$3:$C$1052=$B220)*'DỮ LIỆU'!$Z$3:$Z$1052))))</f>
        <v/>
      </c>
      <c r="N220" s="21" t="str">
        <f aca="false">IF($B220="","",IF($G220=0,"Chưa có đơn",IF(COUNTIFS('DỮ LIỆU'!$C$3:$C$1052,$B220,'DỮ LIỆU'!$K$3:$K$1052,"&gt;0")&gt;0,"Có lấy VAT","Không lấy VAT")))</f>
        <v/>
      </c>
    </row>
    <row r="221" customFormat="false" ht="15" hidden="false" customHeight="false" outlineLevel="0" collapsed="false">
      <c r="A221" s="21" t="str">
        <f aca="false">IF($B221="","",216)</f>
        <v/>
      </c>
      <c r="B221" s="21" t="str">
        <f aca="false">IFERROR(INDEX('DỮ LIỆU'!$C$3:$C$1052,MATCH(216,'DỮ LIỆU'!$W$3:$W$1052,0)),"")</f>
        <v/>
      </c>
      <c r="C221" s="21" t="str">
        <f aca="false">IF($B221="","",IFERROR(IF(INDEX('DỮ LIỆU'!$D$3:$D$1052,MATCH($B221,'DỮ LIỆU'!$C$3:$C$1052,0))="","",INDEX('DỮ LIỆU'!$D$3:$D$1052,MATCH($B221,'DỮ LIỆU'!$C$3:$C$1052,0))),""))</f>
        <v/>
      </c>
      <c r="D221" s="21" t="str">
        <f aca="false">IF($B221="","",IFERROR(IF(INDEX('DỮ LIỆU'!$E$3:$E$1052,MATCH($B221,'DỮ LIỆU'!$C$3:$C$1052,0))="","",INDEX('DỮ LIỆU'!$E$3:$E$1052,MATCH($B221,'DỮ LIỆU'!$C$3:$C$1052,0))),""))</f>
        <v/>
      </c>
      <c r="E221" s="21" t="str">
        <f aca="false">IF($B221="","",IFERROR(IF(INDEX('DỮ LIỆU'!$F$3:$F$1052,MATCH($B221,'DỮ LIỆU'!$C$3:$C$1052,0))="","",INDEX('DỮ LIỆU'!$F$3:$F$1052,MATCH($B221,'DỮ LIỆU'!$C$3:$C$1052,0))),""))</f>
        <v/>
      </c>
      <c r="F221" s="21" t="str">
        <f aca="false">IF($B221="","",IFERROR(IF(INDEX('DỮ LIỆU'!$G$3:$G$1052,MATCH($B221,'DỮ LIỆU'!$C$3:$C$1052,0))="","",INDEX('DỮ LIỆU'!$G$3:$G$1052,MATCH($B221,'DỮ LIỆU'!$C$3:$C$1052,0))),""))</f>
        <v/>
      </c>
      <c r="G221" s="13" t="str">
        <f aca="false">IF($B221="","",COUNTIFS('DỮ LIỆU'!$C$3:$C$1052,$B221,'DỮ LIỆU'!$J$3:$J$1052,"&gt;0"))</f>
        <v/>
      </c>
      <c r="H221" s="13" t="str">
        <f aca="false">IF($B221="","",SUMIF('DỮ LIỆU'!$C$3:$C$1052,$B221,'DỮ LIỆU'!$J$3:$J$1052))</f>
        <v/>
      </c>
      <c r="I221" s="13" t="str">
        <f aca="false">IF($B221="","",SUMIF('DỮ LIỆU'!$C$3:$C$1052,$B221,'DỮ LIỆU'!$M$3:$M$1052))</f>
        <v/>
      </c>
      <c r="J221" s="13" t="str">
        <f aca="false">IF($B221="","",SUMIF('DỮ LIỆU'!$C$3:$C$1052,$B221,'DỮ LIỆU'!$N$3:$N$1052))</f>
        <v/>
      </c>
      <c r="K221" s="13" t="str">
        <f aca="false">IF($B221="","",SUMIF('DỮ LIỆU'!$C$3:$C$1052,$B221,'DỮ LIỆU'!$O$3:$O$1052))</f>
        <v/>
      </c>
      <c r="L221" s="13" t="str">
        <f aca="false">IF($B221="","",SUMIF('DỮ LIỆU'!$C$3:$C$1052,$B221,'DỮ LIỆU'!$Q$3:$Q$1052))</f>
        <v/>
      </c>
      <c r="M221" s="41" t="str">
        <f aca="false">IF($B221="","",IF(SUMPRODUCT(MAX(('DỮ LIỆU'!$C$3:$C$1052=$B221)*'DỮ LIỆU'!$Z$3:$Z$1052))=0,"",SUMPRODUCT(MAX(('DỮ LIỆU'!$C$3:$C$1052=$B221)*'DỮ LIỆU'!$Z$3:$Z$1052))))</f>
        <v/>
      </c>
      <c r="N221" s="21" t="str">
        <f aca="false">IF($B221="","",IF($G221=0,"Chưa có đơn",IF(COUNTIFS('DỮ LIỆU'!$C$3:$C$1052,$B221,'DỮ LIỆU'!$K$3:$K$1052,"&gt;0")&gt;0,"Có lấy VAT","Không lấy VAT")))</f>
        <v/>
      </c>
    </row>
    <row r="222" customFormat="false" ht="15" hidden="false" customHeight="false" outlineLevel="0" collapsed="false">
      <c r="A222" s="21" t="str">
        <f aca="false">IF($B222="","",217)</f>
        <v/>
      </c>
      <c r="B222" s="21" t="str">
        <f aca="false">IFERROR(INDEX('DỮ LIỆU'!$C$3:$C$1052,MATCH(217,'DỮ LIỆU'!$W$3:$W$1052,0)),"")</f>
        <v/>
      </c>
      <c r="C222" s="21" t="str">
        <f aca="false">IF($B222="","",IFERROR(IF(INDEX('DỮ LIỆU'!$D$3:$D$1052,MATCH($B222,'DỮ LIỆU'!$C$3:$C$1052,0))="","",INDEX('DỮ LIỆU'!$D$3:$D$1052,MATCH($B222,'DỮ LIỆU'!$C$3:$C$1052,0))),""))</f>
        <v/>
      </c>
      <c r="D222" s="21" t="str">
        <f aca="false">IF($B222="","",IFERROR(IF(INDEX('DỮ LIỆU'!$E$3:$E$1052,MATCH($B222,'DỮ LIỆU'!$C$3:$C$1052,0))="","",INDEX('DỮ LIỆU'!$E$3:$E$1052,MATCH($B222,'DỮ LIỆU'!$C$3:$C$1052,0))),""))</f>
        <v/>
      </c>
      <c r="E222" s="21" t="str">
        <f aca="false">IF($B222="","",IFERROR(IF(INDEX('DỮ LIỆU'!$F$3:$F$1052,MATCH($B222,'DỮ LIỆU'!$C$3:$C$1052,0))="","",INDEX('DỮ LIỆU'!$F$3:$F$1052,MATCH($B222,'DỮ LIỆU'!$C$3:$C$1052,0))),""))</f>
        <v/>
      </c>
      <c r="F222" s="21" t="str">
        <f aca="false">IF($B222="","",IFERROR(IF(INDEX('DỮ LIỆU'!$G$3:$G$1052,MATCH($B222,'DỮ LIỆU'!$C$3:$C$1052,0))="","",INDEX('DỮ LIỆU'!$G$3:$G$1052,MATCH($B222,'DỮ LIỆU'!$C$3:$C$1052,0))),""))</f>
        <v/>
      </c>
      <c r="G222" s="13" t="str">
        <f aca="false">IF($B222="","",COUNTIFS('DỮ LIỆU'!$C$3:$C$1052,$B222,'DỮ LIỆU'!$J$3:$J$1052,"&gt;0"))</f>
        <v/>
      </c>
      <c r="H222" s="13" t="str">
        <f aca="false">IF($B222="","",SUMIF('DỮ LIỆU'!$C$3:$C$1052,$B222,'DỮ LIỆU'!$J$3:$J$1052))</f>
        <v/>
      </c>
      <c r="I222" s="13" t="str">
        <f aca="false">IF($B222="","",SUMIF('DỮ LIỆU'!$C$3:$C$1052,$B222,'DỮ LIỆU'!$M$3:$M$1052))</f>
        <v/>
      </c>
      <c r="J222" s="13" t="str">
        <f aca="false">IF($B222="","",SUMIF('DỮ LIỆU'!$C$3:$C$1052,$B222,'DỮ LIỆU'!$N$3:$N$1052))</f>
        <v/>
      </c>
      <c r="K222" s="13" t="str">
        <f aca="false">IF($B222="","",SUMIF('DỮ LIỆU'!$C$3:$C$1052,$B222,'DỮ LIỆU'!$O$3:$O$1052))</f>
        <v/>
      </c>
      <c r="L222" s="13" t="str">
        <f aca="false">IF($B222="","",SUMIF('DỮ LIỆU'!$C$3:$C$1052,$B222,'DỮ LIỆU'!$Q$3:$Q$1052))</f>
        <v/>
      </c>
      <c r="M222" s="41" t="str">
        <f aca="false">IF($B222="","",IF(SUMPRODUCT(MAX(('DỮ LIỆU'!$C$3:$C$1052=$B222)*'DỮ LIỆU'!$Z$3:$Z$1052))=0,"",SUMPRODUCT(MAX(('DỮ LIỆU'!$C$3:$C$1052=$B222)*'DỮ LIỆU'!$Z$3:$Z$1052))))</f>
        <v/>
      </c>
      <c r="N222" s="21" t="str">
        <f aca="false">IF($B222="","",IF($G222=0,"Chưa có đơn",IF(COUNTIFS('DỮ LIỆU'!$C$3:$C$1052,$B222,'DỮ LIỆU'!$K$3:$K$1052,"&gt;0")&gt;0,"Có lấy VAT","Không lấy VAT")))</f>
        <v/>
      </c>
    </row>
    <row r="223" customFormat="false" ht="15" hidden="false" customHeight="false" outlineLevel="0" collapsed="false">
      <c r="A223" s="21" t="str">
        <f aca="false">IF($B223="","",218)</f>
        <v/>
      </c>
      <c r="B223" s="21" t="str">
        <f aca="false">IFERROR(INDEX('DỮ LIỆU'!$C$3:$C$1052,MATCH(218,'DỮ LIỆU'!$W$3:$W$1052,0)),"")</f>
        <v/>
      </c>
      <c r="C223" s="21" t="str">
        <f aca="false">IF($B223="","",IFERROR(IF(INDEX('DỮ LIỆU'!$D$3:$D$1052,MATCH($B223,'DỮ LIỆU'!$C$3:$C$1052,0))="","",INDEX('DỮ LIỆU'!$D$3:$D$1052,MATCH($B223,'DỮ LIỆU'!$C$3:$C$1052,0))),""))</f>
        <v/>
      </c>
      <c r="D223" s="21" t="str">
        <f aca="false">IF($B223="","",IFERROR(IF(INDEX('DỮ LIỆU'!$E$3:$E$1052,MATCH($B223,'DỮ LIỆU'!$C$3:$C$1052,0))="","",INDEX('DỮ LIỆU'!$E$3:$E$1052,MATCH($B223,'DỮ LIỆU'!$C$3:$C$1052,0))),""))</f>
        <v/>
      </c>
      <c r="E223" s="21" t="str">
        <f aca="false">IF($B223="","",IFERROR(IF(INDEX('DỮ LIỆU'!$F$3:$F$1052,MATCH($B223,'DỮ LIỆU'!$C$3:$C$1052,0))="","",INDEX('DỮ LIỆU'!$F$3:$F$1052,MATCH($B223,'DỮ LIỆU'!$C$3:$C$1052,0))),""))</f>
        <v/>
      </c>
      <c r="F223" s="21" t="str">
        <f aca="false">IF($B223="","",IFERROR(IF(INDEX('DỮ LIỆU'!$G$3:$G$1052,MATCH($B223,'DỮ LIỆU'!$C$3:$C$1052,0))="","",INDEX('DỮ LIỆU'!$G$3:$G$1052,MATCH($B223,'DỮ LIỆU'!$C$3:$C$1052,0))),""))</f>
        <v/>
      </c>
      <c r="G223" s="13" t="str">
        <f aca="false">IF($B223="","",COUNTIFS('DỮ LIỆU'!$C$3:$C$1052,$B223,'DỮ LIỆU'!$J$3:$J$1052,"&gt;0"))</f>
        <v/>
      </c>
      <c r="H223" s="13" t="str">
        <f aca="false">IF($B223="","",SUMIF('DỮ LIỆU'!$C$3:$C$1052,$B223,'DỮ LIỆU'!$J$3:$J$1052))</f>
        <v/>
      </c>
      <c r="I223" s="13" t="str">
        <f aca="false">IF($B223="","",SUMIF('DỮ LIỆU'!$C$3:$C$1052,$B223,'DỮ LIỆU'!$M$3:$M$1052))</f>
        <v/>
      </c>
      <c r="J223" s="13" t="str">
        <f aca="false">IF($B223="","",SUMIF('DỮ LIỆU'!$C$3:$C$1052,$B223,'DỮ LIỆU'!$N$3:$N$1052))</f>
        <v/>
      </c>
      <c r="K223" s="13" t="str">
        <f aca="false">IF($B223="","",SUMIF('DỮ LIỆU'!$C$3:$C$1052,$B223,'DỮ LIỆU'!$O$3:$O$1052))</f>
        <v/>
      </c>
      <c r="L223" s="13" t="str">
        <f aca="false">IF($B223="","",SUMIF('DỮ LIỆU'!$C$3:$C$1052,$B223,'DỮ LIỆU'!$Q$3:$Q$1052))</f>
        <v/>
      </c>
      <c r="M223" s="41" t="str">
        <f aca="false">IF($B223="","",IF(SUMPRODUCT(MAX(('DỮ LIỆU'!$C$3:$C$1052=$B223)*'DỮ LIỆU'!$Z$3:$Z$1052))=0,"",SUMPRODUCT(MAX(('DỮ LIỆU'!$C$3:$C$1052=$B223)*'DỮ LIỆU'!$Z$3:$Z$1052))))</f>
        <v/>
      </c>
      <c r="N223" s="21" t="str">
        <f aca="false">IF($B223="","",IF($G223=0,"Chưa có đơn",IF(COUNTIFS('DỮ LIỆU'!$C$3:$C$1052,$B223,'DỮ LIỆU'!$K$3:$K$1052,"&gt;0")&gt;0,"Có lấy VAT","Không lấy VAT")))</f>
        <v/>
      </c>
    </row>
    <row r="224" customFormat="false" ht="15" hidden="false" customHeight="false" outlineLevel="0" collapsed="false">
      <c r="A224" s="21" t="str">
        <f aca="false">IF($B224="","",219)</f>
        <v/>
      </c>
      <c r="B224" s="21" t="str">
        <f aca="false">IFERROR(INDEX('DỮ LIỆU'!$C$3:$C$1052,MATCH(219,'DỮ LIỆU'!$W$3:$W$1052,0)),"")</f>
        <v/>
      </c>
      <c r="C224" s="21" t="str">
        <f aca="false">IF($B224="","",IFERROR(IF(INDEX('DỮ LIỆU'!$D$3:$D$1052,MATCH($B224,'DỮ LIỆU'!$C$3:$C$1052,0))="","",INDEX('DỮ LIỆU'!$D$3:$D$1052,MATCH($B224,'DỮ LIỆU'!$C$3:$C$1052,0))),""))</f>
        <v/>
      </c>
      <c r="D224" s="21" t="str">
        <f aca="false">IF($B224="","",IFERROR(IF(INDEX('DỮ LIỆU'!$E$3:$E$1052,MATCH($B224,'DỮ LIỆU'!$C$3:$C$1052,0))="","",INDEX('DỮ LIỆU'!$E$3:$E$1052,MATCH($B224,'DỮ LIỆU'!$C$3:$C$1052,0))),""))</f>
        <v/>
      </c>
      <c r="E224" s="21" t="str">
        <f aca="false">IF($B224="","",IFERROR(IF(INDEX('DỮ LIỆU'!$F$3:$F$1052,MATCH($B224,'DỮ LIỆU'!$C$3:$C$1052,0))="","",INDEX('DỮ LIỆU'!$F$3:$F$1052,MATCH($B224,'DỮ LIỆU'!$C$3:$C$1052,0))),""))</f>
        <v/>
      </c>
      <c r="F224" s="21" t="str">
        <f aca="false">IF($B224="","",IFERROR(IF(INDEX('DỮ LIỆU'!$G$3:$G$1052,MATCH($B224,'DỮ LIỆU'!$C$3:$C$1052,0))="","",INDEX('DỮ LIỆU'!$G$3:$G$1052,MATCH($B224,'DỮ LIỆU'!$C$3:$C$1052,0))),""))</f>
        <v/>
      </c>
      <c r="G224" s="13" t="str">
        <f aca="false">IF($B224="","",COUNTIFS('DỮ LIỆU'!$C$3:$C$1052,$B224,'DỮ LIỆU'!$J$3:$J$1052,"&gt;0"))</f>
        <v/>
      </c>
      <c r="H224" s="13" t="str">
        <f aca="false">IF($B224="","",SUMIF('DỮ LIỆU'!$C$3:$C$1052,$B224,'DỮ LIỆU'!$J$3:$J$1052))</f>
        <v/>
      </c>
      <c r="I224" s="13" t="str">
        <f aca="false">IF($B224="","",SUMIF('DỮ LIỆU'!$C$3:$C$1052,$B224,'DỮ LIỆU'!$M$3:$M$1052))</f>
        <v/>
      </c>
      <c r="J224" s="13" t="str">
        <f aca="false">IF($B224="","",SUMIF('DỮ LIỆU'!$C$3:$C$1052,$B224,'DỮ LIỆU'!$N$3:$N$1052))</f>
        <v/>
      </c>
      <c r="K224" s="13" t="str">
        <f aca="false">IF($B224="","",SUMIF('DỮ LIỆU'!$C$3:$C$1052,$B224,'DỮ LIỆU'!$O$3:$O$1052))</f>
        <v/>
      </c>
      <c r="L224" s="13" t="str">
        <f aca="false">IF($B224="","",SUMIF('DỮ LIỆU'!$C$3:$C$1052,$B224,'DỮ LIỆU'!$Q$3:$Q$1052))</f>
        <v/>
      </c>
      <c r="M224" s="41" t="str">
        <f aca="false">IF($B224="","",IF(SUMPRODUCT(MAX(('DỮ LIỆU'!$C$3:$C$1052=$B224)*'DỮ LIỆU'!$Z$3:$Z$1052))=0,"",SUMPRODUCT(MAX(('DỮ LIỆU'!$C$3:$C$1052=$B224)*'DỮ LIỆU'!$Z$3:$Z$1052))))</f>
        <v/>
      </c>
      <c r="N224" s="21" t="str">
        <f aca="false">IF($B224="","",IF($G224=0,"Chưa có đơn",IF(COUNTIFS('DỮ LIỆU'!$C$3:$C$1052,$B224,'DỮ LIỆU'!$K$3:$K$1052,"&gt;0")&gt;0,"Có lấy VAT","Không lấy VAT")))</f>
        <v/>
      </c>
    </row>
    <row r="225" customFormat="false" ht="15" hidden="false" customHeight="false" outlineLevel="0" collapsed="false">
      <c r="A225" s="21" t="str">
        <f aca="false">IF($B225="","",220)</f>
        <v/>
      </c>
      <c r="B225" s="21" t="str">
        <f aca="false">IFERROR(INDEX('DỮ LIỆU'!$C$3:$C$1052,MATCH(220,'DỮ LIỆU'!$W$3:$W$1052,0)),"")</f>
        <v/>
      </c>
      <c r="C225" s="21" t="str">
        <f aca="false">IF($B225="","",IFERROR(IF(INDEX('DỮ LIỆU'!$D$3:$D$1052,MATCH($B225,'DỮ LIỆU'!$C$3:$C$1052,0))="","",INDEX('DỮ LIỆU'!$D$3:$D$1052,MATCH($B225,'DỮ LIỆU'!$C$3:$C$1052,0))),""))</f>
        <v/>
      </c>
      <c r="D225" s="21" t="str">
        <f aca="false">IF($B225="","",IFERROR(IF(INDEX('DỮ LIỆU'!$E$3:$E$1052,MATCH($B225,'DỮ LIỆU'!$C$3:$C$1052,0))="","",INDEX('DỮ LIỆU'!$E$3:$E$1052,MATCH($B225,'DỮ LIỆU'!$C$3:$C$1052,0))),""))</f>
        <v/>
      </c>
      <c r="E225" s="21" t="str">
        <f aca="false">IF($B225="","",IFERROR(IF(INDEX('DỮ LIỆU'!$F$3:$F$1052,MATCH($B225,'DỮ LIỆU'!$C$3:$C$1052,0))="","",INDEX('DỮ LIỆU'!$F$3:$F$1052,MATCH($B225,'DỮ LIỆU'!$C$3:$C$1052,0))),""))</f>
        <v/>
      </c>
      <c r="F225" s="21" t="str">
        <f aca="false">IF($B225="","",IFERROR(IF(INDEX('DỮ LIỆU'!$G$3:$G$1052,MATCH($B225,'DỮ LIỆU'!$C$3:$C$1052,0))="","",INDEX('DỮ LIỆU'!$G$3:$G$1052,MATCH($B225,'DỮ LIỆU'!$C$3:$C$1052,0))),""))</f>
        <v/>
      </c>
      <c r="G225" s="13" t="str">
        <f aca="false">IF($B225="","",COUNTIFS('DỮ LIỆU'!$C$3:$C$1052,$B225,'DỮ LIỆU'!$J$3:$J$1052,"&gt;0"))</f>
        <v/>
      </c>
      <c r="H225" s="13" t="str">
        <f aca="false">IF($B225="","",SUMIF('DỮ LIỆU'!$C$3:$C$1052,$B225,'DỮ LIỆU'!$J$3:$J$1052))</f>
        <v/>
      </c>
      <c r="I225" s="13" t="str">
        <f aca="false">IF($B225="","",SUMIF('DỮ LIỆU'!$C$3:$C$1052,$B225,'DỮ LIỆU'!$M$3:$M$1052))</f>
        <v/>
      </c>
      <c r="J225" s="13" t="str">
        <f aca="false">IF($B225="","",SUMIF('DỮ LIỆU'!$C$3:$C$1052,$B225,'DỮ LIỆU'!$N$3:$N$1052))</f>
        <v/>
      </c>
      <c r="K225" s="13" t="str">
        <f aca="false">IF($B225="","",SUMIF('DỮ LIỆU'!$C$3:$C$1052,$B225,'DỮ LIỆU'!$O$3:$O$1052))</f>
        <v/>
      </c>
      <c r="L225" s="13" t="str">
        <f aca="false">IF($B225="","",SUMIF('DỮ LIỆU'!$C$3:$C$1052,$B225,'DỮ LIỆU'!$Q$3:$Q$1052))</f>
        <v/>
      </c>
      <c r="M225" s="41" t="str">
        <f aca="false">IF($B225="","",IF(SUMPRODUCT(MAX(('DỮ LIỆU'!$C$3:$C$1052=$B225)*'DỮ LIỆU'!$Z$3:$Z$1052))=0,"",SUMPRODUCT(MAX(('DỮ LIỆU'!$C$3:$C$1052=$B225)*'DỮ LIỆU'!$Z$3:$Z$1052))))</f>
        <v/>
      </c>
      <c r="N225" s="21" t="str">
        <f aca="false">IF($B225="","",IF($G225=0,"Chưa có đơn",IF(COUNTIFS('DỮ LIỆU'!$C$3:$C$1052,$B225,'DỮ LIỆU'!$K$3:$K$1052,"&gt;0")&gt;0,"Có lấy VAT","Không lấy VAT")))</f>
        <v/>
      </c>
    </row>
    <row r="226" customFormat="false" ht="15" hidden="false" customHeight="false" outlineLevel="0" collapsed="false">
      <c r="A226" s="21" t="str">
        <f aca="false">IF($B226="","",221)</f>
        <v/>
      </c>
      <c r="B226" s="21" t="str">
        <f aca="false">IFERROR(INDEX('DỮ LIỆU'!$C$3:$C$1052,MATCH(221,'DỮ LIỆU'!$W$3:$W$1052,0)),"")</f>
        <v/>
      </c>
      <c r="C226" s="21" t="str">
        <f aca="false">IF($B226="","",IFERROR(IF(INDEX('DỮ LIỆU'!$D$3:$D$1052,MATCH($B226,'DỮ LIỆU'!$C$3:$C$1052,0))="","",INDEX('DỮ LIỆU'!$D$3:$D$1052,MATCH($B226,'DỮ LIỆU'!$C$3:$C$1052,0))),""))</f>
        <v/>
      </c>
      <c r="D226" s="21" t="str">
        <f aca="false">IF($B226="","",IFERROR(IF(INDEX('DỮ LIỆU'!$E$3:$E$1052,MATCH($B226,'DỮ LIỆU'!$C$3:$C$1052,0))="","",INDEX('DỮ LIỆU'!$E$3:$E$1052,MATCH($B226,'DỮ LIỆU'!$C$3:$C$1052,0))),""))</f>
        <v/>
      </c>
      <c r="E226" s="21" t="str">
        <f aca="false">IF($B226="","",IFERROR(IF(INDEX('DỮ LIỆU'!$F$3:$F$1052,MATCH($B226,'DỮ LIỆU'!$C$3:$C$1052,0))="","",INDEX('DỮ LIỆU'!$F$3:$F$1052,MATCH($B226,'DỮ LIỆU'!$C$3:$C$1052,0))),""))</f>
        <v/>
      </c>
      <c r="F226" s="21" t="str">
        <f aca="false">IF($B226="","",IFERROR(IF(INDEX('DỮ LIỆU'!$G$3:$G$1052,MATCH($B226,'DỮ LIỆU'!$C$3:$C$1052,0))="","",INDEX('DỮ LIỆU'!$G$3:$G$1052,MATCH($B226,'DỮ LIỆU'!$C$3:$C$1052,0))),""))</f>
        <v/>
      </c>
      <c r="G226" s="13" t="str">
        <f aca="false">IF($B226="","",COUNTIFS('DỮ LIỆU'!$C$3:$C$1052,$B226,'DỮ LIỆU'!$J$3:$J$1052,"&gt;0"))</f>
        <v/>
      </c>
      <c r="H226" s="13" t="str">
        <f aca="false">IF($B226="","",SUMIF('DỮ LIỆU'!$C$3:$C$1052,$B226,'DỮ LIỆU'!$J$3:$J$1052))</f>
        <v/>
      </c>
      <c r="I226" s="13" t="str">
        <f aca="false">IF($B226="","",SUMIF('DỮ LIỆU'!$C$3:$C$1052,$B226,'DỮ LIỆU'!$M$3:$M$1052))</f>
        <v/>
      </c>
      <c r="J226" s="13" t="str">
        <f aca="false">IF($B226="","",SUMIF('DỮ LIỆU'!$C$3:$C$1052,$B226,'DỮ LIỆU'!$N$3:$N$1052))</f>
        <v/>
      </c>
      <c r="K226" s="13" t="str">
        <f aca="false">IF($B226="","",SUMIF('DỮ LIỆU'!$C$3:$C$1052,$B226,'DỮ LIỆU'!$O$3:$O$1052))</f>
        <v/>
      </c>
      <c r="L226" s="13" t="str">
        <f aca="false">IF($B226="","",SUMIF('DỮ LIỆU'!$C$3:$C$1052,$B226,'DỮ LIỆU'!$Q$3:$Q$1052))</f>
        <v/>
      </c>
      <c r="M226" s="41" t="str">
        <f aca="false">IF($B226="","",IF(SUMPRODUCT(MAX(('DỮ LIỆU'!$C$3:$C$1052=$B226)*'DỮ LIỆU'!$Z$3:$Z$1052))=0,"",SUMPRODUCT(MAX(('DỮ LIỆU'!$C$3:$C$1052=$B226)*'DỮ LIỆU'!$Z$3:$Z$1052))))</f>
        <v/>
      </c>
      <c r="N226" s="21" t="str">
        <f aca="false">IF($B226="","",IF($G226=0,"Chưa có đơn",IF(COUNTIFS('DỮ LIỆU'!$C$3:$C$1052,$B226,'DỮ LIỆU'!$K$3:$K$1052,"&gt;0")&gt;0,"Có lấy VAT","Không lấy VAT")))</f>
        <v/>
      </c>
    </row>
    <row r="227" customFormat="false" ht="15" hidden="false" customHeight="false" outlineLevel="0" collapsed="false">
      <c r="A227" s="21" t="str">
        <f aca="false">IF($B227="","",222)</f>
        <v/>
      </c>
      <c r="B227" s="21" t="str">
        <f aca="false">IFERROR(INDEX('DỮ LIỆU'!$C$3:$C$1052,MATCH(222,'DỮ LIỆU'!$W$3:$W$1052,0)),"")</f>
        <v/>
      </c>
      <c r="C227" s="21" t="str">
        <f aca="false">IF($B227="","",IFERROR(IF(INDEX('DỮ LIỆU'!$D$3:$D$1052,MATCH($B227,'DỮ LIỆU'!$C$3:$C$1052,0))="","",INDEX('DỮ LIỆU'!$D$3:$D$1052,MATCH($B227,'DỮ LIỆU'!$C$3:$C$1052,0))),""))</f>
        <v/>
      </c>
      <c r="D227" s="21" t="str">
        <f aca="false">IF($B227="","",IFERROR(IF(INDEX('DỮ LIỆU'!$E$3:$E$1052,MATCH($B227,'DỮ LIỆU'!$C$3:$C$1052,0))="","",INDEX('DỮ LIỆU'!$E$3:$E$1052,MATCH($B227,'DỮ LIỆU'!$C$3:$C$1052,0))),""))</f>
        <v/>
      </c>
      <c r="E227" s="21" t="str">
        <f aca="false">IF($B227="","",IFERROR(IF(INDEX('DỮ LIỆU'!$F$3:$F$1052,MATCH($B227,'DỮ LIỆU'!$C$3:$C$1052,0))="","",INDEX('DỮ LIỆU'!$F$3:$F$1052,MATCH($B227,'DỮ LIỆU'!$C$3:$C$1052,0))),""))</f>
        <v/>
      </c>
      <c r="F227" s="21" t="str">
        <f aca="false">IF($B227="","",IFERROR(IF(INDEX('DỮ LIỆU'!$G$3:$G$1052,MATCH($B227,'DỮ LIỆU'!$C$3:$C$1052,0))="","",INDEX('DỮ LIỆU'!$G$3:$G$1052,MATCH($B227,'DỮ LIỆU'!$C$3:$C$1052,0))),""))</f>
        <v/>
      </c>
      <c r="G227" s="13" t="str">
        <f aca="false">IF($B227="","",COUNTIFS('DỮ LIỆU'!$C$3:$C$1052,$B227,'DỮ LIỆU'!$J$3:$J$1052,"&gt;0"))</f>
        <v/>
      </c>
      <c r="H227" s="13" t="str">
        <f aca="false">IF($B227="","",SUMIF('DỮ LIỆU'!$C$3:$C$1052,$B227,'DỮ LIỆU'!$J$3:$J$1052))</f>
        <v/>
      </c>
      <c r="I227" s="13" t="str">
        <f aca="false">IF($B227="","",SUMIF('DỮ LIỆU'!$C$3:$C$1052,$B227,'DỮ LIỆU'!$M$3:$M$1052))</f>
        <v/>
      </c>
      <c r="J227" s="13" t="str">
        <f aca="false">IF($B227="","",SUMIF('DỮ LIỆU'!$C$3:$C$1052,$B227,'DỮ LIỆU'!$N$3:$N$1052))</f>
        <v/>
      </c>
      <c r="K227" s="13" t="str">
        <f aca="false">IF($B227="","",SUMIF('DỮ LIỆU'!$C$3:$C$1052,$B227,'DỮ LIỆU'!$O$3:$O$1052))</f>
        <v/>
      </c>
      <c r="L227" s="13" t="str">
        <f aca="false">IF($B227="","",SUMIF('DỮ LIỆU'!$C$3:$C$1052,$B227,'DỮ LIỆU'!$Q$3:$Q$1052))</f>
        <v/>
      </c>
      <c r="M227" s="41" t="str">
        <f aca="false">IF($B227="","",IF(SUMPRODUCT(MAX(('DỮ LIỆU'!$C$3:$C$1052=$B227)*'DỮ LIỆU'!$Z$3:$Z$1052))=0,"",SUMPRODUCT(MAX(('DỮ LIỆU'!$C$3:$C$1052=$B227)*'DỮ LIỆU'!$Z$3:$Z$1052))))</f>
        <v/>
      </c>
      <c r="N227" s="21" t="str">
        <f aca="false">IF($B227="","",IF($G227=0,"Chưa có đơn",IF(COUNTIFS('DỮ LIỆU'!$C$3:$C$1052,$B227,'DỮ LIỆU'!$K$3:$K$1052,"&gt;0")&gt;0,"Có lấy VAT","Không lấy VAT")))</f>
        <v/>
      </c>
    </row>
    <row r="228" customFormat="false" ht="15" hidden="false" customHeight="false" outlineLevel="0" collapsed="false">
      <c r="A228" s="21" t="str">
        <f aca="false">IF($B228="","",223)</f>
        <v/>
      </c>
      <c r="B228" s="21" t="str">
        <f aca="false">IFERROR(INDEX('DỮ LIỆU'!$C$3:$C$1052,MATCH(223,'DỮ LIỆU'!$W$3:$W$1052,0)),"")</f>
        <v/>
      </c>
      <c r="C228" s="21" t="str">
        <f aca="false">IF($B228="","",IFERROR(IF(INDEX('DỮ LIỆU'!$D$3:$D$1052,MATCH($B228,'DỮ LIỆU'!$C$3:$C$1052,0))="","",INDEX('DỮ LIỆU'!$D$3:$D$1052,MATCH($B228,'DỮ LIỆU'!$C$3:$C$1052,0))),""))</f>
        <v/>
      </c>
      <c r="D228" s="21" t="str">
        <f aca="false">IF($B228="","",IFERROR(IF(INDEX('DỮ LIỆU'!$E$3:$E$1052,MATCH($B228,'DỮ LIỆU'!$C$3:$C$1052,0))="","",INDEX('DỮ LIỆU'!$E$3:$E$1052,MATCH($B228,'DỮ LIỆU'!$C$3:$C$1052,0))),""))</f>
        <v/>
      </c>
      <c r="E228" s="21" t="str">
        <f aca="false">IF($B228="","",IFERROR(IF(INDEX('DỮ LIỆU'!$F$3:$F$1052,MATCH($B228,'DỮ LIỆU'!$C$3:$C$1052,0))="","",INDEX('DỮ LIỆU'!$F$3:$F$1052,MATCH($B228,'DỮ LIỆU'!$C$3:$C$1052,0))),""))</f>
        <v/>
      </c>
      <c r="F228" s="21" t="str">
        <f aca="false">IF($B228="","",IFERROR(IF(INDEX('DỮ LIỆU'!$G$3:$G$1052,MATCH($B228,'DỮ LIỆU'!$C$3:$C$1052,0))="","",INDEX('DỮ LIỆU'!$G$3:$G$1052,MATCH($B228,'DỮ LIỆU'!$C$3:$C$1052,0))),""))</f>
        <v/>
      </c>
      <c r="G228" s="13" t="str">
        <f aca="false">IF($B228="","",COUNTIFS('DỮ LIỆU'!$C$3:$C$1052,$B228,'DỮ LIỆU'!$J$3:$J$1052,"&gt;0"))</f>
        <v/>
      </c>
      <c r="H228" s="13" t="str">
        <f aca="false">IF($B228="","",SUMIF('DỮ LIỆU'!$C$3:$C$1052,$B228,'DỮ LIỆU'!$J$3:$J$1052))</f>
        <v/>
      </c>
      <c r="I228" s="13" t="str">
        <f aca="false">IF($B228="","",SUMIF('DỮ LIỆU'!$C$3:$C$1052,$B228,'DỮ LIỆU'!$M$3:$M$1052))</f>
        <v/>
      </c>
      <c r="J228" s="13" t="str">
        <f aca="false">IF($B228="","",SUMIF('DỮ LIỆU'!$C$3:$C$1052,$B228,'DỮ LIỆU'!$N$3:$N$1052))</f>
        <v/>
      </c>
      <c r="K228" s="13" t="str">
        <f aca="false">IF($B228="","",SUMIF('DỮ LIỆU'!$C$3:$C$1052,$B228,'DỮ LIỆU'!$O$3:$O$1052))</f>
        <v/>
      </c>
      <c r="L228" s="13" t="str">
        <f aca="false">IF($B228="","",SUMIF('DỮ LIỆU'!$C$3:$C$1052,$B228,'DỮ LIỆU'!$Q$3:$Q$1052))</f>
        <v/>
      </c>
      <c r="M228" s="41" t="str">
        <f aca="false">IF($B228="","",IF(SUMPRODUCT(MAX(('DỮ LIỆU'!$C$3:$C$1052=$B228)*'DỮ LIỆU'!$Z$3:$Z$1052))=0,"",SUMPRODUCT(MAX(('DỮ LIỆU'!$C$3:$C$1052=$B228)*'DỮ LIỆU'!$Z$3:$Z$1052))))</f>
        <v/>
      </c>
      <c r="N228" s="21" t="str">
        <f aca="false">IF($B228="","",IF($G228=0,"Chưa có đơn",IF(COUNTIFS('DỮ LIỆU'!$C$3:$C$1052,$B228,'DỮ LIỆU'!$K$3:$K$1052,"&gt;0")&gt;0,"Có lấy VAT","Không lấy VAT")))</f>
        <v/>
      </c>
    </row>
    <row r="229" customFormat="false" ht="15" hidden="false" customHeight="false" outlineLevel="0" collapsed="false">
      <c r="A229" s="21" t="str">
        <f aca="false">IF($B229="","",224)</f>
        <v/>
      </c>
      <c r="B229" s="21" t="str">
        <f aca="false">IFERROR(INDEX('DỮ LIỆU'!$C$3:$C$1052,MATCH(224,'DỮ LIỆU'!$W$3:$W$1052,0)),"")</f>
        <v/>
      </c>
      <c r="C229" s="21" t="str">
        <f aca="false">IF($B229="","",IFERROR(IF(INDEX('DỮ LIỆU'!$D$3:$D$1052,MATCH($B229,'DỮ LIỆU'!$C$3:$C$1052,0))="","",INDEX('DỮ LIỆU'!$D$3:$D$1052,MATCH($B229,'DỮ LIỆU'!$C$3:$C$1052,0))),""))</f>
        <v/>
      </c>
      <c r="D229" s="21" t="str">
        <f aca="false">IF($B229="","",IFERROR(IF(INDEX('DỮ LIỆU'!$E$3:$E$1052,MATCH($B229,'DỮ LIỆU'!$C$3:$C$1052,0))="","",INDEX('DỮ LIỆU'!$E$3:$E$1052,MATCH($B229,'DỮ LIỆU'!$C$3:$C$1052,0))),""))</f>
        <v/>
      </c>
      <c r="E229" s="21" t="str">
        <f aca="false">IF($B229="","",IFERROR(IF(INDEX('DỮ LIỆU'!$F$3:$F$1052,MATCH($B229,'DỮ LIỆU'!$C$3:$C$1052,0))="","",INDEX('DỮ LIỆU'!$F$3:$F$1052,MATCH($B229,'DỮ LIỆU'!$C$3:$C$1052,0))),""))</f>
        <v/>
      </c>
      <c r="F229" s="21" t="str">
        <f aca="false">IF($B229="","",IFERROR(IF(INDEX('DỮ LIỆU'!$G$3:$G$1052,MATCH($B229,'DỮ LIỆU'!$C$3:$C$1052,0))="","",INDEX('DỮ LIỆU'!$G$3:$G$1052,MATCH($B229,'DỮ LIỆU'!$C$3:$C$1052,0))),""))</f>
        <v/>
      </c>
      <c r="G229" s="13" t="str">
        <f aca="false">IF($B229="","",COUNTIFS('DỮ LIỆU'!$C$3:$C$1052,$B229,'DỮ LIỆU'!$J$3:$J$1052,"&gt;0"))</f>
        <v/>
      </c>
      <c r="H229" s="13" t="str">
        <f aca="false">IF($B229="","",SUMIF('DỮ LIỆU'!$C$3:$C$1052,$B229,'DỮ LIỆU'!$J$3:$J$1052))</f>
        <v/>
      </c>
      <c r="I229" s="13" t="str">
        <f aca="false">IF($B229="","",SUMIF('DỮ LIỆU'!$C$3:$C$1052,$B229,'DỮ LIỆU'!$M$3:$M$1052))</f>
        <v/>
      </c>
      <c r="J229" s="13" t="str">
        <f aca="false">IF($B229="","",SUMIF('DỮ LIỆU'!$C$3:$C$1052,$B229,'DỮ LIỆU'!$N$3:$N$1052))</f>
        <v/>
      </c>
      <c r="K229" s="13" t="str">
        <f aca="false">IF($B229="","",SUMIF('DỮ LIỆU'!$C$3:$C$1052,$B229,'DỮ LIỆU'!$O$3:$O$1052))</f>
        <v/>
      </c>
      <c r="L229" s="13" t="str">
        <f aca="false">IF($B229="","",SUMIF('DỮ LIỆU'!$C$3:$C$1052,$B229,'DỮ LIỆU'!$Q$3:$Q$1052))</f>
        <v/>
      </c>
      <c r="M229" s="41" t="str">
        <f aca="false">IF($B229="","",IF(SUMPRODUCT(MAX(('DỮ LIỆU'!$C$3:$C$1052=$B229)*'DỮ LIỆU'!$Z$3:$Z$1052))=0,"",SUMPRODUCT(MAX(('DỮ LIỆU'!$C$3:$C$1052=$B229)*'DỮ LIỆU'!$Z$3:$Z$1052))))</f>
        <v/>
      </c>
      <c r="N229" s="21" t="str">
        <f aca="false">IF($B229="","",IF($G229=0,"Chưa có đơn",IF(COUNTIFS('DỮ LIỆU'!$C$3:$C$1052,$B229,'DỮ LIỆU'!$K$3:$K$1052,"&gt;0")&gt;0,"Có lấy VAT","Không lấy VAT")))</f>
        <v/>
      </c>
    </row>
    <row r="230" customFormat="false" ht="15" hidden="false" customHeight="false" outlineLevel="0" collapsed="false">
      <c r="A230" s="21" t="str">
        <f aca="false">IF($B230="","",225)</f>
        <v/>
      </c>
      <c r="B230" s="21" t="str">
        <f aca="false">IFERROR(INDEX('DỮ LIỆU'!$C$3:$C$1052,MATCH(225,'DỮ LIỆU'!$W$3:$W$1052,0)),"")</f>
        <v/>
      </c>
      <c r="C230" s="21" t="str">
        <f aca="false">IF($B230="","",IFERROR(IF(INDEX('DỮ LIỆU'!$D$3:$D$1052,MATCH($B230,'DỮ LIỆU'!$C$3:$C$1052,0))="","",INDEX('DỮ LIỆU'!$D$3:$D$1052,MATCH($B230,'DỮ LIỆU'!$C$3:$C$1052,0))),""))</f>
        <v/>
      </c>
      <c r="D230" s="21" t="str">
        <f aca="false">IF($B230="","",IFERROR(IF(INDEX('DỮ LIỆU'!$E$3:$E$1052,MATCH($B230,'DỮ LIỆU'!$C$3:$C$1052,0))="","",INDEX('DỮ LIỆU'!$E$3:$E$1052,MATCH($B230,'DỮ LIỆU'!$C$3:$C$1052,0))),""))</f>
        <v/>
      </c>
      <c r="E230" s="21" t="str">
        <f aca="false">IF($B230="","",IFERROR(IF(INDEX('DỮ LIỆU'!$F$3:$F$1052,MATCH($B230,'DỮ LIỆU'!$C$3:$C$1052,0))="","",INDEX('DỮ LIỆU'!$F$3:$F$1052,MATCH($B230,'DỮ LIỆU'!$C$3:$C$1052,0))),""))</f>
        <v/>
      </c>
      <c r="F230" s="21" t="str">
        <f aca="false">IF($B230="","",IFERROR(IF(INDEX('DỮ LIỆU'!$G$3:$G$1052,MATCH($B230,'DỮ LIỆU'!$C$3:$C$1052,0))="","",INDEX('DỮ LIỆU'!$G$3:$G$1052,MATCH($B230,'DỮ LIỆU'!$C$3:$C$1052,0))),""))</f>
        <v/>
      </c>
      <c r="G230" s="13" t="str">
        <f aca="false">IF($B230="","",COUNTIFS('DỮ LIỆU'!$C$3:$C$1052,$B230,'DỮ LIỆU'!$J$3:$J$1052,"&gt;0"))</f>
        <v/>
      </c>
      <c r="H230" s="13" t="str">
        <f aca="false">IF($B230="","",SUMIF('DỮ LIỆU'!$C$3:$C$1052,$B230,'DỮ LIỆU'!$J$3:$J$1052))</f>
        <v/>
      </c>
      <c r="I230" s="13" t="str">
        <f aca="false">IF($B230="","",SUMIF('DỮ LIỆU'!$C$3:$C$1052,$B230,'DỮ LIỆU'!$M$3:$M$1052))</f>
        <v/>
      </c>
      <c r="J230" s="13" t="str">
        <f aca="false">IF($B230="","",SUMIF('DỮ LIỆU'!$C$3:$C$1052,$B230,'DỮ LIỆU'!$N$3:$N$1052))</f>
        <v/>
      </c>
      <c r="K230" s="13" t="str">
        <f aca="false">IF($B230="","",SUMIF('DỮ LIỆU'!$C$3:$C$1052,$B230,'DỮ LIỆU'!$O$3:$O$1052))</f>
        <v/>
      </c>
      <c r="L230" s="13" t="str">
        <f aca="false">IF($B230="","",SUMIF('DỮ LIỆU'!$C$3:$C$1052,$B230,'DỮ LIỆU'!$Q$3:$Q$1052))</f>
        <v/>
      </c>
      <c r="M230" s="41" t="str">
        <f aca="false">IF($B230="","",IF(SUMPRODUCT(MAX(('DỮ LIỆU'!$C$3:$C$1052=$B230)*'DỮ LIỆU'!$Z$3:$Z$1052))=0,"",SUMPRODUCT(MAX(('DỮ LIỆU'!$C$3:$C$1052=$B230)*'DỮ LIỆU'!$Z$3:$Z$1052))))</f>
        <v/>
      </c>
      <c r="N230" s="21" t="str">
        <f aca="false">IF($B230="","",IF($G230=0,"Chưa có đơn",IF(COUNTIFS('DỮ LIỆU'!$C$3:$C$1052,$B230,'DỮ LIỆU'!$K$3:$K$1052,"&gt;0")&gt;0,"Có lấy VAT","Không lấy VAT")))</f>
        <v/>
      </c>
    </row>
    <row r="231" customFormat="false" ht="15" hidden="false" customHeight="false" outlineLevel="0" collapsed="false">
      <c r="A231" s="21" t="str">
        <f aca="false">IF($B231="","",226)</f>
        <v/>
      </c>
      <c r="B231" s="21" t="str">
        <f aca="false">IFERROR(INDEX('DỮ LIỆU'!$C$3:$C$1052,MATCH(226,'DỮ LIỆU'!$W$3:$W$1052,0)),"")</f>
        <v/>
      </c>
      <c r="C231" s="21" t="str">
        <f aca="false">IF($B231="","",IFERROR(IF(INDEX('DỮ LIỆU'!$D$3:$D$1052,MATCH($B231,'DỮ LIỆU'!$C$3:$C$1052,0))="","",INDEX('DỮ LIỆU'!$D$3:$D$1052,MATCH($B231,'DỮ LIỆU'!$C$3:$C$1052,0))),""))</f>
        <v/>
      </c>
      <c r="D231" s="21" t="str">
        <f aca="false">IF($B231="","",IFERROR(IF(INDEX('DỮ LIỆU'!$E$3:$E$1052,MATCH($B231,'DỮ LIỆU'!$C$3:$C$1052,0))="","",INDEX('DỮ LIỆU'!$E$3:$E$1052,MATCH($B231,'DỮ LIỆU'!$C$3:$C$1052,0))),""))</f>
        <v/>
      </c>
      <c r="E231" s="21" t="str">
        <f aca="false">IF($B231="","",IFERROR(IF(INDEX('DỮ LIỆU'!$F$3:$F$1052,MATCH($B231,'DỮ LIỆU'!$C$3:$C$1052,0))="","",INDEX('DỮ LIỆU'!$F$3:$F$1052,MATCH($B231,'DỮ LIỆU'!$C$3:$C$1052,0))),""))</f>
        <v/>
      </c>
      <c r="F231" s="21" t="str">
        <f aca="false">IF($B231="","",IFERROR(IF(INDEX('DỮ LIỆU'!$G$3:$G$1052,MATCH($B231,'DỮ LIỆU'!$C$3:$C$1052,0))="","",INDEX('DỮ LIỆU'!$G$3:$G$1052,MATCH($B231,'DỮ LIỆU'!$C$3:$C$1052,0))),""))</f>
        <v/>
      </c>
      <c r="G231" s="13" t="str">
        <f aca="false">IF($B231="","",COUNTIFS('DỮ LIỆU'!$C$3:$C$1052,$B231,'DỮ LIỆU'!$J$3:$J$1052,"&gt;0"))</f>
        <v/>
      </c>
      <c r="H231" s="13" t="str">
        <f aca="false">IF($B231="","",SUMIF('DỮ LIỆU'!$C$3:$C$1052,$B231,'DỮ LIỆU'!$J$3:$J$1052))</f>
        <v/>
      </c>
      <c r="I231" s="13" t="str">
        <f aca="false">IF($B231="","",SUMIF('DỮ LIỆU'!$C$3:$C$1052,$B231,'DỮ LIỆU'!$M$3:$M$1052))</f>
        <v/>
      </c>
      <c r="J231" s="13" t="str">
        <f aca="false">IF($B231="","",SUMIF('DỮ LIỆU'!$C$3:$C$1052,$B231,'DỮ LIỆU'!$N$3:$N$1052))</f>
        <v/>
      </c>
      <c r="K231" s="13" t="str">
        <f aca="false">IF($B231="","",SUMIF('DỮ LIỆU'!$C$3:$C$1052,$B231,'DỮ LIỆU'!$O$3:$O$1052))</f>
        <v/>
      </c>
      <c r="L231" s="13" t="str">
        <f aca="false">IF($B231="","",SUMIF('DỮ LIỆU'!$C$3:$C$1052,$B231,'DỮ LIỆU'!$Q$3:$Q$1052))</f>
        <v/>
      </c>
      <c r="M231" s="41" t="str">
        <f aca="false">IF($B231="","",IF(SUMPRODUCT(MAX(('DỮ LIỆU'!$C$3:$C$1052=$B231)*'DỮ LIỆU'!$Z$3:$Z$1052))=0,"",SUMPRODUCT(MAX(('DỮ LIỆU'!$C$3:$C$1052=$B231)*'DỮ LIỆU'!$Z$3:$Z$1052))))</f>
        <v/>
      </c>
      <c r="N231" s="21" t="str">
        <f aca="false">IF($B231="","",IF($G231=0,"Chưa có đơn",IF(COUNTIFS('DỮ LIỆU'!$C$3:$C$1052,$B231,'DỮ LIỆU'!$K$3:$K$1052,"&gt;0")&gt;0,"Có lấy VAT","Không lấy VAT")))</f>
        <v/>
      </c>
    </row>
    <row r="232" customFormat="false" ht="15" hidden="false" customHeight="false" outlineLevel="0" collapsed="false">
      <c r="A232" s="21" t="str">
        <f aca="false">IF($B232="","",227)</f>
        <v/>
      </c>
      <c r="B232" s="21" t="str">
        <f aca="false">IFERROR(INDEX('DỮ LIỆU'!$C$3:$C$1052,MATCH(227,'DỮ LIỆU'!$W$3:$W$1052,0)),"")</f>
        <v/>
      </c>
      <c r="C232" s="21" t="str">
        <f aca="false">IF($B232="","",IFERROR(IF(INDEX('DỮ LIỆU'!$D$3:$D$1052,MATCH($B232,'DỮ LIỆU'!$C$3:$C$1052,0))="","",INDEX('DỮ LIỆU'!$D$3:$D$1052,MATCH($B232,'DỮ LIỆU'!$C$3:$C$1052,0))),""))</f>
        <v/>
      </c>
      <c r="D232" s="21" t="str">
        <f aca="false">IF($B232="","",IFERROR(IF(INDEX('DỮ LIỆU'!$E$3:$E$1052,MATCH($B232,'DỮ LIỆU'!$C$3:$C$1052,0))="","",INDEX('DỮ LIỆU'!$E$3:$E$1052,MATCH($B232,'DỮ LIỆU'!$C$3:$C$1052,0))),""))</f>
        <v/>
      </c>
      <c r="E232" s="21" t="str">
        <f aca="false">IF($B232="","",IFERROR(IF(INDEX('DỮ LIỆU'!$F$3:$F$1052,MATCH($B232,'DỮ LIỆU'!$C$3:$C$1052,0))="","",INDEX('DỮ LIỆU'!$F$3:$F$1052,MATCH($B232,'DỮ LIỆU'!$C$3:$C$1052,0))),""))</f>
        <v/>
      </c>
      <c r="F232" s="21" t="str">
        <f aca="false">IF($B232="","",IFERROR(IF(INDEX('DỮ LIỆU'!$G$3:$G$1052,MATCH($B232,'DỮ LIỆU'!$C$3:$C$1052,0))="","",INDEX('DỮ LIỆU'!$G$3:$G$1052,MATCH($B232,'DỮ LIỆU'!$C$3:$C$1052,0))),""))</f>
        <v/>
      </c>
      <c r="G232" s="13" t="str">
        <f aca="false">IF($B232="","",COUNTIFS('DỮ LIỆU'!$C$3:$C$1052,$B232,'DỮ LIỆU'!$J$3:$J$1052,"&gt;0"))</f>
        <v/>
      </c>
      <c r="H232" s="13" t="str">
        <f aca="false">IF($B232="","",SUMIF('DỮ LIỆU'!$C$3:$C$1052,$B232,'DỮ LIỆU'!$J$3:$J$1052))</f>
        <v/>
      </c>
      <c r="I232" s="13" t="str">
        <f aca="false">IF($B232="","",SUMIF('DỮ LIỆU'!$C$3:$C$1052,$B232,'DỮ LIỆU'!$M$3:$M$1052))</f>
        <v/>
      </c>
      <c r="J232" s="13" t="str">
        <f aca="false">IF($B232="","",SUMIF('DỮ LIỆU'!$C$3:$C$1052,$B232,'DỮ LIỆU'!$N$3:$N$1052))</f>
        <v/>
      </c>
      <c r="K232" s="13" t="str">
        <f aca="false">IF($B232="","",SUMIF('DỮ LIỆU'!$C$3:$C$1052,$B232,'DỮ LIỆU'!$O$3:$O$1052))</f>
        <v/>
      </c>
      <c r="L232" s="13" t="str">
        <f aca="false">IF($B232="","",SUMIF('DỮ LIỆU'!$C$3:$C$1052,$B232,'DỮ LIỆU'!$Q$3:$Q$1052))</f>
        <v/>
      </c>
      <c r="M232" s="41" t="str">
        <f aca="false">IF($B232="","",IF(SUMPRODUCT(MAX(('DỮ LIỆU'!$C$3:$C$1052=$B232)*'DỮ LIỆU'!$Z$3:$Z$1052))=0,"",SUMPRODUCT(MAX(('DỮ LIỆU'!$C$3:$C$1052=$B232)*'DỮ LIỆU'!$Z$3:$Z$1052))))</f>
        <v/>
      </c>
      <c r="N232" s="21" t="str">
        <f aca="false">IF($B232="","",IF($G232=0,"Chưa có đơn",IF(COUNTIFS('DỮ LIỆU'!$C$3:$C$1052,$B232,'DỮ LIỆU'!$K$3:$K$1052,"&gt;0")&gt;0,"Có lấy VAT","Không lấy VAT")))</f>
        <v/>
      </c>
    </row>
    <row r="233" customFormat="false" ht="15" hidden="false" customHeight="false" outlineLevel="0" collapsed="false">
      <c r="A233" s="21" t="str">
        <f aca="false">IF($B233="","",228)</f>
        <v/>
      </c>
      <c r="B233" s="21" t="str">
        <f aca="false">IFERROR(INDEX('DỮ LIỆU'!$C$3:$C$1052,MATCH(228,'DỮ LIỆU'!$W$3:$W$1052,0)),"")</f>
        <v/>
      </c>
      <c r="C233" s="21" t="str">
        <f aca="false">IF($B233="","",IFERROR(IF(INDEX('DỮ LIỆU'!$D$3:$D$1052,MATCH($B233,'DỮ LIỆU'!$C$3:$C$1052,0))="","",INDEX('DỮ LIỆU'!$D$3:$D$1052,MATCH($B233,'DỮ LIỆU'!$C$3:$C$1052,0))),""))</f>
        <v/>
      </c>
      <c r="D233" s="21" t="str">
        <f aca="false">IF($B233="","",IFERROR(IF(INDEX('DỮ LIỆU'!$E$3:$E$1052,MATCH($B233,'DỮ LIỆU'!$C$3:$C$1052,0))="","",INDEX('DỮ LIỆU'!$E$3:$E$1052,MATCH($B233,'DỮ LIỆU'!$C$3:$C$1052,0))),""))</f>
        <v/>
      </c>
      <c r="E233" s="21" t="str">
        <f aca="false">IF($B233="","",IFERROR(IF(INDEX('DỮ LIỆU'!$F$3:$F$1052,MATCH($B233,'DỮ LIỆU'!$C$3:$C$1052,0))="","",INDEX('DỮ LIỆU'!$F$3:$F$1052,MATCH($B233,'DỮ LIỆU'!$C$3:$C$1052,0))),""))</f>
        <v/>
      </c>
      <c r="F233" s="21" t="str">
        <f aca="false">IF($B233="","",IFERROR(IF(INDEX('DỮ LIỆU'!$G$3:$G$1052,MATCH($B233,'DỮ LIỆU'!$C$3:$C$1052,0))="","",INDEX('DỮ LIỆU'!$G$3:$G$1052,MATCH($B233,'DỮ LIỆU'!$C$3:$C$1052,0))),""))</f>
        <v/>
      </c>
      <c r="G233" s="13" t="str">
        <f aca="false">IF($B233="","",COUNTIFS('DỮ LIỆU'!$C$3:$C$1052,$B233,'DỮ LIỆU'!$J$3:$J$1052,"&gt;0"))</f>
        <v/>
      </c>
      <c r="H233" s="13" t="str">
        <f aca="false">IF($B233="","",SUMIF('DỮ LIỆU'!$C$3:$C$1052,$B233,'DỮ LIỆU'!$J$3:$J$1052))</f>
        <v/>
      </c>
      <c r="I233" s="13" t="str">
        <f aca="false">IF($B233="","",SUMIF('DỮ LIỆU'!$C$3:$C$1052,$B233,'DỮ LIỆU'!$M$3:$M$1052))</f>
        <v/>
      </c>
      <c r="J233" s="13" t="str">
        <f aca="false">IF($B233="","",SUMIF('DỮ LIỆU'!$C$3:$C$1052,$B233,'DỮ LIỆU'!$N$3:$N$1052))</f>
        <v/>
      </c>
      <c r="K233" s="13" t="str">
        <f aca="false">IF($B233="","",SUMIF('DỮ LIỆU'!$C$3:$C$1052,$B233,'DỮ LIỆU'!$O$3:$O$1052))</f>
        <v/>
      </c>
      <c r="L233" s="13" t="str">
        <f aca="false">IF($B233="","",SUMIF('DỮ LIỆU'!$C$3:$C$1052,$B233,'DỮ LIỆU'!$Q$3:$Q$1052))</f>
        <v/>
      </c>
      <c r="M233" s="41" t="str">
        <f aca="false">IF($B233="","",IF(SUMPRODUCT(MAX(('DỮ LIỆU'!$C$3:$C$1052=$B233)*'DỮ LIỆU'!$Z$3:$Z$1052))=0,"",SUMPRODUCT(MAX(('DỮ LIỆU'!$C$3:$C$1052=$B233)*'DỮ LIỆU'!$Z$3:$Z$1052))))</f>
        <v/>
      </c>
      <c r="N233" s="21" t="str">
        <f aca="false">IF($B233="","",IF($G233=0,"Chưa có đơn",IF(COUNTIFS('DỮ LIỆU'!$C$3:$C$1052,$B233,'DỮ LIỆU'!$K$3:$K$1052,"&gt;0")&gt;0,"Có lấy VAT","Không lấy VAT")))</f>
        <v/>
      </c>
    </row>
    <row r="234" customFormat="false" ht="15" hidden="false" customHeight="false" outlineLevel="0" collapsed="false">
      <c r="A234" s="21" t="str">
        <f aca="false">IF($B234="","",229)</f>
        <v/>
      </c>
      <c r="B234" s="21" t="str">
        <f aca="false">IFERROR(INDEX('DỮ LIỆU'!$C$3:$C$1052,MATCH(229,'DỮ LIỆU'!$W$3:$W$1052,0)),"")</f>
        <v/>
      </c>
      <c r="C234" s="21" t="str">
        <f aca="false">IF($B234="","",IFERROR(IF(INDEX('DỮ LIỆU'!$D$3:$D$1052,MATCH($B234,'DỮ LIỆU'!$C$3:$C$1052,0))="","",INDEX('DỮ LIỆU'!$D$3:$D$1052,MATCH($B234,'DỮ LIỆU'!$C$3:$C$1052,0))),""))</f>
        <v/>
      </c>
      <c r="D234" s="21" t="str">
        <f aca="false">IF($B234="","",IFERROR(IF(INDEX('DỮ LIỆU'!$E$3:$E$1052,MATCH($B234,'DỮ LIỆU'!$C$3:$C$1052,0))="","",INDEX('DỮ LIỆU'!$E$3:$E$1052,MATCH($B234,'DỮ LIỆU'!$C$3:$C$1052,0))),""))</f>
        <v/>
      </c>
      <c r="E234" s="21" t="str">
        <f aca="false">IF($B234="","",IFERROR(IF(INDEX('DỮ LIỆU'!$F$3:$F$1052,MATCH($B234,'DỮ LIỆU'!$C$3:$C$1052,0))="","",INDEX('DỮ LIỆU'!$F$3:$F$1052,MATCH($B234,'DỮ LIỆU'!$C$3:$C$1052,0))),""))</f>
        <v/>
      </c>
      <c r="F234" s="21" t="str">
        <f aca="false">IF($B234="","",IFERROR(IF(INDEX('DỮ LIỆU'!$G$3:$G$1052,MATCH($B234,'DỮ LIỆU'!$C$3:$C$1052,0))="","",INDEX('DỮ LIỆU'!$G$3:$G$1052,MATCH($B234,'DỮ LIỆU'!$C$3:$C$1052,0))),""))</f>
        <v/>
      </c>
      <c r="G234" s="13" t="str">
        <f aca="false">IF($B234="","",COUNTIFS('DỮ LIỆU'!$C$3:$C$1052,$B234,'DỮ LIỆU'!$J$3:$J$1052,"&gt;0"))</f>
        <v/>
      </c>
      <c r="H234" s="13" t="str">
        <f aca="false">IF($B234="","",SUMIF('DỮ LIỆU'!$C$3:$C$1052,$B234,'DỮ LIỆU'!$J$3:$J$1052))</f>
        <v/>
      </c>
      <c r="I234" s="13" t="str">
        <f aca="false">IF($B234="","",SUMIF('DỮ LIỆU'!$C$3:$C$1052,$B234,'DỮ LIỆU'!$M$3:$M$1052))</f>
        <v/>
      </c>
      <c r="J234" s="13" t="str">
        <f aca="false">IF($B234="","",SUMIF('DỮ LIỆU'!$C$3:$C$1052,$B234,'DỮ LIỆU'!$N$3:$N$1052))</f>
        <v/>
      </c>
      <c r="K234" s="13" t="str">
        <f aca="false">IF($B234="","",SUMIF('DỮ LIỆU'!$C$3:$C$1052,$B234,'DỮ LIỆU'!$O$3:$O$1052))</f>
        <v/>
      </c>
      <c r="L234" s="13" t="str">
        <f aca="false">IF($B234="","",SUMIF('DỮ LIỆU'!$C$3:$C$1052,$B234,'DỮ LIỆU'!$Q$3:$Q$1052))</f>
        <v/>
      </c>
      <c r="M234" s="41" t="str">
        <f aca="false">IF($B234="","",IF(SUMPRODUCT(MAX(('DỮ LIỆU'!$C$3:$C$1052=$B234)*'DỮ LIỆU'!$Z$3:$Z$1052))=0,"",SUMPRODUCT(MAX(('DỮ LIỆU'!$C$3:$C$1052=$B234)*'DỮ LIỆU'!$Z$3:$Z$1052))))</f>
        <v/>
      </c>
      <c r="N234" s="21" t="str">
        <f aca="false">IF($B234="","",IF($G234=0,"Chưa có đơn",IF(COUNTIFS('DỮ LIỆU'!$C$3:$C$1052,$B234,'DỮ LIỆU'!$K$3:$K$1052,"&gt;0")&gt;0,"Có lấy VAT","Không lấy VAT")))</f>
        <v/>
      </c>
    </row>
    <row r="235" customFormat="false" ht="15" hidden="false" customHeight="false" outlineLevel="0" collapsed="false">
      <c r="A235" s="21" t="str">
        <f aca="false">IF($B235="","",230)</f>
        <v/>
      </c>
      <c r="B235" s="21" t="str">
        <f aca="false">IFERROR(INDEX('DỮ LIỆU'!$C$3:$C$1052,MATCH(230,'DỮ LIỆU'!$W$3:$W$1052,0)),"")</f>
        <v/>
      </c>
      <c r="C235" s="21" t="str">
        <f aca="false">IF($B235="","",IFERROR(IF(INDEX('DỮ LIỆU'!$D$3:$D$1052,MATCH($B235,'DỮ LIỆU'!$C$3:$C$1052,0))="","",INDEX('DỮ LIỆU'!$D$3:$D$1052,MATCH($B235,'DỮ LIỆU'!$C$3:$C$1052,0))),""))</f>
        <v/>
      </c>
      <c r="D235" s="21" t="str">
        <f aca="false">IF($B235="","",IFERROR(IF(INDEX('DỮ LIỆU'!$E$3:$E$1052,MATCH($B235,'DỮ LIỆU'!$C$3:$C$1052,0))="","",INDEX('DỮ LIỆU'!$E$3:$E$1052,MATCH($B235,'DỮ LIỆU'!$C$3:$C$1052,0))),""))</f>
        <v/>
      </c>
      <c r="E235" s="21" t="str">
        <f aca="false">IF($B235="","",IFERROR(IF(INDEX('DỮ LIỆU'!$F$3:$F$1052,MATCH($B235,'DỮ LIỆU'!$C$3:$C$1052,0))="","",INDEX('DỮ LIỆU'!$F$3:$F$1052,MATCH($B235,'DỮ LIỆU'!$C$3:$C$1052,0))),""))</f>
        <v/>
      </c>
      <c r="F235" s="21" t="str">
        <f aca="false">IF($B235="","",IFERROR(IF(INDEX('DỮ LIỆU'!$G$3:$G$1052,MATCH($B235,'DỮ LIỆU'!$C$3:$C$1052,0))="","",INDEX('DỮ LIỆU'!$G$3:$G$1052,MATCH($B235,'DỮ LIỆU'!$C$3:$C$1052,0))),""))</f>
        <v/>
      </c>
      <c r="G235" s="13" t="str">
        <f aca="false">IF($B235="","",COUNTIFS('DỮ LIỆU'!$C$3:$C$1052,$B235,'DỮ LIỆU'!$J$3:$J$1052,"&gt;0"))</f>
        <v/>
      </c>
      <c r="H235" s="13" t="str">
        <f aca="false">IF($B235="","",SUMIF('DỮ LIỆU'!$C$3:$C$1052,$B235,'DỮ LIỆU'!$J$3:$J$1052))</f>
        <v/>
      </c>
      <c r="I235" s="13" t="str">
        <f aca="false">IF($B235="","",SUMIF('DỮ LIỆU'!$C$3:$C$1052,$B235,'DỮ LIỆU'!$M$3:$M$1052))</f>
        <v/>
      </c>
      <c r="J235" s="13" t="str">
        <f aca="false">IF($B235="","",SUMIF('DỮ LIỆU'!$C$3:$C$1052,$B235,'DỮ LIỆU'!$N$3:$N$1052))</f>
        <v/>
      </c>
      <c r="K235" s="13" t="str">
        <f aca="false">IF($B235="","",SUMIF('DỮ LIỆU'!$C$3:$C$1052,$B235,'DỮ LIỆU'!$O$3:$O$1052))</f>
        <v/>
      </c>
      <c r="L235" s="13" t="str">
        <f aca="false">IF($B235="","",SUMIF('DỮ LIỆU'!$C$3:$C$1052,$B235,'DỮ LIỆU'!$Q$3:$Q$1052))</f>
        <v/>
      </c>
      <c r="M235" s="41" t="str">
        <f aca="false">IF($B235="","",IF(SUMPRODUCT(MAX(('DỮ LIỆU'!$C$3:$C$1052=$B235)*'DỮ LIỆU'!$Z$3:$Z$1052))=0,"",SUMPRODUCT(MAX(('DỮ LIỆU'!$C$3:$C$1052=$B235)*'DỮ LIỆU'!$Z$3:$Z$1052))))</f>
        <v/>
      </c>
      <c r="N235" s="21" t="str">
        <f aca="false">IF($B235="","",IF($G235=0,"Chưa có đơn",IF(COUNTIFS('DỮ LIỆU'!$C$3:$C$1052,$B235,'DỮ LIỆU'!$K$3:$K$1052,"&gt;0")&gt;0,"Có lấy VAT","Không lấy VAT")))</f>
        <v/>
      </c>
    </row>
    <row r="236" customFormat="false" ht="15" hidden="false" customHeight="false" outlineLevel="0" collapsed="false">
      <c r="A236" s="21" t="str">
        <f aca="false">IF($B236="","",231)</f>
        <v/>
      </c>
      <c r="B236" s="21" t="str">
        <f aca="false">IFERROR(INDEX('DỮ LIỆU'!$C$3:$C$1052,MATCH(231,'DỮ LIỆU'!$W$3:$W$1052,0)),"")</f>
        <v/>
      </c>
      <c r="C236" s="21" t="str">
        <f aca="false">IF($B236="","",IFERROR(IF(INDEX('DỮ LIỆU'!$D$3:$D$1052,MATCH($B236,'DỮ LIỆU'!$C$3:$C$1052,0))="","",INDEX('DỮ LIỆU'!$D$3:$D$1052,MATCH($B236,'DỮ LIỆU'!$C$3:$C$1052,0))),""))</f>
        <v/>
      </c>
      <c r="D236" s="21" t="str">
        <f aca="false">IF($B236="","",IFERROR(IF(INDEX('DỮ LIỆU'!$E$3:$E$1052,MATCH($B236,'DỮ LIỆU'!$C$3:$C$1052,0))="","",INDEX('DỮ LIỆU'!$E$3:$E$1052,MATCH($B236,'DỮ LIỆU'!$C$3:$C$1052,0))),""))</f>
        <v/>
      </c>
      <c r="E236" s="21" t="str">
        <f aca="false">IF($B236="","",IFERROR(IF(INDEX('DỮ LIỆU'!$F$3:$F$1052,MATCH($B236,'DỮ LIỆU'!$C$3:$C$1052,0))="","",INDEX('DỮ LIỆU'!$F$3:$F$1052,MATCH($B236,'DỮ LIỆU'!$C$3:$C$1052,0))),""))</f>
        <v/>
      </c>
      <c r="F236" s="21" t="str">
        <f aca="false">IF($B236="","",IFERROR(IF(INDEX('DỮ LIỆU'!$G$3:$G$1052,MATCH($B236,'DỮ LIỆU'!$C$3:$C$1052,0))="","",INDEX('DỮ LIỆU'!$G$3:$G$1052,MATCH($B236,'DỮ LIỆU'!$C$3:$C$1052,0))),""))</f>
        <v/>
      </c>
      <c r="G236" s="13" t="str">
        <f aca="false">IF($B236="","",COUNTIFS('DỮ LIỆU'!$C$3:$C$1052,$B236,'DỮ LIỆU'!$J$3:$J$1052,"&gt;0"))</f>
        <v/>
      </c>
      <c r="H236" s="13" t="str">
        <f aca="false">IF($B236="","",SUMIF('DỮ LIỆU'!$C$3:$C$1052,$B236,'DỮ LIỆU'!$J$3:$J$1052))</f>
        <v/>
      </c>
      <c r="I236" s="13" t="str">
        <f aca="false">IF($B236="","",SUMIF('DỮ LIỆU'!$C$3:$C$1052,$B236,'DỮ LIỆU'!$M$3:$M$1052))</f>
        <v/>
      </c>
      <c r="J236" s="13" t="str">
        <f aca="false">IF($B236="","",SUMIF('DỮ LIỆU'!$C$3:$C$1052,$B236,'DỮ LIỆU'!$N$3:$N$1052))</f>
        <v/>
      </c>
      <c r="K236" s="13" t="str">
        <f aca="false">IF($B236="","",SUMIF('DỮ LIỆU'!$C$3:$C$1052,$B236,'DỮ LIỆU'!$O$3:$O$1052))</f>
        <v/>
      </c>
      <c r="L236" s="13" t="str">
        <f aca="false">IF($B236="","",SUMIF('DỮ LIỆU'!$C$3:$C$1052,$B236,'DỮ LIỆU'!$Q$3:$Q$1052))</f>
        <v/>
      </c>
      <c r="M236" s="41" t="str">
        <f aca="false">IF($B236="","",IF(SUMPRODUCT(MAX(('DỮ LIỆU'!$C$3:$C$1052=$B236)*'DỮ LIỆU'!$Z$3:$Z$1052))=0,"",SUMPRODUCT(MAX(('DỮ LIỆU'!$C$3:$C$1052=$B236)*'DỮ LIỆU'!$Z$3:$Z$1052))))</f>
        <v/>
      </c>
      <c r="N236" s="21" t="str">
        <f aca="false">IF($B236="","",IF($G236=0,"Chưa có đơn",IF(COUNTIFS('DỮ LIỆU'!$C$3:$C$1052,$B236,'DỮ LIỆU'!$K$3:$K$1052,"&gt;0")&gt;0,"Có lấy VAT","Không lấy VAT")))</f>
        <v/>
      </c>
    </row>
    <row r="237" customFormat="false" ht="15" hidden="false" customHeight="false" outlineLevel="0" collapsed="false">
      <c r="A237" s="21" t="str">
        <f aca="false">IF($B237="","",232)</f>
        <v/>
      </c>
      <c r="B237" s="21" t="str">
        <f aca="false">IFERROR(INDEX('DỮ LIỆU'!$C$3:$C$1052,MATCH(232,'DỮ LIỆU'!$W$3:$W$1052,0)),"")</f>
        <v/>
      </c>
      <c r="C237" s="21" t="str">
        <f aca="false">IF($B237="","",IFERROR(IF(INDEX('DỮ LIỆU'!$D$3:$D$1052,MATCH($B237,'DỮ LIỆU'!$C$3:$C$1052,0))="","",INDEX('DỮ LIỆU'!$D$3:$D$1052,MATCH($B237,'DỮ LIỆU'!$C$3:$C$1052,0))),""))</f>
        <v/>
      </c>
      <c r="D237" s="21" t="str">
        <f aca="false">IF($B237="","",IFERROR(IF(INDEX('DỮ LIỆU'!$E$3:$E$1052,MATCH($B237,'DỮ LIỆU'!$C$3:$C$1052,0))="","",INDEX('DỮ LIỆU'!$E$3:$E$1052,MATCH($B237,'DỮ LIỆU'!$C$3:$C$1052,0))),""))</f>
        <v/>
      </c>
      <c r="E237" s="21" t="str">
        <f aca="false">IF($B237="","",IFERROR(IF(INDEX('DỮ LIỆU'!$F$3:$F$1052,MATCH($B237,'DỮ LIỆU'!$C$3:$C$1052,0))="","",INDEX('DỮ LIỆU'!$F$3:$F$1052,MATCH($B237,'DỮ LIỆU'!$C$3:$C$1052,0))),""))</f>
        <v/>
      </c>
      <c r="F237" s="21" t="str">
        <f aca="false">IF($B237="","",IFERROR(IF(INDEX('DỮ LIỆU'!$G$3:$G$1052,MATCH($B237,'DỮ LIỆU'!$C$3:$C$1052,0))="","",INDEX('DỮ LIỆU'!$G$3:$G$1052,MATCH($B237,'DỮ LIỆU'!$C$3:$C$1052,0))),""))</f>
        <v/>
      </c>
      <c r="G237" s="13" t="str">
        <f aca="false">IF($B237="","",COUNTIFS('DỮ LIỆU'!$C$3:$C$1052,$B237,'DỮ LIỆU'!$J$3:$J$1052,"&gt;0"))</f>
        <v/>
      </c>
      <c r="H237" s="13" t="str">
        <f aca="false">IF($B237="","",SUMIF('DỮ LIỆU'!$C$3:$C$1052,$B237,'DỮ LIỆU'!$J$3:$J$1052))</f>
        <v/>
      </c>
      <c r="I237" s="13" t="str">
        <f aca="false">IF($B237="","",SUMIF('DỮ LIỆU'!$C$3:$C$1052,$B237,'DỮ LIỆU'!$M$3:$M$1052))</f>
        <v/>
      </c>
      <c r="J237" s="13" t="str">
        <f aca="false">IF($B237="","",SUMIF('DỮ LIỆU'!$C$3:$C$1052,$B237,'DỮ LIỆU'!$N$3:$N$1052))</f>
        <v/>
      </c>
      <c r="K237" s="13" t="str">
        <f aca="false">IF($B237="","",SUMIF('DỮ LIỆU'!$C$3:$C$1052,$B237,'DỮ LIỆU'!$O$3:$O$1052))</f>
        <v/>
      </c>
      <c r="L237" s="13" t="str">
        <f aca="false">IF($B237="","",SUMIF('DỮ LIỆU'!$C$3:$C$1052,$B237,'DỮ LIỆU'!$Q$3:$Q$1052))</f>
        <v/>
      </c>
      <c r="M237" s="41" t="str">
        <f aca="false">IF($B237="","",IF(SUMPRODUCT(MAX(('DỮ LIỆU'!$C$3:$C$1052=$B237)*'DỮ LIỆU'!$Z$3:$Z$1052))=0,"",SUMPRODUCT(MAX(('DỮ LIỆU'!$C$3:$C$1052=$B237)*'DỮ LIỆU'!$Z$3:$Z$1052))))</f>
        <v/>
      </c>
      <c r="N237" s="21" t="str">
        <f aca="false">IF($B237="","",IF($G237=0,"Chưa có đơn",IF(COUNTIFS('DỮ LIỆU'!$C$3:$C$1052,$B237,'DỮ LIỆU'!$K$3:$K$1052,"&gt;0")&gt;0,"Có lấy VAT","Không lấy VAT")))</f>
        <v/>
      </c>
    </row>
    <row r="238" customFormat="false" ht="15" hidden="false" customHeight="false" outlineLevel="0" collapsed="false">
      <c r="A238" s="21" t="str">
        <f aca="false">IF($B238="","",233)</f>
        <v/>
      </c>
      <c r="B238" s="21" t="str">
        <f aca="false">IFERROR(INDEX('DỮ LIỆU'!$C$3:$C$1052,MATCH(233,'DỮ LIỆU'!$W$3:$W$1052,0)),"")</f>
        <v/>
      </c>
      <c r="C238" s="21" t="str">
        <f aca="false">IF($B238="","",IFERROR(IF(INDEX('DỮ LIỆU'!$D$3:$D$1052,MATCH($B238,'DỮ LIỆU'!$C$3:$C$1052,0))="","",INDEX('DỮ LIỆU'!$D$3:$D$1052,MATCH($B238,'DỮ LIỆU'!$C$3:$C$1052,0))),""))</f>
        <v/>
      </c>
      <c r="D238" s="21" t="str">
        <f aca="false">IF($B238="","",IFERROR(IF(INDEX('DỮ LIỆU'!$E$3:$E$1052,MATCH($B238,'DỮ LIỆU'!$C$3:$C$1052,0))="","",INDEX('DỮ LIỆU'!$E$3:$E$1052,MATCH($B238,'DỮ LIỆU'!$C$3:$C$1052,0))),""))</f>
        <v/>
      </c>
      <c r="E238" s="21" t="str">
        <f aca="false">IF($B238="","",IFERROR(IF(INDEX('DỮ LIỆU'!$F$3:$F$1052,MATCH($B238,'DỮ LIỆU'!$C$3:$C$1052,0))="","",INDEX('DỮ LIỆU'!$F$3:$F$1052,MATCH($B238,'DỮ LIỆU'!$C$3:$C$1052,0))),""))</f>
        <v/>
      </c>
      <c r="F238" s="21" t="str">
        <f aca="false">IF($B238="","",IFERROR(IF(INDEX('DỮ LIỆU'!$G$3:$G$1052,MATCH($B238,'DỮ LIỆU'!$C$3:$C$1052,0))="","",INDEX('DỮ LIỆU'!$G$3:$G$1052,MATCH($B238,'DỮ LIỆU'!$C$3:$C$1052,0))),""))</f>
        <v/>
      </c>
      <c r="G238" s="13" t="str">
        <f aca="false">IF($B238="","",COUNTIFS('DỮ LIỆU'!$C$3:$C$1052,$B238,'DỮ LIỆU'!$J$3:$J$1052,"&gt;0"))</f>
        <v/>
      </c>
      <c r="H238" s="13" t="str">
        <f aca="false">IF($B238="","",SUMIF('DỮ LIỆU'!$C$3:$C$1052,$B238,'DỮ LIỆU'!$J$3:$J$1052))</f>
        <v/>
      </c>
      <c r="I238" s="13" t="str">
        <f aca="false">IF($B238="","",SUMIF('DỮ LIỆU'!$C$3:$C$1052,$B238,'DỮ LIỆU'!$M$3:$M$1052))</f>
        <v/>
      </c>
      <c r="J238" s="13" t="str">
        <f aca="false">IF($B238="","",SUMIF('DỮ LIỆU'!$C$3:$C$1052,$B238,'DỮ LIỆU'!$N$3:$N$1052))</f>
        <v/>
      </c>
      <c r="K238" s="13" t="str">
        <f aca="false">IF($B238="","",SUMIF('DỮ LIỆU'!$C$3:$C$1052,$B238,'DỮ LIỆU'!$O$3:$O$1052))</f>
        <v/>
      </c>
      <c r="L238" s="13" t="str">
        <f aca="false">IF($B238="","",SUMIF('DỮ LIỆU'!$C$3:$C$1052,$B238,'DỮ LIỆU'!$Q$3:$Q$1052))</f>
        <v/>
      </c>
      <c r="M238" s="41" t="str">
        <f aca="false">IF($B238="","",IF(SUMPRODUCT(MAX(('DỮ LIỆU'!$C$3:$C$1052=$B238)*'DỮ LIỆU'!$Z$3:$Z$1052))=0,"",SUMPRODUCT(MAX(('DỮ LIỆU'!$C$3:$C$1052=$B238)*'DỮ LIỆU'!$Z$3:$Z$1052))))</f>
        <v/>
      </c>
      <c r="N238" s="21" t="str">
        <f aca="false">IF($B238="","",IF($G238=0,"Chưa có đơn",IF(COUNTIFS('DỮ LIỆU'!$C$3:$C$1052,$B238,'DỮ LIỆU'!$K$3:$K$1052,"&gt;0")&gt;0,"Có lấy VAT","Không lấy VAT")))</f>
        <v/>
      </c>
    </row>
    <row r="239" customFormat="false" ht="15" hidden="false" customHeight="false" outlineLevel="0" collapsed="false">
      <c r="A239" s="21" t="str">
        <f aca="false">IF($B239="","",234)</f>
        <v/>
      </c>
      <c r="B239" s="21" t="str">
        <f aca="false">IFERROR(INDEX('DỮ LIỆU'!$C$3:$C$1052,MATCH(234,'DỮ LIỆU'!$W$3:$W$1052,0)),"")</f>
        <v/>
      </c>
      <c r="C239" s="21" t="str">
        <f aca="false">IF($B239="","",IFERROR(IF(INDEX('DỮ LIỆU'!$D$3:$D$1052,MATCH($B239,'DỮ LIỆU'!$C$3:$C$1052,0))="","",INDEX('DỮ LIỆU'!$D$3:$D$1052,MATCH($B239,'DỮ LIỆU'!$C$3:$C$1052,0))),""))</f>
        <v/>
      </c>
      <c r="D239" s="21" t="str">
        <f aca="false">IF($B239="","",IFERROR(IF(INDEX('DỮ LIỆU'!$E$3:$E$1052,MATCH($B239,'DỮ LIỆU'!$C$3:$C$1052,0))="","",INDEX('DỮ LIỆU'!$E$3:$E$1052,MATCH($B239,'DỮ LIỆU'!$C$3:$C$1052,0))),""))</f>
        <v/>
      </c>
      <c r="E239" s="21" t="str">
        <f aca="false">IF($B239="","",IFERROR(IF(INDEX('DỮ LIỆU'!$F$3:$F$1052,MATCH($B239,'DỮ LIỆU'!$C$3:$C$1052,0))="","",INDEX('DỮ LIỆU'!$F$3:$F$1052,MATCH($B239,'DỮ LIỆU'!$C$3:$C$1052,0))),""))</f>
        <v/>
      </c>
      <c r="F239" s="21" t="str">
        <f aca="false">IF($B239="","",IFERROR(IF(INDEX('DỮ LIỆU'!$G$3:$G$1052,MATCH($B239,'DỮ LIỆU'!$C$3:$C$1052,0))="","",INDEX('DỮ LIỆU'!$G$3:$G$1052,MATCH($B239,'DỮ LIỆU'!$C$3:$C$1052,0))),""))</f>
        <v/>
      </c>
      <c r="G239" s="13" t="str">
        <f aca="false">IF($B239="","",COUNTIFS('DỮ LIỆU'!$C$3:$C$1052,$B239,'DỮ LIỆU'!$J$3:$J$1052,"&gt;0"))</f>
        <v/>
      </c>
      <c r="H239" s="13" t="str">
        <f aca="false">IF($B239="","",SUMIF('DỮ LIỆU'!$C$3:$C$1052,$B239,'DỮ LIỆU'!$J$3:$J$1052))</f>
        <v/>
      </c>
      <c r="I239" s="13" t="str">
        <f aca="false">IF($B239="","",SUMIF('DỮ LIỆU'!$C$3:$C$1052,$B239,'DỮ LIỆU'!$M$3:$M$1052))</f>
        <v/>
      </c>
      <c r="J239" s="13" t="str">
        <f aca="false">IF($B239="","",SUMIF('DỮ LIỆU'!$C$3:$C$1052,$B239,'DỮ LIỆU'!$N$3:$N$1052))</f>
        <v/>
      </c>
      <c r="K239" s="13" t="str">
        <f aca="false">IF($B239="","",SUMIF('DỮ LIỆU'!$C$3:$C$1052,$B239,'DỮ LIỆU'!$O$3:$O$1052))</f>
        <v/>
      </c>
      <c r="L239" s="13" t="str">
        <f aca="false">IF($B239="","",SUMIF('DỮ LIỆU'!$C$3:$C$1052,$B239,'DỮ LIỆU'!$Q$3:$Q$1052))</f>
        <v/>
      </c>
      <c r="M239" s="41" t="str">
        <f aca="false">IF($B239="","",IF(SUMPRODUCT(MAX(('DỮ LIỆU'!$C$3:$C$1052=$B239)*'DỮ LIỆU'!$Z$3:$Z$1052))=0,"",SUMPRODUCT(MAX(('DỮ LIỆU'!$C$3:$C$1052=$B239)*'DỮ LIỆU'!$Z$3:$Z$1052))))</f>
        <v/>
      </c>
      <c r="N239" s="21" t="str">
        <f aca="false">IF($B239="","",IF($G239=0,"Chưa có đơn",IF(COUNTIFS('DỮ LIỆU'!$C$3:$C$1052,$B239,'DỮ LIỆU'!$K$3:$K$1052,"&gt;0")&gt;0,"Có lấy VAT","Không lấy VAT")))</f>
        <v/>
      </c>
    </row>
    <row r="240" customFormat="false" ht="15" hidden="false" customHeight="false" outlineLevel="0" collapsed="false">
      <c r="A240" s="21" t="str">
        <f aca="false">IF($B240="","",235)</f>
        <v/>
      </c>
      <c r="B240" s="21" t="str">
        <f aca="false">IFERROR(INDEX('DỮ LIỆU'!$C$3:$C$1052,MATCH(235,'DỮ LIỆU'!$W$3:$W$1052,0)),"")</f>
        <v/>
      </c>
      <c r="C240" s="21" t="str">
        <f aca="false">IF($B240="","",IFERROR(IF(INDEX('DỮ LIỆU'!$D$3:$D$1052,MATCH($B240,'DỮ LIỆU'!$C$3:$C$1052,0))="","",INDEX('DỮ LIỆU'!$D$3:$D$1052,MATCH($B240,'DỮ LIỆU'!$C$3:$C$1052,0))),""))</f>
        <v/>
      </c>
      <c r="D240" s="21" t="str">
        <f aca="false">IF($B240="","",IFERROR(IF(INDEX('DỮ LIỆU'!$E$3:$E$1052,MATCH($B240,'DỮ LIỆU'!$C$3:$C$1052,0))="","",INDEX('DỮ LIỆU'!$E$3:$E$1052,MATCH($B240,'DỮ LIỆU'!$C$3:$C$1052,0))),""))</f>
        <v/>
      </c>
      <c r="E240" s="21" t="str">
        <f aca="false">IF($B240="","",IFERROR(IF(INDEX('DỮ LIỆU'!$F$3:$F$1052,MATCH($B240,'DỮ LIỆU'!$C$3:$C$1052,0))="","",INDEX('DỮ LIỆU'!$F$3:$F$1052,MATCH($B240,'DỮ LIỆU'!$C$3:$C$1052,0))),""))</f>
        <v/>
      </c>
      <c r="F240" s="21" t="str">
        <f aca="false">IF($B240="","",IFERROR(IF(INDEX('DỮ LIỆU'!$G$3:$G$1052,MATCH($B240,'DỮ LIỆU'!$C$3:$C$1052,0))="","",INDEX('DỮ LIỆU'!$G$3:$G$1052,MATCH($B240,'DỮ LIỆU'!$C$3:$C$1052,0))),""))</f>
        <v/>
      </c>
      <c r="G240" s="13" t="str">
        <f aca="false">IF($B240="","",COUNTIFS('DỮ LIỆU'!$C$3:$C$1052,$B240,'DỮ LIỆU'!$J$3:$J$1052,"&gt;0"))</f>
        <v/>
      </c>
      <c r="H240" s="13" t="str">
        <f aca="false">IF($B240="","",SUMIF('DỮ LIỆU'!$C$3:$C$1052,$B240,'DỮ LIỆU'!$J$3:$J$1052))</f>
        <v/>
      </c>
      <c r="I240" s="13" t="str">
        <f aca="false">IF($B240="","",SUMIF('DỮ LIỆU'!$C$3:$C$1052,$B240,'DỮ LIỆU'!$M$3:$M$1052))</f>
        <v/>
      </c>
      <c r="J240" s="13" t="str">
        <f aca="false">IF($B240="","",SUMIF('DỮ LIỆU'!$C$3:$C$1052,$B240,'DỮ LIỆU'!$N$3:$N$1052))</f>
        <v/>
      </c>
      <c r="K240" s="13" t="str">
        <f aca="false">IF($B240="","",SUMIF('DỮ LIỆU'!$C$3:$C$1052,$B240,'DỮ LIỆU'!$O$3:$O$1052))</f>
        <v/>
      </c>
      <c r="L240" s="13" t="str">
        <f aca="false">IF($B240="","",SUMIF('DỮ LIỆU'!$C$3:$C$1052,$B240,'DỮ LIỆU'!$Q$3:$Q$1052))</f>
        <v/>
      </c>
      <c r="M240" s="41" t="str">
        <f aca="false">IF($B240="","",IF(SUMPRODUCT(MAX(('DỮ LIỆU'!$C$3:$C$1052=$B240)*'DỮ LIỆU'!$Z$3:$Z$1052))=0,"",SUMPRODUCT(MAX(('DỮ LIỆU'!$C$3:$C$1052=$B240)*'DỮ LIỆU'!$Z$3:$Z$1052))))</f>
        <v/>
      </c>
      <c r="N240" s="21" t="str">
        <f aca="false">IF($B240="","",IF($G240=0,"Chưa có đơn",IF(COUNTIFS('DỮ LIỆU'!$C$3:$C$1052,$B240,'DỮ LIỆU'!$K$3:$K$1052,"&gt;0")&gt;0,"Có lấy VAT","Không lấy VAT")))</f>
        <v/>
      </c>
    </row>
    <row r="241" customFormat="false" ht="15" hidden="false" customHeight="false" outlineLevel="0" collapsed="false">
      <c r="A241" s="21" t="str">
        <f aca="false">IF($B241="","",236)</f>
        <v/>
      </c>
      <c r="B241" s="21" t="str">
        <f aca="false">IFERROR(INDEX('DỮ LIỆU'!$C$3:$C$1052,MATCH(236,'DỮ LIỆU'!$W$3:$W$1052,0)),"")</f>
        <v/>
      </c>
      <c r="C241" s="21" t="str">
        <f aca="false">IF($B241="","",IFERROR(IF(INDEX('DỮ LIỆU'!$D$3:$D$1052,MATCH($B241,'DỮ LIỆU'!$C$3:$C$1052,0))="","",INDEX('DỮ LIỆU'!$D$3:$D$1052,MATCH($B241,'DỮ LIỆU'!$C$3:$C$1052,0))),""))</f>
        <v/>
      </c>
      <c r="D241" s="21" t="str">
        <f aca="false">IF($B241="","",IFERROR(IF(INDEX('DỮ LIỆU'!$E$3:$E$1052,MATCH($B241,'DỮ LIỆU'!$C$3:$C$1052,0))="","",INDEX('DỮ LIỆU'!$E$3:$E$1052,MATCH($B241,'DỮ LIỆU'!$C$3:$C$1052,0))),""))</f>
        <v/>
      </c>
      <c r="E241" s="21" t="str">
        <f aca="false">IF($B241="","",IFERROR(IF(INDEX('DỮ LIỆU'!$F$3:$F$1052,MATCH($B241,'DỮ LIỆU'!$C$3:$C$1052,0))="","",INDEX('DỮ LIỆU'!$F$3:$F$1052,MATCH($B241,'DỮ LIỆU'!$C$3:$C$1052,0))),""))</f>
        <v/>
      </c>
      <c r="F241" s="21" t="str">
        <f aca="false">IF($B241="","",IFERROR(IF(INDEX('DỮ LIỆU'!$G$3:$G$1052,MATCH($B241,'DỮ LIỆU'!$C$3:$C$1052,0))="","",INDEX('DỮ LIỆU'!$G$3:$G$1052,MATCH($B241,'DỮ LIỆU'!$C$3:$C$1052,0))),""))</f>
        <v/>
      </c>
      <c r="G241" s="13" t="str">
        <f aca="false">IF($B241="","",COUNTIFS('DỮ LIỆU'!$C$3:$C$1052,$B241,'DỮ LIỆU'!$J$3:$J$1052,"&gt;0"))</f>
        <v/>
      </c>
      <c r="H241" s="13" t="str">
        <f aca="false">IF($B241="","",SUMIF('DỮ LIỆU'!$C$3:$C$1052,$B241,'DỮ LIỆU'!$J$3:$J$1052))</f>
        <v/>
      </c>
      <c r="I241" s="13" t="str">
        <f aca="false">IF($B241="","",SUMIF('DỮ LIỆU'!$C$3:$C$1052,$B241,'DỮ LIỆU'!$M$3:$M$1052))</f>
        <v/>
      </c>
      <c r="J241" s="13" t="str">
        <f aca="false">IF($B241="","",SUMIF('DỮ LIỆU'!$C$3:$C$1052,$B241,'DỮ LIỆU'!$N$3:$N$1052))</f>
        <v/>
      </c>
      <c r="K241" s="13" t="str">
        <f aca="false">IF($B241="","",SUMIF('DỮ LIỆU'!$C$3:$C$1052,$B241,'DỮ LIỆU'!$O$3:$O$1052))</f>
        <v/>
      </c>
      <c r="L241" s="13" t="str">
        <f aca="false">IF($B241="","",SUMIF('DỮ LIỆU'!$C$3:$C$1052,$B241,'DỮ LIỆU'!$Q$3:$Q$1052))</f>
        <v/>
      </c>
      <c r="M241" s="41" t="str">
        <f aca="false">IF($B241="","",IF(SUMPRODUCT(MAX(('DỮ LIỆU'!$C$3:$C$1052=$B241)*'DỮ LIỆU'!$Z$3:$Z$1052))=0,"",SUMPRODUCT(MAX(('DỮ LIỆU'!$C$3:$C$1052=$B241)*'DỮ LIỆU'!$Z$3:$Z$1052))))</f>
        <v/>
      </c>
      <c r="N241" s="21" t="str">
        <f aca="false">IF($B241="","",IF($G241=0,"Chưa có đơn",IF(COUNTIFS('DỮ LIỆU'!$C$3:$C$1052,$B241,'DỮ LIỆU'!$K$3:$K$1052,"&gt;0")&gt;0,"Có lấy VAT","Không lấy VAT")))</f>
        <v/>
      </c>
    </row>
    <row r="242" customFormat="false" ht="15" hidden="false" customHeight="false" outlineLevel="0" collapsed="false">
      <c r="A242" s="21" t="str">
        <f aca="false">IF($B242="","",237)</f>
        <v/>
      </c>
      <c r="B242" s="21" t="str">
        <f aca="false">IFERROR(INDEX('DỮ LIỆU'!$C$3:$C$1052,MATCH(237,'DỮ LIỆU'!$W$3:$W$1052,0)),"")</f>
        <v/>
      </c>
      <c r="C242" s="21" t="str">
        <f aca="false">IF($B242="","",IFERROR(IF(INDEX('DỮ LIỆU'!$D$3:$D$1052,MATCH($B242,'DỮ LIỆU'!$C$3:$C$1052,0))="","",INDEX('DỮ LIỆU'!$D$3:$D$1052,MATCH($B242,'DỮ LIỆU'!$C$3:$C$1052,0))),""))</f>
        <v/>
      </c>
      <c r="D242" s="21" t="str">
        <f aca="false">IF($B242="","",IFERROR(IF(INDEX('DỮ LIỆU'!$E$3:$E$1052,MATCH($B242,'DỮ LIỆU'!$C$3:$C$1052,0))="","",INDEX('DỮ LIỆU'!$E$3:$E$1052,MATCH($B242,'DỮ LIỆU'!$C$3:$C$1052,0))),""))</f>
        <v/>
      </c>
      <c r="E242" s="21" t="str">
        <f aca="false">IF($B242="","",IFERROR(IF(INDEX('DỮ LIỆU'!$F$3:$F$1052,MATCH($B242,'DỮ LIỆU'!$C$3:$C$1052,0))="","",INDEX('DỮ LIỆU'!$F$3:$F$1052,MATCH($B242,'DỮ LIỆU'!$C$3:$C$1052,0))),""))</f>
        <v/>
      </c>
      <c r="F242" s="21" t="str">
        <f aca="false">IF($B242="","",IFERROR(IF(INDEX('DỮ LIỆU'!$G$3:$G$1052,MATCH($B242,'DỮ LIỆU'!$C$3:$C$1052,0))="","",INDEX('DỮ LIỆU'!$G$3:$G$1052,MATCH($B242,'DỮ LIỆU'!$C$3:$C$1052,0))),""))</f>
        <v/>
      </c>
      <c r="G242" s="13" t="str">
        <f aca="false">IF($B242="","",COUNTIFS('DỮ LIỆU'!$C$3:$C$1052,$B242,'DỮ LIỆU'!$J$3:$J$1052,"&gt;0"))</f>
        <v/>
      </c>
      <c r="H242" s="13" t="str">
        <f aca="false">IF($B242="","",SUMIF('DỮ LIỆU'!$C$3:$C$1052,$B242,'DỮ LIỆU'!$J$3:$J$1052))</f>
        <v/>
      </c>
      <c r="I242" s="13" t="str">
        <f aca="false">IF($B242="","",SUMIF('DỮ LIỆU'!$C$3:$C$1052,$B242,'DỮ LIỆU'!$M$3:$M$1052))</f>
        <v/>
      </c>
      <c r="J242" s="13" t="str">
        <f aca="false">IF($B242="","",SUMIF('DỮ LIỆU'!$C$3:$C$1052,$B242,'DỮ LIỆU'!$N$3:$N$1052))</f>
        <v/>
      </c>
      <c r="K242" s="13" t="str">
        <f aca="false">IF($B242="","",SUMIF('DỮ LIỆU'!$C$3:$C$1052,$B242,'DỮ LIỆU'!$O$3:$O$1052))</f>
        <v/>
      </c>
      <c r="L242" s="13" t="str">
        <f aca="false">IF($B242="","",SUMIF('DỮ LIỆU'!$C$3:$C$1052,$B242,'DỮ LIỆU'!$Q$3:$Q$1052))</f>
        <v/>
      </c>
      <c r="M242" s="41" t="str">
        <f aca="false">IF($B242="","",IF(SUMPRODUCT(MAX(('DỮ LIỆU'!$C$3:$C$1052=$B242)*'DỮ LIỆU'!$Z$3:$Z$1052))=0,"",SUMPRODUCT(MAX(('DỮ LIỆU'!$C$3:$C$1052=$B242)*'DỮ LIỆU'!$Z$3:$Z$1052))))</f>
        <v/>
      </c>
      <c r="N242" s="21" t="str">
        <f aca="false">IF($B242="","",IF($G242=0,"Chưa có đơn",IF(COUNTIFS('DỮ LIỆU'!$C$3:$C$1052,$B242,'DỮ LIỆU'!$K$3:$K$1052,"&gt;0")&gt;0,"Có lấy VAT","Không lấy VAT")))</f>
        <v/>
      </c>
    </row>
    <row r="243" customFormat="false" ht="15" hidden="false" customHeight="false" outlineLevel="0" collapsed="false">
      <c r="A243" s="21" t="str">
        <f aca="false">IF($B243="","",238)</f>
        <v/>
      </c>
      <c r="B243" s="21" t="str">
        <f aca="false">IFERROR(INDEX('DỮ LIỆU'!$C$3:$C$1052,MATCH(238,'DỮ LIỆU'!$W$3:$W$1052,0)),"")</f>
        <v/>
      </c>
      <c r="C243" s="21" t="str">
        <f aca="false">IF($B243="","",IFERROR(IF(INDEX('DỮ LIỆU'!$D$3:$D$1052,MATCH($B243,'DỮ LIỆU'!$C$3:$C$1052,0))="","",INDEX('DỮ LIỆU'!$D$3:$D$1052,MATCH($B243,'DỮ LIỆU'!$C$3:$C$1052,0))),""))</f>
        <v/>
      </c>
      <c r="D243" s="21" t="str">
        <f aca="false">IF($B243="","",IFERROR(IF(INDEX('DỮ LIỆU'!$E$3:$E$1052,MATCH($B243,'DỮ LIỆU'!$C$3:$C$1052,0))="","",INDEX('DỮ LIỆU'!$E$3:$E$1052,MATCH($B243,'DỮ LIỆU'!$C$3:$C$1052,0))),""))</f>
        <v/>
      </c>
      <c r="E243" s="21" t="str">
        <f aca="false">IF($B243="","",IFERROR(IF(INDEX('DỮ LIỆU'!$F$3:$F$1052,MATCH($B243,'DỮ LIỆU'!$C$3:$C$1052,0))="","",INDEX('DỮ LIỆU'!$F$3:$F$1052,MATCH($B243,'DỮ LIỆU'!$C$3:$C$1052,0))),""))</f>
        <v/>
      </c>
      <c r="F243" s="21" t="str">
        <f aca="false">IF($B243="","",IFERROR(IF(INDEX('DỮ LIỆU'!$G$3:$G$1052,MATCH($B243,'DỮ LIỆU'!$C$3:$C$1052,0))="","",INDEX('DỮ LIỆU'!$G$3:$G$1052,MATCH($B243,'DỮ LIỆU'!$C$3:$C$1052,0))),""))</f>
        <v/>
      </c>
      <c r="G243" s="13" t="str">
        <f aca="false">IF($B243="","",COUNTIFS('DỮ LIỆU'!$C$3:$C$1052,$B243,'DỮ LIỆU'!$J$3:$J$1052,"&gt;0"))</f>
        <v/>
      </c>
      <c r="H243" s="13" t="str">
        <f aca="false">IF($B243="","",SUMIF('DỮ LIỆU'!$C$3:$C$1052,$B243,'DỮ LIỆU'!$J$3:$J$1052))</f>
        <v/>
      </c>
      <c r="I243" s="13" t="str">
        <f aca="false">IF($B243="","",SUMIF('DỮ LIỆU'!$C$3:$C$1052,$B243,'DỮ LIỆU'!$M$3:$M$1052))</f>
        <v/>
      </c>
      <c r="J243" s="13" t="str">
        <f aca="false">IF($B243="","",SUMIF('DỮ LIỆU'!$C$3:$C$1052,$B243,'DỮ LIỆU'!$N$3:$N$1052))</f>
        <v/>
      </c>
      <c r="K243" s="13" t="str">
        <f aca="false">IF($B243="","",SUMIF('DỮ LIỆU'!$C$3:$C$1052,$B243,'DỮ LIỆU'!$O$3:$O$1052))</f>
        <v/>
      </c>
      <c r="L243" s="13" t="str">
        <f aca="false">IF($B243="","",SUMIF('DỮ LIỆU'!$C$3:$C$1052,$B243,'DỮ LIỆU'!$Q$3:$Q$1052))</f>
        <v/>
      </c>
      <c r="M243" s="41" t="str">
        <f aca="false">IF($B243="","",IF(SUMPRODUCT(MAX(('DỮ LIỆU'!$C$3:$C$1052=$B243)*'DỮ LIỆU'!$Z$3:$Z$1052))=0,"",SUMPRODUCT(MAX(('DỮ LIỆU'!$C$3:$C$1052=$B243)*'DỮ LIỆU'!$Z$3:$Z$1052))))</f>
        <v/>
      </c>
      <c r="N243" s="21" t="str">
        <f aca="false">IF($B243="","",IF($G243=0,"Chưa có đơn",IF(COUNTIFS('DỮ LIỆU'!$C$3:$C$1052,$B243,'DỮ LIỆU'!$K$3:$K$1052,"&gt;0")&gt;0,"Có lấy VAT","Không lấy VAT")))</f>
        <v/>
      </c>
    </row>
    <row r="244" customFormat="false" ht="15" hidden="false" customHeight="false" outlineLevel="0" collapsed="false">
      <c r="A244" s="21" t="str">
        <f aca="false">IF($B244="","",239)</f>
        <v/>
      </c>
      <c r="B244" s="21" t="str">
        <f aca="false">IFERROR(INDEX('DỮ LIỆU'!$C$3:$C$1052,MATCH(239,'DỮ LIỆU'!$W$3:$W$1052,0)),"")</f>
        <v/>
      </c>
      <c r="C244" s="21" t="str">
        <f aca="false">IF($B244="","",IFERROR(IF(INDEX('DỮ LIỆU'!$D$3:$D$1052,MATCH($B244,'DỮ LIỆU'!$C$3:$C$1052,0))="","",INDEX('DỮ LIỆU'!$D$3:$D$1052,MATCH($B244,'DỮ LIỆU'!$C$3:$C$1052,0))),""))</f>
        <v/>
      </c>
      <c r="D244" s="21" t="str">
        <f aca="false">IF($B244="","",IFERROR(IF(INDEX('DỮ LIỆU'!$E$3:$E$1052,MATCH($B244,'DỮ LIỆU'!$C$3:$C$1052,0))="","",INDEX('DỮ LIỆU'!$E$3:$E$1052,MATCH($B244,'DỮ LIỆU'!$C$3:$C$1052,0))),""))</f>
        <v/>
      </c>
      <c r="E244" s="21" t="str">
        <f aca="false">IF($B244="","",IFERROR(IF(INDEX('DỮ LIỆU'!$F$3:$F$1052,MATCH($B244,'DỮ LIỆU'!$C$3:$C$1052,0))="","",INDEX('DỮ LIỆU'!$F$3:$F$1052,MATCH($B244,'DỮ LIỆU'!$C$3:$C$1052,0))),""))</f>
        <v/>
      </c>
      <c r="F244" s="21" t="str">
        <f aca="false">IF($B244="","",IFERROR(IF(INDEX('DỮ LIỆU'!$G$3:$G$1052,MATCH($B244,'DỮ LIỆU'!$C$3:$C$1052,0))="","",INDEX('DỮ LIỆU'!$G$3:$G$1052,MATCH($B244,'DỮ LIỆU'!$C$3:$C$1052,0))),""))</f>
        <v/>
      </c>
      <c r="G244" s="13" t="str">
        <f aca="false">IF($B244="","",COUNTIFS('DỮ LIỆU'!$C$3:$C$1052,$B244,'DỮ LIỆU'!$J$3:$J$1052,"&gt;0"))</f>
        <v/>
      </c>
      <c r="H244" s="13" t="str">
        <f aca="false">IF($B244="","",SUMIF('DỮ LIỆU'!$C$3:$C$1052,$B244,'DỮ LIỆU'!$J$3:$J$1052))</f>
        <v/>
      </c>
      <c r="I244" s="13" t="str">
        <f aca="false">IF($B244="","",SUMIF('DỮ LIỆU'!$C$3:$C$1052,$B244,'DỮ LIỆU'!$M$3:$M$1052))</f>
        <v/>
      </c>
      <c r="J244" s="13" t="str">
        <f aca="false">IF($B244="","",SUMIF('DỮ LIỆU'!$C$3:$C$1052,$B244,'DỮ LIỆU'!$N$3:$N$1052))</f>
        <v/>
      </c>
      <c r="K244" s="13" t="str">
        <f aca="false">IF($B244="","",SUMIF('DỮ LIỆU'!$C$3:$C$1052,$B244,'DỮ LIỆU'!$O$3:$O$1052))</f>
        <v/>
      </c>
      <c r="L244" s="13" t="str">
        <f aca="false">IF($B244="","",SUMIF('DỮ LIỆU'!$C$3:$C$1052,$B244,'DỮ LIỆU'!$Q$3:$Q$1052))</f>
        <v/>
      </c>
      <c r="M244" s="41" t="str">
        <f aca="false">IF($B244="","",IF(SUMPRODUCT(MAX(('DỮ LIỆU'!$C$3:$C$1052=$B244)*'DỮ LIỆU'!$Z$3:$Z$1052))=0,"",SUMPRODUCT(MAX(('DỮ LIỆU'!$C$3:$C$1052=$B244)*'DỮ LIỆU'!$Z$3:$Z$1052))))</f>
        <v/>
      </c>
      <c r="N244" s="21" t="str">
        <f aca="false">IF($B244="","",IF($G244=0,"Chưa có đơn",IF(COUNTIFS('DỮ LIỆU'!$C$3:$C$1052,$B244,'DỮ LIỆU'!$K$3:$K$1052,"&gt;0")&gt;0,"Có lấy VAT","Không lấy VAT")))</f>
        <v/>
      </c>
    </row>
    <row r="245" customFormat="false" ht="15" hidden="false" customHeight="false" outlineLevel="0" collapsed="false">
      <c r="A245" s="21" t="str">
        <f aca="false">IF($B245="","",240)</f>
        <v/>
      </c>
      <c r="B245" s="21" t="str">
        <f aca="false">IFERROR(INDEX('DỮ LIỆU'!$C$3:$C$1052,MATCH(240,'DỮ LIỆU'!$W$3:$W$1052,0)),"")</f>
        <v/>
      </c>
      <c r="C245" s="21" t="str">
        <f aca="false">IF($B245="","",IFERROR(IF(INDEX('DỮ LIỆU'!$D$3:$D$1052,MATCH($B245,'DỮ LIỆU'!$C$3:$C$1052,0))="","",INDEX('DỮ LIỆU'!$D$3:$D$1052,MATCH($B245,'DỮ LIỆU'!$C$3:$C$1052,0))),""))</f>
        <v/>
      </c>
      <c r="D245" s="21" t="str">
        <f aca="false">IF($B245="","",IFERROR(IF(INDEX('DỮ LIỆU'!$E$3:$E$1052,MATCH($B245,'DỮ LIỆU'!$C$3:$C$1052,0))="","",INDEX('DỮ LIỆU'!$E$3:$E$1052,MATCH($B245,'DỮ LIỆU'!$C$3:$C$1052,0))),""))</f>
        <v/>
      </c>
      <c r="E245" s="21" t="str">
        <f aca="false">IF($B245="","",IFERROR(IF(INDEX('DỮ LIỆU'!$F$3:$F$1052,MATCH($B245,'DỮ LIỆU'!$C$3:$C$1052,0))="","",INDEX('DỮ LIỆU'!$F$3:$F$1052,MATCH($B245,'DỮ LIỆU'!$C$3:$C$1052,0))),""))</f>
        <v/>
      </c>
      <c r="F245" s="21" t="str">
        <f aca="false">IF($B245="","",IFERROR(IF(INDEX('DỮ LIỆU'!$G$3:$G$1052,MATCH($B245,'DỮ LIỆU'!$C$3:$C$1052,0))="","",INDEX('DỮ LIỆU'!$G$3:$G$1052,MATCH($B245,'DỮ LIỆU'!$C$3:$C$1052,0))),""))</f>
        <v/>
      </c>
      <c r="G245" s="13" t="str">
        <f aca="false">IF($B245="","",COUNTIFS('DỮ LIỆU'!$C$3:$C$1052,$B245,'DỮ LIỆU'!$J$3:$J$1052,"&gt;0"))</f>
        <v/>
      </c>
      <c r="H245" s="13" t="str">
        <f aca="false">IF($B245="","",SUMIF('DỮ LIỆU'!$C$3:$C$1052,$B245,'DỮ LIỆU'!$J$3:$J$1052))</f>
        <v/>
      </c>
      <c r="I245" s="13" t="str">
        <f aca="false">IF($B245="","",SUMIF('DỮ LIỆU'!$C$3:$C$1052,$B245,'DỮ LIỆU'!$M$3:$M$1052))</f>
        <v/>
      </c>
      <c r="J245" s="13" t="str">
        <f aca="false">IF($B245="","",SUMIF('DỮ LIỆU'!$C$3:$C$1052,$B245,'DỮ LIỆU'!$N$3:$N$1052))</f>
        <v/>
      </c>
      <c r="K245" s="13" t="str">
        <f aca="false">IF($B245="","",SUMIF('DỮ LIỆU'!$C$3:$C$1052,$B245,'DỮ LIỆU'!$O$3:$O$1052))</f>
        <v/>
      </c>
      <c r="L245" s="13" t="str">
        <f aca="false">IF($B245="","",SUMIF('DỮ LIỆU'!$C$3:$C$1052,$B245,'DỮ LIỆU'!$Q$3:$Q$1052))</f>
        <v/>
      </c>
      <c r="M245" s="41" t="str">
        <f aca="false">IF($B245="","",IF(SUMPRODUCT(MAX(('DỮ LIỆU'!$C$3:$C$1052=$B245)*'DỮ LIỆU'!$Z$3:$Z$1052))=0,"",SUMPRODUCT(MAX(('DỮ LIỆU'!$C$3:$C$1052=$B245)*'DỮ LIỆU'!$Z$3:$Z$1052))))</f>
        <v/>
      </c>
      <c r="N245" s="21" t="str">
        <f aca="false">IF($B245="","",IF($G245=0,"Chưa có đơn",IF(COUNTIFS('DỮ LIỆU'!$C$3:$C$1052,$B245,'DỮ LIỆU'!$K$3:$K$1052,"&gt;0")&gt;0,"Có lấy VAT","Không lấy VAT")))</f>
        <v/>
      </c>
    </row>
    <row r="246" customFormat="false" ht="15" hidden="false" customHeight="false" outlineLevel="0" collapsed="false">
      <c r="A246" s="21" t="str">
        <f aca="false">IF($B246="","",241)</f>
        <v/>
      </c>
      <c r="B246" s="21" t="str">
        <f aca="false">IFERROR(INDEX('DỮ LIỆU'!$C$3:$C$1052,MATCH(241,'DỮ LIỆU'!$W$3:$W$1052,0)),"")</f>
        <v/>
      </c>
      <c r="C246" s="21" t="str">
        <f aca="false">IF($B246="","",IFERROR(IF(INDEX('DỮ LIỆU'!$D$3:$D$1052,MATCH($B246,'DỮ LIỆU'!$C$3:$C$1052,0))="","",INDEX('DỮ LIỆU'!$D$3:$D$1052,MATCH($B246,'DỮ LIỆU'!$C$3:$C$1052,0))),""))</f>
        <v/>
      </c>
      <c r="D246" s="21" t="str">
        <f aca="false">IF($B246="","",IFERROR(IF(INDEX('DỮ LIỆU'!$E$3:$E$1052,MATCH($B246,'DỮ LIỆU'!$C$3:$C$1052,0))="","",INDEX('DỮ LIỆU'!$E$3:$E$1052,MATCH($B246,'DỮ LIỆU'!$C$3:$C$1052,0))),""))</f>
        <v/>
      </c>
      <c r="E246" s="21" t="str">
        <f aca="false">IF($B246="","",IFERROR(IF(INDEX('DỮ LIỆU'!$F$3:$F$1052,MATCH($B246,'DỮ LIỆU'!$C$3:$C$1052,0))="","",INDEX('DỮ LIỆU'!$F$3:$F$1052,MATCH($B246,'DỮ LIỆU'!$C$3:$C$1052,0))),""))</f>
        <v/>
      </c>
      <c r="F246" s="21" t="str">
        <f aca="false">IF($B246="","",IFERROR(IF(INDEX('DỮ LIỆU'!$G$3:$G$1052,MATCH($B246,'DỮ LIỆU'!$C$3:$C$1052,0))="","",INDEX('DỮ LIỆU'!$G$3:$G$1052,MATCH($B246,'DỮ LIỆU'!$C$3:$C$1052,0))),""))</f>
        <v/>
      </c>
      <c r="G246" s="13" t="str">
        <f aca="false">IF($B246="","",COUNTIFS('DỮ LIỆU'!$C$3:$C$1052,$B246,'DỮ LIỆU'!$J$3:$J$1052,"&gt;0"))</f>
        <v/>
      </c>
      <c r="H246" s="13" t="str">
        <f aca="false">IF($B246="","",SUMIF('DỮ LIỆU'!$C$3:$C$1052,$B246,'DỮ LIỆU'!$J$3:$J$1052))</f>
        <v/>
      </c>
      <c r="I246" s="13" t="str">
        <f aca="false">IF($B246="","",SUMIF('DỮ LIỆU'!$C$3:$C$1052,$B246,'DỮ LIỆU'!$M$3:$M$1052))</f>
        <v/>
      </c>
      <c r="J246" s="13" t="str">
        <f aca="false">IF($B246="","",SUMIF('DỮ LIỆU'!$C$3:$C$1052,$B246,'DỮ LIỆU'!$N$3:$N$1052))</f>
        <v/>
      </c>
      <c r="K246" s="13" t="str">
        <f aca="false">IF($B246="","",SUMIF('DỮ LIỆU'!$C$3:$C$1052,$B246,'DỮ LIỆU'!$O$3:$O$1052))</f>
        <v/>
      </c>
      <c r="L246" s="13" t="str">
        <f aca="false">IF($B246="","",SUMIF('DỮ LIỆU'!$C$3:$C$1052,$B246,'DỮ LIỆU'!$Q$3:$Q$1052))</f>
        <v/>
      </c>
      <c r="M246" s="41" t="str">
        <f aca="false">IF($B246="","",IF(SUMPRODUCT(MAX(('DỮ LIỆU'!$C$3:$C$1052=$B246)*'DỮ LIỆU'!$Z$3:$Z$1052))=0,"",SUMPRODUCT(MAX(('DỮ LIỆU'!$C$3:$C$1052=$B246)*'DỮ LIỆU'!$Z$3:$Z$1052))))</f>
        <v/>
      </c>
      <c r="N246" s="21" t="str">
        <f aca="false">IF($B246="","",IF($G246=0,"Chưa có đơn",IF(COUNTIFS('DỮ LIỆU'!$C$3:$C$1052,$B246,'DỮ LIỆU'!$K$3:$K$1052,"&gt;0")&gt;0,"Có lấy VAT","Không lấy VAT")))</f>
        <v/>
      </c>
    </row>
    <row r="247" customFormat="false" ht="15" hidden="false" customHeight="false" outlineLevel="0" collapsed="false">
      <c r="A247" s="21" t="str">
        <f aca="false">IF($B247="","",242)</f>
        <v/>
      </c>
      <c r="B247" s="21" t="str">
        <f aca="false">IFERROR(INDEX('DỮ LIỆU'!$C$3:$C$1052,MATCH(242,'DỮ LIỆU'!$W$3:$W$1052,0)),"")</f>
        <v/>
      </c>
      <c r="C247" s="21" t="str">
        <f aca="false">IF($B247="","",IFERROR(IF(INDEX('DỮ LIỆU'!$D$3:$D$1052,MATCH($B247,'DỮ LIỆU'!$C$3:$C$1052,0))="","",INDEX('DỮ LIỆU'!$D$3:$D$1052,MATCH($B247,'DỮ LIỆU'!$C$3:$C$1052,0))),""))</f>
        <v/>
      </c>
      <c r="D247" s="21" t="str">
        <f aca="false">IF($B247="","",IFERROR(IF(INDEX('DỮ LIỆU'!$E$3:$E$1052,MATCH($B247,'DỮ LIỆU'!$C$3:$C$1052,0))="","",INDEX('DỮ LIỆU'!$E$3:$E$1052,MATCH($B247,'DỮ LIỆU'!$C$3:$C$1052,0))),""))</f>
        <v/>
      </c>
      <c r="E247" s="21" t="str">
        <f aca="false">IF($B247="","",IFERROR(IF(INDEX('DỮ LIỆU'!$F$3:$F$1052,MATCH($B247,'DỮ LIỆU'!$C$3:$C$1052,0))="","",INDEX('DỮ LIỆU'!$F$3:$F$1052,MATCH($B247,'DỮ LIỆU'!$C$3:$C$1052,0))),""))</f>
        <v/>
      </c>
      <c r="F247" s="21" t="str">
        <f aca="false">IF($B247="","",IFERROR(IF(INDEX('DỮ LIỆU'!$G$3:$G$1052,MATCH($B247,'DỮ LIỆU'!$C$3:$C$1052,0))="","",INDEX('DỮ LIỆU'!$G$3:$G$1052,MATCH($B247,'DỮ LIỆU'!$C$3:$C$1052,0))),""))</f>
        <v/>
      </c>
      <c r="G247" s="13" t="str">
        <f aca="false">IF($B247="","",COUNTIFS('DỮ LIỆU'!$C$3:$C$1052,$B247,'DỮ LIỆU'!$J$3:$J$1052,"&gt;0"))</f>
        <v/>
      </c>
      <c r="H247" s="13" t="str">
        <f aca="false">IF($B247="","",SUMIF('DỮ LIỆU'!$C$3:$C$1052,$B247,'DỮ LIỆU'!$J$3:$J$1052))</f>
        <v/>
      </c>
      <c r="I247" s="13" t="str">
        <f aca="false">IF($B247="","",SUMIF('DỮ LIỆU'!$C$3:$C$1052,$B247,'DỮ LIỆU'!$M$3:$M$1052))</f>
        <v/>
      </c>
      <c r="J247" s="13" t="str">
        <f aca="false">IF($B247="","",SUMIF('DỮ LIỆU'!$C$3:$C$1052,$B247,'DỮ LIỆU'!$N$3:$N$1052))</f>
        <v/>
      </c>
      <c r="K247" s="13" t="str">
        <f aca="false">IF($B247="","",SUMIF('DỮ LIỆU'!$C$3:$C$1052,$B247,'DỮ LIỆU'!$O$3:$O$1052))</f>
        <v/>
      </c>
      <c r="L247" s="13" t="str">
        <f aca="false">IF($B247="","",SUMIF('DỮ LIỆU'!$C$3:$C$1052,$B247,'DỮ LIỆU'!$Q$3:$Q$1052))</f>
        <v/>
      </c>
      <c r="M247" s="41" t="str">
        <f aca="false">IF($B247="","",IF(SUMPRODUCT(MAX(('DỮ LIỆU'!$C$3:$C$1052=$B247)*'DỮ LIỆU'!$Z$3:$Z$1052))=0,"",SUMPRODUCT(MAX(('DỮ LIỆU'!$C$3:$C$1052=$B247)*'DỮ LIỆU'!$Z$3:$Z$1052))))</f>
        <v/>
      </c>
      <c r="N247" s="21" t="str">
        <f aca="false">IF($B247="","",IF($G247=0,"Chưa có đơn",IF(COUNTIFS('DỮ LIỆU'!$C$3:$C$1052,$B247,'DỮ LIỆU'!$K$3:$K$1052,"&gt;0")&gt;0,"Có lấy VAT","Không lấy VAT")))</f>
        <v/>
      </c>
    </row>
    <row r="248" customFormat="false" ht="15" hidden="false" customHeight="false" outlineLevel="0" collapsed="false">
      <c r="A248" s="21" t="str">
        <f aca="false">IF($B248="","",243)</f>
        <v/>
      </c>
      <c r="B248" s="21" t="str">
        <f aca="false">IFERROR(INDEX('DỮ LIỆU'!$C$3:$C$1052,MATCH(243,'DỮ LIỆU'!$W$3:$W$1052,0)),"")</f>
        <v/>
      </c>
      <c r="C248" s="21" t="str">
        <f aca="false">IF($B248="","",IFERROR(IF(INDEX('DỮ LIỆU'!$D$3:$D$1052,MATCH($B248,'DỮ LIỆU'!$C$3:$C$1052,0))="","",INDEX('DỮ LIỆU'!$D$3:$D$1052,MATCH($B248,'DỮ LIỆU'!$C$3:$C$1052,0))),""))</f>
        <v/>
      </c>
      <c r="D248" s="21" t="str">
        <f aca="false">IF($B248="","",IFERROR(IF(INDEX('DỮ LIỆU'!$E$3:$E$1052,MATCH($B248,'DỮ LIỆU'!$C$3:$C$1052,0))="","",INDEX('DỮ LIỆU'!$E$3:$E$1052,MATCH($B248,'DỮ LIỆU'!$C$3:$C$1052,0))),""))</f>
        <v/>
      </c>
      <c r="E248" s="21" t="str">
        <f aca="false">IF($B248="","",IFERROR(IF(INDEX('DỮ LIỆU'!$F$3:$F$1052,MATCH($B248,'DỮ LIỆU'!$C$3:$C$1052,0))="","",INDEX('DỮ LIỆU'!$F$3:$F$1052,MATCH($B248,'DỮ LIỆU'!$C$3:$C$1052,0))),""))</f>
        <v/>
      </c>
      <c r="F248" s="21" t="str">
        <f aca="false">IF($B248="","",IFERROR(IF(INDEX('DỮ LIỆU'!$G$3:$G$1052,MATCH($B248,'DỮ LIỆU'!$C$3:$C$1052,0))="","",INDEX('DỮ LIỆU'!$G$3:$G$1052,MATCH($B248,'DỮ LIỆU'!$C$3:$C$1052,0))),""))</f>
        <v/>
      </c>
      <c r="G248" s="13" t="str">
        <f aca="false">IF($B248="","",COUNTIFS('DỮ LIỆU'!$C$3:$C$1052,$B248,'DỮ LIỆU'!$J$3:$J$1052,"&gt;0"))</f>
        <v/>
      </c>
      <c r="H248" s="13" t="str">
        <f aca="false">IF($B248="","",SUMIF('DỮ LIỆU'!$C$3:$C$1052,$B248,'DỮ LIỆU'!$J$3:$J$1052))</f>
        <v/>
      </c>
      <c r="I248" s="13" t="str">
        <f aca="false">IF($B248="","",SUMIF('DỮ LIỆU'!$C$3:$C$1052,$B248,'DỮ LIỆU'!$M$3:$M$1052))</f>
        <v/>
      </c>
      <c r="J248" s="13" t="str">
        <f aca="false">IF($B248="","",SUMIF('DỮ LIỆU'!$C$3:$C$1052,$B248,'DỮ LIỆU'!$N$3:$N$1052))</f>
        <v/>
      </c>
      <c r="K248" s="13" t="str">
        <f aca="false">IF($B248="","",SUMIF('DỮ LIỆU'!$C$3:$C$1052,$B248,'DỮ LIỆU'!$O$3:$O$1052))</f>
        <v/>
      </c>
      <c r="L248" s="13" t="str">
        <f aca="false">IF($B248="","",SUMIF('DỮ LIỆU'!$C$3:$C$1052,$B248,'DỮ LIỆU'!$Q$3:$Q$1052))</f>
        <v/>
      </c>
      <c r="M248" s="41" t="str">
        <f aca="false">IF($B248="","",IF(SUMPRODUCT(MAX(('DỮ LIỆU'!$C$3:$C$1052=$B248)*'DỮ LIỆU'!$Z$3:$Z$1052))=0,"",SUMPRODUCT(MAX(('DỮ LIỆU'!$C$3:$C$1052=$B248)*'DỮ LIỆU'!$Z$3:$Z$1052))))</f>
        <v/>
      </c>
      <c r="N248" s="21" t="str">
        <f aca="false">IF($B248="","",IF($G248=0,"Chưa có đơn",IF(COUNTIFS('DỮ LIỆU'!$C$3:$C$1052,$B248,'DỮ LIỆU'!$K$3:$K$1052,"&gt;0")&gt;0,"Có lấy VAT","Không lấy VAT")))</f>
        <v/>
      </c>
    </row>
    <row r="249" customFormat="false" ht="15" hidden="false" customHeight="false" outlineLevel="0" collapsed="false">
      <c r="A249" s="21" t="str">
        <f aca="false">IF($B249="","",244)</f>
        <v/>
      </c>
      <c r="B249" s="21" t="str">
        <f aca="false">IFERROR(INDEX('DỮ LIỆU'!$C$3:$C$1052,MATCH(244,'DỮ LIỆU'!$W$3:$W$1052,0)),"")</f>
        <v/>
      </c>
      <c r="C249" s="21" t="str">
        <f aca="false">IF($B249="","",IFERROR(IF(INDEX('DỮ LIỆU'!$D$3:$D$1052,MATCH($B249,'DỮ LIỆU'!$C$3:$C$1052,0))="","",INDEX('DỮ LIỆU'!$D$3:$D$1052,MATCH($B249,'DỮ LIỆU'!$C$3:$C$1052,0))),""))</f>
        <v/>
      </c>
      <c r="D249" s="21" t="str">
        <f aca="false">IF($B249="","",IFERROR(IF(INDEX('DỮ LIỆU'!$E$3:$E$1052,MATCH($B249,'DỮ LIỆU'!$C$3:$C$1052,0))="","",INDEX('DỮ LIỆU'!$E$3:$E$1052,MATCH($B249,'DỮ LIỆU'!$C$3:$C$1052,0))),""))</f>
        <v/>
      </c>
      <c r="E249" s="21" t="str">
        <f aca="false">IF($B249="","",IFERROR(IF(INDEX('DỮ LIỆU'!$F$3:$F$1052,MATCH($B249,'DỮ LIỆU'!$C$3:$C$1052,0))="","",INDEX('DỮ LIỆU'!$F$3:$F$1052,MATCH($B249,'DỮ LIỆU'!$C$3:$C$1052,0))),""))</f>
        <v/>
      </c>
      <c r="F249" s="21" t="str">
        <f aca="false">IF($B249="","",IFERROR(IF(INDEX('DỮ LIỆU'!$G$3:$G$1052,MATCH($B249,'DỮ LIỆU'!$C$3:$C$1052,0))="","",INDEX('DỮ LIỆU'!$G$3:$G$1052,MATCH($B249,'DỮ LIỆU'!$C$3:$C$1052,0))),""))</f>
        <v/>
      </c>
      <c r="G249" s="13" t="str">
        <f aca="false">IF($B249="","",COUNTIFS('DỮ LIỆU'!$C$3:$C$1052,$B249,'DỮ LIỆU'!$J$3:$J$1052,"&gt;0"))</f>
        <v/>
      </c>
      <c r="H249" s="13" t="str">
        <f aca="false">IF($B249="","",SUMIF('DỮ LIỆU'!$C$3:$C$1052,$B249,'DỮ LIỆU'!$J$3:$J$1052))</f>
        <v/>
      </c>
      <c r="I249" s="13" t="str">
        <f aca="false">IF($B249="","",SUMIF('DỮ LIỆU'!$C$3:$C$1052,$B249,'DỮ LIỆU'!$M$3:$M$1052))</f>
        <v/>
      </c>
      <c r="J249" s="13" t="str">
        <f aca="false">IF($B249="","",SUMIF('DỮ LIỆU'!$C$3:$C$1052,$B249,'DỮ LIỆU'!$N$3:$N$1052))</f>
        <v/>
      </c>
      <c r="K249" s="13" t="str">
        <f aca="false">IF($B249="","",SUMIF('DỮ LIỆU'!$C$3:$C$1052,$B249,'DỮ LIỆU'!$O$3:$O$1052))</f>
        <v/>
      </c>
      <c r="L249" s="13" t="str">
        <f aca="false">IF($B249="","",SUMIF('DỮ LIỆU'!$C$3:$C$1052,$B249,'DỮ LIỆU'!$Q$3:$Q$1052))</f>
        <v/>
      </c>
      <c r="M249" s="41" t="str">
        <f aca="false">IF($B249="","",IF(SUMPRODUCT(MAX(('DỮ LIỆU'!$C$3:$C$1052=$B249)*'DỮ LIỆU'!$Z$3:$Z$1052))=0,"",SUMPRODUCT(MAX(('DỮ LIỆU'!$C$3:$C$1052=$B249)*'DỮ LIỆU'!$Z$3:$Z$1052))))</f>
        <v/>
      </c>
      <c r="N249" s="21" t="str">
        <f aca="false">IF($B249="","",IF($G249=0,"Chưa có đơn",IF(COUNTIFS('DỮ LIỆU'!$C$3:$C$1052,$B249,'DỮ LIỆU'!$K$3:$K$1052,"&gt;0")&gt;0,"Có lấy VAT","Không lấy VAT")))</f>
        <v/>
      </c>
    </row>
    <row r="250" customFormat="false" ht="15" hidden="false" customHeight="false" outlineLevel="0" collapsed="false">
      <c r="A250" s="21" t="str">
        <f aca="false">IF($B250="","",245)</f>
        <v/>
      </c>
      <c r="B250" s="21" t="str">
        <f aca="false">IFERROR(INDEX('DỮ LIỆU'!$C$3:$C$1052,MATCH(245,'DỮ LIỆU'!$W$3:$W$1052,0)),"")</f>
        <v/>
      </c>
      <c r="C250" s="21" t="str">
        <f aca="false">IF($B250="","",IFERROR(IF(INDEX('DỮ LIỆU'!$D$3:$D$1052,MATCH($B250,'DỮ LIỆU'!$C$3:$C$1052,0))="","",INDEX('DỮ LIỆU'!$D$3:$D$1052,MATCH($B250,'DỮ LIỆU'!$C$3:$C$1052,0))),""))</f>
        <v/>
      </c>
      <c r="D250" s="21" t="str">
        <f aca="false">IF($B250="","",IFERROR(IF(INDEX('DỮ LIỆU'!$E$3:$E$1052,MATCH($B250,'DỮ LIỆU'!$C$3:$C$1052,0))="","",INDEX('DỮ LIỆU'!$E$3:$E$1052,MATCH($B250,'DỮ LIỆU'!$C$3:$C$1052,0))),""))</f>
        <v/>
      </c>
      <c r="E250" s="21" t="str">
        <f aca="false">IF($B250="","",IFERROR(IF(INDEX('DỮ LIỆU'!$F$3:$F$1052,MATCH($B250,'DỮ LIỆU'!$C$3:$C$1052,0))="","",INDEX('DỮ LIỆU'!$F$3:$F$1052,MATCH($B250,'DỮ LIỆU'!$C$3:$C$1052,0))),""))</f>
        <v/>
      </c>
      <c r="F250" s="21" t="str">
        <f aca="false">IF($B250="","",IFERROR(IF(INDEX('DỮ LIỆU'!$G$3:$G$1052,MATCH($B250,'DỮ LIỆU'!$C$3:$C$1052,0))="","",INDEX('DỮ LIỆU'!$G$3:$G$1052,MATCH($B250,'DỮ LIỆU'!$C$3:$C$1052,0))),""))</f>
        <v/>
      </c>
      <c r="G250" s="13" t="str">
        <f aca="false">IF($B250="","",COUNTIFS('DỮ LIỆU'!$C$3:$C$1052,$B250,'DỮ LIỆU'!$J$3:$J$1052,"&gt;0"))</f>
        <v/>
      </c>
      <c r="H250" s="13" t="str">
        <f aca="false">IF($B250="","",SUMIF('DỮ LIỆU'!$C$3:$C$1052,$B250,'DỮ LIỆU'!$J$3:$J$1052))</f>
        <v/>
      </c>
      <c r="I250" s="13" t="str">
        <f aca="false">IF($B250="","",SUMIF('DỮ LIỆU'!$C$3:$C$1052,$B250,'DỮ LIỆU'!$M$3:$M$1052))</f>
        <v/>
      </c>
      <c r="J250" s="13" t="str">
        <f aca="false">IF($B250="","",SUMIF('DỮ LIỆU'!$C$3:$C$1052,$B250,'DỮ LIỆU'!$N$3:$N$1052))</f>
        <v/>
      </c>
      <c r="K250" s="13" t="str">
        <f aca="false">IF($B250="","",SUMIF('DỮ LIỆU'!$C$3:$C$1052,$B250,'DỮ LIỆU'!$O$3:$O$1052))</f>
        <v/>
      </c>
      <c r="L250" s="13" t="str">
        <f aca="false">IF($B250="","",SUMIF('DỮ LIỆU'!$C$3:$C$1052,$B250,'DỮ LIỆU'!$Q$3:$Q$1052))</f>
        <v/>
      </c>
      <c r="M250" s="41" t="str">
        <f aca="false">IF($B250="","",IF(SUMPRODUCT(MAX(('DỮ LIỆU'!$C$3:$C$1052=$B250)*'DỮ LIỆU'!$Z$3:$Z$1052))=0,"",SUMPRODUCT(MAX(('DỮ LIỆU'!$C$3:$C$1052=$B250)*'DỮ LIỆU'!$Z$3:$Z$1052))))</f>
        <v/>
      </c>
      <c r="N250" s="21" t="str">
        <f aca="false">IF($B250="","",IF($G250=0,"Chưa có đơn",IF(COUNTIFS('DỮ LIỆU'!$C$3:$C$1052,$B250,'DỮ LIỆU'!$K$3:$K$1052,"&gt;0")&gt;0,"Có lấy VAT","Không lấy VAT")))</f>
        <v/>
      </c>
    </row>
    <row r="251" customFormat="false" ht="15" hidden="false" customHeight="false" outlineLevel="0" collapsed="false">
      <c r="A251" s="21" t="str">
        <f aca="false">IF($B251="","",246)</f>
        <v/>
      </c>
      <c r="B251" s="21" t="str">
        <f aca="false">IFERROR(INDEX('DỮ LIỆU'!$C$3:$C$1052,MATCH(246,'DỮ LIỆU'!$W$3:$W$1052,0)),"")</f>
        <v/>
      </c>
      <c r="C251" s="21" t="str">
        <f aca="false">IF($B251="","",IFERROR(IF(INDEX('DỮ LIỆU'!$D$3:$D$1052,MATCH($B251,'DỮ LIỆU'!$C$3:$C$1052,0))="","",INDEX('DỮ LIỆU'!$D$3:$D$1052,MATCH($B251,'DỮ LIỆU'!$C$3:$C$1052,0))),""))</f>
        <v/>
      </c>
      <c r="D251" s="21" t="str">
        <f aca="false">IF($B251="","",IFERROR(IF(INDEX('DỮ LIỆU'!$E$3:$E$1052,MATCH($B251,'DỮ LIỆU'!$C$3:$C$1052,0))="","",INDEX('DỮ LIỆU'!$E$3:$E$1052,MATCH($B251,'DỮ LIỆU'!$C$3:$C$1052,0))),""))</f>
        <v/>
      </c>
      <c r="E251" s="21" t="str">
        <f aca="false">IF($B251="","",IFERROR(IF(INDEX('DỮ LIỆU'!$F$3:$F$1052,MATCH($B251,'DỮ LIỆU'!$C$3:$C$1052,0))="","",INDEX('DỮ LIỆU'!$F$3:$F$1052,MATCH($B251,'DỮ LIỆU'!$C$3:$C$1052,0))),""))</f>
        <v/>
      </c>
      <c r="F251" s="21" t="str">
        <f aca="false">IF($B251="","",IFERROR(IF(INDEX('DỮ LIỆU'!$G$3:$G$1052,MATCH($B251,'DỮ LIỆU'!$C$3:$C$1052,0))="","",INDEX('DỮ LIỆU'!$G$3:$G$1052,MATCH($B251,'DỮ LIỆU'!$C$3:$C$1052,0))),""))</f>
        <v/>
      </c>
      <c r="G251" s="13" t="str">
        <f aca="false">IF($B251="","",COUNTIFS('DỮ LIỆU'!$C$3:$C$1052,$B251,'DỮ LIỆU'!$J$3:$J$1052,"&gt;0"))</f>
        <v/>
      </c>
      <c r="H251" s="13" t="str">
        <f aca="false">IF($B251="","",SUMIF('DỮ LIỆU'!$C$3:$C$1052,$B251,'DỮ LIỆU'!$J$3:$J$1052))</f>
        <v/>
      </c>
      <c r="I251" s="13" t="str">
        <f aca="false">IF($B251="","",SUMIF('DỮ LIỆU'!$C$3:$C$1052,$B251,'DỮ LIỆU'!$M$3:$M$1052))</f>
        <v/>
      </c>
      <c r="J251" s="13" t="str">
        <f aca="false">IF($B251="","",SUMIF('DỮ LIỆU'!$C$3:$C$1052,$B251,'DỮ LIỆU'!$N$3:$N$1052))</f>
        <v/>
      </c>
      <c r="K251" s="13" t="str">
        <f aca="false">IF($B251="","",SUMIF('DỮ LIỆU'!$C$3:$C$1052,$B251,'DỮ LIỆU'!$O$3:$O$1052))</f>
        <v/>
      </c>
      <c r="L251" s="13" t="str">
        <f aca="false">IF($B251="","",SUMIF('DỮ LIỆU'!$C$3:$C$1052,$B251,'DỮ LIỆU'!$Q$3:$Q$1052))</f>
        <v/>
      </c>
      <c r="M251" s="41" t="str">
        <f aca="false">IF($B251="","",IF(SUMPRODUCT(MAX(('DỮ LIỆU'!$C$3:$C$1052=$B251)*'DỮ LIỆU'!$Z$3:$Z$1052))=0,"",SUMPRODUCT(MAX(('DỮ LIỆU'!$C$3:$C$1052=$B251)*'DỮ LIỆU'!$Z$3:$Z$1052))))</f>
        <v/>
      </c>
      <c r="N251" s="21" t="str">
        <f aca="false">IF($B251="","",IF($G251=0,"Chưa có đơn",IF(COUNTIFS('DỮ LIỆU'!$C$3:$C$1052,$B251,'DỮ LIỆU'!$K$3:$K$1052,"&gt;0")&gt;0,"Có lấy VAT","Không lấy VAT")))</f>
        <v/>
      </c>
    </row>
    <row r="252" customFormat="false" ht="15" hidden="false" customHeight="false" outlineLevel="0" collapsed="false">
      <c r="A252" s="21" t="str">
        <f aca="false">IF($B252="","",247)</f>
        <v/>
      </c>
      <c r="B252" s="21" t="str">
        <f aca="false">IFERROR(INDEX('DỮ LIỆU'!$C$3:$C$1052,MATCH(247,'DỮ LIỆU'!$W$3:$W$1052,0)),"")</f>
        <v/>
      </c>
      <c r="C252" s="21" t="str">
        <f aca="false">IF($B252="","",IFERROR(IF(INDEX('DỮ LIỆU'!$D$3:$D$1052,MATCH($B252,'DỮ LIỆU'!$C$3:$C$1052,0))="","",INDEX('DỮ LIỆU'!$D$3:$D$1052,MATCH($B252,'DỮ LIỆU'!$C$3:$C$1052,0))),""))</f>
        <v/>
      </c>
      <c r="D252" s="21" t="str">
        <f aca="false">IF($B252="","",IFERROR(IF(INDEX('DỮ LIỆU'!$E$3:$E$1052,MATCH($B252,'DỮ LIỆU'!$C$3:$C$1052,0))="","",INDEX('DỮ LIỆU'!$E$3:$E$1052,MATCH($B252,'DỮ LIỆU'!$C$3:$C$1052,0))),""))</f>
        <v/>
      </c>
      <c r="E252" s="21" t="str">
        <f aca="false">IF($B252="","",IFERROR(IF(INDEX('DỮ LIỆU'!$F$3:$F$1052,MATCH($B252,'DỮ LIỆU'!$C$3:$C$1052,0))="","",INDEX('DỮ LIỆU'!$F$3:$F$1052,MATCH($B252,'DỮ LIỆU'!$C$3:$C$1052,0))),""))</f>
        <v/>
      </c>
      <c r="F252" s="21" t="str">
        <f aca="false">IF($B252="","",IFERROR(IF(INDEX('DỮ LIỆU'!$G$3:$G$1052,MATCH($B252,'DỮ LIỆU'!$C$3:$C$1052,0))="","",INDEX('DỮ LIỆU'!$G$3:$G$1052,MATCH($B252,'DỮ LIỆU'!$C$3:$C$1052,0))),""))</f>
        <v/>
      </c>
      <c r="G252" s="13" t="str">
        <f aca="false">IF($B252="","",COUNTIFS('DỮ LIỆU'!$C$3:$C$1052,$B252,'DỮ LIỆU'!$J$3:$J$1052,"&gt;0"))</f>
        <v/>
      </c>
      <c r="H252" s="13" t="str">
        <f aca="false">IF($B252="","",SUMIF('DỮ LIỆU'!$C$3:$C$1052,$B252,'DỮ LIỆU'!$J$3:$J$1052))</f>
        <v/>
      </c>
      <c r="I252" s="13" t="str">
        <f aca="false">IF($B252="","",SUMIF('DỮ LIỆU'!$C$3:$C$1052,$B252,'DỮ LIỆU'!$M$3:$M$1052))</f>
        <v/>
      </c>
      <c r="J252" s="13" t="str">
        <f aca="false">IF($B252="","",SUMIF('DỮ LIỆU'!$C$3:$C$1052,$B252,'DỮ LIỆU'!$N$3:$N$1052))</f>
        <v/>
      </c>
      <c r="K252" s="13" t="str">
        <f aca="false">IF($B252="","",SUMIF('DỮ LIỆU'!$C$3:$C$1052,$B252,'DỮ LIỆU'!$O$3:$O$1052))</f>
        <v/>
      </c>
      <c r="L252" s="13" t="str">
        <f aca="false">IF($B252="","",SUMIF('DỮ LIỆU'!$C$3:$C$1052,$B252,'DỮ LIỆU'!$Q$3:$Q$1052))</f>
        <v/>
      </c>
      <c r="M252" s="41" t="str">
        <f aca="false">IF($B252="","",IF(SUMPRODUCT(MAX(('DỮ LIỆU'!$C$3:$C$1052=$B252)*'DỮ LIỆU'!$Z$3:$Z$1052))=0,"",SUMPRODUCT(MAX(('DỮ LIỆU'!$C$3:$C$1052=$B252)*'DỮ LIỆU'!$Z$3:$Z$1052))))</f>
        <v/>
      </c>
      <c r="N252" s="21" t="str">
        <f aca="false">IF($B252="","",IF($G252=0,"Chưa có đơn",IF(COUNTIFS('DỮ LIỆU'!$C$3:$C$1052,$B252,'DỮ LIỆU'!$K$3:$K$1052,"&gt;0")&gt;0,"Có lấy VAT","Không lấy VAT")))</f>
        <v/>
      </c>
    </row>
    <row r="253" customFormat="false" ht="15" hidden="false" customHeight="false" outlineLevel="0" collapsed="false">
      <c r="A253" s="21" t="str">
        <f aca="false">IF($B253="","",248)</f>
        <v/>
      </c>
      <c r="B253" s="21" t="str">
        <f aca="false">IFERROR(INDEX('DỮ LIỆU'!$C$3:$C$1052,MATCH(248,'DỮ LIỆU'!$W$3:$W$1052,0)),"")</f>
        <v/>
      </c>
      <c r="C253" s="21" t="str">
        <f aca="false">IF($B253="","",IFERROR(IF(INDEX('DỮ LIỆU'!$D$3:$D$1052,MATCH($B253,'DỮ LIỆU'!$C$3:$C$1052,0))="","",INDEX('DỮ LIỆU'!$D$3:$D$1052,MATCH($B253,'DỮ LIỆU'!$C$3:$C$1052,0))),""))</f>
        <v/>
      </c>
      <c r="D253" s="21" t="str">
        <f aca="false">IF($B253="","",IFERROR(IF(INDEX('DỮ LIỆU'!$E$3:$E$1052,MATCH($B253,'DỮ LIỆU'!$C$3:$C$1052,0))="","",INDEX('DỮ LIỆU'!$E$3:$E$1052,MATCH($B253,'DỮ LIỆU'!$C$3:$C$1052,0))),""))</f>
        <v/>
      </c>
      <c r="E253" s="21" t="str">
        <f aca="false">IF($B253="","",IFERROR(IF(INDEX('DỮ LIỆU'!$F$3:$F$1052,MATCH($B253,'DỮ LIỆU'!$C$3:$C$1052,0))="","",INDEX('DỮ LIỆU'!$F$3:$F$1052,MATCH($B253,'DỮ LIỆU'!$C$3:$C$1052,0))),""))</f>
        <v/>
      </c>
      <c r="F253" s="21" t="str">
        <f aca="false">IF($B253="","",IFERROR(IF(INDEX('DỮ LIỆU'!$G$3:$G$1052,MATCH($B253,'DỮ LIỆU'!$C$3:$C$1052,0))="","",INDEX('DỮ LIỆU'!$G$3:$G$1052,MATCH($B253,'DỮ LIỆU'!$C$3:$C$1052,0))),""))</f>
        <v/>
      </c>
      <c r="G253" s="13" t="str">
        <f aca="false">IF($B253="","",COUNTIFS('DỮ LIỆU'!$C$3:$C$1052,$B253,'DỮ LIỆU'!$J$3:$J$1052,"&gt;0"))</f>
        <v/>
      </c>
      <c r="H253" s="13" t="str">
        <f aca="false">IF($B253="","",SUMIF('DỮ LIỆU'!$C$3:$C$1052,$B253,'DỮ LIỆU'!$J$3:$J$1052))</f>
        <v/>
      </c>
      <c r="I253" s="13" t="str">
        <f aca="false">IF($B253="","",SUMIF('DỮ LIỆU'!$C$3:$C$1052,$B253,'DỮ LIỆU'!$M$3:$M$1052))</f>
        <v/>
      </c>
      <c r="J253" s="13" t="str">
        <f aca="false">IF($B253="","",SUMIF('DỮ LIỆU'!$C$3:$C$1052,$B253,'DỮ LIỆU'!$N$3:$N$1052))</f>
        <v/>
      </c>
      <c r="K253" s="13" t="str">
        <f aca="false">IF($B253="","",SUMIF('DỮ LIỆU'!$C$3:$C$1052,$B253,'DỮ LIỆU'!$O$3:$O$1052))</f>
        <v/>
      </c>
      <c r="L253" s="13" t="str">
        <f aca="false">IF($B253="","",SUMIF('DỮ LIỆU'!$C$3:$C$1052,$B253,'DỮ LIỆU'!$Q$3:$Q$1052))</f>
        <v/>
      </c>
      <c r="M253" s="41" t="str">
        <f aca="false">IF($B253="","",IF(SUMPRODUCT(MAX(('DỮ LIỆU'!$C$3:$C$1052=$B253)*'DỮ LIỆU'!$Z$3:$Z$1052))=0,"",SUMPRODUCT(MAX(('DỮ LIỆU'!$C$3:$C$1052=$B253)*'DỮ LIỆU'!$Z$3:$Z$1052))))</f>
        <v/>
      </c>
      <c r="N253" s="21" t="str">
        <f aca="false">IF($B253="","",IF($G253=0,"Chưa có đơn",IF(COUNTIFS('DỮ LIỆU'!$C$3:$C$1052,$B253,'DỮ LIỆU'!$K$3:$K$1052,"&gt;0")&gt;0,"Có lấy VAT","Không lấy VAT")))</f>
        <v/>
      </c>
    </row>
    <row r="254" customFormat="false" ht="15" hidden="false" customHeight="false" outlineLevel="0" collapsed="false">
      <c r="A254" s="21" t="str">
        <f aca="false">IF($B254="","",249)</f>
        <v/>
      </c>
      <c r="B254" s="21" t="str">
        <f aca="false">IFERROR(INDEX('DỮ LIỆU'!$C$3:$C$1052,MATCH(249,'DỮ LIỆU'!$W$3:$W$1052,0)),"")</f>
        <v/>
      </c>
      <c r="C254" s="21" t="str">
        <f aca="false">IF($B254="","",IFERROR(IF(INDEX('DỮ LIỆU'!$D$3:$D$1052,MATCH($B254,'DỮ LIỆU'!$C$3:$C$1052,0))="","",INDEX('DỮ LIỆU'!$D$3:$D$1052,MATCH($B254,'DỮ LIỆU'!$C$3:$C$1052,0))),""))</f>
        <v/>
      </c>
      <c r="D254" s="21" t="str">
        <f aca="false">IF($B254="","",IFERROR(IF(INDEX('DỮ LIỆU'!$E$3:$E$1052,MATCH($B254,'DỮ LIỆU'!$C$3:$C$1052,0))="","",INDEX('DỮ LIỆU'!$E$3:$E$1052,MATCH($B254,'DỮ LIỆU'!$C$3:$C$1052,0))),""))</f>
        <v/>
      </c>
      <c r="E254" s="21" t="str">
        <f aca="false">IF($B254="","",IFERROR(IF(INDEX('DỮ LIỆU'!$F$3:$F$1052,MATCH($B254,'DỮ LIỆU'!$C$3:$C$1052,0))="","",INDEX('DỮ LIỆU'!$F$3:$F$1052,MATCH($B254,'DỮ LIỆU'!$C$3:$C$1052,0))),""))</f>
        <v/>
      </c>
      <c r="F254" s="21" t="str">
        <f aca="false">IF($B254="","",IFERROR(IF(INDEX('DỮ LIỆU'!$G$3:$G$1052,MATCH($B254,'DỮ LIỆU'!$C$3:$C$1052,0))="","",INDEX('DỮ LIỆU'!$G$3:$G$1052,MATCH($B254,'DỮ LIỆU'!$C$3:$C$1052,0))),""))</f>
        <v/>
      </c>
      <c r="G254" s="13" t="str">
        <f aca="false">IF($B254="","",COUNTIFS('DỮ LIỆU'!$C$3:$C$1052,$B254,'DỮ LIỆU'!$J$3:$J$1052,"&gt;0"))</f>
        <v/>
      </c>
      <c r="H254" s="13" t="str">
        <f aca="false">IF($B254="","",SUMIF('DỮ LIỆU'!$C$3:$C$1052,$B254,'DỮ LIỆU'!$J$3:$J$1052))</f>
        <v/>
      </c>
      <c r="I254" s="13" t="str">
        <f aca="false">IF($B254="","",SUMIF('DỮ LIỆU'!$C$3:$C$1052,$B254,'DỮ LIỆU'!$M$3:$M$1052))</f>
        <v/>
      </c>
      <c r="J254" s="13" t="str">
        <f aca="false">IF($B254="","",SUMIF('DỮ LIỆU'!$C$3:$C$1052,$B254,'DỮ LIỆU'!$N$3:$N$1052))</f>
        <v/>
      </c>
      <c r="K254" s="13" t="str">
        <f aca="false">IF($B254="","",SUMIF('DỮ LIỆU'!$C$3:$C$1052,$B254,'DỮ LIỆU'!$O$3:$O$1052))</f>
        <v/>
      </c>
      <c r="L254" s="13" t="str">
        <f aca="false">IF($B254="","",SUMIF('DỮ LIỆU'!$C$3:$C$1052,$B254,'DỮ LIỆU'!$Q$3:$Q$1052))</f>
        <v/>
      </c>
      <c r="M254" s="41" t="str">
        <f aca="false">IF($B254="","",IF(SUMPRODUCT(MAX(('DỮ LIỆU'!$C$3:$C$1052=$B254)*'DỮ LIỆU'!$Z$3:$Z$1052))=0,"",SUMPRODUCT(MAX(('DỮ LIỆU'!$C$3:$C$1052=$B254)*'DỮ LIỆU'!$Z$3:$Z$1052))))</f>
        <v/>
      </c>
      <c r="N254" s="21" t="str">
        <f aca="false">IF($B254="","",IF($G254=0,"Chưa có đơn",IF(COUNTIFS('DỮ LIỆU'!$C$3:$C$1052,$B254,'DỮ LIỆU'!$K$3:$K$1052,"&gt;0")&gt;0,"Có lấy VAT","Không lấy VAT")))</f>
        <v/>
      </c>
    </row>
    <row r="255" customFormat="false" ht="15" hidden="false" customHeight="false" outlineLevel="0" collapsed="false">
      <c r="A255" s="21" t="str">
        <f aca="false">IF($B255="","",250)</f>
        <v/>
      </c>
      <c r="B255" s="21" t="str">
        <f aca="false">IFERROR(INDEX('DỮ LIỆU'!$C$3:$C$1052,MATCH(250,'DỮ LIỆU'!$W$3:$W$1052,0)),"")</f>
        <v/>
      </c>
      <c r="C255" s="21" t="str">
        <f aca="false">IF($B255="","",IFERROR(IF(INDEX('DỮ LIỆU'!$D$3:$D$1052,MATCH($B255,'DỮ LIỆU'!$C$3:$C$1052,0))="","",INDEX('DỮ LIỆU'!$D$3:$D$1052,MATCH($B255,'DỮ LIỆU'!$C$3:$C$1052,0))),""))</f>
        <v/>
      </c>
      <c r="D255" s="21" t="str">
        <f aca="false">IF($B255="","",IFERROR(IF(INDEX('DỮ LIỆU'!$E$3:$E$1052,MATCH($B255,'DỮ LIỆU'!$C$3:$C$1052,0))="","",INDEX('DỮ LIỆU'!$E$3:$E$1052,MATCH($B255,'DỮ LIỆU'!$C$3:$C$1052,0))),""))</f>
        <v/>
      </c>
      <c r="E255" s="21" t="str">
        <f aca="false">IF($B255="","",IFERROR(IF(INDEX('DỮ LIỆU'!$F$3:$F$1052,MATCH($B255,'DỮ LIỆU'!$C$3:$C$1052,0))="","",INDEX('DỮ LIỆU'!$F$3:$F$1052,MATCH($B255,'DỮ LIỆU'!$C$3:$C$1052,0))),""))</f>
        <v/>
      </c>
      <c r="F255" s="21" t="str">
        <f aca="false">IF($B255="","",IFERROR(IF(INDEX('DỮ LIỆU'!$G$3:$G$1052,MATCH($B255,'DỮ LIỆU'!$C$3:$C$1052,0))="","",INDEX('DỮ LIỆU'!$G$3:$G$1052,MATCH($B255,'DỮ LIỆU'!$C$3:$C$1052,0))),""))</f>
        <v/>
      </c>
      <c r="G255" s="13" t="str">
        <f aca="false">IF($B255="","",COUNTIFS('DỮ LIỆU'!$C$3:$C$1052,$B255,'DỮ LIỆU'!$J$3:$J$1052,"&gt;0"))</f>
        <v/>
      </c>
      <c r="H255" s="13" t="str">
        <f aca="false">IF($B255="","",SUMIF('DỮ LIỆU'!$C$3:$C$1052,$B255,'DỮ LIỆU'!$J$3:$J$1052))</f>
        <v/>
      </c>
      <c r="I255" s="13" t="str">
        <f aca="false">IF($B255="","",SUMIF('DỮ LIỆU'!$C$3:$C$1052,$B255,'DỮ LIỆU'!$M$3:$M$1052))</f>
        <v/>
      </c>
      <c r="J255" s="13" t="str">
        <f aca="false">IF($B255="","",SUMIF('DỮ LIỆU'!$C$3:$C$1052,$B255,'DỮ LIỆU'!$N$3:$N$1052))</f>
        <v/>
      </c>
      <c r="K255" s="13" t="str">
        <f aca="false">IF($B255="","",SUMIF('DỮ LIỆU'!$C$3:$C$1052,$B255,'DỮ LIỆU'!$O$3:$O$1052))</f>
        <v/>
      </c>
      <c r="L255" s="13" t="str">
        <f aca="false">IF($B255="","",SUMIF('DỮ LIỆU'!$C$3:$C$1052,$B255,'DỮ LIỆU'!$Q$3:$Q$1052))</f>
        <v/>
      </c>
      <c r="M255" s="41" t="str">
        <f aca="false">IF($B255="","",IF(SUMPRODUCT(MAX(('DỮ LIỆU'!$C$3:$C$1052=$B255)*'DỮ LIỆU'!$Z$3:$Z$1052))=0,"",SUMPRODUCT(MAX(('DỮ LIỆU'!$C$3:$C$1052=$B255)*'DỮ LIỆU'!$Z$3:$Z$1052))))</f>
        <v/>
      </c>
      <c r="N255" s="21" t="str">
        <f aca="false">IF($B255="","",IF($G255=0,"Chưa có đơn",IF(COUNTIFS('DỮ LIỆU'!$C$3:$C$1052,$B255,'DỮ LIỆU'!$K$3:$K$1052,"&gt;0")&gt;0,"Có lấy VAT","Không lấy VAT")))</f>
        <v/>
      </c>
    </row>
    <row r="256" customFormat="false" ht="15" hidden="false" customHeight="false" outlineLevel="0" collapsed="false">
      <c r="A256" s="21" t="str">
        <f aca="false">IF($B256="","",251)</f>
        <v/>
      </c>
      <c r="B256" s="21" t="str">
        <f aca="false">IFERROR(INDEX('DỮ LIỆU'!$C$3:$C$1052,MATCH(251,'DỮ LIỆU'!$W$3:$W$1052,0)),"")</f>
        <v/>
      </c>
      <c r="C256" s="21" t="str">
        <f aca="false">IF($B256="","",IFERROR(IF(INDEX('DỮ LIỆU'!$D$3:$D$1052,MATCH($B256,'DỮ LIỆU'!$C$3:$C$1052,0))="","",INDEX('DỮ LIỆU'!$D$3:$D$1052,MATCH($B256,'DỮ LIỆU'!$C$3:$C$1052,0))),""))</f>
        <v/>
      </c>
      <c r="D256" s="21" t="str">
        <f aca="false">IF($B256="","",IFERROR(IF(INDEX('DỮ LIỆU'!$E$3:$E$1052,MATCH($B256,'DỮ LIỆU'!$C$3:$C$1052,0))="","",INDEX('DỮ LIỆU'!$E$3:$E$1052,MATCH($B256,'DỮ LIỆU'!$C$3:$C$1052,0))),""))</f>
        <v/>
      </c>
      <c r="E256" s="21" t="str">
        <f aca="false">IF($B256="","",IFERROR(IF(INDEX('DỮ LIỆU'!$F$3:$F$1052,MATCH($B256,'DỮ LIỆU'!$C$3:$C$1052,0))="","",INDEX('DỮ LIỆU'!$F$3:$F$1052,MATCH($B256,'DỮ LIỆU'!$C$3:$C$1052,0))),""))</f>
        <v/>
      </c>
      <c r="F256" s="21" t="str">
        <f aca="false">IF($B256="","",IFERROR(IF(INDEX('DỮ LIỆU'!$G$3:$G$1052,MATCH($B256,'DỮ LIỆU'!$C$3:$C$1052,0))="","",INDEX('DỮ LIỆU'!$G$3:$G$1052,MATCH($B256,'DỮ LIỆU'!$C$3:$C$1052,0))),""))</f>
        <v/>
      </c>
      <c r="G256" s="13" t="str">
        <f aca="false">IF($B256="","",COUNTIFS('DỮ LIỆU'!$C$3:$C$1052,$B256,'DỮ LIỆU'!$J$3:$J$1052,"&gt;0"))</f>
        <v/>
      </c>
      <c r="H256" s="13" t="str">
        <f aca="false">IF($B256="","",SUMIF('DỮ LIỆU'!$C$3:$C$1052,$B256,'DỮ LIỆU'!$J$3:$J$1052))</f>
        <v/>
      </c>
      <c r="I256" s="13" t="str">
        <f aca="false">IF($B256="","",SUMIF('DỮ LIỆU'!$C$3:$C$1052,$B256,'DỮ LIỆU'!$M$3:$M$1052))</f>
        <v/>
      </c>
      <c r="J256" s="13" t="str">
        <f aca="false">IF($B256="","",SUMIF('DỮ LIỆU'!$C$3:$C$1052,$B256,'DỮ LIỆU'!$N$3:$N$1052))</f>
        <v/>
      </c>
      <c r="K256" s="13" t="str">
        <f aca="false">IF($B256="","",SUMIF('DỮ LIỆU'!$C$3:$C$1052,$B256,'DỮ LIỆU'!$O$3:$O$1052))</f>
        <v/>
      </c>
      <c r="L256" s="13" t="str">
        <f aca="false">IF($B256="","",SUMIF('DỮ LIỆU'!$C$3:$C$1052,$B256,'DỮ LIỆU'!$Q$3:$Q$1052))</f>
        <v/>
      </c>
      <c r="M256" s="41" t="str">
        <f aca="false">IF($B256="","",IF(SUMPRODUCT(MAX(('DỮ LIỆU'!$C$3:$C$1052=$B256)*'DỮ LIỆU'!$Z$3:$Z$1052))=0,"",SUMPRODUCT(MAX(('DỮ LIỆU'!$C$3:$C$1052=$B256)*'DỮ LIỆU'!$Z$3:$Z$1052))))</f>
        <v/>
      </c>
      <c r="N256" s="21" t="str">
        <f aca="false">IF($B256="","",IF($G256=0,"Chưa có đơn",IF(COUNTIFS('DỮ LIỆU'!$C$3:$C$1052,$B256,'DỮ LIỆU'!$K$3:$K$1052,"&gt;0")&gt;0,"Có lấy VAT","Không lấy VAT")))</f>
        <v/>
      </c>
    </row>
    <row r="257" customFormat="false" ht="15" hidden="false" customHeight="false" outlineLevel="0" collapsed="false">
      <c r="A257" s="21" t="str">
        <f aca="false">IF($B257="","",252)</f>
        <v/>
      </c>
      <c r="B257" s="21" t="str">
        <f aca="false">IFERROR(INDEX('DỮ LIỆU'!$C$3:$C$1052,MATCH(252,'DỮ LIỆU'!$W$3:$W$1052,0)),"")</f>
        <v/>
      </c>
      <c r="C257" s="21" t="str">
        <f aca="false">IF($B257="","",IFERROR(IF(INDEX('DỮ LIỆU'!$D$3:$D$1052,MATCH($B257,'DỮ LIỆU'!$C$3:$C$1052,0))="","",INDEX('DỮ LIỆU'!$D$3:$D$1052,MATCH($B257,'DỮ LIỆU'!$C$3:$C$1052,0))),""))</f>
        <v/>
      </c>
      <c r="D257" s="21" t="str">
        <f aca="false">IF($B257="","",IFERROR(IF(INDEX('DỮ LIỆU'!$E$3:$E$1052,MATCH($B257,'DỮ LIỆU'!$C$3:$C$1052,0))="","",INDEX('DỮ LIỆU'!$E$3:$E$1052,MATCH($B257,'DỮ LIỆU'!$C$3:$C$1052,0))),""))</f>
        <v/>
      </c>
      <c r="E257" s="21" t="str">
        <f aca="false">IF($B257="","",IFERROR(IF(INDEX('DỮ LIỆU'!$F$3:$F$1052,MATCH($B257,'DỮ LIỆU'!$C$3:$C$1052,0))="","",INDEX('DỮ LIỆU'!$F$3:$F$1052,MATCH($B257,'DỮ LIỆU'!$C$3:$C$1052,0))),""))</f>
        <v/>
      </c>
      <c r="F257" s="21" t="str">
        <f aca="false">IF($B257="","",IFERROR(IF(INDEX('DỮ LIỆU'!$G$3:$G$1052,MATCH($B257,'DỮ LIỆU'!$C$3:$C$1052,0))="","",INDEX('DỮ LIỆU'!$G$3:$G$1052,MATCH($B257,'DỮ LIỆU'!$C$3:$C$1052,0))),""))</f>
        <v/>
      </c>
      <c r="G257" s="13" t="str">
        <f aca="false">IF($B257="","",COUNTIFS('DỮ LIỆU'!$C$3:$C$1052,$B257,'DỮ LIỆU'!$J$3:$J$1052,"&gt;0"))</f>
        <v/>
      </c>
      <c r="H257" s="13" t="str">
        <f aca="false">IF($B257="","",SUMIF('DỮ LIỆU'!$C$3:$C$1052,$B257,'DỮ LIỆU'!$J$3:$J$1052))</f>
        <v/>
      </c>
      <c r="I257" s="13" t="str">
        <f aca="false">IF($B257="","",SUMIF('DỮ LIỆU'!$C$3:$C$1052,$B257,'DỮ LIỆU'!$M$3:$M$1052))</f>
        <v/>
      </c>
      <c r="J257" s="13" t="str">
        <f aca="false">IF($B257="","",SUMIF('DỮ LIỆU'!$C$3:$C$1052,$B257,'DỮ LIỆU'!$N$3:$N$1052))</f>
        <v/>
      </c>
      <c r="K257" s="13" t="str">
        <f aca="false">IF($B257="","",SUMIF('DỮ LIỆU'!$C$3:$C$1052,$B257,'DỮ LIỆU'!$O$3:$O$1052))</f>
        <v/>
      </c>
      <c r="L257" s="13" t="str">
        <f aca="false">IF($B257="","",SUMIF('DỮ LIỆU'!$C$3:$C$1052,$B257,'DỮ LIỆU'!$Q$3:$Q$1052))</f>
        <v/>
      </c>
      <c r="M257" s="41" t="str">
        <f aca="false">IF($B257="","",IF(SUMPRODUCT(MAX(('DỮ LIỆU'!$C$3:$C$1052=$B257)*'DỮ LIỆU'!$Z$3:$Z$1052))=0,"",SUMPRODUCT(MAX(('DỮ LIỆU'!$C$3:$C$1052=$B257)*'DỮ LIỆU'!$Z$3:$Z$1052))))</f>
        <v/>
      </c>
      <c r="N257" s="21" t="str">
        <f aca="false">IF($B257="","",IF($G257=0,"Chưa có đơn",IF(COUNTIFS('DỮ LIỆU'!$C$3:$C$1052,$B257,'DỮ LIỆU'!$K$3:$K$1052,"&gt;0")&gt;0,"Có lấy VAT","Không lấy VAT")))</f>
        <v/>
      </c>
    </row>
    <row r="258" customFormat="false" ht="15" hidden="false" customHeight="false" outlineLevel="0" collapsed="false">
      <c r="A258" s="21" t="str">
        <f aca="false">IF($B258="","",253)</f>
        <v/>
      </c>
      <c r="B258" s="21" t="str">
        <f aca="false">IFERROR(INDEX('DỮ LIỆU'!$C$3:$C$1052,MATCH(253,'DỮ LIỆU'!$W$3:$W$1052,0)),"")</f>
        <v/>
      </c>
      <c r="C258" s="21" t="str">
        <f aca="false">IF($B258="","",IFERROR(IF(INDEX('DỮ LIỆU'!$D$3:$D$1052,MATCH($B258,'DỮ LIỆU'!$C$3:$C$1052,0))="","",INDEX('DỮ LIỆU'!$D$3:$D$1052,MATCH($B258,'DỮ LIỆU'!$C$3:$C$1052,0))),""))</f>
        <v/>
      </c>
      <c r="D258" s="21" t="str">
        <f aca="false">IF($B258="","",IFERROR(IF(INDEX('DỮ LIỆU'!$E$3:$E$1052,MATCH($B258,'DỮ LIỆU'!$C$3:$C$1052,0))="","",INDEX('DỮ LIỆU'!$E$3:$E$1052,MATCH($B258,'DỮ LIỆU'!$C$3:$C$1052,0))),""))</f>
        <v/>
      </c>
      <c r="E258" s="21" t="str">
        <f aca="false">IF($B258="","",IFERROR(IF(INDEX('DỮ LIỆU'!$F$3:$F$1052,MATCH($B258,'DỮ LIỆU'!$C$3:$C$1052,0))="","",INDEX('DỮ LIỆU'!$F$3:$F$1052,MATCH($B258,'DỮ LIỆU'!$C$3:$C$1052,0))),""))</f>
        <v/>
      </c>
      <c r="F258" s="21" t="str">
        <f aca="false">IF($B258="","",IFERROR(IF(INDEX('DỮ LIỆU'!$G$3:$G$1052,MATCH($B258,'DỮ LIỆU'!$C$3:$C$1052,0))="","",INDEX('DỮ LIỆU'!$G$3:$G$1052,MATCH($B258,'DỮ LIỆU'!$C$3:$C$1052,0))),""))</f>
        <v/>
      </c>
      <c r="G258" s="13" t="str">
        <f aca="false">IF($B258="","",COUNTIFS('DỮ LIỆU'!$C$3:$C$1052,$B258,'DỮ LIỆU'!$J$3:$J$1052,"&gt;0"))</f>
        <v/>
      </c>
      <c r="H258" s="13" t="str">
        <f aca="false">IF($B258="","",SUMIF('DỮ LIỆU'!$C$3:$C$1052,$B258,'DỮ LIỆU'!$J$3:$J$1052))</f>
        <v/>
      </c>
      <c r="I258" s="13" t="str">
        <f aca="false">IF($B258="","",SUMIF('DỮ LIỆU'!$C$3:$C$1052,$B258,'DỮ LIỆU'!$M$3:$M$1052))</f>
        <v/>
      </c>
      <c r="J258" s="13" t="str">
        <f aca="false">IF($B258="","",SUMIF('DỮ LIỆU'!$C$3:$C$1052,$B258,'DỮ LIỆU'!$N$3:$N$1052))</f>
        <v/>
      </c>
      <c r="K258" s="13" t="str">
        <f aca="false">IF($B258="","",SUMIF('DỮ LIỆU'!$C$3:$C$1052,$B258,'DỮ LIỆU'!$O$3:$O$1052))</f>
        <v/>
      </c>
      <c r="L258" s="13" t="str">
        <f aca="false">IF($B258="","",SUMIF('DỮ LIỆU'!$C$3:$C$1052,$B258,'DỮ LIỆU'!$Q$3:$Q$1052))</f>
        <v/>
      </c>
      <c r="M258" s="41" t="str">
        <f aca="false">IF($B258="","",IF(SUMPRODUCT(MAX(('DỮ LIỆU'!$C$3:$C$1052=$B258)*'DỮ LIỆU'!$Z$3:$Z$1052))=0,"",SUMPRODUCT(MAX(('DỮ LIỆU'!$C$3:$C$1052=$B258)*'DỮ LIỆU'!$Z$3:$Z$1052))))</f>
        <v/>
      </c>
      <c r="N258" s="21" t="str">
        <f aca="false">IF($B258="","",IF($G258=0,"Chưa có đơn",IF(COUNTIFS('DỮ LIỆU'!$C$3:$C$1052,$B258,'DỮ LIỆU'!$K$3:$K$1052,"&gt;0")&gt;0,"Có lấy VAT","Không lấy VAT")))</f>
        <v/>
      </c>
    </row>
    <row r="259" customFormat="false" ht="15" hidden="false" customHeight="false" outlineLevel="0" collapsed="false">
      <c r="A259" s="21" t="str">
        <f aca="false">IF($B259="","",254)</f>
        <v/>
      </c>
      <c r="B259" s="21" t="str">
        <f aca="false">IFERROR(INDEX('DỮ LIỆU'!$C$3:$C$1052,MATCH(254,'DỮ LIỆU'!$W$3:$W$1052,0)),"")</f>
        <v/>
      </c>
      <c r="C259" s="21" t="str">
        <f aca="false">IF($B259="","",IFERROR(IF(INDEX('DỮ LIỆU'!$D$3:$D$1052,MATCH($B259,'DỮ LIỆU'!$C$3:$C$1052,0))="","",INDEX('DỮ LIỆU'!$D$3:$D$1052,MATCH($B259,'DỮ LIỆU'!$C$3:$C$1052,0))),""))</f>
        <v/>
      </c>
      <c r="D259" s="21" t="str">
        <f aca="false">IF($B259="","",IFERROR(IF(INDEX('DỮ LIỆU'!$E$3:$E$1052,MATCH($B259,'DỮ LIỆU'!$C$3:$C$1052,0))="","",INDEX('DỮ LIỆU'!$E$3:$E$1052,MATCH($B259,'DỮ LIỆU'!$C$3:$C$1052,0))),""))</f>
        <v/>
      </c>
      <c r="E259" s="21" t="str">
        <f aca="false">IF($B259="","",IFERROR(IF(INDEX('DỮ LIỆU'!$F$3:$F$1052,MATCH($B259,'DỮ LIỆU'!$C$3:$C$1052,0))="","",INDEX('DỮ LIỆU'!$F$3:$F$1052,MATCH($B259,'DỮ LIỆU'!$C$3:$C$1052,0))),""))</f>
        <v/>
      </c>
      <c r="F259" s="21" t="str">
        <f aca="false">IF($B259="","",IFERROR(IF(INDEX('DỮ LIỆU'!$G$3:$G$1052,MATCH($B259,'DỮ LIỆU'!$C$3:$C$1052,0))="","",INDEX('DỮ LIỆU'!$G$3:$G$1052,MATCH($B259,'DỮ LIỆU'!$C$3:$C$1052,0))),""))</f>
        <v/>
      </c>
      <c r="G259" s="13" t="str">
        <f aca="false">IF($B259="","",COUNTIFS('DỮ LIỆU'!$C$3:$C$1052,$B259,'DỮ LIỆU'!$J$3:$J$1052,"&gt;0"))</f>
        <v/>
      </c>
      <c r="H259" s="13" t="str">
        <f aca="false">IF($B259="","",SUMIF('DỮ LIỆU'!$C$3:$C$1052,$B259,'DỮ LIỆU'!$J$3:$J$1052))</f>
        <v/>
      </c>
      <c r="I259" s="13" t="str">
        <f aca="false">IF($B259="","",SUMIF('DỮ LIỆU'!$C$3:$C$1052,$B259,'DỮ LIỆU'!$M$3:$M$1052))</f>
        <v/>
      </c>
      <c r="J259" s="13" t="str">
        <f aca="false">IF($B259="","",SUMIF('DỮ LIỆU'!$C$3:$C$1052,$B259,'DỮ LIỆU'!$N$3:$N$1052))</f>
        <v/>
      </c>
      <c r="K259" s="13" t="str">
        <f aca="false">IF($B259="","",SUMIF('DỮ LIỆU'!$C$3:$C$1052,$B259,'DỮ LIỆU'!$O$3:$O$1052))</f>
        <v/>
      </c>
      <c r="L259" s="13" t="str">
        <f aca="false">IF($B259="","",SUMIF('DỮ LIỆU'!$C$3:$C$1052,$B259,'DỮ LIỆU'!$Q$3:$Q$1052))</f>
        <v/>
      </c>
      <c r="M259" s="41" t="str">
        <f aca="false">IF($B259="","",IF(SUMPRODUCT(MAX(('DỮ LIỆU'!$C$3:$C$1052=$B259)*'DỮ LIỆU'!$Z$3:$Z$1052))=0,"",SUMPRODUCT(MAX(('DỮ LIỆU'!$C$3:$C$1052=$B259)*'DỮ LIỆU'!$Z$3:$Z$1052))))</f>
        <v/>
      </c>
      <c r="N259" s="21" t="str">
        <f aca="false">IF($B259="","",IF($G259=0,"Chưa có đơn",IF(COUNTIFS('DỮ LIỆU'!$C$3:$C$1052,$B259,'DỮ LIỆU'!$K$3:$K$1052,"&gt;0")&gt;0,"Có lấy VAT","Không lấy VAT")))</f>
        <v/>
      </c>
    </row>
    <row r="260" customFormat="false" ht="15" hidden="false" customHeight="false" outlineLevel="0" collapsed="false">
      <c r="A260" s="21" t="str">
        <f aca="false">IF($B260="","",255)</f>
        <v/>
      </c>
      <c r="B260" s="21" t="str">
        <f aca="false">IFERROR(INDEX('DỮ LIỆU'!$C$3:$C$1052,MATCH(255,'DỮ LIỆU'!$W$3:$W$1052,0)),"")</f>
        <v/>
      </c>
      <c r="C260" s="21" t="str">
        <f aca="false">IF($B260="","",IFERROR(IF(INDEX('DỮ LIỆU'!$D$3:$D$1052,MATCH($B260,'DỮ LIỆU'!$C$3:$C$1052,0))="","",INDEX('DỮ LIỆU'!$D$3:$D$1052,MATCH($B260,'DỮ LIỆU'!$C$3:$C$1052,0))),""))</f>
        <v/>
      </c>
      <c r="D260" s="21" t="str">
        <f aca="false">IF($B260="","",IFERROR(IF(INDEX('DỮ LIỆU'!$E$3:$E$1052,MATCH($B260,'DỮ LIỆU'!$C$3:$C$1052,0))="","",INDEX('DỮ LIỆU'!$E$3:$E$1052,MATCH($B260,'DỮ LIỆU'!$C$3:$C$1052,0))),""))</f>
        <v/>
      </c>
      <c r="E260" s="21" t="str">
        <f aca="false">IF($B260="","",IFERROR(IF(INDEX('DỮ LIỆU'!$F$3:$F$1052,MATCH($B260,'DỮ LIỆU'!$C$3:$C$1052,0))="","",INDEX('DỮ LIỆU'!$F$3:$F$1052,MATCH($B260,'DỮ LIỆU'!$C$3:$C$1052,0))),""))</f>
        <v/>
      </c>
      <c r="F260" s="21" t="str">
        <f aca="false">IF($B260="","",IFERROR(IF(INDEX('DỮ LIỆU'!$G$3:$G$1052,MATCH($B260,'DỮ LIỆU'!$C$3:$C$1052,0))="","",INDEX('DỮ LIỆU'!$G$3:$G$1052,MATCH($B260,'DỮ LIỆU'!$C$3:$C$1052,0))),""))</f>
        <v/>
      </c>
      <c r="G260" s="13" t="str">
        <f aca="false">IF($B260="","",COUNTIFS('DỮ LIỆU'!$C$3:$C$1052,$B260,'DỮ LIỆU'!$J$3:$J$1052,"&gt;0"))</f>
        <v/>
      </c>
      <c r="H260" s="13" t="str">
        <f aca="false">IF($B260="","",SUMIF('DỮ LIỆU'!$C$3:$C$1052,$B260,'DỮ LIỆU'!$J$3:$J$1052))</f>
        <v/>
      </c>
      <c r="I260" s="13" t="str">
        <f aca="false">IF($B260="","",SUMIF('DỮ LIỆU'!$C$3:$C$1052,$B260,'DỮ LIỆU'!$M$3:$M$1052))</f>
        <v/>
      </c>
      <c r="J260" s="13" t="str">
        <f aca="false">IF($B260="","",SUMIF('DỮ LIỆU'!$C$3:$C$1052,$B260,'DỮ LIỆU'!$N$3:$N$1052))</f>
        <v/>
      </c>
      <c r="K260" s="13" t="str">
        <f aca="false">IF($B260="","",SUMIF('DỮ LIỆU'!$C$3:$C$1052,$B260,'DỮ LIỆU'!$O$3:$O$1052))</f>
        <v/>
      </c>
      <c r="L260" s="13" t="str">
        <f aca="false">IF($B260="","",SUMIF('DỮ LIỆU'!$C$3:$C$1052,$B260,'DỮ LIỆU'!$Q$3:$Q$1052))</f>
        <v/>
      </c>
      <c r="M260" s="41" t="str">
        <f aca="false">IF($B260="","",IF(SUMPRODUCT(MAX(('DỮ LIỆU'!$C$3:$C$1052=$B260)*'DỮ LIỆU'!$Z$3:$Z$1052))=0,"",SUMPRODUCT(MAX(('DỮ LIỆU'!$C$3:$C$1052=$B260)*'DỮ LIỆU'!$Z$3:$Z$1052))))</f>
        <v/>
      </c>
      <c r="N260" s="21" t="str">
        <f aca="false">IF($B260="","",IF($G260=0,"Chưa có đơn",IF(COUNTIFS('DỮ LIỆU'!$C$3:$C$1052,$B260,'DỮ LIỆU'!$K$3:$K$1052,"&gt;0")&gt;0,"Có lấy VAT","Không lấy VAT")))</f>
        <v/>
      </c>
    </row>
    <row r="261" customFormat="false" ht="15" hidden="false" customHeight="false" outlineLevel="0" collapsed="false">
      <c r="A261" s="21" t="str">
        <f aca="false">IF($B261="","",256)</f>
        <v/>
      </c>
      <c r="B261" s="21" t="str">
        <f aca="false">IFERROR(INDEX('DỮ LIỆU'!$C$3:$C$1052,MATCH(256,'DỮ LIỆU'!$W$3:$W$1052,0)),"")</f>
        <v/>
      </c>
      <c r="C261" s="21" t="str">
        <f aca="false">IF($B261="","",IFERROR(IF(INDEX('DỮ LIỆU'!$D$3:$D$1052,MATCH($B261,'DỮ LIỆU'!$C$3:$C$1052,0))="","",INDEX('DỮ LIỆU'!$D$3:$D$1052,MATCH($B261,'DỮ LIỆU'!$C$3:$C$1052,0))),""))</f>
        <v/>
      </c>
      <c r="D261" s="21" t="str">
        <f aca="false">IF($B261="","",IFERROR(IF(INDEX('DỮ LIỆU'!$E$3:$E$1052,MATCH($B261,'DỮ LIỆU'!$C$3:$C$1052,0))="","",INDEX('DỮ LIỆU'!$E$3:$E$1052,MATCH($B261,'DỮ LIỆU'!$C$3:$C$1052,0))),""))</f>
        <v/>
      </c>
      <c r="E261" s="21" t="str">
        <f aca="false">IF($B261="","",IFERROR(IF(INDEX('DỮ LIỆU'!$F$3:$F$1052,MATCH($B261,'DỮ LIỆU'!$C$3:$C$1052,0))="","",INDEX('DỮ LIỆU'!$F$3:$F$1052,MATCH($B261,'DỮ LIỆU'!$C$3:$C$1052,0))),""))</f>
        <v/>
      </c>
      <c r="F261" s="21" t="str">
        <f aca="false">IF($B261="","",IFERROR(IF(INDEX('DỮ LIỆU'!$G$3:$G$1052,MATCH($B261,'DỮ LIỆU'!$C$3:$C$1052,0))="","",INDEX('DỮ LIỆU'!$G$3:$G$1052,MATCH($B261,'DỮ LIỆU'!$C$3:$C$1052,0))),""))</f>
        <v/>
      </c>
      <c r="G261" s="13" t="str">
        <f aca="false">IF($B261="","",COUNTIFS('DỮ LIỆU'!$C$3:$C$1052,$B261,'DỮ LIỆU'!$J$3:$J$1052,"&gt;0"))</f>
        <v/>
      </c>
      <c r="H261" s="13" t="str">
        <f aca="false">IF($B261="","",SUMIF('DỮ LIỆU'!$C$3:$C$1052,$B261,'DỮ LIỆU'!$J$3:$J$1052))</f>
        <v/>
      </c>
      <c r="I261" s="13" t="str">
        <f aca="false">IF($B261="","",SUMIF('DỮ LIỆU'!$C$3:$C$1052,$B261,'DỮ LIỆU'!$M$3:$M$1052))</f>
        <v/>
      </c>
      <c r="J261" s="13" t="str">
        <f aca="false">IF($B261="","",SUMIF('DỮ LIỆU'!$C$3:$C$1052,$B261,'DỮ LIỆU'!$N$3:$N$1052))</f>
        <v/>
      </c>
      <c r="K261" s="13" t="str">
        <f aca="false">IF($B261="","",SUMIF('DỮ LIỆU'!$C$3:$C$1052,$B261,'DỮ LIỆU'!$O$3:$O$1052))</f>
        <v/>
      </c>
      <c r="L261" s="13" t="str">
        <f aca="false">IF($B261="","",SUMIF('DỮ LIỆU'!$C$3:$C$1052,$B261,'DỮ LIỆU'!$Q$3:$Q$1052))</f>
        <v/>
      </c>
      <c r="M261" s="41" t="str">
        <f aca="false">IF($B261="","",IF(SUMPRODUCT(MAX(('DỮ LIỆU'!$C$3:$C$1052=$B261)*'DỮ LIỆU'!$Z$3:$Z$1052))=0,"",SUMPRODUCT(MAX(('DỮ LIỆU'!$C$3:$C$1052=$B261)*'DỮ LIỆU'!$Z$3:$Z$1052))))</f>
        <v/>
      </c>
      <c r="N261" s="21" t="str">
        <f aca="false">IF($B261="","",IF($G261=0,"Chưa có đơn",IF(COUNTIFS('DỮ LIỆU'!$C$3:$C$1052,$B261,'DỮ LIỆU'!$K$3:$K$1052,"&gt;0")&gt;0,"Có lấy VAT","Không lấy VAT")))</f>
        <v/>
      </c>
    </row>
    <row r="262" customFormat="false" ht="15" hidden="false" customHeight="false" outlineLevel="0" collapsed="false">
      <c r="A262" s="21" t="str">
        <f aca="false">IF($B262="","",257)</f>
        <v/>
      </c>
      <c r="B262" s="21" t="str">
        <f aca="false">IFERROR(INDEX('DỮ LIỆU'!$C$3:$C$1052,MATCH(257,'DỮ LIỆU'!$W$3:$W$1052,0)),"")</f>
        <v/>
      </c>
      <c r="C262" s="21" t="str">
        <f aca="false">IF($B262="","",IFERROR(IF(INDEX('DỮ LIỆU'!$D$3:$D$1052,MATCH($B262,'DỮ LIỆU'!$C$3:$C$1052,0))="","",INDEX('DỮ LIỆU'!$D$3:$D$1052,MATCH($B262,'DỮ LIỆU'!$C$3:$C$1052,0))),""))</f>
        <v/>
      </c>
      <c r="D262" s="21" t="str">
        <f aca="false">IF($B262="","",IFERROR(IF(INDEX('DỮ LIỆU'!$E$3:$E$1052,MATCH($B262,'DỮ LIỆU'!$C$3:$C$1052,0))="","",INDEX('DỮ LIỆU'!$E$3:$E$1052,MATCH($B262,'DỮ LIỆU'!$C$3:$C$1052,0))),""))</f>
        <v/>
      </c>
      <c r="E262" s="21" t="str">
        <f aca="false">IF($B262="","",IFERROR(IF(INDEX('DỮ LIỆU'!$F$3:$F$1052,MATCH($B262,'DỮ LIỆU'!$C$3:$C$1052,0))="","",INDEX('DỮ LIỆU'!$F$3:$F$1052,MATCH($B262,'DỮ LIỆU'!$C$3:$C$1052,0))),""))</f>
        <v/>
      </c>
      <c r="F262" s="21" t="str">
        <f aca="false">IF($B262="","",IFERROR(IF(INDEX('DỮ LIỆU'!$G$3:$G$1052,MATCH($B262,'DỮ LIỆU'!$C$3:$C$1052,0))="","",INDEX('DỮ LIỆU'!$G$3:$G$1052,MATCH($B262,'DỮ LIỆU'!$C$3:$C$1052,0))),""))</f>
        <v/>
      </c>
      <c r="G262" s="13" t="str">
        <f aca="false">IF($B262="","",COUNTIFS('DỮ LIỆU'!$C$3:$C$1052,$B262,'DỮ LIỆU'!$J$3:$J$1052,"&gt;0"))</f>
        <v/>
      </c>
      <c r="H262" s="13" t="str">
        <f aca="false">IF($B262="","",SUMIF('DỮ LIỆU'!$C$3:$C$1052,$B262,'DỮ LIỆU'!$J$3:$J$1052))</f>
        <v/>
      </c>
      <c r="I262" s="13" t="str">
        <f aca="false">IF($B262="","",SUMIF('DỮ LIỆU'!$C$3:$C$1052,$B262,'DỮ LIỆU'!$M$3:$M$1052))</f>
        <v/>
      </c>
      <c r="J262" s="13" t="str">
        <f aca="false">IF($B262="","",SUMIF('DỮ LIỆU'!$C$3:$C$1052,$B262,'DỮ LIỆU'!$N$3:$N$1052))</f>
        <v/>
      </c>
      <c r="K262" s="13" t="str">
        <f aca="false">IF($B262="","",SUMIF('DỮ LIỆU'!$C$3:$C$1052,$B262,'DỮ LIỆU'!$O$3:$O$1052))</f>
        <v/>
      </c>
      <c r="L262" s="13" t="str">
        <f aca="false">IF($B262="","",SUMIF('DỮ LIỆU'!$C$3:$C$1052,$B262,'DỮ LIỆU'!$Q$3:$Q$1052))</f>
        <v/>
      </c>
      <c r="M262" s="41" t="str">
        <f aca="false">IF($B262="","",IF(SUMPRODUCT(MAX(('DỮ LIỆU'!$C$3:$C$1052=$B262)*'DỮ LIỆU'!$Z$3:$Z$1052))=0,"",SUMPRODUCT(MAX(('DỮ LIỆU'!$C$3:$C$1052=$B262)*'DỮ LIỆU'!$Z$3:$Z$1052))))</f>
        <v/>
      </c>
      <c r="N262" s="21" t="str">
        <f aca="false">IF($B262="","",IF($G262=0,"Chưa có đơn",IF(COUNTIFS('DỮ LIỆU'!$C$3:$C$1052,$B262,'DỮ LIỆU'!$K$3:$K$1052,"&gt;0")&gt;0,"Có lấy VAT","Không lấy VAT")))</f>
        <v/>
      </c>
    </row>
    <row r="263" customFormat="false" ht="15" hidden="false" customHeight="false" outlineLevel="0" collapsed="false">
      <c r="A263" s="21" t="str">
        <f aca="false">IF($B263="","",258)</f>
        <v/>
      </c>
      <c r="B263" s="21" t="str">
        <f aca="false">IFERROR(INDEX('DỮ LIỆU'!$C$3:$C$1052,MATCH(258,'DỮ LIỆU'!$W$3:$W$1052,0)),"")</f>
        <v/>
      </c>
      <c r="C263" s="21" t="str">
        <f aca="false">IF($B263="","",IFERROR(IF(INDEX('DỮ LIỆU'!$D$3:$D$1052,MATCH($B263,'DỮ LIỆU'!$C$3:$C$1052,0))="","",INDEX('DỮ LIỆU'!$D$3:$D$1052,MATCH($B263,'DỮ LIỆU'!$C$3:$C$1052,0))),""))</f>
        <v/>
      </c>
      <c r="D263" s="21" t="str">
        <f aca="false">IF($B263="","",IFERROR(IF(INDEX('DỮ LIỆU'!$E$3:$E$1052,MATCH($B263,'DỮ LIỆU'!$C$3:$C$1052,0))="","",INDEX('DỮ LIỆU'!$E$3:$E$1052,MATCH($B263,'DỮ LIỆU'!$C$3:$C$1052,0))),""))</f>
        <v/>
      </c>
      <c r="E263" s="21" t="str">
        <f aca="false">IF($B263="","",IFERROR(IF(INDEX('DỮ LIỆU'!$F$3:$F$1052,MATCH($B263,'DỮ LIỆU'!$C$3:$C$1052,0))="","",INDEX('DỮ LIỆU'!$F$3:$F$1052,MATCH($B263,'DỮ LIỆU'!$C$3:$C$1052,0))),""))</f>
        <v/>
      </c>
      <c r="F263" s="21" t="str">
        <f aca="false">IF($B263="","",IFERROR(IF(INDEX('DỮ LIỆU'!$G$3:$G$1052,MATCH($B263,'DỮ LIỆU'!$C$3:$C$1052,0))="","",INDEX('DỮ LIỆU'!$G$3:$G$1052,MATCH($B263,'DỮ LIỆU'!$C$3:$C$1052,0))),""))</f>
        <v/>
      </c>
      <c r="G263" s="13" t="str">
        <f aca="false">IF($B263="","",COUNTIFS('DỮ LIỆU'!$C$3:$C$1052,$B263,'DỮ LIỆU'!$J$3:$J$1052,"&gt;0"))</f>
        <v/>
      </c>
      <c r="H263" s="13" t="str">
        <f aca="false">IF($B263="","",SUMIF('DỮ LIỆU'!$C$3:$C$1052,$B263,'DỮ LIỆU'!$J$3:$J$1052))</f>
        <v/>
      </c>
      <c r="I263" s="13" t="str">
        <f aca="false">IF($B263="","",SUMIF('DỮ LIỆU'!$C$3:$C$1052,$B263,'DỮ LIỆU'!$M$3:$M$1052))</f>
        <v/>
      </c>
      <c r="J263" s="13" t="str">
        <f aca="false">IF($B263="","",SUMIF('DỮ LIỆU'!$C$3:$C$1052,$B263,'DỮ LIỆU'!$N$3:$N$1052))</f>
        <v/>
      </c>
      <c r="K263" s="13" t="str">
        <f aca="false">IF($B263="","",SUMIF('DỮ LIỆU'!$C$3:$C$1052,$B263,'DỮ LIỆU'!$O$3:$O$1052))</f>
        <v/>
      </c>
      <c r="L263" s="13" t="str">
        <f aca="false">IF($B263="","",SUMIF('DỮ LIỆU'!$C$3:$C$1052,$B263,'DỮ LIỆU'!$Q$3:$Q$1052))</f>
        <v/>
      </c>
      <c r="M263" s="41" t="str">
        <f aca="false">IF($B263="","",IF(SUMPRODUCT(MAX(('DỮ LIỆU'!$C$3:$C$1052=$B263)*'DỮ LIỆU'!$Z$3:$Z$1052))=0,"",SUMPRODUCT(MAX(('DỮ LIỆU'!$C$3:$C$1052=$B263)*'DỮ LIỆU'!$Z$3:$Z$1052))))</f>
        <v/>
      </c>
      <c r="N263" s="21" t="str">
        <f aca="false">IF($B263="","",IF($G263=0,"Chưa có đơn",IF(COUNTIFS('DỮ LIỆU'!$C$3:$C$1052,$B263,'DỮ LIỆU'!$K$3:$K$1052,"&gt;0")&gt;0,"Có lấy VAT","Không lấy VAT")))</f>
        <v/>
      </c>
    </row>
    <row r="264" customFormat="false" ht="15" hidden="false" customHeight="false" outlineLevel="0" collapsed="false">
      <c r="A264" s="21" t="str">
        <f aca="false">IF($B264="","",259)</f>
        <v/>
      </c>
      <c r="B264" s="21" t="str">
        <f aca="false">IFERROR(INDEX('DỮ LIỆU'!$C$3:$C$1052,MATCH(259,'DỮ LIỆU'!$W$3:$W$1052,0)),"")</f>
        <v/>
      </c>
      <c r="C264" s="21" t="str">
        <f aca="false">IF($B264="","",IFERROR(IF(INDEX('DỮ LIỆU'!$D$3:$D$1052,MATCH($B264,'DỮ LIỆU'!$C$3:$C$1052,0))="","",INDEX('DỮ LIỆU'!$D$3:$D$1052,MATCH($B264,'DỮ LIỆU'!$C$3:$C$1052,0))),""))</f>
        <v/>
      </c>
      <c r="D264" s="21" t="str">
        <f aca="false">IF($B264="","",IFERROR(IF(INDEX('DỮ LIỆU'!$E$3:$E$1052,MATCH($B264,'DỮ LIỆU'!$C$3:$C$1052,0))="","",INDEX('DỮ LIỆU'!$E$3:$E$1052,MATCH($B264,'DỮ LIỆU'!$C$3:$C$1052,0))),""))</f>
        <v/>
      </c>
      <c r="E264" s="21" t="str">
        <f aca="false">IF($B264="","",IFERROR(IF(INDEX('DỮ LIỆU'!$F$3:$F$1052,MATCH($B264,'DỮ LIỆU'!$C$3:$C$1052,0))="","",INDEX('DỮ LIỆU'!$F$3:$F$1052,MATCH($B264,'DỮ LIỆU'!$C$3:$C$1052,0))),""))</f>
        <v/>
      </c>
      <c r="F264" s="21" t="str">
        <f aca="false">IF($B264="","",IFERROR(IF(INDEX('DỮ LIỆU'!$G$3:$G$1052,MATCH($B264,'DỮ LIỆU'!$C$3:$C$1052,0))="","",INDEX('DỮ LIỆU'!$G$3:$G$1052,MATCH($B264,'DỮ LIỆU'!$C$3:$C$1052,0))),""))</f>
        <v/>
      </c>
      <c r="G264" s="13" t="str">
        <f aca="false">IF($B264="","",COUNTIFS('DỮ LIỆU'!$C$3:$C$1052,$B264,'DỮ LIỆU'!$J$3:$J$1052,"&gt;0"))</f>
        <v/>
      </c>
      <c r="H264" s="13" t="str">
        <f aca="false">IF($B264="","",SUMIF('DỮ LIỆU'!$C$3:$C$1052,$B264,'DỮ LIỆU'!$J$3:$J$1052))</f>
        <v/>
      </c>
      <c r="I264" s="13" t="str">
        <f aca="false">IF($B264="","",SUMIF('DỮ LIỆU'!$C$3:$C$1052,$B264,'DỮ LIỆU'!$M$3:$M$1052))</f>
        <v/>
      </c>
      <c r="J264" s="13" t="str">
        <f aca="false">IF($B264="","",SUMIF('DỮ LIỆU'!$C$3:$C$1052,$B264,'DỮ LIỆU'!$N$3:$N$1052))</f>
        <v/>
      </c>
      <c r="K264" s="13" t="str">
        <f aca="false">IF($B264="","",SUMIF('DỮ LIỆU'!$C$3:$C$1052,$B264,'DỮ LIỆU'!$O$3:$O$1052))</f>
        <v/>
      </c>
      <c r="L264" s="13" t="str">
        <f aca="false">IF($B264="","",SUMIF('DỮ LIỆU'!$C$3:$C$1052,$B264,'DỮ LIỆU'!$Q$3:$Q$1052))</f>
        <v/>
      </c>
      <c r="M264" s="41" t="str">
        <f aca="false">IF($B264="","",IF(SUMPRODUCT(MAX(('DỮ LIỆU'!$C$3:$C$1052=$B264)*'DỮ LIỆU'!$Z$3:$Z$1052))=0,"",SUMPRODUCT(MAX(('DỮ LIỆU'!$C$3:$C$1052=$B264)*'DỮ LIỆU'!$Z$3:$Z$1052))))</f>
        <v/>
      </c>
      <c r="N264" s="21" t="str">
        <f aca="false">IF($B264="","",IF($G264=0,"Chưa có đơn",IF(COUNTIFS('DỮ LIỆU'!$C$3:$C$1052,$B264,'DỮ LIỆU'!$K$3:$K$1052,"&gt;0")&gt;0,"Có lấy VAT","Không lấy VAT")))</f>
        <v/>
      </c>
    </row>
    <row r="265" customFormat="false" ht="15" hidden="false" customHeight="false" outlineLevel="0" collapsed="false">
      <c r="A265" s="21" t="str">
        <f aca="false">IF($B265="","",260)</f>
        <v/>
      </c>
      <c r="B265" s="21" t="str">
        <f aca="false">IFERROR(INDEX('DỮ LIỆU'!$C$3:$C$1052,MATCH(260,'DỮ LIỆU'!$W$3:$W$1052,0)),"")</f>
        <v/>
      </c>
      <c r="C265" s="21" t="str">
        <f aca="false">IF($B265="","",IFERROR(IF(INDEX('DỮ LIỆU'!$D$3:$D$1052,MATCH($B265,'DỮ LIỆU'!$C$3:$C$1052,0))="","",INDEX('DỮ LIỆU'!$D$3:$D$1052,MATCH($B265,'DỮ LIỆU'!$C$3:$C$1052,0))),""))</f>
        <v/>
      </c>
      <c r="D265" s="21" t="str">
        <f aca="false">IF($B265="","",IFERROR(IF(INDEX('DỮ LIỆU'!$E$3:$E$1052,MATCH($B265,'DỮ LIỆU'!$C$3:$C$1052,0))="","",INDEX('DỮ LIỆU'!$E$3:$E$1052,MATCH($B265,'DỮ LIỆU'!$C$3:$C$1052,0))),""))</f>
        <v/>
      </c>
      <c r="E265" s="21" t="str">
        <f aca="false">IF($B265="","",IFERROR(IF(INDEX('DỮ LIỆU'!$F$3:$F$1052,MATCH($B265,'DỮ LIỆU'!$C$3:$C$1052,0))="","",INDEX('DỮ LIỆU'!$F$3:$F$1052,MATCH($B265,'DỮ LIỆU'!$C$3:$C$1052,0))),""))</f>
        <v/>
      </c>
      <c r="F265" s="21" t="str">
        <f aca="false">IF($B265="","",IFERROR(IF(INDEX('DỮ LIỆU'!$G$3:$G$1052,MATCH($B265,'DỮ LIỆU'!$C$3:$C$1052,0))="","",INDEX('DỮ LIỆU'!$G$3:$G$1052,MATCH($B265,'DỮ LIỆU'!$C$3:$C$1052,0))),""))</f>
        <v/>
      </c>
      <c r="G265" s="13" t="str">
        <f aca="false">IF($B265="","",COUNTIFS('DỮ LIỆU'!$C$3:$C$1052,$B265,'DỮ LIỆU'!$J$3:$J$1052,"&gt;0"))</f>
        <v/>
      </c>
      <c r="H265" s="13" t="str">
        <f aca="false">IF($B265="","",SUMIF('DỮ LIỆU'!$C$3:$C$1052,$B265,'DỮ LIỆU'!$J$3:$J$1052))</f>
        <v/>
      </c>
      <c r="I265" s="13" t="str">
        <f aca="false">IF($B265="","",SUMIF('DỮ LIỆU'!$C$3:$C$1052,$B265,'DỮ LIỆU'!$M$3:$M$1052))</f>
        <v/>
      </c>
      <c r="J265" s="13" t="str">
        <f aca="false">IF($B265="","",SUMIF('DỮ LIỆU'!$C$3:$C$1052,$B265,'DỮ LIỆU'!$N$3:$N$1052))</f>
        <v/>
      </c>
      <c r="K265" s="13" t="str">
        <f aca="false">IF($B265="","",SUMIF('DỮ LIỆU'!$C$3:$C$1052,$B265,'DỮ LIỆU'!$O$3:$O$1052))</f>
        <v/>
      </c>
      <c r="L265" s="13" t="str">
        <f aca="false">IF($B265="","",SUMIF('DỮ LIỆU'!$C$3:$C$1052,$B265,'DỮ LIỆU'!$Q$3:$Q$1052))</f>
        <v/>
      </c>
      <c r="M265" s="41" t="str">
        <f aca="false">IF($B265="","",IF(SUMPRODUCT(MAX(('DỮ LIỆU'!$C$3:$C$1052=$B265)*'DỮ LIỆU'!$Z$3:$Z$1052))=0,"",SUMPRODUCT(MAX(('DỮ LIỆU'!$C$3:$C$1052=$B265)*'DỮ LIỆU'!$Z$3:$Z$1052))))</f>
        <v/>
      </c>
      <c r="N265" s="21" t="str">
        <f aca="false">IF($B265="","",IF($G265=0,"Chưa có đơn",IF(COUNTIFS('DỮ LIỆU'!$C$3:$C$1052,$B265,'DỮ LIỆU'!$K$3:$K$1052,"&gt;0")&gt;0,"Có lấy VAT","Không lấy VAT")))</f>
        <v/>
      </c>
    </row>
    <row r="266" customFormat="false" ht="15" hidden="false" customHeight="false" outlineLevel="0" collapsed="false">
      <c r="A266" s="21" t="str">
        <f aca="false">IF($B266="","",261)</f>
        <v/>
      </c>
      <c r="B266" s="21" t="str">
        <f aca="false">IFERROR(INDEX('DỮ LIỆU'!$C$3:$C$1052,MATCH(261,'DỮ LIỆU'!$W$3:$W$1052,0)),"")</f>
        <v/>
      </c>
      <c r="C266" s="21" t="str">
        <f aca="false">IF($B266="","",IFERROR(IF(INDEX('DỮ LIỆU'!$D$3:$D$1052,MATCH($B266,'DỮ LIỆU'!$C$3:$C$1052,0))="","",INDEX('DỮ LIỆU'!$D$3:$D$1052,MATCH($B266,'DỮ LIỆU'!$C$3:$C$1052,0))),""))</f>
        <v/>
      </c>
      <c r="D266" s="21" t="str">
        <f aca="false">IF($B266="","",IFERROR(IF(INDEX('DỮ LIỆU'!$E$3:$E$1052,MATCH($B266,'DỮ LIỆU'!$C$3:$C$1052,0))="","",INDEX('DỮ LIỆU'!$E$3:$E$1052,MATCH($B266,'DỮ LIỆU'!$C$3:$C$1052,0))),""))</f>
        <v/>
      </c>
      <c r="E266" s="21" t="str">
        <f aca="false">IF($B266="","",IFERROR(IF(INDEX('DỮ LIỆU'!$F$3:$F$1052,MATCH($B266,'DỮ LIỆU'!$C$3:$C$1052,0))="","",INDEX('DỮ LIỆU'!$F$3:$F$1052,MATCH($B266,'DỮ LIỆU'!$C$3:$C$1052,0))),""))</f>
        <v/>
      </c>
      <c r="F266" s="21" t="str">
        <f aca="false">IF($B266="","",IFERROR(IF(INDEX('DỮ LIỆU'!$G$3:$G$1052,MATCH($B266,'DỮ LIỆU'!$C$3:$C$1052,0))="","",INDEX('DỮ LIỆU'!$G$3:$G$1052,MATCH($B266,'DỮ LIỆU'!$C$3:$C$1052,0))),""))</f>
        <v/>
      </c>
      <c r="G266" s="13" t="str">
        <f aca="false">IF($B266="","",COUNTIFS('DỮ LIỆU'!$C$3:$C$1052,$B266,'DỮ LIỆU'!$J$3:$J$1052,"&gt;0"))</f>
        <v/>
      </c>
      <c r="H266" s="13" t="str">
        <f aca="false">IF($B266="","",SUMIF('DỮ LIỆU'!$C$3:$C$1052,$B266,'DỮ LIỆU'!$J$3:$J$1052))</f>
        <v/>
      </c>
      <c r="I266" s="13" t="str">
        <f aca="false">IF($B266="","",SUMIF('DỮ LIỆU'!$C$3:$C$1052,$B266,'DỮ LIỆU'!$M$3:$M$1052))</f>
        <v/>
      </c>
      <c r="J266" s="13" t="str">
        <f aca="false">IF($B266="","",SUMIF('DỮ LIỆU'!$C$3:$C$1052,$B266,'DỮ LIỆU'!$N$3:$N$1052))</f>
        <v/>
      </c>
      <c r="K266" s="13" t="str">
        <f aca="false">IF($B266="","",SUMIF('DỮ LIỆU'!$C$3:$C$1052,$B266,'DỮ LIỆU'!$O$3:$O$1052))</f>
        <v/>
      </c>
      <c r="L266" s="13" t="str">
        <f aca="false">IF($B266="","",SUMIF('DỮ LIỆU'!$C$3:$C$1052,$B266,'DỮ LIỆU'!$Q$3:$Q$1052))</f>
        <v/>
      </c>
      <c r="M266" s="41" t="str">
        <f aca="false">IF($B266="","",IF(SUMPRODUCT(MAX(('DỮ LIỆU'!$C$3:$C$1052=$B266)*'DỮ LIỆU'!$Z$3:$Z$1052))=0,"",SUMPRODUCT(MAX(('DỮ LIỆU'!$C$3:$C$1052=$B266)*'DỮ LIỆU'!$Z$3:$Z$1052))))</f>
        <v/>
      </c>
      <c r="N266" s="21" t="str">
        <f aca="false">IF($B266="","",IF($G266=0,"Chưa có đơn",IF(COUNTIFS('DỮ LIỆU'!$C$3:$C$1052,$B266,'DỮ LIỆU'!$K$3:$K$1052,"&gt;0")&gt;0,"Có lấy VAT","Không lấy VAT")))</f>
        <v/>
      </c>
    </row>
    <row r="267" customFormat="false" ht="15" hidden="false" customHeight="false" outlineLevel="0" collapsed="false">
      <c r="A267" s="21" t="str">
        <f aca="false">IF($B267="","",262)</f>
        <v/>
      </c>
      <c r="B267" s="21" t="str">
        <f aca="false">IFERROR(INDEX('DỮ LIỆU'!$C$3:$C$1052,MATCH(262,'DỮ LIỆU'!$W$3:$W$1052,0)),"")</f>
        <v/>
      </c>
      <c r="C267" s="21" t="str">
        <f aca="false">IF($B267="","",IFERROR(IF(INDEX('DỮ LIỆU'!$D$3:$D$1052,MATCH($B267,'DỮ LIỆU'!$C$3:$C$1052,0))="","",INDEX('DỮ LIỆU'!$D$3:$D$1052,MATCH($B267,'DỮ LIỆU'!$C$3:$C$1052,0))),""))</f>
        <v/>
      </c>
      <c r="D267" s="21" t="str">
        <f aca="false">IF($B267="","",IFERROR(IF(INDEX('DỮ LIỆU'!$E$3:$E$1052,MATCH($B267,'DỮ LIỆU'!$C$3:$C$1052,0))="","",INDEX('DỮ LIỆU'!$E$3:$E$1052,MATCH($B267,'DỮ LIỆU'!$C$3:$C$1052,0))),""))</f>
        <v/>
      </c>
      <c r="E267" s="21" t="str">
        <f aca="false">IF($B267="","",IFERROR(IF(INDEX('DỮ LIỆU'!$F$3:$F$1052,MATCH($B267,'DỮ LIỆU'!$C$3:$C$1052,0))="","",INDEX('DỮ LIỆU'!$F$3:$F$1052,MATCH($B267,'DỮ LIỆU'!$C$3:$C$1052,0))),""))</f>
        <v/>
      </c>
      <c r="F267" s="21" t="str">
        <f aca="false">IF($B267="","",IFERROR(IF(INDEX('DỮ LIỆU'!$G$3:$G$1052,MATCH($B267,'DỮ LIỆU'!$C$3:$C$1052,0))="","",INDEX('DỮ LIỆU'!$G$3:$G$1052,MATCH($B267,'DỮ LIỆU'!$C$3:$C$1052,0))),""))</f>
        <v/>
      </c>
      <c r="G267" s="13" t="str">
        <f aca="false">IF($B267="","",COUNTIFS('DỮ LIỆU'!$C$3:$C$1052,$B267,'DỮ LIỆU'!$J$3:$J$1052,"&gt;0"))</f>
        <v/>
      </c>
      <c r="H267" s="13" t="str">
        <f aca="false">IF($B267="","",SUMIF('DỮ LIỆU'!$C$3:$C$1052,$B267,'DỮ LIỆU'!$J$3:$J$1052))</f>
        <v/>
      </c>
      <c r="I267" s="13" t="str">
        <f aca="false">IF($B267="","",SUMIF('DỮ LIỆU'!$C$3:$C$1052,$B267,'DỮ LIỆU'!$M$3:$M$1052))</f>
        <v/>
      </c>
      <c r="J267" s="13" t="str">
        <f aca="false">IF($B267="","",SUMIF('DỮ LIỆU'!$C$3:$C$1052,$B267,'DỮ LIỆU'!$N$3:$N$1052))</f>
        <v/>
      </c>
      <c r="K267" s="13" t="str">
        <f aca="false">IF($B267="","",SUMIF('DỮ LIỆU'!$C$3:$C$1052,$B267,'DỮ LIỆU'!$O$3:$O$1052))</f>
        <v/>
      </c>
      <c r="L267" s="13" t="str">
        <f aca="false">IF($B267="","",SUMIF('DỮ LIỆU'!$C$3:$C$1052,$B267,'DỮ LIỆU'!$Q$3:$Q$1052))</f>
        <v/>
      </c>
      <c r="M267" s="41" t="str">
        <f aca="false">IF($B267="","",IF(SUMPRODUCT(MAX(('DỮ LIỆU'!$C$3:$C$1052=$B267)*'DỮ LIỆU'!$Z$3:$Z$1052))=0,"",SUMPRODUCT(MAX(('DỮ LIỆU'!$C$3:$C$1052=$B267)*'DỮ LIỆU'!$Z$3:$Z$1052))))</f>
        <v/>
      </c>
      <c r="N267" s="21" t="str">
        <f aca="false">IF($B267="","",IF($G267=0,"Chưa có đơn",IF(COUNTIFS('DỮ LIỆU'!$C$3:$C$1052,$B267,'DỮ LIỆU'!$K$3:$K$1052,"&gt;0")&gt;0,"Có lấy VAT","Không lấy VAT")))</f>
        <v/>
      </c>
    </row>
    <row r="268" customFormat="false" ht="15" hidden="false" customHeight="false" outlineLevel="0" collapsed="false">
      <c r="A268" s="21" t="str">
        <f aca="false">IF($B268="","",263)</f>
        <v/>
      </c>
      <c r="B268" s="21" t="str">
        <f aca="false">IFERROR(INDEX('DỮ LIỆU'!$C$3:$C$1052,MATCH(263,'DỮ LIỆU'!$W$3:$W$1052,0)),"")</f>
        <v/>
      </c>
      <c r="C268" s="21" t="str">
        <f aca="false">IF($B268="","",IFERROR(IF(INDEX('DỮ LIỆU'!$D$3:$D$1052,MATCH($B268,'DỮ LIỆU'!$C$3:$C$1052,0))="","",INDEX('DỮ LIỆU'!$D$3:$D$1052,MATCH($B268,'DỮ LIỆU'!$C$3:$C$1052,0))),""))</f>
        <v/>
      </c>
      <c r="D268" s="21" t="str">
        <f aca="false">IF($B268="","",IFERROR(IF(INDEX('DỮ LIỆU'!$E$3:$E$1052,MATCH($B268,'DỮ LIỆU'!$C$3:$C$1052,0))="","",INDEX('DỮ LIỆU'!$E$3:$E$1052,MATCH($B268,'DỮ LIỆU'!$C$3:$C$1052,0))),""))</f>
        <v/>
      </c>
      <c r="E268" s="21" t="str">
        <f aca="false">IF($B268="","",IFERROR(IF(INDEX('DỮ LIỆU'!$F$3:$F$1052,MATCH($B268,'DỮ LIỆU'!$C$3:$C$1052,0))="","",INDEX('DỮ LIỆU'!$F$3:$F$1052,MATCH($B268,'DỮ LIỆU'!$C$3:$C$1052,0))),""))</f>
        <v/>
      </c>
      <c r="F268" s="21" t="str">
        <f aca="false">IF($B268="","",IFERROR(IF(INDEX('DỮ LIỆU'!$G$3:$G$1052,MATCH($B268,'DỮ LIỆU'!$C$3:$C$1052,0))="","",INDEX('DỮ LIỆU'!$G$3:$G$1052,MATCH($B268,'DỮ LIỆU'!$C$3:$C$1052,0))),""))</f>
        <v/>
      </c>
      <c r="G268" s="13" t="str">
        <f aca="false">IF($B268="","",COUNTIFS('DỮ LIỆU'!$C$3:$C$1052,$B268,'DỮ LIỆU'!$J$3:$J$1052,"&gt;0"))</f>
        <v/>
      </c>
      <c r="H268" s="13" t="str">
        <f aca="false">IF($B268="","",SUMIF('DỮ LIỆU'!$C$3:$C$1052,$B268,'DỮ LIỆU'!$J$3:$J$1052))</f>
        <v/>
      </c>
      <c r="I268" s="13" t="str">
        <f aca="false">IF($B268="","",SUMIF('DỮ LIỆU'!$C$3:$C$1052,$B268,'DỮ LIỆU'!$M$3:$M$1052))</f>
        <v/>
      </c>
      <c r="J268" s="13" t="str">
        <f aca="false">IF($B268="","",SUMIF('DỮ LIỆU'!$C$3:$C$1052,$B268,'DỮ LIỆU'!$N$3:$N$1052))</f>
        <v/>
      </c>
      <c r="K268" s="13" t="str">
        <f aca="false">IF($B268="","",SUMIF('DỮ LIỆU'!$C$3:$C$1052,$B268,'DỮ LIỆU'!$O$3:$O$1052))</f>
        <v/>
      </c>
      <c r="L268" s="13" t="str">
        <f aca="false">IF($B268="","",SUMIF('DỮ LIỆU'!$C$3:$C$1052,$B268,'DỮ LIỆU'!$Q$3:$Q$1052))</f>
        <v/>
      </c>
      <c r="M268" s="41" t="str">
        <f aca="false">IF($B268="","",IF(SUMPRODUCT(MAX(('DỮ LIỆU'!$C$3:$C$1052=$B268)*'DỮ LIỆU'!$Z$3:$Z$1052))=0,"",SUMPRODUCT(MAX(('DỮ LIỆU'!$C$3:$C$1052=$B268)*'DỮ LIỆU'!$Z$3:$Z$1052))))</f>
        <v/>
      </c>
      <c r="N268" s="21" t="str">
        <f aca="false">IF($B268="","",IF($G268=0,"Chưa có đơn",IF(COUNTIFS('DỮ LIỆU'!$C$3:$C$1052,$B268,'DỮ LIỆU'!$K$3:$K$1052,"&gt;0")&gt;0,"Có lấy VAT","Không lấy VAT")))</f>
        <v/>
      </c>
    </row>
    <row r="269" customFormat="false" ht="15" hidden="false" customHeight="false" outlineLevel="0" collapsed="false">
      <c r="A269" s="21" t="str">
        <f aca="false">IF($B269="","",264)</f>
        <v/>
      </c>
      <c r="B269" s="21" t="str">
        <f aca="false">IFERROR(INDEX('DỮ LIỆU'!$C$3:$C$1052,MATCH(264,'DỮ LIỆU'!$W$3:$W$1052,0)),"")</f>
        <v/>
      </c>
      <c r="C269" s="21" t="str">
        <f aca="false">IF($B269="","",IFERROR(IF(INDEX('DỮ LIỆU'!$D$3:$D$1052,MATCH($B269,'DỮ LIỆU'!$C$3:$C$1052,0))="","",INDEX('DỮ LIỆU'!$D$3:$D$1052,MATCH($B269,'DỮ LIỆU'!$C$3:$C$1052,0))),""))</f>
        <v/>
      </c>
      <c r="D269" s="21" t="str">
        <f aca="false">IF($B269="","",IFERROR(IF(INDEX('DỮ LIỆU'!$E$3:$E$1052,MATCH($B269,'DỮ LIỆU'!$C$3:$C$1052,0))="","",INDEX('DỮ LIỆU'!$E$3:$E$1052,MATCH($B269,'DỮ LIỆU'!$C$3:$C$1052,0))),""))</f>
        <v/>
      </c>
      <c r="E269" s="21" t="str">
        <f aca="false">IF($B269="","",IFERROR(IF(INDEX('DỮ LIỆU'!$F$3:$F$1052,MATCH($B269,'DỮ LIỆU'!$C$3:$C$1052,0))="","",INDEX('DỮ LIỆU'!$F$3:$F$1052,MATCH($B269,'DỮ LIỆU'!$C$3:$C$1052,0))),""))</f>
        <v/>
      </c>
      <c r="F269" s="21" t="str">
        <f aca="false">IF($B269="","",IFERROR(IF(INDEX('DỮ LIỆU'!$G$3:$G$1052,MATCH($B269,'DỮ LIỆU'!$C$3:$C$1052,0))="","",INDEX('DỮ LIỆU'!$G$3:$G$1052,MATCH($B269,'DỮ LIỆU'!$C$3:$C$1052,0))),""))</f>
        <v/>
      </c>
      <c r="G269" s="13" t="str">
        <f aca="false">IF($B269="","",COUNTIFS('DỮ LIỆU'!$C$3:$C$1052,$B269,'DỮ LIỆU'!$J$3:$J$1052,"&gt;0"))</f>
        <v/>
      </c>
      <c r="H269" s="13" t="str">
        <f aca="false">IF($B269="","",SUMIF('DỮ LIỆU'!$C$3:$C$1052,$B269,'DỮ LIỆU'!$J$3:$J$1052))</f>
        <v/>
      </c>
      <c r="I269" s="13" t="str">
        <f aca="false">IF($B269="","",SUMIF('DỮ LIỆU'!$C$3:$C$1052,$B269,'DỮ LIỆU'!$M$3:$M$1052))</f>
        <v/>
      </c>
      <c r="J269" s="13" t="str">
        <f aca="false">IF($B269="","",SUMIF('DỮ LIỆU'!$C$3:$C$1052,$B269,'DỮ LIỆU'!$N$3:$N$1052))</f>
        <v/>
      </c>
      <c r="K269" s="13" t="str">
        <f aca="false">IF($B269="","",SUMIF('DỮ LIỆU'!$C$3:$C$1052,$B269,'DỮ LIỆU'!$O$3:$O$1052))</f>
        <v/>
      </c>
      <c r="L269" s="13" t="str">
        <f aca="false">IF($B269="","",SUMIF('DỮ LIỆU'!$C$3:$C$1052,$B269,'DỮ LIỆU'!$Q$3:$Q$1052))</f>
        <v/>
      </c>
      <c r="M269" s="41" t="str">
        <f aca="false">IF($B269="","",IF(SUMPRODUCT(MAX(('DỮ LIỆU'!$C$3:$C$1052=$B269)*'DỮ LIỆU'!$Z$3:$Z$1052))=0,"",SUMPRODUCT(MAX(('DỮ LIỆU'!$C$3:$C$1052=$B269)*'DỮ LIỆU'!$Z$3:$Z$1052))))</f>
        <v/>
      </c>
      <c r="N269" s="21" t="str">
        <f aca="false">IF($B269="","",IF($G269=0,"Chưa có đơn",IF(COUNTIFS('DỮ LIỆU'!$C$3:$C$1052,$B269,'DỮ LIỆU'!$K$3:$K$1052,"&gt;0")&gt;0,"Có lấy VAT","Không lấy VAT")))</f>
        <v/>
      </c>
    </row>
    <row r="270" customFormat="false" ht="15" hidden="false" customHeight="false" outlineLevel="0" collapsed="false">
      <c r="A270" s="21" t="str">
        <f aca="false">IF($B270="","",265)</f>
        <v/>
      </c>
      <c r="B270" s="21" t="str">
        <f aca="false">IFERROR(INDEX('DỮ LIỆU'!$C$3:$C$1052,MATCH(265,'DỮ LIỆU'!$W$3:$W$1052,0)),"")</f>
        <v/>
      </c>
      <c r="C270" s="21" t="str">
        <f aca="false">IF($B270="","",IFERROR(IF(INDEX('DỮ LIỆU'!$D$3:$D$1052,MATCH($B270,'DỮ LIỆU'!$C$3:$C$1052,0))="","",INDEX('DỮ LIỆU'!$D$3:$D$1052,MATCH($B270,'DỮ LIỆU'!$C$3:$C$1052,0))),""))</f>
        <v/>
      </c>
      <c r="D270" s="21" t="str">
        <f aca="false">IF($B270="","",IFERROR(IF(INDEX('DỮ LIỆU'!$E$3:$E$1052,MATCH($B270,'DỮ LIỆU'!$C$3:$C$1052,0))="","",INDEX('DỮ LIỆU'!$E$3:$E$1052,MATCH($B270,'DỮ LIỆU'!$C$3:$C$1052,0))),""))</f>
        <v/>
      </c>
      <c r="E270" s="21" t="str">
        <f aca="false">IF($B270="","",IFERROR(IF(INDEX('DỮ LIỆU'!$F$3:$F$1052,MATCH($B270,'DỮ LIỆU'!$C$3:$C$1052,0))="","",INDEX('DỮ LIỆU'!$F$3:$F$1052,MATCH($B270,'DỮ LIỆU'!$C$3:$C$1052,0))),""))</f>
        <v/>
      </c>
      <c r="F270" s="21" t="str">
        <f aca="false">IF($B270="","",IFERROR(IF(INDEX('DỮ LIỆU'!$G$3:$G$1052,MATCH($B270,'DỮ LIỆU'!$C$3:$C$1052,0))="","",INDEX('DỮ LIỆU'!$G$3:$G$1052,MATCH($B270,'DỮ LIỆU'!$C$3:$C$1052,0))),""))</f>
        <v/>
      </c>
      <c r="G270" s="13" t="str">
        <f aca="false">IF($B270="","",COUNTIFS('DỮ LIỆU'!$C$3:$C$1052,$B270,'DỮ LIỆU'!$J$3:$J$1052,"&gt;0"))</f>
        <v/>
      </c>
      <c r="H270" s="13" t="str">
        <f aca="false">IF($B270="","",SUMIF('DỮ LIỆU'!$C$3:$C$1052,$B270,'DỮ LIỆU'!$J$3:$J$1052))</f>
        <v/>
      </c>
      <c r="I270" s="13" t="str">
        <f aca="false">IF($B270="","",SUMIF('DỮ LIỆU'!$C$3:$C$1052,$B270,'DỮ LIỆU'!$M$3:$M$1052))</f>
        <v/>
      </c>
      <c r="J270" s="13" t="str">
        <f aca="false">IF($B270="","",SUMIF('DỮ LIỆU'!$C$3:$C$1052,$B270,'DỮ LIỆU'!$N$3:$N$1052))</f>
        <v/>
      </c>
      <c r="K270" s="13" t="str">
        <f aca="false">IF($B270="","",SUMIF('DỮ LIỆU'!$C$3:$C$1052,$B270,'DỮ LIỆU'!$O$3:$O$1052))</f>
        <v/>
      </c>
      <c r="L270" s="13" t="str">
        <f aca="false">IF($B270="","",SUMIF('DỮ LIỆU'!$C$3:$C$1052,$B270,'DỮ LIỆU'!$Q$3:$Q$1052))</f>
        <v/>
      </c>
      <c r="M270" s="41" t="str">
        <f aca="false">IF($B270="","",IF(SUMPRODUCT(MAX(('DỮ LIỆU'!$C$3:$C$1052=$B270)*'DỮ LIỆU'!$Z$3:$Z$1052))=0,"",SUMPRODUCT(MAX(('DỮ LIỆU'!$C$3:$C$1052=$B270)*'DỮ LIỆU'!$Z$3:$Z$1052))))</f>
        <v/>
      </c>
      <c r="N270" s="21" t="str">
        <f aca="false">IF($B270="","",IF($G270=0,"Chưa có đơn",IF(COUNTIFS('DỮ LIỆU'!$C$3:$C$1052,$B270,'DỮ LIỆU'!$K$3:$K$1052,"&gt;0")&gt;0,"Có lấy VAT","Không lấy VAT")))</f>
        <v/>
      </c>
    </row>
    <row r="271" customFormat="false" ht="15" hidden="false" customHeight="false" outlineLevel="0" collapsed="false">
      <c r="A271" s="21" t="str">
        <f aca="false">IF($B271="","",266)</f>
        <v/>
      </c>
      <c r="B271" s="21" t="str">
        <f aca="false">IFERROR(INDEX('DỮ LIỆU'!$C$3:$C$1052,MATCH(266,'DỮ LIỆU'!$W$3:$W$1052,0)),"")</f>
        <v/>
      </c>
      <c r="C271" s="21" t="str">
        <f aca="false">IF($B271="","",IFERROR(IF(INDEX('DỮ LIỆU'!$D$3:$D$1052,MATCH($B271,'DỮ LIỆU'!$C$3:$C$1052,0))="","",INDEX('DỮ LIỆU'!$D$3:$D$1052,MATCH($B271,'DỮ LIỆU'!$C$3:$C$1052,0))),""))</f>
        <v/>
      </c>
      <c r="D271" s="21" t="str">
        <f aca="false">IF($B271="","",IFERROR(IF(INDEX('DỮ LIỆU'!$E$3:$E$1052,MATCH($B271,'DỮ LIỆU'!$C$3:$C$1052,0))="","",INDEX('DỮ LIỆU'!$E$3:$E$1052,MATCH($B271,'DỮ LIỆU'!$C$3:$C$1052,0))),""))</f>
        <v/>
      </c>
      <c r="E271" s="21" t="str">
        <f aca="false">IF($B271="","",IFERROR(IF(INDEX('DỮ LIỆU'!$F$3:$F$1052,MATCH($B271,'DỮ LIỆU'!$C$3:$C$1052,0))="","",INDEX('DỮ LIỆU'!$F$3:$F$1052,MATCH($B271,'DỮ LIỆU'!$C$3:$C$1052,0))),""))</f>
        <v/>
      </c>
      <c r="F271" s="21" t="str">
        <f aca="false">IF($B271="","",IFERROR(IF(INDEX('DỮ LIỆU'!$G$3:$G$1052,MATCH($B271,'DỮ LIỆU'!$C$3:$C$1052,0))="","",INDEX('DỮ LIỆU'!$G$3:$G$1052,MATCH($B271,'DỮ LIỆU'!$C$3:$C$1052,0))),""))</f>
        <v/>
      </c>
      <c r="G271" s="13" t="str">
        <f aca="false">IF($B271="","",COUNTIFS('DỮ LIỆU'!$C$3:$C$1052,$B271,'DỮ LIỆU'!$J$3:$J$1052,"&gt;0"))</f>
        <v/>
      </c>
      <c r="H271" s="13" t="str">
        <f aca="false">IF($B271="","",SUMIF('DỮ LIỆU'!$C$3:$C$1052,$B271,'DỮ LIỆU'!$J$3:$J$1052))</f>
        <v/>
      </c>
      <c r="I271" s="13" t="str">
        <f aca="false">IF($B271="","",SUMIF('DỮ LIỆU'!$C$3:$C$1052,$B271,'DỮ LIỆU'!$M$3:$M$1052))</f>
        <v/>
      </c>
      <c r="J271" s="13" t="str">
        <f aca="false">IF($B271="","",SUMIF('DỮ LIỆU'!$C$3:$C$1052,$B271,'DỮ LIỆU'!$N$3:$N$1052))</f>
        <v/>
      </c>
      <c r="K271" s="13" t="str">
        <f aca="false">IF($B271="","",SUMIF('DỮ LIỆU'!$C$3:$C$1052,$B271,'DỮ LIỆU'!$O$3:$O$1052))</f>
        <v/>
      </c>
      <c r="L271" s="13" t="str">
        <f aca="false">IF($B271="","",SUMIF('DỮ LIỆU'!$C$3:$C$1052,$B271,'DỮ LIỆU'!$Q$3:$Q$1052))</f>
        <v/>
      </c>
      <c r="M271" s="41" t="str">
        <f aca="false">IF($B271="","",IF(SUMPRODUCT(MAX(('DỮ LIỆU'!$C$3:$C$1052=$B271)*'DỮ LIỆU'!$Z$3:$Z$1052))=0,"",SUMPRODUCT(MAX(('DỮ LIỆU'!$C$3:$C$1052=$B271)*'DỮ LIỆU'!$Z$3:$Z$1052))))</f>
        <v/>
      </c>
      <c r="N271" s="21" t="str">
        <f aca="false">IF($B271="","",IF($G271=0,"Chưa có đơn",IF(COUNTIFS('DỮ LIỆU'!$C$3:$C$1052,$B271,'DỮ LIỆU'!$K$3:$K$1052,"&gt;0")&gt;0,"Có lấy VAT","Không lấy VAT")))</f>
        <v/>
      </c>
    </row>
    <row r="272" customFormat="false" ht="15" hidden="false" customHeight="false" outlineLevel="0" collapsed="false">
      <c r="A272" s="21" t="str">
        <f aca="false">IF($B272="","",267)</f>
        <v/>
      </c>
      <c r="B272" s="21" t="str">
        <f aca="false">IFERROR(INDEX('DỮ LIỆU'!$C$3:$C$1052,MATCH(267,'DỮ LIỆU'!$W$3:$W$1052,0)),"")</f>
        <v/>
      </c>
      <c r="C272" s="21" t="str">
        <f aca="false">IF($B272="","",IFERROR(IF(INDEX('DỮ LIỆU'!$D$3:$D$1052,MATCH($B272,'DỮ LIỆU'!$C$3:$C$1052,0))="","",INDEX('DỮ LIỆU'!$D$3:$D$1052,MATCH($B272,'DỮ LIỆU'!$C$3:$C$1052,0))),""))</f>
        <v/>
      </c>
      <c r="D272" s="21" t="str">
        <f aca="false">IF($B272="","",IFERROR(IF(INDEX('DỮ LIỆU'!$E$3:$E$1052,MATCH($B272,'DỮ LIỆU'!$C$3:$C$1052,0))="","",INDEX('DỮ LIỆU'!$E$3:$E$1052,MATCH($B272,'DỮ LIỆU'!$C$3:$C$1052,0))),""))</f>
        <v/>
      </c>
      <c r="E272" s="21" t="str">
        <f aca="false">IF($B272="","",IFERROR(IF(INDEX('DỮ LIỆU'!$F$3:$F$1052,MATCH($B272,'DỮ LIỆU'!$C$3:$C$1052,0))="","",INDEX('DỮ LIỆU'!$F$3:$F$1052,MATCH($B272,'DỮ LIỆU'!$C$3:$C$1052,0))),""))</f>
        <v/>
      </c>
      <c r="F272" s="21" t="str">
        <f aca="false">IF($B272="","",IFERROR(IF(INDEX('DỮ LIỆU'!$G$3:$G$1052,MATCH($B272,'DỮ LIỆU'!$C$3:$C$1052,0))="","",INDEX('DỮ LIỆU'!$G$3:$G$1052,MATCH($B272,'DỮ LIỆU'!$C$3:$C$1052,0))),""))</f>
        <v/>
      </c>
      <c r="G272" s="13" t="str">
        <f aca="false">IF($B272="","",COUNTIFS('DỮ LIỆU'!$C$3:$C$1052,$B272,'DỮ LIỆU'!$J$3:$J$1052,"&gt;0"))</f>
        <v/>
      </c>
      <c r="H272" s="13" t="str">
        <f aca="false">IF($B272="","",SUMIF('DỮ LIỆU'!$C$3:$C$1052,$B272,'DỮ LIỆU'!$J$3:$J$1052))</f>
        <v/>
      </c>
      <c r="I272" s="13" t="str">
        <f aca="false">IF($B272="","",SUMIF('DỮ LIỆU'!$C$3:$C$1052,$B272,'DỮ LIỆU'!$M$3:$M$1052))</f>
        <v/>
      </c>
      <c r="J272" s="13" t="str">
        <f aca="false">IF($B272="","",SUMIF('DỮ LIỆU'!$C$3:$C$1052,$B272,'DỮ LIỆU'!$N$3:$N$1052))</f>
        <v/>
      </c>
      <c r="K272" s="13" t="str">
        <f aca="false">IF($B272="","",SUMIF('DỮ LIỆU'!$C$3:$C$1052,$B272,'DỮ LIỆU'!$O$3:$O$1052))</f>
        <v/>
      </c>
      <c r="L272" s="13" t="str">
        <f aca="false">IF($B272="","",SUMIF('DỮ LIỆU'!$C$3:$C$1052,$B272,'DỮ LIỆU'!$Q$3:$Q$1052))</f>
        <v/>
      </c>
      <c r="M272" s="41" t="str">
        <f aca="false">IF($B272="","",IF(SUMPRODUCT(MAX(('DỮ LIỆU'!$C$3:$C$1052=$B272)*'DỮ LIỆU'!$Z$3:$Z$1052))=0,"",SUMPRODUCT(MAX(('DỮ LIỆU'!$C$3:$C$1052=$B272)*'DỮ LIỆU'!$Z$3:$Z$1052))))</f>
        <v/>
      </c>
      <c r="N272" s="21" t="str">
        <f aca="false">IF($B272="","",IF($G272=0,"Chưa có đơn",IF(COUNTIFS('DỮ LIỆU'!$C$3:$C$1052,$B272,'DỮ LIỆU'!$K$3:$K$1052,"&gt;0")&gt;0,"Có lấy VAT","Không lấy VAT")))</f>
        <v/>
      </c>
    </row>
    <row r="273" customFormat="false" ht="15" hidden="false" customHeight="false" outlineLevel="0" collapsed="false">
      <c r="A273" s="21" t="str">
        <f aca="false">IF($B273="","",268)</f>
        <v/>
      </c>
      <c r="B273" s="21" t="str">
        <f aca="false">IFERROR(INDEX('DỮ LIỆU'!$C$3:$C$1052,MATCH(268,'DỮ LIỆU'!$W$3:$W$1052,0)),"")</f>
        <v/>
      </c>
      <c r="C273" s="21" t="str">
        <f aca="false">IF($B273="","",IFERROR(IF(INDEX('DỮ LIỆU'!$D$3:$D$1052,MATCH($B273,'DỮ LIỆU'!$C$3:$C$1052,0))="","",INDEX('DỮ LIỆU'!$D$3:$D$1052,MATCH($B273,'DỮ LIỆU'!$C$3:$C$1052,0))),""))</f>
        <v/>
      </c>
      <c r="D273" s="21" t="str">
        <f aca="false">IF($B273="","",IFERROR(IF(INDEX('DỮ LIỆU'!$E$3:$E$1052,MATCH($B273,'DỮ LIỆU'!$C$3:$C$1052,0))="","",INDEX('DỮ LIỆU'!$E$3:$E$1052,MATCH($B273,'DỮ LIỆU'!$C$3:$C$1052,0))),""))</f>
        <v/>
      </c>
      <c r="E273" s="21" t="str">
        <f aca="false">IF($B273="","",IFERROR(IF(INDEX('DỮ LIỆU'!$F$3:$F$1052,MATCH($B273,'DỮ LIỆU'!$C$3:$C$1052,0))="","",INDEX('DỮ LIỆU'!$F$3:$F$1052,MATCH($B273,'DỮ LIỆU'!$C$3:$C$1052,0))),""))</f>
        <v/>
      </c>
      <c r="F273" s="21" t="str">
        <f aca="false">IF($B273="","",IFERROR(IF(INDEX('DỮ LIỆU'!$G$3:$G$1052,MATCH($B273,'DỮ LIỆU'!$C$3:$C$1052,0))="","",INDEX('DỮ LIỆU'!$G$3:$G$1052,MATCH($B273,'DỮ LIỆU'!$C$3:$C$1052,0))),""))</f>
        <v/>
      </c>
      <c r="G273" s="13" t="str">
        <f aca="false">IF($B273="","",COUNTIFS('DỮ LIỆU'!$C$3:$C$1052,$B273,'DỮ LIỆU'!$J$3:$J$1052,"&gt;0"))</f>
        <v/>
      </c>
      <c r="H273" s="13" t="str">
        <f aca="false">IF($B273="","",SUMIF('DỮ LIỆU'!$C$3:$C$1052,$B273,'DỮ LIỆU'!$J$3:$J$1052))</f>
        <v/>
      </c>
      <c r="I273" s="13" t="str">
        <f aca="false">IF($B273="","",SUMIF('DỮ LIỆU'!$C$3:$C$1052,$B273,'DỮ LIỆU'!$M$3:$M$1052))</f>
        <v/>
      </c>
      <c r="J273" s="13" t="str">
        <f aca="false">IF($B273="","",SUMIF('DỮ LIỆU'!$C$3:$C$1052,$B273,'DỮ LIỆU'!$N$3:$N$1052))</f>
        <v/>
      </c>
      <c r="K273" s="13" t="str">
        <f aca="false">IF($B273="","",SUMIF('DỮ LIỆU'!$C$3:$C$1052,$B273,'DỮ LIỆU'!$O$3:$O$1052))</f>
        <v/>
      </c>
      <c r="L273" s="13" t="str">
        <f aca="false">IF($B273="","",SUMIF('DỮ LIỆU'!$C$3:$C$1052,$B273,'DỮ LIỆU'!$Q$3:$Q$1052))</f>
        <v/>
      </c>
      <c r="M273" s="41" t="str">
        <f aca="false">IF($B273="","",IF(SUMPRODUCT(MAX(('DỮ LIỆU'!$C$3:$C$1052=$B273)*'DỮ LIỆU'!$Z$3:$Z$1052))=0,"",SUMPRODUCT(MAX(('DỮ LIỆU'!$C$3:$C$1052=$B273)*'DỮ LIỆU'!$Z$3:$Z$1052))))</f>
        <v/>
      </c>
      <c r="N273" s="21" t="str">
        <f aca="false">IF($B273="","",IF($G273=0,"Chưa có đơn",IF(COUNTIFS('DỮ LIỆU'!$C$3:$C$1052,$B273,'DỮ LIỆU'!$K$3:$K$1052,"&gt;0")&gt;0,"Có lấy VAT","Không lấy VAT")))</f>
        <v/>
      </c>
    </row>
    <row r="274" customFormat="false" ht="15" hidden="false" customHeight="false" outlineLevel="0" collapsed="false">
      <c r="A274" s="21" t="str">
        <f aca="false">IF($B274="","",269)</f>
        <v/>
      </c>
      <c r="B274" s="21" t="str">
        <f aca="false">IFERROR(INDEX('DỮ LIỆU'!$C$3:$C$1052,MATCH(269,'DỮ LIỆU'!$W$3:$W$1052,0)),"")</f>
        <v/>
      </c>
      <c r="C274" s="21" t="str">
        <f aca="false">IF($B274="","",IFERROR(IF(INDEX('DỮ LIỆU'!$D$3:$D$1052,MATCH($B274,'DỮ LIỆU'!$C$3:$C$1052,0))="","",INDEX('DỮ LIỆU'!$D$3:$D$1052,MATCH($B274,'DỮ LIỆU'!$C$3:$C$1052,0))),""))</f>
        <v/>
      </c>
      <c r="D274" s="21" t="str">
        <f aca="false">IF($B274="","",IFERROR(IF(INDEX('DỮ LIỆU'!$E$3:$E$1052,MATCH($B274,'DỮ LIỆU'!$C$3:$C$1052,0))="","",INDEX('DỮ LIỆU'!$E$3:$E$1052,MATCH($B274,'DỮ LIỆU'!$C$3:$C$1052,0))),""))</f>
        <v/>
      </c>
      <c r="E274" s="21" t="str">
        <f aca="false">IF($B274="","",IFERROR(IF(INDEX('DỮ LIỆU'!$F$3:$F$1052,MATCH($B274,'DỮ LIỆU'!$C$3:$C$1052,0))="","",INDEX('DỮ LIỆU'!$F$3:$F$1052,MATCH($B274,'DỮ LIỆU'!$C$3:$C$1052,0))),""))</f>
        <v/>
      </c>
      <c r="F274" s="21" t="str">
        <f aca="false">IF($B274="","",IFERROR(IF(INDEX('DỮ LIỆU'!$G$3:$G$1052,MATCH($B274,'DỮ LIỆU'!$C$3:$C$1052,0))="","",INDEX('DỮ LIỆU'!$G$3:$G$1052,MATCH($B274,'DỮ LIỆU'!$C$3:$C$1052,0))),""))</f>
        <v/>
      </c>
      <c r="G274" s="13" t="str">
        <f aca="false">IF($B274="","",COUNTIFS('DỮ LIỆU'!$C$3:$C$1052,$B274,'DỮ LIỆU'!$J$3:$J$1052,"&gt;0"))</f>
        <v/>
      </c>
      <c r="H274" s="13" t="str">
        <f aca="false">IF($B274="","",SUMIF('DỮ LIỆU'!$C$3:$C$1052,$B274,'DỮ LIỆU'!$J$3:$J$1052))</f>
        <v/>
      </c>
      <c r="I274" s="13" t="str">
        <f aca="false">IF($B274="","",SUMIF('DỮ LIỆU'!$C$3:$C$1052,$B274,'DỮ LIỆU'!$M$3:$M$1052))</f>
        <v/>
      </c>
      <c r="J274" s="13" t="str">
        <f aca="false">IF($B274="","",SUMIF('DỮ LIỆU'!$C$3:$C$1052,$B274,'DỮ LIỆU'!$N$3:$N$1052))</f>
        <v/>
      </c>
      <c r="K274" s="13" t="str">
        <f aca="false">IF($B274="","",SUMIF('DỮ LIỆU'!$C$3:$C$1052,$B274,'DỮ LIỆU'!$O$3:$O$1052))</f>
        <v/>
      </c>
      <c r="L274" s="13" t="str">
        <f aca="false">IF($B274="","",SUMIF('DỮ LIỆU'!$C$3:$C$1052,$B274,'DỮ LIỆU'!$Q$3:$Q$1052))</f>
        <v/>
      </c>
      <c r="M274" s="41" t="str">
        <f aca="false">IF($B274="","",IF(SUMPRODUCT(MAX(('DỮ LIỆU'!$C$3:$C$1052=$B274)*'DỮ LIỆU'!$Z$3:$Z$1052))=0,"",SUMPRODUCT(MAX(('DỮ LIỆU'!$C$3:$C$1052=$B274)*'DỮ LIỆU'!$Z$3:$Z$1052))))</f>
        <v/>
      </c>
      <c r="N274" s="21" t="str">
        <f aca="false">IF($B274="","",IF($G274=0,"Chưa có đơn",IF(COUNTIFS('DỮ LIỆU'!$C$3:$C$1052,$B274,'DỮ LIỆU'!$K$3:$K$1052,"&gt;0")&gt;0,"Có lấy VAT","Không lấy VAT")))</f>
        <v/>
      </c>
    </row>
    <row r="275" customFormat="false" ht="15" hidden="false" customHeight="false" outlineLevel="0" collapsed="false">
      <c r="A275" s="21" t="str">
        <f aca="false">IF($B275="","",270)</f>
        <v/>
      </c>
      <c r="B275" s="21" t="str">
        <f aca="false">IFERROR(INDEX('DỮ LIỆU'!$C$3:$C$1052,MATCH(270,'DỮ LIỆU'!$W$3:$W$1052,0)),"")</f>
        <v/>
      </c>
      <c r="C275" s="21" t="str">
        <f aca="false">IF($B275="","",IFERROR(IF(INDEX('DỮ LIỆU'!$D$3:$D$1052,MATCH($B275,'DỮ LIỆU'!$C$3:$C$1052,0))="","",INDEX('DỮ LIỆU'!$D$3:$D$1052,MATCH($B275,'DỮ LIỆU'!$C$3:$C$1052,0))),""))</f>
        <v/>
      </c>
      <c r="D275" s="21" t="str">
        <f aca="false">IF($B275="","",IFERROR(IF(INDEX('DỮ LIỆU'!$E$3:$E$1052,MATCH($B275,'DỮ LIỆU'!$C$3:$C$1052,0))="","",INDEX('DỮ LIỆU'!$E$3:$E$1052,MATCH($B275,'DỮ LIỆU'!$C$3:$C$1052,0))),""))</f>
        <v/>
      </c>
      <c r="E275" s="21" t="str">
        <f aca="false">IF($B275="","",IFERROR(IF(INDEX('DỮ LIỆU'!$F$3:$F$1052,MATCH($B275,'DỮ LIỆU'!$C$3:$C$1052,0))="","",INDEX('DỮ LIỆU'!$F$3:$F$1052,MATCH($B275,'DỮ LIỆU'!$C$3:$C$1052,0))),""))</f>
        <v/>
      </c>
      <c r="F275" s="21" t="str">
        <f aca="false">IF($B275="","",IFERROR(IF(INDEX('DỮ LIỆU'!$G$3:$G$1052,MATCH($B275,'DỮ LIỆU'!$C$3:$C$1052,0))="","",INDEX('DỮ LIỆU'!$G$3:$G$1052,MATCH($B275,'DỮ LIỆU'!$C$3:$C$1052,0))),""))</f>
        <v/>
      </c>
      <c r="G275" s="13" t="str">
        <f aca="false">IF($B275="","",COUNTIFS('DỮ LIỆU'!$C$3:$C$1052,$B275,'DỮ LIỆU'!$J$3:$J$1052,"&gt;0"))</f>
        <v/>
      </c>
      <c r="H275" s="13" t="str">
        <f aca="false">IF($B275="","",SUMIF('DỮ LIỆU'!$C$3:$C$1052,$B275,'DỮ LIỆU'!$J$3:$J$1052))</f>
        <v/>
      </c>
      <c r="I275" s="13" t="str">
        <f aca="false">IF($B275="","",SUMIF('DỮ LIỆU'!$C$3:$C$1052,$B275,'DỮ LIỆU'!$M$3:$M$1052))</f>
        <v/>
      </c>
      <c r="J275" s="13" t="str">
        <f aca="false">IF($B275="","",SUMIF('DỮ LIỆU'!$C$3:$C$1052,$B275,'DỮ LIỆU'!$N$3:$N$1052))</f>
        <v/>
      </c>
      <c r="K275" s="13" t="str">
        <f aca="false">IF($B275="","",SUMIF('DỮ LIỆU'!$C$3:$C$1052,$B275,'DỮ LIỆU'!$O$3:$O$1052))</f>
        <v/>
      </c>
      <c r="L275" s="13" t="str">
        <f aca="false">IF($B275="","",SUMIF('DỮ LIỆU'!$C$3:$C$1052,$B275,'DỮ LIỆU'!$Q$3:$Q$1052))</f>
        <v/>
      </c>
      <c r="M275" s="41" t="str">
        <f aca="false">IF($B275="","",IF(SUMPRODUCT(MAX(('DỮ LIỆU'!$C$3:$C$1052=$B275)*'DỮ LIỆU'!$Z$3:$Z$1052))=0,"",SUMPRODUCT(MAX(('DỮ LIỆU'!$C$3:$C$1052=$B275)*'DỮ LIỆU'!$Z$3:$Z$1052))))</f>
        <v/>
      </c>
      <c r="N275" s="21" t="str">
        <f aca="false">IF($B275="","",IF($G275=0,"Chưa có đơn",IF(COUNTIFS('DỮ LIỆU'!$C$3:$C$1052,$B275,'DỮ LIỆU'!$K$3:$K$1052,"&gt;0")&gt;0,"Có lấy VAT","Không lấy VAT")))</f>
        <v/>
      </c>
    </row>
    <row r="276" customFormat="false" ht="15" hidden="false" customHeight="false" outlineLevel="0" collapsed="false">
      <c r="A276" s="21" t="str">
        <f aca="false">IF($B276="","",271)</f>
        <v/>
      </c>
      <c r="B276" s="21" t="str">
        <f aca="false">IFERROR(INDEX('DỮ LIỆU'!$C$3:$C$1052,MATCH(271,'DỮ LIỆU'!$W$3:$W$1052,0)),"")</f>
        <v/>
      </c>
      <c r="C276" s="21" t="str">
        <f aca="false">IF($B276="","",IFERROR(IF(INDEX('DỮ LIỆU'!$D$3:$D$1052,MATCH($B276,'DỮ LIỆU'!$C$3:$C$1052,0))="","",INDEX('DỮ LIỆU'!$D$3:$D$1052,MATCH($B276,'DỮ LIỆU'!$C$3:$C$1052,0))),""))</f>
        <v/>
      </c>
      <c r="D276" s="21" t="str">
        <f aca="false">IF($B276="","",IFERROR(IF(INDEX('DỮ LIỆU'!$E$3:$E$1052,MATCH($B276,'DỮ LIỆU'!$C$3:$C$1052,0))="","",INDEX('DỮ LIỆU'!$E$3:$E$1052,MATCH($B276,'DỮ LIỆU'!$C$3:$C$1052,0))),""))</f>
        <v/>
      </c>
      <c r="E276" s="21" t="str">
        <f aca="false">IF($B276="","",IFERROR(IF(INDEX('DỮ LIỆU'!$F$3:$F$1052,MATCH($B276,'DỮ LIỆU'!$C$3:$C$1052,0))="","",INDEX('DỮ LIỆU'!$F$3:$F$1052,MATCH($B276,'DỮ LIỆU'!$C$3:$C$1052,0))),""))</f>
        <v/>
      </c>
      <c r="F276" s="21" t="str">
        <f aca="false">IF($B276="","",IFERROR(IF(INDEX('DỮ LIỆU'!$G$3:$G$1052,MATCH($B276,'DỮ LIỆU'!$C$3:$C$1052,0))="","",INDEX('DỮ LIỆU'!$G$3:$G$1052,MATCH($B276,'DỮ LIỆU'!$C$3:$C$1052,0))),""))</f>
        <v/>
      </c>
      <c r="G276" s="13" t="str">
        <f aca="false">IF($B276="","",COUNTIFS('DỮ LIỆU'!$C$3:$C$1052,$B276,'DỮ LIỆU'!$J$3:$J$1052,"&gt;0"))</f>
        <v/>
      </c>
      <c r="H276" s="13" t="str">
        <f aca="false">IF($B276="","",SUMIF('DỮ LIỆU'!$C$3:$C$1052,$B276,'DỮ LIỆU'!$J$3:$J$1052))</f>
        <v/>
      </c>
      <c r="I276" s="13" t="str">
        <f aca="false">IF($B276="","",SUMIF('DỮ LIỆU'!$C$3:$C$1052,$B276,'DỮ LIỆU'!$M$3:$M$1052))</f>
        <v/>
      </c>
      <c r="J276" s="13" t="str">
        <f aca="false">IF($B276="","",SUMIF('DỮ LIỆU'!$C$3:$C$1052,$B276,'DỮ LIỆU'!$N$3:$N$1052))</f>
        <v/>
      </c>
      <c r="K276" s="13" t="str">
        <f aca="false">IF($B276="","",SUMIF('DỮ LIỆU'!$C$3:$C$1052,$B276,'DỮ LIỆU'!$O$3:$O$1052))</f>
        <v/>
      </c>
      <c r="L276" s="13" t="str">
        <f aca="false">IF($B276="","",SUMIF('DỮ LIỆU'!$C$3:$C$1052,$B276,'DỮ LIỆU'!$Q$3:$Q$1052))</f>
        <v/>
      </c>
      <c r="M276" s="41" t="str">
        <f aca="false">IF($B276="","",IF(SUMPRODUCT(MAX(('DỮ LIỆU'!$C$3:$C$1052=$B276)*'DỮ LIỆU'!$Z$3:$Z$1052))=0,"",SUMPRODUCT(MAX(('DỮ LIỆU'!$C$3:$C$1052=$B276)*'DỮ LIỆU'!$Z$3:$Z$1052))))</f>
        <v/>
      </c>
      <c r="N276" s="21" t="str">
        <f aca="false">IF($B276="","",IF($G276=0,"Chưa có đơn",IF(COUNTIFS('DỮ LIỆU'!$C$3:$C$1052,$B276,'DỮ LIỆU'!$K$3:$K$1052,"&gt;0")&gt;0,"Có lấy VAT","Không lấy VAT")))</f>
        <v/>
      </c>
    </row>
    <row r="277" customFormat="false" ht="15" hidden="false" customHeight="false" outlineLevel="0" collapsed="false">
      <c r="A277" s="21" t="str">
        <f aca="false">IF($B277="","",272)</f>
        <v/>
      </c>
      <c r="B277" s="21" t="str">
        <f aca="false">IFERROR(INDEX('DỮ LIỆU'!$C$3:$C$1052,MATCH(272,'DỮ LIỆU'!$W$3:$W$1052,0)),"")</f>
        <v/>
      </c>
      <c r="C277" s="21" t="str">
        <f aca="false">IF($B277="","",IFERROR(IF(INDEX('DỮ LIỆU'!$D$3:$D$1052,MATCH($B277,'DỮ LIỆU'!$C$3:$C$1052,0))="","",INDEX('DỮ LIỆU'!$D$3:$D$1052,MATCH($B277,'DỮ LIỆU'!$C$3:$C$1052,0))),""))</f>
        <v/>
      </c>
      <c r="D277" s="21" t="str">
        <f aca="false">IF($B277="","",IFERROR(IF(INDEX('DỮ LIỆU'!$E$3:$E$1052,MATCH($B277,'DỮ LIỆU'!$C$3:$C$1052,0))="","",INDEX('DỮ LIỆU'!$E$3:$E$1052,MATCH($B277,'DỮ LIỆU'!$C$3:$C$1052,0))),""))</f>
        <v/>
      </c>
      <c r="E277" s="21" t="str">
        <f aca="false">IF($B277="","",IFERROR(IF(INDEX('DỮ LIỆU'!$F$3:$F$1052,MATCH($B277,'DỮ LIỆU'!$C$3:$C$1052,0))="","",INDEX('DỮ LIỆU'!$F$3:$F$1052,MATCH($B277,'DỮ LIỆU'!$C$3:$C$1052,0))),""))</f>
        <v/>
      </c>
      <c r="F277" s="21" t="str">
        <f aca="false">IF($B277="","",IFERROR(IF(INDEX('DỮ LIỆU'!$G$3:$G$1052,MATCH($B277,'DỮ LIỆU'!$C$3:$C$1052,0))="","",INDEX('DỮ LIỆU'!$G$3:$G$1052,MATCH($B277,'DỮ LIỆU'!$C$3:$C$1052,0))),""))</f>
        <v/>
      </c>
      <c r="G277" s="13" t="str">
        <f aca="false">IF($B277="","",COUNTIFS('DỮ LIỆU'!$C$3:$C$1052,$B277,'DỮ LIỆU'!$J$3:$J$1052,"&gt;0"))</f>
        <v/>
      </c>
      <c r="H277" s="13" t="str">
        <f aca="false">IF($B277="","",SUMIF('DỮ LIỆU'!$C$3:$C$1052,$B277,'DỮ LIỆU'!$J$3:$J$1052))</f>
        <v/>
      </c>
      <c r="I277" s="13" t="str">
        <f aca="false">IF($B277="","",SUMIF('DỮ LIỆU'!$C$3:$C$1052,$B277,'DỮ LIỆU'!$M$3:$M$1052))</f>
        <v/>
      </c>
      <c r="J277" s="13" t="str">
        <f aca="false">IF($B277="","",SUMIF('DỮ LIỆU'!$C$3:$C$1052,$B277,'DỮ LIỆU'!$N$3:$N$1052))</f>
        <v/>
      </c>
      <c r="K277" s="13" t="str">
        <f aca="false">IF($B277="","",SUMIF('DỮ LIỆU'!$C$3:$C$1052,$B277,'DỮ LIỆU'!$O$3:$O$1052))</f>
        <v/>
      </c>
      <c r="L277" s="13" t="str">
        <f aca="false">IF($B277="","",SUMIF('DỮ LIỆU'!$C$3:$C$1052,$B277,'DỮ LIỆU'!$Q$3:$Q$1052))</f>
        <v/>
      </c>
      <c r="M277" s="41" t="str">
        <f aca="false">IF($B277="","",IF(SUMPRODUCT(MAX(('DỮ LIỆU'!$C$3:$C$1052=$B277)*'DỮ LIỆU'!$Z$3:$Z$1052))=0,"",SUMPRODUCT(MAX(('DỮ LIỆU'!$C$3:$C$1052=$B277)*'DỮ LIỆU'!$Z$3:$Z$1052))))</f>
        <v/>
      </c>
      <c r="N277" s="21" t="str">
        <f aca="false">IF($B277="","",IF($G277=0,"Chưa có đơn",IF(COUNTIFS('DỮ LIỆU'!$C$3:$C$1052,$B277,'DỮ LIỆU'!$K$3:$K$1052,"&gt;0")&gt;0,"Có lấy VAT","Không lấy VAT")))</f>
        <v/>
      </c>
    </row>
    <row r="278" customFormat="false" ht="15" hidden="false" customHeight="false" outlineLevel="0" collapsed="false">
      <c r="A278" s="21" t="str">
        <f aca="false">IF($B278="","",273)</f>
        <v/>
      </c>
      <c r="B278" s="21" t="str">
        <f aca="false">IFERROR(INDEX('DỮ LIỆU'!$C$3:$C$1052,MATCH(273,'DỮ LIỆU'!$W$3:$W$1052,0)),"")</f>
        <v/>
      </c>
      <c r="C278" s="21" t="str">
        <f aca="false">IF($B278="","",IFERROR(IF(INDEX('DỮ LIỆU'!$D$3:$D$1052,MATCH($B278,'DỮ LIỆU'!$C$3:$C$1052,0))="","",INDEX('DỮ LIỆU'!$D$3:$D$1052,MATCH($B278,'DỮ LIỆU'!$C$3:$C$1052,0))),""))</f>
        <v/>
      </c>
      <c r="D278" s="21" t="str">
        <f aca="false">IF($B278="","",IFERROR(IF(INDEX('DỮ LIỆU'!$E$3:$E$1052,MATCH($B278,'DỮ LIỆU'!$C$3:$C$1052,0))="","",INDEX('DỮ LIỆU'!$E$3:$E$1052,MATCH($B278,'DỮ LIỆU'!$C$3:$C$1052,0))),""))</f>
        <v/>
      </c>
      <c r="E278" s="21" t="str">
        <f aca="false">IF($B278="","",IFERROR(IF(INDEX('DỮ LIỆU'!$F$3:$F$1052,MATCH($B278,'DỮ LIỆU'!$C$3:$C$1052,0))="","",INDEX('DỮ LIỆU'!$F$3:$F$1052,MATCH($B278,'DỮ LIỆU'!$C$3:$C$1052,0))),""))</f>
        <v/>
      </c>
      <c r="F278" s="21" t="str">
        <f aca="false">IF($B278="","",IFERROR(IF(INDEX('DỮ LIỆU'!$G$3:$G$1052,MATCH($B278,'DỮ LIỆU'!$C$3:$C$1052,0))="","",INDEX('DỮ LIỆU'!$G$3:$G$1052,MATCH($B278,'DỮ LIỆU'!$C$3:$C$1052,0))),""))</f>
        <v/>
      </c>
      <c r="G278" s="13" t="str">
        <f aca="false">IF($B278="","",COUNTIFS('DỮ LIỆU'!$C$3:$C$1052,$B278,'DỮ LIỆU'!$J$3:$J$1052,"&gt;0"))</f>
        <v/>
      </c>
      <c r="H278" s="13" t="str">
        <f aca="false">IF($B278="","",SUMIF('DỮ LIỆU'!$C$3:$C$1052,$B278,'DỮ LIỆU'!$J$3:$J$1052))</f>
        <v/>
      </c>
      <c r="I278" s="13" t="str">
        <f aca="false">IF($B278="","",SUMIF('DỮ LIỆU'!$C$3:$C$1052,$B278,'DỮ LIỆU'!$M$3:$M$1052))</f>
        <v/>
      </c>
      <c r="J278" s="13" t="str">
        <f aca="false">IF($B278="","",SUMIF('DỮ LIỆU'!$C$3:$C$1052,$B278,'DỮ LIỆU'!$N$3:$N$1052))</f>
        <v/>
      </c>
      <c r="K278" s="13" t="str">
        <f aca="false">IF($B278="","",SUMIF('DỮ LIỆU'!$C$3:$C$1052,$B278,'DỮ LIỆU'!$O$3:$O$1052))</f>
        <v/>
      </c>
      <c r="L278" s="13" t="str">
        <f aca="false">IF($B278="","",SUMIF('DỮ LIỆU'!$C$3:$C$1052,$B278,'DỮ LIỆU'!$Q$3:$Q$1052))</f>
        <v/>
      </c>
      <c r="M278" s="41" t="str">
        <f aca="false">IF($B278="","",IF(SUMPRODUCT(MAX(('DỮ LIỆU'!$C$3:$C$1052=$B278)*'DỮ LIỆU'!$Z$3:$Z$1052))=0,"",SUMPRODUCT(MAX(('DỮ LIỆU'!$C$3:$C$1052=$B278)*'DỮ LIỆU'!$Z$3:$Z$1052))))</f>
        <v/>
      </c>
      <c r="N278" s="21" t="str">
        <f aca="false">IF($B278="","",IF($G278=0,"Chưa có đơn",IF(COUNTIFS('DỮ LIỆU'!$C$3:$C$1052,$B278,'DỮ LIỆU'!$K$3:$K$1052,"&gt;0")&gt;0,"Có lấy VAT","Không lấy VAT")))</f>
        <v/>
      </c>
    </row>
    <row r="279" customFormat="false" ht="15" hidden="false" customHeight="false" outlineLevel="0" collapsed="false">
      <c r="A279" s="21" t="str">
        <f aca="false">IF($B279="","",274)</f>
        <v/>
      </c>
      <c r="B279" s="21" t="str">
        <f aca="false">IFERROR(INDEX('DỮ LIỆU'!$C$3:$C$1052,MATCH(274,'DỮ LIỆU'!$W$3:$W$1052,0)),"")</f>
        <v/>
      </c>
      <c r="C279" s="21" t="str">
        <f aca="false">IF($B279="","",IFERROR(IF(INDEX('DỮ LIỆU'!$D$3:$D$1052,MATCH($B279,'DỮ LIỆU'!$C$3:$C$1052,0))="","",INDEX('DỮ LIỆU'!$D$3:$D$1052,MATCH($B279,'DỮ LIỆU'!$C$3:$C$1052,0))),""))</f>
        <v/>
      </c>
      <c r="D279" s="21" t="str">
        <f aca="false">IF($B279="","",IFERROR(IF(INDEX('DỮ LIỆU'!$E$3:$E$1052,MATCH($B279,'DỮ LIỆU'!$C$3:$C$1052,0))="","",INDEX('DỮ LIỆU'!$E$3:$E$1052,MATCH($B279,'DỮ LIỆU'!$C$3:$C$1052,0))),""))</f>
        <v/>
      </c>
      <c r="E279" s="21" t="str">
        <f aca="false">IF($B279="","",IFERROR(IF(INDEX('DỮ LIỆU'!$F$3:$F$1052,MATCH($B279,'DỮ LIỆU'!$C$3:$C$1052,0))="","",INDEX('DỮ LIỆU'!$F$3:$F$1052,MATCH($B279,'DỮ LIỆU'!$C$3:$C$1052,0))),""))</f>
        <v/>
      </c>
      <c r="F279" s="21" t="str">
        <f aca="false">IF($B279="","",IFERROR(IF(INDEX('DỮ LIỆU'!$G$3:$G$1052,MATCH($B279,'DỮ LIỆU'!$C$3:$C$1052,0))="","",INDEX('DỮ LIỆU'!$G$3:$G$1052,MATCH($B279,'DỮ LIỆU'!$C$3:$C$1052,0))),""))</f>
        <v/>
      </c>
      <c r="G279" s="13" t="str">
        <f aca="false">IF($B279="","",COUNTIFS('DỮ LIỆU'!$C$3:$C$1052,$B279,'DỮ LIỆU'!$J$3:$J$1052,"&gt;0"))</f>
        <v/>
      </c>
      <c r="H279" s="13" t="str">
        <f aca="false">IF($B279="","",SUMIF('DỮ LIỆU'!$C$3:$C$1052,$B279,'DỮ LIỆU'!$J$3:$J$1052))</f>
        <v/>
      </c>
      <c r="I279" s="13" t="str">
        <f aca="false">IF($B279="","",SUMIF('DỮ LIỆU'!$C$3:$C$1052,$B279,'DỮ LIỆU'!$M$3:$M$1052))</f>
        <v/>
      </c>
      <c r="J279" s="13" t="str">
        <f aca="false">IF($B279="","",SUMIF('DỮ LIỆU'!$C$3:$C$1052,$B279,'DỮ LIỆU'!$N$3:$N$1052))</f>
        <v/>
      </c>
      <c r="K279" s="13" t="str">
        <f aca="false">IF($B279="","",SUMIF('DỮ LIỆU'!$C$3:$C$1052,$B279,'DỮ LIỆU'!$O$3:$O$1052))</f>
        <v/>
      </c>
      <c r="L279" s="13" t="str">
        <f aca="false">IF($B279="","",SUMIF('DỮ LIỆU'!$C$3:$C$1052,$B279,'DỮ LIỆU'!$Q$3:$Q$1052))</f>
        <v/>
      </c>
      <c r="M279" s="41" t="str">
        <f aca="false">IF($B279="","",IF(SUMPRODUCT(MAX(('DỮ LIỆU'!$C$3:$C$1052=$B279)*'DỮ LIỆU'!$Z$3:$Z$1052))=0,"",SUMPRODUCT(MAX(('DỮ LIỆU'!$C$3:$C$1052=$B279)*'DỮ LIỆU'!$Z$3:$Z$1052))))</f>
        <v/>
      </c>
      <c r="N279" s="21" t="str">
        <f aca="false">IF($B279="","",IF($G279=0,"Chưa có đơn",IF(COUNTIFS('DỮ LIỆU'!$C$3:$C$1052,$B279,'DỮ LIỆU'!$K$3:$K$1052,"&gt;0")&gt;0,"Có lấy VAT","Không lấy VAT")))</f>
        <v/>
      </c>
    </row>
    <row r="280" customFormat="false" ht="15" hidden="false" customHeight="false" outlineLevel="0" collapsed="false">
      <c r="A280" s="21" t="str">
        <f aca="false">IF($B280="","",275)</f>
        <v/>
      </c>
      <c r="B280" s="21" t="str">
        <f aca="false">IFERROR(INDEX('DỮ LIỆU'!$C$3:$C$1052,MATCH(275,'DỮ LIỆU'!$W$3:$W$1052,0)),"")</f>
        <v/>
      </c>
      <c r="C280" s="21" t="str">
        <f aca="false">IF($B280="","",IFERROR(IF(INDEX('DỮ LIỆU'!$D$3:$D$1052,MATCH($B280,'DỮ LIỆU'!$C$3:$C$1052,0))="","",INDEX('DỮ LIỆU'!$D$3:$D$1052,MATCH($B280,'DỮ LIỆU'!$C$3:$C$1052,0))),""))</f>
        <v/>
      </c>
      <c r="D280" s="21" t="str">
        <f aca="false">IF($B280="","",IFERROR(IF(INDEX('DỮ LIỆU'!$E$3:$E$1052,MATCH($B280,'DỮ LIỆU'!$C$3:$C$1052,0))="","",INDEX('DỮ LIỆU'!$E$3:$E$1052,MATCH($B280,'DỮ LIỆU'!$C$3:$C$1052,0))),""))</f>
        <v/>
      </c>
      <c r="E280" s="21" t="str">
        <f aca="false">IF($B280="","",IFERROR(IF(INDEX('DỮ LIỆU'!$F$3:$F$1052,MATCH($B280,'DỮ LIỆU'!$C$3:$C$1052,0))="","",INDEX('DỮ LIỆU'!$F$3:$F$1052,MATCH($B280,'DỮ LIỆU'!$C$3:$C$1052,0))),""))</f>
        <v/>
      </c>
      <c r="F280" s="21" t="str">
        <f aca="false">IF($B280="","",IFERROR(IF(INDEX('DỮ LIỆU'!$G$3:$G$1052,MATCH($B280,'DỮ LIỆU'!$C$3:$C$1052,0))="","",INDEX('DỮ LIỆU'!$G$3:$G$1052,MATCH($B280,'DỮ LIỆU'!$C$3:$C$1052,0))),""))</f>
        <v/>
      </c>
      <c r="G280" s="13" t="str">
        <f aca="false">IF($B280="","",COUNTIFS('DỮ LIỆU'!$C$3:$C$1052,$B280,'DỮ LIỆU'!$J$3:$J$1052,"&gt;0"))</f>
        <v/>
      </c>
      <c r="H280" s="13" t="str">
        <f aca="false">IF($B280="","",SUMIF('DỮ LIỆU'!$C$3:$C$1052,$B280,'DỮ LIỆU'!$J$3:$J$1052))</f>
        <v/>
      </c>
      <c r="I280" s="13" t="str">
        <f aca="false">IF($B280="","",SUMIF('DỮ LIỆU'!$C$3:$C$1052,$B280,'DỮ LIỆU'!$M$3:$M$1052))</f>
        <v/>
      </c>
      <c r="J280" s="13" t="str">
        <f aca="false">IF($B280="","",SUMIF('DỮ LIỆU'!$C$3:$C$1052,$B280,'DỮ LIỆU'!$N$3:$N$1052))</f>
        <v/>
      </c>
      <c r="K280" s="13" t="str">
        <f aca="false">IF($B280="","",SUMIF('DỮ LIỆU'!$C$3:$C$1052,$B280,'DỮ LIỆU'!$O$3:$O$1052))</f>
        <v/>
      </c>
      <c r="L280" s="13" t="str">
        <f aca="false">IF($B280="","",SUMIF('DỮ LIỆU'!$C$3:$C$1052,$B280,'DỮ LIỆU'!$Q$3:$Q$1052))</f>
        <v/>
      </c>
      <c r="M280" s="41" t="str">
        <f aca="false">IF($B280="","",IF(SUMPRODUCT(MAX(('DỮ LIỆU'!$C$3:$C$1052=$B280)*'DỮ LIỆU'!$Z$3:$Z$1052))=0,"",SUMPRODUCT(MAX(('DỮ LIỆU'!$C$3:$C$1052=$B280)*'DỮ LIỆU'!$Z$3:$Z$1052))))</f>
        <v/>
      </c>
      <c r="N280" s="21" t="str">
        <f aca="false">IF($B280="","",IF($G280=0,"Chưa có đơn",IF(COUNTIFS('DỮ LIỆU'!$C$3:$C$1052,$B280,'DỮ LIỆU'!$K$3:$K$1052,"&gt;0")&gt;0,"Có lấy VAT","Không lấy VAT")))</f>
        <v/>
      </c>
    </row>
    <row r="281" customFormat="false" ht="15" hidden="false" customHeight="false" outlineLevel="0" collapsed="false">
      <c r="A281" s="21" t="str">
        <f aca="false">IF($B281="","",276)</f>
        <v/>
      </c>
      <c r="B281" s="21" t="str">
        <f aca="false">IFERROR(INDEX('DỮ LIỆU'!$C$3:$C$1052,MATCH(276,'DỮ LIỆU'!$W$3:$W$1052,0)),"")</f>
        <v/>
      </c>
      <c r="C281" s="21" t="str">
        <f aca="false">IF($B281="","",IFERROR(IF(INDEX('DỮ LIỆU'!$D$3:$D$1052,MATCH($B281,'DỮ LIỆU'!$C$3:$C$1052,0))="","",INDEX('DỮ LIỆU'!$D$3:$D$1052,MATCH($B281,'DỮ LIỆU'!$C$3:$C$1052,0))),""))</f>
        <v/>
      </c>
      <c r="D281" s="21" t="str">
        <f aca="false">IF($B281="","",IFERROR(IF(INDEX('DỮ LIỆU'!$E$3:$E$1052,MATCH($B281,'DỮ LIỆU'!$C$3:$C$1052,0))="","",INDEX('DỮ LIỆU'!$E$3:$E$1052,MATCH($B281,'DỮ LIỆU'!$C$3:$C$1052,0))),""))</f>
        <v/>
      </c>
      <c r="E281" s="21" t="str">
        <f aca="false">IF($B281="","",IFERROR(IF(INDEX('DỮ LIỆU'!$F$3:$F$1052,MATCH($B281,'DỮ LIỆU'!$C$3:$C$1052,0))="","",INDEX('DỮ LIỆU'!$F$3:$F$1052,MATCH($B281,'DỮ LIỆU'!$C$3:$C$1052,0))),""))</f>
        <v/>
      </c>
      <c r="F281" s="21" t="str">
        <f aca="false">IF($B281="","",IFERROR(IF(INDEX('DỮ LIỆU'!$G$3:$G$1052,MATCH($B281,'DỮ LIỆU'!$C$3:$C$1052,0))="","",INDEX('DỮ LIỆU'!$G$3:$G$1052,MATCH($B281,'DỮ LIỆU'!$C$3:$C$1052,0))),""))</f>
        <v/>
      </c>
      <c r="G281" s="13" t="str">
        <f aca="false">IF($B281="","",COUNTIFS('DỮ LIỆU'!$C$3:$C$1052,$B281,'DỮ LIỆU'!$J$3:$J$1052,"&gt;0"))</f>
        <v/>
      </c>
      <c r="H281" s="13" t="str">
        <f aca="false">IF($B281="","",SUMIF('DỮ LIỆU'!$C$3:$C$1052,$B281,'DỮ LIỆU'!$J$3:$J$1052))</f>
        <v/>
      </c>
      <c r="I281" s="13" t="str">
        <f aca="false">IF($B281="","",SUMIF('DỮ LIỆU'!$C$3:$C$1052,$B281,'DỮ LIỆU'!$M$3:$M$1052))</f>
        <v/>
      </c>
      <c r="J281" s="13" t="str">
        <f aca="false">IF($B281="","",SUMIF('DỮ LIỆU'!$C$3:$C$1052,$B281,'DỮ LIỆU'!$N$3:$N$1052))</f>
        <v/>
      </c>
      <c r="K281" s="13" t="str">
        <f aca="false">IF($B281="","",SUMIF('DỮ LIỆU'!$C$3:$C$1052,$B281,'DỮ LIỆU'!$O$3:$O$1052))</f>
        <v/>
      </c>
      <c r="L281" s="13" t="str">
        <f aca="false">IF($B281="","",SUMIF('DỮ LIỆU'!$C$3:$C$1052,$B281,'DỮ LIỆU'!$Q$3:$Q$1052))</f>
        <v/>
      </c>
      <c r="M281" s="41" t="str">
        <f aca="false">IF($B281="","",IF(SUMPRODUCT(MAX(('DỮ LIỆU'!$C$3:$C$1052=$B281)*'DỮ LIỆU'!$Z$3:$Z$1052))=0,"",SUMPRODUCT(MAX(('DỮ LIỆU'!$C$3:$C$1052=$B281)*'DỮ LIỆU'!$Z$3:$Z$1052))))</f>
        <v/>
      </c>
      <c r="N281" s="21" t="str">
        <f aca="false">IF($B281="","",IF($G281=0,"Chưa có đơn",IF(COUNTIFS('DỮ LIỆU'!$C$3:$C$1052,$B281,'DỮ LIỆU'!$K$3:$K$1052,"&gt;0")&gt;0,"Có lấy VAT","Không lấy VAT")))</f>
        <v/>
      </c>
    </row>
    <row r="282" customFormat="false" ht="15" hidden="false" customHeight="false" outlineLevel="0" collapsed="false">
      <c r="A282" s="21" t="str">
        <f aca="false">IF($B282="","",277)</f>
        <v/>
      </c>
      <c r="B282" s="21" t="str">
        <f aca="false">IFERROR(INDEX('DỮ LIỆU'!$C$3:$C$1052,MATCH(277,'DỮ LIỆU'!$W$3:$W$1052,0)),"")</f>
        <v/>
      </c>
      <c r="C282" s="21" t="str">
        <f aca="false">IF($B282="","",IFERROR(IF(INDEX('DỮ LIỆU'!$D$3:$D$1052,MATCH($B282,'DỮ LIỆU'!$C$3:$C$1052,0))="","",INDEX('DỮ LIỆU'!$D$3:$D$1052,MATCH($B282,'DỮ LIỆU'!$C$3:$C$1052,0))),""))</f>
        <v/>
      </c>
      <c r="D282" s="21" t="str">
        <f aca="false">IF($B282="","",IFERROR(IF(INDEX('DỮ LIỆU'!$E$3:$E$1052,MATCH($B282,'DỮ LIỆU'!$C$3:$C$1052,0))="","",INDEX('DỮ LIỆU'!$E$3:$E$1052,MATCH($B282,'DỮ LIỆU'!$C$3:$C$1052,0))),""))</f>
        <v/>
      </c>
      <c r="E282" s="21" t="str">
        <f aca="false">IF($B282="","",IFERROR(IF(INDEX('DỮ LIỆU'!$F$3:$F$1052,MATCH($B282,'DỮ LIỆU'!$C$3:$C$1052,0))="","",INDEX('DỮ LIỆU'!$F$3:$F$1052,MATCH($B282,'DỮ LIỆU'!$C$3:$C$1052,0))),""))</f>
        <v/>
      </c>
      <c r="F282" s="21" t="str">
        <f aca="false">IF($B282="","",IFERROR(IF(INDEX('DỮ LIỆU'!$G$3:$G$1052,MATCH($B282,'DỮ LIỆU'!$C$3:$C$1052,0))="","",INDEX('DỮ LIỆU'!$G$3:$G$1052,MATCH($B282,'DỮ LIỆU'!$C$3:$C$1052,0))),""))</f>
        <v/>
      </c>
      <c r="G282" s="13" t="str">
        <f aca="false">IF($B282="","",COUNTIFS('DỮ LIỆU'!$C$3:$C$1052,$B282,'DỮ LIỆU'!$J$3:$J$1052,"&gt;0"))</f>
        <v/>
      </c>
      <c r="H282" s="13" t="str">
        <f aca="false">IF($B282="","",SUMIF('DỮ LIỆU'!$C$3:$C$1052,$B282,'DỮ LIỆU'!$J$3:$J$1052))</f>
        <v/>
      </c>
      <c r="I282" s="13" t="str">
        <f aca="false">IF($B282="","",SUMIF('DỮ LIỆU'!$C$3:$C$1052,$B282,'DỮ LIỆU'!$M$3:$M$1052))</f>
        <v/>
      </c>
      <c r="J282" s="13" t="str">
        <f aca="false">IF($B282="","",SUMIF('DỮ LIỆU'!$C$3:$C$1052,$B282,'DỮ LIỆU'!$N$3:$N$1052))</f>
        <v/>
      </c>
      <c r="K282" s="13" t="str">
        <f aca="false">IF($B282="","",SUMIF('DỮ LIỆU'!$C$3:$C$1052,$B282,'DỮ LIỆU'!$O$3:$O$1052))</f>
        <v/>
      </c>
      <c r="L282" s="13" t="str">
        <f aca="false">IF($B282="","",SUMIF('DỮ LIỆU'!$C$3:$C$1052,$B282,'DỮ LIỆU'!$Q$3:$Q$1052))</f>
        <v/>
      </c>
      <c r="M282" s="41" t="str">
        <f aca="false">IF($B282="","",IF(SUMPRODUCT(MAX(('DỮ LIỆU'!$C$3:$C$1052=$B282)*'DỮ LIỆU'!$Z$3:$Z$1052))=0,"",SUMPRODUCT(MAX(('DỮ LIỆU'!$C$3:$C$1052=$B282)*'DỮ LIỆU'!$Z$3:$Z$1052))))</f>
        <v/>
      </c>
      <c r="N282" s="21" t="str">
        <f aca="false">IF($B282="","",IF($G282=0,"Chưa có đơn",IF(COUNTIFS('DỮ LIỆU'!$C$3:$C$1052,$B282,'DỮ LIỆU'!$K$3:$K$1052,"&gt;0")&gt;0,"Có lấy VAT","Không lấy VAT")))</f>
        <v/>
      </c>
    </row>
    <row r="283" customFormat="false" ht="15" hidden="false" customHeight="false" outlineLevel="0" collapsed="false">
      <c r="A283" s="21" t="str">
        <f aca="false">IF($B283="","",278)</f>
        <v/>
      </c>
      <c r="B283" s="21" t="str">
        <f aca="false">IFERROR(INDEX('DỮ LIỆU'!$C$3:$C$1052,MATCH(278,'DỮ LIỆU'!$W$3:$W$1052,0)),"")</f>
        <v/>
      </c>
      <c r="C283" s="21" t="str">
        <f aca="false">IF($B283="","",IFERROR(IF(INDEX('DỮ LIỆU'!$D$3:$D$1052,MATCH($B283,'DỮ LIỆU'!$C$3:$C$1052,0))="","",INDEX('DỮ LIỆU'!$D$3:$D$1052,MATCH($B283,'DỮ LIỆU'!$C$3:$C$1052,0))),""))</f>
        <v/>
      </c>
      <c r="D283" s="21" t="str">
        <f aca="false">IF($B283="","",IFERROR(IF(INDEX('DỮ LIỆU'!$E$3:$E$1052,MATCH($B283,'DỮ LIỆU'!$C$3:$C$1052,0))="","",INDEX('DỮ LIỆU'!$E$3:$E$1052,MATCH($B283,'DỮ LIỆU'!$C$3:$C$1052,0))),""))</f>
        <v/>
      </c>
      <c r="E283" s="21" t="str">
        <f aca="false">IF($B283="","",IFERROR(IF(INDEX('DỮ LIỆU'!$F$3:$F$1052,MATCH($B283,'DỮ LIỆU'!$C$3:$C$1052,0))="","",INDEX('DỮ LIỆU'!$F$3:$F$1052,MATCH($B283,'DỮ LIỆU'!$C$3:$C$1052,0))),""))</f>
        <v/>
      </c>
      <c r="F283" s="21" t="str">
        <f aca="false">IF($B283="","",IFERROR(IF(INDEX('DỮ LIỆU'!$G$3:$G$1052,MATCH($B283,'DỮ LIỆU'!$C$3:$C$1052,0))="","",INDEX('DỮ LIỆU'!$G$3:$G$1052,MATCH($B283,'DỮ LIỆU'!$C$3:$C$1052,0))),""))</f>
        <v/>
      </c>
      <c r="G283" s="13" t="str">
        <f aca="false">IF($B283="","",COUNTIFS('DỮ LIỆU'!$C$3:$C$1052,$B283,'DỮ LIỆU'!$J$3:$J$1052,"&gt;0"))</f>
        <v/>
      </c>
      <c r="H283" s="13" t="str">
        <f aca="false">IF($B283="","",SUMIF('DỮ LIỆU'!$C$3:$C$1052,$B283,'DỮ LIỆU'!$J$3:$J$1052))</f>
        <v/>
      </c>
      <c r="I283" s="13" t="str">
        <f aca="false">IF($B283="","",SUMIF('DỮ LIỆU'!$C$3:$C$1052,$B283,'DỮ LIỆU'!$M$3:$M$1052))</f>
        <v/>
      </c>
      <c r="J283" s="13" t="str">
        <f aca="false">IF($B283="","",SUMIF('DỮ LIỆU'!$C$3:$C$1052,$B283,'DỮ LIỆU'!$N$3:$N$1052))</f>
        <v/>
      </c>
      <c r="K283" s="13" t="str">
        <f aca="false">IF($B283="","",SUMIF('DỮ LIỆU'!$C$3:$C$1052,$B283,'DỮ LIỆU'!$O$3:$O$1052))</f>
        <v/>
      </c>
      <c r="L283" s="13" t="str">
        <f aca="false">IF($B283="","",SUMIF('DỮ LIỆU'!$C$3:$C$1052,$B283,'DỮ LIỆU'!$Q$3:$Q$1052))</f>
        <v/>
      </c>
      <c r="M283" s="41" t="str">
        <f aca="false">IF($B283="","",IF(SUMPRODUCT(MAX(('DỮ LIỆU'!$C$3:$C$1052=$B283)*'DỮ LIỆU'!$Z$3:$Z$1052))=0,"",SUMPRODUCT(MAX(('DỮ LIỆU'!$C$3:$C$1052=$B283)*'DỮ LIỆU'!$Z$3:$Z$1052))))</f>
        <v/>
      </c>
      <c r="N283" s="21" t="str">
        <f aca="false">IF($B283="","",IF($G283=0,"Chưa có đơn",IF(COUNTIFS('DỮ LIỆU'!$C$3:$C$1052,$B283,'DỮ LIỆU'!$K$3:$K$1052,"&gt;0")&gt;0,"Có lấy VAT","Không lấy VAT")))</f>
        <v/>
      </c>
    </row>
    <row r="284" customFormat="false" ht="15" hidden="false" customHeight="false" outlineLevel="0" collapsed="false">
      <c r="A284" s="21" t="str">
        <f aca="false">IF($B284="","",279)</f>
        <v/>
      </c>
      <c r="B284" s="21" t="str">
        <f aca="false">IFERROR(INDEX('DỮ LIỆU'!$C$3:$C$1052,MATCH(279,'DỮ LIỆU'!$W$3:$W$1052,0)),"")</f>
        <v/>
      </c>
      <c r="C284" s="21" t="str">
        <f aca="false">IF($B284="","",IFERROR(IF(INDEX('DỮ LIỆU'!$D$3:$D$1052,MATCH($B284,'DỮ LIỆU'!$C$3:$C$1052,0))="","",INDEX('DỮ LIỆU'!$D$3:$D$1052,MATCH($B284,'DỮ LIỆU'!$C$3:$C$1052,0))),""))</f>
        <v/>
      </c>
      <c r="D284" s="21" t="str">
        <f aca="false">IF($B284="","",IFERROR(IF(INDEX('DỮ LIỆU'!$E$3:$E$1052,MATCH($B284,'DỮ LIỆU'!$C$3:$C$1052,0))="","",INDEX('DỮ LIỆU'!$E$3:$E$1052,MATCH($B284,'DỮ LIỆU'!$C$3:$C$1052,0))),""))</f>
        <v/>
      </c>
      <c r="E284" s="21" t="str">
        <f aca="false">IF($B284="","",IFERROR(IF(INDEX('DỮ LIỆU'!$F$3:$F$1052,MATCH($B284,'DỮ LIỆU'!$C$3:$C$1052,0))="","",INDEX('DỮ LIỆU'!$F$3:$F$1052,MATCH($B284,'DỮ LIỆU'!$C$3:$C$1052,0))),""))</f>
        <v/>
      </c>
      <c r="F284" s="21" t="str">
        <f aca="false">IF($B284="","",IFERROR(IF(INDEX('DỮ LIỆU'!$G$3:$G$1052,MATCH($B284,'DỮ LIỆU'!$C$3:$C$1052,0))="","",INDEX('DỮ LIỆU'!$G$3:$G$1052,MATCH($B284,'DỮ LIỆU'!$C$3:$C$1052,0))),""))</f>
        <v/>
      </c>
      <c r="G284" s="13" t="str">
        <f aca="false">IF($B284="","",COUNTIFS('DỮ LIỆU'!$C$3:$C$1052,$B284,'DỮ LIỆU'!$J$3:$J$1052,"&gt;0"))</f>
        <v/>
      </c>
      <c r="H284" s="13" t="str">
        <f aca="false">IF($B284="","",SUMIF('DỮ LIỆU'!$C$3:$C$1052,$B284,'DỮ LIỆU'!$J$3:$J$1052))</f>
        <v/>
      </c>
      <c r="I284" s="13" t="str">
        <f aca="false">IF($B284="","",SUMIF('DỮ LIỆU'!$C$3:$C$1052,$B284,'DỮ LIỆU'!$M$3:$M$1052))</f>
        <v/>
      </c>
      <c r="J284" s="13" t="str">
        <f aca="false">IF($B284="","",SUMIF('DỮ LIỆU'!$C$3:$C$1052,$B284,'DỮ LIỆU'!$N$3:$N$1052))</f>
        <v/>
      </c>
      <c r="K284" s="13" t="str">
        <f aca="false">IF($B284="","",SUMIF('DỮ LIỆU'!$C$3:$C$1052,$B284,'DỮ LIỆU'!$O$3:$O$1052))</f>
        <v/>
      </c>
      <c r="L284" s="13" t="str">
        <f aca="false">IF($B284="","",SUMIF('DỮ LIỆU'!$C$3:$C$1052,$B284,'DỮ LIỆU'!$Q$3:$Q$1052))</f>
        <v/>
      </c>
      <c r="M284" s="41" t="str">
        <f aca="false">IF($B284="","",IF(SUMPRODUCT(MAX(('DỮ LIỆU'!$C$3:$C$1052=$B284)*'DỮ LIỆU'!$Z$3:$Z$1052))=0,"",SUMPRODUCT(MAX(('DỮ LIỆU'!$C$3:$C$1052=$B284)*'DỮ LIỆU'!$Z$3:$Z$1052))))</f>
        <v/>
      </c>
      <c r="N284" s="21" t="str">
        <f aca="false">IF($B284="","",IF($G284=0,"Chưa có đơn",IF(COUNTIFS('DỮ LIỆU'!$C$3:$C$1052,$B284,'DỮ LIỆU'!$K$3:$K$1052,"&gt;0")&gt;0,"Có lấy VAT","Không lấy VAT")))</f>
        <v/>
      </c>
    </row>
    <row r="285" customFormat="false" ht="15" hidden="false" customHeight="false" outlineLevel="0" collapsed="false">
      <c r="A285" s="21" t="str">
        <f aca="false">IF($B285="","",280)</f>
        <v/>
      </c>
      <c r="B285" s="21" t="str">
        <f aca="false">IFERROR(INDEX('DỮ LIỆU'!$C$3:$C$1052,MATCH(280,'DỮ LIỆU'!$W$3:$W$1052,0)),"")</f>
        <v/>
      </c>
      <c r="C285" s="21" t="str">
        <f aca="false">IF($B285="","",IFERROR(IF(INDEX('DỮ LIỆU'!$D$3:$D$1052,MATCH($B285,'DỮ LIỆU'!$C$3:$C$1052,0))="","",INDEX('DỮ LIỆU'!$D$3:$D$1052,MATCH($B285,'DỮ LIỆU'!$C$3:$C$1052,0))),""))</f>
        <v/>
      </c>
      <c r="D285" s="21" t="str">
        <f aca="false">IF($B285="","",IFERROR(IF(INDEX('DỮ LIỆU'!$E$3:$E$1052,MATCH($B285,'DỮ LIỆU'!$C$3:$C$1052,0))="","",INDEX('DỮ LIỆU'!$E$3:$E$1052,MATCH($B285,'DỮ LIỆU'!$C$3:$C$1052,0))),""))</f>
        <v/>
      </c>
      <c r="E285" s="21" t="str">
        <f aca="false">IF($B285="","",IFERROR(IF(INDEX('DỮ LIỆU'!$F$3:$F$1052,MATCH($B285,'DỮ LIỆU'!$C$3:$C$1052,0))="","",INDEX('DỮ LIỆU'!$F$3:$F$1052,MATCH($B285,'DỮ LIỆU'!$C$3:$C$1052,0))),""))</f>
        <v/>
      </c>
      <c r="F285" s="21" t="str">
        <f aca="false">IF($B285="","",IFERROR(IF(INDEX('DỮ LIỆU'!$G$3:$G$1052,MATCH($B285,'DỮ LIỆU'!$C$3:$C$1052,0))="","",INDEX('DỮ LIỆU'!$G$3:$G$1052,MATCH($B285,'DỮ LIỆU'!$C$3:$C$1052,0))),""))</f>
        <v/>
      </c>
      <c r="G285" s="13" t="str">
        <f aca="false">IF($B285="","",COUNTIFS('DỮ LIỆU'!$C$3:$C$1052,$B285,'DỮ LIỆU'!$J$3:$J$1052,"&gt;0"))</f>
        <v/>
      </c>
      <c r="H285" s="13" t="str">
        <f aca="false">IF($B285="","",SUMIF('DỮ LIỆU'!$C$3:$C$1052,$B285,'DỮ LIỆU'!$J$3:$J$1052))</f>
        <v/>
      </c>
      <c r="I285" s="13" t="str">
        <f aca="false">IF($B285="","",SUMIF('DỮ LIỆU'!$C$3:$C$1052,$B285,'DỮ LIỆU'!$M$3:$M$1052))</f>
        <v/>
      </c>
      <c r="J285" s="13" t="str">
        <f aca="false">IF($B285="","",SUMIF('DỮ LIỆU'!$C$3:$C$1052,$B285,'DỮ LIỆU'!$N$3:$N$1052))</f>
        <v/>
      </c>
      <c r="K285" s="13" t="str">
        <f aca="false">IF($B285="","",SUMIF('DỮ LIỆU'!$C$3:$C$1052,$B285,'DỮ LIỆU'!$O$3:$O$1052))</f>
        <v/>
      </c>
      <c r="L285" s="13" t="str">
        <f aca="false">IF($B285="","",SUMIF('DỮ LIỆU'!$C$3:$C$1052,$B285,'DỮ LIỆU'!$Q$3:$Q$1052))</f>
        <v/>
      </c>
      <c r="M285" s="41" t="str">
        <f aca="false">IF($B285="","",IF(SUMPRODUCT(MAX(('DỮ LIỆU'!$C$3:$C$1052=$B285)*'DỮ LIỆU'!$Z$3:$Z$1052))=0,"",SUMPRODUCT(MAX(('DỮ LIỆU'!$C$3:$C$1052=$B285)*'DỮ LIỆU'!$Z$3:$Z$1052))))</f>
        <v/>
      </c>
      <c r="N285" s="21" t="str">
        <f aca="false">IF($B285="","",IF($G285=0,"Chưa có đơn",IF(COUNTIFS('DỮ LIỆU'!$C$3:$C$1052,$B285,'DỮ LIỆU'!$K$3:$K$1052,"&gt;0")&gt;0,"Có lấy VAT","Không lấy VAT")))</f>
        <v/>
      </c>
    </row>
    <row r="286" customFormat="false" ht="15" hidden="false" customHeight="false" outlineLevel="0" collapsed="false">
      <c r="A286" s="21" t="str">
        <f aca="false">IF($B286="","",281)</f>
        <v/>
      </c>
      <c r="B286" s="21" t="str">
        <f aca="false">IFERROR(INDEX('DỮ LIỆU'!$C$3:$C$1052,MATCH(281,'DỮ LIỆU'!$W$3:$W$1052,0)),"")</f>
        <v/>
      </c>
      <c r="C286" s="21" t="str">
        <f aca="false">IF($B286="","",IFERROR(IF(INDEX('DỮ LIỆU'!$D$3:$D$1052,MATCH($B286,'DỮ LIỆU'!$C$3:$C$1052,0))="","",INDEX('DỮ LIỆU'!$D$3:$D$1052,MATCH($B286,'DỮ LIỆU'!$C$3:$C$1052,0))),""))</f>
        <v/>
      </c>
      <c r="D286" s="21" t="str">
        <f aca="false">IF($B286="","",IFERROR(IF(INDEX('DỮ LIỆU'!$E$3:$E$1052,MATCH($B286,'DỮ LIỆU'!$C$3:$C$1052,0))="","",INDEX('DỮ LIỆU'!$E$3:$E$1052,MATCH($B286,'DỮ LIỆU'!$C$3:$C$1052,0))),""))</f>
        <v/>
      </c>
      <c r="E286" s="21" t="str">
        <f aca="false">IF($B286="","",IFERROR(IF(INDEX('DỮ LIỆU'!$F$3:$F$1052,MATCH($B286,'DỮ LIỆU'!$C$3:$C$1052,0))="","",INDEX('DỮ LIỆU'!$F$3:$F$1052,MATCH($B286,'DỮ LIỆU'!$C$3:$C$1052,0))),""))</f>
        <v/>
      </c>
      <c r="F286" s="21" t="str">
        <f aca="false">IF($B286="","",IFERROR(IF(INDEX('DỮ LIỆU'!$G$3:$G$1052,MATCH($B286,'DỮ LIỆU'!$C$3:$C$1052,0))="","",INDEX('DỮ LIỆU'!$G$3:$G$1052,MATCH($B286,'DỮ LIỆU'!$C$3:$C$1052,0))),""))</f>
        <v/>
      </c>
      <c r="G286" s="13" t="str">
        <f aca="false">IF($B286="","",COUNTIFS('DỮ LIỆU'!$C$3:$C$1052,$B286,'DỮ LIỆU'!$J$3:$J$1052,"&gt;0"))</f>
        <v/>
      </c>
      <c r="H286" s="13" t="str">
        <f aca="false">IF($B286="","",SUMIF('DỮ LIỆU'!$C$3:$C$1052,$B286,'DỮ LIỆU'!$J$3:$J$1052))</f>
        <v/>
      </c>
      <c r="I286" s="13" t="str">
        <f aca="false">IF($B286="","",SUMIF('DỮ LIỆU'!$C$3:$C$1052,$B286,'DỮ LIỆU'!$M$3:$M$1052))</f>
        <v/>
      </c>
      <c r="J286" s="13" t="str">
        <f aca="false">IF($B286="","",SUMIF('DỮ LIỆU'!$C$3:$C$1052,$B286,'DỮ LIỆU'!$N$3:$N$1052))</f>
        <v/>
      </c>
      <c r="K286" s="13" t="str">
        <f aca="false">IF($B286="","",SUMIF('DỮ LIỆU'!$C$3:$C$1052,$B286,'DỮ LIỆU'!$O$3:$O$1052))</f>
        <v/>
      </c>
      <c r="L286" s="13" t="str">
        <f aca="false">IF($B286="","",SUMIF('DỮ LIỆU'!$C$3:$C$1052,$B286,'DỮ LIỆU'!$Q$3:$Q$1052))</f>
        <v/>
      </c>
      <c r="M286" s="41" t="str">
        <f aca="false">IF($B286="","",IF(SUMPRODUCT(MAX(('DỮ LIỆU'!$C$3:$C$1052=$B286)*'DỮ LIỆU'!$Z$3:$Z$1052))=0,"",SUMPRODUCT(MAX(('DỮ LIỆU'!$C$3:$C$1052=$B286)*'DỮ LIỆU'!$Z$3:$Z$1052))))</f>
        <v/>
      </c>
      <c r="N286" s="21" t="str">
        <f aca="false">IF($B286="","",IF($G286=0,"Chưa có đơn",IF(COUNTIFS('DỮ LIỆU'!$C$3:$C$1052,$B286,'DỮ LIỆU'!$K$3:$K$1052,"&gt;0")&gt;0,"Có lấy VAT","Không lấy VAT")))</f>
        <v/>
      </c>
    </row>
    <row r="287" customFormat="false" ht="15" hidden="false" customHeight="false" outlineLevel="0" collapsed="false">
      <c r="A287" s="21" t="str">
        <f aca="false">IF($B287="","",282)</f>
        <v/>
      </c>
      <c r="B287" s="21" t="str">
        <f aca="false">IFERROR(INDEX('DỮ LIỆU'!$C$3:$C$1052,MATCH(282,'DỮ LIỆU'!$W$3:$W$1052,0)),"")</f>
        <v/>
      </c>
      <c r="C287" s="21" t="str">
        <f aca="false">IF($B287="","",IFERROR(IF(INDEX('DỮ LIỆU'!$D$3:$D$1052,MATCH($B287,'DỮ LIỆU'!$C$3:$C$1052,0))="","",INDEX('DỮ LIỆU'!$D$3:$D$1052,MATCH($B287,'DỮ LIỆU'!$C$3:$C$1052,0))),""))</f>
        <v/>
      </c>
      <c r="D287" s="21" t="str">
        <f aca="false">IF($B287="","",IFERROR(IF(INDEX('DỮ LIỆU'!$E$3:$E$1052,MATCH($B287,'DỮ LIỆU'!$C$3:$C$1052,0))="","",INDEX('DỮ LIỆU'!$E$3:$E$1052,MATCH($B287,'DỮ LIỆU'!$C$3:$C$1052,0))),""))</f>
        <v/>
      </c>
      <c r="E287" s="21" t="str">
        <f aca="false">IF($B287="","",IFERROR(IF(INDEX('DỮ LIỆU'!$F$3:$F$1052,MATCH($B287,'DỮ LIỆU'!$C$3:$C$1052,0))="","",INDEX('DỮ LIỆU'!$F$3:$F$1052,MATCH($B287,'DỮ LIỆU'!$C$3:$C$1052,0))),""))</f>
        <v/>
      </c>
      <c r="F287" s="21" t="str">
        <f aca="false">IF($B287="","",IFERROR(IF(INDEX('DỮ LIỆU'!$G$3:$G$1052,MATCH($B287,'DỮ LIỆU'!$C$3:$C$1052,0))="","",INDEX('DỮ LIỆU'!$G$3:$G$1052,MATCH($B287,'DỮ LIỆU'!$C$3:$C$1052,0))),""))</f>
        <v/>
      </c>
      <c r="G287" s="13" t="str">
        <f aca="false">IF($B287="","",COUNTIFS('DỮ LIỆU'!$C$3:$C$1052,$B287,'DỮ LIỆU'!$J$3:$J$1052,"&gt;0"))</f>
        <v/>
      </c>
      <c r="H287" s="13" t="str">
        <f aca="false">IF($B287="","",SUMIF('DỮ LIỆU'!$C$3:$C$1052,$B287,'DỮ LIỆU'!$J$3:$J$1052))</f>
        <v/>
      </c>
      <c r="I287" s="13" t="str">
        <f aca="false">IF($B287="","",SUMIF('DỮ LIỆU'!$C$3:$C$1052,$B287,'DỮ LIỆU'!$M$3:$M$1052))</f>
        <v/>
      </c>
      <c r="J287" s="13" t="str">
        <f aca="false">IF($B287="","",SUMIF('DỮ LIỆU'!$C$3:$C$1052,$B287,'DỮ LIỆU'!$N$3:$N$1052))</f>
        <v/>
      </c>
      <c r="K287" s="13" t="str">
        <f aca="false">IF($B287="","",SUMIF('DỮ LIỆU'!$C$3:$C$1052,$B287,'DỮ LIỆU'!$O$3:$O$1052))</f>
        <v/>
      </c>
      <c r="L287" s="13" t="str">
        <f aca="false">IF($B287="","",SUMIF('DỮ LIỆU'!$C$3:$C$1052,$B287,'DỮ LIỆU'!$Q$3:$Q$1052))</f>
        <v/>
      </c>
      <c r="M287" s="41" t="str">
        <f aca="false">IF($B287="","",IF(SUMPRODUCT(MAX(('DỮ LIỆU'!$C$3:$C$1052=$B287)*'DỮ LIỆU'!$Z$3:$Z$1052))=0,"",SUMPRODUCT(MAX(('DỮ LIỆU'!$C$3:$C$1052=$B287)*'DỮ LIỆU'!$Z$3:$Z$1052))))</f>
        <v/>
      </c>
      <c r="N287" s="21" t="str">
        <f aca="false">IF($B287="","",IF($G287=0,"Chưa có đơn",IF(COUNTIFS('DỮ LIỆU'!$C$3:$C$1052,$B287,'DỮ LIỆU'!$K$3:$K$1052,"&gt;0")&gt;0,"Có lấy VAT","Không lấy VAT")))</f>
        <v/>
      </c>
    </row>
    <row r="288" customFormat="false" ht="15" hidden="false" customHeight="false" outlineLevel="0" collapsed="false">
      <c r="A288" s="21" t="str">
        <f aca="false">IF($B288="","",283)</f>
        <v/>
      </c>
      <c r="B288" s="21" t="str">
        <f aca="false">IFERROR(INDEX('DỮ LIỆU'!$C$3:$C$1052,MATCH(283,'DỮ LIỆU'!$W$3:$W$1052,0)),"")</f>
        <v/>
      </c>
      <c r="C288" s="21" t="str">
        <f aca="false">IF($B288="","",IFERROR(IF(INDEX('DỮ LIỆU'!$D$3:$D$1052,MATCH($B288,'DỮ LIỆU'!$C$3:$C$1052,0))="","",INDEX('DỮ LIỆU'!$D$3:$D$1052,MATCH($B288,'DỮ LIỆU'!$C$3:$C$1052,0))),""))</f>
        <v/>
      </c>
      <c r="D288" s="21" t="str">
        <f aca="false">IF($B288="","",IFERROR(IF(INDEX('DỮ LIỆU'!$E$3:$E$1052,MATCH($B288,'DỮ LIỆU'!$C$3:$C$1052,0))="","",INDEX('DỮ LIỆU'!$E$3:$E$1052,MATCH($B288,'DỮ LIỆU'!$C$3:$C$1052,0))),""))</f>
        <v/>
      </c>
      <c r="E288" s="21" t="str">
        <f aca="false">IF($B288="","",IFERROR(IF(INDEX('DỮ LIỆU'!$F$3:$F$1052,MATCH($B288,'DỮ LIỆU'!$C$3:$C$1052,0))="","",INDEX('DỮ LIỆU'!$F$3:$F$1052,MATCH($B288,'DỮ LIỆU'!$C$3:$C$1052,0))),""))</f>
        <v/>
      </c>
      <c r="F288" s="21" t="str">
        <f aca="false">IF($B288="","",IFERROR(IF(INDEX('DỮ LIỆU'!$G$3:$G$1052,MATCH($B288,'DỮ LIỆU'!$C$3:$C$1052,0))="","",INDEX('DỮ LIỆU'!$G$3:$G$1052,MATCH($B288,'DỮ LIỆU'!$C$3:$C$1052,0))),""))</f>
        <v/>
      </c>
      <c r="G288" s="13" t="str">
        <f aca="false">IF($B288="","",COUNTIFS('DỮ LIỆU'!$C$3:$C$1052,$B288,'DỮ LIỆU'!$J$3:$J$1052,"&gt;0"))</f>
        <v/>
      </c>
      <c r="H288" s="13" t="str">
        <f aca="false">IF($B288="","",SUMIF('DỮ LIỆU'!$C$3:$C$1052,$B288,'DỮ LIỆU'!$J$3:$J$1052))</f>
        <v/>
      </c>
      <c r="I288" s="13" t="str">
        <f aca="false">IF($B288="","",SUMIF('DỮ LIỆU'!$C$3:$C$1052,$B288,'DỮ LIỆU'!$M$3:$M$1052))</f>
        <v/>
      </c>
      <c r="J288" s="13" t="str">
        <f aca="false">IF($B288="","",SUMIF('DỮ LIỆU'!$C$3:$C$1052,$B288,'DỮ LIỆU'!$N$3:$N$1052))</f>
        <v/>
      </c>
      <c r="K288" s="13" t="str">
        <f aca="false">IF($B288="","",SUMIF('DỮ LIỆU'!$C$3:$C$1052,$B288,'DỮ LIỆU'!$O$3:$O$1052))</f>
        <v/>
      </c>
      <c r="L288" s="13" t="str">
        <f aca="false">IF($B288="","",SUMIF('DỮ LIỆU'!$C$3:$C$1052,$B288,'DỮ LIỆU'!$Q$3:$Q$1052))</f>
        <v/>
      </c>
      <c r="M288" s="41" t="str">
        <f aca="false">IF($B288="","",IF(SUMPRODUCT(MAX(('DỮ LIỆU'!$C$3:$C$1052=$B288)*'DỮ LIỆU'!$Z$3:$Z$1052))=0,"",SUMPRODUCT(MAX(('DỮ LIỆU'!$C$3:$C$1052=$B288)*'DỮ LIỆU'!$Z$3:$Z$1052))))</f>
        <v/>
      </c>
      <c r="N288" s="21" t="str">
        <f aca="false">IF($B288="","",IF($G288=0,"Chưa có đơn",IF(COUNTIFS('DỮ LIỆU'!$C$3:$C$1052,$B288,'DỮ LIỆU'!$K$3:$K$1052,"&gt;0")&gt;0,"Có lấy VAT","Không lấy VAT")))</f>
        <v/>
      </c>
    </row>
    <row r="289" customFormat="false" ht="15" hidden="false" customHeight="false" outlineLevel="0" collapsed="false">
      <c r="A289" s="21" t="str">
        <f aca="false">IF($B289="","",284)</f>
        <v/>
      </c>
      <c r="B289" s="21" t="str">
        <f aca="false">IFERROR(INDEX('DỮ LIỆU'!$C$3:$C$1052,MATCH(284,'DỮ LIỆU'!$W$3:$W$1052,0)),"")</f>
        <v/>
      </c>
      <c r="C289" s="21" t="str">
        <f aca="false">IF($B289="","",IFERROR(IF(INDEX('DỮ LIỆU'!$D$3:$D$1052,MATCH($B289,'DỮ LIỆU'!$C$3:$C$1052,0))="","",INDEX('DỮ LIỆU'!$D$3:$D$1052,MATCH($B289,'DỮ LIỆU'!$C$3:$C$1052,0))),""))</f>
        <v/>
      </c>
      <c r="D289" s="21" t="str">
        <f aca="false">IF($B289="","",IFERROR(IF(INDEX('DỮ LIỆU'!$E$3:$E$1052,MATCH($B289,'DỮ LIỆU'!$C$3:$C$1052,0))="","",INDEX('DỮ LIỆU'!$E$3:$E$1052,MATCH($B289,'DỮ LIỆU'!$C$3:$C$1052,0))),""))</f>
        <v/>
      </c>
      <c r="E289" s="21" t="str">
        <f aca="false">IF($B289="","",IFERROR(IF(INDEX('DỮ LIỆU'!$F$3:$F$1052,MATCH($B289,'DỮ LIỆU'!$C$3:$C$1052,0))="","",INDEX('DỮ LIỆU'!$F$3:$F$1052,MATCH($B289,'DỮ LIỆU'!$C$3:$C$1052,0))),""))</f>
        <v/>
      </c>
      <c r="F289" s="21" t="str">
        <f aca="false">IF($B289="","",IFERROR(IF(INDEX('DỮ LIỆU'!$G$3:$G$1052,MATCH($B289,'DỮ LIỆU'!$C$3:$C$1052,0))="","",INDEX('DỮ LIỆU'!$G$3:$G$1052,MATCH($B289,'DỮ LIỆU'!$C$3:$C$1052,0))),""))</f>
        <v/>
      </c>
      <c r="G289" s="13" t="str">
        <f aca="false">IF($B289="","",COUNTIFS('DỮ LIỆU'!$C$3:$C$1052,$B289,'DỮ LIỆU'!$J$3:$J$1052,"&gt;0"))</f>
        <v/>
      </c>
      <c r="H289" s="13" t="str">
        <f aca="false">IF($B289="","",SUMIF('DỮ LIỆU'!$C$3:$C$1052,$B289,'DỮ LIỆU'!$J$3:$J$1052))</f>
        <v/>
      </c>
      <c r="I289" s="13" t="str">
        <f aca="false">IF($B289="","",SUMIF('DỮ LIỆU'!$C$3:$C$1052,$B289,'DỮ LIỆU'!$M$3:$M$1052))</f>
        <v/>
      </c>
      <c r="J289" s="13" t="str">
        <f aca="false">IF($B289="","",SUMIF('DỮ LIỆU'!$C$3:$C$1052,$B289,'DỮ LIỆU'!$N$3:$N$1052))</f>
        <v/>
      </c>
      <c r="K289" s="13" t="str">
        <f aca="false">IF($B289="","",SUMIF('DỮ LIỆU'!$C$3:$C$1052,$B289,'DỮ LIỆU'!$O$3:$O$1052))</f>
        <v/>
      </c>
      <c r="L289" s="13" t="str">
        <f aca="false">IF($B289="","",SUMIF('DỮ LIỆU'!$C$3:$C$1052,$B289,'DỮ LIỆU'!$Q$3:$Q$1052))</f>
        <v/>
      </c>
      <c r="M289" s="41" t="str">
        <f aca="false">IF($B289="","",IF(SUMPRODUCT(MAX(('DỮ LIỆU'!$C$3:$C$1052=$B289)*'DỮ LIỆU'!$Z$3:$Z$1052))=0,"",SUMPRODUCT(MAX(('DỮ LIỆU'!$C$3:$C$1052=$B289)*'DỮ LIỆU'!$Z$3:$Z$1052))))</f>
        <v/>
      </c>
      <c r="N289" s="21" t="str">
        <f aca="false">IF($B289="","",IF($G289=0,"Chưa có đơn",IF(COUNTIFS('DỮ LIỆU'!$C$3:$C$1052,$B289,'DỮ LIỆU'!$K$3:$K$1052,"&gt;0")&gt;0,"Có lấy VAT","Không lấy VAT")))</f>
        <v/>
      </c>
    </row>
    <row r="290" customFormat="false" ht="15" hidden="false" customHeight="false" outlineLevel="0" collapsed="false">
      <c r="A290" s="21" t="str">
        <f aca="false">IF($B290="","",285)</f>
        <v/>
      </c>
      <c r="B290" s="21" t="str">
        <f aca="false">IFERROR(INDEX('DỮ LIỆU'!$C$3:$C$1052,MATCH(285,'DỮ LIỆU'!$W$3:$W$1052,0)),"")</f>
        <v/>
      </c>
      <c r="C290" s="21" t="str">
        <f aca="false">IF($B290="","",IFERROR(IF(INDEX('DỮ LIỆU'!$D$3:$D$1052,MATCH($B290,'DỮ LIỆU'!$C$3:$C$1052,0))="","",INDEX('DỮ LIỆU'!$D$3:$D$1052,MATCH($B290,'DỮ LIỆU'!$C$3:$C$1052,0))),""))</f>
        <v/>
      </c>
      <c r="D290" s="21" t="str">
        <f aca="false">IF($B290="","",IFERROR(IF(INDEX('DỮ LIỆU'!$E$3:$E$1052,MATCH($B290,'DỮ LIỆU'!$C$3:$C$1052,0))="","",INDEX('DỮ LIỆU'!$E$3:$E$1052,MATCH($B290,'DỮ LIỆU'!$C$3:$C$1052,0))),""))</f>
        <v/>
      </c>
      <c r="E290" s="21" t="str">
        <f aca="false">IF($B290="","",IFERROR(IF(INDEX('DỮ LIỆU'!$F$3:$F$1052,MATCH($B290,'DỮ LIỆU'!$C$3:$C$1052,0))="","",INDEX('DỮ LIỆU'!$F$3:$F$1052,MATCH($B290,'DỮ LIỆU'!$C$3:$C$1052,0))),""))</f>
        <v/>
      </c>
      <c r="F290" s="21" t="str">
        <f aca="false">IF($B290="","",IFERROR(IF(INDEX('DỮ LIỆU'!$G$3:$G$1052,MATCH($B290,'DỮ LIỆU'!$C$3:$C$1052,0))="","",INDEX('DỮ LIỆU'!$G$3:$G$1052,MATCH($B290,'DỮ LIỆU'!$C$3:$C$1052,0))),""))</f>
        <v/>
      </c>
      <c r="G290" s="13" t="str">
        <f aca="false">IF($B290="","",COUNTIFS('DỮ LIỆU'!$C$3:$C$1052,$B290,'DỮ LIỆU'!$J$3:$J$1052,"&gt;0"))</f>
        <v/>
      </c>
      <c r="H290" s="13" t="str">
        <f aca="false">IF($B290="","",SUMIF('DỮ LIỆU'!$C$3:$C$1052,$B290,'DỮ LIỆU'!$J$3:$J$1052))</f>
        <v/>
      </c>
      <c r="I290" s="13" t="str">
        <f aca="false">IF($B290="","",SUMIF('DỮ LIỆU'!$C$3:$C$1052,$B290,'DỮ LIỆU'!$M$3:$M$1052))</f>
        <v/>
      </c>
      <c r="J290" s="13" t="str">
        <f aca="false">IF($B290="","",SUMIF('DỮ LIỆU'!$C$3:$C$1052,$B290,'DỮ LIỆU'!$N$3:$N$1052))</f>
        <v/>
      </c>
      <c r="K290" s="13" t="str">
        <f aca="false">IF($B290="","",SUMIF('DỮ LIỆU'!$C$3:$C$1052,$B290,'DỮ LIỆU'!$O$3:$O$1052))</f>
        <v/>
      </c>
      <c r="L290" s="13" t="str">
        <f aca="false">IF($B290="","",SUMIF('DỮ LIỆU'!$C$3:$C$1052,$B290,'DỮ LIỆU'!$Q$3:$Q$1052))</f>
        <v/>
      </c>
      <c r="M290" s="41" t="str">
        <f aca="false">IF($B290="","",IF(SUMPRODUCT(MAX(('DỮ LIỆU'!$C$3:$C$1052=$B290)*'DỮ LIỆU'!$Z$3:$Z$1052))=0,"",SUMPRODUCT(MAX(('DỮ LIỆU'!$C$3:$C$1052=$B290)*'DỮ LIỆU'!$Z$3:$Z$1052))))</f>
        <v/>
      </c>
      <c r="N290" s="21" t="str">
        <f aca="false">IF($B290="","",IF($G290=0,"Chưa có đơn",IF(COUNTIFS('DỮ LIỆU'!$C$3:$C$1052,$B290,'DỮ LIỆU'!$K$3:$K$1052,"&gt;0")&gt;0,"Có lấy VAT","Không lấy VAT")))</f>
        <v/>
      </c>
    </row>
    <row r="291" customFormat="false" ht="15" hidden="false" customHeight="false" outlineLevel="0" collapsed="false">
      <c r="A291" s="21" t="str">
        <f aca="false">IF($B291="","",286)</f>
        <v/>
      </c>
      <c r="B291" s="21" t="str">
        <f aca="false">IFERROR(INDEX('DỮ LIỆU'!$C$3:$C$1052,MATCH(286,'DỮ LIỆU'!$W$3:$W$1052,0)),"")</f>
        <v/>
      </c>
      <c r="C291" s="21" t="str">
        <f aca="false">IF($B291="","",IFERROR(IF(INDEX('DỮ LIỆU'!$D$3:$D$1052,MATCH($B291,'DỮ LIỆU'!$C$3:$C$1052,0))="","",INDEX('DỮ LIỆU'!$D$3:$D$1052,MATCH($B291,'DỮ LIỆU'!$C$3:$C$1052,0))),""))</f>
        <v/>
      </c>
      <c r="D291" s="21" t="str">
        <f aca="false">IF($B291="","",IFERROR(IF(INDEX('DỮ LIỆU'!$E$3:$E$1052,MATCH($B291,'DỮ LIỆU'!$C$3:$C$1052,0))="","",INDEX('DỮ LIỆU'!$E$3:$E$1052,MATCH($B291,'DỮ LIỆU'!$C$3:$C$1052,0))),""))</f>
        <v/>
      </c>
      <c r="E291" s="21" t="str">
        <f aca="false">IF($B291="","",IFERROR(IF(INDEX('DỮ LIỆU'!$F$3:$F$1052,MATCH($B291,'DỮ LIỆU'!$C$3:$C$1052,0))="","",INDEX('DỮ LIỆU'!$F$3:$F$1052,MATCH($B291,'DỮ LIỆU'!$C$3:$C$1052,0))),""))</f>
        <v/>
      </c>
      <c r="F291" s="21" t="str">
        <f aca="false">IF($B291="","",IFERROR(IF(INDEX('DỮ LIỆU'!$G$3:$G$1052,MATCH($B291,'DỮ LIỆU'!$C$3:$C$1052,0))="","",INDEX('DỮ LIỆU'!$G$3:$G$1052,MATCH($B291,'DỮ LIỆU'!$C$3:$C$1052,0))),""))</f>
        <v/>
      </c>
      <c r="G291" s="13" t="str">
        <f aca="false">IF($B291="","",COUNTIFS('DỮ LIỆU'!$C$3:$C$1052,$B291,'DỮ LIỆU'!$J$3:$J$1052,"&gt;0"))</f>
        <v/>
      </c>
      <c r="H291" s="13" t="str">
        <f aca="false">IF($B291="","",SUMIF('DỮ LIỆU'!$C$3:$C$1052,$B291,'DỮ LIỆU'!$J$3:$J$1052))</f>
        <v/>
      </c>
      <c r="I291" s="13" t="str">
        <f aca="false">IF($B291="","",SUMIF('DỮ LIỆU'!$C$3:$C$1052,$B291,'DỮ LIỆU'!$M$3:$M$1052))</f>
        <v/>
      </c>
      <c r="J291" s="13" t="str">
        <f aca="false">IF($B291="","",SUMIF('DỮ LIỆU'!$C$3:$C$1052,$B291,'DỮ LIỆU'!$N$3:$N$1052))</f>
        <v/>
      </c>
      <c r="K291" s="13" t="str">
        <f aca="false">IF($B291="","",SUMIF('DỮ LIỆU'!$C$3:$C$1052,$B291,'DỮ LIỆU'!$O$3:$O$1052))</f>
        <v/>
      </c>
      <c r="L291" s="13" t="str">
        <f aca="false">IF($B291="","",SUMIF('DỮ LIỆU'!$C$3:$C$1052,$B291,'DỮ LIỆU'!$Q$3:$Q$1052))</f>
        <v/>
      </c>
      <c r="M291" s="41" t="str">
        <f aca="false">IF($B291="","",IF(SUMPRODUCT(MAX(('DỮ LIỆU'!$C$3:$C$1052=$B291)*'DỮ LIỆU'!$Z$3:$Z$1052))=0,"",SUMPRODUCT(MAX(('DỮ LIỆU'!$C$3:$C$1052=$B291)*'DỮ LIỆU'!$Z$3:$Z$1052))))</f>
        <v/>
      </c>
      <c r="N291" s="21" t="str">
        <f aca="false">IF($B291="","",IF($G291=0,"Chưa có đơn",IF(COUNTIFS('DỮ LIỆU'!$C$3:$C$1052,$B291,'DỮ LIỆU'!$K$3:$K$1052,"&gt;0")&gt;0,"Có lấy VAT","Không lấy VAT")))</f>
        <v/>
      </c>
    </row>
    <row r="292" customFormat="false" ht="15" hidden="false" customHeight="false" outlineLevel="0" collapsed="false">
      <c r="A292" s="21" t="str">
        <f aca="false">IF($B292="","",287)</f>
        <v/>
      </c>
      <c r="B292" s="21" t="str">
        <f aca="false">IFERROR(INDEX('DỮ LIỆU'!$C$3:$C$1052,MATCH(287,'DỮ LIỆU'!$W$3:$W$1052,0)),"")</f>
        <v/>
      </c>
      <c r="C292" s="21" t="str">
        <f aca="false">IF($B292="","",IFERROR(IF(INDEX('DỮ LIỆU'!$D$3:$D$1052,MATCH($B292,'DỮ LIỆU'!$C$3:$C$1052,0))="","",INDEX('DỮ LIỆU'!$D$3:$D$1052,MATCH($B292,'DỮ LIỆU'!$C$3:$C$1052,0))),""))</f>
        <v/>
      </c>
      <c r="D292" s="21" t="str">
        <f aca="false">IF($B292="","",IFERROR(IF(INDEX('DỮ LIỆU'!$E$3:$E$1052,MATCH($B292,'DỮ LIỆU'!$C$3:$C$1052,0))="","",INDEX('DỮ LIỆU'!$E$3:$E$1052,MATCH($B292,'DỮ LIỆU'!$C$3:$C$1052,0))),""))</f>
        <v/>
      </c>
      <c r="E292" s="21" t="str">
        <f aca="false">IF($B292="","",IFERROR(IF(INDEX('DỮ LIỆU'!$F$3:$F$1052,MATCH($B292,'DỮ LIỆU'!$C$3:$C$1052,0))="","",INDEX('DỮ LIỆU'!$F$3:$F$1052,MATCH($B292,'DỮ LIỆU'!$C$3:$C$1052,0))),""))</f>
        <v/>
      </c>
      <c r="F292" s="21" t="str">
        <f aca="false">IF($B292="","",IFERROR(IF(INDEX('DỮ LIỆU'!$G$3:$G$1052,MATCH($B292,'DỮ LIỆU'!$C$3:$C$1052,0))="","",INDEX('DỮ LIỆU'!$G$3:$G$1052,MATCH($B292,'DỮ LIỆU'!$C$3:$C$1052,0))),""))</f>
        <v/>
      </c>
      <c r="G292" s="13" t="str">
        <f aca="false">IF($B292="","",COUNTIFS('DỮ LIỆU'!$C$3:$C$1052,$B292,'DỮ LIỆU'!$J$3:$J$1052,"&gt;0"))</f>
        <v/>
      </c>
      <c r="H292" s="13" t="str">
        <f aca="false">IF($B292="","",SUMIF('DỮ LIỆU'!$C$3:$C$1052,$B292,'DỮ LIỆU'!$J$3:$J$1052))</f>
        <v/>
      </c>
      <c r="I292" s="13" t="str">
        <f aca="false">IF($B292="","",SUMIF('DỮ LIỆU'!$C$3:$C$1052,$B292,'DỮ LIỆU'!$M$3:$M$1052))</f>
        <v/>
      </c>
      <c r="J292" s="13" t="str">
        <f aca="false">IF($B292="","",SUMIF('DỮ LIỆU'!$C$3:$C$1052,$B292,'DỮ LIỆU'!$N$3:$N$1052))</f>
        <v/>
      </c>
      <c r="K292" s="13" t="str">
        <f aca="false">IF($B292="","",SUMIF('DỮ LIỆU'!$C$3:$C$1052,$B292,'DỮ LIỆU'!$O$3:$O$1052))</f>
        <v/>
      </c>
      <c r="L292" s="13" t="str">
        <f aca="false">IF($B292="","",SUMIF('DỮ LIỆU'!$C$3:$C$1052,$B292,'DỮ LIỆU'!$Q$3:$Q$1052))</f>
        <v/>
      </c>
      <c r="M292" s="41" t="str">
        <f aca="false">IF($B292="","",IF(SUMPRODUCT(MAX(('DỮ LIỆU'!$C$3:$C$1052=$B292)*'DỮ LIỆU'!$Z$3:$Z$1052))=0,"",SUMPRODUCT(MAX(('DỮ LIỆU'!$C$3:$C$1052=$B292)*'DỮ LIỆU'!$Z$3:$Z$1052))))</f>
        <v/>
      </c>
      <c r="N292" s="21" t="str">
        <f aca="false">IF($B292="","",IF($G292=0,"Chưa có đơn",IF(COUNTIFS('DỮ LIỆU'!$C$3:$C$1052,$B292,'DỮ LIỆU'!$K$3:$K$1052,"&gt;0")&gt;0,"Có lấy VAT","Không lấy VAT")))</f>
        <v/>
      </c>
    </row>
    <row r="293" customFormat="false" ht="15" hidden="false" customHeight="false" outlineLevel="0" collapsed="false">
      <c r="A293" s="21" t="str">
        <f aca="false">IF($B293="","",288)</f>
        <v/>
      </c>
      <c r="B293" s="21" t="str">
        <f aca="false">IFERROR(INDEX('DỮ LIỆU'!$C$3:$C$1052,MATCH(288,'DỮ LIỆU'!$W$3:$W$1052,0)),"")</f>
        <v/>
      </c>
      <c r="C293" s="21" t="str">
        <f aca="false">IF($B293="","",IFERROR(IF(INDEX('DỮ LIỆU'!$D$3:$D$1052,MATCH($B293,'DỮ LIỆU'!$C$3:$C$1052,0))="","",INDEX('DỮ LIỆU'!$D$3:$D$1052,MATCH($B293,'DỮ LIỆU'!$C$3:$C$1052,0))),""))</f>
        <v/>
      </c>
      <c r="D293" s="21" t="str">
        <f aca="false">IF($B293="","",IFERROR(IF(INDEX('DỮ LIỆU'!$E$3:$E$1052,MATCH($B293,'DỮ LIỆU'!$C$3:$C$1052,0))="","",INDEX('DỮ LIỆU'!$E$3:$E$1052,MATCH($B293,'DỮ LIỆU'!$C$3:$C$1052,0))),""))</f>
        <v/>
      </c>
      <c r="E293" s="21" t="str">
        <f aca="false">IF($B293="","",IFERROR(IF(INDEX('DỮ LIỆU'!$F$3:$F$1052,MATCH($B293,'DỮ LIỆU'!$C$3:$C$1052,0))="","",INDEX('DỮ LIỆU'!$F$3:$F$1052,MATCH($B293,'DỮ LIỆU'!$C$3:$C$1052,0))),""))</f>
        <v/>
      </c>
      <c r="F293" s="21" t="str">
        <f aca="false">IF($B293="","",IFERROR(IF(INDEX('DỮ LIỆU'!$G$3:$G$1052,MATCH($B293,'DỮ LIỆU'!$C$3:$C$1052,0))="","",INDEX('DỮ LIỆU'!$G$3:$G$1052,MATCH($B293,'DỮ LIỆU'!$C$3:$C$1052,0))),""))</f>
        <v/>
      </c>
      <c r="G293" s="13" t="str">
        <f aca="false">IF($B293="","",COUNTIFS('DỮ LIỆU'!$C$3:$C$1052,$B293,'DỮ LIỆU'!$J$3:$J$1052,"&gt;0"))</f>
        <v/>
      </c>
      <c r="H293" s="13" t="str">
        <f aca="false">IF($B293="","",SUMIF('DỮ LIỆU'!$C$3:$C$1052,$B293,'DỮ LIỆU'!$J$3:$J$1052))</f>
        <v/>
      </c>
      <c r="I293" s="13" t="str">
        <f aca="false">IF($B293="","",SUMIF('DỮ LIỆU'!$C$3:$C$1052,$B293,'DỮ LIỆU'!$M$3:$M$1052))</f>
        <v/>
      </c>
      <c r="J293" s="13" t="str">
        <f aca="false">IF($B293="","",SUMIF('DỮ LIỆU'!$C$3:$C$1052,$B293,'DỮ LIỆU'!$N$3:$N$1052))</f>
        <v/>
      </c>
      <c r="K293" s="13" t="str">
        <f aca="false">IF($B293="","",SUMIF('DỮ LIỆU'!$C$3:$C$1052,$B293,'DỮ LIỆU'!$O$3:$O$1052))</f>
        <v/>
      </c>
      <c r="L293" s="13" t="str">
        <f aca="false">IF($B293="","",SUMIF('DỮ LIỆU'!$C$3:$C$1052,$B293,'DỮ LIỆU'!$Q$3:$Q$1052))</f>
        <v/>
      </c>
      <c r="M293" s="41" t="str">
        <f aca="false">IF($B293="","",IF(SUMPRODUCT(MAX(('DỮ LIỆU'!$C$3:$C$1052=$B293)*'DỮ LIỆU'!$Z$3:$Z$1052))=0,"",SUMPRODUCT(MAX(('DỮ LIỆU'!$C$3:$C$1052=$B293)*'DỮ LIỆU'!$Z$3:$Z$1052))))</f>
        <v/>
      </c>
      <c r="N293" s="21" t="str">
        <f aca="false">IF($B293="","",IF($G293=0,"Chưa có đơn",IF(COUNTIFS('DỮ LIỆU'!$C$3:$C$1052,$B293,'DỮ LIỆU'!$K$3:$K$1052,"&gt;0")&gt;0,"Có lấy VAT","Không lấy VAT")))</f>
        <v/>
      </c>
    </row>
    <row r="294" customFormat="false" ht="15" hidden="false" customHeight="false" outlineLevel="0" collapsed="false">
      <c r="A294" s="21" t="str">
        <f aca="false">IF($B294="","",289)</f>
        <v/>
      </c>
      <c r="B294" s="21" t="str">
        <f aca="false">IFERROR(INDEX('DỮ LIỆU'!$C$3:$C$1052,MATCH(289,'DỮ LIỆU'!$W$3:$W$1052,0)),"")</f>
        <v/>
      </c>
      <c r="C294" s="21" t="str">
        <f aca="false">IF($B294="","",IFERROR(IF(INDEX('DỮ LIỆU'!$D$3:$D$1052,MATCH($B294,'DỮ LIỆU'!$C$3:$C$1052,0))="","",INDEX('DỮ LIỆU'!$D$3:$D$1052,MATCH($B294,'DỮ LIỆU'!$C$3:$C$1052,0))),""))</f>
        <v/>
      </c>
      <c r="D294" s="21" t="str">
        <f aca="false">IF($B294="","",IFERROR(IF(INDEX('DỮ LIỆU'!$E$3:$E$1052,MATCH($B294,'DỮ LIỆU'!$C$3:$C$1052,0))="","",INDEX('DỮ LIỆU'!$E$3:$E$1052,MATCH($B294,'DỮ LIỆU'!$C$3:$C$1052,0))),""))</f>
        <v/>
      </c>
      <c r="E294" s="21" t="str">
        <f aca="false">IF($B294="","",IFERROR(IF(INDEX('DỮ LIỆU'!$F$3:$F$1052,MATCH($B294,'DỮ LIỆU'!$C$3:$C$1052,0))="","",INDEX('DỮ LIỆU'!$F$3:$F$1052,MATCH($B294,'DỮ LIỆU'!$C$3:$C$1052,0))),""))</f>
        <v/>
      </c>
      <c r="F294" s="21" t="str">
        <f aca="false">IF($B294="","",IFERROR(IF(INDEX('DỮ LIỆU'!$G$3:$G$1052,MATCH($B294,'DỮ LIỆU'!$C$3:$C$1052,0))="","",INDEX('DỮ LIỆU'!$G$3:$G$1052,MATCH($B294,'DỮ LIỆU'!$C$3:$C$1052,0))),""))</f>
        <v/>
      </c>
      <c r="G294" s="13" t="str">
        <f aca="false">IF($B294="","",COUNTIFS('DỮ LIỆU'!$C$3:$C$1052,$B294,'DỮ LIỆU'!$J$3:$J$1052,"&gt;0"))</f>
        <v/>
      </c>
      <c r="H294" s="13" t="str">
        <f aca="false">IF($B294="","",SUMIF('DỮ LIỆU'!$C$3:$C$1052,$B294,'DỮ LIỆU'!$J$3:$J$1052))</f>
        <v/>
      </c>
      <c r="I294" s="13" t="str">
        <f aca="false">IF($B294="","",SUMIF('DỮ LIỆU'!$C$3:$C$1052,$B294,'DỮ LIỆU'!$M$3:$M$1052))</f>
        <v/>
      </c>
      <c r="J294" s="13" t="str">
        <f aca="false">IF($B294="","",SUMIF('DỮ LIỆU'!$C$3:$C$1052,$B294,'DỮ LIỆU'!$N$3:$N$1052))</f>
        <v/>
      </c>
      <c r="K294" s="13" t="str">
        <f aca="false">IF($B294="","",SUMIF('DỮ LIỆU'!$C$3:$C$1052,$B294,'DỮ LIỆU'!$O$3:$O$1052))</f>
        <v/>
      </c>
      <c r="L294" s="13" t="str">
        <f aca="false">IF($B294="","",SUMIF('DỮ LIỆU'!$C$3:$C$1052,$B294,'DỮ LIỆU'!$Q$3:$Q$1052))</f>
        <v/>
      </c>
      <c r="M294" s="41" t="str">
        <f aca="false">IF($B294="","",IF(SUMPRODUCT(MAX(('DỮ LIỆU'!$C$3:$C$1052=$B294)*'DỮ LIỆU'!$Z$3:$Z$1052))=0,"",SUMPRODUCT(MAX(('DỮ LIỆU'!$C$3:$C$1052=$B294)*'DỮ LIỆU'!$Z$3:$Z$1052))))</f>
        <v/>
      </c>
      <c r="N294" s="21" t="str">
        <f aca="false">IF($B294="","",IF($G294=0,"Chưa có đơn",IF(COUNTIFS('DỮ LIỆU'!$C$3:$C$1052,$B294,'DỮ LIỆU'!$K$3:$K$1052,"&gt;0")&gt;0,"Có lấy VAT","Không lấy VAT")))</f>
        <v/>
      </c>
    </row>
    <row r="295" customFormat="false" ht="15" hidden="false" customHeight="false" outlineLevel="0" collapsed="false">
      <c r="A295" s="21" t="str">
        <f aca="false">IF($B295="","",290)</f>
        <v/>
      </c>
      <c r="B295" s="21" t="str">
        <f aca="false">IFERROR(INDEX('DỮ LIỆU'!$C$3:$C$1052,MATCH(290,'DỮ LIỆU'!$W$3:$W$1052,0)),"")</f>
        <v/>
      </c>
      <c r="C295" s="21" t="str">
        <f aca="false">IF($B295="","",IFERROR(IF(INDEX('DỮ LIỆU'!$D$3:$D$1052,MATCH($B295,'DỮ LIỆU'!$C$3:$C$1052,0))="","",INDEX('DỮ LIỆU'!$D$3:$D$1052,MATCH($B295,'DỮ LIỆU'!$C$3:$C$1052,0))),""))</f>
        <v/>
      </c>
      <c r="D295" s="21" t="str">
        <f aca="false">IF($B295="","",IFERROR(IF(INDEX('DỮ LIỆU'!$E$3:$E$1052,MATCH($B295,'DỮ LIỆU'!$C$3:$C$1052,0))="","",INDEX('DỮ LIỆU'!$E$3:$E$1052,MATCH($B295,'DỮ LIỆU'!$C$3:$C$1052,0))),""))</f>
        <v/>
      </c>
      <c r="E295" s="21" t="str">
        <f aca="false">IF($B295="","",IFERROR(IF(INDEX('DỮ LIỆU'!$F$3:$F$1052,MATCH($B295,'DỮ LIỆU'!$C$3:$C$1052,0))="","",INDEX('DỮ LIỆU'!$F$3:$F$1052,MATCH($B295,'DỮ LIỆU'!$C$3:$C$1052,0))),""))</f>
        <v/>
      </c>
      <c r="F295" s="21" t="str">
        <f aca="false">IF($B295="","",IFERROR(IF(INDEX('DỮ LIỆU'!$G$3:$G$1052,MATCH($B295,'DỮ LIỆU'!$C$3:$C$1052,0))="","",INDEX('DỮ LIỆU'!$G$3:$G$1052,MATCH($B295,'DỮ LIỆU'!$C$3:$C$1052,0))),""))</f>
        <v/>
      </c>
      <c r="G295" s="13" t="str">
        <f aca="false">IF($B295="","",COUNTIFS('DỮ LIỆU'!$C$3:$C$1052,$B295,'DỮ LIỆU'!$J$3:$J$1052,"&gt;0"))</f>
        <v/>
      </c>
      <c r="H295" s="13" t="str">
        <f aca="false">IF($B295="","",SUMIF('DỮ LIỆU'!$C$3:$C$1052,$B295,'DỮ LIỆU'!$J$3:$J$1052))</f>
        <v/>
      </c>
      <c r="I295" s="13" t="str">
        <f aca="false">IF($B295="","",SUMIF('DỮ LIỆU'!$C$3:$C$1052,$B295,'DỮ LIỆU'!$M$3:$M$1052))</f>
        <v/>
      </c>
      <c r="J295" s="13" t="str">
        <f aca="false">IF($B295="","",SUMIF('DỮ LIỆU'!$C$3:$C$1052,$B295,'DỮ LIỆU'!$N$3:$N$1052))</f>
        <v/>
      </c>
      <c r="K295" s="13" t="str">
        <f aca="false">IF($B295="","",SUMIF('DỮ LIỆU'!$C$3:$C$1052,$B295,'DỮ LIỆU'!$O$3:$O$1052))</f>
        <v/>
      </c>
      <c r="L295" s="13" t="str">
        <f aca="false">IF($B295="","",SUMIF('DỮ LIỆU'!$C$3:$C$1052,$B295,'DỮ LIỆU'!$Q$3:$Q$1052))</f>
        <v/>
      </c>
      <c r="M295" s="41" t="str">
        <f aca="false">IF($B295="","",IF(SUMPRODUCT(MAX(('DỮ LIỆU'!$C$3:$C$1052=$B295)*'DỮ LIỆU'!$Z$3:$Z$1052))=0,"",SUMPRODUCT(MAX(('DỮ LIỆU'!$C$3:$C$1052=$B295)*'DỮ LIỆU'!$Z$3:$Z$1052))))</f>
        <v/>
      </c>
      <c r="N295" s="21" t="str">
        <f aca="false">IF($B295="","",IF($G295=0,"Chưa có đơn",IF(COUNTIFS('DỮ LIỆU'!$C$3:$C$1052,$B295,'DỮ LIỆU'!$K$3:$K$1052,"&gt;0")&gt;0,"Có lấy VAT","Không lấy VAT")))</f>
        <v/>
      </c>
    </row>
    <row r="296" customFormat="false" ht="15" hidden="false" customHeight="false" outlineLevel="0" collapsed="false">
      <c r="A296" s="21" t="str">
        <f aca="false">IF($B296="","",291)</f>
        <v/>
      </c>
      <c r="B296" s="21" t="str">
        <f aca="false">IFERROR(INDEX('DỮ LIỆU'!$C$3:$C$1052,MATCH(291,'DỮ LIỆU'!$W$3:$W$1052,0)),"")</f>
        <v/>
      </c>
      <c r="C296" s="21" t="str">
        <f aca="false">IF($B296="","",IFERROR(IF(INDEX('DỮ LIỆU'!$D$3:$D$1052,MATCH($B296,'DỮ LIỆU'!$C$3:$C$1052,0))="","",INDEX('DỮ LIỆU'!$D$3:$D$1052,MATCH($B296,'DỮ LIỆU'!$C$3:$C$1052,0))),""))</f>
        <v/>
      </c>
      <c r="D296" s="21" t="str">
        <f aca="false">IF($B296="","",IFERROR(IF(INDEX('DỮ LIỆU'!$E$3:$E$1052,MATCH($B296,'DỮ LIỆU'!$C$3:$C$1052,0))="","",INDEX('DỮ LIỆU'!$E$3:$E$1052,MATCH($B296,'DỮ LIỆU'!$C$3:$C$1052,0))),""))</f>
        <v/>
      </c>
      <c r="E296" s="21" t="str">
        <f aca="false">IF($B296="","",IFERROR(IF(INDEX('DỮ LIỆU'!$F$3:$F$1052,MATCH($B296,'DỮ LIỆU'!$C$3:$C$1052,0))="","",INDEX('DỮ LIỆU'!$F$3:$F$1052,MATCH($B296,'DỮ LIỆU'!$C$3:$C$1052,0))),""))</f>
        <v/>
      </c>
      <c r="F296" s="21" t="str">
        <f aca="false">IF($B296="","",IFERROR(IF(INDEX('DỮ LIỆU'!$G$3:$G$1052,MATCH($B296,'DỮ LIỆU'!$C$3:$C$1052,0))="","",INDEX('DỮ LIỆU'!$G$3:$G$1052,MATCH($B296,'DỮ LIỆU'!$C$3:$C$1052,0))),""))</f>
        <v/>
      </c>
      <c r="G296" s="13" t="str">
        <f aca="false">IF($B296="","",COUNTIFS('DỮ LIỆU'!$C$3:$C$1052,$B296,'DỮ LIỆU'!$J$3:$J$1052,"&gt;0"))</f>
        <v/>
      </c>
      <c r="H296" s="13" t="str">
        <f aca="false">IF($B296="","",SUMIF('DỮ LIỆU'!$C$3:$C$1052,$B296,'DỮ LIỆU'!$J$3:$J$1052))</f>
        <v/>
      </c>
      <c r="I296" s="13" t="str">
        <f aca="false">IF($B296="","",SUMIF('DỮ LIỆU'!$C$3:$C$1052,$B296,'DỮ LIỆU'!$M$3:$M$1052))</f>
        <v/>
      </c>
      <c r="J296" s="13" t="str">
        <f aca="false">IF($B296="","",SUMIF('DỮ LIỆU'!$C$3:$C$1052,$B296,'DỮ LIỆU'!$N$3:$N$1052))</f>
        <v/>
      </c>
      <c r="K296" s="13" t="str">
        <f aca="false">IF($B296="","",SUMIF('DỮ LIỆU'!$C$3:$C$1052,$B296,'DỮ LIỆU'!$O$3:$O$1052))</f>
        <v/>
      </c>
      <c r="L296" s="13" t="str">
        <f aca="false">IF($B296="","",SUMIF('DỮ LIỆU'!$C$3:$C$1052,$B296,'DỮ LIỆU'!$Q$3:$Q$1052))</f>
        <v/>
      </c>
      <c r="M296" s="41" t="str">
        <f aca="false">IF($B296="","",IF(SUMPRODUCT(MAX(('DỮ LIỆU'!$C$3:$C$1052=$B296)*'DỮ LIỆU'!$Z$3:$Z$1052))=0,"",SUMPRODUCT(MAX(('DỮ LIỆU'!$C$3:$C$1052=$B296)*'DỮ LIỆU'!$Z$3:$Z$1052))))</f>
        <v/>
      </c>
      <c r="N296" s="21" t="str">
        <f aca="false">IF($B296="","",IF($G296=0,"Chưa có đơn",IF(COUNTIFS('DỮ LIỆU'!$C$3:$C$1052,$B296,'DỮ LIỆU'!$K$3:$K$1052,"&gt;0")&gt;0,"Có lấy VAT","Không lấy VAT")))</f>
        <v/>
      </c>
    </row>
    <row r="297" customFormat="false" ht="15" hidden="false" customHeight="false" outlineLevel="0" collapsed="false">
      <c r="A297" s="21" t="str">
        <f aca="false">IF($B297="","",292)</f>
        <v/>
      </c>
      <c r="B297" s="21" t="str">
        <f aca="false">IFERROR(INDEX('DỮ LIỆU'!$C$3:$C$1052,MATCH(292,'DỮ LIỆU'!$W$3:$W$1052,0)),"")</f>
        <v/>
      </c>
      <c r="C297" s="21" t="str">
        <f aca="false">IF($B297="","",IFERROR(IF(INDEX('DỮ LIỆU'!$D$3:$D$1052,MATCH($B297,'DỮ LIỆU'!$C$3:$C$1052,0))="","",INDEX('DỮ LIỆU'!$D$3:$D$1052,MATCH($B297,'DỮ LIỆU'!$C$3:$C$1052,0))),""))</f>
        <v/>
      </c>
      <c r="D297" s="21" t="str">
        <f aca="false">IF($B297="","",IFERROR(IF(INDEX('DỮ LIỆU'!$E$3:$E$1052,MATCH($B297,'DỮ LIỆU'!$C$3:$C$1052,0))="","",INDEX('DỮ LIỆU'!$E$3:$E$1052,MATCH($B297,'DỮ LIỆU'!$C$3:$C$1052,0))),""))</f>
        <v/>
      </c>
      <c r="E297" s="21" t="str">
        <f aca="false">IF($B297="","",IFERROR(IF(INDEX('DỮ LIỆU'!$F$3:$F$1052,MATCH($B297,'DỮ LIỆU'!$C$3:$C$1052,0))="","",INDEX('DỮ LIỆU'!$F$3:$F$1052,MATCH($B297,'DỮ LIỆU'!$C$3:$C$1052,0))),""))</f>
        <v/>
      </c>
      <c r="F297" s="21" t="str">
        <f aca="false">IF($B297="","",IFERROR(IF(INDEX('DỮ LIỆU'!$G$3:$G$1052,MATCH($B297,'DỮ LIỆU'!$C$3:$C$1052,0))="","",INDEX('DỮ LIỆU'!$G$3:$G$1052,MATCH($B297,'DỮ LIỆU'!$C$3:$C$1052,0))),""))</f>
        <v/>
      </c>
      <c r="G297" s="13" t="str">
        <f aca="false">IF($B297="","",COUNTIFS('DỮ LIỆU'!$C$3:$C$1052,$B297,'DỮ LIỆU'!$J$3:$J$1052,"&gt;0"))</f>
        <v/>
      </c>
      <c r="H297" s="13" t="str">
        <f aca="false">IF($B297="","",SUMIF('DỮ LIỆU'!$C$3:$C$1052,$B297,'DỮ LIỆU'!$J$3:$J$1052))</f>
        <v/>
      </c>
      <c r="I297" s="13" t="str">
        <f aca="false">IF($B297="","",SUMIF('DỮ LIỆU'!$C$3:$C$1052,$B297,'DỮ LIỆU'!$M$3:$M$1052))</f>
        <v/>
      </c>
      <c r="J297" s="13" t="str">
        <f aca="false">IF($B297="","",SUMIF('DỮ LIỆU'!$C$3:$C$1052,$B297,'DỮ LIỆU'!$N$3:$N$1052))</f>
        <v/>
      </c>
      <c r="K297" s="13" t="str">
        <f aca="false">IF($B297="","",SUMIF('DỮ LIỆU'!$C$3:$C$1052,$B297,'DỮ LIỆU'!$O$3:$O$1052))</f>
        <v/>
      </c>
      <c r="L297" s="13" t="str">
        <f aca="false">IF($B297="","",SUMIF('DỮ LIỆU'!$C$3:$C$1052,$B297,'DỮ LIỆU'!$Q$3:$Q$1052))</f>
        <v/>
      </c>
      <c r="M297" s="41" t="str">
        <f aca="false">IF($B297="","",IF(SUMPRODUCT(MAX(('DỮ LIỆU'!$C$3:$C$1052=$B297)*'DỮ LIỆU'!$Z$3:$Z$1052))=0,"",SUMPRODUCT(MAX(('DỮ LIỆU'!$C$3:$C$1052=$B297)*'DỮ LIỆU'!$Z$3:$Z$1052))))</f>
        <v/>
      </c>
      <c r="N297" s="21" t="str">
        <f aca="false">IF($B297="","",IF($G297=0,"Chưa có đơn",IF(COUNTIFS('DỮ LIỆU'!$C$3:$C$1052,$B297,'DỮ LIỆU'!$K$3:$K$1052,"&gt;0")&gt;0,"Có lấy VAT","Không lấy VAT")))</f>
        <v/>
      </c>
    </row>
    <row r="298" customFormat="false" ht="15" hidden="false" customHeight="false" outlineLevel="0" collapsed="false">
      <c r="A298" s="21" t="str">
        <f aca="false">IF($B298="","",293)</f>
        <v/>
      </c>
      <c r="B298" s="21" t="str">
        <f aca="false">IFERROR(INDEX('DỮ LIỆU'!$C$3:$C$1052,MATCH(293,'DỮ LIỆU'!$W$3:$W$1052,0)),"")</f>
        <v/>
      </c>
      <c r="C298" s="21" t="str">
        <f aca="false">IF($B298="","",IFERROR(IF(INDEX('DỮ LIỆU'!$D$3:$D$1052,MATCH($B298,'DỮ LIỆU'!$C$3:$C$1052,0))="","",INDEX('DỮ LIỆU'!$D$3:$D$1052,MATCH($B298,'DỮ LIỆU'!$C$3:$C$1052,0))),""))</f>
        <v/>
      </c>
      <c r="D298" s="21" t="str">
        <f aca="false">IF($B298="","",IFERROR(IF(INDEX('DỮ LIỆU'!$E$3:$E$1052,MATCH($B298,'DỮ LIỆU'!$C$3:$C$1052,0))="","",INDEX('DỮ LIỆU'!$E$3:$E$1052,MATCH($B298,'DỮ LIỆU'!$C$3:$C$1052,0))),""))</f>
        <v/>
      </c>
      <c r="E298" s="21" t="str">
        <f aca="false">IF($B298="","",IFERROR(IF(INDEX('DỮ LIỆU'!$F$3:$F$1052,MATCH($B298,'DỮ LIỆU'!$C$3:$C$1052,0))="","",INDEX('DỮ LIỆU'!$F$3:$F$1052,MATCH($B298,'DỮ LIỆU'!$C$3:$C$1052,0))),""))</f>
        <v/>
      </c>
      <c r="F298" s="21" t="str">
        <f aca="false">IF($B298="","",IFERROR(IF(INDEX('DỮ LIỆU'!$G$3:$G$1052,MATCH($B298,'DỮ LIỆU'!$C$3:$C$1052,0))="","",INDEX('DỮ LIỆU'!$G$3:$G$1052,MATCH($B298,'DỮ LIỆU'!$C$3:$C$1052,0))),""))</f>
        <v/>
      </c>
      <c r="G298" s="13" t="str">
        <f aca="false">IF($B298="","",COUNTIFS('DỮ LIỆU'!$C$3:$C$1052,$B298,'DỮ LIỆU'!$J$3:$J$1052,"&gt;0"))</f>
        <v/>
      </c>
      <c r="H298" s="13" t="str">
        <f aca="false">IF($B298="","",SUMIF('DỮ LIỆU'!$C$3:$C$1052,$B298,'DỮ LIỆU'!$J$3:$J$1052))</f>
        <v/>
      </c>
      <c r="I298" s="13" t="str">
        <f aca="false">IF($B298="","",SUMIF('DỮ LIỆU'!$C$3:$C$1052,$B298,'DỮ LIỆU'!$M$3:$M$1052))</f>
        <v/>
      </c>
      <c r="J298" s="13" t="str">
        <f aca="false">IF($B298="","",SUMIF('DỮ LIỆU'!$C$3:$C$1052,$B298,'DỮ LIỆU'!$N$3:$N$1052))</f>
        <v/>
      </c>
      <c r="K298" s="13" t="str">
        <f aca="false">IF($B298="","",SUMIF('DỮ LIỆU'!$C$3:$C$1052,$B298,'DỮ LIỆU'!$O$3:$O$1052))</f>
        <v/>
      </c>
      <c r="L298" s="13" t="str">
        <f aca="false">IF($B298="","",SUMIF('DỮ LIỆU'!$C$3:$C$1052,$B298,'DỮ LIỆU'!$Q$3:$Q$1052))</f>
        <v/>
      </c>
      <c r="M298" s="41" t="str">
        <f aca="false">IF($B298="","",IF(SUMPRODUCT(MAX(('DỮ LIỆU'!$C$3:$C$1052=$B298)*'DỮ LIỆU'!$Z$3:$Z$1052))=0,"",SUMPRODUCT(MAX(('DỮ LIỆU'!$C$3:$C$1052=$B298)*'DỮ LIỆU'!$Z$3:$Z$1052))))</f>
        <v/>
      </c>
      <c r="N298" s="21" t="str">
        <f aca="false">IF($B298="","",IF($G298=0,"Chưa có đơn",IF(COUNTIFS('DỮ LIỆU'!$C$3:$C$1052,$B298,'DỮ LIỆU'!$K$3:$K$1052,"&gt;0")&gt;0,"Có lấy VAT","Không lấy VAT")))</f>
        <v/>
      </c>
    </row>
    <row r="299" customFormat="false" ht="15" hidden="false" customHeight="false" outlineLevel="0" collapsed="false">
      <c r="A299" s="21" t="str">
        <f aca="false">IF($B299="","",294)</f>
        <v/>
      </c>
      <c r="B299" s="21" t="str">
        <f aca="false">IFERROR(INDEX('DỮ LIỆU'!$C$3:$C$1052,MATCH(294,'DỮ LIỆU'!$W$3:$W$1052,0)),"")</f>
        <v/>
      </c>
      <c r="C299" s="21" t="str">
        <f aca="false">IF($B299="","",IFERROR(IF(INDEX('DỮ LIỆU'!$D$3:$D$1052,MATCH($B299,'DỮ LIỆU'!$C$3:$C$1052,0))="","",INDEX('DỮ LIỆU'!$D$3:$D$1052,MATCH($B299,'DỮ LIỆU'!$C$3:$C$1052,0))),""))</f>
        <v/>
      </c>
      <c r="D299" s="21" t="str">
        <f aca="false">IF($B299="","",IFERROR(IF(INDEX('DỮ LIỆU'!$E$3:$E$1052,MATCH($B299,'DỮ LIỆU'!$C$3:$C$1052,0))="","",INDEX('DỮ LIỆU'!$E$3:$E$1052,MATCH($B299,'DỮ LIỆU'!$C$3:$C$1052,0))),""))</f>
        <v/>
      </c>
      <c r="E299" s="21" t="str">
        <f aca="false">IF($B299="","",IFERROR(IF(INDEX('DỮ LIỆU'!$F$3:$F$1052,MATCH($B299,'DỮ LIỆU'!$C$3:$C$1052,0))="","",INDEX('DỮ LIỆU'!$F$3:$F$1052,MATCH($B299,'DỮ LIỆU'!$C$3:$C$1052,0))),""))</f>
        <v/>
      </c>
      <c r="F299" s="21" t="str">
        <f aca="false">IF($B299="","",IFERROR(IF(INDEX('DỮ LIỆU'!$G$3:$G$1052,MATCH($B299,'DỮ LIỆU'!$C$3:$C$1052,0))="","",INDEX('DỮ LIỆU'!$G$3:$G$1052,MATCH($B299,'DỮ LIỆU'!$C$3:$C$1052,0))),""))</f>
        <v/>
      </c>
      <c r="G299" s="13" t="str">
        <f aca="false">IF($B299="","",COUNTIFS('DỮ LIỆU'!$C$3:$C$1052,$B299,'DỮ LIỆU'!$J$3:$J$1052,"&gt;0"))</f>
        <v/>
      </c>
      <c r="H299" s="13" t="str">
        <f aca="false">IF($B299="","",SUMIF('DỮ LIỆU'!$C$3:$C$1052,$B299,'DỮ LIỆU'!$J$3:$J$1052))</f>
        <v/>
      </c>
      <c r="I299" s="13" t="str">
        <f aca="false">IF($B299="","",SUMIF('DỮ LIỆU'!$C$3:$C$1052,$B299,'DỮ LIỆU'!$M$3:$M$1052))</f>
        <v/>
      </c>
      <c r="J299" s="13" t="str">
        <f aca="false">IF($B299="","",SUMIF('DỮ LIỆU'!$C$3:$C$1052,$B299,'DỮ LIỆU'!$N$3:$N$1052))</f>
        <v/>
      </c>
      <c r="K299" s="13" t="str">
        <f aca="false">IF($B299="","",SUMIF('DỮ LIỆU'!$C$3:$C$1052,$B299,'DỮ LIỆU'!$O$3:$O$1052))</f>
        <v/>
      </c>
      <c r="L299" s="13" t="str">
        <f aca="false">IF($B299="","",SUMIF('DỮ LIỆU'!$C$3:$C$1052,$B299,'DỮ LIỆU'!$Q$3:$Q$1052))</f>
        <v/>
      </c>
      <c r="M299" s="41" t="str">
        <f aca="false">IF($B299="","",IF(SUMPRODUCT(MAX(('DỮ LIỆU'!$C$3:$C$1052=$B299)*'DỮ LIỆU'!$Z$3:$Z$1052))=0,"",SUMPRODUCT(MAX(('DỮ LIỆU'!$C$3:$C$1052=$B299)*'DỮ LIỆU'!$Z$3:$Z$1052))))</f>
        <v/>
      </c>
      <c r="N299" s="21" t="str">
        <f aca="false">IF($B299="","",IF($G299=0,"Chưa có đơn",IF(COUNTIFS('DỮ LIỆU'!$C$3:$C$1052,$B299,'DỮ LIỆU'!$K$3:$K$1052,"&gt;0")&gt;0,"Có lấy VAT","Không lấy VAT")))</f>
        <v/>
      </c>
    </row>
    <row r="300" customFormat="false" ht="15" hidden="false" customHeight="false" outlineLevel="0" collapsed="false">
      <c r="A300" s="21" t="str">
        <f aca="false">IF($B300="","",295)</f>
        <v/>
      </c>
      <c r="B300" s="21" t="str">
        <f aca="false">IFERROR(INDEX('DỮ LIỆU'!$C$3:$C$1052,MATCH(295,'DỮ LIỆU'!$W$3:$W$1052,0)),"")</f>
        <v/>
      </c>
      <c r="C300" s="21" t="str">
        <f aca="false">IF($B300="","",IFERROR(IF(INDEX('DỮ LIỆU'!$D$3:$D$1052,MATCH($B300,'DỮ LIỆU'!$C$3:$C$1052,0))="","",INDEX('DỮ LIỆU'!$D$3:$D$1052,MATCH($B300,'DỮ LIỆU'!$C$3:$C$1052,0))),""))</f>
        <v/>
      </c>
      <c r="D300" s="21" t="str">
        <f aca="false">IF($B300="","",IFERROR(IF(INDEX('DỮ LIỆU'!$E$3:$E$1052,MATCH($B300,'DỮ LIỆU'!$C$3:$C$1052,0))="","",INDEX('DỮ LIỆU'!$E$3:$E$1052,MATCH($B300,'DỮ LIỆU'!$C$3:$C$1052,0))),""))</f>
        <v/>
      </c>
      <c r="E300" s="21" t="str">
        <f aca="false">IF($B300="","",IFERROR(IF(INDEX('DỮ LIỆU'!$F$3:$F$1052,MATCH($B300,'DỮ LIỆU'!$C$3:$C$1052,0))="","",INDEX('DỮ LIỆU'!$F$3:$F$1052,MATCH($B300,'DỮ LIỆU'!$C$3:$C$1052,0))),""))</f>
        <v/>
      </c>
      <c r="F300" s="21" t="str">
        <f aca="false">IF($B300="","",IFERROR(IF(INDEX('DỮ LIỆU'!$G$3:$G$1052,MATCH($B300,'DỮ LIỆU'!$C$3:$C$1052,0))="","",INDEX('DỮ LIỆU'!$G$3:$G$1052,MATCH($B300,'DỮ LIỆU'!$C$3:$C$1052,0))),""))</f>
        <v/>
      </c>
      <c r="G300" s="13" t="str">
        <f aca="false">IF($B300="","",COUNTIFS('DỮ LIỆU'!$C$3:$C$1052,$B300,'DỮ LIỆU'!$J$3:$J$1052,"&gt;0"))</f>
        <v/>
      </c>
      <c r="H300" s="13" t="str">
        <f aca="false">IF($B300="","",SUMIF('DỮ LIỆU'!$C$3:$C$1052,$B300,'DỮ LIỆU'!$J$3:$J$1052))</f>
        <v/>
      </c>
      <c r="I300" s="13" t="str">
        <f aca="false">IF($B300="","",SUMIF('DỮ LIỆU'!$C$3:$C$1052,$B300,'DỮ LIỆU'!$M$3:$M$1052))</f>
        <v/>
      </c>
      <c r="J300" s="13" t="str">
        <f aca="false">IF($B300="","",SUMIF('DỮ LIỆU'!$C$3:$C$1052,$B300,'DỮ LIỆU'!$N$3:$N$1052))</f>
        <v/>
      </c>
      <c r="K300" s="13" t="str">
        <f aca="false">IF($B300="","",SUMIF('DỮ LIỆU'!$C$3:$C$1052,$B300,'DỮ LIỆU'!$O$3:$O$1052))</f>
        <v/>
      </c>
      <c r="L300" s="13" t="str">
        <f aca="false">IF($B300="","",SUMIF('DỮ LIỆU'!$C$3:$C$1052,$B300,'DỮ LIỆU'!$Q$3:$Q$1052))</f>
        <v/>
      </c>
      <c r="M300" s="41" t="str">
        <f aca="false">IF($B300="","",IF(SUMPRODUCT(MAX(('DỮ LIỆU'!$C$3:$C$1052=$B300)*'DỮ LIỆU'!$Z$3:$Z$1052))=0,"",SUMPRODUCT(MAX(('DỮ LIỆU'!$C$3:$C$1052=$B300)*'DỮ LIỆU'!$Z$3:$Z$1052))))</f>
        <v/>
      </c>
      <c r="N300" s="21" t="str">
        <f aca="false">IF($B300="","",IF($G300=0,"Chưa có đơn",IF(COUNTIFS('DỮ LIỆU'!$C$3:$C$1052,$B300,'DỮ LIỆU'!$K$3:$K$1052,"&gt;0")&gt;0,"Có lấy VAT","Không lấy VAT")))</f>
        <v/>
      </c>
    </row>
    <row r="301" customFormat="false" ht="15" hidden="false" customHeight="false" outlineLevel="0" collapsed="false">
      <c r="A301" s="21" t="str">
        <f aca="false">IF($B301="","",296)</f>
        <v/>
      </c>
      <c r="B301" s="21" t="str">
        <f aca="false">IFERROR(INDEX('DỮ LIỆU'!$C$3:$C$1052,MATCH(296,'DỮ LIỆU'!$W$3:$W$1052,0)),"")</f>
        <v/>
      </c>
      <c r="C301" s="21" t="str">
        <f aca="false">IF($B301="","",IFERROR(IF(INDEX('DỮ LIỆU'!$D$3:$D$1052,MATCH($B301,'DỮ LIỆU'!$C$3:$C$1052,0))="","",INDEX('DỮ LIỆU'!$D$3:$D$1052,MATCH($B301,'DỮ LIỆU'!$C$3:$C$1052,0))),""))</f>
        <v/>
      </c>
      <c r="D301" s="21" t="str">
        <f aca="false">IF($B301="","",IFERROR(IF(INDEX('DỮ LIỆU'!$E$3:$E$1052,MATCH($B301,'DỮ LIỆU'!$C$3:$C$1052,0))="","",INDEX('DỮ LIỆU'!$E$3:$E$1052,MATCH($B301,'DỮ LIỆU'!$C$3:$C$1052,0))),""))</f>
        <v/>
      </c>
      <c r="E301" s="21" t="str">
        <f aca="false">IF($B301="","",IFERROR(IF(INDEX('DỮ LIỆU'!$F$3:$F$1052,MATCH($B301,'DỮ LIỆU'!$C$3:$C$1052,0))="","",INDEX('DỮ LIỆU'!$F$3:$F$1052,MATCH($B301,'DỮ LIỆU'!$C$3:$C$1052,0))),""))</f>
        <v/>
      </c>
      <c r="F301" s="21" t="str">
        <f aca="false">IF($B301="","",IFERROR(IF(INDEX('DỮ LIỆU'!$G$3:$G$1052,MATCH($B301,'DỮ LIỆU'!$C$3:$C$1052,0))="","",INDEX('DỮ LIỆU'!$G$3:$G$1052,MATCH($B301,'DỮ LIỆU'!$C$3:$C$1052,0))),""))</f>
        <v/>
      </c>
      <c r="G301" s="13" t="str">
        <f aca="false">IF($B301="","",COUNTIFS('DỮ LIỆU'!$C$3:$C$1052,$B301,'DỮ LIỆU'!$J$3:$J$1052,"&gt;0"))</f>
        <v/>
      </c>
      <c r="H301" s="13" t="str">
        <f aca="false">IF($B301="","",SUMIF('DỮ LIỆU'!$C$3:$C$1052,$B301,'DỮ LIỆU'!$J$3:$J$1052))</f>
        <v/>
      </c>
      <c r="I301" s="13" t="str">
        <f aca="false">IF($B301="","",SUMIF('DỮ LIỆU'!$C$3:$C$1052,$B301,'DỮ LIỆU'!$M$3:$M$1052))</f>
        <v/>
      </c>
      <c r="J301" s="13" t="str">
        <f aca="false">IF($B301="","",SUMIF('DỮ LIỆU'!$C$3:$C$1052,$B301,'DỮ LIỆU'!$N$3:$N$1052))</f>
        <v/>
      </c>
      <c r="K301" s="13" t="str">
        <f aca="false">IF($B301="","",SUMIF('DỮ LIỆU'!$C$3:$C$1052,$B301,'DỮ LIỆU'!$O$3:$O$1052))</f>
        <v/>
      </c>
      <c r="L301" s="13" t="str">
        <f aca="false">IF($B301="","",SUMIF('DỮ LIỆU'!$C$3:$C$1052,$B301,'DỮ LIỆU'!$Q$3:$Q$1052))</f>
        <v/>
      </c>
      <c r="M301" s="41" t="str">
        <f aca="false">IF($B301="","",IF(SUMPRODUCT(MAX(('DỮ LIỆU'!$C$3:$C$1052=$B301)*'DỮ LIỆU'!$Z$3:$Z$1052))=0,"",SUMPRODUCT(MAX(('DỮ LIỆU'!$C$3:$C$1052=$B301)*'DỮ LIỆU'!$Z$3:$Z$1052))))</f>
        <v/>
      </c>
      <c r="N301" s="21" t="str">
        <f aca="false">IF($B301="","",IF($G301=0,"Chưa có đơn",IF(COUNTIFS('DỮ LIỆU'!$C$3:$C$1052,$B301,'DỮ LIỆU'!$K$3:$K$1052,"&gt;0")&gt;0,"Có lấy VAT","Không lấy VAT")))</f>
        <v/>
      </c>
    </row>
    <row r="302" customFormat="false" ht="15" hidden="false" customHeight="false" outlineLevel="0" collapsed="false">
      <c r="A302" s="21" t="str">
        <f aca="false">IF($B302="","",297)</f>
        <v/>
      </c>
      <c r="B302" s="21" t="str">
        <f aca="false">IFERROR(INDEX('DỮ LIỆU'!$C$3:$C$1052,MATCH(297,'DỮ LIỆU'!$W$3:$W$1052,0)),"")</f>
        <v/>
      </c>
      <c r="C302" s="21" t="str">
        <f aca="false">IF($B302="","",IFERROR(IF(INDEX('DỮ LIỆU'!$D$3:$D$1052,MATCH($B302,'DỮ LIỆU'!$C$3:$C$1052,0))="","",INDEX('DỮ LIỆU'!$D$3:$D$1052,MATCH($B302,'DỮ LIỆU'!$C$3:$C$1052,0))),""))</f>
        <v/>
      </c>
      <c r="D302" s="21" t="str">
        <f aca="false">IF($B302="","",IFERROR(IF(INDEX('DỮ LIỆU'!$E$3:$E$1052,MATCH($B302,'DỮ LIỆU'!$C$3:$C$1052,0))="","",INDEX('DỮ LIỆU'!$E$3:$E$1052,MATCH($B302,'DỮ LIỆU'!$C$3:$C$1052,0))),""))</f>
        <v/>
      </c>
      <c r="E302" s="21" t="str">
        <f aca="false">IF($B302="","",IFERROR(IF(INDEX('DỮ LIỆU'!$F$3:$F$1052,MATCH($B302,'DỮ LIỆU'!$C$3:$C$1052,0))="","",INDEX('DỮ LIỆU'!$F$3:$F$1052,MATCH($B302,'DỮ LIỆU'!$C$3:$C$1052,0))),""))</f>
        <v/>
      </c>
      <c r="F302" s="21" t="str">
        <f aca="false">IF($B302="","",IFERROR(IF(INDEX('DỮ LIỆU'!$G$3:$G$1052,MATCH($B302,'DỮ LIỆU'!$C$3:$C$1052,0))="","",INDEX('DỮ LIỆU'!$G$3:$G$1052,MATCH($B302,'DỮ LIỆU'!$C$3:$C$1052,0))),""))</f>
        <v/>
      </c>
      <c r="G302" s="13" t="str">
        <f aca="false">IF($B302="","",COUNTIFS('DỮ LIỆU'!$C$3:$C$1052,$B302,'DỮ LIỆU'!$J$3:$J$1052,"&gt;0"))</f>
        <v/>
      </c>
      <c r="H302" s="13" t="str">
        <f aca="false">IF($B302="","",SUMIF('DỮ LIỆU'!$C$3:$C$1052,$B302,'DỮ LIỆU'!$J$3:$J$1052))</f>
        <v/>
      </c>
      <c r="I302" s="13" t="str">
        <f aca="false">IF($B302="","",SUMIF('DỮ LIỆU'!$C$3:$C$1052,$B302,'DỮ LIỆU'!$M$3:$M$1052))</f>
        <v/>
      </c>
      <c r="J302" s="13" t="str">
        <f aca="false">IF($B302="","",SUMIF('DỮ LIỆU'!$C$3:$C$1052,$B302,'DỮ LIỆU'!$N$3:$N$1052))</f>
        <v/>
      </c>
      <c r="K302" s="13" t="str">
        <f aca="false">IF($B302="","",SUMIF('DỮ LIỆU'!$C$3:$C$1052,$B302,'DỮ LIỆU'!$O$3:$O$1052))</f>
        <v/>
      </c>
      <c r="L302" s="13" t="str">
        <f aca="false">IF($B302="","",SUMIF('DỮ LIỆU'!$C$3:$C$1052,$B302,'DỮ LIỆU'!$Q$3:$Q$1052))</f>
        <v/>
      </c>
      <c r="M302" s="41" t="str">
        <f aca="false">IF($B302="","",IF(SUMPRODUCT(MAX(('DỮ LIỆU'!$C$3:$C$1052=$B302)*'DỮ LIỆU'!$Z$3:$Z$1052))=0,"",SUMPRODUCT(MAX(('DỮ LIỆU'!$C$3:$C$1052=$B302)*'DỮ LIỆU'!$Z$3:$Z$1052))))</f>
        <v/>
      </c>
      <c r="N302" s="21" t="str">
        <f aca="false">IF($B302="","",IF($G302=0,"Chưa có đơn",IF(COUNTIFS('DỮ LIỆU'!$C$3:$C$1052,$B302,'DỮ LIỆU'!$K$3:$K$1052,"&gt;0")&gt;0,"Có lấy VAT","Không lấy VAT")))</f>
        <v/>
      </c>
    </row>
    <row r="303" customFormat="false" ht="15" hidden="false" customHeight="false" outlineLevel="0" collapsed="false">
      <c r="A303" s="21" t="str">
        <f aca="false">IF($B303="","",298)</f>
        <v/>
      </c>
      <c r="B303" s="21" t="str">
        <f aca="false">IFERROR(INDEX('DỮ LIỆU'!$C$3:$C$1052,MATCH(298,'DỮ LIỆU'!$W$3:$W$1052,0)),"")</f>
        <v/>
      </c>
      <c r="C303" s="21" t="str">
        <f aca="false">IF($B303="","",IFERROR(IF(INDEX('DỮ LIỆU'!$D$3:$D$1052,MATCH($B303,'DỮ LIỆU'!$C$3:$C$1052,0))="","",INDEX('DỮ LIỆU'!$D$3:$D$1052,MATCH($B303,'DỮ LIỆU'!$C$3:$C$1052,0))),""))</f>
        <v/>
      </c>
      <c r="D303" s="21" t="str">
        <f aca="false">IF($B303="","",IFERROR(IF(INDEX('DỮ LIỆU'!$E$3:$E$1052,MATCH($B303,'DỮ LIỆU'!$C$3:$C$1052,0))="","",INDEX('DỮ LIỆU'!$E$3:$E$1052,MATCH($B303,'DỮ LIỆU'!$C$3:$C$1052,0))),""))</f>
        <v/>
      </c>
      <c r="E303" s="21" t="str">
        <f aca="false">IF($B303="","",IFERROR(IF(INDEX('DỮ LIỆU'!$F$3:$F$1052,MATCH($B303,'DỮ LIỆU'!$C$3:$C$1052,0))="","",INDEX('DỮ LIỆU'!$F$3:$F$1052,MATCH($B303,'DỮ LIỆU'!$C$3:$C$1052,0))),""))</f>
        <v/>
      </c>
      <c r="F303" s="21" t="str">
        <f aca="false">IF($B303="","",IFERROR(IF(INDEX('DỮ LIỆU'!$G$3:$G$1052,MATCH($B303,'DỮ LIỆU'!$C$3:$C$1052,0))="","",INDEX('DỮ LIỆU'!$G$3:$G$1052,MATCH($B303,'DỮ LIỆU'!$C$3:$C$1052,0))),""))</f>
        <v/>
      </c>
      <c r="G303" s="13" t="str">
        <f aca="false">IF($B303="","",COUNTIFS('DỮ LIỆU'!$C$3:$C$1052,$B303,'DỮ LIỆU'!$J$3:$J$1052,"&gt;0"))</f>
        <v/>
      </c>
      <c r="H303" s="13" t="str">
        <f aca="false">IF($B303="","",SUMIF('DỮ LIỆU'!$C$3:$C$1052,$B303,'DỮ LIỆU'!$J$3:$J$1052))</f>
        <v/>
      </c>
      <c r="I303" s="13" t="str">
        <f aca="false">IF($B303="","",SUMIF('DỮ LIỆU'!$C$3:$C$1052,$B303,'DỮ LIỆU'!$M$3:$M$1052))</f>
        <v/>
      </c>
      <c r="J303" s="13" t="str">
        <f aca="false">IF($B303="","",SUMIF('DỮ LIỆU'!$C$3:$C$1052,$B303,'DỮ LIỆU'!$N$3:$N$1052))</f>
        <v/>
      </c>
      <c r="K303" s="13" t="str">
        <f aca="false">IF($B303="","",SUMIF('DỮ LIỆU'!$C$3:$C$1052,$B303,'DỮ LIỆU'!$O$3:$O$1052))</f>
        <v/>
      </c>
      <c r="L303" s="13" t="str">
        <f aca="false">IF($B303="","",SUMIF('DỮ LIỆU'!$C$3:$C$1052,$B303,'DỮ LIỆU'!$Q$3:$Q$1052))</f>
        <v/>
      </c>
      <c r="M303" s="41" t="str">
        <f aca="false">IF($B303="","",IF(SUMPRODUCT(MAX(('DỮ LIỆU'!$C$3:$C$1052=$B303)*'DỮ LIỆU'!$Z$3:$Z$1052))=0,"",SUMPRODUCT(MAX(('DỮ LIỆU'!$C$3:$C$1052=$B303)*'DỮ LIỆU'!$Z$3:$Z$1052))))</f>
        <v/>
      </c>
      <c r="N303" s="21" t="str">
        <f aca="false">IF($B303="","",IF($G303=0,"Chưa có đơn",IF(COUNTIFS('DỮ LIỆU'!$C$3:$C$1052,$B303,'DỮ LIỆU'!$K$3:$K$1052,"&gt;0")&gt;0,"Có lấy VAT","Không lấy VAT")))</f>
        <v/>
      </c>
    </row>
    <row r="304" customFormat="false" ht="15" hidden="false" customHeight="false" outlineLevel="0" collapsed="false">
      <c r="A304" s="21" t="str">
        <f aca="false">IF($B304="","",299)</f>
        <v/>
      </c>
      <c r="B304" s="21" t="str">
        <f aca="false">IFERROR(INDEX('DỮ LIỆU'!$C$3:$C$1052,MATCH(299,'DỮ LIỆU'!$W$3:$W$1052,0)),"")</f>
        <v/>
      </c>
      <c r="C304" s="21" t="str">
        <f aca="false">IF($B304="","",IFERROR(IF(INDEX('DỮ LIỆU'!$D$3:$D$1052,MATCH($B304,'DỮ LIỆU'!$C$3:$C$1052,0))="","",INDEX('DỮ LIỆU'!$D$3:$D$1052,MATCH($B304,'DỮ LIỆU'!$C$3:$C$1052,0))),""))</f>
        <v/>
      </c>
      <c r="D304" s="21" t="str">
        <f aca="false">IF($B304="","",IFERROR(IF(INDEX('DỮ LIỆU'!$E$3:$E$1052,MATCH($B304,'DỮ LIỆU'!$C$3:$C$1052,0))="","",INDEX('DỮ LIỆU'!$E$3:$E$1052,MATCH($B304,'DỮ LIỆU'!$C$3:$C$1052,0))),""))</f>
        <v/>
      </c>
      <c r="E304" s="21" t="str">
        <f aca="false">IF($B304="","",IFERROR(IF(INDEX('DỮ LIỆU'!$F$3:$F$1052,MATCH($B304,'DỮ LIỆU'!$C$3:$C$1052,0))="","",INDEX('DỮ LIỆU'!$F$3:$F$1052,MATCH($B304,'DỮ LIỆU'!$C$3:$C$1052,0))),""))</f>
        <v/>
      </c>
      <c r="F304" s="21" t="str">
        <f aca="false">IF($B304="","",IFERROR(IF(INDEX('DỮ LIỆU'!$G$3:$G$1052,MATCH($B304,'DỮ LIỆU'!$C$3:$C$1052,0))="","",INDEX('DỮ LIỆU'!$G$3:$G$1052,MATCH($B304,'DỮ LIỆU'!$C$3:$C$1052,0))),""))</f>
        <v/>
      </c>
      <c r="G304" s="13" t="str">
        <f aca="false">IF($B304="","",COUNTIFS('DỮ LIỆU'!$C$3:$C$1052,$B304,'DỮ LIỆU'!$J$3:$J$1052,"&gt;0"))</f>
        <v/>
      </c>
      <c r="H304" s="13" t="str">
        <f aca="false">IF($B304="","",SUMIF('DỮ LIỆU'!$C$3:$C$1052,$B304,'DỮ LIỆU'!$J$3:$J$1052))</f>
        <v/>
      </c>
      <c r="I304" s="13" t="str">
        <f aca="false">IF($B304="","",SUMIF('DỮ LIỆU'!$C$3:$C$1052,$B304,'DỮ LIỆU'!$M$3:$M$1052))</f>
        <v/>
      </c>
      <c r="J304" s="13" t="str">
        <f aca="false">IF($B304="","",SUMIF('DỮ LIỆU'!$C$3:$C$1052,$B304,'DỮ LIỆU'!$N$3:$N$1052))</f>
        <v/>
      </c>
      <c r="K304" s="13" t="str">
        <f aca="false">IF($B304="","",SUMIF('DỮ LIỆU'!$C$3:$C$1052,$B304,'DỮ LIỆU'!$O$3:$O$1052))</f>
        <v/>
      </c>
      <c r="L304" s="13" t="str">
        <f aca="false">IF($B304="","",SUMIF('DỮ LIỆU'!$C$3:$C$1052,$B304,'DỮ LIỆU'!$Q$3:$Q$1052))</f>
        <v/>
      </c>
      <c r="M304" s="41" t="str">
        <f aca="false">IF($B304="","",IF(SUMPRODUCT(MAX(('DỮ LIỆU'!$C$3:$C$1052=$B304)*'DỮ LIỆU'!$Z$3:$Z$1052))=0,"",SUMPRODUCT(MAX(('DỮ LIỆU'!$C$3:$C$1052=$B304)*'DỮ LIỆU'!$Z$3:$Z$1052))))</f>
        <v/>
      </c>
      <c r="N304" s="21" t="str">
        <f aca="false">IF($B304="","",IF($G304=0,"Chưa có đơn",IF(COUNTIFS('DỮ LIỆU'!$C$3:$C$1052,$B304,'DỮ LIỆU'!$K$3:$K$1052,"&gt;0")&gt;0,"Có lấy VAT","Không lấy VAT")))</f>
        <v/>
      </c>
    </row>
    <row r="305" customFormat="false" ht="15" hidden="false" customHeight="false" outlineLevel="0" collapsed="false">
      <c r="A305" s="21" t="str">
        <f aca="false">IF($B305="","",300)</f>
        <v/>
      </c>
      <c r="B305" s="21" t="str">
        <f aca="false">IFERROR(INDEX('DỮ LIỆU'!$C$3:$C$1052,MATCH(300,'DỮ LIỆU'!$W$3:$W$1052,0)),"")</f>
        <v/>
      </c>
      <c r="C305" s="21" t="str">
        <f aca="false">IF($B305="","",IFERROR(IF(INDEX('DỮ LIỆU'!$D$3:$D$1052,MATCH($B305,'DỮ LIỆU'!$C$3:$C$1052,0))="","",INDEX('DỮ LIỆU'!$D$3:$D$1052,MATCH($B305,'DỮ LIỆU'!$C$3:$C$1052,0))),""))</f>
        <v/>
      </c>
      <c r="D305" s="21" t="str">
        <f aca="false">IF($B305="","",IFERROR(IF(INDEX('DỮ LIỆU'!$E$3:$E$1052,MATCH($B305,'DỮ LIỆU'!$C$3:$C$1052,0))="","",INDEX('DỮ LIỆU'!$E$3:$E$1052,MATCH($B305,'DỮ LIỆU'!$C$3:$C$1052,0))),""))</f>
        <v/>
      </c>
      <c r="E305" s="21" t="str">
        <f aca="false">IF($B305="","",IFERROR(IF(INDEX('DỮ LIỆU'!$F$3:$F$1052,MATCH($B305,'DỮ LIỆU'!$C$3:$C$1052,0))="","",INDEX('DỮ LIỆU'!$F$3:$F$1052,MATCH($B305,'DỮ LIỆU'!$C$3:$C$1052,0))),""))</f>
        <v/>
      </c>
      <c r="F305" s="21" t="str">
        <f aca="false">IF($B305="","",IFERROR(IF(INDEX('DỮ LIỆU'!$G$3:$G$1052,MATCH($B305,'DỮ LIỆU'!$C$3:$C$1052,0))="","",INDEX('DỮ LIỆU'!$G$3:$G$1052,MATCH($B305,'DỮ LIỆU'!$C$3:$C$1052,0))),""))</f>
        <v/>
      </c>
      <c r="G305" s="13" t="str">
        <f aca="false">IF($B305="","",COUNTIFS('DỮ LIỆU'!$C$3:$C$1052,$B305,'DỮ LIỆU'!$J$3:$J$1052,"&gt;0"))</f>
        <v/>
      </c>
      <c r="H305" s="13" t="str">
        <f aca="false">IF($B305="","",SUMIF('DỮ LIỆU'!$C$3:$C$1052,$B305,'DỮ LIỆU'!$J$3:$J$1052))</f>
        <v/>
      </c>
      <c r="I305" s="13" t="str">
        <f aca="false">IF($B305="","",SUMIF('DỮ LIỆU'!$C$3:$C$1052,$B305,'DỮ LIỆU'!$M$3:$M$1052))</f>
        <v/>
      </c>
      <c r="J305" s="13" t="str">
        <f aca="false">IF($B305="","",SUMIF('DỮ LIỆU'!$C$3:$C$1052,$B305,'DỮ LIỆU'!$N$3:$N$1052))</f>
        <v/>
      </c>
      <c r="K305" s="13" t="str">
        <f aca="false">IF($B305="","",SUMIF('DỮ LIỆU'!$C$3:$C$1052,$B305,'DỮ LIỆU'!$O$3:$O$1052))</f>
        <v/>
      </c>
      <c r="L305" s="13" t="str">
        <f aca="false">IF($B305="","",SUMIF('DỮ LIỆU'!$C$3:$C$1052,$B305,'DỮ LIỆU'!$Q$3:$Q$1052))</f>
        <v/>
      </c>
      <c r="M305" s="41" t="str">
        <f aca="false">IF($B305="","",IF(SUMPRODUCT(MAX(('DỮ LIỆU'!$C$3:$C$1052=$B305)*'DỮ LIỆU'!$Z$3:$Z$1052))=0,"",SUMPRODUCT(MAX(('DỮ LIỆU'!$C$3:$C$1052=$B305)*'DỮ LIỆU'!$Z$3:$Z$1052))))</f>
        <v/>
      </c>
      <c r="N305" s="21" t="str">
        <f aca="false">IF($B305="","",IF($G305=0,"Chưa có đơn",IF(COUNTIFS('DỮ LIỆU'!$C$3:$C$1052,$B305,'DỮ LIỆU'!$K$3:$K$1052,"&gt;0")&gt;0,"Có lấy VAT","Không lấy VAT")))</f>
        <v/>
      </c>
    </row>
    <row r="306" customFormat="false" ht="15" hidden="false" customHeight="false" outlineLevel="0" collapsed="false">
      <c r="A306" s="21" t="str">
        <f aca="false">IF($B306="","",301)</f>
        <v/>
      </c>
      <c r="B306" s="21" t="str">
        <f aca="false">IFERROR(INDEX('DỮ LIỆU'!$C$3:$C$1052,MATCH(301,'DỮ LIỆU'!$W$3:$W$1052,0)),"")</f>
        <v/>
      </c>
      <c r="C306" s="21" t="str">
        <f aca="false">IF($B306="","",IFERROR(IF(INDEX('DỮ LIỆU'!$D$3:$D$1052,MATCH($B306,'DỮ LIỆU'!$C$3:$C$1052,0))="","",INDEX('DỮ LIỆU'!$D$3:$D$1052,MATCH($B306,'DỮ LIỆU'!$C$3:$C$1052,0))),""))</f>
        <v/>
      </c>
      <c r="D306" s="21" t="str">
        <f aca="false">IF($B306="","",IFERROR(IF(INDEX('DỮ LIỆU'!$E$3:$E$1052,MATCH($B306,'DỮ LIỆU'!$C$3:$C$1052,0))="","",INDEX('DỮ LIỆU'!$E$3:$E$1052,MATCH($B306,'DỮ LIỆU'!$C$3:$C$1052,0))),""))</f>
        <v/>
      </c>
      <c r="E306" s="21" t="str">
        <f aca="false">IF($B306="","",IFERROR(IF(INDEX('DỮ LIỆU'!$F$3:$F$1052,MATCH($B306,'DỮ LIỆU'!$C$3:$C$1052,0))="","",INDEX('DỮ LIỆU'!$F$3:$F$1052,MATCH($B306,'DỮ LIỆU'!$C$3:$C$1052,0))),""))</f>
        <v/>
      </c>
      <c r="F306" s="21" t="str">
        <f aca="false">IF($B306="","",IFERROR(IF(INDEX('DỮ LIỆU'!$G$3:$G$1052,MATCH($B306,'DỮ LIỆU'!$C$3:$C$1052,0))="","",INDEX('DỮ LIỆU'!$G$3:$G$1052,MATCH($B306,'DỮ LIỆU'!$C$3:$C$1052,0))),""))</f>
        <v/>
      </c>
      <c r="G306" s="13" t="str">
        <f aca="false">IF($B306="","",COUNTIFS('DỮ LIỆU'!$C$3:$C$1052,$B306,'DỮ LIỆU'!$J$3:$J$1052,"&gt;0"))</f>
        <v/>
      </c>
      <c r="H306" s="13" t="str">
        <f aca="false">IF($B306="","",SUMIF('DỮ LIỆU'!$C$3:$C$1052,$B306,'DỮ LIỆU'!$J$3:$J$1052))</f>
        <v/>
      </c>
      <c r="I306" s="13" t="str">
        <f aca="false">IF($B306="","",SUMIF('DỮ LIỆU'!$C$3:$C$1052,$B306,'DỮ LIỆU'!$M$3:$M$1052))</f>
        <v/>
      </c>
      <c r="J306" s="13" t="str">
        <f aca="false">IF($B306="","",SUMIF('DỮ LIỆU'!$C$3:$C$1052,$B306,'DỮ LIỆU'!$N$3:$N$1052))</f>
        <v/>
      </c>
      <c r="K306" s="13" t="str">
        <f aca="false">IF($B306="","",SUMIF('DỮ LIỆU'!$C$3:$C$1052,$B306,'DỮ LIỆU'!$O$3:$O$1052))</f>
        <v/>
      </c>
      <c r="L306" s="13" t="str">
        <f aca="false">IF($B306="","",SUMIF('DỮ LIỆU'!$C$3:$C$1052,$B306,'DỮ LIỆU'!$Q$3:$Q$1052))</f>
        <v/>
      </c>
      <c r="M306" s="41" t="str">
        <f aca="false">IF($B306="","",IF(SUMPRODUCT(MAX(('DỮ LIỆU'!$C$3:$C$1052=$B306)*'DỮ LIỆU'!$Z$3:$Z$1052))=0,"",SUMPRODUCT(MAX(('DỮ LIỆU'!$C$3:$C$1052=$B306)*'DỮ LIỆU'!$Z$3:$Z$1052))))</f>
        <v/>
      </c>
      <c r="N306" s="21" t="str">
        <f aca="false">IF($B306="","",IF($G306=0,"Chưa có đơn",IF(COUNTIFS('DỮ LIỆU'!$C$3:$C$1052,$B306,'DỮ LIỆU'!$K$3:$K$1052,"&gt;0")&gt;0,"Có lấy VAT","Không lấy VAT")))</f>
        <v/>
      </c>
    </row>
    <row r="307" customFormat="false" ht="15" hidden="false" customHeight="false" outlineLevel="0" collapsed="false">
      <c r="A307" s="21" t="str">
        <f aca="false">IF($B307="","",302)</f>
        <v/>
      </c>
      <c r="B307" s="21" t="str">
        <f aca="false">IFERROR(INDEX('DỮ LIỆU'!$C$3:$C$1052,MATCH(302,'DỮ LIỆU'!$W$3:$W$1052,0)),"")</f>
        <v/>
      </c>
      <c r="C307" s="21" t="str">
        <f aca="false">IF($B307="","",IFERROR(IF(INDEX('DỮ LIỆU'!$D$3:$D$1052,MATCH($B307,'DỮ LIỆU'!$C$3:$C$1052,0))="","",INDEX('DỮ LIỆU'!$D$3:$D$1052,MATCH($B307,'DỮ LIỆU'!$C$3:$C$1052,0))),""))</f>
        <v/>
      </c>
      <c r="D307" s="21" t="str">
        <f aca="false">IF($B307="","",IFERROR(IF(INDEX('DỮ LIỆU'!$E$3:$E$1052,MATCH($B307,'DỮ LIỆU'!$C$3:$C$1052,0))="","",INDEX('DỮ LIỆU'!$E$3:$E$1052,MATCH($B307,'DỮ LIỆU'!$C$3:$C$1052,0))),""))</f>
        <v/>
      </c>
      <c r="E307" s="21" t="str">
        <f aca="false">IF($B307="","",IFERROR(IF(INDEX('DỮ LIỆU'!$F$3:$F$1052,MATCH($B307,'DỮ LIỆU'!$C$3:$C$1052,0))="","",INDEX('DỮ LIỆU'!$F$3:$F$1052,MATCH($B307,'DỮ LIỆU'!$C$3:$C$1052,0))),""))</f>
        <v/>
      </c>
      <c r="F307" s="21" t="str">
        <f aca="false">IF($B307="","",IFERROR(IF(INDEX('DỮ LIỆU'!$G$3:$G$1052,MATCH($B307,'DỮ LIỆU'!$C$3:$C$1052,0))="","",INDEX('DỮ LIỆU'!$G$3:$G$1052,MATCH($B307,'DỮ LIỆU'!$C$3:$C$1052,0))),""))</f>
        <v/>
      </c>
      <c r="G307" s="13" t="str">
        <f aca="false">IF($B307="","",COUNTIFS('DỮ LIỆU'!$C$3:$C$1052,$B307,'DỮ LIỆU'!$J$3:$J$1052,"&gt;0"))</f>
        <v/>
      </c>
      <c r="H307" s="13" t="str">
        <f aca="false">IF($B307="","",SUMIF('DỮ LIỆU'!$C$3:$C$1052,$B307,'DỮ LIỆU'!$J$3:$J$1052))</f>
        <v/>
      </c>
      <c r="I307" s="13" t="str">
        <f aca="false">IF($B307="","",SUMIF('DỮ LIỆU'!$C$3:$C$1052,$B307,'DỮ LIỆU'!$M$3:$M$1052))</f>
        <v/>
      </c>
      <c r="J307" s="13" t="str">
        <f aca="false">IF($B307="","",SUMIF('DỮ LIỆU'!$C$3:$C$1052,$B307,'DỮ LIỆU'!$N$3:$N$1052))</f>
        <v/>
      </c>
      <c r="K307" s="13" t="str">
        <f aca="false">IF($B307="","",SUMIF('DỮ LIỆU'!$C$3:$C$1052,$B307,'DỮ LIỆU'!$O$3:$O$1052))</f>
        <v/>
      </c>
      <c r="L307" s="13" t="str">
        <f aca="false">IF($B307="","",SUMIF('DỮ LIỆU'!$C$3:$C$1052,$B307,'DỮ LIỆU'!$Q$3:$Q$1052))</f>
        <v/>
      </c>
      <c r="M307" s="41" t="str">
        <f aca="false">IF($B307="","",IF(SUMPRODUCT(MAX(('DỮ LIỆU'!$C$3:$C$1052=$B307)*'DỮ LIỆU'!$Z$3:$Z$1052))=0,"",SUMPRODUCT(MAX(('DỮ LIỆU'!$C$3:$C$1052=$B307)*'DỮ LIỆU'!$Z$3:$Z$1052))))</f>
        <v/>
      </c>
      <c r="N307" s="21" t="str">
        <f aca="false">IF($B307="","",IF($G307=0,"Chưa có đơn",IF(COUNTIFS('DỮ LIỆU'!$C$3:$C$1052,$B307,'DỮ LIỆU'!$K$3:$K$1052,"&gt;0")&gt;0,"Có lấy VAT","Không lấy VAT")))</f>
        <v/>
      </c>
    </row>
    <row r="308" customFormat="false" ht="15" hidden="false" customHeight="false" outlineLevel="0" collapsed="false">
      <c r="A308" s="21" t="str">
        <f aca="false">IF($B308="","",303)</f>
        <v/>
      </c>
      <c r="B308" s="21" t="str">
        <f aca="false">IFERROR(INDEX('DỮ LIỆU'!$C$3:$C$1052,MATCH(303,'DỮ LIỆU'!$W$3:$W$1052,0)),"")</f>
        <v/>
      </c>
      <c r="C308" s="21" t="str">
        <f aca="false">IF($B308="","",IFERROR(IF(INDEX('DỮ LIỆU'!$D$3:$D$1052,MATCH($B308,'DỮ LIỆU'!$C$3:$C$1052,0))="","",INDEX('DỮ LIỆU'!$D$3:$D$1052,MATCH($B308,'DỮ LIỆU'!$C$3:$C$1052,0))),""))</f>
        <v/>
      </c>
      <c r="D308" s="21" t="str">
        <f aca="false">IF($B308="","",IFERROR(IF(INDEX('DỮ LIỆU'!$E$3:$E$1052,MATCH($B308,'DỮ LIỆU'!$C$3:$C$1052,0))="","",INDEX('DỮ LIỆU'!$E$3:$E$1052,MATCH($B308,'DỮ LIỆU'!$C$3:$C$1052,0))),""))</f>
        <v/>
      </c>
      <c r="E308" s="21" t="str">
        <f aca="false">IF($B308="","",IFERROR(IF(INDEX('DỮ LIỆU'!$F$3:$F$1052,MATCH($B308,'DỮ LIỆU'!$C$3:$C$1052,0))="","",INDEX('DỮ LIỆU'!$F$3:$F$1052,MATCH($B308,'DỮ LIỆU'!$C$3:$C$1052,0))),""))</f>
        <v/>
      </c>
      <c r="F308" s="21" t="str">
        <f aca="false">IF($B308="","",IFERROR(IF(INDEX('DỮ LIỆU'!$G$3:$G$1052,MATCH($B308,'DỮ LIỆU'!$C$3:$C$1052,0))="","",INDEX('DỮ LIỆU'!$G$3:$G$1052,MATCH($B308,'DỮ LIỆU'!$C$3:$C$1052,0))),""))</f>
        <v/>
      </c>
      <c r="G308" s="13" t="str">
        <f aca="false">IF($B308="","",COUNTIFS('DỮ LIỆU'!$C$3:$C$1052,$B308,'DỮ LIỆU'!$J$3:$J$1052,"&gt;0"))</f>
        <v/>
      </c>
      <c r="H308" s="13" t="str">
        <f aca="false">IF($B308="","",SUMIF('DỮ LIỆU'!$C$3:$C$1052,$B308,'DỮ LIỆU'!$J$3:$J$1052))</f>
        <v/>
      </c>
      <c r="I308" s="13" t="str">
        <f aca="false">IF($B308="","",SUMIF('DỮ LIỆU'!$C$3:$C$1052,$B308,'DỮ LIỆU'!$M$3:$M$1052))</f>
        <v/>
      </c>
      <c r="J308" s="13" t="str">
        <f aca="false">IF($B308="","",SUMIF('DỮ LIỆU'!$C$3:$C$1052,$B308,'DỮ LIỆU'!$N$3:$N$1052))</f>
        <v/>
      </c>
      <c r="K308" s="13" t="str">
        <f aca="false">IF($B308="","",SUMIF('DỮ LIỆU'!$C$3:$C$1052,$B308,'DỮ LIỆU'!$O$3:$O$1052))</f>
        <v/>
      </c>
      <c r="L308" s="13" t="str">
        <f aca="false">IF($B308="","",SUMIF('DỮ LIỆU'!$C$3:$C$1052,$B308,'DỮ LIỆU'!$Q$3:$Q$1052))</f>
        <v/>
      </c>
      <c r="M308" s="41" t="str">
        <f aca="false">IF($B308="","",IF(SUMPRODUCT(MAX(('DỮ LIỆU'!$C$3:$C$1052=$B308)*'DỮ LIỆU'!$Z$3:$Z$1052))=0,"",SUMPRODUCT(MAX(('DỮ LIỆU'!$C$3:$C$1052=$B308)*'DỮ LIỆU'!$Z$3:$Z$1052))))</f>
        <v/>
      </c>
      <c r="N308" s="21" t="str">
        <f aca="false">IF($B308="","",IF($G308=0,"Chưa có đơn",IF(COUNTIFS('DỮ LIỆU'!$C$3:$C$1052,$B308,'DỮ LIỆU'!$K$3:$K$1052,"&gt;0")&gt;0,"Có lấy VAT","Không lấy VAT")))</f>
        <v/>
      </c>
    </row>
    <row r="309" customFormat="false" ht="15" hidden="false" customHeight="false" outlineLevel="0" collapsed="false">
      <c r="A309" s="21" t="str">
        <f aca="false">IF($B309="","",304)</f>
        <v/>
      </c>
      <c r="B309" s="21" t="str">
        <f aca="false">IFERROR(INDEX('DỮ LIỆU'!$C$3:$C$1052,MATCH(304,'DỮ LIỆU'!$W$3:$W$1052,0)),"")</f>
        <v/>
      </c>
      <c r="C309" s="21" t="str">
        <f aca="false">IF($B309="","",IFERROR(IF(INDEX('DỮ LIỆU'!$D$3:$D$1052,MATCH($B309,'DỮ LIỆU'!$C$3:$C$1052,0))="","",INDEX('DỮ LIỆU'!$D$3:$D$1052,MATCH($B309,'DỮ LIỆU'!$C$3:$C$1052,0))),""))</f>
        <v/>
      </c>
      <c r="D309" s="21" t="str">
        <f aca="false">IF($B309="","",IFERROR(IF(INDEX('DỮ LIỆU'!$E$3:$E$1052,MATCH($B309,'DỮ LIỆU'!$C$3:$C$1052,0))="","",INDEX('DỮ LIỆU'!$E$3:$E$1052,MATCH($B309,'DỮ LIỆU'!$C$3:$C$1052,0))),""))</f>
        <v/>
      </c>
      <c r="E309" s="21" t="str">
        <f aca="false">IF($B309="","",IFERROR(IF(INDEX('DỮ LIỆU'!$F$3:$F$1052,MATCH($B309,'DỮ LIỆU'!$C$3:$C$1052,0))="","",INDEX('DỮ LIỆU'!$F$3:$F$1052,MATCH($B309,'DỮ LIỆU'!$C$3:$C$1052,0))),""))</f>
        <v/>
      </c>
      <c r="F309" s="21" t="str">
        <f aca="false">IF($B309="","",IFERROR(IF(INDEX('DỮ LIỆU'!$G$3:$G$1052,MATCH($B309,'DỮ LIỆU'!$C$3:$C$1052,0))="","",INDEX('DỮ LIỆU'!$G$3:$G$1052,MATCH($B309,'DỮ LIỆU'!$C$3:$C$1052,0))),""))</f>
        <v/>
      </c>
      <c r="G309" s="13" t="str">
        <f aca="false">IF($B309="","",COUNTIFS('DỮ LIỆU'!$C$3:$C$1052,$B309,'DỮ LIỆU'!$J$3:$J$1052,"&gt;0"))</f>
        <v/>
      </c>
      <c r="H309" s="13" t="str">
        <f aca="false">IF($B309="","",SUMIF('DỮ LIỆU'!$C$3:$C$1052,$B309,'DỮ LIỆU'!$J$3:$J$1052))</f>
        <v/>
      </c>
      <c r="I309" s="13" t="str">
        <f aca="false">IF($B309="","",SUMIF('DỮ LIỆU'!$C$3:$C$1052,$B309,'DỮ LIỆU'!$M$3:$M$1052))</f>
        <v/>
      </c>
      <c r="J309" s="13" t="str">
        <f aca="false">IF($B309="","",SUMIF('DỮ LIỆU'!$C$3:$C$1052,$B309,'DỮ LIỆU'!$N$3:$N$1052))</f>
        <v/>
      </c>
      <c r="K309" s="13" t="str">
        <f aca="false">IF($B309="","",SUMIF('DỮ LIỆU'!$C$3:$C$1052,$B309,'DỮ LIỆU'!$O$3:$O$1052))</f>
        <v/>
      </c>
      <c r="L309" s="13" t="str">
        <f aca="false">IF($B309="","",SUMIF('DỮ LIỆU'!$C$3:$C$1052,$B309,'DỮ LIỆU'!$Q$3:$Q$1052))</f>
        <v/>
      </c>
      <c r="M309" s="41" t="str">
        <f aca="false">IF($B309="","",IF(SUMPRODUCT(MAX(('DỮ LIỆU'!$C$3:$C$1052=$B309)*'DỮ LIỆU'!$Z$3:$Z$1052))=0,"",SUMPRODUCT(MAX(('DỮ LIỆU'!$C$3:$C$1052=$B309)*'DỮ LIỆU'!$Z$3:$Z$1052))))</f>
        <v/>
      </c>
      <c r="N309" s="21" t="str">
        <f aca="false">IF($B309="","",IF($G309=0,"Chưa có đơn",IF(COUNTIFS('DỮ LIỆU'!$C$3:$C$1052,$B309,'DỮ LIỆU'!$K$3:$K$1052,"&gt;0")&gt;0,"Có lấy VAT","Không lấy VAT")))</f>
        <v/>
      </c>
    </row>
    <row r="310" customFormat="false" ht="15" hidden="false" customHeight="false" outlineLevel="0" collapsed="false">
      <c r="A310" s="21" t="str">
        <f aca="false">IF($B310="","",305)</f>
        <v/>
      </c>
      <c r="B310" s="21" t="str">
        <f aca="false">IFERROR(INDEX('DỮ LIỆU'!$C$3:$C$1052,MATCH(305,'DỮ LIỆU'!$W$3:$W$1052,0)),"")</f>
        <v/>
      </c>
      <c r="C310" s="21" t="str">
        <f aca="false">IF($B310="","",IFERROR(IF(INDEX('DỮ LIỆU'!$D$3:$D$1052,MATCH($B310,'DỮ LIỆU'!$C$3:$C$1052,0))="","",INDEX('DỮ LIỆU'!$D$3:$D$1052,MATCH($B310,'DỮ LIỆU'!$C$3:$C$1052,0))),""))</f>
        <v/>
      </c>
      <c r="D310" s="21" t="str">
        <f aca="false">IF($B310="","",IFERROR(IF(INDEX('DỮ LIỆU'!$E$3:$E$1052,MATCH($B310,'DỮ LIỆU'!$C$3:$C$1052,0))="","",INDEX('DỮ LIỆU'!$E$3:$E$1052,MATCH($B310,'DỮ LIỆU'!$C$3:$C$1052,0))),""))</f>
        <v/>
      </c>
      <c r="E310" s="21" t="str">
        <f aca="false">IF($B310="","",IFERROR(IF(INDEX('DỮ LIỆU'!$F$3:$F$1052,MATCH($B310,'DỮ LIỆU'!$C$3:$C$1052,0))="","",INDEX('DỮ LIỆU'!$F$3:$F$1052,MATCH($B310,'DỮ LIỆU'!$C$3:$C$1052,0))),""))</f>
        <v/>
      </c>
      <c r="F310" s="21" t="str">
        <f aca="false">IF($B310="","",IFERROR(IF(INDEX('DỮ LIỆU'!$G$3:$G$1052,MATCH($B310,'DỮ LIỆU'!$C$3:$C$1052,0))="","",INDEX('DỮ LIỆU'!$G$3:$G$1052,MATCH($B310,'DỮ LIỆU'!$C$3:$C$1052,0))),""))</f>
        <v/>
      </c>
      <c r="G310" s="13" t="str">
        <f aca="false">IF($B310="","",COUNTIFS('DỮ LIỆU'!$C$3:$C$1052,$B310,'DỮ LIỆU'!$J$3:$J$1052,"&gt;0"))</f>
        <v/>
      </c>
      <c r="H310" s="13" t="str">
        <f aca="false">IF($B310="","",SUMIF('DỮ LIỆU'!$C$3:$C$1052,$B310,'DỮ LIỆU'!$J$3:$J$1052))</f>
        <v/>
      </c>
      <c r="I310" s="13" t="str">
        <f aca="false">IF($B310="","",SUMIF('DỮ LIỆU'!$C$3:$C$1052,$B310,'DỮ LIỆU'!$M$3:$M$1052))</f>
        <v/>
      </c>
      <c r="J310" s="13" t="str">
        <f aca="false">IF($B310="","",SUMIF('DỮ LIỆU'!$C$3:$C$1052,$B310,'DỮ LIỆU'!$N$3:$N$1052))</f>
        <v/>
      </c>
      <c r="K310" s="13" t="str">
        <f aca="false">IF($B310="","",SUMIF('DỮ LIỆU'!$C$3:$C$1052,$B310,'DỮ LIỆU'!$O$3:$O$1052))</f>
        <v/>
      </c>
      <c r="L310" s="13" t="str">
        <f aca="false">IF($B310="","",SUMIF('DỮ LIỆU'!$C$3:$C$1052,$B310,'DỮ LIỆU'!$Q$3:$Q$1052))</f>
        <v/>
      </c>
      <c r="M310" s="41" t="str">
        <f aca="false">IF($B310="","",IF(SUMPRODUCT(MAX(('DỮ LIỆU'!$C$3:$C$1052=$B310)*'DỮ LIỆU'!$Z$3:$Z$1052))=0,"",SUMPRODUCT(MAX(('DỮ LIỆU'!$C$3:$C$1052=$B310)*'DỮ LIỆU'!$Z$3:$Z$1052))))</f>
        <v/>
      </c>
      <c r="N310" s="21" t="str">
        <f aca="false">IF($B310="","",IF($G310=0,"Chưa có đơn",IF(COUNTIFS('DỮ LIỆU'!$C$3:$C$1052,$B310,'DỮ LIỆU'!$K$3:$K$1052,"&gt;0")&gt;0,"Có lấy VAT","Không lấy VAT")))</f>
        <v/>
      </c>
    </row>
    <row r="311" customFormat="false" ht="15" hidden="false" customHeight="false" outlineLevel="0" collapsed="false">
      <c r="A311" s="21" t="str">
        <f aca="false">IF($B311="","",306)</f>
        <v/>
      </c>
      <c r="B311" s="21" t="str">
        <f aca="false">IFERROR(INDEX('DỮ LIỆU'!$C$3:$C$1052,MATCH(306,'DỮ LIỆU'!$W$3:$W$1052,0)),"")</f>
        <v/>
      </c>
      <c r="C311" s="21" t="str">
        <f aca="false">IF($B311="","",IFERROR(IF(INDEX('DỮ LIỆU'!$D$3:$D$1052,MATCH($B311,'DỮ LIỆU'!$C$3:$C$1052,0))="","",INDEX('DỮ LIỆU'!$D$3:$D$1052,MATCH($B311,'DỮ LIỆU'!$C$3:$C$1052,0))),""))</f>
        <v/>
      </c>
      <c r="D311" s="21" t="str">
        <f aca="false">IF($B311="","",IFERROR(IF(INDEX('DỮ LIỆU'!$E$3:$E$1052,MATCH($B311,'DỮ LIỆU'!$C$3:$C$1052,0))="","",INDEX('DỮ LIỆU'!$E$3:$E$1052,MATCH($B311,'DỮ LIỆU'!$C$3:$C$1052,0))),""))</f>
        <v/>
      </c>
      <c r="E311" s="21" t="str">
        <f aca="false">IF($B311="","",IFERROR(IF(INDEX('DỮ LIỆU'!$F$3:$F$1052,MATCH($B311,'DỮ LIỆU'!$C$3:$C$1052,0))="","",INDEX('DỮ LIỆU'!$F$3:$F$1052,MATCH($B311,'DỮ LIỆU'!$C$3:$C$1052,0))),""))</f>
        <v/>
      </c>
      <c r="F311" s="21" t="str">
        <f aca="false">IF($B311="","",IFERROR(IF(INDEX('DỮ LIỆU'!$G$3:$G$1052,MATCH($B311,'DỮ LIỆU'!$C$3:$C$1052,0))="","",INDEX('DỮ LIỆU'!$G$3:$G$1052,MATCH($B311,'DỮ LIỆU'!$C$3:$C$1052,0))),""))</f>
        <v/>
      </c>
      <c r="G311" s="13" t="str">
        <f aca="false">IF($B311="","",COUNTIFS('DỮ LIỆU'!$C$3:$C$1052,$B311,'DỮ LIỆU'!$J$3:$J$1052,"&gt;0"))</f>
        <v/>
      </c>
      <c r="H311" s="13" t="str">
        <f aca="false">IF($B311="","",SUMIF('DỮ LIỆU'!$C$3:$C$1052,$B311,'DỮ LIỆU'!$J$3:$J$1052))</f>
        <v/>
      </c>
      <c r="I311" s="13" t="str">
        <f aca="false">IF($B311="","",SUMIF('DỮ LIỆU'!$C$3:$C$1052,$B311,'DỮ LIỆU'!$M$3:$M$1052))</f>
        <v/>
      </c>
      <c r="J311" s="13" t="str">
        <f aca="false">IF($B311="","",SUMIF('DỮ LIỆU'!$C$3:$C$1052,$B311,'DỮ LIỆU'!$N$3:$N$1052))</f>
        <v/>
      </c>
      <c r="K311" s="13" t="str">
        <f aca="false">IF($B311="","",SUMIF('DỮ LIỆU'!$C$3:$C$1052,$B311,'DỮ LIỆU'!$O$3:$O$1052))</f>
        <v/>
      </c>
      <c r="L311" s="13" t="str">
        <f aca="false">IF($B311="","",SUMIF('DỮ LIỆU'!$C$3:$C$1052,$B311,'DỮ LIỆU'!$Q$3:$Q$1052))</f>
        <v/>
      </c>
      <c r="M311" s="41" t="str">
        <f aca="false">IF($B311="","",IF(SUMPRODUCT(MAX(('DỮ LIỆU'!$C$3:$C$1052=$B311)*'DỮ LIỆU'!$Z$3:$Z$1052))=0,"",SUMPRODUCT(MAX(('DỮ LIỆU'!$C$3:$C$1052=$B311)*'DỮ LIỆU'!$Z$3:$Z$1052))))</f>
        <v/>
      </c>
      <c r="N311" s="21" t="str">
        <f aca="false">IF($B311="","",IF($G311=0,"Chưa có đơn",IF(COUNTIFS('DỮ LIỆU'!$C$3:$C$1052,$B311,'DỮ LIỆU'!$K$3:$K$1052,"&gt;0")&gt;0,"Có lấy VAT","Không lấy VAT")))</f>
        <v/>
      </c>
    </row>
    <row r="312" customFormat="false" ht="15" hidden="false" customHeight="false" outlineLevel="0" collapsed="false">
      <c r="A312" s="21" t="str">
        <f aca="false">IF($B312="","",307)</f>
        <v/>
      </c>
      <c r="B312" s="21" t="str">
        <f aca="false">IFERROR(INDEX('DỮ LIỆU'!$C$3:$C$1052,MATCH(307,'DỮ LIỆU'!$W$3:$W$1052,0)),"")</f>
        <v/>
      </c>
      <c r="C312" s="21" t="str">
        <f aca="false">IF($B312="","",IFERROR(IF(INDEX('DỮ LIỆU'!$D$3:$D$1052,MATCH($B312,'DỮ LIỆU'!$C$3:$C$1052,0))="","",INDEX('DỮ LIỆU'!$D$3:$D$1052,MATCH($B312,'DỮ LIỆU'!$C$3:$C$1052,0))),""))</f>
        <v/>
      </c>
      <c r="D312" s="21" t="str">
        <f aca="false">IF($B312="","",IFERROR(IF(INDEX('DỮ LIỆU'!$E$3:$E$1052,MATCH($B312,'DỮ LIỆU'!$C$3:$C$1052,0))="","",INDEX('DỮ LIỆU'!$E$3:$E$1052,MATCH($B312,'DỮ LIỆU'!$C$3:$C$1052,0))),""))</f>
        <v/>
      </c>
      <c r="E312" s="21" t="str">
        <f aca="false">IF($B312="","",IFERROR(IF(INDEX('DỮ LIỆU'!$F$3:$F$1052,MATCH($B312,'DỮ LIỆU'!$C$3:$C$1052,0))="","",INDEX('DỮ LIỆU'!$F$3:$F$1052,MATCH($B312,'DỮ LIỆU'!$C$3:$C$1052,0))),""))</f>
        <v/>
      </c>
      <c r="F312" s="21" t="str">
        <f aca="false">IF($B312="","",IFERROR(IF(INDEX('DỮ LIỆU'!$G$3:$G$1052,MATCH($B312,'DỮ LIỆU'!$C$3:$C$1052,0))="","",INDEX('DỮ LIỆU'!$G$3:$G$1052,MATCH($B312,'DỮ LIỆU'!$C$3:$C$1052,0))),""))</f>
        <v/>
      </c>
      <c r="G312" s="13" t="str">
        <f aca="false">IF($B312="","",COUNTIFS('DỮ LIỆU'!$C$3:$C$1052,$B312,'DỮ LIỆU'!$J$3:$J$1052,"&gt;0"))</f>
        <v/>
      </c>
      <c r="H312" s="13" t="str">
        <f aca="false">IF($B312="","",SUMIF('DỮ LIỆU'!$C$3:$C$1052,$B312,'DỮ LIỆU'!$J$3:$J$1052))</f>
        <v/>
      </c>
      <c r="I312" s="13" t="str">
        <f aca="false">IF($B312="","",SUMIF('DỮ LIỆU'!$C$3:$C$1052,$B312,'DỮ LIỆU'!$M$3:$M$1052))</f>
        <v/>
      </c>
      <c r="J312" s="13" t="str">
        <f aca="false">IF($B312="","",SUMIF('DỮ LIỆU'!$C$3:$C$1052,$B312,'DỮ LIỆU'!$N$3:$N$1052))</f>
        <v/>
      </c>
      <c r="K312" s="13" t="str">
        <f aca="false">IF($B312="","",SUMIF('DỮ LIỆU'!$C$3:$C$1052,$B312,'DỮ LIỆU'!$O$3:$O$1052))</f>
        <v/>
      </c>
      <c r="L312" s="13" t="str">
        <f aca="false">IF($B312="","",SUMIF('DỮ LIỆU'!$C$3:$C$1052,$B312,'DỮ LIỆU'!$Q$3:$Q$1052))</f>
        <v/>
      </c>
      <c r="M312" s="41" t="str">
        <f aca="false">IF($B312="","",IF(SUMPRODUCT(MAX(('DỮ LIỆU'!$C$3:$C$1052=$B312)*'DỮ LIỆU'!$Z$3:$Z$1052))=0,"",SUMPRODUCT(MAX(('DỮ LIỆU'!$C$3:$C$1052=$B312)*'DỮ LIỆU'!$Z$3:$Z$1052))))</f>
        <v/>
      </c>
      <c r="N312" s="21" t="str">
        <f aca="false">IF($B312="","",IF($G312=0,"Chưa có đơn",IF(COUNTIFS('DỮ LIỆU'!$C$3:$C$1052,$B312,'DỮ LIỆU'!$K$3:$K$1052,"&gt;0")&gt;0,"Có lấy VAT","Không lấy VAT")))</f>
        <v/>
      </c>
    </row>
    <row r="313" customFormat="false" ht="15" hidden="false" customHeight="false" outlineLevel="0" collapsed="false">
      <c r="A313" s="21" t="str">
        <f aca="false">IF($B313="","",308)</f>
        <v/>
      </c>
      <c r="B313" s="21" t="str">
        <f aca="false">IFERROR(INDEX('DỮ LIỆU'!$C$3:$C$1052,MATCH(308,'DỮ LIỆU'!$W$3:$W$1052,0)),"")</f>
        <v/>
      </c>
      <c r="C313" s="21" t="str">
        <f aca="false">IF($B313="","",IFERROR(IF(INDEX('DỮ LIỆU'!$D$3:$D$1052,MATCH($B313,'DỮ LIỆU'!$C$3:$C$1052,0))="","",INDEX('DỮ LIỆU'!$D$3:$D$1052,MATCH($B313,'DỮ LIỆU'!$C$3:$C$1052,0))),""))</f>
        <v/>
      </c>
      <c r="D313" s="21" t="str">
        <f aca="false">IF($B313="","",IFERROR(IF(INDEX('DỮ LIỆU'!$E$3:$E$1052,MATCH($B313,'DỮ LIỆU'!$C$3:$C$1052,0))="","",INDEX('DỮ LIỆU'!$E$3:$E$1052,MATCH($B313,'DỮ LIỆU'!$C$3:$C$1052,0))),""))</f>
        <v/>
      </c>
      <c r="E313" s="21" t="str">
        <f aca="false">IF($B313="","",IFERROR(IF(INDEX('DỮ LIỆU'!$F$3:$F$1052,MATCH($B313,'DỮ LIỆU'!$C$3:$C$1052,0))="","",INDEX('DỮ LIỆU'!$F$3:$F$1052,MATCH($B313,'DỮ LIỆU'!$C$3:$C$1052,0))),""))</f>
        <v/>
      </c>
      <c r="F313" s="21" t="str">
        <f aca="false">IF($B313="","",IFERROR(IF(INDEX('DỮ LIỆU'!$G$3:$G$1052,MATCH($B313,'DỮ LIỆU'!$C$3:$C$1052,0))="","",INDEX('DỮ LIỆU'!$G$3:$G$1052,MATCH($B313,'DỮ LIỆU'!$C$3:$C$1052,0))),""))</f>
        <v/>
      </c>
      <c r="G313" s="13" t="str">
        <f aca="false">IF($B313="","",COUNTIFS('DỮ LIỆU'!$C$3:$C$1052,$B313,'DỮ LIỆU'!$J$3:$J$1052,"&gt;0"))</f>
        <v/>
      </c>
      <c r="H313" s="13" t="str">
        <f aca="false">IF($B313="","",SUMIF('DỮ LIỆU'!$C$3:$C$1052,$B313,'DỮ LIỆU'!$J$3:$J$1052))</f>
        <v/>
      </c>
      <c r="I313" s="13" t="str">
        <f aca="false">IF($B313="","",SUMIF('DỮ LIỆU'!$C$3:$C$1052,$B313,'DỮ LIỆU'!$M$3:$M$1052))</f>
        <v/>
      </c>
      <c r="J313" s="13" t="str">
        <f aca="false">IF($B313="","",SUMIF('DỮ LIỆU'!$C$3:$C$1052,$B313,'DỮ LIỆU'!$N$3:$N$1052))</f>
        <v/>
      </c>
      <c r="K313" s="13" t="str">
        <f aca="false">IF($B313="","",SUMIF('DỮ LIỆU'!$C$3:$C$1052,$B313,'DỮ LIỆU'!$O$3:$O$1052))</f>
        <v/>
      </c>
      <c r="L313" s="13" t="str">
        <f aca="false">IF($B313="","",SUMIF('DỮ LIỆU'!$C$3:$C$1052,$B313,'DỮ LIỆU'!$Q$3:$Q$1052))</f>
        <v/>
      </c>
      <c r="M313" s="41" t="str">
        <f aca="false">IF($B313="","",IF(SUMPRODUCT(MAX(('DỮ LIỆU'!$C$3:$C$1052=$B313)*'DỮ LIỆU'!$Z$3:$Z$1052))=0,"",SUMPRODUCT(MAX(('DỮ LIỆU'!$C$3:$C$1052=$B313)*'DỮ LIỆU'!$Z$3:$Z$1052))))</f>
        <v/>
      </c>
      <c r="N313" s="21" t="str">
        <f aca="false">IF($B313="","",IF($G313=0,"Chưa có đơn",IF(COUNTIFS('DỮ LIỆU'!$C$3:$C$1052,$B313,'DỮ LIỆU'!$K$3:$K$1052,"&gt;0")&gt;0,"Có lấy VAT","Không lấy VAT")))</f>
        <v/>
      </c>
    </row>
    <row r="314" customFormat="false" ht="15" hidden="false" customHeight="false" outlineLevel="0" collapsed="false">
      <c r="A314" s="21" t="str">
        <f aca="false">IF($B314="","",309)</f>
        <v/>
      </c>
      <c r="B314" s="21" t="str">
        <f aca="false">IFERROR(INDEX('DỮ LIỆU'!$C$3:$C$1052,MATCH(309,'DỮ LIỆU'!$W$3:$W$1052,0)),"")</f>
        <v/>
      </c>
      <c r="C314" s="21" t="str">
        <f aca="false">IF($B314="","",IFERROR(IF(INDEX('DỮ LIỆU'!$D$3:$D$1052,MATCH($B314,'DỮ LIỆU'!$C$3:$C$1052,0))="","",INDEX('DỮ LIỆU'!$D$3:$D$1052,MATCH($B314,'DỮ LIỆU'!$C$3:$C$1052,0))),""))</f>
        <v/>
      </c>
      <c r="D314" s="21" t="str">
        <f aca="false">IF($B314="","",IFERROR(IF(INDEX('DỮ LIỆU'!$E$3:$E$1052,MATCH($B314,'DỮ LIỆU'!$C$3:$C$1052,0))="","",INDEX('DỮ LIỆU'!$E$3:$E$1052,MATCH($B314,'DỮ LIỆU'!$C$3:$C$1052,0))),""))</f>
        <v/>
      </c>
      <c r="E314" s="21" t="str">
        <f aca="false">IF($B314="","",IFERROR(IF(INDEX('DỮ LIỆU'!$F$3:$F$1052,MATCH($B314,'DỮ LIỆU'!$C$3:$C$1052,0))="","",INDEX('DỮ LIỆU'!$F$3:$F$1052,MATCH($B314,'DỮ LIỆU'!$C$3:$C$1052,0))),""))</f>
        <v/>
      </c>
      <c r="F314" s="21" t="str">
        <f aca="false">IF($B314="","",IFERROR(IF(INDEX('DỮ LIỆU'!$G$3:$G$1052,MATCH($B314,'DỮ LIỆU'!$C$3:$C$1052,0))="","",INDEX('DỮ LIỆU'!$G$3:$G$1052,MATCH($B314,'DỮ LIỆU'!$C$3:$C$1052,0))),""))</f>
        <v/>
      </c>
      <c r="G314" s="13" t="str">
        <f aca="false">IF($B314="","",COUNTIFS('DỮ LIỆU'!$C$3:$C$1052,$B314,'DỮ LIỆU'!$J$3:$J$1052,"&gt;0"))</f>
        <v/>
      </c>
      <c r="H314" s="13" t="str">
        <f aca="false">IF($B314="","",SUMIF('DỮ LIỆU'!$C$3:$C$1052,$B314,'DỮ LIỆU'!$J$3:$J$1052))</f>
        <v/>
      </c>
      <c r="I314" s="13" t="str">
        <f aca="false">IF($B314="","",SUMIF('DỮ LIỆU'!$C$3:$C$1052,$B314,'DỮ LIỆU'!$M$3:$M$1052))</f>
        <v/>
      </c>
      <c r="J314" s="13" t="str">
        <f aca="false">IF($B314="","",SUMIF('DỮ LIỆU'!$C$3:$C$1052,$B314,'DỮ LIỆU'!$N$3:$N$1052))</f>
        <v/>
      </c>
      <c r="K314" s="13" t="str">
        <f aca="false">IF($B314="","",SUMIF('DỮ LIỆU'!$C$3:$C$1052,$B314,'DỮ LIỆU'!$O$3:$O$1052))</f>
        <v/>
      </c>
      <c r="L314" s="13" t="str">
        <f aca="false">IF($B314="","",SUMIF('DỮ LIỆU'!$C$3:$C$1052,$B314,'DỮ LIỆU'!$Q$3:$Q$1052))</f>
        <v/>
      </c>
      <c r="M314" s="41" t="str">
        <f aca="false">IF($B314="","",IF(SUMPRODUCT(MAX(('DỮ LIỆU'!$C$3:$C$1052=$B314)*'DỮ LIỆU'!$Z$3:$Z$1052))=0,"",SUMPRODUCT(MAX(('DỮ LIỆU'!$C$3:$C$1052=$B314)*'DỮ LIỆU'!$Z$3:$Z$1052))))</f>
        <v/>
      </c>
      <c r="N314" s="21" t="str">
        <f aca="false">IF($B314="","",IF($G314=0,"Chưa có đơn",IF(COUNTIFS('DỮ LIỆU'!$C$3:$C$1052,$B314,'DỮ LIỆU'!$K$3:$K$1052,"&gt;0")&gt;0,"Có lấy VAT","Không lấy VAT")))</f>
        <v/>
      </c>
    </row>
    <row r="315" customFormat="false" ht="15" hidden="false" customHeight="false" outlineLevel="0" collapsed="false">
      <c r="A315" s="21" t="str">
        <f aca="false">IF($B315="","",310)</f>
        <v/>
      </c>
      <c r="B315" s="21" t="str">
        <f aca="false">IFERROR(INDEX('DỮ LIỆU'!$C$3:$C$1052,MATCH(310,'DỮ LIỆU'!$W$3:$W$1052,0)),"")</f>
        <v/>
      </c>
      <c r="C315" s="21" t="str">
        <f aca="false">IF($B315="","",IFERROR(IF(INDEX('DỮ LIỆU'!$D$3:$D$1052,MATCH($B315,'DỮ LIỆU'!$C$3:$C$1052,0))="","",INDEX('DỮ LIỆU'!$D$3:$D$1052,MATCH($B315,'DỮ LIỆU'!$C$3:$C$1052,0))),""))</f>
        <v/>
      </c>
      <c r="D315" s="21" t="str">
        <f aca="false">IF($B315="","",IFERROR(IF(INDEX('DỮ LIỆU'!$E$3:$E$1052,MATCH($B315,'DỮ LIỆU'!$C$3:$C$1052,0))="","",INDEX('DỮ LIỆU'!$E$3:$E$1052,MATCH($B315,'DỮ LIỆU'!$C$3:$C$1052,0))),""))</f>
        <v/>
      </c>
      <c r="E315" s="21" t="str">
        <f aca="false">IF($B315="","",IFERROR(IF(INDEX('DỮ LIỆU'!$F$3:$F$1052,MATCH($B315,'DỮ LIỆU'!$C$3:$C$1052,0))="","",INDEX('DỮ LIỆU'!$F$3:$F$1052,MATCH($B315,'DỮ LIỆU'!$C$3:$C$1052,0))),""))</f>
        <v/>
      </c>
      <c r="F315" s="21" t="str">
        <f aca="false">IF($B315="","",IFERROR(IF(INDEX('DỮ LIỆU'!$G$3:$G$1052,MATCH($B315,'DỮ LIỆU'!$C$3:$C$1052,0))="","",INDEX('DỮ LIỆU'!$G$3:$G$1052,MATCH($B315,'DỮ LIỆU'!$C$3:$C$1052,0))),""))</f>
        <v/>
      </c>
      <c r="G315" s="13" t="str">
        <f aca="false">IF($B315="","",COUNTIFS('DỮ LIỆU'!$C$3:$C$1052,$B315,'DỮ LIỆU'!$J$3:$J$1052,"&gt;0"))</f>
        <v/>
      </c>
      <c r="H315" s="13" t="str">
        <f aca="false">IF($B315="","",SUMIF('DỮ LIỆU'!$C$3:$C$1052,$B315,'DỮ LIỆU'!$J$3:$J$1052))</f>
        <v/>
      </c>
      <c r="I315" s="13" t="str">
        <f aca="false">IF($B315="","",SUMIF('DỮ LIỆU'!$C$3:$C$1052,$B315,'DỮ LIỆU'!$M$3:$M$1052))</f>
        <v/>
      </c>
      <c r="J315" s="13" t="str">
        <f aca="false">IF($B315="","",SUMIF('DỮ LIỆU'!$C$3:$C$1052,$B315,'DỮ LIỆU'!$N$3:$N$1052))</f>
        <v/>
      </c>
      <c r="K315" s="13" t="str">
        <f aca="false">IF($B315="","",SUMIF('DỮ LIỆU'!$C$3:$C$1052,$B315,'DỮ LIỆU'!$O$3:$O$1052))</f>
        <v/>
      </c>
      <c r="L315" s="13" t="str">
        <f aca="false">IF($B315="","",SUMIF('DỮ LIỆU'!$C$3:$C$1052,$B315,'DỮ LIỆU'!$Q$3:$Q$1052))</f>
        <v/>
      </c>
      <c r="M315" s="41" t="str">
        <f aca="false">IF($B315="","",IF(SUMPRODUCT(MAX(('DỮ LIỆU'!$C$3:$C$1052=$B315)*'DỮ LIỆU'!$Z$3:$Z$1052))=0,"",SUMPRODUCT(MAX(('DỮ LIỆU'!$C$3:$C$1052=$B315)*'DỮ LIỆU'!$Z$3:$Z$1052))))</f>
        <v/>
      </c>
      <c r="N315" s="21" t="str">
        <f aca="false">IF($B315="","",IF($G315=0,"Chưa có đơn",IF(COUNTIFS('DỮ LIỆU'!$C$3:$C$1052,$B315,'DỮ LIỆU'!$K$3:$K$1052,"&gt;0")&gt;0,"Có lấy VAT","Không lấy VAT")))</f>
        <v/>
      </c>
    </row>
    <row r="316" customFormat="false" ht="15" hidden="false" customHeight="false" outlineLevel="0" collapsed="false">
      <c r="A316" s="21" t="str">
        <f aca="false">IF($B316="","",311)</f>
        <v/>
      </c>
      <c r="B316" s="21" t="str">
        <f aca="false">IFERROR(INDEX('DỮ LIỆU'!$C$3:$C$1052,MATCH(311,'DỮ LIỆU'!$W$3:$W$1052,0)),"")</f>
        <v/>
      </c>
      <c r="C316" s="21" t="str">
        <f aca="false">IF($B316="","",IFERROR(IF(INDEX('DỮ LIỆU'!$D$3:$D$1052,MATCH($B316,'DỮ LIỆU'!$C$3:$C$1052,0))="","",INDEX('DỮ LIỆU'!$D$3:$D$1052,MATCH($B316,'DỮ LIỆU'!$C$3:$C$1052,0))),""))</f>
        <v/>
      </c>
      <c r="D316" s="21" t="str">
        <f aca="false">IF($B316="","",IFERROR(IF(INDEX('DỮ LIỆU'!$E$3:$E$1052,MATCH($B316,'DỮ LIỆU'!$C$3:$C$1052,0))="","",INDEX('DỮ LIỆU'!$E$3:$E$1052,MATCH($B316,'DỮ LIỆU'!$C$3:$C$1052,0))),""))</f>
        <v/>
      </c>
      <c r="E316" s="21" t="str">
        <f aca="false">IF($B316="","",IFERROR(IF(INDEX('DỮ LIỆU'!$F$3:$F$1052,MATCH($B316,'DỮ LIỆU'!$C$3:$C$1052,0))="","",INDEX('DỮ LIỆU'!$F$3:$F$1052,MATCH($B316,'DỮ LIỆU'!$C$3:$C$1052,0))),""))</f>
        <v/>
      </c>
      <c r="F316" s="21" t="str">
        <f aca="false">IF($B316="","",IFERROR(IF(INDEX('DỮ LIỆU'!$G$3:$G$1052,MATCH($B316,'DỮ LIỆU'!$C$3:$C$1052,0))="","",INDEX('DỮ LIỆU'!$G$3:$G$1052,MATCH($B316,'DỮ LIỆU'!$C$3:$C$1052,0))),""))</f>
        <v/>
      </c>
      <c r="G316" s="13" t="str">
        <f aca="false">IF($B316="","",COUNTIFS('DỮ LIỆU'!$C$3:$C$1052,$B316,'DỮ LIỆU'!$J$3:$J$1052,"&gt;0"))</f>
        <v/>
      </c>
      <c r="H316" s="13" t="str">
        <f aca="false">IF($B316="","",SUMIF('DỮ LIỆU'!$C$3:$C$1052,$B316,'DỮ LIỆU'!$J$3:$J$1052))</f>
        <v/>
      </c>
      <c r="I316" s="13" t="str">
        <f aca="false">IF($B316="","",SUMIF('DỮ LIỆU'!$C$3:$C$1052,$B316,'DỮ LIỆU'!$M$3:$M$1052))</f>
        <v/>
      </c>
      <c r="J316" s="13" t="str">
        <f aca="false">IF($B316="","",SUMIF('DỮ LIỆU'!$C$3:$C$1052,$B316,'DỮ LIỆU'!$N$3:$N$1052))</f>
        <v/>
      </c>
      <c r="K316" s="13" t="str">
        <f aca="false">IF($B316="","",SUMIF('DỮ LIỆU'!$C$3:$C$1052,$B316,'DỮ LIỆU'!$O$3:$O$1052))</f>
        <v/>
      </c>
      <c r="L316" s="13" t="str">
        <f aca="false">IF($B316="","",SUMIF('DỮ LIỆU'!$C$3:$C$1052,$B316,'DỮ LIỆU'!$Q$3:$Q$1052))</f>
        <v/>
      </c>
      <c r="M316" s="41" t="str">
        <f aca="false">IF($B316="","",IF(SUMPRODUCT(MAX(('DỮ LIỆU'!$C$3:$C$1052=$B316)*'DỮ LIỆU'!$Z$3:$Z$1052))=0,"",SUMPRODUCT(MAX(('DỮ LIỆU'!$C$3:$C$1052=$B316)*'DỮ LIỆU'!$Z$3:$Z$1052))))</f>
        <v/>
      </c>
      <c r="N316" s="21" t="str">
        <f aca="false">IF($B316="","",IF($G316=0,"Chưa có đơn",IF(COUNTIFS('DỮ LIỆU'!$C$3:$C$1052,$B316,'DỮ LIỆU'!$K$3:$K$1052,"&gt;0")&gt;0,"Có lấy VAT","Không lấy VAT")))</f>
        <v/>
      </c>
    </row>
    <row r="317" customFormat="false" ht="15" hidden="false" customHeight="false" outlineLevel="0" collapsed="false">
      <c r="A317" s="21" t="str">
        <f aca="false">IF($B317="","",312)</f>
        <v/>
      </c>
      <c r="B317" s="21" t="str">
        <f aca="false">IFERROR(INDEX('DỮ LIỆU'!$C$3:$C$1052,MATCH(312,'DỮ LIỆU'!$W$3:$W$1052,0)),"")</f>
        <v/>
      </c>
      <c r="C317" s="21" t="str">
        <f aca="false">IF($B317="","",IFERROR(IF(INDEX('DỮ LIỆU'!$D$3:$D$1052,MATCH($B317,'DỮ LIỆU'!$C$3:$C$1052,0))="","",INDEX('DỮ LIỆU'!$D$3:$D$1052,MATCH($B317,'DỮ LIỆU'!$C$3:$C$1052,0))),""))</f>
        <v/>
      </c>
      <c r="D317" s="21" t="str">
        <f aca="false">IF($B317="","",IFERROR(IF(INDEX('DỮ LIỆU'!$E$3:$E$1052,MATCH($B317,'DỮ LIỆU'!$C$3:$C$1052,0))="","",INDEX('DỮ LIỆU'!$E$3:$E$1052,MATCH($B317,'DỮ LIỆU'!$C$3:$C$1052,0))),""))</f>
        <v/>
      </c>
      <c r="E317" s="21" t="str">
        <f aca="false">IF($B317="","",IFERROR(IF(INDEX('DỮ LIỆU'!$F$3:$F$1052,MATCH($B317,'DỮ LIỆU'!$C$3:$C$1052,0))="","",INDEX('DỮ LIỆU'!$F$3:$F$1052,MATCH($B317,'DỮ LIỆU'!$C$3:$C$1052,0))),""))</f>
        <v/>
      </c>
      <c r="F317" s="21" t="str">
        <f aca="false">IF($B317="","",IFERROR(IF(INDEX('DỮ LIỆU'!$G$3:$G$1052,MATCH($B317,'DỮ LIỆU'!$C$3:$C$1052,0))="","",INDEX('DỮ LIỆU'!$G$3:$G$1052,MATCH($B317,'DỮ LIỆU'!$C$3:$C$1052,0))),""))</f>
        <v/>
      </c>
      <c r="G317" s="13" t="str">
        <f aca="false">IF($B317="","",COUNTIFS('DỮ LIỆU'!$C$3:$C$1052,$B317,'DỮ LIỆU'!$J$3:$J$1052,"&gt;0"))</f>
        <v/>
      </c>
      <c r="H317" s="13" t="str">
        <f aca="false">IF($B317="","",SUMIF('DỮ LIỆU'!$C$3:$C$1052,$B317,'DỮ LIỆU'!$J$3:$J$1052))</f>
        <v/>
      </c>
      <c r="I317" s="13" t="str">
        <f aca="false">IF($B317="","",SUMIF('DỮ LIỆU'!$C$3:$C$1052,$B317,'DỮ LIỆU'!$M$3:$M$1052))</f>
        <v/>
      </c>
      <c r="J317" s="13" t="str">
        <f aca="false">IF($B317="","",SUMIF('DỮ LIỆU'!$C$3:$C$1052,$B317,'DỮ LIỆU'!$N$3:$N$1052))</f>
        <v/>
      </c>
      <c r="K317" s="13" t="str">
        <f aca="false">IF($B317="","",SUMIF('DỮ LIỆU'!$C$3:$C$1052,$B317,'DỮ LIỆU'!$O$3:$O$1052))</f>
        <v/>
      </c>
      <c r="L317" s="13" t="str">
        <f aca="false">IF($B317="","",SUMIF('DỮ LIỆU'!$C$3:$C$1052,$B317,'DỮ LIỆU'!$Q$3:$Q$1052))</f>
        <v/>
      </c>
      <c r="M317" s="41" t="str">
        <f aca="false">IF($B317="","",IF(SUMPRODUCT(MAX(('DỮ LIỆU'!$C$3:$C$1052=$B317)*'DỮ LIỆU'!$Z$3:$Z$1052))=0,"",SUMPRODUCT(MAX(('DỮ LIỆU'!$C$3:$C$1052=$B317)*'DỮ LIỆU'!$Z$3:$Z$1052))))</f>
        <v/>
      </c>
      <c r="N317" s="21" t="str">
        <f aca="false">IF($B317="","",IF($G317=0,"Chưa có đơn",IF(COUNTIFS('DỮ LIỆU'!$C$3:$C$1052,$B317,'DỮ LIỆU'!$K$3:$K$1052,"&gt;0")&gt;0,"Có lấy VAT","Không lấy VAT")))</f>
        <v/>
      </c>
    </row>
    <row r="318" customFormat="false" ht="15" hidden="false" customHeight="false" outlineLevel="0" collapsed="false">
      <c r="A318" s="21" t="str">
        <f aca="false">IF($B318="","",313)</f>
        <v/>
      </c>
      <c r="B318" s="21" t="str">
        <f aca="false">IFERROR(INDEX('DỮ LIỆU'!$C$3:$C$1052,MATCH(313,'DỮ LIỆU'!$W$3:$W$1052,0)),"")</f>
        <v/>
      </c>
      <c r="C318" s="21" t="str">
        <f aca="false">IF($B318="","",IFERROR(IF(INDEX('DỮ LIỆU'!$D$3:$D$1052,MATCH($B318,'DỮ LIỆU'!$C$3:$C$1052,0))="","",INDEX('DỮ LIỆU'!$D$3:$D$1052,MATCH($B318,'DỮ LIỆU'!$C$3:$C$1052,0))),""))</f>
        <v/>
      </c>
      <c r="D318" s="21" t="str">
        <f aca="false">IF($B318="","",IFERROR(IF(INDEX('DỮ LIỆU'!$E$3:$E$1052,MATCH($B318,'DỮ LIỆU'!$C$3:$C$1052,0))="","",INDEX('DỮ LIỆU'!$E$3:$E$1052,MATCH($B318,'DỮ LIỆU'!$C$3:$C$1052,0))),""))</f>
        <v/>
      </c>
      <c r="E318" s="21" t="str">
        <f aca="false">IF($B318="","",IFERROR(IF(INDEX('DỮ LIỆU'!$F$3:$F$1052,MATCH($B318,'DỮ LIỆU'!$C$3:$C$1052,0))="","",INDEX('DỮ LIỆU'!$F$3:$F$1052,MATCH($B318,'DỮ LIỆU'!$C$3:$C$1052,0))),""))</f>
        <v/>
      </c>
      <c r="F318" s="21" t="str">
        <f aca="false">IF($B318="","",IFERROR(IF(INDEX('DỮ LIỆU'!$G$3:$G$1052,MATCH($B318,'DỮ LIỆU'!$C$3:$C$1052,0))="","",INDEX('DỮ LIỆU'!$G$3:$G$1052,MATCH($B318,'DỮ LIỆU'!$C$3:$C$1052,0))),""))</f>
        <v/>
      </c>
      <c r="G318" s="13" t="str">
        <f aca="false">IF($B318="","",COUNTIFS('DỮ LIỆU'!$C$3:$C$1052,$B318,'DỮ LIỆU'!$J$3:$J$1052,"&gt;0"))</f>
        <v/>
      </c>
      <c r="H318" s="13" t="str">
        <f aca="false">IF($B318="","",SUMIF('DỮ LIỆU'!$C$3:$C$1052,$B318,'DỮ LIỆU'!$J$3:$J$1052))</f>
        <v/>
      </c>
      <c r="I318" s="13" t="str">
        <f aca="false">IF($B318="","",SUMIF('DỮ LIỆU'!$C$3:$C$1052,$B318,'DỮ LIỆU'!$M$3:$M$1052))</f>
        <v/>
      </c>
      <c r="J318" s="13" t="str">
        <f aca="false">IF($B318="","",SUMIF('DỮ LIỆU'!$C$3:$C$1052,$B318,'DỮ LIỆU'!$N$3:$N$1052))</f>
        <v/>
      </c>
      <c r="K318" s="13" t="str">
        <f aca="false">IF($B318="","",SUMIF('DỮ LIỆU'!$C$3:$C$1052,$B318,'DỮ LIỆU'!$O$3:$O$1052))</f>
        <v/>
      </c>
      <c r="L318" s="13" t="str">
        <f aca="false">IF($B318="","",SUMIF('DỮ LIỆU'!$C$3:$C$1052,$B318,'DỮ LIỆU'!$Q$3:$Q$1052))</f>
        <v/>
      </c>
      <c r="M318" s="41" t="str">
        <f aca="false">IF($B318="","",IF(SUMPRODUCT(MAX(('DỮ LIỆU'!$C$3:$C$1052=$B318)*'DỮ LIỆU'!$Z$3:$Z$1052))=0,"",SUMPRODUCT(MAX(('DỮ LIỆU'!$C$3:$C$1052=$B318)*'DỮ LIỆU'!$Z$3:$Z$1052))))</f>
        <v/>
      </c>
      <c r="N318" s="21" t="str">
        <f aca="false">IF($B318="","",IF($G318=0,"Chưa có đơn",IF(COUNTIFS('DỮ LIỆU'!$C$3:$C$1052,$B318,'DỮ LIỆU'!$K$3:$K$1052,"&gt;0")&gt;0,"Có lấy VAT","Không lấy VAT")))</f>
        <v/>
      </c>
    </row>
    <row r="319" customFormat="false" ht="15" hidden="false" customHeight="false" outlineLevel="0" collapsed="false">
      <c r="A319" s="21" t="str">
        <f aca="false">IF($B319="","",314)</f>
        <v/>
      </c>
      <c r="B319" s="21" t="str">
        <f aca="false">IFERROR(INDEX('DỮ LIỆU'!$C$3:$C$1052,MATCH(314,'DỮ LIỆU'!$W$3:$W$1052,0)),"")</f>
        <v/>
      </c>
      <c r="C319" s="21" t="str">
        <f aca="false">IF($B319="","",IFERROR(IF(INDEX('DỮ LIỆU'!$D$3:$D$1052,MATCH($B319,'DỮ LIỆU'!$C$3:$C$1052,0))="","",INDEX('DỮ LIỆU'!$D$3:$D$1052,MATCH($B319,'DỮ LIỆU'!$C$3:$C$1052,0))),""))</f>
        <v/>
      </c>
      <c r="D319" s="21" t="str">
        <f aca="false">IF($B319="","",IFERROR(IF(INDEX('DỮ LIỆU'!$E$3:$E$1052,MATCH($B319,'DỮ LIỆU'!$C$3:$C$1052,0))="","",INDEX('DỮ LIỆU'!$E$3:$E$1052,MATCH($B319,'DỮ LIỆU'!$C$3:$C$1052,0))),""))</f>
        <v/>
      </c>
      <c r="E319" s="21" t="str">
        <f aca="false">IF($B319="","",IFERROR(IF(INDEX('DỮ LIỆU'!$F$3:$F$1052,MATCH($B319,'DỮ LIỆU'!$C$3:$C$1052,0))="","",INDEX('DỮ LIỆU'!$F$3:$F$1052,MATCH($B319,'DỮ LIỆU'!$C$3:$C$1052,0))),""))</f>
        <v/>
      </c>
      <c r="F319" s="21" t="str">
        <f aca="false">IF($B319="","",IFERROR(IF(INDEX('DỮ LIỆU'!$G$3:$G$1052,MATCH($B319,'DỮ LIỆU'!$C$3:$C$1052,0))="","",INDEX('DỮ LIỆU'!$G$3:$G$1052,MATCH($B319,'DỮ LIỆU'!$C$3:$C$1052,0))),""))</f>
        <v/>
      </c>
      <c r="G319" s="13" t="str">
        <f aca="false">IF($B319="","",COUNTIFS('DỮ LIỆU'!$C$3:$C$1052,$B319,'DỮ LIỆU'!$J$3:$J$1052,"&gt;0"))</f>
        <v/>
      </c>
      <c r="H319" s="13" t="str">
        <f aca="false">IF($B319="","",SUMIF('DỮ LIỆU'!$C$3:$C$1052,$B319,'DỮ LIỆU'!$J$3:$J$1052))</f>
        <v/>
      </c>
      <c r="I319" s="13" t="str">
        <f aca="false">IF($B319="","",SUMIF('DỮ LIỆU'!$C$3:$C$1052,$B319,'DỮ LIỆU'!$M$3:$M$1052))</f>
        <v/>
      </c>
      <c r="J319" s="13" t="str">
        <f aca="false">IF($B319="","",SUMIF('DỮ LIỆU'!$C$3:$C$1052,$B319,'DỮ LIỆU'!$N$3:$N$1052))</f>
        <v/>
      </c>
      <c r="K319" s="13" t="str">
        <f aca="false">IF($B319="","",SUMIF('DỮ LIỆU'!$C$3:$C$1052,$B319,'DỮ LIỆU'!$O$3:$O$1052))</f>
        <v/>
      </c>
      <c r="L319" s="13" t="str">
        <f aca="false">IF($B319="","",SUMIF('DỮ LIỆU'!$C$3:$C$1052,$B319,'DỮ LIỆU'!$Q$3:$Q$1052))</f>
        <v/>
      </c>
      <c r="M319" s="41" t="str">
        <f aca="false">IF($B319="","",IF(SUMPRODUCT(MAX(('DỮ LIỆU'!$C$3:$C$1052=$B319)*'DỮ LIỆU'!$Z$3:$Z$1052))=0,"",SUMPRODUCT(MAX(('DỮ LIỆU'!$C$3:$C$1052=$B319)*'DỮ LIỆU'!$Z$3:$Z$1052))))</f>
        <v/>
      </c>
      <c r="N319" s="21" t="str">
        <f aca="false">IF($B319="","",IF($G319=0,"Chưa có đơn",IF(COUNTIFS('DỮ LIỆU'!$C$3:$C$1052,$B319,'DỮ LIỆU'!$K$3:$K$1052,"&gt;0")&gt;0,"Có lấy VAT","Không lấy VAT")))</f>
        <v/>
      </c>
    </row>
    <row r="320" customFormat="false" ht="15" hidden="false" customHeight="false" outlineLevel="0" collapsed="false">
      <c r="A320" s="21" t="str">
        <f aca="false">IF($B320="","",315)</f>
        <v/>
      </c>
      <c r="B320" s="21" t="str">
        <f aca="false">IFERROR(INDEX('DỮ LIỆU'!$C$3:$C$1052,MATCH(315,'DỮ LIỆU'!$W$3:$W$1052,0)),"")</f>
        <v/>
      </c>
      <c r="C320" s="21" t="str">
        <f aca="false">IF($B320="","",IFERROR(IF(INDEX('DỮ LIỆU'!$D$3:$D$1052,MATCH($B320,'DỮ LIỆU'!$C$3:$C$1052,0))="","",INDEX('DỮ LIỆU'!$D$3:$D$1052,MATCH($B320,'DỮ LIỆU'!$C$3:$C$1052,0))),""))</f>
        <v/>
      </c>
      <c r="D320" s="21" t="str">
        <f aca="false">IF($B320="","",IFERROR(IF(INDEX('DỮ LIỆU'!$E$3:$E$1052,MATCH($B320,'DỮ LIỆU'!$C$3:$C$1052,0))="","",INDEX('DỮ LIỆU'!$E$3:$E$1052,MATCH($B320,'DỮ LIỆU'!$C$3:$C$1052,0))),""))</f>
        <v/>
      </c>
      <c r="E320" s="21" t="str">
        <f aca="false">IF($B320="","",IFERROR(IF(INDEX('DỮ LIỆU'!$F$3:$F$1052,MATCH($B320,'DỮ LIỆU'!$C$3:$C$1052,0))="","",INDEX('DỮ LIỆU'!$F$3:$F$1052,MATCH($B320,'DỮ LIỆU'!$C$3:$C$1052,0))),""))</f>
        <v/>
      </c>
      <c r="F320" s="21" t="str">
        <f aca="false">IF($B320="","",IFERROR(IF(INDEX('DỮ LIỆU'!$G$3:$G$1052,MATCH($B320,'DỮ LIỆU'!$C$3:$C$1052,0))="","",INDEX('DỮ LIỆU'!$G$3:$G$1052,MATCH($B320,'DỮ LIỆU'!$C$3:$C$1052,0))),""))</f>
        <v/>
      </c>
      <c r="G320" s="13" t="str">
        <f aca="false">IF($B320="","",COUNTIFS('DỮ LIỆU'!$C$3:$C$1052,$B320,'DỮ LIỆU'!$J$3:$J$1052,"&gt;0"))</f>
        <v/>
      </c>
      <c r="H320" s="13" t="str">
        <f aca="false">IF($B320="","",SUMIF('DỮ LIỆU'!$C$3:$C$1052,$B320,'DỮ LIỆU'!$J$3:$J$1052))</f>
        <v/>
      </c>
      <c r="I320" s="13" t="str">
        <f aca="false">IF($B320="","",SUMIF('DỮ LIỆU'!$C$3:$C$1052,$B320,'DỮ LIỆU'!$M$3:$M$1052))</f>
        <v/>
      </c>
      <c r="J320" s="13" t="str">
        <f aca="false">IF($B320="","",SUMIF('DỮ LIỆU'!$C$3:$C$1052,$B320,'DỮ LIỆU'!$N$3:$N$1052))</f>
        <v/>
      </c>
      <c r="K320" s="13" t="str">
        <f aca="false">IF($B320="","",SUMIF('DỮ LIỆU'!$C$3:$C$1052,$B320,'DỮ LIỆU'!$O$3:$O$1052))</f>
        <v/>
      </c>
      <c r="L320" s="13" t="str">
        <f aca="false">IF($B320="","",SUMIF('DỮ LIỆU'!$C$3:$C$1052,$B320,'DỮ LIỆU'!$Q$3:$Q$1052))</f>
        <v/>
      </c>
      <c r="M320" s="41" t="str">
        <f aca="false">IF($B320="","",IF(SUMPRODUCT(MAX(('DỮ LIỆU'!$C$3:$C$1052=$B320)*'DỮ LIỆU'!$Z$3:$Z$1052))=0,"",SUMPRODUCT(MAX(('DỮ LIỆU'!$C$3:$C$1052=$B320)*'DỮ LIỆU'!$Z$3:$Z$1052))))</f>
        <v/>
      </c>
      <c r="N320" s="21" t="str">
        <f aca="false">IF($B320="","",IF($G320=0,"Chưa có đơn",IF(COUNTIFS('DỮ LIỆU'!$C$3:$C$1052,$B320,'DỮ LIỆU'!$K$3:$K$1052,"&gt;0")&gt;0,"Có lấy VAT","Không lấy VAT")))</f>
        <v/>
      </c>
    </row>
    <row r="321" customFormat="false" ht="15" hidden="false" customHeight="false" outlineLevel="0" collapsed="false">
      <c r="A321" s="21" t="str">
        <f aca="false">IF($B321="","",316)</f>
        <v/>
      </c>
      <c r="B321" s="21" t="str">
        <f aca="false">IFERROR(INDEX('DỮ LIỆU'!$C$3:$C$1052,MATCH(316,'DỮ LIỆU'!$W$3:$W$1052,0)),"")</f>
        <v/>
      </c>
      <c r="C321" s="21" t="str">
        <f aca="false">IF($B321="","",IFERROR(IF(INDEX('DỮ LIỆU'!$D$3:$D$1052,MATCH($B321,'DỮ LIỆU'!$C$3:$C$1052,0))="","",INDEX('DỮ LIỆU'!$D$3:$D$1052,MATCH($B321,'DỮ LIỆU'!$C$3:$C$1052,0))),""))</f>
        <v/>
      </c>
      <c r="D321" s="21" t="str">
        <f aca="false">IF($B321="","",IFERROR(IF(INDEX('DỮ LIỆU'!$E$3:$E$1052,MATCH($B321,'DỮ LIỆU'!$C$3:$C$1052,0))="","",INDEX('DỮ LIỆU'!$E$3:$E$1052,MATCH($B321,'DỮ LIỆU'!$C$3:$C$1052,0))),""))</f>
        <v/>
      </c>
      <c r="E321" s="21" t="str">
        <f aca="false">IF($B321="","",IFERROR(IF(INDEX('DỮ LIỆU'!$F$3:$F$1052,MATCH($B321,'DỮ LIỆU'!$C$3:$C$1052,0))="","",INDEX('DỮ LIỆU'!$F$3:$F$1052,MATCH($B321,'DỮ LIỆU'!$C$3:$C$1052,0))),""))</f>
        <v/>
      </c>
      <c r="F321" s="21" t="str">
        <f aca="false">IF($B321="","",IFERROR(IF(INDEX('DỮ LIỆU'!$G$3:$G$1052,MATCH($B321,'DỮ LIỆU'!$C$3:$C$1052,0))="","",INDEX('DỮ LIỆU'!$G$3:$G$1052,MATCH($B321,'DỮ LIỆU'!$C$3:$C$1052,0))),""))</f>
        <v/>
      </c>
      <c r="G321" s="13" t="str">
        <f aca="false">IF($B321="","",COUNTIFS('DỮ LIỆU'!$C$3:$C$1052,$B321,'DỮ LIỆU'!$J$3:$J$1052,"&gt;0"))</f>
        <v/>
      </c>
      <c r="H321" s="13" t="str">
        <f aca="false">IF($B321="","",SUMIF('DỮ LIỆU'!$C$3:$C$1052,$B321,'DỮ LIỆU'!$J$3:$J$1052))</f>
        <v/>
      </c>
      <c r="I321" s="13" t="str">
        <f aca="false">IF($B321="","",SUMIF('DỮ LIỆU'!$C$3:$C$1052,$B321,'DỮ LIỆU'!$M$3:$M$1052))</f>
        <v/>
      </c>
      <c r="J321" s="13" t="str">
        <f aca="false">IF($B321="","",SUMIF('DỮ LIỆU'!$C$3:$C$1052,$B321,'DỮ LIỆU'!$N$3:$N$1052))</f>
        <v/>
      </c>
      <c r="K321" s="13" t="str">
        <f aca="false">IF($B321="","",SUMIF('DỮ LIỆU'!$C$3:$C$1052,$B321,'DỮ LIỆU'!$O$3:$O$1052))</f>
        <v/>
      </c>
      <c r="L321" s="13" t="str">
        <f aca="false">IF($B321="","",SUMIF('DỮ LIỆU'!$C$3:$C$1052,$B321,'DỮ LIỆU'!$Q$3:$Q$1052))</f>
        <v/>
      </c>
      <c r="M321" s="41" t="str">
        <f aca="false">IF($B321="","",IF(SUMPRODUCT(MAX(('DỮ LIỆU'!$C$3:$C$1052=$B321)*'DỮ LIỆU'!$Z$3:$Z$1052))=0,"",SUMPRODUCT(MAX(('DỮ LIỆU'!$C$3:$C$1052=$B321)*'DỮ LIỆU'!$Z$3:$Z$1052))))</f>
        <v/>
      </c>
      <c r="N321" s="21" t="str">
        <f aca="false">IF($B321="","",IF($G321=0,"Chưa có đơn",IF(COUNTIFS('DỮ LIỆU'!$C$3:$C$1052,$B321,'DỮ LIỆU'!$K$3:$K$1052,"&gt;0")&gt;0,"Có lấy VAT","Không lấy VAT")))</f>
        <v/>
      </c>
    </row>
    <row r="322" customFormat="false" ht="15" hidden="false" customHeight="false" outlineLevel="0" collapsed="false">
      <c r="A322" s="21" t="str">
        <f aca="false">IF($B322="","",317)</f>
        <v/>
      </c>
      <c r="B322" s="21" t="str">
        <f aca="false">IFERROR(INDEX('DỮ LIỆU'!$C$3:$C$1052,MATCH(317,'DỮ LIỆU'!$W$3:$W$1052,0)),"")</f>
        <v/>
      </c>
      <c r="C322" s="21" t="str">
        <f aca="false">IF($B322="","",IFERROR(IF(INDEX('DỮ LIỆU'!$D$3:$D$1052,MATCH($B322,'DỮ LIỆU'!$C$3:$C$1052,0))="","",INDEX('DỮ LIỆU'!$D$3:$D$1052,MATCH($B322,'DỮ LIỆU'!$C$3:$C$1052,0))),""))</f>
        <v/>
      </c>
      <c r="D322" s="21" t="str">
        <f aca="false">IF($B322="","",IFERROR(IF(INDEX('DỮ LIỆU'!$E$3:$E$1052,MATCH($B322,'DỮ LIỆU'!$C$3:$C$1052,0))="","",INDEX('DỮ LIỆU'!$E$3:$E$1052,MATCH($B322,'DỮ LIỆU'!$C$3:$C$1052,0))),""))</f>
        <v/>
      </c>
      <c r="E322" s="21" t="str">
        <f aca="false">IF($B322="","",IFERROR(IF(INDEX('DỮ LIỆU'!$F$3:$F$1052,MATCH($B322,'DỮ LIỆU'!$C$3:$C$1052,0))="","",INDEX('DỮ LIỆU'!$F$3:$F$1052,MATCH($B322,'DỮ LIỆU'!$C$3:$C$1052,0))),""))</f>
        <v/>
      </c>
      <c r="F322" s="21" t="str">
        <f aca="false">IF($B322="","",IFERROR(IF(INDEX('DỮ LIỆU'!$G$3:$G$1052,MATCH($B322,'DỮ LIỆU'!$C$3:$C$1052,0))="","",INDEX('DỮ LIỆU'!$G$3:$G$1052,MATCH($B322,'DỮ LIỆU'!$C$3:$C$1052,0))),""))</f>
        <v/>
      </c>
      <c r="G322" s="13" t="str">
        <f aca="false">IF($B322="","",COUNTIFS('DỮ LIỆU'!$C$3:$C$1052,$B322,'DỮ LIỆU'!$J$3:$J$1052,"&gt;0"))</f>
        <v/>
      </c>
      <c r="H322" s="13" t="str">
        <f aca="false">IF($B322="","",SUMIF('DỮ LIỆU'!$C$3:$C$1052,$B322,'DỮ LIỆU'!$J$3:$J$1052))</f>
        <v/>
      </c>
      <c r="I322" s="13" t="str">
        <f aca="false">IF($B322="","",SUMIF('DỮ LIỆU'!$C$3:$C$1052,$B322,'DỮ LIỆU'!$M$3:$M$1052))</f>
        <v/>
      </c>
      <c r="J322" s="13" t="str">
        <f aca="false">IF($B322="","",SUMIF('DỮ LIỆU'!$C$3:$C$1052,$B322,'DỮ LIỆU'!$N$3:$N$1052))</f>
        <v/>
      </c>
      <c r="K322" s="13" t="str">
        <f aca="false">IF($B322="","",SUMIF('DỮ LIỆU'!$C$3:$C$1052,$B322,'DỮ LIỆU'!$O$3:$O$1052))</f>
        <v/>
      </c>
      <c r="L322" s="13" t="str">
        <f aca="false">IF($B322="","",SUMIF('DỮ LIỆU'!$C$3:$C$1052,$B322,'DỮ LIỆU'!$Q$3:$Q$1052))</f>
        <v/>
      </c>
      <c r="M322" s="41" t="str">
        <f aca="false">IF($B322="","",IF(SUMPRODUCT(MAX(('DỮ LIỆU'!$C$3:$C$1052=$B322)*'DỮ LIỆU'!$Z$3:$Z$1052))=0,"",SUMPRODUCT(MAX(('DỮ LIỆU'!$C$3:$C$1052=$B322)*'DỮ LIỆU'!$Z$3:$Z$1052))))</f>
        <v/>
      </c>
      <c r="N322" s="21" t="str">
        <f aca="false">IF($B322="","",IF($G322=0,"Chưa có đơn",IF(COUNTIFS('DỮ LIỆU'!$C$3:$C$1052,$B322,'DỮ LIỆU'!$K$3:$K$1052,"&gt;0")&gt;0,"Có lấy VAT","Không lấy VAT")))</f>
        <v/>
      </c>
    </row>
    <row r="323" customFormat="false" ht="15" hidden="false" customHeight="false" outlineLevel="0" collapsed="false">
      <c r="A323" s="21" t="str">
        <f aca="false">IF($B323="","",318)</f>
        <v/>
      </c>
      <c r="B323" s="21" t="str">
        <f aca="false">IFERROR(INDEX('DỮ LIỆU'!$C$3:$C$1052,MATCH(318,'DỮ LIỆU'!$W$3:$W$1052,0)),"")</f>
        <v/>
      </c>
      <c r="C323" s="21" t="str">
        <f aca="false">IF($B323="","",IFERROR(IF(INDEX('DỮ LIỆU'!$D$3:$D$1052,MATCH($B323,'DỮ LIỆU'!$C$3:$C$1052,0))="","",INDEX('DỮ LIỆU'!$D$3:$D$1052,MATCH($B323,'DỮ LIỆU'!$C$3:$C$1052,0))),""))</f>
        <v/>
      </c>
      <c r="D323" s="21" t="str">
        <f aca="false">IF($B323="","",IFERROR(IF(INDEX('DỮ LIỆU'!$E$3:$E$1052,MATCH($B323,'DỮ LIỆU'!$C$3:$C$1052,0))="","",INDEX('DỮ LIỆU'!$E$3:$E$1052,MATCH($B323,'DỮ LIỆU'!$C$3:$C$1052,0))),""))</f>
        <v/>
      </c>
      <c r="E323" s="21" t="str">
        <f aca="false">IF($B323="","",IFERROR(IF(INDEX('DỮ LIỆU'!$F$3:$F$1052,MATCH($B323,'DỮ LIỆU'!$C$3:$C$1052,0))="","",INDEX('DỮ LIỆU'!$F$3:$F$1052,MATCH($B323,'DỮ LIỆU'!$C$3:$C$1052,0))),""))</f>
        <v/>
      </c>
      <c r="F323" s="21" t="str">
        <f aca="false">IF($B323="","",IFERROR(IF(INDEX('DỮ LIỆU'!$G$3:$G$1052,MATCH($B323,'DỮ LIỆU'!$C$3:$C$1052,0))="","",INDEX('DỮ LIỆU'!$G$3:$G$1052,MATCH($B323,'DỮ LIỆU'!$C$3:$C$1052,0))),""))</f>
        <v/>
      </c>
      <c r="G323" s="13" t="str">
        <f aca="false">IF($B323="","",COUNTIFS('DỮ LIỆU'!$C$3:$C$1052,$B323,'DỮ LIỆU'!$J$3:$J$1052,"&gt;0"))</f>
        <v/>
      </c>
      <c r="H323" s="13" t="str">
        <f aca="false">IF($B323="","",SUMIF('DỮ LIỆU'!$C$3:$C$1052,$B323,'DỮ LIỆU'!$J$3:$J$1052))</f>
        <v/>
      </c>
      <c r="I323" s="13" t="str">
        <f aca="false">IF($B323="","",SUMIF('DỮ LIỆU'!$C$3:$C$1052,$B323,'DỮ LIỆU'!$M$3:$M$1052))</f>
        <v/>
      </c>
      <c r="J323" s="13" t="str">
        <f aca="false">IF($B323="","",SUMIF('DỮ LIỆU'!$C$3:$C$1052,$B323,'DỮ LIỆU'!$N$3:$N$1052))</f>
        <v/>
      </c>
      <c r="K323" s="13" t="str">
        <f aca="false">IF($B323="","",SUMIF('DỮ LIỆU'!$C$3:$C$1052,$B323,'DỮ LIỆU'!$O$3:$O$1052))</f>
        <v/>
      </c>
      <c r="L323" s="13" t="str">
        <f aca="false">IF($B323="","",SUMIF('DỮ LIỆU'!$C$3:$C$1052,$B323,'DỮ LIỆU'!$Q$3:$Q$1052))</f>
        <v/>
      </c>
      <c r="M323" s="41" t="str">
        <f aca="false">IF($B323="","",IF(SUMPRODUCT(MAX(('DỮ LIỆU'!$C$3:$C$1052=$B323)*'DỮ LIỆU'!$Z$3:$Z$1052))=0,"",SUMPRODUCT(MAX(('DỮ LIỆU'!$C$3:$C$1052=$B323)*'DỮ LIỆU'!$Z$3:$Z$1052))))</f>
        <v/>
      </c>
      <c r="N323" s="21" t="str">
        <f aca="false">IF($B323="","",IF($G323=0,"Chưa có đơn",IF(COUNTIFS('DỮ LIỆU'!$C$3:$C$1052,$B323,'DỮ LIỆU'!$K$3:$K$1052,"&gt;0")&gt;0,"Có lấy VAT","Không lấy VAT")))</f>
        <v/>
      </c>
    </row>
    <row r="324" customFormat="false" ht="15" hidden="false" customHeight="false" outlineLevel="0" collapsed="false">
      <c r="A324" s="21" t="str">
        <f aca="false">IF($B324="","",319)</f>
        <v/>
      </c>
      <c r="B324" s="21" t="str">
        <f aca="false">IFERROR(INDEX('DỮ LIỆU'!$C$3:$C$1052,MATCH(319,'DỮ LIỆU'!$W$3:$W$1052,0)),"")</f>
        <v/>
      </c>
      <c r="C324" s="21" t="str">
        <f aca="false">IF($B324="","",IFERROR(IF(INDEX('DỮ LIỆU'!$D$3:$D$1052,MATCH($B324,'DỮ LIỆU'!$C$3:$C$1052,0))="","",INDEX('DỮ LIỆU'!$D$3:$D$1052,MATCH($B324,'DỮ LIỆU'!$C$3:$C$1052,0))),""))</f>
        <v/>
      </c>
      <c r="D324" s="21" t="str">
        <f aca="false">IF($B324="","",IFERROR(IF(INDEX('DỮ LIỆU'!$E$3:$E$1052,MATCH($B324,'DỮ LIỆU'!$C$3:$C$1052,0))="","",INDEX('DỮ LIỆU'!$E$3:$E$1052,MATCH($B324,'DỮ LIỆU'!$C$3:$C$1052,0))),""))</f>
        <v/>
      </c>
      <c r="E324" s="21" t="str">
        <f aca="false">IF($B324="","",IFERROR(IF(INDEX('DỮ LIỆU'!$F$3:$F$1052,MATCH($B324,'DỮ LIỆU'!$C$3:$C$1052,0))="","",INDEX('DỮ LIỆU'!$F$3:$F$1052,MATCH($B324,'DỮ LIỆU'!$C$3:$C$1052,0))),""))</f>
        <v/>
      </c>
      <c r="F324" s="21" t="str">
        <f aca="false">IF($B324="","",IFERROR(IF(INDEX('DỮ LIỆU'!$G$3:$G$1052,MATCH($B324,'DỮ LIỆU'!$C$3:$C$1052,0))="","",INDEX('DỮ LIỆU'!$G$3:$G$1052,MATCH($B324,'DỮ LIỆU'!$C$3:$C$1052,0))),""))</f>
        <v/>
      </c>
      <c r="G324" s="13" t="str">
        <f aca="false">IF($B324="","",COUNTIFS('DỮ LIỆU'!$C$3:$C$1052,$B324,'DỮ LIỆU'!$J$3:$J$1052,"&gt;0"))</f>
        <v/>
      </c>
      <c r="H324" s="13" t="str">
        <f aca="false">IF($B324="","",SUMIF('DỮ LIỆU'!$C$3:$C$1052,$B324,'DỮ LIỆU'!$J$3:$J$1052))</f>
        <v/>
      </c>
      <c r="I324" s="13" t="str">
        <f aca="false">IF($B324="","",SUMIF('DỮ LIỆU'!$C$3:$C$1052,$B324,'DỮ LIỆU'!$M$3:$M$1052))</f>
        <v/>
      </c>
      <c r="J324" s="13" t="str">
        <f aca="false">IF($B324="","",SUMIF('DỮ LIỆU'!$C$3:$C$1052,$B324,'DỮ LIỆU'!$N$3:$N$1052))</f>
        <v/>
      </c>
      <c r="K324" s="13" t="str">
        <f aca="false">IF($B324="","",SUMIF('DỮ LIỆU'!$C$3:$C$1052,$B324,'DỮ LIỆU'!$O$3:$O$1052))</f>
        <v/>
      </c>
      <c r="L324" s="13" t="str">
        <f aca="false">IF($B324="","",SUMIF('DỮ LIỆU'!$C$3:$C$1052,$B324,'DỮ LIỆU'!$Q$3:$Q$1052))</f>
        <v/>
      </c>
      <c r="M324" s="41" t="str">
        <f aca="false">IF($B324="","",IF(SUMPRODUCT(MAX(('DỮ LIỆU'!$C$3:$C$1052=$B324)*'DỮ LIỆU'!$Z$3:$Z$1052))=0,"",SUMPRODUCT(MAX(('DỮ LIỆU'!$C$3:$C$1052=$B324)*'DỮ LIỆU'!$Z$3:$Z$1052))))</f>
        <v/>
      </c>
      <c r="N324" s="21" t="str">
        <f aca="false">IF($B324="","",IF($G324=0,"Chưa có đơn",IF(COUNTIFS('DỮ LIỆU'!$C$3:$C$1052,$B324,'DỮ LIỆU'!$K$3:$K$1052,"&gt;0")&gt;0,"Có lấy VAT","Không lấy VAT")))</f>
        <v/>
      </c>
    </row>
    <row r="325" customFormat="false" ht="15" hidden="false" customHeight="false" outlineLevel="0" collapsed="false">
      <c r="A325" s="21" t="str">
        <f aca="false">IF($B325="","",320)</f>
        <v/>
      </c>
      <c r="B325" s="21" t="str">
        <f aca="false">IFERROR(INDEX('DỮ LIỆU'!$C$3:$C$1052,MATCH(320,'DỮ LIỆU'!$W$3:$W$1052,0)),"")</f>
        <v/>
      </c>
      <c r="C325" s="21" t="str">
        <f aca="false">IF($B325="","",IFERROR(IF(INDEX('DỮ LIỆU'!$D$3:$D$1052,MATCH($B325,'DỮ LIỆU'!$C$3:$C$1052,0))="","",INDEX('DỮ LIỆU'!$D$3:$D$1052,MATCH($B325,'DỮ LIỆU'!$C$3:$C$1052,0))),""))</f>
        <v/>
      </c>
      <c r="D325" s="21" t="str">
        <f aca="false">IF($B325="","",IFERROR(IF(INDEX('DỮ LIỆU'!$E$3:$E$1052,MATCH($B325,'DỮ LIỆU'!$C$3:$C$1052,0))="","",INDEX('DỮ LIỆU'!$E$3:$E$1052,MATCH($B325,'DỮ LIỆU'!$C$3:$C$1052,0))),""))</f>
        <v/>
      </c>
      <c r="E325" s="21" t="str">
        <f aca="false">IF($B325="","",IFERROR(IF(INDEX('DỮ LIỆU'!$F$3:$F$1052,MATCH($B325,'DỮ LIỆU'!$C$3:$C$1052,0))="","",INDEX('DỮ LIỆU'!$F$3:$F$1052,MATCH($B325,'DỮ LIỆU'!$C$3:$C$1052,0))),""))</f>
        <v/>
      </c>
      <c r="F325" s="21" t="str">
        <f aca="false">IF($B325="","",IFERROR(IF(INDEX('DỮ LIỆU'!$G$3:$G$1052,MATCH($B325,'DỮ LIỆU'!$C$3:$C$1052,0))="","",INDEX('DỮ LIỆU'!$G$3:$G$1052,MATCH($B325,'DỮ LIỆU'!$C$3:$C$1052,0))),""))</f>
        <v/>
      </c>
      <c r="G325" s="13" t="str">
        <f aca="false">IF($B325="","",COUNTIFS('DỮ LIỆU'!$C$3:$C$1052,$B325,'DỮ LIỆU'!$J$3:$J$1052,"&gt;0"))</f>
        <v/>
      </c>
      <c r="H325" s="13" t="str">
        <f aca="false">IF($B325="","",SUMIF('DỮ LIỆU'!$C$3:$C$1052,$B325,'DỮ LIỆU'!$J$3:$J$1052))</f>
        <v/>
      </c>
      <c r="I325" s="13" t="str">
        <f aca="false">IF($B325="","",SUMIF('DỮ LIỆU'!$C$3:$C$1052,$B325,'DỮ LIỆU'!$M$3:$M$1052))</f>
        <v/>
      </c>
      <c r="J325" s="13" t="str">
        <f aca="false">IF($B325="","",SUMIF('DỮ LIỆU'!$C$3:$C$1052,$B325,'DỮ LIỆU'!$N$3:$N$1052))</f>
        <v/>
      </c>
      <c r="K325" s="13" t="str">
        <f aca="false">IF($B325="","",SUMIF('DỮ LIỆU'!$C$3:$C$1052,$B325,'DỮ LIỆU'!$O$3:$O$1052))</f>
        <v/>
      </c>
      <c r="L325" s="13" t="str">
        <f aca="false">IF($B325="","",SUMIF('DỮ LIỆU'!$C$3:$C$1052,$B325,'DỮ LIỆU'!$Q$3:$Q$1052))</f>
        <v/>
      </c>
      <c r="M325" s="41" t="str">
        <f aca="false">IF($B325="","",IF(SUMPRODUCT(MAX(('DỮ LIỆU'!$C$3:$C$1052=$B325)*'DỮ LIỆU'!$Z$3:$Z$1052))=0,"",SUMPRODUCT(MAX(('DỮ LIỆU'!$C$3:$C$1052=$B325)*'DỮ LIỆU'!$Z$3:$Z$1052))))</f>
        <v/>
      </c>
      <c r="N325" s="21" t="str">
        <f aca="false">IF($B325="","",IF($G325=0,"Chưa có đơn",IF(COUNTIFS('DỮ LIỆU'!$C$3:$C$1052,$B325,'DỮ LIỆU'!$K$3:$K$1052,"&gt;0")&gt;0,"Có lấy VAT","Không lấy VAT")))</f>
        <v/>
      </c>
    </row>
    <row r="326" customFormat="false" ht="15" hidden="false" customHeight="false" outlineLevel="0" collapsed="false">
      <c r="A326" s="21" t="str">
        <f aca="false">IF($B326="","",321)</f>
        <v/>
      </c>
      <c r="B326" s="21" t="str">
        <f aca="false">IFERROR(INDEX('DỮ LIỆU'!$C$3:$C$1052,MATCH(321,'DỮ LIỆU'!$W$3:$W$1052,0)),"")</f>
        <v/>
      </c>
      <c r="C326" s="21" t="str">
        <f aca="false">IF($B326="","",IFERROR(IF(INDEX('DỮ LIỆU'!$D$3:$D$1052,MATCH($B326,'DỮ LIỆU'!$C$3:$C$1052,0))="","",INDEX('DỮ LIỆU'!$D$3:$D$1052,MATCH($B326,'DỮ LIỆU'!$C$3:$C$1052,0))),""))</f>
        <v/>
      </c>
      <c r="D326" s="21" t="str">
        <f aca="false">IF($B326="","",IFERROR(IF(INDEX('DỮ LIỆU'!$E$3:$E$1052,MATCH($B326,'DỮ LIỆU'!$C$3:$C$1052,0))="","",INDEX('DỮ LIỆU'!$E$3:$E$1052,MATCH($B326,'DỮ LIỆU'!$C$3:$C$1052,0))),""))</f>
        <v/>
      </c>
      <c r="E326" s="21" t="str">
        <f aca="false">IF($B326="","",IFERROR(IF(INDEX('DỮ LIỆU'!$F$3:$F$1052,MATCH($B326,'DỮ LIỆU'!$C$3:$C$1052,0))="","",INDEX('DỮ LIỆU'!$F$3:$F$1052,MATCH($B326,'DỮ LIỆU'!$C$3:$C$1052,0))),""))</f>
        <v/>
      </c>
      <c r="F326" s="21" t="str">
        <f aca="false">IF($B326="","",IFERROR(IF(INDEX('DỮ LIỆU'!$G$3:$G$1052,MATCH($B326,'DỮ LIỆU'!$C$3:$C$1052,0))="","",INDEX('DỮ LIỆU'!$G$3:$G$1052,MATCH($B326,'DỮ LIỆU'!$C$3:$C$1052,0))),""))</f>
        <v/>
      </c>
      <c r="G326" s="13" t="str">
        <f aca="false">IF($B326="","",COUNTIFS('DỮ LIỆU'!$C$3:$C$1052,$B326,'DỮ LIỆU'!$J$3:$J$1052,"&gt;0"))</f>
        <v/>
      </c>
      <c r="H326" s="13" t="str">
        <f aca="false">IF($B326="","",SUMIF('DỮ LIỆU'!$C$3:$C$1052,$B326,'DỮ LIỆU'!$J$3:$J$1052))</f>
        <v/>
      </c>
      <c r="I326" s="13" t="str">
        <f aca="false">IF($B326="","",SUMIF('DỮ LIỆU'!$C$3:$C$1052,$B326,'DỮ LIỆU'!$M$3:$M$1052))</f>
        <v/>
      </c>
      <c r="J326" s="13" t="str">
        <f aca="false">IF($B326="","",SUMIF('DỮ LIỆU'!$C$3:$C$1052,$B326,'DỮ LIỆU'!$N$3:$N$1052))</f>
        <v/>
      </c>
      <c r="K326" s="13" t="str">
        <f aca="false">IF($B326="","",SUMIF('DỮ LIỆU'!$C$3:$C$1052,$B326,'DỮ LIỆU'!$O$3:$O$1052))</f>
        <v/>
      </c>
      <c r="L326" s="13" t="str">
        <f aca="false">IF($B326="","",SUMIF('DỮ LIỆU'!$C$3:$C$1052,$B326,'DỮ LIỆU'!$Q$3:$Q$1052))</f>
        <v/>
      </c>
      <c r="M326" s="41" t="str">
        <f aca="false">IF($B326="","",IF(SUMPRODUCT(MAX(('DỮ LIỆU'!$C$3:$C$1052=$B326)*'DỮ LIỆU'!$Z$3:$Z$1052))=0,"",SUMPRODUCT(MAX(('DỮ LIỆU'!$C$3:$C$1052=$B326)*'DỮ LIỆU'!$Z$3:$Z$1052))))</f>
        <v/>
      </c>
      <c r="N326" s="21" t="str">
        <f aca="false">IF($B326="","",IF($G326=0,"Chưa có đơn",IF(COUNTIFS('DỮ LIỆU'!$C$3:$C$1052,$B326,'DỮ LIỆU'!$K$3:$K$1052,"&gt;0")&gt;0,"Có lấy VAT","Không lấy VAT")))</f>
        <v/>
      </c>
    </row>
    <row r="327" customFormat="false" ht="15" hidden="false" customHeight="false" outlineLevel="0" collapsed="false">
      <c r="A327" s="21" t="str">
        <f aca="false">IF($B327="","",322)</f>
        <v/>
      </c>
      <c r="B327" s="21" t="str">
        <f aca="false">IFERROR(INDEX('DỮ LIỆU'!$C$3:$C$1052,MATCH(322,'DỮ LIỆU'!$W$3:$W$1052,0)),"")</f>
        <v/>
      </c>
      <c r="C327" s="21" t="str">
        <f aca="false">IF($B327="","",IFERROR(IF(INDEX('DỮ LIỆU'!$D$3:$D$1052,MATCH($B327,'DỮ LIỆU'!$C$3:$C$1052,0))="","",INDEX('DỮ LIỆU'!$D$3:$D$1052,MATCH($B327,'DỮ LIỆU'!$C$3:$C$1052,0))),""))</f>
        <v/>
      </c>
      <c r="D327" s="21" t="str">
        <f aca="false">IF($B327="","",IFERROR(IF(INDEX('DỮ LIỆU'!$E$3:$E$1052,MATCH($B327,'DỮ LIỆU'!$C$3:$C$1052,0))="","",INDEX('DỮ LIỆU'!$E$3:$E$1052,MATCH($B327,'DỮ LIỆU'!$C$3:$C$1052,0))),""))</f>
        <v/>
      </c>
      <c r="E327" s="21" t="str">
        <f aca="false">IF($B327="","",IFERROR(IF(INDEX('DỮ LIỆU'!$F$3:$F$1052,MATCH($B327,'DỮ LIỆU'!$C$3:$C$1052,0))="","",INDEX('DỮ LIỆU'!$F$3:$F$1052,MATCH($B327,'DỮ LIỆU'!$C$3:$C$1052,0))),""))</f>
        <v/>
      </c>
      <c r="F327" s="21" t="str">
        <f aca="false">IF($B327="","",IFERROR(IF(INDEX('DỮ LIỆU'!$G$3:$G$1052,MATCH($B327,'DỮ LIỆU'!$C$3:$C$1052,0))="","",INDEX('DỮ LIỆU'!$G$3:$G$1052,MATCH($B327,'DỮ LIỆU'!$C$3:$C$1052,0))),""))</f>
        <v/>
      </c>
      <c r="G327" s="13" t="str">
        <f aca="false">IF($B327="","",COUNTIFS('DỮ LIỆU'!$C$3:$C$1052,$B327,'DỮ LIỆU'!$J$3:$J$1052,"&gt;0"))</f>
        <v/>
      </c>
      <c r="H327" s="13" t="str">
        <f aca="false">IF($B327="","",SUMIF('DỮ LIỆU'!$C$3:$C$1052,$B327,'DỮ LIỆU'!$J$3:$J$1052))</f>
        <v/>
      </c>
      <c r="I327" s="13" t="str">
        <f aca="false">IF($B327="","",SUMIF('DỮ LIỆU'!$C$3:$C$1052,$B327,'DỮ LIỆU'!$M$3:$M$1052))</f>
        <v/>
      </c>
      <c r="J327" s="13" t="str">
        <f aca="false">IF($B327="","",SUMIF('DỮ LIỆU'!$C$3:$C$1052,$B327,'DỮ LIỆU'!$N$3:$N$1052))</f>
        <v/>
      </c>
      <c r="K327" s="13" t="str">
        <f aca="false">IF($B327="","",SUMIF('DỮ LIỆU'!$C$3:$C$1052,$B327,'DỮ LIỆU'!$O$3:$O$1052))</f>
        <v/>
      </c>
      <c r="L327" s="13" t="str">
        <f aca="false">IF($B327="","",SUMIF('DỮ LIỆU'!$C$3:$C$1052,$B327,'DỮ LIỆU'!$Q$3:$Q$1052))</f>
        <v/>
      </c>
      <c r="M327" s="41" t="str">
        <f aca="false">IF($B327="","",IF(SUMPRODUCT(MAX(('DỮ LIỆU'!$C$3:$C$1052=$B327)*'DỮ LIỆU'!$Z$3:$Z$1052))=0,"",SUMPRODUCT(MAX(('DỮ LIỆU'!$C$3:$C$1052=$B327)*'DỮ LIỆU'!$Z$3:$Z$1052))))</f>
        <v/>
      </c>
      <c r="N327" s="21" t="str">
        <f aca="false">IF($B327="","",IF($G327=0,"Chưa có đơn",IF(COUNTIFS('DỮ LIỆU'!$C$3:$C$1052,$B327,'DỮ LIỆU'!$K$3:$K$1052,"&gt;0")&gt;0,"Có lấy VAT","Không lấy VAT")))</f>
        <v/>
      </c>
    </row>
    <row r="328" customFormat="false" ht="15" hidden="false" customHeight="false" outlineLevel="0" collapsed="false">
      <c r="A328" s="21" t="str">
        <f aca="false">IF($B328="","",323)</f>
        <v/>
      </c>
      <c r="B328" s="21" t="str">
        <f aca="false">IFERROR(INDEX('DỮ LIỆU'!$C$3:$C$1052,MATCH(323,'DỮ LIỆU'!$W$3:$W$1052,0)),"")</f>
        <v/>
      </c>
      <c r="C328" s="21" t="str">
        <f aca="false">IF($B328="","",IFERROR(IF(INDEX('DỮ LIỆU'!$D$3:$D$1052,MATCH($B328,'DỮ LIỆU'!$C$3:$C$1052,0))="","",INDEX('DỮ LIỆU'!$D$3:$D$1052,MATCH($B328,'DỮ LIỆU'!$C$3:$C$1052,0))),""))</f>
        <v/>
      </c>
      <c r="D328" s="21" t="str">
        <f aca="false">IF($B328="","",IFERROR(IF(INDEX('DỮ LIỆU'!$E$3:$E$1052,MATCH($B328,'DỮ LIỆU'!$C$3:$C$1052,0))="","",INDEX('DỮ LIỆU'!$E$3:$E$1052,MATCH($B328,'DỮ LIỆU'!$C$3:$C$1052,0))),""))</f>
        <v/>
      </c>
      <c r="E328" s="21" t="str">
        <f aca="false">IF($B328="","",IFERROR(IF(INDEX('DỮ LIỆU'!$F$3:$F$1052,MATCH($B328,'DỮ LIỆU'!$C$3:$C$1052,0))="","",INDEX('DỮ LIỆU'!$F$3:$F$1052,MATCH($B328,'DỮ LIỆU'!$C$3:$C$1052,0))),""))</f>
        <v/>
      </c>
      <c r="F328" s="21" t="str">
        <f aca="false">IF($B328="","",IFERROR(IF(INDEX('DỮ LIỆU'!$G$3:$G$1052,MATCH($B328,'DỮ LIỆU'!$C$3:$C$1052,0))="","",INDEX('DỮ LIỆU'!$G$3:$G$1052,MATCH($B328,'DỮ LIỆU'!$C$3:$C$1052,0))),""))</f>
        <v/>
      </c>
      <c r="G328" s="13" t="str">
        <f aca="false">IF($B328="","",COUNTIFS('DỮ LIỆU'!$C$3:$C$1052,$B328,'DỮ LIỆU'!$J$3:$J$1052,"&gt;0"))</f>
        <v/>
      </c>
      <c r="H328" s="13" t="str">
        <f aca="false">IF($B328="","",SUMIF('DỮ LIỆU'!$C$3:$C$1052,$B328,'DỮ LIỆU'!$J$3:$J$1052))</f>
        <v/>
      </c>
      <c r="I328" s="13" t="str">
        <f aca="false">IF($B328="","",SUMIF('DỮ LIỆU'!$C$3:$C$1052,$B328,'DỮ LIỆU'!$M$3:$M$1052))</f>
        <v/>
      </c>
      <c r="J328" s="13" t="str">
        <f aca="false">IF($B328="","",SUMIF('DỮ LIỆU'!$C$3:$C$1052,$B328,'DỮ LIỆU'!$N$3:$N$1052))</f>
        <v/>
      </c>
      <c r="K328" s="13" t="str">
        <f aca="false">IF($B328="","",SUMIF('DỮ LIỆU'!$C$3:$C$1052,$B328,'DỮ LIỆU'!$O$3:$O$1052))</f>
        <v/>
      </c>
      <c r="L328" s="13" t="str">
        <f aca="false">IF($B328="","",SUMIF('DỮ LIỆU'!$C$3:$C$1052,$B328,'DỮ LIỆU'!$Q$3:$Q$1052))</f>
        <v/>
      </c>
      <c r="M328" s="41" t="str">
        <f aca="false">IF($B328="","",IF(SUMPRODUCT(MAX(('DỮ LIỆU'!$C$3:$C$1052=$B328)*'DỮ LIỆU'!$Z$3:$Z$1052))=0,"",SUMPRODUCT(MAX(('DỮ LIỆU'!$C$3:$C$1052=$B328)*'DỮ LIỆU'!$Z$3:$Z$1052))))</f>
        <v/>
      </c>
      <c r="N328" s="21" t="str">
        <f aca="false">IF($B328="","",IF($G328=0,"Chưa có đơn",IF(COUNTIFS('DỮ LIỆU'!$C$3:$C$1052,$B328,'DỮ LIỆU'!$K$3:$K$1052,"&gt;0")&gt;0,"Có lấy VAT","Không lấy VAT")))</f>
        <v/>
      </c>
    </row>
    <row r="329" customFormat="false" ht="15" hidden="false" customHeight="false" outlineLevel="0" collapsed="false">
      <c r="A329" s="21" t="str">
        <f aca="false">IF($B329="","",324)</f>
        <v/>
      </c>
      <c r="B329" s="21" t="str">
        <f aca="false">IFERROR(INDEX('DỮ LIỆU'!$C$3:$C$1052,MATCH(324,'DỮ LIỆU'!$W$3:$W$1052,0)),"")</f>
        <v/>
      </c>
      <c r="C329" s="21" t="str">
        <f aca="false">IF($B329="","",IFERROR(IF(INDEX('DỮ LIỆU'!$D$3:$D$1052,MATCH($B329,'DỮ LIỆU'!$C$3:$C$1052,0))="","",INDEX('DỮ LIỆU'!$D$3:$D$1052,MATCH($B329,'DỮ LIỆU'!$C$3:$C$1052,0))),""))</f>
        <v/>
      </c>
      <c r="D329" s="21" t="str">
        <f aca="false">IF($B329="","",IFERROR(IF(INDEX('DỮ LIỆU'!$E$3:$E$1052,MATCH($B329,'DỮ LIỆU'!$C$3:$C$1052,0))="","",INDEX('DỮ LIỆU'!$E$3:$E$1052,MATCH($B329,'DỮ LIỆU'!$C$3:$C$1052,0))),""))</f>
        <v/>
      </c>
      <c r="E329" s="21" t="str">
        <f aca="false">IF($B329="","",IFERROR(IF(INDEX('DỮ LIỆU'!$F$3:$F$1052,MATCH($B329,'DỮ LIỆU'!$C$3:$C$1052,0))="","",INDEX('DỮ LIỆU'!$F$3:$F$1052,MATCH($B329,'DỮ LIỆU'!$C$3:$C$1052,0))),""))</f>
        <v/>
      </c>
      <c r="F329" s="21" t="str">
        <f aca="false">IF($B329="","",IFERROR(IF(INDEX('DỮ LIỆU'!$G$3:$G$1052,MATCH($B329,'DỮ LIỆU'!$C$3:$C$1052,0))="","",INDEX('DỮ LIỆU'!$G$3:$G$1052,MATCH($B329,'DỮ LIỆU'!$C$3:$C$1052,0))),""))</f>
        <v/>
      </c>
      <c r="G329" s="13" t="str">
        <f aca="false">IF($B329="","",COUNTIFS('DỮ LIỆU'!$C$3:$C$1052,$B329,'DỮ LIỆU'!$J$3:$J$1052,"&gt;0"))</f>
        <v/>
      </c>
      <c r="H329" s="13" t="str">
        <f aca="false">IF($B329="","",SUMIF('DỮ LIỆU'!$C$3:$C$1052,$B329,'DỮ LIỆU'!$J$3:$J$1052))</f>
        <v/>
      </c>
      <c r="I329" s="13" t="str">
        <f aca="false">IF($B329="","",SUMIF('DỮ LIỆU'!$C$3:$C$1052,$B329,'DỮ LIỆU'!$M$3:$M$1052))</f>
        <v/>
      </c>
      <c r="J329" s="13" t="str">
        <f aca="false">IF($B329="","",SUMIF('DỮ LIỆU'!$C$3:$C$1052,$B329,'DỮ LIỆU'!$N$3:$N$1052))</f>
        <v/>
      </c>
      <c r="K329" s="13" t="str">
        <f aca="false">IF($B329="","",SUMIF('DỮ LIỆU'!$C$3:$C$1052,$B329,'DỮ LIỆU'!$O$3:$O$1052))</f>
        <v/>
      </c>
      <c r="L329" s="13" t="str">
        <f aca="false">IF($B329="","",SUMIF('DỮ LIỆU'!$C$3:$C$1052,$B329,'DỮ LIỆU'!$Q$3:$Q$1052))</f>
        <v/>
      </c>
      <c r="M329" s="41" t="str">
        <f aca="false">IF($B329="","",IF(SUMPRODUCT(MAX(('DỮ LIỆU'!$C$3:$C$1052=$B329)*'DỮ LIỆU'!$Z$3:$Z$1052))=0,"",SUMPRODUCT(MAX(('DỮ LIỆU'!$C$3:$C$1052=$B329)*'DỮ LIỆU'!$Z$3:$Z$1052))))</f>
        <v/>
      </c>
      <c r="N329" s="21" t="str">
        <f aca="false">IF($B329="","",IF($G329=0,"Chưa có đơn",IF(COUNTIFS('DỮ LIỆU'!$C$3:$C$1052,$B329,'DỮ LIỆU'!$K$3:$K$1052,"&gt;0")&gt;0,"Có lấy VAT","Không lấy VAT")))</f>
        <v/>
      </c>
    </row>
    <row r="330" customFormat="false" ht="15" hidden="false" customHeight="false" outlineLevel="0" collapsed="false">
      <c r="A330" s="21" t="str">
        <f aca="false">IF($B330="","",325)</f>
        <v/>
      </c>
      <c r="B330" s="21" t="str">
        <f aca="false">IFERROR(INDEX('DỮ LIỆU'!$C$3:$C$1052,MATCH(325,'DỮ LIỆU'!$W$3:$W$1052,0)),"")</f>
        <v/>
      </c>
      <c r="C330" s="21" t="str">
        <f aca="false">IF($B330="","",IFERROR(IF(INDEX('DỮ LIỆU'!$D$3:$D$1052,MATCH($B330,'DỮ LIỆU'!$C$3:$C$1052,0))="","",INDEX('DỮ LIỆU'!$D$3:$D$1052,MATCH($B330,'DỮ LIỆU'!$C$3:$C$1052,0))),""))</f>
        <v/>
      </c>
      <c r="D330" s="21" t="str">
        <f aca="false">IF($B330="","",IFERROR(IF(INDEX('DỮ LIỆU'!$E$3:$E$1052,MATCH($B330,'DỮ LIỆU'!$C$3:$C$1052,0))="","",INDEX('DỮ LIỆU'!$E$3:$E$1052,MATCH($B330,'DỮ LIỆU'!$C$3:$C$1052,0))),""))</f>
        <v/>
      </c>
      <c r="E330" s="21" t="str">
        <f aca="false">IF($B330="","",IFERROR(IF(INDEX('DỮ LIỆU'!$F$3:$F$1052,MATCH($B330,'DỮ LIỆU'!$C$3:$C$1052,0))="","",INDEX('DỮ LIỆU'!$F$3:$F$1052,MATCH($B330,'DỮ LIỆU'!$C$3:$C$1052,0))),""))</f>
        <v/>
      </c>
      <c r="F330" s="21" t="str">
        <f aca="false">IF($B330="","",IFERROR(IF(INDEX('DỮ LIỆU'!$G$3:$G$1052,MATCH($B330,'DỮ LIỆU'!$C$3:$C$1052,0))="","",INDEX('DỮ LIỆU'!$G$3:$G$1052,MATCH($B330,'DỮ LIỆU'!$C$3:$C$1052,0))),""))</f>
        <v/>
      </c>
      <c r="G330" s="13" t="str">
        <f aca="false">IF($B330="","",COUNTIFS('DỮ LIỆU'!$C$3:$C$1052,$B330,'DỮ LIỆU'!$J$3:$J$1052,"&gt;0"))</f>
        <v/>
      </c>
      <c r="H330" s="13" t="str">
        <f aca="false">IF($B330="","",SUMIF('DỮ LIỆU'!$C$3:$C$1052,$B330,'DỮ LIỆU'!$J$3:$J$1052))</f>
        <v/>
      </c>
      <c r="I330" s="13" t="str">
        <f aca="false">IF($B330="","",SUMIF('DỮ LIỆU'!$C$3:$C$1052,$B330,'DỮ LIỆU'!$M$3:$M$1052))</f>
        <v/>
      </c>
      <c r="J330" s="13" t="str">
        <f aca="false">IF($B330="","",SUMIF('DỮ LIỆU'!$C$3:$C$1052,$B330,'DỮ LIỆU'!$N$3:$N$1052))</f>
        <v/>
      </c>
      <c r="K330" s="13" t="str">
        <f aca="false">IF($B330="","",SUMIF('DỮ LIỆU'!$C$3:$C$1052,$B330,'DỮ LIỆU'!$O$3:$O$1052))</f>
        <v/>
      </c>
      <c r="L330" s="13" t="str">
        <f aca="false">IF($B330="","",SUMIF('DỮ LIỆU'!$C$3:$C$1052,$B330,'DỮ LIỆU'!$Q$3:$Q$1052))</f>
        <v/>
      </c>
      <c r="M330" s="41" t="str">
        <f aca="false">IF($B330="","",IF(SUMPRODUCT(MAX(('DỮ LIỆU'!$C$3:$C$1052=$B330)*'DỮ LIỆU'!$Z$3:$Z$1052))=0,"",SUMPRODUCT(MAX(('DỮ LIỆU'!$C$3:$C$1052=$B330)*'DỮ LIỆU'!$Z$3:$Z$1052))))</f>
        <v/>
      </c>
      <c r="N330" s="21" t="str">
        <f aca="false">IF($B330="","",IF($G330=0,"Chưa có đơn",IF(COUNTIFS('DỮ LIỆU'!$C$3:$C$1052,$B330,'DỮ LIỆU'!$K$3:$K$1052,"&gt;0")&gt;0,"Có lấy VAT","Không lấy VAT")))</f>
        <v/>
      </c>
    </row>
    <row r="331" customFormat="false" ht="15" hidden="false" customHeight="false" outlineLevel="0" collapsed="false">
      <c r="A331" s="21" t="str">
        <f aca="false">IF($B331="","",326)</f>
        <v/>
      </c>
      <c r="B331" s="21" t="str">
        <f aca="false">IFERROR(INDEX('DỮ LIỆU'!$C$3:$C$1052,MATCH(326,'DỮ LIỆU'!$W$3:$W$1052,0)),"")</f>
        <v/>
      </c>
      <c r="C331" s="21" t="str">
        <f aca="false">IF($B331="","",IFERROR(IF(INDEX('DỮ LIỆU'!$D$3:$D$1052,MATCH($B331,'DỮ LIỆU'!$C$3:$C$1052,0))="","",INDEX('DỮ LIỆU'!$D$3:$D$1052,MATCH($B331,'DỮ LIỆU'!$C$3:$C$1052,0))),""))</f>
        <v/>
      </c>
      <c r="D331" s="21" t="str">
        <f aca="false">IF($B331="","",IFERROR(IF(INDEX('DỮ LIỆU'!$E$3:$E$1052,MATCH($B331,'DỮ LIỆU'!$C$3:$C$1052,0))="","",INDEX('DỮ LIỆU'!$E$3:$E$1052,MATCH($B331,'DỮ LIỆU'!$C$3:$C$1052,0))),""))</f>
        <v/>
      </c>
      <c r="E331" s="21" t="str">
        <f aca="false">IF($B331="","",IFERROR(IF(INDEX('DỮ LIỆU'!$F$3:$F$1052,MATCH($B331,'DỮ LIỆU'!$C$3:$C$1052,0))="","",INDEX('DỮ LIỆU'!$F$3:$F$1052,MATCH($B331,'DỮ LIỆU'!$C$3:$C$1052,0))),""))</f>
        <v/>
      </c>
      <c r="F331" s="21" t="str">
        <f aca="false">IF($B331="","",IFERROR(IF(INDEX('DỮ LIỆU'!$G$3:$G$1052,MATCH($B331,'DỮ LIỆU'!$C$3:$C$1052,0))="","",INDEX('DỮ LIỆU'!$G$3:$G$1052,MATCH($B331,'DỮ LIỆU'!$C$3:$C$1052,0))),""))</f>
        <v/>
      </c>
      <c r="G331" s="13" t="str">
        <f aca="false">IF($B331="","",COUNTIFS('DỮ LIỆU'!$C$3:$C$1052,$B331,'DỮ LIỆU'!$J$3:$J$1052,"&gt;0"))</f>
        <v/>
      </c>
      <c r="H331" s="13" t="str">
        <f aca="false">IF($B331="","",SUMIF('DỮ LIỆU'!$C$3:$C$1052,$B331,'DỮ LIỆU'!$J$3:$J$1052))</f>
        <v/>
      </c>
      <c r="I331" s="13" t="str">
        <f aca="false">IF($B331="","",SUMIF('DỮ LIỆU'!$C$3:$C$1052,$B331,'DỮ LIỆU'!$M$3:$M$1052))</f>
        <v/>
      </c>
      <c r="J331" s="13" t="str">
        <f aca="false">IF($B331="","",SUMIF('DỮ LIỆU'!$C$3:$C$1052,$B331,'DỮ LIỆU'!$N$3:$N$1052))</f>
        <v/>
      </c>
      <c r="K331" s="13" t="str">
        <f aca="false">IF($B331="","",SUMIF('DỮ LIỆU'!$C$3:$C$1052,$B331,'DỮ LIỆU'!$O$3:$O$1052))</f>
        <v/>
      </c>
      <c r="L331" s="13" t="str">
        <f aca="false">IF($B331="","",SUMIF('DỮ LIỆU'!$C$3:$C$1052,$B331,'DỮ LIỆU'!$Q$3:$Q$1052))</f>
        <v/>
      </c>
      <c r="M331" s="41" t="str">
        <f aca="false">IF($B331="","",IF(SUMPRODUCT(MAX(('DỮ LIỆU'!$C$3:$C$1052=$B331)*'DỮ LIỆU'!$Z$3:$Z$1052))=0,"",SUMPRODUCT(MAX(('DỮ LIỆU'!$C$3:$C$1052=$B331)*'DỮ LIỆU'!$Z$3:$Z$1052))))</f>
        <v/>
      </c>
      <c r="N331" s="21" t="str">
        <f aca="false">IF($B331="","",IF($G331=0,"Chưa có đơn",IF(COUNTIFS('DỮ LIỆU'!$C$3:$C$1052,$B331,'DỮ LIỆU'!$K$3:$K$1052,"&gt;0")&gt;0,"Có lấy VAT","Không lấy VAT")))</f>
        <v/>
      </c>
    </row>
    <row r="332" customFormat="false" ht="15" hidden="false" customHeight="false" outlineLevel="0" collapsed="false">
      <c r="A332" s="21" t="str">
        <f aca="false">IF($B332="","",327)</f>
        <v/>
      </c>
      <c r="B332" s="21" t="str">
        <f aca="false">IFERROR(INDEX('DỮ LIỆU'!$C$3:$C$1052,MATCH(327,'DỮ LIỆU'!$W$3:$W$1052,0)),"")</f>
        <v/>
      </c>
      <c r="C332" s="21" t="str">
        <f aca="false">IF($B332="","",IFERROR(IF(INDEX('DỮ LIỆU'!$D$3:$D$1052,MATCH($B332,'DỮ LIỆU'!$C$3:$C$1052,0))="","",INDEX('DỮ LIỆU'!$D$3:$D$1052,MATCH($B332,'DỮ LIỆU'!$C$3:$C$1052,0))),""))</f>
        <v/>
      </c>
      <c r="D332" s="21" t="str">
        <f aca="false">IF($B332="","",IFERROR(IF(INDEX('DỮ LIỆU'!$E$3:$E$1052,MATCH($B332,'DỮ LIỆU'!$C$3:$C$1052,0))="","",INDEX('DỮ LIỆU'!$E$3:$E$1052,MATCH($B332,'DỮ LIỆU'!$C$3:$C$1052,0))),""))</f>
        <v/>
      </c>
      <c r="E332" s="21" t="str">
        <f aca="false">IF($B332="","",IFERROR(IF(INDEX('DỮ LIỆU'!$F$3:$F$1052,MATCH($B332,'DỮ LIỆU'!$C$3:$C$1052,0))="","",INDEX('DỮ LIỆU'!$F$3:$F$1052,MATCH($B332,'DỮ LIỆU'!$C$3:$C$1052,0))),""))</f>
        <v/>
      </c>
      <c r="F332" s="21" t="str">
        <f aca="false">IF($B332="","",IFERROR(IF(INDEX('DỮ LIỆU'!$G$3:$G$1052,MATCH($B332,'DỮ LIỆU'!$C$3:$C$1052,0))="","",INDEX('DỮ LIỆU'!$G$3:$G$1052,MATCH($B332,'DỮ LIỆU'!$C$3:$C$1052,0))),""))</f>
        <v/>
      </c>
      <c r="G332" s="13" t="str">
        <f aca="false">IF($B332="","",COUNTIFS('DỮ LIỆU'!$C$3:$C$1052,$B332,'DỮ LIỆU'!$J$3:$J$1052,"&gt;0"))</f>
        <v/>
      </c>
      <c r="H332" s="13" t="str">
        <f aca="false">IF($B332="","",SUMIF('DỮ LIỆU'!$C$3:$C$1052,$B332,'DỮ LIỆU'!$J$3:$J$1052))</f>
        <v/>
      </c>
      <c r="I332" s="13" t="str">
        <f aca="false">IF($B332="","",SUMIF('DỮ LIỆU'!$C$3:$C$1052,$B332,'DỮ LIỆU'!$M$3:$M$1052))</f>
        <v/>
      </c>
      <c r="J332" s="13" t="str">
        <f aca="false">IF($B332="","",SUMIF('DỮ LIỆU'!$C$3:$C$1052,$B332,'DỮ LIỆU'!$N$3:$N$1052))</f>
        <v/>
      </c>
      <c r="K332" s="13" t="str">
        <f aca="false">IF($B332="","",SUMIF('DỮ LIỆU'!$C$3:$C$1052,$B332,'DỮ LIỆU'!$O$3:$O$1052))</f>
        <v/>
      </c>
      <c r="L332" s="13" t="str">
        <f aca="false">IF($B332="","",SUMIF('DỮ LIỆU'!$C$3:$C$1052,$B332,'DỮ LIỆU'!$Q$3:$Q$1052))</f>
        <v/>
      </c>
      <c r="M332" s="41" t="str">
        <f aca="false">IF($B332="","",IF(SUMPRODUCT(MAX(('DỮ LIỆU'!$C$3:$C$1052=$B332)*'DỮ LIỆU'!$Z$3:$Z$1052))=0,"",SUMPRODUCT(MAX(('DỮ LIỆU'!$C$3:$C$1052=$B332)*'DỮ LIỆU'!$Z$3:$Z$1052))))</f>
        <v/>
      </c>
      <c r="N332" s="21" t="str">
        <f aca="false">IF($B332="","",IF($G332=0,"Chưa có đơn",IF(COUNTIFS('DỮ LIỆU'!$C$3:$C$1052,$B332,'DỮ LIỆU'!$K$3:$K$1052,"&gt;0")&gt;0,"Có lấy VAT","Không lấy VAT")))</f>
        <v/>
      </c>
    </row>
    <row r="333" customFormat="false" ht="15" hidden="false" customHeight="false" outlineLevel="0" collapsed="false">
      <c r="A333" s="21" t="str">
        <f aca="false">IF($B333="","",328)</f>
        <v/>
      </c>
      <c r="B333" s="21" t="str">
        <f aca="false">IFERROR(INDEX('DỮ LIỆU'!$C$3:$C$1052,MATCH(328,'DỮ LIỆU'!$W$3:$W$1052,0)),"")</f>
        <v/>
      </c>
      <c r="C333" s="21" t="str">
        <f aca="false">IF($B333="","",IFERROR(IF(INDEX('DỮ LIỆU'!$D$3:$D$1052,MATCH($B333,'DỮ LIỆU'!$C$3:$C$1052,0))="","",INDEX('DỮ LIỆU'!$D$3:$D$1052,MATCH($B333,'DỮ LIỆU'!$C$3:$C$1052,0))),""))</f>
        <v/>
      </c>
      <c r="D333" s="21" t="str">
        <f aca="false">IF($B333="","",IFERROR(IF(INDEX('DỮ LIỆU'!$E$3:$E$1052,MATCH($B333,'DỮ LIỆU'!$C$3:$C$1052,0))="","",INDEX('DỮ LIỆU'!$E$3:$E$1052,MATCH($B333,'DỮ LIỆU'!$C$3:$C$1052,0))),""))</f>
        <v/>
      </c>
      <c r="E333" s="21" t="str">
        <f aca="false">IF($B333="","",IFERROR(IF(INDEX('DỮ LIỆU'!$F$3:$F$1052,MATCH($B333,'DỮ LIỆU'!$C$3:$C$1052,0))="","",INDEX('DỮ LIỆU'!$F$3:$F$1052,MATCH($B333,'DỮ LIỆU'!$C$3:$C$1052,0))),""))</f>
        <v/>
      </c>
      <c r="F333" s="21" t="str">
        <f aca="false">IF($B333="","",IFERROR(IF(INDEX('DỮ LIỆU'!$G$3:$G$1052,MATCH($B333,'DỮ LIỆU'!$C$3:$C$1052,0))="","",INDEX('DỮ LIỆU'!$G$3:$G$1052,MATCH($B333,'DỮ LIỆU'!$C$3:$C$1052,0))),""))</f>
        <v/>
      </c>
      <c r="G333" s="13" t="str">
        <f aca="false">IF($B333="","",COUNTIFS('DỮ LIỆU'!$C$3:$C$1052,$B333,'DỮ LIỆU'!$J$3:$J$1052,"&gt;0"))</f>
        <v/>
      </c>
      <c r="H333" s="13" t="str">
        <f aca="false">IF($B333="","",SUMIF('DỮ LIỆU'!$C$3:$C$1052,$B333,'DỮ LIỆU'!$J$3:$J$1052))</f>
        <v/>
      </c>
      <c r="I333" s="13" t="str">
        <f aca="false">IF($B333="","",SUMIF('DỮ LIỆU'!$C$3:$C$1052,$B333,'DỮ LIỆU'!$M$3:$M$1052))</f>
        <v/>
      </c>
      <c r="J333" s="13" t="str">
        <f aca="false">IF($B333="","",SUMIF('DỮ LIỆU'!$C$3:$C$1052,$B333,'DỮ LIỆU'!$N$3:$N$1052))</f>
        <v/>
      </c>
      <c r="K333" s="13" t="str">
        <f aca="false">IF($B333="","",SUMIF('DỮ LIỆU'!$C$3:$C$1052,$B333,'DỮ LIỆU'!$O$3:$O$1052))</f>
        <v/>
      </c>
      <c r="L333" s="13" t="str">
        <f aca="false">IF($B333="","",SUMIF('DỮ LIỆU'!$C$3:$C$1052,$B333,'DỮ LIỆU'!$Q$3:$Q$1052))</f>
        <v/>
      </c>
      <c r="M333" s="41" t="str">
        <f aca="false">IF($B333="","",IF(SUMPRODUCT(MAX(('DỮ LIỆU'!$C$3:$C$1052=$B333)*'DỮ LIỆU'!$Z$3:$Z$1052))=0,"",SUMPRODUCT(MAX(('DỮ LIỆU'!$C$3:$C$1052=$B333)*'DỮ LIỆU'!$Z$3:$Z$1052))))</f>
        <v/>
      </c>
      <c r="N333" s="21" t="str">
        <f aca="false">IF($B333="","",IF($G333=0,"Chưa có đơn",IF(COUNTIFS('DỮ LIỆU'!$C$3:$C$1052,$B333,'DỮ LIỆU'!$K$3:$K$1052,"&gt;0")&gt;0,"Có lấy VAT","Không lấy VAT")))</f>
        <v/>
      </c>
    </row>
    <row r="334" customFormat="false" ht="15" hidden="false" customHeight="false" outlineLevel="0" collapsed="false">
      <c r="A334" s="21" t="str">
        <f aca="false">IF($B334="","",329)</f>
        <v/>
      </c>
      <c r="B334" s="21" t="str">
        <f aca="false">IFERROR(INDEX('DỮ LIỆU'!$C$3:$C$1052,MATCH(329,'DỮ LIỆU'!$W$3:$W$1052,0)),"")</f>
        <v/>
      </c>
      <c r="C334" s="21" t="str">
        <f aca="false">IF($B334="","",IFERROR(IF(INDEX('DỮ LIỆU'!$D$3:$D$1052,MATCH($B334,'DỮ LIỆU'!$C$3:$C$1052,0))="","",INDEX('DỮ LIỆU'!$D$3:$D$1052,MATCH($B334,'DỮ LIỆU'!$C$3:$C$1052,0))),""))</f>
        <v/>
      </c>
      <c r="D334" s="21" t="str">
        <f aca="false">IF($B334="","",IFERROR(IF(INDEX('DỮ LIỆU'!$E$3:$E$1052,MATCH($B334,'DỮ LIỆU'!$C$3:$C$1052,0))="","",INDEX('DỮ LIỆU'!$E$3:$E$1052,MATCH($B334,'DỮ LIỆU'!$C$3:$C$1052,0))),""))</f>
        <v/>
      </c>
      <c r="E334" s="21" t="str">
        <f aca="false">IF($B334="","",IFERROR(IF(INDEX('DỮ LIỆU'!$F$3:$F$1052,MATCH($B334,'DỮ LIỆU'!$C$3:$C$1052,0))="","",INDEX('DỮ LIỆU'!$F$3:$F$1052,MATCH($B334,'DỮ LIỆU'!$C$3:$C$1052,0))),""))</f>
        <v/>
      </c>
      <c r="F334" s="21" t="str">
        <f aca="false">IF($B334="","",IFERROR(IF(INDEX('DỮ LIỆU'!$G$3:$G$1052,MATCH($B334,'DỮ LIỆU'!$C$3:$C$1052,0))="","",INDEX('DỮ LIỆU'!$G$3:$G$1052,MATCH($B334,'DỮ LIỆU'!$C$3:$C$1052,0))),""))</f>
        <v/>
      </c>
      <c r="G334" s="13" t="str">
        <f aca="false">IF($B334="","",COUNTIFS('DỮ LIỆU'!$C$3:$C$1052,$B334,'DỮ LIỆU'!$J$3:$J$1052,"&gt;0"))</f>
        <v/>
      </c>
      <c r="H334" s="13" t="str">
        <f aca="false">IF($B334="","",SUMIF('DỮ LIỆU'!$C$3:$C$1052,$B334,'DỮ LIỆU'!$J$3:$J$1052))</f>
        <v/>
      </c>
      <c r="I334" s="13" t="str">
        <f aca="false">IF($B334="","",SUMIF('DỮ LIỆU'!$C$3:$C$1052,$B334,'DỮ LIỆU'!$M$3:$M$1052))</f>
        <v/>
      </c>
      <c r="J334" s="13" t="str">
        <f aca="false">IF($B334="","",SUMIF('DỮ LIỆU'!$C$3:$C$1052,$B334,'DỮ LIỆU'!$N$3:$N$1052))</f>
        <v/>
      </c>
      <c r="K334" s="13" t="str">
        <f aca="false">IF($B334="","",SUMIF('DỮ LIỆU'!$C$3:$C$1052,$B334,'DỮ LIỆU'!$O$3:$O$1052))</f>
        <v/>
      </c>
      <c r="L334" s="13" t="str">
        <f aca="false">IF($B334="","",SUMIF('DỮ LIỆU'!$C$3:$C$1052,$B334,'DỮ LIỆU'!$Q$3:$Q$1052))</f>
        <v/>
      </c>
      <c r="M334" s="41" t="str">
        <f aca="false">IF($B334="","",IF(SUMPRODUCT(MAX(('DỮ LIỆU'!$C$3:$C$1052=$B334)*'DỮ LIỆU'!$Z$3:$Z$1052))=0,"",SUMPRODUCT(MAX(('DỮ LIỆU'!$C$3:$C$1052=$B334)*'DỮ LIỆU'!$Z$3:$Z$1052))))</f>
        <v/>
      </c>
      <c r="N334" s="21" t="str">
        <f aca="false">IF($B334="","",IF($G334=0,"Chưa có đơn",IF(COUNTIFS('DỮ LIỆU'!$C$3:$C$1052,$B334,'DỮ LIỆU'!$K$3:$K$1052,"&gt;0")&gt;0,"Có lấy VAT","Không lấy VAT")))</f>
        <v/>
      </c>
    </row>
    <row r="335" customFormat="false" ht="15" hidden="false" customHeight="false" outlineLevel="0" collapsed="false">
      <c r="A335" s="21" t="str">
        <f aca="false">IF($B335="","",330)</f>
        <v/>
      </c>
      <c r="B335" s="21" t="str">
        <f aca="false">IFERROR(INDEX('DỮ LIỆU'!$C$3:$C$1052,MATCH(330,'DỮ LIỆU'!$W$3:$W$1052,0)),"")</f>
        <v/>
      </c>
      <c r="C335" s="21" t="str">
        <f aca="false">IF($B335="","",IFERROR(IF(INDEX('DỮ LIỆU'!$D$3:$D$1052,MATCH($B335,'DỮ LIỆU'!$C$3:$C$1052,0))="","",INDEX('DỮ LIỆU'!$D$3:$D$1052,MATCH($B335,'DỮ LIỆU'!$C$3:$C$1052,0))),""))</f>
        <v/>
      </c>
      <c r="D335" s="21" t="str">
        <f aca="false">IF($B335="","",IFERROR(IF(INDEX('DỮ LIỆU'!$E$3:$E$1052,MATCH($B335,'DỮ LIỆU'!$C$3:$C$1052,0))="","",INDEX('DỮ LIỆU'!$E$3:$E$1052,MATCH($B335,'DỮ LIỆU'!$C$3:$C$1052,0))),""))</f>
        <v/>
      </c>
      <c r="E335" s="21" t="str">
        <f aca="false">IF($B335="","",IFERROR(IF(INDEX('DỮ LIỆU'!$F$3:$F$1052,MATCH($B335,'DỮ LIỆU'!$C$3:$C$1052,0))="","",INDEX('DỮ LIỆU'!$F$3:$F$1052,MATCH($B335,'DỮ LIỆU'!$C$3:$C$1052,0))),""))</f>
        <v/>
      </c>
      <c r="F335" s="21" t="str">
        <f aca="false">IF($B335="","",IFERROR(IF(INDEX('DỮ LIỆU'!$G$3:$G$1052,MATCH($B335,'DỮ LIỆU'!$C$3:$C$1052,0))="","",INDEX('DỮ LIỆU'!$G$3:$G$1052,MATCH($B335,'DỮ LIỆU'!$C$3:$C$1052,0))),""))</f>
        <v/>
      </c>
      <c r="G335" s="13" t="str">
        <f aca="false">IF($B335="","",COUNTIFS('DỮ LIỆU'!$C$3:$C$1052,$B335,'DỮ LIỆU'!$J$3:$J$1052,"&gt;0"))</f>
        <v/>
      </c>
      <c r="H335" s="13" t="str">
        <f aca="false">IF($B335="","",SUMIF('DỮ LIỆU'!$C$3:$C$1052,$B335,'DỮ LIỆU'!$J$3:$J$1052))</f>
        <v/>
      </c>
      <c r="I335" s="13" t="str">
        <f aca="false">IF($B335="","",SUMIF('DỮ LIỆU'!$C$3:$C$1052,$B335,'DỮ LIỆU'!$M$3:$M$1052))</f>
        <v/>
      </c>
      <c r="J335" s="13" t="str">
        <f aca="false">IF($B335="","",SUMIF('DỮ LIỆU'!$C$3:$C$1052,$B335,'DỮ LIỆU'!$N$3:$N$1052))</f>
        <v/>
      </c>
      <c r="K335" s="13" t="str">
        <f aca="false">IF($B335="","",SUMIF('DỮ LIỆU'!$C$3:$C$1052,$B335,'DỮ LIỆU'!$O$3:$O$1052))</f>
        <v/>
      </c>
      <c r="L335" s="13" t="str">
        <f aca="false">IF($B335="","",SUMIF('DỮ LIỆU'!$C$3:$C$1052,$B335,'DỮ LIỆU'!$Q$3:$Q$1052))</f>
        <v/>
      </c>
      <c r="M335" s="41" t="str">
        <f aca="false">IF($B335="","",IF(SUMPRODUCT(MAX(('DỮ LIỆU'!$C$3:$C$1052=$B335)*'DỮ LIỆU'!$Z$3:$Z$1052))=0,"",SUMPRODUCT(MAX(('DỮ LIỆU'!$C$3:$C$1052=$B335)*'DỮ LIỆU'!$Z$3:$Z$1052))))</f>
        <v/>
      </c>
      <c r="N335" s="21" t="str">
        <f aca="false">IF($B335="","",IF($G335=0,"Chưa có đơn",IF(COUNTIFS('DỮ LIỆU'!$C$3:$C$1052,$B335,'DỮ LIỆU'!$K$3:$K$1052,"&gt;0")&gt;0,"Có lấy VAT","Không lấy VAT")))</f>
        <v/>
      </c>
    </row>
    <row r="336" customFormat="false" ht="15" hidden="false" customHeight="false" outlineLevel="0" collapsed="false">
      <c r="A336" s="21" t="str">
        <f aca="false">IF($B336="","",331)</f>
        <v/>
      </c>
      <c r="B336" s="21" t="str">
        <f aca="false">IFERROR(INDEX('DỮ LIỆU'!$C$3:$C$1052,MATCH(331,'DỮ LIỆU'!$W$3:$W$1052,0)),"")</f>
        <v/>
      </c>
      <c r="C336" s="21" t="str">
        <f aca="false">IF($B336="","",IFERROR(IF(INDEX('DỮ LIỆU'!$D$3:$D$1052,MATCH($B336,'DỮ LIỆU'!$C$3:$C$1052,0))="","",INDEX('DỮ LIỆU'!$D$3:$D$1052,MATCH($B336,'DỮ LIỆU'!$C$3:$C$1052,0))),""))</f>
        <v/>
      </c>
      <c r="D336" s="21" t="str">
        <f aca="false">IF($B336="","",IFERROR(IF(INDEX('DỮ LIỆU'!$E$3:$E$1052,MATCH($B336,'DỮ LIỆU'!$C$3:$C$1052,0))="","",INDEX('DỮ LIỆU'!$E$3:$E$1052,MATCH($B336,'DỮ LIỆU'!$C$3:$C$1052,0))),""))</f>
        <v/>
      </c>
      <c r="E336" s="21" t="str">
        <f aca="false">IF($B336="","",IFERROR(IF(INDEX('DỮ LIỆU'!$F$3:$F$1052,MATCH($B336,'DỮ LIỆU'!$C$3:$C$1052,0))="","",INDEX('DỮ LIỆU'!$F$3:$F$1052,MATCH($B336,'DỮ LIỆU'!$C$3:$C$1052,0))),""))</f>
        <v/>
      </c>
      <c r="F336" s="21" t="str">
        <f aca="false">IF($B336="","",IFERROR(IF(INDEX('DỮ LIỆU'!$G$3:$G$1052,MATCH($B336,'DỮ LIỆU'!$C$3:$C$1052,0))="","",INDEX('DỮ LIỆU'!$G$3:$G$1052,MATCH($B336,'DỮ LIỆU'!$C$3:$C$1052,0))),""))</f>
        <v/>
      </c>
      <c r="G336" s="13" t="str">
        <f aca="false">IF($B336="","",COUNTIFS('DỮ LIỆU'!$C$3:$C$1052,$B336,'DỮ LIỆU'!$J$3:$J$1052,"&gt;0"))</f>
        <v/>
      </c>
      <c r="H336" s="13" t="str">
        <f aca="false">IF($B336="","",SUMIF('DỮ LIỆU'!$C$3:$C$1052,$B336,'DỮ LIỆU'!$J$3:$J$1052))</f>
        <v/>
      </c>
      <c r="I336" s="13" t="str">
        <f aca="false">IF($B336="","",SUMIF('DỮ LIỆU'!$C$3:$C$1052,$B336,'DỮ LIỆU'!$M$3:$M$1052))</f>
        <v/>
      </c>
      <c r="J336" s="13" t="str">
        <f aca="false">IF($B336="","",SUMIF('DỮ LIỆU'!$C$3:$C$1052,$B336,'DỮ LIỆU'!$N$3:$N$1052))</f>
        <v/>
      </c>
      <c r="K336" s="13" t="str">
        <f aca="false">IF($B336="","",SUMIF('DỮ LIỆU'!$C$3:$C$1052,$B336,'DỮ LIỆU'!$O$3:$O$1052))</f>
        <v/>
      </c>
      <c r="L336" s="13" t="str">
        <f aca="false">IF($B336="","",SUMIF('DỮ LIỆU'!$C$3:$C$1052,$B336,'DỮ LIỆU'!$Q$3:$Q$1052))</f>
        <v/>
      </c>
      <c r="M336" s="41" t="str">
        <f aca="false">IF($B336="","",IF(SUMPRODUCT(MAX(('DỮ LIỆU'!$C$3:$C$1052=$B336)*'DỮ LIỆU'!$Z$3:$Z$1052))=0,"",SUMPRODUCT(MAX(('DỮ LIỆU'!$C$3:$C$1052=$B336)*'DỮ LIỆU'!$Z$3:$Z$1052))))</f>
        <v/>
      </c>
      <c r="N336" s="21" t="str">
        <f aca="false">IF($B336="","",IF($G336=0,"Chưa có đơn",IF(COUNTIFS('DỮ LIỆU'!$C$3:$C$1052,$B336,'DỮ LIỆU'!$K$3:$K$1052,"&gt;0")&gt;0,"Có lấy VAT","Không lấy VAT")))</f>
        <v/>
      </c>
    </row>
    <row r="337" customFormat="false" ht="15" hidden="false" customHeight="false" outlineLevel="0" collapsed="false">
      <c r="A337" s="21" t="str">
        <f aca="false">IF($B337="","",332)</f>
        <v/>
      </c>
      <c r="B337" s="21" t="str">
        <f aca="false">IFERROR(INDEX('DỮ LIỆU'!$C$3:$C$1052,MATCH(332,'DỮ LIỆU'!$W$3:$W$1052,0)),"")</f>
        <v/>
      </c>
      <c r="C337" s="21" t="str">
        <f aca="false">IF($B337="","",IFERROR(IF(INDEX('DỮ LIỆU'!$D$3:$D$1052,MATCH($B337,'DỮ LIỆU'!$C$3:$C$1052,0))="","",INDEX('DỮ LIỆU'!$D$3:$D$1052,MATCH($B337,'DỮ LIỆU'!$C$3:$C$1052,0))),""))</f>
        <v/>
      </c>
      <c r="D337" s="21" t="str">
        <f aca="false">IF($B337="","",IFERROR(IF(INDEX('DỮ LIỆU'!$E$3:$E$1052,MATCH($B337,'DỮ LIỆU'!$C$3:$C$1052,0))="","",INDEX('DỮ LIỆU'!$E$3:$E$1052,MATCH($B337,'DỮ LIỆU'!$C$3:$C$1052,0))),""))</f>
        <v/>
      </c>
      <c r="E337" s="21" t="str">
        <f aca="false">IF($B337="","",IFERROR(IF(INDEX('DỮ LIỆU'!$F$3:$F$1052,MATCH($B337,'DỮ LIỆU'!$C$3:$C$1052,0))="","",INDEX('DỮ LIỆU'!$F$3:$F$1052,MATCH($B337,'DỮ LIỆU'!$C$3:$C$1052,0))),""))</f>
        <v/>
      </c>
      <c r="F337" s="21" t="str">
        <f aca="false">IF($B337="","",IFERROR(IF(INDEX('DỮ LIỆU'!$G$3:$G$1052,MATCH($B337,'DỮ LIỆU'!$C$3:$C$1052,0))="","",INDEX('DỮ LIỆU'!$G$3:$G$1052,MATCH($B337,'DỮ LIỆU'!$C$3:$C$1052,0))),""))</f>
        <v/>
      </c>
      <c r="G337" s="13" t="str">
        <f aca="false">IF($B337="","",COUNTIFS('DỮ LIỆU'!$C$3:$C$1052,$B337,'DỮ LIỆU'!$J$3:$J$1052,"&gt;0"))</f>
        <v/>
      </c>
      <c r="H337" s="13" t="str">
        <f aca="false">IF($B337="","",SUMIF('DỮ LIỆU'!$C$3:$C$1052,$B337,'DỮ LIỆU'!$J$3:$J$1052))</f>
        <v/>
      </c>
      <c r="I337" s="13" t="str">
        <f aca="false">IF($B337="","",SUMIF('DỮ LIỆU'!$C$3:$C$1052,$B337,'DỮ LIỆU'!$M$3:$M$1052))</f>
        <v/>
      </c>
      <c r="J337" s="13" t="str">
        <f aca="false">IF($B337="","",SUMIF('DỮ LIỆU'!$C$3:$C$1052,$B337,'DỮ LIỆU'!$N$3:$N$1052))</f>
        <v/>
      </c>
      <c r="K337" s="13" t="str">
        <f aca="false">IF($B337="","",SUMIF('DỮ LIỆU'!$C$3:$C$1052,$B337,'DỮ LIỆU'!$O$3:$O$1052))</f>
        <v/>
      </c>
      <c r="L337" s="13" t="str">
        <f aca="false">IF($B337="","",SUMIF('DỮ LIỆU'!$C$3:$C$1052,$B337,'DỮ LIỆU'!$Q$3:$Q$1052))</f>
        <v/>
      </c>
      <c r="M337" s="41" t="str">
        <f aca="false">IF($B337="","",IF(SUMPRODUCT(MAX(('DỮ LIỆU'!$C$3:$C$1052=$B337)*'DỮ LIỆU'!$Z$3:$Z$1052))=0,"",SUMPRODUCT(MAX(('DỮ LIỆU'!$C$3:$C$1052=$B337)*'DỮ LIỆU'!$Z$3:$Z$1052))))</f>
        <v/>
      </c>
      <c r="N337" s="21" t="str">
        <f aca="false">IF($B337="","",IF($G337=0,"Chưa có đơn",IF(COUNTIFS('DỮ LIỆU'!$C$3:$C$1052,$B337,'DỮ LIỆU'!$K$3:$K$1052,"&gt;0")&gt;0,"Có lấy VAT","Không lấy VAT")))</f>
        <v/>
      </c>
    </row>
    <row r="338" customFormat="false" ht="15" hidden="false" customHeight="false" outlineLevel="0" collapsed="false">
      <c r="A338" s="21" t="str">
        <f aca="false">IF($B338="","",333)</f>
        <v/>
      </c>
      <c r="B338" s="21" t="str">
        <f aca="false">IFERROR(INDEX('DỮ LIỆU'!$C$3:$C$1052,MATCH(333,'DỮ LIỆU'!$W$3:$W$1052,0)),"")</f>
        <v/>
      </c>
      <c r="C338" s="21" t="str">
        <f aca="false">IF($B338="","",IFERROR(IF(INDEX('DỮ LIỆU'!$D$3:$D$1052,MATCH($B338,'DỮ LIỆU'!$C$3:$C$1052,0))="","",INDEX('DỮ LIỆU'!$D$3:$D$1052,MATCH($B338,'DỮ LIỆU'!$C$3:$C$1052,0))),""))</f>
        <v/>
      </c>
      <c r="D338" s="21" t="str">
        <f aca="false">IF($B338="","",IFERROR(IF(INDEX('DỮ LIỆU'!$E$3:$E$1052,MATCH($B338,'DỮ LIỆU'!$C$3:$C$1052,0))="","",INDEX('DỮ LIỆU'!$E$3:$E$1052,MATCH($B338,'DỮ LIỆU'!$C$3:$C$1052,0))),""))</f>
        <v/>
      </c>
      <c r="E338" s="21" t="str">
        <f aca="false">IF($B338="","",IFERROR(IF(INDEX('DỮ LIỆU'!$F$3:$F$1052,MATCH($B338,'DỮ LIỆU'!$C$3:$C$1052,0))="","",INDEX('DỮ LIỆU'!$F$3:$F$1052,MATCH($B338,'DỮ LIỆU'!$C$3:$C$1052,0))),""))</f>
        <v/>
      </c>
      <c r="F338" s="21" t="str">
        <f aca="false">IF($B338="","",IFERROR(IF(INDEX('DỮ LIỆU'!$G$3:$G$1052,MATCH($B338,'DỮ LIỆU'!$C$3:$C$1052,0))="","",INDEX('DỮ LIỆU'!$G$3:$G$1052,MATCH($B338,'DỮ LIỆU'!$C$3:$C$1052,0))),""))</f>
        <v/>
      </c>
      <c r="G338" s="13" t="str">
        <f aca="false">IF($B338="","",COUNTIFS('DỮ LIỆU'!$C$3:$C$1052,$B338,'DỮ LIỆU'!$J$3:$J$1052,"&gt;0"))</f>
        <v/>
      </c>
      <c r="H338" s="13" t="str">
        <f aca="false">IF($B338="","",SUMIF('DỮ LIỆU'!$C$3:$C$1052,$B338,'DỮ LIỆU'!$J$3:$J$1052))</f>
        <v/>
      </c>
      <c r="I338" s="13" t="str">
        <f aca="false">IF($B338="","",SUMIF('DỮ LIỆU'!$C$3:$C$1052,$B338,'DỮ LIỆU'!$M$3:$M$1052))</f>
        <v/>
      </c>
      <c r="J338" s="13" t="str">
        <f aca="false">IF($B338="","",SUMIF('DỮ LIỆU'!$C$3:$C$1052,$B338,'DỮ LIỆU'!$N$3:$N$1052))</f>
        <v/>
      </c>
      <c r="K338" s="13" t="str">
        <f aca="false">IF($B338="","",SUMIF('DỮ LIỆU'!$C$3:$C$1052,$B338,'DỮ LIỆU'!$O$3:$O$1052))</f>
        <v/>
      </c>
      <c r="L338" s="13" t="str">
        <f aca="false">IF($B338="","",SUMIF('DỮ LIỆU'!$C$3:$C$1052,$B338,'DỮ LIỆU'!$Q$3:$Q$1052))</f>
        <v/>
      </c>
      <c r="M338" s="41" t="str">
        <f aca="false">IF($B338="","",IF(SUMPRODUCT(MAX(('DỮ LIỆU'!$C$3:$C$1052=$B338)*'DỮ LIỆU'!$Z$3:$Z$1052))=0,"",SUMPRODUCT(MAX(('DỮ LIỆU'!$C$3:$C$1052=$B338)*'DỮ LIỆU'!$Z$3:$Z$1052))))</f>
        <v/>
      </c>
      <c r="N338" s="21" t="str">
        <f aca="false">IF($B338="","",IF($G338=0,"Chưa có đơn",IF(COUNTIFS('DỮ LIỆU'!$C$3:$C$1052,$B338,'DỮ LIỆU'!$K$3:$K$1052,"&gt;0")&gt;0,"Có lấy VAT","Không lấy VAT")))</f>
        <v/>
      </c>
    </row>
    <row r="339" customFormat="false" ht="15" hidden="false" customHeight="false" outlineLevel="0" collapsed="false">
      <c r="A339" s="21" t="str">
        <f aca="false">IF($B339="","",334)</f>
        <v/>
      </c>
      <c r="B339" s="21" t="str">
        <f aca="false">IFERROR(INDEX('DỮ LIỆU'!$C$3:$C$1052,MATCH(334,'DỮ LIỆU'!$W$3:$W$1052,0)),"")</f>
        <v/>
      </c>
      <c r="C339" s="21" t="str">
        <f aca="false">IF($B339="","",IFERROR(IF(INDEX('DỮ LIỆU'!$D$3:$D$1052,MATCH($B339,'DỮ LIỆU'!$C$3:$C$1052,0))="","",INDEX('DỮ LIỆU'!$D$3:$D$1052,MATCH($B339,'DỮ LIỆU'!$C$3:$C$1052,0))),""))</f>
        <v/>
      </c>
      <c r="D339" s="21" t="str">
        <f aca="false">IF($B339="","",IFERROR(IF(INDEX('DỮ LIỆU'!$E$3:$E$1052,MATCH($B339,'DỮ LIỆU'!$C$3:$C$1052,0))="","",INDEX('DỮ LIỆU'!$E$3:$E$1052,MATCH($B339,'DỮ LIỆU'!$C$3:$C$1052,0))),""))</f>
        <v/>
      </c>
      <c r="E339" s="21" t="str">
        <f aca="false">IF($B339="","",IFERROR(IF(INDEX('DỮ LIỆU'!$F$3:$F$1052,MATCH($B339,'DỮ LIỆU'!$C$3:$C$1052,0))="","",INDEX('DỮ LIỆU'!$F$3:$F$1052,MATCH($B339,'DỮ LIỆU'!$C$3:$C$1052,0))),""))</f>
        <v/>
      </c>
      <c r="F339" s="21" t="str">
        <f aca="false">IF($B339="","",IFERROR(IF(INDEX('DỮ LIỆU'!$G$3:$G$1052,MATCH($B339,'DỮ LIỆU'!$C$3:$C$1052,0))="","",INDEX('DỮ LIỆU'!$G$3:$G$1052,MATCH($B339,'DỮ LIỆU'!$C$3:$C$1052,0))),""))</f>
        <v/>
      </c>
      <c r="G339" s="13" t="str">
        <f aca="false">IF($B339="","",COUNTIFS('DỮ LIỆU'!$C$3:$C$1052,$B339,'DỮ LIỆU'!$J$3:$J$1052,"&gt;0"))</f>
        <v/>
      </c>
      <c r="H339" s="13" t="str">
        <f aca="false">IF($B339="","",SUMIF('DỮ LIỆU'!$C$3:$C$1052,$B339,'DỮ LIỆU'!$J$3:$J$1052))</f>
        <v/>
      </c>
      <c r="I339" s="13" t="str">
        <f aca="false">IF($B339="","",SUMIF('DỮ LIỆU'!$C$3:$C$1052,$B339,'DỮ LIỆU'!$M$3:$M$1052))</f>
        <v/>
      </c>
      <c r="J339" s="13" t="str">
        <f aca="false">IF($B339="","",SUMIF('DỮ LIỆU'!$C$3:$C$1052,$B339,'DỮ LIỆU'!$N$3:$N$1052))</f>
        <v/>
      </c>
      <c r="K339" s="13" t="str">
        <f aca="false">IF($B339="","",SUMIF('DỮ LIỆU'!$C$3:$C$1052,$B339,'DỮ LIỆU'!$O$3:$O$1052))</f>
        <v/>
      </c>
      <c r="L339" s="13" t="str">
        <f aca="false">IF($B339="","",SUMIF('DỮ LIỆU'!$C$3:$C$1052,$B339,'DỮ LIỆU'!$Q$3:$Q$1052))</f>
        <v/>
      </c>
      <c r="M339" s="41" t="str">
        <f aca="false">IF($B339="","",IF(SUMPRODUCT(MAX(('DỮ LIỆU'!$C$3:$C$1052=$B339)*'DỮ LIỆU'!$Z$3:$Z$1052))=0,"",SUMPRODUCT(MAX(('DỮ LIỆU'!$C$3:$C$1052=$B339)*'DỮ LIỆU'!$Z$3:$Z$1052))))</f>
        <v/>
      </c>
      <c r="N339" s="21" t="str">
        <f aca="false">IF($B339="","",IF($G339=0,"Chưa có đơn",IF(COUNTIFS('DỮ LIỆU'!$C$3:$C$1052,$B339,'DỮ LIỆU'!$K$3:$K$1052,"&gt;0")&gt;0,"Có lấy VAT","Không lấy VAT")))</f>
        <v/>
      </c>
    </row>
    <row r="340" customFormat="false" ht="15" hidden="false" customHeight="false" outlineLevel="0" collapsed="false">
      <c r="A340" s="21" t="str">
        <f aca="false">IF($B340="","",335)</f>
        <v/>
      </c>
      <c r="B340" s="21" t="str">
        <f aca="false">IFERROR(INDEX('DỮ LIỆU'!$C$3:$C$1052,MATCH(335,'DỮ LIỆU'!$W$3:$W$1052,0)),"")</f>
        <v/>
      </c>
      <c r="C340" s="21" t="str">
        <f aca="false">IF($B340="","",IFERROR(IF(INDEX('DỮ LIỆU'!$D$3:$D$1052,MATCH($B340,'DỮ LIỆU'!$C$3:$C$1052,0))="","",INDEX('DỮ LIỆU'!$D$3:$D$1052,MATCH($B340,'DỮ LIỆU'!$C$3:$C$1052,0))),""))</f>
        <v/>
      </c>
      <c r="D340" s="21" t="str">
        <f aca="false">IF($B340="","",IFERROR(IF(INDEX('DỮ LIỆU'!$E$3:$E$1052,MATCH($B340,'DỮ LIỆU'!$C$3:$C$1052,0))="","",INDEX('DỮ LIỆU'!$E$3:$E$1052,MATCH($B340,'DỮ LIỆU'!$C$3:$C$1052,0))),""))</f>
        <v/>
      </c>
      <c r="E340" s="21" t="str">
        <f aca="false">IF($B340="","",IFERROR(IF(INDEX('DỮ LIỆU'!$F$3:$F$1052,MATCH($B340,'DỮ LIỆU'!$C$3:$C$1052,0))="","",INDEX('DỮ LIỆU'!$F$3:$F$1052,MATCH($B340,'DỮ LIỆU'!$C$3:$C$1052,0))),""))</f>
        <v/>
      </c>
      <c r="F340" s="21" t="str">
        <f aca="false">IF($B340="","",IFERROR(IF(INDEX('DỮ LIỆU'!$G$3:$G$1052,MATCH($B340,'DỮ LIỆU'!$C$3:$C$1052,0))="","",INDEX('DỮ LIỆU'!$G$3:$G$1052,MATCH($B340,'DỮ LIỆU'!$C$3:$C$1052,0))),""))</f>
        <v/>
      </c>
      <c r="G340" s="13" t="str">
        <f aca="false">IF($B340="","",COUNTIFS('DỮ LIỆU'!$C$3:$C$1052,$B340,'DỮ LIỆU'!$J$3:$J$1052,"&gt;0"))</f>
        <v/>
      </c>
      <c r="H340" s="13" t="str">
        <f aca="false">IF($B340="","",SUMIF('DỮ LIỆU'!$C$3:$C$1052,$B340,'DỮ LIỆU'!$J$3:$J$1052))</f>
        <v/>
      </c>
      <c r="I340" s="13" t="str">
        <f aca="false">IF($B340="","",SUMIF('DỮ LIỆU'!$C$3:$C$1052,$B340,'DỮ LIỆU'!$M$3:$M$1052))</f>
        <v/>
      </c>
      <c r="J340" s="13" t="str">
        <f aca="false">IF($B340="","",SUMIF('DỮ LIỆU'!$C$3:$C$1052,$B340,'DỮ LIỆU'!$N$3:$N$1052))</f>
        <v/>
      </c>
      <c r="K340" s="13" t="str">
        <f aca="false">IF($B340="","",SUMIF('DỮ LIỆU'!$C$3:$C$1052,$B340,'DỮ LIỆU'!$O$3:$O$1052))</f>
        <v/>
      </c>
      <c r="L340" s="13" t="str">
        <f aca="false">IF($B340="","",SUMIF('DỮ LIỆU'!$C$3:$C$1052,$B340,'DỮ LIỆU'!$Q$3:$Q$1052))</f>
        <v/>
      </c>
      <c r="M340" s="41" t="str">
        <f aca="false">IF($B340="","",IF(SUMPRODUCT(MAX(('DỮ LIỆU'!$C$3:$C$1052=$B340)*'DỮ LIỆU'!$Z$3:$Z$1052))=0,"",SUMPRODUCT(MAX(('DỮ LIỆU'!$C$3:$C$1052=$B340)*'DỮ LIỆU'!$Z$3:$Z$1052))))</f>
        <v/>
      </c>
      <c r="N340" s="21" t="str">
        <f aca="false">IF($B340="","",IF($G340=0,"Chưa có đơn",IF(COUNTIFS('DỮ LIỆU'!$C$3:$C$1052,$B340,'DỮ LIỆU'!$K$3:$K$1052,"&gt;0")&gt;0,"Có lấy VAT","Không lấy VAT")))</f>
        <v/>
      </c>
    </row>
    <row r="341" customFormat="false" ht="15" hidden="false" customHeight="false" outlineLevel="0" collapsed="false">
      <c r="A341" s="21" t="str">
        <f aca="false">IF($B341="","",336)</f>
        <v/>
      </c>
      <c r="B341" s="21" t="str">
        <f aca="false">IFERROR(INDEX('DỮ LIỆU'!$C$3:$C$1052,MATCH(336,'DỮ LIỆU'!$W$3:$W$1052,0)),"")</f>
        <v/>
      </c>
      <c r="C341" s="21" t="str">
        <f aca="false">IF($B341="","",IFERROR(IF(INDEX('DỮ LIỆU'!$D$3:$D$1052,MATCH($B341,'DỮ LIỆU'!$C$3:$C$1052,0))="","",INDEX('DỮ LIỆU'!$D$3:$D$1052,MATCH($B341,'DỮ LIỆU'!$C$3:$C$1052,0))),""))</f>
        <v/>
      </c>
      <c r="D341" s="21" t="str">
        <f aca="false">IF($B341="","",IFERROR(IF(INDEX('DỮ LIỆU'!$E$3:$E$1052,MATCH($B341,'DỮ LIỆU'!$C$3:$C$1052,0))="","",INDEX('DỮ LIỆU'!$E$3:$E$1052,MATCH($B341,'DỮ LIỆU'!$C$3:$C$1052,0))),""))</f>
        <v/>
      </c>
      <c r="E341" s="21" t="str">
        <f aca="false">IF($B341="","",IFERROR(IF(INDEX('DỮ LIỆU'!$F$3:$F$1052,MATCH($B341,'DỮ LIỆU'!$C$3:$C$1052,0))="","",INDEX('DỮ LIỆU'!$F$3:$F$1052,MATCH($B341,'DỮ LIỆU'!$C$3:$C$1052,0))),""))</f>
        <v/>
      </c>
      <c r="F341" s="21" t="str">
        <f aca="false">IF($B341="","",IFERROR(IF(INDEX('DỮ LIỆU'!$G$3:$G$1052,MATCH($B341,'DỮ LIỆU'!$C$3:$C$1052,0))="","",INDEX('DỮ LIỆU'!$G$3:$G$1052,MATCH($B341,'DỮ LIỆU'!$C$3:$C$1052,0))),""))</f>
        <v/>
      </c>
      <c r="G341" s="13" t="str">
        <f aca="false">IF($B341="","",COUNTIFS('DỮ LIỆU'!$C$3:$C$1052,$B341,'DỮ LIỆU'!$J$3:$J$1052,"&gt;0"))</f>
        <v/>
      </c>
      <c r="H341" s="13" t="str">
        <f aca="false">IF($B341="","",SUMIF('DỮ LIỆU'!$C$3:$C$1052,$B341,'DỮ LIỆU'!$J$3:$J$1052))</f>
        <v/>
      </c>
      <c r="I341" s="13" t="str">
        <f aca="false">IF($B341="","",SUMIF('DỮ LIỆU'!$C$3:$C$1052,$B341,'DỮ LIỆU'!$M$3:$M$1052))</f>
        <v/>
      </c>
      <c r="J341" s="13" t="str">
        <f aca="false">IF($B341="","",SUMIF('DỮ LIỆU'!$C$3:$C$1052,$B341,'DỮ LIỆU'!$N$3:$N$1052))</f>
        <v/>
      </c>
      <c r="K341" s="13" t="str">
        <f aca="false">IF($B341="","",SUMIF('DỮ LIỆU'!$C$3:$C$1052,$B341,'DỮ LIỆU'!$O$3:$O$1052))</f>
        <v/>
      </c>
      <c r="L341" s="13" t="str">
        <f aca="false">IF($B341="","",SUMIF('DỮ LIỆU'!$C$3:$C$1052,$B341,'DỮ LIỆU'!$Q$3:$Q$1052))</f>
        <v/>
      </c>
      <c r="M341" s="41" t="str">
        <f aca="false">IF($B341="","",IF(SUMPRODUCT(MAX(('DỮ LIỆU'!$C$3:$C$1052=$B341)*'DỮ LIỆU'!$Z$3:$Z$1052))=0,"",SUMPRODUCT(MAX(('DỮ LIỆU'!$C$3:$C$1052=$B341)*'DỮ LIỆU'!$Z$3:$Z$1052))))</f>
        <v/>
      </c>
      <c r="N341" s="21" t="str">
        <f aca="false">IF($B341="","",IF($G341=0,"Chưa có đơn",IF(COUNTIFS('DỮ LIỆU'!$C$3:$C$1052,$B341,'DỮ LIỆU'!$K$3:$K$1052,"&gt;0")&gt;0,"Có lấy VAT","Không lấy VAT")))</f>
        <v/>
      </c>
    </row>
    <row r="342" customFormat="false" ht="15" hidden="false" customHeight="false" outlineLevel="0" collapsed="false">
      <c r="A342" s="21" t="str">
        <f aca="false">IF($B342="","",337)</f>
        <v/>
      </c>
      <c r="B342" s="21" t="str">
        <f aca="false">IFERROR(INDEX('DỮ LIỆU'!$C$3:$C$1052,MATCH(337,'DỮ LIỆU'!$W$3:$W$1052,0)),"")</f>
        <v/>
      </c>
      <c r="C342" s="21" t="str">
        <f aca="false">IF($B342="","",IFERROR(IF(INDEX('DỮ LIỆU'!$D$3:$D$1052,MATCH($B342,'DỮ LIỆU'!$C$3:$C$1052,0))="","",INDEX('DỮ LIỆU'!$D$3:$D$1052,MATCH($B342,'DỮ LIỆU'!$C$3:$C$1052,0))),""))</f>
        <v/>
      </c>
      <c r="D342" s="21" t="str">
        <f aca="false">IF($B342="","",IFERROR(IF(INDEX('DỮ LIỆU'!$E$3:$E$1052,MATCH($B342,'DỮ LIỆU'!$C$3:$C$1052,0))="","",INDEX('DỮ LIỆU'!$E$3:$E$1052,MATCH($B342,'DỮ LIỆU'!$C$3:$C$1052,0))),""))</f>
        <v/>
      </c>
      <c r="E342" s="21" t="str">
        <f aca="false">IF($B342="","",IFERROR(IF(INDEX('DỮ LIỆU'!$F$3:$F$1052,MATCH($B342,'DỮ LIỆU'!$C$3:$C$1052,0))="","",INDEX('DỮ LIỆU'!$F$3:$F$1052,MATCH($B342,'DỮ LIỆU'!$C$3:$C$1052,0))),""))</f>
        <v/>
      </c>
      <c r="F342" s="21" t="str">
        <f aca="false">IF($B342="","",IFERROR(IF(INDEX('DỮ LIỆU'!$G$3:$G$1052,MATCH($B342,'DỮ LIỆU'!$C$3:$C$1052,0))="","",INDEX('DỮ LIỆU'!$G$3:$G$1052,MATCH($B342,'DỮ LIỆU'!$C$3:$C$1052,0))),""))</f>
        <v/>
      </c>
      <c r="G342" s="13" t="str">
        <f aca="false">IF($B342="","",COUNTIFS('DỮ LIỆU'!$C$3:$C$1052,$B342,'DỮ LIỆU'!$J$3:$J$1052,"&gt;0"))</f>
        <v/>
      </c>
      <c r="H342" s="13" t="str">
        <f aca="false">IF($B342="","",SUMIF('DỮ LIỆU'!$C$3:$C$1052,$B342,'DỮ LIỆU'!$J$3:$J$1052))</f>
        <v/>
      </c>
      <c r="I342" s="13" t="str">
        <f aca="false">IF($B342="","",SUMIF('DỮ LIỆU'!$C$3:$C$1052,$B342,'DỮ LIỆU'!$M$3:$M$1052))</f>
        <v/>
      </c>
      <c r="J342" s="13" t="str">
        <f aca="false">IF($B342="","",SUMIF('DỮ LIỆU'!$C$3:$C$1052,$B342,'DỮ LIỆU'!$N$3:$N$1052))</f>
        <v/>
      </c>
      <c r="K342" s="13" t="str">
        <f aca="false">IF($B342="","",SUMIF('DỮ LIỆU'!$C$3:$C$1052,$B342,'DỮ LIỆU'!$O$3:$O$1052))</f>
        <v/>
      </c>
      <c r="L342" s="13" t="str">
        <f aca="false">IF($B342="","",SUMIF('DỮ LIỆU'!$C$3:$C$1052,$B342,'DỮ LIỆU'!$Q$3:$Q$1052))</f>
        <v/>
      </c>
      <c r="M342" s="41" t="str">
        <f aca="false">IF($B342="","",IF(SUMPRODUCT(MAX(('DỮ LIỆU'!$C$3:$C$1052=$B342)*'DỮ LIỆU'!$Z$3:$Z$1052))=0,"",SUMPRODUCT(MAX(('DỮ LIỆU'!$C$3:$C$1052=$B342)*'DỮ LIỆU'!$Z$3:$Z$1052))))</f>
        <v/>
      </c>
      <c r="N342" s="21" t="str">
        <f aca="false">IF($B342="","",IF($G342=0,"Chưa có đơn",IF(COUNTIFS('DỮ LIỆU'!$C$3:$C$1052,$B342,'DỮ LIỆU'!$K$3:$K$1052,"&gt;0")&gt;0,"Có lấy VAT","Không lấy VAT")))</f>
        <v/>
      </c>
    </row>
    <row r="343" customFormat="false" ht="15" hidden="false" customHeight="false" outlineLevel="0" collapsed="false">
      <c r="A343" s="21" t="str">
        <f aca="false">IF($B343="","",338)</f>
        <v/>
      </c>
      <c r="B343" s="21" t="str">
        <f aca="false">IFERROR(INDEX('DỮ LIỆU'!$C$3:$C$1052,MATCH(338,'DỮ LIỆU'!$W$3:$W$1052,0)),"")</f>
        <v/>
      </c>
      <c r="C343" s="21" t="str">
        <f aca="false">IF($B343="","",IFERROR(IF(INDEX('DỮ LIỆU'!$D$3:$D$1052,MATCH($B343,'DỮ LIỆU'!$C$3:$C$1052,0))="","",INDEX('DỮ LIỆU'!$D$3:$D$1052,MATCH($B343,'DỮ LIỆU'!$C$3:$C$1052,0))),""))</f>
        <v/>
      </c>
      <c r="D343" s="21" t="str">
        <f aca="false">IF($B343="","",IFERROR(IF(INDEX('DỮ LIỆU'!$E$3:$E$1052,MATCH($B343,'DỮ LIỆU'!$C$3:$C$1052,0))="","",INDEX('DỮ LIỆU'!$E$3:$E$1052,MATCH($B343,'DỮ LIỆU'!$C$3:$C$1052,0))),""))</f>
        <v/>
      </c>
      <c r="E343" s="21" t="str">
        <f aca="false">IF($B343="","",IFERROR(IF(INDEX('DỮ LIỆU'!$F$3:$F$1052,MATCH($B343,'DỮ LIỆU'!$C$3:$C$1052,0))="","",INDEX('DỮ LIỆU'!$F$3:$F$1052,MATCH($B343,'DỮ LIỆU'!$C$3:$C$1052,0))),""))</f>
        <v/>
      </c>
      <c r="F343" s="21" t="str">
        <f aca="false">IF($B343="","",IFERROR(IF(INDEX('DỮ LIỆU'!$G$3:$G$1052,MATCH($B343,'DỮ LIỆU'!$C$3:$C$1052,0))="","",INDEX('DỮ LIỆU'!$G$3:$G$1052,MATCH($B343,'DỮ LIỆU'!$C$3:$C$1052,0))),""))</f>
        <v/>
      </c>
      <c r="G343" s="13" t="str">
        <f aca="false">IF($B343="","",COUNTIFS('DỮ LIỆU'!$C$3:$C$1052,$B343,'DỮ LIỆU'!$J$3:$J$1052,"&gt;0"))</f>
        <v/>
      </c>
      <c r="H343" s="13" t="str">
        <f aca="false">IF($B343="","",SUMIF('DỮ LIỆU'!$C$3:$C$1052,$B343,'DỮ LIỆU'!$J$3:$J$1052))</f>
        <v/>
      </c>
      <c r="I343" s="13" t="str">
        <f aca="false">IF($B343="","",SUMIF('DỮ LIỆU'!$C$3:$C$1052,$B343,'DỮ LIỆU'!$M$3:$M$1052))</f>
        <v/>
      </c>
      <c r="J343" s="13" t="str">
        <f aca="false">IF($B343="","",SUMIF('DỮ LIỆU'!$C$3:$C$1052,$B343,'DỮ LIỆU'!$N$3:$N$1052))</f>
        <v/>
      </c>
      <c r="K343" s="13" t="str">
        <f aca="false">IF($B343="","",SUMIF('DỮ LIỆU'!$C$3:$C$1052,$B343,'DỮ LIỆU'!$O$3:$O$1052))</f>
        <v/>
      </c>
      <c r="L343" s="13" t="str">
        <f aca="false">IF($B343="","",SUMIF('DỮ LIỆU'!$C$3:$C$1052,$B343,'DỮ LIỆU'!$Q$3:$Q$1052))</f>
        <v/>
      </c>
      <c r="M343" s="41" t="str">
        <f aca="false">IF($B343="","",IF(SUMPRODUCT(MAX(('DỮ LIỆU'!$C$3:$C$1052=$B343)*'DỮ LIỆU'!$Z$3:$Z$1052))=0,"",SUMPRODUCT(MAX(('DỮ LIỆU'!$C$3:$C$1052=$B343)*'DỮ LIỆU'!$Z$3:$Z$1052))))</f>
        <v/>
      </c>
      <c r="N343" s="21" t="str">
        <f aca="false">IF($B343="","",IF($G343=0,"Chưa có đơn",IF(COUNTIFS('DỮ LIỆU'!$C$3:$C$1052,$B343,'DỮ LIỆU'!$K$3:$K$1052,"&gt;0")&gt;0,"Có lấy VAT","Không lấy VAT")))</f>
        <v/>
      </c>
    </row>
    <row r="344" customFormat="false" ht="15" hidden="false" customHeight="false" outlineLevel="0" collapsed="false">
      <c r="A344" s="21" t="str">
        <f aca="false">IF($B344="","",339)</f>
        <v/>
      </c>
      <c r="B344" s="21" t="str">
        <f aca="false">IFERROR(INDEX('DỮ LIỆU'!$C$3:$C$1052,MATCH(339,'DỮ LIỆU'!$W$3:$W$1052,0)),"")</f>
        <v/>
      </c>
      <c r="C344" s="21" t="str">
        <f aca="false">IF($B344="","",IFERROR(IF(INDEX('DỮ LIỆU'!$D$3:$D$1052,MATCH($B344,'DỮ LIỆU'!$C$3:$C$1052,0))="","",INDEX('DỮ LIỆU'!$D$3:$D$1052,MATCH($B344,'DỮ LIỆU'!$C$3:$C$1052,0))),""))</f>
        <v/>
      </c>
      <c r="D344" s="21" t="str">
        <f aca="false">IF($B344="","",IFERROR(IF(INDEX('DỮ LIỆU'!$E$3:$E$1052,MATCH($B344,'DỮ LIỆU'!$C$3:$C$1052,0))="","",INDEX('DỮ LIỆU'!$E$3:$E$1052,MATCH($B344,'DỮ LIỆU'!$C$3:$C$1052,0))),""))</f>
        <v/>
      </c>
      <c r="E344" s="21" t="str">
        <f aca="false">IF($B344="","",IFERROR(IF(INDEX('DỮ LIỆU'!$F$3:$F$1052,MATCH($B344,'DỮ LIỆU'!$C$3:$C$1052,0))="","",INDEX('DỮ LIỆU'!$F$3:$F$1052,MATCH($B344,'DỮ LIỆU'!$C$3:$C$1052,0))),""))</f>
        <v/>
      </c>
      <c r="F344" s="21" t="str">
        <f aca="false">IF($B344="","",IFERROR(IF(INDEX('DỮ LIỆU'!$G$3:$G$1052,MATCH($B344,'DỮ LIỆU'!$C$3:$C$1052,0))="","",INDEX('DỮ LIỆU'!$G$3:$G$1052,MATCH($B344,'DỮ LIỆU'!$C$3:$C$1052,0))),""))</f>
        <v/>
      </c>
      <c r="G344" s="13" t="str">
        <f aca="false">IF($B344="","",COUNTIFS('DỮ LIỆU'!$C$3:$C$1052,$B344,'DỮ LIỆU'!$J$3:$J$1052,"&gt;0"))</f>
        <v/>
      </c>
      <c r="H344" s="13" t="str">
        <f aca="false">IF($B344="","",SUMIF('DỮ LIỆU'!$C$3:$C$1052,$B344,'DỮ LIỆU'!$J$3:$J$1052))</f>
        <v/>
      </c>
      <c r="I344" s="13" t="str">
        <f aca="false">IF($B344="","",SUMIF('DỮ LIỆU'!$C$3:$C$1052,$B344,'DỮ LIỆU'!$M$3:$M$1052))</f>
        <v/>
      </c>
      <c r="J344" s="13" t="str">
        <f aca="false">IF($B344="","",SUMIF('DỮ LIỆU'!$C$3:$C$1052,$B344,'DỮ LIỆU'!$N$3:$N$1052))</f>
        <v/>
      </c>
      <c r="K344" s="13" t="str">
        <f aca="false">IF($B344="","",SUMIF('DỮ LIỆU'!$C$3:$C$1052,$B344,'DỮ LIỆU'!$O$3:$O$1052))</f>
        <v/>
      </c>
      <c r="L344" s="13" t="str">
        <f aca="false">IF($B344="","",SUMIF('DỮ LIỆU'!$C$3:$C$1052,$B344,'DỮ LIỆU'!$Q$3:$Q$1052))</f>
        <v/>
      </c>
      <c r="M344" s="41" t="str">
        <f aca="false">IF($B344="","",IF(SUMPRODUCT(MAX(('DỮ LIỆU'!$C$3:$C$1052=$B344)*'DỮ LIỆU'!$Z$3:$Z$1052))=0,"",SUMPRODUCT(MAX(('DỮ LIỆU'!$C$3:$C$1052=$B344)*'DỮ LIỆU'!$Z$3:$Z$1052))))</f>
        <v/>
      </c>
      <c r="N344" s="21" t="str">
        <f aca="false">IF($B344="","",IF($G344=0,"Chưa có đơn",IF(COUNTIFS('DỮ LIỆU'!$C$3:$C$1052,$B344,'DỮ LIỆU'!$K$3:$K$1052,"&gt;0")&gt;0,"Có lấy VAT","Không lấy VAT")))</f>
        <v/>
      </c>
    </row>
    <row r="345" customFormat="false" ht="15" hidden="false" customHeight="false" outlineLevel="0" collapsed="false">
      <c r="A345" s="21" t="str">
        <f aca="false">IF($B345="","",340)</f>
        <v/>
      </c>
      <c r="B345" s="21" t="str">
        <f aca="false">IFERROR(INDEX('DỮ LIỆU'!$C$3:$C$1052,MATCH(340,'DỮ LIỆU'!$W$3:$W$1052,0)),"")</f>
        <v/>
      </c>
      <c r="C345" s="21" t="str">
        <f aca="false">IF($B345="","",IFERROR(IF(INDEX('DỮ LIỆU'!$D$3:$D$1052,MATCH($B345,'DỮ LIỆU'!$C$3:$C$1052,0))="","",INDEX('DỮ LIỆU'!$D$3:$D$1052,MATCH($B345,'DỮ LIỆU'!$C$3:$C$1052,0))),""))</f>
        <v/>
      </c>
      <c r="D345" s="21" t="str">
        <f aca="false">IF($B345="","",IFERROR(IF(INDEX('DỮ LIỆU'!$E$3:$E$1052,MATCH($B345,'DỮ LIỆU'!$C$3:$C$1052,0))="","",INDEX('DỮ LIỆU'!$E$3:$E$1052,MATCH($B345,'DỮ LIỆU'!$C$3:$C$1052,0))),""))</f>
        <v/>
      </c>
      <c r="E345" s="21" t="str">
        <f aca="false">IF($B345="","",IFERROR(IF(INDEX('DỮ LIỆU'!$F$3:$F$1052,MATCH($B345,'DỮ LIỆU'!$C$3:$C$1052,0))="","",INDEX('DỮ LIỆU'!$F$3:$F$1052,MATCH($B345,'DỮ LIỆU'!$C$3:$C$1052,0))),""))</f>
        <v/>
      </c>
      <c r="F345" s="21" t="str">
        <f aca="false">IF($B345="","",IFERROR(IF(INDEX('DỮ LIỆU'!$G$3:$G$1052,MATCH($B345,'DỮ LIỆU'!$C$3:$C$1052,0))="","",INDEX('DỮ LIỆU'!$G$3:$G$1052,MATCH($B345,'DỮ LIỆU'!$C$3:$C$1052,0))),""))</f>
        <v/>
      </c>
      <c r="G345" s="13" t="str">
        <f aca="false">IF($B345="","",COUNTIFS('DỮ LIỆU'!$C$3:$C$1052,$B345,'DỮ LIỆU'!$J$3:$J$1052,"&gt;0"))</f>
        <v/>
      </c>
      <c r="H345" s="13" t="str">
        <f aca="false">IF($B345="","",SUMIF('DỮ LIỆU'!$C$3:$C$1052,$B345,'DỮ LIỆU'!$J$3:$J$1052))</f>
        <v/>
      </c>
      <c r="I345" s="13" t="str">
        <f aca="false">IF($B345="","",SUMIF('DỮ LIỆU'!$C$3:$C$1052,$B345,'DỮ LIỆU'!$M$3:$M$1052))</f>
        <v/>
      </c>
      <c r="J345" s="13" t="str">
        <f aca="false">IF($B345="","",SUMIF('DỮ LIỆU'!$C$3:$C$1052,$B345,'DỮ LIỆU'!$N$3:$N$1052))</f>
        <v/>
      </c>
      <c r="K345" s="13" t="str">
        <f aca="false">IF($B345="","",SUMIF('DỮ LIỆU'!$C$3:$C$1052,$B345,'DỮ LIỆU'!$O$3:$O$1052))</f>
        <v/>
      </c>
      <c r="L345" s="13" t="str">
        <f aca="false">IF($B345="","",SUMIF('DỮ LIỆU'!$C$3:$C$1052,$B345,'DỮ LIỆU'!$Q$3:$Q$1052))</f>
        <v/>
      </c>
      <c r="M345" s="41" t="str">
        <f aca="false">IF($B345="","",IF(SUMPRODUCT(MAX(('DỮ LIỆU'!$C$3:$C$1052=$B345)*'DỮ LIỆU'!$Z$3:$Z$1052))=0,"",SUMPRODUCT(MAX(('DỮ LIỆU'!$C$3:$C$1052=$B345)*'DỮ LIỆU'!$Z$3:$Z$1052))))</f>
        <v/>
      </c>
      <c r="N345" s="21" t="str">
        <f aca="false">IF($B345="","",IF($G345=0,"Chưa có đơn",IF(COUNTIFS('DỮ LIỆU'!$C$3:$C$1052,$B345,'DỮ LIỆU'!$K$3:$K$1052,"&gt;0")&gt;0,"Có lấy VAT","Không lấy VAT")))</f>
        <v/>
      </c>
    </row>
    <row r="346" customFormat="false" ht="15" hidden="false" customHeight="false" outlineLevel="0" collapsed="false">
      <c r="A346" s="21" t="str">
        <f aca="false">IF($B346="","",341)</f>
        <v/>
      </c>
      <c r="B346" s="21" t="str">
        <f aca="false">IFERROR(INDEX('DỮ LIỆU'!$C$3:$C$1052,MATCH(341,'DỮ LIỆU'!$W$3:$W$1052,0)),"")</f>
        <v/>
      </c>
      <c r="C346" s="21" t="str">
        <f aca="false">IF($B346="","",IFERROR(IF(INDEX('DỮ LIỆU'!$D$3:$D$1052,MATCH($B346,'DỮ LIỆU'!$C$3:$C$1052,0))="","",INDEX('DỮ LIỆU'!$D$3:$D$1052,MATCH($B346,'DỮ LIỆU'!$C$3:$C$1052,0))),""))</f>
        <v/>
      </c>
      <c r="D346" s="21" t="str">
        <f aca="false">IF($B346="","",IFERROR(IF(INDEX('DỮ LIỆU'!$E$3:$E$1052,MATCH($B346,'DỮ LIỆU'!$C$3:$C$1052,0))="","",INDEX('DỮ LIỆU'!$E$3:$E$1052,MATCH($B346,'DỮ LIỆU'!$C$3:$C$1052,0))),""))</f>
        <v/>
      </c>
      <c r="E346" s="21" t="str">
        <f aca="false">IF($B346="","",IFERROR(IF(INDEX('DỮ LIỆU'!$F$3:$F$1052,MATCH($B346,'DỮ LIỆU'!$C$3:$C$1052,0))="","",INDEX('DỮ LIỆU'!$F$3:$F$1052,MATCH($B346,'DỮ LIỆU'!$C$3:$C$1052,0))),""))</f>
        <v/>
      </c>
      <c r="F346" s="21" t="str">
        <f aca="false">IF($B346="","",IFERROR(IF(INDEX('DỮ LIỆU'!$G$3:$G$1052,MATCH($B346,'DỮ LIỆU'!$C$3:$C$1052,0))="","",INDEX('DỮ LIỆU'!$G$3:$G$1052,MATCH($B346,'DỮ LIỆU'!$C$3:$C$1052,0))),""))</f>
        <v/>
      </c>
      <c r="G346" s="13" t="str">
        <f aca="false">IF($B346="","",COUNTIFS('DỮ LIỆU'!$C$3:$C$1052,$B346,'DỮ LIỆU'!$J$3:$J$1052,"&gt;0"))</f>
        <v/>
      </c>
      <c r="H346" s="13" t="str">
        <f aca="false">IF($B346="","",SUMIF('DỮ LIỆU'!$C$3:$C$1052,$B346,'DỮ LIỆU'!$J$3:$J$1052))</f>
        <v/>
      </c>
      <c r="I346" s="13" t="str">
        <f aca="false">IF($B346="","",SUMIF('DỮ LIỆU'!$C$3:$C$1052,$B346,'DỮ LIỆU'!$M$3:$M$1052))</f>
        <v/>
      </c>
      <c r="J346" s="13" t="str">
        <f aca="false">IF($B346="","",SUMIF('DỮ LIỆU'!$C$3:$C$1052,$B346,'DỮ LIỆU'!$N$3:$N$1052))</f>
        <v/>
      </c>
      <c r="K346" s="13" t="str">
        <f aca="false">IF($B346="","",SUMIF('DỮ LIỆU'!$C$3:$C$1052,$B346,'DỮ LIỆU'!$O$3:$O$1052))</f>
        <v/>
      </c>
      <c r="L346" s="13" t="str">
        <f aca="false">IF($B346="","",SUMIF('DỮ LIỆU'!$C$3:$C$1052,$B346,'DỮ LIỆU'!$Q$3:$Q$1052))</f>
        <v/>
      </c>
      <c r="M346" s="41" t="str">
        <f aca="false">IF($B346="","",IF(SUMPRODUCT(MAX(('DỮ LIỆU'!$C$3:$C$1052=$B346)*'DỮ LIỆU'!$Z$3:$Z$1052))=0,"",SUMPRODUCT(MAX(('DỮ LIỆU'!$C$3:$C$1052=$B346)*'DỮ LIỆU'!$Z$3:$Z$1052))))</f>
        <v/>
      </c>
      <c r="N346" s="21" t="str">
        <f aca="false">IF($B346="","",IF($G346=0,"Chưa có đơn",IF(COUNTIFS('DỮ LIỆU'!$C$3:$C$1052,$B346,'DỮ LIỆU'!$K$3:$K$1052,"&gt;0")&gt;0,"Có lấy VAT","Không lấy VAT")))</f>
        <v/>
      </c>
    </row>
    <row r="347" customFormat="false" ht="15" hidden="false" customHeight="false" outlineLevel="0" collapsed="false">
      <c r="A347" s="21" t="str">
        <f aca="false">IF($B347="","",342)</f>
        <v/>
      </c>
      <c r="B347" s="21" t="str">
        <f aca="false">IFERROR(INDEX('DỮ LIỆU'!$C$3:$C$1052,MATCH(342,'DỮ LIỆU'!$W$3:$W$1052,0)),"")</f>
        <v/>
      </c>
      <c r="C347" s="21" t="str">
        <f aca="false">IF($B347="","",IFERROR(IF(INDEX('DỮ LIỆU'!$D$3:$D$1052,MATCH($B347,'DỮ LIỆU'!$C$3:$C$1052,0))="","",INDEX('DỮ LIỆU'!$D$3:$D$1052,MATCH($B347,'DỮ LIỆU'!$C$3:$C$1052,0))),""))</f>
        <v/>
      </c>
      <c r="D347" s="21" t="str">
        <f aca="false">IF($B347="","",IFERROR(IF(INDEX('DỮ LIỆU'!$E$3:$E$1052,MATCH($B347,'DỮ LIỆU'!$C$3:$C$1052,0))="","",INDEX('DỮ LIỆU'!$E$3:$E$1052,MATCH($B347,'DỮ LIỆU'!$C$3:$C$1052,0))),""))</f>
        <v/>
      </c>
      <c r="E347" s="21" t="str">
        <f aca="false">IF($B347="","",IFERROR(IF(INDEX('DỮ LIỆU'!$F$3:$F$1052,MATCH($B347,'DỮ LIỆU'!$C$3:$C$1052,0))="","",INDEX('DỮ LIỆU'!$F$3:$F$1052,MATCH($B347,'DỮ LIỆU'!$C$3:$C$1052,0))),""))</f>
        <v/>
      </c>
      <c r="F347" s="21" t="str">
        <f aca="false">IF($B347="","",IFERROR(IF(INDEX('DỮ LIỆU'!$G$3:$G$1052,MATCH($B347,'DỮ LIỆU'!$C$3:$C$1052,0))="","",INDEX('DỮ LIỆU'!$G$3:$G$1052,MATCH($B347,'DỮ LIỆU'!$C$3:$C$1052,0))),""))</f>
        <v/>
      </c>
      <c r="G347" s="13" t="str">
        <f aca="false">IF($B347="","",COUNTIFS('DỮ LIỆU'!$C$3:$C$1052,$B347,'DỮ LIỆU'!$J$3:$J$1052,"&gt;0"))</f>
        <v/>
      </c>
      <c r="H347" s="13" t="str">
        <f aca="false">IF($B347="","",SUMIF('DỮ LIỆU'!$C$3:$C$1052,$B347,'DỮ LIỆU'!$J$3:$J$1052))</f>
        <v/>
      </c>
      <c r="I347" s="13" t="str">
        <f aca="false">IF($B347="","",SUMIF('DỮ LIỆU'!$C$3:$C$1052,$B347,'DỮ LIỆU'!$M$3:$M$1052))</f>
        <v/>
      </c>
      <c r="J347" s="13" t="str">
        <f aca="false">IF($B347="","",SUMIF('DỮ LIỆU'!$C$3:$C$1052,$B347,'DỮ LIỆU'!$N$3:$N$1052))</f>
        <v/>
      </c>
      <c r="K347" s="13" t="str">
        <f aca="false">IF($B347="","",SUMIF('DỮ LIỆU'!$C$3:$C$1052,$B347,'DỮ LIỆU'!$O$3:$O$1052))</f>
        <v/>
      </c>
      <c r="L347" s="13" t="str">
        <f aca="false">IF($B347="","",SUMIF('DỮ LIỆU'!$C$3:$C$1052,$B347,'DỮ LIỆU'!$Q$3:$Q$1052))</f>
        <v/>
      </c>
      <c r="M347" s="41" t="str">
        <f aca="false">IF($B347="","",IF(SUMPRODUCT(MAX(('DỮ LIỆU'!$C$3:$C$1052=$B347)*'DỮ LIỆU'!$Z$3:$Z$1052))=0,"",SUMPRODUCT(MAX(('DỮ LIỆU'!$C$3:$C$1052=$B347)*'DỮ LIỆU'!$Z$3:$Z$1052))))</f>
        <v/>
      </c>
      <c r="N347" s="21" t="str">
        <f aca="false">IF($B347="","",IF($G347=0,"Chưa có đơn",IF(COUNTIFS('DỮ LIỆU'!$C$3:$C$1052,$B347,'DỮ LIỆU'!$K$3:$K$1052,"&gt;0")&gt;0,"Có lấy VAT","Không lấy VAT")))</f>
        <v/>
      </c>
    </row>
    <row r="348" customFormat="false" ht="15" hidden="false" customHeight="false" outlineLevel="0" collapsed="false">
      <c r="A348" s="21" t="str">
        <f aca="false">IF($B348="","",343)</f>
        <v/>
      </c>
      <c r="B348" s="21" t="str">
        <f aca="false">IFERROR(INDEX('DỮ LIỆU'!$C$3:$C$1052,MATCH(343,'DỮ LIỆU'!$W$3:$W$1052,0)),"")</f>
        <v/>
      </c>
      <c r="C348" s="21" t="str">
        <f aca="false">IF($B348="","",IFERROR(IF(INDEX('DỮ LIỆU'!$D$3:$D$1052,MATCH($B348,'DỮ LIỆU'!$C$3:$C$1052,0))="","",INDEX('DỮ LIỆU'!$D$3:$D$1052,MATCH($B348,'DỮ LIỆU'!$C$3:$C$1052,0))),""))</f>
        <v/>
      </c>
      <c r="D348" s="21" t="str">
        <f aca="false">IF($B348="","",IFERROR(IF(INDEX('DỮ LIỆU'!$E$3:$E$1052,MATCH($B348,'DỮ LIỆU'!$C$3:$C$1052,0))="","",INDEX('DỮ LIỆU'!$E$3:$E$1052,MATCH($B348,'DỮ LIỆU'!$C$3:$C$1052,0))),""))</f>
        <v/>
      </c>
      <c r="E348" s="21" t="str">
        <f aca="false">IF($B348="","",IFERROR(IF(INDEX('DỮ LIỆU'!$F$3:$F$1052,MATCH($B348,'DỮ LIỆU'!$C$3:$C$1052,0))="","",INDEX('DỮ LIỆU'!$F$3:$F$1052,MATCH($B348,'DỮ LIỆU'!$C$3:$C$1052,0))),""))</f>
        <v/>
      </c>
      <c r="F348" s="21" t="str">
        <f aca="false">IF($B348="","",IFERROR(IF(INDEX('DỮ LIỆU'!$G$3:$G$1052,MATCH($B348,'DỮ LIỆU'!$C$3:$C$1052,0))="","",INDEX('DỮ LIỆU'!$G$3:$G$1052,MATCH($B348,'DỮ LIỆU'!$C$3:$C$1052,0))),""))</f>
        <v/>
      </c>
      <c r="G348" s="13" t="str">
        <f aca="false">IF($B348="","",COUNTIFS('DỮ LIỆU'!$C$3:$C$1052,$B348,'DỮ LIỆU'!$J$3:$J$1052,"&gt;0"))</f>
        <v/>
      </c>
      <c r="H348" s="13" t="str">
        <f aca="false">IF($B348="","",SUMIF('DỮ LIỆU'!$C$3:$C$1052,$B348,'DỮ LIỆU'!$J$3:$J$1052))</f>
        <v/>
      </c>
      <c r="I348" s="13" t="str">
        <f aca="false">IF($B348="","",SUMIF('DỮ LIỆU'!$C$3:$C$1052,$B348,'DỮ LIỆU'!$M$3:$M$1052))</f>
        <v/>
      </c>
      <c r="J348" s="13" t="str">
        <f aca="false">IF($B348="","",SUMIF('DỮ LIỆU'!$C$3:$C$1052,$B348,'DỮ LIỆU'!$N$3:$N$1052))</f>
        <v/>
      </c>
      <c r="K348" s="13" t="str">
        <f aca="false">IF($B348="","",SUMIF('DỮ LIỆU'!$C$3:$C$1052,$B348,'DỮ LIỆU'!$O$3:$O$1052))</f>
        <v/>
      </c>
      <c r="L348" s="13" t="str">
        <f aca="false">IF($B348="","",SUMIF('DỮ LIỆU'!$C$3:$C$1052,$B348,'DỮ LIỆU'!$Q$3:$Q$1052))</f>
        <v/>
      </c>
      <c r="M348" s="41" t="str">
        <f aca="false">IF($B348="","",IF(SUMPRODUCT(MAX(('DỮ LIỆU'!$C$3:$C$1052=$B348)*'DỮ LIỆU'!$Z$3:$Z$1052))=0,"",SUMPRODUCT(MAX(('DỮ LIỆU'!$C$3:$C$1052=$B348)*'DỮ LIỆU'!$Z$3:$Z$1052))))</f>
        <v/>
      </c>
      <c r="N348" s="21" t="str">
        <f aca="false">IF($B348="","",IF($G348=0,"Chưa có đơn",IF(COUNTIFS('DỮ LIỆU'!$C$3:$C$1052,$B348,'DỮ LIỆU'!$K$3:$K$1052,"&gt;0")&gt;0,"Có lấy VAT","Không lấy VAT")))</f>
        <v/>
      </c>
    </row>
    <row r="349" customFormat="false" ht="15" hidden="false" customHeight="false" outlineLevel="0" collapsed="false">
      <c r="A349" s="21" t="str">
        <f aca="false">IF($B349="","",344)</f>
        <v/>
      </c>
      <c r="B349" s="21" t="str">
        <f aca="false">IFERROR(INDEX('DỮ LIỆU'!$C$3:$C$1052,MATCH(344,'DỮ LIỆU'!$W$3:$W$1052,0)),"")</f>
        <v/>
      </c>
      <c r="C349" s="21" t="str">
        <f aca="false">IF($B349="","",IFERROR(IF(INDEX('DỮ LIỆU'!$D$3:$D$1052,MATCH($B349,'DỮ LIỆU'!$C$3:$C$1052,0))="","",INDEX('DỮ LIỆU'!$D$3:$D$1052,MATCH($B349,'DỮ LIỆU'!$C$3:$C$1052,0))),""))</f>
        <v/>
      </c>
      <c r="D349" s="21" t="str">
        <f aca="false">IF($B349="","",IFERROR(IF(INDEX('DỮ LIỆU'!$E$3:$E$1052,MATCH($B349,'DỮ LIỆU'!$C$3:$C$1052,0))="","",INDEX('DỮ LIỆU'!$E$3:$E$1052,MATCH($B349,'DỮ LIỆU'!$C$3:$C$1052,0))),""))</f>
        <v/>
      </c>
      <c r="E349" s="21" t="str">
        <f aca="false">IF($B349="","",IFERROR(IF(INDEX('DỮ LIỆU'!$F$3:$F$1052,MATCH($B349,'DỮ LIỆU'!$C$3:$C$1052,0))="","",INDEX('DỮ LIỆU'!$F$3:$F$1052,MATCH($B349,'DỮ LIỆU'!$C$3:$C$1052,0))),""))</f>
        <v/>
      </c>
      <c r="F349" s="21" t="str">
        <f aca="false">IF($B349="","",IFERROR(IF(INDEX('DỮ LIỆU'!$G$3:$G$1052,MATCH($B349,'DỮ LIỆU'!$C$3:$C$1052,0))="","",INDEX('DỮ LIỆU'!$G$3:$G$1052,MATCH($B349,'DỮ LIỆU'!$C$3:$C$1052,0))),""))</f>
        <v/>
      </c>
      <c r="G349" s="13" t="str">
        <f aca="false">IF($B349="","",COUNTIFS('DỮ LIỆU'!$C$3:$C$1052,$B349,'DỮ LIỆU'!$J$3:$J$1052,"&gt;0"))</f>
        <v/>
      </c>
      <c r="H349" s="13" t="str">
        <f aca="false">IF($B349="","",SUMIF('DỮ LIỆU'!$C$3:$C$1052,$B349,'DỮ LIỆU'!$J$3:$J$1052))</f>
        <v/>
      </c>
      <c r="I349" s="13" t="str">
        <f aca="false">IF($B349="","",SUMIF('DỮ LIỆU'!$C$3:$C$1052,$B349,'DỮ LIỆU'!$M$3:$M$1052))</f>
        <v/>
      </c>
      <c r="J349" s="13" t="str">
        <f aca="false">IF($B349="","",SUMIF('DỮ LIỆU'!$C$3:$C$1052,$B349,'DỮ LIỆU'!$N$3:$N$1052))</f>
        <v/>
      </c>
      <c r="K349" s="13" t="str">
        <f aca="false">IF($B349="","",SUMIF('DỮ LIỆU'!$C$3:$C$1052,$B349,'DỮ LIỆU'!$O$3:$O$1052))</f>
        <v/>
      </c>
      <c r="L349" s="13" t="str">
        <f aca="false">IF($B349="","",SUMIF('DỮ LIỆU'!$C$3:$C$1052,$B349,'DỮ LIỆU'!$Q$3:$Q$1052))</f>
        <v/>
      </c>
      <c r="M349" s="41" t="str">
        <f aca="false">IF($B349="","",IF(SUMPRODUCT(MAX(('DỮ LIỆU'!$C$3:$C$1052=$B349)*'DỮ LIỆU'!$Z$3:$Z$1052))=0,"",SUMPRODUCT(MAX(('DỮ LIỆU'!$C$3:$C$1052=$B349)*'DỮ LIỆU'!$Z$3:$Z$1052))))</f>
        <v/>
      </c>
      <c r="N349" s="21" t="str">
        <f aca="false">IF($B349="","",IF($G349=0,"Chưa có đơn",IF(COUNTIFS('DỮ LIỆU'!$C$3:$C$1052,$B349,'DỮ LIỆU'!$K$3:$K$1052,"&gt;0")&gt;0,"Có lấy VAT","Không lấy VAT")))</f>
        <v/>
      </c>
    </row>
    <row r="350" customFormat="false" ht="15" hidden="false" customHeight="false" outlineLevel="0" collapsed="false">
      <c r="A350" s="21" t="str">
        <f aca="false">IF($B350="","",345)</f>
        <v/>
      </c>
      <c r="B350" s="21" t="str">
        <f aca="false">IFERROR(INDEX('DỮ LIỆU'!$C$3:$C$1052,MATCH(345,'DỮ LIỆU'!$W$3:$W$1052,0)),"")</f>
        <v/>
      </c>
      <c r="C350" s="21" t="str">
        <f aca="false">IF($B350="","",IFERROR(IF(INDEX('DỮ LIỆU'!$D$3:$D$1052,MATCH($B350,'DỮ LIỆU'!$C$3:$C$1052,0))="","",INDEX('DỮ LIỆU'!$D$3:$D$1052,MATCH($B350,'DỮ LIỆU'!$C$3:$C$1052,0))),""))</f>
        <v/>
      </c>
      <c r="D350" s="21" t="str">
        <f aca="false">IF($B350="","",IFERROR(IF(INDEX('DỮ LIỆU'!$E$3:$E$1052,MATCH($B350,'DỮ LIỆU'!$C$3:$C$1052,0))="","",INDEX('DỮ LIỆU'!$E$3:$E$1052,MATCH($B350,'DỮ LIỆU'!$C$3:$C$1052,0))),""))</f>
        <v/>
      </c>
      <c r="E350" s="21" t="str">
        <f aca="false">IF($B350="","",IFERROR(IF(INDEX('DỮ LIỆU'!$F$3:$F$1052,MATCH($B350,'DỮ LIỆU'!$C$3:$C$1052,0))="","",INDEX('DỮ LIỆU'!$F$3:$F$1052,MATCH($B350,'DỮ LIỆU'!$C$3:$C$1052,0))),""))</f>
        <v/>
      </c>
      <c r="F350" s="21" t="str">
        <f aca="false">IF($B350="","",IFERROR(IF(INDEX('DỮ LIỆU'!$G$3:$G$1052,MATCH($B350,'DỮ LIỆU'!$C$3:$C$1052,0))="","",INDEX('DỮ LIỆU'!$G$3:$G$1052,MATCH($B350,'DỮ LIỆU'!$C$3:$C$1052,0))),""))</f>
        <v/>
      </c>
      <c r="G350" s="13" t="str">
        <f aca="false">IF($B350="","",COUNTIFS('DỮ LIỆU'!$C$3:$C$1052,$B350,'DỮ LIỆU'!$J$3:$J$1052,"&gt;0"))</f>
        <v/>
      </c>
      <c r="H350" s="13" t="str">
        <f aca="false">IF($B350="","",SUMIF('DỮ LIỆU'!$C$3:$C$1052,$B350,'DỮ LIỆU'!$J$3:$J$1052))</f>
        <v/>
      </c>
      <c r="I350" s="13" t="str">
        <f aca="false">IF($B350="","",SUMIF('DỮ LIỆU'!$C$3:$C$1052,$B350,'DỮ LIỆU'!$M$3:$M$1052))</f>
        <v/>
      </c>
      <c r="J350" s="13" t="str">
        <f aca="false">IF($B350="","",SUMIF('DỮ LIỆU'!$C$3:$C$1052,$B350,'DỮ LIỆU'!$N$3:$N$1052))</f>
        <v/>
      </c>
      <c r="K350" s="13" t="str">
        <f aca="false">IF($B350="","",SUMIF('DỮ LIỆU'!$C$3:$C$1052,$B350,'DỮ LIỆU'!$O$3:$O$1052))</f>
        <v/>
      </c>
      <c r="L350" s="13" t="str">
        <f aca="false">IF($B350="","",SUMIF('DỮ LIỆU'!$C$3:$C$1052,$B350,'DỮ LIỆU'!$Q$3:$Q$1052))</f>
        <v/>
      </c>
      <c r="M350" s="41" t="str">
        <f aca="false">IF($B350="","",IF(SUMPRODUCT(MAX(('DỮ LIỆU'!$C$3:$C$1052=$B350)*'DỮ LIỆU'!$Z$3:$Z$1052))=0,"",SUMPRODUCT(MAX(('DỮ LIỆU'!$C$3:$C$1052=$B350)*'DỮ LIỆU'!$Z$3:$Z$1052))))</f>
        <v/>
      </c>
      <c r="N350" s="21" t="str">
        <f aca="false">IF($B350="","",IF($G350=0,"Chưa có đơn",IF(COUNTIFS('DỮ LIỆU'!$C$3:$C$1052,$B350,'DỮ LIỆU'!$K$3:$K$1052,"&gt;0")&gt;0,"Có lấy VAT","Không lấy VAT")))</f>
        <v/>
      </c>
    </row>
    <row r="351" customFormat="false" ht="15" hidden="false" customHeight="false" outlineLevel="0" collapsed="false">
      <c r="A351" s="21" t="str">
        <f aca="false">IF($B351="","",346)</f>
        <v/>
      </c>
      <c r="B351" s="21" t="str">
        <f aca="false">IFERROR(INDEX('DỮ LIỆU'!$C$3:$C$1052,MATCH(346,'DỮ LIỆU'!$W$3:$W$1052,0)),"")</f>
        <v/>
      </c>
      <c r="C351" s="21" t="str">
        <f aca="false">IF($B351="","",IFERROR(IF(INDEX('DỮ LIỆU'!$D$3:$D$1052,MATCH($B351,'DỮ LIỆU'!$C$3:$C$1052,0))="","",INDEX('DỮ LIỆU'!$D$3:$D$1052,MATCH($B351,'DỮ LIỆU'!$C$3:$C$1052,0))),""))</f>
        <v/>
      </c>
      <c r="D351" s="21" t="str">
        <f aca="false">IF($B351="","",IFERROR(IF(INDEX('DỮ LIỆU'!$E$3:$E$1052,MATCH($B351,'DỮ LIỆU'!$C$3:$C$1052,0))="","",INDEX('DỮ LIỆU'!$E$3:$E$1052,MATCH($B351,'DỮ LIỆU'!$C$3:$C$1052,0))),""))</f>
        <v/>
      </c>
      <c r="E351" s="21" t="str">
        <f aca="false">IF($B351="","",IFERROR(IF(INDEX('DỮ LIỆU'!$F$3:$F$1052,MATCH($B351,'DỮ LIỆU'!$C$3:$C$1052,0))="","",INDEX('DỮ LIỆU'!$F$3:$F$1052,MATCH($B351,'DỮ LIỆU'!$C$3:$C$1052,0))),""))</f>
        <v/>
      </c>
      <c r="F351" s="21" t="str">
        <f aca="false">IF($B351="","",IFERROR(IF(INDEX('DỮ LIỆU'!$G$3:$G$1052,MATCH($B351,'DỮ LIỆU'!$C$3:$C$1052,0))="","",INDEX('DỮ LIỆU'!$G$3:$G$1052,MATCH($B351,'DỮ LIỆU'!$C$3:$C$1052,0))),""))</f>
        <v/>
      </c>
      <c r="G351" s="13" t="str">
        <f aca="false">IF($B351="","",COUNTIFS('DỮ LIỆU'!$C$3:$C$1052,$B351,'DỮ LIỆU'!$J$3:$J$1052,"&gt;0"))</f>
        <v/>
      </c>
      <c r="H351" s="13" t="str">
        <f aca="false">IF($B351="","",SUMIF('DỮ LIỆU'!$C$3:$C$1052,$B351,'DỮ LIỆU'!$J$3:$J$1052))</f>
        <v/>
      </c>
      <c r="I351" s="13" t="str">
        <f aca="false">IF($B351="","",SUMIF('DỮ LIỆU'!$C$3:$C$1052,$B351,'DỮ LIỆU'!$M$3:$M$1052))</f>
        <v/>
      </c>
      <c r="J351" s="13" t="str">
        <f aca="false">IF($B351="","",SUMIF('DỮ LIỆU'!$C$3:$C$1052,$B351,'DỮ LIỆU'!$N$3:$N$1052))</f>
        <v/>
      </c>
      <c r="K351" s="13" t="str">
        <f aca="false">IF($B351="","",SUMIF('DỮ LIỆU'!$C$3:$C$1052,$B351,'DỮ LIỆU'!$O$3:$O$1052))</f>
        <v/>
      </c>
      <c r="L351" s="13" t="str">
        <f aca="false">IF($B351="","",SUMIF('DỮ LIỆU'!$C$3:$C$1052,$B351,'DỮ LIỆU'!$Q$3:$Q$1052))</f>
        <v/>
      </c>
      <c r="M351" s="41" t="str">
        <f aca="false">IF($B351="","",IF(SUMPRODUCT(MAX(('DỮ LIỆU'!$C$3:$C$1052=$B351)*'DỮ LIỆU'!$Z$3:$Z$1052))=0,"",SUMPRODUCT(MAX(('DỮ LIỆU'!$C$3:$C$1052=$B351)*'DỮ LIỆU'!$Z$3:$Z$1052))))</f>
        <v/>
      </c>
      <c r="N351" s="21" t="str">
        <f aca="false">IF($B351="","",IF($G351=0,"Chưa có đơn",IF(COUNTIFS('DỮ LIỆU'!$C$3:$C$1052,$B351,'DỮ LIỆU'!$K$3:$K$1052,"&gt;0")&gt;0,"Có lấy VAT","Không lấy VAT")))</f>
        <v/>
      </c>
    </row>
    <row r="352" customFormat="false" ht="15" hidden="false" customHeight="false" outlineLevel="0" collapsed="false">
      <c r="A352" s="21" t="str">
        <f aca="false">IF($B352="","",347)</f>
        <v/>
      </c>
      <c r="B352" s="21" t="str">
        <f aca="false">IFERROR(INDEX('DỮ LIỆU'!$C$3:$C$1052,MATCH(347,'DỮ LIỆU'!$W$3:$W$1052,0)),"")</f>
        <v/>
      </c>
      <c r="C352" s="21" t="str">
        <f aca="false">IF($B352="","",IFERROR(IF(INDEX('DỮ LIỆU'!$D$3:$D$1052,MATCH($B352,'DỮ LIỆU'!$C$3:$C$1052,0))="","",INDEX('DỮ LIỆU'!$D$3:$D$1052,MATCH($B352,'DỮ LIỆU'!$C$3:$C$1052,0))),""))</f>
        <v/>
      </c>
      <c r="D352" s="21" t="str">
        <f aca="false">IF($B352="","",IFERROR(IF(INDEX('DỮ LIỆU'!$E$3:$E$1052,MATCH($B352,'DỮ LIỆU'!$C$3:$C$1052,0))="","",INDEX('DỮ LIỆU'!$E$3:$E$1052,MATCH($B352,'DỮ LIỆU'!$C$3:$C$1052,0))),""))</f>
        <v/>
      </c>
      <c r="E352" s="21" t="str">
        <f aca="false">IF($B352="","",IFERROR(IF(INDEX('DỮ LIỆU'!$F$3:$F$1052,MATCH($B352,'DỮ LIỆU'!$C$3:$C$1052,0))="","",INDEX('DỮ LIỆU'!$F$3:$F$1052,MATCH($B352,'DỮ LIỆU'!$C$3:$C$1052,0))),""))</f>
        <v/>
      </c>
      <c r="F352" s="21" t="str">
        <f aca="false">IF($B352="","",IFERROR(IF(INDEX('DỮ LIỆU'!$G$3:$G$1052,MATCH($B352,'DỮ LIỆU'!$C$3:$C$1052,0))="","",INDEX('DỮ LIỆU'!$G$3:$G$1052,MATCH($B352,'DỮ LIỆU'!$C$3:$C$1052,0))),""))</f>
        <v/>
      </c>
      <c r="G352" s="13" t="str">
        <f aca="false">IF($B352="","",COUNTIFS('DỮ LIỆU'!$C$3:$C$1052,$B352,'DỮ LIỆU'!$J$3:$J$1052,"&gt;0"))</f>
        <v/>
      </c>
      <c r="H352" s="13" t="str">
        <f aca="false">IF($B352="","",SUMIF('DỮ LIỆU'!$C$3:$C$1052,$B352,'DỮ LIỆU'!$J$3:$J$1052))</f>
        <v/>
      </c>
      <c r="I352" s="13" t="str">
        <f aca="false">IF($B352="","",SUMIF('DỮ LIỆU'!$C$3:$C$1052,$B352,'DỮ LIỆU'!$M$3:$M$1052))</f>
        <v/>
      </c>
      <c r="J352" s="13" t="str">
        <f aca="false">IF($B352="","",SUMIF('DỮ LIỆU'!$C$3:$C$1052,$B352,'DỮ LIỆU'!$N$3:$N$1052))</f>
        <v/>
      </c>
      <c r="K352" s="13" t="str">
        <f aca="false">IF($B352="","",SUMIF('DỮ LIỆU'!$C$3:$C$1052,$B352,'DỮ LIỆU'!$O$3:$O$1052))</f>
        <v/>
      </c>
      <c r="L352" s="13" t="str">
        <f aca="false">IF($B352="","",SUMIF('DỮ LIỆU'!$C$3:$C$1052,$B352,'DỮ LIỆU'!$Q$3:$Q$1052))</f>
        <v/>
      </c>
      <c r="M352" s="41" t="str">
        <f aca="false">IF($B352="","",IF(SUMPRODUCT(MAX(('DỮ LIỆU'!$C$3:$C$1052=$B352)*'DỮ LIỆU'!$Z$3:$Z$1052))=0,"",SUMPRODUCT(MAX(('DỮ LIỆU'!$C$3:$C$1052=$B352)*'DỮ LIỆU'!$Z$3:$Z$1052))))</f>
        <v/>
      </c>
      <c r="N352" s="21" t="str">
        <f aca="false">IF($B352="","",IF($G352=0,"Chưa có đơn",IF(COUNTIFS('DỮ LIỆU'!$C$3:$C$1052,$B352,'DỮ LIỆU'!$K$3:$K$1052,"&gt;0")&gt;0,"Có lấy VAT","Không lấy VAT")))</f>
        <v/>
      </c>
    </row>
    <row r="353" customFormat="false" ht="15" hidden="false" customHeight="false" outlineLevel="0" collapsed="false">
      <c r="A353" s="21" t="str">
        <f aca="false">IF($B353="","",348)</f>
        <v/>
      </c>
      <c r="B353" s="21" t="str">
        <f aca="false">IFERROR(INDEX('DỮ LIỆU'!$C$3:$C$1052,MATCH(348,'DỮ LIỆU'!$W$3:$W$1052,0)),"")</f>
        <v/>
      </c>
      <c r="C353" s="21" t="str">
        <f aca="false">IF($B353="","",IFERROR(IF(INDEX('DỮ LIỆU'!$D$3:$D$1052,MATCH($B353,'DỮ LIỆU'!$C$3:$C$1052,0))="","",INDEX('DỮ LIỆU'!$D$3:$D$1052,MATCH($B353,'DỮ LIỆU'!$C$3:$C$1052,0))),""))</f>
        <v/>
      </c>
      <c r="D353" s="21" t="str">
        <f aca="false">IF($B353="","",IFERROR(IF(INDEX('DỮ LIỆU'!$E$3:$E$1052,MATCH($B353,'DỮ LIỆU'!$C$3:$C$1052,0))="","",INDEX('DỮ LIỆU'!$E$3:$E$1052,MATCH($B353,'DỮ LIỆU'!$C$3:$C$1052,0))),""))</f>
        <v/>
      </c>
      <c r="E353" s="21" t="str">
        <f aca="false">IF($B353="","",IFERROR(IF(INDEX('DỮ LIỆU'!$F$3:$F$1052,MATCH($B353,'DỮ LIỆU'!$C$3:$C$1052,0))="","",INDEX('DỮ LIỆU'!$F$3:$F$1052,MATCH($B353,'DỮ LIỆU'!$C$3:$C$1052,0))),""))</f>
        <v/>
      </c>
      <c r="F353" s="21" t="str">
        <f aca="false">IF($B353="","",IFERROR(IF(INDEX('DỮ LIỆU'!$G$3:$G$1052,MATCH($B353,'DỮ LIỆU'!$C$3:$C$1052,0))="","",INDEX('DỮ LIỆU'!$G$3:$G$1052,MATCH($B353,'DỮ LIỆU'!$C$3:$C$1052,0))),""))</f>
        <v/>
      </c>
      <c r="G353" s="13" t="str">
        <f aca="false">IF($B353="","",COUNTIFS('DỮ LIỆU'!$C$3:$C$1052,$B353,'DỮ LIỆU'!$J$3:$J$1052,"&gt;0"))</f>
        <v/>
      </c>
      <c r="H353" s="13" t="str">
        <f aca="false">IF($B353="","",SUMIF('DỮ LIỆU'!$C$3:$C$1052,$B353,'DỮ LIỆU'!$J$3:$J$1052))</f>
        <v/>
      </c>
      <c r="I353" s="13" t="str">
        <f aca="false">IF($B353="","",SUMIF('DỮ LIỆU'!$C$3:$C$1052,$B353,'DỮ LIỆU'!$M$3:$M$1052))</f>
        <v/>
      </c>
      <c r="J353" s="13" t="str">
        <f aca="false">IF($B353="","",SUMIF('DỮ LIỆU'!$C$3:$C$1052,$B353,'DỮ LIỆU'!$N$3:$N$1052))</f>
        <v/>
      </c>
      <c r="K353" s="13" t="str">
        <f aca="false">IF($B353="","",SUMIF('DỮ LIỆU'!$C$3:$C$1052,$B353,'DỮ LIỆU'!$O$3:$O$1052))</f>
        <v/>
      </c>
      <c r="L353" s="13" t="str">
        <f aca="false">IF($B353="","",SUMIF('DỮ LIỆU'!$C$3:$C$1052,$B353,'DỮ LIỆU'!$Q$3:$Q$1052))</f>
        <v/>
      </c>
      <c r="M353" s="41" t="str">
        <f aca="false">IF($B353="","",IF(SUMPRODUCT(MAX(('DỮ LIỆU'!$C$3:$C$1052=$B353)*'DỮ LIỆU'!$Z$3:$Z$1052))=0,"",SUMPRODUCT(MAX(('DỮ LIỆU'!$C$3:$C$1052=$B353)*'DỮ LIỆU'!$Z$3:$Z$1052))))</f>
        <v/>
      </c>
      <c r="N353" s="21" t="str">
        <f aca="false">IF($B353="","",IF($G353=0,"Chưa có đơn",IF(COUNTIFS('DỮ LIỆU'!$C$3:$C$1052,$B353,'DỮ LIỆU'!$K$3:$K$1052,"&gt;0")&gt;0,"Có lấy VAT","Không lấy VAT")))</f>
        <v/>
      </c>
    </row>
    <row r="354" customFormat="false" ht="15" hidden="false" customHeight="false" outlineLevel="0" collapsed="false">
      <c r="A354" s="21" t="str">
        <f aca="false">IF($B354="","",349)</f>
        <v/>
      </c>
      <c r="B354" s="21" t="str">
        <f aca="false">IFERROR(INDEX('DỮ LIỆU'!$C$3:$C$1052,MATCH(349,'DỮ LIỆU'!$W$3:$W$1052,0)),"")</f>
        <v/>
      </c>
      <c r="C354" s="21" t="str">
        <f aca="false">IF($B354="","",IFERROR(IF(INDEX('DỮ LIỆU'!$D$3:$D$1052,MATCH($B354,'DỮ LIỆU'!$C$3:$C$1052,0))="","",INDEX('DỮ LIỆU'!$D$3:$D$1052,MATCH($B354,'DỮ LIỆU'!$C$3:$C$1052,0))),""))</f>
        <v/>
      </c>
      <c r="D354" s="21" t="str">
        <f aca="false">IF($B354="","",IFERROR(IF(INDEX('DỮ LIỆU'!$E$3:$E$1052,MATCH($B354,'DỮ LIỆU'!$C$3:$C$1052,0))="","",INDEX('DỮ LIỆU'!$E$3:$E$1052,MATCH($B354,'DỮ LIỆU'!$C$3:$C$1052,0))),""))</f>
        <v/>
      </c>
      <c r="E354" s="21" t="str">
        <f aca="false">IF($B354="","",IFERROR(IF(INDEX('DỮ LIỆU'!$F$3:$F$1052,MATCH($B354,'DỮ LIỆU'!$C$3:$C$1052,0))="","",INDEX('DỮ LIỆU'!$F$3:$F$1052,MATCH($B354,'DỮ LIỆU'!$C$3:$C$1052,0))),""))</f>
        <v/>
      </c>
      <c r="F354" s="21" t="str">
        <f aca="false">IF($B354="","",IFERROR(IF(INDEX('DỮ LIỆU'!$G$3:$G$1052,MATCH($B354,'DỮ LIỆU'!$C$3:$C$1052,0))="","",INDEX('DỮ LIỆU'!$G$3:$G$1052,MATCH($B354,'DỮ LIỆU'!$C$3:$C$1052,0))),""))</f>
        <v/>
      </c>
      <c r="G354" s="13" t="str">
        <f aca="false">IF($B354="","",COUNTIFS('DỮ LIỆU'!$C$3:$C$1052,$B354,'DỮ LIỆU'!$J$3:$J$1052,"&gt;0"))</f>
        <v/>
      </c>
      <c r="H354" s="13" t="str">
        <f aca="false">IF($B354="","",SUMIF('DỮ LIỆU'!$C$3:$C$1052,$B354,'DỮ LIỆU'!$J$3:$J$1052))</f>
        <v/>
      </c>
      <c r="I354" s="13" t="str">
        <f aca="false">IF($B354="","",SUMIF('DỮ LIỆU'!$C$3:$C$1052,$B354,'DỮ LIỆU'!$M$3:$M$1052))</f>
        <v/>
      </c>
      <c r="J354" s="13" t="str">
        <f aca="false">IF($B354="","",SUMIF('DỮ LIỆU'!$C$3:$C$1052,$B354,'DỮ LIỆU'!$N$3:$N$1052))</f>
        <v/>
      </c>
      <c r="K354" s="13" t="str">
        <f aca="false">IF($B354="","",SUMIF('DỮ LIỆU'!$C$3:$C$1052,$B354,'DỮ LIỆU'!$O$3:$O$1052))</f>
        <v/>
      </c>
      <c r="L354" s="13" t="str">
        <f aca="false">IF($B354="","",SUMIF('DỮ LIỆU'!$C$3:$C$1052,$B354,'DỮ LIỆU'!$Q$3:$Q$1052))</f>
        <v/>
      </c>
      <c r="M354" s="41" t="str">
        <f aca="false">IF($B354="","",IF(SUMPRODUCT(MAX(('DỮ LIỆU'!$C$3:$C$1052=$B354)*'DỮ LIỆU'!$Z$3:$Z$1052))=0,"",SUMPRODUCT(MAX(('DỮ LIỆU'!$C$3:$C$1052=$B354)*'DỮ LIỆU'!$Z$3:$Z$1052))))</f>
        <v/>
      </c>
      <c r="N354" s="21" t="str">
        <f aca="false">IF($B354="","",IF($G354=0,"Chưa có đơn",IF(COUNTIFS('DỮ LIỆU'!$C$3:$C$1052,$B354,'DỮ LIỆU'!$K$3:$K$1052,"&gt;0")&gt;0,"Có lấy VAT","Không lấy VAT")))</f>
        <v/>
      </c>
    </row>
    <row r="355" customFormat="false" ht="15" hidden="false" customHeight="false" outlineLevel="0" collapsed="false">
      <c r="A355" s="21" t="str">
        <f aca="false">IF($B355="","",350)</f>
        <v/>
      </c>
      <c r="B355" s="21" t="str">
        <f aca="false">IFERROR(INDEX('DỮ LIỆU'!$C$3:$C$1052,MATCH(350,'DỮ LIỆU'!$W$3:$W$1052,0)),"")</f>
        <v/>
      </c>
      <c r="C355" s="21" t="str">
        <f aca="false">IF($B355="","",IFERROR(IF(INDEX('DỮ LIỆU'!$D$3:$D$1052,MATCH($B355,'DỮ LIỆU'!$C$3:$C$1052,0))="","",INDEX('DỮ LIỆU'!$D$3:$D$1052,MATCH($B355,'DỮ LIỆU'!$C$3:$C$1052,0))),""))</f>
        <v/>
      </c>
      <c r="D355" s="21" t="str">
        <f aca="false">IF($B355="","",IFERROR(IF(INDEX('DỮ LIỆU'!$E$3:$E$1052,MATCH($B355,'DỮ LIỆU'!$C$3:$C$1052,0))="","",INDEX('DỮ LIỆU'!$E$3:$E$1052,MATCH($B355,'DỮ LIỆU'!$C$3:$C$1052,0))),""))</f>
        <v/>
      </c>
      <c r="E355" s="21" t="str">
        <f aca="false">IF($B355="","",IFERROR(IF(INDEX('DỮ LIỆU'!$F$3:$F$1052,MATCH($B355,'DỮ LIỆU'!$C$3:$C$1052,0))="","",INDEX('DỮ LIỆU'!$F$3:$F$1052,MATCH($B355,'DỮ LIỆU'!$C$3:$C$1052,0))),""))</f>
        <v/>
      </c>
      <c r="F355" s="21" t="str">
        <f aca="false">IF($B355="","",IFERROR(IF(INDEX('DỮ LIỆU'!$G$3:$G$1052,MATCH($B355,'DỮ LIỆU'!$C$3:$C$1052,0))="","",INDEX('DỮ LIỆU'!$G$3:$G$1052,MATCH($B355,'DỮ LIỆU'!$C$3:$C$1052,0))),""))</f>
        <v/>
      </c>
      <c r="G355" s="13" t="str">
        <f aca="false">IF($B355="","",COUNTIFS('DỮ LIỆU'!$C$3:$C$1052,$B355,'DỮ LIỆU'!$J$3:$J$1052,"&gt;0"))</f>
        <v/>
      </c>
      <c r="H355" s="13" t="str">
        <f aca="false">IF($B355="","",SUMIF('DỮ LIỆU'!$C$3:$C$1052,$B355,'DỮ LIỆU'!$J$3:$J$1052))</f>
        <v/>
      </c>
      <c r="I355" s="13" t="str">
        <f aca="false">IF($B355="","",SUMIF('DỮ LIỆU'!$C$3:$C$1052,$B355,'DỮ LIỆU'!$M$3:$M$1052))</f>
        <v/>
      </c>
      <c r="J355" s="13" t="str">
        <f aca="false">IF($B355="","",SUMIF('DỮ LIỆU'!$C$3:$C$1052,$B355,'DỮ LIỆU'!$N$3:$N$1052))</f>
        <v/>
      </c>
      <c r="K355" s="13" t="str">
        <f aca="false">IF($B355="","",SUMIF('DỮ LIỆU'!$C$3:$C$1052,$B355,'DỮ LIỆU'!$O$3:$O$1052))</f>
        <v/>
      </c>
      <c r="L355" s="13" t="str">
        <f aca="false">IF($B355="","",SUMIF('DỮ LIỆU'!$C$3:$C$1052,$B355,'DỮ LIỆU'!$Q$3:$Q$1052))</f>
        <v/>
      </c>
      <c r="M355" s="41" t="str">
        <f aca="false">IF($B355="","",IF(SUMPRODUCT(MAX(('DỮ LIỆU'!$C$3:$C$1052=$B355)*'DỮ LIỆU'!$Z$3:$Z$1052))=0,"",SUMPRODUCT(MAX(('DỮ LIỆU'!$C$3:$C$1052=$B355)*'DỮ LIỆU'!$Z$3:$Z$1052))))</f>
        <v/>
      </c>
      <c r="N355" s="21" t="str">
        <f aca="false">IF($B355="","",IF($G355=0,"Chưa có đơn",IF(COUNTIFS('DỮ LIỆU'!$C$3:$C$1052,$B355,'DỮ LIỆU'!$K$3:$K$1052,"&gt;0")&gt;0,"Có lấy VAT","Không lấy VAT")))</f>
        <v/>
      </c>
    </row>
  </sheetData>
  <autoFilter ref="A5:N355"/>
  <mergeCells count="2">
    <mergeCell ref="A1:N1"/>
    <mergeCell ref="A2:N2"/>
  </mergeCells>
  <conditionalFormatting sqref="K6:K355">
    <cfRule type="cellIs" priority="2" operator="greaterThan" aboveAverage="0" equalAverage="0" bottom="0" percent="0" rank="0" text="" dxfId="8">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O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2"/>
    <col collapsed="false" customWidth="true" hidden="false" outlineLevel="0" max="4" min="4" style="0" width="28"/>
    <col collapsed="false" customWidth="true" hidden="false" outlineLevel="0" max="5" min="5" style="0" width="32"/>
    <col collapsed="false" customWidth="true" hidden="false" outlineLevel="0" max="6" min="6" style="0" width="16"/>
    <col collapsed="false" customWidth="true" hidden="false" outlineLevel="0" max="7" min="7" style="0" width="28"/>
    <col collapsed="false" customWidth="true" hidden="false" outlineLevel="0" max="8" min="8" style="0" width="10"/>
    <col collapsed="false" customWidth="true" hidden="false" outlineLevel="0" max="9" min="9" style="0" width="18"/>
    <col collapsed="false" customWidth="true" hidden="false" outlineLevel="0" max="10" min="10" style="0" width="10"/>
    <col collapsed="false" customWidth="true" hidden="false" outlineLevel="0" max="11" min="11" style="0" width="14"/>
    <col collapsed="false" customWidth="true" hidden="false" outlineLevel="0" max="12" min="12" style="0" width="17"/>
    <col collapsed="false" customWidth="true" hidden="false" outlineLevel="0" max="13" min="13" style="0" width="16"/>
    <col collapsed="false" customWidth="true" hidden="false" outlineLevel="0" max="14" min="14" style="0" width="15"/>
    <col collapsed="false" customWidth="true" hidden="true" outlineLevel="0" max="15" min="15" style="0" width="13"/>
  </cols>
  <sheetData>
    <row r="1" customFormat="false" ht="27.75" hidden="false" customHeight="true" outlineLevel="0" collapsed="false">
      <c r="A1" s="1" t="s">
        <v>486</v>
      </c>
      <c r="B1" s="1"/>
      <c r="C1" s="1"/>
      <c r="D1" s="1"/>
      <c r="E1" s="1"/>
      <c r="F1" s="1"/>
      <c r="G1" s="1"/>
      <c r="H1" s="1"/>
      <c r="I1" s="1"/>
      <c r="J1" s="1"/>
      <c r="K1" s="1"/>
      <c r="L1" s="1"/>
      <c r="M1" s="1"/>
      <c r="N1" s="1"/>
    </row>
    <row r="2" customFormat="false" ht="18.75" hidden="false" customHeight="true" outlineLevel="0" collapsed="false">
      <c r="A2" s="2" t="s">
        <v>487</v>
      </c>
      <c r="B2" s="2"/>
      <c r="C2" s="2"/>
      <c r="D2" s="2"/>
      <c r="E2" s="2"/>
      <c r="F2" s="2"/>
      <c r="G2" s="2"/>
      <c r="H2" s="2"/>
      <c r="I2" s="2"/>
      <c r="J2" s="2"/>
      <c r="K2" s="2"/>
      <c r="L2" s="2"/>
      <c r="M2" s="2"/>
      <c r="N2" s="2"/>
    </row>
    <row r="3" customFormat="false" ht="15" hidden="false" customHeight="false" outlineLevel="0" collapsed="false">
      <c r="A3" s="44" t="s">
        <v>488</v>
      </c>
      <c r="B3" s="45" t="n">
        <f aca="false">SUMIF('DỮ LIỆU'!$K$3:$K$1052,"&gt;0",'DỮ LIỆU'!$J$3:$J$1052)</f>
        <v>55390000</v>
      </c>
      <c r="C3" s="44" t="s">
        <v>489</v>
      </c>
      <c r="D3" s="46" t="n">
        <f aca="false">SUM('DỮ LIỆU'!$L$3:$L$1052)</f>
        <v>4431200</v>
      </c>
      <c r="E3" s="44" t="s">
        <v>490</v>
      </c>
      <c r="F3" s="45" t="n">
        <f aca="false">SUMIF('DỮ LIỆU'!$K$3:$K$1052,"&gt;0",'DỮ LIỆU'!$M$3:$M$1052)</f>
        <v>59821200</v>
      </c>
    </row>
    <row r="5" customFormat="false" ht="33.75" hidden="false" customHeight="true" outlineLevel="0" collapsed="false">
      <c r="A5" s="10" t="s">
        <v>138</v>
      </c>
      <c r="B5" s="10" t="s">
        <v>421</v>
      </c>
      <c r="C5" s="10" t="s">
        <v>139</v>
      </c>
      <c r="D5" s="10" t="s">
        <v>140</v>
      </c>
      <c r="E5" s="10" t="s">
        <v>422</v>
      </c>
      <c r="F5" s="10" t="s">
        <v>143</v>
      </c>
      <c r="G5" s="10" t="s">
        <v>59</v>
      </c>
      <c r="H5" s="10" t="s">
        <v>145</v>
      </c>
      <c r="I5" s="10" t="s">
        <v>491</v>
      </c>
      <c r="J5" s="10" t="s">
        <v>149</v>
      </c>
      <c r="K5" s="10" t="s">
        <v>123</v>
      </c>
      <c r="L5" s="10" t="s">
        <v>492</v>
      </c>
      <c r="M5" s="10" t="s">
        <v>151</v>
      </c>
      <c r="N5" s="10" t="s">
        <v>152</v>
      </c>
    </row>
    <row r="6" customFormat="false" ht="15" hidden="false" customHeight="false" outlineLevel="0" collapsed="false">
      <c r="A6" s="21" t="n">
        <f aca="false">IF($O6="","",1)</f>
        <v>1</v>
      </c>
      <c r="B6" s="13" t="n">
        <f aca="false">IF($O6="","",INDEX('DỮ LIỆU'!$A$3:$A$1052,$O6))</f>
        <v>7</v>
      </c>
      <c r="C6" s="41" t="n">
        <f aca="false">IF($O6="","",IF(INDEX('DỮ LIỆU'!$B$3:$B$1052,$O6)="","",INDEX('DỮ LIỆU'!$B$3:$B$1052,$O6)))</f>
        <v>46206</v>
      </c>
      <c r="D6" s="21" t="str">
        <f aca="false">IF($O6="","",IF(INDEX('DỮ LIỆU'!$C$3:$C$1052,$O6)="","",INDEX('DỮ LIỆU'!$C$3:$C$1052,$O6)))</f>
        <v>BGB - GẤU TỐT NGHIỆP AMES EL</v>
      </c>
      <c r="E6" s="21" t="str">
        <f aca="false">IF($O6="","",IF(INDEX('DỮ LIỆU'!$E$3:$E$1052,$O6)="","",INDEX('DỮ LIỆU'!$E$3:$E$1052,$O6)))</f>
        <v/>
      </c>
      <c r="F6" s="21" t="str">
        <f aca="false">IF($O6="","",IF(INDEX('DỮ LIỆU'!$F$3:$F$1052,$O6)="","",INDEX('DỮ LIỆU'!$F$3:$F$1052,$O6)))</f>
        <v/>
      </c>
      <c r="G6" s="21" t="str">
        <f aca="false">IF($O6="","",IF(INDEX('DỮ LIỆU'!$H$3:$H$1052,$O6)="","",INDEX('DỮ LIỆU'!$H$3:$H$1052,$O6)))</f>
        <v>gấu nâu tốt nghiệp</v>
      </c>
      <c r="H6" s="13" t="n">
        <f aca="false">IF($O6="","",N(INDEX('DỮ LIỆU'!$I$3:$I$1052,$O6)))</f>
        <v>20</v>
      </c>
      <c r="I6" s="13" t="n">
        <f aca="false">IF($O6="","",N(INDEX('DỮ LIỆU'!$J$3:$J$1052,$O6)))</f>
        <v>1080000</v>
      </c>
      <c r="J6" s="14" t="n">
        <f aca="false">IF($O6="","",N(INDEX('DỮ LIỆU'!$K$3:$K$1052,$O6)))</f>
        <v>0.08</v>
      </c>
      <c r="K6" s="13" t="n">
        <f aca="false">IF($O6="","",N(INDEX('DỮ LIỆU'!$L$3:$L$1052,$O6)))</f>
        <v>86400</v>
      </c>
      <c r="L6" s="13" t="n">
        <f aca="false">IF($O6="","",N(INDEX('DỮ LIỆU'!$M$3:$M$1052,$O6)))</f>
        <v>1166400</v>
      </c>
      <c r="M6" s="13" t="n">
        <f aca="false">IF($O6="","",N(INDEX('DỮ LIỆU'!$N$3:$N$1052,$O6)))</f>
        <v>1166400</v>
      </c>
      <c r="N6" s="13" t="n">
        <f aca="false">IF($O6="","",N(INDEX('DỮ LIỆU'!$O$3:$O$1052,$O6)))</f>
        <v>0</v>
      </c>
      <c r="O6" s="30" t="n">
        <f aca="false">IFERROR(MATCH(1,'DỮ LIỆU'!$U$3:$U$1052,0),"")</f>
        <v>153</v>
      </c>
    </row>
    <row r="7" customFormat="false" ht="15" hidden="false" customHeight="false" outlineLevel="0" collapsed="false">
      <c r="A7" s="21" t="n">
        <f aca="false">IF($O7="","",2)</f>
        <v>2</v>
      </c>
      <c r="B7" s="13" t="n">
        <f aca="false">IF($O7="","",INDEX('DỮ LIỆU'!$A$3:$A$1052,$O7))</f>
        <v>7</v>
      </c>
      <c r="C7" s="41" t="n">
        <f aca="false">IF($O7="","",IF(INDEX('DỮ LIỆU'!$B$3:$B$1052,$O7)="","",INDEX('DỮ LIỆU'!$B$3:$B$1052,$O7)))</f>
        <v>46207</v>
      </c>
      <c r="D7" s="21" t="str">
        <f aca="false">IF($O7="","",IF(INDEX('DỮ LIỆU'!$C$3:$C$1052,$O7)="","",INDEX('DỮ LIỆU'!$C$3:$C$1052,$O7)))</f>
        <v>C Trang Jade</v>
      </c>
      <c r="E7" s="21" t="str">
        <f aca="false">IF($O7="","",IF(INDEX('DỮ LIỆU'!$E$3:$E$1052,$O7)="","",INDEX('DỮ LIỆU'!$E$3:$E$1052,$O7)))</f>
        <v/>
      </c>
      <c r="F7" s="21" t="str">
        <f aca="false">IF($O7="","",IF(INDEX('DỮ LIỆU'!$F$3:$F$1052,$O7)="","",INDEX('DỮ LIỆU'!$F$3:$F$1052,$O7)))</f>
        <v/>
      </c>
      <c r="G7" s="21" t="str">
        <f aca="false">IF($O7="","",IF(INDEX('DỮ LIỆU'!$H$3:$H$1052,$O7)="","",INDEX('DỮ LIỆU'!$H$3:$H$1052,$O7)))</f>
        <v>gấu trắng</v>
      </c>
      <c r="H7" s="13" t="n">
        <f aca="false">IF($O7="","",N(INDEX('DỮ LIỆU'!$I$3:$I$1052,$O7)))</f>
        <v>25</v>
      </c>
      <c r="I7" s="13" t="n">
        <f aca="false">IF($O7="","",N(INDEX('DỮ LIỆU'!$J$3:$J$1052,$O7)))</f>
        <v>1225000</v>
      </c>
      <c r="J7" s="14" t="n">
        <f aca="false">IF($O7="","",N(INDEX('DỮ LIỆU'!$K$3:$K$1052,$O7)))</f>
        <v>0.08</v>
      </c>
      <c r="K7" s="13" t="n">
        <f aca="false">IF($O7="","",N(INDEX('DỮ LIỆU'!$L$3:$L$1052,$O7)))</f>
        <v>98000</v>
      </c>
      <c r="L7" s="13" t="n">
        <f aca="false">IF($O7="","",N(INDEX('DỮ LIỆU'!$M$3:$M$1052,$O7)))</f>
        <v>1323000</v>
      </c>
      <c r="M7" s="13" t="n">
        <f aca="false">IF($O7="","",N(INDEX('DỮ LIỆU'!$N$3:$N$1052,$O7)))</f>
        <v>1323000</v>
      </c>
      <c r="N7" s="13" t="n">
        <f aca="false">IF($O7="","",N(INDEX('DỮ LIỆU'!$O$3:$O$1052,$O7)))</f>
        <v>0</v>
      </c>
      <c r="O7" s="30" t="n">
        <f aca="false">IFERROR(MATCH(2,'DỮ LIỆU'!$U$3:$U$1052,0),"")</f>
        <v>154</v>
      </c>
    </row>
    <row r="8" customFormat="false" ht="15" hidden="false" customHeight="false" outlineLevel="0" collapsed="false">
      <c r="A8" s="21" t="n">
        <f aca="false">IF($O8="","",3)</f>
        <v>3</v>
      </c>
      <c r="B8" s="13" t="n">
        <f aca="false">IF($O8="","",INDEX('DỮ LIỆU'!$A$3:$A$1052,$O8))</f>
        <v>7</v>
      </c>
      <c r="C8" s="41" t="n">
        <f aca="false">IF($O8="","",IF(INDEX('DỮ LIỆU'!$B$3:$B$1052,$O8)="","",INDEX('DỮ LIỆU'!$B$3:$B$1052,$O8)))</f>
        <v>46209</v>
      </c>
      <c r="D8" s="21" t="str">
        <f aca="false">IF($O8="","",IF(INDEX('DỮ LIỆU'!$C$3:$C$1052,$O8)="","",INDEX('DỮ LIỆU'!$C$3:$C$1052,$O8)))</f>
        <v>Tạ Quang Bửu</v>
      </c>
      <c r="E8" s="21" t="str">
        <f aca="false">IF($O8="","",IF(INDEX('DỮ LIỆU'!$E$3:$E$1052,$O8)="","",INDEX('DỮ LIỆU'!$E$3:$E$1052,$O8)))</f>
        <v>TRƯỜNG THCS-THPT TẠ QUANG BỬU</v>
      </c>
      <c r="F8" s="21" t="str">
        <f aca="false">IF($O8="","",IF(INDEX('DỮ LIỆU'!$F$3:$F$1052,$O8)="","",INDEX('DỮ LIỆU'!$F$3:$F$1052,$O8)))</f>
        <v>0106193778</v>
      </c>
      <c r="G8" s="21" t="str">
        <f aca="false">IF($O8="","",IF(INDEX('DỮ LIỆU'!$H$3:$H$1052,$O8)="","",INDEX('DỮ LIỆU'!$H$3:$H$1052,$O8)))</f>
        <v>gấu nâu 25cm</v>
      </c>
      <c r="H8" s="13" t="n">
        <f aca="false">IF($O8="","",N(INDEX('DỮ LIỆU'!$I$3:$I$1052,$O8)))</f>
        <v>25</v>
      </c>
      <c r="I8" s="13" t="n">
        <f aca="false">IF($O8="","",N(INDEX('DỮ LIỆU'!$J$3:$J$1052,$O8)))</f>
        <v>1350000</v>
      </c>
      <c r="J8" s="14" t="n">
        <f aca="false">IF($O8="","",N(INDEX('DỮ LIỆU'!$K$3:$K$1052,$O8)))</f>
        <v>0.08</v>
      </c>
      <c r="K8" s="13" t="n">
        <f aca="false">IF($O8="","",N(INDEX('DỮ LIỆU'!$L$3:$L$1052,$O8)))</f>
        <v>108000</v>
      </c>
      <c r="L8" s="13" t="n">
        <f aca="false">IF($O8="","",N(INDEX('DỮ LIỆU'!$M$3:$M$1052,$O8)))</f>
        <v>1458000</v>
      </c>
      <c r="M8" s="13" t="n">
        <f aca="false">IF($O8="","",N(INDEX('DỮ LIỆU'!$N$3:$N$1052,$O8)))</f>
        <v>1458000</v>
      </c>
      <c r="N8" s="13" t="n">
        <f aca="false">IF($O8="","",N(INDEX('DỮ LIỆU'!$O$3:$O$1052,$O8)))</f>
        <v>0</v>
      </c>
      <c r="O8" s="30" t="n">
        <f aca="false">IFERROR(MATCH(3,'DỮ LIỆU'!$U$3:$U$1052,0),"")</f>
        <v>156</v>
      </c>
    </row>
    <row r="9" customFormat="false" ht="15" hidden="false" customHeight="false" outlineLevel="0" collapsed="false">
      <c r="A9" s="21" t="n">
        <f aca="false">IF($O9="","",4)</f>
        <v>4</v>
      </c>
      <c r="B9" s="13" t="n">
        <f aca="false">IF($O9="","",INDEX('DỮ LIỆU'!$A$3:$A$1052,$O9))</f>
        <v>7</v>
      </c>
      <c r="C9" s="41" t="n">
        <f aca="false">IF($O9="","",IF(INDEX('DỮ LIỆU'!$B$3:$B$1052,$O9)="","",INDEX('DỮ LIỆU'!$B$3:$B$1052,$O9)))</f>
        <v>46211</v>
      </c>
      <c r="D9" s="21" t="str">
        <f aca="false">IF($O9="","",IF(INDEX('DỮ LIỆU'!$C$3:$C$1052,$O9)="","",INDEX('DỮ LIỆU'!$C$3:$C$1052,$O9)))</f>
        <v>NHA KHOA VÂN ANH</v>
      </c>
      <c r="E9" s="21" t="str">
        <f aca="false">IF($O9="","",IF(INDEX('DỮ LIỆU'!$E$3:$E$1052,$O9)="","",INDEX('DỮ LIỆU'!$E$3:$E$1052,$O9)))</f>
        <v>CÔNG TY CỔ PHẦN TPA DENTAL</v>
      </c>
      <c r="F9" s="21" t="str">
        <f aca="false">IF($O9="","",IF(INDEX('DỮ LIỆU'!$F$3:$F$1052,$O9)="","",INDEX('DỮ LIỆU'!$F$3:$F$1052,$O9)))</f>
        <v>0901232239</v>
      </c>
      <c r="G9" s="21" t="str">
        <f aca="false">IF($O9="","",IF(INDEX('DỮ LIỆU'!$H$3:$H$1052,$O9)="","",INDEX('DỮ LIỆU'!$H$3:$H$1052,$O9)))</f>
        <v>gấu nâu ngồi</v>
      </c>
      <c r="H9" s="13" t="n">
        <f aca="false">IF($O9="","",N(INDEX('DỮ LIỆU'!$I$3:$I$1052,$O9)))</f>
        <v>50</v>
      </c>
      <c r="I9" s="13" t="n">
        <f aca="false">IF($O9="","",N(INDEX('DỮ LIỆU'!$J$3:$J$1052,$O9)))</f>
        <v>2500000</v>
      </c>
      <c r="J9" s="14" t="n">
        <f aca="false">IF($O9="","",N(INDEX('DỮ LIỆU'!$K$3:$K$1052,$O9)))</f>
        <v>0.08</v>
      </c>
      <c r="K9" s="13" t="n">
        <f aca="false">IF($O9="","",N(INDEX('DỮ LIỆU'!$L$3:$L$1052,$O9)))</f>
        <v>200000</v>
      </c>
      <c r="L9" s="13" t="n">
        <f aca="false">IF($O9="","",N(INDEX('DỮ LIỆU'!$M$3:$M$1052,$O9)))</f>
        <v>2700000</v>
      </c>
      <c r="M9" s="13" t="n">
        <f aca="false">IF($O9="","",N(INDEX('DỮ LIỆU'!$N$3:$N$1052,$O9)))</f>
        <v>2500000</v>
      </c>
      <c r="N9" s="13" t="n">
        <f aca="false">IF($O9="","",N(INDEX('DỮ LIỆU'!$O$3:$O$1052,$O9)))</f>
        <v>200000</v>
      </c>
      <c r="O9" s="30" t="n">
        <f aca="false">IFERROR(MATCH(4,'DỮ LIỆU'!$U$3:$U$1052,0),"")</f>
        <v>159</v>
      </c>
    </row>
    <row r="10" customFormat="false" ht="15" hidden="false" customHeight="false" outlineLevel="0" collapsed="false">
      <c r="A10" s="21" t="n">
        <f aca="false">IF($O10="","",5)</f>
        <v>5</v>
      </c>
      <c r="B10" s="13" t="n">
        <f aca="false">IF($O10="","",INDEX('DỮ LIỆU'!$A$3:$A$1052,$O10))</f>
        <v>7</v>
      </c>
      <c r="C10" s="41" t="n">
        <f aca="false">IF($O10="","",IF(INDEX('DỮ LIỆU'!$B$3:$B$1052,$O10)="","",INDEX('DỮ LIỆU'!$B$3:$B$1052,$O10)))</f>
        <v>46214</v>
      </c>
      <c r="D10" s="21" t="str">
        <f aca="false">IF($O10="","",IF(INDEX('DỮ LIỆU'!$C$3:$C$1052,$O10)="","",INDEX('DỮ LIỆU'!$C$3:$C$1052,$O10)))</f>
        <v>THCS - THPT HÀ THÀNH</v>
      </c>
      <c r="E10" s="21" t="str">
        <f aca="false">IF($O10="","",IF(INDEX('DỮ LIỆU'!$E$3:$E$1052,$O10)="","",INDEX('DỮ LIỆU'!$E$3:$E$1052,$O10)))</f>
        <v>Trường THCS - THPT Hà Thành</v>
      </c>
      <c r="F10" s="21" t="str">
        <f aca="false">IF($O10="","",IF(INDEX('DỮ LIỆU'!$F$3:$F$1052,$O10)="","",INDEX('DỮ LIỆU'!$F$3:$F$1052,$O10)))</f>
        <v>0104102366</v>
      </c>
      <c r="G10" s="21" t="str">
        <f aca="false">IF($O10="","",IF(INDEX('DỮ LIỆU'!$H$3:$H$1052,$O10)="","",INDEX('DỮ LIỆU'!$H$3:$H$1052,$O10)))</f>
        <v>gấu nâu ngồi</v>
      </c>
      <c r="H10" s="13" t="n">
        <f aca="false">IF($O10="","",N(INDEX('DỮ LIỆU'!$I$3:$I$1052,$O10)))</f>
        <v>400</v>
      </c>
      <c r="I10" s="13" t="n">
        <f aca="false">IF($O10="","",N(INDEX('DỮ LIỆU'!$J$3:$J$1052,$O10)))</f>
        <v>18000000</v>
      </c>
      <c r="J10" s="14" t="n">
        <f aca="false">IF($O10="","",N(INDEX('DỮ LIỆU'!$K$3:$K$1052,$O10)))</f>
        <v>0.08</v>
      </c>
      <c r="K10" s="13" t="n">
        <f aca="false">IF($O10="","",N(INDEX('DỮ LIỆU'!$L$3:$L$1052,$O10)))</f>
        <v>1440000</v>
      </c>
      <c r="L10" s="13" t="n">
        <f aca="false">IF($O10="","",N(INDEX('DỮ LIỆU'!$M$3:$M$1052,$O10)))</f>
        <v>19440000</v>
      </c>
      <c r="M10" s="13" t="n">
        <f aca="false">IF($O10="","",N(INDEX('DỮ LIỆU'!$N$3:$N$1052,$O10)))</f>
        <v>19440000</v>
      </c>
      <c r="N10" s="13" t="n">
        <f aca="false">IF($O10="","",N(INDEX('DỮ LIỆU'!$O$3:$O$1052,$O10)))</f>
        <v>0</v>
      </c>
      <c r="O10" s="30" t="n">
        <f aca="false">IFERROR(MATCH(5,'DỮ LIỆU'!$U$3:$U$1052,0),"")</f>
        <v>163</v>
      </c>
    </row>
    <row r="11" customFormat="false" ht="15" hidden="false" customHeight="false" outlineLevel="0" collapsed="false">
      <c r="A11" s="21" t="n">
        <f aca="false">IF($O11="","",6)</f>
        <v>6</v>
      </c>
      <c r="B11" s="13" t="n">
        <f aca="false">IF($O11="","",INDEX('DỮ LIỆU'!$A$3:$A$1052,$O11))</f>
        <v>7</v>
      </c>
      <c r="C11" s="41" t="n">
        <f aca="false">IF($O11="","",IF(INDEX('DỮ LIỆU'!$B$3:$B$1052,$O11)="","",INDEX('DỮ LIỆU'!$B$3:$B$1052,$O11)))</f>
        <v>46219</v>
      </c>
      <c r="D11" s="21" t="str">
        <f aca="false">IF($O11="","",IF(INDEX('DỮ LIỆU'!$C$3:$C$1052,$O11)="","",INDEX('DỮ LIỆU'!$C$3:$C$1052,$O11)))</f>
        <v>BGB - WEAUTOMATE 90C</v>
      </c>
      <c r="E11" s="21" t="str">
        <f aca="false">IF($O11="","",IF(INDEX('DỮ LIỆU'!$E$3:$E$1052,$O11)="","",INDEX('DỮ LIỆU'!$E$3:$E$1052,$O11)))</f>
        <v/>
      </c>
      <c r="F11" s="21" t="str">
        <f aca="false">IF($O11="","",IF(INDEX('DỮ LIỆU'!$F$3:$F$1052,$O11)="","",INDEX('DỮ LIỆU'!$F$3:$F$1052,$O11)))</f>
        <v/>
      </c>
      <c r="G11" s="21" t="str">
        <f aca="false">IF($O11="","",IF(INDEX('DỮ LIỆU'!$H$3:$H$1052,$O11)="","",INDEX('DỮ LIỆU'!$H$3:$H$1052,$O11)))</f>
        <v>Gấu HT 30cm</v>
      </c>
      <c r="H11" s="13" t="n">
        <f aca="false">IF($O11="","",N(INDEX('DỮ LIỆU'!$I$3:$I$1052,$O11)))</f>
        <v>90</v>
      </c>
      <c r="I11" s="13" t="n">
        <f aca="false">IF($O11="","",N(INDEX('DỮ LIỆU'!$J$3:$J$1052,$O11)))</f>
        <v>5850000</v>
      </c>
      <c r="J11" s="14" t="n">
        <f aca="false">IF($O11="","",N(INDEX('DỮ LIỆU'!$K$3:$K$1052,$O11)))</f>
        <v>0.08</v>
      </c>
      <c r="K11" s="13" t="n">
        <f aca="false">IF($O11="","",N(INDEX('DỮ LIỆU'!$L$3:$L$1052,$O11)))</f>
        <v>468000</v>
      </c>
      <c r="L11" s="13" t="n">
        <f aca="false">IF($O11="","",N(INDEX('DỮ LIỆU'!$M$3:$M$1052,$O11)))</f>
        <v>6318000</v>
      </c>
      <c r="M11" s="13" t="n">
        <f aca="false">IF($O11="","",N(INDEX('DỮ LIỆU'!$N$3:$N$1052,$O11)))</f>
        <v>6318000</v>
      </c>
      <c r="N11" s="13" t="n">
        <f aca="false">IF($O11="","",N(INDEX('DỮ LIỆU'!$O$3:$O$1052,$O11)))</f>
        <v>0</v>
      </c>
      <c r="O11" s="30" t="n">
        <f aca="false">IFERROR(MATCH(6,'DỮ LIỆU'!$U$3:$U$1052,0),"")</f>
        <v>174</v>
      </c>
    </row>
    <row r="12" customFormat="false" ht="15" hidden="false" customHeight="false" outlineLevel="0" collapsed="false">
      <c r="A12" s="21" t="n">
        <f aca="false">IF($O12="","",7)</f>
        <v>7</v>
      </c>
      <c r="B12" s="13" t="n">
        <f aca="false">IF($O12="","",INDEX('DỮ LIỆU'!$A$3:$A$1052,$O12))</f>
        <v>7</v>
      </c>
      <c r="C12" s="41" t="n">
        <f aca="false">IF($O12="","",IF(INDEX('DỮ LIỆU'!$B$3:$B$1052,$O12)="","",INDEX('DỮ LIỆU'!$B$3:$B$1052,$O12)))</f>
        <v>46220</v>
      </c>
      <c r="D12" s="21" t="str">
        <f aca="false">IF($O12="","",IF(INDEX('DỮ LIỆU'!$C$3:$C$1052,$O12)="","",INDEX('DỮ LIỆU'!$C$3:$C$1052,$O12)))</f>
        <v>BGB - VIAEL 100g</v>
      </c>
      <c r="E12" s="21" t="str">
        <f aca="false">IF($O12="","",IF(INDEX('DỮ LIỆU'!$E$3:$E$1052,$O12)="","",INDEX('DỮ LIỆU'!$E$3:$E$1052,$O12)))</f>
        <v/>
      </c>
      <c r="F12" s="21" t="str">
        <f aca="false">IF($O12="","",IF(INDEX('DỮ LIỆU'!$F$3:$F$1052,$O12)="","",INDEX('DỮ LIỆU'!$F$3:$F$1052,$O12)))</f>
        <v/>
      </c>
      <c r="G12" s="21" t="str">
        <f aca="false">IF($O12="","",IF(INDEX('DỮ LIỆU'!$H$3:$H$1052,$O12)="","",INDEX('DỮ LIỆU'!$H$3:$H$1052,$O12)))</f>
        <v>gấu ngồi lông mịn kèm mũ tn</v>
      </c>
      <c r="H12" s="13" t="n">
        <f aca="false">IF($O12="","",N(INDEX('DỮ LIỆU'!$I$3:$I$1052,$O12)))</f>
        <v>100</v>
      </c>
      <c r="I12" s="13" t="n">
        <f aca="false">IF($O12="","",N(INDEX('DỮ LIỆU'!$J$3:$J$1052,$O12)))</f>
        <v>4800000</v>
      </c>
      <c r="J12" s="14" t="n">
        <f aca="false">IF($O12="","",N(INDEX('DỮ LIỆU'!$K$3:$K$1052,$O12)))</f>
        <v>0.08</v>
      </c>
      <c r="K12" s="13" t="n">
        <f aca="false">IF($O12="","",N(INDEX('DỮ LIỆU'!$L$3:$L$1052,$O12)))</f>
        <v>384000</v>
      </c>
      <c r="L12" s="13" t="n">
        <f aca="false">IF($O12="","",N(INDEX('DỮ LIỆU'!$M$3:$M$1052,$O12)))</f>
        <v>5184000</v>
      </c>
      <c r="M12" s="13" t="n">
        <f aca="false">IF($O12="","",N(INDEX('DỮ LIỆU'!$N$3:$N$1052,$O12)))</f>
        <v>2600000</v>
      </c>
      <c r="N12" s="13" t="n">
        <f aca="false">IF($O12="","",N(INDEX('DỮ LIỆU'!$O$3:$O$1052,$O12)))</f>
        <v>2584000</v>
      </c>
      <c r="O12" s="30" t="n">
        <f aca="false">IFERROR(MATCH(7,'DỮ LIỆU'!$U$3:$U$1052,0),"")</f>
        <v>178</v>
      </c>
    </row>
    <row r="13" customFormat="false" ht="15" hidden="false" customHeight="false" outlineLevel="0" collapsed="false">
      <c r="A13" s="21" t="n">
        <f aca="false">IF($O13="","",8)</f>
        <v>8</v>
      </c>
      <c r="B13" s="13" t="n">
        <f aca="false">IF($O13="","",INDEX('DỮ LIỆU'!$A$3:$A$1052,$O13))</f>
        <v>7</v>
      </c>
      <c r="C13" s="41" t="n">
        <f aca="false">IF($O13="","",IF(INDEX('DỮ LIỆU'!$B$3:$B$1052,$O13)="","",INDEX('DỮ LIỆU'!$B$3:$B$1052,$O13)))</f>
        <v>46221</v>
      </c>
      <c r="D13" s="21" t="str">
        <f aca="false">IF($O13="","",IF(INDEX('DỮ LIỆU'!$C$3:$C$1052,$O13)="","",INDEX('DỮ LIỆU'!$C$3:$C$1052,$O13)))</f>
        <v>BGB - GOLF 20C</v>
      </c>
      <c r="E13" s="21" t="str">
        <f aca="false">IF($O13="","",IF(INDEX('DỮ LIỆU'!$E$3:$E$1052,$O13)="","",INDEX('DỮ LIỆU'!$E$3:$E$1052,$O13)))</f>
        <v/>
      </c>
      <c r="F13" s="21" t="str">
        <f aca="false">IF($O13="","",IF(INDEX('DỮ LIỆU'!$F$3:$F$1052,$O13)="","",INDEX('DỮ LIỆU'!$F$3:$F$1052,$O13)))</f>
        <v/>
      </c>
      <c r="G13" s="21" t="str">
        <f aca="false">IF($O13="","",IF(INDEX('DỮ LIỆU'!$H$3:$H$1052,$O13)="","",INDEX('DỮ LIỆU'!$H$3:$H$1052,$O13)))</f>
        <v>gấu trắng</v>
      </c>
      <c r="H13" s="13" t="n">
        <f aca="false">IF($O13="","",N(INDEX('DỮ LIỆU'!$I$3:$I$1052,$O13)))</f>
        <v>20</v>
      </c>
      <c r="I13" s="13" t="n">
        <f aca="false">IF($O13="","",N(INDEX('DỮ LIỆU'!$J$3:$J$1052,$O13)))</f>
        <v>1100000</v>
      </c>
      <c r="J13" s="14" t="n">
        <f aca="false">IF($O13="","",N(INDEX('DỮ LIỆU'!$K$3:$K$1052,$O13)))</f>
        <v>0.08</v>
      </c>
      <c r="K13" s="13" t="n">
        <f aca="false">IF($O13="","",N(INDEX('DỮ LIỆU'!$L$3:$L$1052,$O13)))</f>
        <v>88000</v>
      </c>
      <c r="L13" s="13" t="n">
        <f aca="false">IF($O13="","",N(INDEX('DỮ LIỆU'!$M$3:$M$1052,$O13)))</f>
        <v>1188000</v>
      </c>
      <c r="M13" s="13" t="n">
        <f aca="false">IF($O13="","",N(INDEX('DỮ LIỆU'!$N$3:$N$1052,$O13)))</f>
        <v>1188000</v>
      </c>
      <c r="N13" s="13" t="n">
        <f aca="false">IF($O13="","",N(INDEX('DỮ LIỆU'!$O$3:$O$1052,$O13)))</f>
        <v>0</v>
      </c>
      <c r="O13" s="30" t="n">
        <f aca="false">IFERROR(MATCH(8,'DỮ LIỆU'!$U$3:$U$1052,0),"")</f>
        <v>180</v>
      </c>
    </row>
    <row r="14" customFormat="false" ht="15" hidden="false" customHeight="false" outlineLevel="0" collapsed="false">
      <c r="A14" s="21" t="n">
        <f aca="false">IF($O14="","",9)</f>
        <v>9</v>
      </c>
      <c r="B14" s="13" t="n">
        <f aca="false">IF($O14="","",INDEX('DỮ LIỆU'!$A$3:$A$1052,$O14))</f>
        <v>7</v>
      </c>
      <c r="C14" s="41" t="n">
        <f aca="false">IF($O14="","",IF(INDEX('DỮ LIỆU'!$B$3:$B$1052,$O14)="","",INDEX('DỮ LIỆU'!$B$3:$B$1052,$O14)))</f>
        <v>46223</v>
      </c>
      <c r="D14" s="21" t="str">
        <f aca="false">IF($O14="","",IF(INDEX('DỮ LIỆU'!$C$3:$C$1052,$O14)="","",INDEX('DỮ LIỆU'!$C$3:$C$1052,$O14)))</f>
        <v>BGB - GOLF 20C</v>
      </c>
      <c r="E14" s="21" t="str">
        <f aca="false">IF($O14="","",IF(INDEX('DỮ LIỆU'!$E$3:$E$1052,$O14)="","",INDEX('DỮ LIỆU'!$E$3:$E$1052,$O14)))</f>
        <v/>
      </c>
      <c r="F14" s="21" t="str">
        <f aca="false">IF($O14="","",IF(INDEX('DỮ LIỆU'!$F$3:$F$1052,$O14)="","",INDEX('DỮ LIỆU'!$F$3:$F$1052,$O14)))</f>
        <v/>
      </c>
      <c r="G14" s="21" t="str">
        <f aca="false">IF($O14="","",IF(INDEX('DỮ LIỆU'!$H$3:$H$1052,$O14)="","",INDEX('DỮ LIỆU'!$H$3:$H$1052,$O14)))</f>
        <v>gấu trắng</v>
      </c>
      <c r="H14" s="13" t="n">
        <f aca="false">IF($O14="","",N(INDEX('DỮ LIỆU'!$I$3:$I$1052,$O14)))</f>
        <v>30</v>
      </c>
      <c r="I14" s="13" t="n">
        <f aca="false">IF($O14="","",N(INDEX('DỮ LIỆU'!$J$3:$J$1052,$O14)))</f>
        <v>1560000</v>
      </c>
      <c r="J14" s="14" t="n">
        <f aca="false">IF($O14="","",N(INDEX('DỮ LIỆU'!$K$3:$K$1052,$O14)))</f>
        <v>0.08</v>
      </c>
      <c r="K14" s="13" t="n">
        <f aca="false">IF($O14="","",N(INDEX('DỮ LIỆU'!$L$3:$L$1052,$O14)))</f>
        <v>124800</v>
      </c>
      <c r="L14" s="13" t="n">
        <f aca="false">IF($O14="","",N(INDEX('DỮ LIỆU'!$M$3:$M$1052,$O14)))</f>
        <v>1684800</v>
      </c>
      <c r="M14" s="13" t="n">
        <f aca="false">IF($O14="","",N(INDEX('DỮ LIỆU'!$N$3:$N$1052,$O14)))</f>
        <v>1684800</v>
      </c>
      <c r="N14" s="13" t="n">
        <f aca="false">IF($O14="","",N(INDEX('DỮ LIỆU'!$O$3:$O$1052,$O14)))</f>
        <v>0</v>
      </c>
      <c r="O14" s="30" t="n">
        <f aca="false">IFERROR(MATCH(9,'DỮ LIỆU'!$U$3:$U$1052,0),"")</f>
        <v>181</v>
      </c>
    </row>
    <row r="15" customFormat="false" ht="15" hidden="false" customHeight="false" outlineLevel="0" collapsed="false">
      <c r="A15" s="21" t="n">
        <f aca="false">IF($O15="","",10)</f>
        <v>10</v>
      </c>
      <c r="B15" s="13" t="n">
        <f aca="false">IF($O15="","",INDEX('DỮ LIỆU'!$A$3:$A$1052,$O15))</f>
        <v>7</v>
      </c>
      <c r="C15" s="41" t="n">
        <f aca="false">IF($O15="","",IF(INDEX('DỮ LIỆU'!$B$3:$B$1052,$O15)="","",INDEX('DỮ LIỆU'!$B$3:$B$1052,$O15)))</f>
        <v>46223</v>
      </c>
      <c r="D15" s="21" t="str">
        <f aca="false">IF($O15="","",IF(INDEX('DỮ LIỆU'!$C$3:$C$1052,$O15)="","",INDEX('DỮ LIỆU'!$C$3:$C$1052,$O15)))</f>
        <v>BGB - RAIN 50G</v>
      </c>
      <c r="E15" s="21" t="str">
        <f aca="false">IF($O15="","",IF(INDEX('DỮ LIỆU'!$E$3:$E$1052,$O15)="","",INDEX('DỮ LIỆU'!$E$3:$E$1052,$O15)))</f>
        <v>babinh.ho@gmail.com</v>
      </c>
      <c r="F15" s="21" t="str">
        <f aca="false">IF($O15="","",IF(INDEX('DỮ LIỆU'!$F$3:$F$1052,$O15)="","",INDEX('DỮ LIỆU'!$F$3:$F$1052,$O15)))</f>
        <v>3801300120</v>
      </c>
      <c r="G15" s="21" t="str">
        <f aca="false">IF($O15="","",IF(INDEX('DỮ LIỆU'!$H$3:$H$1052,$O15)="","",INDEX('DỮ LIỆU'!$H$3:$H$1052,$O15)))</f>
        <v>gấu trắng</v>
      </c>
      <c r="H15" s="13" t="n">
        <f aca="false">IF($O15="","",N(INDEX('DỮ LIỆU'!$I$3:$I$1052,$O15)))</f>
        <v>50</v>
      </c>
      <c r="I15" s="13" t="n">
        <f aca="false">IF($O15="","",N(INDEX('DỮ LIỆU'!$J$3:$J$1052,$O15)))</f>
        <v>2400000</v>
      </c>
      <c r="J15" s="14" t="n">
        <f aca="false">IF($O15="","",N(INDEX('DỮ LIỆU'!$K$3:$K$1052,$O15)))</f>
        <v>0.08</v>
      </c>
      <c r="K15" s="13" t="n">
        <f aca="false">IF($O15="","",N(INDEX('DỮ LIỆU'!$L$3:$L$1052,$O15)))</f>
        <v>192000</v>
      </c>
      <c r="L15" s="13" t="n">
        <f aca="false">IF($O15="","",N(INDEX('DỮ LIỆU'!$M$3:$M$1052,$O15)))</f>
        <v>2592000</v>
      </c>
      <c r="M15" s="13" t="n">
        <f aca="false">IF($O15="","",N(INDEX('DỮ LIỆU'!$N$3:$N$1052,$O15)))</f>
        <v>2400000</v>
      </c>
      <c r="N15" s="13" t="n">
        <f aca="false">IF($O15="","",N(INDEX('DỮ LIỆU'!$O$3:$O$1052,$O15)))</f>
        <v>192000</v>
      </c>
      <c r="O15" s="30" t="n">
        <f aca="false">IFERROR(MATCH(10,'DỮ LIỆU'!$U$3:$U$1052,0),"")</f>
        <v>185</v>
      </c>
    </row>
    <row r="16" customFormat="false" ht="15" hidden="false" customHeight="false" outlineLevel="0" collapsed="false">
      <c r="A16" s="21" t="n">
        <f aca="false">IF($O16="","",11)</f>
        <v>11</v>
      </c>
      <c r="B16" s="13" t="n">
        <f aca="false">IF($O16="","",INDEX('DỮ LIỆU'!$A$3:$A$1052,$O16))</f>
        <v>7</v>
      </c>
      <c r="C16" s="41" t="n">
        <f aca="false">IF($O16="","",IF(INDEX('DỮ LIỆU'!$B$3:$B$1052,$O16)="","",INDEX('DỮ LIỆU'!$B$3:$B$1052,$O16)))</f>
        <v>46224</v>
      </c>
      <c r="D16" s="21" t="str">
        <f aca="false">IF($O16="","",IF(INDEX('DỮ LIỆU'!$C$3:$C$1052,$O16)="","",INDEX('DỮ LIỆU'!$C$3:$C$1052,$O16)))</f>
        <v>BGB - HÀO QUANG 30G</v>
      </c>
      <c r="E16" s="21" t="str">
        <f aca="false">IF($O16="","",IF(INDEX('DỮ LIỆU'!$E$3:$E$1052,$O16)="","",INDEX('DỮ LIỆU'!$E$3:$E$1052,$O16)))</f>
        <v>gohaoquang@gmail.com</v>
      </c>
      <c r="F16" s="21" t="str">
        <f aca="false">IF($O16="","",IF(INDEX('DỮ LIỆU'!$F$3:$F$1052,$O16)="","",INDEX('DỮ LIỆU'!$F$3:$F$1052,$O16)))</f>
        <v>3000 380 533</v>
      </c>
      <c r="G16" s="21" t="str">
        <f aca="false">IF($O16="","",IF(INDEX('DỮ LIỆU'!$H$3:$H$1052,$O16)="","",INDEX('DỮ LIỆU'!$H$3:$H$1052,$O16)))</f>
        <v>gấu trắng</v>
      </c>
      <c r="H16" s="13" t="n">
        <f aca="false">IF($O16="","",N(INDEX('DỮ LIỆU'!$I$3:$I$1052,$O16)))</f>
        <v>30</v>
      </c>
      <c r="I16" s="13" t="n">
        <f aca="false">IF($O16="","",N(INDEX('DỮ LIỆU'!$J$3:$J$1052,$O16)))</f>
        <v>1500000</v>
      </c>
      <c r="J16" s="14" t="n">
        <f aca="false">IF($O16="","",N(INDEX('DỮ LIỆU'!$K$3:$K$1052,$O16)))</f>
        <v>0.08</v>
      </c>
      <c r="K16" s="13" t="n">
        <f aca="false">IF($O16="","",N(INDEX('DỮ LIỆU'!$L$3:$L$1052,$O16)))</f>
        <v>120000</v>
      </c>
      <c r="L16" s="13" t="n">
        <f aca="false">IF($O16="","",N(INDEX('DỮ LIỆU'!$M$3:$M$1052,$O16)))</f>
        <v>1620000</v>
      </c>
      <c r="M16" s="13" t="n">
        <f aca="false">IF($O16="","",N(INDEX('DỮ LIỆU'!$N$3:$N$1052,$O16)))</f>
        <v>1620000</v>
      </c>
      <c r="N16" s="13" t="n">
        <f aca="false">IF($O16="","",N(INDEX('DỮ LIỆU'!$O$3:$O$1052,$O16)))</f>
        <v>0</v>
      </c>
      <c r="O16" s="30" t="n">
        <f aca="false">IFERROR(MATCH(11,'DỮ LIỆU'!$U$3:$U$1052,0),"")</f>
        <v>186</v>
      </c>
    </row>
    <row r="17" customFormat="false" ht="15" hidden="false" customHeight="false" outlineLevel="0" collapsed="false">
      <c r="A17" s="21" t="n">
        <f aca="false">IF($O17="","",12)</f>
        <v>12</v>
      </c>
      <c r="B17" s="13" t="n">
        <f aca="false">IF($O17="","",INDEX('DỮ LIỆU'!$A$3:$A$1052,$O17))</f>
        <v>7</v>
      </c>
      <c r="C17" s="41" t="n">
        <f aca="false">IF($O17="","",IF(INDEX('DỮ LIỆU'!$B$3:$B$1052,$O17)="","",INDEX('DỮ LIỆU'!$B$3:$B$1052,$O17)))</f>
        <v>46224</v>
      </c>
      <c r="D17" s="21" t="str">
        <f aca="false">IF($O17="","",IF(INDEX('DỮ LIỆU'!$C$3:$C$1052,$O17)="","",INDEX('DỮ LIỆU'!$C$3:$C$1052,$O17)))</f>
        <v>BGB - KIOT BV 30 GỐI</v>
      </c>
      <c r="E17" s="21" t="str">
        <f aca="false">IF($O17="","",IF(INDEX('DỮ LIỆU'!$E$3:$E$1052,$O17)="","",INDEX('DỮ LIỆU'!$E$3:$E$1052,$O17)))</f>
        <v/>
      </c>
      <c r="F17" s="21" t="str">
        <f aca="false">IF($O17="","",IF(INDEX('DỮ LIỆU'!$F$3:$F$1052,$O17)="","",INDEX('DỮ LIỆU'!$F$3:$F$1052,$O17)))</f>
        <v/>
      </c>
      <c r="G17" s="21" t="str">
        <f aca="false">IF($O17="","",IF(INDEX('DỮ LIỆU'!$H$3:$H$1052,$O17)="","",INDEX('DỮ LIỆU'!$H$3:$H$1052,$O17)))</f>
        <v>gối chữ U</v>
      </c>
      <c r="H17" s="13" t="n">
        <f aca="false">IF($O17="","",N(INDEX('DỮ LIỆU'!$I$3:$I$1052,$O17)))</f>
        <v>30</v>
      </c>
      <c r="I17" s="13" t="n">
        <f aca="false">IF($O17="","",N(INDEX('DỮ LIỆU'!$J$3:$J$1052,$O17)))</f>
        <v>2100000</v>
      </c>
      <c r="J17" s="14" t="n">
        <f aca="false">IF($O17="","",N(INDEX('DỮ LIỆU'!$K$3:$K$1052,$O17)))</f>
        <v>0.08</v>
      </c>
      <c r="K17" s="13" t="n">
        <f aca="false">IF($O17="","",N(INDEX('DỮ LIỆU'!$L$3:$L$1052,$O17)))</f>
        <v>168000</v>
      </c>
      <c r="L17" s="13" t="n">
        <f aca="false">IF($O17="","",N(INDEX('DỮ LIỆU'!$M$3:$M$1052,$O17)))</f>
        <v>2268000</v>
      </c>
      <c r="M17" s="13" t="n">
        <f aca="false">IF($O17="","",N(INDEX('DỮ LIỆU'!$N$3:$N$1052,$O17)))</f>
        <v>2268000</v>
      </c>
      <c r="N17" s="13" t="n">
        <f aca="false">IF($O17="","",N(INDEX('DỮ LIỆU'!$O$3:$O$1052,$O17)))</f>
        <v>0</v>
      </c>
      <c r="O17" s="30" t="n">
        <f aca="false">IFERROR(MATCH(12,'DỮ LIỆU'!$U$3:$U$1052,0),"")</f>
        <v>187</v>
      </c>
    </row>
    <row r="18" customFormat="false" ht="15" hidden="false" customHeight="false" outlineLevel="0" collapsed="false">
      <c r="A18" s="21" t="n">
        <f aca="false">IF($O18="","",13)</f>
        <v>13</v>
      </c>
      <c r="B18" s="13" t="n">
        <f aca="false">IF($O18="","",INDEX('DỮ LIỆU'!$A$3:$A$1052,$O18))</f>
        <v>7</v>
      </c>
      <c r="C18" s="41" t="n">
        <f aca="false">IF($O18="","",IF(INDEX('DỮ LIỆU'!$B$3:$B$1052,$O18)="","",INDEX('DỮ LIỆU'!$B$3:$B$1052,$O18)))</f>
        <v>46233</v>
      </c>
      <c r="D18" s="21" t="str">
        <f aca="false">IF($O18="","",IF(INDEX('DỮ LIỆU'!$C$3:$C$1052,$O18)="","",INDEX('DỮ LIỆU'!$C$3:$C$1052,$O18)))</f>
        <v>chị Nga Vũ</v>
      </c>
      <c r="E18" s="21" t="str">
        <f aca="false">IF($O18="","",IF(INDEX('DỮ LIỆU'!$E$3:$E$1052,$O18)="","",INDEX('DỮ LIỆU'!$E$3:$E$1052,$O18)))</f>
        <v/>
      </c>
      <c r="F18" s="21" t="str">
        <f aca="false">IF($O18="","",IF(INDEX('DỮ LIỆU'!$F$3:$F$1052,$O18)="","",INDEX('DỮ LIỆU'!$F$3:$F$1052,$O18)))</f>
        <v/>
      </c>
      <c r="G18" s="21" t="str">
        <f aca="false">IF($O18="","",IF(INDEX('DỮ LIỆU'!$H$3:$H$1052,$O18)="","",INDEX('DỮ LIỆU'!$H$3:$H$1052,$O18)))</f>
        <v>gấu trắng</v>
      </c>
      <c r="H18" s="13" t="n">
        <f aca="false">IF($O18="","",N(INDEX('DỮ LIỆU'!$I$3:$I$1052,$O18)))</f>
        <v>200</v>
      </c>
      <c r="I18" s="13" t="n">
        <f aca="false">IF($O18="","",N(INDEX('DỮ LIỆU'!$J$3:$J$1052,$O18)))</f>
        <v>9200000</v>
      </c>
      <c r="J18" s="14" t="n">
        <f aca="false">IF($O18="","",N(INDEX('DỮ LIỆU'!$K$3:$K$1052,$O18)))</f>
        <v>0.08</v>
      </c>
      <c r="K18" s="13" t="n">
        <f aca="false">IF($O18="","",N(INDEX('DỮ LIỆU'!$L$3:$L$1052,$O18)))</f>
        <v>736000</v>
      </c>
      <c r="L18" s="13" t="n">
        <f aca="false">IF($O18="","",N(INDEX('DỮ LIỆU'!$M$3:$M$1052,$O18)))</f>
        <v>9936000</v>
      </c>
      <c r="M18" s="13" t="n">
        <f aca="false">IF($O18="","",N(INDEX('DỮ LIỆU'!$N$3:$N$1052,$O18)))</f>
        <v>4968000</v>
      </c>
      <c r="N18" s="13" t="n">
        <f aca="false">IF($O18="","",N(INDEX('DỮ LIỆU'!$O$3:$O$1052,$O18)))</f>
        <v>4968000</v>
      </c>
      <c r="O18" s="30" t="n">
        <f aca="false">IFERROR(MATCH(13,'DỮ LIỆU'!$U$3:$U$1052,0),"")</f>
        <v>203</v>
      </c>
    </row>
    <row r="19" customFormat="false" ht="15" hidden="false" customHeight="false" outlineLevel="0" collapsed="false">
      <c r="A19" s="21" t="n">
        <f aca="false">IF($O19="","",14)</f>
        <v>14</v>
      </c>
      <c r="B19" s="13" t="n">
        <f aca="false">IF($O19="","",INDEX('DỮ LIỆU'!$A$3:$A$1052,$O19))</f>
        <v>7</v>
      </c>
      <c r="C19" s="41" t="n">
        <f aca="false">IF($O19="","",IF(INDEX('DỮ LIỆU'!$B$3:$B$1052,$O19)="","",INDEX('DỮ LIỆU'!$B$3:$B$1052,$O19)))</f>
        <v>46234</v>
      </c>
      <c r="D19" s="21" t="str">
        <f aca="false">IF($O19="","",IF(INDEX('DỮ LIỆU'!$C$3:$C$1052,$O19)="","",INDEX('DỮ LIỆU'!$C$3:$C$1052,$O19)))</f>
        <v>BGB - Dược Hậu Giang 25G TN</v>
      </c>
      <c r="E19" s="21" t="str">
        <f aca="false">IF($O19="","",IF(INDEX('DỮ LIỆU'!$E$3:$E$1052,$O19)="","",INDEX('DỮ LIỆU'!$E$3:$E$1052,$O19)))</f>
        <v/>
      </c>
      <c r="F19" s="21" t="str">
        <f aca="false">IF($O19="","",IF(INDEX('DỮ LIỆU'!$F$3:$F$1052,$O19)="","",INDEX('DỮ LIỆU'!$F$3:$F$1052,$O19)))</f>
        <v/>
      </c>
      <c r="G19" s="21" t="str">
        <f aca="false">IF($O19="","",IF(INDEX('DỮ LIỆU'!$H$3:$H$1052,$O19)="","",INDEX('DỮ LIỆU'!$H$3:$H$1052,$O19)))</f>
        <v>Gấu tốt nghiệp</v>
      </c>
      <c r="H19" s="13" t="n">
        <f aca="false">IF($O19="","",N(INDEX('DỮ LIỆU'!$I$3:$I$1052,$O19)))</f>
        <v>25</v>
      </c>
      <c r="I19" s="13" t="n">
        <f aca="false">IF($O19="","",N(INDEX('DỮ LIỆU'!$J$3:$J$1052,$O19)))</f>
        <v>1500000</v>
      </c>
      <c r="J19" s="14" t="n">
        <f aca="false">IF($O19="","",N(INDEX('DỮ LIỆU'!$K$3:$K$1052,$O19)))</f>
        <v>0.08</v>
      </c>
      <c r="K19" s="13" t="n">
        <f aca="false">IF($O19="","",N(INDEX('DỮ LIỆU'!$L$3:$L$1052,$O19)))</f>
        <v>120000</v>
      </c>
      <c r="L19" s="13" t="n">
        <f aca="false">IF($O19="","",N(INDEX('DỮ LIỆU'!$M$3:$M$1052,$O19)))</f>
        <v>1620000</v>
      </c>
      <c r="M19" s="13" t="n">
        <f aca="false">IF($O19="","",N(INDEX('DỮ LIỆU'!$N$3:$N$1052,$O19)))</f>
        <v>728000</v>
      </c>
      <c r="N19" s="13" t="n">
        <f aca="false">IF($O19="","",N(INDEX('DỮ LIỆU'!$O$3:$O$1052,$O19)))</f>
        <v>892000</v>
      </c>
      <c r="O19" s="30" t="n">
        <f aca="false">IFERROR(MATCH(14,'DỮ LIỆU'!$U$3:$U$1052,0),"")</f>
        <v>204</v>
      </c>
    </row>
    <row r="20" customFormat="false" ht="15" hidden="false" customHeight="false" outlineLevel="0" collapsed="false">
      <c r="A20" s="21" t="n">
        <f aca="false">IF($O20="","",15)</f>
        <v>15</v>
      </c>
      <c r="B20" s="13" t="n">
        <f aca="false">IF($O20="","",INDEX('DỮ LIỆU'!$A$3:$A$1052,$O20))</f>
        <v>8</v>
      </c>
      <c r="C20" s="41" t="n">
        <f aca="false">IF($O20="","",IF(INDEX('DỮ LIỆU'!$B$3:$B$1052,$O20)="","",INDEX('DỮ LIỆU'!$B$3:$B$1052,$O20)))</f>
        <v>46235</v>
      </c>
      <c r="D20" s="21" t="str">
        <f aca="false">IF($O20="","",IF(INDEX('DỮ LIỆU'!$C$3:$C$1052,$O20)="","",INDEX('DỮ LIỆU'!$C$3:$C$1052,$O20)))</f>
        <v>chị Trang Jade</v>
      </c>
      <c r="E20" s="21" t="str">
        <f aca="false">IF($O20="","",IF(INDEX('DỮ LIỆU'!$E$3:$E$1052,$O20)="","",INDEX('DỮ LIỆU'!$E$3:$E$1052,$O20)))</f>
        <v/>
      </c>
      <c r="F20" s="21" t="str">
        <f aca="false">IF($O20="","",IF(INDEX('DỮ LIỆU'!$F$3:$F$1052,$O20)="","",INDEX('DỮ LIỆU'!$F$3:$F$1052,$O20)))</f>
        <v>3500780970</v>
      </c>
      <c r="G20" s="21" t="str">
        <f aca="false">IF($O20="","",IF(INDEX('DỮ LIỆU'!$H$3:$H$1052,$O20)="","",INDEX('DỮ LIỆU'!$H$3:$H$1052,$O20)))</f>
        <v>gấu trắng</v>
      </c>
      <c r="H20" s="13" t="n">
        <f aca="false">IF($O20="","",N(INDEX('DỮ LIỆU'!$I$3:$I$1052,$O20)))</f>
        <v>25</v>
      </c>
      <c r="I20" s="13" t="n">
        <f aca="false">IF($O20="","",N(INDEX('DỮ LIỆU'!$J$3:$J$1052,$O20)))</f>
        <v>1225000</v>
      </c>
      <c r="J20" s="14" t="n">
        <f aca="false">IF($O20="","",N(INDEX('DỮ LIỆU'!$K$3:$K$1052,$O20)))</f>
        <v>0.08</v>
      </c>
      <c r="K20" s="13" t="n">
        <f aca="false">IF($O20="","",N(INDEX('DỮ LIỆU'!$L$3:$L$1052,$O20)))</f>
        <v>98000</v>
      </c>
      <c r="L20" s="13" t="n">
        <f aca="false">IF($O20="","",N(INDEX('DỮ LIỆU'!$M$3:$M$1052,$O20)))</f>
        <v>1323000</v>
      </c>
      <c r="M20" s="13" t="n">
        <f aca="false">IF($O20="","",N(INDEX('DỮ LIỆU'!$N$3:$N$1052,$O20)))</f>
        <v>662000</v>
      </c>
      <c r="N20" s="13" t="n">
        <f aca="false">IF($O20="","",N(INDEX('DỮ LIỆU'!$O$3:$O$1052,$O20)))</f>
        <v>661000</v>
      </c>
      <c r="O20" s="30" t="n">
        <f aca="false">IFERROR(MATCH(15,'DỮ LIỆU'!$U$3:$U$1052,0),"")</f>
        <v>302</v>
      </c>
    </row>
    <row r="21" customFormat="false" ht="15" hidden="false" customHeight="false" outlineLevel="0" collapsed="false">
      <c r="A21" s="21" t="str">
        <f aca="false">IF($O21="","",16)</f>
        <v/>
      </c>
      <c r="B21" s="13" t="str">
        <f aca="false">IF($O21="","",INDEX('DỮ LIỆU'!$A$3:$A$1052,$O21))</f>
        <v/>
      </c>
      <c r="C21" s="41" t="str">
        <f aca="false">IF($O21="","",IF(INDEX('DỮ LIỆU'!$B$3:$B$1052,$O21)="","",INDEX('DỮ LIỆU'!$B$3:$B$1052,$O21)))</f>
        <v/>
      </c>
      <c r="D21" s="21" t="str">
        <f aca="false">IF($O21="","",IF(INDEX('DỮ LIỆU'!$C$3:$C$1052,$O21)="","",INDEX('DỮ LIỆU'!$C$3:$C$1052,$O21)))</f>
        <v/>
      </c>
      <c r="E21" s="21" t="str">
        <f aca="false">IF($O21="","",IF(INDEX('DỮ LIỆU'!$E$3:$E$1052,$O21)="","",INDEX('DỮ LIỆU'!$E$3:$E$1052,$O21)))</f>
        <v/>
      </c>
      <c r="F21" s="21" t="str">
        <f aca="false">IF($O21="","",IF(INDEX('DỮ LIỆU'!$F$3:$F$1052,$O21)="","",INDEX('DỮ LIỆU'!$F$3:$F$1052,$O21)))</f>
        <v/>
      </c>
      <c r="G21" s="21" t="str">
        <f aca="false">IF($O21="","",IF(INDEX('DỮ LIỆU'!$H$3:$H$1052,$O21)="","",INDEX('DỮ LIỆU'!$H$3:$H$1052,$O21)))</f>
        <v/>
      </c>
      <c r="H21" s="13" t="str">
        <f aca="false">IF($O21="","",N(INDEX('DỮ LIỆU'!$I$3:$I$1052,$O21)))</f>
        <v/>
      </c>
      <c r="I21" s="13" t="str">
        <f aca="false">IF($O21="","",N(INDEX('DỮ LIỆU'!$J$3:$J$1052,$O21)))</f>
        <v/>
      </c>
      <c r="J21" s="14" t="str">
        <f aca="false">IF($O21="","",N(INDEX('DỮ LIỆU'!$K$3:$K$1052,$O21)))</f>
        <v/>
      </c>
      <c r="K21" s="13" t="str">
        <f aca="false">IF($O21="","",N(INDEX('DỮ LIỆU'!$L$3:$L$1052,$O21)))</f>
        <v/>
      </c>
      <c r="L21" s="13" t="str">
        <f aca="false">IF($O21="","",N(INDEX('DỮ LIỆU'!$M$3:$M$1052,$O21)))</f>
        <v/>
      </c>
      <c r="M21" s="13" t="str">
        <f aca="false">IF($O21="","",N(INDEX('DỮ LIỆU'!$N$3:$N$1052,$O21)))</f>
        <v/>
      </c>
      <c r="N21" s="13" t="str">
        <f aca="false">IF($O21="","",N(INDEX('DỮ LIỆU'!$O$3:$O$1052,$O21)))</f>
        <v/>
      </c>
      <c r="O21" s="0" t="str">
        <f aca="false">IFERROR(MATCH(16,'DỮ LIỆU'!$U$3:$U$1052,0),"")</f>
        <v/>
      </c>
    </row>
    <row r="22" customFormat="false" ht="15" hidden="false" customHeight="false" outlineLevel="0" collapsed="false">
      <c r="A22" s="21" t="str">
        <f aca="false">IF($O22="","",17)</f>
        <v/>
      </c>
      <c r="B22" s="13" t="str">
        <f aca="false">IF($O22="","",INDEX('DỮ LIỆU'!$A$3:$A$1052,$O22))</f>
        <v/>
      </c>
      <c r="C22" s="41" t="str">
        <f aca="false">IF($O22="","",IF(INDEX('DỮ LIỆU'!$B$3:$B$1052,$O22)="","",INDEX('DỮ LIỆU'!$B$3:$B$1052,$O22)))</f>
        <v/>
      </c>
      <c r="D22" s="21" t="str">
        <f aca="false">IF($O22="","",IF(INDEX('DỮ LIỆU'!$C$3:$C$1052,$O22)="","",INDEX('DỮ LIỆU'!$C$3:$C$1052,$O22)))</f>
        <v/>
      </c>
      <c r="E22" s="21" t="str">
        <f aca="false">IF($O22="","",IF(INDEX('DỮ LIỆU'!$E$3:$E$1052,$O22)="","",INDEX('DỮ LIỆU'!$E$3:$E$1052,$O22)))</f>
        <v/>
      </c>
      <c r="F22" s="21" t="str">
        <f aca="false">IF($O22="","",IF(INDEX('DỮ LIỆU'!$F$3:$F$1052,$O22)="","",INDEX('DỮ LIỆU'!$F$3:$F$1052,$O22)))</f>
        <v/>
      </c>
      <c r="G22" s="21" t="str">
        <f aca="false">IF($O22="","",IF(INDEX('DỮ LIỆU'!$H$3:$H$1052,$O22)="","",INDEX('DỮ LIỆU'!$H$3:$H$1052,$O22)))</f>
        <v/>
      </c>
      <c r="H22" s="13" t="str">
        <f aca="false">IF($O22="","",N(INDEX('DỮ LIỆU'!$I$3:$I$1052,$O22)))</f>
        <v/>
      </c>
      <c r="I22" s="13" t="str">
        <f aca="false">IF($O22="","",N(INDEX('DỮ LIỆU'!$J$3:$J$1052,$O22)))</f>
        <v/>
      </c>
      <c r="J22" s="14" t="str">
        <f aca="false">IF($O22="","",N(INDEX('DỮ LIỆU'!$K$3:$K$1052,$O22)))</f>
        <v/>
      </c>
      <c r="K22" s="13" t="str">
        <f aca="false">IF($O22="","",N(INDEX('DỮ LIỆU'!$L$3:$L$1052,$O22)))</f>
        <v/>
      </c>
      <c r="L22" s="13" t="str">
        <f aca="false">IF($O22="","",N(INDEX('DỮ LIỆU'!$M$3:$M$1052,$O22)))</f>
        <v/>
      </c>
      <c r="M22" s="13" t="str">
        <f aca="false">IF($O22="","",N(INDEX('DỮ LIỆU'!$N$3:$N$1052,$O22)))</f>
        <v/>
      </c>
      <c r="N22" s="13" t="str">
        <f aca="false">IF($O22="","",N(INDEX('DỮ LIỆU'!$O$3:$O$1052,$O22)))</f>
        <v/>
      </c>
      <c r="O22" s="0" t="str">
        <f aca="false">IFERROR(MATCH(17,'DỮ LIỆU'!$U$3:$U$1052,0),"")</f>
        <v/>
      </c>
    </row>
    <row r="23" customFormat="false" ht="15" hidden="false" customHeight="false" outlineLevel="0" collapsed="false">
      <c r="A23" s="21" t="str">
        <f aca="false">IF($O23="","",18)</f>
        <v/>
      </c>
      <c r="B23" s="13" t="str">
        <f aca="false">IF($O23="","",INDEX('DỮ LIỆU'!$A$3:$A$1052,$O23))</f>
        <v/>
      </c>
      <c r="C23" s="41" t="str">
        <f aca="false">IF($O23="","",IF(INDEX('DỮ LIỆU'!$B$3:$B$1052,$O23)="","",INDEX('DỮ LIỆU'!$B$3:$B$1052,$O23)))</f>
        <v/>
      </c>
      <c r="D23" s="21" t="str">
        <f aca="false">IF($O23="","",IF(INDEX('DỮ LIỆU'!$C$3:$C$1052,$O23)="","",INDEX('DỮ LIỆU'!$C$3:$C$1052,$O23)))</f>
        <v/>
      </c>
      <c r="E23" s="21" t="str">
        <f aca="false">IF($O23="","",IF(INDEX('DỮ LIỆU'!$E$3:$E$1052,$O23)="","",INDEX('DỮ LIỆU'!$E$3:$E$1052,$O23)))</f>
        <v/>
      </c>
      <c r="F23" s="21" t="str">
        <f aca="false">IF($O23="","",IF(INDEX('DỮ LIỆU'!$F$3:$F$1052,$O23)="","",INDEX('DỮ LIỆU'!$F$3:$F$1052,$O23)))</f>
        <v/>
      </c>
      <c r="G23" s="21" t="str">
        <f aca="false">IF($O23="","",IF(INDEX('DỮ LIỆU'!$H$3:$H$1052,$O23)="","",INDEX('DỮ LIỆU'!$H$3:$H$1052,$O23)))</f>
        <v/>
      </c>
      <c r="H23" s="13" t="str">
        <f aca="false">IF($O23="","",N(INDEX('DỮ LIỆU'!$I$3:$I$1052,$O23)))</f>
        <v/>
      </c>
      <c r="I23" s="13" t="str">
        <f aca="false">IF($O23="","",N(INDEX('DỮ LIỆU'!$J$3:$J$1052,$O23)))</f>
        <v/>
      </c>
      <c r="J23" s="14" t="str">
        <f aca="false">IF($O23="","",N(INDEX('DỮ LIỆU'!$K$3:$K$1052,$O23)))</f>
        <v/>
      </c>
      <c r="K23" s="13" t="str">
        <f aca="false">IF($O23="","",N(INDEX('DỮ LIỆU'!$L$3:$L$1052,$O23)))</f>
        <v/>
      </c>
      <c r="L23" s="13" t="str">
        <f aca="false">IF($O23="","",N(INDEX('DỮ LIỆU'!$M$3:$M$1052,$O23)))</f>
        <v/>
      </c>
      <c r="M23" s="13" t="str">
        <f aca="false">IF($O23="","",N(INDEX('DỮ LIỆU'!$N$3:$N$1052,$O23)))</f>
        <v/>
      </c>
      <c r="N23" s="13" t="str">
        <f aca="false">IF($O23="","",N(INDEX('DỮ LIỆU'!$O$3:$O$1052,$O23)))</f>
        <v/>
      </c>
      <c r="O23" s="0" t="str">
        <f aca="false">IFERROR(MATCH(18,'DỮ LIỆU'!$U$3:$U$1052,0),"")</f>
        <v/>
      </c>
    </row>
    <row r="24" customFormat="false" ht="15" hidden="false" customHeight="false" outlineLevel="0" collapsed="false">
      <c r="A24" s="21" t="str">
        <f aca="false">IF($O24="","",19)</f>
        <v/>
      </c>
      <c r="B24" s="13" t="str">
        <f aca="false">IF($O24="","",INDEX('DỮ LIỆU'!$A$3:$A$1052,$O24))</f>
        <v/>
      </c>
      <c r="C24" s="41" t="str">
        <f aca="false">IF($O24="","",IF(INDEX('DỮ LIỆU'!$B$3:$B$1052,$O24)="","",INDEX('DỮ LIỆU'!$B$3:$B$1052,$O24)))</f>
        <v/>
      </c>
      <c r="D24" s="21" t="str">
        <f aca="false">IF($O24="","",IF(INDEX('DỮ LIỆU'!$C$3:$C$1052,$O24)="","",INDEX('DỮ LIỆU'!$C$3:$C$1052,$O24)))</f>
        <v/>
      </c>
      <c r="E24" s="21" t="str">
        <f aca="false">IF($O24="","",IF(INDEX('DỮ LIỆU'!$E$3:$E$1052,$O24)="","",INDEX('DỮ LIỆU'!$E$3:$E$1052,$O24)))</f>
        <v/>
      </c>
      <c r="F24" s="21" t="str">
        <f aca="false">IF($O24="","",IF(INDEX('DỮ LIỆU'!$F$3:$F$1052,$O24)="","",INDEX('DỮ LIỆU'!$F$3:$F$1052,$O24)))</f>
        <v/>
      </c>
      <c r="G24" s="21" t="str">
        <f aca="false">IF($O24="","",IF(INDEX('DỮ LIỆU'!$H$3:$H$1052,$O24)="","",INDEX('DỮ LIỆU'!$H$3:$H$1052,$O24)))</f>
        <v/>
      </c>
      <c r="H24" s="13" t="str">
        <f aca="false">IF($O24="","",N(INDEX('DỮ LIỆU'!$I$3:$I$1052,$O24)))</f>
        <v/>
      </c>
      <c r="I24" s="13" t="str">
        <f aca="false">IF($O24="","",N(INDEX('DỮ LIỆU'!$J$3:$J$1052,$O24)))</f>
        <v/>
      </c>
      <c r="J24" s="14" t="str">
        <f aca="false">IF($O24="","",N(INDEX('DỮ LIỆU'!$K$3:$K$1052,$O24)))</f>
        <v/>
      </c>
      <c r="K24" s="13" t="str">
        <f aca="false">IF($O24="","",N(INDEX('DỮ LIỆU'!$L$3:$L$1052,$O24)))</f>
        <v/>
      </c>
      <c r="L24" s="13" t="str">
        <f aca="false">IF($O24="","",N(INDEX('DỮ LIỆU'!$M$3:$M$1052,$O24)))</f>
        <v/>
      </c>
      <c r="M24" s="13" t="str">
        <f aca="false">IF($O24="","",N(INDEX('DỮ LIỆU'!$N$3:$N$1052,$O24)))</f>
        <v/>
      </c>
      <c r="N24" s="13" t="str">
        <f aca="false">IF($O24="","",N(INDEX('DỮ LIỆU'!$O$3:$O$1052,$O24)))</f>
        <v/>
      </c>
      <c r="O24" s="0" t="str">
        <f aca="false">IFERROR(MATCH(19,'DỮ LIỆU'!$U$3:$U$1052,0),"")</f>
        <v/>
      </c>
    </row>
    <row r="25" customFormat="false" ht="15" hidden="false" customHeight="false" outlineLevel="0" collapsed="false">
      <c r="A25" s="21" t="str">
        <f aca="false">IF($O25="","",20)</f>
        <v/>
      </c>
      <c r="B25" s="13" t="str">
        <f aca="false">IF($O25="","",INDEX('DỮ LIỆU'!$A$3:$A$1052,$O25))</f>
        <v/>
      </c>
      <c r="C25" s="41" t="str">
        <f aca="false">IF($O25="","",IF(INDEX('DỮ LIỆU'!$B$3:$B$1052,$O25)="","",INDEX('DỮ LIỆU'!$B$3:$B$1052,$O25)))</f>
        <v/>
      </c>
      <c r="D25" s="21" t="str">
        <f aca="false">IF($O25="","",IF(INDEX('DỮ LIỆU'!$C$3:$C$1052,$O25)="","",INDEX('DỮ LIỆU'!$C$3:$C$1052,$O25)))</f>
        <v/>
      </c>
      <c r="E25" s="21" t="str">
        <f aca="false">IF($O25="","",IF(INDEX('DỮ LIỆU'!$E$3:$E$1052,$O25)="","",INDEX('DỮ LIỆU'!$E$3:$E$1052,$O25)))</f>
        <v/>
      </c>
      <c r="F25" s="21" t="str">
        <f aca="false">IF($O25="","",IF(INDEX('DỮ LIỆU'!$F$3:$F$1052,$O25)="","",INDEX('DỮ LIỆU'!$F$3:$F$1052,$O25)))</f>
        <v/>
      </c>
      <c r="G25" s="21" t="str">
        <f aca="false">IF($O25="","",IF(INDEX('DỮ LIỆU'!$H$3:$H$1052,$O25)="","",INDEX('DỮ LIỆU'!$H$3:$H$1052,$O25)))</f>
        <v/>
      </c>
      <c r="H25" s="13" t="str">
        <f aca="false">IF($O25="","",N(INDEX('DỮ LIỆU'!$I$3:$I$1052,$O25)))</f>
        <v/>
      </c>
      <c r="I25" s="13" t="str">
        <f aca="false">IF($O25="","",N(INDEX('DỮ LIỆU'!$J$3:$J$1052,$O25)))</f>
        <v/>
      </c>
      <c r="J25" s="14" t="str">
        <f aca="false">IF($O25="","",N(INDEX('DỮ LIỆU'!$K$3:$K$1052,$O25)))</f>
        <v/>
      </c>
      <c r="K25" s="13" t="str">
        <f aca="false">IF($O25="","",N(INDEX('DỮ LIỆU'!$L$3:$L$1052,$O25)))</f>
        <v/>
      </c>
      <c r="L25" s="13" t="str">
        <f aca="false">IF($O25="","",N(INDEX('DỮ LIỆU'!$M$3:$M$1052,$O25)))</f>
        <v/>
      </c>
      <c r="M25" s="13" t="str">
        <f aca="false">IF($O25="","",N(INDEX('DỮ LIỆU'!$N$3:$N$1052,$O25)))</f>
        <v/>
      </c>
      <c r="N25" s="13" t="str">
        <f aca="false">IF($O25="","",N(INDEX('DỮ LIỆU'!$O$3:$O$1052,$O25)))</f>
        <v/>
      </c>
      <c r="O25" s="0" t="str">
        <f aca="false">IFERROR(MATCH(20,'DỮ LIỆU'!$U$3:$U$1052,0),"")</f>
        <v/>
      </c>
    </row>
    <row r="26" customFormat="false" ht="15" hidden="false" customHeight="false" outlineLevel="0" collapsed="false">
      <c r="A26" s="21" t="str">
        <f aca="false">IF($O26="","",21)</f>
        <v/>
      </c>
      <c r="B26" s="13" t="str">
        <f aca="false">IF($O26="","",INDEX('DỮ LIỆU'!$A$3:$A$1052,$O26))</f>
        <v/>
      </c>
      <c r="C26" s="41" t="str">
        <f aca="false">IF($O26="","",IF(INDEX('DỮ LIỆU'!$B$3:$B$1052,$O26)="","",INDEX('DỮ LIỆU'!$B$3:$B$1052,$O26)))</f>
        <v/>
      </c>
      <c r="D26" s="21" t="str">
        <f aca="false">IF($O26="","",IF(INDEX('DỮ LIỆU'!$C$3:$C$1052,$O26)="","",INDEX('DỮ LIỆU'!$C$3:$C$1052,$O26)))</f>
        <v/>
      </c>
      <c r="E26" s="21" t="str">
        <f aca="false">IF($O26="","",IF(INDEX('DỮ LIỆU'!$E$3:$E$1052,$O26)="","",INDEX('DỮ LIỆU'!$E$3:$E$1052,$O26)))</f>
        <v/>
      </c>
      <c r="F26" s="21" t="str">
        <f aca="false">IF($O26="","",IF(INDEX('DỮ LIỆU'!$F$3:$F$1052,$O26)="","",INDEX('DỮ LIỆU'!$F$3:$F$1052,$O26)))</f>
        <v/>
      </c>
      <c r="G26" s="21" t="str">
        <f aca="false">IF($O26="","",IF(INDEX('DỮ LIỆU'!$H$3:$H$1052,$O26)="","",INDEX('DỮ LIỆU'!$H$3:$H$1052,$O26)))</f>
        <v/>
      </c>
      <c r="H26" s="13" t="str">
        <f aca="false">IF($O26="","",N(INDEX('DỮ LIỆU'!$I$3:$I$1052,$O26)))</f>
        <v/>
      </c>
      <c r="I26" s="13" t="str">
        <f aca="false">IF($O26="","",N(INDEX('DỮ LIỆU'!$J$3:$J$1052,$O26)))</f>
        <v/>
      </c>
      <c r="J26" s="14" t="str">
        <f aca="false">IF($O26="","",N(INDEX('DỮ LIỆU'!$K$3:$K$1052,$O26)))</f>
        <v/>
      </c>
      <c r="K26" s="13" t="str">
        <f aca="false">IF($O26="","",N(INDEX('DỮ LIỆU'!$L$3:$L$1052,$O26)))</f>
        <v/>
      </c>
      <c r="L26" s="13" t="str">
        <f aca="false">IF($O26="","",N(INDEX('DỮ LIỆU'!$M$3:$M$1052,$O26)))</f>
        <v/>
      </c>
      <c r="M26" s="13" t="str">
        <f aca="false">IF($O26="","",N(INDEX('DỮ LIỆU'!$N$3:$N$1052,$O26)))</f>
        <v/>
      </c>
      <c r="N26" s="13" t="str">
        <f aca="false">IF($O26="","",N(INDEX('DỮ LIỆU'!$O$3:$O$1052,$O26)))</f>
        <v/>
      </c>
      <c r="O26" s="0" t="str">
        <f aca="false">IFERROR(MATCH(21,'DỮ LIỆU'!$U$3:$U$1052,0),"")</f>
        <v/>
      </c>
    </row>
    <row r="27" customFormat="false" ht="15" hidden="false" customHeight="false" outlineLevel="0" collapsed="false">
      <c r="A27" s="21" t="str">
        <f aca="false">IF($O27="","",22)</f>
        <v/>
      </c>
      <c r="B27" s="13" t="str">
        <f aca="false">IF($O27="","",INDEX('DỮ LIỆU'!$A$3:$A$1052,$O27))</f>
        <v/>
      </c>
      <c r="C27" s="41" t="str">
        <f aca="false">IF($O27="","",IF(INDEX('DỮ LIỆU'!$B$3:$B$1052,$O27)="","",INDEX('DỮ LIỆU'!$B$3:$B$1052,$O27)))</f>
        <v/>
      </c>
      <c r="D27" s="21" t="str">
        <f aca="false">IF($O27="","",IF(INDEX('DỮ LIỆU'!$C$3:$C$1052,$O27)="","",INDEX('DỮ LIỆU'!$C$3:$C$1052,$O27)))</f>
        <v/>
      </c>
      <c r="E27" s="21" t="str">
        <f aca="false">IF($O27="","",IF(INDEX('DỮ LIỆU'!$E$3:$E$1052,$O27)="","",INDEX('DỮ LIỆU'!$E$3:$E$1052,$O27)))</f>
        <v/>
      </c>
      <c r="F27" s="21" t="str">
        <f aca="false">IF($O27="","",IF(INDEX('DỮ LIỆU'!$F$3:$F$1052,$O27)="","",INDEX('DỮ LIỆU'!$F$3:$F$1052,$O27)))</f>
        <v/>
      </c>
      <c r="G27" s="21" t="str">
        <f aca="false">IF($O27="","",IF(INDEX('DỮ LIỆU'!$H$3:$H$1052,$O27)="","",INDEX('DỮ LIỆU'!$H$3:$H$1052,$O27)))</f>
        <v/>
      </c>
      <c r="H27" s="13" t="str">
        <f aca="false">IF($O27="","",N(INDEX('DỮ LIỆU'!$I$3:$I$1052,$O27)))</f>
        <v/>
      </c>
      <c r="I27" s="13" t="str">
        <f aca="false">IF($O27="","",N(INDEX('DỮ LIỆU'!$J$3:$J$1052,$O27)))</f>
        <v/>
      </c>
      <c r="J27" s="14" t="str">
        <f aca="false">IF($O27="","",N(INDEX('DỮ LIỆU'!$K$3:$K$1052,$O27)))</f>
        <v/>
      </c>
      <c r="K27" s="13" t="str">
        <f aca="false">IF($O27="","",N(INDEX('DỮ LIỆU'!$L$3:$L$1052,$O27)))</f>
        <v/>
      </c>
      <c r="L27" s="13" t="str">
        <f aca="false">IF($O27="","",N(INDEX('DỮ LIỆU'!$M$3:$M$1052,$O27)))</f>
        <v/>
      </c>
      <c r="M27" s="13" t="str">
        <f aca="false">IF($O27="","",N(INDEX('DỮ LIỆU'!$N$3:$N$1052,$O27)))</f>
        <v/>
      </c>
      <c r="N27" s="13" t="str">
        <f aca="false">IF($O27="","",N(INDEX('DỮ LIỆU'!$O$3:$O$1052,$O27)))</f>
        <v/>
      </c>
      <c r="O27" s="0" t="str">
        <f aca="false">IFERROR(MATCH(22,'DỮ LIỆU'!$U$3:$U$1052,0),"")</f>
        <v/>
      </c>
    </row>
    <row r="28" customFormat="false" ht="15" hidden="false" customHeight="false" outlineLevel="0" collapsed="false">
      <c r="A28" s="21" t="str">
        <f aca="false">IF($O28="","",23)</f>
        <v/>
      </c>
      <c r="B28" s="13" t="str">
        <f aca="false">IF($O28="","",INDEX('DỮ LIỆU'!$A$3:$A$1052,$O28))</f>
        <v/>
      </c>
      <c r="C28" s="41" t="str">
        <f aca="false">IF($O28="","",IF(INDEX('DỮ LIỆU'!$B$3:$B$1052,$O28)="","",INDEX('DỮ LIỆU'!$B$3:$B$1052,$O28)))</f>
        <v/>
      </c>
      <c r="D28" s="21" t="str">
        <f aca="false">IF($O28="","",IF(INDEX('DỮ LIỆU'!$C$3:$C$1052,$O28)="","",INDEX('DỮ LIỆU'!$C$3:$C$1052,$O28)))</f>
        <v/>
      </c>
      <c r="E28" s="21" t="str">
        <f aca="false">IF($O28="","",IF(INDEX('DỮ LIỆU'!$E$3:$E$1052,$O28)="","",INDEX('DỮ LIỆU'!$E$3:$E$1052,$O28)))</f>
        <v/>
      </c>
      <c r="F28" s="21" t="str">
        <f aca="false">IF($O28="","",IF(INDEX('DỮ LIỆU'!$F$3:$F$1052,$O28)="","",INDEX('DỮ LIỆU'!$F$3:$F$1052,$O28)))</f>
        <v/>
      </c>
      <c r="G28" s="21" t="str">
        <f aca="false">IF($O28="","",IF(INDEX('DỮ LIỆU'!$H$3:$H$1052,$O28)="","",INDEX('DỮ LIỆU'!$H$3:$H$1052,$O28)))</f>
        <v/>
      </c>
      <c r="H28" s="13" t="str">
        <f aca="false">IF($O28="","",N(INDEX('DỮ LIỆU'!$I$3:$I$1052,$O28)))</f>
        <v/>
      </c>
      <c r="I28" s="13" t="str">
        <f aca="false">IF($O28="","",N(INDEX('DỮ LIỆU'!$J$3:$J$1052,$O28)))</f>
        <v/>
      </c>
      <c r="J28" s="14" t="str">
        <f aca="false">IF($O28="","",N(INDEX('DỮ LIỆU'!$K$3:$K$1052,$O28)))</f>
        <v/>
      </c>
      <c r="K28" s="13" t="str">
        <f aca="false">IF($O28="","",N(INDEX('DỮ LIỆU'!$L$3:$L$1052,$O28)))</f>
        <v/>
      </c>
      <c r="L28" s="13" t="str">
        <f aca="false">IF($O28="","",N(INDEX('DỮ LIỆU'!$M$3:$M$1052,$O28)))</f>
        <v/>
      </c>
      <c r="M28" s="13" t="str">
        <f aca="false">IF($O28="","",N(INDEX('DỮ LIỆU'!$N$3:$N$1052,$O28)))</f>
        <v/>
      </c>
      <c r="N28" s="13" t="str">
        <f aca="false">IF($O28="","",N(INDEX('DỮ LIỆU'!$O$3:$O$1052,$O28)))</f>
        <v/>
      </c>
      <c r="O28" s="0" t="str">
        <f aca="false">IFERROR(MATCH(23,'DỮ LIỆU'!$U$3:$U$1052,0),"")</f>
        <v/>
      </c>
    </row>
    <row r="29" customFormat="false" ht="15" hidden="false" customHeight="false" outlineLevel="0" collapsed="false">
      <c r="A29" s="21" t="str">
        <f aca="false">IF($O29="","",24)</f>
        <v/>
      </c>
      <c r="B29" s="13" t="str">
        <f aca="false">IF($O29="","",INDEX('DỮ LIỆU'!$A$3:$A$1052,$O29))</f>
        <v/>
      </c>
      <c r="C29" s="41" t="str">
        <f aca="false">IF($O29="","",IF(INDEX('DỮ LIỆU'!$B$3:$B$1052,$O29)="","",INDEX('DỮ LIỆU'!$B$3:$B$1052,$O29)))</f>
        <v/>
      </c>
      <c r="D29" s="21" t="str">
        <f aca="false">IF($O29="","",IF(INDEX('DỮ LIỆU'!$C$3:$C$1052,$O29)="","",INDEX('DỮ LIỆU'!$C$3:$C$1052,$O29)))</f>
        <v/>
      </c>
      <c r="E29" s="21" t="str">
        <f aca="false">IF($O29="","",IF(INDEX('DỮ LIỆU'!$E$3:$E$1052,$O29)="","",INDEX('DỮ LIỆU'!$E$3:$E$1052,$O29)))</f>
        <v/>
      </c>
      <c r="F29" s="21" t="str">
        <f aca="false">IF($O29="","",IF(INDEX('DỮ LIỆU'!$F$3:$F$1052,$O29)="","",INDEX('DỮ LIỆU'!$F$3:$F$1052,$O29)))</f>
        <v/>
      </c>
      <c r="G29" s="21" t="str">
        <f aca="false">IF($O29="","",IF(INDEX('DỮ LIỆU'!$H$3:$H$1052,$O29)="","",INDEX('DỮ LIỆU'!$H$3:$H$1052,$O29)))</f>
        <v/>
      </c>
      <c r="H29" s="13" t="str">
        <f aca="false">IF($O29="","",N(INDEX('DỮ LIỆU'!$I$3:$I$1052,$O29)))</f>
        <v/>
      </c>
      <c r="I29" s="13" t="str">
        <f aca="false">IF($O29="","",N(INDEX('DỮ LIỆU'!$J$3:$J$1052,$O29)))</f>
        <v/>
      </c>
      <c r="J29" s="14" t="str">
        <f aca="false">IF($O29="","",N(INDEX('DỮ LIỆU'!$K$3:$K$1052,$O29)))</f>
        <v/>
      </c>
      <c r="K29" s="13" t="str">
        <f aca="false">IF($O29="","",N(INDEX('DỮ LIỆU'!$L$3:$L$1052,$O29)))</f>
        <v/>
      </c>
      <c r="L29" s="13" t="str">
        <f aca="false">IF($O29="","",N(INDEX('DỮ LIỆU'!$M$3:$M$1052,$O29)))</f>
        <v/>
      </c>
      <c r="M29" s="13" t="str">
        <f aca="false">IF($O29="","",N(INDEX('DỮ LIỆU'!$N$3:$N$1052,$O29)))</f>
        <v/>
      </c>
      <c r="N29" s="13" t="str">
        <f aca="false">IF($O29="","",N(INDEX('DỮ LIỆU'!$O$3:$O$1052,$O29)))</f>
        <v/>
      </c>
      <c r="O29" s="0" t="str">
        <f aca="false">IFERROR(MATCH(24,'DỮ LIỆU'!$U$3:$U$1052,0),"")</f>
        <v/>
      </c>
    </row>
    <row r="30" customFormat="false" ht="15" hidden="false" customHeight="false" outlineLevel="0" collapsed="false">
      <c r="A30" s="21" t="str">
        <f aca="false">IF($O30="","",25)</f>
        <v/>
      </c>
      <c r="B30" s="13" t="str">
        <f aca="false">IF($O30="","",INDEX('DỮ LIỆU'!$A$3:$A$1052,$O30))</f>
        <v/>
      </c>
      <c r="C30" s="41" t="str">
        <f aca="false">IF($O30="","",IF(INDEX('DỮ LIỆU'!$B$3:$B$1052,$O30)="","",INDEX('DỮ LIỆU'!$B$3:$B$1052,$O30)))</f>
        <v/>
      </c>
      <c r="D30" s="21" t="str">
        <f aca="false">IF($O30="","",IF(INDEX('DỮ LIỆU'!$C$3:$C$1052,$O30)="","",INDEX('DỮ LIỆU'!$C$3:$C$1052,$O30)))</f>
        <v/>
      </c>
      <c r="E30" s="21" t="str">
        <f aca="false">IF($O30="","",IF(INDEX('DỮ LIỆU'!$E$3:$E$1052,$O30)="","",INDEX('DỮ LIỆU'!$E$3:$E$1052,$O30)))</f>
        <v/>
      </c>
      <c r="F30" s="21" t="str">
        <f aca="false">IF($O30="","",IF(INDEX('DỮ LIỆU'!$F$3:$F$1052,$O30)="","",INDEX('DỮ LIỆU'!$F$3:$F$1052,$O30)))</f>
        <v/>
      </c>
      <c r="G30" s="21" t="str">
        <f aca="false">IF($O30="","",IF(INDEX('DỮ LIỆU'!$H$3:$H$1052,$O30)="","",INDEX('DỮ LIỆU'!$H$3:$H$1052,$O30)))</f>
        <v/>
      </c>
      <c r="H30" s="13" t="str">
        <f aca="false">IF($O30="","",N(INDEX('DỮ LIỆU'!$I$3:$I$1052,$O30)))</f>
        <v/>
      </c>
      <c r="I30" s="13" t="str">
        <f aca="false">IF($O30="","",N(INDEX('DỮ LIỆU'!$J$3:$J$1052,$O30)))</f>
        <v/>
      </c>
      <c r="J30" s="14" t="str">
        <f aca="false">IF($O30="","",N(INDEX('DỮ LIỆU'!$K$3:$K$1052,$O30)))</f>
        <v/>
      </c>
      <c r="K30" s="13" t="str">
        <f aca="false">IF($O30="","",N(INDEX('DỮ LIỆU'!$L$3:$L$1052,$O30)))</f>
        <v/>
      </c>
      <c r="L30" s="13" t="str">
        <f aca="false">IF($O30="","",N(INDEX('DỮ LIỆU'!$M$3:$M$1052,$O30)))</f>
        <v/>
      </c>
      <c r="M30" s="13" t="str">
        <f aca="false">IF($O30="","",N(INDEX('DỮ LIỆU'!$N$3:$N$1052,$O30)))</f>
        <v/>
      </c>
      <c r="N30" s="13" t="str">
        <f aca="false">IF($O30="","",N(INDEX('DỮ LIỆU'!$O$3:$O$1052,$O30)))</f>
        <v/>
      </c>
      <c r="O30" s="0" t="str">
        <f aca="false">IFERROR(MATCH(25,'DỮ LIỆU'!$U$3:$U$1052,0),"")</f>
        <v/>
      </c>
    </row>
    <row r="31" customFormat="false" ht="15" hidden="false" customHeight="false" outlineLevel="0" collapsed="false">
      <c r="A31" s="21" t="str">
        <f aca="false">IF($O31="","",26)</f>
        <v/>
      </c>
      <c r="B31" s="13" t="str">
        <f aca="false">IF($O31="","",INDEX('DỮ LIỆU'!$A$3:$A$1052,$O31))</f>
        <v/>
      </c>
      <c r="C31" s="41" t="str">
        <f aca="false">IF($O31="","",IF(INDEX('DỮ LIỆU'!$B$3:$B$1052,$O31)="","",INDEX('DỮ LIỆU'!$B$3:$B$1052,$O31)))</f>
        <v/>
      </c>
      <c r="D31" s="21" t="str">
        <f aca="false">IF($O31="","",IF(INDEX('DỮ LIỆU'!$C$3:$C$1052,$O31)="","",INDEX('DỮ LIỆU'!$C$3:$C$1052,$O31)))</f>
        <v/>
      </c>
      <c r="E31" s="21" t="str">
        <f aca="false">IF($O31="","",IF(INDEX('DỮ LIỆU'!$E$3:$E$1052,$O31)="","",INDEX('DỮ LIỆU'!$E$3:$E$1052,$O31)))</f>
        <v/>
      </c>
      <c r="F31" s="21" t="str">
        <f aca="false">IF($O31="","",IF(INDEX('DỮ LIỆU'!$F$3:$F$1052,$O31)="","",INDEX('DỮ LIỆU'!$F$3:$F$1052,$O31)))</f>
        <v/>
      </c>
      <c r="G31" s="21" t="str">
        <f aca="false">IF($O31="","",IF(INDEX('DỮ LIỆU'!$H$3:$H$1052,$O31)="","",INDEX('DỮ LIỆU'!$H$3:$H$1052,$O31)))</f>
        <v/>
      </c>
      <c r="H31" s="13" t="str">
        <f aca="false">IF($O31="","",N(INDEX('DỮ LIỆU'!$I$3:$I$1052,$O31)))</f>
        <v/>
      </c>
      <c r="I31" s="13" t="str">
        <f aca="false">IF($O31="","",N(INDEX('DỮ LIỆU'!$J$3:$J$1052,$O31)))</f>
        <v/>
      </c>
      <c r="J31" s="14" t="str">
        <f aca="false">IF($O31="","",N(INDEX('DỮ LIỆU'!$K$3:$K$1052,$O31)))</f>
        <v/>
      </c>
      <c r="K31" s="13" t="str">
        <f aca="false">IF($O31="","",N(INDEX('DỮ LIỆU'!$L$3:$L$1052,$O31)))</f>
        <v/>
      </c>
      <c r="L31" s="13" t="str">
        <f aca="false">IF($O31="","",N(INDEX('DỮ LIỆU'!$M$3:$M$1052,$O31)))</f>
        <v/>
      </c>
      <c r="M31" s="13" t="str">
        <f aca="false">IF($O31="","",N(INDEX('DỮ LIỆU'!$N$3:$N$1052,$O31)))</f>
        <v/>
      </c>
      <c r="N31" s="13" t="str">
        <f aca="false">IF($O31="","",N(INDEX('DỮ LIỆU'!$O$3:$O$1052,$O31)))</f>
        <v/>
      </c>
      <c r="O31" s="0" t="str">
        <f aca="false">IFERROR(MATCH(26,'DỮ LIỆU'!$U$3:$U$1052,0),"")</f>
        <v/>
      </c>
    </row>
    <row r="32" customFormat="false" ht="15" hidden="false" customHeight="false" outlineLevel="0" collapsed="false">
      <c r="A32" s="21" t="str">
        <f aca="false">IF($O32="","",27)</f>
        <v/>
      </c>
      <c r="B32" s="13" t="str">
        <f aca="false">IF($O32="","",INDEX('DỮ LIỆU'!$A$3:$A$1052,$O32))</f>
        <v/>
      </c>
      <c r="C32" s="41" t="str">
        <f aca="false">IF($O32="","",IF(INDEX('DỮ LIỆU'!$B$3:$B$1052,$O32)="","",INDEX('DỮ LIỆU'!$B$3:$B$1052,$O32)))</f>
        <v/>
      </c>
      <c r="D32" s="21" t="str">
        <f aca="false">IF($O32="","",IF(INDEX('DỮ LIỆU'!$C$3:$C$1052,$O32)="","",INDEX('DỮ LIỆU'!$C$3:$C$1052,$O32)))</f>
        <v/>
      </c>
      <c r="E32" s="21" t="str">
        <f aca="false">IF($O32="","",IF(INDEX('DỮ LIỆU'!$E$3:$E$1052,$O32)="","",INDEX('DỮ LIỆU'!$E$3:$E$1052,$O32)))</f>
        <v/>
      </c>
      <c r="F32" s="21" t="str">
        <f aca="false">IF($O32="","",IF(INDEX('DỮ LIỆU'!$F$3:$F$1052,$O32)="","",INDEX('DỮ LIỆU'!$F$3:$F$1052,$O32)))</f>
        <v/>
      </c>
      <c r="G32" s="21" t="str">
        <f aca="false">IF($O32="","",IF(INDEX('DỮ LIỆU'!$H$3:$H$1052,$O32)="","",INDEX('DỮ LIỆU'!$H$3:$H$1052,$O32)))</f>
        <v/>
      </c>
      <c r="H32" s="13" t="str">
        <f aca="false">IF($O32="","",N(INDEX('DỮ LIỆU'!$I$3:$I$1052,$O32)))</f>
        <v/>
      </c>
      <c r="I32" s="13" t="str">
        <f aca="false">IF($O32="","",N(INDEX('DỮ LIỆU'!$J$3:$J$1052,$O32)))</f>
        <v/>
      </c>
      <c r="J32" s="14" t="str">
        <f aca="false">IF($O32="","",N(INDEX('DỮ LIỆU'!$K$3:$K$1052,$O32)))</f>
        <v/>
      </c>
      <c r="K32" s="13" t="str">
        <f aca="false">IF($O32="","",N(INDEX('DỮ LIỆU'!$L$3:$L$1052,$O32)))</f>
        <v/>
      </c>
      <c r="L32" s="13" t="str">
        <f aca="false">IF($O32="","",N(INDEX('DỮ LIỆU'!$M$3:$M$1052,$O32)))</f>
        <v/>
      </c>
      <c r="M32" s="13" t="str">
        <f aca="false">IF($O32="","",N(INDEX('DỮ LIỆU'!$N$3:$N$1052,$O32)))</f>
        <v/>
      </c>
      <c r="N32" s="13" t="str">
        <f aca="false">IF($O32="","",N(INDEX('DỮ LIỆU'!$O$3:$O$1052,$O32)))</f>
        <v/>
      </c>
      <c r="O32" s="0" t="str">
        <f aca="false">IFERROR(MATCH(27,'DỮ LIỆU'!$U$3:$U$1052,0),"")</f>
        <v/>
      </c>
    </row>
    <row r="33" customFormat="false" ht="15" hidden="false" customHeight="false" outlineLevel="0" collapsed="false">
      <c r="A33" s="21" t="str">
        <f aca="false">IF($O33="","",28)</f>
        <v/>
      </c>
      <c r="B33" s="13" t="str">
        <f aca="false">IF($O33="","",INDEX('DỮ LIỆU'!$A$3:$A$1052,$O33))</f>
        <v/>
      </c>
      <c r="C33" s="41" t="str">
        <f aca="false">IF($O33="","",IF(INDEX('DỮ LIỆU'!$B$3:$B$1052,$O33)="","",INDEX('DỮ LIỆU'!$B$3:$B$1052,$O33)))</f>
        <v/>
      </c>
      <c r="D33" s="21" t="str">
        <f aca="false">IF($O33="","",IF(INDEX('DỮ LIỆU'!$C$3:$C$1052,$O33)="","",INDEX('DỮ LIỆU'!$C$3:$C$1052,$O33)))</f>
        <v/>
      </c>
      <c r="E33" s="21" t="str">
        <f aca="false">IF($O33="","",IF(INDEX('DỮ LIỆU'!$E$3:$E$1052,$O33)="","",INDEX('DỮ LIỆU'!$E$3:$E$1052,$O33)))</f>
        <v/>
      </c>
      <c r="F33" s="21" t="str">
        <f aca="false">IF($O33="","",IF(INDEX('DỮ LIỆU'!$F$3:$F$1052,$O33)="","",INDEX('DỮ LIỆU'!$F$3:$F$1052,$O33)))</f>
        <v/>
      </c>
      <c r="G33" s="21" t="str">
        <f aca="false">IF($O33="","",IF(INDEX('DỮ LIỆU'!$H$3:$H$1052,$O33)="","",INDEX('DỮ LIỆU'!$H$3:$H$1052,$O33)))</f>
        <v/>
      </c>
      <c r="H33" s="13" t="str">
        <f aca="false">IF($O33="","",N(INDEX('DỮ LIỆU'!$I$3:$I$1052,$O33)))</f>
        <v/>
      </c>
      <c r="I33" s="13" t="str">
        <f aca="false">IF($O33="","",N(INDEX('DỮ LIỆU'!$J$3:$J$1052,$O33)))</f>
        <v/>
      </c>
      <c r="J33" s="14" t="str">
        <f aca="false">IF($O33="","",N(INDEX('DỮ LIỆU'!$K$3:$K$1052,$O33)))</f>
        <v/>
      </c>
      <c r="K33" s="13" t="str">
        <f aca="false">IF($O33="","",N(INDEX('DỮ LIỆU'!$L$3:$L$1052,$O33)))</f>
        <v/>
      </c>
      <c r="L33" s="13" t="str">
        <f aca="false">IF($O33="","",N(INDEX('DỮ LIỆU'!$M$3:$M$1052,$O33)))</f>
        <v/>
      </c>
      <c r="M33" s="13" t="str">
        <f aca="false">IF($O33="","",N(INDEX('DỮ LIỆU'!$N$3:$N$1052,$O33)))</f>
        <v/>
      </c>
      <c r="N33" s="13" t="str">
        <f aca="false">IF($O33="","",N(INDEX('DỮ LIỆU'!$O$3:$O$1052,$O33)))</f>
        <v/>
      </c>
      <c r="O33" s="0" t="str">
        <f aca="false">IFERROR(MATCH(28,'DỮ LIỆU'!$U$3:$U$1052,0),"")</f>
        <v/>
      </c>
    </row>
    <row r="34" customFormat="false" ht="15" hidden="false" customHeight="false" outlineLevel="0" collapsed="false">
      <c r="A34" s="21" t="str">
        <f aca="false">IF($O34="","",29)</f>
        <v/>
      </c>
      <c r="B34" s="13" t="str">
        <f aca="false">IF($O34="","",INDEX('DỮ LIỆU'!$A$3:$A$1052,$O34))</f>
        <v/>
      </c>
      <c r="C34" s="41" t="str">
        <f aca="false">IF($O34="","",IF(INDEX('DỮ LIỆU'!$B$3:$B$1052,$O34)="","",INDEX('DỮ LIỆU'!$B$3:$B$1052,$O34)))</f>
        <v/>
      </c>
      <c r="D34" s="21" t="str">
        <f aca="false">IF($O34="","",IF(INDEX('DỮ LIỆU'!$C$3:$C$1052,$O34)="","",INDEX('DỮ LIỆU'!$C$3:$C$1052,$O34)))</f>
        <v/>
      </c>
      <c r="E34" s="21" t="str">
        <f aca="false">IF($O34="","",IF(INDEX('DỮ LIỆU'!$E$3:$E$1052,$O34)="","",INDEX('DỮ LIỆU'!$E$3:$E$1052,$O34)))</f>
        <v/>
      </c>
      <c r="F34" s="21" t="str">
        <f aca="false">IF($O34="","",IF(INDEX('DỮ LIỆU'!$F$3:$F$1052,$O34)="","",INDEX('DỮ LIỆU'!$F$3:$F$1052,$O34)))</f>
        <v/>
      </c>
      <c r="G34" s="21" t="str">
        <f aca="false">IF($O34="","",IF(INDEX('DỮ LIỆU'!$H$3:$H$1052,$O34)="","",INDEX('DỮ LIỆU'!$H$3:$H$1052,$O34)))</f>
        <v/>
      </c>
      <c r="H34" s="13" t="str">
        <f aca="false">IF($O34="","",N(INDEX('DỮ LIỆU'!$I$3:$I$1052,$O34)))</f>
        <v/>
      </c>
      <c r="I34" s="13" t="str">
        <f aca="false">IF($O34="","",N(INDEX('DỮ LIỆU'!$J$3:$J$1052,$O34)))</f>
        <v/>
      </c>
      <c r="J34" s="14" t="str">
        <f aca="false">IF($O34="","",N(INDEX('DỮ LIỆU'!$K$3:$K$1052,$O34)))</f>
        <v/>
      </c>
      <c r="K34" s="13" t="str">
        <f aca="false">IF($O34="","",N(INDEX('DỮ LIỆU'!$L$3:$L$1052,$O34)))</f>
        <v/>
      </c>
      <c r="L34" s="13" t="str">
        <f aca="false">IF($O34="","",N(INDEX('DỮ LIỆU'!$M$3:$M$1052,$O34)))</f>
        <v/>
      </c>
      <c r="M34" s="13" t="str">
        <f aca="false">IF($O34="","",N(INDEX('DỮ LIỆU'!$N$3:$N$1052,$O34)))</f>
        <v/>
      </c>
      <c r="N34" s="13" t="str">
        <f aca="false">IF($O34="","",N(INDEX('DỮ LIỆU'!$O$3:$O$1052,$O34)))</f>
        <v/>
      </c>
      <c r="O34" s="0" t="str">
        <f aca="false">IFERROR(MATCH(29,'DỮ LIỆU'!$U$3:$U$1052,0),"")</f>
        <v/>
      </c>
    </row>
    <row r="35" customFormat="false" ht="15" hidden="false" customHeight="false" outlineLevel="0" collapsed="false">
      <c r="A35" s="21" t="str">
        <f aca="false">IF($O35="","",30)</f>
        <v/>
      </c>
      <c r="B35" s="13" t="str">
        <f aca="false">IF($O35="","",INDEX('DỮ LIỆU'!$A$3:$A$1052,$O35))</f>
        <v/>
      </c>
      <c r="C35" s="41" t="str">
        <f aca="false">IF($O35="","",IF(INDEX('DỮ LIỆU'!$B$3:$B$1052,$O35)="","",INDEX('DỮ LIỆU'!$B$3:$B$1052,$O35)))</f>
        <v/>
      </c>
      <c r="D35" s="21" t="str">
        <f aca="false">IF($O35="","",IF(INDEX('DỮ LIỆU'!$C$3:$C$1052,$O35)="","",INDEX('DỮ LIỆU'!$C$3:$C$1052,$O35)))</f>
        <v/>
      </c>
      <c r="E35" s="21" t="str">
        <f aca="false">IF($O35="","",IF(INDEX('DỮ LIỆU'!$E$3:$E$1052,$O35)="","",INDEX('DỮ LIỆU'!$E$3:$E$1052,$O35)))</f>
        <v/>
      </c>
      <c r="F35" s="21" t="str">
        <f aca="false">IF($O35="","",IF(INDEX('DỮ LIỆU'!$F$3:$F$1052,$O35)="","",INDEX('DỮ LIỆU'!$F$3:$F$1052,$O35)))</f>
        <v/>
      </c>
      <c r="G35" s="21" t="str">
        <f aca="false">IF($O35="","",IF(INDEX('DỮ LIỆU'!$H$3:$H$1052,$O35)="","",INDEX('DỮ LIỆU'!$H$3:$H$1052,$O35)))</f>
        <v/>
      </c>
      <c r="H35" s="13" t="str">
        <f aca="false">IF($O35="","",N(INDEX('DỮ LIỆU'!$I$3:$I$1052,$O35)))</f>
        <v/>
      </c>
      <c r="I35" s="13" t="str">
        <f aca="false">IF($O35="","",N(INDEX('DỮ LIỆU'!$J$3:$J$1052,$O35)))</f>
        <v/>
      </c>
      <c r="J35" s="14" t="str">
        <f aca="false">IF($O35="","",N(INDEX('DỮ LIỆU'!$K$3:$K$1052,$O35)))</f>
        <v/>
      </c>
      <c r="K35" s="13" t="str">
        <f aca="false">IF($O35="","",N(INDEX('DỮ LIỆU'!$L$3:$L$1052,$O35)))</f>
        <v/>
      </c>
      <c r="L35" s="13" t="str">
        <f aca="false">IF($O35="","",N(INDEX('DỮ LIỆU'!$M$3:$M$1052,$O35)))</f>
        <v/>
      </c>
      <c r="M35" s="13" t="str">
        <f aca="false">IF($O35="","",N(INDEX('DỮ LIỆU'!$N$3:$N$1052,$O35)))</f>
        <v/>
      </c>
      <c r="N35" s="13" t="str">
        <f aca="false">IF($O35="","",N(INDEX('DỮ LIỆU'!$O$3:$O$1052,$O35)))</f>
        <v/>
      </c>
      <c r="O35" s="0" t="str">
        <f aca="false">IFERROR(MATCH(30,'DỮ LIỆU'!$U$3:$U$1052,0),"")</f>
        <v/>
      </c>
    </row>
    <row r="36" customFormat="false" ht="15" hidden="false" customHeight="false" outlineLevel="0" collapsed="false">
      <c r="A36" s="21" t="str">
        <f aca="false">IF($O36="","",31)</f>
        <v/>
      </c>
      <c r="B36" s="13" t="str">
        <f aca="false">IF($O36="","",INDEX('DỮ LIỆU'!$A$3:$A$1052,$O36))</f>
        <v/>
      </c>
      <c r="C36" s="41" t="str">
        <f aca="false">IF($O36="","",IF(INDEX('DỮ LIỆU'!$B$3:$B$1052,$O36)="","",INDEX('DỮ LIỆU'!$B$3:$B$1052,$O36)))</f>
        <v/>
      </c>
      <c r="D36" s="21" t="str">
        <f aca="false">IF($O36="","",IF(INDEX('DỮ LIỆU'!$C$3:$C$1052,$O36)="","",INDEX('DỮ LIỆU'!$C$3:$C$1052,$O36)))</f>
        <v/>
      </c>
      <c r="E36" s="21" t="str">
        <f aca="false">IF($O36="","",IF(INDEX('DỮ LIỆU'!$E$3:$E$1052,$O36)="","",INDEX('DỮ LIỆU'!$E$3:$E$1052,$O36)))</f>
        <v/>
      </c>
      <c r="F36" s="21" t="str">
        <f aca="false">IF($O36="","",IF(INDEX('DỮ LIỆU'!$F$3:$F$1052,$O36)="","",INDEX('DỮ LIỆU'!$F$3:$F$1052,$O36)))</f>
        <v/>
      </c>
      <c r="G36" s="21" t="str">
        <f aca="false">IF($O36="","",IF(INDEX('DỮ LIỆU'!$H$3:$H$1052,$O36)="","",INDEX('DỮ LIỆU'!$H$3:$H$1052,$O36)))</f>
        <v/>
      </c>
      <c r="H36" s="13" t="str">
        <f aca="false">IF($O36="","",N(INDEX('DỮ LIỆU'!$I$3:$I$1052,$O36)))</f>
        <v/>
      </c>
      <c r="I36" s="13" t="str">
        <f aca="false">IF($O36="","",N(INDEX('DỮ LIỆU'!$J$3:$J$1052,$O36)))</f>
        <v/>
      </c>
      <c r="J36" s="14" t="str">
        <f aca="false">IF($O36="","",N(INDEX('DỮ LIỆU'!$K$3:$K$1052,$O36)))</f>
        <v/>
      </c>
      <c r="K36" s="13" t="str">
        <f aca="false">IF($O36="","",N(INDEX('DỮ LIỆU'!$L$3:$L$1052,$O36)))</f>
        <v/>
      </c>
      <c r="L36" s="13" t="str">
        <f aca="false">IF($O36="","",N(INDEX('DỮ LIỆU'!$M$3:$M$1052,$O36)))</f>
        <v/>
      </c>
      <c r="M36" s="13" t="str">
        <f aca="false">IF($O36="","",N(INDEX('DỮ LIỆU'!$N$3:$N$1052,$O36)))</f>
        <v/>
      </c>
      <c r="N36" s="13" t="str">
        <f aca="false">IF($O36="","",N(INDEX('DỮ LIỆU'!$O$3:$O$1052,$O36)))</f>
        <v/>
      </c>
      <c r="O36" s="0" t="str">
        <f aca="false">IFERROR(MATCH(31,'DỮ LIỆU'!$U$3:$U$1052,0),"")</f>
        <v/>
      </c>
    </row>
    <row r="37" customFormat="false" ht="15" hidden="false" customHeight="false" outlineLevel="0" collapsed="false">
      <c r="A37" s="21" t="str">
        <f aca="false">IF($O37="","",32)</f>
        <v/>
      </c>
      <c r="B37" s="13" t="str">
        <f aca="false">IF($O37="","",INDEX('DỮ LIỆU'!$A$3:$A$1052,$O37))</f>
        <v/>
      </c>
      <c r="C37" s="41" t="str">
        <f aca="false">IF($O37="","",IF(INDEX('DỮ LIỆU'!$B$3:$B$1052,$O37)="","",INDEX('DỮ LIỆU'!$B$3:$B$1052,$O37)))</f>
        <v/>
      </c>
      <c r="D37" s="21" t="str">
        <f aca="false">IF($O37="","",IF(INDEX('DỮ LIỆU'!$C$3:$C$1052,$O37)="","",INDEX('DỮ LIỆU'!$C$3:$C$1052,$O37)))</f>
        <v/>
      </c>
      <c r="E37" s="21" t="str">
        <f aca="false">IF($O37="","",IF(INDEX('DỮ LIỆU'!$E$3:$E$1052,$O37)="","",INDEX('DỮ LIỆU'!$E$3:$E$1052,$O37)))</f>
        <v/>
      </c>
      <c r="F37" s="21" t="str">
        <f aca="false">IF($O37="","",IF(INDEX('DỮ LIỆU'!$F$3:$F$1052,$O37)="","",INDEX('DỮ LIỆU'!$F$3:$F$1052,$O37)))</f>
        <v/>
      </c>
      <c r="G37" s="21" t="str">
        <f aca="false">IF($O37="","",IF(INDEX('DỮ LIỆU'!$H$3:$H$1052,$O37)="","",INDEX('DỮ LIỆU'!$H$3:$H$1052,$O37)))</f>
        <v/>
      </c>
      <c r="H37" s="13" t="str">
        <f aca="false">IF($O37="","",N(INDEX('DỮ LIỆU'!$I$3:$I$1052,$O37)))</f>
        <v/>
      </c>
      <c r="I37" s="13" t="str">
        <f aca="false">IF($O37="","",N(INDEX('DỮ LIỆU'!$J$3:$J$1052,$O37)))</f>
        <v/>
      </c>
      <c r="J37" s="14" t="str">
        <f aca="false">IF($O37="","",N(INDEX('DỮ LIỆU'!$K$3:$K$1052,$O37)))</f>
        <v/>
      </c>
      <c r="K37" s="13" t="str">
        <f aca="false">IF($O37="","",N(INDEX('DỮ LIỆU'!$L$3:$L$1052,$O37)))</f>
        <v/>
      </c>
      <c r="L37" s="13" t="str">
        <f aca="false">IF($O37="","",N(INDEX('DỮ LIỆU'!$M$3:$M$1052,$O37)))</f>
        <v/>
      </c>
      <c r="M37" s="13" t="str">
        <f aca="false">IF($O37="","",N(INDEX('DỮ LIỆU'!$N$3:$N$1052,$O37)))</f>
        <v/>
      </c>
      <c r="N37" s="13" t="str">
        <f aca="false">IF($O37="","",N(INDEX('DỮ LIỆU'!$O$3:$O$1052,$O37)))</f>
        <v/>
      </c>
      <c r="O37" s="0" t="str">
        <f aca="false">IFERROR(MATCH(32,'DỮ LIỆU'!$U$3:$U$1052,0),"")</f>
        <v/>
      </c>
    </row>
    <row r="38" customFormat="false" ht="15" hidden="false" customHeight="false" outlineLevel="0" collapsed="false">
      <c r="A38" s="21" t="str">
        <f aca="false">IF($O38="","",33)</f>
        <v/>
      </c>
      <c r="B38" s="13" t="str">
        <f aca="false">IF($O38="","",INDEX('DỮ LIỆU'!$A$3:$A$1052,$O38))</f>
        <v/>
      </c>
      <c r="C38" s="41" t="str">
        <f aca="false">IF($O38="","",IF(INDEX('DỮ LIỆU'!$B$3:$B$1052,$O38)="","",INDEX('DỮ LIỆU'!$B$3:$B$1052,$O38)))</f>
        <v/>
      </c>
      <c r="D38" s="21" t="str">
        <f aca="false">IF($O38="","",IF(INDEX('DỮ LIỆU'!$C$3:$C$1052,$O38)="","",INDEX('DỮ LIỆU'!$C$3:$C$1052,$O38)))</f>
        <v/>
      </c>
      <c r="E38" s="21" t="str">
        <f aca="false">IF($O38="","",IF(INDEX('DỮ LIỆU'!$E$3:$E$1052,$O38)="","",INDEX('DỮ LIỆU'!$E$3:$E$1052,$O38)))</f>
        <v/>
      </c>
      <c r="F38" s="21" t="str">
        <f aca="false">IF($O38="","",IF(INDEX('DỮ LIỆU'!$F$3:$F$1052,$O38)="","",INDEX('DỮ LIỆU'!$F$3:$F$1052,$O38)))</f>
        <v/>
      </c>
      <c r="G38" s="21" t="str">
        <f aca="false">IF($O38="","",IF(INDEX('DỮ LIỆU'!$H$3:$H$1052,$O38)="","",INDEX('DỮ LIỆU'!$H$3:$H$1052,$O38)))</f>
        <v/>
      </c>
      <c r="H38" s="13" t="str">
        <f aca="false">IF($O38="","",N(INDEX('DỮ LIỆU'!$I$3:$I$1052,$O38)))</f>
        <v/>
      </c>
      <c r="I38" s="13" t="str">
        <f aca="false">IF($O38="","",N(INDEX('DỮ LIỆU'!$J$3:$J$1052,$O38)))</f>
        <v/>
      </c>
      <c r="J38" s="14" t="str">
        <f aca="false">IF($O38="","",N(INDEX('DỮ LIỆU'!$K$3:$K$1052,$O38)))</f>
        <v/>
      </c>
      <c r="K38" s="13" t="str">
        <f aca="false">IF($O38="","",N(INDEX('DỮ LIỆU'!$L$3:$L$1052,$O38)))</f>
        <v/>
      </c>
      <c r="L38" s="13" t="str">
        <f aca="false">IF($O38="","",N(INDEX('DỮ LIỆU'!$M$3:$M$1052,$O38)))</f>
        <v/>
      </c>
      <c r="M38" s="13" t="str">
        <f aca="false">IF($O38="","",N(INDEX('DỮ LIỆU'!$N$3:$N$1052,$O38)))</f>
        <v/>
      </c>
      <c r="N38" s="13" t="str">
        <f aca="false">IF($O38="","",N(INDEX('DỮ LIỆU'!$O$3:$O$1052,$O38)))</f>
        <v/>
      </c>
      <c r="O38" s="0" t="str">
        <f aca="false">IFERROR(MATCH(33,'DỮ LIỆU'!$U$3:$U$1052,0),"")</f>
        <v/>
      </c>
    </row>
    <row r="39" customFormat="false" ht="15" hidden="false" customHeight="false" outlineLevel="0" collapsed="false">
      <c r="A39" s="21" t="str">
        <f aca="false">IF($O39="","",34)</f>
        <v/>
      </c>
      <c r="B39" s="13" t="str">
        <f aca="false">IF($O39="","",INDEX('DỮ LIỆU'!$A$3:$A$1052,$O39))</f>
        <v/>
      </c>
      <c r="C39" s="41" t="str">
        <f aca="false">IF($O39="","",IF(INDEX('DỮ LIỆU'!$B$3:$B$1052,$O39)="","",INDEX('DỮ LIỆU'!$B$3:$B$1052,$O39)))</f>
        <v/>
      </c>
      <c r="D39" s="21" t="str">
        <f aca="false">IF($O39="","",IF(INDEX('DỮ LIỆU'!$C$3:$C$1052,$O39)="","",INDEX('DỮ LIỆU'!$C$3:$C$1052,$O39)))</f>
        <v/>
      </c>
      <c r="E39" s="21" t="str">
        <f aca="false">IF($O39="","",IF(INDEX('DỮ LIỆU'!$E$3:$E$1052,$O39)="","",INDEX('DỮ LIỆU'!$E$3:$E$1052,$O39)))</f>
        <v/>
      </c>
      <c r="F39" s="21" t="str">
        <f aca="false">IF($O39="","",IF(INDEX('DỮ LIỆU'!$F$3:$F$1052,$O39)="","",INDEX('DỮ LIỆU'!$F$3:$F$1052,$O39)))</f>
        <v/>
      </c>
      <c r="G39" s="21" t="str">
        <f aca="false">IF($O39="","",IF(INDEX('DỮ LIỆU'!$H$3:$H$1052,$O39)="","",INDEX('DỮ LIỆU'!$H$3:$H$1052,$O39)))</f>
        <v/>
      </c>
      <c r="H39" s="13" t="str">
        <f aca="false">IF($O39="","",N(INDEX('DỮ LIỆU'!$I$3:$I$1052,$O39)))</f>
        <v/>
      </c>
      <c r="I39" s="13" t="str">
        <f aca="false">IF($O39="","",N(INDEX('DỮ LIỆU'!$J$3:$J$1052,$O39)))</f>
        <v/>
      </c>
      <c r="J39" s="14" t="str">
        <f aca="false">IF($O39="","",N(INDEX('DỮ LIỆU'!$K$3:$K$1052,$O39)))</f>
        <v/>
      </c>
      <c r="K39" s="13" t="str">
        <f aca="false">IF($O39="","",N(INDEX('DỮ LIỆU'!$L$3:$L$1052,$O39)))</f>
        <v/>
      </c>
      <c r="L39" s="13" t="str">
        <f aca="false">IF($O39="","",N(INDEX('DỮ LIỆU'!$M$3:$M$1052,$O39)))</f>
        <v/>
      </c>
      <c r="M39" s="13" t="str">
        <f aca="false">IF($O39="","",N(INDEX('DỮ LIỆU'!$N$3:$N$1052,$O39)))</f>
        <v/>
      </c>
      <c r="N39" s="13" t="str">
        <f aca="false">IF($O39="","",N(INDEX('DỮ LIỆU'!$O$3:$O$1052,$O39)))</f>
        <v/>
      </c>
      <c r="O39" s="0" t="str">
        <f aca="false">IFERROR(MATCH(34,'DỮ LIỆU'!$U$3:$U$1052,0),"")</f>
        <v/>
      </c>
    </row>
    <row r="40" customFormat="false" ht="15" hidden="false" customHeight="false" outlineLevel="0" collapsed="false">
      <c r="A40" s="21" t="str">
        <f aca="false">IF($O40="","",35)</f>
        <v/>
      </c>
      <c r="B40" s="13" t="str">
        <f aca="false">IF($O40="","",INDEX('DỮ LIỆU'!$A$3:$A$1052,$O40))</f>
        <v/>
      </c>
      <c r="C40" s="41" t="str">
        <f aca="false">IF($O40="","",IF(INDEX('DỮ LIỆU'!$B$3:$B$1052,$O40)="","",INDEX('DỮ LIỆU'!$B$3:$B$1052,$O40)))</f>
        <v/>
      </c>
      <c r="D40" s="21" t="str">
        <f aca="false">IF($O40="","",IF(INDEX('DỮ LIỆU'!$C$3:$C$1052,$O40)="","",INDEX('DỮ LIỆU'!$C$3:$C$1052,$O40)))</f>
        <v/>
      </c>
      <c r="E40" s="21" t="str">
        <f aca="false">IF($O40="","",IF(INDEX('DỮ LIỆU'!$E$3:$E$1052,$O40)="","",INDEX('DỮ LIỆU'!$E$3:$E$1052,$O40)))</f>
        <v/>
      </c>
      <c r="F40" s="21" t="str">
        <f aca="false">IF($O40="","",IF(INDEX('DỮ LIỆU'!$F$3:$F$1052,$O40)="","",INDEX('DỮ LIỆU'!$F$3:$F$1052,$O40)))</f>
        <v/>
      </c>
      <c r="G40" s="21" t="str">
        <f aca="false">IF($O40="","",IF(INDEX('DỮ LIỆU'!$H$3:$H$1052,$O40)="","",INDEX('DỮ LIỆU'!$H$3:$H$1052,$O40)))</f>
        <v/>
      </c>
      <c r="H40" s="13" t="str">
        <f aca="false">IF($O40="","",N(INDEX('DỮ LIỆU'!$I$3:$I$1052,$O40)))</f>
        <v/>
      </c>
      <c r="I40" s="13" t="str">
        <f aca="false">IF($O40="","",N(INDEX('DỮ LIỆU'!$J$3:$J$1052,$O40)))</f>
        <v/>
      </c>
      <c r="J40" s="14" t="str">
        <f aca="false">IF($O40="","",N(INDEX('DỮ LIỆU'!$K$3:$K$1052,$O40)))</f>
        <v/>
      </c>
      <c r="K40" s="13" t="str">
        <f aca="false">IF($O40="","",N(INDEX('DỮ LIỆU'!$L$3:$L$1052,$O40)))</f>
        <v/>
      </c>
      <c r="L40" s="13" t="str">
        <f aca="false">IF($O40="","",N(INDEX('DỮ LIỆU'!$M$3:$M$1052,$O40)))</f>
        <v/>
      </c>
      <c r="M40" s="13" t="str">
        <f aca="false">IF($O40="","",N(INDEX('DỮ LIỆU'!$N$3:$N$1052,$O40)))</f>
        <v/>
      </c>
      <c r="N40" s="13" t="str">
        <f aca="false">IF($O40="","",N(INDEX('DỮ LIỆU'!$O$3:$O$1052,$O40)))</f>
        <v/>
      </c>
      <c r="O40" s="0" t="str">
        <f aca="false">IFERROR(MATCH(35,'DỮ LIỆU'!$U$3:$U$1052,0),"")</f>
        <v/>
      </c>
    </row>
    <row r="41" customFormat="false" ht="15" hidden="false" customHeight="false" outlineLevel="0" collapsed="false">
      <c r="A41" s="21" t="str">
        <f aca="false">IF($O41="","",36)</f>
        <v/>
      </c>
      <c r="B41" s="13" t="str">
        <f aca="false">IF($O41="","",INDEX('DỮ LIỆU'!$A$3:$A$1052,$O41))</f>
        <v/>
      </c>
      <c r="C41" s="41" t="str">
        <f aca="false">IF($O41="","",IF(INDEX('DỮ LIỆU'!$B$3:$B$1052,$O41)="","",INDEX('DỮ LIỆU'!$B$3:$B$1052,$O41)))</f>
        <v/>
      </c>
      <c r="D41" s="21" t="str">
        <f aca="false">IF($O41="","",IF(INDEX('DỮ LIỆU'!$C$3:$C$1052,$O41)="","",INDEX('DỮ LIỆU'!$C$3:$C$1052,$O41)))</f>
        <v/>
      </c>
      <c r="E41" s="21" t="str">
        <f aca="false">IF($O41="","",IF(INDEX('DỮ LIỆU'!$E$3:$E$1052,$O41)="","",INDEX('DỮ LIỆU'!$E$3:$E$1052,$O41)))</f>
        <v/>
      </c>
      <c r="F41" s="21" t="str">
        <f aca="false">IF($O41="","",IF(INDEX('DỮ LIỆU'!$F$3:$F$1052,$O41)="","",INDEX('DỮ LIỆU'!$F$3:$F$1052,$O41)))</f>
        <v/>
      </c>
      <c r="G41" s="21" t="str">
        <f aca="false">IF($O41="","",IF(INDEX('DỮ LIỆU'!$H$3:$H$1052,$O41)="","",INDEX('DỮ LIỆU'!$H$3:$H$1052,$O41)))</f>
        <v/>
      </c>
      <c r="H41" s="13" t="str">
        <f aca="false">IF($O41="","",N(INDEX('DỮ LIỆU'!$I$3:$I$1052,$O41)))</f>
        <v/>
      </c>
      <c r="I41" s="13" t="str">
        <f aca="false">IF($O41="","",N(INDEX('DỮ LIỆU'!$J$3:$J$1052,$O41)))</f>
        <v/>
      </c>
      <c r="J41" s="14" t="str">
        <f aca="false">IF($O41="","",N(INDEX('DỮ LIỆU'!$K$3:$K$1052,$O41)))</f>
        <v/>
      </c>
      <c r="K41" s="13" t="str">
        <f aca="false">IF($O41="","",N(INDEX('DỮ LIỆU'!$L$3:$L$1052,$O41)))</f>
        <v/>
      </c>
      <c r="L41" s="13" t="str">
        <f aca="false">IF($O41="","",N(INDEX('DỮ LIỆU'!$M$3:$M$1052,$O41)))</f>
        <v/>
      </c>
      <c r="M41" s="13" t="str">
        <f aca="false">IF($O41="","",N(INDEX('DỮ LIỆU'!$N$3:$N$1052,$O41)))</f>
        <v/>
      </c>
      <c r="N41" s="13" t="str">
        <f aca="false">IF($O41="","",N(INDEX('DỮ LIỆU'!$O$3:$O$1052,$O41)))</f>
        <v/>
      </c>
      <c r="O41" s="0" t="str">
        <f aca="false">IFERROR(MATCH(36,'DỮ LIỆU'!$U$3:$U$1052,0),"")</f>
        <v/>
      </c>
    </row>
    <row r="42" customFormat="false" ht="15" hidden="false" customHeight="false" outlineLevel="0" collapsed="false">
      <c r="A42" s="21" t="str">
        <f aca="false">IF($O42="","",37)</f>
        <v/>
      </c>
      <c r="B42" s="13" t="str">
        <f aca="false">IF($O42="","",INDEX('DỮ LIỆU'!$A$3:$A$1052,$O42))</f>
        <v/>
      </c>
      <c r="C42" s="41" t="str">
        <f aca="false">IF($O42="","",IF(INDEX('DỮ LIỆU'!$B$3:$B$1052,$O42)="","",INDEX('DỮ LIỆU'!$B$3:$B$1052,$O42)))</f>
        <v/>
      </c>
      <c r="D42" s="21" t="str">
        <f aca="false">IF($O42="","",IF(INDEX('DỮ LIỆU'!$C$3:$C$1052,$O42)="","",INDEX('DỮ LIỆU'!$C$3:$C$1052,$O42)))</f>
        <v/>
      </c>
      <c r="E42" s="21" t="str">
        <f aca="false">IF($O42="","",IF(INDEX('DỮ LIỆU'!$E$3:$E$1052,$O42)="","",INDEX('DỮ LIỆU'!$E$3:$E$1052,$O42)))</f>
        <v/>
      </c>
      <c r="F42" s="21" t="str">
        <f aca="false">IF($O42="","",IF(INDEX('DỮ LIỆU'!$F$3:$F$1052,$O42)="","",INDEX('DỮ LIỆU'!$F$3:$F$1052,$O42)))</f>
        <v/>
      </c>
      <c r="G42" s="21" t="str">
        <f aca="false">IF($O42="","",IF(INDEX('DỮ LIỆU'!$H$3:$H$1052,$O42)="","",INDEX('DỮ LIỆU'!$H$3:$H$1052,$O42)))</f>
        <v/>
      </c>
      <c r="H42" s="13" t="str">
        <f aca="false">IF($O42="","",N(INDEX('DỮ LIỆU'!$I$3:$I$1052,$O42)))</f>
        <v/>
      </c>
      <c r="I42" s="13" t="str">
        <f aca="false">IF($O42="","",N(INDEX('DỮ LIỆU'!$J$3:$J$1052,$O42)))</f>
        <v/>
      </c>
      <c r="J42" s="14" t="str">
        <f aca="false">IF($O42="","",N(INDEX('DỮ LIỆU'!$K$3:$K$1052,$O42)))</f>
        <v/>
      </c>
      <c r="K42" s="13" t="str">
        <f aca="false">IF($O42="","",N(INDEX('DỮ LIỆU'!$L$3:$L$1052,$O42)))</f>
        <v/>
      </c>
      <c r="L42" s="13" t="str">
        <f aca="false">IF($O42="","",N(INDEX('DỮ LIỆU'!$M$3:$M$1052,$O42)))</f>
        <v/>
      </c>
      <c r="M42" s="13" t="str">
        <f aca="false">IF($O42="","",N(INDEX('DỮ LIỆU'!$N$3:$N$1052,$O42)))</f>
        <v/>
      </c>
      <c r="N42" s="13" t="str">
        <f aca="false">IF($O42="","",N(INDEX('DỮ LIỆU'!$O$3:$O$1052,$O42)))</f>
        <v/>
      </c>
      <c r="O42" s="0" t="str">
        <f aca="false">IFERROR(MATCH(37,'DỮ LIỆU'!$U$3:$U$1052,0),"")</f>
        <v/>
      </c>
    </row>
    <row r="43" customFormat="false" ht="15" hidden="false" customHeight="false" outlineLevel="0" collapsed="false">
      <c r="A43" s="21" t="str">
        <f aca="false">IF($O43="","",38)</f>
        <v/>
      </c>
      <c r="B43" s="13" t="str">
        <f aca="false">IF($O43="","",INDEX('DỮ LIỆU'!$A$3:$A$1052,$O43))</f>
        <v/>
      </c>
      <c r="C43" s="41" t="str">
        <f aca="false">IF($O43="","",IF(INDEX('DỮ LIỆU'!$B$3:$B$1052,$O43)="","",INDEX('DỮ LIỆU'!$B$3:$B$1052,$O43)))</f>
        <v/>
      </c>
      <c r="D43" s="21" t="str">
        <f aca="false">IF($O43="","",IF(INDEX('DỮ LIỆU'!$C$3:$C$1052,$O43)="","",INDEX('DỮ LIỆU'!$C$3:$C$1052,$O43)))</f>
        <v/>
      </c>
      <c r="E43" s="21" t="str">
        <f aca="false">IF($O43="","",IF(INDEX('DỮ LIỆU'!$E$3:$E$1052,$O43)="","",INDEX('DỮ LIỆU'!$E$3:$E$1052,$O43)))</f>
        <v/>
      </c>
      <c r="F43" s="21" t="str">
        <f aca="false">IF($O43="","",IF(INDEX('DỮ LIỆU'!$F$3:$F$1052,$O43)="","",INDEX('DỮ LIỆU'!$F$3:$F$1052,$O43)))</f>
        <v/>
      </c>
      <c r="G43" s="21" t="str">
        <f aca="false">IF($O43="","",IF(INDEX('DỮ LIỆU'!$H$3:$H$1052,$O43)="","",INDEX('DỮ LIỆU'!$H$3:$H$1052,$O43)))</f>
        <v/>
      </c>
      <c r="H43" s="13" t="str">
        <f aca="false">IF($O43="","",N(INDEX('DỮ LIỆU'!$I$3:$I$1052,$O43)))</f>
        <v/>
      </c>
      <c r="I43" s="13" t="str">
        <f aca="false">IF($O43="","",N(INDEX('DỮ LIỆU'!$J$3:$J$1052,$O43)))</f>
        <v/>
      </c>
      <c r="J43" s="14" t="str">
        <f aca="false">IF($O43="","",N(INDEX('DỮ LIỆU'!$K$3:$K$1052,$O43)))</f>
        <v/>
      </c>
      <c r="K43" s="13" t="str">
        <f aca="false">IF($O43="","",N(INDEX('DỮ LIỆU'!$L$3:$L$1052,$O43)))</f>
        <v/>
      </c>
      <c r="L43" s="13" t="str">
        <f aca="false">IF($O43="","",N(INDEX('DỮ LIỆU'!$M$3:$M$1052,$O43)))</f>
        <v/>
      </c>
      <c r="M43" s="13" t="str">
        <f aca="false">IF($O43="","",N(INDEX('DỮ LIỆU'!$N$3:$N$1052,$O43)))</f>
        <v/>
      </c>
      <c r="N43" s="13" t="str">
        <f aca="false">IF($O43="","",N(INDEX('DỮ LIỆU'!$O$3:$O$1052,$O43)))</f>
        <v/>
      </c>
      <c r="O43" s="0" t="str">
        <f aca="false">IFERROR(MATCH(38,'DỮ LIỆU'!$U$3:$U$1052,0),"")</f>
        <v/>
      </c>
    </row>
    <row r="44" customFormat="false" ht="15" hidden="false" customHeight="false" outlineLevel="0" collapsed="false">
      <c r="A44" s="21" t="str">
        <f aca="false">IF($O44="","",39)</f>
        <v/>
      </c>
      <c r="B44" s="13" t="str">
        <f aca="false">IF($O44="","",INDEX('DỮ LIỆU'!$A$3:$A$1052,$O44))</f>
        <v/>
      </c>
      <c r="C44" s="41" t="str">
        <f aca="false">IF($O44="","",IF(INDEX('DỮ LIỆU'!$B$3:$B$1052,$O44)="","",INDEX('DỮ LIỆU'!$B$3:$B$1052,$O44)))</f>
        <v/>
      </c>
      <c r="D44" s="21" t="str">
        <f aca="false">IF($O44="","",IF(INDEX('DỮ LIỆU'!$C$3:$C$1052,$O44)="","",INDEX('DỮ LIỆU'!$C$3:$C$1052,$O44)))</f>
        <v/>
      </c>
      <c r="E44" s="21" t="str">
        <f aca="false">IF($O44="","",IF(INDEX('DỮ LIỆU'!$E$3:$E$1052,$O44)="","",INDEX('DỮ LIỆU'!$E$3:$E$1052,$O44)))</f>
        <v/>
      </c>
      <c r="F44" s="21" t="str">
        <f aca="false">IF($O44="","",IF(INDEX('DỮ LIỆU'!$F$3:$F$1052,$O44)="","",INDEX('DỮ LIỆU'!$F$3:$F$1052,$O44)))</f>
        <v/>
      </c>
      <c r="G44" s="21" t="str">
        <f aca="false">IF($O44="","",IF(INDEX('DỮ LIỆU'!$H$3:$H$1052,$O44)="","",INDEX('DỮ LIỆU'!$H$3:$H$1052,$O44)))</f>
        <v/>
      </c>
      <c r="H44" s="13" t="str">
        <f aca="false">IF($O44="","",N(INDEX('DỮ LIỆU'!$I$3:$I$1052,$O44)))</f>
        <v/>
      </c>
      <c r="I44" s="13" t="str">
        <f aca="false">IF($O44="","",N(INDEX('DỮ LIỆU'!$J$3:$J$1052,$O44)))</f>
        <v/>
      </c>
      <c r="J44" s="14" t="str">
        <f aca="false">IF($O44="","",N(INDEX('DỮ LIỆU'!$K$3:$K$1052,$O44)))</f>
        <v/>
      </c>
      <c r="K44" s="13" t="str">
        <f aca="false">IF($O44="","",N(INDEX('DỮ LIỆU'!$L$3:$L$1052,$O44)))</f>
        <v/>
      </c>
      <c r="L44" s="13" t="str">
        <f aca="false">IF($O44="","",N(INDEX('DỮ LIỆU'!$M$3:$M$1052,$O44)))</f>
        <v/>
      </c>
      <c r="M44" s="13" t="str">
        <f aca="false">IF($O44="","",N(INDEX('DỮ LIỆU'!$N$3:$N$1052,$O44)))</f>
        <v/>
      </c>
      <c r="N44" s="13" t="str">
        <f aca="false">IF($O44="","",N(INDEX('DỮ LIỆU'!$O$3:$O$1052,$O44)))</f>
        <v/>
      </c>
      <c r="O44" s="0" t="str">
        <f aca="false">IFERROR(MATCH(39,'DỮ LIỆU'!$U$3:$U$1052,0),"")</f>
        <v/>
      </c>
    </row>
    <row r="45" customFormat="false" ht="15" hidden="false" customHeight="false" outlineLevel="0" collapsed="false">
      <c r="A45" s="21" t="str">
        <f aca="false">IF($O45="","",40)</f>
        <v/>
      </c>
      <c r="B45" s="13" t="str">
        <f aca="false">IF($O45="","",INDEX('DỮ LIỆU'!$A$3:$A$1052,$O45))</f>
        <v/>
      </c>
      <c r="C45" s="41" t="str">
        <f aca="false">IF($O45="","",IF(INDEX('DỮ LIỆU'!$B$3:$B$1052,$O45)="","",INDEX('DỮ LIỆU'!$B$3:$B$1052,$O45)))</f>
        <v/>
      </c>
      <c r="D45" s="21" t="str">
        <f aca="false">IF($O45="","",IF(INDEX('DỮ LIỆU'!$C$3:$C$1052,$O45)="","",INDEX('DỮ LIỆU'!$C$3:$C$1052,$O45)))</f>
        <v/>
      </c>
      <c r="E45" s="21" t="str">
        <f aca="false">IF($O45="","",IF(INDEX('DỮ LIỆU'!$E$3:$E$1052,$O45)="","",INDEX('DỮ LIỆU'!$E$3:$E$1052,$O45)))</f>
        <v/>
      </c>
      <c r="F45" s="21" t="str">
        <f aca="false">IF($O45="","",IF(INDEX('DỮ LIỆU'!$F$3:$F$1052,$O45)="","",INDEX('DỮ LIỆU'!$F$3:$F$1052,$O45)))</f>
        <v/>
      </c>
      <c r="G45" s="21" t="str">
        <f aca="false">IF($O45="","",IF(INDEX('DỮ LIỆU'!$H$3:$H$1052,$O45)="","",INDEX('DỮ LIỆU'!$H$3:$H$1052,$O45)))</f>
        <v/>
      </c>
      <c r="H45" s="13" t="str">
        <f aca="false">IF($O45="","",N(INDEX('DỮ LIỆU'!$I$3:$I$1052,$O45)))</f>
        <v/>
      </c>
      <c r="I45" s="13" t="str">
        <f aca="false">IF($O45="","",N(INDEX('DỮ LIỆU'!$J$3:$J$1052,$O45)))</f>
        <v/>
      </c>
      <c r="J45" s="14" t="str">
        <f aca="false">IF($O45="","",N(INDEX('DỮ LIỆU'!$K$3:$K$1052,$O45)))</f>
        <v/>
      </c>
      <c r="K45" s="13" t="str">
        <f aca="false">IF($O45="","",N(INDEX('DỮ LIỆU'!$L$3:$L$1052,$O45)))</f>
        <v/>
      </c>
      <c r="L45" s="13" t="str">
        <f aca="false">IF($O45="","",N(INDEX('DỮ LIỆU'!$M$3:$M$1052,$O45)))</f>
        <v/>
      </c>
      <c r="M45" s="13" t="str">
        <f aca="false">IF($O45="","",N(INDEX('DỮ LIỆU'!$N$3:$N$1052,$O45)))</f>
        <v/>
      </c>
      <c r="N45" s="13" t="str">
        <f aca="false">IF($O45="","",N(INDEX('DỮ LIỆU'!$O$3:$O$1052,$O45)))</f>
        <v/>
      </c>
      <c r="O45" s="0" t="str">
        <f aca="false">IFERROR(MATCH(40,'DỮ LIỆU'!$U$3:$U$1052,0),"")</f>
        <v/>
      </c>
    </row>
    <row r="46" customFormat="false" ht="15" hidden="false" customHeight="false" outlineLevel="0" collapsed="false">
      <c r="A46" s="21" t="str">
        <f aca="false">IF($O46="","",41)</f>
        <v/>
      </c>
      <c r="B46" s="13" t="str">
        <f aca="false">IF($O46="","",INDEX('DỮ LIỆU'!$A$3:$A$1052,$O46))</f>
        <v/>
      </c>
      <c r="C46" s="41" t="str">
        <f aca="false">IF($O46="","",IF(INDEX('DỮ LIỆU'!$B$3:$B$1052,$O46)="","",INDEX('DỮ LIỆU'!$B$3:$B$1052,$O46)))</f>
        <v/>
      </c>
      <c r="D46" s="21" t="str">
        <f aca="false">IF($O46="","",IF(INDEX('DỮ LIỆU'!$C$3:$C$1052,$O46)="","",INDEX('DỮ LIỆU'!$C$3:$C$1052,$O46)))</f>
        <v/>
      </c>
      <c r="E46" s="21" t="str">
        <f aca="false">IF($O46="","",IF(INDEX('DỮ LIỆU'!$E$3:$E$1052,$O46)="","",INDEX('DỮ LIỆU'!$E$3:$E$1052,$O46)))</f>
        <v/>
      </c>
      <c r="F46" s="21" t="str">
        <f aca="false">IF($O46="","",IF(INDEX('DỮ LIỆU'!$F$3:$F$1052,$O46)="","",INDEX('DỮ LIỆU'!$F$3:$F$1052,$O46)))</f>
        <v/>
      </c>
      <c r="G46" s="21" t="str">
        <f aca="false">IF($O46="","",IF(INDEX('DỮ LIỆU'!$H$3:$H$1052,$O46)="","",INDEX('DỮ LIỆU'!$H$3:$H$1052,$O46)))</f>
        <v/>
      </c>
      <c r="H46" s="13" t="str">
        <f aca="false">IF($O46="","",N(INDEX('DỮ LIỆU'!$I$3:$I$1052,$O46)))</f>
        <v/>
      </c>
      <c r="I46" s="13" t="str">
        <f aca="false">IF($O46="","",N(INDEX('DỮ LIỆU'!$J$3:$J$1052,$O46)))</f>
        <v/>
      </c>
      <c r="J46" s="14" t="str">
        <f aca="false">IF($O46="","",N(INDEX('DỮ LIỆU'!$K$3:$K$1052,$O46)))</f>
        <v/>
      </c>
      <c r="K46" s="13" t="str">
        <f aca="false">IF($O46="","",N(INDEX('DỮ LIỆU'!$L$3:$L$1052,$O46)))</f>
        <v/>
      </c>
      <c r="L46" s="13" t="str">
        <f aca="false">IF($O46="","",N(INDEX('DỮ LIỆU'!$M$3:$M$1052,$O46)))</f>
        <v/>
      </c>
      <c r="M46" s="13" t="str">
        <f aca="false">IF($O46="","",N(INDEX('DỮ LIỆU'!$N$3:$N$1052,$O46)))</f>
        <v/>
      </c>
      <c r="N46" s="13" t="str">
        <f aca="false">IF($O46="","",N(INDEX('DỮ LIỆU'!$O$3:$O$1052,$O46)))</f>
        <v/>
      </c>
      <c r="O46" s="0" t="str">
        <f aca="false">IFERROR(MATCH(41,'DỮ LIỆU'!$U$3:$U$1052,0),"")</f>
        <v/>
      </c>
    </row>
    <row r="47" customFormat="false" ht="15" hidden="false" customHeight="false" outlineLevel="0" collapsed="false">
      <c r="A47" s="21" t="str">
        <f aca="false">IF($O47="","",42)</f>
        <v/>
      </c>
      <c r="B47" s="13" t="str">
        <f aca="false">IF($O47="","",INDEX('DỮ LIỆU'!$A$3:$A$1052,$O47))</f>
        <v/>
      </c>
      <c r="C47" s="41" t="str">
        <f aca="false">IF($O47="","",IF(INDEX('DỮ LIỆU'!$B$3:$B$1052,$O47)="","",INDEX('DỮ LIỆU'!$B$3:$B$1052,$O47)))</f>
        <v/>
      </c>
      <c r="D47" s="21" t="str">
        <f aca="false">IF($O47="","",IF(INDEX('DỮ LIỆU'!$C$3:$C$1052,$O47)="","",INDEX('DỮ LIỆU'!$C$3:$C$1052,$O47)))</f>
        <v/>
      </c>
      <c r="E47" s="21" t="str">
        <f aca="false">IF($O47="","",IF(INDEX('DỮ LIỆU'!$E$3:$E$1052,$O47)="","",INDEX('DỮ LIỆU'!$E$3:$E$1052,$O47)))</f>
        <v/>
      </c>
      <c r="F47" s="21" t="str">
        <f aca="false">IF($O47="","",IF(INDEX('DỮ LIỆU'!$F$3:$F$1052,$O47)="","",INDEX('DỮ LIỆU'!$F$3:$F$1052,$O47)))</f>
        <v/>
      </c>
      <c r="G47" s="21" t="str">
        <f aca="false">IF($O47="","",IF(INDEX('DỮ LIỆU'!$H$3:$H$1052,$O47)="","",INDEX('DỮ LIỆU'!$H$3:$H$1052,$O47)))</f>
        <v/>
      </c>
      <c r="H47" s="13" t="str">
        <f aca="false">IF($O47="","",N(INDEX('DỮ LIỆU'!$I$3:$I$1052,$O47)))</f>
        <v/>
      </c>
      <c r="I47" s="13" t="str">
        <f aca="false">IF($O47="","",N(INDEX('DỮ LIỆU'!$J$3:$J$1052,$O47)))</f>
        <v/>
      </c>
      <c r="J47" s="14" t="str">
        <f aca="false">IF($O47="","",N(INDEX('DỮ LIỆU'!$K$3:$K$1052,$O47)))</f>
        <v/>
      </c>
      <c r="K47" s="13" t="str">
        <f aca="false">IF($O47="","",N(INDEX('DỮ LIỆU'!$L$3:$L$1052,$O47)))</f>
        <v/>
      </c>
      <c r="L47" s="13" t="str">
        <f aca="false">IF($O47="","",N(INDEX('DỮ LIỆU'!$M$3:$M$1052,$O47)))</f>
        <v/>
      </c>
      <c r="M47" s="13" t="str">
        <f aca="false">IF($O47="","",N(INDEX('DỮ LIỆU'!$N$3:$N$1052,$O47)))</f>
        <v/>
      </c>
      <c r="N47" s="13" t="str">
        <f aca="false">IF($O47="","",N(INDEX('DỮ LIỆU'!$O$3:$O$1052,$O47)))</f>
        <v/>
      </c>
      <c r="O47" s="0" t="str">
        <f aca="false">IFERROR(MATCH(42,'DỮ LIỆU'!$U$3:$U$1052,0),"")</f>
        <v/>
      </c>
    </row>
    <row r="48" customFormat="false" ht="15" hidden="false" customHeight="false" outlineLevel="0" collapsed="false">
      <c r="A48" s="21" t="str">
        <f aca="false">IF($O48="","",43)</f>
        <v/>
      </c>
      <c r="B48" s="13" t="str">
        <f aca="false">IF($O48="","",INDEX('DỮ LIỆU'!$A$3:$A$1052,$O48))</f>
        <v/>
      </c>
      <c r="C48" s="41" t="str">
        <f aca="false">IF($O48="","",IF(INDEX('DỮ LIỆU'!$B$3:$B$1052,$O48)="","",INDEX('DỮ LIỆU'!$B$3:$B$1052,$O48)))</f>
        <v/>
      </c>
      <c r="D48" s="21" t="str">
        <f aca="false">IF($O48="","",IF(INDEX('DỮ LIỆU'!$C$3:$C$1052,$O48)="","",INDEX('DỮ LIỆU'!$C$3:$C$1052,$O48)))</f>
        <v/>
      </c>
      <c r="E48" s="21" t="str">
        <f aca="false">IF($O48="","",IF(INDEX('DỮ LIỆU'!$E$3:$E$1052,$O48)="","",INDEX('DỮ LIỆU'!$E$3:$E$1052,$O48)))</f>
        <v/>
      </c>
      <c r="F48" s="21" t="str">
        <f aca="false">IF($O48="","",IF(INDEX('DỮ LIỆU'!$F$3:$F$1052,$O48)="","",INDEX('DỮ LIỆU'!$F$3:$F$1052,$O48)))</f>
        <v/>
      </c>
      <c r="G48" s="21" t="str">
        <f aca="false">IF($O48="","",IF(INDEX('DỮ LIỆU'!$H$3:$H$1052,$O48)="","",INDEX('DỮ LIỆU'!$H$3:$H$1052,$O48)))</f>
        <v/>
      </c>
      <c r="H48" s="13" t="str">
        <f aca="false">IF($O48="","",N(INDEX('DỮ LIỆU'!$I$3:$I$1052,$O48)))</f>
        <v/>
      </c>
      <c r="I48" s="13" t="str">
        <f aca="false">IF($O48="","",N(INDEX('DỮ LIỆU'!$J$3:$J$1052,$O48)))</f>
        <v/>
      </c>
      <c r="J48" s="14" t="str">
        <f aca="false">IF($O48="","",N(INDEX('DỮ LIỆU'!$K$3:$K$1052,$O48)))</f>
        <v/>
      </c>
      <c r="K48" s="13" t="str">
        <f aca="false">IF($O48="","",N(INDEX('DỮ LIỆU'!$L$3:$L$1052,$O48)))</f>
        <v/>
      </c>
      <c r="L48" s="13" t="str">
        <f aca="false">IF($O48="","",N(INDEX('DỮ LIỆU'!$M$3:$M$1052,$O48)))</f>
        <v/>
      </c>
      <c r="M48" s="13" t="str">
        <f aca="false">IF($O48="","",N(INDEX('DỮ LIỆU'!$N$3:$N$1052,$O48)))</f>
        <v/>
      </c>
      <c r="N48" s="13" t="str">
        <f aca="false">IF($O48="","",N(INDEX('DỮ LIỆU'!$O$3:$O$1052,$O48)))</f>
        <v/>
      </c>
      <c r="O48" s="0" t="str">
        <f aca="false">IFERROR(MATCH(43,'DỮ LIỆU'!$U$3:$U$1052,0),"")</f>
        <v/>
      </c>
    </row>
    <row r="49" customFormat="false" ht="15" hidden="false" customHeight="false" outlineLevel="0" collapsed="false">
      <c r="A49" s="21" t="str">
        <f aca="false">IF($O49="","",44)</f>
        <v/>
      </c>
      <c r="B49" s="13" t="str">
        <f aca="false">IF($O49="","",INDEX('DỮ LIỆU'!$A$3:$A$1052,$O49))</f>
        <v/>
      </c>
      <c r="C49" s="41" t="str">
        <f aca="false">IF($O49="","",IF(INDEX('DỮ LIỆU'!$B$3:$B$1052,$O49)="","",INDEX('DỮ LIỆU'!$B$3:$B$1052,$O49)))</f>
        <v/>
      </c>
      <c r="D49" s="21" t="str">
        <f aca="false">IF($O49="","",IF(INDEX('DỮ LIỆU'!$C$3:$C$1052,$O49)="","",INDEX('DỮ LIỆU'!$C$3:$C$1052,$O49)))</f>
        <v/>
      </c>
      <c r="E49" s="21" t="str">
        <f aca="false">IF($O49="","",IF(INDEX('DỮ LIỆU'!$E$3:$E$1052,$O49)="","",INDEX('DỮ LIỆU'!$E$3:$E$1052,$O49)))</f>
        <v/>
      </c>
      <c r="F49" s="21" t="str">
        <f aca="false">IF($O49="","",IF(INDEX('DỮ LIỆU'!$F$3:$F$1052,$O49)="","",INDEX('DỮ LIỆU'!$F$3:$F$1052,$O49)))</f>
        <v/>
      </c>
      <c r="G49" s="21" t="str">
        <f aca="false">IF($O49="","",IF(INDEX('DỮ LIỆU'!$H$3:$H$1052,$O49)="","",INDEX('DỮ LIỆU'!$H$3:$H$1052,$O49)))</f>
        <v/>
      </c>
      <c r="H49" s="13" t="str">
        <f aca="false">IF($O49="","",N(INDEX('DỮ LIỆU'!$I$3:$I$1052,$O49)))</f>
        <v/>
      </c>
      <c r="I49" s="13" t="str">
        <f aca="false">IF($O49="","",N(INDEX('DỮ LIỆU'!$J$3:$J$1052,$O49)))</f>
        <v/>
      </c>
      <c r="J49" s="14" t="str">
        <f aca="false">IF($O49="","",N(INDEX('DỮ LIỆU'!$K$3:$K$1052,$O49)))</f>
        <v/>
      </c>
      <c r="K49" s="13" t="str">
        <f aca="false">IF($O49="","",N(INDEX('DỮ LIỆU'!$L$3:$L$1052,$O49)))</f>
        <v/>
      </c>
      <c r="L49" s="13" t="str">
        <f aca="false">IF($O49="","",N(INDEX('DỮ LIỆU'!$M$3:$M$1052,$O49)))</f>
        <v/>
      </c>
      <c r="M49" s="13" t="str">
        <f aca="false">IF($O49="","",N(INDEX('DỮ LIỆU'!$N$3:$N$1052,$O49)))</f>
        <v/>
      </c>
      <c r="N49" s="13" t="str">
        <f aca="false">IF($O49="","",N(INDEX('DỮ LIỆU'!$O$3:$O$1052,$O49)))</f>
        <v/>
      </c>
      <c r="O49" s="0" t="str">
        <f aca="false">IFERROR(MATCH(44,'DỮ LIỆU'!$U$3:$U$1052,0),"")</f>
        <v/>
      </c>
    </row>
    <row r="50" customFormat="false" ht="15" hidden="false" customHeight="false" outlineLevel="0" collapsed="false">
      <c r="A50" s="21" t="str">
        <f aca="false">IF($O50="","",45)</f>
        <v/>
      </c>
      <c r="B50" s="13" t="str">
        <f aca="false">IF($O50="","",INDEX('DỮ LIỆU'!$A$3:$A$1052,$O50))</f>
        <v/>
      </c>
      <c r="C50" s="41" t="str">
        <f aca="false">IF($O50="","",IF(INDEX('DỮ LIỆU'!$B$3:$B$1052,$O50)="","",INDEX('DỮ LIỆU'!$B$3:$B$1052,$O50)))</f>
        <v/>
      </c>
      <c r="D50" s="21" t="str">
        <f aca="false">IF($O50="","",IF(INDEX('DỮ LIỆU'!$C$3:$C$1052,$O50)="","",INDEX('DỮ LIỆU'!$C$3:$C$1052,$O50)))</f>
        <v/>
      </c>
      <c r="E50" s="21" t="str">
        <f aca="false">IF($O50="","",IF(INDEX('DỮ LIỆU'!$E$3:$E$1052,$O50)="","",INDEX('DỮ LIỆU'!$E$3:$E$1052,$O50)))</f>
        <v/>
      </c>
      <c r="F50" s="21" t="str">
        <f aca="false">IF($O50="","",IF(INDEX('DỮ LIỆU'!$F$3:$F$1052,$O50)="","",INDEX('DỮ LIỆU'!$F$3:$F$1052,$O50)))</f>
        <v/>
      </c>
      <c r="G50" s="21" t="str">
        <f aca="false">IF($O50="","",IF(INDEX('DỮ LIỆU'!$H$3:$H$1052,$O50)="","",INDEX('DỮ LIỆU'!$H$3:$H$1052,$O50)))</f>
        <v/>
      </c>
      <c r="H50" s="13" t="str">
        <f aca="false">IF($O50="","",N(INDEX('DỮ LIỆU'!$I$3:$I$1052,$O50)))</f>
        <v/>
      </c>
      <c r="I50" s="13" t="str">
        <f aca="false">IF($O50="","",N(INDEX('DỮ LIỆU'!$J$3:$J$1052,$O50)))</f>
        <v/>
      </c>
      <c r="J50" s="14" t="str">
        <f aca="false">IF($O50="","",N(INDEX('DỮ LIỆU'!$K$3:$K$1052,$O50)))</f>
        <v/>
      </c>
      <c r="K50" s="13" t="str">
        <f aca="false">IF($O50="","",N(INDEX('DỮ LIỆU'!$L$3:$L$1052,$O50)))</f>
        <v/>
      </c>
      <c r="L50" s="13" t="str">
        <f aca="false">IF($O50="","",N(INDEX('DỮ LIỆU'!$M$3:$M$1052,$O50)))</f>
        <v/>
      </c>
      <c r="M50" s="13" t="str">
        <f aca="false">IF($O50="","",N(INDEX('DỮ LIỆU'!$N$3:$N$1052,$O50)))</f>
        <v/>
      </c>
      <c r="N50" s="13" t="str">
        <f aca="false">IF($O50="","",N(INDEX('DỮ LIỆU'!$O$3:$O$1052,$O50)))</f>
        <v/>
      </c>
      <c r="O50" s="0" t="str">
        <f aca="false">IFERROR(MATCH(45,'DỮ LIỆU'!$U$3:$U$1052,0),"")</f>
        <v/>
      </c>
    </row>
    <row r="51" customFormat="false" ht="15" hidden="false" customHeight="false" outlineLevel="0" collapsed="false">
      <c r="A51" s="21" t="str">
        <f aca="false">IF($O51="","",46)</f>
        <v/>
      </c>
      <c r="B51" s="13" t="str">
        <f aca="false">IF($O51="","",INDEX('DỮ LIỆU'!$A$3:$A$1052,$O51))</f>
        <v/>
      </c>
      <c r="C51" s="41" t="str">
        <f aca="false">IF($O51="","",IF(INDEX('DỮ LIỆU'!$B$3:$B$1052,$O51)="","",INDEX('DỮ LIỆU'!$B$3:$B$1052,$O51)))</f>
        <v/>
      </c>
      <c r="D51" s="21" t="str">
        <f aca="false">IF($O51="","",IF(INDEX('DỮ LIỆU'!$C$3:$C$1052,$O51)="","",INDEX('DỮ LIỆU'!$C$3:$C$1052,$O51)))</f>
        <v/>
      </c>
      <c r="E51" s="21" t="str">
        <f aca="false">IF($O51="","",IF(INDEX('DỮ LIỆU'!$E$3:$E$1052,$O51)="","",INDEX('DỮ LIỆU'!$E$3:$E$1052,$O51)))</f>
        <v/>
      </c>
      <c r="F51" s="21" t="str">
        <f aca="false">IF($O51="","",IF(INDEX('DỮ LIỆU'!$F$3:$F$1052,$O51)="","",INDEX('DỮ LIỆU'!$F$3:$F$1052,$O51)))</f>
        <v/>
      </c>
      <c r="G51" s="21" t="str">
        <f aca="false">IF($O51="","",IF(INDEX('DỮ LIỆU'!$H$3:$H$1052,$O51)="","",INDEX('DỮ LIỆU'!$H$3:$H$1052,$O51)))</f>
        <v/>
      </c>
      <c r="H51" s="13" t="str">
        <f aca="false">IF($O51="","",N(INDEX('DỮ LIỆU'!$I$3:$I$1052,$O51)))</f>
        <v/>
      </c>
      <c r="I51" s="13" t="str">
        <f aca="false">IF($O51="","",N(INDEX('DỮ LIỆU'!$J$3:$J$1052,$O51)))</f>
        <v/>
      </c>
      <c r="J51" s="14" t="str">
        <f aca="false">IF($O51="","",N(INDEX('DỮ LIỆU'!$K$3:$K$1052,$O51)))</f>
        <v/>
      </c>
      <c r="K51" s="13" t="str">
        <f aca="false">IF($O51="","",N(INDEX('DỮ LIỆU'!$L$3:$L$1052,$O51)))</f>
        <v/>
      </c>
      <c r="L51" s="13" t="str">
        <f aca="false">IF($O51="","",N(INDEX('DỮ LIỆU'!$M$3:$M$1052,$O51)))</f>
        <v/>
      </c>
      <c r="M51" s="13" t="str">
        <f aca="false">IF($O51="","",N(INDEX('DỮ LIỆU'!$N$3:$N$1052,$O51)))</f>
        <v/>
      </c>
      <c r="N51" s="13" t="str">
        <f aca="false">IF($O51="","",N(INDEX('DỮ LIỆU'!$O$3:$O$1052,$O51)))</f>
        <v/>
      </c>
      <c r="O51" s="0" t="str">
        <f aca="false">IFERROR(MATCH(46,'DỮ LIỆU'!$U$3:$U$1052,0),"")</f>
        <v/>
      </c>
    </row>
    <row r="52" customFormat="false" ht="15" hidden="false" customHeight="false" outlineLevel="0" collapsed="false">
      <c r="A52" s="21" t="str">
        <f aca="false">IF($O52="","",47)</f>
        <v/>
      </c>
      <c r="B52" s="13" t="str">
        <f aca="false">IF($O52="","",INDEX('DỮ LIỆU'!$A$3:$A$1052,$O52))</f>
        <v/>
      </c>
      <c r="C52" s="41" t="str">
        <f aca="false">IF($O52="","",IF(INDEX('DỮ LIỆU'!$B$3:$B$1052,$O52)="","",INDEX('DỮ LIỆU'!$B$3:$B$1052,$O52)))</f>
        <v/>
      </c>
      <c r="D52" s="21" t="str">
        <f aca="false">IF($O52="","",IF(INDEX('DỮ LIỆU'!$C$3:$C$1052,$O52)="","",INDEX('DỮ LIỆU'!$C$3:$C$1052,$O52)))</f>
        <v/>
      </c>
      <c r="E52" s="21" t="str">
        <f aca="false">IF($O52="","",IF(INDEX('DỮ LIỆU'!$E$3:$E$1052,$O52)="","",INDEX('DỮ LIỆU'!$E$3:$E$1052,$O52)))</f>
        <v/>
      </c>
      <c r="F52" s="21" t="str">
        <f aca="false">IF($O52="","",IF(INDEX('DỮ LIỆU'!$F$3:$F$1052,$O52)="","",INDEX('DỮ LIỆU'!$F$3:$F$1052,$O52)))</f>
        <v/>
      </c>
      <c r="G52" s="21" t="str">
        <f aca="false">IF($O52="","",IF(INDEX('DỮ LIỆU'!$H$3:$H$1052,$O52)="","",INDEX('DỮ LIỆU'!$H$3:$H$1052,$O52)))</f>
        <v/>
      </c>
      <c r="H52" s="13" t="str">
        <f aca="false">IF($O52="","",N(INDEX('DỮ LIỆU'!$I$3:$I$1052,$O52)))</f>
        <v/>
      </c>
      <c r="I52" s="13" t="str">
        <f aca="false">IF($O52="","",N(INDEX('DỮ LIỆU'!$J$3:$J$1052,$O52)))</f>
        <v/>
      </c>
      <c r="J52" s="14" t="str">
        <f aca="false">IF($O52="","",N(INDEX('DỮ LIỆU'!$K$3:$K$1052,$O52)))</f>
        <v/>
      </c>
      <c r="K52" s="13" t="str">
        <f aca="false">IF($O52="","",N(INDEX('DỮ LIỆU'!$L$3:$L$1052,$O52)))</f>
        <v/>
      </c>
      <c r="L52" s="13" t="str">
        <f aca="false">IF($O52="","",N(INDEX('DỮ LIỆU'!$M$3:$M$1052,$O52)))</f>
        <v/>
      </c>
      <c r="M52" s="13" t="str">
        <f aca="false">IF($O52="","",N(INDEX('DỮ LIỆU'!$N$3:$N$1052,$O52)))</f>
        <v/>
      </c>
      <c r="N52" s="13" t="str">
        <f aca="false">IF($O52="","",N(INDEX('DỮ LIỆU'!$O$3:$O$1052,$O52)))</f>
        <v/>
      </c>
      <c r="O52" s="0" t="str">
        <f aca="false">IFERROR(MATCH(47,'DỮ LIỆU'!$U$3:$U$1052,0),"")</f>
        <v/>
      </c>
    </row>
    <row r="53" customFormat="false" ht="15" hidden="false" customHeight="false" outlineLevel="0" collapsed="false">
      <c r="A53" s="21" t="str">
        <f aca="false">IF($O53="","",48)</f>
        <v/>
      </c>
      <c r="B53" s="13" t="str">
        <f aca="false">IF($O53="","",INDEX('DỮ LIỆU'!$A$3:$A$1052,$O53))</f>
        <v/>
      </c>
      <c r="C53" s="41" t="str">
        <f aca="false">IF($O53="","",IF(INDEX('DỮ LIỆU'!$B$3:$B$1052,$O53)="","",INDEX('DỮ LIỆU'!$B$3:$B$1052,$O53)))</f>
        <v/>
      </c>
      <c r="D53" s="21" t="str">
        <f aca="false">IF($O53="","",IF(INDEX('DỮ LIỆU'!$C$3:$C$1052,$O53)="","",INDEX('DỮ LIỆU'!$C$3:$C$1052,$O53)))</f>
        <v/>
      </c>
      <c r="E53" s="21" t="str">
        <f aca="false">IF($O53="","",IF(INDEX('DỮ LIỆU'!$E$3:$E$1052,$O53)="","",INDEX('DỮ LIỆU'!$E$3:$E$1052,$O53)))</f>
        <v/>
      </c>
      <c r="F53" s="21" t="str">
        <f aca="false">IF($O53="","",IF(INDEX('DỮ LIỆU'!$F$3:$F$1052,$O53)="","",INDEX('DỮ LIỆU'!$F$3:$F$1052,$O53)))</f>
        <v/>
      </c>
      <c r="G53" s="21" t="str">
        <f aca="false">IF($O53="","",IF(INDEX('DỮ LIỆU'!$H$3:$H$1052,$O53)="","",INDEX('DỮ LIỆU'!$H$3:$H$1052,$O53)))</f>
        <v/>
      </c>
      <c r="H53" s="13" t="str">
        <f aca="false">IF($O53="","",N(INDEX('DỮ LIỆU'!$I$3:$I$1052,$O53)))</f>
        <v/>
      </c>
      <c r="I53" s="13" t="str">
        <f aca="false">IF($O53="","",N(INDEX('DỮ LIỆU'!$J$3:$J$1052,$O53)))</f>
        <v/>
      </c>
      <c r="J53" s="14" t="str">
        <f aca="false">IF($O53="","",N(INDEX('DỮ LIỆU'!$K$3:$K$1052,$O53)))</f>
        <v/>
      </c>
      <c r="K53" s="13" t="str">
        <f aca="false">IF($O53="","",N(INDEX('DỮ LIỆU'!$L$3:$L$1052,$O53)))</f>
        <v/>
      </c>
      <c r="L53" s="13" t="str">
        <f aca="false">IF($O53="","",N(INDEX('DỮ LIỆU'!$M$3:$M$1052,$O53)))</f>
        <v/>
      </c>
      <c r="M53" s="13" t="str">
        <f aca="false">IF($O53="","",N(INDEX('DỮ LIỆU'!$N$3:$N$1052,$O53)))</f>
        <v/>
      </c>
      <c r="N53" s="13" t="str">
        <f aca="false">IF($O53="","",N(INDEX('DỮ LIỆU'!$O$3:$O$1052,$O53)))</f>
        <v/>
      </c>
      <c r="O53" s="0" t="str">
        <f aca="false">IFERROR(MATCH(48,'DỮ LIỆU'!$U$3:$U$1052,0),"")</f>
        <v/>
      </c>
    </row>
    <row r="54" customFormat="false" ht="15" hidden="false" customHeight="false" outlineLevel="0" collapsed="false">
      <c r="A54" s="21" t="str">
        <f aca="false">IF($O54="","",49)</f>
        <v/>
      </c>
      <c r="B54" s="13" t="str">
        <f aca="false">IF($O54="","",INDEX('DỮ LIỆU'!$A$3:$A$1052,$O54))</f>
        <v/>
      </c>
      <c r="C54" s="41" t="str">
        <f aca="false">IF($O54="","",IF(INDEX('DỮ LIỆU'!$B$3:$B$1052,$O54)="","",INDEX('DỮ LIỆU'!$B$3:$B$1052,$O54)))</f>
        <v/>
      </c>
      <c r="D54" s="21" t="str">
        <f aca="false">IF($O54="","",IF(INDEX('DỮ LIỆU'!$C$3:$C$1052,$O54)="","",INDEX('DỮ LIỆU'!$C$3:$C$1052,$O54)))</f>
        <v/>
      </c>
      <c r="E54" s="21" t="str">
        <f aca="false">IF($O54="","",IF(INDEX('DỮ LIỆU'!$E$3:$E$1052,$O54)="","",INDEX('DỮ LIỆU'!$E$3:$E$1052,$O54)))</f>
        <v/>
      </c>
      <c r="F54" s="21" t="str">
        <f aca="false">IF($O54="","",IF(INDEX('DỮ LIỆU'!$F$3:$F$1052,$O54)="","",INDEX('DỮ LIỆU'!$F$3:$F$1052,$O54)))</f>
        <v/>
      </c>
      <c r="G54" s="21" t="str">
        <f aca="false">IF($O54="","",IF(INDEX('DỮ LIỆU'!$H$3:$H$1052,$O54)="","",INDEX('DỮ LIỆU'!$H$3:$H$1052,$O54)))</f>
        <v/>
      </c>
      <c r="H54" s="13" t="str">
        <f aca="false">IF($O54="","",N(INDEX('DỮ LIỆU'!$I$3:$I$1052,$O54)))</f>
        <v/>
      </c>
      <c r="I54" s="13" t="str">
        <f aca="false">IF($O54="","",N(INDEX('DỮ LIỆU'!$J$3:$J$1052,$O54)))</f>
        <v/>
      </c>
      <c r="J54" s="14" t="str">
        <f aca="false">IF($O54="","",N(INDEX('DỮ LIỆU'!$K$3:$K$1052,$O54)))</f>
        <v/>
      </c>
      <c r="K54" s="13" t="str">
        <f aca="false">IF($O54="","",N(INDEX('DỮ LIỆU'!$L$3:$L$1052,$O54)))</f>
        <v/>
      </c>
      <c r="L54" s="13" t="str">
        <f aca="false">IF($O54="","",N(INDEX('DỮ LIỆU'!$M$3:$M$1052,$O54)))</f>
        <v/>
      </c>
      <c r="M54" s="13" t="str">
        <f aca="false">IF($O54="","",N(INDEX('DỮ LIỆU'!$N$3:$N$1052,$O54)))</f>
        <v/>
      </c>
      <c r="N54" s="13" t="str">
        <f aca="false">IF($O54="","",N(INDEX('DỮ LIỆU'!$O$3:$O$1052,$O54)))</f>
        <v/>
      </c>
      <c r="O54" s="0" t="str">
        <f aca="false">IFERROR(MATCH(49,'DỮ LIỆU'!$U$3:$U$1052,0),"")</f>
        <v/>
      </c>
    </row>
    <row r="55" customFormat="false" ht="15" hidden="false" customHeight="false" outlineLevel="0" collapsed="false">
      <c r="A55" s="21" t="str">
        <f aca="false">IF($O55="","",50)</f>
        <v/>
      </c>
      <c r="B55" s="13" t="str">
        <f aca="false">IF($O55="","",INDEX('DỮ LIỆU'!$A$3:$A$1052,$O55))</f>
        <v/>
      </c>
      <c r="C55" s="41" t="str">
        <f aca="false">IF($O55="","",IF(INDEX('DỮ LIỆU'!$B$3:$B$1052,$O55)="","",INDEX('DỮ LIỆU'!$B$3:$B$1052,$O55)))</f>
        <v/>
      </c>
      <c r="D55" s="21" t="str">
        <f aca="false">IF($O55="","",IF(INDEX('DỮ LIỆU'!$C$3:$C$1052,$O55)="","",INDEX('DỮ LIỆU'!$C$3:$C$1052,$O55)))</f>
        <v/>
      </c>
      <c r="E55" s="21" t="str">
        <f aca="false">IF($O55="","",IF(INDEX('DỮ LIỆU'!$E$3:$E$1052,$O55)="","",INDEX('DỮ LIỆU'!$E$3:$E$1052,$O55)))</f>
        <v/>
      </c>
      <c r="F55" s="21" t="str">
        <f aca="false">IF($O55="","",IF(INDEX('DỮ LIỆU'!$F$3:$F$1052,$O55)="","",INDEX('DỮ LIỆU'!$F$3:$F$1052,$O55)))</f>
        <v/>
      </c>
      <c r="G55" s="21" t="str">
        <f aca="false">IF($O55="","",IF(INDEX('DỮ LIỆU'!$H$3:$H$1052,$O55)="","",INDEX('DỮ LIỆU'!$H$3:$H$1052,$O55)))</f>
        <v/>
      </c>
      <c r="H55" s="13" t="str">
        <f aca="false">IF($O55="","",N(INDEX('DỮ LIỆU'!$I$3:$I$1052,$O55)))</f>
        <v/>
      </c>
      <c r="I55" s="13" t="str">
        <f aca="false">IF($O55="","",N(INDEX('DỮ LIỆU'!$J$3:$J$1052,$O55)))</f>
        <v/>
      </c>
      <c r="J55" s="14" t="str">
        <f aca="false">IF($O55="","",N(INDEX('DỮ LIỆU'!$K$3:$K$1052,$O55)))</f>
        <v/>
      </c>
      <c r="K55" s="13" t="str">
        <f aca="false">IF($O55="","",N(INDEX('DỮ LIỆU'!$L$3:$L$1052,$O55)))</f>
        <v/>
      </c>
      <c r="L55" s="13" t="str">
        <f aca="false">IF($O55="","",N(INDEX('DỮ LIỆU'!$M$3:$M$1052,$O55)))</f>
        <v/>
      </c>
      <c r="M55" s="13" t="str">
        <f aca="false">IF($O55="","",N(INDEX('DỮ LIỆU'!$N$3:$N$1052,$O55)))</f>
        <v/>
      </c>
      <c r="N55" s="13" t="str">
        <f aca="false">IF($O55="","",N(INDEX('DỮ LIỆU'!$O$3:$O$1052,$O55)))</f>
        <v/>
      </c>
      <c r="O55" s="0" t="str">
        <f aca="false">IFERROR(MATCH(50,'DỮ LIỆU'!$U$3:$U$1052,0),"")</f>
        <v/>
      </c>
    </row>
    <row r="56" customFormat="false" ht="15" hidden="false" customHeight="false" outlineLevel="0" collapsed="false">
      <c r="A56" s="21" t="str">
        <f aca="false">IF($O56="","",51)</f>
        <v/>
      </c>
      <c r="B56" s="13" t="str">
        <f aca="false">IF($O56="","",INDEX('DỮ LIỆU'!$A$3:$A$1052,$O56))</f>
        <v/>
      </c>
      <c r="C56" s="41" t="str">
        <f aca="false">IF($O56="","",IF(INDEX('DỮ LIỆU'!$B$3:$B$1052,$O56)="","",INDEX('DỮ LIỆU'!$B$3:$B$1052,$O56)))</f>
        <v/>
      </c>
      <c r="D56" s="21" t="str">
        <f aca="false">IF($O56="","",IF(INDEX('DỮ LIỆU'!$C$3:$C$1052,$O56)="","",INDEX('DỮ LIỆU'!$C$3:$C$1052,$O56)))</f>
        <v/>
      </c>
      <c r="E56" s="21" t="str">
        <f aca="false">IF($O56="","",IF(INDEX('DỮ LIỆU'!$E$3:$E$1052,$O56)="","",INDEX('DỮ LIỆU'!$E$3:$E$1052,$O56)))</f>
        <v/>
      </c>
      <c r="F56" s="21" t="str">
        <f aca="false">IF($O56="","",IF(INDEX('DỮ LIỆU'!$F$3:$F$1052,$O56)="","",INDEX('DỮ LIỆU'!$F$3:$F$1052,$O56)))</f>
        <v/>
      </c>
      <c r="G56" s="21" t="str">
        <f aca="false">IF($O56="","",IF(INDEX('DỮ LIỆU'!$H$3:$H$1052,$O56)="","",INDEX('DỮ LIỆU'!$H$3:$H$1052,$O56)))</f>
        <v/>
      </c>
      <c r="H56" s="13" t="str">
        <f aca="false">IF($O56="","",N(INDEX('DỮ LIỆU'!$I$3:$I$1052,$O56)))</f>
        <v/>
      </c>
      <c r="I56" s="13" t="str">
        <f aca="false">IF($O56="","",N(INDEX('DỮ LIỆU'!$J$3:$J$1052,$O56)))</f>
        <v/>
      </c>
      <c r="J56" s="14" t="str">
        <f aca="false">IF($O56="","",N(INDEX('DỮ LIỆU'!$K$3:$K$1052,$O56)))</f>
        <v/>
      </c>
      <c r="K56" s="13" t="str">
        <f aca="false">IF($O56="","",N(INDEX('DỮ LIỆU'!$L$3:$L$1052,$O56)))</f>
        <v/>
      </c>
      <c r="L56" s="13" t="str">
        <f aca="false">IF($O56="","",N(INDEX('DỮ LIỆU'!$M$3:$M$1052,$O56)))</f>
        <v/>
      </c>
      <c r="M56" s="13" t="str">
        <f aca="false">IF($O56="","",N(INDEX('DỮ LIỆU'!$N$3:$N$1052,$O56)))</f>
        <v/>
      </c>
      <c r="N56" s="13" t="str">
        <f aca="false">IF($O56="","",N(INDEX('DỮ LIỆU'!$O$3:$O$1052,$O56)))</f>
        <v/>
      </c>
      <c r="O56" s="0" t="str">
        <f aca="false">IFERROR(MATCH(51,'DỮ LIỆU'!$U$3:$U$1052,0),"")</f>
        <v/>
      </c>
    </row>
    <row r="57" customFormat="false" ht="15" hidden="false" customHeight="false" outlineLevel="0" collapsed="false">
      <c r="A57" s="21" t="str">
        <f aca="false">IF($O57="","",52)</f>
        <v/>
      </c>
      <c r="B57" s="13" t="str">
        <f aca="false">IF($O57="","",INDEX('DỮ LIỆU'!$A$3:$A$1052,$O57))</f>
        <v/>
      </c>
      <c r="C57" s="41" t="str">
        <f aca="false">IF($O57="","",IF(INDEX('DỮ LIỆU'!$B$3:$B$1052,$O57)="","",INDEX('DỮ LIỆU'!$B$3:$B$1052,$O57)))</f>
        <v/>
      </c>
      <c r="D57" s="21" t="str">
        <f aca="false">IF($O57="","",IF(INDEX('DỮ LIỆU'!$C$3:$C$1052,$O57)="","",INDEX('DỮ LIỆU'!$C$3:$C$1052,$O57)))</f>
        <v/>
      </c>
      <c r="E57" s="21" t="str">
        <f aca="false">IF($O57="","",IF(INDEX('DỮ LIỆU'!$E$3:$E$1052,$O57)="","",INDEX('DỮ LIỆU'!$E$3:$E$1052,$O57)))</f>
        <v/>
      </c>
      <c r="F57" s="21" t="str">
        <f aca="false">IF($O57="","",IF(INDEX('DỮ LIỆU'!$F$3:$F$1052,$O57)="","",INDEX('DỮ LIỆU'!$F$3:$F$1052,$O57)))</f>
        <v/>
      </c>
      <c r="G57" s="21" t="str">
        <f aca="false">IF($O57="","",IF(INDEX('DỮ LIỆU'!$H$3:$H$1052,$O57)="","",INDEX('DỮ LIỆU'!$H$3:$H$1052,$O57)))</f>
        <v/>
      </c>
      <c r="H57" s="13" t="str">
        <f aca="false">IF($O57="","",N(INDEX('DỮ LIỆU'!$I$3:$I$1052,$O57)))</f>
        <v/>
      </c>
      <c r="I57" s="13" t="str">
        <f aca="false">IF($O57="","",N(INDEX('DỮ LIỆU'!$J$3:$J$1052,$O57)))</f>
        <v/>
      </c>
      <c r="J57" s="14" t="str">
        <f aca="false">IF($O57="","",N(INDEX('DỮ LIỆU'!$K$3:$K$1052,$O57)))</f>
        <v/>
      </c>
      <c r="K57" s="13" t="str">
        <f aca="false">IF($O57="","",N(INDEX('DỮ LIỆU'!$L$3:$L$1052,$O57)))</f>
        <v/>
      </c>
      <c r="L57" s="13" t="str">
        <f aca="false">IF($O57="","",N(INDEX('DỮ LIỆU'!$M$3:$M$1052,$O57)))</f>
        <v/>
      </c>
      <c r="M57" s="13" t="str">
        <f aca="false">IF($O57="","",N(INDEX('DỮ LIỆU'!$N$3:$N$1052,$O57)))</f>
        <v/>
      </c>
      <c r="N57" s="13" t="str">
        <f aca="false">IF($O57="","",N(INDEX('DỮ LIỆU'!$O$3:$O$1052,$O57)))</f>
        <v/>
      </c>
      <c r="O57" s="0" t="str">
        <f aca="false">IFERROR(MATCH(52,'DỮ LIỆU'!$U$3:$U$1052,0),"")</f>
        <v/>
      </c>
    </row>
    <row r="58" customFormat="false" ht="15" hidden="false" customHeight="false" outlineLevel="0" collapsed="false">
      <c r="A58" s="21" t="str">
        <f aca="false">IF($O58="","",53)</f>
        <v/>
      </c>
      <c r="B58" s="13" t="str">
        <f aca="false">IF($O58="","",INDEX('DỮ LIỆU'!$A$3:$A$1052,$O58))</f>
        <v/>
      </c>
      <c r="C58" s="41" t="str">
        <f aca="false">IF($O58="","",IF(INDEX('DỮ LIỆU'!$B$3:$B$1052,$O58)="","",INDEX('DỮ LIỆU'!$B$3:$B$1052,$O58)))</f>
        <v/>
      </c>
      <c r="D58" s="21" t="str">
        <f aca="false">IF($O58="","",IF(INDEX('DỮ LIỆU'!$C$3:$C$1052,$O58)="","",INDEX('DỮ LIỆU'!$C$3:$C$1052,$O58)))</f>
        <v/>
      </c>
      <c r="E58" s="21" t="str">
        <f aca="false">IF($O58="","",IF(INDEX('DỮ LIỆU'!$E$3:$E$1052,$O58)="","",INDEX('DỮ LIỆU'!$E$3:$E$1052,$O58)))</f>
        <v/>
      </c>
      <c r="F58" s="21" t="str">
        <f aca="false">IF($O58="","",IF(INDEX('DỮ LIỆU'!$F$3:$F$1052,$O58)="","",INDEX('DỮ LIỆU'!$F$3:$F$1052,$O58)))</f>
        <v/>
      </c>
      <c r="G58" s="21" t="str">
        <f aca="false">IF($O58="","",IF(INDEX('DỮ LIỆU'!$H$3:$H$1052,$O58)="","",INDEX('DỮ LIỆU'!$H$3:$H$1052,$O58)))</f>
        <v/>
      </c>
      <c r="H58" s="13" t="str">
        <f aca="false">IF($O58="","",N(INDEX('DỮ LIỆU'!$I$3:$I$1052,$O58)))</f>
        <v/>
      </c>
      <c r="I58" s="13" t="str">
        <f aca="false">IF($O58="","",N(INDEX('DỮ LIỆU'!$J$3:$J$1052,$O58)))</f>
        <v/>
      </c>
      <c r="J58" s="14" t="str">
        <f aca="false">IF($O58="","",N(INDEX('DỮ LIỆU'!$K$3:$K$1052,$O58)))</f>
        <v/>
      </c>
      <c r="K58" s="13" t="str">
        <f aca="false">IF($O58="","",N(INDEX('DỮ LIỆU'!$L$3:$L$1052,$O58)))</f>
        <v/>
      </c>
      <c r="L58" s="13" t="str">
        <f aca="false">IF($O58="","",N(INDEX('DỮ LIỆU'!$M$3:$M$1052,$O58)))</f>
        <v/>
      </c>
      <c r="M58" s="13" t="str">
        <f aca="false">IF($O58="","",N(INDEX('DỮ LIỆU'!$N$3:$N$1052,$O58)))</f>
        <v/>
      </c>
      <c r="N58" s="13" t="str">
        <f aca="false">IF($O58="","",N(INDEX('DỮ LIỆU'!$O$3:$O$1052,$O58)))</f>
        <v/>
      </c>
      <c r="O58" s="0" t="str">
        <f aca="false">IFERROR(MATCH(53,'DỮ LIỆU'!$U$3:$U$1052,0),"")</f>
        <v/>
      </c>
    </row>
    <row r="59" customFormat="false" ht="15" hidden="false" customHeight="false" outlineLevel="0" collapsed="false">
      <c r="A59" s="21" t="str">
        <f aca="false">IF($O59="","",54)</f>
        <v/>
      </c>
      <c r="B59" s="13" t="str">
        <f aca="false">IF($O59="","",INDEX('DỮ LIỆU'!$A$3:$A$1052,$O59))</f>
        <v/>
      </c>
      <c r="C59" s="41" t="str">
        <f aca="false">IF($O59="","",IF(INDEX('DỮ LIỆU'!$B$3:$B$1052,$O59)="","",INDEX('DỮ LIỆU'!$B$3:$B$1052,$O59)))</f>
        <v/>
      </c>
      <c r="D59" s="21" t="str">
        <f aca="false">IF($O59="","",IF(INDEX('DỮ LIỆU'!$C$3:$C$1052,$O59)="","",INDEX('DỮ LIỆU'!$C$3:$C$1052,$O59)))</f>
        <v/>
      </c>
      <c r="E59" s="21" t="str">
        <f aca="false">IF($O59="","",IF(INDEX('DỮ LIỆU'!$E$3:$E$1052,$O59)="","",INDEX('DỮ LIỆU'!$E$3:$E$1052,$O59)))</f>
        <v/>
      </c>
      <c r="F59" s="21" t="str">
        <f aca="false">IF($O59="","",IF(INDEX('DỮ LIỆU'!$F$3:$F$1052,$O59)="","",INDEX('DỮ LIỆU'!$F$3:$F$1052,$O59)))</f>
        <v/>
      </c>
      <c r="G59" s="21" t="str">
        <f aca="false">IF($O59="","",IF(INDEX('DỮ LIỆU'!$H$3:$H$1052,$O59)="","",INDEX('DỮ LIỆU'!$H$3:$H$1052,$O59)))</f>
        <v/>
      </c>
      <c r="H59" s="13" t="str">
        <f aca="false">IF($O59="","",N(INDEX('DỮ LIỆU'!$I$3:$I$1052,$O59)))</f>
        <v/>
      </c>
      <c r="I59" s="13" t="str">
        <f aca="false">IF($O59="","",N(INDEX('DỮ LIỆU'!$J$3:$J$1052,$O59)))</f>
        <v/>
      </c>
      <c r="J59" s="14" t="str">
        <f aca="false">IF($O59="","",N(INDEX('DỮ LIỆU'!$K$3:$K$1052,$O59)))</f>
        <v/>
      </c>
      <c r="K59" s="13" t="str">
        <f aca="false">IF($O59="","",N(INDEX('DỮ LIỆU'!$L$3:$L$1052,$O59)))</f>
        <v/>
      </c>
      <c r="L59" s="13" t="str">
        <f aca="false">IF($O59="","",N(INDEX('DỮ LIỆU'!$M$3:$M$1052,$O59)))</f>
        <v/>
      </c>
      <c r="M59" s="13" t="str">
        <f aca="false">IF($O59="","",N(INDEX('DỮ LIỆU'!$N$3:$N$1052,$O59)))</f>
        <v/>
      </c>
      <c r="N59" s="13" t="str">
        <f aca="false">IF($O59="","",N(INDEX('DỮ LIỆU'!$O$3:$O$1052,$O59)))</f>
        <v/>
      </c>
      <c r="O59" s="0" t="str">
        <f aca="false">IFERROR(MATCH(54,'DỮ LIỆU'!$U$3:$U$1052,0),"")</f>
        <v/>
      </c>
    </row>
    <row r="60" customFormat="false" ht="15" hidden="false" customHeight="false" outlineLevel="0" collapsed="false">
      <c r="A60" s="21" t="str">
        <f aca="false">IF($O60="","",55)</f>
        <v/>
      </c>
      <c r="B60" s="13" t="str">
        <f aca="false">IF($O60="","",INDEX('DỮ LIỆU'!$A$3:$A$1052,$O60))</f>
        <v/>
      </c>
      <c r="C60" s="41" t="str">
        <f aca="false">IF($O60="","",IF(INDEX('DỮ LIỆU'!$B$3:$B$1052,$O60)="","",INDEX('DỮ LIỆU'!$B$3:$B$1052,$O60)))</f>
        <v/>
      </c>
      <c r="D60" s="21" t="str">
        <f aca="false">IF($O60="","",IF(INDEX('DỮ LIỆU'!$C$3:$C$1052,$O60)="","",INDEX('DỮ LIỆU'!$C$3:$C$1052,$O60)))</f>
        <v/>
      </c>
      <c r="E60" s="21" t="str">
        <f aca="false">IF($O60="","",IF(INDEX('DỮ LIỆU'!$E$3:$E$1052,$O60)="","",INDEX('DỮ LIỆU'!$E$3:$E$1052,$O60)))</f>
        <v/>
      </c>
      <c r="F60" s="21" t="str">
        <f aca="false">IF($O60="","",IF(INDEX('DỮ LIỆU'!$F$3:$F$1052,$O60)="","",INDEX('DỮ LIỆU'!$F$3:$F$1052,$O60)))</f>
        <v/>
      </c>
      <c r="G60" s="21" t="str">
        <f aca="false">IF($O60="","",IF(INDEX('DỮ LIỆU'!$H$3:$H$1052,$O60)="","",INDEX('DỮ LIỆU'!$H$3:$H$1052,$O60)))</f>
        <v/>
      </c>
      <c r="H60" s="13" t="str">
        <f aca="false">IF($O60="","",N(INDEX('DỮ LIỆU'!$I$3:$I$1052,$O60)))</f>
        <v/>
      </c>
      <c r="I60" s="13" t="str">
        <f aca="false">IF($O60="","",N(INDEX('DỮ LIỆU'!$J$3:$J$1052,$O60)))</f>
        <v/>
      </c>
      <c r="J60" s="14" t="str">
        <f aca="false">IF($O60="","",N(INDEX('DỮ LIỆU'!$K$3:$K$1052,$O60)))</f>
        <v/>
      </c>
      <c r="K60" s="13" t="str">
        <f aca="false">IF($O60="","",N(INDEX('DỮ LIỆU'!$L$3:$L$1052,$O60)))</f>
        <v/>
      </c>
      <c r="L60" s="13" t="str">
        <f aca="false">IF($O60="","",N(INDEX('DỮ LIỆU'!$M$3:$M$1052,$O60)))</f>
        <v/>
      </c>
      <c r="M60" s="13" t="str">
        <f aca="false">IF($O60="","",N(INDEX('DỮ LIỆU'!$N$3:$N$1052,$O60)))</f>
        <v/>
      </c>
      <c r="N60" s="13" t="str">
        <f aca="false">IF($O60="","",N(INDEX('DỮ LIỆU'!$O$3:$O$1052,$O60)))</f>
        <v/>
      </c>
      <c r="O60" s="0" t="str">
        <f aca="false">IFERROR(MATCH(55,'DỮ LIỆU'!$U$3:$U$1052,0),"")</f>
        <v/>
      </c>
    </row>
    <row r="61" customFormat="false" ht="15" hidden="false" customHeight="false" outlineLevel="0" collapsed="false">
      <c r="A61" s="21" t="str">
        <f aca="false">IF($O61="","",56)</f>
        <v/>
      </c>
      <c r="B61" s="13" t="str">
        <f aca="false">IF($O61="","",INDEX('DỮ LIỆU'!$A$3:$A$1052,$O61))</f>
        <v/>
      </c>
      <c r="C61" s="41" t="str">
        <f aca="false">IF($O61="","",IF(INDEX('DỮ LIỆU'!$B$3:$B$1052,$O61)="","",INDEX('DỮ LIỆU'!$B$3:$B$1052,$O61)))</f>
        <v/>
      </c>
      <c r="D61" s="21" t="str">
        <f aca="false">IF($O61="","",IF(INDEX('DỮ LIỆU'!$C$3:$C$1052,$O61)="","",INDEX('DỮ LIỆU'!$C$3:$C$1052,$O61)))</f>
        <v/>
      </c>
      <c r="E61" s="21" t="str">
        <f aca="false">IF($O61="","",IF(INDEX('DỮ LIỆU'!$E$3:$E$1052,$O61)="","",INDEX('DỮ LIỆU'!$E$3:$E$1052,$O61)))</f>
        <v/>
      </c>
      <c r="F61" s="21" t="str">
        <f aca="false">IF($O61="","",IF(INDEX('DỮ LIỆU'!$F$3:$F$1052,$O61)="","",INDEX('DỮ LIỆU'!$F$3:$F$1052,$O61)))</f>
        <v/>
      </c>
      <c r="G61" s="21" t="str">
        <f aca="false">IF($O61="","",IF(INDEX('DỮ LIỆU'!$H$3:$H$1052,$O61)="","",INDEX('DỮ LIỆU'!$H$3:$H$1052,$O61)))</f>
        <v/>
      </c>
      <c r="H61" s="13" t="str">
        <f aca="false">IF($O61="","",N(INDEX('DỮ LIỆU'!$I$3:$I$1052,$O61)))</f>
        <v/>
      </c>
      <c r="I61" s="13" t="str">
        <f aca="false">IF($O61="","",N(INDEX('DỮ LIỆU'!$J$3:$J$1052,$O61)))</f>
        <v/>
      </c>
      <c r="J61" s="14" t="str">
        <f aca="false">IF($O61="","",N(INDEX('DỮ LIỆU'!$K$3:$K$1052,$O61)))</f>
        <v/>
      </c>
      <c r="K61" s="13" t="str">
        <f aca="false">IF($O61="","",N(INDEX('DỮ LIỆU'!$L$3:$L$1052,$O61)))</f>
        <v/>
      </c>
      <c r="L61" s="13" t="str">
        <f aca="false">IF($O61="","",N(INDEX('DỮ LIỆU'!$M$3:$M$1052,$O61)))</f>
        <v/>
      </c>
      <c r="M61" s="13" t="str">
        <f aca="false">IF($O61="","",N(INDEX('DỮ LIỆU'!$N$3:$N$1052,$O61)))</f>
        <v/>
      </c>
      <c r="N61" s="13" t="str">
        <f aca="false">IF($O61="","",N(INDEX('DỮ LIỆU'!$O$3:$O$1052,$O61)))</f>
        <v/>
      </c>
      <c r="O61" s="0" t="str">
        <f aca="false">IFERROR(MATCH(56,'DỮ LIỆU'!$U$3:$U$1052,0),"")</f>
        <v/>
      </c>
    </row>
    <row r="62" customFormat="false" ht="15" hidden="false" customHeight="false" outlineLevel="0" collapsed="false">
      <c r="A62" s="21" t="str">
        <f aca="false">IF($O62="","",57)</f>
        <v/>
      </c>
      <c r="B62" s="13" t="str">
        <f aca="false">IF($O62="","",INDEX('DỮ LIỆU'!$A$3:$A$1052,$O62))</f>
        <v/>
      </c>
      <c r="C62" s="41" t="str">
        <f aca="false">IF($O62="","",IF(INDEX('DỮ LIỆU'!$B$3:$B$1052,$O62)="","",INDEX('DỮ LIỆU'!$B$3:$B$1052,$O62)))</f>
        <v/>
      </c>
      <c r="D62" s="21" t="str">
        <f aca="false">IF($O62="","",IF(INDEX('DỮ LIỆU'!$C$3:$C$1052,$O62)="","",INDEX('DỮ LIỆU'!$C$3:$C$1052,$O62)))</f>
        <v/>
      </c>
      <c r="E62" s="21" t="str">
        <f aca="false">IF($O62="","",IF(INDEX('DỮ LIỆU'!$E$3:$E$1052,$O62)="","",INDEX('DỮ LIỆU'!$E$3:$E$1052,$O62)))</f>
        <v/>
      </c>
      <c r="F62" s="21" t="str">
        <f aca="false">IF($O62="","",IF(INDEX('DỮ LIỆU'!$F$3:$F$1052,$O62)="","",INDEX('DỮ LIỆU'!$F$3:$F$1052,$O62)))</f>
        <v/>
      </c>
      <c r="G62" s="21" t="str">
        <f aca="false">IF($O62="","",IF(INDEX('DỮ LIỆU'!$H$3:$H$1052,$O62)="","",INDEX('DỮ LIỆU'!$H$3:$H$1052,$O62)))</f>
        <v/>
      </c>
      <c r="H62" s="13" t="str">
        <f aca="false">IF($O62="","",N(INDEX('DỮ LIỆU'!$I$3:$I$1052,$O62)))</f>
        <v/>
      </c>
      <c r="I62" s="13" t="str">
        <f aca="false">IF($O62="","",N(INDEX('DỮ LIỆU'!$J$3:$J$1052,$O62)))</f>
        <v/>
      </c>
      <c r="J62" s="14" t="str">
        <f aca="false">IF($O62="","",N(INDEX('DỮ LIỆU'!$K$3:$K$1052,$O62)))</f>
        <v/>
      </c>
      <c r="K62" s="13" t="str">
        <f aca="false">IF($O62="","",N(INDEX('DỮ LIỆU'!$L$3:$L$1052,$O62)))</f>
        <v/>
      </c>
      <c r="L62" s="13" t="str">
        <f aca="false">IF($O62="","",N(INDEX('DỮ LIỆU'!$M$3:$M$1052,$O62)))</f>
        <v/>
      </c>
      <c r="M62" s="13" t="str">
        <f aca="false">IF($O62="","",N(INDEX('DỮ LIỆU'!$N$3:$N$1052,$O62)))</f>
        <v/>
      </c>
      <c r="N62" s="13" t="str">
        <f aca="false">IF($O62="","",N(INDEX('DỮ LIỆU'!$O$3:$O$1052,$O62)))</f>
        <v/>
      </c>
      <c r="O62" s="0" t="str">
        <f aca="false">IFERROR(MATCH(57,'DỮ LIỆU'!$U$3:$U$1052,0),"")</f>
        <v/>
      </c>
    </row>
    <row r="63" customFormat="false" ht="15" hidden="false" customHeight="false" outlineLevel="0" collapsed="false">
      <c r="A63" s="21" t="str">
        <f aca="false">IF($O63="","",58)</f>
        <v/>
      </c>
      <c r="B63" s="13" t="str">
        <f aca="false">IF($O63="","",INDEX('DỮ LIỆU'!$A$3:$A$1052,$O63))</f>
        <v/>
      </c>
      <c r="C63" s="41" t="str">
        <f aca="false">IF($O63="","",IF(INDEX('DỮ LIỆU'!$B$3:$B$1052,$O63)="","",INDEX('DỮ LIỆU'!$B$3:$B$1052,$O63)))</f>
        <v/>
      </c>
      <c r="D63" s="21" t="str">
        <f aca="false">IF($O63="","",IF(INDEX('DỮ LIỆU'!$C$3:$C$1052,$O63)="","",INDEX('DỮ LIỆU'!$C$3:$C$1052,$O63)))</f>
        <v/>
      </c>
      <c r="E63" s="21" t="str">
        <f aca="false">IF($O63="","",IF(INDEX('DỮ LIỆU'!$E$3:$E$1052,$O63)="","",INDEX('DỮ LIỆU'!$E$3:$E$1052,$O63)))</f>
        <v/>
      </c>
      <c r="F63" s="21" t="str">
        <f aca="false">IF($O63="","",IF(INDEX('DỮ LIỆU'!$F$3:$F$1052,$O63)="","",INDEX('DỮ LIỆU'!$F$3:$F$1052,$O63)))</f>
        <v/>
      </c>
      <c r="G63" s="21" t="str">
        <f aca="false">IF($O63="","",IF(INDEX('DỮ LIỆU'!$H$3:$H$1052,$O63)="","",INDEX('DỮ LIỆU'!$H$3:$H$1052,$O63)))</f>
        <v/>
      </c>
      <c r="H63" s="13" t="str">
        <f aca="false">IF($O63="","",N(INDEX('DỮ LIỆU'!$I$3:$I$1052,$O63)))</f>
        <v/>
      </c>
      <c r="I63" s="13" t="str">
        <f aca="false">IF($O63="","",N(INDEX('DỮ LIỆU'!$J$3:$J$1052,$O63)))</f>
        <v/>
      </c>
      <c r="J63" s="14" t="str">
        <f aca="false">IF($O63="","",N(INDEX('DỮ LIỆU'!$K$3:$K$1052,$O63)))</f>
        <v/>
      </c>
      <c r="K63" s="13" t="str">
        <f aca="false">IF($O63="","",N(INDEX('DỮ LIỆU'!$L$3:$L$1052,$O63)))</f>
        <v/>
      </c>
      <c r="L63" s="13" t="str">
        <f aca="false">IF($O63="","",N(INDEX('DỮ LIỆU'!$M$3:$M$1052,$O63)))</f>
        <v/>
      </c>
      <c r="M63" s="13" t="str">
        <f aca="false">IF($O63="","",N(INDEX('DỮ LIỆU'!$N$3:$N$1052,$O63)))</f>
        <v/>
      </c>
      <c r="N63" s="13" t="str">
        <f aca="false">IF($O63="","",N(INDEX('DỮ LIỆU'!$O$3:$O$1052,$O63)))</f>
        <v/>
      </c>
      <c r="O63" s="0" t="str">
        <f aca="false">IFERROR(MATCH(58,'DỮ LIỆU'!$U$3:$U$1052,0),"")</f>
        <v/>
      </c>
    </row>
    <row r="64" customFormat="false" ht="15" hidden="false" customHeight="false" outlineLevel="0" collapsed="false">
      <c r="A64" s="21" t="str">
        <f aca="false">IF($O64="","",59)</f>
        <v/>
      </c>
      <c r="B64" s="13" t="str">
        <f aca="false">IF($O64="","",INDEX('DỮ LIỆU'!$A$3:$A$1052,$O64))</f>
        <v/>
      </c>
      <c r="C64" s="41" t="str">
        <f aca="false">IF($O64="","",IF(INDEX('DỮ LIỆU'!$B$3:$B$1052,$O64)="","",INDEX('DỮ LIỆU'!$B$3:$B$1052,$O64)))</f>
        <v/>
      </c>
      <c r="D64" s="21" t="str">
        <f aca="false">IF($O64="","",IF(INDEX('DỮ LIỆU'!$C$3:$C$1052,$O64)="","",INDEX('DỮ LIỆU'!$C$3:$C$1052,$O64)))</f>
        <v/>
      </c>
      <c r="E64" s="21" t="str">
        <f aca="false">IF($O64="","",IF(INDEX('DỮ LIỆU'!$E$3:$E$1052,$O64)="","",INDEX('DỮ LIỆU'!$E$3:$E$1052,$O64)))</f>
        <v/>
      </c>
      <c r="F64" s="21" t="str">
        <f aca="false">IF($O64="","",IF(INDEX('DỮ LIỆU'!$F$3:$F$1052,$O64)="","",INDEX('DỮ LIỆU'!$F$3:$F$1052,$O64)))</f>
        <v/>
      </c>
      <c r="G64" s="21" t="str">
        <f aca="false">IF($O64="","",IF(INDEX('DỮ LIỆU'!$H$3:$H$1052,$O64)="","",INDEX('DỮ LIỆU'!$H$3:$H$1052,$O64)))</f>
        <v/>
      </c>
      <c r="H64" s="13" t="str">
        <f aca="false">IF($O64="","",N(INDEX('DỮ LIỆU'!$I$3:$I$1052,$O64)))</f>
        <v/>
      </c>
      <c r="I64" s="13" t="str">
        <f aca="false">IF($O64="","",N(INDEX('DỮ LIỆU'!$J$3:$J$1052,$O64)))</f>
        <v/>
      </c>
      <c r="J64" s="14" t="str">
        <f aca="false">IF($O64="","",N(INDEX('DỮ LIỆU'!$K$3:$K$1052,$O64)))</f>
        <v/>
      </c>
      <c r="K64" s="13" t="str">
        <f aca="false">IF($O64="","",N(INDEX('DỮ LIỆU'!$L$3:$L$1052,$O64)))</f>
        <v/>
      </c>
      <c r="L64" s="13" t="str">
        <f aca="false">IF($O64="","",N(INDEX('DỮ LIỆU'!$M$3:$M$1052,$O64)))</f>
        <v/>
      </c>
      <c r="M64" s="13" t="str">
        <f aca="false">IF($O64="","",N(INDEX('DỮ LIỆU'!$N$3:$N$1052,$O64)))</f>
        <v/>
      </c>
      <c r="N64" s="13" t="str">
        <f aca="false">IF($O64="","",N(INDEX('DỮ LIỆU'!$O$3:$O$1052,$O64)))</f>
        <v/>
      </c>
      <c r="O64" s="0" t="str">
        <f aca="false">IFERROR(MATCH(59,'DỮ LIỆU'!$U$3:$U$1052,0),"")</f>
        <v/>
      </c>
    </row>
    <row r="65" customFormat="false" ht="15" hidden="false" customHeight="false" outlineLevel="0" collapsed="false">
      <c r="A65" s="21" t="str">
        <f aca="false">IF($O65="","",60)</f>
        <v/>
      </c>
      <c r="B65" s="13" t="str">
        <f aca="false">IF($O65="","",INDEX('DỮ LIỆU'!$A$3:$A$1052,$O65))</f>
        <v/>
      </c>
      <c r="C65" s="41" t="str">
        <f aca="false">IF($O65="","",IF(INDEX('DỮ LIỆU'!$B$3:$B$1052,$O65)="","",INDEX('DỮ LIỆU'!$B$3:$B$1052,$O65)))</f>
        <v/>
      </c>
      <c r="D65" s="21" t="str">
        <f aca="false">IF($O65="","",IF(INDEX('DỮ LIỆU'!$C$3:$C$1052,$O65)="","",INDEX('DỮ LIỆU'!$C$3:$C$1052,$O65)))</f>
        <v/>
      </c>
      <c r="E65" s="21" t="str">
        <f aca="false">IF($O65="","",IF(INDEX('DỮ LIỆU'!$E$3:$E$1052,$O65)="","",INDEX('DỮ LIỆU'!$E$3:$E$1052,$O65)))</f>
        <v/>
      </c>
      <c r="F65" s="21" t="str">
        <f aca="false">IF($O65="","",IF(INDEX('DỮ LIỆU'!$F$3:$F$1052,$O65)="","",INDEX('DỮ LIỆU'!$F$3:$F$1052,$O65)))</f>
        <v/>
      </c>
      <c r="G65" s="21" t="str">
        <f aca="false">IF($O65="","",IF(INDEX('DỮ LIỆU'!$H$3:$H$1052,$O65)="","",INDEX('DỮ LIỆU'!$H$3:$H$1052,$O65)))</f>
        <v/>
      </c>
      <c r="H65" s="13" t="str">
        <f aca="false">IF($O65="","",N(INDEX('DỮ LIỆU'!$I$3:$I$1052,$O65)))</f>
        <v/>
      </c>
      <c r="I65" s="13" t="str">
        <f aca="false">IF($O65="","",N(INDEX('DỮ LIỆU'!$J$3:$J$1052,$O65)))</f>
        <v/>
      </c>
      <c r="J65" s="14" t="str">
        <f aca="false">IF($O65="","",N(INDEX('DỮ LIỆU'!$K$3:$K$1052,$O65)))</f>
        <v/>
      </c>
      <c r="K65" s="13" t="str">
        <f aca="false">IF($O65="","",N(INDEX('DỮ LIỆU'!$L$3:$L$1052,$O65)))</f>
        <v/>
      </c>
      <c r="L65" s="13" t="str">
        <f aca="false">IF($O65="","",N(INDEX('DỮ LIỆU'!$M$3:$M$1052,$O65)))</f>
        <v/>
      </c>
      <c r="M65" s="13" t="str">
        <f aca="false">IF($O65="","",N(INDEX('DỮ LIỆU'!$N$3:$N$1052,$O65)))</f>
        <v/>
      </c>
      <c r="N65" s="13" t="str">
        <f aca="false">IF($O65="","",N(INDEX('DỮ LIỆU'!$O$3:$O$1052,$O65)))</f>
        <v/>
      </c>
      <c r="O65" s="0" t="str">
        <f aca="false">IFERROR(MATCH(60,'DỮ LIỆU'!$U$3:$U$1052,0),"")</f>
        <v/>
      </c>
    </row>
    <row r="66" customFormat="false" ht="15" hidden="false" customHeight="false" outlineLevel="0" collapsed="false">
      <c r="A66" s="21" t="str">
        <f aca="false">IF($O66="","",61)</f>
        <v/>
      </c>
      <c r="B66" s="13" t="str">
        <f aca="false">IF($O66="","",INDEX('DỮ LIỆU'!$A$3:$A$1052,$O66))</f>
        <v/>
      </c>
      <c r="C66" s="41" t="str">
        <f aca="false">IF($O66="","",IF(INDEX('DỮ LIỆU'!$B$3:$B$1052,$O66)="","",INDEX('DỮ LIỆU'!$B$3:$B$1052,$O66)))</f>
        <v/>
      </c>
      <c r="D66" s="21" t="str">
        <f aca="false">IF($O66="","",IF(INDEX('DỮ LIỆU'!$C$3:$C$1052,$O66)="","",INDEX('DỮ LIỆU'!$C$3:$C$1052,$O66)))</f>
        <v/>
      </c>
      <c r="E66" s="21" t="str">
        <f aca="false">IF($O66="","",IF(INDEX('DỮ LIỆU'!$E$3:$E$1052,$O66)="","",INDEX('DỮ LIỆU'!$E$3:$E$1052,$O66)))</f>
        <v/>
      </c>
      <c r="F66" s="21" t="str">
        <f aca="false">IF($O66="","",IF(INDEX('DỮ LIỆU'!$F$3:$F$1052,$O66)="","",INDEX('DỮ LIỆU'!$F$3:$F$1052,$O66)))</f>
        <v/>
      </c>
      <c r="G66" s="21" t="str">
        <f aca="false">IF($O66="","",IF(INDEX('DỮ LIỆU'!$H$3:$H$1052,$O66)="","",INDEX('DỮ LIỆU'!$H$3:$H$1052,$O66)))</f>
        <v/>
      </c>
      <c r="H66" s="13" t="str">
        <f aca="false">IF($O66="","",N(INDEX('DỮ LIỆU'!$I$3:$I$1052,$O66)))</f>
        <v/>
      </c>
      <c r="I66" s="13" t="str">
        <f aca="false">IF($O66="","",N(INDEX('DỮ LIỆU'!$J$3:$J$1052,$O66)))</f>
        <v/>
      </c>
      <c r="J66" s="14" t="str">
        <f aca="false">IF($O66="","",N(INDEX('DỮ LIỆU'!$K$3:$K$1052,$O66)))</f>
        <v/>
      </c>
      <c r="K66" s="13" t="str">
        <f aca="false">IF($O66="","",N(INDEX('DỮ LIỆU'!$L$3:$L$1052,$O66)))</f>
        <v/>
      </c>
      <c r="L66" s="13" t="str">
        <f aca="false">IF($O66="","",N(INDEX('DỮ LIỆU'!$M$3:$M$1052,$O66)))</f>
        <v/>
      </c>
      <c r="M66" s="13" t="str">
        <f aca="false">IF($O66="","",N(INDEX('DỮ LIỆU'!$N$3:$N$1052,$O66)))</f>
        <v/>
      </c>
      <c r="N66" s="13" t="str">
        <f aca="false">IF($O66="","",N(INDEX('DỮ LIỆU'!$O$3:$O$1052,$O66)))</f>
        <v/>
      </c>
      <c r="O66" s="0" t="str">
        <f aca="false">IFERROR(MATCH(61,'DỮ LIỆU'!$U$3:$U$1052,0),"")</f>
        <v/>
      </c>
    </row>
    <row r="67" customFormat="false" ht="15" hidden="false" customHeight="false" outlineLevel="0" collapsed="false">
      <c r="A67" s="21" t="str">
        <f aca="false">IF($O67="","",62)</f>
        <v/>
      </c>
      <c r="B67" s="13" t="str">
        <f aca="false">IF($O67="","",INDEX('DỮ LIỆU'!$A$3:$A$1052,$O67))</f>
        <v/>
      </c>
      <c r="C67" s="41" t="str">
        <f aca="false">IF($O67="","",IF(INDEX('DỮ LIỆU'!$B$3:$B$1052,$O67)="","",INDEX('DỮ LIỆU'!$B$3:$B$1052,$O67)))</f>
        <v/>
      </c>
      <c r="D67" s="21" t="str">
        <f aca="false">IF($O67="","",IF(INDEX('DỮ LIỆU'!$C$3:$C$1052,$O67)="","",INDEX('DỮ LIỆU'!$C$3:$C$1052,$O67)))</f>
        <v/>
      </c>
      <c r="E67" s="21" t="str">
        <f aca="false">IF($O67="","",IF(INDEX('DỮ LIỆU'!$E$3:$E$1052,$O67)="","",INDEX('DỮ LIỆU'!$E$3:$E$1052,$O67)))</f>
        <v/>
      </c>
      <c r="F67" s="21" t="str">
        <f aca="false">IF($O67="","",IF(INDEX('DỮ LIỆU'!$F$3:$F$1052,$O67)="","",INDEX('DỮ LIỆU'!$F$3:$F$1052,$O67)))</f>
        <v/>
      </c>
      <c r="G67" s="21" t="str">
        <f aca="false">IF($O67="","",IF(INDEX('DỮ LIỆU'!$H$3:$H$1052,$O67)="","",INDEX('DỮ LIỆU'!$H$3:$H$1052,$O67)))</f>
        <v/>
      </c>
      <c r="H67" s="13" t="str">
        <f aca="false">IF($O67="","",N(INDEX('DỮ LIỆU'!$I$3:$I$1052,$O67)))</f>
        <v/>
      </c>
      <c r="I67" s="13" t="str">
        <f aca="false">IF($O67="","",N(INDEX('DỮ LIỆU'!$J$3:$J$1052,$O67)))</f>
        <v/>
      </c>
      <c r="J67" s="14" t="str">
        <f aca="false">IF($O67="","",N(INDEX('DỮ LIỆU'!$K$3:$K$1052,$O67)))</f>
        <v/>
      </c>
      <c r="K67" s="13" t="str">
        <f aca="false">IF($O67="","",N(INDEX('DỮ LIỆU'!$L$3:$L$1052,$O67)))</f>
        <v/>
      </c>
      <c r="L67" s="13" t="str">
        <f aca="false">IF($O67="","",N(INDEX('DỮ LIỆU'!$M$3:$M$1052,$O67)))</f>
        <v/>
      </c>
      <c r="M67" s="13" t="str">
        <f aca="false">IF($O67="","",N(INDEX('DỮ LIỆU'!$N$3:$N$1052,$O67)))</f>
        <v/>
      </c>
      <c r="N67" s="13" t="str">
        <f aca="false">IF($O67="","",N(INDEX('DỮ LIỆU'!$O$3:$O$1052,$O67)))</f>
        <v/>
      </c>
      <c r="O67" s="0" t="str">
        <f aca="false">IFERROR(MATCH(62,'DỮ LIỆU'!$U$3:$U$1052,0),"")</f>
        <v/>
      </c>
    </row>
    <row r="68" customFormat="false" ht="15" hidden="false" customHeight="false" outlineLevel="0" collapsed="false">
      <c r="A68" s="21" t="str">
        <f aca="false">IF($O68="","",63)</f>
        <v/>
      </c>
      <c r="B68" s="13" t="str">
        <f aca="false">IF($O68="","",INDEX('DỮ LIỆU'!$A$3:$A$1052,$O68))</f>
        <v/>
      </c>
      <c r="C68" s="41" t="str">
        <f aca="false">IF($O68="","",IF(INDEX('DỮ LIỆU'!$B$3:$B$1052,$O68)="","",INDEX('DỮ LIỆU'!$B$3:$B$1052,$O68)))</f>
        <v/>
      </c>
      <c r="D68" s="21" t="str">
        <f aca="false">IF($O68="","",IF(INDEX('DỮ LIỆU'!$C$3:$C$1052,$O68)="","",INDEX('DỮ LIỆU'!$C$3:$C$1052,$O68)))</f>
        <v/>
      </c>
      <c r="E68" s="21" t="str">
        <f aca="false">IF($O68="","",IF(INDEX('DỮ LIỆU'!$E$3:$E$1052,$O68)="","",INDEX('DỮ LIỆU'!$E$3:$E$1052,$O68)))</f>
        <v/>
      </c>
      <c r="F68" s="21" t="str">
        <f aca="false">IF($O68="","",IF(INDEX('DỮ LIỆU'!$F$3:$F$1052,$O68)="","",INDEX('DỮ LIỆU'!$F$3:$F$1052,$O68)))</f>
        <v/>
      </c>
      <c r="G68" s="21" t="str">
        <f aca="false">IF($O68="","",IF(INDEX('DỮ LIỆU'!$H$3:$H$1052,$O68)="","",INDEX('DỮ LIỆU'!$H$3:$H$1052,$O68)))</f>
        <v/>
      </c>
      <c r="H68" s="13" t="str">
        <f aca="false">IF($O68="","",N(INDEX('DỮ LIỆU'!$I$3:$I$1052,$O68)))</f>
        <v/>
      </c>
      <c r="I68" s="13" t="str">
        <f aca="false">IF($O68="","",N(INDEX('DỮ LIỆU'!$J$3:$J$1052,$O68)))</f>
        <v/>
      </c>
      <c r="J68" s="14" t="str">
        <f aca="false">IF($O68="","",N(INDEX('DỮ LIỆU'!$K$3:$K$1052,$O68)))</f>
        <v/>
      </c>
      <c r="K68" s="13" t="str">
        <f aca="false">IF($O68="","",N(INDEX('DỮ LIỆU'!$L$3:$L$1052,$O68)))</f>
        <v/>
      </c>
      <c r="L68" s="13" t="str">
        <f aca="false">IF($O68="","",N(INDEX('DỮ LIỆU'!$M$3:$M$1052,$O68)))</f>
        <v/>
      </c>
      <c r="M68" s="13" t="str">
        <f aca="false">IF($O68="","",N(INDEX('DỮ LIỆU'!$N$3:$N$1052,$O68)))</f>
        <v/>
      </c>
      <c r="N68" s="13" t="str">
        <f aca="false">IF($O68="","",N(INDEX('DỮ LIỆU'!$O$3:$O$1052,$O68)))</f>
        <v/>
      </c>
      <c r="O68" s="0" t="str">
        <f aca="false">IFERROR(MATCH(63,'DỮ LIỆU'!$U$3:$U$1052,0),"")</f>
        <v/>
      </c>
    </row>
    <row r="69" customFormat="false" ht="15" hidden="false" customHeight="false" outlineLevel="0" collapsed="false">
      <c r="A69" s="21" t="str">
        <f aca="false">IF($O69="","",64)</f>
        <v/>
      </c>
      <c r="B69" s="13" t="str">
        <f aca="false">IF($O69="","",INDEX('DỮ LIỆU'!$A$3:$A$1052,$O69))</f>
        <v/>
      </c>
      <c r="C69" s="41" t="str">
        <f aca="false">IF($O69="","",IF(INDEX('DỮ LIỆU'!$B$3:$B$1052,$O69)="","",INDEX('DỮ LIỆU'!$B$3:$B$1052,$O69)))</f>
        <v/>
      </c>
      <c r="D69" s="21" t="str">
        <f aca="false">IF($O69="","",IF(INDEX('DỮ LIỆU'!$C$3:$C$1052,$O69)="","",INDEX('DỮ LIỆU'!$C$3:$C$1052,$O69)))</f>
        <v/>
      </c>
      <c r="E69" s="21" t="str">
        <f aca="false">IF($O69="","",IF(INDEX('DỮ LIỆU'!$E$3:$E$1052,$O69)="","",INDEX('DỮ LIỆU'!$E$3:$E$1052,$O69)))</f>
        <v/>
      </c>
      <c r="F69" s="21" t="str">
        <f aca="false">IF($O69="","",IF(INDEX('DỮ LIỆU'!$F$3:$F$1052,$O69)="","",INDEX('DỮ LIỆU'!$F$3:$F$1052,$O69)))</f>
        <v/>
      </c>
      <c r="G69" s="21" t="str">
        <f aca="false">IF($O69="","",IF(INDEX('DỮ LIỆU'!$H$3:$H$1052,$O69)="","",INDEX('DỮ LIỆU'!$H$3:$H$1052,$O69)))</f>
        <v/>
      </c>
      <c r="H69" s="13" t="str">
        <f aca="false">IF($O69="","",N(INDEX('DỮ LIỆU'!$I$3:$I$1052,$O69)))</f>
        <v/>
      </c>
      <c r="I69" s="13" t="str">
        <f aca="false">IF($O69="","",N(INDEX('DỮ LIỆU'!$J$3:$J$1052,$O69)))</f>
        <v/>
      </c>
      <c r="J69" s="14" t="str">
        <f aca="false">IF($O69="","",N(INDEX('DỮ LIỆU'!$K$3:$K$1052,$O69)))</f>
        <v/>
      </c>
      <c r="K69" s="13" t="str">
        <f aca="false">IF($O69="","",N(INDEX('DỮ LIỆU'!$L$3:$L$1052,$O69)))</f>
        <v/>
      </c>
      <c r="L69" s="13" t="str">
        <f aca="false">IF($O69="","",N(INDEX('DỮ LIỆU'!$M$3:$M$1052,$O69)))</f>
        <v/>
      </c>
      <c r="M69" s="13" t="str">
        <f aca="false">IF($O69="","",N(INDEX('DỮ LIỆU'!$N$3:$N$1052,$O69)))</f>
        <v/>
      </c>
      <c r="N69" s="13" t="str">
        <f aca="false">IF($O69="","",N(INDEX('DỮ LIỆU'!$O$3:$O$1052,$O69)))</f>
        <v/>
      </c>
      <c r="O69" s="0" t="str">
        <f aca="false">IFERROR(MATCH(64,'DỮ LIỆU'!$U$3:$U$1052,0),"")</f>
        <v/>
      </c>
    </row>
    <row r="70" customFormat="false" ht="15" hidden="false" customHeight="false" outlineLevel="0" collapsed="false">
      <c r="A70" s="21" t="str">
        <f aca="false">IF($O70="","",65)</f>
        <v/>
      </c>
      <c r="B70" s="13" t="str">
        <f aca="false">IF($O70="","",INDEX('DỮ LIỆU'!$A$3:$A$1052,$O70))</f>
        <v/>
      </c>
      <c r="C70" s="41" t="str">
        <f aca="false">IF($O70="","",IF(INDEX('DỮ LIỆU'!$B$3:$B$1052,$O70)="","",INDEX('DỮ LIỆU'!$B$3:$B$1052,$O70)))</f>
        <v/>
      </c>
      <c r="D70" s="21" t="str">
        <f aca="false">IF($O70="","",IF(INDEX('DỮ LIỆU'!$C$3:$C$1052,$O70)="","",INDEX('DỮ LIỆU'!$C$3:$C$1052,$O70)))</f>
        <v/>
      </c>
      <c r="E70" s="21" t="str">
        <f aca="false">IF($O70="","",IF(INDEX('DỮ LIỆU'!$E$3:$E$1052,$O70)="","",INDEX('DỮ LIỆU'!$E$3:$E$1052,$O70)))</f>
        <v/>
      </c>
      <c r="F70" s="21" t="str">
        <f aca="false">IF($O70="","",IF(INDEX('DỮ LIỆU'!$F$3:$F$1052,$O70)="","",INDEX('DỮ LIỆU'!$F$3:$F$1052,$O70)))</f>
        <v/>
      </c>
      <c r="G70" s="21" t="str">
        <f aca="false">IF($O70="","",IF(INDEX('DỮ LIỆU'!$H$3:$H$1052,$O70)="","",INDEX('DỮ LIỆU'!$H$3:$H$1052,$O70)))</f>
        <v/>
      </c>
      <c r="H70" s="13" t="str">
        <f aca="false">IF($O70="","",N(INDEX('DỮ LIỆU'!$I$3:$I$1052,$O70)))</f>
        <v/>
      </c>
      <c r="I70" s="13" t="str">
        <f aca="false">IF($O70="","",N(INDEX('DỮ LIỆU'!$J$3:$J$1052,$O70)))</f>
        <v/>
      </c>
      <c r="J70" s="14" t="str">
        <f aca="false">IF($O70="","",N(INDEX('DỮ LIỆU'!$K$3:$K$1052,$O70)))</f>
        <v/>
      </c>
      <c r="K70" s="13" t="str">
        <f aca="false">IF($O70="","",N(INDEX('DỮ LIỆU'!$L$3:$L$1052,$O70)))</f>
        <v/>
      </c>
      <c r="L70" s="13" t="str">
        <f aca="false">IF($O70="","",N(INDEX('DỮ LIỆU'!$M$3:$M$1052,$O70)))</f>
        <v/>
      </c>
      <c r="M70" s="13" t="str">
        <f aca="false">IF($O70="","",N(INDEX('DỮ LIỆU'!$N$3:$N$1052,$O70)))</f>
        <v/>
      </c>
      <c r="N70" s="13" t="str">
        <f aca="false">IF($O70="","",N(INDEX('DỮ LIỆU'!$O$3:$O$1052,$O70)))</f>
        <v/>
      </c>
      <c r="O70" s="0" t="str">
        <f aca="false">IFERROR(MATCH(65,'DỮ LIỆU'!$U$3:$U$1052,0),"")</f>
        <v/>
      </c>
    </row>
    <row r="71" customFormat="false" ht="15" hidden="false" customHeight="false" outlineLevel="0" collapsed="false">
      <c r="A71" s="21" t="str">
        <f aca="false">IF($O71="","",66)</f>
        <v/>
      </c>
      <c r="B71" s="13" t="str">
        <f aca="false">IF($O71="","",INDEX('DỮ LIỆU'!$A$3:$A$1052,$O71))</f>
        <v/>
      </c>
      <c r="C71" s="41" t="str">
        <f aca="false">IF($O71="","",IF(INDEX('DỮ LIỆU'!$B$3:$B$1052,$O71)="","",INDEX('DỮ LIỆU'!$B$3:$B$1052,$O71)))</f>
        <v/>
      </c>
      <c r="D71" s="21" t="str">
        <f aca="false">IF($O71="","",IF(INDEX('DỮ LIỆU'!$C$3:$C$1052,$O71)="","",INDEX('DỮ LIỆU'!$C$3:$C$1052,$O71)))</f>
        <v/>
      </c>
      <c r="E71" s="21" t="str">
        <f aca="false">IF($O71="","",IF(INDEX('DỮ LIỆU'!$E$3:$E$1052,$O71)="","",INDEX('DỮ LIỆU'!$E$3:$E$1052,$O71)))</f>
        <v/>
      </c>
      <c r="F71" s="21" t="str">
        <f aca="false">IF($O71="","",IF(INDEX('DỮ LIỆU'!$F$3:$F$1052,$O71)="","",INDEX('DỮ LIỆU'!$F$3:$F$1052,$O71)))</f>
        <v/>
      </c>
      <c r="G71" s="21" t="str">
        <f aca="false">IF($O71="","",IF(INDEX('DỮ LIỆU'!$H$3:$H$1052,$O71)="","",INDEX('DỮ LIỆU'!$H$3:$H$1052,$O71)))</f>
        <v/>
      </c>
      <c r="H71" s="13" t="str">
        <f aca="false">IF($O71="","",N(INDEX('DỮ LIỆU'!$I$3:$I$1052,$O71)))</f>
        <v/>
      </c>
      <c r="I71" s="13" t="str">
        <f aca="false">IF($O71="","",N(INDEX('DỮ LIỆU'!$J$3:$J$1052,$O71)))</f>
        <v/>
      </c>
      <c r="J71" s="14" t="str">
        <f aca="false">IF($O71="","",N(INDEX('DỮ LIỆU'!$K$3:$K$1052,$O71)))</f>
        <v/>
      </c>
      <c r="K71" s="13" t="str">
        <f aca="false">IF($O71="","",N(INDEX('DỮ LIỆU'!$L$3:$L$1052,$O71)))</f>
        <v/>
      </c>
      <c r="L71" s="13" t="str">
        <f aca="false">IF($O71="","",N(INDEX('DỮ LIỆU'!$M$3:$M$1052,$O71)))</f>
        <v/>
      </c>
      <c r="M71" s="13" t="str">
        <f aca="false">IF($O71="","",N(INDEX('DỮ LIỆU'!$N$3:$N$1052,$O71)))</f>
        <v/>
      </c>
      <c r="N71" s="13" t="str">
        <f aca="false">IF($O71="","",N(INDEX('DỮ LIỆU'!$O$3:$O$1052,$O71)))</f>
        <v/>
      </c>
      <c r="O71" s="0" t="str">
        <f aca="false">IFERROR(MATCH(66,'DỮ LIỆU'!$U$3:$U$1052,0),"")</f>
        <v/>
      </c>
    </row>
    <row r="72" customFormat="false" ht="15" hidden="false" customHeight="false" outlineLevel="0" collapsed="false">
      <c r="A72" s="21" t="str">
        <f aca="false">IF($O72="","",67)</f>
        <v/>
      </c>
      <c r="B72" s="13" t="str">
        <f aca="false">IF($O72="","",INDEX('DỮ LIỆU'!$A$3:$A$1052,$O72))</f>
        <v/>
      </c>
      <c r="C72" s="41" t="str">
        <f aca="false">IF($O72="","",IF(INDEX('DỮ LIỆU'!$B$3:$B$1052,$O72)="","",INDEX('DỮ LIỆU'!$B$3:$B$1052,$O72)))</f>
        <v/>
      </c>
      <c r="D72" s="21" t="str">
        <f aca="false">IF($O72="","",IF(INDEX('DỮ LIỆU'!$C$3:$C$1052,$O72)="","",INDEX('DỮ LIỆU'!$C$3:$C$1052,$O72)))</f>
        <v/>
      </c>
      <c r="E72" s="21" t="str">
        <f aca="false">IF($O72="","",IF(INDEX('DỮ LIỆU'!$E$3:$E$1052,$O72)="","",INDEX('DỮ LIỆU'!$E$3:$E$1052,$O72)))</f>
        <v/>
      </c>
      <c r="F72" s="21" t="str">
        <f aca="false">IF($O72="","",IF(INDEX('DỮ LIỆU'!$F$3:$F$1052,$O72)="","",INDEX('DỮ LIỆU'!$F$3:$F$1052,$O72)))</f>
        <v/>
      </c>
      <c r="G72" s="21" t="str">
        <f aca="false">IF($O72="","",IF(INDEX('DỮ LIỆU'!$H$3:$H$1052,$O72)="","",INDEX('DỮ LIỆU'!$H$3:$H$1052,$O72)))</f>
        <v/>
      </c>
      <c r="H72" s="13" t="str">
        <f aca="false">IF($O72="","",N(INDEX('DỮ LIỆU'!$I$3:$I$1052,$O72)))</f>
        <v/>
      </c>
      <c r="I72" s="13" t="str">
        <f aca="false">IF($O72="","",N(INDEX('DỮ LIỆU'!$J$3:$J$1052,$O72)))</f>
        <v/>
      </c>
      <c r="J72" s="14" t="str">
        <f aca="false">IF($O72="","",N(INDEX('DỮ LIỆU'!$K$3:$K$1052,$O72)))</f>
        <v/>
      </c>
      <c r="K72" s="13" t="str">
        <f aca="false">IF($O72="","",N(INDEX('DỮ LIỆU'!$L$3:$L$1052,$O72)))</f>
        <v/>
      </c>
      <c r="L72" s="13" t="str">
        <f aca="false">IF($O72="","",N(INDEX('DỮ LIỆU'!$M$3:$M$1052,$O72)))</f>
        <v/>
      </c>
      <c r="M72" s="13" t="str">
        <f aca="false">IF($O72="","",N(INDEX('DỮ LIỆU'!$N$3:$N$1052,$O72)))</f>
        <v/>
      </c>
      <c r="N72" s="13" t="str">
        <f aca="false">IF($O72="","",N(INDEX('DỮ LIỆU'!$O$3:$O$1052,$O72)))</f>
        <v/>
      </c>
      <c r="O72" s="0" t="str">
        <f aca="false">IFERROR(MATCH(67,'DỮ LIỆU'!$U$3:$U$1052,0),"")</f>
        <v/>
      </c>
    </row>
    <row r="73" customFormat="false" ht="15" hidden="false" customHeight="false" outlineLevel="0" collapsed="false">
      <c r="A73" s="21" t="str">
        <f aca="false">IF($O73="","",68)</f>
        <v/>
      </c>
      <c r="B73" s="13" t="str">
        <f aca="false">IF($O73="","",INDEX('DỮ LIỆU'!$A$3:$A$1052,$O73))</f>
        <v/>
      </c>
      <c r="C73" s="41" t="str">
        <f aca="false">IF($O73="","",IF(INDEX('DỮ LIỆU'!$B$3:$B$1052,$O73)="","",INDEX('DỮ LIỆU'!$B$3:$B$1052,$O73)))</f>
        <v/>
      </c>
      <c r="D73" s="21" t="str">
        <f aca="false">IF($O73="","",IF(INDEX('DỮ LIỆU'!$C$3:$C$1052,$O73)="","",INDEX('DỮ LIỆU'!$C$3:$C$1052,$O73)))</f>
        <v/>
      </c>
      <c r="E73" s="21" t="str">
        <f aca="false">IF($O73="","",IF(INDEX('DỮ LIỆU'!$E$3:$E$1052,$O73)="","",INDEX('DỮ LIỆU'!$E$3:$E$1052,$O73)))</f>
        <v/>
      </c>
      <c r="F73" s="21" t="str">
        <f aca="false">IF($O73="","",IF(INDEX('DỮ LIỆU'!$F$3:$F$1052,$O73)="","",INDEX('DỮ LIỆU'!$F$3:$F$1052,$O73)))</f>
        <v/>
      </c>
      <c r="G73" s="21" t="str">
        <f aca="false">IF($O73="","",IF(INDEX('DỮ LIỆU'!$H$3:$H$1052,$O73)="","",INDEX('DỮ LIỆU'!$H$3:$H$1052,$O73)))</f>
        <v/>
      </c>
      <c r="H73" s="13" t="str">
        <f aca="false">IF($O73="","",N(INDEX('DỮ LIỆU'!$I$3:$I$1052,$O73)))</f>
        <v/>
      </c>
      <c r="I73" s="13" t="str">
        <f aca="false">IF($O73="","",N(INDEX('DỮ LIỆU'!$J$3:$J$1052,$O73)))</f>
        <v/>
      </c>
      <c r="J73" s="14" t="str">
        <f aca="false">IF($O73="","",N(INDEX('DỮ LIỆU'!$K$3:$K$1052,$O73)))</f>
        <v/>
      </c>
      <c r="K73" s="13" t="str">
        <f aca="false">IF($O73="","",N(INDEX('DỮ LIỆU'!$L$3:$L$1052,$O73)))</f>
        <v/>
      </c>
      <c r="L73" s="13" t="str">
        <f aca="false">IF($O73="","",N(INDEX('DỮ LIỆU'!$M$3:$M$1052,$O73)))</f>
        <v/>
      </c>
      <c r="M73" s="13" t="str">
        <f aca="false">IF($O73="","",N(INDEX('DỮ LIỆU'!$N$3:$N$1052,$O73)))</f>
        <v/>
      </c>
      <c r="N73" s="13" t="str">
        <f aca="false">IF($O73="","",N(INDEX('DỮ LIỆU'!$O$3:$O$1052,$O73)))</f>
        <v/>
      </c>
      <c r="O73" s="0" t="str">
        <f aca="false">IFERROR(MATCH(68,'DỮ LIỆU'!$U$3:$U$1052,0),"")</f>
        <v/>
      </c>
    </row>
    <row r="74" customFormat="false" ht="15" hidden="false" customHeight="false" outlineLevel="0" collapsed="false">
      <c r="A74" s="21" t="str">
        <f aca="false">IF($O74="","",69)</f>
        <v/>
      </c>
      <c r="B74" s="13" t="str">
        <f aca="false">IF($O74="","",INDEX('DỮ LIỆU'!$A$3:$A$1052,$O74))</f>
        <v/>
      </c>
      <c r="C74" s="41" t="str">
        <f aca="false">IF($O74="","",IF(INDEX('DỮ LIỆU'!$B$3:$B$1052,$O74)="","",INDEX('DỮ LIỆU'!$B$3:$B$1052,$O74)))</f>
        <v/>
      </c>
      <c r="D74" s="21" t="str">
        <f aca="false">IF($O74="","",IF(INDEX('DỮ LIỆU'!$C$3:$C$1052,$O74)="","",INDEX('DỮ LIỆU'!$C$3:$C$1052,$O74)))</f>
        <v/>
      </c>
      <c r="E74" s="21" t="str">
        <f aca="false">IF($O74="","",IF(INDEX('DỮ LIỆU'!$E$3:$E$1052,$O74)="","",INDEX('DỮ LIỆU'!$E$3:$E$1052,$O74)))</f>
        <v/>
      </c>
      <c r="F74" s="21" t="str">
        <f aca="false">IF($O74="","",IF(INDEX('DỮ LIỆU'!$F$3:$F$1052,$O74)="","",INDEX('DỮ LIỆU'!$F$3:$F$1052,$O74)))</f>
        <v/>
      </c>
      <c r="G74" s="21" t="str">
        <f aca="false">IF($O74="","",IF(INDEX('DỮ LIỆU'!$H$3:$H$1052,$O74)="","",INDEX('DỮ LIỆU'!$H$3:$H$1052,$O74)))</f>
        <v/>
      </c>
      <c r="H74" s="13" t="str">
        <f aca="false">IF($O74="","",N(INDEX('DỮ LIỆU'!$I$3:$I$1052,$O74)))</f>
        <v/>
      </c>
      <c r="I74" s="13" t="str">
        <f aca="false">IF($O74="","",N(INDEX('DỮ LIỆU'!$J$3:$J$1052,$O74)))</f>
        <v/>
      </c>
      <c r="J74" s="14" t="str">
        <f aca="false">IF($O74="","",N(INDEX('DỮ LIỆU'!$K$3:$K$1052,$O74)))</f>
        <v/>
      </c>
      <c r="K74" s="13" t="str">
        <f aca="false">IF($O74="","",N(INDEX('DỮ LIỆU'!$L$3:$L$1052,$O74)))</f>
        <v/>
      </c>
      <c r="L74" s="13" t="str">
        <f aca="false">IF($O74="","",N(INDEX('DỮ LIỆU'!$M$3:$M$1052,$O74)))</f>
        <v/>
      </c>
      <c r="M74" s="13" t="str">
        <f aca="false">IF($O74="","",N(INDEX('DỮ LIỆU'!$N$3:$N$1052,$O74)))</f>
        <v/>
      </c>
      <c r="N74" s="13" t="str">
        <f aca="false">IF($O74="","",N(INDEX('DỮ LIỆU'!$O$3:$O$1052,$O74)))</f>
        <v/>
      </c>
      <c r="O74" s="0" t="str">
        <f aca="false">IFERROR(MATCH(69,'DỮ LIỆU'!$U$3:$U$1052,0),"")</f>
        <v/>
      </c>
    </row>
    <row r="75" customFormat="false" ht="15" hidden="false" customHeight="false" outlineLevel="0" collapsed="false">
      <c r="A75" s="21" t="str">
        <f aca="false">IF($O75="","",70)</f>
        <v/>
      </c>
      <c r="B75" s="13" t="str">
        <f aca="false">IF($O75="","",INDEX('DỮ LIỆU'!$A$3:$A$1052,$O75))</f>
        <v/>
      </c>
      <c r="C75" s="41" t="str">
        <f aca="false">IF($O75="","",IF(INDEX('DỮ LIỆU'!$B$3:$B$1052,$O75)="","",INDEX('DỮ LIỆU'!$B$3:$B$1052,$O75)))</f>
        <v/>
      </c>
      <c r="D75" s="21" t="str">
        <f aca="false">IF($O75="","",IF(INDEX('DỮ LIỆU'!$C$3:$C$1052,$O75)="","",INDEX('DỮ LIỆU'!$C$3:$C$1052,$O75)))</f>
        <v/>
      </c>
      <c r="E75" s="21" t="str">
        <f aca="false">IF($O75="","",IF(INDEX('DỮ LIỆU'!$E$3:$E$1052,$O75)="","",INDEX('DỮ LIỆU'!$E$3:$E$1052,$O75)))</f>
        <v/>
      </c>
      <c r="F75" s="21" t="str">
        <f aca="false">IF($O75="","",IF(INDEX('DỮ LIỆU'!$F$3:$F$1052,$O75)="","",INDEX('DỮ LIỆU'!$F$3:$F$1052,$O75)))</f>
        <v/>
      </c>
      <c r="G75" s="21" t="str">
        <f aca="false">IF($O75="","",IF(INDEX('DỮ LIỆU'!$H$3:$H$1052,$O75)="","",INDEX('DỮ LIỆU'!$H$3:$H$1052,$O75)))</f>
        <v/>
      </c>
      <c r="H75" s="13" t="str">
        <f aca="false">IF($O75="","",N(INDEX('DỮ LIỆU'!$I$3:$I$1052,$O75)))</f>
        <v/>
      </c>
      <c r="I75" s="13" t="str">
        <f aca="false">IF($O75="","",N(INDEX('DỮ LIỆU'!$J$3:$J$1052,$O75)))</f>
        <v/>
      </c>
      <c r="J75" s="14" t="str">
        <f aca="false">IF($O75="","",N(INDEX('DỮ LIỆU'!$K$3:$K$1052,$O75)))</f>
        <v/>
      </c>
      <c r="K75" s="13" t="str">
        <f aca="false">IF($O75="","",N(INDEX('DỮ LIỆU'!$L$3:$L$1052,$O75)))</f>
        <v/>
      </c>
      <c r="L75" s="13" t="str">
        <f aca="false">IF($O75="","",N(INDEX('DỮ LIỆU'!$M$3:$M$1052,$O75)))</f>
        <v/>
      </c>
      <c r="M75" s="13" t="str">
        <f aca="false">IF($O75="","",N(INDEX('DỮ LIỆU'!$N$3:$N$1052,$O75)))</f>
        <v/>
      </c>
      <c r="N75" s="13" t="str">
        <f aca="false">IF($O75="","",N(INDEX('DỮ LIỆU'!$O$3:$O$1052,$O75)))</f>
        <v/>
      </c>
      <c r="O75" s="0" t="str">
        <f aca="false">IFERROR(MATCH(70,'DỮ LIỆU'!$U$3:$U$1052,0),"")</f>
        <v/>
      </c>
    </row>
    <row r="76" customFormat="false" ht="15" hidden="false" customHeight="false" outlineLevel="0" collapsed="false">
      <c r="A76" s="21" t="str">
        <f aca="false">IF($O76="","",71)</f>
        <v/>
      </c>
      <c r="B76" s="13" t="str">
        <f aca="false">IF($O76="","",INDEX('DỮ LIỆU'!$A$3:$A$1052,$O76))</f>
        <v/>
      </c>
      <c r="C76" s="41" t="str">
        <f aca="false">IF($O76="","",IF(INDEX('DỮ LIỆU'!$B$3:$B$1052,$O76)="","",INDEX('DỮ LIỆU'!$B$3:$B$1052,$O76)))</f>
        <v/>
      </c>
      <c r="D76" s="21" t="str">
        <f aca="false">IF($O76="","",IF(INDEX('DỮ LIỆU'!$C$3:$C$1052,$O76)="","",INDEX('DỮ LIỆU'!$C$3:$C$1052,$O76)))</f>
        <v/>
      </c>
      <c r="E76" s="21" t="str">
        <f aca="false">IF($O76="","",IF(INDEX('DỮ LIỆU'!$E$3:$E$1052,$O76)="","",INDEX('DỮ LIỆU'!$E$3:$E$1052,$O76)))</f>
        <v/>
      </c>
      <c r="F76" s="21" t="str">
        <f aca="false">IF($O76="","",IF(INDEX('DỮ LIỆU'!$F$3:$F$1052,$O76)="","",INDEX('DỮ LIỆU'!$F$3:$F$1052,$O76)))</f>
        <v/>
      </c>
      <c r="G76" s="21" t="str">
        <f aca="false">IF($O76="","",IF(INDEX('DỮ LIỆU'!$H$3:$H$1052,$O76)="","",INDEX('DỮ LIỆU'!$H$3:$H$1052,$O76)))</f>
        <v/>
      </c>
      <c r="H76" s="13" t="str">
        <f aca="false">IF($O76="","",N(INDEX('DỮ LIỆU'!$I$3:$I$1052,$O76)))</f>
        <v/>
      </c>
      <c r="I76" s="13" t="str">
        <f aca="false">IF($O76="","",N(INDEX('DỮ LIỆU'!$J$3:$J$1052,$O76)))</f>
        <v/>
      </c>
      <c r="J76" s="14" t="str">
        <f aca="false">IF($O76="","",N(INDEX('DỮ LIỆU'!$K$3:$K$1052,$O76)))</f>
        <v/>
      </c>
      <c r="K76" s="13" t="str">
        <f aca="false">IF($O76="","",N(INDEX('DỮ LIỆU'!$L$3:$L$1052,$O76)))</f>
        <v/>
      </c>
      <c r="L76" s="13" t="str">
        <f aca="false">IF($O76="","",N(INDEX('DỮ LIỆU'!$M$3:$M$1052,$O76)))</f>
        <v/>
      </c>
      <c r="M76" s="13" t="str">
        <f aca="false">IF($O76="","",N(INDEX('DỮ LIỆU'!$N$3:$N$1052,$O76)))</f>
        <v/>
      </c>
      <c r="N76" s="13" t="str">
        <f aca="false">IF($O76="","",N(INDEX('DỮ LIỆU'!$O$3:$O$1052,$O76)))</f>
        <v/>
      </c>
      <c r="O76" s="0" t="str">
        <f aca="false">IFERROR(MATCH(71,'DỮ LIỆU'!$U$3:$U$1052,0),"")</f>
        <v/>
      </c>
    </row>
    <row r="77" customFormat="false" ht="15" hidden="false" customHeight="false" outlineLevel="0" collapsed="false">
      <c r="A77" s="21" t="str">
        <f aca="false">IF($O77="","",72)</f>
        <v/>
      </c>
      <c r="B77" s="13" t="str">
        <f aca="false">IF($O77="","",INDEX('DỮ LIỆU'!$A$3:$A$1052,$O77))</f>
        <v/>
      </c>
      <c r="C77" s="41" t="str">
        <f aca="false">IF($O77="","",IF(INDEX('DỮ LIỆU'!$B$3:$B$1052,$O77)="","",INDEX('DỮ LIỆU'!$B$3:$B$1052,$O77)))</f>
        <v/>
      </c>
      <c r="D77" s="21" t="str">
        <f aca="false">IF($O77="","",IF(INDEX('DỮ LIỆU'!$C$3:$C$1052,$O77)="","",INDEX('DỮ LIỆU'!$C$3:$C$1052,$O77)))</f>
        <v/>
      </c>
      <c r="E77" s="21" t="str">
        <f aca="false">IF($O77="","",IF(INDEX('DỮ LIỆU'!$E$3:$E$1052,$O77)="","",INDEX('DỮ LIỆU'!$E$3:$E$1052,$O77)))</f>
        <v/>
      </c>
      <c r="F77" s="21" t="str">
        <f aca="false">IF($O77="","",IF(INDEX('DỮ LIỆU'!$F$3:$F$1052,$O77)="","",INDEX('DỮ LIỆU'!$F$3:$F$1052,$O77)))</f>
        <v/>
      </c>
      <c r="G77" s="21" t="str">
        <f aca="false">IF($O77="","",IF(INDEX('DỮ LIỆU'!$H$3:$H$1052,$O77)="","",INDEX('DỮ LIỆU'!$H$3:$H$1052,$O77)))</f>
        <v/>
      </c>
      <c r="H77" s="13" t="str">
        <f aca="false">IF($O77="","",N(INDEX('DỮ LIỆU'!$I$3:$I$1052,$O77)))</f>
        <v/>
      </c>
      <c r="I77" s="13" t="str">
        <f aca="false">IF($O77="","",N(INDEX('DỮ LIỆU'!$J$3:$J$1052,$O77)))</f>
        <v/>
      </c>
      <c r="J77" s="14" t="str">
        <f aca="false">IF($O77="","",N(INDEX('DỮ LIỆU'!$K$3:$K$1052,$O77)))</f>
        <v/>
      </c>
      <c r="K77" s="13" t="str">
        <f aca="false">IF($O77="","",N(INDEX('DỮ LIỆU'!$L$3:$L$1052,$O77)))</f>
        <v/>
      </c>
      <c r="L77" s="13" t="str">
        <f aca="false">IF($O77="","",N(INDEX('DỮ LIỆU'!$M$3:$M$1052,$O77)))</f>
        <v/>
      </c>
      <c r="M77" s="13" t="str">
        <f aca="false">IF($O77="","",N(INDEX('DỮ LIỆU'!$N$3:$N$1052,$O77)))</f>
        <v/>
      </c>
      <c r="N77" s="13" t="str">
        <f aca="false">IF($O77="","",N(INDEX('DỮ LIỆU'!$O$3:$O$1052,$O77)))</f>
        <v/>
      </c>
      <c r="O77" s="0" t="str">
        <f aca="false">IFERROR(MATCH(72,'DỮ LIỆU'!$U$3:$U$1052,0),"")</f>
        <v/>
      </c>
    </row>
    <row r="78" customFormat="false" ht="15" hidden="false" customHeight="false" outlineLevel="0" collapsed="false">
      <c r="A78" s="21" t="str">
        <f aca="false">IF($O78="","",73)</f>
        <v/>
      </c>
      <c r="B78" s="13" t="str">
        <f aca="false">IF($O78="","",INDEX('DỮ LIỆU'!$A$3:$A$1052,$O78))</f>
        <v/>
      </c>
      <c r="C78" s="41" t="str">
        <f aca="false">IF($O78="","",IF(INDEX('DỮ LIỆU'!$B$3:$B$1052,$O78)="","",INDEX('DỮ LIỆU'!$B$3:$B$1052,$O78)))</f>
        <v/>
      </c>
      <c r="D78" s="21" t="str">
        <f aca="false">IF($O78="","",IF(INDEX('DỮ LIỆU'!$C$3:$C$1052,$O78)="","",INDEX('DỮ LIỆU'!$C$3:$C$1052,$O78)))</f>
        <v/>
      </c>
      <c r="E78" s="21" t="str">
        <f aca="false">IF($O78="","",IF(INDEX('DỮ LIỆU'!$E$3:$E$1052,$O78)="","",INDEX('DỮ LIỆU'!$E$3:$E$1052,$O78)))</f>
        <v/>
      </c>
      <c r="F78" s="21" t="str">
        <f aca="false">IF($O78="","",IF(INDEX('DỮ LIỆU'!$F$3:$F$1052,$O78)="","",INDEX('DỮ LIỆU'!$F$3:$F$1052,$O78)))</f>
        <v/>
      </c>
      <c r="G78" s="21" t="str">
        <f aca="false">IF($O78="","",IF(INDEX('DỮ LIỆU'!$H$3:$H$1052,$O78)="","",INDEX('DỮ LIỆU'!$H$3:$H$1052,$O78)))</f>
        <v/>
      </c>
      <c r="H78" s="13" t="str">
        <f aca="false">IF($O78="","",N(INDEX('DỮ LIỆU'!$I$3:$I$1052,$O78)))</f>
        <v/>
      </c>
      <c r="I78" s="13" t="str">
        <f aca="false">IF($O78="","",N(INDEX('DỮ LIỆU'!$J$3:$J$1052,$O78)))</f>
        <v/>
      </c>
      <c r="J78" s="14" t="str">
        <f aca="false">IF($O78="","",N(INDEX('DỮ LIỆU'!$K$3:$K$1052,$O78)))</f>
        <v/>
      </c>
      <c r="K78" s="13" t="str">
        <f aca="false">IF($O78="","",N(INDEX('DỮ LIỆU'!$L$3:$L$1052,$O78)))</f>
        <v/>
      </c>
      <c r="L78" s="13" t="str">
        <f aca="false">IF($O78="","",N(INDEX('DỮ LIỆU'!$M$3:$M$1052,$O78)))</f>
        <v/>
      </c>
      <c r="M78" s="13" t="str">
        <f aca="false">IF($O78="","",N(INDEX('DỮ LIỆU'!$N$3:$N$1052,$O78)))</f>
        <v/>
      </c>
      <c r="N78" s="13" t="str">
        <f aca="false">IF($O78="","",N(INDEX('DỮ LIỆU'!$O$3:$O$1052,$O78)))</f>
        <v/>
      </c>
      <c r="O78" s="0" t="str">
        <f aca="false">IFERROR(MATCH(73,'DỮ LIỆU'!$U$3:$U$1052,0),"")</f>
        <v/>
      </c>
    </row>
    <row r="79" customFormat="false" ht="15" hidden="false" customHeight="false" outlineLevel="0" collapsed="false">
      <c r="A79" s="21" t="str">
        <f aca="false">IF($O79="","",74)</f>
        <v/>
      </c>
      <c r="B79" s="13" t="str">
        <f aca="false">IF($O79="","",INDEX('DỮ LIỆU'!$A$3:$A$1052,$O79))</f>
        <v/>
      </c>
      <c r="C79" s="41" t="str">
        <f aca="false">IF($O79="","",IF(INDEX('DỮ LIỆU'!$B$3:$B$1052,$O79)="","",INDEX('DỮ LIỆU'!$B$3:$B$1052,$O79)))</f>
        <v/>
      </c>
      <c r="D79" s="21" t="str">
        <f aca="false">IF($O79="","",IF(INDEX('DỮ LIỆU'!$C$3:$C$1052,$O79)="","",INDEX('DỮ LIỆU'!$C$3:$C$1052,$O79)))</f>
        <v/>
      </c>
      <c r="E79" s="21" t="str">
        <f aca="false">IF($O79="","",IF(INDEX('DỮ LIỆU'!$E$3:$E$1052,$O79)="","",INDEX('DỮ LIỆU'!$E$3:$E$1052,$O79)))</f>
        <v/>
      </c>
      <c r="F79" s="21" t="str">
        <f aca="false">IF($O79="","",IF(INDEX('DỮ LIỆU'!$F$3:$F$1052,$O79)="","",INDEX('DỮ LIỆU'!$F$3:$F$1052,$O79)))</f>
        <v/>
      </c>
      <c r="G79" s="21" t="str">
        <f aca="false">IF($O79="","",IF(INDEX('DỮ LIỆU'!$H$3:$H$1052,$O79)="","",INDEX('DỮ LIỆU'!$H$3:$H$1052,$O79)))</f>
        <v/>
      </c>
      <c r="H79" s="13" t="str">
        <f aca="false">IF($O79="","",N(INDEX('DỮ LIỆU'!$I$3:$I$1052,$O79)))</f>
        <v/>
      </c>
      <c r="I79" s="13" t="str">
        <f aca="false">IF($O79="","",N(INDEX('DỮ LIỆU'!$J$3:$J$1052,$O79)))</f>
        <v/>
      </c>
      <c r="J79" s="14" t="str">
        <f aca="false">IF($O79="","",N(INDEX('DỮ LIỆU'!$K$3:$K$1052,$O79)))</f>
        <v/>
      </c>
      <c r="K79" s="13" t="str">
        <f aca="false">IF($O79="","",N(INDEX('DỮ LIỆU'!$L$3:$L$1052,$O79)))</f>
        <v/>
      </c>
      <c r="L79" s="13" t="str">
        <f aca="false">IF($O79="","",N(INDEX('DỮ LIỆU'!$M$3:$M$1052,$O79)))</f>
        <v/>
      </c>
      <c r="M79" s="13" t="str">
        <f aca="false">IF($O79="","",N(INDEX('DỮ LIỆU'!$N$3:$N$1052,$O79)))</f>
        <v/>
      </c>
      <c r="N79" s="13" t="str">
        <f aca="false">IF($O79="","",N(INDEX('DỮ LIỆU'!$O$3:$O$1052,$O79)))</f>
        <v/>
      </c>
      <c r="O79" s="0" t="str">
        <f aca="false">IFERROR(MATCH(74,'DỮ LIỆU'!$U$3:$U$1052,0),"")</f>
        <v/>
      </c>
    </row>
    <row r="80" customFormat="false" ht="15" hidden="false" customHeight="false" outlineLevel="0" collapsed="false">
      <c r="A80" s="21" t="str">
        <f aca="false">IF($O80="","",75)</f>
        <v/>
      </c>
      <c r="B80" s="13" t="str">
        <f aca="false">IF($O80="","",INDEX('DỮ LIỆU'!$A$3:$A$1052,$O80))</f>
        <v/>
      </c>
      <c r="C80" s="41" t="str">
        <f aca="false">IF($O80="","",IF(INDEX('DỮ LIỆU'!$B$3:$B$1052,$O80)="","",INDEX('DỮ LIỆU'!$B$3:$B$1052,$O80)))</f>
        <v/>
      </c>
      <c r="D80" s="21" t="str">
        <f aca="false">IF($O80="","",IF(INDEX('DỮ LIỆU'!$C$3:$C$1052,$O80)="","",INDEX('DỮ LIỆU'!$C$3:$C$1052,$O80)))</f>
        <v/>
      </c>
      <c r="E80" s="21" t="str">
        <f aca="false">IF($O80="","",IF(INDEX('DỮ LIỆU'!$E$3:$E$1052,$O80)="","",INDEX('DỮ LIỆU'!$E$3:$E$1052,$O80)))</f>
        <v/>
      </c>
      <c r="F80" s="21" t="str">
        <f aca="false">IF($O80="","",IF(INDEX('DỮ LIỆU'!$F$3:$F$1052,$O80)="","",INDEX('DỮ LIỆU'!$F$3:$F$1052,$O80)))</f>
        <v/>
      </c>
      <c r="G80" s="21" t="str">
        <f aca="false">IF($O80="","",IF(INDEX('DỮ LIỆU'!$H$3:$H$1052,$O80)="","",INDEX('DỮ LIỆU'!$H$3:$H$1052,$O80)))</f>
        <v/>
      </c>
      <c r="H80" s="13" t="str">
        <f aca="false">IF($O80="","",N(INDEX('DỮ LIỆU'!$I$3:$I$1052,$O80)))</f>
        <v/>
      </c>
      <c r="I80" s="13" t="str">
        <f aca="false">IF($O80="","",N(INDEX('DỮ LIỆU'!$J$3:$J$1052,$O80)))</f>
        <v/>
      </c>
      <c r="J80" s="14" t="str">
        <f aca="false">IF($O80="","",N(INDEX('DỮ LIỆU'!$K$3:$K$1052,$O80)))</f>
        <v/>
      </c>
      <c r="K80" s="13" t="str">
        <f aca="false">IF($O80="","",N(INDEX('DỮ LIỆU'!$L$3:$L$1052,$O80)))</f>
        <v/>
      </c>
      <c r="L80" s="13" t="str">
        <f aca="false">IF($O80="","",N(INDEX('DỮ LIỆU'!$M$3:$M$1052,$O80)))</f>
        <v/>
      </c>
      <c r="M80" s="13" t="str">
        <f aca="false">IF($O80="","",N(INDEX('DỮ LIỆU'!$N$3:$N$1052,$O80)))</f>
        <v/>
      </c>
      <c r="N80" s="13" t="str">
        <f aca="false">IF($O80="","",N(INDEX('DỮ LIỆU'!$O$3:$O$1052,$O80)))</f>
        <v/>
      </c>
      <c r="O80" s="0" t="str">
        <f aca="false">IFERROR(MATCH(75,'DỮ LIỆU'!$U$3:$U$1052,0),"")</f>
        <v/>
      </c>
    </row>
    <row r="81" customFormat="false" ht="15" hidden="false" customHeight="false" outlineLevel="0" collapsed="false">
      <c r="A81" s="21" t="str">
        <f aca="false">IF($O81="","",76)</f>
        <v/>
      </c>
      <c r="B81" s="13" t="str">
        <f aca="false">IF($O81="","",INDEX('DỮ LIỆU'!$A$3:$A$1052,$O81))</f>
        <v/>
      </c>
      <c r="C81" s="41" t="str">
        <f aca="false">IF($O81="","",IF(INDEX('DỮ LIỆU'!$B$3:$B$1052,$O81)="","",INDEX('DỮ LIỆU'!$B$3:$B$1052,$O81)))</f>
        <v/>
      </c>
      <c r="D81" s="21" t="str">
        <f aca="false">IF($O81="","",IF(INDEX('DỮ LIỆU'!$C$3:$C$1052,$O81)="","",INDEX('DỮ LIỆU'!$C$3:$C$1052,$O81)))</f>
        <v/>
      </c>
      <c r="E81" s="21" t="str">
        <f aca="false">IF($O81="","",IF(INDEX('DỮ LIỆU'!$E$3:$E$1052,$O81)="","",INDEX('DỮ LIỆU'!$E$3:$E$1052,$O81)))</f>
        <v/>
      </c>
      <c r="F81" s="21" t="str">
        <f aca="false">IF($O81="","",IF(INDEX('DỮ LIỆU'!$F$3:$F$1052,$O81)="","",INDEX('DỮ LIỆU'!$F$3:$F$1052,$O81)))</f>
        <v/>
      </c>
      <c r="G81" s="21" t="str">
        <f aca="false">IF($O81="","",IF(INDEX('DỮ LIỆU'!$H$3:$H$1052,$O81)="","",INDEX('DỮ LIỆU'!$H$3:$H$1052,$O81)))</f>
        <v/>
      </c>
      <c r="H81" s="13" t="str">
        <f aca="false">IF($O81="","",N(INDEX('DỮ LIỆU'!$I$3:$I$1052,$O81)))</f>
        <v/>
      </c>
      <c r="I81" s="13" t="str">
        <f aca="false">IF($O81="","",N(INDEX('DỮ LIỆU'!$J$3:$J$1052,$O81)))</f>
        <v/>
      </c>
      <c r="J81" s="14" t="str">
        <f aca="false">IF($O81="","",N(INDEX('DỮ LIỆU'!$K$3:$K$1052,$O81)))</f>
        <v/>
      </c>
      <c r="K81" s="13" t="str">
        <f aca="false">IF($O81="","",N(INDEX('DỮ LIỆU'!$L$3:$L$1052,$O81)))</f>
        <v/>
      </c>
      <c r="L81" s="13" t="str">
        <f aca="false">IF($O81="","",N(INDEX('DỮ LIỆU'!$M$3:$M$1052,$O81)))</f>
        <v/>
      </c>
      <c r="M81" s="13" t="str">
        <f aca="false">IF($O81="","",N(INDEX('DỮ LIỆU'!$N$3:$N$1052,$O81)))</f>
        <v/>
      </c>
      <c r="N81" s="13" t="str">
        <f aca="false">IF($O81="","",N(INDEX('DỮ LIỆU'!$O$3:$O$1052,$O81)))</f>
        <v/>
      </c>
      <c r="O81" s="0" t="str">
        <f aca="false">IFERROR(MATCH(76,'DỮ LIỆU'!$U$3:$U$1052,0),"")</f>
        <v/>
      </c>
    </row>
    <row r="82" customFormat="false" ht="15" hidden="false" customHeight="false" outlineLevel="0" collapsed="false">
      <c r="A82" s="21" t="str">
        <f aca="false">IF($O82="","",77)</f>
        <v/>
      </c>
      <c r="B82" s="13" t="str">
        <f aca="false">IF($O82="","",INDEX('DỮ LIỆU'!$A$3:$A$1052,$O82))</f>
        <v/>
      </c>
      <c r="C82" s="41" t="str">
        <f aca="false">IF($O82="","",IF(INDEX('DỮ LIỆU'!$B$3:$B$1052,$O82)="","",INDEX('DỮ LIỆU'!$B$3:$B$1052,$O82)))</f>
        <v/>
      </c>
      <c r="D82" s="21" t="str">
        <f aca="false">IF($O82="","",IF(INDEX('DỮ LIỆU'!$C$3:$C$1052,$O82)="","",INDEX('DỮ LIỆU'!$C$3:$C$1052,$O82)))</f>
        <v/>
      </c>
      <c r="E82" s="21" t="str">
        <f aca="false">IF($O82="","",IF(INDEX('DỮ LIỆU'!$E$3:$E$1052,$O82)="","",INDEX('DỮ LIỆU'!$E$3:$E$1052,$O82)))</f>
        <v/>
      </c>
      <c r="F82" s="21" t="str">
        <f aca="false">IF($O82="","",IF(INDEX('DỮ LIỆU'!$F$3:$F$1052,$O82)="","",INDEX('DỮ LIỆU'!$F$3:$F$1052,$O82)))</f>
        <v/>
      </c>
      <c r="G82" s="21" t="str">
        <f aca="false">IF($O82="","",IF(INDEX('DỮ LIỆU'!$H$3:$H$1052,$O82)="","",INDEX('DỮ LIỆU'!$H$3:$H$1052,$O82)))</f>
        <v/>
      </c>
      <c r="H82" s="13" t="str">
        <f aca="false">IF($O82="","",N(INDEX('DỮ LIỆU'!$I$3:$I$1052,$O82)))</f>
        <v/>
      </c>
      <c r="I82" s="13" t="str">
        <f aca="false">IF($O82="","",N(INDEX('DỮ LIỆU'!$J$3:$J$1052,$O82)))</f>
        <v/>
      </c>
      <c r="J82" s="14" t="str">
        <f aca="false">IF($O82="","",N(INDEX('DỮ LIỆU'!$K$3:$K$1052,$O82)))</f>
        <v/>
      </c>
      <c r="K82" s="13" t="str">
        <f aca="false">IF($O82="","",N(INDEX('DỮ LIỆU'!$L$3:$L$1052,$O82)))</f>
        <v/>
      </c>
      <c r="L82" s="13" t="str">
        <f aca="false">IF($O82="","",N(INDEX('DỮ LIỆU'!$M$3:$M$1052,$O82)))</f>
        <v/>
      </c>
      <c r="M82" s="13" t="str">
        <f aca="false">IF($O82="","",N(INDEX('DỮ LIỆU'!$N$3:$N$1052,$O82)))</f>
        <v/>
      </c>
      <c r="N82" s="13" t="str">
        <f aca="false">IF($O82="","",N(INDEX('DỮ LIỆU'!$O$3:$O$1052,$O82)))</f>
        <v/>
      </c>
      <c r="O82" s="0" t="str">
        <f aca="false">IFERROR(MATCH(77,'DỮ LIỆU'!$U$3:$U$1052,0),"")</f>
        <v/>
      </c>
    </row>
    <row r="83" customFormat="false" ht="15" hidden="false" customHeight="false" outlineLevel="0" collapsed="false">
      <c r="A83" s="21" t="str">
        <f aca="false">IF($O83="","",78)</f>
        <v/>
      </c>
      <c r="B83" s="13" t="str">
        <f aca="false">IF($O83="","",INDEX('DỮ LIỆU'!$A$3:$A$1052,$O83))</f>
        <v/>
      </c>
      <c r="C83" s="41" t="str">
        <f aca="false">IF($O83="","",IF(INDEX('DỮ LIỆU'!$B$3:$B$1052,$O83)="","",INDEX('DỮ LIỆU'!$B$3:$B$1052,$O83)))</f>
        <v/>
      </c>
      <c r="D83" s="21" t="str">
        <f aca="false">IF($O83="","",IF(INDEX('DỮ LIỆU'!$C$3:$C$1052,$O83)="","",INDEX('DỮ LIỆU'!$C$3:$C$1052,$O83)))</f>
        <v/>
      </c>
      <c r="E83" s="21" t="str">
        <f aca="false">IF($O83="","",IF(INDEX('DỮ LIỆU'!$E$3:$E$1052,$O83)="","",INDEX('DỮ LIỆU'!$E$3:$E$1052,$O83)))</f>
        <v/>
      </c>
      <c r="F83" s="21" t="str">
        <f aca="false">IF($O83="","",IF(INDEX('DỮ LIỆU'!$F$3:$F$1052,$O83)="","",INDEX('DỮ LIỆU'!$F$3:$F$1052,$O83)))</f>
        <v/>
      </c>
      <c r="G83" s="21" t="str">
        <f aca="false">IF($O83="","",IF(INDEX('DỮ LIỆU'!$H$3:$H$1052,$O83)="","",INDEX('DỮ LIỆU'!$H$3:$H$1052,$O83)))</f>
        <v/>
      </c>
      <c r="H83" s="13" t="str">
        <f aca="false">IF($O83="","",N(INDEX('DỮ LIỆU'!$I$3:$I$1052,$O83)))</f>
        <v/>
      </c>
      <c r="I83" s="13" t="str">
        <f aca="false">IF($O83="","",N(INDEX('DỮ LIỆU'!$J$3:$J$1052,$O83)))</f>
        <v/>
      </c>
      <c r="J83" s="14" t="str">
        <f aca="false">IF($O83="","",N(INDEX('DỮ LIỆU'!$K$3:$K$1052,$O83)))</f>
        <v/>
      </c>
      <c r="K83" s="13" t="str">
        <f aca="false">IF($O83="","",N(INDEX('DỮ LIỆU'!$L$3:$L$1052,$O83)))</f>
        <v/>
      </c>
      <c r="L83" s="13" t="str">
        <f aca="false">IF($O83="","",N(INDEX('DỮ LIỆU'!$M$3:$M$1052,$O83)))</f>
        <v/>
      </c>
      <c r="M83" s="13" t="str">
        <f aca="false">IF($O83="","",N(INDEX('DỮ LIỆU'!$N$3:$N$1052,$O83)))</f>
        <v/>
      </c>
      <c r="N83" s="13" t="str">
        <f aca="false">IF($O83="","",N(INDEX('DỮ LIỆU'!$O$3:$O$1052,$O83)))</f>
        <v/>
      </c>
      <c r="O83" s="0" t="str">
        <f aca="false">IFERROR(MATCH(78,'DỮ LIỆU'!$U$3:$U$1052,0),"")</f>
        <v/>
      </c>
    </row>
    <row r="84" customFormat="false" ht="15" hidden="false" customHeight="false" outlineLevel="0" collapsed="false">
      <c r="A84" s="21" t="str">
        <f aca="false">IF($O84="","",79)</f>
        <v/>
      </c>
      <c r="B84" s="13" t="str">
        <f aca="false">IF($O84="","",INDEX('DỮ LIỆU'!$A$3:$A$1052,$O84))</f>
        <v/>
      </c>
      <c r="C84" s="41" t="str">
        <f aca="false">IF($O84="","",IF(INDEX('DỮ LIỆU'!$B$3:$B$1052,$O84)="","",INDEX('DỮ LIỆU'!$B$3:$B$1052,$O84)))</f>
        <v/>
      </c>
      <c r="D84" s="21" t="str">
        <f aca="false">IF($O84="","",IF(INDEX('DỮ LIỆU'!$C$3:$C$1052,$O84)="","",INDEX('DỮ LIỆU'!$C$3:$C$1052,$O84)))</f>
        <v/>
      </c>
      <c r="E84" s="21" t="str">
        <f aca="false">IF($O84="","",IF(INDEX('DỮ LIỆU'!$E$3:$E$1052,$O84)="","",INDEX('DỮ LIỆU'!$E$3:$E$1052,$O84)))</f>
        <v/>
      </c>
      <c r="F84" s="21" t="str">
        <f aca="false">IF($O84="","",IF(INDEX('DỮ LIỆU'!$F$3:$F$1052,$O84)="","",INDEX('DỮ LIỆU'!$F$3:$F$1052,$O84)))</f>
        <v/>
      </c>
      <c r="G84" s="21" t="str">
        <f aca="false">IF($O84="","",IF(INDEX('DỮ LIỆU'!$H$3:$H$1052,$O84)="","",INDEX('DỮ LIỆU'!$H$3:$H$1052,$O84)))</f>
        <v/>
      </c>
      <c r="H84" s="13" t="str">
        <f aca="false">IF($O84="","",N(INDEX('DỮ LIỆU'!$I$3:$I$1052,$O84)))</f>
        <v/>
      </c>
      <c r="I84" s="13" t="str">
        <f aca="false">IF($O84="","",N(INDEX('DỮ LIỆU'!$J$3:$J$1052,$O84)))</f>
        <v/>
      </c>
      <c r="J84" s="14" t="str">
        <f aca="false">IF($O84="","",N(INDEX('DỮ LIỆU'!$K$3:$K$1052,$O84)))</f>
        <v/>
      </c>
      <c r="K84" s="13" t="str">
        <f aca="false">IF($O84="","",N(INDEX('DỮ LIỆU'!$L$3:$L$1052,$O84)))</f>
        <v/>
      </c>
      <c r="L84" s="13" t="str">
        <f aca="false">IF($O84="","",N(INDEX('DỮ LIỆU'!$M$3:$M$1052,$O84)))</f>
        <v/>
      </c>
      <c r="M84" s="13" t="str">
        <f aca="false">IF($O84="","",N(INDEX('DỮ LIỆU'!$N$3:$N$1052,$O84)))</f>
        <v/>
      </c>
      <c r="N84" s="13" t="str">
        <f aca="false">IF($O84="","",N(INDEX('DỮ LIỆU'!$O$3:$O$1052,$O84)))</f>
        <v/>
      </c>
      <c r="O84" s="0" t="str">
        <f aca="false">IFERROR(MATCH(79,'DỮ LIỆU'!$U$3:$U$1052,0),"")</f>
        <v/>
      </c>
    </row>
    <row r="85" customFormat="false" ht="15" hidden="false" customHeight="false" outlineLevel="0" collapsed="false">
      <c r="A85" s="21" t="str">
        <f aca="false">IF($O85="","",80)</f>
        <v/>
      </c>
      <c r="B85" s="13" t="str">
        <f aca="false">IF($O85="","",INDEX('DỮ LIỆU'!$A$3:$A$1052,$O85))</f>
        <v/>
      </c>
      <c r="C85" s="41" t="str">
        <f aca="false">IF($O85="","",IF(INDEX('DỮ LIỆU'!$B$3:$B$1052,$O85)="","",INDEX('DỮ LIỆU'!$B$3:$B$1052,$O85)))</f>
        <v/>
      </c>
      <c r="D85" s="21" t="str">
        <f aca="false">IF($O85="","",IF(INDEX('DỮ LIỆU'!$C$3:$C$1052,$O85)="","",INDEX('DỮ LIỆU'!$C$3:$C$1052,$O85)))</f>
        <v/>
      </c>
      <c r="E85" s="21" t="str">
        <f aca="false">IF($O85="","",IF(INDEX('DỮ LIỆU'!$E$3:$E$1052,$O85)="","",INDEX('DỮ LIỆU'!$E$3:$E$1052,$O85)))</f>
        <v/>
      </c>
      <c r="F85" s="21" t="str">
        <f aca="false">IF($O85="","",IF(INDEX('DỮ LIỆU'!$F$3:$F$1052,$O85)="","",INDEX('DỮ LIỆU'!$F$3:$F$1052,$O85)))</f>
        <v/>
      </c>
      <c r="G85" s="21" t="str">
        <f aca="false">IF($O85="","",IF(INDEX('DỮ LIỆU'!$H$3:$H$1052,$O85)="","",INDEX('DỮ LIỆU'!$H$3:$H$1052,$O85)))</f>
        <v/>
      </c>
      <c r="H85" s="13" t="str">
        <f aca="false">IF($O85="","",N(INDEX('DỮ LIỆU'!$I$3:$I$1052,$O85)))</f>
        <v/>
      </c>
      <c r="I85" s="13" t="str">
        <f aca="false">IF($O85="","",N(INDEX('DỮ LIỆU'!$J$3:$J$1052,$O85)))</f>
        <v/>
      </c>
      <c r="J85" s="14" t="str">
        <f aca="false">IF($O85="","",N(INDEX('DỮ LIỆU'!$K$3:$K$1052,$O85)))</f>
        <v/>
      </c>
      <c r="K85" s="13" t="str">
        <f aca="false">IF($O85="","",N(INDEX('DỮ LIỆU'!$L$3:$L$1052,$O85)))</f>
        <v/>
      </c>
      <c r="L85" s="13" t="str">
        <f aca="false">IF($O85="","",N(INDEX('DỮ LIỆU'!$M$3:$M$1052,$O85)))</f>
        <v/>
      </c>
      <c r="M85" s="13" t="str">
        <f aca="false">IF($O85="","",N(INDEX('DỮ LIỆU'!$N$3:$N$1052,$O85)))</f>
        <v/>
      </c>
      <c r="N85" s="13" t="str">
        <f aca="false">IF($O85="","",N(INDEX('DỮ LIỆU'!$O$3:$O$1052,$O85)))</f>
        <v/>
      </c>
      <c r="O85" s="0" t="str">
        <f aca="false">IFERROR(MATCH(80,'DỮ LIỆU'!$U$3:$U$1052,0),"")</f>
        <v/>
      </c>
    </row>
    <row r="86" customFormat="false" ht="15" hidden="false" customHeight="false" outlineLevel="0" collapsed="false">
      <c r="A86" s="21" t="str">
        <f aca="false">IF($O86="","",81)</f>
        <v/>
      </c>
      <c r="B86" s="13" t="str">
        <f aca="false">IF($O86="","",INDEX('DỮ LIỆU'!$A$3:$A$1052,$O86))</f>
        <v/>
      </c>
      <c r="C86" s="41" t="str">
        <f aca="false">IF($O86="","",IF(INDEX('DỮ LIỆU'!$B$3:$B$1052,$O86)="","",INDEX('DỮ LIỆU'!$B$3:$B$1052,$O86)))</f>
        <v/>
      </c>
      <c r="D86" s="21" t="str">
        <f aca="false">IF($O86="","",IF(INDEX('DỮ LIỆU'!$C$3:$C$1052,$O86)="","",INDEX('DỮ LIỆU'!$C$3:$C$1052,$O86)))</f>
        <v/>
      </c>
      <c r="E86" s="21" t="str">
        <f aca="false">IF($O86="","",IF(INDEX('DỮ LIỆU'!$E$3:$E$1052,$O86)="","",INDEX('DỮ LIỆU'!$E$3:$E$1052,$O86)))</f>
        <v/>
      </c>
      <c r="F86" s="21" t="str">
        <f aca="false">IF($O86="","",IF(INDEX('DỮ LIỆU'!$F$3:$F$1052,$O86)="","",INDEX('DỮ LIỆU'!$F$3:$F$1052,$O86)))</f>
        <v/>
      </c>
      <c r="G86" s="21" t="str">
        <f aca="false">IF($O86="","",IF(INDEX('DỮ LIỆU'!$H$3:$H$1052,$O86)="","",INDEX('DỮ LIỆU'!$H$3:$H$1052,$O86)))</f>
        <v/>
      </c>
      <c r="H86" s="13" t="str">
        <f aca="false">IF($O86="","",N(INDEX('DỮ LIỆU'!$I$3:$I$1052,$O86)))</f>
        <v/>
      </c>
      <c r="I86" s="13" t="str">
        <f aca="false">IF($O86="","",N(INDEX('DỮ LIỆU'!$J$3:$J$1052,$O86)))</f>
        <v/>
      </c>
      <c r="J86" s="14" t="str">
        <f aca="false">IF($O86="","",N(INDEX('DỮ LIỆU'!$K$3:$K$1052,$O86)))</f>
        <v/>
      </c>
      <c r="K86" s="13" t="str">
        <f aca="false">IF($O86="","",N(INDEX('DỮ LIỆU'!$L$3:$L$1052,$O86)))</f>
        <v/>
      </c>
      <c r="L86" s="13" t="str">
        <f aca="false">IF($O86="","",N(INDEX('DỮ LIỆU'!$M$3:$M$1052,$O86)))</f>
        <v/>
      </c>
      <c r="M86" s="13" t="str">
        <f aca="false">IF($O86="","",N(INDEX('DỮ LIỆU'!$N$3:$N$1052,$O86)))</f>
        <v/>
      </c>
      <c r="N86" s="13" t="str">
        <f aca="false">IF($O86="","",N(INDEX('DỮ LIỆU'!$O$3:$O$1052,$O86)))</f>
        <v/>
      </c>
      <c r="O86" s="0" t="str">
        <f aca="false">IFERROR(MATCH(81,'DỮ LIỆU'!$U$3:$U$1052,0),"")</f>
        <v/>
      </c>
    </row>
    <row r="87" customFormat="false" ht="15" hidden="false" customHeight="false" outlineLevel="0" collapsed="false">
      <c r="A87" s="21" t="str">
        <f aca="false">IF($O87="","",82)</f>
        <v/>
      </c>
      <c r="B87" s="13" t="str">
        <f aca="false">IF($O87="","",INDEX('DỮ LIỆU'!$A$3:$A$1052,$O87))</f>
        <v/>
      </c>
      <c r="C87" s="41" t="str">
        <f aca="false">IF($O87="","",IF(INDEX('DỮ LIỆU'!$B$3:$B$1052,$O87)="","",INDEX('DỮ LIỆU'!$B$3:$B$1052,$O87)))</f>
        <v/>
      </c>
      <c r="D87" s="21" t="str">
        <f aca="false">IF($O87="","",IF(INDEX('DỮ LIỆU'!$C$3:$C$1052,$O87)="","",INDEX('DỮ LIỆU'!$C$3:$C$1052,$O87)))</f>
        <v/>
      </c>
      <c r="E87" s="21" t="str">
        <f aca="false">IF($O87="","",IF(INDEX('DỮ LIỆU'!$E$3:$E$1052,$O87)="","",INDEX('DỮ LIỆU'!$E$3:$E$1052,$O87)))</f>
        <v/>
      </c>
      <c r="F87" s="21" t="str">
        <f aca="false">IF($O87="","",IF(INDEX('DỮ LIỆU'!$F$3:$F$1052,$O87)="","",INDEX('DỮ LIỆU'!$F$3:$F$1052,$O87)))</f>
        <v/>
      </c>
      <c r="G87" s="21" t="str">
        <f aca="false">IF($O87="","",IF(INDEX('DỮ LIỆU'!$H$3:$H$1052,$O87)="","",INDEX('DỮ LIỆU'!$H$3:$H$1052,$O87)))</f>
        <v/>
      </c>
      <c r="H87" s="13" t="str">
        <f aca="false">IF($O87="","",N(INDEX('DỮ LIỆU'!$I$3:$I$1052,$O87)))</f>
        <v/>
      </c>
      <c r="I87" s="13" t="str">
        <f aca="false">IF($O87="","",N(INDEX('DỮ LIỆU'!$J$3:$J$1052,$O87)))</f>
        <v/>
      </c>
      <c r="J87" s="14" t="str">
        <f aca="false">IF($O87="","",N(INDEX('DỮ LIỆU'!$K$3:$K$1052,$O87)))</f>
        <v/>
      </c>
      <c r="K87" s="13" t="str">
        <f aca="false">IF($O87="","",N(INDEX('DỮ LIỆU'!$L$3:$L$1052,$O87)))</f>
        <v/>
      </c>
      <c r="L87" s="13" t="str">
        <f aca="false">IF($O87="","",N(INDEX('DỮ LIỆU'!$M$3:$M$1052,$O87)))</f>
        <v/>
      </c>
      <c r="M87" s="13" t="str">
        <f aca="false">IF($O87="","",N(INDEX('DỮ LIỆU'!$N$3:$N$1052,$O87)))</f>
        <v/>
      </c>
      <c r="N87" s="13" t="str">
        <f aca="false">IF($O87="","",N(INDEX('DỮ LIỆU'!$O$3:$O$1052,$O87)))</f>
        <v/>
      </c>
      <c r="O87" s="0" t="str">
        <f aca="false">IFERROR(MATCH(82,'DỮ LIỆU'!$U$3:$U$1052,0),"")</f>
        <v/>
      </c>
    </row>
    <row r="88" customFormat="false" ht="15" hidden="false" customHeight="false" outlineLevel="0" collapsed="false">
      <c r="A88" s="21" t="str">
        <f aca="false">IF($O88="","",83)</f>
        <v/>
      </c>
      <c r="B88" s="13" t="str">
        <f aca="false">IF($O88="","",INDEX('DỮ LIỆU'!$A$3:$A$1052,$O88))</f>
        <v/>
      </c>
      <c r="C88" s="41" t="str">
        <f aca="false">IF($O88="","",IF(INDEX('DỮ LIỆU'!$B$3:$B$1052,$O88)="","",INDEX('DỮ LIỆU'!$B$3:$B$1052,$O88)))</f>
        <v/>
      </c>
      <c r="D88" s="21" t="str">
        <f aca="false">IF($O88="","",IF(INDEX('DỮ LIỆU'!$C$3:$C$1052,$O88)="","",INDEX('DỮ LIỆU'!$C$3:$C$1052,$O88)))</f>
        <v/>
      </c>
      <c r="E88" s="21" t="str">
        <f aca="false">IF($O88="","",IF(INDEX('DỮ LIỆU'!$E$3:$E$1052,$O88)="","",INDEX('DỮ LIỆU'!$E$3:$E$1052,$O88)))</f>
        <v/>
      </c>
      <c r="F88" s="21" t="str">
        <f aca="false">IF($O88="","",IF(INDEX('DỮ LIỆU'!$F$3:$F$1052,$O88)="","",INDEX('DỮ LIỆU'!$F$3:$F$1052,$O88)))</f>
        <v/>
      </c>
      <c r="G88" s="21" t="str">
        <f aca="false">IF($O88="","",IF(INDEX('DỮ LIỆU'!$H$3:$H$1052,$O88)="","",INDEX('DỮ LIỆU'!$H$3:$H$1052,$O88)))</f>
        <v/>
      </c>
      <c r="H88" s="13" t="str">
        <f aca="false">IF($O88="","",N(INDEX('DỮ LIỆU'!$I$3:$I$1052,$O88)))</f>
        <v/>
      </c>
      <c r="I88" s="13" t="str">
        <f aca="false">IF($O88="","",N(INDEX('DỮ LIỆU'!$J$3:$J$1052,$O88)))</f>
        <v/>
      </c>
      <c r="J88" s="14" t="str">
        <f aca="false">IF($O88="","",N(INDEX('DỮ LIỆU'!$K$3:$K$1052,$O88)))</f>
        <v/>
      </c>
      <c r="K88" s="13" t="str">
        <f aca="false">IF($O88="","",N(INDEX('DỮ LIỆU'!$L$3:$L$1052,$O88)))</f>
        <v/>
      </c>
      <c r="L88" s="13" t="str">
        <f aca="false">IF($O88="","",N(INDEX('DỮ LIỆU'!$M$3:$M$1052,$O88)))</f>
        <v/>
      </c>
      <c r="M88" s="13" t="str">
        <f aca="false">IF($O88="","",N(INDEX('DỮ LIỆU'!$N$3:$N$1052,$O88)))</f>
        <v/>
      </c>
      <c r="N88" s="13" t="str">
        <f aca="false">IF($O88="","",N(INDEX('DỮ LIỆU'!$O$3:$O$1052,$O88)))</f>
        <v/>
      </c>
      <c r="O88" s="0" t="str">
        <f aca="false">IFERROR(MATCH(83,'DỮ LIỆU'!$U$3:$U$1052,0),"")</f>
        <v/>
      </c>
    </row>
    <row r="89" customFormat="false" ht="15" hidden="false" customHeight="false" outlineLevel="0" collapsed="false">
      <c r="A89" s="21" t="str">
        <f aca="false">IF($O89="","",84)</f>
        <v/>
      </c>
      <c r="B89" s="13" t="str">
        <f aca="false">IF($O89="","",INDEX('DỮ LIỆU'!$A$3:$A$1052,$O89))</f>
        <v/>
      </c>
      <c r="C89" s="41" t="str">
        <f aca="false">IF($O89="","",IF(INDEX('DỮ LIỆU'!$B$3:$B$1052,$O89)="","",INDEX('DỮ LIỆU'!$B$3:$B$1052,$O89)))</f>
        <v/>
      </c>
      <c r="D89" s="21" t="str">
        <f aca="false">IF($O89="","",IF(INDEX('DỮ LIỆU'!$C$3:$C$1052,$O89)="","",INDEX('DỮ LIỆU'!$C$3:$C$1052,$O89)))</f>
        <v/>
      </c>
      <c r="E89" s="21" t="str">
        <f aca="false">IF($O89="","",IF(INDEX('DỮ LIỆU'!$E$3:$E$1052,$O89)="","",INDEX('DỮ LIỆU'!$E$3:$E$1052,$O89)))</f>
        <v/>
      </c>
      <c r="F89" s="21" t="str">
        <f aca="false">IF($O89="","",IF(INDEX('DỮ LIỆU'!$F$3:$F$1052,$O89)="","",INDEX('DỮ LIỆU'!$F$3:$F$1052,$O89)))</f>
        <v/>
      </c>
      <c r="G89" s="21" t="str">
        <f aca="false">IF($O89="","",IF(INDEX('DỮ LIỆU'!$H$3:$H$1052,$O89)="","",INDEX('DỮ LIỆU'!$H$3:$H$1052,$O89)))</f>
        <v/>
      </c>
      <c r="H89" s="13" t="str">
        <f aca="false">IF($O89="","",N(INDEX('DỮ LIỆU'!$I$3:$I$1052,$O89)))</f>
        <v/>
      </c>
      <c r="I89" s="13" t="str">
        <f aca="false">IF($O89="","",N(INDEX('DỮ LIỆU'!$J$3:$J$1052,$O89)))</f>
        <v/>
      </c>
      <c r="J89" s="14" t="str">
        <f aca="false">IF($O89="","",N(INDEX('DỮ LIỆU'!$K$3:$K$1052,$O89)))</f>
        <v/>
      </c>
      <c r="K89" s="13" t="str">
        <f aca="false">IF($O89="","",N(INDEX('DỮ LIỆU'!$L$3:$L$1052,$O89)))</f>
        <v/>
      </c>
      <c r="L89" s="13" t="str">
        <f aca="false">IF($O89="","",N(INDEX('DỮ LIỆU'!$M$3:$M$1052,$O89)))</f>
        <v/>
      </c>
      <c r="M89" s="13" t="str">
        <f aca="false">IF($O89="","",N(INDEX('DỮ LIỆU'!$N$3:$N$1052,$O89)))</f>
        <v/>
      </c>
      <c r="N89" s="13" t="str">
        <f aca="false">IF($O89="","",N(INDEX('DỮ LIỆU'!$O$3:$O$1052,$O89)))</f>
        <v/>
      </c>
      <c r="O89" s="0" t="str">
        <f aca="false">IFERROR(MATCH(84,'DỮ LIỆU'!$U$3:$U$1052,0),"")</f>
        <v/>
      </c>
    </row>
    <row r="90" customFormat="false" ht="15" hidden="false" customHeight="false" outlineLevel="0" collapsed="false">
      <c r="A90" s="21" t="str">
        <f aca="false">IF($O90="","",85)</f>
        <v/>
      </c>
      <c r="B90" s="13" t="str">
        <f aca="false">IF($O90="","",INDEX('DỮ LIỆU'!$A$3:$A$1052,$O90))</f>
        <v/>
      </c>
      <c r="C90" s="41" t="str">
        <f aca="false">IF($O90="","",IF(INDEX('DỮ LIỆU'!$B$3:$B$1052,$O90)="","",INDEX('DỮ LIỆU'!$B$3:$B$1052,$O90)))</f>
        <v/>
      </c>
      <c r="D90" s="21" t="str">
        <f aca="false">IF($O90="","",IF(INDEX('DỮ LIỆU'!$C$3:$C$1052,$O90)="","",INDEX('DỮ LIỆU'!$C$3:$C$1052,$O90)))</f>
        <v/>
      </c>
      <c r="E90" s="21" t="str">
        <f aca="false">IF($O90="","",IF(INDEX('DỮ LIỆU'!$E$3:$E$1052,$O90)="","",INDEX('DỮ LIỆU'!$E$3:$E$1052,$O90)))</f>
        <v/>
      </c>
      <c r="F90" s="21" t="str">
        <f aca="false">IF($O90="","",IF(INDEX('DỮ LIỆU'!$F$3:$F$1052,$O90)="","",INDEX('DỮ LIỆU'!$F$3:$F$1052,$O90)))</f>
        <v/>
      </c>
      <c r="G90" s="21" t="str">
        <f aca="false">IF($O90="","",IF(INDEX('DỮ LIỆU'!$H$3:$H$1052,$O90)="","",INDEX('DỮ LIỆU'!$H$3:$H$1052,$O90)))</f>
        <v/>
      </c>
      <c r="H90" s="13" t="str">
        <f aca="false">IF($O90="","",N(INDEX('DỮ LIỆU'!$I$3:$I$1052,$O90)))</f>
        <v/>
      </c>
      <c r="I90" s="13" t="str">
        <f aca="false">IF($O90="","",N(INDEX('DỮ LIỆU'!$J$3:$J$1052,$O90)))</f>
        <v/>
      </c>
      <c r="J90" s="14" t="str">
        <f aca="false">IF($O90="","",N(INDEX('DỮ LIỆU'!$K$3:$K$1052,$O90)))</f>
        <v/>
      </c>
      <c r="K90" s="13" t="str">
        <f aca="false">IF($O90="","",N(INDEX('DỮ LIỆU'!$L$3:$L$1052,$O90)))</f>
        <v/>
      </c>
      <c r="L90" s="13" t="str">
        <f aca="false">IF($O90="","",N(INDEX('DỮ LIỆU'!$M$3:$M$1052,$O90)))</f>
        <v/>
      </c>
      <c r="M90" s="13" t="str">
        <f aca="false">IF($O90="","",N(INDEX('DỮ LIỆU'!$N$3:$N$1052,$O90)))</f>
        <v/>
      </c>
      <c r="N90" s="13" t="str">
        <f aca="false">IF($O90="","",N(INDEX('DỮ LIỆU'!$O$3:$O$1052,$O90)))</f>
        <v/>
      </c>
      <c r="O90" s="0" t="str">
        <f aca="false">IFERROR(MATCH(85,'DỮ LIỆU'!$U$3:$U$1052,0),"")</f>
        <v/>
      </c>
    </row>
    <row r="91" customFormat="false" ht="15" hidden="false" customHeight="false" outlineLevel="0" collapsed="false">
      <c r="A91" s="21" t="str">
        <f aca="false">IF($O91="","",86)</f>
        <v/>
      </c>
      <c r="B91" s="13" t="str">
        <f aca="false">IF($O91="","",INDEX('DỮ LIỆU'!$A$3:$A$1052,$O91))</f>
        <v/>
      </c>
      <c r="C91" s="41" t="str">
        <f aca="false">IF($O91="","",IF(INDEX('DỮ LIỆU'!$B$3:$B$1052,$O91)="","",INDEX('DỮ LIỆU'!$B$3:$B$1052,$O91)))</f>
        <v/>
      </c>
      <c r="D91" s="21" t="str">
        <f aca="false">IF($O91="","",IF(INDEX('DỮ LIỆU'!$C$3:$C$1052,$O91)="","",INDEX('DỮ LIỆU'!$C$3:$C$1052,$O91)))</f>
        <v/>
      </c>
      <c r="E91" s="21" t="str">
        <f aca="false">IF($O91="","",IF(INDEX('DỮ LIỆU'!$E$3:$E$1052,$O91)="","",INDEX('DỮ LIỆU'!$E$3:$E$1052,$O91)))</f>
        <v/>
      </c>
      <c r="F91" s="21" t="str">
        <f aca="false">IF($O91="","",IF(INDEX('DỮ LIỆU'!$F$3:$F$1052,$O91)="","",INDEX('DỮ LIỆU'!$F$3:$F$1052,$O91)))</f>
        <v/>
      </c>
      <c r="G91" s="21" t="str">
        <f aca="false">IF($O91="","",IF(INDEX('DỮ LIỆU'!$H$3:$H$1052,$O91)="","",INDEX('DỮ LIỆU'!$H$3:$H$1052,$O91)))</f>
        <v/>
      </c>
      <c r="H91" s="13" t="str">
        <f aca="false">IF($O91="","",N(INDEX('DỮ LIỆU'!$I$3:$I$1052,$O91)))</f>
        <v/>
      </c>
      <c r="I91" s="13" t="str">
        <f aca="false">IF($O91="","",N(INDEX('DỮ LIỆU'!$J$3:$J$1052,$O91)))</f>
        <v/>
      </c>
      <c r="J91" s="14" t="str">
        <f aca="false">IF($O91="","",N(INDEX('DỮ LIỆU'!$K$3:$K$1052,$O91)))</f>
        <v/>
      </c>
      <c r="K91" s="13" t="str">
        <f aca="false">IF($O91="","",N(INDEX('DỮ LIỆU'!$L$3:$L$1052,$O91)))</f>
        <v/>
      </c>
      <c r="L91" s="13" t="str">
        <f aca="false">IF($O91="","",N(INDEX('DỮ LIỆU'!$M$3:$M$1052,$O91)))</f>
        <v/>
      </c>
      <c r="M91" s="13" t="str">
        <f aca="false">IF($O91="","",N(INDEX('DỮ LIỆU'!$N$3:$N$1052,$O91)))</f>
        <v/>
      </c>
      <c r="N91" s="13" t="str">
        <f aca="false">IF($O91="","",N(INDEX('DỮ LIỆU'!$O$3:$O$1052,$O91)))</f>
        <v/>
      </c>
      <c r="O91" s="0" t="str">
        <f aca="false">IFERROR(MATCH(86,'DỮ LIỆU'!$U$3:$U$1052,0),"")</f>
        <v/>
      </c>
    </row>
    <row r="92" customFormat="false" ht="15" hidden="false" customHeight="false" outlineLevel="0" collapsed="false">
      <c r="A92" s="21" t="str">
        <f aca="false">IF($O92="","",87)</f>
        <v/>
      </c>
      <c r="B92" s="13" t="str">
        <f aca="false">IF($O92="","",INDEX('DỮ LIỆU'!$A$3:$A$1052,$O92))</f>
        <v/>
      </c>
      <c r="C92" s="41" t="str">
        <f aca="false">IF($O92="","",IF(INDEX('DỮ LIỆU'!$B$3:$B$1052,$O92)="","",INDEX('DỮ LIỆU'!$B$3:$B$1052,$O92)))</f>
        <v/>
      </c>
      <c r="D92" s="21" t="str">
        <f aca="false">IF($O92="","",IF(INDEX('DỮ LIỆU'!$C$3:$C$1052,$O92)="","",INDEX('DỮ LIỆU'!$C$3:$C$1052,$O92)))</f>
        <v/>
      </c>
      <c r="E92" s="21" t="str">
        <f aca="false">IF($O92="","",IF(INDEX('DỮ LIỆU'!$E$3:$E$1052,$O92)="","",INDEX('DỮ LIỆU'!$E$3:$E$1052,$O92)))</f>
        <v/>
      </c>
      <c r="F92" s="21" t="str">
        <f aca="false">IF($O92="","",IF(INDEX('DỮ LIỆU'!$F$3:$F$1052,$O92)="","",INDEX('DỮ LIỆU'!$F$3:$F$1052,$O92)))</f>
        <v/>
      </c>
      <c r="G92" s="21" t="str">
        <f aca="false">IF($O92="","",IF(INDEX('DỮ LIỆU'!$H$3:$H$1052,$O92)="","",INDEX('DỮ LIỆU'!$H$3:$H$1052,$O92)))</f>
        <v/>
      </c>
      <c r="H92" s="13" t="str">
        <f aca="false">IF($O92="","",N(INDEX('DỮ LIỆU'!$I$3:$I$1052,$O92)))</f>
        <v/>
      </c>
      <c r="I92" s="13" t="str">
        <f aca="false">IF($O92="","",N(INDEX('DỮ LIỆU'!$J$3:$J$1052,$O92)))</f>
        <v/>
      </c>
      <c r="J92" s="14" t="str">
        <f aca="false">IF($O92="","",N(INDEX('DỮ LIỆU'!$K$3:$K$1052,$O92)))</f>
        <v/>
      </c>
      <c r="K92" s="13" t="str">
        <f aca="false">IF($O92="","",N(INDEX('DỮ LIỆU'!$L$3:$L$1052,$O92)))</f>
        <v/>
      </c>
      <c r="L92" s="13" t="str">
        <f aca="false">IF($O92="","",N(INDEX('DỮ LIỆU'!$M$3:$M$1052,$O92)))</f>
        <v/>
      </c>
      <c r="M92" s="13" t="str">
        <f aca="false">IF($O92="","",N(INDEX('DỮ LIỆU'!$N$3:$N$1052,$O92)))</f>
        <v/>
      </c>
      <c r="N92" s="13" t="str">
        <f aca="false">IF($O92="","",N(INDEX('DỮ LIỆU'!$O$3:$O$1052,$O92)))</f>
        <v/>
      </c>
      <c r="O92" s="0" t="str">
        <f aca="false">IFERROR(MATCH(87,'DỮ LIỆU'!$U$3:$U$1052,0),"")</f>
        <v/>
      </c>
    </row>
    <row r="93" customFormat="false" ht="15" hidden="false" customHeight="false" outlineLevel="0" collapsed="false">
      <c r="A93" s="21" t="str">
        <f aca="false">IF($O93="","",88)</f>
        <v/>
      </c>
      <c r="B93" s="13" t="str">
        <f aca="false">IF($O93="","",INDEX('DỮ LIỆU'!$A$3:$A$1052,$O93))</f>
        <v/>
      </c>
      <c r="C93" s="41" t="str">
        <f aca="false">IF($O93="","",IF(INDEX('DỮ LIỆU'!$B$3:$B$1052,$O93)="","",INDEX('DỮ LIỆU'!$B$3:$B$1052,$O93)))</f>
        <v/>
      </c>
      <c r="D93" s="21" t="str">
        <f aca="false">IF($O93="","",IF(INDEX('DỮ LIỆU'!$C$3:$C$1052,$O93)="","",INDEX('DỮ LIỆU'!$C$3:$C$1052,$O93)))</f>
        <v/>
      </c>
      <c r="E93" s="21" t="str">
        <f aca="false">IF($O93="","",IF(INDEX('DỮ LIỆU'!$E$3:$E$1052,$O93)="","",INDEX('DỮ LIỆU'!$E$3:$E$1052,$O93)))</f>
        <v/>
      </c>
      <c r="F93" s="21" t="str">
        <f aca="false">IF($O93="","",IF(INDEX('DỮ LIỆU'!$F$3:$F$1052,$O93)="","",INDEX('DỮ LIỆU'!$F$3:$F$1052,$O93)))</f>
        <v/>
      </c>
      <c r="G93" s="21" t="str">
        <f aca="false">IF($O93="","",IF(INDEX('DỮ LIỆU'!$H$3:$H$1052,$O93)="","",INDEX('DỮ LIỆU'!$H$3:$H$1052,$O93)))</f>
        <v/>
      </c>
      <c r="H93" s="13" t="str">
        <f aca="false">IF($O93="","",N(INDEX('DỮ LIỆU'!$I$3:$I$1052,$O93)))</f>
        <v/>
      </c>
      <c r="I93" s="13" t="str">
        <f aca="false">IF($O93="","",N(INDEX('DỮ LIỆU'!$J$3:$J$1052,$O93)))</f>
        <v/>
      </c>
      <c r="J93" s="14" t="str">
        <f aca="false">IF($O93="","",N(INDEX('DỮ LIỆU'!$K$3:$K$1052,$O93)))</f>
        <v/>
      </c>
      <c r="K93" s="13" t="str">
        <f aca="false">IF($O93="","",N(INDEX('DỮ LIỆU'!$L$3:$L$1052,$O93)))</f>
        <v/>
      </c>
      <c r="L93" s="13" t="str">
        <f aca="false">IF($O93="","",N(INDEX('DỮ LIỆU'!$M$3:$M$1052,$O93)))</f>
        <v/>
      </c>
      <c r="M93" s="13" t="str">
        <f aca="false">IF($O93="","",N(INDEX('DỮ LIỆU'!$N$3:$N$1052,$O93)))</f>
        <v/>
      </c>
      <c r="N93" s="13" t="str">
        <f aca="false">IF($O93="","",N(INDEX('DỮ LIỆU'!$O$3:$O$1052,$O93)))</f>
        <v/>
      </c>
      <c r="O93" s="0" t="str">
        <f aca="false">IFERROR(MATCH(88,'DỮ LIỆU'!$U$3:$U$1052,0),"")</f>
        <v/>
      </c>
    </row>
    <row r="94" customFormat="false" ht="15" hidden="false" customHeight="false" outlineLevel="0" collapsed="false">
      <c r="A94" s="21" t="str">
        <f aca="false">IF($O94="","",89)</f>
        <v/>
      </c>
      <c r="B94" s="13" t="str">
        <f aca="false">IF($O94="","",INDEX('DỮ LIỆU'!$A$3:$A$1052,$O94))</f>
        <v/>
      </c>
      <c r="C94" s="41" t="str">
        <f aca="false">IF($O94="","",IF(INDEX('DỮ LIỆU'!$B$3:$B$1052,$O94)="","",INDEX('DỮ LIỆU'!$B$3:$B$1052,$O94)))</f>
        <v/>
      </c>
      <c r="D94" s="21" t="str">
        <f aca="false">IF($O94="","",IF(INDEX('DỮ LIỆU'!$C$3:$C$1052,$O94)="","",INDEX('DỮ LIỆU'!$C$3:$C$1052,$O94)))</f>
        <v/>
      </c>
      <c r="E94" s="21" t="str">
        <f aca="false">IF($O94="","",IF(INDEX('DỮ LIỆU'!$E$3:$E$1052,$O94)="","",INDEX('DỮ LIỆU'!$E$3:$E$1052,$O94)))</f>
        <v/>
      </c>
      <c r="F94" s="21" t="str">
        <f aca="false">IF($O94="","",IF(INDEX('DỮ LIỆU'!$F$3:$F$1052,$O94)="","",INDEX('DỮ LIỆU'!$F$3:$F$1052,$O94)))</f>
        <v/>
      </c>
      <c r="G94" s="21" t="str">
        <f aca="false">IF($O94="","",IF(INDEX('DỮ LIỆU'!$H$3:$H$1052,$O94)="","",INDEX('DỮ LIỆU'!$H$3:$H$1052,$O94)))</f>
        <v/>
      </c>
      <c r="H94" s="13" t="str">
        <f aca="false">IF($O94="","",N(INDEX('DỮ LIỆU'!$I$3:$I$1052,$O94)))</f>
        <v/>
      </c>
      <c r="I94" s="13" t="str">
        <f aca="false">IF($O94="","",N(INDEX('DỮ LIỆU'!$J$3:$J$1052,$O94)))</f>
        <v/>
      </c>
      <c r="J94" s="14" t="str">
        <f aca="false">IF($O94="","",N(INDEX('DỮ LIỆU'!$K$3:$K$1052,$O94)))</f>
        <v/>
      </c>
      <c r="K94" s="13" t="str">
        <f aca="false">IF($O94="","",N(INDEX('DỮ LIỆU'!$L$3:$L$1052,$O94)))</f>
        <v/>
      </c>
      <c r="L94" s="13" t="str">
        <f aca="false">IF($O94="","",N(INDEX('DỮ LIỆU'!$M$3:$M$1052,$O94)))</f>
        <v/>
      </c>
      <c r="M94" s="13" t="str">
        <f aca="false">IF($O94="","",N(INDEX('DỮ LIỆU'!$N$3:$N$1052,$O94)))</f>
        <v/>
      </c>
      <c r="N94" s="13" t="str">
        <f aca="false">IF($O94="","",N(INDEX('DỮ LIỆU'!$O$3:$O$1052,$O94)))</f>
        <v/>
      </c>
      <c r="O94" s="0" t="str">
        <f aca="false">IFERROR(MATCH(89,'DỮ LIỆU'!$U$3:$U$1052,0),"")</f>
        <v/>
      </c>
    </row>
    <row r="95" customFormat="false" ht="15" hidden="false" customHeight="false" outlineLevel="0" collapsed="false">
      <c r="A95" s="21" t="str">
        <f aca="false">IF($O95="","",90)</f>
        <v/>
      </c>
      <c r="B95" s="13" t="str">
        <f aca="false">IF($O95="","",INDEX('DỮ LIỆU'!$A$3:$A$1052,$O95))</f>
        <v/>
      </c>
      <c r="C95" s="41" t="str">
        <f aca="false">IF($O95="","",IF(INDEX('DỮ LIỆU'!$B$3:$B$1052,$O95)="","",INDEX('DỮ LIỆU'!$B$3:$B$1052,$O95)))</f>
        <v/>
      </c>
      <c r="D95" s="21" t="str">
        <f aca="false">IF($O95="","",IF(INDEX('DỮ LIỆU'!$C$3:$C$1052,$O95)="","",INDEX('DỮ LIỆU'!$C$3:$C$1052,$O95)))</f>
        <v/>
      </c>
      <c r="E95" s="21" t="str">
        <f aca="false">IF($O95="","",IF(INDEX('DỮ LIỆU'!$E$3:$E$1052,$O95)="","",INDEX('DỮ LIỆU'!$E$3:$E$1052,$O95)))</f>
        <v/>
      </c>
      <c r="F95" s="21" t="str">
        <f aca="false">IF($O95="","",IF(INDEX('DỮ LIỆU'!$F$3:$F$1052,$O95)="","",INDEX('DỮ LIỆU'!$F$3:$F$1052,$O95)))</f>
        <v/>
      </c>
      <c r="G95" s="21" t="str">
        <f aca="false">IF($O95="","",IF(INDEX('DỮ LIỆU'!$H$3:$H$1052,$O95)="","",INDEX('DỮ LIỆU'!$H$3:$H$1052,$O95)))</f>
        <v/>
      </c>
      <c r="H95" s="13" t="str">
        <f aca="false">IF($O95="","",N(INDEX('DỮ LIỆU'!$I$3:$I$1052,$O95)))</f>
        <v/>
      </c>
      <c r="I95" s="13" t="str">
        <f aca="false">IF($O95="","",N(INDEX('DỮ LIỆU'!$J$3:$J$1052,$O95)))</f>
        <v/>
      </c>
      <c r="J95" s="14" t="str">
        <f aca="false">IF($O95="","",N(INDEX('DỮ LIỆU'!$K$3:$K$1052,$O95)))</f>
        <v/>
      </c>
      <c r="K95" s="13" t="str">
        <f aca="false">IF($O95="","",N(INDEX('DỮ LIỆU'!$L$3:$L$1052,$O95)))</f>
        <v/>
      </c>
      <c r="L95" s="13" t="str">
        <f aca="false">IF($O95="","",N(INDEX('DỮ LIỆU'!$M$3:$M$1052,$O95)))</f>
        <v/>
      </c>
      <c r="M95" s="13" t="str">
        <f aca="false">IF($O95="","",N(INDEX('DỮ LIỆU'!$N$3:$N$1052,$O95)))</f>
        <v/>
      </c>
      <c r="N95" s="13" t="str">
        <f aca="false">IF($O95="","",N(INDEX('DỮ LIỆU'!$O$3:$O$1052,$O95)))</f>
        <v/>
      </c>
      <c r="O95" s="0" t="str">
        <f aca="false">IFERROR(MATCH(90,'DỮ LIỆU'!$U$3:$U$1052,0),"")</f>
        <v/>
      </c>
    </row>
    <row r="96" customFormat="false" ht="15" hidden="false" customHeight="false" outlineLevel="0" collapsed="false">
      <c r="A96" s="21" t="str">
        <f aca="false">IF($O96="","",91)</f>
        <v/>
      </c>
      <c r="B96" s="13" t="str">
        <f aca="false">IF($O96="","",INDEX('DỮ LIỆU'!$A$3:$A$1052,$O96))</f>
        <v/>
      </c>
      <c r="C96" s="41" t="str">
        <f aca="false">IF($O96="","",IF(INDEX('DỮ LIỆU'!$B$3:$B$1052,$O96)="","",INDEX('DỮ LIỆU'!$B$3:$B$1052,$O96)))</f>
        <v/>
      </c>
      <c r="D96" s="21" t="str">
        <f aca="false">IF($O96="","",IF(INDEX('DỮ LIỆU'!$C$3:$C$1052,$O96)="","",INDEX('DỮ LIỆU'!$C$3:$C$1052,$O96)))</f>
        <v/>
      </c>
      <c r="E96" s="21" t="str">
        <f aca="false">IF($O96="","",IF(INDEX('DỮ LIỆU'!$E$3:$E$1052,$O96)="","",INDEX('DỮ LIỆU'!$E$3:$E$1052,$O96)))</f>
        <v/>
      </c>
      <c r="F96" s="21" t="str">
        <f aca="false">IF($O96="","",IF(INDEX('DỮ LIỆU'!$F$3:$F$1052,$O96)="","",INDEX('DỮ LIỆU'!$F$3:$F$1052,$O96)))</f>
        <v/>
      </c>
      <c r="G96" s="21" t="str">
        <f aca="false">IF($O96="","",IF(INDEX('DỮ LIỆU'!$H$3:$H$1052,$O96)="","",INDEX('DỮ LIỆU'!$H$3:$H$1052,$O96)))</f>
        <v/>
      </c>
      <c r="H96" s="13" t="str">
        <f aca="false">IF($O96="","",N(INDEX('DỮ LIỆU'!$I$3:$I$1052,$O96)))</f>
        <v/>
      </c>
      <c r="I96" s="13" t="str">
        <f aca="false">IF($O96="","",N(INDEX('DỮ LIỆU'!$J$3:$J$1052,$O96)))</f>
        <v/>
      </c>
      <c r="J96" s="14" t="str">
        <f aca="false">IF($O96="","",N(INDEX('DỮ LIỆU'!$K$3:$K$1052,$O96)))</f>
        <v/>
      </c>
      <c r="K96" s="13" t="str">
        <f aca="false">IF($O96="","",N(INDEX('DỮ LIỆU'!$L$3:$L$1052,$O96)))</f>
        <v/>
      </c>
      <c r="L96" s="13" t="str">
        <f aca="false">IF($O96="","",N(INDEX('DỮ LIỆU'!$M$3:$M$1052,$O96)))</f>
        <v/>
      </c>
      <c r="M96" s="13" t="str">
        <f aca="false">IF($O96="","",N(INDEX('DỮ LIỆU'!$N$3:$N$1052,$O96)))</f>
        <v/>
      </c>
      <c r="N96" s="13" t="str">
        <f aca="false">IF($O96="","",N(INDEX('DỮ LIỆU'!$O$3:$O$1052,$O96)))</f>
        <v/>
      </c>
      <c r="O96" s="0" t="str">
        <f aca="false">IFERROR(MATCH(91,'DỮ LIỆU'!$U$3:$U$1052,0),"")</f>
        <v/>
      </c>
    </row>
    <row r="97" customFormat="false" ht="15" hidden="false" customHeight="false" outlineLevel="0" collapsed="false">
      <c r="A97" s="21" t="str">
        <f aca="false">IF($O97="","",92)</f>
        <v/>
      </c>
      <c r="B97" s="13" t="str">
        <f aca="false">IF($O97="","",INDEX('DỮ LIỆU'!$A$3:$A$1052,$O97))</f>
        <v/>
      </c>
      <c r="C97" s="41" t="str">
        <f aca="false">IF($O97="","",IF(INDEX('DỮ LIỆU'!$B$3:$B$1052,$O97)="","",INDEX('DỮ LIỆU'!$B$3:$B$1052,$O97)))</f>
        <v/>
      </c>
      <c r="D97" s="21" t="str">
        <f aca="false">IF($O97="","",IF(INDEX('DỮ LIỆU'!$C$3:$C$1052,$O97)="","",INDEX('DỮ LIỆU'!$C$3:$C$1052,$O97)))</f>
        <v/>
      </c>
      <c r="E97" s="21" t="str">
        <f aca="false">IF($O97="","",IF(INDEX('DỮ LIỆU'!$E$3:$E$1052,$O97)="","",INDEX('DỮ LIỆU'!$E$3:$E$1052,$O97)))</f>
        <v/>
      </c>
      <c r="F97" s="21" t="str">
        <f aca="false">IF($O97="","",IF(INDEX('DỮ LIỆU'!$F$3:$F$1052,$O97)="","",INDEX('DỮ LIỆU'!$F$3:$F$1052,$O97)))</f>
        <v/>
      </c>
      <c r="G97" s="21" t="str">
        <f aca="false">IF($O97="","",IF(INDEX('DỮ LIỆU'!$H$3:$H$1052,$O97)="","",INDEX('DỮ LIỆU'!$H$3:$H$1052,$O97)))</f>
        <v/>
      </c>
      <c r="H97" s="13" t="str">
        <f aca="false">IF($O97="","",N(INDEX('DỮ LIỆU'!$I$3:$I$1052,$O97)))</f>
        <v/>
      </c>
      <c r="I97" s="13" t="str">
        <f aca="false">IF($O97="","",N(INDEX('DỮ LIỆU'!$J$3:$J$1052,$O97)))</f>
        <v/>
      </c>
      <c r="J97" s="14" t="str">
        <f aca="false">IF($O97="","",N(INDEX('DỮ LIỆU'!$K$3:$K$1052,$O97)))</f>
        <v/>
      </c>
      <c r="K97" s="13" t="str">
        <f aca="false">IF($O97="","",N(INDEX('DỮ LIỆU'!$L$3:$L$1052,$O97)))</f>
        <v/>
      </c>
      <c r="L97" s="13" t="str">
        <f aca="false">IF($O97="","",N(INDEX('DỮ LIỆU'!$M$3:$M$1052,$O97)))</f>
        <v/>
      </c>
      <c r="M97" s="13" t="str">
        <f aca="false">IF($O97="","",N(INDEX('DỮ LIỆU'!$N$3:$N$1052,$O97)))</f>
        <v/>
      </c>
      <c r="N97" s="13" t="str">
        <f aca="false">IF($O97="","",N(INDEX('DỮ LIỆU'!$O$3:$O$1052,$O97)))</f>
        <v/>
      </c>
      <c r="O97" s="0" t="str">
        <f aca="false">IFERROR(MATCH(92,'DỮ LIỆU'!$U$3:$U$1052,0),"")</f>
        <v/>
      </c>
    </row>
    <row r="98" customFormat="false" ht="15" hidden="false" customHeight="false" outlineLevel="0" collapsed="false">
      <c r="A98" s="21" t="str">
        <f aca="false">IF($O98="","",93)</f>
        <v/>
      </c>
      <c r="B98" s="13" t="str">
        <f aca="false">IF($O98="","",INDEX('DỮ LIỆU'!$A$3:$A$1052,$O98))</f>
        <v/>
      </c>
      <c r="C98" s="41" t="str">
        <f aca="false">IF($O98="","",IF(INDEX('DỮ LIỆU'!$B$3:$B$1052,$O98)="","",INDEX('DỮ LIỆU'!$B$3:$B$1052,$O98)))</f>
        <v/>
      </c>
      <c r="D98" s="21" t="str">
        <f aca="false">IF($O98="","",IF(INDEX('DỮ LIỆU'!$C$3:$C$1052,$O98)="","",INDEX('DỮ LIỆU'!$C$3:$C$1052,$O98)))</f>
        <v/>
      </c>
      <c r="E98" s="21" t="str">
        <f aca="false">IF($O98="","",IF(INDEX('DỮ LIỆU'!$E$3:$E$1052,$O98)="","",INDEX('DỮ LIỆU'!$E$3:$E$1052,$O98)))</f>
        <v/>
      </c>
      <c r="F98" s="21" t="str">
        <f aca="false">IF($O98="","",IF(INDEX('DỮ LIỆU'!$F$3:$F$1052,$O98)="","",INDEX('DỮ LIỆU'!$F$3:$F$1052,$O98)))</f>
        <v/>
      </c>
      <c r="G98" s="21" t="str">
        <f aca="false">IF($O98="","",IF(INDEX('DỮ LIỆU'!$H$3:$H$1052,$O98)="","",INDEX('DỮ LIỆU'!$H$3:$H$1052,$O98)))</f>
        <v/>
      </c>
      <c r="H98" s="13" t="str">
        <f aca="false">IF($O98="","",N(INDEX('DỮ LIỆU'!$I$3:$I$1052,$O98)))</f>
        <v/>
      </c>
      <c r="I98" s="13" t="str">
        <f aca="false">IF($O98="","",N(INDEX('DỮ LIỆU'!$J$3:$J$1052,$O98)))</f>
        <v/>
      </c>
      <c r="J98" s="14" t="str">
        <f aca="false">IF($O98="","",N(INDEX('DỮ LIỆU'!$K$3:$K$1052,$O98)))</f>
        <v/>
      </c>
      <c r="K98" s="13" t="str">
        <f aca="false">IF($O98="","",N(INDEX('DỮ LIỆU'!$L$3:$L$1052,$O98)))</f>
        <v/>
      </c>
      <c r="L98" s="13" t="str">
        <f aca="false">IF($O98="","",N(INDEX('DỮ LIỆU'!$M$3:$M$1052,$O98)))</f>
        <v/>
      </c>
      <c r="M98" s="13" t="str">
        <f aca="false">IF($O98="","",N(INDEX('DỮ LIỆU'!$N$3:$N$1052,$O98)))</f>
        <v/>
      </c>
      <c r="N98" s="13" t="str">
        <f aca="false">IF($O98="","",N(INDEX('DỮ LIỆU'!$O$3:$O$1052,$O98)))</f>
        <v/>
      </c>
      <c r="O98" s="0" t="str">
        <f aca="false">IFERROR(MATCH(93,'DỮ LIỆU'!$U$3:$U$1052,0),"")</f>
        <v/>
      </c>
    </row>
    <row r="99" customFormat="false" ht="15" hidden="false" customHeight="false" outlineLevel="0" collapsed="false">
      <c r="A99" s="21" t="str">
        <f aca="false">IF($O99="","",94)</f>
        <v/>
      </c>
      <c r="B99" s="13" t="str">
        <f aca="false">IF($O99="","",INDEX('DỮ LIỆU'!$A$3:$A$1052,$O99))</f>
        <v/>
      </c>
      <c r="C99" s="41" t="str">
        <f aca="false">IF($O99="","",IF(INDEX('DỮ LIỆU'!$B$3:$B$1052,$O99)="","",INDEX('DỮ LIỆU'!$B$3:$B$1052,$O99)))</f>
        <v/>
      </c>
      <c r="D99" s="21" t="str">
        <f aca="false">IF($O99="","",IF(INDEX('DỮ LIỆU'!$C$3:$C$1052,$O99)="","",INDEX('DỮ LIỆU'!$C$3:$C$1052,$O99)))</f>
        <v/>
      </c>
      <c r="E99" s="21" t="str">
        <f aca="false">IF($O99="","",IF(INDEX('DỮ LIỆU'!$E$3:$E$1052,$O99)="","",INDEX('DỮ LIỆU'!$E$3:$E$1052,$O99)))</f>
        <v/>
      </c>
      <c r="F99" s="21" t="str">
        <f aca="false">IF($O99="","",IF(INDEX('DỮ LIỆU'!$F$3:$F$1052,$O99)="","",INDEX('DỮ LIỆU'!$F$3:$F$1052,$O99)))</f>
        <v/>
      </c>
      <c r="G99" s="21" t="str">
        <f aca="false">IF($O99="","",IF(INDEX('DỮ LIỆU'!$H$3:$H$1052,$O99)="","",INDEX('DỮ LIỆU'!$H$3:$H$1052,$O99)))</f>
        <v/>
      </c>
      <c r="H99" s="13" t="str">
        <f aca="false">IF($O99="","",N(INDEX('DỮ LIỆU'!$I$3:$I$1052,$O99)))</f>
        <v/>
      </c>
      <c r="I99" s="13" t="str">
        <f aca="false">IF($O99="","",N(INDEX('DỮ LIỆU'!$J$3:$J$1052,$O99)))</f>
        <v/>
      </c>
      <c r="J99" s="14" t="str">
        <f aca="false">IF($O99="","",N(INDEX('DỮ LIỆU'!$K$3:$K$1052,$O99)))</f>
        <v/>
      </c>
      <c r="K99" s="13" t="str">
        <f aca="false">IF($O99="","",N(INDEX('DỮ LIỆU'!$L$3:$L$1052,$O99)))</f>
        <v/>
      </c>
      <c r="L99" s="13" t="str">
        <f aca="false">IF($O99="","",N(INDEX('DỮ LIỆU'!$M$3:$M$1052,$O99)))</f>
        <v/>
      </c>
      <c r="M99" s="13" t="str">
        <f aca="false">IF($O99="","",N(INDEX('DỮ LIỆU'!$N$3:$N$1052,$O99)))</f>
        <v/>
      </c>
      <c r="N99" s="13" t="str">
        <f aca="false">IF($O99="","",N(INDEX('DỮ LIỆU'!$O$3:$O$1052,$O99)))</f>
        <v/>
      </c>
      <c r="O99" s="0" t="str">
        <f aca="false">IFERROR(MATCH(94,'DỮ LIỆU'!$U$3:$U$1052,0),"")</f>
        <v/>
      </c>
    </row>
    <row r="100" customFormat="false" ht="15" hidden="false" customHeight="false" outlineLevel="0" collapsed="false">
      <c r="A100" s="21" t="str">
        <f aca="false">IF($O100="","",95)</f>
        <v/>
      </c>
      <c r="B100" s="13" t="str">
        <f aca="false">IF($O100="","",INDEX('DỮ LIỆU'!$A$3:$A$1052,$O100))</f>
        <v/>
      </c>
      <c r="C100" s="41" t="str">
        <f aca="false">IF($O100="","",IF(INDEX('DỮ LIỆU'!$B$3:$B$1052,$O100)="","",INDEX('DỮ LIỆU'!$B$3:$B$1052,$O100)))</f>
        <v/>
      </c>
      <c r="D100" s="21" t="str">
        <f aca="false">IF($O100="","",IF(INDEX('DỮ LIỆU'!$C$3:$C$1052,$O100)="","",INDEX('DỮ LIỆU'!$C$3:$C$1052,$O100)))</f>
        <v/>
      </c>
      <c r="E100" s="21" t="str">
        <f aca="false">IF($O100="","",IF(INDEX('DỮ LIỆU'!$E$3:$E$1052,$O100)="","",INDEX('DỮ LIỆU'!$E$3:$E$1052,$O100)))</f>
        <v/>
      </c>
      <c r="F100" s="21" t="str">
        <f aca="false">IF($O100="","",IF(INDEX('DỮ LIỆU'!$F$3:$F$1052,$O100)="","",INDEX('DỮ LIỆU'!$F$3:$F$1052,$O100)))</f>
        <v/>
      </c>
      <c r="G100" s="21" t="str">
        <f aca="false">IF($O100="","",IF(INDEX('DỮ LIỆU'!$H$3:$H$1052,$O100)="","",INDEX('DỮ LIỆU'!$H$3:$H$1052,$O100)))</f>
        <v/>
      </c>
      <c r="H100" s="13" t="str">
        <f aca="false">IF($O100="","",N(INDEX('DỮ LIỆU'!$I$3:$I$1052,$O100)))</f>
        <v/>
      </c>
      <c r="I100" s="13" t="str">
        <f aca="false">IF($O100="","",N(INDEX('DỮ LIỆU'!$J$3:$J$1052,$O100)))</f>
        <v/>
      </c>
      <c r="J100" s="14" t="str">
        <f aca="false">IF($O100="","",N(INDEX('DỮ LIỆU'!$K$3:$K$1052,$O100)))</f>
        <v/>
      </c>
      <c r="K100" s="13" t="str">
        <f aca="false">IF($O100="","",N(INDEX('DỮ LIỆU'!$L$3:$L$1052,$O100)))</f>
        <v/>
      </c>
      <c r="L100" s="13" t="str">
        <f aca="false">IF($O100="","",N(INDEX('DỮ LIỆU'!$M$3:$M$1052,$O100)))</f>
        <v/>
      </c>
      <c r="M100" s="13" t="str">
        <f aca="false">IF($O100="","",N(INDEX('DỮ LIỆU'!$N$3:$N$1052,$O100)))</f>
        <v/>
      </c>
      <c r="N100" s="13" t="str">
        <f aca="false">IF($O100="","",N(INDEX('DỮ LIỆU'!$O$3:$O$1052,$O100)))</f>
        <v/>
      </c>
      <c r="O100" s="0" t="str">
        <f aca="false">IFERROR(MATCH(95,'DỮ LIỆU'!$U$3:$U$1052,0),"")</f>
        <v/>
      </c>
    </row>
    <row r="101" customFormat="false" ht="15" hidden="false" customHeight="false" outlineLevel="0" collapsed="false">
      <c r="A101" s="21" t="str">
        <f aca="false">IF($O101="","",96)</f>
        <v/>
      </c>
      <c r="B101" s="13" t="str">
        <f aca="false">IF($O101="","",INDEX('DỮ LIỆU'!$A$3:$A$1052,$O101))</f>
        <v/>
      </c>
      <c r="C101" s="41" t="str">
        <f aca="false">IF($O101="","",IF(INDEX('DỮ LIỆU'!$B$3:$B$1052,$O101)="","",INDEX('DỮ LIỆU'!$B$3:$B$1052,$O101)))</f>
        <v/>
      </c>
      <c r="D101" s="21" t="str">
        <f aca="false">IF($O101="","",IF(INDEX('DỮ LIỆU'!$C$3:$C$1052,$O101)="","",INDEX('DỮ LIỆU'!$C$3:$C$1052,$O101)))</f>
        <v/>
      </c>
      <c r="E101" s="21" t="str">
        <f aca="false">IF($O101="","",IF(INDEX('DỮ LIỆU'!$E$3:$E$1052,$O101)="","",INDEX('DỮ LIỆU'!$E$3:$E$1052,$O101)))</f>
        <v/>
      </c>
      <c r="F101" s="21" t="str">
        <f aca="false">IF($O101="","",IF(INDEX('DỮ LIỆU'!$F$3:$F$1052,$O101)="","",INDEX('DỮ LIỆU'!$F$3:$F$1052,$O101)))</f>
        <v/>
      </c>
      <c r="G101" s="21" t="str">
        <f aca="false">IF($O101="","",IF(INDEX('DỮ LIỆU'!$H$3:$H$1052,$O101)="","",INDEX('DỮ LIỆU'!$H$3:$H$1052,$O101)))</f>
        <v/>
      </c>
      <c r="H101" s="13" t="str">
        <f aca="false">IF($O101="","",N(INDEX('DỮ LIỆU'!$I$3:$I$1052,$O101)))</f>
        <v/>
      </c>
      <c r="I101" s="13" t="str">
        <f aca="false">IF($O101="","",N(INDEX('DỮ LIỆU'!$J$3:$J$1052,$O101)))</f>
        <v/>
      </c>
      <c r="J101" s="14" t="str">
        <f aca="false">IF($O101="","",N(INDEX('DỮ LIỆU'!$K$3:$K$1052,$O101)))</f>
        <v/>
      </c>
      <c r="K101" s="13" t="str">
        <f aca="false">IF($O101="","",N(INDEX('DỮ LIỆU'!$L$3:$L$1052,$O101)))</f>
        <v/>
      </c>
      <c r="L101" s="13" t="str">
        <f aca="false">IF($O101="","",N(INDEX('DỮ LIỆU'!$M$3:$M$1052,$O101)))</f>
        <v/>
      </c>
      <c r="M101" s="13" t="str">
        <f aca="false">IF($O101="","",N(INDEX('DỮ LIỆU'!$N$3:$N$1052,$O101)))</f>
        <v/>
      </c>
      <c r="N101" s="13" t="str">
        <f aca="false">IF($O101="","",N(INDEX('DỮ LIỆU'!$O$3:$O$1052,$O101)))</f>
        <v/>
      </c>
      <c r="O101" s="0" t="str">
        <f aca="false">IFERROR(MATCH(96,'DỮ LIỆU'!$U$3:$U$1052,0),"")</f>
        <v/>
      </c>
    </row>
    <row r="102" customFormat="false" ht="15" hidden="false" customHeight="false" outlineLevel="0" collapsed="false">
      <c r="A102" s="21" t="str">
        <f aca="false">IF($O102="","",97)</f>
        <v/>
      </c>
      <c r="B102" s="13" t="str">
        <f aca="false">IF($O102="","",INDEX('DỮ LIỆU'!$A$3:$A$1052,$O102))</f>
        <v/>
      </c>
      <c r="C102" s="41" t="str">
        <f aca="false">IF($O102="","",IF(INDEX('DỮ LIỆU'!$B$3:$B$1052,$O102)="","",INDEX('DỮ LIỆU'!$B$3:$B$1052,$O102)))</f>
        <v/>
      </c>
      <c r="D102" s="21" t="str">
        <f aca="false">IF($O102="","",IF(INDEX('DỮ LIỆU'!$C$3:$C$1052,$O102)="","",INDEX('DỮ LIỆU'!$C$3:$C$1052,$O102)))</f>
        <v/>
      </c>
      <c r="E102" s="21" t="str">
        <f aca="false">IF($O102="","",IF(INDEX('DỮ LIỆU'!$E$3:$E$1052,$O102)="","",INDEX('DỮ LIỆU'!$E$3:$E$1052,$O102)))</f>
        <v/>
      </c>
      <c r="F102" s="21" t="str">
        <f aca="false">IF($O102="","",IF(INDEX('DỮ LIỆU'!$F$3:$F$1052,$O102)="","",INDEX('DỮ LIỆU'!$F$3:$F$1052,$O102)))</f>
        <v/>
      </c>
      <c r="G102" s="21" t="str">
        <f aca="false">IF($O102="","",IF(INDEX('DỮ LIỆU'!$H$3:$H$1052,$O102)="","",INDEX('DỮ LIỆU'!$H$3:$H$1052,$O102)))</f>
        <v/>
      </c>
      <c r="H102" s="13" t="str">
        <f aca="false">IF($O102="","",N(INDEX('DỮ LIỆU'!$I$3:$I$1052,$O102)))</f>
        <v/>
      </c>
      <c r="I102" s="13" t="str">
        <f aca="false">IF($O102="","",N(INDEX('DỮ LIỆU'!$J$3:$J$1052,$O102)))</f>
        <v/>
      </c>
      <c r="J102" s="14" t="str">
        <f aca="false">IF($O102="","",N(INDEX('DỮ LIỆU'!$K$3:$K$1052,$O102)))</f>
        <v/>
      </c>
      <c r="K102" s="13" t="str">
        <f aca="false">IF($O102="","",N(INDEX('DỮ LIỆU'!$L$3:$L$1052,$O102)))</f>
        <v/>
      </c>
      <c r="L102" s="13" t="str">
        <f aca="false">IF($O102="","",N(INDEX('DỮ LIỆU'!$M$3:$M$1052,$O102)))</f>
        <v/>
      </c>
      <c r="M102" s="13" t="str">
        <f aca="false">IF($O102="","",N(INDEX('DỮ LIỆU'!$N$3:$N$1052,$O102)))</f>
        <v/>
      </c>
      <c r="N102" s="13" t="str">
        <f aca="false">IF($O102="","",N(INDEX('DỮ LIỆU'!$O$3:$O$1052,$O102)))</f>
        <v/>
      </c>
      <c r="O102" s="0" t="str">
        <f aca="false">IFERROR(MATCH(97,'DỮ LIỆU'!$U$3:$U$1052,0),"")</f>
        <v/>
      </c>
    </row>
    <row r="103" customFormat="false" ht="15" hidden="false" customHeight="false" outlineLevel="0" collapsed="false">
      <c r="A103" s="21" t="str">
        <f aca="false">IF($O103="","",98)</f>
        <v/>
      </c>
      <c r="B103" s="13" t="str">
        <f aca="false">IF($O103="","",INDEX('DỮ LIỆU'!$A$3:$A$1052,$O103))</f>
        <v/>
      </c>
      <c r="C103" s="41" t="str">
        <f aca="false">IF($O103="","",IF(INDEX('DỮ LIỆU'!$B$3:$B$1052,$O103)="","",INDEX('DỮ LIỆU'!$B$3:$B$1052,$O103)))</f>
        <v/>
      </c>
      <c r="D103" s="21" t="str">
        <f aca="false">IF($O103="","",IF(INDEX('DỮ LIỆU'!$C$3:$C$1052,$O103)="","",INDEX('DỮ LIỆU'!$C$3:$C$1052,$O103)))</f>
        <v/>
      </c>
      <c r="E103" s="21" t="str">
        <f aca="false">IF($O103="","",IF(INDEX('DỮ LIỆU'!$E$3:$E$1052,$O103)="","",INDEX('DỮ LIỆU'!$E$3:$E$1052,$O103)))</f>
        <v/>
      </c>
      <c r="F103" s="21" t="str">
        <f aca="false">IF($O103="","",IF(INDEX('DỮ LIỆU'!$F$3:$F$1052,$O103)="","",INDEX('DỮ LIỆU'!$F$3:$F$1052,$O103)))</f>
        <v/>
      </c>
      <c r="G103" s="21" t="str">
        <f aca="false">IF($O103="","",IF(INDEX('DỮ LIỆU'!$H$3:$H$1052,$O103)="","",INDEX('DỮ LIỆU'!$H$3:$H$1052,$O103)))</f>
        <v/>
      </c>
      <c r="H103" s="13" t="str">
        <f aca="false">IF($O103="","",N(INDEX('DỮ LIỆU'!$I$3:$I$1052,$O103)))</f>
        <v/>
      </c>
      <c r="I103" s="13" t="str">
        <f aca="false">IF($O103="","",N(INDEX('DỮ LIỆU'!$J$3:$J$1052,$O103)))</f>
        <v/>
      </c>
      <c r="J103" s="14" t="str">
        <f aca="false">IF($O103="","",N(INDEX('DỮ LIỆU'!$K$3:$K$1052,$O103)))</f>
        <v/>
      </c>
      <c r="K103" s="13" t="str">
        <f aca="false">IF($O103="","",N(INDEX('DỮ LIỆU'!$L$3:$L$1052,$O103)))</f>
        <v/>
      </c>
      <c r="L103" s="13" t="str">
        <f aca="false">IF($O103="","",N(INDEX('DỮ LIỆU'!$M$3:$M$1052,$O103)))</f>
        <v/>
      </c>
      <c r="M103" s="13" t="str">
        <f aca="false">IF($O103="","",N(INDEX('DỮ LIỆU'!$N$3:$N$1052,$O103)))</f>
        <v/>
      </c>
      <c r="N103" s="13" t="str">
        <f aca="false">IF($O103="","",N(INDEX('DỮ LIỆU'!$O$3:$O$1052,$O103)))</f>
        <v/>
      </c>
      <c r="O103" s="0" t="str">
        <f aca="false">IFERROR(MATCH(98,'DỮ LIỆU'!$U$3:$U$1052,0),"")</f>
        <v/>
      </c>
    </row>
    <row r="104" customFormat="false" ht="15" hidden="false" customHeight="false" outlineLevel="0" collapsed="false">
      <c r="A104" s="21" t="str">
        <f aca="false">IF($O104="","",99)</f>
        <v/>
      </c>
      <c r="B104" s="13" t="str">
        <f aca="false">IF($O104="","",INDEX('DỮ LIỆU'!$A$3:$A$1052,$O104))</f>
        <v/>
      </c>
      <c r="C104" s="41" t="str">
        <f aca="false">IF($O104="","",IF(INDEX('DỮ LIỆU'!$B$3:$B$1052,$O104)="","",INDEX('DỮ LIỆU'!$B$3:$B$1052,$O104)))</f>
        <v/>
      </c>
      <c r="D104" s="21" t="str">
        <f aca="false">IF($O104="","",IF(INDEX('DỮ LIỆU'!$C$3:$C$1052,$O104)="","",INDEX('DỮ LIỆU'!$C$3:$C$1052,$O104)))</f>
        <v/>
      </c>
      <c r="E104" s="21" t="str">
        <f aca="false">IF($O104="","",IF(INDEX('DỮ LIỆU'!$E$3:$E$1052,$O104)="","",INDEX('DỮ LIỆU'!$E$3:$E$1052,$O104)))</f>
        <v/>
      </c>
      <c r="F104" s="21" t="str">
        <f aca="false">IF($O104="","",IF(INDEX('DỮ LIỆU'!$F$3:$F$1052,$O104)="","",INDEX('DỮ LIỆU'!$F$3:$F$1052,$O104)))</f>
        <v/>
      </c>
      <c r="G104" s="21" t="str">
        <f aca="false">IF($O104="","",IF(INDEX('DỮ LIỆU'!$H$3:$H$1052,$O104)="","",INDEX('DỮ LIỆU'!$H$3:$H$1052,$O104)))</f>
        <v/>
      </c>
      <c r="H104" s="13" t="str">
        <f aca="false">IF($O104="","",N(INDEX('DỮ LIỆU'!$I$3:$I$1052,$O104)))</f>
        <v/>
      </c>
      <c r="I104" s="13" t="str">
        <f aca="false">IF($O104="","",N(INDEX('DỮ LIỆU'!$J$3:$J$1052,$O104)))</f>
        <v/>
      </c>
      <c r="J104" s="14" t="str">
        <f aca="false">IF($O104="","",N(INDEX('DỮ LIỆU'!$K$3:$K$1052,$O104)))</f>
        <v/>
      </c>
      <c r="K104" s="13" t="str">
        <f aca="false">IF($O104="","",N(INDEX('DỮ LIỆU'!$L$3:$L$1052,$O104)))</f>
        <v/>
      </c>
      <c r="L104" s="13" t="str">
        <f aca="false">IF($O104="","",N(INDEX('DỮ LIỆU'!$M$3:$M$1052,$O104)))</f>
        <v/>
      </c>
      <c r="M104" s="13" t="str">
        <f aca="false">IF($O104="","",N(INDEX('DỮ LIỆU'!$N$3:$N$1052,$O104)))</f>
        <v/>
      </c>
      <c r="N104" s="13" t="str">
        <f aca="false">IF($O104="","",N(INDEX('DỮ LIỆU'!$O$3:$O$1052,$O104)))</f>
        <v/>
      </c>
      <c r="O104" s="0" t="str">
        <f aca="false">IFERROR(MATCH(99,'DỮ LIỆU'!$U$3:$U$1052,0),"")</f>
        <v/>
      </c>
    </row>
    <row r="105" customFormat="false" ht="15" hidden="false" customHeight="false" outlineLevel="0" collapsed="false">
      <c r="A105" s="21" t="str">
        <f aca="false">IF($O105="","",100)</f>
        <v/>
      </c>
      <c r="B105" s="13" t="str">
        <f aca="false">IF($O105="","",INDEX('DỮ LIỆU'!$A$3:$A$1052,$O105))</f>
        <v/>
      </c>
      <c r="C105" s="41" t="str">
        <f aca="false">IF($O105="","",IF(INDEX('DỮ LIỆU'!$B$3:$B$1052,$O105)="","",INDEX('DỮ LIỆU'!$B$3:$B$1052,$O105)))</f>
        <v/>
      </c>
      <c r="D105" s="21" t="str">
        <f aca="false">IF($O105="","",IF(INDEX('DỮ LIỆU'!$C$3:$C$1052,$O105)="","",INDEX('DỮ LIỆU'!$C$3:$C$1052,$O105)))</f>
        <v/>
      </c>
      <c r="E105" s="21" t="str">
        <f aca="false">IF($O105="","",IF(INDEX('DỮ LIỆU'!$E$3:$E$1052,$O105)="","",INDEX('DỮ LIỆU'!$E$3:$E$1052,$O105)))</f>
        <v/>
      </c>
      <c r="F105" s="21" t="str">
        <f aca="false">IF($O105="","",IF(INDEX('DỮ LIỆU'!$F$3:$F$1052,$O105)="","",INDEX('DỮ LIỆU'!$F$3:$F$1052,$O105)))</f>
        <v/>
      </c>
      <c r="G105" s="21" t="str">
        <f aca="false">IF($O105="","",IF(INDEX('DỮ LIỆU'!$H$3:$H$1052,$O105)="","",INDEX('DỮ LIỆU'!$H$3:$H$1052,$O105)))</f>
        <v/>
      </c>
      <c r="H105" s="13" t="str">
        <f aca="false">IF($O105="","",N(INDEX('DỮ LIỆU'!$I$3:$I$1052,$O105)))</f>
        <v/>
      </c>
      <c r="I105" s="13" t="str">
        <f aca="false">IF($O105="","",N(INDEX('DỮ LIỆU'!$J$3:$J$1052,$O105)))</f>
        <v/>
      </c>
      <c r="J105" s="14" t="str">
        <f aca="false">IF($O105="","",N(INDEX('DỮ LIỆU'!$K$3:$K$1052,$O105)))</f>
        <v/>
      </c>
      <c r="K105" s="13" t="str">
        <f aca="false">IF($O105="","",N(INDEX('DỮ LIỆU'!$L$3:$L$1052,$O105)))</f>
        <v/>
      </c>
      <c r="L105" s="13" t="str">
        <f aca="false">IF($O105="","",N(INDEX('DỮ LIỆU'!$M$3:$M$1052,$O105)))</f>
        <v/>
      </c>
      <c r="M105" s="13" t="str">
        <f aca="false">IF($O105="","",N(INDEX('DỮ LIỆU'!$N$3:$N$1052,$O105)))</f>
        <v/>
      </c>
      <c r="N105" s="13" t="str">
        <f aca="false">IF($O105="","",N(INDEX('DỮ LIỆU'!$O$3:$O$1052,$O105)))</f>
        <v/>
      </c>
      <c r="O105" s="0" t="str">
        <f aca="false">IFERROR(MATCH(100,'DỮ LIỆU'!$U$3:$U$1052,0),"")</f>
        <v/>
      </c>
    </row>
    <row r="106" customFormat="false" ht="15" hidden="false" customHeight="false" outlineLevel="0" collapsed="false">
      <c r="A106" s="21" t="str">
        <f aca="false">IF($O106="","",101)</f>
        <v/>
      </c>
      <c r="B106" s="13" t="str">
        <f aca="false">IF($O106="","",INDEX('DỮ LIỆU'!$A$3:$A$1052,$O106))</f>
        <v/>
      </c>
      <c r="C106" s="41" t="str">
        <f aca="false">IF($O106="","",IF(INDEX('DỮ LIỆU'!$B$3:$B$1052,$O106)="","",INDEX('DỮ LIỆU'!$B$3:$B$1052,$O106)))</f>
        <v/>
      </c>
      <c r="D106" s="21" t="str">
        <f aca="false">IF($O106="","",IF(INDEX('DỮ LIỆU'!$C$3:$C$1052,$O106)="","",INDEX('DỮ LIỆU'!$C$3:$C$1052,$O106)))</f>
        <v/>
      </c>
      <c r="E106" s="21" t="str">
        <f aca="false">IF($O106="","",IF(INDEX('DỮ LIỆU'!$E$3:$E$1052,$O106)="","",INDEX('DỮ LIỆU'!$E$3:$E$1052,$O106)))</f>
        <v/>
      </c>
      <c r="F106" s="21" t="str">
        <f aca="false">IF($O106="","",IF(INDEX('DỮ LIỆU'!$F$3:$F$1052,$O106)="","",INDEX('DỮ LIỆU'!$F$3:$F$1052,$O106)))</f>
        <v/>
      </c>
      <c r="G106" s="21" t="str">
        <f aca="false">IF($O106="","",IF(INDEX('DỮ LIỆU'!$H$3:$H$1052,$O106)="","",INDEX('DỮ LIỆU'!$H$3:$H$1052,$O106)))</f>
        <v/>
      </c>
      <c r="H106" s="13" t="str">
        <f aca="false">IF($O106="","",N(INDEX('DỮ LIỆU'!$I$3:$I$1052,$O106)))</f>
        <v/>
      </c>
      <c r="I106" s="13" t="str">
        <f aca="false">IF($O106="","",N(INDEX('DỮ LIỆU'!$J$3:$J$1052,$O106)))</f>
        <v/>
      </c>
      <c r="J106" s="14" t="str">
        <f aca="false">IF($O106="","",N(INDEX('DỮ LIỆU'!$K$3:$K$1052,$O106)))</f>
        <v/>
      </c>
      <c r="K106" s="13" t="str">
        <f aca="false">IF($O106="","",N(INDEX('DỮ LIỆU'!$L$3:$L$1052,$O106)))</f>
        <v/>
      </c>
      <c r="L106" s="13" t="str">
        <f aca="false">IF($O106="","",N(INDEX('DỮ LIỆU'!$M$3:$M$1052,$O106)))</f>
        <v/>
      </c>
      <c r="M106" s="13" t="str">
        <f aca="false">IF($O106="","",N(INDEX('DỮ LIỆU'!$N$3:$N$1052,$O106)))</f>
        <v/>
      </c>
      <c r="N106" s="13" t="str">
        <f aca="false">IF($O106="","",N(INDEX('DỮ LIỆU'!$O$3:$O$1052,$O106)))</f>
        <v/>
      </c>
      <c r="O106" s="0" t="str">
        <f aca="false">IFERROR(MATCH(101,'DỮ LIỆU'!$U$3:$U$1052,0),"")</f>
        <v/>
      </c>
    </row>
    <row r="107" customFormat="false" ht="15" hidden="false" customHeight="false" outlineLevel="0" collapsed="false">
      <c r="A107" s="21" t="str">
        <f aca="false">IF($O107="","",102)</f>
        <v/>
      </c>
      <c r="B107" s="13" t="str">
        <f aca="false">IF($O107="","",INDEX('DỮ LIỆU'!$A$3:$A$1052,$O107))</f>
        <v/>
      </c>
      <c r="C107" s="41" t="str">
        <f aca="false">IF($O107="","",IF(INDEX('DỮ LIỆU'!$B$3:$B$1052,$O107)="","",INDEX('DỮ LIỆU'!$B$3:$B$1052,$O107)))</f>
        <v/>
      </c>
      <c r="D107" s="21" t="str">
        <f aca="false">IF($O107="","",IF(INDEX('DỮ LIỆU'!$C$3:$C$1052,$O107)="","",INDEX('DỮ LIỆU'!$C$3:$C$1052,$O107)))</f>
        <v/>
      </c>
      <c r="E107" s="21" t="str">
        <f aca="false">IF($O107="","",IF(INDEX('DỮ LIỆU'!$E$3:$E$1052,$O107)="","",INDEX('DỮ LIỆU'!$E$3:$E$1052,$O107)))</f>
        <v/>
      </c>
      <c r="F107" s="21" t="str">
        <f aca="false">IF($O107="","",IF(INDEX('DỮ LIỆU'!$F$3:$F$1052,$O107)="","",INDEX('DỮ LIỆU'!$F$3:$F$1052,$O107)))</f>
        <v/>
      </c>
      <c r="G107" s="21" t="str">
        <f aca="false">IF($O107="","",IF(INDEX('DỮ LIỆU'!$H$3:$H$1052,$O107)="","",INDEX('DỮ LIỆU'!$H$3:$H$1052,$O107)))</f>
        <v/>
      </c>
      <c r="H107" s="13" t="str">
        <f aca="false">IF($O107="","",N(INDEX('DỮ LIỆU'!$I$3:$I$1052,$O107)))</f>
        <v/>
      </c>
      <c r="I107" s="13" t="str">
        <f aca="false">IF($O107="","",N(INDEX('DỮ LIỆU'!$J$3:$J$1052,$O107)))</f>
        <v/>
      </c>
      <c r="J107" s="14" t="str">
        <f aca="false">IF($O107="","",N(INDEX('DỮ LIỆU'!$K$3:$K$1052,$O107)))</f>
        <v/>
      </c>
      <c r="K107" s="13" t="str">
        <f aca="false">IF($O107="","",N(INDEX('DỮ LIỆU'!$L$3:$L$1052,$O107)))</f>
        <v/>
      </c>
      <c r="L107" s="13" t="str">
        <f aca="false">IF($O107="","",N(INDEX('DỮ LIỆU'!$M$3:$M$1052,$O107)))</f>
        <v/>
      </c>
      <c r="M107" s="13" t="str">
        <f aca="false">IF($O107="","",N(INDEX('DỮ LIỆU'!$N$3:$N$1052,$O107)))</f>
        <v/>
      </c>
      <c r="N107" s="13" t="str">
        <f aca="false">IF($O107="","",N(INDEX('DỮ LIỆU'!$O$3:$O$1052,$O107)))</f>
        <v/>
      </c>
      <c r="O107" s="0" t="str">
        <f aca="false">IFERROR(MATCH(102,'DỮ LIỆU'!$U$3:$U$1052,0),"")</f>
        <v/>
      </c>
    </row>
    <row r="108" customFormat="false" ht="15" hidden="false" customHeight="false" outlineLevel="0" collapsed="false">
      <c r="A108" s="21" t="str">
        <f aca="false">IF($O108="","",103)</f>
        <v/>
      </c>
      <c r="B108" s="13" t="str">
        <f aca="false">IF($O108="","",INDEX('DỮ LIỆU'!$A$3:$A$1052,$O108))</f>
        <v/>
      </c>
      <c r="C108" s="41" t="str">
        <f aca="false">IF($O108="","",IF(INDEX('DỮ LIỆU'!$B$3:$B$1052,$O108)="","",INDEX('DỮ LIỆU'!$B$3:$B$1052,$O108)))</f>
        <v/>
      </c>
      <c r="D108" s="21" t="str">
        <f aca="false">IF($O108="","",IF(INDEX('DỮ LIỆU'!$C$3:$C$1052,$O108)="","",INDEX('DỮ LIỆU'!$C$3:$C$1052,$O108)))</f>
        <v/>
      </c>
      <c r="E108" s="21" t="str">
        <f aca="false">IF($O108="","",IF(INDEX('DỮ LIỆU'!$E$3:$E$1052,$O108)="","",INDEX('DỮ LIỆU'!$E$3:$E$1052,$O108)))</f>
        <v/>
      </c>
      <c r="F108" s="21" t="str">
        <f aca="false">IF($O108="","",IF(INDEX('DỮ LIỆU'!$F$3:$F$1052,$O108)="","",INDEX('DỮ LIỆU'!$F$3:$F$1052,$O108)))</f>
        <v/>
      </c>
      <c r="G108" s="21" t="str">
        <f aca="false">IF($O108="","",IF(INDEX('DỮ LIỆU'!$H$3:$H$1052,$O108)="","",INDEX('DỮ LIỆU'!$H$3:$H$1052,$O108)))</f>
        <v/>
      </c>
      <c r="H108" s="13" t="str">
        <f aca="false">IF($O108="","",N(INDEX('DỮ LIỆU'!$I$3:$I$1052,$O108)))</f>
        <v/>
      </c>
      <c r="I108" s="13" t="str">
        <f aca="false">IF($O108="","",N(INDEX('DỮ LIỆU'!$J$3:$J$1052,$O108)))</f>
        <v/>
      </c>
      <c r="J108" s="14" t="str">
        <f aca="false">IF($O108="","",N(INDEX('DỮ LIỆU'!$K$3:$K$1052,$O108)))</f>
        <v/>
      </c>
      <c r="K108" s="13" t="str">
        <f aca="false">IF($O108="","",N(INDEX('DỮ LIỆU'!$L$3:$L$1052,$O108)))</f>
        <v/>
      </c>
      <c r="L108" s="13" t="str">
        <f aca="false">IF($O108="","",N(INDEX('DỮ LIỆU'!$M$3:$M$1052,$O108)))</f>
        <v/>
      </c>
      <c r="M108" s="13" t="str">
        <f aca="false">IF($O108="","",N(INDEX('DỮ LIỆU'!$N$3:$N$1052,$O108)))</f>
        <v/>
      </c>
      <c r="N108" s="13" t="str">
        <f aca="false">IF($O108="","",N(INDEX('DỮ LIỆU'!$O$3:$O$1052,$O108)))</f>
        <v/>
      </c>
      <c r="O108" s="0" t="str">
        <f aca="false">IFERROR(MATCH(103,'DỮ LIỆU'!$U$3:$U$1052,0),"")</f>
        <v/>
      </c>
    </row>
    <row r="109" customFormat="false" ht="15" hidden="false" customHeight="false" outlineLevel="0" collapsed="false">
      <c r="A109" s="21" t="str">
        <f aca="false">IF($O109="","",104)</f>
        <v/>
      </c>
      <c r="B109" s="13" t="str">
        <f aca="false">IF($O109="","",INDEX('DỮ LIỆU'!$A$3:$A$1052,$O109))</f>
        <v/>
      </c>
      <c r="C109" s="41" t="str">
        <f aca="false">IF($O109="","",IF(INDEX('DỮ LIỆU'!$B$3:$B$1052,$O109)="","",INDEX('DỮ LIỆU'!$B$3:$B$1052,$O109)))</f>
        <v/>
      </c>
      <c r="D109" s="21" t="str">
        <f aca="false">IF($O109="","",IF(INDEX('DỮ LIỆU'!$C$3:$C$1052,$O109)="","",INDEX('DỮ LIỆU'!$C$3:$C$1052,$O109)))</f>
        <v/>
      </c>
      <c r="E109" s="21" t="str">
        <f aca="false">IF($O109="","",IF(INDEX('DỮ LIỆU'!$E$3:$E$1052,$O109)="","",INDEX('DỮ LIỆU'!$E$3:$E$1052,$O109)))</f>
        <v/>
      </c>
      <c r="F109" s="21" t="str">
        <f aca="false">IF($O109="","",IF(INDEX('DỮ LIỆU'!$F$3:$F$1052,$O109)="","",INDEX('DỮ LIỆU'!$F$3:$F$1052,$O109)))</f>
        <v/>
      </c>
      <c r="G109" s="21" t="str">
        <f aca="false">IF($O109="","",IF(INDEX('DỮ LIỆU'!$H$3:$H$1052,$O109)="","",INDEX('DỮ LIỆU'!$H$3:$H$1052,$O109)))</f>
        <v/>
      </c>
      <c r="H109" s="13" t="str">
        <f aca="false">IF($O109="","",N(INDEX('DỮ LIỆU'!$I$3:$I$1052,$O109)))</f>
        <v/>
      </c>
      <c r="I109" s="13" t="str">
        <f aca="false">IF($O109="","",N(INDEX('DỮ LIỆU'!$J$3:$J$1052,$O109)))</f>
        <v/>
      </c>
      <c r="J109" s="14" t="str">
        <f aca="false">IF($O109="","",N(INDEX('DỮ LIỆU'!$K$3:$K$1052,$O109)))</f>
        <v/>
      </c>
      <c r="K109" s="13" t="str">
        <f aca="false">IF($O109="","",N(INDEX('DỮ LIỆU'!$L$3:$L$1052,$O109)))</f>
        <v/>
      </c>
      <c r="L109" s="13" t="str">
        <f aca="false">IF($O109="","",N(INDEX('DỮ LIỆU'!$M$3:$M$1052,$O109)))</f>
        <v/>
      </c>
      <c r="M109" s="13" t="str">
        <f aca="false">IF($O109="","",N(INDEX('DỮ LIỆU'!$N$3:$N$1052,$O109)))</f>
        <v/>
      </c>
      <c r="N109" s="13" t="str">
        <f aca="false">IF($O109="","",N(INDEX('DỮ LIỆU'!$O$3:$O$1052,$O109)))</f>
        <v/>
      </c>
      <c r="O109" s="0" t="str">
        <f aca="false">IFERROR(MATCH(104,'DỮ LIỆU'!$U$3:$U$1052,0),"")</f>
        <v/>
      </c>
    </row>
    <row r="110" customFormat="false" ht="15" hidden="false" customHeight="false" outlineLevel="0" collapsed="false">
      <c r="A110" s="21" t="str">
        <f aca="false">IF($O110="","",105)</f>
        <v/>
      </c>
      <c r="B110" s="13" t="str">
        <f aca="false">IF($O110="","",INDEX('DỮ LIỆU'!$A$3:$A$1052,$O110))</f>
        <v/>
      </c>
      <c r="C110" s="41" t="str">
        <f aca="false">IF($O110="","",IF(INDEX('DỮ LIỆU'!$B$3:$B$1052,$O110)="","",INDEX('DỮ LIỆU'!$B$3:$B$1052,$O110)))</f>
        <v/>
      </c>
      <c r="D110" s="21" t="str">
        <f aca="false">IF($O110="","",IF(INDEX('DỮ LIỆU'!$C$3:$C$1052,$O110)="","",INDEX('DỮ LIỆU'!$C$3:$C$1052,$O110)))</f>
        <v/>
      </c>
      <c r="E110" s="21" t="str">
        <f aca="false">IF($O110="","",IF(INDEX('DỮ LIỆU'!$E$3:$E$1052,$O110)="","",INDEX('DỮ LIỆU'!$E$3:$E$1052,$O110)))</f>
        <v/>
      </c>
      <c r="F110" s="21" t="str">
        <f aca="false">IF($O110="","",IF(INDEX('DỮ LIỆU'!$F$3:$F$1052,$O110)="","",INDEX('DỮ LIỆU'!$F$3:$F$1052,$O110)))</f>
        <v/>
      </c>
      <c r="G110" s="21" t="str">
        <f aca="false">IF($O110="","",IF(INDEX('DỮ LIỆU'!$H$3:$H$1052,$O110)="","",INDEX('DỮ LIỆU'!$H$3:$H$1052,$O110)))</f>
        <v/>
      </c>
      <c r="H110" s="13" t="str">
        <f aca="false">IF($O110="","",N(INDEX('DỮ LIỆU'!$I$3:$I$1052,$O110)))</f>
        <v/>
      </c>
      <c r="I110" s="13" t="str">
        <f aca="false">IF($O110="","",N(INDEX('DỮ LIỆU'!$J$3:$J$1052,$O110)))</f>
        <v/>
      </c>
      <c r="J110" s="14" t="str">
        <f aca="false">IF($O110="","",N(INDEX('DỮ LIỆU'!$K$3:$K$1052,$O110)))</f>
        <v/>
      </c>
      <c r="K110" s="13" t="str">
        <f aca="false">IF($O110="","",N(INDEX('DỮ LIỆU'!$L$3:$L$1052,$O110)))</f>
        <v/>
      </c>
      <c r="L110" s="13" t="str">
        <f aca="false">IF($O110="","",N(INDEX('DỮ LIỆU'!$M$3:$M$1052,$O110)))</f>
        <v/>
      </c>
      <c r="M110" s="13" t="str">
        <f aca="false">IF($O110="","",N(INDEX('DỮ LIỆU'!$N$3:$N$1052,$O110)))</f>
        <v/>
      </c>
      <c r="N110" s="13" t="str">
        <f aca="false">IF($O110="","",N(INDEX('DỮ LIỆU'!$O$3:$O$1052,$O110)))</f>
        <v/>
      </c>
      <c r="O110" s="0" t="str">
        <f aca="false">IFERROR(MATCH(105,'DỮ LIỆU'!$U$3:$U$1052,0),"")</f>
        <v/>
      </c>
    </row>
    <row r="111" customFormat="false" ht="15" hidden="false" customHeight="false" outlineLevel="0" collapsed="false">
      <c r="A111" s="21" t="str">
        <f aca="false">IF($O111="","",106)</f>
        <v/>
      </c>
      <c r="B111" s="13" t="str">
        <f aca="false">IF($O111="","",INDEX('DỮ LIỆU'!$A$3:$A$1052,$O111))</f>
        <v/>
      </c>
      <c r="C111" s="41" t="str">
        <f aca="false">IF($O111="","",IF(INDEX('DỮ LIỆU'!$B$3:$B$1052,$O111)="","",INDEX('DỮ LIỆU'!$B$3:$B$1052,$O111)))</f>
        <v/>
      </c>
      <c r="D111" s="21" t="str">
        <f aca="false">IF($O111="","",IF(INDEX('DỮ LIỆU'!$C$3:$C$1052,$O111)="","",INDEX('DỮ LIỆU'!$C$3:$C$1052,$O111)))</f>
        <v/>
      </c>
      <c r="E111" s="21" t="str">
        <f aca="false">IF($O111="","",IF(INDEX('DỮ LIỆU'!$E$3:$E$1052,$O111)="","",INDEX('DỮ LIỆU'!$E$3:$E$1052,$O111)))</f>
        <v/>
      </c>
      <c r="F111" s="21" t="str">
        <f aca="false">IF($O111="","",IF(INDEX('DỮ LIỆU'!$F$3:$F$1052,$O111)="","",INDEX('DỮ LIỆU'!$F$3:$F$1052,$O111)))</f>
        <v/>
      </c>
      <c r="G111" s="21" t="str">
        <f aca="false">IF($O111="","",IF(INDEX('DỮ LIỆU'!$H$3:$H$1052,$O111)="","",INDEX('DỮ LIỆU'!$H$3:$H$1052,$O111)))</f>
        <v/>
      </c>
      <c r="H111" s="13" t="str">
        <f aca="false">IF($O111="","",N(INDEX('DỮ LIỆU'!$I$3:$I$1052,$O111)))</f>
        <v/>
      </c>
      <c r="I111" s="13" t="str">
        <f aca="false">IF($O111="","",N(INDEX('DỮ LIỆU'!$J$3:$J$1052,$O111)))</f>
        <v/>
      </c>
      <c r="J111" s="14" t="str">
        <f aca="false">IF($O111="","",N(INDEX('DỮ LIỆU'!$K$3:$K$1052,$O111)))</f>
        <v/>
      </c>
      <c r="K111" s="13" t="str">
        <f aca="false">IF($O111="","",N(INDEX('DỮ LIỆU'!$L$3:$L$1052,$O111)))</f>
        <v/>
      </c>
      <c r="L111" s="13" t="str">
        <f aca="false">IF($O111="","",N(INDEX('DỮ LIỆU'!$M$3:$M$1052,$O111)))</f>
        <v/>
      </c>
      <c r="M111" s="13" t="str">
        <f aca="false">IF($O111="","",N(INDEX('DỮ LIỆU'!$N$3:$N$1052,$O111)))</f>
        <v/>
      </c>
      <c r="N111" s="13" t="str">
        <f aca="false">IF($O111="","",N(INDEX('DỮ LIỆU'!$O$3:$O$1052,$O111)))</f>
        <v/>
      </c>
      <c r="O111" s="0" t="str">
        <f aca="false">IFERROR(MATCH(106,'DỮ LIỆU'!$U$3:$U$1052,0),"")</f>
        <v/>
      </c>
    </row>
    <row r="112" customFormat="false" ht="15" hidden="false" customHeight="false" outlineLevel="0" collapsed="false">
      <c r="A112" s="21" t="str">
        <f aca="false">IF($O112="","",107)</f>
        <v/>
      </c>
      <c r="B112" s="13" t="str">
        <f aca="false">IF($O112="","",INDEX('DỮ LIỆU'!$A$3:$A$1052,$O112))</f>
        <v/>
      </c>
      <c r="C112" s="41" t="str">
        <f aca="false">IF($O112="","",IF(INDEX('DỮ LIỆU'!$B$3:$B$1052,$O112)="","",INDEX('DỮ LIỆU'!$B$3:$B$1052,$O112)))</f>
        <v/>
      </c>
      <c r="D112" s="21" t="str">
        <f aca="false">IF($O112="","",IF(INDEX('DỮ LIỆU'!$C$3:$C$1052,$O112)="","",INDEX('DỮ LIỆU'!$C$3:$C$1052,$O112)))</f>
        <v/>
      </c>
      <c r="E112" s="21" t="str">
        <f aca="false">IF($O112="","",IF(INDEX('DỮ LIỆU'!$E$3:$E$1052,$O112)="","",INDEX('DỮ LIỆU'!$E$3:$E$1052,$O112)))</f>
        <v/>
      </c>
      <c r="F112" s="21" t="str">
        <f aca="false">IF($O112="","",IF(INDEX('DỮ LIỆU'!$F$3:$F$1052,$O112)="","",INDEX('DỮ LIỆU'!$F$3:$F$1052,$O112)))</f>
        <v/>
      </c>
      <c r="G112" s="21" t="str">
        <f aca="false">IF($O112="","",IF(INDEX('DỮ LIỆU'!$H$3:$H$1052,$O112)="","",INDEX('DỮ LIỆU'!$H$3:$H$1052,$O112)))</f>
        <v/>
      </c>
      <c r="H112" s="13" t="str">
        <f aca="false">IF($O112="","",N(INDEX('DỮ LIỆU'!$I$3:$I$1052,$O112)))</f>
        <v/>
      </c>
      <c r="I112" s="13" t="str">
        <f aca="false">IF($O112="","",N(INDEX('DỮ LIỆU'!$J$3:$J$1052,$O112)))</f>
        <v/>
      </c>
      <c r="J112" s="14" t="str">
        <f aca="false">IF($O112="","",N(INDEX('DỮ LIỆU'!$K$3:$K$1052,$O112)))</f>
        <v/>
      </c>
      <c r="K112" s="13" t="str">
        <f aca="false">IF($O112="","",N(INDEX('DỮ LIỆU'!$L$3:$L$1052,$O112)))</f>
        <v/>
      </c>
      <c r="L112" s="13" t="str">
        <f aca="false">IF($O112="","",N(INDEX('DỮ LIỆU'!$M$3:$M$1052,$O112)))</f>
        <v/>
      </c>
      <c r="M112" s="13" t="str">
        <f aca="false">IF($O112="","",N(INDEX('DỮ LIỆU'!$N$3:$N$1052,$O112)))</f>
        <v/>
      </c>
      <c r="N112" s="13" t="str">
        <f aca="false">IF($O112="","",N(INDEX('DỮ LIỆU'!$O$3:$O$1052,$O112)))</f>
        <v/>
      </c>
      <c r="O112" s="0" t="str">
        <f aca="false">IFERROR(MATCH(107,'DỮ LIỆU'!$U$3:$U$1052,0),"")</f>
        <v/>
      </c>
    </row>
    <row r="113" customFormat="false" ht="15" hidden="false" customHeight="false" outlineLevel="0" collapsed="false">
      <c r="A113" s="21" t="str">
        <f aca="false">IF($O113="","",108)</f>
        <v/>
      </c>
      <c r="B113" s="13" t="str">
        <f aca="false">IF($O113="","",INDEX('DỮ LIỆU'!$A$3:$A$1052,$O113))</f>
        <v/>
      </c>
      <c r="C113" s="41" t="str">
        <f aca="false">IF($O113="","",IF(INDEX('DỮ LIỆU'!$B$3:$B$1052,$O113)="","",INDEX('DỮ LIỆU'!$B$3:$B$1052,$O113)))</f>
        <v/>
      </c>
      <c r="D113" s="21" t="str">
        <f aca="false">IF($O113="","",IF(INDEX('DỮ LIỆU'!$C$3:$C$1052,$O113)="","",INDEX('DỮ LIỆU'!$C$3:$C$1052,$O113)))</f>
        <v/>
      </c>
      <c r="E113" s="21" t="str">
        <f aca="false">IF($O113="","",IF(INDEX('DỮ LIỆU'!$E$3:$E$1052,$O113)="","",INDEX('DỮ LIỆU'!$E$3:$E$1052,$O113)))</f>
        <v/>
      </c>
      <c r="F113" s="21" t="str">
        <f aca="false">IF($O113="","",IF(INDEX('DỮ LIỆU'!$F$3:$F$1052,$O113)="","",INDEX('DỮ LIỆU'!$F$3:$F$1052,$O113)))</f>
        <v/>
      </c>
      <c r="G113" s="21" t="str">
        <f aca="false">IF($O113="","",IF(INDEX('DỮ LIỆU'!$H$3:$H$1052,$O113)="","",INDEX('DỮ LIỆU'!$H$3:$H$1052,$O113)))</f>
        <v/>
      </c>
      <c r="H113" s="13" t="str">
        <f aca="false">IF($O113="","",N(INDEX('DỮ LIỆU'!$I$3:$I$1052,$O113)))</f>
        <v/>
      </c>
      <c r="I113" s="13" t="str">
        <f aca="false">IF($O113="","",N(INDEX('DỮ LIỆU'!$J$3:$J$1052,$O113)))</f>
        <v/>
      </c>
      <c r="J113" s="14" t="str">
        <f aca="false">IF($O113="","",N(INDEX('DỮ LIỆU'!$K$3:$K$1052,$O113)))</f>
        <v/>
      </c>
      <c r="K113" s="13" t="str">
        <f aca="false">IF($O113="","",N(INDEX('DỮ LIỆU'!$L$3:$L$1052,$O113)))</f>
        <v/>
      </c>
      <c r="L113" s="13" t="str">
        <f aca="false">IF($O113="","",N(INDEX('DỮ LIỆU'!$M$3:$M$1052,$O113)))</f>
        <v/>
      </c>
      <c r="M113" s="13" t="str">
        <f aca="false">IF($O113="","",N(INDEX('DỮ LIỆU'!$N$3:$N$1052,$O113)))</f>
        <v/>
      </c>
      <c r="N113" s="13" t="str">
        <f aca="false">IF($O113="","",N(INDEX('DỮ LIỆU'!$O$3:$O$1052,$O113)))</f>
        <v/>
      </c>
      <c r="O113" s="0" t="str">
        <f aca="false">IFERROR(MATCH(108,'DỮ LIỆU'!$U$3:$U$1052,0),"")</f>
        <v/>
      </c>
    </row>
    <row r="114" customFormat="false" ht="15" hidden="false" customHeight="false" outlineLevel="0" collapsed="false">
      <c r="A114" s="21" t="str">
        <f aca="false">IF($O114="","",109)</f>
        <v/>
      </c>
      <c r="B114" s="13" t="str">
        <f aca="false">IF($O114="","",INDEX('DỮ LIỆU'!$A$3:$A$1052,$O114))</f>
        <v/>
      </c>
      <c r="C114" s="41" t="str">
        <f aca="false">IF($O114="","",IF(INDEX('DỮ LIỆU'!$B$3:$B$1052,$O114)="","",INDEX('DỮ LIỆU'!$B$3:$B$1052,$O114)))</f>
        <v/>
      </c>
      <c r="D114" s="21" t="str">
        <f aca="false">IF($O114="","",IF(INDEX('DỮ LIỆU'!$C$3:$C$1052,$O114)="","",INDEX('DỮ LIỆU'!$C$3:$C$1052,$O114)))</f>
        <v/>
      </c>
      <c r="E114" s="21" t="str">
        <f aca="false">IF($O114="","",IF(INDEX('DỮ LIỆU'!$E$3:$E$1052,$O114)="","",INDEX('DỮ LIỆU'!$E$3:$E$1052,$O114)))</f>
        <v/>
      </c>
      <c r="F114" s="21" t="str">
        <f aca="false">IF($O114="","",IF(INDEX('DỮ LIỆU'!$F$3:$F$1052,$O114)="","",INDEX('DỮ LIỆU'!$F$3:$F$1052,$O114)))</f>
        <v/>
      </c>
      <c r="G114" s="21" t="str">
        <f aca="false">IF($O114="","",IF(INDEX('DỮ LIỆU'!$H$3:$H$1052,$O114)="","",INDEX('DỮ LIỆU'!$H$3:$H$1052,$O114)))</f>
        <v/>
      </c>
      <c r="H114" s="13" t="str">
        <f aca="false">IF($O114="","",N(INDEX('DỮ LIỆU'!$I$3:$I$1052,$O114)))</f>
        <v/>
      </c>
      <c r="I114" s="13" t="str">
        <f aca="false">IF($O114="","",N(INDEX('DỮ LIỆU'!$J$3:$J$1052,$O114)))</f>
        <v/>
      </c>
      <c r="J114" s="14" t="str">
        <f aca="false">IF($O114="","",N(INDEX('DỮ LIỆU'!$K$3:$K$1052,$O114)))</f>
        <v/>
      </c>
      <c r="K114" s="13" t="str">
        <f aca="false">IF($O114="","",N(INDEX('DỮ LIỆU'!$L$3:$L$1052,$O114)))</f>
        <v/>
      </c>
      <c r="L114" s="13" t="str">
        <f aca="false">IF($O114="","",N(INDEX('DỮ LIỆU'!$M$3:$M$1052,$O114)))</f>
        <v/>
      </c>
      <c r="M114" s="13" t="str">
        <f aca="false">IF($O114="","",N(INDEX('DỮ LIỆU'!$N$3:$N$1052,$O114)))</f>
        <v/>
      </c>
      <c r="N114" s="13" t="str">
        <f aca="false">IF($O114="","",N(INDEX('DỮ LIỆU'!$O$3:$O$1052,$O114)))</f>
        <v/>
      </c>
      <c r="O114" s="0" t="str">
        <f aca="false">IFERROR(MATCH(109,'DỮ LIỆU'!$U$3:$U$1052,0),"")</f>
        <v/>
      </c>
    </row>
    <row r="115" customFormat="false" ht="15" hidden="false" customHeight="false" outlineLevel="0" collapsed="false">
      <c r="A115" s="21" t="str">
        <f aca="false">IF($O115="","",110)</f>
        <v/>
      </c>
      <c r="B115" s="13" t="str">
        <f aca="false">IF($O115="","",INDEX('DỮ LIỆU'!$A$3:$A$1052,$O115))</f>
        <v/>
      </c>
      <c r="C115" s="41" t="str">
        <f aca="false">IF($O115="","",IF(INDEX('DỮ LIỆU'!$B$3:$B$1052,$O115)="","",INDEX('DỮ LIỆU'!$B$3:$B$1052,$O115)))</f>
        <v/>
      </c>
      <c r="D115" s="21" t="str">
        <f aca="false">IF($O115="","",IF(INDEX('DỮ LIỆU'!$C$3:$C$1052,$O115)="","",INDEX('DỮ LIỆU'!$C$3:$C$1052,$O115)))</f>
        <v/>
      </c>
      <c r="E115" s="21" t="str">
        <f aca="false">IF($O115="","",IF(INDEX('DỮ LIỆU'!$E$3:$E$1052,$O115)="","",INDEX('DỮ LIỆU'!$E$3:$E$1052,$O115)))</f>
        <v/>
      </c>
      <c r="F115" s="21" t="str">
        <f aca="false">IF($O115="","",IF(INDEX('DỮ LIỆU'!$F$3:$F$1052,$O115)="","",INDEX('DỮ LIỆU'!$F$3:$F$1052,$O115)))</f>
        <v/>
      </c>
      <c r="G115" s="21" t="str">
        <f aca="false">IF($O115="","",IF(INDEX('DỮ LIỆU'!$H$3:$H$1052,$O115)="","",INDEX('DỮ LIỆU'!$H$3:$H$1052,$O115)))</f>
        <v/>
      </c>
      <c r="H115" s="13" t="str">
        <f aca="false">IF($O115="","",N(INDEX('DỮ LIỆU'!$I$3:$I$1052,$O115)))</f>
        <v/>
      </c>
      <c r="I115" s="13" t="str">
        <f aca="false">IF($O115="","",N(INDEX('DỮ LIỆU'!$J$3:$J$1052,$O115)))</f>
        <v/>
      </c>
      <c r="J115" s="14" t="str">
        <f aca="false">IF($O115="","",N(INDEX('DỮ LIỆU'!$K$3:$K$1052,$O115)))</f>
        <v/>
      </c>
      <c r="K115" s="13" t="str">
        <f aca="false">IF($O115="","",N(INDEX('DỮ LIỆU'!$L$3:$L$1052,$O115)))</f>
        <v/>
      </c>
      <c r="L115" s="13" t="str">
        <f aca="false">IF($O115="","",N(INDEX('DỮ LIỆU'!$M$3:$M$1052,$O115)))</f>
        <v/>
      </c>
      <c r="M115" s="13" t="str">
        <f aca="false">IF($O115="","",N(INDEX('DỮ LIỆU'!$N$3:$N$1052,$O115)))</f>
        <v/>
      </c>
      <c r="N115" s="13" t="str">
        <f aca="false">IF($O115="","",N(INDEX('DỮ LIỆU'!$O$3:$O$1052,$O115)))</f>
        <v/>
      </c>
      <c r="O115" s="0" t="str">
        <f aca="false">IFERROR(MATCH(110,'DỮ LIỆU'!$U$3:$U$1052,0),"")</f>
        <v/>
      </c>
    </row>
    <row r="116" customFormat="false" ht="15" hidden="false" customHeight="false" outlineLevel="0" collapsed="false">
      <c r="A116" s="21" t="str">
        <f aca="false">IF($O116="","",111)</f>
        <v/>
      </c>
      <c r="B116" s="13" t="str">
        <f aca="false">IF($O116="","",INDEX('DỮ LIỆU'!$A$3:$A$1052,$O116))</f>
        <v/>
      </c>
      <c r="C116" s="41" t="str">
        <f aca="false">IF($O116="","",IF(INDEX('DỮ LIỆU'!$B$3:$B$1052,$O116)="","",INDEX('DỮ LIỆU'!$B$3:$B$1052,$O116)))</f>
        <v/>
      </c>
      <c r="D116" s="21" t="str">
        <f aca="false">IF($O116="","",IF(INDEX('DỮ LIỆU'!$C$3:$C$1052,$O116)="","",INDEX('DỮ LIỆU'!$C$3:$C$1052,$O116)))</f>
        <v/>
      </c>
      <c r="E116" s="21" t="str">
        <f aca="false">IF($O116="","",IF(INDEX('DỮ LIỆU'!$E$3:$E$1052,$O116)="","",INDEX('DỮ LIỆU'!$E$3:$E$1052,$O116)))</f>
        <v/>
      </c>
      <c r="F116" s="21" t="str">
        <f aca="false">IF($O116="","",IF(INDEX('DỮ LIỆU'!$F$3:$F$1052,$O116)="","",INDEX('DỮ LIỆU'!$F$3:$F$1052,$O116)))</f>
        <v/>
      </c>
      <c r="G116" s="21" t="str">
        <f aca="false">IF($O116="","",IF(INDEX('DỮ LIỆU'!$H$3:$H$1052,$O116)="","",INDEX('DỮ LIỆU'!$H$3:$H$1052,$O116)))</f>
        <v/>
      </c>
      <c r="H116" s="13" t="str">
        <f aca="false">IF($O116="","",N(INDEX('DỮ LIỆU'!$I$3:$I$1052,$O116)))</f>
        <v/>
      </c>
      <c r="I116" s="13" t="str">
        <f aca="false">IF($O116="","",N(INDEX('DỮ LIỆU'!$J$3:$J$1052,$O116)))</f>
        <v/>
      </c>
      <c r="J116" s="14" t="str">
        <f aca="false">IF($O116="","",N(INDEX('DỮ LIỆU'!$K$3:$K$1052,$O116)))</f>
        <v/>
      </c>
      <c r="K116" s="13" t="str">
        <f aca="false">IF($O116="","",N(INDEX('DỮ LIỆU'!$L$3:$L$1052,$O116)))</f>
        <v/>
      </c>
      <c r="L116" s="13" t="str">
        <f aca="false">IF($O116="","",N(INDEX('DỮ LIỆU'!$M$3:$M$1052,$O116)))</f>
        <v/>
      </c>
      <c r="M116" s="13" t="str">
        <f aca="false">IF($O116="","",N(INDEX('DỮ LIỆU'!$N$3:$N$1052,$O116)))</f>
        <v/>
      </c>
      <c r="N116" s="13" t="str">
        <f aca="false">IF($O116="","",N(INDEX('DỮ LIỆU'!$O$3:$O$1052,$O116)))</f>
        <v/>
      </c>
      <c r="O116" s="0" t="str">
        <f aca="false">IFERROR(MATCH(111,'DỮ LIỆU'!$U$3:$U$1052,0),"")</f>
        <v/>
      </c>
    </row>
    <row r="117" customFormat="false" ht="15" hidden="false" customHeight="false" outlineLevel="0" collapsed="false">
      <c r="A117" s="21" t="str">
        <f aca="false">IF($O117="","",112)</f>
        <v/>
      </c>
      <c r="B117" s="13" t="str">
        <f aca="false">IF($O117="","",INDEX('DỮ LIỆU'!$A$3:$A$1052,$O117))</f>
        <v/>
      </c>
      <c r="C117" s="41" t="str">
        <f aca="false">IF($O117="","",IF(INDEX('DỮ LIỆU'!$B$3:$B$1052,$O117)="","",INDEX('DỮ LIỆU'!$B$3:$B$1052,$O117)))</f>
        <v/>
      </c>
      <c r="D117" s="21" t="str">
        <f aca="false">IF($O117="","",IF(INDEX('DỮ LIỆU'!$C$3:$C$1052,$O117)="","",INDEX('DỮ LIỆU'!$C$3:$C$1052,$O117)))</f>
        <v/>
      </c>
      <c r="E117" s="21" t="str">
        <f aca="false">IF($O117="","",IF(INDEX('DỮ LIỆU'!$E$3:$E$1052,$O117)="","",INDEX('DỮ LIỆU'!$E$3:$E$1052,$O117)))</f>
        <v/>
      </c>
      <c r="F117" s="21" t="str">
        <f aca="false">IF($O117="","",IF(INDEX('DỮ LIỆU'!$F$3:$F$1052,$O117)="","",INDEX('DỮ LIỆU'!$F$3:$F$1052,$O117)))</f>
        <v/>
      </c>
      <c r="G117" s="21" t="str">
        <f aca="false">IF($O117="","",IF(INDEX('DỮ LIỆU'!$H$3:$H$1052,$O117)="","",INDEX('DỮ LIỆU'!$H$3:$H$1052,$O117)))</f>
        <v/>
      </c>
      <c r="H117" s="13" t="str">
        <f aca="false">IF($O117="","",N(INDEX('DỮ LIỆU'!$I$3:$I$1052,$O117)))</f>
        <v/>
      </c>
      <c r="I117" s="13" t="str">
        <f aca="false">IF($O117="","",N(INDEX('DỮ LIỆU'!$J$3:$J$1052,$O117)))</f>
        <v/>
      </c>
      <c r="J117" s="14" t="str">
        <f aca="false">IF($O117="","",N(INDEX('DỮ LIỆU'!$K$3:$K$1052,$O117)))</f>
        <v/>
      </c>
      <c r="K117" s="13" t="str">
        <f aca="false">IF($O117="","",N(INDEX('DỮ LIỆU'!$L$3:$L$1052,$O117)))</f>
        <v/>
      </c>
      <c r="L117" s="13" t="str">
        <f aca="false">IF($O117="","",N(INDEX('DỮ LIỆU'!$M$3:$M$1052,$O117)))</f>
        <v/>
      </c>
      <c r="M117" s="13" t="str">
        <f aca="false">IF($O117="","",N(INDEX('DỮ LIỆU'!$N$3:$N$1052,$O117)))</f>
        <v/>
      </c>
      <c r="N117" s="13" t="str">
        <f aca="false">IF($O117="","",N(INDEX('DỮ LIỆU'!$O$3:$O$1052,$O117)))</f>
        <v/>
      </c>
      <c r="O117" s="0" t="str">
        <f aca="false">IFERROR(MATCH(112,'DỮ LIỆU'!$U$3:$U$1052,0),"")</f>
        <v/>
      </c>
    </row>
    <row r="118" customFormat="false" ht="15" hidden="false" customHeight="false" outlineLevel="0" collapsed="false">
      <c r="A118" s="21" t="str">
        <f aca="false">IF($O118="","",113)</f>
        <v/>
      </c>
      <c r="B118" s="13" t="str">
        <f aca="false">IF($O118="","",INDEX('DỮ LIỆU'!$A$3:$A$1052,$O118))</f>
        <v/>
      </c>
      <c r="C118" s="41" t="str">
        <f aca="false">IF($O118="","",IF(INDEX('DỮ LIỆU'!$B$3:$B$1052,$O118)="","",INDEX('DỮ LIỆU'!$B$3:$B$1052,$O118)))</f>
        <v/>
      </c>
      <c r="D118" s="21" t="str">
        <f aca="false">IF($O118="","",IF(INDEX('DỮ LIỆU'!$C$3:$C$1052,$O118)="","",INDEX('DỮ LIỆU'!$C$3:$C$1052,$O118)))</f>
        <v/>
      </c>
      <c r="E118" s="21" t="str">
        <f aca="false">IF($O118="","",IF(INDEX('DỮ LIỆU'!$E$3:$E$1052,$O118)="","",INDEX('DỮ LIỆU'!$E$3:$E$1052,$O118)))</f>
        <v/>
      </c>
      <c r="F118" s="21" t="str">
        <f aca="false">IF($O118="","",IF(INDEX('DỮ LIỆU'!$F$3:$F$1052,$O118)="","",INDEX('DỮ LIỆU'!$F$3:$F$1052,$O118)))</f>
        <v/>
      </c>
      <c r="G118" s="21" t="str">
        <f aca="false">IF($O118="","",IF(INDEX('DỮ LIỆU'!$H$3:$H$1052,$O118)="","",INDEX('DỮ LIỆU'!$H$3:$H$1052,$O118)))</f>
        <v/>
      </c>
      <c r="H118" s="13" t="str">
        <f aca="false">IF($O118="","",N(INDEX('DỮ LIỆU'!$I$3:$I$1052,$O118)))</f>
        <v/>
      </c>
      <c r="I118" s="13" t="str">
        <f aca="false">IF($O118="","",N(INDEX('DỮ LIỆU'!$J$3:$J$1052,$O118)))</f>
        <v/>
      </c>
      <c r="J118" s="14" t="str">
        <f aca="false">IF($O118="","",N(INDEX('DỮ LIỆU'!$K$3:$K$1052,$O118)))</f>
        <v/>
      </c>
      <c r="K118" s="13" t="str">
        <f aca="false">IF($O118="","",N(INDEX('DỮ LIỆU'!$L$3:$L$1052,$O118)))</f>
        <v/>
      </c>
      <c r="L118" s="13" t="str">
        <f aca="false">IF($O118="","",N(INDEX('DỮ LIỆU'!$M$3:$M$1052,$O118)))</f>
        <v/>
      </c>
      <c r="M118" s="13" t="str">
        <f aca="false">IF($O118="","",N(INDEX('DỮ LIỆU'!$N$3:$N$1052,$O118)))</f>
        <v/>
      </c>
      <c r="N118" s="13" t="str">
        <f aca="false">IF($O118="","",N(INDEX('DỮ LIỆU'!$O$3:$O$1052,$O118)))</f>
        <v/>
      </c>
      <c r="O118" s="0" t="str">
        <f aca="false">IFERROR(MATCH(113,'DỮ LIỆU'!$U$3:$U$1052,0),"")</f>
        <v/>
      </c>
    </row>
    <row r="119" customFormat="false" ht="15" hidden="false" customHeight="false" outlineLevel="0" collapsed="false">
      <c r="A119" s="21" t="str">
        <f aca="false">IF($O119="","",114)</f>
        <v/>
      </c>
      <c r="B119" s="13" t="str">
        <f aca="false">IF($O119="","",INDEX('DỮ LIỆU'!$A$3:$A$1052,$O119))</f>
        <v/>
      </c>
      <c r="C119" s="41" t="str">
        <f aca="false">IF($O119="","",IF(INDEX('DỮ LIỆU'!$B$3:$B$1052,$O119)="","",INDEX('DỮ LIỆU'!$B$3:$B$1052,$O119)))</f>
        <v/>
      </c>
      <c r="D119" s="21" t="str">
        <f aca="false">IF($O119="","",IF(INDEX('DỮ LIỆU'!$C$3:$C$1052,$O119)="","",INDEX('DỮ LIỆU'!$C$3:$C$1052,$O119)))</f>
        <v/>
      </c>
      <c r="E119" s="21" t="str">
        <f aca="false">IF($O119="","",IF(INDEX('DỮ LIỆU'!$E$3:$E$1052,$O119)="","",INDEX('DỮ LIỆU'!$E$3:$E$1052,$O119)))</f>
        <v/>
      </c>
      <c r="F119" s="21" t="str">
        <f aca="false">IF($O119="","",IF(INDEX('DỮ LIỆU'!$F$3:$F$1052,$O119)="","",INDEX('DỮ LIỆU'!$F$3:$F$1052,$O119)))</f>
        <v/>
      </c>
      <c r="G119" s="21" t="str">
        <f aca="false">IF($O119="","",IF(INDEX('DỮ LIỆU'!$H$3:$H$1052,$O119)="","",INDEX('DỮ LIỆU'!$H$3:$H$1052,$O119)))</f>
        <v/>
      </c>
      <c r="H119" s="13" t="str">
        <f aca="false">IF($O119="","",N(INDEX('DỮ LIỆU'!$I$3:$I$1052,$O119)))</f>
        <v/>
      </c>
      <c r="I119" s="13" t="str">
        <f aca="false">IF($O119="","",N(INDEX('DỮ LIỆU'!$J$3:$J$1052,$O119)))</f>
        <v/>
      </c>
      <c r="J119" s="14" t="str">
        <f aca="false">IF($O119="","",N(INDEX('DỮ LIỆU'!$K$3:$K$1052,$O119)))</f>
        <v/>
      </c>
      <c r="K119" s="13" t="str">
        <f aca="false">IF($O119="","",N(INDEX('DỮ LIỆU'!$L$3:$L$1052,$O119)))</f>
        <v/>
      </c>
      <c r="L119" s="13" t="str">
        <f aca="false">IF($O119="","",N(INDEX('DỮ LIỆU'!$M$3:$M$1052,$O119)))</f>
        <v/>
      </c>
      <c r="M119" s="13" t="str">
        <f aca="false">IF($O119="","",N(INDEX('DỮ LIỆU'!$N$3:$N$1052,$O119)))</f>
        <v/>
      </c>
      <c r="N119" s="13" t="str">
        <f aca="false">IF($O119="","",N(INDEX('DỮ LIỆU'!$O$3:$O$1052,$O119)))</f>
        <v/>
      </c>
      <c r="O119" s="0" t="str">
        <f aca="false">IFERROR(MATCH(114,'DỮ LIỆU'!$U$3:$U$1052,0),"")</f>
        <v/>
      </c>
    </row>
    <row r="120" customFormat="false" ht="15" hidden="false" customHeight="false" outlineLevel="0" collapsed="false">
      <c r="A120" s="21" t="str">
        <f aca="false">IF($O120="","",115)</f>
        <v/>
      </c>
      <c r="B120" s="13" t="str">
        <f aca="false">IF($O120="","",INDEX('DỮ LIỆU'!$A$3:$A$1052,$O120))</f>
        <v/>
      </c>
      <c r="C120" s="41" t="str">
        <f aca="false">IF($O120="","",IF(INDEX('DỮ LIỆU'!$B$3:$B$1052,$O120)="","",INDEX('DỮ LIỆU'!$B$3:$B$1052,$O120)))</f>
        <v/>
      </c>
      <c r="D120" s="21" t="str">
        <f aca="false">IF($O120="","",IF(INDEX('DỮ LIỆU'!$C$3:$C$1052,$O120)="","",INDEX('DỮ LIỆU'!$C$3:$C$1052,$O120)))</f>
        <v/>
      </c>
      <c r="E120" s="21" t="str">
        <f aca="false">IF($O120="","",IF(INDEX('DỮ LIỆU'!$E$3:$E$1052,$O120)="","",INDEX('DỮ LIỆU'!$E$3:$E$1052,$O120)))</f>
        <v/>
      </c>
      <c r="F120" s="21" t="str">
        <f aca="false">IF($O120="","",IF(INDEX('DỮ LIỆU'!$F$3:$F$1052,$O120)="","",INDEX('DỮ LIỆU'!$F$3:$F$1052,$O120)))</f>
        <v/>
      </c>
      <c r="G120" s="21" t="str">
        <f aca="false">IF($O120="","",IF(INDEX('DỮ LIỆU'!$H$3:$H$1052,$O120)="","",INDEX('DỮ LIỆU'!$H$3:$H$1052,$O120)))</f>
        <v/>
      </c>
      <c r="H120" s="13" t="str">
        <f aca="false">IF($O120="","",N(INDEX('DỮ LIỆU'!$I$3:$I$1052,$O120)))</f>
        <v/>
      </c>
      <c r="I120" s="13" t="str">
        <f aca="false">IF($O120="","",N(INDEX('DỮ LIỆU'!$J$3:$J$1052,$O120)))</f>
        <v/>
      </c>
      <c r="J120" s="14" t="str">
        <f aca="false">IF($O120="","",N(INDEX('DỮ LIỆU'!$K$3:$K$1052,$O120)))</f>
        <v/>
      </c>
      <c r="K120" s="13" t="str">
        <f aca="false">IF($O120="","",N(INDEX('DỮ LIỆU'!$L$3:$L$1052,$O120)))</f>
        <v/>
      </c>
      <c r="L120" s="13" t="str">
        <f aca="false">IF($O120="","",N(INDEX('DỮ LIỆU'!$M$3:$M$1052,$O120)))</f>
        <v/>
      </c>
      <c r="M120" s="13" t="str">
        <f aca="false">IF($O120="","",N(INDEX('DỮ LIỆU'!$N$3:$N$1052,$O120)))</f>
        <v/>
      </c>
      <c r="N120" s="13" t="str">
        <f aca="false">IF($O120="","",N(INDEX('DỮ LIỆU'!$O$3:$O$1052,$O120)))</f>
        <v/>
      </c>
      <c r="O120" s="0" t="str">
        <f aca="false">IFERROR(MATCH(115,'DỮ LIỆU'!$U$3:$U$1052,0),"")</f>
        <v/>
      </c>
    </row>
    <row r="121" customFormat="false" ht="15" hidden="false" customHeight="false" outlineLevel="0" collapsed="false">
      <c r="A121" s="21" t="str">
        <f aca="false">IF($O121="","",116)</f>
        <v/>
      </c>
      <c r="B121" s="13" t="str">
        <f aca="false">IF($O121="","",INDEX('DỮ LIỆU'!$A$3:$A$1052,$O121))</f>
        <v/>
      </c>
      <c r="C121" s="41" t="str">
        <f aca="false">IF($O121="","",IF(INDEX('DỮ LIỆU'!$B$3:$B$1052,$O121)="","",INDEX('DỮ LIỆU'!$B$3:$B$1052,$O121)))</f>
        <v/>
      </c>
      <c r="D121" s="21" t="str">
        <f aca="false">IF($O121="","",IF(INDEX('DỮ LIỆU'!$C$3:$C$1052,$O121)="","",INDEX('DỮ LIỆU'!$C$3:$C$1052,$O121)))</f>
        <v/>
      </c>
      <c r="E121" s="21" t="str">
        <f aca="false">IF($O121="","",IF(INDEX('DỮ LIỆU'!$E$3:$E$1052,$O121)="","",INDEX('DỮ LIỆU'!$E$3:$E$1052,$O121)))</f>
        <v/>
      </c>
      <c r="F121" s="21" t="str">
        <f aca="false">IF($O121="","",IF(INDEX('DỮ LIỆU'!$F$3:$F$1052,$O121)="","",INDEX('DỮ LIỆU'!$F$3:$F$1052,$O121)))</f>
        <v/>
      </c>
      <c r="G121" s="21" t="str">
        <f aca="false">IF($O121="","",IF(INDEX('DỮ LIỆU'!$H$3:$H$1052,$O121)="","",INDEX('DỮ LIỆU'!$H$3:$H$1052,$O121)))</f>
        <v/>
      </c>
      <c r="H121" s="13" t="str">
        <f aca="false">IF($O121="","",N(INDEX('DỮ LIỆU'!$I$3:$I$1052,$O121)))</f>
        <v/>
      </c>
      <c r="I121" s="13" t="str">
        <f aca="false">IF($O121="","",N(INDEX('DỮ LIỆU'!$J$3:$J$1052,$O121)))</f>
        <v/>
      </c>
      <c r="J121" s="14" t="str">
        <f aca="false">IF($O121="","",N(INDEX('DỮ LIỆU'!$K$3:$K$1052,$O121)))</f>
        <v/>
      </c>
      <c r="K121" s="13" t="str">
        <f aca="false">IF($O121="","",N(INDEX('DỮ LIỆU'!$L$3:$L$1052,$O121)))</f>
        <v/>
      </c>
      <c r="L121" s="13" t="str">
        <f aca="false">IF($O121="","",N(INDEX('DỮ LIỆU'!$M$3:$M$1052,$O121)))</f>
        <v/>
      </c>
      <c r="M121" s="13" t="str">
        <f aca="false">IF($O121="","",N(INDEX('DỮ LIỆU'!$N$3:$N$1052,$O121)))</f>
        <v/>
      </c>
      <c r="N121" s="13" t="str">
        <f aca="false">IF($O121="","",N(INDEX('DỮ LIỆU'!$O$3:$O$1052,$O121)))</f>
        <v/>
      </c>
      <c r="O121" s="0" t="str">
        <f aca="false">IFERROR(MATCH(116,'DỮ LIỆU'!$U$3:$U$1052,0),"")</f>
        <v/>
      </c>
    </row>
    <row r="122" customFormat="false" ht="15" hidden="false" customHeight="false" outlineLevel="0" collapsed="false">
      <c r="A122" s="21" t="str">
        <f aca="false">IF($O122="","",117)</f>
        <v/>
      </c>
      <c r="B122" s="13" t="str">
        <f aca="false">IF($O122="","",INDEX('DỮ LIỆU'!$A$3:$A$1052,$O122))</f>
        <v/>
      </c>
      <c r="C122" s="41" t="str">
        <f aca="false">IF($O122="","",IF(INDEX('DỮ LIỆU'!$B$3:$B$1052,$O122)="","",INDEX('DỮ LIỆU'!$B$3:$B$1052,$O122)))</f>
        <v/>
      </c>
      <c r="D122" s="21" t="str">
        <f aca="false">IF($O122="","",IF(INDEX('DỮ LIỆU'!$C$3:$C$1052,$O122)="","",INDEX('DỮ LIỆU'!$C$3:$C$1052,$O122)))</f>
        <v/>
      </c>
      <c r="E122" s="21" t="str">
        <f aca="false">IF($O122="","",IF(INDEX('DỮ LIỆU'!$E$3:$E$1052,$O122)="","",INDEX('DỮ LIỆU'!$E$3:$E$1052,$O122)))</f>
        <v/>
      </c>
      <c r="F122" s="21" t="str">
        <f aca="false">IF($O122="","",IF(INDEX('DỮ LIỆU'!$F$3:$F$1052,$O122)="","",INDEX('DỮ LIỆU'!$F$3:$F$1052,$O122)))</f>
        <v/>
      </c>
      <c r="G122" s="21" t="str">
        <f aca="false">IF($O122="","",IF(INDEX('DỮ LIỆU'!$H$3:$H$1052,$O122)="","",INDEX('DỮ LIỆU'!$H$3:$H$1052,$O122)))</f>
        <v/>
      </c>
      <c r="H122" s="13" t="str">
        <f aca="false">IF($O122="","",N(INDEX('DỮ LIỆU'!$I$3:$I$1052,$O122)))</f>
        <v/>
      </c>
      <c r="I122" s="13" t="str">
        <f aca="false">IF($O122="","",N(INDEX('DỮ LIỆU'!$J$3:$J$1052,$O122)))</f>
        <v/>
      </c>
      <c r="J122" s="14" t="str">
        <f aca="false">IF($O122="","",N(INDEX('DỮ LIỆU'!$K$3:$K$1052,$O122)))</f>
        <v/>
      </c>
      <c r="K122" s="13" t="str">
        <f aca="false">IF($O122="","",N(INDEX('DỮ LIỆU'!$L$3:$L$1052,$O122)))</f>
        <v/>
      </c>
      <c r="L122" s="13" t="str">
        <f aca="false">IF($O122="","",N(INDEX('DỮ LIỆU'!$M$3:$M$1052,$O122)))</f>
        <v/>
      </c>
      <c r="M122" s="13" t="str">
        <f aca="false">IF($O122="","",N(INDEX('DỮ LIỆU'!$N$3:$N$1052,$O122)))</f>
        <v/>
      </c>
      <c r="N122" s="13" t="str">
        <f aca="false">IF($O122="","",N(INDEX('DỮ LIỆU'!$O$3:$O$1052,$O122)))</f>
        <v/>
      </c>
      <c r="O122" s="0" t="str">
        <f aca="false">IFERROR(MATCH(117,'DỮ LIỆU'!$U$3:$U$1052,0),"")</f>
        <v/>
      </c>
    </row>
    <row r="123" customFormat="false" ht="15" hidden="false" customHeight="false" outlineLevel="0" collapsed="false">
      <c r="A123" s="21" t="str">
        <f aca="false">IF($O123="","",118)</f>
        <v/>
      </c>
      <c r="B123" s="13" t="str">
        <f aca="false">IF($O123="","",INDEX('DỮ LIỆU'!$A$3:$A$1052,$O123))</f>
        <v/>
      </c>
      <c r="C123" s="41" t="str">
        <f aca="false">IF($O123="","",IF(INDEX('DỮ LIỆU'!$B$3:$B$1052,$O123)="","",INDEX('DỮ LIỆU'!$B$3:$B$1052,$O123)))</f>
        <v/>
      </c>
      <c r="D123" s="21" t="str">
        <f aca="false">IF($O123="","",IF(INDEX('DỮ LIỆU'!$C$3:$C$1052,$O123)="","",INDEX('DỮ LIỆU'!$C$3:$C$1052,$O123)))</f>
        <v/>
      </c>
      <c r="E123" s="21" t="str">
        <f aca="false">IF($O123="","",IF(INDEX('DỮ LIỆU'!$E$3:$E$1052,$O123)="","",INDEX('DỮ LIỆU'!$E$3:$E$1052,$O123)))</f>
        <v/>
      </c>
      <c r="F123" s="21" t="str">
        <f aca="false">IF($O123="","",IF(INDEX('DỮ LIỆU'!$F$3:$F$1052,$O123)="","",INDEX('DỮ LIỆU'!$F$3:$F$1052,$O123)))</f>
        <v/>
      </c>
      <c r="G123" s="21" t="str">
        <f aca="false">IF($O123="","",IF(INDEX('DỮ LIỆU'!$H$3:$H$1052,$O123)="","",INDEX('DỮ LIỆU'!$H$3:$H$1052,$O123)))</f>
        <v/>
      </c>
      <c r="H123" s="13" t="str">
        <f aca="false">IF($O123="","",N(INDEX('DỮ LIỆU'!$I$3:$I$1052,$O123)))</f>
        <v/>
      </c>
      <c r="I123" s="13" t="str">
        <f aca="false">IF($O123="","",N(INDEX('DỮ LIỆU'!$J$3:$J$1052,$O123)))</f>
        <v/>
      </c>
      <c r="J123" s="14" t="str">
        <f aca="false">IF($O123="","",N(INDEX('DỮ LIỆU'!$K$3:$K$1052,$O123)))</f>
        <v/>
      </c>
      <c r="K123" s="13" t="str">
        <f aca="false">IF($O123="","",N(INDEX('DỮ LIỆU'!$L$3:$L$1052,$O123)))</f>
        <v/>
      </c>
      <c r="L123" s="13" t="str">
        <f aca="false">IF($O123="","",N(INDEX('DỮ LIỆU'!$M$3:$M$1052,$O123)))</f>
        <v/>
      </c>
      <c r="M123" s="13" t="str">
        <f aca="false">IF($O123="","",N(INDEX('DỮ LIỆU'!$N$3:$N$1052,$O123)))</f>
        <v/>
      </c>
      <c r="N123" s="13" t="str">
        <f aca="false">IF($O123="","",N(INDEX('DỮ LIỆU'!$O$3:$O$1052,$O123)))</f>
        <v/>
      </c>
      <c r="O123" s="0" t="str">
        <f aca="false">IFERROR(MATCH(118,'DỮ LIỆU'!$U$3:$U$1052,0),"")</f>
        <v/>
      </c>
    </row>
    <row r="124" customFormat="false" ht="15" hidden="false" customHeight="false" outlineLevel="0" collapsed="false">
      <c r="A124" s="21" t="str">
        <f aca="false">IF($O124="","",119)</f>
        <v/>
      </c>
      <c r="B124" s="13" t="str">
        <f aca="false">IF($O124="","",INDEX('DỮ LIỆU'!$A$3:$A$1052,$O124))</f>
        <v/>
      </c>
      <c r="C124" s="41" t="str">
        <f aca="false">IF($O124="","",IF(INDEX('DỮ LIỆU'!$B$3:$B$1052,$O124)="","",INDEX('DỮ LIỆU'!$B$3:$B$1052,$O124)))</f>
        <v/>
      </c>
      <c r="D124" s="21" t="str">
        <f aca="false">IF($O124="","",IF(INDEX('DỮ LIỆU'!$C$3:$C$1052,$O124)="","",INDEX('DỮ LIỆU'!$C$3:$C$1052,$O124)))</f>
        <v/>
      </c>
      <c r="E124" s="21" t="str">
        <f aca="false">IF($O124="","",IF(INDEX('DỮ LIỆU'!$E$3:$E$1052,$O124)="","",INDEX('DỮ LIỆU'!$E$3:$E$1052,$O124)))</f>
        <v/>
      </c>
      <c r="F124" s="21" t="str">
        <f aca="false">IF($O124="","",IF(INDEX('DỮ LIỆU'!$F$3:$F$1052,$O124)="","",INDEX('DỮ LIỆU'!$F$3:$F$1052,$O124)))</f>
        <v/>
      </c>
      <c r="G124" s="21" t="str">
        <f aca="false">IF($O124="","",IF(INDEX('DỮ LIỆU'!$H$3:$H$1052,$O124)="","",INDEX('DỮ LIỆU'!$H$3:$H$1052,$O124)))</f>
        <v/>
      </c>
      <c r="H124" s="13" t="str">
        <f aca="false">IF($O124="","",N(INDEX('DỮ LIỆU'!$I$3:$I$1052,$O124)))</f>
        <v/>
      </c>
      <c r="I124" s="13" t="str">
        <f aca="false">IF($O124="","",N(INDEX('DỮ LIỆU'!$J$3:$J$1052,$O124)))</f>
        <v/>
      </c>
      <c r="J124" s="14" t="str">
        <f aca="false">IF($O124="","",N(INDEX('DỮ LIỆU'!$K$3:$K$1052,$O124)))</f>
        <v/>
      </c>
      <c r="K124" s="13" t="str">
        <f aca="false">IF($O124="","",N(INDEX('DỮ LIỆU'!$L$3:$L$1052,$O124)))</f>
        <v/>
      </c>
      <c r="L124" s="13" t="str">
        <f aca="false">IF($O124="","",N(INDEX('DỮ LIỆU'!$M$3:$M$1052,$O124)))</f>
        <v/>
      </c>
      <c r="M124" s="13" t="str">
        <f aca="false">IF($O124="","",N(INDEX('DỮ LIỆU'!$N$3:$N$1052,$O124)))</f>
        <v/>
      </c>
      <c r="N124" s="13" t="str">
        <f aca="false">IF($O124="","",N(INDEX('DỮ LIỆU'!$O$3:$O$1052,$O124)))</f>
        <v/>
      </c>
      <c r="O124" s="0" t="str">
        <f aca="false">IFERROR(MATCH(119,'DỮ LIỆU'!$U$3:$U$1052,0),"")</f>
        <v/>
      </c>
    </row>
    <row r="125" customFormat="false" ht="15" hidden="false" customHeight="false" outlineLevel="0" collapsed="false">
      <c r="A125" s="21" t="str">
        <f aca="false">IF($O125="","",120)</f>
        <v/>
      </c>
      <c r="B125" s="13" t="str">
        <f aca="false">IF($O125="","",INDEX('DỮ LIỆU'!$A$3:$A$1052,$O125))</f>
        <v/>
      </c>
      <c r="C125" s="41" t="str">
        <f aca="false">IF($O125="","",IF(INDEX('DỮ LIỆU'!$B$3:$B$1052,$O125)="","",INDEX('DỮ LIỆU'!$B$3:$B$1052,$O125)))</f>
        <v/>
      </c>
      <c r="D125" s="21" t="str">
        <f aca="false">IF($O125="","",IF(INDEX('DỮ LIỆU'!$C$3:$C$1052,$O125)="","",INDEX('DỮ LIỆU'!$C$3:$C$1052,$O125)))</f>
        <v/>
      </c>
      <c r="E125" s="21" t="str">
        <f aca="false">IF($O125="","",IF(INDEX('DỮ LIỆU'!$E$3:$E$1052,$O125)="","",INDEX('DỮ LIỆU'!$E$3:$E$1052,$O125)))</f>
        <v/>
      </c>
      <c r="F125" s="21" t="str">
        <f aca="false">IF($O125="","",IF(INDEX('DỮ LIỆU'!$F$3:$F$1052,$O125)="","",INDEX('DỮ LIỆU'!$F$3:$F$1052,$O125)))</f>
        <v/>
      </c>
      <c r="G125" s="21" t="str">
        <f aca="false">IF($O125="","",IF(INDEX('DỮ LIỆU'!$H$3:$H$1052,$O125)="","",INDEX('DỮ LIỆU'!$H$3:$H$1052,$O125)))</f>
        <v/>
      </c>
      <c r="H125" s="13" t="str">
        <f aca="false">IF($O125="","",N(INDEX('DỮ LIỆU'!$I$3:$I$1052,$O125)))</f>
        <v/>
      </c>
      <c r="I125" s="13" t="str">
        <f aca="false">IF($O125="","",N(INDEX('DỮ LIỆU'!$J$3:$J$1052,$O125)))</f>
        <v/>
      </c>
      <c r="J125" s="14" t="str">
        <f aca="false">IF($O125="","",N(INDEX('DỮ LIỆU'!$K$3:$K$1052,$O125)))</f>
        <v/>
      </c>
      <c r="K125" s="13" t="str">
        <f aca="false">IF($O125="","",N(INDEX('DỮ LIỆU'!$L$3:$L$1052,$O125)))</f>
        <v/>
      </c>
      <c r="L125" s="13" t="str">
        <f aca="false">IF($O125="","",N(INDEX('DỮ LIỆU'!$M$3:$M$1052,$O125)))</f>
        <v/>
      </c>
      <c r="M125" s="13" t="str">
        <f aca="false">IF($O125="","",N(INDEX('DỮ LIỆU'!$N$3:$N$1052,$O125)))</f>
        <v/>
      </c>
      <c r="N125" s="13" t="str">
        <f aca="false">IF($O125="","",N(INDEX('DỮ LIỆU'!$O$3:$O$1052,$O125)))</f>
        <v/>
      </c>
      <c r="O125" s="0" t="str">
        <f aca="false">IFERROR(MATCH(120,'DỮ LIỆU'!$U$3:$U$1052,0),"")</f>
        <v/>
      </c>
    </row>
    <row r="126" customFormat="false" ht="15" hidden="false" customHeight="false" outlineLevel="0" collapsed="false">
      <c r="A126" s="21" t="str">
        <f aca="false">IF($O126="","",121)</f>
        <v/>
      </c>
      <c r="B126" s="13" t="str">
        <f aca="false">IF($O126="","",INDEX('DỮ LIỆU'!$A$3:$A$1052,$O126))</f>
        <v/>
      </c>
      <c r="C126" s="41" t="str">
        <f aca="false">IF($O126="","",IF(INDEX('DỮ LIỆU'!$B$3:$B$1052,$O126)="","",INDEX('DỮ LIỆU'!$B$3:$B$1052,$O126)))</f>
        <v/>
      </c>
      <c r="D126" s="21" t="str">
        <f aca="false">IF($O126="","",IF(INDEX('DỮ LIỆU'!$C$3:$C$1052,$O126)="","",INDEX('DỮ LIỆU'!$C$3:$C$1052,$O126)))</f>
        <v/>
      </c>
      <c r="E126" s="21" t="str">
        <f aca="false">IF($O126="","",IF(INDEX('DỮ LIỆU'!$E$3:$E$1052,$O126)="","",INDEX('DỮ LIỆU'!$E$3:$E$1052,$O126)))</f>
        <v/>
      </c>
      <c r="F126" s="21" t="str">
        <f aca="false">IF($O126="","",IF(INDEX('DỮ LIỆU'!$F$3:$F$1052,$O126)="","",INDEX('DỮ LIỆU'!$F$3:$F$1052,$O126)))</f>
        <v/>
      </c>
      <c r="G126" s="21" t="str">
        <f aca="false">IF($O126="","",IF(INDEX('DỮ LIỆU'!$H$3:$H$1052,$O126)="","",INDEX('DỮ LIỆU'!$H$3:$H$1052,$O126)))</f>
        <v/>
      </c>
      <c r="H126" s="13" t="str">
        <f aca="false">IF($O126="","",N(INDEX('DỮ LIỆU'!$I$3:$I$1052,$O126)))</f>
        <v/>
      </c>
      <c r="I126" s="13" t="str">
        <f aca="false">IF($O126="","",N(INDEX('DỮ LIỆU'!$J$3:$J$1052,$O126)))</f>
        <v/>
      </c>
      <c r="J126" s="14" t="str">
        <f aca="false">IF($O126="","",N(INDEX('DỮ LIỆU'!$K$3:$K$1052,$O126)))</f>
        <v/>
      </c>
      <c r="K126" s="13" t="str">
        <f aca="false">IF($O126="","",N(INDEX('DỮ LIỆU'!$L$3:$L$1052,$O126)))</f>
        <v/>
      </c>
      <c r="L126" s="13" t="str">
        <f aca="false">IF($O126="","",N(INDEX('DỮ LIỆU'!$M$3:$M$1052,$O126)))</f>
        <v/>
      </c>
      <c r="M126" s="13" t="str">
        <f aca="false">IF($O126="","",N(INDEX('DỮ LIỆU'!$N$3:$N$1052,$O126)))</f>
        <v/>
      </c>
      <c r="N126" s="13" t="str">
        <f aca="false">IF($O126="","",N(INDEX('DỮ LIỆU'!$O$3:$O$1052,$O126)))</f>
        <v/>
      </c>
      <c r="O126" s="0" t="str">
        <f aca="false">IFERROR(MATCH(121,'DỮ LIỆU'!$U$3:$U$1052,0),"")</f>
        <v/>
      </c>
    </row>
    <row r="127" customFormat="false" ht="15" hidden="false" customHeight="false" outlineLevel="0" collapsed="false">
      <c r="A127" s="21" t="str">
        <f aca="false">IF($O127="","",122)</f>
        <v/>
      </c>
      <c r="B127" s="13" t="str">
        <f aca="false">IF($O127="","",INDEX('DỮ LIỆU'!$A$3:$A$1052,$O127))</f>
        <v/>
      </c>
      <c r="C127" s="41" t="str">
        <f aca="false">IF($O127="","",IF(INDEX('DỮ LIỆU'!$B$3:$B$1052,$O127)="","",INDEX('DỮ LIỆU'!$B$3:$B$1052,$O127)))</f>
        <v/>
      </c>
      <c r="D127" s="21" t="str">
        <f aca="false">IF($O127="","",IF(INDEX('DỮ LIỆU'!$C$3:$C$1052,$O127)="","",INDEX('DỮ LIỆU'!$C$3:$C$1052,$O127)))</f>
        <v/>
      </c>
      <c r="E127" s="21" t="str">
        <f aca="false">IF($O127="","",IF(INDEX('DỮ LIỆU'!$E$3:$E$1052,$O127)="","",INDEX('DỮ LIỆU'!$E$3:$E$1052,$O127)))</f>
        <v/>
      </c>
      <c r="F127" s="21" t="str">
        <f aca="false">IF($O127="","",IF(INDEX('DỮ LIỆU'!$F$3:$F$1052,$O127)="","",INDEX('DỮ LIỆU'!$F$3:$F$1052,$O127)))</f>
        <v/>
      </c>
      <c r="G127" s="21" t="str">
        <f aca="false">IF($O127="","",IF(INDEX('DỮ LIỆU'!$H$3:$H$1052,$O127)="","",INDEX('DỮ LIỆU'!$H$3:$H$1052,$O127)))</f>
        <v/>
      </c>
      <c r="H127" s="13" t="str">
        <f aca="false">IF($O127="","",N(INDEX('DỮ LIỆU'!$I$3:$I$1052,$O127)))</f>
        <v/>
      </c>
      <c r="I127" s="13" t="str">
        <f aca="false">IF($O127="","",N(INDEX('DỮ LIỆU'!$J$3:$J$1052,$O127)))</f>
        <v/>
      </c>
      <c r="J127" s="14" t="str">
        <f aca="false">IF($O127="","",N(INDEX('DỮ LIỆU'!$K$3:$K$1052,$O127)))</f>
        <v/>
      </c>
      <c r="K127" s="13" t="str">
        <f aca="false">IF($O127="","",N(INDEX('DỮ LIỆU'!$L$3:$L$1052,$O127)))</f>
        <v/>
      </c>
      <c r="L127" s="13" t="str">
        <f aca="false">IF($O127="","",N(INDEX('DỮ LIỆU'!$M$3:$M$1052,$O127)))</f>
        <v/>
      </c>
      <c r="M127" s="13" t="str">
        <f aca="false">IF($O127="","",N(INDEX('DỮ LIỆU'!$N$3:$N$1052,$O127)))</f>
        <v/>
      </c>
      <c r="N127" s="13" t="str">
        <f aca="false">IF($O127="","",N(INDEX('DỮ LIỆU'!$O$3:$O$1052,$O127)))</f>
        <v/>
      </c>
      <c r="O127" s="0" t="str">
        <f aca="false">IFERROR(MATCH(122,'DỮ LIỆU'!$U$3:$U$1052,0),"")</f>
        <v/>
      </c>
    </row>
    <row r="128" customFormat="false" ht="15" hidden="false" customHeight="false" outlineLevel="0" collapsed="false">
      <c r="A128" s="21" t="str">
        <f aca="false">IF($O128="","",123)</f>
        <v/>
      </c>
      <c r="B128" s="13" t="str">
        <f aca="false">IF($O128="","",INDEX('DỮ LIỆU'!$A$3:$A$1052,$O128))</f>
        <v/>
      </c>
      <c r="C128" s="41" t="str">
        <f aca="false">IF($O128="","",IF(INDEX('DỮ LIỆU'!$B$3:$B$1052,$O128)="","",INDEX('DỮ LIỆU'!$B$3:$B$1052,$O128)))</f>
        <v/>
      </c>
      <c r="D128" s="21" t="str">
        <f aca="false">IF($O128="","",IF(INDEX('DỮ LIỆU'!$C$3:$C$1052,$O128)="","",INDEX('DỮ LIỆU'!$C$3:$C$1052,$O128)))</f>
        <v/>
      </c>
      <c r="E128" s="21" t="str">
        <f aca="false">IF($O128="","",IF(INDEX('DỮ LIỆU'!$E$3:$E$1052,$O128)="","",INDEX('DỮ LIỆU'!$E$3:$E$1052,$O128)))</f>
        <v/>
      </c>
      <c r="F128" s="21" t="str">
        <f aca="false">IF($O128="","",IF(INDEX('DỮ LIỆU'!$F$3:$F$1052,$O128)="","",INDEX('DỮ LIỆU'!$F$3:$F$1052,$O128)))</f>
        <v/>
      </c>
      <c r="G128" s="21" t="str">
        <f aca="false">IF($O128="","",IF(INDEX('DỮ LIỆU'!$H$3:$H$1052,$O128)="","",INDEX('DỮ LIỆU'!$H$3:$H$1052,$O128)))</f>
        <v/>
      </c>
      <c r="H128" s="13" t="str">
        <f aca="false">IF($O128="","",N(INDEX('DỮ LIỆU'!$I$3:$I$1052,$O128)))</f>
        <v/>
      </c>
      <c r="I128" s="13" t="str">
        <f aca="false">IF($O128="","",N(INDEX('DỮ LIỆU'!$J$3:$J$1052,$O128)))</f>
        <v/>
      </c>
      <c r="J128" s="14" t="str">
        <f aca="false">IF($O128="","",N(INDEX('DỮ LIỆU'!$K$3:$K$1052,$O128)))</f>
        <v/>
      </c>
      <c r="K128" s="13" t="str">
        <f aca="false">IF($O128="","",N(INDEX('DỮ LIỆU'!$L$3:$L$1052,$O128)))</f>
        <v/>
      </c>
      <c r="L128" s="13" t="str">
        <f aca="false">IF($O128="","",N(INDEX('DỮ LIỆU'!$M$3:$M$1052,$O128)))</f>
        <v/>
      </c>
      <c r="M128" s="13" t="str">
        <f aca="false">IF($O128="","",N(INDEX('DỮ LIỆU'!$N$3:$N$1052,$O128)))</f>
        <v/>
      </c>
      <c r="N128" s="13" t="str">
        <f aca="false">IF($O128="","",N(INDEX('DỮ LIỆU'!$O$3:$O$1052,$O128)))</f>
        <v/>
      </c>
      <c r="O128" s="0" t="str">
        <f aca="false">IFERROR(MATCH(123,'DỮ LIỆU'!$U$3:$U$1052,0),"")</f>
        <v/>
      </c>
    </row>
    <row r="129" customFormat="false" ht="15" hidden="false" customHeight="false" outlineLevel="0" collapsed="false">
      <c r="A129" s="21" t="str">
        <f aca="false">IF($O129="","",124)</f>
        <v/>
      </c>
      <c r="B129" s="13" t="str">
        <f aca="false">IF($O129="","",INDEX('DỮ LIỆU'!$A$3:$A$1052,$O129))</f>
        <v/>
      </c>
      <c r="C129" s="41" t="str">
        <f aca="false">IF($O129="","",IF(INDEX('DỮ LIỆU'!$B$3:$B$1052,$O129)="","",INDEX('DỮ LIỆU'!$B$3:$B$1052,$O129)))</f>
        <v/>
      </c>
      <c r="D129" s="21" t="str">
        <f aca="false">IF($O129="","",IF(INDEX('DỮ LIỆU'!$C$3:$C$1052,$O129)="","",INDEX('DỮ LIỆU'!$C$3:$C$1052,$O129)))</f>
        <v/>
      </c>
      <c r="E129" s="21" t="str">
        <f aca="false">IF($O129="","",IF(INDEX('DỮ LIỆU'!$E$3:$E$1052,$O129)="","",INDEX('DỮ LIỆU'!$E$3:$E$1052,$O129)))</f>
        <v/>
      </c>
      <c r="F129" s="21" t="str">
        <f aca="false">IF($O129="","",IF(INDEX('DỮ LIỆU'!$F$3:$F$1052,$O129)="","",INDEX('DỮ LIỆU'!$F$3:$F$1052,$O129)))</f>
        <v/>
      </c>
      <c r="G129" s="21" t="str">
        <f aca="false">IF($O129="","",IF(INDEX('DỮ LIỆU'!$H$3:$H$1052,$O129)="","",INDEX('DỮ LIỆU'!$H$3:$H$1052,$O129)))</f>
        <v/>
      </c>
      <c r="H129" s="13" t="str">
        <f aca="false">IF($O129="","",N(INDEX('DỮ LIỆU'!$I$3:$I$1052,$O129)))</f>
        <v/>
      </c>
      <c r="I129" s="13" t="str">
        <f aca="false">IF($O129="","",N(INDEX('DỮ LIỆU'!$J$3:$J$1052,$O129)))</f>
        <v/>
      </c>
      <c r="J129" s="14" t="str">
        <f aca="false">IF($O129="","",N(INDEX('DỮ LIỆU'!$K$3:$K$1052,$O129)))</f>
        <v/>
      </c>
      <c r="K129" s="13" t="str">
        <f aca="false">IF($O129="","",N(INDEX('DỮ LIỆU'!$L$3:$L$1052,$O129)))</f>
        <v/>
      </c>
      <c r="L129" s="13" t="str">
        <f aca="false">IF($O129="","",N(INDEX('DỮ LIỆU'!$M$3:$M$1052,$O129)))</f>
        <v/>
      </c>
      <c r="M129" s="13" t="str">
        <f aca="false">IF($O129="","",N(INDEX('DỮ LIỆU'!$N$3:$N$1052,$O129)))</f>
        <v/>
      </c>
      <c r="N129" s="13" t="str">
        <f aca="false">IF($O129="","",N(INDEX('DỮ LIỆU'!$O$3:$O$1052,$O129)))</f>
        <v/>
      </c>
      <c r="O129" s="0" t="str">
        <f aca="false">IFERROR(MATCH(124,'DỮ LIỆU'!$U$3:$U$1052,0),"")</f>
        <v/>
      </c>
    </row>
    <row r="130" customFormat="false" ht="15" hidden="false" customHeight="false" outlineLevel="0" collapsed="false">
      <c r="A130" s="21" t="str">
        <f aca="false">IF($O130="","",125)</f>
        <v/>
      </c>
      <c r="B130" s="13" t="str">
        <f aca="false">IF($O130="","",INDEX('DỮ LIỆU'!$A$3:$A$1052,$O130))</f>
        <v/>
      </c>
      <c r="C130" s="41" t="str">
        <f aca="false">IF($O130="","",IF(INDEX('DỮ LIỆU'!$B$3:$B$1052,$O130)="","",INDEX('DỮ LIỆU'!$B$3:$B$1052,$O130)))</f>
        <v/>
      </c>
      <c r="D130" s="21" t="str">
        <f aca="false">IF($O130="","",IF(INDEX('DỮ LIỆU'!$C$3:$C$1052,$O130)="","",INDEX('DỮ LIỆU'!$C$3:$C$1052,$O130)))</f>
        <v/>
      </c>
      <c r="E130" s="21" t="str">
        <f aca="false">IF($O130="","",IF(INDEX('DỮ LIỆU'!$E$3:$E$1052,$O130)="","",INDEX('DỮ LIỆU'!$E$3:$E$1052,$O130)))</f>
        <v/>
      </c>
      <c r="F130" s="21" t="str">
        <f aca="false">IF($O130="","",IF(INDEX('DỮ LIỆU'!$F$3:$F$1052,$O130)="","",INDEX('DỮ LIỆU'!$F$3:$F$1052,$O130)))</f>
        <v/>
      </c>
      <c r="G130" s="21" t="str">
        <f aca="false">IF($O130="","",IF(INDEX('DỮ LIỆU'!$H$3:$H$1052,$O130)="","",INDEX('DỮ LIỆU'!$H$3:$H$1052,$O130)))</f>
        <v/>
      </c>
      <c r="H130" s="13" t="str">
        <f aca="false">IF($O130="","",N(INDEX('DỮ LIỆU'!$I$3:$I$1052,$O130)))</f>
        <v/>
      </c>
      <c r="I130" s="13" t="str">
        <f aca="false">IF($O130="","",N(INDEX('DỮ LIỆU'!$J$3:$J$1052,$O130)))</f>
        <v/>
      </c>
      <c r="J130" s="14" t="str">
        <f aca="false">IF($O130="","",N(INDEX('DỮ LIỆU'!$K$3:$K$1052,$O130)))</f>
        <v/>
      </c>
      <c r="K130" s="13" t="str">
        <f aca="false">IF($O130="","",N(INDEX('DỮ LIỆU'!$L$3:$L$1052,$O130)))</f>
        <v/>
      </c>
      <c r="L130" s="13" t="str">
        <f aca="false">IF($O130="","",N(INDEX('DỮ LIỆU'!$M$3:$M$1052,$O130)))</f>
        <v/>
      </c>
      <c r="M130" s="13" t="str">
        <f aca="false">IF($O130="","",N(INDEX('DỮ LIỆU'!$N$3:$N$1052,$O130)))</f>
        <v/>
      </c>
      <c r="N130" s="13" t="str">
        <f aca="false">IF($O130="","",N(INDEX('DỮ LIỆU'!$O$3:$O$1052,$O130)))</f>
        <v/>
      </c>
      <c r="O130" s="0" t="str">
        <f aca="false">IFERROR(MATCH(125,'DỮ LIỆU'!$U$3:$U$1052,0),"")</f>
        <v/>
      </c>
    </row>
    <row r="131" customFormat="false" ht="15" hidden="false" customHeight="false" outlineLevel="0" collapsed="false">
      <c r="A131" s="21" t="str">
        <f aca="false">IF($O131="","",126)</f>
        <v/>
      </c>
      <c r="B131" s="13" t="str">
        <f aca="false">IF($O131="","",INDEX('DỮ LIỆU'!$A$3:$A$1052,$O131))</f>
        <v/>
      </c>
      <c r="C131" s="41" t="str">
        <f aca="false">IF($O131="","",IF(INDEX('DỮ LIỆU'!$B$3:$B$1052,$O131)="","",INDEX('DỮ LIỆU'!$B$3:$B$1052,$O131)))</f>
        <v/>
      </c>
      <c r="D131" s="21" t="str">
        <f aca="false">IF($O131="","",IF(INDEX('DỮ LIỆU'!$C$3:$C$1052,$O131)="","",INDEX('DỮ LIỆU'!$C$3:$C$1052,$O131)))</f>
        <v/>
      </c>
      <c r="E131" s="21" t="str">
        <f aca="false">IF($O131="","",IF(INDEX('DỮ LIỆU'!$E$3:$E$1052,$O131)="","",INDEX('DỮ LIỆU'!$E$3:$E$1052,$O131)))</f>
        <v/>
      </c>
      <c r="F131" s="21" t="str">
        <f aca="false">IF($O131="","",IF(INDEX('DỮ LIỆU'!$F$3:$F$1052,$O131)="","",INDEX('DỮ LIỆU'!$F$3:$F$1052,$O131)))</f>
        <v/>
      </c>
      <c r="G131" s="21" t="str">
        <f aca="false">IF($O131="","",IF(INDEX('DỮ LIỆU'!$H$3:$H$1052,$O131)="","",INDEX('DỮ LIỆU'!$H$3:$H$1052,$O131)))</f>
        <v/>
      </c>
      <c r="H131" s="13" t="str">
        <f aca="false">IF($O131="","",N(INDEX('DỮ LIỆU'!$I$3:$I$1052,$O131)))</f>
        <v/>
      </c>
      <c r="I131" s="13" t="str">
        <f aca="false">IF($O131="","",N(INDEX('DỮ LIỆU'!$J$3:$J$1052,$O131)))</f>
        <v/>
      </c>
      <c r="J131" s="14" t="str">
        <f aca="false">IF($O131="","",N(INDEX('DỮ LIỆU'!$K$3:$K$1052,$O131)))</f>
        <v/>
      </c>
      <c r="K131" s="13" t="str">
        <f aca="false">IF($O131="","",N(INDEX('DỮ LIỆU'!$L$3:$L$1052,$O131)))</f>
        <v/>
      </c>
      <c r="L131" s="13" t="str">
        <f aca="false">IF($O131="","",N(INDEX('DỮ LIỆU'!$M$3:$M$1052,$O131)))</f>
        <v/>
      </c>
      <c r="M131" s="13" t="str">
        <f aca="false">IF($O131="","",N(INDEX('DỮ LIỆU'!$N$3:$N$1052,$O131)))</f>
        <v/>
      </c>
      <c r="N131" s="13" t="str">
        <f aca="false">IF($O131="","",N(INDEX('DỮ LIỆU'!$O$3:$O$1052,$O131)))</f>
        <v/>
      </c>
      <c r="O131" s="0" t="str">
        <f aca="false">IFERROR(MATCH(126,'DỮ LIỆU'!$U$3:$U$1052,0),"")</f>
        <v/>
      </c>
    </row>
    <row r="132" customFormat="false" ht="15" hidden="false" customHeight="false" outlineLevel="0" collapsed="false">
      <c r="A132" s="21" t="str">
        <f aca="false">IF($O132="","",127)</f>
        <v/>
      </c>
      <c r="B132" s="13" t="str">
        <f aca="false">IF($O132="","",INDEX('DỮ LIỆU'!$A$3:$A$1052,$O132))</f>
        <v/>
      </c>
      <c r="C132" s="41" t="str">
        <f aca="false">IF($O132="","",IF(INDEX('DỮ LIỆU'!$B$3:$B$1052,$O132)="","",INDEX('DỮ LIỆU'!$B$3:$B$1052,$O132)))</f>
        <v/>
      </c>
      <c r="D132" s="21" t="str">
        <f aca="false">IF($O132="","",IF(INDEX('DỮ LIỆU'!$C$3:$C$1052,$O132)="","",INDEX('DỮ LIỆU'!$C$3:$C$1052,$O132)))</f>
        <v/>
      </c>
      <c r="E132" s="21" t="str">
        <f aca="false">IF($O132="","",IF(INDEX('DỮ LIỆU'!$E$3:$E$1052,$O132)="","",INDEX('DỮ LIỆU'!$E$3:$E$1052,$O132)))</f>
        <v/>
      </c>
      <c r="F132" s="21" t="str">
        <f aca="false">IF($O132="","",IF(INDEX('DỮ LIỆU'!$F$3:$F$1052,$O132)="","",INDEX('DỮ LIỆU'!$F$3:$F$1052,$O132)))</f>
        <v/>
      </c>
      <c r="G132" s="21" t="str">
        <f aca="false">IF($O132="","",IF(INDEX('DỮ LIỆU'!$H$3:$H$1052,$O132)="","",INDEX('DỮ LIỆU'!$H$3:$H$1052,$O132)))</f>
        <v/>
      </c>
      <c r="H132" s="13" t="str">
        <f aca="false">IF($O132="","",N(INDEX('DỮ LIỆU'!$I$3:$I$1052,$O132)))</f>
        <v/>
      </c>
      <c r="I132" s="13" t="str">
        <f aca="false">IF($O132="","",N(INDEX('DỮ LIỆU'!$J$3:$J$1052,$O132)))</f>
        <v/>
      </c>
      <c r="J132" s="14" t="str">
        <f aca="false">IF($O132="","",N(INDEX('DỮ LIỆU'!$K$3:$K$1052,$O132)))</f>
        <v/>
      </c>
      <c r="K132" s="13" t="str">
        <f aca="false">IF($O132="","",N(INDEX('DỮ LIỆU'!$L$3:$L$1052,$O132)))</f>
        <v/>
      </c>
      <c r="L132" s="13" t="str">
        <f aca="false">IF($O132="","",N(INDEX('DỮ LIỆU'!$M$3:$M$1052,$O132)))</f>
        <v/>
      </c>
      <c r="M132" s="13" t="str">
        <f aca="false">IF($O132="","",N(INDEX('DỮ LIỆU'!$N$3:$N$1052,$O132)))</f>
        <v/>
      </c>
      <c r="N132" s="13" t="str">
        <f aca="false">IF($O132="","",N(INDEX('DỮ LIỆU'!$O$3:$O$1052,$O132)))</f>
        <v/>
      </c>
      <c r="O132" s="0" t="str">
        <f aca="false">IFERROR(MATCH(127,'DỮ LIỆU'!$U$3:$U$1052,0),"")</f>
        <v/>
      </c>
    </row>
    <row r="133" customFormat="false" ht="15" hidden="false" customHeight="false" outlineLevel="0" collapsed="false">
      <c r="A133" s="21" t="str">
        <f aca="false">IF($O133="","",128)</f>
        <v/>
      </c>
      <c r="B133" s="13" t="str">
        <f aca="false">IF($O133="","",INDEX('DỮ LIỆU'!$A$3:$A$1052,$O133))</f>
        <v/>
      </c>
      <c r="C133" s="41" t="str">
        <f aca="false">IF($O133="","",IF(INDEX('DỮ LIỆU'!$B$3:$B$1052,$O133)="","",INDEX('DỮ LIỆU'!$B$3:$B$1052,$O133)))</f>
        <v/>
      </c>
      <c r="D133" s="21" t="str">
        <f aca="false">IF($O133="","",IF(INDEX('DỮ LIỆU'!$C$3:$C$1052,$O133)="","",INDEX('DỮ LIỆU'!$C$3:$C$1052,$O133)))</f>
        <v/>
      </c>
      <c r="E133" s="21" t="str">
        <f aca="false">IF($O133="","",IF(INDEX('DỮ LIỆU'!$E$3:$E$1052,$O133)="","",INDEX('DỮ LIỆU'!$E$3:$E$1052,$O133)))</f>
        <v/>
      </c>
      <c r="F133" s="21" t="str">
        <f aca="false">IF($O133="","",IF(INDEX('DỮ LIỆU'!$F$3:$F$1052,$O133)="","",INDEX('DỮ LIỆU'!$F$3:$F$1052,$O133)))</f>
        <v/>
      </c>
      <c r="G133" s="21" t="str">
        <f aca="false">IF($O133="","",IF(INDEX('DỮ LIỆU'!$H$3:$H$1052,$O133)="","",INDEX('DỮ LIỆU'!$H$3:$H$1052,$O133)))</f>
        <v/>
      </c>
      <c r="H133" s="13" t="str">
        <f aca="false">IF($O133="","",N(INDEX('DỮ LIỆU'!$I$3:$I$1052,$O133)))</f>
        <v/>
      </c>
      <c r="I133" s="13" t="str">
        <f aca="false">IF($O133="","",N(INDEX('DỮ LIỆU'!$J$3:$J$1052,$O133)))</f>
        <v/>
      </c>
      <c r="J133" s="14" t="str">
        <f aca="false">IF($O133="","",N(INDEX('DỮ LIỆU'!$K$3:$K$1052,$O133)))</f>
        <v/>
      </c>
      <c r="K133" s="13" t="str">
        <f aca="false">IF($O133="","",N(INDEX('DỮ LIỆU'!$L$3:$L$1052,$O133)))</f>
        <v/>
      </c>
      <c r="L133" s="13" t="str">
        <f aca="false">IF($O133="","",N(INDEX('DỮ LIỆU'!$M$3:$M$1052,$O133)))</f>
        <v/>
      </c>
      <c r="M133" s="13" t="str">
        <f aca="false">IF($O133="","",N(INDEX('DỮ LIỆU'!$N$3:$N$1052,$O133)))</f>
        <v/>
      </c>
      <c r="N133" s="13" t="str">
        <f aca="false">IF($O133="","",N(INDEX('DỮ LIỆU'!$O$3:$O$1052,$O133)))</f>
        <v/>
      </c>
      <c r="O133" s="0" t="str">
        <f aca="false">IFERROR(MATCH(128,'DỮ LIỆU'!$U$3:$U$1052,0),"")</f>
        <v/>
      </c>
    </row>
    <row r="134" customFormat="false" ht="15" hidden="false" customHeight="false" outlineLevel="0" collapsed="false">
      <c r="A134" s="21" t="str">
        <f aca="false">IF($O134="","",129)</f>
        <v/>
      </c>
      <c r="B134" s="13" t="str">
        <f aca="false">IF($O134="","",INDEX('DỮ LIỆU'!$A$3:$A$1052,$O134))</f>
        <v/>
      </c>
      <c r="C134" s="41" t="str">
        <f aca="false">IF($O134="","",IF(INDEX('DỮ LIỆU'!$B$3:$B$1052,$O134)="","",INDEX('DỮ LIỆU'!$B$3:$B$1052,$O134)))</f>
        <v/>
      </c>
      <c r="D134" s="21" t="str">
        <f aca="false">IF($O134="","",IF(INDEX('DỮ LIỆU'!$C$3:$C$1052,$O134)="","",INDEX('DỮ LIỆU'!$C$3:$C$1052,$O134)))</f>
        <v/>
      </c>
      <c r="E134" s="21" t="str">
        <f aca="false">IF($O134="","",IF(INDEX('DỮ LIỆU'!$E$3:$E$1052,$O134)="","",INDEX('DỮ LIỆU'!$E$3:$E$1052,$O134)))</f>
        <v/>
      </c>
      <c r="F134" s="21" t="str">
        <f aca="false">IF($O134="","",IF(INDEX('DỮ LIỆU'!$F$3:$F$1052,$O134)="","",INDEX('DỮ LIỆU'!$F$3:$F$1052,$O134)))</f>
        <v/>
      </c>
      <c r="G134" s="21" t="str">
        <f aca="false">IF($O134="","",IF(INDEX('DỮ LIỆU'!$H$3:$H$1052,$O134)="","",INDEX('DỮ LIỆU'!$H$3:$H$1052,$O134)))</f>
        <v/>
      </c>
      <c r="H134" s="13" t="str">
        <f aca="false">IF($O134="","",N(INDEX('DỮ LIỆU'!$I$3:$I$1052,$O134)))</f>
        <v/>
      </c>
      <c r="I134" s="13" t="str">
        <f aca="false">IF($O134="","",N(INDEX('DỮ LIỆU'!$J$3:$J$1052,$O134)))</f>
        <v/>
      </c>
      <c r="J134" s="14" t="str">
        <f aca="false">IF($O134="","",N(INDEX('DỮ LIỆU'!$K$3:$K$1052,$O134)))</f>
        <v/>
      </c>
      <c r="K134" s="13" t="str">
        <f aca="false">IF($O134="","",N(INDEX('DỮ LIỆU'!$L$3:$L$1052,$O134)))</f>
        <v/>
      </c>
      <c r="L134" s="13" t="str">
        <f aca="false">IF($O134="","",N(INDEX('DỮ LIỆU'!$M$3:$M$1052,$O134)))</f>
        <v/>
      </c>
      <c r="M134" s="13" t="str">
        <f aca="false">IF($O134="","",N(INDEX('DỮ LIỆU'!$N$3:$N$1052,$O134)))</f>
        <v/>
      </c>
      <c r="N134" s="13" t="str">
        <f aca="false">IF($O134="","",N(INDEX('DỮ LIỆU'!$O$3:$O$1052,$O134)))</f>
        <v/>
      </c>
      <c r="O134" s="0" t="str">
        <f aca="false">IFERROR(MATCH(129,'DỮ LIỆU'!$U$3:$U$1052,0),"")</f>
        <v/>
      </c>
    </row>
    <row r="135" customFormat="false" ht="15" hidden="false" customHeight="false" outlineLevel="0" collapsed="false">
      <c r="A135" s="21" t="str">
        <f aca="false">IF($O135="","",130)</f>
        <v/>
      </c>
      <c r="B135" s="13" t="str">
        <f aca="false">IF($O135="","",INDEX('DỮ LIỆU'!$A$3:$A$1052,$O135))</f>
        <v/>
      </c>
      <c r="C135" s="41" t="str">
        <f aca="false">IF($O135="","",IF(INDEX('DỮ LIỆU'!$B$3:$B$1052,$O135)="","",INDEX('DỮ LIỆU'!$B$3:$B$1052,$O135)))</f>
        <v/>
      </c>
      <c r="D135" s="21" t="str">
        <f aca="false">IF($O135="","",IF(INDEX('DỮ LIỆU'!$C$3:$C$1052,$O135)="","",INDEX('DỮ LIỆU'!$C$3:$C$1052,$O135)))</f>
        <v/>
      </c>
      <c r="E135" s="21" t="str">
        <f aca="false">IF($O135="","",IF(INDEX('DỮ LIỆU'!$E$3:$E$1052,$O135)="","",INDEX('DỮ LIỆU'!$E$3:$E$1052,$O135)))</f>
        <v/>
      </c>
      <c r="F135" s="21" t="str">
        <f aca="false">IF($O135="","",IF(INDEX('DỮ LIỆU'!$F$3:$F$1052,$O135)="","",INDEX('DỮ LIỆU'!$F$3:$F$1052,$O135)))</f>
        <v/>
      </c>
      <c r="G135" s="21" t="str">
        <f aca="false">IF($O135="","",IF(INDEX('DỮ LIỆU'!$H$3:$H$1052,$O135)="","",INDEX('DỮ LIỆU'!$H$3:$H$1052,$O135)))</f>
        <v/>
      </c>
      <c r="H135" s="13" t="str">
        <f aca="false">IF($O135="","",N(INDEX('DỮ LIỆU'!$I$3:$I$1052,$O135)))</f>
        <v/>
      </c>
      <c r="I135" s="13" t="str">
        <f aca="false">IF($O135="","",N(INDEX('DỮ LIỆU'!$J$3:$J$1052,$O135)))</f>
        <v/>
      </c>
      <c r="J135" s="14" t="str">
        <f aca="false">IF($O135="","",N(INDEX('DỮ LIỆU'!$K$3:$K$1052,$O135)))</f>
        <v/>
      </c>
      <c r="K135" s="13" t="str">
        <f aca="false">IF($O135="","",N(INDEX('DỮ LIỆU'!$L$3:$L$1052,$O135)))</f>
        <v/>
      </c>
      <c r="L135" s="13" t="str">
        <f aca="false">IF($O135="","",N(INDEX('DỮ LIỆU'!$M$3:$M$1052,$O135)))</f>
        <v/>
      </c>
      <c r="M135" s="13" t="str">
        <f aca="false">IF($O135="","",N(INDEX('DỮ LIỆU'!$N$3:$N$1052,$O135)))</f>
        <v/>
      </c>
      <c r="N135" s="13" t="str">
        <f aca="false">IF($O135="","",N(INDEX('DỮ LIỆU'!$O$3:$O$1052,$O135)))</f>
        <v/>
      </c>
      <c r="O135" s="0" t="str">
        <f aca="false">IFERROR(MATCH(130,'DỮ LIỆU'!$U$3:$U$1052,0),"")</f>
        <v/>
      </c>
    </row>
    <row r="136" customFormat="false" ht="15" hidden="false" customHeight="false" outlineLevel="0" collapsed="false">
      <c r="A136" s="21" t="str">
        <f aca="false">IF($O136="","",131)</f>
        <v/>
      </c>
      <c r="B136" s="13" t="str">
        <f aca="false">IF($O136="","",INDEX('DỮ LIỆU'!$A$3:$A$1052,$O136))</f>
        <v/>
      </c>
      <c r="C136" s="41" t="str">
        <f aca="false">IF($O136="","",IF(INDEX('DỮ LIỆU'!$B$3:$B$1052,$O136)="","",INDEX('DỮ LIỆU'!$B$3:$B$1052,$O136)))</f>
        <v/>
      </c>
      <c r="D136" s="21" t="str">
        <f aca="false">IF($O136="","",IF(INDEX('DỮ LIỆU'!$C$3:$C$1052,$O136)="","",INDEX('DỮ LIỆU'!$C$3:$C$1052,$O136)))</f>
        <v/>
      </c>
      <c r="E136" s="21" t="str">
        <f aca="false">IF($O136="","",IF(INDEX('DỮ LIỆU'!$E$3:$E$1052,$O136)="","",INDEX('DỮ LIỆU'!$E$3:$E$1052,$O136)))</f>
        <v/>
      </c>
      <c r="F136" s="21" t="str">
        <f aca="false">IF($O136="","",IF(INDEX('DỮ LIỆU'!$F$3:$F$1052,$O136)="","",INDEX('DỮ LIỆU'!$F$3:$F$1052,$O136)))</f>
        <v/>
      </c>
      <c r="G136" s="21" t="str">
        <f aca="false">IF($O136="","",IF(INDEX('DỮ LIỆU'!$H$3:$H$1052,$O136)="","",INDEX('DỮ LIỆU'!$H$3:$H$1052,$O136)))</f>
        <v/>
      </c>
      <c r="H136" s="13" t="str">
        <f aca="false">IF($O136="","",N(INDEX('DỮ LIỆU'!$I$3:$I$1052,$O136)))</f>
        <v/>
      </c>
      <c r="I136" s="13" t="str">
        <f aca="false">IF($O136="","",N(INDEX('DỮ LIỆU'!$J$3:$J$1052,$O136)))</f>
        <v/>
      </c>
      <c r="J136" s="14" t="str">
        <f aca="false">IF($O136="","",N(INDEX('DỮ LIỆU'!$K$3:$K$1052,$O136)))</f>
        <v/>
      </c>
      <c r="K136" s="13" t="str">
        <f aca="false">IF($O136="","",N(INDEX('DỮ LIỆU'!$L$3:$L$1052,$O136)))</f>
        <v/>
      </c>
      <c r="L136" s="13" t="str">
        <f aca="false">IF($O136="","",N(INDEX('DỮ LIỆU'!$M$3:$M$1052,$O136)))</f>
        <v/>
      </c>
      <c r="M136" s="13" t="str">
        <f aca="false">IF($O136="","",N(INDEX('DỮ LIỆU'!$N$3:$N$1052,$O136)))</f>
        <v/>
      </c>
      <c r="N136" s="13" t="str">
        <f aca="false">IF($O136="","",N(INDEX('DỮ LIỆU'!$O$3:$O$1052,$O136)))</f>
        <v/>
      </c>
      <c r="O136" s="0" t="str">
        <f aca="false">IFERROR(MATCH(131,'DỮ LIỆU'!$U$3:$U$1052,0),"")</f>
        <v/>
      </c>
    </row>
    <row r="137" customFormat="false" ht="15" hidden="false" customHeight="false" outlineLevel="0" collapsed="false">
      <c r="A137" s="21" t="str">
        <f aca="false">IF($O137="","",132)</f>
        <v/>
      </c>
      <c r="B137" s="13" t="str">
        <f aca="false">IF($O137="","",INDEX('DỮ LIỆU'!$A$3:$A$1052,$O137))</f>
        <v/>
      </c>
      <c r="C137" s="41" t="str">
        <f aca="false">IF($O137="","",IF(INDEX('DỮ LIỆU'!$B$3:$B$1052,$O137)="","",INDEX('DỮ LIỆU'!$B$3:$B$1052,$O137)))</f>
        <v/>
      </c>
      <c r="D137" s="21" t="str">
        <f aca="false">IF($O137="","",IF(INDEX('DỮ LIỆU'!$C$3:$C$1052,$O137)="","",INDEX('DỮ LIỆU'!$C$3:$C$1052,$O137)))</f>
        <v/>
      </c>
      <c r="E137" s="21" t="str">
        <f aca="false">IF($O137="","",IF(INDEX('DỮ LIỆU'!$E$3:$E$1052,$O137)="","",INDEX('DỮ LIỆU'!$E$3:$E$1052,$O137)))</f>
        <v/>
      </c>
      <c r="F137" s="21" t="str">
        <f aca="false">IF($O137="","",IF(INDEX('DỮ LIỆU'!$F$3:$F$1052,$O137)="","",INDEX('DỮ LIỆU'!$F$3:$F$1052,$O137)))</f>
        <v/>
      </c>
      <c r="G137" s="21" t="str">
        <f aca="false">IF($O137="","",IF(INDEX('DỮ LIỆU'!$H$3:$H$1052,$O137)="","",INDEX('DỮ LIỆU'!$H$3:$H$1052,$O137)))</f>
        <v/>
      </c>
      <c r="H137" s="13" t="str">
        <f aca="false">IF($O137="","",N(INDEX('DỮ LIỆU'!$I$3:$I$1052,$O137)))</f>
        <v/>
      </c>
      <c r="I137" s="13" t="str">
        <f aca="false">IF($O137="","",N(INDEX('DỮ LIỆU'!$J$3:$J$1052,$O137)))</f>
        <v/>
      </c>
      <c r="J137" s="14" t="str">
        <f aca="false">IF($O137="","",N(INDEX('DỮ LIỆU'!$K$3:$K$1052,$O137)))</f>
        <v/>
      </c>
      <c r="K137" s="13" t="str">
        <f aca="false">IF($O137="","",N(INDEX('DỮ LIỆU'!$L$3:$L$1052,$O137)))</f>
        <v/>
      </c>
      <c r="L137" s="13" t="str">
        <f aca="false">IF($O137="","",N(INDEX('DỮ LIỆU'!$M$3:$M$1052,$O137)))</f>
        <v/>
      </c>
      <c r="M137" s="13" t="str">
        <f aca="false">IF($O137="","",N(INDEX('DỮ LIỆU'!$N$3:$N$1052,$O137)))</f>
        <v/>
      </c>
      <c r="N137" s="13" t="str">
        <f aca="false">IF($O137="","",N(INDEX('DỮ LIỆU'!$O$3:$O$1052,$O137)))</f>
        <v/>
      </c>
      <c r="O137" s="0" t="str">
        <f aca="false">IFERROR(MATCH(132,'DỮ LIỆU'!$U$3:$U$1052,0),"")</f>
        <v/>
      </c>
    </row>
    <row r="138" customFormat="false" ht="15" hidden="false" customHeight="false" outlineLevel="0" collapsed="false">
      <c r="A138" s="21" t="str">
        <f aca="false">IF($O138="","",133)</f>
        <v/>
      </c>
      <c r="B138" s="13" t="str">
        <f aca="false">IF($O138="","",INDEX('DỮ LIỆU'!$A$3:$A$1052,$O138))</f>
        <v/>
      </c>
      <c r="C138" s="41" t="str">
        <f aca="false">IF($O138="","",IF(INDEX('DỮ LIỆU'!$B$3:$B$1052,$O138)="","",INDEX('DỮ LIỆU'!$B$3:$B$1052,$O138)))</f>
        <v/>
      </c>
      <c r="D138" s="21" t="str">
        <f aca="false">IF($O138="","",IF(INDEX('DỮ LIỆU'!$C$3:$C$1052,$O138)="","",INDEX('DỮ LIỆU'!$C$3:$C$1052,$O138)))</f>
        <v/>
      </c>
      <c r="E138" s="21" t="str">
        <f aca="false">IF($O138="","",IF(INDEX('DỮ LIỆU'!$E$3:$E$1052,$O138)="","",INDEX('DỮ LIỆU'!$E$3:$E$1052,$O138)))</f>
        <v/>
      </c>
      <c r="F138" s="21" t="str">
        <f aca="false">IF($O138="","",IF(INDEX('DỮ LIỆU'!$F$3:$F$1052,$O138)="","",INDEX('DỮ LIỆU'!$F$3:$F$1052,$O138)))</f>
        <v/>
      </c>
      <c r="G138" s="21" t="str">
        <f aca="false">IF($O138="","",IF(INDEX('DỮ LIỆU'!$H$3:$H$1052,$O138)="","",INDEX('DỮ LIỆU'!$H$3:$H$1052,$O138)))</f>
        <v/>
      </c>
      <c r="H138" s="13" t="str">
        <f aca="false">IF($O138="","",N(INDEX('DỮ LIỆU'!$I$3:$I$1052,$O138)))</f>
        <v/>
      </c>
      <c r="I138" s="13" t="str">
        <f aca="false">IF($O138="","",N(INDEX('DỮ LIỆU'!$J$3:$J$1052,$O138)))</f>
        <v/>
      </c>
      <c r="J138" s="14" t="str">
        <f aca="false">IF($O138="","",N(INDEX('DỮ LIỆU'!$K$3:$K$1052,$O138)))</f>
        <v/>
      </c>
      <c r="K138" s="13" t="str">
        <f aca="false">IF($O138="","",N(INDEX('DỮ LIỆU'!$L$3:$L$1052,$O138)))</f>
        <v/>
      </c>
      <c r="L138" s="13" t="str">
        <f aca="false">IF($O138="","",N(INDEX('DỮ LIỆU'!$M$3:$M$1052,$O138)))</f>
        <v/>
      </c>
      <c r="M138" s="13" t="str">
        <f aca="false">IF($O138="","",N(INDEX('DỮ LIỆU'!$N$3:$N$1052,$O138)))</f>
        <v/>
      </c>
      <c r="N138" s="13" t="str">
        <f aca="false">IF($O138="","",N(INDEX('DỮ LIỆU'!$O$3:$O$1052,$O138)))</f>
        <v/>
      </c>
      <c r="O138" s="0" t="str">
        <f aca="false">IFERROR(MATCH(133,'DỮ LIỆU'!$U$3:$U$1052,0),"")</f>
        <v/>
      </c>
    </row>
    <row r="139" customFormat="false" ht="15" hidden="false" customHeight="false" outlineLevel="0" collapsed="false">
      <c r="A139" s="21" t="str">
        <f aca="false">IF($O139="","",134)</f>
        <v/>
      </c>
      <c r="B139" s="13" t="str">
        <f aca="false">IF($O139="","",INDEX('DỮ LIỆU'!$A$3:$A$1052,$O139))</f>
        <v/>
      </c>
      <c r="C139" s="41" t="str">
        <f aca="false">IF($O139="","",IF(INDEX('DỮ LIỆU'!$B$3:$B$1052,$O139)="","",INDEX('DỮ LIỆU'!$B$3:$B$1052,$O139)))</f>
        <v/>
      </c>
      <c r="D139" s="21" t="str">
        <f aca="false">IF($O139="","",IF(INDEX('DỮ LIỆU'!$C$3:$C$1052,$O139)="","",INDEX('DỮ LIỆU'!$C$3:$C$1052,$O139)))</f>
        <v/>
      </c>
      <c r="E139" s="21" t="str">
        <f aca="false">IF($O139="","",IF(INDEX('DỮ LIỆU'!$E$3:$E$1052,$O139)="","",INDEX('DỮ LIỆU'!$E$3:$E$1052,$O139)))</f>
        <v/>
      </c>
      <c r="F139" s="21" t="str">
        <f aca="false">IF($O139="","",IF(INDEX('DỮ LIỆU'!$F$3:$F$1052,$O139)="","",INDEX('DỮ LIỆU'!$F$3:$F$1052,$O139)))</f>
        <v/>
      </c>
      <c r="G139" s="21" t="str">
        <f aca="false">IF($O139="","",IF(INDEX('DỮ LIỆU'!$H$3:$H$1052,$O139)="","",INDEX('DỮ LIỆU'!$H$3:$H$1052,$O139)))</f>
        <v/>
      </c>
      <c r="H139" s="13" t="str">
        <f aca="false">IF($O139="","",N(INDEX('DỮ LIỆU'!$I$3:$I$1052,$O139)))</f>
        <v/>
      </c>
      <c r="I139" s="13" t="str">
        <f aca="false">IF($O139="","",N(INDEX('DỮ LIỆU'!$J$3:$J$1052,$O139)))</f>
        <v/>
      </c>
      <c r="J139" s="14" t="str">
        <f aca="false">IF($O139="","",N(INDEX('DỮ LIỆU'!$K$3:$K$1052,$O139)))</f>
        <v/>
      </c>
      <c r="K139" s="13" t="str">
        <f aca="false">IF($O139="","",N(INDEX('DỮ LIỆU'!$L$3:$L$1052,$O139)))</f>
        <v/>
      </c>
      <c r="L139" s="13" t="str">
        <f aca="false">IF($O139="","",N(INDEX('DỮ LIỆU'!$M$3:$M$1052,$O139)))</f>
        <v/>
      </c>
      <c r="M139" s="13" t="str">
        <f aca="false">IF($O139="","",N(INDEX('DỮ LIỆU'!$N$3:$N$1052,$O139)))</f>
        <v/>
      </c>
      <c r="N139" s="13" t="str">
        <f aca="false">IF($O139="","",N(INDEX('DỮ LIỆU'!$O$3:$O$1052,$O139)))</f>
        <v/>
      </c>
      <c r="O139" s="0" t="str">
        <f aca="false">IFERROR(MATCH(134,'DỮ LIỆU'!$U$3:$U$1052,0),"")</f>
        <v/>
      </c>
    </row>
    <row r="140" customFormat="false" ht="15" hidden="false" customHeight="false" outlineLevel="0" collapsed="false">
      <c r="A140" s="21" t="str">
        <f aca="false">IF($O140="","",135)</f>
        <v/>
      </c>
      <c r="B140" s="13" t="str">
        <f aca="false">IF($O140="","",INDEX('DỮ LIỆU'!$A$3:$A$1052,$O140))</f>
        <v/>
      </c>
      <c r="C140" s="41" t="str">
        <f aca="false">IF($O140="","",IF(INDEX('DỮ LIỆU'!$B$3:$B$1052,$O140)="","",INDEX('DỮ LIỆU'!$B$3:$B$1052,$O140)))</f>
        <v/>
      </c>
      <c r="D140" s="21" t="str">
        <f aca="false">IF($O140="","",IF(INDEX('DỮ LIỆU'!$C$3:$C$1052,$O140)="","",INDEX('DỮ LIỆU'!$C$3:$C$1052,$O140)))</f>
        <v/>
      </c>
      <c r="E140" s="21" t="str">
        <f aca="false">IF($O140="","",IF(INDEX('DỮ LIỆU'!$E$3:$E$1052,$O140)="","",INDEX('DỮ LIỆU'!$E$3:$E$1052,$O140)))</f>
        <v/>
      </c>
      <c r="F140" s="21" t="str">
        <f aca="false">IF($O140="","",IF(INDEX('DỮ LIỆU'!$F$3:$F$1052,$O140)="","",INDEX('DỮ LIỆU'!$F$3:$F$1052,$O140)))</f>
        <v/>
      </c>
      <c r="G140" s="21" t="str">
        <f aca="false">IF($O140="","",IF(INDEX('DỮ LIỆU'!$H$3:$H$1052,$O140)="","",INDEX('DỮ LIỆU'!$H$3:$H$1052,$O140)))</f>
        <v/>
      </c>
      <c r="H140" s="13" t="str">
        <f aca="false">IF($O140="","",N(INDEX('DỮ LIỆU'!$I$3:$I$1052,$O140)))</f>
        <v/>
      </c>
      <c r="I140" s="13" t="str">
        <f aca="false">IF($O140="","",N(INDEX('DỮ LIỆU'!$J$3:$J$1052,$O140)))</f>
        <v/>
      </c>
      <c r="J140" s="14" t="str">
        <f aca="false">IF($O140="","",N(INDEX('DỮ LIỆU'!$K$3:$K$1052,$O140)))</f>
        <v/>
      </c>
      <c r="K140" s="13" t="str">
        <f aca="false">IF($O140="","",N(INDEX('DỮ LIỆU'!$L$3:$L$1052,$O140)))</f>
        <v/>
      </c>
      <c r="L140" s="13" t="str">
        <f aca="false">IF($O140="","",N(INDEX('DỮ LIỆU'!$M$3:$M$1052,$O140)))</f>
        <v/>
      </c>
      <c r="M140" s="13" t="str">
        <f aca="false">IF($O140="","",N(INDEX('DỮ LIỆU'!$N$3:$N$1052,$O140)))</f>
        <v/>
      </c>
      <c r="N140" s="13" t="str">
        <f aca="false">IF($O140="","",N(INDEX('DỮ LIỆU'!$O$3:$O$1052,$O140)))</f>
        <v/>
      </c>
      <c r="O140" s="0" t="str">
        <f aca="false">IFERROR(MATCH(135,'DỮ LIỆU'!$U$3:$U$1052,0),"")</f>
        <v/>
      </c>
    </row>
    <row r="141" customFormat="false" ht="15" hidden="false" customHeight="false" outlineLevel="0" collapsed="false">
      <c r="A141" s="21" t="str">
        <f aca="false">IF($O141="","",136)</f>
        <v/>
      </c>
      <c r="B141" s="13" t="str">
        <f aca="false">IF($O141="","",INDEX('DỮ LIỆU'!$A$3:$A$1052,$O141))</f>
        <v/>
      </c>
      <c r="C141" s="41" t="str">
        <f aca="false">IF($O141="","",IF(INDEX('DỮ LIỆU'!$B$3:$B$1052,$O141)="","",INDEX('DỮ LIỆU'!$B$3:$B$1052,$O141)))</f>
        <v/>
      </c>
      <c r="D141" s="21" t="str">
        <f aca="false">IF($O141="","",IF(INDEX('DỮ LIỆU'!$C$3:$C$1052,$O141)="","",INDEX('DỮ LIỆU'!$C$3:$C$1052,$O141)))</f>
        <v/>
      </c>
      <c r="E141" s="21" t="str">
        <f aca="false">IF($O141="","",IF(INDEX('DỮ LIỆU'!$E$3:$E$1052,$O141)="","",INDEX('DỮ LIỆU'!$E$3:$E$1052,$O141)))</f>
        <v/>
      </c>
      <c r="F141" s="21" t="str">
        <f aca="false">IF($O141="","",IF(INDEX('DỮ LIỆU'!$F$3:$F$1052,$O141)="","",INDEX('DỮ LIỆU'!$F$3:$F$1052,$O141)))</f>
        <v/>
      </c>
      <c r="G141" s="21" t="str">
        <f aca="false">IF($O141="","",IF(INDEX('DỮ LIỆU'!$H$3:$H$1052,$O141)="","",INDEX('DỮ LIỆU'!$H$3:$H$1052,$O141)))</f>
        <v/>
      </c>
      <c r="H141" s="13" t="str">
        <f aca="false">IF($O141="","",N(INDEX('DỮ LIỆU'!$I$3:$I$1052,$O141)))</f>
        <v/>
      </c>
      <c r="I141" s="13" t="str">
        <f aca="false">IF($O141="","",N(INDEX('DỮ LIỆU'!$J$3:$J$1052,$O141)))</f>
        <v/>
      </c>
      <c r="J141" s="14" t="str">
        <f aca="false">IF($O141="","",N(INDEX('DỮ LIỆU'!$K$3:$K$1052,$O141)))</f>
        <v/>
      </c>
      <c r="K141" s="13" t="str">
        <f aca="false">IF($O141="","",N(INDEX('DỮ LIỆU'!$L$3:$L$1052,$O141)))</f>
        <v/>
      </c>
      <c r="L141" s="13" t="str">
        <f aca="false">IF($O141="","",N(INDEX('DỮ LIỆU'!$M$3:$M$1052,$O141)))</f>
        <v/>
      </c>
      <c r="M141" s="13" t="str">
        <f aca="false">IF($O141="","",N(INDEX('DỮ LIỆU'!$N$3:$N$1052,$O141)))</f>
        <v/>
      </c>
      <c r="N141" s="13" t="str">
        <f aca="false">IF($O141="","",N(INDEX('DỮ LIỆU'!$O$3:$O$1052,$O141)))</f>
        <v/>
      </c>
      <c r="O141" s="0" t="str">
        <f aca="false">IFERROR(MATCH(136,'DỮ LIỆU'!$U$3:$U$1052,0),"")</f>
        <v/>
      </c>
    </row>
    <row r="142" customFormat="false" ht="15" hidden="false" customHeight="false" outlineLevel="0" collapsed="false">
      <c r="A142" s="21" t="str">
        <f aca="false">IF($O142="","",137)</f>
        <v/>
      </c>
      <c r="B142" s="13" t="str">
        <f aca="false">IF($O142="","",INDEX('DỮ LIỆU'!$A$3:$A$1052,$O142))</f>
        <v/>
      </c>
      <c r="C142" s="41" t="str">
        <f aca="false">IF($O142="","",IF(INDEX('DỮ LIỆU'!$B$3:$B$1052,$O142)="","",INDEX('DỮ LIỆU'!$B$3:$B$1052,$O142)))</f>
        <v/>
      </c>
      <c r="D142" s="21" t="str">
        <f aca="false">IF($O142="","",IF(INDEX('DỮ LIỆU'!$C$3:$C$1052,$O142)="","",INDEX('DỮ LIỆU'!$C$3:$C$1052,$O142)))</f>
        <v/>
      </c>
      <c r="E142" s="21" t="str">
        <f aca="false">IF($O142="","",IF(INDEX('DỮ LIỆU'!$E$3:$E$1052,$O142)="","",INDEX('DỮ LIỆU'!$E$3:$E$1052,$O142)))</f>
        <v/>
      </c>
      <c r="F142" s="21" t="str">
        <f aca="false">IF($O142="","",IF(INDEX('DỮ LIỆU'!$F$3:$F$1052,$O142)="","",INDEX('DỮ LIỆU'!$F$3:$F$1052,$O142)))</f>
        <v/>
      </c>
      <c r="G142" s="21" t="str">
        <f aca="false">IF($O142="","",IF(INDEX('DỮ LIỆU'!$H$3:$H$1052,$O142)="","",INDEX('DỮ LIỆU'!$H$3:$H$1052,$O142)))</f>
        <v/>
      </c>
      <c r="H142" s="13" t="str">
        <f aca="false">IF($O142="","",N(INDEX('DỮ LIỆU'!$I$3:$I$1052,$O142)))</f>
        <v/>
      </c>
      <c r="I142" s="13" t="str">
        <f aca="false">IF($O142="","",N(INDEX('DỮ LIỆU'!$J$3:$J$1052,$O142)))</f>
        <v/>
      </c>
      <c r="J142" s="14" t="str">
        <f aca="false">IF($O142="","",N(INDEX('DỮ LIỆU'!$K$3:$K$1052,$O142)))</f>
        <v/>
      </c>
      <c r="K142" s="13" t="str">
        <f aca="false">IF($O142="","",N(INDEX('DỮ LIỆU'!$L$3:$L$1052,$O142)))</f>
        <v/>
      </c>
      <c r="L142" s="13" t="str">
        <f aca="false">IF($O142="","",N(INDEX('DỮ LIỆU'!$M$3:$M$1052,$O142)))</f>
        <v/>
      </c>
      <c r="M142" s="13" t="str">
        <f aca="false">IF($O142="","",N(INDEX('DỮ LIỆU'!$N$3:$N$1052,$O142)))</f>
        <v/>
      </c>
      <c r="N142" s="13" t="str">
        <f aca="false">IF($O142="","",N(INDEX('DỮ LIỆU'!$O$3:$O$1052,$O142)))</f>
        <v/>
      </c>
      <c r="O142" s="0" t="str">
        <f aca="false">IFERROR(MATCH(137,'DỮ LIỆU'!$U$3:$U$1052,0),"")</f>
        <v/>
      </c>
    </row>
    <row r="143" customFormat="false" ht="15" hidden="false" customHeight="false" outlineLevel="0" collapsed="false">
      <c r="A143" s="21" t="str">
        <f aca="false">IF($O143="","",138)</f>
        <v/>
      </c>
      <c r="B143" s="13" t="str">
        <f aca="false">IF($O143="","",INDEX('DỮ LIỆU'!$A$3:$A$1052,$O143))</f>
        <v/>
      </c>
      <c r="C143" s="41" t="str">
        <f aca="false">IF($O143="","",IF(INDEX('DỮ LIỆU'!$B$3:$B$1052,$O143)="","",INDEX('DỮ LIỆU'!$B$3:$B$1052,$O143)))</f>
        <v/>
      </c>
      <c r="D143" s="21" t="str">
        <f aca="false">IF($O143="","",IF(INDEX('DỮ LIỆU'!$C$3:$C$1052,$O143)="","",INDEX('DỮ LIỆU'!$C$3:$C$1052,$O143)))</f>
        <v/>
      </c>
      <c r="E143" s="21" t="str">
        <f aca="false">IF($O143="","",IF(INDEX('DỮ LIỆU'!$E$3:$E$1052,$O143)="","",INDEX('DỮ LIỆU'!$E$3:$E$1052,$O143)))</f>
        <v/>
      </c>
      <c r="F143" s="21" t="str">
        <f aca="false">IF($O143="","",IF(INDEX('DỮ LIỆU'!$F$3:$F$1052,$O143)="","",INDEX('DỮ LIỆU'!$F$3:$F$1052,$O143)))</f>
        <v/>
      </c>
      <c r="G143" s="21" t="str">
        <f aca="false">IF($O143="","",IF(INDEX('DỮ LIỆU'!$H$3:$H$1052,$O143)="","",INDEX('DỮ LIỆU'!$H$3:$H$1052,$O143)))</f>
        <v/>
      </c>
      <c r="H143" s="13" t="str">
        <f aca="false">IF($O143="","",N(INDEX('DỮ LIỆU'!$I$3:$I$1052,$O143)))</f>
        <v/>
      </c>
      <c r="I143" s="13" t="str">
        <f aca="false">IF($O143="","",N(INDEX('DỮ LIỆU'!$J$3:$J$1052,$O143)))</f>
        <v/>
      </c>
      <c r="J143" s="14" t="str">
        <f aca="false">IF($O143="","",N(INDEX('DỮ LIỆU'!$K$3:$K$1052,$O143)))</f>
        <v/>
      </c>
      <c r="K143" s="13" t="str">
        <f aca="false">IF($O143="","",N(INDEX('DỮ LIỆU'!$L$3:$L$1052,$O143)))</f>
        <v/>
      </c>
      <c r="L143" s="13" t="str">
        <f aca="false">IF($O143="","",N(INDEX('DỮ LIỆU'!$M$3:$M$1052,$O143)))</f>
        <v/>
      </c>
      <c r="M143" s="13" t="str">
        <f aca="false">IF($O143="","",N(INDEX('DỮ LIỆU'!$N$3:$N$1052,$O143)))</f>
        <v/>
      </c>
      <c r="N143" s="13" t="str">
        <f aca="false">IF($O143="","",N(INDEX('DỮ LIỆU'!$O$3:$O$1052,$O143)))</f>
        <v/>
      </c>
      <c r="O143" s="0" t="str">
        <f aca="false">IFERROR(MATCH(138,'DỮ LIỆU'!$U$3:$U$1052,0),"")</f>
        <v/>
      </c>
    </row>
    <row r="144" customFormat="false" ht="15" hidden="false" customHeight="false" outlineLevel="0" collapsed="false">
      <c r="A144" s="21" t="str">
        <f aca="false">IF($O144="","",139)</f>
        <v/>
      </c>
      <c r="B144" s="13" t="str">
        <f aca="false">IF($O144="","",INDEX('DỮ LIỆU'!$A$3:$A$1052,$O144))</f>
        <v/>
      </c>
      <c r="C144" s="41" t="str">
        <f aca="false">IF($O144="","",IF(INDEX('DỮ LIỆU'!$B$3:$B$1052,$O144)="","",INDEX('DỮ LIỆU'!$B$3:$B$1052,$O144)))</f>
        <v/>
      </c>
      <c r="D144" s="21" t="str">
        <f aca="false">IF($O144="","",IF(INDEX('DỮ LIỆU'!$C$3:$C$1052,$O144)="","",INDEX('DỮ LIỆU'!$C$3:$C$1052,$O144)))</f>
        <v/>
      </c>
      <c r="E144" s="21" t="str">
        <f aca="false">IF($O144="","",IF(INDEX('DỮ LIỆU'!$E$3:$E$1052,$O144)="","",INDEX('DỮ LIỆU'!$E$3:$E$1052,$O144)))</f>
        <v/>
      </c>
      <c r="F144" s="21" t="str">
        <f aca="false">IF($O144="","",IF(INDEX('DỮ LIỆU'!$F$3:$F$1052,$O144)="","",INDEX('DỮ LIỆU'!$F$3:$F$1052,$O144)))</f>
        <v/>
      </c>
      <c r="G144" s="21" t="str">
        <f aca="false">IF($O144="","",IF(INDEX('DỮ LIỆU'!$H$3:$H$1052,$O144)="","",INDEX('DỮ LIỆU'!$H$3:$H$1052,$O144)))</f>
        <v/>
      </c>
      <c r="H144" s="13" t="str">
        <f aca="false">IF($O144="","",N(INDEX('DỮ LIỆU'!$I$3:$I$1052,$O144)))</f>
        <v/>
      </c>
      <c r="I144" s="13" t="str">
        <f aca="false">IF($O144="","",N(INDEX('DỮ LIỆU'!$J$3:$J$1052,$O144)))</f>
        <v/>
      </c>
      <c r="J144" s="14" t="str">
        <f aca="false">IF($O144="","",N(INDEX('DỮ LIỆU'!$K$3:$K$1052,$O144)))</f>
        <v/>
      </c>
      <c r="K144" s="13" t="str">
        <f aca="false">IF($O144="","",N(INDEX('DỮ LIỆU'!$L$3:$L$1052,$O144)))</f>
        <v/>
      </c>
      <c r="L144" s="13" t="str">
        <f aca="false">IF($O144="","",N(INDEX('DỮ LIỆU'!$M$3:$M$1052,$O144)))</f>
        <v/>
      </c>
      <c r="M144" s="13" t="str">
        <f aca="false">IF($O144="","",N(INDEX('DỮ LIỆU'!$N$3:$N$1052,$O144)))</f>
        <v/>
      </c>
      <c r="N144" s="13" t="str">
        <f aca="false">IF($O144="","",N(INDEX('DỮ LIỆU'!$O$3:$O$1052,$O144)))</f>
        <v/>
      </c>
      <c r="O144" s="0" t="str">
        <f aca="false">IFERROR(MATCH(139,'DỮ LIỆU'!$U$3:$U$1052,0),"")</f>
        <v/>
      </c>
    </row>
    <row r="145" customFormat="false" ht="15" hidden="false" customHeight="false" outlineLevel="0" collapsed="false">
      <c r="A145" s="21" t="str">
        <f aca="false">IF($O145="","",140)</f>
        <v/>
      </c>
      <c r="B145" s="13" t="str">
        <f aca="false">IF($O145="","",INDEX('DỮ LIỆU'!$A$3:$A$1052,$O145))</f>
        <v/>
      </c>
      <c r="C145" s="41" t="str">
        <f aca="false">IF($O145="","",IF(INDEX('DỮ LIỆU'!$B$3:$B$1052,$O145)="","",INDEX('DỮ LIỆU'!$B$3:$B$1052,$O145)))</f>
        <v/>
      </c>
      <c r="D145" s="21" t="str">
        <f aca="false">IF($O145="","",IF(INDEX('DỮ LIỆU'!$C$3:$C$1052,$O145)="","",INDEX('DỮ LIỆU'!$C$3:$C$1052,$O145)))</f>
        <v/>
      </c>
      <c r="E145" s="21" t="str">
        <f aca="false">IF($O145="","",IF(INDEX('DỮ LIỆU'!$E$3:$E$1052,$O145)="","",INDEX('DỮ LIỆU'!$E$3:$E$1052,$O145)))</f>
        <v/>
      </c>
      <c r="F145" s="21" t="str">
        <f aca="false">IF($O145="","",IF(INDEX('DỮ LIỆU'!$F$3:$F$1052,$O145)="","",INDEX('DỮ LIỆU'!$F$3:$F$1052,$O145)))</f>
        <v/>
      </c>
      <c r="G145" s="21" t="str">
        <f aca="false">IF($O145="","",IF(INDEX('DỮ LIỆU'!$H$3:$H$1052,$O145)="","",INDEX('DỮ LIỆU'!$H$3:$H$1052,$O145)))</f>
        <v/>
      </c>
      <c r="H145" s="13" t="str">
        <f aca="false">IF($O145="","",N(INDEX('DỮ LIỆU'!$I$3:$I$1052,$O145)))</f>
        <v/>
      </c>
      <c r="I145" s="13" t="str">
        <f aca="false">IF($O145="","",N(INDEX('DỮ LIỆU'!$J$3:$J$1052,$O145)))</f>
        <v/>
      </c>
      <c r="J145" s="14" t="str">
        <f aca="false">IF($O145="","",N(INDEX('DỮ LIỆU'!$K$3:$K$1052,$O145)))</f>
        <v/>
      </c>
      <c r="K145" s="13" t="str">
        <f aca="false">IF($O145="","",N(INDEX('DỮ LIỆU'!$L$3:$L$1052,$O145)))</f>
        <v/>
      </c>
      <c r="L145" s="13" t="str">
        <f aca="false">IF($O145="","",N(INDEX('DỮ LIỆU'!$M$3:$M$1052,$O145)))</f>
        <v/>
      </c>
      <c r="M145" s="13" t="str">
        <f aca="false">IF($O145="","",N(INDEX('DỮ LIỆU'!$N$3:$N$1052,$O145)))</f>
        <v/>
      </c>
      <c r="N145" s="13" t="str">
        <f aca="false">IF($O145="","",N(INDEX('DỮ LIỆU'!$O$3:$O$1052,$O145)))</f>
        <v/>
      </c>
      <c r="O145" s="0" t="str">
        <f aca="false">IFERROR(MATCH(140,'DỮ LIỆU'!$U$3:$U$1052,0),"")</f>
        <v/>
      </c>
    </row>
    <row r="146" customFormat="false" ht="15" hidden="false" customHeight="false" outlineLevel="0" collapsed="false">
      <c r="A146" s="21" t="str">
        <f aca="false">IF($O146="","",141)</f>
        <v/>
      </c>
      <c r="B146" s="13" t="str">
        <f aca="false">IF($O146="","",INDEX('DỮ LIỆU'!$A$3:$A$1052,$O146))</f>
        <v/>
      </c>
      <c r="C146" s="41" t="str">
        <f aca="false">IF($O146="","",IF(INDEX('DỮ LIỆU'!$B$3:$B$1052,$O146)="","",INDEX('DỮ LIỆU'!$B$3:$B$1052,$O146)))</f>
        <v/>
      </c>
      <c r="D146" s="21" t="str">
        <f aca="false">IF($O146="","",IF(INDEX('DỮ LIỆU'!$C$3:$C$1052,$O146)="","",INDEX('DỮ LIỆU'!$C$3:$C$1052,$O146)))</f>
        <v/>
      </c>
      <c r="E146" s="21" t="str">
        <f aca="false">IF($O146="","",IF(INDEX('DỮ LIỆU'!$E$3:$E$1052,$O146)="","",INDEX('DỮ LIỆU'!$E$3:$E$1052,$O146)))</f>
        <v/>
      </c>
      <c r="F146" s="21" t="str">
        <f aca="false">IF($O146="","",IF(INDEX('DỮ LIỆU'!$F$3:$F$1052,$O146)="","",INDEX('DỮ LIỆU'!$F$3:$F$1052,$O146)))</f>
        <v/>
      </c>
      <c r="G146" s="21" t="str">
        <f aca="false">IF($O146="","",IF(INDEX('DỮ LIỆU'!$H$3:$H$1052,$O146)="","",INDEX('DỮ LIỆU'!$H$3:$H$1052,$O146)))</f>
        <v/>
      </c>
      <c r="H146" s="13" t="str">
        <f aca="false">IF($O146="","",N(INDEX('DỮ LIỆU'!$I$3:$I$1052,$O146)))</f>
        <v/>
      </c>
      <c r="I146" s="13" t="str">
        <f aca="false">IF($O146="","",N(INDEX('DỮ LIỆU'!$J$3:$J$1052,$O146)))</f>
        <v/>
      </c>
      <c r="J146" s="14" t="str">
        <f aca="false">IF($O146="","",N(INDEX('DỮ LIỆU'!$K$3:$K$1052,$O146)))</f>
        <v/>
      </c>
      <c r="K146" s="13" t="str">
        <f aca="false">IF($O146="","",N(INDEX('DỮ LIỆU'!$L$3:$L$1052,$O146)))</f>
        <v/>
      </c>
      <c r="L146" s="13" t="str">
        <f aca="false">IF($O146="","",N(INDEX('DỮ LIỆU'!$M$3:$M$1052,$O146)))</f>
        <v/>
      </c>
      <c r="M146" s="13" t="str">
        <f aca="false">IF($O146="","",N(INDEX('DỮ LIỆU'!$N$3:$N$1052,$O146)))</f>
        <v/>
      </c>
      <c r="N146" s="13" t="str">
        <f aca="false">IF($O146="","",N(INDEX('DỮ LIỆU'!$O$3:$O$1052,$O146)))</f>
        <v/>
      </c>
      <c r="O146" s="0" t="str">
        <f aca="false">IFERROR(MATCH(141,'DỮ LIỆU'!$U$3:$U$1052,0),"")</f>
        <v/>
      </c>
    </row>
    <row r="147" customFormat="false" ht="15" hidden="false" customHeight="false" outlineLevel="0" collapsed="false">
      <c r="A147" s="21" t="str">
        <f aca="false">IF($O147="","",142)</f>
        <v/>
      </c>
      <c r="B147" s="13" t="str">
        <f aca="false">IF($O147="","",INDEX('DỮ LIỆU'!$A$3:$A$1052,$O147))</f>
        <v/>
      </c>
      <c r="C147" s="41" t="str">
        <f aca="false">IF($O147="","",IF(INDEX('DỮ LIỆU'!$B$3:$B$1052,$O147)="","",INDEX('DỮ LIỆU'!$B$3:$B$1052,$O147)))</f>
        <v/>
      </c>
      <c r="D147" s="21" t="str">
        <f aca="false">IF($O147="","",IF(INDEX('DỮ LIỆU'!$C$3:$C$1052,$O147)="","",INDEX('DỮ LIỆU'!$C$3:$C$1052,$O147)))</f>
        <v/>
      </c>
      <c r="E147" s="21" t="str">
        <f aca="false">IF($O147="","",IF(INDEX('DỮ LIỆU'!$E$3:$E$1052,$O147)="","",INDEX('DỮ LIỆU'!$E$3:$E$1052,$O147)))</f>
        <v/>
      </c>
      <c r="F147" s="21" t="str">
        <f aca="false">IF($O147="","",IF(INDEX('DỮ LIỆU'!$F$3:$F$1052,$O147)="","",INDEX('DỮ LIỆU'!$F$3:$F$1052,$O147)))</f>
        <v/>
      </c>
      <c r="G147" s="21" t="str">
        <f aca="false">IF($O147="","",IF(INDEX('DỮ LIỆU'!$H$3:$H$1052,$O147)="","",INDEX('DỮ LIỆU'!$H$3:$H$1052,$O147)))</f>
        <v/>
      </c>
      <c r="H147" s="13" t="str">
        <f aca="false">IF($O147="","",N(INDEX('DỮ LIỆU'!$I$3:$I$1052,$O147)))</f>
        <v/>
      </c>
      <c r="I147" s="13" t="str">
        <f aca="false">IF($O147="","",N(INDEX('DỮ LIỆU'!$J$3:$J$1052,$O147)))</f>
        <v/>
      </c>
      <c r="J147" s="14" t="str">
        <f aca="false">IF($O147="","",N(INDEX('DỮ LIỆU'!$K$3:$K$1052,$O147)))</f>
        <v/>
      </c>
      <c r="K147" s="13" t="str">
        <f aca="false">IF($O147="","",N(INDEX('DỮ LIỆU'!$L$3:$L$1052,$O147)))</f>
        <v/>
      </c>
      <c r="L147" s="13" t="str">
        <f aca="false">IF($O147="","",N(INDEX('DỮ LIỆU'!$M$3:$M$1052,$O147)))</f>
        <v/>
      </c>
      <c r="M147" s="13" t="str">
        <f aca="false">IF($O147="","",N(INDEX('DỮ LIỆU'!$N$3:$N$1052,$O147)))</f>
        <v/>
      </c>
      <c r="N147" s="13" t="str">
        <f aca="false">IF($O147="","",N(INDEX('DỮ LIỆU'!$O$3:$O$1052,$O147)))</f>
        <v/>
      </c>
      <c r="O147" s="0" t="str">
        <f aca="false">IFERROR(MATCH(142,'DỮ LIỆU'!$U$3:$U$1052,0),"")</f>
        <v/>
      </c>
    </row>
    <row r="148" customFormat="false" ht="15" hidden="false" customHeight="false" outlineLevel="0" collapsed="false">
      <c r="A148" s="21" t="str">
        <f aca="false">IF($O148="","",143)</f>
        <v/>
      </c>
      <c r="B148" s="13" t="str">
        <f aca="false">IF($O148="","",INDEX('DỮ LIỆU'!$A$3:$A$1052,$O148))</f>
        <v/>
      </c>
      <c r="C148" s="41" t="str">
        <f aca="false">IF($O148="","",IF(INDEX('DỮ LIỆU'!$B$3:$B$1052,$O148)="","",INDEX('DỮ LIỆU'!$B$3:$B$1052,$O148)))</f>
        <v/>
      </c>
      <c r="D148" s="21" t="str">
        <f aca="false">IF($O148="","",IF(INDEX('DỮ LIỆU'!$C$3:$C$1052,$O148)="","",INDEX('DỮ LIỆU'!$C$3:$C$1052,$O148)))</f>
        <v/>
      </c>
      <c r="E148" s="21" t="str">
        <f aca="false">IF($O148="","",IF(INDEX('DỮ LIỆU'!$E$3:$E$1052,$O148)="","",INDEX('DỮ LIỆU'!$E$3:$E$1052,$O148)))</f>
        <v/>
      </c>
      <c r="F148" s="21" t="str">
        <f aca="false">IF($O148="","",IF(INDEX('DỮ LIỆU'!$F$3:$F$1052,$O148)="","",INDEX('DỮ LIỆU'!$F$3:$F$1052,$O148)))</f>
        <v/>
      </c>
      <c r="G148" s="21" t="str">
        <f aca="false">IF($O148="","",IF(INDEX('DỮ LIỆU'!$H$3:$H$1052,$O148)="","",INDEX('DỮ LIỆU'!$H$3:$H$1052,$O148)))</f>
        <v/>
      </c>
      <c r="H148" s="13" t="str">
        <f aca="false">IF($O148="","",N(INDEX('DỮ LIỆU'!$I$3:$I$1052,$O148)))</f>
        <v/>
      </c>
      <c r="I148" s="13" t="str">
        <f aca="false">IF($O148="","",N(INDEX('DỮ LIỆU'!$J$3:$J$1052,$O148)))</f>
        <v/>
      </c>
      <c r="J148" s="14" t="str">
        <f aca="false">IF($O148="","",N(INDEX('DỮ LIỆU'!$K$3:$K$1052,$O148)))</f>
        <v/>
      </c>
      <c r="K148" s="13" t="str">
        <f aca="false">IF($O148="","",N(INDEX('DỮ LIỆU'!$L$3:$L$1052,$O148)))</f>
        <v/>
      </c>
      <c r="L148" s="13" t="str">
        <f aca="false">IF($O148="","",N(INDEX('DỮ LIỆU'!$M$3:$M$1052,$O148)))</f>
        <v/>
      </c>
      <c r="M148" s="13" t="str">
        <f aca="false">IF($O148="","",N(INDEX('DỮ LIỆU'!$N$3:$N$1052,$O148)))</f>
        <v/>
      </c>
      <c r="N148" s="13" t="str">
        <f aca="false">IF($O148="","",N(INDEX('DỮ LIỆU'!$O$3:$O$1052,$O148)))</f>
        <v/>
      </c>
      <c r="O148" s="0" t="str">
        <f aca="false">IFERROR(MATCH(143,'DỮ LIỆU'!$U$3:$U$1052,0),"")</f>
        <v/>
      </c>
    </row>
    <row r="149" customFormat="false" ht="15" hidden="false" customHeight="false" outlineLevel="0" collapsed="false">
      <c r="A149" s="21" t="str">
        <f aca="false">IF($O149="","",144)</f>
        <v/>
      </c>
      <c r="B149" s="13" t="str">
        <f aca="false">IF($O149="","",INDEX('DỮ LIỆU'!$A$3:$A$1052,$O149))</f>
        <v/>
      </c>
      <c r="C149" s="41" t="str">
        <f aca="false">IF($O149="","",IF(INDEX('DỮ LIỆU'!$B$3:$B$1052,$O149)="","",INDEX('DỮ LIỆU'!$B$3:$B$1052,$O149)))</f>
        <v/>
      </c>
      <c r="D149" s="21" t="str">
        <f aca="false">IF($O149="","",IF(INDEX('DỮ LIỆU'!$C$3:$C$1052,$O149)="","",INDEX('DỮ LIỆU'!$C$3:$C$1052,$O149)))</f>
        <v/>
      </c>
      <c r="E149" s="21" t="str">
        <f aca="false">IF($O149="","",IF(INDEX('DỮ LIỆU'!$E$3:$E$1052,$O149)="","",INDEX('DỮ LIỆU'!$E$3:$E$1052,$O149)))</f>
        <v/>
      </c>
      <c r="F149" s="21" t="str">
        <f aca="false">IF($O149="","",IF(INDEX('DỮ LIỆU'!$F$3:$F$1052,$O149)="","",INDEX('DỮ LIỆU'!$F$3:$F$1052,$O149)))</f>
        <v/>
      </c>
      <c r="G149" s="21" t="str">
        <f aca="false">IF($O149="","",IF(INDEX('DỮ LIỆU'!$H$3:$H$1052,$O149)="","",INDEX('DỮ LIỆU'!$H$3:$H$1052,$O149)))</f>
        <v/>
      </c>
      <c r="H149" s="13" t="str">
        <f aca="false">IF($O149="","",N(INDEX('DỮ LIỆU'!$I$3:$I$1052,$O149)))</f>
        <v/>
      </c>
      <c r="I149" s="13" t="str">
        <f aca="false">IF($O149="","",N(INDEX('DỮ LIỆU'!$J$3:$J$1052,$O149)))</f>
        <v/>
      </c>
      <c r="J149" s="14" t="str">
        <f aca="false">IF($O149="","",N(INDEX('DỮ LIỆU'!$K$3:$K$1052,$O149)))</f>
        <v/>
      </c>
      <c r="K149" s="13" t="str">
        <f aca="false">IF($O149="","",N(INDEX('DỮ LIỆU'!$L$3:$L$1052,$O149)))</f>
        <v/>
      </c>
      <c r="L149" s="13" t="str">
        <f aca="false">IF($O149="","",N(INDEX('DỮ LIỆU'!$M$3:$M$1052,$O149)))</f>
        <v/>
      </c>
      <c r="M149" s="13" t="str">
        <f aca="false">IF($O149="","",N(INDEX('DỮ LIỆU'!$N$3:$N$1052,$O149)))</f>
        <v/>
      </c>
      <c r="N149" s="13" t="str">
        <f aca="false">IF($O149="","",N(INDEX('DỮ LIỆU'!$O$3:$O$1052,$O149)))</f>
        <v/>
      </c>
      <c r="O149" s="0" t="str">
        <f aca="false">IFERROR(MATCH(144,'DỮ LIỆU'!$U$3:$U$1052,0),"")</f>
        <v/>
      </c>
    </row>
    <row r="150" customFormat="false" ht="15" hidden="false" customHeight="false" outlineLevel="0" collapsed="false">
      <c r="A150" s="21" t="str">
        <f aca="false">IF($O150="","",145)</f>
        <v/>
      </c>
      <c r="B150" s="13" t="str">
        <f aca="false">IF($O150="","",INDEX('DỮ LIỆU'!$A$3:$A$1052,$O150))</f>
        <v/>
      </c>
      <c r="C150" s="41" t="str">
        <f aca="false">IF($O150="","",IF(INDEX('DỮ LIỆU'!$B$3:$B$1052,$O150)="","",INDEX('DỮ LIỆU'!$B$3:$B$1052,$O150)))</f>
        <v/>
      </c>
      <c r="D150" s="21" t="str">
        <f aca="false">IF($O150="","",IF(INDEX('DỮ LIỆU'!$C$3:$C$1052,$O150)="","",INDEX('DỮ LIỆU'!$C$3:$C$1052,$O150)))</f>
        <v/>
      </c>
      <c r="E150" s="21" t="str">
        <f aca="false">IF($O150="","",IF(INDEX('DỮ LIỆU'!$E$3:$E$1052,$O150)="","",INDEX('DỮ LIỆU'!$E$3:$E$1052,$O150)))</f>
        <v/>
      </c>
      <c r="F150" s="21" t="str">
        <f aca="false">IF($O150="","",IF(INDEX('DỮ LIỆU'!$F$3:$F$1052,$O150)="","",INDEX('DỮ LIỆU'!$F$3:$F$1052,$O150)))</f>
        <v/>
      </c>
      <c r="G150" s="21" t="str">
        <f aca="false">IF($O150="","",IF(INDEX('DỮ LIỆU'!$H$3:$H$1052,$O150)="","",INDEX('DỮ LIỆU'!$H$3:$H$1052,$O150)))</f>
        <v/>
      </c>
      <c r="H150" s="13" t="str">
        <f aca="false">IF($O150="","",N(INDEX('DỮ LIỆU'!$I$3:$I$1052,$O150)))</f>
        <v/>
      </c>
      <c r="I150" s="13" t="str">
        <f aca="false">IF($O150="","",N(INDEX('DỮ LIỆU'!$J$3:$J$1052,$O150)))</f>
        <v/>
      </c>
      <c r="J150" s="14" t="str">
        <f aca="false">IF($O150="","",N(INDEX('DỮ LIỆU'!$K$3:$K$1052,$O150)))</f>
        <v/>
      </c>
      <c r="K150" s="13" t="str">
        <f aca="false">IF($O150="","",N(INDEX('DỮ LIỆU'!$L$3:$L$1052,$O150)))</f>
        <v/>
      </c>
      <c r="L150" s="13" t="str">
        <f aca="false">IF($O150="","",N(INDEX('DỮ LIỆU'!$M$3:$M$1052,$O150)))</f>
        <v/>
      </c>
      <c r="M150" s="13" t="str">
        <f aca="false">IF($O150="","",N(INDEX('DỮ LIỆU'!$N$3:$N$1052,$O150)))</f>
        <v/>
      </c>
      <c r="N150" s="13" t="str">
        <f aca="false">IF($O150="","",N(INDEX('DỮ LIỆU'!$O$3:$O$1052,$O150)))</f>
        <v/>
      </c>
      <c r="O150" s="0" t="str">
        <f aca="false">IFERROR(MATCH(145,'DỮ LIỆU'!$U$3:$U$1052,0),"")</f>
        <v/>
      </c>
    </row>
    <row r="151" customFormat="false" ht="15" hidden="false" customHeight="false" outlineLevel="0" collapsed="false">
      <c r="A151" s="21" t="str">
        <f aca="false">IF($O151="","",146)</f>
        <v/>
      </c>
      <c r="B151" s="13" t="str">
        <f aca="false">IF($O151="","",INDEX('DỮ LIỆU'!$A$3:$A$1052,$O151))</f>
        <v/>
      </c>
      <c r="C151" s="41" t="str">
        <f aca="false">IF($O151="","",IF(INDEX('DỮ LIỆU'!$B$3:$B$1052,$O151)="","",INDEX('DỮ LIỆU'!$B$3:$B$1052,$O151)))</f>
        <v/>
      </c>
      <c r="D151" s="21" t="str">
        <f aca="false">IF($O151="","",IF(INDEX('DỮ LIỆU'!$C$3:$C$1052,$O151)="","",INDEX('DỮ LIỆU'!$C$3:$C$1052,$O151)))</f>
        <v/>
      </c>
      <c r="E151" s="21" t="str">
        <f aca="false">IF($O151="","",IF(INDEX('DỮ LIỆU'!$E$3:$E$1052,$O151)="","",INDEX('DỮ LIỆU'!$E$3:$E$1052,$O151)))</f>
        <v/>
      </c>
      <c r="F151" s="21" t="str">
        <f aca="false">IF($O151="","",IF(INDEX('DỮ LIỆU'!$F$3:$F$1052,$O151)="","",INDEX('DỮ LIỆU'!$F$3:$F$1052,$O151)))</f>
        <v/>
      </c>
      <c r="G151" s="21" t="str">
        <f aca="false">IF($O151="","",IF(INDEX('DỮ LIỆU'!$H$3:$H$1052,$O151)="","",INDEX('DỮ LIỆU'!$H$3:$H$1052,$O151)))</f>
        <v/>
      </c>
      <c r="H151" s="13" t="str">
        <f aca="false">IF($O151="","",N(INDEX('DỮ LIỆU'!$I$3:$I$1052,$O151)))</f>
        <v/>
      </c>
      <c r="I151" s="13" t="str">
        <f aca="false">IF($O151="","",N(INDEX('DỮ LIỆU'!$J$3:$J$1052,$O151)))</f>
        <v/>
      </c>
      <c r="J151" s="14" t="str">
        <f aca="false">IF($O151="","",N(INDEX('DỮ LIỆU'!$K$3:$K$1052,$O151)))</f>
        <v/>
      </c>
      <c r="K151" s="13" t="str">
        <f aca="false">IF($O151="","",N(INDEX('DỮ LIỆU'!$L$3:$L$1052,$O151)))</f>
        <v/>
      </c>
      <c r="L151" s="13" t="str">
        <f aca="false">IF($O151="","",N(INDEX('DỮ LIỆU'!$M$3:$M$1052,$O151)))</f>
        <v/>
      </c>
      <c r="M151" s="13" t="str">
        <f aca="false">IF($O151="","",N(INDEX('DỮ LIỆU'!$N$3:$N$1052,$O151)))</f>
        <v/>
      </c>
      <c r="N151" s="13" t="str">
        <f aca="false">IF($O151="","",N(INDEX('DỮ LIỆU'!$O$3:$O$1052,$O151)))</f>
        <v/>
      </c>
      <c r="O151" s="0" t="str">
        <f aca="false">IFERROR(MATCH(146,'DỮ LIỆU'!$U$3:$U$1052,0),"")</f>
        <v/>
      </c>
    </row>
    <row r="152" customFormat="false" ht="15" hidden="false" customHeight="false" outlineLevel="0" collapsed="false">
      <c r="A152" s="21" t="str">
        <f aca="false">IF($O152="","",147)</f>
        <v/>
      </c>
      <c r="B152" s="13" t="str">
        <f aca="false">IF($O152="","",INDEX('DỮ LIỆU'!$A$3:$A$1052,$O152))</f>
        <v/>
      </c>
      <c r="C152" s="41" t="str">
        <f aca="false">IF($O152="","",IF(INDEX('DỮ LIỆU'!$B$3:$B$1052,$O152)="","",INDEX('DỮ LIỆU'!$B$3:$B$1052,$O152)))</f>
        <v/>
      </c>
      <c r="D152" s="21" t="str">
        <f aca="false">IF($O152="","",IF(INDEX('DỮ LIỆU'!$C$3:$C$1052,$O152)="","",INDEX('DỮ LIỆU'!$C$3:$C$1052,$O152)))</f>
        <v/>
      </c>
      <c r="E152" s="21" t="str">
        <f aca="false">IF($O152="","",IF(INDEX('DỮ LIỆU'!$E$3:$E$1052,$O152)="","",INDEX('DỮ LIỆU'!$E$3:$E$1052,$O152)))</f>
        <v/>
      </c>
      <c r="F152" s="21" t="str">
        <f aca="false">IF($O152="","",IF(INDEX('DỮ LIỆU'!$F$3:$F$1052,$O152)="","",INDEX('DỮ LIỆU'!$F$3:$F$1052,$O152)))</f>
        <v/>
      </c>
      <c r="G152" s="21" t="str">
        <f aca="false">IF($O152="","",IF(INDEX('DỮ LIỆU'!$H$3:$H$1052,$O152)="","",INDEX('DỮ LIỆU'!$H$3:$H$1052,$O152)))</f>
        <v/>
      </c>
      <c r="H152" s="13" t="str">
        <f aca="false">IF($O152="","",N(INDEX('DỮ LIỆU'!$I$3:$I$1052,$O152)))</f>
        <v/>
      </c>
      <c r="I152" s="13" t="str">
        <f aca="false">IF($O152="","",N(INDEX('DỮ LIỆU'!$J$3:$J$1052,$O152)))</f>
        <v/>
      </c>
      <c r="J152" s="14" t="str">
        <f aca="false">IF($O152="","",N(INDEX('DỮ LIỆU'!$K$3:$K$1052,$O152)))</f>
        <v/>
      </c>
      <c r="K152" s="13" t="str">
        <f aca="false">IF($O152="","",N(INDEX('DỮ LIỆU'!$L$3:$L$1052,$O152)))</f>
        <v/>
      </c>
      <c r="L152" s="13" t="str">
        <f aca="false">IF($O152="","",N(INDEX('DỮ LIỆU'!$M$3:$M$1052,$O152)))</f>
        <v/>
      </c>
      <c r="M152" s="13" t="str">
        <f aca="false">IF($O152="","",N(INDEX('DỮ LIỆU'!$N$3:$N$1052,$O152)))</f>
        <v/>
      </c>
      <c r="N152" s="13" t="str">
        <f aca="false">IF($O152="","",N(INDEX('DỮ LIỆU'!$O$3:$O$1052,$O152)))</f>
        <v/>
      </c>
      <c r="O152" s="0" t="str">
        <f aca="false">IFERROR(MATCH(147,'DỮ LIỆU'!$U$3:$U$1052,0),"")</f>
        <v/>
      </c>
    </row>
    <row r="153" customFormat="false" ht="15" hidden="false" customHeight="false" outlineLevel="0" collapsed="false">
      <c r="A153" s="21" t="str">
        <f aca="false">IF($O153="","",148)</f>
        <v/>
      </c>
      <c r="B153" s="13" t="str">
        <f aca="false">IF($O153="","",INDEX('DỮ LIỆU'!$A$3:$A$1052,$O153))</f>
        <v/>
      </c>
      <c r="C153" s="41" t="str">
        <f aca="false">IF($O153="","",IF(INDEX('DỮ LIỆU'!$B$3:$B$1052,$O153)="","",INDEX('DỮ LIỆU'!$B$3:$B$1052,$O153)))</f>
        <v/>
      </c>
      <c r="D153" s="21" t="str">
        <f aca="false">IF($O153="","",IF(INDEX('DỮ LIỆU'!$C$3:$C$1052,$O153)="","",INDEX('DỮ LIỆU'!$C$3:$C$1052,$O153)))</f>
        <v/>
      </c>
      <c r="E153" s="21" t="str">
        <f aca="false">IF($O153="","",IF(INDEX('DỮ LIỆU'!$E$3:$E$1052,$O153)="","",INDEX('DỮ LIỆU'!$E$3:$E$1052,$O153)))</f>
        <v/>
      </c>
      <c r="F153" s="21" t="str">
        <f aca="false">IF($O153="","",IF(INDEX('DỮ LIỆU'!$F$3:$F$1052,$O153)="","",INDEX('DỮ LIỆU'!$F$3:$F$1052,$O153)))</f>
        <v/>
      </c>
      <c r="G153" s="21" t="str">
        <f aca="false">IF($O153="","",IF(INDEX('DỮ LIỆU'!$H$3:$H$1052,$O153)="","",INDEX('DỮ LIỆU'!$H$3:$H$1052,$O153)))</f>
        <v/>
      </c>
      <c r="H153" s="13" t="str">
        <f aca="false">IF($O153="","",N(INDEX('DỮ LIỆU'!$I$3:$I$1052,$O153)))</f>
        <v/>
      </c>
      <c r="I153" s="13" t="str">
        <f aca="false">IF($O153="","",N(INDEX('DỮ LIỆU'!$J$3:$J$1052,$O153)))</f>
        <v/>
      </c>
      <c r="J153" s="14" t="str">
        <f aca="false">IF($O153="","",N(INDEX('DỮ LIỆU'!$K$3:$K$1052,$O153)))</f>
        <v/>
      </c>
      <c r="K153" s="13" t="str">
        <f aca="false">IF($O153="","",N(INDEX('DỮ LIỆU'!$L$3:$L$1052,$O153)))</f>
        <v/>
      </c>
      <c r="L153" s="13" t="str">
        <f aca="false">IF($O153="","",N(INDEX('DỮ LIỆU'!$M$3:$M$1052,$O153)))</f>
        <v/>
      </c>
      <c r="M153" s="13" t="str">
        <f aca="false">IF($O153="","",N(INDEX('DỮ LIỆU'!$N$3:$N$1052,$O153)))</f>
        <v/>
      </c>
      <c r="N153" s="13" t="str">
        <f aca="false">IF($O153="","",N(INDEX('DỮ LIỆU'!$O$3:$O$1052,$O153)))</f>
        <v/>
      </c>
      <c r="O153" s="0" t="str">
        <f aca="false">IFERROR(MATCH(148,'DỮ LIỆU'!$U$3:$U$1052,0),"")</f>
        <v/>
      </c>
    </row>
    <row r="154" customFormat="false" ht="15" hidden="false" customHeight="false" outlineLevel="0" collapsed="false">
      <c r="A154" s="21" t="str">
        <f aca="false">IF($O154="","",149)</f>
        <v/>
      </c>
      <c r="B154" s="13" t="str">
        <f aca="false">IF($O154="","",INDEX('DỮ LIỆU'!$A$3:$A$1052,$O154))</f>
        <v/>
      </c>
      <c r="C154" s="41" t="str">
        <f aca="false">IF($O154="","",IF(INDEX('DỮ LIỆU'!$B$3:$B$1052,$O154)="","",INDEX('DỮ LIỆU'!$B$3:$B$1052,$O154)))</f>
        <v/>
      </c>
      <c r="D154" s="21" t="str">
        <f aca="false">IF($O154="","",IF(INDEX('DỮ LIỆU'!$C$3:$C$1052,$O154)="","",INDEX('DỮ LIỆU'!$C$3:$C$1052,$O154)))</f>
        <v/>
      </c>
      <c r="E154" s="21" t="str">
        <f aca="false">IF($O154="","",IF(INDEX('DỮ LIỆU'!$E$3:$E$1052,$O154)="","",INDEX('DỮ LIỆU'!$E$3:$E$1052,$O154)))</f>
        <v/>
      </c>
      <c r="F154" s="21" t="str">
        <f aca="false">IF($O154="","",IF(INDEX('DỮ LIỆU'!$F$3:$F$1052,$O154)="","",INDEX('DỮ LIỆU'!$F$3:$F$1052,$O154)))</f>
        <v/>
      </c>
      <c r="G154" s="21" t="str">
        <f aca="false">IF($O154="","",IF(INDEX('DỮ LIỆU'!$H$3:$H$1052,$O154)="","",INDEX('DỮ LIỆU'!$H$3:$H$1052,$O154)))</f>
        <v/>
      </c>
      <c r="H154" s="13" t="str">
        <f aca="false">IF($O154="","",N(INDEX('DỮ LIỆU'!$I$3:$I$1052,$O154)))</f>
        <v/>
      </c>
      <c r="I154" s="13" t="str">
        <f aca="false">IF($O154="","",N(INDEX('DỮ LIỆU'!$J$3:$J$1052,$O154)))</f>
        <v/>
      </c>
      <c r="J154" s="14" t="str">
        <f aca="false">IF($O154="","",N(INDEX('DỮ LIỆU'!$K$3:$K$1052,$O154)))</f>
        <v/>
      </c>
      <c r="K154" s="13" t="str">
        <f aca="false">IF($O154="","",N(INDEX('DỮ LIỆU'!$L$3:$L$1052,$O154)))</f>
        <v/>
      </c>
      <c r="L154" s="13" t="str">
        <f aca="false">IF($O154="","",N(INDEX('DỮ LIỆU'!$M$3:$M$1052,$O154)))</f>
        <v/>
      </c>
      <c r="M154" s="13" t="str">
        <f aca="false">IF($O154="","",N(INDEX('DỮ LIỆU'!$N$3:$N$1052,$O154)))</f>
        <v/>
      </c>
      <c r="N154" s="13" t="str">
        <f aca="false">IF($O154="","",N(INDEX('DỮ LIỆU'!$O$3:$O$1052,$O154)))</f>
        <v/>
      </c>
      <c r="O154" s="0" t="str">
        <f aca="false">IFERROR(MATCH(149,'DỮ LIỆU'!$U$3:$U$1052,0),"")</f>
        <v/>
      </c>
    </row>
    <row r="155" customFormat="false" ht="15" hidden="false" customHeight="false" outlineLevel="0" collapsed="false">
      <c r="A155" s="21" t="str">
        <f aca="false">IF($O155="","",150)</f>
        <v/>
      </c>
      <c r="B155" s="13" t="str">
        <f aca="false">IF($O155="","",INDEX('DỮ LIỆU'!$A$3:$A$1052,$O155))</f>
        <v/>
      </c>
      <c r="C155" s="41" t="str">
        <f aca="false">IF($O155="","",IF(INDEX('DỮ LIỆU'!$B$3:$B$1052,$O155)="","",INDEX('DỮ LIỆU'!$B$3:$B$1052,$O155)))</f>
        <v/>
      </c>
      <c r="D155" s="21" t="str">
        <f aca="false">IF($O155="","",IF(INDEX('DỮ LIỆU'!$C$3:$C$1052,$O155)="","",INDEX('DỮ LIỆU'!$C$3:$C$1052,$O155)))</f>
        <v/>
      </c>
      <c r="E155" s="21" t="str">
        <f aca="false">IF($O155="","",IF(INDEX('DỮ LIỆU'!$E$3:$E$1052,$O155)="","",INDEX('DỮ LIỆU'!$E$3:$E$1052,$O155)))</f>
        <v/>
      </c>
      <c r="F155" s="21" t="str">
        <f aca="false">IF($O155="","",IF(INDEX('DỮ LIỆU'!$F$3:$F$1052,$O155)="","",INDEX('DỮ LIỆU'!$F$3:$F$1052,$O155)))</f>
        <v/>
      </c>
      <c r="G155" s="21" t="str">
        <f aca="false">IF($O155="","",IF(INDEX('DỮ LIỆU'!$H$3:$H$1052,$O155)="","",INDEX('DỮ LIỆU'!$H$3:$H$1052,$O155)))</f>
        <v/>
      </c>
      <c r="H155" s="13" t="str">
        <f aca="false">IF($O155="","",N(INDEX('DỮ LIỆU'!$I$3:$I$1052,$O155)))</f>
        <v/>
      </c>
      <c r="I155" s="13" t="str">
        <f aca="false">IF($O155="","",N(INDEX('DỮ LIỆU'!$J$3:$J$1052,$O155)))</f>
        <v/>
      </c>
      <c r="J155" s="14" t="str">
        <f aca="false">IF($O155="","",N(INDEX('DỮ LIỆU'!$K$3:$K$1052,$O155)))</f>
        <v/>
      </c>
      <c r="K155" s="13" t="str">
        <f aca="false">IF($O155="","",N(INDEX('DỮ LIỆU'!$L$3:$L$1052,$O155)))</f>
        <v/>
      </c>
      <c r="L155" s="13" t="str">
        <f aca="false">IF($O155="","",N(INDEX('DỮ LIỆU'!$M$3:$M$1052,$O155)))</f>
        <v/>
      </c>
      <c r="M155" s="13" t="str">
        <f aca="false">IF($O155="","",N(INDEX('DỮ LIỆU'!$N$3:$N$1052,$O155)))</f>
        <v/>
      </c>
      <c r="N155" s="13" t="str">
        <f aca="false">IF($O155="","",N(INDEX('DỮ LIỆU'!$O$3:$O$1052,$O155)))</f>
        <v/>
      </c>
      <c r="O155" s="0" t="str">
        <f aca="false">IFERROR(MATCH(150,'DỮ LIỆU'!$U$3:$U$1052,0),"")</f>
        <v/>
      </c>
    </row>
    <row r="156" customFormat="false" ht="15" hidden="false" customHeight="false" outlineLevel="0" collapsed="false">
      <c r="A156" s="21" t="str">
        <f aca="false">IF($O156="","",151)</f>
        <v/>
      </c>
      <c r="B156" s="13" t="str">
        <f aca="false">IF($O156="","",INDEX('DỮ LIỆU'!$A$3:$A$1052,$O156))</f>
        <v/>
      </c>
      <c r="C156" s="41" t="str">
        <f aca="false">IF($O156="","",IF(INDEX('DỮ LIỆU'!$B$3:$B$1052,$O156)="","",INDEX('DỮ LIỆU'!$B$3:$B$1052,$O156)))</f>
        <v/>
      </c>
      <c r="D156" s="21" t="str">
        <f aca="false">IF($O156="","",IF(INDEX('DỮ LIỆU'!$C$3:$C$1052,$O156)="","",INDEX('DỮ LIỆU'!$C$3:$C$1052,$O156)))</f>
        <v/>
      </c>
      <c r="E156" s="21" t="str">
        <f aca="false">IF($O156="","",IF(INDEX('DỮ LIỆU'!$E$3:$E$1052,$O156)="","",INDEX('DỮ LIỆU'!$E$3:$E$1052,$O156)))</f>
        <v/>
      </c>
      <c r="F156" s="21" t="str">
        <f aca="false">IF($O156="","",IF(INDEX('DỮ LIỆU'!$F$3:$F$1052,$O156)="","",INDEX('DỮ LIỆU'!$F$3:$F$1052,$O156)))</f>
        <v/>
      </c>
      <c r="G156" s="21" t="str">
        <f aca="false">IF($O156="","",IF(INDEX('DỮ LIỆU'!$H$3:$H$1052,$O156)="","",INDEX('DỮ LIỆU'!$H$3:$H$1052,$O156)))</f>
        <v/>
      </c>
      <c r="H156" s="13" t="str">
        <f aca="false">IF($O156="","",N(INDEX('DỮ LIỆU'!$I$3:$I$1052,$O156)))</f>
        <v/>
      </c>
      <c r="I156" s="13" t="str">
        <f aca="false">IF($O156="","",N(INDEX('DỮ LIỆU'!$J$3:$J$1052,$O156)))</f>
        <v/>
      </c>
      <c r="J156" s="14" t="str">
        <f aca="false">IF($O156="","",N(INDEX('DỮ LIỆU'!$K$3:$K$1052,$O156)))</f>
        <v/>
      </c>
      <c r="K156" s="13" t="str">
        <f aca="false">IF($O156="","",N(INDEX('DỮ LIỆU'!$L$3:$L$1052,$O156)))</f>
        <v/>
      </c>
      <c r="L156" s="13" t="str">
        <f aca="false">IF($O156="","",N(INDEX('DỮ LIỆU'!$M$3:$M$1052,$O156)))</f>
        <v/>
      </c>
      <c r="M156" s="13" t="str">
        <f aca="false">IF($O156="","",N(INDEX('DỮ LIỆU'!$N$3:$N$1052,$O156)))</f>
        <v/>
      </c>
      <c r="N156" s="13" t="str">
        <f aca="false">IF($O156="","",N(INDEX('DỮ LIỆU'!$O$3:$O$1052,$O156)))</f>
        <v/>
      </c>
      <c r="O156" s="0" t="str">
        <f aca="false">IFERROR(MATCH(151,'DỮ LIỆU'!$U$3:$U$1052,0),"")</f>
        <v/>
      </c>
    </row>
    <row r="157" customFormat="false" ht="15" hidden="false" customHeight="false" outlineLevel="0" collapsed="false">
      <c r="A157" s="21" t="str">
        <f aca="false">IF($O157="","",152)</f>
        <v/>
      </c>
      <c r="B157" s="13" t="str">
        <f aca="false">IF($O157="","",INDEX('DỮ LIỆU'!$A$3:$A$1052,$O157))</f>
        <v/>
      </c>
      <c r="C157" s="41" t="str">
        <f aca="false">IF($O157="","",IF(INDEX('DỮ LIỆU'!$B$3:$B$1052,$O157)="","",INDEX('DỮ LIỆU'!$B$3:$B$1052,$O157)))</f>
        <v/>
      </c>
      <c r="D157" s="21" t="str">
        <f aca="false">IF($O157="","",IF(INDEX('DỮ LIỆU'!$C$3:$C$1052,$O157)="","",INDEX('DỮ LIỆU'!$C$3:$C$1052,$O157)))</f>
        <v/>
      </c>
      <c r="E157" s="21" t="str">
        <f aca="false">IF($O157="","",IF(INDEX('DỮ LIỆU'!$E$3:$E$1052,$O157)="","",INDEX('DỮ LIỆU'!$E$3:$E$1052,$O157)))</f>
        <v/>
      </c>
      <c r="F157" s="21" t="str">
        <f aca="false">IF($O157="","",IF(INDEX('DỮ LIỆU'!$F$3:$F$1052,$O157)="","",INDEX('DỮ LIỆU'!$F$3:$F$1052,$O157)))</f>
        <v/>
      </c>
      <c r="G157" s="21" t="str">
        <f aca="false">IF($O157="","",IF(INDEX('DỮ LIỆU'!$H$3:$H$1052,$O157)="","",INDEX('DỮ LIỆU'!$H$3:$H$1052,$O157)))</f>
        <v/>
      </c>
      <c r="H157" s="13" t="str">
        <f aca="false">IF($O157="","",N(INDEX('DỮ LIỆU'!$I$3:$I$1052,$O157)))</f>
        <v/>
      </c>
      <c r="I157" s="13" t="str">
        <f aca="false">IF($O157="","",N(INDEX('DỮ LIỆU'!$J$3:$J$1052,$O157)))</f>
        <v/>
      </c>
      <c r="J157" s="14" t="str">
        <f aca="false">IF($O157="","",N(INDEX('DỮ LIỆU'!$K$3:$K$1052,$O157)))</f>
        <v/>
      </c>
      <c r="K157" s="13" t="str">
        <f aca="false">IF($O157="","",N(INDEX('DỮ LIỆU'!$L$3:$L$1052,$O157)))</f>
        <v/>
      </c>
      <c r="L157" s="13" t="str">
        <f aca="false">IF($O157="","",N(INDEX('DỮ LIỆU'!$M$3:$M$1052,$O157)))</f>
        <v/>
      </c>
      <c r="M157" s="13" t="str">
        <f aca="false">IF($O157="","",N(INDEX('DỮ LIỆU'!$N$3:$N$1052,$O157)))</f>
        <v/>
      </c>
      <c r="N157" s="13" t="str">
        <f aca="false">IF($O157="","",N(INDEX('DỮ LIỆU'!$O$3:$O$1052,$O157)))</f>
        <v/>
      </c>
      <c r="O157" s="0" t="str">
        <f aca="false">IFERROR(MATCH(152,'DỮ LIỆU'!$U$3:$U$1052,0),"")</f>
        <v/>
      </c>
    </row>
    <row r="158" customFormat="false" ht="15" hidden="false" customHeight="false" outlineLevel="0" collapsed="false">
      <c r="A158" s="21" t="str">
        <f aca="false">IF($O158="","",153)</f>
        <v/>
      </c>
      <c r="B158" s="13" t="str">
        <f aca="false">IF($O158="","",INDEX('DỮ LIỆU'!$A$3:$A$1052,$O158))</f>
        <v/>
      </c>
      <c r="C158" s="41" t="str">
        <f aca="false">IF($O158="","",IF(INDEX('DỮ LIỆU'!$B$3:$B$1052,$O158)="","",INDEX('DỮ LIỆU'!$B$3:$B$1052,$O158)))</f>
        <v/>
      </c>
      <c r="D158" s="21" t="str">
        <f aca="false">IF($O158="","",IF(INDEX('DỮ LIỆU'!$C$3:$C$1052,$O158)="","",INDEX('DỮ LIỆU'!$C$3:$C$1052,$O158)))</f>
        <v/>
      </c>
      <c r="E158" s="21" t="str">
        <f aca="false">IF($O158="","",IF(INDEX('DỮ LIỆU'!$E$3:$E$1052,$O158)="","",INDEX('DỮ LIỆU'!$E$3:$E$1052,$O158)))</f>
        <v/>
      </c>
      <c r="F158" s="21" t="str">
        <f aca="false">IF($O158="","",IF(INDEX('DỮ LIỆU'!$F$3:$F$1052,$O158)="","",INDEX('DỮ LIỆU'!$F$3:$F$1052,$O158)))</f>
        <v/>
      </c>
      <c r="G158" s="21" t="str">
        <f aca="false">IF($O158="","",IF(INDEX('DỮ LIỆU'!$H$3:$H$1052,$O158)="","",INDEX('DỮ LIỆU'!$H$3:$H$1052,$O158)))</f>
        <v/>
      </c>
      <c r="H158" s="13" t="str">
        <f aca="false">IF($O158="","",N(INDEX('DỮ LIỆU'!$I$3:$I$1052,$O158)))</f>
        <v/>
      </c>
      <c r="I158" s="13" t="str">
        <f aca="false">IF($O158="","",N(INDEX('DỮ LIỆU'!$J$3:$J$1052,$O158)))</f>
        <v/>
      </c>
      <c r="J158" s="14" t="str">
        <f aca="false">IF($O158="","",N(INDEX('DỮ LIỆU'!$K$3:$K$1052,$O158)))</f>
        <v/>
      </c>
      <c r="K158" s="13" t="str">
        <f aca="false">IF($O158="","",N(INDEX('DỮ LIỆU'!$L$3:$L$1052,$O158)))</f>
        <v/>
      </c>
      <c r="L158" s="13" t="str">
        <f aca="false">IF($O158="","",N(INDEX('DỮ LIỆU'!$M$3:$M$1052,$O158)))</f>
        <v/>
      </c>
      <c r="M158" s="13" t="str">
        <f aca="false">IF($O158="","",N(INDEX('DỮ LIỆU'!$N$3:$N$1052,$O158)))</f>
        <v/>
      </c>
      <c r="N158" s="13" t="str">
        <f aca="false">IF($O158="","",N(INDEX('DỮ LIỆU'!$O$3:$O$1052,$O158)))</f>
        <v/>
      </c>
      <c r="O158" s="0" t="str">
        <f aca="false">IFERROR(MATCH(153,'DỮ LIỆU'!$U$3:$U$1052,0),"")</f>
        <v/>
      </c>
    </row>
    <row r="159" customFormat="false" ht="15" hidden="false" customHeight="false" outlineLevel="0" collapsed="false">
      <c r="A159" s="21" t="str">
        <f aca="false">IF($O159="","",154)</f>
        <v/>
      </c>
      <c r="B159" s="13" t="str">
        <f aca="false">IF($O159="","",INDEX('DỮ LIỆU'!$A$3:$A$1052,$O159))</f>
        <v/>
      </c>
      <c r="C159" s="41" t="str">
        <f aca="false">IF($O159="","",IF(INDEX('DỮ LIỆU'!$B$3:$B$1052,$O159)="","",INDEX('DỮ LIỆU'!$B$3:$B$1052,$O159)))</f>
        <v/>
      </c>
      <c r="D159" s="21" t="str">
        <f aca="false">IF($O159="","",IF(INDEX('DỮ LIỆU'!$C$3:$C$1052,$O159)="","",INDEX('DỮ LIỆU'!$C$3:$C$1052,$O159)))</f>
        <v/>
      </c>
      <c r="E159" s="21" t="str">
        <f aca="false">IF($O159="","",IF(INDEX('DỮ LIỆU'!$E$3:$E$1052,$O159)="","",INDEX('DỮ LIỆU'!$E$3:$E$1052,$O159)))</f>
        <v/>
      </c>
      <c r="F159" s="21" t="str">
        <f aca="false">IF($O159="","",IF(INDEX('DỮ LIỆU'!$F$3:$F$1052,$O159)="","",INDEX('DỮ LIỆU'!$F$3:$F$1052,$O159)))</f>
        <v/>
      </c>
      <c r="G159" s="21" t="str">
        <f aca="false">IF($O159="","",IF(INDEX('DỮ LIỆU'!$H$3:$H$1052,$O159)="","",INDEX('DỮ LIỆU'!$H$3:$H$1052,$O159)))</f>
        <v/>
      </c>
      <c r="H159" s="13" t="str">
        <f aca="false">IF($O159="","",N(INDEX('DỮ LIỆU'!$I$3:$I$1052,$O159)))</f>
        <v/>
      </c>
      <c r="I159" s="13" t="str">
        <f aca="false">IF($O159="","",N(INDEX('DỮ LIỆU'!$J$3:$J$1052,$O159)))</f>
        <v/>
      </c>
      <c r="J159" s="14" t="str">
        <f aca="false">IF($O159="","",N(INDEX('DỮ LIỆU'!$K$3:$K$1052,$O159)))</f>
        <v/>
      </c>
      <c r="K159" s="13" t="str">
        <f aca="false">IF($O159="","",N(INDEX('DỮ LIỆU'!$L$3:$L$1052,$O159)))</f>
        <v/>
      </c>
      <c r="L159" s="13" t="str">
        <f aca="false">IF($O159="","",N(INDEX('DỮ LIỆU'!$M$3:$M$1052,$O159)))</f>
        <v/>
      </c>
      <c r="M159" s="13" t="str">
        <f aca="false">IF($O159="","",N(INDEX('DỮ LIỆU'!$N$3:$N$1052,$O159)))</f>
        <v/>
      </c>
      <c r="N159" s="13" t="str">
        <f aca="false">IF($O159="","",N(INDEX('DỮ LIỆU'!$O$3:$O$1052,$O159)))</f>
        <v/>
      </c>
      <c r="O159" s="0" t="str">
        <f aca="false">IFERROR(MATCH(154,'DỮ LIỆU'!$U$3:$U$1052,0),"")</f>
        <v/>
      </c>
    </row>
    <row r="160" customFormat="false" ht="15" hidden="false" customHeight="false" outlineLevel="0" collapsed="false">
      <c r="A160" s="21" t="str">
        <f aca="false">IF($O160="","",155)</f>
        <v/>
      </c>
      <c r="B160" s="13" t="str">
        <f aca="false">IF($O160="","",INDEX('DỮ LIỆU'!$A$3:$A$1052,$O160))</f>
        <v/>
      </c>
      <c r="C160" s="41" t="str">
        <f aca="false">IF($O160="","",IF(INDEX('DỮ LIỆU'!$B$3:$B$1052,$O160)="","",INDEX('DỮ LIỆU'!$B$3:$B$1052,$O160)))</f>
        <v/>
      </c>
      <c r="D160" s="21" t="str">
        <f aca="false">IF($O160="","",IF(INDEX('DỮ LIỆU'!$C$3:$C$1052,$O160)="","",INDEX('DỮ LIỆU'!$C$3:$C$1052,$O160)))</f>
        <v/>
      </c>
      <c r="E160" s="21" t="str">
        <f aca="false">IF($O160="","",IF(INDEX('DỮ LIỆU'!$E$3:$E$1052,$O160)="","",INDEX('DỮ LIỆU'!$E$3:$E$1052,$O160)))</f>
        <v/>
      </c>
      <c r="F160" s="21" t="str">
        <f aca="false">IF($O160="","",IF(INDEX('DỮ LIỆU'!$F$3:$F$1052,$O160)="","",INDEX('DỮ LIỆU'!$F$3:$F$1052,$O160)))</f>
        <v/>
      </c>
      <c r="G160" s="21" t="str">
        <f aca="false">IF($O160="","",IF(INDEX('DỮ LIỆU'!$H$3:$H$1052,$O160)="","",INDEX('DỮ LIỆU'!$H$3:$H$1052,$O160)))</f>
        <v/>
      </c>
      <c r="H160" s="13" t="str">
        <f aca="false">IF($O160="","",N(INDEX('DỮ LIỆU'!$I$3:$I$1052,$O160)))</f>
        <v/>
      </c>
      <c r="I160" s="13" t="str">
        <f aca="false">IF($O160="","",N(INDEX('DỮ LIỆU'!$J$3:$J$1052,$O160)))</f>
        <v/>
      </c>
      <c r="J160" s="14" t="str">
        <f aca="false">IF($O160="","",N(INDEX('DỮ LIỆU'!$K$3:$K$1052,$O160)))</f>
        <v/>
      </c>
      <c r="K160" s="13" t="str">
        <f aca="false">IF($O160="","",N(INDEX('DỮ LIỆU'!$L$3:$L$1052,$O160)))</f>
        <v/>
      </c>
      <c r="L160" s="13" t="str">
        <f aca="false">IF($O160="","",N(INDEX('DỮ LIỆU'!$M$3:$M$1052,$O160)))</f>
        <v/>
      </c>
      <c r="M160" s="13" t="str">
        <f aca="false">IF($O160="","",N(INDEX('DỮ LIỆU'!$N$3:$N$1052,$O160)))</f>
        <v/>
      </c>
      <c r="N160" s="13" t="str">
        <f aca="false">IF($O160="","",N(INDEX('DỮ LIỆU'!$O$3:$O$1052,$O160)))</f>
        <v/>
      </c>
      <c r="O160" s="0" t="str">
        <f aca="false">IFERROR(MATCH(155,'DỮ LIỆU'!$U$3:$U$1052,0),"")</f>
        <v/>
      </c>
    </row>
    <row r="161" customFormat="false" ht="15" hidden="false" customHeight="false" outlineLevel="0" collapsed="false">
      <c r="A161" s="21" t="str">
        <f aca="false">IF($O161="","",156)</f>
        <v/>
      </c>
      <c r="B161" s="13" t="str">
        <f aca="false">IF($O161="","",INDEX('DỮ LIỆU'!$A$3:$A$1052,$O161))</f>
        <v/>
      </c>
      <c r="C161" s="41" t="str">
        <f aca="false">IF($O161="","",IF(INDEX('DỮ LIỆU'!$B$3:$B$1052,$O161)="","",INDEX('DỮ LIỆU'!$B$3:$B$1052,$O161)))</f>
        <v/>
      </c>
      <c r="D161" s="21" t="str">
        <f aca="false">IF($O161="","",IF(INDEX('DỮ LIỆU'!$C$3:$C$1052,$O161)="","",INDEX('DỮ LIỆU'!$C$3:$C$1052,$O161)))</f>
        <v/>
      </c>
      <c r="E161" s="21" t="str">
        <f aca="false">IF($O161="","",IF(INDEX('DỮ LIỆU'!$E$3:$E$1052,$O161)="","",INDEX('DỮ LIỆU'!$E$3:$E$1052,$O161)))</f>
        <v/>
      </c>
      <c r="F161" s="21" t="str">
        <f aca="false">IF($O161="","",IF(INDEX('DỮ LIỆU'!$F$3:$F$1052,$O161)="","",INDEX('DỮ LIỆU'!$F$3:$F$1052,$O161)))</f>
        <v/>
      </c>
      <c r="G161" s="21" t="str">
        <f aca="false">IF($O161="","",IF(INDEX('DỮ LIỆU'!$H$3:$H$1052,$O161)="","",INDEX('DỮ LIỆU'!$H$3:$H$1052,$O161)))</f>
        <v/>
      </c>
      <c r="H161" s="13" t="str">
        <f aca="false">IF($O161="","",N(INDEX('DỮ LIỆU'!$I$3:$I$1052,$O161)))</f>
        <v/>
      </c>
      <c r="I161" s="13" t="str">
        <f aca="false">IF($O161="","",N(INDEX('DỮ LIỆU'!$J$3:$J$1052,$O161)))</f>
        <v/>
      </c>
      <c r="J161" s="14" t="str">
        <f aca="false">IF($O161="","",N(INDEX('DỮ LIỆU'!$K$3:$K$1052,$O161)))</f>
        <v/>
      </c>
      <c r="K161" s="13" t="str">
        <f aca="false">IF($O161="","",N(INDEX('DỮ LIỆU'!$L$3:$L$1052,$O161)))</f>
        <v/>
      </c>
      <c r="L161" s="13" t="str">
        <f aca="false">IF($O161="","",N(INDEX('DỮ LIỆU'!$M$3:$M$1052,$O161)))</f>
        <v/>
      </c>
      <c r="M161" s="13" t="str">
        <f aca="false">IF($O161="","",N(INDEX('DỮ LIỆU'!$N$3:$N$1052,$O161)))</f>
        <v/>
      </c>
      <c r="N161" s="13" t="str">
        <f aca="false">IF($O161="","",N(INDEX('DỮ LIỆU'!$O$3:$O$1052,$O161)))</f>
        <v/>
      </c>
      <c r="O161" s="0" t="str">
        <f aca="false">IFERROR(MATCH(156,'DỮ LIỆU'!$U$3:$U$1052,0),"")</f>
        <v/>
      </c>
    </row>
    <row r="162" customFormat="false" ht="15" hidden="false" customHeight="false" outlineLevel="0" collapsed="false">
      <c r="A162" s="21" t="str">
        <f aca="false">IF($O162="","",157)</f>
        <v/>
      </c>
      <c r="B162" s="13" t="str">
        <f aca="false">IF($O162="","",INDEX('DỮ LIỆU'!$A$3:$A$1052,$O162))</f>
        <v/>
      </c>
      <c r="C162" s="41" t="str">
        <f aca="false">IF($O162="","",IF(INDEX('DỮ LIỆU'!$B$3:$B$1052,$O162)="","",INDEX('DỮ LIỆU'!$B$3:$B$1052,$O162)))</f>
        <v/>
      </c>
      <c r="D162" s="21" t="str">
        <f aca="false">IF($O162="","",IF(INDEX('DỮ LIỆU'!$C$3:$C$1052,$O162)="","",INDEX('DỮ LIỆU'!$C$3:$C$1052,$O162)))</f>
        <v/>
      </c>
      <c r="E162" s="21" t="str">
        <f aca="false">IF($O162="","",IF(INDEX('DỮ LIỆU'!$E$3:$E$1052,$O162)="","",INDEX('DỮ LIỆU'!$E$3:$E$1052,$O162)))</f>
        <v/>
      </c>
      <c r="F162" s="21" t="str">
        <f aca="false">IF($O162="","",IF(INDEX('DỮ LIỆU'!$F$3:$F$1052,$O162)="","",INDEX('DỮ LIỆU'!$F$3:$F$1052,$O162)))</f>
        <v/>
      </c>
      <c r="G162" s="21" t="str">
        <f aca="false">IF($O162="","",IF(INDEX('DỮ LIỆU'!$H$3:$H$1052,$O162)="","",INDEX('DỮ LIỆU'!$H$3:$H$1052,$O162)))</f>
        <v/>
      </c>
      <c r="H162" s="13" t="str">
        <f aca="false">IF($O162="","",N(INDEX('DỮ LIỆU'!$I$3:$I$1052,$O162)))</f>
        <v/>
      </c>
      <c r="I162" s="13" t="str">
        <f aca="false">IF($O162="","",N(INDEX('DỮ LIỆU'!$J$3:$J$1052,$O162)))</f>
        <v/>
      </c>
      <c r="J162" s="14" t="str">
        <f aca="false">IF($O162="","",N(INDEX('DỮ LIỆU'!$K$3:$K$1052,$O162)))</f>
        <v/>
      </c>
      <c r="K162" s="13" t="str">
        <f aca="false">IF($O162="","",N(INDEX('DỮ LIỆU'!$L$3:$L$1052,$O162)))</f>
        <v/>
      </c>
      <c r="L162" s="13" t="str">
        <f aca="false">IF($O162="","",N(INDEX('DỮ LIỆU'!$M$3:$M$1052,$O162)))</f>
        <v/>
      </c>
      <c r="M162" s="13" t="str">
        <f aca="false">IF($O162="","",N(INDEX('DỮ LIỆU'!$N$3:$N$1052,$O162)))</f>
        <v/>
      </c>
      <c r="N162" s="13" t="str">
        <f aca="false">IF($O162="","",N(INDEX('DỮ LIỆU'!$O$3:$O$1052,$O162)))</f>
        <v/>
      </c>
      <c r="O162" s="0" t="str">
        <f aca="false">IFERROR(MATCH(157,'DỮ LIỆU'!$U$3:$U$1052,0),"")</f>
        <v/>
      </c>
    </row>
    <row r="163" customFormat="false" ht="15" hidden="false" customHeight="false" outlineLevel="0" collapsed="false">
      <c r="A163" s="21" t="str">
        <f aca="false">IF($O163="","",158)</f>
        <v/>
      </c>
      <c r="B163" s="13" t="str">
        <f aca="false">IF($O163="","",INDEX('DỮ LIỆU'!$A$3:$A$1052,$O163))</f>
        <v/>
      </c>
      <c r="C163" s="41" t="str">
        <f aca="false">IF($O163="","",IF(INDEX('DỮ LIỆU'!$B$3:$B$1052,$O163)="","",INDEX('DỮ LIỆU'!$B$3:$B$1052,$O163)))</f>
        <v/>
      </c>
      <c r="D163" s="21" t="str">
        <f aca="false">IF($O163="","",IF(INDEX('DỮ LIỆU'!$C$3:$C$1052,$O163)="","",INDEX('DỮ LIỆU'!$C$3:$C$1052,$O163)))</f>
        <v/>
      </c>
      <c r="E163" s="21" t="str">
        <f aca="false">IF($O163="","",IF(INDEX('DỮ LIỆU'!$E$3:$E$1052,$O163)="","",INDEX('DỮ LIỆU'!$E$3:$E$1052,$O163)))</f>
        <v/>
      </c>
      <c r="F163" s="21" t="str">
        <f aca="false">IF($O163="","",IF(INDEX('DỮ LIỆU'!$F$3:$F$1052,$O163)="","",INDEX('DỮ LIỆU'!$F$3:$F$1052,$O163)))</f>
        <v/>
      </c>
      <c r="G163" s="21" t="str">
        <f aca="false">IF($O163="","",IF(INDEX('DỮ LIỆU'!$H$3:$H$1052,$O163)="","",INDEX('DỮ LIỆU'!$H$3:$H$1052,$O163)))</f>
        <v/>
      </c>
      <c r="H163" s="13" t="str">
        <f aca="false">IF($O163="","",N(INDEX('DỮ LIỆU'!$I$3:$I$1052,$O163)))</f>
        <v/>
      </c>
      <c r="I163" s="13" t="str">
        <f aca="false">IF($O163="","",N(INDEX('DỮ LIỆU'!$J$3:$J$1052,$O163)))</f>
        <v/>
      </c>
      <c r="J163" s="14" t="str">
        <f aca="false">IF($O163="","",N(INDEX('DỮ LIỆU'!$K$3:$K$1052,$O163)))</f>
        <v/>
      </c>
      <c r="K163" s="13" t="str">
        <f aca="false">IF($O163="","",N(INDEX('DỮ LIỆU'!$L$3:$L$1052,$O163)))</f>
        <v/>
      </c>
      <c r="L163" s="13" t="str">
        <f aca="false">IF($O163="","",N(INDEX('DỮ LIỆU'!$M$3:$M$1052,$O163)))</f>
        <v/>
      </c>
      <c r="M163" s="13" t="str">
        <f aca="false">IF($O163="","",N(INDEX('DỮ LIỆU'!$N$3:$N$1052,$O163)))</f>
        <v/>
      </c>
      <c r="N163" s="13" t="str">
        <f aca="false">IF($O163="","",N(INDEX('DỮ LIỆU'!$O$3:$O$1052,$O163)))</f>
        <v/>
      </c>
      <c r="O163" s="0" t="str">
        <f aca="false">IFERROR(MATCH(158,'DỮ LIỆU'!$U$3:$U$1052,0),"")</f>
        <v/>
      </c>
    </row>
    <row r="164" customFormat="false" ht="15" hidden="false" customHeight="false" outlineLevel="0" collapsed="false">
      <c r="A164" s="21" t="str">
        <f aca="false">IF($O164="","",159)</f>
        <v/>
      </c>
      <c r="B164" s="13" t="str">
        <f aca="false">IF($O164="","",INDEX('DỮ LIỆU'!$A$3:$A$1052,$O164))</f>
        <v/>
      </c>
      <c r="C164" s="41" t="str">
        <f aca="false">IF($O164="","",IF(INDEX('DỮ LIỆU'!$B$3:$B$1052,$O164)="","",INDEX('DỮ LIỆU'!$B$3:$B$1052,$O164)))</f>
        <v/>
      </c>
      <c r="D164" s="21" t="str">
        <f aca="false">IF($O164="","",IF(INDEX('DỮ LIỆU'!$C$3:$C$1052,$O164)="","",INDEX('DỮ LIỆU'!$C$3:$C$1052,$O164)))</f>
        <v/>
      </c>
      <c r="E164" s="21" t="str">
        <f aca="false">IF($O164="","",IF(INDEX('DỮ LIỆU'!$E$3:$E$1052,$O164)="","",INDEX('DỮ LIỆU'!$E$3:$E$1052,$O164)))</f>
        <v/>
      </c>
      <c r="F164" s="21" t="str">
        <f aca="false">IF($O164="","",IF(INDEX('DỮ LIỆU'!$F$3:$F$1052,$O164)="","",INDEX('DỮ LIỆU'!$F$3:$F$1052,$O164)))</f>
        <v/>
      </c>
      <c r="G164" s="21" t="str">
        <f aca="false">IF($O164="","",IF(INDEX('DỮ LIỆU'!$H$3:$H$1052,$O164)="","",INDEX('DỮ LIỆU'!$H$3:$H$1052,$O164)))</f>
        <v/>
      </c>
      <c r="H164" s="13" t="str">
        <f aca="false">IF($O164="","",N(INDEX('DỮ LIỆU'!$I$3:$I$1052,$O164)))</f>
        <v/>
      </c>
      <c r="I164" s="13" t="str">
        <f aca="false">IF($O164="","",N(INDEX('DỮ LIỆU'!$J$3:$J$1052,$O164)))</f>
        <v/>
      </c>
      <c r="J164" s="14" t="str">
        <f aca="false">IF($O164="","",N(INDEX('DỮ LIỆU'!$K$3:$K$1052,$O164)))</f>
        <v/>
      </c>
      <c r="K164" s="13" t="str">
        <f aca="false">IF($O164="","",N(INDEX('DỮ LIỆU'!$L$3:$L$1052,$O164)))</f>
        <v/>
      </c>
      <c r="L164" s="13" t="str">
        <f aca="false">IF($O164="","",N(INDEX('DỮ LIỆU'!$M$3:$M$1052,$O164)))</f>
        <v/>
      </c>
      <c r="M164" s="13" t="str">
        <f aca="false">IF($O164="","",N(INDEX('DỮ LIỆU'!$N$3:$N$1052,$O164)))</f>
        <v/>
      </c>
      <c r="N164" s="13" t="str">
        <f aca="false">IF($O164="","",N(INDEX('DỮ LIỆU'!$O$3:$O$1052,$O164)))</f>
        <v/>
      </c>
      <c r="O164" s="0" t="str">
        <f aca="false">IFERROR(MATCH(159,'DỮ LIỆU'!$U$3:$U$1052,0),"")</f>
        <v/>
      </c>
    </row>
    <row r="165" customFormat="false" ht="15" hidden="false" customHeight="false" outlineLevel="0" collapsed="false">
      <c r="A165" s="21" t="str">
        <f aca="false">IF($O165="","",160)</f>
        <v/>
      </c>
      <c r="B165" s="13" t="str">
        <f aca="false">IF($O165="","",INDEX('DỮ LIỆU'!$A$3:$A$1052,$O165))</f>
        <v/>
      </c>
      <c r="C165" s="41" t="str">
        <f aca="false">IF($O165="","",IF(INDEX('DỮ LIỆU'!$B$3:$B$1052,$O165)="","",INDEX('DỮ LIỆU'!$B$3:$B$1052,$O165)))</f>
        <v/>
      </c>
      <c r="D165" s="21" t="str">
        <f aca="false">IF($O165="","",IF(INDEX('DỮ LIỆU'!$C$3:$C$1052,$O165)="","",INDEX('DỮ LIỆU'!$C$3:$C$1052,$O165)))</f>
        <v/>
      </c>
      <c r="E165" s="21" t="str">
        <f aca="false">IF($O165="","",IF(INDEX('DỮ LIỆU'!$E$3:$E$1052,$O165)="","",INDEX('DỮ LIỆU'!$E$3:$E$1052,$O165)))</f>
        <v/>
      </c>
      <c r="F165" s="21" t="str">
        <f aca="false">IF($O165="","",IF(INDEX('DỮ LIỆU'!$F$3:$F$1052,$O165)="","",INDEX('DỮ LIỆU'!$F$3:$F$1052,$O165)))</f>
        <v/>
      </c>
      <c r="G165" s="21" t="str">
        <f aca="false">IF($O165="","",IF(INDEX('DỮ LIỆU'!$H$3:$H$1052,$O165)="","",INDEX('DỮ LIỆU'!$H$3:$H$1052,$O165)))</f>
        <v/>
      </c>
      <c r="H165" s="13" t="str">
        <f aca="false">IF($O165="","",N(INDEX('DỮ LIỆU'!$I$3:$I$1052,$O165)))</f>
        <v/>
      </c>
      <c r="I165" s="13" t="str">
        <f aca="false">IF($O165="","",N(INDEX('DỮ LIỆU'!$J$3:$J$1052,$O165)))</f>
        <v/>
      </c>
      <c r="J165" s="14" t="str">
        <f aca="false">IF($O165="","",N(INDEX('DỮ LIỆU'!$K$3:$K$1052,$O165)))</f>
        <v/>
      </c>
      <c r="K165" s="13" t="str">
        <f aca="false">IF($O165="","",N(INDEX('DỮ LIỆU'!$L$3:$L$1052,$O165)))</f>
        <v/>
      </c>
      <c r="L165" s="13" t="str">
        <f aca="false">IF($O165="","",N(INDEX('DỮ LIỆU'!$M$3:$M$1052,$O165)))</f>
        <v/>
      </c>
      <c r="M165" s="13" t="str">
        <f aca="false">IF($O165="","",N(INDEX('DỮ LIỆU'!$N$3:$N$1052,$O165)))</f>
        <v/>
      </c>
      <c r="N165" s="13" t="str">
        <f aca="false">IF($O165="","",N(INDEX('DỮ LIỆU'!$O$3:$O$1052,$O165)))</f>
        <v/>
      </c>
      <c r="O165" s="0" t="str">
        <f aca="false">IFERROR(MATCH(160,'DỮ LIỆU'!$U$3:$U$1052,0),"")</f>
        <v/>
      </c>
    </row>
    <row r="166" customFormat="false" ht="15" hidden="false" customHeight="false" outlineLevel="0" collapsed="false">
      <c r="A166" s="21" t="str">
        <f aca="false">IF($O166="","",161)</f>
        <v/>
      </c>
      <c r="B166" s="13" t="str">
        <f aca="false">IF($O166="","",INDEX('DỮ LIỆU'!$A$3:$A$1052,$O166))</f>
        <v/>
      </c>
      <c r="C166" s="41" t="str">
        <f aca="false">IF($O166="","",IF(INDEX('DỮ LIỆU'!$B$3:$B$1052,$O166)="","",INDEX('DỮ LIỆU'!$B$3:$B$1052,$O166)))</f>
        <v/>
      </c>
      <c r="D166" s="21" t="str">
        <f aca="false">IF($O166="","",IF(INDEX('DỮ LIỆU'!$C$3:$C$1052,$O166)="","",INDEX('DỮ LIỆU'!$C$3:$C$1052,$O166)))</f>
        <v/>
      </c>
      <c r="E166" s="21" t="str">
        <f aca="false">IF($O166="","",IF(INDEX('DỮ LIỆU'!$E$3:$E$1052,$O166)="","",INDEX('DỮ LIỆU'!$E$3:$E$1052,$O166)))</f>
        <v/>
      </c>
      <c r="F166" s="21" t="str">
        <f aca="false">IF($O166="","",IF(INDEX('DỮ LIỆU'!$F$3:$F$1052,$O166)="","",INDEX('DỮ LIỆU'!$F$3:$F$1052,$O166)))</f>
        <v/>
      </c>
      <c r="G166" s="21" t="str">
        <f aca="false">IF($O166="","",IF(INDEX('DỮ LIỆU'!$H$3:$H$1052,$O166)="","",INDEX('DỮ LIỆU'!$H$3:$H$1052,$O166)))</f>
        <v/>
      </c>
      <c r="H166" s="13" t="str">
        <f aca="false">IF($O166="","",N(INDEX('DỮ LIỆU'!$I$3:$I$1052,$O166)))</f>
        <v/>
      </c>
      <c r="I166" s="13" t="str">
        <f aca="false">IF($O166="","",N(INDEX('DỮ LIỆU'!$J$3:$J$1052,$O166)))</f>
        <v/>
      </c>
      <c r="J166" s="14" t="str">
        <f aca="false">IF($O166="","",N(INDEX('DỮ LIỆU'!$K$3:$K$1052,$O166)))</f>
        <v/>
      </c>
      <c r="K166" s="13" t="str">
        <f aca="false">IF($O166="","",N(INDEX('DỮ LIỆU'!$L$3:$L$1052,$O166)))</f>
        <v/>
      </c>
      <c r="L166" s="13" t="str">
        <f aca="false">IF($O166="","",N(INDEX('DỮ LIỆU'!$M$3:$M$1052,$O166)))</f>
        <v/>
      </c>
      <c r="M166" s="13" t="str">
        <f aca="false">IF($O166="","",N(INDEX('DỮ LIỆU'!$N$3:$N$1052,$O166)))</f>
        <v/>
      </c>
      <c r="N166" s="13" t="str">
        <f aca="false">IF($O166="","",N(INDEX('DỮ LIỆU'!$O$3:$O$1052,$O166)))</f>
        <v/>
      </c>
      <c r="O166" s="0" t="str">
        <f aca="false">IFERROR(MATCH(161,'DỮ LIỆU'!$U$3:$U$1052,0),"")</f>
        <v/>
      </c>
    </row>
    <row r="167" customFormat="false" ht="15" hidden="false" customHeight="false" outlineLevel="0" collapsed="false">
      <c r="A167" s="21" t="str">
        <f aca="false">IF($O167="","",162)</f>
        <v/>
      </c>
      <c r="B167" s="13" t="str">
        <f aca="false">IF($O167="","",INDEX('DỮ LIỆU'!$A$3:$A$1052,$O167))</f>
        <v/>
      </c>
      <c r="C167" s="41" t="str">
        <f aca="false">IF($O167="","",IF(INDEX('DỮ LIỆU'!$B$3:$B$1052,$O167)="","",INDEX('DỮ LIỆU'!$B$3:$B$1052,$O167)))</f>
        <v/>
      </c>
      <c r="D167" s="21" t="str">
        <f aca="false">IF($O167="","",IF(INDEX('DỮ LIỆU'!$C$3:$C$1052,$O167)="","",INDEX('DỮ LIỆU'!$C$3:$C$1052,$O167)))</f>
        <v/>
      </c>
      <c r="E167" s="21" t="str">
        <f aca="false">IF($O167="","",IF(INDEX('DỮ LIỆU'!$E$3:$E$1052,$O167)="","",INDEX('DỮ LIỆU'!$E$3:$E$1052,$O167)))</f>
        <v/>
      </c>
      <c r="F167" s="21" t="str">
        <f aca="false">IF($O167="","",IF(INDEX('DỮ LIỆU'!$F$3:$F$1052,$O167)="","",INDEX('DỮ LIỆU'!$F$3:$F$1052,$O167)))</f>
        <v/>
      </c>
      <c r="G167" s="21" t="str">
        <f aca="false">IF($O167="","",IF(INDEX('DỮ LIỆU'!$H$3:$H$1052,$O167)="","",INDEX('DỮ LIỆU'!$H$3:$H$1052,$O167)))</f>
        <v/>
      </c>
      <c r="H167" s="13" t="str">
        <f aca="false">IF($O167="","",N(INDEX('DỮ LIỆU'!$I$3:$I$1052,$O167)))</f>
        <v/>
      </c>
      <c r="I167" s="13" t="str">
        <f aca="false">IF($O167="","",N(INDEX('DỮ LIỆU'!$J$3:$J$1052,$O167)))</f>
        <v/>
      </c>
      <c r="J167" s="14" t="str">
        <f aca="false">IF($O167="","",N(INDEX('DỮ LIỆU'!$K$3:$K$1052,$O167)))</f>
        <v/>
      </c>
      <c r="K167" s="13" t="str">
        <f aca="false">IF($O167="","",N(INDEX('DỮ LIỆU'!$L$3:$L$1052,$O167)))</f>
        <v/>
      </c>
      <c r="L167" s="13" t="str">
        <f aca="false">IF($O167="","",N(INDEX('DỮ LIỆU'!$M$3:$M$1052,$O167)))</f>
        <v/>
      </c>
      <c r="M167" s="13" t="str">
        <f aca="false">IF($O167="","",N(INDEX('DỮ LIỆU'!$N$3:$N$1052,$O167)))</f>
        <v/>
      </c>
      <c r="N167" s="13" t="str">
        <f aca="false">IF($O167="","",N(INDEX('DỮ LIỆU'!$O$3:$O$1052,$O167)))</f>
        <v/>
      </c>
      <c r="O167" s="0" t="str">
        <f aca="false">IFERROR(MATCH(162,'DỮ LIỆU'!$U$3:$U$1052,0),"")</f>
        <v/>
      </c>
    </row>
    <row r="168" customFormat="false" ht="15" hidden="false" customHeight="false" outlineLevel="0" collapsed="false">
      <c r="A168" s="21" t="str">
        <f aca="false">IF($O168="","",163)</f>
        <v/>
      </c>
      <c r="B168" s="13" t="str">
        <f aca="false">IF($O168="","",INDEX('DỮ LIỆU'!$A$3:$A$1052,$O168))</f>
        <v/>
      </c>
      <c r="C168" s="41" t="str">
        <f aca="false">IF($O168="","",IF(INDEX('DỮ LIỆU'!$B$3:$B$1052,$O168)="","",INDEX('DỮ LIỆU'!$B$3:$B$1052,$O168)))</f>
        <v/>
      </c>
      <c r="D168" s="21" t="str">
        <f aca="false">IF($O168="","",IF(INDEX('DỮ LIỆU'!$C$3:$C$1052,$O168)="","",INDEX('DỮ LIỆU'!$C$3:$C$1052,$O168)))</f>
        <v/>
      </c>
      <c r="E168" s="21" t="str">
        <f aca="false">IF($O168="","",IF(INDEX('DỮ LIỆU'!$E$3:$E$1052,$O168)="","",INDEX('DỮ LIỆU'!$E$3:$E$1052,$O168)))</f>
        <v/>
      </c>
      <c r="F168" s="21" t="str">
        <f aca="false">IF($O168="","",IF(INDEX('DỮ LIỆU'!$F$3:$F$1052,$O168)="","",INDEX('DỮ LIỆU'!$F$3:$F$1052,$O168)))</f>
        <v/>
      </c>
      <c r="G168" s="21" t="str">
        <f aca="false">IF($O168="","",IF(INDEX('DỮ LIỆU'!$H$3:$H$1052,$O168)="","",INDEX('DỮ LIỆU'!$H$3:$H$1052,$O168)))</f>
        <v/>
      </c>
      <c r="H168" s="13" t="str">
        <f aca="false">IF($O168="","",N(INDEX('DỮ LIỆU'!$I$3:$I$1052,$O168)))</f>
        <v/>
      </c>
      <c r="I168" s="13" t="str">
        <f aca="false">IF($O168="","",N(INDEX('DỮ LIỆU'!$J$3:$J$1052,$O168)))</f>
        <v/>
      </c>
      <c r="J168" s="14" t="str">
        <f aca="false">IF($O168="","",N(INDEX('DỮ LIỆU'!$K$3:$K$1052,$O168)))</f>
        <v/>
      </c>
      <c r="K168" s="13" t="str">
        <f aca="false">IF($O168="","",N(INDEX('DỮ LIỆU'!$L$3:$L$1052,$O168)))</f>
        <v/>
      </c>
      <c r="L168" s="13" t="str">
        <f aca="false">IF($O168="","",N(INDEX('DỮ LIỆU'!$M$3:$M$1052,$O168)))</f>
        <v/>
      </c>
      <c r="M168" s="13" t="str">
        <f aca="false">IF($O168="","",N(INDEX('DỮ LIỆU'!$N$3:$N$1052,$O168)))</f>
        <v/>
      </c>
      <c r="N168" s="13" t="str">
        <f aca="false">IF($O168="","",N(INDEX('DỮ LIỆU'!$O$3:$O$1052,$O168)))</f>
        <v/>
      </c>
      <c r="O168" s="0" t="str">
        <f aca="false">IFERROR(MATCH(163,'DỮ LIỆU'!$U$3:$U$1052,0),"")</f>
        <v/>
      </c>
    </row>
    <row r="169" customFormat="false" ht="15" hidden="false" customHeight="false" outlineLevel="0" collapsed="false">
      <c r="A169" s="21" t="str">
        <f aca="false">IF($O169="","",164)</f>
        <v/>
      </c>
      <c r="B169" s="13" t="str">
        <f aca="false">IF($O169="","",INDEX('DỮ LIỆU'!$A$3:$A$1052,$O169))</f>
        <v/>
      </c>
      <c r="C169" s="41" t="str">
        <f aca="false">IF($O169="","",IF(INDEX('DỮ LIỆU'!$B$3:$B$1052,$O169)="","",INDEX('DỮ LIỆU'!$B$3:$B$1052,$O169)))</f>
        <v/>
      </c>
      <c r="D169" s="21" t="str">
        <f aca="false">IF($O169="","",IF(INDEX('DỮ LIỆU'!$C$3:$C$1052,$O169)="","",INDEX('DỮ LIỆU'!$C$3:$C$1052,$O169)))</f>
        <v/>
      </c>
      <c r="E169" s="21" t="str">
        <f aca="false">IF($O169="","",IF(INDEX('DỮ LIỆU'!$E$3:$E$1052,$O169)="","",INDEX('DỮ LIỆU'!$E$3:$E$1052,$O169)))</f>
        <v/>
      </c>
      <c r="F169" s="21" t="str">
        <f aca="false">IF($O169="","",IF(INDEX('DỮ LIỆU'!$F$3:$F$1052,$O169)="","",INDEX('DỮ LIỆU'!$F$3:$F$1052,$O169)))</f>
        <v/>
      </c>
      <c r="G169" s="21" t="str">
        <f aca="false">IF($O169="","",IF(INDEX('DỮ LIỆU'!$H$3:$H$1052,$O169)="","",INDEX('DỮ LIỆU'!$H$3:$H$1052,$O169)))</f>
        <v/>
      </c>
      <c r="H169" s="13" t="str">
        <f aca="false">IF($O169="","",N(INDEX('DỮ LIỆU'!$I$3:$I$1052,$O169)))</f>
        <v/>
      </c>
      <c r="I169" s="13" t="str">
        <f aca="false">IF($O169="","",N(INDEX('DỮ LIỆU'!$J$3:$J$1052,$O169)))</f>
        <v/>
      </c>
      <c r="J169" s="14" t="str">
        <f aca="false">IF($O169="","",N(INDEX('DỮ LIỆU'!$K$3:$K$1052,$O169)))</f>
        <v/>
      </c>
      <c r="K169" s="13" t="str">
        <f aca="false">IF($O169="","",N(INDEX('DỮ LIỆU'!$L$3:$L$1052,$O169)))</f>
        <v/>
      </c>
      <c r="L169" s="13" t="str">
        <f aca="false">IF($O169="","",N(INDEX('DỮ LIỆU'!$M$3:$M$1052,$O169)))</f>
        <v/>
      </c>
      <c r="M169" s="13" t="str">
        <f aca="false">IF($O169="","",N(INDEX('DỮ LIỆU'!$N$3:$N$1052,$O169)))</f>
        <v/>
      </c>
      <c r="N169" s="13" t="str">
        <f aca="false">IF($O169="","",N(INDEX('DỮ LIỆU'!$O$3:$O$1052,$O169)))</f>
        <v/>
      </c>
      <c r="O169" s="0" t="str">
        <f aca="false">IFERROR(MATCH(164,'DỮ LIỆU'!$U$3:$U$1052,0),"")</f>
        <v/>
      </c>
    </row>
    <row r="170" customFormat="false" ht="15" hidden="false" customHeight="false" outlineLevel="0" collapsed="false">
      <c r="A170" s="21" t="str">
        <f aca="false">IF($O170="","",165)</f>
        <v/>
      </c>
      <c r="B170" s="13" t="str">
        <f aca="false">IF($O170="","",INDEX('DỮ LIỆU'!$A$3:$A$1052,$O170))</f>
        <v/>
      </c>
      <c r="C170" s="41" t="str">
        <f aca="false">IF($O170="","",IF(INDEX('DỮ LIỆU'!$B$3:$B$1052,$O170)="","",INDEX('DỮ LIỆU'!$B$3:$B$1052,$O170)))</f>
        <v/>
      </c>
      <c r="D170" s="21" t="str">
        <f aca="false">IF($O170="","",IF(INDEX('DỮ LIỆU'!$C$3:$C$1052,$O170)="","",INDEX('DỮ LIỆU'!$C$3:$C$1052,$O170)))</f>
        <v/>
      </c>
      <c r="E170" s="21" t="str">
        <f aca="false">IF($O170="","",IF(INDEX('DỮ LIỆU'!$E$3:$E$1052,$O170)="","",INDEX('DỮ LIỆU'!$E$3:$E$1052,$O170)))</f>
        <v/>
      </c>
      <c r="F170" s="21" t="str">
        <f aca="false">IF($O170="","",IF(INDEX('DỮ LIỆU'!$F$3:$F$1052,$O170)="","",INDEX('DỮ LIỆU'!$F$3:$F$1052,$O170)))</f>
        <v/>
      </c>
      <c r="G170" s="21" t="str">
        <f aca="false">IF($O170="","",IF(INDEX('DỮ LIỆU'!$H$3:$H$1052,$O170)="","",INDEX('DỮ LIỆU'!$H$3:$H$1052,$O170)))</f>
        <v/>
      </c>
      <c r="H170" s="13" t="str">
        <f aca="false">IF($O170="","",N(INDEX('DỮ LIỆU'!$I$3:$I$1052,$O170)))</f>
        <v/>
      </c>
      <c r="I170" s="13" t="str">
        <f aca="false">IF($O170="","",N(INDEX('DỮ LIỆU'!$J$3:$J$1052,$O170)))</f>
        <v/>
      </c>
      <c r="J170" s="14" t="str">
        <f aca="false">IF($O170="","",N(INDEX('DỮ LIỆU'!$K$3:$K$1052,$O170)))</f>
        <v/>
      </c>
      <c r="K170" s="13" t="str">
        <f aca="false">IF($O170="","",N(INDEX('DỮ LIỆU'!$L$3:$L$1052,$O170)))</f>
        <v/>
      </c>
      <c r="L170" s="13" t="str">
        <f aca="false">IF($O170="","",N(INDEX('DỮ LIỆU'!$M$3:$M$1052,$O170)))</f>
        <v/>
      </c>
      <c r="M170" s="13" t="str">
        <f aca="false">IF($O170="","",N(INDEX('DỮ LIỆU'!$N$3:$N$1052,$O170)))</f>
        <v/>
      </c>
      <c r="N170" s="13" t="str">
        <f aca="false">IF($O170="","",N(INDEX('DỮ LIỆU'!$O$3:$O$1052,$O170)))</f>
        <v/>
      </c>
      <c r="O170" s="0" t="str">
        <f aca="false">IFERROR(MATCH(165,'DỮ LIỆU'!$U$3:$U$1052,0),"")</f>
        <v/>
      </c>
    </row>
    <row r="171" customFormat="false" ht="15" hidden="false" customHeight="false" outlineLevel="0" collapsed="false">
      <c r="A171" s="21" t="str">
        <f aca="false">IF($O171="","",166)</f>
        <v/>
      </c>
      <c r="B171" s="13" t="str">
        <f aca="false">IF($O171="","",INDEX('DỮ LIỆU'!$A$3:$A$1052,$O171))</f>
        <v/>
      </c>
      <c r="C171" s="41" t="str">
        <f aca="false">IF($O171="","",IF(INDEX('DỮ LIỆU'!$B$3:$B$1052,$O171)="","",INDEX('DỮ LIỆU'!$B$3:$B$1052,$O171)))</f>
        <v/>
      </c>
      <c r="D171" s="21" t="str">
        <f aca="false">IF($O171="","",IF(INDEX('DỮ LIỆU'!$C$3:$C$1052,$O171)="","",INDEX('DỮ LIỆU'!$C$3:$C$1052,$O171)))</f>
        <v/>
      </c>
      <c r="E171" s="21" t="str">
        <f aca="false">IF($O171="","",IF(INDEX('DỮ LIỆU'!$E$3:$E$1052,$O171)="","",INDEX('DỮ LIỆU'!$E$3:$E$1052,$O171)))</f>
        <v/>
      </c>
      <c r="F171" s="21" t="str">
        <f aca="false">IF($O171="","",IF(INDEX('DỮ LIỆU'!$F$3:$F$1052,$O171)="","",INDEX('DỮ LIỆU'!$F$3:$F$1052,$O171)))</f>
        <v/>
      </c>
      <c r="G171" s="21" t="str">
        <f aca="false">IF($O171="","",IF(INDEX('DỮ LIỆU'!$H$3:$H$1052,$O171)="","",INDEX('DỮ LIỆU'!$H$3:$H$1052,$O171)))</f>
        <v/>
      </c>
      <c r="H171" s="13" t="str">
        <f aca="false">IF($O171="","",N(INDEX('DỮ LIỆU'!$I$3:$I$1052,$O171)))</f>
        <v/>
      </c>
      <c r="I171" s="13" t="str">
        <f aca="false">IF($O171="","",N(INDEX('DỮ LIỆU'!$J$3:$J$1052,$O171)))</f>
        <v/>
      </c>
      <c r="J171" s="14" t="str">
        <f aca="false">IF($O171="","",N(INDEX('DỮ LIỆU'!$K$3:$K$1052,$O171)))</f>
        <v/>
      </c>
      <c r="K171" s="13" t="str">
        <f aca="false">IF($O171="","",N(INDEX('DỮ LIỆU'!$L$3:$L$1052,$O171)))</f>
        <v/>
      </c>
      <c r="L171" s="13" t="str">
        <f aca="false">IF($O171="","",N(INDEX('DỮ LIỆU'!$M$3:$M$1052,$O171)))</f>
        <v/>
      </c>
      <c r="M171" s="13" t="str">
        <f aca="false">IF($O171="","",N(INDEX('DỮ LIỆU'!$N$3:$N$1052,$O171)))</f>
        <v/>
      </c>
      <c r="N171" s="13" t="str">
        <f aca="false">IF($O171="","",N(INDEX('DỮ LIỆU'!$O$3:$O$1052,$O171)))</f>
        <v/>
      </c>
      <c r="O171" s="0" t="str">
        <f aca="false">IFERROR(MATCH(166,'DỮ LIỆU'!$U$3:$U$1052,0),"")</f>
        <v/>
      </c>
    </row>
    <row r="172" customFormat="false" ht="15" hidden="false" customHeight="false" outlineLevel="0" collapsed="false">
      <c r="A172" s="21" t="str">
        <f aca="false">IF($O172="","",167)</f>
        <v/>
      </c>
      <c r="B172" s="13" t="str">
        <f aca="false">IF($O172="","",INDEX('DỮ LIỆU'!$A$3:$A$1052,$O172))</f>
        <v/>
      </c>
      <c r="C172" s="41" t="str">
        <f aca="false">IF($O172="","",IF(INDEX('DỮ LIỆU'!$B$3:$B$1052,$O172)="","",INDEX('DỮ LIỆU'!$B$3:$B$1052,$O172)))</f>
        <v/>
      </c>
      <c r="D172" s="21" t="str">
        <f aca="false">IF($O172="","",IF(INDEX('DỮ LIỆU'!$C$3:$C$1052,$O172)="","",INDEX('DỮ LIỆU'!$C$3:$C$1052,$O172)))</f>
        <v/>
      </c>
      <c r="E172" s="21" t="str">
        <f aca="false">IF($O172="","",IF(INDEX('DỮ LIỆU'!$E$3:$E$1052,$O172)="","",INDEX('DỮ LIỆU'!$E$3:$E$1052,$O172)))</f>
        <v/>
      </c>
      <c r="F172" s="21" t="str">
        <f aca="false">IF($O172="","",IF(INDEX('DỮ LIỆU'!$F$3:$F$1052,$O172)="","",INDEX('DỮ LIỆU'!$F$3:$F$1052,$O172)))</f>
        <v/>
      </c>
      <c r="G172" s="21" t="str">
        <f aca="false">IF($O172="","",IF(INDEX('DỮ LIỆU'!$H$3:$H$1052,$O172)="","",INDEX('DỮ LIỆU'!$H$3:$H$1052,$O172)))</f>
        <v/>
      </c>
      <c r="H172" s="13" t="str">
        <f aca="false">IF($O172="","",N(INDEX('DỮ LIỆU'!$I$3:$I$1052,$O172)))</f>
        <v/>
      </c>
      <c r="I172" s="13" t="str">
        <f aca="false">IF($O172="","",N(INDEX('DỮ LIỆU'!$J$3:$J$1052,$O172)))</f>
        <v/>
      </c>
      <c r="J172" s="14" t="str">
        <f aca="false">IF($O172="","",N(INDEX('DỮ LIỆU'!$K$3:$K$1052,$O172)))</f>
        <v/>
      </c>
      <c r="K172" s="13" t="str">
        <f aca="false">IF($O172="","",N(INDEX('DỮ LIỆU'!$L$3:$L$1052,$O172)))</f>
        <v/>
      </c>
      <c r="L172" s="13" t="str">
        <f aca="false">IF($O172="","",N(INDEX('DỮ LIỆU'!$M$3:$M$1052,$O172)))</f>
        <v/>
      </c>
      <c r="M172" s="13" t="str">
        <f aca="false">IF($O172="","",N(INDEX('DỮ LIỆU'!$N$3:$N$1052,$O172)))</f>
        <v/>
      </c>
      <c r="N172" s="13" t="str">
        <f aca="false">IF($O172="","",N(INDEX('DỮ LIỆU'!$O$3:$O$1052,$O172)))</f>
        <v/>
      </c>
      <c r="O172" s="0" t="str">
        <f aca="false">IFERROR(MATCH(167,'DỮ LIỆU'!$U$3:$U$1052,0),"")</f>
        <v/>
      </c>
    </row>
    <row r="173" customFormat="false" ht="15" hidden="false" customHeight="false" outlineLevel="0" collapsed="false">
      <c r="A173" s="21" t="str">
        <f aca="false">IF($O173="","",168)</f>
        <v/>
      </c>
      <c r="B173" s="13" t="str">
        <f aca="false">IF($O173="","",INDEX('DỮ LIỆU'!$A$3:$A$1052,$O173))</f>
        <v/>
      </c>
      <c r="C173" s="41" t="str">
        <f aca="false">IF($O173="","",IF(INDEX('DỮ LIỆU'!$B$3:$B$1052,$O173)="","",INDEX('DỮ LIỆU'!$B$3:$B$1052,$O173)))</f>
        <v/>
      </c>
      <c r="D173" s="21" t="str">
        <f aca="false">IF($O173="","",IF(INDEX('DỮ LIỆU'!$C$3:$C$1052,$O173)="","",INDEX('DỮ LIỆU'!$C$3:$C$1052,$O173)))</f>
        <v/>
      </c>
      <c r="E173" s="21" t="str">
        <f aca="false">IF($O173="","",IF(INDEX('DỮ LIỆU'!$E$3:$E$1052,$O173)="","",INDEX('DỮ LIỆU'!$E$3:$E$1052,$O173)))</f>
        <v/>
      </c>
      <c r="F173" s="21" t="str">
        <f aca="false">IF($O173="","",IF(INDEX('DỮ LIỆU'!$F$3:$F$1052,$O173)="","",INDEX('DỮ LIỆU'!$F$3:$F$1052,$O173)))</f>
        <v/>
      </c>
      <c r="G173" s="21" t="str">
        <f aca="false">IF($O173="","",IF(INDEX('DỮ LIỆU'!$H$3:$H$1052,$O173)="","",INDEX('DỮ LIỆU'!$H$3:$H$1052,$O173)))</f>
        <v/>
      </c>
      <c r="H173" s="13" t="str">
        <f aca="false">IF($O173="","",N(INDEX('DỮ LIỆU'!$I$3:$I$1052,$O173)))</f>
        <v/>
      </c>
      <c r="I173" s="13" t="str">
        <f aca="false">IF($O173="","",N(INDEX('DỮ LIỆU'!$J$3:$J$1052,$O173)))</f>
        <v/>
      </c>
      <c r="J173" s="14" t="str">
        <f aca="false">IF($O173="","",N(INDEX('DỮ LIỆU'!$K$3:$K$1052,$O173)))</f>
        <v/>
      </c>
      <c r="K173" s="13" t="str">
        <f aca="false">IF($O173="","",N(INDEX('DỮ LIỆU'!$L$3:$L$1052,$O173)))</f>
        <v/>
      </c>
      <c r="L173" s="13" t="str">
        <f aca="false">IF($O173="","",N(INDEX('DỮ LIỆU'!$M$3:$M$1052,$O173)))</f>
        <v/>
      </c>
      <c r="M173" s="13" t="str">
        <f aca="false">IF($O173="","",N(INDEX('DỮ LIỆU'!$N$3:$N$1052,$O173)))</f>
        <v/>
      </c>
      <c r="N173" s="13" t="str">
        <f aca="false">IF($O173="","",N(INDEX('DỮ LIỆU'!$O$3:$O$1052,$O173)))</f>
        <v/>
      </c>
      <c r="O173" s="0" t="str">
        <f aca="false">IFERROR(MATCH(168,'DỮ LIỆU'!$U$3:$U$1052,0),"")</f>
        <v/>
      </c>
    </row>
    <row r="174" customFormat="false" ht="15" hidden="false" customHeight="false" outlineLevel="0" collapsed="false">
      <c r="A174" s="21" t="str">
        <f aca="false">IF($O174="","",169)</f>
        <v/>
      </c>
      <c r="B174" s="13" t="str">
        <f aca="false">IF($O174="","",INDEX('DỮ LIỆU'!$A$3:$A$1052,$O174))</f>
        <v/>
      </c>
      <c r="C174" s="41" t="str">
        <f aca="false">IF($O174="","",IF(INDEX('DỮ LIỆU'!$B$3:$B$1052,$O174)="","",INDEX('DỮ LIỆU'!$B$3:$B$1052,$O174)))</f>
        <v/>
      </c>
      <c r="D174" s="21" t="str">
        <f aca="false">IF($O174="","",IF(INDEX('DỮ LIỆU'!$C$3:$C$1052,$O174)="","",INDEX('DỮ LIỆU'!$C$3:$C$1052,$O174)))</f>
        <v/>
      </c>
      <c r="E174" s="21" t="str">
        <f aca="false">IF($O174="","",IF(INDEX('DỮ LIỆU'!$E$3:$E$1052,$O174)="","",INDEX('DỮ LIỆU'!$E$3:$E$1052,$O174)))</f>
        <v/>
      </c>
      <c r="F174" s="21" t="str">
        <f aca="false">IF($O174="","",IF(INDEX('DỮ LIỆU'!$F$3:$F$1052,$O174)="","",INDEX('DỮ LIỆU'!$F$3:$F$1052,$O174)))</f>
        <v/>
      </c>
      <c r="G174" s="21" t="str">
        <f aca="false">IF($O174="","",IF(INDEX('DỮ LIỆU'!$H$3:$H$1052,$O174)="","",INDEX('DỮ LIỆU'!$H$3:$H$1052,$O174)))</f>
        <v/>
      </c>
      <c r="H174" s="13" t="str">
        <f aca="false">IF($O174="","",N(INDEX('DỮ LIỆU'!$I$3:$I$1052,$O174)))</f>
        <v/>
      </c>
      <c r="I174" s="13" t="str">
        <f aca="false">IF($O174="","",N(INDEX('DỮ LIỆU'!$J$3:$J$1052,$O174)))</f>
        <v/>
      </c>
      <c r="J174" s="14" t="str">
        <f aca="false">IF($O174="","",N(INDEX('DỮ LIỆU'!$K$3:$K$1052,$O174)))</f>
        <v/>
      </c>
      <c r="K174" s="13" t="str">
        <f aca="false">IF($O174="","",N(INDEX('DỮ LIỆU'!$L$3:$L$1052,$O174)))</f>
        <v/>
      </c>
      <c r="L174" s="13" t="str">
        <f aca="false">IF($O174="","",N(INDEX('DỮ LIỆU'!$M$3:$M$1052,$O174)))</f>
        <v/>
      </c>
      <c r="M174" s="13" t="str">
        <f aca="false">IF($O174="","",N(INDEX('DỮ LIỆU'!$N$3:$N$1052,$O174)))</f>
        <v/>
      </c>
      <c r="N174" s="13" t="str">
        <f aca="false">IF($O174="","",N(INDEX('DỮ LIỆU'!$O$3:$O$1052,$O174)))</f>
        <v/>
      </c>
      <c r="O174" s="0" t="str">
        <f aca="false">IFERROR(MATCH(169,'DỮ LIỆU'!$U$3:$U$1052,0),"")</f>
        <v/>
      </c>
    </row>
    <row r="175" customFormat="false" ht="15" hidden="false" customHeight="false" outlineLevel="0" collapsed="false">
      <c r="A175" s="21" t="str">
        <f aca="false">IF($O175="","",170)</f>
        <v/>
      </c>
      <c r="B175" s="13" t="str">
        <f aca="false">IF($O175="","",INDEX('DỮ LIỆU'!$A$3:$A$1052,$O175))</f>
        <v/>
      </c>
      <c r="C175" s="41" t="str">
        <f aca="false">IF($O175="","",IF(INDEX('DỮ LIỆU'!$B$3:$B$1052,$O175)="","",INDEX('DỮ LIỆU'!$B$3:$B$1052,$O175)))</f>
        <v/>
      </c>
      <c r="D175" s="21" t="str">
        <f aca="false">IF($O175="","",IF(INDEX('DỮ LIỆU'!$C$3:$C$1052,$O175)="","",INDEX('DỮ LIỆU'!$C$3:$C$1052,$O175)))</f>
        <v/>
      </c>
      <c r="E175" s="21" t="str">
        <f aca="false">IF($O175="","",IF(INDEX('DỮ LIỆU'!$E$3:$E$1052,$O175)="","",INDEX('DỮ LIỆU'!$E$3:$E$1052,$O175)))</f>
        <v/>
      </c>
      <c r="F175" s="21" t="str">
        <f aca="false">IF($O175="","",IF(INDEX('DỮ LIỆU'!$F$3:$F$1052,$O175)="","",INDEX('DỮ LIỆU'!$F$3:$F$1052,$O175)))</f>
        <v/>
      </c>
      <c r="G175" s="21" t="str">
        <f aca="false">IF($O175="","",IF(INDEX('DỮ LIỆU'!$H$3:$H$1052,$O175)="","",INDEX('DỮ LIỆU'!$H$3:$H$1052,$O175)))</f>
        <v/>
      </c>
      <c r="H175" s="13" t="str">
        <f aca="false">IF($O175="","",N(INDEX('DỮ LIỆU'!$I$3:$I$1052,$O175)))</f>
        <v/>
      </c>
      <c r="I175" s="13" t="str">
        <f aca="false">IF($O175="","",N(INDEX('DỮ LIỆU'!$J$3:$J$1052,$O175)))</f>
        <v/>
      </c>
      <c r="J175" s="14" t="str">
        <f aca="false">IF($O175="","",N(INDEX('DỮ LIỆU'!$K$3:$K$1052,$O175)))</f>
        <v/>
      </c>
      <c r="K175" s="13" t="str">
        <f aca="false">IF($O175="","",N(INDEX('DỮ LIỆU'!$L$3:$L$1052,$O175)))</f>
        <v/>
      </c>
      <c r="L175" s="13" t="str">
        <f aca="false">IF($O175="","",N(INDEX('DỮ LIỆU'!$M$3:$M$1052,$O175)))</f>
        <v/>
      </c>
      <c r="M175" s="13" t="str">
        <f aca="false">IF($O175="","",N(INDEX('DỮ LIỆU'!$N$3:$N$1052,$O175)))</f>
        <v/>
      </c>
      <c r="N175" s="13" t="str">
        <f aca="false">IF($O175="","",N(INDEX('DỮ LIỆU'!$O$3:$O$1052,$O175)))</f>
        <v/>
      </c>
      <c r="O175" s="0" t="str">
        <f aca="false">IFERROR(MATCH(170,'DỮ LIỆU'!$U$3:$U$1052,0),"")</f>
        <v/>
      </c>
    </row>
    <row r="176" customFormat="false" ht="15" hidden="false" customHeight="false" outlineLevel="0" collapsed="false">
      <c r="A176" s="21" t="str">
        <f aca="false">IF($O176="","",171)</f>
        <v/>
      </c>
      <c r="B176" s="13" t="str">
        <f aca="false">IF($O176="","",INDEX('DỮ LIỆU'!$A$3:$A$1052,$O176))</f>
        <v/>
      </c>
      <c r="C176" s="41" t="str">
        <f aca="false">IF($O176="","",IF(INDEX('DỮ LIỆU'!$B$3:$B$1052,$O176)="","",INDEX('DỮ LIỆU'!$B$3:$B$1052,$O176)))</f>
        <v/>
      </c>
      <c r="D176" s="21" t="str">
        <f aca="false">IF($O176="","",IF(INDEX('DỮ LIỆU'!$C$3:$C$1052,$O176)="","",INDEX('DỮ LIỆU'!$C$3:$C$1052,$O176)))</f>
        <v/>
      </c>
      <c r="E176" s="21" t="str">
        <f aca="false">IF($O176="","",IF(INDEX('DỮ LIỆU'!$E$3:$E$1052,$O176)="","",INDEX('DỮ LIỆU'!$E$3:$E$1052,$O176)))</f>
        <v/>
      </c>
      <c r="F176" s="21" t="str">
        <f aca="false">IF($O176="","",IF(INDEX('DỮ LIỆU'!$F$3:$F$1052,$O176)="","",INDEX('DỮ LIỆU'!$F$3:$F$1052,$O176)))</f>
        <v/>
      </c>
      <c r="G176" s="21" t="str">
        <f aca="false">IF($O176="","",IF(INDEX('DỮ LIỆU'!$H$3:$H$1052,$O176)="","",INDEX('DỮ LIỆU'!$H$3:$H$1052,$O176)))</f>
        <v/>
      </c>
      <c r="H176" s="13" t="str">
        <f aca="false">IF($O176="","",N(INDEX('DỮ LIỆU'!$I$3:$I$1052,$O176)))</f>
        <v/>
      </c>
      <c r="I176" s="13" t="str">
        <f aca="false">IF($O176="","",N(INDEX('DỮ LIỆU'!$J$3:$J$1052,$O176)))</f>
        <v/>
      </c>
      <c r="J176" s="14" t="str">
        <f aca="false">IF($O176="","",N(INDEX('DỮ LIỆU'!$K$3:$K$1052,$O176)))</f>
        <v/>
      </c>
      <c r="K176" s="13" t="str">
        <f aca="false">IF($O176="","",N(INDEX('DỮ LIỆU'!$L$3:$L$1052,$O176)))</f>
        <v/>
      </c>
      <c r="L176" s="13" t="str">
        <f aca="false">IF($O176="","",N(INDEX('DỮ LIỆU'!$M$3:$M$1052,$O176)))</f>
        <v/>
      </c>
      <c r="M176" s="13" t="str">
        <f aca="false">IF($O176="","",N(INDEX('DỮ LIỆU'!$N$3:$N$1052,$O176)))</f>
        <v/>
      </c>
      <c r="N176" s="13" t="str">
        <f aca="false">IF($O176="","",N(INDEX('DỮ LIỆU'!$O$3:$O$1052,$O176)))</f>
        <v/>
      </c>
      <c r="O176" s="0" t="str">
        <f aca="false">IFERROR(MATCH(171,'DỮ LIỆU'!$U$3:$U$1052,0),"")</f>
        <v/>
      </c>
    </row>
    <row r="177" customFormat="false" ht="15" hidden="false" customHeight="false" outlineLevel="0" collapsed="false">
      <c r="A177" s="21" t="str">
        <f aca="false">IF($O177="","",172)</f>
        <v/>
      </c>
      <c r="B177" s="13" t="str">
        <f aca="false">IF($O177="","",INDEX('DỮ LIỆU'!$A$3:$A$1052,$O177))</f>
        <v/>
      </c>
      <c r="C177" s="41" t="str">
        <f aca="false">IF($O177="","",IF(INDEX('DỮ LIỆU'!$B$3:$B$1052,$O177)="","",INDEX('DỮ LIỆU'!$B$3:$B$1052,$O177)))</f>
        <v/>
      </c>
      <c r="D177" s="21" t="str">
        <f aca="false">IF($O177="","",IF(INDEX('DỮ LIỆU'!$C$3:$C$1052,$O177)="","",INDEX('DỮ LIỆU'!$C$3:$C$1052,$O177)))</f>
        <v/>
      </c>
      <c r="E177" s="21" t="str">
        <f aca="false">IF($O177="","",IF(INDEX('DỮ LIỆU'!$E$3:$E$1052,$O177)="","",INDEX('DỮ LIỆU'!$E$3:$E$1052,$O177)))</f>
        <v/>
      </c>
      <c r="F177" s="21" t="str">
        <f aca="false">IF($O177="","",IF(INDEX('DỮ LIỆU'!$F$3:$F$1052,$O177)="","",INDEX('DỮ LIỆU'!$F$3:$F$1052,$O177)))</f>
        <v/>
      </c>
      <c r="G177" s="21" t="str">
        <f aca="false">IF($O177="","",IF(INDEX('DỮ LIỆU'!$H$3:$H$1052,$O177)="","",INDEX('DỮ LIỆU'!$H$3:$H$1052,$O177)))</f>
        <v/>
      </c>
      <c r="H177" s="13" t="str">
        <f aca="false">IF($O177="","",N(INDEX('DỮ LIỆU'!$I$3:$I$1052,$O177)))</f>
        <v/>
      </c>
      <c r="I177" s="13" t="str">
        <f aca="false">IF($O177="","",N(INDEX('DỮ LIỆU'!$J$3:$J$1052,$O177)))</f>
        <v/>
      </c>
      <c r="J177" s="14" t="str">
        <f aca="false">IF($O177="","",N(INDEX('DỮ LIỆU'!$K$3:$K$1052,$O177)))</f>
        <v/>
      </c>
      <c r="K177" s="13" t="str">
        <f aca="false">IF($O177="","",N(INDEX('DỮ LIỆU'!$L$3:$L$1052,$O177)))</f>
        <v/>
      </c>
      <c r="L177" s="13" t="str">
        <f aca="false">IF($O177="","",N(INDEX('DỮ LIỆU'!$M$3:$M$1052,$O177)))</f>
        <v/>
      </c>
      <c r="M177" s="13" t="str">
        <f aca="false">IF($O177="","",N(INDEX('DỮ LIỆU'!$N$3:$N$1052,$O177)))</f>
        <v/>
      </c>
      <c r="N177" s="13" t="str">
        <f aca="false">IF($O177="","",N(INDEX('DỮ LIỆU'!$O$3:$O$1052,$O177)))</f>
        <v/>
      </c>
      <c r="O177" s="0" t="str">
        <f aca="false">IFERROR(MATCH(172,'DỮ LIỆU'!$U$3:$U$1052,0),"")</f>
        <v/>
      </c>
    </row>
    <row r="178" customFormat="false" ht="15" hidden="false" customHeight="false" outlineLevel="0" collapsed="false">
      <c r="A178" s="21" t="str">
        <f aca="false">IF($O178="","",173)</f>
        <v/>
      </c>
      <c r="B178" s="13" t="str">
        <f aca="false">IF($O178="","",INDEX('DỮ LIỆU'!$A$3:$A$1052,$O178))</f>
        <v/>
      </c>
      <c r="C178" s="41" t="str">
        <f aca="false">IF($O178="","",IF(INDEX('DỮ LIỆU'!$B$3:$B$1052,$O178)="","",INDEX('DỮ LIỆU'!$B$3:$B$1052,$O178)))</f>
        <v/>
      </c>
      <c r="D178" s="21" t="str">
        <f aca="false">IF($O178="","",IF(INDEX('DỮ LIỆU'!$C$3:$C$1052,$O178)="","",INDEX('DỮ LIỆU'!$C$3:$C$1052,$O178)))</f>
        <v/>
      </c>
      <c r="E178" s="21" t="str">
        <f aca="false">IF($O178="","",IF(INDEX('DỮ LIỆU'!$E$3:$E$1052,$O178)="","",INDEX('DỮ LIỆU'!$E$3:$E$1052,$O178)))</f>
        <v/>
      </c>
      <c r="F178" s="21" t="str">
        <f aca="false">IF($O178="","",IF(INDEX('DỮ LIỆU'!$F$3:$F$1052,$O178)="","",INDEX('DỮ LIỆU'!$F$3:$F$1052,$O178)))</f>
        <v/>
      </c>
      <c r="G178" s="21" t="str">
        <f aca="false">IF($O178="","",IF(INDEX('DỮ LIỆU'!$H$3:$H$1052,$O178)="","",INDEX('DỮ LIỆU'!$H$3:$H$1052,$O178)))</f>
        <v/>
      </c>
      <c r="H178" s="13" t="str">
        <f aca="false">IF($O178="","",N(INDEX('DỮ LIỆU'!$I$3:$I$1052,$O178)))</f>
        <v/>
      </c>
      <c r="I178" s="13" t="str">
        <f aca="false">IF($O178="","",N(INDEX('DỮ LIỆU'!$J$3:$J$1052,$O178)))</f>
        <v/>
      </c>
      <c r="J178" s="14" t="str">
        <f aca="false">IF($O178="","",N(INDEX('DỮ LIỆU'!$K$3:$K$1052,$O178)))</f>
        <v/>
      </c>
      <c r="K178" s="13" t="str">
        <f aca="false">IF($O178="","",N(INDEX('DỮ LIỆU'!$L$3:$L$1052,$O178)))</f>
        <v/>
      </c>
      <c r="L178" s="13" t="str">
        <f aca="false">IF($O178="","",N(INDEX('DỮ LIỆU'!$M$3:$M$1052,$O178)))</f>
        <v/>
      </c>
      <c r="M178" s="13" t="str">
        <f aca="false">IF($O178="","",N(INDEX('DỮ LIỆU'!$N$3:$N$1052,$O178)))</f>
        <v/>
      </c>
      <c r="N178" s="13" t="str">
        <f aca="false">IF($O178="","",N(INDEX('DỮ LIỆU'!$O$3:$O$1052,$O178)))</f>
        <v/>
      </c>
      <c r="O178" s="0" t="str">
        <f aca="false">IFERROR(MATCH(173,'DỮ LIỆU'!$U$3:$U$1052,0),"")</f>
        <v/>
      </c>
    </row>
    <row r="179" customFormat="false" ht="15" hidden="false" customHeight="false" outlineLevel="0" collapsed="false">
      <c r="A179" s="21" t="str">
        <f aca="false">IF($O179="","",174)</f>
        <v/>
      </c>
      <c r="B179" s="13" t="str">
        <f aca="false">IF($O179="","",INDEX('DỮ LIỆU'!$A$3:$A$1052,$O179))</f>
        <v/>
      </c>
      <c r="C179" s="41" t="str">
        <f aca="false">IF($O179="","",IF(INDEX('DỮ LIỆU'!$B$3:$B$1052,$O179)="","",INDEX('DỮ LIỆU'!$B$3:$B$1052,$O179)))</f>
        <v/>
      </c>
      <c r="D179" s="21" t="str">
        <f aca="false">IF($O179="","",IF(INDEX('DỮ LIỆU'!$C$3:$C$1052,$O179)="","",INDEX('DỮ LIỆU'!$C$3:$C$1052,$O179)))</f>
        <v/>
      </c>
      <c r="E179" s="21" t="str">
        <f aca="false">IF($O179="","",IF(INDEX('DỮ LIỆU'!$E$3:$E$1052,$O179)="","",INDEX('DỮ LIỆU'!$E$3:$E$1052,$O179)))</f>
        <v/>
      </c>
      <c r="F179" s="21" t="str">
        <f aca="false">IF($O179="","",IF(INDEX('DỮ LIỆU'!$F$3:$F$1052,$O179)="","",INDEX('DỮ LIỆU'!$F$3:$F$1052,$O179)))</f>
        <v/>
      </c>
      <c r="G179" s="21" t="str">
        <f aca="false">IF($O179="","",IF(INDEX('DỮ LIỆU'!$H$3:$H$1052,$O179)="","",INDEX('DỮ LIỆU'!$H$3:$H$1052,$O179)))</f>
        <v/>
      </c>
      <c r="H179" s="13" t="str">
        <f aca="false">IF($O179="","",N(INDEX('DỮ LIỆU'!$I$3:$I$1052,$O179)))</f>
        <v/>
      </c>
      <c r="I179" s="13" t="str">
        <f aca="false">IF($O179="","",N(INDEX('DỮ LIỆU'!$J$3:$J$1052,$O179)))</f>
        <v/>
      </c>
      <c r="J179" s="14" t="str">
        <f aca="false">IF($O179="","",N(INDEX('DỮ LIỆU'!$K$3:$K$1052,$O179)))</f>
        <v/>
      </c>
      <c r="K179" s="13" t="str">
        <f aca="false">IF($O179="","",N(INDEX('DỮ LIỆU'!$L$3:$L$1052,$O179)))</f>
        <v/>
      </c>
      <c r="L179" s="13" t="str">
        <f aca="false">IF($O179="","",N(INDEX('DỮ LIỆU'!$M$3:$M$1052,$O179)))</f>
        <v/>
      </c>
      <c r="M179" s="13" t="str">
        <f aca="false">IF($O179="","",N(INDEX('DỮ LIỆU'!$N$3:$N$1052,$O179)))</f>
        <v/>
      </c>
      <c r="N179" s="13" t="str">
        <f aca="false">IF($O179="","",N(INDEX('DỮ LIỆU'!$O$3:$O$1052,$O179)))</f>
        <v/>
      </c>
      <c r="O179" s="0" t="str">
        <f aca="false">IFERROR(MATCH(174,'DỮ LIỆU'!$U$3:$U$1052,0),"")</f>
        <v/>
      </c>
    </row>
    <row r="180" customFormat="false" ht="15" hidden="false" customHeight="false" outlineLevel="0" collapsed="false">
      <c r="A180" s="21" t="str">
        <f aca="false">IF($O180="","",175)</f>
        <v/>
      </c>
      <c r="B180" s="13" t="str">
        <f aca="false">IF($O180="","",INDEX('DỮ LIỆU'!$A$3:$A$1052,$O180))</f>
        <v/>
      </c>
      <c r="C180" s="41" t="str">
        <f aca="false">IF($O180="","",IF(INDEX('DỮ LIỆU'!$B$3:$B$1052,$O180)="","",INDEX('DỮ LIỆU'!$B$3:$B$1052,$O180)))</f>
        <v/>
      </c>
      <c r="D180" s="21" t="str">
        <f aca="false">IF($O180="","",IF(INDEX('DỮ LIỆU'!$C$3:$C$1052,$O180)="","",INDEX('DỮ LIỆU'!$C$3:$C$1052,$O180)))</f>
        <v/>
      </c>
      <c r="E180" s="21" t="str">
        <f aca="false">IF($O180="","",IF(INDEX('DỮ LIỆU'!$E$3:$E$1052,$O180)="","",INDEX('DỮ LIỆU'!$E$3:$E$1052,$O180)))</f>
        <v/>
      </c>
      <c r="F180" s="21" t="str">
        <f aca="false">IF($O180="","",IF(INDEX('DỮ LIỆU'!$F$3:$F$1052,$O180)="","",INDEX('DỮ LIỆU'!$F$3:$F$1052,$O180)))</f>
        <v/>
      </c>
      <c r="G180" s="21" t="str">
        <f aca="false">IF($O180="","",IF(INDEX('DỮ LIỆU'!$H$3:$H$1052,$O180)="","",INDEX('DỮ LIỆU'!$H$3:$H$1052,$O180)))</f>
        <v/>
      </c>
      <c r="H180" s="13" t="str">
        <f aca="false">IF($O180="","",N(INDEX('DỮ LIỆU'!$I$3:$I$1052,$O180)))</f>
        <v/>
      </c>
      <c r="I180" s="13" t="str">
        <f aca="false">IF($O180="","",N(INDEX('DỮ LIỆU'!$J$3:$J$1052,$O180)))</f>
        <v/>
      </c>
      <c r="J180" s="14" t="str">
        <f aca="false">IF($O180="","",N(INDEX('DỮ LIỆU'!$K$3:$K$1052,$O180)))</f>
        <v/>
      </c>
      <c r="K180" s="13" t="str">
        <f aca="false">IF($O180="","",N(INDEX('DỮ LIỆU'!$L$3:$L$1052,$O180)))</f>
        <v/>
      </c>
      <c r="L180" s="13" t="str">
        <f aca="false">IF($O180="","",N(INDEX('DỮ LIỆU'!$M$3:$M$1052,$O180)))</f>
        <v/>
      </c>
      <c r="M180" s="13" t="str">
        <f aca="false">IF($O180="","",N(INDEX('DỮ LIỆU'!$N$3:$N$1052,$O180)))</f>
        <v/>
      </c>
      <c r="N180" s="13" t="str">
        <f aca="false">IF($O180="","",N(INDEX('DỮ LIỆU'!$O$3:$O$1052,$O180)))</f>
        <v/>
      </c>
      <c r="O180" s="0" t="str">
        <f aca="false">IFERROR(MATCH(175,'DỮ LIỆU'!$U$3:$U$1052,0),"")</f>
        <v/>
      </c>
    </row>
    <row r="181" customFormat="false" ht="15" hidden="false" customHeight="false" outlineLevel="0" collapsed="false">
      <c r="A181" s="21" t="str">
        <f aca="false">IF($O181="","",176)</f>
        <v/>
      </c>
      <c r="B181" s="13" t="str">
        <f aca="false">IF($O181="","",INDEX('DỮ LIỆU'!$A$3:$A$1052,$O181))</f>
        <v/>
      </c>
      <c r="C181" s="41" t="str">
        <f aca="false">IF($O181="","",IF(INDEX('DỮ LIỆU'!$B$3:$B$1052,$O181)="","",INDEX('DỮ LIỆU'!$B$3:$B$1052,$O181)))</f>
        <v/>
      </c>
      <c r="D181" s="21" t="str">
        <f aca="false">IF($O181="","",IF(INDEX('DỮ LIỆU'!$C$3:$C$1052,$O181)="","",INDEX('DỮ LIỆU'!$C$3:$C$1052,$O181)))</f>
        <v/>
      </c>
      <c r="E181" s="21" t="str">
        <f aca="false">IF($O181="","",IF(INDEX('DỮ LIỆU'!$E$3:$E$1052,$O181)="","",INDEX('DỮ LIỆU'!$E$3:$E$1052,$O181)))</f>
        <v/>
      </c>
      <c r="F181" s="21" t="str">
        <f aca="false">IF($O181="","",IF(INDEX('DỮ LIỆU'!$F$3:$F$1052,$O181)="","",INDEX('DỮ LIỆU'!$F$3:$F$1052,$O181)))</f>
        <v/>
      </c>
      <c r="G181" s="21" t="str">
        <f aca="false">IF($O181="","",IF(INDEX('DỮ LIỆU'!$H$3:$H$1052,$O181)="","",INDEX('DỮ LIỆU'!$H$3:$H$1052,$O181)))</f>
        <v/>
      </c>
      <c r="H181" s="13" t="str">
        <f aca="false">IF($O181="","",N(INDEX('DỮ LIỆU'!$I$3:$I$1052,$O181)))</f>
        <v/>
      </c>
      <c r="I181" s="13" t="str">
        <f aca="false">IF($O181="","",N(INDEX('DỮ LIỆU'!$J$3:$J$1052,$O181)))</f>
        <v/>
      </c>
      <c r="J181" s="14" t="str">
        <f aca="false">IF($O181="","",N(INDEX('DỮ LIỆU'!$K$3:$K$1052,$O181)))</f>
        <v/>
      </c>
      <c r="K181" s="13" t="str">
        <f aca="false">IF($O181="","",N(INDEX('DỮ LIỆU'!$L$3:$L$1052,$O181)))</f>
        <v/>
      </c>
      <c r="L181" s="13" t="str">
        <f aca="false">IF($O181="","",N(INDEX('DỮ LIỆU'!$M$3:$M$1052,$O181)))</f>
        <v/>
      </c>
      <c r="M181" s="13" t="str">
        <f aca="false">IF($O181="","",N(INDEX('DỮ LIỆU'!$N$3:$N$1052,$O181)))</f>
        <v/>
      </c>
      <c r="N181" s="13" t="str">
        <f aca="false">IF($O181="","",N(INDEX('DỮ LIỆU'!$O$3:$O$1052,$O181)))</f>
        <v/>
      </c>
      <c r="O181" s="0" t="str">
        <f aca="false">IFERROR(MATCH(176,'DỮ LIỆU'!$U$3:$U$1052,0),"")</f>
        <v/>
      </c>
    </row>
    <row r="182" customFormat="false" ht="15" hidden="false" customHeight="false" outlineLevel="0" collapsed="false">
      <c r="A182" s="21" t="str">
        <f aca="false">IF($O182="","",177)</f>
        <v/>
      </c>
      <c r="B182" s="13" t="str">
        <f aca="false">IF($O182="","",INDEX('DỮ LIỆU'!$A$3:$A$1052,$O182))</f>
        <v/>
      </c>
      <c r="C182" s="41" t="str">
        <f aca="false">IF($O182="","",IF(INDEX('DỮ LIỆU'!$B$3:$B$1052,$O182)="","",INDEX('DỮ LIỆU'!$B$3:$B$1052,$O182)))</f>
        <v/>
      </c>
      <c r="D182" s="21" t="str">
        <f aca="false">IF($O182="","",IF(INDEX('DỮ LIỆU'!$C$3:$C$1052,$O182)="","",INDEX('DỮ LIỆU'!$C$3:$C$1052,$O182)))</f>
        <v/>
      </c>
      <c r="E182" s="21" t="str">
        <f aca="false">IF($O182="","",IF(INDEX('DỮ LIỆU'!$E$3:$E$1052,$O182)="","",INDEX('DỮ LIỆU'!$E$3:$E$1052,$O182)))</f>
        <v/>
      </c>
      <c r="F182" s="21" t="str">
        <f aca="false">IF($O182="","",IF(INDEX('DỮ LIỆU'!$F$3:$F$1052,$O182)="","",INDEX('DỮ LIỆU'!$F$3:$F$1052,$O182)))</f>
        <v/>
      </c>
      <c r="G182" s="21" t="str">
        <f aca="false">IF($O182="","",IF(INDEX('DỮ LIỆU'!$H$3:$H$1052,$O182)="","",INDEX('DỮ LIỆU'!$H$3:$H$1052,$O182)))</f>
        <v/>
      </c>
      <c r="H182" s="13" t="str">
        <f aca="false">IF($O182="","",N(INDEX('DỮ LIỆU'!$I$3:$I$1052,$O182)))</f>
        <v/>
      </c>
      <c r="I182" s="13" t="str">
        <f aca="false">IF($O182="","",N(INDEX('DỮ LIỆU'!$J$3:$J$1052,$O182)))</f>
        <v/>
      </c>
      <c r="J182" s="14" t="str">
        <f aca="false">IF($O182="","",N(INDEX('DỮ LIỆU'!$K$3:$K$1052,$O182)))</f>
        <v/>
      </c>
      <c r="K182" s="13" t="str">
        <f aca="false">IF($O182="","",N(INDEX('DỮ LIỆU'!$L$3:$L$1052,$O182)))</f>
        <v/>
      </c>
      <c r="L182" s="13" t="str">
        <f aca="false">IF($O182="","",N(INDEX('DỮ LIỆU'!$M$3:$M$1052,$O182)))</f>
        <v/>
      </c>
      <c r="M182" s="13" t="str">
        <f aca="false">IF($O182="","",N(INDEX('DỮ LIỆU'!$N$3:$N$1052,$O182)))</f>
        <v/>
      </c>
      <c r="N182" s="13" t="str">
        <f aca="false">IF($O182="","",N(INDEX('DỮ LIỆU'!$O$3:$O$1052,$O182)))</f>
        <v/>
      </c>
      <c r="O182" s="0" t="str">
        <f aca="false">IFERROR(MATCH(177,'DỮ LIỆU'!$U$3:$U$1052,0),"")</f>
        <v/>
      </c>
    </row>
    <row r="183" customFormat="false" ht="15" hidden="false" customHeight="false" outlineLevel="0" collapsed="false">
      <c r="A183" s="21" t="str">
        <f aca="false">IF($O183="","",178)</f>
        <v/>
      </c>
      <c r="B183" s="13" t="str">
        <f aca="false">IF($O183="","",INDEX('DỮ LIỆU'!$A$3:$A$1052,$O183))</f>
        <v/>
      </c>
      <c r="C183" s="41" t="str">
        <f aca="false">IF($O183="","",IF(INDEX('DỮ LIỆU'!$B$3:$B$1052,$O183)="","",INDEX('DỮ LIỆU'!$B$3:$B$1052,$O183)))</f>
        <v/>
      </c>
      <c r="D183" s="21" t="str">
        <f aca="false">IF($O183="","",IF(INDEX('DỮ LIỆU'!$C$3:$C$1052,$O183)="","",INDEX('DỮ LIỆU'!$C$3:$C$1052,$O183)))</f>
        <v/>
      </c>
      <c r="E183" s="21" t="str">
        <f aca="false">IF($O183="","",IF(INDEX('DỮ LIỆU'!$E$3:$E$1052,$O183)="","",INDEX('DỮ LIỆU'!$E$3:$E$1052,$O183)))</f>
        <v/>
      </c>
      <c r="F183" s="21" t="str">
        <f aca="false">IF($O183="","",IF(INDEX('DỮ LIỆU'!$F$3:$F$1052,$O183)="","",INDEX('DỮ LIỆU'!$F$3:$F$1052,$O183)))</f>
        <v/>
      </c>
      <c r="G183" s="21" t="str">
        <f aca="false">IF($O183="","",IF(INDEX('DỮ LIỆU'!$H$3:$H$1052,$O183)="","",INDEX('DỮ LIỆU'!$H$3:$H$1052,$O183)))</f>
        <v/>
      </c>
      <c r="H183" s="13" t="str">
        <f aca="false">IF($O183="","",N(INDEX('DỮ LIỆU'!$I$3:$I$1052,$O183)))</f>
        <v/>
      </c>
      <c r="I183" s="13" t="str">
        <f aca="false">IF($O183="","",N(INDEX('DỮ LIỆU'!$J$3:$J$1052,$O183)))</f>
        <v/>
      </c>
      <c r="J183" s="14" t="str">
        <f aca="false">IF($O183="","",N(INDEX('DỮ LIỆU'!$K$3:$K$1052,$O183)))</f>
        <v/>
      </c>
      <c r="K183" s="13" t="str">
        <f aca="false">IF($O183="","",N(INDEX('DỮ LIỆU'!$L$3:$L$1052,$O183)))</f>
        <v/>
      </c>
      <c r="L183" s="13" t="str">
        <f aca="false">IF($O183="","",N(INDEX('DỮ LIỆU'!$M$3:$M$1052,$O183)))</f>
        <v/>
      </c>
      <c r="M183" s="13" t="str">
        <f aca="false">IF($O183="","",N(INDEX('DỮ LIỆU'!$N$3:$N$1052,$O183)))</f>
        <v/>
      </c>
      <c r="N183" s="13" t="str">
        <f aca="false">IF($O183="","",N(INDEX('DỮ LIỆU'!$O$3:$O$1052,$O183)))</f>
        <v/>
      </c>
      <c r="O183" s="0" t="str">
        <f aca="false">IFERROR(MATCH(178,'DỮ LIỆU'!$U$3:$U$1052,0),"")</f>
        <v/>
      </c>
    </row>
    <row r="184" customFormat="false" ht="15" hidden="false" customHeight="false" outlineLevel="0" collapsed="false">
      <c r="A184" s="21" t="str">
        <f aca="false">IF($O184="","",179)</f>
        <v/>
      </c>
      <c r="B184" s="13" t="str">
        <f aca="false">IF($O184="","",INDEX('DỮ LIỆU'!$A$3:$A$1052,$O184))</f>
        <v/>
      </c>
      <c r="C184" s="41" t="str">
        <f aca="false">IF($O184="","",IF(INDEX('DỮ LIỆU'!$B$3:$B$1052,$O184)="","",INDEX('DỮ LIỆU'!$B$3:$B$1052,$O184)))</f>
        <v/>
      </c>
      <c r="D184" s="21" t="str">
        <f aca="false">IF($O184="","",IF(INDEX('DỮ LIỆU'!$C$3:$C$1052,$O184)="","",INDEX('DỮ LIỆU'!$C$3:$C$1052,$O184)))</f>
        <v/>
      </c>
      <c r="E184" s="21" t="str">
        <f aca="false">IF($O184="","",IF(INDEX('DỮ LIỆU'!$E$3:$E$1052,$O184)="","",INDEX('DỮ LIỆU'!$E$3:$E$1052,$O184)))</f>
        <v/>
      </c>
      <c r="F184" s="21" t="str">
        <f aca="false">IF($O184="","",IF(INDEX('DỮ LIỆU'!$F$3:$F$1052,$O184)="","",INDEX('DỮ LIỆU'!$F$3:$F$1052,$O184)))</f>
        <v/>
      </c>
      <c r="G184" s="21" t="str">
        <f aca="false">IF($O184="","",IF(INDEX('DỮ LIỆU'!$H$3:$H$1052,$O184)="","",INDEX('DỮ LIỆU'!$H$3:$H$1052,$O184)))</f>
        <v/>
      </c>
      <c r="H184" s="13" t="str">
        <f aca="false">IF($O184="","",N(INDEX('DỮ LIỆU'!$I$3:$I$1052,$O184)))</f>
        <v/>
      </c>
      <c r="I184" s="13" t="str">
        <f aca="false">IF($O184="","",N(INDEX('DỮ LIỆU'!$J$3:$J$1052,$O184)))</f>
        <v/>
      </c>
      <c r="J184" s="14" t="str">
        <f aca="false">IF($O184="","",N(INDEX('DỮ LIỆU'!$K$3:$K$1052,$O184)))</f>
        <v/>
      </c>
      <c r="K184" s="13" t="str">
        <f aca="false">IF($O184="","",N(INDEX('DỮ LIỆU'!$L$3:$L$1052,$O184)))</f>
        <v/>
      </c>
      <c r="L184" s="13" t="str">
        <f aca="false">IF($O184="","",N(INDEX('DỮ LIỆU'!$M$3:$M$1052,$O184)))</f>
        <v/>
      </c>
      <c r="M184" s="13" t="str">
        <f aca="false">IF($O184="","",N(INDEX('DỮ LIỆU'!$N$3:$N$1052,$O184)))</f>
        <v/>
      </c>
      <c r="N184" s="13" t="str">
        <f aca="false">IF($O184="","",N(INDEX('DỮ LIỆU'!$O$3:$O$1052,$O184)))</f>
        <v/>
      </c>
      <c r="O184" s="0" t="str">
        <f aca="false">IFERROR(MATCH(179,'DỮ LIỆU'!$U$3:$U$1052,0),"")</f>
        <v/>
      </c>
    </row>
    <row r="185" customFormat="false" ht="15" hidden="false" customHeight="false" outlineLevel="0" collapsed="false">
      <c r="A185" s="21" t="str">
        <f aca="false">IF($O185="","",180)</f>
        <v/>
      </c>
      <c r="B185" s="13" t="str">
        <f aca="false">IF($O185="","",INDEX('DỮ LIỆU'!$A$3:$A$1052,$O185))</f>
        <v/>
      </c>
      <c r="C185" s="41" t="str">
        <f aca="false">IF($O185="","",IF(INDEX('DỮ LIỆU'!$B$3:$B$1052,$O185)="","",INDEX('DỮ LIỆU'!$B$3:$B$1052,$O185)))</f>
        <v/>
      </c>
      <c r="D185" s="21" t="str">
        <f aca="false">IF($O185="","",IF(INDEX('DỮ LIỆU'!$C$3:$C$1052,$O185)="","",INDEX('DỮ LIỆU'!$C$3:$C$1052,$O185)))</f>
        <v/>
      </c>
      <c r="E185" s="21" t="str">
        <f aca="false">IF($O185="","",IF(INDEX('DỮ LIỆU'!$E$3:$E$1052,$O185)="","",INDEX('DỮ LIỆU'!$E$3:$E$1052,$O185)))</f>
        <v/>
      </c>
      <c r="F185" s="21" t="str">
        <f aca="false">IF($O185="","",IF(INDEX('DỮ LIỆU'!$F$3:$F$1052,$O185)="","",INDEX('DỮ LIỆU'!$F$3:$F$1052,$O185)))</f>
        <v/>
      </c>
      <c r="G185" s="21" t="str">
        <f aca="false">IF($O185="","",IF(INDEX('DỮ LIỆU'!$H$3:$H$1052,$O185)="","",INDEX('DỮ LIỆU'!$H$3:$H$1052,$O185)))</f>
        <v/>
      </c>
      <c r="H185" s="13" t="str">
        <f aca="false">IF($O185="","",N(INDEX('DỮ LIỆU'!$I$3:$I$1052,$O185)))</f>
        <v/>
      </c>
      <c r="I185" s="13" t="str">
        <f aca="false">IF($O185="","",N(INDEX('DỮ LIỆU'!$J$3:$J$1052,$O185)))</f>
        <v/>
      </c>
      <c r="J185" s="14" t="str">
        <f aca="false">IF($O185="","",N(INDEX('DỮ LIỆU'!$K$3:$K$1052,$O185)))</f>
        <v/>
      </c>
      <c r="K185" s="13" t="str">
        <f aca="false">IF($O185="","",N(INDEX('DỮ LIỆU'!$L$3:$L$1052,$O185)))</f>
        <v/>
      </c>
      <c r="L185" s="13" t="str">
        <f aca="false">IF($O185="","",N(INDEX('DỮ LIỆU'!$M$3:$M$1052,$O185)))</f>
        <v/>
      </c>
      <c r="M185" s="13" t="str">
        <f aca="false">IF($O185="","",N(INDEX('DỮ LIỆU'!$N$3:$N$1052,$O185)))</f>
        <v/>
      </c>
      <c r="N185" s="13" t="str">
        <f aca="false">IF($O185="","",N(INDEX('DỮ LIỆU'!$O$3:$O$1052,$O185)))</f>
        <v/>
      </c>
      <c r="O185" s="0" t="str">
        <f aca="false">IFERROR(MATCH(180,'DỮ LIỆU'!$U$3:$U$1052,0),"")</f>
        <v/>
      </c>
    </row>
    <row r="186" customFormat="false" ht="15" hidden="false" customHeight="false" outlineLevel="0" collapsed="false">
      <c r="A186" s="21" t="str">
        <f aca="false">IF($O186="","",181)</f>
        <v/>
      </c>
      <c r="B186" s="13" t="str">
        <f aca="false">IF($O186="","",INDEX('DỮ LIỆU'!$A$3:$A$1052,$O186))</f>
        <v/>
      </c>
      <c r="C186" s="41" t="str">
        <f aca="false">IF($O186="","",IF(INDEX('DỮ LIỆU'!$B$3:$B$1052,$O186)="","",INDEX('DỮ LIỆU'!$B$3:$B$1052,$O186)))</f>
        <v/>
      </c>
      <c r="D186" s="21" t="str">
        <f aca="false">IF($O186="","",IF(INDEX('DỮ LIỆU'!$C$3:$C$1052,$O186)="","",INDEX('DỮ LIỆU'!$C$3:$C$1052,$O186)))</f>
        <v/>
      </c>
      <c r="E186" s="21" t="str">
        <f aca="false">IF($O186="","",IF(INDEX('DỮ LIỆU'!$E$3:$E$1052,$O186)="","",INDEX('DỮ LIỆU'!$E$3:$E$1052,$O186)))</f>
        <v/>
      </c>
      <c r="F186" s="21" t="str">
        <f aca="false">IF($O186="","",IF(INDEX('DỮ LIỆU'!$F$3:$F$1052,$O186)="","",INDEX('DỮ LIỆU'!$F$3:$F$1052,$O186)))</f>
        <v/>
      </c>
      <c r="G186" s="21" t="str">
        <f aca="false">IF($O186="","",IF(INDEX('DỮ LIỆU'!$H$3:$H$1052,$O186)="","",INDEX('DỮ LIỆU'!$H$3:$H$1052,$O186)))</f>
        <v/>
      </c>
      <c r="H186" s="13" t="str">
        <f aca="false">IF($O186="","",N(INDEX('DỮ LIỆU'!$I$3:$I$1052,$O186)))</f>
        <v/>
      </c>
      <c r="I186" s="13" t="str">
        <f aca="false">IF($O186="","",N(INDEX('DỮ LIỆU'!$J$3:$J$1052,$O186)))</f>
        <v/>
      </c>
      <c r="J186" s="14" t="str">
        <f aca="false">IF($O186="","",N(INDEX('DỮ LIỆU'!$K$3:$K$1052,$O186)))</f>
        <v/>
      </c>
      <c r="K186" s="13" t="str">
        <f aca="false">IF($O186="","",N(INDEX('DỮ LIỆU'!$L$3:$L$1052,$O186)))</f>
        <v/>
      </c>
      <c r="L186" s="13" t="str">
        <f aca="false">IF($O186="","",N(INDEX('DỮ LIỆU'!$M$3:$M$1052,$O186)))</f>
        <v/>
      </c>
      <c r="M186" s="13" t="str">
        <f aca="false">IF($O186="","",N(INDEX('DỮ LIỆU'!$N$3:$N$1052,$O186)))</f>
        <v/>
      </c>
      <c r="N186" s="13" t="str">
        <f aca="false">IF($O186="","",N(INDEX('DỮ LIỆU'!$O$3:$O$1052,$O186)))</f>
        <v/>
      </c>
      <c r="O186" s="0" t="str">
        <f aca="false">IFERROR(MATCH(181,'DỮ LIỆU'!$U$3:$U$1052,0),"")</f>
        <v/>
      </c>
    </row>
    <row r="187" customFormat="false" ht="15" hidden="false" customHeight="false" outlineLevel="0" collapsed="false">
      <c r="A187" s="21" t="str">
        <f aca="false">IF($O187="","",182)</f>
        <v/>
      </c>
      <c r="B187" s="13" t="str">
        <f aca="false">IF($O187="","",INDEX('DỮ LIỆU'!$A$3:$A$1052,$O187))</f>
        <v/>
      </c>
      <c r="C187" s="41" t="str">
        <f aca="false">IF($O187="","",IF(INDEX('DỮ LIỆU'!$B$3:$B$1052,$O187)="","",INDEX('DỮ LIỆU'!$B$3:$B$1052,$O187)))</f>
        <v/>
      </c>
      <c r="D187" s="21" t="str">
        <f aca="false">IF($O187="","",IF(INDEX('DỮ LIỆU'!$C$3:$C$1052,$O187)="","",INDEX('DỮ LIỆU'!$C$3:$C$1052,$O187)))</f>
        <v/>
      </c>
      <c r="E187" s="21" t="str">
        <f aca="false">IF($O187="","",IF(INDEX('DỮ LIỆU'!$E$3:$E$1052,$O187)="","",INDEX('DỮ LIỆU'!$E$3:$E$1052,$O187)))</f>
        <v/>
      </c>
      <c r="F187" s="21" t="str">
        <f aca="false">IF($O187="","",IF(INDEX('DỮ LIỆU'!$F$3:$F$1052,$O187)="","",INDEX('DỮ LIỆU'!$F$3:$F$1052,$O187)))</f>
        <v/>
      </c>
      <c r="G187" s="21" t="str">
        <f aca="false">IF($O187="","",IF(INDEX('DỮ LIỆU'!$H$3:$H$1052,$O187)="","",INDEX('DỮ LIỆU'!$H$3:$H$1052,$O187)))</f>
        <v/>
      </c>
      <c r="H187" s="13" t="str">
        <f aca="false">IF($O187="","",N(INDEX('DỮ LIỆU'!$I$3:$I$1052,$O187)))</f>
        <v/>
      </c>
      <c r="I187" s="13" t="str">
        <f aca="false">IF($O187="","",N(INDEX('DỮ LIỆU'!$J$3:$J$1052,$O187)))</f>
        <v/>
      </c>
      <c r="J187" s="14" t="str">
        <f aca="false">IF($O187="","",N(INDEX('DỮ LIỆU'!$K$3:$K$1052,$O187)))</f>
        <v/>
      </c>
      <c r="K187" s="13" t="str">
        <f aca="false">IF($O187="","",N(INDEX('DỮ LIỆU'!$L$3:$L$1052,$O187)))</f>
        <v/>
      </c>
      <c r="L187" s="13" t="str">
        <f aca="false">IF($O187="","",N(INDEX('DỮ LIỆU'!$M$3:$M$1052,$O187)))</f>
        <v/>
      </c>
      <c r="M187" s="13" t="str">
        <f aca="false">IF($O187="","",N(INDEX('DỮ LIỆU'!$N$3:$N$1052,$O187)))</f>
        <v/>
      </c>
      <c r="N187" s="13" t="str">
        <f aca="false">IF($O187="","",N(INDEX('DỮ LIỆU'!$O$3:$O$1052,$O187)))</f>
        <v/>
      </c>
      <c r="O187" s="0" t="str">
        <f aca="false">IFERROR(MATCH(182,'DỮ LIỆU'!$U$3:$U$1052,0),"")</f>
        <v/>
      </c>
    </row>
    <row r="188" customFormat="false" ht="15" hidden="false" customHeight="false" outlineLevel="0" collapsed="false">
      <c r="A188" s="21" t="str">
        <f aca="false">IF($O188="","",183)</f>
        <v/>
      </c>
      <c r="B188" s="13" t="str">
        <f aca="false">IF($O188="","",INDEX('DỮ LIỆU'!$A$3:$A$1052,$O188))</f>
        <v/>
      </c>
      <c r="C188" s="41" t="str">
        <f aca="false">IF($O188="","",IF(INDEX('DỮ LIỆU'!$B$3:$B$1052,$O188)="","",INDEX('DỮ LIỆU'!$B$3:$B$1052,$O188)))</f>
        <v/>
      </c>
      <c r="D188" s="21" t="str">
        <f aca="false">IF($O188="","",IF(INDEX('DỮ LIỆU'!$C$3:$C$1052,$O188)="","",INDEX('DỮ LIỆU'!$C$3:$C$1052,$O188)))</f>
        <v/>
      </c>
      <c r="E188" s="21" t="str">
        <f aca="false">IF($O188="","",IF(INDEX('DỮ LIỆU'!$E$3:$E$1052,$O188)="","",INDEX('DỮ LIỆU'!$E$3:$E$1052,$O188)))</f>
        <v/>
      </c>
      <c r="F188" s="21" t="str">
        <f aca="false">IF($O188="","",IF(INDEX('DỮ LIỆU'!$F$3:$F$1052,$O188)="","",INDEX('DỮ LIỆU'!$F$3:$F$1052,$O188)))</f>
        <v/>
      </c>
      <c r="G188" s="21" t="str">
        <f aca="false">IF($O188="","",IF(INDEX('DỮ LIỆU'!$H$3:$H$1052,$O188)="","",INDEX('DỮ LIỆU'!$H$3:$H$1052,$O188)))</f>
        <v/>
      </c>
      <c r="H188" s="13" t="str">
        <f aca="false">IF($O188="","",N(INDEX('DỮ LIỆU'!$I$3:$I$1052,$O188)))</f>
        <v/>
      </c>
      <c r="I188" s="13" t="str">
        <f aca="false">IF($O188="","",N(INDEX('DỮ LIỆU'!$J$3:$J$1052,$O188)))</f>
        <v/>
      </c>
      <c r="J188" s="14" t="str">
        <f aca="false">IF($O188="","",N(INDEX('DỮ LIỆU'!$K$3:$K$1052,$O188)))</f>
        <v/>
      </c>
      <c r="K188" s="13" t="str">
        <f aca="false">IF($O188="","",N(INDEX('DỮ LIỆU'!$L$3:$L$1052,$O188)))</f>
        <v/>
      </c>
      <c r="L188" s="13" t="str">
        <f aca="false">IF($O188="","",N(INDEX('DỮ LIỆU'!$M$3:$M$1052,$O188)))</f>
        <v/>
      </c>
      <c r="M188" s="13" t="str">
        <f aca="false">IF($O188="","",N(INDEX('DỮ LIỆU'!$N$3:$N$1052,$O188)))</f>
        <v/>
      </c>
      <c r="N188" s="13" t="str">
        <f aca="false">IF($O188="","",N(INDEX('DỮ LIỆU'!$O$3:$O$1052,$O188)))</f>
        <v/>
      </c>
      <c r="O188" s="0" t="str">
        <f aca="false">IFERROR(MATCH(183,'DỮ LIỆU'!$U$3:$U$1052,0),"")</f>
        <v/>
      </c>
    </row>
    <row r="189" customFormat="false" ht="15" hidden="false" customHeight="false" outlineLevel="0" collapsed="false">
      <c r="A189" s="21" t="str">
        <f aca="false">IF($O189="","",184)</f>
        <v/>
      </c>
      <c r="B189" s="13" t="str">
        <f aca="false">IF($O189="","",INDEX('DỮ LIỆU'!$A$3:$A$1052,$O189))</f>
        <v/>
      </c>
      <c r="C189" s="41" t="str">
        <f aca="false">IF($O189="","",IF(INDEX('DỮ LIỆU'!$B$3:$B$1052,$O189)="","",INDEX('DỮ LIỆU'!$B$3:$B$1052,$O189)))</f>
        <v/>
      </c>
      <c r="D189" s="21" t="str">
        <f aca="false">IF($O189="","",IF(INDEX('DỮ LIỆU'!$C$3:$C$1052,$O189)="","",INDEX('DỮ LIỆU'!$C$3:$C$1052,$O189)))</f>
        <v/>
      </c>
      <c r="E189" s="21" t="str">
        <f aca="false">IF($O189="","",IF(INDEX('DỮ LIỆU'!$E$3:$E$1052,$O189)="","",INDEX('DỮ LIỆU'!$E$3:$E$1052,$O189)))</f>
        <v/>
      </c>
      <c r="F189" s="21" t="str">
        <f aca="false">IF($O189="","",IF(INDEX('DỮ LIỆU'!$F$3:$F$1052,$O189)="","",INDEX('DỮ LIỆU'!$F$3:$F$1052,$O189)))</f>
        <v/>
      </c>
      <c r="G189" s="21" t="str">
        <f aca="false">IF($O189="","",IF(INDEX('DỮ LIỆU'!$H$3:$H$1052,$O189)="","",INDEX('DỮ LIỆU'!$H$3:$H$1052,$O189)))</f>
        <v/>
      </c>
      <c r="H189" s="13" t="str">
        <f aca="false">IF($O189="","",N(INDEX('DỮ LIỆU'!$I$3:$I$1052,$O189)))</f>
        <v/>
      </c>
      <c r="I189" s="13" t="str">
        <f aca="false">IF($O189="","",N(INDEX('DỮ LIỆU'!$J$3:$J$1052,$O189)))</f>
        <v/>
      </c>
      <c r="J189" s="14" t="str">
        <f aca="false">IF($O189="","",N(INDEX('DỮ LIỆU'!$K$3:$K$1052,$O189)))</f>
        <v/>
      </c>
      <c r="K189" s="13" t="str">
        <f aca="false">IF($O189="","",N(INDEX('DỮ LIỆU'!$L$3:$L$1052,$O189)))</f>
        <v/>
      </c>
      <c r="L189" s="13" t="str">
        <f aca="false">IF($O189="","",N(INDEX('DỮ LIỆU'!$M$3:$M$1052,$O189)))</f>
        <v/>
      </c>
      <c r="M189" s="13" t="str">
        <f aca="false">IF($O189="","",N(INDEX('DỮ LIỆU'!$N$3:$N$1052,$O189)))</f>
        <v/>
      </c>
      <c r="N189" s="13" t="str">
        <f aca="false">IF($O189="","",N(INDEX('DỮ LIỆU'!$O$3:$O$1052,$O189)))</f>
        <v/>
      </c>
      <c r="O189" s="0" t="str">
        <f aca="false">IFERROR(MATCH(184,'DỮ LIỆU'!$U$3:$U$1052,0),"")</f>
        <v/>
      </c>
    </row>
    <row r="190" customFormat="false" ht="15" hidden="false" customHeight="false" outlineLevel="0" collapsed="false">
      <c r="A190" s="21" t="str">
        <f aca="false">IF($O190="","",185)</f>
        <v/>
      </c>
      <c r="B190" s="13" t="str">
        <f aca="false">IF($O190="","",INDEX('DỮ LIỆU'!$A$3:$A$1052,$O190))</f>
        <v/>
      </c>
      <c r="C190" s="41" t="str">
        <f aca="false">IF($O190="","",IF(INDEX('DỮ LIỆU'!$B$3:$B$1052,$O190)="","",INDEX('DỮ LIỆU'!$B$3:$B$1052,$O190)))</f>
        <v/>
      </c>
      <c r="D190" s="21" t="str">
        <f aca="false">IF($O190="","",IF(INDEX('DỮ LIỆU'!$C$3:$C$1052,$O190)="","",INDEX('DỮ LIỆU'!$C$3:$C$1052,$O190)))</f>
        <v/>
      </c>
      <c r="E190" s="21" t="str">
        <f aca="false">IF($O190="","",IF(INDEX('DỮ LIỆU'!$E$3:$E$1052,$O190)="","",INDEX('DỮ LIỆU'!$E$3:$E$1052,$O190)))</f>
        <v/>
      </c>
      <c r="F190" s="21" t="str">
        <f aca="false">IF($O190="","",IF(INDEX('DỮ LIỆU'!$F$3:$F$1052,$O190)="","",INDEX('DỮ LIỆU'!$F$3:$F$1052,$O190)))</f>
        <v/>
      </c>
      <c r="G190" s="21" t="str">
        <f aca="false">IF($O190="","",IF(INDEX('DỮ LIỆU'!$H$3:$H$1052,$O190)="","",INDEX('DỮ LIỆU'!$H$3:$H$1052,$O190)))</f>
        <v/>
      </c>
      <c r="H190" s="13" t="str">
        <f aca="false">IF($O190="","",N(INDEX('DỮ LIỆU'!$I$3:$I$1052,$O190)))</f>
        <v/>
      </c>
      <c r="I190" s="13" t="str">
        <f aca="false">IF($O190="","",N(INDEX('DỮ LIỆU'!$J$3:$J$1052,$O190)))</f>
        <v/>
      </c>
      <c r="J190" s="14" t="str">
        <f aca="false">IF($O190="","",N(INDEX('DỮ LIỆU'!$K$3:$K$1052,$O190)))</f>
        <v/>
      </c>
      <c r="K190" s="13" t="str">
        <f aca="false">IF($O190="","",N(INDEX('DỮ LIỆU'!$L$3:$L$1052,$O190)))</f>
        <v/>
      </c>
      <c r="L190" s="13" t="str">
        <f aca="false">IF($O190="","",N(INDEX('DỮ LIỆU'!$M$3:$M$1052,$O190)))</f>
        <v/>
      </c>
      <c r="M190" s="13" t="str">
        <f aca="false">IF($O190="","",N(INDEX('DỮ LIỆU'!$N$3:$N$1052,$O190)))</f>
        <v/>
      </c>
      <c r="N190" s="13" t="str">
        <f aca="false">IF($O190="","",N(INDEX('DỮ LIỆU'!$O$3:$O$1052,$O190)))</f>
        <v/>
      </c>
      <c r="O190" s="0" t="str">
        <f aca="false">IFERROR(MATCH(185,'DỮ LIỆU'!$U$3:$U$1052,0),"")</f>
        <v/>
      </c>
    </row>
    <row r="191" customFormat="false" ht="15" hidden="false" customHeight="false" outlineLevel="0" collapsed="false">
      <c r="A191" s="21" t="str">
        <f aca="false">IF($O191="","",186)</f>
        <v/>
      </c>
      <c r="B191" s="13" t="str">
        <f aca="false">IF($O191="","",INDEX('DỮ LIỆU'!$A$3:$A$1052,$O191))</f>
        <v/>
      </c>
      <c r="C191" s="41" t="str">
        <f aca="false">IF($O191="","",IF(INDEX('DỮ LIỆU'!$B$3:$B$1052,$O191)="","",INDEX('DỮ LIỆU'!$B$3:$B$1052,$O191)))</f>
        <v/>
      </c>
      <c r="D191" s="21" t="str">
        <f aca="false">IF($O191="","",IF(INDEX('DỮ LIỆU'!$C$3:$C$1052,$O191)="","",INDEX('DỮ LIỆU'!$C$3:$C$1052,$O191)))</f>
        <v/>
      </c>
      <c r="E191" s="21" t="str">
        <f aca="false">IF($O191="","",IF(INDEX('DỮ LIỆU'!$E$3:$E$1052,$O191)="","",INDEX('DỮ LIỆU'!$E$3:$E$1052,$O191)))</f>
        <v/>
      </c>
      <c r="F191" s="21" t="str">
        <f aca="false">IF($O191="","",IF(INDEX('DỮ LIỆU'!$F$3:$F$1052,$O191)="","",INDEX('DỮ LIỆU'!$F$3:$F$1052,$O191)))</f>
        <v/>
      </c>
      <c r="G191" s="21" t="str">
        <f aca="false">IF($O191="","",IF(INDEX('DỮ LIỆU'!$H$3:$H$1052,$O191)="","",INDEX('DỮ LIỆU'!$H$3:$H$1052,$O191)))</f>
        <v/>
      </c>
      <c r="H191" s="13" t="str">
        <f aca="false">IF($O191="","",N(INDEX('DỮ LIỆU'!$I$3:$I$1052,$O191)))</f>
        <v/>
      </c>
      <c r="I191" s="13" t="str">
        <f aca="false">IF($O191="","",N(INDEX('DỮ LIỆU'!$J$3:$J$1052,$O191)))</f>
        <v/>
      </c>
      <c r="J191" s="14" t="str">
        <f aca="false">IF($O191="","",N(INDEX('DỮ LIỆU'!$K$3:$K$1052,$O191)))</f>
        <v/>
      </c>
      <c r="K191" s="13" t="str">
        <f aca="false">IF($O191="","",N(INDEX('DỮ LIỆU'!$L$3:$L$1052,$O191)))</f>
        <v/>
      </c>
      <c r="L191" s="13" t="str">
        <f aca="false">IF($O191="","",N(INDEX('DỮ LIỆU'!$M$3:$M$1052,$O191)))</f>
        <v/>
      </c>
      <c r="M191" s="13" t="str">
        <f aca="false">IF($O191="","",N(INDEX('DỮ LIỆU'!$N$3:$N$1052,$O191)))</f>
        <v/>
      </c>
      <c r="N191" s="13" t="str">
        <f aca="false">IF($O191="","",N(INDEX('DỮ LIỆU'!$O$3:$O$1052,$O191)))</f>
        <v/>
      </c>
      <c r="O191" s="0" t="str">
        <f aca="false">IFERROR(MATCH(186,'DỮ LIỆU'!$U$3:$U$1052,0),"")</f>
        <v/>
      </c>
    </row>
    <row r="192" customFormat="false" ht="15" hidden="false" customHeight="false" outlineLevel="0" collapsed="false">
      <c r="A192" s="21" t="str">
        <f aca="false">IF($O192="","",187)</f>
        <v/>
      </c>
      <c r="B192" s="13" t="str">
        <f aca="false">IF($O192="","",INDEX('DỮ LIỆU'!$A$3:$A$1052,$O192))</f>
        <v/>
      </c>
      <c r="C192" s="41" t="str">
        <f aca="false">IF($O192="","",IF(INDEX('DỮ LIỆU'!$B$3:$B$1052,$O192)="","",INDEX('DỮ LIỆU'!$B$3:$B$1052,$O192)))</f>
        <v/>
      </c>
      <c r="D192" s="21" t="str">
        <f aca="false">IF($O192="","",IF(INDEX('DỮ LIỆU'!$C$3:$C$1052,$O192)="","",INDEX('DỮ LIỆU'!$C$3:$C$1052,$O192)))</f>
        <v/>
      </c>
      <c r="E192" s="21" t="str">
        <f aca="false">IF($O192="","",IF(INDEX('DỮ LIỆU'!$E$3:$E$1052,$O192)="","",INDEX('DỮ LIỆU'!$E$3:$E$1052,$O192)))</f>
        <v/>
      </c>
      <c r="F192" s="21" t="str">
        <f aca="false">IF($O192="","",IF(INDEX('DỮ LIỆU'!$F$3:$F$1052,$O192)="","",INDEX('DỮ LIỆU'!$F$3:$F$1052,$O192)))</f>
        <v/>
      </c>
      <c r="G192" s="21" t="str">
        <f aca="false">IF($O192="","",IF(INDEX('DỮ LIỆU'!$H$3:$H$1052,$O192)="","",INDEX('DỮ LIỆU'!$H$3:$H$1052,$O192)))</f>
        <v/>
      </c>
      <c r="H192" s="13" t="str">
        <f aca="false">IF($O192="","",N(INDEX('DỮ LIỆU'!$I$3:$I$1052,$O192)))</f>
        <v/>
      </c>
      <c r="I192" s="13" t="str">
        <f aca="false">IF($O192="","",N(INDEX('DỮ LIỆU'!$J$3:$J$1052,$O192)))</f>
        <v/>
      </c>
      <c r="J192" s="14" t="str">
        <f aca="false">IF($O192="","",N(INDEX('DỮ LIỆU'!$K$3:$K$1052,$O192)))</f>
        <v/>
      </c>
      <c r="K192" s="13" t="str">
        <f aca="false">IF($O192="","",N(INDEX('DỮ LIỆU'!$L$3:$L$1052,$O192)))</f>
        <v/>
      </c>
      <c r="L192" s="13" t="str">
        <f aca="false">IF($O192="","",N(INDEX('DỮ LIỆU'!$M$3:$M$1052,$O192)))</f>
        <v/>
      </c>
      <c r="M192" s="13" t="str">
        <f aca="false">IF($O192="","",N(INDEX('DỮ LIỆU'!$N$3:$N$1052,$O192)))</f>
        <v/>
      </c>
      <c r="N192" s="13" t="str">
        <f aca="false">IF($O192="","",N(INDEX('DỮ LIỆU'!$O$3:$O$1052,$O192)))</f>
        <v/>
      </c>
      <c r="O192" s="0" t="str">
        <f aca="false">IFERROR(MATCH(187,'DỮ LIỆU'!$U$3:$U$1052,0),"")</f>
        <v/>
      </c>
    </row>
    <row r="193" customFormat="false" ht="15" hidden="false" customHeight="false" outlineLevel="0" collapsed="false">
      <c r="A193" s="21" t="str">
        <f aca="false">IF($O193="","",188)</f>
        <v/>
      </c>
      <c r="B193" s="13" t="str">
        <f aca="false">IF($O193="","",INDEX('DỮ LIỆU'!$A$3:$A$1052,$O193))</f>
        <v/>
      </c>
      <c r="C193" s="41" t="str">
        <f aca="false">IF($O193="","",IF(INDEX('DỮ LIỆU'!$B$3:$B$1052,$O193)="","",INDEX('DỮ LIỆU'!$B$3:$B$1052,$O193)))</f>
        <v/>
      </c>
      <c r="D193" s="21" t="str">
        <f aca="false">IF($O193="","",IF(INDEX('DỮ LIỆU'!$C$3:$C$1052,$O193)="","",INDEX('DỮ LIỆU'!$C$3:$C$1052,$O193)))</f>
        <v/>
      </c>
      <c r="E193" s="21" t="str">
        <f aca="false">IF($O193="","",IF(INDEX('DỮ LIỆU'!$E$3:$E$1052,$O193)="","",INDEX('DỮ LIỆU'!$E$3:$E$1052,$O193)))</f>
        <v/>
      </c>
      <c r="F193" s="21" t="str">
        <f aca="false">IF($O193="","",IF(INDEX('DỮ LIỆU'!$F$3:$F$1052,$O193)="","",INDEX('DỮ LIỆU'!$F$3:$F$1052,$O193)))</f>
        <v/>
      </c>
      <c r="G193" s="21" t="str">
        <f aca="false">IF($O193="","",IF(INDEX('DỮ LIỆU'!$H$3:$H$1052,$O193)="","",INDEX('DỮ LIỆU'!$H$3:$H$1052,$O193)))</f>
        <v/>
      </c>
      <c r="H193" s="13" t="str">
        <f aca="false">IF($O193="","",N(INDEX('DỮ LIỆU'!$I$3:$I$1052,$O193)))</f>
        <v/>
      </c>
      <c r="I193" s="13" t="str">
        <f aca="false">IF($O193="","",N(INDEX('DỮ LIỆU'!$J$3:$J$1052,$O193)))</f>
        <v/>
      </c>
      <c r="J193" s="14" t="str">
        <f aca="false">IF($O193="","",N(INDEX('DỮ LIỆU'!$K$3:$K$1052,$O193)))</f>
        <v/>
      </c>
      <c r="K193" s="13" t="str">
        <f aca="false">IF($O193="","",N(INDEX('DỮ LIỆU'!$L$3:$L$1052,$O193)))</f>
        <v/>
      </c>
      <c r="L193" s="13" t="str">
        <f aca="false">IF($O193="","",N(INDEX('DỮ LIỆU'!$M$3:$M$1052,$O193)))</f>
        <v/>
      </c>
      <c r="M193" s="13" t="str">
        <f aca="false">IF($O193="","",N(INDEX('DỮ LIỆU'!$N$3:$N$1052,$O193)))</f>
        <v/>
      </c>
      <c r="N193" s="13" t="str">
        <f aca="false">IF($O193="","",N(INDEX('DỮ LIỆU'!$O$3:$O$1052,$O193)))</f>
        <v/>
      </c>
      <c r="O193" s="0" t="str">
        <f aca="false">IFERROR(MATCH(188,'DỮ LIỆU'!$U$3:$U$1052,0),"")</f>
        <v/>
      </c>
    </row>
    <row r="194" customFormat="false" ht="15" hidden="false" customHeight="false" outlineLevel="0" collapsed="false">
      <c r="A194" s="21" t="str">
        <f aca="false">IF($O194="","",189)</f>
        <v/>
      </c>
      <c r="B194" s="13" t="str">
        <f aca="false">IF($O194="","",INDEX('DỮ LIỆU'!$A$3:$A$1052,$O194))</f>
        <v/>
      </c>
      <c r="C194" s="41" t="str">
        <f aca="false">IF($O194="","",IF(INDEX('DỮ LIỆU'!$B$3:$B$1052,$O194)="","",INDEX('DỮ LIỆU'!$B$3:$B$1052,$O194)))</f>
        <v/>
      </c>
      <c r="D194" s="21" t="str">
        <f aca="false">IF($O194="","",IF(INDEX('DỮ LIỆU'!$C$3:$C$1052,$O194)="","",INDEX('DỮ LIỆU'!$C$3:$C$1052,$O194)))</f>
        <v/>
      </c>
      <c r="E194" s="21" t="str">
        <f aca="false">IF($O194="","",IF(INDEX('DỮ LIỆU'!$E$3:$E$1052,$O194)="","",INDEX('DỮ LIỆU'!$E$3:$E$1052,$O194)))</f>
        <v/>
      </c>
      <c r="F194" s="21" t="str">
        <f aca="false">IF($O194="","",IF(INDEX('DỮ LIỆU'!$F$3:$F$1052,$O194)="","",INDEX('DỮ LIỆU'!$F$3:$F$1052,$O194)))</f>
        <v/>
      </c>
      <c r="G194" s="21" t="str">
        <f aca="false">IF($O194="","",IF(INDEX('DỮ LIỆU'!$H$3:$H$1052,$O194)="","",INDEX('DỮ LIỆU'!$H$3:$H$1052,$O194)))</f>
        <v/>
      </c>
      <c r="H194" s="13" t="str">
        <f aca="false">IF($O194="","",N(INDEX('DỮ LIỆU'!$I$3:$I$1052,$O194)))</f>
        <v/>
      </c>
      <c r="I194" s="13" t="str">
        <f aca="false">IF($O194="","",N(INDEX('DỮ LIỆU'!$J$3:$J$1052,$O194)))</f>
        <v/>
      </c>
      <c r="J194" s="14" t="str">
        <f aca="false">IF($O194="","",N(INDEX('DỮ LIỆU'!$K$3:$K$1052,$O194)))</f>
        <v/>
      </c>
      <c r="K194" s="13" t="str">
        <f aca="false">IF($O194="","",N(INDEX('DỮ LIỆU'!$L$3:$L$1052,$O194)))</f>
        <v/>
      </c>
      <c r="L194" s="13" t="str">
        <f aca="false">IF($O194="","",N(INDEX('DỮ LIỆU'!$M$3:$M$1052,$O194)))</f>
        <v/>
      </c>
      <c r="M194" s="13" t="str">
        <f aca="false">IF($O194="","",N(INDEX('DỮ LIỆU'!$N$3:$N$1052,$O194)))</f>
        <v/>
      </c>
      <c r="N194" s="13" t="str">
        <f aca="false">IF($O194="","",N(INDEX('DỮ LIỆU'!$O$3:$O$1052,$O194)))</f>
        <v/>
      </c>
      <c r="O194" s="0" t="str">
        <f aca="false">IFERROR(MATCH(189,'DỮ LIỆU'!$U$3:$U$1052,0),"")</f>
        <v/>
      </c>
    </row>
    <row r="195" customFormat="false" ht="15" hidden="false" customHeight="false" outlineLevel="0" collapsed="false">
      <c r="A195" s="21" t="str">
        <f aca="false">IF($O195="","",190)</f>
        <v/>
      </c>
      <c r="B195" s="13" t="str">
        <f aca="false">IF($O195="","",INDEX('DỮ LIỆU'!$A$3:$A$1052,$O195))</f>
        <v/>
      </c>
      <c r="C195" s="41" t="str">
        <f aca="false">IF($O195="","",IF(INDEX('DỮ LIỆU'!$B$3:$B$1052,$O195)="","",INDEX('DỮ LIỆU'!$B$3:$B$1052,$O195)))</f>
        <v/>
      </c>
      <c r="D195" s="21" t="str">
        <f aca="false">IF($O195="","",IF(INDEX('DỮ LIỆU'!$C$3:$C$1052,$O195)="","",INDEX('DỮ LIỆU'!$C$3:$C$1052,$O195)))</f>
        <v/>
      </c>
      <c r="E195" s="21" t="str">
        <f aca="false">IF($O195="","",IF(INDEX('DỮ LIỆU'!$E$3:$E$1052,$O195)="","",INDEX('DỮ LIỆU'!$E$3:$E$1052,$O195)))</f>
        <v/>
      </c>
      <c r="F195" s="21" t="str">
        <f aca="false">IF($O195="","",IF(INDEX('DỮ LIỆU'!$F$3:$F$1052,$O195)="","",INDEX('DỮ LIỆU'!$F$3:$F$1052,$O195)))</f>
        <v/>
      </c>
      <c r="G195" s="21" t="str">
        <f aca="false">IF($O195="","",IF(INDEX('DỮ LIỆU'!$H$3:$H$1052,$O195)="","",INDEX('DỮ LIỆU'!$H$3:$H$1052,$O195)))</f>
        <v/>
      </c>
      <c r="H195" s="13" t="str">
        <f aca="false">IF($O195="","",N(INDEX('DỮ LIỆU'!$I$3:$I$1052,$O195)))</f>
        <v/>
      </c>
      <c r="I195" s="13" t="str">
        <f aca="false">IF($O195="","",N(INDEX('DỮ LIỆU'!$J$3:$J$1052,$O195)))</f>
        <v/>
      </c>
      <c r="J195" s="14" t="str">
        <f aca="false">IF($O195="","",N(INDEX('DỮ LIỆU'!$K$3:$K$1052,$O195)))</f>
        <v/>
      </c>
      <c r="K195" s="13" t="str">
        <f aca="false">IF($O195="","",N(INDEX('DỮ LIỆU'!$L$3:$L$1052,$O195)))</f>
        <v/>
      </c>
      <c r="L195" s="13" t="str">
        <f aca="false">IF($O195="","",N(INDEX('DỮ LIỆU'!$M$3:$M$1052,$O195)))</f>
        <v/>
      </c>
      <c r="M195" s="13" t="str">
        <f aca="false">IF($O195="","",N(INDEX('DỮ LIỆU'!$N$3:$N$1052,$O195)))</f>
        <v/>
      </c>
      <c r="N195" s="13" t="str">
        <f aca="false">IF($O195="","",N(INDEX('DỮ LIỆU'!$O$3:$O$1052,$O195)))</f>
        <v/>
      </c>
      <c r="O195" s="0" t="str">
        <f aca="false">IFERROR(MATCH(190,'DỮ LIỆU'!$U$3:$U$1052,0),"")</f>
        <v/>
      </c>
    </row>
    <row r="196" customFormat="false" ht="15" hidden="false" customHeight="false" outlineLevel="0" collapsed="false">
      <c r="A196" s="21" t="str">
        <f aca="false">IF($O196="","",191)</f>
        <v/>
      </c>
      <c r="B196" s="13" t="str">
        <f aca="false">IF($O196="","",INDEX('DỮ LIỆU'!$A$3:$A$1052,$O196))</f>
        <v/>
      </c>
      <c r="C196" s="41" t="str">
        <f aca="false">IF($O196="","",IF(INDEX('DỮ LIỆU'!$B$3:$B$1052,$O196)="","",INDEX('DỮ LIỆU'!$B$3:$B$1052,$O196)))</f>
        <v/>
      </c>
      <c r="D196" s="21" t="str">
        <f aca="false">IF($O196="","",IF(INDEX('DỮ LIỆU'!$C$3:$C$1052,$O196)="","",INDEX('DỮ LIỆU'!$C$3:$C$1052,$O196)))</f>
        <v/>
      </c>
      <c r="E196" s="21" t="str">
        <f aca="false">IF($O196="","",IF(INDEX('DỮ LIỆU'!$E$3:$E$1052,$O196)="","",INDEX('DỮ LIỆU'!$E$3:$E$1052,$O196)))</f>
        <v/>
      </c>
      <c r="F196" s="21" t="str">
        <f aca="false">IF($O196="","",IF(INDEX('DỮ LIỆU'!$F$3:$F$1052,$O196)="","",INDEX('DỮ LIỆU'!$F$3:$F$1052,$O196)))</f>
        <v/>
      </c>
      <c r="G196" s="21" t="str">
        <f aca="false">IF($O196="","",IF(INDEX('DỮ LIỆU'!$H$3:$H$1052,$O196)="","",INDEX('DỮ LIỆU'!$H$3:$H$1052,$O196)))</f>
        <v/>
      </c>
      <c r="H196" s="13" t="str">
        <f aca="false">IF($O196="","",N(INDEX('DỮ LIỆU'!$I$3:$I$1052,$O196)))</f>
        <v/>
      </c>
      <c r="I196" s="13" t="str">
        <f aca="false">IF($O196="","",N(INDEX('DỮ LIỆU'!$J$3:$J$1052,$O196)))</f>
        <v/>
      </c>
      <c r="J196" s="14" t="str">
        <f aca="false">IF($O196="","",N(INDEX('DỮ LIỆU'!$K$3:$K$1052,$O196)))</f>
        <v/>
      </c>
      <c r="K196" s="13" t="str">
        <f aca="false">IF($O196="","",N(INDEX('DỮ LIỆU'!$L$3:$L$1052,$O196)))</f>
        <v/>
      </c>
      <c r="L196" s="13" t="str">
        <f aca="false">IF($O196="","",N(INDEX('DỮ LIỆU'!$M$3:$M$1052,$O196)))</f>
        <v/>
      </c>
      <c r="M196" s="13" t="str">
        <f aca="false">IF($O196="","",N(INDEX('DỮ LIỆU'!$N$3:$N$1052,$O196)))</f>
        <v/>
      </c>
      <c r="N196" s="13" t="str">
        <f aca="false">IF($O196="","",N(INDEX('DỮ LIỆU'!$O$3:$O$1052,$O196)))</f>
        <v/>
      </c>
      <c r="O196" s="0" t="str">
        <f aca="false">IFERROR(MATCH(191,'DỮ LIỆU'!$U$3:$U$1052,0),"")</f>
        <v/>
      </c>
    </row>
    <row r="197" customFormat="false" ht="15" hidden="false" customHeight="false" outlineLevel="0" collapsed="false">
      <c r="A197" s="21" t="str">
        <f aca="false">IF($O197="","",192)</f>
        <v/>
      </c>
      <c r="B197" s="13" t="str">
        <f aca="false">IF($O197="","",INDEX('DỮ LIỆU'!$A$3:$A$1052,$O197))</f>
        <v/>
      </c>
      <c r="C197" s="41" t="str">
        <f aca="false">IF($O197="","",IF(INDEX('DỮ LIỆU'!$B$3:$B$1052,$O197)="","",INDEX('DỮ LIỆU'!$B$3:$B$1052,$O197)))</f>
        <v/>
      </c>
      <c r="D197" s="21" t="str">
        <f aca="false">IF($O197="","",IF(INDEX('DỮ LIỆU'!$C$3:$C$1052,$O197)="","",INDEX('DỮ LIỆU'!$C$3:$C$1052,$O197)))</f>
        <v/>
      </c>
      <c r="E197" s="21" t="str">
        <f aca="false">IF($O197="","",IF(INDEX('DỮ LIỆU'!$E$3:$E$1052,$O197)="","",INDEX('DỮ LIỆU'!$E$3:$E$1052,$O197)))</f>
        <v/>
      </c>
      <c r="F197" s="21" t="str">
        <f aca="false">IF($O197="","",IF(INDEX('DỮ LIỆU'!$F$3:$F$1052,$O197)="","",INDEX('DỮ LIỆU'!$F$3:$F$1052,$O197)))</f>
        <v/>
      </c>
      <c r="G197" s="21" t="str">
        <f aca="false">IF($O197="","",IF(INDEX('DỮ LIỆU'!$H$3:$H$1052,$O197)="","",INDEX('DỮ LIỆU'!$H$3:$H$1052,$O197)))</f>
        <v/>
      </c>
      <c r="H197" s="13" t="str">
        <f aca="false">IF($O197="","",N(INDEX('DỮ LIỆU'!$I$3:$I$1052,$O197)))</f>
        <v/>
      </c>
      <c r="I197" s="13" t="str">
        <f aca="false">IF($O197="","",N(INDEX('DỮ LIỆU'!$J$3:$J$1052,$O197)))</f>
        <v/>
      </c>
      <c r="J197" s="14" t="str">
        <f aca="false">IF($O197="","",N(INDEX('DỮ LIỆU'!$K$3:$K$1052,$O197)))</f>
        <v/>
      </c>
      <c r="K197" s="13" t="str">
        <f aca="false">IF($O197="","",N(INDEX('DỮ LIỆU'!$L$3:$L$1052,$O197)))</f>
        <v/>
      </c>
      <c r="L197" s="13" t="str">
        <f aca="false">IF($O197="","",N(INDEX('DỮ LIỆU'!$M$3:$M$1052,$O197)))</f>
        <v/>
      </c>
      <c r="M197" s="13" t="str">
        <f aca="false">IF($O197="","",N(INDEX('DỮ LIỆU'!$N$3:$N$1052,$O197)))</f>
        <v/>
      </c>
      <c r="N197" s="13" t="str">
        <f aca="false">IF($O197="","",N(INDEX('DỮ LIỆU'!$O$3:$O$1052,$O197)))</f>
        <v/>
      </c>
      <c r="O197" s="0" t="str">
        <f aca="false">IFERROR(MATCH(192,'DỮ LIỆU'!$U$3:$U$1052,0),"")</f>
        <v/>
      </c>
    </row>
    <row r="198" customFormat="false" ht="15" hidden="false" customHeight="false" outlineLevel="0" collapsed="false">
      <c r="A198" s="21" t="str">
        <f aca="false">IF($O198="","",193)</f>
        <v/>
      </c>
      <c r="B198" s="13" t="str">
        <f aca="false">IF($O198="","",INDEX('DỮ LIỆU'!$A$3:$A$1052,$O198))</f>
        <v/>
      </c>
      <c r="C198" s="41" t="str">
        <f aca="false">IF($O198="","",IF(INDEX('DỮ LIỆU'!$B$3:$B$1052,$O198)="","",INDEX('DỮ LIỆU'!$B$3:$B$1052,$O198)))</f>
        <v/>
      </c>
      <c r="D198" s="21" t="str">
        <f aca="false">IF($O198="","",IF(INDEX('DỮ LIỆU'!$C$3:$C$1052,$O198)="","",INDEX('DỮ LIỆU'!$C$3:$C$1052,$O198)))</f>
        <v/>
      </c>
      <c r="E198" s="21" t="str">
        <f aca="false">IF($O198="","",IF(INDEX('DỮ LIỆU'!$E$3:$E$1052,$O198)="","",INDEX('DỮ LIỆU'!$E$3:$E$1052,$O198)))</f>
        <v/>
      </c>
      <c r="F198" s="21" t="str">
        <f aca="false">IF($O198="","",IF(INDEX('DỮ LIỆU'!$F$3:$F$1052,$O198)="","",INDEX('DỮ LIỆU'!$F$3:$F$1052,$O198)))</f>
        <v/>
      </c>
      <c r="G198" s="21" t="str">
        <f aca="false">IF($O198="","",IF(INDEX('DỮ LIỆU'!$H$3:$H$1052,$O198)="","",INDEX('DỮ LIỆU'!$H$3:$H$1052,$O198)))</f>
        <v/>
      </c>
      <c r="H198" s="13" t="str">
        <f aca="false">IF($O198="","",N(INDEX('DỮ LIỆU'!$I$3:$I$1052,$O198)))</f>
        <v/>
      </c>
      <c r="I198" s="13" t="str">
        <f aca="false">IF($O198="","",N(INDEX('DỮ LIỆU'!$J$3:$J$1052,$O198)))</f>
        <v/>
      </c>
      <c r="J198" s="14" t="str">
        <f aca="false">IF($O198="","",N(INDEX('DỮ LIỆU'!$K$3:$K$1052,$O198)))</f>
        <v/>
      </c>
      <c r="K198" s="13" t="str">
        <f aca="false">IF($O198="","",N(INDEX('DỮ LIỆU'!$L$3:$L$1052,$O198)))</f>
        <v/>
      </c>
      <c r="L198" s="13" t="str">
        <f aca="false">IF($O198="","",N(INDEX('DỮ LIỆU'!$M$3:$M$1052,$O198)))</f>
        <v/>
      </c>
      <c r="M198" s="13" t="str">
        <f aca="false">IF($O198="","",N(INDEX('DỮ LIỆU'!$N$3:$N$1052,$O198)))</f>
        <v/>
      </c>
      <c r="N198" s="13" t="str">
        <f aca="false">IF($O198="","",N(INDEX('DỮ LIỆU'!$O$3:$O$1052,$O198)))</f>
        <v/>
      </c>
      <c r="O198" s="0" t="str">
        <f aca="false">IFERROR(MATCH(193,'DỮ LIỆU'!$U$3:$U$1052,0),"")</f>
        <v/>
      </c>
    </row>
    <row r="199" customFormat="false" ht="15" hidden="false" customHeight="false" outlineLevel="0" collapsed="false">
      <c r="A199" s="21" t="str">
        <f aca="false">IF($O199="","",194)</f>
        <v/>
      </c>
      <c r="B199" s="13" t="str">
        <f aca="false">IF($O199="","",INDEX('DỮ LIỆU'!$A$3:$A$1052,$O199))</f>
        <v/>
      </c>
      <c r="C199" s="41" t="str">
        <f aca="false">IF($O199="","",IF(INDEX('DỮ LIỆU'!$B$3:$B$1052,$O199)="","",INDEX('DỮ LIỆU'!$B$3:$B$1052,$O199)))</f>
        <v/>
      </c>
      <c r="D199" s="21" t="str">
        <f aca="false">IF($O199="","",IF(INDEX('DỮ LIỆU'!$C$3:$C$1052,$O199)="","",INDEX('DỮ LIỆU'!$C$3:$C$1052,$O199)))</f>
        <v/>
      </c>
      <c r="E199" s="21" t="str">
        <f aca="false">IF($O199="","",IF(INDEX('DỮ LIỆU'!$E$3:$E$1052,$O199)="","",INDEX('DỮ LIỆU'!$E$3:$E$1052,$O199)))</f>
        <v/>
      </c>
      <c r="F199" s="21" t="str">
        <f aca="false">IF($O199="","",IF(INDEX('DỮ LIỆU'!$F$3:$F$1052,$O199)="","",INDEX('DỮ LIỆU'!$F$3:$F$1052,$O199)))</f>
        <v/>
      </c>
      <c r="G199" s="21" t="str">
        <f aca="false">IF($O199="","",IF(INDEX('DỮ LIỆU'!$H$3:$H$1052,$O199)="","",INDEX('DỮ LIỆU'!$H$3:$H$1052,$O199)))</f>
        <v/>
      </c>
      <c r="H199" s="13" t="str">
        <f aca="false">IF($O199="","",N(INDEX('DỮ LIỆU'!$I$3:$I$1052,$O199)))</f>
        <v/>
      </c>
      <c r="I199" s="13" t="str">
        <f aca="false">IF($O199="","",N(INDEX('DỮ LIỆU'!$J$3:$J$1052,$O199)))</f>
        <v/>
      </c>
      <c r="J199" s="14" t="str">
        <f aca="false">IF($O199="","",N(INDEX('DỮ LIỆU'!$K$3:$K$1052,$O199)))</f>
        <v/>
      </c>
      <c r="K199" s="13" t="str">
        <f aca="false">IF($O199="","",N(INDEX('DỮ LIỆU'!$L$3:$L$1052,$O199)))</f>
        <v/>
      </c>
      <c r="L199" s="13" t="str">
        <f aca="false">IF($O199="","",N(INDEX('DỮ LIỆU'!$M$3:$M$1052,$O199)))</f>
        <v/>
      </c>
      <c r="M199" s="13" t="str">
        <f aca="false">IF($O199="","",N(INDEX('DỮ LIỆU'!$N$3:$N$1052,$O199)))</f>
        <v/>
      </c>
      <c r="N199" s="13" t="str">
        <f aca="false">IF($O199="","",N(INDEX('DỮ LIỆU'!$O$3:$O$1052,$O199)))</f>
        <v/>
      </c>
      <c r="O199" s="0" t="str">
        <f aca="false">IFERROR(MATCH(194,'DỮ LIỆU'!$U$3:$U$1052,0),"")</f>
        <v/>
      </c>
    </row>
    <row r="200" customFormat="false" ht="15" hidden="false" customHeight="false" outlineLevel="0" collapsed="false">
      <c r="A200" s="21" t="str">
        <f aca="false">IF($O200="","",195)</f>
        <v/>
      </c>
      <c r="B200" s="13" t="str">
        <f aca="false">IF($O200="","",INDEX('DỮ LIỆU'!$A$3:$A$1052,$O200))</f>
        <v/>
      </c>
      <c r="C200" s="41" t="str">
        <f aca="false">IF($O200="","",IF(INDEX('DỮ LIỆU'!$B$3:$B$1052,$O200)="","",INDEX('DỮ LIỆU'!$B$3:$B$1052,$O200)))</f>
        <v/>
      </c>
      <c r="D200" s="21" t="str">
        <f aca="false">IF($O200="","",IF(INDEX('DỮ LIỆU'!$C$3:$C$1052,$O200)="","",INDEX('DỮ LIỆU'!$C$3:$C$1052,$O200)))</f>
        <v/>
      </c>
      <c r="E200" s="21" t="str">
        <f aca="false">IF($O200="","",IF(INDEX('DỮ LIỆU'!$E$3:$E$1052,$O200)="","",INDEX('DỮ LIỆU'!$E$3:$E$1052,$O200)))</f>
        <v/>
      </c>
      <c r="F200" s="21" t="str">
        <f aca="false">IF($O200="","",IF(INDEX('DỮ LIỆU'!$F$3:$F$1052,$O200)="","",INDEX('DỮ LIỆU'!$F$3:$F$1052,$O200)))</f>
        <v/>
      </c>
      <c r="G200" s="21" t="str">
        <f aca="false">IF($O200="","",IF(INDEX('DỮ LIỆU'!$H$3:$H$1052,$O200)="","",INDEX('DỮ LIỆU'!$H$3:$H$1052,$O200)))</f>
        <v/>
      </c>
      <c r="H200" s="13" t="str">
        <f aca="false">IF($O200="","",N(INDEX('DỮ LIỆU'!$I$3:$I$1052,$O200)))</f>
        <v/>
      </c>
      <c r="I200" s="13" t="str">
        <f aca="false">IF($O200="","",N(INDEX('DỮ LIỆU'!$J$3:$J$1052,$O200)))</f>
        <v/>
      </c>
      <c r="J200" s="14" t="str">
        <f aca="false">IF($O200="","",N(INDEX('DỮ LIỆU'!$K$3:$K$1052,$O200)))</f>
        <v/>
      </c>
      <c r="K200" s="13" t="str">
        <f aca="false">IF($O200="","",N(INDEX('DỮ LIỆU'!$L$3:$L$1052,$O200)))</f>
        <v/>
      </c>
      <c r="L200" s="13" t="str">
        <f aca="false">IF($O200="","",N(INDEX('DỮ LIỆU'!$M$3:$M$1052,$O200)))</f>
        <v/>
      </c>
      <c r="M200" s="13" t="str">
        <f aca="false">IF($O200="","",N(INDEX('DỮ LIỆU'!$N$3:$N$1052,$O200)))</f>
        <v/>
      </c>
      <c r="N200" s="13" t="str">
        <f aca="false">IF($O200="","",N(INDEX('DỮ LIỆU'!$O$3:$O$1052,$O200)))</f>
        <v/>
      </c>
      <c r="O200" s="0" t="str">
        <f aca="false">IFERROR(MATCH(195,'DỮ LIỆU'!$U$3:$U$1052,0),"")</f>
        <v/>
      </c>
    </row>
    <row r="201" customFormat="false" ht="15" hidden="false" customHeight="false" outlineLevel="0" collapsed="false">
      <c r="A201" s="21" t="str">
        <f aca="false">IF($O201="","",196)</f>
        <v/>
      </c>
      <c r="B201" s="13" t="str">
        <f aca="false">IF($O201="","",INDEX('DỮ LIỆU'!$A$3:$A$1052,$O201))</f>
        <v/>
      </c>
      <c r="C201" s="41" t="str">
        <f aca="false">IF($O201="","",IF(INDEX('DỮ LIỆU'!$B$3:$B$1052,$O201)="","",INDEX('DỮ LIỆU'!$B$3:$B$1052,$O201)))</f>
        <v/>
      </c>
      <c r="D201" s="21" t="str">
        <f aca="false">IF($O201="","",IF(INDEX('DỮ LIỆU'!$C$3:$C$1052,$O201)="","",INDEX('DỮ LIỆU'!$C$3:$C$1052,$O201)))</f>
        <v/>
      </c>
      <c r="E201" s="21" t="str">
        <f aca="false">IF($O201="","",IF(INDEX('DỮ LIỆU'!$E$3:$E$1052,$O201)="","",INDEX('DỮ LIỆU'!$E$3:$E$1052,$O201)))</f>
        <v/>
      </c>
      <c r="F201" s="21" t="str">
        <f aca="false">IF($O201="","",IF(INDEX('DỮ LIỆU'!$F$3:$F$1052,$O201)="","",INDEX('DỮ LIỆU'!$F$3:$F$1052,$O201)))</f>
        <v/>
      </c>
      <c r="G201" s="21" t="str">
        <f aca="false">IF($O201="","",IF(INDEX('DỮ LIỆU'!$H$3:$H$1052,$O201)="","",INDEX('DỮ LIỆU'!$H$3:$H$1052,$O201)))</f>
        <v/>
      </c>
      <c r="H201" s="13" t="str">
        <f aca="false">IF($O201="","",N(INDEX('DỮ LIỆU'!$I$3:$I$1052,$O201)))</f>
        <v/>
      </c>
      <c r="I201" s="13" t="str">
        <f aca="false">IF($O201="","",N(INDEX('DỮ LIỆU'!$J$3:$J$1052,$O201)))</f>
        <v/>
      </c>
      <c r="J201" s="14" t="str">
        <f aca="false">IF($O201="","",N(INDEX('DỮ LIỆU'!$K$3:$K$1052,$O201)))</f>
        <v/>
      </c>
      <c r="K201" s="13" t="str">
        <f aca="false">IF($O201="","",N(INDEX('DỮ LIỆU'!$L$3:$L$1052,$O201)))</f>
        <v/>
      </c>
      <c r="L201" s="13" t="str">
        <f aca="false">IF($O201="","",N(INDEX('DỮ LIỆU'!$M$3:$M$1052,$O201)))</f>
        <v/>
      </c>
      <c r="M201" s="13" t="str">
        <f aca="false">IF($O201="","",N(INDEX('DỮ LIỆU'!$N$3:$N$1052,$O201)))</f>
        <v/>
      </c>
      <c r="N201" s="13" t="str">
        <f aca="false">IF($O201="","",N(INDEX('DỮ LIỆU'!$O$3:$O$1052,$O201)))</f>
        <v/>
      </c>
      <c r="O201" s="0" t="str">
        <f aca="false">IFERROR(MATCH(196,'DỮ LIỆU'!$U$3:$U$1052,0),"")</f>
        <v/>
      </c>
    </row>
    <row r="202" customFormat="false" ht="15" hidden="false" customHeight="false" outlineLevel="0" collapsed="false">
      <c r="A202" s="21" t="str">
        <f aca="false">IF($O202="","",197)</f>
        <v/>
      </c>
      <c r="B202" s="13" t="str">
        <f aca="false">IF($O202="","",INDEX('DỮ LIỆU'!$A$3:$A$1052,$O202))</f>
        <v/>
      </c>
      <c r="C202" s="41" t="str">
        <f aca="false">IF($O202="","",IF(INDEX('DỮ LIỆU'!$B$3:$B$1052,$O202)="","",INDEX('DỮ LIỆU'!$B$3:$B$1052,$O202)))</f>
        <v/>
      </c>
      <c r="D202" s="21" t="str">
        <f aca="false">IF($O202="","",IF(INDEX('DỮ LIỆU'!$C$3:$C$1052,$O202)="","",INDEX('DỮ LIỆU'!$C$3:$C$1052,$O202)))</f>
        <v/>
      </c>
      <c r="E202" s="21" t="str">
        <f aca="false">IF($O202="","",IF(INDEX('DỮ LIỆU'!$E$3:$E$1052,$O202)="","",INDEX('DỮ LIỆU'!$E$3:$E$1052,$O202)))</f>
        <v/>
      </c>
      <c r="F202" s="21" t="str">
        <f aca="false">IF($O202="","",IF(INDEX('DỮ LIỆU'!$F$3:$F$1052,$O202)="","",INDEX('DỮ LIỆU'!$F$3:$F$1052,$O202)))</f>
        <v/>
      </c>
      <c r="G202" s="21" t="str">
        <f aca="false">IF($O202="","",IF(INDEX('DỮ LIỆU'!$H$3:$H$1052,$O202)="","",INDEX('DỮ LIỆU'!$H$3:$H$1052,$O202)))</f>
        <v/>
      </c>
      <c r="H202" s="13" t="str">
        <f aca="false">IF($O202="","",N(INDEX('DỮ LIỆU'!$I$3:$I$1052,$O202)))</f>
        <v/>
      </c>
      <c r="I202" s="13" t="str">
        <f aca="false">IF($O202="","",N(INDEX('DỮ LIỆU'!$J$3:$J$1052,$O202)))</f>
        <v/>
      </c>
      <c r="J202" s="14" t="str">
        <f aca="false">IF($O202="","",N(INDEX('DỮ LIỆU'!$K$3:$K$1052,$O202)))</f>
        <v/>
      </c>
      <c r="K202" s="13" t="str">
        <f aca="false">IF($O202="","",N(INDEX('DỮ LIỆU'!$L$3:$L$1052,$O202)))</f>
        <v/>
      </c>
      <c r="L202" s="13" t="str">
        <f aca="false">IF($O202="","",N(INDEX('DỮ LIỆU'!$M$3:$M$1052,$O202)))</f>
        <v/>
      </c>
      <c r="M202" s="13" t="str">
        <f aca="false">IF($O202="","",N(INDEX('DỮ LIỆU'!$N$3:$N$1052,$O202)))</f>
        <v/>
      </c>
      <c r="N202" s="13" t="str">
        <f aca="false">IF($O202="","",N(INDEX('DỮ LIỆU'!$O$3:$O$1052,$O202)))</f>
        <v/>
      </c>
      <c r="O202" s="0" t="str">
        <f aca="false">IFERROR(MATCH(197,'DỮ LIỆU'!$U$3:$U$1052,0),"")</f>
        <v/>
      </c>
    </row>
    <row r="203" customFormat="false" ht="15" hidden="false" customHeight="false" outlineLevel="0" collapsed="false">
      <c r="A203" s="21" t="str">
        <f aca="false">IF($O203="","",198)</f>
        <v/>
      </c>
      <c r="B203" s="13" t="str">
        <f aca="false">IF($O203="","",INDEX('DỮ LIỆU'!$A$3:$A$1052,$O203))</f>
        <v/>
      </c>
      <c r="C203" s="41" t="str">
        <f aca="false">IF($O203="","",IF(INDEX('DỮ LIỆU'!$B$3:$B$1052,$O203)="","",INDEX('DỮ LIỆU'!$B$3:$B$1052,$O203)))</f>
        <v/>
      </c>
      <c r="D203" s="21" t="str">
        <f aca="false">IF($O203="","",IF(INDEX('DỮ LIỆU'!$C$3:$C$1052,$O203)="","",INDEX('DỮ LIỆU'!$C$3:$C$1052,$O203)))</f>
        <v/>
      </c>
      <c r="E203" s="21" t="str">
        <f aca="false">IF($O203="","",IF(INDEX('DỮ LIỆU'!$E$3:$E$1052,$O203)="","",INDEX('DỮ LIỆU'!$E$3:$E$1052,$O203)))</f>
        <v/>
      </c>
      <c r="F203" s="21" t="str">
        <f aca="false">IF($O203="","",IF(INDEX('DỮ LIỆU'!$F$3:$F$1052,$O203)="","",INDEX('DỮ LIỆU'!$F$3:$F$1052,$O203)))</f>
        <v/>
      </c>
      <c r="G203" s="21" t="str">
        <f aca="false">IF($O203="","",IF(INDEX('DỮ LIỆU'!$H$3:$H$1052,$O203)="","",INDEX('DỮ LIỆU'!$H$3:$H$1052,$O203)))</f>
        <v/>
      </c>
      <c r="H203" s="13" t="str">
        <f aca="false">IF($O203="","",N(INDEX('DỮ LIỆU'!$I$3:$I$1052,$O203)))</f>
        <v/>
      </c>
      <c r="I203" s="13" t="str">
        <f aca="false">IF($O203="","",N(INDEX('DỮ LIỆU'!$J$3:$J$1052,$O203)))</f>
        <v/>
      </c>
      <c r="J203" s="14" t="str">
        <f aca="false">IF($O203="","",N(INDEX('DỮ LIỆU'!$K$3:$K$1052,$O203)))</f>
        <v/>
      </c>
      <c r="K203" s="13" t="str">
        <f aca="false">IF($O203="","",N(INDEX('DỮ LIỆU'!$L$3:$L$1052,$O203)))</f>
        <v/>
      </c>
      <c r="L203" s="13" t="str">
        <f aca="false">IF($O203="","",N(INDEX('DỮ LIỆU'!$M$3:$M$1052,$O203)))</f>
        <v/>
      </c>
      <c r="M203" s="13" t="str">
        <f aca="false">IF($O203="","",N(INDEX('DỮ LIỆU'!$N$3:$N$1052,$O203)))</f>
        <v/>
      </c>
      <c r="N203" s="13" t="str">
        <f aca="false">IF($O203="","",N(INDEX('DỮ LIỆU'!$O$3:$O$1052,$O203)))</f>
        <v/>
      </c>
      <c r="O203" s="0" t="str">
        <f aca="false">IFERROR(MATCH(198,'DỮ LIỆU'!$U$3:$U$1052,0),"")</f>
        <v/>
      </c>
    </row>
    <row r="204" customFormat="false" ht="15" hidden="false" customHeight="false" outlineLevel="0" collapsed="false">
      <c r="A204" s="21" t="str">
        <f aca="false">IF($O204="","",199)</f>
        <v/>
      </c>
      <c r="B204" s="13" t="str">
        <f aca="false">IF($O204="","",INDEX('DỮ LIỆU'!$A$3:$A$1052,$O204))</f>
        <v/>
      </c>
      <c r="C204" s="41" t="str">
        <f aca="false">IF($O204="","",IF(INDEX('DỮ LIỆU'!$B$3:$B$1052,$O204)="","",INDEX('DỮ LIỆU'!$B$3:$B$1052,$O204)))</f>
        <v/>
      </c>
      <c r="D204" s="21" t="str">
        <f aca="false">IF($O204="","",IF(INDEX('DỮ LIỆU'!$C$3:$C$1052,$O204)="","",INDEX('DỮ LIỆU'!$C$3:$C$1052,$O204)))</f>
        <v/>
      </c>
      <c r="E204" s="21" t="str">
        <f aca="false">IF($O204="","",IF(INDEX('DỮ LIỆU'!$E$3:$E$1052,$O204)="","",INDEX('DỮ LIỆU'!$E$3:$E$1052,$O204)))</f>
        <v/>
      </c>
      <c r="F204" s="21" t="str">
        <f aca="false">IF($O204="","",IF(INDEX('DỮ LIỆU'!$F$3:$F$1052,$O204)="","",INDEX('DỮ LIỆU'!$F$3:$F$1052,$O204)))</f>
        <v/>
      </c>
      <c r="G204" s="21" t="str">
        <f aca="false">IF($O204="","",IF(INDEX('DỮ LIỆU'!$H$3:$H$1052,$O204)="","",INDEX('DỮ LIỆU'!$H$3:$H$1052,$O204)))</f>
        <v/>
      </c>
      <c r="H204" s="13" t="str">
        <f aca="false">IF($O204="","",N(INDEX('DỮ LIỆU'!$I$3:$I$1052,$O204)))</f>
        <v/>
      </c>
      <c r="I204" s="13" t="str">
        <f aca="false">IF($O204="","",N(INDEX('DỮ LIỆU'!$J$3:$J$1052,$O204)))</f>
        <v/>
      </c>
      <c r="J204" s="14" t="str">
        <f aca="false">IF($O204="","",N(INDEX('DỮ LIỆU'!$K$3:$K$1052,$O204)))</f>
        <v/>
      </c>
      <c r="K204" s="13" t="str">
        <f aca="false">IF($O204="","",N(INDEX('DỮ LIỆU'!$L$3:$L$1052,$O204)))</f>
        <v/>
      </c>
      <c r="L204" s="13" t="str">
        <f aca="false">IF($O204="","",N(INDEX('DỮ LIỆU'!$M$3:$M$1052,$O204)))</f>
        <v/>
      </c>
      <c r="M204" s="13" t="str">
        <f aca="false">IF($O204="","",N(INDEX('DỮ LIỆU'!$N$3:$N$1052,$O204)))</f>
        <v/>
      </c>
      <c r="N204" s="13" t="str">
        <f aca="false">IF($O204="","",N(INDEX('DỮ LIỆU'!$O$3:$O$1052,$O204)))</f>
        <v/>
      </c>
      <c r="O204" s="0" t="str">
        <f aca="false">IFERROR(MATCH(199,'DỮ LIỆU'!$U$3:$U$1052,0),"")</f>
        <v/>
      </c>
    </row>
    <row r="205" customFormat="false" ht="15" hidden="false" customHeight="false" outlineLevel="0" collapsed="false">
      <c r="A205" s="21" t="str">
        <f aca="false">IF($O205="","",200)</f>
        <v/>
      </c>
      <c r="B205" s="13" t="str">
        <f aca="false">IF($O205="","",INDEX('DỮ LIỆU'!$A$3:$A$1052,$O205))</f>
        <v/>
      </c>
      <c r="C205" s="41" t="str">
        <f aca="false">IF($O205="","",IF(INDEX('DỮ LIỆU'!$B$3:$B$1052,$O205)="","",INDEX('DỮ LIỆU'!$B$3:$B$1052,$O205)))</f>
        <v/>
      </c>
      <c r="D205" s="21" t="str">
        <f aca="false">IF($O205="","",IF(INDEX('DỮ LIỆU'!$C$3:$C$1052,$O205)="","",INDEX('DỮ LIỆU'!$C$3:$C$1052,$O205)))</f>
        <v/>
      </c>
      <c r="E205" s="21" t="str">
        <f aca="false">IF($O205="","",IF(INDEX('DỮ LIỆU'!$E$3:$E$1052,$O205)="","",INDEX('DỮ LIỆU'!$E$3:$E$1052,$O205)))</f>
        <v/>
      </c>
      <c r="F205" s="21" t="str">
        <f aca="false">IF($O205="","",IF(INDEX('DỮ LIỆU'!$F$3:$F$1052,$O205)="","",INDEX('DỮ LIỆU'!$F$3:$F$1052,$O205)))</f>
        <v/>
      </c>
      <c r="G205" s="21" t="str">
        <f aca="false">IF($O205="","",IF(INDEX('DỮ LIỆU'!$H$3:$H$1052,$O205)="","",INDEX('DỮ LIỆU'!$H$3:$H$1052,$O205)))</f>
        <v/>
      </c>
      <c r="H205" s="13" t="str">
        <f aca="false">IF($O205="","",N(INDEX('DỮ LIỆU'!$I$3:$I$1052,$O205)))</f>
        <v/>
      </c>
      <c r="I205" s="13" t="str">
        <f aca="false">IF($O205="","",N(INDEX('DỮ LIỆU'!$J$3:$J$1052,$O205)))</f>
        <v/>
      </c>
      <c r="J205" s="14" t="str">
        <f aca="false">IF($O205="","",N(INDEX('DỮ LIỆU'!$K$3:$K$1052,$O205)))</f>
        <v/>
      </c>
      <c r="K205" s="13" t="str">
        <f aca="false">IF($O205="","",N(INDEX('DỮ LIỆU'!$L$3:$L$1052,$O205)))</f>
        <v/>
      </c>
      <c r="L205" s="13" t="str">
        <f aca="false">IF($O205="","",N(INDEX('DỮ LIỆU'!$M$3:$M$1052,$O205)))</f>
        <v/>
      </c>
      <c r="M205" s="13" t="str">
        <f aca="false">IF($O205="","",N(INDEX('DỮ LIỆU'!$N$3:$N$1052,$O205)))</f>
        <v/>
      </c>
      <c r="N205" s="13" t="str">
        <f aca="false">IF($O205="","",N(INDEX('DỮ LIỆU'!$O$3:$O$1052,$O205)))</f>
        <v/>
      </c>
      <c r="O205" s="0" t="str">
        <f aca="false">IFERROR(MATCH(200,'DỮ LIỆU'!$U$3:$U$1052,0),"")</f>
        <v/>
      </c>
    </row>
  </sheetData>
  <autoFilter ref="A5:N205"/>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M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2"/>
    <col collapsed="false" customWidth="true" hidden="false" outlineLevel="0" max="4" min="4" style="0" width="30"/>
    <col collapsed="false" customWidth="true" hidden="false" outlineLevel="0" max="5" min="5" style="0" width="14"/>
    <col collapsed="false" customWidth="true" hidden="false" outlineLevel="0" max="6" min="6" style="0" width="30"/>
    <col collapsed="false" customWidth="true" hidden="false" outlineLevel="0" max="7" min="7" style="0" width="10"/>
    <col collapsed="false" customWidth="true" hidden="false" outlineLevel="0" max="8" min="8" style="0" width="16"/>
    <col collapsed="false" customWidth="true" hidden="false" outlineLevel="0" max="9" min="9" style="0" width="17"/>
    <col collapsed="false" customWidth="true" hidden="false" outlineLevel="0" max="11" min="10" style="0" width="15"/>
    <col collapsed="false" customWidth="true" hidden="false" outlineLevel="0" max="12" min="12" style="0" width="28"/>
    <col collapsed="false" customWidth="true" hidden="true" outlineLevel="0" max="13" min="13" style="0" width="13"/>
  </cols>
  <sheetData>
    <row r="1" customFormat="false" ht="27.75" hidden="false" customHeight="true" outlineLevel="0" collapsed="false">
      <c r="A1" s="1" t="s">
        <v>493</v>
      </c>
      <c r="B1" s="1"/>
      <c r="C1" s="1"/>
      <c r="D1" s="1"/>
      <c r="E1" s="1"/>
      <c r="F1" s="1"/>
      <c r="G1" s="1"/>
      <c r="H1" s="1"/>
      <c r="I1" s="1"/>
      <c r="J1" s="1"/>
      <c r="K1" s="1"/>
      <c r="L1" s="1"/>
    </row>
    <row r="2" customFormat="false" ht="18.75" hidden="false" customHeight="true" outlineLevel="0" collapsed="false">
      <c r="A2" s="2" t="s">
        <v>494</v>
      </c>
      <c r="B2" s="2"/>
      <c r="C2" s="2"/>
      <c r="D2" s="2"/>
      <c r="E2" s="2"/>
      <c r="F2" s="2"/>
      <c r="G2" s="2"/>
      <c r="H2" s="2"/>
      <c r="I2" s="2"/>
      <c r="J2" s="2"/>
      <c r="K2" s="2"/>
      <c r="L2" s="2"/>
    </row>
    <row r="3" customFormat="false" ht="15" hidden="false" customHeight="false" outlineLevel="0" collapsed="false">
      <c r="A3" s="44" t="s">
        <v>495</v>
      </c>
      <c r="B3" s="45" t="n">
        <f aca="false">SUMIF('DỮ LIỆU'!$K$3:$K$1052,0,'DỮ LIỆU'!$J$3:$J$1052)</f>
        <v>153910000</v>
      </c>
      <c r="C3" s="44" t="s">
        <v>496</v>
      </c>
      <c r="D3" s="45" t="n">
        <f aca="false">SUMIF('DỮ LIỆU'!$K$3:$K$1052,0,'DỮ LIỆU'!$N$3:$N$1052)</f>
        <v>134490000</v>
      </c>
      <c r="E3" s="44" t="s">
        <v>497</v>
      </c>
      <c r="F3" s="46" t="n">
        <f aca="false">SUMIF('DỮ LIỆU'!$K$3:$K$1052,0,'DỮ LIỆU'!$O$3:$O$1052)</f>
        <v>19420000</v>
      </c>
    </row>
    <row r="5" customFormat="false" ht="33.75" hidden="false" customHeight="true" outlineLevel="0" collapsed="false">
      <c r="A5" s="10" t="s">
        <v>138</v>
      </c>
      <c r="B5" s="10" t="s">
        <v>421</v>
      </c>
      <c r="C5" s="10" t="s">
        <v>139</v>
      </c>
      <c r="D5" s="10" t="s">
        <v>140</v>
      </c>
      <c r="E5" s="10" t="s">
        <v>141</v>
      </c>
      <c r="F5" s="10" t="s">
        <v>59</v>
      </c>
      <c r="G5" s="10" t="s">
        <v>145</v>
      </c>
      <c r="H5" s="10" t="s">
        <v>147</v>
      </c>
      <c r="I5" s="10" t="s">
        <v>151</v>
      </c>
      <c r="J5" s="10" t="s">
        <v>152</v>
      </c>
      <c r="K5" s="10" t="s">
        <v>155</v>
      </c>
      <c r="L5" s="10" t="s">
        <v>65</v>
      </c>
    </row>
    <row r="6" customFormat="false" ht="15" hidden="false" customHeight="false" outlineLevel="0" collapsed="false">
      <c r="A6" s="21" t="n">
        <f aca="false">IF($M6="","",1)</f>
        <v>1</v>
      </c>
      <c r="B6" s="13" t="n">
        <f aca="false">IF($M6="","",INDEX('DỮ LIỆU'!$A$3:$A$1052,$M6))</f>
        <v>6</v>
      </c>
      <c r="C6" s="41" t="n">
        <f aca="false">IF($M6="","",IF(INDEX('DỮ LIỆU'!$B$3:$B$1052,$M6)="","",INDEX('DỮ LIỆU'!$B$3:$B$1052,$M6)))</f>
        <v>46176</v>
      </c>
      <c r="D6" s="21" t="str">
        <f aca="false">IF($M6="","",IF(INDEX('DỮ LIỆU'!$C$3:$C$1052,$M6)="","",INDEX('DỮ LIỆU'!$C$3:$C$1052,$M6)))</f>
        <v>Nguyễn Văn An</v>
      </c>
      <c r="E6" s="21" t="str">
        <f aca="false">IF($M6="","",IF(INDEX('DỮ LIỆU'!$D$3:$D$1052,$M6)="","",INDEX('DỮ LIỆU'!$D$3:$D$1052,$M6)))</f>
        <v>0901234567</v>
      </c>
      <c r="F6" s="21" t="str">
        <f aca="false">IF($M6="","",IF(INDEX('DỮ LIỆU'!$H$3:$H$1052,$M6)="","",INDEX('DỮ LIỆU'!$H$3:$H$1052,$M6)))</f>
        <v>Bình giữ nhiệt in logo</v>
      </c>
      <c r="G6" s="13" t="n">
        <f aca="false">IF($M6="","",N(INDEX('DỮ LIỆU'!$I$3:$I$1052,$M6)))</f>
        <v>100</v>
      </c>
      <c r="H6" s="13" t="n">
        <f aca="false">IF($M6="","",N(INDEX('DỮ LIỆU'!$J$3:$J$1052,$M6)))</f>
        <v>8500000</v>
      </c>
      <c r="I6" s="13" t="n">
        <f aca="false">IF($M6="","",N(INDEX('DỮ LIỆU'!$N$3:$N$1052,$M6)))</f>
        <v>8500000</v>
      </c>
      <c r="J6" s="13" t="n">
        <f aca="false">IF($M6="","",N(INDEX('DỮ LIỆU'!$O$3:$O$1052,$M6)))</f>
        <v>0</v>
      </c>
      <c r="K6" s="13" t="str">
        <f aca="false">IF($M6="","",IF(INDEX('DỮ LIỆU'!$Q$3:$Q$1052,$M6)="","",INDEX('DỮ LIỆU'!$Q$3:$Q$1052,$M6)))</f>
        <v/>
      </c>
      <c r="L6" s="21" t="str">
        <f aca="false">IF($M6="","",IF(INDEX('DỮ LIỆU'!$R$3:$R$1052,$M6)="","",INDEX('DỮ LIỆU'!$R$3:$R$1052,$M6)))</f>
        <v>Giao đợt 1 (VÍ DỤ MẪU) | chuyển từ Tháng 6 dòng 10</v>
      </c>
      <c r="M6" s="30" t="n">
        <f aca="false">IFERROR(MATCH(1,'DỮ LIỆU'!$V$3:$V$1052,0),"")</f>
        <v>1</v>
      </c>
    </row>
    <row r="7" customFormat="false" ht="15" hidden="false" customHeight="false" outlineLevel="0" collapsed="false">
      <c r="A7" s="21" t="n">
        <f aca="false">IF($M7="","",2)</f>
        <v>2</v>
      </c>
      <c r="B7" s="13" t="n">
        <f aca="false">IF($M7="","",INDEX('DỮ LIỆU'!$A$3:$A$1052,$M7))</f>
        <v>6</v>
      </c>
      <c r="C7" s="41" t="n">
        <f aca="false">IF($M7="","",IF(INDEX('DỮ LIỆU'!$B$3:$B$1052,$M7)="","",INDEX('DỮ LIỆU'!$B$3:$B$1052,$M7)))</f>
        <v>46183</v>
      </c>
      <c r="D7" s="21" t="str">
        <f aca="false">IF($M7="","",IF(INDEX('DỮ LIỆU'!$C$3:$C$1052,$M7)="","",INDEX('DỮ LIỆU'!$C$3:$C$1052,$M7)))</f>
        <v>Trần Thị Bích</v>
      </c>
      <c r="E7" s="21" t="str">
        <f aca="false">IF($M7="","",IF(INDEX('DỮ LIỆU'!$D$3:$D$1052,$M7)="","",INDEX('DỮ LIỆU'!$D$3:$D$1052,$M7)))</f>
        <v>0987654321</v>
      </c>
      <c r="F7" s="21" t="str">
        <f aca="false">IF($M7="","",IF(INDEX('DỮ LIỆU'!$H$3:$H$1052,$M7)="","",INDEX('DỮ LIỆU'!$H$3:$H$1052,$M7)))</f>
        <v>Sổ tay da in logo</v>
      </c>
      <c r="G7" s="13" t="n">
        <f aca="false">IF($M7="","",N(INDEX('DỮ LIỆU'!$I$3:$I$1052,$M7)))</f>
        <v>50</v>
      </c>
      <c r="H7" s="13" t="n">
        <f aca="false">IF($M7="","",N(INDEX('DỮ LIỆU'!$J$3:$J$1052,$M7)))</f>
        <v>6000000</v>
      </c>
      <c r="I7" s="13" t="n">
        <f aca="false">IF($M7="","",N(INDEX('DỮ LIỆU'!$N$3:$N$1052,$M7)))</f>
        <v>0</v>
      </c>
      <c r="J7" s="13" t="n">
        <f aca="false">IF($M7="","",N(INDEX('DỮ LIỆU'!$O$3:$O$1052,$M7)))</f>
        <v>6000000</v>
      </c>
      <c r="K7" s="13" t="str">
        <f aca="false">IF($M7="","",IF(INDEX('DỮ LIỆU'!$Q$3:$Q$1052,$M7)="","",INDEX('DỮ LIỆU'!$Q$3:$Q$1052,$M7)))</f>
        <v/>
      </c>
      <c r="L7" s="21" t="str">
        <f aca="false">IF($M7="","",IF(INDEX('DỮ LIỆU'!$R$3:$R$1052,$M7)="","",INDEX('DỮ LIỆU'!$R$3:$R$1052,$M7)))</f>
        <v>(VÍ DỤ MẪU) | chuyển từ Tháng 6 dòng 92</v>
      </c>
      <c r="M7" s="30" t="n">
        <f aca="false">IFERROR(MATCH(2,'DỮ LIỆU'!$V$3:$V$1052,0),"")</f>
        <v>2</v>
      </c>
    </row>
    <row r="8" customFormat="false" ht="15" hidden="false" customHeight="false" outlineLevel="0" collapsed="false">
      <c r="A8" s="21" t="n">
        <f aca="false">IF($M8="","",3)</f>
        <v>3</v>
      </c>
      <c r="B8" s="13" t="n">
        <f aca="false">IF($M8="","",INDEX('DỮ LIỆU'!$A$3:$A$1052,$M8))</f>
        <v>6</v>
      </c>
      <c r="C8" s="41" t="n">
        <f aca="false">IF($M8="","",IF(INDEX('DỮ LIỆU'!$B$3:$B$1052,$M8)="","",INDEX('DỮ LIỆU'!$B$3:$B$1052,$M8)))</f>
        <v>46188</v>
      </c>
      <c r="D8" s="21" t="str">
        <f aca="false">IF($M8="","",IF(INDEX('DỮ LIỆU'!$C$3:$C$1052,$M8)="","",INDEX('DỮ LIỆU'!$C$3:$C$1052,$M8)))</f>
        <v>Lê Minh Cường</v>
      </c>
      <c r="E8" s="21" t="str">
        <f aca="false">IF($M8="","",IF(INDEX('DỮ LIỆU'!$D$3:$D$1052,$M8)="","",INDEX('DỮ LIỆU'!$D$3:$D$1052,$M8)))</f>
        <v>0912345678</v>
      </c>
      <c r="F8" s="21" t="str">
        <f aca="false">IF($M8="","",IF(INDEX('DỮ LIỆU'!$H$3:$H$1052,$M8)="","",INDEX('DỮ LIỆU'!$H$3:$H$1052,$M8)))</f>
        <v>Bút ký khắc tên</v>
      </c>
      <c r="G8" s="13" t="n">
        <f aca="false">IF($M8="","",N(INDEX('DỮ LIỆU'!$I$3:$I$1052,$M8)))</f>
        <v>200</v>
      </c>
      <c r="H8" s="13" t="n">
        <f aca="false">IF($M8="","",N(INDEX('DỮ LIỆU'!$J$3:$J$1052,$M8)))</f>
        <v>7000000</v>
      </c>
      <c r="I8" s="13" t="n">
        <f aca="false">IF($M8="","",N(INDEX('DỮ LIỆU'!$N$3:$N$1052,$M8)))</f>
        <v>7000000</v>
      </c>
      <c r="J8" s="13" t="n">
        <f aca="false">IF($M8="","",N(INDEX('DỮ LIỆU'!$O$3:$O$1052,$M8)))</f>
        <v>0</v>
      </c>
      <c r="K8" s="13" t="str">
        <f aca="false">IF($M8="","",IF(INDEX('DỮ LIỆU'!$Q$3:$Q$1052,$M8)="","",INDEX('DỮ LIỆU'!$Q$3:$Q$1052,$M8)))</f>
        <v/>
      </c>
      <c r="L8" s="21" t="str">
        <f aca="false">IF($M8="","",IF(INDEX('DỮ LIỆU'!$R$3:$R$1052,$M8)="","",INDEX('DỮ LIỆU'!$R$3:$R$1052,$M8)))</f>
        <v>Khách quen (VÍ DỤ MẪU) | chuyển từ Tháng 6 dòng 174</v>
      </c>
      <c r="M8" s="30" t="n">
        <f aca="false">IFERROR(MATCH(3,'DỮ LIỆU'!$V$3:$V$1052,0),"")</f>
        <v>3</v>
      </c>
    </row>
    <row r="9" customFormat="false" ht="15" hidden="false" customHeight="false" outlineLevel="0" collapsed="false">
      <c r="A9" s="21" t="n">
        <f aca="false">IF($M9="","",4)</f>
        <v>4</v>
      </c>
      <c r="B9" s="13" t="n">
        <f aca="false">IF($M9="","",INDEX('DỮ LIỆU'!$A$3:$A$1052,$M9))</f>
        <v>7</v>
      </c>
      <c r="C9" s="41" t="n">
        <f aca="false">IF($M9="","",IF(INDEX('DỮ LIỆU'!$B$3:$B$1052,$M9)="","",INDEX('DỮ LIỆU'!$B$3:$B$1052,$M9)))</f>
        <v>46204</v>
      </c>
      <c r="D9" s="21" t="str">
        <f aca="false">IF($M9="","",IF(INDEX('DỮ LIỆU'!$C$3:$C$1052,$M9)="","",INDEX('DỮ LIỆU'!$C$3:$C$1052,$M9)))</f>
        <v>A Tài - Huyndai - 20c</v>
      </c>
      <c r="E9" s="21" t="str">
        <f aca="false">IF($M9="","",IF(INDEX('DỮ LIỆU'!$D$3:$D$1052,$M9)="","",INDEX('DỮ LIỆU'!$D$3:$D$1052,$M9)))</f>
        <v>0935494005</v>
      </c>
      <c r="F9" s="21" t="str">
        <f aca="false">IF($M9="","",IF(INDEX('DỮ LIỆU'!$H$3:$H$1052,$M9)="","",INDEX('DỮ LIỆU'!$H$3:$H$1052,$M9)))</f>
        <v>gấu teddy trắng</v>
      </c>
      <c r="G9" s="13" t="n">
        <f aca="false">IF($M9="","",N(INDEX('DỮ LIỆU'!$I$3:$I$1052,$M9)))</f>
        <v>20</v>
      </c>
      <c r="H9" s="13" t="n">
        <f aca="false">IF($M9="","",N(INDEX('DỮ LIỆU'!$J$3:$J$1052,$M9)))</f>
        <v>1000000</v>
      </c>
      <c r="I9" s="13" t="n">
        <f aca="false">IF($M9="","",N(INDEX('DỮ LIỆU'!$N$3:$N$1052,$M9)))</f>
        <v>1000000</v>
      </c>
      <c r="J9" s="13" t="n">
        <f aca="false">IF($M9="","",N(INDEX('DỮ LIỆU'!$O$3:$O$1052,$M9)))</f>
        <v>0</v>
      </c>
      <c r="K9" s="13" t="str">
        <f aca="false">IF($M9="","",IF(INDEX('DỮ LIỆU'!$Q$3:$Q$1052,$M9)="","",INDEX('DỮ LIỆU'!$Q$3:$Q$1052,$M9)))</f>
        <v/>
      </c>
      <c r="L9" s="21" t="str">
        <f aca="false">IF($M9="","",IF(INDEX('DỮ LIỆU'!$R$3:$R$1052,$M9)="","",INDEX('DỮ LIỆU'!$R$3:$R$1052,$M9)))</f>
        <v>chuyển từ Tháng 7 dòng 10</v>
      </c>
      <c r="M9" s="30" t="n">
        <f aca="false">IFERROR(MATCH(4,'DỮ LIỆU'!$V$3:$V$1052,0),"")</f>
        <v>151</v>
      </c>
    </row>
    <row r="10" customFormat="false" ht="15" hidden="false" customHeight="false" outlineLevel="0" collapsed="false">
      <c r="A10" s="21" t="n">
        <f aca="false">IF($M10="","",5)</f>
        <v>5</v>
      </c>
      <c r="B10" s="13" t="n">
        <f aca="false">IF($M10="","",INDEX('DỮ LIỆU'!$A$3:$A$1052,$M10))</f>
        <v>7</v>
      </c>
      <c r="C10" s="41" t="n">
        <f aca="false">IF($M10="","",IF(INDEX('DỮ LIỆU'!$B$3:$B$1052,$M10)="","",INDEX('DỮ LIỆU'!$B$3:$B$1052,$M10)))</f>
        <v>46205</v>
      </c>
      <c r="D10" s="21" t="str">
        <f aca="false">IF($M10="","",IF(INDEX('DỮ LIỆU'!$C$3:$C$1052,$M10)="","",INDEX('DỮ LIỆU'!$C$3:$C$1052,$M10)))</f>
        <v>BGB - Cô An Mến Tặng</v>
      </c>
      <c r="E10" s="21" t="str">
        <f aca="false">IF($M10="","",IF(INDEX('DỮ LIỆU'!$D$3:$D$1052,$M10)="","",INDEX('DỮ LIỆU'!$D$3:$D$1052,$M10)))</f>
        <v>0903535291</v>
      </c>
      <c r="F10" s="21" t="str">
        <f aca="false">IF($M10="","",IF(INDEX('DỮ LIỆU'!$H$3:$H$1052,$M10)="","",INDEX('DỮ LIỆU'!$H$3:$H$1052,$M10)))</f>
        <v>gấu teddy trắng</v>
      </c>
      <c r="G10" s="13" t="n">
        <f aca="false">IF($M10="","",N(INDEX('DỮ LIỆU'!$I$3:$I$1052,$M10)))</f>
        <v>22</v>
      </c>
      <c r="H10" s="13" t="n">
        <f aca="false">IF($M10="","",N(INDEX('DỮ LIỆU'!$J$3:$J$1052,$M10)))</f>
        <v>1100000</v>
      </c>
      <c r="I10" s="13" t="n">
        <f aca="false">IF($M10="","",N(INDEX('DỮ LIỆU'!$N$3:$N$1052,$M10)))</f>
        <v>1100000</v>
      </c>
      <c r="J10" s="13" t="n">
        <f aca="false">IF($M10="","",N(INDEX('DỮ LIỆU'!$O$3:$O$1052,$M10)))</f>
        <v>0</v>
      </c>
      <c r="K10" s="13" t="str">
        <f aca="false">IF($M10="","",IF(INDEX('DỮ LIỆU'!$Q$3:$Q$1052,$M10)="","",INDEX('DỮ LIỆU'!$Q$3:$Q$1052,$M10)))</f>
        <v/>
      </c>
      <c r="L10" s="21" t="str">
        <f aca="false">IF($M10="","",IF(INDEX('DỮ LIỆU'!$R$3:$R$1052,$M10)="","",INDEX('DỮ LIỆU'!$R$3:$R$1052,$M10)))</f>
        <v>chuyển từ Tháng 7 dòng 11</v>
      </c>
      <c r="M10" s="30" t="n">
        <f aca="false">IFERROR(MATCH(5,'DỮ LIỆU'!$V$3:$V$1052,0),"")</f>
        <v>152</v>
      </c>
    </row>
    <row r="11" customFormat="false" ht="15" hidden="false" customHeight="false" outlineLevel="0" collapsed="false">
      <c r="A11" s="21" t="n">
        <f aca="false">IF($M11="","",6)</f>
        <v>6</v>
      </c>
      <c r="B11" s="13" t="n">
        <f aca="false">IF($M11="","",INDEX('DỮ LIỆU'!$A$3:$A$1052,$M11))</f>
        <v>7</v>
      </c>
      <c r="C11" s="41" t="n">
        <f aca="false">IF($M11="","",IF(INDEX('DỮ LIỆU'!$B$3:$B$1052,$M11)="","",INDEX('DỮ LIỆU'!$B$3:$B$1052,$M11)))</f>
        <v>46207</v>
      </c>
      <c r="D11" s="21" t="str">
        <f aca="false">IF($M11="","",IF(INDEX('DỮ LIỆU'!$C$3:$C$1052,$M11)="","",INDEX('DỮ LIỆU'!$C$3:$C$1052,$M11)))</f>
        <v>Điện máy Ngọc Hiển</v>
      </c>
      <c r="E11" s="21" t="str">
        <f aca="false">IF($M11="","",IF(INDEX('DỮ LIỆU'!$D$3:$D$1052,$M11)="","",INDEX('DỮ LIỆU'!$D$3:$D$1052,$M11)))</f>
        <v>097579661</v>
      </c>
      <c r="F11" s="21" t="str">
        <f aca="false">IF($M11="","",IF(INDEX('DỮ LIỆU'!$H$3:$H$1052,$M11)="","",INDEX('DỮ LIỆU'!$H$3:$H$1052,$M11)))</f>
        <v>gấy nâu 25cm</v>
      </c>
      <c r="G11" s="13" t="n">
        <f aca="false">IF($M11="","",N(INDEX('DỮ LIỆU'!$I$3:$I$1052,$M11)))</f>
        <v>50</v>
      </c>
      <c r="H11" s="13" t="n">
        <f aca="false">IF($M11="","",N(INDEX('DỮ LIỆU'!$J$3:$J$1052,$M11)))</f>
        <v>2500000</v>
      </c>
      <c r="I11" s="13" t="n">
        <f aca="false">IF($M11="","",N(INDEX('DỮ LIỆU'!$N$3:$N$1052,$M11)))</f>
        <v>2500000</v>
      </c>
      <c r="J11" s="13" t="n">
        <f aca="false">IF($M11="","",N(INDEX('DỮ LIỆU'!$O$3:$O$1052,$M11)))</f>
        <v>0</v>
      </c>
      <c r="K11" s="13" t="str">
        <f aca="false">IF($M11="","",IF(INDEX('DỮ LIỆU'!$Q$3:$Q$1052,$M11)="","",INDEX('DỮ LIỆU'!$Q$3:$Q$1052,$M11)))</f>
        <v/>
      </c>
      <c r="L11" s="21" t="str">
        <f aca="false">IF($M11="","",IF(INDEX('DỮ LIỆU'!$R$3:$R$1052,$M11)="","",INDEX('DỮ LIỆU'!$R$3:$R$1052,$M11)))</f>
        <v>chuyển từ Tháng 7 dòng 14</v>
      </c>
      <c r="M11" s="30" t="n">
        <f aca="false">IFERROR(MATCH(6,'DỮ LIỆU'!$V$3:$V$1052,0),"")</f>
        <v>155</v>
      </c>
    </row>
    <row r="12" customFormat="false" ht="15" hidden="false" customHeight="false" outlineLevel="0" collapsed="false">
      <c r="A12" s="21" t="n">
        <f aca="false">IF($M12="","",7)</f>
        <v>7</v>
      </c>
      <c r="B12" s="13" t="n">
        <f aca="false">IF($M12="","",INDEX('DỮ LIỆU'!$A$3:$A$1052,$M12))</f>
        <v>7</v>
      </c>
      <c r="C12" s="41" t="n">
        <f aca="false">IF($M12="","",IF(INDEX('DỮ LIỆU'!$B$3:$B$1052,$M12)="","",INDEX('DỮ LIỆU'!$B$3:$B$1052,$M12)))</f>
        <v>46210</v>
      </c>
      <c r="D12" s="21" t="str">
        <f aca="false">IF($M12="","",IF(INDEX('DỮ LIỆU'!$C$3:$C$1052,$M12)="","",INDEX('DỮ LIỆU'!$C$3:$C$1052,$M12)))</f>
        <v>C Lan Anh</v>
      </c>
      <c r="E12" s="21" t="str">
        <f aca="false">IF($M12="","",IF(INDEX('DỮ LIỆU'!$D$3:$D$1052,$M12)="","",INDEX('DỮ LIỆU'!$D$3:$D$1052,$M12)))</f>
        <v>0989472201</v>
      </c>
      <c r="F12" s="21" t="str">
        <f aca="false">IF($M12="","",IF(INDEX('DỮ LIỆU'!$H$3:$H$1052,$M12)="","",INDEX('DỮ LIỆU'!$H$3:$H$1052,$M12)))</f>
        <v>gấu ngồi lông mịn</v>
      </c>
      <c r="G12" s="13" t="n">
        <f aca="false">IF($M12="","",N(INDEX('DỮ LIỆU'!$I$3:$I$1052,$M12)))</f>
        <v>20</v>
      </c>
      <c r="H12" s="13" t="n">
        <f aca="false">IF($M12="","",N(INDEX('DỮ LIỆU'!$J$3:$J$1052,$M12)))</f>
        <v>1160000</v>
      </c>
      <c r="I12" s="13" t="n">
        <f aca="false">IF($M12="","",N(INDEX('DỮ LIỆU'!$N$3:$N$1052,$M12)))</f>
        <v>1160000</v>
      </c>
      <c r="J12" s="13" t="n">
        <f aca="false">IF($M12="","",N(INDEX('DỮ LIỆU'!$O$3:$O$1052,$M12)))</f>
        <v>0</v>
      </c>
      <c r="K12" s="13" t="str">
        <f aca="false">IF($M12="","",IF(INDEX('DỮ LIỆU'!$Q$3:$Q$1052,$M12)="","",INDEX('DỮ LIỆU'!$Q$3:$Q$1052,$M12)))</f>
        <v/>
      </c>
      <c r="L12" s="21" t="str">
        <f aca="false">IF($M12="","",IF(INDEX('DỮ LIỆU'!$R$3:$R$1052,$M12)="","",INDEX('DỮ LIỆU'!$R$3:$R$1052,$M12)))</f>
        <v>chuyển từ Tháng 7 dòng 16</v>
      </c>
      <c r="M12" s="30" t="n">
        <f aca="false">IFERROR(MATCH(7,'DỮ LIỆU'!$V$3:$V$1052,0),"")</f>
        <v>157</v>
      </c>
    </row>
    <row r="13" customFormat="false" ht="15" hidden="false" customHeight="false" outlineLevel="0" collapsed="false">
      <c r="A13" s="21" t="n">
        <f aca="false">IF($M13="","",8)</f>
        <v>8</v>
      </c>
      <c r="B13" s="13" t="n">
        <f aca="false">IF($M13="","",INDEX('DỮ LIỆU'!$A$3:$A$1052,$M13))</f>
        <v>7</v>
      </c>
      <c r="C13" s="41" t="n">
        <f aca="false">IF($M13="","",IF(INDEX('DỮ LIỆU'!$B$3:$B$1052,$M13)="","",INDEX('DỮ LIỆU'!$B$3:$B$1052,$M13)))</f>
        <v>46210</v>
      </c>
      <c r="D13" s="21" t="str">
        <f aca="false">IF($M13="","",IF(INDEX('DỮ LIỆU'!$C$3:$C$1052,$M13)="","",INDEX('DỮ LIỆU'!$C$3:$C$1052,$M13)))</f>
        <v>BGB - SPA ĐẸP TPHCM</v>
      </c>
      <c r="E13" s="21" t="str">
        <f aca="false">IF($M13="","",IF(INDEX('DỮ LIỆU'!$D$3:$D$1052,$M13)="","",INDEX('DỮ LIỆU'!$D$3:$D$1052,$M13)))</f>
        <v>0399871317</v>
      </c>
      <c r="F13" s="21" t="str">
        <f aca="false">IF($M13="","",IF(INDEX('DỮ LIỆU'!$H$3:$H$1052,$M13)="","",INDEX('DỮ LIỆU'!$H$3:$H$1052,$M13)))</f>
        <v>gấu trắng, gấu nâu</v>
      </c>
      <c r="G13" s="13" t="n">
        <f aca="false">IF($M13="","",N(INDEX('DỮ LIỆU'!$I$3:$I$1052,$M13)))</f>
        <v>100</v>
      </c>
      <c r="H13" s="13" t="n">
        <f aca="false">IF($M13="","",N(INDEX('DỮ LIỆU'!$J$3:$J$1052,$M13)))</f>
        <v>4500000</v>
      </c>
      <c r="I13" s="13" t="n">
        <f aca="false">IF($M13="","",N(INDEX('DỮ LIỆU'!$N$3:$N$1052,$M13)))</f>
        <v>4500000</v>
      </c>
      <c r="J13" s="13" t="n">
        <f aca="false">IF($M13="","",N(INDEX('DỮ LIỆU'!$O$3:$O$1052,$M13)))</f>
        <v>0</v>
      </c>
      <c r="K13" s="13" t="str">
        <f aca="false">IF($M13="","",IF(INDEX('DỮ LIỆU'!$Q$3:$Q$1052,$M13)="","",INDEX('DỮ LIỆU'!$Q$3:$Q$1052,$M13)))</f>
        <v/>
      </c>
      <c r="L13" s="21" t="str">
        <f aca="false">IF($M13="","",IF(INDEX('DỮ LIỆU'!$R$3:$R$1052,$M13)="","",INDEX('DỮ LIỆU'!$R$3:$R$1052,$M13)))</f>
        <v>chuyển từ Tháng 7 dòng 17</v>
      </c>
      <c r="M13" s="30" t="n">
        <f aca="false">IFERROR(MATCH(8,'DỮ LIỆU'!$V$3:$V$1052,0),"")</f>
        <v>158</v>
      </c>
    </row>
    <row r="14" customFormat="false" ht="15" hidden="false" customHeight="false" outlineLevel="0" collapsed="false">
      <c r="A14" s="21" t="n">
        <f aca="false">IF($M14="","",9)</f>
        <v>9</v>
      </c>
      <c r="B14" s="13" t="n">
        <f aca="false">IF($M14="","",INDEX('DỮ LIỆU'!$A$3:$A$1052,$M14))</f>
        <v>7</v>
      </c>
      <c r="C14" s="41" t="n">
        <f aca="false">IF($M14="","",IF(INDEX('DỮ LIỆU'!$B$3:$B$1052,$M14)="","",INDEX('DỮ LIỆU'!$B$3:$B$1052,$M14)))</f>
        <v>46211</v>
      </c>
      <c r="D14" s="21" t="str">
        <f aca="false">IF($M14="","",IF(INDEX('DỮ LIỆU'!$C$3:$C$1052,$M14)="","",INDEX('DỮ LIỆU'!$C$3:$C$1052,$M14)))</f>
        <v>SPA TUYẾT LISA</v>
      </c>
      <c r="E14" s="21" t="str">
        <f aca="false">IF($M14="","",IF(INDEX('DỮ LIỆU'!$D$3:$D$1052,$M14)="","",INDEX('DỮ LIỆU'!$D$3:$D$1052,$M14)))</f>
        <v>0975299444</v>
      </c>
      <c r="F14" s="21" t="str">
        <f aca="false">IF($M14="","",IF(INDEX('DỮ LIỆU'!$H$3:$H$1052,$M14)="","",INDEX('DỮ LIỆU'!$H$3:$H$1052,$M14)))</f>
        <v>gấu nâu 25cm</v>
      </c>
      <c r="G14" s="13" t="n">
        <f aca="false">IF($M14="","",N(INDEX('DỮ LIỆU'!$I$3:$I$1052,$M14)))</f>
        <v>50</v>
      </c>
      <c r="H14" s="13" t="n">
        <f aca="false">IF($M14="","",N(INDEX('DỮ LIỆU'!$J$3:$J$1052,$M14)))</f>
        <v>2500000</v>
      </c>
      <c r="I14" s="13" t="n">
        <f aca="false">IF($M14="","",N(INDEX('DỮ LIỆU'!$N$3:$N$1052,$M14)))</f>
        <v>2500000</v>
      </c>
      <c r="J14" s="13" t="n">
        <f aca="false">IF($M14="","",N(INDEX('DỮ LIỆU'!$O$3:$O$1052,$M14)))</f>
        <v>0</v>
      </c>
      <c r="K14" s="13" t="str">
        <f aca="false">IF($M14="","",IF(INDEX('DỮ LIỆU'!$Q$3:$Q$1052,$M14)="","",INDEX('DỮ LIỆU'!$Q$3:$Q$1052,$M14)))</f>
        <v/>
      </c>
      <c r="L14" s="21" t="str">
        <f aca="false">IF($M14="","",IF(INDEX('DỮ LIỆU'!$R$3:$R$1052,$M14)="","",INDEX('DỮ LIỆU'!$R$3:$R$1052,$M14)))</f>
        <v>chuyển từ Tháng 7 dòng 42</v>
      </c>
      <c r="M14" s="30" t="n">
        <f aca="false">IFERROR(MATCH(9,'DỮ LIỆU'!$V$3:$V$1052,0),"")</f>
        <v>160</v>
      </c>
    </row>
    <row r="15" customFormat="false" ht="15" hidden="false" customHeight="false" outlineLevel="0" collapsed="false">
      <c r="A15" s="21" t="n">
        <f aca="false">IF($M15="","",10)</f>
        <v>10</v>
      </c>
      <c r="B15" s="13" t="n">
        <f aca="false">IF($M15="","",INDEX('DỮ LIỆU'!$A$3:$A$1052,$M15))</f>
        <v>7</v>
      </c>
      <c r="C15" s="41" t="n">
        <f aca="false">IF($M15="","",IF(INDEX('DỮ LIỆU'!$B$3:$B$1052,$M15)="","",INDEX('DỮ LIỆU'!$B$3:$B$1052,$M15)))</f>
        <v>46211</v>
      </c>
      <c r="D15" s="21" t="str">
        <f aca="false">IF($M15="","",IF(INDEX('DỮ LIỆU'!$C$3:$C$1052,$M15)="","",INDEX('DỮ LIỆU'!$C$3:$C$1052,$M15)))</f>
        <v>LÀM ĐẸP THỦY MỘC</v>
      </c>
      <c r="E15" s="21" t="str">
        <f aca="false">IF($M15="","",IF(INDEX('DỮ LIỆU'!$D$3:$D$1052,$M15)="","",INDEX('DỮ LIỆU'!$D$3:$D$1052,$M15)))</f>
        <v>0909377298</v>
      </c>
      <c r="F15" s="21" t="str">
        <f aca="false">IF($M15="","",IF(INDEX('DỮ LIỆU'!$H$3:$H$1052,$M15)="","",INDEX('DỮ LIỆU'!$H$3:$H$1052,$M15)))</f>
        <v>gấu trắng</v>
      </c>
      <c r="G15" s="13" t="n">
        <f aca="false">IF($M15="","",N(INDEX('DỮ LIỆU'!$I$3:$I$1052,$M15)))</f>
        <v>60</v>
      </c>
      <c r="H15" s="13" t="n">
        <f aca="false">IF($M15="","",N(INDEX('DỮ LIỆU'!$J$3:$J$1052,$M15)))</f>
        <v>2880000</v>
      </c>
      <c r="I15" s="13" t="n">
        <f aca="false">IF($M15="","",N(INDEX('DỮ LIỆU'!$N$3:$N$1052,$M15)))</f>
        <v>2880000</v>
      </c>
      <c r="J15" s="13" t="n">
        <f aca="false">IF($M15="","",N(INDEX('DỮ LIỆU'!$O$3:$O$1052,$M15)))</f>
        <v>0</v>
      </c>
      <c r="K15" s="13" t="str">
        <f aca="false">IF($M15="","",IF(INDEX('DỮ LIỆU'!$Q$3:$Q$1052,$M15)="","",INDEX('DỮ LIỆU'!$Q$3:$Q$1052,$M15)))</f>
        <v/>
      </c>
      <c r="L15" s="21" t="str">
        <f aca="false">IF($M15="","",IF(INDEX('DỮ LIỆU'!$R$3:$R$1052,$M15)="","",INDEX('DỮ LIỆU'!$R$3:$R$1052,$M15)))</f>
        <v>chuyển từ Tháng 7 dòng 43</v>
      </c>
      <c r="M15" s="30" t="n">
        <f aca="false">IFERROR(MATCH(10,'DỮ LIỆU'!$V$3:$V$1052,0),"")</f>
        <v>161</v>
      </c>
    </row>
    <row r="16" customFormat="false" ht="15" hidden="false" customHeight="false" outlineLevel="0" collapsed="false">
      <c r="A16" s="21" t="n">
        <f aca="false">IF($M16="","",11)</f>
        <v>11</v>
      </c>
      <c r="B16" s="13" t="n">
        <f aca="false">IF($M16="","",INDEX('DỮ LIỆU'!$A$3:$A$1052,$M16))</f>
        <v>7</v>
      </c>
      <c r="C16" s="41" t="n">
        <f aca="false">IF($M16="","",IF(INDEX('DỮ LIỆU'!$B$3:$B$1052,$M16)="","",INDEX('DỮ LIỆU'!$B$3:$B$1052,$M16)))</f>
        <v>46212</v>
      </c>
      <c r="D16" s="21" t="str">
        <f aca="false">IF($M16="","",IF(INDEX('DỮ LIỆU'!$C$3:$C$1052,$M16)="","",INDEX('DỮ LIỆU'!$C$3:$C$1052,$M16)))</f>
        <v>HAU - ĐHKTHN</v>
      </c>
      <c r="E16" s="21" t="str">
        <f aca="false">IF($M16="","",IF(INDEX('DỮ LIỆU'!$D$3:$D$1052,$M16)="","",INDEX('DỮ LIỆU'!$D$3:$D$1052,$M16)))</f>
        <v/>
      </c>
      <c r="F16" s="21" t="str">
        <f aca="false">IF($M16="","",IF(INDEX('DỮ LIỆU'!$H$3:$H$1052,$M16)="","",INDEX('DỮ LIỆU'!$H$3:$H$1052,$M16)))</f>
        <v>gấu nâu</v>
      </c>
      <c r="G16" s="13" t="n">
        <f aca="false">IF($M16="","",N(INDEX('DỮ LIỆU'!$I$3:$I$1052,$M16)))</f>
        <v>312</v>
      </c>
      <c r="H16" s="13" t="n">
        <f aca="false">IF($M16="","",N(INDEX('DỮ LIỆU'!$J$3:$J$1052,$M16)))</f>
        <v>15600000</v>
      </c>
      <c r="I16" s="13" t="n">
        <f aca="false">IF($M16="","",N(INDEX('DỮ LIỆU'!$N$3:$N$1052,$M16)))</f>
        <v>15600000</v>
      </c>
      <c r="J16" s="13" t="n">
        <f aca="false">IF($M16="","",N(INDEX('DỮ LIỆU'!$O$3:$O$1052,$M16)))</f>
        <v>0</v>
      </c>
      <c r="K16" s="13" t="str">
        <f aca="false">IF($M16="","",IF(INDEX('DỮ LIỆU'!$Q$3:$Q$1052,$M16)="","",INDEX('DỮ LIỆU'!$Q$3:$Q$1052,$M16)))</f>
        <v/>
      </c>
      <c r="L16" s="21" t="str">
        <f aca="false">IF($M16="","",IF(INDEX('DỮ LIỆU'!$R$3:$R$1052,$M16)="","",INDEX('DỮ LIỆU'!$R$3:$R$1052,$M16)))</f>
        <v>chuyển từ Tháng 7 dòng 44</v>
      </c>
      <c r="M16" s="30" t="n">
        <f aca="false">IFERROR(MATCH(11,'DỮ LIỆU'!$V$3:$V$1052,0),"")</f>
        <v>162</v>
      </c>
    </row>
    <row r="17" customFormat="false" ht="15" hidden="false" customHeight="false" outlineLevel="0" collapsed="false">
      <c r="A17" s="21" t="n">
        <f aca="false">IF($M17="","",12)</f>
        <v>12</v>
      </c>
      <c r="B17" s="13" t="n">
        <f aca="false">IF($M17="","",INDEX('DỮ LIỆU'!$A$3:$A$1052,$M17))</f>
        <v>7</v>
      </c>
      <c r="C17" s="41" t="n">
        <f aca="false">IF($M17="","",IF(INDEX('DỮ LIỆU'!$B$3:$B$1052,$M17)="","",INDEX('DỮ LIỆU'!$B$3:$B$1052,$M17)))</f>
        <v>46214</v>
      </c>
      <c r="D17" s="21" t="str">
        <f aca="false">IF($M17="","",IF(INDEX('DỮ LIỆU'!$C$3:$C$1052,$M17)="","",INDEX('DỮ LIỆU'!$C$3:$C$1052,$M17)))</f>
        <v>VTV10</v>
      </c>
      <c r="E17" s="21" t="str">
        <f aca="false">IF($M17="","",IF(INDEX('DỮ LIỆU'!$D$3:$D$1052,$M17)="","",INDEX('DỮ LIỆU'!$D$3:$D$1052,$M17)))</f>
        <v>0962866186</v>
      </c>
      <c r="F17" s="21" t="str">
        <f aca="false">IF($M17="","",IF(INDEX('DỮ LIỆU'!$H$3:$H$1052,$M17)="","",INDEX('DỮ LIỆU'!$H$3:$H$1052,$M17)))</f>
        <v>gấu trắng</v>
      </c>
      <c r="G17" s="13" t="n">
        <f aca="false">IF($M17="","",N(INDEX('DỮ LIỆU'!$I$3:$I$1052,$M17)))</f>
        <v>50</v>
      </c>
      <c r="H17" s="13" t="n">
        <f aca="false">IF($M17="","",N(INDEX('DỮ LIỆU'!$J$3:$J$1052,$M17)))</f>
        <v>2500000</v>
      </c>
      <c r="I17" s="13" t="n">
        <f aca="false">IF($M17="","",N(INDEX('DỮ LIỆU'!$N$3:$N$1052,$M17)))</f>
        <v>2500000</v>
      </c>
      <c r="J17" s="13" t="n">
        <f aca="false">IF($M17="","",N(INDEX('DỮ LIỆU'!$O$3:$O$1052,$M17)))</f>
        <v>0</v>
      </c>
      <c r="K17" s="13" t="str">
        <f aca="false">IF($M17="","",IF(INDEX('DỮ LIỆU'!$Q$3:$Q$1052,$M17)="","",INDEX('DỮ LIỆU'!$Q$3:$Q$1052,$M17)))</f>
        <v/>
      </c>
      <c r="L17" s="21" t="str">
        <f aca="false">IF($M17="","",IF(INDEX('DỮ LIỆU'!$R$3:$R$1052,$M17)="","",INDEX('DỮ LIỆU'!$R$3:$R$1052,$M17)))</f>
        <v>chuyển từ Tháng 7 dòng 46</v>
      </c>
      <c r="M17" s="30" t="n">
        <f aca="false">IFERROR(MATCH(12,'DỮ LIỆU'!$V$3:$V$1052,0),"")</f>
        <v>164</v>
      </c>
    </row>
    <row r="18" customFormat="false" ht="15" hidden="false" customHeight="false" outlineLevel="0" collapsed="false">
      <c r="A18" s="21" t="n">
        <f aca="false">IF($M18="","",13)</f>
        <v>13</v>
      </c>
      <c r="B18" s="13" t="n">
        <f aca="false">IF($M18="","",INDEX('DỮ LIỆU'!$A$3:$A$1052,$M18))</f>
        <v>7</v>
      </c>
      <c r="C18" s="41" t="n">
        <f aca="false">IF($M18="","",IF(INDEX('DỮ LIỆU'!$B$3:$B$1052,$M18)="","",INDEX('DỮ LIỆU'!$B$3:$B$1052,$M18)))</f>
        <v>46214</v>
      </c>
      <c r="D18" s="21" t="str">
        <f aca="false">IF($M18="","",IF(INDEX('DỮ LIỆU'!$C$3:$C$1052,$M18)="","",INDEX('DỮ LIỆU'!$C$3:$C$1052,$M18)))</f>
        <v>BGB - Melody</v>
      </c>
      <c r="E18" s="21" t="str">
        <f aca="false">IF($M18="","",IF(INDEX('DỮ LIỆU'!$D$3:$D$1052,$M18)="","",INDEX('DỮ LIỆU'!$D$3:$D$1052,$M18)))</f>
        <v/>
      </c>
      <c r="F18" s="21" t="str">
        <f aca="false">IF($M18="","",IF(INDEX('DỮ LIỆU'!$H$3:$H$1052,$M18)="","",INDEX('DỮ LIỆU'!$H$3:$H$1052,$M18)))</f>
        <v>gấu trắng</v>
      </c>
      <c r="G18" s="13" t="n">
        <f aca="false">IF($M18="","",N(INDEX('DỮ LIỆU'!$I$3:$I$1052,$M18)))</f>
        <v>250</v>
      </c>
      <c r="H18" s="13" t="n">
        <f aca="false">IF($M18="","",N(INDEX('DỮ LIỆU'!$J$3:$J$1052,$M18)))</f>
        <v>10000000</v>
      </c>
      <c r="I18" s="13" t="n">
        <f aca="false">IF($M18="","",N(INDEX('DỮ LIỆU'!$N$3:$N$1052,$M18)))</f>
        <v>10000000</v>
      </c>
      <c r="J18" s="13" t="n">
        <f aca="false">IF($M18="","",N(INDEX('DỮ LIỆU'!$O$3:$O$1052,$M18)))</f>
        <v>0</v>
      </c>
      <c r="K18" s="13" t="str">
        <f aca="false">IF($M18="","",IF(INDEX('DỮ LIỆU'!$Q$3:$Q$1052,$M18)="","",INDEX('DỮ LIỆU'!$Q$3:$Q$1052,$M18)))</f>
        <v/>
      </c>
      <c r="L18" s="21" t="str">
        <f aca="false">IF($M18="","",IF(INDEX('DỮ LIỆU'!$R$3:$R$1052,$M18)="","",INDEX('DỮ LIỆU'!$R$3:$R$1052,$M18)))</f>
        <v>đơn này ko lãi | chuyển từ Tháng 7 dòng 47</v>
      </c>
      <c r="M18" s="30" t="n">
        <f aca="false">IFERROR(MATCH(13,'DỮ LIỆU'!$V$3:$V$1052,0),"")</f>
        <v>165</v>
      </c>
    </row>
    <row r="19" customFormat="false" ht="15" hidden="false" customHeight="false" outlineLevel="0" collapsed="false">
      <c r="A19" s="21" t="n">
        <f aca="false">IF($M19="","",14)</f>
        <v>14</v>
      </c>
      <c r="B19" s="13" t="n">
        <f aca="false">IF($M19="","",INDEX('DỮ LIỆU'!$A$3:$A$1052,$M19))</f>
        <v>7</v>
      </c>
      <c r="C19" s="41" t="n">
        <f aca="false">IF($M19="","",IF(INDEX('DỮ LIỆU'!$B$3:$B$1052,$M19)="","",INDEX('DỮ LIỆU'!$B$3:$B$1052,$M19)))</f>
        <v>46214</v>
      </c>
      <c r="D19" s="21" t="str">
        <f aca="false">IF($M19="","",IF(INDEX('DỮ LIỆU'!$C$3:$C$1052,$M19)="","",INDEX('DỮ LIỆU'!$C$3:$C$1052,$M19)))</f>
        <v>chị Sang Phú Quốc</v>
      </c>
      <c r="E19" s="21" t="str">
        <f aca="false">IF($M19="","",IF(INDEX('DỮ LIỆU'!$D$3:$D$1052,$M19)="","",INDEX('DỮ LIỆU'!$D$3:$D$1052,$M19)))</f>
        <v>0976166217</v>
      </c>
      <c r="F19" s="21" t="str">
        <f aca="false">IF($M19="","",IF(INDEX('DỮ LIỆU'!$H$3:$H$1052,$M19)="","",INDEX('DỮ LIỆU'!$H$3:$H$1052,$M19)))</f>
        <v>gối chữ U</v>
      </c>
      <c r="G19" s="13" t="n">
        <f aca="false">IF($M19="","",N(INDEX('DỮ LIỆU'!$I$3:$I$1052,$M19)))</f>
        <v>20</v>
      </c>
      <c r="H19" s="13" t="n">
        <f aca="false">IF($M19="","",N(INDEX('DỮ LIỆU'!$J$3:$J$1052,$M19)))</f>
        <v>1400000</v>
      </c>
      <c r="I19" s="13" t="n">
        <f aca="false">IF($M19="","",N(INDEX('DỮ LIỆU'!$N$3:$N$1052,$M19)))</f>
        <v>1400000</v>
      </c>
      <c r="J19" s="13" t="n">
        <f aca="false">IF($M19="","",N(INDEX('DỮ LIỆU'!$O$3:$O$1052,$M19)))</f>
        <v>0</v>
      </c>
      <c r="K19" s="13" t="str">
        <f aca="false">IF($M19="","",IF(INDEX('DỮ LIỆU'!$Q$3:$Q$1052,$M19)="","",INDEX('DỮ LIỆU'!$Q$3:$Q$1052,$M19)))</f>
        <v/>
      </c>
      <c r="L19" s="21" t="str">
        <f aca="false">IF($M19="","",IF(INDEX('DỮ LIỆU'!$R$3:$R$1052,$M19)="","",INDEX('DỮ LIỆU'!$R$3:$R$1052,$M19)))</f>
        <v>chuyển từ Tháng 7 dòng 48</v>
      </c>
      <c r="M19" s="30" t="n">
        <f aca="false">IFERROR(MATCH(14,'DỮ LIỆU'!$V$3:$V$1052,0),"")</f>
        <v>166</v>
      </c>
    </row>
    <row r="20" customFormat="false" ht="15" hidden="false" customHeight="false" outlineLevel="0" collapsed="false">
      <c r="A20" s="21" t="n">
        <f aca="false">IF($M20="","",15)</f>
        <v>15</v>
      </c>
      <c r="B20" s="13" t="n">
        <f aca="false">IF($M20="","",INDEX('DỮ LIỆU'!$A$3:$A$1052,$M20))</f>
        <v>7</v>
      </c>
      <c r="C20" s="41" t="n">
        <f aca="false">IF($M20="","",IF(INDEX('DỮ LIỆU'!$B$3:$B$1052,$M20)="","",INDEX('DỮ LIỆU'!$B$3:$B$1052,$M20)))</f>
        <v>46216</v>
      </c>
      <c r="D20" s="21" t="str">
        <f aca="false">IF($M20="","",IF(INDEX('DỮ LIỆU'!$C$3:$C$1052,$M20)="","",INDEX('DỮ LIỆU'!$C$3:$C$1052,$M20)))</f>
        <v>Chị Thúy - Gối U</v>
      </c>
      <c r="E20" s="21" t="str">
        <f aca="false">IF($M20="","",IF(INDEX('DỮ LIỆU'!$D$3:$D$1052,$M20)="","",INDEX('DỮ LIỆU'!$D$3:$D$1052,$M20)))</f>
        <v>0978939891</v>
      </c>
      <c r="F20" s="21" t="str">
        <f aca="false">IF($M20="","",IF(INDEX('DỮ LIỆU'!$H$3:$H$1052,$M20)="","",INDEX('DỮ LIỆU'!$H$3:$H$1052,$M20)))</f>
        <v>gối chữ U</v>
      </c>
      <c r="G20" s="13" t="n">
        <f aca="false">IF($M20="","",N(INDEX('DỮ LIỆU'!$I$3:$I$1052,$M20)))</f>
        <v>50</v>
      </c>
      <c r="H20" s="13" t="n">
        <f aca="false">IF($M20="","",N(INDEX('DỮ LIỆU'!$J$3:$J$1052,$M20)))</f>
        <v>2750000</v>
      </c>
      <c r="I20" s="13" t="n">
        <f aca="false">IF($M20="","",N(INDEX('DỮ LIỆU'!$N$3:$N$1052,$M20)))</f>
        <v>2750000</v>
      </c>
      <c r="J20" s="13" t="n">
        <f aca="false">IF($M20="","",N(INDEX('DỮ LIỆU'!$O$3:$O$1052,$M20)))</f>
        <v>0</v>
      </c>
      <c r="K20" s="13" t="str">
        <f aca="false">IF($M20="","",IF(INDEX('DỮ LIỆU'!$Q$3:$Q$1052,$M20)="","",INDEX('DỮ LIỆU'!$Q$3:$Q$1052,$M20)))</f>
        <v/>
      </c>
      <c r="L20" s="21" t="str">
        <f aca="false">IF($M20="","",IF(INDEX('DỮ LIỆU'!$R$3:$R$1052,$M20)="","",INDEX('DỮ LIỆU'!$R$3:$R$1052,$M20)))</f>
        <v>chuyển từ Tháng 7 dòng 49</v>
      </c>
      <c r="M20" s="30" t="n">
        <f aca="false">IFERROR(MATCH(15,'DỮ LIỆU'!$V$3:$V$1052,0),"")</f>
        <v>167</v>
      </c>
    </row>
    <row r="21" customFormat="false" ht="15" hidden="false" customHeight="false" outlineLevel="0" collapsed="false">
      <c r="A21" s="21" t="n">
        <f aca="false">IF($M21="","",16)</f>
        <v>16</v>
      </c>
      <c r="B21" s="13" t="n">
        <f aca="false">IF($M21="","",INDEX('DỮ LIỆU'!$A$3:$A$1052,$M21))</f>
        <v>7</v>
      </c>
      <c r="C21" s="41" t="n">
        <f aca="false">IF($M21="","",IF(INDEX('DỮ LIỆU'!$B$3:$B$1052,$M21)="","",INDEX('DỮ LIỆU'!$B$3:$B$1052,$M21)))</f>
        <v>46216</v>
      </c>
      <c r="D21" s="21" t="str">
        <f aca="false">IF($M21="","",IF(INDEX('DỮ LIỆU'!$C$3:$C$1052,$M21)="","",INDEX('DỮ LIỆU'!$C$3:$C$1052,$M21)))</f>
        <v>Anh Tài - Seabank</v>
      </c>
      <c r="E21" s="21" t="str">
        <f aca="false">IF($M21="","",IF(INDEX('DỮ LIỆU'!$D$3:$D$1052,$M21)="","",INDEX('DỮ LIỆU'!$D$3:$D$1052,$M21)))</f>
        <v>0983470862</v>
      </c>
      <c r="F21" s="21" t="str">
        <f aca="false">IF($M21="","",IF(INDEX('DỮ LIỆU'!$H$3:$H$1052,$M21)="","",INDEX('DỮ LIỆU'!$H$3:$H$1052,$M21)))</f>
        <v>gấu ngồi lông mịn</v>
      </c>
      <c r="G21" s="13" t="n">
        <f aca="false">IF($M21="","",N(INDEX('DỮ LIỆU'!$I$3:$I$1052,$M21)))</f>
        <v>25</v>
      </c>
      <c r="H21" s="13" t="n">
        <f aca="false">IF($M21="","",N(INDEX('DỮ LIỆU'!$J$3:$J$1052,$M21)))</f>
        <v>1450000</v>
      </c>
      <c r="I21" s="13" t="n">
        <f aca="false">IF($M21="","",N(INDEX('DỮ LIỆU'!$N$3:$N$1052,$M21)))</f>
        <v>1450000</v>
      </c>
      <c r="J21" s="13" t="n">
        <f aca="false">IF($M21="","",N(INDEX('DỮ LIỆU'!$O$3:$O$1052,$M21)))</f>
        <v>0</v>
      </c>
      <c r="K21" s="13" t="str">
        <f aca="false">IF($M21="","",IF(INDEX('DỮ LIỆU'!$Q$3:$Q$1052,$M21)="","",INDEX('DỮ LIỆU'!$Q$3:$Q$1052,$M21)))</f>
        <v/>
      </c>
      <c r="L21" s="21" t="str">
        <f aca="false">IF($M21="","",IF(INDEX('DỮ LIỆU'!$R$3:$R$1052,$M21)="","",INDEX('DỮ LIỆU'!$R$3:$R$1052,$M21)))</f>
        <v>chuyển từ Tháng 7 dòng 50</v>
      </c>
      <c r="M21" s="30" t="n">
        <f aca="false">IFERROR(MATCH(16,'DỮ LIỆU'!$V$3:$V$1052,0),"")</f>
        <v>168</v>
      </c>
    </row>
    <row r="22" customFormat="false" ht="15" hidden="false" customHeight="false" outlineLevel="0" collapsed="false">
      <c r="A22" s="21" t="n">
        <f aca="false">IF($M22="","",17)</f>
        <v>17</v>
      </c>
      <c r="B22" s="13" t="n">
        <f aca="false">IF($M22="","",INDEX('DỮ LIỆU'!$A$3:$A$1052,$M22))</f>
        <v>7</v>
      </c>
      <c r="C22" s="41" t="n">
        <f aca="false">IF($M22="","",IF(INDEX('DỮ LIỆU'!$B$3:$B$1052,$M22)="","",INDEX('DỮ LIỆU'!$B$3:$B$1052,$M22)))</f>
        <v>46216</v>
      </c>
      <c r="D22" s="21" t="str">
        <f aca="false">IF($M22="","",IF(INDEX('DỮ LIỆU'!$C$3:$C$1052,$M22)="","",INDEX('DỮ LIỆU'!$C$3:$C$1052,$M22)))</f>
        <v>Mrs Thương - Du Lịch Trọn Gói</v>
      </c>
      <c r="E22" s="21" t="str">
        <f aca="false">IF($M22="","",IF(INDEX('DỮ LIỆU'!$D$3:$D$1052,$M22)="","",INDEX('DỮ LIỆU'!$D$3:$D$1052,$M22)))</f>
        <v>094.874.1368</v>
      </c>
      <c r="F22" s="21" t="str">
        <f aca="false">IF($M22="","",IF(INDEX('DỮ LIỆU'!$H$3:$H$1052,$M22)="","",INDEX('DỮ LIỆU'!$H$3:$H$1052,$M22)))</f>
        <v>gấu trắng</v>
      </c>
      <c r="G22" s="13" t="n">
        <f aca="false">IF($M22="","",N(INDEX('DỮ LIỆU'!$I$3:$I$1052,$M22)))</f>
        <v>30</v>
      </c>
      <c r="H22" s="13" t="n">
        <f aca="false">IF($M22="","",N(INDEX('DỮ LIỆU'!$J$3:$J$1052,$M22)))</f>
        <v>1440000</v>
      </c>
      <c r="I22" s="13" t="n">
        <f aca="false">IF($M22="","",N(INDEX('DỮ LIỆU'!$N$3:$N$1052,$M22)))</f>
        <v>1440000</v>
      </c>
      <c r="J22" s="13" t="n">
        <f aca="false">IF($M22="","",N(INDEX('DỮ LIỆU'!$O$3:$O$1052,$M22)))</f>
        <v>0</v>
      </c>
      <c r="K22" s="13" t="str">
        <f aca="false">IF($M22="","",IF(INDEX('DỮ LIỆU'!$Q$3:$Q$1052,$M22)="","",INDEX('DỮ LIỆU'!$Q$3:$Q$1052,$M22)))</f>
        <v/>
      </c>
      <c r="L22" s="21" t="str">
        <f aca="false">IF($M22="","",IF(INDEX('DỮ LIỆU'!$R$3:$R$1052,$M22)="","",INDEX('DỮ LIỆU'!$R$3:$R$1052,$M22)))</f>
        <v>chuyển từ Tháng 7 dòng 51</v>
      </c>
      <c r="M22" s="30" t="n">
        <f aca="false">IFERROR(MATCH(17,'DỮ LIỆU'!$V$3:$V$1052,0),"")</f>
        <v>169</v>
      </c>
    </row>
    <row r="23" customFormat="false" ht="15" hidden="false" customHeight="false" outlineLevel="0" collapsed="false">
      <c r="A23" s="21" t="n">
        <f aca="false">IF($M23="","",18)</f>
        <v>18</v>
      </c>
      <c r="B23" s="13" t="n">
        <f aca="false">IF($M23="","",INDEX('DỮ LIỆU'!$A$3:$A$1052,$M23))</f>
        <v>7</v>
      </c>
      <c r="C23" s="41" t="n">
        <f aca="false">IF($M23="","",IF(INDEX('DỮ LIỆU'!$B$3:$B$1052,$M23)="","",INDEX('DỮ LIỆU'!$B$3:$B$1052,$M23)))</f>
        <v>46216</v>
      </c>
      <c r="D23" s="21" t="str">
        <f aca="false">IF($M23="","",IF(INDEX('DỮ LIỆU'!$C$3:$C$1052,$M23)="","",INDEX('DỮ LIỆU'!$C$3:$C$1052,$M23)))</f>
        <v>MÓC KHÓA BGB - ANH NGỮ WIN</v>
      </c>
      <c r="E23" s="21" t="str">
        <f aca="false">IF($M23="","",IF(INDEX('DỮ LIỆU'!$D$3:$D$1052,$M23)="","",INDEX('DỮ LIỆU'!$D$3:$D$1052,$M23)))</f>
        <v>0909828699</v>
      </c>
      <c r="F23" s="21" t="str">
        <f aca="false">IF($M23="","",IF(INDEX('DỮ LIỆU'!$H$3:$H$1052,$M23)="","",INDEX('DỮ LIỆU'!$H$3:$H$1052,$M23)))</f>
        <v>móc khóa</v>
      </c>
      <c r="G23" s="13" t="n">
        <f aca="false">IF($M23="","",N(INDEX('DỮ LIỆU'!$I$3:$I$1052,$M23)))</f>
        <v>50</v>
      </c>
      <c r="H23" s="13" t="n">
        <f aca="false">IF($M23="","",N(INDEX('DỮ LIỆU'!$J$3:$J$1052,$M23)))</f>
        <v>1450000</v>
      </c>
      <c r="I23" s="13" t="n">
        <f aca="false">IF($M23="","",N(INDEX('DỮ LIỆU'!$N$3:$N$1052,$M23)))</f>
        <v>725000</v>
      </c>
      <c r="J23" s="13" t="n">
        <f aca="false">IF($M23="","",N(INDEX('DỮ LIỆU'!$O$3:$O$1052,$M23)))</f>
        <v>725000</v>
      </c>
      <c r="K23" s="13" t="str">
        <f aca="false">IF($M23="","",IF(INDEX('DỮ LIỆU'!$Q$3:$Q$1052,$M23)="","",INDEX('DỮ LIỆU'!$Q$3:$Q$1052,$M23)))</f>
        <v/>
      </c>
      <c r="L23" s="21" t="str">
        <f aca="false">IF($M23="","",IF(INDEX('DỮ LIỆU'!$R$3:$R$1052,$M23)="","",INDEX('DỮ LIỆU'!$R$3:$R$1052,$M23)))</f>
        <v>chuyển từ Tháng 7 dòng 52</v>
      </c>
      <c r="M23" s="30" t="n">
        <f aca="false">IFERROR(MATCH(18,'DỮ LIỆU'!$V$3:$V$1052,0),"")</f>
        <v>170</v>
      </c>
    </row>
    <row r="24" customFormat="false" ht="15" hidden="false" customHeight="false" outlineLevel="0" collapsed="false">
      <c r="A24" s="21" t="n">
        <f aca="false">IF($M24="","",19)</f>
        <v>19</v>
      </c>
      <c r="B24" s="13" t="n">
        <f aca="false">IF($M24="","",INDEX('DỮ LIỆU'!$A$3:$A$1052,$M24))</f>
        <v>7</v>
      </c>
      <c r="C24" s="41" t="n">
        <f aca="false">IF($M24="","",IF(INDEX('DỮ LIỆU'!$B$3:$B$1052,$M24)="","",INDEX('DỮ LIỆU'!$B$3:$B$1052,$M24)))</f>
        <v>46217</v>
      </c>
      <c r="D24" s="21" t="str">
        <f aca="false">IF($M24="","",IF(INDEX('DỮ LIỆU'!$C$3:$C$1052,$M24)="","",INDEX('DỮ LIỆU'!$C$3:$C$1052,$M24)))</f>
        <v>BGB - CHỊ QUỲNH 35C</v>
      </c>
      <c r="E24" s="21" t="str">
        <f aca="false">IF($M24="","",IF(INDEX('DỮ LIỆU'!$D$3:$D$1052,$M24)="","",INDEX('DỮ LIỆU'!$D$3:$D$1052,$M24)))</f>
        <v>0918479558</v>
      </c>
      <c r="F24" s="21" t="str">
        <f aca="false">IF($M24="","",IF(INDEX('DỮ LIỆU'!$H$3:$H$1052,$M24)="","",INDEX('DỮ LIỆU'!$H$3:$H$1052,$M24)))</f>
        <v>gấu trắng</v>
      </c>
      <c r="G24" s="13" t="n">
        <f aca="false">IF($M24="","",N(INDEX('DỮ LIỆU'!$I$3:$I$1052,$M24)))</f>
        <v>35</v>
      </c>
      <c r="H24" s="13" t="n">
        <f aca="false">IF($M24="","",N(INDEX('DỮ LIỆU'!$J$3:$J$1052,$M24)))</f>
        <v>1750000</v>
      </c>
      <c r="I24" s="13" t="n">
        <f aca="false">IF($M24="","",N(INDEX('DỮ LIỆU'!$N$3:$N$1052,$M24)))</f>
        <v>1750000</v>
      </c>
      <c r="J24" s="13" t="n">
        <f aca="false">IF($M24="","",N(INDEX('DỮ LIỆU'!$O$3:$O$1052,$M24)))</f>
        <v>0</v>
      </c>
      <c r="K24" s="13" t="str">
        <f aca="false">IF($M24="","",IF(INDEX('DỮ LIỆU'!$Q$3:$Q$1052,$M24)="","",INDEX('DỮ LIỆU'!$Q$3:$Q$1052,$M24)))</f>
        <v/>
      </c>
      <c r="L24" s="21" t="str">
        <f aca="false">IF($M24="","",IF(INDEX('DỮ LIỆU'!$R$3:$R$1052,$M24)="","",INDEX('DỮ LIỆU'!$R$3:$R$1052,$M24)))</f>
        <v>chuyển từ Tháng 7 dòng 53</v>
      </c>
      <c r="M24" s="30" t="n">
        <f aca="false">IFERROR(MATCH(19,'DỮ LIỆU'!$V$3:$V$1052,0),"")</f>
        <v>171</v>
      </c>
    </row>
    <row r="25" customFormat="false" ht="15" hidden="false" customHeight="false" outlineLevel="0" collapsed="false">
      <c r="A25" s="21" t="n">
        <f aca="false">IF($M25="","",20)</f>
        <v>20</v>
      </c>
      <c r="B25" s="13" t="n">
        <f aca="false">IF($M25="","",INDEX('DỮ LIỆU'!$A$3:$A$1052,$M25))</f>
        <v>7</v>
      </c>
      <c r="C25" s="41" t="n">
        <f aca="false">IF($M25="","",IF(INDEX('DỮ LIỆU'!$B$3:$B$1052,$M25)="","",INDEX('DỮ LIỆU'!$B$3:$B$1052,$M25)))</f>
        <v>46217</v>
      </c>
      <c r="D25" s="21" t="str">
        <f aca="false">IF($M25="","",IF(INDEX('DỮ LIỆU'!$C$3:$C$1052,$M25)="","",INDEX('DỮ LIỆU'!$C$3:$C$1052,$M25)))</f>
        <v>BGB - ANH HẢI 20C</v>
      </c>
      <c r="E25" s="21" t="str">
        <f aca="false">IF($M25="","",IF(INDEX('DỮ LIỆU'!$D$3:$D$1052,$M25)="","",INDEX('DỮ LIỆU'!$D$3:$D$1052,$M25)))</f>
        <v>0907 188 988</v>
      </c>
      <c r="F25" s="21" t="str">
        <f aca="false">IF($M25="","",IF(INDEX('DỮ LIỆU'!$H$3:$H$1052,$M25)="","",INDEX('DỮ LIỆU'!$H$3:$H$1052,$M25)))</f>
        <v>gấu nâu 30cm</v>
      </c>
      <c r="G25" s="13" t="n">
        <f aca="false">IF($M25="","",N(INDEX('DỮ LIỆU'!$I$3:$I$1052,$M25)))</f>
        <v>20</v>
      </c>
      <c r="H25" s="13" t="n">
        <f aca="false">IF($M25="","",N(INDEX('DỮ LIỆU'!$J$3:$J$1052,$M25)))</f>
        <v>1000000</v>
      </c>
      <c r="I25" s="13" t="n">
        <f aca="false">IF($M25="","",N(INDEX('DỮ LIỆU'!$N$3:$N$1052,$M25)))</f>
        <v>1000000</v>
      </c>
      <c r="J25" s="13" t="n">
        <f aca="false">IF($M25="","",N(INDEX('DỮ LIỆU'!$O$3:$O$1052,$M25)))</f>
        <v>0</v>
      </c>
      <c r="K25" s="13" t="str">
        <f aca="false">IF($M25="","",IF(INDEX('DỮ LIỆU'!$Q$3:$Q$1052,$M25)="","",INDEX('DỮ LIỆU'!$Q$3:$Q$1052,$M25)))</f>
        <v/>
      </c>
      <c r="L25" s="21" t="str">
        <f aca="false">IF($M25="","",IF(INDEX('DỮ LIỆU'!$R$3:$R$1052,$M25)="","",INDEX('DỮ LIỆU'!$R$3:$R$1052,$M25)))</f>
        <v>chuyển từ Tháng 7 dòng 54</v>
      </c>
      <c r="M25" s="30" t="n">
        <f aca="false">IFERROR(MATCH(20,'DỮ LIỆU'!$V$3:$V$1052,0),"")</f>
        <v>172</v>
      </c>
    </row>
    <row r="26" customFormat="false" ht="15" hidden="false" customHeight="false" outlineLevel="0" collapsed="false">
      <c r="A26" s="21" t="n">
        <f aca="false">IF($M26="","",21)</f>
        <v>21</v>
      </c>
      <c r="B26" s="13" t="n">
        <f aca="false">IF($M26="","",INDEX('DỮ LIỆU'!$A$3:$A$1052,$M26))</f>
        <v>7</v>
      </c>
      <c r="C26" s="41" t="n">
        <f aca="false">IF($M26="","",IF(INDEX('DỮ LIỆU'!$B$3:$B$1052,$M26)="","",INDEX('DỮ LIỆU'!$B$3:$B$1052,$M26)))</f>
        <v>46217</v>
      </c>
      <c r="D26" s="21" t="str">
        <f aca="false">IF($M26="","",IF(INDEX('DỮ LIỆU'!$C$3:$C$1052,$M26)="","",INDEX('DỮ LIỆU'!$C$3:$C$1052,$M26)))</f>
        <v>BGB - ANH KIỆT MEDIA</v>
      </c>
      <c r="E26" s="21" t="str">
        <f aca="false">IF($M26="","",IF(INDEX('DỮ LIỆU'!$D$3:$D$1052,$M26)="","",INDEX('DỮ LIỆU'!$D$3:$D$1052,$M26)))</f>
        <v>0354065678</v>
      </c>
      <c r="F26" s="21" t="str">
        <f aca="false">IF($M26="","",IF(INDEX('DỮ LIỆU'!$H$3:$H$1052,$M26)="","",INDEX('DỮ LIỆU'!$H$3:$H$1052,$M26)))</f>
        <v>gấu ngồi lông mịn, gấu panda</v>
      </c>
      <c r="G26" s="13" t="n">
        <f aca="false">IF($M26="","",N(INDEX('DỮ LIỆU'!$I$3:$I$1052,$M26)))</f>
        <v>100</v>
      </c>
      <c r="H26" s="13" t="n">
        <f aca="false">IF($M26="","",N(INDEX('DỮ LIỆU'!$J$3:$J$1052,$M26)))</f>
        <v>6250000</v>
      </c>
      <c r="I26" s="13" t="n">
        <f aca="false">IF($M26="","",N(INDEX('DỮ LIỆU'!$N$3:$N$1052,$M26)))</f>
        <v>6250000</v>
      </c>
      <c r="J26" s="13" t="n">
        <f aca="false">IF($M26="","",N(INDEX('DỮ LIỆU'!$O$3:$O$1052,$M26)))</f>
        <v>0</v>
      </c>
      <c r="K26" s="13" t="str">
        <f aca="false">IF($M26="","",IF(INDEX('DỮ LIỆU'!$Q$3:$Q$1052,$M26)="","",INDEX('DỮ LIỆU'!$Q$3:$Q$1052,$M26)))</f>
        <v/>
      </c>
      <c r="L26" s="21" t="str">
        <f aca="false">IF($M26="","",IF(INDEX('DỮ LIỆU'!$R$3:$R$1052,$M26)="","",INDEX('DỮ LIỆU'!$R$3:$R$1052,$M26)))</f>
        <v>chuyển từ Tháng 7 dòng 55 | đơn giá suy từ thành tiền</v>
      </c>
      <c r="M26" s="30" t="n">
        <f aca="false">IFERROR(MATCH(21,'DỮ LIỆU'!$V$3:$V$1052,0),"")</f>
        <v>173</v>
      </c>
    </row>
    <row r="27" customFormat="false" ht="15" hidden="false" customHeight="false" outlineLevel="0" collapsed="false">
      <c r="A27" s="21" t="n">
        <f aca="false">IF($M27="","",22)</f>
        <v>22</v>
      </c>
      <c r="B27" s="13" t="n">
        <f aca="false">IF($M27="","",INDEX('DỮ LIỆU'!$A$3:$A$1052,$M27))</f>
        <v>7</v>
      </c>
      <c r="C27" s="41" t="n">
        <f aca="false">IF($M27="","",IF(INDEX('DỮ LIỆU'!$B$3:$B$1052,$M27)="","",INDEX('DỮ LIỆU'!$B$3:$B$1052,$M27)))</f>
        <v>46219</v>
      </c>
      <c r="D27" s="21" t="str">
        <f aca="false">IF($M27="","",IF(INDEX('DỮ LIỆU'!$C$3:$C$1052,$M27)="","",INDEX('DỮ LIỆU'!$C$3:$C$1052,$M27)))</f>
        <v>Ánh Linh music</v>
      </c>
      <c r="E27" s="21" t="str">
        <f aca="false">IF($M27="","",IF(INDEX('DỮ LIỆU'!$D$3:$D$1052,$M27)="","",INDEX('DỮ LIỆU'!$D$3:$D$1052,$M27)))</f>
        <v>097 7102094</v>
      </c>
      <c r="F27" s="21" t="str">
        <f aca="false">IF($M27="","",IF(INDEX('DỮ LIỆU'!$H$3:$H$1052,$M27)="","",INDEX('DỮ LIỆU'!$H$3:$H$1052,$M27)))</f>
        <v>CÁ BABY SHARK</v>
      </c>
      <c r="G27" s="13" t="n">
        <f aca="false">IF($M27="","",N(INDEX('DỮ LIỆU'!$I$3:$I$1052,$M27)))</f>
        <v>60</v>
      </c>
      <c r="H27" s="13" t="n">
        <f aca="false">IF($M27="","",N(INDEX('DỮ LIỆU'!$J$3:$J$1052,$M27)))</f>
        <v>2880000</v>
      </c>
      <c r="I27" s="13" t="n">
        <f aca="false">IF($M27="","",N(INDEX('DỮ LIỆU'!$N$3:$N$1052,$M27)))</f>
        <v>2880000</v>
      </c>
      <c r="J27" s="13" t="n">
        <f aca="false">IF($M27="","",N(INDEX('DỮ LIỆU'!$O$3:$O$1052,$M27)))</f>
        <v>0</v>
      </c>
      <c r="K27" s="13" t="str">
        <f aca="false">IF($M27="","",IF(INDEX('DỮ LIỆU'!$Q$3:$Q$1052,$M27)="","",INDEX('DỮ LIỆU'!$Q$3:$Q$1052,$M27)))</f>
        <v/>
      </c>
      <c r="L27" s="21" t="str">
        <f aca="false">IF($M27="","",IF(INDEX('DỮ LIỆU'!$R$3:$R$1052,$M27)="","",INDEX('DỮ LIỆU'!$R$3:$R$1052,$M27)))</f>
        <v>chuyển từ Tháng 7 dòng 124</v>
      </c>
      <c r="M27" s="30" t="n">
        <f aca="false">IFERROR(MATCH(22,'DỮ LIỆU'!$V$3:$V$1052,0),"")</f>
        <v>175</v>
      </c>
    </row>
    <row r="28" customFormat="false" ht="15" hidden="false" customHeight="false" outlineLevel="0" collapsed="false">
      <c r="A28" s="21" t="n">
        <f aca="false">IF($M28="","",23)</f>
        <v>23</v>
      </c>
      <c r="B28" s="13" t="n">
        <f aca="false">IF($M28="","",INDEX('DỮ LIỆU'!$A$3:$A$1052,$M28))</f>
        <v>7</v>
      </c>
      <c r="C28" s="41" t="n">
        <f aca="false">IF($M28="","",IF(INDEX('DỮ LIỆU'!$B$3:$B$1052,$M28)="","",INDEX('DỮ LIỆU'!$B$3:$B$1052,$M28)))</f>
        <v>46219</v>
      </c>
      <c r="D28" s="21" t="str">
        <f aca="false">IF($M28="","",IF(INDEX('DỮ LIỆU'!$C$3:$C$1052,$M28)="","",INDEX('DỮ LIỆU'!$C$3:$C$1052,$M28)))</f>
        <v>BGB - Chị LINH CAO 100G</v>
      </c>
      <c r="E28" s="21" t="str">
        <f aca="false">IF($M28="","",IF(INDEX('DỮ LIỆU'!$D$3:$D$1052,$M28)="","",INDEX('DỮ LIỆU'!$D$3:$D$1052,$M28)))</f>
        <v>078 833 2168</v>
      </c>
      <c r="F28" s="21" t="str">
        <f aca="false">IF($M28="","",IF(INDEX('DỮ LIỆU'!$H$3:$H$1052,$M28)="","",INDEX('DỮ LIỆU'!$H$3:$H$1052,$M28)))</f>
        <v>Gấu nâu</v>
      </c>
      <c r="G28" s="13" t="n">
        <f aca="false">IF($M28="","",N(INDEX('DỮ LIỆU'!$I$3:$I$1052,$M28)))</f>
        <v>100</v>
      </c>
      <c r="H28" s="13" t="n">
        <f aca="false">IF($M28="","",N(INDEX('DỮ LIỆU'!$J$3:$J$1052,$M28)))</f>
        <v>4800000</v>
      </c>
      <c r="I28" s="13" t="n">
        <f aca="false">IF($M28="","",N(INDEX('DỮ LIỆU'!$N$3:$N$1052,$M28)))</f>
        <v>4800000</v>
      </c>
      <c r="J28" s="13" t="n">
        <f aca="false">IF($M28="","",N(INDEX('DỮ LIỆU'!$O$3:$O$1052,$M28)))</f>
        <v>0</v>
      </c>
      <c r="K28" s="13" t="str">
        <f aca="false">IF($M28="","",IF(INDEX('DỮ LIỆU'!$Q$3:$Q$1052,$M28)="","",INDEX('DỮ LIỆU'!$Q$3:$Q$1052,$M28)))</f>
        <v/>
      </c>
      <c r="L28" s="21" t="str">
        <f aca="false">IF($M28="","",IF(INDEX('DỮ LIỆU'!$R$3:$R$1052,$M28)="","",INDEX('DỮ LIỆU'!$R$3:$R$1052,$M28)))</f>
        <v>Chưa có gấu làm cho khách | chuyển từ Tháng 7 dòng 125</v>
      </c>
      <c r="M28" s="30" t="n">
        <f aca="false">IFERROR(MATCH(23,'DỮ LIỆU'!$V$3:$V$1052,0),"")</f>
        <v>176</v>
      </c>
    </row>
    <row r="29" customFormat="false" ht="15" hidden="false" customHeight="false" outlineLevel="0" collapsed="false">
      <c r="A29" s="21" t="n">
        <f aca="false">IF($M29="","",24)</f>
        <v>24</v>
      </c>
      <c r="B29" s="13" t="n">
        <f aca="false">IF($M29="","",INDEX('DỮ LIỆU'!$A$3:$A$1052,$M29))</f>
        <v>7</v>
      </c>
      <c r="C29" s="41" t="n">
        <f aca="false">IF($M29="","",IF(INDEX('DỮ LIỆU'!$B$3:$B$1052,$M29)="","",INDEX('DỮ LIỆU'!$B$3:$B$1052,$M29)))</f>
        <v>46219</v>
      </c>
      <c r="D29" s="21" t="str">
        <f aca="false">IF($M29="","",IF(INDEX('DỮ LIỆU'!$C$3:$C$1052,$M29)="","",INDEX('DỮ LIỆU'!$C$3:$C$1052,$M29)))</f>
        <v>BGB - NHẬT ANH IQ 100C</v>
      </c>
      <c r="E29" s="21" t="str">
        <f aca="false">IF($M29="","",IF(INDEX('DỮ LIỆU'!$D$3:$D$1052,$M29)="","",INDEX('DỮ LIỆU'!$D$3:$D$1052,$M29)))</f>
        <v>0987999723</v>
      </c>
      <c r="F29" s="21" t="str">
        <f aca="false">IF($M29="","",IF(INDEX('DỮ LIỆU'!$H$3:$H$1052,$M29)="","",INDEX('DỮ LIỆU'!$H$3:$H$1052,$M29)))</f>
        <v>gấu trắng, gấu nâu</v>
      </c>
      <c r="G29" s="13" t="n">
        <f aca="false">IF($M29="","",N(INDEX('DỮ LIỆU'!$I$3:$I$1052,$M29)))</f>
        <v>100</v>
      </c>
      <c r="H29" s="13" t="n">
        <f aca="false">IF($M29="","",N(INDEX('DỮ LIỆU'!$J$3:$J$1052,$M29)))</f>
        <v>4500000</v>
      </c>
      <c r="I29" s="13" t="n">
        <f aca="false">IF($M29="","",N(INDEX('DỮ LIỆU'!$N$3:$N$1052,$M29)))</f>
        <v>4500000</v>
      </c>
      <c r="J29" s="13" t="n">
        <f aca="false">IF($M29="","",N(INDEX('DỮ LIỆU'!$O$3:$O$1052,$M29)))</f>
        <v>0</v>
      </c>
      <c r="K29" s="13" t="str">
        <f aca="false">IF($M29="","",IF(INDEX('DỮ LIỆU'!$Q$3:$Q$1052,$M29)="","",INDEX('DỮ LIỆU'!$Q$3:$Q$1052,$M29)))</f>
        <v/>
      </c>
      <c r="L29" s="21" t="str">
        <f aca="false">IF($M29="","",IF(INDEX('DỮ LIỆU'!$R$3:$R$1052,$M29)="","",INDEX('DỮ LIỆU'!$R$3:$R$1052,$M29)))</f>
        <v>chuyển từ Tháng 7 dòng 126</v>
      </c>
      <c r="M29" s="30" t="n">
        <f aca="false">IFERROR(MATCH(24,'DỮ LIỆU'!$V$3:$V$1052,0),"")</f>
        <v>177</v>
      </c>
    </row>
    <row r="30" customFormat="false" ht="15" hidden="false" customHeight="false" outlineLevel="0" collapsed="false">
      <c r="A30" s="21" t="n">
        <f aca="false">IF($M30="","",25)</f>
        <v>25</v>
      </c>
      <c r="B30" s="13" t="n">
        <f aca="false">IF($M30="","",INDEX('DỮ LIỆU'!$A$3:$A$1052,$M30))</f>
        <v>7</v>
      </c>
      <c r="C30" s="41" t="n">
        <f aca="false">IF($M30="","",IF(INDEX('DỮ LIỆU'!$B$3:$B$1052,$M30)="","",INDEX('DỮ LIỆU'!$B$3:$B$1052,$M30)))</f>
        <v>46220</v>
      </c>
      <c r="D30" s="21" t="str">
        <f aca="false">IF($M30="","",IF(INDEX('DỮ LIỆU'!$C$3:$C$1052,$M30)="","",INDEX('DỮ LIỆU'!$C$3:$C$1052,$M30)))</f>
        <v>BGB - SOS 50C</v>
      </c>
      <c r="E30" s="21" t="str">
        <f aca="false">IF($M30="","",IF(INDEX('DỮ LIỆU'!$D$3:$D$1052,$M30)="","",INDEX('DỮ LIỆU'!$D$3:$D$1052,$M30)))</f>
        <v>0975.89.3388</v>
      </c>
      <c r="F30" s="21" t="str">
        <f aca="false">IF($M30="","",IF(INDEX('DỮ LIỆU'!$H$3:$H$1052,$M30)="","",INDEX('DỮ LIỆU'!$H$3:$H$1052,$M30)))</f>
        <v>gấu ngồi lông mịn kèm mũ tn</v>
      </c>
      <c r="G30" s="13" t="n">
        <f aca="false">IF($M30="","",N(INDEX('DỮ LIỆU'!$I$3:$I$1052,$M30)))</f>
        <v>50</v>
      </c>
      <c r="H30" s="13" t="n">
        <f aca="false">IF($M30="","",N(INDEX('DỮ LIỆU'!$J$3:$J$1052,$M30)))</f>
        <v>2750000</v>
      </c>
      <c r="I30" s="13" t="n">
        <f aca="false">IF($M30="","",N(INDEX('DỮ LIỆU'!$N$3:$N$1052,$M30)))</f>
        <v>2750000</v>
      </c>
      <c r="J30" s="13" t="n">
        <f aca="false">IF($M30="","",N(INDEX('DỮ LIỆU'!$O$3:$O$1052,$M30)))</f>
        <v>0</v>
      </c>
      <c r="K30" s="13" t="str">
        <f aca="false">IF($M30="","",IF(INDEX('DỮ LIỆU'!$Q$3:$Q$1052,$M30)="","",INDEX('DỮ LIỆU'!$Q$3:$Q$1052,$M30)))</f>
        <v/>
      </c>
      <c r="L30" s="21" t="str">
        <f aca="false">IF($M30="","",IF(INDEX('DỮ LIỆU'!$R$3:$R$1052,$M30)="","",INDEX('DỮ LIỆU'!$R$3:$R$1052,$M30)))</f>
        <v>chuyển từ Tháng 7 dòng 128</v>
      </c>
      <c r="M30" s="30" t="n">
        <f aca="false">IFERROR(MATCH(25,'DỮ LIỆU'!$V$3:$V$1052,0),"")</f>
        <v>179</v>
      </c>
    </row>
    <row r="31" customFormat="false" ht="15" hidden="false" customHeight="false" outlineLevel="0" collapsed="false">
      <c r="A31" s="21" t="n">
        <f aca="false">IF($M31="","",26)</f>
        <v>26</v>
      </c>
      <c r="B31" s="13" t="n">
        <f aca="false">IF($M31="","",INDEX('DỮ LIỆU'!$A$3:$A$1052,$M31))</f>
        <v>7</v>
      </c>
      <c r="C31" s="41" t="n">
        <f aca="false">IF($M31="","",IF(INDEX('DỮ LIỆU'!$B$3:$B$1052,$M31)="","",INDEX('DỮ LIỆU'!$B$3:$B$1052,$M31)))</f>
        <v>46223</v>
      </c>
      <c r="D31" s="21" t="str">
        <f aca="false">IF($M31="","",IF(INDEX('DỮ LIỆU'!$C$3:$C$1052,$M31)="","",INDEX('DỮ LIỆU'!$C$3:$C$1052,$M31)))</f>
        <v>BGB - BGB - KIDS 80 GỐI, 80 GẤU</v>
      </c>
      <c r="E31" s="21" t="str">
        <f aca="false">IF($M31="","",IF(INDEX('DỮ LIỆU'!$D$3:$D$1052,$M31)="","",INDEX('DỮ LIỆU'!$D$3:$D$1052,$M31)))</f>
        <v>0986665266</v>
      </c>
      <c r="F31" s="21" t="str">
        <f aca="false">IF($M31="","",IF(INDEX('DỮ LIỆU'!$H$3:$H$1052,$M31)="","",INDEX('DỮ LIỆU'!$H$3:$H$1052,$M31)))</f>
        <v>gấu nâu 30cm</v>
      </c>
      <c r="G31" s="13" t="n">
        <f aca="false">IF($M31="","",N(INDEX('DỮ LIỆU'!$I$3:$I$1052,$M31)))</f>
        <v>80</v>
      </c>
      <c r="H31" s="13" t="n">
        <f aca="false">IF($M31="","",N(INDEX('DỮ LIỆU'!$J$3:$J$1052,$M31)))</f>
        <v>3760000</v>
      </c>
      <c r="I31" s="13" t="n">
        <f aca="false">IF($M31="","",N(INDEX('DỮ LIỆU'!$N$3:$N$1052,$M31)))</f>
        <v>3760000</v>
      </c>
      <c r="J31" s="13" t="n">
        <f aca="false">IF($M31="","",N(INDEX('DỮ LIỆU'!$O$3:$O$1052,$M31)))</f>
        <v>0</v>
      </c>
      <c r="K31" s="13" t="str">
        <f aca="false">IF($M31="","",IF(INDEX('DỮ LIỆU'!$Q$3:$Q$1052,$M31)="","",INDEX('DỮ LIỆU'!$Q$3:$Q$1052,$M31)))</f>
        <v/>
      </c>
      <c r="L31" s="21" t="str">
        <f aca="false">IF($M31="","",IF(INDEX('DỮ LIỆU'!$R$3:$R$1052,$M31)="","",INDEX('DỮ LIỆU'!$R$3:$R$1052,$M31)))</f>
        <v>chuyển từ Tháng 7 dòng 131</v>
      </c>
      <c r="M31" s="30" t="n">
        <f aca="false">IFERROR(MATCH(26,'DỮ LIỆU'!$V$3:$V$1052,0),"")</f>
        <v>182</v>
      </c>
    </row>
    <row r="32" customFormat="false" ht="15" hidden="false" customHeight="false" outlineLevel="0" collapsed="false">
      <c r="A32" s="21" t="n">
        <f aca="false">IF($M32="","",27)</f>
        <v>27</v>
      </c>
      <c r="B32" s="13" t="n">
        <f aca="false">IF($M32="","",INDEX('DỮ LIỆU'!$A$3:$A$1052,$M32))</f>
        <v>7</v>
      </c>
      <c r="C32" s="41" t="n">
        <f aca="false">IF($M32="","",IF(INDEX('DỮ LIỆU'!$B$3:$B$1052,$M32)="","",INDEX('DỮ LIỆU'!$B$3:$B$1052,$M32)))</f>
        <v>46223</v>
      </c>
      <c r="D32" s="21" t="str">
        <f aca="false">IF($M32="","",IF(INDEX('DỮ LIỆU'!$C$3:$C$1052,$M32)="","",INDEX('DỮ LIỆU'!$C$3:$C$1052,$M32)))</f>
        <v>BGB - BGB - KIDS 80 GỐI, 80 GẤU</v>
      </c>
      <c r="E32" s="21" t="str">
        <f aca="false">IF($M32="","",IF(INDEX('DỮ LIỆU'!$D$3:$D$1052,$M32)="","",INDEX('DỮ LIỆU'!$D$3:$D$1052,$M32)))</f>
        <v>0986665267</v>
      </c>
      <c r="F32" s="21" t="str">
        <f aca="false">IF($M32="","",IF(INDEX('DỮ LIỆU'!$H$3:$H$1052,$M32)="","",INDEX('DỮ LIỆU'!$H$3:$H$1052,$M32)))</f>
        <v>gối chữ U</v>
      </c>
      <c r="G32" s="13" t="n">
        <f aca="false">IF($M32="","",N(INDEX('DỮ LIỆU'!$I$3:$I$1052,$M32)))</f>
        <v>80</v>
      </c>
      <c r="H32" s="13" t="n">
        <f aca="false">IF($M32="","",N(INDEX('DỮ LIỆU'!$J$3:$J$1052,$M32)))</f>
        <v>4160000</v>
      </c>
      <c r="I32" s="13" t="n">
        <f aca="false">IF($M32="","",N(INDEX('DỮ LIỆU'!$N$3:$N$1052,$M32)))</f>
        <v>4160000</v>
      </c>
      <c r="J32" s="13" t="n">
        <f aca="false">IF($M32="","",N(INDEX('DỮ LIỆU'!$O$3:$O$1052,$M32)))</f>
        <v>0</v>
      </c>
      <c r="K32" s="13" t="str">
        <f aca="false">IF($M32="","",IF(INDEX('DỮ LIỆU'!$Q$3:$Q$1052,$M32)="","",INDEX('DỮ LIỆU'!$Q$3:$Q$1052,$M32)))</f>
        <v/>
      </c>
      <c r="L32" s="21" t="str">
        <f aca="false">IF($M32="","",IF(INDEX('DỮ LIỆU'!$R$3:$R$1052,$M32)="","",INDEX('DỮ LIỆU'!$R$3:$R$1052,$M32)))</f>
        <v>chuyển từ Tháng 7 dòng 132</v>
      </c>
      <c r="M32" s="30" t="n">
        <f aca="false">IFERROR(MATCH(27,'DỮ LIỆU'!$V$3:$V$1052,0),"")</f>
        <v>183</v>
      </c>
    </row>
    <row r="33" customFormat="false" ht="15" hidden="false" customHeight="false" outlineLevel="0" collapsed="false">
      <c r="A33" s="21" t="n">
        <f aca="false">IF($M33="","",28)</f>
        <v>28</v>
      </c>
      <c r="B33" s="13" t="n">
        <f aca="false">IF($M33="","",INDEX('DỮ LIỆU'!$A$3:$A$1052,$M33))</f>
        <v>7</v>
      </c>
      <c r="C33" s="41" t="n">
        <f aca="false">IF($M33="","",IF(INDEX('DỮ LIỆU'!$B$3:$B$1052,$M33)="","",INDEX('DỮ LIỆU'!$B$3:$B$1052,$M33)))</f>
        <v>46223</v>
      </c>
      <c r="D33" s="21" t="str">
        <f aca="false">IF($M33="","",IF(INDEX('DỮ LIỆU'!$C$3:$C$1052,$M33)="","",INDEX('DỮ LIỆU'!$C$3:$C$1052,$M33)))</f>
        <v>BGB - K2 NBK 130C</v>
      </c>
      <c r="E33" s="21" t="str">
        <f aca="false">IF($M33="","",IF(INDEX('DỮ LIỆU'!$D$3:$D$1052,$M33)="","",INDEX('DỮ LIỆU'!$D$3:$D$1052,$M33)))</f>
        <v>0914121088</v>
      </c>
      <c r="F33" s="21" t="str">
        <f aca="false">IF($M33="","",IF(INDEX('DỮ LIỆU'!$H$3:$H$1052,$M33)="","",INDEX('DỮ LIỆU'!$H$3:$H$1052,$M33)))</f>
        <v>gấu nâu 30cm</v>
      </c>
      <c r="G33" s="13" t="n">
        <f aca="false">IF($M33="","",N(INDEX('DỮ LIỆU'!$I$3:$I$1052,$M33)))</f>
        <v>130</v>
      </c>
      <c r="H33" s="13" t="n">
        <f aca="false">IF($M33="","",N(INDEX('DỮ LIỆU'!$J$3:$J$1052,$M33)))</f>
        <v>6110000</v>
      </c>
      <c r="I33" s="13" t="n">
        <f aca="false">IF($M33="","",N(INDEX('DỮ LIỆU'!$N$3:$N$1052,$M33)))</f>
        <v>6110000</v>
      </c>
      <c r="J33" s="13" t="n">
        <f aca="false">IF($M33="","",N(INDEX('DỮ LIỆU'!$O$3:$O$1052,$M33)))</f>
        <v>0</v>
      </c>
      <c r="K33" s="13" t="str">
        <f aca="false">IF($M33="","",IF(INDEX('DỮ LIỆU'!$Q$3:$Q$1052,$M33)="","",INDEX('DỮ LIỆU'!$Q$3:$Q$1052,$M33)))</f>
        <v/>
      </c>
      <c r="L33" s="21" t="str">
        <f aca="false">IF($M33="","",IF(INDEX('DỮ LIỆU'!$R$3:$R$1052,$M33)="","",INDEX('DỮ LIỆU'!$R$3:$R$1052,$M33)))</f>
        <v>chuyển từ Tháng 7 dòng 133</v>
      </c>
      <c r="M33" s="30" t="n">
        <f aca="false">IFERROR(MATCH(28,'DỮ LIỆU'!$V$3:$V$1052,0),"")</f>
        <v>184</v>
      </c>
    </row>
    <row r="34" customFormat="false" ht="15" hidden="false" customHeight="false" outlineLevel="0" collapsed="false">
      <c r="A34" s="21" t="n">
        <f aca="false">IF($M34="","",29)</f>
        <v>29</v>
      </c>
      <c r="B34" s="13" t="n">
        <f aca="false">IF($M34="","",INDEX('DỮ LIỆU'!$A$3:$A$1052,$M34))</f>
        <v>7</v>
      </c>
      <c r="C34" s="41" t="n">
        <f aca="false">IF($M34="","",IF(INDEX('DỮ LIỆU'!$B$3:$B$1052,$M34)="","",INDEX('DỮ LIỆU'!$B$3:$B$1052,$M34)))</f>
        <v>46224</v>
      </c>
      <c r="D34" s="21" t="str">
        <f aca="false">IF($M34="","",IF(INDEX('DỮ LIỆU'!$C$3:$C$1052,$M34)="","",INDEX('DỮ LIỆU'!$C$3:$C$1052,$M34)))</f>
        <v>BGB - KIOT BV 30 GỐI - chị Hien Anh</v>
      </c>
      <c r="E34" s="21" t="str">
        <f aca="false">IF($M34="","",IF(INDEX('DỮ LIỆU'!$D$3:$D$1052,$M34)="","",INDEX('DỮ LIỆU'!$D$3:$D$1052,$M34)))</f>
        <v>0395.254.611</v>
      </c>
      <c r="F34" s="21" t="str">
        <f aca="false">IF($M34="","",IF(INDEX('DỮ LIỆU'!$H$3:$H$1052,$M34)="","",INDEX('DỮ LIỆU'!$H$3:$H$1052,$M34)))</f>
        <v>gối chữ U</v>
      </c>
      <c r="G34" s="13" t="n">
        <f aca="false">IF($M34="","",N(INDEX('DỮ LIỆU'!$I$3:$I$1052,$M34)))</f>
        <v>10</v>
      </c>
      <c r="H34" s="13" t="n">
        <f aca="false">IF($M34="","",N(INDEX('DỮ LIỆU'!$J$3:$J$1052,$M34)))</f>
        <v>700000</v>
      </c>
      <c r="I34" s="13" t="n">
        <f aca="false">IF($M34="","",N(INDEX('DỮ LIỆU'!$N$3:$N$1052,$M34)))</f>
        <v>700000</v>
      </c>
      <c r="J34" s="13" t="n">
        <f aca="false">IF($M34="","",N(INDEX('DỮ LIỆU'!$O$3:$O$1052,$M34)))</f>
        <v>0</v>
      </c>
      <c r="K34" s="13" t="str">
        <f aca="false">IF($M34="","",IF(INDEX('DỮ LIỆU'!$Q$3:$Q$1052,$M34)="","",INDEX('DỮ LIỆU'!$Q$3:$Q$1052,$M34)))</f>
        <v/>
      </c>
      <c r="L34" s="21" t="str">
        <f aca="false">IF($M34="","",IF(INDEX('DỮ LIỆU'!$R$3:$R$1052,$M34)="","",INDEX('DỮ LIỆU'!$R$3:$R$1052,$M34)))</f>
        <v>chuyển từ Tháng 7 dòng 137</v>
      </c>
      <c r="M34" s="30" t="n">
        <f aca="false">IFERROR(MATCH(29,'DỮ LIỆU'!$V$3:$V$1052,0),"")</f>
        <v>188</v>
      </c>
    </row>
    <row r="35" customFormat="false" ht="15" hidden="false" customHeight="false" outlineLevel="0" collapsed="false">
      <c r="A35" s="21" t="n">
        <f aca="false">IF($M35="","",30)</f>
        <v>30</v>
      </c>
      <c r="B35" s="13" t="n">
        <f aca="false">IF($M35="","",INDEX('DỮ LIỆU'!$A$3:$A$1052,$M35))</f>
        <v>7</v>
      </c>
      <c r="C35" s="41" t="n">
        <f aca="false">IF($M35="","",IF(INDEX('DỮ LIỆU'!$B$3:$B$1052,$M35)="","",INDEX('DỮ LIỆU'!$B$3:$B$1052,$M35)))</f>
        <v>46224</v>
      </c>
      <c r="D35" s="21" t="str">
        <f aca="false">IF($M35="","",IF(INDEX('DỮ LIỆU'!$C$3:$C$1052,$M35)="","",INDEX('DỮ LIỆU'!$C$3:$C$1052,$M35)))</f>
        <v>chị Hậu</v>
      </c>
      <c r="E35" s="21" t="str">
        <f aca="false">IF($M35="","",IF(INDEX('DỮ LIỆU'!$D$3:$D$1052,$M35)="","",INDEX('DỮ LIỆU'!$D$3:$D$1052,$M35)))</f>
        <v>0989403759</v>
      </c>
      <c r="F35" s="21" t="str">
        <f aca="false">IF($M35="","",IF(INDEX('DỮ LIỆU'!$H$3:$H$1052,$M35)="","",INDEX('DỮ LIỆU'!$H$3:$H$1052,$M35)))</f>
        <v>gấu mẫu</v>
      </c>
      <c r="G35" s="13" t="n">
        <f aca="false">IF($M35="","",N(INDEX('DỮ LIỆU'!$I$3:$I$1052,$M35)))</f>
        <v>1</v>
      </c>
      <c r="H35" s="13" t="n">
        <f aca="false">IF($M35="","",N(INDEX('DỮ LIỆU'!$J$3:$J$1052,$M35)))</f>
        <v>250000</v>
      </c>
      <c r="I35" s="13" t="n">
        <f aca="false">IF($M35="","",N(INDEX('DỮ LIỆU'!$N$3:$N$1052,$M35)))</f>
        <v>250000</v>
      </c>
      <c r="J35" s="13" t="n">
        <f aca="false">IF($M35="","",N(INDEX('DỮ LIỆU'!$O$3:$O$1052,$M35)))</f>
        <v>0</v>
      </c>
      <c r="K35" s="13" t="str">
        <f aca="false">IF($M35="","",IF(INDEX('DỮ LIỆU'!$Q$3:$Q$1052,$M35)="","",INDEX('DỮ LIỆU'!$Q$3:$Q$1052,$M35)))</f>
        <v/>
      </c>
      <c r="L35" s="21" t="str">
        <f aca="false">IF($M35="","",IF(INDEX('DỮ LIỆU'!$R$3:$R$1052,$M35)="","",INDEX('DỮ LIỆU'!$R$3:$R$1052,$M35)))</f>
        <v>chuyển từ Tháng 7 dòng 138 | file cũ không ghi số lượng, quy về 1 x thành tiền</v>
      </c>
      <c r="M35" s="30" t="n">
        <f aca="false">IFERROR(MATCH(30,'DỮ LIỆU'!$V$3:$V$1052,0),"")</f>
        <v>189</v>
      </c>
    </row>
    <row r="36" customFormat="false" ht="15" hidden="false" customHeight="false" outlineLevel="0" collapsed="false">
      <c r="A36" s="21" t="n">
        <f aca="false">IF($M36="","",31)</f>
        <v>31</v>
      </c>
      <c r="B36" s="13" t="n">
        <f aca="false">IF($M36="","",INDEX('DỮ LIỆU'!$A$3:$A$1052,$M36))</f>
        <v>7</v>
      </c>
      <c r="C36" s="41" t="n">
        <f aca="false">IF($M36="","",IF(INDEX('DỮ LIỆU'!$B$3:$B$1052,$M36)="","",INDEX('DỮ LIỆU'!$B$3:$B$1052,$M36)))</f>
        <v>46225</v>
      </c>
      <c r="D36" s="21" t="str">
        <f aca="false">IF($M36="","",IF(INDEX('DỮ LIỆU'!$C$3:$C$1052,$M36)="","",INDEX('DỮ LIỆU'!$C$3:$C$1052,$M36)))</f>
        <v>BGB - CLUB 16 DAKLAK 200G</v>
      </c>
      <c r="E36" s="21" t="str">
        <f aca="false">IF($M36="","",IF(INDEX('DỮ LIỆU'!$D$3:$D$1052,$M36)="","",INDEX('DỮ LIỆU'!$D$3:$D$1052,$M36)))</f>
        <v>0933115335</v>
      </c>
      <c r="F36" s="21" t="str">
        <f aca="false">IF($M36="","",IF(INDEX('DỮ LIỆU'!$H$3:$H$1052,$M36)="","",INDEX('DỮ LIỆU'!$H$3:$H$1052,$M36)))</f>
        <v>gấu nâu 30cm</v>
      </c>
      <c r="G36" s="13" t="n">
        <f aca="false">IF($M36="","",N(INDEX('DỮ LIỆU'!$I$3:$I$1052,$M36)))</f>
        <v>200</v>
      </c>
      <c r="H36" s="13" t="n">
        <f aca="false">IF($M36="","",N(INDEX('DỮ LIỆU'!$J$3:$J$1052,$M36)))</f>
        <v>9400000</v>
      </c>
      <c r="I36" s="13" t="n">
        <f aca="false">IF($M36="","",N(INDEX('DỮ LIỆU'!$N$3:$N$1052,$M36)))</f>
        <v>9400000</v>
      </c>
      <c r="J36" s="13" t="n">
        <f aca="false">IF($M36="","",N(INDEX('DỮ LIỆU'!$O$3:$O$1052,$M36)))</f>
        <v>0</v>
      </c>
      <c r="K36" s="13" t="str">
        <f aca="false">IF($M36="","",IF(INDEX('DỮ LIỆU'!$Q$3:$Q$1052,$M36)="","",INDEX('DỮ LIỆU'!$Q$3:$Q$1052,$M36)))</f>
        <v/>
      </c>
      <c r="L36" s="21" t="str">
        <f aca="false">IF($M36="","",IF(INDEX('DỮ LIỆU'!$R$3:$R$1052,$M36)="","",INDEX('DỮ LIỆU'!$R$3:$R$1052,$M36)))</f>
        <v>chuyển từ Tháng 7 dòng 141</v>
      </c>
      <c r="M36" s="30" t="n">
        <f aca="false">IFERROR(MATCH(31,'DỮ LIỆU'!$V$3:$V$1052,0),"")</f>
        <v>190</v>
      </c>
    </row>
    <row r="37" customFormat="false" ht="15" hidden="false" customHeight="false" outlineLevel="0" collapsed="false">
      <c r="A37" s="21" t="n">
        <f aca="false">IF($M37="","",32)</f>
        <v>32</v>
      </c>
      <c r="B37" s="13" t="n">
        <f aca="false">IF($M37="","",INDEX('DỮ LIỆU'!$A$3:$A$1052,$M37))</f>
        <v>7</v>
      </c>
      <c r="C37" s="41" t="n">
        <f aca="false">IF($M37="","",IF(INDEX('DỮ LIỆU'!$B$3:$B$1052,$M37)="","",INDEX('DỮ LIỆU'!$B$3:$B$1052,$M37)))</f>
        <v>46225</v>
      </c>
      <c r="D37" s="21" t="str">
        <f aca="false">IF($M37="","",IF(INDEX('DỮ LIỆU'!$C$3:$C$1052,$M37)="","",INDEX('DỮ LIỆU'!$C$3:$C$1052,$M37)))</f>
        <v>BGB - MK VINFAST NGỌC CHÂU THÀNH 50C</v>
      </c>
      <c r="E37" s="21" t="str">
        <f aca="false">IF($M37="","",IF(INDEX('DỮ LIỆU'!$D$3:$D$1052,$M37)="","",INDEX('DỮ LIỆU'!$D$3:$D$1052,$M37)))</f>
        <v>0828388882</v>
      </c>
      <c r="F37" s="21" t="str">
        <f aca="false">IF($M37="","",IF(INDEX('DỮ LIỆU'!$H$3:$H$1052,$M37)="","",INDEX('DỮ LIỆU'!$H$3:$H$1052,$M37)))</f>
        <v>móc khóa</v>
      </c>
      <c r="G37" s="13" t="n">
        <f aca="false">IF($M37="","",N(INDEX('DỮ LIỆU'!$I$3:$I$1052,$M37)))</f>
        <v>50</v>
      </c>
      <c r="H37" s="13" t="n">
        <f aca="false">IF($M37="","",N(INDEX('DỮ LIỆU'!$J$3:$J$1052,$M37)))</f>
        <v>1450000</v>
      </c>
      <c r="I37" s="13" t="n">
        <f aca="false">IF($M37="","",N(INDEX('DỮ LIỆU'!$N$3:$N$1052,$M37)))</f>
        <v>750000</v>
      </c>
      <c r="J37" s="13" t="n">
        <f aca="false">IF($M37="","",N(INDEX('DỮ LIỆU'!$O$3:$O$1052,$M37)))</f>
        <v>700000</v>
      </c>
      <c r="K37" s="13" t="str">
        <f aca="false">IF($M37="","",IF(INDEX('DỮ LIỆU'!$Q$3:$Q$1052,$M37)="","",INDEX('DỮ LIỆU'!$Q$3:$Q$1052,$M37)))</f>
        <v/>
      </c>
      <c r="L37" s="21" t="str">
        <f aca="false">IF($M37="","",IF(INDEX('DỮ LIỆU'!$R$3:$R$1052,$M37)="","",INDEX('DỮ LIỆU'!$R$3:$R$1052,$M37)))</f>
        <v>chuyển từ Tháng 7 dòng 142</v>
      </c>
      <c r="M37" s="30" t="n">
        <f aca="false">IFERROR(MATCH(32,'DỮ LIỆU'!$V$3:$V$1052,0),"")</f>
        <v>191</v>
      </c>
    </row>
    <row r="38" customFormat="false" ht="15" hidden="false" customHeight="false" outlineLevel="0" collapsed="false">
      <c r="A38" s="21" t="n">
        <f aca="false">IF($M38="","",33)</f>
        <v>33</v>
      </c>
      <c r="B38" s="13" t="n">
        <f aca="false">IF($M38="","",INDEX('DỮ LIỆU'!$A$3:$A$1052,$M38))</f>
        <v>7</v>
      </c>
      <c r="C38" s="41" t="n">
        <f aca="false">IF($M38="","",IF(INDEX('DỮ LIỆU'!$B$3:$B$1052,$M38)="","",INDEX('DỮ LIỆU'!$B$3:$B$1052,$M38)))</f>
        <v>46226</v>
      </c>
      <c r="D38" s="21" t="str">
        <f aca="false">IF($M38="","",IF(INDEX('DỮ LIỆU'!$C$3:$C$1052,$M38)="","",INDEX('DỮ LIỆU'!$C$3:$C$1052,$M38)))</f>
        <v>BGB - WULING 20C</v>
      </c>
      <c r="E38" s="21" t="str">
        <f aca="false">IF($M38="","",IF(INDEX('DỮ LIỆU'!$D$3:$D$1052,$M38)="","",INDEX('DỮ LIỆU'!$D$3:$D$1052,$M38)))</f>
        <v>0904568820</v>
      </c>
      <c r="F38" s="21" t="str">
        <f aca="false">IF($M38="","",IF(INDEX('DỮ LIỆU'!$H$3:$H$1052,$M38)="","",INDEX('DỮ LIỆU'!$H$3:$H$1052,$M38)))</f>
        <v>gấu nâu 30cm</v>
      </c>
      <c r="G38" s="13" t="n">
        <f aca="false">IF($M38="","",N(INDEX('DỮ LIỆU'!$I$3:$I$1052,$M38)))</f>
        <v>20</v>
      </c>
      <c r="H38" s="13" t="n">
        <f aca="false">IF($M38="","",N(INDEX('DỮ LIỆU'!$J$3:$J$1052,$M38)))</f>
        <v>1000000</v>
      </c>
      <c r="I38" s="13" t="n">
        <f aca="false">IF($M38="","",N(INDEX('DỮ LIỆU'!$N$3:$N$1052,$M38)))</f>
        <v>1000000</v>
      </c>
      <c r="J38" s="13" t="n">
        <f aca="false">IF($M38="","",N(INDEX('DỮ LIỆU'!$O$3:$O$1052,$M38)))</f>
        <v>0</v>
      </c>
      <c r="K38" s="13" t="str">
        <f aca="false">IF($M38="","",IF(INDEX('DỮ LIỆU'!$Q$3:$Q$1052,$M38)="","",INDEX('DỮ LIỆU'!$Q$3:$Q$1052,$M38)))</f>
        <v/>
      </c>
      <c r="L38" s="21" t="str">
        <f aca="false">IF($M38="","",IF(INDEX('DỮ LIỆU'!$R$3:$R$1052,$M38)="","",INDEX('DỮ LIỆU'!$R$3:$R$1052,$M38)))</f>
        <v>chuyển từ Tháng 7 dòng 144</v>
      </c>
      <c r="M38" s="30" t="n">
        <f aca="false">IFERROR(MATCH(33,'DỮ LIỆU'!$V$3:$V$1052,0),"")</f>
        <v>193</v>
      </c>
    </row>
    <row r="39" customFormat="false" ht="15" hidden="false" customHeight="false" outlineLevel="0" collapsed="false">
      <c r="A39" s="21" t="n">
        <f aca="false">IF($M39="","",34)</f>
        <v>34</v>
      </c>
      <c r="B39" s="13" t="n">
        <f aca="false">IF($M39="","",INDEX('DỮ LIỆU'!$A$3:$A$1052,$M39))</f>
        <v>7</v>
      </c>
      <c r="C39" s="41" t="n">
        <f aca="false">IF($M39="","",IF(INDEX('DỮ LIỆU'!$B$3:$B$1052,$M39)="","",INDEX('DỮ LIỆU'!$B$3:$B$1052,$M39)))</f>
        <v>46228</v>
      </c>
      <c r="D39" s="21" t="str">
        <f aca="false">IF($M39="","",IF(INDEX('DỮ LIỆU'!$C$3:$C$1052,$M39)="","",INDEX('DỮ LIỆU'!$C$3:$C$1052,$M39)))</f>
        <v>BGB - TRƯỜNG GIANG TOURIST GỐI U 50C</v>
      </c>
      <c r="E39" s="21" t="str">
        <f aca="false">IF($M39="","",IF(INDEX('DỮ LIỆU'!$D$3:$D$1052,$M39)="","",INDEX('DỮ LIỆU'!$D$3:$D$1052,$M39)))</f>
        <v>0353330284</v>
      </c>
      <c r="F39" s="21" t="str">
        <f aca="false">IF($M39="","",IF(INDEX('DỮ LIỆU'!$H$3:$H$1052,$M39)="","",INDEX('DỮ LIỆU'!$H$3:$H$1052,$M39)))</f>
        <v>gối chữ U màu nâu</v>
      </c>
      <c r="G39" s="13" t="n">
        <f aca="false">IF($M39="","",N(INDEX('DỮ LIỆU'!$I$3:$I$1052,$M39)))</f>
        <v>50</v>
      </c>
      <c r="H39" s="13" t="n">
        <f aca="false">IF($M39="","",N(INDEX('DỮ LIỆU'!$J$3:$J$1052,$M39)))</f>
        <v>2750000</v>
      </c>
      <c r="I39" s="13" t="n">
        <f aca="false">IF($M39="","",N(INDEX('DỮ LIỆU'!$N$3:$N$1052,$M39)))</f>
        <v>1500000</v>
      </c>
      <c r="J39" s="13" t="n">
        <f aca="false">IF($M39="","",N(INDEX('DỮ LIỆU'!$O$3:$O$1052,$M39)))</f>
        <v>1250000</v>
      </c>
      <c r="K39" s="13" t="str">
        <f aca="false">IF($M39="","",IF(INDEX('DỮ LIỆU'!$Q$3:$Q$1052,$M39)="","",INDEX('DỮ LIỆU'!$Q$3:$Q$1052,$M39)))</f>
        <v/>
      </c>
      <c r="L39" s="21" t="str">
        <f aca="false">IF($M39="","",IF(INDEX('DỮ LIỆU'!$R$3:$R$1052,$M39)="","",INDEX('DỮ LIỆU'!$R$3:$R$1052,$M39)))</f>
        <v>chuyển từ Tháng 7 dòng 145</v>
      </c>
      <c r="M39" s="30" t="n">
        <f aca="false">IFERROR(MATCH(34,'DỮ LIỆU'!$V$3:$V$1052,0),"")</f>
        <v>194</v>
      </c>
    </row>
    <row r="40" customFormat="false" ht="15" hidden="false" customHeight="false" outlineLevel="0" collapsed="false">
      <c r="A40" s="21" t="n">
        <f aca="false">IF($M40="","",35)</f>
        <v>35</v>
      </c>
      <c r="B40" s="13" t="n">
        <f aca="false">IF($M40="","",INDEX('DỮ LIỆU'!$A$3:$A$1052,$M40))</f>
        <v>7</v>
      </c>
      <c r="C40" s="41" t="n">
        <f aca="false">IF($M40="","",IF(INDEX('DỮ LIỆU'!$B$3:$B$1052,$M40)="","",INDEX('DỮ LIỆU'!$B$3:$B$1052,$M40)))</f>
        <v>46228</v>
      </c>
      <c r="D40" s="21" t="str">
        <f aca="false">IF($M40="","",IF(INDEX('DỮ LIỆU'!$C$3:$C$1052,$M40)="","",INDEX('DỮ LIỆU'!$C$3:$C$1052,$M40)))</f>
        <v>BGB - ANH TÀI 100G HT</v>
      </c>
      <c r="E40" s="21" t="str">
        <f aca="false">IF($M40="","",IF(INDEX('DỮ LIỆU'!$D$3:$D$1052,$M40)="","",INDEX('DỮ LIỆU'!$D$3:$D$1052,$M40)))</f>
        <v>0368349339</v>
      </c>
      <c r="F40" s="21" t="str">
        <f aca="false">IF($M40="","",IF(INDEX('DỮ LIỆU'!$H$3:$H$1052,$M40)="","",INDEX('DỮ LIỆU'!$H$3:$H$1052,$M40)))</f>
        <v>gấu 30 cm nhà HT</v>
      </c>
      <c r="G40" s="13" t="n">
        <f aca="false">IF($M40="","",N(INDEX('DỮ LIỆU'!$I$3:$I$1052,$M40)))</f>
        <v>100</v>
      </c>
      <c r="H40" s="13" t="n">
        <f aca="false">IF($M40="","",N(INDEX('DỮ LIỆU'!$J$3:$J$1052,$M40)))</f>
        <v>5500000</v>
      </c>
      <c r="I40" s="13" t="n">
        <f aca="false">IF($M40="","",N(INDEX('DỮ LIỆU'!$N$3:$N$1052,$M40)))</f>
        <v>2750000</v>
      </c>
      <c r="J40" s="13" t="n">
        <f aca="false">IF($M40="","",N(INDEX('DỮ LIỆU'!$O$3:$O$1052,$M40)))</f>
        <v>2750000</v>
      </c>
      <c r="K40" s="13" t="str">
        <f aca="false">IF($M40="","",IF(INDEX('DỮ LIỆU'!$Q$3:$Q$1052,$M40)="","",INDEX('DỮ LIỆU'!$Q$3:$Q$1052,$M40)))</f>
        <v/>
      </c>
      <c r="L40" s="21" t="str">
        <f aca="false">IF($M40="","",IF(INDEX('DỮ LIỆU'!$R$3:$R$1052,$M40)="","",INDEX('DỮ LIỆU'!$R$3:$R$1052,$M40)))</f>
        <v>chuyển từ Tháng 7 dòng 146</v>
      </c>
      <c r="M40" s="30" t="n">
        <f aca="false">IFERROR(MATCH(35,'DỮ LIỆU'!$V$3:$V$1052,0),"")</f>
        <v>195</v>
      </c>
    </row>
    <row r="41" customFormat="false" ht="15" hidden="false" customHeight="false" outlineLevel="0" collapsed="false">
      <c r="A41" s="21" t="n">
        <f aca="false">IF($M41="","",36)</f>
        <v>36</v>
      </c>
      <c r="B41" s="13" t="n">
        <f aca="false">IF($M41="","",INDEX('DỮ LIỆU'!$A$3:$A$1052,$M41))</f>
        <v>7</v>
      </c>
      <c r="C41" s="41" t="n">
        <f aca="false">IF($M41="","",IF(INDEX('DỮ LIỆU'!$B$3:$B$1052,$M41)="","",INDEX('DỮ LIỆU'!$B$3:$B$1052,$M41)))</f>
        <v>46230</v>
      </c>
      <c r="D41" s="21" t="str">
        <f aca="false">IF($M41="","",IF(INDEX('DỮ LIỆU'!$C$3:$C$1052,$M41)="","",INDEX('DỮ LIỆU'!$C$3:$C$1052,$M41)))</f>
        <v>BGB - CÔNG HIỀN TOUR 20G ĐỦ LOẠI</v>
      </c>
      <c r="E41" s="21" t="str">
        <f aca="false">IF($M41="","",IF(INDEX('DỮ LIỆU'!$D$3:$D$1052,$M41)="","",INDEX('DỮ LIỆU'!$D$3:$D$1052,$M41)))</f>
        <v>0984008644</v>
      </c>
      <c r="F41" s="21" t="str">
        <f aca="false">IF($M41="","",IF(INDEX('DỮ LIỆU'!$H$3:$H$1052,$M41)="","",INDEX('DỮ LIỆU'!$H$3:$H$1052,$M41)))</f>
        <v>gấu 4 loại, mỗi loại 5 con</v>
      </c>
      <c r="G41" s="13" t="n">
        <f aca="false">IF($M41="","",N(INDEX('DỮ LIỆU'!$I$3:$I$1052,$M41)))</f>
        <v>20</v>
      </c>
      <c r="H41" s="13" t="n">
        <f aca="false">IF($M41="","",N(INDEX('DỮ LIỆU'!$J$3:$J$1052,$M41)))</f>
        <v>1100000</v>
      </c>
      <c r="I41" s="13" t="n">
        <f aca="false">IF($M41="","",N(INDEX('DỮ LIỆU'!$N$3:$N$1052,$M41)))</f>
        <v>1100000</v>
      </c>
      <c r="J41" s="13" t="n">
        <f aca="false">IF($M41="","",N(INDEX('DỮ LIỆU'!$O$3:$O$1052,$M41)))</f>
        <v>0</v>
      </c>
      <c r="K41" s="13" t="str">
        <f aca="false">IF($M41="","",IF(INDEX('DỮ LIỆU'!$Q$3:$Q$1052,$M41)="","",INDEX('DỮ LIỆU'!$Q$3:$Q$1052,$M41)))</f>
        <v/>
      </c>
      <c r="L41" s="21" t="str">
        <f aca="false">IF($M41="","",IF(INDEX('DỮ LIỆU'!$R$3:$R$1052,$M41)="","",INDEX('DỮ LIỆU'!$R$3:$R$1052,$M41)))</f>
        <v>chuyển từ Tháng 7 dòng 147</v>
      </c>
      <c r="M41" s="30" t="n">
        <f aca="false">IFERROR(MATCH(36,'DỮ LIỆU'!$V$3:$V$1052,0),"")</f>
        <v>196</v>
      </c>
    </row>
    <row r="42" customFormat="false" ht="15" hidden="false" customHeight="false" outlineLevel="0" collapsed="false">
      <c r="A42" s="21" t="n">
        <f aca="false">IF($M42="","",37)</f>
        <v>37</v>
      </c>
      <c r="B42" s="13" t="n">
        <f aca="false">IF($M42="","",INDEX('DỮ LIỆU'!$A$3:$A$1052,$M42))</f>
        <v>7</v>
      </c>
      <c r="C42" s="41" t="n">
        <f aca="false">IF($M42="","",IF(INDEX('DỮ LIỆU'!$B$3:$B$1052,$M42)="","",INDEX('DỮ LIỆU'!$B$3:$B$1052,$M42)))</f>
        <v>46230</v>
      </c>
      <c r="D42" s="21" t="str">
        <f aca="false">IF($M42="","",IF(INDEX('DỮ LIỆU'!$C$3:$C$1052,$M42)="","",INDEX('DỮ LIỆU'!$C$3:$C$1052,$M42)))</f>
        <v>BGB - HẠ LONG 50G</v>
      </c>
      <c r="E42" s="21" t="str">
        <f aca="false">IF($M42="","",IF(INDEX('DỮ LIỆU'!$D$3:$D$1052,$M42)="","",INDEX('DỮ LIỆU'!$D$3:$D$1052,$M42)))</f>
        <v>0376290595</v>
      </c>
      <c r="F42" s="21" t="str">
        <f aca="false">IF($M42="","",IF(INDEX('DỮ LIỆU'!$H$3:$H$1052,$M42)="","",INDEX('DỮ LIỆU'!$H$3:$H$1052,$M42)))</f>
        <v>gấu 2 loại</v>
      </c>
      <c r="G42" s="13" t="n">
        <f aca="false">IF($M42="","",N(INDEX('DỮ LIỆU'!$I$3:$I$1052,$M42)))</f>
        <v>50</v>
      </c>
      <c r="H42" s="13" t="n">
        <f aca="false">IF($M42="","",N(INDEX('DỮ LIỆU'!$J$3:$J$1052,$M42)))</f>
        <v>2600000</v>
      </c>
      <c r="I42" s="13" t="n">
        <f aca="false">IF($M42="","",N(INDEX('DỮ LIỆU'!$N$3:$N$1052,$M42)))</f>
        <v>1300000</v>
      </c>
      <c r="J42" s="13" t="n">
        <f aca="false">IF($M42="","",N(INDEX('DỮ LIỆU'!$O$3:$O$1052,$M42)))</f>
        <v>1300000</v>
      </c>
      <c r="K42" s="13" t="str">
        <f aca="false">IF($M42="","",IF(INDEX('DỮ LIỆU'!$Q$3:$Q$1052,$M42)="","",INDEX('DỮ LIỆU'!$Q$3:$Q$1052,$M42)))</f>
        <v/>
      </c>
      <c r="L42" s="21" t="str">
        <f aca="false">IF($M42="","",IF(INDEX('DỮ LIỆU'!$R$3:$R$1052,$M42)="","",INDEX('DỮ LIỆU'!$R$3:$R$1052,$M42)))</f>
        <v>chuyển từ Tháng 7 dòng 148 | file cũ gõ đè thành tiền, đơn giá tính lại = thành tiền / số lượng</v>
      </c>
      <c r="M42" s="30" t="n">
        <f aca="false">IFERROR(MATCH(37,'DỮ LIỆU'!$V$3:$V$1052,0),"")</f>
        <v>197</v>
      </c>
    </row>
    <row r="43" customFormat="false" ht="15" hidden="false" customHeight="false" outlineLevel="0" collapsed="false">
      <c r="A43" s="21" t="n">
        <f aca="false">IF($M43="","",38)</f>
        <v>38</v>
      </c>
      <c r="B43" s="13" t="n">
        <f aca="false">IF($M43="","",INDEX('DỮ LIỆU'!$A$3:$A$1052,$M43))</f>
        <v>7</v>
      </c>
      <c r="C43" s="41" t="n">
        <f aca="false">IF($M43="","",IF(INDEX('DỮ LIỆU'!$B$3:$B$1052,$M43)="","",INDEX('DỮ LIỆU'!$B$3:$B$1052,$M43)))</f>
        <v>46230</v>
      </c>
      <c r="D43" s="21" t="str">
        <f aca="false">IF($M43="","",IF(INDEX('DỮ LIỆU'!$C$3:$C$1052,$M43)="","",INDEX('DỮ LIỆU'!$C$3:$C$1052,$M43)))</f>
        <v>BGB - GẤU BÔNG RUTA THÁI BÌNH 100G</v>
      </c>
      <c r="E43" s="21" t="str">
        <f aca="false">IF($M43="","",IF(INDEX('DỮ LIỆU'!$D$3:$D$1052,$M43)="","",INDEX('DỮ LIỆU'!$D$3:$D$1052,$M43)))</f>
        <v>0947930930</v>
      </c>
      <c r="F43" s="21" t="str">
        <f aca="false">IF($M43="","",IF(INDEX('DỮ LIỆU'!$H$3:$H$1052,$M43)="","",INDEX('DỮ LIỆU'!$H$3:$H$1052,$M43)))</f>
        <v>gấu 30 cm nâu in 2 mặt</v>
      </c>
      <c r="G43" s="13" t="n">
        <f aca="false">IF($M43="","",N(INDEX('DỮ LIỆU'!$I$3:$I$1052,$M43)))</f>
        <v>100</v>
      </c>
      <c r="H43" s="13" t="n">
        <f aca="false">IF($M43="","",N(INDEX('DỮ LIỆU'!$J$3:$J$1052,$M43)))</f>
        <v>4700000</v>
      </c>
      <c r="I43" s="13" t="n">
        <f aca="false">IF($M43="","",N(INDEX('DỮ LIỆU'!$N$3:$N$1052,$M43)))</f>
        <v>4700000</v>
      </c>
      <c r="J43" s="13" t="n">
        <f aca="false">IF($M43="","",N(INDEX('DỮ LIỆU'!$O$3:$O$1052,$M43)))</f>
        <v>0</v>
      </c>
      <c r="K43" s="13" t="str">
        <f aca="false">IF($M43="","",IF(INDEX('DỮ LIỆU'!$Q$3:$Q$1052,$M43)="","",INDEX('DỮ LIỆU'!$Q$3:$Q$1052,$M43)))</f>
        <v/>
      </c>
      <c r="L43" s="21" t="str">
        <f aca="false">IF($M43="","",IF(INDEX('DỮ LIỆU'!$R$3:$R$1052,$M43)="","",INDEX('DỮ LIỆU'!$R$3:$R$1052,$M43)))</f>
        <v>chuyển từ Tháng 7 dòng 149</v>
      </c>
      <c r="M43" s="30" t="n">
        <f aca="false">IFERROR(MATCH(38,'DỮ LIỆU'!$V$3:$V$1052,0),"")</f>
        <v>198</v>
      </c>
    </row>
    <row r="44" customFormat="false" ht="15" hidden="false" customHeight="false" outlineLevel="0" collapsed="false">
      <c r="A44" s="21" t="n">
        <f aca="false">IF($M44="","",39)</f>
        <v>39</v>
      </c>
      <c r="B44" s="13" t="n">
        <f aca="false">IF($M44="","",INDEX('DỮ LIỆU'!$A$3:$A$1052,$M44))</f>
        <v>7</v>
      </c>
      <c r="C44" s="41" t="n">
        <f aca="false">IF($M44="","",IF(INDEX('DỮ LIỆU'!$B$3:$B$1052,$M44)="","",INDEX('DỮ LIỆU'!$B$3:$B$1052,$M44)))</f>
        <v>46230</v>
      </c>
      <c r="D44" s="21" t="str">
        <f aca="false">IF($M44="","",IF(INDEX('DỮ LIỆU'!$C$3:$C$1052,$M44)="","",INDEX('DỮ LIỆU'!$C$3:$C$1052,$M44)))</f>
        <v>BGB - MK DTTH 50C</v>
      </c>
      <c r="E44" s="21" t="str">
        <f aca="false">IF($M44="","",IF(INDEX('DỮ LIỆU'!$D$3:$D$1052,$M44)="","",INDEX('DỮ LIỆU'!$D$3:$D$1052,$M44)))</f>
        <v>0388376911</v>
      </c>
      <c r="F44" s="21" t="str">
        <f aca="false">IF($M44="","",IF(INDEX('DỮ LIỆU'!$H$3:$H$1052,$M44)="","",INDEX('DỮ LIỆU'!$H$3:$H$1052,$M44)))</f>
        <v>móc khóa</v>
      </c>
      <c r="G44" s="13" t="n">
        <f aca="false">IF($M44="","",N(INDEX('DỮ LIỆU'!$I$3:$I$1052,$M44)))</f>
        <v>50</v>
      </c>
      <c r="H44" s="13" t="n">
        <f aca="false">IF($M44="","",N(INDEX('DỮ LIỆU'!$J$3:$J$1052,$M44)))</f>
        <v>1500000</v>
      </c>
      <c r="I44" s="13" t="n">
        <f aca="false">IF($M44="","",N(INDEX('DỮ LIỆU'!$N$3:$N$1052,$M44)))</f>
        <v>750000</v>
      </c>
      <c r="J44" s="13" t="n">
        <f aca="false">IF($M44="","",N(INDEX('DỮ LIỆU'!$O$3:$O$1052,$M44)))</f>
        <v>750000</v>
      </c>
      <c r="K44" s="13" t="str">
        <f aca="false">IF($M44="","",IF(INDEX('DỮ LIỆU'!$Q$3:$Q$1052,$M44)="","",INDEX('DỮ LIỆU'!$Q$3:$Q$1052,$M44)))</f>
        <v/>
      </c>
      <c r="L44" s="21" t="str">
        <f aca="false">IF($M44="","",IF(INDEX('DỮ LIỆU'!$R$3:$R$1052,$M44)="","",INDEX('DỮ LIỆU'!$R$3:$R$1052,$M44)))</f>
        <v>chuyển từ Tháng 7 dòng 150</v>
      </c>
      <c r="M44" s="30" t="n">
        <f aca="false">IFERROR(MATCH(39,'DỮ LIỆU'!$V$3:$V$1052,0),"")</f>
        <v>199</v>
      </c>
    </row>
    <row r="45" customFormat="false" ht="15" hidden="false" customHeight="false" outlineLevel="0" collapsed="false">
      <c r="A45" s="21" t="n">
        <f aca="false">IF($M45="","",40)</f>
        <v>40</v>
      </c>
      <c r="B45" s="13" t="n">
        <f aca="false">IF($M45="","",INDEX('DỮ LIỆU'!$A$3:$A$1052,$M45))</f>
        <v>7</v>
      </c>
      <c r="C45" s="41" t="n">
        <f aca="false">IF($M45="","",IF(INDEX('DỮ LIỆU'!$B$3:$B$1052,$M45)="","",INDEX('DỮ LIỆU'!$B$3:$B$1052,$M45)))</f>
        <v>46231</v>
      </c>
      <c r="D45" s="21" t="str">
        <f aca="false">IF($M45="","",IF(INDEX('DỮ LIỆU'!$C$3:$C$1052,$M45)="","",INDEX('DỮ LIỆU'!$C$3:$C$1052,$M45)))</f>
        <v>BGB - THIÊN LONG BĐS 100G</v>
      </c>
      <c r="E45" s="21" t="str">
        <f aca="false">IF($M45="","",IF(INDEX('DỮ LIỆU'!$D$3:$D$1052,$M45)="","",INDEX('DỮ LIỆU'!$D$3:$D$1052,$M45)))</f>
        <v>0878202959</v>
      </c>
      <c r="F45" s="21" t="str">
        <f aca="false">IF($M45="","",IF(INDEX('DỮ LIỆU'!$H$3:$H$1052,$M45)="","",INDEX('DỮ LIỆU'!$H$3:$H$1052,$M45)))</f>
        <v>gấu nâu 30cm</v>
      </c>
      <c r="G45" s="13" t="n">
        <f aca="false">IF($M45="","",N(INDEX('DỮ LIỆU'!$I$3:$I$1052,$M45)))</f>
        <v>100</v>
      </c>
      <c r="H45" s="13" t="n">
        <f aca="false">IF($M45="","",N(INDEX('DỮ LIỆU'!$J$3:$J$1052,$M45)))</f>
        <v>4800000</v>
      </c>
      <c r="I45" s="13" t="n">
        <f aca="false">IF($M45="","",N(INDEX('DỮ LIỆU'!$N$3:$N$1052,$M45)))</f>
        <v>2400000</v>
      </c>
      <c r="J45" s="13" t="n">
        <f aca="false">IF($M45="","",N(INDEX('DỮ LIỆU'!$O$3:$O$1052,$M45)))</f>
        <v>2400000</v>
      </c>
      <c r="K45" s="13" t="str">
        <f aca="false">IF($M45="","",IF(INDEX('DỮ LIỆU'!$Q$3:$Q$1052,$M45)="","",INDEX('DỮ LIỆU'!$Q$3:$Q$1052,$M45)))</f>
        <v/>
      </c>
      <c r="L45" s="21" t="str">
        <f aca="false">IF($M45="","",IF(INDEX('DỮ LIỆU'!$R$3:$R$1052,$M45)="","",INDEX('DỮ LIỆU'!$R$3:$R$1052,$M45)))</f>
        <v>chuyển từ Tháng 7 dòng 151</v>
      </c>
      <c r="M45" s="30" t="n">
        <f aca="false">IFERROR(MATCH(40,'DỮ LIỆU'!$V$3:$V$1052,0),"")</f>
        <v>200</v>
      </c>
    </row>
    <row r="46" customFormat="false" ht="15" hidden="false" customHeight="false" outlineLevel="0" collapsed="false">
      <c r="A46" s="21" t="n">
        <f aca="false">IF($M46="","",41)</f>
        <v>41</v>
      </c>
      <c r="B46" s="13" t="n">
        <f aca="false">IF($M46="","",INDEX('DỮ LIỆU'!$A$3:$A$1052,$M46))</f>
        <v>7</v>
      </c>
      <c r="C46" s="41" t="n">
        <f aca="false">IF($M46="","",IF(INDEX('DỮ LIỆU'!$B$3:$B$1052,$M46)="","",INDEX('DỮ LIỆU'!$B$3:$B$1052,$M46)))</f>
        <v>46231</v>
      </c>
      <c r="D46" s="21" t="str">
        <f aca="false">IF($M46="","",IF(INDEX('DỮ LIỆU'!$C$3:$C$1052,$M46)="","",INDEX('DỮ LIỆU'!$C$3:$C$1052,$M46)))</f>
        <v>anh Tuyên</v>
      </c>
      <c r="E46" s="21" t="str">
        <f aca="false">IF($M46="","",IF(INDEX('DỮ LIỆU'!$D$3:$D$1052,$M46)="","",INDEX('DỮ LIỆU'!$D$3:$D$1052,$M46)))</f>
        <v>0987323121</v>
      </c>
      <c r="F46" s="21" t="str">
        <f aca="false">IF($M46="","",IF(INDEX('DỮ LIỆU'!$H$3:$H$1052,$M46)="","",INDEX('DỮ LIỆU'!$H$3:$H$1052,$M46)))</f>
        <v>mẫu gấu</v>
      </c>
      <c r="G46" s="13" t="n">
        <f aca="false">IF($M46="","",N(INDEX('DỮ LIỆU'!$I$3:$I$1052,$M46)))</f>
        <v>1</v>
      </c>
      <c r="H46" s="13" t="n">
        <f aca="false">IF($M46="","",N(INDEX('DỮ LIỆU'!$J$3:$J$1052,$M46)))</f>
        <v>140000</v>
      </c>
      <c r="I46" s="13" t="n">
        <f aca="false">IF($M46="","",N(INDEX('DỮ LIỆU'!$N$3:$N$1052,$M46)))</f>
        <v>0</v>
      </c>
      <c r="J46" s="13" t="n">
        <f aca="false">IF($M46="","",N(INDEX('DỮ LIỆU'!$O$3:$O$1052,$M46)))</f>
        <v>140000</v>
      </c>
      <c r="K46" s="13" t="str">
        <f aca="false">IF($M46="","",IF(INDEX('DỮ LIỆU'!$Q$3:$Q$1052,$M46)="","",INDEX('DỮ LIỆU'!$Q$3:$Q$1052,$M46)))</f>
        <v/>
      </c>
      <c r="L46" s="21" t="str">
        <f aca="false">IF($M46="","",IF(INDEX('DỮ LIỆU'!$R$3:$R$1052,$M46)="","",INDEX('DỮ LIỆU'!$R$3:$R$1052,$M46)))</f>
        <v>chuyển từ Tháng 7 dòng 152 | file cũ không ghi số lượng, quy về 1 x thành tiền</v>
      </c>
      <c r="M46" s="30" t="n">
        <f aca="false">IFERROR(MATCH(41,'DỮ LIỆU'!$V$3:$V$1052,0),"")</f>
        <v>201</v>
      </c>
    </row>
    <row r="47" customFormat="false" ht="15" hidden="false" customHeight="false" outlineLevel="0" collapsed="false">
      <c r="A47" s="21" t="n">
        <f aca="false">IF($M47="","",42)</f>
        <v>42</v>
      </c>
      <c r="B47" s="13" t="n">
        <f aca="false">IF($M47="","",INDEX('DỮ LIỆU'!$A$3:$A$1052,$M47))</f>
        <v>7</v>
      </c>
      <c r="C47" s="41" t="n">
        <f aca="false">IF($M47="","",IF(INDEX('DỮ LIỆU'!$B$3:$B$1052,$M47)="","",INDEX('DỮ LIỆU'!$B$3:$B$1052,$M47)))</f>
        <v>46233</v>
      </c>
      <c r="D47" s="21" t="str">
        <f aca="false">IF($M47="","",IF(INDEX('DỮ LIỆU'!$C$3:$C$1052,$M47)="","",INDEX('DỮ LIỆU'!$C$3:$C$1052,$M47)))</f>
        <v>anh Tomsong</v>
      </c>
      <c r="E47" s="21" t="str">
        <f aca="false">IF($M47="","",IF(INDEX('DỮ LIỆU'!$D$3:$D$1052,$M47)="","",INDEX('DỮ LIỆU'!$D$3:$D$1052,$M47)))</f>
        <v>0326397762</v>
      </c>
      <c r="F47" s="21" t="str">
        <f aca="false">IF($M47="","",IF(INDEX('DỮ LIỆU'!$H$3:$H$1052,$M47)="","",INDEX('DỮ LIỆU'!$H$3:$H$1052,$M47)))</f>
        <v>gối chữ U màu xám</v>
      </c>
      <c r="G47" s="13" t="n">
        <f aca="false">IF($M47="","",N(INDEX('DỮ LIỆU'!$I$3:$I$1052,$M47)))</f>
        <v>50</v>
      </c>
      <c r="H47" s="13" t="n">
        <f aca="false">IF($M47="","",N(INDEX('DỮ LIỆU'!$J$3:$J$1052,$M47)))</f>
        <v>2750000</v>
      </c>
      <c r="I47" s="13" t="n">
        <f aca="false">IF($M47="","",N(INDEX('DỮ LIỆU'!$N$3:$N$1052,$M47)))</f>
        <v>1375000</v>
      </c>
      <c r="J47" s="13" t="n">
        <f aca="false">IF($M47="","",N(INDEX('DỮ LIỆU'!$O$3:$O$1052,$M47)))</f>
        <v>1375000</v>
      </c>
      <c r="K47" s="13" t="str">
        <f aca="false">IF($M47="","",IF(INDEX('DỮ LIỆU'!$Q$3:$Q$1052,$M47)="","",INDEX('DỮ LIỆU'!$Q$3:$Q$1052,$M47)))</f>
        <v/>
      </c>
      <c r="L47" s="21" t="str">
        <f aca="false">IF($M47="","",IF(INDEX('DỮ LIỆU'!$R$3:$R$1052,$M47)="","",INDEX('DỮ LIỆU'!$R$3:$R$1052,$M47)))</f>
        <v>chuyển từ Tháng 7 dòng 153</v>
      </c>
      <c r="M47" s="30" t="n">
        <f aca="false">IFERROR(MATCH(42,'DỮ LIỆU'!$V$3:$V$1052,0),"")</f>
        <v>202</v>
      </c>
    </row>
    <row r="48" customFormat="false" ht="15" hidden="false" customHeight="false" outlineLevel="0" collapsed="false">
      <c r="A48" s="21" t="n">
        <f aca="false">IF($M48="","",43)</f>
        <v>43</v>
      </c>
      <c r="B48" s="13" t="n">
        <f aca="false">IF($M48="","",INDEX('DỮ LIỆU'!$A$3:$A$1052,$M48))</f>
        <v>8</v>
      </c>
      <c r="C48" s="41" t="n">
        <f aca="false">IF($M48="","",IF(INDEX('DỮ LIỆU'!$B$3:$B$1052,$M48)="","",INDEX('DỮ LIỆU'!$B$3:$B$1052,$M48)))</f>
        <v>46235</v>
      </c>
      <c r="D48" s="21" t="str">
        <f aca="false">IF($M48="","",IF(INDEX('DỮ LIỆU'!$C$3:$C$1052,$M48)="","",INDEX('DỮ LIỆU'!$C$3:$C$1052,$M48)))</f>
        <v>Chị Hồng Liên</v>
      </c>
      <c r="E48" s="21" t="str">
        <f aca="false">IF($M48="","",IF(INDEX('DỮ LIỆU'!$D$3:$D$1052,$M48)="","",INDEX('DỮ LIỆU'!$D$3:$D$1052,$M48)))</f>
        <v>0941379111</v>
      </c>
      <c r="F48" s="21" t="str">
        <f aca="false">IF($M48="","",IF(INDEX('DỮ LIỆU'!$H$3:$H$1052,$M48)="","",INDEX('DỮ LIỆU'!$H$3:$H$1052,$M48)))</f>
        <v>gấu tốt nghiệp</v>
      </c>
      <c r="G48" s="13" t="n">
        <f aca="false">IF($M48="","",N(INDEX('DỮ LIỆU'!$I$3:$I$1052,$M48)))</f>
        <v>32</v>
      </c>
      <c r="H48" s="13" t="n">
        <f aca="false">IF($M48="","",N(INDEX('DỮ LIỆU'!$J$3:$J$1052,$M48)))</f>
        <v>2080000</v>
      </c>
      <c r="I48" s="13" t="n">
        <f aca="false">IF($M48="","",N(INDEX('DỮ LIỆU'!$N$3:$N$1052,$M48)))</f>
        <v>1050000</v>
      </c>
      <c r="J48" s="13" t="n">
        <f aca="false">IF($M48="","",N(INDEX('DỮ LIỆU'!$O$3:$O$1052,$M48)))</f>
        <v>1030000</v>
      </c>
      <c r="K48" s="13" t="n">
        <f aca="false">IF($M48="","",IF(INDEX('DỮ LIỆU'!$Q$3:$Q$1052,$M48)="","",INDEX('DỮ LIỆU'!$Q$3:$Q$1052,$M48)))</f>
        <v>800000</v>
      </c>
      <c r="L48" s="21" t="str">
        <f aca="false">IF($M48="","",IF(INDEX('DỮ LIỆU'!$R$3:$R$1052,$M48)="","",INDEX('DỮ LIỆU'!$R$3:$R$1052,$M48)))</f>
        <v>chuyển từ Tháng 8 dòng 10</v>
      </c>
      <c r="M48" s="30" t="n">
        <f aca="false">IFERROR(MATCH(43,'DỮ LIỆU'!$V$3:$V$1052,0),"")</f>
        <v>301</v>
      </c>
    </row>
    <row r="49" customFormat="false" ht="15" hidden="false" customHeight="false" outlineLevel="0" collapsed="false">
      <c r="A49" s="21" t="n">
        <f aca="false">IF($M49="","",44)</f>
        <v>44</v>
      </c>
      <c r="B49" s="13" t="n">
        <f aca="false">IF($M49="","",INDEX('DỮ LIỆU'!$A$3:$A$1052,$M49))</f>
        <v>8</v>
      </c>
      <c r="C49" s="41" t="n">
        <f aca="false">IF($M49="","",IF(INDEX('DỮ LIỆU'!$B$3:$B$1052,$M49)="","",INDEX('DỮ LIỆU'!$B$3:$B$1052,$M49)))</f>
        <v>46235</v>
      </c>
      <c r="D49" s="21" t="str">
        <f aca="false">IF($M49="","",IF(INDEX('DỮ LIỆU'!$C$3:$C$1052,$M49)="","",INDEX('DỮ LIỆU'!$C$3:$C$1052,$M49)))</f>
        <v>BGB - HOÀNG HẢI TRAVEL 30G</v>
      </c>
      <c r="E49" s="21" t="str">
        <f aca="false">IF($M49="","",IF(INDEX('DỮ LIỆU'!$D$3:$D$1052,$M49)="","",INDEX('DỮ LIỆU'!$D$3:$D$1052,$M49)))</f>
        <v>0967840505</v>
      </c>
      <c r="F49" s="21" t="str">
        <f aca="false">IF($M49="","",IF(INDEX('DỮ LIỆU'!$H$3:$H$1052,$M49)="","",INDEX('DỮ LIỆU'!$H$3:$H$1052,$M49)))</f>
        <v>gấu nâu</v>
      </c>
      <c r="G49" s="13" t="n">
        <f aca="false">IF($M49="","",N(INDEX('DỮ LIỆU'!$I$3:$I$1052,$M49)))</f>
        <v>30</v>
      </c>
      <c r="H49" s="13" t="n">
        <f aca="false">IF($M49="","",N(INDEX('DỮ LIỆU'!$J$3:$J$1052,$M49)))</f>
        <v>1500000</v>
      </c>
      <c r="I49" s="13" t="n">
        <f aca="false">IF($M49="","",N(INDEX('DỮ LIỆU'!$N$3:$N$1052,$M49)))</f>
        <v>500000</v>
      </c>
      <c r="J49" s="13" t="n">
        <f aca="false">IF($M49="","",N(INDEX('DỮ LIỆU'!$O$3:$O$1052,$M49)))</f>
        <v>1000000</v>
      </c>
      <c r="K49" s="13" t="str">
        <f aca="false">IF($M49="","",IF(INDEX('DỮ LIỆU'!$Q$3:$Q$1052,$M49)="","",INDEX('DỮ LIỆU'!$Q$3:$Q$1052,$M49)))</f>
        <v/>
      </c>
      <c r="L49" s="21" t="str">
        <f aca="false">IF($M49="","",IF(INDEX('DỮ LIỆU'!$R$3:$R$1052,$M49)="","",INDEX('DỮ LIỆU'!$R$3:$R$1052,$M49)))</f>
        <v>chuyển từ Tháng 8 dòng 12</v>
      </c>
      <c r="M49" s="30" t="n">
        <f aca="false">IFERROR(MATCH(44,'DỮ LIỆU'!$V$3:$V$1052,0),"")</f>
        <v>303</v>
      </c>
    </row>
    <row r="50" customFormat="false" ht="15" hidden="false" customHeight="false" outlineLevel="0" collapsed="false">
      <c r="A50" s="21" t="str">
        <f aca="false">IF($M50="","",45)</f>
        <v/>
      </c>
      <c r="B50" s="13" t="str">
        <f aca="false">IF($M50="","",INDEX('DỮ LIỆU'!$A$3:$A$1052,$M50))</f>
        <v/>
      </c>
      <c r="C50" s="41" t="str">
        <f aca="false">IF($M50="","",IF(INDEX('DỮ LIỆU'!$B$3:$B$1052,$M50)="","",INDEX('DỮ LIỆU'!$B$3:$B$1052,$M50)))</f>
        <v/>
      </c>
      <c r="D50" s="21" t="str">
        <f aca="false">IF($M50="","",IF(INDEX('DỮ LIỆU'!$C$3:$C$1052,$M50)="","",INDEX('DỮ LIỆU'!$C$3:$C$1052,$M50)))</f>
        <v/>
      </c>
      <c r="E50" s="21" t="str">
        <f aca="false">IF($M50="","",IF(INDEX('DỮ LIỆU'!$D$3:$D$1052,$M50)="","",INDEX('DỮ LIỆU'!$D$3:$D$1052,$M50)))</f>
        <v/>
      </c>
      <c r="F50" s="21" t="str">
        <f aca="false">IF($M50="","",IF(INDEX('DỮ LIỆU'!$H$3:$H$1052,$M50)="","",INDEX('DỮ LIỆU'!$H$3:$H$1052,$M50)))</f>
        <v/>
      </c>
      <c r="G50" s="13" t="str">
        <f aca="false">IF($M50="","",N(INDEX('DỮ LIỆU'!$I$3:$I$1052,$M50)))</f>
        <v/>
      </c>
      <c r="H50" s="13" t="str">
        <f aca="false">IF($M50="","",N(INDEX('DỮ LIỆU'!$J$3:$J$1052,$M50)))</f>
        <v/>
      </c>
      <c r="I50" s="13" t="str">
        <f aca="false">IF($M50="","",N(INDEX('DỮ LIỆU'!$N$3:$N$1052,$M50)))</f>
        <v/>
      </c>
      <c r="J50" s="13" t="str">
        <f aca="false">IF($M50="","",N(INDEX('DỮ LIỆU'!$O$3:$O$1052,$M50)))</f>
        <v/>
      </c>
      <c r="K50" s="13" t="str">
        <f aca="false">IF($M50="","",IF(INDEX('DỮ LIỆU'!$Q$3:$Q$1052,$M50)="","",INDEX('DỮ LIỆU'!$Q$3:$Q$1052,$M50)))</f>
        <v/>
      </c>
      <c r="L50" s="21" t="str">
        <f aca="false">IF($M50="","",IF(INDEX('DỮ LIỆU'!$R$3:$R$1052,$M50)="","",INDEX('DỮ LIỆU'!$R$3:$R$1052,$M50)))</f>
        <v/>
      </c>
      <c r="M50" s="0" t="str">
        <f aca="false">IFERROR(MATCH(45,'DỮ LIỆU'!$V$3:$V$1052,0),"")</f>
        <v/>
      </c>
    </row>
    <row r="51" customFormat="false" ht="15" hidden="false" customHeight="false" outlineLevel="0" collapsed="false">
      <c r="A51" s="21" t="str">
        <f aca="false">IF($M51="","",46)</f>
        <v/>
      </c>
      <c r="B51" s="13" t="str">
        <f aca="false">IF($M51="","",INDEX('DỮ LIỆU'!$A$3:$A$1052,$M51))</f>
        <v/>
      </c>
      <c r="C51" s="41" t="str">
        <f aca="false">IF($M51="","",IF(INDEX('DỮ LIỆU'!$B$3:$B$1052,$M51)="","",INDEX('DỮ LIỆU'!$B$3:$B$1052,$M51)))</f>
        <v/>
      </c>
      <c r="D51" s="21" t="str">
        <f aca="false">IF($M51="","",IF(INDEX('DỮ LIỆU'!$C$3:$C$1052,$M51)="","",INDEX('DỮ LIỆU'!$C$3:$C$1052,$M51)))</f>
        <v/>
      </c>
      <c r="E51" s="21" t="str">
        <f aca="false">IF($M51="","",IF(INDEX('DỮ LIỆU'!$D$3:$D$1052,$M51)="","",INDEX('DỮ LIỆU'!$D$3:$D$1052,$M51)))</f>
        <v/>
      </c>
      <c r="F51" s="21" t="str">
        <f aca="false">IF($M51="","",IF(INDEX('DỮ LIỆU'!$H$3:$H$1052,$M51)="","",INDEX('DỮ LIỆU'!$H$3:$H$1052,$M51)))</f>
        <v/>
      </c>
      <c r="G51" s="13" t="str">
        <f aca="false">IF($M51="","",N(INDEX('DỮ LIỆU'!$I$3:$I$1052,$M51)))</f>
        <v/>
      </c>
      <c r="H51" s="13" t="str">
        <f aca="false">IF($M51="","",N(INDEX('DỮ LIỆU'!$J$3:$J$1052,$M51)))</f>
        <v/>
      </c>
      <c r="I51" s="13" t="str">
        <f aca="false">IF($M51="","",N(INDEX('DỮ LIỆU'!$N$3:$N$1052,$M51)))</f>
        <v/>
      </c>
      <c r="J51" s="13" t="str">
        <f aca="false">IF($M51="","",N(INDEX('DỮ LIỆU'!$O$3:$O$1052,$M51)))</f>
        <v/>
      </c>
      <c r="K51" s="13" t="str">
        <f aca="false">IF($M51="","",IF(INDEX('DỮ LIỆU'!$Q$3:$Q$1052,$M51)="","",INDEX('DỮ LIỆU'!$Q$3:$Q$1052,$M51)))</f>
        <v/>
      </c>
      <c r="L51" s="21" t="str">
        <f aca="false">IF($M51="","",IF(INDEX('DỮ LIỆU'!$R$3:$R$1052,$M51)="","",INDEX('DỮ LIỆU'!$R$3:$R$1052,$M51)))</f>
        <v/>
      </c>
      <c r="M51" s="0" t="str">
        <f aca="false">IFERROR(MATCH(46,'DỮ LIỆU'!$V$3:$V$1052,0),"")</f>
        <v/>
      </c>
    </row>
    <row r="52" customFormat="false" ht="15" hidden="false" customHeight="false" outlineLevel="0" collapsed="false">
      <c r="A52" s="21" t="str">
        <f aca="false">IF($M52="","",47)</f>
        <v/>
      </c>
      <c r="B52" s="13" t="str">
        <f aca="false">IF($M52="","",INDEX('DỮ LIỆU'!$A$3:$A$1052,$M52))</f>
        <v/>
      </c>
      <c r="C52" s="41" t="str">
        <f aca="false">IF($M52="","",IF(INDEX('DỮ LIỆU'!$B$3:$B$1052,$M52)="","",INDEX('DỮ LIỆU'!$B$3:$B$1052,$M52)))</f>
        <v/>
      </c>
      <c r="D52" s="21" t="str">
        <f aca="false">IF($M52="","",IF(INDEX('DỮ LIỆU'!$C$3:$C$1052,$M52)="","",INDEX('DỮ LIỆU'!$C$3:$C$1052,$M52)))</f>
        <v/>
      </c>
      <c r="E52" s="21" t="str">
        <f aca="false">IF($M52="","",IF(INDEX('DỮ LIỆU'!$D$3:$D$1052,$M52)="","",INDEX('DỮ LIỆU'!$D$3:$D$1052,$M52)))</f>
        <v/>
      </c>
      <c r="F52" s="21" t="str">
        <f aca="false">IF($M52="","",IF(INDEX('DỮ LIỆU'!$H$3:$H$1052,$M52)="","",INDEX('DỮ LIỆU'!$H$3:$H$1052,$M52)))</f>
        <v/>
      </c>
      <c r="G52" s="13" t="str">
        <f aca="false">IF($M52="","",N(INDEX('DỮ LIỆU'!$I$3:$I$1052,$M52)))</f>
        <v/>
      </c>
      <c r="H52" s="13" t="str">
        <f aca="false">IF($M52="","",N(INDEX('DỮ LIỆU'!$J$3:$J$1052,$M52)))</f>
        <v/>
      </c>
      <c r="I52" s="13" t="str">
        <f aca="false">IF($M52="","",N(INDEX('DỮ LIỆU'!$N$3:$N$1052,$M52)))</f>
        <v/>
      </c>
      <c r="J52" s="13" t="str">
        <f aca="false">IF($M52="","",N(INDEX('DỮ LIỆU'!$O$3:$O$1052,$M52)))</f>
        <v/>
      </c>
      <c r="K52" s="13" t="str">
        <f aca="false">IF($M52="","",IF(INDEX('DỮ LIỆU'!$Q$3:$Q$1052,$M52)="","",INDEX('DỮ LIỆU'!$Q$3:$Q$1052,$M52)))</f>
        <v/>
      </c>
      <c r="L52" s="21" t="str">
        <f aca="false">IF($M52="","",IF(INDEX('DỮ LIỆU'!$R$3:$R$1052,$M52)="","",INDEX('DỮ LIỆU'!$R$3:$R$1052,$M52)))</f>
        <v/>
      </c>
      <c r="M52" s="0" t="str">
        <f aca="false">IFERROR(MATCH(47,'DỮ LIỆU'!$V$3:$V$1052,0),"")</f>
        <v/>
      </c>
    </row>
    <row r="53" customFormat="false" ht="15" hidden="false" customHeight="false" outlineLevel="0" collapsed="false">
      <c r="A53" s="21" t="str">
        <f aca="false">IF($M53="","",48)</f>
        <v/>
      </c>
      <c r="B53" s="13" t="str">
        <f aca="false">IF($M53="","",INDEX('DỮ LIỆU'!$A$3:$A$1052,$M53))</f>
        <v/>
      </c>
      <c r="C53" s="41" t="str">
        <f aca="false">IF($M53="","",IF(INDEX('DỮ LIỆU'!$B$3:$B$1052,$M53)="","",INDEX('DỮ LIỆU'!$B$3:$B$1052,$M53)))</f>
        <v/>
      </c>
      <c r="D53" s="21" t="str">
        <f aca="false">IF($M53="","",IF(INDEX('DỮ LIỆU'!$C$3:$C$1052,$M53)="","",INDEX('DỮ LIỆU'!$C$3:$C$1052,$M53)))</f>
        <v/>
      </c>
      <c r="E53" s="21" t="str">
        <f aca="false">IF($M53="","",IF(INDEX('DỮ LIỆU'!$D$3:$D$1052,$M53)="","",INDEX('DỮ LIỆU'!$D$3:$D$1052,$M53)))</f>
        <v/>
      </c>
      <c r="F53" s="21" t="str">
        <f aca="false">IF($M53="","",IF(INDEX('DỮ LIỆU'!$H$3:$H$1052,$M53)="","",INDEX('DỮ LIỆU'!$H$3:$H$1052,$M53)))</f>
        <v/>
      </c>
      <c r="G53" s="13" t="str">
        <f aca="false">IF($M53="","",N(INDEX('DỮ LIỆU'!$I$3:$I$1052,$M53)))</f>
        <v/>
      </c>
      <c r="H53" s="13" t="str">
        <f aca="false">IF($M53="","",N(INDEX('DỮ LIỆU'!$J$3:$J$1052,$M53)))</f>
        <v/>
      </c>
      <c r="I53" s="13" t="str">
        <f aca="false">IF($M53="","",N(INDEX('DỮ LIỆU'!$N$3:$N$1052,$M53)))</f>
        <v/>
      </c>
      <c r="J53" s="13" t="str">
        <f aca="false">IF($M53="","",N(INDEX('DỮ LIỆU'!$O$3:$O$1052,$M53)))</f>
        <v/>
      </c>
      <c r="K53" s="13" t="str">
        <f aca="false">IF($M53="","",IF(INDEX('DỮ LIỆU'!$Q$3:$Q$1052,$M53)="","",INDEX('DỮ LIỆU'!$Q$3:$Q$1052,$M53)))</f>
        <v/>
      </c>
      <c r="L53" s="21" t="str">
        <f aca="false">IF($M53="","",IF(INDEX('DỮ LIỆU'!$R$3:$R$1052,$M53)="","",INDEX('DỮ LIỆU'!$R$3:$R$1052,$M53)))</f>
        <v/>
      </c>
      <c r="M53" s="0" t="str">
        <f aca="false">IFERROR(MATCH(48,'DỮ LIỆU'!$V$3:$V$1052,0),"")</f>
        <v/>
      </c>
    </row>
    <row r="54" customFormat="false" ht="15" hidden="false" customHeight="false" outlineLevel="0" collapsed="false">
      <c r="A54" s="21" t="str">
        <f aca="false">IF($M54="","",49)</f>
        <v/>
      </c>
      <c r="B54" s="13" t="str">
        <f aca="false">IF($M54="","",INDEX('DỮ LIỆU'!$A$3:$A$1052,$M54))</f>
        <v/>
      </c>
      <c r="C54" s="41" t="str">
        <f aca="false">IF($M54="","",IF(INDEX('DỮ LIỆU'!$B$3:$B$1052,$M54)="","",INDEX('DỮ LIỆU'!$B$3:$B$1052,$M54)))</f>
        <v/>
      </c>
      <c r="D54" s="21" t="str">
        <f aca="false">IF($M54="","",IF(INDEX('DỮ LIỆU'!$C$3:$C$1052,$M54)="","",INDEX('DỮ LIỆU'!$C$3:$C$1052,$M54)))</f>
        <v/>
      </c>
      <c r="E54" s="21" t="str">
        <f aca="false">IF($M54="","",IF(INDEX('DỮ LIỆU'!$D$3:$D$1052,$M54)="","",INDEX('DỮ LIỆU'!$D$3:$D$1052,$M54)))</f>
        <v/>
      </c>
      <c r="F54" s="21" t="str">
        <f aca="false">IF($M54="","",IF(INDEX('DỮ LIỆU'!$H$3:$H$1052,$M54)="","",INDEX('DỮ LIỆU'!$H$3:$H$1052,$M54)))</f>
        <v/>
      </c>
      <c r="G54" s="13" t="str">
        <f aca="false">IF($M54="","",N(INDEX('DỮ LIỆU'!$I$3:$I$1052,$M54)))</f>
        <v/>
      </c>
      <c r="H54" s="13" t="str">
        <f aca="false">IF($M54="","",N(INDEX('DỮ LIỆU'!$J$3:$J$1052,$M54)))</f>
        <v/>
      </c>
      <c r="I54" s="13" t="str">
        <f aca="false">IF($M54="","",N(INDEX('DỮ LIỆU'!$N$3:$N$1052,$M54)))</f>
        <v/>
      </c>
      <c r="J54" s="13" t="str">
        <f aca="false">IF($M54="","",N(INDEX('DỮ LIỆU'!$O$3:$O$1052,$M54)))</f>
        <v/>
      </c>
      <c r="K54" s="13" t="str">
        <f aca="false">IF($M54="","",IF(INDEX('DỮ LIỆU'!$Q$3:$Q$1052,$M54)="","",INDEX('DỮ LIỆU'!$Q$3:$Q$1052,$M54)))</f>
        <v/>
      </c>
      <c r="L54" s="21" t="str">
        <f aca="false">IF($M54="","",IF(INDEX('DỮ LIỆU'!$R$3:$R$1052,$M54)="","",INDEX('DỮ LIỆU'!$R$3:$R$1052,$M54)))</f>
        <v/>
      </c>
      <c r="M54" s="0" t="str">
        <f aca="false">IFERROR(MATCH(49,'DỮ LIỆU'!$V$3:$V$1052,0),"")</f>
        <v/>
      </c>
    </row>
    <row r="55" customFormat="false" ht="15" hidden="false" customHeight="false" outlineLevel="0" collapsed="false">
      <c r="A55" s="21" t="str">
        <f aca="false">IF($M55="","",50)</f>
        <v/>
      </c>
      <c r="B55" s="13" t="str">
        <f aca="false">IF($M55="","",INDEX('DỮ LIỆU'!$A$3:$A$1052,$M55))</f>
        <v/>
      </c>
      <c r="C55" s="41" t="str">
        <f aca="false">IF($M55="","",IF(INDEX('DỮ LIỆU'!$B$3:$B$1052,$M55)="","",INDEX('DỮ LIỆU'!$B$3:$B$1052,$M55)))</f>
        <v/>
      </c>
      <c r="D55" s="21" t="str">
        <f aca="false">IF($M55="","",IF(INDEX('DỮ LIỆU'!$C$3:$C$1052,$M55)="","",INDEX('DỮ LIỆU'!$C$3:$C$1052,$M55)))</f>
        <v/>
      </c>
      <c r="E55" s="21" t="str">
        <f aca="false">IF($M55="","",IF(INDEX('DỮ LIỆU'!$D$3:$D$1052,$M55)="","",INDEX('DỮ LIỆU'!$D$3:$D$1052,$M55)))</f>
        <v/>
      </c>
      <c r="F55" s="21" t="str">
        <f aca="false">IF($M55="","",IF(INDEX('DỮ LIỆU'!$H$3:$H$1052,$M55)="","",INDEX('DỮ LIỆU'!$H$3:$H$1052,$M55)))</f>
        <v/>
      </c>
      <c r="G55" s="13" t="str">
        <f aca="false">IF($M55="","",N(INDEX('DỮ LIỆU'!$I$3:$I$1052,$M55)))</f>
        <v/>
      </c>
      <c r="H55" s="13" t="str">
        <f aca="false">IF($M55="","",N(INDEX('DỮ LIỆU'!$J$3:$J$1052,$M55)))</f>
        <v/>
      </c>
      <c r="I55" s="13" t="str">
        <f aca="false">IF($M55="","",N(INDEX('DỮ LIỆU'!$N$3:$N$1052,$M55)))</f>
        <v/>
      </c>
      <c r="J55" s="13" t="str">
        <f aca="false">IF($M55="","",N(INDEX('DỮ LIỆU'!$O$3:$O$1052,$M55)))</f>
        <v/>
      </c>
      <c r="K55" s="13" t="str">
        <f aca="false">IF($M55="","",IF(INDEX('DỮ LIỆU'!$Q$3:$Q$1052,$M55)="","",INDEX('DỮ LIỆU'!$Q$3:$Q$1052,$M55)))</f>
        <v/>
      </c>
      <c r="L55" s="21" t="str">
        <f aca="false">IF($M55="","",IF(INDEX('DỮ LIỆU'!$R$3:$R$1052,$M55)="","",INDEX('DỮ LIỆU'!$R$3:$R$1052,$M55)))</f>
        <v/>
      </c>
      <c r="M55" s="0" t="str">
        <f aca="false">IFERROR(MATCH(50,'DỮ LIỆU'!$V$3:$V$1052,0),"")</f>
        <v/>
      </c>
    </row>
    <row r="56" customFormat="false" ht="15" hidden="false" customHeight="false" outlineLevel="0" collapsed="false">
      <c r="A56" s="21" t="str">
        <f aca="false">IF($M56="","",51)</f>
        <v/>
      </c>
      <c r="B56" s="13" t="str">
        <f aca="false">IF($M56="","",INDEX('DỮ LIỆU'!$A$3:$A$1052,$M56))</f>
        <v/>
      </c>
      <c r="C56" s="41" t="str">
        <f aca="false">IF($M56="","",IF(INDEX('DỮ LIỆU'!$B$3:$B$1052,$M56)="","",INDEX('DỮ LIỆU'!$B$3:$B$1052,$M56)))</f>
        <v/>
      </c>
      <c r="D56" s="21" t="str">
        <f aca="false">IF($M56="","",IF(INDEX('DỮ LIỆU'!$C$3:$C$1052,$M56)="","",INDEX('DỮ LIỆU'!$C$3:$C$1052,$M56)))</f>
        <v/>
      </c>
      <c r="E56" s="21" t="str">
        <f aca="false">IF($M56="","",IF(INDEX('DỮ LIỆU'!$D$3:$D$1052,$M56)="","",INDEX('DỮ LIỆU'!$D$3:$D$1052,$M56)))</f>
        <v/>
      </c>
      <c r="F56" s="21" t="str">
        <f aca="false">IF($M56="","",IF(INDEX('DỮ LIỆU'!$H$3:$H$1052,$M56)="","",INDEX('DỮ LIỆU'!$H$3:$H$1052,$M56)))</f>
        <v/>
      </c>
      <c r="G56" s="13" t="str">
        <f aca="false">IF($M56="","",N(INDEX('DỮ LIỆU'!$I$3:$I$1052,$M56)))</f>
        <v/>
      </c>
      <c r="H56" s="13" t="str">
        <f aca="false">IF($M56="","",N(INDEX('DỮ LIỆU'!$J$3:$J$1052,$M56)))</f>
        <v/>
      </c>
      <c r="I56" s="13" t="str">
        <f aca="false">IF($M56="","",N(INDEX('DỮ LIỆU'!$N$3:$N$1052,$M56)))</f>
        <v/>
      </c>
      <c r="J56" s="13" t="str">
        <f aca="false">IF($M56="","",N(INDEX('DỮ LIỆU'!$O$3:$O$1052,$M56)))</f>
        <v/>
      </c>
      <c r="K56" s="13" t="str">
        <f aca="false">IF($M56="","",IF(INDEX('DỮ LIỆU'!$Q$3:$Q$1052,$M56)="","",INDEX('DỮ LIỆU'!$Q$3:$Q$1052,$M56)))</f>
        <v/>
      </c>
      <c r="L56" s="21" t="str">
        <f aca="false">IF($M56="","",IF(INDEX('DỮ LIỆU'!$R$3:$R$1052,$M56)="","",INDEX('DỮ LIỆU'!$R$3:$R$1052,$M56)))</f>
        <v/>
      </c>
      <c r="M56" s="0" t="str">
        <f aca="false">IFERROR(MATCH(51,'DỮ LIỆU'!$V$3:$V$1052,0),"")</f>
        <v/>
      </c>
    </row>
    <row r="57" customFormat="false" ht="15" hidden="false" customHeight="false" outlineLevel="0" collapsed="false">
      <c r="A57" s="21" t="str">
        <f aca="false">IF($M57="","",52)</f>
        <v/>
      </c>
      <c r="B57" s="13" t="str">
        <f aca="false">IF($M57="","",INDEX('DỮ LIỆU'!$A$3:$A$1052,$M57))</f>
        <v/>
      </c>
      <c r="C57" s="41" t="str">
        <f aca="false">IF($M57="","",IF(INDEX('DỮ LIỆU'!$B$3:$B$1052,$M57)="","",INDEX('DỮ LIỆU'!$B$3:$B$1052,$M57)))</f>
        <v/>
      </c>
      <c r="D57" s="21" t="str">
        <f aca="false">IF($M57="","",IF(INDEX('DỮ LIỆU'!$C$3:$C$1052,$M57)="","",INDEX('DỮ LIỆU'!$C$3:$C$1052,$M57)))</f>
        <v/>
      </c>
      <c r="E57" s="21" t="str">
        <f aca="false">IF($M57="","",IF(INDEX('DỮ LIỆU'!$D$3:$D$1052,$M57)="","",INDEX('DỮ LIỆU'!$D$3:$D$1052,$M57)))</f>
        <v/>
      </c>
      <c r="F57" s="21" t="str">
        <f aca="false">IF($M57="","",IF(INDEX('DỮ LIỆU'!$H$3:$H$1052,$M57)="","",INDEX('DỮ LIỆU'!$H$3:$H$1052,$M57)))</f>
        <v/>
      </c>
      <c r="G57" s="13" t="str">
        <f aca="false">IF($M57="","",N(INDEX('DỮ LIỆU'!$I$3:$I$1052,$M57)))</f>
        <v/>
      </c>
      <c r="H57" s="13" t="str">
        <f aca="false">IF($M57="","",N(INDEX('DỮ LIỆU'!$J$3:$J$1052,$M57)))</f>
        <v/>
      </c>
      <c r="I57" s="13" t="str">
        <f aca="false">IF($M57="","",N(INDEX('DỮ LIỆU'!$N$3:$N$1052,$M57)))</f>
        <v/>
      </c>
      <c r="J57" s="13" t="str">
        <f aca="false">IF($M57="","",N(INDEX('DỮ LIỆU'!$O$3:$O$1052,$M57)))</f>
        <v/>
      </c>
      <c r="K57" s="13" t="str">
        <f aca="false">IF($M57="","",IF(INDEX('DỮ LIỆU'!$Q$3:$Q$1052,$M57)="","",INDEX('DỮ LIỆU'!$Q$3:$Q$1052,$M57)))</f>
        <v/>
      </c>
      <c r="L57" s="21" t="str">
        <f aca="false">IF($M57="","",IF(INDEX('DỮ LIỆU'!$R$3:$R$1052,$M57)="","",INDEX('DỮ LIỆU'!$R$3:$R$1052,$M57)))</f>
        <v/>
      </c>
      <c r="M57" s="0" t="str">
        <f aca="false">IFERROR(MATCH(52,'DỮ LIỆU'!$V$3:$V$1052,0),"")</f>
        <v/>
      </c>
    </row>
    <row r="58" customFormat="false" ht="15" hidden="false" customHeight="false" outlineLevel="0" collapsed="false">
      <c r="A58" s="21" t="str">
        <f aca="false">IF($M58="","",53)</f>
        <v/>
      </c>
      <c r="B58" s="13" t="str">
        <f aca="false">IF($M58="","",INDEX('DỮ LIỆU'!$A$3:$A$1052,$M58))</f>
        <v/>
      </c>
      <c r="C58" s="41" t="str">
        <f aca="false">IF($M58="","",IF(INDEX('DỮ LIỆU'!$B$3:$B$1052,$M58)="","",INDEX('DỮ LIỆU'!$B$3:$B$1052,$M58)))</f>
        <v/>
      </c>
      <c r="D58" s="21" t="str">
        <f aca="false">IF($M58="","",IF(INDEX('DỮ LIỆU'!$C$3:$C$1052,$M58)="","",INDEX('DỮ LIỆU'!$C$3:$C$1052,$M58)))</f>
        <v/>
      </c>
      <c r="E58" s="21" t="str">
        <f aca="false">IF($M58="","",IF(INDEX('DỮ LIỆU'!$D$3:$D$1052,$M58)="","",INDEX('DỮ LIỆU'!$D$3:$D$1052,$M58)))</f>
        <v/>
      </c>
      <c r="F58" s="21" t="str">
        <f aca="false">IF($M58="","",IF(INDEX('DỮ LIỆU'!$H$3:$H$1052,$M58)="","",INDEX('DỮ LIỆU'!$H$3:$H$1052,$M58)))</f>
        <v/>
      </c>
      <c r="G58" s="13" t="str">
        <f aca="false">IF($M58="","",N(INDEX('DỮ LIỆU'!$I$3:$I$1052,$M58)))</f>
        <v/>
      </c>
      <c r="H58" s="13" t="str">
        <f aca="false">IF($M58="","",N(INDEX('DỮ LIỆU'!$J$3:$J$1052,$M58)))</f>
        <v/>
      </c>
      <c r="I58" s="13" t="str">
        <f aca="false">IF($M58="","",N(INDEX('DỮ LIỆU'!$N$3:$N$1052,$M58)))</f>
        <v/>
      </c>
      <c r="J58" s="13" t="str">
        <f aca="false">IF($M58="","",N(INDEX('DỮ LIỆU'!$O$3:$O$1052,$M58)))</f>
        <v/>
      </c>
      <c r="K58" s="13" t="str">
        <f aca="false">IF($M58="","",IF(INDEX('DỮ LIỆU'!$Q$3:$Q$1052,$M58)="","",INDEX('DỮ LIỆU'!$Q$3:$Q$1052,$M58)))</f>
        <v/>
      </c>
      <c r="L58" s="21" t="str">
        <f aca="false">IF($M58="","",IF(INDEX('DỮ LIỆU'!$R$3:$R$1052,$M58)="","",INDEX('DỮ LIỆU'!$R$3:$R$1052,$M58)))</f>
        <v/>
      </c>
      <c r="M58" s="0" t="str">
        <f aca="false">IFERROR(MATCH(53,'DỮ LIỆU'!$V$3:$V$1052,0),"")</f>
        <v/>
      </c>
    </row>
    <row r="59" customFormat="false" ht="15" hidden="false" customHeight="false" outlineLevel="0" collapsed="false">
      <c r="A59" s="21" t="str">
        <f aca="false">IF($M59="","",54)</f>
        <v/>
      </c>
      <c r="B59" s="13" t="str">
        <f aca="false">IF($M59="","",INDEX('DỮ LIỆU'!$A$3:$A$1052,$M59))</f>
        <v/>
      </c>
      <c r="C59" s="41" t="str">
        <f aca="false">IF($M59="","",IF(INDEX('DỮ LIỆU'!$B$3:$B$1052,$M59)="","",INDEX('DỮ LIỆU'!$B$3:$B$1052,$M59)))</f>
        <v/>
      </c>
      <c r="D59" s="21" t="str">
        <f aca="false">IF($M59="","",IF(INDEX('DỮ LIỆU'!$C$3:$C$1052,$M59)="","",INDEX('DỮ LIỆU'!$C$3:$C$1052,$M59)))</f>
        <v/>
      </c>
      <c r="E59" s="21" t="str">
        <f aca="false">IF($M59="","",IF(INDEX('DỮ LIỆU'!$D$3:$D$1052,$M59)="","",INDEX('DỮ LIỆU'!$D$3:$D$1052,$M59)))</f>
        <v/>
      </c>
      <c r="F59" s="21" t="str">
        <f aca="false">IF($M59="","",IF(INDEX('DỮ LIỆU'!$H$3:$H$1052,$M59)="","",INDEX('DỮ LIỆU'!$H$3:$H$1052,$M59)))</f>
        <v/>
      </c>
      <c r="G59" s="13" t="str">
        <f aca="false">IF($M59="","",N(INDEX('DỮ LIỆU'!$I$3:$I$1052,$M59)))</f>
        <v/>
      </c>
      <c r="H59" s="13" t="str">
        <f aca="false">IF($M59="","",N(INDEX('DỮ LIỆU'!$J$3:$J$1052,$M59)))</f>
        <v/>
      </c>
      <c r="I59" s="13" t="str">
        <f aca="false">IF($M59="","",N(INDEX('DỮ LIỆU'!$N$3:$N$1052,$M59)))</f>
        <v/>
      </c>
      <c r="J59" s="13" t="str">
        <f aca="false">IF($M59="","",N(INDEX('DỮ LIỆU'!$O$3:$O$1052,$M59)))</f>
        <v/>
      </c>
      <c r="K59" s="13" t="str">
        <f aca="false">IF($M59="","",IF(INDEX('DỮ LIỆU'!$Q$3:$Q$1052,$M59)="","",INDEX('DỮ LIỆU'!$Q$3:$Q$1052,$M59)))</f>
        <v/>
      </c>
      <c r="L59" s="21" t="str">
        <f aca="false">IF($M59="","",IF(INDEX('DỮ LIỆU'!$R$3:$R$1052,$M59)="","",INDEX('DỮ LIỆU'!$R$3:$R$1052,$M59)))</f>
        <v/>
      </c>
      <c r="M59" s="0" t="str">
        <f aca="false">IFERROR(MATCH(54,'DỮ LIỆU'!$V$3:$V$1052,0),"")</f>
        <v/>
      </c>
    </row>
    <row r="60" customFormat="false" ht="15" hidden="false" customHeight="false" outlineLevel="0" collapsed="false">
      <c r="A60" s="21" t="str">
        <f aca="false">IF($M60="","",55)</f>
        <v/>
      </c>
      <c r="B60" s="13" t="str">
        <f aca="false">IF($M60="","",INDEX('DỮ LIỆU'!$A$3:$A$1052,$M60))</f>
        <v/>
      </c>
      <c r="C60" s="41" t="str">
        <f aca="false">IF($M60="","",IF(INDEX('DỮ LIỆU'!$B$3:$B$1052,$M60)="","",INDEX('DỮ LIỆU'!$B$3:$B$1052,$M60)))</f>
        <v/>
      </c>
      <c r="D60" s="21" t="str">
        <f aca="false">IF($M60="","",IF(INDEX('DỮ LIỆU'!$C$3:$C$1052,$M60)="","",INDEX('DỮ LIỆU'!$C$3:$C$1052,$M60)))</f>
        <v/>
      </c>
      <c r="E60" s="21" t="str">
        <f aca="false">IF($M60="","",IF(INDEX('DỮ LIỆU'!$D$3:$D$1052,$M60)="","",INDEX('DỮ LIỆU'!$D$3:$D$1052,$M60)))</f>
        <v/>
      </c>
      <c r="F60" s="21" t="str">
        <f aca="false">IF($M60="","",IF(INDEX('DỮ LIỆU'!$H$3:$H$1052,$M60)="","",INDEX('DỮ LIỆU'!$H$3:$H$1052,$M60)))</f>
        <v/>
      </c>
      <c r="G60" s="13" t="str">
        <f aca="false">IF($M60="","",N(INDEX('DỮ LIỆU'!$I$3:$I$1052,$M60)))</f>
        <v/>
      </c>
      <c r="H60" s="13" t="str">
        <f aca="false">IF($M60="","",N(INDEX('DỮ LIỆU'!$J$3:$J$1052,$M60)))</f>
        <v/>
      </c>
      <c r="I60" s="13" t="str">
        <f aca="false">IF($M60="","",N(INDEX('DỮ LIỆU'!$N$3:$N$1052,$M60)))</f>
        <v/>
      </c>
      <c r="J60" s="13" t="str">
        <f aca="false">IF($M60="","",N(INDEX('DỮ LIỆU'!$O$3:$O$1052,$M60)))</f>
        <v/>
      </c>
      <c r="K60" s="13" t="str">
        <f aca="false">IF($M60="","",IF(INDEX('DỮ LIỆU'!$Q$3:$Q$1052,$M60)="","",INDEX('DỮ LIỆU'!$Q$3:$Q$1052,$M60)))</f>
        <v/>
      </c>
      <c r="L60" s="21" t="str">
        <f aca="false">IF($M60="","",IF(INDEX('DỮ LIỆU'!$R$3:$R$1052,$M60)="","",INDEX('DỮ LIỆU'!$R$3:$R$1052,$M60)))</f>
        <v/>
      </c>
      <c r="M60" s="0" t="str">
        <f aca="false">IFERROR(MATCH(55,'DỮ LIỆU'!$V$3:$V$1052,0),"")</f>
        <v/>
      </c>
    </row>
    <row r="61" customFormat="false" ht="15" hidden="false" customHeight="false" outlineLevel="0" collapsed="false">
      <c r="A61" s="21" t="str">
        <f aca="false">IF($M61="","",56)</f>
        <v/>
      </c>
      <c r="B61" s="13" t="str">
        <f aca="false">IF($M61="","",INDEX('DỮ LIỆU'!$A$3:$A$1052,$M61))</f>
        <v/>
      </c>
      <c r="C61" s="41" t="str">
        <f aca="false">IF($M61="","",IF(INDEX('DỮ LIỆU'!$B$3:$B$1052,$M61)="","",INDEX('DỮ LIỆU'!$B$3:$B$1052,$M61)))</f>
        <v/>
      </c>
      <c r="D61" s="21" t="str">
        <f aca="false">IF($M61="","",IF(INDEX('DỮ LIỆU'!$C$3:$C$1052,$M61)="","",INDEX('DỮ LIỆU'!$C$3:$C$1052,$M61)))</f>
        <v/>
      </c>
      <c r="E61" s="21" t="str">
        <f aca="false">IF($M61="","",IF(INDEX('DỮ LIỆU'!$D$3:$D$1052,$M61)="","",INDEX('DỮ LIỆU'!$D$3:$D$1052,$M61)))</f>
        <v/>
      </c>
      <c r="F61" s="21" t="str">
        <f aca="false">IF($M61="","",IF(INDEX('DỮ LIỆU'!$H$3:$H$1052,$M61)="","",INDEX('DỮ LIỆU'!$H$3:$H$1052,$M61)))</f>
        <v/>
      </c>
      <c r="G61" s="13" t="str">
        <f aca="false">IF($M61="","",N(INDEX('DỮ LIỆU'!$I$3:$I$1052,$M61)))</f>
        <v/>
      </c>
      <c r="H61" s="13" t="str">
        <f aca="false">IF($M61="","",N(INDEX('DỮ LIỆU'!$J$3:$J$1052,$M61)))</f>
        <v/>
      </c>
      <c r="I61" s="13" t="str">
        <f aca="false">IF($M61="","",N(INDEX('DỮ LIỆU'!$N$3:$N$1052,$M61)))</f>
        <v/>
      </c>
      <c r="J61" s="13" t="str">
        <f aca="false">IF($M61="","",N(INDEX('DỮ LIỆU'!$O$3:$O$1052,$M61)))</f>
        <v/>
      </c>
      <c r="K61" s="13" t="str">
        <f aca="false">IF($M61="","",IF(INDEX('DỮ LIỆU'!$Q$3:$Q$1052,$M61)="","",INDEX('DỮ LIỆU'!$Q$3:$Q$1052,$M61)))</f>
        <v/>
      </c>
      <c r="L61" s="21" t="str">
        <f aca="false">IF($M61="","",IF(INDEX('DỮ LIỆU'!$R$3:$R$1052,$M61)="","",INDEX('DỮ LIỆU'!$R$3:$R$1052,$M61)))</f>
        <v/>
      </c>
      <c r="M61" s="0" t="str">
        <f aca="false">IFERROR(MATCH(56,'DỮ LIỆU'!$V$3:$V$1052,0),"")</f>
        <v/>
      </c>
    </row>
    <row r="62" customFormat="false" ht="15" hidden="false" customHeight="false" outlineLevel="0" collapsed="false">
      <c r="A62" s="21" t="str">
        <f aca="false">IF($M62="","",57)</f>
        <v/>
      </c>
      <c r="B62" s="13" t="str">
        <f aca="false">IF($M62="","",INDEX('DỮ LIỆU'!$A$3:$A$1052,$M62))</f>
        <v/>
      </c>
      <c r="C62" s="41" t="str">
        <f aca="false">IF($M62="","",IF(INDEX('DỮ LIỆU'!$B$3:$B$1052,$M62)="","",INDEX('DỮ LIỆU'!$B$3:$B$1052,$M62)))</f>
        <v/>
      </c>
      <c r="D62" s="21" t="str">
        <f aca="false">IF($M62="","",IF(INDEX('DỮ LIỆU'!$C$3:$C$1052,$M62)="","",INDEX('DỮ LIỆU'!$C$3:$C$1052,$M62)))</f>
        <v/>
      </c>
      <c r="E62" s="21" t="str">
        <f aca="false">IF($M62="","",IF(INDEX('DỮ LIỆU'!$D$3:$D$1052,$M62)="","",INDEX('DỮ LIỆU'!$D$3:$D$1052,$M62)))</f>
        <v/>
      </c>
      <c r="F62" s="21" t="str">
        <f aca="false">IF($M62="","",IF(INDEX('DỮ LIỆU'!$H$3:$H$1052,$M62)="","",INDEX('DỮ LIỆU'!$H$3:$H$1052,$M62)))</f>
        <v/>
      </c>
      <c r="G62" s="13" t="str">
        <f aca="false">IF($M62="","",N(INDEX('DỮ LIỆU'!$I$3:$I$1052,$M62)))</f>
        <v/>
      </c>
      <c r="H62" s="13" t="str">
        <f aca="false">IF($M62="","",N(INDEX('DỮ LIỆU'!$J$3:$J$1052,$M62)))</f>
        <v/>
      </c>
      <c r="I62" s="13" t="str">
        <f aca="false">IF($M62="","",N(INDEX('DỮ LIỆU'!$N$3:$N$1052,$M62)))</f>
        <v/>
      </c>
      <c r="J62" s="13" t="str">
        <f aca="false">IF($M62="","",N(INDEX('DỮ LIỆU'!$O$3:$O$1052,$M62)))</f>
        <v/>
      </c>
      <c r="K62" s="13" t="str">
        <f aca="false">IF($M62="","",IF(INDEX('DỮ LIỆU'!$Q$3:$Q$1052,$M62)="","",INDEX('DỮ LIỆU'!$Q$3:$Q$1052,$M62)))</f>
        <v/>
      </c>
      <c r="L62" s="21" t="str">
        <f aca="false">IF($M62="","",IF(INDEX('DỮ LIỆU'!$R$3:$R$1052,$M62)="","",INDEX('DỮ LIỆU'!$R$3:$R$1052,$M62)))</f>
        <v/>
      </c>
      <c r="M62" s="0" t="str">
        <f aca="false">IFERROR(MATCH(57,'DỮ LIỆU'!$V$3:$V$1052,0),"")</f>
        <v/>
      </c>
    </row>
    <row r="63" customFormat="false" ht="15" hidden="false" customHeight="false" outlineLevel="0" collapsed="false">
      <c r="A63" s="21" t="str">
        <f aca="false">IF($M63="","",58)</f>
        <v/>
      </c>
      <c r="B63" s="13" t="str">
        <f aca="false">IF($M63="","",INDEX('DỮ LIỆU'!$A$3:$A$1052,$M63))</f>
        <v/>
      </c>
      <c r="C63" s="41" t="str">
        <f aca="false">IF($M63="","",IF(INDEX('DỮ LIỆU'!$B$3:$B$1052,$M63)="","",INDEX('DỮ LIỆU'!$B$3:$B$1052,$M63)))</f>
        <v/>
      </c>
      <c r="D63" s="21" t="str">
        <f aca="false">IF($M63="","",IF(INDEX('DỮ LIỆU'!$C$3:$C$1052,$M63)="","",INDEX('DỮ LIỆU'!$C$3:$C$1052,$M63)))</f>
        <v/>
      </c>
      <c r="E63" s="21" t="str">
        <f aca="false">IF($M63="","",IF(INDEX('DỮ LIỆU'!$D$3:$D$1052,$M63)="","",INDEX('DỮ LIỆU'!$D$3:$D$1052,$M63)))</f>
        <v/>
      </c>
      <c r="F63" s="21" t="str">
        <f aca="false">IF($M63="","",IF(INDEX('DỮ LIỆU'!$H$3:$H$1052,$M63)="","",INDEX('DỮ LIỆU'!$H$3:$H$1052,$M63)))</f>
        <v/>
      </c>
      <c r="G63" s="13" t="str">
        <f aca="false">IF($M63="","",N(INDEX('DỮ LIỆU'!$I$3:$I$1052,$M63)))</f>
        <v/>
      </c>
      <c r="H63" s="13" t="str">
        <f aca="false">IF($M63="","",N(INDEX('DỮ LIỆU'!$J$3:$J$1052,$M63)))</f>
        <v/>
      </c>
      <c r="I63" s="13" t="str">
        <f aca="false">IF($M63="","",N(INDEX('DỮ LIỆU'!$N$3:$N$1052,$M63)))</f>
        <v/>
      </c>
      <c r="J63" s="13" t="str">
        <f aca="false">IF($M63="","",N(INDEX('DỮ LIỆU'!$O$3:$O$1052,$M63)))</f>
        <v/>
      </c>
      <c r="K63" s="13" t="str">
        <f aca="false">IF($M63="","",IF(INDEX('DỮ LIỆU'!$Q$3:$Q$1052,$M63)="","",INDEX('DỮ LIỆU'!$Q$3:$Q$1052,$M63)))</f>
        <v/>
      </c>
      <c r="L63" s="21" t="str">
        <f aca="false">IF($M63="","",IF(INDEX('DỮ LIỆU'!$R$3:$R$1052,$M63)="","",INDEX('DỮ LIỆU'!$R$3:$R$1052,$M63)))</f>
        <v/>
      </c>
      <c r="M63" s="0" t="str">
        <f aca="false">IFERROR(MATCH(58,'DỮ LIỆU'!$V$3:$V$1052,0),"")</f>
        <v/>
      </c>
    </row>
    <row r="64" customFormat="false" ht="15" hidden="false" customHeight="false" outlineLevel="0" collapsed="false">
      <c r="A64" s="21" t="str">
        <f aca="false">IF($M64="","",59)</f>
        <v/>
      </c>
      <c r="B64" s="13" t="str">
        <f aca="false">IF($M64="","",INDEX('DỮ LIỆU'!$A$3:$A$1052,$M64))</f>
        <v/>
      </c>
      <c r="C64" s="41" t="str">
        <f aca="false">IF($M64="","",IF(INDEX('DỮ LIỆU'!$B$3:$B$1052,$M64)="","",INDEX('DỮ LIỆU'!$B$3:$B$1052,$M64)))</f>
        <v/>
      </c>
      <c r="D64" s="21" t="str">
        <f aca="false">IF($M64="","",IF(INDEX('DỮ LIỆU'!$C$3:$C$1052,$M64)="","",INDEX('DỮ LIỆU'!$C$3:$C$1052,$M64)))</f>
        <v/>
      </c>
      <c r="E64" s="21" t="str">
        <f aca="false">IF($M64="","",IF(INDEX('DỮ LIỆU'!$D$3:$D$1052,$M64)="","",INDEX('DỮ LIỆU'!$D$3:$D$1052,$M64)))</f>
        <v/>
      </c>
      <c r="F64" s="21" t="str">
        <f aca="false">IF($M64="","",IF(INDEX('DỮ LIỆU'!$H$3:$H$1052,$M64)="","",INDEX('DỮ LIỆU'!$H$3:$H$1052,$M64)))</f>
        <v/>
      </c>
      <c r="G64" s="13" t="str">
        <f aca="false">IF($M64="","",N(INDEX('DỮ LIỆU'!$I$3:$I$1052,$M64)))</f>
        <v/>
      </c>
      <c r="H64" s="13" t="str">
        <f aca="false">IF($M64="","",N(INDEX('DỮ LIỆU'!$J$3:$J$1052,$M64)))</f>
        <v/>
      </c>
      <c r="I64" s="13" t="str">
        <f aca="false">IF($M64="","",N(INDEX('DỮ LIỆU'!$N$3:$N$1052,$M64)))</f>
        <v/>
      </c>
      <c r="J64" s="13" t="str">
        <f aca="false">IF($M64="","",N(INDEX('DỮ LIỆU'!$O$3:$O$1052,$M64)))</f>
        <v/>
      </c>
      <c r="K64" s="13" t="str">
        <f aca="false">IF($M64="","",IF(INDEX('DỮ LIỆU'!$Q$3:$Q$1052,$M64)="","",INDEX('DỮ LIỆU'!$Q$3:$Q$1052,$M64)))</f>
        <v/>
      </c>
      <c r="L64" s="21" t="str">
        <f aca="false">IF($M64="","",IF(INDEX('DỮ LIỆU'!$R$3:$R$1052,$M64)="","",INDEX('DỮ LIỆU'!$R$3:$R$1052,$M64)))</f>
        <v/>
      </c>
      <c r="M64" s="0" t="str">
        <f aca="false">IFERROR(MATCH(59,'DỮ LIỆU'!$V$3:$V$1052,0),"")</f>
        <v/>
      </c>
    </row>
    <row r="65" customFormat="false" ht="15" hidden="false" customHeight="false" outlineLevel="0" collapsed="false">
      <c r="A65" s="21" t="str">
        <f aca="false">IF($M65="","",60)</f>
        <v/>
      </c>
      <c r="B65" s="13" t="str">
        <f aca="false">IF($M65="","",INDEX('DỮ LIỆU'!$A$3:$A$1052,$M65))</f>
        <v/>
      </c>
      <c r="C65" s="41" t="str">
        <f aca="false">IF($M65="","",IF(INDEX('DỮ LIỆU'!$B$3:$B$1052,$M65)="","",INDEX('DỮ LIỆU'!$B$3:$B$1052,$M65)))</f>
        <v/>
      </c>
      <c r="D65" s="21" t="str">
        <f aca="false">IF($M65="","",IF(INDEX('DỮ LIỆU'!$C$3:$C$1052,$M65)="","",INDEX('DỮ LIỆU'!$C$3:$C$1052,$M65)))</f>
        <v/>
      </c>
      <c r="E65" s="21" t="str">
        <f aca="false">IF($M65="","",IF(INDEX('DỮ LIỆU'!$D$3:$D$1052,$M65)="","",INDEX('DỮ LIỆU'!$D$3:$D$1052,$M65)))</f>
        <v/>
      </c>
      <c r="F65" s="21" t="str">
        <f aca="false">IF($M65="","",IF(INDEX('DỮ LIỆU'!$H$3:$H$1052,$M65)="","",INDEX('DỮ LIỆU'!$H$3:$H$1052,$M65)))</f>
        <v/>
      </c>
      <c r="G65" s="13" t="str">
        <f aca="false">IF($M65="","",N(INDEX('DỮ LIỆU'!$I$3:$I$1052,$M65)))</f>
        <v/>
      </c>
      <c r="H65" s="13" t="str">
        <f aca="false">IF($M65="","",N(INDEX('DỮ LIỆU'!$J$3:$J$1052,$M65)))</f>
        <v/>
      </c>
      <c r="I65" s="13" t="str">
        <f aca="false">IF($M65="","",N(INDEX('DỮ LIỆU'!$N$3:$N$1052,$M65)))</f>
        <v/>
      </c>
      <c r="J65" s="13" t="str">
        <f aca="false">IF($M65="","",N(INDEX('DỮ LIỆU'!$O$3:$O$1052,$M65)))</f>
        <v/>
      </c>
      <c r="K65" s="13" t="str">
        <f aca="false">IF($M65="","",IF(INDEX('DỮ LIỆU'!$Q$3:$Q$1052,$M65)="","",INDEX('DỮ LIỆU'!$Q$3:$Q$1052,$M65)))</f>
        <v/>
      </c>
      <c r="L65" s="21" t="str">
        <f aca="false">IF($M65="","",IF(INDEX('DỮ LIỆU'!$R$3:$R$1052,$M65)="","",INDEX('DỮ LIỆU'!$R$3:$R$1052,$M65)))</f>
        <v/>
      </c>
      <c r="M65" s="0" t="str">
        <f aca="false">IFERROR(MATCH(60,'DỮ LIỆU'!$V$3:$V$1052,0),"")</f>
        <v/>
      </c>
    </row>
    <row r="66" customFormat="false" ht="15" hidden="false" customHeight="false" outlineLevel="0" collapsed="false">
      <c r="A66" s="21" t="str">
        <f aca="false">IF($M66="","",61)</f>
        <v/>
      </c>
      <c r="B66" s="13" t="str">
        <f aca="false">IF($M66="","",INDEX('DỮ LIỆU'!$A$3:$A$1052,$M66))</f>
        <v/>
      </c>
      <c r="C66" s="41" t="str">
        <f aca="false">IF($M66="","",IF(INDEX('DỮ LIỆU'!$B$3:$B$1052,$M66)="","",INDEX('DỮ LIỆU'!$B$3:$B$1052,$M66)))</f>
        <v/>
      </c>
      <c r="D66" s="21" t="str">
        <f aca="false">IF($M66="","",IF(INDEX('DỮ LIỆU'!$C$3:$C$1052,$M66)="","",INDEX('DỮ LIỆU'!$C$3:$C$1052,$M66)))</f>
        <v/>
      </c>
      <c r="E66" s="21" t="str">
        <f aca="false">IF($M66="","",IF(INDEX('DỮ LIỆU'!$D$3:$D$1052,$M66)="","",INDEX('DỮ LIỆU'!$D$3:$D$1052,$M66)))</f>
        <v/>
      </c>
      <c r="F66" s="21" t="str">
        <f aca="false">IF($M66="","",IF(INDEX('DỮ LIỆU'!$H$3:$H$1052,$M66)="","",INDEX('DỮ LIỆU'!$H$3:$H$1052,$M66)))</f>
        <v/>
      </c>
      <c r="G66" s="13" t="str">
        <f aca="false">IF($M66="","",N(INDEX('DỮ LIỆU'!$I$3:$I$1052,$M66)))</f>
        <v/>
      </c>
      <c r="H66" s="13" t="str">
        <f aca="false">IF($M66="","",N(INDEX('DỮ LIỆU'!$J$3:$J$1052,$M66)))</f>
        <v/>
      </c>
      <c r="I66" s="13" t="str">
        <f aca="false">IF($M66="","",N(INDEX('DỮ LIỆU'!$N$3:$N$1052,$M66)))</f>
        <v/>
      </c>
      <c r="J66" s="13" t="str">
        <f aca="false">IF($M66="","",N(INDEX('DỮ LIỆU'!$O$3:$O$1052,$M66)))</f>
        <v/>
      </c>
      <c r="K66" s="13" t="str">
        <f aca="false">IF($M66="","",IF(INDEX('DỮ LIỆU'!$Q$3:$Q$1052,$M66)="","",INDEX('DỮ LIỆU'!$Q$3:$Q$1052,$M66)))</f>
        <v/>
      </c>
      <c r="L66" s="21" t="str">
        <f aca="false">IF($M66="","",IF(INDEX('DỮ LIỆU'!$R$3:$R$1052,$M66)="","",INDEX('DỮ LIỆU'!$R$3:$R$1052,$M66)))</f>
        <v/>
      </c>
      <c r="M66" s="0" t="str">
        <f aca="false">IFERROR(MATCH(61,'DỮ LIỆU'!$V$3:$V$1052,0),"")</f>
        <v/>
      </c>
    </row>
    <row r="67" customFormat="false" ht="15" hidden="false" customHeight="false" outlineLevel="0" collapsed="false">
      <c r="A67" s="21" t="str">
        <f aca="false">IF($M67="","",62)</f>
        <v/>
      </c>
      <c r="B67" s="13" t="str">
        <f aca="false">IF($M67="","",INDEX('DỮ LIỆU'!$A$3:$A$1052,$M67))</f>
        <v/>
      </c>
      <c r="C67" s="41" t="str">
        <f aca="false">IF($M67="","",IF(INDEX('DỮ LIỆU'!$B$3:$B$1052,$M67)="","",INDEX('DỮ LIỆU'!$B$3:$B$1052,$M67)))</f>
        <v/>
      </c>
      <c r="D67" s="21" t="str">
        <f aca="false">IF($M67="","",IF(INDEX('DỮ LIỆU'!$C$3:$C$1052,$M67)="","",INDEX('DỮ LIỆU'!$C$3:$C$1052,$M67)))</f>
        <v/>
      </c>
      <c r="E67" s="21" t="str">
        <f aca="false">IF($M67="","",IF(INDEX('DỮ LIỆU'!$D$3:$D$1052,$M67)="","",INDEX('DỮ LIỆU'!$D$3:$D$1052,$M67)))</f>
        <v/>
      </c>
      <c r="F67" s="21" t="str">
        <f aca="false">IF($M67="","",IF(INDEX('DỮ LIỆU'!$H$3:$H$1052,$M67)="","",INDEX('DỮ LIỆU'!$H$3:$H$1052,$M67)))</f>
        <v/>
      </c>
      <c r="G67" s="13" t="str">
        <f aca="false">IF($M67="","",N(INDEX('DỮ LIỆU'!$I$3:$I$1052,$M67)))</f>
        <v/>
      </c>
      <c r="H67" s="13" t="str">
        <f aca="false">IF($M67="","",N(INDEX('DỮ LIỆU'!$J$3:$J$1052,$M67)))</f>
        <v/>
      </c>
      <c r="I67" s="13" t="str">
        <f aca="false">IF($M67="","",N(INDEX('DỮ LIỆU'!$N$3:$N$1052,$M67)))</f>
        <v/>
      </c>
      <c r="J67" s="13" t="str">
        <f aca="false">IF($M67="","",N(INDEX('DỮ LIỆU'!$O$3:$O$1052,$M67)))</f>
        <v/>
      </c>
      <c r="K67" s="13" t="str">
        <f aca="false">IF($M67="","",IF(INDEX('DỮ LIỆU'!$Q$3:$Q$1052,$M67)="","",INDEX('DỮ LIỆU'!$Q$3:$Q$1052,$M67)))</f>
        <v/>
      </c>
      <c r="L67" s="21" t="str">
        <f aca="false">IF($M67="","",IF(INDEX('DỮ LIỆU'!$R$3:$R$1052,$M67)="","",INDEX('DỮ LIỆU'!$R$3:$R$1052,$M67)))</f>
        <v/>
      </c>
      <c r="M67" s="0" t="str">
        <f aca="false">IFERROR(MATCH(62,'DỮ LIỆU'!$V$3:$V$1052,0),"")</f>
        <v/>
      </c>
    </row>
    <row r="68" customFormat="false" ht="15" hidden="false" customHeight="false" outlineLevel="0" collapsed="false">
      <c r="A68" s="21" t="str">
        <f aca="false">IF($M68="","",63)</f>
        <v/>
      </c>
      <c r="B68" s="13" t="str">
        <f aca="false">IF($M68="","",INDEX('DỮ LIỆU'!$A$3:$A$1052,$M68))</f>
        <v/>
      </c>
      <c r="C68" s="41" t="str">
        <f aca="false">IF($M68="","",IF(INDEX('DỮ LIỆU'!$B$3:$B$1052,$M68)="","",INDEX('DỮ LIỆU'!$B$3:$B$1052,$M68)))</f>
        <v/>
      </c>
      <c r="D68" s="21" t="str">
        <f aca="false">IF($M68="","",IF(INDEX('DỮ LIỆU'!$C$3:$C$1052,$M68)="","",INDEX('DỮ LIỆU'!$C$3:$C$1052,$M68)))</f>
        <v/>
      </c>
      <c r="E68" s="21" t="str">
        <f aca="false">IF($M68="","",IF(INDEX('DỮ LIỆU'!$D$3:$D$1052,$M68)="","",INDEX('DỮ LIỆU'!$D$3:$D$1052,$M68)))</f>
        <v/>
      </c>
      <c r="F68" s="21" t="str">
        <f aca="false">IF($M68="","",IF(INDEX('DỮ LIỆU'!$H$3:$H$1052,$M68)="","",INDEX('DỮ LIỆU'!$H$3:$H$1052,$M68)))</f>
        <v/>
      </c>
      <c r="G68" s="13" t="str">
        <f aca="false">IF($M68="","",N(INDEX('DỮ LIỆU'!$I$3:$I$1052,$M68)))</f>
        <v/>
      </c>
      <c r="H68" s="13" t="str">
        <f aca="false">IF($M68="","",N(INDEX('DỮ LIỆU'!$J$3:$J$1052,$M68)))</f>
        <v/>
      </c>
      <c r="I68" s="13" t="str">
        <f aca="false">IF($M68="","",N(INDEX('DỮ LIỆU'!$N$3:$N$1052,$M68)))</f>
        <v/>
      </c>
      <c r="J68" s="13" t="str">
        <f aca="false">IF($M68="","",N(INDEX('DỮ LIỆU'!$O$3:$O$1052,$M68)))</f>
        <v/>
      </c>
      <c r="K68" s="13" t="str">
        <f aca="false">IF($M68="","",IF(INDEX('DỮ LIỆU'!$Q$3:$Q$1052,$M68)="","",INDEX('DỮ LIỆU'!$Q$3:$Q$1052,$M68)))</f>
        <v/>
      </c>
      <c r="L68" s="21" t="str">
        <f aca="false">IF($M68="","",IF(INDEX('DỮ LIỆU'!$R$3:$R$1052,$M68)="","",INDEX('DỮ LIỆU'!$R$3:$R$1052,$M68)))</f>
        <v/>
      </c>
      <c r="M68" s="0" t="str">
        <f aca="false">IFERROR(MATCH(63,'DỮ LIỆU'!$V$3:$V$1052,0),"")</f>
        <v/>
      </c>
    </row>
    <row r="69" customFormat="false" ht="15" hidden="false" customHeight="false" outlineLevel="0" collapsed="false">
      <c r="A69" s="21" t="str">
        <f aca="false">IF($M69="","",64)</f>
        <v/>
      </c>
      <c r="B69" s="13" t="str">
        <f aca="false">IF($M69="","",INDEX('DỮ LIỆU'!$A$3:$A$1052,$M69))</f>
        <v/>
      </c>
      <c r="C69" s="41" t="str">
        <f aca="false">IF($M69="","",IF(INDEX('DỮ LIỆU'!$B$3:$B$1052,$M69)="","",INDEX('DỮ LIỆU'!$B$3:$B$1052,$M69)))</f>
        <v/>
      </c>
      <c r="D69" s="21" t="str">
        <f aca="false">IF($M69="","",IF(INDEX('DỮ LIỆU'!$C$3:$C$1052,$M69)="","",INDEX('DỮ LIỆU'!$C$3:$C$1052,$M69)))</f>
        <v/>
      </c>
      <c r="E69" s="21" t="str">
        <f aca="false">IF($M69="","",IF(INDEX('DỮ LIỆU'!$D$3:$D$1052,$M69)="","",INDEX('DỮ LIỆU'!$D$3:$D$1052,$M69)))</f>
        <v/>
      </c>
      <c r="F69" s="21" t="str">
        <f aca="false">IF($M69="","",IF(INDEX('DỮ LIỆU'!$H$3:$H$1052,$M69)="","",INDEX('DỮ LIỆU'!$H$3:$H$1052,$M69)))</f>
        <v/>
      </c>
      <c r="G69" s="13" t="str">
        <f aca="false">IF($M69="","",N(INDEX('DỮ LIỆU'!$I$3:$I$1052,$M69)))</f>
        <v/>
      </c>
      <c r="H69" s="13" t="str">
        <f aca="false">IF($M69="","",N(INDEX('DỮ LIỆU'!$J$3:$J$1052,$M69)))</f>
        <v/>
      </c>
      <c r="I69" s="13" t="str">
        <f aca="false">IF($M69="","",N(INDEX('DỮ LIỆU'!$N$3:$N$1052,$M69)))</f>
        <v/>
      </c>
      <c r="J69" s="13" t="str">
        <f aca="false">IF($M69="","",N(INDEX('DỮ LIỆU'!$O$3:$O$1052,$M69)))</f>
        <v/>
      </c>
      <c r="K69" s="13" t="str">
        <f aca="false">IF($M69="","",IF(INDEX('DỮ LIỆU'!$Q$3:$Q$1052,$M69)="","",INDEX('DỮ LIỆU'!$Q$3:$Q$1052,$M69)))</f>
        <v/>
      </c>
      <c r="L69" s="21" t="str">
        <f aca="false">IF($M69="","",IF(INDEX('DỮ LIỆU'!$R$3:$R$1052,$M69)="","",INDEX('DỮ LIỆU'!$R$3:$R$1052,$M69)))</f>
        <v/>
      </c>
      <c r="M69" s="0" t="str">
        <f aca="false">IFERROR(MATCH(64,'DỮ LIỆU'!$V$3:$V$1052,0),"")</f>
        <v/>
      </c>
    </row>
    <row r="70" customFormat="false" ht="15" hidden="false" customHeight="false" outlineLevel="0" collapsed="false">
      <c r="A70" s="21" t="str">
        <f aca="false">IF($M70="","",65)</f>
        <v/>
      </c>
      <c r="B70" s="13" t="str">
        <f aca="false">IF($M70="","",INDEX('DỮ LIỆU'!$A$3:$A$1052,$M70))</f>
        <v/>
      </c>
      <c r="C70" s="41" t="str">
        <f aca="false">IF($M70="","",IF(INDEX('DỮ LIỆU'!$B$3:$B$1052,$M70)="","",INDEX('DỮ LIỆU'!$B$3:$B$1052,$M70)))</f>
        <v/>
      </c>
      <c r="D70" s="21" t="str">
        <f aca="false">IF($M70="","",IF(INDEX('DỮ LIỆU'!$C$3:$C$1052,$M70)="","",INDEX('DỮ LIỆU'!$C$3:$C$1052,$M70)))</f>
        <v/>
      </c>
      <c r="E70" s="21" t="str">
        <f aca="false">IF($M70="","",IF(INDEX('DỮ LIỆU'!$D$3:$D$1052,$M70)="","",INDEX('DỮ LIỆU'!$D$3:$D$1052,$M70)))</f>
        <v/>
      </c>
      <c r="F70" s="21" t="str">
        <f aca="false">IF($M70="","",IF(INDEX('DỮ LIỆU'!$H$3:$H$1052,$M70)="","",INDEX('DỮ LIỆU'!$H$3:$H$1052,$M70)))</f>
        <v/>
      </c>
      <c r="G70" s="13" t="str">
        <f aca="false">IF($M70="","",N(INDEX('DỮ LIỆU'!$I$3:$I$1052,$M70)))</f>
        <v/>
      </c>
      <c r="H70" s="13" t="str">
        <f aca="false">IF($M70="","",N(INDEX('DỮ LIỆU'!$J$3:$J$1052,$M70)))</f>
        <v/>
      </c>
      <c r="I70" s="13" t="str">
        <f aca="false">IF($M70="","",N(INDEX('DỮ LIỆU'!$N$3:$N$1052,$M70)))</f>
        <v/>
      </c>
      <c r="J70" s="13" t="str">
        <f aca="false">IF($M70="","",N(INDEX('DỮ LIỆU'!$O$3:$O$1052,$M70)))</f>
        <v/>
      </c>
      <c r="K70" s="13" t="str">
        <f aca="false">IF($M70="","",IF(INDEX('DỮ LIỆU'!$Q$3:$Q$1052,$M70)="","",INDEX('DỮ LIỆU'!$Q$3:$Q$1052,$M70)))</f>
        <v/>
      </c>
      <c r="L70" s="21" t="str">
        <f aca="false">IF($M70="","",IF(INDEX('DỮ LIỆU'!$R$3:$R$1052,$M70)="","",INDEX('DỮ LIỆU'!$R$3:$R$1052,$M70)))</f>
        <v/>
      </c>
      <c r="M70" s="0" t="str">
        <f aca="false">IFERROR(MATCH(65,'DỮ LIỆU'!$V$3:$V$1052,0),"")</f>
        <v/>
      </c>
    </row>
    <row r="71" customFormat="false" ht="15" hidden="false" customHeight="false" outlineLevel="0" collapsed="false">
      <c r="A71" s="21" t="str">
        <f aca="false">IF($M71="","",66)</f>
        <v/>
      </c>
      <c r="B71" s="13" t="str">
        <f aca="false">IF($M71="","",INDEX('DỮ LIỆU'!$A$3:$A$1052,$M71))</f>
        <v/>
      </c>
      <c r="C71" s="41" t="str">
        <f aca="false">IF($M71="","",IF(INDEX('DỮ LIỆU'!$B$3:$B$1052,$M71)="","",INDEX('DỮ LIỆU'!$B$3:$B$1052,$M71)))</f>
        <v/>
      </c>
      <c r="D71" s="21" t="str">
        <f aca="false">IF($M71="","",IF(INDEX('DỮ LIỆU'!$C$3:$C$1052,$M71)="","",INDEX('DỮ LIỆU'!$C$3:$C$1052,$M71)))</f>
        <v/>
      </c>
      <c r="E71" s="21" t="str">
        <f aca="false">IF($M71="","",IF(INDEX('DỮ LIỆU'!$D$3:$D$1052,$M71)="","",INDEX('DỮ LIỆU'!$D$3:$D$1052,$M71)))</f>
        <v/>
      </c>
      <c r="F71" s="21" t="str">
        <f aca="false">IF($M71="","",IF(INDEX('DỮ LIỆU'!$H$3:$H$1052,$M71)="","",INDEX('DỮ LIỆU'!$H$3:$H$1052,$M71)))</f>
        <v/>
      </c>
      <c r="G71" s="13" t="str">
        <f aca="false">IF($M71="","",N(INDEX('DỮ LIỆU'!$I$3:$I$1052,$M71)))</f>
        <v/>
      </c>
      <c r="H71" s="13" t="str">
        <f aca="false">IF($M71="","",N(INDEX('DỮ LIỆU'!$J$3:$J$1052,$M71)))</f>
        <v/>
      </c>
      <c r="I71" s="13" t="str">
        <f aca="false">IF($M71="","",N(INDEX('DỮ LIỆU'!$N$3:$N$1052,$M71)))</f>
        <v/>
      </c>
      <c r="J71" s="13" t="str">
        <f aca="false">IF($M71="","",N(INDEX('DỮ LIỆU'!$O$3:$O$1052,$M71)))</f>
        <v/>
      </c>
      <c r="K71" s="13" t="str">
        <f aca="false">IF($M71="","",IF(INDEX('DỮ LIỆU'!$Q$3:$Q$1052,$M71)="","",INDEX('DỮ LIỆU'!$Q$3:$Q$1052,$M71)))</f>
        <v/>
      </c>
      <c r="L71" s="21" t="str">
        <f aca="false">IF($M71="","",IF(INDEX('DỮ LIỆU'!$R$3:$R$1052,$M71)="","",INDEX('DỮ LIỆU'!$R$3:$R$1052,$M71)))</f>
        <v/>
      </c>
      <c r="M71" s="0" t="str">
        <f aca="false">IFERROR(MATCH(66,'DỮ LIỆU'!$V$3:$V$1052,0),"")</f>
        <v/>
      </c>
    </row>
    <row r="72" customFormat="false" ht="15" hidden="false" customHeight="false" outlineLevel="0" collapsed="false">
      <c r="A72" s="21" t="str">
        <f aca="false">IF($M72="","",67)</f>
        <v/>
      </c>
      <c r="B72" s="13" t="str">
        <f aca="false">IF($M72="","",INDEX('DỮ LIỆU'!$A$3:$A$1052,$M72))</f>
        <v/>
      </c>
      <c r="C72" s="41" t="str">
        <f aca="false">IF($M72="","",IF(INDEX('DỮ LIỆU'!$B$3:$B$1052,$M72)="","",INDEX('DỮ LIỆU'!$B$3:$B$1052,$M72)))</f>
        <v/>
      </c>
      <c r="D72" s="21" t="str">
        <f aca="false">IF($M72="","",IF(INDEX('DỮ LIỆU'!$C$3:$C$1052,$M72)="","",INDEX('DỮ LIỆU'!$C$3:$C$1052,$M72)))</f>
        <v/>
      </c>
      <c r="E72" s="21" t="str">
        <f aca="false">IF($M72="","",IF(INDEX('DỮ LIỆU'!$D$3:$D$1052,$M72)="","",INDEX('DỮ LIỆU'!$D$3:$D$1052,$M72)))</f>
        <v/>
      </c>
      <c r="F72" s="21" t="str">
        <f aca="false">IF($M72="","",IF(INDEX('DỮ LIỆU'!$H$3:$H$1052,$M72)="","",INDEX('DỮ LIỆU'!$H$3:$H$1052,$M72)))</f>
        <v/>
      </c>
      <c r="G72" s="13" t="str">
        <f aca="false">IF($M72="","",N(INDEX('DỮ LIỆU'!$I$3:$I$1052,$M72)))</f>
        <v/>
      </c>
      <c r="H72" s="13" t="str">
        <f aca="false">IF($M72="","",N(INDEX('DỮ LIỆU'!$J$3:$J$1052,$M72)))</f>
        <v/>
      </c>
      <c r="I72" s="13" t="str">
        <f aca="false">IF($M72="","",N(INDEX('DỮ LIỆU'!$N$3:$N$1052,$M72)))</f>
        <v/>
      </c>
      <c r="J72" s="13" t="str">
        <f aca="false">IF($M72="","",N(INDEX('DỮ LIỆU'!$O$3:$O$1052,$M72)))</f>
        <v/>
      </c>
      <c r="K72" s="13" t="str">
        <f aca="false">IF($M72="","",IF(INDEX('DỮ LIỆU'!$Q$3:$Q$1052,$M72)="","",INDEX('DỮ LIỆU'!$Q$3:$Q$1052,$M72)))</f>
        <v/>
      </c>
      <c r="L72" s="21" t="str">
        <f aca="false">IF($M72="","",IF(INDEX('DỮ LIỆU'!$R$3:$R$1052,$M72)="","",INDEX('DỮ LIỆU'!$R$3:$R$1052,$M72)))</f>
        <v/>
      </c>
      <c r="M72" s="0" t="str">
        <f aca="false">IFERROR(MATCH(67,'DỮ LIỆU'!$V$3:$V$1052,0),"")</f>
        <v/>
      </c>
    </row>
    <row r="73" customFormat="false" ht="15" hidden="false" customHeight="false" outlineLevel="0" collapsed="false">
      <c r="A73" s="21" t="str">
        <f aca="false">IF($M73="","",68)</f>
        <v/>
      </c>
      <c r="B73" s="13" t="str">
        <f aca="false">IF($M73="","",INDEX('DỮ LIỆU'!$A$3:$A$1052,$M73))</f>
        <v/>
      </c>
      <c r="C73" s="41" t="str">
        <f aca="false">IF($M73="","",IF(INDEX('DỮ LIỆU'!$B$3:$B$1052,$M73)="","",INDEX('DỮ LIỆU'!$B$3:$B$1052,$M73)))</f>
        <v/>
      </c>
      <c r="D73" s="21" t="str">
        <f aca="false">IF($M73="","",IF(INDEX('DỮ LIỆU'!$C$3:$C$1052,$M73)="","",INDEX('DỮ LIỆU'!$C$3:$C$1052,$M73)))</f>
        <v/>
      </c>
      <c r="E73" s="21" t="str">
        <f aca="false">IF($M73="","",IF(INDEX('DỮ LIỆU'!$D$3:$D$1052,$M73)="","",INDEX('DỮ LIỆU'!$D$3:$D$1052,$M73)))</f>
        <v/>
      </c>
      <c r="F73" s="21" t="str">
        <f aca="false">IF($M73="","",IF(INDEX('DỮ LIỆU'!$H$3:$H$1052,$M73)="","",INDEX('DỮ LIỆU'!$H$3:$H$1052,$M73)))</f>
        <v/>
      </c>
      <c r="G73" s="13" t="str">
        <f aca="false">IF($M73="","",N(INDEX('DỮ LIỆU'!$I$3:$I$1052,$M73)))</f>
        <v/>
      </c>
      <c r="H73" s="13" t="str">
        <f aca="false">IF($M73="","",N(INDEX('DỮ LIỆU'!$J$3:$J$1052,$M73)))</f>
        <v/>
      </c>
      <c r="I73" s="13" t="str">
        <f aca="false">IF($M73="","",N(INDEX('DỮ LIỆU'!$N$3:$N$1052,$M73)))</f>
        <v/>
      </c>
      <c r="J73" s="13" t="str">
        <f aca="false">IF($M73="","",N(INDEX('DỮ LIỆU'!$O$3:$O$1052,$M73)))</f>
        <v/>
      </c>
      <c r="K73" s="13" t="str">
        <f aca="false">IF($M73="","",IF(INDEX('DỮ LIỆU'!$Q$3:$Q$1052,$M73)="","",INDEX('DỮ LIỆU'!$Q$3:$Q$1052,$M73)))</f>
        <v/>
      </c>
      <c r="L73" s="21" t="str">
        <f aca="false">IF($M73="","",IF(INDEX('DỮ LIỆU'!$R$3:$R$1052,$M73)="","",INDEX('DỮ LIỆU'!$R$3:$R$1052,$M73)))</f>
        <v/>
      </c>
      <c r="M73" s="0" t="str">
        <f aca="false">IFERROR(MATCH(68,'DỮ LIỆU'!$V$3:$V$1052,0),"")</f>
        <v/>
      </c>
    </row>
    <row r="74" customFormat="false" ht="15" hidden="false" customHeight="false" outlineLevel="0" collapsed="false">
      <c r="A74" s="21" t="str">
        <f aca="false">IF($M74="","",69)</f>
        <v/>
      </c>
      <c r="B74" s="13" t="str">
        <f aca="false">IF($M74="","",INDEX('DỮ LIỆU'!$A$3:$A$1052,$M74))</f>
        <v/>
      </c>
      <c r="C74" s="41" t="str">
        <f aca="false">IF($M74="","",IF(INDEX('DỮ LIỆU'!$B$3:$B$1052,$M74)="","",INDEX('DỮ LIỆU'!$B$3:$B$1052,$M74)))</f>
        <v/>
      </c>
      <c r="D74" s="21" t="str">
        <f aca="false">IF($M74="","",IF(INDEX('DỮ LIỆU'!$C$3:$C$1052,$M74)="","",INDEX('DỮ LIỆU'!$C$3:$C$1052,$M74)))</f>
        <v/>
      </c>
      <c r="E74" s="21" t="str">
        <f aca="false">IF($M74="","",IF(INDEX('DỮ LIỆU'!$D$3:$D$1052,$M74)="","",INDEX('DỮ LIỆU'!$D$3:$D$1052,$M74)))</f>
        <v/>
      </c>
      <c r="F74" s="21" t="str">
        <f aca="false">IF($M74="","",IF(INDEX('DỮ LIỆU'!$H$3:$H$1052,$M74)="","",INDEX('DỮ LIỆU'!$H$3:$H$1052,$M74)))</f>
        <v/>
      </c>
      <c r="G74" s="13" t="str">
        <f aca="false">IF($M74="","",N(INDEX('DỮ LIỆU'!$I$3:$I$1052,$M74)))</f>
        <v/>
      </c>
      <c r="H74" s="13" t="str">
        <f aca="false">IF($M74="","",N(INDEX('DỮ LIỆU'!$J$3:$J$1052,$M74)))</f>
        <v/>
      </c>
      <c r="I74" s="13" t="str">
        <f aca="false">IF($M74="","",N(INDEX('DỮ LIỆU'!$N$3:$N$1052,$M74)))</f>
        <v/>
      </c>
      <c r="J74" s="13" t="str">
        <f aca="false">IF($M74="","",N(INDEX('DỮ LIỆU'!$O$3:$O$1052,$M74)))</f>
        <v/>
      </c>
      <c r="K74" s="13" t="str">
        <f aca="false">IF($M74="","",IF(INDEX('DỮ LIỆU'!$Q$3:$Q$1052,$M74)="","",INDEX('DỮ LIỆU'!$Q$3:$Q$1052,$M74)))</f>
        <v/>
      </c>
      <c r="L74" s="21" t="str">
        <f aca="false">IF($M74="","",IF(INDEX('DỮ LIỆU'!$R$3:$R$1052,$M74)="","",INDEX('DỮ LIỆU'!$R$3:$R$1052,$M74)))</f>
        <v/>
      </c>
      <c r="M74" s="0" t="str">
        <f aca="false">IFERROR(MATCH(69,'DỮ LIỆU'!$V$3:$V$1052,0),"")</f>
        <v/>
      </c>
    </row>
    <row r="75" customFormat="false" ht="15" hidden="false" customHeight="false" outlineLevel="0" collapsed="false">
      <c r="A75" s="21" t="str">
        <f aca="false">IF($M75="","",70)</f>
        <v/>
      </c>
      <c r="B75" s="13" t="str">
        <f aca="false">IF($M75="","",INDEX('DỮ LIỆU'!$A$3:$A$1052,$M75))</f>
        <v/>
      </c>
      <c r="C75" s="41" t="str">
        <f aca="false">IF($M75="","",IF(INDEX('DỮ LIỆU'!$B$3:$B$1052,$M75)="","",INDEX('DỮ LIỆU'!$B$3:$B$1052,$M75)))</f>
        <v/>
      </c>
      <c r="D75" s="21" t="str">
        <f aca="false">IF($M75="","",IF(INDEX('DỮ LIỆU'!$C$3:$C$1052,$M75)="","",INDEX('DỮ LIỆU'!$C$3:$C$1052,$M75)))</f>
        <v/>
      </c>
      <c r="E75" s="21" t="str">
        <f aca="false">IF($M75="","",IF(INDEX('DỮ LIỆU'!$D$3:$D$1052,$M75)="","",INDEX('DỮ LIỆU'!$D$3:$D$1052,$M75)))</f>
        <v/>
      </c>
      <c r="F75" s="21" t="str">
        <f aca="false">IF($M75="","",IF(INDEX('DỮ LIỆU'!$H$3:$H$1052,$M75)="","",INDEX('DỮ LIỆU'!$H$3:$H$1052,$M75)))</f>
        <v/>
      </c>
      <c r="G75" s="13" t="str">
        <f aca="false">IF($M75="","",N(INDEX('DỮ LIỆU'!$I$3:$I$1052,$M75)))</f>
        <v/>
      </c>
      <c r="H75" s="13" t="str">
        <f aca="false">IF($M75="","",N(INDEX('DỮ LIỆU'!$J$3:$J$1052,$M75)))</f>
        <v/>
      </c>
      <c r="I75" s="13" t="str">
        <f aca="false">IF($M75="","",N(INDEX('DỮ LIỆU'!$N$3:$N$1052,$M75)))</f>
        <v/>
      </c>
      <c r="J75" s="13" t="str">
        <f aca="false">IF($M75="","",N(INDEX('DỮ LIỆU'!$O$3:$O$1052,$M75)))</f>
        <v/>
      </c>
      <c r="K75" s="13" t="str">
        <f aca="false">IF($M75="","",IF(INDEX('DỮ LIỆU'!$Q$3:$Q$1052,$M75)="","",INDEX('DỮ LIỆU'!$Q$3:$Q$1052,$M75)))</f>
        <v/>
      </c>
      <c r="L75" s="21" t="str">
        <f aca="false">IF($M75="","",IF(INDEX('DỮ LIỆU'!$R$3:$R$1052,$M75)="","",INDEX('DỮ LIỆU'!$R$3:$R$1052,$M75)))</f>
        <v/>
      </c>
      <c r="M75" s="0" t="str">
        <f aca="false">IFERROR(MATCH(70,'DỮ LIỆU'!$V$3:$V$1052,0),"")</f>
        <v/>
      </c>
    </row>
    <row r="76" customFormat="false" ht="15" hidden="false" customHeight="false" outlineLevel="0" collapsed="false">
      <c r="A76" s="21" t="str">
        <f aca="false">IF($M76="","",71)</f>
        <v/>
      </c>
      <c r="B76" s="13" t="str">
        <f aca="false">IF($M76="","",INDEX('DỮ LIỆU'!$A$3:$A$1052,$M76))</f>
        <v/>
      </c>
      <c r="C76" s="41" t="str">
        <f aca="false">IF($M76="","",IF(INDEX('DỮ LIỆU'!$B$3:$B$1052,$M76)="","",INDEX('DỮ LIỆU'!$B$3:$B$1052,$M76)))</f>
        <v/>
      </c>
      <c r="D76" s="21" t="str">
        <f aca="false">IF($M76="","",IF(INDEX('DỮ LIỆU'!$C$3:$C$1052,$M76)="","",INDEX('DỮ LIỆU'!$C$3:$C$1052,$M76)))</f>
        <v/>
      </c>
      <c r="E76" s="21" t="str">
        <f aca="false">IF($M76="","",IF(INDEX('DỮ LIỆU'!$D$3:$D$1052,$M76)="","",INDEX('DỮ LIỆU'!$D$3:$D$1052,$M76)))</f>
        <v/>
      </c>
      <c r="F76" s="21" t="str">
        <f aca="false">IF($M76="","",IF(INDEX('DỮ LIỆU'!$H$3:$H$1052,$M76)="","",INDEX('DỮ LIỆU'!$H$3:$H$1052,$M76)))</f>
        <v/>
      </c>
      <c r="G76" s="13" t="str">
        <f aca="false">IF($M76="","",N(INDEX('DỮ LIỆU'!$I$3:$I$1052,$M76)))</f>
        <v/>
      </c>
      <c r="H76" s="13" t="str">
        <f aca="false">IF($M76="","",N(INDEX('DỮ LIỆU'!$J$3:$J$1052,$M76)))</f>
        <v/>
      </c>
      <c r="I76" s="13" t="str">
        <f aca="false">IF($M76="","",N(INDEX('DỮ LIỆU'!$N$3:$N$1052,$M76)))</f>
        <v/>
      </c>
      <c r="J76" s="13" t="str">
        <f aca="false">IF($M76="","",N(INDEX('DỮ LIỆU'!$O$3:$O$1052,$M76)))</f>
        <v/>
      </c>
      <c r="K76" s="13" t="str">
        <f aca="false">IF($M76="","",IF(INDEX('DỮ LIỆU'!$Q$3:$Q$1052,$M76)="","",INDEX('DỮ LIỆU'!$Q$3:$Q$1052,$M76)))</f>
        <v/>
      </c>
      <c r="L76" s="21" t="str">
        <f aca="false">IF($M76="","",IF(INDEX('DỮ LIỆU'!$R$3:$R$1052,$M76)="","",INDEX('DỮ LIỆU'!$R$3:$R$1052,$M76)))</f>
        <v/>
      </c>
      <c r="M76" s="0" t="str">
        <f aca="false">IFERROR(MATCH(71,'DỮ LIỆU'!$V$3:$V$1052,0),"")</f>
        <v/>
      </c>
    </row>
    <row r="77" customFormat="false" ht="15" hidden="false" customHeight="false" outlineLevel="0" collapsed="false">
      <c r="A77" s="21" t="str">
        <f aca="false">IF($M77="","",72)</f>
        <v/>
      </c>
      <c r="B77" s="13" t="str">
        <f aca="false">IF($M77="","",INDEX('DỮ LIỆU'!$A$3:$A$1052,$M77))</f>
        <v/>
      </c>
      <c r="C77" s="41" t="str">
        <f aca="false">IF($M77="","",IF(INDEX('DỮ LIỆU'!$B$3:$B$1052,$M77)="","",INDEX('DỮ LIỆU'!$B$3:$B$1052,$M77)))</f>
        <v/>
      </c>
      <c r="D77" s="21" t="str">
        <f aca="false">IF($M77="","",IF(INDEX('DỮ LIỆU'!$C$3:$C$1052,$M77)="","",INDEX('DỮ LIỆU'!$C$3:$C$1052,$M77)))</f>
        <v/>
      </c>
      <c r="E77" s="21" t="str">
        <f aca="false">IF($M77="","",IF(INDEX('DỮ LIỆU'!$D$3:$D$1052,$M77)="","",INDEX('DỮ LIỆU'!$D$3:$D$1052,$M77)))</f>
        <v/>
      </c>
      <c r="F77" s="21" t="str">
        <f aca="false">IF($M77="","",IF(INDEX('DỮ LIỆU'!$H$3:$H$1052,$M77)="","",INDEX('DỮ LIỆU'!$H$3:$H$1052,$M77)))</f>
        <v/>
      </c>
      <c r="G77" s="13" t="str">
        <f aca="false">IF($M77="","",N(INDEX('DỮ LIỆU'!$I$3:$I$1052,$M77)))</f>
        <v/>
      </c>
      <c r="H77" s="13" t="str">
        <f aca="false">IF($M77="","",N(INDEX('DỮ LIỆU'!$J$3:$J$1052,$M77)))</f>
        <v/>
      </c>
      <c r="I77" s="13" t="str">
        <f aca="false">IF($M77="","",N(INDEX('DỮ LIỆU'!$N$3:$N$1052,$M77)))</f>
        <v/>
      </c>
      <c r="J77" s="13" t="str">
        <f aca="false">IF($M77="","",N(INDEX('DỮ LIỆU'!$O$3:$O$1052,$M77)))</f>
        <v/>
      </c>
      <c r="K77" s="13" t="str">
        <f aca="false">IF($M77="","",IF(INDEX('DỮ LIỆU'!$Q$3:$Q$1052,$M77)="","",INDEX('DỮ LIỆU'!$Q$3:$Q$1052,$M77)))</f>
        <v/>
      </c>
      <c r="L77" s="21" t="str">
        <f aca="false">IF($M77="","",IF(INDEX('DỮ LIỆU'!$R$3:$R$1052,$M77)="","",INDEX('DỮ LIỆU'!$R$3:$R$1052,$M77)))</f>
        <v/>
      </c>
      <c r="M77" s="0" t="str">
        <f aca="false">IFERROR(MATCH(72,'DỮ LIỆU'!$V$3:$V$1052,0),"")</f>
        <v/>
      </c>
    </row>
    <row r="78" customFormat="false" ht="15" hidden="false" customHeight="false" outlineLevel="0" collapsed="false">
      <c r="A78" s="21" t="str">
        <f aca="false">IF($M78="","",73)</f>
        <v/>
      </c>
      <c r="B78" s="13" t="str">
        <f aca="false">IF($M78="","",INDEX('DỮ LIỆU'!$A$3:$A$1052,$M78))</f>
        <v/>
      </c>
      <c r="C78" s="41" t="str">
        <f aca="false">IF($M78="","",IF(INDEX('DỮ LIỆU'!$B$3:$B$1052,$M78)="","",INDEX('DỮ LIỆU'!$B$3:$B$1052,$M78)))</f>
        <v/>
      </c>
      <c r="D78" s="21" t="str">
        <f aca="false">IF($M78="","",IF(INDEX('DỮ LIỆU'!$C$3:$C$1052,$M78)="","",INDEX('DỮ LIỆU'!$C$3:$C$1052,$M78)))</f>
        <v/>
      </c>
      <c r="E78" s="21" t="str">
        <f aca="false">IF($M78="","",IF(INDEX('DỮ LIỆU'!$D$3:$D$1052,$M78)="","",INDEX('DỮ LIỆU'!$D$3:$D$1052,$M78)))</f>
        <v/>
      </c>
      <c r="F78" s="21" t="str">
        <f aca="false">IF($M78="","",IF(INDEX('DỮ LIỆU'!$H$3:$H$1052,$M78)="","",INDEX('DỮ LIỆU'!$H$3:$H$1052,$M78)))</f>
        <v/>
      </c>
      <c r="G78" s="13" t="str">
        <f aca="false">IF($M78="","",N(INDEX('DỮ LIỆU'!$I$3:$I$1052,$M78)))</f>
        <v/>
      </c>
      <c r="H78" s="13" t="str">
        <f aca="false">IF($M78="","",N(INDEX('DỮ LIỆU'!$J$3:$J$1052,$M78)))</f>
        <v/>
      </c>
      <c r="I78" s="13" t="str">
        <f aca="false">IF($M78="","",N(INDEX('DỮ LIỆU'!$N$3:$N$1052,$M78)))</f>
        <v/>
      </c>
      <c r="J78" s="13" t="str">
        <f aca="false">IF($M78="","",N(INDEX('DỮ LIỆU'!$O$3:$O$1052,$M78)))</f>
        <v/>
      </c>
      <c r="K78" s="13" t="str">
        <f aca="false">IF($M78="","",IF(INDEX('DỮ LIỆU'!$Q$3:$Q$1052,$M78)="","",INDEX('DỮ LIỆU'!$Q$3:$Q$1052,$M78)))</f>
        <v/>
      </c>
      <c r="L78" s="21" t="str">
        <f aca="false">IF($M78="","",IF(INDEX('DỮ LIỆU'!$R$3:$R$1052,$M78)="","",INDEX('DỮ LIỆU'!$R$3:$R$1052,$M78)))</f>
        <v/>
      </c>
      <c r="M78" s="0" t="str">
        <f aca="false">IFERROR(MATCH(73,'DỮ LIỆU'!$V$3:$V$1052,0),"")</f>
        <v/>
      </c>
    </row>
    <row r="79" customFormat="false" ht="15" hidden="false" customHeight="false" outlineLevel="0" collapsed="false">
      <c r="A79" s="21" t="str">
        <f aca="false">IF($M79="","",74)</f>
        <v/>
      </c>
      <c r="B79" s="13" t="str">
        <f aca="false">IF($M79="","",INDEX('DỮ LIỆU'!$A$3:$A$1052,$M79))</f>
        <v/>
      </c>
      <c r="C79" s="41" t="str">
        <f aca="false">IF($M79="","",IF(INDEX('DỮ LIỆU'!$B$3:$B$1052,$M79)="","",INDEX('DỮ LIỆU'!$B$3:$B$1052,$M79)))</f>
        <v/>
      </c>
      <c r="D79" s="21" t="str">
        <f aca="false">IF($M79="","",IF(INDEX('DỮ LIỆU'!$C$3:$C$1052,$M79)="","",INDEX('DỮ LIỆU'!$C$3:$C$1052,$M79)))</f>
        <v/>
      </c>
      <c r="E79" s="21" t="str">
        <f aca="false">IF($M79="","",IF(INDEX('DỮ LIỆU'!$D$3:$D$1052,$M79)="","",INDEX('DỮ LIỆU'!$D$3:$D$1052,$M79)))</f>
        <v/>
      </c>
      <c r="F79" s="21" t="str">
        <f aca="false">IF($M79="","",IF(INDEX('DỮ LIỆU'!$H$3:$H$1052,$M79)="","",INDEX('DỮ LIỆU'!$H$3:$H$1052,$M79)))</f>
        <v/>
      </c>
      <c r="G79" s="13" t="str">
        <f aca="false">IF($M79="","",N(INDEX('DỮ LIỆU'!$I$3:$I$1052,$M79)))</f>
        <v/>
      </c>
      <c r="H79" s="13" t="str">
        <f aca="false">IF($M79="","",N(INDEX('DỮ LIỆU'!$J$3:$J$1052,$M79)))</f>
        <v/>
      </c>
      <c r="I79" s="13" t="str">
        <f aca="false">IF($M79="","",N(INDEX('DỮ LIỆU'!$N$3:$N$1052,$M79)))</f>
        <v/>
      </c>
      <c r="J79" s="13" t="str">
        <f aca="false">IF($M79="","",N(INDEX('DỮ LIỆU'!$O$3:$O$1052,$M79)))</f>
        <v/>
      </c>
      <c r="K79" s="13" t="str">
        <f aca="false">IF($M79="","",IF(INDEX('DỮ LIỆU'!$Q$3:$Q$1052,$M79)="","",INDEX('DỮ LIỆU'!$Q$3:$Q$1052,$M79)))</f>
        <v/>
      </c>
      <c r="L79" s="21" t="str">
        <f aca="false">IF($M79="","",IF(INDEX('DỮ LIỆU'!$R$3:$R$1052,$M79)="","",INDEX('DỮ LIỆU'!$R$3:$R$1052,$M79)))</f>
        <v/>
      </c>
      <c r="M79" s="0" t="str">
        <f aca="false">IFERROR(MATCH(74,'DỮ LIỆU'!$V$3:$V$1052,0),"")</f>
        <v/>
      </c>
    </row>
    <row r="80" customFormat="false" ht="15" hidden="false" customHeight="false" outlineLevel="0" collapsed="false">
      <c r="A80" s="21" t="str">
        <f aca="false">IF($M80="","",75)</f>
        <v/>
      </c>
      <c r="B80" s="13" t="str">
        <f aca="false">IF($M80="","",INDEX('DỮ LIỆU'!$A$3:$A$1052,$M80))</f>
        <v/>
      </c>
      <c r="C80" s="41" t="str">
        <f aca="false">IF($M80="","",IF(INDEX('DỮ LIỆU'!$B$3:$B$1052,$M80)="","",INDEX('DỮ LIỆU'!$B$3:$B$1052,$M80)))</f>
        <v/>
      </c>
      <c r="D80" s="21" t="str">
        <f aca="false">IF($M80="","",IF(INDEX('DỮ LIỆU'!$C$3:$C$1052,$M80)="","",INDEX('DỮ LIỆU'!$C$3:$C$1052,$M80)))</f>
        <v/>
      </c>
      <c r="E80" s="21" t="str">
        <f aca="false">IF($M80="","",IF(INDEX('DỮ LIỆU'!$D$3:$D$1052,$M80)="","",INDEX('DỮ LIỆU'!$D$3:$D$1052,$M80)))</f>
        <v/>
      </c>
      <c r="F80" s="21" t="str">
        <f aca="false">IF($M80="","",IF(INDEX('DỮ LIỆU'!$H$3:$H$1052,$M80)="","",INDEX('DỮ LIỆU'!$H$3:$H$1052,$M80)))</f>
        <v/>
      </c>
      <c r="G80" s="13" t="str">
        <f aca="false">IF($M80="","",N(INDEX('DỮ LIỆU'!$I$3:$I$1052,$M80)))</f>
        <v/>
      </c>
      <c r="H80" s="13" t="str">
        <f aca="false">IF($M80="","",N(INDEX('DỮ LIỆU'!$J$3:$J$1052,$M80)))</f>
        <v/>
      </c>
      <c r="I80" s="13" t="str">
        <f aca="false">IF($M80="","",N(INDEX('DỮ LIỆU'!$N$3:$N$1052,$M80)))</f>
        <v/>
      </c>
      <c r="J80" s="13" t="str">
        <f aca="false">IF($M80="","",N(INDEX('DỮ LIỆU'!$O$3:$O$1052,$M80)))</f>
        <v/>
      </c>
      <c r="K80" s="13" t="str">
        <f aca="false">IF($M80="","",IF(INDEX('DỮ LIỆU'!$Q$3:$Q$1052,$M80)="","",INDEX('DỮ LIỆU'!$Q$3:$Q$1052,$M80)))</f>
        <v/>
      </c>
      <c r="L80" s="21" t="str">
        <f aca="false">IF($M80="","",IF(INDEX('DỮ LIỆU'!$R$3:$R$1052,$M80)="","",INDEX('DỮ LIỆU'!$R$3:$R$1052,$M80)))</f>
        <v/>
      </c>
      <c r="M80" s="0" t="str">
        <f aca="false">IFERROR(MATCH(75,'DỮ LIỆU'!$V$3:$V$1052,0),"")</f>
        <v/>
      </c>
    </row>
    <row r="81" customFormat="false" ht="15" hidden="false" customHeight="false" outlineLevel="0" collapsed="false">
      <c r="A81" s="21" t="str">
        <f aca="false">IF($M81="","",76)</f>
        <v/>
      </c>
      <c r="B81" s="13" t="str">
        <f aca="false">IF($M81="","",INDEX('DỮ LIỆU'!$A$3:$A$1052,$M81))</f>
        <v/>
      </c>
      <c r="C81" s="41" t="str">
        <f aca="false">IF($M81="","",IF(INDEX('DỮ LIỆU'!$B$3:$B$1052,$M81)="","",INDEX('DỮ LIỆU'!$B$3:$B$1052,$M81)))</f>
        <v/>
      </c>
      <c r="D81" s="21" t="str">
        <f aca="false">IF($M81="","",IF(INDEX('DỮ LIỆU'!$C$3:$C$1052,$M81)="","",INDEX('DỮ LIỆU'!$C$3:$C$1052,$M81)))</f>
        <v/>
      </c>
      <c r="E81" s="21" t="str">
        <f aca="false">IF($M81="","",IF(INDEX('DỮ LIỆU'!$D$3:$D$1052,$M81)="","",INDEX('DỮ LIỆU'!$D$3:$D$1052,$M81)))</f>
        <v/>
      </c>
      <c r="F81" s="21" t="str">
        <f aca="false">IF($M81="","",IF(INDEX('DỮ LIỆU'!$H$3:$H$1052,$M81)="","",INDEX('DỮ LIỆU'!$H$3:$H$1052,$M81)))</f>
        <v/>
      </c>
      <c r="G81" s="13" t="str">
        <f aca="false">IF($M81="","",N(INDEX('DỮ LIỆU'!$I$3:$I$1052,$M81)))</f>
        <v/>
      </c>
      <c r="H81" s="13" t="str">
        <f aca="false">IF($M81="","",N(INDEX('DỮ LIỆU'!$J$3:$J$1052,$M81)))</f>
        <v/>
      </c>
      <c r="I81" s="13" t="str">
        <f aca="false">IF($M81="","",N(INDEX('DỮ LIỆU'!$N$3:$N$1052,$M81)))</f>
        <v/>
      </c>
      <c r="J81" s="13" t="str">
        <f aca="false">IF($M81="","",N(INDEX('DỮ LIỆU'!$O$3:$O$1052,$M81)))</f>
        <v/>
      </c>
      <c r="K81" s="13" t="str">
        <f aca="false">IF($M81="","",IF(INDEX('DỮ LIỆU'!$Q$3:$Q$1052,$M81)="","",INDEX('DỮ LIỆU'!$Q$3:$Q$1052,$M81)))</f>
        <v/>
      </c>
      <c r="L81" s="21" t="str">
        <f aca="false">IF($M81="","",IF(INDEX('DỮ LIỆU'!$R$3:$R$1052,$M81)="","",INDEX('DỮ LIỆU'!$R$3:$R$1052,$M81)))</f>
        <v/>
      </c>
      <c r="M81" s="0" t="str">
        <f aca="false">IFERROR(MATCH(76,'DỮ LIỆU'!$V$3:$V$1052,0),"")</f>
        <v/>
      </c>
    </row>
    <row r="82" customFormat="false" ht="15" hidden="false" customHeight="false" outlineLevel="0" collapsed="false">
      <c r="A82" s="21" t="str">
        <f aca="false">IF($M82="","",77)</f>
        <v/>
      </c>
      <c r="B82" s="13" t="str">
        <f aca="false">IF($M82="","",INDEX('DỮ LIỆU'!$A$3:$A$1052,$M82))</f>
        <v/>
      </c>
      <c r="C82" s="41" t="str">
        <f aca="false">IF($M82="","",IF(INDEX('DỮ LIỆU'!$B$3:$B$1052,$M82)="","",INDEX('DỮ LIỆU'!$B$3:$B$1052,$M82)))</f>
        <v/>
      </c>
      <c r="D82" s="21" t="str">
        <f aca="false">IF($M82="","",IF(INDEX('DỮ LIỆU'!$C$3:$C$1052,$M82)="","",INDEX('DỮ LIỆU'!$C$3:$C$1052,$M82)))</f>
        <v/>
      </c>
      <c r="E82" s="21" t="str">
        <f aca="false">IF($M82="","",IF(INDEX('DỮ LIỆU'!$D$3:$D$1052,$M82)="","",INDEX('DỮ LIỆU'!$D$3:$D$1052,$M82)))</f>
        <v/>
      </c>
      <c r="F82" s="21" t="str">
        <f aca="false">IF($M82="","",IF(INDEX('DỮ LIỆU'!$H$3:$H$1052,$M82)="","",INDEX('DỮ LIỆU'!$H$3:$H$1052,$M82)))</f>
        <v/>
      </c>
      <c r="G82" s="13" t="str">
        <f aca="false">IF($M82="","",N(INDEX('DỮ LIỆU'!$I$3:$I$1052,$M82)))</f>
        <v/>
      </c>
      <c r="H82" s="13" t="str">
        <f aca="false">IF($M82="","",N(INDEX('DỮ LIỆU'!$J$3:$J$1052,$M82)))</f>
        <v/>
      </c>
      <c r="I82" s="13" t="str">
        <f aca="false">IF($M82="","",N(INDEX('DỮ LIỆU'!$N$3:$N$1052,$M82)))</f>
        <v/>
      </c>
      <c r="J82" s="13" t="str">
        <f aca="false">IF($M82="","",N(INDEX('DỮ LIỆU'!$O$3:$O$1052,$M82)))</f>
        <v/>
      </c>
      <c r="K82" s="13" t="str">
        <f aca="false">IF($M82="","",IF(INDEX('DỮ LIỆU'!$Q$3:$Q$1052,$M82)="","",INDEX('DỮ LIỆU'!$Q$3:$Q$1052,$M82)))</f>
        <v/>
      </c>
      <c r="L82" s="21" t="str">
        <f aca="false">IF($M82="","",IF(INDEX('DỮ LIỆU'!$R$3:$R$1052,$M82)="","",INDEX('DỮ LIỆU'!$R$3:$R$1052,$M82)))</f>
        <v/>
      </c>
      <c r="M82" s="0" t="str">
        <f aca="false">IFERROR(MATCH(77,'DỮ LIỆU'!$V$3:$V$1052,0),"")</f>
        <v/>
      </c>
    </row>
    <row r="83" customFormat="false" ht="15" hidden="false" customHeight="false" outlineLevel="0" collapsed="false">
      <c r="A83" s="21" t="str">
        <f aca="false">IF($M83="","",78)</f>
        <v/>
      </c>
      <c r="B83" s="13" t="str">
        <f aca="false">IF($M83="","",INDEX('DỮ LIỆU'!$A$3:$A$1052,$M83))</f>
        <v/>
      </c>
      <c r="C83" s="41" t="str">
        <f aca="false">IF($M83="","",IF(INDEX('DỮ LIỆU'!$B$3:$B$1052,$M83)="","",INDEX('DỮ LIỆU'!$B$3:$B$1052,$M83)))</f>
        <v/>
      </c>
      <c r="D83" s="21" t="str">
        <f aca="false">IF($M83="","",IF(INDEX('DỮ LIỆU'!$C$3:$C$1052,$M83)="","",INDEX('DỮ LIỆU'!$C$3:$C$1052,$M83)))</f>
        <v/>
      </c>
      <c r="E83" s="21" t="str">
        <f aca="false">IF($M83="","",IF(INDEX('DỮ LIỆU'!$D$3:$D$1052,$M83)="","",INDEX('DỮ LIỆU'!$D$3:$D$1052,$M83)))</f>
        <v/>
      </c>
      <c r="F83" s="21" t="str">
        <f aca="false">IF($M83="","",IF(INDEX('DỮ LIỆU'!$H$3:$H$1052,$M83)="","",INDEX('DỮ LIỆU'!$H$3:$H$1052,$M83)))</f>
        <v/>
      </c>
      <c r="G83" s="13" t="str">
        <f aca="false">IF($M83="","",N(INDEX('DỮ LIỆU'!$I$3:$I$1052,$M83)))</f>
        <v/>
      </c>
      <c r="H83" s="13" t="str">
        <f aca="false">IF($M83="","",N(INDEX('DỮ LIỆU'!$J$3:$J$1052,$M83)))</f>
        <v/>
      </c>
      <c r="I83" s="13" t="str">
        <f aca="false">IF($M83="","",N(INDEX('DỮ LIỆU'!$N$3:$N$1052,$M83)))</f>
        <v/>
      </c>
      <c r="J83" s="13" t="str">
        <f aca="false">IF($M83="","",N(INDEX('DỮ LIỆU'!$O$3:$O$1052,$M83)))</f>
        <v/>
      </c>
      <c r="K83" s="13" t="str">
        <f aca="false">IF($M83="","",IF(INDEX('DỮ LIỆU'!$Q$3:$Q$1052,$M83)="","",INDEX('DỮ LIỆU'!$Q$3:$Q$1052,$M83)))</f>
        <v/>
      </c>
      <c r="L83" s="21" t="str">
        <f aca="false">IF($M83="","",IF(INDEX('DỮ LIỆU'!$R$3:$R$1052,$M83)="","",INDEX('DỮ LIỆU'!$R$3:$R$1052,$M83)))</f>
        <v/>
      </c>
      <c r="M83" s="0" t="str">
        <f aca="false">IFERROR(MATCH(78,'DỮ LIỆU'!$V$3:$V$1052,0),"")</f>
        <v/>
      </c>
    </row>
    <row r="84" customFormat="false" ht="15" hidden="false" customHeight="false" outlineLevel="0" collapsed="false">
      <c r="A84" s="21" t="str">
        <f aca="false">IF($M84="","",79)</f>
        <v/>
      </c>
      <c r="B84" s="13" t="str">
        <f aca="false">IF($M84="","",INDEX('DỮ LIỆU'!$A$3:$A$1052,$M84))</f>
        <v/>
      </c>
      <c r="C84" s="41" t="str">
        <f aca="false">IF($M84="","",IF(INDEX('DỮ LIỆU'!$B$3:$B$1052,$M84)="","",INDEX('DỮ LIỆU'!$B$3:$B$1052,$M84)))</f>
        <v/>
      </c>
      <c r="D84" s="21" t="str">
        <f aca="false">IF($M84="","",IF(INDEX('DỮ LIỆU'!$C$3:$C$1052,$M84)="","",INDEX('DỮ LIỆU'!$C$3:$C$1052,$M84)))</f>
        <v/>
      </c>
      <c r="E84" s="21" t="str">
        <f aca="false">IF($M84="","",IF(INDEX('DỮ LIỆU'!$D$3:$D$1052,$M84)="","",INDEX('DỮ LIỆU'!$D$3:$D$1052,$M84)))</f>
        <v/>
      </c>
      <c r="F84" s="21" t="str">
        <f aca="false">IF($M84="","",IF(INDEX('DỮ LIỆU'!$H$3:$H$1052,$M84)="","",INDEX('DỮ LIỆU'!$H$3:$H$1052,$M84)))</f>
        <v/>
      </c>
      <c r="G84" s="13" t="str">
        <f aca="false">IF($M84="","",N(INDEX('DỮ LIỆU'!$I$3:$I$1052,$M84)))</f>
        <v/>
      </c>
      <c r="H84" s="13" t="str">
        <f aca="false">IF($M84="","",N(INDEX('DỮ LIỆU'!$J$3:$J$1052,$M84)))</f>
        <v/>
      </c>
      <c r="I84" s="13" t="str">
        <f aca="false">IF($M84="","",N(INDEX('DỮ LIỆU'!$N$3:$N$1052,$M84)))</f>
        <v/>
      </c>
      <c r="J84" s="13" t="str">
        <f aca="false">IF($M84="","",N(INDEX('DỮ LIỆU'!$O$3:$O$1052,$M84)))</f>
        <v/>
      </c>
      <c r="K84" s="13" t="str">
        <f aca="false">IF($M84="","",IF(INDEX('DỮ LIỆU'!$Q$3:$Q$1052,$M84)="","",INDEX('DỮ LIỆU'!$Q$3:$Q$1052,$M84)))</f>
        <v/>
      </c>
      <c r="L84" s="21" t="str">
        <f aca="false">IF($M84="","",IF(INDEX('DỮ LIỆU'!$R$3:$R$1052,$M84)="","",INDEX('DỮ LIỆU'!$R$3:$R$1052,$M84)))</f>
        <v/>
      </c>
      <c r="M84" s="0" t="str">
        <f aca="false">IFERROR(MATCH(79,'DỮ LIỆU'!$V$3:$V$1052,0),"")</f>
        <v/>
      </c>
    </row>
    <row r="85" customFormat="false" ht="15" hidden="false" customHeight="false" outlineLevel="0" collapsed="false">
      <c r="A85" s="21" t="str">
        <f aca="false">IF($M85="","",80)</f>
        <v/>
      </c>
      <c r="B85" s="13" t="str">
        <f aca="false">IF($M85="","",INDEX('DỮ LIỆU'!$A$3:$A$1052,$M85))</f>
        <v/>
      </c>
      <c r="C85" s="41" t="str">
        <f aca="false">IF($M85="","",IF(INDEX('DỮ LIỆU'!$B$3:$B$1052,$M85)="","",INDEX('DỮ LIỆU'!$B$3:$B$1052,$M85)))</f>
        <v/>
      </c>
      <c r="D85" s="21" t="str">
        <f aca="false">IF($M85="","",IF(INDEX('DỮ LIỆU'!$C$3:$C$1052,$M85)="","",INDEX('DỮ LIỆU'!$C$3:$C$1052,$M85)))</f>
        <v/>
      </c>
      <c r="E85" s="21" t="str">
        <f aca="false">IF($M85="","",IF(INDEX('DỮ LIỆU'!$D$3:$D$1052,$M85)="","",INDEX('DỮ LIỆU'!$D$3:$D$1052,$M85)))</f>
        <v/>
      </c>
      <c r="F85" s="21" t="str">
        <f aca="false">IF($M85="","",IF(INDEX('DỮ LIỆU'!$H$3:$H$1052,$M85)="","",INDEX('DỮ LIỆU'!$H$3:$H$1052,$M85)))</f>
        <v/>
      </c>
      <c r="G85" s="13" t="str">
        <f aca="false">IF($M85="","",N(INDEX('DỮ LIỆU'!$I$3:$I$1052,$M85)))</f>
        <v/>
      </c>
      <c r="H85" s="13" t="str">
        <f aca="false">IF($M85="","",N(INDEX('DỮ LIỆU'!$J$3:$J$1052,$M85)))</f>
        <v/>
      </c>
      <c r="I85" s="13" t="str">
        <f aca="false">IF($M85="","",N(INDEX('DỮ LIỆU'!$N$3:$N$1052,$M85)))</f>
        <v/>
      </c>
      <c r="J85" s="13" t="str">
        <f aca="false">IF($M85="","",N(INDEX('DỮ LIỆU'!$O$3:$O$1052,$M85)))</f>
        <v/>
      </c>
      <c r="K85" s="13" t="str">
        <f aca="false">IF($M85="","",IF(INDEX('DỮ LIỆU'!$Q$3:$Q$1052,$M85)="","",INDEX('DỮ LIỆU'!$Q$3:$Q$1052,$M85)))</f>
        <v/>
      </c>
      <c r="L85" s="21" t="str">
        <f aca="false">IF($M85="","",IF(INDEX('DỮ LIỆU'!$R$3:$R$1052,$M85)="","",INDEX('DỮ LIỆU'!$R$3:$R$1052,$M85)))</f>
        <v/>
      </c>
      <c r="M85" s="0" t="str">
        <f aca="false">IFERROR(MATCH(80,'DỮ LIỆU'!$V$3:$V$1052,0),"")</f>
        <v/>
      </c>
    </row>
    <row r="86" customFormat="false" ht="15" hidden="false" customHeight="false" outlineLevel="0" collapsed="false">
      <c r="A86" s="21" t="str">
        <f aca="false">IF($M86="","",81)</f>
        <v/>
      </c>
      <c r="B86" s="13" t="str">
        <f aca="false">IF($M86="","",INDEX('DỮ LIỆU'!$A$3:$A$1052,$M86))</f>
        <v/>
      </c>
      <c r="C86" s="41" t="str">
        <f aca="false">IF($M86="","",IF(INDEX('DỮ LIỆU'!$B$3:$B$1052,$M86)="","",INDEX('DỮ LIỆU'!$B$3:$B$1052,$M86)))</f>
        <v/>
      </c>
      <c r="D86" s="21" t="str">
        <f aca="false">IF($M86="","",IF(INDEX('DỮ LIỆU'!$C$3:$C$1052,$M86)="","",INDEX('DỮ LIỆU'!$C$3:$C$1052,$M86)))</f>
        <v/>
      </c>
      <c r="E86" s="21" t="str">
        <f aca="false">IF($M86="","",IF(INDEX('DỮ LIỆU'!$D$3:$D$1052,$M86)="","",INDEX('DỮ LIỆU'!$D$3:$D$1052,$M86)))</f>
        <v/>
      </c>
      <c r="F86" s="21" t="str">
        <f aca="false">IF($M86="","",IF(INDEX('DỮ LIỆU'!$H$3:$H$1052,$M86)="","",INDEX('DỮ LIỆU'!$H$3:$H$1052,$M86)))</f>
        <v/>
      </c>
      <c r="G86" s="13" t="str">
        <f aca="false">IF($M86="","",N(INDEX('DỮ LIỆU'!$I$3:$I$1052,$M86)))</f>
        <v/>
      </c>
      <c r="H86" s="13" t="str">
        <f aca="false">IF($M86="","",N(INDEX('DỮ LIỆU'!$J$3:$J$1052,$M86)))</f>
        <v/>
      </c>
      <c r="I86" s="13" t="str">
        <f aca="false">IF($M86="","",N(INDEX('DỮ LIỆU'!$N$3:$N$1052,$M86)))</f>
        <v/>
      </c>
      <c r="J86" s="13" t="str">
        <f aca="false">IF($M86="","",N(INDEX('DỮ LIỆU'!$O$3:$O$1052,$M86)))</f>
        <v/>
      </c>
      <c r="K86" s="13" t="str">
        <f aca="false">IF($M86="","",IF(INDEX('DỮ LIỆU'!$Q$3:$Q$1052,$M86)="","",INDEX('DỮ LIỆU'!$Q$3:$Q$1052,$M86)))</f>
        <v/>
      </c>
      <c r="L86" s="21" t="str">
        <f aca="false">IF($M86="","",IF(INDEX('DỮ LIỆU'!$R$3:$R$1052,$M86)="","",INDEX('DỮ LIỆU'!$R$3:$R$1052,$M86)))</f>
        <v/>
      </c>
      <c r="M86" s="0" t="str">
        <f aca="false">IFERROR(MATCH(81,'DỮ LIỆU'!$V$3:$V$1052,0),"")</f>
        <v/>
      </c>
    </row>
    <row r="87" customFormat="false" ht="15" hidden="false" customHeight="false" outlineLevel="0" collapsed="false">
      <c r="A87" s="21" t="str">
        <f aca="false">IF($M87="","",82)</f>
        <v/>
      </c>
      <c r="B87" s="13" t="str">
        <f aca="false">IF($M87="","",INDEX('DỮ LIỆU'!$A$3:$A$1052,$M87))</f>
        <v/>
      </c>
      <c r="C87" s="41" t="str">
        <f aca="false">IF($M87="","",IF(INDEX('DỮ LIỆU'!$B$3:$B$1052,$M87)="","",INDEX('DỮ LIỆU'!$B$3:$B$1052,$M87)))</f>
        <v/>
      </c>
      <c r="D87" s="21" t="str">
        <f aca="false">IF($M87="","",IF(INDEX('DỮ LIỆU'!$C$3:$C$1052,$M87)="","",INDEX('DỮ LIỆU'!$C$3:$C$1052,$M87)))</f>
        <v/>
      </c>
      <c r="E87" s="21" t="str">
        <f aca="false">IF($M87="","",IF(INDEX('DỮ LIỆU'!$D$3:$D$1052,$M87)="","",INDEX('DỮ LIỆU'!$D$3:$D$1052,$M87)))</f>
        <v/>
      </c>
      <c r="F87" s="21" t="str">
        <f aca="false">IF($M87="","",IF(INDEX('DỮ LIỆU'!$H$3:$H$1052,$M87)="","",INDEX('DỮ LIỆU'!$H$3:$H$1052,$M87)))</f>
        <v/>
      </c>
      <c r="G87" s="13" t="str">
        <f aca="false">IF($M87="","",N(INDEX('DỮ LIỆU'!$I$3:$I$1052,$M87)))</f>
        <v/>
      </c>
      <c r="H87" s="13" t="str">
        <f aca="false">IF($M87="","",N(INDEX('DỮ LIỆU'!$J$3:$J$1052,$M87)))</f>
        <v/>
      </c>
      <c r="I87" s="13" t="str">
        <f aca="false">IF($M87="","",N(INDEX('DỮ LIỆU'!$N$3:$N$1052,$M87)))</f>
        <v/>
      </c>
      <c r="J87" s="13" t="str">
        <f aca="false">IF($M87="","",N(INDEX('DỮ LIỆU'!$O$3:$O$1052,$M87)))</f>
        <v/>
      </c>
      <c r="K87" s="13" t="str">
        <f aca="false">IF($M87="","",IF(INDEX('DỮ LIỆU'!$Q$3:$Q$1052,$M87)="","",INDEX('DỮ LIỆU'!$Q$3:$Q$1052,$M87)))</f>
        <v/>
      </c>
      <c r="L87" s="21" t="str">
        <f aca="false">IF($M87="","",IF(INDEX('DỮ LIỆU'!$R$3:$R$1052,$M87)="","",INDEX('DỮ LIỆU'!$R$3:$R$1052,$M87)))</f>
        <v/>
      </c>
      <c r="M87" s="0" t="str">
        <f aca="false">IFERROR(MATCH(82,'DỮ LIỆU'!$V$3:$V$1052,0),"")</f>
        <v/>
      </c>
    </row>
    <row r="88" customFormat="false" ht="15" hidden="false" customHeight="false" outlineLevel="0" collapsed="false">
      <c r="A88" s="21" t="str">
        <f aca="false">IF($M88="","",83)</f>
        <v/>
      </c>
      <c r="B88" s="13" t="str">
        <f aca="false">IF($M88="","",INDEX('DỮ LIỆU'!$A$3:$A$1052,$M88))</f>
        <v/>
      </c>
      <c r="C88" s="41" t="str">
        <f aca="false">IF($M88="","",IF(INDEX('DỮ LIỆU'!$B$3:$B$1052,$M88)="","",INDEX('DỮ LIỆU'!$B$3:$B$1052,$M88)))</f>
        <v/>
      </c>
      <c r="D88" s="21" t="str">
        <f aca="false">IF($M88="","",IF(INDEX('DỮ LIỆU'!$C$3:$C$1052,$M88)="","",INDEX('DỮ LIỆU'!$C$3:$C$1052,$M88)))</f>
        <v/>
      </c>
      <c r="E88" s="21" t="str">
        <f aca="false">IF($M88="","",IF(INDEX('DỮ LIỆU'!$D$3:$D$1052,$M88)="","",INDEX('DỮ LIỆU'!$D$3:$D$1052,$M88)))</f>
        <v/>
      </c>
      <c r="F88" s="21" t="str">
        <f aca="false">IF($M88="","",IF(INDEX('DỮ LIỆU'!$H$3:$H$1052,$M88)="","",INDEX('DỮ LIỆU'!$H$3:$H$1052,$M88)))</f>
        <v/>
      </c>
      <c r="G88" s="13" t="str">
        <f aca="false">IF($M88="","",N(INDEX('DỮ LIỆU'!$I$3:$I$1052,$M88)))</f>
        <v/>
      </c>
      <c r="H88" s="13" t="str">
        <f aca="false">IF($M88="","",N(INDEX('DỮ LIỆU'!$J$3:$J$1052,$M88)))</f>
        <v/>
      </c>
      <c r="I88" s="13" t="str">
        <f aca="false">IF($M88="","",N(INDEX('DỮ LIỆU'!$N$3:$N$1052,$M88)))</f>
        <v/>
      </c>
      <c r="J88" s="13" t="str">
        <f aca="false">IF($M88="","",N(INDEX('DỮ LIỆU'!$O$3:$O$1052,$M88)))</f>
        <v/>
      </c>
      <c r="K88" s="13" t="str">
        <f aca="false">IF($M88="","",IF(INDEX('DỮ LIỆU'!$Q$3:$Q$1052,$M88)="","",INDEX('DỮ LIỆU'!$Q$3:$Q$1052,$M88)))</f>
        <v/>
      </c>
      <c r="L88" s="21" t="str">
        <f aca="false">IF($M88="","",IF(INDEX('DỮ LIỆU'!$R$3:$R$1052,$M88)="","",INDEX('DỮ LIỆU'!$R$3:$R$1052,$M88)))</f>
        <v/>
      </c>
      <c r="M88" s="0" t="str">
        <f aca="false">IFERROR(MATCH(83,'DỮ LIỆU'!$V$3:$V$1052,0),"")</f>
        <v/>
      </c>
    </row>
    <row r="89" customFormat="false" ht="15" hidden="false" customHeight="false" outlineLevel="0" collapsed="false">
      <c r="A89" s="21" t="str">
        <f aca="false">IF($M89="","",84)</f>
        <v/>
      </c>
      <c r="B89" s="13" t="str">
        <f aca="false">IF($M89="","",INDEX('DỮ LIỆU'!$A$3:$A$1052,$M89))</f>
        <v/>
      </c>
      <c r="C89" s="41" t="str">
        <f aca="false">IF($M89="","",IF(INDEX('DỮ LIỆU'!$B$3:$B$1052,$M89)="","",INDEX('DỮ LIỆU'!$B$3:$B$1052,$M89)))</f>
        <v/>
      </c>
      <c r="D89" s="21" t="str">
        <f aca="false">IF($M89="","",IF(INDEX('DỮ LIỆU'!$C$3:$C$1052,$M89)="","",INDEX('DỮ LIỆU'!$C$3:$C$1052,$M89)))</f>
        <v/>
      </c>
      <c r="E89" s="21" t="str">
        <f aca="false">IF($M89="","",IF(INDEX('DỮ LIỆU'!$D$3:$D$1052,$M89)="","",INDEX('DỮ LIỆU'!$D$3:$D$1052,$M89)))</f>
        <v/>
      </c>
      <c r="F89" s="21" t="str">
        <f aca="false">IF($M89="","",IF(INDEX('DỮ LIỆU'!$H$3:$H$1052,$M89)="","",INDEX('DỮ LIỆU'!$H$3:$H$1052,$M89)))</f>
        <v/>
      </c>
      <c r="G89" s="13" t="str">
        <f aca="false">IF($M89="","",N(INDEX('DỮ LIỆU'!$I$3:$I$1052,$M89)))</f>
        <v/>
      </c>
      <c r="H89" s="13" t="str">
        <f aca="false">IF($M89="","",N(INDEX('DỮ LIỆU'!$J$3:$J$1052,$M89)))</f>
        <v/>
      </c>
      <c r="I89" s="13" t="str">
        <f aca="false">IF($M89="","",N(INDEX('DỮ LIỆU'!$N$3:$N$1052,$M89)))</f>
        <v/>
      </c>
      <c r="J89" s="13" t="str">
        <f aca="false">IF($M89="","",N(INDEX('DỮ LIỆU'!$O$3:$O$1052,$M89)))</f>
        <v/>
      </c>
      <c r="K89" s="13" t="str">
        <f aca="false">IF($M89="","",IF(INDEX('DỮ LIỆU'!$Q$3:$Q$1052,$M89)="","",INDEX('DỮ LIỆU'!$Q$3:$Q$1052,$M89)))</f>
        <v/>
      </c>
      <c r="L89" s="21" t="str">
        <f aca="false">IF($M89="","",IF(INDEX('DỮ LIỆU'!$R$3:$R$1052,$M89)="","",INDEX('DỮ LIỆU'!$R$3:$R$1052,$M89)))</f>
        <v/>
      </c>
      <c r="M89" s="0" t="str">
        <f aca="false">IFERROR(MATCH(84,'DỮ LIỆU'!$V$3:$V$1052,0),"")</f>
        <v/>
      </c>
    </row>
    <row r="90" customFormat="false" ht="15" hidden="false" customHeight="false" outlineLevel="0" collapsed="false">
      <c r="A90" s="21" t="str">
        <f aca="false">IF($M90="","",85)</f>
        <v/>
      </c>
      <c r="B90" s="13" t="str">
        <f aca="false">IF($M90="","",INDEX('DỮ LIỆU'!$A$3:$A$1052,$M90))</f>
        <v/>
      </c>
      <c r="C90" s="41" t="str">
        <f aca="false">IF($M90="","",IF(INDEX('DỮ LIỆU'!$B$3:$B$1052,$M90)="","",INDEX('DỮ LIỆU'!$B$3:$B$1052,$M90)))</f>
        <v/>
      </c>
      <c r="D90" s="21" t="str">
        <f aca="false">IF($M90="","",IF(INDEX('DỮ LIỆU'!$C$3:$C$1052,$M90)="","",INDEX('DỮ LIỆU'!$C$3:$C$1052,$M90)))</f>
        <v/>
      </c>
      <c r="E90" s="21" t="str">
        <f aca="false">IF($M90="","",IF(INDEX('DỮ LIỆU'!$D$3:$D$1052,$M90)="","",INDEX('DỮ LIỆU'!$D$3:$D$1052,$M90)))</f>
        <v/>
      </c>
      <c r="F90" s="21" t="str">
        <f aca="false">IF($M90="","",IF(INDEX('DỮ LIỆU'!$H$3:$H$1052,$M90)="","",INDEX('DỮ LIỆU'!$H$3:$H$1052,$M90)))</f>
        <v/>
      </c>
      <c r="G90" s="13" t="str">
        <f aca="false">IF($M90="","",N(INDEX('DỮ LIỆU'!$I$3:$I$1052,$M90)))</f>
        <v/>
      </c>
      <c r="H90" s="13" t="str">
        <f aca="false">IF($M90="","",N(INDEX('DỮ LIỆU'!$J$3:$J$1052,$M90)))</f>
        <v/>
      </c>
      <c r="I90" s="13" t="str">
        <f aca="false">IF($M90="","",N(INDEX('DỮ LIỆU'!$N$3:$N$1052,$M90)))</f>
        <v/>
      </c>
      <c r="J90" s="13" t="str">
        <f aca="false">IF($M90="","",N(INDEX('DỮ LIỆU'!$O$3:$O$1052,$M90)))</f>
        <v/>
      </c>
      <c r="K90" s="13" t="str">
        <f aca="false">IF($M90="","",IF(INDEX('DỮ LIỆU'!$Q$3:$Q$1052,$M90)="","",INDEX('DỮ LIỆU'!$Q$3:$Q$1052,$M90)))</f>
        <v/>
      </c>
      <c r="L90" s="21" t="str">
        <f aca="false">IF($M90="","",IF(INDEX('DỮ LIỆU'!$R$3:$R$1052,$M90)="","",INDEX('DỮ LIỆU'!$R$3:$R$1052,$M90)))</f>
        <v/>
      </c>
      <c r="M90" s="0" t="str">
        <f aca="false">IFERROR(MATCH(85,'DỮ LIỆU'!$V$3:$V$1052,0),"")</f>
        <v/>
      </c>
    </row>
    <row r="91" customFormat="false" ht="15" hidden="false" customHeight="false" outlineLevel="0" collapsed="false">
      <c r="A91" s="21" t="str">
        <f aca="false">IF($M91="","",86)</f>
        <v/>
      </c>
      <c r="B91" s="13" t="str">
        <f aca="false">IF($M91="","",INDEX('DỮ LIỆU'!$A$3:$A$1052,$M91))</f>
        <v/>
      </c>
      <c r="C91" s="41" t="str">
        <f aca="false">IF($M91="","",IF(INDEX('DỮ LIỆU'!$B$3:$B$1052,$M91)="","",INDEX('DỮ LIỆU'!$B$3:$B$1052,$M91)))</f>
        <v/>
      </c>
      <c r="D91" s="21" t="str">
        <f aca="false">IF($M91="","",IF(INDEX('DỮ LIỆU'!$C$3:$C$1052,$M91)="","",INDEX('DỮ LIỆU'!$C$3:$C$1052,$M91)))</f>
        <v/>
      </c>
      <c r="E91" s="21" t="str">
        <f aca="false">IF($M91="","",IF(INDEX('DỮ LIỆU'!$D$3:$D$1052,$M91)="","",INDEX('DỮ LIỆU'!$D$3:$D$1052,$M91)))</f>
        <v/>
      </c>
      <c r="F91" s="21" t="str">
        <f aca="false">IF($M91="","",IF(INDEX('DỮ LIỆU'!$H$3:$H$1052,$M91)="","",INDEX('DỮ LIỆU'!$H$3:$H$1052,$M91)))</f>
        <v/>
      </c>
      <c r="G91" s="13" t="str">
        <f aca="false">IF($M91="","",N(INDEX('DỮ LIỆU'!$I$3:$I$1052,$M91)))</f>
        <v/>
      </c>
      <c r="H91" s="13" t="str">
        <f aca="false">IF($M91="","",N(INDEX('DỮ LIỆU'!$J$3:$J$1052,$M91)))</f>
        <v/>
      </c>
      <c r="I91" s="13" t="str">
        <f aca="false">IF($M91="","",N(INDEX('DỮ LIỆU'!$N$3:$N$1052,$M91)))</f>
        <v/>
      </c>
      <c r="J91" s="13" t="str">
        <f aca="false">IF($M91="","",N(INDEX('DỮ LIỆU'!$O$3:$O$1052,$M91)))</f>
        <v/>
      </c>
      <c r="K91" s="13" t="str">
        <f aca="false">IF($M91="","",IF(INDEX('DỮ LIỆU'!$Q$3:$Q$1052,$M91)="","",INDEX('DỮ LIỆU'!$Q$3:$Q$1052,$M91)))</f>
        <v/>
      </c>
      <c r="L91" s="21" t="str">
        <f aca="false">IF($M91="","",IF(INDEX('DỮ LIỆU'!$R$3:$R$1052,$M91)="","",INDEX('DỮ LIỆU'!$R$3:$R$1052,$M91)))</f>
        <v/>
      </c>
      <c r="M91" s="0" t="str">
        <f aca="false">IFERROR(MATCH(86,'DỮ LIỆU'!$V$3:$V$1052,0),"")</f>
        <v/>
      </c>
    </row>
    <row r="92" customFormat="false" ht="15" hidden="false" customHeight="false" outlineLevel="0" collapsed="false">
      <c r="A92" s="21" t="str">
        <f aca="false">IF($M92="","",87)</f>
        <v/>
      </c>
      <c r="B92" s="13" t="str">
        <f aca="false">IF($M92="","",INDEX('DỮ LIỆU'!$A$3:$A$1052,$M92))</f>
        <v/>
      </c>
      <c r="C92" s="41" t="str">
        <f aca="false">IF($M92="","",IF(INDEX('DỮ LIỆU'!$B$3:$B$1052,$M92)="","",INDEX('DỮ LIỆU'!$B$3:$B$1052,$M92)))</f>
        <v/>
      </c>
      <c r="D92" s="21" t="str">
        <f aca="false">IF($M92="","",IF(INDEX('DỮ LIỆU'!$C$3:$C$1052,$M92)="","",INDEX('DỮ LIỆU'!$C$3:$C$1052,$M92)))</f>
        <v/>
      </c>
      <c r="E92" s="21" t="str">
        <f aca="false">IF($M92="","",IF(INDEX('DỮ LIỆU'!$D$3:$D$1052,$M92)="","",INDEX('DỮ LIỆU'!$D$3:$D$1052,$M92)))</f>
        <v/>
      </c>
      <c r="F92" s="21" t="str">
        <f aca="false">IF($M92="","",IF(INDEX('DỮ LIỆU'!$H$3:$H$1052,$M92)="","",INDEX('DỮ LIỆU'!$H$3:$H$1052,$M92)))</f>
        <v/>
      </c>
      <c r="G92" s="13" t="str">
        <f aca="false">IF($M92="","",N(INDEX('DỮ LIỆU'!$I$3:$I$1052,$M92)))</f>
        <v/>
      </c>
      <c r="H92" s="13" t="str">
        <f aca="false">IF($M92="","",N(INDEX('DỮ LIỆU'!$J$3:$J$1052,$M92)))</f>
        <v/>
      </c>
      <c r="I92" s="13" t="str">
        <f aca="false">IF($M92="","",N(INDEX('DỮ LIỆU'!$N$3:$N$1052,$M92)))</f>
        <v/>
      </c>
      <c r="J92" s="13" t="str">
        <f aca="false">IF($M92="","",N(INDEX('DỮ LIỆU'!$O$3:$O$1052,$M92)))</f>
        <v/>
      </c>
      <c r="K92" s="13" t="str">
        <f aca="false">IF($M92="","",IF(INDEX('DỮ LIỆU'!$Q$3:$Q$1052,$M92)="","",INDEX('DỮ LIỆU'!$Q$3:$Q$1052,$M92)))</f>
        <v/>
      </c>
      <c r="L92" s="21" t="str">
        <f aca="false">IF($M92="","",IF(INDEX('DỮ LIỆU'!$R$3:$R$1052,$M92)="","",INDEX('DỮ LIỆU'!$R$3:$R$1052,$M92)))</f>
        <v/>
      </c>
      <c r="M92" s="0" t="str">
        <f aca="false">IFERROR(MATCH(87,'DỮ LIỆU'!$V$3:$V$1052,0),"")</f>
        <v/>
      </c>
    </row>
    <row r="93" customFormat="false" ht="15" hidden="false" customHeight="false" outlineLevel="0" collapsed="false">
      <c r="A93" s="21" t="str">
        <f aca="false">IF($M93="","",88)</f>
        <v/>
      </c>
      <c r="B93" s="13" t="str">
        <f aca="false">IF($M93="","",INDEX('DỮ LIỆU'!$A$3:$A$1052,$M93))</f>
        <v/>
      </c>
      <c r="C93" s="41" t="str">
        <f aca="false">IF($M93="","",IF(INDEX('DỮ LIỆU'!$B$3:$B$1052,$M93)="","",INDEX('DỮ LIỆU'!$B$3:$B$1052,$M93)))</f>
        <v/>
      </c>
      <c r="D93" s="21" t="str">
        <f aca="false">IF($M93="","",IF(INDEX('DỮ LIỆU'!$C$3:$C$1052,$M93)="","",INDEX('DỮ LIỆU'!$C$3:$C$1052,$M93)))</f>
        <v/>
      </c>
      <c r="E93" s="21" t="str">
        <f aca="false">IF($M93="","",IF(INDEX('DỮ LIỆU'!$D$3:$D$1052,$M93)="","",INDEX('DỮ LIỆU'!$D$3:$D$1052,$M93)))</f>
        <v/>
      </c>
      <c r="F93" s="21" t="str">
        <f aca="false">IF($M93="","",IF(INDEX('DỮ LIỆU'!$H$3:$H$1052,$M93)="","",INDEX('DỮ LIỆU'!$H$3:$H$1052,$M93)))</f>
        <v/>
      </c>
      <c r="G93" s="13" t="str">
        <f aca="false">IF($M93="","",N(INDEX('DỮ LIỆU'!$I$3:$I$1052,$M93)))</f>
        <v/>
      </c>
      <c r="H93" s="13" t="str">
        <f aca="false">IF($M93="","",N(INDEX('DỮ LIỆU'!$J$3:$J$1052,$M93)))</f>
        <v/>
      </c>
      <c r="I93" s="13" t="str">
        <f aca="false">IF($M93="","",N(INDEX('DỮ LIỆU'!$N$3:$N$1052,$M93)))</f>
        <v/>
      </c>
      <c r="J93" s="13" t="str">
        <f aca="false">IF($M93="","",N(INDEX('DỮ LIỆU'!$O$3:$O$1052,$M93)))</f>
        <v/>
      </c>
      <c r="K93" s="13" t="str">
        <f aca="false">IF($M93="","",IF(INDEX('DỮ LIỆU'!$Q$3:$Q$1052,$M93)="","",INDEX('DỮ LIỆU'!$Q$3:$Q$1052,$M93)))</f>
        <v/>
      </c>
      <c r="L93" s="21" t="str">
        <f aca="false">IF($M93="","",IF(INDEX('DỮ LIỆU'!$R$3:$R$1052,$M93)="","",INDEX('DỮ LIỆU'!$R$3:$R$1052,$M93)))</f>
        <v/>
      </c>
      <c r="M93" s="0" t="str">
        <f aca="false">IFERROR(MATCH(88,'DỮ LIỆU'!$V$3:$V$1052,0),"")</f>
        <v/>
      </c>
    </row>
    <row r="94" customFormat="false" ht="15" hidden="false" customHeight="false" outlineLevel="0" collapsed="false">
      <c r="A94" s="21" t="str">
        <f aca="false">IF($M94="","",89)</f>
        <v/>
      </c>
      <c r="B94" s="13" t="str">
        <f aca="false">IF($M94="","",INDEX('DỮ LIỆU'!$A$3:$A$1052,$M94))</f>
        <v/>
      </c>
      <c r="C94" s="41" t="str">
        <f aca="false">IF($M94="","",IF(INDEX('DỮ LIỆU'!$B$3:$B$1052,$M94)="","",INDEX('DỮ LIỆU'!$B$3:$B$1052,$M94)))</f>
        <v/>
      </c>
      <c r="D94" s="21" t="str">
        <f aca="false">IF($M94="","",IF(INDEX('DỮ LIỆU'!$C$3:$C$1052,$M94)="","",INDEX('DỮ LIỆU'!$C$3:$C$1052,$M94)))</f>
        <v/>
      </c>
      <c r="E94" s="21" t="str">
        <f aca="false">IF($M94="","",IF(INDEX('DỮ LIỆU'!$D$3:$D$1052,$M94)="","",INDEX('DỮ LIỆU'!$D$3:$D$1052,$M94)))</f>
        <v/>
      </c>
      <c r="F94" s="21" t="str">
        <f aca="false">IF($M94="","",IF(INDEX('DỮ LIỆU'!$H$3:$H$1052,$M94)="","",INDEX('DỮ LIỆU'!$H$3:$H$1052,$M94)))</f>
        <v/>
      </c>
      <c r="G94" s="13" t="str">
        <f aca="false">IF($M94="","",N(INDEX('DỮ LIỆU'!$I$3:$I$1052,$M94)))</f>
        <v/>
      </c>
      <c r="H94" s="13" t="str">
        <f aca="false">IF($M94="","",N(INDEX('DỮ LIỆU'!$J$3:$J$1052,$M94)))</f>
        <v/>
      </c>
      <c r="I94" s="13" t="str">
        <f aca="false">IF($M94="","",N(INDEX('DỮ LIỆU'!$N$3:$N$1052,$M94)))</f>
        <v/>
      </c>
      <c r="J94" s="13" t="str">
        <f aca="false">IF($M94="","",N(INDEX('DỮ LIỆU'!$O$3:$O$1052,$M94)))</f>
        <v/>
      </c>
      <c r="K94" s="13" t="str">
        <f aca="false">IF($M94="","",IF(INDEX('DỮ LIỆU'!$Q$3:$Q$1052,$M94)="","",INDEX('DỮ LIỆU'!$Q$3:$Q$1052,$M94)))</f>
        <v/>
      </c>
      <c r="L94" s="21" t="str">
        <f aca="false">IF($M94="","",IF(INDEX('DỮ LIỆU'!$R$3:$R$1052,$M94)="","",INDEX('DỮ LIỆU'!$R$3:$R$1052,$M94)))</f>
        <v/>
      </c>
      <c r="M94" s="0" t="str">
        <f aca="false">IFERROR(MATCH(89,'DỮ LIỆU'!$V$3:$V$1052,0),"")</f>
        <v/>
      </c>
    </row>
    <row r="95" customFormat="false" ht="15" hidden="false" customHeight="false" outlineLevel="0" collapsed="false">
      <c r="A95" s="21" t="str">
        <f aca="false">IF($M95="","",90)</f>
        <v/>
      </c>
      <c r="B95" s="13" t="str">
        <f aca="false">IF($M95="","",INDEX('DỮ LIỆU'!$A$3:$A$1052,$M95))</f>
        <v/>
      </c>
      <c r="C95" s="41" t="str">
        <f aca="false">IF($M95="","",IF(INDEX('DỮ LIỆU'!$B$3:$B$1052,$M95)="","",INDEX('DỮ LIỆU'!$B$3:$B$1052,$M95)))</f>
        <v/>
      </c>
      <c r="D95" s="21" t="str">
        <f aca="false">IF($M95="","",IF(INDEX('DỮ LIỆU'!$C$3:$C$1052,$M95)="","",INDEX('DỮ LIỆU'!$C$3:$C$1052,$M95)))</f>
        <v/>
      </c>
      <c r="E95" s="21" t="str">
        <f aca="false">IF($M95="","",IF(INDEX('DỮ LIỆU'!$D$3:$D$1052,$M95)="","",INDEX('DỮ LIỆU'!$D$3:$D$1052,$M95)))</f>
        <v/>
      </c>
      <c r="F95" s="21" t="str">
        <f aca="false">IF($M95="","",IF(INDEX('DỮ LIỆU'!$H$3:$H$1052,$M95)="","",INDEX('DỮ LIỆU'!$H$3:$H$1052,$M95)))</f>
        <v/>
      </c>
      <c r="G95" s="13" t="str">
        <f aca="false">IF($M95="","",N(INDEX('DỮ LIỆU'!$I$3:$I$1052,$M95)))</f>
        <v/>
      </c>
      <c r="H95" s="13" t="str">
        <f aca="false">IF($M95="","",N(INDEX('DỮ LIỆU'!$J$3:$J$1052,$M95)))</f>
        <v/>
      </c>
      <c r="I95" s="13" t="str">
        <f aca="false">IF($M95="","",N(INDEX('DỮ LIỆU'!$N$3:$N$1052,$M95)))</f>
        <v/>
      </c>
      <c r="J95" s="13" t="str">
        <f aca="false">IF($M95="","",N(INDEX('DỮ LIỆU'!$O$3:$O$1052,$M95)))</f>
        <v/>
      </c>
      <c r="K95" s="13" t="str">
        <f aca="false">IF($M95="","",IF(INDEX('DỮ LIỆU'!$Q$3:$Q$1052,$M95)="","",INDEX('DỮ LIỆU'!$Q$3:$Q$1052,$M95)))</f>
        <v/>
      </c>
      <c r="L95" s="21" t="str">
        <f aca="false">IF($M95="","",IF(INDEX('DỮ LIỆU'!$R$3:$R$1052,$M95)="","",INDEX('DỮ LIỆU'!$R$3:$R$1052,$M95)))</f>
        <v/>
      </c>
      <c r="M95" s="0" t="str">
        <f aca="false">IFERROR(MATCH(90,'DỮ LIỆU'!$V$3:$V$1052,0),"")</f>
        <v/>
      </c>
    </row>
    <row r="96" customFormat="false" ht="15" hidden="false" customHeight="false" outlineLevel="0" collapsed="false">
      <c r="A96" s="21" t="str">
        <f aca="false">IF($M96="","",91)</f>
        <v/>
      </c>
      <c r="B96" s="13" t="str">
        <f aca="false">IF($M96="","",INDEX('DỮ LIỆU'!$A$3:$A$1052,$M96))</f>
        <v/>
      </c>
      <c r="C96" s="41" t="str">
        <f aca="false">IF($M96="","",IF(INDEX('DỮ LIỆU'!$B$3:$B$1052,$M96)="","",INDEX('DỮ LIỆU'!$B$3:$B$1052,$M96)))</f>
        <v/>
      </c>
      <c r="D96" s="21" t="str">
        <f aca="false">IF($M96="","",IF(INDEX('DỮ LIỆU'!$C$3:$C$1052,$M96)="","",INDEX('DỮ LIỆU'!$C$3:$C$1052,$M96)))</f>
        <v/>
      </c>
      <c r="E96" s="21" t="str">
        <f aca="false">IF($M96="","",IF(INDEX('DỮ LIỆU'!$D$3:$D$1052,$M96)="","",INDEX('DỮ LIỆU'!$D$3:$D$1052,$M96)))</f>
        <v/>
      </c>
      <c r="F96" s="21" t="str">
        <f aca="false">IF($M96="","",IF(INDEX('DỮ LIỆU'!$H$3:$H$1052,$M96)="","",INDEX('DỮ LIỆU'!$H$3:$H$1052,$M96)))</f>
        <v/>
      </c>
      <c r="G96" s="13" t="str">
        <f aca="false">IF($M96="","",N(INDEX('DỮ LIỆU'!$I$3:$I$1052,$M96)))</f>
        <v/>
      </c>
      <c r="H96" s="13" t="str">
        <f aca="false">IF($M96="","",N(INDEX('DỮ LIỆU'!$J$3:$J$1052,$M96)))</f>
        <v/>
      </c>
      <c r="I96" s="13" t="str">
        <f aca="false">IF($M96="","",N(INDEX('DỮ LIỆU'!$N$3:$N$1052,$M96)))</f>
        <v/>
      </c>
      <c r="J96" s="13" t="str">
        <f aca="false">IF($M96="","",N(INDEX('DỮ LIỆU'!$O$3:$O$1052,$M96)))</f>
        <v/>
      </c>
      <c r="K96" s="13" t="str">
        <f aca="false">IF($M96="","",IF(INDEX('DỮ LIỆU'!$Q$3:$Q$1052,$M96)="","",INDEX('DỮ LIỆU'!$Q$3:$Q$1052,$M96)))</f>
        <v/>
      </c>
      <c r="L96" s="21" t="str">
        <f aca="false">IF($M96="","",IF(INDEX('DỮ LIỆU'!$R$3:$R$1052,$M96)="","",INDEX('DỮ LIỆU'!$R$3:$R$1052,$M96)))</f>
        <v/>
      </c>
      <c r="M96" s="0" t="str">
        <f aca="false">IFERROR(MATCH(91,'DỮ LIỆU'!$V$3:$V$1052,0),"")</f>
        <v/>
      </c>
    </row>
    <row r="97" customFormat="false" ht="15" hidden="false" customHeight="false" outlineLevel="0" collapsed="false">
      <c r="A97" s="21" t="str">
        <f aca="false">IF($M97="","",92)</f>
        <v/>
      </c>
      <c r="B97" s="13" t="str">
        <f aca="false">IF($M97="","",INDEX('DỮ LIỆU'!$A$3:$A$1052,$M97))</f>
        <v/>
      </c>
      <c r="C97" s="41" t="str">
        <f aca="false">IF($M97="","",IF(INDEX('DỮ LIỆU'!$B$3:$B$1052,$M97)="","",INDEX('DỮ LIỆU'!$B$3:$B$1052,$M97)))</f>
        <v/>
      </c>
      <c r="D97" s="21" t="str">
        <f aca="false">IF($M97="","",IF(INDEX('DỮ LIỆU'!$C$3:$C$1052,$M97)="","",INDEX('DỮ LIỆU'!$C$3:$C$1052,$M97)))</f>
        <v/>
      </c>
      <c r="E97" s="21" t="str">
        <f aca="false">IF($M97="","",IF(INDEX('DỮ LIỆU'!$D$3:$D$1052,$M97)="","",INDEX('DỮ LIỆU'!$D$3:$D$1052,$M97)))</f>
        <v/>
      </c>
      <c r="F97" s="21" t="str">
        <f aca="false">IF($M97="","",IF(INDEX('DỮ LIỆU'!$H$3:$H$1052,$M97)="","",INDEX('DỮ LIỆU'!$H$3:$H$1052,$M97)))</f>
        <v/>
      </c>
      <c r="G97" s="13" t="str">
        <f aca="false">IF($M97="","",N(INDEX('DỮ LIỆU'!$I$3:$I$1052,$M97)))</f>
        <v/>
      </c>
      <c r="H97" s="13" t="str">
        <f aca="false">IF($M97="","",N(INDEX('DỮ LIỆU'!$J$3:$J$1052,$M97)))</f>
        <v/>
      </c>
      <c r="I97" s="13" t="str">
        <f aca="false">IF($M97="","",N(INDEX('DỮ LIỆU'!$N$3:$N$1052,$M97)))</f>
        <v/>
      </c>
      <c r="J97" s="13" t="str">
        <f aca="false">IF($M97="","",N(INDEX('DỮ LIỆU'!$O$3:$O$1052,$M97)))</f>
        <v/>
      </c>
      <c r="K97" s="13" t="str">
        <f aca="false">IF($M97="","",IF(INDEX('DỮ LIỆU'!$Q$3:$Q$1052,$M97)="","",INDEX('DỮ LIỆU'!$Q$3:$Q$1052,$M97)))</f>
        <v/>
      </c>
      <c r="L97" s="21" t="str">
        <f aca="false">IF($M97="","",IF(INDEX('DỮ LIỆU'!$R$3:$R$1052,$M97)="","",INDEX('DỮ LIỆU'!$R$3:$R$1052,$M97)))</f>
        <v/>
      </c>
      <c r="M97" s="0" t="str">
        <f aca="false">IFERROR(MATCH(92,'DỮ LIỆU'!$V$3:$V$1052,0),"")</f>
        <v/>
      </c>
    </row>
    <row r="98" customFormat="false" ht="15" hidden="false" customHeight="false" outlineLevel="0" collapsed="false">
      <c r="A98" s="21" t="str">
        <f aca="false">IF($M98="","",93)</f>
        <v/>
      </c>
      <c r="B98" s="13" t="str">
        <f aca="false">IF($M98="","",INDEX('DỮ LIỆU'!$A$3:$A$1052,$M98))</f>
        <v/>
      </c>
      <c r="C98" s="41" t="str">
        <f aca="false">IF($M98="","",IF(INDEX('DỮ LIỆU'!$B$3:$B$1052,$M98)="","",INDEX('DỮ LIỆU'!$B$3:$B$1052,$M98)))</f>
        <v/>
      </c>
      <c r="D98" s="21" t="str">
        <f aca="false">IF($M98="","",IF(INDEX('DỮ LIỆU'!$C$3:$C$1052,$M98)="","",INDEX('DỮ LIỆU'!$C$3:$C$1052,$M98)))</f>
        <v/>
      </c>
      <c r="E98" s="21" t="str">
        <f aca="false">IF($M98="","",IF(INDEX('DỮ LIỆU'!$D$3:$D$1052,$M98)="","",INDEX('DỮ LIỆU'!$D$3:$D$1052,$M98)))</f>
        <v/>
      </c>
      <c r="F98" s="21" t="str">
        <f aca="false">IF($M98="","",IF(INDEX('DỮ LIỆU'!$H$3:$H$1052,$M98)="","",INDEX('DỮ LIỆU'!$H$3:$H$1052,$M98)))</f>
        <v/>
      </c>
      <c r="G98" s="13" t="str">
        <f aca="false">IF($M98="","",N(INDEX('DỮ LIỆU'!$I$3:$I$1052,$M98)))</f>
        <v/>
      </c>
      <c r="H98" s="13" t="str">
        <f aca="false">IF($M98="","",N(INDEX('DỮ LIỆU'!$J$3:$J$1052,$M98)))</f>
        <v/>
      </c>
      <c r="I98" s="13" t="str">
        <f aca="false">IF($M98="","",N(INDEX('DỮ LIỆU'!$N$3:$N$1052,$M98)))</f>
        <v/>
      </c>
      <c r="J98" s="13" t="str">
        <f aca="false">IF($M98="","",N(INDEX('DỮ LIỆU'!$O$3:$O$1052,$M98)))</f>
        <v/>
      </c>
      <c r="K98" s="13" t="str">
        <f aca="false">IF($M98="","",IF(INDEX('DỮ LIỆU'!$Q$3:$Q$1052,$M98)="","",INDEX('DỮ LIỆU'!$Q$3:$Q$1052,$M98)))</f>
        <v/>
      </c>
      <c r="L98" s="21" t="str">
        <f aca="false">IF($M98="","",IF(INDEX('DỮ LIỆU'!$R$3:$R$1052,$M98)="","",INDEX('DỮ LIỆU'!$R$3:$R$1052,$M98)))</f>
        <v/>
      </c>
      <c r="M98" s="0" t="str">
        <f aca="false">IFERROR(MATCH(93,'DỮ LIỆU'!$V$3:$V$1052,0),"")</f>
        <v/>
      </c>
    </row>
    <row r="99" customFormat="false" ht="15" hidden="false" customHeight="false" outlineLevel="0" collapsed="false">
      <c r="A99" s="21" t="str">
        <f aca="false">IF($M99="","",94)</f>
        <v/>
      </c>
      <c r="B99" s="13" t="str">
        <f aca="false">IF($M99="","",INDEX('DỮ LIỆU'!$A$3:$A$1052,$M99))</f>
        <v/>
      </c>
      <c r="C99" s="41" t="str">
        <f aca="false">IF($M99="","",IF(INDEX('DỮ LIỆU'!$B$3:$B$1052,$M99)="","",INDEX('DỮ LIỆU'!$B$3:$B$1052,$M99)))</f>
        <v/>
      </c>
      <c r="D99" s="21" t="str">
        <f aca="false">IF($M99="","",IF(INDEX('DỮ LIỆU'!$C$3:$C$1052,$M99)="","",INDEX('DỮ LIỆU'!$C$3:$C$1052,$M99)))</f>
        <v/>
      </c>
      <c r="E99" s="21" t="str">
        <f aca="false">IF($M99="","",IF(INDEX('DỮ LIỆU'!$D$3:$D$1052,$M99)="","",INDEX('DỮ LIỆU'!$D$3:$D$1052,$M99)))</f>
        <v/>
      </c>
      <c r="F99" s="21" t="str">
        <f aca="false">IF($M99="","",IF(INDEX('DỮ LIỆU'!$H$3:$H$1052,$M99)="","",INDEX('DỮ LIỆU'!$H$3:$H$1052,$M99)))</f>
        <v/>
      </c>
      <c r="G99" s="13" t="str">
        <f aca="false">IF($M99="","",N(INDEX('DỮ LIỆU'!$I$3:$I$1052,$M99)))</f>
        <v/>
      </c>
      <c r="H99" s="13" t="str">
        <f aca="false">IF($M99="","",N(INDEX('DỮ LIỆU'!$J$3:$J$1052,$M99)))</f>
        <v/>
      </c>
      <c r="I99" s="13" t="str">
        <f aca="false">IF($M99="","",N(INDEX('DỮ LIỆU'!$N$3:$N$1052,$M99)))</f>
        <v/>
      </c>
      <c r="J99" s="13" t="str">
        <f aca="false">IF($M99="","",N(INDEX('DỮ LIỆU'!$O$3:$O$1052,$M99)))</f>
        <v/>
      </c>
      <c r="K99" s="13" t="str">
        <f aca="false">IF($M99="","",IF(INDEX('DỮ LIỆU'!$Q$3:$Q$1052,$M99)="","",INDEX('DỮ LIỆU'!$Q$3:$Q$1052,$M99)))</f>
        <v/>
      </c>
      <c r="L99" s="21" t="str">
        <f aca="false">IF($M99="","",IF(INDEX('DỮ LIỆU'!$R$3:$R$1052,$M99)="","",INDEX('DỮ LIỆU'!$R$3:$R$1052,$M99)))</f>
        <v/>
      </c>
      <c r="M99" s="0" t="str">
        <f aca="false">IFERROR(MATCH(94,'DỮ LIỆU'!$V$3:$V$1052,0),"")</f>
        <v/>
      </c>
    </row>
    <row r="100" customFormat="false" ht="15" hidden="false" customHeight="false" outlineLevel="0" collapsed="false">
      <c r="A100" s="21" t="str">
        <f aca="false">IF($M100="","",95)</f>
        <v/>
      </c>
      <c r="B100" s="13" t="str">
        <f aca="false">IF($M100="","",INDEX('DỮ LIỆU'!$A$3:$A$1052,$M100))</f>
        <v/>
      </c>
      <c r="C100" s="41" t="str">
        <f aca="false">IF($M100="","",IF(INDEX('DỮ LIỆU'!$B$3:$B$1052,$M100)="","",INDEX('DỮ LIỆU'!$B$3:$B$1052,$M100)))</f>
        <v/>
      </c>
      <c r="D100" s="21" t="str">
        <f aca="false">IF($M100="","",IF(INDEX('DỮ LIỆU'!$C$3:$C$1052,$M100)="","",INDEX('DỮ LIỆU'!$C$3:$C$1052,$M100)))</f>
        <v/>
      </c>
      <c r="E100" s="21" t="str">
        <f aca="false">IF($M100="","",IF(INDEX('DỮ LIỆU'!$D$3:$D$1052,$M100)="","",INDEX('DỮ LIỆU'!$D$3:$D$1052,$M100)))</f>
        <v/>
      </c>
      <c r="F100" s="21" t="str">
        <f aca="false">IF($M100="","",IF(INDEX('DỮ LIỆU'!$H$3:$H$1052,$M100)="","",INDEX('DỮ LIỆU'!$H$3:$H$1052,$M100)))</f>
        <v/>
      </c>
      <c r="G100" s="13" t="str">
        <f aca="false">IF($M100="","",N(INDEX('DỮ LIỆU'!$I$3:$I$1052,$M100)))</f>
        <v/>
      </c>
      <c r="H100" s="13" t="str">
        <f aca="false">IF($M100="","",N(INDEX('DỮ LIỆU'!$J$3:$J$1052,$M100)))</f>
        <v/>
      </c>
      <c r="I100" s="13" t="str">
        <f aca="false">IF($M100="","",N(INDEX('DỮ LIỆU'!$N$3:$N$1052,$M100)))</f>
        <v/>
      </c>
      <c r="J100" s="13" t="str">
        <f aca="false">IF($M100="","",N(INDEX('DỮ LIỆU'!$O$3:$O$1052,$M100)))</f>
        <v/>
      </c>
      <c r="K100" s="13" t="str">
        <f aca="false">IF($M100="","",IF(INDEX('DỮ LIỆU'!$Q$3:$Q$1052,$M100)="","",INDEX('DỮ LIỆU'!$Q$3:$Q$1052,$M100)))</f>
        <v/>
      </c>
      <c r="L100" s="21" t="str">
        <f aca="false">IF($M100="","",IF(INDEX('DỮ LIỆU'!$R$3:$R$1052,$M100)="","",INDEX('DỮ LIỆU'!$R$3:$R$1052,$M100)))</f>
        <v/>
      </c>
      <c r="M100" s="0" t="str">
        <f aca="false">IFERROR(MATCH(95,'DỮ LIỆU'!$V$3:$V$1052,0),"")</f>
        <v/>
      </c>
    </row>
    <row r="101" customFormat="false" ht="15" hidden="false" customHeight="false" outlineLevel="0" collapsed="false">
      <c r="A101" s="21" t="str">
        <f aca="false">IF($M101="","",96)</f>
        <v/>
      </c>
      <c r="B101" s="13" t="str">
        <f aca="false">IF($M101="","",INDEX('DỮ LIỆU'!$A$3:$A$1052,$M101))</f>
        <v/>
      </c>
      <c r="C101" s="41" t="str">
        <f aca="false">IF($M101="","",IF(INDEX('DỮ LIỆU'!$B$3:$B$1052,$M101)="","",INDEX('DỮ LIỆU'!$B$3:$B$1052,$M101)))</f>
        <v/>
      </c>
      <c r="D101" s="21" t="str">
        <f aca="false">IF($M101="","",IF(INDEX('DỮ LIỆU'!$C$3:$C$1052,$M101)="","",INDEX('DỮ LIỆU'!$C$3:$C$1052,$M101)))</f>
        <v/>
      </c>
      <c r="E101" s="21" t="str">
        <f aca="false">IF($M101="","",IF(INDEX('DỮ LIỆU'!$D$3:$D$1052,$M101)="","",INDEX('DỮ LIỆU'!$D$3:$D$1052,$M101)))</f>
        <v/>
      </c>
      <c r="F101" s="21" t="str">
        <f aca="false">IF($M101="","",IF(INDEX('DỮ LIỆU'!$H$3:$H$1052,$M101)="","",INDEX('DỮ LIỆU'!$H$3:$H$1052,$M101)))</f>
        <v/>
      </c>
      <c r="G101" s="13" t="str">
        <f aca="false">IF($M101="","",N(INDEX('DỮ LIỆU'!$I$3:$I$1052,$M101)))</f>
        <v/>
      </c>
      <c r="H101" s="13" t="str">
        <f aca="false">IF($M101="","",N(INDEX('DỮ LIỆU'!$J$3:$J$1052,$M101)))</f>
        <v/>
      </c>
      <c r="I101" s="13" t="str">
        <f aca="false">IF($M101="","",N(INDEX('DỮ LIỆU'!$N$3:$N$1052,$M101)))</f>
        <v/>
      </c>
      <c r="J101" s="13" t="str">
        <f aca="false">IF($M101="","",N(INDEX('DỮ LIỆU'!$O$3:$O$1052,$M101)))</f>
        <v/>
      </c>
      <c r="K101" s="13" t="str">
        <f aca="false">IF($M101="","",IF(INDEX('DỮ LIỆU'!$Q$3:$Q$1052,$M101)="","",INDEX('DỮ LIỆU'!$Q$3:$Q$1052,$M101)))</f>
        <v/>
      </c>
      <c r="L101" s="21" t="str">
        <f aca="false">IF($M101="","",IF(INDEX('DỮ LIỆU'!$R$3:$R$1052,$M101)="","",INDEX('DỮ LIỆU'!$R$3:$R$1052,$M101)))</f>
        <v/>
      </c>
      <c r="M101" s="0" t="str">
        <f aca="false">IFERROR(MATCH(96,'DỮ LIỆU'!$V$3:$V$1052,0),"")</f>
        <v/>
      </c>
    </row>
    <row r="102" customFormat="false" ht="15" hidden="false" customHeight="false" outlineLevel="0" collapsed="false">
      <c r="A102" s="21" t="str">
        <f aca="false">IF($M102="","",97)</f>
        <v/>
      </c>
      <c r="B102" s="13" t="str">
        <f aca="false">IF($M102="","",INDEX('DỮ LIỆU'!$A$3:$A$1052,$M102))</f>
        <v/>
      </c>
      <c r="C102" s="41" t="str">
        <f aca="false">IF($M102="","",IF(INDEX('DỮ LIỆU'!$B$3:$B$1052,$M102)="","",INDEX('DỮ LIỆU'!$B$3:$B$1052,$M102)))</f>
        <v/>
      </c>
      <c r="D102" s="21" t="str">
        <f aca="false">IF($M102="","",IF(INDEX('DỮ LIỆU'!$C$3:$C$1052,$M102)="","",INDEX('DỮ LIỆU'!$C$3:$C$1052,$M102)))</f>
        <v/>
      </c>
      <c r="E102" s="21" t="str">
        <f aca="false">IF($M102="","",IF(INDEX('DỮ LIỆU'!$D$3:$D$1052,$M102)="","",INDEX('DỮ LIỆU'!$D$3:$D$1052,$M102)))</f>
        <v/>
      </c>
      <c r="F102" s="21" t="str">
        <f aca="false">IF($M102="","",IF(INDEX('DỮ LIỆU'!$H$3:$H$1052,$M102)="","",INDEX('DỮ LIỆU'!$H$3:$H$1052,$M102)))</f>
        <v/>
      </c>
      <c r="G102" s="13" t="str">
        <f aca="false">IF($M102="","",N(INDEX('DỮ LIỆU'!$I$3:$I$1052,$M102)))</f>
        <v/>
      </c>
      <c r="H102" s="13" t="str">
        <f aca="false">IF($M102="","",N(INDEX('DỮ LIỆU'!$J$3:$J$1052,$M102)))</f>
        <v/>
      </c>
      <c r="I102" s="13" t="str">
        <f aca="false">IF($M102="","",N(INDEX('DỮ LIỆU'!$N$3:$N$1052,$M102)))</f>
        <v/>
      </c>
      <c r="J102" s="13" t="str">
        <f aca="false">IF($M102="","",N(INDEX('DỮ LIỆU'!$O$3:$O$1052,$M102)))</f>
        <v/>
      </c>
      <c r="K102" s="13" t="str">
        <f aca="false">IF($M102="","",IF(INDEX('DỮ LIỆU'!$Q$3:$Q$1052,$M102)="","",INDEX('DỮ LIỆU'!$Q$3:$Q$1052,$M102)))</f>
        <v/>
      </c>
      <c r="L102" s="21" t="str">
        <f aca="false">IF($M102="","",IF(INDEX('DỮ LIỆU'!$R$3:$R$1052,$M102)="","",INDEX('DỮ LIỆU'!$R$3:$R$1052,$M102)))</f>
        <v/>
      </c>
      <c r="M102" s="0" t="str">
        <f aca="false">IFERROR(MATCH(97,'DỮ LIỆU'!$V$3:$V$1052,0),"")</f>
        <v/>
      </c>
    </row>
    <row r="103" customFormat="false" ht="15" hidden="false" customHeight="false" outlineLevel="0" collapsed="false">
      <c r="A103" s="21" t="str">
        <f aca="false">IF($M103="","",98)</f>
        <v/>
      </c>
      <c r="B103" s="13" t="str">
        <f aca="false">IF($M103="","",INDEX('DỮ LIỆU'!$A$3:$A$1052,$M103))</f>
        <v/>
      </c>
      <c r="C103" s="41" t="str">
        <f aca="false">IF($M103="","",IF(INDEX('DỮ LIỆU'!$B$3:$B$1052,$M103)="","",INDEX('DỮ LIỆU'!$B$3:$B$1052,$M103)))</f>
        <v/>
      </c>
      <c r="D103" s="21" t="str">
        <f aca="false">IF($M103="","",IF(INDEX('DỮ LIỆU'!$C$3:$C$1052,$M103)="","",INDEX('DỮ LIỆU'!$C$3:$C$1052,$M103)))</f>
        <v/>
      </c>
      <c r="E103" s="21" t="str">
        <f aca="false">IF($M103="","",IF(INDEX('DỮ LIỆU'!$D$3:$D$1052,$M103)="","",INDEX('DỮ LIỆU'!$D$3:$D$1052,$M103)))</f>
        <v/>
      </c>
      <c r="F103" s="21" t="str">
        <f aca="false">IF($M103="","",IF(INDEX('DỮ LIỆU'!$H$3:$H$1052,$M103)="","",INDEX('DỮ LIỆU'!$H$3:$H$1052,$M103)))</f>
        <v/>
      </c>
      <c r="G103" s="13" t="str">
        <f aca="false">IF($M103="","",N(INDEX('DỮ LIỆU'!$I$3:$I$1052,$M103)))</f>
        <v/>
      </c>
      <c r="H103" s="13" t="str">
        <f aca="false">IF($M103="","",N(INDEX('DỮ LIỆU'!$J$3:$J$1052,$M103)))</f>
        <v/>
      </c>
      <c r="I103" s="13" t="str">
        <f aca="false">IF($M103="","",N(INDEX('DỮ LIỆU'!$N$3:$N$1052,$M103)))</f>
        <v/>
      </c>
      <c r="J103" s="13" t="str">
        <f aca="false">IF($M103="","",N(INDEX('DỮ LIỆU'!$O$3:$O$1052,$M103)))</f>
        <v/>
      </c>
      <c r="K103" s="13" t="str">
        <f aca="false">IF($M103="","",IF(INDEX('DỮ LIỆU'!$Q$3:$Q$1052,$M103)="","",INDEX('DỮ LIỆU'!$Q$3:$Q$1052,$M103)))</f>
        <v/>
      </c>
      <c r="L103" s="21" t="str">
        <f aca="false">IF($M103="","",IF(INDEX('DỮ LIỆU'!$R$3:$R$1052,$M103)="","",INDEX('DỮ LIỆU'!$R$3:$R$1052,$M103)))</f>
        <v/>
      </c>
      <c r="M103" s="0" t="str">
        <f aca="false">IFERROR(MATCH(98,'DỮ LIỆU'!$V$3:$V$1052,0),"")</f>
        <v/>
      </c>
    </row>
    <row r="104" customFormat="false" ht="15" hidden="false" customHeight="false" outlineLevel="0" collapsed="false">
      <c r="A104" s="21" t="str">
        <f aca="false">IF($M104="","",99)</f>
        <v/>
      </c>
      <c r="B104" s="13" t="str">
        <f aca="false">IF($M104="","",INDEX('DỮ LIỆU'!$A$3:$A$1052,$M104))</f>
        <v/>
      </c>
      <c r="C104" s="41" t="str">
        <f aca="false">IF($M104="","",IF(INDEX('DỮ LIỆU'!$B$3:$B$1052,$M104)="","",INDEX('DỮ LIỆU'!$B$3:$B$1052,$M104)))</f>
        <v/>
      </c>
      <c r="D104" s="21" t="str">
        <f aca="false">IF($M104="","",IF(INDEX('DỮ LIỆU'!$C$3:$C$1052,$M104)="","",INDEX('DỮ LIỆU'!$C$3:$C$1052,$M104)))</f>
        <v/>
      </c>
      <c r="E104" s="21" t="str">
        <f aca="false">IF($M104="","",IF(INDEX('DỮ LIỆU'!$D$3:$D$1052,$M104)="","",INDEX('DỮ LIỆU'!$D$3:$D$1052,$M104)))</f>
        <v/>
      </c>
      <c r="F104" s="21" t="str">
        <f aca="false">IF($M104="","",IF(INDEX('DỮ LIỆU'!$H$3:$H$1052,$M104)="","",INDEX('DỮ LIỆU'!$H$3:$H$1052,$M104)))</f>
        <v/>
      </c>
      <c r="G104" s="13" t="str">
        <f aca="false">IF($M104="","",N(INDEX('DỮ LIỆU'!$I$3:$I$1052,$M104)))</f>
        <v/>
      </c>
      <c r="H104" s="13" t="str">
        <f aca="false">IF($M104="","",N(INDEX('DỮ LIỆU'!$J$3:$J$1052,$M104)))</f>
        <v/>
      </c>
      <c r="I104" s="13" t="str">
        <f aca="false">IF($M104="","",N(INDEX('DỮ LIỆU'!$N$3:$N$1052,$M104)))</f>
        <v/>
      </c>
      <c r="J104" s="13" t="str">
        <f aca="false">IF($M104="","",N(INDEX('DỮ LIỆU'!$O$3:$O$1052,$M104)))</f>
        <v/>
      </c>
      <c r="K104" s="13" t="str">
        <f aca="false">IF($M104="","",IF(INDEX('DỮ LIỆU'!$Q$3:$Q$1052,$M104)="","",INDEX('DỮ LIỆU'!$Q$3:$Q$1052,$M104)))</f>
        <v/>
      </c>
      <c r="L104" s="21" t="str">
        <f aca="false">IF($M104="","",IF(INDEX('DỮ LIỆU'!$R$3:$R$1052,$M104)="","",INDEX('DỮ LIỆU'!$R$3:$R$1052,$M104)))</f>
        <v/>
      </c>
      <c r="M104" s="0" t="str">
        <f aca="false">IFERROR(MATCH(99,'DỮ LIỆU'!$V$3:$V$1052,0),"")</f>
        <v/>
      </c>
    </row>
    <row r="105" customFormat="false" ht="15" hidden="false" customHeight="false" outlineLevel="0" collapsed="false">
      <c r="A105" s="21" t="str">
        <f aca="false">IF($M105="","",100)</f>
        <v/>
      </c>
      <c r="B105" s="13" t="str">
        <f aca="false">IF($M105="","",INDEX('DỮ LIỆU'!$A$3:$A$1052,$M105))</f>
        <v/>
      </c>
      <c r="C105" s="41" t="str">
        <f aca="false">IF($M105="","",IF(INDEX('DỮ LIỆU'!$B$3:$B$1052,$M105)="","",INDEX('DỮ LIỆU'!$B$3:$B$1052,$M105)))</f>
        <v/>
      </c>
      <c r="D105" s="21" t="str">
        <f aca="false">IF($M105="","",IF(INDEX('DỮ LIỆU'!$C$3:$C$1052,$M105)="","",INDEX('DỮ LIỆU'!$C$3:$C$1052,$M105)))</f>
        <v/>
      </c>
      <c r="E105" s="21" t="str">
        <f aca="false">IF($M105="","",IF(INDEX('DỮ LIỆU'!$D$3:$D$1052,$M105)="","",INDEX('DỮ LIỆU'!$D$3:$D$1052,$M105)))</f>
        <v/>
      </c>
      <c r="F105" s="21" t="str">
        <f aca="false">IF($M105="","",IF(INDEX('DỮ LIỆU'!$H$3:$H$1052,$M105)="","",INDEX('DỮ LIỆU'!$H$3:$H$1052,$M105)))</f>
        <v/>
      </c>
      <c r="G105" s="13" t="str">
        <f aca="false">IF($M105="","",N(INDEX('DỮ LIỆU'!$I$3:$I$1052,$M105)))</f>
        <v/>
      </c>
      <c r="H105" s="13" t="str">
        <f aca="false">IF($M105="","",N(INDEX('DỮ LIỆU'!$J$3:$J$1052,$M105)))</f>
        <v/>
      </c>
      <c r="I105" s="13" t="str">
        <f aca="false">IF($M105="","",N(INDEX('DỮ LIỆU'!$N$3:$N$1052,$M105)))</f>
        <v/>
      </c>
      <c r="J105" s="13" t="str">
        <f aca="false">IF($M105="","",N(INDEX('DỮ LIỆU'!$O$3:$O$1052,$M105)))</f>
        <v/>
      </c>
      <c r="K105" s="13" t="str">
        <f aca="false">IF($M105="","",IF(INDEX('DỮ LIỆU'!$Q$3:$Q$1052,$M105)="","",INDEX('DỮ LIỆU'!$Q$3:$Q$1052,$M105)))</f>
        <v/>
      </c>
      <c r="L105" s="21" t="str">
        <f aca="false">IF($M105="","",IF(INDEX('DỮ LIỆU'!$R$3:$R$1052,$M105)="","",INDEX('DỮ LIỆU'!$R$3:$R$1052,$M105)))</f>
        <v/>
      </c>
      <c r="M105" s="0" t="str">
        <f aca="false">IFERROR(MATCH(100,'DỮ LIỆU'!$V$3:$V$1052,0),"")</f>
        <v/>
      </c>
    </row>
    <row r="106" customFormat="false" ht="15" hidden="false" customHeight="false" outlineLevel="0" collapsed="false">
      <c r="A106" s="21" t="str">
        <f aca="false">IF($M106="","",101)</f>
        <v/>
      </c>
      <c r="B106" s="13" t="str">
        <f aca="false">IF($M106="","",INDEX('DỮ LIỆU'!$A$3:$A$1052,$M106))</f>
        <v/>
      </c>
      <c r="C106" s="41" t="str">
        <f aca="false">IF($M106="","",IF(INDEX('DỮ LIỆU'!$B$3:$B$1052,$M106)="","",INDEX('DỮ LIỆU'!$B$3:$B$1052,$M106)))</f>
        <v/>
      </c>
      <c r="D106" s="21" t="str">
        <f aca="false">IF($M106="","",IF(INDEX('DỮ LIỆU'!$C$3:$C$1052,$M106)="","",INDEX('DỮ LIỆU'!$C$3:$C$1052,$M106)))</f>
        <v/>
      </c>
      <c r="E106" s="21" t="str">
        <f aca="false">IF($M106="","",IF(INDEX('DỮ LIỆU'!$D$3:$D$1052,$M106)="","",INDEX('DỮ LIỆU'!$D$3:$D$1052,$M106)))</f>
        <v/>
      </c>
      <c r="F106" s="21" t="str">
        <f aca="false">IF($M106="","",IF(INDEX('DỮ LIỆU'!$H$3:$H$1052,$M106)="","",INDEX('DỮ LIỆU'!$H$3:$H$1052,$M106)))</f>
        <v/>
      </c>
      <c r="G106" s="13" t="str">
        <f aca="false">IF($M106="","",N(INDEX('DỮ LIỆU'!$I$3:$I$1052,$M106)))</f>
        <v/>
      </c>
      <c r="H106" s="13" t="str">
        <f aca="false">IF($M106="","",N(INDEX('DỮ LIỆU'!$J$3:$J$1052,$M106)))</f>
        <v/>
      </c>
      <c r="I106" s="13" t="str">
        <f aca="false">IF($M106="","",N(INDEX('DỮ LIỆU'!$N$3:$N$1052,$M106)))</f>
        <v/>
      </c>
      <c r="J106" s="13" t="str">
        <f aca="false">IF($M106="","",N(INDEX('DỮ LIỆU'!$O$3:$O$1052,$M106)))</f>
        <v/>
      </c>
      <c r="K106" s="13" t="str">
        <f aca="false">IF($M106="","",IF(INDEX('DỮ LIỆU'!$Q$3:$Q$1052,$M106)="","",INDEX('DỮ LIỆU'!$Q$3:$Q$1052,$M106)))</f>
        <v/>
      </c>
      <c r="L106" s="21" t="str">
        <f aca="false">IF($M106="","",IF(INDEX('DỮ LIỆU'!$R$3:$R$1052,$M106)="","",INDEX('DỮ LIỆU'!$R$3:$R$1052,$M106)))</f>
        <v/>
      </c>
      <c r="M106" s="0" t="str">
        <f aca="false">IFERROR(MATCH(101,'DỮ LIỆU'!$V$3:$V$1052,0),"")</f>
        <v/>
      </c>
    </row>
    <row r="107" customFormat="false" ht="15" hidden="false" customHeight="false" outlineLevel="0" collapsed="false">
      <c r="A107" s="21" t="str">
        <f aca="false">IF($M107="","",102)</f>
        <v/>
      </c>
      <c r="B107" s="13" t="str">
        <f aca="false">IF($M107="","",INDEX('DỮ LIỆU'!$A$3:$A$1052,$M107))</f>
        <v/>
      </c>
      <c r="C107" s="41" t="str">
        <f aca="false">IF($M107="","",IF(INDEX('DỮ LIỆU'!$B$3:$B$1052,$M107)="","",INDEX('DỮ LIỆU'!$B$3:$B$1052,$M107)))</f>
        <v/>
      </c>
      <c r="D107" s="21" t="str">
        <f aca="false">IF($M107="","",IF(INDEX('DỮ LIỆU'!$C$3:$C$1052,$M107)="","",INDEX('DỮ LIỆU'!$C$3:$C$1052,$M107)))</f>
        <v/>
      </c>
      <c r="E107" s="21" t="str">
        <f aca="false">IF($M107="","",IF(INDEX('DỮ LIỆU'!$D$3:$D$1052,$M107)="","",INDEX('DỮ LIỆU'!$D$3:$D$1052,$M107)))</f>
        <v/>
      </c>
      <c r="F107" s="21" t="str">
        <f aca="false">IF($M107="","",IF(INDEX('DỮ LIỆU'!$H$3:$H$1052,$M107)="","",INDEX('DỮ LIỆU'!$H$3:$H$1052,$M107)))</f>
        <v/>
      </c>
      <c r="G107" s="13" t="str">
        <f aca="false">IF($M107="","",N(INDEX('DỮ LIỆU'!$I$3:$I$1052,$M107)))</f>
        <v/>
      </c>
      <c r="H107" s="13" t="str">
        <f aca="false">IF($M107="","",N(INDEX('DỮ LIỆU'!$J$3:$J$1052,$M107)))</f>
        <v/>
      </c>
      <c r="I107" s="13" t="str">
        <f aca="false">IF($M107="","",N(INDEX('DỮ LIỆU'!$N$3:$N$1052,$M107)))</f>
        <v/>
      </c>
      <c r="J107" s="13" t="str">
        <f aca="false">IF($M107="","",N(INDEX('DỮ LIỆU'!$O$3:$O$1052,$M107)))</f>
        <v/>
      </c>
      <c r="K107" s="13" t="str">
        <f aca="false">IF($M107="","",IF(INDEX('DỮ LIỆU'!$Q$3:$Q$1052,$M107)="","",INDEX('DỮ LIỆU'!$Q$3:$Q$1052,$M107)))</f>
        <v/>
      </c>
      <c r="L107" s="21" t="str">
        <f aca="false">IF($M107="","",IF(INDEX('DỮ LIỆU'!$R$3:$R$1052,$M107)="","",INDEX('DỮ LIỆU'!$R$3:$R$1052,$M107)))</f>
        <v/>
      </c>
      <c r="M107" s="0" t="str">
        <f aca="false">IFERROR(MATCH(102,'DỮ LIỆU'!$V$3:$V$1052,0),"")</f>
        <v/>
      </c>
    </row>
    <row r="108" customFormat="false" ht="15" hidden="false" customHeight="false" outlineLevel="0" collapsed="false">
      <c r="A108" s="21" t="str">
        <f aca="false">IF($M108="","",103)</f>
        <v/>
      </c>
      <c r="B108" s="13" t="str">
        <f aca="false">IF($M108="","",INDEX('DỮ LIỆU'!$A$3:$A$1052,$M108))</f>
        <v/>
      </c>
      <c r="C108" s="41" t="str">
        <f aca="false">IF($M108="","",IF(INDEX('DỮ LIỆU'!$B$3:$B$1052,$M108)="","",INDEX('DỮ LIỆU'!$B$3:$B$1052,$M108)))</f>
        <v/>
      </c>
      <c r="D108" s="21" t="str">
        <f aca="false">IF($M108="","",IF(INDEX('DỮ LIỆU'!$C$3:$C$1052,$M108)="","",INDEX('DỮ LIỆU'!$C$3:$C$1052,$M108)))</f>
        <v/>
      </c>
      <c r="E108" s="21" t="str">
        <f aca="false">IF($M108="","",IF(INDEX('DỮ LIỆU'!$D$3:$D$1052,$M108)="","",INDEX('DỮ LIỆU'!$D$3:$D$1052,$M108)))</f>
        <v/>
      </c>
      <c r="F108" s="21" t="str">
        <f aca="false">IF($M108="","",IF(INDEX('DỮ LIỆU'!$H$3:$H$1052,$M108)="","",INDEX('DỮ LIỆU'!$H$3:$H$1052,$M108)))</f>
        <v/>
      </c>
      <c r="G108" s="13" t="str">
        <f aca="false">IF($M108="","",N(INDEX('DỮ LIỆU'!$I$3:$I$1052,$M108)))</f>
        <v/>
      </c>
      <c r="H108" s="13" t="str">
        <f aca="false">IF($M108="","",N(INDEX('DỮ LIỆU'!$J$3:$J$1052,$M108)))</f>
        <v/>
      </c>
      <c r="I108" s="13" t="str">
        <f aca="false">IF($M108="","",N(INDEX('DỮ LIỆU'!$N$3:$N$1052,$M108)))</f>
        <v/>
      </c>
      <c r="J108" s="13" t="str">
        <f aca="false">IF($M108="","",N(INDEX('DỮ LIỆU'!$O$3:$O$1052,$M108)))</f>
        <v/>
      </c>
      <c r="K108" s="13" t="str">
        <f aca="false">IF($M108="","",IF(INDEX('DỮ LIỆU'!$Q$3:$Q$1052,$M108)="","",INDEX('DỮ LIỆU'!$Q$3:$Q$1052,$M108)))</f>
        <v/>
      </c>
      <c r="L108" s="21" t="str">
        <f aca="false">IF($M108="","",IF(INDEX('DỮ LIỆU'!$R$3:$R$1052,$M108)="","",INDEX('DỮ LIỆU'!$R$3:$R$1052,$M108)))</f>
        <v/>
      </c>
      <c r="M108" s="0" t="str">
        <f aca="false">IFERROR(MATCH(103,'DỮ LIỆU'!$V$3:$V$1052,0),"")</f>
        <v/>
      </c>
    </row>
    <row r="109" customFormat="false" ht="15" hidden="false" customHeight="false" outlineLevel="0" collapsed="false">
      <c r="A109" s="21" t="str">
        <f aca="false">IF($M109="","",104)</f>
        <v/>
      </c>
      <c r="B109" s="13" t="str">
        <f aca="false">IF($M109="","",INDEX('DỮ LIỆU'!$A$3:$A$1052,$M109))</f>
        <v/>
      </c>
      <c r="C109" s="41" t="str">
        <f aca="false">IF($M109="","",IF(INDEX('DỮ LIỆU'!$B$3:$B$1052,$M109)="","",INDEX('DỮ LIỆU'!$B$3:$B$1052,$M109)))</f>
        <v/>
      </c>
      <c r="D109" s="21" t="str">
        <f aca="false">IF($M109="","",IF(INDEX('DỮ LIỆU'!$C$3:$C$1052,$M109)="","",INDEX('DỮ LIỆU'!$C$3:$C$1052,$M109)))</f>
        <v/>
      </c>
      <c r="E109" s="21" t="str">
        <f aca="false">IF($M109="","",IF(INDEX('DỮ LIỆU'!$D$3:$D$1052,$M109)="","",INDEX('DỮ LIỆU'!$D$3:$D$1052,$M109)))</f>
        <v/>
      </c>
      <c r="F109" s="21" t="str">
        <f aca="false">IF($M109="","",IF(INDEX('DỮ LIỆU'!$H$3:$H$1052,$M109)="","",INDEX('DỮ LIỆU'!$H$3:$H$1052,$M109)))</f>
        <v/>
      </c>
      <c r="G109" s="13" t="str">
        <f aca="false">IF($M109="","",N(INDEX('DỮ LIỆU'!$I$3:$I$1052,$M109)))</f>
        <v/>
      </c>
      <c r="H109" s="13" t="str">
        <f aca="false">IF($M109="","",N(INDEX('DỮ LIỆU'!$J$3:$J$1052,$M109)))</f>
        <v/>
      </c>
      <c r="I109" s="13" t="str">
        <f aca="false">IF($M109="","",N(INDEX('DỮ LIỆU'!$N$3:$N$1052,$M109)))</f>
        <v/>
      </c>
      <c r="J109" s="13" t="str">
        <f aca="false">IF($M109="","",N(INDEX('DỮ LIỆU'!$O$3:$O$1052,$M109)))</f>
        <v/>
      </c>
      <c r="K109" s="13" t="str">
        <f aca="false">IF($M109="","",IF(INDEX('DỮ LIỆU'!$Q$3:$Q$1052,$M109)="","",INDEX('DỮ LIỆU'!$Q$3:$Q$1052,$M109)))</f>
        <v/>
      </c>
      <c r="L109" s="21" t="str">
        <f aca="false">IF($M109="","",IF(INDEX('DỮ LIỆU'!$R$3:$R$1052,$M109)="","",INDEX('DỮ LIỆU'!$R$3:$R$1052,$M109)))</f>
        <v/>
      </c>
      <c r="M109" s="0" t="str">
        <f aca="false">IFERROR(MATCH(104,'DỮ LIỆU'!$V$3:$V$1052,0),"")</f>
        <v/>
      </c>
    </row>
    <row r="110" customFormat="false" ht="15" hidden="false" customHeight="false" outlineLevel="0" collapsed="false">
      <c r="A110" s="21" t="str">
        <f aca="false">IF($M110="","",105)</f>
        <v/>
      </c>
      <c r="B110" s="13" t="str">
        <f aca="false">IF($M110="","",INDEX('DỮ LIỆU'!$A$3:$A$1052,$M110))</f>
        <v/>
      </c>
      <c r="C110" s="41" t="str">
        <f aca="false">IF($M110="","",IF(INDEX('DỮ LIỆU'!$B$3:$B$1052,$M110)="","",INDEX('DỮ LIỆU'!$B$3:$B$1052,$M110)))</f>
        <v/>
      </c>
      <c r="D110" s="21" t="str">
        <f aca="false">IF($M110="","",IF(INDEX('DỮ LIỆU'!$C$3:$C$1052,$M110)="","",INDEX('DỮ LIỆU'!$C$3:$C$1052,$M110)))</f>
        <v/>
      </c>
      <c r="E110" s="21" t="str">
        <f aca="false">IF($M110="","",IF(INDEX('DỮ LIỆU'!$D$3:$D$1052,$M110)="","",INDEX('DỮ LIỆU'!$D$3:$D$1052,$M110)))</f>
        <v/>
      </c>
      <c r="F110" s="21" t="str">
        <f aca="false">IF($M110="","",IF(INDEX('DỮ LIỆU'!$H$3:$H$1052,$M110)="","",INDEX('DỮ LIỆU'!$H$3:$H$1052,$M110)))</f>
        <v/>
      </c>
      <c r="G110" s="13" t="str">
        <f aca="false">IF($M110="","",N(INDEX('DỮ LIỆU'!$I$3:$I$1052,$M110)))</f>
        <v/>
      </c>
      <c r="H110" s="13" t="str">
        <f aca="false">IF($M110="","",N(INDEX('DỮ LIỆU'!$J$3:$J$1052,$M110)))</f>
        <v/>
      </c>
      <c r="I110" s="13" t="str">
        <f aca="false">IF($M110="","",N(INDEX('DỮ LIỆU'!$N$3:$N$1052,$M110)))</f>
        <v/>
      </c>
      <c r="J110" s="13" t="str">
        <f aca="false">IF($M110="","",N(INDEX('DỮ LIỆU'!$O$3:$O$1052,$M110)))</f>
        <v/>
      </c>
      <c r="K110" s="13" t="str">
        <f aca="false">IF($M110="","",IF(INDEX('DỮ LIỆU'!$Q$3:$Q$1052,$M110)="","",INDEX('DỮ LIỆU'!$Q$3:$Q$1052,$M110)))</f>
        <v/>
      </c>
      <c r="L110" s="21" t="str">
        <f aca="false">IF($M110="","",IF(INDEX('DỮ LIỆU'!$R$3:$R$1052,$M110)="","",INDEX('DỮ LIỆU'!$R$3:$R$1052,$M110)))</f>
        <v/>
      </c>
      <c r="M110" s="0" t="str">
        <f aca="false">IFERROR(MATCH(105,'DỮ LIỆU'!$V$3:$V$1052,0),"")</f>
        <v/>
      </c>
    </row>
    <row r="111" customFormat="false" ht="15" hidden="false" customHeight="false" outlineLevel="0" collapsed="false">
      <c r="A111" s="21" t="str">
        <f aca="false">IF($M111="","",106)</f>
        <v/>
      </c>
      <c r="B111" s="13" t="str">
        <f aca="false">IF($M111="","",INDEX('DỮ LIỆU'!$A$3:$A$1052,$M111))</f>
        <v/>
      </c>
      <c r="C111" s="41" t="str">
        <f aca="false">IF($M111="","",IF(INDEX('DỮ LIỆU'!$B$3:$B$1052,$M111)="","",INDEX('DỮ LIỆU'!$B$3:$B$1052,$M111)))</f>
        <v/>
      </c>
      <c r="D111" s="21" t="str">
        <f aca="false">IF($M111="","",IF(INDEX('DỮ LIỆU'!$C$3:$C$1052,$M111)="","",INDEX('DỮ LIỆU'!$C$3:$C$1052,$M111)))</f>
        <v/>
      </c>
      <c r="E111" s="21" t="str">
        <f aca="false">IF($M111="","",IF(INDEX('DỮ LIỆU'!$D$3:$D$1052,$M111)="","",INDEX('DỮ LIỆU'!$D$3:$D$1052,$M111)))</f>
        <v/>
      </c>
      <c r="F111" s="21" t="str">
        <f aca="false">IF($M111="","",IF(INDEX('DỮ LIỆU'!$H$3:$H$1052,$M111)="","",INDEX('DỮ LIỆU'!$H$3:$H$1052,$M111)))</f>
        <v/>
      </c>
      <c r="G111" s="13" t="str">
        <f aca="false">IF($M111="","",N(INDEX('DỮ LIỆU'!$I$3:$I$1052,$M111)))</f>
        <v/>
      </c>
      <c r="H111" s="13" t="str">
        <f aca="false">IF($M111="","",N(INDEX('DỮ LIỆU'!$J$3:$J$1052,$M111)))</f>
        <v/>
      </c>
      <c r="I111" s="13" t="str">
        <f aca="false">IF($M111="","",N(INDEX('DỮ LIỆU'!$N$3:$N$1052,$M111)))</f>
        <v/>
      </c>
      <c r="J111" s="13" t="str">
        <f aca="false">IF($M111="","",N(INDEX('DỮ LIỆU'!$O$3:$O$1052,$M111)))</f>
        <v/>
      </c>
      <c r="K111" s="13" t="str">
        <f aca="false">IF($M111="","",IF(INDEX('DỮ LIỆU'!$Q$3:$Q$1052,$M111)="","",INDEX('DỮ LIỆU'!$Q$3:$Q$1052,$M111)))</f>
        <v/>
      </c>
      <c r="L111" s="21" t="str">
        <f aca="false">IF($M111="","",IF(INDEX('DỮ LIỆU'!$R$3:$R$1052,$M111)="","",INDEX('DỮ LIỆU'!$R$3:$R$1052,$M111)))</f>
        <v/>
      </c>
      <c r="M111" s="0" t="str">
        <f aca="false">IFERROR(MATCH(106,'DỮ LIỆU'!$V$3:$V$1052,0),"")</f>
        <v/>
      </c>
    </row>
    <row r="112" customFormat="false" ht="15" hidden="false" customHeight="false" outlineLevel="0" collapsed="false">
      <c r="A112" s="21" t="str">
        <f aca="false">IF($M112="","",107)</f>
        <v/>
      </c>
      <c r="B112" s="13" t="str">
        <f aca="false">IF($M112="","",INDEX('DỮ LIỆU'!$A$3:$A$1052,$M112))</f>
        <v/>
      </c>
      <c r="C112" s="41" t="str">
        <f aca="false">IF($M112="","",IF(INDEX('DỮ LIỆU'!$B$3:$B$1052,$M112)="","",INDEX('DỮ LIỆU'!$B$3:$B$1052,$M112)))</f>
        <v/>
      </c>
      <c r="D112" s="21" t="str">
        <f aca="false">IF($M112="","",IF(INDEX('DỮ LIỆU'!$C$3:$C$1052,$M112)="","",INDEX('DỮ LIỆU'!$C$3:$C$1052,$M112)))</f>
        <v/>
      </c>
      <c r="E112" s="21" t="str">
        <f aca="false">IF($M112="","",IF(INDEX('DỮ LIỆU'!$D$3:$D$1052,$M112)="","",INDEX('DỮ LIỆU'!$D$3:$D$1052,$M112)))</f>
        <v/>
      </c>
      <c r="F112" s="21" t="str">
        <f aca="false">IF($M112="","",IF(INDEX('DỮ LIỆU'!$H$3:$H$1052,$M112)="","",INDEX('DỮ LIỆU'!$H$3:$H$1052,$M112)))</f>
        <v/>
      </c>
      <c r="G112" s="13" t="str">
        <f aca="false">IF($M112="","",N(INDEX('DỮ LIỆU'!$I$3:$I$1052,$M112)))</f>
        <v/>
      </c>
      <c r="H112" s="13" t="str">
        <f aca="false">IF($M112="","",N(INDEX('DỮ LIỆU'!$J$3:$J$1052,$M112)))</f>
        <v/>
      </c>
      <c r="I112" s="13" t="str">
        <f aca="false">IF($M112="","",N(INDEX('DỮ LIỆU'!$N$3:$N$1052,$M112)))</f>
        <v/>
      </c>
      <c r="J112" s="13" t="str">
        <f aca="false">IF($M112="","",N(INDEX('DỮ LIỆU'!$O$3:$O$1052,$M112)))</f>
        <v/>
      </c>
      <c r="K112" s="13" t="str">
        <f aca="false">IF($M112="","",IF(INDEX('DỮ LIỆU'!$Q$3:$Q$1052,$M112)="","",INDEX('DỮ LIỆU'!$Q$3:$Q$1052,$M112)))</f>
        <v/>
      </c>
      <c r="L112" s="21" t="str">
        <f aca="false">IF($M112="","",IF(INDEX('DỮ LIỆU'!$R$3:$R$1052,$M112)="","",INDEX('DỮ LIỆU'!$R$3:$R$1052,$M112)))</f>
        <v/>
      </c>
      <c r="M112" s="0" t="str">
        <f aca="false">IFERROR(MATCH(107,'DỮ LIỆU'!$V$3:$V$1052,0),"")</f>
        <v/>
      </c>
    </row>
    <row r="113" customFormat="false" ht="15" hidden="false" customHeight="false" outlineLevel="0" collapsed="false">
      <c r="A113" s="21" t="str">
        <f aca="false">IF($M113="","",108)</f>
        <v/>
      </c>
      <c r="B113" s="13" t="str">
        <f aca="false">IF($M113="","",INDEX('DỮ LIỆU'!$A$3:$A$1052,$M113))</f>
        <v/>
      </c>
      <c r="C113" s="41" t="str">
        <f aca="false">IF($M113="","",IF(INDEX('DỮ LIỆU'!$B$3:$B$1052,$M113)="","",INDEX('DỮ LIỆU'!$B$3:$B$1052,$M113)))</f>
        <v/>
      </c>
      <c r="D113" s="21" t="str">
        <f aca="false">IF($M113="","",IF(INDEX('DỮ LIỆU'!$C$3:$C$1052,$M113)="","",INDEX('DỮ LIỆU'!$C$3:$C$1052,$M113)))</f>
        <v/>
      </c>
      <c r="E113" s="21" t="str">
        <f aca="false">IF($M113="","",IF(INDEX('DỮ LIỆU'!$D$3:$D$1052,$M113)="","",INDEX('DỮ LIỆU'!$D$3:$D$1052,$M113)))</f>
        <v/>
      </c>
      <c r="F113" s="21" t="str">
        <f aca="false">IF($M113="","",IF(INDEX('DỮ LIỆU'!$H$3:$H$1052,$M113)="","",INDEX('DỮ LIỆU'!$H$3:$H$1052,$M113)))</f>
        <v/>
      </c>
      <c r="G113" s="13" t="str">
        <f aca="false">IF($M113="","",N(INDEX('DỮ LIỆU'!$I$3:$I$1052,$M113)))</f>
        <v/>
      </c>
      <c r="H113" s="13" t="str">
        <f aca="false">IF($M113="","",N(INDEX('DỮ LIỆU'!$J$3:$J$1052,$M113)))</f>
        <v/>
      </c>
      <c r="I113" s="13" t="str">
        <f aca="false">IF($M113="","",N(INDEX('DỮ LIỆU'!$N$3:$N$1052,$M113)))</f>
        <v/>
      </c>
      <c r="J113" s="13" t="str">
        <f aca="false">IF($M113="","",N(INDEX('DỮ LIỆU'!$O$3:$O$1052,$M113)))</f>
        <v/>
      </c>
      <c r="K113" s="13" t="str">
        <f aca="false">IF($M113="","",IF(INDEX('DỮ LIỆU'!$Q$3:$Q$1052,$M113)="","",INDEX('DỮ LIỆU'!$Q$3:$Q$1052,$M113)))</f>
        <v/>
      </c>
      <c r="L113" s="21" t="str">
        <f aca="false">IF($M113="","",IF(INDEX('DỮ LIỆU'!$R$3:$R$1052,$M113)="","",INDEX('DỮ LIỆU'!$R$3:$R$1052,$M113)))</f>
        <v/>
      </c>
      <c r="M113" s="0" t="str">
        <f aca="false">IFERROR(MATCH(108,'DỮ LIỆU'!$V$3:$V$1052,0),"")</f>
        <v/>
      </c>
    </row>
    <row r="114" customFormat="false" ht="15" hidden="false" customHeight="false" outlineLevel="0" collapsed="false">
      <c r="A114" s="21" t="str">
        <f aca="false">IF($M114="","",109)</f>
        <v/>
      </c>
      <c r="B114" s="13" t="str">
        <f aca="false">IF($M114="","",INDEX('DỮ LIỆU'!$A$3:$A$1052,$M114))</f>
        <v/>
      </c>
      <c r="C114" s="41" t="str">
        <f aca="false">IF($M114="","",IF(INDEX('DỮ LIỆU'!$B$3:$B$1052,$M114)="","",INDEX('DỮ LIỆU'!$B$3:$B$1052,$M114)))</f>
        <v/>
      </c>
      <c r="D114" s="21" t="str">
        <f aca="false">IF($M114="","",IF(INDEX('DỮ LIỆU'!$C$3:$C$1052,$M114)="","",INDEX('DỮ LIỆU'!$C$3:$C$1052,$M114)))</f>
        <v/>
      </c>
      <c r="E114" s="21" t="str">
        <f aca="false">IF($M114="","",IF(INDEX('DỮ LIỆU'!$D$3:$D$1052,$M114)="","",INDEX('DỮ LIỆU'!$D$3:$D$1052,$M114)))</f>
        <v/>
      </c>
      <c r="F114" s="21" t="str">
        <f aca="false">IF($M114="","",IF(INDEX('DỮ LIỆU'!$H$3:$H$1052,$M114)="","",INDEX('DỮ LIỆU'!$H$3:$H$1052,$M114)))</f>
        <v/>
      </c>
      <c r="G114" s="13" t="str">
        <f aca="false">IF($M114="","",N(INDEX('DỮ LIỆU'!$I$3:$I$1052,$M114)))</f>
        <v/>
      </c>
      <c r="H114" s="13" t="str">
        <f aca="false">IF($M114="","",N(INDEX('DỮ LIỆU'!$J$3:$J$1052,$M114)))</f>
        <v/>
      </c>
      <c r="I114" s="13" t="str">
        <f aca="false">IF($M114="","",N(INDEX('DỮ LIỆU'!$N$3:$N$1052,$M114)))</f>
        <v/>
      </c>
      <c r="J114" s="13" t="str">
        <f aca="false">IF($M114="","",N(INDEX('DỮ LIỆU'!$O$3:$O$1052,$M114)))</f>
        <v/>
      </c>
      <c r="K114" s="13" t="str">
        <f aca="false">IF($M114="","",IF(INDEX('DỮ LIỆU'!$Q$3:$Q$1052,$M114)="","",INDEX('DỮ LIỆU'!$Q$3:$Q$1052,$M114)))</f>
        <v/>
      </c>
      <c r="L114" s="21" t="str">
        <f aca="false">IF($M114="","",IF(INDEX('DỮ LIỆU'!$R$3:$R$1052,$M114)="","",INDEX('DỮ LIỆU'!$R$3:$R$1052,$M114)))</f>
        <v/>
      </c>
      <c r="M114" s="0" t="str">
        <f aca="false">IFERROR(MATCH(109,'DỮ LIỆU'!$V$3:$V$1052,0),"")</f>
        <v/>
      </c>
    </row>
    <row r="115" customFormat="false" ht="15" hidden="false" customHeight="false" outlineLevel="0" collapsed="false">
      <c r="A115" s="21" t="str">
        <f aca="false">IF($M115="","",110)</f>
        <v/>
      </c>
      <c r="B115" s="13" t="str">
        <f aca="false">IF($M115="","",INDEX('DỮ LIỆU'!$A$3:$A$1052,$M115))</f>
        <v/>
      </c>
      <c r="C115" s="41" t="str">
        <f aca="false">IF($M115="","",IF(INDEX('DỮ LIỆU'!$B$3:$B$1052,$M115)="","",INDEX('DỮ LIỆU'!$B$3:$B$1052,$M115)))</f>
        <v/>
      </c>
      <c r="D115" s="21" t="str">
        <f aca="false">IF($M115="","",IF(INDEX('DỮ LIỆU'!$C$3:$C$1052,$M115)="","",INDEX('DỮ LIỆU'!$C$3:$C$1052,$M115)))</f>
        <v/>
      </c>
      <c r="E115" s="21" t="str">
        <f aca="false">IF($M115="","",IF(INDEX('DỮ LIỆU'!$D$3:$D$1052,$M115)="","",INDEX('DỮ LIỆU'!$D$3:$D$1052,$M115)))</f>
        <v/>
      </c>
      <c r="F115" s="21" t="str">
        <f aca="false">IF($M115="","",IF(INDEX('DỮ LIỆU'!$H$3:$H$1052,$M115)="","",INDEX('DỮ LIỆU'!$H$3:$H$1052,$M115)))</f>
        <v/>
      </c>
      <c r="G115" s="13" t="str">
        <f aca="false">IF($M115="","",N(INDEX('DỮ LIỆU'!$I$3:$I$1052,$M115)))</f>
        <v/>
      </c>
      <c r="H115" s="13" t="str">
        <f aca="false">IF($M115="","",N(INDEX('DỮ LIỆU'!$J$3:$J$1052,$M115)))</f>
        <v/>
      </c>
      <c r="I115" s="13" t="str">
        <f aca="false">IF($M115="","",N(INDEX('DỮ LIỆU'!$N$3:$N$1052,$M115)))</f>
        <v/>
      </c>
      <c r="J115" s="13" t="str">
        <f aca="false">IF($M115="","",N(INDEX('DỮ LIỆU'!$O$3:$O$1052,$M115)))</f>
        <v/>
      </c>
      <c r="K115" s="13" t="str">
        <f aca="false">IF($M115="","",IF(INDEX('DỮ LIỆU'!$Q$3:$Q$1052,$M115)="","",INDEX('DỮ LIỆU'!$Q$3:$Q$1052,$M115)))</f>
        <v/>
      </c>
      <c r="L115" s="21" t="str">
        <f aca="false">IF($M115="","",IF(INDEX('DỮ LIỆU'!$R$3:$R$1052,$M115)="","",INDEX('DỮ LIỆU'!$R$3:$R$1052,$M115)))</f>
        <v/>
      </c>
      <c r="M115" s="0" t="str">
        <f aca="false">IFERROR(MATCH(110,'DỮ LIỆU'!$V$3:$V$1052,0),"")</f>
        <v/>
      </c>
    </row>
    <row r="116" customFormat="false" ht="15" hidden="false" customHeight="false" outlineLevel="0" collapsed="false">
      <c r="A116" s="21" t="str">
        <f aca="false">IF($M116="","",111)</f>
        <v/>
      </c>
      <c r="B116" s="13" t="str">
        <f aca="false">IF($M116="","",INDEX('DỮ LIỆU'!$A$3:$A$1052,$M116))</f>
        <v/>
      </c>
      <c r="C116" s="41" t="str">
        <f aca="false">IF($M116="","",IF(INDEX('DỮ LIỆU'!$B$3:$B$1052,$M116)="","",INDEX('DỮ LIỆU'!$B$3:$B$1052,$M116)))</f>
        <v/>
      </c>
      <c r="D116" s="21" t="str">
        <f aca="false">IF($M116="","",IF(INDEX('DỮ LIỆU'!$C$3:$C$1052,$M116)="","",INDEX('DỮ LIỆU'!$C$3:$C$1052,$M116)))</f>
        <v/>
      </c>
      <c r="E116" s="21" t="str">
        <f aca="false">IF($M116="","",IF(INDEX('DỮ LIỆU'!$D$3:$D$1052,$M116)="","",INDEX('DỮ LIỆU'!$D$3:$D$1052,$M116)))</f>
        <v/>
      </c>
      <c r="F116" s="21" t="str">
        <f aca="false">IF($M116="","",IF(INDEX('DỮ LIỆU'!$H$3:$H$1052,$M116)="","",INDEX('DỮ LIỆU'!$H$3:$H$1052,$M116)))</f>
        <v/>
      </c>
      <c r="G116" s="13" t="str">
        <f aca="false">IF($M116="","",N(INDEX('DỮ LIỆU'!$I$3:$I$1052,$M116)))</f>
        <v/>
      </c>
      <c r="H116" s="13" t="str">
        <f aca="false">IF($M116="","",N(INDEX('DỮ LIỆU'!$J$3:$J$1052,$M116)))</f>
        <v/>
      </c>
      <c r="I116" s="13" t="str">
        <f aca="false">IF($M116="","",N(INDEX('DỮ LIỆU'!$N$3:$N$1052,$M116)))</f>
        <v/>
      </c>
      <c r="J116" s="13" t="str">
        <f aca="false">IF($M116="","",N(INDEX('DỮ LIỆU'!$O$3:$O$1052,$M116)))</f>
        <v/>
      </c>
      <c r="K116" s="13" t="str">
        <f aca="false">IF($M116="","",IF(INDEX('DỮ LIỆU'!$Q$3:$Q$1052,$M116)="","",INDEX('DỮ LIỆU'!$Q$3:$Q$1052,$M116)))</f>
        <v/>
      </c>
      <c r="L116" s="21" t="str">
        <f aca="false">IF($M116="","",IF(INDEX('DỮ LIỆU'!$R$3:$R$1052,$M116)="","",INDEX('DỮ LIỆU'!$R$3:$R$1052,$M116)))</f>
        <v/>
      </c>
      <c r="M116" s="0" t="str">
        <f aca="false">IFERROR(MATCH(111,'DỮ LIỆU'!$V$3:$V$1052,0),"")</f>
        <v/>
      </c>
    </row>
    <row r="117" customFormat="false" ht="15" hidden="false" customHeight="false" outlineLevel="0" collapsed="false">
      <c r="A117" s="21" t="str">
        <f aca="false">IF($M117="","",112)</f>
        <v/>
      </c>
      <c r="B117" s="13" t="str">
        <f aca="false">IF($M117="","",INDEX('DỮ LIỆU'!$A$3:$A$1052,$M117))</f>
        <v/>
      </c>
      <c r="C117" s="41" t="str">
        <f aca="false">IF($M117="","",IF(INDEX('DỮ LIỆU'!$B$3:$B$1052,$M117)="","",INDEX('DỮ LIỆU'!$B$3:$B$1052,$M117)))</f>
        <v/>
      </c>
      <c r="D117" s="21" t="str">
        <f aca="false">IF($M117="","",IF(INDEX('DỮ LIỆU'!$C$3:$C$1052,$M117)="","",INDEX('DỮ LIỆU'!$C$3:$C$1052,$M117)))</f>
        <v/>
      </c>
      <c r="E117" s="21" t="str">
        <f aca="false">IF($M117="","",IF(INDEX('DỮ LIỆU'!$D$3:$D$1052,$M117)="","",INDEX('DỮ LIỆU'!$D$3:$D$1052,$M117)))</f>
        <v/>
      </c>
      <c r="F117" s="21" t="str">
        <f aca="false">IF($M117="","",IF(INDEX('DỮ LIỆU'!$H$3:$H$1052,$M117)="","",INDEX('DỮ LIỆU'!$H$3:$H$1052,$M117)))</f>
        <v/>
      </c>
      <c r="G117" s="13" t="str">
        <f aca="false">IF($M117="","",N(INDEX('DỮ LIỆU'!$I$3:$I$1052,$M117)))</f>
        <v/>
      </c>
      <c r="H117" s="13" t="str">
        <f aca="false">IF($M117="","",N(INDEX('DỮ LIỆU'!$J$3:$J$1052,$M117)))</f>
        <v/>
      </c>
      <c r="I117" s="13" t="str">
        <f aca="false">IF($M117="","",N(INDEX('DỮ LIỆU'!$N$3:$N$1052,$M117)))</f>
        <v/>
      </c>
      <c r="J117" s="13" t="str">
        <f aca="false">IF($M117="","",N(INDEX('DỮ LIỆU'!$O$3:$O$1052,$M117)))</f>
        <v/>
      </c>
      <c r="K117" s="13" t="str">
        <f aca="false">IF($M117="","",IF(INDEX('DỮ LIỆU'!$Q$3:$Q$1052,$M117)="","",INDEX('DỮ LIỆU'!$Q$3:$Q$1052,$M117)))</f>
        <v/>
      </c>
      <c r="L117" s="21" t="str">
        <f aca="false">IF($M117="","",IF(INDEX('DỮ LIỆU'!$R$3:$R$1052,$M117)="","",INDEX('DỮ LIỆU'!$R$3:$R$1052,$M117)))</f>
        <v/>
      </c>
      <c r="M117" s="0" t="str">
        <f aca="false">IFERROR(MATCH(112,'DỮ LIỆU'!$V$3:$V$1052,0),"")</f>
        <v/>
      </c>
    </row>
    <row r="118" customFormat="false" ht="15" hidden="false" customHeight="false" outlineLevel="0" collapsed="false">
      <c r="A118" s="21" t="str">
        <f aca="false">IF($M118="","",113)</f>
        <v/>
      </c>
      <c r="B118" s="13" t="str">
        <f aca="false">IF($M118="","",INDEX('DỮ LIỆU'!$A$3:$A$1052,$M118))</f>
        <v/>
      </c>
      <c r="C118" s="41" t="str">
        <f aca="false">IF($M118="","",IF(INDEX('DỮ LIỆU'!$B$3:$B$1052,$M118)="","",INDEX('DỮ LIỆU'!$B$3:$B$1052,$M118)))</f>
        <v/>
      </c>
      <c r="D118" s="21" t="str">
        <f aca="false">IF($M118="","",IF(INDEX('DỮ LIỆU'!$C$3:$C$1052,$M118)="","",INDEX('DỮ LIỆU'!$C$3:$C$1052,$M118)))</f>
        <v/>
      </c>
      <c r="E118" s="21" t="str">
        <f aca="false">IF($M118="","",IF(INDEX('DỮ LIỆU'!$D$3:$D$1052,$M118)="","",INDEX('DỮ LIỆU'!$D$3:$D$1052,$M118)))</f>
        <v/>
      </c>
      <c r="F118" s="21" t="str">
        <f aca="false">IF($M118="","",IF(INDEX('DỮ LIỆU'!$H$3:$H$1052,$M118)="","",INDEX('DỮ LIỆU'!$H$3:$H$1052,$M118)))</f>
        <v/>
      </c>
      <c r="G118" s="13" t="str">
        <f aca="false">IF($M118="","",N(INDEX('DỮ LIỆU'!$I$3:$I$1052,$M118)))</f>
        <v/>
      </c>
      <c r="H118" s="13" t="str">
        <f aca="false">IF($M118="","",N(INDEX('DỮ LIỆU'!$J$3:$J$1052,$M118)))</f>
        <v/>
      </c>
      <c r="I118" s="13" t="str">
        <f aca="false">IF($M118="","",N(INDEX('DỮ LIỆU'!$N$3:$N$1052,$M118)))</f>
        <v/>
      </c>
      <c r="J118" s="13" t="str">
        <f aca="false">IF($M118="","",N(INDEX('DỮ LIỆU'!$O$3:$O$1052,$M118)))</f>
        <v/>
      </c>
      <c r="K118" s="13" t="str">
        <f aca="false">IF($M118="","",IF(INDEX('DỮ LIỆU'!$Q$3:$Q$1052,$M118)="","",INDEX('DỮ LIỆU'!$Q$3:$Q$1052,$M118)))</f>
        <v/>
      </c>
      <c r="L118" s="21" t="str">
        <f aca="false">IF($M118="","",IF(INDEX('DỮ LIỆU'!$R$3:$R$1052,$M118)="","",INDEX('DỮ LIỆU'!$R$3:$R$1052,$M118)))</f>
        <v/>
      </c>
      <c r="M118" s="0" t="str">
        <f aca="false">IFERROR(MATCH(113,'DỮ LIỆU'!$V$3:$V$1052,0),"")</f>
        <v/>
      </c>
    </row>
    <row r="119" customFormat="false" ht="15" hidden="false" customHeight="false" outlineLevel="0" collapsed="false">
      <c r="A119" s="21" t="str">
        <f aca="false">IF($M119="","",114)</f>
        <v/>
      </c>
      <c r="B119" s="13" t="str">
        <f aca="false">IF($M119="","",INDEX('DỮ LIỆU'!$A$3:$A$1052,$M119))</f>
        <v/>
      </c>
      <c r="C119" s="41" t="str">
        <f aca="false">IF($M119="","",IF(INDEX('DỮ LIỆU'!$B$3:$B$1052,$M119)="","",INDEX('DỮ LIỆU'!$B$3:$B$1052,$M119)))</f>
        <v/>
      </c>
      <c r="D119" s="21" t="str">
        <f aca="false">IF($M119="","",IF(INDEX('DỮ LIỆU'!$C$3:$C$1052,$M119)="","",INDEX('DỮ LIỆU'!$C$3:$C$1052,$M119)))</f>
        <v/>
      </c>
      <c r="E119" s="21" t="str">
        <f aca="false">IF($M119="","",IF(INDEX('DỮ LIỆU'!$D$3:$D$1052,$M119)="","",INDEX('DỮ LIỆU'!$D$3:$D$1052,$M119)))</f>
        <v/>
      </c>
      <c r="F119" s="21" t="str">
        <f aca="false">IF($M119="","",IF(INDEX('DỮ LIỆU'!$H$3:$H$1052,$M119)="","",INDEX('DỮ LIỆU'!$H$3:$H$1052,$M119)))</f>
        <v/>
      </c>
      <c r="G119" s="13" t="str">
        <f aca="false">IF($M119="","",N(INDEX('DỮ LIỆU'!$I$3:$I$1052,$M119)))</f>
        <v/>
      </c>
      <c r="H119" s="13" t="str">
        <f aca="false">IF($M119="","",N(INDEX('DỮ LIỆU'!$J$3:$J$1052,$M119)))</f>
        <v/>
      </c>
      <c r="I119" s="13" t="str">
        <f aca="false">IF($M119="","",N(INDEX('DỮ LIỆU'!$N$3:$N$1052,$M119)))</f>
        <v/>
      </c>
      <c r="J119" s="13" t="str">
        <f aca="false">IF($M119="","",N(INDEX('DỮ LIỆU'!$O$3:$O$1052,$M119)))</f>
        <v/>
      </c>
      <c r="K119" s="13" t="str">
        <f aca="false">IF($M119="","",IF(INDEX('DỮ LIỆU'!$Q$3:$Q$1052,$M119)="","",INDEX('DỮ LIỆU'!$Q$3:$Q$1052,$M119)))</f>
        <v/>
      </c>
      <c r="L119" s="21" t="str">
        <f aca="false">IF($M119="","",IF(INDEX('DỮ LIỆU'!$R$3:$R$1052,$M119)="","",INDEX('DỮ LIỆU'!$R$3:$R$1052,$M119)))</f>
        <v/>
      </c>
      <c r="M119" s="0" t="str">
        <f aca="false">IFERROR(MATCH(114,'DỮ LIỆU'!$V$3:$V$1052,0),"")</f>
        <v/>
      </c>
    </row>
    <row r="120" customFormat="false" ht="15" hidden="false" customHeight="false" outlineLevel="0" collapsed="false">
      <c r="A120" s="21" t="str">
        <f aca="false">IF($M120="","",115)</f>
        <v/>
      </c>
      <c r="B120" s="13" t="str">
        <f aca="false">IF($M120="","",INDEX('DỮ LIỆU'!$A$3:$A$1052,$M120))</f>
        <v/>
      </c>
      <c r="C120" s="41" t="str">
        <f aca="false">IF($M120="","",IF(INDEX('DỮ LIỆU'!$B$3:$B$1052,$M120)="","",INDEX('DỮ LIỆU'!$B$3:$B$1052,$M120)))</f>
        <v/>
      </c>
      <c r="D120" s="21" t="str">
        <f aca="false">IF($M120="","",IF(INDEX('DỮ LIỆU'!$C$3:$C$1052,$M120)="","",INDEX('DỮ LIỆU'!$C$3:$C$1052,$M120)))</f>
        <v/>
      </c>
      <c r="E120" s="21" t="str">
        <f aca="false">IF($M120="","",IF(INDEX('DỮ LIỆU'!$D$3:$D$1052,$M120)="","",INDEX('DỮ LIỆU'!$D$3:$D$1052,$M120)))</f>
        <v/>
      </c>
      <c r="F120" s="21" t="str">
        <f aca="false">IF($M120="","",IF(INDEX('DỮ LIỆU'!$H$3:$H$1052,$M120)="","",INDEX('DỮ LIỆU'!$H$3:$H$1052,$M120)))</f>
        <v/>
      </c>
      <c r="G120" s="13" t="str">
        <f aca="false">IF($M120="","",N(INDEX('DỮ LIỆU'!$I$3:$I$1052,$M120)))</f>
        <v/>
      </c>
      <c r="H120" s="13" t="str">
        <f aca="false">IF($M120="","",N(INDEX('DỮ LIỆU'!$J$3:$J$1052,$M120)))</f>
        <v/>
      </c>
      <c r="I120" s="13" t="str">
        <f aca="false">IF($M120="","",N(INDEX('DỮ LIỆU'!$N$3:$N$1052,$M120)))</f>
        <v/>
      </c>
      <c r="J120" s="13" t="str">
        <f aca="false">IF($M120="","",N(INDEX('DỮ LIỆU'!$O$3:$O$1052,$M120)))</f>
        <v/>
      </c>
      <c r="K120" s="13" t="str">
        <f aca="false">IF($M120="","",IF(INDEX('DỮ LIỆU'!$Q$3:$Q$1052,$M120)="","",INDEX('DỮ LIỆU'!$Q$3:$Q$1052,$M120)))</f>
        <v/>
      </c>
      <c r="L120" s="21" t="str">
        <f aca="false">IF($M120="","",IF(INDEX('DỮ LIỆU'!$R$3:$R$1052,$M120)="","",INDEX('DỮ LIỆU'!$R$3:$R$1052,$M120)))</f>
        <v/>
      </c>
      <c r="M120" s="0" t="str">
        <f aca="false">IFERROR(MATCH(115,'DỮ LIỆU'!$V$3:$V$1052,0),"")</f>
        <v/>
      </c>
    </row>
    <row r="121" customFormat="false" ht="15" hidden="false" customHeight="false" outlineLevel="0" collapsed="false">
      <c r="A121" s="21" t="str">
        <f aca="false">IF($M121="","",116)</f>
        <v/>
      </c>
      <c r="B121" s="13" t="str">
        <f aca="false">IF($M121="","",INDEX('DỮ LIỆU'!$A$3:$A$1052,$M121))</f>
        <v/>
      </c>
      <c r="C121" s="41" t="str">
        <f aca="false">IF($M121="","",IF(INDEX('DỮ LIỆU'!$B$3:$B$1052,$M121)="","",INDEX('DỮ LIỆU'!$B$3:$B$1052,$M121)))</f>
        <v/>
      </c>
      <c r="D121" s="21" t="str">
        <f aca="false">IF($M121="","",IF(INDEX('DỮ LIỆU'!$C$3:$C$1052,$M121)="","",INDEX('DỮ LIỆU'!$C$3:$C$1052,$M121)))</f>
        <v/>
      </c>
      <c r="E121" s="21" t="str">
        <f aca="false">IF($M121="","",IF(INDEX('DỮ LIỆU'!$D$3:$D$1052,$M121)="","",INDEX('DỮ LIỆU'!$D$3:$D$1052,$M121)))</f>
        <v/>
      </c>
      <c r="F121" s="21" t="str">
        <f aca="false">IF($M121="","",IF(INDEX('DỮ LIỆU'!$H$3:$H$1052,$M121)="","",INDEX('DỮ LIỆU'!$H$3:$H$1052,$M121)))</f>
        <v/>
      </c>
      <c r="G121" s="13" t="str">
        <f aca="false">IF($M121="","",N(INDEX('DỮ LIỆU'!$I$3:$I$1052,$M121)))</f>
        <v/>
      </c>
      <c r="H121" s="13" t="str">
        <f aca="false">IF($M121="","",N(INDEX('DỮ LIỆU'!$J$3:$J$1052,$M121)))</f>
        <v/>
      </c>
      <c r="I121" s="13" t="str">
        <f aca="false">IF($M121="","",N(INDEX('DỮ LIỆU'!$N$3:$N$1052,$M121)))</f>
        <v/>
      </c>
      <c r="J121" s="13" t="str">
        <f aca="false">IF($M121="","",N(INDEX('DỮ LIỆU'!$O$3:$O$1052,$M121)))</f>
        <v/>
      </c>
      <c r="K121" s="13" t="str">
        <f aca="false">IF($M121="","",IF(INDEX('DỮ LIỆU'!$Q$3:$Q$1052,$M121)="","",INDEX('DỮ LIỆU'!$Q$3:$Q$1052,$M121)))</f>
        <v/>
      </c>
      <c r="L121" s="21" t="str">
        <f aca="false">IF($M121="","",IF(INDEX('DỮ LIỆU'!$R$3:$R$1052,$M121)="","",INDEX('DỮ LIỆU'!$R$3:$R$1052,$M121)))</f>
        <v/>
      </c>
      <c r="M121" s="0" t="str">
        <f aca="false">IFERROR(MATCH(116,'DỮ LIỆU'!$V$3:$V$1052,0),"")</f>
        <v/>
      </c>
    </row>
    <row r="122" customFormat="false" ht="15" hidden="false" customHeight="false" outlineLevel="0" collapsed="false">
      <c r="A122" s="21" t="str">
        <f aca="false">IF($M122="","",117)</f>
        <v/>
      </c>
      <c r="B122" s="13" t="str">
        <f aca="false">IF($M122="","",INDEX('DỮ LIỆU'!$A$3:$A$1052,$M122))</f>
        <v/>
      </c>
      <c r="C122" s="41" t="str">
        <f aca="false">IF($M122="","",IF(INDEX('DỮ LIỆU'!$B$3:$B$1052,$M122)="","",INDEX('DỮ LIỆU'!$B$3:$B$1052,$M122)))</f>
        <v/>
      </c>
      <c r="D122" s="21" t="str">
        <f aca="false">IF($M122="","",IF(INDEX('DỮ LIỆU'!$C$3:$C$1052,$M122)="","",INDEX('DỮ LIỆU'!$C$3:$C$1052,$M122)))</f>
        <v/>
      </c>
      <c r="E122" s="21" t="str">
        <f aca="false">IF($M122="","",IF(INDEX('DỮ LIỆU'!$D$3:$D$1052,$M122)="","",INDEX('DỮ LIỆU'!$D$3:$D$1052,$M122)))</f>
        <v/>
      </c>
      <c r="F122" s="21" t="str">
        <f aca="false">IF($M122="","",IF(INDEX('DỮ LIỆU'!$H$3:$H$1052,$M122)="","",INDEX('DỮ LIỆU'!$H$3:$H$1052,$M122)))</f>
        <v/>
      </c>
      <c r="G122" s="13" t="str">
        <f aca="false">IF($M122="","",N(INDEX('DỮ LIỆU'!$I$3:$I$1052,$M122)))</f>
        <v/>
      </c>
      <c r="H122" s="13" t="str">
        <f aca="false">IF($M122="","",N(INDEX('DỮ LIỆU'!$J$3:$J$1052,$M122)))</f>
        <v/>
      </c>
      <c r="I122" s="13" t="str">
        <f aca="false">IF($M122="","",N(INDEX('DỮ LIỆU'!$N$3:$N$1052,$M122)))</f>
        <v/>
      </c>
      <c r="J122" s="13" t="str">
        <f aca="false">IF($M122="","",N(INDEX('DỮ LIỆU'!$O$3:$O$1052,$M122)))</f>
        <v/>
      </c>
      <c r="K122" s="13" t="str">
        <f aca="false">IF($M122="","",IF(INDEX('DỮ LIỆU'!$Q$3:$Q$1052,$M122)="","",INDEX('DỮ LIỆU'!$Q$3:$Q$1052,$M122)))</f>
        <v/>
      </c>
      <c r="L122" s="21" t="str">
        <f aca="false">IF($M122="","",IF(INDEX('DỮ LIỆU'!$R$3:$R$1052,$M122)="","",INDEX('DỮ LIỆU'!$R$3:$R$1052,$M122)))</f>
        <v/>
      </c>
      <c r="M122" s="0" t="str">
        <f aca="false">IFERROR(MATCH(117,'DỮ LIỆU'!$V$3:$V$1052,0),"")</f>
        <v/>
      </c>
    </row>
    <row r="123" customFormat="false" ht="15" hidden="false" customHeight="false" outlineLevel="0" collapsed="false">
      <c r="A123" s="21" t="str">
        <f aca="false">IF($M123="","",118)</f>
        <v/>
      </c>
      <c r="B123" s="13" t="str">
        <f aca="false">IF($M123="","",INDEX('DỮ LIỆU'!$A$3:$A$1052,$M123))</f>
        <v/>
      </c>
      <c r="C123" s="41" t="str">
        <f aca="false">IF($M123="","",IF(INDEX('DỮ LIỆU'!$B$3:$B$1052,$M123)="","",INDEX('DỮ LIỆU'!$B$3:$B$1052,$M123)))</f>
        <v/>
      </c>
      <c r="D123" s="21" t="str">
        <f aca="false">IF($M123="","",IF(INDEX('DỮ LIỆU'!$C$3:$C$1052,$M123)="","",INDEX('DỮ LIỆU'!$C$3:$C$1052,$M123)))</f>
        <v/>
      </c>
      <c r="E123" s="21" t="str">
        <f aca="false">IF($M123="","",IF(INDEX('DỮ LIỆU'!$D$3:$D$1052,$M123)="","",INDEX('DỮ LIỆU'!$D$3:$D$1052,$M123)))</f>
        <v/>
      </c>
      <c r="F123" s="21" t="str">
        <f aca="false">IF($M123="","",IF(INDEX('DỮ LIỆU'!$H$3:$H$1052,$M123)="","",INDEX('DỮ LIỆU'!$H$3:$H$1052,$M123)))</f>
        <v/>
      </c>
      <c r="G123" s="13" t="str">
        <f aca="false">IF($M123="","",N(INDEX('DỮ LIỆU'!$I$3:$I$1052,$M123)))</f>
        <v/>
      </c>
      <c r="H123" s="13" t="str">
        <f aca="false">IF($M123="","",N(INDEX('DỮ LIỆU'!$J$3:$J$1052,$M123)))</f>
        <v/>
      </c>
      <c r="I123" s="13" t="str">
        <f aca="false">IF($M123="","",N(INDEX('DỮ LIỆU'!$N$3:$N$1052,$M123)))</f>
        <v/>
      </c>
      <c r="J123" s="13" t="str">
        <f aca="false">IF($M123="","",N(INDEX('DỮ LIỆU'!$O$3:$O$1052,$M123)))</f>
        <v/>
      </c>
      <c r="K123" s="13" t="str">
        <f aca="false">IF($M123="","",IF(INDEX('DỮ LIỆU'!$Q$3:$Q$1052,$M123)="","",INDEX('DỮ LIỆU'!$Q$3:$Q$1052,$M123)))</f>
        <v/>
      </c>
      <c r="L123" s="21" t="str">
        <f aca="false">IF($M123="","",IF(INDEX('DỮ LIỆU'!$R$3:$R$1052,$M123)="","",INDEX('DỮ LIỆU'!$R$3:$R$1052,$M123)))</f>
        <v/>
      </c>
      <c r="M123" s="0" t="str">
        <f aca="false">IFERROR(MATCH(118,'DỮ LIỆU'!$V$3:$V$1052,0),"")</f>
        <v/>
      </c>
    </row>
    <row r="124" customFormat="false" ht="15" hidden="false" customHeight="false" outlineLevel="0" collapsed="false">
      <c r="A124" s="21" t="str">
        <f aca="false">IF($M124="","",119)</f>
        <v/>
      </c>
      <c r="B124" s="13" t="str">
        <f aca="false">IF($M124="","",INDEX('DỮ LIỆU'!$A$3:$A$1052,$M124))</f>
        <v/>
      </c>
      <c r="C124" s="41" t="str">
        <f aca="false">IF($M124="","",IF(INDEX('DỮ LIỆU'!$B$3:$B$1052,$M124)="","",INDEX('DỮ LIỆU'!$B$3:$B$1052,$M124)))</f>
        <v/>
      </c>
      <c r="D124" s="21" t="str">
        <f aca="false">IF($M124="","",IF(INDEX('DỮ LIỆU'!$C$3:$C$1052,$M124)="","",INDEX('DỮ LIỆU'!$C$3:$C$1052,$M124)))</f>
        <v/>
      </c>
      <c r="E124" s="21" t="str">
        <f aca="false">IF($M124="","",IF(INDEX('DỮ LIỆU'!$D$3:$D$1052,$M124)="","",INDEX('DỮ LIỆU'!$D$3:$D$1052,$M124)))</f>
        <v/>
      </c>
      <c r="F124" s="21" t="str">
        <f aca="false">IF($M124="","",IF(INDEX('DỮ LIỆU'!$H$3:$H$1052,$M124)="","",INDEX('DỮ LIỆU'!$H$3:$H$1052,$M124)))</f>
        <v/>
      </c>
      <c r="G124" s="13" t="str">
        <f aca="false">IF($M124="","",N(INDEX('DỮ LIỆU'!$I$3:$I$1052,$M124)))</f>
        <v/>
      </c>
      <c r="H124" s="13" t="str">
        <f aca="false">IF($M124="","",N(INDEX('DỮ LIỆU'!$J$3:$J$1052,$M124)))</f>
        <v/>
      </c>
      <c r="I124" s="13" t="str">
        <f aca="false">IF($M124="","",N(INDEX('DỮ LIỆU'!$N$3:$N$1052,$M124)))</f>
        <v/>
      </c>
      <c r="J124" s="13" t="str">
        <f aca="false">IF($M124="","",N(INDEX('DỮ LIỆU'!$O$3:$O$1052,$M124)))</f>
        <v/>
      </c>
      <c r="K124" s="13" t="str">
        <f aca="false">IF($M124="","",IF(INDEX('DỮ LIỆU'!$Q$3:$Q$1052,$M124)="","",INDEX('DỮ LIỆU'!$Q$3:$Q$1052,$M124)))</f>
        <v/>
      </c>
      <c r="L124" s="21" t="str">
        <f aca="false">IF($M124="","",IF(INDEX('DỮ LIỆU'!$R$3:$R$1052,$M124)="","",INDEX('DỮ LIỆU'!$R$3:$R$1052,$M124)))</f>
        <v/>
      </c>
      <c r="M124" s="0" t="str">
        <f aca="false">IFERROR(MATCH(119,'DỮ LIỆU'!$V$3:$V$1052,0),"")</f>
        <v/>
      </c>
    </row>
    <row r="125" customFormat="false" ht="15" hidden="false" customHeight="false" outlineLevel="0" collapsed="false">
      <c r="A125" s="21" t="str">
        <f aca="false">IF($M125="","",120)</f>
        <v/>
      </c>
      <c r="B125" s="13" t="str">
        <f aca="false">IF($M125="","",INDEX('DỮ LIỆU'!$A$3:$A$1052,$M125))</f>
        <v/>
      </c>
      <c r="C125" s="41" t="str">
        <f aca="false">IF($M125="","",IF(INDEX('DỮ LIỆU'!$B$3:$B$1052,$M125)="","",INDEX('DỮ LIỆU'!$B$3:$B$1052,$M125)))</f>
        <v/>
      </c>
      <c r="D125" s="21" t="str">
        <f aca="false">IF($M125="","",IF(INDEX('DỮ LIỆU'!$C$3:$C$1052,$M125)="","",INDEX('DỮ LIỆU'!$C$3:$C$1052,$M125)))</f>
        <v/>
      </c>
      <c r="E125" s="21" t="str">
        <f aca="false">IF($M125="","",IF(INDEX('DỮ LIỆU'!$D$3:$D$1052,$M125)="","",INDEX('DỮ LIỆU'!$D$3:$D$1052,$M125)))</f>
        <v/>
      </c>
      <c r="F125" s="21" t="str">
        <f aca="false">IF($M125="","",IF(INDEX('DỮ LIỆU'!$H$3:$H$1052,$M125)="","",INDEX('DỮ LIỆU'!$H$3:$H$1052,$M125)))</f>
        <v/>
      </c>
      <c r="G125" s="13" t="str">
        <f aca="false">IF($M125="","",N(INDEX('DỮ LIỆU'!$I$3:$I$1052,$M125)))</f>
        <v/>
      </c>
      <c r="H125" s="13" t="str">
        <f aca="false">IF($M125="","",N(INDEX('DỮ LIỆU'!$J$3:$J$1052,$M125)))</f>
        <v/>
      </c>
      <c r="I125" s="13" t="str">
        <f aca="false">IF($M125="","",N(INDEX('DỮ LIỆU'!$N$3:$N$1052,$M125)))</f>
        <v/>
      </c>
      <c r="J125" s="13" t="str">
        <f aca="false">IF($M125="","",N(INDEX('DỮ LIỆU'!$O$3:$O$1052,$M125)))</f>
        <v/>
      </c>
      <c r="K125" s="13" t="str">
        <f aca="false">IF($M125="","",IF(INDEX('DỮ LIỆU'!$Q$3:$Q$1052,$M125)="","",INDEX('DỮ LIỆU'!$Q$3:$Q$1052,$M125)))</f>
        <v/>
      </c>
      <c r="L125" s="21" t="str">
        <f aca="false">IF($M125="","",IF(INDEX('DỮ LIỆU'!$R$3:$R$1052,$M125)="","",INDEX('DỮ LIỆU'!$R$3:$R$1052,$M125)))</f>
        <v/>
      </c>
      <c r="M125" s="0" t="str">
        <f aca="false">IFERROR(MATCH(120,'DỮ LIỆU'!$V$3:$V$1052,0),"")</f>
        <v/>
      </c>
    </row>
    <row r="126" customFormat="false" ht="15" hidden="false" customHeight="false" outlineLevel="0" collapsed="false">
      <c r="A126" s="21" t="str">
        <f aca="false">IF($M126="","",121)</f>
        <v/>
      </c>
      <c r="B126" s="13" t="str">
        <f aca="false">IF($M126="","",INDEX('DỮ LIỆU'!$A$3:$A$1052,$M126))</f>
        <v/>
      </c>
      <c r="C126" s="41" t="str">
        <f aca="false">IF($M126="","",IF(INDEX('DỮ LIỆU'!$B$3:$B$1052,$M126)="","",INDEX('DỮ LIỆU'!$B$3:$B$1052,$M126)))</f>
        <v/>
      </c>
      <c r="D126" s="21" t="str">
        <f aca="false">IF($M126="","",IF(INDEX('DỮ LIỆU'!$C$3:$C$1052,$M126)="","",INDEX('DỮ LIỆU'!$C$3:$C$1052,$M126)))</f>
        <v/>
      </c>
      <c r="E126" s="21" t="str">
        <f aca="false">IF($M126="","",IF(INDEX('DỮ LIỆU'!$D$3:$D$1052,$M126)="","",INDEX('DỮ LIỆU'!$D$3:$D$1052,$M126)))</f>
        <v/>
      </c>
      <c r="F126" s="21" t="str">
        <f aca="false">IF($M126="","",IF(INDEX('DỮ LIỆU'!$H$3:$H$1052,$M126)="","",INDEX('DỮ LIỆU'!$H$3:$H$1052,$M126)))</f>
        <v/>
      </c>
      <c r="G126" s="13" t="str">
        <f aca="false">IF($M126="","",N(INDEX('DỮ LIỆU'!$I$3:$I$1052,$M126)))</f>
        <v/>
      </c>
      <c r="H126" s="13" t="str">
        <f aca="false">IF($M126="","",N(INDEX('DỮ LIỆU'!$J$3:$J$1052,$M126)))</f>
        <v/>
      </c>
      <c r="I126" s="13" t="str">
        <f aca="false">IF($M126="","",N(INDEX('DỮ LIỆU'!$N$3:$N$1052,$M126)))</f>
        <v/>
      </c>
      <c r="J126" s="13" t="str">
        <f aca="false">IF($M126="","",N(INDEX('DỮ LIỆU'!$O$3:$O$1052,$M126)))</f>
        <v/>
      </c>
      <c r="K126" s="13" t="str">
        <f aca="false">IF($M126="","",IF(INDEX('DỮ LIỆU'!$Q$3:$Q$1052,$M126)="","",INDEX('DỮ LIỆU'!$Q$3:$Q$1052,$M126)))</f>
        <v/>
      </c>
      <c r="L126" s="21" t="str">
        <f aca="false">IF($M126="","",IF(INDEX('DỮ LIỆU'!$R$3:$R$1052,$M126)="","",INDEX('DỮ LIỆU'!$R$3:$R$1052,$M126)))</f>
        <v/>
      </c>
      <c r="M126" s="0" t="str">
        <f aca="false">IFERROR(MATCH(121,'DỮ LIỆU'!$V$3:$V$1052,0),"")</f>
        <v/>
      </c>
    </row>
    <row r="127" customFormat="false" ht="15" hidden="false" customHeight="false" outlineLevel="0" collapsed="false">
      <c r="A127" s="21" t="str">
        <f aca="false">IF($M127="","",122)</f>
        <v/>
      </c>
      <c r="B127" s="13" t="str">
        <f aca="false">IF($M127="","",INDEX('DỮ LIỆU'!$A$3:$A$1052,$M127))</f>
        <v/>
      </c>
      <c r="C127" s="41" t="str">
        <f aca="false">IF($M127="","",IF(INDEX('DỮ LIỆU'!$B$3:$B$1052,$M127)="","",INDEX('DỮ LIỆU'!$B$3:$B$1052,$M127)))</f>
        <v/>
      </c>
      <c r="D127" s="21" t="str">
        <f aca="false">IF($M127="","",IF(INDEX('DỮ LIỆU'!$C$3:$C$1052,$M127)="","",INDEX('DỮ LIỆU'!$C$3:$C$1052,$M127)))</f>
        <v/>
      </c>
      <c r="E127" s="21" t="str">
        <f aca="false">IF($M127="","",IF(INDEX('DỮ LIỆU'!$D$3:$D$1052,$M127)="","",INDEX('DỮ LIỆU'!$D$3:$D$1052,$M127)))</f>
        <v/>
      </c>
      <c r="F127" s="21" t="str">
        <f aca="false">IF($M127="","",IF(INDEX('DỮ LIỆU'!$H$3:$H$1052,$M127)="","",INDEX('DỮ LIỆU'!$H$3:$H$1052,$M127)))</f>
        <v/>
      </c>
      <c r="G127" s="13" t="str">
        <f aca="false">IF($M127="","",N(INDEX('DỮ LIỆU'!$I$3:$I$1052,$M127)))</f>
        <v/>
      </c>
      <c r="H127" s="13" t="str">
        <f aca="false">IF($M127="","",N(INDEX('DỮ LIỆU'!$J$3:$J$1052,$M127)))</f>
        <v/>
      </c>
      <c r="I127" s="13" t="str">
        <f aca="false">IF($M127="","",N(INDEX('DỮ LIỆU'!$N$3:$N$1052,$M127)))</f>
        <v/>
      </c>
      <c r="J127" s="13" t="str">
        <f aca="false">IF($M127="","",N(INDEX('DỮ LIỆU'!$O$3:$O$1052,$M127)))</f>
        <v/>
      </c>
      <c r="K127" s="13" t="str">
        <f aca="false">IF($M127="","",IF(INDEX('DỮ LIỆU'!$Q$3:$Q$1052,$M127)="","",INDEX('DỮ LIỆU'!$Q$3:$Q$1052,$M127)))</f>
        <v/>
      </c>
      <c r="L127" s="21" t="str">
        <f aca="false">IF($M127="","",IF(INDEX('DỮ LIỆU'!$R$3:$R$1052,$M127)="","",INDEX('DỮ LIỆU'!$R$3:$R$1052,$M127)))</f>
        <v/>
      </c>
      <c r="M127" s="0" t="str">
        <f aca="false">IFERROR(MATCH(122,'DỮ LIỆU'!$V$3:$V$1052,0),"")</f>
        <v/>
      </c>
    </row>
    <row r="128" customFormat="false" ht="15" hidden="false" customHeight="false" outlineLevel="0" collapsed="false">
      <c r="A128" s="21" t="str">
        <f aca="false">IF($M128="","",123)</f>
        <v/>
      </c>
      <c r="B128" s="13" t="str">
        <f aca="false">IF($M128="","",INDEX('DỮ LIỆU'!$A$3:$A$1052,$M128))</f>
        <v/>
      </c>
      <c r="C128" s="41" t="str">
        <f aca="false">IF($M128="","",IF(INDEX('DỮ LIỆU'!$B$3:$B$1052,$M128)="","",INDEX('DỮ LIỆU'!$B$3:$B$1052,$M128)))</f>
        <v/>
      </c>
      <c r="D128" s="21" t="str">
        <f aca="false">IF($M128="","",IF(INDEX('DỮ LIỆU'!$C$3:$C$1052,$M128)="","",INDEX('DỮ LIỆU'!$C$3:$C$1052,$M128)))</f>
        <v/>
      </c>
      <c r="E128" s="21" t="str">
        <f aca="false">IF($M128="","",IF(INDEX('DỮ LIỆU'!$D$3:$D$1052,$M128)="","",INDEX('DỮ LIỆU'!$D$3:$D$1052,$M128)))</f>
        <v/>
      </c>
      <c r="F128" s="21" t="str">
        <f aca="false">IF($M128="","",IF(INDEX('DỮ LIỆU'!$H$3:$H$1052,$M128)="","",INDEX('DỮ LIỆU'!$H$3:$H$1052,$M128)))</f>
        <v/>
      </c>
      <c r="G128" s="13" t="str">
        <f aca="false">IF($M128="","",N(INDEX('DỮ LIỆU'!$I$3:$I$1052,$M128)))</f>
        <v/>
      </c>
      <c r="H128" s="13" t="str">
        <f aca="false">IF($M128="","",N(INDEX('DỮ LIỆU'!$J$3:$J$1052,$M128)))</f>
        <v/>
      </c>
      <c r="I128" s="13" t="str">
        <f aca="false">IF($M128="","",N(INDEX('DỮ LIỆU'!$N$3:$N$1052,$M128)))</f>
        <v/>
      </c>
      <c r="J128" s="13" t="str">
        <f aca="false">IF($M128="","",N(INDEX('DỮ LIỆU'!$O$3:$O$1052,$M128)))</f>
        <v/>
      </c>
      <c r="K128" s="13" t="str">
        <f aca="false">IF($M128="","",IF(INDEX('DỮ LIỆU'!$Q$3:$Q$1052,$M128)="","",INDEX('DỮ LIỆU'!$Q$3:$Q$1052,$M128)))</f>
        <v/>
      </c>
      <c r="L128" s="21" t="str">
        <f aca="false">IF($M128="","",IF(INDEX('DỮ LIỆU'!$R$3:$R$1052,$M128)="","",INDEX('DỮ LIỆU'!$R$3:$R$1052,$M128)))</f>
        <v/>
      </c>
      <c r="M128" s="0" t="str">
        <f aca="false">IFERROR(MATCH(123,'DỮ LIỆU'!$V$3:$V$1052,0),"")</f>
        <v/>
      </c>
    </row>
    <row r="129" customFormat="false" ht="15" hidden="false" customHeight="false" outlineLevel="0" collapsed="false">
      <c r="A129" s="21" t="str">
        <f aca="false">IF($M129="","",124)</f>
        <v/>
      </c>
      <c r="B129" s="13" t="str">
        <f aca="false">IF($M129="","",INDEX('DỮ LIỆU'!$A$3:$A$1052,$M129))</f>
        <v/>
      </c>
      <c r="C129" s="41" t="str">
        <f aca="false">IF($M129="","",IF(INDEX('DỮ LIỆU'!$B$3:$B$1052,$M129)="","",INDEX('DỮ LIỆU'!$B$3:$B$1052,$M129)))</f>
        <v/>
      </c>
      <c r="D129" s="21" t="str">
        <f aca="false">IF($M129="","",IF(INDEX('DỮ LIỆU'!$C$3:$C$1052,$M129)="","",INDEX('DỮ LIỆU'!$C$3:$C$1052,$M129)))</f>
        <v/>
      </c>
      <c r="E129" s="21" t="str">
        <f aca="false">IF($M129="","",IF(INDEX('DỮ LIỆU'!$D$3:$D$1052,$M129)="","",INDEX('DỮ LIỆU'!$D$3:$D$1052,$M129)))</f>
        <v/>
      </c>
      <c r="F129" s="21" t="str">
        <f aca="false">IF($M129="","",IF(INDEX('DỮ LIỆU'!$H$3:$H$1052,$M129)="","",INDEX('DỮ LIỆU'!$H$3:$H$1052,$M129)))</f>
        <v/>
      </c>
      <c r="G129" s="13" t="str">
        <f aca="false">IF($M129="","",N(INDEX('DỮ LIỆU'!$I$3:$I$1052,$M129)))</f>
        <v/>
      </c>
      <c r="H129" s="13" t="str">
        <f aca="false">IF($M129="","",N(INDEX('DỮ LIỆU'!$J$3:$J$1052,$M129)))</f>
        <v/>
      </c>
      <c r="I129" s="13" t="str">
        <f aca="false">IF($M129="","",N(INDEX('DỮ LIỆU'!$N$3:$N$1052,$M129)))</f>
        <v/>
      </c>
      <c r="J129" s="13" t="str">
        <f aca="false">IF($M129="","",N(INDEX('DỮ LIỆU'!$O$3:$O$1052,$M129)))</f>
        <v/>
      </c>
      <c r="K129" s="13" t="str">
        <f aca="false">IF($M129="","",IF(INDEX('DỮ LIỆU'!$Q$3:$Q$1052,$M129)="","",INDEX('DỮ LIỆU'!$Q$3:$Q$1052,$M129)))</f>
        <v/>
      </c>
      <c r="L129" s="21" t="str">
        <f aca="false">IF($M129="","",IF(INDEX('DỮ LIỆU'!$R$3:$R$1052,$M129)="","",INDEX('DỮ LIỆU'!$R$3:$R$1052,$M129)))</f>
        <v/>
      </c>
      <c r="M129" s="0" t="str">
        <f aca="false">IFERROR(MATCH(124,'DỮ LIỆU'!$V$3:$V$1052,0),"")</f>
        <v/>
      </c>
    </row>
    <row r="130" customFormat="false" ht="15" hidden="false" customHeight="false" outlineLevel="0" collapsed="false">
      <c r="A130" s="21" t="str">
        <f aca="false">IF($M130="","",125)</f>
        <v/>
      </c>
      <c r="B130" s="13" t="str">
        <f aca="false">IF($M130="","",INDEX('DỮ LIỆU'!$A$3:$A$1052,$M130))</f>
        <v/>
      </c>
      <c r="C130" s="41" t="str">
        <f aca="false">IF($M130="","",IF(INDEX('DỮ LIỆU'!$B$3:$B$1052,$M130)="","",INDEX('DỮ LIỆU'!$B$3:$B$1052,$M130)))</f>
        <v/>
      </c>
      <c r="D130" s="21" t="str">
        <f aca="false">IF($M130="","",IF(INDEX('DỮ LIỆU'!$C$3:$C$1052,$M130)="","",INDEX('DỮ LIỆU'!$C$3:$C$1052,$M130)))</f>
        <v/>
      </c>
      <c r="E130" s="21" t="str">
        <f aca="false">IF($M130="","",IF(INDEX('DỮ LIỆU'!$D$3:$D$1052,$M130)="","",INDEX('DỮ LIỆU'!$D$3:$D$1052,$M130)))</f>
        <v/>
      </c>
      <c r="F130" s="21" t="str">
        <f aca="false">IF($M130="","",IF(INDEX('DỮ LIỆU'!$H$3:$H$1052,$M130)="","",INDEX('DỮ LIỆU'!$H$3:$H$1052,$M130)))</f>
        <v/>
      </c>
      <c r="G130" s="13" t="str">
        <f aca="false">IF($M130="","",N(INDEX('DỮ LIỆU'!$I$3:$I$1052,$M130)))</f>
        <v/>
      </c>
      <c r="H130" s="13" t="str">
        <f aca="false">IF($M130="","",N(INDEX('DỮ LIỆU'!$J$3:$J$1052,$M130)))</f>
        <v/>
      </c>
      <c r="I130" s="13" t="str">
        <f aca="false">IF($M130="","",N(INDEX('DỮ LIỆU'!$N$3:$N$1052,$M130)))</f>
        <v/>
      </c>
      <c r="J130" s="13" t="str">
        <f aca="false">IF($M130="","",N(INDEX('DỮ LIỆU'!$O$3:$O$1052,$M130)))</f>
        <v/>
      </c>
      <c r="K130" s="13" t="str">
        <f aca="false">IF($M130="","",IF(INDEX('DỮ LIỆU'!$Q$3:$Q$1052,$M130)="","",INDEX('DỮ LIỆU'!$Q$3:$Q$1052,$M130)))</f>
        <v/>
      </c>
      <c r="L130" s="21" t="str">
        <f aca="false">IF($M130="","",IF(INDEX('DỮ LIỆU'!$R$3:$R$1052,$M130)="","",INDEX('DỮ LIỆU'!$R$3:$R$1052,$M130)))</f>
        <v/>
      </c>
      <c r="M130" s="0" t="str">
        <f aca="false">IFERROR(MATCH(125,'DỮ LIỆU'!$V$3:$V$1052,0),"")</f>
        <v/>
      </c>
    </row>
    <row r="131" customFormat="false" ht="15" hidden="false" customHeight="false" outlineLevel="0" collapsed="false">
      <c r="A131" s="21" t="str">
        <f aca="false">IF($M131="","",126)</f>
        <v/>
      </c>
      <c r="B131" s="13" t="str">
        <f aca="false">IF($M131="","",INDEX('DỮ LIỆU'!$A$3:$A$1052,$M131))</f>
        <v/>
      </c>
      <c r="C131" s="41" t="str">
        <f aca="false">IF($M131="","",IF(INDEX('DỮ LIỆU'!$B$3:$B$1052,$M131)="","",INDEX('DỮ LIỆU'!$B$3:$B$1052,$M131)))</f>
        <v/>
      </c>
      <c r="D131" s="21" t="str">
        <f aca="false">IF($M131="","",IF(INDEX('DỮ LIỆU'!$C$3:$C$1052,$M131)="","",INDEX('DỮ LIỆU'!$C$3:$C$1052,$M131)))</f>
        <v/>
      </c>
      <c r="E131" s="21" t="str">
        <f aca="false">IF($M131="","",IF(INDEX('DỮ LIỆU'!$D$3:$D$1052,$M131)="","",INDEX('DỮ LIỆU'!$D$3:$D$1052,$M131)))</f>
        <v/>
      </c>
      <c r="F131" s="21" t="str">
        <f aca="false">IF($M131="","",IF(INDEX('DỮ LIỆU'!$H$3:$H$1052,$M131)="","",INDEX('DỮ LIỆU'!$H$3:$H$1052,$M131)))</f>
        <v/>
      </c>
      <c r="G131" s="13" t="str">
        <f aca="false">IF($M131="","",N(INDEX('DỮ LIỆU'!$I$3:$I$1052,$M131)))</f>
        <v/>
      </c>
      <c r="H131" s="13" t="str">
        <f aca="false">IF($M131="","",N(INDEX('DỮ LIỆU'!$J$3:$J$1052,$M131)))</f>
        <v/>
      </c>
      <c r="I131" s="13" t="str">
        <f aca="false">IF($M131="","",N(INDEX('DỮ LIỆU'!$N$3:$N$1052,$M131)))</f>
        <v/>
      </c>
      <c r="J131" s="13" t="str">
        <f aca="false">IF($M131="","",N(INDEX('DỮ LIỆU'!$O$3:$O$1052,$M131)))</f>
        <v/>
      </c>
      <c r="K131" s="13" t="str">
        <f aca="false">IF($M131="","",IF(INDEX('DỮ LIỆU'!$Q$3:$Q$1052,$M131)="","",INDEX('DỮ LIỆU'!$Q$3:$Q$1052,$M131)))</f>
        <v/>
      </c>
      <c r="L131" s="21" t="str">
        <f aca="false">IF($M131="","",IF(INDEX('DỮ LIỆU'!$R$3:$R$1052,$M131)="","",INDEX('DỮ LIỆU'!$R$3:$R$1052,$M131)))</f>
        <v/>
      </c>
      <c r="M131" s="0" t="str">
        <f aca="false">IFERROR(MATCH(126,'DỮ LIỆU'!$V$3:$V$1052,0),"")</f>
        <v/>
      </c>
    </row>
    <row r="132" customFormat="false" ht="15" hidden="false" customHeight="false" outlineLevel="0" collapsed="false">
      <c r="A132" s="21" t="str">
        <f aca="false">IF($M132="","",127)</f>
        <v/>
      </c>
      <c r="B132" s="13" t="str">
        <f aca="false">IF($M132="","",INDEX('DỮ LIỆU'!$A$3:$A$1052,$M132))</f>
        <v/>
      </c>
      <c r="C132" s="41" t="str">
        <f aca="false">IF($M132="","",IF(INDEX('DỮ LIỆU'!$B$3:$B$1052,$M132)="","",INDEX('DỮ LIỆU'!$B$3:$B$1052,$M132)))</f>
        <v/>
      </c>
      <c r="D132" s="21" t="str">
        <f aca="false">IF($M132="","",IF(INDEX('DỮ LIỆU'!$C$3:$C$1052,$M132)="","",INDEX('DỮ LIỆU'!$C$3:$C$1052,$M132)))</f>
        <v/>
      </c>
      <c r="E132" s="21" t="str">
        <f aca="false">IF($M132="","",IF(INDEX('DỮ LIỆU'!$D$3:$D$1052,$M132)="","",INDEX('DỮ LIỆU'!$D$3:$D$1052,$M132)))</f>
        <v/>
      </c>
      <c r="F132" s="21" t="str">
        <f aca="false">IF($M132="","",IF(INDEX('DỮ LIỆU'!$H$3:$H$1052,$M132)="","",INDEX('DỮ LIỆU'!$H$3:$H$1052,$M132)))</f>
        <v/>
      </c>
      <c r="G132" s="13" t="str">
        <f aca="false">IF($M132="","",N(INDEX('DỮ LIỆU'!$I$3:$I$1052,$M132)))</f>
        <v/>
      </c>
      <c r="H132" s="13" t="str">
        <f aca="false">IF($M132="","",N(INDEX('DỮ LIỆU'!$J$3:$J$1052,$M132)))</f>
        <v/>
      </c>
      <c r="I132" s="13" t="str">
        <f aca="false">IF($M132="","",N(INDEX('DỮ LIỆU'!$N$3:$N$1052,$M132)))</f>
        <v/>
      </c>
      <c r="J132" s="13" t="str">
        <f aca="false">IF($M132="","",N(INDEX('DỮ LIỆU'!$O$3:$O$1052,$M132)))</f>
        <v/>
      </c>
      <c r="K132" s="13" t="str">
        <f aca="false">IF($M132="","",IF(INDEX('DỮ LIỆU'!$Q$3:$Q$1052,$M132)="","",INDEX('DỮ LIỆU'!$Q$3:$Q$1052,$M132)))</f>
        <v/>
      </c>
      <c r="L132" s="21" t="str">
        <f aca="false">IF($M132="","",IF(INDEX('DỮ LIỆU'!$R$3:$R$1052,$M132)="","",INDEX('DỮ LIỆU'!$R$3:$R$1052,$M132)))</f>
        <v/>
      </c>
      <c r="M132" s="0" t="str">
        <f aca="false">IFERROR(MATCH(127,'DỮ LIỆU'!$V$3:$V$1052,0),"")</f>
        <v/>
      </c>
    </row>
    <row r="133" customFormat="false" ht="15" hidden="false" customHeight="false" outlineLevel="0" collapsed="false">
      <c r="A133" s="21" t="str">
        <f aca="false">IF($M133="","",128)</f>
        <v/>
      </c>
      <c r="B133" s="13" t="str">
        <f aca="false">IF($M133="","",INDEX('DỮ LIỆU'!$A$3:$A$1052,$M133))</f>
        <v/>
      </c>
      <c r="C133" s="41" t="str">
        <f aca="false">IF($M133="","",IF(INDEX('DỮ LIỆU'!$B$3:$B$1052,$M133)="","",INDEX('DỮ LIỆU'!$B$3:$B$1052,$M133)))</f>
        <v/>
      </c>
      <c r="D133" s="21" t="str">
        <f aca="false">IF($M133="","",IF(INDEX('DỮ LIỆU'!$C$3:$C$1052,$M133)="","",INDEX('DỮ LIỆU'!$C$3:$C$1052,$M133)))</f>
        <v/>
      </c>
      <c r="E133" s="21" t="str">
        <f aca="false">IF($M133="","",IF(INDEX('DỮ LIỆU'!$D$3:$D$1052,$M133)="","",INDEX('DỮ LIỆU'!$D$3:$D$1052,$M133)))</f>
        <v/>
      </c>
      <c r="F133" s="21" t="str">
        <f aca="false">IF($M133="","",IF(INDEX('DỮ LIỆU'!$H$3:$H$1052,$M133)="","",INDEX('DỮ LIỆU'!$H$3:$H$1052,$M133)))</f>
        <v/>
      </c>
      <c r="G133" s="13" t="str">
        <f aca="false">IF($M133="","",N(INDEX('DỮ LIỆU'!$I$3:$I$1052,$M133)))</f>
        <v/>
      </c>
      <c r="H133" s="13" t="str">
        <f aca="false">IF($M133="","",N(INDEX('DỮ LIỆU'!$J$3:$J$1052,$M133)))</f>
        <v/>
      </c>
      <c r="I133" s="13" t="str">
        <f aca="false">IF($M133="","",N(INDEX('DỮ LIỆU'!$N$3:$N$1052,$M133)))</f>
        <v/>
      </c>
      <c r="J133" s="13" t="str">
        <f aca="false">IF($M133="","",N(INDEX('DỮ LIỆU'!$O$3:$O$1052,$M133)))</f>
        <v/>
      </c>
      <c r="K133" s="13" t="str">
        <f aca="false">IF($M133="","",IF(INDEX('DỮ LIỆU'!$Q$3:$Q$1052,$M133)="","",INDEX('DỮ LIỆU'!$Q$3:$Q$1052,$M133)))</f>
        <v/>
      </c>
      <c r="L133" s="21" t="str">
        <f aca="false">IF($M133="","",IF(INDEX('DỮ LIỆU'!$R$3:$R$1052,$M133)="","",INDEX('DỮ LIỆU'!$R$3:$R$1052,$M133)))</f>
        <v/>
      </c>
      <c r="M133" s="0" t="str">
        <f aca="false">IFERROR(MATCH(128,'DỮ LIỆU'!$V$3:$V$1052,0),"")</f>
        <v/>
      </c>
    </row>
    <row r="134" customFormat="false" ht="15" hidden="false" customHeight="false" outlineLevel="0" collapsed="false">
      <c r="A134" s="21" t="str">
        <f aca="false">IF($M134="","",129)</f>
        <v/>
      </c>
      <c r="B134" s="13" t="str">
        <f aca="false">IF($M134="","",INDEX('DỮ LIỆU'!$A$3:$A$1052,$M134))</f>
        <v/>
      </c>
      <c r="C134" s="41" t="str">
        <f aca="false">IF($M134="","",IF(INDEX('DỮ LIỆU'!$B$3:$B$1052,$M134)="","",INDEX('DỮ LIỆU'!$B$3:$B$1052,$M134)))</f>
        <v/>
      </c>
      <c r="D134" s="21" t="str">
        <f aca="false">IF($M134="","",IF(INDEX('DỮ LIỆU'!$C$3:$C$1052,$M134)="","",INDEX('DỮ LIỆU'!$C$3:$C$1052,$M134)))</f>
        <v/>
      </c>
      <c r="E134" s="21" t="str">
        <f aca="false">IF($M134="","",IF(INDEX('DỮ LIỆU'!$D$3:$D$1052,$M134)="","",INDEX('DỮ LIỆU'!$D$3:$D$1052,$M134)))</f>
        <v/>
      </c>
      <c r="F134" s="21" t="str">
        <f aca="false">IF($M134="","",IF(INDEX('DỮ LIỆU'!$H$3:$H$1052,$M134)="","",INDEX('DỮ LIỆU'!$H$3:$H$1052,$M134)))</f>
        <v/>
      </c>
      <c r="G134" s="13" t="str">
        <f aca="false">IF($M134="","",N(INDEX('DỮ LIỆU'!$I$3:$I$1052,$M134)))</f>
        <v/>
      </c>
      <c r="H134" s="13" t="str">
        <f aca="false">IF($M134="","",N(INDEX('DỮ LIỆU'!$J$3:$J$1052,$M134)))</f>
        <v/>
      </c>
      <c r="I134" s="13" t="str">
        <f aca="false">IF($M134="","",N(INDEX('DỮ LIỆU'!$N$3:$N$1052,$M134)))</f>
        <v/>
      </c>
      <c r="J134" s="13" t="str">
        <f aca="false">IF($M134="","",N(INDEX('DỮ LIỆU'!$O$3:$O$1052,$M134)))</f>
        <v/>
      </c>
      <c r="K134" s="13" t="str">
        <f aca="false">IF($M134="","",IF(INDEX('DỮ LIỆU'!$Q$3:$Q$1052,$M134)="","",INDEX('DỮ LIỆU'!$Q$3:$Q$1052,$M134)))</f>
        <v/>
      </c>
      <c r="L134" s="21" t="str">
        <f aca="false">IF($M134="","",IF(INDEX('DỮ LIỆU'!$R$3:$R$1052,$M134)="","",INDEX('DỮ LIỆU'!$R$3:$R$1052,$M134)))</f>
        <v/>
      </c>
      <c r="M134" s="0" t="str">
        <f aca="false">IFERROR(MATCH(129,'DỮ LIỆU'!$V$3:$V$1052,0),"")</f>
        <v/>
      </c>
    </row>
    <row r="135" customFormat="false" ht="15" hidden="false" customHeight="false" outlineLevel="0" collapsed="false">
      <c r="A135" s="21" t="str">
        <f aca="false">IF($M135="","",130)</f>
        <v/>
      </c>
      <c r="B135" s="13" t="str">
        <f aca="false">IF($M135="","",INDEX('DỮ LIỆU'!$A$3:$A$1052,$M135))</f>
        <v/>
      </c>
      <c r="C135" s="41" t="str">
        <f aca="false">IF($M135="","",IF(INDEX('DỮ LIỆU'!$B$3:$B$1052,$M135)="","",INDEX('DỮ LIỆU'!$B$3:$B$1052,$M135)))</f>
        <v/>
      </c>
      <c r="D135" s="21" t="str">
        <f aca="false">IF($M135="","",IF(INDEX('DỮ LIỆU'!$C$3:$C$1052,$M135)="","",INDEX('DỮ LIỆU'!$C$3:$C$1052,$M135)))</f>
        <v/>
      </c>
      <c r="E135" s="21" t="str">
        <f aca="false">IF($M135="","",IF(INDEX('DỮ LIỆU'!$D$3:$D$1052,$M135)="","",INDEX('DỮ LIỆU'!$D$3:$D$1052,$M135)))</f>
        <v/>
      </c>
      <c r="F135" s="21" t="str">
        <f aca="false">IF($M135="","",IF(INDEX('DỮ LIỆU'!$H$3:$H$1052,$M135)="","",INDEX('DỮ LIỆU'!$H$3:$H$1052,$M135)))</f>
        <v/>
      </c>
      <c r="G135" s="13" t="str">
        <f aca="false">IF($M135="","",N(INDEX('DỮ LIỆU'!$I$3:$I$1052,$M135)))</f>
        <v/>
      </c>
      <c r="H135" s="13" t="str">
        <f aca="false">IF($M135="","",N(INDEX('DỮ LIỆU'!$J$3:$J$1052,$M135)))</f>
        <v/>
      </c>
      <c r="I135" s="13" t="str">
        <f aca="false">IF($M135="","",N(INDEX('DỮ LIỆU'!$N$3:$N$1052,$M135)))</f>
        <v/>
      </c>
      <c r="J135" s="13" t="str">
        <f aca="false">IF($M135="","",N(INDEX('DỮ LIỆU'!$O$3:$O$1052,$M135)))</f>
        <v/>
      </c>
      <c r="K135" s="13" t="str">
        <f aca="false">IF($M135="","",IF(INDEX('DỮ LIỆU'!$Q$3:$Q$1052,$M135)="","",INDEX('DỮ LIỆU'!$Q$3:$Q$1052,$M135)))</f>
        <v/>
      </c>
      <c r="L135" s="21" t="str">
        <f aca="false">IF($M135="","",IF(INDEX('DỮ LIỆU'!$R$3:$R$1052,$M135)="","",INDEX('DỮ LIỆU'!$R$3:$R$1052,$M135)))</f>
        <v/>
      </c>
      <c r="M135" s="0" t="str">
        <f aca="false">IFERROR(MATCH(130,'DỮ LIỆU'!$V$3:$V$1052,0),"")</f>
        <v/>
      </c>
    </row>
    <row r="136" customFormat="false" ht="15" hidden="false" customHeight="false" outlineLevel="0" collapsed="false">
      <c r="A136" s="21" t="str">
        <f aca="false">IF($M136="","",131)</f>
        <v/>
      </c>
      <c r="B136" s="13" t="str">
        <f aca="false">IF($M136="","",INDEX('DỮ LIỆU'!$A$3:$A$1052,$M136))</f>
        <v/>
      </c>
      <c r="C136" s="41" t="str">
        <f aca="false">IF($M136="","",IF(INDEX('DỮ LIỆU'!$B$3:$B$1052,$M136)="","",INDEX('DỮ LIỆU'!$B$3:$B$1052,$M136)))</f>
        <v/>
      </c>
      <c r="D136" s="21" t="str">
        <f aca="false">IF($M136="","",IF(INDEX('DỮ LIỆU'!$C$3:$C$1052,$M136)="","",INDEX('DỮ LIỆU'!$C$3:$C$1052,$M136)))</f>
        <v/>
      </c>
      <c r="E136" s="21" t="str">
        <f aca="false">IF($M136="","",IF(INDEX('DỮ LIỆU'!$D$3:$D$1052,$M136)="","",INDEX('DỮ LIỆU'!$D$3:$D$1052,$M136)))</f>
        <v/>
      </c>
      <c r="F136" s="21" t="str">
        <f aca="false">IF($M136="","",IF(INDEX('DỮ LIỆU'!$H$3:$H$1052,$M136)="","",INDEX('DỮ LIỆU'!$H$3:$H$1052,$M136)))</f>
        <v/>
      </c>
      <c r="G136" s="13" t="str">
        <f aca="false">IF($M136="","",N(INDEX('DỮ LIỆU'!$I$3:$I$1052,$M136)))</f>
        <v/>
      </c>
      <c r="H136" s="13" t="str">
        <f aca="false">IF($M136="","",N(INDEX('DỮ LIỆU'!$J$3:$J$1052,$M136)))</f>
        <v/>
      </c>
      <c r="I136" s="13" t="str">
        <f aca="false">IF($M136="","",N(INDEX('DỮ LIỆU'!$N$3:$N$1052,$M136)))</f>
        <v/>
      </c>
      <c r="J136" s="13" t="str">
        <f aca="false">IF($M136="","",N(INDEX('DỮ LIỆU'!$O$3:$O$1052,$M136)))</f>
        <v/>
      </c>
      <c r="K136" s="13" t="str">
        <f aca="false">IF($M136="","",IF(INDEX('DỮ LIỆU'!$Q$3:$Q$1052,$M136)="","",INDEX('DỮ LIỆU'!$Q$3:$Q$1052,$M136)))</f>
        <v/>
      </c>
      <c r="L136" s="21" t="str">
        <f aca="false">IF($M136="","",IF(INDEX('DỮ LIỆU'!$R$3:$R$1052,$M136)="","",INDEX('DỮ LIỆU'!$R$3:$R$1052,$M136)))</f>
        <v/>
      </c>
      <c r="M136" s="0" t="str">
        <f aca="false">IFERROR(MATCH(131,'DỮ LIỆU'!$V$3:$V$1052,0),"")</f>
        <v/>
      </c>
    </row>
    <row r="137" customFormat="false" ht="15" hidden="false" customHeight="false" outlineLevel="0" collapsed="false">
      <c r="A137" s="21" t="str">
        <f aca="false">IF($M137="","",132)</f>
        <v/>
      </c>
      <c r="B137" s="13" t="str">
        <f aca="false">IF($M137="","",INDEX('DỮ LIỆU'!$A$3:$A$1052,$M137))</f>
        <v/>
      </c>
      <c r="C137" s="41" t="str">
        <f aca="false">IF($M137="","",IF(INDEX('DỮ LIỆU'!$B$3:$B$1052,$M137)="","",INDEX('DỮ LIỆU'!$B$3:$B$1052,$M137)))</f>
        <v/>
      </c>
      <c r="D137" s="21" t="str">
        <f aca="false">IF($M137="","",IF(INDEX('DỮ LIỆU'!$C$3:$C$1052,$M137)="","",INDEX('DỮ LIỆU'!$C$3:$C$1052,$M137)))</f>
        <v/>
      </c>
      <c r="E137" s="21" t="str">
        <f aca="false">IF($M137="","",IF(INDEX('DỮ LIỆU'!$D$3:$D$1052,$M137)="","",INDEX('DỮ LIỆU'!$D$3:$D$1052,$M137)))</f>
        <v/>
      </c>
      <c r="F137" s="21" t="str">
        <f aca="false">IF($M137="","",IF(INDEX('DỮ LIỆU'!$H$3:$H$1052,$M137)="","",INDEX('DỮ LIỆU'!$H$3:$H$1052,$M137)))</f>
        <v/>
      </c>
      <c r="G137" s="13" t="str">
        <f aca="false">IF($M137="","",N(INDEX('DỮ LIỆU'!$I$3:$I$1052,$M137)))</f>
        <v/>
      </c>
      <c r="H137" s="13" t="str">
        <f aca="false">IF($M137="","",N(INDEX('DỮ LIỆU'!$J$3:$J$1052,$M137)))</f>
        <v/>
      </c>
      <c r="I137" s="13" t="str">
        <f aca="false">IF($M137="","",N(INDEX('DỮ LIỆU'!$N$3:$N$1052,$M137)))</f>
        <v/>
      </c>
      <c r="J137" s="13" t="str">
        <f aca="false">IF($M137="","",N(INDEX('DỮ LIỆU'!$O$3:$O$1052,$M137)))</f>
        <v/>
      </c>
      <c r="K137" s="13" t="str">
        <f aca="false">IF($M137="","",IF(INDEX('DỮ LIỆU'!$Q$3:$Q$1052,$M137)="","",INDEX('DỮ LIỆU'!$Q$3:$Q$1052,$M137)))</f>
        <v/>
      </c>
      <c r="L137" s="21" t="str">
        <f aca="false">IF($M137="","",IF(INDEX('DỮ LIỆU'!$R$3:$R$1052,$M137)="","",INDEX('DỮ LIỆU'!$R$3:$R$1052,$M137)))</f>
        <v/>
      </c>
      <c r="M137" s="0" t="str">
        <f aca="false">IFERROR(MATCH(132,'DỮ LIỆU'!$V$3:$V$1052,0),"")</f>
        <v/>
      </c>
    </row>
    <row r="138" customFormat="false" ht="15" hidden="false" customHeight="false" outlineLevel="0" collapsed="false">
      <c r="A138" s="21" t="str">
        <f aca="false">IF($M138="","",133)</f>
        <v/>
      </c>
      <c r="B138" s="13" t="str">
        <f aca="false">IF($M138="","",INDEX('DỮ LIỆU'!$A$3:$A$1052,$M138))</f>
        <v/>
      </c>
      <c r="C138" s="41" t="str">
        <f aca="false">IF($M138="","",IF(INDEX('DỮ LIỆU'!$B$3:$B$1052,$M138)="","",INDEX('DỮ LIỆU'!$B$3:$B$1052,$M138)))</f>
        <v/>
      </c>
      <c r="D138" s="21" t="str">
        <f aca="false">IF($M138="","",IF(INDEX('DỮ LIỆU'!$C$3:$C$1052,$M138)="","",INDEX('DỮ LIỆU'!$C$3:$C$1052,$M138)))</f>
        <v/>
      </c>
      <c r="E138" s="21" t="str">
        <f aca="false">IF($M138="","",IF(INDEX('DỮ LIỆU'!$D$3:$D$1052,$M138)="","",INDEX('DỮ LIỆU'!$D$3:$D$1052,$M138)))</f>
        <v/>
      </c>
      <c r="F138" s="21" t="str">
        <f aca="false">IF($M138="","",IF(INDEX('DỮ LIỆU'!$H$3:$H$1052,$M138)="","",INDEX('DỮ LIỆU'!$H$3:$H$1052,$M138)))</f>
        <v/>
      </c>
      <c r="G138" s="13" t="str">
        <f aca="false">IF($M138="","",N(INDEX('DỮ LIỆU'!$I$3:$I$1052,$M138)))</f>
        <v/>
      </c>
      <c r="H138" s="13" t="str">
        <f aca="false">IF($M138="","",N(INDEX('DỮ LIỆU'!$J$3:$J$1052,$M138)))</f>
        <v/>
      </c>
      <c r="I138" s="13" t="str">
        <f aca="false">IF($M138="","",N(INDEX('DỮ LIỆU'!$N$3:$N$1052,$M138)))</f>
        <v/>
      </c>
      <c r="J138" s="13" t="str">
        <f aca="false">IF($M138="","",N(INDEX('DỮ LIỆU'!$O$3:$O$1052,$M138)))</f>
        <v/>
      </c>
      <c r="K138" s="13" t="str">
        <f aca="false">IF($M138="","",IF(INDEX('DỮ LIỆU'!$Q$3:$Q$1052,$M138)="","",INDEX('DỮ LIỆU'!$Q$3:$Q$1052,$M138)))</f>
        <v/>
      </c>
      <c r="L138" s="21" t="str">
        <f aca="false">IF($M138="","",IF(INDEX('DỮ LIỆU'!$R$3:$R$1052,$M138)="","",INDEX('DỮ LIỆU'!$R$3:$R$1052,$M138)))</f>
        <v/>
      </c>
      <c r="M138" s="0" t="str">
        <f aca="false">IFERROR(MATCH(133,'DỮ LIỆU'!$V$3:$V$1052,0),"")</f>
        <v/>
      </c>
    </row>
    <row r="139" customFormat="false" ht="15" hidden="false" customHeight="false" outlineLevel="0" collapsed="false">
      <c r="A139" s="21" t="str">
        <f aca="false">IF($M139="","",134)</f>
        <v/>
      </c>
      <c r="B139" s="13" t="str">
        <f aca="false">IF($M139="","",INDEX('DỮ LIỆU'!$A$3:$A$1052,$M139))</f>
        <v/>
      </c>
      <c r="C139" s="41" t="str">
        <f aca="false">IF($M139="","",IF(INDEX('DỮ LIỆU'!$B$3:$B$1052,$M139)="","",INDEX('DỮ LIỆU'!$B$3:$B$1052,$M139)))</f>
        <v/>
      </c>
      <c r="D139" s="21" t="str">
        <f aca="false">IF($M139="","",IF(INDEX('DỮ LIỆU'!$C$3:$C$1052,$M139)="","",INDEX('DỮ LIỆU'!$C$3:$C$1052,$M139)))</f>
        <v/>
      </c>
      <c r="E139" s="21" t="str">
        <f aca="false">IF($M139="","",IF(INDEX('DỮ LIỆU'!$D$3:$D$1052,$M139)="","",INDEX('DỮ LIỆU'!$D$3:$D$1052,$M139)))</f>
        <v/>
      </c>
      <c r="F139" s="21" t="str">
        <f aca="false">IF($M139="","",IF(INDEX('DỮ LIỆU'!$H$3:$H$1052,$M139)="","",INDEX('DỮ LIỆU'!$H$3:$H$1052,$M139)))</f>
        <v/>
      </c>
      <c r="G139" s="13" t="str">
        <f aca="false">IF($M139="","",N(INDEX('DỮ LIỆU'!$I$3:$I$1052,$M139)))</f>
        <v/>
      </c>
      <c r="H139" s="13" t="str">
        <f aca="false">IF($M139="","",N(INDEX('DỮ LIỆU'!$J$3:$J$1052,$M139)))</f>
        <v/>
      </c>
      <c r="I139" s="13" t="str">
        <f aca="false">IF($M139="","",N(INDEX('DỮ LIỆU'!$N$3:$N$1052,$M139)))</f>
        <v/>
      </c>
      <c r="J139" s="13" t="str">
        <f aca="false">IF($M139="","",N(INDEX('DỮ LIỆU'!$O$3:$O$1052,$M139)))</f>
        <v/>
      </c>
      <c r="K139" s="13" t="str">
        <f aca="false">IF($M139="","",IF(INDEX('DỮ LIỆU'!$Q$3:$Q$1052,$M139)="","",INDEX('DỮ LIỆU'!$Q$3:$Q$1052,$M139)))</f>
        <v/>
      </c>
      <c r="L139" s="21" t="str">
        <f aca="false">IF($M139="","",IF(INDEX('DỮ LIỆU'!$R$3:$R$1052,$M139)="","",INDEX('DỮ LIỆU'!$R$3:$R$1052,$M139)))</f>
        <v/>
      </c>
      <c r="M139" s="0" t="str">
        <f aca="false">IFERROR(MATCH(134,'DỮ LIỆU'!$V$3:$V$1052,0),"")</f>
        <v/>
      </c>
    </row>
    <row r="140" customFormat="false" ht="15" hidden="false" customHeight="false" outlineLevel="0" collapsed="false">
      <c r="A140" s="21" t="str">
        <f aca="false">IF($M140="","",135)</f>
        <v/>
      </c>
      <c r="B140" s="13" t="str">
        <f aca="false">IF($M140="","",INDEX('DỮ LIỆU'!$A$3:$A$1052,$M140))</f>
        <v/>
      </c>
      <c r="C140" s="41" t="str">
        <f aca="false">IF($M140="","",IF(INDEX('DỮ LIỆU'!$B$3:$B$1052,$M140)="","",INDEX('DỮ LIỆU'!$B$3:$B$1052,$M140)))</f>
        <v/>
      </c>
      <c r="D140" s="21" t="str">
        <f aca="false">IF($M140="","",IF(INDEX('DỮ LIỆU'!$C$3:$C$1052,$M140)="","",INDEX('DỮ LIỆU'!$C$3:$C$1052,$M140)))</f>
        <v/>
      </c>
      <c r="E140" s="21" t="str">
        <f aca="false">IF($M140="","",IF(INDEX('DỮ LIỆU'!$D$3:$D$1052,$M140)="","",INDEX('DỮ LIỆU'!$D$3:$D$1052,$M140)))</f>
        <v/>
      </c>
      <c r="F140" s="21" t="str">
        <f aca="false">IF($M140="","",IF(INDEX('DỮ LIỆU'!$H$3:$H$1052,$M140)="","",INDEX('DỮ LIỆU'!$H$3:$H$1052,$M140)))</f>
        <v/>
      </c>
      <c r="G140" s="13" t="str">
        <f aca="false">IF($M140="","",N(INDEX('DỮ LIỆU'!$I$3:$I$1052,$M140)))</f>
        <v/>
      </c>
      <c r="H140" s="13" t="str">
        <f aca="false">IF($M140="","",N(INDEX('DỮ LIỆU'!$J$3:$J$1052,$M140)))</f>
        <v/>
      </c>
      <c r="I140" s="13" t="str">
        <f aca="false">IF($M140="","",N(INDEX('DỮ LIỆU'!$N$3:$N$1052,$M140)))</f>
        <v/>
      </c>
      <c r="J140" s="13" t="str">
        <f aca="false">IF($M140="","",N(INDEX('DỮ LIỆU'!$O$3:$O$1052,$M140)))</f>
        <v/>
      </c>
      <c r="K140" s="13" t="str">
        <f aca="false">IF($M140="","",IF(INDEX('DỮ LIỆU'!$Q$3:$Q$1052,$M140)="","",INDEX('DỮ LIỆU'!$Q$3:$Q$1052,$M140)))</f>
        <v/>
      </c>
      <c r="L140" s="21" t="str">
        <f aca="false">IF($M140="","",IF(INDEX('DỮ LIỆU'!$R$3:$R$1052,$M140)="","",INDEX('DỮ LIỆU'!$R$3:$R$1052,$M140)))</f>
        <v/>
      </c>
      <c r="M140" s="0" t="str">
        <f aca="false">IFERROR(MATCH(135,'DỮ LIỆU'!$V$3:$V$1052,0),"")</f>
        <v/>
      </c>
    </row>
    <row r="141" customFormat="false" ht="15" hidden="false" customHeight="false" outlineLevel="0" collapsed="false">
      <c r="A141" s="21" t="str">
        <f aca="false">IF($M141="","",136)</f>
        <v/>
      </c>
      <c r="B141" s="13" t="str">
        <f aca="false">IF($M141="","",INDEX('DỮ LIỆU'!$A$3:$A$1052,$M141))</f>
        <v/>
      </c>
      <c r="C141" s="41" t="str">
        <f aca="false">IF($M141="","",IF(INDEX('DỮ LIỆU'!$B$3:$B$1052,$M141)="","",INDEX('DỮ LIỆU'!$B$3:$B$1052,$M141)))</f>
        <v/>
      </c>
      <c r="D141" s="21" t="str">
        <f aca="false">IF($M141="","",IF(INDEX('DỮ LIỆU'!$C$3:$C$1052,$M141)="","",INDEX('DỮ LIỆU'!$C$3:$C$1052,$M141)))</f>
        <v/>
      </c>
      <c r="E141" s="21" t="str">
        <f aca="false">IF($M141="","",IF(INDEX('DỮ LIỆU'!$D$3:$D$1052,$M141)="","",INDEX('DỮ LIỆU'!$D$3:$D$1052,$M141)))</f>
        <v/>
      </c>
      <c r="F141" s="21" t="str">
        <f aca="false">IF($M141="","",IF(INDEX('DỮ LIỆU'!$H$3:$H$1052,$M141)="","",INDEX('DỮ LIỆU'!$H$3:$H$1052,$M141)))</f>
        <v/>
      </c>
      <c r="G141" s="13" t="str">
        <f aca="false">IF($M141="","",N(INDEX('DỮ LIỆU'!$I$3:$I$1052,$M141)))</f>
        <v/>
      </c>
      <c r="H141" s="13" t="str">
        <f aca="false">IF($M141="","",N(INDEX('DỮ LIỆU'!$J$3:$J$1052,$M141)))</f>
        <v/>
      </c>
      <c r="I141" s="13" t="str">
        <f aca="false">IF($M141="","",N(INDEX('DỮ LIỆU'!$N$3:$N$1052,$M141)))</f>
        <v/>
      </c>
      <c r="J141" s="13" t="str">
        <f aca="false">IF($M141="","",N(INDEX('DỮ LIỆU'!$O$3:$O$1052,$M141)))</f>
        <v/>
      </c>
      <c r="K141" s="13" t="str">
        <f aca="false">IF($M141="","",IF(INDEX('DỮ LIỆU'!$Q$3:$Q$1052,$M141)="","",INDEX('DỮ LIỆU'!$Q$3:$Q$1052,$M141)))</f>
        <v/>
      </c>
      <c r="L141" s="21" t="str">
        <f aca="false">IF($M141="","",IF(INDEX('DỮ LIỆU'!$R$3:$R$1052,$M141)="","",INDEX('DỮ LIỆU'!$R$3:$R$1052,$M141)))</f>
        <v/>
      </c>
      <c r="M141" s="0" t="str">
        <f aca="false">IFERROR(MATCH(136,'DỮ LIỆU'!$V$3:$V$1052,0),"")</f>
        <v/>
      </c>
    </row>
    <row r="142" customFormat="false" ht="15" hidden="false" customHeight="false" outlineLevel="0" collapsed="false">
      <c r="A142" s="21" t="str">
        <f aca="false">IF($M142="","",137)</f>
        <v/>
      </c>
      <c r="B142" s="13" t="str">
        <f aca="false">IF($M142="","",INDEX('DỮ LIỆU'!$A$3:$A$1052,$M142))</f>
        <v/>
      </c>
      <c r="C142" s="41" t="str">
        <f aca="false">IF($M142="","",IF(INDEX('DỮ LIỆU'!$B$3:$B$1052,$M142)="","",INDEX('DỮ LIỆU'!$B$3:$B$1052,$M142)))</f>
        <v/>
      </c>
      <c r="D142" s="21" t="str">
        <f aca="false">IF($M142="","",IF(INDEX('DỮ LIỆU'!$C$3:$C$1052,$M142)="","",INDEX('DỮ LIỆU'!$C$3:$C$1052,$M142)))</f>
        <v/>
      </c>
      <c r="E142" s="21" t="str">
        <f aca="false">IF($M142="","",IF(INDEX('DỮ LIỆU'!$D$3:$D$1052,$M142)="","",INDEX('DỮ LIỆU'!$D$3:$D$1052,$M142)))</f>
        <v/>
      </c>
      <c r="F142" s="21" t="str">
        <f aca="false">IF($M142="","",IF(INDEX('DỮ LIỆU'!$H$3:$H$1052,$M142)="","",INDEX('DỮ LIỆU'!$H$3:$H$1052,$M142)))</f>
        <v/>
      </c>
      <c r="G142" s="13" t="str">
        <f aca="false">IF($M142="","",N(INDEX('DỮ LIỆU'!$I$3:$I$1052,$M142)))</f>
        <v/>
      </c>
      <c r="H142" s="13" t="str">
        <f aca="false">IF($M142="","",N(INDEX('DỮ LIỆU'!$J$3:$J$1052,$M142)))</f>
        <v/>
      </c>
      <c r="I142" s="13" t="str">
        <f aca="false">IF($M142="","",N(INDEX('DỮ LIỆU'!$N$3:$N$1052,$M142)))</f>
        <v/>
      </c>
      <c r="J142" s="13" t="str">
        <f aca="false">IF($M142="","",N(INDEX('DỮ LIỆU'!$O$3:$O$1052,$M142)))</f>
        <v/>
      </c>
      <c r="K142" s="13" t="str">
        <f aca="false">IF($M142="","",IF(INDEX('DỮ LIỆU'!$Q$3:$Q$1052,$M142)="","",INDEX('DỮ LIỆU'!$Q$3:$Q$1052,$M142)))</f>
        <v/>
      </c>
      <c r="L142" s="21" t="str">
        <f aca="false">IF($M142="","",IF(INDEX('DỮ LIỆU'!$R$3:$R$1052,$M142)="","",INDEX('DỮ LIỆU'!$R$3:$R$1052,$M142)))</f>
        <v/>
      </c>
      <c r="M142" s="0" t="str">
        <f aca="false">IFERROR(MATCH(137,'DỮ LIỆU'!$V$3:$V$1052,0),"")</f>
        <v/>
      </c>
    </row>
    <row r="143" customFormat="false" ht="15" hidden="false" customHeight="false" outlineLevel="0" collapsed="false">
      <c r="A143" s="21" t="str">
        <f aca="false">IF($M143="","",138)</f>
        <v/>
      </c>
      <c r="B143" s="13" t="str">
        <f aca="false">IF($M143="","",INDEX('DỮ LIỆU'!$A$3:$A$1052,$M143))</f>
        <v/>
      </c>
      <c r="C143" s="41" t="str">
        <f aca="false">IF($M143="","",IF(INDEX('DỮ LIỆU'!$B$3:$B$1052,$M143)="","",INDEX('DỮ LIỆU'!$B$3:$B$1052,$M143)))</f>
        <v/>
      </c>
      <c r="D143" s="21" t="str">
        <f aca="false">IF($M143="","",IF(INDEX('DỮ LIỆU'!$C$3:$C$1052,$M143)="","",INDEX('DỮ LIỆU'!$C$3:$C$1052,$M143)))</f>
        <v/>
      </c>
      <c r="E143" s="21" t="str">
        <f aca="false">IF($M143="","",IF(INDEX('DỮ LIỆU'!$D$3:$D$1052,$M143)="","",INDEX('DỮ LIỆU'!$D$3:$D$1052,$M143)))</f>
        <v/>
      </c>
      <c r="F143" s="21" t="str">
        <f aca="false">IF($M143="","",IF(INDEX('DỮ LIỆU'!$H$3:$H$1052,$M143)="","",INDEX('DỮ LIỆU'!$H$3:$H$1052,$M143)))</f>
        <v/>
      </c>
      <c r="G143" s="13" t="str">
        <f aca="false">IF($M143="","",N(INDEX('DỮ LIỆU'!$I$3:$I$1052,$M143)))</f>
        <v/>
      </c>
      <c r="H143" s="13" t="str">
        <f aca="false">IF($M143="","",N(INDEX('DỮ LIỆU'!$J$3:$J$1052,$M143)))</f>
        <v/>
      </c>
      <c r="I143" s="13" t="str">
        <f aca="false">IF($M143="","",N(INDEX('DỮ LIỆU'!$N$3:$N$1052,$M143)))</f>
        <v/>
      </c>
      <c r="J143" s="13" t="str">
        <f aca="false">IF($M143="","",N(INDEX('DỮ LIỆU'!$O$3:$O$1052,$M143)))</f>
        <v/>
      </c>
      <c r="K143" s="13" t="str">
        <f aca="false">IF($M143="","",IF(INDEX('DỮ LIỆU'!$Q$3:$Q$1052,$M143)="","",INDEX('DỮ LIỆU'!$Q$3:$Q$1052,$M143)))</f>
        <v/>
      </c>
      <c r="L143" s="21" t="str">
        <f aca="false">IF($M143="","",IF(INDEX('DỮ LIỆU'!$R$3:$R$1052,$M143)="","",INDEX('DỮ LIỆU'!$R$3:$R$1052,$M143)))</f>
        <v/>
      </c>
      <c r="M143" s="0" t="str">
        <f aca="false">IFERROR(MATCH(138,'DỮ LIỆU'!$V$3:$V$1052,0),"")</f>
        <v/>
      </c>
    </row>
    <row r="144" customFormat="false" ht="15" hidden="false" customHeight="false" outlineLevel="0" collapsed="false">
      <c r="A144" s="21" t="str">
        <f aca="false">IF($M144="","",139)</f>
        <v/>
      </c>
      <c r="B144" s="13" t="str">
        <f aca="false">IF($M144="","",INDEX('DỮ LIỆU'!$A$3:$A$1052,$M144))</f>
        <v/>
      </c>
      <c r="C144" s="41" t="str">
        <f aca="false">IF($M144="","",IF(INDEX('DỮ LIỆU'!$B$3:$B$1052,$M144)="","",INDEX('DỮ LIỆU'!$B$3:$B$1052,$M144)))</f>
        <v/>
      </c>
      <c r="D144" s="21" t="str">
        <f aca="false">IF($M144="","",IF(INDEX('DỮ LIỆU'!$C$3:$C$1052,$M144)="","",INDEX('DỮ LIỆU'!$C$3:$C$1052,$M144)))</f>
        <v/>
      </c>
      <c r="E144" s="21" t="str">
        <f aca="false">IF($M144="","",IF(INDEX('DỮ LIỆU'!$D$3:$D$1052,$M144)="","",INDEX('DỮ LIỆU'!$D$3:$D$1052,$M144)))</f>
        <v/>
      </c>
      <c r="F144" s="21" t="str">
        <f aca="false">IF($M144="","",IF(INDEX('DỮ LIỆU'!$H$3:$H$1052,$M144)="","",INDEX('DỮ LIỆU'!$H$3:$H$1052,$M144)))</f>
        <v/>
      </c>
      <c r="G144" s="13" t="str">
        <f aca="false">IF($M144="","",N(INDEX('DỮ LIỆU'!$I$3:$I$1052,$M144)))</f>
        <v/>
      </c>
      <c r="H144" s="13" t="str">
        <f aca="false">IF($M144="","",N(INDEX('DỮ LIỆU'!$J$3:$J$1052,$M144)))</f>
        <v/>
      </c>
      <c r="I144" s="13" t="str">
        <f aca="false">IF($M144="","",N(INDEX('DỮ LIỆU'!$N$3:$N$1052,$M144)))</f>
        <v/>
      </c>
      <c r="J144" s="13" t="str">
        <f aca="false">IF($M144="","",N(INDEX('DỮ LIỆU'!$O$3:$O$1052,$M144)))</f>
        <v/>
      </c>
      <c r="K144" s="13" t="str">
        <f aca="false">IF($M144="","",IF(INDEX('DỮ LIỆU'!$Q$3:$Q$1052,$M144)="","",INDEX('DỮ LIỆU'!$Q$3:$Q$1052,$M144)))</f>
        <v/>
      </c>
      <c r="L144" s="21" t="str">
        <f aca="false">IF($M144="","",IF(INDEX('DỮ LIỆU'!$R$3:$R$1052,$M144)="","",INDEX('DỮ LIỆU'!$R$3:$R$1052,$M144)))</f>
        <v/>
      </c>
      <c r="M144" s="0" t="str">
        <f aca="false">IFERROR(MATCH(139,'DỮ LIỆU'!$V$3:$V$1052,0),"")</f>
        <v/>
      </c>
    </row>
    <row r="145" customFormat="false" ht="15" hidden="false" customHeight="false" outlineLevel="0" collapsed="false">
      <c r="A145" s="21" t="str">
        <f aca="false">IF($M145="","",140)</f>
        <v/>
      </c>
      <c r="B145" s="13" t="str">
        <f aca="false">IF($M145="","",INDEX('DỮ LIỆU'!$A$3:$A$1052,$M145))</f>
        <v/>
      </c>
      <c r="C145" s="41" t="str">
        <f aca="false">IF($M145="","",IF(INDEX('DỮ LIỆU'!$B$3:$B$1052,$M145)="","",INDEX('DỮ LIỆU'!$B$3:$B$1052,$M145)))</f>
        <v/>
      </c>
      <c r="D145" s="21" t="str">
        <f aca="false">IF($M145="","",IF(INDEX('DỮ LIỆU'!$C$3:$C$1052,$M145)="","",INDEX('DỮ LIỆU'!$C$3:$C$1052,$M145)))</f>
        <v/>
      </c>
      <c r="E145" s="21" t="str">
        <f aca="false">IF($M145="","",IF(INDEX('DỮ LIỆU'!$D$3:$D$1052,$M145)="","",INDEX('DỮ LIỆU'!$D$3:$D$1052,$M145)))</f>
        <v/>
      </c>
      <c r="F145" s="21" t="str">
        <f aca="false">IF($M145="","",IF(INDEX('DỮ LIỆU'!$H$3:$H$1052,$M145)="","",INDEX('DỮ LIỆU'!$H$3:$H$1052,$M145)))</f>
        <v/>
      </c>
      <c r="G145" s="13" t="str">
        <f aca="false">IF($M145="","",N(INDEX('DỮ LIỆU'!$I$3:$I$1052,$M145)))</f>
        <v/>
      </c>
      <c r="H145" s="13" t="str">
        <f aca="false">IF($M145="","",N(INDEX('DỮ LIỆU'!$J$3:$J$1052,$M145)))</f>
        <v/>
      </c>
      <c r="I145" s="13" t="str">
        <f aca="false">IF($M145="","",N(INDEX('DỮ LIỆU'!$N$3:$N$1052,$M145)))</f>
        <v/>
      </c>
      <c r="J145" s="13" t="str">
        <f aca="false">IF($M145="","",N(INDEX('DỮ LIỆU'!$O$3:$O$1052,$M145)))</f>
        <v/>
      </c>
      <c r="K145" s="13" t="str">
        <f aca="false">IF($M145="","",IF(INDEX('DỮ LIỆU'!$Q$3:$Q$1052,$M145)="","",INDEX('DỮ LIỆU'!$Q$3:$Q$1052,$M145)))</f>
        <v/>
      </c>
      <c r="L145" s="21" t="str">
        <f aca="false">IF($M145="","",IF(INDEX('DỮ LIỆU'!$R$3:$R$1052,$M145)="","",INDEX('DỮ LIỆU'!$R$3:$R$1052,$M145)))</f>
        <v/>
      </c>
      <c r="M145" s="0" t="str">
        <f aca="false">IFERROR(MATCH(140,'DỮ LIỆU'!$V$3:$V$1052,0),"")</f>
        <v/>
      </c>
    </row>
    <row r="146" customFormat="false" ht="15" hidden="false" customHeight="false" outlineLevel="0" collapsed="false">
      <c r="A146" s="21" t="str">
        <f aca="false">IF($M146="","",141)</f>
        <v/>
      </c>
      <c r="B146" s="13" t="str">
        <f aca="false">IF($M146="","",INDEX('DỮ LIỆU'!$A$3:$A$1052,$M146))</f>
        <v/>
      </c>
      <c r="C146" s="41" t="str">
        <f aca="false">IF($M146="","",IF(INDEX('DỮ LIỆU'!$B$3:$B$1052,$M146)="","",INDEX('DỮ LIỆU'!$B$3:$B$1052,$M146)))</f>
        <v/>
      </c>
      <c r="D146" s="21" t="str">
        <f aca="false">IF($M146="","",IF(INDEX('DỮ LIỆU'!$C$3:$C$1052,$M146)="","",INDEX('DỮ LIỆU'!$C$3:$C$1052,$M146)))</f>
        <v/>
      </c>
      <c r="E146" s="21" t="str">
        <f aca="false">IF($M146="","",IF(INDEX('DỮ LIỆU'!$D$3:$D$1052,$M146)="","",INDEX('DỮ LIỆU'!$D$3:$D$1052,$M146)))</f>
        <v/>
      </c>
      <c r="F146" s="21" t="str">
        <f aca="false">IF($M146="","",IF(INDEX('DỮ LIỆU'!$H$3:$H$1052,$M146)="","",INDEX('DỮ LIỆU'!$H$3:$H$1052,$M146)))</f>
        <v/>
      </c>
      <c r="G146" s="13" t="str">
        <f aca="false">IF($M146="","",N(INDEX('DỮ LIỆU'!$I$3:$I$1052,$M146)))</f>
        <v/>
      </c>
      <c r="H146" s="13" t="str">
        <f aca="false">IF($M146="","",N(INDEX('DỮ LIỆU'!$J$3:$J$1052,$M146)))</f>
        <v/>
      </c>
      <c r="I146" s="13" t="str">
        <f aca="false">IF($M146="","",N(INDEX('DỮ LIỆU'!$N$3:$N$1052,$M146)))</f>
        <v/>
      </c>
      <c r="J146" s="13" t="str">
        <f aca="false">IF($M146="","",N(INDEX('DỮ LIỆU'!$O$3:$O$1052,$M146)))</f>
        <v/>
      </c>
      <c r="K146" s="13" t="str">
        <f aca="false">IF($M146="","",IF(INDEX('DỮ LIỆU'!$Q$3:$Q$1052,$M146)="","",INDEX('DỮ LIỆU'!$Q$3:$Q$1052,$M146)))</f>
        <v/>
      </c>
      <c r="L146" s="21" t="str">
        <f aca="false">IF($M146="","",IF(INDEX('DỮ LIỆU'!$R$3:$R$1052,$M146)="","",INDEX('DỮ LIỆU'!$R$3:$R$1052,$M146)))</f>
        <v/>
      </c>
      <c r="M146" s="0" t="str">
        <f aca="false">IFERROR(MATCH(141,'DỮ LIỆU'!$V$3:$V$1052,0),"")</f>
        <v/>
      </c>
    </row>
    <row r="147" customFormat="false" ht="15" hidden="false" customHeight="false" outlineLevel="0" collapsed="false">
      <c r="A147" s="21" t="str">
        <f aca="false">IF($M147="","",142)</f>
        <v/>
      </c>
      <c r="B147" s="13" t="str">
        <f aca="false">IF($M147="","",INDEX('DỮ LIỆU'!$A$3:$A$1052,$M147))</f>
        <v/>
      </c>
      <c r="C147" s="41" t="str">
        <f aca="false">IF($M147="","",IF(INDEX('DỮ LIỆU'!$B$3:$B$1052,$M147)="","",INDEX('DỮ LIỆU'!$B$3:$B$1052,$M147)))</f>
        <v/>
      </c>
      <c r="D147" s="21" t="str">
        <f aca="false">IF($M147="","",IF(INDEX('DỮ LIỆU'!$C$3:$C$1052,$M147)="","",INDEX('DỮ LIỆU'!$C$3:$C$1052,$M147)))</f>
        <v/>
      </c>
      <c r="E147" s="21" t="str">
        <f aca="false">IF($M147="","",IF(INDEX('DỮ LIỆU'!$D$3:$D$1052,$M147)="","",INDEX('DỮ LIỆU'!$D$3:$D$1052,$M147)))</f>
        <v/>
      </c>
      <c r="F147" s="21" t="str">
        <f aca="false">IF($M147="","",IF(INDEX('DỮ LIỆU'!$H$3:$H$1052,$M147)="","",INDEX('DỮ LIỆU'!$H$3:$H$1052,$M147)))</f>
        <v/>
      </c>
      <c r="G147" s="13" t="str">
        <f aca="false">IF($M147="","",N(INDEX('DỮ LIỆU'!$I$3:$I$1052,$M147)))</f>
        <v/>
      </c>
      <c r="H147" s="13" t="str">
        <f aca="false">IF($M147="","",N(INDEX('DỮ LIỆU'!$J$3:$J$1052,$M147)))</f>
        <v/>
      </c>
      <c r="I147" s="13" t="str">
        <f aca="false">IF($M147="","",N(INDEX('DỮ LIỆU'!$N$3:$N$1052,$M147)))</f>
        <v/>
      </c>
      <c r="J147" s="13" t="str">
        <f aca="false">IF($M147="","",N(INDEX('DỮ LIỆU'!$O$3:$O$1052,$M147)))</f>
        <v/>
      </c>
      <c r="K147" s="13" t="str">
        <f aca="false">IF($M147="","",IF(INDEX('DỮ LIỆU'!$Q$3:$Q$1052,$M147)="","",INDEX('DỮ LIỆU'!$Q$3:$Q$1052,$M147)))</f>
        <v/>
      </c>
      <c r="L147" s="21" t="str">
        <f aca="false">IF($M147="","",IF(INDEX('DỮ LIỆU'!$R$3:$R$1052,$M147)="","",INDEX('DỮ LIỆU'!$R$3:$R$1052,$M147)))</f>
        <v/>
      </c>
      <c r="M147" s="0" t="str">
        <f aca="false">IFERROR(MATCH(142,'DỮ LIỆU'!$V$3:$V$1052,0),"")</f>
        <v/>
      </c>
    </row>
    <row r="148" customFormat="false" ht="15" hidden="false" customHeight="false" outlineLevel="0" collapsed="false">
      <c r="A148" s="21" t="str">
        <f aca="false">IF($M148="","",143)</f>
        <v/>
      </c>
      <c r="B148" s="13" t="str">
        <f aca="false">IF($M148="","",INDEX('DỮ LIỆU'!$A$3:$A$1052,$M148))</f>
        <v/>
      </c>
      <c r="C148" s="41" t="str">
        <f aca="false">IF($M148="","",IF(INDEX('DỮ LIỆU'!$B$3:$B$1052,$M148)="","",INDEX('DỮ LIỆU'!$B$3:$B$1052,$M148)))</f>
        <v/>
      </c>
      <c r="D148" s="21" t="str">
        <f aca="false">IF($M148="","",IF(INDEX('DỮ LIỆU'!$C$3:$C$1052,$M148)="","",INDEX('DỮ LIỆU'!$C$3:$C$1052,$M148)))</f>
        <v/>
      </c>
      <c r="E148" s="21" t="str">
        <f aca="false">IF($M148="","",IF(INDEX('DỮ LIỆU'!$D$3:$D$1052,$M148)="","",INDEX('DỮ LIỆU'!$D$3:$D$1052,$M148)))</f>
        <v/>
      </c>
      <c r="F148" s="21" t="str">
        <f aca="false">IF($M148="","",IF(INDEX('DỮ LIỆU'!$H$3:$H$1052,$M148)="","",INDEX('DỮ LIỆU'!$H$3:$H$1052,$M148)))</f>
        <v/>
      </c>
      <c r="G148" s="13" t="str">
        <f aca="false">IF($M148="","",N(INDEX('DỮ LIỆU'!$I$3:$I$1052,$M148)))</f>
        <v/>
      </c>
      <c r="H148" s="13" t="str">
        <f aca="false">IF($M148="","",N(INDEX('DỮ LIỆU'!$J$3:$J$1052,$M148)))</f>
        <v/>
      </c>
      <c r="I148" s="13" t="str">
        <f aca="false">IF($M148="","",N(INDEX('DỮ LIỆU'!$N$3:$N$1052,$M148)))</f>
        <v/>
      </c>
      <c r="J148" s="13" t="str">
        <f aca="false">IF($M148="","",N(INDEX('DỮ LIỆU'!$O$3:$O$1052,$M148)))</f>
        <v/>
      </c>
      <c r="K148" s="13" t="str">
        <f aca="false">IF($M148="","",IF(INDEX('DỮ LIỆU'!$Q$3:$Q$1052,$M148)="","",INDEX('DỮ LIỆU'!$Q$3:$Q$1052,$M148)))</f>
        <v/>
      </c>
      <c r="L148" s="21" t="str">
        <f aca="false">IF($M148="","",IF(INDEX('DỮ LIỆU'!$R$3:$R$1052,$M148)="","",INDEX('DỮ LIỆU'!$R$3:$R$1052,$M148)))</f>
        <v/>
      </c>
      <c r="M148" s="0" t="str">
        <f aca="false">IFERROR(MATCH(143,'DỮ LIỆU'!$V$3:$V$1052,0),"")</f>
        <v/>
      </c>
    </row>
    <row r="149" customFormat="false" ht="15" hidden="false" customHeight="false" outlineLevel="0" collapsed="false">
      <c r="A149" s="21" t="str">
        <f aca="false">IF($M149="","",144)</f>
        <v/>
      </c>
      <c r="B149" s="13" t="str">
        <f aca="false">IF($M149="","",INDEX('DỮ LIỆU'!$A$3:$A$1052,$M149))</f>
        <v/>
      </c>
      <c r="C149" s="41" t="str">
        <f aca="false">IF($M149="","",IF(INDEX('DỮ LIỆU'!$B$3:$B$1052,$M149)="","",INDEX('DỮ LIỆU'!$B$3:$B$1052,$M149)))</f>
        <v/>
      </c>
      <c r="D149" s="21" t="str">
        <f aca="false">IF($M149="","",IF(INDEX('DỮ LIỆU'!$C$3:$C$1052,$M149)="","",INDEX('DỮ LIỆU'!$C$3:$C$1052,$M149)))</f>
        <v/>
      </c>
      <c r="E149" s="21" t="str">
        <f aca="false">IF($M149="","",IF(INDEX('DỮ LIỆU'!$D$3:$D$1052,$M149)="","",INDEX('DỮ LIỆU'!$D$3:$D$1052,$M149)))</f>
        <v/>
      </c>
      <c r="F149" s="21" t="str">
        <f aca="false">IF($M149="","",IF(INDEX('DỮ LIỆU'!$H$3:$H$1052,$M149)="","",INDEX('DỮ LIỆU'!$H$3:$H$1052,$M149)))</f>
        <v/>
      </c>
      <c r="G149" s="13" t="str">
        <f aca="false">IF($M149="","",N(INDEX('DỮ LIỆU'!$I$3:$I$1052,$M149)))</f>
        <v/>
      </c>
      <c r="H149" s="13" t="str">
        <f aca="false">IF($M149="","",N(INDEX('DỮ LIỆU'!$J$3:$J$1052,$M149)))</f>
        <v/>
      </c>
      <c r="I149" s="13" t="str">
        <f aca="false">IF($M149="","",N(INDEX('DỮ LIỆU'!$N$3:$N$1052,$M149)))</f>
        <v/>
      </c>
      <c r="J149" s="13" t="str">
        <f aca="false">IF($M149="","",N(INDEX('DỮ LIỆU'!$O$3:$O$1052,$M149)))</f>
        <v/>
      </c>
      <c r="K149" s="13" t="str">
        <f aca="false">IF($M149="","",IF(INDEX('DỮ LIỆU'!$Q$3:$Q$1052,$M149)="","",INDEX('DỮ LIỆU'!$Q$3:$Q$1052,$M149)))</f>
        <v/>
      </c>
      <c r="L149" s="21" t="str">
        <f aca="false">IF($M149="","",IF(INDEX('DỮ LIỆU'!$R$3:$R$1052,$M149)="","",INDEX('DỮ LIỆU'!$R$3:$R$1052,$M149)))</f>
        <v/>
      </c>
      <c r="M149" s="0" t="str">
        <f aca="false">IFERROR(MATCH(144,'DỮ LIỆU'!$V$3:$V$1052,0),"")</f>
        <v/>
      </c>
    </row>
    <row r="150" customFormat="false" ht="15" hidden="false" customHeight="false" outlineLevel="0" collapsed="false">
      <c r="A150" s="21" t="str">
        <f aca="false">IF($M150="","",145)</f>
        <v/>
      </c>
      <c r="B150" s="13" t="str">
        <f aca="false">IF($M150="","",INDEX('DỮ LIỆU'!$A$3:$A$1052,$M150))</f>
        <v/>
      </c>
      <c r="C150" s="41" t="str">
        <f aca="false">IF($M150="","",IF(INDEX('DỮ LIỆU'!$B$3:$B$1052,$M150)="","",INDEX('DỮ LIỆU'!$B$3:$B$1052,$M150)))</f>
        <v/>
      </c>
      <c r="D150" s="21" t="str">
        <f aca="false">IF($M150="","",IF(INDEX('DỮ LIỆU'!$C$3:$C$1052,$M150)="","",INDEX('DỮ LIỆU'!$C$3:$C$1052,$M150)))</f>
        <v/>
      </c>
      <c r="E150" s="21" t="str">
        <f aca="false">IF($M150="","",IF(INDEX('DỮ LIỆU'!$D$3:$D$1052,$M150)="","",INDEX('DỮ LIỆU'!$D$3:$D$1052,$M150)))</f>
        <v/>
      </c>
      <c r="F150" s="21" t="str">
        <f aca="false">IF($M150="","",IF(INDEX('DỮ LIỆU'!$H$3:$H$1052,$M150)="","",INDEX('DỮ LIỆU'!$H$3:$H$1052,$M150)))</f>
        <v/>
      </c>
      <c r="G150" s="13" t="str">
        <f aca="false">IF($M150="","",N(INDEX('DỮ LIỆU'!$I$3:$I$1052,$M150)))</f>
        <v/>
      </c>
      <c r="H150" s="13" t="str">
        <f aca="false">IF($M150="","",N(INDEX('DỮ LIỆU'!$J$3:$J$1052,$M150)))</f>
        <v/>
      </c>
      <c r="I150" s="13" t="str">
        <f aca="false">IF($M150="","",N(INDEX('DỮ LIỆU'!$N$3:$N$1052,$M150)))</f>
        <v/>
      </c>
      <c r="J150" s="13" t="str">
        <f aca="false">IF($M150="","",N(INDEX('DỮ LIỆU'!$O$3:$O$1052,$M150)))</f>
        <v/>
      </c>
      <c r="K150" s="13" t="str">
        <f aca="false">IF($M150="","",IF(INDEX('DỮ LIỆU'!$Q$3:$Q$1052,$M150)="","",INDEX('DỮ LIỆU'!$Q$3:$Q$1052,$M150)))</f>
        <v/>
      </c>
      <c r="L150" s="21" t="str">
        <f aca="false">IF($M150="","",IF(INDEX('DỮ LIỆU'!$R$3:$R$1052,$M150)="","",INDEX('DỮ LIỆU'!$R$3:$R$1052,$M150)))</f>
        <v/>
      </c>
      <c r="M150" s="0" t="str">
        <f aca="false">IFERROR(MATCH(145,'DỮ LIỆU'!$V$3:$V$1052,0),"")</f>
        <v/>
      </c>
    </row>
    <row r="151" customFormat="false" ht="15" hidden="false" customHeight="false" outlineLevel="0" collapsed="false">
      <c r="A151" s="21" t="str">
        <f aca="false">IF($M151="","",146)</f>
        <v/>
      </c>
      <c r="B151" s="13" t="str">
        <f aca="false">IF($M151="","",INDEX('DỮ LIỆU'!$A$3:$A$1052,$M151))</f>
        <v/>
      </c>
      <c r="C151" s="41" t="str">
        <f aca="false">IF($M151="","",IF(INDEX('DỮ LIỆU'!$B$3:$B$1052,$M151)="","",INDEX('DỮ LIỆU'!$B$3:$B$1052,$M151)))</f>
        <v/>
      </c>
      <c r="D151" s="21" t="str">
        <f aca="false">IF($M151="","",IF(INDEX('DỮ LIỆU'!$C$3:$C$1052,$M151)="","",INDEX('DỮ LIỆU'!$C$3:$C$1052,$M151)))</f>
        <v/>
      </c>
      <c r="E151" s="21" t="str">
        <f aca="false">IF($M151="","",IF(INDEX('DỮ LIỆU'!$D$3:$D$1052,$M151)="","",INDEX('DỮ LIỆU'!$D$3:$D$1052,$M151)))</f>
        <v/>
      </c>
      <c r="F151" s="21" t="str">
        <f aca="false">IF($M151="","",IF(INDEX('DỮ LIỆU'!$H$3:$H$1052,$M151)="","",INDEX('DỮ LIỆU'!$H$3:$H$1052,$M151)))</f>
        <v/>
      </c>
      <c r="G151" s="13" t="str">
        <f aca="false">IF($M151="","",N(INDEX('DỮ LIỆU'!$I$3:$I$1052,$M151)))</f>
        <v/>
      </c>
      <c r="H151" s="13" t="str">
        <f aca="false">IF($M151="","",N(INDEX('DỮ LIỆU'!$J$3:$J$1052,$M151)))</f>
        <v/>
      </c>
      <c r="I151" s="13" t="str">
        <f aca="false">IF($M151="","",N(INDEX('DỮ LIỆU'!$N$3:$N$1052,$M151)))</f>
        <v/>
      </c>
      <c r="J151" s="13" t="str">
        <f aca="false">IF($M151="","",N(INDEX('DỮ LIỆU'!$O$3:$O$1052,$M151)))</f>
        <v/>
      </c>
      <c r="K151" s="13" t="str">
        <f aca="false">IF($M151="","",IF(INDEX('DỮ LIỆU'!$Q$3:$Q$1052,$M151)="","",INDEX('DỮ LIỆU'!$Q$3:$Q$1052,$M151)))</f>
        <v/>
      </c>
      <c r="L151" s="21" t="str">
        <f aca="false">IF($M151="","",IF(INDEX('DỮ LIỆU'!$R$3:$R$1052,$M151)="","",INDEX('DỮ LIỆU'!$R$3:$R$1052,$M151)))</f>
        <v/>
      </c>
      <c r="M151" s="0" t="str">
        <f aca="false">IFERROR(MATCH(146,'DỮ LIỆU'!$V$3:$V$1052,0),"")</f>
        <v/>
      </c>
    </row>
    <row r="152" customFormat="false" ht="15" hidden="false" customHeight="false" outlineLevel="0" collapsed="false">
      <c r="A152" s="21" t="str">
        <f aca="false">IF($M152="","",147)</f>
        <v/>
      </c>
      <c r="B152" s="13" t="str">
        <f aca="false">IF($M152="","",INDEX('DỮ LIỆU'!$A$3:$A$1052,$M152))</f>
        <v/>
      </c>
      <c r="C152" s="41" t="str">
        <f aca="false">IF($M152="","",IF(INDEX('DỮ LIỆU'!$B$3:$B$1052,$M152)="","",INDEX('DỮ LIỆU'!$B$3:$B$1052,$M152)))</f>
        <v/>
      </c>
      <c r="D152" s="21" t="str">
        <f aca="false">IF($M152="","",IF(INDEX('DỮ LIỆU'!$C$3:$C$1052,$M152)="","",INDEX('DỮ LIỆU'!$C$3:$C$1052,$M152)))</f>
        <v/>
      </c>
      <c r="E152" s="21" t="str">
        <f aca="false">IF($M152="","",IF(INDEX('DỮ LIỆU'!$D$3:$D$1052,$M152)="","",INDEX('DỮ LIỆU'!$D$3:$D$1052,$M152)))</f>
        <v/>
      </c>
      <c r="F152" s="21" t="str">
        <f aca="false">IF($M152="","",IF(INDEX('DỮ LIỆU'!$H$3:$H$1052,$M152)="","",INDEX('DỮ LIỆU'!$H$3:$H$1052,$M152)))</f>
        <v/>
      </c>
      <c r="G152" s="13" t="str">
        <f aca="false">IF($M152="","",N(INDEX('DỮ LIỆU'!$I$3:$I$1052,$M152)))</f>
        <v/>
      </c>
      <c r="H152" s="13" t="str">
        <f aca="false">IF($M152="","",N(INDEX('DỮ LIỆU'!$J$3:$J$1052,$M152)))</f>
        <v/>
      </c>
      <c r="I152" s="13" t="str">
        <f aca="false">IF($M152="","",N(INDEX('DỮ LIỆU'!$N$3:$N$1052,$M152)))</f>
        <v/>
      </c>
      <c r="J152" s="13" t="str">
        <f aca="false">IF($M152="","",N(INDEX('DỮ LIỆU'!$O$3:$O$1052,$M152)))</f>
        <v/>
      </c>
      <c r="K152" s="13" t="str">
        <f aca="false">IF($M152="","",IF(INDEX('DỮ LIỆU'!$Q$3:$Q$1052,$M152)="","",INDEX('DỮ LIỆU'!$Q$3:$Q$1052,$M152)))</f>
        <v/>
      </c>
      <c r="L152" s="21" t="str">
        <f aca="false">IF($M152="","",IF(INDEX('DỮ LIỆU'!$R$3:$R$1052,$M152)="","",INDEX('DỮ LIỆU'!$R$3:$R$1052,$M152)))</f>
        <v/>
      </c>
      <c r="M152" s="0" t="str">
        <f aca="false">IFERROR(MATCH(147,'DỮ LIỆU'!$V$3:$V$1052,0),"")</f>
        <v/>
      </c>
    </row>
    <row r="153" customFormat="false" ht="15" hidden="false" customHeight="false" outlineLevel="0" collapsed="false">
      <c r="A153" s="21" t="str">
        <f aca="false">IF($M153="","",148)</f>
        <v/>
      </c>
      <c r="B153" s="13" t="str">
        <f aca="false">IF($M153="","",INDEX('DỮ LIỆU'!$A$3:$A$1052,$M153))</f>
        <v/>
      </c>
      <c r="C153" s="41" t="str">
        <f aca="false">IF($M153="","",IF(INDEX('DỮ LIỆU'!$B$3:$B$1052,$M153)="","",INDEX('DỮ LIỆU'!$B$3:$B$1052,$M153)))</f>
        <v/>
      </c>
      <c r="D153" s="21" t="str">
        <f aca="false">IF($M153="","",IF(INDEX('DỮ LIỆU'!$C$3:$C$1052,$M153)="","",INDEX('DỮ LIỆU'!$C$3:$C$1052,$M153)))</f>
        <v/>
      </c>
      <c r="E153" s="21" t="str">
        <f aca="false">IF($M153="","",IF(INDEX('DỮ LIỆU'!$D$3:$D$1052,$M153)="","",INDEX('DỮ LIỆU'!$D$3:$D$1052,$M153)))</f>
        <v/>
      </c>
      <c r="F153" s="21" t="str">
        <f aca="false">IF($M153="","",IF(INDEX('DỮ LIỆU'!$H$3:$H$1052,$M153)="","",INDEX('DỮ LIỆU'!$H$3:$H$1052,$M153)))</f>
        <v/>
      </c>
      <c r="G153" s="13" t="str">
        <f aca="false">IF($M153="","",N(INDEX('DỮ LIỆU'!$I$3:$I$1052,$M153)))</f>
        <v/>
      </c>
      <c r="H153" s="13" t="str">
        <f aca="false">IF($M153="","",N(INDEX('DỮ LIỆU'!$J$3:$J$1052,$M153)))</f>
        <v/>
      </c>
      <c r="I153" s="13" t="str">
        <f aca="false">IF($M153="","",N(INDEX('DỮ LIỆU'!$N$3:$N$1052,$M153)))</f>
        <v/>
      </c>
      <c r="J153" s="13" t="str">
        <f aca="false">IF($M153="","",N(INDEX('DỮ LIỆU'!$O$3:$O$1052,$M153)))</f>
        <v/>
      </c>
      <c r="K153" s="13" t="str">
        <f aca="false">IF($M153="","",IF(INDEX('DỮ LIỆU'!$Q$3:$Q$1052,$M153)="","",INDEX('DỮ LIỆU'!$Q$3:$Q$1052,$M153)))</f>
        <v/>
      </c>
      <c r="L153" s="21" t="str">
        <f aca="false">IF($M153="","",IF(INDEX('DỮ LIỆU'!$R$3:$R$1052,$M153)="","",INDEX('DỮ LIỆU'!$R$3:$R$1052,$M153)))</f>
        <v/>
      </c>
      <c r="M153" s="0" t="str">
        <f aca="false">IFERROR(MATCH(148,'DỮ LIỆU'!$V$3:$V$1052,0),"")</f>
        <v/>
      </c>
    </row>
    <row r="154" customFormat="false" ht="15" hidden="false" customHeight="false" outlineLevel="0" collapsed="false">
      <c r="A154" s="21" t="str">
        <f aca="false">IF($M154="","",149)</f>
        <v/>
      </c>
      <c r="B154" s="13" t="str">
        <f aca="false">IF($M154="","",INDEX('DỮ LIỆU'!$A$3:$A$1052,$M154))</f>
        <v/>
      </c>
      <c r="C154" s="41" t="str">
        <f aca="false">IF($M154="","",IF(INDEX('DỮ LIỆU'!$B$3:$B$1052,$M154)="","",INDEX('DỮ LIỆU'!$B$3:$B$1052,$M154)))</f>
        <v/>
      </c>
      <c r="D154" s="21" t="str">
        <f aca="false">IF($M154="","",IF(INDEX('DỮ LIỆU'!$C$3:$C$1052,$M154)="","",INDEX('DỮ LIỆU'!$C$3:$C$1052,$M154)))</f>
        <v/>
      </c>
      <c r="E154" s="21" t="str">
        <f aca="false">IF($M154="","",IF(INDEX('DỮ LIỆU'!$D$3:$D$1052,$M154)="","",INDEX('DỮ LIỆU'!$D$3:$D$1052,$M154)))</f>
        <v/>
      </c>
      <c r="F154" s="21" t="str">
        <f aca="false">IF($M154="","",IF(INDEX('DỮ LIỆU'!$H$3:$H$1052,$M154)="","",INDEX('DỮ LIỆU'!$H$3:$H$1052,$M154)))</f>
        <v/>
      </c>
      <c r="G154" s="13" t="str">
        <f aca="false">IF($M154="","",N(INDEX('DỮ LIỆU'!$I$3:$I$1052,$M154)))</f>
        <v/>
      </c>
      <c r="H154" s="13" t="str">
        <f aca="false">IF($M154="","",N(INDEX('DỮ LIỆU'!$J$3:$J$1052,$M154)))</f>
        <v/>
      </c>
      <c r="I154" s="13" t="str">
        <f aca="false">IF($M154="","",N(INDEX('DỮ LIỆU'!$N$3:$N$1052,$M154)))</f>
        <v/>
      </c>
      <c r="J154" s="13" t="str">
        <f aca="false">IF($M154="","",N(INDEX('DỮ LIỆU'!$O$3:$O$1052,$M154)))</f>
        <v/>
      </c>
      <c r="K154" s="13" t="str">
        <f aca="false">IF($M154="","",IF(INDEX('DỮ LIỆU'!$Q$3:$Q$1052,$M154)="","",INDEX('DỮ LIỆU'!$Q$3:$Q$1052,$M154)))</f>
        <v/>
      </c>
      <c r="L154" s="21" t="str">
        <f aca="false">IF($M154="","",IF(INDEX('DỮ LIỆU'!$R$3:$R$1052,$M154)="","",INDEX('DỮ LIỆU'!$R$3:$R$1052,$M154)))</f>
        <v/>
      </c>
      <c r="M154" s="0" t="str">
        <f aca="false">IFERROR(MATCH(149,'DỮ LIỆU'!$V$3:$V$1052,0),"")</f>
        <v/>
      </c>
    </row>
    <row r="155" customFormat="false" ht="15" hidden="false" customHeight="false" outlineLevel="0" collapsed="false">
      <c r="A155" s="21" t="str">
        <f aca="false">IF($M155="","",150)</f>
        <v/>
      </c>
      <c r="B155" s="13" t="str">
        <f aca="false">IF($M155="","",INDEX('DỮ LIỆU'!$A$3:$A$1052,$M155))</f>
        <v/>
      </c>
      <c r="C155" s="41" t="str">
        <f aca="false">IF($M155="","",IF(INDEX('DỮ LIỆU'!$B$3:$B$1052,$M155)="","",INDEX('DỮ LIỆU'!$B$3:$B$1052,$M155)))</f>
        <v/>
      </c>
      <c r="D155" s="21" t="str">
        <f aca="false">IF($M155="","",IF(INDEX('DỮ LIỆU'!$C$3:$C$1052,$M155)="","",INDEX('DỮ LIỆU'!$C$3:$C$1052,$M155)))</f>
        <v/>
      </c>
      <c r="E155" s="21" t="str">
        <f aca="false">IF($M155="","",IF(INDEX('DỮ LIỆU'!$D$3:$D$1052,$M155)="","",INDEX('DỮ LIỆU'!$D$3:$D$1052,$M155)))</f>
        <v/>
      </c>
      <c r="F155" s="21" t="str">
        <f aca="false">IF($M155="","",IF(INDEX('DỮ LIỆU'!$H$3:$H$1052,$M155)="","",INDEX('DỮ LIỆU'!$H$3:$H$1052,$M155)))</f>
        <v/>
      </c>
      <c r="G155" s="13" t="str">
        <f aca="false">IF($M155="","",N(INDEX('DỮ LIỆU'!$I$3:$I$1052,$M155)))</f>
        <v/>
      </c>
      <c r="H155" s="13" t="str">
        <f aca="false">IF($M155="","",N(INDEX('DỮ LIỆU'!$J$3:$J$1052,$M155)))</f>
        <v/>
      </c>
      <c r="I155" s="13" t="str">
        <f aca="false">IF($M155="","",N(INDEX('DỮ LIỆU'!$N$3:$N$1052,$M155)))</f>
        <v/>
      </c>
      <c r="J155" s="13" t="str">
        <f aca="false">IF($M155="","",N(INDEX('DỮ LIỆU'!$O$3:$O$1052,$M155)))</f>
        <v/>
      </c>
      <c r="K155" s="13" t="str">
        <f aca="false">IF($M155="","",IF(INDEX('DỮ LIỆU'!$Q$3:$Q$1052,$M155)="","",INDEX('DỮ LIỆU'!$Q$3:$Q$1052,$M155)))</f>
        <v/>
      </c>
      <c r="L155" s="21" t="str">
        <f aca="false">IF($M155="","",IF(INDEX('DỮ LIỆU'!$R$3:$R$1052,$M155)="","",INDEX('DỮ LIỆU'!$R$3:$R$1052,$M155)))</f>
        <v/>
      </c>
      <c r="M155" s="0" t="str">
        <f aca="false">IFERROR(MATCH(150,'DỮ LIỆU'!$V$3:$V$1052,0),"")</f>
        <v/>
      </c>
    </row>
    <row r="156" customFormat="false" ht="15" hidden="false" customHeight="false" outlineLevel="0" collapsed="false">
      <c r="A156" s="21" t="str">
        <f aca="false">IF($M156="","",151)</f>
        <v/>
      </c>
      <c r="B156" s="13" t="str">
        <f aca="false">IF($M156="","",INDEX('DỮ LIỆU'!$A$3:$A$1052,$M156))</f>
        <v/>
      </c>
      <c r="C156" s="41" t="str">
        <f aca="false">IF($M156="","",IF(INDEX('DỮ LIỆU'!$B$3:$B$1052,$M156)="","",INDEX('DỮ LIỆU'!$B$3:$B$1052,$M156)))</f>
        <v/>
      </c>
      <c r="D156" s="21" t="str">
        <f aca="false">IF($M156="","",IF(INDEX('DỮ LIỆU'!$C$3:$C$1052,$M156)="","",INDEX('DỮ LIỆU'!$C$3:$C$1052,$M156)))</f>
        <v/>
      </c>
      <c r="E156" s="21" t="str">
        <f aca="false">IF($M156="","",IF(INDEX('DỮ LIỆU'!$D$3:$D$1052,$M156)="","",INDEX('DỮ LIỆU'!$D$3:$D$1052,$M156)))</f>
        <v/>
      </c>
      <c r="F156" s="21" t="str">
        <f aca="false">IF($M156="","",IF(INDEX('DỮ LIỆU'!$H$3:$H$1052,$M156)="","",INDEX('DỮ LIỆU'!$H$3:$H$1052,$M156)))</f>
        <v/>
      </c>
      <c r="G156" s="13" t="str">
        <f aca="false">IF($M156="","",N(INDEX('DỮ LIỆU'!$I$3:$I$1052,$M156)))</f>
        <v/>
      </c>
      <c r="H156" s="13" t="str">
        <f aca="false">IF($M156="","",N(INDEX('DỮ LIỆU'!$J$3:$J$1052,$M156)))</f>
        <v/>
      </c>
      <c r="I156" s="13" t="str">
        <f aca="false">IF($M156="","",N(INDEX('DỮ LIỆU'!$N$3:$N$1052,$M156)))</f>
        <v/>
      </c>
      <c r="J156" s="13" t="str">
        <f aca="false">IF($M156="","",N(INDEX('DỮ LIỆU'!$O$3:$O$1052,$M156)))</f>
        <v/>
      </c>
      <c r="K156" s="13" t="str">
        <f aca="false">IF($M156="","",IF(INDEX('DỮ LIỆU'!$Q$3:$Q$1052,$M156)="","",INDEX('DỮ LIỆU'!$Q$3:$Q$1052,$M156)))</f>
        <v/>
      </c>
      <c r="L156" s="21" t="str">
        <f aca="false">IF($M156="","",IF(INDEX('DỮ LIỆU'!$R$3:$R$1052,$M156)="","",INDEX('DỮ LIỆU'!$R$3:$R$1052,$M156)))</f>
        <v/>
      </c>
      <c r="M156" s="0" t="str">
        <f aca="false">IFERROR(MATCH(151,'DỮ LIỆU'!$V$3:$V$1052,0),"")</f>
        <v/>
      </c>
    </row>
    <row r="157" customFormat="false" ht="15" hidden="false" customHeight="false" outlineLevel="0" collapsed="false">
      <c r="A157" s="21" t="str">
        <f aca="false">IF($M157="","",152)</f>
        <v/>
      </c>
      <c r="B157" s="13" t="str">
        <f aca="false">IF($M157="","",INDEX('DỮ LIỆU'!$A$3:$A$1052,$M157))</f>
        <v/>
      </c>
      <c r="C157" s="41" t="str">
        <f aca="false">IF($M157="","",IF(INDEX('DỮ LIỆU'!$B$3:$B$1052,$M157)="","",INDEX('DỮ LIỆU'!$B$3:$B$1052,$M157)))</f>
        <v/>
      </c>
      <c r="D157" s="21" t="str">
        <f aca="false">IF($M157="","",IF(INDEX('DỮ LIỆU'!$C$3:$C$1052,$M157)="","",INDEX('DỮ LIỆU'!$C$3:$C$1052,$M157)))</f>
        <v/>
      </c>
      <c r="E157" s="21" t="str">
        <f aca="false">IF($M157="","",IF(INDEX('DỮ LIỆU'!$D$3:$D$1052,$M157)="","",INDEX('DỮ LIỆU'!$D$3:$D$1052,$M157)))</f>
        <v/>
      </c>
      <c r="F157" s="21" t="str">
        <f aca="false">IF($M157="","",IF(INDEX('DỮ LIỆU'!$H$3:$H$1052,$M157)="","",INDEX('DỮ LIỆU'!$H$3:$H$1052,$M157)))</f>
        <v/>
      </c>
      <c r="G157" s="13" t="str">
        <f aca="false">IF($M157="","",N(INDEX('DỮ LIỆU'!$I$3:$I$1052,$M157)))</f>
        <v/>
      </c>
      <c r="H157" s="13" t="str">
        <f aca="false">IF($M157="","",N(INDEX('DỮ LIỆU'!$J$3:$J$1052,$M157)))</f>
        <v/>
      </c>
      <c r="I157" s="13" t="str">
        <f aca="false">IF($M157="","",N(INDEX('DỮ LIỆU'!$N$3:$N$1052,$M157)))</f>
        <v/>
      </c>
      <c r="J157" s="13" t="str">
        <f aca="false">IF($M157="","",N(INDEX('DỮ LIỆU'!$O$3:$O$1052,$M157)))</f>
        <v/>
      </c>
      <c r="K157" s="13" t="str">
        <f aca="false">IF($M157="","",IF(INDEX('DỮ LIỆU'!$Q$3:$Q$1052,$M157)="","",INDEX('DỮ LIỆU'!$Q$3:$Q$1052,$M157)))</f>
        <v/>
      </c>
      <c r="L157" s="21" t="str">
        <f aca="false">IF($M157="","",IF(INDEX('DỮ LIỆU'!$R$3:$R$1052,$M157)="","",INDEX('DỮ LIỆU'!$R$3:$R$1052,$M157)))</f>
        <v/>
      </c>
      <c r="M157" s="0" t="str">
        <f aca="false">IFERROR(MATCH(152,'DỮ LIỆU'!$V$3:$V$1052,0),"")</f>
        <v/>
      </c>
    </row>
    <row r="158" customFormat="false" ht="15" hidden="false" customHeight="false" outlineLevel="0" collapsed="false">
      <c r="A158" s="21" t="str">
        <f aca="false">IF($M158="","",153)</f>
        <v/>
      </c>
      <c r="B158" s="13" t="str">
        <f aca="false">IF($M158="","",INDEX('DỮ LIỆU'!$A$3:$A$1052,$M158))</f>
        <v/>
      </c>
      <c r="C158" s="41" t="str">
        <f aca="false">IF($M158="","",IF(INDEX('DỮ LIỆU'!$B$3:$B$1052,$M158)="","",INDEX('DỮ LIỆU'!$B$3:$B$1052,$M158)))</f>
        <v/>
      </c>
      <c r="D158" s="21" t="str">
        <f aca="false">IF($M158="","",IF(INDEX('DỮ LIỆU'!$C$3:$C$1052,$M158)="","",INDEX('DỮ LIỆU'!$C$3:$C$1052,$M158)))</f>
        <v/>
      </c>
      <c r="E158" s="21" t="str">
        <f aca="false">IF($M158="","",IF(INDEX('DỮ LIỆU'!$D$3:$D$1052,$M158)="","",INDEX('DỮ LIỆU'!$D$3:$D$1052,$M158)))</f>
        <v/>
      </c>
      <c r="F158" s="21" t="str">
        <f aca="false">IF($M158="","",IF(INDEX('DỮ LIỆU'!$H$3:$H$1052,$M158)="","",INDEX('DỮ LIỆU'!$H$3:$H$1052,$M158)))</f>
        <v/>
      </c>
      <c r="G158" s="13" t="str">
        <f aca="false">IF($M158="","",N(INDEX('DỮ LIỆU'!$I$3:$I$1052,$M158)))</f>
        <v/>
      </c>
      <c r="H158" s="13" t="str">
        <f aca="false">IF($M158="","",N(INDEX('DỮ LIỆU'!$J$3:$J$1052,$M158)))</f>
        <v/>
      </c>
      <c r="I158" s="13" t="str">
        <f aca="false">IF($M158="","",N(INDEX('DỮ LIỆU'!$N$3:$N$1052,$M158)))</f>
        <v/>
      </c>
      <c r="J158" s="13" t="str">
        <f aca="false">IF($M158="","",N(INDEX('DỮ LIỆU'!$O$3:$O$1052,$M158)))</f>
        <v/>
      </c>
      <c r="K158" s="13" t="str">
        <f aca="false">IF($M158="","",IF(INDEX('DỮ LIỆU'!$Q$3:$Q$1052,$M158)="","",INDEX('DỮ LIỆU'!$Q$3:$Q$1052,$M158)))</f>
        <v/>
      </c>
      <c r="L158" s="21" t="str">
        <f aca="false">IF($M158="","",IF(INDEX('DỮ LIỆU'!$R$3:$R$1052,$M158)="","",INDEX('DỮ LIỆU'!$R$3:$R$1052,$M158)))</f>
        <v/>
      </c>
      <c r="M158" s="0" t="str">
        <f aca="false">IFERROR(MATCH(153,'DỮ LIỆU'!$V$3:$V$1052,0),"")</f>
        <v/>
      </c>
    </row>
    <row r="159" customFormat="false" ht="15" hidden="false" customHeight="false" outlineLevel="0" collapsed="false">
      <c r="A159" s="21" t="str">
        <f aca="false">IF($M159="","",154)</f>
        <v/>
      </c>
      <c r="B159" s="13" t="str">
        <f aca="false">IF($M159="","",INDEX('DỮ LIỆU'!$A$3:$A$1052,$M159))</f>
        <v/>
      </c>
      <c r="C159" s="41" t="str">
        <f aca="false">IF($M159="","",IF(INDEX('DỮ LIỆU'!$B$3:$B$1052,$M159)="","",INDEX('DỮ LIỆU'!$B$3:$B$1052,$M159)))</f>
        <v/>
      </c>
      <c r="D159" s="21" t="str">
        <f aca="false">IF($M159="","",IF(INDEX('DỮ LIỆU'!$C$3:$C$1052,$M159)="","",INDEX('DỮ LIỆU'!$C$3:$C$1052,$M159)))</f>
        <v/>
      </c>
      <c r="E159" s="21" t="str">
        <f aca="false">IF($M159="","",IF(INDEX('DỮ LIỆU'!$D$3:$D$1052,$M159)="","",INDEX('DỮ LIỆU'!$D$3:$D$1052,$M159)))</f>
        <v/>
      </c>
      <c r="F159" s="21" t="str">
        <f aca="false">IF($M159="","",IF(INDEX('DỮ LIỆU'!$H$3:$H$1052,$M159)="","",INDEX('DỮ LIỆU'!$H$3:$H$1052,$M159)))</f>
        <v/>
      </c>
      <c r="G159" s="13" t="str">
        <f aca="false">IF($M159="","",N(INDEX('DỮ LIỆU'!$I$3:$I$1052,$M159)))</f>
        <v/>
      </c>
      <c r="H159" s="13" t="str">
        <f aca="false">IF($M159="","",N(INDEX('DỮ LIỆU'!$J$3:$J$1052,$M159)))</f>
        <v/>
      </c>
      <c r="I159" s="13" t="str">
        <f aca="false">IF($M159="","",N(INDEX('DỮ LIỆU'!$N$3:$N$1052,$M159)))</f>
        <v/>
      </c>
      <c r="J159" s="13" t="str">
        <f aca="false">IF($M159="","",N(INDEX('DỮ LIỆU'!$O$3:$O$1052,$M159)))</f>
        <v/>
      </c>
      <c r="K159" s="13" t="str">
        <f aca="false">IF($M159="","",IF(INDEX('DỮ LIỆU'!$Q$3:$Q$1052,$M159)="","",INDEX('DỮ LIỆU'!$Q$3:$Q$1052,$M159)))</f>
        <v/>
      </c>
      <c r="L159" s="21" t="str">
        <f aca="false">IF($M159="","",IF(INDEX('DỮ LIỆU'!$R$3:$R$1052,$M159)="","",INDEX('DỮ LIỆU'!$R$3:$R$1052,$M159)))</f>
        <v/>
      </c>
      <c r="M159" s="0" t="str">
        <f aca="false">IFERROR(MATCH(154,'DỮ LIỆU'!$V$3:$V$1052,0),"")</f>
        <v/>
      </c>
    </row>
    <row r="160" customFormat="false" ht="15" hidden="false" customHeight="false" outlineLevel="0" collapsed="false">
      <c r="A160" s="21" t="str">
        <f aca="false">IF($M160="","",155)</f>
        <v/>
      </c>
      <c r="B160" s="13" t="str">
        <f aca="false">IF($M160="","",INDEX('DỮ LIỆU'!$A$3:$A$1052,$M160))</f>
        <v/>
      </c>
      <c r="C160" s="41" t="str">
        <f aca="false">IF($M160="","",IF(INDEX('DỮ LIỆU'!$B$3:$B$1052,$M160)="","",INDEX('DỮ LIỆU'!$B$3:$B$1052,$M160)))</f>
        <v/>
      </c>
      <c r="D160" s="21" t="str">
        <f aca="false">IF($M160="","",IF(INDEX('DỮ LIỆU'!$C$3:$C$1052,$M160)="","",INDEX('DỮ LIỆU'!$C$3:$C$1052,$M160)))</f>
        <v/>
      </c>
      <c r="E160" s="21" t="str">
        <f aca="false">IF($M160="","",IF(INDEX('DỮ LIỆU'!$D$3:$D$1052,$M160)="","",INDEX('DỮ LIỆU'!$D$3:$D$1052,$M160)))</f>
        <v/>
      </c>
      <c r="F160" s="21" t="str">
        <f aca="false">IF($M160="","",IF(INDEX('DỮ LIỆU'!$H$3:$H$1052,$M160)="","",INDEX('DỮ LIỆU'!$H$3:$H$1052,$M160)))</f>
        <v/>
      </c>
      <c r="G160" s="13" t="str">
        <f aca="false">IF($M160="","",N(INDEX('DỮ LIỆU'!$I$3:$I$1052,$M160)))</f>
        <v/>
      </c>
      <c r="H160" s="13" t="str">
        <f aca="false">IF($M160="","",N(INDEX('DỮ LIỆU'!$J$3:$J$1052,$M160)))</f>
        <v/>
      </c>
      <c r="I160" s="13" t="str">
        <f aca="false">IF($M160="","",N(INDEX('DỮ LIỆU'!$N$3:$N$1052,$M160)))</f>
        <v/>
      </c>
      <c r="J160" s="13" t="str">
        <f aca="false">IF($M160="","",N(INDEX('DỮ LIỆU'!$O$3:$O$1052,$M160)))</f>
        <v/>
      </c>
      <c r="K160" s="13" t="str">
        <f aca="false">IF($M160="","",IF(INDEX('DỮ LIỆU'!$Q$3:$Q$1052,$M160)="","",INDEX('DỮ LIỆU'!$Q$3:$Q$1052,$M160)))</f>
        <v/>
      </c>
      <c r="L160" s="21" t="str">
        <f aca="false">IF($M160="","",IF(INDEX('DỮ LIỆU'!$R$3:$R$1052,$M160)="","",INDEX('DỮ LIỆU'!$R$3:$R$1052,$M160)))</f>
        <v/>
      </c>
      <c r="M160" s="0" t="str">
        <f aca="false">IFERROR(MATCH(155,'DỮ LIỆU'!$V$3:$V$1052,0),"")</f>
        <v/>
      </c>
    </row>
    <row r="161" customFormat="false" ht="15" hidden="false" customHeight="false" outlineLevel="0" collapsed="false">
      <c r="A161" s="21" t="str">
        <f aca="false">IF($M161="","",156)</f>
        <v/>
      </c>
      <c r="B161" s="13" t="str">
        <f aca="false">IF($M161="","",INDEX('DỮ LIỆU'!$A$3:$A$1052,$M161))</f>
        <v/>
      </c>
      <c r="C161" s="41" t="str">
        <f aca="false">IF($M161="","",IF(INDEX('DỮ LIỆU'!$B$3:$B$1052,$M161)="","",INDEX('DỮ LIỆU'!$B$3:$B$1052,$M161)))</f>
        <v/>
      </c>
      <c r="D161" s="21" t="str">
        <f aca="false">IF($M161="","",IF(INDEX('DỮ LIỆU'!$C$3:$C$1052,$M161)="","",INDEX('DỮ LIỆU'!$C$3:$C$1052,$M161)))</f>
        <v/>
      </c>
      <c r="E161" s="21" t="str">
        <f aca="false">IF($M161="","",IF(INDEX('DỮ LIỆU'!$D$3:$D$1052,$M161)="","",INDEX('DỮ LIỆU'!$D$3:$D$1052,$M161)))</f>
        <v/>
      </c>
      <c r="F161" s="21" t="str">
        <f aca="false">IF($M161="","",IF(INDEX('DỮ LIỆU'!$H$3:$H$1052,$M161)="","",INDEX('DỮ LIỆU'!$H$3:$H$1052,$M161)))</f>
        <v/>
      </c>
      <c r="G161" s="13" t="str">
        <f aca="false">IF($M161="","",N(INDEX('DỮ LIỆU'!$I$3:$I$1052,$M161)))</f>
        <v/>
      </c>
      <c r="H161" s="13" t="str">
        <f aca="false">IF($M161="","",N(INDEX('DỮ LIỆU'!$J$3:$J$1052,$M161)))</f>
        <v/>
      </c>
      <c r="I161" s="13" t="str">
        <f aca="false">IF($M161="","",N(INDEX('DỮ LIỆU'!$N$3:$N$1052,$M161)))</f>
        <v/>
      </c>
      <c r="J161" s="13" t="str">
        <f aca="false">IF($M161="","",N(INDEX('DỮ LIỆU'!$O$3:$O$1052,$M161)))</f>
        <v/>
      </c>
      <c r="K161" s="13" t="str">
        <f aca="false">IF($M161="","",IF(INDEX('DỮ LIỆU'!$Q$3:$Q$1052,$M161)="","",INDEX('DỮ LIỆU'!$Q$3:$Q$1052,$M161)))</f>
        <v/>
      </c>
      <c r="L161" s="21" t="str">
        <f aca="false">IF($M161="","",IF(INDEX('DỮ LIỆU'!$R$3:$R$1052,$M161)="","",INDEX('DỮ LIỆU'!$R$3:$R$1052,$M161)))</f>
        <v/>
      </c>
      <c r="M161" s="0" t="str">
        <f aca="false">IFERROR(MATCH(156,'DỮ LIỆU'!$V$3:$V$1052,0),"")</f>
        <v/>
      </c>
    </row>
    <row r="162" customFormat="false" ht="15" hidden="false" customHeight="false" outlineLevel="0" collapsed="false">
      <c r="A162" s="21" t="str">
        <f aca="false">IF($M162="","",157)</f>
        <v/>
      </c>
      <c r="B162" s="13" t="str">
        <f aca="false">IF($M162="","",INDEX('DỮ LIỆU'!$A$3:$A$1052,$M162))</f>
        <v/>
      </c>
      <c r="C162" s="41" t="str">
        <f aca="false">IF($M162="","",IF(INDEX('DỮ LIỆU'!$B$3:$B$1052,$M162)="","",INDEX('DỮ LIỆU'!$B$3:$B$1052,$M162)))</f>
        <v/>
      </c>
      <c r="D162" s="21" t="str">
        <f aca="false">IF($M162="","",IF(INDEX('DỮ LIỆU'!$C$3:$C$1052,$M162)="","",INDEX('DỮ LIỆU'!$C$3:$C$1052,$M162)))</f>
        <v/>
      </c>
      <c r="E162" s="21" t="str">
        <f aca="false">IF($M162="","",IF(INDEX('DỮ LIỆU'!$D$3:$D$1052,$M162)="","",INDEX('DỮ LIỆU'!$D$3:$D$1052,$M162)))</f>
        <v/>
      </c>
      <c r="F162" s="21" t="str">
        <f aca="false">IF($M162="","",IF(INDEX('DỮ LIỆU'!$H$3:$H$1052,$M162)="","",INDEX('DỮ LIỆU'!$H$3:$H$1052,$M162)))</f>
        <v/>
      </c>
      <c r="G162" s="13" t="str">
        <f aca="false">IF($M162="","",N(INDEX('DỮ LIỆU'!$I$3:$I$1052,$M162)))</f>
        <v/>
      </c>
      <c r="H162" s="13" t="str">
        <f aca="false">IF($M162="","",N(INDEX('DỮ LIỆU'!$J$3:$J$1052,$M162)))</f>
        <v/>
      </c>
      <c r="I162" s="13" t="str">
        <f aca="false">IF($M162="","",N(INDEX('DỮ LIỆU'!$N$3:$N$1052,$M162)))</f>
        <v/>
      </c>
      <c r="J162" s="13" t="str">
        <f aca="false">IF($M162="","",N(INDEX('DỮ LIỆU'!$O$3:$O$1052,$M162)))</f>
        <v/>
      </c>
      <c r="K162" s="13" t="str">
        <f aca="false">IF($M162="","",IF(INDEX('DỮ LIỆU'!$Q$3:$Q$1052,$M162)="","",INDEX('DỮ LIỆU'!$Q$3:$Q$1052,$M162)))</f>
        <v/>
      </c>
      <c r="L162" s="21" t="str">
        <f aca="false">IF($M162="","",IF(INDEX('DỮ LIỆU'!$R$3:$R$1052,$M162)="","",INDEX('DỮ LIỆU'!$R$3:$R$1052,$M162)))</f>
        <v/>
      </c>
      <c r="M162" s="0" t="str">
        <f aca="false">IFERROR(MATCH(157,'DỮ LIỆU'!$V$3:$V$1052,0),"")</f>
        <v/>
      </c>
    </row>
    <row r="163" customFormat="false" ht="15" hidden="false" customHeight="false" outlineLevel="0" collapsed="false">
      <c r="A163" s="21" t="str">
        <f aca="false">IF($M163="","",158)</f>
        <v/>
      </c>
      <c r="B163" s="13" t="str">
        <f aca="false">IF($M163="","",INDEX('DỮ LIỆU'!$A$3:$A$1052,$M163))</f>
        <v/>
      </c>
      <c r="C163" s="41" t="str">
        <f aca="false">IF($M163="","",IF(INDEX('DỮ LIỆU'!$B$3:$B$1052,$M163)="","",INDEX('DỮ LIỆU'!$B$3:$B$1052,$M163)))</f>
        <v/>
      </c>
      <c r="D163" s="21" t="str">
        <f aca="false">IF($M163="","",IF(INDEX('DỮ LIỆU'!$C$3:$C$1052,$M163)="","",INDEX('DỮ LIỆU'!$C$3:$C$1052,$M163)))</f>
        <v/>
      </c>
      <c r="E163" s="21" t="str">
        <f aca="false">IF($M163="","",IF(INDEX('DỮ LIỆU'!$D$3:$D$1052,$M163)="","",INDEX('DỮ LIỆU'!$D$3:$D$1052,$M163)))</f>
        <v/>
      </c>
      <c r="F163" s="21" t="str">
        <f aca="false">IF($M163="","",IF(INDEX('DỮ LIỆU'!$H$3:$H$1052,$M163)="","",INDEX('DỮ LIỆU'!$H$3:$H$1052,$M163)))</f>
        <v/>
      </c>
      <c r="G163" s="13" t="str">
        <f aca="false">IF($M163="","",N(INDEX('DỮ LIỆU'!$I$3:$I$1052,$M163)))</f>
        <v/>
      </c>
      <c r="H163" s="13" t="str">
        <f aca="false">IF($M163="","",N(INDEX('DỮ LIỆU'!$J$3:$J$1052,$M163)))</f>
        <v/>
      </c>
      <c r="I163" s="13" t="str">
        <f aca="false">IF($M163="","",N(INDEX('DỮ LIỆU'!$N$3:$N$1052,$M163)))</f>
        <v/>
      </c>
      <c r="J163" s="13" t="str">
        <f aca="false">IF($M163="","",N(INDEX('DỮ LIỆU'!$O$3:$O$1052,$M163)))</f>
        <v/>
      </c>
      <c r="K163" s="13" t="str">
        <f aca="false">IF($M163="","",IF(INDEX('DỮ LIỆU'!$Q$3:$Q$1052,$M163)="","",INDEX('DỮ LIỆU'!$Q$3:$Q$1052,$M163)))</f>
        <v/>
      </c>
      <c r="L163" s="21" t="str">
        <f aca="false">IF($M163="","",IF(INDEX('DỮ LIỆU'!$R$3:$R$1052,$M163)="","",INDEX('DỮ LIỆU'!$R$3:$R$1052,$M163)))</f>
        <v/>
      </c>
      <c r="M163" s="0" t="str">
        <f aca="false">IFERROR(MATCH(158,'DỮ LIỆU'!$V$3:$V$1052,0),"")</f>
        <v/>
      </c>
    </row>
    <row r="164" customFormat="false" ht="15" hidden="false" customHeight="false" outlineLevel="0" collapsed="false">
      <c r="A164" s="21" t="str">
        <f aca="false">IF($M164="","",159)</f>
        <v/>
      </c>
      <c r="B164" s="13" t="str">
        <f aca="false">IF($M164="","",INDEX('DỮ LIỆU'!$A$3:$A$1052,$M164))</f>
        <v/>
      </c>
      <c r="C164" s="41" t="str">
        <f aca="false">IF($M164="","",IF(INDEX('DỮ LIỆU'!$B$3:$B$1052,$M164)="","",INDEX('DỮ LIỆU'!$B$3:$B$1052,$M164)))</f>
        <v/>
      </c>
      <c r="D164" s="21" t="str">
        <f aca="false">IF($M164="","",IF(INDEX('DỮ LIỆU'!$C$3:$C$1052,$M164)="","",INDEX('DỮ LIỆU'!$C$3:$C$1052,$M164)))</f>
        <v/>
      </c>
      <c r="E164" s="21" t="str">
        <f aca="false">IF($M164="","",IF(INDEX('DỮ LIỆU'!$D$3:$D$1052,$M164)="","",INDEX('DỮ LIỆU'!$D$3:$D$1052,$M164)))</f>
        <v/>
      </c>
      <c r="F164" s="21" t="str">
        <f aca="false">IF($M164="","",IF(INDEX('DỮ LIỆU'!$H$3:$H$1052,$M164)="","",INDEX('DỮ LIỆU'!$H$3:$H$1052,$M164)))</f>
        <v/>
      </c>
      <c r="G164" s="13" t="str">
        <f aca="false">IF($M164="","",N(INDEX('DỮ LIỆU'!$I$3:$I$1052,$M164)))</f>
        <v/>
      </c>
      <c r="H164" s="13" t="str">
        <f aca="false">IF($M164="","",N(INDEX('DỮ LIỆU'!$J$3:$J$1052,$M164)))</f>
        <v/>
      </c>
      <c r="I164" s="13" t="str">
        <f aca="false">IF($M164="","",N(INDEX('DỮ LIỆU'!$N$3:$N$1052,$M164)))</f>
        <v/>
      </c>
      <c r="J164" s="13" t="str">
        <f aca="false">IF($M164="","",N(INDEX('DỮ LIỆU'!$O$3:$O$1052,$M164)))</f>
        <v/>
      </c>
      <c r="K164" s="13" t="str">
        <f aca="false">IF($M164="","",IF(INDEX('DỮ LIỆU'!$Q$3:$Q$1052,$M164)="","",INDEX('DỮ LIỆU'!$Q$3:$Q$1052,$M164)))</f>
        <v/>
      </c>
      <c r="L164" s="21" t="str">
        <f aca="false">IF($M164="","",IF(INDEX('DỮ LIỆU'!$R$3:$R$1052,$M164)="","",INDEX('DỮ LIỆU'!$R$3:$R$1052,$M164)))</f>
        <v/>
      </c>
      <c r="M164" s="0" t="str">
        <f aca="false">IFERROR(MATCH(159,'DỮ LIỆU'!$V$3:$V$1052,0),"")</f>
        <v/>
      </c>
    </row>
    <row r="165" customFormat="false" ht="15" hidden="false" customHeight="false" outlineLevel="0" collapsed="false">
      <c r="A165" s="21" t="str">
        <f aca="false">IF($M165="","",160)</f>
        <v/>
      </c>
      <c r="B165" s="13" t="str">
        <f aca="false">IF($M165="","",INDEX('DỮ LIỆU'!$A$3:$A$1052,$M165))</f>
        <v/>
      </c>
      <c r="C165" s="41" t="str">
        <f aca="false">IF($M165="","",IF(INDEX('DỮ LIỆU'!$B$3:$B$1052,$M165)="","",INDEX('DỮ LIỆU'!$B$3:$B$1052,$M165)))</f>
        <v/>
      </c>
      <c r="D165" s="21" t="str">
        <f aca="false">IF($M165="","",IF(INDEX('DỮ LIỆU'!$C$3:$C$1052,$M165)="","",INDEX('DỮ LIỆU'!$C$3:$C$1052,$M165)))</f>
        <v/>
      </c>
      <c r="E165" s="21" t="str">
        <f aca="false">IF($M165="","",IF(INDEX('DỮ LIỆU'!$D$3:$D$1052,$M165)="","",INDEX('DỮ LIỆU'!$D$3:$D$1052,$M165)))</f>
        <v/>
      </c>
      <c r="F165" s="21" t="str">
        <f aca="false">IF($M165="","",IF(INDEX('DỮ LIỆU'!$H$3:$H$1052,$M165)="","",INDEX('DỮ LIỆU'!$H$3:$H$1052,$M165)))</f>
        <v/>
      </c>
      <c r="G165" s="13" t="str">
        <f aca="false">IF($M165="","",N(INDEX('DỮ LIỆU'!$I$3:$I$1052,$M165)))</f>
        <v/>
      </c>
      <c r="H165" s="13" t="str">
        <f aca="false">IF($M165="","",N(INDEX('DỮ LIỆU'!$J$3:$J$1052,$M165)))</f>
        <v/>
      </c>
      <c r="I165" s="13" t="str">
        <f aca="false">IF($M165="","",N(INDEX('DỮ LIỆU'!$N$3:$N$1052,$M165)))</f>
        <v/>
      </c>
      <c r="J165" s="13" t="str">
        <f aca="false">IF($M165="","",N(INDEX('DỮ LIỆU'!$O$3:$O$1052,$M165)))</f>
        <v/>
      </c>
      <c r="K165" s="13" t="str">
        <f aca="false">IF($M165="","",IF(INDEX('DỮ LIỆU'!$Q$3:$Q$1052,$M165)="","",INDEX('DỮ LIỆU'!$Q$3:$Q$1052,$M165)))</f>
        <v/>
      </c>
      <c r="L165" s="21" t="str">
        <f aca="false">IF($M165="","",IF(INDEX('DỮ LIỆU'!$R$3:$R$1052,$M165)="","",INDEX('DỮ LIỆU'!$R$3:$R$1052,$M165)))</f>
        <v/>
      </c>
      <c r="M165" s="0" t="str">
        <f aca="false">IFERROR(MATCH(160,'DỮ LIỆU'!$V$3:$V$1052,0),"")</f>
        <v/>
      </c>
    </row>
    <row r="166" customFormat="false" ht="15" hidden="false" customHeight="false" outlineLevel="0" collapsed="false">
      <c r="A166" s="21" t="str">
        <f aca="false">IF($M166="","",161)</f>
        <v/>
      </c>
      <c r="B166" s="13" t="str">
        <f aca="false">IF($M166="","",INDEX('DỮ LIỆU'!$A$3:$A$1052,$M166))</f>
        <v/>
      </c>
      <c r="C166" s="41" t="str">
        <f aca="false">IF($M166="","",IF(INDEX('DỮ LIỆU'!$B$3:$B$1052,$M166)="","",INDEX('DỮ LIỆU'!$B$3:$B$1052,$M166)))</f>
        <v/>
      </c>
      <c r="D166" s="21" t="str">
        <f aca="false">IF($M166="","",IF(INDEX('DỮ LIỆU'!$C$3:$C$1052,$M166)="","",INDEX('DỮ LIỆU'!$C$3:$C$1052,$M166)))</f>
        <v/>
      </c>
      <c r="E166" s="21" t="str">
        <f aca="false">IF($M166="","",IF(INDEX('DỮ LIỆU'!$D$3:$D$1052,$M166)="","",INDEX('DỮ LIỆU'!$D$3:$D$1052,$M166)))</f>
        <v/>
      </c>
      <c r="F166" s="21" t="str">
        <f aca="false">IF($M166="","",IF(INDEX('DỮ LIỆU'!$H$3:$H$1052,$M166)="","",INDEX('DỮ LIỆU'!$H$3:$H$1052,$M166)))</f>
        <v/>
      </c>
      <c r="G166" s="13" t="str">
        <f aca="false">IF($M166="","",N(INDEX('DỮ LIỆU'!$I$3:$I$1052,$M166)))</f>
        <v/>
      </c>
      <c r="H166" s="13" t="str">
        <f aca="false">IF($M166="","",N(INDEX('DỮ LIỆU'!$J$3:$J$1052,$M166)))</f>
        <v/>
      </c>
      <c r="I166" s="13" t="str">
        <f aca="false">IF($M166="","",N(INDEX('DỮ LIỆU'!$N$3:$N$1052,$M166)))</f>
        <v/>
      </c>
      <c r="J166" s="13" t="str">
        <f aca="false">IF($M166="","",N(INDEX('DỮ LIỆU'!$O$3:$O$1052,$M166)))</f>
        <v/>
      </c>
      <c r="K166" s="13" t="str">
        <f aca="false">IF($M166="","",IF(INDEX('DỮ LIỆU'!$Q$3:$Q$1052,$M166)="","",INDEX('DỮ LIỆU'!$Q$3:$Q$1052,$M166)))</f>
        <v/>
      </c>
      <c r="L166" s="21" t="str">
        <f aca="false">IF($M166="","",IF(INDEX('DỮ LIỆU'!$R$3:$R$1052,$M166)="","",INDEX('DỮ LIỆU'!$R$3:$R$1052,$M166)))</f>
        <v/>
      </c>
      <c r="M166" s="0" t="str">
        <f aca="false">IFERROR(MATCH(161,'DỮ LIỆU'!$V$3:$V$1052,0),"")</f>
        <v/>
      </c>
    </row>
    <row r="167" customFormat="false" ht="15" hidden="false" customHeight="false" outlineLevel="0" collapsed="false">
      <c r="A167" s="21" t="str">
        <f aca="false">IF($M167="","",162)</f>
        <v/>
      </c>
      <c r="B167" s="13" t="str">
        <f aca="false">IF($M167="","",INDEX('DỮ LIỆU'!$A$3:$A$1052,$M167))</f>
        <v/>
      </c>
      <c r="C167" s="41" t="str">
        <f aca="false">IF($M167="","",IF(INDEX('DỮ LIỆU'!$B$3:$B$1052,$M167)="","",INDEX('DỮ LIỆU'!$B$3:$B$1052,$M167)))</f>
        <v/>
      </c>
      <c r="D167" s="21" t="str">
        <f aca="false">IF($M167="","",IF(INDEX('DỮ LIỆU'!$C$3:$C$1052,$M167)="","",INDEX('DỮ LIỆU'!$C$3:$C$1052,$M167)))</f>
        <v/>
      </c>
      <c r="E167" s="21" t="str">
        <f aca="false">IF($M167="","",IF(INDEX('DỮ LIỆU'!$D$3:$D$1052,$M167)="","",INDEX('DỮ LIỆU'!$D$3:$D$1052,$M167)))</f>
        <v/>
      </c>
      <c r="F167" s="21" t="str">
        <f aca="false">IF($M167="","",IF(INDEX('DỮ LIỆU'!$H$3:$H$1052,$M167)="","",INDEX('DỮ LIỆU'!$H$3:$H$1052,$M167)))</f>
        <v/>
      </c>
      <c r="G167" s="13" t="str">
        <f aca="false">IF($M167="","",N(INDEX('DỮ LIỆU'!$I$3:$I$1052,$M167)))</f>
        <v/>
      </c>
      <c r="H167" s="13" t="str">
        <f aca="false">IF($M167="","",N(INDEX('DỮ LIỆU'!$J$3:$J$1052,$M167)))</f>
        <v/>
      </c>
      <c r="I167" s="13" t="str">
        <f aca="false">IF($M167="","",N(INDEX('DỮ LIỆU'!$N$3:$N$1052,$M167)))</f>
        <v/>
      </c>
      <c r="J167" s="13" t="str">
        <f aca="false">IF($M167="","",N(INDEX('DỮ LIỆU'!$O$3:$O$1052,$M167)))</f>
        <v/>
      </c>
      <c r="K167" s="13" t="str">
        <f aca="false">IF($M167="","",IF(INDEX('DỮ LIỆU'!$Q$3:$Q$1052,$M167)="","",INDEX('DỮ LIỆU'!$Q$3:$Q$1052,$M167)))</f>
        <v/>
      </c>
      <c r="L167" s="21" t="str">
        <f aca="false">IF($M167="","",IF(INDEX('DỮ LIỆU'!$R$3:$R$1052,$M167)="","",INDEX('DỮ LIỆU'!$R$3:$R$1052,$M167)))</f>
        <v/>
      </c>
      <c r="M167" s="0" t="str">
        <f aca="false">IFERROR(MATCH(162,'DỮ LIỆU'!$V$3:$V$1052,0),"")</f>
        <v/>
      </c>
    </row>
    <row r="168" customFormat="false" ht="15" hidden="false" customHeight="false" outlineLevel="0" collapsed="false">
      <c r="A168" s="21" t="str">
        <f aca="false">IF($M168="","",163)</f>
        <v/>
      </c>
      <c r="B168" s="13" t="str">
        <f aca="false">IF($M168="","",INDEX('DỮ LIỆU'!$A$3:$A$1052,$M168))</f>
        <v/>
      </c>
      <c r="C168" s="41" t="str">
        <f aca="false">IF($M168="","",IF(INDEX('DỮ LIỆU'!$B$3:$B$1052,$M168)="","",INDEX('DỮ LIỆU'!$B$3:$B$1052,$M168)))</f>
        <v/>
      </c>
      <c r="D168" s="21" t="str">
        <f aca="false">IF($M168="","",IF(INDEX('DỮ LIỆU'!$C$3:$C$1052,$M168)="","",INDEX('DỮ LIỆU'!$C$3:$C$1052,$M168)))</f>
        <v/>
      </c>
      <c r="E168" s="21" t="str">
        <f aca="false">IF($M168="","",IF(INDEX('DỮ LIỆU'!$D$3:$D$1052,$M168)="","",INDEX('DỮ LIỆU'!$D$3:$D$1052,$M168)))</f>
        <v/>
      </c>
      <c r="F168" s="21" t="str">
        <f aca="false">IF($M168="","",IF(INDEX('DỮ LIỆU'!$H$3:$H$1052,$M168)="","",INDEX('DỮ LIỆU'!$H$3:$H$1052,$M168)))</f>
        <v/>
      </c>
      <c r="G168" s="13" t="str">
        <f aca="false">IF($M168="","",N(INDEX('DỮ LIỆU'!$I$3:$I$1052,$M168)))</f>
        <v/>
      </c>
      <c r="H168" s="13" t="str">
        <f aca="false">IF($M168="","",N(INDEX('DỮ LIỆU'!$J$3:$J$1052,$M168)))</f>
        <v/>
      </c>
      <c r="I168" s="13" t="str">
        <f aca="false">IF($M168="","",N(INDEX('DỮ LIỆU'!$N$3:$N$1052,$M168)))</f>
        <v/>
      </c>
      <c r="J168" s="13" t="str">
        <f aca="false">IF($M168="","",N(INDEX('DỮ LIỆU'!$O$3:$O$1052,$M168)))</f>
        <v/>
      </c>
      <c r="K168" s="13" t="str">
        <f aca="false">IF($M168="","",IF(INDEX('DỮ LIỆU'!$Q$3:$Q$1052,$M168)="","",INDEX('DỮ LIỆU'!$Q$3:$Q$1052,$M168)))</f>
        <v/>
      </c>
      <c r="L168" s="21" t="str">
        <f aca="false">IF($M168="","",IF(INDEX('DỮ LIỆU'!$R$3:$R$1052,$M168)="","",INDEX('DỮ LIỆU'!$R$3:$R$1052,$M168)))</f>
        <v/>
      </c>
      <c r="M168" s="0" t="str">
        <f aca="false">IFERROR(MATCH(163,'DỮ LIỆU'!$V$3:$V$1052,0),"")</f>
        <v/>
      </c>
    </row>
    <row r="169" customFormat="false" ht="15" hidden="false" customHeight="false" outlineLevel="0" collapsed="false">
      <c r="A169" s="21" t="str">
        <f aca="false">IF($M169="","",164)</f>
        <v/>
      </c>
      <c r="B169" s="13" t="str">
        <f aca="false">IF($M169="","",INDEX('DỮ LIỆU'!$A$3:$A$1052,$M169))</f>
        <v/>
      </c>
      <c r="C169" s="41" t="str">
        <f aca="false">IF($M169="","",IF(INDEX('DỮ LIỆU'!$B$3:$B$1052,$M169)="","",INDEX('DỮ LIỆU'!$B$3:$B$1052,$M169)))</f>
        <v/>
      </c>
      <c r="D169" s="21" t="str">
        <f aca="false">IF($M169="","",IF(INDEX('DỮ LIỆU'!$C$3:$C$1052,$M169)="","",INDEX('DỮ LIỆU'!$C$3:$C$1052,$M169)))</f>
        <v/>
      </c>
      <c r="E169" s="21" t="str">
        <f aca="false">IF($M169="","",IF(INDEX('DỮ LIỆU'!$D$3:$D$1052,$M169)="","",INDEX('DỮ LIỆU'!$D$3:$D$1052,$M169)))</f>
        <v/>
      </c>
      <c r="F169" s="21" t="str">
        <f aca="false">IF($M169="","",IF(INDEX('DỮ LIỆU'!$H$3:$H$1052,$M169)="","",INDEX('DỮ LIỆU'!$H$3:$H$1052,$M169)))</f>
        <v/>
      </c>
      <c r="G169" s="13" t="str">
        <f aca="false">IF($M169="","",N(INDEX('DỮ LIỆU'!$I$3:$I$1052,$M169)))</f>
        <v/>
      </c>
      <c r="H169" s="13" t="str">
        <f aca="false">IF($M169="","",N(INDEX('DỮ LIỆU'!$J$3:$J$1052,$M169)))</f>
        <v/>
      </c>
      <c r="I169" s="13" t="str">
        <f aca="false">IF($M169="","",N(INDEX('DỮ LIỆU'!$N$3:$N$1052,$M169)))</f>
        <v/>
      </c>
      <c r="J169" s="13" t="str">
        <f aca="false">IF($M169="","",N(INDEX('DỮ LIỆU'!$O$3:$O$1052,$M169)))</f>
        <v/>
      </c>
      <c r="K169" s="13" t="str">
        <f aca="false">IF($M169="","",IF(INDEX('DỮ LIỆU'!$Q$3:$Q$1052,$M169)="","",INDEX('DỮ LIỆU'!$Q$3:$Q$1052,$M169)))</f>
        <v/>
      </c>
      <c r="L169" s="21" t="str">
        <f aca="false">IF($M169="","",IF(INDEX('DỮ LIỆU'!$R$3:$R$1052,$M169)="","",INDEX('DỮ LIỆU'!$R$3:$R$1052,$M169)))</f>
        <v/>
      </c>
      <c r="M169" s="0" t="str">
        <f aca="false">IFERROR(MATCH(164,'DỮ LIỆU'!$V$3:$V$1052,0),"")</f>
        <v/>
      </c>
    </row>
    <row r="170" customFormat="false" ht="15" hidden="false" customHeight="false" outlineLevel="0" collapsed="false">
      <c r="A170" s="21" t="str">
        <f aca="false">IF($M170="","",165)</f>
        <v/>
      </c>
      <c r="B170" s="13" t="str">
        <f aca="false">IF($M170="","",INDEX('DỮ LIỆU'!$A$3:$A$1052,$M170))</f>
        <v/>
      </c>
      <c r="C170" s="41" t="str">
        <f aca="false">IF($M170="","",IF(INDEX('DỮ LIỆU'!$B$3:$B$1052,$M170)="","",INDEX('DỮ LIỆU'!$B$3:$B$1052,$M170)))</f>
        <v/>
      </c>
      <c r="D170" s="21" t="str">
        <f aca="false">IF($M170="","",IF(INDEX('DỮ LIỆU'!$C$3:$C$1052,$M170)="","",INDEX('DỮ LIỆU'!$C$3:$C$1052,$M170)))</f>
        <v/>
      </c>
      <c r="E170" s="21" t="str">
        <f aca="false">IF($M170="","",IF(INDEX('DỮ LIỆU'!$D$3:$D$1052,$M170)="","",INDEX('DỮ LIỆU'!$D$3:$D$1052,$M170)))</f>
        <v/>
      </c>
      <c r="F170" s="21" t="str">
        <f aca="false">IF($M170="","",IF(INDEX('DỮ LIỆU'!$H$3:$H$1052,$M170)="","",INDEX('DỮ LIỆU'!$H$3:$H$1052,$M170)))</f>
        <v/>
      </c>
      <c r="G170" s="13" t="str">
        <f aca="false">IF($M170="","",N(INDEX('DỮ LIỆU'!$I$3:$I$1052,$M170)))</f>
        <v/>
      </c>
      <c r="H170" s="13" t="str">
        <f aca="false">IF($M170="","",N(INDEX('DỮ LIỆU'!$J$3:$J$1052,$M170)))</f>
        <v/>
      </c>
      <c r="I170" s="13" t="str">
        <f aca="false">IF($M170="","",N(INDEX('DỮ LIỆU'!$N$3:$N$1052,$M170)))</f>
        <v/>
      </c>
      <c r="J170" s="13" t="str">
        <f aca="false">IF($M170="","",N(INDEX('DỮ LIỆU'!$O$3:$O$1052,$M170)))</f>
        <v/>
      </c>
      <c r="K170" s="13" t="str">
        <f aca="false">IF($M170="","",IF(INDEX('DỮ LIỆU'!$Q$3:$Q$1052,$M170)="","",INDEX('DỮ LIỆU'!$Q$3:$Q$1052,$M170)))</f>
        <v/>
      </c>
      <c r="L170" s="21" t="str">
        <f aca="false">IF($M170="","",IF(INDEX('DỮ LIỆU'!$R$3:$R$1052,$M170)="","",INDEX('DỮ LIỆU'!$R$3:$R$1052,$M170)))</f>
        <v/>
      </c>
      <c r="M170" s="0" t="str">
        <f aca="false">IFERROR(MATCH(165,'DỮ LIỆU'!$V$3:$V$1052,0),"")</f>
        <v/>
      </c>
    </row>
    <row r="171" customFormat="false" ht="15" hidden="false" customHeight="false" outlineLevel="0" collapsed="false">
      <c r="A171" s="21" t="str">
        <f aca="false">IF($M171="","",166)</f>
        <v/>
      </c>
      <c r="B171" s="13" t="str">
        <f aca="false">IF($M171="","",INDEX('DỮ LIỆU'!$A$3:$A$1052,$M171))</f>
        <v/>
      </c>
      <c r="C171" s="41" t="str">
        <f aca="false">IF($M171="","",IF(INDEX('DỮ LIỆU'!$B$3:$B$1052,$M171)="","",INDEX('DỮ LIỆU'!$B$3:$B$1052,$M171)))</f>
        <v/>
      </c>
      <c r="D171" s="21" t="str">
        <f aca="false">IF($M171="","",IF(INDEX('DỮ LIỆU'!$C$3:$C$1052,$M171)="","",INDEX('DỮ LIỆU'!$C$3:$C$1052,$M171)))</f>
        <v/>
      </c>
      <c r="E171" s="21" t="str">
        <f aca="false">IF($M171="","",IF(INDEX('DỮ LIỆU'!$D$3:$D$1052,$M171)="","",INDEX('DỮ LIỆU'!$D$3:$D$1052,$M171)))</f>
        <v/>
      </c>
      <c r="F171" s="21" t="str">
        <f aca="false">IF($M171="","",IF(INDEX('DỮ LIỆU'!$H$3:$H$1052,$M171)="","",INDEX('DỮ LIỆU'!$H$3:$H$1052,$M171)))</f>
        <v/>
      </c>
      <c r="G171" s="13" t="str">
        <f aca="false">IF($M171="","",N(INDEX('DỮ LIỆU'!$I$3:$I$1052,$M171)))</f>
        <v/>
      </c>
      <c r="H171" s="13" t="str">
        <f aca="false">IF($M171="","",N(INDEX('DỮ LIỆU'!$J$3:$J$1052,$M171)))</f>
        <v/>
      </c>
      <c r="I171" s="13" t="str">
        <f aca="false">IF($M171="","",N(INDEX('DỮ LIỆU'!$N$3:$N$1052,$M171)))</f>
        <v/>
      </c>
      <c r="J171" s="13" t="str">
        <f aca="false">IF($M171="","",N(INDEX('DỮ LIỆU'!$O$3:$O$1052,$M171)))</f>
        <v/>
      </c>
      <c r="K171" s="13" t="str">
        <f aca="false">IF($M171="","",IF(INDEX('DỮ LIỆU'!$Q$3:$Q$1052,$M171)="","",INDEX('DỮ LIỆU'!$Q$3:$Q$1052,$M171)))</f>
        <v/>
      </c>
      <c r="L171" s="21" t="str">
        <f aca="false">IF($M171="","",IF(INDEX('DỮ LIỆU'!$R$3:$R$1052,$M171)="","",INDEX('DỮ LIỆU'!$R$3:$R$1052,$M171)))</f>
        <v/>
      </c>
      <c r="M171" s="0" t="str">
        <f aca="false">IFERROR(MATCH(166,'DỮ LIỆU'!$V$3:$V$1052,0),"")</f>
        <v/>
      </c>
    </row>
    <row r="172" customFormat="false" ht="15" hidden="false" customHeight="false" outlineLevel="0" collapsed="false">
      <c r="A172" s="21" t="str">
        <f aca="false">IF($M172="","",167)</f>
        <v/>
      </c>
      <c r="B172" s="13" t="str">
        <f aca="false">IF($M172="","",INDEX('DỮ LIỆU'!$A$3:$A$1052,$M172))</f>
        <v/>
      </c>
      <c r="C172" s="41" t="str">
        <f aca="false">IF($M172="","",IF(INDEX('DỮ LIỆU'!$B$3:$B$1052,$M172)="","",INDEX('DỮ LIỆU'!$B$3:$B$1052,$M172)))</f>
        <v/>
      </c>
      <c r="D172" s="21" t="str">
        <f aca="false">IF($M172="","",IF(INDEX('DỮ LIỆU'!$C$3:$C$1052,$M172)="","",INDEX('DỮ LIỆU'!$C$3:$C$1052,$M172)))</f>
        <v/>
      </c>
      <c r="E172" s="21" t="str">
        <f aca="false">IF($M172="","",IF(INDEX('DỮ LIỆU'!$D$3:$D$1052,$M172)="","",INDEX('DỮ LIỆU'!$D$3:$D$1052,$M172)))</f>
        <v/>
      </c>
      <c r="F172" s="21" t="str">
        <f aca="false">IF($M172="","",IF(INDEX('DỮ LIỆU'!$H$3:$H$1052,$M172)="","",INDEX('DỮ LIỆU'!$H$3:$H$1052,$M172)))</f>
        <v/>
      </c>
      <c r="G172" s="13" t="str">
        <f aca="false">IF($M172="","",N(INDEX('DỮ LIỆU'!$I$3:$I$1052,$M172)))</f>
        <v/>
      </c>
      <c r="H172" s="13" t="str">
        <f aca="false">IF($M172="","",N(INDEX('DỮ LIỆU'!$J$3:$J$1052,$M172)))</f>
        <v/>
      </c>
      <c r="I172" s="13" t="str">
        <f aca="false">IF($M172="","",N(INDEX('DỮ LIỆU'!$N$3:$N$1052,$M172)))</f>
        <v/>
      </c>
      <c r="J172" s="13" t="str">
        <f aca="false">IF($M172="","",N(INDEX('DỮ LIỆU'!$O$3:$O$1052,$M172)))</f>
        <v/>
      </c>
      <c r="K172" s="13" t="str">
        <f aca="false">IF($M172="","",IF(INDEX('DỮ LIỆU'!$Q$3:$Q$1052,$M172)="","",INDEX('DỮ LIỆU'!$Q$3:$Q$1052,$M172)))</f>
        <v/>
      </c>
      <c r="L172" s="21" t="str">
        <f aca="false">IF($M172="","",IF(INDEX('DỮ LIỆU'!$R$3:$R$1052,$M172)="","",INDEX('DỮ LIỆU'!$R$3:$R$1052,$M172)))</f>
        <v/>
      </c>
      <c r="M172" s="0" t="str">
        <f aca="false">IFERROR(MATCH(167,'DỮ LIỆU'!$V$3:$V$1052,0),"")</f>
        <v/>
      </c>
    </row>
    <row r="173" customFormat="false" ht="15" hidden="false" customHeight="false" outlineLevel="0" collapsed="false">
      <c r="A173" s="21" t="str">
        <f aca="false">IF($M173="","",168)</f>
        <v/>
      </c>
      <c r="B173" s="13" t="str">
        <f aca="false">IF($M173="","",INDEX('DỮ LIỆU'!$A$3:$A$1052,$M173))</f>
        <v/>
      </c>
      <c r="C173" s="41" t="str">
        <f aca="false">IF($M173="","",IF(INDEX('DỮ LIỆU'!$B$3:$B$1052,$M173)="","",INDEX('DỮ LIỆU'!$B$3:$B$1052,$M173)))</f>
        <v/>
      </c>
      <c r="D173" s="21" t="str">
        <f aca="false">IF($M173="","",IF(INDEX('DỮ LIỆU'!$C$3:$C$1052,$M173)="","",INDEX('DỮ LIỆU'!$C$3:$C$1052,$M173)))</f>
        <v/>
      </c>
      <c r="E173" s="21" t="str">
        <f aca="false">IF($M173="","",IF(INDEX('DỮ LIỆU'!$D$3:$D$1052,$M173)="","",INDEX('DỮ LIỆU'!$D$3:$D$1052,$M173)))</f>
        <v/>
      </c>
      <c r="F173" s="21" t="str">
        <f aca="false">IF($M173="","",IF(INDEX('DỮ LIỆU'!$H$3:$H$1052,$M173)="","",INDEX('DỮ LIỆU'!$H$3:$H$1052,$M173)))</f>
        <v/>
      </c>
      <c r="G173" s="13" t="str">
        <f aca="false">IF($M173="","",N(INDEX('DỮ LIỆU'!$I$3:$I$1052,$M173)))</f>
        <v/>
      </c>
      <c r="H173" s="13" t="str">
        <f aca="false">IF($M173="","",N(INDEX('DỮ LIỆU'!$J$3:$J$1052,$M173)))</f>
        <v/>
      </c>
      <c r="I173" s="13" t="str">
        <f aca="false">IF($M173="","",N(INDEX('DỮ LIỆU'!$N$3:$N$1052,$M173)))</f>
        <v/>
      </c>
      <c r="J173" s="13" t="str">
        <f aca="false">IF($M173="","",N(INDEX('DỮ LIỆU'!$O$3:$O$1052,$M173)))</f>
        <v/>
      </c>
      <c r="K173" s="13" t="str">
        <f aca="false">IF($M173="","",IF(INDEX('DỮ LIỆU'!$Q$3:$Q$1052,$M173)="","",INDEX('DỮ LIỆU'!$Q$3:$Q$1052,$M173)))</f>
        <v/>
      </c>
      <c r="L173" s="21" t="str">
        <f aca="false">IF($M173="","",IF(INDEX('DỮ LIỆU'!$R$3:$R$1052,$M173)="","",INDEX('DỮ LIỆU'!$R$3:$R$1052,$M173)))</f>
        <v/>
      </c>
      <c r="M173" s="0" t="str">
        <f aca="false">IFERROR(MATCH(168,'DỮ LIỆU'!$V$3:$V$1052,0),"")</f>
        <v/>
      </c>
    </row>
    <row r="174" customFormat="false" ht="15" hidden="false" customHeight="false" outlineLevel="0" collapsed="false">
      <c r="A174" s="21" t="str">
        <f aca="false">IF($M174="","",169)</f>
        <v/>
      </c>
      <c r="B174" s="13" t="str">
        <f aca="false">IF($M174="","",INDEX('DỮ LIỆU'!$A$3:$A$1052,$M174))</f>
        <v/>
      </c>
      <c r="C174" s="41" t="str">
        <f aca="false">IF($M174="","",IF(INDEX('DỮ LIỆU'!$B$3:$B$1052,$M174)="","",INDEX('DỮ LIỆU'!$B$3:$B$1052,$M174)))</f>
        <v/>
      </c>
      <c r="D174" s="21" t="str">
        <f aca="false">IF($M174="","",IF(INDEX('DỮ LIỆU'!$C$3:$C$1052,$M174)="","",INDEX('DỮ LIỆU'!$C$3:$C$1052,$M174)))</f>
        <v/>
      </c>
      <c r="E174" s="21" t="str">
        <f aca="false">IF($M174="","",IF(INDEX('DỮ LIỆU'!$D$3:$D$1052,$M174)="","",INDEX('DỮ LIỆU'!$D$3:$D$1052,$M174)))</f>
        <v/>
      </c>
      <c r="F174" s="21" t="str">
        <f aca="false">IF($M174="","",IF(INDEX('DỮ LIỆU'!$H$3:$H$1052,$M174)="","",INDEX('DỮ LIỆU'!$H$3:$H$1052,$M174)))</f>
        <v/>
      </c>
      <c r="G174" s="13" t="str">
        <f aca="false">IF($M174="","",N(INDEX('DỮ LIỆU'!$I$3:$I$1052,$M174)))</f>
        <v/>
      </c>
      <c r="H174" s="13" t="str">
        <f aca="false">IF($M174="","",N(INDEX('DỮ LIỆU'!$J$3:$J$1052,$M174)))</f>
        <v/>
      </c>
      <c r="I174" s="13" t="str">
        <f aca="false">IF($M174="","",N(INDEX('DỮ LIỆU'!$N$3:$N$1052,$M174)))</f>
        <v/>
      </c>
      <c r="J174" s="13" t="str">
        <f aca="false">IF($M174="","",N(INDEX('DỮ LIỆU'!$O$3:$O$1052,$M174)))</f>
        <v/>
      </c>
      <c r="K174" s="13" t="str">
        <f aca="false">IF($M174="","",IF(INDEX('DỮ LIỆU'!$Q$3:$Q$1052,$M174)="","",INDEX('DỮ LIỆU'!$Q$3:$Q$1052,$M174)))</f>
        <v/>
      </c>
      <c r="L174" s="21" t="str">
        <f aca="false">IF($M174="","",IF(INDEX('DỮ LIỆU'!$R$3:$R$1052,$M174)="","",INDEX('DỮ LIỆU'!$R$3:$R$1052,$M174)))</f>
        <v/>
      </c>
      <c r="M174" s="0" t="str">
        <f aca="false">IFERROR(MATCH(169,'DỮ LIỆU'!$V$3:$V$1052,0),"")</f>
        <v/>
      </c>
    </row>
    <row r="175" customFormat="false" ht="15" hidden="false" customHeight="false" outlineLevel="0" collapsed="false">
      <c r="A175" s="21" t="str">
        <f aca="false">IF($M175="","",170)</f>
        <v/>
      </c>
      <c r="B175" s="13" t="str">
        <f aca="false">IF($M175="","",INDEX('DỮ LIỆU'!$A$3:$A$1052,$M175))</f>
        <v/>
      </c>
      <c r="C175" s="41" t="str">
        <f aca="false">IF($M175="","",IF(INDEX('DỮ LIỆU'!$B$3:$B$1052,$M175)="","",INDEX('DỮ LIỆU'!$B$3:$B$1052,$M175)))</f>
        <v/>
      </c>
      <c r="D175" s="21" t="str">
        <f aca="false">IF($M175="","",IF(INDEX('DỮ LIỆU'!$C$3:$C$1052,$M175)="","",INDEX('DỮ LIỆU'!$C$3:$C$1052,$M175)))</f>
        <v/>
      </c>
      <c r="E175" s="21" t="str">
        <f aca="false">IF($M175="","",IF(INDEX('DỮ LIỆU'!$D$3:$D$1052,$M175)="","",INDEX('DỮ LIỆU'!$D$3:$D$1052,$M175)))</f>
        <v/>
      </c>
      <c r="F175" s="21" t="str">
        <f aca="false">IF($M175="","",IF(INDEX('DỮ LIỆU'!$H$3:$H$1052,$M175)="","",INDEX('DỮ LIỆU'!$H$3:$H$1052,$M175)))</f>
        <v/>
      </c>
      <c r="G175" s="13" t="str">
        <f aca="false">IF($M175="","",N(INDEX('DỮ LIỆU'!$I$3:$I$1052,$M175)))</f>
        <v/>
      </c>
      <c r="H175" s="13" t="str">
        <f aca="false">IF($M175="","",N(INDEX('DỮ LIỆU'!$J$3:$J$1052,$M175)))</f>
        <v/>
      </c>
      <c r="I175" s="13" t="str">
        <f aca="false">IF($M175="","",N(INDEX('DỮ LIỆU'!$N$3:$N$1052,$M175)))</f>
        <v/>
      </c>
      <c r="J175" s="13" t="str">
        <f aca="false">IF($M175="","",N(INDEX('DỮ LIỆU'!$O$3:$O$1052,$M175)))</f>
        <v/>
      </c>
      <c r="K175" s="13" t="str">
        <f aca="false">IF($M175="","",IF(INDEX('DỮ LIỆU'!$Q$3:$Q$1052,$M175)="","",INDEX('DỮ LIỆU'!$Q$3:$Q$1052,$M175)))</f>
        <v/>
      </c>
      <c r="L175" s="21" t="str">
        <f aca="false">IF($M175="","",IF(INDEX('DỮ LIỆU'!$R$3:$R$1052,$M175)="","",INDEX('DỮ LIỆU'!$R$3:$R$1052,$M175)))</f>
        <v/>
      </c>
      <c r="M175" s="0" t="str">
        <f aca="false">IFERROR(MATCH(170,'DỮ LIỆU'!$V$3:$V$1052,0),"")</f>
        <v/>
      </c>
    </row>
    <row r="176" customFormat="false" ht="15" hidden="false" customHeight="false" outlineLevel="0" collapsed="false">
      <c r="A176" s="21" t="str">
        <f aca="false">IF($M176="","",171)</f>
        <v/>
      </c>
      <c r="B176" s="13" t="str">
        <f aca="false">IF($M176="","",INDEX('DỮ LIỆU'!$A$3:$A$1052,$M176))</f>
        <v/>
      </c>
      <c r="C176" s="41" t="str">
        <f aca="false">IF($M176="","",IF(INDEX('DỮ LIỆU'!$B$3:$B$1052,$M176)="","",INDEX('DỮ LIỆU'!$B$3:$B$1052,$M176)))</f>
        <v/>
      </c>
      <c r="D176" s="21" t="str">
        <f aca="false">IF($M176="","",IF(INDEX('DỮ LIỆU'!$C$3:$C$1052,$M176)="","",INDEX('DỮ LIỆU'!$C$3:$C$1052,$M176)))</f>
        <v/>
      </c>
      <c r="E176" s="21" t="str">
        <f aca="false">IF($M176="","",IF(INDEX('DỮ LIỆU'!$D$3:$D$1052,$M176)="","",INDEX('DỮ LIỆU'!$D$3:$D$1052,$M176)))</f>
        <v/>
      </c>
      <c r="F176" s="21" t="str">
        <f aca="false">IF($M176="","",IF(INDEX('DỮ LIỆU'!$H$3:$H$1052,$M176)="","",INDEX('DỮ LIỆU'!$H$3:$H$1052,$M176)))</f>
        <v/>
      </c>
      <c r="G176" s="13" t="str">
        <f aca="false">IF($M176="","",N(INDEX('DỮ LIỆU'!$I$3:$I$1052,$M176)))</f>
        <v/>
      </c>
      <c r="H176" s="13" t="str">
        <f aca="false">IF($M176="","",N(INDEX('DỮ LIỆU'!$J$3:$J$1052,$M176)))</f>
        <v/>
      </c>
      <c r="I176" s="13" t="str">
        <f aca="false">IF($M176="","",N(INDEX('DỮ LIỆU'!$N$3:$N$1052,$M176)))</f>
        <v/>
      </c>
      <c r="J176" s="13" t="str">
        <f aca="false">IF($M176="","",N(INDEX('DỮ LIỆU'!$O$3:$O$1052,$M176)))</f>
        <v/>
      </c>
      <c r="K176" s="13" t="str">
        <f aca="false">IF($M176="","",IF(INDEX('DỮ LIỆU'!$Q$3:$Q$1052,$M176)="","",INDEX('DỮ LIỆU'!$Q$3:$Q$1052,$M176)))</f>
        <v/>
      </c>
      <c r="L176" s="21" t="str">
        <f aca="false">IF($M176="","",IF(INDEX('DỮ LIỆU'!$R$3:$R$1052,$M176)="","",INDEX('DỮ LIỆU'!$R$3:$R$1052,$M176)))</f>
        <v/>
      </c>
      <c r="M176" s="0" t="str">
        <f aca="false">IFERROR(MATCH(171,'DỮ LIỆU'!$V$3:$V$1052,0),"")</f>
        <v/>
      </c>
    </row>
    <row r="177" customFormat="false" ht="15" hidden="false" customHeight="false" outlineLevel="0" collapsed="false">
      <c r="A177" s="21" t="str">
        <f aca="false">IF($M177="","",172)</f>
        <v/>
      </c>
      <c r="B177" s="13" t="str">
        <f aca="false">IF($M177="","",INDEX('DỮ LIỆU'!$A$3:$A$1052,$M177))</f>
        <v/>
      </c>
      <c r="C177" s="41" t="str">
        <f aca="false">IF($M177="","",IF(INDEX('DỮ LIỆU'!$B$3:$B$1052,$M177)="","",INDEX('DỮ LIỆU'!$B$3:$B$1052,$M177)))</f>
        <v/>
      </c>
      <c r="D177" s="21" t="str">
        <f aca="false">IF($M177="","",IF(INDEX('DỮ LIỆU'!$C$3:$C$1052,$M177)="","",INDEX('DỮ LIỆU'!$C$3:$C$1052,$M177)))</f>
        <v/>
      </c>
      <c r="E177" s="21" t="str">
        <f aca="false">IF($M177="","",IF(INDEX('DỮ LIỆU'!$D$3:$D$1052,$M177)="","",INDEX('DỮ LIỆU'!$D$3:$D$1052,$M177)))</f>
        <v/>
      </c>
      <c r="F177" s="21" t="str">
        <f aca="false">IF($M177="","",IF(INDEX('DỮ LIỆU'!$H$3:$H$1052,$M177)="","",INDEX('DỮ LIỆU'!$H$3:$H$1052,$M177)))</f>
        <v/>
      </c>
      <c r="G177" s="13" t="str">
        <f aca="false">IF($M177="","",N(INDEX('DỮ LIỆU'!$I$3:$I$1052,$M177)))</f>
        <v/>
      </c>
      <c r="H177" s="13" t="str">
        <f aca="false">IF($M177="","",N(INDEX('DỮ LIỆU'!$J$3:$J$1052,$M177)))</f>
        <v/>
      </c>
      <c r="I177" s="13" t="str">
        <f aca="false">IF($M177="","",N(INDEX('DỮ LIỆU'!$N$3:$N$1052,$M177)))</f>
        <v/>
      </c>
      <c r="J177" s="13" t="str">
        <f aca="false">IF($M177="","",N(INDEX('DỮ LIỆU'!$O$3:$O$1052,$M177)))</f>
        <v/>
      </c>
      <c r="K177" s="13" t="str">
        <f aca="false">IF($M177="","",IF(INDEX('DỮ LIỆU'!$Q$3:$Q$1052,$M177)="","",INDEX('DỮ LIỆU'!$Q$3:$Q$1052,$M177)))</f>
        <v/>
      </c>
      <c r="L177" s="21" t="str">
        <f aca="false">IF($M177="","",IF(INDEX('DỮ LIỆU'!$R$3:$R$1052,$M177)="","",INDEX('DỮ LIỆU'!$R$3:$R$1052,$M177)))</f>
        <v/>
      </c>
      <c r="M177" s="0" t="str">
        <f aca="false">IFERROR(MATCH(172,'DỮ LIỆU'!$V$3:$V$1052,0),"")</f>
        <v/>
      </c>
    </row>
    <row r="178" customFormat="false" ht="15" hidden="false" customHeight="false" outlineLevel="0" collapsed="false">
      <c r="A178" s="21" t="str">
        <f aca="false">IF($M178="","",173)</f>
        <v/>
      </c>
      <c r="B178" s="13" t="str">
        <f aca="false">IF($M178="","",INDEX('DỮ LIỆU'!$A$3:$A$1052,$M178))</f>
        <v/>
      </c>
      <c r="C178" s="41" t="str">
        <f aca="false">IF($M178="","",IF(INDEX('DỮ LIỆU'!$B$3:$B$1052,$M178)="","",INDEX('DỮ LIỆU'!$B$3:$B$1052,$M178)))</f>
        <v/>
      </c>
      <c r="D178" s="21" t="str">
        <f aca="false">IF($M178="","",IF(INDEX('DỮ LIỆU'!$C$3:$C$1052,$M178)="","",INDEX('DỮ LIỆU'!$C$3:$C$1052,$M178)))</f>
        <v/>
      </c>
      <c r="E178" s="21" t="str">
        <f aca="false">IF($M178="","",IF(INDEX('DỮ LIỆU'!$D$3:$D$1052,$M178)="","",INDEX('DỮ LIỆU'!$D$3:$D$1052,$M178)))</f>
        <v/>
      </c>
      <c r="F178" s="21" t="str">
        <f aca="false">IF($M178="","",IF(INDEX('DỮ LIỆU'!$H$3:$H$1052,$M178)="","",INDEX('DỮ LIỆU'!$H$3:$H$1052,$M178)))</f>
        <v/>
      </c>
      <c r="G178" s="13" t="str">
        <f aca="false">IF($M178="","",N(INDEX('DỮ LIỆU'!$I$3:$I$1052,$M178)))</f>
        <v/>
      </c>
      <c r="H178" s="13" t="str">
        <f aca="false">IF($M178="","",N(INDEX('DỮ LIỆU'!$J$3:$J$1052,$M178)))</f>
        <v/>
      </c>
      <c r="I178" s="13" t="str">
        <f aca="false">IF($M178="","",N(INDEX('DỮ LIỆU'!$N$3:$N$1052,$M178)))</f>
        <v/>
      </c>
      <c r="J178" s="13" t="str">
        <f aca="false">IF($M178="","",N(INDEX('DỮ LIỆU'!$O$3:$O$1052,$M178)))</f>
        <v/>
      </c>
      <c r="K178" s="13" t="str">
        <f aca="false">IF($M178="","",IF(INDEX('DỮ LIỆU'!$Q$3:$Q$1052,$M178)="","",INDEX('DỮ LIỆU'!$Q$3:$Q$1052,$M178)))</f>
        <v/>
      </c>
      <c r="L178" s="21" t="str">
        <f aca="false">IF($M178="","",IF(INDEX('DỮ LIỆU'!$R$3:$R$1052,$M178)="","",INDEX('DỮ LIỆU'!$R$3:$R$1052,$M178)))</f>
        <v/>
      </c>
      <c r="M178" s="0" t="str">
        <f aca="false">IFERROR(MATCH(173,'DỮ LIỆU'!$V$3:$V$1052,0),"")</f>
        <v/>
      </c>
    </row>
    <row r="179" customFormat="false" ht="15" hidden="false" customHeight="false" outlineLevel="0" collapsed="false">
      <c r="A179" s="21" t="str">
        <f aca="false">IF($M179="","",174)</f>
        <v/>
      </c>
      <c r="B179" s="13" t="str">
        <f aca="false">IF($M179="","",INDEX('DỮ LIỆU'!$A$3:$A$1052,$M179))</f>
        <v/>
      </c>
      <c r="C179" s="41" t="str">
        <f aca="false">IF($M179="","",IF(INDEX('DỮ LIỆU'!$B$3:$B$1052,$M179)="","",INDEX('DỮ LIỆU'!$B$3:$B$1052,$M179)))</f>
        <v/>
      </c>
      <c r="D179" s="21" t="str">
        <f aca="false">IF($M179="","",IF(INDEX('DỮ LIỆU'!$C$3:$C$1052,$M179)="","",INDEX('DỮ LIỆU'!$C$3:$C$1052,$M179)))</f>
        <v/>
      </c>
      <c r="E179" s="21" t="str">
        <f aca="false">IF($M179="","",IF(INDEX('DỮ LIỆU'!$D$3:$D$1052,$M179)="","",INDEX('DỮ LIỆU'!$D$3:$D$1052,$M179)))</f>
        <v/>
      </c>
      <c r="F179" s="21" t="str">
        <f aca="false">IF($M179="","",IF(INDEX('DỮ LIỆU'!$H$3:$H$1052,$M179)="","",INDEX('DỮ LIỆU'!$H$3:$H$1052,$M179)))</f>
        <v/>
      </c>
      <c r="G179" s="13" t="str">
        <f aca="false">IF($M179="","",N(INDEX('DỮ LIỆU'!$I$3:$I$1052,$M179)))</f>
        <v/>
      </c>
      <c r="H179" s="13" t="str">
        <f aca="false">IF($M179="","",N(INDEX('DỮ LIỆU'!$J$3:$J$1052,$M179)))</f>
        <v/>
      </c>
      <c r="I179" s="13" t="str">
        <f aca="false">IF($M179="","",N(INDEX('DỮ LIỆU'!$N$3:$N$1052,$M179)))</f>
        <v/>
      </c>
      <c r="J179" s="13" t="str">
        <f aca="false">IF($M179="","",N(INDEX('DỮ LIỆU'!$O$3:$O$1052,$M179)))</f>
        <v/>
      </c>
      <c r="K179" s="13" t="str">
        <f aca="false">IF($M179="","",IF(INDEX('DỮ LIỆU'!$Q$3:$Q$1052,$M179)="","",INDEX('DỮ LIỆU'!$Q$3:$Q$1052,$M179)))</f>
        <v/>
      </c>
      <c r="L179" s="21" t="str">
        <f aca="false">IF($M179="","",IF(INDEX('DỮ LIỆU'!$R$3:$R$1052,$M179)="","",INDEX('DỮ LIỆU'!$R$3:$R$1052,$M179)))</f>
        <v/>
      </c>
      <c r="M179" s="0" t="str">
        <f aca="false">IFERROR(MATCH(174,'DỮ LIỆU'!$V$3:$V$1052,0),"")</f>
        <v/>
      </c>
    </row>
    <row r="180" customFormat="false" ht="15" hidden="false" customHeight="false" outlineLevel="0" collapsed="false">
      <c r="A180" s="21" t="str">
        <f aca="false">IF($M180="","",175)</f>
        <v/>
      </c>
      <c r="B180" s="13" t="str">
        <f aca="false">IF($M180="","",INDEX('DỮ LIỆU'!$A$3:$A$1052,$M180))</f>
        <v/>
      </c>
      <c r="C180" s="41" t="str">
        <f aca="false">IF($M180="","",IF(INDEX('DỮ LIỆU'!$B$3:$B$1052,$M180)="","",INDEX('DỮ LIỆU'!$B$3:$B$1052,$M180)))</f>
        <v/>
      </c>
      <c r="D180" s="21" t="str">
        <f aca="false">IF($M180="","",IF(INDEX('DỮ LIỆU'!$C$3:$C$1052,$M180)="","",INDEX('DỮ LIỆU'!$C$3:$C$1052,$M180)))</f>
        <v/>
      </c>
      <c r="E180" s="21" t="str">
        <f aca="false">IF($M180="","",IF(INDEX('DỮ LIỆU'!$D$3:$D$1052,$M180)="","",INDEX('DỮ LIỆU'!$D$3:$D$1052,$M180)))</f>
        <v/>
      </c>
      <c r="F180" s="21" t="str">
        <f aca="false">IF($M180="","",IF(INDEX('DỮ LIỆU'!$H$3:$H$1052,$M180)="","",INDEX('DỮ LIỆU'!$H$3:$H$1052,$M180)))</f>
        <v/>
      </c>
      <c r="G180" s="13" t="str">
        <f aca="false">IF($M180="","",N(INDEX('DỮ LIỆU'!$I$3:$I$1052,$M180)))</f>
        <v/>
      </c>
      <c r="H180" s="13" t="str">
        <f aca="false">IF($M180="","",N(INDEX('DỮ LIỆU'!$J$3:$J$1052,$M180)))</f>
        <v/>
      </c>
      <c r="I180" s="13" t="str">
        <f aca="false">IF($M180="","",N(INDEX('DỮ LIỆU'!$N$3:$N$1052,$M180)))</f>
        <v/>
      </c>
      <c r="J180" s="13" t="str">
        <f aca="false">IF($M180="","",N(INDEX('DỮ LIỆU'!$O$3:$O$1052,$M180)))</f>
        <v/>
      </c>
      <c r="K180" s="13" t="str">
        <f aca="false">IF($M180="","",IF(INDEX('DỮ LIỆU'!$Q$3:$Q$1052,$M180)="","",INDEX('DỮ LIỆU'!$Q$3:$Q$1052,$M180)))</f>
        <v/>
      </c>
      <c r="L180" s="21" t="str">
        <f aca="false">IF($M180="","",IF(INDEX('DỮ LIỆU'!$R$3:$R$1052,$M180)="","",INDEX('DỮ LIỆU'!$R$3:$R$1052,$M180)))</f>
        <v/>
      </c>
      <c r="M180" s="0" t="str">
        <f aca="false">IFERROR(MATCH(175,'DỮ LIỆU'!$V$3:$V$1052,0),"")</f>
        <v/>
      </c>
    </row>
    <row r="181" customFormat="false" ht="15" hidden="false" customHeight="false" outlineLevel="0" collapsed="false">
      <c r="A181" s="21" t="str">
        <f aca="false">IF($M181="","",176)</f>
        <v/>
      </c>
      <c r="B181" s="13" t="str">
        <f aca="false">IF($M181="","",INDEX('DỮ LIỆU'!$A$3:$A$1052,$M181))</f>
        <v/>
      </c>
      <c r="C181" s="41" t="str">
        <f aca="false">IF($M181="","",IF(INDEX('DỮ LIỆU'!$B$3:$B$1052,$M181)="","",INDEX('DỮ LIỆU'!$B$3:$B$1052,$M181)))</f>
        <v/>
      </c>
      <c r="D181" s="21" t="str">
        <f aca="false">IF($M181="","",IF(INDEX('DỮ LIỆU'!$C$3:$C$1052,$M181)="","",INDEX('DỮ LIỆU'!$C$3:$C$1052,$M181)))</f>
        <v/>
      </c>
      <c r="E181" s="21" t="str">
        <f aca="false">IF($M181="","",IF(INDEX('DỮ LIỆU'!$D$3:$D$1052,$M181)="","",INDEX('DỮ LIỆU'!$D$3:$D$1052,$M181)))</f>
        <v/>
      </c>
      <c r="F181" s="21" t="str">
        <f aca="false">IF($M181="","",IF(INDEX('DỮ LIỆU'!$H$3:$H$1052,$M181)="","",INDEX('DỮ LIỆU'!$H$3:$H$1052,$M181)))</f>
        <v/>
      </c>
      <c r="G181" s="13" t="str">
        <f aca="false">IF($M181="","",N(INDEX('DỮ LIỆU'!$I$3:$I$1052,$M181)))</f>
        <v/>
      </c>
      <c r="H181" s="13" t="str">
        <f aca="false">IF($M181="","",N(INDEX('DỮ LIỆU'!$J$3:$J$1052,$M181)))</f>
        <v/>
      </c>
      <c r="I181" s="13" t="str">
        <f aca="false">IF($M181="","",N(INDEX('DỮ LIỆU'!$N$3:$N$1052,$M181)))</f>
        <v/>
      </c>
      <c r="J181" s="13" t="str">
        <f aca="false">IF($M181="","",N(INDEX('DỮ LIỆU'!$O$3:$O$1052,$M181)))</f>
        <v/>
      </c>
      <c r="K181" s="13" t="str">
        <f aca="false">IF($M181="","",IF(INDEX('DỮ LIỆU'!$Q$3:$Q$1052,$M181)="","",INDEX('DỮ LIỆU'!$Q$3:$Q$1052,$M181)))</f>
        <v/>
      </c>
      <c r="L181" s="21" t="str">
        <f aca="false">IF($M181="","",IF(INDEX('DỮ LIỆU'!$R$3:$R$1052,$M181)="","",INDEX('DỮ LIỆU'!$R$3:$R$1052,$M181)))</f>
        <v/>
      </c>
      <c r="M181" s="0" t="str">
        <f aca="false">IFERROR(MATCH(176,'DỮ LIỆU'!$V$3:$V$1052,0),"")</f>
        <v/>
      </c>
    </row>
    <row r="182" customFormat="false" ht="15" hidden="false" customHeight="false" outlineLevel="0" collapsed="false">
      <c r="A182" s="21" t="str">
        <f aca="false">IF($M182="","",177)</f>
        <v/>
      </c>
      <c r="B182" s="13" t="str">
        <f aca="false">IF($M182="","",INDEX('DỮ LIỆU'!$A$3:$A$1052,$M182))</f>
        <v/>
      </c>
      <c r="C182" s="41" t="str">
        <f aca="false">IF($M182="","",IF(INDEX('DỮ LIỆU'!$B$3:$B$1052,$M182)="","",INDEX('DỮ LIỆU'!$B$3:$B$1052,$M182)))</f>
        <v/>
      </c>
      <c r="D182" s="21" t="str">
        <f aca="false">IF($M182="","",IF(INDEX('DỮ LIỆU'!$C$3:$C$1052,$M182)="","",INDEX('DỮ LIỆU'!$C$3:$C$1052,$M182)))</f>
        <v/>
      </c>
      <c r="E182" s="21" t="str">
        <f aca="false">IF($M182="","",IF(INDEX('DỮ LIỆU'!$D$3:$D$1052,$M182)="","",INDEX('DỮ LIỆU'!$D$3:$D$1052,$M182)))</f>
        <v/>
      </c>
      <c r="F182" s="21" t="str">
        <f aca="false">IF($M182="","",IF(INDEX('DỮ LIỆU'!$H$3:$H$1052,$M182)="","",INDEX('DỮ LIỆU'!$H$3:$H$1052,$M182)))</f>
        <v/>
      </c>
      <c r="G182" s="13" t="str">
        <f aca="false">IF($M182="","",N(INDEX('DỮ LIỆU'!$I$3:$I$1052,$M182)))</f>
        <v/>
      </c>
      <c r="H182" s="13" t="str">
        <f aca="false">IF($M182="","",N(INDEX('DỮ LIỆU'!$J$3:$J$1052,$M182)))</f>
        <v/>
      </c>
      <c r="I182" s="13" t="str">
        <f aca="false">IF($M182="","",N(INDEX('DỮ LIỆU'!$N$3:$N$1052,$M182)))</f>
        <v/>
      </c>
      <c r="J182" s="13" t="str">
        <f aca="false">IF($M182="","",N(INDEX('DỮ LIỆU'!$O$3:$O$1052,$M182)))</f>
        <v/>
      </c>
      <c r="K182" s="13" t="str">
        <f aca="false">IF($M182="","",IF(INDEX('DỮ LIỆU'!$Q$3:$Q$1052,$M182)="","",INDEX('DỮ LIỆU'!$Q$3:$Q$1052,$M182)))</f>
        <v/>
      </c>
      <c r="L182" s="21" t="str">
        <f aca="false">IF($M182="","",IF(INDEX('DỮ LIỆU'!$R$3:$R$1052,$M182)="","",INDEX('DỮ LIỆU'!$R$3:$R$1052,$M182)))</f>
        <v/>
      </c>
      <c r="M182" s="0" t="str">
        <f aca="false">IFERROR(MATCH(177,'DỮ LIỆU'!$V$3:$V$1052,0),"")</f>
        <v/>
      </c>
    </row>
    <row r="183" customFormat="false" ht="15" hidden="false" customHeight="false" outlineLevel="0" collapsed="false">
      <c r="A183" s="21" t="str">
        <f aca="false">IF($M183="","",178)</f>
        <v/>
      </c>
      <c r="B183" s="13" t="str">
        <f aca="false">IF($M183="","",INDEX('DỮ LIỆU'!$A$3:$A$1052,$M183))</f>
        <v/>
      </c>
      <c r="C183" s="41" t="str">
        <f aca="false">IF($M183="","",IF(INDEX('DỮ LIỆU'!$B$3:$B$1052,$M183)="","",INDEX('DỮ LIỆU'!$B$3:$B$1052,$M183)))</f>
        <v/>
      </c>
      <c r="D183" s="21" t="str">
        <f aca="false">IF($M183="","",IF(INDEX('DỮ LIỆU'!$C$3:$C$1052,$M183)="","",INDEX('DỮ LIỆU'!$C$3:$C$1052,$M183)))</f>
        <v/>
      </c>
      <c r="E183" s="21" t="str">
        <f aca="false">IF($M183="","",IF(INDEX('DỮ LIỆU'!$D$3:$D$1052,$M183)="","",INDEX('DỮ LIỆU'!$D$3:$D$1052,$M183)))</f>
        <v/>
      </c>
      <c r="F183" s="21" t="str">
        <f aca="false">IF($M183="","",IF(INDEX('DỮ LIỆU'!$H$3:$H$1052,$M183)="","",INDEX('DỮ LIỆU'!$H$3:$H$1052,$M183)))</f>
        <v/>
      </c>
      <c r="G183" s="13" t="str">
        <f aca="false">IF($M183="","",N(INDEX('DỮ LIỆU'!$I$3:$I$1052,$M183)))</f>
        <v/>
      </c>
      <c r="H183" s="13" t="str">
        <f aca="false">IF($M183="","",N(INDEX('DỮ LIỆU'!$J$3:$J$1052,$M183)))</f>
        <v/>
      </c>
      <c r="I183" s="13" t="str">
        <f aca="false">IF($M183="","",N(INDEX('DỮ LIỆU'!$N$3:$N$1052,$M183)))</f>
        <v/>
      </c>
      <c r="J183" s="13" t="str">
        <f aca="false">IF($M183="","",N(INDEX('DỮ LIỆU'!$O$3:$O$1052,$M183)))</f>
        <v/>
      </c>
      <c r="K183" s="13" t="str">
        <f aca="false">IF($M183="","",IF(INDEX('DỮ LIỆU'!$Q$3:$Q$1052,$M183)="","",INDEX('DỮ LIỆU'!$Q$3:$Q$1052,$M183)))</f>
        <v/>
      </c>
      <c r="L183" s="21" t="str">
        <f aca="false">IF($M183="","",IF(INDEX('DỮ LIỆU'!$R$3:$R$1052,$M183)="","",INDEX('DỮ LIỆU'!$R$3:$R$1052,$M183)))</f>
        <v/>
      </c>
      <c r="M183" s="0" t="str">
        <f aca="false">IFERROR(MATCH(178,'DỮ LIỆU'!$V$3:$V$1052,0),"")</f>
        <v/>
      </c>
    </row>
    <row r="184" customFormat="false" ht="15" hidden="false" customHeight="false" outlineLevel="0" collapsed="false">
      <c r="A184" s="21" t="str">
        <f aca="false">IF($M184="","",179)</f>
        <v/>
      </c>
      <c r="B184" s="13" t="str">
        <f aca="false">IF($M184="","",INDEX('DỮ LIỆU'!$A$3:$A$1052,$M184))</f>
        <v/>
      </c>
      <c r="C184" s="41" t="str">
        <f aca="false">IF($M184="","",IF(INDEX('DỮ LIỆU'!$B$3:$B$1052,$M184)="","",INDEX('DỮ LIỆU'!$B$3:$B$1052,$M184)))</f>
        <v/>
      </c>
      <c r="D184" s="21" t="str">
        <f aca="false">IF($M184="","",IF(INDEX('DỮ LIỆU'!$C$3:$C$1052,$M184)="","",INDEX('DỮ LIỆU'!$C$3:$C$1052,$M184)))</f>
        <v/>
      </c>
      <c r="E184" s="21" t="str">
        <f aca="false">IF($M184="","",IF(INDEX('DỮ LIỆU'!$D$3:$D$1052,$M184)="","",INDEX('DỮ LIỆU'!$D$3:$D$1052,$M184)))</f>
        <v/>
      </c>
      <c r="F184" s="21" t="str">
        <f aca="false">IF($M184="","",IF(INDEX('DỮ LIỆU'!$H$3:$H$1052,$M184)="","",INDEX('DỮ LIỆU'!$H$3:$H$1052,$M184)))</f>
        <v/>
      </c>
      <c r="G184" s="13" t="str">
        <f aca="false">IF($M184="","",N(INDEX('DỮ LIỆU'!$I$3:$I$1052,$M184)))</f>
        <v/>
      </c>
      <c r="H184" s="13" t="str">
        <f aca="false">IF($M184="","",N(INDEX('DỮ LIỆU'!$J$3:$J$1052,$M184)))</f>
        <v/>
      </c>
      <c r="I184" s="13" t="str">
        <f aca="false">IF($M184="","",N(INDEX('DỮ LIỆU'!$N$3:$N$1052,$M184)))</f>
        <v/>
      </c>
      <c r="J184" s="13" t="str">
        <f aca="false">IF($M184="","",N(INDEX('DỮ LIỆU'!$O$3:$O$1052,$M184)))</f>
        <v/>
      </c>
      <c r="K184" s="13" t="str">
        <f aca="false">IF($M184="","",IF(INDEX('DỮ LIỆU'!$Q$3:$Q$1052,$M184)="","",INDEX('DỮ LIỆU'!$Q$3:$Q$1052,$M184)))</f>
        <v/>
      </c>
      <c r="L184" s="21" t="str">
        <f aca="false">IF($M184="","",IF(INDEX('DỮ LIỆU'!$R$3:$R$1052,$M184)="","",INDEX('DỮ LIỆU'!$R$3:$R$1052,$M184)))</f>
        <v/>
      </c>
      <c r="M184" s="0" t="str">
        <f aca="false">IFERROR(MATCH(179,'DỮ LIỆU'!$V$3:$V$1052,0),"")</f>
        <v/>
      </c>
    </row>
    <row r="185" customFormat="false" ht="15" hidden="false" customHeight="false" outlineLevel="0" collapsed="false">
      <c r="A185" s="21" t="str">
        <f aca="false">IF($M185="","",180)</f>
        <v/>
      </c>
      <c r="B185" s="13" t="str">
        <f aca="false">IF($M185="","",INDEX('DỮ LIỆU'!$A$3:$A$1052,$M185))</f>
        <v/>
      </c>
      <c r="C185" s="41" t="str">
        <f aca="false">IF($M185="","",IF(INDEX('DỮ LIỆU'!$B$3:$B$1052,$M185)="","",INDEX('DỮ LIỆU'!$B$3:$B$1052,$M185)))</f>
        <v/>
      </c>
      <c r="D185" s="21" t="str">
        <f aca="false">IF($M185="","",IF(INDEX('DỮ LIỆU'!$C$3:$C$1052,$M185)="","",INDEX('DỮ LIỆU'!$C$3:$C$1052,$M185)))</f>
        <v/>
      </c>
      <c r="E185" s="21" t="str">
        <f aca="false">IF($M185="","",IF(INDEX('DỮ LIỆU'!$D$3:$D$1052,$M185)="","",INDEX('DỮ LIỆU'!$D$3:$D$1052,$M185)))</f>
        <v/>
      </c>
      <c r="F185" s="21" t="str">
        <f aca="false">IF($M185="","",IF(INDEX('DỮ LIỆU'!$H$3:$H$1052,$M185)="","",INDEX('DỮ LIỆU'!$H$3:$H$1052,$M185)))</f>
        <v/>
      </c>
      <c r="G185" s="13" t="str">
        <f aca="false">IF($M185="","",N(INDEX('DỮ LIỆU'!$I$3:$I$1052,$M185)))</f>
        <v/>
      </c>
      <c r="H185" s="13" t="str">
        <f aca="false">IF($M185="","",N(INDEX('DỮ LIỆU'!$J$3:$J$1052,$M185)))</f>
        <v/>
      </c>
      <c r="I185" s="13" t="str">
        <f aca="false">IF($M185="","",N(INDEX('DỮ LIỆU'!$N$3:$N$1052,$M185)))</f>
        <v/>
      </c>
      <c r="J185" s="13" t="str">
        <f aca="false">IF($M185="","",N(INDEX('DỮ LIỆU'!$O$3:$O$1052,$M185)))</f>
        <v/>
      </c>
      <c r="K185" s="13" t="str">
        <f aca="false">IF($M185="","",IF(INDEX('DỮ LIỆU'!$Q$3:$Q$1052,$M185)="","",INDEX('DỮ LIỆU'!$Q$3:$Q$1052,$M185)))</f>
        <v/>
      </c>
      <c r="L185" s="21" t="str">
        <f aca="false">IF($M185="","",IF(INDEX('DỮ LIỆU'!$R$3:$R$1052,$M185)="","",INDEX('DỮ LIỆU'!$R$3:$R$1052,$M185)))</f>
        <v/>
      </c>
      <c r="M185" s="0" t="str">
        <f aca="false">IFERROR(MATCH(180,'DỮ LIỆU'!$V$3:$V$1052,0),"")</f>
        <v/>
      </c>
    </row>
    <row r="186" customFormat="false" ht="15" hidden="false" customHeight="false" outlineLevel="0" collapsed="false">
      <c r="A186" s="21" t="str">
        <f aca="false">IF($M186="","",181)</f>
        <v/>
      </c>
      <c r="B186" s="13" t="str">
        <f aca="false">IF($M186="","",INDEX('DỮ LIỆU'!$A$3:$A$1052,$M186))</f>
        <v/>
      </c>
      <c r="C186" s="41" t="str">
        <f aca="false">IF($M186="","",IF(INDEX('DỮ LIỆU'!$B$3:$B$1052,$M186)="","",INDEX('DỮ LIỆU'!$B$3:$B$1052,$M186)))</f>
        <v/>
      </c>
      <c r="D186" s="21" t="str">
        <f aca="false">IF($M186="","",IF(INDEX('DỮ LIỆU'!$C$3:$C$1052,$M186)="","",INDEX('DỮ LIỆU'!$C$3:$C$1052,$M186)))</f>
        <v/>
      </c>
      <c r="E186" s="21" t="str">
        <f aca="false">IF($M186="","",IF(INDEX('DỮ LIỆU'!$D$3:$D$1052,$M186)="","",INDEX('DỮ LIỆU'!$D$3:$D$1052,$M186)))</f>
        <v/>
      </c>
      <c r="F186" s="21" t="str">
        <f aca="false">IF($M186="","",IF(INDEX('DỮ LIỆU'!$H$3:$H$1052,$M186)="","",INDEX('DỮ LIỆU'!$H$3:$H$1052,$M186)))</f>
        <v/>
      </c>
      <c r="G186" s="13" t="str">
        <f aca="false">IF($M186="","",N(INDEX('DỮ LIỆU'!$I$3:$I$1052,$M186)))</f>
        <v/>
      </c>
      <c r="H186" s="13" t="str">
        <f aca="false">IF($M186="","",N(INDEX('DỮ LIỆU'!$J$3:$J$1052,$M186)))</f>
        <v/>
      </c>
      <c r="I186" s="13" t="str">
        <f aca="false">IF($M186="","",N(INDEX('DỮ LIỆU'!$N$3:$N$1052,$M186)))</f>
        <v/>
      </c>
      <c r="J186" s="13" t="str">
        <f aca="false">IF($M186="","",N(INDEX('DỮ LIỆU'!$O$3:$O$1052,$M186)))</f>
        <v/>
      </c>
      <c r="K186" s="13" t="str">
        <f aca="false">IF($M186="","",IF(INDEX('DỮ LIỆU'!$Q$3:$Q$1052,$M186)="","",INDEX('DỮ LIỆU'!$Q$3:$Q$1052,$M186)))</f>
        <v/>
      </c>
      <c r="L186" s="21" t="str">
        <f aca="false">IF($M186="","",IF(INDEX('DỮ LIỆU'!$R$3:$R$1052,$M186)="","",INDEX('DỮ LIỆU'!$R$3:$R$1052,$M186)))</f>
        <v/>
      </c>
      <c r="M186" s="0" t="str">
        <f aca="false">IFERROR(MATCH(181,'DỮ LIỆU'!$V$3:$V$1052,0),"")</f>
        <v/>
      </c>
    </row>
    <row r="187" customFormat="false" ht="15" hidden="false" customHeight="false" outlineLevel="0" collapsed="false">
      <c r="A187" s="21" t="str">
        <f aca="false">IF($M187="","",182)</f>
        <v/>
      </c>
      <c r="B187" s="13" t="str">
        <f aca="false">IF($M187="","",INDEX('DỮ LIỆU'!$A$3:$A$1052,$M187))</f>
        <v/>
      </c>
      <c r="C187" s="41" t="str">
        <f aca="false">IF($M187="","",IF(INDEX('DỮ LIỆU'!$B$3:$B$1052,$M187)="","",INDEX('DỮ LIỆU'!$B$3:$B$1052,$M187)))</f>
        <v/>
      </c>
      <c r="D187" s="21" t="str">
        <f aca="false">IF($M187="","",IF(INDEX('DỮ LIỆU'!$C$3:$C$1052,$M187)="","",INDEX('DỮ LIỆU'!$C$3:$C$1052,$M187)))</f>
        <v/>
      </c>
      <c r="E187" s="21" t="str">
        <f aca="false">IF($M187="","",IF(INDEX('DỮ LIỆU'!$D$3:$D$1052,$M187)="","",INDEX('DỮ LIỆU'!$D$3:$D$1052,$M187)))</f>
        <v/>
      </c>
      <c r="F187" s="21" t="str">
        <f aca="false">IF($M187="","",IF(INDEX('DỮ LIỆU'!$H$3:$H$1052,$M187)="","",INDEX('DỮ LIỆU'!$H$3:$H$1052,$M187)))</f>
        <v/>
      </c>
      <c r="G187" s="13" t="str">
        <f aca="false">IF($M187="","",N(INDEX('DỮ LIỆU'!$I$3:$I$1052,$M187)))</f>
        <v/>
      </c>
      <c r="H187" s="13" t="str">
        <f aca="false">IF($M187="","",N(INDEX('DỮ LIỆU'!$J$3:$J$1052,$M187)))</f>
        <v/>
      </c>
      <c r="I187" s="13" t="str">
        <f aca="false">IF($M187="","",N(INDEX('DỮ LIỆU'!$N$3:$N$1052,$M187)))</f>
        <v/>
      </c>
      <c r="J187" s="13" t="str">
        <f aca="false">IF($M187="","",N(INDEX('DỮ LIỆU'!$O$3:$O$1052,$M187)))</f>
        <v/>
      </c>
      <c r="K187" s="13" t="str">
        <f aca="false">IF($M187="","",IF(INDEX('DỮ LIỆU'!$Q$3:$Q$1052,$M187)="","",INDEX('DỮ LIỆU'!$Q$3:$Q$1052,$M187)))</f>
        <v/>
      </c>
      <c r="L187" s="21" t="str">
        <f aca="false">IF($M187="","",IF(INDEX('DỮ LIỆU'!$R$3:$R$1052,$M187)="","",INDEX('DỮ LIỆU'!$R$3:$R$1052,$M187)))</f>
        <v/>
      </c>
      <c r="M187" s="0" t="str">
        <f aca="false">IFERROR(MATCH(182,'DỮ LIỆU'!$V$3:$V$1052,0),"")</f>
        <v/>
      </c>
    </row>
    <row r="188" customFormat="false" ht="15" hidden="false" customHeight="false" outlineLevel="0" collapsed="false">
      <c r="A188" s="21" t="str">
        <f aca="false">IF($M188="","",183)</f>
        <v/>
      </c>
      <c r="B188" s="13" t="str">
        <f aca="false">IF($M188="","",INDEX('DỮ LIỆU'!$A$3:$A$1052,$M188))</f>
        <v/>
      </c>
      <c r="C188" s="41" t="str">
        <f aca="false">IF($M188="","",IF(INDEX('DỮ LIỆU'!$B$3:$B$1052,$M188)="","",INDEX('DỮ LIỆU'!$B$3:$B$1052,$M188)))</f>
        <v/>
      </c>
      <c r="D188" s="21" t="str">
        <f aca="false">IF($M188="","",IF(INDEX('DỮ LIỆU'!$C$3:$C$1052,$M188)="","",INDEX('DỮ LIỆU'!$C$3:$C$1052,$M188)))</f>
        <v/>
      </c>
      <c r="E188" s="21" t="str">
        <f aca="false">IF($M188="","",IF(INDEX('DỮ LIỆU'!$D$3:$D$1052,$M188)="","",INDEX('DỮ LIỆU'!$D$3:$D$1052,$M188)))</f>
        <v/>
      </c>
      <c r="F188" s="21" t="str">
        <f aca="false">IF($M188="","",IF(INDEX('DỮ LIỆU'!$H$3:$H$1052,$M188)="","",INDEX('DỮ LIỆU'!$H$3:$H$1052,$M188)))</f>
        <v/>
      </c>
      <c r="G188" s="13" t="str">
        <f aca="false">IF($M188="","",N(INDEX('DỮ LIỆU'!$I$3:$I$1052,$M188)))</f>
        <v/>
      </c>
      <c r="H188" s="13" t="str">
        <f aca="false">IF($M188="","",N(INDEX('DỮ LIỆU'!$J$3:$J$1052,$M188)))</f>
        <v/>
      </c>
      <c r="I188" s="13" t="str">
        <f aca="false">IF($M188="","",N(INDEX('DỮ LIỆU'!$N$3:$N$1052,$M188)))</f>
        <v/>
      </c>
      <c r="J188" s="13" t="str">
        <f aca="false">IF($M188="","",N(INDEX('DỮ LIỆU'!$O$3:$O$1052,$M188)))</f>
        <v/>
      </c>
      <c r="K188" s="13" t="str">
        <f aca="false">IF($M188="","",IF(INDEX('DỮ LIỆU'!$Q$3:$Q$1052,$M188)="","",INDEX('DỮ LIỆU'!$Q$3:$Q$1052,$M188)))</f>
        <v/>
      </c>
      <c r="L188" s="21" t="str">
        <f aca="false">IF($M188="","",IF(INDEX('DỮ LIỆU'!$R$3:$R$1052,$M188)="","",INDEX('DỮ LIỆU'!$R$3:$R$1052,$M188)))</f>
        <v/>
      </c>
      <c r="M188" s="0" t="str">
        <f aca="false">IFERROR(MATCH(183,'DỮ LIỆU'!$V$3:$V$1052,0),"")</f>
        <v/>
      </c>
    </row>
    <row r="189" customFormat="false" ht="15" hidden="false" customHeight="false" outlineLevel="0" collapsed="false">
      <c r="A189" s="21" t="str">
        <f aca="false">IF($M189="","",184)</f>
        <v/>
      </c>
      <c r="B189" s="13" t="str">
        <f aca="false">IF($M189="","",INDEX('DỮ LIỆU'!$A$3:$A$1052,$M189))</f>
        <v/>
      </c>
      <c r="C189" s="41" t="str">
        <f aca="false">IF($M189="","",IF(INDEX('DỮ LIỆU'!$B$3:$B$1052,$M189)="","",INDEX('DỮ LIỆU'!$B$3:$B$1052,$M189)))</f>
        <v/>
      </c>
      <c r="D189" s="21" t="str">
        <f aca="false">IF($M189="","",IF(INDEX('DỮ LIỆU'!$C$3:$C$1052,$M189)="","",INDEX('DỮ LIỆU'!$C$3:$C$1052,$M189)))</f>
        <v/>
      </c>
      <c r="E189" s="21" t="str">
        <f aca="false">IF($M189="","",IF(INDEX('DỮ LIỆU'!$D$3:$D$1052,$M189)="","",INDEX('DỮ LIỆU'!$D$3:$D$1052,$M189)))</f>
        <v/>
      </c>
      <c r="F189" s="21" t="str">
        <f aca="false">IF($M189="","",IF(INDEX('DỮ LIỆU'!$H$3:$H$1052,$M189)="","",INDEX('DỮ LIỆU'!$H$3:$H$1052,$M189)))</f>
        <v/>
      </c>
      <c r="G189" s="13" t="str">
        <f aca="false">IF($M189="","",N(INDEX('DỮ LIỆU'!$I$3:$I$1052,$M189)))</f>
        <v/>
      </c>
      <c r="H189" s="13" t="str">
        <f aca="false">IF($M189="","",N(INDEX('DỮ LIỆU'!$J$3:$J$1052,$M189)))</f>
        <v/>
      </c>
      <c r="I189" s="13" t="str">
        <f aca="false">IF($M189="","",N(INDEX('DỮ LIỆU'!$N$3:$N$1052,$M189)))</f>
        <v/>
      </c>
      <c r="J189" s="13" t="str">
        <f aca="false">IF($M189="","",N(INDEX('DỮ LIỆU'!$O$3:$O$1052,$M189)))</f>
        <v/>
      </c>
      <c r="K189" s="13" t="str">
        <f aca="false">IF($M189="","",IF(INDEX('DỮ LIỆU'!$Q$3:$Q$1052,$M189)="","",INDEX('DỮ LIỆU'!$Q$3:$Q$1052,$M189)))</f>
        <v/>
      </c>
      <c r="L189" s="21" t="str">
        <f aca="false">IF($M189="","",IF(INDEX('DỮ LIỆU'!$R$3:$R$1052,$M189)="","",INDEX('DỮ LIỆU'!$R$3:$R$1052,$M189)))</f>
        <v/>
      </c>
      <c r="M189" s="0" t="str">
        <f aca="false">IFERROR(MATCH(184,'DỮ LIỆU'!$V$3:$V$1052,0),"")</f>
        <v/>
      </c>
    </row>
    <row r="190" customFormat="false" ht="15" hidden="false" customHeight="false" outlineLevel="0" collapsed="false">
      <c r="A190" s="21" t="str">
        <f aca="false">IF($M190="","",185)</f>
        <v/>
      </c>
      <c r="B190" s="13" t="str">
        <f aca="false">IF($M190="","",INDEX('DỮ LIỆU'!$A$3:$A$1052,$M190))</f>
        <v/>
      </c>
      <c r="C190" s="41" t="str">
        <f aca="false">IF($M190="","",IF(INDEX('DỮ LIỆU'!$B$3:$B$1052,$M190)="","",INDEX('DỮ LIỆU'!$B$3:$B$1052,$M190)))</f>
        <v/>
      </c>
      <c r="D190" s="21" t="str">
        <f aca="false">IF($M190="","",IF(INDEX('DỮ LIỆU'!$C$3:$C$1052,$M190)="","",INDEX('DỮ LIỆU'!$C$3:$C$1052,$M190)))</f>
        <v/>
      </c>
      <c r="E190" s="21" t="str">
        <f aca="false">IF($M190="","",IF(INDEX('DỮ LIỆU'!$D$3:$D$1052,$M190)="","",INDEX('DỮ LIỆU'!$D$3:$D$1052,$M190)))</f>
        <v/>
      </c>
      <c r="F190" s="21" t="str">
        <f aca="false">IF($M190="","",IF(INDEX('DỮ LIỆU'!$H$3:$H$1052,$M190)="","",INDEX('DỮ LIỆU'!$H$3:$H$1052,$M190)))</f>
        <v/>
      </c>
      <c r="G190" s="13" t="str">
        <f aca="false">IF($M190="","",N(INDEX('DỮ LIỆU'!$I$3:$I$1052,$M190)))</f>
        <v/>
      </c>
      <c r="H190" s="13" t="str">
        <f aca="false">IF($M190="","",N(INDEX('DỮ LIỆU'!$J$3:$J$1052,$M190)))</f>
        <v/>
      </c>
      <c r="I190" s="13" t="str">
        <f aca="false">IF($M190="","",N(INDEX('DỮ LIỆU'!$N$3:$N$1052,$M190)))</f>
        <v/>
      </c>
      <c r="J190" s="13" t="str">
        <f aca="false">IF($M190="","",N(INDEX('DỮ LIỆU'!$O$3:$O$1052,$M190)))</f>
        <v/>
      </c>
      <c r="K190" s="13" t="str">
        <f aca="false">IF($M190="","",IF(INDEX('DỮ LIỆU'!$Q$3:$Q$1052,$M190)="","",INDEX('DỮ LIỆU'!$Q$3:$Q$1052,$M190)))</f>
        <v/>
      </c>
      <c r="L190" s="21" t="str">
        <f aca="false">IF($M190="","",IF(INDEX('DỮ LIỆU'!$R$3:$R$1052,$M190)="","",INDEX('DỮ LIỆU'!$R$3:$R$1052,$M190)))</f>
        <v/>
      </c>
      <c r="M190" s="0" t="str">
        <f aca="false">IFERROR(MATCH(185,'DỮ LIỆU'!$V$3:$V$1052,0),"")</f>
        <v/>
      </c>
    </row>
    <row r="191" customFormat="false" ht="15" hidden="false" customHeight="false" outlineLevel="0" collapsed="false">
      <c r="A191" s="21" t="str">
        <f aca="false">IF($M191="","",186)</f>
        <v/>
      </c>
      <c r="B191" s="13" t="str">
        <f aca="false">IF($M191="","",INDEX('DỮ LIỆU'!$A$3:$A$1052,$M191))</f>
        <v/>
      </c>
      <c r="C191" s="41" t="str">
        <f aca="false">IF($M191="","",IF(INDEX('DỮ LIỆU'!$B$3:$B$1052,$M191)="","",INDEX('DỮ LIỆU'!$B$3:$B$1052,$M191)))</f>
        <v/>
      </c>
      <c r="D191" s="21" t="str">
        <f aca="false">IF($M191="","",IF(INDEX('DỮ LIỆU'!$C$3:$C$1052,$M191)="","",INDEX('DỮ LIỆU'!$C$3:$C$1052,$M191)))</f>
        <v/>
      </c>
      <c r="E191" s="21" t="str">
        <f aca="false">IF($M191="","",IF(INDEX('DỮ LIỆU'!$D$3:$D$1052,$M191)="","",INDEX('DỮ LIỆU'!$D$3:$D$1052,$M191)))</f>
        <v/>
      </c>
      <c r="F191" s="21" t="str">
        <f aca="false">IF($M191="","",IF(INDEX('DỮ LIỆU'!$H$3:$H$1052,$M191)="","",INDEX('DỮ LIỆU'!$H$3:$H$1052,$M191)))</f>
        <v/>
      </c>
      <c r="G191" s="13" t="str">
        <f aca="false">IF($M191="","",N(INDEX('DỮ LIỆU'!$I$3:$I$1052,$M191)))</f>
        <v/>
      </c>
      <c r="H191" s="13" t="str">
        <f aca="false">IF($M191="","",N(INDEX('DỮ LIỆU'!$J$3:$J$1052,$M191)))</f>
        <v/>
      </c>
      <c r="I191" s="13" t="str">
        <f aca="false">IF($M191="","",N(INDEX('DỮ LIỆU'!$N$3:$N$1052,$M191)))</f>
        <v/>
      </c>
      <c r="J191" s="13" t="str">
        <f aca="false">IF($M191="","",N(INDEX('DỮ LIỆU'!$O$3:$O$1052,$M191)))</f>
        <v/>
      </c>
      <c r="K191" s="13" t="str">
        <f aca="false">IF($M191="","",IF(INDEX('DỮ LIỆU'!$Q$3:$Q$1052,$M191)="","",INDEX('DỮ LIỆU'!$Q$3:$Q$1052,$M191)))</f>
        <v/>
      </c>
      <c r="L191" s="21" t="str">
        <f aca="false">IF($M191="","",IF(INDEX('DỮ LIỆU'!$R$3:$R$1052,$M191)="","",INDEX('DỮ LIỆU'!$R$3:$R$1052,$M191)))</f>
        <v/>
      </c>
      <c r="M191" s="0" t="str">
        <f aca="false">IFERROR(MATCH(186,'DỮ LIỆU'!$V$3:$V$1052,0),"")</f>
        <v/>
      </c>
    </row>
    <row r="192" customFormat="false" ht="15" hidden="false" customHeight="false" outlineLevel="0" collapsed="false">
      <c r="A192" s="21" t="str">
        <f aca="false">IF($M192="","",187)</f>
        <v/>
      </c>
      <c r="B192" s="13" t="str">
        <f aca="false">IF($M192="","",INDEX('DỮ LIỆU'!$A$3:$A$1052,$M192))</f>
        <v/>
      </c>
      <c r="C192" s="41" t="str">
        <f aca="false">IF($M192="","",IF(INDEX('DỮ LIỆU'!$B$3:$B$1052,$M192)="","",INDEX('DỮ LIỆU'!$B$3:$B$1052,$M192)))</f>
        <v/>
      </c>
      <c r="D192" s="21" t="str">
        <f aca="false">IF($M192="","",IF(INDEX('DỮ LIỆU'!$C$3:$C$1052,$M192)="","",INDEX('DỮ LIỆU'!$C$3:$C$1052,$M192)))</f>
        <v/>
      </c>
      <c r="E192" s="21" t="str">
        <f aca="false">IF($M192="","",IF(INDEX('DỮ LIỆU'!$D$3:$D$1052,$M192)="","",INDEX('DỮ LIỆU'!$D$3:$D$1052,$M192)))</f>
        <v/>
      </c>
      <c r="F192" s="21" t="str">
        <f aca="false">IF($M192="","",IF(INDEX('DỮ LIỆU'!$H$3:$H$1052,$M192)="","",INDEX('DỮ LIỆU'!$H$3:$H$1052,$M192)))</f>
        <v/>
      </c>
      <c r="G192" s="13" t="str">
        <f aca="false">IF($M192="","",N(INDEX('DỮ LIỆU'!$I$3:$I$1052,$M192)))</f>
        <v/>
      </c>
      <c r="H192" s="13" t="str">
        <f aca="false">IF($M192="","",N(INDEX('DỮ LIỆU'!$J$3:$J$1052,$M192)))</f>
        <v/>
      </c>
      <c r="I192" s="13" t="str">
        <f aca="false">IF($M192="","",N(INDEX('DỮ LIỆU'!$N$3:$N$1052,$M192)))</f>
        <v/>
      </c>
      <c r="J192" s="13" t="str">
        <f aca="false">IF($M192="","",N(INDEX('DỮ LIỆU'!$O$3:$O$1052,$M192)))</f>
        <v/>
      </c>
      <c r="K192" s="13" t="str">
        <f aca="false">IF($M192="","",IF(INDEX('DỮ LIỆU'!$Q$3:$Q$1052,$M192)="","",INDEX('DỮ LIỆU'!$Q$3:$Q$1052,$M192)))</f>
        <v/>
      </c>
      <c r="L192" s="21" t="str">
        <f aca="false">IF($M192="","",IF(INDEX('DỮ LIỆU'!$R$3:$R$1052,$M192)="","",INDEX('DỮ LIỆU'!$R$3:$R$1052,$M192)))</f>
        <v/>
      </c>
      <c r="M192" s="0" t="str">
        <f aca="false">IFERROR(MATCH(187,'DỮ LIỆU'!$V$3:$V$1052,0),"")</f>
        <v/>
      </c>
    </row>
    <row r="193" customFormat="false" ht="15" hidden="false" customHeight="false" outlineLevel="0" collapsed="false">
      <c r="A193" s="21" t="str">
        <f aca="false">IF($M193="","",188)</f>
        <v/>
      </c>
      <c r="B193" s="13" t="str">
        <f aca="false">IF($M193="","",INDEX('DỮ LIỆU'!$A$3:$A$1052,$M193))</f>
        <v/>
      </c>
      <c r="C193" s="41" t="str">
        <f aca="false">IF($M193="","",IF(INDEX('DỮ LIỆU'!$B$3:$B$1052,$M193)="","",INDEX('DỮ LIỆU'!$B$3:$B$1052,$M193)))</f>
        <v/>
      </c>
      <c r="D193" s="21" t="str">
        <f aca="false">IF($M193="","",IF(INDEX('DỮ LIỆU'!$C$3:$C$1052,$M193)="","",INDEX('DỮ LIỆU'!$C$3:$C$1052,$M193)))</f>
        <v/>
      </c>
      <c r="E193" s="21" t="str">
        <f aca="false">IF($M193="","",IF(INDEX('DỮ LIỆU'!$D$3:$D$1052,$M193)="","",INDEX('DỮ LIỆU'!$D$3:$D$1052,$M193)))</f>
        <v/>
      </c>
      <c r="F193" s="21" t="str">
        <f aca="false">IF($M193="","",IF(INDEX('DỮ LIỆU'!$H$3:$H$1052,$M193)="","",INDEX('DỮ LIỆU'!$H$3:$H$1052,$M193)))</f>
        <v/>
      </c>
      <c r="G193" s="13" t="str">
        <f aca="false">IF($M193="","",N(INDEX('DỮ LIỆU'!$I$3:$I$1052,$M193)))</f>
        <v/>
      </c>
      <c r="H193" s="13" t="str">
        <f aca="false">IF($M193="","",N(INDEX('DỮ LIỆU'!$J$3:$J$1052,$M193)))</f>
        <v/>
      </c>
      <c r="I193" s="13" t="str">
        <f aca="false">IF($M193="","",N(INDEX('DỮ LIỆU'!$N$3:$N$1052,$M193)))</f>
        <v/>
      </c>
      <c r="J193" s="13" t="str">
        <f aca="false">IF($M193="","",N(INDEX('DỮ LIỆU'!$O$3:$O$1052,$M193)))</f>
        <v/>
      </c>
      <c r="K193" s="13" t="str">
        <f aca="false">IF($M193="","",IF(INDEX('DỮ LIỆU'!$Q$3:$Q$1052,$M193)="","",INDEX('DỮ LIỆU'!$Q$3:$Q$1052,$M193)))</f>
        <v/>
      </c>
      <c r="L193" s="21" t="str">
        <f aca="false">IF($M193="","",IF(INDEX('DỮ LIỆU'!$R$3:$R$1052,$M193)="","",INDEX('DỮ LIỆU'!$R$3:$R$1052,$M193)))</f>
        <v/>
      </c>
      <c r="M193" s="0" t="str">
        <f aca="false">IFERROR(MATCH(188,'DỮ LIỆU'!$V$3:$V$1052,0),"")</f>
        <v/>
      </c>
    </row>
    <row r="194" customFormat="false" ht="15" hidden="false" customHeight="false" outlineLevel="0" collapsed="false">
      <c r="A194" s="21" t="str">
        <f aca="false">IF($M194="","",189)</f>
        <v/>
      </c>
      <c r="B194" s="13" t="str">
        <f aca="false">IF($M194="","",INDEX('DỮ LIỆU'!$A$3:$A$1052,$M194))</f>
        <v/>
      </c>
      <c r="C194" s="41" t="str">
        <f aca="false">IF($M194="","",IF(INDEX('DỮ LIỆU'!$B$3:$B$1052,$M194)="","",INDEX('DỮ LIỆU'!$B$3:$B$1052,$M194)))</f>
        <v/>
      </c>
      <c r="D194" s="21" t="str">
        <f aca="false">IF($M194="","",IF(INDEX('DỮ LIỆU'!$C$3:$C$1052,$M194)="","",INDEX('DỮ LIỆU'!$C$3:$C$1052,$M194)))</f>
        <v/>
      </c>
      <c r="E194" s="21" t="str">
        <f aca="false">IF($M194="","",IF(INDEX('DỮ LIỆU'!$D$3:$D$1052,$M194)="","",INDEX('DỮ LIỆU'!$D$3:$D$1052,$M194)))</f>
        <v/>
      </c>
      <c r="F194" s="21" t="str">
        <f aca="false">IF($M194="","",IF(INDEX('DỮ LIỆU'!$H$3:$H$1052,$M194)="","",INDEX('DỮ LIỆU'!$H$3:$H$1052,$M194)))</f>
        <v/>
      </c>
      <c r="G194" s="13" t="str">
        <f aca="false">IF($M194="","",N(INDEX('DỮ LIỆU'!$I$3:$I$1052,$M194)))</f>
        <v/>
      </c>
      <c r="H194" s="13" t="str">
        <f aca="false">IF($M194="","",N(INDEX('DỮ LIỆU'!$J$3:$J$1052,$M194)))</f>
        <v/>
      </c>
      <c r="I194" s="13" t="str">
        <f aca="false">IF($M194="","",N(INDEX('DỮ LIỆU'!$N$3:$N$1052,$M194)))</f>
        <v/>
      </c>
      <c r="J194" s="13" t="str">
        <f aca="false">IF($M194="","",N(INDEX('DỮ LIỆU'!$O$3:$O$1052,$M194)))</f>
        <v/>
      </c>
      <c r="K194" s="13" t="str">
        <f aca="false">IF($M194="","",IF(INDEX('DỮ LIỆU'!$Q$3:$Q$1052,$M194)="","",INDEX('DỮ LIỆU'!$Q$3:$Q$1052,$M194)))</f>
        <v/>
      </c>
      <c r="L194" s="21" t="str">
        <f aca="false">IF($M194="","",IF(INDEX('DỮ LIỆU'!$R$3:$R$1052,$M194)="","",INDEX('DỮ LIỆU'!$R$3:$R$1052,$M194)))</f>
        <v/>
      </c>
      <c r="M194" s="0" t="str">
        <f aca="false">IFERROR(MATCH(189,'DỮ LIỆU'!$V$3:$V$1052,0),"")</f>
        <v/>
      </c>
    </row>
    <row r="195" customFormat="false" ht="15" hidden="false" customHeight="false" outlineLevel="0" collapsed="false">
      <c r="A195" s="21" t="str">
        <f aca="false">IF($M195="","",190)</f>
        <v/>
      </c>
      <c r="B195" s="13" t="str">
        <f aca="false">IF($M195="","",INDEX('DỮ LIỆU'!$A$3:$A$1052,$M195))</f>
        <v/>
      </c>
      <c r="C195" s="41" t="str">
        <f aca="false">IF($M195="","",IF(INDEX('DỮ LIỆU'!$B$3:$B$1052,$M195)="","",INDEX('DỮ LIỆU'!$B$3:$B$1052,$M195)))</f>
        <v/>
      </c>
      <c r="D195" s="21" t="str">
        <f aca="false">IF($M195="","",IF(INDEX('DỮ LIỆU'!$C$3:$C$1052,$M195)="","",INDEX('DỮ LIỆU'!$C$3:$C$1052,$M195)))</f>
        <v/>
      </c>
      <c r="E195" s="21" t="str">
        <f aca="false">IF($M195="","",IF(INDEX('DỮ LIỆU'!$D$3:$D$1052,$M195)="","",INDEX('DỮ LIỆU'!$D$3:$D$1052,$M195)))</f>
        <v/>
      </c>
      <c r="F195" s="21" t="str">
        <f aca="false">IF($M195="","",IF(INDEX('DỮ LIỆU'!$H$3:$H$1052,$M195)="","",INDEX('DỮ LIỆU'!$H$3:$H$1052,$M195)))</f>
        <v/>
      </c>
      <c r="G195" s="13" t="str">
        <f aca="false">IF($M195="","",N(INDEX('DỮ LIỆU'!$I$3:$I$1052,$M195)))</f>
        <v/>
      </c>
      <c r="H195" s="13" t="str">
        <f aca="false">IF($M195="","",N(INDEX('DỮ LIỆU'!$J$3:$J$1052,$M195)))</f>
        <v/>
      </c>
      <c r="I195" s="13" t="str">
        <f aca="false">IF($M195="","",N(INDEX('DỮ LIỆU'!$N$3:$N$1052,$M195)))</f>
        <v/>
      </c>
      <c r="J195" s="13" t="str">
        <f aca="false">IF($M195="","",N(INDEX('DỮ LIỆU'!$O$3:$O$1052,$M195)))</f>
        <v/>
      </c>
      <c r="K195" s="13" t="str">
        <f aca="false">IF($M195="","",IF(INDEX('DỮ LIỆU'!$Q$3:$Q$1052,$M195)="","",INDEX('DỮ LIỆU'!$Q$3:$Q$1052,$M195)))</f>
        <v/>
      </c>
      <c r="L195" s="21" t="str">
        <f aca="false">IF($M195="","",IF(INDEX('DỮ LIỆU'!$R$3:$R$1052,$M195)="","",INDEX('DỮ LIỆU'!$R$3:$R$1052,$M195)))</f>
        <v/>
      </c>
      <c r="M195" s="0" t="str">
        <f aca="false">IFERROR(MATCH(190,'DỮ LIỆU'!$V$3:$V$1052,0),"")</f>
        <v/>
      </c>
    </row>
    <row r="196" customFormat="false" ht="15" hidden="false" customHeight="false" outlineLevel="0" collapsed="false">
      <c r="A196" s="21" t="str">
        <f aca="false">IF($M196="","",191)</f>
        <v/>
      </c>
      <c r="B196" s="13" t="str">
        <f aca="false">IF($M196="","",INDEX('DỮ LIỆU'!$A$3:$A$1052,$M196))</f>
        <v/>
      </c>
      <c r="C196" s="41" t="str">
        <f aca="false">IF($M196="","",IF(INDEX('DỮ LIỆU'!$B$3:$B$1052,$M196)="","",INDEX('DỮ LIỆU'!$B$3:$B$1052,$M196)))</f>
        <v/>
      </c>
      <c r="D196" s="21" t="str">
        <f aca="false">IF($M196="","",IF(INDEX('DỮ LIỆU'!$C$3:$C$1052,$M196)="","",INDEX('DỮ LIỆU'!$C$3:$C$1052,$M196)))</f>
        <v/>
      </c>
      <c r="E196" s="21" t="str">
        <f aca="false">IF($M196="","",IF(INDEX('DỮ LIỆU'!$D$3:$D$1052,$M196)="","",INDEX('DỮ LIỆU'!$D$3:$D$1052,$M196)))</f>
        <v/>
      </c>
      <c r="F196" s="21" t="str">
        <f aca="false">IF($M196="","",IF(INDEX('DỮ LIỆU'!$H$3:$H$1052,$M196)="","",INDEX('DỮ LIỆU'!$H$3:$H$1052,$M196)))</f>
        <v/>
      </c>
      <c r="G196" s="13" t="str">
        <f aca="false">IF($M196="","",N(INDEX('DỮ LIỆU'!$I$3:$I$1052,$M196)))</f>
        <v/>
      </c>
      <c r="H196" s="13" t="str">
        <f aca="false">IF($M196="","",N(INDEX('DỮ LIỆU'!$J$3:$J$1052,$M196)))</f>
        <v/>
      </c>
      <c r="I196" s="13" t="str">
        <f aca="false">IF($M196="","",N(INDEX('DỮ LIỆU'!$N$3:$N$1052,$M196)))</f>
        <v/>
      </c>
      <c r="J196" s="13" t="str">
        <f aca="false">IF($M196="","",N(INDEX('DỮ LIỆU'!$O$3:$O$1052,$M196)))</f>
        <v/>
      </c>
      <c r="K196" s="13" t="str">
        <f aca="false">IF($M196="","",IF(INDEX('DỮ LIỆU'!$Q$3:$Q$1052,$M196)="","",INDEX('DỮ LIỆU'!$Q$3:$Q$1052,$M196)))</f>
        <v/>
      </c>
      <c r="L196" s="21" t="str">
        <f aca="false">IF($M196="","",IF(INDEX('DỮ LIỆU'!$R$3:$R$1052,$M196)="","",INDEX('DỮ LIỆU'!$R$3:$R$1052,$M196)))</f>
        <v/>
      </c>
      <c r="M196" s="0" t="str">
        <f aca="false">IFERROR(MATCH(191,'DỮ LIỆU'!$V$3:$V$1052,0),"")</f>
        <v/>
      </c>
    </row>
    <row r="197" customFormat="false" ht="15" hidden="false" customHeight="false" outlineLevel="0" collapsed="false">
      <c r="A197" s="21" t="str">
        <f aca="false">IF($M197="","",192)</f>
        <v/>
      </c>
      <c r="B197" s="13" t="str">
        <f aca="false">IF($M197="","",INDEX('DỮ LIỆU'!$A$3:$A$1052,$M197))</f>
        <v/>
      </c>
      <c r="C197" s="41" t="str">
        <f aca="false">IF($M197="","",IF(INDEX('DỮ LIỆU'!$B$3:$B$1052,$M197)="","",INDEX('DỮ LIỆU'!$B$3:$B$1052,$M197)))</f>
        <v/>
      </c>
      <c r="D197" s="21" t="str">
        <f aca="false">IF($M197="","",IF(INDEX('DỮ LIỆU'!$C$3:$C$1052,$M197)="","",INDEX('DỮ LIỆU'!$C$3:$C$1052,$M197)))</f>
        <v/>
      </c>
      <c r="E197" s="21" t="str">
        <f aca="false">IF($M197="","",IF(INDEX('DỮ LIỆU'!$D$3:$D$1052,$M197)="","",INDEX('DỮ LIỆU'!$D$3:$D$1052,$M197)))</f>
        <v/>
      </c>
      <c r="F197" s="21" t="str">
        <f aca="false">IF($M197="","",IF(INDEX('DỮ LIỆU'!$H$3:$H$1052,$M197)="","",INDEX('DỮ LIỆU'!$H$3:$H$1052,$M197)))</f>
        <v/>
      </c>
      <c r="G197" s="13" t="str">
        <f aca="false">IF($M197="","",N(INDEX('DỮ LIỆU'!$I$3:$I$1052,$M197)))</f>
        <v/>
      </c>
      <c r="H197" s="13" t="str">
        <f aca="false">IF($M197="","",N(INDEX('DỮ LIỆU'!$J$3:$J$1052,$M197)))</f>
        <v/>
      </c>
      <c r="I197" s="13" t="str">
        <f aca="false">IF($M197="","",N(INDEX('DỮ LIỆU'!$N$3:$N$1052,$M197)))</f>
        <v/>
      </c>
      <c r="J197" s="13" t="str">
        <f aca="false">IF($M197="","",N(INDEX('DỮ LIỆU'!$O$3:$O$1052,$M197)))</f>
        <v/>
      </c>
      <c r="K197" s="13" t="str">
        <f aca="false">IF($M197="","",IF(INDEX('DỮ LIỆU'!$Q$3:$Q$1052,$M197)="","",INDEX('DỮ LIỆU'!$Q$3:$Q$1052,$M197)))</f>
        <v/>
      </c>
      <c r="L197" s="21" t="str">
        <f aca="false">IF($M197="","",IF(INDEX('DỮ LIỆU'!$R$3:$R$1052,$M197)="","",INDEX('DỮ LIỆU'!$R$3:$R$1052,$M197)))</f>
        <v/>
      </c>
      <c r="M197" s="0" t="str">
        <f aca="false">IFERROR(MATCH(192,'DỮ LIỆU'!$V$3:$V$1052,0),"")</f>
        <v/>
      </c>
    </row>
    <row r="198" customFormat="false" ht="15" hidden="false" customHeight="false" outlineLevel="0" collapsed="false">
      <c r="A198" s="21" t="str">
        <f aca="false">IF($M198="","",193)</f>
        <v/>
      </c>
      <c r="B198" s="13" t="str">
        <f aca="false">IF($M198="","",INDEX('DỮ LIỆU'!$A$3:$A$1052,$M198))</f>
        <v/>
      </c>
      <c r="C198" s="41" t="str">
        <f aca="false">IF($M198="","",IF(INDEX('DỮ LIỆU'!$B$3:$B$1052,$M198)="","",INDEX('DỮ LIỆU'!$B$3:$B$1052,$M198)))</f>
        <v/>
      </c>
      <c r="D198" s="21" t="str">
        <f aca="false">IF($M198="","",IF(INDEX('DỮ LIỆU'!$C$3:$C$1052,$M198)="","",INDEX('DỮ LIỆU'!$C$3:$C$1052,$M198)))</f>
        <v/>
      </c>
      <c r="E198" s="21" t="str">
        <f aca="false">IF($M198="","",IF(INDEX('DỮ LIỆU'!$D$3:$D$1052,$M198)="","",INDEX('DỮ LIỆU'!$D$3:$D$1052,$M198)))</f>
        <v/>
      </c>
      <c r="F198" s="21" t="str">
        <f aca="false">IF($M198="","",IF(INDEX('DỮ LIỆU'!$H$3:$H$1052,$M198)="","",INDEX('DỮ LIỆU'!$H$3:$H$1052,$M198)))</f>
        <v/>
      </c>
      <c r="G198" s="13" t="str">
        <f aca="false">IF($M198="","",N(INDEX('DỮ LIỆU'!$I$3:$I$1052,$M198)))</f>
        <v/>
      </c>
      <c r="H198" s="13" t="str">
        <f aca="false">IF($M198="","",N(INDEX('DỮ LIỆU'!$J$3:$J$1052,$M198)))</f>
        <v/>
      </c>
      <c r="I198" s="13" t="str">
        <f aca="false">IF($M198="","",N(INDEX('DỮ LIỆU'!$N$3:$N$1052,$M198)))</f>
        <v/>
      </c>
      <c r="J198" s="13" t="str">
        <f aca="false">IF($M198="","",N(INDEX('DỮ LIỆU'!$O$3:$O$1052,$M198)))</f>
        <v/>
      </c>
      <c r="K198" s="13" t="str">
        <f aca="false">IF($M198="","",IF(INDEX('DỮ LIỆU'!$Q$3:$Q$1052,$M198)="","",INDEX('DỮ LIỆU'!$Q$3:$Q$1052,$M198)))</f>
        <v/>
      </c>
      <c r="L198" s="21" t="str">
        <f aca="false">IF($M198="","",IF(INDEX('DỮ LIỆU'!$R$3:$R$1052,$M198)="","",INDEX('DỮ LIỆU'!$R$3:$R$1052,$M198)))</f>
        <v/>
      </c>
      <c r="M198" s="0" t="str">
        <f aca="false">IFERROR(MATCH(193,'DỮ LIỆU'!$V$3:$V$1052,0),"")</f>
        <v/>
      </c>
    </row>
    <row r="199" customFormat="false" ht="15" hidden="false" customHeight="false" outlineLevel="0" collapsed="false">
      <c r="A199" s="21" t="str">
        <f aca="false">IF($M199="","",194)</f>
        <v/>
      </c>
      <c r="B199" s="13" t="str">
        <f aca="false">IF($M199="","",INDEX('DỮ LIỆU'!$A$3:$A$1052,$M199))</f>
        <v/>
      </c>
      <c r="C199" s="41" t="str">
        <f aca="false">IF($M199="","",IF(INDEX('DỮ LIỆU'!$B$3:$B$1052,$M199)="","",INDEX('DỮ LIỆU'!$B$3:$B$1052,$M199)))</f>
        <v/>
      </c>
      <c r="D199" s="21" t="str">
        <f aca="false">IF($M199="","",IF(INDEX('DỮ LIỆU'!$C$3:$C$1052,$M199)="","",INDEX('DỮ LIỆU'!$C$3:$C$1052,$M199)))</f>
        <v/>
      </c>
      <c r="E199" s="21" t="str">
        <f aca="false">IF($M199="","",IF(INDEX('DỮ LIỆU'!$D$3:$D$1052,$M199)="","",INDEX('DỮ LIỆU'!$D$3:$D$1052,$M199)))</f>
        <v/>
      </c>
      <c r="F199" s="21" t="str">
        <f aca="false">IF($M199="","",IF(INDEX('DỮ LIỆU'!$H$3:$H$1052,$M199)="","",INDEX('DỮ LIỆU'!$H$3:$H$1052,$M199)))</f>
        <v/>
      </c>
      <c r="G199" s="13" t="str">
        <f aca="false">IF($M199="","",N(INDEX('DỮ LIỆU'!$I$3:$I$1052,$M199)))</f>
        <v/>
      </c>
      <c r="H199" s="13" t="str">
        <f aca="false">IF($M199="","",N(INDEX('DỮ LIỆU'!$J$3:$J$1052,$M199)))</f>
        <v/>
      </c>
      <c r="I199" s="13" t="str">
        <f aca="false">IF($M199="","",N(INDEX('DỮ LIỆU'!$N$3:$N$1052,$M199)))</f>
        <v/>
      </c>
      <c r="J199" s="13" t="str">
        <f aca="false">IF($M199="","",N(INDEX('DỮ LIỆU'!$O$3:$O$1052,$M199)))</f>
        <v/>
      </c>
      <c r="K199" s="13" t="str">
        <f aca="false">IF($M199="","",IF(INDEX('DỮ LIỆU'!$Q$3:$Q$1052,$M199)="","",INDEX('DỮ LIỆU'!$Q$3:$Q$1052,$M199)))</f>
        <v/>
      </c>
      <c r="L199" s="21" t="str">
        <f aca="false">IF($M199="","",IF(INDEX('DỮ LIỆU'!$R$3:$R$1052,$M199)="","",INDEX('DỮ LIỆU'!$R$3:$R$1052,$M199)))</f>
        <v/>
      </c>
      <c r="M199" s="0" t="str">
        <f aca="false">IFERROR(MATCH(194,'DỮ LIỆU'!$V$3:$V$1052,0),"")</f>
        <v/>
      </c>
    </row>
    <row r="200" customFormat="false" ht="15" hidden="false" customHeight="false" outlineLevel="0" collapsed="false">
      <c r="A200" s="21" t="str">
        <f aca="false">IF($M200="","",195)</f>
        <v/>
      </c>
      <c r="B200" s="13" t="str">
        <f aca="false">IF($M200="","",INDEX('DỮ LIỆU'!$A$3:$A$1052,$M200))</f>
        <v/>
      </c>
      <c r="C200" s="41" t="str">
        <f aca="false">IF($M200="","",IF(INDEX('DỮ LIỆU'!$B$3:$B$1052,$M200)="","",INDEX('DỮ LIỆU'!$B$3:$B$1052,$M200)))</f>
        <v/>
      </c>
      <c r="D200" s="21" t="str">
        <f aca="false">IF($M200="","",IF(INDEX('DỮ LIỆU'!$C$3:$C$1052,$M200)="","",INDEX('DỮ LIỆU'!$C$3:$C$1052,$M200)))</f>
        <v/>
      </c>
      <c r="E200" s="21" t="str">
        <f aca="false">IF($M200="","",IF(INDEX('DỮ LIỆU'!$D$3:$D$1052,$M200)="","",INDEX('DỮ LIỆU'!$D$3:$D$1052,$M200)))</f>
        <v/>
      </c>
      <c r="F200" s="21" t="str">
        <f aca="false">IF($M200="","",IF(INDEX('DỮ LIỆU'!$H$3:$H$1052,$M200)="","",INDEX('DỮ LIỆU'!$H$3:$H$1052,$M200)))</f>
        <v/>
      </c>
      <c r="G200" s="13" t="str">
        <f aca="false">IF($M200="","",N(INDEX('DỮ LIỆU'!$I$3:$I$1052,$M200)))</f>
        <v/>
      </c>
      <c r="H200" s="13" t="str">
        <f aca="false">IF($M200="","",N(INDEX('DỮ LIỆU'!$J$3:$J$1052,$M200)))</f>
        <v/>
      </c>
      <c r="I200" s="13" t="str">
        <f aca="false">IF($M200="","",N(INDEX('DỮ LIỆU'!$N$3:$N$1052,$M200)))</f>
        <v/>
      </c>
      <c r="J200" s="13" t="str">
        <f aca="false">IF($M200="","",N(INDEX('DỮ LIỆU'!$O$3:$O$1052,$M200)))</f>
        <v/>
      </c>
      <c r="K200" s="13" t="str">
        <f aca="false">IF($M200="","",IF(INDEX('DỮ LIỆU'!$Q$3:$Q$1052,$M200)="","",INDEX('DỮ LIỆU'!$Q$3:$Q$1052,$M200)))</f>
        <v/>
      </c>
      <c r="L200" s="21" t="str">
        <f aca="false">IF($M200="","",IF(INDEX('DỮ LIỆU'!$R$3:$R$1052,$M200)="","",INDEX('DỮ LIỆU'!$R$3:$R$1052,$M200)))</f>
        <v/>
      </c>
      <c r="M200" s="0" t="str">
        <f aca="false">IFERROR(MATCH(195,'DỮ LIỆU'!$V$3:$V$1052,0),"")</f>
        <v/>
      </c>
    </row>
    <row r="201" customFormat="false" ht="15" hidden="false" customHeight="false" outlineLevel="0" collapsed="false">
      <c r="A201" s="21" t="str">
        <f aca="false">IF($M201="","",196)</f>
        <v/>
      </c>
      <c r="B201" s="13" t="str">
        <f aca="false">IF($M201="","",INDEX('DỮ LIỆU'!$A$3:$A$1052,$M201))</f>
        <v/>
      </c>
      <c r="C201" s="41" t="str">
        <f aca="false">IF($M201="","",IF(INDEX('DỮ LIỆU'!$B$3:$B$1052,$M201)="","",INDEX('DỮ LIỆU'!$B$3:$B$1052,$M201)))</f>
        <v/>
      </c>
      <c r="D201" s="21" t="str">
        <f aca="false">IF($M201="","",IF(INDEX('DỮ LIỆU'!$C$3:$C$1052,$M201)="","",INDEX('DỮ LIỆU'!$C$3:$C$1052,$M201)))</f>
        <v/>
      </c>
      <c r="E201" s="21" t="str">
        <f aca="false">IF($M201="","",IF(INDEX('DỮ LIỆU'!$D$3:$D$1052,$M201)="","",INDEX('DỮ LIỆU'!$D$3:$D$1052,$M201)))</f>
        <v/>
      </c>
      <c r="F201" s="21" t="str">
        <f aca="false">IF($M201="","",IF(INDEX('DỮ LIỆU'!$H$3:$H$1052,$M201)="","",INDEX('DỮ LIỆU'!$H$3:$H$1052,$M201)))</f>
        <v/>
      </c>
      <c r="G201" s="13" t="str">
        <f aca="false">IF($M201="","",N(INDEX('DỮ LIỆU'!$I$3:$I$1052,$M201)))</f>
        <v/>
      </c>
      <c r="H201" s="13" t="str">
        <f aca="false">IF($M201="","",N(INDEX('DỮ LIỆU'!$J$3:$J$1052,$M201)))</f>
        <v/>
      </c>
      <c r="I201" s="13" t="str">
        <f aca="false">IF($M201="","",N(INDEX('DỮ LIỆU'!$N$3:$N$1052,$M201)))</f>
        <v/>
      </c>
      <c r="J201" s="13" t="str">
        <f aca="false">IF($M201="","",N(INDEX('DỮ LIỆU'!$O$3:$O$1052,$M201)))</f>
        <v/>
      </c>
      <c r="K201" s="13" t="str">
        <f aca="false">IF($M201="","",IF(INDEX('DỮ LIỆU'!$Q$3:$Q$1052,$M201)="","",INDEX('DỮ LIỆU'!$Q$3:$Q$1052,$M201)))</f>
        <v/>
      </c>
      <c r="L201" s="21" t="str">
        <f aca="false">IF($M201="","",IF(INDEX('DỮ LIỆU'!$R$3:$R$1052,$M201)="","",INDEX('DỮ LIỆU'!$R$3:$R$1052,$M201)))</f>
        <v/>
      </c>
      <c r="M201" s="0" t="str">
        <f aca="false">IFERROR(MATCH(196,'DỮ LIỆU'!$V$3:$V$1052,0),"")</f>
        <v/>
      </c>
    </row>
    <row r="202" customFormat="false" ht="15" hidden="false" customHeight="false" outlineLevel="0" collapsed="false">
      <c r="A202" s="21" t="str">
        <f aca="false">IF($M202="","",197)</f>
        <v/>
      </c>
      <c r="B202" s="13" t="str">
        <f aca="false">IF($M202="","",INDEX('DỮ LIỆU'!$A$3:$A$1052,$M202))</f>
        <v/>
      </c>
      <c r="C202" s="41" t="str">
        <f aca="false">IF($M202="","",IF(INDEX('DỮ LIỆU'!$B$3:$B$1052,$M202)="","",INDEX('DỮ LIỆU'!$B$3:$B$1052,$M202)))</f>
        <v/>
      </c>
      <c r="D202" s="21" t="str">
        <f aca="false">IF($M202="","",IF(INDEX('DỮ LIỆU'!$C$3:$C$1052,$M202)="","",INDEX('DỮ LIỆU'!$C$3:$C$1052,$M202)))</f>
        <v/>
      </c>
      <c r="E202" s="21" t="str">
        <f aca="false">IF($M202="","",IF(INDEX('DỮ LIỆU'!$D$3:$D$1052,$M202)="","",INDEX('DỮ LIỆU'!$D$3:$D$1052,$M202)))</f>
        <v/>
      </c>
      <c r="F202" s="21" t="str">
        <f aca="false">IF($M202="","",IF(INDEX('DỮ LIỆU'!$H$3:$H$1052,$M202)="","",INDEX('DỮ LIỆU'!$H$3:$H$1052,$M202)))</f>
        <v/>
      </c>
      <c r="G202" s="13" t="str">
        <f aca="false">IF($M202="","",N(INDEX('DỮ LIỆU'!$I$3:$I$1052,$M202)))</f>
        <v/>
      </c>
      <c r="H202" s="13" t="str">
        <f aca="false">IF($M202="","",N(INDEX('DỮ LIỆU'!$J$3:$J$1052,$M202)))</f>
        <v/>
      </c>
      <c r="I202" s="13" t="str">
        <f aca="false">IF($M202="","",N(INDEX('DỮ LIỆU'!$N$3:$N$1052,$M202)))</f>
        <v/>
      </c>
      <c r="J202" s="13" t="str">
        <f aca="false">IF($M202="","",N(INDEX('DỮ LIỆU'!$O$3:$O$1052,$M202)))</f>
        <v/>
      </c>
      <c r="K202" s="13" t="str">
        <f aca="false">IF($M202="","",IF(INDEX('DỮ LIỆU'!$Q$3:$Q$1052,$M202)="","",INDEX('DỮ LIỆU'!$Q$3:$Q$1052,$M202)))</f>
        <v/>
      </c>
      <c r="L202" s="21" t="str">
        <f aca="false">IF($M202="","",IF(INDEX('DỮ LIỆU'!$R$3:$R$1052,$M202)="","",INDEX('DỮ LIỆU'!$R$3:$R$1052,$M202)))</f>
        <v/>
      </c>
      <c r="M202" s="0" t="str">
        <f aca="false">IFERROR(MATCH(197,'DỮ LIỆU'!$V$3:$V$1052,0),"")</f>
        <v/>
      </c>
    </row>
    <row r="203" customFormat="false" ht="15" hidden="false" customHeight="false" outlineLevel="0" collapsed="false">
      <c r="A203" s="21" t="str">
        <f aca="false">IF($M203="","",198)</f>
        <v/>
      </c>
      <c r="B203" s="13" t="str">
        <f aca="false">IF($M203="","",INDEX('DỮ LIỆU'!$A$3:$A$1052,$M203))</f>
        <v/>
      </c>
      <c r="C203" s="41" t="str">
        <f aca="false">IF($M203="","",IF(INDEX('DỮ LIỆU'!$B$3:$B$1052,$M203)="","",INDEX('DỮ LIỆU'!$B$3:$B$1052,$M203)))</f>
        <v/>
      </c>
      <c r="D203" s="21" t="str">
        <f aca="false">IF($M203="","",IF(INDEX('DỮ LIỆU'!$C$3:$C$1052,$M203)="","",INDEX('DỮ LIỆU'!$C$3:$C$1052,$M203)))</f>
        <v/>
      </c>
      <c r="E203" s="21" t="str">
        <f aca="false">IF($M203="","",IF(INDEX('DỮ LIỆU'!$D$3:$D$1052,$M203)="","",INDEX('DỮ LIỆU'!$D$3:$D$1052,$M203)))</f>
        <v/>
      </c>
      <c r="F203" s="21" t="str">
        <f aca="false">IF($M203="","",IF(INDEX('DỮ LIỆU'!$H$3:$H$1052,$M203)="","",INDEX('DỮ LIỆU'!$H$3:$H$1052,$M203)))</f>
        <v/>
      </c>
      <c r="G203" s="13" t="str">
        <f aca="false">IF($M203="","",N(INDEX('DỮ LIỆU'!$I$3:$I$1052,$M203)))</f>
        <v/>
      </c>
      <c r="H203" s="13" t="str">
        <f aca="false">IF($M203="","",N(INDEX('DỮ LIỆU'!$J$3:$J$1052,$M203)))</f>
        <v/>
      </c>
      <c r="I203" s="13" t="str">
        <f aca="false">IF($M203="","",N(INDEX('DỮ LIỆU'!$N$3:$N$1052,$M203)))</f>
        <v/>
      </c>
      <c r="J203" s="13" t="str">
        <f aca="false">IF($M203="","",N(INDEX('DỮ LIỆU'!$O$3:$O$1052,$M203)))</f>
        <v/>
      </c>
      <c r="K203" s="13" t="str">
        <f aca="false">IF($M203="","",IF(INDEX('DỮ LIỆU'!$Q$3:$Q$1052,$M203)="","",INDEX('DỮ LIỆU'!$Q$3:$Q$1052,$M203)))</f>
        <v/>
      </c>
      <c r="L203" s="21" t="str">
        <f aca="false">IF($M203="","",IF(INDEX('DỮ LIỆU'!$R$3:$R$1052,$M203)="","",INDEX('DỮ LIỆU'!$R$3:$R$1052,$M203)))</f>
        <v/>
      </c>
      <c r="M203" s="0" t="str">
        <f aca="false">IFERROR(MATCH(198,'DỮ LIỆU'!$V$3:$V$1052,0),"")</f>
        <v/>
      </c>
    </row>
    <row r="204" customFormat="false" ht="15" hidden="false" customHeight="false" outlineLevel="0" collapsed="false">
      <c r="A204" s="21" t="str">
        <f aca="false">IF($M204="","",199)</f>
        <v/>
      </c>
      <c r="B204" s="13" t="str">
        <f aca="false">IF($M204="","",INDEX('DỮ LIỆU'!$A$3:$A$1052,$M204))</f>
        <v/>
      </c>
      <c r="C204" s="41" t="str">
        <f aca="false">IF($M204="","",IF(INDEX('DỮ LIỆU'!$B$3:$B$1052,$M204)="","",INDEX('DỮ LIỆU'!$B$3:$B$1052,$M204)))</f>
        <v/>
      </c>
      <c r="D204" s="21" t="str">
        <f aca="false">IF($M204="","",IF(INDEX('DỮ LIỆU'!$C$3:$C$1052,$M204)="","",INDEX('DỮ LIỆU'!$C$3:$C$1052,$M204)))</f>
        <v/>
      </c>
      <c r="E204" s="21" t="str">
        <f aca="false">IF($M204="","",IF(INDEX('DỮ LIỆU'!$D$3:$D$1052,$M204)="","",INDEX('DỮ LIỆU'!$D$3:$D$1052,$M204)))</f>
        <v/>
      </c>
      <c r="F204" s="21" t="str">
        <f aca="false">IF($M204="","",IF(INDEX('DỮ LIỆU'!$H$3:$H$1052,$M204)="","",INDEX('DỮ LIỆU'!$H$3:$H$1052,$M204)))</f>
        <v/>
      </c>
      <c r="G204" s="13" t="str">
        <f aca="false">IF($M204="","",N(INDEX('DỮ LIỆU'!$I$3:$I$1052,$M204)))</f>
        <v/>
      </c>
      <c r="H204" s="13" t="str">
        <f aca="false">IF($M204="","",N(INDEX('DỮ LIỆU'!$J$3:$J$1052,$M204)))</f>
        <v/>
      </c>
      <c r="I204" s="13" t="str">
        <f aca="false">IF($M204="","",N(INDEX('DỮ LIỆU'!$N$3:$N$1052,$M204)))</f>
        <v/>
      </c>
      <c r="J204" s="13" t="str">
        <f aca="false">IF($M204="","",N(INDEX('DỮ LIỆU'!$O$3:$O$1052,$M204)))</f>
        <v/>
      </c>
      <c r="K204" s="13" t="str">
        <f aca="false">IF($M204="","",IF(INDEX('DỮ LIỆU'!$Q$3:$Q$1052,$M204)="","",INDEX('DỮ LIỆU'!$Q$3:$Q$1052,$M204)))</f>
        <v/>
      </c>
      <c r="L204" s="21" t="str">
        <f aca="false">IF($M204="","",IF(INDEX('DỮ LIỆU'!$R$3:$R$1052,$M204)="","",INDEX('DỮ LIỆU'!$R$3:$R$1052,$M204)))</f>
        <v/>
      </c>
      <c r="M204" s="0" t="str">
        <f aca="false">IFERROR(MATCH(199,'DỮ LIỆU'!$V$3:$V$1052,0),"")</f>
        <v/>
      </c>
    </row>
    <row r="205" customFormat="false" ht="15" hidden="false" customHeight="false" outlineLevel="0" collapsed="false">
      <c r="A205" s="21" t="str">
        <f aca="false">IF($M205="","",200)</f>
        <v/>
      </c>
      <c r="B205" s="13" t="str">
        <f aca="false">IF($M205="","",INDEX('DỮ LIỆU'!$A$3:$A$1052,$M205))</f>
        <v/>
      </c>
      <c r="C205" s="41" t="str">
        <f aca="false">IF($M205="","",IF(INDEX('DỮ LIỆU'!$B$3:$B$1052,$M205)="","",INDEX('DỮ LIỆU'!$B$3:$B$1052,$M205)))</f>
        <v/>
      </c>
      <c r="D205" s="21" t="str">
        <f aca="false">IF($M205="","",IF(INDEX('DỮ LIỆU'!$C$3:$C$1052,$M205)="","",INDEX('DỮ LIỆU'!$C$3:$C$1052,$M205)))</f>
        <v/>
      </c>
      <c r="E205" s="21" t="str">
        <f aca="false">IF($M205="","",IF(INDEX('DỮ LIỆU'!$D$3:$D$1052,$M205)="","",INDEX('DỮ LIỆU'!$D$3:$D$1052,$M205)))</f>
        <v/>
      </c>
      <c r="F205" s="21" t="str">
        <f aca="false">IF($M205="","",IF(INDEX('DỮ LIỆU'!$H$3:$H$1052,$M205)="","",INDEX('DỮ LIỆU'!$H$3:$H$1052,$M205)))</f>
        <v/>
      </c>
      <c r="G205" s="13" t="str">
        <f aca="false">IF($M205="","",N(INDEX('DỮ LIỆU'!$I$3:$I$1052,$M205)))</f>
        <v/>
      </c>
      <c r="H205" s="13" t="str">
        <f aca="false">IF($M205="","",N(INDEX('DỮ LIỆU'!$J$3:$J$1052,$M205)))</f>
        <v/>
      </c>
      <c r="I205" s="13" t="str">
        <f aca="false">IF($M205="","",N(INDEX('DỮ LIỆU'!$N$3:$N$1052,$M205)))</f>
        <v/>
      </c>
      <c r="J205" s="13" t="str">
        <f aca="false">IF($M205="","",N(INDEX('DỮ LIỆU'!$O$3:$O$1052,$M205)))</f>
        <v/>
      </c>
      <c r="K205" s="13" t="str">
        <f aca="false">IF($M205="","",IF(INDEX('DỮ LIỆU'!$Q$3:$Q$1052,$M205)="","",INDEX('DỮ LIỆU'!$Q$3:$Q$1052,$M205)))</f>
        <v/>
      </c>
      <c r="L205" s="21" t="str">
        <f aca="false">IF($M205="","",IF(INDEX('DỮ LIỆU'!$R$3:$R$1052,$M205)="","",INDEX('DỮ LIỆU'!$R$3:$R$1052,$M205)))</f>
        <v/>
      </c>
      <c r="M205" s="0" t="str">
        <f aca="false">IFERROR(MATCH(200,'DỮ LIỆU'!$V$3:$V$1052,0),"")</f>
        <v/>
      </c>
    </row>
    <row r="206" customFormat="false" ht="15" hidden="false" customHeight="false" outlineLevel="0" collapsed="false">
      <c r="A206" s="21" t="str">
        <f aca="false">IF($M206="","",201)</f>
        <v/>
      </c>
      <c r="B206" s="13" t="str">
        <f aca="false">IF($M206="","",INDEX('DỮ LIỆU'!$A$3:$A$1052,$M206))</f>
        <v/>
      </c>
      <c r="C206" s="41" t="str">
        <f aca="false">IF($M206="","",IF(INDEX('DỮ LIỆU'!$B$3:$B$1052,$M206)="","",INDEX('DỮ LIỆU'!$B$3:$B$1052,$M206)))</f>
        <v/>
      </c>
      <c r="D206" s="21" t="str">
        <f aca="false">IF($M206="","",IF(INDEX('DỮ LIỆU'!$C$3:$C$1052,$M206)="","",INDEX('DỮ LIỆU'!$C$3:$C$1052,$M206)))</f>
        <v/>
      </c>
      <c r="E206" s="21" t="str">
        <f aca="false">IF($M206="","",IF(INDEX('DỮ LIỆU'!$D$3:$D$1052,$M206)="","",INDEX('DỮ LIỆU'!$D$3:$D$1052,$M206)))</f>
        <v/>
      </c>
      <c r="F206" s="21" t="str">
        <f aca="false">IF($M206="","",IF(INDEX('DỮ LIỆU'!$H$3:$H$1052,$M206)="","",INDEX('DỮ LIỆU'!$H$3:$H$1052,$M206)))</f>
        <v/>
      </c>
      <c r="G206" s="13" t="str">
        <f aca="false">IF($M206="","",N(INDEX('DỮ LIỆU'!$I$3:$I$1052,$M206)))</f>
        <v/>
      </c>
      <c r="H206" s="13" t="str">
        <f aca="false">IF($M206="","",N(INDEX('DỮ LIỆU'!$J$3:$J$1052,$M206)))</f>
        <v/>
      </c>
      <c r="I206" s="13" t="str">
        <f aca="false">IF($M206="","",N(INDEX('DỮ LIỆU'!$N$3:$N$1052,$M206)))</f>
        <v/>
      </c>
      <c r="J206" s="13" t="str">
        <f aca="false">IF($M206="","",N(INDEX('DỮ LIỆU'!$O$3:$O$1052,$M206)))</f>
        <v/>
      </c>
      <c r="K206" s="13" t="str">
        <f aca="false">IF($M206="","",IF(INDEX('DỮ LIỆU'!$Q$3:$Q$1052,$M206)="","",INDEX('DỮ LIỆU'!$Q$3:$Q$1052,$M206)))</f>
        <v/>
      </c>
      <c r="L206" s="21" t="str">
        <f aca="false">IF($M206="","",IF(INDEX('DỮ LIỆU'!$R$3:$R$1052,$M206)="","",INDEX('DỮ LIỆU'!$R$3:$R$1052,$M206)))</f>
        <v/>
      </c>
      <c r="M206" s="0" t="str">
        <f aca="false">IFERROR(MATCH(201,'DỮ LIỆU'!$V$3:$V$1052,0),"")</f>
        <v/>
      </c>
    </row>
    <row r="207" customFormat="false" ht="15" hidden="false" customHeight="false" outlineLevel="0" collapsed="false">
      <c r="A207" s="21" t="str">
        <f aca="false">IF($M207="","",202)</f>
        <v/>
      </c>
      <c r="B207" s="13" t="str">
        <f aca="false">IF($M207="","",INDEX('DỮ LIỆU'!$A$3:$A$1052,$M207))</f>
        <v/>
      </c>
      <c r="C207" s="41" t="str">
        <f aca="false">IF($M207="","",IF(INDEX('DỮ LIỆU'!$B$3:$B$1052,$M207)="","",INDEX('DỮ LIỆU'!$B$3:$B$1052,$M207)))</f>
        <v/>
      </c>
      <c r="D207" s="21" t="str">
        <f aca="false">IF($M207="","",IF(INDEX('DỮ LIỆU'!$C$3:$C$1052,$M207)="","",INDEX('DỮ LIỆU'!$C$3:$C$1052,$M207)))</f>
        <v/>
      </c>
      <c r="E207" s="21" t="str">
        <f aca="false">IF($M207="","",IF(INDEX('DỮ LIỆU'!$D$3:$D$1052,$M207)="","",INDEX('DỮ LIỆU'!$D$3:$D$1052,$M207)))</f>
        <v/>
      </c>
      <c r="F207" s="21" t="str">
        <f aca="false">IF($M207="","",IF(INDEX('DỮ LIỆU'!$H$3:$H$1052,$M207)="","",INDEX('DỮ LIỆU'!$H$3:$H$1052,$M207)))</f>
        <v/>
      </c>
      <c r="G207" s="13" t="str">
        <f aca="false">IF($M207="","",N(INDEX('DỮ LIỆU'!$I$3:$I$1052,$M207)))</f>
        <v/>
      </c>
      <c r="H207" s="13" t="str">
        <f aca="false">IF($M207="","",N(INDEX('DỮ LIỆU'!$J$3:$J$1052,$M207)))</f>
        <v/>
      </c>
      <c r="I207" s="13" t="str">
        <f aca="false">IF($M207="","",N(INDEX('DỮ LIỆU'!$N$3:$N$1052,$M207)))</f>
        <v/>
      </c>
      <c r="J207" s="13" t="str">
        <f aca="false">IF($M207="","",N(INDEX('DỮ LIỆU'!$O$3:$O$1052,$M207)))</f>
        <v/>
      </c>
      <c r="K207" s="13" t="str">
        <f aca="false">IF($M207="","",IF(INDEX('DỮ LIỆU'!$Q$3:$Q$1052,$M207)="","",INDEX('DỮ LIỆU'!$Q$3:$Q$1052,$M207)))</f>
        <v/>
      </c>
      <c r="L207" s="21" t="str">
        <f aca="false">IF($M207="","",IF(INDEX('DỮ LIỆU'!$R$3:$R$1052,$M207)="","",INDEX('DỮ LIỆU'!$R$3:$R$1052,$M207)))</f>
        <v/>
      </c>
      <c r="M207" s="0" t="str">
        <f aca="false">IFERROR(MATCH(202,'DỮ LIỆU'!$V$3:$V$1052,0),"")</f>
        <v/>
      </c>
    </row>
    <row r="208" customFormat="false" ht="15" hidden="false" customHeight="false" outlineLevel="0" collapsed="false">
      <c r="A208" s="21" t="str">
        <f aca="false">IF($M208="","",203)</f>
        <v/>
      </c>
      <c r="B208" s="13" t="str">
        <f aca="false">IF($M208="","",INDEX('DỮ LIỆU'!$A$3:$A$1052,$M208))</f>
        <v/>
      </c>
      <c r="C208" s="41" t="str">
        <f aca="false">IF($M208="","",IF(INDEX('DỮ LIỆU'!$B$3:$B$1052,$M208)="","",INDEX('DỮ LIỆU'!$B$3:$B$1052,$M208)))</f>
        <v/>
      </c>
      <c r="D208" s="21" t="str">
        <f aca="false">IF($M208="","",IF(INDEX('DỮ LIỆU'!$C$3:$C$1052,$M208)="","",INDEX('DỮ LIỆU'!$C$3:$C$1052,$M208)))</f>
        <v/>
      </c>
      <c r="E208" s="21" t="str">
        <f aca="false">IF($M208="","",IF(INDEX('DỮ LIỆU'!$D$3:$D$1052,$M208)="","",INDEX('DỮ LIỆU'!$D$3:$D$1052,$M208)))</f>
        <v/>
      </c>
      <c r="F208" s="21" t="str">
        <f aca="false">IF($M208="","",IF(INDEX('DỮ LIỆU'!$H$3:$H$1052,$M208)="","",INDEX('DỮ LIỆU'!$H$3:$H$1052,$M208)))</f>
        <v/>
      </c>
      <c r="G208" s="13" t="str">
        <f aca="false">IF($M208="","",N(INDEX('DỮ LIỆU'!$I$3:$I$1052,$M208)))</f>
        <v/>
      </c>
      <c r="H208" s="13" t="str">
        <f aca="false">IF($M208="","",N(INDEX('DỮ LIỆU'!$J$3:$J$1052,$M208)))</f>
        <v/>
      </c>
      <c r="I208" s="13" t="str">
        <f aca="false">IF($M208="","",N(INDEX('DỮ LIỆU'!$N$3:$N$1052,$M208)))</f>
        <v/>
      </c>
      <c r="J208" s="13" t="str">
        <f aca="false">IF($M208="","",N(INDEX('DỮ LIỆU'!$O$3:$O$1052,$M208)))</f>
        <v/>
      </c>
      <c r="K208" s="13" t="str">
        <f aca="false">IF($M208="","",IF(INDEX('DỮ LIỆU'!$Q$3:$Q$1052,$M208)="","",INDEX('DỮ LIỆU'!$Q$3:$Q$1052,$M208)))</f>
        <v/>
      </c>
      <c r="L208" s="21" t="str">
        <f aca="false">IF($M208="","",IF(INDEX('DỮ LIỆU'!$R$3:$R$1052,$M208)="","",INDEX('DỮ LIỆU'!$R$3:$R$1052,$M208)))</f>
        <v/>
      </c>
      <c r="M208" s="0" t="str">
        <f aca="false">IFERROR(MATCH(203,'DỮ LIỆU'!$V$3:$V$1052,0),"")</f>
        <v/>
      </c>
    </row>
    <row r="209" customFormat="false" ht="15" hidden="false" customHeight="false" outlineLevel="0" collapsed="false">
      <c r="A209" s="21" t="str">
        <f aca="false">IF($M209="","",204)</f>
        <v/>
      </c>
      <c r="B209" s="13" t="str">
        <f aca="false">IF($M209="","",INDEX('DỮ LIỆU'!$A$3:$A$1052,$M209))</f>
        <v/>
      </c>
      <c r="C209" s="41" t="str">
        <f aca="false">IF($M209="","",IF(INDEX('DỮ LIỆU'!$B$3:$B$1052,$M209)="","",INDEX('DỮ LIỆU'!$B$3:$B$1052,$M209)))</f>
        <v/>
      </c>
      <c r="D209" s="21" t="str">
        <f aca="false">IF($M209="","",IF(INDEX('DỮ LIỆU'!$C$3:$C$1052,$M209)="","",INDEX('DỮ LIỆU'!$C$3:$C$1052,$M209)))</f>
        <v/>
      </c>
      <c r="E209" s="21" t="str">
        <f aca="false">IF($M209="","",IF(INDEX('DỮ LIỆU'!$D$3:$D$1052,$M209)="","",INDEX('DỮ LIỆU'!$D$3:$D$1052,$M209)))</f>
        <v/>
      </c>
      <c r="F209" s="21" t="str">
        <f aca="false">IF($M209="","",IF(INDEX('DỮ LIỆU'!$H$3:$H$1052,$M209)="","",INDEX('DỮ LIỆU'!$H$3:$H$1052,$M209)))</f>
        <v/>
      </c>
      <c r="G209" s="13" t="str">
        <f aca="false">IF($M209="","",N(INDEX('DỮ LIỆU'!$I$3:$I$1052,$M209)))</f>
        <v/>
      </c>
      <c r="H209" s="13" t="str">
        <f aca="false">IF($M209="","",N(INDEX('DỮ LIỆU'!$J$3:$J$1052,$M209)))</f>
        <v/>
      </c>
      <c r="I209" s="13" t="str">
        <f aca="false">IF($M209="","",N(INDEX('DỮ LIỆU'!$N$3:$N$1052,$M209)))</f>
        <v/>
      </c>
      <c r="J209" s="13" t="str">
        <f aca="false">IF($M209="","",N(INDEX('DỮ LIỆU'!$O$3:$O$1052,$M209)))</f>
        <v/>
      </c>
      <c r="K209" s="13" t="str">
        <f aca="false">IF($M209="","",IF(INDEX('DỮ LIỆU'!$Q$3:$Q$1052,$M209)="","",INDEX('DỮ LIỆU'!$Q$3:$Q$1052,$M209)))</f>
        <v/>
      </c>
      <c r="L209" s="21" t="str">
        <f aca="false">IF($M209="","",IF(INDEX('DỮ LIỆU'!$R$3:$R$1052,$M209)="","",INDEX('DỮ LIỆU'!$R$3:$R$1052,$M209)))</f>
        <v/>
      </c>
      <c r="M209" s="0" t="str">
        <f aca="false">IFERROR(MATCH(204,'DỮ LIỆU'!$V$3:$V$1052,0),"")</f>
        <v/>
      </c>
    </row>
    <row r="210" customFormat="false" ht="15" hidden="false" customHeight="false" outlineLevel="0" collapsed="false">
      <c r="A210" s="21" t="str">
        <f aca="false">IF($M210="","",205)</f>
        <v/>
      </c>
      <c r="B210" s="13" t="str">
        <f aca="false">IF($M210="","",INDEX('DỮ LIỆU'!$A$3:$A$1052,$M210))</f>
        <v/>
      </c>
      <c r="C210" s="41" t="str">
        <f aca="false">IF($M210="","",IF(INDEX('DỮ LIỆU'!$B$3:$B$1052,$M210)="","",INDEX('DỮ LIỆU'!$B$3:$B$1052,$M210)))</f>
        <v/>
      </c>
      <c r="D210" s="21" t="str">
        <f aca="false">IF($M210="","",IF(INDEX('DỮ LIỆU'!$C$3:$C$1052,$M210)="","",INDEX('DỮ LIỆU'!$C$3:$C$1052,$M210)))</f>
        <v/>
      </c>
      <c r="E210" s="21" t="str">
        <f aca="false">IF($M210="","",IF(INDEX('DỮ LIỆU'!$D$3:$D$1052,$M210)="","",INDEX('DỮ LIỆU'!$D$3:$D$1052,$M210)))</f>
        <v/>
      </c>
      <c r="F210" s="21" t="str">
        <f aca="false">IF($M210="","",IF(INDEX('DỮ LIỆU'!$H$3:$H$1052,$M210)="","",INDEX('DỮ LIỆU'!$H$3:$H$1052,$M210)))</f>
        <v/>
      </c>
      <c r="G210" s="13" t="str">
        <f aca="false">IF($M210="","",N(INDEX('DỮ LIỆU'!$I$3:$I$1052,$M210)))</f>
        <v/>
      </c>
      <c r="H210" s="13" t="str">
        <f aca="false">IF($M210="","",N(INDEX('DỮ LIỆU'!$J$3:$J$1052,$M210)))</f>
        <v/>
      </c>
      <c r="I210" s="13" t="str">
        <f aca="false">IF($M210="","",N(INDEX('DỮ LIỆU'!$N$3:$N$1052,$M210)))</f>
        <v/>
      </c>
      <c r="J210" s="13" t="str">
        <f aca="false">IF($M210="","",N(INDEX('DỮ LIỆU'!$O$3:$O$1052,$M210)))</f>
        <v/>
      </c>
      <c r="K210" s="13" t="str">
        <f aca="false">IF($M210="","",IF(INDEX('DỮ LIỆU'!$Q$3:$Q$1052,$M210)="","",INDEX('DỮ LIỆU'!$Q$3:$Q$1052,$M210)))</f>
        <v/>
      </c>
      <c r="L210" s="21" t="str">
        <f aca="false">IF($M210="","",IF(INDEX('DỮ LIỆU'!$R$3:$R$1052,$M210)="","",INDEX('DỮ LIỆU'!$R$3:$R$1052,$M210)))</f>
        <v/>
      </c>
      <c r="M210" s="0" t="str">
        <f aca="false">IFERROR(MATCH(205,'DỮ LIỆU'!$V$3:$V$1052,0),"")</f>
        <v/>
      </c>
    </row>
    <row r="211" customFormat="false" ht="15" hidden="false" customHeight="false" outlineLevel="0" collapsed="false">
      <c r="A211" s="21" t="str">
        <f aca="false">IF($M211="","",206)</f>
        <v/>
      </c>
      <c r="B211" s="13" t="str">
        <f aca="false">IF($M211="","",INDEX('DỮ LIỆU'!$A$3:$A$1052,$M211))</f>
        <v/>
      </c>
      <c r="C211" s="41" t="str">
        <f aca="false">IF($M211="","",IF(INDEX('DỮ LIỆU'!$B$3:$B$1052,$M211)="","",INDEX('DỮ LIỆU'!$B$3:$B$1052,$M211)))</f>
        <v/>
      </c>
      <c r="D211" s="21" t="str">
        <f aca="false">IF($M211="","",IF(INDEX('DỮ LIỆU'!$C$3:$C$1052,$M211)="","",INDEX('DỮ LIỆU'!$C$3:$C$1052,$M211)))</f>
        <v/>
      </c>
      <c r="E211" s="21" t="str">
        <f aca="false">IF($M211="","",IF(INDEX('DỮ LIỆU'!$D$3:$D$1052,$M211)="","",INDEX('DỮ LIỆU'!$D$3:$D$1052,$M211)))</f>
        <v/>
      </c>
      <c r="F211" s="21" t="str">
        <f aca="false">IF($M211="","",IF(INDEX('DỮ LIỆU'!$H$3:$H$1052,$M211)="","",INDEX('DỮ LIỆU'!$H$3:$H$1052,$M211)))</f>
        <v/>
      </c>
      <c r="G211" s="13" t="str">
        <f aca="false">IF($M211="","",N(INDEX('DỮ LIỆU'!$I$3:$I$1052,$M211)))</f>
        <v/>
      </c>
      <c r="H211" s="13" t="str">
        <f aca="false">IF($M211="","",N(INDEX('DỮ LIỆU'!$J$3:$J$1052,$M211)))</f>
        <v/>
      </c>
      <c r="I211" s="13" t="str">
        <f aca="false">IF($M211="","",N(INDEX('DỮ LIỆU'!$N$3:$N$1052,$M211)))</f>
        <v/>
      </c>
      <c r="J211" s="13" t="str">
        <f aca="false">IF($M211="","",N(INDEX('DỮ LIỆU'!$O$3:$O$1052,$M211)))</f>
        <v/>
      </c>
      <c r="K211" s="13" t="str">
        <f aca="false">IF($M211="","",IF(INDEX('DỮ LIỆU'!$Q$3:$Q$1052,$M211)="","",INDEX('DỮ LIỆU'!$Q$3:$Q$1052,$M211)))</f>
        <v/>
      </c>
      <c r="L211" s="21" t="str">
        <f aca="false">IF($M211="","",IF(INDEX('DỮ LIỆU'!$R$3:$R$1052,$M211)="","",INDEX('DỮ LIỆU'!$R$3:$R$1052,$M211)))</f>
        <v/>
      </c>
      <c r="M211" s="0" t="str">
        <f aca="false">IFERROR(MATCH(206,'DỮ LIỆU'!$V$3:$V$1052,0),"")</f>
        <v/>
      </c>
    </row>
    <row r="212" customFormat="false" ht="15" hidden="false" customHeight="false" outlineLevel="0" collapsed="false">
      <c r="A212" s="21" t="str">
        <f aca="false">IF($M212="","",207)</f>
        <v/>
      </c>
      <c r="B212" s="13" t="str">
        <f aca="false">IF($M212="","",INDEX('DỮ LIỆU'!$A$3:$A$1052,$M212))</f>
        <v/>
      </c>
      <c r="C212" s="41" t="str">
        <f aca="false">IF($M212="","",IF(INDEX('DỮ LIỆU'!$B$3:$B$1052,$M212)="","",INDEX('DỮ LIỆU'!$B$3:$B$1052,$M212)))</f>
        <v/>
      </c>
      <c r="D212" s="21" t="str">
        <f aca="false">IF($M212="","",IF(INDEX('DỮ LIỆU'!$C$3:$C$1052,$M212)="","",INDEX('DỮ LIỆU'!$C$3:$C$1052,$M212)))</f>
        <v/>
      </c>
      <c r="E212" s="21" t="str">
        <f aca="false">IF($M212="","",IF(INDEX('DỮ LIỆU'!$D$3:$D$1052,$M212)="","",INDEX('DỮ LIỆU'!$D$3:$D$1052,$M212)))</f>
        <v/>
      </c>
      <c r="F212" s="21" t="str">
        <f aca="false">IF($M212="","",IF(INDEX('DỮ LIỆU'!$H$3:$H$1052,$M212)="","",INDEX('DỮ LIỆU'!$H$3:$H$1052,$M212)))</f>
        <v/>
      </c>
      <c r="G212" s="13" t="str">
        <f aca="false">IF($M212="","",N(INDEX('DỮ LIỆU'!$I$3:$I$1052,$M212)))</f>
        <v/>
      </c>
      <c r="H212" s="13" t="str">
        <f aca="false">IF($M212="","",N(INDEX('DỮ LIỆU'!$J$3:$J$1052,$M212)))</f>
        <v/>
      </c>
      <c r="I212" s="13" t="str">
        <f aca="false">IF($M212="","",N(INDEX('DỮ LIỆU'!$N$3:$N$1052,$M212)))</f>
        <v/>
      </c>
      <c r="J212" s="13" t="str">
        <f aca="false">IF($M212="","",N(INDEX('DỮ LIỆU'!$O$3:$O$1052,$M212)))</f>
        <v/>
      </c>
      <c r="K212" s="13" t="str">
        <f aca="false">IF($M212="","",IF(INDEX('DỮ LIỆU'!$Q$3:$Q$1052,$M212)="","",INDEX('DỮ LIỆU'!$Q$3:$Q$1052,$M212)))</f>
        <v/>
      </c>
      <c r="L212" s="21" t="str">
        <f aca="false">IF($M212="","",IF(INDEX('DỮ LIỆU'!$R$3:$R$1052,$M212)="","",INDEX('DỮ LIỆU'!$R$3:$R$1052,$M212)))</f>
        <v/>
      </c>
      <c r="M212" s="0" t="str">
        <f aca="false">IFERROR(MATCH(207,'DỮ LIỆU'!$V$3:$V$1052,0),"")</f>
        <v/>
      </c>
    </row>
    <row r="213" customFormat="false" ht="15" hidden="false" customHeight="false" outlineLevel="0" collapsed="false">
      <c r="A213" s="21" t="str">
        <f aca="false">IF($M213="","",208)</f>
        <v/>
      </c>
      <c r="B213" s="13" t="str">
        <f aca="false">IF($M213="","",INDEX('DỮ LIỆU'!$A$3:$A$1052,$M213))</f>
        <v/>
      </c>
      <c r="C213" s="41" t="str">
        <f aca="false">IF($M213="","",IF(INDEX('DỮ LIỆU'!$B$3:$B$1052,$M213)="","",INDEX('DỮ LIỆU'!$B$3:$B$1052,$M213)))</f>
        <v/>
      </c>
      <c r="D213" s="21" t="str">
        <f aca="false">IF($M213="","",IF(INDEX('DỮ LIỆU'!$C$3:$C$1052,$M213)="","",INDEX('DỮ LIỆU'!$C$3:$C$1052,$M213)))</f>
        <v/>
      </c>
      <c r="E213" s="21" t="str">
        <f aca="false">IF($M213="","",IF(INDEX('DỮ LIỆU'!$D$3:$D$1052,$M213)="","",INDEX('DỮ LIỆU'!$D$3:$D$1052,$M213)))</f>
        <v/>
      </c>
      <c r="F213" s="21" t="str">
        <f aca="false">IF($M213="","",IF(INDEX('DỮ LIỆU'!$H$3:$H$1052,$M213)="","",INDEX('DỮ LIỆU'!$H$3:$H$1052,$M213)))</f>
        <v/>
      </c>
      <c r="G213" s="13" t="str">
        <f aca="false">IF($M213="","",N(INDEX('DỮ LIỆU'!$I$3:$I$1052,$M213)))</f>
        <v/>
      </c>
      <c r="H213" s="13" t="str">
        <f aca="false">IF($M213="","",N(INDEX('DỮ LIỆU'!$J$3:$J$1052,$M213)))</f>
        <v/>
      </c>
      <c r="I213" s="13" t="str">
        <f aca="false">IF($M213="","",N(INDEX('DỮ LIỆU'!$N$3:$N$1052,$M213)))</f>
        <v/>
      </c>
      <c r="J213" s="13" t="str">
        <f aca="false">IF($M213="","",N(INDEX('DỮ LIỆU'!$O$3:$O$1052,$M213)))</f>
        <v/>
      </c>
      <c r="K213" s="13" t="str">
        <f aca="false">IF($M213="","",IF(INDEX('DỮ LIỆU'!$Q$3:$Q$1052,$M213)="","",INDEX('DỮ LIỆU'!$Q$3:$Q$1052,$M213)))</f>
        <v/>
      </c>
      <c r="L213" s="21" t="str">
        <f aca="false">IF($M213="","",IF(INDEX('DỮ LIỆU'!$R$3:$R$1052,$M213)="","",INDEX('DỮ LIỆU'!$R$3:$R$1052,$M213)))</f>
        <v/>
      </c>
      <c r="M213" s="0" t="str">
        <f aca="false">IFERROR(MATCH(208,'DỮ LIỆU'!$V$3:$V$1052,0),"")</f>
        <v/>
      </c>
    </row>
    <row r="214" customFormat="false" ht="15" hidden="false" customHeight="false" outlineLevel="0" collapsed="false">
      <c r="A214" s="21" t="str">
        <f aca="false">IF($M214="","",209)</f>
        <v/>
      </c>
      <c r="B214" s="13" t="str">
        <f aca="false">IF($M214="","",INDEX('DỮ LIỆU'!$A$3:$A$1052,$M214))</f>
        <v/>
      </c>
      <c r="C214" s="41" t="str">
        <f aca="false">IF($M214="","",IF(INDEX('DỮ LIỆU'!$B$3:$B$1052,$M214)="","",INDEX('DỮ LIỆU'!$B$3:$B$1052,$M214)))</f>
        <v/>
      </c>
      <c r="D214" s="21" t="str">
        <f aca="false">IF($M214="","",IF(INDEX('DỮ LIỆU'!$C$3:$C$1052,$M214)="","",INDEX('DỮ LIỆU'!$C$3:$C$1052,$M214)))</f>
        <v/>
      </c>
      <c r="E214" s="21" t="str">
        <f aca="false">IF($M214="","",IF(INDEX('DỮ LIỆU'!$D$3:$D$1052,$M214)="","",INDEX('DỮ LIỆU'!$D$3:$D$1052,$M214)))</f>
        <v/>
      </c>
      <c r="F214" s="21" t="str">
        <f aca="false">IF($M214="","",IF(INDEX('DỮ LIỆU'!$H$3:$H$1052,$M214)="","",INDEX('DỮ LIỆU'!$H$3:$H$1052,$M214)))</f>
        <v/>
      </c>
      <c r="G214" s="13" t="str">
        <f aca="false">IF($M214="","",N(INDEX('DỮ LIỆU'!$I$3:$I$1052,$M214)))</f>
        <v/>
      </c>
      <c r="H214" s="13" t="str">
        <f aca="false">IF($M214="","",N(INDEX('DỮ LIỆU'!$J$3:$J$1052,$M214)))</f>
        <v/>
      </c>
      <c r="I214" s="13" t="str">
        <f aca="false">IF($M214="","",N(INDEX('DỮ LIỆU'!$N$3:$N$1052,$M214)))</f>
        <v/>
      </c>
      <c r="J214" s="13" t="str">
        <f aca="false">IF($M214="","",N(INDEX('DỮ LIỆU'!$O$3:$O$1052,$M214)))</f>
        <v/>
      </c>
      <c r="K214" s="13" t="str">
        <f aca="false">IF($M214="","",IF(INDEX('DỮ LIỆU'!$Q$3:$Q$1052,$M214)="","",INDEX('DỮ LIỆU'!$Q$3:$Q$1052,$M214)))</f>
        <v/>
      </c>
      <c r="L214" s="21" t="str">
        <f aca="false">IF($M214="","",IF(INDEX('DỮ LIỆU'!$R$3:$R$1052,$M214)="","",INDEX('DỮ LIỆU'!$R$3:$R$1052,$M214)))</f>
        <v/>
      </c>
      <c r="M214" s="0" t="str">
        <f aca="false">IFERROR(MATCH(209,'DỮ LIỆU'!$V$3:$V$1052,0),"")</f>
        <v/>
      </c>
    </row>
    <row r="215" customFormat="false" ht="15" hidden="false" customHeight="false" outlineLevel="0" collapsed="false">
      <c r="A215" s="21" t="str">
        <f aca="false">IF($M215="","",210)</f>
        <v/>
      </c>
      <c r="B215" s="13" t="str">
        <f aca="false">IF($M215="","",INDEX('DỮ LIỆU'!$A$3:$A$1052,$M215))</f>
        <v/>
      </c>
      <c r="C215" s="41" t="str">
        <f aca="false">IF($M215="","",IF(INDEX('DỮ LIỆU'!$B$3:$B$1052,$M215)="","",INDEX('DỮ LIỆU'!$B$3:$B$1052,$M215)))</f>
        <v/>
      </c>
      <c r="D215" s="21" t="str">
        <f aca="false">IF($M215="","",IF(INDEX('DỮ LIỆU'!$C$3:$C$1052,$M215)="","",INDEX('DỮ LIỆU'!$C$3:$C$1052,$M215)))</f>
        <v/>
      </c>
      <c r="E215" s="21" t="str">
        <f aca="false">IF($M215="","",IF(INDEX('DỮ LIỆU'!$D$3:$D$1052,$M215)="","",INDEX('DỮ LIỆU'!$D$3:$D$1052,$M215)))</f>
        <v/>
      </c>
      <c r="F215" s="21" t="str">
        <f aca="false">IF($M215="","",IF(INDEX('DỮ LIỆU'!$H$3:$H$1052,$M215)="","",INDEX('DỮ LIỆU'!$H$3:$H$1052,$M215)))</f>
        <v/>
      </c>
      <c r="G215" s="13" t="str">
        <f aca="false">IF($M215="","",N(INDEX('DỮ LIỆU'!$I$3:$I$1052,$M215)))</f>
        <v/>
      </c>
      <c r="H215" s="13" t="str">
        <f aca="false">IF($M215="","",N(INDEX('DỮ LIỆU'!$J$3:$J$1052,$M215)))</f>
        <v/>
      </c>
      <c r="I215" s="13" t="str">
        <f aca="false">IF($M215="","",N(INDEX('DỮ LIỆU'!$N$3:$N$1052,$M215)))</f>
        <v/>
      </c>
      <c r="J215" s="13" t="str">
        <f aca="false">IF($M215="","",N(INDEX('DỮ LIỆU'!$O$3:$O$1052,$M215)))</f>
        <v/>
      </c>
      <c r="K215" s="13" t="str">
        <f aca="false">IF($M215="","",IF(INDEX('DỮ LIỆU'!$Q$3:$Q$1052,$M215)="","",INDEX('DỮ LIỆU'!$Q$3:$Q$1052,$M215)))</f>
        <v/>
      </c>
      <c r="L215" s="21" t="str">
        <f aca="false">IF($M215="","",IF(INDEX('DỮ LIỆU'!$R$3:$R$1052,$M215)="","",INDEX('DỮ LIỆU'!$R$3:$R$1052,$M215)))</f>
        <v/>
      </c>
      <c r="M215" s="0" t="str">
        <f aca="false">IFERROR(MATCH(210,'DỮ LIỆU'!$V$3:$V$1052,0),"")</f>
        <v/>
      </c>
    </row>
    <row r="216" customFormat="false" ht="15" hidden="false" customHeight="false" outlineLevel="0" collapsed="false">
      <c r="A216" s="21" t="str">
        <f aca="false">IF($M216="","",211)</f>
        <v/>
      </c>
      <c r="B216" s="13" t="str">
        <f aca="false">IF($M216="","",INDEX('DỮ LIỆU'!$A$3:$A$1052,$M216))</f>
        <v/>
      </c>
      <c r="C216" s="41" t="str">
        <f aca="false">IF($M216="","",IF(INDEX('DỮ LIỆU'!$B$3:$B$1052,$M216)="","",INDEX('DỮ LIỆU'!$B$3:$B$1052,$M216)))</f>
        <v/>
      </c>
      <c r="D216" s="21" t="str">
        <f aca="false">IF($M216="","",IF(INDEX('DỮ LIỆU'!$C$3:$C$1052,$M216)="","",INDEX('DỮ LIỆU'!$C$3:$C$1052,$M216)))</f>
        <v/>
      </c>
      <c r="E216" s="21" t="str">
        <f aca="false">IF($M216="","",IF(INDEX('DỮ LIỆU'!$D$3:$D$1052,$M216)="","",INDEX('DỮ LIỆU'!$D$3:$D$1052,$M216)))</f>
        <v/>
      </c>
      <c r="F216" s="21" t="str">
        <f aca="false">IF($M216="","",IF(INDEX('DỮ LIỆU'!$H$3:$H$1052,$M216)="","",INDEX('DỮ LIỆU'!$H$3:$H$1052,$M216)))</f>
        <v/>
      </c>
      <c r="G216" s="13" t="str">
        <f aca="false">IF($M216="","",N(INDEX('DỮ LIỆU'!$I$3:$I$1052,$M216)))</f>
        <v/>
      </c>
      <c r="H216" s="13" t="str">
        <f aca="false">IF($M216="","",N(INDEX('DỮ LIỆU'!$J$3:$J$1052,$M216)))</f>
        <v/>
      </c>
      <c r="I216" s="13" t="str">
        <f aca="false">IF($M216="","",N(INDEX('DỮ LIỆU'!$N$3:$N$1052,$M216)))</f>
        <v/>
      </c>
      <c r="J216" s="13" t="str">
        <f aca="false">IF($M216="","",N(INDEX('DỮ LIỆU'!$O$3:$O$1052,$M216)))</f>
        <v/>
      </c>
      <c r="K216" s="13" t="str">
        <f aca="false">IF($M216="","",IF(INDEX('DỮ LIỆU'!$Q$3:$Q$1052,$M216)="","",INDEX('DỮ LIỆU'!$Q$3:$Q$1052,$M216)))</f>
        <v/>
      </c>
      <c r="L216" s="21" t="str">
        <f aca="false">IF($M216="","",IF(INDEX('DỮ LIỆU'!$R$3:$R$1052,$M216)="","",INDEX('DỮ LIỆU'!$R$3:$R$1052,$M216)))</f>
        <v/>
      </c>
      <c r="M216" s="0" t="str">
        <f aca="false">IFERROR(MATCH(211,'DỮ LIỆU'!$V$3:$V$1052,0),"")</f>
        <v/>
      </c>
    </row>
    <row r="217" customFormat="false" ht="15" hidden="false" customHeight="false" outlineLevel="0" collapsed="false">
      <c r="A217" s="21" t="str">
        <f aca="false">IF($M217="","",212)</f>
        <v/>
      </c>
      <c r="B217" s="13" t="str">
        <f aca="false">IF($M217="","",INDEX('DỮ LIỆU'!$A$3:$A$1052,$M217))</f>
        <v/>
      </c>
      <c r="C217" s="41" t="str">
        <f aca="false">IF($M217="","",IF(INDEX('DỮ LIỆU'!$B$3:$B$1052,$M217)="","",INDEX('DỮ LIỆU'!$B$3:$B$1052,$M217)))</f>
        <v/>
      </c>
      <c r="D217" s="21" t="str">
        <f aca="false">IF($M217="","",IF(INDEX('DỮ LIỆU'!$C$3:$C$1052,$M217)="","",INDEX('DỮ LIỆU'!$C$3:$C$1052,$M217)))</f>
        <v/>
      </c>
      <c r="E217" s="21" t="str">
        <f aca="false">IF($M217="","",IF(INDEX('DỮ LIỆU'!$D$3:$D$1052,$M217)="","",INDEX('DỮ LIỆU'!$D$3:$D$1052,$M217)))</f>
        <v/>
      </c>
      <c r="F217" s="21" t="str">
        <f aca="false">IF($M217="","",IF(INDEX('DỮ LIỆU'!$H$3:$H$1052,$M217)="","",INDEX('DỮ LIỆU'!$H$3:$H$1052,$M217)))</f>
        <v/>
      </c>
      <c r="G217" s="13" t="str">
        <f aca="false">IF($M217="","",N(INDEX('DỮ LIỆU'!$I$3:$I$1052,$M217)))</f>
        <v/>
      </c>
      <c r="H217" s="13" t="str">
        <f aca="false">IF($M217="","",N(INDEX('DỮ LIỆU'!$J$3:$J$1052,$M217)))</f>
        <v/>
      </c>
      <c r="I217" s="13" t="str">
        <f aca="false">IF($M217="","",N(INDEX('DỮ LIỆU'!$N$3:$N$1052,$M217)))</f>
        <v/>
      </c>
      <c r="J217" s="13" t="str">
        <f aca="false">IF($M217="","",N(INDEX('DỮ LIỆU'!$O$3:$O$1052,$M217)))</f>
        <v/>
      </c>
      <c r="K217" s="13" t="str">
        <f aca="false">IF($M217="","",IF(INDEX('DỮ LIỆU'!$Q$3:$Q$1052,$M217)="","",INDEX('DỮ LIỆU'!$Q$3:$Q$1052,$M217)))</f>
        <v/>
      </c>
      <c r="L217" s="21" t="str">
        <f aca="false">IF($M217="","",IF(INDEX('DỮ LIỆU'!$R$3:$R$1052,$M217)="","",INDEX('DỮ LIỆU'!$R$3:$R$1052,$M217)))</f>
        <v/>
      </c>
      <c r="M217" s="0" t="str">
        <f aca="false">IFERROR(MATCH(212,'DỮ LIỆU'!$V$3:$V$1052,0),"")</f>
        <v/>
      </c>
    </row>
    <row r="218" customFormat="false" ht="15" hidden="false" customHeight="false" outlineLevel="0" collapsed="false">
      <c r="A218" s="21" t="str">
        <f aca="false">IF($M218="","",213)</f>
        <v/>
      </c>
      <c r="B218" s="13" t="str">
        <f aca="false">IF($M218="","",INDEX('DỮ LIỆU'!$A$3:$A$1052,$M218))</f>
        <v/>
      </c>
      <c r="C218" s="41" t="str">
        <f aca="false">IF($M218="","",IF(INDEX('DỮ LIỆU'!$B$3:$B$1052,$M218)="","",INDEX('DỮ LIỆU'!$B$3:$B$1052,$M218)))</f>
        <v/>
      </c>
      <c r="D218" s="21" t="str">
        <f aca="false">IF($M218="","",IF(INDEX('DỮ LIỆU'!$C$3:$C$1052,$M218)="","",INDEX('DỮ LIỆU'!$C$3:$C$1052,$M218)))</f>
        <v/>
      </c>
      <c r="E218" s="21" t="str">
        <f aca="false">IF($M218="","",IF(INDEX('DỮ LIỆU'!$D$3:$D$1052,$M218)="","",INDEX('DỮ LIỆU'!$D$3:$D$1052,$M218)))</f>
        <v/>
      </c>
      <c r="F218" s="21" t="str">
        <f aca="false">IF($M218="","",IF(INDEX('DỮ LIỆU'!$H$3:$H$1052,$M218)="","",INDEX('DỮ LIỆU'!$H$3:$H$1052,$M218)))</f>
        <v/>
      </c>
      <c r="G218" s="13" t="str">
        <f aca="false">IF($M218="","",N(INDEX('DỮ LIỆU'!$I$3:$I$1052,$M218)))</f>
        <v/>
      </c>
      <c r="H218" s="13" t="str">
        <f aca="false">IF($M218="","",N(INDEX('DỮ LIỆU'!$J$3:$J$1052,$M218)))</f>
        <v/>
      </c>
      <c r="I218" s="13" t="str">
        <f aca="false">IF($M218="","",N(INDEX('DỮ LIỆU'!$N$3:$N$1052,$M218)))</f>
        <v/>
      </c>
      <c r="J218" s="13" t="str">
        <f aca="false">IF($M218="","",N(INDEX('DỮ LIỆU'!$O$3:$O$1052,$M218)))</f>
        <v/>
      </c>
      <c r="K218" s="13" t="str">
        <f aca="false">IF($M218="","",IF(INDEX('DỮ LIỆU'!$Q$3:$Q$1052,$M218)="","",INDEX('DỮ LIỆU'!$Q$3:$Q$1052,$M218)))</f>
        <v/>
      </c>
      <c r="L218" s="21" t="str">
        <f aca="false">IF($M218="","",IF(INDEX('DỮ LIỆU'!$R$3:$R$1052,$M218)="","",INDEX('DỮ LIỆU'!$R$3:$R$1052,$M218)))</f>
        <v/>
      </c>
      <c r="M218" s="0" t="str">
        <f aca="false">IFERROR(MATCH(213,'DỮ LIỆU'!$V$3:$V$1052,0),"")</f>
        <v/>
      </c>
    </row>
    <row r="219" customFormat="false" ht="15" hidden="false" customHeight="false" outlineLevel="0" collapsed="false">
      <c r="A219" s="21" t="str">
        <f aca="false">IF($M219="","",214)</f>
        <v/>
      </c>
      <c r="B219" s="13" t="str">
        <f aca="false">IF($M219="","",INDEX('DỮ LIỆU'!$A$3:$A$1052,$M219))</f>
        <v/>
      </c>
      <c r="C219" s="41" t="str">
        <f aca="false">IF($M219="","",IF(INDEX('DỮ LIỆU'!$B$3:$B$1052,$M219)="","",INDEX('DỮ LIỆU'!$B$3:$B$1052,$M219)))</f>
        <v/>
      </c>
      <c r="D219" s="21" t="str">
        <f aca="false">IF($M219="","",IF(INDEX('DỮ LIỆU'!$C$3:$C$1052,$M219)="","",INDEX('DỮ LIỆU'!$C$3:$C$1052,$M219)))</f>
        <v/>
      </c>
      <c r="E219" s="21" t="str">
        <f aca="false">IF($M219="","",IF(INDEX('DỮ LIỆU'!$D$3:$D$1052,$M219)="","",INDEX('DỮ LIỆU'!$D$3:$D$1052,$M219)))</f>
        <v/>
      </c>
      <c r="F219" s="21" t="str">
        <f aca="false">IF($M219="","",IF(INDEX('DỮ LIỆU'!$H$3:$H$1052,$M219)="","",INDEX('DỮ LIỆU'!$H$3:$H$1052,$M219)))</f>
        <v/>
      </c>
      <c r="G219" s="13" t="str">
        <f aca="false">IF($M219="","",N(INDEX('DỮ LIỆU'!$I$3:$I$1052,$M219)))</f>
        <v/>
      </c>
      <c r="H219" s="13" t="str">
        <f aca="false">IF($M219="","",N(INDEX('DỮ LIỆU'!$J$3:$J$1052,$M219)))</f>
        <v/>
      </c>
      <c r="I219" s="13" t="str">
        <f aca="false">IF($M219="","",N(INDEX('DỮ LIỆU'!$N$3:$N$1052,$M219)))</f>
        <v/>
      </c>
      <c r="J219" s="13" t="str">
        <f aca="false">IF($M219="","",N(INDEX('DỮ LIỆU'!$O$3:$O$1052,$M219)))</f>
        <v/>
      </c>
      <c r="K219" s="13" t="str">
        <f aca="false">IF($M219="","",IF(INDEX('DỮ LIỆU'!$Q$3:$Q$1052,$M219)="","",INDEX('DỮ LIỆU'!$Q$3:$Q$1052,$M219)))</f>
        <v/>
      </c>
      <c r="L219" s="21" t="str">
        <f aca="false">IF($M219="","",IF(INDEX('DỮ LIỆU'!$R$3:$R$1052,$M219)="","",INDEX('DỮ LIỆU'!$R$3:$R$1052,$M219)))</f>
        <v/>
      </c>
      <c r="M219" s="0" t="str">
        <f aca="false">IFERROR(MATCH(214,'DỮ LIỆU'!$V$3:$V$1052,0),"")</f>
        <v/>
      </c>
    </row>
    <row r="220" customFormat="false" ht="15" hidden="false" customHeight="false" outlineLevel="0" collapsed="false">
      <c r="A220" s="21" t="str">
        <f aca="false">IF($M220="","",215)</f>
        <v/>
      </c>
      <c r="B220" s="13" t="str">
        <f aca="false">IF($M220="","",INDEX('DỮ LIỆU'!$A$3:$A$1052,$M220))</f>
        <v/>
      </c>
      <c r="C220" s="41" t="str">
        <f aca="false">IF($M220="","",IF(INDEX('DỮ LIỆU'!$B$3:$B$1052,$M220)="","",INDEX('DỮ LIỆU'!$B$3:$B$1052,$M220)))</f>
        <v/>
      </c>
      <c r="D220" s="21" t="str">
        <f aca="false">IF($M220="","",IF(INDEX('DỮ LIỆU'!$C$3:$C$1052,$M220)="","",INDEX('DỮ LIỆU'!$C$3:$C$1052,$M220)))</f>
        <v/>
      </c>
      <c r="E220" s="21" t="str">
        <f aca="false">IF($M220="","",IF(INDEX('DỮ LIỆU'!$D$3:$D$1052,$M220)="","",INDEX('DỮ LIỆU'!$D$3:$D$1052,$M220)))</f>
        <v/>
      </c>
      <c r="F220" s="21" t="str">
        <f aca="false">IF($M220="","",IF(INDEX('DỮ LIỆU'!$H$3:$H$1052,$M220)="","",INDEX('DỮ LIỆU'!$H$3:$H$1052,$M220)))</f>
        <v/>
      </c>
      <c r="G220" s="13" t="str">
        <f aca="false">IF($M220="","",N(INDEX('DỮ LIỆU'!$I$3:$I$1052,$M220)))</f>
        <v/>
      </c>
      <c r="H220" s="13" t="str">
        <f aca="false">IF($M220="","",N(INDEX('DỮ LIỆU'!$J$3:$J$1052,$M220)))</f>
        <v/>
      </c>
      <c r="I220" s="13" t="str">
        <f aca="false">IF($M220="","",N(INDEX('DỮ LIỆU'!$N$3:$N$1052,$M220)))</f>
        <v/>
      </c>
      <c r="J220" s="13" t="str">
        <f aca="false">IF($M220="","",N(INDEX('DỮ LIỆU'!$O$3:$O$1052,$M220)))</f>
        <v/>
      </c>
      <c r="K220" s="13" t="str">
        <f aca="false">IF($M220="","",IF(INDEX('DỮ LIỆU'!$Q$3:$Q$1052,$M220)="","",INDEX('DỮ LIỆU'!$Q$3:$Q$1052,$M220)))</f>
        <v/>
      </c>
      <c r="L220" s="21" t="str">
        <f aca="false">IF($M220="","",IF(INDEX('DỮ LIỆU'!$R$3:$R$1052,$M220)="","",INDEX('DỮ LIỆU'!$R$3:$R$1052,$M220)))</f>
        <v/>
      </c>
      <c r="M220" s="0" t="str">
        <f aca="false">IFERROR(MATCH(215,'DỮ LIỆU'!$V$3:$V$1052,0),"")</f>
        <v/>
      </c>
    </row>
    <row r="221" customFormat="false" ht="15" hidden="false" customHeight="false" outlineLevel="0" collapsed="false">
      <c r="A221" s="21" t="str">
        <f aca="false">IF($M221="","",216)</f>
        <v/>
      </c>
      <c r="B221" s="13" t="str">
        <f aca="false">IF($M221="","",INDEX('DỮ LIỆU'!$A$3:$A$1052,$M221))</f>
        <v/>
      </c>
      <c r="C221" s="41" t="str">
        <f aca="false">IF($M221="","",IF(INDEX('DỮ LIỆU'!$B$3:$B$1052,$M221)="","",INDEX('DỮ LIỆU'!$B$3:$B$1052,$M221)))</f>
        <v/>
      </c>
      <c r="D221" s="21" t="str">
        <f aca="false">IF($M221="","",IF(INDEX('DỮ LIỆU'!$C$3:$C$1052,$M221)="","",INDEX('DỮ LIỆU'!$C$3:$C$1052,$M221)))</f>
        <v/>
      </c>
      <c r="E221" s="21" t="str">
        <f aca="false">IF($M221="","",IF(INDEX('DỮ LIỆU'!$D$3:$D$1052,$M221)="","",INDEX('DỮ LIỆU'!$D$3:$D$1052,$M221)))</f>
        <v/>
      </c>
      <c r="F221" s="21" t="str">
        <f aca="false">IF($M221="","",IF(INDEX('DỮ LIỆU'!$H$3:$H$1052,$M221)="","",INDEX('DỮ LIỆU'!$H$3:$H$1052,$M221)))</f>
        <v/>
      </c>
      <c r="G221" s="13" t="str">
        <f aca="false">IF($M221="","",N(INDEX('DỮ LIỆU'!$I$3:$I$1052,$M221)))</f>
        <v/>
      </c>
      <c r="H221" s="13" t="str">
        <f aca="false">IF($M221="","",N(INDEX('DỮ LIỆU'!$J$3:$J$1052,$M221)))</f>
        <v/>
      </c>
      <c r="I221" s="13" t="str">
        <f aca="false">IF($M221="","",N(INDEX('DỮ LIỆU'!$N$3:$N$1052,$M221)))</f>
        <v/>
      </c>
      <c r="J221" s="13" t="str">
        <f aca="false">IF($M221="","",N(INDEX('DỮ LIỆU'!$O$3:$O$1052,$M221)))</f>
        <v/>
      </c>
      <c r="K221" s="13" t="str">
        <f aca="false">IF($M221="","",IF(INDEX('DỮ LIỆU'!$Q$3:$Q$1052,$M221)="","",INDEX('DỮ LIỆU'!$Q$3:$Q$1052,$M221)))</f>
        <v/>
      </c>
      <c r="L221" s="21" t="str">
        <f aca="false">IF($M221="","",IF(INDEX('DỮ LIỆU'!$R$3:$R$1052,$M221)="","",INDEX('DỮ LIỆU'!$R$3:$R$1052,$M221)))</f>
        <v/>
      </c>
      <c r="M221" s="0" t="str">
        <f aca="false">IFERROR(MATCH(216,'DỮ LIỆU'!$V$3:$V$1052,0),"")</f>
        <v/>
      </c>
    </row>
    <row r="222" customFormat="false" ht="15" hidden="false" customHeight="false" outlineLevel="0" collapsed="false">
      <c r="A222" s="21" t="str">
        <f aca="false">IF($M222="","",217)</f>
        <v/>
      </c>
      <c r="B222" s="13" t="str">
        <f aca="false">IF($M222="","",INDEX('DỮ LIỆU'!$A$3:$A$1052,$M222))</f>
        <v/>
      </c>
      <c r="C222" s="41" t="str">
        <f aca="false">IF($M222="","",IF(INDEX('DỮ LIỆU'!$B$3:$B$1052,$M222)="","",INDEX('DỮ LIỆU'!$B$3:$B$1052,$M222)))</f>
        <v/>
      </c>
      <c r="D222" s="21" t="str">
        <f aca="false">IF($M222="","",IF(INDEX('DỮ LIỆU'!$C$3:$C$1052,$M222)="","",INDEX('DỮ LIỆU'!$C$3:$C$1052,$M222)))</f>
        <v/>
      </c>
      <c r="E222" s="21" t="str">
        <f aca="false">IF($M222="","",IF(INDEX('DỮ LIỆU'!$D$3:$D$1052,$M222)="","",INDEX('DỮ LIỆU'!$D$3:$D$1052,$M222)))</f>
        <v/>
      </c>
      <c r="F222" s="21" t="str">
        <f aca="false">IF($M222="","",IF(INDEX('DỮ LIỆU'!$H$3:$H$1052,$M222)="","",INDEX('DỮ LIỆU'!$H$3:$H$1052,$M222)))</f>
        <v/>
      </c>
      <c r="G222" s="13" t="str">
        <f aca="false">IF($M222="","",N(INDEX('DỮ LIỆU'!$I$3:$I$1052,$M222)))</f>
        <v/>
      </c>
      <c r="H222" s="13" t="str">
        <f aca="false">IF($M222="","",N(INDEX('DỮ LIỆU'!$J$3:$J$1052,$M222)))</f>
        <v/>
      </c>
      <c r="I222" s="13" t="str">
        <f aca="false">IF($M222="","",N(INDEX('DỮ LIỆU'!$N$3:$N$1052,$M222)))</f>
        <v/>
      </c>
      <c r="J222" s="13" t="str">
        <f aca="false">IF($M222="","",N(INDEX('DỮ LIỆU'!$O$3:$O$1052,$M222)))</f>
        <v/>
      </c>
      <c r="K222" s="13" t="str">
        <f aca="false">IF($M222="","",IF(INDEX('DỮ LIỆU'!$Q$3:$Q$1052,$M222)="","",INDEX('DỮ LIỆU'!$Q$3:$Q$1052,$M222)))</f>
        <v/>
      </c>
      <c r="L222" s="21" t="str">
        <f aca="false">IF($M222="","",IF(INDEX('DỮ LIỆU'!$R$3:$R$1052,$M222)="","",INDEX('DỮ LIỆU'!$R$3:$R$1052,$M222)))</f>
        <v/>
      </c>
      <c r="M222" s="0" t="str">
        <f aca="false">IFERROR(MATCH(217,'DỮ LIỆU'!$V$3:$V$1052,0),"")</f>
        <v/>
      </c>
    </row>
    <row r="223" customFormat="false" ht="15" hidden="false" customHeight="false" outlineLevel="0" collapsed="false">
      <c r="A223" s="21" t="str">
        <f aca="false">IF($M223="","",218)</f>
        <v/>
      </c>
      <c r="B223" s="13" t="str">
        <f aca="false">IF($M223="","",INDEX('DỮ LIỆU'!$A$3:$A$1052,$M223))</f>
        <v/>
      </c>
      <c r="C223" s="41" t="str">
        <f aca="false">IF($M223="","",IF(INDEX('DỮ LIỆU'!$B$3:$B$1052,$M223)="","",INDEX('DỮ LIỆU'!$B$3:$B$1052,$M223)))</f>
        <v/>
      </c>
      <c r="D223" s="21" t="str">
        <f aca="false">IF($M223="","",IF(INDEX('DỮ LIỆU'!$C$3:$C$1052,$M223)="","",INDEX('DỮ LIỆU'!$C$3:$C$1052,$M223)))</f>
        <v/>
      </c>
      <c r="E223" s="21" t="str">
        <f aca="false">IF($M223="","",IF(INDEX('DỮ LIỆU'!$D$3:$D$1052,$M223)="","",INDEX('DỮ LIỆU'!$D$3:$D$1052,$M223)))</f>
        <v/>
      </c>
      <c r="F223" s="21" t="str">
        <f aca="false">IF($M223="","",IF(INDEX('DỮ LIỆU'!$H$3:$H$1052,$M223)="","",INDEX('DỮ LIỆU'!$H$3:$H$1052,$M223)))</f>
        <v/>
      </c>
      <c r="G223" s="13" t="str">
        <f aca="false">IF($M223="","",N(INDEX('DỮ LIỆU'!$I$3:$I$1052,$M223)))</f>
        <v/>
      </c>
      <c r="H223" s="13" t="str">
        <f aca="false">IF($M223="","",N(INDEX('DỮ LIỆU'!$J$3:$J$1052,$M223)))</f>
        <v/>
      </c>
      <c r="I223" s="13" t="str">
        <f aca="false">IF($M223="","",N(INDEX('DỮ LIỆU'!$N$3:$N$1052,$M223)))</f>
        <v/>
      </c>
      <c r="J223" s="13" t="str">
        <f aca="false">IF($M223="","",N(INDEX('DỮ LIỆU'!$O$3:$O$1052,$M223)))</f>
        <v/>
      </c>
      <c r="K223" s="13" t="str">
        <f aca="false">IF($M223="","",IF(INDEX('DỮ LIỆU'!$Q$3:$Q$1052,$M223)="","",INDEX('DỮ LIỆU'!$Q$3:$Q$1052,$M223)))</f>
        <v/>
      </c>
      <c r="L223" s="21" t="str">
        <f aca="false">IF($M223="","",IF(INDEX('DỮ LIỆU'!$R$3:$R$1052,$M223)="","",INDEX('DỮ LIỆU'!$R$3:$R$1052,$M223)))</f>
        <v/>
      </c>
      <c r="M223" s="0" t="str">
        <f aca="false">IFERROR(MATCH(218,'DỮ LIỆU'!$V$3:$V$1052,0),"")</f>
        <v/>
      </c>
    </row>
    <row r="224" customFormat="false" ht="15" hidden="false" customHeight="false" outlineLevel="0" collapsed="false">
      <c r="A224" s="21" t="str">
        <f aca="false">IF($M224="","",219)</f>
        <v/>
      </c>
      <c r="B224" s="13" t="str">
        <f aca="false">IF($M224="","",INDEX('DỮ LIỆU'!$A$3:$A$1052,$M224))</f>
        <v/>
      </c>
      <c r="C224" s="41" t="str">
        <f aca="false">IF($M224="","",IF(INDEX('DỮ LIỆU'!$B$3:$B$1052,$M224)="","",INDEX('DỮ LIỆU'!$B$3:$B$1052,$M224)))</f>
        <v/>
      </c>
      <c r="D224" s="21" t="str">
        <f aca="false">IF($M224="","",IF(INDEX('DỮ LIỆU'!$C$3:$C$1052,$M224)="","",INDEX('DỮ LIỆU'!$C$3:$C$1052,$M224)))</f>
        <v/>
      </c>
      <c r="E224" s="21" t="str">
        <f aca="false">IF($M224="","",IF(INDEX('DỮ LIỆU'!$D$3:$D$1052,$M224)="","",INDEX('DỮ LIỆU'!$D$3:$D$1052,$M224)))</f>
        <v/>
      </c>
      <c r="F224" s="21" t="str">
        <f aca="false">IF($M224="","",IF(INDEX('DỮ LIỆU'!$H$3:$H$1052,$M224)="","",INDEX('DỮ LIỆU'!$H$3:$H$1052,$M224)))</f>
        <v/>
      </c>
      <c r="G224" s="13" t="str">
        <f aca="false">IF($M224="","",N(INDEX('DỮ LIỆU'!$I$3:$I$1052,$M224)))</f>
        <v/>
      </c>
      <c r="H224" s="13" t="str">
        <f aca="false">IF($M224="","",N(INDEX('DỮ LIỆU'!$J$3:$J$1052,$M224)))</f>
        <v/>
      </c>
      <c r="I224" s="13" t="str">
        <f aca="false">IF($M224="","",N(INDEX('DỮ LIỆU'!$N$3:$N$1052,$M224)))</f>
        <v/>
      </c>
      <c r="J224" s="13" t="str">
        <f aca="false">IF($M224="","",N(INDEX('DỮ LIỆU'!$O$3:$O$1052,$M224)))</f>
        <v/>
      </c>
      <c r="K224" s="13" t="str">
        <f aca="false">IF($M224="","",IF(INDEX('DỮ LIỆU'!$Q$3:$Q$1052,$M224)="","",INDEX('DỮ LIỆU'!$Q$3:$Q$1052,$M224)))</f>
        <v/>
      </c>
      <c r="L224" s="21" t="str">
        <f aca="false">IF($M224="","",IF(INDEX('DỮ LIỆU'!$R$3:$R$1052,$M224)="","",INDEX('DỮ LIỆU'!$R$3:$R$1052,$M224)))</f>
        <v/>
      </c>
      <c r="M224" s="0" t="str">
        <f aca="false">IFERROR(MATCH(219,'DỮ LIỆU'!$V$3:$V$1052,0),"")</f>
        <v/>
      </c>
    </row>
    <row r="225" customFormat="false" ht="15" hidden="false" customHeight="false" outlineLevel="0" collapsed="false">
      <c r="A225" s="21" t="str">
        <f aca="false">IF($M225="","",220)</f>
        <v/>
      </c>
      <c r="B225" s="13" t="str">
        <f aca="false">IF($M225="","",INDEX('DỮ LIỆU'!$A$3:$A$1052,$M225))</f>
        <v/>
      </c>
      <c r="C225" s="41" t="str">
        <f aca="false">IF($M225="","",IF(INDEX('DỮ LIỆU'!$B$3:$B$1052,$M225)="","",INDEX('DỮ LIỆU'!$B$3:$B$1052,$M225)))</f>
        <v/>
      </c>
      <c r="D225" s="21" t="str">
        <f aca="false">IF($M225="","",IF(INDEX('DỮ LIỆU'!$C$3:$C$1052,$M225)="","",INDEX('DỮ LIỆU'!$C$3:$C$1052,$M225)))</f>
        <v/>
      </c>
      <c r="E225" s="21" t="str">
        <f aca="false">IF($M225="","",IF(INDEX('DỮ LIỆU'!$D$3:$D$1052,$M225)="","",INDEX('DỮ LIỆU'!$D$3:$D$1052,$M225)))</f>
        <v/>
      </c>
      <c r="F225" s="21" t="str">
        <f aca="false">IF($M225="","",IF(INDEX('DỮ LIỆU'!$H$3:$H$1052,$M225)="","",INDEX('DỮ LIỆU'!$H$3:$H$1052,$M225)))</f>
        <v/>
      </c>
      <c r="G225" s="13" t="str">
        <f aca="false">IF($M225="","",N(INDEX('DỮ LIỆU'!$I$3:$I$1052,$M225)))</f>
        <v/>
      </c>
      <c r="H225" s="13" t="str">
        <f aca="false">IF($M225="","",N(INDEX('DỮ LIỆU'!$J$3:$J$1052,$M225)))</f>
        <v/>
      </c>
      <c r="I225" s="13" t="str">
        <f aca="false">IF($M225="","",N(INDEX('DỮ LIỆU'!$N$3:$N$1052,$M225)))</f>
        <v/>
      </c>
      <c r="J225" s="13" t="str">
        <f aca="false">IF($M225="","",N(INDEX('DỮ LIỆU'!$O$3:$O$1052,$M225)))</f>
        <v/>
      </c>
      <c r="K225" s="13" t="str">
        <f aca="false">IF($M225="","",IF(INDEX('DỮ LIỆU'!$Q$3:$Q$1052,$M225)="","",INDEX('DỮ LIỆU'!$Q$3:$Q$1052,$M225)))</f>
        <v/>
      </c>
      <c r="L225" s="21" t="str">
        <f aca="false">IF($M225="","",IF(INDEX('DỮ LIỆU'!$R$3:$R$1052,$M225)="","",INDEX('DỮ LIỆU'!$R$3:$R$1052,$M225)))</f>
        <v/>
      </c>
      <c r="M225" s="0" t="str">
        <f aca="false">IFERROR(MATCH(220,'DỮ LIỆU'!$V$3:$V$1052,0),"")</f>
        <v/>
      </c>
    </row>
    <row r="226" customFormat="false" ht="15" hidden="false" customHeight="false" outlineLevel="0" collapsed="false">
      <c r="A226" s="21" t="str">
        <f aca="false">IF($M226="","",221)</f>
        <v/>
      </c>
      <c r="B226" s="13" t="str">
        <f aca="false">IF($M226="","",INDEX('DỮ LIỆU'!$A$3:$A$1052,$M226))</f>
        <v/>
      </c>
      <c r="C226" s="41" t="str">
        <f aca="false">IF($M226="","",IF(INDEX('DỮ LIỆU'!$B$3:$B$1052,$M226)="","",INDEX('DỮ LIỆU'!$B$3:$B$1052,$M226)))</f>
        <v/>
      </c>
      <c r="D226" s="21" t="str">
        <f aca="false">IF($M226="","",IF(INDEX('DỮ LIỆU'!$C$3:$C$1052,$M226)="","",INDEX('DỮ LIỆU'!$C$3:$C$1052,$M226)))</f>
        <v/>
      </c>
      <c r="E226" s="21" t="str">
        <f aca="false">IF($M226="","",IF(INDEX('DỮ LIỆU'!$D$3:$D$1052,$M226)="","",INDEX('DỮ LIỆU'!$D$3:$D$1052,$M226)))</f>
        <v/>
      </c>
      <c r="F226" s="21" t="str">
        <f aca="false">IF($M226="","",IF(INDEX('DỮ LIỆU'!$H$3:$H$1052,$M226)="","",INDEX('DỮ LIỆU'!$H$3:$H$1052,$M226)))</f>
        <v/>
      </c>
      <c r="G226" s="13" t="str">
        <f aca="false">IF($M226="","",N(INDEX('DỮ LIỆU'!$I$3:$I$1052,$M226)))</f>
        <v/>
      </c>
      <c r="H226" s="13" t="str">
        <f aca="false">IF($M226="","",N(INDEX('DỮ LIỆU'!$J$3:$J$1052,$M226)))</f>
        <v/>
      </c>
      <c r="I226" s="13" t="str">
        <f aca="false">IF($M226="","",N(INDEX('DỮ LIỆU'!$N$3:$N$1052,$M226)))</f>
        <v/>
      </c>
      <c r="J226" s="13" t="str">
        <f aca="false">IF($M226="","",N(INDEX('DỮ LIỆU'!$O$3:$O$1052,$M226)))</f>
        <v/>
      </c>
      <c r="K226" s="13" t="str">
        <f aca="false">IF($M226="","",IF(INDEX('DỮ LIỆU'!$Q$3:$Q$1052,$M226)="","",INDEX('DỮ LIỆU'!$Q$3:$Q$1052,$M226)))</f>
        <v/>
      </c>
      <c r="L226" s="21" t="str">
        <f aca="false">IF($M226="","",IF(INDEX('DỮ LIỆU'!$R$3:$R$1052,$M226)="","",INDEX('DỮ LIỆU'!$R$3:$R$1052,$M226)))</f>
        <v/>
      </c>
      <c r="M226" s="0" t="str">
        <f aca="false">IFERROR(MATCH(221,'DỮ LIỆU'!$V$3:$V$1052,0),"")</f>
        <v/>
      </c>
    </row>
    <row r="227" customFormat="false" ht="15" hidden="false" customHeight="false" outlineLevel="0" collapsed="false">
      <c r="A227" s="21" t="str">
        <f aca="false">IF($M227="","",222)</f>
        <v/>
      </c>
      <c r="B227" s="13" t="str">
        <f aca="false">IF($M227="","",INDEX('DỮ LIỆU'!$A$3:$A$1052,$M227))</f>
        <v/>
      </c>
      <c r="C227" s="41" t="str">
        <f aca="false">IF($M227="","",IF(INDEX('DỮ LIỆU'!$B$3:$B$1052,$M227)="","",INDEX('DỮ LIỆU'!$B$3:$B$1052,$M227)))</f>
        <v/>
      </c>
      <c r="D227" s="21" t="str">
        <f aca="false">IF($M227="","",IF(INDEX('DỮ LIỆU'!$C$3:$C$1052,$M227)="","",INDEX('DỮ LIỆU'!$C$3:$C$1052,$M227)))</f>
        <v/>
      </c>
      <c r="E227" s="21" t="str">
        <f aca="false">IF($M227="","",IF(INDEX('DỮ LIỆU'!$D$3:$D$1052,$M227)="","",INDEX('DỮ LIỆU'!$D$3:$D$1052,$M227)))</f>
        <v/>
      </c>
      <c r="F227" s="21" t="str">
        <f aca="false">IF($M227="","",IF(INDEX('DỮ LIỆU'!$H$3:$H$1052,$M227)="","",INDEX('DỮ LIỆU'!$H$3:$H$1052,$M227)))</f>
        <v/>
      </c>
      <c r="G227" s="13" t="str">
        <f aca="false">IF($M227="","",N(INDEX('DỮ LIỆU'!$I$3:$I$1052,$M227)))</f>
        <v/>
      </c>
      <c r="H227" s="13" t="str">
        <f aca="false">IF($M227="","",N(INDEX('DỮ LIỆU'!$J$3:$J$1052,$M227)))</f>
        <v/>
      </c>
      <c r="I227" s="13" t="str">
        <f aca="false">IF($M227="","",N(INDEX('DỮ LIỆU'!$N$3:$N$1052,$M227)))</f>
        <v/>
      </c>
      <c r="J227" s="13" t="str">
        <f aca="false">IF($M227="","",N(INDEX('DỮ LIỆU'!$O$3:$O$1052,$M227)))</f>
        <v/>
      </c>
      <c r="K227" s="13" t="str">
        <f aca="false">IF($M227="","",IF(INDEX('DỮ LIỆU'!$Q$3:$Q$1052,$M227)="","",INDEX('DỮ LIỆU'!$Q$3:$Q$1052,$M227)))</f>
        <v/>
      </c>
      <c r="L227" s="21" t="str">
        <f aca="false">IF($M227="","",IF(INDEX('DỮ LIỆU'!$R$3:$R$1052,$M227)="","",INDEX('DỮ LIỆU'!$R$3:$R$1052,$M227)))</f>
        <v/>
      </c>
      <c r="M227" s="0" t="str">
        <f aca="false">IFERROR(MATCH(222,'DỮ LIỆU'!$V$3:$V$1052,0),"")</f>
        <v/>
      </c>
    </row>
    <row r="228" customFormat="false" ht="15" hidden="false" customHeight="false" outlineLevel="0" collapsed="false">
      <c r="A228" s="21" t="str">
        <f aca="false">IF($M228="","",223)</f>
        <v/>
      </c>
      <c r="B228" s="13" t="str">
        <f aca="false">IF($M228="","",INDEX('DỮ LIỆU'!$A$3:$A$1052,$M228))</f>
        <v/>
      </c>
      <c r="C228" s="41" t="str">
        <f aca="false">IF($M228="","",IF(INDEX('DỮ LIỆU'!$B$3:$B$1052,$M228)="","",INDEX('DỮ LIỆU'!$B$3:$B$1052,$M228)))</f>
        <v/>
      </c>
      <c r="D228" s="21" t="str">
        <f aca="false">IF($M228="","",IF(INDEX('DỮ LIỆU'!$C$3:$C$1052,$M228)="","",INDEX('DỮ LIỆU'!$C$3:$C$1052,$M228)))</f>
        <v/>
      </c>
      <c r="E228" s="21" t="str">
        <f aca="false">IF($M228="","",IF(INDEX('DỮ LIỆU'!$D$3:$D$1052,$M228)="","",INDEX('DỮ LIỆU'!$D$3:$D$1052,$M228)))</f>
        <v/>
      </c>
      <c r="F228" s="21" t="str">
        <f aca="false">IF($M228="","",IF(INDEX('DỮ LIỆU'!$H$3:$H$1052,$M228)="","",INDEX('DỮ LIỆU'!$H$3:$H$1052,$M228)))</f>
        <v/>
      </c>
      <c r="G228" s="13" t="str">
        <f aca="false">IF($M228="","",N(INDEX('DỮ LIỆU'!$I$3:$I$1052,$M228)))</f>
        <v/>
      </c>
      <c r="H228" s="13" t="str">
        <f aca="false">IF($M228="","",N(INDEX('DỮ LIỆU'!$J$3:$J$1052,$M228)))</f>
        <v/>
      </c>
      <c r="I228" s="13" t="str">
        <f aca="false">IF($M228="","",N(INDEX('DỮ LIỆU'!$N$3:$N$1052,$M228)))</f>
        <v/>
      </c>
      <c r="J228" s="13" t="str">
        <f aca="false">IF($M228="","",N(INDEX('DỮ LIỆU'!$O$3:$O$1052,$M228)))</f>
        <v/>
      </c>
      <c r="K228" s="13" t="str">
        <f aca="false">IF($M228="","",IF(INDEX('DỮ LIỆU'!$Q$3:$Q$1052,$M228)="","",INDEX('DỮ LIỆU'!$Q$3:$Q$1052,$M228)))</f>
        <v/>
      </c>
      <c r="L228" s="21" t="str">
        <f aca="false">IF($M228="","",IF(INDEX('DỮ LIỆU'!$R$3:$R$1052,$M228)="","",INDEX('DỮ LIỆU'!$R$3:$R$1052,$M228)))</f>
        <v/>
      </c>
      <c r="M228" s="0" t="str">
        <f aca="false">IFERROR(MATCH(223,'DỮ LIỆU'!$V$3:$V$1052,0),"")</f>
        <v/>
      </c>
    </row>
    <row r="229" customFormat="false" ht="15" hidden="false" customHeight="false" outlineLevel="0" collapsed="false">
      <c r="A229" s="21" t="str">
        <f aca="false">IF($M229="","",224)</f>
        <v/>
      </c>
      <c r="B229" s="13" t="str">
        <f aca="false">IF($M229="","",INDEX('DỮ LIỆU'!$A$3:$A$1052,$M229))</f>
        <v/>
      </c>
      <c r="C229" s="41" t="str">
        <f aca="false">IF($M229="","",IF(INDEX('DỮ LIỆU'!$B$3:$B$1052,$M229)="","",INDEX('DỮ LIỆU'!$B$3:$B$1052,$M229)))</f>
        <v/>
      </c>
      <c r="D229" s="21" t="str">
        <f aca="false">IF($M229="","",IF(INDEX('DỮ LIỆU'!$C$3:$C$1052,$M229)="","",INDEX('DỮ LIỆU'!$C$3:$C$1052,$M229)))</f>
        <v/>
      </c>
      <c r="E229" s="21" t="str">
        <f aca="false">IF($M229="","",IF(INDEX('DỮ LIỆU'!$D$3:$D$1052,$M229)="","",INDEX('DỮ LIỆU'!$D$3:$D$1052,$M229)))</f>
        <v/>
      </c>
      <c r="F229" s="21" t="str">
        <f aca="false">IF($M229="","",IF(INDEX('DỮ LIỆU'!$H$3:$H$1052,$M229)="","",INDEX('DỮ LIỆU'!$H$3:$H$1052,$M229)))</f>
        <v/>
      </c>
      <c r="G229" s="13" t="str">
        <f aca="false">IF($M229="","",N(INDEX('DỮ LIỆU'!$I$3:$I$1052,$M229)))</f>
        <v/>
      </c>
      <c r="H229" s="13" t="str">
        <f aca="false">IF($M229="","",N(INDEX('DỮ LIỆU'!$J$3:$J$1052,$M229)))</f>
        <v/>
      </c>
      <c r="I229" s="13" t="str">
        <f aca="false">IF($M229="","",N(INDEX('DỮ LIỆU'!$N$3:$N$1052,$M229)))</f>
        <v/>
      </c>
      <c r="J229" s="13" t="str">
        <f aca="false">IF($M229="","",N(INDEX('DỮ LIỆU'!$O$3:$O$1052,$M229)))</f>
        <v/>
      </c>
      <c r="K229" s="13" t="str">
        <f aca="false">IF($M229="","",IF(INDEX('DỮ LIỆU'!$Q$3:$Q$1052,$M229)="","",INDEX('DỮ LIỆU'!$Q$3:$Q$1052,$M229)))</f>
        <v/>
      </c>
      <c r="L229" s="21" t="str">
        <f aca="false">IF($M229="","",IF(INDEX('DỮ LIỆU'!$R$3:$R$1052,$M229)="","",INDEX('DỮ LIỆU'!$R$3:$R$1052,$M229)))</f>
        <v/>
      </c>
      <c r="M229" s="0" t="str">
        <f aca="false">IFERROR(MATCH(224,'DỮ LIỆU'!$V$3:$V$1052,0),"")</f>
        <v/>
      </c>
    </row>
    <row r="230" customFormat="false" ht="15" hidden="false" customHeight="false" outlineLevel="0" collapsed="false">
      <c r="A230" s="21" t="str">
        <f aca="false">IF($M230="","",225)</f>
        <v/>
      </c>
      <c r="B230" s="13" t="str">
        <f aca="false">IF($M230="","",INDEX('DỮ LIỆU'!$A$3:$A$1052,$M230))</f>
        <v/>
      </c>
      <c r="C230" s="41" t="str">
        <f aca="false">IF($M230="","",IF(INDEX('DỮ LIỆU'!$B$3:$B$1052,$M230)="","",INDEX('DỮ LIỆU'!$B$3:$B$1052,$M230)))</f>
        <v/>
      </c>
      <c r="D230" s="21" t="str">
        <f aca="false">IF($M230="","",IF(INDEX('DỮ LIỆU'!$C$3:$C$1052,$M230)="","",INDEX('DỮ LIỆU'!$C$3:$C$1052,$M230)))</f>
        <v/>
      </c>
      <c r="E230" s="21" t="str">
        <f aca="false">IF($M230="","",IF(INDEX('DỮ LIỆU'!$D$3:$D$1052,$M230)="","",INDEX('DỮ LIỆU'!$D$3:$D$1052,$M230)))</f>
        <v/>
      </c>
      <c r="F230" s="21" t="str">
        <f aca="false">IF($M230="","",IF(INDEX('DỮ LIỆU'!$H$3:$H$1052,$M230)="","",INDEX('DỮ LIỆU'!$H$3:$H$1052,$M230)))</f>
        <v/>
      </c>
      <c r="G230" s="13" t="str">
        <f aca="false">IF($M230="","",N(INDEX('DỮ LIỆU'!$I$3:$I$1052,$M230)))</f>
        <v/>
      </c>
      <c r="H230" s="13" t="str">
        <f aca="false">IF($M230="","",N(INDEX('DỮ LIỆU'!$J$3:$J$1052,$M230)))</f>
        <v/>
      </c>
      <c r="I230" s="13" t="str">
        <f aca="false">IF($M230="","",N(INDEX('DỮ LIỆU'!$N$3:$N$1052,$M230)))</f>
        <v/>
      </c>
      <c r="J230" s="13" t="str">
        <f aca="false">IF($M230="","",N(INDEX('DỮ LIỆU'!$O$3:$O$1052,$M230)))</f>
        <v/>
      </c>
      <c r="K230" s="13" t="str">
        <f aca="false">IF($M230="","",IF(INDEX('DỮ LIỆU'!$Q$3:$Q$1052,$M230)="","",INDEX('DỮ LIỆU'!$Q$3:$Q$1052,$M230)))</f>
        <v/>
      </c>
      <c r="L230" s="21" t="str">
        <f aca="false">IF($M230="","",IF(INDEX('DỮ LIỆU'!$R$3:$R$1052,$M230)="","",INDEX('DỮ LIỆU'!$R$3:$R$1052,$M230)))</f>
        <v/>
      </c>
      <c r="M230" s="0" t="str">
        <f aca="false">IFERROR(MATCH(225,'DỮ LIỆU'!$V$3:$V$1052,0),"")</f>
        <v/>
      </c>
    </row>
    <row r="231" customFormat="false" ht="15" hidden="false" customHeight="false" outlineLevel="0" collapsed="false">
      <c r="A231" s="21" t="str">
        <f aca="false">IF($M231="","",226)</f>
        <v/>
      </c>
      <c r="B231" s="13" t="str">
        <f aca="false">IF($M231="","",INDEX('DỮ LIỆU'!$A$3:$A$1052,$M231))</f>
        <v/>
      </c>
      <c r="C231" s="41" t="str">
        <f aca="false">IF($M231="","",IF(INDEX('DỮ LIỆU'!$B$3:$B$1052,$M231)="","",INDEX('DỮ LIỆU'!$B$3:$B$1052,$M231)))</f>
        <v/>
      </c>
      <c r="D231" s="21" t="str">
        <f aca="false">IF($M231="","",IF(INDEX('DỮ LIỆU'!$C$3:$C$1052,$M231)="","",INDEX('DỮ LIỆU'!$C$3:$C$1052,$M231)))</f>
        <v/>
      </c>
      <c r="E231" s="21" t="str">
        <f aca="false">IF($M231="","",IF(INDEX('DỮ LIỆU'!$D$3:$D$1052,$M231)="","",INDEX('DỮ LIỆU'!$D$3:$D$1052,$M231)))</f>
        <v/>
      </c>
      <c r="F231" s="21" t="str">
        <f aca="false">IF($M231="","",IF(INDEX('DỮ LIỆU'!$H$3:$H$1052,$M231)="","",INDEX('DỮ LIỆU'!$H$3:$H$1052,$M231)))</f>
        <v/>
      </c>
      <c r="G231" s="13" t="str">
        <f aca="false">IF($M231="","",N(INDEX('DỮ LIỆU'!$I$3:$I$1052,$M231)))</f>
        <v/>
      </c>
      <c r="H231" s="13" t="str">
        <f aca="false">IF($M231="","",N(INDEX('DỮ LIỆU'!$J$3:$J$1052,$M231)))</f>
        <v/>
      </c>
      <c r="I231" s="13" t="str">
        <f aca="false">IF($M231="","",N(INDEX('DỮ LIỆU'!$N$3:$N$1052,$M231)))</f>
        <v/>
      </c>
      <c r="J231" s="13" t="str">
        <f aca="false">IF($M231="","",N(INDEX('DỮ LIỆU'!$O$3:$O$1052,$M231)))</f>
        <v/>
      </c>
      <c r="K231" s="13" t="str">
        <f aca="false">IF($M231="","",IF(INDEX('DỮ LIỆU'!$Q$3:$Q$1052,$M231)="","",INDEX('DỮ LIỆU'!$Q$3:$Q$1052,$M231)))</f>
        <v/>
      </c>
      <c r="L231" s="21" t="str">
        <f aca="false">IF($M231="","",IF(INDEX('DỮ LIỆU'!$R$3:$R$1052,$M231)="","",INDEX('DỮ LIỆU'!$R$3:$R$1052,$M231)))</f>
        <v/>
      </c>
      <c r="M231" s="0" t="str">
        <f aca="false">IFERROR(MATCH(226,'DỮ LIỆU'!$V$3:$V$1052,0),"")</f>
        <v/>
      </c>
    </row>
    <row r="232" customFormat="false" ht="15" hidden="false" customHeight="false" outlineLevel="0" collapsed="false">
      <c r="A232" s="21" t="str">
        <f aca="false">IF($M232="","",227)</f>
        <v/>
      </c>
      <c r="B232" s="13" t="str">
        <f aca="false">IF($M232="","",INDEX('DỮ LIỆU'!$A$3:$A$1052,$M232))</f>
        <v/>
      </c>
      <c r="C232" s="41" t="str">
        <f aca="false">IF($M232="","",IF(INDEX('DỮ LIỆU'!$B$3:$B$1052,$M232)="","",INDEX('DỮ LIỆU'!$B$3:$B$1052,$M232)))</f>
        <v/>
      </c>
      <c r="D232" s="21" t="str">
        <f aca="false">IF($M232="","",IF(INDEX('DỮ LIỆU'!$C$3:$C$1052,$M232)="","",INDEX('DỮ LIỆU'!$C$3:$C$1052,$M232)))</f>
        <v/>
      </c>
      <c r="E232" s="21" t="str">
        <f aca="false">IF($M232="","",IF(INDEX('DỮ LIỆU'!$D$3:$D$1052,$M232)="","",INDEX('DỮ LIỆU'!$D$3:$D$1052,$M232)))</f>
        <v/>
      </c>
      <c r="F232" s="21" t="str">
        <f aca="false">IF($M232="","",IF(INDEX('DỮ LIỆU'!$H$3:$H$1052,$M232)="","",INDEX('DỮ LIỆU'!$H$3:$H$1052,$M232)))</f>
        <v/>
      </c>
      <c r="G232" s="13" t="str">
        <f aca="false">IF($M232="","",N(INDEX('DỮ LIỆU'!$I$3:$I$1052,$M232)))</f>
        <v/>
      </c>
      <c r="H232" s="13" t="str">
        <f aca="false">IF($M232="","",N(INDEX('DỮ LIỆU'!$J$3:$J$1052,$M232)))</f>
        <v/>
      </c>
      <c r="I232" s="13" t="str">
        <f aca="false">IF($M232="","",N(INDEX('DỮ LIỆU'!$N$3:$N$1052,$M232)))</f>
        <v/>
      </c>
      <c r="J232" s="13" t="str">
        <f aca="false">IF($M232="","",N(INDEX('DỮ LIỆU'!$O$3:$O$1052,$M232)))</f>
        <v/>
      </c>
      <c r="K232" s="13" t="str">
        <f aca="false">IF($M232="","",IF(INDEX('DỮ LIỆU'!$Q$3:$Q$1052,$M232)="","",INDEX('DỮ LIỆU'!$Q$3:$Q$1052,$M232)))</f>
        <v/>
      </c>
      <c r="L232" s="21" t="str">
        <f aca="false">IF($M232="","",IF(INDEX('DỮ LIỆU'!$R$3:$R$1052,$M232)="","",INDEX('DỮ LIỆU'!$R$3:$R$1052,$M232)))</f>
        <v/>
      </c>
      <c r="M232" s="0" t="str">
        <f aca="false">IFERROR(MATCH(227,'DỮ LIỆU'!$V$3:$V$1052,0),"")</f>
        <v/>
      </c>
    </row>
    <row r="233" customFormat="false" ht="15" hidden="false" customHeight="false" outlineLevel="0" collapsed="false">
      <c r="A233" s="21" t="str">
        <f aca="false">IF($M233="","",228)</f>
        <v/>
      </c>
      <c r="B233" s="13" t="str">
        <f aca="false">IF($M233="","",INDEX('DỮ LIỆU'!$A$3:$A$1052,$M233))</f>
        <v/>
      </c>
      <c r="C233" s="41" t="str">
        <f aca="false">IF($M233="","",IF(INDEX('DỮ LIỆU'!$B$3:$B$1052,$M233)="","",INDEX('DỮ LIỆU'!$B$3:$B$1052,$M233)))</f>
        <v/>
      </c>
      <c r="D233" s="21" t="str">
        <f aca="false">IF($M233="","",IF(INDEX('DỮ LIỆU'!$C$3:$C$1052,$M233)="","",INDEX('DỮ LIỆU'!$C$3:$C$1052,$M233)))</f>
        <v/>
      </c>
      <c r="E233" s="21" t="str">
        <f aca="false">IF($M233="","",IF(INDEX('DỮ LIỆU'!$D$3:$D$1052,$M233)="","",INDEX('DỮ LIỆU'!$D$3:$D$1052,$M233)))</f>
        <v/>
      </c>
      <c r="F233" s="21" t="str">
        <f aca="false">IF($M233="","",IF(INDEX('DỮ LIỆU'!$H$3:$H$1052,$M233)="","",INDEX('DỮ LIỆU'!$H$3:$H$1052,$M233)))</f>
        <v/>
      </c>
      <c r="G233" s="13" t="str">
        <f aca="false">IF($M233="","",N(INDEX('DỮ LIỆU'!$I$3:$I$1052,$M233)))</f>
        <v/>
      </c>
      <c r="H233" s="13" t="str">
        <f aca="false">IF($M233="","",N(INDEX('DỮ LIỆU'!$J$3:$J$1052,$M233)))</f>
        <v/>
      </c>
      <c r="I233" s="13" t="str">
        <f aca="false">IF($M233="","",N(INDEX('DỮ LIỆU'!$N$3:$N$1052,$M233)))</f>
        <v/>
      </c>
      <c r="J233" s="13" t="str">
        <f aca="false">IF($M233="","",N(INDEX('DỮ LIỆU'!$O$3:$O$1052,$M233)))</f>
        <v/>
      </c>
      <c r="K233" s="13" t="str">
        <f aca="false">IF($M233="","",IF(INDEX('DỮ LIỆU'!$Q$3:$Q$1052,$M233)="","",INDEX('DỮ LIỆU'!$Q$3:$Q$1052,$M233)))</f>
        <v/>
      </c>
      <c r="L233" s="21" t="str">
        <f aca="false">IF($M233="","",IF(INDEX('DỮ LIỆU'!$R$3:$R$1052,$M233)="","",INDEX('DỮ LIỆU'!$R$3:$R$1052,$M233)))</f>
        <v/>
      </c>
      <c r="M233" s="0" t="str">
        <f aca="false">IFERROR(MATCH(228,'DỮ LIỆU'!$V$3:$V$1052,0),"")</f>
        <v/>
      </c>
    </row>
    <row r="234" customFormat="false" ht="15" hidden="false" customHeight="false" outlineLevel="0" collapsed="false">
      <c r="A234" s="21" t="str">
        <f aca="false">IF($M234="","",229)</f>
        <v/>
      </c>
      <c r="B234" s="13" t="str">
        <f aca="false">IF($M234="","",INDEX('DỮ LIỆU'!$A$3:$A$1052,$M234))</f>
        <v/>
      </c>
      <c r="C234" s="41" t="str">
        <f aca="false">IF($M234="","",IF(INDEX('DỮ LIỆU'!$B$3:$B$1052,$M234)="","",INDEX('DỮ LIỆU'!$B$3:$B$1052,$M234)))</f>
        <v/>
      </c>
      <c r="D234" s="21" t="str">
        <f aca="false">IF($M234="","",IF(INDEX('DỮ LIỆU'!$C$3:$C$1052,$M234)="","",INDEX('DỮ LIỆU'!$C$3:$C$1052,$M234)))</f>
        <v/>
      </c>
      <c r="E234" s="21" t="str">
        <f aca="false">IF($M234="","",IF(INDEX('DỮ LIỆU'!$D$3:$D$1052,$M234)="","",INDEX('DỮ LIỆU'!$D$3:$D$1052,$M234)))</f>
        <v/>
      </c>
      <c r="F234" s="21" t="str">
        <f aca="false">IF($M234="","",IF(INDEX('DỮ LIỆU'!$H$3:$H$1052,$M234)="","",INDEX('DỮ LIỆU'!$H$3:$H$1052,$M234)))</f>
        <v/>
      </c>
      <c r="G234" s="13" t="str">
        <f aca="false">IF($M234="","",N(INDEX('DỮ LIỆU'!$I$3:$I$1052,$M234)))</f>
        <v/>
      </c>
      <c r="H234" s="13" t="str">
        <f aca="false">IF($M234="","",N(INDEX('DỮ LIỆU'!$J$3:$J$1052,$M234)))</f>
        <v/>
      </c>
      <c r="I234" s="13" t="str">
        <f aca="false">IF($M234="","",N(INDEX('DỮ LIỆU'!$N$3:$N$1052,$M234)))</f>
        <v/>
      </c>
      <c r="J234" s="13" t="str">
        <f aca="false">IF($M234="","",N(INDEX('DỮ LIỆU'!$O$3:$O$1052,$M234)))</f>
        <v/>
      </c>
      <c r="K234" s="13" t="str">
        <f aca="false">IF($M234="","",IF(INDEX('DỮ LIỆU'!$Q$3:$Q$1052,$M234)="","",INDEX('DỮ LIỆU'!$Q$3:$Q$1052,$M234)))</f>
        <v/>
      </c>
      <c r="L234" s="21" t="str">
        <f aca="false">IF($M234="","",IF(INDEX('DỮ LIỆU'!$R$3:$R$1052,$M234)="","",INDEX('DỮ LIỆU'!$R$3:$R$1052,$M234)))</f>
        <v/>
      </c>
      <c r="M234" s="0" t="str">
        <f aca="false">IFERROR(MATCH(229,'DỮ LIỆU'!$V$3:$V$1052,0),"")</f>
        <v/>
      </c>
    </row>
    <row r="235" customFormat="false" ht="15" hidden="false" customHeight="false" outlineLevel="0" collapsed="false">
      <c r="A235" s="21" t="str">
        <f aca="false">IF($M235="","",230)</f>
        <v/>
      </c>
      <c r="B235" s="13" t="str">
        <f aca="false">IF($M235="","",INDEX('DỮ LIỆU'!$A$3:$A$1052,$M235))</f>
        <v/>
      </c>
      <c r="C235" s="41" t="str">
        <f aca="false">IF($M235="","",IF(INDEX('DỮ LIỆU'!$B$3:$B$1052,$M235)="","",INDEX('DỮ LIỆU'!$B$3:$B$1052,$M235)))</f>
        <v/>
      </c>
      <c r="D235" s="21" t="str">
        <f aca="false">IF($M235="","",IF(INDEX('DỮ LIỆU'!$C$3:$C$1052,$M235)="","",INDEX('DỮ LIỆU'!$C$3:$C$1052,$M235)))</f>
        <v/>
      </c>
      <c r="E235" s="21" t="str">
        <f aca="false">IF($M235="","",IF(INDEX('DỮ LIỆU'!$D$3:$D$1052,$M235)="","",INDEX('DỮ LIỆU'!$D$3:$D$1052,$M235)))</f>
        <v/>
      </c>
      <c r="F235" s="21" t="str">
        <f aca="false">IF($M235="","",IF(INDEX('DỮ LIỆU'!$H$3:$H$1052,$M235)="","",INDEX('DỮ LIỆU'!$H$3:$H$1052,$M235)))</f>
        <v/>
      </c>
      <c r="G235" s="13" t="str">
        <f aca="false">IF($M235="","",N(INDEX('DỮ LIỆU'!$I$3:$I$1052,$M235)))</f>
        <v/>
      </c>
      <c r="H235" s="13" t="str">
        <f aca="false">IF($M235="","",N(INDEX('DỮ LIỆU'!$J$3:$J$1052,$M235)))</f>
        <v/>
      </c>
      <c r="I235" s="13" t="str">
        <f aca="false">IF($M235="","",N(INDEX('DỮ LIỆU'!$N$3:$N$1052,$M235)))</f>
        <v/>
      </c>
      <c r="J235" s="13" t="str">
        <f aca="false">IF($M235="","",N(INDEX('DỮ LIỆU'!$O$3:$O$1052,$M235)))</f>
        <v/>
      </c>
      <c r="K235" s="13" t="str">
        <f aca="false">IF($M235="","",IF(INDEX('DỮ LIỆU'!$Q$3:$Q$1052,$M235)="","",INDEX('DỮ LIỆU'!$Q$3:$Q$1052,$M235)))</f>
        <v/>
      </c>
      <c r="L235" s="21" t="str">
        <f aca="false">IF($M235="","",IF(INDEX('DỮ LIỆU'!$R$3:$R$1052,$M235)="","",INDEX('DỮ LIỆU'!$R$3:$R$1052,$M235)))</f>
        <v/>
      </c>
      <c r="M235" s="0" t="str">
        <f aca="false">IFERROR(MATCH(230,'DỮ LIỆU'!$V$3:$V$1052,0),"")</f>
        <v/>
      </c>
    </row>
    <row r="236" customFormat="false" ht="15" hidden="false" customHeight="false" outlineLevel="0" collapsed="false">
      <c r="A236" s="21" t="str">
        <f aca="false">IF($M236="","",231)</f>
        <v/>
      </c>
      <c r="B236" s="13" t="str">
        <f aca="false">IF($M236="","",INDEX('DỮ LIỆU'!$A$3:$A$1052,$M236))</f>
        <v/>
      </c>
      <c r="C236" s="41" t="str">
        <f aca="false">IF($M236="","",IF(INDEX('DỮ LIỆU'!$B$3:$B$1052,$M236)="","",INDEX('DỮ LIỆU'!$B$3:$B$1052,$M236)))</f>
        <v/>
      </c>
      <c r="D236" s="21" t="str">
        <f aca="false">IF($M236="","",IF(INDEX('DỮ LIỆU'!$C$3:$C$1052,$M236)="","",INDEX('DỮ LIỆU'!$C$3:$C$1052,$M236)))</f>
        <v/>
      </c>
      <c r="E236" s="21" t="str">
        <f aca="false">IF($M236="","",IF(INDEX('DỮ LIỆU'!$D$3:$D$1052,$M236)="","",INDEX('DỮ LIỆU'!$D$3:$D$1052,$M236)))</f>
        <v/>
      </c>
      <c r="F236" s="21" t="str">
        <f aca="false">IF($M236="","",IF(INDEX('DỮ LIỆU'!$H$3:$H$1052,$M236)="","",INDEX('DỮ LIỆU'!$H$3:$H$1052,$M236)))</f>
        <v/>
      </c>
      <c r="G236" s="13" t="str">
        <f aca="false">IF($M236="","",N(INDEX('DỮ LIỆU'!$I$3:$I$1052,$M236)))</f>
        <v/>
      </c>
      <c r="H236" s="13" t="str">
        <f aca="false">IF($M236="","",N(INDEX('DỮ LIỆU'!$J$3:$J$1052,$M236)))</f>
        <v/>
      </c>
      <c r="I236" s="13" t="str">
        <f aca="false">IF($M236="","",N(INDEX('DỮ LIỆU'!$N$3:$N$1052,$M236)))</f>
        <v/>
      </c>
      <c r="J236" s="13" t="str">
        <f aca="false">IF($M236="","",N(INDEX('DỮ LIỆU'!$O$3:$O$1052,$M236)))</f>
        <v/>
      </c>
      <c r="K236" s="13" t="str">
        <f aca="false">IF($M236="","",IF(INDEX('DỮ LIỆU'!$Q$3:$Q$1052,$M236)="","",INDEX('DỮ LIỆU'!$Q$3:$Q$1052,$M236)))</f>
        <v/>
      </c>
      <c r="L236" s="21" t="str">
        <f aca="false">IF($M236="","",IF(INDEX('DỮ LIỆU'!$R$3:$R$1052,$M236)="","",INDEX('DỮ LIỆU'!$R$3:$R$1052,$M236)))</f>
        <v/>
      </c>
      <c r="M236" s="0" t="str">
        <f aca="false">IFERROR(MATCH(231,'DỮ LIỆU'!$V$3:$V$1052,0),"")</f>
        <v/>
      </c>
    </row>
    <row r="237" customFormat="false" ht="15" hidden="false" customHeight="false" outlineLevel="0" collapsed="false">
      <c r="A237" s="21" t="str">
        <f aca="false">IF($M237="","",232)</f>
        <v/>
      </c>
      <c r="B237" s="13" t="str">
        <f aca="false">IF($M237="","",INDEX('DỮ LIỆU'!$A$3:$A$1052,$M237))</f>
        <v/>
      </c>
      <c r="C237" s="41" t="str">
        <f aca="false">IF($M237="","",IF(INDEX('DỮ LIỆU'!$B$3:$B$1052,$M237)="","",INDEX('DỮ LIỆU'!$B$3:$B$1052,$M237)))</f>
        <v/>
      </c>
      <c r="D237" s="21" t="str">
        <f aca="false">IF($M237="","",IF(INDEX('DỮ LIỆU'!$C$3:$C$1052,$M237)="","",INDEX('DỮ LIỆU'!$C$3:$C$1052,$M237)))</f>
        <v/>
      </c>
      <c r="E237" s="21" t="str">
        <f aca="false">IF($M237="","",IF(INDEX('DỮ LIỆU'!$D$3:$D$1052,$M237)="","",INDEX('DỮ LIỆU'!$D$3:$D$1052,$M237)))</f>
        <v/>
      </c>
      <c r="F237" s="21" t="str">
        <f aca="false">IF($M237="","",IF(INDEX('DỮ LIỆU'!$H$3:$H$1052,$M237)="","",INDEX('DỮ LIỆU'!$H$3:$H$1052,$M237)))</f>
        <v/>
      </c>
      <c r="G237" s="13" t="str">
        <f aca="false">IF($M237="","",N(INDEX('DỮ LIỆU'!$I$3:$I$1052,$M237)))</f>
        <v/>
      </c>
      <c r="H237" s="13" t="str">
        <f aca="false">IF($M237="","",N(INDEX('DỮ LIỆU'!$J$3:$J$1052,$M237)))</f>
        <v/>
      </c>
      <c r="I237" s="13" t="str">
        <f aca="false">IF($M237="","",N(INDEX('DỮ LIỆU'!$N$3:$N$1052,$M237)))</f>
        <v/>
      </c>
      <c r="J237" s="13" t="str">
        <f aca="false">IF($M237="","",N(INDEX('DỮ LIỆU'!$O$3:$O$1052,$M237)))</f>
        <v/>
      </c>
      <c r="K237" s="13" t="str">
        <f aca="false">IF($M237="","",IF(INDEX('DỮ LIỆU'!$Q$3:$Q$1052,$M237)="","",INDEX('DỮ LIỆU'!$Q$3:$Q$1052,$M237)))</f>
        <v/>
      </c>
      <c r="L237" s="21" t="str">
        <f aca="false">IF($M237="","",IF(INDEX('DỮ LIỆU'!$R$3:$R$1052,$M237)="","",INDEX('DỮ LIỆU'!$R$3:$R$1052,$M237)))</f>
        <v/>
      </c>
      <c r="M237" s="0" t="str">
        <f aca="false">IFERROR(MATCH(232,'DỮ LIỆU'!$V$3:$V$1052,0),"")</f>
        <v/>
      </c>
    </row>
    <row r="238" customFormat="false" ht="15" hidden="false" customHeight="false" outlineLevel="0" collapsed="false">
      <c r="A238" s="21" t="str">
        <f aca="false">IF($M238="","",233)</f>
        <v/>
      </c>
      <c r="B238" s="13" t="str">
        <f aca="false">IF($M238="","",INDEX('DỮ LIỆU'!$A$3:$A$1052,$M238))</f>
        <v/>
      </c>
      <c r="C238" s="41" t="str">
        <f aca="false">IF($M238="","",IF(INDEX('DỮ LIỆU'!$B$3:$B$1052,$M238)="","",INDEX('DỮ LIỆU'!$B$3:$B$1052,$M238)))</f>
        <v/>
      </c>
      <c r="D238" s="21" t="str">
        <f aca="false">IF($M238="","",IF(INDEX('DỮ LIỆU'!$C$3:$C$1052,$M238)="","",INDEX('DỮ LIỆU'!$C$3:$C$1052,$M238)))</f>
        <v/>
      </c>
      <c r="E238" s="21" t="str">
        <f aca="false">IF($M238="","",IF(INDEX('DỮ LIỆU'!$D$3:$D$1052,$M238)="","",INDEX('DỮ LIỆU'!$D$3:$D$1052,$M238)))</f>
        <v/>
      </c>
      <c r="F238" s="21" t="str">
        <f aca="false">IF($M238="","",IF(INDEX('DỮ LIỆU'!$H$3:$H$1052,$M238)="","",INDEX('DỮ LIỆU'!$H$3:$H$1052,$M238)))</f>
        <v/>
      </c>
      <c r="G238" s="13" t="str">
        <f aca="false">IF($M238="","",N(INDEX('DỮ LIỆU'!$I$3:$I$1052,$M238)))</f>
        <v/>
      </c>
      <c r="H238" s="13" t="str">
        <f aca="false">IF($M238="","",N(INDEX('DỮ LIỆU'!$J$3:$J$1052,$M238)))</f>
        <v/>
      </c>
      <c r="I238" s="13" t="str">
        <f aca="false">IF($M238="","",N(INDEX('DỮ LIỆU'!$N$3:$N$1052,$M238)))</f>
        <v/>
      </c>
      <c r="J238" s="13" t="str">
        <f aca="false">IF($M238="","",N(INDEX('DỮ LIỆU'!$O$3:$O$1052,$M238)))</f>
        <v/>
      </c>
      <c r="K238" s="13" t="str">
        <f aca="false">IF($M238="","",IF(INDEX('DỮ LIỆU'!$Q$3:$Q$1052,$M238)="","",INDEX('DỮ LIỆU'!$Q$3:$Q$1052,$M238)))</f>
        <v/>
      </c>
      <c r="L238" s="21" t="str">
        <f aca="false">IF($M238="","",IF(INDEX('DỮ LIỆU'!$R$3:$R$1052,$M238)="","",INDEX('DỮ LIỆU'!$R$3:$R$1052,$M238)))</f>
        <v/>
      </c>
      <c r="M238" s="0" t="str">
        <f aca="false">IFERROR(MATCH(233,'DỮ LIỆU'!$V$3:$V$1052,0),"")</f>
        <v/>
      </c>
    </row>
    <row r="239" customFormat="false" ht="15" hidden="false" customHeight="false" outlineLevel="0" collapsed="false">
      <c r="A239" s="21" t="str">
        <f aca="false">IF($M239="","",234)</f>
        <v/>
      </c>
      <c r="B239" s="13" t="str">
        <f aca="false">IF($M239="","",INDEX('DỮ LIỆU'!$A$3:$A$1052,$M239))</f>
        <v/>
      </c>
      <c r="C239" s="41" t="str">
        <f aca="false">IF($M239="","",IF(INDEX('DỮ LIỆU'!$B$3:$B$1052,$M239)="","",INDEX('DỮ LIỆU'!$B$3:$B$1052,$M239)))</f>
        <v/>
      </c>
      <c r="D239" s="21" t="str">
        <f aca="false">IF($M239="","",IF(INDEX('DỮ LIỆU'!$C$3:$C$1052,$M239)="","",INDEX('DỮ LIỆU'!$C$3:$C$1052,$M239)))</f>
        <v/>
      </c>
      <c r="E239" s="21" t="str">
        <f aca="false">IF($M239="","",IF(INDEX('DỮ LIỆU'!$D$3:$D$1052,$M239)="","",INDEX('DỮ LIỆU'!$D$3:$D$1052,$M239)))</f>
        <v/>
      </c>
      <c r="F239" s="21" t="str">
        <f aca="false">IF($M239="","",IF(INDEX('DỮ LIỆU'!$H$3:$H$1052,$M239)="","",INDEX('DỮ LIỆU'!$H$3:$H$1052,$M239)))</f>
        <v/>
      </c>
      <c r="G239" s="13" t="str">
        <f aca="false">IF($M239="","",N(INDEX('DỮ LIỆU'!$I$3:$I$1052,$M239)))</f>
        <v/>
      </c>
      <c r="H239" s="13" t="str">
        <f aca="false">IF($M239="","",N(INDEX('DỮ LIỆU'!$J$3:$J$1052,$M239)))</f>
        <v/>
      </c>
      <c r="I239" s="13" t="str">
        <f aca="false">IF($M239="","",N(INDEX('DỮ LIỆU'!$N$3:$N$1052,$M239)))</f>
        <v/>
      </c>
      <c r="J239" s="13" t="str">
        <f aca="false">IF($M239="","",N(INDEX('DỮ LIỆU'!$O$3:$O$1052,$M239)))</f>
        <v/>
      </c>
      <c r="K239" s="13" t="str">
        <f aca="false">IF($M239="","",IF(INDEX('DỮ LIỆU'!$Q$3:$Q$1052,$M239)="","",INDEX('DỮ LIỆU'!$Q$3:$Q$1052,$M239)))</f>
        <v/>
      </c>
      <c r="L239" s="21" t="str">
        <f aca="false">IF($M239="","",IF(INDEX('DỮ LIỆU'!$R$3:$R$1052,$M239)="","",INDEX('DỮ LIỆU'!$R$3:$R$1052,$M239)))</f>
        <v/>
      </c>
      <c r="M239" s="0" t="str">
        <f aca="false">IFERROR(MATCH(234,'DỮ LIỆU'!$V$3:$V$1052,0),"")</f>
        <v/>
      </c>
    </row>
    <row r="240" customFormat="false" ht="15" hidden="false" customHeight="false" outlineLevel="0" collapsed="false">
      <c r="A240" s="21" t="str">
        <f aca="false">IF($M240="","",235)</f>
        <v/>
      </c>
      <c r="B240" s="13" t="str">
        <f aca="false">IF($M240="","",INDEX('DỮ LIỆU'!$A$3:$A$1052,$M240))</f>
        <v/>
      </c>
      <c r="C240" s="41" t="str">
        <f aca="false">IF($M240="","",IF(INDEX('DỮ LIỆU'!$B$3:$B$1052,$M240)="","",INDEX('DỮ LIỆU'!$B$3:$B$1052,$M240)))</f>
        <v/>
      </c>
      <c r="D240" s="21" t="str">
        <f aca="false">IF($M240="","",IF(INDEX('DỮ LIỆU'!$C$3:$C$1052,$M240)="","",INDEX('DỮ LIỆU'!$C$3:$C$1052,$M240)))</f>
        <v/>
      </c>
      <c r="E240" s="21" t="str">
        <f aca="false">IF($M240="","",IF(INDEX('DỮ LIỆU'!$D$3:$D$1052,$M240)="","",INDEX('DỮ LIỆU'!$D$3:$D$1052,$M240)))</f>
        <v/>
      </c>
      <c r="F240" s="21" t="str">
        <f aca="false">IF($M240="","",IF(INDEX('DỮ LIỆU'!$H$3:$H$1052,$M240)="","",INDEX('DỮ LIỆU'!$H$3:$H$1052,$M240)))</f>
        <v/>
      </c>
      <c r="G240" s="13" t="str">
        <f aca="false">IF($M240="","",N(INDEX('DỮ LIỆU'!$I$3:$I$1052,$M240)))</f>
        <v/>
      </c>
      <c r="H240" s="13" t="str">
        <f aca="false">IF($M240="","",N(INDEX('DỮ LIỆU'!$J$3:$J$1052,$M240)))</f>
        <v/>
      </c>
      <c r="I240" s="13" t="str">
        <f aca="false">IF($M240="","",N(INDEX('DỮ LIỆU'!$N$3:$N$1052,$M240)))</f>
        <v/>
      </c>
      <c r="J240" s="13" t="str">
        <f aca="false">IF($M240="","",N(INDEX('DỮ LIỆU'!$O$3:$O$1052,$M240)))</f>
        <v/>
      </c>
      <c r="K240" s="13" t="str">
        <f aca="false">IF($M240="","",IF(INDEX('DỮ LIỆU'!$Q$3:$Q$1052,$M240)="","",INDEX('DỮ LIỆU'!$Q$3:$Q$1052,$M240)))</f>
        <v/>
      </c>
      <c r="L240" s="21" t="str">
        <f aca="false">IF($M240="","",IF(INDEX('DỮ LIỆU'!$R$3:$R$1052,$M240)="","",INDEX('DỮ LIỆU'!$R$3:$R$1052,$M240)))</f>
        <v/>
      </c>
      <c r="M240" s="0" t="str">
        <f aca="false">IFERROR(MATCH(235,'DỮ LIỆU'!$V$3:$V$1052,0),"")</f>
        <v/>
      </c>
    </row>
    <row r="241" customFormat="false" ht="15" hidden="false" customHeight="false" outlineLevel="0" collapsed="false">
      <c r="A241" s="21" t="str">
        <f aca="false">IF($M241="","",236)</f>
        <v/>
      </c>
      <c r="B241" s="13" t="str">
        <f aca="false">IF($M241="","",INDEX('DỮ LIỆU'!$A$3:$A$1052,$M241))</f>
        <v/>
      </c>
      <c r="C241" s="41" t="str">
        <f aca="false">IF($M241="","",IF(INDEX('DỮ LIỆU'!$B$3:$B$1052,$M241)="","",INDEX('DỮ LIỆU'!$B$3:$B$1052,$M241)))</f>
        <v/>
      </c>
      <c r="D241" s="21" t="str">
        <f aca="false">IF($M241="","",IF(INDEX('DỮ LIỆU'!$C$3:$C$1052,$M241)="","",INDEX('DỮ LIỆU'!$C$3:$C$1052,$M241)))</f>
        <v/>
      </c>
      <c r="E241" s="21" t="str">
        <f aca="false">IF($M241="","",IF(INDEX('DỮ LIỆU'!$D$3:$D$1052,$M241)="","",INDEX('DỮ LIỆU'!$D$3:$D$1052,$M241)))</f>
        <v/>
      </c>
      <c r="F241" s="21" t="str">
        <f aca="false">IF($M241="","",IF(INDEX('DỮ LIỆU'!$H$3:$H$1052,$M241)="","",INDEX('DỮ LIỆU'!$H$3:$H$1052,$M241)))</f>
        <v/>
      </c>
      <c r="G241" s="13" t="str">
        <f aca="false">IF($M241="","",N(INDEX('DỮ LIỆU'!$I$3:$I$1052,$M241)))</f>
        <v/>
      </c>
      <c r="H241" s="13" t="str">
        <f aca="false">IF($M241="","",N(INDEX('DỮ LIỆU'!$J$3:$J$1052,$M241)))</f>
        <v/>
      </c>
      <c r="I241" s="13" t="str">
        <f aca="false">IF($M241="","",N(INDEX('DỮ LIỆU'!$N$3:$N$1052,$M241)))</f>
        <v/>
      </c>
      <c r="J241" s="13" t="str">
        <f aca="false">IF($M241="","",N(INDEX('DỮ LIỆU'!$O$3:$O$1052,$M241)))</f>
        <v/>
      </c>
      <c r="K241" s="13" t="str">
        <f aca="false">IF($M241="","",IF(INDEX('DỮ LIỆU'!$Q$3:$Q$1052,$M241)="","",INDEX('DỮ LIỆU'!$Q$3:$Q$1052,$M241)))</f>
        <v/>
      </c>
      <c r="L241" s="21" t="str">
        <f aca="false">IF($M241="","",IF(INDEX('DỮ LIỆU'!$R$3:$R$1052,$M241)="","",INDEX('DỮ LIỆU'!$R$3:$R$1052,$M241)))</f>
        <v/>
      </c>
      <c r="M241" s="0" t="str">
        <f aca="false">IFERROR(MATCH(236,'DỮ LIỆU'!$V$3:$V$1052,0),"")</f>
        <v/>
      </c>
    </row>
    <row r="242" customFormat="false" ht="15" hidden="false" customHeight="false" outlineLevel="0" collapsed="false">
      <c r="A242" s="21" t="str">
        <f aca="false">IF($M242="","",237)</f>
        <v/>
      </c>
      <c r="B242" s="13" t="str">
        <f aca="false">IF($M242="","",INDEX('DỮ LIỆU'!$A$3:$A$1052,$M242))</f>
        <v/>
      </c>
      <c r="C242" s="41" t="str">
        <f aca="false">IF($M242="","",IF(INDEX('DỮ LIỆU'!$B$3:$B$1052,$M242)="","",INDEX('DỮ LIỆU'!$B$3:$B$1052,$M242)))</f>
        <v/>
      </c>
      <c r="D242" s="21" t="str">
        <f aca="false">IF($M242="","",IF(INDEX('DỮ LIỆU'!$C$3:$C$1052,$M242)="","",INDEX('DỮ LIỆU'!$C$3:$C$1052,$M242)))</f>
        <v/>
      </c>
      <c r="E242" s="21" t="str">
        <f aca="false">IF($M242="","",IF(INDEX('DỮ LIỆU'!$D$3:$D$1052,$M242)="","",INDEX('DỮ LIỆU'!$D$3:$D$1052,$M242)))</f>
        <v/>
      </c>
      <c r="F242" s="21" t="str">
        <f aca="false">IF($M242="","",IF(INDEX('DỮ LIỆU'!$H$3:$H$1052,$M242)="","",INDEX('DỮ LIỆU'!$H$3:$H$1052,$M242)))</f>
        <v/>
      </c>
      <c r="G242" s="13" t="str">
        <f aca="false">IF($M242="","",N(INDEX('DỮ LIỆU'!$I$3:$I$1052,$M242)))</f>
        <v/>
      </c>
      <c r="H242" s="13" t="str">
        <f aca="false">IF($M242="","",N(INDEX('DỮ LIỆU'!$J$3:$J$1052,$M242)))</f>
        <v/>
      </c>
      <c r="I242" s="13" t="str">
        <f aca="false">IF($M242="","",N(INDEX('DỮ LIỆU'!$N$3:$N$1052,$M242)))</f>
        <v/>
      </c>
      <c r="J242" s="13" t="str">
        <f aca="false">IF($M242="","",N(INDEX('DỮ LIỆU'!$O$3:$O$1052,$M242)))</f>
        <v/>
      </c>
      <c r="K242" s="13" t="str">
        <f aca="false">IF($M242="","",IF(INDEX('DỮ LIỆU'!$Q$3:$Q$1052,$M242)="","",INDEX('DỮ LIỆU'!$Q$3:$Q$1052,$M242)))</f>
        <v/>
      </c>
      <c r="L242" s="21" t="str">
        <f aca="false">IF($M242="","",IF(INDEX('DỮ LIỆU'!$R$3:$R$1052,$M242)="","",INDEX('DỮ LIỆU'!$R$3:$R$1052,$M242)))</f>
        <v/>
      </c>
      <c r="M242" s="0" t="str">
        <f aca="false">IFERROR(MATCH(237,'DỮ LIỆU'!$V$3:$V$1052,0),"")</f>
        <v/>
      </c>
    </row>
    <row r="243" customFormat="false" ht="15" hidden="false" customHeight="false" outlineLevel="0" collapsed="false">
      <c r="A243" s="21" t="str">
        <f aca="false">IF($M243="","",238)</f>
        <v/>
      </c>
      <c r="B243" s="13" t="str">
        <f aca="false">IF($M243="","",INDEX('DỮ LIỆU'!$A$3:$A$1052,$M243))</f>
        <v/>
      </c>
      <c r="C243" s="41" t="str">
        <f aca="false">IF($M243="","",IF(INDEX('DỮ LIỆU'!$B$3:$B$1052,$M243)="","",INDEX('DỮ LIỆU'!$B$3:$B$1052,$M243)))</f>
        <v/>
      </c>
      <c r="D243" s="21" t="str">
        <f aca="false">IF($M243="","",IF(INDEX('DỮ LIỆU'!$C$3:$C$1052,$M243)="","",INDEX('DỮ LIỆU'!$C$3:$C$1052,$M243)))</f>
        <v/>
      </c>
      <c r="E243" s="21" t="str">
        <f aca="false">IF($M243="","",IF(INDEX('DỮ LIỆU'!$D$3:$D$1052,$M243)="","",INDEX('DỮ LIỆU'!$D$3:$D$1052,$M243)))</f>
        <v/>
      </c>
      <c r="F243" s="21" t="str">
        <f aca="false">IF($M243="","",IF(INDEX('DỮ LIỆU'!$H$3:$H$1052,$M243)="","",INDEX('DỮ LIỆU'!$H$3:$H$1052,$M243)))</f>
        <v/>
      </c>
      <c r="G243" s="13" t="str">
        <f aca="false">IF($M243="","",N(INDEX('DỮ LIỆU'!$I$3:$I$1052,$M243)))</f>
        <v/>
      </c>
      <c r="H243" s="13" t="str">
        <f aca="false">IF($M243="","",N(INDEX('DỮ LIỆU'!$J$3:$J$1052,$M243)))</f>
        <v/>
      </c>
      <c r="I243" s="13" t="str">
        <f aca="false">IF($M243="","",N(INDEX('DỮ LIỆU'!$N$3:$N$1052,$M243)))</f>
        <v/>
      </c>
      <c r="J243" s="13" t="str">
        <f aca="false">IF($M243="","",N(INDEX('DỮ LIỆU'!$O$3:$O$1052,$M243)))</f>
        <v/>
      </c>
      <c r="K243" s="13" t="str">
        <f aca="false">IF($M243="","",IF(INDEX('DỮ LIỆU'!$Q$3:$Q$1052,$M243)="","",INDEX('DỮ LIỆU'!$Q$3:$Q$1052,$M243)))</f>
        <v/>
      </c>
      <c r="L243" s="21" t="str">
        <f aca="false">IF($M243="","",IF(INDEX('DỮ LIỆU'!$R$3:$R$1052,$M243)="","",INDEX('DỮ LIỆU'!$R$3:$R$1052,$M243)))</f>
        <v/>
      </c>
      <c r="M243" s="0" t="str">
        <f aca="false">IFERROR(MATCH(238,'DỮ LIỆU'!$V$3:$V$1052,0),"")</f>
        <v/>
      </c>
    </row>
    <row r="244" customFormat="false" ht="15" hidden="false" customHeight="false" outlineLevel="0" collapsed="false">
      <c r="A244" s="21" t="str">
        <f aca="false">IF($M244="","",239)</f>
        <v/>
      </c>
      <c r="B244" s="13" t="str">
        <f aca="false">IF($M244="","",INDEX('DỮ LIỆU'!$A$3:$A$1052,$M244))</f>
        <v/>
      </c>
      <c r="C244" s="41" t="str">
        <f aca="false">IF($M244="","",IF(INDEX('DỮ LIỆU'!$B$3:$B$1052,$M244)="","",INDEX('DỮ LIỆU'!$B$3:$B$1052,$M244)))</f>
        <v/>
      </c>
      <c r="D244" s="21" t="str">
        <f aca="false">IF($M244="","",IF(INDEX('DỮ LIỆU'!$C$3:$C$1052,$M244)="","",INDEX('DỮ LIỆU'!$C$3:$C$1052,$M244)))</f>
        <v/>
      </c>
      <c r="E244" s="21" t="str">
        <f aca="false">IF($M244="","",IF(INDEX('DỮ LIỆU'!$D$3:$D$1052,$M244)="","",INDEX('DỮ LIỆU'!$D$3:$D$1052,$M244)))</f>
        <v/>
      </c>
      <c r="F244" s="21" t="str">
        <f aca="false">IF($M244="","",IF(INDEX('DỮ LIỆU'!$H$3:$H$1052,$M244)="","",INDEX('DỮ LIỆU'!$H$3:$H$1052,$M244)))</f>
        <v/>
      </c>
      <c r="G244" s="13" t="str">
        <f aca="false">IF($M244="","",N(INDEX('DỮ LIỆU'!$I$3:$I$1052,$M244)))</f>
        <v/>
      </c>
      <c r="H244" s="13" t="str">
        <f aca="false">IF($M244="","",N(INDEX('DỮ LIỆU'!$J$3:$J$1052,$M244)))</f>
        <v/>
      </c>
      <c r="I244" s="13" t="str">
        <f aca="false">IF($M244="","",N(INDEX('DỮ LIỆU'!$N$3:$N$1052,$M244)))</f>
        <v/>
      </c>
      <c r="J244" s="13" t="str">
        <f aca="false">IF($M244="","",N(INDEX('DỮ LIỆU'!$O$3:$O$1052,$M244)))</f>
        <v/>
      </c>
      <c r="K244" s="13" t="str">
        <f aca="false">IF($M244="","",IF(INDEX('DỮ LIỆU'!$Q$3:$Q$1052,$M244)="","",INDEX('DỮ LIỆU'!$Q$3:$Q$1052,$M244)))</f>
        <v/>
      </c>
      <c r="L244" s="21" t="str">
        <f aca="false">IF($M244="","",IF(INDEX('DỮ LIỆU'!$R$3:$R$1052,$M244)="","",INDEX('DỮ LIỆU'!$R$3:$R$1052,$M244)))</f>
        <v/>
      </c>
      <c r="M244" s="0" t="str">
        <f aca="false">IFERROR(MATCH(239,'DỮ LIỆU'!$V$3:$V$1052,0),"")</f>
        <v/>
      </c>
    </row>
    <row r="245" customFormat="false" ht="15" hidden="false" customHeight="false" outlineLevel="0" collapsed="false">
      <c r="A245" s="21" t="str">
        <f aca="false">IF($M245="","",240)</f>
        <v/>
      </c>
      <c r="B245" s="13" t="str">
        <f aca="false">IF($M245="","",INDEX('DỮ LIỆU'!$A$3:$A$1052,$M245))</f>
        <v/>
      </c>
      <c r="C245" s="41" t="str">
        <f aca="false">IF($M245="","",IF(INDEX('DỮ LIỆU'!$B$3:$B$1052,$M245)="","",INDEX('DỮ LIỆU'!$B$3:$B$1052,$M245)))</f>
        <v/>
      </c>
      <c r="D245" s="21" t="str">
        <f aca="false">IF($M245="","",IF(INDEX('DỮ LIỆU'!$C$3:$C$1052,$M245)="","",INDEX('DỮ LIỆU'!$C$3:$C$1052,$M245)))</f>
        <v/>
      </c>
      <c r="E245" s="21" t="str">
        <f aca="false">IF($M245="","",IF(INDEX('DỮ LIỆU'!$D$3:$D$1052,$M245)="","",INDEX('DỮ LIỆU'!$D$3:$D$1052,$M245)))</f>
        <v/>
      </c>
      <c r="F245" s="21" t="str">
        <f aca="false">IF($M245="","",IF(INDEX('DỮ LIỆU'!$H$3:$H$1052,$M245)="","",INDEX('DỮ LIỆU'!$H$3:$H$1052,$M245)))</f>
        <v/>
      </c>
      <c r="G245" s="13" t="str">
        <f aca="false">IF($M245="","",N(INDEX('DỮ LIỆU'!$I$3:$I$1052,$M245)))</f>
        <v/>
      </c>
      <c r="H245" s="13" t="str">
        <f aca="false">IF($M245="","",N(INDEX('DỮ LIỆU'!$J$3:$J$1052,$M245)))</f>
        <v/>
      </c>
      <c r="I245" s="13" t="str">
        <f aca="false">IF($M245="","",N(INDEX('DỮ LIỆU'!$N$3:$N$1052,$M245)))</f>
        <v/>
      </c>
      <c r="J245" s="13" t="str">
        <f aca="false">IF($M245="","",N(INDEX('DỮ LIỆU'!$O$3:$O$1052,$M245)))</f>
        <v/>
      </c>
      <c r="K245" s="13" t="str">
        <f aca="false">IF($M245="","",IF(INDEX('DỮ LIỆU'!$Q$3:$Q$1052,$M245)="","",INDEX('DỮ LIỆU'!$Q$3:$Q$1052,$M245)))</f>
        <v/>
      </c>
      <c r="L245" s="21" t="str">
        <f aca="false">IF($M245="","",IF(INDEX('DỮ LIỆU'!$R$3:$R$1052,$M245)="","",INDEX('DỮ LIỆU'!$R$3:$R$1052,$M245)))</f>
        <v/>
      </c>
      <c r="M245" s="0" t="str">
        <f aca="false">IFERROR(MATCH(240,'DỮ LIỆU'!$V$3:$V$1052,0),"")</f>
        <v/>
      </c>
    </row>
    <row r="246" customFormat="false" ht="15" hidden="false" customHeight="false" outlineLevel="0" collapsed="false">
      <c r="A246" s="21" t="str">
        <f aca="false">IF($M246="","",241)</f>
        <v/>
      </c>
      <c r="B246" s="13" t="str">
        <f aca="false">IF($M246="","",INDEX('DỮ LIỆU'!$A$3:$A$1052,$M246))</f>
        <v/>
      </c>
      <c r="C246" s="41" t="str">
        <f aca="false">IF($M246="","",IF(INDEX('DỮ LIỆU'!$B$3:$B$1052,$M246)="","",INDEX('DỮ LIỆU'!$B$3:$B$1052,$M246)))</f>
        <v/>
      </c>
      <c r="D246" s="21" t="str">
        <f aca="false">IF($M246="","",IF(INDEX('DỮ LIỆU'!$C$3:$C$1052,$M246)="","",INDEX('DỮ LIỆU'!$C$3:$C$1052,$M246)))</f>
        <v/>
      </c>
      <c r="E246" s="21" t="str">
        <f aca="false">IF($M246="","",IF(INDEX('DỮ LIỆU'!$D$3:$D$1052,$M246)="","",INDEX('DỮ LIỆU'!$D$3:$D$1052,$M246)))</f>
        <v/>
      </c>
      <c r="F246" s="21" t="str">
        <f aca="false">IF($M246="","",IF(INDEX('DỮ LIỆU'!$H$3:$H$1052,$M246)="","",INDEX('DỮ LIỆU'!$H$3:$H$1052,$M246)))</f>
        <v/>
      </c>
      <c r="G246" s="13" t="str">
        <f aca="false">IF($M246="","",N(INDEX('DỮ LIỆU'!$I$3:$I$1052,$M246)))</f>
        <v/>
      </c>
      <c r="H246" s="13" t="str">
        <f aca="false">IF($M246="","",N(INDEX('DỮ LIỆU'!$J$3:$J$1052,$M246)))</f>
        <v/>
      </c>
      <c r="I246" s="13" t="str">
        <f aca="false">IF($M246="","",N(INDEX('DỮ LIỆU'!$N$3:$N$1052,$M246)))</f>
        <v/>
      </c>
      <c r="J246" s="13" t="str">
        <f aca="false">IF($M246="","",N(INDEX('DỮ LIỆU'!$O$3:$O$1052,$M246)))</f>
        <v/>
      </c>
      <c r="K246" s="13" t="str">
        <f aca="false">IF($M246="","",IF(INDEX('DỮ LIỆU'!$Q$3:$Q$1052,$M246)="","",INDEX('DỮ LIỆU'!$Q$3:$Q$1052,$M246)))</f>
        <v/>
      </c>
      <c r="L246" s="21" t="str">
        <f aca="false">IF($M246="","",IF(INDEX('DỮ LIỆU'!$R$3:$R$1052,$M246)="","",INDEX('DỮ LIỆU'!$R$3:$R$1052,$M246)))</f>
        <v/>
      </c>
      <c r="M246" s="0" t="str">
        <f aca="false">IFERROR(MATCH(241,'DỮ LIỆU'!$V$3:$V$1052,0),"")</f>
        <v/>
      </c>
    </row>
    <row r="247" customFormat="false" ht="15" hidden="false" customHeight="false" outlineLevel="0" collapsed="false">
      <c r="A247" s="21" t="str">
        <f aca="false">IF($M247="","",242)</f>
        <v/>
      </c>
      <c r="B247" s="13" t="str">
        <f aca="false">IF($M247="","",INDEX('DỮ LIỆU'!$A$3:$A$1052,$M247))</f>
        <v/>
      </c>
      <c r="C247" s="41" t="str">
        <f aca="false">IF($M247="","",IF(INDEX('DỮ LIỆU'!$B$3:$B$1052,$M247)="","",INDEX('DỮ LIỆU'!$B$3:$B$1052,$M247)))</f>
        <v/>
      </c>
      <c r="D247" s="21" t="str">
        <f aca="false">IF($M247="","",IF(INDEX('DỮ LIỆU'!$C$3:$C$1052,$M247)="","",INDEX('DỮ LIỆU'!$C$3:$C$1052,$M247)))</f>
        <v/>
      </c>
      <c r="E247" s="21" t="str">
        <f aca="false">IF($M247="","",IF(INDEX('DỮ LIỆU'!$D$3:$D$1052,$M247)="","",INDEX('DỮ LIỆU'!$D$3:$D$1052,$M247)))</f>
        <v/>
      </c>
      <c r="F247" s="21" t="str">
        <f aca="false">IF($M247="","",IF(INDEX('DỮ LIỆU'!$H$3:$H$1052,$M247)="","",INDEX('DỮ LIỆU'!$H$3:$H$1052,$M247)))</f>
        <v/>
      </c>
      <c r="G247" s="13" t="str">
        <f aca="false">IF($M247="","",N(INDEX('DỮ LIỆU'!$I$3:$I$1052,$M247)))</f>
        <v/>
      </c>
      <c r="H247" s="13" t="str">
        <f aca="false">IF($M247="","",N(INDEX('DỮ LIỆU'!$J$3:$J$1052,$M247)))</f>
        <v/>
      </c>
      <c r="I247" s="13" t="str">
        <f aca="false">IF($M247="","",N(INDEX('DỮ LIỆU'!$N$3:$N$1052,$M247)))</f>
        <v/>
      </c>
      <c r="J247" s="13" t="str">
        <f aca="false">IF($M247="","",N(INDEX('DỮ LIỆU'!$O$3:$O$1052,$M247)))</f>
        <v/>
      </c>
      <c r="K247" s="13" t="str">
        <f aca="false">IF($M247="","",IF(INDEX('DỮ LIỆU'!$Q$3:$Q$1052,$M247)="","",INDEX('DỮ LIỆU'!$Q$3:$Q$1052,$M247)))</f>
        <v/>
      </c>
      <c r="L247" s="21" t="str">
        <f aca="false">IF($M247="","",IF(INDEX('DỮ LIỆU'!$R$3:$R$1052,$M247)="","",INDEX('DỮ LIỆU'!$R$3:$R$1052,$M247)))</f>
        <v/>
      </c>
      <c r="M247" s="0" t="str">
        <f aca="false">IFERROR(MATCH(242,'DỮ LIỆU'!$V$3:$V$1052,0),"")</f>
        <v/>
      </c>
    </row>
    <row r="248" customFormat="false" ht="15" hidden="false" customHeight="false" outlineLevel="0" collapsed="false">
      <c r="A248" s="21" t="str">
        <f aca="false">IF($M248="","",243)</f>
        <v/>
      </c>
      <c r="B248" s="13" t="str">
        <f aca="false">IF($M248="","",INDEX('DỮ LIỆU'!$A$3:$A$1052,$M248))</f>
        <v/>
      </c>
      <c r="C248" s="41" t="str">
        <f aca="false">IF($M248="","",IF(INDEX('DỮ LIỆU'!$B$3:$B$1052,$M248)="","",INDEX('DỮ LIỆU'!$B$3:$B$1052,$M248)))</f>
        <v/>
      </c>
      <c r="D248" s="21" t="str">
        <f aca="false">IF($M248="","",IF(INDEX('DỮ LIỆU'!$C$3:$C$1052,$M248)="","",INDEX('DỮ LIỆU'!$C$3:$C$1052,$M248)))</f>
        <v/>
      </c>
      <c r="E248" s="21" t="str">
        <f aca="false">IF($M248="","",IF(INDEX('DỮ LIỆU'!$D$3:$D$1052,$M248)="","",INDEX('DỮ LIỆU'!$D$3:$D$1052,$M248)))</f>
        <v/>
      </c>
      <c r="F248" s="21" t="str">
        <f aca="false">IF($M248="","",IF(INDEX('DỮ LIỆU'!$H$3:$H$1052,$M248)="","",INDEX('DỮ LIỆU'!$H$3:$H$1052,$M248)))</f>
        <v/>
      </c>
      <c r="G248" s="13" t="str">
        <f aca="false">IF($M248="","",N(INDEX('DỮ LIỆU'!$I$3:$I$1052,$M248)))</f>
        <v/>
      </c>
      <c r="H248" s="13" t="str">
        <f aca="false">IF($M248="","",N(INDEX('DỮ LIỆU'!$J$3:$J$1052,$M248)))</f>
        <v/>
      </c>
      <c r="I248" s="13" t="str">
        <f aca="false">IF($M248="","",N(INDEX('DỮ LIỆU'!$N$3:$N$1052,$M248)))</f>
        <v/>
      </c>
      <c r="J248" s="13" t="str">
        <f aca="false">IF($M248="","",N(INDEX('DỮ LIỆU'!$O$3:$O$1052,$M248)))</f>
        <v/>
      </c>
      <c r="K248" s="13" t="str">
        <f aca="false">IF($M248="","",IF(INDEX('DỮ LIỆU'!$Q$3:$Q$1052,$M248)="","",INDEX('DỮ LIỆU'!$Q$3:$Q$1052,$M248)))</f>
        <v/>
      </c>
      <c r="L248" s="21" t="str">
        <f aca="false">IF($M248="","",IF(INDEX('DỮ LIỆU'!$R$3:$R$1052,$M248)="","",INDEX('DỮ LIỆU'!$R$3:$R$1052,$M248)))</f>
        <v/>
      </c>
      <c r="M248" s="0" t="str">
        <f aca="false">IFERROR(MATCH(243,'DỮ LIỆU'!$V$3:$V$1052,0),"")</f>
        <v/>
      </c>
    </row>
    <row r="249" customFormat="false" ht="15" hidden="false" customHeight="false" outlineLevel="0" collapsed="false">
      <c r="A249" s="21" t="str">
        <f aca="false">IF($M249="","",244)</f>
        <v/>
      </c>
      <c r="B249" s="13" t="str">
        <f aca="false">IF($M249="","",INDEX('DỮ LIỆU'!$A$3:$A$1052,$M249))</f>
        <v/>
      </c>
      <c r="C249" s="41" t="str">
        <f aca="false">IF($M249="","",IF(INDEX('DỮ LIỆU'!$B$3:$B$1052,$M249)="","",INDEX('DỮ LIỆU'!$B$3:$B$1052,$M249)))</f>
        <v/>
      </c>
      <c r="D249" s="21" t="str">
        <f aca="false">IF($M249="","",IF(INDEX('DỮ LIỆU'!$C$3:$C$1052,$M249)="","",INDEX('DỮ LIỆU'!$C$3:$C$1052,$M249)))</f>
        <v/>
      </c>
      <c r="E249" s="21" t="str">
        <f aca="false">IF($M249="","",IF(INDEX('DỮ LIỆU'!$D$3:$D$1052,$M249)="","",INDEX('DỮ LIỆU'!$D$3:$D$1052,$M249)))</f>
        <v/>
      </c>
      <c r="F249" s="21" t="str">
        <f aca="false">IF($M249="","",IF(INDEX('DỮ LIỆU'!$H$3:$H$1052,$M249)="","",INDEX('DỮ LIỆU'!$H$3:$H$1052,$M249)))</f>
        <v/>
      </c>
      <c r="G249" s="13" t="str">
        <f aca="false">IF($M249="","",N(INDEX('DỮ LIỆU'!$I$3:$I$1052,$M249)))</f>
        <v/>
      </c>
      <c r="H249" s="13" t="str">
        <f aca="false">IF($M249="","",N(INDEX('DỮ LIỆU'!$J$3:$J$1052,$M249)))</f>
        <v/>
      </c>
      <c r="I249" s="13" t="str">
        <f aca="false">IF($M249="","",N(INDEX('DỮ LIỆU'!$N$3:$N$1052,$M249)))</f>
        <v/>
      </c>
      <c r="J249" s="13" t="str">
        <f aca="false">IF($M249="","",N(INDEX('DỮ LIỆU'!$O$3:$O$1052,$M249)))</f>
        <v/>
      </c>
      <c r="K249" s="13" t="str">
        <f aca="false">IF($M249="","",IF(INDEX('DỮ LIỆU'!$Q$3:$Q$1052,$M249)="","",INDEX('DỮ LIỆU'!$Q$3:$Q$1052,$M249)))</f>
        <v/>
      </c>
      <c r="L249" s="21" t="str">
        <f aca="false">IF($M249="","",IF(INDEX('DỮ LIỆU'!$R$3:$R$1052,$M249)="","",INDEX('DỮ LIỆU'!$R$3:$R$1052,$M249)))</f>
        <v/>
      </c>
      <c r="M249" s="0" t="str">
        <f aca="false">IFERROR(MATCH(244,'DỮ LIỆU'!$V$3:$V$1052,0),"")</f>
        <v/>
      </c>
    </row>
    <row r="250" customFormat="false" ht="15" hidden="false" customHeight="false" outlineLevel="0" collapsed="false">
      <c r="A250" s="21" t="str">
        <f aca="false">IF($M250="","",245)</f>
        <v/>
      </c>
      <c r="B250" s="13" t="str">
        <f aca="false">IF($M250="","",INDEX('DỮ LIỆU'!$A$3:$A$1052,$M250))</f>
        <v/>
      </c>
      <c r="C250" s="41" t="str">
        <f aca="false">IF($M250="","",IF(INDEX('DỮ LIỆU'!$B$3:$B$1052,$M250)="","",INDEX('DỮ LIỆU'!$B$3:$B$1052,$M250)))</f>
        <v/>
      </c>
      <c r="D250" s="21" t="str">
        <f aca="false">IF($M250="","",IF(INDEX('DỮ LIỆU'!$C$3:$C$1052,$M250)="","",INDEX('DỮ LIỆU'!$C$3:$C$1052,$M250)))</f>
        <v/>
      </c>
      <c r="E250" s="21" t="str">
        <f aca="false">IF($M250="","",IF(INDEX('DỮ LIỆU'!$D$3:$D$1052,$M250)="","",INDEX('DỮ LIỆU'!$D$3:$D$1052,$M250)))</f>
        <v/>
      </c>
      <c r="F250" s="21" t="str">
        <f aca="false">IF($M250="","",IF(INDEX('DỮ LIỆU'!$H$3:$H$1052,$M250)="","",INDEX('DỮ LIỆU'!$H$3:$H$1052,$M250)))</f>
        <v/>
      </c>
      <c r="G250" s="13" t="str">
        <f aca="false">IF($M250="","",N(INDEX('DỮ LIỆU'!$I$3:$I$1052,$M250)))</f>
        <v/>
      </c>
      <c r="H250" s="13" t="str">
        <f aca="false">IF($M250="","",N(INDEX('DỮ LIỆU'!$J$3:$J$1052,$M250)))</f>
        <v/>
      </c>
      <c r="I250" s="13" t="str">
        <f aca="false">IF($M250="","",N(INDEX('DỮ LIỆU'!$N$3:$N$1052,$M250)))</f>
        <v/>
      </c>
      <c r="J250" s="13" t="str">
        <f aca="false">IF($M250="","",N(INDEX('DỮ LIỆU'!$O$3:$O$1052,$M250)))</f>
        <v/>
      </c>
      <c r="K250" s="13" t="str">
        <f aca="false">IF($M250="","",IF(INDEX('DỮ LIỆU'!$Q$3:$Q$1052,$M250)="","",INDEX('DỮ LIỆU'!$Q$3:$Q$1052,$M250)))</f>
        <v/>
      </c>
      <c r="L250" s="21" t="str">
        <f aca="false">IF($M250="","",IF(INDEX('DỮ LIỆU'!$R$3:$R$1052,$M250)="","",INDEX('DỮ LIỆU'!$R$3:$R$1052,$M250)))</f>
        <v/>
      </c>
      <c r="M250" s="0" t="str">
        <f aca="false">IFERROR(MATCH(245,'DỮ LIỆU'!$V$3:$V$1052,0),"")</f>
        <v/>
      </c>
    </row>
    <row r="251" customFormat="false" ht="15" hidden="false" customHeight="false" outlineLevel="0" collapsed="false">
      <c r="A251" s="21" t="str">
        <f aca="false">IF($M251="","",246)</f>
        <v/>
      </c>
      <c r="B251" s="13" t="str">
        <f aca="false">IF($M251="","",INDEX('DỮ LIỆU'!$A$3:$A$1052,$M251))</f>
        <v/>
      </c>
      <c r="C251" s="41" t="str">
        <f aca="false">IF($M251="","",IF(INDEX('DỮ LIỆU'!$B$3:$B$1052,$M251)="","",INDEX('DỮ LIỆU'!$B$3:$B$1052,$M251)))</f>
        <v/>
      </c>
      <c r="D251" s="21" t="str">
        <f aca="false">IF($M251="","",IF(INDEX('DỮ LIỆU'!$C$3:$C$1052,$M251)="","",INDEX('DỮ LIỆU'!$C$3:$C$1052,$M251)))</f>
        <v/>
      </c>
      <c r="E251" s="21" t="str">
        <f aca="false">IF($M251="","",IF(INDEX('DỮ LIỆU'!$D$3:$D$1052,$M251)="","",INDEX('DỮ LIỆU'!$D$3:$D$1052,$M251)))</f>
        <v/>
      </c>
      <c r="F251" s="21" t="str">
        <f aca="false">IF($M251="","",IF(INDEX('DỮ LIỆU'!$H$3:$H$1052,$M251)="","",INDEX('DỮ LIỆU'!$H$3:$H$1052,$M251)))</f>
        <v/>
      </c>
      <c r="G251" s="13" t="str">
        <f aca="false">IF($M251="","",N(INDEX('DỮ LIỆU'!$I$3:$I$1052,$M251)))</f>
        <v/>
      </c>
      <c r="H251" s="13" t="str">
        <f aca="false">IF($M251="","",N(INDEX('DỮ LIỆU'!$J$3:$J$1052,$M251)))</f>
        <v/>
      </c>
      <c r="I251" s="13" t="str">
        <f aca="false">IF($M251="","",N(INDEX('DỮ LIỆU'!$N$3:$N$1052,$M251)))</f>
        <v/>
      </c>
      <c r="J251" s="13" t="str">
        <f aca="false">IF($M251="","",N(INDEX('DỮ LIỆU'!$O$3:$O$1052,$M251)))</f>
        <v/>
      </c>
      <c r="K251" s="13" t="str">
        <f aca="false">IF($M251="","",IF(INDEX('DỮ LIỆU'!$Q$3:$Q$1052,$M251)="","",INDEX('DỮ LIỆU'!$Q$3:$Q$1052,$M251)))</f>
        <v/>
      </c>
      <c r="L251" s="21" t="str">
        <f aca="false">IF($M251="","",IF(INDEX('DỮ LIỆU'!$R$3:$R$1052,$M251)="","",INDEX('DỮ LIỆU'!$R$3:$R$1052,$M251)))</f>
        <v/>
      </c>
      <c r="M251" s="0" t="str">
        <f aca="false">IFERROR(MATCH(246,'DỮ LIỆU'!$V$3:$V$1052,0),"")</f>
        <v/>
      </c>
    </row>
    <row r="252" customFormat="false" ht="15" hidden="false" customHeight="false" outlineLevel="0" collapsed="false">
      <c r="A252" s="21" t="str">
        <f aca="false">IF($M252="","",247)</f>
        <v/>
      </c>
      <c r="B252" s="13" t="str">
        <f aca="false">IF($M252="","",INDEX('DỮ LIỆU'!$A$3:$A$1052,$M252))</f>
        <v/>
      </c>
      <c r="C252" s="41" t="str">
        <f aca="false">IF($M252="","",IF(INDEX('DỮ LIỆU'!$B$3:$B$1052,$M252)="","",INDEX('DỮ LIỆU'!$B$3:$B$1052,$M252)))</f>
        <v/>
      </c>
      <c r="D252" s="21" t="str">
        <f aca="false">IF($M252="","",IF(INDEX('DỮ LIỆU'!$C$3:$C$1052,$M252)="","",INDEX('DỮ LIỆU'!$C$3:$C$1052,$M252)))</f>
        <v/>
      </c>
      <c r="E252" s="21" t="str">
        <f aca="false">IF($M252="","",IF(INDEX('DỮ LIỆU'!$D$3:$D$1052,$M252)="","",INDEX('DỮ LIỆU'!$D$3:$D$1052,$M252)))</f>
        <v/>
      </c>
      <c r="F252" s="21" t="str">
        <f aca="false">IF($M252="","",IF(INDEX('DỮ LIỆU'!$H$3:$H$1052,$M252)="","",INDEX('DỮ LIỆU'!$H$3:$H$1052,$M252)))</f>
        <v/>
      </c>
      <c r="G252" s="13" t="str">
        <f aca="false">IF($M252="","",N(INDEX('DỮ LIỆU'!$I$3:$I$1052,$M252)))</f>
        <v/>
      </c>
      <c r="H252" s="13" t="str">
        <f aca="false">IF($M252="","",N(INDEX('DỮ LIỆU'!$J$3:$J$1052,$M252)))</f>
        <v/>
      </c>
      <c r="I252" s="13" t="str">
        <f aca="false">IF($M252="","",N(INDEX('DỮ LIỆU'!$N$3:$N$1052,$M252)))</f>
        <v/>
      </c>
      <c r="J252" s="13" t="str">
        <f aca="false">IF($M252="","",N(INDEX('DỮ LIỆU'!$O$3:$O$1052,$M252)))</f>
        <v/>
      </c>
      <c r="K252" s="13" t="str">
        <f aca="false">IF($M252="","",IF(INDEX('DỮ LIỆU'!$Q$3:$Q$1052,$M252)="","",INDEX('DỮ LIỆU'!$Q$3:$Q$1052,$M252)))</f>
        <v/>
      </c>
      <c r="L252" s="21" t="str">
        <f aca="false">IF($M252="","",IF(INDEX('DỮ LIỆU'!$R$3:$R$1052,$M252)="","",INDEX('DỮ LIỆU'!$R$3:$R$1052,$M252)))</f>
        <v/>
      </c>
      <c r="M252" s="0" t="str">
        <f aca="false">IFERROR(MATCH(247,'DỮ LIỆU'!$V$3:$V$1052,0),"")</f>
        <v/>
      </c>
    </row>
    <row r="253" customFormat="false" ht="15" hidden="false" customHeight="false" outlineLevel="0" collapsed="false">
      <c r="A253" s="21" t="str">
        <f aca="false">IF($M253="","",248)</f>
        <v/>
      </c>
      <c r="B253" s="13" t="str">
        <f aca="false">IF($M253="","",INDEX('DỮ LIỆU'!$A$3:$A$1052,$M253))</f>
        <v/>
      </c>
      <c r="C253" s="41" t="str">
        <f aca="false">IF($M253="","",IF(INDEX('DỮ LIỆU'!$B$3:$B$1052,$M253)="","",INDEX('DỮ LIỆU'!$B$3:$B$1052,$M253)))</f>
        <v/>
      </c>
      <c r="D253" s="21" t="str">
        <f aca="false">IF($M253="","",IF(INDEX('DỮ LIỆU'!$C$3:$C$1052,$M253)="","",INDEX('DỮ LIỆU'!$C$3:$C$1052,$M253)))</f>
        <v/>
      </c>
      <c r="E253" s="21" t="str">
        <f aca="false">IF($M253="","",IF(INDEX('DỮ LIỆU'!$D$3:$D$1052,$M253)="","",INDEX('DỮ LIỆU'!$D$3:$D$1052,$M253)))</f>
        <v/>
      </c>
      <c r="F253" s="21" t="str">
        <f aca="false">IF($M253="","",IF(INDEX('DỮ LIỆU'!$H$3:$H$1052,$M253)="","",INDEX('DỮ LIỆU'!$H$3:$H$1052,$M253)))</f>
        <v/>
      </c>
      <c r="G253" s="13" t="str">
        <f aca="false">IF($M253="","",N(INDEX('DỮ LIỆU'!$I$3:$I$1052,$M253)))</f>
        <v/>
      </c>
      <c r="H253" s="13" t="str">
        <f aca="false">IF($M253="","",N(INDEX('DỮ LIỆU'!$J$3:$J$1052,$M253)))</f>
        <v/>
      </c>
      <c r="I253" s="13" t="str">
        <f aca="false">IF($M253="","",N(INDEX('DỮ LIỆU'!$N$3:$N$1052,$M253)))</f>
        <v/>
      </c>
      <c r="J253" s="13" t="str">
        <f aca="false">IF($M253="","",N(INDEX('DỮ LIỆU'!$O$3:$O$1052,$M253)))</f>
        <v/>
      </c>
      <c r="K253" s="13" t="str">
        <f aca="false">IF($M253="","",IF(INDEX('DỮ LIỆU'!$Q$3:$Q$1052,$M253)="","",INDEX('DỮ LIỆU'!$Q$3:$Q$1052,$M253)))</f>
        <v/>
      </c>
      <c r="L253" s="21" t="str">
        <f aca="false">IF($M253="","",IF(INDEX('DỮ LIỆU'!$R$3:$R$1052,$M253)="","",INDEX('DỮ LIỆU'!$R$3:$R$1052,$M253)))</f>
        <v/>
      </c>
      <c r="M253" s="0" t="str">
        <f aca="false">IFERROR(MATCH(248,'DỮ LIỆU'!$V$3:$V$1052,0),"")</f>
        <v/>
      </c>
    </row>
    <row r="254" customFormat="false" ht="15" hidden="false" customHeight="false" outlineLevel="0" collapsed="false">
      <c r="A254" s="21" t="str">
        <f aca="false">IF($M254="","",249)</f>
        <v/>
      </c>
      <c r="B254" s="13" t="str">
        <f aca="false">IF($M254="","",INDEX('DỮ LIỆU'!$A$3:$A$1052,$M254))</f>
        <v/>
      </c>
      <c r="C254" s="41" t="str">
        <f aca="false">IF($M254="","",IF(INDEX('DỮ LIỆU'!$B$3:$B$1052,$M254)="","",INDEX('DỮ LIỆU'!$B$3:$B$1052,$M254)))</f>
        <v/>
      </c>
      <c r="D254" s="21" t="str">
        <f aca="false">IF($M254="","",IF(INDEX('DỮ LIỆU'!$C$3:$C$1052,$M254)="","",INDEX('DỮ LIỆU'!$C$3:$C$1052,$M254)))</f>
        <v/>
      </c>
      <c r="E254" s="21" t="str">
        <f aca="false">IF($M254="","",IF(INDEX('DỮ LIỆU'!$D$3:$D$1052,$M254)="","",INDEX('DỮ LIỆU'!$D$3:$D$1052,$M254)))</f>
        <v/>
      </c>
      <c r="F254" s="21" t="str">
        <f aca="false">IF($M254="","",IF(INDEX('DỮ LIỆU'!$H$3:$H$1052,$M254)="","",INDEX('DỮ LIỆU'!$H$3:$H$1052,$M254)))</f>
        <v/>
      </c>
      <c r="G254" s="13" t="str">
        <f aca="false">IF($M254="","",N(INDEX('DỮ LIỆU'!$I$3:$I$1052,$M254)))</f>
        <v/>
      </c>
      <c r="H254" s="13" t="str">
        <f aca="false">IF($M254="","",N(INDEX('DỮ LIỆU'!$J$3:$J$1052,$M254)))</f>
        <v/>
      </c>
      <c r="I254" s="13" t="str">
        <f aca="false">IF($M254="","",N(INDEX('DỮ LIỆU'!$N$3:$N$1052,$M254)))</f>
        <v/>
      </c>
      <c r="J254" s="13" t="str">
        <f aca="false">IF($M254="","",N(INDEX('DỮ LIỆU'!$O$3:$O$1052,$M254)))</f>
        <v/>
      </c>
      <c r="K254" s="13" t="str">
        <f aca="false">IF($M254="","",IF(INDEX('DỮ LIỆU'!$Q$3:$Q$1052,$M254)="","",INDEX('DỮ LIỆU'!$Q$3:$Q$1052,$M254)))</f>
        <v/>
      </c>
      <c r="L254" s="21" t="str">
        <f aca="false">IF($M254="","",IF(INDEX('DỮ LIỆU'!$R$3:$R$1052,$M254)="","",INDEX('DỮ LIỆU'!$R$3:$R$1052,$M254)))</f>
        <v/>
      </c>
      <c r="M254" s="0" t="str">
        <f aca="false">IFERROR(MATCH(249,'DỮ LIỆU'!$V$3:$V$1052,0),"")</f>
        <v/>
      </c>
    </row>
    <row r="255" customFormat="false" ht="15" hidden="false" customHeight="false" outlineLevel="0" collapsed="false">
      <c r="A255" s="21" t="str">
        <f aca="false">IF($M255="","",250)</f>
        <v/>
      </c>
      <c r="B255" s="13" t="str">
        <f aca="false">IF($M255="","",INDEX('DỮ LIỆU'!$A$3:$A$1052,$M255))</f>
        <v/>
      </c>
      <c r="C255" s="41" t="str">
        <f aca="false">IF($M255="","",IF(INDEX('DỮ LIỆU'!$B$3:$B$1052,$M255)="","",INDEX('DỮ LIỆU'!$B$3:$B$1052,$M255)))</f>
        <v/>
      </c>
      <c r="D255" s="21" t="str">
        <f aca="false">IF($M255="","",IF(INDEX('DỮ LIỆU'!$C$3:$C$1052,$M255)="","",INDEX('DỮ LIỆU'!$C$3:$C$1052,$M255)))</f>
        <v/>
      </c>
      <c r="E255" s="21" t="str">
        <f aca="false">IF($M255="","",IF(INDEX('DỮ LIỆU'!$D$3:$D$1052,$M255)="","",INDEX('DỮ LIỆU'!$D$3:$D$1052,$M255)))</f>
        <v/>
      </c>
      <c r="F255" s="21" t="str">
        <f aca="false">IF($M255="","",IF(INDEX('DỮ LIỆU'!$H$3:$H$1052,$M255)="","",INDEX('DỮ LIỆU'!$H$3:$H$1052,$M255)))</f>
        <v/>
      </c>
      <c r="G255" s="13" t="str">
        <f aca="false">IF($M255="","",N(INDEX('DỮ LIỆU'!$I$3:$I$1052,$M255)))</f>
        <v/>
      </c>
      <c r="H255" s="13" t="str">
        <f aca="false">IF($M255="","",N(INDEX('DỮ LIỆU'!$J$3:$J$1052,$M255)))</f>
        <v/>
      </c>
      <c r="I255" s="13" t="str">
        <f aca="false">IF($M255="","",N(INDEX('DỮ LIỆU'!$N$3:$N$1052,$M255)))</f>
        <v/>
      </c>
      <c r="J255" s="13" t="str">
        <f aca="false">IF($M255="","",N(INDEX('DỮ LIỆU'!$O$3:$O$1052,$M255)))</f>
        <v/>
      </c>
      <c r="K255" s="13" t="str">
        <f aca="false">IF($M255="","",IF(INDEX('DỮ LIỆU'!$Q$3:$Q$1052,$M255)="","",INDEX('DỮ LIỆU'!$Q$3:$Q$1052,$M255)))</f>
        <v/>
      </c>
      <c r="L255" s="21" t="str">
        <f aca="false">IF($M255="","",IF(INDEX('DỮ LIỆU'!$R$3:$R$1052,$M255)="","",INDEX('DỮ LIỆU'!$R$3:$R$1052,$M255)))</f>
        <v/>
      </c>
      <c r="M255" s="0" t="str">
        <f aca="false">IFERROR(MATCH(250,'DỮ LIỆU'!$V$3:$V$1052,0),"")</f>
        <v/>
      </c>
    </row>
    <row r="256" customFormat="false" ht="15" hidden="false" customHeight="false" outlineLevel="0" collapsed="false">
      <c r="A256" s="21" t="str">
        <f aca="false">IF($M256="","",251)</f>
        <v/>
      </c>
      <c r="B256" s="13" t="str">
        <f aca="false">IF($M256="","",INDEX('DỮ LIỆU'!$A$3:$A$1052,$M256))</f>
        <v/>
      </c>
      <c r="C256" s="41" t="str">
        <f aca="false">IF($M256="","",IF(INDEX('DỮ LIỆU'!$B$3:$B$1052,$M256)="","",INDEX('DỮ LIỆU'!$B$3:$B$1052,$M256)))</f>
        <v/>
      </c>
      <c r="D256" s="21" t="str">
        <f aca="false">IF($M256="","",IF(INDEX('DỮ LIỆU'!$C$3:$C$1052,$M256)="","",INDEX('DỮ LIỆU'!$C$3:$C$1052,$M256)))</f>
        <v/>
      </c>
      <c r="E256" s="21" t="str">
        <f aca="false">IF($M256="","",IF(INDEX('DỮ LIỆU'!$D$3:$D$1052,$M256)="","",INDEX('DỮ LIỆU'!$D$3:$D$1052,$M256)))</f>
        <v/>
      </c>
      <c r="F256" s="21" t="str">
        <f aca="false">IF($M256="","",IF(INDEX('DỮ LIỆU'!$H$3:$H$1052,$M256)="","",INDEX('DỮ LIỆU'!$H$3:$H$1052,$M256)))</f>
        <v/>
      </c>
      <c r="G256" s="13" t="str">
        <f aca="false">IF($M256="","",N(INDEX('DỮ LIỆU'!$I$3:$I$1052,$M256)))</f>
        <v/>
      </c>
      <c r="H256" s="13" t="str">
        <f aca="false">IF($M256="","",N(INDEX('DỮ LIỆU'!$J$3:$J$1052,$M256)))</f>
        <v/>
      </c>
      <c r="I256" s="13" t="str">
        <f aca="false">IF($M256="","",N(INDEX('DỮ LIỆU'!$N$3:$N$1052,$M256)))</f>
        <v/>
      </c>
      <c r="J256" s="13" t="str">
        <f aca="false">IF($M256="","",N(INDEX('DỮ LIỆU'!$O$3:$O$1052,$M256)))</f>
        <v/>
      </c>
      <c r="K256" s="13" t="str">
        <f aca="false">IF($M256="","",IF(INDEX('DỮ LIỆU'!$Q$3:$Q$1052,$M256)="","",INDEX('DỮ LIỆU'!$Q$3:$Q$1052,$M256)))</f>
        <v/>
      </c>
      <c r="L256" s="21" t="str">
        <f aca="false">IF($M256="","",IF(INDEX('DỮ LIỆU'!$R$3:$R$1052,$M256)="","",INDEX('DỮ LIỆU'!$R$3:$R$1052,$M256)))</f>
        <v/>
      </c>
      <c r="M256" s="0" t="str">
        <f aca="false">IFERROR(MATCH(251,'DỮ LIỆU'!$V$3:$V$1052,0),"")</f>
        <v/>
      </c>
    </row>
    <row r="257" customFormat="false" ht="15" hidden="false" customHeight="false" outlineLevel="0" collapsed="false">
      <c r="A257" s="21" t="str">
        <f aca="false">IF($M257="","",252)</f>
        <v/>
      </c>
      <c r="B257" s="13" t="str">
        <f aca="false">IF($M257="","",INDEX('DỮ LIỆU'!$A$3:$A$1052,$M257))</f>
        <v/>
      </c>
      <c r="C257" s="41" t="str">
        <f aca="false">IF($M257="","",IF(INDEX('DỮ LIỆU'!$B$3:$B$1052,$M257)="","",INDEX('DỮ LIỆU'!$B$3:$B$1052,$M257)))</f>
        <v/>
      </c>
      <c r="D257" s="21" t="str">
        <f aca="false">IF($M257="","",IF(INDEX('DỮ LIỆU'!$C$3:$C$1052,$M257)="","",INDEX('DỮ LIỆU'!$C$3:$C$1052,$M257)))</f>
        <v/>
      </c>
      <c r="E257" s="21" t="str">
        <f aca="false">IF($M257="","",IF(INDEX('DỮ LIỆU'!$D$3:$D$1052,$M257)="","",INDEX('DỮ LIỆU'!$D$3:$D$1052,$M257)))</f>
        <v/>
      </c>
      <c r="F257" s="21" t="str">
        <f aca="false">IF($M257="","",IF(INDEX('DỮ LIỆU'!$H$3:$H$1052,$M257)="","",INDEX('DỮ LIỆU'!$H$3:$H$1052,$M257)))</f>
        <v/>
      </c>
      <c r="G257" s="13" t="str">
        <f aca="false">IF($M257="","",N(INDEX('DỮ LIỆU'!$I$3:$I$1052,$M257)))</f>
        <v/>
      </c>
      <c r="H257" s="13" t="str">
        <f aca="false">IF($M257="","",N(INDEX('DỮ LIỆU'!$J$3:$J$1052,$M257)))</f>
        <v/>
      </c>
      <c r="I257" s="13" t="str">
        <f aca="false">IF($M257="","",N(INDEX('DỮ LIỆU'!$N$3:$N$1052,$M257)))</f>
        <v/>
      </c>
      <c r="J257" s="13" t="str">
        <f aca="false">IF($M257="","",N(INDEX('DỮ LIỆU'!$O$3:$O$1052,$M257)))</f>
        <v/>
      </c>
      <c r="K257" s="13" t="str">
        <f aca="false">IF($M257="","",IF(INDEX('DỮ LIỆU'!$Q$3:$Q$1052,$M257)="","",INDEX('DỮ LIỆU'!$Q$3:$Q$1052,$M257)))</f>
        <v/>
      </c>
      <c r="L257" s="21" t="str">
        <f aca="false">IF($M257="","",IF(INDEX('DỮ LIỆU'!$R$3:$R$1052,$M257)="","",INDEX('DỮ LIỆU'!$R$3:$R$1052,$M257)))</f>
        <v/>
      </c>
      <c r="M257" s="0" t="str">
        <f aca="false">IFERROR(MATCH(252,'DỮ LIỆU'!$V$3:$V$1052,0),"")</f>
        <v/>
      </c>
    </row>
    <row r="258" customFormat="false" ht="15" hidden="false" customHeight="false" outlineLevel="0" collapsed="false">
      <c r="A258" s="21" t="str">
        <f aca="false">IF($M258="","",253)</f>
        <v/>
      </c>
      <c r="B258" s="13" t="str">
        <f aca="false">IF($M258="","",INDEX('DỮ LIỆU'!$A$3:$A$1052,$M258))</f>
        <v/>
      </c>
      <c r="C258" s="41" t="str">
        <f aca="false">IF($M258="","",IF(INDEX('DỮ LIỆU'!$B$3:$B$1052,$M258)="","",INDEX('DỮ LIỆU'!$B$3:$B$1052,$M258)))</f>
        <v/>
      </c>
      <c r="D258" s="21" t="str">
        <f aca="false">IF($M258="","",IF(INDEX('DỮ LIỆU'!$C$3:$C$1052,$M258)="","",INDEX('DỮ LIỆU'!$C$3:$C$1052,$M258)))</f>
        <v/>
      </c>
      <c r="E258" s="21" t="str">
        <f aca="false">IF($M258="","",IF(INDEX('DỮ LIỆU'!$D$3:$D$1052,$M258)="","",INDEX('DỮ LIỆU'!$D$3:$D$1052,$M258)))</f>
        <v/>
      </c>
      <c r="F258" s="21" t="str">
        <f aca="false">IF($M258="","",IF(INDEX('DỮ LIỆU'!$H$3:$H$1052,$M258)="","",INDEX('DỮ LIỆU'!$H$3:$H$1052,$M258)))</f>
        <v/>
      </c>
      <c r="G258" s="13" t="str">
        <f aca="false">IF($M258="","",N(INDEX('DỮ LIỆU'!$I$3:$I$1052,$M258)))</f>
        <v/>
      </c>
      <c r="H258" s="13" t="str">
        <f aca="false">IF($M258="","",N(INDEX('DỮ LIỆU'!$J$3:$J$1052,$M258)))</f>
        <v/>
      </c>
      <c r="I258" s="13" t="str">
        <f aca="false">IF($M258="","",N(INDEX('DỮ LIỆU'!$N$3:$N$1052,$M258)))</f>
        <v/>
      </c>
      <c r="J258" s="13" t="str">
        <f aca="false">IF($M258="","",N(INDEX('DỮ LIỆU'!$O$3:$O$1052,$M258)))</f>
        <v/>
      </c>
      <c r="K258" s="13" t="str">
        <f aca="false">IF($M258="","",IF(INDEX('DỮ LIỆU'!$Q$3:$Q$1052,$M258)="","",INDEX('DỮ LIỆU'!$Q$3:$Q$1052,$M258)))</f>
        <v/>
      </c>
      <c r="L258" s="21" t="str">
        <f aca="false">IF($M258="","",IF(INDEX('DỮ LIỆU'!$R$3:$R$1052,$M258)="","",INDEX('DỮ LIỆU'!$R$3:$R$1052,$M258)))</f>
        <v/>
      </c>
      <c r="M258" s="0" t="str">
        <f aca="false">IFERROR(MATCH(253,'DỮ LIỆU'!$V$3:$V$1052,0),"")</f>
        <v/>
      </c>
    </row>
    <row r="259" customFormat="false" ht="15" hidden="false" customHeight="false" outlineLevel="0" collapsed="false">
      <c r="A259" s="21" t="str">
        <f aca="false">IF($M259="","",254)</f>
        <v/>
      </c>
      <c r="B259" s="13" t="str">
        <f aca="false">IF($M259="","",INDEX('DỮ LIỆU'!$A$3:$A$1052,$M259))</f>
        <v/>
      </c>
      <c r="C259" s="41" t="str">
        <f aca="false">IF($M259="","",IF(INDEX('DỮ LIỆU'!$B$3:$B$1052,$M259)="","",INDEX('DỮ LIỆU'!$B$3:$B$1052,$M259)))</f>
        <v/>
      </c>
      <c r="D259" s="21" t="str">
        <f aca="false">IF($M259="","",IF(INDEX('DỮ LIỆU'!$C$3:$C$1052,$M259)="","",INDEX('DỮ LIỆU'!$C$3:$C$1052,$M259)))</f>
        <v/>
      </c>
      <c r="E259" s="21" t="str">
        <f aca="false">IF($M259="","",IF(INDEX('DỮ LIỆU'!$D$3:$D$1052,$M259)="","",INDEX('DỮ LIỆU'!$D$3:$D$1052,$M259)))</f>
        <v/>
      </c>
      <c r="F259" s="21" t="str">
        <f aca="false">IF($M259="","",IF(INDEX('DỮ LIỆU'!$H$3:$H$1052,$M259)="","",INDEX('DỮ LIỆU'!$H$3:$H$1052,$M259)))</f>
        <v/>
      </c>
      <c r="G259" s="13" t="str">
        <f aca="false">IF($M259="","",N(INDEX('DỮ LIỆU'!$I$3:$I$1052,$M259)))</f>
        <v/>
      </c>
      <c r="H259" s="13" t="str">
        <f aca="false">IF($M259="","",N(INDEX('DỮ LIỆU'!$J$3:$J$1052,$M259)))</f>
        <v/>
      </c>
      <c r="I259" s="13" t="str">
        <f aca="false">IF($M259="","",N(INDEX('DỮ LIỆU'!$N$3:$N$1052,$M259)))</f>
        <v/>
      </c>
      <c r="J259" s="13" t="str">
        <f aca="false">IF($M259="","",N(INDEX('DỮ LIỆU'!$O$3:$O$1052,$M259)))</f>
        <v/>
      </c>
      <c r="K259" s="13" t="str">
        <f aca="false">IF($M259="","",IF(INDEX('DỮ LIỆU'!$Q$3:$Q$1052,$M259)="","",INDEX('DỮ LIỆU'!$Q$3:$Q$1052,$M259)))</f>
        <v/>
      </c>
      <c r="L259" s="21" t="str">
        <f aca="false">IF($M259="","",IF(INDEX('DỮ LIỆU'!$R$3:$R$1052,$M259)="","",INDEX('DỮ LIỆU'!$R$3:$R$1052,$M259)))</f>
        <v/>
      </c>
      <c r="M259" s="0" t="str">
        <f aca="false">IFERROR(MATCH(254,'DỮ LIỆU'!$V$3:$V$1052,0),"")</f>
        <v/>
      </c>
    </row>
    <row r="260" customFormat="false" ht="15" hidden="false" customHeight="false" outlineLevel="0" collapsed="false">
      <c r="A260" s="21" t="str">
        <f aca="false">IF($M260="","",255)</f>
        <v/>
      </c>
      <c r="B260" s="13" t="str">
        <f aca="false">IF($M260="","",INDEX('DỮ LIỆU'!$A$3:$A$1052,$M260))</f>
        <v/>
      </c>
      <c r="C260" s="41" t="str">
        <f aca="false">IF($M260="","",IF(INDEX('DỮ LIỆU'!$B$3:$B$1052,$M260)="","",INDEX('DỮ LIỆU'!$B$3:$B$1052,$M260)))</f>
        <v/>
      </c>
      <c r="D260" s="21" t="str">
        <f aca="false">IF($M260="","",IF(INDEX('DỮ LIỆU'!$C$3:$C$1052,$M260)="","",INDEX('DỮ LIỆU'!$C$3:$C$1052,$M260)))</f>
        <v/>
      </c>
      <c r="E260" s="21" t="str">
        <f aca="false">IF($M260="","",IF(INDEX('DỮ LIỆU'!$D$3:$D$1052,$M260)="","",INDEX('DỮ LIỆU'!$D$3:$D$1052,$M260)))</f>
        <v/>
      </c>
      <c r="F260" s="21" t="str">
        <f aca="false">IF($M260="","",IF(INDEX('DỮ LIỆU'!$H$3:$H$1052,$M260)="","",INDEX('DỮ LIỆU'!$H$3:$H$1052,$M260)))</f>
        <v/>
      </c>
      <c r="G260" s="13" t="str">
        <f aca="false">IF($M260="","",N(INDEX('DỮ LIỆU'!$I$3:$I$1052,$M260)))</f>
        <v/>
      </c>
      <c r="H260" s="13" t="str">
        <f aca="false">IF($M260="","",N(INDEX('DỮ LIỆU'!$J$3:$J$1052,$M260)))</f>
        <v/>
      </c>
      <c r="I260" s="13" t="str">
        <f aca="false">IF($M260="","",N(INDEX('DỮ LIỆU'!$N$3:$N$1052,$M260)))</f>
        <v/>
      </c>
      <c r="J260" s="13" t="str">
        <f aca="false">IF($M260="","",N(INDEX('DỮ LIỆU'!$O$3:$O$1052,$M260)))</f>
        <v/>
      </c>
      <c r="K260" s="13" t="str">
        <f aca="false">IF($M260="","",IF(INDEX('DỮ LIỆU'!$Q$3:$Q$1052,$M260)="","",INDEX('DỮ LIỆU'!$Q$3:$Q$1052,$M260)))</f>
        <v/>
      </c>
      <c r="L260" s="21" t="str">
        <f aca="false">IF($M260="","",IF(INDEX('DỮ LIỆU'!$R$3:$R$1052,$M260)="","",INDEX('DỮ LIỆU'!$R$3:$R$1052,$M260)))</f>
        <v/>
      </c>
      <c r="M260" s="0" t="str">
        <f aca="false">IFERROR(MATCH(255,'DỮ LIỆU'!$V$3:$V$1052,0),"")</f>
        <v/>
      </c>
    </row>
    <row r="261" customFormat="false" ht="15" hidden="false" customHeight="false" outlineLevel="0" collapsed="false">
      <c r="A261" s="21" t="str">
        <f aca="false">IF($M261="","",256)</f>
        <v/>
      </c>
      <c r="B261" s="13" t="str">
        <f aca="false">IF($M261="","",INDEX('DỮ LIỆU'!$A$3:$A$1052,$M261))</f>
        <v/>
      </c>
      <c r="C261" s="41" t="str">
        <f aca="false">IF($M261="","",IF(INDEX('DỮ LIỆU'!$B$3:$B$1052,$M261)="","",INDEX('DỮ LIỆU'!$B$3:$B$1052,$M261)))</f>
        <v/>
      </c>
      <c r="D261" s="21" t="str">
        <f aca="false">IF($M261="","",IF(INDEX('DỮ LIỆU'!$C$3:$C$1052,$M261)="","",INDEX('DỮ LIỆU'!$C$3:$C$1052,$M261)))</f>
        <v/>
      </c>
      <c r="E261" s="21" t="str">
        <f aca="false">IF($M261="","",IF(INDEX('DỮ LIỆU'!$D$3:$D$1052,$M261)="","",INDEX('DỮ LIỆU'!$D$3:$D$1052,$M261)))</f>
        <v/>
      </c>
      <c r="F261" s="21" t="str">
        <f aca="false">IF($M261="","",IF(INDEX('DỮ LIỆU'!$H$3:$H$1052,$M261)="","",INDEX('DỮ LIỆU'!$H$3:$H$1052,$M261)))</f>
        <v/>
      </c>
      <c r="G261" s="13" t="str">
        <f aca="false">IF($M261="","",N(INDEX('DỮ LIỆU'!$I$3:$I$1052,$M261)))</f>
        <v/>
      </c>
      <c r="H261" s="13" t="str">
        <f aca="false">IF($M261="","",N(INDEX('DỮ LIỆU'!$J$3:$J$1052,$M261)))</f>
        <v/>
      </c>
      <c r="I261" s="13" t="str">
        <f aca="false">IF($M261="","",N(INDEX('DỮ LIỆU'!$N$3:$N$1052,$M261)))</f>
        <v/>
      </c>
      <c r="J261" s="13" t="str">
        <f aca="false">IF($M261="","",N(INDEX('DỮ LIỆU'!$O$3:$O$1052,$M261)))</f>
        <v/>
      </c>
      <c r="K261" s="13" t="str">
        <f aca="false">IF($M261="","",IF(INDEX('DỮ LIỆU'!$Q$3:$Q$1052,$M261)="","",INDEX('DỮ LIỆU'!$Q$3:$Q$1052,$M261)))</f>
        <v/>
      </c>
      <c r="L261" s="21" t="str">
        <f aca="false">IF($M261="","",IF(INDEX('DỮ LIỆU'!$R$3:$R$1052,$M261)="","",INDEX('DỮ LIỆU'!$R$3:$R$1052,$M261)))</f>
        <v/>
      </c>
      <c r="M261" s="0" t="str">
        <f aca="false">IFERROR(MATCH(256,'DỮ LIỆU'!$V$3:$V$1052,0),"")</f>
        <v/>
      </c>
    </row>
    <row r="262" customFormat="false" ht="15" hidden="false" customHeight="false" outlineLevel="0" collapsed="false">
      <c r="A262" s="21" t="str">
        <f aca="false">IF($M262="","",257)</f>
        <v/>
      </c>
      <c r="B262" s="13" t="str">
        <f aca="false">IF($M262="","",INDEX('DỮ LIỆU'!$A$3:$A$1052,$M262))</f>
        <v/>
      </c>
      <c r="C262" s="41" t="str">
        <f aca="false">IF($M262="","",IF(INDEX('DỮ LIỆU'!$B$3:$B$1052,$M262)="","",INDEX('DỮ LIỆU'!$B$3:$B$1052,$M262)))</f>
        <v/>
      </c>
      <c r="D262" s="21" t="str">
        <f aca="false">IF($M262="","",IF(INDEX('DỮ LIỆU'!$C$3:$C$1052,$M262)="","",INDEX('DỮ LIỆU'!$C$3:$C$1052,$M262)))</f>
        <v/>
      </c>
      <c r="E262" s="21" t="str">
        <f aca="false">IF($M262="","",IF(INDEX('DỮ LIỆU'!$D$3:$D$1052,$M262)="","",INDEX('DỮ LIỆU'!$D$3:$D$1052,$M262)))</f>
        <v/>
      </c>
      <c r="F262" s="21" t="str">
        <f aca="false">IF($M262="","",IF(INDEX('DỮ LIỆU'!$H$3:$H$1052,$M262)="","",INDEX('DỮ LIỆU'!$H$3:$H$1052,$M262)))</f>
        <v/>
      </c>
      <c r="G262" s="13" t="str">
        <f aca="false">IF($M262="","",N(INDEX('DỮ LIỆU'!$I$3:$I$1052,$M262)))</f>
        <v/>
      </c>
      <c r="H262" s="13" t="str">
        <f aca="false">IF($M262="","",N(INDEX('DỮ LIỆU'!$J$3:$J$1052,$M262)))</f>
        <v/>
      </c>
      <c r="I262" s="13" t="str">
        <f aca="false">IF($M262="","",N(INDEX('DỮ LIỆU'!$N$3:$N$1052,$M262)))</f>
        <v/>
      </c>
      <c r="J262" s="13" t="str">
        <f aca="false">IF($M262="","",N(INDEX('DỮ LIỆU'!$O$3:$O$1052,$M262)))</f>
        <v/>
      </c>
      <c r="K262" s="13" t="str">
        <f aca="false">IF($M262="","",IF(INDEX('DỮ LIỆU'!$Q$3:$Q$1052,$M262)="","",INDEX('DỮ LIỆU'!$Q$3:$Q$1052,$M262)))</f>
        <v/>
      </c>
      <c r="L262" s="21" t="str">
        <f aca="false">IF($M262="","",IF(INDEX('DỮ LIỆU'!$R$3:$R$1052,$M262)="","",INDEX('DỮ LIỆU'!$R$3:$R$1052,$M262)))</f>
        <v/>
      </c>
      <c r="M262" s="0" t="str">
        <f aca="false">IFERROR(MATCH(257,'DỮ LIỆU'!$V$3:$V$1052,0),"")</f>
        <v/>
      </c>
    </row>
    <row r="263" customFormat="false" ht="15" hidden="false" customHeight="false" outlineLevel="0" collapsed="false">
      <c r="A263" s="21" t="str">
        <f aca="false">IF($M263="","",258)</f>
        <v/>
      </c>
      <c r="B263" s="13" t="str">
        <f aca="false">IF($M263="","",INDEX('DỮ LIỆU'!$A$3:$A$1052,$M263))</f>
        <v/>
      </c>
      <c r="C263" s="41" t="str">
        <f aca="false">IF($M263="","",IF(INDEX('DỮ LIỆU'!$B$3:$B$1052,$M263)="","",INDEX('DỮ LIỆU'!$B$3:$B$1052,$M263)))</f>
        <v/>
      </c>
      <c r="D263" s="21" t="str">
        <f aca="false">IF($M263="","",IF(INDEX('DỮ LIỆU'!$C$3:$C$1052,$M263)="","",INDEX('DỮ LIỆU'!$C$3:$C$1052,$M263)))</f>
        <v/>
      </c>
      <c r="E263" s="21" t="str">
        <f aca="false">IF($M263="","",IF(INDEX('DỮ LIỆU'!$D$3:$D$1052,$M263)="","",INDEX('DỮ LIỆU'!$D$3:$D$1052,$M263)))</f>
        <v/>
      </c>
      <c r="F263" s="21" t="str">
        <f aca="false">IF($M263="","",IF(INDEX('DỮ LIỆU'!$H$3:$H$1052,$M263)="","",INDEX('DỮ LIỆU'!$H$3:$H$1052,$M263)))</f>
        <v/>
      </c>
      <c r="G263" s="13" t="str">
        <f aca="false">IF($M263="","",N(INDEX('DỮ LIỆU'!$I$3:$I$1052,$M263)))</f>
        <v/>
      </c>
      <c r="H263" s="13" t="str">
        <f aca="false">IF($M263="","",N(INDEX('DỮ LIỆU'!$J$3:$J$1052,$M263)))</f>
        <v/>
      </c>
      <c r="I263" s="13" t="str">
        <f aca="false">IF($M263="","",N(INDEX('DỮ LIỆU'!$N$3:$N$1052,$M263)))</f>
        <v/>
      </c>
      <c r="J263" s="13" t="str">
        <f aca="false">IF($M263="","",N(INDEX('DỮ LIỆU'!$O$3:$O$1052,$M263)))</f>
        <v/>
      </c>
      <c r="K263" s="13" t="str">
        <f aca="false">IF($M263="","",IF(INDEX('DỮ LIỆU'!$Q$3:$Q$1052,$M263)="","",INDEX('DỮ LIỆU'!$Q$3:$Q$1052,$M263)))</f>
        <v/>
      </c>
      <c r="L263" s="21" t="str">
        <f aca="false">IF($M263="","",IF(INDEX('DỮ LIỆU'!$R$3:$R$1052,$M263)="","",INDEX('DỮ LIỆU'!$R$3:$R$1052,$M263)))</f>
        <v/>
      </c>
      <c r="M263" s="0" t="str">
        <f aca="false">IFERROR(MATCH(258,'DỮ LIỆU'!$V$3:$V$1052,0),"")</f>
        <v/>
      </c>
    </row>
    <row r="264" customFormat="false" ht="15" hidden="false" customHeight="false" outlineLevel="0" collapsed="false">
      <c r="A264" s="21" t="str">
        <f aca="false">IF($M264="","",259)</f>
        <v/>
      </c>
      <c r="B264" s="13" t="str">
        <f aca="false">IF($M264="","",INDEX('DỮ LIỆU'!$A$3:$A$1052,$M264))</f>
        <v/>
      </c>
      <c r="C264" s="41" t="str">
        <f aca="false">IF($M264="","",IF(INDEX('DỮ LIỆU'!$B$3:$B$1052,$M264)="","",INDEX('DỮ LIỆU'!$B$3:$B$1052,$M264)))</f>
        <v/>
      </c>
      <c r="D264" s="21" t="str">
        <f aca="false">IF($M264="","",IF(INDEX('DỮ LIỆU'!$C$3:$C$1052,$M264)="","",INDEX('DỮ LIỆU'!$C$3:$C$1052,$M264)))</f>
        <v/>
      </c>
      <c r="E264" s="21" t="str">
        <f aca="false">IF($M264="","",IF(INDEX('DỮ LIỆU'!$D$3:$D$1052,$M264)="","",INDEX('DỮ LIỆU'!$D$3:$D$1052,$M264)))</f>
        <v/>
      </c>
      <c r="F264" s="21" t="str">
        <f aca="false">IF($M264="","",IF(INDEX('DỮ LIỆU'!$H$3:$H$1052,$M264)="","",INDEX('DỮ LIỆU'!$H$3:$H$1052,$M264)))</f>
        <v/>
      </c>
      <c r="G264" s="13" t="str">
        <f aca="false">IF($M264="","",N(INDEX('DỮ LIỆU'!$I$3:$I$1052,$M264)))</f>
        <v/>
      </c>
      <c r="H264" s="13" t="str">
        <f aca="false">IF($M264="","",N(INDEX('DỮ LIỆU'!$J$3:$J$1052,$M264)))</f>
        <v/>
      </c>
      <c r="I264" s="13" t="str">
        <f aca="false">IF($M264="","",N(INDEX('DỮ LIỆU'!$N$3:$N$1052,$M264)))</f>
        <v/>
      </c>
      <c r="J264" s="13" t="str">
        <f aca="false">IF($M264="","",N(INDEX('DỮ LIỆU'!$O$3:$O$1052,$M264)))</f>
        <v/>
      </c>
      <c r="K264" s="13" t="str">
        <f aca="false">IF($M264="","",IF(INDEX('DỮ LIỆU'!$Q$3:$Q$1052,$M264)="","",INDEX('DỮ LIỆU'!$Q$3:$Q$1052,$M264)))</f>
        <v/>
      </c>
      <c r="L264" s="21" t="str">
        <f aca="false">IF($M264="","",IF(INDEX('DỮ LIỆU'!$R$3:$R$1052,$M264)="","",INDEX('DỮ LIỆU'!$R$3:$R$1052,$M264)))</f>
        <v/>
      </c>
      <c r="M264" s="0" t="str">
        <f aca="false">IFERROR(MATCH(259,'DỮ LIỆU'!$V$3:$V$1052,0),"")</f>
        <v/>
      </c>
    </row>
    <row r="265" customFormat="false" ht="15" hidden="false" customHeight="false" outlineLevel="0" collapsed="false">
      <c r="A265" s="21" t="str">
        <f aca="false">IF($M265="","",260)</f>
        <v/>
      </c>
      <c r="B265" s="13" t="str">
        <f aca="false">IF($M265="","",INDEX('DỮ LIỆU'!$A$3:$A$1052,$M265))</f>
        <v/>
      </c>
      <c r="C265" s="41" t="str">
        <f aca="false">IF($M265="","",IF(INDEX('DỮ LIỆU'!$B$3:$B$1052,$M265)="","",INDEX('DỮ LIỆU'!$B$3:$B$1052,$M265)))</f>
        <v/>
      </c>
      <c r="D265" s="21" t="str">
        <f aca="false">IF($M265="","",IF(INDEX('DỮ LIỆU'!$C$3:$C$1052,$M265)="","",INDEX('DỮ LIỆU'!$C$3:$C$1052,$M265)))</f>
        <v/>
      </c>
      <c r="E265" s="21" t="str">
        <f aca="false">IF($M265="","",IF(INDEX('DỮ LIỆU'!$D$3:$D$1052,$M265)="","",INDEX('DỮ LIỆU'!$D$3:$D$1052,$M265)))</f>
        <v/>
      </c>
      <c r="F265" s="21" t="str">
        <f aca="false">IF($M265="","",IF(INDEX('DỮ LIỆU'!$H$3:$H$1052,$M265)="","",INDEX('DỮ LIỆU'!$H$3:$H$1052,$M265)))</f>
        <v/>
      </c>
      <c r="G265" s="13" t="str">
        <f aca="false">IF($M265="","",N(INDEX('DỮ LIỆU'!$I$3:$I$1052,$M265)))</f>
        <v/>
      </c>
      <c r="H265" s="13" t="str">
        <f aca="false">IF($M265="","",N(INDEX('DỮ LIỆU'!$J$3:$J$1052,$M265)))</f>
        <v/>
      </c>
      <c r="I265" s="13" t="str">
        <f aca="false">IF($M265="","",N(INDEX('DỮ LIỆU'!$N$3:$N$1052,$M265)))</f>
        <v/>
      </c>
      <c r="J265" s="13" t="str">
        <f aca="false">IF($M265="","",N(INDEX('DỮ LIỆU'!$O$3:$O$1052,$M265)))</f>
        <v/>
      </c>
      <c r="K265" s="13" t="str">
        <f aca="false">IF($M265="","",IF(INDEX('DỮ LIỆU'!$Q$3:$Q$1052,$M265)="","",INDEX('DỮ LIỆU'!$Q$3:$Q$1052,$M265)))</f>
        <v/>
      </c>
      <c r="L265" s="21" t="str">
        <f aca="false">IF($M265="","",IF(INDEX('DỮ LIỆU'!$R$3:$R$1052,$M265)="","",INDEX('DỮ LIỆU'!$R$3:$R$1052,$M265)))</f>
        <v/>
      </c>
      <c r="M265" s="0" t="str">
        <f aca="false">IFERROR(MATCH(260,'DỮ LIỆU'!$V$3:$V$1052,0),"")</f>
        <v/>
      </c>
    </row>
    <row r="266" customFormat="false" ht="15" hidden="false" customHeight="false" outlineLevel="0" collapsed="false">
      <c r="A266" s="21" t="str">
        <f aca="false">IF($M266="","",261)</f>
        <v/>
      </c>
      <c r="B266" s="13" t="str">
        <f aca="false">IF($M266="","",INDEX('DỮ LIỆU'!$A$3:$A$1052,$M266))</f>
        <v/>
      </c>
      <c r="C266" s="41" t="str">
        <f aca="false">IF($M266="","",IF(INDEX('DỮ LIỆU'!$B$3:$B$1052,$M266)="","",INDEX('DỮ LIỆU'!$B$3:$B$1052,$M266)))</f>
        <v/>
      </c>
      <c r="D266" s="21" t="str">
        <f aca="false">IF($M266="","",IF(INDEX('DỮ LIỆU'!$C$3:$C$1052,$M266)="","",INDEX('DỮ LIỆU'!$C$3:$C$1052,$M266)))</f>
        <v/>
      </c>
      <c r="E266" s="21" t="str">
        <f aca="false">IF($M266="","",IF(INDEX('DỮ LIỆU'!$D$3:$D$1052,$M266)="","",INDEX('DỮ LIỆU'!$D$3:$D$1052,$M266)))</f>
        <v/>
      </c>
      <c r="F266" s="21" t="str">
        <f aca="false">IF($M266="","",IF(INDEX('DỮ LIỆU'!$H$3:$H$1052,$M266)="","",INDEX('DỮ LIỆU'!$H$3:$H$1052,$M266)))</f>
        <v/>
      </c>
      <c r="G266" s="13" t="str">
        <f aca="false">IF($M266="","",N(INDEX('DỮ LIỆU'!$I$3:$I$1052,$M266)))</f>
        <v/>
      </c>
      <c r="H266" s="13" t="str">
        <f aca="false">IF($M266="","",N(INDEX('DỮ LIỆU'!$J$3:$J$1052,$M266)))</f>
        <v/>
      </c>
      <c r="I266" s="13" t="str">
        <f aca="false">IF($M266="","",N(INDEX('DỮ LIỆU'!$N$3:$N$1052,$M266)))</f>
        <v/>
      </c>
      <c r="J266" s="13" t="str">
        <f aca="false">IF($M266="","",N(INDEX('DỮ LIỆU'!$O$3:$O$1052,$M266)))</f>
        <v/>
      </c>
      <c r="K266" s="13" t="str">
        <f aca="false">IF($M266="","",IF(INDEX('DỮ LIỆU'!$Q$3:$Q$1052,$M266)="","",INDEX('DỮ LIỆU'!$Q$3:$Q$1052,$M266)))</f>
        <v/>
      </c>
      <c r="L266" s="21" t="str">
        <f aca="false">IF($M266="","",IF(INDEX('DỮ LIỆU'!$R$3:$R$1052,$M266)="","",INDEX('DỮ LIỆU'!$R$3:$R$1052,$M266)))</f>
        <v/>
      </c>
      <c r="M266" s="0" t="str">
        <f aca="false">IFERROR(MATCH(261,'DỮ LIỆU'!$V$3:$V$1052,0),"")</f>
        <v/>
      </c>
    </row>
    <row r="267" customFormat="false" ht="15" hidden="false" customHeight="false" outlineLevel="0" collapsed="false">
      <c r="A267" s="21" t="str">
        <f aca="false">IF($M267="","",262)</f>
        <v/>
      </c>
      <c r="B267" s="13" t="str">
        <f aca="false">IF($M267="","",INDEX('DỮ LIỆU'!$A$3:$A$1052,$M267))</f>
        <v/>
      </c>
      <c r="C267" s="41" t="str">
        <f aca="false">IF($M267="","",IF(INDEX('DỮ LIỆU'!$B$3:$B$1052,$M267)="","",INDEX('DỮ LIỆU'!$B$3:$B$1052,$M267)))</f>
        <v/>
      </c>
      <c r="D267" s="21" t="str">
        <f aca="false">IF($M267="","",IF(INDEX('DỮ LIỆU'!$C$3:$C$1052,$M267)="","",INDEX('DỮ LIỆU'!$C$3:$C$1052,$M267)))</f>
        <v/>
      </c>
      <c r="E267" s="21" t="str">
        <f aca="false">IF($M267="","",IF(INDEX('DỮ LIỆU'!$D$3:$D$1052,$M267)="","",INDEX('DỮ LIỆU'!$D$3:$D$1052,$M267)))</f>
        <v/>
      </c>
      <c r="F267" s="21" t="str">
        <f aca="false">IF($M267="","",IF(INDEX('DỮ LIỆU'!$H$3:$H$1052,$M267)="","",INDEX('DỮ LIỆU'!$H$3:$H$1052,$M267)))</f>
        <v/>
      </c>
      <c r="G267" s="13" t="str">
        <f aca="false">IF($M267="","",N(INDEX('DỮ LIỆU'!$I$3:$I$1052,$M267)))</f>
        <v/>
      </c>
      <c r="H267" s="13" t="str">
        <f aca="false">IF($M267="","",N(INDEX('DỮ LIỆU'!$J$3:$J$1052,$M267)))</f>
        <v/>
      </c>
      <c r="I267" s="13" t="str">
        <f aca="false">IF($M267="","",N(INDEX('DỮ LIỆU'!$N$3:$N$1052,$M267)))</f>
        <v/>
      </c>
      <c r="J267" s="13" t="str">
        <f aca="false">IF($M267="","",N(INDEX('DỮ LIỆU'!$O$3:$O$1052,$M267)))</f>
        <v/>
      </c>
      <c r="K267" s="13" t="str">
        <f aca="false">IF($M267="","",IF(INDEX('DỮ LIỆU'!$Q$3:$Q$1052,$M267)="","",INDEX('DỮ LIỆU'!$Q$3:$Q$1052,$M267)))</f>
        <v/>
      </c>
      <c r="L267" s="21" t="str">
        <f aca="false">IF($M267="","",IF(INDEX('DỮ LIỆU'!$R$3:$R$1052,$M267)="","",INDEX('DỮ LIỆU'!$R$3:$R$1052,$M267)))</f>
        <v/>
      </c>
      <c r="M267" s="0" t="str">
        <f aca="false">IFERROR(MATCH(262,'DỮ LIỆU'!$V$3:$V$1052,0),"")</f>
        <v/>
      </c>
    </row>
    <row r="268" customFormat="false" ht="15" hidden="false" customHeight="false" outlineLevel="0" collapsed="false">
      <c r="A268" s="21" t="str">
        <f aca="false">IF($M268="","",263)</f>
        <v/>
      </c>
      <c r="B268" s="13" t="str">
        <f aca="false">IF($M268="","",INDEX('DỮ LIỆU'!$A$3:$A$1052,$M268))</f>
        <v/>
      </c>
      <c r="C268" s="41" t="str">
        <f aca="false">IF($M268="","",IF(INDEX('DỮ LIỆU'!$B$3:$B$1052,$M268)="","",INDEX('DỮ LIỆU'!$B$3:$B$1052,$M268)))</f>
        <v/>
      </c>
      <c r="D268" s="21" t="str">
        <f aca="false">IF($M268="","",IF(INDEX('DỮ LIỆU'!$C$3:$C$1052,$M268)="","",INDEX('DỮ LIỆU'!$C$3:$C$1052,$M268)))</f>
        <v/>
      </c>
      <c r="E268" s="21" t="str">
        <f aca="false">IF($M268="","",IF(INDEX('DỮ LIỆU'!$D$3:$D$1052,$M268)="","",INDEX('DỮ LIỆU'!$D$3:$D$1052,$M268)))</f>
        <v/>
      </c>
      <c r="F268" s="21" t="str">
        <f aca="false">IF($M268="","",IF(INDEX('DỮ LIỆU'!$H$3:$H$1052,$M268)="","",INDEX('DỮ LIỆU'!$H$3:$H$1052,$M268)))</f>
        <v/>
      </c>
      <c r="G268" s="13" t="str">
        <f aca="false">IF($M268="","",N(INDEX('DỮ LIỆU'!$I$3:$I$1052,$M268)))</f>
        <v/>
      </c>
      <c r="H268" s="13" t="str">
        <f aca="false">IF($M268="","",N(INDEX('DỮ LIỆU'!$J$3:$J$1052,$M268)))</f>
        <v/>
      </c>
      <c r="I268" s="13" t="str">
        <f aca="false">IF($M268="","",N(INDEX('DỮ LIỆU'!$N$3:$N$1052,$M268)))</f>
        <v/>
      </c>
      <c r="J268" s="13" t="str">
        <f aca="false">IF($M268="","",N(INDEX('DỮ LIỆU'!$O$3:$O$1052,$M268)))</f>
        <v/>
      </c>
      <c r="K268" s="13" t="str">
        <f aca="false">IF($M268="","",IF(INDEX('DỮ LIỆU'!$Q$3:$Q$1052,$M268)="","",INDEX('DỮ LIỆU'!$Q$3:$Q$1052,$M268)))</f>
        <v/>
      </c>
      <c r="L268" s="21" t="str">
        <f aca="false">IF($M268="","",IF(INDEX('DỮ LIỆU'!$R$3:$R$1052,$M268)="","",INDEX('DỮ LIỆU'!$R$3:$R$1052,$M268)))</f>
        <v/>
      </c>
      <c r="M268" s="0" t="str">
        <f aca="false">IFERROR(MATCH(263,'DỮ LIỆU'!$V$3:$V$1052,0),"")</f>
        <v/>
      </c>
    </row>
    <row r="269" customFormat="false" ht="15" hidden="false" customHeight="false" outlineLevel="0" collapsed="false">
      <c r="A269" s="21" t="str">
        <f aca="false">IF($M269="","",264)</f>
        <v/>
      </c>
      <c r="B269" s="13" t="str">
        <f aca="false">IF($M269="","",INDEX('DỮ LIỆU'!$A$3:$A$1052,$M269))</f>
        <v/>
      </c>
      <c r="C269" s="41" t="str">
        <f aca="false">IF($M269="","",IF(INDEX('DỮ LIỆU'!$B$3:$B$1052,$M269)="","",INDEX('DỮ LIỆU'!$B$3:$B$1052,$M269)))</f>
        <v/>
      </c>
      <c r="D269" s="21" t="str">
        <f aca="false">IF($M269="","",IF(INDEX('DỮ LIỆU'!$C$3:$C$1052,$M269)="","",INDEX('DỮ LIỆU'!$C$3:$C$1052,$M269)))</f>
        <v/>
      </c>
      <c r="E269" s="21" t="str">
        <f aca="false">IF($M269="","",IF(INDEX('DỮ LIỆU'!$D$3:$D$1052,$M269)="","",INDEX('DỮ LIỆU'!$D$3:$D$1052,$M269)))</f>
        <v/>
      </c>
      <c r="F269" s="21" t="str">
        <f aca="false">IF($M269="","",IF(INDEX('DỮ LIỆU'!$H$3:$H$1052,$M269)="","",INDEX('DỮ LIỆU'!$H$3:$H$1052,$M269)))</f>
        <v/>
      </c>
      <c r="G269" s="13" t="str">
        <f aca="false">IF($M269="","",N(INDEX('DỮ LIỆU'!$I$3:$I$1052,$M269)))</f>
        <v/>
      </c>
      <c r="H269" s="13" t="str">
        <f aca="false">IF($M269="","",N(INDEX('DỮ LIỆU'!$J$3:$J$1052,$M269)))</f>
        <v/>
      </c>
      <c r="I269" s="13" t="str">
        <f aca="false">IF($M269="","",N(INDEX('DỮ LIỆU'!$N$3:$N$1052,$M269)))</f>
        <v/>
      </c>
      <c r="J269" s="13" t="str">
        <f aca="false">IF($M269="","",N(INDEX('DỮ LIỆU'!$O$3:$O$1052,$M269)))</f>
        <v/>
      </c>
      <c r="K269" s="13" t="str">
        <f aca="false">IF($M269="","",IF(INDEX('DỮ LIỆU'!$Q$3:$Q$1052,$M269)="","",INDEX('DỮ LIỆU'!$Q$3:$Q$1052,$M269)))</f>
        <v/>
      </c>
      <c r="L269" s="21" t="str">
        <f aca="false">IF($M269="","",IF(INDEX('DỮ LIỆU'!$R$3:$R$1052,$M269)="","",INDEX('DỮ LIỆU'!$R$3:$R$1052,$M269)))</f>
        <v/>
      </c>
      <c r="M269" s="0" t="str">
        <f aca="false">IFERROR(MATCH(264,'DỮ LIỆU'!$V$3:$V$1052,0),"")</f>
        <v/>
      </c>
    </row>
    <row r="270" customFormat="false" ht="15" hidden="false" customHeight="false" outlineLevel="0" collapsed="false">
      <c r="A270" s="21" t="str">
        <f aca="false">IF($M270="","",265)</f>
        <v/>
      </c>
      <c r="B270" s="13" t="str">
        <f aca="false">IF($M270="","",INDEX('DỮ LIỆU'!$A$3:$A$1052,$M270))</f>
        <v/>
      </c>
      <c r="C270" s="41" t="str">
        <f aca="false">IF($M270="","",IF(INDEX('DỮ LIỆU'!$B$3:$B$1052,$M270)="","",INDEX('DỮ LIỆU'!$B$3:$B$1052,$M270)))</f>
        <v/>
      </c>
      <c r="D270" s="21" t="str">
        <f aca="false">IF($M270="","",IF(INDEX('DỮ LIỆU'!$C$3:$C$1052,$M270)="","",INDEX('DỮ LIỆU'!$C$3:$C$1052,$M270)))</f>
        <v/>
      </c>
      <c r="E270" s="21" t="str">
        <f aca="false">IF($M270="","",IF(INDEX('DỮ LIỆU'!$D$3:$D$1052,$M270)="","",INDEX('DỮ LIỆU'!$D$3:$D$1052,$M270)))</f>
        <v/>
      </c>
      <c r="F270" s="21" t="str">
        <f aca="false">IF($M270="","",IF(INDEX('DỮ LIỆU'!$H$3:$H$1052,$M270)="","",INDEX('DỮ LIỆU'!$H$3:$H$1052,$M270)))</f>
        <v/>
      </c>
      <c r="G270" s="13" t="str">
        <f aca="false">IF($M270="","",N(INDEX('DỮ LIỆU'!$I$3:$I$1052,$M270)))</f>
        <v/>
      </c>
      <c r="H270" s="13" t="str">
        <f aca="false">IF($M270="","",N(INDEX('DỮ LIỆU'!$J$3:$J$1052,$M270)))</f>
        <v/>
      </c>
      <c r="I270" s="13" t="str">
        <f aca="false">IF($M270="","",N(INDEX('DỮ LIỆU'!$N$3:$N$1052,$M270)))</f>
        <v/>
      </c>
      <c r="J270" s="13" t="str">
        <f aca="false">IF($M270="","",N(INDEX('DỮ LIỆU'!$O$3:$O$1052,$M270)))</f>
        <v/>
      </c>
      <c r="K270" s="13" t="str">
        <f aca="false">IF($M270="","",IF(INDEX('DỮ LIỆU'!$Q$3:$Q$1052,$M270)="","",INDEX('DỮ LIỆU'!$Q$3:$Q$1052,$M270)))</f>
        <v/>
      </c>
      <c r="L270" s="21" t="str">
        <f aca="false">IF($M270="","",IF(INDEX('DỮ LIỆU'!$R$3:$R$1052,$M270)="","",INDEX('DỮ LIỆU'!$R$3:$R$1052,$M270)))</f>
        <v/>
      </c>
      <c r="M270" s="0" t="str">
        <f aca="false">IFERROR(MATCH(265,'DỮ LIỆU'!$V$3:$V$1052,0),"")</f>
        <v/>
      </c>
    </row>
    <row r="271" customFormat="false" ht="15" hidden="false" customHeight="false" outlineLevel="0" collapsed="false">
      <c r="A271" s="21" t="str">
        <f aca="false">IF($M271="","",266)</f>
        <v/>
      </c>
      <c r="B271" s="13" t="str">
        <f aca="false">IF($M271="","",INDEX('DỮ LIỆU'!$A$3:$A$1052,$M271))</f>
        <v/>
      </c>
      <c r="C271" s="41" t="str">
        <f aca="false">IF($M271="","",IF(INDEX('DỮ LIỆU'!$B$3:$B$1052,$M271)="","",INDEX('DỮ LIỆU'!$B$3:$B$1052,$M271)))</f>
        <v/>
      </c>
      <c r="D271" s="21" t="str">
        <f aca="false">IF($M271="","",IF(INDEX('DỮ LIỆU'!$C$3:$C$1052,$M271)="","",INDEX('DỮ LIỆU'!$C$3:$C$1052,$M271)))</f>
        <v/>
      </c>
      <c r="E271" s="21" t="str">
        <f aca="false">IF($M271="","",IF(INDEX('DỮ LIỆU'!$D$3:$D$1052,$M271)="","",INDEX('DỮ LIỆU'!$D$3:$D$1052,$M271)))</f>
        <v/>
      </c>
      <c r="F271" s="21" t="str">
        <f aca="false">IF($M271="","",IF(INDEX('DỮ LIỆU'!$H$3:$H$1052,$M271)="","",INDEX('DỮ LIỆU'!$H$3:$H$1052,$M271)))</f>
        <v/>
      </c>
      <c r="G271" s="13" t="str">
        <f aca="false">IF($M271="","",N(INDEX('DỮ LIỆU'!$I$3:$I$1052,$M271)))</f>
        <v/>
      </c>
      <c r="H271" s="13" t="str">
        <f aca="false">IF($M271="","",N(INDEX('DỮ LIỆU'!$J$3:$J$1052,$M271)))</f>
        <v/>
      </c>
      <c r="I271" s="13" t="str">
        <f aca="false">IF($M271="","",N(INDEX('DỮ LIỆU'!$N$3:$N$1052,$M271)))</f>
        <v/>
      </c>
      <c r="J271" s="13" t="str">
        <f aca="false">IF($M271="","",N(INDEX('DỮ LIỆU'!$O$3:$O$1052,$M271)))</f>
        <v/>
      </c>
      <c r="K271" s="13" t="str">
        <f aca="false">IF($M271="","",IF(INDEX('DỮ LIỆU'!$Q$3:$Q$1052,$M271)="","",INDEX('DỮ LIỆU'!$Q$3:$Q$1052,$M271)))</f>
        <v/>
      </c>
      <c r="L271" s="21" t="str">
        <f aca="false">IF($M271="","",IF(INDEX('DỮ LIỆU'!$R$3:$R$1052,$M271)="","",INDEX('DỮ LIỆU'!$R$3:$R$1052,$M271)))</f>
        <v/>
      </c>
      <c r="M271" s="0" t="str">
        <f aca="false">IFERROR(MATCH(266,'DỮ LIỆU'!$V$3:$V$1052,0),"")</f>
        <v/>
      </c>
    </row>
    <row r="272" customFormat="false" ht="15" hidden="false" customHeight="false" outlineLevel="0" collapsed="false">
      <c r="A272" s="21" t="str">
        <f aca="false">IF($M272="","",267)</f>
        <v/>
      </c>
      <c r="B272" s="13" t="str">
        <f aca="false">IF($M272="","",INDEX('DỮ LIỆU'!$A$3:$A$1052,$M272))</f>
        <v/>
      </c>
      <c r="C272" s="41" t="str">
        <f aca="false">IF($M272="","",IF(INDEX('DỮ LIỆU'!$B$3:$B$1052,$M272)="","",INDEX('DỮ LIỆU'!$B$3:$B$1052,$M272)))</f>
        <v/>
      </c>
      <c r="D272" s="21" t="str">
        <f aca="false">IF($M272="","",IF(INDEX('DỮ LIỆU'!$C$3:$C$1052,$M272)="","",INDEX('DỮ LIỆU'!$C$3:$C$1052,$M272)))</f>
        <v/>
      </c>
      <c r="E272" s="21" t="str">
        <f aca="false">IF($M272="","",IF(INDEX('DỮ LIỆU'!$D$3:$D$1052,$M272)="","",INDEX('DỮ LIỆU'!$D$3:$D$1052,$M272)))</f>
        <v/>
      </c>
      <c r="F272" s="21" t="str">
        <f aca="false">IF($M272="","",IF(INDEX('DỮ LIỆU'!$H$3:$H$1052,$M272)="","",INDEX('DỮ LIỆU'!$H$3:$H$1052,$M272)))</f>
        <v/>
      </c>
      <c r="G272" s="13" t="str">
        <f aca="false">IF($M272="","",N(INDEX('DỮ LIỆU'!$I$3:$I$1052,$M272)))</f>
        <v/>
      </c>
      <c r="H272" s="13" t="str">
        <f aca="false">IF($M272="","",N(INDEX('DỮ LIỆU'!$J$3:$J$1052,$M272)))</f>
        <v/>
      </c>
      <c r="I272" s="13" t="str">
        <f aca="false">IF($M272="","",N(INDEX('DỮ LIỆU'!$N$3:$N$1052,$M272)))</f>
        <v/>
      </c>
      <c r="J272" s="13" t="str">
        <f aca="false">IF($M272="","",N(INDEX('DỮ LIỆU'!$O$3:$O$1052,$M272)))</f>
        <v/>
      </c>
      <c r="K272" s="13" t="str">
        <f aca="false">IF($M272="","",IF(INDEX('DỮ LIỆU'!$Q$3:$Q$1052,$M272)="","",INDEX('DỮ LIỆU'!$Q$3:$Q$1052,$M272)))</f>
        <v/>
      </c>
      <c r="L272" s="21" t="str">
        <f aca="false">IF($M272="","",IF(INDEX('DỮ LIỆU'!$R$3:$R$1052,$M272)="","",INDEX('DỮ LIỆU'!$R$3:$R$1052,$M272)))</f>
        <v/>
      </c>
      <c r="M272" s="0" t="str">
        <f aca="false">IFERROR(MATCH(267,'DỮ LIỆU'!$V$3:$V$1052,0),"")</f>
        <v/>
      </c>
    </row>
    <row r="273" customFormat="false" ht="15" hidden="false" customHeight="false" outlineLevel="0" collapsed="false">
      <c r="A273" s="21" t="str">
        <f aca="false">IF($M273="","",268)</f>
        <v/>
      </c>
      <c r="B273" s="13" t="str">
        <f aca="false">IF($M273="","",INDEX('DỮ LIỆU'!$A$3:$A$1052,$M273))</f>
        <v/>
      </c>
      <c r="C273" s="41" t="str">
        <f aca="false">IF($M273="","",IF(INDEX('DỮ LIỆU'!$B$3:$B$1052,$M273)="","",INDEX('DỮ LIỆU'!$B$3:$B$1052,$M273)))</f>
        <v/>
      </c>
      <c r="D273" s="21" t="str">
        <f aca="false">IF($M273="","",IF(INDEX('DỮ LIỆU'!$C$3:$C$1052,$M273)="","",INDEX('DỮ LIỆU'!$C$3:$C$1052,$M273)))</f>
        <v/>
      </c>
      <c r="E273" s="21" t="str">
        <f aca="false">IF($M273="","",IF(INDEX('DỮ LIỆU'!$D$3:$D$1052,$M273)="","",INDEX('DỮ LIỆU'!$D$3:$D$1052,$M273)))</f>
        <v/>
      </c>
      <c r="F273" s="21" t="str">
        <f aca="false">IF($M273="","",IF(INDEX('DỮ LIỆU'!$H$3:$H$1052,$M273)="","",INDEX('DỮ LIỆU'!$H$3:$H$1052,$M273)))</f>
        <v/>
      </c>
      <c r="G273" s="13" t="str">
        <f aca="false">IF($M273="","",N(INDEX('DỮ LIỆU'!$I$3:$I$1052,$M273)))</f>
        <v/>
      </c>
      <c r="H273" s="13" t="str">
        <f aca="false">IF($M273="","",N(INDEX('DỮ LIỆU'!$J$3:$J$1052,$M273)))</f>
        <v/>
      </c>
      <c r="I273" s="13" t="str">
        <f aca="false">IF($M273="","",N(INDEX('DỮ LIỆU'!$N$3:$N$1052,$M273)))</f>
        <v/>
      </c>
      <c r="J273" s="13" t="str">
        <f aca="false">IF($M273="","",N(INDEX('DỮ LIỆU'!$O$3:$O$1052,$M273)))</f>
        <v/>
      </c>
      <c r="K273" s="13" t="str">
        <f aca="false">IF($M273="","",IF(INDEX('DỮ LIỆU'!$Q$3:$Q$1052,$M273)="","",INDEX('DỮ LIỆU'!$Q$3:$Q$1052,$M273)))</f>
        <v/>
      </c>
      <c r="L273" s="21" t="str">
        <f aca="false">IF($M273="","",IF(INDEX('DỮ LIỆU'!$R$3:$R$1052,$M273)="","",INDEX('DỮ LIỆU'!$R$3:$R$1052,$M273)))</f>
        <v/>
      </c>
      <c r="M273" s="0" t="str">
        <f aca="false">IFERROR(MATCH(268,'DỮ LIỆU'!$V$3:$V$1052,0),"")</f>
        <v/>
      </c>
    </row>
    <row r="274" customFormat="false" ht="15" hidden="false" customHeight="false" outlineLevel="0" collapsed="false">
      <c r="A274" s="21" t="str">
        <f aca="false">IF($M274="","",269)</f>
        <v/>
      </c>
      <c r="B274" s="13" t="str">
        <f aca="false">IF($M274="","",INDEX('DỮ LIỆU'!$A$3:$A$1052,$M274))</f>
        <v/>
      </c>
      <c r="C274" s="41" t="str">
        <f aca="false">IF($M274="","",IF(INDEX('DỮ LIỆU'!$B$3:$B$1052,$M274)="","",INDEX('DỮ LIỆU'!$B$3:$B$1052,$M274)))</f>
        <v/>
      </c>
      <c r="D274" s="21" t="str">
        <f aca="false">IF($M274="","",IF(INDEX('DỮ LIỆU'!$C$3:$C$1052,$M274)="","",INDEX('DỮ LIỆU'!$C$3:$C$1052,$M274)))</f>
        <v/>
      </c>
      <c r="E274" s="21" t="str">
        <f aca="false">IF($M274="","",IF(INDEX('DỮ LIỆU'!$D$3:$D$1052,$M274)="","",INDEX('DỮ LIỆU'!$D$3:$D$1052,$M274)))</f>
        <v/>
      </c>
      <c r="F274" s="21" t="str">
        <f aca="false">IF($M274="","",IF(INDEX('DỮ LIỆU'!$H$3:$H$1052,$M274)="","",INDEX('DỮ LIỆU'!$H$3:$H$1052,$M274)))</f>
        <v/>
      </c>
      <c r="G274" s="13" t="str">
        <f aca="false">IF($M274="","",N(INDEX('DỮ LIỆU'!$I$3:$I$1052,$M274)))</f>
        <v/>
      </c>
      <c r="H274" s="13" t="str">
        <f aca="false">IF($M274="","",N(INDEX('DỮ LIỆU'!$J$3:$J$1052,$M274)))</f>
        <v/>
      </c>
      <c r="I274" s="13" t="str">
        <f aca="false">IF($M274="","",N(INDEX('DỮ LIỆU'!$N$3:$N$1052,$M274)))</f>
        <v/>
      </c>
      <c r="J274" s="13" t="str">
        <f aca="false">IF($M274="","",N(INDEX('DỮ LIỆU'!$O$3:$O$1052,$M274)))</f>
        <v/>
      </c>
      <c r="K274" s="13" t="str">
        <f aca="false">IF($M274="","",IF(INDEX('DỮ LIỆU'!$Q$3:$Q$1052,$M274)="","",INDEX('DỮ LIỆU'!$Q$3:$Q$1052,$M274)))</f>
        <v/>
      </c>
      <c r="L274" s="21" t="str">
        <f aca="false">IF($M274="","",IF(INDEX('DỮ LIỆU'!$R$3:$R$1052,$M274)="","",INDEX('DỮ LIỆU'!$R$3:$R$1052,$M274)))</f>
        <v/>
      </c>
      <c r="M274" s="0" t="str">
        <f aca="false">IFERROR(MATCH(269,'DỮ LIỆU'!$V$3:$V$1052,0),"")</f>
        <v/>
      </c>
    </row>
    <row r="275" customFormat="false" ht="15" hidden="false" customHeight="false" outlineLevel="0" collapsed="false">
      <c r="A275" s="21" t="str">
        <f aca="false">IF($M275="","",270)</f>
        <v/>
      </c>
      <c r="B275" s="13" t="str">
        <f aca="false">IF($M275="","",INDEX('DỮ LIỆU'!$A$3:$A$1052,$M275))</f>
        <v/>
      </c>
      <c r="C275" s="41" t="str">
        <f aca="false">IF($M275="","",IF(INDEX('DỮ LIỆU'!$B$3:$B$1052,$M275)="","",INDEX('DỮ LIỆU'!$B$3:$B$1052,$M275)))</f>
        <v/>
      </c>
      <c r="D275" s="21" t="str">
        <f aca="false">IF($M275="","",IF(INDEX('DỮ LIỆU'!$C$3:$C$1052,$M275)="","",INDEX('DỮ LIỆU'!$C$3:$C$1052,$M275)))</f>
        <v/>
      </c>
      <c r="E275" s="21" t="str">
        <f aca="false">IF($M275="","",IF(INDEX('DỮ LIỆU'!$D$3:$D$1052,$M275)="","",INDEX('DỮ LIỆU'!$D$3:$D$1052,$M275)))</f>
        <v/>
      </c>
      <c r="F275" s="21" t="str">
        <f aca="false">IF($M275="","",IF(INDEX('DỮ LIỆU'!$H$3:$H$1052,$M275)="","",INDEX('DỮ LIỆU'!$H$3:$H$1052,$M275)))</f>
        <v/>
      </c>
      <c r="G275" s="13" t="str">
        <f aca="false">IF($M275="","",N(INDEX('DỮ LIỆU'!$I$3:$I$1052,$M275)))</f>
        <v/>
      </c>
      <c r="H275" s="13" t="str">
        <f aca="false">IF($M275="","",N(INDEX('DỮ LIỆU'!$J$3:$J$1052,$M275)))</f>
        <v/>
      </c>
      <c r="I275" s="13" t="str">
        <f aca="false">IF($M275="","",N(INDEX('DỮ LIỆU'!$N$3:$N$1052,$M275)))</f>
        <v/>
      </c>
      <c r="J275" s="13" t="str">
        <f aca="false">IF($M275="","",N(INDEX('DỮ LIỆU'!$O$3:$O$1052,$M275)))</f>
        <v/>
      </c>
      <c r="K275" s="13" t="str">
        <f aca="false">IF($M275="","",IF(INDEX('DỮ LIỆU'!$Q$3:$Q$1052,$M275)="","",INDEX('DỮ LIỆU'!$Q$3:$Q$1052,$M275)))</f>
        <v/>
      </c>
      <c r="L275" s="21" t="str">
        <f aca="false">IF($M275="","",IF(INDEX('DỮ LIỆU'!$R$3:$R$1052,$M275)="","",INDEX('DỮ LIỆU'!$R$3:$R$1052,$M275)))</f>
        <v/>
      </c>
      <c r="M275" s="0" t="str">
        <f aca="false">IFERROR(MATCH(270,'DỮ LIỆU'!$V$3:$V$1052,0),"")</f>
        <v/>
      </c>
    </row>
    <row r="276" customFormat="false" ht="15" hidden="false" customHeight="false" outlineLevel="0" collapsed="false">
      <c r="A276" s="21" t="str">
        <f aca="false">IF($M276="","",271)</f>
        <v/>
      </c>
      <c r="B276" s="13" t="str">
        <f aca="false">IF($M276="","",INDEX('DỮ LIỆU'!$A$3:$A$1052,$M276))</f>
        <v/>
      </c>
      <c r="C276" s="41" t="str">
        <f aca="false">IF($M276="","",IF(INDEX('DỮ LIỆU'!$B$3:$B$1052,$M276)="","",INDEX('DỮ LIỆU'!$B$3:$B$1052,$M276)))</f>
        <v/>
      </c>
      <c r="D276" s="21" t="str">
        <f aca="false">IF($M276="","",IF(INDEX('DỮ LIỆU'!$C$3:$C$1052,$M276)="","",INDEX('DỮ LIỆU'!$C$3:$C$1052,$M276)))</f>
        <v/>
      </c>
      <c r="E276" s="21" t="str">
        <f aca="false">IF($M276="","",IF(INDEX('DỮ LIỆU'!$D$3:$D$1052,$M276)="","",INDEX('DỮ LIỆU'!$D$3:$D$1052,$M276)))</f>
        <v/>
      </c>
      <c r="F276" s="21" t="str">
        <f aca="false">IF($M276="","",IF(INDEX('DỮ LIỆU'!$H$3:$H$1052,$M276)="","",INDEX('DỮ LIỆU'!$H$3:$H$1052,$M276)))</f>
        <v/>
      </c>
      <c r="G276" s="13" t="str">
        <f aca="false">IF($M276="","",N(INDEX('DỮ LIỆU'!$I$3:$I$1052,$M276)))</f>
        <v/>
      </c>
      <c r="H276" s="13" t="str">
        <f aca="false">IF($M276="","",N(INDEX('DỮ LIỆU'!$J$3:$J$1052,$M276)))</f>
        <v/>
      </c>
      <c r="I276" s="13" t="str">
        <f aca="false">IF($M276="","",N(INDEX('DỮ LIỆU'!$N$3:$N$1052,$M276)))</f>
        <v/>
      </c>
      <c r="J276" s="13" t="str">
        <f aca="false">IF($M276="","",N(INDEX('DỮ LIỆU'!$O$3:$O$1052,$M276)))</f>
        <v/>
      </c>
      <c r="K276" s="13" t="str">
        <f aca="false">IF($M276="","",IF(INDEX('DỮ LIỆU'!$Q$3:$Q$1052,$M276)="","",INDEX('DỮ LIỆU'!$Q$3:$Q$1052,$M276)))</f>
        <v/>
      </c>
      <c r="L276" s="21" t="str">
        <f aca="false">IF($M276="","",IF(INDEX('DỮ LIỆU'!$R$3:$R$1052,$M276)="","",INDEX('DỮ LIỆU'!$R$3:$R$1052,$M276)))</f>
        <v/>
      </c>
      <c r="M276" s="0" t="str">
        <f aca="false">IFERROR(MATCH(271,'DỮ LIỆU'!$V$3:$V$1052,0),"")</f>
        <v/>
      </c>
    </row>
    <row r="277" customFormat="false" ht="15" hidden="false" customHeight="false" outlineLevel="0" collapsed="false">
      <c r="A277" s="21" t="str">
        <f aca="false">IF($M277="","",272)</f>
        <v/>
      </c>
      <c r="B277" s="13" t="str">
        <f aca="false">IF($M277="","",INDEX('DỮ LIỆU'!$A$3:$A$1052,$M277))</f>
        <v/>
      </c>
      <c r="C277" s="41" t="str">
        <f aca="false">IF($M277="","",IF(INDEX('DỮ LIỆU'!$B$3:$B$1052,$M277)="","",INDEX('DỮ LIỆU'!$B$3:$B$1052,$M277)))</f>
        <v/>
      </c>
      <c r="D277" s="21" t="str">
        <f aca="false">IF($M277="","",IF(INDEX('DỮ LIỆU'!$C$3:$C$1052,$M277)="","",INDEX('DỮ LIỆU'!$C$3:$C$1052,$M277)))</f>
        <v/>
      </c>
      <c r="E277" s="21" t="str">
        <f aca="false">IF($M277="","",IF(INDEX('DỮ LIỆU'!$D$3:$D$1052,$M277)="","",INDEX('DỮ LIỆU'!$D$3:$D$1052,$M277)))</f>
        <v/>
      </c>
      <c r="F277" s="21" t="str">
        <f aca="false">IF($M277="","",IF(INDEX('DỮ LIỆU'!$H$3:$H$1052,$M277)="","",INDEX('DỮ LIỆU'!$H$3:$H$1052,$M277)))</f>
        <v/>
      </c>
      <c r="G277" s="13" t="str">
        <f aca="false">IF($M277="","",N(INDEX('DỮ LIỆU'!$I$3:$I$1052,$M277)))</f>
        <v/>
      </c>
      <c r="H277" s="13" t="str">
        <f aca="false">IF($M277="","",N(INDEX('DỮ LIỆU'!$J$3:$J$1052,$M277)))</f>
        <v/>
      </c>
      <c r="I277" s="13" t="str">
        <f aca="false">IF($M277="","",N(INDEX('DỮ LIỆU'!$N$3:$N$1052,$M277)))</f>
        <v/>
      </c>
      <c r="J277" s="13" t="str">
        <f aca="false">IF($M277="","",N(INDEX('DỮ LIỆU'!$O$3:$O$1052,$M277)))</f>
        <v/>
      </c>
      <c r="K277" s="13" t="str">
        <f aca="false">IF($M277="","",IF(INDEX('DỮ LIỆU'!$Q$3:$Q$1052,$M277)="","",INDEX('DỮ LIỆU'!$Q$3:$Q$1052,$M277)))</f>
        <v/>
      </c>
      <c r="L277" s="21" t="str">
        <f aca="false">IF($M277="","",IF(INDEX('DỮ LIỆU'!$R$3:$R$1052,$M277)="","",INDEX('DỮ LIỆU'!$R$3:$R$1052,$M277)))</f>
        <v/>
      </c>
      <c r="M277" s="0" t="str">
        <f aca="false">IFERROR(MATCH(272,'DỮ LIỆU'!$V$3:$V$1052,0),"")</f>
        <v/>
      </c>
    </row>
    <row r="278" customFormat="false" ht="15" hidden="false" customHeight="false" outlineLevel="0" collapsed="false">
      <c r="A278" s="21" t="str">
        <f aca="false">IF($M278="","",273)</f>
        <v/>
      </c>
      <c r="B278" s="13" t="str">
        <f aca="false">IF($M278="","",INDEX('DỮ LIỆU'!$A$3:$A$1052,$M278))</f>
        <v/>
      </c>
      <c r="C278" s="41" t="str">
        <f aca="false">IF($M278="","",IF(INDEX('DỮ LIỆU'!$B$3:$B$1052,$M278)="","",INDEX('DỮ LIỆU'!$B$3:$B$1052,$M278)))</f>
        <v/>
      </c>
      <c r="D278" s="21" t="str">
        <f aca="false">IF($M278="","",IF(INDEX('DỮ LIỆU'!$C$3:$C$1052,$M278)="","",INDEX('DỮ LIỆU'!$C$3:$C$1052,$M278)))</f>
        <v/>
      </c>
      <c r="E278" s="21" t="str">
        <f aca="false">IF($M278="","",IF(INDEX('DỮ LIỆU'!$D$3:$D$1052,$M278)="","",INDEX('DỮ LIỆU'!$D$3:$D$1052,$M278)))</f>
        <v/>
      </c>
      <c r="F278" s="21" t="str">
        <f aca="false">IF($M278="","",IF(INDEX('DỮ LIỆU'!$H$3:$H$1052,$M278)="","",INDEX('DỮ LIỆU'!$H$3:$H$1052,$M278)))</f>
        <v/>
      </c>
      <c r="G278" s="13" t="str">
        <f aca="false">IF($M278="","",N(INDEX('DỮ LIỆU'!$I$3:$I$1052,$M278)))</f>
        <v/>
      </c>
      <c r="H278" s="13" t="str">
        <f aca="false">IF($M278="","",N(INDEX('DỮ LIỆU'!$J$3:$J$1052,$M278)))</f>
        <v/>
      </c>
      <c r="I278" s="13" t="str">
        <f aca="false">IF($M278="","",N(INDEX('DỮ LIỆU'!$N$3:$N$1052,$M278)))</f>
        <v/>
      </c>
      <c r="J278" s="13" t="str">
        <f aca="false">IF($M278="","",N(INDEX('DỮ LIỆU'!$O$3:$O$1052,$M278)))</f>
        <v/>
      </c>
      <c r="K278" s="13" t="str">
        <f aca="false">IF($M278="","",IF(INDEX('DỮ LIỆU'!$Q$3:$Q$1052,$M278)="","",INDEX('DỮ LIỆU'!$Q$3:$Q$1052,$M278)))</f>
        <v/>
      </c>
      <c r="L278" s="21" t="str">
        <f aca="false">IF($M278="","",IF(INDEX('DỮ LIỆU'!$R$3:$R$1052,$M278)="","",INDEX('DỮ LIỆU'!$R$3:$R$1052,$M278)))</f>
        <v/>
      </c>
      <c r="M278" s="0" t="str">
        <f aca="false">IFERROR(MATCH(273,'DỮ LIỆU'!$V$3:$V$1052,0),"")</f>
        <v/>
      </c>
    </row>
    <row r="279" customFormat="false" ht="15" hidden="false" customHeight="false" outlineLevel="0" collapsed="false">
      <c r="A279" s="21" t="str">
        <f aca="false">IF($M279="","",274)</f>
        <v/>
      </c>
      <c r="B279" s="13" t="str">
        <f aca="false">IF($M279="","",INDEX('DỮ LIỆU'!$A$3:$A$1052,$M279))</f>
        <v/>
      </c>
      <c r="C279" s="41" t="str">
        <f aca="false">IF($M279="","",IF(INDEX('DỮ LIỆU'!$B$3:$B$1052,$M279)="","",INDEX('DỮ LIỆU'!$B$3:$B$1052,$M279)))</f>
        <v/>
      </c>
      <c r="D279" s="21" t="str">
        <f aca="false">IF($M279="","",IF(INDEX('DỮ LIỆU'!$C$3:$C$1052,$M279)="","",INDEX('DỮ LIỆU'!$C$3:$C$1052,$M279)))</f>
        <v/>
      </c>
      <c r="E279" s="21" t="str">
        <f aca="false">IF($M279="","",IF(INDEX('DỮ LIỆU'!$D$3:$D$1052,$M279)="","",INDEX('DỮ LIỆU'!$D$3:$D$1052,$M279)))</f>
        <v/>
      </c>
      <c r="F279" s="21" t="str">
        <f aca="false">IF($M279="","",IF(INDEX('DỮ LIỆU'!$H$3:$H$1052,$M279)="","",INDEX('DỮ LIỆU'!$H$3:$H$1052,$M279)))</f>
        <v/>
      </c>
      <c r="G279" s="13" t="str">
        <f aca="false">IF($M279="","",N(INDEX('DỮ LIỆU'!$I$3:$I$1052,$M279)))</f>
        <v/>
      </c>
      <c r="H279" s="13" t="str">
        <f aca="false">IF($M279="","",N(INDEX('DỮ LIỆU'!$J$3:$J$1052,$M279)))</f>
        <v/>
      </c>
      <c r="I279" s="13" t="str">
        <f aca="false">IF($M279="","",N(INDEX('DỮ LIỆU'!$N$3:$N$1052,$M279)))</f>
        <v/>
      </c>
      <c r="J279" s="13" t="str">
        <f aca="false">IF($M279="","",N(INDEX('DỮ LIỆU'!$O$3:$O$1052,$M279)))</f>
        <v/>
      </c>
      <c r="K279" s="13" t="str">
        <f aca="false">IF($M279="","",IF(INDEX('DỮ LIỆU'!$Q$3:$Q$1052,$M279)="","",INDEX('DỮ LIỆU'!$Q$3:$Q$1052,$M279)))</f>
        <v/>
      </c>
      <c r="L279" s="21" t="str">
        <f aca="false">IF($M279="","",IF(INDEX('DỮ LIỆU'!$R$3:$R$1052,$M279)="","",INDEX('DỮ LIỆU'!$R$3:$R$1052,$M279)))</f>
        <v/>
      </c>
      <c r="M279" s="0" t="str">
        <f aca="false">IFERROR(MATCH(274,'DỮ LIỆU'!$V$3:$V$1052,0),"")</f>
        <v/>
      </c>
    </row>
    <row r="280" customFormat="false" ht="15" hidden="false" customHeight="false" outlineLevel="0" collapsed="false">
      <c r="A280" s="21" t="str">
        <f aca="false">IF($M280="","",275)</f>
        <v/>
      </c>
      <c r="B280" s="13" t="str">
        <f aca="false">IF($M280="","",INDEX('DỮ LIỆU'!$A$3:$A$1052,$M280))</f>
        <v/>
      </c>
      <c r="C280" s="41" t="str">
        <f aca="false">IF($M280="","",IF(INDEX('DỮ LIỆU'!$B$3:$B$1052,$M280)="","",INDEX('DỮ LIỆU'!$B$3:$B$1052,$M280)))</f>
        <v/>
      </c>
      <c r="D280" s="21" t="str">
        <f aca="false">IF($M280="","",IF(INDEX('DỮ LIỆU'!$C$3:$C$1052,$M280)="","",INDEX('DỮ LIỆU'!$C$3:$C$1052,$M280)))</f>
        <v/>
      </c>
      <c r="E280" s="21" t="str">
        <f aca="false">IF($M280="","",IF(INDEX('DỮ LIỆU'!$D$3:$D$1052,$M280)="","",INDEX('DỮ LIỆU'!$D$3:$D$1052,$M280)))</f>
        <v/>
      </c>
      <c r="F280" s="21" t="str">
        <f aca="false">IF($M280="","",IF(INDEX('DỮ LIỆU'!$H$3:$H$1052,$M280)="","",INDEX('DỮ LIỆU'!$H$3:$H$1052,$M280)))</f>
        <v/>
      </c>
      <c r="G280" s="13" t="str">
        <f aca="false">IF($M280="","",N(INDEX('DỮ LIỆU'!$I$3:$I$1052,$M280)))</f>
        <v/>
      </c>
      <c r="H280" s="13" t="str">
        <f aca="false">IF($M280="","",N(INDEX('DỮ LIỆU'!$J$3:$J$1052,$M280)))</f>
        <v/>
      </c>
      <c r="I280" s="13" t="str">
        <f aca="false">IF($M280="","",N(INDEX('DỮ LIỆU'!$N$3:$N$1052,$M280)))</f>
        <v/>
      </c>
      <c r="J280" s="13" t="str">
        <f aca="false">IF($M280="","",N(INDEX('DỮ LIỆU'!$O$3:$O$1052,$M280)))</f>
        <v/>
      </c>
      <c r="K280" s="13" t="str">
        <f aca="false">IF($M280="","",IF(INDEX('DỮ LIỆU'!$Q$3:$Q$1052,$M280)="","",INDEX('DỮ LIỆU'!$Q$3:$Q$1052,$M280)))</f>
        <v/>
      </c>
      <c r="L280" s="21" t="str">
        <f aca="false">IF($M280="","",IF(INDEX('DỮ LIỆU'!$R$3:$R$1052,$M280)="","",INDEX('DỮ LIỆU'!$R$3:$R$1052,$M280)))</f>
        <v/>
      </c>
      <c r="M280" s="0" t="str">
        <f aca="false">IFERROR(MATCH(275,'DỮ LIỆU'!$V$3:$V$1052,0),"")</f>
        <v/>
      </c>
    </row>
    <row r="281" customFormat="false" ht="15" hidden="false" customHeight="false" outlineLevel="0" collapsed="false">
      <c r="A281" s="21" t="str">
        <f aca="false">IF($M281="","",276)</f>
        <v/>
      </c>
      <c r="B281" s="13" t="str">
        <f aca="false">IF($M281="","",INDEX('DỮ LIỆU'!$A$3:$A$1052,$M281))</f>
        <v/>
      </c>
      <c r="C281" s="41" t="str">
        <f aca="false">IF($M281="","",IF(INDEX('DỮ LIỆU'!$B$3:$B$1052,$M281)="","",INDEX('DỮ LIỆU'!$B$3:$B$1052,$M281)))</f>
        <v/>
      </c>
      <c r="D281" s="21" t="str">
        <f aca="false">IF($M281="","",IF(INDEX('DỮ LIỆU'!$C$3:$C$1052,$M281)="","",INDEX('DỮ LIỆU'!$C$3:$C$1052,$M281)))</f>
        <v/>
      </c>
      <c r="E281" s="21" t="str">
        <f aca="false">IF($M281="","",IF(INDEX('DỮ LIỆU'!$D$3:$D$1052,$M281)="","",INDEX('DỮ LIỆU'!$D$3:$D$1052,$M281)))</f>
        <v/>
      </c>
      <c r="F281" s="21" t="str">
        <f aca="false">IF($M281="","",IF(INDEX('DỮ LIỆU'!$H$3:$H$1052,$M281)="","",INDEX('DỮ LIỆU'!$H$3:$H$1052,$M281)))</f>
        <v/>
      </c>
      <c r="G281" s="13" t="str">
        <f aca="false">IF($M281="","",N(INDEX('DỮ LIỆU'!$I$3:$I$1052,$M281)))</f>
        <v/>
      </c>
      <c r="H281" s="13" t="str">
        <f aca="false">IF($M281="","",N(INDEX('DỮ LIỆU'!$J$3:$J$1052,$M281)))</f>
        <v/>
      </c>
      <c r="I281" s="13" t="str">
        <f aca="false">IF($M281="","",N(INDEX('DỮ LIỆU'!$N$3:$N$1052,$M281)))</f>
        <v/>
      </c>
      <c r="J281" s="13" t="str">
        <f aca="false">IF($M281="","",N(INDEX('DỮ LIỆU'!$O$3:$O$1052,$M281)))</f>
        <v/>
      </c>
      <c r="K281" s="13" t="str">
        <f aca="false">IF($M281="","",IF(INDEX('DỮ LIỆU'!$Q$3:$Q$1052,$M281)="","",INDEX('DỮ LIỆU'!$Q$3:$Q$1052,$M281)))</f>
        <v/>
      </c>
      <c r="L281" s="21" t="str">
        <f aca="false">IF($M281="","",IF(INDEX('DỮ LIỆU'!$R$3:$R$1052,$M281)="","",INDEX('DỮ LIỆU'!$R$3:$R$1052,$M281)))</f>
        <v/>
      </c>
      <c r="M281" s="0" t="str">
        <f aca="false">IFERROR(MATCH(276,'DỮ LIỆU'!$V$3:$V$1052,0),"")</f>
        <v/>
      </c>
    </row>
    <row r="282" customFormat="false" ht="15" hidden="false" customHeight="false" outlineLevel="0" collapsed="false">
      <c r="A282" s="21" t="str">
        <f aca="false">IF($M282="","",277)</f>
        <v/>
      </c>
      <c r="B282" s="13" t="str">
        <f aca="false">IF($M282="","",INDEX('DỮ LIỆU'!$A$3:$A$1052,$M282))</f>
        <v/>
      </c>
      <c r="C282" s="41" t="str">
        <f aca="false">IF($M282="","",IF(INDEX('DỮ LIỆU'!$B$3:$B$1052,$M282)="","",INDEX('DỮ LIỆU'!$B$3:$B$1052,$M282)))</f>
        <v/>
      </c>
      <c r="D282" s="21" t="str">
        <f aca="false">IF($M282="","",IF(INDEX('DỮ LIỆU'!$C$3:$C$1052,$M282)="","",INDEX('DỮ LIỆU'!$C$3:$C$1052,$M282)))</f>
        <v/>
      </c>
      <c r="E282" s="21" t="str">
        <f aca="false">IF($M282="","",IF(INDEX('DỮ LIỆU'!$D$3:$D$1052,$M282)="","",INDEX('DỮ LIỆU'!$D$3:$D$1052,$M282)))</f>
        <v/>
      </c>
      <c r="F282" s="21" t="str">
        <f aca="false">IF($M282="","",IF(INDEX('DỮ LIỆU'!$H$3:$H$1052,$M282)="","",INDEX('DỮ LIỆU'!$H$3:$H$1052,$M282)))</f>
        <v/>
      </c>
      <c r="G282" s="13" t="str">
        <f aca="false">IF($M282="","",N(INDEX('DỮ LIỆU'!$I$3:$I$1052,$M282)))</f>
        <v/>
      </c>
      <c r="H282" s="13" t="str">
        <f aca="false">IF($M282="","",N(INDEX('DỮ LIỆU'!$J$3:$J$1052,$M282)))</f>
        <v/>
      </c>
      <c r="I282" s="13" t="str">
        <f aca="false">IF($M282="","",N(INDEX('DỮ LIỆU'!$N$3:$N$1052,$M282)))</f>
        <v/>
      </c>
      <c r="J282" s="13" t="str">
        <f aca="false">IF($M282="","",N(INDEX('DỮ LIỆU'!$O$3:$O$1052,$M282)))</f>
        <v/>
      </c>
      <c r="K282" s="13" t="str">
        <f aca="false">IF($M282="","",IF(INDEX('DỮ LIỆU'!$Q$3:$Q$1052,$M282)="","",INDEX('DỮ LIỆU'!$Q$3:$Q$1052,$M282)))</f>
        <v/>
      </c>
      <c r="L282" s="21" t="str">
        <f aca="false">IF($M282="","",IF(INDEX('DỮ LIỆU'!$R$3:$R$1052,$M282)="","",INDEX('DỮ LIỆU'!$R$3:$R$1052,$M282)))</f>
        <v/>
      </c>
      <c r="M282" s="0" t="str">
        <f aca="false">IFERROR(MATCH(277,'DỮ LIỆU'!$V$3:$V$1052,0),"")</f>
        <v/>
      </c>
    </row>
    <row r="283" customFormat="false" ht="15" hidden="false" customHeight="false" outlineLevel="0" collapsed="false">
      <c r="A283" s="21" t="str">
        <f aca="false">IF($M283="","",278)</f>
        <v/>
      </c>
      <c r="B283" s="13" t="str">
        <f aca="false">IF($M283="","",INDEX('DỮ LIỆU'!$A$3:$A$1052,$M283))</f>
        <v/>
      </c>
      <c r="C283" s="41" t="str">
        <f aca="false">IF($M283="","",IF(INDEX('DỮ LIỆU'!$B$3:$B$1052,$M283)="","",INDEX('DỮ LIỆU'!$B$3:$B$1052,$M283)))</f>
        <v/>
      </c>
      <c r="D283" s="21" t="str">
        <f aca="false">IF($M283="","",IF(INDEX('DỮ LIỆU'!$C$3:$C$1052,$M283)="","",INDEX('DỮ LIỆU'!$C$3:$C$1052,$M283)))</f>
        <v/>
      </c>
      <c r="E283" s="21" t="str">
        <f aca="false">IF($M283="","",IF(INDEX('DỮ LIỆU'!$D$3:$D$1052,$M283)="","",INDEX('DỮ LIỆU'!$D$3:$D$1052,$M283)))</f>
        <v/>
      </c>
      <c r="F283" s="21" t="str">
        <f aca="false">IF($M283="","",IF(INDEX('DỮ LIỆU'!$H$3:$H$1052,$M283)="","",INDEX('DỮ LIỆU'!$H$3:$H$1052,$M283)))</f>
        <v/>
      </c>
      <c r="G283" s="13" t="str">
        <f aca="false">IF($M283="","",N(INDEX('DỮ LIỆU'!$I$3:$I$1052,$M283)))</f>
        <v/>
      </c>
      <c r="H283" s="13" t="str">
        <f aca="false">IF($M283="","",N(INDEX('DỮ LIỆU'!$J$3:$J$1052,$M283)))</f>
        <v/>
      </c>
      <c r="I283" s="13" t="str">
        <f aca="false">IF($M283="","",N(INDEX('DỮ LIỆU'!$N$3:$N$1052,$M283)))</f>
        <v/>
      </c>
      <c r="J283" s="13" t="str">
        <f aca="false">IF($M283="","",N(INDEX('DỮ LIỆU'!$O$3:$O$1052,$M283)))</f>
        <v/>
      </c>
      <c r="K283" s="13" t="str">
        <f aca="false">IF($M283="","",IF(INDEX('DỮ LIỆU'!$Q$3:$Q$1052,$M283)="","",INDEX('DỮ LIỆU'!$Q$3:$Q$1052,$M283)))</f>
        <v/>
      </c>
      <c r="L283" s="21" t="str">
        <f aca="false">IF($M283="","",IF(INDEX('DỮ LIỆU'!$R$3:$R$1052,$M283)="","",INDEX('DỮ LIỆU'!$R$3:$R$1052,$M283)))</f>
        <v/>
      </c>
      <c r="M283" s="0" t="str">
        <f aca="false">IFERROR(MATCH(278,'DỮ LIỆU'!$V$3:$V$1052,0),"")</f>
        <v/>
      </c>
    </row>
    <row r="284" customFormat="false" ht="15" hidden="false" customHeight="false" outlineLevel="0" collapsed="false">
      <c r="A284" s="21" t="str">
        <f aca="false">IF($M284="","",279)</f>
        <v/>
      </c>
      <c r="B284" s="13" t="str">
        <f aca="false">IF($M284="","",INDEX('DỮ LIỆU'!$A$3:$A$1052,$M284))</f>
        <v/>
      </c>
      <c r="C284" s="41" t="str">
        <f aca="false">IF($M284="","",IF(INDEX('DỮ LIỆU'!$B$3:$B$1052,$M284)="","",INDEX('DỮ LIỆU'!$B$3:$B$1052,$M284)))</f>
        <v/>
      </c>
      <c r="D284" s="21" t="str">
        <f aca="false">IF($M284="","",IF(INDEX('DỮ LIỆU'!$C$3:$C$1052,$M284)="","",INDEX('DỮ LIỆU'!$C$3:$C$1052,$M284)))</f>
        <v/>
      </c>
      <c r="E284" s="21" t="str">
        <f aca="false">IF($M284="","",IF(INDEX('DỮ LIỆU'!$D$3:$D$1052,$M284)="","",INDEX('DỮ LIỆU'!$D$3:$D$1052,$M284)))</f>
        <v/>
      </c>
      <c r="F284" s="21" t="str">
        <f aca="false">IF($M284="","",IF(INDEX('DỮ LIỆU'!$H$3:$H$1052,$M284)="","",INDEX('DỮ LIỆU'!$H$3:$H$1052,$M284)))</f>
        <v/>
      </c>
      <c r="G284" s="13" t="str">
        <f aca="false">IF($M284="","",N(INDEX('DỮ LIỆU'!$I$3:$I$1052,$M284)))</f>
        <v/>
      </c>
      <c r="H284" s="13" t="str">
        <f aca="false">IF($M284="","",N(INDEX('DỮ LIỆU'!$J$3:$J$1052,$M284)))</f>
        <v/>
      </c>
      <c r="I284" s="13" t="str">
        <f aca="false">IF($M284="","",N(INDEX('DỮ LIỆU'!$N$3:$N$1052,$M284)))</f>
        <v/>
      </c>
      <c r="J284" s="13" t="str">
        <f aca="false">IF($M284="","",N(INDEX('DỮ LIỆU'!$O$3:$O$1052,$M284)))</f>
        <v/>
      </c>
      <c r="K284" s="13" t="str">
        <f aca="false">IF($M284="","",IF(INDEX('DỮ LIỆU'!$Q$3:$Q$1052,$M284)="","",INDEX('DỮ LIỆU'!$Q$3:$Q$1052,$M284)))</f>
        <v/>
      </c>
      <c r="L284" s="21" t="str">
        <f aca="false">IF($M284="","",IF(INDEX('DỮ LIỆU'!$R$3:$R$1052,$M284)="","",INDEX('DỮ LIỆU'!$R$3:$R$1052,$M284)))</f>
        <v/>
      </c>
      <c r="M284" s="0" t="str">
        <f aca="false">IFERROR(MATCH(279,'DỮ LIỆU'!$V$3:$V$1052,0),"")</f>
        <v/>
      </c>
    </row>
    <row r="285" customFormat="false" ht="15" hidden="false" customHeight="false" outlineLevel="0" collapsed="false">
      <c r="A285" s="21" t="str">
        <f aca="false">IF($M285="","",280)</f>
        <v/>
      </c>
      <c r="B285" s="13" t="str">
        <f aca="false">IF($M285="","",INDEX('DỮ LIỆU'!$A$3:$A$1052,$M285))</f>
        <v/>
      </c>
      <c r="C285" s="41" t="str">
        <f aca="false">IF($M285="","",IF(INDEX('DỮ LIỆU'!$B$3:$B$1052,$M285)="","",INDEX('DỮ LIỆU'!$B$3:$B$1052,$M285)))</f>
        <v/>
      </c>
      <c r="D285" s="21" t="str">
        <f aca="false">IF($M285="","",IF(INDEX('DỮ LIỆU'!$C$3:$C$1052,$M285)="","",INDEX('DỮ LIỆU'!$C$3:$C$1052,$M285)))</f>
        <v/>
      </c>
      <c r="E285" s="21" t="str">
        <f aca="false">IF($M285="","",IF(INDEX('DỮ LIỆU'!$D$3:$D$1052,$M285)="","",INDEX('DỮ LIỆU'!$D$3:$D$1052,$M285)))</f>
        <v/>
      </c>
      <c r="F285" s="21" t="str">
        <f aca="false">IF($M285="","",IF(INDEX('DỮ LIỆU'!$H$3:$H$1052,$M285)="","",INDEX('DỮ LIỆU'!$H$3:$H$1052,$M285)))</f>
        <v/>
      </c>
      <c r="G285" s="13" t="str">
        <f aca="false">IF($M285="","",N(INDEX('DỮ LIỆU'!$I$3:$I$1052,$M285)))</f>
        <v/>
      </c>
      <c r="H285" s="13" t="str">
        <f aca="false">IF($M285="","",N(INDEX('DỮ LIỆU'!$J$3:$J$1052,$M285)))</f>
        <v/>
      </c>
      <c r="I285" s="13" t="str">
        <f aca="false">IF($M285="","",N(INDEX('DỮ LIỆU'!$N$3:$N$1052,$M285)))</f>
        <v/>
      </c>
      <c r="J285" s="13" t="str">
        <f aca="false">IF($M285="","",N(INDEX('DỮ LIỆU'!$O$3:$O$1052,$M285)))</f>
        <v/>
      </c>
      <c r="K285" s="13" t="str">
        <f aca="false">IF($M285="","",IF(INDEX('DỮ LIỆU'!$Q$3:$Q$1052,$M285)="","",INDEX('DỮ LIỆU'!$Q$3:$Q$1052,$M285)))</f>
        <v/>
      </c>
      <c r="L285" s="21" t="str">
        <f aca="false">IF($M285="","",IF(INDEX('DỮ LIỆU'!$R$3:$R$1052,$M285)="","",INDEX('DỮ LIỆU'!$R$3:$R$1052,$M285)))</f>
        <v/>
      </c>
      <c r="M285" s="0" t="str">
        <f aca="false">IFERROR(MATCH(280,'DỮ LIỆU'!$V$3:$V$1052,0),"")</f>
        <v/>
      </c>
    </row>
    <row r="286" customFormat="false" ht="15" hidden="false" customHeight="false" outlineLevel="0" collapsed="false">
      <c r="A286" s="21" t="str">
        <f aca="false">IF($M286="","",281)</f>
        <v/>
      </c>
      <c r="B286" s="13" t="str">
        <f aca="false">IF($M286="","",INDEX('DỮ LIỆU'!$A$3:$A$1052,$M286))</f>
        <v/>
      </c>
      <c r="C286" s="41" t="str">
        <f aca="false">IF($M286="","",IF(INDEX('DỮ LIỆU'!$B$3:$B$1052,$M286)="","",INDEX('DỮ LIỆU'!$B$3:$B$1052,$M286)))</f>
        <v/>
      </c>
      <c r="D286" s="21" t="str">
        <f aca="false">IF($M286="","",IF(INDEX('DỮ LIỆU'!$C$3:$C$1052,$M286)="","",INDEX('DỮ LIỆU'!$C$3:$C$1052,$M286)))</f>
        <v/>
      </c>
      <c r="E286" s="21" t="str">
        <f aca="false">IF($M286="","",IF(INDEX('DỮ LIỆU'!$D$3:$D$1052,$M286)="","",INDEX('DỮ LIỆU'!$D$3:$D$1052,$M286)))</f>
        <v/>
      </c>
      <c r="F286" s="21" t="str">
        <f aca="false">IF($M286="","",IF(INDEX('DỮ LIỆU'!$H$3:$H$1052,$M286)="","",INDEX('DỮ LIỆU'!$H$3:$H$1052,$M286)))</f>
        <v/>
      </c>
      <c r="G286" s="13" t="str">
        <f aca="false">IF($M286="","",N(INDEX('DỮ LIỆU'!$I$3:$I$1052,$M286)))</f>
        <v/>
      </c>
      <c r="H286" s="13" t="str">
        <f aca="false">IF($M286="","",N(INDEX('DỮ LIỆU'!$J$3:$J$1052,$M286)))</f>
        <v/>
      </c>
      <c r="I286" s="13" t="str">
        <f aca="false">IF($M286="","",N(INDEX('DỮ LIỆU'!$N$3:$N$1052,$M286)))</f>
        <v/>
      </c>
      <c r="J286" s="13" t="str">
        <f aca="false">IF($M286="","",N(INDEX('DỮ LIỆU'!$O$3:$O$1052,$M286)))</f>
        <v/>
      </c>
      <c r="K286" s="13" t="str">
        <f aca="false">IF($M286="","",IF(INDEX('DỮ LIỆU'!$Q$3:$Q$1052,$M286)="","",INDEX('DỮ LIỆU'!$Q$3:$Q$1052,$M286)))</f>
        <v/>
      </c>
      <c r="L286" s="21" t="str">
        <f aca="false">IF($M286="","",IF(INDEX('DỮ LIỆU'!$R$3:$R$1052,$M286)="","",INDEX('DỮ LIỆU'!$R$3:$R$1052,$M286)))</f>
        <v/>
      </c>
      <c r="M286" s="0" t="str">
        <f aca="false">IFERROR(MATCH(281,'DỮ LIỆU'!$V$3:$V$1052,0),"")</f>
        <v/>
      </c>
    </row>
    <row r="287" customFormat="false" ht="15" hidden="false" customHeight="false" outlineLevel="0" collapsed="false">
      <c r="A287" s="21" t="str">
        <f aca="false">IF($M287="","",282)</f>
        <v/>
      </c>
      <c r="B287" s="13" t="str">
        <f aca="false">IF($M287="","",INDEX('DỮ LIỆU'!$A$3:$A$1052,$M287))</f>
        <v/>
      </c>
      <c r="C287" s="41" t="str">
        <f aca="false">IF($M287="","",IF(INDEX('DỮ LIỆU'!$B$3:$B$1052,$M287)="","",INDEX('DỮ LIỆU'!$B$3:$B$1052,$M287)))</f>
        <v/>
      </c>
      <c r="D287" s="21" t="str">
        <f aca="false">IF($M287="","",IF(INDEX('DỮ LIỆU'!$C$3:$C$1052,$M287)="","",INDEX('DỮ LIỆU'!$C$3:$C$1052,$M287)))</f>
        <v/>
      </c>
      <c r="E287" s="21" t="str">
        <f aca="false">IF($M287="","",IF(INDEX('DỮ LIỆU'!$D$3:$D$1052,$M287)="","",INDEX('DỮ LIỆU'!$D$3:$D$1052,$M287)))</f>
        <v/>
      </c>
      <c r="F287" s="21" t="str">
        <f aca="false">IF($M287="","",IF(INDEX('DỮ LIỆU'!$H$3:$H$1052,$M287)="","",INDEX('DỮ LIỆU'!$H$3:$H$1052,$M287)))</f>
        <v/>
      </c>
      <c r="G287" s="13" t="str">
        <f aca="false">IF($M287="","",N(INDEX('DỮ LIỆU'!$I$3:$I$1052,$M287)))</f>
        <v/>
      </c>
      <c r="H287" s="13" t="str">
        <f aca="false">IF($M287="","",N(INDEX('DỮ LIỆU'!$J$3:$J$1052,$M287)))</f>
        <v/>
      </c>
      <c r="I287" s="13" t="str">
        <f aca="false">IF($M287="","",N(INDEX('DỮ LIỆU'!$N$3:$N$1052,$M287)))</f>
        <v/>
      </c>
      <c r="J287" s="13" t="str">
        <f aca="false">IF($M287="","",N(INDEX('DỮ LIỆU'!$O$3:$O$1052,$M287)))</f>
        <v/>
      </c>
      <c r="K287" s="13" t="str">
        <f aca="false">IF($M287="","",IF(INDEX('DỮ LIỆU'!$Q$3:$Q$1052,$M287)="","",INDEX('DỮ LIỆU'!$Q$3:$Q$1052,$M287)))</f>
        <v/>
      </c>
      <c r="L287" s="21" t="str">
        <f aca="false">IF($M287="","",IF(INDEX('DỮ LIỆU'!$R$3:$R$1052,$M287)="","",INDEX('DỮ LIỆU'!$R$3:$R$1052,$M287)))</f>
        <v/>
      </c>
      <c r="M287" s="0" t="str">
        <f aca="false">IFERROR(MATCH(282,'DỮ LIỆU'!$V$3:$V$1052,0),"")</f>
        <v/>
      </c>
    </row>
    <row r="288" customFormat="false" ht="15" hidden="false" customHeight="false" outlineLevel="0" collapsed="false">
      <c r="A288" s="21" t="str">
        <f aca="false">IF($M288="","",283)</f>
        <v/>
      </c>
      <c r="B288" s="13" t="str">
        <f aca="false">IF($M288="","",INDEX('DỮ LIỆU'!$A$3:$A$1052,$M288))</f>
        <v/>
      </c>
      <c r="C288" s="41" t="str">
        <f aca="false">IF($M288="","",IF(INDEX('DỮ LIỆU'!$B$3:$B$1052,$M288)="","",INDEX('DỮ LIỆU'!$B$3:$B$1052,$M288)))</f>
        <v/>
      </c>
      <c r="D288" s="21" t="str">
        <f aca="false">IF($M288="","",IF(INDEX('DỮ LIỆU'!$C$3:$C$1052,$M288)="","",INDEX('DỮ LIỆU'!$C$3:$C$1052,$M288)))</f>
        <v/>
      </c>
      <c r="E288" s="21" t="str">
        <f aca="false">IF($M288="","",IF(INDEX('DỮ LIỆU'!$D$3:$D$1052,$M288)="","",INDEX('DỮ LIỆU'!$D$3:$D$1052,$M288)))</f>
        <v/>
      </c>
      <c r="F288" s="21" t="str">
        <f aca="false">IF($M288="","",IF(INDEX('DỮ LIỆU'!$H$3:$H$1052,$M288)="","",INDEX('DỮ LIỆU'!$H$3:$H$1052,$M288)))</f>
        <v/>
      </c>
      <c r="G288" s="13" t="str">
        <f aca="false">IF($M288="","",N(INDEX('DỮ LIỆU'!$I$3:$I$1052,$M288)))</f>
        <v/>
      </c>
      <c r="H288" s="13" t="str">
        <f aca="false">IF($M288="","",N(INDEX('DỮ LIỆU'!$J$3:$J$1052,$M288)))</f>
        <v/>
      </c>
      <c r="I288" s="13" t="str">
        <f aca="false">IF($M288="","",N(INDEX('DỮ LIỆU'!$N$3:$N$1052,$M288)))</f>
        <v/>
      </c>
      <c r="J288" s="13" t="str">
        <f aca="false">IF($M288="","",N(INDEX('DỮ LIỆU'!$O$3:$O$1052,$M288)))</f>
        <v/>
      </c>
      <c r="K288" s="13" t="str">
        <f aca="false">IF($M288="","",IF(INDEX('DỮ LIỆU'!$Q$3:$Q$1052,$M288)="","",INDEX('DỮ LIỆU'!$Q$3:$Q$1052,$M288)))</f>
        <v/>
      </c>
      <c r="L288" s="21" t="str">
        <f aca="false">IF($M288="","",IF(INDEX('DỮ LIỆU'!$R$3:$R$1052,$M288)="","",INDEX('DỮ LIỆU'!$R$3:$R$1052,$M288)))</f>
        <v/>
      </c>
      <c r="M288" s="0" t="str">
        <f aca="false">IFERROR(MATCH(283,'DỮ LIỆU'!$V$3:$V$1052,0),"")</f>
        <v/>
      </c>
    </row>
    <row r="289" customFormat="false" ht="15" hidden="false" customHeight="false" outlineLevel="0" collapsed="false">
      <c r="A289" s="21" t="str">
        <f aca="false">IF($M289="","",284)</f>
        <v/>
      </c>
      <c r="B289" s="13" t="str">
        <f aca="false">IF($M289="","",INDEX('DỮ LIỆU'!$A$3:$A$1052,$M289))</f>
        <v/>
      </c>
      <c r="C289" s="41" t="str">
        <f aca="false">IF($M289="","",IF(INDEX('DỮ LIỆU'!$B$3:$B$1052,$M289)="","",INDEX('DỮ LIỆU'!$B$3:$B$1052,$M289)))</f>
        <v/>
      </c>
      <c r="D289" s="21" t="str">
        <f aca="false">IF($M289="","",IF(INDEX('DỮ LIỆU'!$C$3:$C$1052,$M289)="","",INDEX('DỮ LIỆU'!$C$3:$C$1052,$M289)))</f>
        <v/>
      </c>
      <c r="E289" s="21" t="str">
        <f aca="false">IF($M289="","",IF(INDEX('DỮ LIỆU'!$D$3:$D$1052,$M289)="","",INDEX('DỮ LIỆU'!$D$3:$D$1052,$M289)))</f>
        <v/>
      </c>
      <c r="F289" s="21" t="str">
        <f aca="false">IF($M289="","",IF(INDEX('DỮ LIỆU'!$H$3:$H$1052,$M289)="","",INDEX('DỮ LIỆU'!$H$3:$H$1052,$M289)))</f>
        <v/>
      </c>
      <c r="G289" s="13" t="str">
        <f aca="false">IF($M289="","",N(INDEX('DỮ LIỆU'!$I$3:$I$1052,$M289)))</f>
        <v/>
      </c>
      <c r="H289" s="13" t="str">
        <f aca="false">IF($M289="","",N(INDEX('DỮ LIỆU'!$J$3:$J$1052,$M289)))</f>
        <v/>
      </c>
      <c r="I289" s="13" t="str">
        <f aca="false">IF($M289="","",N(INDEX('DỮ LIỆU'!$N$3:$N$1052,$M289)))</f>
        <v/>
      </c>
      <c r="J289" s="13" t="str">
        <f aca="false">IF($M289="","",N(INDEX('DỮ LIỆU'!$O$3:$O$1052,$M289)))</f>
        <v/>
      </c>
      <c r="K289" s="13" t="str">
        <f aca="false">IF($M289="","",IF(INDEX('DỮ LIỆU'!$Q$3:$Q$1052,$M289)="","",INDEX('DỮ LIỆU'!$Q$3:$Q$1052,$M289)))</f>
        <v/>
      </c>
      <c r="L289" s="21" t="str">
        <f aca="false">IF($M289="","",IF(INDEX('DỮ LIỆU'!$R$3:$R$1052,$M289)="","",INDEX('DỮ LIỆU'!$R$3:$R$1052,$M289)))</f>
        <v/>
      </c>
      <c r="M289" s="0" t="str">
        <f aca="false">IFERROR(MATCH(284,'DỮ LIỆU'!$V$3:$V$1052,0),"")</f>
        <v/>
      </c>
    </row>
    <row r="290" customFormat="false" ht="15" hidden="false" customHeight="false" outlineLevel="0" collapsed="false">
      <c r="A290" s="21" t="str">
        <f aca="false">IF($M290="","",285)</f>
        <v/>
      </c>
      <c r="B290" s="13" t="str">
        <f aca="false">IF($M290="","",INDEX('DỮ LIỆU'!$A$3:$A$1052,$M290))</f>
        <v/>
      </c>
      <c r="C290" s="41" t="str">
        <f aca="false">IF($M290="","",IF(INDEX('DỮ LIỆU'!$B$3:$B$1052,$M290)="","",INDEX('DỮ LIỆU'!$B$3:$B$1052,$M290)))</f>
        <v/>
      </c>
      <c r="D290" s="21" t="str">
        <f aca="false">IF($M290="","",IF(INDEX('DỮ LIỆU'!$C$3:$C$1052,$M290)="","",INDEX('DỮ LIỆU'!$C$3:$C$1052,$M290)))</f>
        <v/>
      </c>
      <c r="E290" s="21" t="str">
        <f aca="false">IF($M290="","",IF(INDEX('DỮ LIỆU'!$D$3:$D$1052,$M290)="","",INDEX('DỮ LIỆU'!$D$3:$D$1052,$M290)))</f>
        <v/>
      </c>
      <c r="F290" s="21" t="str">
        <f aca="false">IF($M290="","",IF(INDEX('DỮ LIỆU'!$H$3:$H$1052,$M290)="","",INDEX('DỮ LIỆU'!$H$3:$H$1052,$M290)))</f>
        <v/>
      </c>
      <c r="G290" s="13" t="str">
        <f aca="false">IF($M290="","",N(INDEX('DỮ LIỆU'!$I$3:$I$1052,$M290)))</f>
        <v/>
      </c>
      <c r="H290" s="13" t="str">
        <f aca="false">IF($M290="","",N(INDEX('DỮ LIỆU'!$J$3:$J$1052,$M290)))</f>
        <v/>
      </c>
      <c r="I290" s="13" t="str">
        <f aca="false">IF($M290="","",N(INDEX('DỮ LIỆU'!$N$3:$N$1052,$M290)))</f>
        <v/>
      </c>
      <c r="J290" s="13" t="str">
        <f aca="false">IF($M290="","",N(INDEX('DỮ LIỆU'!$O$3:$O$1052,$M290)))</f>
        <v/>
      </c>
      <c r="K290" s="13" t="str">
        <f aca="false">IF($M290="","",IF(INDEX('DỮ LIỆU'!$Q$3:$Q$1052,$M290)="","",INDEX('DỮ LIỆU'!$Q$3:$Q$1052,$M290)))</f>
        <v/>
      </c>
      <c r="L290" s="21" t="str">
        <f aca="false">IF($M290="","",IF(INDEX('DỮ LIỆU'!$R$3:$R$1052,$M290)="","",INDEX('DỮ LIỆU'!$R$3:$R$1052,$M290)))</f>
        <v/>
      </c>
      <c r="M290" s="0" t="str">
        <f aca="false">IFERROR(MATCH(285,'DỮ LIỆU'!$V$3:$V$1052,0),"")</f>
        <v/>
      </c>
    </row>
    <row r="291" customFormat="false" ht="15" hidden="false" customHeight="false" outlineLevel="0" collapsed="false">
      <c r="A291" s="21" t="str">
        <f aca="false">IF($M291="","",286)</f>
        <v/>
      </c>
      <c r="B291" s="13" t="str">
        <f aca="false">IF($M291="","",INDEX('DỮ LIỆU'!$A$3:$A$1052,$M291))</f>
        <v/>
      </c>
      <c r="C291" s="41" t="str">
        <f aca="false">IF($M291="","",IF(INDEX('DỮ LIỆU'!$B$3:$B$1052,$M291)="","",INDEX('DỮ LIỆU'!$B$3:$B$1052,$M291)))</f>
        <v/>
      </c>
      <c r="D291" s="21" t="str">
        <f aca="false">IF($M291="","",IF(INDEX('DỮ LIỆU'!$C$3:$C$1052,$M291)="","",INDEX('DỮ LIỆU'!$C$3:$C$1052,$M291)))</f>
        <v/>
      </c>
      <c r="E291" s="21" t="str">
        <f aca="false">IF($M291="","",IF(INDEX('DỮ LIỆU'!$D$3:$D$1052,$M291)="","",INDEX('DỮ LIỆU'!$D$3:$D$1052,$M291)))</f>
        <v/>
      </c>
      <c r="F291" s="21" t="str">
        <f aca="false">IF($M291="","",IF(INDEX('DỮ LIỆU'!$H$3:$H$1052,$M291)="","",INDEX('DỮ LIỆU'!$H$3:$H$1052,$M291)))</f>
        <v/>
      </c>
      <c r="G291" s="13" t="str">
        <f aca="false">IF($M291="","",N(INDEX('DỮ LIỆU'!$I$3:$I$1052,$M291)))</f>
        <v/>
      </c>
      <c r="H291" s="13" t="str">
        <f aca="false">IF($M291="","",N(INDEX('DỮ LIỆU'!$J$3:$J$1052,$M291)))</f>
        <v/>
      </c>
      <c r="I291" s="13" t="str">
        <f aca="false">IF($M291="","",N(INDEX('DỮ LIỆU'!$N$3:$N$1052,$M291)))</f>
        <v/>
      </c>
      <c r="J291" s="13" t="str">
        <f aca="false">IF($M291="","",N(INDEX('DỮ LIỆU'!$O$3:$O$1052,$M291)))</f>
        <v/>
      </c>
      <c r="K291" s="13" t="str">
        <f aca="false">IF($M291="","",IF(INDEX('DỮ LIỆU'!$Q$3:$Q$1052,$M291)="","",INDEX('DỮ LIỆU'!$Q$3:$Q$1052,$M291)))</f>
        <v/>
      </c>
      <c r="L291" s="21" t="str">
        <f aca="false">IF($M291="","",IF(INDEX('DỮ LIỆU'!$R$3:$R$1052,$M291)="","",INDEX('DỮ LIỆU'!$R$3:$R$1052,$M291)))</f>
        <v/>
      </c>
      <c r="M291" s="0" t="str">
        <f aca="false">IFERROR(MATCH(286,'DỮ LIỆU'!$V$3:$V$1052,0),"")</f>
        <v/>
      </c>
    </row>
    <row r="292" customFormat="false" ht="15" hidden="false" customHeight="false" outlineLevel="0" collapsed="false">
      <c r="A292" s="21" t="str">
        <f aca="false">IF($M292="","",287)</f>
        <v/>
      </c>
      <c r="B292" s="13" t="str">
        <f aca="false">IF($M292="","",INDEX('DỮ LIỆU'!$A$3:$A$1052,$M292))</f>
        <v/>
      </c>
      <c r="C292" s="41" t="str">
        <f aca="false">IF($M292="","",IF(INDEX('DỮ LIỆU'!$B$3:$B$1052,$M292)="","",INDEX('DỮ LIỆU'!$B$3:$B$1052,$M292)))</f>
        <v/>
      </c>
      <c r="D292" s="21" t="str">
        <f aca="false">IF($M292="","",IF(INDEX('DỮ LIỆU'!$C$3:$C$1052,$M292)="","",INDEX('DỮ LIỆU'!$C$3:$C$1052,$M292)))</f>
        <v/>
      </c>
      <c r="E292" s="21" t="str">
        <f aca="false">IF($M292="","",IF(INDEX('DỮ LIỆU'!$D$3:$D$1052,$M292)="","",INDEX('DỮ LIỆU'!$D$3:$D$1052,$M292)))</f>
        <v/>
      </c>
      <c r="F292" s="21" t="str">
        <f aca="false">IF($M292="","",IF(INDEX('DỮ LIỆU'!$H$3:$H$1052,$M292)="","",INDEX('DỮ LIỆU'!$H$3:$H$1052,$M292)))</f>
        <v/>
      </c>
      <c r="G292" s="13" t="str">
        <f aca="false">IF($M292="","",N(INDEX('DỮ LIỆU'!$I$3:$I$1052,$M292)))</f>
        <v/>
      </c>
      <c r="H292" s="13" t="str">
        <f aca="false">IF($M292="","",N(INDEX('DỮ LIỆU'!$J$3:$J$1052,$M292)))</f>
        <v/>
      </c>
      <c r="I292" s="13" t="str">
        <f aca="false">IF($M292="","",N(INDEX('DỮ LIỆU'!$N$3:$N$1052,$M292)))</f>
        <v/>
      </c>
      <c r="J292" s="13" t="str">
        <f aca="false">IF($M292="","",N(INDEX('DỮ LIỆU'!$O$3:$O$1052,$M292)))</f>
        <v/>
      </c>
      <c r="K292" s="13" t="str">
        <f aca="false">IF($M292="","",IF(INDEX('DỮ LIỆU'!$Q$3:$Q$1052,$M292)="","",INDEX('DỮ LIỆU'!$Q$3:$Q$1052,$M292)))</f>
        <v/>
      </c>
      <c r="L292" s="21" t="str">
        <f aca="false">IF($M292="","",IF(INDEX('DỮ LIỆU'!$R$3:$R$1052,$M292)="","",INDEX('DỮ LIỆU'!$R$3:$R$1052,$M292)))</f>
        <v/>
      </c>
      <c r="M292" s="0" t="str">
        <f aca="false">IFERROR(MATCH(287,'DỮ LIỆU'!$V$3:$V$1052,0),"")</f>
        <v/>
      </c>
    </row>
    <row r="293" customFormat="false" ht="15" hidden="false" customHeight="false" outlineLevel="0" collapsed="false">
      <c r="A293" s="21" t="str">
        <f aca="false">IF($M293="","",288)</f>
        <v/>
      </c>
      <c r="B293" s="13" t="str">
        <f aca="false">IF($M293="","",INDEX('DỮ LIỆU'!$A$3:$A$1052,$M293))</f>
        <v/>
      </c>
      <c r="C293" s="41" t="str">
        <f aca="false">IF($M293="","",IF(INDEX('DỮ LIỆU'!$B$3:$B$1052,$M293)="","",INDEX('DỮ LIỆU'!$B$3:$B$1052,$M293)))</f>
        <v/>
      </c>
      <c r="D293" s="21" t="str">
        <f aca="false">IF($M293="","",IF(INDEX('DỮ LIỆU'!$C$3:$C$1052,$M293)="","",INDEX('DỮ LIỆU'!$C$3:$C$1052,$M293)))</f>
        <v/>
      </c>
      <c r="E293" s="21" t="str">
        <f aca="false">IF($M293="","",IF(INDEX('DỮ LIỆU'!$D$3:$D$1052,$M293)="","",INDEX('DỮ LIỆU'!$D$3:$D$1052,$M293)))</f>
        <v/>
      </c>
      <c r="F293" s="21" t="str">
        <f aca="false">IF($M293="","",IF(INDEX('DỮ LIỆU'!$H$3:$H$1052,$M293)="","",INDEX('DỮ LIỆU'!$H$3:$H$1052,$M293)))</f>
        <v/>
      </c>
      <c r="G293" s="13" t="str">
        <f aca="false">IF($M293="","",N(INDEX('DỮ LIỆU'!$I$3:$I$1052,$M293)))</f>
        <v/>
      </c>
      <c r="H293" s="13" t="str">
        <f aca="false">IF($M293="","",N(INDEX('DỮ LIỆU'!$J$3:$J$1052,$M293)))</f>
        <v/>
      </c>
      <c r="I293" s="13" t="str">
        <f aca="false">IF($M293="","",N(INDEX('DỮ LIỆU'!$N$3:$N$1052,$M293)))</f>
        <v/>
      </c>
      <c r="J293" s="13" t="str">
        <f aca="false">IF($M293="","",N(INDEX('DỮ LIỆU'!$O$3:$O$1052,$M293)))</f>
        <v/>
      </c>
      <c r="K293" s="13" t="str">
        <f aca="false">IF($M293="","",IF(INDEX('DỮ LIỆU'!$Q$3:$Q$1052,$M293)="","",INDEX('DỮ LIỆU'!$Q$3:$Q$1052,$M293)))</f>
        <v/>
      </c>
      <c r="L293" s="21" t="str">
        <f aca="false">IF($M293="","",IF(INDEX('DỮ LIỆU'!$R$3:$R$1052,$M293)="","",INDEX('DỮ LIỆU'!$R$3:$R$1052,$M293)))</f>
        <v/>
      </c>
      <c r="M293" s="0" t="str">
        <f aca="false">IFERROR(MATCH(288,'DỮ LIỆU'!$V$3:$V$1052,0),"")</f>
        <v/>
      </c>
    </row>
    <row r="294" customFormat="false" ht="15" hidden="false" customHeight="false" outlineLevel="0" collapsed="false">
      <c r="A294" s="21" t="str">
        <f aca="false">IF($M294="","",289)</f>
        <v/>
      </c>
      <c r="B294" s="13" t="str">
        <f aca="false">IF($M294="","",INDEX('DỮ LIỆU'!$A$3:$A$1052,$M294))</f>
        <v/>
      </c>
      <c r="C294" s="41" t="str">
        <f aca="false">IF($M294="","",IF(INDEX('DỮ LIỆU'!$B$3:$B$1052,$M294)="","",INDEX('DỮ LIỆU'!$B$3:$B$1052,$M294)))</f>
        <v/>
      </c>
      <c r="D294" s="21" t="str">
        <f aca="false">IF($M294="","",IF(INDEX('DỮ LIỆU'!$C$3:$C$1052,$M294)="","",INDEX('DỮ LIỆU'!$C$3:$C$1052,$M294)))</f>
        <v/>
      </c>
      <c r="E294" s="21" t="str">
        <f aca="false">IF($M294="","",IF(INDEX('DỮ LIỆU'!$D$3:$D$1052,$M294)="","",INDEX('DỮ LIỆU'!$D$3:$D$1052,$M294)))</f>
        <v/>
      </c>
      <c r="F294" s="21" t="str">
        <f aca="false">IF($M294="","",IF(INDEX('DỮ LIỆU'!$H$3:$H$1052,$M294)="","",INDEX('DỮ LIỆU'!$H$3:$H$1052,$M294)))</f>
        <v/>
      </c>
      <c r="G294" s="13" t="str">
        <f aca="false">IF($M294="","",N(INDEX('DỮ LIỆU'!$I$3:$I$1052,$M294)))</f>
        <v/>
      </c>
      <c r="H294" s="13" t="str">
        <f aca="false">IF($M294="","",N(INDEX('DỮ LIỆU'!$J$3:$J$1052,$M294)))</f>
        <v/>
      </c>
      <c r="I294" s="13" t="str">
        <f aca="false">IF($M294="","",N(INDEX('DỮ LIỆU'!$N$3:$N$1052,$M294)))</f>
        <v/>
      </c>
      <c r="J294" s="13" t="str">
        <f aca="false">IF($M294="","",N(INDEX('DỮ LIỆU'!$O$3:$O$1052,$M294)))</f>
        <v/>
      </c>
      <c r="K294" s="13" t="str">
        <f aca="false">IF($M294="","",IF(INDEX('DỮ LIỆU'!$Q$3:$Q$1052,$M294)="","",INDEX('DỮ LIỆU'!$Q$3:$Q$1052,$M294)))</f>
        <v/>
      </c>
      <c r="L294" s="21" t="str">
        <f aca="false">IF($M294="","",IF(INDEX('DỮ LIỆU'!$R$3:$R$1052,$M294)="","",INDEX('DỮ LIỆU'!$R$3:$R$1052,$M294)))</f>
        <v/>
      </c>
      <c r="M294" s="0" t="str">
        <f aca="false">IFERROR(MATCH(289,'DỮ LIỆU'!$V$3:$V$1052,0),"")</f>
        <v/>
      </c>
    </row>
    <row r="295" customFormat="false" ht="15" hidden="false" customHeight="false" outlineLevel="0" collapsed="false">
      <c r="A295" s="21" t="str">
        <f aca="false">IF($M295="","",290)</f>
        <v/>
      </c>
      <c r="B295" s="13" t="str">
        <f aca="false">IF($M295="","",INDEX('DỮ LIỆU'!$A$3:$A$1052,$M295))</f>
        <v/>
      </c>
      <c r="C295" s="41" t="str">
        <f aca="false">IF($M295="","",IF(INDEX('DỮ LIỆU'!$B$3:$B$1052,$M295)="","",INDEX('DỮ LIỆU'!$B$3:$B$1052,$M295)))</f>
        <v/>
      </c>
      <c r="D295" s="21" t="str">
        <f aca="false">IF($M295="","",IF(INDEX('DỮ LIỆU'!$C$3:$C$1052,$M295)="","",INDEX('DỮ LIỆU'!$C$3:$C$1052,$M295)))</f>
        <v/>
      </c>
      <c r="E295" s="21" t="str">
        <f aca="false">IF($M295="","",IF(INDEX('DỮ LIỆU'!$D$3:$D$1052,$M295)="","",INDEX('DỮ LIỆU'!$D$3:$D$1052,$M295)))</f>
        <v/>
      </c>
      <c r="F295" s="21" t="str">
        <f aca="false">IF($M295="","",IF(INDEX('DỮ LIỆU'!$H$3:$H$1052,$M295)="","",INDEX('DỮ LIỆU'!$H$3:$H$1052,$M295)))</f>
        <v/>
      </c>
      <c r="G295" s="13" t="str">
        <f aca="false">IF($M295="","",N(INDEX('DỮ LIỆU'!$I$3:$I$1052,$M295)))</f>
        <v/>
      </c>
      <c r="H295" s="13" t="str">
        <f aca="false">IF($M295="","",N(INDEX('DỮ LIỆU'!$J$3:$J$1052,$M295)))</f>
        <v/>
      </c>
      <c r="I295" s="13" t="str">
        <f aca="false">IF($M295="","",N(INDEX('DỮ LIỆU'!$N$3:$N$1052,$M295)))</f>
        <v/>
      </c>
      <c r="J295" s="13" t="str">
        <f aca="false">IF($M295="","",N(INDEX('DỮ LIỆU'!$O$3:$O$1052,$M295)))</f>
        <v/>
      </c>
      <c r="K295" s="13" t="str">
        <f aca="false">IF($M295="","",IF(INDEX('DỮ LIỆU'!$Q$3:$Q$1052,$M295)="","",INDEX('DỮ LIỆU'!$Q$3:$Q$1052,$M295)))</f>
        <v/>
      </c>
      <c r="L295" s="21" t="str">
        <f aca="false">IF($M295="","",IF(INDEX('DỮ LIỆU'!$R$3:$R$1052,$M295)="","",INDEX('DỮ LIỆU'!$R$3:$R$1052,$M295)))</f>
        <v/>
      </c>
      <c r="M295" s="0" t="str">
        <f aca="false">IFERROR(MATCH(290,'DỮ LIỆU'!$V$3:$V$1052,0),"")</f>
        <v/>
      </c>
    </row>
    <row r="296" customFormat="false" ht="15" hidden="false" customHeight="false" outlineLevel="0" collapsed="false">
      <c r="A296" s="21" t="str">
        <f aca="false">IF($M296="","",291)</f>
        <v/>
      </c>
      <c r="B296" s="13" t="str">
        <f aca="false">IF($M296="","",INDEX('DỮ LIỆU'!$A$3:$A$1052,$M296))</f>
        <v/>
      </c>
      <c r="C296" s="41" t="str">
        <f aca="false">IF($M296="","",IF(INDEX('DỮ LIỆU'!$B$3:$B$1052,$M296)="","",INDEX('DỮ LIỆU'!$B$3:$B$1052,$M296)))</f>
        <v/>
      </c>
      <c r="D296" s="21" t="str">
        <f aca="false">IF($M296="","",IF(INDEX('DỮ LIỆU'!$C$3:$C$1052,$M296)="","",INDEX('DỮ LIỆU'!$C$3:$C$1052,$M296)))</f>
        <v/>
      </c>
      <c r="E296" s="21" t="str">
        <f aca="false">IF($M296="","",IF(INDEX('DỮ LIỆU'!$D$3:$D$1052,$M296)="","",INDEX('DỮ LIỆU'!$D$3:$D$1052,$M296)))</f>
        <v/>
      </c>
      <c r="F296" s="21" t="str">
        <f aca="false">IF($M296="","",IF(INDEX('DỮ LIỆU'!$H$3:$H$1052,$M296)="","",INDEX('DỮ LIỆU'!$H$3:$H$1052,$M296)))</f>
        <v/>
      </c>
      <c r="G296" s="13" t="str">
        <f aca="false">IF($M296="","",N(INDEX('DỮ LIỆU'!$I$3:$I$1052,$M296)))</f>
        <v/>
      </c>
      <c r="H296" s="13" t="str">
        <f aca="false">IF($M296="","",N(INDEX('DỮ LIỆU'!$J$3:$J$1052,$M296)))</f>
        <v/>
      </c>
      <c r="I296" s="13" t="str">
        <f aca="false">IF($M296="","",N(INDEX('DỮ LIỆU'!$N$3:$N$1052,$M296)))</f>
        <v/>
      </c>
      <c r="J296" s="13" t="str">
        <f aca="false">IF($M296="","",N(INDEX('DỮ LIỆU'!$O$3:$O$1052,$M296)))</f>
        <v/>
      </c>
      <c r="K296" s="13" t="str">
        <f aca="false">IF($M296="","",IF(INDEX('DỮ LIỆU'!$Q$3:$Q$1052,$M296)="","",INDEX('DỮ LIỆU'!$Q$3:$Q$1052,$M296)))</f>
        <v/>
      </c>
      <c r="L296" s="21" t="str">
        <f aca="false">IF($M296="","",IF(INDEX('DỮ LIỆU'!$R$3:$R$1052,$M296)="","",INDEX('DỮ LIỆU'!$R$3:$R$1052,$M296)))</f>
        <v/>
      </c>
      <c r="M296" s="0" t="str">
        <f aca="false">IFERROR(MATCH(291,'DỮ LIỆU'!$V$3:$V$1052,0),"")</f>
        <v/>
      </c>
    </row>
    <row r="297" customFormat="false" ht="15" hidden="false" customHeight="false" outlineLevel="0" collapsed="false">
      <c r="A297" s="21" t="str">
        <f aca="false">IF($M297="","",292)</f>
        <v/>
      </c>
      <c r="B297" s="13" t="str">
        <f aca="false">IF($M297="","",INDEX('DỮ LIỆU'!$A$3:$A$1052,$M297))</f>
        <v/>
      </c>
      <c r="C297" s="41" t="str">
        <f aca="false">IF($M297="","",IF(INDEX('DỮ LIỆU'!$B$3:$B$1052,$M297)="","",INDEX('DỮ LIỆU'!$B$3:$B$1052,$M297)))</f>
        <v/>
      </c>
      <c r="D297" s="21" t="str">
        <f aca="false">IF($M297="","",IF(INDEX('DỮ LIỆU'!$C$3:$C$1052,$M297)="","",INDEX('DỮ LIỆU'!$C$3:$C$1052,$M297)))</f>
        <v/>
      </c>
      <c r="E297" s="21" t="str">
        <f aca="false">IF($M297="","",IF(INDEX('DỮ LIỆU'!$D$3:$D$1052,$M297)="","",INDEX('DỮ LIỆU'!$D$3:$D$1052,$M297)))</f>
        <v/>
      </c>
      <c r="F297" s="21" t="str">
        <f aca="false">IF($M297="","",IF(INDEX('DỮ LIỆU'!$H$3:$H$1052,$M297)="","",INDEX('DỮ LIỆU'!$H$3:$H$1052,$M297)))</f>
        <v/>
      </c>
      <c r="G297" s="13" t="str">
        <f aca="false">IF($M297="","",N(INDEX('DỮ LIỆU'!$I$3:$I$1052,$M297)))</f>
        <v/>
      </c>
      <c r="H297" s="13" t="str">
        <f aca="false">IF($M297="","",N(INDEX('DỮ LIỆU'!$J$3:$J$1052,$M297)))</f>
        <v/>
      </c>
      <c r="I297" s="13" t="str">
        <f aca="false">IF($M297="","",N(INDEX('DỮ LIỆU'!$N$3:$N$1052,$M297)))</f>
        <v/>
      </c>
      <c r="J297" s="13" t="str">
        <f aca="false">IF($M297="","",N(INDEX('DỮ LIỆU'!$O$3:$O$1052,$M297)))</f>
        <v/>
      </c>
      <c r="K297" s="13" t="str">
        <f aca="false">IF($M297="","",IF(INDEX('DỮ LIỆU'!$Q$3:$Q$1052,$M297)="","",INDEX('DỮ LIỆU'!$Q$3:$Q$1052,$M297)))</f>
        <v/>
      </c>
      <c r="L297" s="21" t="str">
        <f aca="false">IF($M297="","",IF(INDEX('DỮ LIỆU'!$R$3:$R$1052,$M297)="","",INDEX('DỮ LIỆU'!$R$3:$R$1052,$M297)))</f>
        <v/>
      </c>
      <c r="M297" s="0" t="str">
        <f aca="false">IFERROR(MATCH(292,'DỮ LIỆU'!$V$3:$V$1052,0),"")</f>
        <v/>
      </c>
    </row>
    <row r="298" customFormat="false" ht="15" hidden="false" customHeight="false" outlineLevel="0" collapsed="false">
      <c r="A298" s="21" t="str">
        <f aca="false">IF($M298="","",293)</f>
        <v/>
      </c>
      <c r="B298" s="13" t="str">
        <f aca="false">IF($M298="","",INDEX('DỮ LIỆU'!$A$3:$A$1052,$M298))</f>
        <v/>
      </c>
      <c r="C298" s="41" t="str">
        <f aca="false">IF($M298="","",IF(INDEX('DỮ LIỆU'!$B$3:$B$1052,$M298)="","",INDEX('DỮ LIỆU'!$B$3:$B$1052,$M298)))</f>
        <v/>
      </c>
      <c r="D298" s="21" t="str">
        <f aca="false">IF($M298="","",IF(INDEX('DỮ LIỆU'!$C$3:$C$1052,$M298)="","",INDEX('DỮ LIỆU'!$C$3:$C$1052,$M298)))</f>
        <v/>
      </c>
      <c r="E298" s="21" t="str">
        <f aca="false">IF($M298="","",IF(INDEX('DỮ LIỆU'!$D$3:$D$1052,$M298)="","",INDEX('DỮ LIỆU'!$D$3:$D$1052,$M298)))</f>
        <v/>
      </c>
      <c r="F298" s="21" t="str">
        <f aca="false">IF($M298="","",IF(INDEX('DỮ LIỆU'!$H$3:$H$1052,$M298)="","",INDEX('DỮ LIỆU'!$H$3:$H$1052,$M298)))</f>
        <v/>
      </c>
      <c r="G298" s="13" t="str">
        <f aca="false">IF($M298="","",N(INDEX('DỮ LIỆU'!$I$3:$I$1052,$M298)))</f>
        <v/>
      </c>
      <c r="H298" s="13" t="str">
        <f aca="false">IF($M298="","",N(INDEX('DỮ LIỆU'!$J$3:$J$1052,$M298)))</f>
        <v/>
      </c>
      <c r="I298" s="13" t="str">
        <f aca="false">IF($M298="","",N(INDEX('DỮ LIỆU'!$N$3:$N$1052,$M298)))</f>
        <v/>
      </c>
      <c r="J298" s="13" t="str">
        <f aca="false">IF($M298="","",N(INDEX('DỮ LIỆU'!$O$3:$O$1052,$M298)))</f>
        <v/>
      </c>
      <c r="K298" s="13" t="str">
        <f aca="false">IF($M298="","",IF(INDEX('DỮ LIỆU'!$Q$3:$Q$1052,$M298)="","",INDEX('DỮ LIỆU'!$Q$3:$Q$1052,$M298)))</f>
        <v/>
      </c>
      <c r="L298" s="21" t="str">
        <f aca="false">IF($M298="","",IF(INDEX('DỮ LIỆU'!$R$3:$R$1052,$M298)="","",INDEX('DỮ LIỆU'!$R$3:$R$1052,$M298)))</f>
        <v/>
      </c>
      <c r="M298" s="0" t="str">
        <f aca="false">IFERROR(MATCH(293,'DỮ LIỆU'!$V$3:$V$1052,0),"")</f>
        <v/>
      </c>
    </row>
    <row r="299" customFormat="false" ht="15" hidden="false" customHeight="false" outlineLevel="0" collapsed="false">
      <c r="A299" s="21" t="str">
        <f aca="false">IF($M299="","",294)</f>
        <v/>
      </c>
      <c r="B299" s="13" t="str">
        <f aca="false">IF($M299="","",INDEX('DỮ LIỆU'!$A$3:$A$1052,$M299))</f>
        <v/>
      </c>
      <c r="C299" s="41" t="str">
        <f aca="false">IF($M299="","",IF(INDEX('DỮ LIỆU'!$B$3:$B$1052,$M299)="","",INDEX('DỮ LIỆU'!$B$3:$B$1052,$M299)))</f>
        <v/>
      </c>
      <c r="D299" s="21" t="str">
        <f aca="false">IF($M299="","",IF(INDEX('DỮ LIỆU'!$C$3:$C$1052,$M299)="","",INDEX('DỮ LIỆU'!$C$3:$C$1052,$M299)))</f>
        <v/>
      </c>
      <c r="E299" s="21" t="str">
        <f aca="false">IF($M299="","",IF(INDEX('DỮ LIỆU'!$D$3:$D$1052,$M299)="","",INDEX('DỮ LIỆU'!$D$3:$D$1052,$M299)))</f>
        <v/>
      </c>
      <c r="F299" s="21" t="str">
        <f aca="false">IF($M299="","",IF(INDEX('DỮ LIỆU'!$H$3:$H$1052,$M299)="","",INDEX('DỮ LIỆU'!$H$3:$H$1052,$M299)))</f>
        <v/>
      </c>
      <c r="G299" s="13" t="str">
        <f aca="false">IF($M299="","",N(INDEX('DỮ LIỆU'!$I$3:$I$1052,$M299)))</f>
        <v/>
      </c>
      <c r="H299" s="13" t="str">
        <f aca="false">IF($M299="","",N(INDEX('DỮ LIỆU'!$J$3:$J$1052,$M299)))</f>
        <v/>
      </c>
      <c r="I299" s="13" t="str">
        <f aca="false">IF($M299="","",N(INDEX('DỮ LIỆU'!$N$3:$N$1052,$M299)))</f>
        <v/>
      </c>
      <c r="J299" s="13" t="str">
        <f aca="false">IF($M299="","",N(INDEX('DỮ LIỆU'!$O$3:$O$1052,$M299)))</f>
        <v/>
      </c>
      <c r="K299" s="13" t="str">
        <f aca="false">IF($M299="","",IF(INDEX('DỮ LIỆU'!$Q$3:$Q$1052,$M299)="","",INDEX('DỮ LIỆU'!$Q$3:$Q$1052,$M299)))</f>
        <v/>
      </c>
      <c r="L299" s="21" t="str">
        <f aca="false">IF($M299="","",IF(INDEX('DỮ LIỆU'!$R$3:$R$1052,$M299)="","",INDEX('DỮ LIỆU'!$R$3:$R$1052,$M299)))</f>
        <v/>
      </c>
      <c r="M299" s="0" t="str">
        <f aca="false">IFERROR(MATCH(294,'DỮ LIỆU'!$V$3:$V$1052,0),"")</f>
        <v/>
      </c>
    </row>
    <row r="300" customFormat="false" ht="15" hidden="false" customHeight="false" outlineLevel="0" collapsed="false">
      <c r="A300" s="21" t="str">
        <f aca="false">IF($M300="","",295)</f>
        <v/>
      </c>
      <c r="B300" s="13" t="str">
        <f aca="false">IF($M300="","",INDEX('DỮ LIỆU'!$A$3:$A$1052,$M300))</f>
        <v/>
      </c>
      <c r="C300" s="41" t="str">
        <f aca="false">IF($M300="","",IF(INDEX('DỮ LIỆU'!$B$3:$B$1052,$M300)="","",INDEX('DỮ LIỆU'!$B$3:$B$1052,$M300)))</f>
        <v/>
      </c>
      <c r="D300" s="21" t="str">
        <f aca="false">IF($M300="","",IF(INDEX('DỮ LIỆU'!$C$3:$C$1052,$M300)="","",INDEX('DỮ LIỆU'!$C$3:$C$1052,$M300)))</f>
        <v/>
      </c>
      <c r="E300" s="21" t="str">
        <f aca="false">IF($M300="","",IF(INDEX('DỮ LIỆU'!$D$3:$D$1052,$M300)="","",INDEX('DỮ LIỆU'!$D$3:$D$1052,$M300)))</f>
        <v/>
      </c>
      <c r="F300" s="21" t="str">
        <f aca="false">IF($M300="","",IF(INDEX('DỮ LIỆU'!$H$3:$H$1052,$M300)="","",INDEX('DỮ LIỆU'!$H$3:$H$1052,$M300)))</f>
        <v/>
      </c>
      <c r="G300" s="13" t="str">
        <f aca="false">IF($M300="","",N(INDEX('DỮ LIỆU'!$I$3:$I$1052,$M300)))</f>
        <v/>
      </c>
      <c r="H300" s="13" t="str">
        <f aca="false">IF($M300="","",N(INDEX('DỮ LIỆU'!$J$3:$J$1052,$M300)))</f>
        <v/>
      </c>
      <c r="I300" s="13" t="str">
        <f aca="false">IF($M300="","",N(INDEX('DỮ LIỆU'!$N$3:$N$1052,$M300)))</f>
        <v/>
      </c>
      <c r="J300" s="13" t="str">
        <f aca="false">IF($M300="","",N(INDEX('DỮ LIỆU'!$O$3:$O$1052,$M300)))</f>
        <v/>
      </c>
      <c r="K300" s="13" t="str">
        <f aca="false">IF($M300="","",IF(INDEX('DỮ LIỆU'!$Q$3:$Q$1052,$M300)="","",INDEX('DỮ LIỆU'!$Q$3:$Q$1052,$M300)))</f>
        <v/>
      </c>
      <c r="L300" s="21" t="str">
        <f aca="false">IF($M300="","",IF(INDEX('DỮ LIỆU'!$R$3:$R$1052,$M300)="","",INDEX('DỮ LIỆU'!$R$3:$R$1052,$M300)))</f>
        <v/>
      </c>
      <c r="M300" s="0" t="str">
        <f aca="false">IFERROR(MATCH(295,'DỮ LIỆU'!$V$3:$V$1052,0),"")</f>
        <v/>
      </c>
    </row>
    <row r="301" customFormat="false" ht="15" hidden="false" customHeight="false" outlineLevel="0" collapsed="false">
      <c r="A301" s="21" t="str">
        <f aca="false">IF($M301="","",296)</f>
        <v/>
      </c>
      <c r="B301" s="13" t="str">
        <f aca="false">IF($M301="","",INDEX('DỮ LIỆU'!$A$3:$A$1052,$M301))</f>
        <v/>
      </c>
      <c r="C301" s="41" t="str">
        <f aca="false">IF($M301="","",IF(INDEX('DỮ LIỆU'!$B$3:$B$1052,$M301)="","",INDEX('DỮ LIỆU'!$B$3:$B$1052,$M301)))</f>
        <v/>
      </c>
      <c r="D301" s="21" t="str">
        <f aca="false">IF($M301="","",IF(INDEX('DỮ LIỆU'!$C$3:$C$1052,$M301)="","",INDEX('DỮ LIỆU'!$C$3:$C$1052,$M301)))</f>
        <v/>
      </c>
      <c r="E301" s="21" t="str">
        <f aca="false">IF($M301="","",IF(INDEX('DỮ LIỆU'!$D$3:$D$1052,$M301)="","",INDEX('DỮ LIỆU'!$D$3:$D$1052,$M301)))</f>
        <v/>
      </c>
      <c r="F301" s="21" t="str">
        <f aca="false">IF($M301="","",IF(INDEX('DỮ LIỆU'!$H$3:$H$1052,$M301)="","",INDEX('DỮ LIỆU'!$H$3:$H$1052,$M301)))</f>
        <v/>
      </c>
      <c r="G301" s="13" t="str">
        <f aca="false">IF($M301="","",N(INDEX('DỮ LIỆU'!$I$3:$I$1052,$M301)))</f>
        <v/>
      </c>
      <c r="H301" s="13" t="str">
        <f aca="false">IF($M301="","",N(INDEX('DỮ LIỆU'!$J$3:$J$1052,$M301)))</f>
        <v/>
      </c>
      <c r="I301" s="13" t="str">
        <f aca="false">IF($M301="","",N(INDEX('DỮ LIỆU'!$N$3:$N$1052,$M301)))</f>
        <v/>
      </c>
      <c r="J301" s="13" t="str">
        <f aca="false">IF($M301="","",N(INDEX('DỮ LIỆU'!$O$3:$O$1052,$M301)))</f>
        <v/>
      </c>
      <c r="K301" s="13" t="str">
        <f aca="false">IF($M301="","",IF(INDEX('DỮ LIỆU'!$Q$3:$Q$1052,$M301)="","",INDEX('DỮ LIỆU'!$Q$3:$Q$1052,$M301)))</f>
        <v/>
      </c>
      <c r="L301" s="21" t="str">
        <f aca="false">IF($M301="","",IF(INDEX('DỮ LIỆU'!$R$3:$R$1052,$M301)="","",INDEX('DỮ LIỆU'!$R$3:$R$1052,$M301)))</f>
        <v/>
      </c>
      <c r="M301" s="0" t="str">
        <f aca="false">IFERROR(MATCH(296,'DỮ LIỆU'!$V$3:$V$1052,0),"")</f>
        <v/>
      </c>
    </row>
    <row r="302" customFormat="false" ht="15" hidden="false" customHeight="false" outlineLevel="0" collapsed="false">
      <c r="A302" s="21" t="str">
        <f aca="false">IF($M302="","",297)</f>
        <v/>
      </c>
      <c r="B302" s="13" t="str">
        <f aca="false">IF($M302="","",INDEX('DỮ LIỆU'!$A$3:$A$1052,$M302))</f>
        <v/>
      </c>
      <c r="C302" s="41" t="str">
        <f aca="false">IF($M302="","",IF(INDEX('DỮ LIỆU'!$B$3:$B$1052,$M302)="","",INDEX('DỮ LIỆU'!$B$3:$B$1052,$M302)))</f>
        <v/>
      </c>
      <c r="D302" s="21" t="str">
        <f aca="false">IF($M302="","",IF(INDEX('DỮ LIỆU'!$C$3:$C$1052,$M302)="","",INDEX('DỮ LIỆU'!$C$3:$C$1052,$M302)))</f>
        <v/>
      </c>
      <c r="E302" s="21" t="str">
        <f aca="false">IF($M302="","",IF(INDEX('DỮ LIỆU'!$D$3:$D$1052,$M302)="","",INDEX('DỮ LIỆU'!$D$3:$D$1052,$M302)))</f>
        <v/>
      </c>
      <c r="F302" s="21" t="str">
        <f aca="false">IF($M302="","",IF(INDEX('DỮ LIỆU'!$H$3:$H$1052,$M302)="","",INDEX('DỮ LIỆU'!$H$3:$H$1052,$M302)))</f>
        <v/>
      </c>
      <c r="G302" s="13" t="str">
        <f aca="false">IF($M302="","",N(INDEX('DỮ LIỆU'!$I$3:$I$1052,$M302)))</f>
        <v/>
      </c>
      <c r="H302" s="13" t="str">
        <f aca="false">IF($M302="","",N(INDEX('DỮ LIỆU'!$J$3:$J$1052,$M302)))</f>
        <v/>
      </c>
      <c r="I302" s="13" t="str">
        <f aca="false">IF($M302="","",N(INDEX('DỮ LIỆU'!$N$3:$N$1052,$M302)))</f>
        <v/>
      </c>
      <c r="J302" s="13" t="str">
        <f aca="false">IF($M302="","",N(INDEX('DỮ LIỆU'!$O$3:$O$1052,$M302)))</f>
        <v/>
      </c>
      <c r="K302" s="13" t="str">
        <f aca="false">IF($M302="","",IF(INDEX('DỮ LIỆU'!$Q$3:$Q$1052,$M302)="","",INDEX('DỮ LIỆU'!$Q$3:$Q$1052,$M302)))</f>
        <v/>
      </c>
      <c r="L302" s="21" t="str">
        <f aca="false">IF($M302="","",IF(INDEX('DỮ LIỆU'!$R$3:$R$1052,$M302)="","",INDEX('DỮ LIỆU'!$R$3:$R$1052,$M302)))</f>
        <v/>
      </c>
      <c r="M302" s="0" t="str">
        <f aca="false">IFERROR(MATCH(297,'DỮ LIỆU'!$V$3:$V$1052,0),"")</f>
        <v/>
      </c>
    </row>
    <row r="303" customFormat="false" ht="15" hidden="false" customHeight="false" outlineLevel="0" collapsed="false">
      <c r="A303" s="21" t="str">
        <f aca="false">IF($M303="","",298)</f>
        <v/>
      </c>
      <c r="B303" s="13" t="str">
        <f aca="false">IF($M303="","",INDEX('DỮ LIỆU'!$A$3:$A$1052,$M303))</f>
        <v/>
      </c>
      <c r="C303" s="41" t="str">
        <f aca="false">IF($M303="","",IF(INDEX('DỮ LIỆU'!$B$3:$B$1052,$M303)="","",INDEX('DỮ LIỆU'!$B$3:$B$1052,$M303)))</f>
        <v/>
      </c>
      <c r="D303" s="21" t="str">
        <f aca="false">IF($M303="","",IF(INDEX('DỮ LIỆU'!$C$3:$C$1052,$M303)="","",INDEX('DỮ LIỆU'!$C$3:$C$1052,$M303)))</f>
        <v/>
      </c>
      <c r="E303" s="21" t="str">
        <f aca="false">IF($M303="","",IF(INDEX('DỮ LIỆU'!$D$3:$D$1052,$M303)="","",INDEX('DỮ LIỆU'!$D$3:$D$1052,$M303)))</f>
        <v/>
      </c>
      <c r="F303" s="21" t="str">
        <f aca="false">IF($M303="","",IF(INDEX('DỮ LIỆU'!$H$3:$H$1052,$M303)="","",INDEX('DỮ LIỆU'!$H$3:$H$1052,$M303)))</f>
        <v/>
      </c>
      <c r="G303" s="13" t="str">
        <f aca="false">IF($M303="","",N(INDEX('DỮ LIỆU'!$I$3:$I$1052,$M303)))</f>
        <v/>
      </c>
      <c r="H303" s="13" t="str">
        <f aca="false">IF($M303="","",N(INDEX('DỮ LIỆU'!$J$3:$J$1052,$M303)))</f>
        <v/>
      </c>
      <c r="I303" s="13" t="str">
        <f aca="false">IF($M303="","",N(INDEX('DỮ LIỆU'!$N$3:$N$1052,$M303)))</f>
        <v/>
      </c>
      <c r="J303" s="13" t="str">
        <f aca="false">IF($M303="","",N(INDEX('DỮ LIỆU'!$O$3:$O$1052,$M303)))</f>
        <v/>
      </c>
      <c r="K303" s="13" t="str">
        <f aca="false">IF($M303="","",IF(INDEX('DỮ LIỆU'!$Q$3:$Q$1052,$M303)="","",INDEX('DỮ LIỆU'!$Q$3:$Q$1052,$M303)))</f>
        <v/>
      </c>
      <c r="L303" s="21" t="str">
        <f aca="false">IF($M303="","",IF(INDEX('DỮ LIỆU'!$R$3:$R$1052,$M303)="","",INDEX('DỮ LIỆU'!$R$3:$R$1052,$M303)))</f>
        <v/>
      </c>
      <c r="M303" s="0" t="str">
        <f aca="false">IFERROR(MATCH(298,'DỮ LIỆU'!$V$3:$V$1052,0),"")</f>
        <v/>
      </c>
    </row>
    <row r="304" customFormat="false" ht="15" hidden="false" customHeight="false" outlineLevel="0" collapsed="false">
      <c r="A304" s="21" t="str">
        <f aca="false">IF($M304="","",299)</f>
        <v/>
      </c>
      <c r="B304" s="13" t="str">
        <f aca="false">IF($M304="","",INDEX('DỮ LIỆU'!$A$3:$A$1052,$M304))</f>
        <v/>
      </c>
      <c r="C304" s="41" t="str">
        <f aca="false">IF($M304="","",IF(INDEX('DỮ LIỆU'!$B$3:$B$1052,$M304)="","",INDEX('DỮ LIỆU'!$B$3:$B$1052,$M304)))</f>
        <v/>
      </c>
      <c r="D304" s="21" t="str">
        <f aca="false">IF($M304="","",IF(INDEX('DỮ LIỆU'!$C$3:$C$1052,$M304)="","",INDEX('DỮ LIỆU'!$C$3:$C$1052,$M304)))</f>
        <v/>
      </c>
      <c r="E304" s="21" t="str">
        <f aca="false">IF($M304="","",IF(INDEX('DỮ LIỆU'!$D$3:$D$1052,$M304)="","",INDEX('DỮ LIỆU'!$D$3:$D$1052,$M304)))</f>
        <v/>
      </c>
      <c r="F304" s="21" t="str">
        <f aca="false">IF($M304="","",IF(INDEX('DỮ LIỆU'!$H$3:$H$1052,$M304)="","",INDEX('DỮ LIỆU'!$H$3:$H$1052,$M304)))</f>
        <v/>
      </c>
      <c r="G304" s="13" t="str">
        <f aca="false">IF($M304="","",N(INDEX('DỮ LIỆU'!$I$3:$I$1052,$M304)))</f>
        <v/>
      </c>
      <c r="H304" s="13" t="str">
        <f aca="false">IF($M304="","",N(INDEX('DỮ LIỆU'!$J$3:$J$1052,$M304)))</f>
        <v/>
      </c>
      <c r="I304" s="13" t="str">
        <f aca="false">IF($M304="","",N(INDEX('DỮ LIỆU'!$N$3:$N$1052,$M304)))</f>
        <v/>
      </c>
      <c r="J304" s="13" t="str">
        <f aca="false">IF($M304="","",N(INDEX('DỮ LIỆU'!$O$3:$O$1052,$M304)))</f>
        <v/>
      </c>
      <c r="K304" s="13" t="str">
        <f aca="false">IF($M304="","",IF(INDEX('DỮ LIỆU'!$Q$3:$Q$1052,$M304)="","",INDEX('DỮ LIỆU'!$Q$3:$Q$1052,$M304)))</f>
        <v/>
      </c>
      <c r="L304" s="21" t="str">
        <f aca="false">IF($M304="","",IF(INDEX('DỮ LIỆU'!$R$3:$R$1052,$M304)="","",INDEX('DỮ LIỆU'!$R$3:$R$1052,$M304)))</f>
        <v/>
      </c>
      <c r="M304" s="0" t="str">
        <f aca="false">IFERROR(MATCH(299,'DỮ LIỆU'!$V$3:$V$1052,0),"")</f>
        <v/>
      </c>
    </row>
    <row r="305" customFormat="false" ht="15" hidden="false" customHeight="false" outlineLevel="0" collapsed="false">
      <c r="A305" s="21" t="str">
        <f aca="false">IF($M305="","",300)</f>
        <v/>
      </c>
      <c r="B305" s="13" t="str">
        <f aca="false">IF($M305="","",INDEX('DỮ LIỆU'!$A$3:$A$1052,$M305))</f>
        <v/>
      </c>
      <c r="C305" s="41" t="str">
        <f aca="false">IF($M305="","",IF(INDEX('DỮ LIỆU'!$B$3:$B$1052,$M305)="","",INDEX('DỮ LIỆU'!$B$3:$B$1052,$M305)))</f>
        <v/>
      </c>
      <c r="D305" s="21" t="str">
        <f aca="false">IF($M305="","",IF(INDEX('DỮ LIỆU'!$C$3:$C$1052,$M305)="","",INDEX('DỮ LIỆU'!$C$3:$C$1052,$M305)))</f>
        <v/>
      </c>
      <c r="E305" s="21" t="str">
        <f aca="false">IF($M305="","",IF(INDEX('DỮ LIỆU'!$D$3:$D$1052,$M305)="","",INDEX('DỮ LIỆU'!$D$3:$D$1052,$M305)))</f>
        <v/>
      </c>
      <c r="F305" s="21" t="str">
        <f aca="false">IF($M305="","",IF(INDEX('DỮ LIỆU'!$H$3:$H$1052,$M305)="","",INDEX('DỮ LIỆU'!$H$3:$H$1052,$M305)))</f>
        <v/>
      </c>
      <c r="G305" s="13" t="str">
        <f aca="false">IF($M305="","",N(INDEX('DỮ LIỆU'!$I$3:$I$1052,$M305)))</f>
        <v/>
      </c>
      <c r="H305" s="13" t="str">
        <f aca="false">IF($M305="","",N(INDEX('DỮ LIỆU'!$J$3:$J$1052,$M305)))</f>
        <v/>
      </c>
      <c r="I305" s="13" t="str">
        <f aca="false">IF($M305="","",N(INDEX('DỮ LIỆU'!$N$3:$N$1052,$M305)))</f>
        <v/>
      </c>
      <c r="J305" s="13" t="str">
        <f aca="false">IF($M305="","",N(INDEX('DỮ LIỆU'!$O$3:$O$1052,$M305)))</f>
        <v/>
      </c>
      <c r="K305" s="13" t="str">
        <f aca="false">IF($M305="","",IF(INDEX('DỮ LIỆU'!$Q$3:$Q$1052,$M305)="","",INDEX('DỮ LIỆU'!$Q$3:$Q$1052,$M305)))</f>
        <v/>
      </c>
      <c r="L305" s="21" t="str">
        <f aca="false">IF($M305="","",IF(INDEX('DỮ LIỆU'!$R$3:$R$1052,$M305)="","",INDEX('DỮ LIỆU'!$R$3:$R$1052,$M305)))</f>
        <v/>
      </c>
      <c r="M305" s="0" t="str">
        <f aca="false">IFERROR(MATCH(300,'DỮ LIỆU'!$V$3:$V$1052,0),"")</f>
        <v/>
      </c>
    </row>
  </sheetData>
  <autoFilter ref="A5:L305"/>
  <mergeCells count="2">
    <mergeCell ref="A1:L1"/>
    <mergeCell ref="A2:L2"/>
  </mergeCells>
  <conditionalFormatting sqref="K6:K305">
    <cfRule type="cellIs" priority="2" operator="lessThan" aboveAverage="0" equalAverage="0" bottom="0" percent="0" rank="0" text="" dxfId="8">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2026-08-03T01:03:11Z</dcterms:created>
  <dc:creator>openpyxl</dc:creator>
  <dc:description/>
  <dc:language>en-US</dc:language>
  <cp:lastModifiedBy/>
  <dcterms:modified xsi:type="dcterms:W3CDTF">2026-08-03T01:03:16Z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